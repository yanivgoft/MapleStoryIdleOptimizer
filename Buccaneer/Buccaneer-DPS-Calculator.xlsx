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100*((10+IF(Inputs!$B$3&gt;=94,5,0))/((10+IF(Inputs!$B$3&gt;=94,5,0))+5/(Summary!$B$19*(1+IF(Inputs!$B$3&gt;=104,1,0)))))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(unused — Buccaneer has no Nimble-Feet-style live AS buff)</t>
        </is>
      </c>
      <c r="B16" t="n">
        <v>0</v>
      </c>
    </row>
    <row r="17">
      <c r="A17" t="inlineStr">
        <is>
          <t>Actions Per Second</t>
        </is>
      </c>
      <c r="B17">
        <f>1+MIN(150,150*(1-(1-Inputs!$B$11/150)*(1-B16/150)))/100</f>
        <v/>
      </c>
    </row>
    <row r="18">
      <c r="A18" t="inlineStr">
        <is>
          <t>Skill + Buff Cast Rate (subtracted from Hook Bomber, 1/s)</t>
        </is>
      </c>
      <c r="B18">
        <f>IF(AND(Inputs!$B$38&lt;&gt;"pvp",Inputs!$B$43&gt;0),SUMPRODUCT((Skills!E2:E22=TRUE)*(Calc!C2:C22=TRUE)*Calc!R2:R22*Skills!F2:F22)/Inputs!$B$43,SUMPRODUCT((Skills!E2:E22=TRUE)*(Calc!C2:C22=TRUE)*Calc!Q2:Q22*Skills!F2:F22))</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((Calc!C5=TRUE)*Calc!F5*((10+IF(Inputs!$B$3&gt;=94,5,0))/((10+IF(Inputs!$B$3&gt;=94,5,0))+5/(Summary!$B$19*(1+IF(Inputs!$B$3&gt;=104,1,0))))))+((Calc!C14=TRUE)*Calc!F14)+((Calc!C15=TRUE)*Calc!F15)+((Inputs!$B$3&gt;=110)*20*(B17-1))</f>
        <v/>
      </c>
    </row>
    <row r="22">
      <c r="A22" t="inlineStr">
        <is>
          <t>Hook Bomber (Basic Attack) DPS</t>
        </is>
      </c>
      <c r="B22">
        <f>Calc!O2</f>
        <v/>
      </c>
    </row>
    <row r="23">
      <c r="A23" t="inlineStr">
        <is>
          <t>Buff-Casting Startup Delay (s, before first damage-skill cast; fixed-duration only)</t>
        </is>
      </c>
      <c r="B23">
        <f>IF(AND(Inputs!$B$38&lt;&gt;"pvp",Inputs!$B$43&gt;0),SUMPRODUCT((Skills!T2:T22&gt;0)*(Skills!E2:E22=TRUE)*(Calc!C2:C22=TRUE))/B17,0)</f>
        <v/>
      </c>
    </row>
    <row r="24">
      <c r="A24" t="inlineStr">
        <is>
          <t>Boss-Only Total DPS (Sensitivity baseline)</t>
        </is>
      </c>
      <c r="B24">
        <f>SUM(Calc!T2:T22)</f>
        <v/>
      </c>
    </row>
    <row r="25">
      <c r="A25" t="inlineStr">
        <is>
          <t>Normal-Only Total DPS (Sensitivity baseline)</t>
        </is>
      </c>
      <c r="B25">
        <f>SUM(Calc!V2:V22)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B106</f>
        <v/>
      </c>
      <c r="H5">
        <f>Summary!$B$3*(((1-Summary!$B$11)*IFERROR(B104/Summary!$B$24,1)+Summary!$B$11*IFERROR(B105/Summary!$B$25,1))-1)</f>
        <v/>
      </c>
      <c r="I5">
        <f>((1-Summary!$B$11)*IFERROR(B104/Summary!$B$24,1)+Summary!$B$11*IFERROR(B105/Summary!$B$25,1))*100</f>
        <v/>
      </c>
    </row>
    <row r="6">
      <c r="A6" t="inlineStr">
        <is>
          <t>STR %</t>
        </is>
      </c>
      <c r="B6">
        <f>IFERROR(1/(I6-100),"n/a")</f>
        <v/>
      </c>
      <c r="C6" t="inlineStr">
        <is>
          <t>pct</t>
        </is>
      </c>
      <c r="D6">
        <f>Inputs!$B$13+0</f>
        <v/>
      </c>
      <c r="E6">
        <f>(Inputs!$B$13+1)+0</f>
        <v/>
      </c>
      <c r="F6">
        <f>Summary!$B$3</f>
        <v/>
      </c>
      <c r="G6">
        <f>B144</f>
        <v/>
      </c>
      <c r="H6">
        <f>Summary!$B$3*(((1-Summary!$B$11)*IFERROR(B142/Summary!$B$24,1)+Summary!$B$11*IFERROR(B143/Summary!$B$25,1))-1)</f>
        <v/>
      </c>
      <c r="I6">
        <f>((1-Summary!$B$11)*IFERROR(B142/Summary!$B$24,1)+Summary!$B$11*IFERROR(B143/Summary!$B$25,1))*100</f>
        <v/>
      </c>
    </row>
    <row r="7">
      <c r="A7" t="inlineStr">
        <is>
          <t>DEX</t>
        </is>
      </c>
      <c r="B7">
        <f>IFERROR(1/(I7-100),"n/a")</f>
        <v/>
      </c>
      <c r="C7" t="inlineStr">
        <is>
          <t>flat</t>
        </is>
      </c>
      <c r="D7">
        <f>Inputs!$B$14+0</f>
        <v/>
      </c>
      <c r="E7">
        <f>(Inputs!$B$14+1)+0</f>
        <v/>
      </c>
      <c r="F7">
        <f>Summary!$B$3</f>
        <v/>
      </c>
      <c r="G7">
        <f>B182</f>
        <v/>
      </c>
      <c r="H7">
        <f>Summary!$B$3*(((1-Summary!$B$11)*IFERROR(B180/Summary!$B$24,1)+Summary!$B$11*IFERROR(B181/Summary!$B$25,1))-1)</f>
        <v/>
      </c>
      <c r="I7">
        <f>((1-Summary!$B$11)*IFERROR(B180/Summary!$B$24,1)+Summary!$B$11*IFERROR(B181/Summary!$B$25,1))*100</f>
        <v/>
      </c>
    </row>
    <row r="8">
      <c r="A8" t="inlineStr">
        <is>
          <t>DAMAGE %</t>
        </is>
      </c>
      <c r="B8">
        <f>IFERROR(1/(I8-100),"n/a")</f>
        <v/>
      </c>
      <c r="C8" t="inlineStr">
        <is>
          <t>pct</t>
        </is>
      </c>
      <c r="D8">
        <f>Inputs!$B$15+0</f>
        <v/>
      </c>
      <c r="E8">
        <f>(Inputs!$B$15+1)+0</f>
        <v/>
      </c>
      <c r="F8">
        <f>Summary!$B$3</f>
        <v/>
      </c>
      <c r="G8">
        <f>B220</f>
        <v/>
      </c>
      <c r="H8">
        <f>Summary!$B$3*(((1-Summary!$B$11)*IFERROR(B218/Summary!$B$24,1)+Summary!$B$11*IFERROR(B219/Summary!$B$25,1))-1)</f>
        <v/>
      </c>
      <c r="I8">
        <f>((1-Summary!$B$11)*IFERROR(B218/Summary!$B$24,1)+Summary!$B$11*IFERROR(B219/Summary!$B$25,1))*100</f>
        <v/>
      </c>
    </row>
    <row r="9">
      <c r="A9" t="inlineStr">
        <is>
          <t>DAMAGE_AMP %</t>
        </is>
      </c>
      <c r="B9">
        <f>IFERROR(1/(I9-100),"n/a")</f>
        <v/>
      </c>
      <c r="C9" t="inlineStr">
        <is>
          <t>pct</t>
        </is>
      </c>
      <c r="D9">
        <f>Inputs!$B$16+0</f>
        <v/>
      </c>
      <c r="E9">
        <f>(Inputs!$B$16+1)+0</f>
        <v/>
      </c>
      <c r="F9">
        <f>Summary!$B$3</f>
        <v/>
      </c>
      <c r="G9">
        <f>B258</f>
        <v/>
      </c>
      <c r="H9">
        <f>Summary!$B$3*(((1-Summary!$B$11)*IFERROR(B256/Summary!$B$24,1)+Summary!$B$11*IFERROR(B257/Summary!$B$25,1))-1)</f>
        <v/>
      </c>
      <c r="I9">
        <f>((1-Summary!$B$11)*IFERROR(B256/Summary!$B$24,1)+Summary!$B$11*IFERROR(B257/Summary!$B$25,1))*100</f>
        <v/>
      </c>
    </row>
    <row r="10">
      <c r="A10" t="inlineStr">
        <is>
          <t>BOSS_DAMAGE %</t>
        </is>
      </c>
      <c r="B10">
        <f>IFERROR(1/(I10-100),"n/a")</f>
        <v/>
      </c>
      <c r="C10" t="inlineStr">
        <is>
          <t>pct</t>
        </is>
      </c>
      <c r="D10">
        <f>Inputs!$B$20+0</f>
        <v/>
      </c>
      <c r="E10">
        <f>(Inputs!$B$20+1)+0</f>
        <v/>
      </c>
      <c r="F10">
        <f>Summary!$B$3</f>
        <v/>
      </c>
      <c r="G10">
        <f>B296</f>
        <v/>
      </c>
      <c r="H10">
        <f>Summary!$B$3*(((1-Summary!$B$11)*IFERROR(B294/Summary!$B$24,1)+Summary!$B$11*IFERROR(B295/Summary!$B$25,1))-1)</f>
        <v/>
      </c>
      <c r="I10">
        <f>((1-Summary!$B$11)*IFERROR(B294/Summary!$B$24,1)+Summary!$B$11*IFERROR(B295/Summary!$B$25,1))*100</f>
        <v/>
      </c>
    </row>
    <row r="11">
      <c r="A11" t="inlineStr">
        <is>
          <t>NORMAL_DAMAGE %</t>
        </is>
      </c>
      <c r="B11">
        <f>IFERROR(1/(I11-100),"n/a")</f>
        <v/>
      </c>
      <c r="C11" t="inlineStr">
        <is>
          <t>pct</t>
        </is>
      </c>
      <c r="D11">
        <f>Inputs!$B$21+0</f>
        <v/>
      </c>
      <c r="E11">
        <f>(Inputs!$B$21+1)+0</f>
        <v/>
      </c>
      <c r="F11">
        <f>Summary!$B$3</f>
        <v/>
      </c>
      <c r="G11">
        <f>B334</f>
        <v/>
      </c>
      <c r="H11">
        <f>Summary!$B$3*(((1-Summary!$B$11)*IFERROR(B332/Summary!$B$24,1)+Summary!$B$11*IFERROR(B333/Summary!$B$25,1))-1)</f>
        <v/>
      </c>
      <c r="I11">
        <f>((1-Summary!$B$11)*IFERROR(B332/Summary!$B$24,1)+Summary!$B$11*IFERROR(B333/Summary!$B$25,1))*100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B372</f>
        <v/>
      </c>
      <c r="H12">
        <f>Summary!$B$3*(((1-Summary!$B$11)*IFERROR(B370/Summary!$B$24,1)+Summary!$B$11*IFERROR(B371/Summary!$B$25,1))-1)</f>
        <v/>
      </c>
      <c r="I12">
        <f>((1-Summary!$B$11)*IFERROR(B370/Summary!$B$24,1)+Summary!$B$11*IFERROR(B371/Summary!$B$25,1))*100</f>
        <v/>
      </c>
    </row>
    <row r="13">
      <c r="A13" t="inlineStr">
        <is>
          <t>MIN_DAMAGE %</t>
        </is>
      </c>
      <c r="B13">
        <f>IFERROR(1/(I13-100),"n/a")</f>
        <v/>
      </c>
      <c r="C13" t="inlineStr">
        <is>
          <t>pct</t>
        </is>
      </c>
      <c r="D13">
        <f>Inputs!$B$22+0</f>
        <v/>
      </c>
      <c r="E13">
        <f>(Inputs!$B$22+1)+0</f>
        <v/>
      </c>
      <c r="F13">
        <f>Summary!$B$3</f>
        <v/>
      </c>
      <c r="G13">
        <f>B410</f>
        <v/>
      </c>
      <c r="H13">
        <f>Summary!$B$3*(((1-Summary!$B$11)*IFERROR(B408/Summary!$B$24,1)+Summary!$B$11*IFERROR(B409/Summary!$B$25,1))-1)</f>
        <v/>
      </c>
      <c r="I13">
        <f>((1-Summary!$B$11)*IFERROR(B408/Summary!$B$24,1)+Summary!$B$11*IFERROR(B409/Summary!$B$25,1))*100</f>
        <v/>
      </c>
    </row>
    <row r="14">
      <c r="A14" t="inlineStr">
        <is>
          <t>MAX_DAMAGE %</t>
        </is>
      </c>
      <c r="B14">
        <f>IFERROR(1/(I14-100),"n/a")</f>
        <v/>
      </c>
      <c r="C14" t="inlineStr">
        <is>
          <t>pct</t>
        </is>
      </c>
      <c r="D14">
        <f>Inputs!$B$23+0</f>
        <v/>
      </c>
      <c r="E14">
        <f>(Inputs!$B$23+1)+0</f>
        <v/>
      </c>
      <c r="F14">
        <f>Summary!$B$3</f>
        <v/>
      </c>
      <c r="G14">
        <f>B448</f>
        <v/>
      </c>
      <c r="H14">
        <f>Summary!$B$3*(((1-Summary!$B$11)*IFERROR(B446/Summary!$B$24,1)+Summary!$B$11*IFERROR(B447/Summary!$B$25,1))-1)</f>
        <v/>
      </c>
      <c r="I14">
        <f>((1-Summary!$B$11)*IFERROR(B446/Summary!$B$24,1)+Summary!$B$11*IFERROR(B447/Summary!$B$25,1))*100</f>
        <v/>
      </c>
    </row>
    <row r="15">
      <c r="A15" t="inlineStr">
        <is>
          <t>CRIT_RATE %</t>
        </is>
      </c>
      <c r="B15">
        <f>IFERROR(1/(I15-100),"n/a")</f>
        <v/>
      </c>
      <c r="C15" t="inlineStr">
        <is>
          <t>pct</t>
        </is>
      </c>
      <c r="D15">
        <f>Inputs!$B$9+0</f>
        <v/>
      </c>
      <c r="E15">
        <f>(Inputs!$B$9+1)+0</f>
        <v/>
      </c>
      <c r="F15">
        <f>Summary!$B$3</f>
        <v/>
      </c>
      <c r="G15">
        <f>B486</f>
        <v/>
      </c>
      <c r="H15">
        <f>Summary!$B$3*(((1-Summary!$B$11)*IFERROR(B484/Summary!$B$24,1)+Summary!$B$11*IFERROR(B485/Summary!$B$25,1))-1)</f>
        <v/>
      </c>
      <c r="I15">
        <f>((1-Summary!$B$11)*IFERROR(B484/Summary!$B$24,1)+Summary!$B$11*IFERROR(B485/Summary!$B$25,1))*100</f>
        <v/>
      </c>
    </row>
    <row r="16">
      <c r="A16" t="inlineStr">
        <is>
          <t>CRIT_DAMAGE %</t>
        </is>
      </c>
      <c r="B16">
        <f>IFERROR(1/(I16-100),"n/a")</f>
        <v/>
      </c>
      <c r="C16" t="inlineStr">
        <is>
          <t>pct</t>
        </is>
      </c>
      <c r="D16">
        <f>Inputs!$B$10+0</f>
        <v/>
      </c>
      <c r="E16">
        <f>(Inputs!$B$10+1)+0</f>
        <v/>
      </c>
      <c r="F16">
        <f>Summary!$B$3</f>
        <v/>
      </c>
      <c r="G16">
        <f>B524</f>
        <v/>
      </c>
      <c r="H16">
        <f>Summary!$B$3*(((1-Summary!$B$11)*IFERROR(B522/Summary!$B$24,1)+Summary!$B$11*IFERROR(B523/Summary!$B$25,1))-1)</f>
        <v/>
      </c>
      <c r="I16">
        <f>((1-Summary!$B$11)*IFERROR(B522/Summary!$B$24,1)+Summary!$B$11*IFERROR(B523/Summary!$B$25,1))*100</f>
        <v/>
      </c>
    </row>
    <row r="17">
      <c r="A17" t="inlineStr">
        <is>
          <t>ATTACK_SPEED % (diminishing returns, factor 150)</t>
        </is>
      </c>
      <c r="B17">
        <f>IFERROR(1/(I17-100),"n/a")</f>
        <v/>
      </c>
      <c r="C17" t="inlineStr">
        <is>
          <t>dr150</t>
        </is>
      </c>
      <c r="D17">
        <f>Inputs!$B$11+0</f>
        <v/>
      </c>
      <c r="E17">
        <f>((1-(1-Inputs!$B$11/150)*(1-1/150))*150)+0</f>
        <v/>
      </c>
      <c r="F17">
        <f>Summary!$B$3</f>
        <v/>
      </c>
      <c r="G17">
        <f>B562</f>
        <v/>
      </c>
      <c r="H17">
        <f>Summary!$B$3*(((1-Summary!$B$11)*IFERROR(B560/Summary!$B$24,1)+Summary!$B$11*IFERROR(B561/Summary!$B$25,1))-1)</f>
        <v/>
      </c>
      <c r="I17">
        <f>((1-Summary!$B$11)*IFERROR(B560/Summary!$B$24,1)+Summary!$B$11*IFERROR(B561/Summary!$B$25,1))*100</f>
        <v/>
      </c>
    </row>
    <row r="18">
      <c r="A18" t="inlineStr">
        <is>
          <t>DEF_PEN % (diminishing returns, factor 100)</t>
        </is>
      </c>
      <c r="B18">
        <f>IFERROR(1/(I18-100),"n/a")</f>
        <v/>
      </c>
      <c r="C18" t="inlineStr">
        <is>
          <t>dr100</t>
        </is>
      </c>
      <c r="D18">
        <f>Inputs!$B$19+0</f>
        <v/>
      </c>
      <c r="E18">
        <f>((1-(1-Inputs!$B$19/100)*(1-1/100))*100)+0</f>
        <v/>
      </c>
      <c r="F18">
        <f>Summary!$B$3</f>
        <v/>
      </c>
      <c r="G18">
        <f>B600</f>
        <v/>
      </c>
      <c r="H18">
        <f>Summary!$B$3*(((1-Summary!$B$11)*IFERROR(B598/Summary!$B$24,1)+Summary!$B$11*IFERROR(B599/Summary!$B$25,1))-1)</f>
        <v/>
      </c>
      <c r="I18">
        <f>((1-Summary!$B$11)*IFERROR(B598/Summary!$B$24,1)+Summary!$B$11*IFERROR(B599/Summary!$B$25,1))*100</f>
        <v/>
      </c>
    </row>
    <row r="19">
      <c r="A19" t="inlineStr">
        <is>
          <t>BASIC_ATTACK_DAMAGE %</t>
        </is>
      </c>
      <c r="B19">
        <f>IFERROR(1/(I19-100),"n/a")</f>
        <v/>
      </c>
      <c r="C19" t="inlineStr">
        <is>
          <t>pct</t>
        </is>
      </c>
      <c r="D19">
        <f>Inputs!$B$17+0</f>
        <v/>
      </c>
      <c r="E19">
        <f>(Inputs!$B$17+1)+0</f>
        <v/>
      </c>
      <c r="F19">
        <f>Summary!$B$3</f>
        <v/>
      </c>
      <c r="G19">
        <f>B638</f>
        <v/>
      </c>
      <c r="H19">
        <f>Summary!$B$3*(((1-Summary!$B$11)*IFERROR(B636/Summary!$B$24,1)+Summary!$B$11*IFERROR(B637/Summary!$B$25,1))-1)</f>
        <v/>
      </c>
      <c r="I19">
        <f>((1-Summary!$B$11)*IFERROR(B636/Summary!$B$24,1)+Summary!$B$11*IFERROR(B637/Summary!$B$25,1))*100</f>
        <v/>
      </c>
    </row>
    <row r="20">
      <c r="A20" t="inlineStr">
        <is>
          <t>SKILL_DAMAGE %</t>
        </is>
      </c>
      <c r="B20">
        <f>IFERROR(1/(I20-100),"n/a")</f>
        <v/>
      </c>
      <c r="C20" t="inlineStr">
        <is>
          <t>pct</t>
        </is>
      </c>
      <c r="D20">
        <f>Inputs!$B$18+0</f>
        <v/>
      </c>
      <c r="E20">
        <f>(Inputs!$B$18+1)+0</f>
        <v/>
      </c>
      <c r="F20">
        <f>Summary!$B$3</f>
        <v/>
      </c>
      <c r="G20">
        <f>B676</f>
        <v/>
      </c>
      <c r="H20">
        <f>Summary!$B$3*(((1-Summary!$B$11)*IFERROR(B674/Summary!$B$24,1)+Summary!$B$11*IFERROR(B675/Summary!$B$25,1))-1)</f>
        <v/>
      </c>
      <c r="I20">
        <f>((1-Summary!$B$11)*IFERROR(B674/Summary!$B$24,1)+Summary!$B$11*IFERROR(B675/Summary!$B$25,1))*100</f>
        <v/>
      </c>
    </row>
    <row r="21">
      <c r="A21" t="inlineStr">
        <is>
          <t>Skill Level Bonus — 1st Job</t>
        </is>
      </c>
      <c r="B21">
        <f>IFERROR(1/(I21-100),"n/a")</f>
        <v/>
      </c>
      <c r="C21" t="inlineStr">
        <is>
          <t>level</t>
        </is>
      </c>
      <c r="D21">
        <f>Inputs!$B$25+0</f>
        <v/>
      </c>
      <c r="E21">
        <f>(Inputs!$B$25+1)+0</f>
        <v/>
      </c>
      <c r="F21">
        <f>Summary!$B$3</f>
        <v/>
      </c>
      <c r="G21">
        <f>B714</f>
        <v/>
      </c>
      <c r="H21">
        <f>Summary!$B$3*(((1-Summary!$B$11)*IFERROR(B712/Summary!$B$24,1)+Summary!$B$11*IFERROR(B713/Summary!$B$25,1))-1)</f>
        <v/>
      </c>
      <c r="I21">
        <f>((1-Summary!$B$11)*IFERROR(B712/Summary!$B$24,1)+Summary!$B$11*IFERROR(B713/Summary!$B$25,1))*100</f>
        <v/>
      </c>
    </row>
    <row r="22">
      <c r="A22" t="inlineStr">
        <is>
          <t>Skill Level Bonus — 2nd Job</t>
        </is>
      </c>
      <c r="B22">
        <f>IFERROR(1/(I22-100),"n/a")</f>
        <v/>
      </c>
      <c r="C22" t="inlineStr">
        <is>
          <t>level</t>
        </is>
      </c>
      <c r="D22">
        <f>Inputs!$B$26+0</f>
        <v/>
      </c>
      <c r="E22">
        <f>(Inputs!$B$26+1)+0</f>
        <v/>
      </c>
      <c r="F22">
        <f>Summary!$B$3</f>
        <v/>
      </c>
      <c r="G22">
        <f>B752</f>
        <v/>
      </c>
      <c r="H22">
        <f>Summary!$B$3*(((1-Summary!$B$11)*IFERROR(B750/Summary!$B$24,1)+Summary!$B$11*IFERROR(B751/Summary!$B$25,1))-1)</f>
        <v/>
      </c>
      <c r="I22">
        <f>((1-Summary!$B$11)*IFERROR(B750/Summary!$B$24,1)+Summary!$B$11*IFERROR(B751/Summary!$B$25,1))*100</f>
        <v/>
      </c>
    </row>
    <row r="23">
      <c r="A23" t="inlineStr">
        <is>
          <t>Skill Level Bonus — 3rd Job</t>
        </is>
      </c>
      <c r="B23">
        <f>IFERROR(1/(I23-100),"n/a")</f>
        <v/>
      </c>
      <c r="C23" t="inlineStr">
        <is>
          <t>level</t>
        </is>
      </c>
      <c r="D23">
        <f>Inputs!$B$27+0</f>
        <v/>
      </c>
      <c r="E23">
        <f>(Inputs!$B$27+1)+0</f>
        <v/>
      </c>
      <c r="F23">
        <f>Summary!$B$3</f>
        <v/>
      </c>
      <c r="G23">
        <f>B790</f>
        <v/>
      </c>
      <c r="H23">
        <f>Summary!$B$3*(((1-Summary!$B$11)*IFERROR(B788/Summary!$B$24,1)+Summary!$B$11*IFERROR(B789/Summary!$B$25,1))-1)</f>
        <v/>
      </c>
      <c r="I23">
        <f>((1-Summary!$B$11)*IFERROR(B788/Summary!$B$24,1)+Summary!$B$11*IFERROR(B789/Summary!$B$25,1))*100</f>
        <v/>
      </c>
    </row>
    <row r="24">
      <c r="A24" t="inlineStr">
        <is>
          <t>Skill Level Bonus — 4th Job</t>
        </is>
      </c>
      <c r="B24">
        <f>IFERROR(1/(I24-100),"n/a")</f>
        <v/>
      </c>
      <c r="C24" t="inlineStr">
        <is>
          <t>level</t>
        </is>
      </c>
      <c r="D24">
        <f>Inputs!$B$28+0</f>
        <v/>
      </c>
      <c r="E24">
        <f>(Inputs!$B$28+1)+0</f>
        <v/>
      </c>
      <c r="F24">
        <f>Summary!$B$3</f>
        <v/>
      </c>
      <c r="G24">
        <f>B828</f>
        <v/>
      </c>
      <c r="H24">
        <f>Summary!$B$3*(((1-Summary!$B$11)*IFERROR(B826/Summary!$B$24,1)+Summary!$B$11*IFERROR(B827/Summary!$B$25,1))-1)</f>
        <v/>
      </c>
      <c r="I24">
        <f>((1-Summary!$B$11)*IFERROR(B826/Summary!$B$24,1)+Summary!$B$11*IFERROR(B827/Summary!$B$25,1))*100</f>
        <v/>
      </c>
    </row>
    <row r="25">
      <c r="A25" t="inlineStr">
        <is>
          <t>Skill Level Bonus — All Skills</t>
        </is>
      </c>
      <c r="B25">
        <f>IFERROR(1/(I25-100),"n/a")</f>
        <v/>
      </c>
      <c r="C25" t="inlineStr">
        <is>
          <t>level</t>
        </is>
      </c>
      <c r="D25">
        <f>Inputs!$B$29+0</f>
        <v/>
      </c>
      <c r="E25">
        <f>(Inputs!$B$29+1)+0</f>
        <v/>
      </c>
      <c r="F25">
        <f>Summary!$B$3</f>
        <v/>
      </c>
      <c r="G25">
        <f>B866</f>
        <v/>
      </c>
      <c r="H25">
        <f>Summary!$B$3*(((1-Summary!$B$11)*IFERROR(B864/Summary!$B$24,1)+Summary!$B$11*IFERROR(B865/Summary!$B$25,1))-1)</f>
        <v/>
      </c>
      <c r="I25">
        <f>((1-Summary!$B$11)*IFERROR(B864/Summary!$B$24,1)+Summary!$B$11*IFERROR(B865/Summary!$B$25,1))*100</f>
        <v/>
      </c>
    </row>
    <row r="26">
      <c r="A26" t="inlineStr">
        <is>
          <t>Flat ATTACK</t>
        </is>
      </c>
      <c r="B26">
        <f>IFERROR(1/(I26-100),"n/a")</f>
        <v/>
      </c>
      <c r="C26" t="inlineStr">
        <is>
          <t>flat</t>
        </is>
      </c>
      <c r="D26">
        <f>Inputs!$B$6+0</f>
        <v/>
      </c>
      <c r="E26">
        <f>(Inputs!$B$6+1)+0</f>
        <v/>
      </c>
      <c r="F26">
        <f>Summary!$B$3</f>
        <v/>
      </c>
      <c r="G26">
        <f>B904</f>
        <v/>
      </c>
      <c r="H26">
        <f>Summary!$B$3*(((1-Summary!$B$11)*IFERROR(B902/Summary!$B$24,1)+Summary!$B$11*IFERROR(B903/Summary!$B$25,1))-1)</f>
        <v/>
      </c>
      <c r="I26">
        <f>((1-Summary!$B$11)*IFERROR(B902/Summary!$B$24,1)+Summary!$B$11*IFERROR(B903/Summary!$B$25,1))*100</f>
        <v/>
      </c>
    </row>
    <row r="27">
      <c r="A27" t="inlineStr">
        <is>
          <t>ATTACK %</t>
        </is>
      </c>
      <c r="B27">
        <f>IFERROR(1/(I27-100),"n/a")</f>
        <v/>
      </c>
      <c r="C27" t="inlineStr">
        <is>
          <t>pct</t>
        </is>
      </c>
      <c r="D27">
        <f>Inputs!$B$7+0</f>
        <v/>
      </c>
      <c r="E27">
        <f>(Inputs!$B$7+1)+0</f>
        <v/>
      </c>
      <c r="F27">
        <f>Summary!$B$3</f>
        <v/>
      </c>
      <c r="G27">
        <f>B942</f>
        <v/>
      </c>
      <c r="H27">
        <f>Summary!$B$3*(((1-Summary!$B$11)*IFERROR(B940/Summary!$B$24,1)+Summary!$B$11*IFERROR(B941/Summary!$B$25,1))-1)</f>
        <v/>
      </c>
      <c r="I27">
        <f>((1-Summary!$B$11)*IFERROR(B940/Summary!$B$24,1)+Summary!$B$11*IFERROR(B941/Summary!$B$25,1))*100</f>
        <v/>
      </c>
    </row>
    <row r="28">
      <c r="A28" t="inlineStr">
        <is>
          <t>Skill Cooldown Decrease (seconds)</t>
        </is>
      </c>
      <c r="B28">
        <f>IFERROR(1/(I28-100),"n/a")</f>
        <v/>
      </c>
      <c r="C28" t="inlineStr">
        <is>
          <t>flat</t>
        </is>
      </c>
      <c r="D28">
        <f>Inputs!$B$32+0</f>
        <v/>
      </c>
      <c r="E28">
        <f>(Inputs!$B$32+1)+0</f>
        <v/>
      </c>
      <c r="F28">
        <f>Summary!$B$3</f>
        <v/>
      </c>
      <c r="G28">
        <f>B980</f>
        <v/>
      </c>
      <c r="H28">
        <f>Summary!$B$3*(((1-Summary!$B$11)*IFERROR(B978/Summary!$B$24,1)+Summary!$B$11*IFERROR(B979/Summary!$B$25,1))-1)</f>
        <v/>
      </c>
      <c r="I28">
        <f>((1-Summary!$B$11)*IFERROR(B978/Summary!$B$24,1)+Summary!$B$11*IFERROR(B979/Summary!$B$25,1))*100</f>
        <v/>
      </c>
    </row>
    <row r="29">
      <c r="A29" t="inlineStr">
        <is>
          <t>Basic Attack Target Increase (flat)</t>
        </is>
      </c>
      <c r="B29">
        <f>IFERROR(1/(I29-100),"n/a")</f>
        <v/>
      </c>
      <c r="C29" t="inlineStr">
        <is>
          <t>flat</t>
        </is>
      </c>
      <c r="D29">
        <f>Inputs!$B$33+0</f>
        <v/>
      </c>
      <c r="E29">
        <f>(Inputs!$B$33+1)+0</f>
        <v/>
      </c>
      <c r="F29">
        <f>Summary!$B$3</f>
        <v/>
      </c>
      <c r="G29">
        <f>B1018</f>
        <v/>
      </c>
      <c r="H29">
        <f>Summary!$B$3*(((1-Summary!$B$11)*IFERROR(B1016/Summary!$B$24,1)+Summary!$B$11*IFERROR(B1017/Summary!$B$25,1))-1)</f>
        <v/>
      </c>
      <c r="I29">
        <f>((1-Summary!$B$11)*IFERROR(B1016/Summary!$B$24,1)+Summary!$B$11*IFERROR(B1017/Summary!$B$25,1))*100</f>
        <v/>
      </c>
    </row>
    <row r="30">
      <c r="A30" t="inlineStr">
        <is>
          <t>Buff Duration Increase %</t>
        </is>
      </c>
      <c r="B30">
        <f>IFERROR(1/(I30-100),"n/a")</f>
        <v/>
      </c>
      <c r="C30" t="inlineStr">
        <is>
          <t>pct</t>
        </is>
      </c>
      <c r="D30">
        <f>Inputs!$B$34+0</f>
        <v/>
      </c>
      <c r="E30">
        <f>(Inputs!$B$34+1)+0</f>
        <v/>
      </c>
      <c r="F30">
        <f>Summary!$B$3</f>
        <v/>
      </c>
      <c r="G30">
        <f>B1056</f>
        <v/>
      </c>
      <c r="H30">
        <f>Summary!$B$3*(((1-Summary!$B$11)*IFERROR(B1054/Summary!$B$24,1)+Summary!$B$11*IFERROR(B1055/Summary!$B$25,1))-1)</f>
        <v/>
      </c>
      <c r="I30">
        <f>((1-Summary!$B$11)*IFERROR(B1054/Summary!$B$24,1)+Summary!$B$11*IFERROR(B1055/Summary!$B$25,1))*100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(IF(ArtifactsInput!$M$5,-1,1)*Summary!$B$3*(((1-Summary!$B$11)*IFERROR(B1092/Summary!$B$24,1)+Summary!$B$11*IFERROR(B1093/Summary!$B$25,1))-1)+ArtifactsInput!$L$5)</f>
        <v/>
      </c>
      <c r="AC33">
        <f>(Summary!$B$3+(IF(ArtifactsInput!$M$5,-1,1)*Summary!$B$3*(((1-Summary!$B$11)*IFERROR(B1092/Summary!$B$24,1)+Summary!$B$11*IFERROR(B1093/Summary!$B$25,1))-1)+ArtifactsInput!$L$5))/Summary!$B$3*100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(IF(ArtifactsInput!$M$6,-1,1)*Summary!$B$3*(((1-Summary!$B$11)*IFERROR(B1130/Summary!$B$24,1)+Summary!$B$11*IFERROR(B1131/Summary!$B$25,1))-1)+ArtifactsInput!$L$6)</f>
        <v/>
      </c>
      <c r="AC34">
        <f>(Summary!$B$3+(IF(ArtifactsInput!$M$6,-1,1)*Summary!$B$3*(((1-Summary!$B$11)*IFERROR(B1130/Summary!$B$24,1)+Summary!$B$11*IFERROR(B1131/Summary!$B$25,1))-1)+ArtifactsInput!$L$6))/Summary!$B$3*100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(IF(ArtifactsInput!$M$7,-1,1)*Summary!$B$3*(((1-Summary!$B$11)*IFERROR(B1168/Summary!$B$24,1)+Summary!$B$11*IFERROR(B1169/Summary!$B$25,1))-1)+ArtifactsInput!$L$7)</f>
        <v/>
      </c>
      <c r="AC35">
        <f>(Summary!$B$3+(IF(ArtifactsInput!$M$7,-1,1)*Summary!$B$3*(((1-Summary!$B$11)*IFERROR(B1168/Summary!$B$24,1)+Summary!$B$11*IFERROR(B1169/Summary!$B$25,1))-1)+ArtifactsInput!$L$7))/Summary!$B$3*100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(IF(ArtifactsInput!$M$8,-1,1)*Summary!$B$3*(((1-Summary!$B$11)*IFERROR(B1206/Summary!$B$24,1)+Summary!$B$11*IFERROR(B1207/Summary!$B$25,1))-1)+ArtifactsInput!$L$8)</f>
        <v/>
      </c>
      <c r="AC36">
        <f>(Summary!$B$3+(IF(ArtifactsInput!$M$8,-1,1)*Summary!$B$3*(((1-Summary!$B$11)*IFERROR(B1206/Summary!$B$24,1)+Summary!$B$11*IFERROR(B1207/Summary!$B$25,1))-1)+ArtifactsInput!$L$8))/Summary!$B$3*100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(IF(ArtifactsInput!$M$10,-1,1)*Summary!$B$3*(((1-Summary!$B$11)*IFERROR(B1244/Summary!$B$24,1)+Summary!$B$11*IFERROR(B1245/Summary!$B$25,1))-1)+ArtifactsInput!$L$10)</f>
        <v/>
      </c>
      <c r="AC37">
        <f>(Summary!$B$3+(IF(ArtifactsInput!$M$10,-1,1)*Summary!$B$3*(((1-Summary!$B$11)*IFERROR(B1244/Summary!$B$24,1)+Summary!$B$11*IFERROR(B1245/Summary!$B$25,1))-1)+ArtifactsInput!$L$10))/Summary!$B$3*100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(IF(ArtifactsInput!$M$11,-1,1)*Summary!$B$3*(((1-Summary!$B$11)*IFERROR(B1282/Summary!$B$24,1)+Summary!$B$11*IFERROR(B1283/Summary!$B$25,1))-1)+ArtifactsInput!$L$11)</f>
        <v/>
      </c>
      <c r="AC38">
        <f>(Summary!$B$3+(IF(ArtifactsInput!$M$11,-1,1)*Summary!$B$3*(((1-Summary!$B$11)*IFERROR(B1282/Summary!$B$24,1)+Summary!$B$11*IFERROR(B1283/Summary!$B$25,1))-1)+ArtifactsInput!$L$11))/Summary!$B$3*100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(IF(ArtifactsInput!$M$12,-1,1)*Summary!$B$3*(((1-Summary!$B$11)*IFERROR(B1320/Summary!$B$24,1)+Summary!$B$11*IFERROR(B1321/Summary!$B$25,1))-1)+ArtifactsInput!$L$12)</f>
        <v/>
      </c>
      <c r="AC39">
        <f>(Summary!$B$3+(IF(ArtifactsInput!$M$12,-1,1)*Summary!$B$3*(((1-Summary!$B$11)*IFERROR(B1320/Summary!$B$24,1)+Summary!$B$11*IFERROR(B1321/Summary!$B$25,1))-1)+ArtifactsInput!$L$12))/Summary!$B$3*100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(IF(ArtifactsInput!$M$13,-1,1)*Summary!$B$3*(((1-Summary!$B$11)*IFERROR(B1358/Summary!$B$24,1)+Summary!$B$11*IFERROR(B1359/Summary!$B$25,1))-1)+ArtifactsInput!$L$13)</f>
        <v/>
      </c>
      <c r="AC40">
        <f>(Summary!$B$3+(IF(ArtifactsInput!$M$13,-1,1)*Summary!$B$3*(((1-Summary!$B$11)*IFERROR(B1358/Summary!$B$24,1)+Summary!$B$11*IFERROR(B1359/Summary!$B$25,1))-1)+ArtifactsInput!$L$13))/Summary!$B$3*100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(IF(ArtifactsInput!$M$14,-1,1)*Summary!$B$3*(((1-Summary!$B$11)*IFERROR(B1396/Summary!$B$24,1)+Summary!$B$11*IFERROR(B1397/Summary!$B$25,1))-1)+ArtifactsInput!$L$14)</f>
        <v/>
      </c>
      <c r="AC41">
        <f>(Summary!$B$3+(IF(ArtifactsInput!$M$14,-1,1)*Summary!$B$3*(((1-Summary!$B$11)*IFERROR(B1396/Summary!$B$24,1)+Summary!$B$11*IFERROR(B1397/Summary!$B$25,1))-1)+ArtifactsInput!$L$14))/Summary!$B$3*100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(IF(ArtifactsInput!$M$15,-1,1)*Summary!$B$3*(((1-Summary!$B$11)*IFERROR(B1434/Summary!$B$24,1)+Summary!$B$11*IFERROR(B1435/Summary!$B$25,1))-1)+ArtifactsInput!$L$15)</f>
        <v/>
      </c>
      <c r="AC42">
        <f>(Summary!$B$3+(IF(ArtifactsInput!$M$15,-1,1)*Summary!$B$3*(((1-Summary!$B$11)*IFERROR(B1434/Summary!$B$24,1)+Summary!$B$11*IFERROR(B1435/Summary!$B$25,1))-1)+ArtifactsInput!$L$15))/Summary!$B$3*100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(IF(ArtifactsInput!$M$16,-1,1)*Summary!$B$3*(((1-Summary!$B$11)*IFERROR(B1472/Summary!$B$24,1)+Summary!$B$11*IFERROR(B1473/Summary!$B$25,1))-1)+ArtifactsInput!$L$16)</f>
        <v/>
      </c>
      <c r="AC43">
        <f>(Summary!$B$3+(IF(ArtifactsInput!$M$16,-1,1)*Summary!$B$3*(((1-Summary!$B$11)*IFERROR(B1472/Summary!$B$24,1)+Summary!$B$11*IFERROR(B1473/Summary!$B$25,1))-1)+ArtifactsInput!$L$16))/Summary!$B$3*100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(IF(ArtifactsInput!$M$17,-1,1)*Summary!$B$3*(((1-Summary!$B$11)*IFERROR(B1510/Summary!$B$24,1)+Summary!$B$11*IFERROR(B1511/Summary!$B$25,1))-1)+ArtifactsInput!$L$17)</f>
        <v/>
      </c>
      <c r="AC44">
        <f>(Summary!$B$3+(IF(ArtifactsInput!$M$17,-1,1)*Summary!$B$3*(((1-Summary!$B$11)*IFERROR(B1510/Summary!$B$24,1)+Summary!$B$11*IFERROR(B1511/Summary!$B$25,1))-1)+ArtifactsInput!$L$17))/Summary!$B$3*100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(IF(ArtifactsInput!$M$18,-1,1)*Summary!$B$3*(((1-Summary!$B$11)*IFERROR(B1548/Summary!$B$24,1)+Summary!$B$11*IFERROR(B1549/Summary!$B$25,1))-1)+ArtifactsInput!$L$18)</f>
        <v/>
      </c>
      <c r="AC45">
        <f>(Summary!$B$3+(IF(ArtifactsInput!$M$18,-1,1)*Summary!$B$3*(((1-Summary!$B$11)*IFERROR(B1548/Summary!$B$24,1)+Summary!$B$11*IFERROR(B1549/Summary!$B$25,1))-1)+ArtifactsInput!$L$18))/Summary!$B$3*100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(IF(ArtifactsInput!$M$20,-1,1)*Summary!$B$3*(((1-Summary!$B$11)*IFERROR(B1586/Summary!$B$24,1)+Summary!$B$11*IFERROR(B1587/Summary!$B$25,1))-1)+ArtifactsInput!$L$20)</f>
        <v/>
      </c>
      <c r="AC46">
        <f>(Summary!$B$3+(IF(ArtifactsInput!$M$20,-1,1)*Summary!$B$3*(((1-Summary!$B$11)*IFERROR(B1586/Summary!$B$24,1)+Summary!$B$11*IFERROR(B1587/Summary!$B$25,1))-1)+ArtifactsInput!$L$20))/Summary!$B$3*100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(IF(ArtifactsInput!$M$21,-1,1)*Summary!$B$3*(((1-Summary!$B$11)*IFERROR(B1624/Summary!$B$24,1)+Summary!$B$11*IFERROR(B1625/Summary!$B$25,1))-1)+ArtifactsInput!$L$21)</f>
        <v/>
      </c>
      <c r="AC47">
        <f>(Summary!$B$3+(IF(ArtifactsInput!$M$21,-1,1)*Summary!$B$3*(((1-Summary!$B$11)*IFERROR(B1624/Summary!$B$24,1)+Summary!$B$11*IFERROR(B1625/Summary!$B$25,1))-1)+ArtifactsInput!$L$21))/Summary!$B$3*100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(IF(ArtifactsInput!$M$22,-1,1)*Summary!$B$3*(((1-Summary!$B$11)*IFERROR(B1662/Summary!$B$24,1)+Summary!$B$11*IFERROR(B1663/Summary!$B$25,1))-1)+ArtifactsInput!$L$22)</f>
        <v/>
      </c>
      <c r="AC48">
        <f>(Summary!$B$3+(IF(ArtifactsInput!$M$22,-1,1)*Summary!$B$3*(((1-Summary!$B$11)*IFERROR(B1662/Summary!$B$24,1)+Summary!$B$11*IFERROR(B1663/Summary!$B$25,1))-1)+ArtifactsInput!$L$22))/Summary!$B$3*100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(IF(ArtifactsInput!$M$23,-1,1)*Summary!$B$3*(((1-Summary!$B$11)*IFERROR(B1700/Summary!$B$24,1)+Summary!$B$11*IFERROR(B1701/Summary!$B$25,1))-1)+ArtifactsInput!$L$23)</f>
        <v/>
      </c>
      <c r="AC49">
        <f>(Summary!$B$3+(IF(ArtifactsInput!$M$23,-1,1)*Summary!$B$3*(((1-Summary!$B$11)*IFERROR(B1700/Summary!$B$24,1)+Summary!$B$11*IFERROR(B1701/Summary!$B$25,1))-1)+ArtifactsInput!$L$23))/Summary!$B$3*100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(IF(ArtifactsInput!$M$24,-1,1)*Summary!$B$3*(((1-Summary!$B$11)*IFERROR(B1738/Summary!$B$24,1)+Summary!$B$11*IFERROR(B1739/Summary!$B$25,1))-1)+ArtifactsInput!$L$24)</f>
        <v/>
      </c>
      <c r="AC50">
        <f>(Summary!$B$3+(IF(ArtifactsInput!$M$24,-1,1)*Summary!$B$3*(((1-Summary!$B$11)*IFERROR(B1738/Summary!$B$24,1)+Summary!$B$11*IFERROR(B1739/Summary!$B$25,1))-1)+ArtifactsInput!$L$24))/Summary!$B$3*100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(IF(ArtifactsInput!$M$25,-1,1)*Summary!$B$3*(((1-Summary!$B$11)*IFERROR(B1776/Summary!$B$24,1)+Summary!$B$11*IFERROR(B1777/Summary!$B$25,1))-1)+ArtifactsInput!$L$25)</f>
        <v/>
      </c>
      <c r="AC51">
        <f>(Summary!$B$3+(IF(ArtifactsInput!$M$25,-1,1)*Summary!$B$3*(((1-Summary!$B$11)*IFERROR(B1776/Summary!$B$24,1)+Summary!$B$11*IFERROR(B1777/Summary!$B$25,1))-1)+ArtifactsInput!$L$25))/Summary!$B$3*100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(IF(ArtifactsInput!$M$26,-1,1)*Summary!$B$3*(((1-Summary!$B$11)*IFERROR(B1814/Summary!$B$24,1)+Summary!$B$11*IFERROR(B1815/Summary!$B$25,1))-1)+ArtifactsInput!$L$26)</f>
        <v/>
      </c>
      <c r="AC52">
        <f>(Summary!$B$3+(IF(ArtifactsInput!$M$26,-1,1)*Summary!$B$3*(((1-Summary!$B$11)*IFERROR(B1814/Summary!$B$24,1)+Summary!$B$11*IFERROR(B1815/Summary!$B$25,1))-1)+ArtifactsInput!$L$26))/Summary!$B$3*100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(IF(ArtifactsInput!$M$27,-1,1)*Summary!$B$3*(((1-Summary!$B$11)*IFERROR(B1852/Summary!$B$24,1)+Summary!$B$11*IFERROR(B1853/Summary!$B$25,1))-1)+ArtifactsInput!$L$27)</f>
        <v/>
      </c>
      <c r="AC53">
        <f>(Summary!$B$3+(IF(ArtifactsInput!$M$27,-1,1)*Summary!$B$3*(((1-Summary!$B$11)*IFERROR(B1852/Summary!$B$24,1)+Summary!$B$11*IFERROR(B1853/Summary!$B$25,1))-1)+ArtifactsInput!$L$27))/Summary!$B$3*100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(IF(ArtifactsInput!$M$28,-1,1)*Summary!$B$3*(((1-Summary!$B$11)*IFERROR(B1890/Summary!$B$24,1)+Summary!$B$11*IFERROR(B1891/Summary!$B$25,1))-1)+ArtifactsInput!$L$28)</f>
        <v/>
      </c>
      <c r="AC54">
        <f>(Summary!$B$3+(IF(ArtifactsInput!$M$28,-1,1)*Summary!$B$3*(((1-Summary!$B$11)*IFERROR(B1890/Summary!$B$24,1)+Summary!$B$11*IFERROR(B1891/Summary!$B$25,1))-1)+ArtifactsInput!$L$28))/Summary!$B$3*100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(IF(ArtifactsInput!$M$29,-1,1)*Summary!$B$3*(((1-Summary!$B$11)*IFERROR(B1928/Summary!$B$24,1)+Summary!$B$11*IFERROR(B1929/Summary!$B$25,1))-1)+ArtifactsInput!$L$29)</f>
        <v/>
      </c>
      <c r="AC55">
        <f>(Summary!$B$3+(IF(ArtifactsInput!$M$29,-1,1)*Summary!$B$3*(((1-Summary!$B$11)*IFERROR(B1928/Summary!$B$24,1)+Summary!$B$11*IFERROR(B1929/Summary!$B$25,1))-1)+ArtifactsInput!$L$29))/Summary!$B$3*100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(IF(ArtifactsInput!$M$30,-1,1)*Summary!$B$3*(((1-Summary!$B$11)*IFERROR(B1966/Summary!$B$24,1)+Summary!$B$11*IFERROR(B1967/Summary!$B$25,1))-1)+ArtifactsInput!$L$30)</f>
        <v/>
      </c>
      <c r="AC56">
        <f>(Summary!$B$3+(IF(ArtifactsInput!$M$30,-1,1)*Summary!$B$3*(((1-Summary!$B$11)*IFERROR(B1966/Summary!$B$24,1)+Summary!$B$11*IFERROR(B1967/Summary!$B$25,1))-1)+ArtifactsInput!$L$30))/Summary!$B$3*100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(IF(ArtifactsInput!$M$31,-1,1)*Summary!$B$3*(((1-Summary!$B$11)*IFERROR(B2004/Summary!$B$24,1)+Summary!$B$11*IFERROR(B2005/Summary!$B$25,1))-1)+ArtifactsInput!$L$31)</f>
        <v/>
      </c>
      <c r="AC57">
        <f>(Summary!$B$3+(IF(ArtifactsInput!$M$31,-1,1)*Summary!$B$3*(((1-Summary!$B$11)*IFERROR(B2004/Summary!$B$24,1)+Summary!$B$11*IFERROR(B2005/Summary!$B$25,1))-1)+ArtifactsInput!$L$31))/Summary!$B$3*100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(IF(ArtifactsInput!$M$32,-1,1)*Summary!$B$3*(((1-Summary!$B$11)*IFERROR(B2042/Summary!$B$24,1)+Summary!$B$11*IFERROR(B2043/Summary!$B$25,1))-1)+ArtifactsInput!$L$32)</f>
        <v/>
      </c>
      <c r="AC58">
        <f>(Summary!$B$3+(IF(ArtifactsInput!$M$32,-1,1)*Summary!$B$3*(((1-Summary!$B$11)*IFERROR(B2042/Summary!$B$24,1)+Summary!$B$11*IFERROR(B2043/Summary!$B$25,1))-1)+ArtifactsInput!$L$32))/Summary!$B$3*100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(IF(ArtifactsInput!$M$33,-1,1)*Summary!$B$3*(((1-Summary!$B$11)*IFERROR(B2080/Summary!$B$24,1)+Summary!$B$11*IFERROR(B2081/Summary!$B$25,1))-1)+ArtifactsInput!$L$33)</f>
        <v/>
      </c>
      <c r="AC59">
        <f>(Summary!$B$3+(IF(ArtifactsInput!$M$33,-1,1)*Summary!$B$3*(((1-Summary!$B$11)*IFERROR(B2080/Summary!$B$24,1)+Summary!$B$11*IFERROR(B2081/Summary!$B$25,1))-1)+ArtifactsInput!$L$33))/Summary!$B$3*100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(IF(ArtifactsInput!$M$34,-1,1)*Summary!$B$3*(((1-Summary!$B$11)*IFERROR(B2118/Summary!$B$24,1)+Summary!$B$11*IFERROR(B2119/Summary!$B$25,1))-1)+ArtifactsInput!$L$34)</f>
        <v/>
      </c>
      <c r="AC60">
        <f>(Summary!$B$3+(IF(ArtifactsInput!$M$34,-1,1)*Summary!$B$3*(((1-Summary!$B$11)*IFERROR(B2118/Summary!$B$24,1)+Summary!$B$11*IFERROR(B2119/Summary!$B$25,1))-1)+ArtifactsInput!$L$34))/Summary!$B$3*100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(IF(ArtifactsInput!$M$35,-1,1)*Summary!$B$3*(((1-Summary!$B$11)*IFERROR(B2156/Summary!$B$24,1)+Summary!$B$11*IFERROR(B2157/Summary!$B$25,1))-1)+ArtifactsInput!$L$35)</f>
        <v/>
      </c>
      <c r="AC61">
        <f>(Summary!$B$3+(IF(ArtifactsInput!$M$35,-1,1)*Summary!$B$3*(((1-Summary!$B$11)*IFERROR(B2156/Summary!$B$24,1)+Summary!$B$11*IFERROR(B2157/Summary!$B$25,1))-1)+ArtifactsInput!$L$35))/Summary!$B$3*100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(IF(ArtifactsInput!$M$36,-1,1)*Summary!$B$3*(((1-Summary!$B$11)*IFERROR(B2194/Summary!$B$24,1)+Summary!$B$11*IFERROR(B2195/Summary!$B$25,1))-1)+ArtifactsInput!$L$36)</f>
        <v/>
      </c>
      <c r="AC62">
        <f>(Summary!$B$3+(IF(ArtifactsInput!$M$36,-1,1)*Summary!$B$3*(((1-Summary!$B$11)*IFERROR(B2194/Summary!$B$24,1)+Summary!$B$11*IFERROR(B2195/Summary!$B$25,1))-1)+ArtifactsInput!$L$36))/Summary!$B$3*100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(IF(ArtifactsInput!$M$37,-1,1)*Summary!$B$3*(((1-Summary!$B$11)*IFERROR(B2232/Summary!$B$24,1)+Summary!$B$11*IFERROR(B2233/Summary!$B$25,1))-1)+ArtifactsInput!$L$37)</f>
        <v/>
      </c>
      <c r="AC63">
        <f>(Summary!$B$3+(IF(ArtifactsInput!$M$37,-1,1)*Summary!$B$3*(((1-Summary!$B$11)*IFERROR(B2232/Summary!$B$24,1)+Summary!$B$11*IFERROR(B2233/Summary!$B$25,1))-1)+ArtifactsInput!$L$37))/Summary!$B$3*100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(IF(ArtifactsInput!$M$38,-1,1)*Summary!$B$3*(((1-Summary!$B$11)*IFERROR(B2270/Summary!$B$24,1)+Summary!$B$11*IFERROR(B2271/Summary!$B$25,1))-1)+ArtifactsInput!$L$38)</f>
        <v/>
      </c>
      <c r="AC64">
        <f>(Summary!$B$3+(IF(ArtifactsInput!$M$38,-1,1)*Summary!$B$3*(((1-Summary!$B$11)*IFERROR(B2270/Summary!$B$24,1)+Summary!$B$11*IFERROR(B2271/Summary!$B$25,1))-1)+ArtifactsInput!$L$38))/Summary!$B$3*100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(IF(ArtifactsInput!$M$39,-1,1)*Summary!$B$3*(((1-Summary!$B$11)*IFERROR(B2308/Summary!$B$24,1)+Summary!$B$11*IFERROR(B2309/Summary!$B$25,1))-1)+ArtifactsInput!$L$39)</f>
        <v/>
      </c>
      <c r="AC65">
        <f>(Summary!$B$3+(IF(ArtifactsInput!$M$39,-1,1)*Summary!$B$3*(((1-Summary!$B$11)*IFERROR(B2308/Summary!$B$24,1)+Summary!$B$11*IFERROR(B2309/Summary!$B$25,1))-1)+ArtifactsInput!$L$39))/Summary!$B$3*100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(IF(ArtifactsInput!$M$40,-1,1)*Summary!$B$3*(((1-Summary!$B$11)*IFERROR(B2346/Summary!$B$24,1)+Summary!$B$11*IFERROR(B2347/Summary!$B$25,1))-1)+ArtifactsInput!$L$40)</f>
        <v/>
      </c>
      <c r="AC66">
        <f>(Summary!$B$3+(IF(ArtifactsInput!$M$40,-1,1)*Summary!$B$3*(((1-Summary!$B$11)*IFERROR(B2346/Summary!$B$24,1)+Summary!$B$11*IFERROR(B2347/Summary!$B$25,1))-1)+ArtifactsInput!$L$40))/Summary!$B$3*100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(IF(ArtifactsInput!$M$41,-1,1)*Summary!$B$3*(((1-Summary!$B$11)*IFERROR(B2384/Summary!$B$24,1)+Summary!$B$11*IFERROR(B2385/Summary!$B$25,1))-1)+ArtifactsInput!$L$41)</f>
        <v/>
      </c>
      <c r="AC67">
        <f>(Summary!$B$3+(IF(ArtifactsInput!$M$41,-1,1)*Summary!$B$3*(((1-Summary!$B$11)*IFERROR(B2384/Summary!$B$24,1)+Summary!$B$11*IFERROR(B2385/Summary!$B$25,1))-1)+ArtifactsInput!$L$41))/Summary!$B$3*100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(IF(ArtifactsInput!$M$42,-1,1)*Summary!$B$3*(((1-Summary!$B$11)*IFERROR(B2422/Summary!$B$24,1)+Summary!$B$11*IFERROR(B2423/Summary!$B$25,1))-1)+ArtifactsInput!$L$42)</f>
        <v/>
      </c>
      <c r="AC68">
        <f>(Summary!$B$3+(IF(ArtifactsInput!$M$42,-1,1)*Summary!$B$3*(((1-Summary!$B$11)*IFERROR(B2422/Summary!$B$24,1)+Summary!$B$11*IFERROR(B2423/Summary!$B$25,1))-1)+ArtifactsInput!$L$42))/Summary!$B$3*100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IF(B106=0,0,O73/B106)</f>
        <v/>
      </c>
      <c r="Q73" t="n">
        <v>0</v>
      </c>
      <c r="R73" t="n">
        <v>0</v>
      </c>
      <c r="S73">
        <f>IFERROR(O73/N73,0)</f>
        <v/>
      </c>
      <c r="T73">
        <f>IF(C73,(Skills!G2*N73*B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IF(C73,(Skills!G2*N73*B100)*IF(Inputs!$B$38="pvp",1,(1+(Inputs!$B$21+Skills!Q2+(IF(ArtifactsInput!$M$33,CHOOSE(ArtifactsInput!$N$33+1,30,36,42,48,54,60),0))+(IF(AND(ArtifactsInput!$M$35,Inputs!$B$4&lt;&gt;"Chapter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IF(B106=0,0,O74/B106)</f>
        <v/>
      </c>
      <c r="Q74" t="n">
        <v>0</v>
      </c>
      <c r="R74" t="n">
        <v>0</v>
      </c>
      <c r="S74">
        <f>IFERROR(O74/N74,0)</f>
        <v/>
      </c>
      <c r="T74">
        <f>IF(C74,(Skills!G3*H74*N74*B100)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IF(C74,(Skills!G3*H74*N74*B100)*IF(Inputs!$B$38="pvp",1,(1+(Inputs!$B$21+Skills!Q3+(IF(ArtifactsInput!$M$33,CHOOSE(ArtifactsInput!$N$33+1,30,36,42,48,54,60),0))+(IF(AND(ArtifactsInput!$M$35,Inputs!$B$4&lt;&gt;"Chapter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IF(B106=0,0,O75/B106)</f>
        <v/>
      </c>
      <c r="Q75" t="n">
        <v>0</v>
      </c>
      <c r="R75" t="n">
        <v>0</v>
      </c>
      <c r="S75">
        <f>IFERROR(O75/N75,0)</f>
        <v/>
      </c>
      <c r="T75">
        <f>IF(C75,(Skills!G4*H75*N75*B100)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IF(C75,(Skills!G4*H75*N75*B100)*IF(Inputs!$B$38="pvp",1,(1+(Inputs!$B$21+Skills!Q4+(IF(ArtifactsInput!$M$33,CHOOSE(ArtifactsInput!$N$33+1,30,36,42,48,54,60),0))+(IF(AND(ArtifactsInput!$M$35,Inputs!$B$4&lt;&gt;"Chapter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IF(B106=0,0,O76/B106)</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IF(B106=0,0,O77/B106)</f>
        <v/>
      </c>
      <c r="Q77">
        <f>IFERROR(1/(IF(Inputs!$B$38="pvp",15,MAX(0.1,Skills!D6-IF(Skills!E6=TRUE,Inputs!$B$32,0)))*(1-IF(AND(ArtifactsInput!$M$27,Inputs!$B$4="Chapter Hunt"),CHOOSE(ArtifactsInput!$N$27+1,20,24,28,32,36,40),0)/100)),0)</f>
        <v/>
      </c>
      <c r="R77">
        <f>IF(AND(Inputs!$B$38&lt;&gt;"pvp",Inputs!$B$43&gt;0),IF(MAX(0,Inputs!$B$43-B103)&lt;=0,0,(INT(MAX(0,Inputs!$B$43-B103)/(IF(Inputs!$B$38="pvp",15,MAX(0.1,Skills!D6-IF(Skills!E6=TRUE,Inputs!$B$32,0)))*(1-IF(AND(ArtifactsInput!$M$27,Inputs!$B$4="Chapter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IF(B106=0,0,O78/B106)</f>
        <v/>
      </c>
      <c r="Q78">
        <f>IFERROR(1/(IF(Inputs!$B$38="pvp",15,MAX(0.1,Skills!D7-IF(Skills!E7=TRUE,Inputs!$B$32,0)))*(1-IF(AND(ArtifactsInput!$M$27,Inputs!$B$4="Chapter Hunt"),CHOOSE(ArtifactsInput!$N$27+1,20,24,28,32,36,40),0)/100)),0)</f>
        <v/>
      </c>
      <c r="R78">
        <f>IF(AND(Inputs!$B$38&lt;&gt;"pvp",Inputs!$B$43&gt;0),IF(MAX(0,Inputs!$B$43-B103)&lt;=0,0,(INT(MAX(0,Inputs!$B$43-B103)/(IF(Inputs!$B$38="pvp",15,MAX(0.1,Skills!D7-IF(Skills!E7=TRUE,Inputs!$B$32,0)))*(1-IF(AND(ArtifactsInput!$M$27,Inputs!$B$4="Chapter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IF(B106=0,0,O79/B106)</f>
        <v/>
      </c>
      <c r="Q79">
        <f>IFERROR(1/(IF(Inputs!$B$38="pvp",15,MAX(0.1,Skills!D8-IF(Skills!E8=TRUE,Inputs!$B$32,0)))*(1-IF(AND(ArtifactsInput!$M$27,Inputs!$B$4="Chapter Hunt"),CHOOSE(ArtifactsInput!$N$27+1,20,24,28,32,36,40),0)/100)),0)</f>
        <v/>
      </c>
      <c r="R79">
        <f>IF(AND(Inputs!$B$38&lt;&gt;"pvp",Inputs!$B$43&gt;0),IF(MAX(0,Inputs!$B$43-B103)&lt;=0,0,(INT(MAX(0,Inputs!$B$43-B103)/(IF(Inputs!$B$38="pvp",15,MAX(0.1,Skills!D8-IF(Skills!E8=TRUE,Inputs!$B$32,0)))*(1-IF(AND(ArtifactsInput!$M$27,Inputs!$B$4="Chapter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IF(B106=0,0,O80/B106)</f>
        <v/>
      </c>
      <c r="Q80">
        <f>IFERROR(1/(IF(Inputs!$B$38="pvp",15,MAX(0.1,Skills!D9-IF(Skills!E9=TRUE,Inputs!$B$32,0)))*(1-IF(AND(ArtifactsInput!$M$27,Inputs!$B$4="Chapter Hunt"),CHOOSE(ArtifactsInput!$N$27+1,20,24,28,32,36,40),0)/100)),0)</f>
        <v/>
      </c>
      <c r="R80">
        <f>IF(AND(Inputs!$B$38&lt;&gt;"pvp",Inputs!$B$43&gt;0),IF(MAX(0,Inputs!$B$43-B103)&lt;=0,0,(INT(MAX(0,Inputs!$B$43-B103)/(IF(Inputs!$B$38="pvp",15,MAX(0.1,Skills!D9-IF(Skills!E9=TRUE,Inputs!$B$32,0)))*(1-IF(AND(ArtifactsInput!$M$27,Inputs!$B$4="Chapter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IF(B106=0,0,O81/B106)</f>
        <v/>
      </c>
      <c r="Q81">
        <f>IFERROR(1/(IF(Inputs!$B$38="pvp",15,MAX(0.1,Skills!D10-IF(Skills!E10=TRUE,Inputs!$B$32,0)))*(1-IF(AND(ArtifactsInput!$M$27,Inputs!$B$4="Chapter Hunt"),CHOOSE(ArtifactsInput!$N$27+1,20,24,28,32,36,40),0)/100)),0)</f>
        <v/>
      </c>
      <c r="R81">
        <f>IF(AND(Inputs!$B$38&lt;&gt;"pvp",Inputs!$B$43&gt;0),IF(MAX(0,Inputs!$B$43-B103)&lt;=0,0,(INT(MAX(0,Inputs!$B$43-B103)/(IF(Inputs!$B$38="pvp",15,MAX(0.1,Skills!D10-IF(Skills!E10=TRUE,Inputs!$B$32,0)))*(1-IF(AND(ArtifactsInput!$M$27,Inputs!$B$4="Chapter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IF(B106=0,0,O82/B106)</f>
        <v/>
      </c>
      <c r="Q82">
        <f>IFERROR(1/(IF(Inputs!$B$38="pvp",15,MAX(0.1,Skills!D11-IF(Skills!E11=TRUE,Inputs!$B$32,0)))*(1-IF(AND(ArtifactsInput!$M$27,Inputs!$B$4="Chapter Hunt"),CHOOSE(ArtifactsInput!$N$27+1,20,24,28,32,36,40),0)/100)),0)</f>
        <v/>
      </c>
      <c r="R82">
        <f>IF(AND(Inputs!$B$38&lt;&gt;"pvp",Inputs!$B$43&gt;0),IF(MAX(0,Inputs!$B$43-B103)&lt;=0,0,(INT(MAX(0,Inputs!$B$43-B103)/(IF(Inputs!$B$38="pvp",15,MAX(0.1,Skills!D11-IF(Skills!E11=TRUE,Inputs!$B$32,0)))*(1-IF(AND(ArtifactsInput!$M$27,Inputs!$B$4="Chapter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IF(B106=0,0,O84/B106)</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IF(B106=0,0,O85/B106)</f>
        <v/>
      </c>
      <c r="Q85" t="n">
        <v>0</v>
      </c>
      <c r="R85" t="n">
        <v>0</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IF(B106=0,0,O86/B106)</f>
        <v/>
      </c>
      <c r="Q86" t="n">
        <v>0</v>
      </c>
      <c r="R86" t="n">
        <v>0</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IF(B106=0,0,O87/B106)</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IF(B106=0,0,O88/B106)</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IF(B106=0,0,O89/B106)</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IF(B106=0,0,O90/B106)</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IF(B106=0,0,O91/B106)</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IF(B106=0,0,O92/B106)</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IF(B106=0,0,O93/B106)</f>
        <v/>
      </c>
      <c r="Q93" t="n">
        <v>0</v>
      </c>
      <c r="R93" t="n">
        <v>0</v>
      </c>
      <c r="S93">
        <f>IFERROR(O93/N93,0)</f>
        <v/>
      </c>
      <c r="T93" t="n">
        <v>0</v>
      </c>
      <c r="V93" t="n">
        <v>0</v>
      </c>
    </row>
    <row r="95">
      <c r="A95" t="inlineStr">
        <is>
          <t>Attack% Bucket Multiplier</t>
        </is>
      </c>
      <c r="B95">
        <f>(1+(((C84=TRUE)*F84)+((C90=TRUE)*(F90-Calc!F19))+(IF(ArtifactsInput!$M$21,CHOOSE(ArtifactsInput!$N$21+1,25,30,35,40,45,50)*(IF(OR(Inputs!$B$4="Chapter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
      <c r="A96" t="inlineStr">
        <is>
          <t>Global Crit Rate Bonus %</t>
        </is>
      </c>
      <c r="B96" t="n">
        <v>0</v>
      </c>
    </row>
    <row r="97">
      <c r="A97" t="inlineStr">
        <is>
          <t>Attack Speed Buff Bonus % (unused)</t>
        </is>
      </c>
      <c r="B97" t="n">
        <v>0</v>
      </c>
    </row>
    <row r="98">
      <c r="A98" t="inlineStr">
        <is>
          <t>Actions Per Second</t>
        </is>
      </c>
      <c r="B98">
        <f>1+MIN(150,150*(1-(1-(Inputs!$B$11+((C88=TRUE)*(F88-Calc!F17))+((C89=TRUE)*(F89-Calc!F18)))/150)*(1-B97/150)))/100</f>
        <v/>
      </c>
    </row>
    <row r="99">
      <c r="A99" t="inlineStr">
        <is>
          <t>Skill + Buff Cast Rate</t>
        </is>
      </c>
      <c r="B99">
        <f>IF(AND(Inputs!$B$38&lt;&gt;"pvp",Inputs!$B$43&gt;0),SUMPRODUCT((Skills!E2:E22=TRUE)*(C73:C93=TRUE)*R73:R93*Skills!F2:F22)/Inputs!$B$43,SUMPRODUCT((Skills!E2:E22=TRUE)*(C73:C93=TRUE)*Q73:Q93*Skills!F2:F22))</f>
        <v/>
      </c>
    </row>
    <row r="100">
      <c r="A100" t="inlineStr">
        <is>
          <t>Hook Bomber Casts Per Second</t>
        </is>
      </c>
      <c r="B100">
        <f>MAX(0,B98-B99)</f>
        <v/>
      </c>
    </row>
    <row r="101">
      <c r="A101" t="inlineStr">
        <is>
          <t>Global Critical Damage Bonus % (unused)</t>
        </is>
      </c>
      <c r="B101" t="n">
        <v>0</v>
      </c>
    </row>
    <row r="102">
      <c r="A102" t="inlineStr">
        <is>
          <t>Global Final Damage Bonus % (Serpent Scale + Crossbones + Time Leap + Speed Infusion)</t>
        </is>
      </c>
      <c r="B102">
        <f>((C76=TRUE)*F76*((10+IF(Inputs!$B$3&gt;=94,5,0))/((10+IF(Inputs!$B$3&gt;=94,5,0))+5/(B100*(1+IF(Inputs!$B$3&gt;=104,1,0))))))+((C85=TRUE)*F85)+((C86=TRUE)*F86)+((Inputs!$B$3&gt;=110)*20*(B98-1))</f>
        <v/>
      </c>
    </row>
    <row r="103">
      <c r="A103" t="inlineStr">
        <is>
          <t>Buff-Casting Startup Delay (s, fixed-duration only)</t>
        </is>
      </c>
      <c r="B103">
        <f>IF(AND(Inputs!$B$38&lt;&gt;"pvp",Inputs!$B$43&gt;0),SUMPRODUCT((Skills!T2:T22&gt;0)*(Skills!E2:E22=TRUE)*(C73:C93=TRUE))/B98,0)</f>
        <v/>
      </c>
    </row>
    <row r="104">
      <c r="A104" t="inlineStr">
        <is>
          <t>Boss-Only Total DPS (this block's swept value)</t>
        </is>
      </c>
      <c r="B104">
        <f>SUM(T73:T93)</f>
        <v/>
      </c>
    </row>
    <row r="105">
      <c r="A105" t="inlineStr">
        <is>
          <t>Normal-Only Total DPS (this block's swept value)</t>
        </is>
      </c>
      <c r="B105">
        <f>SUM(V73:V93)</f>
        <v/>
      </c>
    </row>
    <row r="106">
      <c r="A106" s="6" t="inlineStr">
        <is>
          <t>TOTAL DPS</t>
        </is>
      </c>
      <c r="B106" s="6">
        <f>SUM(O73:O93)</f>
        <v/>
      </c>
    </row>
    <row r="109">
      <c r="A109" s="6" t="inlineStr">
        <is>
          <t>Stat: STR %</t>
        </is>
      </c>
    </row>
    <row r="110">
      <c r="A110" s="5" t="inlineStr">
        <is>
          <t>Key</t>
        </is>
      </c>
      <c r="B110" s="5" t="inlineStr">
        <is>
          <t>Name</t>
        </is>
      </c>
      <c r="C110" s="5" t="inlineStr">
        <is>
          <t>Unlocked</t>
        </is>
      </c>
      <c r="D110" s="5" t="inlineStr">
        <is>
          <t>InputLevel</t>
        </is>
      </c>
      <c r="E110" s="5" t="inlineStr">
        <is>
          <t>Factor</t>
        </is>
      </c>
      <c r="F110" s="5" t="inlineStr">
        <is>
          <t>CoefficientPercent</t>
        </is>
      </c>
      <c r="G110" s="5" t="inlineStr">
        <is>
          <t>EffectiveHits</t>
        </is>
      </c>
      <c r="H110" s="5" t="inlineStr">
        <is>
          <t>ProcProbability</t>
        </is>
      </c>
      <c r="I110" s="5" t="inlineStr">
        <is>
          <t>MapleHeroMultiplier</t>
        </is>
      </c>
      <c r="J110" s="5" t="inlineStr">
        <is>
          <t>BaseDamage</t>
        </is>
      </c>
      <c r="K110" s="5" t="inlineStr">
        <is>
          <t>BaseHitDamage</t>
        </is>
      </c>
      <c r="L110" s="5" t="inlineStr">
        <is>
          <t>NonCritAvg</t>
        </is>
      </c>
      <c r="M110" s="5" t="inlineStr">
        <is>
          <t>CritAvg</t>
        </is>
      </c>
      <c r="N110" s="5" t="inlineStr">
        <is>
          <t>ExpectedDamage(perHit)</t>
        </is>
      </c>
      <c r="O110" s="5" t="inlineStr">
        <is>
          <t>DPS</t>
        </is>
      </c>
      <c r="P110" s="5" t="inlineStr">
        <is>
          <t>% of Total</t>
        </is>
      </c>
      <c r="Q110" s="5" t="inlineStr">
        <is>
          <t>InvCooldown</t>
        </is>
      </c>
      <c r="R110" s="5" t="inlineStr">
        <is>
          <t>CastsInFight</t>
        </is>
      </c>
      <c r="S110" s="5"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((Inputs!$B$6*(1+Inputs!$B$7/100))+(((Inputs!$B$12*(1+(Inputs!$B$13+1)/100))-(Inputs!$B$12*(1+Inputs!$B$13/100)))+0.25*(Inputs!$B$14-Inputs!$B$14))*(1+Inputs!$B$7/100))*(F111/100)</f>
        <v/>
      </c>
      <c r="K111">
        <f>J111*(1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f>
        <v/>
      </c>
      <c r="L111">
        <f>K111*(MIN(Inputs!$B$22+((C129=TRUE)*(F129-Calc!F20)),(Inputs!$B$23+0+(IF(ArtifactsInput!$M$15,CHOOSE(ArtifactsInput!$N$15+1,25,30,35,40,45,50)/100*(Inputs!$B$11-Inputs!$B$11),0))))/100+(Inputs!$B$23+0+(IF(ArtifactsInput!$M$15,CHOOSE(ArtifactsInput!$N$15+1,25,30,35,40,45,50)/100*(Inputs!$B$11-Inputs!$B$11),0)))/100)/2</f>
        <v/>
      </c>
      <c r="M111">
        <f>L111*(1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
        <f>L111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
        <f>(1-Summary!$B$11)*T111+Summary!$B$11*V111</f>
        <v/>
      </c>
      <c r="P111">
        <f>IF(B144=0,0,O111/B144)</f>
        <v/>
      </c>
      <c r="Q111" t="n">
        <v>0</v>
      </c>
      <c r="R111" t="n">
        <v>0</v>
      </c>
      <c r="S111">
        <f>IFERROR(O111/N111,0)</f>
        <v/>
      </c>
      <c r="T111">
        <f>IF(C111,(Skills!G2*N111*B138)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
        <f>MAX(0,(Inputs!$B$3-100)*3)+Inputs!$B$28+Inputs!$B$29</f>
        <v/>
      </c>
      <c r="V111">
        <f>IF(C111,(Skills!G2*N111*B138)*IF(Inputs!$B$38="pvp",1,(1+(Inputs!$B$21+Skills!Q2+(IF(ArtifactsInput!$M$33,CHOOSE(ArtifactsInput!$N$33+1,30,36,42,48,54,60),0))+(IF(AND(ArtifactsInput!$M$35,Inputs!$B$4&lt;&gt;"Chapter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
      <c r="A112">
        <f>Skills!A3</f>
        <v/>
      </c>
      <c r="B112">
        <f>Skills!B3</f>
        <v/>
      </c>
      <c r="C112">
        <f>Inputs!$B$3&gt;=35</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f>Skills!G3*IF(Skills!H3&gt;0,Skills!I3/Skills!H3,1)</f>
        <v/>
      </c>
      <c r="H112">
        <f>1-(1-Skills!J3/100)^Skills!K3</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129=TRUE)*(F129-Calc!F20)),(Inputs!$B$23+0+(IF(ArtifactsInput!$M$15,CHOOSE(ArtifactsInput!$N$15+1,25,30,35,40,45,50)/100*(Inputs!$B$11-Inputs!$B$11),0))))/100+(Inputs!$B$23+0+(IF(ArtifactsInput!$M$15,CHOOSE(ArtifactsInput!$N$15+1,25,30,35,40,45,50)/100*(Inputs!$B$11-Inputs!$B$11),0)))/100)/2</f>
        <v/>
      </c>
      <c r="M112">
        <f>L112*(1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IF(B144=0,0,O112/B144)</f>
        <v/>
      </c>
      <c r="Q112" t="n">
        <v>0</v>
      </c>
      <c r="R112" t="n">
        <v>0</v>
      </c>
      <c r="S112">
        <f>IFERROR(O112/N112,0)</f>
        <v/>
      </c>
      <c r="T112">
        <f>IF(C112,(Skills!G3*H112*N112*B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INDEX(FactorTable!$B$2:$Y$301, MATCH(ROUND(MIN(300,MAX(1,U111)),0), FactorTable!$A$2:$A$301,0), 22)</f>
        <v/>
      </c>
      <c r="V112">
        <f>IF(C112,(Skills!G3*H112*N112*B138)*IF(Inputs!$B$38="pvp",1,(1+(Inputs!$B$21+Skills!Q3+(IF(ArtifactsInput!$M$33,CHOOSE(ArtifactsInput!$N$33+1,30,36,42,48,54,60),0))+(IF(AND(ArtifactsInput!$M$35,Inputs!$B$4&lt;&gt;"Chapter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Skills!A4</f>
        <v/>
      </c>
      <c r="B113">
        <f>Skills!B4</f>
        <v/>
      </c>
      <c r="C113">
        <f>Inputs!$B$3&gt;=60</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TRUE,F121,0)/100)*(1+(IF(Skills!A4="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129=TRUE)*(F129-Calc!F20)),(Inputs!$B$23+0+(IF(ArtifactsInput!$M$15,CHOOSE(ArtifactsInput!$N$15+1,25,30,35,40,45,50)/100*(Inputs!$B$11-Inputs!$B$11),0))))/100+(Inputs!$B$23+0+(IF(ArtifactsInput!$M$15,CHOOSE(ArtifactsInput!$N$15+1,25,30,35,40,45,50)/100*(Inputs!$B$11-Inputs!$B$11),0)))/100)/2</f>
        <v/>
      </c>
      <c r="M113">
        <f>L113*(1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IF(B144=0,0,O113/B144)</f>
        <v/>
      </c>
      <c r="Q113" t="n">
        <v>0</v>
      </c>
      <c r="R113" t="n">
        <v>0</v>
      </c>
      <c r="S113">
        <f>IFERROR(O113/N113,0)</f>
        <v/>
      </c>
      <c r="T113">
        <f>IF(C113,(Skills!G4*H113*N113*B138)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290*U112/1000</f>
        <v/>
      </c>
      <c r="V113">
        <f>IF(C113,(Skills!G4*H113*N113*B138)*IF(Inputs!$B$38="pvp",1,(1+(Inputs!$B$21+Skills!Q4+(IF(ArtifactsInput!$M$33,CHOOSE(ArtifactsInput!$N$33+1,30,36,42,48,54,60),0))+(IF(AND(ArtifactsInput!$M$35,Inputs!$B$4&lt;&gt;"Chapter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Skills!A5</f>
        <v/>
      </c>
      <c r="B114">
        <f>Skills!B5</f>
        <v/>
      </c>
      <c r="C114">
        <f>Inputs!$B$3&gt;=60</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t="inlineStr"/>
      <c r="K114" t="inlineStr"/>
      <c r="L114" t="inlineStr"/>
      <c r="M114" t="inlineStr"/>
      <c r="N114" t="inlineStr"/>
      <c r="O114">
        <f>(1-Summary!$B$11)*T114+Summary!$B$11*V114</f>
        <v/>
      </c>
      <c r="P114">
        <f>IF(B144=0,0,O114/B144)</f>
        <v/>
      </c>
      <c r="Q114" t="n">
        <v>0</v>
      </c>
      <c r="R114" t="n">
        <v>0</v>
      </c>
      <c r="S114">
        <f>IFERROR(O114/N114,0)</f>
        <v/>
      </c>
      <c r="T114" t="n">
        <v>0</v>
      </c>
      <c r="V114" t="n">
        <v>0</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129=TRUE)*(F129-Calc!F20)),(Inputs!$B$23+0+(IF(ArtifactsInput!$M$15,CHOOSE(ArtifactsInput!$N$15+1,25,30,35,40,45,50)/100*(Inputs!$B$11-Inputs!$B$11),0))))/100+(Inputs!$B$23+0+(IF(ArtifactsInput!$M$15,CHOOSE(ArtifactsInput!$N$15+1,25,30,35,40,45,50)/100*(Inputs!$B$11-Inputs!$B$11),0)))/100)/2</f>
        <v/>
      </c>
      <c r="M115">
        <f>L115*(1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IF(B144=0,0,O115/B144)</f>
        <v/>
      </c>
      <c r="Q115">
        <f>IFERROR(1/(IF(Inputs!$B$38="pvp",15,MAX(0.1,Skills!D6-IF(Skills!E6=TRUE,Inputs!$B$32,0)))*(1-IF(AND(ArtifactsInput!$M$27,Inputs!$B$4="Chapter Hunt"),CHOOSE(ArtifactsInput!$N$27+1,20,24,28,32,36,40),0)/100)),0)</f>
        <v/>
      </c>
      <c r="R115">
        <f>IF(AND(Inputs!$B$38&lt;&gt;"pvp",Inputs!$B$43&gt;0),IF(MAX(0,Inputs!$B$43-B141)&lt;=0,0,(INT(MAX(0,Inputs!$B$43-B141)/(IF(Inputs!$B$38="pvp",15,MAX(0.1,Skills!D6-IF(Skills!E6=TRUE,Inputs!$B$32,0)))*(1-IF(AND(ArtifactsInput!$M$27,Inputs!$B$4="Chapter Hunt"),CHOOSE(ArtifactsInput!$N$27+1,20,24,28,32,36,40),0)/100)))+1)),0)</f>
        <v/>
      </c>
      <c r="S115">
        <f>IFERROR(O115/N115,0)</f>
        <v/>
      </c>
      <c r="T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$21+Skills!Q6+(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Skills!A7</f>
        <v/>
      </c>
      <c r="B116">
        <f>Skills!B7</f>
        <v/>
      </c>
      <c r="C116">
        <f>Inputs!$B$3&gt;=100</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129=TRUE)*(F129-Calc!F20)),(Inputs!$B$23+0+(IF(ArtifactsInput!$M$15,CHOOSE(ArtifactsInput!$N$15+1,25,30,35,40,45,50)/100*(Inputs!$B$11-Inputs!$B$11),0))))/100+(Inputs!$B$23+0+(IF(ArtifactsInput!$M$15,CHOOSE(ArtifactsInput!$N$15+1,25,30,35,40,45,50)/100*(Inputs!$B$11-Inputs!$B$11),0)))/100)/2</f>
        <v/>
      </c>
      <c r="M116">
        <f>L116*(1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IF(B144=0,0,O116/B144)</f>
        <v/>
      </c>
      <c r="Q116">
        <f>IFERROR(1/(IF(Inputs!$B$38="pvp",15,MAX(0.1,Skills!D7-IF(Skills!E7=TRUE,Inputs!$B$32,0)))*(1-IF(AND(ArtifactsInput!$M$27,Inputs!$B$4="Chapter Hunt"),CHOOSE(ArtifactsInput!$N$27+1,20,24,28,32,36,40),0)/100)),0)</f>
        <v/>
      </c>
      <c r="R116">
        <f>IF(AND(Inputs!$B$38&lt;&gt;"pvp",Inputs!$B$43&gt;0),IF(MAX(0,Inputs!$B$43-B141)&lt;=0,0,(INT(MAX(0,Inputs!$B$43-B141)/(IF(Inputs!$B$38="pvp",15,MAX(0.1,Skills!D7-IF(Skills!E7=TRUE,Inputs!$B$32,0)))*(1-IF(AND(ArtifactsInput!$M$27,Inputs!$B$4="Chapter Hunt"),CHOOSE(ArtifactsInput!$N$27+1,20,24,28,32,36,40),0)/100)))+1)),0)</f>
        <v/>
      </c>
      <c r="S116">
        <f>IFERROR(O116/N116,0)</f>
        <v/>
      </c>
      <c r="T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$21+Skills!Q7+(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Skills!A8</f>
        <v/>
      </c>
      <c r="B117">
        <f>Skills!B8</f>
        <v/>
      </c>
      <c r="C117">
        <f>Inputs!$B$3&gt;=110</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129=TRUE)*(F129-Calc!F20)),(Inputs!$B$23+0+(IF(ArtifactsInput!$M$15,CHOOSE(ArtifactsInput!$N$15+1,25,30,35,40,45,50)/100*(Inputs!$B$11-Inputs!$B$11),0))))/100+(Inputs!$B$23+0+(IF(ArtifactsInput!$M$15,CHOOSE(ArtifactsInput!$N$15+1,25,30,35,40,45,50)/100*(Inputs!$B$11-Inputs!$B$11),0)))/100)/2</f>
        <v/>
      </c>
      <c r="M117">
        <f>L117*(1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IF(B144=0,0,O117/B144)</f>
        <v/>
      </c>
      <c r="Q117">
        <f>IFERROR(1/(IF(Inputs!$B$38="pvp",15,MAX(0.1,Skills!D8-IF(Skills!E8=TRUE,Inputs!$B$32,0)))*(1-IF(AND(ArtifactsInput!$M$27,Inputs!$B$4="Chapter Hunt"),CHOOSE(ArtifactsInput!$N$27+1,20,24,28,32,36,40),0)/100)),0)</f>
        <v/>
      </c>
      <c r="R117">
        <f>IF(AND(Inputs!$B$38&lt;&gt;"pvp",Inputs!$B$43&gt;0),IF(MAX(0,Inputs!$B$43-B141)&lt;=0,0,(INT(MAX(0,Inputs!$B$43-B141)/(IF(Inputs!$B$38="pvp",15,MAX(0.1,Skills!D8-IF(Skills!E8=TRUE,Inputs!$B$32,0)))*(1-IF(AND(ArtifactsInput!$M$27,Inputs!$B$4="Chapter Hunt"),CHOOSE(ArtifactsInput!$N$27+1,20,24,28,32,36,40),0)/100)))+1)),0)</f>
        <v/>
      </c>
      <c r="S117">
        <f>IFERROR(O117/N117,0)</f>
        <v/>
      </c>
      <c r="T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$21+Skills!Q8+(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Skills!A9</f>
        <v/>
      </c>
      <c r="B118">
        <f>Skills!B9</f>
        <v/>
      </c>
      <c r="C118">
        <f>Inputs!$B$3&gt;=110</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129=TRUE)*(F129-Calc!F20)),(Inputs!$B$23+0+(IF(ArtifactsInput!$M$15,CHOOSE(ArtifactsInput!$N$15+1,25,30,35,40,45,50)/100*(Inputs!$B$11-Inputs!$B$11),0))))/100+(Inputs!$B$23+0+(IF(ArtifactsInput!$M$15,CHOOSE(ArtifactsInput!$N$15+1,25,30,35,40,45,50)/100*(Inputs!$B$11-Inputs!$B$11),0)))/100)/2</f>
        <v/>
      </c>
      <c r="M118">
        <f>L118*(1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IF(B144=0,0,O118/B144)</f>
        <v/>
      </c>
      <c r="Q118">
        <f>IFERROR(1/(IF(Inputs!$B$38="pvp",15,MAX(0.1,Skills!D9-IF(Skills!E9=TRUE,Inputs!$B$32,0)))*(1-IF(AND(ArtifactsInput!$M$27,Inputs!$B$4="Chapter Hunt"),CHOOSE(ArtifactsInput!$N$27+1,20,24,28,32,36,40),0)/100)),0)</f>
        <v/>
      </c>
      <c r="R118">
        <f>IF(AND(Inputs!$B$38&lt;&gt;"pvp",Inputs!$B$43&gt;0),IF(MAX(0,Inputs!$B$43-B141)&lt;=0,0,(INT(MAX(0,Inputs!$B$43-B141)/(IF(Inputs!$B$38="pvp",15,MAX(0.1,Skills!D9-IF(Skills!E9=TRUE,Inputs!$B$32,0)))*(1-IF(AND(ArtifactsInput!$M$27,Inputs!$B$4="Chapter Hunt"),CHOOSE(ArtifactsInput!$N$27+1,20,24,28,32,36,40),0)/100)))+1)),0)</f>
        <v/>
      </c>
      <c r="S118">
        <f>IFERROR(O118/N118,0)</f>
        <v/>
      </c>
      <c r="T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$21+Skills!Q9+(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Skills!A10</f>
        <v/>
      </c>
      <c r="B119">
        <f>Skills!B10</f>
        <v/>
      </c>
      <c r="C119">
        <f>Inputs!$B$3&gt;=103</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129=TRUE)*(F129-Calc!F20)),(Inputs!$B$23+0+(IF(ArtifactsInput!$M$15,CHOOSE(ArtifactsInput!$N$15+1,25,30,35,40,45,50)/100*(Inputs!$B$11-Inputs!$B$11),0))))/100+(Inputs!$B$23+0+(IF(ArtifactsInput!$M$15,CHOOSE(ArtifactsInput!$N$15+1,25,30,35,40,45,50)/100*(Inputs!$B$11-Inputs!$B$11),0)))/100)/2</f>
        <v/>
      </c>
      <c r="M119">
        <f>L119*(1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IF(B144=0,0,O119/B144)</f>
        <v/>
      </c>
      <c r="Q119">
        <f>IFERROR(1/(IF(Inputs!$B$38="pvp",15,MAX(0.1,Skills!D10-IF(Skills!E10=TRUE,Inputs!$B$32,0)))*(1-IF(AND(ArtifactsInput!$M$27,Inputs!$B$4="Chapter Hunt"),CHOOSE(ArtifactsInput!$N$27+1,20,24,28,32,36,40),0)/100)),0)</f>
        <v/>
      </c>
      <c r="R119">
        <f>IF(AND(Inputs!$B$38&lt;&gt;"pvp",Inputs!$B$43&gt;0),IF(MAX(0,Inputs!$B$43-B141)&lt;=0,0,(INT(MAX(0,Inputs!$B$43-B141)/(IF(Inputs!$B$38="pvp",15,MAX(0.1,Skills!D10-IF(Skills!E10=TRUE,Inputs!$B$32,0)))*(1-IF(AND(ArtifactsInput!$M$27,Inputs!$B$4="Chapter Hunt"),CHOOSE(ArtifactsInput!$N$27+1,20,24,28,32,36,40),0)/100)))+1)),0)</f>
        <v/>
      </c>
      <c r="S119">
        <f>IFERROR(O119/N119,0)</f>
        <v/>
      </c>
      <c r="T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$21+Skills!Q10+(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Skills!A11</f>
        <v/>
      </c>
      <c r="B120">
        <f>Skills!B11</f>
        <v/>
      </c>
      <c r="C120">
        <f>Inputs!$B$3&gt;=113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129=TRUE)*(F129-Calc!F20)),(Inputs!$B$23+0+(IF(ArtifactsInput!$M$15,CHOOSE(ArtifactsInput!$N$15+1,25,30,35,40,45,50)/100*(Inputs!$B$11-Inputs!$B$11),0))))/100+(Inputs!$B$23+0+(IF(ArtifactsInput!$M$15,CHOOSE(ArtifactsInput!$N$15+1,25,30,35,40,45,50)/100*(Inputs!$B$11-Inputs!$B$11),0)))/100)/2</f>
        <v/>
      </c>
      <c r="M120">
        <f>L120*(1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IF(B144=0,0,O120/B144)</f>
        <v/>
      </c>
      <c r="Q120">
        <f>IFERROR(1/(IF(Inputs!$B$38="pvp",15,MAX(0.1,Skills!D11-IF(Skills!E11=TRUE,Inputs!$B$32,0)))*(1-IF(AND(ArtifactsInput!$M$27,Inputs!$B$4="Chapter Hunt"),CHOOSE(ArtifactsInput!$N$27+1,20,24,28,32,36,40),0)/100)),0)</f>
        <v/>
      </c>
      <c r="R120">
        <f>IF(AND(Inputs!$B$38&lt;&gt;"pvp",Inputs!$B$43&gt;0),IF(MAX(0,Inputs!$B$43-B141)&lt;=0,0,(INT(MAX(0,Inputs!$B$43-B141)/(IF(Inputs!$B$38="pvp",15,MAX(0.1,Skills!D11-IF(Skills!E11=TRUE,Inputs!$B$32,0)))*(1-IF(AND(ArtifactsInput!$M$27,Inputs!$B$4="Chapter Hunt"),CHOOSE(ArtifactsInput!$N$27+1,20,24,28,32,36,40),0)/100)))+1)),0)</f>
        <v/>
      </c>
      <c r="S120">
        <f>IFERROR(O120/N120,0)</f>
        <v/>
      </c>
      <c r="T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$21+Skills!Q11+(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V121" t="inlineStr"/>
    </row>
    <row r="122">
      <c r="A122">
        <f>Skills!A13</f>
        <v/>
      </c>
      <c r="B122">
        <f>Skills!B13</f>
        <v/>
      </c>
      <c r="C122">
        <f>Inputs!$B$3&gt;=66</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f>(1-Summary!$B$11)*T122+Summary!$B$11*V122</f>
        <v/>
      </c>
      <c r="P122">
        <f>IF(B144=0,0,O122/B144)</f>
        <v/>
      </c>
      <c r="Q122" t="n">
        <v>0</v>
      </c>
      <c r="R122" t="n">
        <v>0</v>
      </c>
      <c r="S122">
        <f>IFERROR(O122/N122,0)</f>
        <v/>
      </c>
      <c r="T122" t="n">
        <v>0</v>
      </c>
      <c r="V122" t="n">
        <v>0</v>
      </c>
    </row>
    <row r="123">
      <c r="A123">
        <f>Skills!A14</f>
        <v/>
      </c>
      <c r="B123">
        <f>Skills!B14</f>
        <v/>
      </c>
      <c r="C123">
        <f>Inputs!$B$3&gt;=107</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f>(1-Summary!$B$11)*T123+Summary!$B$11*V123</f>
        <v/>
      </c>
      <c r="P123">
        <f>IF(B144=0,0,O123/B144)</f>
        <v/>
      </c>
      <c r="Q123" t="n">
        <v>0</v>
      </c>
      <c r="R123" t="n">
        <v>0</v>
      </c>
      <c r="S123">
        <f>IFERROR(O123/N123,0)</f>
        <v/>
      </c>
      <c r="T123" t="n">
        <v>0</v>
      </c>
      <c r="V123" t="n">
        <v>0</v>
      </c>
    </row>
    <row r="124">
      <c r="A124">
        <f>Skills!A15</f>
        <v/>
      </c>
      <c r="B124">
        <f>Skills!B15</f>
        <v/>
      </c>
      <c r="C124">
        <f>Inputs!$B$3&gt;=115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f>(1-Summary!$B$11)*T124+Summary!$B$11*V124</f>
        <v/>
      </c>
      <c r="P124">
        <f>IF(B144=0,0,O124/B144)</f>
        <v/>
      </c>
      <c r="Q124" t="n">
        <v>0</v>
      </c>
      <c r="R124" t="n">
        <v>0</v>
      </c>
      <c r="S124">
        <f>IFERROR(O124/N124,0)</f>
        <v/>
      </c>
      <c r="T124" t="n">
        <v>0</v>
      </c>
      <c r="V124" t="n">
        <v>0</v>
      </c>
    </row>
    <row r="125">
      <c r="A125">
        <f>Skills!A16</f>
        <v/>
      </c>
      <c r="B125">
        <f>Skills!B16</f>
        <v/>
      </c>
      <c r="C125">
        <f>Inputs!$B$3&gt;=15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f>(1-Summary!$B$11)*T125+Summary!$B$11*V125</f>
        <v/>
      </c>
      <c r="P125">
        <f>IF(B144=0,0,O125/B144)</f>
        <v/>
      </c>
      <c r="Q125" t="n">
        <v>0</v>
      </c>
      <c r="R125" t="n">
        <v>0</v>
      </c>
      <c r="S125">
        <f>IFERROR(O125/N125,0)</f>
        <v/>
      </c>
      <c r="T125" t="n">
        <v>0</v>
      </c>
      <c r="V125" t="n">
        <v>0</v>
      </c>
    </row>
    <row r="126">
      <c r="A126">
        <f>Skills!A17</f>
        <v/>
      </c>
      <c r="B126">
        <f>Skills!B17</f>
        <v/>
      </c>
      <c r="C126">
        <f>Inputs!$B$3&gt;=10</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f>(1-Summary!$B$11)*T126+Summary!$B$11*V126</f>
        <v/>
      </c>
      <c r="P126">
        <f>IF(B144=0,0,O126/B144)</f>
        <v/>
      </c>
      <c r="Q126" t="n">
        <v>0</v>
      </c>
      <c r="R126" t="n">
        <v>0</v>
      </c>
      <c r="S126">
        <f>IFERROR(O126/N126,0)</f>
        <v/>
      </c>
      <c r="T126" t="n">
        <v>0</v>
      </c>
      <c r="V126" t="n">
        <v>0</v>
      </c>
    </row>
    <row r="127">
      <c r="A127">
        <f>Skills!A18</f>
        <v/>
      </c>
      <c r="B127">
        <f>Skills!B18</f>
        <v/>
      </c>
      <c r="C127">
        <f>Inputs!$B$3&gt;=33</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f>(1-Summary!$B$11)*T127+Summary!$B$11*V127</f>
        <v/>
      </c>
      <c r="P127">
        <f>IF(B144=0,0,O127/B144)</f>
        <v/>
      </c>
      <c r="Q127" t="n">
        <v>0</v>
      </c>
      <c r="R127" t="n">
        <v>0</v>
      </c>
      <c r="S127">
        <f>IFERROR(O127/N127,0)</f>
        <v/>
      </c>
      <c r="T127" t="n">
        <v>0</v>
      </c>
      <c r="V127" t="n">
        <v>0</v>
      </c>
    </row>
    <row r="128">
      <c r="A128">
        <f>Skills!A19</f>
        <v/>
      </c>
      <c r="B128">
        <f>Skills!B19</f>
        <v/>
      </c>
      <c r="C128">
        <f>Inputs!$B$3&gt;=40</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f>(1-Summary!$B$11)*T128+Summary!$B$11*V128</f>
        <v/>
      </c>
      <c r="P128">
        <f>IF(B144=0,0,O128/B144)</f>
        <v/>
      </c>
      <c r="Q128" t="n">
        <v>0</v>
      </c>
      <c r="R128" t="n">
        <v>0</v>
      </c>
      <c r="S128">
        <f>IFERROR(O128/N128,0)</f>
        <v/>
      </c>
      <c r="T128" t="n">
        <v>0</v>
      </c>
      <c r="V128" t="n">
        <v>0</v>
      </c>
    </row>
    <row r="129">
      <c r="A129">
        <f>Skills!A20</f>
        <v/>
      </c>
      <c r="B129">
        <f>Skills!B20</f>
        <v/>
      </c>
      <c r="C129">
        <f>Inputs!$B$3&gt;=43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f>(1-Summary!$B$11)*T129+Summary!$B$11*V129</f>
        <v/>
      </c>
      <c r="P129">
        <f>IF(B144=0,0,O129/B144)</f>
        <v/>
      </c>
      <c r="Q129" t="n">
        <v>0</v>
      </c>
      <c r="R129" t="n">
        <v>0</v>
      </c>
      <c r="S129">
        <f>IFERROR(O129/N129,0)</f>
        <v/>
      </c>
      <c r="T129" t="n">
        <v>0</v>
      </c>
      <c r="V129" t="n">
        <v>0</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f>(1-Summary!$B$11)*T130+Summary!$B$11*V130</f>
        <v/>
      </c>
      <c r="P130">
        <f>IF(B144=0,0,O130/B144)</f>
        <v/>
      </c>
      <c r="Q130" t="n">
        <v>0</v>
      </c>
      <c r="R130" t="n">
        <v>0</v>
      </c>
      <c r="S130">
        <f>IFERROR(O130/N130,0)</f>
        <v/>
      </c>
      <c r="T130" t="n">
        <v>0</v>
      </c>
      <c r="V130" t="n">
        <v>0</v>
      </c>
    </row>
    <row r="131">
      <c r="A131">
        <f>Skills!A22</f>
        <v/>
      </c>
      <c r="B131">
        <f>Skills!B22</f>
        <v/>
      </c>
      <c r="C131">
        <f>Inputs!$B$3&gt;=75</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f>(1-Summary!$B$11)*T131+Summary!$B$11*V131</f>
        <v/>
      </c>
      <c r="P131">
        <f>IF(B144=0,0,O131/B144)</f>
        <v/>
      </c>
      <c r="Q131" t="n">
        <v>0</v>
      </c>
      <c r="R131" t="n">
        <v>0</v>
      </c>
      <c r="S131">
        <f>IFERROR(O131/N131,0)</f>
        <v/>
      </c>
      <c r="T131" t="n">
        <v>0</v>
      </c>
      <c r="V131" t="n">
        <v>0</v>
      </c>
    </row>
    <row r="133">
      <c r="A133" t="inlineStr">
        <is>
          <t>Attack% Bucket Multiplier</t>
        </is>
      </c>
      <c r="B133">
        <f>(1+(((C122=TRUE)*F122)+((C128=TRUE)*(F128-Calc!F19))+(IF(ArtifactsInput!$M$21,CHOOSE(ArtifactsInput!$N$21+1,25,30,35,40,45,50)*(IF(OR(Inputs!$B$4="Chapter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
      <c r="A134" t="inlineStr">
        <is>
          <t>Global Crit Rate Bonus %</t>
        </is>
      </c>
      <c r="B134" t="n">
        <v>0</v>
      </c>
    </row>
    <row r="135">
      <c r="A135" t="inlineStr">
        <is>
          <t>Attack Speed Buff Bonus % (unused)</t>
        </is>
      </c>
      <c r="B135" t="n">
        <v>0</v>
      </c>
    </row>
    <row r="136">
      <c r="A136" t="inlineStr">
        <is>
          <t>Actions Per Second</t>
        </is>
      </c>
      <c r="B136">
        <f>1+MIN(150,150*(1-(1-(Inputs!$B$11+((C126=TRUE)*(F126-Calc!F17))+((C127=TRUE)*(F127-Calc!F18)))/150)*(1-B135/150)))/100</f>
        <v/>
      </c>
    </row>
    <row r="137">
      <c r="A137" t="inlineStr">
        <is>
          <t>Skill + Buff Cast Rate</t>
        </is>
      </c>
      <c r="B137">
        <f>IF(AND(Inputs!$B$38&lt;&gt;"pvp",Inputs!$B$43&gt;0),SUMPRODUCT((Skills!E2:E22=TRUE)*(C111:C131=TRUE)*R111:R131*Skills!F2:F22)/Inputs!$B$43,SUMPRODUCT((Skills!E2:E22=TRUE)*(C111:C131=TRUE)*Q111:Q131*Skills!F2:F22))</f>
        <v/>
      </c>
    </row>
    <row r="138">
      <c r="A138" t="inlineStr">
        <is>
          <t>Hook Bomber Casts Per Second</t>
        </is>
      </c>
      <c r="B138">
        <f>MAX(0,B136-B137)</f>
        <v/>
      </c>
    </row>
    <row r="139">
      <c r="A139" t="inlineStr">
        <is>
          <t>Global Critical Damage Bonus % (unused)</t>
        </is>
      </c>
      <c r="B139" t="n">
        <v>0</v>
      </c>
    </row>
    <row r="140">
      <c r="A140" t="inlineStr">
        <is>
          <t>Global Final Damage Bonus % (Serpent Scale + Crossbones + Time Leap + Speed Infusion)</t>
        </is>
      </c>
      <c r="B140">
        <f>((C114=TRUE)*F114*((10+IF(Inputs!$B$3&gt;=94,5,0))/((10+IF(Inputs!$B$3&gt;=94,5,0))+5/(B138*(1+IF(Inputs!$B$3&gt;=104,1,0))))))+((C123=TRUE)*F123)+((C124=TRUE)*F124)+((Inputs!$B$3&gt;=110)*20*(B136-1))</f>
        <v/>
      </c>
    </row>
    <row r="141">
      <c r="A141" t="inlineStr">
        <is>
          <t>Buff-Casting Startup Delay (s, fixed-duration only)</t>
        </is>
      </c>
      <c r="B141">
        <f>IF(AND(Inputs!$B$38&lt;&gt;"pvp",Inputs!$B$43&gt;0),SUMPRODUCT((Skills!T2:T22&gt;0)*(Skills!E2:E22=TRUE)*(C111:C131=TRUE))/B136,0)</f>
        <v/>
      </c>
    </row>
    <row r="142">
      <c r="A142" t="inlineStr">
        <is>
          <t>Boss-Only Total DPS (this block's swept value)</t>
        </is>
      </c>
      <c r="B142">
        <f>SUM(T111:T131)</f>
        <v/>
      </c>
    </row>
    <row r="143">
      <c r="A143" t="inlineStr">
        <is>
          <t>Normal-Only Total DPS (this block's swept value)</t>
        </is>
      </c>
      <c r="B143">
        <f>SUM(V111:V131)</f>
        <v/>
      </c>
    </row>
    <row r="144">
      <c r="A144" s="6" t="inlineStr">
        <is>
          <t>TOTAL DPS</t>
        </is>
      </c>
      <c r="B144" s="6">
        <f>SUM(O111:O131)</f>
        <v/>
      </c>
    </row>
    <row r="147">
      <c r="A147" s="6" t="inlineStr">
        <is>
          <t>Stat: DEX</t>
        </is>
      </c>
    </row>
    <row r="148">
      <c r="A148" s="5" t="inlineStr">
        <is>
          <t>Key</t>
        </is>
      </c>
      <c r="B148" s="5" t="inlineStr">
        <is>
          <t>Name</t>
        </is>
      </c>
      <c r="C148" s="5" t="inlineStr">
        <is>
          <t>Unlocked</t>
        </is>
      </c>
      <c r="D148" s="5" t="inlineStr">
        <is>
          <t>InputLevel</t>
        </is>
      </c>
      <c r="E148" s="5" t="inlineStr">
        <is>
          <t>Factor</t>
        </is>
      </c>
      <c r="F148" s="5" t="inlineStr">
        <is>
          <t>CoefficientPercent</t>
        </is>
      </c>
      <c r="G148" s="5" t="inlineStr">
        <is>
          <t>EffectiveHits</t>
        </is>
      </c>
      <c r="H148" s="5" t="inlineStr">
        <is>
          <t>ProcProbability</t>
        </is>
      </c>
      <c r="I148" s="5" t="inlineStr">
        <is>
          <t>MapleHeroMultiplier</t>
        </is>
      </c>
      <c r="J148" s="5" t="inlineStr">
        <is>
          <t>BaseDamage</t>
        </is>
      </c>
      <c r="K148" s="5" t="inlineStr">
        <is>
          <t>BaseHitDamage</t>
        </is>
      </c>
      <c r="L148" s="5" t="inlineStr">
        <is>
          <t>NonCritAvg</t>
        </is>
      </c>
      <c r="M148" s="5" t="inlineStr">
        <is>
          <t>CritAvg</t>
        </is>
      </c>
      <c r="N148" s="5" t="inlineStr">
        <is>
          <t>ExpectedDamage(perHit)</t>
        </is>
      </c>
      <c r="O148" s="5" t="inlineStr">
        <is>
          <t>DPS</t>
        </is>
      </c>
      <c r="P148" s="5" t="inlineStr">
        <is>
          <t>% of Total</t>
        </is>
      </c>
      <c r="Q148" s="5" t="inlineStr">
        <is>
          <t>InvCooldown</t>
        </is>
      </c>
      <c r="R148" s="5" t="inlineStr">
        <is>
          <t>CastsInFight</t>
        </is>
      </c>
      <c r="S148" s="5"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((Inputs!$B$6*(1+Inputs!$B$7/100))+(((Inputs!$B$12*(1+Inputs!$B$13/100))-(Inputs!$B$12*(1+Inputs!$B$13/100)))+0.25*((Inputs!$B$14+1)-Inputs!$B$14))*(1+Inputs!$B$7/100))*(F149/100)</f>
        <v/>
      </c>
      <c r="K149">
        <f>J149*(1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f>
        <v/>
      </c>
      <c r="L149">
        <f>K149*(MIN(Inputs!$B$22+((C167=TRUE)*(F167-Calc!F20)),(Inputs!$B$23+0+(IF(ArtifactsInput!$M$15,CHOOSE(ArtifactsInput!$N$15+1,25,30,35,40,45,50)/100*(Inputs!$B$11-Inputs!$B$11),0))))/100+(Inputs!$B$23+0+(IF(ArtifactsInput!$M$15,CHOOSE(ArtifactsInput!$N$15+1,25,30,35,40,45,50)/100*(Inputs!$B$11-Inputs!$B$11),0)))/100)/2</f>
        <v/>
      </c>
      <c r="M149">
        <f>L149*(1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
        <f>L149*(1-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
        <f>(1-Summary!$B$11)*T149+Summary!$B$11*V149</f>
        <v/>
      </c>
      <c r="P149">
        <f>IF(B182=0,0,O149/B182)</f>
        <v/>
      </c>
      <c r="Q149" t="n">
        <v>0</v>
      </c>
      <c r="R149" t="n">
        <v>0</v>
      </c>
      <c r="S149">
        <f>IFERROR(O149/N149,0)</f>
        <v/>
      </c>
      <c r="T149">
        <f>IF(C149,(Skills!G2*N149*B176)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
        <f>MAX(0,(Inputs!$B$3-100)*3)+Inputs!$B$28+Inputs!$B$29</f>
        <v/>
      </c>
      <c r="V149">
        <f>IF(C149,(Skills!G2*N149*B176)*IF(Inputs!$B$38="pvp",1,(1+(Inputs!$B$21+Skills!Q2+(IF(ArtifactsInput!$M$33,CHOOSE(ArtifactsInput!$N$33+1,30,36,42,48,54,60),0))+(IF(AND(ArtifactsInput!$M$35,Inputs!$B$4&lt;&gt;"Chapter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
      <c r="A150">
        <f>Skills!A3</f>
        <v/>
      </c>
      <c r="B150">
        <f>Skills!B3</f>
        <v/>
      </c>
      <c r="C150">
        <f>Inputs!$B$3&gt;=35</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f>Skills!G3*IF(Skills!H3&gt;0,Skills!I3/Skills!H3,1)</f>
        <v/>
      </c>
      <c r="H150">
        <f>1-(1-Skills!J3/100)^Skills!K3</f>
        <v/>
      </c>
      <c r="I150" t="inlineStr">
        <is>
          <t>1</t>
        </is>
      </c>
      <c r="J150">
        <f>((Inputs!$B$6*(1+Inputs!$B$7/100))+(((Inputs!$B$12*(1+Inputs!$B$13/100))-(Inputs!$B$12*(1+Inputs!$B$13/100)))+0.25*((Inputs!$B$14+1)-Inputs!$B$14))*(1+Inputs!$B$7/100))*(F150/100)</f>
        <v/>
      </c>
      <c r="K150">
        <f>J150*(1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f>
        <v/>
      </c>
      <c r="L150">
        <f>K150*(MIN(Inputs!$B$22+((C167=TRUE)*(F167-Calc!F20)),(Inputs!$B$23+0+(IF(ArtifactsInput!$M$15,CHOOSE(ArtifactsInput!$N$15+1,25,30,35,40,45,50)/100*(Inputs!$B$11-Inputs!$B$11),0))))/100+(Inputs!$B$23+0+(IF(ArtifactsInput!$M$15,CHOOSE(ArtifactsInput!$N$15+1,25,30,35,40,45,50)/100*(Inputs!$B$11-Inputs!$B$11),0)))/100)/2</f>
        <v/>
      </c>
      <c r="M150">
        <f>L150*(1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
        <f>L150*(1-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
        <f>(1-Summary!$B$11)*T150+Summary!$B$11*V150</f>
        <v/>
      </c>
      <c r="P150">
        <f>IF(B182=0,0,O150/B182)</f>
        <v/>
      </c>
      <c r="Q150" t="n">
        <v>0</v>
      </c>
      <c r="R150" t="n">
        <v>0</v>
      </c>
      <c r="S150">
        <f>IFERROR(O150/N150,0)</f>
        <v/>
      </c>
      <c r="T150">
        <f>IF(C150,(Skills!G3*H150*N150*B176)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
        <f>INDEX(FactorTable!$B$2:$Y$301, MATCH(ROUND(MIN(300,MAX(1,U149)),0), FactorTable!$A$2:$A$301,0), 22)</f>
        <v/>
      </c>
      <c r="V150">
        <f>IF(C150,(Skills!G3*H150*N150*B176)*IF(Inputs!$B$38="pvp",1,(1+(Inputs!$B$21+Skills!Q3+(IF(ArtifactsInput!$M$33,CHOOSE(ArtifactsInput!$N$33+1,30,36,42,48,54,60),0))+(IF(AND(ArtifactsInput!$M$35,Inputs!$B$4&lt;&gt;"Chapter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
      <c r="A151">
        <f>Skills!A4</f>
        <v/>
      </c>
      <c r="B151">
        <f>Skills!B4</f>
        <v/>
      </c>
      <c r="C151">
        <f>Inputs!$B$3&gt;=60</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TRUE,F159,0)/100)*(1+(IF(Skills!A4="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167=TRUE)*(F167-Calc!F20)),(Inputs!$B$23+0+(IF(ArtifactsInput!$M$15,CHOOSE(ArtifactsInput!$N$15+1,25,30,35,40,45,50)/100*(Inputs!$B$11-Inputs!$B$11),0))))/100+(Inputs!$B$23+0+(IF(ArtifactsInput!$M$15,CHOOSE(ArtifactsInput!$N$15+1,25,30,35,40,45,50)/100*(Inputs!$B$11-Inputs!$B$11),0)))/100)/2</f>
        <v/>
      </c>
      <c r="M151">
        <f>L151*(1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IF(B182=0,0,O151/B182)</f>
        <v/>
      </c>
      <c r="Q151" t="n">
        <v>0</v>
      </c>
      <c r="R151" t="n">
        <v>0</v>
      </c>
      <c r="S151">
        <f>IFERROR(O151/N151,0)</f>
        <v/>
      </c>
      <c r="T151">
        <f>IF(C151,(Skills!G4*H151*N151*B176)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290*U150/1000</f>
        <v/>
      </c>
      <c r="V151">
        <f>IF(C151,(Skills!G4*H151*N151*B176)*IF(Inputs!$B$38="pvp",1,(1+(Inputs!$B$21+Skills!Q4+(IF(ArtifactsInput!$M$33,CHOOSE(ArtifactsInput!$N$33+1,30,36,42,48,54,60),0))+(IF(AND(ArtifactsInput!$M$35,Inputs!$B$4&lt;&gt;"Chapter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Skills!A5</f>
        <v/>
      </c>
      <c r="B152">
        <f>Skills!B5</f>
        <v/>
      </c>
      <c r="C152">
        <f>Inputs!$B$3&gt;=60</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t="inlineStr"/>
      <c r="K152" t="inlineStr"/>
      <c r="L152" t="inlineStr"/>
      <c r="M152" t="inlineStr"/>
      <c r="N152" t="inlineStr"/>
      <c r="O152">
        <f>(1-Summary!$B$11)*T152+Summary!$B$11*V152</f>
        <v/>
      </c>
      <c r="P152">
        <f>IF(B182=0,0,O152/B182)</f>
        <v/>
      </c>
      <c r="Q152" t="n">
        <v>0</v>
      </c>
      <c r="R152" t="n">
        <v>0</v>
      </c>
      <c r="S152">
        <f>IFERROR(O152/N152,0)</f>
        <v/>
      </c>
      <c r="T152" t="n">
        <v>0</v>
      </c>
      <c r="V152" t="n">
        <v>0</v>
      </c>
    </row>
    <row r="153">
      <c r="A153">
        <f>Skills!A6</f>
        <v/>
      </c>
      <c r="B153">
        <f>Skills!B6</f>
        <v/>
      </c>
      <c r="C153">
        <f>Inputs!$B$3&gt;=63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167=TRUE)*(F167-Calc!F20)),(Inputs!$B$23+0+(IF(ArtifactsInput!$M$15,CHOOSE(ArtifactsInput!$N$15+1,25,30,35,40,45,50)/100*(Inputs!$B$11-Inputs!$B$11),0))))/100+(Inputs!$B$23+0+(IF(ArtifactsInput!$M$15,CHOOSE(ArtifactsInput!$N$15+1,25,30,35,40,45,50)/100*(Inputs!$B$11-Inputs!$B$11),0)))/100)/2</f>
        <v/>
      </c>
      <c r="M153">
        <f>L153*(1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IF(B182=0,0,O153/B182)</f>
        <v/>
      </c>
      <c r="Q153">
        <f>IFERROR(1/(IF(Inputs!$B$38="pvp",15,MAX(0.1,Skills!D6-IF(Skills!E6=TRUE,Inputs!$B$32,0)))*(1-IF(AND(ArtifactsInput!$M$27,Inputs!$B$4="Chapter Hunt"),CHOOSE(ArtifactsInput!$N$27+1,20,24,28,32,36,40),0)/100)),0)</f>
        <v/>
      </c>
      <c r="R153">
        <f>IF(AND(Inputs!$B$38&lt;&gt;"pvp",Inputs!$B$43&gt;0),IF(MAX(0,Inputs!$B$43-B179)&lt;=0,0,(INT(MAX(0,Inputs!$B$43-B179)/(IF(Inputs!$B$38="pvp",15,MAX(0.1,Skills!D6-IF(Skills!E6=TRUE,Inputs!$B$32,0)))*(1-IF(AND(ArtifactsInput!$M$27,Inputs!$B$4="Chapter Hunt"),CHOOSE(ArtifactsInput!$N$27+1,20,24,28,32,36,40),0)/100)))+1)),0)</f>
        <v/>
      </c>
      <c r="S153">
        <f>IFERROR(O153/N153,0)</f>
        <v/>
      </c>
      <c r="T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$21+Skills!Q6+(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Skills!A7</f>
        <v/>
      </c>
      <c r="B154">
        <f>Skills!B7</f>
        <v/>
      </c>
      <c r="C154">
        <f>Inputs!$B$3&gt;=100</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((Inputs!$B$6*(1+Inputs!$B$7/100))+(((Inputs!$B$12*(1+Inputs!$B$13/100))-(Inputs!$B$12*(1+Inputs!$B$13/100)))+0.25*((Inputs!$B$14+1)-Inputs!$B$14))*(1+Inputs!$B$7/100))*(F154/100)</f>
        <v/>
      </c>
      <c r="K154">
        <f>J154*(1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C167=TRUE)*(F167-Calc!F20)),(Inputs!$B$23+0+(IF(ArtifactsInput!$M$15,CHOOSE(ArtifactsInput!$N$15+1,25,30,35,40,45,50)/100*(Inputs!$B$11-Inputs!$B$11),0))))/100+(Inputs!$B$23+0+(IF(ArtifactsInput!$M$15,CHOOSE(ArtifactsInput!$N$15+1,25,30,35,40,45,50)/100*(Inputs!$B$11-Inputs!$B$11),0)))/100)/2</f>
        <v/>
      </c>
      <c r="M154">
        <f>L154*(1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(1-Summary!$B$11)*T154+Summary!$B$11*V154</f>
        <v/>
      </c>
      <c r="P154">
        <f>IF(B182=0,0,O154/B182)</f>
        <v/>
      </c>
      <c r="Q154">
        <f>IFERROR(1/(IF(Inputs!$B$38="pvp",15,MAX(0.1,Skills!D7-IF(Skills!E7=TRUE,Inputs!$B$32,0)))*(1-IF(AND(ArtifactsInput!$M$27,Inputs!$B$4="Chapter Hunt"),CHOOSE(ArtifactsInput!$N$27+1,20,24,28,32,36,40),0)/100)),0)</f>
        <v/>
      </c>
      <c r="R154">
        <f>IF(AND(Inputs!$B$38&lt;&gt;"pvp",Inputs!$B$43&gt;0),IF(MAX(0,Inputs!$B$43-B179)&lt;=0,0,(INT(MAX(0,Inputs!$B$43-B179)/(IF(Inputs!$B$38="pvp",15,MAX(0.1,Skills!D7-IF(Skills!E7=TRUE,Inputs!$B$32,0)))*(1-IF(AND(ArtifactsInput!$M$27,Inputs!$B$4="Chapter Hunt"),CHOOSE(ArtifactsInput!$N$27+1,20,24,28,32,36,40),0)/100)))+1)),0)</f>
        <v/>
      </c>
      <c r="S154">
        <f>IFERROR(O154/N154,0)</f>
        <v/>
      </c>
      <c r="T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$21+Skills!Q7+(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
      <c r="A155">
        <f>Skills!A8</f>
        <v/>
      </c>
      <c r="B155">
        <f>Skills!B8</f>
        <v/>
      </c>
      <c r="C155">
        <f>Inputs!$B$3&gt;=110</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167=TRUE)*(F167-Calc!F20)),(Inputs!$B$23+0+(IF(ArtifactsInput!$M$15,CHOOSE(ArtifactsInput!$N$15+1,25,30,35,40,45,50)/100*(Inputs!$B$11-Inputs!$B$11),0))))/100+(Inputs!$B$23+0+(IF(ArtifactsInput!$M$15,CHOOSE(ArtifactsInput!$N$15+1,25,30,35,40,45,50)/100*(Inputs!$B$11-Inputs!$B$11),0)))/100)/2</f>
        <v/>
      </c>
      <c r="M155">
        <f>L155*(1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IF(B182=0,0,O155/B182)</f>
        <v/>
      </c>
      <c r="Q155">
        <f>IFERROR(1/(IF(Inputs!$B$38="pvp",15,MAX(0.1,Skills!D8-IF(Skills!E8=TRUE,Inputs!$B$32,0)))*(1-IF(AND(ArtifactsInput!$M$27,Inputs!$B$4="Chapter Hunt"),CHOOSE(ArtifactsInput!$N$27+1,20,24,28,32,36,40),0)/100)),0)</f>
        <v/>
      </c>
      <c r="R155">
        <f>IF(AND(Inputs!$B$38&lt;&gt;"pvp",Inputs!$B$43&gt;0),IF(MAX(0,Inputs!$B$43-B179)&lt;=0,0,(INT(MAX(0,Inputs!$B$43-B179)/(IF(Inputs!$B$38="pvp",15,MAX(0.1,Skills!D8-IF(Skills!E8=TRUE,Inputs!$B$32,0)))*(1-IF(AND(ArtifactsInput!$M$27,Inputs!$B$4="Chapter Hunt"),CHOOSE(ArtifactsInput!$N$27+1,20,24,28,32,36,40),0)/100)))+1)),0)</f>
        <v/>
      </c>
      <c r="S155">
        <f>IFERROR(O155/N155,0)</f>
        <v/>
      </c>
      <c r="T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$21+Skills!Q8+(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Skills!A9</f>
        <v/>
      </c>
      <c r="B156">
        <f>Skills!B9</f>
        <v/>
      </c>
      <c r="C156">
        <f>Inputs!$B$3&gt;=110</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167=TRUE)*(F167-Calc!F20)),(Inputs!$B$23+0+(IF(ArtifactsInput!$M$15,CHOOSE(ArtifactsInput!$N$15+1,25,30,35,40,45,50)/100*(Inputs!$B$11-Inputs!$B$11),0))))/100+(Inputs!$B$23+0+(IF(ArtifactsInput!$M$15,CHOOSE(ArtifactsInput!$N$15+1,25,30,35,40,45,50)/100*(Inputs!$B$11-Inputs!$B$11),0)))/100)/2</f>
        <v/>
      </c>
      <c r="M156">
        <f>L156*(1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IF(B182=0,0,O156/B182)</f>
        <v/>
      </c>
      <c r="Q156">
        <f>IFERROR(1/(IF(Inputs!$B$38="pvp",15,MAX(0.1,Skills!D9-IF(Skills!E9=TRUE,Inputs!$B$32,0)))*(1-IF(AND(ArtifactsInput!$M$27,Inputs!$B$4="Chapter Hunt"),CHOOSE(ArtifactsInput!$N$27+1,20,24,28,32,36,40),0)/100)),0)</f>
        <v/>
      </c>
      <c r="R156">
        <f>IF(AND(Inputs!$B$38&lt;&gt;"pvp",Inputs!$B$43&gt;0),IF(MAX(0,Inputs!$B$43-B179)&lt;=0,0,(INT(MAX(0,Inputs!$B$43-B179)/(IF(Inputs!$B$38="pvp",15,MAX(0.1,Skills!D9-IF(Skills!E9=TRUE,Inputs!$B$32,0)))*(1-IF(AND(ArtifactsInput!$M$27,Inputs!$B$4="Chapter Hunt"),CHOOSE(ArtifactsInput!$N$27+1,20,24,28,32,36,40),0)/100)))+1)),0)</f>
        <v/>
      </c>
      <c r="S156">
        <f>IFERROR(O156/N156,0)</f>
        <v/>
      </c>
      <c r="T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$21+Skills!Q9+(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Skills!A10</f>
        <v/>
      </c>
      <c r="B157">
        <f>Skills!B10</f>
        <v/>
      </c>
      <c r="C157">
        <f>Inputs!$B$3&gt;=103</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167=TRUE)*(F167-Calc!F20)),(Inputs!$B$23+0+(IF(ArtifactsInput!$M$15,CHOOSE(ArtifactsInput!$N$15+1,25,30,35,40,45,50)/100*(Inputs!$B$11-Inputs!$B$11),0))))/100+(Inputs!$B$23+0+(IF(ArtifactsInput!$M$15,CHOOSE(ArtifactsInput!$N$15+1,25,30,35,40,45,50)/100*(Inputs!$B$11-Inputs!$B$11),0)))/100)/2</f>
        <v/>
      </c>
      <c r="M157">
        <f>L157*(1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IF(B182=0,0,O157/B182)</f>
        <v/>
      </c>
      <c r="Q157">
        <f>IFERROR(1/(IF(Inputs!$B$38="pvp",15,MAX(0.1,Skills!D10-IF(Skills!E10=TRUE,Inputs!$B$32,0)))*(1-IF(AND(ArtifactsInput!$M$27,Inputs!$B$4="Chapter Hunt"),CHOOSE(ArtifactsInput!$N$27+1,20,24,28,32,36,40),0)/100)),0)</f>
        <v/>
      </c>
      <c r="R157">
        <f>IF(AND(Inputs!$B$38&lt;&gt;"pvp",Inputs!$B$43&gt;0),IF(MAX(0,Inputs!$B$43-B179)&lt;=0,0,(INT(MAX(0,Inputs!$B$43-B179)/(IF(Inputs!$B$38="pvp",15,MAX(0.1,Skills!D10-IF(Skills!E10=TRUE,Inputs!$B$32,0)))*(1-IF(AND(ArtifactsInput!$M$27,Inputs!$B$4="Chapter Hunt"),CHOOSE(ArtifactsInput!$N$27+1,20,24,28,32,36,40),0)/100)))+1)),0)</f>
        <v/>
      </c>
      <c r="S157">
        <f>IFERROR(O157/N157,0)</f>
        <v/>
      </c>
      <c r="T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$21+Skills!Q10+(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Skills!A11</f>
        <v/>
      </c>
      <c r="B158">
        <f>Skills!B11</f>
        <v/>
      </c>
      <c r="C158">
        <f>Inputs!$B$3&gt;=113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167=TRUE)*(F167-Calc!F20)),(Inputs!$B$23+0+(IF(ArtifactsInput!$M$15,CHOOSE(ArtifactsInput!$N$15+1,25,30,35,40,45,50)/100*(Inputs!$B$11-Inputs!$B$11),0))))/100+(Inputs!$B$23+0+(IF(ArtifactsInput!$M$15,CHOOSE(ArtifactsInput!$N$15+1,25,30,35,40,45,50)/100*(Inputs!$B$11-Inputs!$B$11),0)))/100)/2</f>
        <v/>
      </c>
      <c r="M158">
        <f>L158*(1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IF(B182=0,0,O158/B182)</f>
        <v/>
      </c>
      <c r="Q158">
        <f>IFERROR(1/(IF(Inputs!$B$38="pvp",15,MAX(0.1,Skills!D11-IF(Skills!E11=TRUE,Inputs!$B$32,0)))*(1-IF(AND(ArtifactsInput!$M$27,Inputs!$B$4="Chapter Hunt"),CHOOSE(ArtifactsInput!$N$27+1,20,24,28,32,36,40),0)/100)),0)</f>
        <v/>
      </c>
      <c r="R158">
        <f>IF(AND(Inputs!$B$38&lt;&gt;"pvp",Inputs!$B$43&gt;0),IF(MAX(0,Inputs!$B$43-B179)&lt;=0,0,(INT(MAX(0,Inputs!$B$43-B179)/(IF(Inputs!$B$38="pvp",15,MAX(0.1,Skills!D11-IF(Skills!E11=TRUE,Inputs!$B$32,0)))*(1-IF(AND(ArtifactsInput!$M$27,Inputs!$B$4="Chapter Hunt"),CHOOSE(ArtifactsInput!$N$27+1,20,24,28,32,36,40),0)/100)))+1)),0)</f>
        <v/>
      </c>
      <c r="S158">
        <f>IFERROR(O158/N158,0)</f>
        <v/>
      </c>
      <c r="T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$21+Skills!Q11+(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c r="T159" t="inlineStr"/>
      <c r="V159" t="inlineStr"/>
    </row>
    <row r="160">
      <c r="A160">
        <f>Skills!A13</f>
        <v/>
      </c>
      <c r="B160">
        <f>Skills!B13</f>
        <v/>
      </c>
      <c r="C160">
        <f>Inputs!$B$3&gt;=66</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f>(1-Summary!$B$11)*T160+Summary!$B$11*V160</f>
        <v/>
      </c>
      <c r="P160">
        <f>IF(B182=0,0,O160/B182)</f>
        <v/>
      </c>
      <c r="Q160" t="n">
        <v>0</v>
      </c>
      <c r="R160" t="n">
        <v>0</v>
      </c>
      <c r="S160">
        <f>IFERROR(O160/N160,0)</f>
        <v/>
      </c>
      <c r="T160" t="n">
        <v>0</v>
      </c>
      <c r="V160" t="n">
        <v>0</v>
      </c>
    </row>
    <row r="161">
      <c r="A161">
        <f>Skills!A14</f>
        <v/>
      </c>
      <c r="B161">
        <f>Skills!B14</f>
        <v/>
      </c>
      <c r="C161">
        <f>Inputs!$B$3&gt;=107</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f>(1-Summary!$B$11)*T161+Summary!$B$11*V161</f>
        <v/>
      </c>
      <c r="P161">
        <f>IF(B182=0,0,O161/B182)</f>
        <v/>
      </c>
      <c r="Q161" t="n">
        <v>0</v>
      </c>
      <c r="R161" t="n">
        <v>0</v>
      </c>
      <c r="S161">
        <f>IFERROR(O161/N161,0)</f>
        <v/>
      </c>
      <c r="T161" t="n">
        <v>0</v>
      </c>
      <c r="V161" t="n">
        <v>0</v>
      </c>
    </row>
    <row r="162">
      <c r="A162">
        <f>Skills!A15</f>
        <v/>
      </c>
      <c r="B162">
        <f>Skills!B15</f>
        <v/>
      </c>
      <c r="C162">
        <f>Inputs!$B$3&gt;=115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f>(1-Summary!$B$11)*T162+Summary!$B$11*V162</f>
        <v/>
      </c>
      <c r="P162">
        <f>IF(B182=0,0,O162/B182)</f>
        <v/>
      </c>
      <c r="Q162" t="n">
        <v>0</v>
      </c>
      <c r="R162" t="n">
        <v>0</v>
      </c>
      <c r="S162">
        <f>IFERROR(O162/N162,0)</f>
        <v/>
      </c>
      <c r="T162" t="n">
        <v>0</v>
      </c>
      <c r="V162" t="n">
        <v>0</v>
      </c>
    </row>
    <row r="163">
      <c r="A163">
        <f>Skills!A16</f>
        <v/>
      </c>
      <c r="B163">
        <f>Skills!B16</f>
        <v/>
      </c>
      <c r="C163">
        <f>Inputs!$B$3&gt;=15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f>(1-Summary!$B$11)*T163+Summary!$B$11*V163</f>
        <v/>
      </c>
      <c r="P163">
        <f>IF(B182=0,0,O163/B182)</f>
        <v/>
      </c>
      <c r="Q163" t="n">
        <v>0</v>
      </c>
      <c r="R163" t="n">
        <v>0</v>
      </c>
      <c r="S163">
        <f>IFERROR(O163/N163,0)</f>
        <v/>
      </c>
      <c r="T163" t="n">
        <v>0</v>
      </c>
      <c r="V163" t="n">
        <v>0</v>
      </c>
    </row>
    <row r="164">
      <c r="A164">
        <f>Skills!A17</f>
        <v/>
      </c>
      <c r="B164">
        <f>Skills!B17</f>
        <v/>
      </c>
      <c r="C164">
        <f>Inputs!$B$3&gt;=10</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f>(1-Summary!$B$11)*T164+Summary!$B$11*V164</f>
        <v/>
      </c>
      <c r="P164">
        <f>IF(B182=0,0,O164/B182)</f>
        <v/>
      </c>
      <c r="Q164" t="n">
        <v>0</v>
      </c>
      <c r="R164" t="n">
        <v>0</v>
      </c>
      <c r="S164">
        <f>IFERROR(O164/N164,0)</f>
        <v/>
      </c>
      <c r="T164" t="n">
        <v>0</v>
      </c>
      <c r="V164" t="n">
        <v>0</v>
      </c>
    </row>
    <row r="165">
      <c r="A165">
        <f>Skills!A18</f>
        <v/>
      </c>
      <c r="B165">
        <f>Skills!B18</f>
        <v/>
      </c>
      <c r="C165">
        <f>Inputs!$B$3&gt;=33</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f>(1-Summary!$B$11)*T165+Summary!$B$11*V165</f>
        <v/>
      </c>
      <c r="P165">
        <f>IF(B182=0,0,O165/B182)</f>
        <v/>
      </c>
      <c r="Q165" t="n">
        <v>0</v>
      </c>
      <c r="R165" t="n">
        <v>0</v>
      </c>
      <c r="S165">
        <f>IFERROR(O165/N165,0)</f>
        <v/>
      </c>
      <c r="T165" t="n">
        <v>0</v>
      </c>
      <c r="V165" t="n">
        <v>0</v>
      </c>
    </row>
    <row r="166">
      <c r="A166">
        <f>Skills!A19</f>
        <v/>
      </c>
      <c r="B166">
        <f>Skills!B19</f>
        <v/>
      </c>
      <c r="C166">
        <f>Inputs!$B$3&gt;=40</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f>(1-Summary!$B$11)*T166+Summary!$B$11*V166</f>
        <v/>
      </c>
      <c r="P166">
        <f>IF(B182=0,0,O166/B182)</f>
        <v/>
      </c>
      <c r="Q166" t="n">
        <v>0</v>
      </c>
      <c r="R166" t="n">
        <v>0</v>
      </c>
      <c r="S166">
        <f>IFERROR(O166/N166,0)</f>
        <v/>
      </c>
      <c r="T166" t="n">
        <v>0</v>
      </c>
      <c r="V166" t="n">
        <v>0</v>
      </c>
    </row>
    <row r="167">
      <c r="A167">
        <f>Skills!A20</f>
        <v/>
      </c>
      <c r="B167">
        <f>Skills!B20</f>
        <v/>
      </c>
      <c r="C167">
        <f>Inputs!$B$3&gt;=43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f>(1-Summary!$B$11)*T167+Summary!$B$11*V167</f>
        <v/>
      </c>
      <c r="P167">
        <f>IF(B182=0,0,O167/B182)</f>
        <v/>
      </c>
      <c r="Q167" t="n">
        <v>0</v>
      </c>
      <c r="R167" t="n">
        <v>0</v>
      </c>
      <c r="S167">
        <f>IFERROR(O167/N167,0)</f>
        <v/>
      </c>
      <c r="T167" t="n">
        <v>0</v>
      </c>
      <c r="V167" t="n">
        <v>0</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f>(1-Summary!$B$11)*T168+Summary!$B$11*V168</f>
        <v/>
      </c>
      <c r="P168">
        <f>IF(B182=0,0,O168/B182)</f>
        <v/>
      </c>
      <c r="Q168" t="n">
        <v>0</v>
      </c>
      <c r="R168" t="n">
        <v>0</v>
      </c>
      <c r="S168">
        <f>IFERROR(O168/N168,0)</f>
        <v/>
      </c>
      <c r="T168" t="n">
        <v>0</v>
      </c>
      <c r="V168" t="n">
        <v>0</v>
      </c>
    </row>
    <row r="169">
      <c r="A169">
        <f>Skills!A22</f>
        <v/>
      </c>
      <c r="B169">
        <f>Skills!B22</f>
        <v/>
      </c>
      <c r="C169">
        <f>Inputs!$B$3&gt;=75</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f>(1-Summary!$B$11)*T169+Summary!$B$11*V169</f>
        <v/>
      </c>
      <c r="P169">
        <f>IF(B182=0,0,O169/B182)</f>
        <v/>
      </c>
      <c r="Q169" t="n">
        <v>0</v>
      </c>
      <c r="R169" t="n">
        <v>0</v>
      </c>
      <c r="S169">
        <f>IFERROR(O169/N169,0)</f>
        <v/>
      </c>
      <c r="T169" t="n">
        <v>0</v>
      </c>
      <c r="V169" t="n">
        <v>0</v>
      </c>
    </row>
    <row r="171">
      <c r="A171" t="inlineStr">
        <is>
          <t>Attack% Bucket Multiplier</t>
        </is>
      </c>
      <c r="B171">
        <f>(1+(((C160=TRUE)*F160)+((C166=TRUE)*(F166-Calc!F19))+(IF(ArtifactsInput!$M$21,CHOOSE(ArtifactsInput!$N$21+1,25,30,35,40,45,50)*(IF(OR(Inputs!$B$4="Chapter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
      <c r="A172" t="inlineStr">
        <is>
          <t>Global Crit Rate Bonus %</t>
        </is>
      </c>
      <c r="B172" t="n">
        <v>0</v>
      </c>
    </row>
    <row r="173">
      <c r="A173" t="inlineStr">
        <is>
          <t>Attack Speed Buff Bonus % (unused)</t>
        </is>
      </c>
      <c r="B173" t="n">
        <v>0</v>
      </c>
    </row>
    <row r="174">
      <c r="A174" t="inlineStr">
        <is>
          <t>Actions Per Second</t>
        </is>
      </c>
      <c r="B174">
        <f>1+MIN(150,150*(1-(1-(Inputs!$B$11+((C164=TRUE)*(F164-Calc!F17))+((C165=TRUE)*(F165-Calc!F18)))/150)*(1-B173/150)))/100</f>
        <v/>
      </c>
    </row>
    <row r="175">
      <c r="A175" t="inlineStr">
        <is>
          <t>Skill + Buff Cast Rate</t>
        </is>
      </c>
      <c r="B175">
        <f>IF(AND(Inputs!$B$38&lt;&gt;"pvp",Inputs!$B$43&gt;0),SUMPRODUCT((Skills!E2:E22=TRUE)*(C149:C169=TRUE)*R149:R169*Skills!F2:F22)/Inputs!$B$43,SUMPRODUCT((Skills!E2:E22=TRUE)*(C149:C169=TRUE)*Q149:Q169*Skills!F2:F22))</f>
        <v/>
      </c>
    </row>
    <row r="176">
      <c r="A176" t="inlineStr">
        <is>
          <t>Hook Bomber Casts Per Second</t>
        </is>
      </c>
      <c r="B176">
        <f>MAX(0,B174-B175)</f>
        <v/>
      </c>
    </row>
    <row r="177">
      <c r="A177" t="inlineStr">
        <is>
          <t>Global Critical Damage Bonus % (unused)</t>
        </is>
      </c>
      <c r="B177" t="n">
        <v>0</v>
      </c>
    </row>
    <row r="178">
      <c r="A178" t="inlineStr">
        <is>
          <t>Global Final Damage Bonus % (Serpent Scale + Crossbones + Time Leap + Speed Infusion)</t>
        </is>
      </c>
      <c r="B178">
        <f>((C152=TRUE)*F152*((10+IF(Inputs!$B$3&gt;=94,5,0))/((10+IF(Inputs!$B$3&gt;=94,5,0))+5/(B176*(1+IF(Inputs!$B$3&gt;=104,1,0))))))+((C161=TRUE)*F161)+((C162=TRUE)*F162)+((Inputs!$B$3&gt;=110)*20*(B174-1))</f>
        <v/>
      </c>
    </row>
    <row r="179">
      <c r="A179" t="inlineStr">
        <is>
          <t>Buff-Casting Startup Delay (s, fixed-duration only)</t>
        </is>
      </c>
      <c r="B179">
        <f>IF(AND(Inputs!$B$38&lt;&gt;"pvp",Inputs!$B$43&gt;0),SUMPRODUCT((Skills!T2:T22&gt;0)*(Skills!E2:E22=TRUE)*(C149:C169=TRUE))/B174,0)</f>
        <v/>
      </c>
    </row>
    <row r="180">
      <c r="A180" t="inlineStr">
        <is>
          <t>Boss-Only Total DPS (this block's swept value)</t>
        </is>
      </c>
      <c r="B180">
        <f>SUM(T149:T169)</f>
        <v/>
      </c>
    </row>
    <row r="181">
      <c r="A181" t="inlineStr">
        <is>
          <t>Normal-Only Total DPS (this block's swept value)</t>
        </is>
      </c>
      <c r="B181">
        <f>SUM(V149:V169)</f>
        <v/>
      </c>
    </row>
    <row r="182">
      <c r="A182" s="6" t="inlineStr">
        <is>
          <t>TOTAL DPS</t>
        </is>
      </c>
      <c r="B182" s="6">
        <f>SUM(O149:O169)</f>
        <v/>
      </c>
    </row>
    <row r="185">
      <c r="A185" s="6" t="inlineStr">
        <is>
          <t>Stat: DAMAGE %</t>
        </is>
      </c>
    </row>
    <row r="186">
      <c r="A186" s="5" t="inlineStr">
        <is>
          <t>Key</t>
        </is>
      </c>
      <c r="B186" s="5" t="inlineStr">
        <is>
          <t>Name</t>
        </is>
      </c>
      <c r="C186" s="5" t="inlineStr">
        <is>
          <t>Unlocked</t>
        </is>
      </c>
      <c r="D186" s="5" t="inlineStr">
        <is>
          <t>InputLevel</t>
        </is>
      </c>
      <c r="E186" s="5" t="inlineStr">
        <is>
          <t>Factor</t>
        </is>
      </c>
      <c r="F186" s="5" t="inlineStr">
        <is>
          <t>CoefficientPercent</t>
        </is>
      </c>
      <c r="G186" s="5" t="inlineStr">
        <is>
          <t>EffectiveHits</t>
        </is>
      </c>
      <c r="H186" s="5" t="inlineStr">
        <is>
          <t>ProcProbability</t>
        </is>
      </c>
      <c r="I186" s="5" t="inlineStr">
        <is>
          <t>MapleHeroMultiplier</t>
        </is>
      </c>
      <c r="J186" s="5" t="inlineStr">
        <is>
          <t>BaseDamage</t>
        </is>
      </c>
      <c r="K186" s="5" t="inlineStr">
        <is>
          <t>BaseHitDamage</t>
        </is>
      </c>
      <c r="L186" s="5" t="inlineStr">
        <is>
          <t>NonCritAvg</t>
        </is>
      </c>
      <c r="M186" s="5" t="inlineStr">
        <is>
          <t>CritAvg</t>
        </is>
      </c>
      <c r="N186" s="5" t="inlineStr">
        <is>
          <t>ExpectedDamage(perHit)</t>
        </is>
      </c>
      <c r="O186" s="5" t="inlineStr">
        <is>
          <t>DPS</t>
        </is>
      </c>
      <c r="P186" s="5" t="inlineStr">
        <is>
          <t>% of Total</t>
        </is>
      </c>
      <c r="Q186" s="5" t="inlineStr">
        <is>
          <t>InvCooldown</t>
        </is>
      </c>
      <c r="R186" s="5" t="inlineStr">
        <is>
          <t>CastsInFight</t>
        </is>
      </c>
      <c r="S186" s="5"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f>
        <v/>
      </c>
      <c r="L187">
        <f>K187*(MIN(Inputs!$B$22+((C205=TRUE)*(F205-Calc!F20)),(Inputs!$B$23+0+(IF(ArtifactsInput!$M$15,CHOOSE(ArtifactsInput!$N$15+1,25,30,35,40,45,50)/100*(Inputs!$B$11-Inputs!$B$11),0))))/100+(Inputs!$B$23+0+(IF(ArtifactsInput!$M$15,CHOOSE(ArtifactsInput!$N$15+1,25,30,35,40,45,50)/100*(Inputs!$B$11-Inputs!$B$11),0)))/100)/2</f>
        <v/>
      </c>
      <c r="M187">
        <f>L187*(1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
        <f>L187*(1-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
        <f>(1-Summary!$B$11)*T187+Summary!$B$11*V187</f>
        <v/>
      </c>
      <c r="P187">
        <f>IF(B220=0,0,O187/B220)</f>
        <v/>
      </c>
      <c r="Q187" t="n">
        <v>0</v>
      </c>
      <c r="R187" t="n">
        <v>0</v>
      </c>
      <c r="S187">
        <f>IFERROR(O187/N187,0)</f>
        <v/>
      </c>
      <c r="T187">
        <f>IF(C187,(Skills!G2*N187*B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
        <f>MAX(0,(Inputs!$B$3-100)*3)+Inputs!$B$28+Inputs!$B$29</f>
        <v/>
      </c>
      <c r="V187">
        <f>IF(C187,(Skills!G2*N187*B214)*IF(Inputs!$B$38="pvp",1,(1+(Inputs!$B$21+Skills!Q2+(IF(ArtifactsInput!$M$33,CHOOSE(ArtifactsInput!$N$33+1,30,36,42,48,54,60),0))+(IF(AND(ArtifactsInput!$M$35,Inputs!$B$4&lt;&gt;"Chapter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f>Skills!A3</f>
        <v/>
      </c>
      <c r="B188">
        <f>Skills!B3</f>
        <v/>
      </c>
      <c r="C188">
        <f>Inputs!$B$3&gt;=35</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f>Skills!G3*IF(Skills!H3&gt;0,Skills!I3/Skills!H3,1)</f>
        <v/>
      </c>
      <c r="H188">
        <f>1-(1-Skills!J3/100)^Skills!K3</f>
        <v/>
      </c>
      <c r="I188" t="inlineStr">
        <is>
          <t>1</t>
        </is>
      </c>
      <c r="J188">
        <f>((Inputs!$B$6*(1+Inputs!$B$7/100))+(((Inputs!$B$12*(1+Inputs!$B$13/100))-(Inputs!$B$12*(1+Inputs!$B$13/100)))+0.25*(Inputs!$B$14-Inputs!$B$14))*(1+Inputs!$B$7/100))*(F188/100)</f>
        <v/>
      </c>
      <c r="K188">
        <f>J188*(1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f>
        <v/>
      </c>
      <c r="L188">
        <f>K188*(MIN(Inputs!$B$22+((C205=TRUE)*(F205-Calc!F20)),(Inputs!$B$23+0+(IF(ArtifactsInput!$M$15,CHOOSE(ArtifactsInput!$N$15+1,25,30,35,40,45,50)/100*(Inputs!$B$11-Inputs!$B$11),0))))/100+(Inputs!$B$23+0+(IF(ArtifactsInput!$M$15,CHOOSE(ArtifactsInput!$N$15+1,25,30,35,40,45,50)/100*(Inputs!$B$11-Inputs!$B$11),0)))/100)/2</f>
        <v/>
      </c>
      <c r="M188">
        <f>L188*(1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
        <f>L188*(1-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
        <f>(1-Summary!$B$11)*T188+Summary!$B$11*V188</f>
        <v/>
      </c>
      <c r="P188">
        <f>IF(B220=0,0,O188/B220)</f>
        <v/>
      </c>
      <c r="Q188" t="n">
        <v>0</v>
      </c>
      <c r="R188" t="n">
        <v>0</v>
      </c>
      <c r="S188">
        <f>IFERROR(O188/N188,0)</f>
        <v/>
      </c>
      <c r="T188">
        <f>IF(C188,(Skills!G3*H188*N188*B214)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
        <f>INDEX(FactorTable!$B$2:$Y$301, MATCH(ROUND(MIN(300,MAX(1,U187)),0), FactorTable!$A$2:$A$301,0), 22)</f>
        <v/>
      </c>
      <c r="V188">
        <f>IF(C188,(Skills!G3*H188*N188*B214)*IF(Inputs!$B$38="pvp",1,(1+(Inputs!$B$21+Skills!Q3+(IF(ArtifactsInput!$M$33,CHOOSE(ArtifactsInput!$N$33+1,30,36,42,48,54,60),0))+(IF(AND(ArtifactsInput!$M$35,Inputs!$B$4&lt;&gt;"Chapter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
      <c r="A189">
        <f>Skills!A4</f>
        <v/>
      </c>
      <c r="B189">
        <f>Skills!B4</f>
        <v/>
      </c>
      <c r="C189">
        <f>Inputs!$B$3&gt;=60</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TRUE,F197,0)/100)*(1+(IF(Skills!A4="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f>
        <v/>
      </c>
      <c r="L189">
        <f>K189*(MIN(Inputs!$B$22+((C205=TRUE)*(F205-Calc!F20)),(Inputs!$B$23+0+(IF(ArtifactsInput!$M$15,CHOOSE(ArtifactsInput!$N$15+1,25,30,35,40,45,50)/100*(Inputs!$B$11-Inputs!$B$11),0))))/100+(Inputs!$B$23+0+(IF(ArtifactsInput!$M$15,CHOOSE(ArtifactsInput!$N$15+1,25,30,35,40,45,50)/100*(Inputs!$B$11-Inputs!$B$11),0)))/100)/2</f>
        <v/>
      </c>
      <c r="M189">
        <f>L189*(1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
        <f>L189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
        <f>(1-Summary!$B$11)*T189+Summary!$B$11*V189</f>
        <v/>
      </c>
      <c r="P189">
        <f>IF(B220=0,0,O189/B220)</f>
        <v/>
      </c>
      <c r="Q189" t="n">
        <v>0</v>
      </c>
      <c r="R189" t="n">
        <v>0</v>
      </c>
      <c r="S189">
        <f>IFERROR(O189/N189,0)</f>
        <v/>
      </c>
      <c r="T189">
        <f>IF(C189,(Skills!G4*H189*N189*B214)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
        <f>290*U188/1000</f>
        <v/>
      </c>
      <c r="V189">
        <f>IF(C189,(Skills!G4*H189*N189*B214)*IF(Inputs!$B$38="pvp",1,(1+(Inputs!$B$21+Skills!Q4+(IF(ArtifactsInput!$M$33,CHOOSE(ArtifactsInput!$N$33+1,30,36,42,48,54,60),0))+(IF(AND(ArtifactsInput!$M$35,Inputs!$B$4&lt;&gt;"Chapter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
      <c r="A190">
        <f>Skills!A5</f>
        <v/>
      </c>
      <c r="B190">
        <f>Skills!B5</f>
        <v/>
      </c>
      <c r="C190">
        <f>Inputs!$B$3&gt;=60</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t="inlineStr"/>
      <c r="K190" t="inlineStr"/>
      <c r="L190" t="inlineStr"/>
      <c r="M190" t="inlineStr"/>
      <c r="N190" t="inlineStr"/>
      <c r="O190">
        <f>(1-Summary!$B$11)*T190+Summary!$B$11*V190</f>
        <v/>
      </c>
      <c r="P190">
        <f>IF(B220=0,0,O190/B220)</f>
        <v/>
      </c>
      <c r="Q190" t="n">
        <v>0</v>
      </c>
      <c r="R190" t="n">
        <v>0</v>
      </c>
      <c r="S190">
        <f>IFERROR(O190/N190,0)</f>
        <v/>
      </c>
      <c r="T190" t="n">
        <v>0</v>
      </c>
      <c r="V190" t="n">
        <v>0</v>
      </c>
    </row>
    <row r="191">
      <c r="A191">
        <f>Skills!A6</f>
        <v/>
      </c>
      <c r="B191">
        <f>Skills!B6</f>
        <v/>
      </c>
      <c r="C191">
        <f>Inputs!$B$3&gt;=63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205=TRUE)*(F205-Calc!F20)),(Inputs!$B$23+0+(IF(ArtifactsInput!$M$15,CHOOSE(ArtifactsInput!$N$15+1,25,30,35,40,45,50)/100*(Inputs!$B$11-Inputs!$B$11),0))))/100+(Inputs!$B$23+0+(IF(ArtifactsInput!$M$15,CHOOSE(ArtifactsInput!$N$15+1,25,30,35,40,45,50)/100*(Inputs!$B$11-Inputs!$B$11),0)))/100)/2</f>
        <v/>
      </c>
      <c r="M191">
        <f>L191*(1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IF(B220=0,0,O191/B220)</f>
        <v/>
      </c>
      <c r="Q191">
        <f>IFERROR(1/(IF(Inputs!$B$38="pvp",15,MAX(0.1,Skills!D6-IF(Skills!E6=TRUE,Inputs!$B$32,0)))*(1-IF(AND(ArtifactsInput!$M$27,Inputs!$B$4="Chapter Hunt"),CHOOSE(ArtifactsInput!$N$27+1,20,24,28,32,36,40),0)/100)),0)</f>
        <v/>
      </c>
      <c r="R191">
        <f>IF(AND(Inputs!$B$38&lt;&gt;"pvp",Inputs!$B$43&gt;0),IF(MAX(0,Inputs!$B$43-B217)&lt;=0,0,(INT(MAX(0,Inputs!$B$43-B217)/(IF(Inputs!$B$38="pvp",15,MAX(0.1,Skills!D6-IF(Skills!E6=TRUE,Inputs!$B$32,0)))*(1-IF(AND(ArtifactsInput!$M$27,Inputs!$B$4="Chapter Hunt"),CHOOSE(ArtifactsInput!$N$27+1,20,24,28,32,36,40),0)/100)))+1)),0)</f>
        <v/>
      </c>
      <c r="S191">
        <f>IFERROR(O191/N191,0)</f>
        <v/>
      </c>
      <c r="T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$21+Skills!Q6+(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Skills!A7</f>
        <v/>
      </c>
      <c r="B192">
        <f>Skills!B7</f>
        <v/>
      </c>
      <c r="C192">
        <f>Inputs!$B$3&gt;=100</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205=TRUE)*(F205-Calc!F20)),(Inputs!$B$23+0+(IF(ArtifactsInput!$M$15,CHOOSE(ArtifactsInput!$N$15+1,25,30,35,40,45,50)/100*(Inputs!$B$11-Inputs!$B$11),0))))/100+(Inputs!$B$23+0+(IF(ArtifactsInput!$M$15,CHOOSE(ArtifactsInput!$N$15+1,25,30,35,40,45,50)/100*(Inputs!$B$11-Inputs!$B$11),0)))/100)/2</f>
        <v/>
      </c>
      <c r="M192">
        <f>L192*(1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IF(B220=0,0,O192/B220)</f>
        <v/>
      </c>
      <c r="Q192">
        <f>IFERROR(1/(IF(Inputs!$B$38="pvp",15,MAX(0.1,Skills!D7-IF(Skills!E7=TRUE,Inputs!$B$32,0)))*(1-IF(AND(ArtifactsInput!$M$27,Inputs!$B$4="Chapter Hunt"),CHOOSE(ArtifactsInput!$N$27+1,20,24,28,32,36,40),0)/100)),0)</f>
        <v/>
      </c>
      <c r="R192">
        <f>IF(AND(Inputs!$B$38&lt;&gt;"pvp",Inputs!$B$43&gt;0),IF(MAX(0,Inputs!$B$43-B217)&lt;=0,0,(INT(MAX(0,Inputs!$B$43-B217)/(IF(Inputs!$B$38="pvp",15,MAX(0.1,Skills!D7-IF(Skills!E7=TRUE,Inputs!$B$32,0)))*(1-IF(AND(ArtifactsInput!$M$27,Inputs!$B$4="Chapter Hunt"),CHOOSE(ArtifactsInput!$N$27+1,20,24,28,32,36,40),0)/100)))+1)),0)</f>
        <v/>
      </c>
      <c r="S192">
        <f>IFERROR(O192/N192,0)</f>
        <v/>
      </c>
      <c r="T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$21+Skills!Q7+(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Skills!A8</f>
        <v/>
      </c>
      <c r="B193">
        <f>Skills!B8</f>
        <v/>
      </c>
      <c r="C193">
        <f>Inputs!$B$3&gt;=110</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205=TRUE)*(F205-Calc!F20)),(Inputs!$B$23+0+(IF(ArtifactsInput!$M$15,CHOOSE(ArtifactsInput!$N$15+1,25,30,35,40,45,50)/100*(Inputs!$B$11-Inputs!$B$11),0))))/100+(Inputs!$B$23+0+(IF(ArtifactsInput!$M$15,CHOOSE(ArtifactsInput!$N$15+1,25,30,35,40,45,50)/100*(Inputs!$B$11-Inputs!$B$11),0)))/100)/2</f>
        <v/>
      </c>
      <c r="M193">
        <f>L193*(1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IF(B220=0,0,O193/B220)</f>
        <v/>
      </c>
      <c r="Q193">
        <f>IFERROR(1/(IF(Inputs!$B$38="pvp",15,MAX(0.1,Skills!D8-IF(Skills!E8=TRUE,Inputs!$B$32,0)))*(1-IF(AND(ArtifactsInput!$M$27,Inputs!$B$4="Chapter Hunt"),CHOOSE(ArtifactsInput!$N$27+1,20,24,28,32,36,40),0)/100)),0)</f>
        <v/>
      </c>
      <c r="R193">
        <f>IF(AND(Inputs!$B$38&lt;&gt;"pvp",Inputs!$B$43&gt;0),IF(MAX(0,Inputs!$B$43-B217)&lt;=0,0,(INT(MAX(0,Inputs!$B$43-B217)/(IF(Inputs!$B$38="pvp",15,MAX(0.1,Skills!D8-IF(Skills!E8=TRUE,Inputs!$B$32,0)))*(1-IF(AND(ArtifactsInput!$M$27,Inputs!$B$4="Chapter Hunt"),CHOOSE(ArtifactsInput!$N$27+1,20,24,28,32,36,40),0)/100)))+1)),0)</f>
        <v/>
      </c>
      <c r="S193">
        <f>IFERROR(O193/N193,0)</f>
        <v/>
      </c>
      <c r="T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$21+Skills!Q8+(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Skills!A9</f>
        <v/>
      </c>
      <c r="B194">
        <f>Skills!B9</f>
        <v/>
      </c>
      <c r="C194">
        <f>Inputs!$B$3&gt;=110</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205=TRUE)*(F205-Calc!F20)),(Inputs!$B$23+0+(IF(ArtifactsInput!$M$15,CHOOSE(ArtifactsInput!$N$15+1,25,30,35,40,45,50)/100*(Inputs!$B$11-Inputs!$B$11),0))))/100+(Inputs!$B$23+0+(IF(ArtifactsInput!$M$15,CHOOSE(ArtifactsInput!$N$15+1,25,30,35,40,45,50)/100*(Inputs!$B$11-Inputs!$B$11),0)))/100)/2</f>
        <v/>
      </c>
      <c r="M194">
        <f>L194*(1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IF(B220=0,0,O194/B220)</f>
        <v/>
      </c>
      <c r="Q194">
        <f>IFERROR(1/(IF(Inputs!$B$38="pvp",15,MAX(0.1,Skills!D9-IF(Skills!E9=TRUE,Inputs!$B$32,0)))*(1-IF(AND(ArtifactsInput!$M$27,Inputs!$B$4="Chapter Hunt"),CHOOSE(ArtifactsInput!$N$27+1,20,24,28,32,36,40),0)/100)),0)</f>
        <v/>
      </c>
      <c r="R194">
        <f>IF(AND(Inputs!$B$38&lt;&gt;"pvp",Inputs!$B$43&gt;0),IF(MAX(0,Inputs!$B$43-B217)&lt;=0,0,(INT(MAX(0,Inputs!$B$43-B217)/(IF(Inputs!$B$38="pvp",15,MAX(0.1,Skills!D9-IF(Skills!E9=TRUE,Inputs!$B$32,0)))*(1-IF(AND(ArtifactsInput!$M$27,Inputs!$B$4="Chapter Hunt"),CHOOSE(ArtifactsInput!$N$27+1,20,24,28,32,36,40),0)/100)))+1)),0)</f>
        <v/>
      </c>
      <c r="S194">
        <f>IFERROR(O194/N194,0)</f>
        <v/>
      </c>
      <c r="T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$21+Skills!Q9+(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Skills!A10</f>
        <v/>
      </c>
      <c r="B195">
        <f>Skills!B10</f>
        <v/>
      </c>
      <c r="C195">
        <f>Inputs!$B$3&gt;=103</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205=TRUE)*(F205-Calc!F20)),(Inputs!$B$23+0+(IF(ArtifactsInput!$M$15,CHOOSE(ArtifactsInput!$N$15+1,25,30,35,40,45,50)/100*(Inputs!$B$11-Inputs!$B$11),0))))/100+(Inputs!$B$23+0+(IF(ArtifactsInput!$M$15,CHOOSE(ArtifactsInput!$N$15+1,25,30,35,40,45,50)/100*(Inputs!$B$11-Inputs!$B$11),0)))/100)/2</f>
        <v/>
      </c>
      <c r="M195">
        <f>L195*(1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IF(B220=0,0,O195/B220)</f>
        <v/>
      </c>
      <c r="Q195">
        <f>IFERROR(1/(IF(Inputs!$B$38="pvp",15,MAX(0.1,Skills!D10-IF(Skills!E10=TRUE,Inputs!$B$32,0)))*(1-IF(AND(ArtifactsInput!$M$27,Inputs!$B$4="Chapter Hunt"),CHOOSE(ArtifactsInput!$N$27+1,20,24,28,32,36,40),0)/100)),0)</f>
        <v/>
      </c>
      <c r="R195">
        <f>IF(AND(Inputs!$B$38&lt;&gt;"pvp",Inputs!$B$43&gt;0),IF(MAX(0,Inputs!$B$43-B217)&lt;=0,0,(INT(MAX(0,Inputs!$B$43-B217)/(IF(Inputs!$B$38="pvp",15,MAX(0.1,Skills!D10-IF(Skills!E10=TRUE,Inputs!$B$32,0)))*(1-IF(AND(ArtifactsInput!$M$27,Inputs!$B$4="Chapter Hunt"),CHOOSE(ArtifactsInput!$N$27+1,20,24,28,32,36,40),0)/100)))+1)),0)</f>
        <v/>
      </c>
      <c r="S195">
        <f>IFERROR(O195/N195,0)</f>
        <v/>
      </c>
      <c r="T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$21+Skills!Q10+(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Skills!A11</f>
        <v/>
      </c>
      <c r="B196">
        <f>Skills!B11</f>
        <v/>
      </c>
      <c r="C196">
        <f>Inputs!$B$3&gt;=113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205=TRUE)*(F205-Calc!F20)),(Inputs!$B$23+0+(IF(ArtifactsInput!$M$15,CHOOSE(ArtifactsInput!$N$15+1,25,30,35,40,45,50)/100*(Inputs!$B$11-Inputs!$B$11),0))))/100+(Inputs!$B$23+0+(IF(ArtifactsInput!$M$15,CHOOSE(ArtifactsInput!$N$15+1,25,30,35,40,45,50)/100*(Inputs!$B$11-Inputs!$B$11),0)))/100)/2</f>
        <v/>
      </c>
      <c r="M196">
        <f>L196*(1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IF(B220=0,0,O196/B220)</f>
        <v/>
      </c>
      <c r="Q196">
        <f>IFERROR(1/(IF(Inputs!$B$38="pvp",15,MAX(0.1,Skills!D11-IF(Skills!E11=TRUE,Inputs!$B$32,0)))*(1-IF(AND(ArtifactsInput!$M$27,Inputs!$B$4="Chapter Hunt"),CHOOSE(ArtifactsInput!$N$27+1,20,24,28,32,36,40),0)/100)),0)</f>
        <v/>
      </c>
      <c r="R196">
        <f>IF(AND(Inputs!$B$38&lt;&gt;"pvp",Inputs!$B$43&gt;0),IF(MAX(0,Inputs!$B$43-B217)&lt;=0,0,(INT(MAX(0,Inputs!$B$43-B217)/(IF(Inputs!$B$38="pvp",15,MAX(0.1,Skills!D11-IF(Skills!E11=TRUE,Inputs!$B$32,0)))*(1-IF(AND(ArtifactsInput!$M$27,Inputs!$B$4="Chapter Hunt"),CHOOSE(ArtifactsInput!$N$27+1,20,24,28,32,36,40),0)/100)))+1)),0)</f>
        <v/>
      </c>
      <c r="S196">
        <f>IFERROR(O196/N196,0)</f>
        <v/>
      </c>
      <c r="T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$21+Skills!Q11+(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c r="T197" t="inlineStr"/>
      <c r="V197" t="inlineStr"/>
    </row>
    <row r="198">
      <c r="A198">
        <f>Skills!A13</f>
        <v/>
      </c>
      <c r="B198">
        <f>Skills!B13</f>
        <v/>
      </c>
      <c r="C198">
        <f>Inputs!$B$3&gt;=66</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f>(1-Summary!$B$11)*T198+Summary!$B$11*V198</f>
        <v/>
      </c>
      <c r="P198">
        <f>IF(B220=0,0,O198/B220)</f>
        <v/>
      </c>
      <c r="Q198" t="n">
        <v>0</v>
      </c>
      <c r="R198" t="n">
        <v>0</v>
      </c>
      <c r="S198">
        <f>IFERROR(O198/N198,0)</f>
        <v/>
      </c>
      <c r="T198" t="n">
        <v>0</v>
      </c>
      <c r="V198" t="n">
        <v>0</v>
      </c>
    </row>
    <row r="199">
      <c r="A199">
        <f>Skills!A14</f>
        <v/>
      </c>
      <c r="B199">
        <f>Skills!B14</f>
        <v/>
      </c>
      <c r="C199">
        <f>Inputs!$B$3&gt;=107</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f>(1-Summary!$B$11)*T199+Summary!$B$11*V199</f>
        <v/>
      </c>
      <c r="P199">
        <f>IF(B220=0,0,O199/B220)</f>
        <v/>
      </c>
      <c r="Q199" t="n">
        <v>0</v>
      </c>
      <c r="R199" t="n">
        <v>0</v>
      </c>
      <c r="S199">
        <f>IFERROR(O199/N199,0)</f>
        <v/>
      </c>
      <c r="T199" t="n">
        <v>0</v>
      </c>
      <c r="V199" t="n">
        <v>0</v>
      </c>
    </row>
    <row r="200">
      <c r="A200">
        <f>Skills!A15</f>
        <v/>
      </c>
      <c r="B200">
        <f>Skills!B15</f>
        <v/>
      </c>
      <c r="C200">
        <f>Inputs!$B$3&gt;=115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f>(1-Summary!$B$11)*T200+Summary!$B$11*V200</f>
        <v/>
      </c>
      <c r="P200">
        <f>IF(B220=0,0,O200/B220)</f>
        <v/>
      </c>
      <c r="Q200" t="n">
        <v>0</v>
      </c>
      <c r="R200" t="n">
        <v>0</v>
      </c>
      <c r="S200">
        <f>IFERROR(O200/N200,0)</f>
        <v/>
      </c>
      <c r="T200" t="n">
        <v>0</v>
      </c>
      <c r="V200" t="n">
        <v>0</v>
      </c>
    </row>
    <row r="201">
      <c r="A201">
        <f>Skills!A16</f>
        <v/>
      </c>
      <c r="B201">
        <f>Skills!B16</f>
        <v/>
      </c>
      <c r="C201">
        <f>Inputs!$B$3&gt;=15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f>(1-Summary!$B$11)*T201+Summary!$B$11*V201</f>
        <v/>
      </c>
      <c r="P201">
        <f>IF(B220=0,0,O201/B220)</f>
        <v/>
      </c>
      <c r="Q201" t="n">
        <v>0</v>
      </c>
      <c r="R201" t="n">
        <v>0</v>
      </c>
      <c r="S201">
        <f>IFERROR(O201/N201,0)</f>
        <v/>
      </c>
      <c r="T201" t="n">
        <v>0</v>
      </c>
      <c r="V201" t="n">
        <v>0</v>
      </c>
    </row>
    <row r="202">
      <c r="A202">
        <f>Skills!A17</f>
        <v/>
      </c>
      <c r="B202">
        <f>Skills!B17</f>
        <v/>
      </c>
      <c r="C202">
        <f>Inputs!$B$3&gt;=10</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f>(1-Summary!$B$11)*T202+Summary!$B$11*V202</f>
        <v/>
      </c>
      <c r="P202">
        <f>IF(B220=0,0,O202/B220)</f>
        <v/>
      </c>
      <c r="Q202" t="n">
        <v>0</v>
      </c>
      <c r="R202" t="n">
        <v>0</v>
      </c>
      <c r="S202">
        <f>IFERROR(O202/N202,0)</f>
        <v/>
      </c>
      <c r="T202" t="n">
        <v>0</v>
      </c>
      <c r="V202" t="n">
        <v>0</v>
      </c>
    </row>
    <row r="203">
      <c r="A203">
        <f>Skills!A18</f>
        <v/>
      </c>
      <c r="B203">
        <f>Skills!B18</f>
        <v/>
      </c>
      <c r="C203">
        <f>Inputs!$B$3&gt;=33</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f>(1-Summary!$B$11)*T203+Summary!$B$11*V203</f>
        <v/>
      </c>
      <c r="P203">
        <f>IF(B220=0,0,O203/B220)</f>
        <v/>
      </c>
      <c r="Q203" t="n">
        <v>0</v>
      </c>
      <c r="R203" t="n">
        <v>0</v>
      </c>
      <c r="S203">
        <f>IFERROR(O203/N203,0)</f>
        <v/>
      </c>
      <c r="T203" t="n">
        <v>0</v>
      </c>
      <c r="V203" t="n">
        <v>0</v>
      </c>
    </row>
    <row r="204">
      <c r="A204">
        <f>Skills!A19</f>
        <v/>
      </c>
      <c r="B204">
        <f>Skills!B19</f>
        <v/>
      </c>
      <c r="C204">
        <f>Inputs!$B$3&gt;=40</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f>(1-Summary!$B$11)*T204+Summary!$B$11*V204</f>
        <v/>
      </c>
      <c r="P204">
        <f>IF(B220=0,0,O204/B220)</f>
        <v/>
      </c>
      <c r="Q204" t="n">
        <v>0</v>
      </c>
      <c r="R204" t="n">
        <v>0</v>
      </c>
      <c r="S204">
        <f>IFERROR(O204/N204,0)</f>
        <v/>
      </c>
      <c r="T204" t="n">
        <v>0</v>
      </c>
      <c r="V204" t="n">
        <v>0</v>
      </c>
    </row>
    <row r="205">
      <c r="A205">
        <f>Skills!A20</f>
        <v/>
      </c>
      <c r="B205">
        <f>Skills!B20</f>
        <v/>
      </c>
      <c r="C205">
        <f>Inputs!$B$3&gt;=43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f>(1-Summary!$B$11)*T205+Summary!$B$11*V205</f>
        <v/>
      </c>
      <c r="P205">
        <f>IF(B220=0,0,O205/B220)</f>
        <v/>
      </c>
      <c r="Q205" t="n">
        <v>0</v>
      </c>
      <c r="R205" t="n">
        <v>0</v>
      </c>
      <c r="S205">
        <f>IFERROR(O205/N205,0)</f>
        <v/>
      </c>
      <c r="T205" t="n">
        <v>0</v>
      </c>
      <c r="V205" t="n">
        <v>0</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f>(1-Summary!$B$11)*T206+Summary!$B$11*V206</f>
        <v/>
      </c>
      <c r="P206">
        <f>IF(B220=0,0,O206/B220)</f>
        <v/>
      </c>
      <c r="Q206" t="n">
        <v>0</v>
      </c>
      <c r="R206" t="n">
        <v>0</v>
      </c>
      <c r="S206">
        <f>IFERROR(O206/N206,0)</f>
        <v/>
      </c>
      <c r="T206" t="n">
        <v>0</v>
      </c>
      <c r="V206" t="n">
        <v>0</v>
      </c>
    </row>
    <row r="207">
      <c r="A207">
        <f>Skills!A22</f>
        <v/>
      </c>
      <c r="B207">
        <f>Skills!B22</f>
        <v/>
      </c>
      <c r="C207">
        <f>Inputs!$B$3&gt;=75</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f>(1-Summary!$B$11)*T207+Summary!$B$11*V207</f>
        <v/>
      </c>
      <c r="P207">
        <f>IF(B220=0,0,O207/B220)</f>
        <v/>
      </c>
      <c r="Q207" t="n">
        <v>0</v>
      </c>
      <c r="R207" t="n">
        <v>0</v>
      </c>
      <c r="S207">
        <f>IFERROR(O207/N207,0)</f>
        <v/>
      </c>
      <c r="T207" t="n">
        <v>0</v>
      </c>
      <c r="V207" t="n">
        <v>0</v>
      </c>
    </row>
    <row r="209">
      <c r="A209" t="inlineStr">
        <is>
          <t>Attack% Bucket Multiplier</t>
        </is>
      </c>
      <c r="B209">
        <f>(1+(((C198=TRUE)*F198)+((C204=TRUE)*(F204-Calc!F19))+(IF(ArtifactsInput!$M$21,CHOOSE(ArtifactsInput!$N$21+1,25,30,35,40,45,50)*(IF(OR(Inputs!$B$4="Chapter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0">
      <c r="A210" t="inlineStr">
        <is>
          <t>Global Crit Rate Bonus %</t>
        </is>
      </c>
      <c r="B210" t="n">
        <v>0</v>
      </c>
    </row>
    <row r="211">
      <c r="A211" t="inlineStr">
        <is>
          <t>Attack Speed Buff Bonus % (unused)</t>
        </is>
      </c>
      <c r="B211" t="n">
        <v>0</v>
      </c>
    </row>
    <row r="212">
      <c r="A212" t="inlineStr">
        <is>
          <t>Actions Per Second</t>
        </is>
      </c>
      <c r="B212">
        <f>1+MIN(150,150*(1-(1-(Inputs!$B$11+((C202=TRUE)*(F202-Calc!F17))+((C203=TRUE)*(F203-Calc!F18)))/150)*(1-B211/150)))/100</f>
        <v/>
      </c>
    </row>
    <row r="213">
      <c r="A213" t="inlineStr">
        <is>
          <t>Skill + Buff Cast Rate</t>
        </is>
      </c>
      <c r="B213">
        <f>IF(AND(Inputs!$B$38&lt;&gt;"pvp",Inputs!$B$43&gt;0),SUMPRODUCT((Skills!E2:E22=TRUE)*(C187:C207=TRUE)*R187:R207*Skills!F2:F22)/Inputs!$B$43,SUMPRODUCT((Skills!E2:E22=TRUE)*(C187:C207=TRUE)*Q187:Q207*Skills!F2:F22))</f>
        <v/>
      </c>
    </row>
    <row r="214">
      <c r="A214" t="inlineStr">
        <is>
          <t>Hook Bomber Casts Per Second</t>
        </is>
      </c>
      <c r="B214">
        <f>MAX(0,B212-B213)</f>
        <v/>
      </c>
    </row>
    <row r="215">
      <c r="A215" t="inlineStr">
        <is>
          <t>Global Critical Damage Bonus % (unused)</t>
        </is>
      </c>
      <c r="B215" t="n">
        <v>0</v>
      </c>
    </row>
    <row r="216">
      <c r="A216" t="inlineStr">
        <is>
          <t>Global Final Damage Bonus % (Serpent Scale + Crossbones + Time Leap + Speed Infusion)</t>
        </is>
      </c>
      <c r="B216">
        <f>((C190=TRUE)*F190*((10+IF(Inputs!$B$3&gt;=94,5,0))/((10+IF(Inputs!$B$3&gt;=94,5,0))+5/(B214*(1+IF(Inputs!$B$3&gt;=104,1,0))))))+((C199=TRUE)*F199)+((C200=TRUE)*F200)+((Inputs!$B$3&gt;=110)*20*(B212-1))</f>
        <v/>
      </c>
    </row>
    <row r="217">
      <c r="A217" t="inlineStr">
        <is>
          <t>Buff-Casting Startup Delay (s, fixed-duration only)</t>
        </is>
      </c>
      <c r="B217">
        <f>IF(AND(Inputs!$B$38&lt;&gt;"pvp",Inputs!$B$43&gt;0),SUMPRODUCT((Skills!T2:T22&gt;0)*(Skills!E2:E22=TRUE)*(C187:C207=TRUE))/B212,0)</f>
        <v/>
      </c>
    </row>
    <row r="218">
      <c r="A218" t="inlineStr">
        <is>
          <t>Boss-Only Total DPS (this block's swept value)</t>
        </is>
      </c>
      <c r="B218">
        <f>SUM(T187:T207)</f>
        <v/>
      </c>
    </row>
    <row r="219">
      <c r="A219" t="inlineStr">
        <is>
          <t>Normal-Only Total DPS (this block's swept value)</t>
        </is>
      </c>
      <c r="B219">
        <f>SUM(V187:V207)</f>
        <v/>
      </c>
    </row>
    <row r="220">
      <c r="A220" s="6" t="inlineStr">
        <is>
          <t>TOTAL DPS</t>
        </is>
      </c>
      <c r="B220" s="6">
        <f>SUM(O187:O207)</f>
        <v/>
      </c>
    </row>
    <row r="223">
      <c r="A223" s="6" t="inlineStr">
        <is>
          <t>Stat: DAMAGE_AMP %</t>
        </is>
      </c>
    </row>
    <row r="224">
      <c r="A224" s="5" t="inlineStr">
        <is>
          <t>Key</t>
        </is>
      </c>
      <c r="B224" s="5" t="inlineStr">
        <is>
          <t>Name</t>
        </is>
      </c>
      <c r="C224" s="5" t="inlineStr">
        <is>
          <t>Unlocked</t>
        </is>
      </c>
      <c r="D224" s="5" t="inlineStr">
        <is>
          <t>InputLevel</t>
        </is>
      </c>
      <c r="E224" s="5" t="inlineStr">
        <is>
          <t>Factor</t>
        </is>
      </c>
      <c r="F224" s="5" t="inlineStr">
        <is>
          <t>CoefficientPercent</t>
        </is>
      </c>
      <c r="G224" s="5" t="inlineStr">
        <is>
          <t>EffectiveHits</t>
        </is>
      </c>
      <c r="H224" s="5" t="inlineStr">
        <is>
          <t>ProcProbability</t>
        </is>
      </c>
      <c r="I224" s="5" t="inlineStr">
        <is>
          <t>MapleHeroMultiplier</t>
        </is>
      </c>
      <c r="J224" s="5" t="inlineStr">
        <is>
          <t>BaseDamage</t>
        </is>
      </c>
      <c r="K224" s="5" t="inlineStr">
        <is>
          <t>BaseHitDamage</t>
        </is>
      </c>
      <c r="L224" s="5" t="inlineStr">
        <is>
          <t>NonCritAvg</t>
        </is>
      </c>
      <c r="M224" s="5" t="inlineStr">
        <is>
          <t>CritAvg</t>
        </is>
      </c>
      <c r="N224" s="5" t="inlineStr">
        <is>
          <t>ExpectedDamage(perHit)</t>
        </is>
      </c>
      <c r="O224" s="5" t="inlineStr">
        <is>
          <t>DPS</t>
        </is>
      </c>
      <c r="P224" s="5" t="inlineStr">
        <is>
          <t>% of Total</t>
        </is>
      </c>
      <c r="Q224" s="5" t="inlineStr">
        <is>
          <t>InvCooldown</t>
        </is>
      </c>
      <c r="R224" s="5" t="inlineStr">
        <is>
          <t>CastsInFight</t>
        </is>
      </c>
      <c r="S224" s="5"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243=TRUE)*(F243-Calc!F20)),(Inputs!$B$23+0+(IF(ArtifactsInput!$M$15,CHOOSE(ArtifactsInput!$N$15+1,25,30,35,40,45,50)/100*(Inputs!$B$11-Inputs!$B$11),0))))/100+(Inputs!$B$23+0+(IF(ArtifactsInput!$M$15,CHOOSE(ArtifactsInput!$N$15+1,25,30,35,40,45,50)/100*(Inputs!$B$11-Inputs!$B$11),0)))/100)/2</f>
        <v/>
      </c>
      <c r="M225">
        <f>L225*(1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IF(B258=0,0,O225/B258)</f>
        <v/>
      </c>
      <c r="Q225" t="n">
        <v>0</v>
      </c>
      <c r="R225" t="n">
        <v>0</v>
      </c>
      <c r="S225">
        <f>IFERROR(O225/N225,0)</f>
        <v/>
      </c>
      <c r="T225">
        <f>IF(C225,(Skills!G2*N225*B252)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
        <f>MAX(0,(Inputs!$B$3-100)*3)+Inputs!$B$28+Inputs!$B$29</f>
        <v/>
      </c>
      <c r="V225">
        <f>IF(C225,(Skills!G2*N225*B252)*IF(Inputs!$B$38="pvp",1,(1+(Inputs!$B$21+Skills!Q2+(IF(ArtifactsInput!$M$33,CHOOSE(ArtifactsInput!$N$33+1,30,36,42,48,54,60),0))+(IF(AND(ArtifactsInput!$M$35,Inputs!$B$4&lt;&gt;"Chapter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Skills!G3*IF(Skills!H3&gt;0,Skills!I3/Skills!H3,1)</f>
        <v/>
      </c>
      <c r="H226">
        <f>1-(1-Skills!J3/100)^Skills!K3</f>
        <v/>
      </c>
      <c r="I226" t="inlineStr">
        <is>
          <t>1</t>
        </is>
      </c>
      <c r="J226">
        <f>((Inputs!$B$6*(1+Inputs!$B$7/100))+(((Inputs!$B$12*(1+Inputs!$B$13/100))-(Inputs!$B$12*(1+Inputs!$B$13/100)))+0.25*(Inputs!$B$14-Inputs!$B$14))*(1+Inputs!$B$7/100))*(F226/100)</f>
        <v/>
      </c>
      <c r="K226">
        <f>J226*(1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243=TRUE)*(F243-Calc!F20)),(Inputs!$B$23+0+(IF(ArtifactsInput!$M$15,CHOOSE(ArtifactsInput!$N$15+1,25,30,35,40,45,50)/100*(Inputs!$B$11-Inputs!$B$11),0))))/100+(Inputs!$B$23+0+(IF(ArtifactsInput!$M$15,CHOOSE(ArtifactsInput!$N$15+1,25,30,35,40,45,50)/100*(Inputs!$B$11-Inputs!$B$11),0)))/100)/2</f>
        <v/>
      </c>
      <c r="M226">
        <f>L226*(1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IF(B258=0,0,O226/B258)</f>
        <v/>
      </c>
      <c r="Q226" t="n">
        <v>0</v>
      </c>
      <c r="R226" t="n">
        <v>0</v>
      </c>
      <c r="S226">
        <f>IFERROR(O226/N226,0)</f>
        <v/>
      </c>
      <c r="T226">
        <f>IF(C226,(Skills!G3*H226*N226*B252)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INDEX(FactorTable!$B$2:$Y$301, MATCH(ROUND(MIN(300,MAX(1,U225)),0), FactorTable!$A$2:$A$301,0), 22)</f>
        <v/>
      </c>
      <c r="V226">
        <f>IF(C226,(Skills!G3*H226*N226*B252)*IF(Inputs!$B$38="pvp",1,(1+(Inputs!$B$21+Skills!Q3+(IF(ArtifactsInput!$M$33,CHOOSE(ArtifactsInput!$N$33+1,30,36,42,48,54,60),0))+(IF(AND(ArtifactsInput!$M$35,Inputs!$B$4&lt;&gt;"Chapter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Skills!A4</f>
        <v/>
      </c>
      <c r="B227">
        <f>Skills!B4</f>
        <v/>
      </c>
      <c r="C227">
        <f>Inputs!$B$3&gt;=60</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TRUE,F235,0)/100)*(1+(IF(Skills!A4="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f>
        <v/>
      </c>
      <c r="L227">
        <f>K227*(MIN(Inputs!$B$22+((C243=TRUE)*(F243-Calc!F20)),(Inputs!$B$23+0+(IF(ArtifactsInput!$M$15,CHOOSE(ArtifactsInput!$N$15+1,25,30,35,40,45,50)/100*(Inputs!$B$11-Inputs!$B$11),0))))/100+(Inputs!$B$23+0+(IF(ArtifactsInput!$M$15,CHOOSE(ArtifactsInput!$N$15+1,25,30,35,40,45,50)/100*(Inputs!$B$11-Inputs!$B$11),0)))/100)/2</f>
        <v/>
      </c>
      <c r="M227">
        <f>L227*(1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
        <f>L227*(1-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
        <f>(1-Summary!$B$11)*T227+Summary!$B$11*V227</f>
        <v/>
      </c>
      <c r="P227">
        <f>IF(B258=0,0,O227/B258)</f>
        <v/>
      </c>
      <c r="Q227" t="n">
        <v>0</v>
      </c>
      <c r="R227" t="n">
        <v>0</v>
      </c>
      <c r="S227">
        <f>IFERROR(O227/N227,0)</f>
        <v/>
      </c>
      <c r="T227">
        <f>IF(C227,(Skills!G4*H227*N227*B252)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
        <f>290*U226/1000</f>
        <v/>
      </c>
      <c r="V227">
        <f>IF(C227,(Skills!G4*H227*N227*B252)*IF(Inputs!$B$38="pvp",1,(1+(Inputs!$B$21+Skills!Q4+(IF(ArtifactsInput!$M$33,CHOOSE(ArtifactsInput!$N$33+1,30,36,42,48,54,60),0))+(IF(AND(ArtifactsInput!$M$35,Inputs!$B$4&lt;&gt;"Chapter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
      <c r="A228">
        <f>Skills!A5</f>
        <v/>
      </c>
      <c r="B228">
        <f>Skills!B5</f>
        <v/>
      </c>
      <c r="C228">
        <f>Inputs!$B$3&gt;=60</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t="inlineStr"/>
      <c r="K228" t="inlineStr"/>
      <c r="L228" t="inlineStr"/>
      <c r="M228" t="inlineStr"/>
      <c r="N228" t="inlineStr"/>
      <c r="O228">
        <f>(1-Summary!$B$11)*T228+Summary!$B$11*V228</f>
        <v/>
      </c>
      <c r="P228">
        <f>IF(B258=0,0,O228/B258)</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243=TRUE)*(F243-Calc!F20)),(Inputs!$B$23+0+(IF(ArtifactsInput!$M$15,CHOOSE(ArtifactsInput!$N$15+1,25,30,35,40,45,50)/100*(Inputs!$B$11-Inputs!$B$11),0))))/100+(Inputs!$B$23+0+(IF(ArtifactsInput!$M$15,CHOOSE(ArtifactsInput!$N$15+1,25,30,35,40,45,50)/100*(Inputs!$B$11-Inputs!$B$11),0)))/100)/2</f>
        <v/>
      </c>
      <c r="M229">
        <f>L229*(1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IF(B258=0,0,O229/B258)</f>
        <v/>
      </c>
      <c r="Q229">
        <f>IFERROR(1/(IF(Inputs!$B$38="pvp",15,MAX(0.1,Skills!D6-IF(Skills!E6=TRUE,Inputs!$B$32,0)))*(1-IF(AND(ArtifactsInput!$M$27,Inputs!$B$4="Chapter Hunt"),CHOOSE(ArtifactsInput!$N$27+1,20,24,28,32,36,40),0)/100)),0)</f>
        <v/>
      </c>
      <c r="R229">
        <f>IF(AND(Inputs!$B$38&lt;&gt;"pvp",Inputs!$B$43&gt;0),IF(MAX(0,Inputs!$B$43-B255)&lt;=0,0,(INT(MAX(0,Inputs!$B$43-B255)/(IF(Inputs!$B$38="pvp",15,MAX(0.1,Skills!D6-IF(Skills!E6=TRUE,Inputs!$B$32,0)))*(1-IF(AND(ArtifactsInput!$M$27,Inputs!$B$4="Chapter Hunt"),CHOOSE(ArtifactsInput!$N$27+1,20,24,28,32,36,40),0)/100)))+1)),0)</f>
        <v/>
      </c>
      <c r="S229">
        <f>IFERROR(O229/N229,0)</f>
        <v/>
      </c>
      <c r="T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$21+Skills!Q6+(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Skills!A7</f>
        <v/>
      </c>
      <c r="B230">
        <f>Skills!B7</f>
        <v/>
      </c>
      <c r="C230">
        <f>Inputs!$B$3&gt;=100</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243=TRUE)*(F243-Calc!F20)),(Inputs!$B$23+0+(IF(ArtifactsInput!$M$15,CHOOSE(ArtifactsInput!$N$15+1,25,30,35,40,45,50)/100*(Inputs!$B$11-Inputs!$B$11),0))))/100+(Inputs!$B$23+0+(IF(ArtifactsInput!$M$15,CHOOSE(ArtifactsInput!$N$15+1,25,30,35,40,45,50)/100*(Inputs!$B$11-Inputs!$B$11),0)))/100)/2</f>
        <v/>
      </c>
      <c r="M230">
        <f>L230*(1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IF(B258=0,0,O230/B258)</f>
        <v/>
      </c>
      <c r="Q230">
        <f>IFERROR(1/(IF(Inputs!$B$38="pvp",15,MAX(0.1,Skills!D7-IF(Skills!E7=TRUE,Inputs!$B$32,0)))*(1-IF(AND(ArtifactsInput!$M$27,Inputs!$B$4="Chapter Hunt"),CHOOSE(ArtifactsInput!$N$27+1,20,24,28,32,36,40),0)/100)),0)</f>
        <v/>
      </c>
      <c r="R230">
        <f>IF(AND(Inputs!$B$38&lt;&gt;"pvp",Inputs!$B$43&gt;0),IF(MAX(0,Inputs!$B$43-B255)&lt;=0,0,(INT(MAX(0,Inputs!$B$43-B255)/(IF(Inputs!$B$38="pvp",15,MAX(0.1,Skills!D7-IF(Skills!E7=TRUE,Inputs!$B$32,0)))*(1-IF(AND(ArtifactsInput!$M$27,Inputs!$B$4="Chapter Hunt"),CHOOSE(ArtifactsInput!$N$27+1,20,24,28,32,36,40),0)/100)))+1)),0)</f>
        <v/>
      </c>
      <c r="S230">
        <f>IFERROR(O230/N230,0)</f>
        <v/>
      </c>
      <c r="T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$21+Skills!Q7+(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Skills!A8</f>
        <v/>
      </c>
      <c r="B231">
        <f>Skills!B8</f>
        <v/>
      </c>
      <c r="C231">
        <f>Inputs!$B$3&gt;=110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243=TRUE)*(F243-Calc!F20)),(Inputs!$B$23+0+(IF(ArtifactsInput!$M$15,CHOOSE(ArtifactsInput!$N$15+1,25,30,35,40,45,50)/100*(Inputs!$B$11-Inputs!$B$11),0))))/100+(Inputs!$B$23+0+(IF(ArtifactsInput!$M$15,CHOOSE(ArtifactsInput!$N$15+1,25,30,35,40,45,50)/100*(Inputs!$B$11-Inputs!$B$11),0)))/100)/2</f>
        <v/>
      </c>
      <c r="M231">
        <f>L231*(1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IF(B258=0,0,O231/B258)</f>
        <v/>
      </c>
      <c r="Q231">
        <f>IFERROR(1/(IF(Inputs!$B$38="pvp",15,MAX(0.1,Skills!D8-IF(Skills!E8=TRUE,Inputs!$B$32,0)))*(1-IF(AND(ArtifactsInput!$M$27,Inputs!$B$4="Chapter Hunt"),CHOOSE(ArtifactsInput!$N$27+1,20,24,28,32,36,40),0)/100)),0)</f>
        <v/>
      </c>
      <c r="R231">
        <f>IF(AND(Inputs!$B$38&lt;&gt;"pvp",Inputs!$B$43&gt;0),IF(MAX(0,Inputs!$B$43-B255)&lt;=0,0,(INT(MAX(0,Inputs!$B$43-B255)/(IF(Inputs!$B$38="pvp",15,MAX(0.1,Skills!D8-IF(Skills!E8=TRUE,Inputs!$B$32,0)))*(1-IF(AND(ArtifactsInput!$M$27,Inputs!$B$4="Chapter Hunt"),CHOOSE(ArtifactsInput!$N$27+1,20,24,28,32,36,40),0)/100)))+1)),0)</f>
        <v/>
      </c>
      <c r="S231">
        <f>IFERROR(O231/N231,0)</f>
        <v/>
      </c>
      <c r="T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$21+Skills!Q8+(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Skills!A9</f>
        <v/>
      </c>
      <c r="B232">
        <f>Skills!B9</f>
        <v/>
      </c>
      <c r="C232">
        <f>Inputs!$B$3&gt;=110</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C243=TRUE)*(F243-Calc!F20)),(Inputs!$B$23+0+(IF(ArtifactsInput!$M$15,CHOOSE(ArtifactsInput!$N$15+1,25,30,35,40,45,50)/100*(Inputs!$B$11-Inputs!$B$11),0))))/100+(Inputs!$B$23+0+(IF(ArtifactsInput!$M$15,CHOOSE(ArtifactsInput!$N$15+1,25,30,35,40,45,50)/100*(Inputs!$B$11-Inputs!$B$11),0)))/100)/2</f>
        <v/>
      </c>
      <c r="M232">
        <f>L232*(1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(1-Summary!$B$11)*T232+Summary!$B$11*V232</f>
        <v/>
      </c>
      <c r="P232">
        <f>IF(B258=0,0,O232/B258)</f>
        <v/>
      </c>
      <c r="Q232">
        <f>IFERROR(1/(IF(Inputs!$B$38="pvp",15,MAX(0.1,Skills!D9-IF(Skills!E9=TRUE,Inputs!$B$32,0)))*(1-IF(AND(ArtifactsInput!$M$27,Inputs!$B$4="Chapter Hunt"),CHOOSE(ArtifactsInput!$N$27+1,20,24,28,32,36,40),0)/100)),0)</f>
        <v/>
      </c>
      <c r="R232">
        <f>IF(AND(Inputs!$B$38&lt;&gt;"pvp",Inputs!$B$43&gt;0),IF(MAX(0,Inputs!$B$43-B255)&lt;=0,0,(INT(MAX(0,Inputs!$B$43-B255)/(IF(Inputs!$B$38="pvp",15,MAX(0.1,Skills!D9-IF(Skills!E9=TRUE,Inputs!$B$32,0)))*(1-IF(AND(ArtifactsInput!$M$27,Inputs!$B$4="Chapter Hunt"),CHOOSE(ArtifactsInput!$N$27+1,20,24,28,32,36,40),0)/100)))+1)),0)</f>
        <v/>
      </c>
      <c r="S232">
        <f>IFERROR(O232/N232,0)</f>
        <v/>
      </c>
      <c r="T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$21+Skills!Q9+(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
      <c r="A233">
        <f>Skills!A10</f>
        <v/>
      </c>
      <c r="B233">
        <f>Skills!B10</f>
        <v/>
      </c>
      <c r="C233">
        <f>Inputs!$B$3&gt;=103</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243=TRUE)*(F243-Calc!F20)),(Inputs!$B$23+0+(IF(ArtifactsInput!$M$15,CHOOSE(ArtifactsInput!$N$15+1,25,30,35,40,45,50)/100*(Inputs!$B$11-Inputs!$B$11),0))))/100+(Inputs!$B$23+0+(IF(ArtifactsInput!$M$15,CHOOSE(ArtifactsInput!$N$15+1,25,30,35,40,45,50)/100*(Inputs!$B$11-Inputs!$B$11),0)))/100)/2</f>
        <v/>
      </c>
      <c r="M233">
        <f>L233*(1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IF(B258=0,0,O233/B258)</f>
        <v/>
      </c>
      <c r="Q233">
        <f>IFERROR(1/(IF(Inputs!$B$38="pvp",15,MAX(0.1,Skills!D10-IF(Skills!E10=TRUE,Inputs!$B$32,0)))*(1-IF(AND(ArtifactsInput!$M$27,Inputs!$B$4="Chapter Hunt"),CHOOSE(ArtifactsInput!$N$27+1,20,24,28,32,36,40),0)/100)),0)</f>
        <v/>
      </c>
      <c r="R233">
        <f>IF(AND(Inputs!$B$38&lt;&gt;"pvp",Inputs!$B$43&gt;0),IF(MAX(0,Inputs!$B$43-B255)&lt;=0,0,(INT(MAX(0,Inputs!$B$43-B255)/(IF(Inputs!$B$38="pvp",15,MAX(0.1,Skills!D10-IF(Skills!E10=TRUE,Inputs!$B$32,0)))*(1-IF(AND(ArtifactsInput!$M$27,Inputs!$B$4="Chapter Hunt"),CHOOSE(ArtifactsInput!$N$27+1,20,24,28,32,36,40),0)/100)))+1)),0)</f>
        <v/>
      </c>
      <c r="S233">
        <f>IFERROR(O233/N233,0)</f>
        <v/>
      </c>
      <c r="T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$21+Skills!Q10+(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Skills!A11</f>
        <v/>
      </c>
      <c r="B234">
        <f>Skills!B11</f>
        <v/>
      </c>
      <c r="C234">
        <f>Inputs!$B$3&gt;=113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243=TRUE)*(F243-Calc!F20)),(Inputs!$B$23+0+(IF(ArtifactsInput!$M$15,CHOOSE(ArtifactsInput!$N$15+1,25,30,35,40,45,50)/100*(Inputs!$B$11-Inputs!$B$11),0))))/100+(Inputs!$B$23+0+(IF(ArtifactsInput!$M$15,CHOOSE(ArtifactsInput!$N$15+1,25,30,35,40,45,50)/100*(Inputs!$B$11-Inputs!$B$11),0)))/100)/2</f>
        <v/>
      </c>
      <c r="M234">
        <f>L234*(1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IF(B258=0,0,O234/B258)</f>
        <v/>
      </c>
      <c r="Q234">
        <f>IFERROR(1/(IF(Inputs!$B$38="pvp",15,MAX(0.1,Skills!D11-IF(Skills!E11=TRUE,Inputs!$B$32,0)))*(1-IF(AND(ArtifactsInput!$M$27,Inputs!$B$4="Chapter Hunt"),CHOOSE(ArtifactsInput!$N$27+1,20,24,28,32,36,40),0)/100)),0)</f>
        <v/>
      </c>
      <c r="R234">
        <f>IF(AND(Inputs!$B$38&lt;&gt;"pvp",Inputs!$B$43&gt;0),IF(MAX(0,Inputs!$B$43-B255)&lt;=0,0,(INT(MAX(0,Inputs!$B$43-B255)/(IF(Inputs!$B$38="pvp",15,MAX(0.1,Skills!D11-IF(Skills!E11=TRUE,Inputs!$B$32,0)))*(1-IF(AND(ArtifactsInput!$M$27,Inputs!$B$4="Chapter Hunt"),CHOOSE(ArtifactsInput!$N$27+1,20,24,28,32,36,40),0)/100)))+1)),0)</f>
        <v/>
      </c>
      <c r="S234">
        <f>IFERROR(O234/N234,0)</f>
        <v/>
      </c>
      <c r="T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$21+Skills!Q11+(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c r="T235" t="inlineStr"/>
      <c r="V235" t="inlineStr"/>
    </row>
    <row r="236">
      <c r="A236">
        <f>Skills!A13</f>
        <v/>
      </c>
      <c r="B236">
        <f>Skills!B13</f>
        <v/>
      </c>
      <c r="C236">
        <f>Inputs!$B$3&gt;=66</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f>(1-Summary!$B$11)*T236+Summary!$B$11*V236</f>
        <v/>
      </c>
      <c r="P236">
        <f>IF(B258=0,0,O236/B258)</f>
        <v/>
      </c>
      <c r="Q236" t="n">
        <v>0</v>
      </c>
      <c r="R236" t="n">
        <v>0</v>
      </c>
      <c r="S236">
        <f>IFERROR(O236/N236,0)</f>
        <v/>
      </c>
      <c r="T236" t="n">
        <v>0</v>
      </c>
      <c r="V236" t="n">
        <v>0</v>
      </c>
    </row>
    <row r="237">
      <c r="A237">
        <f>Skills!A14</f>
        <v/>
      </c>
      <c r="B237">
        <f>Skills!B14</f>
        <v/>
      </c>
      <c r="C237">
        <f>Inputs!$B$3&gt;=107</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f>(1-Summary!$B$11)*T237+Summary!$B$11*V237</f>
        <v/>
      </c>
      <c r="P237">
        <f>IF(B258=0,0,O237/B258)</f>
        <v/>
      </c>
      <c r="Q237" t="n">
        <v>0</v>
      </c>
      <c r="R237" t="n">
        <v>0</v>
      </c>
      <c r="S237">
        <f>IFERROR(O237/N237,0)</f>
        <v/>
      </c>
      <c r="T237" t="n">
        <v>0</v>
      </c>
      <c r="V237" t="n">
        <v>0</v>
      </c>
    </row>
    <row r="238">
      <c r="A238">
        <f>Skills!A15</f>
        <v/>
      </c>
      <c r="B238">
        <f>Skills!B15</f>
        <v/>
      </c>
      <c r="C238">
        <f>Inputs!$B$3&gt;=115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f>(1-Summary!$B$11)*T238+Summary!$B$11*V238</f>
        <v/>
      </c>
      <c r="P238">
        <f>IF(B258=0,0,O238/B258)</f>
        <v/>
      </c>
      <c r="Q238" t="n">
        <v>0</v>
      </c>
      <c r="R238" t="n">
        <v>0</v>
      </c>
      <c r="S238">
        <f>IFERROR(O238/N238,0)</f>
        <v/>
      </c>
      <c r="T238" t="n">
        <v>0</v>
      </c>
      <c r="V238" t="n">
        <v>0</v>
      </c>
    </row>
    <row r="239">
      <c r="A239">
        <f>Skills!A16</f>
        <v/>
      </c>
      <c r="B239">
        <f>Skills!B16</f>
        <v/>
      </c>
      <c r="C239">
        <f>Inputs!$B$3&gt;=15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f>(1-Summary!$B$11)*T239+Summary!$B$11*V239</f>
        <v/>
      </c>
      <c r="P239">
        <f>IF(B258=0,0,O239/B258)</f>
        <v/>
      </c>
      <c r="Q239" t="n">
        <v>0</v>
      </c>
      <c r="R239" t="n">
        <v>0</v>
      </c>
      <c r="S239">
        <f>IFERROR(O239/N239,0)</f>
        <v/>
      </c>
      <c r="T239" t="n">
        <v>0</v>
      </c>
      <c r="V239" t="n">
        <v>0</v>
      </c>
    </row>
    <row r="240">
      <c r="A240">
        <f>Skills!A17</f>
        <v/>
      </c>
      <c r="B240">
        <f>Skills!B17</f>
        <v/>
      </c>
      <c r="C240">
        <f>Inputs!$B$3&gt;=10</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f>(1-Summary!$B$11)*T240+Summary!$B$11*V240</f>
        <v/>
      </c>
      <c r="P240">
        <f>IF(B258=0,0,O240/B258)</f>
        <v/>
      </c>
      <c r="Q240" t="n">
        <v>0</v>
      </c>
      <c r="R240" t="n">
        <v>0</v>
      </c>
      <c r="S240">
        <f>IFERROR(O240/N240,0)</f>
        <v/>
      </c>
      <c r="T240" t="n">
        <v>0</v>
      </c>
      <c r="V240" t="n">
        <v>0</v>
      </c>
    </row>
    <row r="241">
      <c r="A241">
        <f>Skills!A18</f>
        <v/>
      </c>
      <c r="B241">
        <f>Skills!B18</f>
        <v/>
      </c>
      <c r="C241">
        <f>Inputs!$B$3&gt;=33</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f>(1-Summary!$B$11)*T241+Summary!$B$11*V241</f>
        <v/>
      </c>
      <c r="P241">
        <f>IF(B258=0,0,O241/B258)</f>
        <v/>
      </c>
      <c r="Q241" t="n">
        <v>0</v>
      </c>
      <c r="R241" t="n">
        <v>0</v>
      </c>
      <c r="S241">
        <f>IFERROR(O241/N241,0)</f>
        <v/>
      </c>
      <c r="T241" t="n">
        <v>0</v>
      </c>
      <c r="V241" t="n">
        <v>0</v>
      </c>
    </row>
    <row r="242">
      <c r="A242">
        <f>Skills!A19</f>
        <v/>
      </c>
      <c r="B242">
        <f>Skills!B19</f>
        <v/>
      </c>
      <c r="C242">
        <f>Inputs!$B$3&gt;=40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f>(1-Summary!$B$11)*T242+Summary!$B$11*V242</f>
        <v/>
      </c>
      <c r="P242">
        <f>IF(B258=0,0,O242/B258)</f>
        <v/>
      </c>
      <c r="Q242" t="n">
        <v>0</v>
      </c>
      <c r="R242" t="n">
        <v>0</v>
      </c>
      <c r="S242">
        <f>IFERROR(O242/N242,0)</f>
        <v/>
      </c>
      <c r="T242" t="n">
        <v>0</v>
      </c>
      <c r="V242" t="n">
        <v>0</v>
      </c>
    </row>
    <row r="243">
      <c r="A243">
        <f>Skills!A20</f>
        <v/>
      </c>
      <c r="B243">
        <f>Skills!B20</f>
        <v/>
      </c>
      <c r="C243">
        <f>Inputs!$B$3&gt;=43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f>(1-Summary!$B$11)*T243+Summary!$B$11*V243</f>
        <v/>
      </c>
      <c r="P243">
        <f>IF(B258=0,0,O243/B258)</f>
        <v/>
      </c>
      <c r="Q243" t="n">
        <v>0</v>
      </c>
      <c r="R243" t="n">
        <v>0</v>
      </c>
      <c r="S243">
        <f>IFERROR(O243/N243,0)</f>
        <v/>
      </c>
      <c r="T243" t="n">
        <v>0</v>
      </c>
      <c r="V243" t="n">
        <v>0</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f>(1-Summary!$B$11)*T244+Summary!$B$11*V244</f>
        <v/>
      </c>
      <c r="P244">
        <f>IF(B258=0,0,O244/B258)</f>
        <v/>
      </c>
      <c r="Q244" t="n">
        <v>0</v>
      </c>
      <c r="R244" t="n">
        <v>0</v>
      </c>
      <c r="S244">
        <f>IFERROR(O244/N244,0)</f>
        <v/>
      </c>
      <c r="T244" t="n">
        <v>0</v>
      </c>
      <c r="V244" t="n">
        <v>0</v>
      </c>
    </row>
    <row r="245">
      <c r="A245">
        <f>Skills!A22</f>
        <v/>
      </c>
      <c r="B245">
        <f>Skills!B22</f>
        <v/>
      </c>
      <c r="C245">
        <f>Inputs!$B$3&gt;=75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f>(1-Summary!$B$11)*T245+Summary!$B$11*V245</f>
        <v/>
      </c>
      <c r="P245">
        <f>IF(B258=0,0,O245/B258)</f>
        <v/>
      </c>
      <c r="Q245" t="n">
        <v>0</v>
      </c>
      <c r="R245" t="n">
        <v>0</v>
      </c>
      <c r="S245">
        <f>IFERROR(O245/N245,0)</f>
        <v/>
      </c>
      <c r="T245" t="n">
        <v>0</v>
      </c>
      <c r="V245" t="n">
        <v>0</v>
      </c>
    </row>
    <row r="247">
      <c r="A247" t="inlineStr">
        <is>
          <t>Attack% Bucket Multiplier</t>
        </is>
      </c>
      <c r="B247">
        <f>(1+(((C236=TRUE)*F236)+((C242=TRUE)*(F242-Calc!F19))+(IF(ArtifactsInput!$M$21,CHOOSE(ArtifactsInput!$N$21+1,25,30,35,40,45,50)*(IF(OR(Inputs!$B$4="Chapter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
      <c r="A248" t="inlineStr">
        <is>
          <t>Global Crit Rate Bonus %</t>
        </is>
      </c>
      <c r="B248" t="n">
        <v>0</v>
      </c>
    </row>
    <row r="249">
      <c r="A249" t="inlineStr">
        <is>
          <t>Attack Speed Buff Bonus % (unused)</t>
        </is>
      </c>
      <c r="B249" t="n">
        <v>0</v>
      </c>
    </row>
    <row r="250">
      <c r="A250" t="inlineStr">
        <is>
          <t>Actions Per Second</t>
        </is>
      </c>
      <c r="B250">
        <f>1+MIN(150,150*(1-(1-(Inputs!$B$11+((C240=TRUE)*(F240-Calc!F17))+((C241=TRUE)*(F241-Calc!F18)))/150)*(1-B249/150)))/100</f>
        <v/>
      </c>
    </row>
    <row r="251">
      <c r="A251" t="inlineStr">
        <is>
          <t>Skill + Buff Cast Rate</t>
        </is>
      </c>
      <c r="B251">
        <f>IF(AND(Inputs!$B$38&lt;&gt;"pvp",Inputs!$B$43&gt;0),SUMPRODUCT((Skills!E2:E22=TRUE)*(C225:C245=TRUE)*R225:R245*Skills!F2:F22)/Inputs!$B$43,SUMPRODUCT((Skills!E2:E22=TRUE)*(C225:C245=TRUE)*Q225:Q245*Skills!F2:F22))</f>
        <v/>
      </c>
    </row>
    <row r="252">
      <c r="A252" t="inlineStr">
        <is>
          <t>Hook Bomber Casts Per Second</t>
        </is>
      </c>
      <c r="B252">
        <f>MAX(0,B250-B251)</f>
        <v/>
      </c>
    </row>
    <row r="253">
      <c r="A253" t="inlineStr">
        <is>
          <t>Global Critical Damage Bonus % (unused)</t>
        </is>
      </c>
      <c r="B253" t="n">
        <v>0</v>
      </c>
    </row>
    <row r="254">
      <c r="A254" t="inlineStr">
        <is>
          <t>Global Final Damage Bonus % (Serpent Scale + Crossbones + Time Leap + Speed Infusion)</t>
        </is>
      </c>
      <c r="B254">
        <f>((C228=TRUE)*F228*((10+IF(Inputs!$B$3&gt;=94,5,0))/((10+IF(Inputs!$B$3&gt;=94,5,0))+5/(B252*(1+IF(Inputs!$B$3&gt;=104,1,0))))))+((C237=TRUE)*F237)+((C238=TRUE)*F238)+((Inputs!$B$3&gt;=110)*20*(B250-1))</f>
        <v/>
      </c>
    </row>
    <row r="255">
      <c r="A255" t="inlineStr">
        <is>
          <t>Buff-Casting Startup Delay (s, fixed-duration only)</t>
        </is>
      </c>
      <c r="B255">
        <f>IF(AND(Inputs!$B$38&lt;&gt;"pvp",Inputs!$B$43&gt;0),SUMPRODUCT((Skills!T2:T22&gt;0)*(Skills!E2:E22=TRUE)*(C225:C245=TRUE))/B250,0)</f>
        <v/>
      </c>
    </row>
    <row r="256">
      <c r="A256" t="inlineStr">
        <is>
          <t>Boss-Only Total DPS (this block's swept value)</t>
        </is>
      </c>
      <c r="B256">
        <f>SUM(T225:T245)</f>
        <v/>
      </c>
    </row>
    <row r="257">
      <c r="A257" t="inlineStr">
        <is>
          <t>Normal-Only Total DPS (this block's swept value)</t>
        </is>
      </c>
      <c r="B257">
        <f>SUM(V225:V245)</f>
        <v/>
      </c>
    </row>
    <row r="258">
      <c r="A258" s="6" t="inlineStr">
        <is>
          <t>TOTAL DPS</t>
        </is>
      </c>
      <c r="B258" s="6">
        <f>SUM(O225:O245)</f>
        <v/>
      </c>
    </row>
    <row r="261">
      <c r="A261" s="6" t="inlineStr">
        <is>
          <t>Stat: BOSS_DAMAGE %</t>
        </is>
      </c>
    </row>
    <row r="262">
      <c r="A262" s="5" t="inlineStr">
        <is>
          <t>Key</t>
        </is>
      </c>
      <c r="B262" s="5" t="inlineStr">
        <is>
          <t>Name</t>
        </is>
      </c>
      <c r="C262" s="5" t="inlineStr">
        <is>
          <t>Unlocked</t>
        </is>
      </c>
      <c r="D262" s="5" t="inlineStr">
        <is>
          <t>InputLevel</t>
        </is>
      </c>
      <c r="E262" s="5" t="inlineStr">
        <is>
          <t>Factor</t>
        </is>
      </c>
      <c r="F262" s="5" t="inlineStr">
        <is>
          <t>CoefficientPercent</t>
        </is>
      </c>
      <c r="G262" s="5" t="inlineStr">
        <is>
          <t>EffectiveHits</t>
        </is>
      </c>
      <c r="H262" s="5" t="inlineStr">
        <is>
          <t>ProcProbability</t>
        </is>
      </c>
      <c r="I262" s="5" t="inlineStr">
        <is>
          <t>MapleHeroMultiplier</t>
        </is>
      </c>
      <c r="J262" s="5" t="inlineStr">
        <is>
          <t>BaseDamage</t>
        </is>
      </c>
      <c r="K262" s="5" t="inlineStr">
        <is>
          <t>BaseHitDamage</t>
        </is>
      </c>
      <c r="L262" s="5" t="inlineStr">
        <is>
          <t>NonCritAvg</t>
        </is>
      </c>
      <c r="M262" s="5" t="inlineStr">
        <is>
          <t>CritAvg</t>
        </is>
      </c>
      <c r="N262" s="5" t="inlineStr">
        <is>
          <t>ExpectedDamage(perHit)</t>
        </is>
      </c>
      <c r="O262" s="5" t="inlineStr">
        <is>
          <t>DPS</t>
        </is>
      </c>
      <c r="P262" s="5" t="inlineStr">
        <is>
          <t>% of Total</t>
        </is>
      </c>
      <c r="Q262" s="5" t="inlineStr">
        <is>
          <t>InvCooldown</t>
        </is>
      </c>
      <c r="R262" s="5" t="inlineStr">
        <is>
          <t>CastsInFight</t>
        </is>
      </c>
      <c r="S262" s="5"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281=TRUE)*(F281-Calc!F20)),(Inputs!$B$23+0+(IF(ArtifactsInput!$M$15,CHOOSE(ArtifactsInput!$N$15+1,25,30,35,40,45,50)/100*(Inputs!$B$11-Inputs!$B$11),0))))/100+(Inputs!$B$23+0+(IF(ArtifactsInput!$M$15,CHOOSE(ArtifactsInput!$N$15+1,25,30,35,40,45,50)/100*(Inputs!$B$11-Inputs!$B$11),0)))/100)/2</f>
        <v/>
      </c>
      <c r="M263">
        <f>L263*(1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IF(B296=0,0,O263/B296)</f>
        <v/>
      </c>
      <c r="Q263" t="n">
        <v>0</v>
      </c>
      <c r="R263" t="n">
        <v>0</v>
      </c>
      <c r="S263">
        <f>IFERROR(O263/N263,0)</f>
        <v/>
      </c>
      <c r="T263">
        <f>IF(C263,(Skills!G2*N263*B290)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
        <f>MAX(0,(Inputs!$B$3-100)*3)+Inputs!$B$28+Inputs!$B$29</f>
        <v/>
      </c>
      <c r="V263">
        <f>IF(C263,(Skills!G2*N263*B290)*IF(Inputs!$B$38="pvp",1,(1+(Inputs!$B$21+Skills!Q2+(IF(ArtifactsInput!$M$33,CHOOSE(ArtifactsInput!$N$33+1,30,36,42,48,54,60),0))+(IF(AND(ArtifactsInput!$M$35,Inputs!$B$4&lt;&gt;"Chapter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Skills!A3</f>
        <v/>
      </c>
      <c r="B264">
        <f>Skills!B3</f>
        <v/>
      </c>
      <c r="C264">
        <f>Inputs!$B$3&gt;=35</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f>Skills!G3*IF(Skills!H3&gt;0,Skills!I3/Skills!H3,1)</f>
        <v/>
      </c>
      <c r="H264">
        <f>1-(1-Skills!J3/100)^Skills!K3</f>
        <v/>
      </c>
      <c r="I264" t="inlineStr">
        <is>
          <t>1</t>
        </is>
      </c>
      <c r="J264">
        <f>((Inputs!$B$6*(1+Inputs!$B$7/100))+(((Inputs!$B$12*(1+Inputs!$B$13/100))-(Inputs!$B$12*(1+Inputs!$B$13/100)))+0.25*(Inputs!$B$14-Inputs!$B$14))*(1+Inputs!$B$7/100))*(F264/100)</f>
        <v/>
      </c>
      <c r="K264">
        <f>J264*(1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281=TRUE)*(F281-Calc!F20)),(Inputs!$B$23+0+(IF(ArtifactsInput!$M$15,CHOOSE(ArtifactsInput!$N$15+1,25,30,35,40,45,50)/100*(Inputs!$B$11-Inputs!$B$11),0))))/100+(Inputs!$B$23+0+(IF(ArtifactsInput!$M$15,CHOOSE(ArtifactsInput!$N$15+1,25,30,35,40,45,50)/100*(Inputs!$B$11-Inputs!$B$11),0)))/100)/2</f>
        <v/>
      </c>
      <c r="M264">
        <f>L264*(1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IF(B296=0,0,O264/B296)</f>
        <v/>
      </c>
      <c r="Q264" t="n">
        <v>0</v>
      </c>
      <c r="R264" t="n">
        <v>0</v>
      </c>
      <c r="S264">
        <f>IFERROR(O264/N264,0)</f>
        <v/>
      </c>
      <c r="T264">
        <f>IF(C264,(Skills!G3*H264*N264*B290)*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
        <f>INDEX(FactorTable!$B$2:$Y$301, MATCH(ROUND(MIN(300,MAX(1,U263)),0), FactorTable!$A$2:$A$301,0), 22)</f>
        <v/>
      </c>
      <c r="V264">
        <f>IF(C264,(Skills!G3*H264*N264*B290)*IF(Inputs!$B$38="pvp",1,(1+(Inputs!$B$21+Skills!Q3+(IF(ArtifactsInput!$M$33,CHOOSE(ArtifactsInput!$N$33+1,30,36,42,48,54,60),0))+(IF(AND(ArtifactsInput!$M$35,Inputs!$B$4&lt;&gt;"Chapter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Skills!A4</f>
        <v/>
      </c>
      <c r="B265">
        <f>Skills!B4</f>
        <v/>
      </c>
      <c r="C265">
        <f>Inputs!$B$3&gt;=60</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TRUE,F273,0)/100)*(1+(IF(Skills!A4="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281=TRUE)*(F281-Calc!F20)),(Inputs!$B$23+0+(IF(ArtifactsInput!$M$15,CHOOSE(ArtifactsInput!$N$15+1,25,30,35,40,45,50)/100*(Inputs!$B$11-Inputs!$B$11),0))))/100+(Inputs!$B$23+0+(IF(ArtifactsInput!$M$15,CHOOSE(ArtifactsInput!$N$15+1,25,30,35,40,45,50)/100*(Inputs!$B$11-Inputs!$B$11),0)))/100)/2</f>
        <v/>
      </c>
      <c r="M265">
        <f>L265*(1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IF(B296=0,0,O265/B296)</f>
        <v/>
      </c>
      <c r="Q265" t="n">
        <v>0</v>
      </c>
      <c r="R265" t="n">
        <v>0</v>
      </c>
      <c r="S265">
        <f>IFERROR(O265/N265,0)</f>
        <v/>
      </c>
      <c r="T265">
        <f>IF(C265,(Skills!G4*H265*N265*B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290*U264/1000</f>
        <v/>
      </c>
      <c r="V265">
        <f>IF(C265,(Skills!G4*H265*N265*B290)*IF(Inputs!$B$38="pvp",1,(1+(Inputs!$B$21+Skills!Q4+(IF(ArtifactsInput!$M$33,CHOOSE(ArtifactsInput!$N$33+1,30,36,42,48,54,60),0))+(IF(AND(ArtifactsInput!$M$35,Inputs!$B$4&lt;&gt;"Chapter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Skills!A5</f>
        <v/>
      </c>
      <c r="B266">
        <f>Skills!B5</f>
        <v/>
      </c>
      <c r="C266">
        <f>Inputs!$B$3&gt;=60</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t="inlineStr"/>
      <c r="K266" t="inlineStr"/>
      <c r="L266" t="inlineStr"/>
      <c r="M266" t="inlineStr"/>
      <c r="N266" t="inlineStr"/>
      <c r="O266">
        <f>(1-Summary!$B$11)*T266+Summary!$B$11*V266</f>
        <v/>
      </c>
      <c r="P266">
        <f>IF(B296=0,0,O266/B296)</f>
        <v/>
      </c>
      <c r="Q266" t="n">
        <v>0</v>
      </c>
      <c r="R266" t="n">
        <v>0</v>
      </c>
      <c r="S266">
        <f>IFERROR(O266/N266,0)</f>
        <v/>
      </c>
      <c r="T266" t="n">
        <v>0</v>
      </c>
      <c r="V266" t="n">
        <v>0</v>
      </c>
    </row>
    <row r="267">
      <c r="A267">
        <f>Skills!A6</f>
        <v/>
      </c>
      <c r="B267">
        <f>Skills!B6</f>
        <v/>
      </c>
      <c r="C267">
        <f>Inputs!$B$3&gt;=63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281=TRUE)*(F281-Calc!F20)),(Inputs!$B$23+0+(IF(ArtifactsInput!$M$15,CHOOSE(ArtifactsInput!$N$15+1,25,30,35,40,45,50)/100*(Inputs!$B$11-Inputs!$B$11),0))))/100+(Inputs!$B$23+0+(IF(ArtifactsInput!$M$15,CHOOSE(ArtifactsInput!$N$15+1,25,30,35,40,45,50)/100*(Inputs!$B$11-Inputs!$B$11),0)))/100)/2</f>
        <v/>
      </c>
      <c r="M267">
        <f>L267*(1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IF(B296=0,0,O267/B296)</f>
        <v/>
      </c>
      <c r="Q267">
        <f>IFERROR(1/(IF(Inputs!$B$38="pvp",15,MAX(0.1,Skills!D6-IF(Skills!E6=TRUE,Inputs!$B$32,0)))*(1-IF(AND(ArtifactsInput!$M$27,Inputs!$B$4="Chapter Hunt"),CHOOSE(ArtifactsInput!$N$27+1,20,24,28,32,36,40),0)/100)),0)</f>
        <v/>
      </c>
      <c r="R267">
        <f>IF(AND(Inputs!$B$38&lt;&gt;"pvp",Inputs!$B$43&gt;0),IF(MAX(0,Inputs!$B$43-B293)&lt;=0,0,(INT(MAX(0,Inputs!$B$43-B293)/(IF(Inputs!$B$38="pvp",15,MAX(0.1,Skills!D6-IF(Skills!E6=TRUE,Inputs!$B$32,0)))*(1-IF(AND(ArtifactsInput!$M$27,Inputs!$B$4="Chapter Hunt"),CHOOSE(ArtifactsInput!$N$27+1,20,24,28,32,36,40),0)/100)))+1)),0)</f>
        <v/>
      </c>
      <c r="S267">
        <f>IFERROR(O267/N267,0)</f>
        <v/>
      </c>
      <c r="T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$21+Skills!Q6+(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Skills!A7</f>
        <v/>
      </c>
      <c r="B268">
        <f>Skills!B7</f>
        <v/>
      </c>
      <c r="C268">
        <f>Inputs!$B$3&gt;=100</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281=TRUE)*(F281-Calc!F20)),(Inputs!$B$23+0+(IF(ArtifactsInput!$M$15,CHOOSE(ArtifactsInput!$N$15+1,25,30,35,40,45,50)/100*(Inputs!$B$11-Inputs!$B$11),0))))/100+(Inputs!$B$23+0+(IF(ArtifactsInput!$M$15,CHOOSE(ArtifactsInput!$N$15+1,25,30,35,40,45,50)/100*(Inputs!$B$11-Inputs!$B$11),0)))/100)/2</f>
        <v/>
      </c>
      <c r="M268">
        <f>L268*(1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IF(B296=0,0,O268/B296)</f>
        <v/>
      </c>
      <c r="Q268">
        <f>IFERROR(1/(IF(Inputs!$B$38="pvp",15,MAX(0.1,Skills!D7-IF(Skills!E7=TRUE,Inputs!$B$32,0)))*(1-IF(AND(ArtifactsInput!$M$27,Inputs!$B$4="Chapter Hunt"),CHOOSE(ArtifactsInput!$N$27+1,20,24,28,32,36,40),0)/100)),0)</f>
        <v/>
      </c>
      <c r="R268">
        <f>IF(AND(Inputs!$B$38&lt;&gt;"pvp",Inputs!$B$43&gt;0),IF(MAX(0,Inputs!$B$43-B293)&lt;=0,0,(INT(MAX(0,Inputs!$B$43-B293)/(IF(Inputs!$B$38="pvp",15,MAX(0.1,Skills!D7-IF(Skills!E7=TRUE,Inputs!$B$32,0)))*(1-IF(AND(ArtifactsInput!$M$27,Inputs!$B$4="Chapter Hunt"),CHOOSE(ArtifactsInput!$N$27+1,20,24,28,32,36,40),0)/100)))+1)),0)</f>
        <v/>
      </c>
      <c r="S268">
        <f>IFERROR(O268/N268,0)</f>
        <v/>
      </c>
      <c r="T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$21+Skills!Q7+(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Skills!A8</f>
        <v/>
      </c>
      <c r="B269">
        <f>Skills!B8</f>
        <v/>
      </c>
      <c r="C269">
        <f>Inputs!$B$3&gt;=110</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281=TRUE)*(F281-Calc!F20)),(Inputs!$B$23+0+(IF(ArtifactsInput!$M$15,CHOOSE(ArtifactsInput!$N$15+1,25,30,35,40,45,50)/100*(Inputs!$B$11-Inputs!$B$11),0))))/100+(Inputs!$B$23+0+(IF(ArtifactsInput!$M$15,CHOOSE(ArtifactsInput!$N$15+1,25,30,35,40,45,50)/100*(Inputs!$B$11-Inputs!$B$11),0)))/100)/2</f>
        <v/>
      </c>
      <c r="M269">
        <f>L269*(1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IF(B296=0,0,O269/B296)</f>
        <v/>
      </c>
      <c r="Q269">
        <f>IFERROR(1/(IF(Inputs!$B$38="pvp",15,MAX(0.1,Skills!D8-IF(Skills!E8=TRUE,Inputs!$B$32,0)))*(1-IF(AND(ArtifactsInput!$M$27,Inputs!$B$4="Chapter Hunt"),CHOOSE(ArtifactsInput!$N$27+1,20,24,28,32,36,40),0)/100)),0)</f>
        <v/>
      </c>
      <c r="R269">
        <f>IF(AND(Inputs!$B$38&lt;&gt;"pvp",Inputs!$B$43&gt;0),IF(MAX(0,Inputs!$B$43-B293)&lt;=0,0,(INT(MAX(0,Inputs!$B$43-B293)/(IF(Inputs!$B$38="pvp",15,MAX(0.1,Skills!D8-IF(Skills!E8=TRUE,Inputs!$B$32,0)))*(1-IF(AND(ArtifactsInput!$M$27,Inputs!$B$4="Chapter Hunt"),CHOOSE(ArtifactsInput!$N$27+1,20,24,28,32,36,40),0)/100)))+1)),0)</f>
        <v/>
      </c>
      <c r="S269">
        <f>IFERROR(O269/N269,0)</f>
        <v/>
      </c>
      <c r="T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$21+Skills!Q8+(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Skills!A9</f>
        <v/>
      </c>
      <c r="B270">
        <f>Skills!B9</f>
        <v/>
      </c>
      <c r="C270">
        <f>Inputs!$B$3&gt;=110</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281=TRUE)*(F281-Calc!F20)),(Inputs!$B$23+0+(IF(ArtifactsInput!$M$15,CHOOSE(ArtifactsInput!$N$15+1,25,30,35,40,45,50)/100*(Inputs!$B$11-Inputs!$B$11),0))))/100+(Inputs!$B$23+0+(IF(ArtifactsInput!$M$15,CHOOSE(ArtifactsInput!$N$15+1,25,30,35,40,45,50)/100*(Inputs!$B$11-Inputs!$B$11),0)))/100)/2</f>
        <v/>
      </c>
      <c r="M270">
        <f>L270*(1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IF(B296=0,0,O270/B296)</f>
        <v/>
      </c>
      <c r="Q270">
        <f>IFERROR(1/(IF(Inputs!$B$38="pvp",15,MAX(0.1,Skills!D9-IF(Skills!E9=TRUE,Inputs!$B$32,0)))*(1-IF(AND(ArtifactsInput!$M$27,Inputs!$B$4="Chapter Hunt"),CHOOSE(ArtifactsInput!$N$27+1,20,24,28,32,36,40),0)/100)),0)</f>
        <v/>
      </c>
      <c r="R270">
        <f>IF(AND(Inputs!$B$38&lt;&gt;"pvp",Inputs!$B$43&gt;0),IF(MAX(0,Inputs!$B$43-B293)&lt;=0,0,(INT(MAX(0,Inputs!$B$43-B293)/(IF(Inputs!$B$38="pvp",15,MAX(0.1,Skills!D9-IF(Skills!E9=TRUE,Inputs!$B$32,0)))*(1-IF(AND(ArtifactsInput!$M$27,Inputs!$B$4="Chapter Hunt"),CHOOSE(ArtifactsInput!$N$27+1,20,24,28,32,36,40),0)/100)))+1)),0)</f>
        <v/>
      </c>
      <c r="S270">
        <f>IFERROR(O270/N270,0)</f>
        <v/>
      </c>
      <c r="T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$21+Skills!Q9+(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Skills!A10</f>
        <v/>
      </c>
      <c r="B271">
        <f>Skills!B10</f>
        <v/>
      </c>
      <c r="C271">
        <f>Inputs!$B$3&gt;=103</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281=TRUE)*(F281-Calc!F20)),(Inputs!$B$23+0+(IF(ArtifactsInput!$M$15,CHOOSE(ArtifactsInput!$N$15+1,25,30,35,40,45,50)/100*(Inputs!$B$11-Inputs!$B$11),0))))/100+(Inputs!$B$23+0+(IF(ArtifactsInput!$M$15,CHOOSE(ArtifactsInput!$N$15+1,25,30,35,40,45,50)/100*(Inputs!$B$11-Inputs!$B$11),0)))/100)/2</f>
        <v/>
      </c>
      <c r="M271">
        <f>L271*(1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IF(B296=0,0,O271/B296)</f>
        <v/>
      </c>
      <c r="Q271">
        <f>IFERROR(1/(IF(Inputs!$B$38="pvp",15,MAX(0.1,Skills!D10-IF(Skills!E10=TRUE,Inputs!$B$32,0)))*(1-IF(AND(ArtifactsInput!$M$27,Inputs!$B$4="Chapter Hunt"),CHOOSE(ArtifactsInput!$N$27+1,20,24,28,32,36,40),0)/100)),0)</f>
        <v/>
      </c>
      <c r="R271">
        <f>IF(AND(Inputs!$B$38&lt;&gt;"pvp",Inputs!$B$43&gt;0),IF(MAX(0,Inputs!$B$43-B293)&lt;=0,0,(INT(MAX(0,Inputs!$B$43-B293)/(IF(Inputs!$B$38="pvp",15,MAX(0.1,Skills!D10-IF(Skills!E10=TRUE,Inputs!$B$32,0)))*(1-IF(AND(ArtifactsInput!$M$27,Inputs!$B$4="Chapter Hunt"),CHOOSE(ArtifactsInput!$N$27+1,20,24,28,32,36,40),0)/100)))+1)),0)</f>
        <v/>
      </c>
      <c r="S271">
        <f>IFERROR(O271/N271,0)</f>
        <v/>
      </c>
      <c r="T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$21+Skills!Q10+(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Skills!A11</f>
        <v/>
      </c>
      <c r="B272">
        <f>Skills!B11</f>
        <v/>
      </c>
      <c r="C272">
        <f>Inputs!$B$3&gt;=113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281=TRUE)*(F281-Calc!F20)),(Inputs!$B$23+0+(IF(ArtifactsInput!$M$15,CHOOSE(ArtifactsInput!$N$15+1,25,30,35,40,45,50)/100*(Inputs!$B$11-Inputs!$B$11),0))))/100+(Inputs!$B$23+0+(IF(ArtifactsInput!$M$15,CHOOSE(ArtifactsInput!$N$15+1,25,30,35,40,45,50)/100*(Inputs!$B$11-Inputs!$B$11),0)))/100)/2</f>
        <v/>
      </c>
      <c r="M272">
        <f>L272*(1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IF(B296=0,0,O272/B296)</f>
        <v/>
      </c>
      <c r="Q272">
        <f>IFERROR(1/(IF(Inputs!$B$38="pvp",15,MAX(0.1,Skills!D11-IF(Skills!E11=TRUE,Inputs!$B$32,0)))*(1-IF(AND(ArtifactsInput!$M$27,Inputs!$B$4="Chapter Hunt"),CHOOSE(ArtifactsInput!$N$27+1,20,24,28,32,36,40),0)/100)),0)</f>
        <v/>
      </c>
      <c r="R272">
        <f>IF(AND(Inputs!$B$38&lt;&gt;"pvp",Inputs!$B$43&gt;0),IF(MAX(0,Inputs!$B$43-B293)&lt;=0,0,(INT(MAX(0,Inputs!$B$43-B293)/(IF(Inputs!$B$38="pvp",15,MAX(0.1,Skills!D11-IF(Skills!E11=TRUE,Inputs!$B$32,0)))*(1-IF(AND(ArtifactsInput!$M$27,Inputs!$B$4="Chapter Hunt"),CHOOSE(ArtifactsInput!$N$27+1,20,24,28,32,36,40),0)/100)))+1)),0)</f>
        <v/>
      </c>
      <c r="S272">
        <f>IFERROR(O272/N272,0)</f>
        <v/>
      </c>
      <c r="T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$21+Skills!Q11+(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c r="T273" t="inlineStr"/>
      <c r="V273" t="inlineStr"/>
    </row>
    <row r="274">
      <c r="A274">
        <f>Skills!A13</f>
        <v/>
      </c>
      <c r="B274">
        <f>Skills!B13</f>
        <v/>
      </c>
      <c r="C274">
        <f>Inputs!$B$3&gt;=66</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f>(1-Summary!$B$11)*T274+Summary!$B$11*V274</f>
        <v/>
      </c>
      <c r="P274">
        <f>IF(B296=0,0,O274/B296)</f>
        <v/>
      </c>
      <c r="Q274" t="n">
        <v>0</v>
      </c>
      <c r="R274" t="n">
        <v>0</v>
      </c>
      <c r="S274">
        <f>IFERROR(O274/N274,0)</f>
        <v/>
      </c>
      <c r="T274" t="n">
        <v>0</v>
      </c>
      <c r="V274" t="n">
        <v>0</v>
      </c>
    </row>
    <row r="275">
      <c r="A275">
        <f>Skills!A14</f>
        <v/>
      </c>
      <c r="B275">
        <f>Skills!B14</f>
        <v/>
      </c>
      <c r="C275">
        <f>Inputs!$B$3&gt;=107</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f>(1-Summary!$B$11)*T275+Summary!$B$11*V275</f>
        <v/>
      </c>
      <c r="P275">
        <f>IF(B296=0,0,O275/B296)</f>
        <v/>
      </c>
      <c r="Q275" t="n">
        <v>0</v>
      </c>
      <c r="R275" t="n">
        <v>0</v>
      </c>
      <c r="S275">
        <f>IFERROR(O275/N275,0)</f>
        <v/>
      </c>
      <c r="T275" t="n">
        <v>0</v>
      </c>
      <c r="V275" t="n">
        <v>0</v>
      </c>
    </row>
    <row r="276">
      <c r="A276">
        <f>Skills!A15</f>
        <v/>
      </c>
      <c r="B276">
        <f>Skills!B15</f>
        <v/>
      </c>
      <c r="C276">
        <f>Inputs!$B$3&gt;=115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f>(1-Summary!$B$11)*T276+Summary!$B$11*V276</f>
        <v/>
      </c>
      <c r="P276">
        <f>IF(B296=0,0,O276/B296)</f>
        <v/>
      </c>
      <c r="Q276" t="n">
        <v>0</v>
      </c>
      <c r="R276" t="n">
        <v>0</v>
      </c>
      <c r="S276">
        <f>IFERROR(O276/N276,0)</f>
        <v/>
      </c>
      <c r="T276" t="n">
        <v>0</v>
      </c>
      <c r="V276" t="n">
        <v>0</v>
      </c>
    </row>
    <row r="277">
      <c r="A277">
        <f>Skills!A16</f>
        <v/>
      </c>
      <c r="B277">
        <f>Skills!B16</f>
        <v/>
      </c>
      <c r="C277">
        <f>Inputs!$B$3&gt;=15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f>(1-Summary!$B$11)*T277+Summary!$B$11*V277</f>
        <v/>
      </c>
      <c r="P277">
        <f>IF(B296=0,0,O277/B296)</f>
        <v/>
      </c>
      <c r="Q277" t="n">
        <v>0</v>
      </c>
      <c r="R277" t="n">
        <v>0</v>
      </c>
      <c r="S277">
        <f>IFERROR(O277/N277,0)</f>
        <v/>
      </c>
      <c r="T277" t="n">
        <v>0</v>
      </c>
      <c r="V277" t="n">
        <v>0</v>
      </c>
    </row>
    <row r="278">
      <c r="A278">
        <f>Skills!A17</f>
        <v/>
      </c>
      <c r="B278">
        <f>Skills!B17</f>
        <v/>
      </c>
      <c r="C278">
        <f>Inputs!$B$3&gt;=10</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f>(1-Summary!$B$11)*T278+Summary!$B$11*V278</f>
        <v/>
      </c>
      <c r="P278">
        <f>IF(B296=0,0,O278/B296)</f>
        <v/>
      </c>
      <c r="Q278" t="n">
        <v>0</v>
      </c>
      <c r="R278" t="n">
        <v>0</v>
      </c>
      <c r="S278">
        <f>IFERROR(O278/N278,0)</f>
        <v/>
      </c>
      <c r="T278" t="n">
        <v>0</v>
      </c>
      <c r="V278" t="n">
        <v>0</v>
      </c>
    </row>
    <row r="279">
      <c r="A279">
        <f>Skills!A18</f>
        <v/>
      </c>
      <c r="B279">
        <f>Skills!B18</f>
        <v/>
      </c>
      <c r="C279">
        <f>Inputs!$B$3&gt;=33</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f>(1-Summary!$B$11)*T279+Summary!$B$11*V279</f>
        <v/>
      </c>
      <c r="P279">
        <f>IF(B296=0,0,O279/B296)</f>
        <v/>
      </c>
      <c r="Q279" t="n">
        <v>0</v>
      </c>
      <c r="R279" t="n">
        <v>0</v>
      </c>
      <c r="S279">
        <f>IFERROR(O279/N279,0)</f>
        <v/>
      </c>
      <c r="T279" t="n">
        <v>0</v>
      </c>
      <c r="V279" t="n">
        <v>0</v>
      </c>
    </row>
    <row r="280">
      <c r="A280">
        <f>Skills!A19</f>
        <v/>
      </c>
      <c r="B280">
        <f>Skills!B19</f>
        <v/>
      </c>
      <c r="C280">
        <f>Inputs!$B$3&gt;=40</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f>(1-Summary!$B$11)*T280+Summary!$B$11*V280</f>
        <v/>
      </c>
      <c r="P280">
        <f>IF(B296=0,0,O280/B296)</f>
        <v/>
      </c>
      <c r="Q280" t="n">
        <v>0</v>
      </c>
      <c r="R280" t="n">
        <v>0</v>
      </c>
      <c r="S280">
        <f>IFERROR(O280/N280,0)</f>
        <v/>
      </c>
      <c r="T280" t="n">
        <v>0</v>
      </c>
      <c r="V280" t="n">
        <v>0</v>
      </c>
    </row>
    <row r="281">
      <c r="A281">
        <f>Skills!A20</f>
        <v/>
      </c>
      <c r="B281">
        <f>Skills!B20</f>
        <v/>
      </c>
      <c r="C281">
        <f>Inputs!$B$3&gt;=43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f>(1-Summary!$B$11)*T281+Summary!$B$11*V281</f>
        <v/>
      </c>
      <c r="P281">
        <f>IF(B296=0,0,O281/B296)</f>
        <v/>
      </c>
      <c r="Q281" t="n">
        <v>0</v>
      </c>
      <c r="R281" t="n">
        <v>0</v>
      </c>
      <c r="S281">
        <f>IFERROR(O281/N281,0)</f>
        <v/>
      </c>
      <c r="T281" t="n">
        <v>0</v>
      </c>
      <c r="V281" t="n">
        <v>0</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f>(1-Summary!$B$11)*T282+Summary!$B$11*V282</f>
        <v/>
      </c>
      <c r="P282">
        <f>IF(B296=0,0,O282/B296)</f>
        <v/>
      </c>
      <c r="Q282" t="n">
        <v>0</v>
      </c>
      <c r="R282" t="n">
        <v>0</v>
      </c>
      <c r="S282">
        <f>IFERROR(O282/N282,0)</f>
        <v/>
      </c>
      <c r="T282" t="n">
        <v>0</v>
      </c>
      <c r="V282" t="n">
        <v>0</v>
      </c>
    </row>
    <row r="283">
      <c r="A283">
        <f>Skills!A22</f>
        <v/>
      </c>
      <c r="B283">
        <f>Skills!B22</f>
        <v/>
      </c>
      <c r="C283">
        <f>Inputs!$B$3&gt;=75</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f>(1-Summary!$B$11)*T283+Summary!$B$11*V283</f>
        <v/>
      </c>
      <c r="P283">
        <f>IF(B296=0,0,O283/B296)</f>
        <v/>
      </c>
      <c r="Q283" t="n">
        <v>0</v>
      </c>
      <c r="R283" t="n">
        <v>0</v>
      </c>
      <c r="S283">
        <f>IFERROR(O283/N283,0)</f>
        <v/>
      </c>
      <c r="T283" t="n">
        <v>0</v>
      </c>
      <c r="V283" t="n">
        <v>0</v>
      </c>
    </row>
    <row r="285">
      <c r="A285" t="inlineStr">
        <is>
          <t>Attack% Bucket Multiplier</t>
        </is>
      </c>
      <c r="B285">
        <f>(1+(((C274=TRUE)*F274)+((C280=TRUE)*(F280-Calc!F19))+(IF(ArtifactsInput!$M$21,CHOOSE(ArtifactsInput!$N$21+1,25,30,35,40,45,50)*(IF(OR(Inputs!$B$4="Chapter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
      <c r="A286" t="inlineStr">
        <is>
          <t>Global Crit Rate Bonus %</t>
        </is>
      </c>
      <c r="B286" t="n">
        <v>0</v>
      </c>
    </row>
    <row r="287">
      <c r="A287" t="inlineStr">
        <is>
          <t>Attack Speed Buff Bonus % (unused)</t>
        </is>
      </c>
      <c r="B287" t="n">
        <v>0</v>
      </c>
    </row>
    <row r="288">
      <c r="A288" t="inlineStr">
        <is>
          <t>Actions Per Second</t>
        </is>
      </c>
      <c r="B288">
        <f>1+MIN(150,150*(1-(1-(Inputs!$B$11+((C278=TRUE)*(F278-Calc!F17))+((C279=TRUE)*(F279-Calc!F18)))/150)*(1-B287/150)))/100</f>
        <v/>
      </c>
    </row>
    <row r="289">
      <c r="A289" t="inlineStr">
        <is>
          <t>Skill + Buff Cast Rate</t>
        </is>
      </c>
      <c r="B289">
        <f>IF(AND(Inputs!$B$38&lt;&gt;"pvp",Inputs!$B$43&gt;0),SUMPRODUCT((Skills!E2:E22=TRUE)*(C263:C283=TRUE)*R263:R283*Skills!F2:F22)/Inputs!$B$43,SUMPRODUCT((Skills!E2:E22=TRUE)*(C263:C283=TRUE)*Q263:Q283*Skills!F2:F22))</f>
        <v/>
      </c>
    </row>
    <row r="290">
      <c r="A290" t="inlineStr">
        <is>
          <t>Hook Bomber Casts Per Second</t>
        </is>
      </c>
      <c r="B290">
        <f>MAX(0,B288-B289)</f>
        <v/>
      </c>
    </row>
    <row r="291">
      <c r="A291" t="inlineStr">
        <is>
          <t>Global Critical Damage Bonus % (unused)</t>
        </is>
      </c>
      <c r="B291" t="n">
        <v>0</v>
      </c>
    </row>
    <row r="292">
      <c r="A292" t="inlineStr">
        <is>
          <t>Global Final Damage Bonus % (Serpent Scale + Crossbones + Time Leap + Speed Infusion)</t>
        </is>
      </c>
      <c r="B292">
        <f>((C266=TRUE)*F266*((10+IF(Inputs!$B$3&gt;=94,5,0))/((10+IF(Inputs!$B$3&gt;=94,5,0))+5/(B290*(1+IF(Inputs!$B$3&gt;=104,1,0))))))+((C275=TRUE)*F275)+((C276=TRUE)*F276)+((Inputs!$B$3&gt;=110)*20*(B288-1))</f>
        <v/>
      </c>
    </row>
    <row r="293">
      <c r="A293" t="inlineStr">
        <is>
          <t>Buff-Casting Startup Delay (s, fixed-duration only)</t>
        </is>
      </c>
      <c r="B293">
        <f>IF(AND(Inputs!$B$38&lt;&gt;"pvp",Inputs!$B$43&gt;0),SUMPRODUCT((Skills!T2:T22&gt;0)*(Skills!E2:E22=TRUE)*(C263:C283=TRUE))/B288,0)</f>
        <v/>
      </c>
    </row>
    <row r="294">
      <c r="A294" t="inlineStr">
        <is>
          <t>Boss-Only Total DPS (this block's swept value)</t>
        </is>
      </c>
      <c r="B294">
        <f>SUM(T263:T283)</f>
        <v/>
      </c>
    </row>
    <row r="295">
      <c r="A295" t="inlineStr">
        <is>
          <t>Normal-Only Total DPS (this block's swept value)</t>
        </is>
      </c>
      <c r="B295">
        <f>SUM(V263:V283)</f>
        <v/>
      </c>
    </row>
    <row r="296">
      <c r="A296" s="6" t="inlineStr">
        <is>
          <t>TOTAL DPS</t>
        </is>
      </c>
      <c r="B296" s="6">
        <f>SUM(O263:O283)</f>
        <v/>
      </c>
    </row>
    <row r="299">
      <c r="A299" s="6" t="inlineStr">
        <is>
          <t>Stat: NORMAL_DAMAGE %</t>
        </is>
      </c>
    </row>
    <row r="300">
      <c r="A300" s="5" t="inlineStr">
        <is>
          <t>Key</t>
        </is>
      </c>
      <c r="B300" s="5" t="inlineStr">
        <is>
          <t>Name</t>
        </is>
      </c>
      <c r="C300" s="5" t="inlineStr">
        <is>
          <t>Unlocked</t>
        </is>
      </c>
      <c r="D300" s="5" t="inlineStr">
        <is>
          <t>InputLevel</t>
        </is>
      </c>
      <c r="E300" s="5" t="inlineStr">
        <is>
          <t>Factor</t>
        </is>
      </c>
      <c r="F300" s="5" t="inlineStr">
        <is>
          <t>CoefficientPercent</t>
        </is>
      </c>
      <c r="G300" s="5" t="inlineStr">
        <is>
          <t>EffectiveHits</t>
        </is>
      </c>
      <c r="H300" s="5" t="inlineStr">
        <is>
          <t>ProcProbability</t>
        </is>
      </c>
      <c r="I300" s="5" t="inlineStr">
        <is>
          <t>MapleHeroMultiplier</t>
        </is>
      </c>
      <c r="J300" s="5" t="inlineStr">
        <is>
          <t>BaseDamage</t>
        </is>
      </c>
      <c r="K300" s="5" t="inlineStr">
        <is>
          <t>BaseHitDamage</t>
        </is>
      </c>
      <c r="L300" s="5" t="inlineStr">
        <is>
          <t>NonCritAvg</t>
        </is>
      </c>
      <c r="M300" s="5" t="inlineStr">
        <is>
          <t>CritAvg</t>
        </is>
      </c>
      <c r="N300" s="5" t="inlineStr">
        <is>
          <t>ExpectedDamage(perHit)</t>
        </is>
      </c>
      <c r="O300" s="5" t="inlineStr">
        <is>
          <t>DPS</t>
        </is>
      </c>
      <c r="P300" s="5" t="inlineStr">
        <is>
          <t>% of Total</t>
        </is>
      </c>
      <c r="Q300" s="5" t="inlineStr">
        <is>
          <t>InvCooldown</t>
        </is>
      </c>
      <c r="R300" s="5" t="inlineStr">
        <is>
          <t>CastsInFight</t>
        </is>
      </c>
      <c r="S300" s="5"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20)),(Inputs!$B$23+0+(IF(ArtifactsInput!$M$15,CHOOSE(ArtifactsInput!$N$15+1,25,30,35,40,45,50)/100*(Inputs!$B$11-Inputs!$B$11),0))))/100+(Inputs!$B$23+0+(IF(ArtifactsInput!$M$15,CHOOSE(ArtifactsInput!$N$15+1,25,30,35,40,45,50)/100*(Inputs!$B$11-Inputs!$B$11),0)))/100)/2</f>
        <v/>
      </c>
      <c r="M301">
        <f>L301*(1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IF(B334=0,0,O301/B334)</f>
        <v/>
      </c>
      <c r="Q301" t="n">
        <v>0</v>
      </c>
      <c r="R301" t="n">
        <v>0</v>
      </c>
      <c r="S301">
        <f>IFERROR(O301/N301,0)</f>
        <v/>
      </c>
      <c r="T301">
        <f>IF(C301,(Skills!G2*N301*B328)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
        <f>MAX(0,(Inputs!$B$3-100)*3)+Inputs!$B$28+Inputs!$B$29</f>
        <v/>
      </c>
      <c r="V301">
        <f>IF(C301,(Skills!G2*N301*B328)*IF(Inputs!$B$38="pvp",1,(1+((Inputs!$B$21+1)+Skills!Q2+(IF(ArtifactsInput!$M$33,CHOOSE(ArtifactsInput!$N$33+1,30,36,42,48,54,60),0))+(IF(AND(ArtifactsInput!$M$35,Inputs!$B$4&lt;&gt;"Chapter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Skills!A3</f>
        <v/>
      </c>
      <c r="B302">
        <f>Skills!B3</f>
        <v/>
      </c>
      <c r="C302">
        <f>Inputs!$B$3&gt;=35</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f>Skills!G3*IF(Skills!H3&gt;0,Skills!I3/Skills!H3,1)</f>
        <v/>
      </c>
      <c r="H302">
        <f>1-(1-Skills!J3/100)^Skills!K3</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20)),(Inputs!$B$23+0+(IF(ArtifactsInput!$M$15,CHOOSE(ArtifactsInput!$N$15+1,25,30,35,40,45,50)/100*(Inputs!$B$11-Inputs!$B$11),0))))/100+(Inputs!$B$23+0+(IF(ArtifactsInput!$M$15,CHOOSE(ArtifactsInput!$N$15+1,25,30,35,40,45,50)/100*(Inputs!$B$11-Inputs!$B$11),0)))/100)/2</f>
        <v/>
      </c>
      <c r="M302">
        <f>L302*(1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IF(B334=0,0,O302/B334)</f>
        <v/>
      </c>
      <c r="Q302" t="n">
        <v>0</v>
      </c>
      <c r="R302" t="n">
        <v>0</v>
      </c>
      <c r="S302">
        <f>IFERROR(O302/N302,0)</f>
        <v/>
      </c>
      <c r="T302">
        <f>IF(C302,(Skills!G3*H302*N302*B328)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
        <f>INDEX(FactorTable!$B$2:$Y$301, MATCH(ROUND(MIN(300,MAX(1,U301)),0), FactorTable!$A$2:$A$301,0), 22)</f>
        <v/>
      </c>
      <c r="V302">
        <f>IF(C302,(Skills!G3*H302*N302*B328)*IF(Inputs!$B$38="pvp",1,(1+((Inputs!$B$21+1)+Skills!Q3+(IF(ArtifactsInput!$M$33,CHOOSE(ArtifactsInput!$N$33+1,30,36,42,48,54,60),0))+(IF(AND(ArtifactsInput!$M$35,Inputs!$B$4&lt;&gt;"Chapter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Skills!A4</f>
        <v/>
      </c>
      <c r="B303">
        <f>Skills!B4</f>
        <v/>
      </c>
      <c r="C303">
        <f>Inputs!$B$3&gt;=60</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TRUE,F311,0)/100)*(1+(IF(Skills!A4="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20)),(Inputs!$B$23+0+(IF(ArtifactsInput!$M$15,CHOOSE(ArtifactsInput!$N$15+1,25,30,35,40,45,50)/100*(Inputs!$B$11-Inputs!$B$11),0))))/100+(Inputs!$B$23+0+(IF(ArtifactsInput!$M$15,CHOOSE(ArtifactsInput!$N$15+1,25,30,35,40,45,50)/100*(Inputs!$B$11-Inputs!$B$11),0)))/100)/2</f>
        <v/>
      </c>
      <c r="M303">
        <f>L303*(1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IF(B334=0,0,O303/B334)</f>
        <v/>
      </c>
      <c r="Q303" t="n">
        <v>0</v>
      </c>
      <c r="R303" t="n">
        <v>0</v>
      </c>
      <c r="S303">
        <f>IFERROR(O303/N303,0)</f>
        <v/>
      </c>
      <c r="T303">
        <f>IF(C303,(Skills!G4*H303*N303*B328)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290*U302/1000</f>
        <v/>
      </c>
      <c r="V303">
        <f>IF(C303,(Skills!G4*H303*N303*B328)*IF(Inputs!$B$38="pvp",1,(1+((Inputs!$B$21+1)+Skills!Q4+(IF(ArtifactsInput!$M$33,CHOOSE(ArtifactsInput!$N$33+1,30,36,42,48,54,60),0))+(IF(AND(ArtifactsInput!$M$35,Inputs!$B$4&lt;&gt;"Chapter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Skills!A5</f>
        <v/>
      </c>
      <c r="B304">
        <f>Skills!B5</f>
        <v/>
      </c>
      <c r="C304">
        <f>Inputs!$B$3&gt;=60</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t="inlineStr"/>
      <c r="K304" t="inlineStr"/>
      <c r="L304" t="inlineStr"/>
      <c r="M304" t="inlineStr"/>
      <c r="N304" t="inlineStr"/>
      <c r="O304">
        <f>(1-Summary!$B$11)*T304+Summary!$B$11*V304</f>
        <v/>
      </c>
      <c r="P304">
        <f>IF(B334=0,0,O304/B334)</f>
        <v/>
      </c>
      <c r="Q304" t="n">
        <v>0</v>
      </c>
      <c r="R304" t="n">
        <v>0</v>
      </c>
      <c r="S304">
        <f>IFERROR(O304/N304,0)</f>
        <v/>
      </c>
      <c r="T304" t="n">
        <v>0</v>
      </c>
      <c r="V304" t="n">
        <v>0</v>
      </c>
    </row>
    <row r="305">
      <c r="A305">
        <f>Skills!A6</f>
        <v/>
      </c>
      <c r="B305">
        <f>Skills!B6</f>
        <v/>
      </c>
      <c r="C305">
        <f>Inputs!$B$3&gt;=63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20)),(Inputs!$B$23+0+(IF(ArtifactsInput!$M$15,CHOOSE(ArtifactsInput!$N$15+1,25,30,35,40,45,50)/100*(Inputs!$B$11-Inputs!$B$11),0))))/100+(Inputs!$B$23+0+(IF(ArtifactsInput!$M$15,CHOOSE(ArtifactsInput!$N$15+1,25,30,35,40,45,50)/100*(Inputs!$B$11-Inputs!$B$11),0)))/100)/2</f>
        <v/>
      </c>
      <c r="M305">
        <f>L305*(1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IF(B334=0,0,O305/B334)</f>
        <v/>
      </c>
      <c r="Q305">
        <f>IFERROR(1/(IF(Inputs!$B$38="pvp",15,MAX(0.1,Skills!D6-IF(Skills!E6=TRUE,Inputs!$B$32,0)))*(1-IF(AND(ArtifactsInput!$M$27,Inputs!$B$4="Chapter Hunt"),CHOOSE(ArtifactsInput!$N$27+1,20,24,28,32,36,40),0)/100)),0)</f>
        <v/>
      </c>
      <c r="R305">
        <f>IF(AND(Inputs!$B$38&lt;&gt;"pvp",Inputs!$B$43&gt;0),IF(MAX(0,Inputs!$B$43-B331)&lt;=0,0,(INT(MAX(0,Inputs!$B$43-B331)/(IF(Inputs!$B$38="pvp",15,MAX(0.1,Skills!D6-IF(Skills!E6=TRUE,Inputs!$B$32,0)))*(1-IF(AND(ArtifactsInput!$M$27,Inputs!$B$4="Chapter Hunt"),CHOOSE(ArtifactsInput!$N$27+1,20,24,28,32,36,40),0)/100)))+1)),0)</f>
        <v/>
      </c>
      <c r="S305">
        <f>IFERROR(O305/N305,0)</f>
        <v/>
      </c>
      <c r="T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$21+1)+Skills!Q6+(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Skills!A7</f>
        <v/>
      </c>
      <c r="B306">
        <f>Skills!B7</f>
        <v/>
      </c>
      <c r="C306">
        <f>Inputs!$B$3&gt;=100</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20)),(Inputs!$B$23+0+(IF(ArtifactsInput!$M$15,CHOOSE(ArtifactsInput!$N$15+1,25,30,35,40,45,50)/100*(Inputs!$B$11-Inputs!$B$11),0))))/100+(Inputs!$B$23+0+(IF(ArtifactsInput!$M$15,CHOOSE(ArtifactsInput!$N$15+1,25,30,35,40,45,50)/100*(Inputs!$B$11-Inputs!$B$11),0)))/100)/2</f>
        <v/>
      </c>
      <c r="M306">
        <f>L306*(1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IF(B334=0,0,O306/B334)</f>
        <v/>
      </c>
      <c r="Q306">
        <f>IFERROR(1/(IF(Inputs!$B$38="pvp",15,MAX(0.1,Skills!D7-IF(Skills!E7=TRUE,Inputs!$B$32,0)))*(1-IF(AND(ArtifactsInput!$M$27,Inputs!$B$4="Chapter Hunt"),CHOOSE(ArtifactsInput!$N$27+1,20,24,28,32,36,40),0)/100)),0)</f>
        <v/>
      </c>
      <c r="R306">
        <f>IF(AND(Inputs!$B$38&lt;&gt;"pvp",Inputs!$B$43&gt;0),IF(MAX(0,Inputs!$B$43-B331)&lt;=0,0,(INT(MAX(0,Inputs!$B$43-B331)/(IF(Inputs!$B$38="pvp",15,MAX(0.1,Skills!D7-IF(Skills!E7=TRUE,Inputs!$B$32,0)))*(1-IF(AND(ArtifactsInput!$M$27,Inputs!$B$4="Chapter Hunt"),CHOOSE(ArtifactsInput!$N$27+1,20,24,28,32,36,40),0)/100)))+1)),0)</f>
        <v/>
      </c>
      <c r="S306">
        <f>IFERROR(O306/N306,0)</f>
        <v/>
      </c>
      <c r="T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$21+1)+Skills!Q7+(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Skills!A8</f>
        <v/>
      </c>
      <c r="B307">
        <f>Skills!B8</f>
        <v/>
      </c>
      <c r="C307">
        <f>Inputs!$B$3&gt;=110</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20)),(Inputs!$B$23+0+(IF(ArtifactsInput!$M$15,CHOOSE(ArtifactsInput!$N$15+1,25,30,35,40,45,50)/100*(Inputs!$B$11-Inputs!$B$11),0))))/100+(Inputs!$B$23+0+(IF(ArtifactsInput!$M$15,CHOOSE(ArtifactsInput!$N$15+1,25,30,35,40,45,50)/100*(Inputs!$B$11-Inputs!$B$11),0)))/100)/2</f>
        <v/>
      </c>
      <c r="M307">
        <f>L307*(1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IF(B334=0,0,O307/B334)</f>
        <v/>
      </c>
      <c r="Q307">
        <f>IFERROR(1/(IF(Inputs!$B$38="pvp",15,MAX(0.1,Skills!D8-IF(Skills!E8=TRUE,Inputs!$B$32,0)))*(1-IF(AND(ArtifactsInput!$M$27,Inputs!$B$4="Chapter Hunt"),CHOOSE(ArtifactsInput!$N$27+1,20,24,28,32,36,40),0)/100)),0)</f>
        <v/>
      </c>
      <c r="R307">
        <f>IF(AND(Inputs!$B$38&lt;&gt;"pvp",Inputs!$B$43&gt;0),IF(MAX(0,Inputs!$B$43-B331)&lt;=0,0,(INT(MAX(0,Inputs!$B$43-B331)/(IF(Inputs!$B$38="pvp",15,MAX(0.1,Skills!D8-IF(Skills!E8=TRUE,Inputs!$B$32,0)))*(1-IF(AND(ArtifactsInput!$M$27,Inputs!$B$4="Chapter Hunt"),CHOOSE(ArtifactsInput!$N$27+1,20,24,28,32,36,40),0)/100)))+1)),0)</f>
        <v/>
      </c>
      <c r="S307">
        <f>IFERROR(O307/N307,0)</f>
        <v/>
      </c>
      <c r="T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$21+1)+Skills!Q8+(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Skills!A9</f>
        <v/>
      </c>
      <c r="B308">
        <f>Skills!B9</f>
        <v/>
      </c>
      <c r="C308">
        <f>Inputs!$B$3&gt;=110</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319=TRUE)*(F319-Calc!F20)),(Inputs!$B$23+0+(IF(ArtifactsInput!$M$15,CHOOSE(ArtifactsInput!$N$15+1,25,30,35,40,45,50)/100*(Inputs!$B$11-Inputs!$B$11),0))))/100+(Inputs!$B$23+0+(IF(ArtifactsInput!$M$15,CHOOSE(ArtifactsInput!$N$15+1,25,30,35,40,45,50)/100*(Inputs!$B$11-Inputs!$B$11),0)))/100)/2</f>
        <v/>
      </c>
      <c r="M308">
        <f>L308*(1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IF(B334=0,0,O308/B334)</f>
        <v/>
      </c>
      <c r="Q308">
        <f>IFERROR(1/(IF(Inputs!$B$38="pvp",15,MAX(0.1,Skills!D9-IF(Skills!E9=TRUE,Inputs!$B$32,0)))*(1-IF(AND(ArtifactsInput!$M$27,Inputs!$B$4="Chapter Hunt"),CHOOSE(ArtifactsInput!$N$27+1,20,24,28,32,36,40),0)/100)),0)</f>
        <v/>
      </c>
      <c r="R308">
        <f>IF(AND(Inputs!$B$38&lt;&gt;"pvp",Inputs!$B$43&gt;0),IF(MAX(0,Inputs!$B$43-B331)&lt;=0,0,(INT(MAX(0,Inputs!$B$43-B331)/(IF(Inputs!$B$38="pvp",15,MAX(0.1,Skills!D9-IF(Skills!E9=TRUE,Inputs!$B$32,0)))*(1-IF(AND(ArtifactsInput!$M$27,Inputs!$B$4="Chapter Hunt"),CHOOSE(ArtifactsInput!$N$27+1,20,24,28,32,36,40),0)/100)))+1)),0)</f>
        <v/>
      </c>
      <c r="S308">
        <f>IFERROR(O308/N308,0)</f>
        <v/>
      </c>
      <c r="T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$21+1)+Skills!Q9+(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Skills!A10</f>
        <v/>
      </c>
      <c r="B309">
        <f>Skills!B10</f>
        <v/>
      </c>
      <c r="C309">
        <f>Inputs!$B$3&gt;=103</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319=TRUE)*(F319-Calc!F20)),(Inputs!$B$23+0+(IF(ArtifactsInput!$M$15,CHOOSE(ArtifactsInput!$N$15+1,25,30,35,40,45,50)/100*(Inputs!$B$11-Inputs!$B$11),0))))/100+(Inputs!$B$23+0+(IF(ArtifactsInput!$M$15,CHOOSE(ArtifactsInput!$N$15+1,25,30,35,40,45,50)/100*(Inputs!$B$11-Inputs!$B$11),0)))/100)/2</f>
        <v/>
      </c>
      <c r="M309">
        <f>L309*(1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IF(B334=0,0,O309/B334)</f>
        <v/>
      </c>
      <c r="Q309">
        <f>IFERROR(1/(IF(Inputs!$B$38="pvp",15,MAX(0.1,Skills!D10-IF(Skills!E10=TRUE,Inputs!$B$32,0)))*(1-IF(AND(ArtifactsInput!$M$27,Inputs!$B$4="Chapter Hunt"),CHOOSE(ArtifactsInput!$N$27+1,20,24,28,32,36,40),0)/100)),0)</f>
        <v/>
      </c>
      <c r="R309">
        <f>IF(AND(Inputs!$B$38&lt;&gt;"pvp",Inputs!$B$43&gt;0),IF(MAX(0,Inputs!$B$43-B331)&lt;=0,0,(INT(MAX(0,Inputs!$B$43-B331)/(IF(Inputs!$B$38="pvp",15,MAX(0.1,Skills!D10-IF(Skills!E10=TRUE,Inputs!$B$32,0)))*(1-IF(AND(ArtifactsInput!$M$27,Inputs!$B$4="Chapter Hunt"),CHOOSE(ArtifactsInput!$N$27+1,20,24,28,32,36,40),0)/100)))+1)),0)</f>
        <v/>
      </c>
      <c r="S309">
        <f>IFERROR(O309/N309,0)</f>
        <v/>
      </c>
      <c r="T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$21+1)+Skills!Q10+(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Skills!A11</f>
        <v/>
      </c>
      <c r="B310">
        <f>Skills!B11</f>
        <v/>
      </c>
      <c r="C310">
        <f>Inputs!$B$3&gt;=113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319=TRUE)*(F319-Calc!F20)),(Inputs!$B$23+0+(IF(ArtifactsInput!$M$15,CHOOSE(ArtifactsInput!$N$15+1,25,30,35,40,45,50)/100*(Inputs!$B$11-Inputs!$B$11),0))))/100+(Inputs!$B$23+0+(IF(ArtifactsInput!$M$15,CHOOSE(ArtifactsInput!$N$15+1,25,30,35,40,45,50)/100*(Inputs!$B$11-Inputs!$B$11),0)))/100)/2</f>
        <v/>
      </c>
      <c r="M310">
        <f>L310*(1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IF(B334=0,0,O310/B334)</f>
        <v/>
      </c>
      <c r="Q310">
        <f>IFERROR(1/(IF(Inputs!$B$38="pvp",15,MAX(0.1,Skills!D11-IF(Skills!E11=TRUE,Inputs!$B$32,0)))*(1-IF(AND(ArtifactsInput!$M$27,Inputs!$B$4="Chapter Hunt"),CHOOSE(ArtifactsInput!$N$27+1,20,24,28,32,36,40),0)/100)),0)</f>
        <v/>
      </c>
      <c r="R310">
        <f>IF(AND(Inputs!$B$38&lt;&gt;"pvp",Inputs!$B$43&gt;0),IF(MAX(0,Inputs!$B$43-B331)&lt;=0,0,(INT(MAX(0,Inputs!$B$43-B331)/(IF(Inputs!$B$38="pvp",15,MAX(0.1,Skills!D11-IF(Skills!E11=TRUE,Inputs!$B$32,0)))*(1-IF(AND(ArtifactsInput!$M$27,Inputs!$B$4="Chapter Hunt"),CHOOSE(ArtifactsInput!$N$27+1,20,24,28,32,36,40),0)/100)))+1)),0)</f>
        <v/>
      </c>
      <c r="S310">
        <f>IFERROR(O310/N310,0)</f>
        <v/>
      </c>
      <c r="T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$21+1)+Skills!Q11+(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Skills!A13</f>
        <v/>
      </c>
      <c r="B312">
        <f>Skills!B13</f>
        <v/>
      </c>
      <c r="C312">
        <f>Inputs!$B$3&gt;=66</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f>(1-Summary!$B$11)*T312+Summary!$B$11*V312</f>
        <v/>
      </c>
      <c r="P312">
        <f>IF(B334=0,0,O312/B334)</f>
        <v/>
      </c>
      <c r="Q312" t="n">
        <v>0</v>
      </c>
      <c r="R312" t="n">
        <v>0</v>
      </c>
      <c r="S312">
        <f>IFERROR(O312/N312,0)</f>
        <v/>
      </c>
      <c r="T312" t="n">
        <v>0</v>
      </c>
      <c r="V312" t="n">
        <v>0</v>
      </c>
    </row>
    <row r="313">
      <c r="A313">
        <f>Skills!A14</f>
        <v/>
      </c>
      <c r="B313">
        <f>Skills!B14</f>
        <v/>
      </c>
      <c r="C313">
        <f>Inputs!$B$3&gt;=107</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f>(1-Summary!$B$11)*T313+Summary!$B$11*V313</f>
        <v/>
      </c>
      <c r="P313">
        <f>IF(B334=0,0,O313/B334)</f>
        <v/>
      </c>
      <c r="Q313" t="n">
        <v>0</v>
      </c>
      <c r="R313" t="n">
        <v>0</v>
      </c>
      <c r="S313">
        <f>IFERROR(O313/N313,0)</f>
        <v/>
      </c>
      <c r="T313" t="n">
        <v>0</v>
      </c>
      <c r="V313" t="n">
        <v>0</v>
      </c>
    </row>
    <row r="314">
      <c r="A314">
        <f>Skills!A15</f>
        <v/>
      </c>
      <c r="B314">
        <f>Skills!B15</f>
        <v/>
      </c>
      <c r="C314">
        <f>Inputs!$B$3&gt;=115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f>(1-Summary!$B$11)*T314+Summary!$B$11*V314</f>
        <v/>
      </c>
      <c r="P314">
        <f>IF(B334=0,0,O314/B334)</f>
        <v/>
      </c>
      <c r="Q314" t="n">
        <v>0</v>
      </c>
      <c r="R314" t="n">
        <v>0</v>
      </c>
      <c r="S314">
        <f>IFERROR(O314/N314,0)</f>
        <v/>
      </c>
      <c r="T314" t="n">
        <v>0</v>
      </c>
      <c r="V314" t="n">
        <v>0</v>
      </c>
    </row>
    <row r="315">
      <c r="A315">
        <f>Skills!A16</f>
        <v/>
      </c>
      <c r="B315">
        <f>Skills!B16</f>
        <v/>
      </c>
      <c r="C315">
        <f>Inputs!$B$3&gt;=15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f>(1-Summary!$B$11)*T315+Summary!$B$11*V315</f>
        <v/>
      </c>
      <c r="P315">
        <f>IF(B334=0,0,O315/B334)</f>
        <v/>
      </c>
      <c r="Q315" t="n">
        <v>0</v>
      </c>
      <c r="R315" t="n">
        <v>0</v>
      </c>
      <c r="S315">
        <f>IFERROR(O315/N315,0)</f>
        <v/>
      </c>
      <c r="T315" t="n">
        <v>0</v>
      </c>
      <c r="V315" t="n">
        <v>0</v>
      </c>
    </row>
    <row r="316">
      <c r="A316">
        <f>Skills!A17</f>
        <v/>
      </c>
      <c r="B316">
        <f>Skills!B17</f>
        <v/>
      </c>
      <c r="C316">
        <f>Inputs!$B$3&gt;=10</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f>(1-Summary!$B$11)*T316+Summary!$B$11*V316</f>
        <v/>
      </c>
      <c r="P316">
        <f>IF(B334=0,0,O316/B334)</f>
        <v/>
      </c>
      <c r="Q316" t="n">
        <v>0</v>
      </c>
      <c r="R316" t="n">
        <v>0</v>
      </c>
      <c r="S316">
        <f>IFERROR(O316/N316,0)</f>
        <v/>
      </c>
      <c r="T316" t="n">
        <v>0</v>
      </c>
      <c r="V316" t="n">
        <v>0</v>
      </c>
    </row>
    <row r="317">
      <c r="A317">
        <f>Skills!A18</f>
        <v/>
      </c>
      <c r="B317">
        <f>Skills!B18</f>
        <v/>
      </c>
      <c r="C317">
        <f>Inputs!$B$3&gt;=33</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f>(1-Summary!$B$11)*T317+Summary!$B$11*V317</f>
        <v/>
      </c>
      <c r="P317">
        <f>IF(B334=0,0,O317/B334)</f>
        <v/>
      </c>
      <c r="Q317" t="n">
        <v>0</v>
      </c>
      <c r="R317" t="n">
        <v>0</v>
      </c>
      <c r="S317">
        <f>IFERROR(O317/N317,0)</f>
        <v/>
      </c>
      <c r="T317" t="n">
        <v>0</v>
      </c>
      <c r="V317" t="n">
        <v>0</v>
      </c>
    </row>
    <row r="318">
      <c r="A318">
        <f>Skills!A19</f>
        <v/>
      </c>
      <c r="B318">
        <f>Skills!B19</f>
        <v/>
      </c>
      <c r="C318">
        <f>Inputs!$B$3&gt;=40</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f>(1-Summary!$B$11)*T318+Summary!$B$11*V318</f>
        <v/>
      </c>
      <c r="P318">
        <f>IF(B334=0,0,O318/B334)</f>
        <v/>
      </c>
      <c r="Q318" t="n">
        <v>0</v>
      </c>
      <c r="R318" t="n">
        <v>0</v>
      </c>
      <c r="S318">
        <f>IFERROR(O318/N318,0)</f>
        <v/>
      </c>
      <c r="T318" t="n">
        <v>0</v>
      </c>
      <c r="V318" t="n">
        <v>0</v>
      </c>
    </row>
    <row r="319">
      <c r="A319">
        <f>Skills!A20</f>
        <v/>
      </c>
      <c r="B319">
        <f>Skills!B20</f>
        <v/>
      </c>
      <c r="C319">
        <f>Inputs!$B$3&gt;=43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f>(1-Summary!$B$11)*T319+Summary!$B$11*V319</f>
        <v/>
      </c>
      <c r="P319">
        <f>IF(B334=0,0,O319/B334)</f>
        <v/>
      </c>
      <c r="Q319" t="n">
        <v>0</v>
      </c>
      <c r="R319" t="n">
        <v>0</v>
      </c>
      <c r="S319">
        <f>IFERROR(O319/N319,0)</f>
        <v/>
      </c>
      <c r="T319" t="n">
        <v>0</v>
      </c>
      <c r="V319" t="n">
        <v>0</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f>(1-Summary!$B$11)*T320+Summary!$B$11*V320</f>
        <v/>
      </c>
      <c r="P320">
        <f>IF(B334=0,0,O320/B334)</f>
        <v/>
      </c>
      <c r="Q320" t="n">
        <v>0</v>
      </c>
      <c r="R320" t="n">
        <v>0</v>
      </c>
      <c r="S320">
        <f>IFERROR(O320/N320,0)</f>
        <v/>
      </c>
      <c r="T320" t="n">
        <v>0</v>
      </c>
      <c r="V320" t="n">
        <v>0</v>
      </c>
    </row>
    <row r="321">
      <c r="A321">
        <f>Skills!A22</f>
        <v/>
      </c>
      <c r="B321">
        <f>Skills!B22</f>
        <v/>
      </c>
      <c r="C321">
        <f>Inputs!$B$3&gt;=75</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f>(1-Summary!$B$11)*T321+Summary!$B$11*V321</f>
        <v/>
      </c>
      <c r="P321">
        <f>IF(B334=0,0,O321/B334)</f>
        <v/>
      </c>
      <c r="Q321" t="n">
        <v>0</v>
      </c>
      <c r="R321" t="n">
        <v>0</v>
      </c>
      <c r="S321">
        <f>IFERROR(O321/N321,0)</f>
        <v/>
      </c>
      <c r="T321" t="n">
        <v>0</v>
      </c>
      <c r="V321" t="n">
        <v>0</v>
      </c>
    </row>
    <row r="323">
      <c r="A323" t="inlineStr">
        <is>
          <t>Attack% Bucket Multiplier</t>
        </is>
      </c>
      <c r="B323">
        <f>(1+(((C312=TRUE)*F312)+((C318=TRUE)*(F318-Calc!F19))+(IF(ArtifactsInput!$M$21,CHOOSE(ArtifactsInput!$N$21+1,25,30,35,40,45,50)*(IF(OR(Inputs!$B$4="Chapter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
      <c r="A324" t="inlineStr">
        <is>
          <t>Global Crit Rate Bonus %</t>
        </is>
      </c>
      <c r="B324" t="n">
        <v>0</v>
      </c>
    </row>
    <row r="325">
      <c r="A325" t="inlineStr">
        <is>
          <t>Attack Speed Buff Bonus % (unused)</t>
        </is>
      </c>
      <c r="B325" t="n">
        <v>0</v>
      </c>
    </row>
    <row r="326">
      <c r="A326" t="inlineStr">
        <is>
          <t>Actions Per Second</t>
        </is>
      </c>
      <c r="B326">
        <f>1+MIN(150,150*(1-(1-(Inputs!$B$11+((C316=TRUE)*(F316-Calc!F17))+((C317=TRUE)*(F317-Calc!F18)))/150)*(1-B325/150)))/100</f>
        <v/>
      </c>
    </row>
    <row r="327">
      <c r="A327" t="inlineStr">
        <is>
          <t>Skill + Buff Cast Rate</t>
        </is>
      </c>
      <c r="B327">
        <f>IF(AND(Inputs!$B$38&lt;&gt;"pvp",Inputs!$B$43&gt;0),SUMPRODUCT((Skills!E2:E22=TRUE)*(C301:C321=TRUE)*R301:R321*Skills!F2:F22)/Inputs!$B$43,SUMPRODUCT((Skills!E2:E22=TRUE)*(C301:C321=TRUE)*Q301:Q321*Skills!F2:F22))</f>
        <v/>
      </c>
    </row>
    <row r="328">
      <c r="A328" t="inlineStr">
        <is>
          <t>Hook Bomber Casts Per Second</t>
        </is>
      </c>
      <c r="B328">
        <f>MAX(0,B326-B327)</f>
        <v/>
      </c>
    </row>
    <row r="329">
      <c r="A329" t="inlineStr">
        <is>
          <t>Global Critical Damage Bonus % (unused)</t>
        </is>
      </c>
      <c r="B329" t="n">
        <v>0</v>
      </c>
    </row>
    <row r="330">
      <c r="A330" t="inlineStr">
        <is>
          <t>Global Final Damage Bonus % (Serpent Scale + Crossbones + Time Leap + Speed Infusion)</t>
        </is>
      </c>
      <c r="B330">
        <f>((C304=TRUE)*F304*((10+IF(Inputs!$B$3&gt;=94,5,0))/((10+IF(Inputs!$B$3&gt;=94,5,0))+5/(B328*(1+IF(Inputs!$B$3&gt;=104,1,0))))))+((C313=TRUE)*F313)+((C314=TRUE)*F314)+((Inputs!$B$3&gt;=110)*20*(B326-1))</f>
        <v/>
      </c>
    </row>
    <row r="331">
      <c r="A331" t="inlineStr">
        <is>
          <t>Buff-Casting Startup Delay (s, fixed-duration only)</t>
        </is>
      </c>
      <c r="B331">
        <f>IF(AND(Inputs!$B$38&lt;&gt;"pvp",Inputs!$B$43&gt;0),SUMPRODUCT((Skills!T2:T22&gt;0)*(Skills!E2:E22=TRUE)*(C301:C321=TRUE))/B326,0)</f>
        <v/>
      </c>
    </row>
    <row r="332">
      <c r="A332" t="inlineStr">
        <is>
          <t>Boss-Only Total DPS (this block's swept value)</t>
        </is>
      </c>
      <c r="B332">
        <f>SUM(T301:T321)</f>
        <v/>
      </c>
    </row>
    <row r="333">
      <c r="A333" t="inlineStr">
        <is>
          <t>Normal-Only Total DPS (this block's swept value)</t>
        </is>
      </c>
      <c r="B333">
        <f>SUM(V301:V321)</f>
        <v/>
      </c>
    </row>
    <row r="334">
      <c r="A334" s="6" t="inlineStr">
        <is>
          <t>TOTAL DPS</t>
        </is>
      </c>
      <c r="B334" s="6">
        <f>SUM(O301:O321)</f>
        <v/>
      </c>
    </row>
    <row r="337">
      <c r="A337" s="6" t="inlineStr">
        <is>
          <t>Stat: FINAL_DAMAGE % (multiplicative source)</t>
        </is>
      </c>
    </row>
    <row r="338">
      <c r="A338" s="5" t="inlineStr">
        <is>
          <t>Key</t>
        </is>
      </c>
      <c r="B338" s="5" t="inlineStr">
        <is>
          <t>Name</t>
        </is>
      </c>
      <c r="C338" s="5" t="inlineStr">
        <is>
          <t>Unlocked</t>
        </is>
      </c>
      <c r="D338" s="5" t="inlineStr">
        <is>
          <t>InputLevel</t>
        </is>
      </c>
      <c r="E338" s="5" t="inlineStr">
        <is>
          <t>Factor</t>
        </is>
      </c>
      <c r="F338" s="5" t="inlineStr">
        <is>
          <t>CoefficientPercent</t>
        </is>
      </c>
      <c r="G338" s="5" t="inlineStr">
        <is>
          <t>EffectiveHits</t>
        </is>
      </c>
      <c r="H338" s="5" t="inlineStr">
        <is>
          <t>ProcProbability</t>
        </is>
      </c>
      <c r="I338" s="5" t="inlineStr">
        <is>
          <t>MapleHeroMultiplier</t>
        </is>
      </c>
      <c r="J338" s="5" t="inlineStr">
        <is>
          <t>BaseDamage</t>
        </is>
      </c>
      <c r="K338" s="5" t="inlineStr">
        <is>
          <t>BaseHitDamage</t>
        </is>
      </c>
      <c r="L338" s="5" t="inlineStr">
        <is>
          <t>NonCritAvg</t>
        </is>
      </c>
      <c r="M338" s="5" t="inlineStr">
        <is>
          <t>CritAvg</t>
        </is>
      </c>
      <c r="N338" s="5" t="inlineStr">
        <is>
          <t>ExpectedDamage(perHit)</t>
        </is>
      </c>
      <c r="O338" s="5" t="inlineStr">
        <is>
          <t>DPS</t>
        </is>
      </c>
      <c r="P338" s="5" t="inlineStr">
        <is>
          <t>% of Total</t>
        </is>
      </c>
      <c r="Q338" s="5" t="inlineStr">
        <is>
          <t>InvCooldown</t>
        </is>
      </c>
      <c r="R338" s="5" t="inlineStr">
        <is>
          <t>CastsInFight</t>
        </is>
      </c>
      <c r="S338" s="5"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20)),(Inputs!$B$23+0+(IF(ArtifactsInput!$M$15,CHOOSE(ArtifactsInput!$N$15+1,25,30,35,40,45,50)/100*(Inputs!$B$11-Inputs!$B$11),0))))/100+(Inputs!$B$23+0+(IF(ArtifactsInput!$M$15,CHOOSE(ArtifactsInput!$N$15+1,25,30,35,40,45,50)/100*(Inputs!$B$11-Inputs!$B$11),0)))/100)/2</f>
        <v/>
      </c>
      <c r="M339">
        <f>L339*(1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IF(B372=0,0,O339/B372)</f>
        <v/>
      </c>
      <c r="Q339" t="n">
        <v>0</v>
      </c>
      <c r="R339" t="n">
        <v>0</v>
      </c>
      <c r="S339">
        <f>IFERROR(O339/N339,0)</f>
        <v/>
      </c>
      <c r="T339">
        <f>IF(C339,(Skills!G2*N339*B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MAX(0,(Inputs!$B$3-100)*3)+Inputs!$B$28+Inputs!$B$29</f>
        <v/>
      </c>
      <c r="V339">
        <f>IF(C339,(Skills!G2*N339*B366)*IF(Inputs!$B$38="pvp",1,(1+(Inputs!$B$21+Skills!Q2+(IF(ArtifactsInput!$M$33,CHOOSE(ArtifactsInput!$N$33+1,30,36,42,48,54,60),0))+(IF(AND(ArtifactsInput!$M$35,Inputs!$B$4&lt;&gt;"Chapter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Skills!A3</f>
        <v/>
      </c>
      <c r="B340">
        <f>Skills!B3</f>
        <v/>
      </c>
      <c r="C340">
        <f>Inputs!$B$3&gt;=35</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f>Skills!G3*IF(Skills!H3&gt;0,Skills!I3/Skills!H3,1)</f>
        <v/>
      </c>
      <c r="H340">
        <f>1-(1-Skills!J3/100)^Skills!K3</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20)),(Inputs!$B$23+0+(IF(ArtifactsInput!$M$15,CHOOSE(ArtifactsInput!$N$15+1,25,30,35,40,45,50)/100*(Inputs!$B$11-Inputs!$B$11),0))))/100+(Inputs!$B$23+0+(IF(ArtifactsInput!$M$15,CHOOSE(ArtifactsInput!$N$15+1,25,30,35,40,45,50)/100*(Inputs!$B$11-Inputs!$B$11),0)))/100)/2</f>
        <v/>
      </c>
      <c r="M340">
        <f>L340*(1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IF(B372=0,0,O340/B372)</f>
        <v/>
      </c>
      <c r="Q340" t="n">
        <v>0</v>
      </c>
      <c r="R340" t="n">
        <v>0</v>
      </c>
      <c r="S340">
        <f>IFERROR(O340/N340,0)</f>
        <v/>
      </c>
      <c r="T340">
        <f>IF(C340,(Skills!G3*H340*N340*B366)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
        <f>INDEX(FactorTable!$B$2:$Y$301, MATCH(ROUND(MIN(300,MAX(1,U339)),0), FactorTable!$A$2:$A$301,0), 22)</f>
        <v/>
      </c>
      <c r="V340">
        <f>IF(C340,(Skills!G3*H340*N340*B366)*IF(Inputs!$B$38="pvp",1,(1+(Inputs!$B$21+Skills!Q3+(IF(ArtifactsInput!$M$33,CHOOSE(ArtifactsInput!$N$33+1,30,36,42,48,54,60),0))+(IF(AND(ArtifactsInput!$M$35,Inputs!$B$4&lt;&gt;"Chapter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Skills!A4</f>
        <v/>
      </c>
      <c r="B341">
        <f>Skills!B4</f>
        <v/>
      </c>
      <c r="C341">
        <f>Inputs!$B$3&gt;=60</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4="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20)),(Inputs!$B$23+0+(IF(ArtifactsInput!$M$15,CHOOSE(ArtifactsInput!$N$15+1,25,30,35,40,45,50)/100*(Inputs!$B$11-Inputs!$B$11),0))))/100+(Inputs!$B$23+0+(IF(ArtifactsInput!$M$15,CHOOSE(ArtifactsInput!$N$15+1,25,30,35,40,45,50)/100*(Inputs!$B$11-Inputs!$B$11),0)))/100)/2</f>
        <v/>
      </c>
      <c r="M341">
        <f>L341*(1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IF(B372=0,0,O341/B372)</f>
        <v/>
      </c>
      <c r="Q341" t="n">
        <v>0</v>
      </c>
      <c r="R341" t="n">
        <v>0</v>
      </c>
      <c r="S341">
        <f>IFERROR(O341/N341,0)</f>
        <v/>
      </c>
      <c r="T341">
        <f>IF(C341,(Skills!G4*H341*N341*B366)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290*U340/1000</f>
        <v/>
      </c>
      <c r="V341">
        <f>IF(C341,(Skills!G4*H341*N341*B366)*IF(Inputs!$B$38="pvp",1,(1+(Inputs!$B$21+Skills!Q4+(IF(ArtifactsInput!$M$33,CHOOSE(ArtifactsInput!$N$33+1,30,36,42,48,54,60),0))+(IF(AND(ArtifactsInput!$M$35,Inputs!$B$4&lt;&gt;"Chapter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Skills!A5</f>
        <v/>
      </c>
      <c r="B342">
        <f>Skills!B5</f>
        <v/>
      </c>
      <c r="C342">
        <f>Inputs!$B$3&gt;=60</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t="inlineStr"/>
      <c r="K342" t="inlineStr"/>
      <c r="L342" t="inlineStr"/>
      <c r="M342" t="inlineStr"/>
      <c r="N342" t="inlineStr"/>
      <c r="O342">
        <f>(1-Summary!$B$11)*T342+Summary!$B$11*V342</f>
        <v/>
      </c>
      <c r="P342">
        <f>IF(B372=0,0,O342/B372)</f>
        <v/>
      </c>
      <c r="Q342" t="n">
        <v>0</v>
      </c>
      <c r="R342" t="n">
        <v>0</v>
      </c>
      <c r="S342">
        <f>IFERROR(O342/N342,0)</f>
        <v/>
      </c>
      <c r="T342" t="n">
        <v>0</v>
      </c>
      <c r="V342" t="n">
        <v>0</v>
      </c>
    </row>
    <row r="343">
      <c r="A343">
        <f>Skills!A6</f>
        <v/>
      </c>
      <c r="B343">
        <f>Skills!B6</f>
        <v/>
      </c>
      <c r="C343">
        <f>Inputs!$B$3&gt;=63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20)),(Inputs!$B$23+0+(IF(ArtifactsInput!$M$15,CHOOSE(ArtifactsInput!$N$15+1,25,30,35,40,45,50)/100*(Inputs!$B$11-Inputs!$B$11),0))))/100+(Inputs!$B$23+0+(IF(ArtifactsInput!$M$15,CHOOSE(ArtifactsInput!$N$15+1,25,30,35,40,45,50)/100*(Inputs!$B$11-Inputs!$B$11),0)))/100)/2</f>
        <v/>
      </c>
      <c r="M343">
        <f>L343*(1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IF(B372=0,0,O343/B372)</f>
        <v/>
      </c>
      <c r="Q343">
        <f>IFERROR(1/(IF(Inputs!$B$38="pvp",15,MAX(0.1,Skills!D6-IF(Skills!E6=TRUE,Inputs!$B$32,0)))*(1-IF(AND(ArtifactsInput!$M$27,Inputs!$B$4="Chapter Hunt"),CHOOSE(ArtifactsInput!$N$27+1,20,24,28,32,36,40),0)/100)),0)</f>
        <v/>
      </c>
      <c r="R343">
        <f>IF(AND(Inputs!$B$38&lt;&gt;"pvp",Inputs!$B$43&gt;0),IF(MAX(0,Inputs!$B$43-B369)&lt;=0,0,(INT(MAX(0,Inputs!$B$43-B369)/(IF(Inputs!$B$38="pvp",15,MAX(0.1,Skills!D6-IF(Skills!E6=TRUE,Inputs!$B$32,0)))*(1-IF(AND(ArtifactsInput!$M$27,Inputs!$B$4="Chapter Hunt"),CHOOSE(ArtifactsInput!$N$27+1,20,24,28,32,36,40),0)/100)))+1)),0)</f>
        <v/>
      </c>
      <c r="S343">
        <f>IFERROR(O343/N343,0)</f>
        <v/>
      </c>
      <c r="T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$21+Skills!Q6+(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Skills!A7</f>
        <v/>
      </c>
      <c r="B344">
        <f>Skills!B7</f>
        <v/>
      </c>
      <c r="C344">
        <f>Inputs!$B$3&gt;=100</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20)),(Inputs!$B$23+0+(IF(ArtifactsInput!$M$15,CHOOSE(ArtifactsInput!$N$15+1,25,30,35,40,45,50)/100*(Inputs!$B$11-Inputs!$B$11),0))))/100+(Inputs!$B$23+0+(IF(ArtifactsInput!$M$15,CHOOSE(ArtifactsInput!$N$15+1,25,30,35,40,45,50)/100*(Inputs!$B$11-Inputs!$B$11),0)))/100)/2</f>
        <v/>
      </c>
      <c r="M344">
        <f>L344*(1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IF(B372=0,0,O344/B372)</f>
        <v/>
      </c>
      <c r="Q344">
        <f>IFERROR(1/(IF(Inputs!$B$38="pvp",15,MAX(0.1,Skills!D7-IF(Skills!E7=TRUE,Inputs!$B$32,0)))*(1-IF(AND(ArtifactsInput!$M$27,Inputs!$B$4="Chapter Hunt"),CHOOSE(ArtifactsInput!$N$27+1,20,24,28,32,36,40),0)/100)),0)</f>
        <v/>
      </c>
      <c r="R344">
        <f>IF(AND(Inputs!$B$38&lt;&gt;"pvp",Inputs!$B$43&gt;0),IF(MAX(0,Inputs!$B$43-B369)&lt;=0,0,(INT(MAX(0,Inputs!$B$43-B369)/(IF(Inputs!$B$38="pvp",15,MAX(0.1,Skills!D7-IF(Skills!E7=TRUE,Inputs!$B$32,0)))*(1-IF(AND(ArtifactsInput!$M$27,Inputs!$B$4="Chapter Hunt"),CHOOSE(ArtifactsInput!$N$27+1,20,24,28,32,36,40),0)/100)))+1)),0)</f>
        <v/>
      </c>
      <c r="S344">
        <f>IFERROR(O344/N344,0)</f>
        <v/>
      </c>
      <c r="T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$21+Skills!Q7+(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Skills!A8</f>
        <v/>
      </c>
      <c r="B345">
        <f>Skills!B8</f>
        <v/>
      </c>
      <c r="C345">
        <f>Inputs!$B$3&gt;=110</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20)),(Inputs!$B$23+0+(IF(ArtifactsInput!$M$15,CHOOSE(ArtifactsInput!$N$15+1,25,30,35,40,45,50)/100*(Inputs!$B$11-Inputs!$B$11),0))))/100+(Inputs!$B$23+0+(IF(ArtifactsInput!$M$15,CHOOSE(ArtifactsInput!$N$15+1,25,30,35,40,45,50)/100*(Inputs!$B$11-Inputs!$B$11),0)))/100)/2</f>
        <v/>
      </c>
      <c r="M345">
        <f>L345*(1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IF(B372=0,0,O345/B372)</f>
        <v/>
      </c>
      <c r="Q345">
        <f>IFERROR(1/(IF(Inputs!$B$38="pvp",15,MAX(0.1,Skills!D8-IF(Skills!E8=TRUE,Inputs!$B$32,0)))*(1-IF(AND(ArtifactsInput!$M$27,Inputs!$B$4="Chapter Hunt"),CHOOSE(ArtifactsInput!$N$27+1,20,24,28,32,36,40),0)/100)),0)</f>
        <v/>
      </c>
      <c r="R345">
        <f>IF(AND(Inputs!$B$38&lt;&gt;"pvp",Inputs!$B$43&gt;0),IF(MAX(0,Inputs!$B$43-B369)&lt;=0,0,(INT(MAX(0,Inputs!$B$43-B369)/(IF(Inputs!$B$38="pvp",15,MAX(0.1,Skills!D8-IF(Skills!E8=TRUE,Inputs!$B$32,0)))*(1-IF(AND(ArtifactsInput!$M$27,Inputs!$B$4="Chapter Hunt"),CHOOSE(ArtifactsInput!$N$27+1,20,24,28,32,36,40),0)/100)))+1)),0)</f>
        <v/>
      </c>
      <c r="S345">
        <f>IFERROR(O345/N345,0)</f>
        <v/>
      </c>
      <c r="T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$21+Skills!Q8+(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Skills!A9</f>
        <v/>
      </c>
      <c r="B346">
        <f>Skills!B9</f>
        <v/>
      </c>
      <c r="C346">
        <f>Inputs!$B$3&gt;=110</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20)),(Inputs!$B$23+0+(IF(ArtifactsInput!$M$15,CHOOSE(ArtifactsInput!$N$15+1,25,30,35,40,45,50)/100*(Inputs!$B$11-Inputs!$B$11),0))))/100+(Inputs!$B$23+0+(IF(ArtifactsInput!$M$15,CHOOSE(ArtifactsInput!$N$15+1,25,30,35,40,45,50)/100*(Inputs!$B$11-Inputs!$B$11),0)))/100)/2</f>
        <v/>
      </c>
      <c r="M346">
        <f>L346*(1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IF(B372=0,0,O346/B372)</f>
        <v/>
      </c>
      <c r="Q346">
        <f>IFERROR(1/(IF(Inputs!$B$38="pvp",15,MAX(0.1,Skills!D9-IF(Skills!E9=TRUE,Inputs!$B$32,0)))*(1-IF(AND(ArtifactsInput!$M$27,Inputs!$B$4="Chapter Hunt"),CHOOSE(ArtifactsInput!$N$27+1,20,24,28,32,36,40),0)/100)),0)</f>
        <v/>
      </c>
      <c r="R346">
        <f>IF(AND(Inputs!$B$38&lt;&gt;"pvp",Inputs!$B$43&gt;0),IF(MAX(0,Inputs!$B$43-B369)&lt;=0,0,(INT(MAX(0,Inputs!$B$43-B369)/(IF(Inputs!$B$38="pvp",15,MAX(0.1,Skills!D9-IF(Skills!E9=TRUE,Inputs!$B$32,0)))*(1-IF(AND(ArtifactsInput!$M$27,Inputs!$B$4="Chapter Hunt"),CHOOSE(ArtifactsInput!$N$27+1,20,24,28,32,36,40),0)/100)))+1)),0)</f>
        <v/>
      </c>
      <c r="S346">
        <f>IFERROR(O346/N346,0)</f>
        <v/>
      </c>
      <c r="T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$21+Skills!Q9+(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Skills!A10</f>
        <v/>
      </c>
      <c r="B347">
        <f>Skills!B10</f>
        <v/>
      </c>
      <c r="C347">
        <f>Inputs!$B$3&gt;=103</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20)),(Inputs!$B$23+0+(IF(ArtifactsInput!$M$15,CHOOSE(ArtifactsInput!$N$15+1,25,30,35,40,45,50)/100*(Inputs!$B$11-Inputs!$B$11),0))))/100+(Inputs!$B$23+0+(IF(ArtifactsInput!$M$15,CHOOSE(ArtifactsInput!$N$15+1,25,30,35,40,45,50)/100*(Inputs!$B$11-Inputs!$B$11),0)))/100)/2</f>
        <v/>
      </c>
      <c r="M347">
        <f>L347*(1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IF(B372=0,0,O347/B372)</f>
        <v/>
      </c>
      <c r="Q347">
        <f>IFERROR(1/(IF(Inputs!$B$38="pvp",15,MAX(0.1,Skills!D10-IF(Skills!E10=TRUE,Inputs!$B$32,0)))*(1-IF(AND(ArtifactsInput!$M$27,Inputs!$B$4="Chapter Hunt"),CHOOSE(ArtifactsInput!$N$27+1,20,24,28,32,36,40),0)/100)),0)</f>
        <v/>
      </c>
      <c r="R347">
        <f>IF(AND(Inputs!$B$38&lt;&gt;"pvp",Inputs!$B$43&gt;0),IF(MAX(0,Inputs!$B$43-B369)&lt;=0,0,(INT(MAX(0,Inputs!$B$43-B369)/(IF(Inputs!$B$38="pvp",15,MAX(0.1,Skills!D10-IF(Skills!E10=TRUE,Inputs!$B$32,0)))*(1-IF(AND(ArtifactsInput!$M$27,Inputs!$B$4="Chapter Hunt"),CHOOSE(ArtifactsInput!$N$27+1,20,24,28,32,36,40),0)/100)))+1)),0)</f>
        <v/>
      </c>
      <c r="S347">
        <f>IFERROR(O347/N347,0)</f>
        <v/>
      </c>
      <c r="T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$21+Skills!Q10+(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Skills!A11</f>
        <v/>
      </c>
      <c r="B348">
        <f>Skills!B11</f>
        <v/>
      </c>
      <c r="C348">
        <f>Inputs!$B$3&gt;=113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20)),(Inputs!$B$23+0+(IF(ArtifactsInput!$M$15,CHOOSE(ArtifactsInput!$N$15+1,25,30,35,40,45,50)/100*(Inputs!$B$11-Inputs!$B$11),0))))/100+(Inputs!$B$23+0+(IF(ArtifactsInput!$M$15,CHOOSE(ArtifactsInput!$N$15+1,25,30,35,40,45,50)/100*(Inputs!$B$11-Inputs!$B$11),0)))/100)/2</f>
        <v/>
      </c>
      <c r="M348">
        <f>L348*(1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IF(B372=0,0,O348/B372)</f>
        <v/>
      </c>
      <c r="Q348">
        <f>IFERROR(1/(IF(Inputs!$B$38="pvp",15,MAX(0.1,Skills!D11-IF(Skills!E11=TRUE,Inputs!$B$32,0)))*(1-IF(AND(ArtifactsInput!$M$27,Inputs!$B$4="Chapter Hunt"),CHOOSE(ArtifactsInput!$N$27+1,20,24,28,32,36,40),0)/100)),0)</f>
        <v/>
      </c>
      <c r="R348">
        <f>IF(AND(Inputs!$B$38&lt;&gt;"pvp",Inputs!$B$43&gt;0),IF(MAX(0,Inputs!$B$43-B369)&lt;=0,0,(INT(MAX(0,Inputs!$B$43-B369)/(IF(Inputs!$B$38="pvp",15,MAX(0.1,Skills!D11-IF(Skills!E11=TRUE,Inputs!$B$32,0)))*(1-IF(AND(ArtifactsInput!$M$27,Inputs!$B$4="Chapter Hunt"),CHOOSE(ArtifactsInput!$N$27+1,20,24,28,32,36,40),0)/100)))+1)),0)</f>
        <v/>
      </c>
      <c r="S348">
        <f>IFERROR(O348/N348,0)</f>
        <v/>
      </c>
      <c r="T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$21+Skills!Q11+(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Skills!A13</f>
        <v/>
      </c>
      <c r="B350">
        <f>Skills!B13</f>
        <v/>
      </c>
      <c r="C350">
        <f>Inputs!$B$3&gt;=66</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f>(1-Summary!$B$11)*T350+Summary!$B$11*V350</f>
        <v/>
      </c>
      <c r="P350">
        <f>IF(B372=0,0,O350/B372)</f>
        <v/>
      </c>
      <c r="Q350" t="n">
        <v>0</v>
      </c>
      <c r="R350" t="n">
        <v>0</v>
      </c>
      <c r="S350">
        <f>IFERROR(O350/N350,0)</f>
        <v/>
      </c>
      <c r="T350" t="n">
        <v>0</v>
      </c>
      <c r="V350" t="n">
        <v>0</v>
      </c>
    </row>
    <row r="351">
      <c r="A351">
        <f>Skills!A14</f>
        <v/>
      </c>
      <c r="B351">
        <f>Skills!B14</f>
        <v/>
      </c>
      <c r="C351">
        <f>Inputs!$B$3&gt;=107</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f>(1-Summary!$B$11)*T351+Summary!$B$11*V351</f>
        <v/>
      </c>
      <c r="P351">
        <f>IF(B372=0,0,O351/B372)</f>
        <v/>
      </c>
      <c r="Q351" t="n">
        <v>0</v>
      </c>
      <c r="R351" t="n">
        <v>0</v>
      </c>
      <c r="S351">
        <f>IFERROR(O351/N351,0)</f>
        <v/>
      </c>
      <c r="T351" t="n">
        <v>0</v>
      </c>
      <c r="V351" t="n">
        <v>0</v>
      </c>
    </row>
    <row r="352">
      <c r="A352">
        <f>Skills!A15</f>
        <v/>
      </c>
      <c r="B352">
        <f>Skills!B15</f>
        <v/>
      </c>
      <c r="C352">
        <f>Inputs!$B$3&gt;=115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f>(1-Summary!$B$11)*T352+Summary!$B$11*V352</f>
        <v/>
      </c>
      <c r="P352">
        <f>IF(B372=0,0,O352/B372)</f>
        <v/>
      </c>
      <c r="Q352" t="n">
        <v>0</v>
      </c>
      <c r="R352" t="n">
        <v>0</v>
      </c>
      <c r="S352">
        <f>IFERROR(O352/N352,0)</f>
        <v/>
      </c>
      <c r="T352" t="n">
        <v>0</v>
      </c>
      <c r="V352" t="n">
        <v>0</v>
      </c>
    </row>
    <row r="353">
      <c r="A353">
        <f>Skills!A16</f>
        <v/>
      </c>
      <c r="B353">
        <f>Skills!B16</f>
        <v/>
      </c>
      <c r="C353">
        <f>Inputs!$B$3&gt;=15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f>(1-Summary!$B$11)*T353+Summary!$B$11*V353</f>
        <v/>
      </c>
      <c r="P353">
        <f>IF(B372=0,0,O353/B372)</f>
        <v/>
      </c>
      <c r="Q353" t="n">
        <v>0</v>
      </c>
      <c r="R353" t="n">
        <v>0</v>
      </c>
      <c r="S353">
        <f>IFERROR(O353/N353,0)</f>
        <v/>
      </c>
      <c r="T353" t="n">
        <v>0</v>
      </c>
      <c r="V353" t="n">
        <v>0</v>
      </c>
    </row>
    <row r="354">
      <c r="A354">
        <f>Skills!A17</f>
        <v/>
      </c>
      <c r="B354">
        <f>Skills!B17</f>
        <v/>
      </c>
      <c r="C354">
        <f>Inputs!$B$3&gt;=10</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f>(1-Summary!$B$11)*T354+Summary!$B$11*V354</f>
        <v/>
      </c>
      <c r="P354">
        <f>IF(B372=0,0,O354/B372)</f>
        <v/>
      </c>
      <c r="Q354" t="n">
        <v>0</v>
      </c>
      <c r="R354" t="n">
        <v>0</v>
      </c>
      <c r="S354">
        <f>IFERROR(O354/N354,0)</f>
        <v/>
      </c>
      <c r="T354" t="n">
        <v>0</v>
      </c>
      <c r="V354" t="n">
        <v>0</v>
      </c>
    </row>
    <row r="355">
      <c r="A355">
        <f>Skills!A18</f>
        <v/>
      </c>
      <c r="B355">
        <f>Skills!B18</f>
        <v/>
      </c>
      <c r="C355">
        <f>Inputs!$B$3&gt;=33</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f>(1-Summary!$B$11)*T355+Summary!$B$11*V355</f>
        <v/>
      </c>
      <c r="P355">
        <f>IF(B372=0,0,O355/B372)</f>
        <v/>
      </c>
      <c r="Q355" t="n">
        <v>0</v>
      </c>
      <c r="R355" t="n">
        <v>0</v>
      </c>
      <c r="S355">
        <f>IFERROR(O355/N355,0)</f>
        <v/>
      </c>
      <c r="T355" t="n">
        <v>0</v>
      </c>
      <c r="V355" t="n">
        <v>0</v>
      </c>
    </row>
    <row r="356">
      <c r="A356">
        <f>Skills!A19</f>
        <v/>
      </c>
      <c r="B356">
        <f>Skills!B19</f>
        <v/>
      </c>
      <c r="C356">
        <f>Inputs!$B$3&gt;=40</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f>(1-Summary!$B$11)*T356+Summary!$B$11*V356</f>
        <v/>
      </c>
      <c r="P356">
        <f>IF(B372=0,0,O356/B372)</f>
        <v/>
      </c>
      <c r="Q356" t="n">
        <v>0</v>
      </c>
      <c r="R356" t="n">
        <v>0</v>
      </c>
      <c r="S356">
        <f>IFERROR(O356/N356,0)</f>
        <v/>
      </c>
      <c r="T356" t="n">
        <v>0</v>
      </c>
      <c r="V356" t="n">
        <v>0</v>
      </c>
    </row>
    <row r="357">
      <c r="A357">
        <f>Skills!A20</f>
        <v/>
      </c>
      <c r="B357">
        <f>Skills!B20</f>
        <v/>
      </c>
      <c r="C357">
        <f>Inputs!$B$3&gt;=43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f>(1-Summary!$B$11)*T357+Summary!$B$11*V357</f>
        <v/>
      </c>
      <c r="P357">
        <f>IF(B372=0,0,O357/B372)</f>
        <v/>
      </c>
      <c r="Q357" t="n">
        <v>0</v>
      </c>
      <c r="R357" t="n">
        <v>0</v>
      </c>
      <c r="S357">
        <f>IFERROR(O357/N357,0)</f>
        <v/>
      </c>
      <c r="T357" t="n">
        <v>0</v>
      </c>
      <c r="V357" t="n">
        <v>0</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f>(1-Summary!$B$11)*T358+Summary!$B$11*V358</f>
        <v/>
      </c>
      <c r="P358">
        <f>IF(B372=0,0,O358/B372)</f>
        <v/>
      </c>
      <c r="Q358" t="n">
        <v>0</v>
      </c>
      <c r="R358" t="n">
        <v>0</v>
      </c>
      <c r="S358">
        <f>IFERROR(O358/N358,0)</f>
        <v/>
      </c>
      <c r="T358" t="n">
        <v>0</v>
      </c>
      <c r="V358" t="n">
        <v>0</v>
      </c>
    </row>
    <row r="359">
      <c r="A359">
        <f>Skills!A22</f>
        <v/>
      </c>
      <c r="B359">
        <f>Skills!B22</f>
        <v/>
      </c>
      <c r="C359">
        <f>Inputs!$B$3&gt;=75</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f>(1-Summary!$B$11)*T359+Summary!$B$11*V359</f>
        <v/>
      </c>
      <c r="P359">
        <f>IF(B372=0,0,O359/B372)</f>
        <v/>
      </c>
      <c r="Q359" t="n">
        <v>0</v>
      </c>
      <c r="R359" t="n">
        <v>0</v>
      </c>
      <c r="S359">
        <f>IFERROR(O359/N359,0)</f>
        <v/>
      </c>
      <c r="T359" t="n">
        <v>0</v>
      </c>
      <c r="V359" t="n">
        <v>0</v>
      </c>
    </row>
    <row r="361">
      <c r="A361" t="inlineStr">
        <is>
          <t>Attack% Bucket Multiplier</t>
        </is>
      </c>
      <c r="B361">
        <f>(1+(((C350=TRUE)*F350)+((C356=TRUE)*(F356-Calc!F19))+(IF(ArtifactsInput!$M$21,CHOOSE(ArtifactsInput!$N$21+1,25,30,35,40,45,50)*(IF(OR(Inputs!$B$4="Chapter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2">
      <c r="A362" t="inlineStr">
        <is>
          <t>Global Crit Rate Bonus %</t>
        </is>
      </c>
      <c r="B362" t="n">
        <v>0</v>
      </c>
    </row>
    <row r="363">
      <c r="A363" t="inlineStr">
        <is>
          <t>Attack Speed Buff Bonus % (unused)</t>
        </is>
      </c>
      <c r="B363" t="n">
        <v>0</v>
      </c>
    </row>
    <row r="364">
      <c r="A364" t="inlineStr">
        <is>
          <t>Actions Per Second</t>
        </is>
      </c>
      <c r="B364">
        <f>1+MIN(150,150*(1-(1-(Inputs!$B$11+((C354=TRUE)*(F354-Calc!F17))+((C355=TRUE)*(F355-Calc!F18)))/150)*(1-B363/150)))/100</f>
        <v/>
      </c>
    </row>
    <row r="365">
      <c r="A365" t="inlineStr">
        <is>
          <t>Skill + Buff Cast Rate</t>
        </is>
      </c>
      <c r="B365">
        <f>IF(AND(Inputs!$B$38&lt;&gt;"pvp",Inputs!$B$43&gt;0),SUMPRODUCT((Skills!E2:E22=TRUE)*(C339:C359=TRUE)*R339:R359*Skills!F2:F22)/Inputs!$B$43,SUMPRODUCT((Skills!E2:E22=TRUE)*(C339:C359=TRUE)*Q339:Q359*Skills!F2:F22))</f>
        <v/>
      </c>
    </row>
    <row r="366">
      <c r="A366" t="inlineStr">
        <is>
          <t>Hook Bomber Casts Per Second</t>
        </is>
      </c>
      <c r="B366">
        <f>MAX(0,B364-B365)</f>
        <v/>
      </c>
    </row>
    <row r="367">
      <c r="A367" t="inlineStr">
        <is>
          <t>Global Critical Damage Bonus % (unused)</t>
        </is>
      </c>
      <c r="B367" t="n">
        <v>0</v>
      </c>
    </row>
    <row r="368">
      <c r="A368" t="inlineStr">
        <is>
          <t>Global Final Damage Bonus % (Serpent Scale + Crossbones + Time Leap + Speed Infusion)</t>
        </is>
      </c>
      <c r="B368">
        <f>((C342=TRUE)*F342*((10+IF(Inputs!$B$3&gt;=94,5,0))/((10+IF(Inputs!$B$3&gt;=94,5,0))+5/(B366*(1+IF(Inputs!$B$3&gt;=104,1,0))))))+((C351=TRUE)*F351)+((C352=TRUE)*F352)+((Inputs!$B$3&gt;=110)*20*(B364-1))</f>
        <v/>
      </c>
    </row>
    <row r="369">
      <c r="A369" t="inlineStr">
        <is>
          <t>Buff-Casting Startup Delay (s, fixed-duration only)</t>
        </is>
      </c>
      <c r="B369">
        <f>IF(AND(Inputs!$B$38&lt;&gt;"pvp",Inputs!$B$43&gt;0),SUMPRODUCT((Skills!T2:T22&gt;0)*(Skills!E2:E22=TRUE)*(C339:C359=TRUE))/B364,0)</f>
        <v/>
      </c>
    </row>
    <row r="370">
      <c r="A370" t="inlineStr">
        <is>
          <t>Boss-Only Total DPS (this block's swept value)</t>
        </is>
      </c>
      <c r="B370">
        <f>SUM(T339:T359)</f>
        <v/>
      </c>
    </row>
    <row r="371">
      <c r="A371" t="inlineStr">
        <is>
          <t>Normal-Only Total DPS (this block's swept value)</t>
        </is>
      </c>
      <c r="B371">
        <f>SUM(V339:V359)</f>
        <v/>
      </c>
    </row>
    <row r="372">
      <c r="A372" s="6" t="inlineStr">
        <is>
          <t>TOTAL DPS</t>
        </is>
      </c>
      <c r="B372" s="6">
        <f>SUM(O339:O359)</f>
        <v/>
      </c>
    </row>
    <row r="375">
      <c r="A375" s="6" t="inlineStr">
        <is>
          <t>Stat: MIN_DAMAGE %</t>
        </is>
      </c>
    </row>
    <row r="376">
      <c r="A376" s="5" t="inlineStr">
        <is>
          <t>Key</t>
        </is>
      </c>
      <c r="B376" s="5" t="inlineStr">
        <is>
          <t>Name</t>
        </is>
      </c>
      <c r="C376" s="5" t="inlineStr">
        <is>
          <t>Unlocked</t>
        </is>
      </c>
      <c r="D376" s="5" t="inlineStr">
        <is>
          <t>InputLevel</t>
        </is>
      </c>
      <c r="E376" s="5" t="inlineStr">
        <is>
          <t>Factor</t>
        </is>
      </c>
      <c r="F376" s="5" t="inlineStr">
        <is>
          <t>CoefficientPercent</t>
        </is>
      </c>
      <c r="G376" s="5" t="inlineStr">
        <is>
          <t>EffectiveHits</t>
        </is>
      </c>
      <c r="H376" s="5" t="inlineStr">
        <is>
          <t>ProcProbability</t>
        </is>
      </c>
      <c r="I376" s="5" t="inlineStr">
        <is>
          <t>MapleHeroMultiplier</t>
        </is>
      </c>
      <c r="J376" s="5" t="inlineStr">
        <is>
          <t>BaseDamage</t>
        </is>
      </c>
      <c r="K376" s="5" t="inlineStr">
        <is>
          <t>BaseHitDamage</t>
        </is>
      </c>
      <c r="L376" s="5" t="inlineStr">
        <is>
          <t>NonCritAvg</t>
        </is>
      </c>
      <c r="M376" s="5" t="inlineStr">
        <is>
          <t>CritAvg</t>
        </is>
      </c>
      <c r="N376" s="5" t="inlineStr">
        <is>
          <t>ExpectedDamage(perHit)</t>
        </is>
      </c>
      <c r="O376" s="5" t="inlineStr">
        <is>
          <t>DPS</t>
        </is>
      </c>
      <c r="P376" s="5" t="inlineStr">
        <is>
          <t>% of Total</t>
        </is>
      </c>
      <c r="Q376" s="5" t="inlineStr">
        <is>
          <t>InvCooldown</t>
        </is>
      </c>
      <c r="R376" s="5" t="inlineStr">
        <is>
          <t>CastsInFight</t>
        </is>
      </c>
      <c r="S376" s="5"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+1)+((C395=TRUE)*(F395-Calc!F20)),(Inputs!$B$23+0+(IF(ArtifactsInput!$M$15,CHOOSE(ArtifactsInput!$N$15+1,25,30,35,40,45,50)/100*(Inputs!$B$11-Inputs!$B$11),0))))/100+(Inputs!$B$23+0+(IF(ArtifactsInput!$M$15,CHOOSE(ArtifactsInput!$N$15+1,25,30,35,40,45,50)/100*(Inputs!$B$11-Inputs!$B$11),0)))/100)/2</f>
        <v/>
      </c>
      <c r="M377">
        <f>L377*(1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IF(B410=0,0,O377/B410)</f>
        <v/>
      </c>
      <c r="Q377" t="n">
        <v>0</v>
      </c>
      <c r="R377" t="n">
        <v>0</v>
      </c>
      <c r="S377">
        <f>IFERROR(O377/N377,0)</f>
        <v/>
      </c>
      <c r="T377">
        <f>IF(C377,(Skills!G2*N377*B404)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7">
        <f>MAX(0,(Inputs!$B$3-100)*3)+Inputs!$B$28+Inputs!$B$29</f>
        <v/>
      </c>
      <c r="V377">
        <f>IF(C377,(Skills!G2*N377*B404)*IF(Inputs!$B$38="pvp",1,(1+(Inputs!$B$21+Skills!Q2+(IF(ArtifactsInput!$M$33,CHOOSE(ArtifactsInput!$N$33+1,30,36,42,48,54,60),0))+(IF(AND(ArtifactsInput!$M$35,Inputs!$B$4&lt;&gt;"Chapter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Skills!A3</f>
        <v/>
      </c>
      <c r="B378">
        <f>Skills!B3</f>
        <v/>
      </c>
      <c r="C378">
        <f>Inputs!$B$3&gt;=35</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f>Skills!G3*IF(Skills!H3&gt;0,Skills!I3/Skills!H3,1)</f>
        <v/>
      </c>
      <c r="H378">
        <f>1-(1-Skills!J3/100)^Skills!K3</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+1)+((C395=TRUE)*(F395-Calc!F20)),(Inputs!$B$23+0+(IF(ArtifactsInput!$M$15,CHOOSE(ArtifactsInput!$N$15+1,25,30,35,40,45,50)/100*(Inputs!$B$11-Inputs!$B$11),0))))/100+(Inputs!$B$23+0+(IF(ArtifactsInput!$M$15,CHOOSE(ArtifactsInput!$N$15+1,25,30,35,40,45,50)/100*(Inputs!$B$11-Inputs!$B$11),0)))/100)/2</f>
        <v/>
      </c>
      <c r="M378">
        <f>L378*(1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IF(B410=0,0,O378/B410)</f>
        <v/>
      </c>
      <c r="Q378" t="n">
        <v>0</v>
      </c>
      <c r="R378" t="n">
        <v>0</v>
      </c>
      <c r="S378">
        <f>IFERROR(O378/N378,0)</f>
        <v/>
      </c>
      <c r="T378">
        <f>IF(C378,(Skills!G3*H378*N378*B404)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8">
        <f>INDEX(FactorTable!$B$2:$Y$301, MATCH(ROUND(MIN(300,MAX(1,U377)),0), FactorTable!$A$2:$A$301,0), 22)</f>
        <v/>
      </c>
      <c r="V378">
        <f>IF(C378,(Skills!G3*H378*N378*B404)*IF(Inputs!$B$38="pvp",1,(1+(Inputs!$B$21+Skills!Q3+(IF(ArtifactsInput!$M$33,CHOOSE(ArtifactsInput!$N$33+1,30,36,42,48,54,60),0))+(IF(AND(ArtifactsInput!$M$35,Inputs!$B$4&lt;&gt;"Chapter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Skills!A4</f>
        <v/>
      </c>
      <c r="B379">
        <f>Skills!B4</f>
        <v/>
      </c>
      <c r="C379">
        <f>Inputs!$B$3&gt;=60</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4="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+1)+((C395=TRUE)*(F395-Calc!F20)),(Inputs!$B$23+0+(IF(ArtifactsInput!$M$15,CHOOSE(ArtifactsInput!$N$15+1,25,30,35,40,45,50)/100*(Inputs!$B$11-Inputs!$B$11),0))))/100+(Inputs!$B$23+0+(IF(ArtifactsInput!$M$15,CHOOSE(ArtifactsInput!$N$15+1,25,30,35,40,45,50)/100*(Inputs!$B$11-Inputs!$B$11),0)))/100)/2</f>
        <v/>
      </c>
      <c r="M379">
        <f>L379*(1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IF(B410=0,0,O379/B410)</f>
        <v/>
      </c>
      <c r="Q379" t="n">
        <v>0</v>
      </c>
      <c r="R379" t="n">
        <v>0</v>
      </c>
      <c r="S379">
        <f>IFERROR(O379/N379,0)</f>
        <v/>
      </c>
      <c r="T379">
        <f>IF(C379,(Skills!G4*H379*N379*B404)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9">
        <f>290*U378/1000</f>
        <v/>
      </c>
      <c r="V379">
        <f>IF(C379,(Skills!G4*H379*N379*B404)*IF(Inputs!$B$38="pvp",1,(1+(Inputs!$B$21+Skills!Q4+(IF(ArtifactsInput!$M$33,CHOOSE(ArtifactsInput!$N$33+1,30,36,42,48,54,60),0))+(IF(AND(ArtifactsInput!$M$35,Inputs!$B$4&lt;&gt;"Chapter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Skills!A5</f>
        <v/>
      </c>
      <c r="B380">
        <f>Skills!B5</f>
        <v/>
      </c>
      <c r="C380">
        <f>Inputs!$B$3&gt;=60</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t="inlineStr"/>
      <c r="K380" t="inlineStr"/>
      <c r="L380" t="inlineStr"/>
      <c r="M380" t="inlineStr"/>
      <c r="N380" t="inlineStr"/>
      <c r="O380">
        <f>(1-Summary!$B$11)*T380+Summary!$B$11*V380</f>
        <v/>
      </c>
      <c r="P380">
        <f>IF(B410=0,0,O380/B410)</f>
        <v/>
      </c>
      <c r="Q380" t="n">
        <v>0</v>
      </c>
      <c r="R380" t="n">
        <v>0</v>
      </c>
      <c r="S380">
        <f>IFERROR(O380/N380,0)</f>
        <v/>
      </c>
      <c r="T380" t="n">
        <v>0</v>
      </c>
      <c r="V380" t="n">
        <v>0</v>
      </c>
    </row>
    <row r="381">
      <c r="A381">
        <f>Skills!A6</f>
        <v/>
      </c>
      <c r="B381">
        <f>Skills!B6</f>
        <v/>
      </c>
      <c r="C381">
        <f>Inputs!$B$3&gt;=63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C395=TRUE)*(F395-Calc!F20)),(Inputs!$B$23+0+(IF(ArtifactsInput!$M$15,CHOOSE(ArtifactsInput!$N$15+1,25,30,35,40,45,50)/100*(Inputs!$B$11-Inputs!$B$11),0))))/100+(Inputs!$B$23+0+(IF(ArtifactsInput!$M$15,CHOOSE(ArtifactsInput!$N$15+1,25,30,35,40,45,50)/100*(Inputs!$B$11-Inputs!$B$11),0)))/100)/2</f>
        <v/>
      </c>
      <c r="M381">
        <f>L381*(1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IF(B410=0,0,O381/B410)</f>
        <v/>
      </c>
      <c r="Q381">
        <f>IFERROR(1/(IF(Inputs!$B$38="pvp",15,MAX(0.1,Skills!D6-IF(Skills!E6=TRUE,Inputs!$B$32,0)))*(1-IF(AND(ArtifactsInput!$M$27,Inputs!$B$4="Chapter Hunt"),CHOOSE(ArtifactsInput!$N$27+1,20,24,28,32,36,40),0)/100)),0)</f>
        <v/>
      </c>
      <c r="R381">
        <f>IF(AND(Inputs!$B$38&lt;&gt;"pvp",Inputs!$B$43&gt;0),IF(MAX(0,Inputs!$B$43-B407)&lt;=0,0,(INT(MAX(0,Inputs!$B$43-B407)/(IF(Inputs!$B$38="pvp",15,MAX(0.1,Skills!D6-IF(Skills!E6=TRUE,Inputs!$B$32,0)))*(1-IF(AND(ArtifactsInput!$M$27,Inputs!$B$4="Chapter Hunt"),CHOOSE(ArtifactsInput!$N$27+1,20,24,28,32,36,40),0)/100)))+1)),0)</f>
        <v/>
      </c>
      <c r="S381">
        <f>IFERROR(O381/N381,0)</f>
        <v/>
      </c>
      <c r="T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$21+Skills!Q6+(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Skills!A7</f>
        <v/>
      </c>
      <c r="B382">
        <f>Skills!B7</f>
        <v/>
      </c>
      <c r="C382">
        <f>Inputs!$B$3&gt;=100</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C395=TRUE)*(F395-Calc!F20)),(Inputs!$B$23+0+(IF(ArtifactsInput!$M$15,CHOOSE(ArtifactsInput!$N$15+1,25,30,35,40,45,50)/100*(Inputs!$B$11-Inputs!$B$11),0))))/100+(Inputs!$B$23+0+(IF(ArtifactsInput!$M$15,CHOOSE(ArtifactsInput!$N$15+1,25,30,35,40,45,50)/100*(Inputs!$B$11-Inputs!$B$11),0)))/100)/2</f>
        <v/>
      </c>
      <c r="M382">
        <f>L382*(1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IF(B410=0,0,O382/B410)</f>
        <v/>
      </c>
      <c r="Q382">
        <f>IFERROR(1/(IF(Inputs!$B$38="pvp",15,MAX(0.1,Skills!D7-IF(Skills!E7=TRUE,Inputs!$B$32,0)))*(1-IF(AND(ArtifactsInput!$M$27,Inputs!$B$4="Chapter Hunt"),CHOOSE(ArtifactsInput!$N$27+1,20,24,28,32,36,40),0)/100)),0)</f>
        <v/>
      </c>
      <c r="R382">
        <f>IF(AND(Inputs!$B$38&lt;&gt;"pvp",Inputs!$B$43&gt;0),IF(MAX(0,Inputs!$B$43-B407)&lt;=0,0,(INT(MAX(0,Inputs!$B$43-B407)/(IF(Inputs!$B$38="pvp",15,MAX(0.1,Skills!D7-IF(Skills!E7=TRUE,Inputs!$B$32,0)))*(1-IF(AND(ArtifactsInput!$M$27,Inputs!$B$4="Chapter Hunt"),CHOOSE(ArtifactsInput!$N$27+1,20,24,28,32,36,40),0)/100)))+1)),0)</f>
        <v/>
      </c>
      <c r="S382">
        <f>IFERROR(O382/N382,0)</f>
        <v/>
      </c>
      <c r="T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$21+Skills!Q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Skills!A8</f>
        <v/>
      </c>
      <c r="B383">
        <f>Skills!B8</f>
        <v/>
      </c>
      <c r="C383">
        <f>Inputs!$B$3&gt;=110</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C395=TRUE)*(F395-Calc!F20)),(Inputs!$B$23+0+(IF(ArtifactsInput!$M$15,CHOOSE(ArtifactsInput!$N$15+1,25,30,35,40,45,50)/100*(Inputs!$B$11-Inputs!$B$11),0))))/100+(Inputs!$B$23+0+(IF(ArtifactsInput!$M$15,CHOOSE(ArtifactsInput!$N$15+1,25,30,35,40,45,50)/100*(Inputs!$B$11-Inputs!$B$11),0)))/100)/2</f>
        <v/>
      </c>
      <c r="M383">
        <f>L383*(1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IF(B410=0,0,O383/B410)</f>
        <v/>
      </c>
      <c r="Q383">
        <f>IFERROR(1/(IF(Inputs!$B$38="pvp",15,MAX(0.1,Skills!D8-IF(Skills!E8=TRUE,Inputs!$B$32,0)))*(1-IF(AND(ArtifactsInput!$M$27,Inputs!$B$4="Chapter Hunt"),CHOOSE(ArtifactsInput!$N$27+1,20,24,28,32,36,40),0)/100)),0)</f>
        <v/>
      </c>
      <c r="R383">
        <f>IF(AND(Inputs!$B$38&lt;&gt;"pvp",Inputs!$B$43&gt;0),IF(MAX(0,Inputs!$B$43-B407)&lt;=0,0,(INT(MAX(0,Inputs!$B$43-B407)/(IF(Inputs!$B$38="pvp",15,MAX(0.1,Skills!D8-IF(Skills!E8=TRUE,Inputs!$B$32,0)))*(1-IF(AND(ArtifactsInput!$M$27,Inputs!$B$4="Chapter Hunt"),CHOOSE(ArtifactsInput!$N$27+1,20,24,28,32,36,40),0)/100)))+1)),0)</f>
        <v/>
      </c>
      <c r="S383">
        <f>IFERROR(O383/N383,0)</f>
        <v/>
      </c>
      <c r="T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$21+Skills!Q8+(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Skills!A9</f>
        <v/>
      </c>
      <c r="B384">
        <f>Skills!B9</f>
        <v/>
      </c>
      <c r="C384">
        <f>Inputs!$B$3&gt;=110</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+1)+((C395=TRUE)*(F395-Calc!F20)),(Inputs!$B$23+0+(IF(ArtifactsInput!$M$15,CHOOSE(ArtifactsInput!$N$15+1,25,30,35,40,45,50)/100*(Inputs!$B$11-Inputs!$B$11),0))))/100+(Inputs!$B$23+0+(IF(ArtifactsInput!$M$15,CHOOSE(ArtifactsInput!$N$15+1,25,30,35,40,45,50)/100*(Inputs!$B$11-Inputs!$B$11),0)))/100)/2</f>
        <v/>
      </c>
      <c r="M384">
        <f>L384*(1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IF(B410=0,0,O384/B410)</f>
        <v/>
      </c>
      <c r="Q384">
        <f>IFERROR(1/(IF(Inputs!$B$38="pvp",15,MAX(0.1,Skills!D9-IF(Skills!E9=TRUE,Inputs!$B$32,0)))*(1-IF(AND(ArtifactsInput!$M$27,Inputs!$B$4="Chapter Hunt"),CHOOSE(ArtifactsInput!$N$27+1,20,24,28,32,36,40),0)/100)),0)</f>
        <v/>
      </c>
      <c r="R384">
        <f>IF(AND(Inputs!$B$38&lt;&gt;"pvp",Inputs!$B$43&gt;0),IF(MAX(0,Inputs!$B$43-B407)&lt;=0,0,(INT(MAX(0,Inputs!$B$43-B407)/(IF(Inputs!$B$38="pvp",15,MAX(0.1,Skills!D9-IF(Skills!E9=TRUE,Inputs!$B$32,0)))*(1-IF(AND(ArtifactsInput!$M$27,Inputs!$B$4="Chapter Hunt"),CHOOSE(ArtifactsInput!$N$27+1,20,24,28,32,36,40),0)/100)))+1)),0)</f>
        <v/>
      </c>
      <c r="S384">
        <f>IFERROR(O384/N384,0)</f>
        <v/>
      </c>
      <c r="T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$21+Skills!Q9+(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Skills!A10</f>
        <v/>
      </c>
      <c r="B385">
        <f>Skills!B10</f>
        <v/>
      </c>
      <c r="C385">
        <f>Inputs!$B$3&gt;=103</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395=TRUE)*(F395-Calc!F20)),(Inputs!$B$23+0+(IF(ArtifactsInput!$M$15,CHOOSE(ArtifactsInput!$N$15+1,25,30,35,40,45,50)/100*(Inputs!$B$11-Inputs!$B$11),0))))/100+(Inputs!$B$23+0+(IF(ArtifactsInput!$M$15,CHOOSE(ArtifactsInput!$N$15+1,25,30,35,40,45,50)/100*(Inputs!$B$11-Inputs!$B$11),0)))/100)/2</f>
        <v/>
      </c>
      <c r="M385">
        <f>L385*(1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IF(B410=0,0,O385/B410)</f>
        <v/>
      </c>
      <c r="Q385">
        <f>IFERROR(1/(IF(Inputs!$B$38="pvp",15,MAX(0.1,Skills!D10-IF(Skills!E10=TRUE,Inputs!$B$32,0)))*(1-IF(AND(ArtifactsInput!$M$27,Inputs!$B$4="Chapter Hunt"),CHOOSE(ArtifactsInput!$N$27+1,20,24,28,32,36,40),0)/100)),0)</f>
        <v/>
      </c>
      <c r="R385">
        <f>IF(AND(Inputs!$B$38&lt;&gt;"pvp",Inputs!$B$43&gt;0),IF(MAX(0,Inputs!$B$43-B407)&lt;=0,0,(INT(MAX(0,Inputs!$B$43-B407)/(IF(Inputs!$B$38="pvp",15,MAX(0.1,Skills!D10-IF(Skills!E10=TRUE,Inputs!$B$32,0)))*(1-IF(AND(ArtifactsInput!$M$27,Inputs!$B$4="Chapter Hunt"),CHOOSE(ArtifactsInput!$N$27+1,20,24,28,32,36,40),0)/100)))+1)),0)</f>
        <v/>
      </c>
      <c r="S385">
        <f>IFERROR(O385/N385,0)</f>
        <v/>
      </c>
      <c r="T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$21+Skills!Q10+(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Skills!A11</f>
        <v/>
      </c>
      <c r="B386">
        <f>Skills!B11</f>
        <v/>
      </c>
      <c r="C386">
        <f>Inputs!$B$3&gt;=113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395=TRUE)*(F395-Calc!F20)),(Inputs!$B$23+0+(IF(ArtifactsInput!$M$15,CHOOSE(ArtifactsInput!$N$15+1,25,30,35,40,45,50)/100*(Inputs!$B$11-Inputs!$B$11),0))))/100+(Inputs!$B$23+0+(IF(ArtifactsInput!$M$15,CHOOSE(ArtifactsInput!$N$15+1,25,30,35,40,45,50)/100*(Inputs!$B$11-Inputs!$B$11),0)))/100)/2</f>
        <v/>
      </c>
      <c r="M386">
        <f>L386*(1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IF(B410=0,0,O386/B410)</f>
        <v/>
      </c>
      <c r="Q386">
        <f>IFERROR(1/(IF(Inputs!$B$38="pvp",15,MAX(0.1,Skills!D11-IF(Skills!E11=TRUE,Inputs!$B$32,0)))*(1-IF(AND(ArtifactsInput!$M$27,Inputs!$B$4="Chapter Hunt"),CHOOSE(ArtifactsInput!$N$27+1,20,24,28,32,36,40),0)/100)),0)</f>
        <v/>
      </c>
      <c r="R386">
        <f>IF(AND(Inputs!$B$38&lt;&gt;"pvp",Inputs!$B$43&gt;0),IF(MAX(0,Inputs!$B$43-B407)&lt;=0,0,(INT(MAX(0,Inputs!$B$43-B407)/(IF(Inputs!$B$38="pvp",15,MAX(0.1,Skills!D11-IF(Skills!E11=TRUE,Inputs!$B$32,0)))*(1-IF(AND(ArtifactsInput!$M$27,Inputs!$B$4="Chapter Hunt"),CHOOSE(ArtifactsInput!$N$27+1,20,24,28,32,36,40),0)/100)))+1)),0)</f>
        <v/>
      </c>
      <c r="S386">
        <f>IFERROR(O386/N386,0)</f>
        <v/>
      </c>
      <c r="T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$21+Skills!Q11+(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c r="T387" t="inlineStr"/>
      <c r="V387" t="inlineStr"/>
    </row>
    <row r="388">
      <c r="A388">
        <f>Skills!A13</f>
        <v/>
      </c>
      <c r="B388">
        <f>Skills!B13</f>
        <v/>
      </c>
      <c r="C388">
        <f>Inputs!$B$3&gt;=66</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Skills!A14</f>
        <v/>
      </c>
      <c r="B389">
        <f>Skills!B14</f>
        <v/>
      </c>
      <c r="C389">
        <f>Inputs!$B$3&gt;=107</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Skills!A15</f>
        <v/>
      </c>
      <c r="B390">
        <f>Skills!B15</f>
        <v/>
      </c>
      <c r="C390">
        <f>Inputs!$B$3&gt;=115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Skills!A16</f>
        <v/>
      </c>
      <c r="B391">
        <f>Skills!B16</f>
        <v/>
      </c>
      <c r="C391">
        <f>Inputs!$B$3&gt;=15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Skills!A17</f>
        <v/>
      </c>
      <c r="B392">
        <f>Skills!B17</f>
        <v/>
      </c>
      <c r="C392">
        <f>Inputs!$B$3&gt;=10</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Skills!A18</f>
        <v/>
      </c>
      <c r="B393">
        <f>Skills!B18</f>
        <v/>
      </c>
      <c r="C393">
        <f>Inputs!$B$3&gt;=33</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Skills!A19</f>
        <v/>
      </c>
      <c r="B394">
        <f>Skills!B19</f>
        <v/>
      </c>
      <c r="C394">
        <f>Inputs!$B$3&gt;=40</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Skills!A20</f>
        <v/>
      </c>
      <c r="B395">
        <f>Skills!B20</f>
        <v/>
      </c>
      <c r="C395">
        <f>Inputs!$B$3&gt;=43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Skills!A22</f>
        <v/>
      </c>
      <c r="B397">
        <f>Skills!B22</f>
        <v/>
      </c>
      <c r="C397">
        <f>Inputs!$B$3&gt;=75</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Attack% Bucket Multiplier</t>
        </is>
      </c>
      <c r="B399">
        <f>(1+(((C388=TRUE)*F388)+((C394=TRUE)*(F394-Calc!F19))+(IF(ArtifactsInput!$M$21,CHOOSE(ArtifactsInput!$N$21+1,25,30,35,40,45,50)*(IF(OR(Inputs!$B$4="Chapter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0">
      <c r="A400" t="inlineStr">
        <is>
          <t>Global Crit Rate Bonus %</t>
        </is>
      </c>
      <c r="B400" t="n">
        <v>0</v>
      </c>
    </row>
    <row r="401">
      <c r="A401" t="inlineStr">
        <is>
          <t>Attack Speed Buff Bonus % (unused)</t>
        </is>
      </c>
      <c r="B401" t="n">
        <v>0</v>
      </c>
    </row>
    <row r="402">
      <c r="A402" t="inlineStr">
        <is>
          <t>Actions Per Second</t>
        </is>
      </c>
      <c r="B402">
        <f>1+MIN(150,150*(1-(1-(Inputs!$B$11+((C392=TRUE)*(F392-Calc!F17))+((C393=TRUE)*(F393-Calc!F18)))/150)*(1-B401/150)))/100</f>
        <v/>
      </c>
    </row>
    <row r="403">
      <c r="A403" t="inlineStr">
        <is>
          <t>Skill + Buff Cast Rate</t>
        </is>
      </c>
      <c r="B403">
        <f>IF(AND(Inputs!$B$38&lt;&gt;"pvp",Inputs!$B$43&gt;0),SUMPRODUCT((Skills!E2:E22=TRUE)*(C377:C397=TRUE)*R377:R397*Skills!F2:F22)/Inputs!$B$43,SUMPRODUCT((Skills!E2:E22=TRUE)*(C377:C397=TRUE)*Q377:Q397*Skills!F2:F22))</f>
        <v/>
      </c>
    </row>
    <row r="404">
      <c r="A404" t="inlineStr">
        <is>
          <t>Hook Bomber Casts Per Second</t>
        </is>
      </c>
      <c r="B404">
        <f>MAX(0,B402-B403)</f>
        <v/>
      </c>
    </row>
    <row r="405">
      <c r="A405" t="inlineStr">
        <is>
          <t>Global Critical Damage Bonus % (unused)</t>
        </is>
      </c>
      <c r="B405" t="n">
        <v>0</v>
      </c>
    </row>
    <row r="406">
      <c r="A406" t="inlineStr">
        <is>
          <t>Global Final Damage Bonus % (Serpent Scale + Crossbones + Time Leap + Speed Infusion)</t>
        </is>
      </c>
      <c r="B406">
        <f>((C380=TRUE)*F380*((10+IF(Inputs!$B$3&gt;=94,5,0))/((10+IF(Inputs!$B$3&gt;=94,5,0))+5/(B404*(1+IF(Inputs!$B$3&gt;=104,1,0))))))+((C389=TRUE)*F389)+((C390=TRUE)*F390)+((Inputs!$B$3&gt;=110)*20*(B402-1))</f>
        <v/>
      </c>
    </row>
    <row r="407">
      <c r="A407" t="inlineStr">
        <is>
          <t>Buff-Casting Startup Delay (s, fixed-duration only)</t>
        </is>
      </c>
      <c r="B407">
        <f>IF(AND(Inputs!$B$38&lt;&gt;"pvp",Inputs!$B$43&gt;0),SUMPRODUCT((Skills!T2:T22&gt;0)*(Skills!E2:E22=TRUE)*(C377:C397=TRUE))/B402,0)</f>
        <v/>
      </c>
    </row>
    <row r="408">
      <c r="A408" t="inlineStr">
        <is>
          <t>Boss-Only Total DPS (this block's swept value)</t>
        </is>
      </c>
      <c r="B408">
        <f>SUM(T377:T397)</f>
        <v/>
      </c>
    </row>
    <row r="409">
      <c r="A409" t="inlineStr">
        <is>
          <t>Normal-Only Total DPS (this block's swept value)</t>
        </is>
      </c>
      <c r="B409">
        <f>SUM(V377:V397)</f>
        <v/>
      </c>
    </row>
    <row r="410">
      <c r="A410" s="6" t="inlineStr">
        <is>
          <t>TOTAL DPS</t>
        </is>
      </c>
      <c r="B410" s="6">
        <f>SUM(O377:O397)</f>
        <v/>
      </c>
    </row>
    <row r="413">
      <c r="A413" s="6" t="inlineStr">
        <is>
          <t>Stat: MAX_DAMAGE %</t>
        </is>
      </c>
    </row>
    <row r="414">
      <c r="A414" s="5" t="inlineStr">
        <is>
          <t>Key</t>
        </is>
      </c>
      <c r="B414" s="5" t="inlineStr">
        <is>
          <t>Name</t>
        </is>
      </c>
      <c r="C414" s="5" t="inlineStr">
        <is>
          <t>Unlocked</t>
        </is>
      </c>
      <c r="D414" s="5" t="inlineStr">
        <is>
          <t>InputLevel</t>
        </is>
      </c>
      <c r="E414" s="5" t="inlineStr">
        <is>
          <t>Factor</t>
        </is>
      </c>
      <c r="F414" s="5" t="inlineStr">
        <is>
          <t>CoefficientPercent</t>
        </is>
      </c>
      <c r="G414" s="5" t="inlineStr">
        <is>
          <t>EffectiveHits</t>
        </is>
      </c>
      <c r="H414" s="5" t="inlineStr">
        <is>
          <t>ProcProbability</t>
        </is>
      </c>
      <c r="I414" s="5" t="inlineStr">
        <is>
          <t>MapleHeroMultiplier</t>
        </is>
      </c>
      <c r="J414" s="5" t="inlineStr">
        <is>
          <t>BaseDamage</t>
        </is>
      </c>
      <c r="K414" s="5" t="inlineStr">
        <is>
          <t>BaseHitDamage</t>
        </is>
      </c>
      <c r="L414" s="5" t="inlineStr">
        <is>
          <t>NonCritAvg</t>
        </is>
      </c>
      <c r="M414" s="5" t="inlineStr">
        <is>
          <t>CritAvg</t>
        </is>
      </c>
      <c r="N414" s="5" t="inlineStr">
        <is>
          <t>ExpectedDamage(perHit)</t>
        </is>
      </c>
      <c r="O414" s="5" t="inlineStr">
        <is>
          <t>DPS</t>
        </is>
      </c>
      <c r="P414" s="5" t="inlineStr">
        <is>
          <t>% of Total</t>
        </is>
      </c>
      <c r="Q414" s="5" t="inlineStr">
        <is>
          <t>InvCooldown</t>
        </is>
      </c>
      <c r="R414" s="5" t="inlineStr">
        <is>
          <t>CastsInFight</t>
        </is>
      </c>
      <c r="S414" s="5"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20)),((Inputs!$B$23+1)+0+(IF(ArtifactsInput!$M$15,CHOOSE(ArtifactsInput!$N$15+1,25,30,35,40,45,50)/100*(Inputs!$B$11-Inputs!$B$11),0))))/100+((Inputs!$B$23+1)+0+(IF(ArtifactsInput!$M$15,CHOOSE(ArtifactsInput!$N$15+1,25,30,35,40,45,50)/100*(Inputs!$B$11-Inputs!$B$11),0)))/100)/2</f>
        <v/>
      </c>
      <c r="M415">
        <f>L415*(1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IF(B448=0,0,O415/B448)</f>
        <v/>
      </c>
      <c r="Q415" t="n">
        <v>0</v>
      </c>
      <c r="R415" t="n">
        <v>0</v>
      </c>
      <c r="S415">
        <f>IFERROR(O415/N415,0)</f>
        <v/>
      </c>
      <c r="T415">
        <f>IF(C415,(Skills!G2*N415*B442)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5">
        <f>MAX(0,(Inputs!$B$3-100)*3)+Inputs!$B$28+Inputs!$B$29</f>
        <v/>
      </c>
      <c r="V415">
        <f>IF(C415,(Skills!G2*N415*B442)*IF(Inputs!$B$38="pvp",1,(1+(Inputs!$B$21+Skills!Q2+(IF(ArtifactsInput!$M$33,CHOOSE(ArtifactsInput!$N$33+1,30,36,42,48,54,60),0))+(IF(AND(ArtifactsInput!$M$35,Inputs!$B$4&lt;&gt;"Chapter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Skills!A3</f>
        <v/>
      </c>
      <c r="B416">
        <f>Skills!B3</f>
        <v/>
      </c>
      <c r="C416">
        <f>Inputs!$B$3&gt;=35</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f>Skills!G3*IF(Skills!H3&gt;0,Skills!I3/Skills!H3,1)</f>
        <v/>
      </c>
      <c r="H416">
        <f>1-(1-Skills!J3/100)^Skills!K3</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20)),((Inputs!$B$23+1)+0+(IF(ArtifactsInput!$M$15,CHOOSE(ArtifactsInput!$N$15+1,25,30,35,40,45,50)/100*(Inputs!$B$11-Inputs!$B$11),0))))/100+((Inputs!$B$23+1)+0+(IF(ArtifactsInput!$M$15,CHOOSE(ArtifactsInput!$N$15+1,25,30,35,40,45,50)/100*(Inputs!$B$11-Inputs!$B$11),0)))/100)/2</f>
        <v/>
      </c>
      <c r="M416">
        <f>L416*(1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IF(B448=0,0,O416/B448)</f>
        <v/>
      </c>
      <c r="Q416" t="n">
        <v>0</v>
      </c>
      <c r="R416" t="n">
        <v>0</v>
      </c>
      <c r="S416">
        <f>IFERROR(O416/N416,0)</f>
        <v/>
      </c>
      <c r="T416">
        <f>IF(C416,(Skills!G3*H416*N416*B442)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6">
        <f>INDEX(FactorTable!$B$2:$Y$301, MATCH(ROUND(MIN(300,MAX(1,U415)),0), FactorTable!$A$2:$A$301,0), 22)</f>
        <v/>
      </c>
      <c r="V416">
        <f>IF(C416,(Skills!G3*H416*N416*B442)*IF(Inputs!$B$38="pvp",1,(1+(Inputs!$B$21+Skills!Q3+(IF(ArtifactsInput!$M$33,CHOOSE(ArtifactsInput!$N$33+1,30,36,42,48,54,60),0))+(IF(AND(ArtifactsInput!$M$35,Inputs!$B$4&lt;&gt;"Chapter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Skills!A4</f>
        <v/>
      </c>
      <c r="B417">
        <f>Skills!B4</f>
        <v/>
      </c>
      <c r="C417">
        <f>Inputs!$B$3&gt;=60</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425=TRUE,F425,0)/100)*(1+(IF(Skills!A4="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20)),((Inputs!$B$23+1)+0+(IF(ArtifactsInput!$M$15,CHOOSE(ArtifactsInput!$N$15+1,25,30,35,40,45,50)/100*(Inputs!$B$11-Inputs!$B$11),0))))/100+((Inputs!$B$23+1)+0+(IF(ArtifactsInput!$M$15,CHOOSE(ArtifactsInput!$N$15+1,25,30,35,40,45,50)/100*(Inputs!$B$11-Inputs!$B$11),0)))/100)/2</f>
        <v/>
      </c>
      <c r="M417">
        <f>L417*(1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IF(B448=0,0,O417/B448)</f>
        <v/>
      </c>
      <c r="Q417" t="n">
        <v>0</v>
      </c>
      <c r="R417" t="n">
        <v>0</v>
      </c>
      <c r="S417">
        <f>IFERROR(O417/N417,0)</f>
        <v/>
      </c>
      <c r="T417">
        <f>IF(C417,(Skills!G4*H417*N417*B442)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290*U416/1000</f>
        <v/>
      </c>
      <c r="V417">
        <f>IF(C417,(Skills!G4*H417*N417*B442)*IF(Inputs!$B$38="pvp",1,(1+(Inputs!$B$21+Skills!Q4+(IF(ArtifactsInput!$M$33,CHOOSE(ArtifactsInput!$N$33+1,30,36,42,48,54,60),0))+(IF(AND(ArtifactsInput!$M$35,Inputs!$B$4&lt;&gt;"Chapter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Skills!A5</f>
        <v/>
      </c>
      <c r="B418">
        <f>Skills!B5</f>
        <v/>
      </c>
      <c r="C418">
        <f>Inputs!$B$3&gt;=60</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t="inlineStr"/>
      <c r="K418" t="inlineStr"/>
      <c r="L418" t="inlineStr"/>
      <c r="M418" t="inlineStr"/>
      <c r="N418" t="inlineStr"/>
      <c r="O418">
        <f>(1-Summary!$B$11)*T418+Summary!$B$11*V418</f>
        <v/>
      </c>
      <c r="P418">
        <f>IF(B448=0,0,O418/B448)</f>
        <v/>
      </c>
      <c r="Q418" t="n">
        <v>0</v>
      </c>
      <c r="R418" t="n">
        <v>0</v>
      </c>
      <c r="S418">
        <f>IFERROR(O418/N418,0)</f>
        <v/>
      </c>
      <c r="T418" t="n">
        <v>0</v>
      </c>
      <c r="V418" t="n">
        <v>0</v>
      </c>
    </row>
    <row r="419">
      <c r="A419">
        <f>Skills!A6</f>
        <v/>
      </c>
      <c r="B419">
        <f>Skills!B6</f>
        <v/>
      </c>
      <c r="C419">
        <f>Inputs!$B$3&gt;=63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C433=TRUE)*(F433-Calc!F20)),((Inputs!$B$23+1)+0+(IF(ArtifactsInput!$M$15,CHOOSE(ArtifactsInput!$N$15+1,25,30,35,40,45,50)/100*(Inputs!$B$11-Inputs!$B$11),0))))/100+((Inputs!$B$23+1)+0+(IF(ArtifactsInput!$M$15,CHOOSE(ArtifactsInput!$N$15+1,25,30,35,40,45,50)/100*(Inputs!$B$11-Inputs!$B$11),0)))/100)/2</f>
        <v/>
      </c>
      <c r="M419">
        <f>L419*(1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IF(B448=0,0,O419/B448)</f>
        <v/>
      </c>
      <c r="Q419">
        <f>IFERROR(1/(IF(Inputs!$B$38="pvp",15,MAX(0.1,Skills!D6-IF(Skills!E6=TRUE,Inputs!$B$32,0)))*(1-IF(AND(ArtifactsInput!$M$27,Inputs!$B$4="Chapter Hunt"),CHOOSE(ArtifactsInput!$N$27+1,20,24,28,32,36,40),0)/100)),0)</f>
        <v/>
      </c>
      <c r="R419">
        <f>IF(AND(Inputs!$B$38&lt;&gt;"pvp",Inputs!$B$43&gt;0),IF(MAX(0,Inputs!$B$43-B445)&lt;=0,0,(INT(MAX(0,Inputs!$B$43-B445)/(IF(Inputs!$B$38="pvp",15,MAX(0.1,Skills!D6-IF(Skills!E6=TRUE,Inputs!$B$32,0)))*(1-IF(AND(ArtifactsInput!$M$27,Inputs!$B$4="Chapter Hunt"),CHOOSE(ArtifactsInput!$N$27+1,20,24,28,32,36,40),0)/100)))+1)),0)</f>
        <v/>
      </c>
      <c r="S419">
        <f>IFERROR(O419/N419,0)</f>
        <v/>
      </c>
      <c r="T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$21+Skills!Q6+(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Skills!A7</f>
        <v/>
      </c>
      <c r="B420">
        <f>Skills!B7</f>
        <v/>
      </c>
      <c r="C420">
        <f>Inputs!$B$3&gt;=100</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20)),((Inputs!$B$23+1)+0+(IF(ArtifactsInput!$M$15,CHOOSE(ArtifactsInput!$N$15+1,25,30,35,40,45,50)/100*(Inputs!$B$11-Inputs!$B$11),0))))/100+((Inputs!$B$23+1)+0+(IF(ArtifactsInput!$M$15,CHOOSE(ArtifactsInput!$N$15+1,25,30,35,40,45,50)/100*(Inputs!$B$11-Inputs!$B$11),0)))/100)/2</f>
        <v/>
      </c>
      <c r="M420">
        <f>L420*(1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IF(B448=0,0,O420/B448)</f>
        <v/>
      </c>
      <c r="Q420">
        <f>IFERROR(1/(IF(Inputs!$B$38="pvp",15,MAX(0.1,Skills!D7-IF(Skills!E7=TRUE,Inputs!$B$32,0)))*(1-IF(AND(ArtifactsInput!$M$27,Inputs!$B$4="Chapter Hunt"),CHOOSE(ArtifactsInput!$N$27+1,20,24,28,32,36,40),0)/100)),0)</f>
        <v/>
      </c>
      <c r="R420">
        <f>IF(AND(Inputs!$B$38&lt;&gt;"pvp",Inputs!$B$43&gt;0),IF(MAX(0,Inputs!$B$43-B445)&lt;=0,0,(INT(MAX(0,Inputs!$B$43-B445)/(IF(Inputs!$B$38="pvp",15,MAX(0.1,Skills!D7-IF(Skills!E7=TRUE,Inputs!$B$32,0)))*(1-IF(AND(ArtifactsInput!$M$27,Inputs!$B$4="Chapter Hunt"),CHOOSE(ArtifactsInput!$N$27+1,20,24,28,32,36,40),0)/100)))+1)),0)</f>
        <v/>
      </c>
      <c r="S420">
        <f>IFERROR(O420/N420,0)</f>
        <v/>
      </c>
      <c r="T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$21+Skills!Q7+(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Skills!A8</f>
        <v/>
      </c>
      <c r="B421">
        <f>Skills!B8</f>
        <v/>
      </c>
      <c r="C421">
        <f>Inputs!$B$3&gt;=110</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C433=TRUE)*(F433-Calc!F20)),((Inputs!$B$23+1)+0+(IF(ArtifactsInput!$M$15,CHOOSE(ArtifactsInput!$N$15+1,25,30,35,40,45,50)/100*(Inputs!$B$11-Inputs!$B$11),0))))/100+((Inputs!$B$23+1)+0+(IF(ArtifactsInput!$M$15,CHOOSE(ArtifactsInput!$N$15+1,25,30,35,40,45,50)/100*(Inputs!$B$11-Inputs!$B$11),0)))/100)/2</f>
        <v/>
      </c>
      <c r="M421">
        <f>L421*(1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IF(B448=0,0,O421/B448)</f>
        <v/>
      </c>
      <c r="Q421">
        <f>IFERROR(1/(IF(Inputs!$B$38="pvp",15,MAX(0.1,Skills!D8-IF(Skills!E8=TRUE,Inputs!$B$32,0)))*(1-IF(AND(ArtifactsInput!$M$27,Inputs!$B$4="Chapter Hunt"),CHOOSE(ArtifactsInput!$N$27+1,20,24,28,32,36,40),0)/100)),0)</f>
        <v/>
      </c>
      <c r="R421">
        <f>IF(AND(Inputs!$B$38&lt;&gt;"pvp",Inputs!$B$43&gt;0),IF(MAX(0,Inputs!$B$43-B445)&lt;=0,0,(INT(MAX(0,Inputs!$B$43-B445)/(IF(Inputs!$B$38="pvp",15,MAX(0.1,Skills!D8-IF(Skills!E8=TRUE,Inputs!$B$32,0)))*(1-IF(AND(ArtifactsInput!$M$27,Inputs!$B$4="Chapter Hunt"),CHOOSE(ArtifactsInput!$N$27+1,20,24,28,32,36,40),0)/100)))+1)),0)</f>
        <v/>
      </c>
      <c r="S421">
        <f>IFERROR(O421/N421,0)</f>
        <v/>
      </c>
      <c r="T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$21+Skills!Q8+(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Skills!A9</f>
        <v/>
      </c>
      <c r="B422">
        <f>Skills!B9</f>
        <v/>
      </c>
      <c r="C422">
        <f>Inputs!$B$3&gt;=110</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C433=TRUE)*(F433-Calc!F20)),((Inputs!$B$23+1)+0+(IF(ArtifactsInput!$M$15,CHOOSE(ArtifactsInput!$N$15+1,25,30,35,40,45,50)/100*(Inputs!$B$11-Inputs!$B$11),0))))/100+((Inputs!$B$23+1)+0+(IF(ArtifactsInput!$M$15,CHOOSE(ArtifactsInput!$N$15+1,25,30,35,40,45,50)/100*(Inputs!$B$11-Inputs!$B$11),0)))/100)/2</f>
        <v/>
      </c>
      <c r="M422">
        <f>L422*(1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IF(B448=0,0,O422/B448)</f>
        <v/>
      </c>
      <c r="Q422">
        <f>IFERROR(1/(IF(Inputs!$B$38="pvp",15,MAX(0.1,Skills!D9-IF(Skills!E9=TRUE,Inputs!$B$32,0)))*(1-IF(AND(ArtifactsInput!$M$27,Inputs!$B$4="Chapter Hunt"),CHOOSE(ArtifactsInput!$N$27+1,20,24,28,32,36,40),0)/100)),0)</f>
        <v/>
      </c>
      <c r="R422">
        <f>IF(AND(Inputs!$B$38&lt;&gt;"pvp",Inputs!$B$43&gt;0),IF(MAX(0,Inputs!$B$43-B445)&lt;=0,0,(INT(MAX(0,Inputs!$B$43-B445)/(IF(Inputs!$B$38="pvp",15,MAX(0.1,Skills!D9-IF(Skills!E9=TRUE,Inputs!$B$32,0)))*(1-IF(AND(ArtifactsInput!$M$27,Inputs!$B$4="Chapter Hunt"),CHOOSE(ArtifactsInput!$N$27+1,20,24,28,32,36,40),0)/100)))+1)),0)</f>
        <v/>
      </c>
      <c r="S422">
        <f>IFERROR(O422/N422,0)</f>
        <v/>
      </c>
      <c r="T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$21+Skills!Q9+(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Skills!A10</f>
        <v/>
      </c>
      <c r="B423">
        <f>Skills!B10</f>
        <v/>
      </c>
      <c r="C423">
        <f>Inputs!$B$3&gt;=103</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C433=TRUE)*(F433-Calc!F20)),((Inputs!$B$23+1)+0+(IF(ArtifactsInput!$M$15,CHOOSE(ArtifactsInput!$N$15+1,25,30,35,40,45,50)/100*(Inputs!$B$11-Inputs!$B$11),0))))/100+((Inputs!$B$23+1)+0+(IF(ArtifactsInput!$M$15,CHOOSE(ArtifactsInput!$N$15+1,25,30,35,40,45,50)/100*(Inputs!$B$11-Inputs!$B$11),0)))/100)/2</f>
        <v/>
      </c>
      <c r="M423">
        <f>L423*(1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IF(B448=0,0,O423/B448)</f>
        <v/>
      </c>
      <c r="Q423">
        <f>IFERROR(1/(IF(Inputs!$B$38="pvp",15,MAX(0.1,Skills!D10-IF(Skills!E10=TRUE,Inputs!$B$32,0)))*(1-IF(AND(ArtifactsInput!$M$27,Inputs!$B$4="Chapter Hunt"),CHOOSE(ArtifactsInput!$N$27+1,20,24,28,32,36,40),0)/100)),0)</f>
        <v/>
      </c>
      <c r="R423">
        <f>IF(AND(Inputs!$B$38&lt;&gt;"pvp",Inputs!$B$43&gt;0),IF(MAX(0,Inputs!$B$43-B445)&lt;=0,0,(INT(MAX(0,Inputs!$B$43-B445)/(IF(Inputs!$B$38="pvp",15,MAX(0.1,Skills!D10-IF(Skills!E10=TRUE,Inputs!$B$32,0)))*(1-IF(AND(ArtifactsInput!$M$27,Inputs!$B$4="Chapter Hunt"),CHOOSE(ArtifactsInput!$N$27+1,20,24,28,32,36,40),0)/100)))+1)),0)</f>
        <v/>
      </c>
      <c r="S423">
        <f>IFERROR(O423/N423,0)</f>
        <v/>
      </c>
      <c r="T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$21+Skills!Q10+(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Skills!A11</f>
        <v/>
      </c>
      <c r="B424">
        <f>Skills!B11</f>
        <v/>
      </c>
      <c r="C424">
        <f>Inputs!$B$3&gt;=113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433=TRUE)*(F433-Calc!F20)),((Inputs!$B$23+1)+0+(IF(ArtifactsInput!$M$15,CHOOSE(ArtifactsInput!$N$15+1,25,30,35,40,45,50)/100*(Inputs!$B$11-Inputs!$B$11),0))))/100+((Inputs!$B$23+1)+0+(IF(ArtifactsInput!$M$15,CHOOSE(ArtifactsInput!$N$15+1,25,30,35,40,45,50)/100*(Inputs!$B$11-Inputs!$B$11),0)))/100)/2</f>
        <v/>
      </c>
      <c r="M424">
        <f>L424*(1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IF(B448=0,0,O424/B448)</f>
        <v/>
      </c>
      <c r="Q424">
        <f>IFERROR(1/(IF(Inputs!$B$38="pvp",15,MAX(0.1,Skills!D11-IF(Skills!E11=TRUE,Inputs!$B$32,0)))*(1-IF(AND(ArtifactsInput!$M$27,Inputs!$B$4="Chapter Hunt"),CHOOSE(ArtifactsInput!$N$27+1,20,24,28,32,36,40),0)/100)),0)</f>
        <v/>
      </c>
      <c r="R424">
        <f>IF(AND(Inputs!$B$38&lt;&gt;"pvp",Inputs!$B$43&gt;0),IF(MAX(0,Inputs!$B$43-B445)&lt;=0,0,(INT(MAX(0,Inputs!$B$43-B445)/(IF(Inputs!$B$38="pvp",15,MAX(0.1,Skills!D11-IF(Skills!E11=TRUE,Inputs!$B$32,0)))*(1-IF(AND(ArtifactsInput!$M$27,Inputs!$B$4="Chapter Hunt"),CHOOSE(ArtifactsInput!$N$27+1,20,24,28,32,36,40),0)/100)))+1)),0)</f>
        <v/>
      </c>
      <c r="S424">
        <f>IFERROR(O424/N424,0)</f>
        <v/>
      </c>
      <c r="T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$21+Skills!Q11+(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c r="T425" t="inlineStr"/>
      <c r="V425" t="inlineStr"/>
    </row>
    <row r="426">
      <c r="A426">
        <f>Skills!A13</f>
        <v/>
      </c>
      <c r="B426">
        <f>Skills!B13</f>
        <v/>
      </c>
      <c r="C426">
        <f>Inputs!$B$3&gt;=66</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f>(1-Summary!$B$11)*T426+Summary!$B$11*V426</f>
        <v/>
      </c>
      <c r="P426">
        <f>IF(B448=0,0,O426/B448)</f>
        <v/>
      </c>
      <c r="Q426" t="n">
        <v>0</v>
      </c>
      <c r="R426" t="n">
        <v>0</v>
      </c>
      <c r="S426">
        <f>IFERROR(O426/N426,0)</f>
        <v/>
      </c>
      <c r="T426" t="n">
        <v>0</v>
      </c>
      <c r="V426" t="n">
        <v>0</v>
      </c>
    </row>
    <row r="427">
      <c r="A427">
        <f>Skills!A14</f>
        <v/>
      </c>
      <c r="B427">
        <f>Skills!B14</f>
        <v/>
      </c>
      <c r="C427">
        <f>Inputs!$B$3&gt;=107</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f>(1-Summary!$B$11)*T427+Summary!$B$11*V427</f>
        <v/>
      </c>
      <c r="P427">
        <f>IF(B448=0,0,O427/B448)</f>
        <v/>
      </c>
      <c r="Q427" t="n">
        <v>0</v>
      </c>
      <c r="R427" t="n">
        <v>0</v>
      </c>
      <c r="S427">
        <f>IFERROR(O427/N427,0)</f>
        <v/>
      </c>
      <c r="T427" t="n">
        <v>0</v>
      </c>
      <c r="V427" t="n">
        <v>0</v>
      </c>
    </row>
    <row r="428">
      <c r="A428">
        <f>Skills!A15</f>
        <v/>
      </c>
      <c r="B428">
        <f>Skills!B15</f>
        <v/>
      </c>
      <c r="C428">
        <f>Inputs!$B$3&gt;=115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f>(1-Summary!$B$11)*T428+Summary!$B$11*V428</f>
        <v/>
      </c>
      <c r="P428">
        <f>IF(B448=0,0,O428/B448)</f>
        <v/>
      </c>
      <c r="Q428" t="n">
        <v>0</v>
      </c>
      <c r="R428" t="n">
        <v>0</v>
      </c>
      <c r="S428">
        <f>IFERROR(O428/N428,0)</f>
        <v/>
      </c>
      <c r="T428" t="n">
        <v>0</v>
      </c>
      <c r="V428" t="n">
        <v>0</v>
      </c>
    </row>
    <row r="429">
      <c r="A429">
        <f>Skills!A16</f>
        <v/>
      </c>
      <c r="B429">
        <f>Skills!B16</f>
        <v/>
      </c>
      <c r="C429">
        <f>Inputs!$B$3&gt;=15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f>(1-Summary!$B$11)*T429+Summary!$B$11*V429</f>
        <v/>
      </c>
      <c r="P429">
        <f>IF(B448=0,0,O429/B448)</f>
        <v/>
      </c>
      <c r="Q429" t="n">
        <v>0</v>
      </c>
      <c r="R429" t="n">
        <v>0</v>
      </c>
      <c r="S429">
        <f>IFERROR(O429/N429,0)</f>
        <v/>
      </c>
      <c r="T429" t="n">
        <v>0</v>
      </c>
      <c r="V429" t="n">
        <v>0</v>
      </c>
    </row>
    <row r="430">
      <c r="A430">
        <f>Skills!A17</f>
        <v/>
      </c>
      <c r="B430">
        <f>Skills!B17</f>
        <v/>
      </c>
      <c r="C430">
        <f>Inputs!$B$3&gt;=10</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Skills!A18</f>
        <v/>
      </c>
      <c r="B431">
        <f>Skills!B18</f>
        <v/>
      </c>
      <c r="C431">
        <f>Inputs!$B$3&gt;=33</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Skills!A19</f>
        <v/>
      </c>
      <c r="B432">
        <f>Skills!B19</f>
        <v/>
      </c>
      <c r="C432">
        <f>Inputs!$B$3&gt;=40</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Skills!A20</f>
        <v/>
      </c>
      <c r="B433">
        <f>Skills!B20</f>
        <v/>
      </c>
      <c r="C433">
        <f>Inputs!$B$3&gt;=43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Skills!A22</f>
        <v/>
      </c>
      <c r="B435">
        <f>Skills!B22</f>
        <v/>
      </c>
      <c r="C435">
        <f>Inputs!$B$3&gt;=75</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8">
      <c r="A438" t="inlineStr">
        <is>
          <t>Global Crit Rate Bonus %</t>
        </is>
      </c>
      <c r="B438" t="n">
        <v>0</v>
      </c>
    </row>
    <row r="439">
      <c r="A439" t="inlineStr">
        <is>
          <t>Attack Speed Buff Bonus % (unused)</t>
        </is>
      </c>
      <c r="B439" t="n">
        <v>0</v>
      </c>
    </row>
    <row r="440">
      <c r="A440" t="inlineStr">
        <is>
          <t>Actions Per Second</t>
        </is>
      </c>
      <c r="B440">
        <f>1+MIN(150,150*(1-(1-(Inputs!$B$11+((C430=TRUE)*(F430-Calc!F17))+((C431=TRUE)*(F431-Calc!F18)))/150)*(1-B439/150)))/100</f>
        <v/>
      </c>
    </row>
    <row r="441">
      <c r="A441" t="inlineStr">
        <is>
          <t>Skill + Buff Cast Rate</t>
        </is>
      </c>
      <c r="B441">
        <f>IF(AND(Inputs!$B$38&lt;&gt;"pvp",Inputs!$B$43&gt;0),SUMPRODUCT((Skills!E2:E22=TRUE)*(C415:C435=TRUE)*R415:R435*Skills!F2:F22)/Inputs!$B$43,SUMPRODUCT((Skills!E2:E22=TRUE)*(C415:C435=TRUE)*Q415:Q435*Skills!F2:F22))</f>
        <v/>
      </c>
    </row>
    <row r="442">
      <c r="A442" t="inlineStr">
        <is>
          <t>Hook Bomber Casts Per Second</t>
        </is>
      </c>
      <c r="B442">
        <f>MAX(0,B440-B441)</f>
        <v/>
      </c>
    </row>
    <row r="443">
      <c r="A443" t="inlineStr">
        <is>
          <t>Global Critical Damage Bonus % (unused)</t>
        </is>
      </c>
      <c r="B443" t="n">
        <v>0</v>
      </c>
    </row>
    <row r="444">
      <c r="A444" t="inlineStr">
        <is>
          <t>Global Final Damage Bonus % (Serpent Scale + Crossbones + Time Leap + Speed Infusion)</t>
        </is>
      </c>
      <c r="B444">
        <f>((C418=TRUE)*F418*((10+IF(Inputs!$B$3&gt;=94,5,0))/((10+IF(Inputs!$B$3&gt;=94,5,0))+5/(B442*(1+IF(Inputs!$B$3&gt;=104,1,0))))))+((C427=TRUE)*F427)+((C428=TRUE)*F428)+((Inputs!$B$3&gt;=110)*20*(B440-1))</f>
        <v/>
      </c>
    </row>
    <row r="445">
      <c r="A445" t="inlineStr">
        <is>
          <t>Buff-Casting Startup Delay (s, fixed-duration only)</t>
        </is>
      </c>
      <c r="B445">
        <f>IF(AND(Inputs!$B$38&lt;&gt;"pvp",Inputs!$B$43&gt;0),SUMPRODUCT((Skills!T2:T22&gt;0)*(Skills!E2:E22=TRUE)*(C415:C435=TRUE))/B440,0)</f>
        <v/>
      </c>
    </row>
    <row r="446">
      <c r="A446" t="inlineStr">
        <is>
          <t>Boss-Only Total DPS (this block's swept value)</t>
        </is>
      </c>
      <c r="B446">
        <f>SUM(T415:T435)</f>
        <v/>
      </c>
    </row>
    <row r="447">
      <c r="A447" t="inlineStr">
        <is>
          <t>Normal-Only Total DPS (this block's swept value)</t>
        </is>
      </c>
      <c r="B447">
        <f>SUM(V415:V435)</f>
        <v/>
      </c>
    </row>
    <row r="448">
      <c r="A448" s="6" t="inlineStr">
        <is>
          <t>TOTAL DPS</t>
        </is>
      </c>
      <c r="B448" s="6">
        <f>SUM(O415:O435)</f>
        <v/>
      </c>
    </row>
    <row r="451">
      <c r="A451" s="6" t="inlineStr">
        <is>
          <t>Stat: CRIT_RATE %</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471=TRUE)*(F471-Calc!F20)),(Inputs!$B$23+0+(IF(ArtifactsInput!$M$15,CHOOSE(ArtifactsInput!$N$15+1,25,30,35,40,45,50)/100*(Inputs!$B$11-Inputs!$B$11),0))))/100+(Inputs!$B$23+0+(IF(ArtifactsInput!$M$15,CHOOSE(ArtifactsInput!$N$15+1,25,30,35,40,45,50)/100*(Inputs!$B$11-Inputs!$B$11),0)))/100)/2</f>
        <v/>
      </c>
      <c r="M453">
        <f>L453*(1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3">
        <f>L453*(1-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IF(B486=0,0,O453/B486)</f>
        <v/>
      </c>
      <c r="Q453" t="n">
        <v>0</v>
      </c>
      <c r="R453" t="n">
        <v>0</v>
      </c>
      <c r="S453">
        <f>IFERROR(O453/N453,0)</f>
        <v/>
      </c>
      <c r="T453">
        <f>IF(C453,(Skills!G2*N453*B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MAX(0,(Inputs!$B$3-100)*3)+Inputs!$B$28+Inputs!$B$29</f>
        <v/>
      </c>
      <c r="V453">
        <f>IF(C453,(Skills!G2*N453*B480)*IF(Inputs!$B$38="pvp",1,(1+(Inputs!$B$21+Skills!Q2+(IF(ArtifactsInput!$M$33,CHOOSE(ArtifactsInput!$N$33+1,30,36,42,48,54,60),0))+(IF(AND(ArtifactsInput!$M$35,Inputs!$B$4&lt;&gt;"Chapter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Skills!A3</f>
        <v/>
      </c>
      <c r="B454">
        <f>Skills!B3</f>
        <v/>
      </c>
      <c r="C454">
        <f>Inputs!$B$3&gt;=35</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f>Skills!G3*IF(Skills!H3&gt;0,Skills!I3/Skills!H3,1)</f>
        <v/>
      </c>
      <c r="H454">
        <f>1-(1-Skills!J3/100)^Skills!K3</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471=TRUE)*(F471-Calc!F20)),(Inputs!$B$23+0+(IF(ArtifactsInput!$M$15,CHOOSE(ArtifactsInput!$N$15+1,25,30,35,40,45,50)/100*(Inputs!$B$11-Inputs!$B$11),0))))/100+(Inputs!$B$23+0+(IF(ArtifactsInput!$M$15,CHOOSE(ArtifactsInput!$N$15+1,25,30,35,40,45,50)/100*(Inputs!$B$11-Inputs!$B$11),0)))/100)/2</f>
        <v/>
      </c>
      <c r="M454">
        <f>L454*(1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4">
        <f>L454*(1-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IF(B486=0,0,O454/B486)</f>
        <v/>
      </c>
      <c r="Q454" t="n">
        <v>0</v>
      </c>
      <c r="R454" t="n">
        <v>0</v>
      </c>
      <c r="S454">
        <f>IFERROR(O454/N454,0)</f>
        <v/>
      </c>
      <c r="T454">
        <f>IF(C454,(Skills!G3*H454*N454*B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4">
        <f>INDEX(FactorTable!$B$2:$Y$301, MATCH(ROUND(MIN(300,MAX(1,U453)),0), FactorTable!$A$2:$A$301,0), 22)</f>
        <v/>
      </c>
      <c r="V454">
        <f>IF(C454,(Skills!G3*H454*N454*B480)*IF(Inputs!$B$38="pvp",1,(1+(Inputs!$B$21+Skills!Q3+(IF(ArtifactsInput!$M$33,CHOOSE(ArtifactsInput!$N$33+1,30,36,42,48,54,60),0))+(IF(AND(ArtifactsInput!$M$35,Inputs!$B$4&lt;&gt;"Chapter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Skills!A4</f>
        <v/>
      </c>
      <c r="B455">
        <f>Skills!B4</f>
        <v/>
      </c>
      <c r="C455">
        <f>Inputs!$B$3&gt;=60</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463=TRUE,F463,0)/100)*(1+(IF(Skills!A4="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471=TRUE)*(F471-Calc!F20)),(Inputs!$B$23+0+(IF(ArtifactsInput!$M$15,CHOOSE(ArtifactsInput!$N$15+1,25,30,35,40,45,50)/100*(Inputs!$B$11-Inputs!$B$11),0))))/100+(Inputs!$B$23+0+(IF(ArtifactsInput!$M$15,CHOOSE(ArtifactsInput!$N$15+1,25,30,35,40,45,50)/100*(Inputs!$B$11-Inputs!$B$11),0)))/100)/2</f>
        <v/>
      </c>
      <c r="M455">
        <f>L455*(1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5">
        <f>L455*(1-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IF(B486=0,0,O455/B486)</f>
        <v/>
      </c>
      <c r="Q455" t="n">
        <v>0</v>
      </c>
      <c r="R455" t="n">
        <v>0</v>
      </c>
      <c r="S455">
        <f>IFERROR(O455/N455,0)</f>
        <v/>
      </c>
      <c r="T455">
        <f>IF(C455,(Skills!G4*H455*N455*B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5">
        <f>290*U454/1000</f>
        <v/>
      </c>
      <c r="V455">
        <f>IF(C455,(Skills!G4*H455*N455*B480)*IF(Inputs!$B$38="pvp",1,(1+(Inputs!$B$21+Skills!Q4+(IF(ArtifactsInput!$M$33,CHOOSE(ArtifactsInput!$N$33+1,30,36,42,48,54,60),0))+(IF(AND(ArtifactsInput!$M$35,Inputs!$B$4&lt;&gt;"Chapter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Skills!A5</f>
        <v/>
      </c>
      <c r="B456">
        <f>Skills!B5</f>
        <v/>
      </c>
      <c r="C456">
        <f>Inputs!$B$3&gt;=60</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t="inlineStr"/>
      <c r="K456" t="inlineStr"/>
      <c r="L456" t="inlineStr"/>
      <c r="M456" t="inlineStr"/>
      <c r="N456" t="inlineStr"/>
      <c r="O456">
        <f>(1-Summary!$B$11)*T456+Summary!$B$11*V456</f>
        <v/>
      </c>
      <c r="P456">
        <f>IF(B486=0,0,O456/B486)</f>
        <v/>
      </c>
      <c r="Q456" t="n">
        <v>0</v>
      </c>
      <c r="R456" t="n">
        <v>0</v>
      </c>
      <c r="S456">
        <f>IFERROR(O456/N456,0)</f>
        <v/>
      </c>
      <c r="T456" t="n">
        <v>0</v>
      </c>
      <c r="V456" t="n">
        <v>0</v>
      </c>
    </row>
    <row r="457">
      <c r="A457">
        <f>Skills!A6</f>
        <v/>
      </c>
      <c r="B457">
        <f>Skills!B6</f>
        <v/>
      </c>
      <c r="C457">
        <f>Inputs!$B$3&gt;=63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471=TRUE)*(F471-Calc!F20)),(Inputs!$B$23+0+(IF(ArtifactsInput!$M$15,CHOOSE(ArtifactsInput!$N$15+1,25,30,35,40,45,50)/100*(Inputs!$B$11-Inputs!$B$11),0))))/100+(Inputs!$B$23+0+(IF(ArtifactsInput!$M$15,CHOOSE(ArtifactsInput!$N$15+1,25,30,35,40,45,50)/100*(Inputs!$B$11-Inputs!$B$11),0)))/100)/2</f>
        <v/>
      </c>
      <c r="M457">
        <f>L457*(1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7">
        <f>L457*(1-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IF(B486=0,0,O457/B486)</f>
        <v/>
      </c>
      <c r="Q457">
        <f>IFERROR(1/(IF(Inputs!$B$38="pvp",15,MAX(0.1,Skills!D6-IF(Skills!E6=TRUE,Inputs!$B$32,0)))*(1-IF(AND(ArtifactsInput!$M$27,Inputs!$B$4="Chapter Hunt"),CHOOSE(ArtifactsInput!$N$27+1,20,24,28,32,36,40),0)/100)),0)</f>
        <v/>
      </c>
      <c r="R457">
        <f>IF(AND(Inputs!$B$38&lt;&gt;"pvp",Inputs!$B$43&gt;0),IF(MAX(0,Inputs!$B$43-B483)&lt;=0,0,(INT(MAX(0,Inputs!$B$43-B483)/(IF(Inputs!$B$38="pvp",15,MAX(0.1,Skills!D6-IF(Skills!E6=TRUE,Inputs!$B$32,0)))*(1-IF(AND(ArtifactsInput!$M$27,Inputs!$B$4="Chapter Hunt"),CHOOSE(ArtifactsInput!$N$27+1,20,24,28,32,36,40),0)/100)))+1)),0)</f>
        <v/>
      </c>
      <c r="S457">
        <f>IFERROR(O457/N457,0)</f>
        <v/>
      </c>
      <c r="T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$21+Skills!Q6+(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Skills!A7</f>
        <v/>
      </c>
      <c r="B458">
        <f>Skills!B7</f>
        <v/>
      </c>
      <c r="C458">
        <f>Inputs!$B$3&gt;=100</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471=TRUE)*(F471-Calc!F20)),(Inputs!$B$23+0+(IF(ArtifactsInput!$M$15,CHOOSE(ArtifactsInput!$N$15+1,25,30,35,40,45,50)/100*(Inputs!$B$11-Inputs!$B$11),0))))/100+(Inputs!$B$23+0+(IF(ArtifactsInput!$M$15,CHOOSE(ArtifactsInput!$N$15+1,25,30,35,40,45,50)/100*(Inputs!$B$11-Inputs!$B$11),0)))/100)/2</f>
        <v/>
      </c>
      <c r="M458">
        <f>L458*(1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8">
        <f>L458*(1-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IF(B486=0,0,O458/B486)</f>
        <v/>
      </c>
      <c r="Q458">
        <f>IFERROR(1/(IF(Inputs!$B$38="pvp",15,MAX(0.1,Skills!D7-IF(Skills!E7=TRUE,Inputs!$B$32,0)))*(1-IF(AND(ArtifactsInput!$M$27,Inputs!$B$4="Chapter Hunt"),CHOOSE(ArtifactsInput!$N$27+1,20,24,28,32,36,40),0)/100)),0)</f>
        <v/>
      </c>
      <c r="R458">
        <f>IF(AND(Inputs!$B$38&lt;&gt;"pvp",Inputs!$B$43&gt;0),IF(MAX(0,Inputs!$B$43-B483)&lt;=0,0,(INT(MAX(0,Inputs!$B$43-B483)/(IF(Inputs!$B$38="pvp",15,MAX(0.1,Skills!D7-IF(Skills!E7=TRUE,Inputs!$B$32,0)))*(1-IF(AND(ArtifactsInput!$M$27,Inputs!$B$4="Chapter Hunt"),CHOOSE(ArtifactsInput!$N$27+1,20,24,28,32,36,40),0)/100)))+1)),0)</f>
        <v/>
      </c>
      <c r="S458">
        <f>IFERROR(O458/N458,0)</f>
        <v/>
      </c>
      <c r="T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$21+Skills!Q7+(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Skills!A8</f>
        <v/>
      </c>
      <c r="B459">
        <f>Skills!B8</f>
        <v/>
      </c>
      <c r="C459">
        <f>Inputs!$B$3&gt;=110</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471=TRUE)*(F471-Calc!F20)),(Inputs!$B$23+0+(IF(ArtifactsInput!$M$15,CHOOSE(ArtifactsInput!$N$15+1,25,30,35,40,45,50)/100*(Inputs!$B$11-Inputs!$B$11),0))))/100+(Inputs!$B$23+0+(IF(ArtifactsInput!$M$15,CHOOSE(ArtifactsInput!$N$15+1,25,30,35,40,45,50)/100*(Inputs!$B$11-Inputs!$B$11),0)))/100)/2</f>
        <v/>
      </c>
      <c r="M459">
        <f>L459*(1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9">
        <f>L459*(1-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IF(B486=0,0,O459/B486)</f>
        <v/>
      </c>
      <c r="Q459">
        <f>IFERROR(1/(IF(Inputs!$B$38="pvp",15,MAX(0.1,Skills!D8-IF(Skills!E8=TRUE,Inputs!$B$32,0)))*(1-IF(AND(ArtifactsInput!$M$27,Inputs!$B$4="Chapter Hunt"),CHOOSE(ArtifactsInput!$N$27+1,20,24,28,32,36,40),0)/100)),0)</f>
        <v/>
      </c>
      <c r="R459">
        <f>IF(AND(Inputs!$B$38&lt;&gt;"pvp",Inputs!$B$43&gt;0),IF(MAX(0,Inputs!$B$43-B483)&lt;=0,0,(INT(MAX(0,Inputs!$B$43-B483)/(IF(Inputs!$B$38="pvp",15,MAX(0.1,Skills!D8-IF(Skills!E8=TRUE,Inputs!$B$32,0)))*(1-IF(AND(ArtifactsInput!$M$27,Inputs!$B$4="Chapter Hunt"),CHOOSE(ArtifactsInput!$N$27+1,20,24,28,32,36,40),0)/100)))+1)),0)</f>
        <v/>
      </c>
      <c r="S459">
        <f>IFERROR(O459/N459,0)</f>
        <v/>
      </c>
      <c r="T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$21+Skills!Q8+(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Skills!A9</f>
        <v/>
      </c>
      <c r="B460">
        <f>Skills!B9</f>
        <v/>
      </c>
      <c r="C460">
        <f>Inputs!$B$3&gt;=110</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471=TRUE)*(F471-Calc!F20)),(Inputs!$B$23+0+(IF(ArtifactsInput!$M$15,CHOOSE(ArtifactsInput!$N$15+1,25,30,35,40,45,50)/100*(Inputs!$B$11-Inputs!$B$11),0))))/100+(Inputs!$B$23+0+(IF(ArtifactsInput!$M$15,CHOOSE(ArtifactsInput!$N$15+1,25,30,35,40,45,50)/100*(Inputs!$B$11-Inputs!$B$11),0)))/100)/2</f>
        <v/>
      </c>
      <c r="M460">
        <f>L460*(1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0">
        <f>L460*(1-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IF(B486=0,0,O460/B486)</f>
        <v/>
      </c>
      <c r="Q460">
        <f>IFERROR(1/(IF(Inputs!$B$38="pvp",15,MAX(0.1,Skills!D9-IF(Skills!E9=TRUE,Inputs!$B$32,0)))*(1-IF(AND(ArtifactsInput!$M$27,Inputs!$B$4="Chapter Hunt"),CHOOSE(ArtifactsInput!$N$27+1,20,24,28,32,36,40),0)/100)),0)</f>
        <v/>
      </c>
      <c r="R460">
        <f>IF(AND(Inputs!$B$38&lt;&gt;"pvp",Inputs!$B$43&gt;0),IF(MAX(0,Inputs!$B$43-B483)&lt;=0,0,(INT(MAX(0,Inputs!$B$43-B483)/(IF(Inputs!$B$38="pvp",15,MAX(0.1,Skills!D9-IF(Skills!E9=TRUE,Inputs!$B$32,0)))*(1-IF(AND(ArtifactsInput!$M$27,Inputs!$B$4="Chapter Hunt"),CHOOSE(ArtifactsInput!$N$27+1,20,24,28,32,36,40),0)/100)))+1)),0)</f>
        <v/>
      </c>
      <c r="S460">
        <f>IFERROR(O460/N460,0)</f>
        <v/>
      </c>
      <c r="T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$21+Skills!Q9+(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Skills!A10</f>
        <v/>
      </c>
      <c r="B461">
        <f>Skills!B10</f>
        <v/>
      </c>
      <c r="C461">
        <f>Inputs!$B$3&gt;=103</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471=TRUE)*(F471-Calc!F20)),(Inputs!$B$23+0+(IF(ArtifactsInput!$M$15,CHOOSE(ArtifactsInput!$N$15+1,25,30,35,40,45,50)/100*(Inputs!$B$11-Inputs!$B$11),0))))/100+(Inputs!$B$23+0+(IF(ArtifactsInput!$M$15,CHOOSE(ArtifactsInput!$N$15+1,25,30,35,40,45,50)/100*(Inputs!$B$11-Inputs!$B$11),0)))/100)/2</f>
        <v/>
      </c>
      <c r="M461">
        <f>L461*(1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1">
        <f>L461*(1-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IF(B486=0,0,O461/B486)</f>
        <v/>
      </c>
      <c r="Q461">
        <f>IFERROR(1/(IF(Inputs!$B$38="pvp",15,MAX(0.1,Skills!D10-IF(Skills!E10=TRUE,Inputs!$B$32,0)))*(1-IF(AND(ArtifactsInput!$M$27,Inputs!$B$4="Chapter Hunt"),CHOOSE(ArtifactsInput!$N$27+1,20,24,28,32,36,40),0)/100)),0)</f>
        <v/>
      </c>
      <c r="R461">
        <f>IF(AND(Inputs!$B$38&lt;&gt;"pvp",Inputs!$B$43&gt;0),IF(MAX(0,Inputs!$B$43-B483)&lt;=0,0,(INT(MAX(0,Inputs!$B$43-B483)/(IF(Inputs!$B$38="pvp",15,MAX(0.1,Skills!D10-IF(Skills!E10=TRUE,Inputs!$B$32,0)))*(1-IF(AND(ArtifactsInput!$M$27,Inputs!$B$4="Chapter Hunt"),CHOOSE(ArtifactsInput!$N$27+1,20,24,28,32,36,40),0)/100)))+1)),0)</f>
        <v/>
      </c>
      <c r="S461">
        <f>IFERROR(O461/N461,0)</f>
        <v/>
      </c>
      <c r="T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$21+Skills!Q10+(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Skills!A11</f>
        <v/>
      </c>
      <c r="B462">
        <f>Skills!B11</f>
        <v/>
      </c>
      <c r="C462">
        <f>Inputs!$B$3&gt;=113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471=TRUE)*(F471-Calc!F20)),(Inputs!$B$23+0+(IF(ArtifactsInput!$M$15,CHOOSE(ArtifactsInput!$N$15+1,25,30,35,40,45,50)/100*(Inputs!$B$11-Inputs!$B$11),0))))/100+(Inputs!$B$23+0+(IF(ArtifactsInput!$M$15,CHOOSE(ArtifactsInput!$N$15+1,25,30,35,40,45,50)/100*(Inputs!$B$11-Inputs!$B$11),0)))/100)/2</f>
        <v/>
      </c>
      <c r="M462">
        <f>L462*(1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2">
        <f>L462*(1-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IF(B486=0,0,O462/B486)</f>
        <v/>
      </c>
      <c r="Q462">
        <f>IFERROR(1/(IF(Inputs!$B$38="pvp",15,MAX(0.1,Skills!D11-IF(Skills!E11=TRUE,Inputs!$B$32,0)))*(1-IF(AND(ArtifactsInput!$M$27,Inputs!$B$4="Chapter Hunt"),CHOOSE(ArtifactsInput!$N$27+1,20,24,28,32,36,40),0)/100)),0)</f>
        <v/>
      </c>
      <c r="R462">
        <f>IF(AND(Inputs!$B$38&lt;&gt;"pvp",Inputs!$B$43&gt;0),IF(MAX(0,Inputs!$B$43-B483)&lt;=0,0,(INT(MAX(0,Inputs!$B$43-B483)/(IF(Inputs!$B$38="pvp",15,MAX(0.1,Skills!D11-IF(Skills!E11=TRUE,Inputs!$B$32,0)))*(1-IF(AND(ArtifactsInput!$M$27,Inputs!$B$4="Chapter Hunt"),CHOOSE(ArtifactsInput!$N$27+1,20,24,28,32,36,40),0)/100)))+1)),0)</f>
        <v/>
      </c>
      <c r="S462">
        <f>IFERROR(O462/N462,0)</f>
        <v/>
      </c>
      <c r="T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$21+Skills!Q11+(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c r="T463" t="inlineStr"/>
      <c r="V463" t="inlineStr"/>
    </row>
    <row r="464">
      <c r="A464">
        <f>Skills!A13</f>
        <v/>
      </c>
      <c r="B464">
        <f>Skills!B13</f>
        <v/>
      </c>
      <c r="C464">
        <f>Inputs!$B$3&gt;=66</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IF(B486=0,0,O464/B486)</f>
        <v/>
      </c>
      <c r="Q464" t="n">
        <v>0</v>
      </c>
      <c r="R464" t="n">
        <v>0</v>
      </c>
      <c r="S464">
        <f>IFERROR(O464/N464,0)</f>
        <v/>
      </c>
      <c r="T464" t="n">
        <v>0</v>
      </c>
      <c r="V464" t="n">
        <v>0</v>
      </c>
    </row>
    <row r="465">
      <c r="A465">
        <f>Skills!A14</f>
        <v/>
      </c>
      <c r="B465">
        <f>Skills!B14</f>
        <v/>
      </c>
      <c r="C465">
        <f>Inputs!$B$3&gt;=107</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IF(B486=0,0,O465/B486)</f>
        <v/>
      </c>
      <c r="Q465" t="n">
        <v>0</v>
      </c>
      <c r="R465" t="n">
        <v>0</v>
      </c>
      <c r="S465">
        <f>IFERROR(O465/N465,0)</f>
        <v/>
      </c>
      <c r="T465" t="n">
        <v>0</v>
      </c>
      <c r="V465" t="n">
        <v>0</v>
      </c>
    </row>
    <row r="466">
      <c r="A466">
        <f>Skills!A15</f>
        <v/>
      </c>
      <c r="B466">
        <f>Skills!B15</f>
        <v/>
      </c>
      <c r="C466">
        <f>Inputs!$B$3&gt;=115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IF(B486=0,0,O466/B486)</f>
        <v/>
      </c>
      <c r="Q466" t="n">
        <v>0</v>
      </c>
      <c r="R466" t="n">
        <v>0</v>
      </c>
      <c r="S466">
        <f>IFERROR(O466/N466,0)</f>
        <v/>
      </c>
      <c r="T466" t="n">
        <v>0</v>
      </c>
      <c r="V466" t="n">
        <v>0</v>
      </c>
    </row>
    <row r="467">
      <c r="A467">
        <f>Skills!A16</f>
        <v/>
      </c>
      <c r="B467">
        <f>Skills!B16</f>
        <v/>
      </c>
      <c r="C467">
        <f>Inputs!$B$3&gt;=15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IF(B486=0,0,O467/B486)</f>
        <v/>
      </c>
      <c r="Q467" t="n">
        <v>0</v>
      </c>
      <c r="R467" t="n">
        <v>0</v>
      </c>
      <c r="S467">
        <f>IFERROR(O467/N467,0)</f>
        <v/>
      </c>
      <c r="T467" t="n">
        <v>0</v>
      </c>
      <c r="V467" t="n">
        <v>0</v>
      </c>
    </row>
    <row r="468">
      <c r="A468">
        <f>Skills!A17</f>
        <v/>
      </c>
      <c r="B468">
        <f>Skills!B17</f>
        <v/>
      </c>
      <c r="C468">
        <f>Inputs!$B$3&gt;=10</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IF(B486=0,0,O468/B486)</f>
        <v/>
      </c>
      <c r="Q468" t="n">
        <v>0</v>
      </c>
      <c r="R468" t="n">
        <v>0</v>
      </c>
      <c r="S468">
        <f>IFERROR(O468/N468,0)</f>
        <v/>
      </c>
      <c r="T468" t="n">
        <v>0</v>
      </c>
      <c r="V468" t="n">
        <v>0</v>
      </c>
    </row>
    <row r="469">
      <c r="A469">
        <f>Skills!A18</f>
        <v/>
      </c>
      <c r="B469">
        <f>Skills!B18</f>
        <v/>
      </c>
      <c r="C469">
        <f>Inputs!$B$3&gt;=33</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IF(B486=0,0,O469/B486)</f>
        <v/>
      </c>
      <c r="Q469" t="n">
        <v>0</v>
      </c>
      <c r="R469" t="n">
        <v>0</v>
      </c>
      <c r="S469">
        <f>IFERROR(O469/N469,0)</f>
        <v/>
      </c>
      <c r="T469" t="n">
        <v>0</v>
      </c>
      <c r="V469" t="n">
        <v>0</v>
      </c>
    </row>
    <row r="470">
      <c r="A470">
        <f>Skills!A19</f>
        <v/>
      </c>
      <c r="B470">
        <f>Skills!B19</f>
        <v/>
      </c>
      <c r="C470">
        <f>Inputs!$B$3&gt;=40</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IF(B486=0,0,O470/B486)</f>
        <v/>
      </c>
      <c r="Q470" t="n">
        <v>0</v>
      </c>
      <c r="R470" t="n">
        <v>0</v>
      </c>
      <c r="S470">
        <f>IFERROR(O470/N470,0)</f>
        <v/>
      </c>
      <c r="T470" t="n">
        <v>0</v>
      </c>
      <c r="V470" t="n">
        <v>0</v>
      </c>
    </row>
    <row r="471">
      <c r="A471">
        <f>Skills!A20</f>
        <v/>
      </c>
      <c r="B471">
        <f>Skills!B20</f>
        <v/>
      </c>
      <c r="C471">
        <f>Inputs!$B$3&gt;=43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IF(B486=0,0,O471/B486)</f>
        <v/>
      </c>
      <c r="Q471" t="n">
        <v>0</v>
      </c>
      <c r="R471" t="n">
        <v>0</v>
      </c>
      <c r="S471">
        <f>IFERROR(O471/N471,0)</f>
        <v/>
      </c>
      <c r="T471" t="n">
        <v>0</v>
      </c>
      <c r="V471" t="n">
        <v>0</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IF(B486=0,0,O472/B486)</f>
        <v/>
      </c>
      <c r="Q472" t="n">
        <v>0</v>
      </c>
      <c r="R472" t="n">
        <v>0</v>
      </c>
      <c r="S472">
        <f>IFERROR(O472/N472,0)</f>
        <v/>
      </c>
      <c r="T472" t="n">
        <v>0</v>
      </c>
      <c r="V472" t="n">
        <v>0</v>
      </c>
    </row>
    <row r="473">
      <c r="A473">
        <f>Skills!A22</f>
        <v/>
      </c>
      <c r="B473">
        <f>Skills!B22</f>
        <v/>
      </c>
      <c r="C473">
        <f>Inputs!$B$3&gt;=75</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IF(B486=0,0,O473/B486)</f>
        <v/>
      </c>
      <c r="Q473" t="n">
        <v>0</v>
      </c>
      <c r="R473" t="n">
        <v>0</v>
      </c>
      <c r="S473">
        <f>IFERROR(O473/N473,0)</f>
        <v/>
      </c>
      <c r="T473" t="n">
        <v>0</v>
      </c>
      <c r="V473" t="n">
        <v>0</v>
      </c>
    </row>
    <row r="475">
      <c r="A475" t="inlineStr">
        <is>
          <t>Attack% Bucket Multiplier</t>
        </is>
      </c>
      <c r="B475">
        <f>(1+(((C464=TRUE)*F464)+((C470=TRUE)*(F470-Calc!F19))+(IF(ArtifactsInput!$M$21,CHOOSE(ArtifactsInput!$N$21+1,25,30,35,40,45,50)*(IF(OR(Inputs!$B$4="Chapter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6">
      <c r="A476" t="inlineStr">
        <is>
          <t>Global Crit Rate Bonus %</t>
        </is>
      </c>
      <c r="B476" t="n">
        <v>0</v>
      </c>
    </row>
    <row r="477">
      <c r="A477" t="inlineStr">
        <is>
          <t>Attack Speed Buff Bonus % (unused)</t>
        </is>
      </c>
      <c r="B477" t="n">
        <v>0</v>
      </c>
    </row>
    <row r="478">
      <c r="A478" t="inlineStr">
        <is>
          <t>Actions Per Second</t>
        </is>
      </c>
      <c r="B478">
        <f>1+MIN(150,150*(1-(1-(Inputs!$B$11+((C468=TRUE)*(F468-Calc!F17))+((C469=TRUE)*(F469-Calc!F18)))/150)*(1-B477/150)))/100</f>
        <v/>
      </c>
    </row>
    <row r="479">
      <c r="A479" t="inlineStr">
        <is>
          <t>Skill + Buff Cast Rate</t>
        </is>
      </c>
      <c r="B479">
        <f>IF(AND(Inputs!$B$38&lt;&gt;"pvp",Inputs!$B$43&gt;0),SUMPRODUCT((Skills!E2:E22=TRUE)*(C453:C473=TRUE)*R453:R473*Skills!F2:F22)/Inputs!$B$43,SUMPRODUCT((Skills!E2:E22=TRUE)*(C453:C473=TRUE)*Q453:Q473*Skills!F2:F22))</f>
        <v/>
      </c>
    </row>
    <row r="480">
      <c r="A480" t="inlineStr">
        <is>
          <t>Hook Bomber Casts Per Second</t>
        </is>
      </c>
      <c r="B480">
        <f>MAX(0,B478-B479)</f>
        <v/>
      </c>
    </row>
    <row r="481">
      <c r="A481" t="inlineStr">
        <is>
          <t>Global Critical Damage Bonus % (unused)</t>
        </is>
      </c>
      <c r="B481" t="n">
        <v>0</v>
      </c>
    </row>
    <row r="482">
      <c r="A482" t="inlineStr">
        <is>
          <t>Global Final Damage Bonus % (Serpent Scale + Crossbones + Time Leap + Speed Infusion)</t>
        </is>
      </c>
      <c r="B482">
        <f>((C456=TRUE)*F456*((10+IF(Inputs!$B$3&gt;=94,5,0))/((10+IF(Inputs!$B$3&gt;=94,5,0))+5/(B480*(1+IF(Inputs!$B$3&gt;=104,1,0))))))+((C465=TRUE)*F465)+((C466=TRUE)*F466)+((Inputs!$B$3&gt;=110)*20*(B478-1))</f>
        <v/>
      </c>
    </row>
    <row r="483">
      <c r="A483" t="inlineStr">
        <is>
          <t>Buff-Casting Startup Delay (s, fixed-duration only)</t>
        </is>
      </c>
      <c r="B483">
        <f>IF(AND(Inputs!$B$38&lt;&gt;"pvp",Inputs!$B$43&gt;0),SUMPRODUCT((Skills!T2:T22&gt;0)*(Skills!E2:E22=TRUE)*(C453:C473=TRUE))/B478,0)</f>
        <v/>
      </c>
    </row>
    <row r="484">
      <c r="A484" t="inlineStr">
        <is>
          <t>Boss-Only Total DPS (this block's swept value)</t>
        </is>
      </c>
      <c r="B484">
        <f>SUM(T453:T473)</f>
        <v/>
      </c>
    </row>
    <row r="485">
      <c r="A485" t="inlineStr">
        <is>
          <t>Normal-Only Total DPS (this block's swept value)</t>
        </is>
      </c>
      <c r="B485">
        <f>SUM(V453:V473)</f>
        <v/>
      </c>
    </row>
    <row r="486">
      <c r="A486" s="6" t="inlineStr">
        <is>
          <t>TOTAL DPS</t>
        </is>
      </c>
      <c r="B486" s="6">
        <f>SUM(O453:O473)</f>
        <v/>
      </c>
    </row>
    <row r="489">
      <c r="A489" s="6" t="inlineStr">
        <is>
          <t>Stat: CRIT_DAMAGE %</t>
        </is>
      </c>
    </row>
    <row r="490">
      <c r="A490" s="5" t="inlineStr">
        <is>
          <t>Key</t>
        </is>
      </c>
      <c r="B490" s="5" t="inlineStr">
        <is>
          <t>Name</t>
        </is>
      </c>
      <c r="C490" s="5" t="inlineStr">
        <is>
          <t>Unlocked</t>
        </is>
      </c>
      <c r="D490" s="5" t="inlineStr">
        <is>
          <t>InputLevel</t>
        </is>
      </c>
      <c r="E490" s="5" t="inlineStr">
        <is>
          <t>Factor</t>
        </is>
      </c>
      <c r="F490" s="5" t="inlineStr">
        <is>
          <t>CoefficientPercent</t>
        </is>
      </c>
      <c r="G490" s="5" t="inlineStr">
        <is>
          <t>EffectiveHits</t>
        </is>
      </c>
      <c r="H490" s="5" t="inlineStr">
        <is>
          <t>ProcProbability</t>
        </is>
      </c>
      <c r="I490" s="5" t="inlineStr">
        <is>
          <t>MapleHeroMultiplier</t>
        </is>
      </c>
      <c r="J490" s="5" t="inlineStr">
        <is>
          <t>BaseDamage</t>
        </is>
      </c>
      <c r="K490" s="5" t="inlineStr">
        <is>
          <t>BaseHitDamage</t>
        </is>
      </c>
      <c r="L490" s="5" t="inlineStr">
        <is>
          <t>NonCritAvg</t>
        </is>
      </c>
      <c r="M490" s="5" t="inlineStr">
        <is>
          <t>CritAvg</t>
        </is>
      </c>
      <c r="N490" s="5" t="inlineStr">
        <is>
          <t>ExpectedDamage(perHit)</t>
        </is>
      </c>
      <c r="O490" s="5" t="inlineStr">
        <is>
          <t>DPS</t>
        </is>
      </c>
      <c r="P490" s="5" t="inlineStr">
        <is>
          <t>% of Total</t>
        </is>
      </c>
      <c r="Q490" s="5" t="inlineStr">
        <is>
          <t>InvCooldown</t>
        </is>
      </c>
      <c r="R490" s="5" t="inlineStr">
        <is>
          <t>CastsInFight</t>
        </is>
      </c>
      <c r="S490" s="5"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509=TRUE)*(F509-Calc!F20)),(Inputs!$B$23+0+(IF(ArtifactsInput!$M$15,CHOOSE(ArtifactsInput!$N$15+1,25,30,35,40,45,50)/100*(Inputs!$B$11-Inputs!$B$11),0))))/100+(Inputs!$B$23+0+(IF(ArtifactsInput!$M$15,CHOOSE(ArtifactsInput!$N$15+1,25,30,35,40,45,50)/100*(Inputs!$B$11-Inputs!$B$11),0)))/100)/2</f>
        <v/>
      </c>
      <c r="M491">
        <f>L491*(1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IF(B524=0,0,O491/B524)</f>
        <v/>
      </c>
      <c r="Q491" t="n">
        <v>0</v>
      </c>
      <c r="R491" t="n">
        <v>0</v>
      </c>
      <c r="S491">
        <f>IFERROR(O491/N491,0)</f>
        <v/>
      </c>
      <c r="T491">
        <f>IF(C491,(Skills!G2*N491*B518)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1">
        <f>MAX(0,(Inputs!$B$3-100)*3)+Inputs!$B$28+Inputs!$B$29</f>
        <v/>
      </c>
      <c r="V491">
        <f>IF(C491,(Skills!G2*N491*B518)*IF(Inputs!$B$38="pvp",1,(1+(Inputs!$B$21+Skills!Q2+(IF(ArtifactsInput!$M$33,CHOOSE(ArtifactsInput!$N$33+1,30,36,42,48,54,60),0))+(IF(AND(ArtifactsInput!$M$35,Inputs!$B$4&lt;&gt;"Chapter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Skills!A3</f>
        <v/>
      </c>
      <c r="B492">
        <f>Skills!B3</f>
        <v/>
      </c>
      <c r="C492">
        <f>Inputs!$B$3&gt;=35</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f>Skills!G3*IF(Skills!H3&gt;0,Skills!I3/Skills!H3,1)</f>
        <v/>
      </c>
      <c r="H492">
        <f>1-(1-Skills!J3/100)^Skills!K3</f>
        <v/>
      </c>
      <c r="I492" t="inlineStr">
        <is>
          <t>1</t>
        </is>
      </c>
      <c r="J492">
        <f>((Inputs!$B$6*(1+Inputs!$B$7/100))+(((Inputs!$B$12*(1+Inputs!$B$13/100))-(Inputs!$B$12*(1+Inputs!$B$13/100)))+0.25*(Inputs!$B$14-Inputs!$B$14))*(1+Inputs!$B$7/100))*(F492/100)</f>
        <v/>
      </c>
      <c r="K492">
        <f>J492*(1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C509=TRUE)*(F509-Calc!F20)),(Inputs!$B$23+0+(IF(ArtifactsInput!$M$15,CHOOSE(ArtifactsInput!$N$15+1,25,30,35,40,45,50)/100*(Inputs!$B$11-Inputs!$B$11),0))))/100+(Inputs!$B$23+0+(IF(ArtifactsInput!$M$15,CHOOSE(ArtifactsInput!$N$15+1,25,30,35,40,45,50)/100*(Inputs!$B$11-Inputs!$B$11),0)))/100)/2</f>
        <v/>
      </c>
      <c r="M492">
        <f>L492*(1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(1-Summary!$B$11)*T492+Summary!$B$11*V492</f>
        <v/>
      </c>
      <c r="P492">
        <f>IF(B524=0,0,O492/B524)</f>
        <v/>
      </c>
      <c r="Q492" t="n">
        <v>0</v>
      </c>
      <c r="R492" t="n">
        <v>0</v>
      </c>
      <c r="S492">
        <f>IFERROR(O492/N492,0)</f>
        <v/>
      </c>
      <c r="T492">
        <f>IF(C492,(Skills!G3*H492*N492*B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2">
        <f>INDEX(FactorTable!$B$2:$Y$301, MATCH(ROUND(MIN(300,MAX(1,U491)),0), FactorTable!$A$2:$A$301,0), 22)</f>
        <v/>
      </c>
      <c r="V492">
        <f>IF(C492,(Skills!G3*H492*N492*B518)*IF(Inputs!$B$38="pvp",1,(1+(Inputs!$B$21+Skills!Q3+(IF(ArtifactsInput!$M$33,CHOOSE(ArtifactsInput!$N$33+1,30,36,42,48,54,60),0))+(IF(AND(ArtifactsInput!$M$35,Inputs!$B$4&lt;&gt;"Chapter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Skills!A4</f>
        <v/>
      </c>
      <c r="B493">
        <f>Skills!B4</f>
        <v/>
      </c>
      <c r="C493">
        <f>Inputs!$B$3&gt;=60</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501=TRUE,F501,0)/100)*(1+(IF(Skills!A4="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509=TRUE)*(F509-Calc!F20)),(Inputs!$B$23+0+(IF(ArtifactsInput!$M$15,CHOOSE(ArtifactsInput!$N$15+1,25,30,35,40,45,50)/100*(Inputs!$B$11-Inputs!$B$11),0))))/100+(Inputs!$B$23+0+(IF(ArtifactsInput!$M$15,CHOOSE(ArtifactsInput!$N$15+1,25,30,35,40,45,50)/100*(Inputs!$B$11-Inputs!$B$11),0)))/100)/2</f>
        <v/>
      </c>
      <c r="M493">
        <f>L493*(1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IF(B524=0,0,O493/B524)</f>
        <v/>
      </c>
      <c r="Q493" t="n">
        <v>0</v>
      </c>
      <c r="R493" t="n">
        <v>0</v>
      </c>
      <c r="S493">
        <f>IFERROR(O493/N493,0)</f>
        <v/>
      </c>
      <c r="T493">
        <f>IF(C493,(Skills!G4*H493*N493*B518)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290*U492/1000</f>
        <v/>
      </c>
      <c r="V493">
        <f>IF(C493,(Skills!G4*H493*N493*B518)*IF(Inputs!$B$38="pvp",1,(1+(Inputs!$B$21+Skills!Q4+(IF(ArtifactsInput!$M$33,CHOOSE(ArtifactsInput!$N$33+1,30,36,42,48,54,60),0))+(IF(AND(ArtifactsInput!$M$35,Inputs!$B$4&lt;&gt;"Chapter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Skills!A5</f>
        <v/>
      </c>
      <c r="B494">
        <f>Skills!B5</f>
        <v/>
      </c>
      <c r="C494">
        <f>Inputs!$B$3&gt;=60</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t="inlineStr"/>
      <c r="K494" t="inlineStr"/>
      <c r="L494" t="inlineStr"/>
      <c r="M494" t="inlineStr"/>
      <c r="N494" t="inlineStr"/>
      <c r="O494">
        <f>(1-Summary!$B$11)*T494+Summary!$B$11*V494</f>
        <v/>
      </c>
      <c r="P494">
        <f>IF(B524=0,0,O494/B524)</f>
        <v/>
      </c>
      <c r="Q494" t="n">
        <v>0</v>
      </c>
      <c r="R494" t="n">
        <v>0</v>
      </c>
      <c r="S494">
        <f>IFERROR(O494/N494,0)</f>
        <v/>
      </c>
      <c r="T494" t="n">
        <v>0</v>
      </c>
      <c r="V494" t="n">
        <v>0</v>
      </c>
    </row>
    <row r="495">
      <c r="A495">
        <f>Skills!A6</f>
        <v/>
      </c>
      <c r="B495">
        <f>Skills!B6</f>
        <v/>
      </c>
      <c r="C495">
        <f>Inputs!$B$3&gt;=63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509=TRUE)*(F509-Calc!F20)),(Inputs!$B$23+0+(IF(ArtifactsInput!$M$15,CHOOSE(ArtifactsInput!$N$15+1,25,30,35,40,45,50)/100*(Inputs!$B$11-Inputs!$B$11),0))))/100+(Inputs!$B$23+0+(IF(ArtifactsInput!$M$15,CHOOSE(ArtifactsInput!$N$15+1,25,30,35,40,45,50)/100*(Inputs!$B$11-Inputs!$B$11),0)))/100)/2</f>
        <v/>
      </c>
      <c r="M495">
        <f>L495*(1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5">
        <f>L495*(1-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IF(B524=0,0,O495/B524)</f>
        <v/>
      </c>
      <c r="Q495">
        <f>IFERROR(1/(IF(Inputs!$B$38="pvp",15,MAX(0.1,Skills!D6-IF(Skills!E6=TRUE,Inputs!$B$32,0)))*(1-IF(AND(ArtifactsInput!$M$27,Inputs!$B$4="Chapter Hunt"),CHOOSE(ArtifactsInput!$N$27+1,20,24,28,32,36,40),0)/100)),0)</f>
        <v/>
      </c>
      <c r="R495">
        <f>IF(AND(Inputs!$B$38&lt;&gt;"pvp",Inputs!$B$43&gt;0),IF(MAX(0,Inputs!$B$43-B521)&lt;=0,0,(INT(MAX(0,Inputs!$B$43-B521)/(IF(Inputs!$B$38="pvp",15,MAX(0.1,Skills!D6-IF(Skills!E6=TRUE,Inputs!$B$32,0)))*(1-IF(AND(ArtifactsInput!$M$27,Inputs!$B$4="Chapter Hunt"),CHOOSE(ArtifactsInput!$N$27+1,20,24,28,32,36,40),0)/100)))+1)),0)</f>
        <v/>
      </c>
      <c r="S495">
        <f>IFERROR(O495/N495,0)</f>
        <v/>
      </c>
      <c r="T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$21+Skills!Q6+(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Skills!A7</f>
        <v/>
      </c>
      <c r="B496">
        <f>Skills!B7</f>
        <v/>
      </c>
      <c r="C496">
        <f>Inputs!$B$3&gt;=100</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509=TRUE)*(F509-Calc!F20)),(Inputs!$B$23+0+(IF(ArtifactsInput!$M$15,CHOOSE(ArtifactsInput!$N$15+1,25,30,35,40,45,50)/100*(Inputs!$B$11-Inputs!$B$11),0))))/100+(Inputs!$B$23+0+(IF(ArtifactsInput!$M$15,CHOOSE(ArtifactsInput!$N$15+1,25,30,35,40,45,50)/100*(Inputs!$B$11-Inputs!$B$11),0)))/100)/2</f>
        <v/>
      </c>
      <c r="M496">
        <f>L496*(1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IF(B524=0,0,O496/B524)</f>
        <v/>
      </c>
      <c r="Q496">
        <f>IFERROR(1/(IF(Inputs!$B$38="pvp",15,MAX(0.1,Skills!D7-IF(Skills!E7=TRUE,Inputs!$B$32,0)))*(1-IF(AND(ArtifactsInput!$M$27,Inputs!$B$4="Chapter Hunt"),CHOOSE(ArtifactsInput!$N$27+1,20,24,28,32,36,40),0)/100)),0)</f>
        <v/>
      </c>
      <c r="R496">
        <f>IF(AND(Inputs!$B$38&lt;&gt;"pvp",Inputs!$B$43&gt;0),IF(MAX(0,Inputs!$B$43-B521)&lt;=0,0,(INT(MAX(0,Inputs!$B$43-B521)/(IF(Inputs!$B$38="pvp",15,MAX(0.1,Skills!D7-IF(Skills!E7=TRUE,Inputs!$B$32,0)))*(1-IF(AND(ArtifactsInput!$M$27,Inputs!$B$4="Chapter Hunt"),CHOOSE(ArtifactsInput!$N$27+1,20,24,28,32,36,40),0)/100)))+1)),0)</f>
        <v/>
      </c>
      <c r="S496">
        <f>IFERROR(O496/N496,0)</f>
        <v/>
      </c>
      <c r="T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$21+Skills!Q7+(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Skills!A8</f>
        <v/>
      </c>
      <c r="B497">
        <f>Skills!B8</f>
        <v/>
      </c>
      <c r="C497">
        <f>Inputs!$B$3&gt;=110</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509=TRUE)*(F509-Calc!F20)),(Inputs!$B$23+0+(IF(ArtifactsInput!$M$15,CHOOSE(ArtifactsInput!$N$15+1,25,30,35,40,45,50)/100*(Inputs!$B$11-Inputs!$B$11),0))))/100+(Inputs!$B$23+0+(IF(ArtifactsInput!$M$15,CHOOSE(ArtifactsInput!$N$15+1,25,30,35,40,45,50)/100*(Inputs!$B$11-Inputs!$B$11),0)))/100)/2</f>
        <v/>
      </c>
      <c r="M497">
        <f>L497*(1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IF(B524=0,0,O497/B524)</f>
        <v/>
      </c>
      <c r="Q497">
        <f>IFERROR(1/(IF(Inputs!$B$38="pvp",15,MAX(0.1,Skills!D8-IF(Skills!E8=TRUE,Inputs!$B$32,0)))*(1-IF(AND(ArtifactsInput!$M$27,Inputs!$B$4="Chapter Hunt"),CHOOSE(ArtifactsInput!$N$27+1,20,24,28,32,36,40),0)/100)),0)</f>
        <v/>
      </c>
      <c r="R497">
        <f>IF(AND(Inputs!$B$38&lt;&gt;"pvp",Inputs!$B$43&gt;0),IF(MAX(0,Inputs!$B$43-B521)&lt;=0,0,(INT(MAX(0,Inputs!$B$43-B521)/(IF(Inputs!$B$38="pvp",15,MAX(0.1,Skills!D8-IF(Skills!E8=TRUE,Inputs!$B$32,0)))*(1-IF(AND(ArtifactsInput!$M$27,Inputs!$B$4="Chapter Hunt"),CHOOSE(ArtifactsInput!$N$27+1,20,24,28,32,36,40),0)/100)))+1)),0)</f>
        <v/>
      </c>
      <c r="S497">
        <f>IFERROR(O497/N497,0)</f>
        <v/>
      </c>
      <c r="T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$21+Skills!Q8+(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Skills!A9</f>
        <v/>
      </c>
      <c r="B498">
        <f>Skills!B9</f>
        <v/>
      </c>
      <c r="C498">
        <f>Inputs!$B$3&gt;=110</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509=TRUE)*(F509-Calc!F20)),(Inputs!$B$23+0+(IF(ArtifactsInput!$M$15,CHOOSE(ArtifactsInput!$N$15+1,25,30,35,40,45,50)/100*(Inputs!$B$11-Inputs!$B$11),0))))/100+(Inputs!$B$23+0+(IF(ArtifactsInput!$M$15,CHOOSE(ArtifactsInput!$N$15+1,25,30,35,40,45,50)/100*(Inputs!$B$11-Inputs!$B$11),0)))/100)/2</f>
        <v/>
      </c>
      <c r="M498">
        <f>L498*(1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8">
        <f>L498*(1-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IF(B524=0,0,O498/B524)</f>
        <v/>
      </c>
      <c r="Q498">
        <f>IFERROR(1/(IF(Inputs!$B$38="pvp",15,MAX(0.1,Skills!D9-IF(Skills!E9=TRUE,Inputs!$B$32,0)))*(1-IF(AND(ArtifactsInput!$M$27,Inputs!$B$4="Chapter Hunt"),CHOOSE(ArtifactsInput!$N$27+1,20,24,28,32,36,40),0)/100)),0)</f>
        <v/>
      </c>
      <c r="R498">
        <f>IF(AND(Inputs!$B$38&lt;&gt;"pvp",Inputs!$B$43&gt;0),IF(MAX(0,Inputs!$B$43-B521)&lt;=0,0,(INT(MAX(0,Inputs!$B$43-B521)/(IF(Inputs!$B$38="pvp",15,MAX(0.1,Skills!D9-IF(Skills!E9=TRUE,Inputs!$B$32,0)))*(1-IF(AND(ArtifactsInput!$M$27,Inputs!$B$4="Chapter Hunt"),CHOOSE(ArtifactsInput!$N$27+1,20,24,28,32,36,40),0)/100)))+1)),0)</f>
        <v/>
      </c>
      <c r="S498">
        <f>IFERROR(O498/N498,0)</f>
        <v/>
      </c>
      <c r="T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$21+Skills!Q9+(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Skills!A10</f>
        <v/>
      </c>
      <c r="B499">
        <f>Skills!B10</f>
        <v/>
      </c>
      <c r="C499">
        <f>Inputs!$B$3&gt;=103</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509=TRUE)*(F509-Calc!F20)),(Inputs!$B$23+0+(IF(ArtifactsInput!$M$15,CHOOSE(ArtifactsInput!$N$15+1,25,30,35,40,45,50)/100*(Inputs!$B$11-Inputs!$B$11),0))))/100+(Inputs!$B$23+0+(IF(ArtifactsInput!$M$15,CHOOSE(ArtifactsInput!$N$15+1,25,30,35,40,45,50)/100*(Inputs!$B$11-Inputs!$B$11),0)))/100)/2</f>
        <v/>
      </c>
      <c r="M499">
        <f>L499*(1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IF(B524=0,0,O499/B524)</f>
        <v/>
      </c>
      <c r="Q499">
        <f>IFERROR(1/(IF(Inputs!$B$38="pvp",15,MAX(0.1,Skills!D10-IF(Skills!E10=TRUE,Inputs!$B$32,0)))*(1-IF(AND(ArtifactsInput!$M$27,Inputs!$B$4="Chapter Hunt"),CHOOSE(ArtifactsInput!$N$27+1,20,24,28,32,36,40),0)/100)),0)</f>
        <v/>
      </c>
      <c r="R499">
        <f>IF(AND(Inputs!$B$38&lt;&gt;"pvp",Inputs!$B$43&gt;0),IF(MAX(0,Inputs!$B$43-B521)&lt;=0,0,(INT(MAX(0,Inputs!$B$43-B521)/(IF(Inputs!$B$38="pvp",15,MAX(0.1,Skills!D10-IF(Skills!E10=TRUE,Inputs!$B$32,0)))*(1-IF(AND(ArtifactsInput!$M$27,Inputs!$B$4="Chapter Hunt"),CHOOSE(ArtifactsInput!$N$27+1,20,24,28,32,36,40),0)/100)))+1)),0)</f>
        <v/>
      </c>
      <c r="S499">
        <f>IFERROR(O499/N499,0)</f>
        <v/>
      </c>
      <c r="T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$21+Skills!Q10+(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Skills!A11</f>
        <v/>
      </c>
      <c r="B500">
        <f>Skills!B11</f>
        <v/>
      </c>
      <c r="C500">
        <f>Inputs!$B$3&gt;=113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509=TRUE)*(F509-Calc!F20)),(Inputs!$B$23+0+(IF(ArtifactsInput!$M$15,CHOOSE(ArtifactsInput!$N$15+1,25,30,35,40,45,50)/100*(Inputs!$B$11-Inputs!$B$11),0))))/100+(Inputs!$B$23+0+(IF(ArtifactsInput!$M$15,CHOOSE(ArtifactsInput!$N$15+1,25,30,35,40,45,50)/100*(Inputs!$B$11-Inputs!$B$11),0)))/100)/2</f>
        <v/>
      </c>
      <c r="M500">
        <f>L500*(1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IF(B524=0,0,O500/B524)</f>
        <v/>
      </c>
      <c r="Q500">
        <f>IFERROR(1/(IF(Inputs!$B$38="pvp",15,MAX(0.1,Skills!D11-IF(Skills!E11=TRUE,Inputs!$B$32,0)))*(1-IF(AND(ArtifactsInput!$M$27,Inputs!$B$4="Chapter Hunt"),CHOOSE(ArtifactsInput!$N$27+1,20,24,28,32,36,40),0)/100)),0)</f>
        <v/>
      </c>
      <c r="R500">
        <f>IF(AND(Inputs!$B$38&lt;&gt;"pvp",Inputs!$B$43&gt;0),IF(MAX(0,Inputs!$B$43-B521)&lt;=0,0,(INT(MAX(0,Inputs!$B$43-B521)/(IF(Inputs!$B$38="pvp",15,MAX(0.1,Skills!D11-IF(Skills!E11=TRUE,Inputs!$B$32,0)))*(1-IF(AND(ArtifactsInput!$M$27,Inputs!$B$4="Chapter Hunt"),CHOOSE(ArtifactsInput!$N$27+1,20,24,28,32,36,40),0)/100)))+1)),0)</f>
        <v/>
      </c>
      <c r="S500">
        <f>IFERROR(O500/N500,0)</f>
        <v/>
      </c>
      <c r="T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$21+Skills!Q11+(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Skills!A13</f>
        <v/>
      </c>
      <c r="B502">
        <f>Skills!B13</f>
        <v/>
      </c>
      <c r="C502">
        <f>Inputs!$B$3&gt;=66</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f>(1-Summary!$B$11)*T502+Summary!$B$11*V502</f>
        <v/>
      </c>
      <c r="P502">
        <f>IF(B524=0,0,O502/B524)</f>
        <v/>
      </c>
      <c r="Q502" t="n">
        <v>0</v>
      </c>
      <c r="R502" t="n">
        <v>0</v>
      </c>
      <c r="S502">
        <f>IFERROR(O502/N502,0)</f>
        <v/>
      </c>
      <c r="T502" t="n">
        <v>0</v>
      </c>
      <c r="V502" t="n">
        <v>0</v>
      </c>
    </row>
    <row r="503">
      <c r="A503">
        <f>Skills!A14</f>
        <v/>
      </c>
      <c r="B503">
        <f>Skills!B14</f>
        <v/>
      </c>
      <c r="C503">
        <f>Inputs!$B$3&gt;=107</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f>(1-Summary!$B$11)*T503+Summary!$B$11*V503</f>
        <v/>
      </c>
      <c r="P503">
        <f>IF(B524=0,0,O503/B524)</f>
        <v/>
      </c>
      <c r="Q503" t="n">
        <v>0</v>
      </c>
      <c r="R503" t="n">
        <v>0</v>
      </c>
      <c r="S503">
        <f>IFERROR(O503/N503,0)</f>
        <v/>
      </c>
      <c r="T503" t="n">
        <v>0</v>
      </c>
      <c r="V503" t="n">
        <v>0</v>
      </c>
    </row>
    <row r="504">
      <c r="A504">
        <f>Skills!A15</f>
        <v/>
      </c>
      <c r="B504">
        <f>Skills!B15</f>
        <v/>
      </c>
      <c r="C504">
        <f>Inputs!$B$3&gt;=115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f>(1-Summary!$B$11)*T504+Summary!$B$11*V504</f>
        <v/>
      </c>
      <c r="P504">
        <f>IF(B524=0,0,O504/B524)</f>
        <v/>
      </c>
      <c r="Q504" t="n">
        <v>0</v>
      </c>
      <c r="R504" t="n">
        <v>0</v>
      </c>
      <c r="S504">
        <f>IFERROR(O504/N504,0)</f>
        <v/>
      </c>
      <c r="T504" t="n">
        <v>0</v>
      </c>
      <c r="V504" t="n">
        <v>0</v>
      </c>
    </row>
    <row r="505">
      <c r="A505">
        <f>Skills!A16</f>
        <v/>
      </c>
      <c r="B505">
        <f>Skills!B16</f>
        <v/>
      </c>
      <c r="C505">
        <f>Inputs!$B$3&gt;=15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f>(1-Summary!$B$11)*T505+Summary!$B$11*V505</f>
        <v/>
      </c>
      <c r="P505">
        <f>IF(B524=0,0,O505/B524)</f>
        <v/>
      </c>
      <c r="Q505" t="n">
        <v>0</v>
      </c>
      <c r="R505" t="n">
        <v>0</v>
      </c>
      <c r="S505">
        <f>IFERROR(O505/N505,0)</f>
        <v/>
      </c>
      <c r="T505" t="n">
        <v>0</v>
      </c>
      <c r="V505" t="n">
        <v>0</v>
      </c>
    </row>
    <row r="506">
      <c r="A506">
        <f>Skills!A17</f>
        <v/>
      </c>
      <c r="B506">
        <f>Skills!B17</f>
        <v/>
      </c>
      <c r="C506">
        <f>Inputs!$B$3&gt;=10</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f>(1-Summary!$B$11)*T506+Summary!$B$11*V506</f>
        <v/>
      </c>
      <c r="P506">
        <f>IF(B524=0,0,O506/B524)</f>
        <v/>
      </c>
      <c r="Q506" t="n">
        <v>0</v>
      </c>
      <c r="R506" t="n">
        <v>0</v>
      </c>
      <c r="S506">
        <f>IFERROR(O506/N506,0)</f>
        <v/>
      </c>
      <c r="T506" t="n">
        <v>0</v>
      </c>
      <c r="V506" t="n">
        <v>0</v>
      </c>
    </row>
    <row r="507">
      <c r="A507">
        <f>Skills!A18</f>
        <v/>
      </c>
      <c r="B507">
        <f>Skills!B18</f>
        <v/>
      </c>
      <c r="C507">
        <f>Inputs!$B$3&gt;=33</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f>(1-Summary!$B$11)*T507+Summary!$B$11*V507</f>
        <v/>
      </c>
      <c r="P507">
        <f>IF(B524=0,0,O507/B524)</f>
        <v/>
      </c>
      <c r="Q507" t="n">
        <v>0</v>
      </c>
      <c r="R507" t="n">
        <v>0</v>
      </c>
      <c r="S507">
        <f>IFERROR(O507/N507,0)</f>
        <v/>
      </c>
      <c r="T507" t="n">
        <v>0</v>
      </c>
      <c r="V507" t="n">
        <v>0</v>
      </c>
    </row>
    <row r="508">
      <c r="A508">
        <f>Skills!A19</f>
        <v/>
      </c>
      <c r="B508">
        <f>Skills!B19</f>
        <v/>
      </c>
      <c r="C508">
        <f>Inputs!$B$3&gt;=40</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f>(1-Summary!$B$11)*T508+Summary!$B$11*V508</f>
        <v/>
      </c>
      <c r="P508">
        <f>IF(B524=0,0,O508/B524)</f>
        <v/>
      </c>
      <c r="Q508" t="n">
        <v>0</v>
      </c>
      <c r="R508" t="n">
        <v>0</v>
      </c>
      <c r="S508">
        <f>IFERROR(O508/N508,0)</f>
        <v/>
      </c>
      <c r="T508" t="n">
        <v>0</v>
      </c>
      <c r="V508" t="n">
        <v>0</v>
      </c>
    </row>
    <row r="509">
      <c r="A509">
        <f>Skills!A20</f>
        <v/>
      </c>
      <c r="B509">
        <f>Skills!B20</f>
        <v/>
      </c>
      <c r="C509">
        <f>Inputs!$B$3&gt;=43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f>(1-Summary!$B$11)*T509+Summary!$B$11*V509</f>
        <v/>
      </c>
      <c r="P509">
        <f>IF(B524=0,0,O509/B524)</f>
        <v/>
      </c>
      <c r="Q509" t="n">
        <v>0</v>
      </c>
      <c r="R509" t="n">
        <v>0</v>
      </c>
      <c r="S509">
        <f>IFERROR(O509/N509,0)</f>
        <v/>
      </c>
      <c r="T509" t="n">
        <v>0</v>
      </c>
      <c r="V509" t="n">
        <v>0</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f>(1-Summary!$B$11)*T510+Summary!$B$11*V510</f>
        <v/>
      </c>
      <c r="P510">
        <f>IF(B524=0,0,O510/B524)</f>
        <v/>
      </c>
      <c r="Q510" t="n">
        <v>0</v>
      </c>
      <c r="R510" t="n">
        <v>0</v>
      </c>
      <c r="S510">
        <f>IFERROR(O510/N510,0)</f>
        <v/>
      </c>
      <c r="T510" t="n">
        <v>0</v>
      </c>
      <c r="V510" t="n">
        <v>0</v>
      </c>
    </row>
    <row r="511">
      <c r="A511">
        <f>Skills!A22</f>
        <v/>
      </c>
      <c r="B511">
        <f>Skills!B22</f>
        <v/>
      </c>
      <c r="C511">
        <f>Inputs!$B$3&gt;=75</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f>(1-Summary!$B$11)*T511+Summary!$B$11*V511</f>
        <v/>
      </c>
      <c r="P511">
        <f>IF(B524=0,0,O511/B524)</f>
        <v/>
      </c>
      <c r="Q511" t="n">
        <v>0</v>
      </c>
      <c r="R511" t="n">
        <v>0</v>
      </c>
      <c r="S511">
        <f>IFERROR(O511/N511,0)</f>
        <v/>
      </c>
      <c r="T511" t="n">
        <v>0</v>
      </c>
      <c r="V511" t="n">
        <v>0</v>
      </c>
    </row>
    <row r="513">
      <c r="A513" t="inlineStr">
        <is>
          <t>Attack% Bucket Multiplier</t>
        </is>
      </c>
      <c r="B513">
        <f>(1+(((C502=TRUE)*F502)+((C508=TRUE)*(F508-Calc!F19))+(IF(ArtifactsInput!$M$21,CHOOSE(ArtifactsInput!$N$21+1,25,30,35,40,45,50)*(IF(OR(Inputs!$B$4="Chapter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4">
      <c r="A514" t="inlineStr">
        <is>
          <t>Global Crit Rate Bonus %</t>
        </is>
      </c>
      <c r="B514" t="n">
        <v>0</v>
      </c>
    </row>
    <row r="515">
      <c r="A515" t="inlineStr">
        <is>
          <t>Attack Speed Buff Bonus % (unused)</t>
        </is>
      </c>
      <c r="B515" t="n">
        <v>0</v>
      </c>
    </row>
    <row r="516">
      <c r="A516" t="inlineStr">
        <is>
          <t>Actions Per Second</t>
        </is>
      </c>
      <c r="B516">
        <f>1+MIN(150,150*(1-(1-(Inputs!$B$11+((C506=TRUE)*(F506-Calc!F17))+((C507=TRUE)*(F507-Calc!F18)))/150)*(1-B515/150)))/100</f>
        <v/>
      </c>
    </row>
    <row r="517">
      <c r="A517" t="inlineStr">
        <is>
          <t>Skill + Buff Cast Rate</t>
        </is>
      </c>
      <c r="B517">
        <f>IF(AND(Inputs!$B$38&lt;&gt;"pvp",Inputs!$B$43&gt;0),SUMPRODUCT((Skills!E2:E22=TRUE)*(C491:C511=TRUE)*R491:R511*Skills!F2:F22)/Inputs!$B$43,SUMPRODUCT((Skills!E2:E22=TRUE)*(C491:C511=TRUE)*Q491:Q511*Skills!F2:F22))</f>
        <v/>
      </c>
    </row>
    <row r="518">
      <c r="A518" t="inlineStr">
        <is>
          <t>Hook Bomber Casts Per Second</t>
        </is>
      </c>
      <c r="B518">
        <f>MAX(0,B516-B517)</f>
        <v/>
      </c>
    </row>
    <row r="519">
      <c r="A519" t="inlineStr">
        <is>
          <t>Global Critical Damage Bonus % (unused)</t>
        </is>
      </c>
      <c r="B519" t="n">
        <v>0</v>
      </c>
    </row>
    <row r="520">
      <c r="A520" t="inlineStr">
        <is>
          <t>Global Final Damage Bonus % (Serpent Scale + Crossbones + Time Leap + Speed Infusion)</t>
        </is>
      </c>
      <c r="B520">
        <f>((C494=TRUE)*F494*((10+IF(Inputs!$B$3&gt;=94,5,0))/((10+IF(Inputs!$B$3&gt;=94,5,0))+5/(B518*(1+IF(Inputs!$B$3&gt;=104,1,0))))))+((C503=TRUE)*F503)+((C504=TRUE)*F504)+((Inputs!$B$3&gt;=110)*20*(B516-1))</f>
        <v/>
      </c>
    </row>
    <row r="521">
      <c r="A521" t="inlineStr">
        <is>
          <t>Buff-Casting Startup Delay (s, fixed-duration only)</t>
        </is>
      </c>
      <c r="B521">
        <f>IF(AND(Inputs!$B$38&lt;&gt;"pvp",Inputs!$B$43&gt;0),SUMPRODUCT((Skills!T2:T22&gt;0)*(Skills!E2:E22=TRUE)*(C491:C511=TRUE))/B516,0)</f>
        <v/>
      </c>
    </row>
    <row r="522">
      <c r="A522" t="inlineStr">
        <is>
          <t>Boss-Only Total DPS (this block's swept value)</t>
        </is>
      </c>
      <c r="B522">
        <f>SUM(T491:T511)</f>
        <v/>
      </c>
    </row>
    <row r="523">
      <c r="A523" t="inlineStr">
        <is>
          <t>Normal-Only Total DPS (this block's swept value)</t>
        </is>
      </c>
      <c r="B523">
        <f>SUM(V491:V511)</f>
        <v/>
      </c>
    </row>
    <row r="524">
      <c r="A524" s="6" t="inlineStr">
        <is>
          <t>TOTAL DPS</t>
        </is>
      </c>
      <c r="B524" s="6">
        <f>SUM(O491:O511)</f>
        <v/>
      </c>
    </row>
    <row r="527">
      <c r="A527" s="6" t="inlineStr">
        <is>
          <t>Stat: ATTACK_SPEED % (diminishing returns, factor 150)</t>
        </is>
      </c>
    </row>
    <row r="528">
      <c r="A528" s="5" t="inlineStr">
        <is>
          <t>Key</t>
        </is>
      </c>
      <c r="B528" s="5" t="inlineStr">
        <is>
          <t>Name</t>
        </is>
      </c>
      <c r="C528" s="5" t="inlineStr">
        <is>
          <t>Unlocked</t>
        </is>
      </c>
      <c r="D528" s="5" t="inlineStr">
        <is>
          <t>InputLevel</t>
        </is>
      </c>
      <c r="E528" s="5" t="inlineStr">
        <is>
          <t>Factor</t>
        </is>
      </c>
      <c r="F528" s="5" t="inlineStr">
        <is>
          <t>CoefficientPercent</t>
        </is>
      </c>
      <c r="G528" s="5" t="inlineStr">
        <is>
          <t>EffectiveHits</t>
        </is>
      </c>
      <c r="H528" s="5" t="inlineStr">
        <is>
          <t>ProcProbability</t>
        </is>
      </c>
      <c r="I528" s="5" t="inlineStr">
        <is>
          <t>MapleHeroMultiplier</t>
        </is>
      </c>
      <c r="J528" s="5" t="inlineStr">
        <is>
          <t>BaseDamage</t>
        </is>
      </c>
      <c r="K528" s="5" t="inlineStr">
        <is>
          <t>BaseHitDamage</t>
        </is>
      </c>
      <c r="L528" s="5" t="inlineStr">
        <is>
          <t>NonCritAvg</t>
        </is>
      </c>
      <c r="M528" s="5" t="inlineStr">
        <is>
          <t>CritAvg</t>
        </is>
      </c>
      <c r="N528" s="5" t="inlineStr">
        <is>
          <t>ExpectedDamage(perHit)</t>
        </is>
      </c>
      <c r="O528" s="5" t="inlineStr">
        <is>
          <t>DPS</t>
        </is>
      </c>
      <c r="P528" s="5" t="inlineStr">
        <is>
          <t>% of Total</t>
        </is>
      </c>
      <c r="Q528" s="5" t="inlineStr">
        <is>
          <t>InvCooldown</t>
        </is>
      </c>
      <c r="R528" s="5" t="inlineStr">
        <is>
          <t>CastsInFight</t>
        </is>
      </c>
      <c r="S528" s="5"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C547=TRUE)*(F547-Calc!F20)),(Inputs!$B$23+0+(IF(ArtifactsInput!$M$15,CHOOSE(ArtifactsInput!$N$15+1,25,30,35,40,45,50)/100*(((1-(1-Inputs!$B$11/150)*(1-1/150))*150)-Inputs!$B$11),0))))/100+(Inputs!$B$23+0+(IF(ArtifactsInput!$M$15,CHOOSE(ArtifactsInput!$N$15+1,25,30,35,40,45,50)/100*(((1-(1-Inputs!$B$11/150)*(1-1/150))*150)-Inputs!$B$11),0)))/100)/2</f>
        <v/>
      </c>
      <c r="M529">
        <f>L529*(1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9">
        <f>L529*(1-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(1-Summary!$B$11)*T529+Summary!$B$11*V529</f>
        <v/>
      </c>
      <c r="P529">
        <f>IF(B562=0,0,O529/B562)</f>
        <v/>
      </c>
      <c r="Q529" t="n">
        <v>0</v>
      </c>
      <c r="R529" t="n">
        <v>0</v>
      </c>
      <c r="S529">
        <f>IFERROR(O529/N529,0)</f>
        <v/>
      </c>
      <c r="T529">
        <f>IF(C529,(Skills!G2*N529*B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9">
        <f>MAX(0,(Inputs!$B$3-100)*3)+Inputs!$B$28+Inputs!$B$29</f>
        <v/>
      </c>
      <c r="V529">
        <f>IF(C529,(Skills!G2*N529*B556)*IF(Inputs!$B$38="pvp",1,(1+(Inputs!$B$21+Skills!Q2+(IF(ArtifactsInput!$M$33,CHOOSE(ArtifactsInput!$N$33+1,30,36,42,48,54,60),0))+(IF(AND(ArtifactsInput!$M$35,Inputs!$B$4&lt;&gt;"Chapter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Skills!A3</f>
        <v/>
      </c>
      <c r="B530">
        <f>Skills!B3</f>
        <v/>
      </c>
      <c r="C530">
        <f>Inputs!$B$3&gt;=35</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f>Skills!G3*IF(Skills!H3&gt;0,Skills!I3/Skills!H3,1)</f>
        <v/>
      </c>
      <c r="H530">
        <f>1-(1-Skills!J3/100)^Skills!K3</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547=TRUE)*(F547-Calc!F20)),(Inputs!$B$23+0+(IF(ArtifactsInput!$M$15,CHOOSE(ArtifactsInput!$N$15+1,25,30,35,40,45,50)/100*(((1-(1-Inputs!$B$11/150)*(1-1/150))*150)-Inputs!$B$11),0))))/100+(Inputs!$B$23+0+(IF(ArtifactsInput!$M$15,CHOOSE(ArtifactsInput!$N$15+1,25,30,35,40,45,50)/100*(((1-(1-Inputs!$B$11/150)*(1-1/150))*150)-Inputs!$B$11),0)))/100)/2</f>
        <v/>
      </c>
      <c r="M530">
        <f>L530*(1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0">
        <f>L530*(1-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IF(B562=0,0,O530/B562)</f>
        <v/>
      </c>
      <c r="Q530" t="n">
        <v>0</v>
      </c>
      <c r="R530" t="n">
        <v>0</v>
      </c>
      <c r="S530">
        <f>IFERROR(O530/N530,0)</f>
        <v/>
      </c>
      <c r="T530">
        <f>IF(C530,(Skills!G3*H530*N530*B556)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0">
        <f>INDEX(FactorTable!$B$2:$Y$301, MATCH(ROUND(MIN(300,MAX(1,U529)),0), FactorTable!$A$2:$A$301,0), 22)</f>
        <v/>
      </c>
      <c r="V530">
        <f>IF(C530,(Skills!G3*H530*N530*B556)*IF(Inputs!$B$38="pvp",1,(1+(Inputs!$B$21+Skills!Q3+(IF(ArtifactsInput!$M$33,CHOOSE(ArtifactsInput!$N$33+1,30,36,42,48,54,60),0))+(IF(AND(ArtifactsInput!$M$35,Inputs!$B$4&lt;&gt;"Chapter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Skills!A4</f>
        <v/>
      </c>
      <c r="B531">
        <f>Skills!B4</f>
        <v/>
      </c>
      <c r="C531">
        <f>Inputs!$B$3&gt;=60</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539=TRUE,F539,0)/100)*(1+(IF(Skills!A4="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547=TRUE)*(F547-Calc!F20)),(Inputs!$B$23+0+(IF(ArtifactsInput!$M$15,CHOOSE(ArtifactsInput!$N$15+1,25,30,35,40,45,50)/100*(((1-(1-Inputs!$B$11/150)*(1-1/150))*150)-Inputs!$B$11),0))))/100+(Inputs!$B$23+0+(IF(ArtifactsInput!$M$15,CHOOSE(ArtifactsInput!$N$15+1,25,30,35,40,45,50)/100*(((1-(1-Inputs!$B$11/150)*(1-1/150))*150)-Inputs!$B$11),0)))/100)/2</f>
        <v/>
      </c>
      <c r="M531">
        <f>L531*(1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1">
        <f>L531*(1-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IF(B562=0,0,O531/B562)</f>
        <v/>
      </c>
      <c r="Q531" t="n">
        <v>0</v>
      </c>
      <c r="R531" t="n">
        <v>0</v>
      </c>
      <c r="S531">
        <f>IFERROR(O531/N531,0)</f>
        <v/>
      </c>
      <c r="T531">
        <f>IF(C531,(Skills!G4*H531*N531*B556)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1">
        <f>290*U530/1000</f>
        <v/>
      </c>
      <c r="V531">
        <f>IF(C531,(Skills!G4*H531*N531*B556)*IF(Inputs!$B$38="pvp",1,(1+(Inputs!$B$21+Skills!Q4+(IF(ArtifactsInput!$M$33,CHOOSE(ArtifactsInput!$N$33+1,30,36,42,48,54,60),0))+(IF(AND(ArtifactsInput!$M$35,Inputs!$B$4&lt;&gt;"Chapter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Skills!A5</f>
        <v/>
      </c>
      <c r="B532">
        <f>Skills!B5</f>
        <v/>
      </c>
      <c r="C532">
        <f>Inputs!$B$3&gt;=60</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t="inlineStr"/>
      <c r="K532" t="inlineStr"/>
      <c r="L532" t="inlineStr"/>
      <c r="M532" t="inlineStr"/>
      <c r="N532" t="inlineStr"/>
      <c r="O532">
        <f>(1-Summary!$B$11)*T532+Summary!$B$11*V532</f>
        <v/>
      </c>
      <c r="P532">
        <f>IF(B562=0,0,O532/B562)</f>
        <v/>
      </c>
      <c r="Q532" t="n">
        <v>0</v>
      </c>
      <c r="R532" t="n">
        <v>0</v>
      </c>
      <c r="S532">
        <f>IFERROR(O532/N532,0)</f>
        <v/>
      </c>
      <c r="T532" t="n">
        <v>0</v>
      </c>
      <c r="V532" t="n">
        <v>0</v>
      </c>
    </row>
    <row r="533">
      <c r="A533">
        <f>Skills!A6</f>
        <v/>
      </c>
      <c r="B533">
        <f>Skills!B6</f>
        <v/>
      </c>
      <c r="C533">
        <f>Inputs!$B$3&gt;=63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547=TRUE)*(F547-Calc!F20)),(Inputs!$B$23+0+(IF(ArtifactsInput!$M$15,CHOOSE(ArtifactsInput!$N$15+1,25,30,35,40,45,50)/100*(((1-(1-Inputs!$B$11/150)*(1-1/150))*150)-Inputs!$B$11),0))))/100+(Inputs!$B$23+0+(IF(ArtifactsInput!$M$15,CHOOSE(ArtifactsInput!$N$15+1,25,30,35,40,45,50)/100*(((1-(1-Inputs!$B$11/150)*(1-1/150))*150)-Inputs!$B$11),0)))/100)/2</f>
        <v/>
      </c>
      <c r="M533">
        <f>L533*(1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3">
        <f>L533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IF(B562=0,0,O533/B562)</f>
        <v/>
      </c>
      <c r="Q533">
        <f>IFERROR(1/(IF(Inputs!$B$38="pvp",15,MAX(0.1,Skills!D6-IF(Skills!E6=TRUE,Inputs!$B$32,0)))*(1-IF(AND(ArtifactsInput!$M$27,Inputs!$B$4="Chapter Hunt"),CHOOSE(ArtifactsInput!$N$27+1,20,24,28,32,36,40),0)/100)),0)</f>
        <v/>
      </c>
      <c r="R533">
        <f>IF(AND(Inputs!$B$38&lt;&gt;"pvp",Inputs!$B$43&gt;0),IF(MAX(0,Inputs!$B$43-B559)&lt;=0,0,(INT(MAX(0,Inputs!$B$43-B559)/(IF(Inputs!$B$38="pvp",15,MAX(0.1,Skills!D6-IF(Skills!E6=TRUE,Inputs!$B$32,0)))*(1-IF(AND(ArtifactsInput!$M$27,Inputs!$B$4="Chapter Hunt"),CHOOSE(ArtifactsInput!$N$27+1,20,24,28,32,36,40),0)/100)))+1)),0)</f>
        <v/>
      </c>
      <c r="S533">
        <f>IFERROR(O533/N533,0)</f>
        <v/>
      </c>
      <c r="T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$21+Skills!Q6+(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Skills!A7</f>
        <v/>
      </c>
      <c r="B534">
        <f>Skills!B7</f>
        <v/>
      </c>
      <c r="C534">
        <f>Inputs!$B$3&gt;=100</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C547=TRUE)*(F547-Calc!F20)),(Inputs!$B$23+0+(IF(ArtifactsInput!$M$15,CHOOSE(ArtifactsInput!$N$15+1,25,30,35,40,45,50)/100*(((1-(1-Inputs!$B$11/150)*(1-1/150))*150)-Inputs!$B$11),0))))/100+(Inputs!$B$23+0+(IF(ArtifactsInput!$M$15,CHOOSE(ArtifactsInput!$N$15+1,25,30,35,40,45,50)/100*(((1-(1-Inputs!$B$11/150)*(1-1/150))*150)-Inputs!$B$11),0)))/100)/2</f>
        <v/>
      </c>
      <c r="M534">
        <f>L534*(1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(1-Summary!$B$11)*T534+Summary!$B$11*V534</f>
        <v/>
      </c>
      <c r="P534">
        <f>IF(B562=0,0,O534/B562)</f>
        <v/>
      </c>
      <c r="Q534">
        <f>IFERROR(1/(IF(Inputs!$B$38="pvp",15,MAX(0.1,Skills!D7-IF(Skills!E7=TRUE,Inputs!$B$32,0)))*(1-IF(AND(ArtifactsInput!$M$27,Inputs!$B$4="Chapter Hunt"),CHOOSE(ArtifactsInput!$N$27+1,20,24,28,32,36,40),0)/100)),0)</f>
        <v/>
      </c>
      <c r="R534">
        <f>IF(AND(Inputs!$B$38&lt;&gt;"pvp",Inputs!$B$43&gt;0),IF(MAX(0,Inputs!$B$43-B559)&lt;=0,0,(INT(MAX(0,Inputs!$B$43-B559)/(IF(Inputs!$B$38="pvp",15,MAX(0.1,Skills!D7-IF(Skills!E7=TRUE,Inputs!$B$32,0)))*(1-IF(AND(ArtifactsInput!$M$27,Inputs!$B$4="Chapter Hunt"),CHOOSE(ArtifactsInput!$N$27+1,20,24,28,32,36,40),0)/100)))+1)),0)</f>
        <v/>
      </c>
      <c r="S534">
        <f>IFERROR(O534/N534,0)</f>
        <v/>
      </c>
      <c r="T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$21+Skills!Q7+(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Skills!A8</f>
        <v/>
      </c>
      <c r="B535">
        <f>Skills!B8</f>
        <v/>
      </c>
      <c r="C535">
        <f>Inputs!$B$3&gt;=110</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547=TRUE)*(F547-Calc!F20)),(Inputs!$B$23+0+(IF(ArtifactsInput!$M$15,CHOOSE(ArtifactsInput!$N$15+1,25,30,35,40,45,50)/100*(((1-(1-Inputs!$B$11/150)*(1-1/150))*150)-Inputs!$B$11),0))))/100+(Inputs!$B$23+0+(IF(ArtifactsInput!$M$15,CHOOSE(ArtifactsInput!$N$15+1,25,30,35,40,45,50)/100*(((1-(1-Inputs!$B$11/150)*(1-1/150))*150)-Inputs!$B$11),0)))/100)/2</f>
        <v/>
      </c>
      <c r="M535">
        <f>L535*(1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IF(B562=0,0,O535/B562)</f>
        <v/>
      </c>
      <c r="Q535">
        <f>IFERROR(1/(IF(Inputs!$B$38="pvp",15,MAX(0.1,Skills!D8-IF(Skills!E8=TRUE,Inputs!$B$32,0)))*(1-IF(AND(ArtifactsInput!$M$27,Inputs!$B$4="Chapter Hunt"),CHOOSE(ArtifactsInput!$N$27+1,20,24,28,32,36,40),0)/100)),0)</f>
        <v/>
      </c>
      <c r="R535">
        <f>IF(AND(Inputs!$B$38&lt;&gt;"pvp",Inputs!$B$43&gt;0),IF(MAX(0,Inputs!$B$43-B559)&lt;=0,0,(INT(MAX(0,Inputs!$B$43-B559)/(IF(Inputs!$B$38="pvp",15,MAX(0.1,Skills!D8-IF(Skills!E8=TRUE,Inputs!$B$32,0)))*(1-IF(AND(ArtifactsInput!$M$27,Inputs!$B$4="Chapter Hunt"),CHOOSE(ArtifactsInput!$N$27+1,20,24,28,32,36,40),0)/100)))+1)),0)</f>
        <v/>
      </c>
      <c r="S535">
        <f>IFERROR(O535/N535,0)</f>
        <v/>
      </c>
      <c r="T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$21+Skills!Q8+(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Skills!A9</f>
        <v/>
      </c>
      <c r="B536">
        <f>Skills!B9</f>
        <v/>
      </c>
      <c r="C536">
        <f>Inputs!$B$3&gt;=110</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547=TRUE)*(F547-Calc!F20)),(Inputs!$B$23+0+(IF(ArtifactsInput!$M$15,CHOOSE(ArtifactsInput!$N$15+1,25,30,35,40,45,50)/100*(((1-(1-Inputs!$B$11/150)*(1-1/150))*150)-Inputs!$B$11),0))))/100+(Inputs!$B$23+0+(IF(ArtifactsInput!$M$15,CHOOSE(ArtifactsInput!$N$15+1,25,30,35,40,45,50)/100*(((1-(1-Inputs!$B$11/150)*(1-1/150))*150)-Inputs!$B$11),0)))/100)/2</f>
        <v/>
      </c>
      <c r="M536">
        <f>L536*(1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6">
        <f>L536*(1-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IF(B562=0,0,O536/B562)</f>
        <v/>
      </c>
      <c r="Q536">
        <f>IFERROR(1/(IF(Inputs!$B$38="pvp",15,MAX(0.1,Skills!D9-IF(Skills!E9=TRUE,Inputs!$B$32,0)))*(1-IF(AND(ArtifactsInput!$M$27,Inputs!$B$4="Chapter Hunt"),CHOOSE(ArtifactsInput!$N$27+1,20,24,28,32,36,40),0)/100)),0)</f>
        <v/>
      </c>
      <c r="R536">
        <f>IF(AND(Inputs!$B$38&lt;&gt;"pvp",Inputs!$B$43&gt;0),IF(MAX(0,Inputs!$B$43-B559)&lt;=0,0,(INT(MAX(0,Inputs!$B$43-B559)/(IF(Inputs!$B$38="pvp",15,MAX(0.1,Skills!D9-IF(Skills!E9=TRUE,Inputs!$B$32,0)))*(1-IF(AND(ArtifactsInput!$M$27,Inputs!$B$4="Chapter Hunt"),CHOOSE(ArtifactsInput!$N$27+1,20,24,28,32,36,40),0)/100)))+1)),0)</f>
        <v/>
      </c>
      <c r="S536">
        <f>IFERROR(O536/N536,0)</f>
        <v/>
      </c>
      <c r="T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$21+Skills!Q9+(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Skills!A10</f>
        <v/>
      </c>
      <c r="B537">
        <f>Skills!B10</f>
        <v/>
      </c>
      <c r="C537">
        <f>Inputs!$B$3&gt;=103</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547=TRUE)*(F547-Calc!F20)),(Inputs!$B$23+0+(IF(ArtifactsInput!$M$15,CHOOSE(ArtifactsInput!$N$15+1,25,30,35,40,45,50)/100*(((1-(1-Inputs!$B$11/150)*(1-1/150))*150)-Inputs!$B$11),0))))/100+(Inputs!$B$23+0+(IF(ArtifactsInput!$M$15,CHOOSE(ArtifactsInput!$N$15+1,25,30,35,40,45,50)/100*(((1-(1-Inputs!$B$11/150)*(1-1/150))*150)-Inputs!$B$11),0)))/100)/2</f>
        <v/>
      </c>
      <c r="M537">
        <f>L537*(1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IF(B562=0,0,O537/B562)</f>
        <v/>
      </c>
      <c r="Q537">
        <f>IFERROR(1/(IF(Inputs!$B$38="pvp",15,MAX(0.1,Skills!D10-IF(Skills!E10=TRUE,Inputs!$B$32,0)))*(1-IF(AND(ArtifactsInput!$M$27,Inputs!$B$4="Chapter Hunt"),CHOOSE(ArtifactsInput!$N$27+1,20,24,28,32,36,40),0)/100)),0)</f>
        <v/>
      </c>
      <c r="R537">
        <f>IF(AND(Inputs!$B$38&lt;&gt;"pvp",Inputs!$B$43&gt;0),IF(MAX(0,Inputs!$B$43-B559)&lt;=0,0,(INT(MAX(0,Inputs!$B$43-B559)/(IF(Inputs!$B$38="pvp",15,MAX(0.1,Skills!D10-IF(Skills!E10=TRUE,Inputs!$B$32,0)))*(1-IF(AND(ArtifactsInput!$M$27,Inputs!$B$4="Chapter Hunt"),CHOOSE(ArtifactsInput!$N$27+1,20,24,28,32,36,40),0)/100)))+1)),0)</f>
        <v/>
      </c>
      <c r="S537">
        <f>IFERROR(O537/N537,0)</f>
        <v/>
      </c>
      <c r="T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$21+Skills!Q10+(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Skills!A11</f>
        <v/>
      </c>
      <c r="B538">
        <f>Skills!B11</f>
        <v/>
      </c>
      <c r="C538">
        <f>Inputs!$B$3&gt;=113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547=TRUE)*(F547-Calc!F20)),(Inputs!$B$23+0+(IF(ArtifactsInput!$M$15,CHOOSE(ArtifactsInput!$N$15+1,25,30,35,40,45,50)/100*(((1-(1-Inputs!$B$11/150)*(1-1/150))*150)-Inputs!$B$11),0))))/100+(Inputs!$B$23+0+(IF(ArtifactsInput!$M$15,CHOOSE(ArtifactsInput!$N$15+1,25,30,35,40,45,50)/100*(((1-(1-Inputs!$B$11/150)*(1-1/150))*150)-Inputs!$B$11),0)))/100)/2</f>
        <v/>
      </c>
      <c r="M538">
        <f>L538*(1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IF(B562=0,0,O538/B562)</f>
        <v/>
      </c>
      <c r="Q538">
        <f>IFERROR(1/(IF(Inputs!$B$38="pvp",15,MAX(0.1,Skills!D11-IF(Skills!E11=TRUE,Inputs!$B$32,0)))*(1-IF(AND(ArtifactsInput!$M$27,Inputs!$B$4="Chapter Hunt"),CHOOSE(ArtifactsInput!$N$27+1,20,24,28,32,36,40),0)/100)),0)</f>
        <v/>
      </c>
      <c r="R538">
        <f>IF(AND(Inputs!$B$38&lt;&gt;"pvp",Inputs!$B$43&gt;0),IF(MAX(0,Inputs!$B$43-B559)&lt;=0,0,(INT(MAX(0,Inputs!$B$43-B559)/(IF(Inputs!$B$38="pvp",15,MAX(0.1,Skills!D11-IF(Skills!E11=TRUE,Inputs!$B$32,0)))*(1-IF(AND(ArtifactsInput!$M$27,Inputs!$B$4="Chapter Hunt"),CHOOSE(ArtifactsInput!$N$27+1,20,24,28,32,36,40),0)/100)))+1)),0)</f>
        <v/>
      </c>
      <c r="S538">
        <f>IFERROR(O538/N538,0)</f>
        <v/>
      </c>
      <c r="T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$21+Skills!Q11+(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c r="T539" t="inlineStr"/>
      <c r="V539" t="inlineStr"/>
    </row>
    <row r="540">
      <c r="A540">
        <f>Skills!A13</f>
        <v/>
      </c>
      <c r="B540">
        <f>Skills!B13</f>
        <v/>
      </c>
      <c r="C540">
        <f>Inputs!$B$3&gt;=66</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f>(1-Summary!$B$11)*T540+Summary!$B$11*V540</f>
        <v/>
      </c>
      <c r="P540">
        <f>IF(B562=0,0,O540/B562)</f>
        <v/>
      </c>
      <c r="Q540" t="n">
        <v>0</v>
      </c>
      <c r="R540" t="n">
        <v>0</v>
      </c>
      <c r="S540">
        <f>IFERROR(O540/N540,0)</f>
        <v/>
      </c>
      <c r="T540" t="n">
        <v>0</v>
      </c>
      <c r="V540" t="n">
        <v>0</v>
      </c>
    </row>
    <row r="541">
      <c r="A541">
        <f>Skills!A14</f>
        <v/>
      </c>
      <c r="B541">
        <f>Skills!B14</f>
        <v/>
      </c>
      <c r="C541">
        <f>Inputs!$B$3&gt;=107</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f>(1-Summary!$B$11)*T541+Summary!$B$11*V541</f>
        <v/>
      </c>
      <c r="P541">
        <f>IF(B562=0,0,O541/B562)</f>
        <v/>
      </c>
      <c r="Q541" t="n">
        <v>0</v>
      </c>
      <c r="R541" t="n">
        <v>0</v>
      </c>
      <c r="S541">
        <f>IFERROR(O541/N541,0)</f>
        <v/>
      </c>
      <c r="T541" t="n">
        <v>0</v>
      </c>
      <c r="V541" t="n">
        <v>0</v>
      </c>
    </row>
    <row r="542">
      <c r="A542">
        <f>Skills!A15</f>
        <v/>
      </c>
      <c r="B542">
        <f>Skills!B15</f>
        <v/>
      </c>
      <c r="C542">
        <f>Inputs!$B$3&gt;=115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f>(1-Summary!$B$11)*T542+Summary!$B$11*V542</f>
        <v/>
      </c>
      <c r="P542">
        <f>IF(B562=0,0,O542/B562)</f>
        <v/>
      </c>
      <c r="Q542" t="n">
        <v>0</v>
      </c>
      <c r="R542" t="n">
        <v>0</v>
      </c>
      <c r="S542">
        <f>IFERROR(O542/N542,0)</f>
        <v/>
      </c>
      <c r="T542" t="n">
        <v>0</v>
      </c>
      <c r="V542" t="n">
        <v>0</v>
      </c>
    </row>
    <row r="543">
      <c r="A543">
        <f>Skills!A16</f>
        <v/>
      </c>
      <c r="B543">
        <f>Skills!B16</f>
        <v/>
      </c>
      <c r="C543">
        <f>Inputs!$B$3&gt;=15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f>(1-Summary!$B$11)*T543+Summary!$B$11*V543</f>
        <v/>
      </c>
      <c r="P543">
        <f>IF(B562=0,0,O543/B562)</f>
        <v/>
      </c>
      <c r="Q543" t="n">
        <v>0</v>
      </c>
      <c r="R543" t="n">
        <v>0</v>
      </c>
      <c r="S543">
        <f>IFERROR(O543/N543,0)</f>
        <v/>
      </c>
      <c r="T543" t="n">
        <v>0</v>
      </c>
      <c r="V543" t="n">
        <v>0</v>
      </c>
    </row>
    <row r="544">
      <c r="A544">
        <f>Skills!A17</f>
        <v/>
      </c>
      <c r="B544">
        <f>Skills!B17</f>
        <v/>
      </c>
      <c r="C544">
        <f>Inputs!$B$3&gt;=10</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f>(1-Summary!$B$11)*T544+Summary!$B$11*V544</f>
        <v/>
      </c>
      <c r="P544">
        <f>IF(B562=0,0,O544/B562)</f>
        <v/>
      </c>
      <c r="Q544" t="n">
        <v>0</v>
      </c>
      <c r="R544" t="n">
        <v>0</v>
      </c>
      <c r="S544">
        <f>IFERROR(O544/N544,0)</f>
        <v/>
      </c>
      <c r="T544" t="n">
        <v>0</v>
      </c>
      <c r="V544" t="n">
        <v>0</v>
      </c>
    </row>
    <row r="545">
      <c r="A545">
        <f>Skills!A18</f>
        <v/>
      </c>
      <c r="B545">
        <f>Skills!B18</f>
        <v/>
      </c>
      <c r="C545">
        <f>Inputs!$B$3&gt;=33</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f>(1-Summary!$B$11)*T545+Summary!$B$11*V545</f>
        <v/>
      </c>
      <c r="P545">
        <f>IF(B562=0,0,O545/B562)</f>
        <v/>
      </c>
      <c r="Q545" t="n">
        <v>0</v>
      </c>
      <c r="R545" t="n">
        <v>0</v>
      </c>
      <c r="S545">
        <f>IFERROR(O545/N545,0)</f>
        <v/>
      </c>
      <c r="T545" t="n">
        <v>0</v>
      </c>
      <c r="V545" t="n">
        <v>0</v>
      </c>
    </row>
    <row r="546">
      <c r="A546">
        <f>Skills!A19</f>
        <v/>
      </c>
      <c r="B546">
        <f>Skills!B19</f>
        <v/>
      </c>
      <c r="C546">
        <f>Inputs!$B$3&gt;=40</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f>(1-Summary!$B$11)*T546+Summary!$B$11*V546</f>
        <v/>
      </c>
      <c r="P546">
        <f>IF(B562=0,0,O546/B562)</f>
        <v/>
      </c>
      <c r="Q546" t="n">
        <v>0</v>
      </c>
      <c r="R546" t="n">
        <v>0</v>
      </c>
      <c r="S546">
        <f>IFERROR(O546/N546,0)</f>
        <v/>
      </c>
      <c r="T546" t="n">
        <v>0</v>
      </c>
      <c r="V546" t="n">
        <v>0</v>
      </c>
    </row>
    <row r="547">
      <c r="A547">
        <f>Skills!A20</f>
        <v/>
      </c>
      <c r="B547">
        <f>Skills!B20</f>
        <v/>
      </c>
      <c r="C547">
        <f>Inputs!$B$3&gt;=43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f>(1-Summary!$B$11)*T547+Summary!$B$11*V547</f>
        <v/>
      </c>
      <c r="P547">
        <f>IF(B562=0,0,O547/B562)</f>
        <v/>
      </c>
      <c r="Q547" t="n">
        <v>0</v>
      </c>
      <c r="R547" t="n">
        <v>0</v>
      </c>
      <c r="S547">
        <f>IFERROR(O547/N547,0)</f>
        <v/>
      </c>
      <c r="T547" t="n">
        <v>0</v>
      </c>
      <c r="V547" t="n">
        <v>0</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f>(1-Summary!$B$11)*T548+Summary!$B$11*V548</f>
        <v/>
      </c>
      <c r="P548">
        <f>IF(B562=0,0,O548/B562)</f>
        <v/>
      </c>
      <c r="Q548" t="n">
        <v>0</v>
      </c>
      <c r="R548" t="n">
        <v>0</v>
      </c>
      <c r="S548">
        <f>IFERROR(O548/N548,0)</f>
        <v/>
      </c>
      <c r="T548" t="n">
        <v>0</v>
      </c>
      <c r="V548" t="n">
        <v>0</v>
      </c>
    </row>
    <row r="549">
      <c r="A549">
        <f>Skills!A22</f>
        <v/>
      </c>
      <c r="B549">
        <f>Skills!B22</f>
        <v/>
      </c>
      <c r="C549">
        <f>Inputs!$B$3&gt;=75</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f>(1-Summary!$B$11)*T549+Summary!$B$11*V549</f>
        <v/>
      </c>
      <c r="P549">
        <f>IF(B562=0,0,O549/B562)</f>
        <v/>
      </c>
      <c r="Q549" t="n">
        <v>0</v>
      </c>
      <c r="R549" t="n">
        <v>0</v>
      </c>
      <c r="S549">
        <f>IFERROR(O549/N549,0)</f>
        <v/>
      </c>
      <c r="T549" t="n">
        <v>0</v>
      </c>
      <c r="V549" t="n">
        <v>0</v>
      </c>
    </row>
    <row r="551">
      <c r="A551" t="inlineStr">
        <is>
          <t>Attack% Bucket Multiplier</t>
        </is>
      </c>
      <c r="B551">
        <f>(1+(((C540=TRUE)*F540)+((C546=TRUE)*(F546-Calc!F19))+(IF(ArtifactsInput!$M$21,CHOOSE(ArtifactsInput!$N$21+1,25,30,35,40,45,50)*(IF(OR(Inputs!$B$4="Chapter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2">
      <c r="A552" t="inlineStr">
        <is>
          <t>Global Crit Rate Bonus %</t>
        </is>
      </c>
      <c r="B552" t="n">
        <v>0</v>
      </c>
    </row>
    <row r="553">
      <c r="A553" t="inlineStr">
        <is>
          <t>Attack Speed Buff Bonus % (unused)</t>
        </is>
      </c>
      <c r="B553" t="n">
        <v>0</v>
      </c>
    </row>
    <row r="554">
      <c r="A554" t="inlineStr">
        <is>
          <t>Actions Per Second</t>
        </is>
      </c>
      <c r="B554">
        <f>1+MIN(150,150*(1-(1-(((1-(1-Inputs!$B$11/150)*(1-1/150))*150)+((C544=TRUE)*(F544-Calc!F17))+((C545=TRUE)*(F545-Calc!F18)))/150)*(1-B553/150)))/100</f>
        <v/>
      </c>
    </row>
    <row r="555">
      <c r="A555" t="inlineStr">
        <is>
          <t>Skill + Buff Cast Rate</t>
        </is>
      </c>
      <c r="B555">
        <f>IF(AND(Inputs!$B$38&lt;&gt;"pvp",Inputs!$B$43&gt;0),SUMPRODUCT((Skills!E2:E22=TRUE)*(C529:C549=TRUE)*R529:R549*Skills!F2:F22)/Inputs!$B$43,SUMPRODUCT((Skills!E2:E22=TRUE)*(C529:C549=TRUE)*Q529:Q549*Skills!F2:F22))</f>
        <v/>
      </c>
    </row>
    <row r="556">
      <c r="A556" t="inlineStr">
        <is>
          <t>Hook Bomber Casts Per Second</t>
        </is>
      </c>
      <c r="B556">
        <f>MAX(0,B554-B555)</f>
        <v/>
      </c>
    </row>
    <row r="557">
      <c r="A557" t="inlineStr">
        <is>
          <t>Global Critical Damage Bonus % (unused)</t>
        </is>
      </c>
      <c r="B557" t="n">
        <v>0</v>
      </c>
    </row>
    <row r="558">
      <c r="A558" t="inlineStr">
        <is>
          <t>Global Final Damage Bonus % (Serpent Scale + Crossbones + Time Leap + Speed Infusion)</t>
        </is>
      </c>
      <c r="B558">
        <f>((C532=TRUE)*F532*((10+IF(Inputs!$B$3&gt;=94,5,0))/((10+IF(Inputs!$B$3&gt;=94,5,0))+5/(B556*(1+IF(Inputs!$B$3&gt;=104,1,0))))))+((C541=TRUE)*F541)+((C542=TRUE)*F542)+((Inputs!$B$3&gt;=110)*20*(B554-1))</f>
        <v/>
      </c>
    </row>
    <row r="559">
      <c r="A559" t="inlineStr">
        <is>
          <t>Buff-Casting Startup Delay (s, fixed-duration only)</t>
        </is>
      </c>
      <c r="B559">
        <f>IF(AND(Inputs!$B$38&lt;&gt;"pvp",Inputs!$B$43&gt;0),SUMPRODUCT((Skills!T2:T22&gt;0)*(Skills!E2:E22=TRUE)*(C529:C549=TRUE))/B554,0)</f>
        <v/>
      </c>
    </row>
    <row r="560">
      <c r="A560" t="inlineStr">
        <is>
          <t>Boss-Only Total DPS (this block's swept value)</t>
        </is>
      </c>
      <c r="B560">
        <f>SUM(T529:T549)</f>
        <v/>
      </c>
    </row>
    <row r="561">
      <c r="A561" t="inlineStr">
        <is>
          <t>Normal-Only Total DPS (this block's swept value)</t>
        </is>
      </c>
      <c r="B561">
        <f>SUM(V529:V549)</f>
        <v/>
      </c>
    </row>
    <row r="562">
      <c r="A562" s="6" t="inlineStr">
        <is>
          <t>TOTAL DPS</t>
        </is>
      </c>
      <c r="B562" s="6">
        <f>SUM(O529:O549)</f>
        <v/>
      </c>
    </row>
    <row r="565">
      <c r="A565" s="6" t="inlineStr">
        <is>
          <t>Stat: DEF_PEN % (diminishing returns, factor 100)</t>
        </is>
      </c>
    </row>
    <row r="566">
      <c r="A566" s="5" t="inlineStr">
        <is>
          <t>Key</t>
        </is>
      </c>
      <c r="B566" s="5" t="inlineStr">
        <is>
          <t>Name</t>
        </is>
      </c>
      <c r="C566" s="5" t="inlineStr">
        <is>
          <t>Unlocked</t>
        </is>
      </c>
      <c r="D566" s="5" t="inlineStr">
        <is>
          <t>InputLevel</t>
        </is>
      </c>
      <c r="E566" s="5" t="inlineStr">
        <is>
          <t>Factor</t>
        </is>
      </c>
      <c r="F566" s="5" t="inlineStr">
        <is>
          <t>CoefficientPercent</t>
        </is>
      </c>
      <c r="G566" s="5" t="inlineStr">
        <is>
          <t>EffectiveHits</t>
        </is>
      </c>
      <c r="H566" s="5" t="inlineStr">
        <is>
          <t>ProcProbability</t>
        </is>
      </c>
      <c r="I566" s="5" t="inlineStr">
        <is>
          <t>MapleHeroMultiplier</t>
        </is>
      </c>
      <c r="J566" s="5" t="inlineStr">
        <is>
          <t>BaseDamage</t>
        </is>
      </c>
      <c r="K566" s="5" t="inlineStr">
        <is>
          <t>BaseHitDamage</t>
        </is>
      </c>
      <c r="L566" s="5" t="inlineStr">
        <is>
          <t>NonCritAvg</t>
        </is>
      </c>
      <c r="M566" s="5" t="inlineStr">
        <is>
          <t>CritAvg</t>
        </is>
      </c>
      <c r="N566" s="5" t="inlineStr">
        <is>
          <t>ExpectedDamage(perHit)</t>
        </is>
      </c>
      <c r="O566" s="5" t="inlineStr">
        <is>
          <t>DPS</t>
        </is>
      </c>
      <c r="P566" s="5" t="inlineStr">
        <is>
          <t>% of Total</t>
        </is>
      </c>
      <c r="Q566" s="5" t="inlineStr">
        <is>
          <t>InvCooldown</t>
        </is>
      </c>
      <c r="R566" s="5" t="inlineStr">
        <is>
          <t>CastsInFight</t>
        </is>
      </c>
      <c r="S566" s="5"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585=TRUE)*(F585-Calc!F20)),(Inputs!$B$23+0+(IF(ArtifactsInput!$M$15,CHOOSE(ArtifactsInput!$N$15+1,25,30,35,40,45,50)/100*(Inputs!$B$11-Inputs!$B$11),0))))/100+(Inputs!$B$23+0+(IF(ArtifactsInput!$M$15,CHOOSE(ArtifactsInput!$N$15+1,25,30,35,40,45,50)/100*(Inputs!$B$11-Inputs!$B$11),0)))/100)/2</f>
        <v/>
      </c>
      <c r="M567">
        <f>L567*(1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IF(B600=0,0,O567/B600)</f>
        <v/>
      </c>
      <c r="Q567" t="n">
        <v>0</v>
      </c>
      <c r="R567" t="n">
        <v>0</v>
      </c>
      <c r="S567">
        <f>IFERROR(O567/N567,0)</f>
        <v/>
      </c>
      <c r="T567">
        <f>IF(C567,(Skills!G2*N567*B594)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MAX(0,(Inputs!$B$3-100)*3)+Inputs!$B$28+Inputs!$B$29</f>
        <v/>
      </c>
      <c r="V567">
        <f>IF(C567,(Skills!G2*N567*B594)*IF(Inputs!$B$38="pvp",1,(1+(Inputs!$B$21+Skills!Q2+(IF(ArtifactsInput!$M$33,CHOOSE(ArtifactsInput!$N$33+1,30,36,42,48,54,60),0))+(IF(AND(ArtifactsInput!$M$35,Inputs!$B$4&lt;&gt;"Chapter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Skills!A3</f>
        <v/>
      </c>
      <c r="B568">
        <f>Skills!B3</f>
        <v/>
      </c>
      <c r="C568">
        <f>Inputs!$B$3&gt;=35</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f>Skills!G3*IF(Skills!H3&gt;0,Skills!I3/Skills!H3,1)</f>
        <v/>
      </c>
      <c r="H568">
        <f>1-(1-Skills!J3/100)^Skills!K3</f>
        <v/>
      </c>
      <c r="I568" t="inlineStr">
        <is>
          <t>1</t>
        </is>
      </c>
      <c r="J568">
        <f>((Inputs!$B$6*(1+Inputs!$B$7/100))+(((Inputs!$B$12*(1+Inputs!$B$13/100))-(Inputs!$B$12*(1+Inputs!$B$13/100)))+0.25*(Inputs!$B$14-Inputs!$B$14))*(1+Inputs!$B$7/100))*(F568/100)</f>
        <v/>
      </c>
      <c r="K568">
        <f>J568*(1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585=TRUE)*(F585-Calc!F20)),(Inputs!$B$23+0+(IF(ArtifactsInput!$M$15,CHOOSE(ArtifactsInput!$N$15+1,25,30,35,40,45,50)/100*(Inputs!$B$11-Inputs!$B$11),0))))/100+(Inputs!$B$23+0+(IF(ArtifactsInput!$M$15,CHOOSE(ArtifactsInput!$N$15+1,25,30,35,40,45,50)/100*(Inputs!$B$11-Inputs!$B$11),0)))/100)/2</f>
        <v/>
      </c>
      <c r="M568">
        <f>L568*(1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IF(B600=0,0,O568/B600)</f>
        <v/>
      </c>
      <c r="Q568" t="n">
        <v>0</v>
      </c>
      <c r="R568" t="n">
        <v>0</v>
      </c>
      <c r="S568">
        <f>IFERROR(O568/N568,0)</f>
        <v/>
      </c>
      <c r="T568">
        <f>IF(C568,(Skills!G3*H568*N568*B594)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INDEX(FactorTable!$B$2:$Y$301, MATCH(ROUND(MIN(300,MAX(1,U567)),0), FactorTable!$A$2:$A$301,0), 22)</f>
        <v/>
      </c>
      <c r="V568">
        <f>IF(C568,(Skills!G3*H568*N568*B594)*IF(Inputs!$B$38="pvp",1,(1+(Inputs!$B$21+Skills!Q3+(IF(ArtifactsInput!$M$33,CHOOSE(ArtifactsInput!$N$33+1,30,36,42,48,54,60),0))+(IF(AND(ArtifactsInput!$M$35,Inputs!$B$4&lt;&gt;"Chapter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Skills!A4</f>
        <v/>
      </c>
      <c r="B569">
        <f>Skills!B4</f>
        <v/>
      </c>
      <c r="C569">
        <f>Inputs!$B$3&gt;=60</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577=TRUE,F577,0)/100)*(1+(IF(Skills!A4="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585=TRUE)*(F585-Calc!F20)),(Inputs!$B$23+0+(IF(ArtifactsInput!$M$15,CHOOSE(ArtifactsInput!$N$15+1,25,30,35,40,45,50)/100*(Inputs!$B$11-Inputs!$B$11),0))))/100+(Inputs!$B$23+0+(IF(ArtifactsInput!$M$15,CHOOSE(ArtifactsInput!$N$15+1,25,30,35,40,45,50)/100*(Inputs!$B$11-Inputs!$B$11),0)))/100)/2</f>
        <v/>
      </c>
      <c r="M569">
        <f>L569*(1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IF(B600=0,0,O569/B600)</f>
        <v/>
      </c>
      <c r="Q569" t="n">
        <v>0</v>
      </c>
      <c r="R569" t="n">
        <v>0</v>
      </c>
      <c r="S569">
        <f>IFERROR(O569/N569,0)</f>
        <v/>
      </c>
      <c r="T569">
        <f>IF(C569,(Skills!G4*H569*N569*B594)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290*U568/1000</f>
        <v/>
      </c>
      <c r="V569">
        <f>IF(C569,(Skills!G4*H569*N569*B594)*IF(Inputs!$B$38="pvp",1,(1+(Inputs!$B$21+Skills!Q4+(IF(ArtifactsInput!$M$33,CHOOSE(ArtifactsInput!$N$33+1,30,36,42,48,54,60),0))+(IF(AND(ArtifactsInput!$M$35,Inputs!$B$4&lt;&gt;"Chapter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Skills!A5</f>
        <v/>
      </c>
      <c r="B570">
        <f>Skills!B5</f>
        <v/>
      </c>
      <c r="C570">
        <f>Inputs!$B$3&gt;=60</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t="inlineStr"/>
      <c r="K570" t="inlineStr"/>
      <c r="L570" t="inlineStr"/>
      <c r="M570" t="inlineStr"/>
      <c r="N570" t="inlineStr"/>
      <c r="O570">
        <f>(1-Summary!$B$11)*T570+Summary!$B$11*V570</f>
        <v/>
      </c>
      <c r="P570">
        <f>IF(B600=0,0,O570/B600)</f>
        <v/>
      </c>
      <c r="Q570" t="n">
        <v>0</v>
      </c>
      <c r="R570" t="n">
        <v>0</v>
      </c>
      <c r="S570">
        <f>IFERROR(O570/N570,0)</f>
        <v/>
      </c>
      <c r="T570" t="n">
        <v>0</v>
      </c>
      <c r="V570" t="n">
        <v>0</v>
      </c>
    </row>
    <row r="571">
      <c r="A571">
        <f>Skills!A6</f>
        <v/>
      </c>
      <c r="B571">
        <f>Skills!B6</f>
        <v/>
      </c>
      <c r="C571">
        <f>Inputs!$B$3&gt;=63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585=TRUE)*(F585-Calc!F20)),(Inputs!$B$23+0+(IF(ArtifactsInput!$M$15,CHOOSE(ArtifactsInput!$N$15+1,25,30,35,40,45,50)/100*(Inputs!$B$11-Inputs!$B$11),0))))/100+(Inputs!$B$23+0+(IF(ArtifactsInput!$M$15,CHOOSE(ArtifactsInput!$N$15+1,25,30,35,40,45,50)/100*(Inputs!$B$11-Inputs!$B$11),0)))/100)/2</f>
        <v/>
      </c>
      <c r="M571">
        <f>L571*(1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IF(B600=0,0,O571/B600)</f>
        <v/>
      </c>
      <c r="Q571">
        <f>IFERROR(1/(IF(Inputs!$B$38="pvp",15,MAX(0.1,Skills!D6-IF(Skills!E6=TRUE,Inputs!$B$32,0)))*(1-IF(AND(ArtifactsInput!$M$27,Inputs!$B$4="Chapter Hunt"),CHOOSE(ArtifactsInput!$N$27+1,20,24,28,32,36,40),0)/100)),0)</f>
        <v/>
      </c>
      <c r="R571">
        <f>IF(AND(Inputs!$B$38&lt;&gt;"pvp",Inputs!$B$43&gt;0),IF(MAX(0,Inputs!$B$43-B597)&lt;=0,0,(INT(MAX(0,Inputs!$B$43-B597)/(IF(Inputs!$B$38="pvp",15,MAX(0.1,Skills!D6-IF(Skills!E6=TRUE,Inputs!$B$32,0)))*(1-IF(AND(ArtifactsInput!$M$27,Inputs!$B$4="Chapter Hunt"),CHOOSE(ArtifactsInput!$N$27+1,20,24,28,32,36,40),0)/100)))+1)),0)</f>
        <v/>
      </c>
      <c r="S571">
        <f>IFERROR(O571/N571,0)</f>
        <v/>
      </c>
      <c r="T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$21+Skills!Q6+(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Skills!A7</f>
        <v/>
      </c>
      <c r="B572">
        <f>Skills!B7</f>
        <v/>
      </c>
      <c r="C572">
        <f>Inputs!$B$3&gt;=100</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585=TRUE)*(F585-Calc!F20)),(Inputs!$B$23+0+(IF(ArtifactsInput!$M$15,CHOOSE(ArtifactsInput!$N$15+1,25,30,35,40,45,50)/100*(Inputs!$B$11-Inputs!$B$11),0))))/100+(Inputs!$B$23+0+(IF(ArtifactsInput!$M$15,CHOOSE(ArtifactsInput!$N$15+1,25,30,35,40,45,50)/100*(Inputs!$B$11-Inputs!$B$11),0)))/100)/2</f>
        <v/>
      </c>
      <c r="M572">
        <f>L572*(1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IF(B600=0,0,O572/B600)</f>
        <v/>
      </c>
      <c r="Q572">
        <f>IFERROR(1/(IF(Inputs!$B$38="pvp",15,MAX(0.1,Skills!D7-IF(Skills!E7=TRUE,Inputs!$B$32,0)))*(1-IF(AND(ArtifactsInput!$M$27,Inputs!$B$4="Chapter Hunt"),CHOOSE(ArtifactsInput!$N$27+1,20,24,28,32,36,40),0)/100)),0)</f>
        <v/>
      </c>
      <c r="R572">
        <f>IF(AND(Inputs!$B$38&lt;&gt;"pvp",Inputs!$B$43&gt;0),IF(MAX(0,Inputs!$B$43-B597)&lt;=0,0,(INT(MAX(0,Inputs!$B$43-B597)/(IF(Inputs!$B$38="pvp",15,MAX(0.1,Skills!D7-IF(Skills!E7=TRUE,Inputs!$B$32,0)))*(1-IF(AND(ArtifactsInput!$M$27,Inputs!$B$4="Chapter Hunt"),CHOOSE(ArtifactsInput!$N$27+1,20,24,28,32,36,40),0)/100)))+1)),0)</f>
        <v/>
      </c>
      <c r="S572">
        <f>IFERROR(O572/N572,0)</f>
        <v/>
      </c>
      <c r="T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$21+Skills!Q7+(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Skills!A8</f>
        <v/>
      </c>
      <c r="B573">
        <f>Skills!B8</f>
        <v/>
      </c>
      <c r="C573">
        <f>Inputs!$B$3&gt;=110</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585=TRUE)*(F585-Calc!F20)),(Inputs!$B$23+0+(IF(ArtifactsInput!$M$15,CHOOSE(ArtifactsInput!$N$15+1,25,30,35,40,45,50)/100*(Inputs!$B$11-Inputs!$B$11),0))))/100+(Inputs!$B$23+0+(IF(ArtifactsInput!$M$15,CHOOSE(ArtifactsInput!$N$15+1,25,30,35,40,45,50)/100*(Inputs!$B$11-Inputs!$B$11),0)))/100)/2</f>
        <v/>
      </c>
      <c r="M573">
        <f>L573*(1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IF(B600=0,0,O573/B600)</f>
        <v/>
      </c>
      <c r="Q573">
        <f>IFERROR(1/(IF(Inputs!$B$38="pvp",15,MAX(0.1,Skills!D8-IF(Skills!E8=TRUE,Inputs!$B$32,0)))*(1-IF(AND(ArtifactsInput!$M$27,Inputs!$B$4="Chapter Hunt"),CHOOSE(ArtifactsInput!$N$27+1,20,24,28,32,36,40),0)/100)),0)</f>
        <v/>
      </c>
      <c r="R573">
        <f>IF(AND(Inputs!$B$38&lt;&gt;"pvp",Inputs!$B$43&gt;0),IF(MAX(0,Inputs!$B$43-B597)&lt;=0,0,(INT(MAX(0,Inputs!$B$43-B597)/(IF(Inputs!$B$38="pvp",15,MAX(0.1,Skills!D8-IF(Skills!E8=TRUE,Inputs!$B$32,0)))*(1-IF(AND(ArtifactsInput!$M$27,Inputs!$B$4="Chapter Hunt"),CHOOSE(ArtifactsInput!$N$27+1,20,24,28,32,36,40),0)/100)))+1)),0)</f>
        <v/>
      </c>
      <c r="S573">
        <f>IFERROR(O573/N573,0)</f>
        <v/>
      </c>
      <c r="T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$21+Skills!Q8+(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Skills!A9</f>
        <v/>
      </c>
      <c r="B574">
        <f>Skills!B9</f>
        <v/>
      </c>
      <c r="C574">
        <f>Inputs!$B$3&gt;=110</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C585=TRUE)*(F585-Calc!F20)),(Inputs!$B$23+0+(IF(ArtifactsInput!$M$15,CHOOSE(ArtifactsInput!$N$15+1,25,30,35,40,45,50)/100*(Inputs!$B$11-Inputs!$B$11),0))))/100+(Inputs!$B$23+0+(IF(ArtifactsInput!$M$15,CHOOSE(ArtifactsInput!$N$15+1,25,30,35,40,45,50)/100*(Inputs!$B$11-Inputs!$B$11),0)))/100)/2</f>
        <v/>
      </c>
      <c r="M574">
        <f>L574*(1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(1-Summary!$B$11)*T574+Summary!$B$11*V574</f>
        <v/>
      </c>
      <c r="P574">
        <f>IF(B600=0,0,O574/B600)</f>
        <v/>
      </c>
      <c r="Q574">
        <f>IFERROR(1/(IF(Inputs!$B$38="pvp",15,MAX(0.1,Skills!D9-IF(Skills!E9=TRUE,Inputs!$B$32,0)))*(1-IF(AND(ArtifactsInput!$M$27,Inputs!$B$4="Chapter Hunt"),CHOOSE(ArtifactsInput!$N$27+1,20,24,28,32,36,40),0)/100)),0)</f>
        <v/>
      </c>
      <c r="R574">
        <f>IF(AND(Inputs!$B$38&lt;&gt;"pvp",Inputs!$B$43&gt;0),IF(MAX(0,Inputs!$B$43-B597)&lt;=0,0,(INT(MAX(0,Inputs!$B$43-B597)/(IF(Inputs!$B$38="pvp",15,MAX(0.1,Skills!D9-IF(Skills!E9=TRUE,Inputs!$B$32,0)))*(1-IF(AND(ArtifactsInput!$M$27,Inputs!$B$4="Chapter Hunt"),CHOOSE(ArtifactsInput!$N$27+1,20,24,28,32,36,40),0)/100)))+1)),0)</f>
        <v/>
      </c>
      <c r="S574">
        <f>IFERROR(O574/N574,0)</f>
        <v/>
      </c>
      <c r="T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$21+Skills!Q9+(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Skills!A10</f>
        <v/>
      </c>
      <c r="B575">
        <f>Skills!B10</f>
        <v/>
      </c>
      <c r="C575">
        <f>Inputs!$B$3&gt;=103</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585=TRUE)*(F585-Calc!F20)),(Inputs!$B$23+0+(IF(ArtifactsInput!$M$15,CHOOSE(ArtifactsInput!$N$15+1,25,30,35,40,45,50)/100*(Inputs!$B$11-Inputs!$B$11),0))))/100+(Inputs!$B$23+0+(IF(ArtifactsInput!$M$15,CHOOSE(ArtifactsInput!$N$15+1,25,30,35,40,45,50)/100*(Inputs!$B$11-Inputs!$B$11),0)))/100)/2</f>
        <v/>
      </c>
      <c r="M575">
        <f>L575*(1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IF(B600=0,0,O575/B600)</f>
        <v/>
      </c>
      <c r="Q575">
        <f>IFERROR(1/(IF(Inputs!$B$38="pvp",15,MAX(0.1,Skills!D10-IF(Skills!E10=TRUE,Inputs!$B$32,0)))*(1-IF(AND(ArtifactsInput!$M$27,Inputs!$B$4="Chapter Hunt"),CHOOSE(ArtifactsInput!$N$27+1,20,24,28,32,36,40),0)/100)),0)</f>
        <v/>
      </c>
      <c r="R575">
        <f>IF(AND(Inputs!$B$38&lt;&gt;"pvp",Inputs!$B$43&gt;0),IF(MAX(0,Inputs!$B$43-B597)&lt;=0,0,(INT(MAX(0,Inputs!$B$43-B597)/(IF(Inputs!$B$38="pvp",15,MAX(0.1,Skills!D10-IF(Skills!E10=TRUE,Inputs!$B$32,0)))*(1-IF(AND(ArtifactsInput!$M$27,Inputs!$B$4="Chapter Hunt"),CHOOSE(ArtifactsInput!$N$27+1,20,24,28,32,36,40),0)/100)))+1)),0)</f>
        <v/>
      </c>
      <c r="S575">
        <f>IFERROR(O575/N575,0)</f>
        <v/>
      </c>
      <c r="T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$21+Skills!Q10+(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Skills!A11</f>
        <v/>
      </c>
      <c r="B576">
        <f>Skills!B11</f>
        <v/>
      </c>
      <c r="C576">
        <f>Inputs!$B$3&gt;=113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585=TRUE)*(F585-Calc!F20)),(Inputs!$B$23+0+(IF(ArtifactsInput!$M$15,CHOOSE(ArtifactsInput!$N$15+1,25,30,35,40,45,50)/100*(Inputs!$B$11-Inputs!$B$11),0))))/100+(Inputs!$B$23+0+(IF(ArtifactsInput!$M$15,CHOOSE(ArtifactsInput!$N$15+1,25,30,35,40,45,50)/100*(Inputs!$B$11-Inputs!$B$11),0)))/100)/2</f>
        <v/>
      </c>
      <c r="M576">
        <f>L576*(1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IF(B600=0,0,O576/B600)</f>
        <v/>
      </c>
      <c r="Q576">
        <f>IFERROR(1/(IF(Inputs!$B$38="pvp",15,MAX(0.1,Skills!D11-IF(Skills!E11=TRUE,Inputs!$B$32,0)))*(1-IF(AND(ArtifactsInput!$M$27,Inputs!$B$4="Chapter Hunt"),CHOOSE(ArtifactsInput!$N$27+1,20,24,28,32,36,40),0)/100)),0)</f>
        <v/>
      </c>
      <c r="R576">
        <f>IF(AND(Inputs!$B$38&lt;&gt;"pvp",Inputs!$B$43&gt;0),IF(MAX(0,Inputs!$B$43-B597)&lt;=0,0,(INT(MAX(0,Inputs!$B$43-B597)/(IF(Inputs!$B$38="pvp",15,MAX(0.1,Skills!D11-IF(Skills!E11=TRUE,Inputs!$B$32,0)))*(1-IF(AND(ArtifactsInput!$M$27,Inputs!$B$4="Chapter Hunt"),CHOOSE(ArtifactsInput!$N$27+1,20,24,28,32,36,40),0)/100)))+1)),0)</f>
        <v/>
      </c>
      <c r="S576">
        <f>IFERROR(O576/N576,0)</f>
        <v/>
      </c>
      <c r="T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$21+Skills!Q11+(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c r="T577" t="inlineStr"/>
      <c r="V577" t="inlineStr"/>
    </row>
    <row r="578">
      <c r="A578">
        <f>Skills!A13</f>
        <v/>
      </c>
      <c r="B578">
        <f>Skills!B13</f>
        <v/>
      </c>
      <c r="C578">
        <f>Inputs!$B$3&gt;=66</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f>(1-Summary!$B$11)*T578+Summary!$B$11*V578</f>
        <v/>
      </c>
      <c r="P578">
        <f>IF(B600=0,0,O578/B600)</f>
        <v/>
      </c>
      <c r="Q578" t="n">
        <v>0</v>
      </c>
      <c r="R578" t="n">
        <v>0</v>
      </c>
      <c r="S578">
        <f>IFERROR(O578/N578,0)</f>
        <v/>
      </c>
      <c r="T578" t="n">
        <v>0</v>
      </c>
      <c r="V578" t="n">
        <v>0</v>
      </c>
    </row>
    <row r="579">
      <c r="A579">
        <f>Skills!A14</f>
        <v/>
      </c>
      <c r="B579">
        <f>Skills!B14</f>
        <v/>
      </c>
      <c r="C579">
        <f>Inputs!$B$3&gt;=107</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f>(1-Summary!$B$11)*T579+Summary!$B$11*V579</f>
        <v/>
      </c>
      <c r="P579">
        <f>IF(B600=0,0,O579/B600)</f>
        <v/>
      </c>
      <c r="Q579" t="n">
        <v>0</v>
      </c>
      <c r="R579" t="n">
        <v>0</v>
      </c>
      <c r="S579">
        <f>IFERROR(O579/N579,0)</f>
        <v/>
      </c>
      <c r="T579" t="n">
        <v>0</v>
      </c>
      <c r="V579" t="n">
        <v>0</v>
      </c>
    </row>
    <row r="580">
      <c r="A580">
        <f>Skills!A15</f>
        <v/>
      </c>
      <c r="B580">
        <f>Skills!B15</f>
        <v/>
      </c>
      <c r="C580">
        <f>Inputs!$B$3&gt;=115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f>(1-Summary!$B$11)*T580+Summary!$B$11*V580</f>
        <v/>
      </c>
      <c r="P580">
        <f>IF(B600=0,0,O580/B600)</f>
        <v/>
      </c>
      <c r="Q580" t="n">
        <v>0</v>
      </c>
      <c r="R580" t="n">
        <v>0</v>
      </c>
      <c r="S580">
        <f>IFERROR(O580/N580,0)</f>
        <v/>
      </c>
      <c r="T580" t="n">
        <v>0</v>
      </c>
      <c r="V580" t="n">
        <v>0</v>
      </c>
    </row>
    <row r="581">
      <c r="A581">
        <f>Skills!A16</f>
        <v/>
      </c>
      <c r="B581">
        <f>Skills!B16</f>
        <v/>
      </c>
      <c r="C581">
        <f>Inputs!$B$3&gt;=15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f>(1-Summary!$B$11)*T581+Summary!$B$11*V581</f>
        <v/>
      </c>
      <c r="P581">
        <f>IF(B600=0,0,O581/B600)</f>
        <v/>
      </c>
      <c r="Q581" t="n">
        <v>0</v>
      </c>
      <c r="R581" t="n">
        <v>0</v>
      </c>
      <c r="S581">
        <f>IFERROR(O581/N581,0)</f>
        <v/>
      </c>
      <c r="T581" t="n">
        <v>0</v>
      </c>
      <c r="V581" t="n">
        <v>0</v>
      </c>
    </row>
    <row r="582">
      <c r="A582">
        <f>Skills!A17</f>
        <v/>
      </c>
      <c r="B582">
        <f>Skills!B17</f>
        <v/>
      </c>
      <c r="C582">
        <f>Inputs!$B$3&gt;=10</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f>(1-Summary!$B$11)*T582+Summary!$B$11*V582</f>
        <v/>
      </c>
      <c r="P582">
        <f>IF(B600=0,0,O582/B600)</f>
        <v/>
      </c>
      <c r="Q582" t="n">
        <v>0</v>
      </c>
      <c r="R582" t="n">
        <v>0</v>
      </c>
      <c r="S582">
        <f>IFERROR(O582/N582,0)</f>
        <v/>
      </c>
      <c r="T582" t="n">
        <v>0</v>
      </c>
      <c r="V582" t="n">
        <v>0</v>
      </c>
    </row>
    <row r="583">
      <c r="A583">
        <f>Skills!A18</f>
        <v/>
      </c>
      <c r="B583">
        <f>Skills!B18</f>
        <v/>
      </c>
      <c r="C583">
        <f>Inputs!$B$3&gt;=33</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f>(1-Summary!$B$11)*T583+Summary!$B$11*V583</f>
        <v/>
      </c>
      <c r="P583">
        <f>IF(B600=0,0,O583/B600)</f>
        <v/>
      </c>
      <c r="Q583" t="n">
        <v>0</v>
      </c>
      <c r="R583" t="n">
        <v>0</v>
      </c>
      <c r="S583">
        <f>IFERROR(O583/N583,0)</f>
        <v/>
      </c>
      <c r="T583" t="n">
        <v>0</v>
      </c>
      <c r="V583" t="n">
        <v>0</v>
      </c>
    </row>
    <row r="584">
      <c r="A584">
        <f>Skills!A19</f>
        <v/>
      </c>
      <c r="B584">
        <f>Skills!B19</f>
        <v/>
      </c>
      <c r="C584">
        <f>Inputs!$B$3&gt;=40</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f>(1-Summary!$B$11)*T584+Summary!$B$11*V584</f>
        <v/>
      </c>
      <c r="P584">
        <f>IF(B600=0,0,O584/B600)</f>
        <v/>
      </c>
      <c r="Q584" t="n">
        <v>0</v>
      </c>
      <c r="R584" t="n">
        <v>0</v>
      </c>
      <c r="S584">
        <f>IFERROR(O584/N584,0)</f>
        <v/>
      </c>
      <c r="T584" t="n">
        <v>0</v>
      </c>
      <c r="V584" t="n">
        <v>0</v>
      </c>
    </row>
    <row r="585">
      <c r="A585">
        <f>Skills!A20</f>
        <v/>
      </c>
      <c r="B585">
        <f>Skills!B20</f>
        <v/>
      </c>
      <c r="C585">
        <f>Inputs!$B$3&gt;=43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f>(1-Summary!$B$11)*T585+Summary!$B$11*V585</f>
        <v/>
      </c>
      <c r="P585">
        <f>IF(B600=0,0,O585/B600)</f>
        <v/>
      </c>
      <c r="Q585" t="n">
        <v>0</v>
      </c>
      <c r="R585" t="n">
        <v>0</v>
      </c>
      <c r="S585">
        <f>IFERROR(O585/N585,0)</f>
        <v/>
      </c>
      <c r="T585" t="n">
        <v>0</v>
      </c>
      <c r="V585" t="n">
        <v>0</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f>(1-Summary!$B$11)*T586+Summary!$B$11*V586</f>
        <v/>
      </c>
      <c r="P586">
        <f>IF(B600=0,0,O586/B600)</f>
        <v/>
      </c>
      <c r="Q586" t="n">
        <v>0</v>
      </c>
      <c r="R586" t="n">
        <v>0</v>
      </c>
      <c r="S586">
        <f>IFERROR(O586/N586,0)</f>
        <v/>
      </c>
      <c r="T586" t="n">
        <v>0</v>
      </c>
      <c r="V586" t="n">
        <v>0</v>
      </c>
    </row>
    <row r="587">
      <c r="A587">
        <f>Skills!A22</f>
        <v/>
      </c>
      <c r="B587">
        <f>Skills!B22</f>
        <v/>
      </c>
      <c r="C587">
        <f>Inputs!$B$3&gt;=75</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f>(1-Summary!$B$11)*T587+Summary!$B$11*V587</f>
        <v/>
      </c>
      <c r="P587">
        <f>IF(B600=0,0,O587/B600)</f>
        <v/>
      </c>
      <c r="Q587" t="n">
        <v>0</v>
      </c>
      <c r="R587" t="n">
        <v>0</v>
      </c>
      <c r="S587">
        <f>IFERROR(O587/N587,0)</f>
        <v/>
      </c>
      <c r="T587" t="n">
        <v>0</v>
      </c>
      <c r="V587" t="n">
        <v>0</v>
      </c>
    </row>
    <row r="589">
      <c r="A589" t="inlineStr">
        <is>
          <t>Attack% Bucket Multiplier</t>
        </is>
      </c>
      <c r="B589">
        <f>(1+(((C578=TRUE)*F578)+((C584=TRUE)*(F584-Calc!F19))+(IF(ArtifactsInput!$M$21,CHOOSE(ArtifactsInput!$N$21+1,25,30,35,40,45,50)*(IF(OR(Inputs!$B$4="Chapter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0">
      <c r="A590" t="inlineStr">
        <is>
          <t>Global Crit Rate Bonus %</t>
        </is>
      </c>
      <c r="B590" t="n">
        <v>0</v>
      </c>
    </row>
    <row r="591">
      <c r="A591" t="inlineStr">
        <is>
          <t>Attack Speed Buff Bonus % (unused)</t>
        </is>
      </c>
      <c r="B591" t="n">
        <v>0</v>
      </c>
    </row>
    <row r="592">
      <c r="A592" t="inlineStr">
        <is>
          <t>Actions Per Second</t>
        </is>
      </c>
      <c r="B592">
        <f>1+MIN(150,150*(1-(1-(Inputs!$B$11+((C582=TRUE)*(F582-Calc!F17))+((C583=TRUE)*(F583-Calc!F18)))/150)*(1-B591/150)))/100</f>
        <v/>
      </c>
    </row>
    <row r="593">
      <c r="A593" t="inlineStr">
        <is>
          <t>Skill + Buff Cast Rate</t>
        </is>
      </c>
      <c r="B593">
        <f>IF(AND(Inputs!$B$38&lt;&gt;"pvp",Inputs!$B$43&gt;0),SUMPRODUCT((Skills!E2:E22=TRUE)*(C567:C587=TRUE)*R567:R587*Skills!F2:F22)/Inputs!$B$43,SUMPRODUCT((Skills!E2:E22=TRUE)*(C567:C587=TRUE)*Q567:Q587*Skills!F2:F22))</f>
        <v/>
      </c>
    </row>
    <row r="594">
      <c r="A594" t="inlineStr">
        <is>
          <t>Hook Bomber Casts Per Second</t>
        </is>
      </c>
      <c r="B594">
        <f>MAX(0,B592-B593)</f>
        <v/>
      </c>
    </row>
    <row r="595">
      <c r="A595" t="inlineStr">
        <is>
          <t>Global Critical Damage Bonus % (unused)</t>
        </is>
      </c>
      <c r="B595" t="n">
        <v>0</v>
      </c>
    </row>
    <row r="596">
      <c r="A596" t="inlineStr">
        <is>
          <t>Global Final Damage Bonus % (Serpent Scale + Crossbones + Time Leap + Speed Infusion)</t>
        </is>
      </c>
      <c r="B596">
        <f>((C570=TRUE)*F570*((10+IF(Inputs!$B$3&gt;=94,5,0))/((10+IF(Inputs!$B$3&gt;=94,5,0))+5/(B594*(1+IF(Inputs!$B$3&gt;=104,1,0))))))+((C579=TRUE)*F579)+((C580=TRUE)*F580)+((Inputs!$B$3&gt;=110)*20*(B592-1))</f>
        <v/>
      </c>
    </row>
    <row r="597">
      <c r="A597" t="inlineStr">
        <is>
          <t>Buff-Casting Startup Delay (s, fixed-duration only)</t>
        </is>
      </c>
      <c r="B597">
        <f>IF(AND(Inputs!$B$38&lt;&gt;"pvp",Inputs!$B$43&gt;0),SUMPRODUCT((Skills!T2:T22&gt;0)*(Skills!E2:E22=TRUE)*(C567:C587=TRUE))/B592,0)</f>
        <v/>
      </c>
    </row>
    <row r="598">
      <c r="A598" t="inlineStr">
        <is>
          <t>Boss-Only Total DPS (this block's swept value)</t>
        </is>
      </c>
      <c r="B598">
        <f>SUM(T567:T587)</f>
        <v/>
      </c>
    </row>
    <row r="599">
      <c r="A599" t="inlineStr">
        <is>
          <t>Normal-Only Total DPS (this block's swept value)</t>
        </is>
      </c>
      <c r="B599">
        <f>SUM(V567:V587)</f>
        <v/>
      </c>
    </row>
    <row r="600">
      <c r="A600" s="6" t="inlineStr">
        <is>
          <t>TOTAL DPS</t>
        </is>
      </c>
      <c r="B600" s="6">
        <f>SUM(O567:O587)</f>
        <v/>
      </c>
    </row>
    <row r="603">
      <c r="A603" s="6" t="inlineStr">
        <is>
          <t>Stat: BASIC_ATTACK_DAMAGE %</t>
        </is>
      </c>
    </row>
    <row r="604">
      <c r="A604" s="5" t="inlineStr">
        <is>
          <t>Key</t>
        </is>
      </c>
      <c r="B604" s="5" t="inlineStr">
        <is>
          <t>Name</t>
        </is>
      </c>
      <c r="C604" s="5" t="inlineStr">
        <is>
          <t>Unlocked</t>
        </is>
      </c>
      <c r="D604" s="5" t="inlineStr">
        <is>
          <t>InputLevel</t>
        </is>
      </c>
      <c r="E604" s="5" t="inlineStr">
        <is>
          <t>Factor</t>
        </is>
      </c>
      <c r="F604" s="5" t="inlineStr">
        <is>
          <t>CoefficientPercent</t>
        </is>
      </c>
      <c r="G604" s="5" t="inlineStr">
        <is>
          <t>EffectiveHits</t>
        </is>
      </c>
      <c r="H604" s="5" t="inlineStr">
        <is>
          <t>ProcProbability</t>
        </is>
      </c>
      <c r="I604" s="5" t="inlineStr">
        <is>
          <t>MapleHeroMultiplier</t>
        </is>
      </c>
      <c r="J604" s="5" t="inlineStr">
        <is>
          <t>BaseDamage</t>
        </is>
      </c>
      <c r="K604" s="5" t="inlineStr">
        <is>
          <t>BaseHitDamage</t>
        </is>
      </c>
      <c r="L604" s="5" t="inlineStr">
        <is>
          <t>NonCritAvg</t>
        </is>
      </c>
      <c r="M604" s="5" t="inlineStr">
        <is>
          <t>CritAvg</t>
        </is>
      </c>
      <c r="N604" s="5" t="inlineStr">
        <is>
          <t>ExpectedDamage(perHit)</t>
        </is>
      </c>
      <c r="O604" s="5" t="inlineStr">
        <is>
          <t>DPS</t>
        </is>
      </c>
      <c r="P604" s="5" t="inlineStr">
        <is>
          <t>% of Total</t>
        </is>
      </c>
      <c r="Q604" s="5" t="inlineStr">
        <is>
          <t>InvCooldown</t>
        </is>
      </c>
      <c r="R604" s="5" t="inlineStr">
        <is>
          <t>CastsInFight</t>
        </is>
      </c>
      <c r="S604" s="5"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623=TRUE)*(F623-Calc!F20)),(Inputs!$B$23+0+(IF(ArtifactsInput!$M$15,CHOOSE(ArtifactsInput!$N$15+1,25,30,35,40,45,50)/100*(Inputs!$B$11-Inputs!$B$11),0))))/100+(Inputs!$B$23+0+(IF(ArtifactsInput!$M$15,CHOOSE(ArtifactsInput!$N$15+1,25,30,35,40,45,50)/100*(Inputs!$B$11-Inputs!$B$11),0)))/100)/2</f>
        <v/>
      </c>
      <c r="M605">
        <f>L605*(1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IF(B638=0,0,O605/B638)</f>
        <v/>
      </c>
      <c r="Q605" t="n">
        <v>0</v>
      </c>
      <c r="R605" t="n">
        <v>0</v>
      </c>
      <c r="S605">
        <f>IFERROR(O605/N605,0)</f>
        <v/>
      </c>
      <c r="T605">
        <f>IF(C605,(Skills!G2*N605*B632)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MAX(0,(Inputs!$B$3-100)*3)+Inputs!$B$28+Inputs!$B$29</f>
        <v/>
      </c>
      <c r="V605">
        <f>IF(C605,(Skills!G2*N605*B632)*IF(Inputs!$B$38="pvp",1,(1+(Inputs!$B$21+Skills!Q2+(IF(ArtifactsInput!$M$33,CHOOSE(ArtifactsInput!$N$33+1,30,36,42,48,54,60),0))+(IF(AND(ArtifactsInput!$M$35,Inputs!$B$4&lt;&gt;"Chapter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Skills!A3</f>
        <v/>
      </c>
      <c r="B606">
        <f>Skills!B3</f>
        <v/>
      </c>
      <c r="C606">
        <f>Inputs!$B$3&gt;=35</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f>Skills!G3*IF(Skills!H3&gt;0,Skills!I3/Skills!H3,1)</f>
        <v/>
      </c>
      <c r="H606">
        <f>1-(1-Skills!J3/100)^Skills!K3</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623=TRUE)*(F623-Calc!F20)),(Inputs!$B$23+0+(IF(ArtifactsInput!$M$15,CHOOSE(ArtifactsInput!$N$15+1,25,30,35,40,45,50)/100*(Inputs!$B$11-Inputs!$B$11),0))))/100+(Inputs!$B$23+0+(IF(ArtifactsInput!$M$15,CHOOSE(ArtifactsInput!$N$15+1,25,30,35,40,45,50)/100*(Inputs!$B$11-Inputs!$B$11),0)))/100)/2</f>
        <v/>
      </c>
      <c r="M606">
        <f>L606*(1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IF(B638=0,0,O606/B638)</f>
        <v/>
      </c>
      <c r="Q606" t="n">
        <v>0</v>
      </c>
      <c r="R606" t="n">
        <v>0</v>
      </c>
      <c r="S606">
        <f>IFERROR(O606/N606,0)</f>
        <v/>
      </c>
      <c r="T606">
        <f>IF(C606,(Skills!G3*H606*N606*B632)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INDEX(FactorTable!$B$2:$Y$301, MATCH(ROUND(MIN(300,MAX(1,U605)),0), FactorTable!$A$2:$A$301,0), 22)</f>
        <v/>
      </c>
      <c r="V606">
        <f>IF(C606,(Skills!G3*H606*N606*B632)*IF(Inputs!$B$38="pvp",1,(1+(Inputs!$B$21+Skills!Q3+(IF(ArtifactsInput!$M$33,CHOOSE(ArtifactsInput!$N$33+1,30,36,42,48,54,60),0))+(IF(AND(ArtifactsInput!$M$35,Inputs!$B$4&lt;&gt;"Chapter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Skills!A4</f>
        <v/>
      </c>
      <c r="B607">
        <f>Skills!B4</f>
        <v/>
      </c>
      <c r="C607">
        <f>Inputs!$B$3&gt;=60</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615=TRUE,F615,0)/100)*(1+(IF(Skills!A4="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623=TRUE)*(F623-Calc!F20)),(Inputs!$B$23+0+(IF(ArtifactsInput!$M$15,CHOOSE(ArtifactsInput!$N$15+1,25,30,35,40,45,50)/100*(Inputs!$B$11-Inputs!$B$11),0))))/100+(Inputs!$B$23+0+(IF(ArtifactsInput!$M$15,CHOOSE(ArtifactsInput!$N$15+1,25,30,35,40,45,50)/100*(Inputs!$B$11-Inputs!$B$11),0)))/100)/2</f>
        <v/>
      </c>
      <c r="M607">
        <f>L607*(1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IF(B638=0,0,O607/B638)</f>
        <v/>
      </c>
      <c r="Q607" t="n">
        <v>0</v>
      </c>
      <c r="R607" t="n">
        <v>0</v>
      </c>
      <c r="S607">
        <f>IFERROR(O607/N607,0)</f>
        <v/>
      </c>
      <c r="T607">
        <f>IF(C607,(Skills!G4*H607*N607*B632)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290*U606/1000</f>
        <v/>
      </c>
      <c r="V607">
        <f>IF(C607,(Skills!G4*H607*N607*B632)*IF(Inputs!$B$38="pvp",1,(1+(Inputs!$B$21+Skills!Q4+(IF(ArtifactsInput!$M$33,CHOOSE(ArtifactsInput!$N$33+1,30,36,42,48,54,60),0))+(IF(AND(ArtifactsInput!$M$35,Inputs!$B$4&lt;&gt;"Chapter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Skills!A5</f>
        <v/>
      </c>
      <c r="B608">
        <f>Skills!B5</f>
        <v/>
      </c>
      <c r="C608">
        <f>Inputs!$B$3&gt;=60</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t="inlineStr"/>
      <c r="K608" t="inlineStr"/>
      <c r="L608" t="inlineStr"/>
      <c r="M608" t="inlineStr"/>
      <c r="N608" t="inlineStr"/>
      <c r="O608">
        <f>(1-Summary!$B$11)*T608+Summary!$B$11*V608</f>
        <v/>
      </c>
      <c r="P608">
        <f>IF(B638=0,0,O608/B638)</f>
        <v/>
      </c>
      <c r="Q608" t="n">
        <v>0</v>
      </c>
      <c r="R608" t="n">
        <v>0</v>
      </c>
      <c r="S608">
        <f>IFERROR(O608/N608,0)</f>
        <v/>
      </c>
      <c r="T608" t="n">
        <v>0</v>
      </c>
      <c r="V608" t="n">
        <v>0</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623=TRUE)*(F623-Calc!F20)),(Inputs!$B$23+0+(IF(ArtifactsInput!$M$15,CHOOSE(ArtifactsInput!$N$15+1,25,30,35,40,45,50)/100*(Inputs!$B$11-Inputs!$B$11),0))))/100+(Inputs!$B$23+0+(IF(ArtifactsInput!$M$15,CHOOSE(ArtifactsInput!$N$15+1,25,30,35,40,45,50)/100*(Inputs!$B$11-Inputs!$B$11),0)))/100)/2</f>
        <v/>
      </c>
      <c r="M609">
        <f>L609*(1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IF(B638=0,0,O609/B638)</f>
        <v/>
      </c>
      <c r="Q609">
        <f>IFERROR(1/(IF(Inputs!$B$38="pvp",15,MAX(0.1,Skills!D6-IF(Skills!E6=TRUE,Inputs!$B$32,0)))*(1-IF(AND(ArtifactsInput!$M$27,Inputs!$B$4="Chapter Hunt"),CHOOSE(ArtifactsInput!$N$27+1,20,24,28,32,36,40),0)/100)),0)</f>
        <v/>
      </c>
      <c r="R609">
        <f>IF(AND(Inputs!$B$38&lt;&gt;"pvp",Inputs!$B$43&gt;0),IF(MAX(0,Inputs!$B$43-B635)&lt;=0,0,(INT(MAX(0,Inputs!$B$43-B635)/(IF(Inputs!$B$38="pvp",15,MAX(0.1,Skills!D6-IF(Skills!E6=TRUE,Inputs!$B$32,0)))*(1-IF(AND(ArtifactsInput!$M$27,Inputs!$B$4="Chapter Hunt"),CHOOSE(ArtifactsInput!$N$27+1,20,24,28,32,36,40),0)/100)))+1)),0)</f>
        <v/>
      </c>
      <c r="S609">
        <f>IFERROR(O609/N609,0)</f>
        <v/>
      </c>
      <c r="T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$21+Skills!Q6+(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Skills!A7</f>
        <v/>
      </c>
      <c r="B610">
        <f>Skills!B7</f>
        <v/>
      </c>
      <c r="C610">
        <f>Inputs!$B$3&gt;=100</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623=TRUE)*(F623-Calc!F20)),(Inputs!$B$23+0+(IF(ArtifactsInput!$M$15,CHOOSE(ArtifactsInput!$N$15+1,25,30,35,40,45,50)/100*(Inputs!$B$11-Inputs!$B$11),0))))/100+(Inputs!$B$23+0+(IF(ArtifactsInput!$M$15,CHOOSE(ArtifactsInput!$N$15+1,25,30,35,40,45,50)/100*(Inputs!$B$11-Inputs!$B$11),0)))/100)/2</f>
        <v/>
      </c>
      <c r="M610">
        <f>L610*(1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IF(B638=0,0,O610/B638)</f>
        <v/>
      </c>
      <c r="Q610">
        <f>IFERROR(1/(IF(Inputs!$B$38="pvp",15,MAX(0.1,Skills!D7-IF(Skills!E7=TRUE,Inputs!$B$32,0)))*(1-IF(AND(ArtifactsInput!$M$27,Inputs!$B$4="Chapter Hunt"),CHOOSE(ArtifactsInput!$N$27+1,20,24,28,32,36,40),0)/100)),0)</f>
        <v/>
      </c>
      <c r="R610">
        <f>IF(AND(Inputs!$B$38&lt;&gt;"pvp",Inputs!$B$43&gt;0),IF(MAX(0,Inputs!$B$43-B635)&lt;=0,0,(INT(MAX(0,Inputs!$B$43-B635)/(IF(Inputs!$B$38="pvp",15,MAX(0.1,Skills!D7-IF(Skills!E7=TRUE,Inputs!$B$32,0)))*(1-IF(AND(ArtifactsInput!$M$27,Inputs!$B$4="Chapter Hunt"),CHOOSE(ArtifactsInput!$N$27+1,20,24,28,32,36,40),0)/100)))+1)),0)</f>
        <v/>
      </c>
      <c r="S610">
        <f>IFERROR(O610/N610,0)</f>
        <v/>
      </c>
      <c r="T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$21+Skills!Q7+(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Skills!A8</f>
        <v/>
      </c>
      <c r="B611">
        <f>Skills!B8</f>
        <v/>
      </c>
      <c r="C611">
        <f>Inputs!$B$3&gt;=110</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623=TRUE)*(F623-Calc!F20)),(Inputs!$B$23+0+(IF(ArtifactsInput!$M$15,CHOOSE(ArtifactsInput!$N$15+1,25,30,35,40,45,50)/100*(Inputs!$B$11-Inputs!$B$11),0))))/100+(Inputs!$B$23+0+(IF(ArtifactsInput!$M$15,CHOOSE(ArtifactsInput!$N$15+1,25,30,35,40,45,50)/100*(Inputs!$B$11-Inputs!$B$11),0)))/100)/2</f>
        <v/>
      </c>
      <c r="M611">
        <f>L611*(1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IF(B638=0,0,O611/B638)</f>
        <v/>
      </c>
      <c r="Q611">
        <f>IFERROR(1/(IF(Inputs!$B$38="pvp",15,MAX(0.1,Skills!D8-IF(Skills!E8=TRUE,Inputs!$B$32,0)))*(1-IF(AND(ArtifactsInput!$M$27,Inputs!$B$4="Chapter Hunt"),CHOOSE(ArtifactsInput!$N$27+1,20,24,28,32,36,40),0)/100)),0)</f>
        <v/>
      </c>
      <c r="R611">
        <f>IF(AND(Inputs!$B$38&lt;&gt;"pvp",Inputs!$B$43&gt;0),IF(MAX(0,Inputs!$B$43-B635)&lt;=0,0,(INT(MAX(0,Inputs!$B$43-B635)/(IF(Inputs!$B$38="pvp",15,MAX(0.1,Skills!D8-IF(Skills!E8=TRUE,Inputs!$B$32,0)))*(1-IF(AND(ArtifactsInput!$M$27,Inputs!$B$4="Chapter Hunt"),CHOOSE(ArtifactsInput!$N$27+1,20,24,28,32,36,40),0)/100)))+1)),0)</f>
        <v/>
      </c>
      <c r="S611">
        <f>IFERROR(O611/N611,0)</f>
        <v/>
      </c>
      <c r="T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$21+Skills!Q8+(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Skills!A9</f>
        <v/>
      </c>
      <c r="B612">
        <f>Skills!B9</f>
        <v/>
      </c>
      <c r="C612">
        <f>Inputs!$B$3&gt;=110</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623=TRUE)*(F623-Calc!F20)),(Inputs!$B$23+0+(IF(ArtifactsInput!$M$15,CHOOSE(ArtifactsInput!$N$15+1,25,30,35,40,45,50)/100*(Inputs!$B$11-Inputs!$B$11),0))))/100+(Inputs!$B$23+0+(IF(ArtifactsInput!$M$15,CHOOSE(ArtifactsInput!$N$15+1,25,30,35,40,45,50)/100*(Inputs!$B$11-Inputs!$B$11),0)))/100)/2</f>
        <v/>
      </c>
      <c r="M612">
        <f>L612*(1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IF(B638=0,0,O612/B638)</f>
        <v/>
      </c>
      <c r="Q612">
        <f>IFERROR(1/(IF(Inputs!$B$38="pvp",15,MAX(0.1,Skills!D9-IF(Skills!E9=TRUE,Inputs!$B$32,0)))*(1-IF(AND(ArtifactsInput!$M$27,Inputs!$B$4="Chapter Hunt"),CHOOSE(ArtifactsInput!$N$27+1,20,24,28,32,36,40),0)/100)),0)</f>
        <v/>
      </c>
      <c r="R612">
        <f>IF(AND(Inputs!$B$38&lt;&gt;"pvp",Inputs!$B$43&gt;0),IF(MAX(0,Inputs!$B$43-B635)&lt;=0,0,(INT(MAX(0,Inputs!$B$43-B635)/(IF(Inputs!$B$38="pvp",15,MAX(0.1,Skills!D9-IF(Skills!E9=TRUE,Inputs!$B$32,0)))*(1-IF(AND(ArtifactsInput!$M$27,Inputs!$B$4="Chapter Hunt"),CHOOSE(ArtifactsInput!$N$27+1,20,24,28,32,36,40),0)/100)))+1)),0)</f>
        <v/>
      </c>
      <c r="S612">
        <f>IFERROR(O612/N612,0)</f>
        <v/>
      </c>
      <c r="T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$21+Skills!Q9+(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Skills!A10</f>
        <v/>
      </c>
      <c r="B613">
        <f>Skills!B10</f>
        <v/>
      </c>
      <c r="C613">
        <f>Inputs!$B$3&gt;=103</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623=TRUE)*(F623-Calc!F20)),(Inputs!$B$23+0+(IF(ArtifactsInput!$M$15,CHOOSE(ArtifactsInput!$N$15+1,25,30,35,40,45,50)/100*(Inputs!$B$11-Inputs!$B$11),0))))/100+(Inputs!$B$23+0+(IF(ArtifactsInput!$M$15,CHOOSE(ArtifactsInput!$N$15+1,25,30,35,40,45,50)/100*(Inputs!$B$11-Inputs!$B$11),0)))/100)/2</f>
        <v/>
      </c>
      <c r="M613">
        <f>L613*(1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IF(B638=0,0,O613/B638)</f>
        <v/>
      </c>
      <c r="Q613">
        <f>IFERROR(1/(IF(Inputs!$B$38="pvp",15,MAX(0.1,Skills!D10-IF(Skills!E10=TRUE,Inputs!$B$32,0)))*(1-IF(AND(ArtifactsInput!$M$27,Inputs!$B$4="Chapter Hunt"),CHOOSE(ArtifactsInput!$N$27+1,20,24,28,32,36,40),0)/100)),0)</f>
        <v/>
      </c>
      <c r="R613">
        <f>IF(AND(Inputs!$B$38&lt;&gt;"pvp",Inputs!$B$43&gt;0),IF(MAX(0,Inputs!$B$43-B635)&lt;=0,0,(INT(MAX(0,Inputs!$B$43-B635)/(IF(Inputs!$B$38="pvp",15,MAX(0.1,Skills!D10-IF(Skills!E10=TRUE,Inputs!$B$32,0)))*(1-IF(AND(ArtifactsInput!$M$27,Inputs!$B$4="Chapter Hunt"),CHOOSE(ArtifactsInput!$N$27+1,20,24,28,32,36,40),0)/100)))+1)),0)</f>
        <v/>
      </c>
      <c r="S613">
        <f>IFERROR(O613/N613,0)</f>
        <v/>
      </c>
      <c r="T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$21+Skills!Q10+(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Skills!A11</f>
        <v/>
      </c>
      <c r="B614">
        <f>Skills!B11</f>
        <v/>
      </c>
      <c r="C614">
        <f>Inputs!$B$3&gt;=113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C623=TRUE)*(F623-Calc!F20)),(Inputs!$B$23+0+(IF(ArtifactsInput!$M$15,CHOOSE(ArtifactsInput!$N$15+1,25,30,35,40,45,50)/100*(Inputs!$B$11-Inputs!$B$11),0))))/100+(Inputs!$B$23+0+(IF(ArtifactsInput!$M$15,CHOOSE(ArtifactsInput!$N$15+1,25,30,35,40,45,50)/100*(Inputs!$B$11-Inputs!$B$11),0)))/100)/2</f>
        <v/>
      </c>
      <c r="M614">
        <f>L614*(1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(1-Summary!$B$11)*T614+Summary!$B$11*V614</f>
        <v/>
      </c>
      <c r="P614">
        <f>IF(B638=0,0,O614/B638)</f>
        <v/>
      </c>
      <c r="Q614">
        <f>IFERROR(1/(IF(Inputs!$B$38="pvp",15,MAX(0.1,Skills!D11-IF(Skills!E11=TRUE,Inputs!$B$32,0)))*(1-IF(AND(ArtifactsInput!$M$27,Inputs!$B$4="Chapter Hunt"),CHOOSE(ArtifactsInput!$N$27+1,20,24,28,32,36,40),0)/100)),0)</f>
        <v/>
      </c>
      <c r="R614">
        <f>IF(AND(Inputs!$B$38&lt;&gt;"pvp",Inputs!$B$43&gt;0),IF(MAX(0,Inputs!$B$43-B635)&lt;=0,0,(INT(MAX(0,Inputs!$B$43-B635)/(IF(Inputs!$B$38="pvp",15,MAX(0.1,Skills!D11-IF(Skills!E11=TRUE,Inputs!$B$32,0)))*(1-IF(AND(ArtifactsInput!$M$27,Inputs!$B$4="Chapter Hunt"),CHOOSE(ArtifactsInput!$N$27+1,20,24,28,32,36,40),0)/100)))+1)),0)</f>
        <v/>
      </c>
      <c r="S614">
        <f>IFERROR(O614/N614,0)</f>
        <v/>
      </c>
      <c r="T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$21+Skills!Q11+(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V615" t="inlineStr"/>
    </row>
    <row r="616">
      <c r="A616">
        <f>Skills!A13</f>
        <v/>
      </c>
      <c r="B616">
        <f>Skills!B13</f>
        <v/>
      </c>
      <c r="C616">
        <f>Inputs!$B$3&gt;=66</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f>(1-Summary!$B$11)*T616+Summary!$B$11*V616</f>
        <v/>
      </c>
      <c r="P616">
        <f>IF(B638=0,0,O616/B638)</f>
        <v/>
      </c>
      <c r="Q616" t="n">
        <v>0</v>
      </c>
      <c r="R616" t="n">
        <v>0</v>
      </c>
      <c r="S616">
        <f>IFERROR(O616/N616,0)</f>
        <v/>
      </c>
      <c r="T616" t="n">
        <v>0</v>
      </c>
      <c r="V616" t="n">
        <v>0</v>
      </c>
    </row>
    <row r="617">
      <c r="A617">
        <f>Skills!A14</f>
        <v/>
      </c>
      <c r="B617">
        <f>Skills!B14</f>
        <v/>
      </c>
      <c r="C617">
        <f>Inputs!$B$3&gt;=107</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f>(1-Summary!$B$11)*T617+Summary!$B$11*V617</f>
        <v/>
      </c>
      <c r="P617">
        <f>IF(B638=0,0,O617/B638)</f>
        <v/>
      </c>
      <c r="Q617" t="n">
        <v>0</v>
      </c>
      <c r="R617" t="n">
        <v>0</v>
      </c>
      <c r="S617">
        <f>IFERROR(O617/N617,0)</f>
        <v/>
      </c>
      <c r="T617" t="n">
        <v>0</v>
      </c>
      <c r="V617" t="n">
        <v>0</v>
      </c>
    </row>
    <row r="618">
      <c r="A618">
        <f>Skills!A15</f>
        <v/>
      </c>
      <c r="B618">
        <f>Skills!B15</f>
        <v/>
      </c>
      <c r="C618">
        <f>Inputs!$B$3&gt;=115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f>(1-Summary!$B$11)*T618+Summary!$B$11*V618</f>
        <v/>
      </c>
      <c r="P618">
        <f>IF(B638=0,0,O618/B638)</f>
        <v/>
      </c>
      <c r="Q618" t="n">
        <v>0</v>
      </c>
      <c r="R618" t="n">
        <v>0</v>
      </c>
      <c r="S618">
        <f>IFERROR(O618/N618,0)</f>
        <v/>
      </c>
      <c r="T618" t="n">
        <v>0</v>
      </c>
      <c r="V618" t="n">
        <v>0</v>
      </c>
    </row>
    <row r="619">
      <c r="A619">
        <f>Skills!A16</f>
        <v/>
      </c>
      <c r="B619">
        <f>Skills!B16</f>
        <v/>
      </c>
      <c r="C619">
        <f>Inputs!$B$3&gt;=15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f>(1-Summary!$B$11)*T619+Summary!$B$11*V619</f>
        <v/>
      </c>
      <c r="P619">
        <f>IF(B638=0,0,O619/B638)</f>
        <v/>
      </c>
      <c r="Q619" t="n">
        <v>0</v>
      </c>
      <c r="R619" t="n">
        <v>0</v>
      </c>
      <c r="S619">
        <f>IFERROR(O619/N619,0)</f>
        <v/>
      </c>
      <c r="T619" t="n">
        <v>0</v>
      </c>
      <c r="V619" t="n">
        <v>0</v>
      </c>
    </row>
    <row r="620">
      <c r="A620">
        <f>Skills!A17</f>
        <v/>
      </c>
      <c r="B620">
        <f>Skills!B17</f>
        <v/>
      </c>
      <c r="C620">
        <f>Inputs!$B$3&gt;=10</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f>(1-Summary!$B$11)*T620+Summary!$B$11*V620</f>
        <v/>
      </c>
      <c r="P620">
        <f>IF(B638=0,0,O620/B638)</f>
        <v/>
      </c>
      <c r="Q620" t="n">
        <v>0</v>
      </c>
      <c r="R620" t="n">
        <v>0</v>
      </c>
      <c r="S620">
        <f>IFERROR(O620/N620,0)</f>
        <v/>
      </c>
      <c r="T620" t="n">
        <v>0</v>
      </c>
      <c r="V620" t="n">
        <v>0</v>
      </c>
    </row>
    <row r="621">
      <c r="A621">
        <f>Skills!A18</f>
        <v/>
      </c>
      <c r="B621">
        <f>Skills!B18</f>
        <v/>
      </c>
      <c r="C621">
        <f>Inputs!$B$3&gt;=33</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f>(1-Summary!$B$11)*T621+Summary!$B$11*V621</f>
        <v/>
      </c>
      <c r="P621">
        <f>IF(B638=0,0,O621/B638)</f>
        <v/>
      </c>
      <c r="Q621" t="n">
        <v>0</v>
      </c>
      <c r="R621" t="n">
        <v>0</v>
      </c>
      <c r="S621">
        <f>IFERROR(O621/N621,0)</f>
        <v/>
      </c>
      <c r="T621" t="n">
        <v>0</v>
      </c>
      <c r="V621" t="n">
        <v>0</v>
      </c>
    </row>
    <row r="622">
      <c r="A622">
        <f>Skills!A19</f>
        <v/>
      </c>
      <c r="B622">
        <f>Skills!B19</f>
        <v/>
      </c>
      <c r="C622">
        <f>Inputs!$B$3&gt;=40</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f>(1-Summary!$B$11)*T622+Summary!$B$11*V622</f>
        <v/>
      </c>
      <c r="P622">
        <f>IF(B638=0,0,O622/B638)</f>
        <v/>
      </c>
      <c r="Q622" t="n">
        <v>0</v>
      </c>
      <c r="R622" t="n">
        <v>0</v>
      </c>
      <c r="S622">
        <f>IFERROR(O622/N622,0)</f>
        <v/>
      </c>
      <c r="T622" t="n">
        <v>0</v>
      </c>
      <c r="V622" t="n">
        <v>0</v>
      </c>
    </row>
    <row r="623">
      <c r="A623">
        <f>Skills!A20</f>
        <v/>
      </c>
      <c r="B623">
        <f>Skills!B20</f>
        <v/>
      </c>
      <c r="C623">
        <f>Inputs!$B$3&gt;=43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f>(1-Summary!$B$11)*T623+Summary!$B$11*V623</f>
        <v/>
      </c>
      <c r="P623">
        <f>IF(B638=0,0,O623/B638)</f>
        <v/>
      </c>
      <c r="Q623" t="n">
        <v>0</v>
      </c>
      <c r="R623" t="n">
        <v>0</v>
      </c>
      <c r="S623">
        <f>IFERROR(O623/N623,0)</f>
        <v/>
      </c>
      <c r="T623" t="n">
        <v>0</v>
      </c>
      <c r="V623" t="n">
        <v>0</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f>(1-Summary!$B$11)*T624+Summary!$B$11*V624</f>
        <v/>
      </c>
      <c r="P624">
        <f>IF(B638=0,0,O624/B638)</f>
        <v/>
      </c>
      <c r="Q624" t="n">
        <v>0</v>
      </c>
      <c r="R624" t="n">
        <v>0</v>
      </c>
      <c r="S624">
        <f>IFERROR(O624/N624,0)</f>
        <v/>
      </c>
      <c r="T624" t="n">
        <v>0</v>
      </c>
      <c r="V624" t="n">
        <v>0</v>
      </c>
    </row>
    <row r="625">
      <c r="A625">
        <f>Skills!A22</f>
        <v/>
      </c>
      <c r="B625">
        <f>Skills!B22</f>
        <v/>
      </c>
      <c r="C625">
        <f>Inputs!$B$3&gt;=75</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f>(1-Summary!$B$11)*T625+Summary!$B$11*V625</f>
        <v/>
      </c>
      <c r="P625">
        <f>IF(B638=0,0,O625/B638)</f>
        <v/>
      </c>
      <c r="Q625" t="n">
        <v>0</v>
      </c>
      <c r="R625" t="n">
        <v>0</v>
      </c>
      <c r="S625">
        <f>IFERROR(O625/N625,0)</f>
        <v/>
      </c>
      <c r="T625" t="n">
        <v>0</v>
      </c>
      <c r="V625" t="n">
        <v>0</v>
      </c>
    </row>
    <row r="627">
      <c r="A627" t="inlineStr">
        <is>
          <t>Attack% Bucket Multiplier</t>
        </is>
      </c>
      <c r="B627">
        <f>(1+(((C616=TRUE)*F616)+((C622=TRUE)*(F622-Calc!F19))+(IF(ArtifactsInput!$M$21,CHOOSE(ArtifactsInput!$N$21+1,25,30,35,40,45,50)*(IF(OR(Inputs!$B$4="Chapter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8">
      <c r="A628" t="inlineStr">
        <is>
          <t>Global Crit Rate Bonus %</t>
        </is>
      </c>
      <c r="B628" t="n">
        <v>0</v>
      </c>
    </row>
    <row r="629">
      <c r="A629" t="inlineStr">
        <is>
          <t>Attack Speed Buff Bonus % (unused)</t>
        </is>
      </c>
      <c r="B629" t="n">
        <v>0</v>
      </c>
    </row>
    <row r="630">
      <c r="A630" t="inlineStr">
        <is>
          <t>Actions Per Second</t>
        </is>
      </c>
      <c r="B630">
        <f>1+MIN(150,150*(1-(1-(Inputs!$B$11+((C620=TRUE)*(F620-Calc!F17))+((C621=TRUE)*(F621-Calc!F18)))/150)*(1-B629/150)))/100</f>
        <v/>
      </c>
    </row>
    <row r="631">
      <c r="A631" t="inlineStr">
        <is>
          <t>Skill + Buff Cast Rate</t>
        </is>
      </c>
      <c r="B631">
        <f>IF(AND(Inputs!$B$38&lt;&gt;"pvp",Inputs!$B$43&gt;0),SUMPRODUCT((Skills!E2:E22=TRUE)*(C605:C625=TRUE)*R605:R625*Skills!F2:F22)/Inputs!$B$43,SUMPRODUCT((Skills!E2:E22=TRUE)*(C605:C625=TRUE)*Q605:Q625*Skills!F2:F22))</f>
        <v/>
      </c>
    </row>
    <row r="632">
      <c r="A632" t="inlineStr">
        <is>
          <t>Hook Bomber Casts Per Second</t>
        </is>
      </c>
      <c r="B632">
        <f>MAX(0,B630-B631)</f>
        <v/>
      </c>
    </row>
    <row r="633">
      <c r="A633" t="inlineStr">
        <is>
          <t>Global Critical Damage Bonus % (unused)</t>
        </is>
      </c>
      <c r="B633" t="n">
        <v>0</v>
      </c>
    </row>
    <row r="634">
      <c r="A634" t="inlineStr">
        <is>
          <t>Global Final Damage Bonus % (Serpent Scale + Crossbones + Time Leap + Speed Infusion)</t>
        </is>
      </c>
      <c r="B634">
        <f>((C608=TRUE)*F608*((10+IF(Inputs!$B$3&gt;=94,5,0))/((10+IF(Inputs!$B$3&gt;=94,5,0))+5/(B632*(1+IF(Inputs!$B$3&gt;=104,1,0))))))+((C617=TRUE)*F617)+((C618=TRUE)*F618)+((Inputs!$B$3&gt;=110)*20*(B630-1))</f>
        <v/>
      </c>
    </row>
    <row r="635">
      <c r="A635" t="inlineStr">
        <is>
          <t>Buff-Casting Startup Delay (s, fixed-duration only)</t>
        </is>
      </c>
      <c r="B635">
        <f>IF(AND(Inputs!$B$38&lt;&gt;"pvp",Inputs!$B$43&gt;0),SUMPRODUCT((Skills!T2:T22&gt;0)*(Skills!E2:E22=TRUE)*(C605:C625=TRUE))/B630,0)</f>
        <v/>
      </c>
    </row>
    <row r="636">
      <c r="A636" t="inlineStr">
        <is>
          <t>Boss-Only Total DPS (this block's swept value)</t>
        </is>
      </c>
      <c r="B636">
        <f>SUM(T605:T625)</f>
        <v/>
      </c>
    </row>
    <row r="637">
      <c r="A637" t="inlineStr">
        <is>
          <t>Normal-Only Total DPS (this block's swept value)</t>
        </is>
      </c>
      <c r="B637">
        <f>SUM(V605:V625)</f>
        <v/>
      </c>
    </row>
    <row r="638">
      <c r="A638" s="6" t="inlineStr">
        <is>
          <t>TOTAL DPS</t>
        </is>
      </c>
      <c r="B638" s="6">
        <f>SUM(O605:O625)</f>
        <v/>
      </c>
    </row>
    <row r="641">
      <c r="A641" s="6" t="inlineStr">
        <is>
          <t>Stat: SKILL_DAMAGE %</t>
        </is>
      </c>
    </row>
    <row r="642">
      <c r="A642" s="5" t="inlineStr">
        <is>
          <t>Key</t>
        </is>
      </c>
      <c r="B642" s="5" t="inlineStr">
        <is>
          <t>Name</t>
        </is>
      </c>
      <c r="C642" s="5" t="inlineStr">
        <is>
          <t>Unlocked</t>
        </is>
      </c>
      <c r="D642" s="5" t="inlineStr">
        <is>
          <t>InputLevel</t>
        </is>
      </c>
      <c r="E642" s="5" t="inlineStr">
        <is>
          <t>Factor</t>
        </is>
      </c>
      <c r="F642" s="5" t="inlineStr">
        <is>
          <t>CoefficientPercent</t>
        </is>
      </c>
      <c r="G642" s="5" t="inlineStr">
        <is>
          <t>EffectiveHits</t>
        </is>
      </c>
      <c r="H642" s="5" t="inlineStr">
        <is>
          <t>ProcProbability</t>
        </is>
      </c>
      <c r="I642" s="5" t="inlineStr">
        <is>
          <t>MapleHeroMultiplier</t>
        </is>
      </c>
      <c r="J642" s="5" t="inlineStr">
        <is>
          <t>BaseDamage</t>
        </is>
      </c>
      <c r="K642" s="5" t="inlineStr">
        <is>
          <t>BaseHitDamage</t>
        </is>
      </c>
      <c r="L642" s="5" t="inlineStr">
        <is>
          <t>NonCritAvg</t>
        </is>
      </c>
      <c r="M642" s="5" t="inlineStr">
        <is>
          <t>CritAvg</t>
        </is>
      </c>
      <c r="N642" s="5" t="inlineStr">
        <is>
          <t>ExpectedDamage(perHit)</t>
        </is>
      </c>
      <c r="O642" s="5" t="inlineStr">
        <is>
          <t>DPS</t>
        </is>
      </c>
      <c r="P642" s="5" t="inlineStr">
        <is>
          <t>% of Total</t>
        </is>
      </c>
      <c r="Q642" s="5" t="inlineStr">
        <is>
          <t>InvCooldown</t>
        </is>
      </c>
      <c r="R642" s="5" t="inlineStr">
        <is>
          <t>CastsInFight</t>
        </is>
      </c>
      <c r="S642" s="5"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661=TRUE)*(F661-Calc!F20)),(Inputs!$B$23+0+(IF(ArtifactsInput!$M$15,CHOOSE(ArtifactsInput!$N$15+1,25,30,35,40,45,50)/100*(Inputs!$B$11-Inputs!$B$11),0))))/100+(Inputs!$B$23+0+(IF(ArtifactsInput!$M$15,CHOOSE(ArtifactsInput!$N$15+1,25,30,35,40,45,50)/100*(Inputs!$B$11-Inputs!$B$11),0)))/100)/2</f>
        <v/>
      </c>
      <c r="M643">
        <f>L643*(1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IF(B676=0,0,O643/B676)</f>
        <v/>
      </c>
      <c r="Q643" t="n">
        <v>0</v>
      </c>
      <c r="R643" t="n">
        <v>0</v>
      </c>
      <c r="S643">
        <f>IFERROR(O643/N643,0)</f>
        <v/>
      </c>
      <c r="T643">
        <f>IF(C643,(Skills!G2*N643*B670)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3">
        <f>MAX(0,(Inputs!$B$3-100)*3)+Inputs!$B$28+Inputs!$B$29</f>
        <v/>
      </c>
      <c r="V643">
        <f>IF(C643,(Skills!G2*N643*B670)*IF(Inputs!$B$38="pvp",1,(1+(Inputs!$B$21+Skills!Q2+(IF(ArtifactsInput!$M$33,CHOOSE(ArtifactsInput!$N$33+1,30,36,42,48,54,60),0))+(IF(AND(ArtifactsInput!$M$35,Inputs!$B$4&lt;&gt;"Chapter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Skills!A3</f>
        <v/>
      </c>
      <c r="B644">
        <f>Skills!B3</f>
        <v/>
      </c>
      <c r="C644">
        <f>Inputs!$B$3&gt;=35</f>
        <v/>
      </c>
      <c r="D644">
        <f>IF(Skills!C3=1,60+Inputs!$B$25+Inputs!$B$29,IF(Skills!C3=2,90+Inputs!$B$26+Inputs!$B$29,IF(Skills!C3=3,120+Inputs!$B$27+Inputs!$B$29,MAX(0,(Inputs!$B$3-100)*3)+Inputs!$B$28+Inputs!$B$29)))</f>
        <v/>
      </c>
      <c r="E644">
        <f>INDEX(FactorTable!$B$2:$Y$301, MATCH(ROUND(MIN(300,MAX(1,D644)),0), FactorTable!$A$2:$A$301,0), Skills!M3+1)</f>
        <v/>
      </c>
      <c r="F644">
        <f>IF(Skills!N3=TRUE,(Skills!L3/10)*(E644/1000),Skills!L3/10)+Skills!O3</f>
        <v/>
      </c>
      <c r="G644">
        <f>Skills!G3*IF(Skills!H3&gt;0,Skills!I3/Skills!H3,1)</f>
        <v/>
      </c>
      <c r="H644">
        <f>1-(1-Skills!J3/100)^Skills!K3</f>
        <v/>
      </c>
      <c r="I644" t="inlineStr">
        <is>
          <t>1</t>
        </is>
      </c>
      <c r="J644">
        <f>((Inputs!$B$6*(1+Inputs!$B$7/100))+(((Inputs!$B$12*(1+Inputs!$B$13/100))-(Inputs!$B$12*(1+Inputs!$B$13/100)))+0.25*(Inputs!$B$14-Inputs!$B$14))*(1+Inputs!$B$7/100))*(F644/100)</f>
        <v/>
      </c>
      <c r="K644">
        <f>J644*(1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661=TRUE)*(F661-Calc!F20)),(Inputs!$B$23+0+(IF(ArtifactsInput!$M$15,CHOOSE(ArtifactsInput!$N$15+1,25,30,35,40,45,50)/100*(Inputs!$B$11-Inputs!$B$11),0))))/100+(Inputs!$B$23+0+(IF(ArtifactsInput!$M$15,CHOOSE(ArtifactsInput!$N$15+1,25,30,35,40,45,50)/100*(Inputs!$B$11-Inputs!$B$11),0)))/100)/2</f>
        <v/>
      </c>
      <c r="M644">
        <f>L644*(1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IF(B676=0,0,O644/B676)</f>
        <v/>
      </c>
      <c r="Q644" t="n">
        <v>0</v>
      </c>
      <c r="R644" t="n">
        <v>0</v>
      </c>
      <c r="S644">
        <f>IFERROR(O644/N644,0)</f>
        <v/>
      </c>
      <c r="T644">
        <f>IF(C644,(Skills!G3*H644*N644*B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4">
        <f>INDEX(FactorTable!$B$2:$Y$301, MATCH(ROUND(MIN(300,MAX(1,U643)),0), FactorTable!$A$2:$A$301,0), 22)</f>
        <v/>
      </c>
      <c r="V644">
        <f>IF(C644,(Skills!G3*H644*N644*B670)*IF(Inputs!$B$38="pvp",1,(1+(Inputs!$B$21+Skills!Q3+(IF(ArtifactsInput!$M$33,CHOOSE(ArtifactsInput!$N$33+1,30,36,42,48,54,60),0))+(IF(AND(ArtifactsInput!$M$35,Inputs!$B$4&lt;&gt;"Chapter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Skills!A4</f>
        <v/>
      </c>
      <c r="B645">
        <f>Skills!B4</f>
        <v/>
      </c>
      <c r="C645">
        <f>Inputs!$B$3&gt;=60</f>
        <v/>
      </c>
      <c r="D645">
        <f>IF(Skills!C4=1,60+Inputs!$B$25+Inputs!$B$29,IF(Skills!C4=2,90+Inputs!$B$26+Inputs!$B$29,IF(Skills!C4=3,120+Inputs!$B$27+Inputs!$B$29,MAX(0,(Inputs!$B$3-100)*3)+Inputs!$B$28+Inputs!$B$29)))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653=TRUE,F653,0)/100)*(1+(IF(Skills!A4="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661=TRUE)*(F661-Calc!F20)),(Inputs!$B$23+0+(IF(ArtifactsInput!$M$15,CHOOSE(ArtifactsInput!$N$15+1,25,30,35,40,45,50)/100*(Inputs!$B$11-Inputs!$B$11),0))))/100+(Inputs!$B$23+0+(IF(ArtifactsInput!$M$15,CHOOSE(ArtifactsInput!$N$15+1,25,30,35,40,45,50)/100*(Inputs!$B$11-Inputs!$B$11),0)))/100)/2</f>
        <v/>
      </c>
      <c r="M645">
        <f>L645*(1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IF(B676=0,0,O645/B676)</f>
        <v/>
      </c>
      <c r="Q645" t="n">
        <v>0</v>
      </c>
      <c r="R645" t="n">
        <v>0</v>
      </c>
      <c r="S645">
        <f>IFERROR(O645/N645,0)</f>
        <v/>
      </c>
      <c r="T645">
        <f>IF(C645,(Skills!G4*H645*N645*B670)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290*U644/1000</f>
        <v/>
      </c>
      <c r="V645">
        <f>IF(C645,(Skills!G4*H645*N645*B670)*IF(Inputs!$B$38="pvp",1,(1+(Inputs!$B$21+Skills!Q4+(IF(ArtifactsInput!$M$33,CHOOSE(ArtifactsInput!$N$33+1,30,36,42,48,54,60),0))+(IF(AND(ArtifactsInput!$M$35,Inputs!$B$4&lt;&gt;"Chapter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Skills!A5</f>
        <v/>
      </c>
      <c r="B646">
        <f>Skills!B5</f>
        <v/>
      </c>
      <c r="C646">
        <f>Inputs!$B$3&gt;=60</f>
        <v/>
      </c>
      <c r="D646">
        <f>IF(Skills!C5=1,60+Inputs!$B$25+Inputs!$B$29,IF(Skills!C5=2,90+Inputs!$B$26+Inputs!$B$29,IF(Skills!C5=3,120+Inputs!$B$27+Inputs!$B$29,MAX(0,(Inputs!$B$3-100)*3)+Inputs!$B$28+Inputs!$B$29)))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t="inlineStr"/>
      <c r="K646" t="inlineStr"/>
      <c r="L646" t="inlineStr"/>
      <c r="M646" t="inlineStr"/>
      <c r="N646" t="inlineStr"/>
      <c r="O646">
        <f>(1-Summary!$B$11)*T646+Summary!$B$11*V646</f>
        <v/>
      </c>
      <c r="P646">
        <f>IF(B676=0,0,O646/B676)</f>
        <v/>
      </c>
      <c r="Q646" t="n">
        <v>0</v>
      </c>
      <c r="R646" t="n">
        <v>0</v>
      </c>
      <c r="S646">
        <f>IFERROR(O646/N646,0)</f>
        <v/>
      </c>
      <c r="T646" t="n">
        <v>0</v>
      </c>
      <c r="V646" t="n">
        <v>0</v>
      </c>
    </row>
    <row r="647">
      <c r="A647">
        <f>Skills!A6</f>
        <v/>
      </c>
      <c r="B647">
        <f>Skills!B6</f>
        <v/>
      </c>
      <c r="C647">
        <f>Inputs!$B$3&gt;=63</f>
        <v/>
      </c>
      <c r="D647">
        <f>IF(Skills!C6=1,60+Inputs!$B$25+Inputs!$B$29,IF(Skills!C6=2,90+Inputs!$B$26+Inputs!$B$29,IF(Skills!C6=3,120+Inputs!$B$27+Inputs!$B$29,MAX(0,(Inputs!$B$3-100)*3)+Inputs!$B$28+Inputs!$B$29)))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661=TRUE)*(F661-Calc!F20)),(Inputs!$B$23+0+(IF(ArtifactsInput!$M$15,CHOOSE(ArtifactsInput!$N$15+1,25,30,35,40,45,50)/100*(Inputs!$B$11-Inputs!$B$11),0))))/100+(Inputs!$B$23+0+(IF(ArtifactsInput!$M$15,CHOOSE(ArtifactsInput!$N$15+1,25,30,35,40,45,50)/100*(Inputs!$B$11-Inputs!$B$11),0)))/100)/2</f>
        <v/>
      </c>
      <c r="M647">
        <f>L647*(1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IF(B676=0,0,O647/B676)</f>
        <v/>
      </c>
      <c r="Q647">
        <f>IFERROR(1/(IF(Inputs!$B$38="pvp",15,MAX(0.1,Skills!D6-IF(Skills!E6=TRUE,Inputs!$B$32,0)))*(1-IF(AND(ArtifactsInput!$M$27,Inputs!$B$4="Chapter Hunt"),CHOOSE(ArtifactsInput!$N$27+1,20,24,28,32,36,40),0)/100)),0)</f>
        <v/>
      </c>
      <c r="R647">
        <f>IF(AND(Inputs!$B$38&lt;&gt;"pvp",Inputs!$B$43&gt;0),IF(MAX(0,Inputs!$B$43-B673)&lt;=0,0,(INT(MAX(0,Inputs!$B$43-B673)/(IF(Inputs!$B$38="pvp",15,MAX(0.1,Skills!D6-IF(Skills!E6=TRUE,Inputs!$B$32,0)))*(1-IF(AND(ArtifactsInput!$M$27,Inputs!$B$4="Chapter Hunt"),CHOOSE(ArtifactsInput!$N$27+1,20,24,28,32,36,40),0)/100)))+1)),0)</f>
        <v/>
      </c>
      <c r="S647">
        <f>IFERROR(O647/N647,0)</f>
        <v/>
      </c>
      <c r="T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$21+Skills!Q6+(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Skills!A7</f>
        <v/>
      </c>
      <c r="B648">
        <f>Skills!B7</f>
        <v/>
      </c>
      <c r="C648">
        <f>Inputs!$B$3&gt;=100</f>
        <v/>
      </c>
      <c r="D648">
        <f>IF(Skills!C7=1,60+Inputs!$B$25+Inputs!$B$29,IF(Skills!C7=2,90+Inputs!$B$26+Inputs!$B$29,IF(Skills!C7=3,120+Inputs!$B$27+Inputs!$B$29,MAX(0,(Inputs!$B$3-100)*3)+Inputs!$B$28+Inputs!$B$29)))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661=TRUE)*(F661-Calc!F20)),(Inputs!$B$23+0+(IF(ArtifactsInput!$M$15,CHOOSE(ArtifactsInput!$N$15+1,25,30,35,40,45,50)/100*(Inputs!$B$11-Inputs!$B$11),0))))/100+(Inputs!$B$23+0+(IF(ArtifactsInput!$M$15,CHOOSE(ArtifactsInput!$N$15+1,25,30,35,40,45,50)/100*(Inputs!$B$11-Inputs!$B$11),0)))/100)/2</f>
        <v/>
      </c>
      <c r="M648">
        <f>L648*(1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IF(B676=0,0,O648/B676)</f>
        <v/>
      </c>
      <c r="Q648">
        <f>IFERROR(1/(IF(Inputs!$B$38="pvp",15,MAX(0.1,Skills!D7-IF(Skills!E7=TRUE,Inputs!$B$32,0)))*(1-IF(AND(ArtifactsInput!$M$27,Inputs!$B$4="Chapter Hunt"),CHOOSE(ArtifactsInput!$N$27+1,20,24,28,32,36,40),0)/100)),0)</f>
        <v/>
      </c>
      <c r="R648">
        <f>IF(AND(Inputs!$B$38&lt;&gt;"pvp",Inputs!$B$43&gt;0),IF(MAX(0,Inputs!$B$43-B673)&lt;=0,0,(INT(MAX(0,Inputs!$B$43-B673)/(IF(Inputs!$B$38="pvp",15,MAX(0.1,Skills!D7-IF(Skills!E7=TRUE,Inputs!$B$32,0)))*(1-IF(AND(ArtifactsInput!$M$27,Inputs!$B$4="Chapter Hunt"),CHOOSE(ArtifactsInput!$N$27+1,20,24,28,32,36,40),0)/100)))+1)),0)</f>
        <v/>
      </c>
      <c r="S648">
        <f>IFERROR(O648/N648,0)</f>
        <v/>
      </c>
      <c r="T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$21+Skills!Q7+(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Skills!A8</f>
        <v/>
      </c>
      <c r="B649">
        <f>Skills!B8</f>
        <v/>
      </c>
      <c r="C649">
        <f>Inputs!$B$3&gt;=110</f>
        <v/>
      </c>
      <c r="D649">
        <f>IF(Skills!C8=1,60+Inputs!$B$25+Inputs!$B$29,IF(Skills!C8=2,90+Inputs!$B$26+Inputs!$B$29,IF(Skills!C8=3,120+Inputs!$B$27+Inputs!$B$29,MAX(0,(Inputs!$B$3-100)*3)+Inputs!$B$28+Inputs!$B$29)))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661=TRUE)*(F661-Calc!F20)),(Inputs!$B$23+0+(IF(ArtifactsInput!$M$15,CHOOSE(ArtifactsInput!$N$15+1,25,30,35,40,45,50)/100*(Inputs!$B$11-Inputs!$B$11),0))))/100+(Inputs!$B$23+0+(IF(ArtifactsInput!$M$15,CHOOSE(ArtifactsInput!$N$15+1,25,30,35,40,45,50)/100*(Inputs!$B$11-Inputs!$B$11),0)))/100)/2</f>
        <v/>
      </c>
      <c r="M649">
        <f>L649*(1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IF(B676=0,0,O649/B676)</f>
        <v/>
      </c>
      <c r="Q649">
        <f>IFERROR(1/(IF(Inputs!$B$38="pvp",15,MAX(0.1,Skills!D8-IF(Skills!E8=TRUE,Inputs!$B$32,0)))*(1-IF(AND(ArtifactsInput!$M$27,Inputs!$B$4="Chapter Hunt"),CHOOSE(ArtifactsInput!$N$27+1,20,24,28,32,36,40),0)/100)),0)</f>
        <v/>
      </c>
      <c r="R649">
        <f>IF(AND(Inputs!$B$38&lt;&gt;"pvp",Inputs!$B$43&gt;0),IF(MAX(0,Inputs!$B$43-B673)&lt;=0,0,(INT(MAX(0,Inputs!$B$43-B673)/(IF(Inputs!$B$38="pvp",15,MAX(0.1,Skills!D8-IF(Skills!E8=TRUE,Inputs!$B$32,0)))*(1-IF(AND(ArtifactsInput!$M$27,Inputs!$B$4="Chapter Hunt"),CHOOSE(ArtifactsInput!$N$27+1,20,24,28,32,36,40),0)/100)))+1)),0)</f>
        <v/>
      </c>
      <c r="S649">
        <f>IFERROR(O649/N649,0)</f>
        <v/>
      </c>
      <c r="T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$21+Skills!Q8+(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Skills!A9</f>
        <v/>
      </c>
      <c r="B650">
        <f>Skills!B9</f>
        <v/>
      </c>
      <c r="C650">
        <f>Inputs!$B$3&gt;=110</f>
        <v/>
      </c>
      <c r="D650">
        <f>IF(Skills!C9=1,60+Inputs!$B$25+Inputs!$B$29,IF(Skills!C9=2,90+Inputs!$B$26+Inputs!$B$29,IF(Skills!C9=3,120+Inputs!$B$27+Inputs!$B$29,MAX(0,(Inputs!$B$3-100)*3)+Inputs!$B$28+Inputs!$B$29)))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661=TRUE)*(F661-Calc!F20)),(Inputs!$B$23+0+(IF(ArtifactsInput!$M$15,CHOOSE(ArtifactsInput!$N$15+1,25,30,35,40,45,50)/100*(Inputs!$B$11-Inputs!$B$11),0))))/100+(Inputs!$B$23+0+(IF(ArtifactsInput!$M$15,CHOOSE(ArtifactsInput!$N$15+1,25,30,35,40,45,50)/100*(Inputs!$B$11-Inputs!$B$11),0)))/100)/2</f>
        <v/>
      </c>
      <c r="M650">
        <f>L650*(1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IF(B676=0,0,O650/B676)</f>
        <v/>
      </c>
      <c r="Q650">
        <f>IFERROR(1/(IF(Inputs!$B$38="pvp",15,MAX(0.1,Skills!D9-IF(Skills!E9=TRUE,Inputs!$B$32,0)))*(1-IF(AND(ArtifactsInput!$M$27,Inputs!$B$4="Chapter Hunt"),CHOOSE(ArtifactsInput!$N$27+1,20,24,28,32,36,40),0)/100)),0)</f>
        <v/>
      </c>
      <c r="R650">
        <f>IF(AND(Inputs!$B$38&lt;&gt;"pvp",Inputs!$B$43&gt;0),IF(MAX(0,Inputs!$B$43-B673)&lt;=0,0,(INT(MAX(0,Inputs!$B$43-B673)/(IF(Inputs!$B$38="pvp",15,MAX(0.1,Skills!D9-IF(Skills!E9=TRUE,Inputs!$B$32,0)))*(1-IF(AND(ArtifactsInput!$M$27,Inputs!$B$4="Chapter Hunt"),CHOOSE(ArtifactsInput!$N$27+1,20,24,28,32,36,40),0)/100)))+1)),0)</f>
        <v/>
      </c>
      <c r="S650">
        <f>IFERROR(O650/N650,0)</f>
        <v/>
      </c>
      <c r="T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$21+Skills!Q9+(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Skills!A10</f>
        <v/>
      </c>
      <c r="B651">
        <f>Skills!B10</f>
        <v/>
      </c>
      <c r="C651">
        <f>Inputs!$B$3&gt;=103</f>
        <v/>
      </c>
      <c r="D651">
        <f>IF(Skills!C10=1,60+Inputs!$B$25+Inputs!$B$29,IF(Skills!C10=2,90+Inputs!$B$26+Inputs!$B$29,IF(Skills!C10=3,120+Inputs!$B$27+Inputs!$B$29,MAX(0,(Inputs!$B$3-100)*3)+Inputs!$B$28+Inputs!$B$29)))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661=TRUE)*(F661-Calc!F20)),(Inputs!$B$23+0+(IF(ArtifactsInput!$M$15,CHOOSE(ArtifactsInput!$N$15+1,25,30,35,40,45,50)/100*(Inputs!$B$11-Inputs!$B$11),0))))/100+(Inputs!$B$23+0+(IF(ArtifactsInput!$M$15,CHOOSE(ArtifactsInput!$N$15+1,25,30,35,40,45,50)/100*(Inputs!$B$11-Inputs!$B$11),0)))/100)/2</f>
        <v/>
      </c>
      <c r="M651">
        <f>L651*(1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IF(B676=0,0,O651/B676)</f>
        <v/>
      </c>
      <c r="Q651">
        <f>IFERROR(1/(IF(Inputs!$B$38="pvp",15,MAX(0.1,Skills!D10-IF(Skills!E10=TRUE,Inputs!$B$32,0)))*(1-IF(AND(ArtifactsInput!$M$27,Inputs!$B$4="Chapter Hunt"),CHOOSE(ArtifactsInput!$N$27+1,20,24,28,32,36,40),0)/100)),0)</f>
        <v/>
      </c>
      <c r="R651">
        <f>IF(AND(Inputs!$B$38&lt;&gt;"pvp",Inputs!$B$43&gt;0),IF(MAX(0,Inputs!$B$43-B673)&lt;=0,0,(INT(MAX(0,Inputs!$B$43-B673)/(IF(Inputs!$B$38="pvp",15,MAX(0.1,Skills!D10-IF(Skills!E10=TRUE,Inputs!$B$32,0)))*(1-IF(AND(ArtifactsInput!$M$27,Inputs!$B$4="Chapter Hunt"),CHOOSE(ArtifactsInput!$N$27+1,20,24,28,32,36,40),0)/100)))+1)),0)</f>
        <v/>
      </c>
      <c r="S651">
        <f>IFERROR(O651/N651,0)</f>
        <v/>
      </c>
      <c r="T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$21+Skills!Q10+(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Skills!A11</f>
        <v/>
      </c>
      <c r="B652">
        <f>Skills!B11</f>
        <v/>
      </c>
      <c r="C652">
        <f>Inputs!$B$3&gt;=113</f>
        <v/>
      </c>
      <c r="D652">
        <f>IF(Skills!C11=1,60+Inputs!$B$25+Inputs!$B$29,IF(Skills!C11=2,90+Inputs!$B$26+Inputs!$B$29,IF(Skills!C11=3,120+Inputs!$B$27+Inputs!$B$29,MAX(0,(Inputs!$B$3-100)*3)+Inputs!$B$28+Inputs!$B$29)))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661=TRUE)*(F661-Calc!F20)),(Inputs!$B$23+0+(IF(ArtifactsInput!$M$15,CHOOSE(ArtifactsInput!$N$15+1,25,30,35,40,45,50)/100*(Inputs!$B$11-Inputs!$B$11),0))))/100+(Inputs!$B$23+0+(IF(ArtifactsInput!$M$15,CHOOSE(ArtifactsInput!$N$15+1,25,30,35,40,45,50)/100*(Inputs!$B$11-Inputs!$B$11),0)))/100)/2</f>
        <v/>
      </c>
      <c r="M652">
        <f>L652*(1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IF(B676=0,0,O652/B676)</f>
        <v/>
      </c>
      <c r="Q652">
        <f>IFERROR(1/(IF(Inputs!$B$38="pvp",15,MAX(0.1,Skills!D11-IF(Skills!E11=TRUE,Inputs!$B$32,0)))*(1-IF(AND(ArtifactsInput!$M$27,Inputs!$B$4="Chapter Hunt"),CHOOSE(ArtifactsInput!$N$27+1,20,24,28,32,36,40),0)/100)),0)</f>
        <v/>
      </c>
      <c r="R652">
        <f>IF(AND(Inputs!$B$38&lt;&gt;"pvp",Inputs!$B$43&gt;0),IF(MAX(0,Inputs!$B$43-B673)&lt;=0,0,(INT(MAX(0,Inputs!$B$43-B673)/(IF(Inputs!$B$38="pvp",15,MAX(0.1,Skills!D11-IF(Skills!E11=TRUE,Inputs!$B$32,0)))*(1-IF(AND(ArtifactsInput!$M$27,Inputs!$B$4="Chapter Hunt"),CHOOSE(ArtifactsInput!$N$27+1,20,24,28,32,36,40),0)/100)))+1)),0)</f>
        <v/>
      </c>
      <c r="S652">
        <f>IFERROR(O652/N652,0)</f>
        <v/>
      </c>
      <c r="T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$21+Skills!Q11+(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Skills!A12</f>
        <v/>
      </c>
      <c r="B653">
        <f>Skills!B12</f>
        <v/>
      </c>
      <c r="C653">
        <f>Inputs!$B$3&gt;=100</f>
        <v/>
      </c>
      <c r="D653">
        <f>IF(Skills!C12=1,60+Inputs!$B$25+Inputs!$B$29,IF(Skills!C12=2,90+Inputs!$B$26+Inputs!$B$29,IF(Skills!C12=3,120+Inputs!$B$27+Inputs!$B$29,MAX(0,(Inputs!$B$3-100)*3)+Inputs!$B$28+Inputs!$B$29)))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c r="T653" t="inlineStr"/>
      <c r="V653" t="inlineStr"/>
    </row>
    <row r="654">
      <c r="A654">
        <f>Skills!A13</f>
        <v/>
      </c>
      <c r="B654">
        <f>Skills!B13</f>
        <v/>
      </c>
      <c r="C654">
        <f>Inputs!$B$3&gt;=66</f>
        <v/>
      </c>
      <c r="D654">
        <f>IF(Skills!C13=1,60+Inputs!$B$25+Inputs!$B$29,IF(Skills!C13=2,90+Inputs!$B$26+Inputs!$B$29,IF(Skills!C13=3,120+Inputs!$B$27+Inputs!$B$29,MAX(0,(Inputs!$B$3-100)*3)+Inputs!$B$28+Inputs!$B$29)))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f>(1-Summary!$B$11)*T654+Summary!$B$11*V654</f>
        <v/>
      </c>
      <c r="P654">
        <f>IF(B676=0,0,O654/B676)</f>
        <v/>
      </c>
      <c r="Q654" t="n">
        <v>0</v>
      </c>
      <c r="R654" t="n">
        <v>0</v>
      </c>
      <c r="S654">
        <f>IFERROR(O654/N654,0)</f>
        <v/>
      </c>
      <c r="T654" t="n">
        <v>0</v>
      </c>
      <c r="V654" t="n">
        <v>0</v>
      </c>
    </row>
    <row r="655">
      <c r="A655">
        <f>Skills!A14</f>
        <v/>
      </c>
      <c r="B655">
        <f>Skills!B14</f>
        <v/>
      </c>
      <c r="C655">
        <f>Inputs!$B$3&gt;=107</f>
        <v/>
      </c>
      <c r="D655">
        <f>IF(Skills!C14=1,60+Inputs!$B$25+Inputs!$B$29,IF(Skills!C14=2,90+Inputs!$B$26+Inputs!$B$29,IF(Skills!C14=3,120+Inputs!$B$27+Inputs!$B$29,MAX(0,(Inputs!$B$3-100)*3)+Inputs!$B$28+Inputs!$B$29)))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f>(1-Summary!$B$11)*T655+Summary!$B$11*V655</f>
        <v/>
      </c>
      <c r="P655">
        <f>IF(B676=0,0,O655/B676)</f>
        <v/>
      </c>
      <c r="Q655" t="n">
        <v>0</v>
      </c>
      <c r="R655" t="n">
        <v>0</v>
      </c>
      <c r="S655">
        <f>IFERROR(O655/N655,0)</f>
        <v/>
      </c>
      <c r="T655" t="n">
        <v>0</v>
      </c>
      <c r="V655" t="n">
        <v>0</v>
      </c>
    </row>
    <row r="656">
      <c r="A656">
        <f>Skills!A15</f>
        <v/>
      </c>
      <c r="B656">
        <f>Skills!B15</f>
        <v/>
      </c>
      <c r="C656">
        <f>Inputs!$B$3&gt;=115</f>
        <v/>
      </c>
      <c r="D656">
        <f>IF(Skills!C15=1,60+Inputs!$B$25+Inputs!$B$29,IF(Skills!C15=2,90+Inputs!$B$26+Inputs!$B$29,IF(Skills!C15=3,120+Inputs!$B$27+Inputs!$B$29,MAX(0,(Inputs!$B$3-100)*3)+Inputs!$B$28+Inputs!$B$29)))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f>(1-Summary!$B$11)*T656+Summary!$B$11*V656</f>
        <v/>
      </c>
      <c r="P656">
        <f>IF(B676=0,0,O656/B676)</f>
        <v/>
      </c>
      <c r="Q656" t="n">
        <v>0</v>
      </c>
      <c r="R656" t="n">
        <v>0</v>
      </c>
      <c r="S656">
        <f>IFERROR(O656/N656,0)</f>
        <v/>
      </c>
      <c r="T656" t="n">
        <v>0</v>
      </c>
      <c r="V656" t="n">
        <v>0</v>
      </c>
    </row>
    <row r="657">
      <c r="A657">
        <f>Skills!A16</f>
        <v/>
      </c>
      <c r="B657">
        <f>Skills!B16</f>
        <v/>
      </c>
      <c r="C657">
        <f>Inputs!$B$3&gt;=15</f>
        <v/>
      </c>
      <c r="D657">
        <f>IF(Skills!C16=1,60+Inputs!$B$25+Inputs!$B$29,IF(Skills!C16=2,90+Inputs!$B$26+Inputs!$B$29,IF(Skills!C16=3,120+Inputs!$B$27+Inputs!$B$29,MAX(0,(Inputs!$B$3-100)*3)+Inputs!$B$28+Inputs!$B$29)))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f>(1-Summary!$B$11)*T657+Summary!$B$11*V657</f>
        <v/>
      </c>
      <c r="P657">
        <f>IF(B676=0,0,O657/B676)</f>
        <v/>
      </c>
      <c r="Q657" t="n">
        <v>0</v>
      </c>
      <c r="R657" t="n">
        <v>0</v>
      </c>
      <c r="S657">
        <f>IFERROR(O657/N657,0)</f>
        <v/>
      </c>
      <c r="T657" t="n">
        <v>0</v>
      </c>
      <c r="V657" t="n">
        <v>0</v>
      </c>
    </row>
    <row r="658">
      <c r="A658">
        <f>Skills!A17</f>
        <v/>
      </c>
      <c r="B658">
        <f>Skills!B17</f>
        <v/>
      </c>
      <c r="C658">
        <f>Inputs!$B$3&gt;=10</f>
        <v/>
      </c>
      <c r="D658">
        <f>IF(Skills!C17=1,60+Inputs!$B$25+Inputs!$B$29,IF(Skills!C17=2,90+Inputs!$B$26+Inputs!$B$29,IF(Skills!C17=3,120+Inputs!$B$27+Inputs!$B$29,MAX(0,(Inputs!$B$3-100)*3)+Inputs!$B$28+Inputs!$B$29)))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f>(1-Summary!$B$11)*T658+Summary!$B$11*V658</f>
        <v/>
      </c>
      <c r="P658">
        <f>IF(B676=0,0,O658/B676)</f>
        <v/>
      </c>
      <c r="Q658" t="n">
        <v>0</v>
      </c>
      <c r="R658" t="n">
        <v>0</v>
      </c>
      <c r="S658">
        <f>IFERROR(O658/N658,0)</f>
        <v/>
      </c>
      <c r="T658" t="n">
        <v>0</v>
      </c>
      <c r="V658" t="n">
        <v>0</v>
      </c>
    </row>
    <row r="659">
      <c r="A659">
        <f>Skills!A18</f>
        <v/>
      </c>
      <c r="B659">
        <f>Skills!B18</f>
        <v/>
      </c>
      <c r="C659">
        <f>Inputs!$B$3&gt;=33</f>
        <v/>
      </c>
      <c r="D659">
        <f>IF(Skills!C18=1,60+Inputs!$B$25+Inputs!$B$29,IF(Skills!C18=2,90+Inputs!$B$26+Inputs!$B$29,IF(Skills!C18=3,120+Inputs!$B$27+Inputs!$B$29,MAX(0,(Inputs!$B$3-100)*3)+Inputs!$B$28+Inputs!$B$29)))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f>(1-Summary!$B$11)*T659+Summary!$B$11*V659</f>
        <v/>
      </c>
      <c r="P659">
        <f>IF(B676=0,0,O659/B676)</f>
        <v/>
      </c>
      <c r="Q659" t="n">
        <v>0</v>
      </c>
      <c r="R659" t="n">
        <v>0</v>
      </c>
      <c r="S659">
        <f>IFERROR(O659/N659,0)</f>
        <v/>
      </c>
      <c r="T659" t="n">
        <v>0</v>
      </c>
      <c r="V659" t="n">
        <v>0</v>
      </c>
    </row>
    <row r="660">
      <c r="A660">
        <f>Skills!A19</f>
        <v/>
      </c>
      <c r="B660">
        <f>Skills!B19</f>
        <v/>
      </c>
      <c r="C660">
        <f>Inputs!$B$3&gt;=40</f>
        <v/>
      </c>
      <c r="D660">
        <f>IF(Skills!C19=1,60+Inputs!$B$25+Inputs!$B$29,IF(Skills!C19=2,90+Inputs!$B$26+Inputs!$B$29,IF(Skills!C19=3,120+Inputs!$B$27+Inputs!$B$29,MAX(0,(Inputs!$B$3-100)*3)+Inputs!$B$28+Inputs!$B$29)))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f>(1-Summary!$B$11)*T660+Summary!$B$11*V660</f>
        <v/>
      </c>
      <c r="P660">
        <f>IF(B676=0,0,O660/B676)</f>
        <v/>
      </c>
      <c r="Q660" t="n">
        <v>0</v>
      </c>
      <c r="R660" t="n">
        <v>0</v>
      </c>
      <c r="S660">
        <f>IFERROR(O660/N660,0)</f>
        <v/>
      </c>
      <c r="T660" t="n">
        <v>0</v>
      </c>
      <c r="V660" t="n">
        <v>0</v>
      </c>
    </row>
    <row r="661">
      <c r="A661">
        <f>Skills!A20</f>
        <v/>
      </c>
      <c r="B661">
        <f>Skills!B20</f>
        <v/>
      </c>
      <c r="C661">
        <f>Inputs!$B$3&gt;=43</f>
        <v/>
      </c>
      <c r="D661">
        <f>IF(Skills!C20=1,60+Inputs!$B$25+Inputs!$B$29,IF(Skills!C20=2,90+Inputs!$B$26+Inputs!$B$29,IF(Skills!C20=3,120+Inputs!$B$27+Inputs!$B$29,MAX(0,(Inputs!$B$3-100)*3)+Inputs!$B$28+Inputs!$B$29)))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f>(1-Summary!$B$11)*T661+Summary!$B$11*V661</f>
        <v/>
      </c>
      <c r="P661">
        <f>IF(B676=0,0,O661/B676)</f>
        <v/>
      </c>
      <c r="Q661" t="n">
        <v>0</v>
      </c>
      <c r="R661" t="n">
        <v>0</v>
      </c>
      <c r="S661">
        <f>IFERROR(O661/N661,0)</f>
        <v/>
      </c>
      <c r="T661" t="n">
        <v>0</v>
      </c>
      <c r="V661" t="n">
        <v>0</v>
      </c>
    </row>
    <row r="662">
      <c r="A662">
        <f>Skills!A21</f>
        <v/>
      </c>
      <c r="B662">
        <f>Skills!B21</f>
        <v/>
      </c>
      <c r="C662">
        <f>Inputs!$B$3&gt;=38</f>
        <v/>
      </c>
      <c r="D662">
        <f>IF(Skills!C21=1,60+Inputs!$B$25+Inputs!$B$29,IF(Skills!C21=2,90+Inputs!$B$26+Inputs!$B$29,IF(Skills!C21=3,120+Inputs!$B$27+Inputs!$B$29,MAX(0,(Inputs!$B$3-100)*3)+Inputs!$B$28+Inputs!$B$29)))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f>(1-Summary!$B$11)*T662+Summary!$B$11*V662</f>
        <v/>
      </c>
      <c r="P662">
        <f>IF(B676=0,0,O662/B676)</f>
        <v/>
      </c>
      <c r="Q662" t="n">
        <v>0</v>
      </c>
      <c r="R662" t="n">
        <v>0</v>
      </c>
      <c r="S662">
        <f>IFERROR(O662/N662,0)</f>
        <v/>
      </c>
      <c r="T662" t="n">
        <v>0</v>
      </c>
      <c r="V662" t="n">
        <v>0</v>
      </c>
    </row>
    <row r="663">
      <c r="A663">
        <f>Skills!A22</f>
        <v/>
      </c>
      <c r="B663">
        <f>Skills!B22</f>
        <v/>
      </c>
      <c r="C663">
        <f>Inputs!$B$3&gt;=75</f>
        <v/>
      </c>
      <c r="D663">
        <f>IF(Skills!C22=1,60+Inputs!$B$25+Inputs!$B$29,IF(Skills!C22=2,90+Inputs!$B$26+Inputs!$B$29,IF(Skills!C22=3,120+Inputs!$B$27+Inputs!$B$29,MAX(0,(Inputs!$B$3-100)*3)+Inputs!$B$28+Inputs!$B$29)))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f>(1-Summary!$B$11)*T663+Summary!$B$11*V663</f>
        <v/>
      </c>
      <c r="P663">
        <f>IF(B676=0,0,O663/B676)</f>
        <v/>
      </c>
      <c r="Q663" t="n">
        <v>0</v>
      </c>
      <c r="R663" t="n">
        <v>0</v>
      </c>
      <c r="S663">
        <f>IFERROR(O663/N663,0)</f>
        <v/>
      </c>
      <c r="T663" t="n">
        <v>0</v>
      </c>
      <c r="V663" t="n">
        <v>0</v>
      </c>
    </row>
    <row r="665">
      <c r="A665" t="inlineStr">
        <is>
          <t>Attack% Bucket Multiplier</t>
        </is>
      </c>
      <c r="B665">
        <f>(1+(((C654=TRUE)*F654)+((C660=TRUE)*(F660-Calc!F19))+(IF(ArtifactsInput!$M$21,CHOOSE(ArtifactsInput!$N$21+1,25,30,35,40,45,50)*(IF(OR(Inputs!$B$4="Chapter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6">
      <c r="A666" t="inlineStr">
        <is>
          <t>Global Crit Rate Bonus %</t>
        </is>
      </c>
      <c r="B666" t="n">
        <v>0</v>
      </c>
    </row>
    <row r="667">
      <c r="A667" t="inlineStr">
        <is>
          <t>Attack Speed Buff Bonus % (unused)</t>
        </is>
      </c>
      <c r="B667" t="n">
        <v>0</v>
      </c>
    </row>
    <row r="668">
      <c r="A668" t="inlineStr">
        <is>
          <t>Actions Per Second</t>
        </is>
      </c>
      <c r="B668">
        <f>1+MIN(150,150*(1-(1-(Inputs!$B$11+((C658=TRUE)*(F658-Calc!F17))+((C659=TRUE)*(F659-Calc!F18)))/150)*(1-B667/150)))/100</f>
        <v/>
      </c>
    </row>
    <row r="669">
      <c r="A669" t="inlineStr">
        <is>
          <t>Skill + Buff Cast Rate</t>
        </is>
      </c>
      <c r="B669">
        <f>IF(AND(Inputs!$B$38&lt;&gt;"pvp",Inputs!$B$43&gt;0),SUMPRODUCT((Skills!E2:E22=TRUE)*(C643:C663=TRUE)*R643:R663*Skills!F2:F22)/Inputs!$B$43,SUMPRODUCT((Skills!E2:E22=TRUE)*(C643:C663=TRUE)*Q643:Q663*Skills!F2:F22))</f>
        <v/>
      </c>
    </row>
    <row r="670">
      <c r="A670" t="inlineStr">
        <is>
          <t>Hook Bomber Casts Per Second</t>
        </is>
      </c>
      <c r="B670">
        <f>MAX(0,B668-B669)</f>
        <v/>
      </c>
    </row>
    <row r="671">
      <c r="A671" t="inlineStr">
        <is>
          <t>Global Critical Damage Bonus % (unused)</t>
        </is>
      </c>
      <c r="B671" t="n">
        <v>0</v>
      </c>
    </row>
    <row r="672">
      <c r="A672" t="inlineStr">
        <is>
          <t>Global Final Damage Bonus % (Serpent Scale + Crossbones + Time Leap + Speed Infusion)</t>
        </is>
      </c>
      <c r="B672">
        <f>((C646=TRUE)*F646*((10+IF(Inputs!$B$3&gt;=94,5,0))/((10+IF(Inputs!$B$3&gt;=94,5,0))+5/(B670*(1+IF(Inputs!$B$3&gt;=104,1,0))))))+((C655=TRUE)*F655)+((C656=TRUE)*F656)+((Inputs!$B$3&gt;=110)*20*(B668-1))</f>
        <v/>
      </c>
    </row>
    <row r="673">
      <c r="A673" t="inlineStr">
        <is>
          <t>Buff-Casting Startup Delay (s, fixed-duration only)</t>
        </is>
      </c>
      <c r="B673">
        <f>IF(AND(Inputs!$B$38&lt;&gt;"pvp",Inputs!$B$43&gt;0),SUMPRODUCT((Skills!T2:T22&gt;0)*(Skills!E2:E22=TRUE)*(C643:C663=TRUE))/B668,0)</f>
        <v/>
      </c>
    </row>
    <row r="674">
      <c r="A674" t="inlineStr">
        <is>
          <t>Boss-Only Total DPS (this block's swept value)</t>
        </is>
      </c>
      <c r="B674">
        <f>SUM(T643:T663)</f>
        <v/>
      </c>
    </row>
    <row r="675">
      <c r="A675" t="inlineStr">
        <is>
          <t>Normal-Only Total DPS (this block's swept value)</t>
        </is>
      </c>
      <c r="B675">
        <f>SUM(V643:V663)</f>
        <v/>
      </c>
    </row>
    <row r="676">
      <c r="A676" s="6" t="inlineStr">
        <is>
          <t>TOTAL DPS</t>
        </is>
      </c>
      <c r="B676" s="6">
        <f>SUM(O643:O663)</f>
        <v/>
      </c>
    </row>
    <row r="679">
      <c r="A679" s="6" t="inlineStr">
        <is>
          <t>Stat: Skill Level Bonus — 1st Job</t>
        </is>
      </c>
    </row>
    <row r="680">
      <c r="A680" s="5" t="inlineStr">
        <is>
          <t>Key</t>
        </is>
      </c>
      <c r="B680" s="5" t="inlineStr">
        <is>
          <t>Name</t>
        </is>
      </c>
      <c r="C680" s="5" t="inlineStr">
        <is>
          <t>Unlocked</t>
        </is>
      </c>
      <c r="D680" s="5" t="inlineStr">
        <is>
          <t>InputLevel</t>
        </is>
      </c>
      <c r="E680" s="5" t="inlineStr">
        <is>
          <t>Factor</t>
        </is>
      </c>
      <c r="F680" s="5" t="inlineStr">
        <is>
          <t>CoefficientPercent</t>
        </is>
      </c>
      <c r="G680" s="5" t="inlineStr">
        <is>
          <t>EffectiveHits</t>
        </is>
      </c>
      <c r="H680" s="5" t="inlineStr">
        <is>
          <t>ProcProbability</t>
        </is>
      </c>
      <c r="I680" s="5" t="inlineStr">
        <is>
          <t>MapleHeroMultiplier</t>
        </is>
      </c>
      <c r="J680" s="5" t="inlineStr">
        <is>
          <t>BaseDamage</t>
        </is>
      </c>
      <c r="K680" s="5" t="inlineStr">
        <is>
          <t>BaseHitDamage</t>
        </is>
      </c>
      <c r="L680" s="5" t="inlineStr">
        <is>
          <t>NonCritAvg</t>
        </is>
      </c>
      <c r="M680" s="5" t="inlineStr">
        <is>
          <t>CritAvg</t>
        </is>
      </c>
      <c r="N680" s="5" t="inlineStr">
        <is>
          <t>ExpectedDamage(perHit)</t>
        </is>
      </c>
      <c r="O680" s="5" t="inlineStr">
        <is>
          <t>DPS</t>
        </is>
      </c>
      <c r="P680" s="5" t="inlineStr">
        <is>
          <t>% of Total</t>
        </is>
      </c>
      <c r="Q680" s="5" t="inlineStr">
        <is>
          <t>InvCooldown</t>
        </is>
      </c>
      <c r="R680" s="5" t="inlineStr">
        <is>
          <t>CastsInFight</t>
        </is>
      </c>
      <c r="S680" s="5"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699=TRUE)*(F699-Calc!F20)),(Inputs!$B$23+0+(IF(ArtifactsInput!$M$15,CHOOSE(ArtifactsInput!$N$15+1,25,30,35,40,45,50)/100*(Inputs!$B$11-Inputs!$B$11),0))))/100+(Inputs!$B$23+0+(IF(ArtifactsInput!$M$15,CHOOSE(ArtifactsInput!$N$15+1,25,30,35,40,45,50)/100*(Inputs!$B$11-Inputs!$B$11),0)))/100)/2</f>
        <v/>
      </c>
      <c r="M681">
        <f>L681*(1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IF(B714=0,0,O681/B714)</f>
        <v/>
      </c>
      <c r="Q681" t="n">
        <v>0</v>
      </c>
      <c r="R681" t="n">
        <v>0</v>
      </c>
      <c r="S681">
        <f>IFERROR(O681/N681,0)</f>
        <v/>
      </c>
      <c r="T681">
        <f>IF(C681,(Skills!G2*N681*B708)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MAX(0,(Inputs!$B$3-100)*3)+Inputs!$B$28+Inputs!$B$29</f>
        <v/>
      </c>
      <c r="V681">
        <f>IF(C681,(Skills!G2*N681*B708)*IF(Inputs!$B$38="pvp",1,(1+(Inputs!$B$21+Skills!Q2+(IF(ArtifactsInput!$M$33,CHOOSE(ArtifactsInput!$N$33+1,30,36,42,48,54,60),0))+(IF(AND(ArtifactsInput!$M$35,Inputs!$B$4&lt;&gt;"Chapter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Skills!A3</f>
        <v/>
      </c>
      <c r="B682">
        <f>Skills!B3</f>
        <v/>
      </c>
      <c r="C682">
        <f>Inputs!$B$3&gt;=35</f>
        <v/>
      </c>
      <c r="D682">
        <f>IF(Skills!C3=1,60+(Inputs!$B$25+1)+Inputs!$B$29,IF(Skills!C3=2,90+Inputs!$B$26+Inputs!$B$29,IF(Skills!C3=3,120+Inputs!$B$27+Inputs!$B$29,MAX(0,(Inputs!$B$3-100)*3)+Inputs!$B$28+Inputs!$B$29)))</f>
        <v/>
      </c>
      <c r="E682">
        <f>INDEX(FactorTable!$B$2:$Y$301, MATCH(ROUND(MIN(300,MAX(1,D682)),0), FactorTable!$A$2:$A$301,0), Skills!M3+1)</f>
        <v/>
      </c>
      <c r="F682">
        <f>IF(Skills!N3=TRUE,(Skills!L3/10)*(E682/1000),Skills!L3/10)+Skills!O3</f>
        <v/>
      </c>
      <c r="G682">
        <f>Skills!G3*IF(Skills!H3&gt;0,Skills!I3/Skills!H3,1)</f>
        <v/>
      </c>
      <c r="H682">
        <f>1-(1-Skills!J3/100)^Skills!K3</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699=TRUE)*(F699-Calc!F20)),(Inputs!$B$23+0+(IF(ArtifactsInput!$M$15,CHOOSE(ArtifactsInput!$N$15+1,25,30,35,40,45,50)/100*(Inputs!$B$11-Inputs!$B$11),0))))/100+(Inputs!$B$23+0+(IF(ArtifactsInput!$M$15,CHOOSE(ArtifactsInput!$N$15+1,25,30,35,40,45,50)/100*(Inputs!$B$11-Inputs!$B$11),0)))/100)/2</f>
        <v/>
      </c>
      <c r="M682">
        <f>L682*(1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IF(B714=0,0,O682/B714)</f>
        <v/>
      </c>
      <c r="Q682" t="n">
        <v>0</v>
      </c>
      <c r="R682" t="n">
        <v>0</v>
      </c>
      <c r="S682">
        <f>IFERROR(O682/N682,0)</f>
        <v/>
      </c>
      <c r="T682">
        <f>IF(C682,(Skills!G3*H682*N682*B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INDEX(FactorTable!$B$2:$Y$301, MATCH(ROUND(MIN(300,MAX(1,U681)),0), FactorTable!$A$2:$A$301,0), 22)</f>
        <v/>
      </c>
      <c r="V682">
        <f>IF(C682,(Skills!G3*H682*N682*B708)*IF(Inputs!$B$38="pvp",1,(1+(Inputs!$B$21+Skills!Q3+(IF(ArtifactsInput!$M$33,CHOOSE(ArtifactsInput!$N$33+1,30,36,42,48,54,60),0))+(IF(AND(ArtifactsInput!$M$35,Inputs!$B$4&lt;&gt;"Chapter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Skills!A4</f>
        <v/>
      </c>
      <c r="B683">
        <f>Skills!B4</f>
        <v/>
      </c>
      <c r="C683">
        <f>Inputs!$B$3&gt;=60</f>
        <v/>
      </c>
      <c r="D683">
        <f>IF(Skills!C4=1,60+(Inputs!$B$25+1)+Inputs!$B$29,IF(Skills!C4=2,90+Inputs!$B$26+Inputs!$B$29,IF(Skills!C4=3,120+Inputs!$B$27+Inputs!$B$29,MAX(0,(Inputs!$B$3-100)*3)+Inputs!$B$28+Inputs!$B$29)))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691=TRUE,F691,0)/100)*(1+(IF(Skills!A4="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699=TRUE)*(F699-Calc!F20)),(Inputs!$B$23+0+(IF(ArtifactsInput!$M$15,CHOOSE(ArtifactsInput!$N$15+1,25,30,35,40,45,50)/100*(Inputs!$B$11-Inputs!$B$11),0))))/100+(Inputs!$B$23+0+(IF(ArtifactsInput!$M$15,CHOOSE(ArtifactsInput!$N$15+1,25,30,35,40,45,50)/100*(Inputs!$B$11-Inputs!$B$11),0)))/100)/2</f>
        <v/>
      </c>
      <c r="M683">
        <f>L683*(1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IF(B714=0,0,O683/B714)</f>
        <v/>
      </c>
      <c r="Q683" t="n">
        <v>0</v>
      </c>
      <c r="R683" t="n">
        <v>0</v>
      </c>
      <c r="S683">
        <f>IFERROR(O683/N683,0)</f>
        <v/>
      </c>
      <c r="T683">
        <f>IF(C683,(Skills!G4*H683*N683*B708)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3">
        <f>290*U682/1000</f>
        <v/>
      </c>
      <c r="V683">
        <f>IF(C683,(Skills!G4*H683*N683*B708)*IF(Inputs!$B$38="pvp",1,(1+(Inputs!$B$21+Skills!Q4+(IF(ArtifactsInput!$M$33,CHOOSE(ArtifactsInput!$N$33+1,30,36,42,48,54,60),0))+(IF(AND(ArtifactsInput!$M$35,Inputs!$B$4&lt;&gt;"Chapter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Skills!A5</f>
        <v/>
      </c>
      <c r="B684">
        <f>Skills!B5</f>
        <v/>
      </c>
      <c r="C684">
        <f>Inputs!$B$3&gt;=60</f>
        <v/>
      </c>
      <c r="D684">
        <f>IF(Skills!C5=1,60+(Inputs!$B$25+1)+Inputs!$B$29,IF(Skills!C5=2,90+Inputs!$B$26+Inputs!$B$29,IF(Skills!C5=3,120+Inputs!$B$27+Inputs!$B$29,MAX(0,(Inputs!$B$3-100)*3)+Inputs!$B$28+Inputs!$B$29)))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t="inlineStr"/>
      <c r="K684" t="inlineStr"/>
      <c r="L684" t="inlineStr"/>
      <c r="M684" t="inlineStr"/>
      <c r="N684" t="inlineStr"/>
      <c r="O684">
        <f>(1-Summary!$B$11)*T684+Summary!$B$11*V684</f>
        <v/>
      </c>
      <c r="P684">
        <f>IF(B714=0,0,O684/B714)</f>
        <v/>
      </c>
      <c r="Q684" t="n">
        <v>0</v>
      </c>
      <c r="R684" t="n">
        <v>0</v>
      </c>
      <c r="S684">
        <f>IFERROR(O684/N684,0)</f>
        <v/>
      </c>
      <c r="T684" t="n">
        <v>0</v>
      </c>
      <c r="V684" t="n">
        <v>0</v>
      </c>
    </row>
    <row r="685">
      <c r="A685">
        <f>Skills!A6</f>
        <v/>
      </c>
      <c r="B685">
        <f>Skills!B6</f>
        <v/>
      </c>
      <c r="C685">
        <f>Inputs!$B$3&gt;=63</f>
        <v/>
      </c>
      <c r="D685">
        <f>IF(Skills!C6=1,60+(Inputs!$B$25+1)+Inputs!$B$29,IF(Skills!C6=2,90+Inputs!$B$26+Inputs!$B$29,IF(Skills!C6=3,120+Inputs!$B$27+Inputs!$B$29,MAX(0,(Inputs!$B$3-100)*3)+Inputs!$B$28+Inputs!$B$29)))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699=TRUE)*(F699-Calc!F20)),(Inputs!$B$23+0+(IF(ArtifactsInput!$M$15,CHOOSE(ArtifactsInput!$N$15+1,25,30,35,40,45,50)/100*(Inputs!$B$11-Inputs!$B$11),0))))/100+(Inputs!$B$23+0+(IF(ArtifactsInput!$M$15,CHOOSE(ArtifactsInput!$N$15+1,25,30,35,40,45,50)/100*(Inputs!$B$11-Inputs!$B$11),0)))/100)/2</f>
        <v/>
      </c>
      <c r="M685">
        <f>L685*(1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IF(B714=0,0,O685/B714)</f>
        <v/>
      </c>
      <c r="Q685">
        <f>IFERROR(1/(IF(Inputs!$B$38="pvp",15,MAX(0.1,Skills!D6-IF(Skills!E6=TRUE,Inputs!$B$32,0)))*(1-IF(AND(ArtifactsInput!$M$27,Inputs!$B$4="Chapter Hunt"),CHOOSE(ArtifactsInput!$N$27+1,20,24,28,32,36,40),0)/100)),0)</f>
        <v/>
      </c>
      <c r="R685">
        <f>IF(AND(Inputs!$B$38&lt;&gt;"pvp",Inputs!$B$43&gt;0),IF(MAX(0,Inputs!$B$43-B711)&lt;=0,0,(INT(MAX(0,Inputs!$B$43-B711)/(IF(Inputs!$B$38="pvp",15,MAX(0.1,Skills!D6-IF(Skills!E6=TRUE,Inputs!$B$32,0)))*(1-IF(AND(ArtifactsInput!$M$27,Inputs!$B$4="Chapter Hunt"),CHOOSE(ArtifactsInput!$N$27+1,20,24,28,32,36,40),0)/100)))+1)),0)</f>
        <v/>
      </c>
      <c r="S685">
        <f>IFERROR(O685/N685,0)</f>
        <v/>
      </c>
      <c r="T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$21+Skills!Q6+(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Skills!A7</f>
        <v/>
      </c>
      <c r="B686">
        <f>Skills!B7</f>
        <v/>
      </c>
      <c r="C686">
        <f>Inputs!$B$3&gt;=100</f>
        <v/>
      </c>
      <c r="D686">
        <f>IF(Skills!C7=1,60+(Inputs!$B$25+1)+Inputs!$B$29,IF(Skills!C7=2,90+Inputs!$B$26+Inputs!$B$29,IF(Skills!C7=3,120+Inputs!$B$27+Inputs!$B$29,MAX(0,(Inputs!$B$3-100)*3)+Inputs!$B$28+Inputs!$B$29)))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699=TRUE)*(F699-Calc!F20)),(Inputs!$B$23+0+(IF(ArtifactsInput!$M$15,CHOOSE(ArtifactsInput!$N$15+1,25,30,35,40,45,50)/100*(Inputs!$B$11-Inputs!$B$11),0))))/100+(Inputs!$B$23+0+(IF(ArtifactsInput!$M$15,CHOOSE(ArtifactsInput!$N$15+1,25,30,35,40,45,50)/100*(Inputs!$B$11-Inputs!$B$11),0)))/100)/2</f>
        <v/>
      </c>
      <c r="M686">
        <f>L686*(1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IF(B714=0,0,O686/B714)</f>
        <v/>
      </c>
      <c r="Q686">
        <f>IFERROR(1/(IF(Inputs!$B$38="pvp",15,MAX(0.1,Skills!D7-IF(Skills!E7=TRUE,Inputs!$B$32,0)))*(1-IF(AND(ArtifactsInput!$M$27,Inputs!$B$4="Chapter Hunt"),CHOOSE(ArtifactsInput!$N$27+1,20,24,28,32,36,40),0)/100)),0)</f>
        <v/>
      </c>
      <c r="R686">
        <f>IF(AND(Inputs!$B$38&lt;&gt;"pvp",Inputs!$B$43&gt;0),IF(MAX(0,Inputs!$B$43-B711)&lt;=0,0,(INT(MAX(0,Inputs!$B$43-B711)/(IF(Inputs!$B$38="pvp",15,MAX(0.1,Skills!D7-IF(Skills!E7=TRUE,Inputs!$B$32,0)))*(1-IF(AND(ArtifactsInput!$M$27,Inputs!$B$4="Chapter Hunt"),CHOOSE(ArtifactsInput!$N$27+1,20,24,28,32,36,40),0)/100)))+1)),0)</f>
        <v/>
      </c>
      <c r="S686">
        <f>IFERROR(O686/N686,0)</f>
        <v/>
      </c>
      <c r="T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$21+Skills!Q7+(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Skills!A8</f>
        <v/>
      </c>
      <c r="B687">
        <f>Skills!B8</f>
        <v/>
      </c>
      <c r="C687">
        <f>Inputs!$B$3&gt;=110</f>
        <v/>
      </c>
      <c r="D687">
        <f>IF(Skills!C8=1,60+(Inputs!$B$25+1)+Inputs!$B$29,IF(Skills!C8=2,90+Inputs!$B$26+Inputs!$B$29,IF(Skills!C8=3,120+Inputs!$B$27+Inputs!$B$29,MAX(0,(Inputs!$B$3-100)*3)+Inputs!$B$28+Inputs!$B$29)))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699=TRUE)*(F699-Calc!F20)),(Inputs!$B$23+0+(IF(ArtifactsInput!$M$15,CHOOSE(ArtifactsInput!$N$15+1,25,30,35,40,45,50)/100*(Inputs!$B$11-Inputs!$B$11),0))))/100+(Inputs!$B$23+0+(IF(ArtifactsInput!$M$15,CHOOSE(ArtifactsInput!$N$15+1,25,30,35,40,45,50)/100*(Inputs!$B$11-Inputs!$B$11),0)))/100)/2</f>
        <v/>
      </c>
      <c r="M687">
        <f>L687*(1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IF(B714=0,0,O687/B714)</f>
        <v/>
      </c>
      <c r="Q687">
        <f>IFERROR(1/(IF(Inputs!$B$38="pvp",15,MAX(0.1,Skills!D8-IF(Skills!E8=TRUE,Inputs!$B$32,0)))*(1-IF(AND(ArtifactsInput!$M$27,Inputs!$B$4="Chapter Hunt"),CHOOSE(ArtifactsInput!$N$27+1,20,24,28,32,36,40),0)/100)),0)</f>
        <v/>
      </c>
      <c r="R687">
        <f>IF(AND(Inputs!$B$38&lt;&gt;"pvp",Inputs!$B$43&gt;0),IF(MAX(0,Inputs!$B$43-B711)&lt;=0,0,(INT(MAX(0,Inputs!$B$43-B711)/(IF(Inputs!$B$38="pvp",15,MAX(0.1,Skills!D8-IF(Skills!E8=TRUE,Inputs!$B$32,0)))*(1-IF(AND(ArtifactsInput!$M$27,Inputs!$B$4="Chapter Hunt"),CHOOSE(ArtifactsInput!$N$27+1,20,24,28,32,36,40),0)/100)))+1)),0)</f>
        <v/>
      </c>
      <c r="S687">
        <f>IFERROR(O687/N687,0)</f>
        <v/>
      </c>
      <c r="T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$21+Skills!Q8+(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Skills!A9</f>
        <v/>
      </c>
      <c r="B688">
        <f>Skills!B9</f>
        <v/>
      </c>
      <c r="C688">
        <f>Inputs!$B$3&gt;=110</f>
        <v/>
      </c>
      <c r="D688">
        <f>IF(Skills!C9=1,60+(Inputs!$B$25+1)+Inputs!$B$29,IF(Skills!C9=2,90+Inputs!$B$26+Inputs!$B$29,IF(Skills!C9=3,120+Inputs!$B$27+Inputs!$B$29,MAX(0,(Inputs!$B$3-100)*3)+Inputs!$B$28+Inputs!$B$29)))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699=TRUE)*(F699-Calc!F20)),(Inputs!$B$23+0+(IF(ArtifactsInput!$M$15,CHOOSE(ArtifactsInput!$N$15+1,25,30,35,40,45,50)/100*(Inputs!$B$11-Inputs!$B$11),0))))/100+(Inputs!$B$23+0+(IF(ArtifactsInput!$M$15,CHOOSE(ArtifactsInput!$N$15+1,25,30,35,40,45,50)/100*(Inputs!$B$11-Inputs!$B$11),0)))/100)/2</f>
        <v/>
      </c>
      <c r="M688">
        <f>L688*(1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IF(B714=0,0,O688/B714)</f>
        <v/>
      </c>
      <c r="Q688">
        <f>IFERROR(1/(IF(Inputs!$B$38="pvp",15,MAX(0.1,Skills!D9-IF(Skills!E9=TRUE,Inputs!$B$32,0)))*(1-IF(AND(ArtifactsInput!$M$27,Inputs!$B$4="Chapter Hunt"),CHOOSE(ArtifactsInput!$N$27+1,20,24,28,32,36,40),0)/100)),0)</f>
        <v/>
      </c>
      <c r="R688">
        <f>IF(AND(Inputs!$B$38&lt;&gt;"pvp",Inputs!$B$43&gt;0),IF(MAX(0,Inputs!$B$43-B711)&lt;=0,0,(INT(MAX(0,Inputs!$B$43-B711)/(IF(Inputs!$B$38="pvp",15,MAX(0.1,Skills!D9-IF(Skills!E9=TRUE,Inputs!$B$32,0)))*(1-IF(AND(ArtifactsInput!$M$27,Inputs!$B$4="Chapter Hunt"),CHOOSE(ArtifactsInput!$N$27+1,20,24,28,32,36,40),0)/100)))+1)),0)</f>
        <v/>
      </c>
      <c r="S688">
        <f>IFERROR(O688/N688,0)</f>
        <v/>
      </c>
      <c r="T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$21+Skills!Q9+(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Skills!A10</f>
        <v/>
      </c>
      <c r="B689">
        <f>Skills!B10</f>
        <v/>
      </c>
      <c r="C689">
        <f>Inputs!$B$3&gt;=103</f>
        <v/>
      </c>
      <c r="D689">
        <f>IF(Skills!C10=1,60+(Inputs!$B$25+1)+Inputs!$B$29,IF(Skills!C10=2,90+Inputs!$B$26+Inputs!$B$29,IF(Skills!C10=3,120+Inputs!$B$27+Inputs!$B$29,MAX(0,(Inputs!$B$3-100)*3)+Inputs!$B$28+Inputs!$B$29)))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699=TRUE)*(F699-Calc!F20)),(Inputs!$B$23+0+(IF(ArtifactsInput!$M$15,CHOOSE(ArtifactsInput!$N$15+1,25,30,35,40,45,50)/100*(Inputs!$B$11-Inputs!$B$11),0))))/100+(Inputs!$B$23+0+(IF(ArtifactsInput!$M$15,CHOOSE(ArtifactsInput!$N$15+1,25,30,35,40,45,50)/100*(Inputs!$B$11-Inputs!$B$11),0)))/100)/2</f>
        <v/>
      </c>
      <c r="M689">
        <f>L689*(1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IF(B714=0,0,O689/B714)</f>
        <v/>
      </c>
      <c r="Q689">
        <f>IFERROR(1/(IF(Inputs!$B$38="pvp",15,MAX(0.1,Skills!D10-IF(Skills!E10=TRUE,Inputs!$B$32,0)))*(1-IF(AND(ArtifactsInput!$M$27,Inputs!$B$4="Chapter Hunt"),CHOOSE(ArtifactsInput!$N$27+1,20,24,28,32,36,40),0)/100)),0)</f>
        <v/>
      </c>
      <c r="R689">
        <f>IF(AND(Inputs!$B$38&lt;&gt;"pvp",Inputs!$B$43&gt;0),IF(MAX(0,Inputs!$B$43-B711)&lt;=0,0,(INT(MAX(0,Inputs!$B$43-B711)/(IF(Inputs!$B$38="pvp",15,MAX(0.1,Skills!D10-IF(Skills!E10=TRUE,Inputs!$B$32,0)))*(1-IF(AND(ArtifactsInput!$M$27,Inputs!$B$4="Chapter Hunt"),CHOOSE(ArtifactsInput!$N$27+1,20,24,28,32,36,40),0)/100)))+1)),0)</f>
        <v/>
      </c>
      <c r="S689">
        <f>IFERROR(O689/N689,0)</f>
        <v/>
      </c>
      <c r="T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$21+Skills!Q10+(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Skills!A11</f>
        <v/>
      </c>
      <c r="B690">
        <f>Skills!B11</f>
        <v/>
      </c>
      <c r="C690">
        <f>Inputs!$B$3&gt;=113</f>
        <v/>
      </c>
      <c r="D690">
        <f>IF(Skills!C11=1,60+(Inputs!$B$25+1)+Inputs!$B$29,IF(Skills!C11=2,90+Inputs!$B$26+Inputs!$B$29,IF(Skills!C11=3,120+Inputs!$B$27+Inputs!$B$29,MAX(0,(Inputs!$B$3-100)*3)+Inputs!$B$28+Inputs!$B$29)))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699=TRUE)*(F699-Calc!F20)),(Inputs!$B$23+0+(IF(ArtifactsInput!$M$15,CHOOSE(ArtifactsInput!$N$15+1,25,30,35,40,45,50)/100*(Inputs!$B$11-Inputs!$B$11),0))))/100+(Inputs!$B$23+0+(IF(ArtifactsInput!$M$15,CHOOSE(ArtifactsInput!$N$15+1,25,30,35,40,45,50)/100*(Inputs!$B$11-Inputs!$B$11),0)))/100)/2</f>
        <v/>
      </c>
      <c r="M690">
        <f>L690*(1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IF(B714=0,0,O690/B714)</f>
        <v/>
      </c>
      <c r="Q690">
        <f>IFERROR(1/(IF(Inputs!$B$38="pvp",15,MAX(0.1,Skills!D11-IF(Skills!E11=TRUE,Inputs!$B$32,0)))*(1-IF(AND(ArtifactsInput!$M$27,Inputs!$B$4="Chapter Hunt"),CHOOSE(ArtifactsInput!$N$27+1,20,24,28,32,36,40),0)/100)),0)</f>
        <v/>
      </c>
      <c r="R690">
        <f>IF(AND(Inputs!$B$38&lt;&gt;"pvp",Inputs!$B$43&gt;0),IF(MAX(0,Inputs!$B$43-B711)&lt;=0,0,(INT(MAX(0,Inputs!$B$43-B711)/(IF(Inputs!$B$38="pvp",15,MAX(0.1,Skills!D11-IF(Skills!E11=TRUE,Inputs!$B$32,0)))*(1-IF(AND(ArtifactsInput!$M$27,Inputs!$B$4="Chapter Hunt"),CHOOSE(ArtifactsInput!$N$27+1,20,24,28,32,36,40),0)/100)))+1)),0)</f>
        <v/>
      </c>
      <c r="S690">
        <f>IFERROR(O690/N690,0)</f>
        <v/>
      </c>
      <c r="T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$21+Skills!Q11+(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Skills!A12</f>
        <v/>
      </c>
      <c r="B691">
        <f>Skills!B12</f>
        <v/>
      </c>
      <c r="C691">
        <f>Inputs!$B$3&gt;=100</f>
        <v/>
      </c>
      <c r="D691">
        <f>IF(Skills!C12=1,60+(Inputs!$B$25+1)+Inputs!$B$29,IF(Skills!C12=2,90+Inputs!$B$26+Inputs!$B$29,IF(Skills!C12=3,120+Inputs!$B$27+Inputs!$B$29,MAX(0,(Inputs!$B$3-100)*3)+Inputs!$B$28+Inputs!$B$29)))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c r="T691" t="inlineStr"/>
      <c r="V691" t="inlineStr"/>
    </row>
    <row r="692">
      <c r="A692">
        <f>Skills!A13</f>
        <v/>
      </c>
      <c r="B692">
        <f>Skills!B13</f>
        <v/>
      </c>
      <c r="C692">
        <f>Inputs!$B$3&gt;=66</f>
        <v/>
      </c>
      <c r="D692">
        <f>IF(Skills!C13=1,60+(Inputs!$B$25+1)+Inputs!$B$29,IF(Skills!C13=2,90+Inputs!$B$26+Inputs!$B$29,IF(Skills!C13=3,120+Inputs!$B$27+Inputs!$B$29,MAX(0,(Inputs!$B$3-100)*3)+Inputs!$B$28+Inputs!$B$29)))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f>(1-Summary!$B$11)*T692+Summary!$B$11*V692</f>
        <v/>
      </c>
      <c r="P692">
        <f>IF(B714=0,0,O692/B714)</f>
        <v/>
      </c>
      <c r="Q692" t="n">
        <v>0</v>
      </c>
      <c r="R692" t="n">
        <v>0</v>
      </c>
      <c r="S692">
        <f>IFERROR(O692/N692,0)</f>
        <v/>
      </c>
      <c r="T692" t="n">
        <v>0</v>
      </c>
      <c r="V692" t="n">
        <v>0</v>
      </c>
    </row>
    <row r="693">
      <c r="A693">
        <f>Skills!A14</f>
        <v/>
      </c>
      <c r="B693">
        <f>Skills!B14</f>
        <v/>
      </c>
      <c r="C693">
        <f>Inputs!$B$3&gt;=107</f>
        <v/>
      </c>
      <c r="D693">
        <f>IF(Skills!C14=1,60+(Inputs!$B$25+1)+Inputs!$B$29,IF(Skills!C14=2,90+Inputs!$B$26+Inputs!$B$29,IF(Skills!C14=3,120+Inputs!$B$27+Inputs!$B$29,MAX(0,(Inputs!$B$3-100)*3)+Inputs!$B$28+Inputs!$B$29)))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f>(1-Summary!$B$11)*T693+Summary!$B$11*V693</f>
        <v/>
      </c>
      <c r="P693">
        <f>IF(B714=0,0,O693/B714)</f>
        <v/>
      </c>
      <c r="Q693" t="n">
        <v>0</v>
      </c>
      <c r="R693" t="n">
        <v>0</v>
      </c>
      <c r="S693">
        <f>IFERROR(O693/N693,0)</f>
        <v/>
      </c>
      <c r="T693" t="n">
        <v>0</v>
      </c>
      <c r="V693" t="n">
        <v>0</v>
      </c>
    </row>
    <row r="694">
      <c r="A694">
        <f>Skills!A15</f>
        <v/>
      </c>
      <c r="B694">
        <f>Skills!B15</f>
        <v/>
      </c>
      <c r="C694">
        <f>Inputs!$B$3&gt;=115</f>
        <v/>
      </c>
      <c r="D694">
        <f>IF(Skills!C15=1,60+(Inputs!$B$25+1)+Inputs!$B$29,IF(Skills!C15=2,90+Inputs!$B$26+Inputs!$B$29,IF(Skills!C15=3,120+Inputs!$B$27+Inputs!$B$29,MAX(0,(Inputs!$B$3-100)*3)+Inputs!$B$28+Inputs!$B$29)))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f>(1-Summary!$B$11)*T694+Summary!$B$11*V694</f>
        <v/>
      </c>
      <c r="P694">
        <f>IF(B714=0,0,O694/B714)</f>
        <v/>
      </c>
      <c r="Q694" t="n">
        <v>0</v>
      </c>
      <c r="R694" t="n">
        <v>0</v>
      </c>
      <c r="S694">
        <f>IFERROR(O694/N694,0)</f>
        <v/>
      </c>
      <c r="T694" t="n">
        <v>0</v>
      </c>
      <c r="V694" t="n">
        <v>0</v>
      </c>
    </row>
    <row r="695">
      <c r="A695">
        <f>Skills!A16</f>
        <v/>
      </c>
      <c r="B695">
        <f>Skills!B16</f>
        <v/>
      </c>
      <c r="C695">
        <f>Inputs!$B$3&gt;=15</f>
        <v/>
      </c>
      <c r="D695">
        <f>IF(Skills!C16=1,60+(Inputs!$B$25+1)+Inputs!$B$29,IF(Skills!C16=2,90+Inputs!$B$26+Inputs!$B$29,IF(Skills!C16=3,120+Inputs!$B$27+Inputs!$B$29,MAX(0,(Inputs!$B$3-100)*3)+Inputs!$B$28+Inputs!$B$29)))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f>(1-Summary!$B$11)*T695+Summary!$B$11*V695</f>
        <v/>
      </c>
      <c r="P695">
        <f>IF(B714=0,0,O695/B714)</f>
        <v/>
      </c>
      <c r="Q695" t="n">
        <v>0</v>
      </c>
      <c r="R695" t="n">
        <v>0</v>
      </c>
      <c r="S695">
        <f>IFERROR(O695/N695,0)</f>
        <v/>
      </c>
      <c r="T695" t="n">
        <v>0</v>
      </c>
      <c r="V695" t="n">
        <v>0</v>
      </c>
    </row>
    <row r="696">
      <c r="A696">
        <f>Skills!A17</f>
        <v/>
      </c>
      <c r="B696">
        <f>Skills!B17</f>
        <v/>
      </c>
      <c r="C696">
        <f>Inputs!$B$3&gt;=10</f>
        <v/>
      </c>
      <c r="D696">
        <f>IF(Skills!C17=1,60+(Inputs!$B$25+1)+Inputs!$B$29,IF(Skills!C17=2,90+Inputs!$B$26+Inputs!$B$29,IF(Skills!C17=3,120+Inputs!$B$27+Inputs!$B$29,MAX(0,(Inputs!$B$3-100)*3)+Inputs!$B$28+Inputs!$B$29)))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f>(1-Summary!$B$11)*T696+Summary!$B$11*V696</f>
        <v/>
      </c>
      <c r="P696">
        <f>IF(B714=0,0,O696/B714)</f>
        <v/>
      </c>
      <c r="Q696" t="n">
        <v>0</v>
      </c>
      <c r="R696" t="n">
        <v>0</v>
      </c>
      <c r="S696">
        <f>IFERROR(O696/N696,0)</f>
        <v/>
      </c>
      <c r="T696" t="n">
        <v>0</v>
      </c>
      <c r="V696" t="n">
        <v>0</v>
      </c>
    </row>
    <row r="697">
      <c r="A697">
        <f>Skills!A18</f>
        <v/>
      </c>
      <c r="B697">
        <f>Skills!B18</f>
        <v/>
      </c>
      <c r="C697">
        <f>Inputs!$B$3&gt;=33</f>
        <v/>
      </c>
      <c r="D697">
        <f>IF(Skills!C18=1,60+(Inputs!$B$25+1)+Inputs!$B$29,IF(Skills!C18=2,90+Inputs!$B$26+Inputs!$B$29,IF(Skills!C18=3,120+Inputs!$B$27+Inputs!$B$29,MAX(0,(Inputs!$B$3-100)*3)+Inputs!$B$28+Inputs!$B$29)))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f>(1-Summary!$B$11)*T697+Summary!$B$11*V697</f>
        <v/>
      </c>
      <c r="P697">
        <f>IF(B714=0,0,O697/B714)</f>
        <v/>
      </c>
      <c r="Q697" t="n">
        <v>0</v>
      </c>
      <c r="R697" t="n">
        <v>0</v>
      </c>
      <c r="S697">
        <f>IFERROR(O697/N697,0)</f>
        <v/>
      </c>
      <c r="T697" t="n">
        <v>0</v>
      </c>
      <c r="V697" t="n">
        <v>0</v>
      </c>
    </row>
    <row r="698">
      <c r="A698">
        <f>Skills!A19</f>
        <v/>
      </c>
      <c r="B698">
        <f>Skills!B19</f>
        <v/>
      </c>
      <c r="C698">
        <f>Inputs!$B$3&gt;=40</f>
        <v/>
      </c>
      <c r="D698">
        <f>IF(Skills!C19=1,60+(Inputs!$B$25+1)+Inputs!$B$29,IF(Skills!C19=2,90+Inputs!$B$26+Inputs!$B$29,IF(Skills!C19=3,120+Inputs!$B$27+Inputs!$B$29,MAX(0,(Inputs!$B$3-100)*3)+Inputs!$B$28+Inputs!$B$29)))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f>(1-Summary!$B$11)*T698+Summary!$B$11*V698</f>
        <v/>
      </c>
      <c r="P698">
        <f>IF(B714=0,0,O698/B714)</f>
        <v/>
      </c>
      <c r="Q698" t="n">
        <v>0</v>
      </c>
      <c r="R698" t="n">
        <v>0</v>
      </c>
      <c r="S698">
        <f>IFERROR(O698/N698,0)</f>
        <v/>
      </c>
      <c r="T698" t="n">
        <v>0</v>
      </c>
      <c r="V698" t="n">
        <v>0</v>
      </c>
    </row>
    <row r="699">
      <c r="A699">
        <f>Skills!A20</f>
        <v/>
      </c>
      <c r="B699">
        <f>Skills!B20</f>
        <v/>
      </c>
      <c r="C699">
        <f>Inputs!$B$3&gt;=43</f>
        <v/>
      </c>
      <c r="D699">
        <f>IF(Skills!C20=1,60+(Inputs!$B$25+1)+Inputs!$B$29,IF(Skills!C20=2,90+Inputs!$B$26+Inputs!$B$29,IF(Skills!C20=3,120+Inputs!$B$27+Inputs!$B$29,MAX(0,(Inputs!$B$3-100)*3)+Inputs!$B$28+Inputs!$B$29)))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f>(1-Summary!$B$11)*T699+Summary!$B$11*V699</f>
        <v/>
      </c>
      <c r="P699">
        <f>IF(B714=0,0,O699/B714)</f>
        <v/>
      </c>
      <c r="Q699" t="n">
        <v>0</v>
      </c>
      <c r="R699" t="n">
        <v>0</v>
      </c>
      <c r="S699">
        <f>IFERROR(O699/N699,0)</f>
        <v/>
      </c>
      <c r="T699" t="n">
        <v>0</v>
      </c>
      <c r="V699" t="n">
        <v>0</v>
      </c>
    </row>
    <row r="700">
      <c r="A700">
        <f>Skills!A21</f>
        <v/>
      </c>
      <c r="B700">
        <f>Skills!B21</f>
        <v/>
      </c>
      <c r="C700">
        <f>Inputs!$B$3&gt;=38</f>
        <v/>
      </c>
      <c r="D700">
        <f>IF(Skills!C21=1,60+(Inputs!$B$25+1)+Inputs!$B$29,IF(Skills!C21=2,90+Inputs!$B$26+Inputs!$B$29,IF(Skills!C21=3,120+Inputs!$B$27+Inputs!$B$29,MAX(0,(Inputs!$B$3-100)*3)+Inputs!$B$28+Inputs!$B$29)))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f>(1-Summary!$B$11)*T700+Summary!$B$11*V700</f>
        <v/>
      </c>
      <c r="P700">
        <f>IF(B714=0,0,O700/B714)</f>
        <v/>
      </c>
      <c r="Q700" t="n">
        <v>0</v>
      </c>
      <c r="R700" t="n">
        <v>0</v>
      </c>
      <c r="S700">
        <f>IFERROR(O700/N700,0)</f>
        <v/>
      </c>
      <c r="T700" t="n">
        <v>0</v>
      </c>
      <c r="V700" t="n">
        <v>0</v>
      </c>
    </row>
    <row r="701">
      <c r="A701">
        <f>Skills!A22</f>
        <v/>
      </c>
      <c r="B701">
        <f>Skills!B22</f>
        <v/>
      </c>
      <c r="C701">
        <f>Inputs!$B$3&gt;=75</f>
        <v/>
      </c>
      <c r="D701">
        <f>IF(Skills!C22=1,60+(Inputs!$B$25+1)+Inputs!$B$29,IF(Skills!C22=2,90+Inputs!$B$26+Inputs!$B$29,IF(Skills!C22=3,120+Inputs!$B$27+Inputs!$B$29,MAX(0,(Inputs!$B$3-100)*3)+Inputs!$B$28+Inputs!$B$29)))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f>(1-Summary!$B$11)*T701+Summary!$B$11*V701</f>
        <v/>
      </c>
      <c r="P701">
        <f>IF(B714=0,0,O701/B714)</f>
        <v/>
      </c>
      <c r="Q701" t="n">
        <v>0</v>
      </c>
      <c r="R701" t="n">
        <v>0</v>
      </c>
      <c r="S701">
        <f>IFERROR(O701/N701,0)</f>
        <v/>
      </c>
      <c r="T701" t="n">
        <v>0</v>
      </c>
      <c r="V701" t="n">
        <v>0</v>
      </c>
    </row>
    <row r="703">
      <c r="A703" t="inlineStr">
        <is>
          <t>Attack% Bucket Multiplier</t>
        </is>
      </c>
      <c r="B703">
        <f>(1+(((C692=TRUE)*F692)+((C698=TRUE)*(F698-Calc!F19))+(IF(ArtifactsInput!$M$21,CHOOSE(ArtifactsInput!$N$21+1,25,30,35,40,45,50)*(IF(OR(Inputs!$B$4="Chapter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4">
      <c r="A704" t="inlineStr">
        <is>
          <t>Global Crit Rate Bonus %</t>
        </is>
      </c>
      <c r="B704" t="n">
        <v>0</v>
      </c>
    </row>
    <row r="705">
      <c r="A705" t="inlineStr">
        <is>
          <t>Attack Speed Buff Bonus % (unused)</t>
        </is>
      </c>
      <c r="B705" t="n">
        <v>0</v>
      </c>
    </row>
    <row r="706">
      <c r="A706" t="inlineStr">
        <is>
          <t>Actions Per Second</t>
        </is>
      </c>
      <c r="B706">
        <f>1+MIN(150,150*(1-(1-(Inputs!$B$11+((C696=TRUE)*(F696-Calc!F17))+((C697=TRUE)*(F697-Calc!F18)))/150)*(1-B705/150)))/100</f>
        <v/>
      </c>
    </row>
    <row r="707">
      <c r="A707" t="inlineStr">
        <is>
          <t>Skill + Buff Cast Rate</t>
        </is>
      </c>
      <c r="B707">
        <f>IF(AND(Inputs!$B$38&lt;&gt;"pvp",Inputs!$B$43&gt;0),SUMPRODUCT((Skills!E2:E22=TRUE)*(C681:C701=TRUE)*R681:R701*Skills!F2:F22)/Inputs!$B$43,SUMPRODUCT((Skills!E2:E22=TRUE)*(C681:C701=TRUE)*Q681:Q701*Skills!F2:F22))</f>
        <v/>
      </c>
    </row>
    <row r="708">
      <c r="A708" t="inlineStr">
        <is>
          <t>Hook Bomber Casts Per Second</t>
        </is>
      </c>
      <c r="B708">
        <f>MAX(0,B706-B707)</f>
        <v/>
      </c>
    </row>
    <row r="709">
      <c r="A709" t="inlineStr">
        <is>
          <t>Global Critical Damage Bonus % (unused)</t>
        </is>
      </c>
      <c r="B709" t="n">
        <v>0</v>
      </c>
    </row>
    <row r="710">
      <c r="A710" t="inlineStr">
        <is>
          <t>Global Final Damage Bonus % (Serpent Scale + Crossbones + Time Leap + Speed Infusion)</t>
        </is>
      </c>
      <c r="B710">
        <f>((C684=TRUE)*F684*((10+IF(Inputs!$B$3&gt;=94,5,0))/((10+IF(Inputs!$B$3&gt;=94,5,0))+5/(B708*(1+IF(Inputs!$B$3&gt;=104,1,0))))))+((C693=TRUE)*F693)+((C694=TRUE)*F694)+((Inputs!$B$3&gt;=110)*20*(B706-1))</f>
        <v/>
      </c>
    </row>
    <row r="711">
      <c r="A711" t="inlineStr">
        <is>
          <t>Buff-Casting Startup Delay (s, fixed-duration only)</t>
        </is>
      </c>
      <c r="B711">
        <f>IF(AND(Inputs!$B$38&lt;&gt;"pvp",Inputs!$B$43&gt;0),SUMPRODUCT((Skills!T2:T22&gt;0)*(Skills!E2:E22=TRUE)*(C681:C701=TRUE))/B706,0)</f>
        <v/>
      </c>
    </row>
    <row r="712">
      <c r="A712" t="inlineStr">
        <is>
          <t>Boss-Only Total DPS (this block's swept value)</t>
        </is>
      </c>
      <c r="B712">
        <f>SUM(T681:T701)</f>
        <v/>
      </c>
    </row>
    <row r="713">
      <c r="A713" t="inlineStr">
        <is>
          <t>Normal-Only Total DPS (this block's swept value)</t>
        </is>
      </c>
      <c r="B713">
        <f>SUM(V681:V701)</f>
        <v/>
      </c>
    </row>
    <row r="714">
      <c r="A714" s="6" t="inlineStr">
        <is>
          <t>TOTAL DPS</t>
        </is>
      </c>
      <c r="B714" s="6">
        <f>SUM(O681:O701)</f>
        <v/>
      </c>
    </row>
    <row r="717">
      <c r="A717" s="6" t="inlineStr">
        <is>
          <t>Stat: Skill Level Bonus — 2nd Job</t>
        </is>
      </c>
    </row>
    <row r="718">
      <c r="A718" s="5" t="inlineStr">
        <is>
          <t>Key</t>
        </is>
      </c>
      <c r="B718" s="5" t="inlineStr">
        <is>
          <t>Name</t>
        </is>
      </c>
      <c r="C718" s="5" t="inlineStr">
        <is>
          <t>Unlocked</t>
        </is>
      </c>
      <c r="D718" s="5" t="inlineStr">
        <is>
          <t>InputLevel</t>
        </is>
      </c>
      <c r="E718" s="5" t="inlineStr">
        <is>
          <t>Factor</t>
        </is>
      </c>
      <c r="F718" s="5" t="inlineStr">
        <is>
          <t>CoefficientPercent</t>
        </is>
      </c>
      <c r="G718" s="5" t="inlineStr">
        <is>
          <t>EffectiveHits</t>
        </is>
      </c>
      <c r="H718" s="5" t="inlineStr">
        <is>
          <t>ProcProbability</t>
        </is>
      </c>
      <c r="I718" s="5" t="inlineStr">
        <is>
          <t>MapleHeroMultiplier</t>
        </is>
      </c>
      <c r="J718" s="5" t="inlineStr">
        <is>
          <t>BaseDamage</t>
        </is>
      </c>
      <c r="K718" s="5" t="inlineStr">
        <is>
          <t>BaseHitDamage</t>
        </is>
      </c>
      <c r="L718" s="5" t="inlineStr">
        <is>
          <t>NonCritAvg</t>
        </is>
      </c>
      <c r="M718" s="5" t="inlineStr">
        <is>
          <t>CritAvg</t>
        </is>
      </c>
      <c r="N718" s="5" t="inlineStr">
        <is>
          <t>ExpectedDamage(perHit)</t>
        </is>
      </c>
      <c r="O718" s="5" t="inlineStr">
        <is>
          <t>DPS</t>
        </is>
      </c>
      <c r="P718" s="5" t="inlineStr">
        <is>
          <t>% of Total</t>
        </is>
      </c>
      <c r="Q718" s="5" t="inlineStr">
        <is>
          <t>InvCooldown</t>
        </is>
      </c>
      <c r="R718" s="5" t="inlineStr">
        <is>
          <t>CastsInFight</t>
        </is>
      </c>
      <c r="S718" s="5"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737=TRUE)*(F737-Calc!F20)),(Inputs!$B$23+0+(IF(ArtifactsInput!$M$15,CHOOSE(ArtifactsInput!$N$15+1,25,30,35,40,45,50)/100*(Inputs!$B$11-Inputs!$B$11),0))))/100+(Inputs!$B$23+0+(IF(ArtifactsInput!$M$15,CHOOSE(ArtifactsInput!$N$15+1,25,30,35,40,45,50)/100*(Inputs!$B$11-Inputs!$B$11),0)))/100)/2</f>
        <v/>
      </c>
      <c r="M719">
        <f>L719*(1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IF(B752=0,0,O719/B752)</f>
        <v/>
      </c>
      <c r="Q719" t="n">
        <v>0</v>
      </c>
      <c r="R719" t="n">
        <v>0</v>
      </c>
      <c r="S719">
        <f>IFERROR(O719/N719,0)</f>
        <v/>
      </c>
      <c r="T719">
        <f>IF(C719,(Skills!G2*N719*B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MAX(0,(Inputs!$B$3-100)*3)+Inputs!$B$28+Inputs!$B$29</f>
        <v/>
      </c>
      <c r="V719">
        <f>IF(C719,(Skills!G2*N719*B746)*IF(Inputs!$B$38="pvp",1,(1+(Inputs!$B$21+Skills!Q2+(IF(ArtifactsInput!$M$33,CHOOSE(ArtifactsInput!$N$33+1,30,36,42,48,54,60),0))+(IF(AND(ArtifactsInput!$M$35,Inputs!$B$4&lt;&gt;"Chapter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Skills!A3</f>
        <v/>
      </c>
      <c r="B720">
        <f>Skills!B3</f>
        <v/>
      </c>
      <c r="C720">
        <f>Inputs!$B$3&gt;=35</f>
        <v/>
      </c>
      <c r="D720">
        <f>IF(Skills!C3=1,60+Inputs!$B$25+Inputs!$B$29,IF(Skills!C3=2,90+(Inputs!$B$26+1)+Inputs!$B$29,IF(Skills!C3=3,120+Inputs!$B$27+Inputs!$B$29,MAX(0,(Inputs!$B$3-100)*3)+Inputs!$B$28+Inputs!$B$29)))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737=TRUE)*(F737-Calc!F20)),(Inputs!$B$23+0+(IF(ArtifactsInput!$M$15,CHOOSE(ArtifactsInput!$N$15+1,25,30,35,40,45,50)/100*(Inputs!$B$11-Inputs!$B$11),0))))/100+(Inputs!$B$23+0+(IF(ArtifactsInput!$M$15,CHOOSE(ArtifactsInput!$N$15+1,25,30,35,40,45,50)/100*(Inputs!$B$11-Inputs!$B$11),0)))/100)/2</f>
        <v/>
      </c>
      <c r="M720">
        <f>L720*(1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IF(B752=0,0,O720/B752)</f>
        <v/>
      </c>
      <c r="Q720" t="n">
        <v>0</v>
      </c>
      <c r="R720" t="n">
        <v>0</v>
      </c>
      <c r="S720">
        <f>IFERROR(O720/N720,0)</f>
        <v/>
      </c>
      <c r="T720">
        <f>IF(C720,(Skills!G3*H720*N720*B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INDEX(FactorTable!$B$2:$Y$301, MATCH(ROUND(MIN(300,MAX(1,U719)),0), FactorTable!$A$2:$A$301,0), 22)</f>
        <v/>
      </c>
      <c r="V720">
        <f>IF(C720,(Skills!G3*H720*N720*B746)*IF(Inputs!$B$38="pvp",1,(1+(Inputs!$B$21+Skills!Q3+(IF(ArtifactsInput!$M$33,CHOOSE(ArtifactsInput!$N$33+1,30,36,42,48,54,60),0))+(IF(AND(ArtifactsInput!$M$35,Inputs!$B$4&lt;&gt;"Chapter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Skills!A4</f>
        <v/>
      </c>
      <c r="B721">
        <f>Skills!B4</f>
        <v/>
      </c>
      <c r="C721">
        <f>Inputs!$B$3&gt;=60</f>
        <v/>
      </c>
      <c r="D721">
        <f>IF(Skills!C4=1,60+Inputs!$B$25+Inputs!$B$29,IF(Skills!C4=2,90+(Inputs!$B$26+1)+Inputs!$B$29,IF(Skills!C4=3,120+Inputs!$B$27+Inputs!$B$29,MAX(0,(Inputs!$B$3-100)*3)+Inputs!$B$28+Inputs!$B$29)))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729=TRUE,F729,0)/100)*(1+(IF(Skills!A4="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737=TRUE)*(F737-Calc!F20)),(Inputs!$B$23+0+(IF(ArtifactsInput!$M$15,CHOOSE(ArtifactsInput!$N$15+1,25,30,35,40,45,50)/100*(Inputs!$B$11-Inputs!$B$11),0))))/100+(Inputs!$B$23+0+(IF(ArtifactsInput!$M$15,CHOOSE(ArtifactsInput!$N$15+1,25,30,35,40,45,50)/100*(Inputs!$B$11-Inputs!$B$11),0)))/100)/2</f>
        <v/>
      </c>
      <c r="M721">
        <f>L721*(1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IF(B752=0,0,O721/B752)</f>
        <v/>
      </c>
      <c r="Q721" t="n">
        <v>0</v>
      </c>
      <c r="R721" t="n">
        <v>0</v>
      </c>
      <c r="S721">
        <f>IFERROR(O721/N721,0)</f>
        <v/>
      </c>
      <c r="T721">
        <f>IF(C721,(Skills!G4*H721*N721*B746)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290*U720/1000</f>
        <v/>
      </c>
      <c r="V721">
        <f>IF(C721,(Skills!G4*H721*N721*B746)*IF(Inputs!$B$38="pvp",1,(1+(Inputs!$B$21+Skills!Q4+(IF(ArtifactsInput!$M$33,CHOOSE(ArtifactsInput!$N$33+1,30,36,42,48,54,60),0))+(IF(AND(ArtifactsInput!$M$35,Inputs!$B$4&lt;&gt;"Chapter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Skills!A5</f>
        <v/>
      </c>
      <c r="B722">
        <f>Skills!B5</f>
        <v/>
      </c>
      <c r="C722">
        <f>Inputs!$B$3&gt;=60</f>
        <v/>
      </c>
      <c r="D722">
        <f>IF(Skills!C5=1,60+Inputs!$B$25+Inputs!$B$29,IF(Skills!C5=2,90+(Inputs!$B$26+1)+Inputs!$B$29,IF(Skills!C5=3,120+Inputs!$B$27+Inputs!$B$29,MAX(0,(Inputs!$B$3-100)*3)+Inputs!$B$28+Inputs!$B$29)))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f>(1-Summary!$B$11)*T722+Summary!$B$11*V722</f>
        <v/>
      </c>
      <c r="P722">
        <f>IF(B752=0,0,O722/B752)</f>
        <v/>
      </c>
      <c r="Q722" t="n">
        <v>0</v>
      </c>
      <c r="R722" t="n">
        <v>0</v>
      </c>
      <c r="S722">
        <f>IFERROR(O722/N722,0)</f>
        <v/>
      </c>
      <c r="T722" t="n">
        <v>0</v>
      </c>
      <c r="V722" t="n">
        <v>0</v>
      </c>
    </row>
    <row r="723">
      <c r="A723">
        <f>Skills!A6</f>
        <v/>
      </c>
      <c r="B723">
        <f>Skills!B6</f>
        <v/>
      </c>
      <c r="C723">
        <f>Inputs!$B$3&gt;=63</f>
        <v/>
      </c>
      <c r="D723">
        <f>IF(Skills!C6=1,60+Inputs!$B$25+Inputs!$B$29,IF(Skills!C6=2,90+(Inputs!$B$26+1)+Inputs!$B$29,IF(Skills!C6=3,120+Inputs!$B$27+Inputs!$B$29,MAX(0,(Inputs!$B$3-100)*3)+Inputs!$B$28+Inputs!$B$29)))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737=TRUE)*(F737-Calc!F20)),(Inputs!$B$23+0+(IF(ArtifactsInput!$M$15,CHOOSE(ArtifactsInput!$N$15+1,25,30,35,40,45,50)/100*(Inputs!$B$11-Inputs!$B$11),0))))/100+(Inputs!$B$23+0+(IF(ArtifactsInput!$M$15,CHOOSE(ArtifactsInput!$N$15+1,25,30,35,40,45,50)/100*(Inputs!$B$11-Inputs!$B$11),0)))/100)/2</f>
        <v/>
      </c>
      <c r="M723">
        <f>L723*(1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IF(B752=0,0,O723/B752)</f>
        <v/>
      </c>
      <c r="Q723">
        <f>IFERROR(1/(IF(Inputs!$B$38="pvp",15,MAX(0.1,Skills!D6-IF(Skills!E6=TRUE,Inputs!$B$32,0)))*(1-IF(AND(ArtifactsInput!$M$27,Inputs!$B$4="Chapter Hunt"),CHOOSE(ArtifactsInput!$N$27+1,20,24,28,32,36,40),0)/100)),0)</f>
        <v/>
      </c>
      <c r="R723">
        <f>IF(AND(Inputs!$B$38&lt;&gt;"pvp",Inputs!$B$43&gt;0),IF(MAX(0,Inputs!$B$43-B749)&lt;=0,0,(INT(MAX(0,Inputs!$B$43-B749)/(IF(Inputs!$B$38="pvp",15,MAX(0.1,Skills!D6-IF(Skills!E6=TRUE,Inputs!$B$32,0)))*(1-IF(AND(ArtifactsInput!$M$27,Inputs!$B$4="Chapter Hunt"),CHOOSE(ArtifactsInput!$N$27+1,20,24,28,32,36,40),0)/100)))+1)),0)</f>
        <v/>
      </c>
      <c r="S723">
        <f>IFERROR(O723/N723,0)</f>
        <v/>
      </c>
      <c r="T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$21+Skills!Q6+(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Skills!A7</f>
        <v/>
      </c>
      <c r="B724">
        <f>Skills!B7</f>
        <v/>
      </c>
      <c r="C724">
        <f>Inputs!$B$3&gt;=100</f>
        <v/>
      </c>
      <c r="D724">
        <f>IF(Skills!C7=1,60+Inputs!$B$25+Inputs!$B$29,IF(Skills!C7=2,90+(Inputs!$B$26+1)+Inputs!$B$29,IF(Skills!C7=3,120+Inputs!$B$27+Inputs!$B$29,MAX(0,(Inputs!$B$3-100)*3)+Inputs!$B$28+Inputs!$B$29)))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737=TRUE)*(F737-Calc!F20)),(Inputs!$B$23+0+(IF(ArtifactsInput!$M$15,CHOOSE(ArtifactsInput!$N$15+1,25,30,35,40,45,50)/100*(Inputs!$B$11-Inputs!$B$11),0))))/100+(Inputs!$B$23+0+(IF(ArtifactsInput!$M$15,CHOOSE(ArtifactsInput!$N$15+1,25,30,35,40,45,50)/100*(Inputs!$B$11-Inputs!$B$11),0)))/100)/2</f>
        <v/>
      </c>
      <c r="M724">
        <f>L724*(1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IF(B752=0,0,O724/B752)</f>
        <v/>
      </c>
      <c r="Q724">
        <f>IFERROR(1/(IF(Inputs!$B$38="pvp",15,MAX(0.1,Skills!D7-IF(Skills!E7=TRUE,Inputs!$B$32,0)))*(1-IF(AND(ArtifactsInput!$M$27,Inputs!$B$4="Chapter Hunt"),CHOOSE(ArtifactsInput!$N$27+1,20,24,28,32,36,40),0)/100)),0)</f>
        <v/>
      </c>
      <c r="R724">
        <f>IF(AND(Inputs!$B$38&lt;&gt;"pvp",Inputs!$B$43&gt;0),IF(MAX(0,Inputs!$B$43-B749)&lt;=0,0,(INT(MAX(0,Inputs!$B$43-B749)/(IF(Inputs!$B$38="pvp",15,MAX(0.1,Skills!D7-IF(Skills!E7=TRUE,Inputs!$B$32,0)))*(1-IF(AND(ArtifactsInput!$M$27,Inputs!$B$4="Chapter Hunt"),CHOOSE(ArtifactsInput!$N$27+1,20,24,28,32,36,40),0)/100)))+1)),0)</f>
        <v/>
      </c>
      <c r="S724">
        <f>IFERROR(O724/N724,0)</f>
        <v/>
      </c>
      <c r="T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$21+Skills!Q7+(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Skills!A8</f>
        <v/>
      </c>
      <c r="B725">
        <f>Skills!B8</f>
        <v/>
      </c>
      <c r="C725">
        <f>Inputs!$B$3&gt;=110</f>
        <v/>
      </c>
      <c r="D725">
        <f>IF(Skills!C8=1,60+Inputs!$B$25+Inputs!$B$29,IF(Skills!C8=2,90+(Inputs!$B$26+1)+Inputs!$B$29,IF(Skills!C8=3,120+Inputs!$B$27+Inputs!$B$29,MAX(0,(Inputs!$B$3-100)*3)+Inputs!$B$28+Inputs!$B$29)))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737=TRUE)*(F737-Calc!F20)),(Inputs!$B$23+0+(IF(ArtifactsInput!$M$15,CHOOSE(ArtifactsInput!$N$15+1,25,30,35,40,45,50)/100*(Inputs!$B$11-Inputs!$B$11),0))))/100+(Inputs!$B$23+0+(IF(ArtifactsInput!$M$15,CHOOSE(ArtifactsInput!$N$15+1,25,30,35,40,45,50)/100*(Inputs!$B$11-Inputs!$B$11),0)))/100)/2</f>
        <v/>
      </c>
      <c r="M725">
        <f>L725*(1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IF(B752=0,0,O725/B752)</f>
        <v/>
      </c>
      <c r="Q725">
        <f>IFERROR(1/(IF(Inputs!$B$38="pvp",15,MAX(0.1,Skills!D8-IF(Skills!E8=TRUE,Inputs!$B$32,0)))*(1-IF(AND(ArtifactsInput!$M$27,Inputs!$B$4="Chapter Hunt"),CHOOSE(ArtifactsInput!$N$27+1,20,24,28,32,36,40),0)/100)),0)</f>
        <v/>
      </c>
      <c r="R725">
        <f>IF(AND(Inputs!$B$38&lt;&gt;"pvp",Inputs!$B$43&gt;0),IF(MAX(0,Inputs!$B$43-B749)&lt;=0,0,(INT(MAX(0,Inputs!$B$43-B749)/(IF(Inputs!$B$38="pvp",15,MAX(0.1,Skills!D8-IF(Skills!E8=TRUE,Inputs!$B$32,0)))*(1-IF(AND(ArtifactsInput!$M$27,Inputs!$B$4="Chapter Hunt"),CHOOSE(ArtifactsInput!$N$27+1,20,24,28,32,36,40),0)/100)))+1)),0)</f>
        <v/>
      </c>
      <c r="S725">
        <f>IFERROR(O725/N725,0)</f>
        <v/>
      </c>
      <c r="T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$21+Skills!Q8+(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Skills!A9</f>
        <v/>
      </c>
      <c r="B726">
        <f>Skills!B9</f>
        <v/>
      </c>
      <c r="C726">
        <f>Inputs!$B$3&gt;=110</f>
        <v/>
      </c>
      <c r="D726">
        <f>IF(Skills!C9=1,60+Inputs!$B$25+Inputs!$B$29,IF(Skills!C9=2,90+(Inputs!$B$26+1)+Inputs!$B$29,IF(Skills!C9=3,120+Inputs!$B$27+Inputs!$B$29,MAX(0,(Inputs!$B$3-100)*3)+Inputs!$B$28+Inputs!$B$29)))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737=TRUE)*(F737-Calc!F20)),(Inputs!$B$23+0+(IF(ArtifactsInput!$M$15,CHOOSE(ArtifactsInput!$N$15+1,25,30,35,40,45,50)/100*(Inputs!$B$11-Inputs!$B$11),0))))/100+(Inputs!$B$23+0+(IF(ArtifactsInput!$M$15,CHOOSE(ArtifactsInput!$N$15+1,25,30,35,40,45,50)/100*(Inputs!$B$11-Inputs!$B$11),0)))/100)/2</f>
        <v/>
      </c>
      <c r="M726">
        <f>L726*(1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IF(B752=0,0,O726/B752)</f>
        <v/>
      </c>
      <c r="Q726">
        <f>IFERROR(1/(IF(Inputs!$B$38="pvp",15,MAX(0.1,Skills!D9-IF(Skills!E9=TRUE,Inputs!$B$32,0)))*(1-IF(AND(ArtifactsInput!$M$27,Inputs!$B$4="Chapter Hunt"),CHOOSE(ArtifactsInput!$N$27+1,20,24,28,32,36,40),0)/100)),0)</f>
        <v/>
      </c>
      <c r="R726">
        <f>IF(AND(Inputs!$B$38&lt;&gt;"pvp",Inputs!$B$43&gt;0),IF(MAX(0,Inputs!$B$43-B749)&lt;=0,0,(INT(MAX(0,Inputs!$B$43-B749)/(IF(Inputs!$B$38="pvp",15,MAX(0.1,Skills!D9-IF(Skills!E9=TRUE,Inputs!$B$32,0)))*(1-IF(AND(ArtifactsInput!$M$27,Inputs!$B$4="Chapter Hunt"),CHOOSE(ArtifactsInput!$N$27+1,20,24,28,32,36,40),0)/100)))+1)),0)</f>
        <v/>
      </c>
      <c r="S726">
        <f>IFERROR(O726/N726,0)</f>
        <v/>
      </c>
      <c r="T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$21+Skills!Q9+(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Skills!A10</f>
        <v/>
      </c>
      <c r="B727">
        <f>Skills!B10</f>
        <v/>
      </c>
      <c r="C727">
        <f>Inputs!$B$3&gt;=103</f>
        <v/>
      </c>
      <c r="D727">
        <f>IF(Skills!C10=1,60+Inputs!$B$25+Inputs!$B$29,IF(Skills!C10=2,90+(Inputs!$B$26+1)+Inputs!$B$29,IF(Skills!C10=3,120+Inputs!$B$27+Inputs!$B$29,MAX(0,(Inputs!$B$3-100)*3)+Inputs!$B$28+Inputs!$B$29)))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737=TRUE)*(F737-Calc!F20)),(Inputs!$B$23+0+(IF(ArtifactsInput!$M$15,CHOOSE(ArtifactsInput!$N$15+1,25,30,35,40,45,50)/100*(Inputs!$B$11-Inputs!$B$11),0))))/100+(Inputs!$B$23+0+(IF(ArtifactsInput!$M$15,CHOOSE(ArtifactsInput!$N$15+1,25,30,35,40,45,50)/100*(Inputs!$B$11-Inputs!$B$11),0)))/100)/2</f>
        <v/>
      </c>
      <c r="M727">
        <f>L727*(1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IF(B752=0,0,O727/B752)</f>
        <v/>
      </c>
      <c r="Q727">
        <f>IFERROR(1/(IF(Inputs!$B$38="pvp",15,MAX(0.1,Skills!D10-IF(Skills!E10=TRUE,Inputs!$B$32,0)))*(1-IF(AND(ArtifactsInput!$M$27,Inputs!$B$4="Chapter Hunt"),CHOOSE(ArtifactsInput!$N$27+1,20,24,28,32,36,40),0)/100)),0)</f>
        <v/>
      </c>
      <c r="R727">
        <f>IF(AND(Inputs!$B$38&lt;&gt;"pvp",Inputs!$B$43&gt;0),IF(MAX(0,Inputs!$B$43-B749)&lt;=0,0,(INT(MAX(0,Inputs!$B$43-B749)/(IF(Inputs!$B$38="pvp",15,MAX(0.1,Skills!D10-IF(Skills!E10=TRUE,Inputs!$B$32,0)))*(1-IF(AND(ArtifactsInput!$M$27,Inputs!$B$4="Chapter Hunt"),CHOOSE(ArtifactsInput!$N$27+1,20,24,28,32,36,40),0)/100)))+1)),0)</f>
        <v/>
      </c>
      <c r="S727">
        <f>IFERROR(O727/N727,0)</f>
        <v/>
      </c>
      <c r="T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$21+Skills!Q10+(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Skills!A11</f>
        <v/>
      </c>
      <c r="B728">
        <f>Skills!B11</f>
        <v/>
      </c>
      <c r="C728">
        <f>Inputs!$B$3&gt;=113</f>
        <v/>
      </c>
      <c r="D728">
        <f>IF(Skills!C11=1,60+Inputs!$B$25+Inputs!$B$29,IF(Skills!C11=2,90+(Inputs!$B$26+1)+Inputs!$B$29,IF(Skills!C11=3,120+Inputs!$B$27+Inputs!$B$29,MAX(0,(Inputs!$B$3-100)*3)+Inputs!$B$28+Inputs!$B$29)))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737=TRUE)*(F737-Calc!F20)),(Inputs!$B$23+0+(IF(ArtifactsInput!$M$15,CHOOSE(ArtifactsInput!$N$15+1,25,30,35,40,45,50)/100*(Inputs!$B$11-Inputs!$B$11),0))))/100+(Inputs!$B$23+0+(IF(ArtifactsInput!$M$15,CHOOSE(ArtifactsInput!$N$15+1,25,30,35,40,45,50)/100*(Inputs!$B$11-Inputs!$B$11),0)))/100)/2</f>
        <v/>
      </c>
      <c r="M728">
        <f>L728*(1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IF(B752=0,0,O728/B752)</f>
        <v/>
      </c>
      <c r="Q728">
        <f>IFERROR(1/(IF(Inputs!$B$38="pvp",15,MAX(0.1,Skills!D11-IF(Skills!E11=TRUE,Inputs!$B$32,0)))*(1-IF(AND(ArtifactsInput!$M$27,Inputs!$B$4="Chapter Hunt"),CHOOSE(ArtifactsInput!$N$27+1,20,24,28,32,36,40),0)/100)),0)</f>
        <v/>
      </c>
      <c r="R728">
        <f>IF(AND(Inputs!$B$38&lt;&gt;"pvp",Inputs!$B$43&gt;0),IF(MAX(0,Inputs!$B$43-B749)&lt;=0,0,(INT(MAX(0,Inputs!$B$43-B749)/(IF(Inputs!$B$38="pvp",15,MAX(0.1,Skills!D11-IF(Skills!E11=TRUE,Inputs!$B$32,0)))*(1-IF(AND(ArtifactsInput!$M$27,Inputs!$B$4="Chapter Hunt"),CHOOSE(ArtifactsInput!$N$27+1,20,24,28,32,36,40),0)/100)))+1)),0)</f>
        <v/>
      </c>
      <c r="S728">
        <f>IFERROR(O728/N728,0)</f>
        <v/>
      </c>
      <c r="T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$21+Skills!Q11+(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Skills!A12</f>
        <v/>
      </c>
      <c r="B729">
        <f>Skills!B12</f>
        <v/>
      </c>
      <c r="C729">
        <f>Inputs!$B$3&gt;=100</f>
        <v/>
      </c>
      <c r="D729">
        <f>IF(Skills!C12=1,60+Inputs!$B$25+Inputs!$B$29,IF(Skills!C12=2,90+(Inputs!$B$26+1)+Inputs!$B$29,IF(Skills!C12=3,120+Inputs!$B$27+Inputs!$B$29,MAX(0,(Inputs!$B$3-100)*3)+Inputs!$B$28+Inputs!$B$29)))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c r="T729" t="inlineStr"/>
      <c r="V729" t="inlineStr"/>
    </row>
    <row r="730">
      <c r="A730">
        <f>Skills!A13</f>
        <v/>
      </c>
      <c r="B730">
        <f>Skills!B13</f>
        <v/>
      </c>
      <c r="C730">
        <f>Inputs!$B$3&gt;=66</f>
        <v/>
      </c>
      <c r="D730">
        <f>IF(Skills!C13=1,60+Inputs!$B$25+Inputs!$B$29,IF(Skills!C13=2,90+(Inputs!$B$26+1)+Inputs!$B$29,IF(Skills!C13=3,120+Inputs!$B$27+Inputs!$B$29,MAX(0,(Inputs!$B$3-100)*3)+Inputs!$B$28+Inputs!$B$29)))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f>(1-Summary!$B$11)*T730+Summary!$B$11*V730</f>
        <v/>
      </c>
      <c r="P730">
        <f>IF(B752=0,0,O730/B752)</f>
        <v/>
      </c>
      <c r="Q730" t="n">
        <v>0</v>
      </c>
      <c r="R730" t="n">
        <v>0</v>
      </c>
      <c r="S730">
        <f>IFERROR(O730/N730,0)</f>
        <v/>
      </c>
      <c r="T730" t="n">
        <v>0</v>
      </c>
      <c r="V730" t="n">
        <v>0</v>
      </c>
    </row>
    <row r="731">
      <c r="A731">
        <f>Skills!A14</f>
        <v/>
      </c>
      <c r="B731">
        <f>Skills!B14</f>
        <v/>
      </c>
      <c r="C731">
        <f>Inputs!$B$3&gt;=107</f>
        <v/>
      </c>
      <c r="D731">
        <f>IF(Skills!C14=1,60+Inputs!$B$25+Inputs!$B$29,IF(Skills!C14=2,90+(Inputs!$B$26+1)+Inputs!$B$29,IF(Skills!C14=3,120+Inputs!$B$27+Inputs!$B$29,MAX(0,(Inputs!$B$3-100)*3)+Inputs!$B$28+Inputs!$B$29)))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f>(1-Summary!$B$11)*T731+Summary!$B$11*V731</f>
        <v/>
      </c>
      <c r="P731">
        <f>IF(B752=0,0,O731/B752)</f>
        <v/>
      </c>
      <c r="Q731" t="n">
        <v>0</v>
      </c>
      <c r="R731" t="n">
        <v>0</v>
      </c>
      <c r="S731">
        <f>IFERROR(O731/N731,0)</f>
        <v/>
      </c>
      <c r="T731" t="n">
        <v>0</v>
      </c>
      <c r="V731" t="n">
        <v>0</v>
      </c>
    </row>
    <row r="732">
      <c r="A732">
        <f>Skills!A15</f>
        <v/>
      </c>
      <c r="B732">
        <f>Skills!B15</f>
        <v/>
      </c>
      <c r="C732">
        <f>Inputs!$B$3&gt;=115</f>
        <v/>
      </c>
      <c r="D732">
        <f>IF(Skills!C15=1,60+Inputs!$B$25+Inputs!$B$29,IF(Skills!C15=2,90+(Inputs!$B$26+1)+Inputs!$B$29,IF(Skills!C15=3,120+Inputs!$B$27+Inputs!$B$29,MAX(0,(Inputs!$B$3-100)*3)+Inputs!$B$28+Inputs!$B$29)))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f>(1-Summary!$B$11)*T732+Summary!$B$11*V732</f>
        <v/>
      </c>
      <c r="P732">
        <f>IF(B752=0,0,O732/B752)</f>
        <v/>
      </c>
      <c r="Q732" t="n">
        <v>0</v>
      </c>
      <c r="R732" t="n">
        <v>0</v>
      </c>
      <c r="S732">
        <f>IFERROR(O732/N732,0)</f>
        <v/>
      </c>
      <c r="T732" t="n">
        <v>0</v>
      </c>
      <c r="V732" t="n">
        <v>0</v>
      </c>
    </row>
    <row r="733">
      <c r="A733">
        <f>Skills!A16</f>
        <v/>
      </c>
      <c r="B733">
        <f>Skills!B16</f>
        <v/>
      </c>
      <c r="C733">
        <f>Inputs!$B$3&gt;=15</f>
        <v/>
      </c>
      <c r="D733">
        <f>IF(Skills!C16=1,60+Inputs!$B$25+Inputs!$B$29,IF(Skills!C16=2,90+(Inputs!$B$26+1)+Inputs!$B$29,IF(Skills!C16=3,120+Inputs!$B$27+Inputs!$B$29,MAX(0,(Inputs!$B$3-100)*3)+Inputs!$B$28+Inputs!$B$29)))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f>(1-Summary!$B$11)*T733+Summary!$B$11*V733</f>
        <v/>
      </c>
      <c r="P733">
        <f>IF(B752=0,0,O733/B752)</f>
        <v/>
      </c>
      <c r="Q733" t="n">
        <v>0</v>
      </c>
      <c r="R733" t="n">
        <v>0</v>
      </c>
      <c r="S733">
        <f>IFERROR(O733/N733,0)</f>
        <v/>
      </c>
      <c r="T733" t="n">
        <v>0</v>
      </c>
      <c r="V733" t="n">
        <v>0</v>
      </c>
    </row>
    <row r="734">
      <c r="A734">
        <f>Skills!A17</f>
        <v/>
      </c>
      <c r="B734">
        <f>Skills!B17</f>
        <v/>
      </c>
      <c r="C734">
        <f>Inputs!$B$3&gt;=10</f>
        <v/>
      </c>
      <c r="D734">
        <f>IF(Skills!C17=1,60+Inputs!$B$25+Inputs!$B$29,IF(Skills!C17=2,90+(Inputs!$B$26+1)+Inputs!$B$29,IF(Skills!C17=3,120+Inputs!$B$27+Inputs!$B$29,MAX(0,(Inputs!$B$3-100)*3)+Inputs!$B$28+Inputs!$B$29)))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f>(1-Summary!$B$11)*T734+Summary!$B$11*V734</f>
        <v/>
      </c>
      <c r="P734">
        <f>IF(B752=0,0,O734/B752)</f>
        <v/>
      </c>
      <c r="Q734" t="n">
        <v>0</v>
      </c>
      <c r="R734" t="n">
        <v>0</v>
      </c>
      <c r="S734">
        <f>IFERROR(O734/N734,0)</f>
        <v/>
      </c>
      <c r="T734" t="n">
        <v>0</v>
      </c>
      <c r="V734" t="n">
        <v>0</v>
      </c>
    </row>
    <row r="735">
      <c r="A735">
        <f>Skills!A18</f>
        <v/>
      </c>
      <c r="B735">
        <f>Skills!B18</f>
        <v/>
      </c>
      <c r="C735">
        <f>Inputs!$B$3&gt;=33</f>
        <v/>
      </c>
      <c r="D735">
        <f>IF(Skills!C18=1,60+Inputs!$B$25+Inputs!$B$29,IF(Skills!C18=2,90+(Inputs!$B$26+1)+Inputs!$B$29,IF(Skills!C18=3,120+Inputs!$B$27+Inputs!$B$29,MAX(0,(Inputs!$B$3-100)*3)+Inputs!$B$28+Inputs!$B$29)))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f>(1-Summary!$B$11)*T735+Summary!$B$11*V735</f>
        <v/>
      </c>
      <c r="P735">
        <f>IF(B752=0,0,O735/B752)</f>
        <v/>
      </c>
      <c r="Q735" t="n">
        <v>0</v>
      </c>
      <c r="R735" t="n">
        <v>0</v>
      </c>
      <c r="S735">
        <f>IFERROR(O735/N735,0)</f>
        <v/>
      </c>
      <c r="T735" t="n">
        <v>0</v>
      </c>
      <c r="V735" t="n">
        <v>0</v>
      </c>
    </row>
    <row r="736">
      <c r="A736">
        <f>Skills!A19</f>
        <v/>
      </c>
      <c r="B736">
        <f>Skills!B19</f>
        <v/>
      </c>
      <c r="C736">
        <f>Inputs!$B$3&gt;=40</f>
        <v/>
      </c>
      <c r="D736">
        <f>IF(Skills!C19=1,60+Inputs!$B$25+Inputs!$B$29,IF(Skills!C19=2,90+(Inputs!$B$26+1)+Inputs!$B$29,IF(Skills!C19=3,120+Inputs!$B$27+Inputs!$B$29,MAX(0,(Inputs!$B$3-100)*3)+Inputs!$B$28+Inputs!$B$29)))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f>(1-Summary!$B$11)*T736+Summary!$B$11*V736</f>
        <v/>
      </c>
      <c r="P736">
        <f>IF(B752=0,0,O736/B752)</f>
        <v/>
      </c>
      <c r="Q736" t="n">
        <v>0</v>
      </c>
      <c r="R736" t="n">
        <v>0</v>
      </c>
      <c r="S736">
        <f>IFERROR(O736/N736,0)</f>
        <v/>
      </c>
      <c r="T736" t="n">
        <v>0</v>
      </c>
      <c r="V736" t="n">
        <v>0</v>
      </c>
    </row>
    <row r="737">
      <c r="A737">
        <f>Skills!A20</f>
        <v/>
      </c>
      <c r="B737">
        <f>Skills!B20</f>
        <v/>
      </c>
      <c r="C737">
        <f>Inputs!$B$3&gt;=43</f>
        <v/>
      </c>
      <c r="D737">
        <f>IF(Skills!C20=1,60+Inputs!$B$25+Inputs!$B$29,IF(Skills!C20=2,90+(Inputs!$B$26+1)+Inputs!$B$29,IF(Skills!C20=3,120+Inputs!$B$27+Inputs!$B$29,MAX(0,(Inputs!$B$3-100)*3)+Inputs!$B$28+Inputs!$B$29)))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f>(1-Summary!$B$11)*T737+Summary!$B$11*V737</f>
        <v/>
      </c>
      <c r="P737">
        <f>IF(B752=0,0,O737/B752)</f>
        <v/>
      </c>
      <c r="Q737" t="n">
        <v>0</v>
      </c>
      <c r="R737" t="n">
        <v>0</v>
      </c>
      <c r="S737">
        <f>IFERROR(O737/N737,0)</f>
        <v/>
      </c>
      <c r="T737" t="n">
        <v>0</v>
      </c>
      <c r="V737" t="n">
        <v>0</v>
      </c>
    </row>
    <row r="738">
      <c r="A738">
        <f>Skills!A21</f>
        <v/>
      </c>
      <c r="B738">
        <f>Skills!B21</f>
        <v/>
      </c>
      <c r="C738">
        <f>Inputs!$B$3&gt;=38</f>
        <v/>
      </c>
      <c r="D738">
        <f>IF(Skills!C21=1,60+Inputs!$B$25+Inputs!$B$29,IF(Skills!C21=2,90+(Inputs!$B$26+1)+Inputs!$B$29,IF(Skills!C21=3,120+Inputs!$B$27+Inputs!$B$29,MAX(0,(Inputs!$B$3-100)*3)+Inputs!$B$28+Inputs!$B$29)))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f>(1-Summary!$B$11)*T738+Summary!$B$11*V738</f>
        <v/>
      </c>
      <c r="P738">
        <f>IF(B752=0,0,O738/B752)</f>
        <v/>
      </c>
      <c r="Q738" t="n">
        <v>0</v>
      </c>
      <c r="R738" t="n">
        <v>0</v>
      </c>
      <c r="S738">
        <f>IFERROR(O738/N738,0)</f>
        <v/>
      </c>
      <c r="T738" t="n">
        <v>0</v>
      </c>
      <c r="V738" t="n">
        <v>0</v>
      </c>
    </row>
    <row r="739">
      <c r="A739">
        <f>Skills!A22</f>
        <v/>
      </c>
      <c r="B739">
        <f>Skills!B22</f>
        <v/>
      </c>
      <c r="C739">
        <f>Inputs!$B$3&gt;=75</f>
        <v/>
      </c>
      <c r="D739">
        <f>IF(Skills!C22=1,60+Inputs!$B$25+Inputs!$B$29,IF(Skills!C22=2,90+(Inputs!$B$26+1)+Inputs!$B$29,IF(Skills!C22=3,120+Inputs!$B$27+Inputs!$B$29,MAX(0,(Inputs!$B$3-100)*3)+Inputs!$B$28+Inputs!$B$29)))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f>(1-Summary!$B$11)*T739+Summary!$B$11*V739</f>
        <v/>
      </c>
      <c r="P739">
        <f>IF(B752=0,0,O739/B752)</f>
        <v/>
      </c>
      <c r="Q739" t="n">
        <v>0</v>
      </c>
      <c r="R739" t="n">
        <v>0</v>
      </c>
      <c r="S739">
        <f>IFERROR(O739/N739,0)</f>
        <v/>
      </c>
      <c r="T739" t="n">
        <v>0</v>
      </c>
      <c r="V739" t="n">
        <v>0</v>
      </c>
    </row>
    <row r="741">
      <c r="A741" t="inlineStr">
        <is>
          <t>Attack% Bucket Multiplier</t>
        </is>
      </c>
      <c r="B741">
        <f>(1+(((C730=TRUE)*F730)+((C736=TRUE)*(F736-Calc!F19))+(IF(ArtifactsInput!$M$21,CHOOSE(ArtifactsInput!$N$21+1,25,30,35,40,45,50)*(IF(OR(Inputs!$B$4="Chapter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49">
      <c r="A749" t="inlineStr">
        <is>
          <t>Buff-Casting Startup Delay (s, fixed-duration only)</t>
        </is>
      </c>
      <c r="B749">
        <f>IF(AND(Inputs!$B$38&lt;&gt;"pvp",Inputs!$B$43&gt;0),SUMPRODUCT((Skills!T2:T22&gt;0)*(Skills!E2:E22=TRUE)*(C719:C739=TRUE))/B744,0)</f>
        <v/>
      </c>
    </row>
    <row r="750">
      <c r="A750" t="inlineStr">
        <is>
          <t>Boss-Only Total DPS (this block's swept value)</t>
        </is>
      </c>
      <c r="B750">
        <f>SUM(T719:T739)</f>
        <v/>
      </c>
    </row>
    <row r="751">
      <c r="A751" t="inlineStr">
        <is>
          <t>Normal-Only Total DPS (this block's swept value)</t>
        </is>
      </c>
      <c r="B751">
        <f>SUM(V719:V739)</f>
        <v/>
      </c>
    </row>
    <row r="752">
      <c r="A752" s="6" t="inlineStr">
        <is>
          <t>TOTAL DPS</t>
        </is>
      </c>
      <c r="B752" s="6">
        <f>SUM(O719:O739)</f>
        <v/>
      </c>
    </row>
    <row r="755">
      <c r="A755" s="6" t="inlineStr">
        <is>
          <t>Stat: Skill Level Bonus — 3rd Job</t>
        </is>
      </c>
    </row>
    <row r="756">
      <c r="A756" s="5" t="inlineStr">
        <is>
          <t>Key</t>
        </is>
      </c>
      <c r="B756" s="5" t="inlineStr">
        <is>
          <t>Name</t>
        </is>
      </c>
      <c r="C756" s="5" t="inlineStr">
        <is>
          <t>Unlocked</t>
        </is>
      </c>
      <c r="D756" s="5" t="inlineStr">
        <is>
          <t>InputLevel</t>
        </is>
      </c>
      <c r="E756" s="5" t="inlineStr">
        <is>
          <t>Factor</t>
        </is>
      </c>
      <c r="F756" s="5" t="inlineStr">
        <is>
          <t>CoefficientPercent</t>
        </is>
      </c>
      <c r="G756" s="5" t="inlineStr">
        <is>
          <t>EffectiveHits</t>
        </is>
      </c>
      <c r="H756" s="5" t="inlineStr">
        <is>
          <t>ProcProbability</t>
        </is>
      </c>
      <c r="I756" s="5" t="inlineStr">
        <is>
          <t>MapleHeroMultiplier</t>
        </is>
      </c>
      <c r="J756" s="5" t="inlineStr">
        <is>
          <t>BaseDamage</t>
        </is>
      </c>
      <c r="K756" s="5" t="inlineStr">
        <is>
          <t>BaseHitDamage</t>
        </is>
      </c>
      <c r="L756" s="5" t="inlineStr">
        <is>
          <t>NonCritAvg</t>
        </is>
      </c>
      <c r="M756" s="5" t="inlineStr">
        <is>
          <t>CritAvg</t>
        </is>
      </c>
      <c r="N756" s="5" t="inlineStr">
        <is>
          <t>ExpectedDamage(perHit)</t>
        </is>
      </c>
      <c r="O756" s="5" t="inlineStr">
        <is>
          <t>DPS</t>
        </is>
      </c>
      <c r="P756" s="5" t="inlineStr">
        <is>
          <t>% of Total</t>
        </is>
      </c>
      <c r="Q756" s="5" t="inlineStr">
        <is>
          <t>InvCooldown</t>
        </is>
      </c>
      <c r="R756" s="5" t="inlineStr">
        <is>
          <t>CastsInFight</t>
        </is>
      </c>
      <c r="S756" s="5"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775=TRUE)*(F775-Calc!F20)),(Inputs!$B$23+0+(IF(ArtifactsInput!$M$15,CHOOSE(ArtifactsInput!$N$15+1,25,30,35,40,45,50)/100*(Inputs!$B$11-Inputs!$B$11),0))))/100+(Inputs!$B$23+0+(IF(ArtifactsInput!$M$15,CHOOSE(ArtifactsInput!$N$15+1,25,30,35,40,45,50)/100*(Inputs!$B$11-Inputs!$B$11),0)))/100)/2</f>
        <v/>
      </c>
      <c r="M757">
        <f>L757*(1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IF(B790=0,0,O757/B790)</f>
        <v/>
      </c>
      <c r="Q757" t="n">
        <v>0</v>
      </c>
      <c r="R757" t="n">
        <v>0</v>
      </c>
      <c r="S757">
        <f>IFERROR(O757/N757,0)</f>
        <v/>
      </c>
      <c r="T757">
        <f>IF(C757,(Skills!G2*N757*B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MAX(0,(Inputs!$B$3-100)*3)+Inputs!$B$28+Inputs!$B$29</f>
        <v/>
      </c>
      <c r="V757">
        <f>IF(C757,(Skills!G2*N757*B784)*IF(Inputs!$B$38="pvp",1,(1+(Inputs!$B$21+Skills!Q2+(IF(ArtifactsInput!$M$33,CHOOSE(ArtifactsInput!$N$33+1,30,36,42,48,54,60),0))+(IF(AND(ArtifactsInput!$M$35,Inputs!$B$4&lt;&gt;"Chapter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Skills!A3</f>
        <v/>
      </c>
      <c r="B758">
        <f>Skills!B3</f>
        <v/>
      </c>
      <c r="C758">
        <f>Inputs!$B$3&gt;=35</f>
        <v/>
      </c>
      <c r="D758">
        <f>IF(Skills!C3=1,60+Inputs!$B$25+Inputs!$B$29,IF(Skills!C3=2,90+Inputs!$B$26+Inputs!$B$29,IF(Skills!C3=3,120+(Inputs!$B$27+1)+Inputs!$B$29,MAX(0,(Inputs!$B$3-100)*3)+Inputs!$B$28+Inputs!$B$29)))</f>
        <v/>
      </c>
      <c r="E758">
        <f>INDEX(FactorTable!$B$2:$Y$301, MATCH(ROUND(MIN(300,MAX(1,D758)),0), FactorTable!$A$2:$A$301,0), Skills!M3+1)</f>
        <v/>
      </c>
      <c r="F758">
        <f>IF(Skills!N3=TRUE,(Skills!L3/10)*(E758/1000),Skills!L3/10)+Skills!O3</f>
        <v/>
      </c>
      <c r="G758">
        <f>Skills!G3*IF(Skills!H3&gt;0,Skills!I3/Skills!H3,1)</f>
        <v/>
      </c>
      <c r="H758">
        <f>1-(1-Skills!J3/100)^Skills!K3</f>
        <v/>
      </c>
      <c r="I758" t="inlineStr">
        <is>
          <t>1</t>
        </is>
      </c>
      <c r="J758">
        <f>((Inputs!$B$6*(1+Inputs!$B$7/100))+(((Inputs!$B$12*(1+Inputs!$B$13/100))-(Inputs!$B$12*(1+Inputs!$B$13/100)))+0.25*(Inputs!$B$14-Inputs!$B$14))*(1+Inputs!$B$7/100))*(F758/100)</f>
        <v/>
      </c>
      <c r="K758">
        <f>J758*(1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775=TRUE)*(F775-Calc!F20)),(Inputs!$B$23+0+(IF(ArtifactsInput!$M$15,CHOOSE(ArtifactsInput!$N$15+1,25,30,35,40,45,50)/100*(Inputs!$B$11-Inputs!$B$11),0))))/100+(Inputs!$B$23+0+(IF(ArtifactsInput!$M$15,CHOOSE(ArtifactsInput!$N$15+1,25,30,35,40,45,50)/100*(Inputs!$B$11-Inputs!$B$11),0)))/100)/2</f>
        <v/>
      </c>
      <c r="M758">
        <f>L758*(1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IF(B790=0,0,O758/B790)</f>
        <v/>
      </c>
      <c r="Q758" t="n">
        <v>0</v>
      </c>
      <c r="R758" t="n">
        <v>0</v>
      </c>
      <c r="S758">
        <f>IFERROR(O758/N758,0)</f>
        <v/>
      </c>
      <c r="T758">
        <f>IF(C758,(Skills!G3*H758*N758*B784)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INDEX(FactorTable!$B$2:$Y$301, MATCH(ROUND(MIN(300,MAX(1,U757)),0), FactorTable!$A$2:$A$301,0), 22)</f>
        <v/>
      </c>
      <c r="V758">
        <f>IF(C758,(Skills!G3*H758*N758*B784)*IF(Inputs!$B$38="pvp",1,(1+(Inputs!$B$21+Skills!Q3+(IF(ArtifactsInput!$M$33,CHOOSE(ArtifactsInput!$N$33+1,30,36,42,48,54,60),0))+(IF(AND(ArtifactsInput!$M$35,Inputs!$B$4&lt;&gt;"Chapter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Skills!A4</f>
        <v/>
      </c>
      <c r="B759">
        <f>Skills!B4</f>
        <v/>
      </c>
      <c r="C759">
        <f>Inputs!$B$3&gt;=60</f>
        <v/>
      </c>
      <c r="D759">
        <f>IF(Skills!C4=1,60+Inputs!$B$25+Inputs!$B$29,IF(Skills!C4=2,90+Inputs!$B$26+Inputs!$B$29,IF(Skills!C4=3,120+(Inputs!$B$27+1)+Inputs!$B$29,MAX(0,(Inputs!$B$3-100)*3)+Inputs!$B$28+Inputs!$B$29)))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767=TRUE,F767,0)/100)*(1+(IF(Skills!A4="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775=TRUE)*(F775-Calc!F20)),(Inputs!$B$23+0+(IF(ArtifactsInput!$M$15,CHOOSE(ArtifactsInput!$N$15+1,25,30,35,40,45,50)/100*(Inputs!$B$11-Inputs!$B$11),0))))/100+(Inputs!$B$23+0+(IF(ArtifactsInput!$M$15,CHOOSE(ArtifactsInput!$N$15+1,25,30,35,40,45,50)/100*(Inputs!$B$11-Inputs!$B$11),0)))/100)/2</f>
        <v/>
      </c>
      <c r="M759">
        <f>L759*(1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IF(B790=0,0,O759/B790)</f>
        <v/>
      </c>
      <c r="Q759" t="n">
        <v>0</v>
      </c>
      <c r="R759" t="n">
        <v>0</v>
      </c>
      <c r="S759">
        <f>IFERROR(O759/N759,0)</f>
        <v/>
      </c>
      <c r="T759">
        <f>IF(C759,(Skills!G4*H759*N759*B784)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290*U758/1000</f>
        <v/>
      </c>
      <c r="V759">
        <f>IF(C759,(Skills!G4*H759*N759*B784)*IF(Inputs!$B$38="pvp",1,(1+(Inputs!$B$21+Skills!Q4+(IF(ArtifactsInput!$M$33,CHOOSE(ArtifactsInput!$N$33+1,30,36,42,48,54,60),0))+(IF(AND(ArtifactsInput!$M$35,Inputs!$B$4&lt;&gt;"Chapter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Skills!A5</f>
        <v/>
      </c>
      <c r="B760">
        <f>Skills!B5</f>
        <v/>
      </c>
      <c r="C760">
        <f>Inputs!$B$3&gt;=60</f>
        <v/>
      </c>
      <c r="D760">
        <f>IF(Skills!C5=1,60+Inputs!$B$25+Inputs!$B$29,IF(Skills!C5=2,90+Inputs!$B$26+Inputs!$B$29,IF(Skills!C5=3,120+(Inputs!$B$27+1)+Inputs!$B$29,MAX(0,(Inputs!$B$3-100)*3)+Inputs!$B$28+Inputs!$B$29)))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t="inlineStr"/>
      <c r="K760" t="inlineStr"/>
      <c r="L760" t="inlineStr"/>
      <c r="M760" t="inlineStr"/>
      <c r="N760" t="inlineStr"/>
      <c r="O760">
        <f>(1-Summary!$B$11)*T760+Summary!$B$11*V760</f>
        <v/>
      </c>
      <c r="P760">
        <f>IF(B790=0,0,O760/B790)</f>
        <v/>
      </c>
      <c r="Q760" t="n">
        <v>0</v>
      </c>
      <c r="R760" t="n">
        <v>0</v>
      </c>
      <c r="S760">
        <f>IFERROR(O760/N760,0)</f>
        <v/>
      </c>
      <c r="T760" t="n">
        <v>0</v>
      </c>
      <c r="V760" t="n">
        <v>0</v>
      </c>
    </row>
    <row r="761">
      <c r="A761">
        <f>Skills!A6</f>
        <v/>
      </c>
      <c r="B761">
        <f>Skills!B6</f>
        <v/>
      </c>
      <c r="C761">
        <f>Inputs!$B$3&gt;=63</f>
        <v/>
      </c>
      <c r="D761">
        <f>IF(Skills!C6=1,60+Inputs!$B$25+Inputs!$B$29,IF(Skills!C6=2,90+Inputs!$B$26+Inputs!$B$29,IF(Skills!C6=3,120+(Inputs!$B$27+1)+Inputs!$B$29,MAX(0,(Inputs!$B$3-100)*3)+Inputs!$B$28+Inputs!$B$29)))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775=TRUE)*(F775-Calc!F20)),(Inputs!$B$23+0+(IF(ArtifactsInput!$M$15,CHOOSE(ArtifactsInput!$N$15+1,25,30,35,40,45,50)/100*(Inputs!$B$11-Inputs!$B$11),0))))/100+(Inputs!$B$23+0+(IF(ArtifactsInput!$M$15,CHOOSE(ArtifactsInput!$N$15+1,25,30,35,40,45,50)/100*(Inputs!$B$11-Inputs!$B$11),0)))/100)/2</f>
        <v/>
      </c>
      <c r="M761">
        <f>L761*(1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IF(B790=0,0,O761/B790)</f>
        <v/>
      </c>
      <c r="Q761">
        <f>IFERROR(1/(IF(Inputs!$B$38="pvp",15,MAX(0.1,Skills!D6-IF(Skills!E6=TRUE,Inputs!$B$32,0)))*(1-IF(AND(ArtifactsInput!$M$27,Inputs!$B$4="Chapter Hunt"),CHOOSE(ArtifactsInput!$N$27+1,20,24,28,32,36,40),0)/100)),0)</f>
        <v/>
      </c>
      <c r="R761">
        <f>IF(AND(Inputs!$B$38&lt;&gt;"pvp",Inputs!$B$43&gt;0),IF(MAX(0,Inputs!$B$43-B787)&lt;=0,0,(INT(MAX(0,Inputs!$B$43-B787)/(IF(Inputs!$B$38="pvp",15,MAX(0.1,Skills!D6-IF(Skills!E6=TRUE,Inputs!$B$32,0)))*(1-IF(AND(ArtifactsInput!$M$27,Inputs!$B$4="Chapter Hunt"),CHOOSE(ArtifactsInput!$N$27+1,20,24,28,32,36,40),0)/100)))+1)),0)</f>
        <v/>
      </c>
      <c r="S761">
        <f>IFERROR(O761/N761,0)</f>
        <v/>
      </c>
      <c r="T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$21+Skills!Q6+(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Skills!A7</f>
        <v/>
      </c>
      <c r="B762">
        <f>Skills!B7</f>
        <v/>
      </c>
      <c r="C762">
        <f>Inputs!$B$3&gt;=100</f>
        <v/>
      </c>
      <c r="D762">
        <f>IF(Skills!C7=1,60+Inputs!$B$25+Inputs!$B$29,IF(Skills!C7=2,90+Inputs!$B$26+Inputs!$B$29,IF(Skills!C7=3,120+(Inputs!$B$27+1)+Inputs!$B$29,MAX(0,(Inputs!$B$3-100)*3)+Inputs!$B$28+Inputs!$B$29)))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775=TRUE)*(F775-Calc!F20)),(Inputs!$B$23+0+(IF(ArtifactsInput!$M$15,CHOOSE(ArtifactsInput!$N$15+1,25,30,35,40,45,50)/100*(Inputs!$B$11-Inputs!$B$11),0))))/100+(Inputs!$B$23+0+(IF(ArtifactsInput!$M$15,CHOOSE(ArtifactsInput!$N$15+1,25,30,35,40,45,50)/100*(Inputs!$B$11-Inputs!$B$11),0)))/100)/2</f>
        <v/>
      </c>
      <c r="M762">
        <f>L762*(1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IF(B790=0,0,O762/B790)</f>
        <v/>
      </c>
      <c r="Q762">
        <f>IFERROR(1/(IF(Inputs!$B$38="pvp",15,MAX(0.1,Skills!D7-IF(Skills!E7=TRUE,Inputs!$B$32,0)))*(1-IF(AND(ArtifactsInput!$M$27,Inputs!$B$4="Chapter Hunt"),CHOOSE(ArtifactsInput!$N$27+1,20,24,28,32,36,40),0)/100)),0)</f>
        <v/>
      </c>
      <c r="R762">
        <f>IF(AND(Inputs!$B$38&lt;&gt;"pvp",Inputs!$B$43&gt;0),IF(MAX(0,Inputs!$B$43-B787)&lt;=0,0,(INT(MAX(0,Inputs!$B$43-B787)/(IF(Inputs!$B$38="pvp",15,MAX(0.1,Skills!D7-IF(Skills!E7=TRUE,Inputs!$B$32,0)))*(1-IF(AND(ArtifactsInput!$M$27,Inputs!$B$4="Chapter Hunt"),CHOOSE(ArtifactsInput!$N$27+1,20,24,28,32,36,40),0)/100)))+1)),0)</f>
        <v/>
      </c>
      <c r="S762">
        <f>IFERROR(O762/N762,0)</f>
        <v/>
      </c>
      <c r="T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$21+Skills!Q7+(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Skills!A8</f>
        <v/>
      </c>
      <c r="B763">
        <f>Skills!B8</f>
        <v/>
      </c>
      <c r="C763">
        <f>Inputs!$B$3&gt;=110</f>
        <v/>
      </c>
      <c r="D763">
        <f>IF(Skills!C8=1,60+Inputs!$B$25+Inputs!$B$29,IF(Skills!C8=2,90+Inputs!$B$26+Inputs!$B$29,IF(Skills!C8=3,120+(Inputs!$B$27+1)+Inputs!$B$29,MAX(0,(Inputs!$B$3-100)*3)+Inputs!$B$28+Inputs!$B$29)))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775=TRUE)*(F775-Calc!F20)),(Inputs!$B$23+0+(IF(ArtifactsInput!$M$15,CHOOSE(ArtifactsInput!$N$15+1,25,30,35,40,45,50)/100*(Inputs!$B$11-Inputs!$B$11),0))))/100+(Inputs!$B$23+0+(IF(ArtifactsInput!$M$15,CHOOSE(ArtifactsInput!$N$15+1,25,30,35,40,45,50)/100*(Inputs!$B$11-Inputs!$B$11),0)))/100)/2</f>
        <v/>
      </c>
      <c r="M763">
        <f>L763*(1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IF(B790=0,0,O763/B790)</f>
        <v/>
      </c>
      <c r="Q763">
        <f>IFERROR(1/(IF(Inputs!$B$38="pvp",15,MAX(0.1,Skills!D8-IF(Skills!E8=TRUE,Inputs!$B$32,0)))*(1-IF(AND(ArtifactsInput!$M$27,Inputs!$B$4="Chapter Hunt"),CHOOSE(ArtifactsInput!$N$27+1,20,24,28,32,36,40),0)/100)),0)</f>
        <v/>
      </c>
      <c r="R763">
        <f>IF(AND(Inputs!$B$38&lt;&gt;"pvp",Inputs!$B$43&gt;0),IF(MAX(0,Inputs!$B$43-B787)&lt;=0,0,(INT(MAX(0,Inputs!$B$43-B787)/(IF(Inputs!$B$38="pvp",15,MAX(0.1,Skills!D8-IF(Skills!E8=TRUE,Inputs!$B$32,0)))*(1-IF(AND(ArtifactsInput!$M$27,Inputs!$B$4="Chapter Hunt"),CHOOSE(ArtifactsInput!$N$27+1,20,24,28,32,36,40),0)/100)))+1)),0)</f>
        <v/>
      </c>
      <c r="S763">
        <f>IFERROR(O763/N763,0)</f>
        <v/>
      </c>
      <c r="T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$21+Skills!Q8+(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Skills!A9</f>
        <v/>
      </c>
      <c r="B764">
        <f>Skills!B9</f>
        <v/>
      </c>
      <c r="C764">
        <f>Inputs!$B$3&gt;=110</f>
        <v/>
      </c>
      <c r="D764">
        <f>IF(Skills!C9=1,60+Inputs!$B$25+Inputs!$B$29,IF(Skills!C9=2,90+Inputs!$B$26+Inputs!$B$29,IF(Skills!C9=3,120+(Inputs!$B$27+1)+Inputs!$B$29,MAX(0,(Inputs!$B$3-100)*3)+Inputs!$B$28+Inputs!$B$29)))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775=TRUE)*(F775-Calc!F20)),(Inputs!$B$23+0+(IF(ArtifactsInput!$M$15,CHOOSE(ArtifactsInput!$N$15+1,25,30,35,40,45,50)/100*(Inputs!$B$11-Inputs!$B$11),0))))/100+(Inputs!$B$23+0+(IF(ArtifactsInput!$M$15,CHOOSE(ArtifactsInput!$N$15+1,25,30,35,40,45,50)/100*(Inputs!$B$11-Inputs!$B$11),0)))/100)/2</f>
        <v/>
      </c>
      <c r="M764">
        <f>L764*(1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IF(B790=0,0,O764/B790)</f>
        <v/>
      </c>
      <c r="Q764">
        <f>IFERROR(1/(IF(Inputs!$B$38="pvp",15,MAX(0.1,Skills!D9-IF(Skills!E9=TRUE,Inputs!$B$32,0)))*(1-IF(AND(ArtifactsInput!$M$27,Inputs!$B$4="Chapter Hunt"),CHOOSE(ArtifactsInput!$N$27+1,20,24,28,32,36,40),0)/100)),0)</f>
        <v/>
      </c>
      <c r="R764">
        <f>IF(AND(Inputs!$B$38&lt;&gt;"pvp",Inputs!$B$43&gt;0),IF(MAX(0,Inputs!$B$43-B787)&lt;=0,0,(INT(MAX(0,Inputs!$B$43-B787)/(IF(Inputs!$B$38="pvp",15,MAX(0.1,Skills!D9-IF(Skills!E9=TRUE,Inputs!$B$32,0)))*(1-IF(AND(ArtifactsInput!$M$27,Inputs!$B$4="Chapter Hunt"),CHOOSE(ArtifactsInput!$N$27+1,20,24,28,32,36,40),0)/100)))+1)),0)</f>
        <v/>
      </c>
      <c r="S764">
        <f>IFERROR(O764/N764,0)</f>
        <v/>
      </c>
      <c r="T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$21+Skills!Q9+(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Skills!A10</f>
        <v/>
      </c>
      <c r="B765">
        <f>Skills!B10</f>
        <v/>
      </c>
      <c r="C765">
        <f>Inputs!$B$3&gt;=103</f>
        <v/>
      </c>
      <c r="D765">
        <f>IF(Skills!C10=1,60+Inputs!$B$25+Inputs!$B$29,IF(Skills!C10=2,90+Inputs!$B$26+Inputs!$B$29,IF(Skills!C10=3,120+(Inputs!$B$27+1)+Inputs!$B$29,MAX(0,(Inputs!$B$3-100)*3)+Inputs!$B$28+Inputs!$B$29)))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775=TRUE)*(F775-Calc!F20)),(Inputs!$B$23+0+(IF(ArtifactsInput!$M$15,CHOOSE(ArtifactsInput!$N$15+1,25,30,35,40,45,50)/100*(Inputs!$B$11-Inputs!$B$11),0))))/100+(Inputs!$B$23+0+(IF(ArtifactsInput!$M$15,CHOOSE(ArtifactsInput!$N$15+1,25,30,35,40,45,50)/100*(Inputs!$B$11-Inputs!$B$11),0)))/100)/2</f>
        <v/>
      </c>
      <c r="M765">
        <f>L765*(1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IF(B790=0,0,O765/B790)</f>
        <v/>
      </c>
      <c r="Q765">
        <f>IFERROR(1/(IF(Inputs!$B$38="pvp",15,MAX(0.1,Skills!D10-IF(Skills!E10=TRUE,Inputs!$B$32,0)))*(1-IF(AND(ArtifactsInput!$M$27,Inputs!$B$4="Chapter Hunt"),CHOOSE(ArtifactsInput!$N$27+1,20,24,28,32,36,40),0)/100)),0)</f>
        <v/>
      </c>
      <c r="R765">
        <f>IF(AND(Inputs!$B$38&lt;&gt;"pvp",Inputs!$B$43&gt;0),IF(MAX(0,Inputs!$B$43-B787)&lt;=0,0,(INT(MAX(0,Inputs!$B$43-B787)/(IF(Inputs!$B$38="pvp",15,MAX(0.1,Skills!D10-IF(Skills!E10=TRUE,Inputs!$B$32,0)))*(1-IF(AND(ArtifactsInput!$M$27,Inputs!$B$4="Chapter Hunt"),CHOOSE(ArtifactsInput!$N$27+1,20,24,28,32,36,40),0)/100)))+1)),0)</f>
        <v/>
      </c>
      <c r="S765">
        <f>IFERROR(O765/N765,0)</f>
        <v/>
      </c>
      <c r="T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$21+Skills!Q10+(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Skills!A11</f>
        <v/>
      </c>
      <c r="B766">
        <f>Skills!B11</f>
        <v/>
      </c>
      <c r="C766">
        <f>Inputs!$B$3&gt;=113</f>
        <v/>
      </c>
      <c r="D766">
        <f>IF(Skills!C11=1,60+Inputs!$B$25+Inputs!$B$29,IF(Skills!C11=2,90+Inputs!$B$26+Inputs!$B$29,IF(Skills!C11=3,120+(Inputs!$B$27+1)+Inputs!$B$29,MAX(0,(Inputs!$B$3-100)*3)+Inputs!$B$28+Inputs!$B$29)))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775=TRUE)*(F775-Calc!F20)),(Inputs!$B$23+0+(IF(ArtifactsInput!$M$15,CHOOSE(ArtifactsInput!$N$15+1,25,30,35,40,45,50)/100*(Inputs!$B$11-Inputs!$B$11),0))))/100+(Inputs!$B$23+0+(IF(ArtifactsInput!$M$15,CHOOSE(ArtifactsInput!$N$15+1,25,30,35,40,45,50)/100*(Inputs!$B$11-Inputs!$B$11),0)))/100)/2</f>
        <v/>
      </c>
      <c r="M766">
        <f>L766*(1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IF(B790=0,0,O766/B790)</f>
        <v/>
      </c>
      <c r="Q766">
        <f>IFERROR(1/(IF(Inputs!$B$38="pvp",15,MAX(0.1,Skills!D11-IF(Skills!E11=TRUE,Inputs!$B$32,0)))*(1-IF(AND(ArtifactsInput!$M$27,Inputs!$B$4="Chapter Hunt"),CHOOSE(ArtifactsInput!$N$27+1,20,24,28,32,36,40),0)/100)),0)</f>
        <v/>
      </c>
      <c r="R766">
        <f>IF(AND(Inputs!$B$38&lt;&gt;"pvp",Inputs!$B$43&gt;0),IF(MAX(0,Inputs!$B$43-B787)&lt;=0,0,(INT(MAX(0,Inputs!$B$43-B787)/(IF(Inputs!$B$38="pvp",15,MAX(0.1,Skills!D11-IF(Skills!E11=TRUE,Inputs!$B$32,0)))*(1-IF(AND(ArtifactsInput!$M$27,Inputs!$B$4="Chapter Hunt"),CHOOSE(ArtifactsInput!$N$27+1,20,24,28,32,36,40),0)/100)))+1)),0)</f>
        <v/>
      </c>
      <c r="S766">
        <f>IFERROR(O766/N766,0)</f>
        <v/>
      </c>
      <c r="T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$21+Skills!Q11+(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Skills!A12</f>
        <v/>
      </c>
      <c r="B767">
        <f>Skills!B12</f>
        <v/>
      </c>
      <c r="C767">
        <f>Inputs!$B$3&gt;=100</f>
        <v/>
      </c>
      <c r="D767">
        <f>IF(Skills!C12=1,60+Inputs!$B$25+Inputs!$B$29,IF(Skills!C12=2,90+Inputs!$B$26+Inputs!$B$29,IF(Skills!C12=3,120+(Inputs!$B$27+1)+Inputs!$B$29,MAX(0,(Inputs!$B$3-100)*3)+Inputs!$B$28+Inputs!$B$29)))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c r="T767" t="inlineStr"/>
      <c r="V767" t="inlineStr"/>
    </row>
    <row r="768">
      <c r="A768">
        <f>Skills!A13</f>
        <v/>
      </c>
      <c r="B768">
        <f>Skills!B13</f>
        <v/>
      </c>
      <c r="C768">
        <f>Inputs!$B$3&gt;=66</f>
        <v/>
      </c>
      <c r="D768">
        <f>IF(Skills!C13=1,60+Inputs!$B$25+Inputs!$B$29,IF(Skills!C13=2,90+Inputs!$B$26+Inputs!$B$29,IF(Skills!C13=3,120+(Inputs!$B$27+1)+Inputs!$B$29,MAX(0,(Inputs!$B$3-100)*3)+Inputs!$B$28+Inputs!$B$29)))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f>(1-Summary!$B$11)*T768+Summary!$B$11*V768</f>
        <v/>
      </c>
      <c r="P768">
        <f>IF(B790=0,0,O768/B790)</f>
        <v/>
      </c>
      <c r="Q768" t="n">
        <v>0</v>
      </c>
      <c r="R768" t="n">
        <v>0</v>
      </c>
      <c r="S768">
        <f>IFERROR(O768/N768,0)</f>
        <v/>
      </c>
      <c r="T768" t="n">
        <v>0</v>
      </c>
      <c r="V768" t="n">
        <v>0</v>
      </c>
    </row>
    <row r="769">
      <c r="A769">
        <f>Skills!A14</f>
        <v/>
      </c>
      <c r="B769">
        <f>Skills!B14</f>
        <v/>
      </c>
      <c r="C769">
        <f>Inputs!$B$3&gt;=107</f>
        <v/>
      </c>
      <c r="D769">
        <f>IF(Skills!C14=1,60+Inputs!$B$25+Inputs!$B$29,IF(Skills!C14=2,90+Inputs!$B$26+Inputs!$B$29,IF(Skills!C14=3,120+(Inputs!$B$27+1)+Inputs!$B$29,MAX(0,(Inputs!$B$3-100)*3)+Inputs!$B$28+Inputs!$B$29)))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f>(1-Summary!$B$11)*T769+Summary!$B$11*V769</f>
        <v/>
      </c>
      <c r="P769">
        <f>IF(B790=0,0,O769/B790)</f>
        <v/>
      </c>
      <c r="Q769" t="n">
        <v>0</v>
      </c>
      <c r="R769" t="n">
        <v>0</v>
      </c>
      <c r="S769">
        <f>IFERROR(O769/N769,0)</f>
        <v/>
      </c>
      <c r="T769" t="n">
        <v>0</v>
      </c>
      <c r="V769" t="n">
        <v>0</v>
      </c>
    </row>
    <row r="770">
      <c r="A770">
        <f>Skills!A15</f>
        <v/>
      </c>
      <c r="B770">
        <f>Skills!B15</f>
        <v/>
      </c>
      <c r="C770">
        <f>Inputs!$B$3&gt;=115</f>
        <v/>
      </c>
      <c r="D770">
        <f>IF(Skills!C15=1,60+Inputs!$B$25+Inputs!$B$29,IF(Skills!C15=2,90+Inputs!$B$26+Inputs!$B$29,IF(Skills!C15=3,120+(Inputs!$B$27+1)+Inputs!$B$29,MAX(0,(Inputs!$B$3-100)*3)+Inputs!$B$28+Inputs!$B$29)))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f>(1-Summary!$B$11)*T770+Summary!$B$11*V770</f>
        <v/>
      </c>
      <c r="P770">
        <f>IF(B790=0,0,O770/B790)</f>
        <v/>
      </c>
      <c r="Q770" t="n">
        <v>0</v>
      </c>
      <c r="R770" t="n">
        <v>0</v>
      </c>
      <c r="S770">
        <f>IFERROR(O770/N770,0)</f>
        <v/>
      </c>
      <c r="T770" t="n">
        <v>0</v>
      </c>
      <c r="V770" t="n">
        <v>0</v>
      </c>
    </row>
    <row r="771">
      <c r="A771">
        <f>Skills!A16</f>
        <v/>
      </c>
      <c r="B771">
        <f>Skills!B16</f>
        <v/>
      </c>
      <c r="C771">
        <f>Inputs!$B$3&gt;=15</f>
        <v/>
      </c>
      <c r="D771">
        <f>IF(Skills!C16=1,60+Inputs!$B$25+Inputs!$B$29,IF(Skills!C16=2,90+Inputs!$B$26+Inputs!$B$29,IF(Skills!C16=3,120+(Inputs!$B$27+1)+Inputs!$B$29,MAX(0,(Inputs!$B$3-100)*3)+Inputs!$B$28+Inputs!$B$29)))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f>(1-Summary!$B$11)*T771+Summary!$B$11*V771</f>
        <v/>
      </c>
      <c r="P771">
        <f>IF(B790=0,0,O771/B790)</f>
        <v/>
      </c>
      <c r="Q771" t="n">
        <v>0</v>
      </c>
      <c r="R771" t="n">
        <v>0</v>
      </c>
      <c r="S771">
        <f>IFERROR(O771/N771,0)</f>
        <v/>
      </c>
      <c r="T771" t="n">
        <v>0</v>
      </c>
      <c r="V771" t="n">
        <v>0</v>
      </c>
    </row>
    <row r="772">
      <c r="A772">
        <f>Skills!A17</f>
        <v/>
      </c>
      <c r="B772">
        <f>Skills!B17</f>
        <v/>
      </c>
      <c r="C772">
        <f>Inputs!$B$3&gt;=10</f>
        <v/>
      </c>
      <c r="D772">
        <f>IF(Skills!C17=1,60+Inputs!$B$25+Inputs!$B$29,IF(Skills!C17=2,90+Inputs!$B$26+Inputs!$B$29,IF(Skills!C17=3,120+(Inputs!$B$27+1)+Inputs!$B$29,MAX(0,(Inputs!$B$3-100)*3)+Inputs!$B$28+Inputs!$B$29)))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f>(1-Summary!$B$11)*T772+Summary!$B$11*V772</f>
        <v/>
      </c>
      <c r="P772">
        <f>IF(B790=0,0,O772/B790)</f>
        <v/>
      </c>
      <c r="Q772" t="n">
        <v>0</v>
      </c>
      <c r="R772" t="n">
        <v>0</v>
      </c>
      <c r="S772">
        <f>IFERROR(O772/N772,0)</f>
        <v/>
      </c>
      <c r="T772" t="n">
        <v>0</v>
      </c>
      <c r="V772" t="n">
        <v>0</v>
      </c>
    </row>
    <row r="773">
      <c r="A773">
        <f>Skills!A18</f>
        <v/>
      </c>
      <c r="B773">
        <f>Skills!B18</f>
        <v/>
      </c>
      <c r="C773">
        <f>Inputs!$B$3&gt;=33</f>
        <v/>
      </c>
      <c r="D773">
        <f>IF(Skills!C18=1,60+Inputs!$B$25+Inputs!$B$29,IF(Skills!C18=2,90+Inputs!$B$26+Inputs!$B$29,IF(Skills!C18=3,120+(Inputs!$B$27+1)+Inputs!$B$29,MAX(0,(Inputs!$B$3-100)*3)+Inputs!$B$28+Inputs!$B$29)))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f>(1-Summary!$B$11)*T773+Summary!$B$11*V773</f>
        <v/>
      </c>
      <c r="P773">
        <f>IF(B790=0,0,O773/B790)</f>
        <v/>
      </c>
      <c r="Q773" t="n">
        <v>0</v>
      </c>
      <c r="R773" t="n">
        <v>0</v>
      </c>
      <c r="S773">
        <f>IFERROR(O773/N773,0)</f>
        <v/>
      </c>
      <c r="T773" t="n">
        <v>0</v>
      </c>
      <c r="V773" t="n">
        <v>0</v>
      </c>
    </row>
    <row r="774">
      <c r="A774">
        <f>Skills!A19</f>
        <v/>
      </c>
      <c r="B774">
        <f>Skills!B19</f>
        <v/>
      </c>
      <c r="C774">
        <f>Inputs!$B$3&gt;=40</f>
        <v/>
      </c>
      <c r="D774">
        <f>IF(Skills!C19=1,60+Inputs!$B$25+Inputs!$B$29,IF(Skills!C19=2,90+Inputs!$B$26+Inputs!$B$29,IF(Skills!C19=3,120+(Inputs!$B$27+1)+Inputs!$B$29,MAX(0,(Inputs!$B$3-100)*3)+Inputs!$B$28+Inputs!$B$29)))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f>(1-Summary!$B$11)*T774+Summary!$B$11*V774</f>
        <v/>
      </c>
      <c r="P774">
        <f>IF(B790=0,0,O774/B790)</f>
        <v/>
      </c>
      <c r="Q774" t="n">
        <v>0</v>
      </c>
      <c r="R774" t="n">
        <v>0</v>
      </c>
      <c r="S774">
        <f>IFERROR(O774/N774,0)</f>
        <v/>
      </c>
      <c r="T774" t="n">
        <v>0</v>
      </c>
      <c r="V774" t="n">
        <v>0</v>
      </c>
    </row>
    <row r="775">
      <c r="A775">
        <f>Skills!A20</f>
        <v/>
      </c>
      <c r="B775">
        <f>Skills!B20</f>
        <v/>
      </c>
      <c r="C775">
        <f>Inputs!$B$3&gt;=43</f>
        <v/>
      </c>
      <c r="D775">
        <f>IF(Skills!C20=1,60+Inputs!$B$25+Inputs!$B$29,IF(Skills!C20=2,90+Inputs!$B$26+Inputs!$B$29,IF(Skills!C20=3,120+(Inputs!$B$27+1)+Inputs!$B$29,MAX(0,(Inputs!$B$3-100)*3)+Inputs!$B$28+Inputs!$B$29)))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f>(1-Summary!$B$11)*T775+Summary!$B$11*V775</f>
        <v/>
      </c>
      <c r="P775">
        <f>IF(B790=0,0,O775/B790)</f>
        <v/>
      </c>
      <c r="Q775" t="n">
        <v>0</v>
      </c>
      <c r="R775" t="n">
        <v>0</v>
      </c>
      <c r="S775">
        <f>IFERROR(O775/N775,0)</f>
        <v/>
      </c>
      <c r="T775" t="n">
        <v>0</v>
      </c>
      <c r="V775" t="n">
        <v>0</v>
      </c>
    </row>
    <row r="776">
      <c r="A776">
        <f>Skills!A21</f>
        <v/>
      </c>
      <c r="B776">
        <f>Skills!B21</f>
        <v/>
      </c>
      <c r="C776">
        <f>Inputs!$B$3&gt;=38</f>
        <v/>
      </c>
      <c r="D776">
        <f>IF(Skills!C21=1,60+Inputs!$B$25+Inputs!$B$29,IF(Skills!C21=2,90+Inputs!$B$26+Inputs!$B$29,IF(Skills!C21=3,120+(Inputs!$B$27+1)+Inputs!$B$29,MAX(0,(Inputs!$B$3-100)*3)+Inputs!$B$28+Inputs!$B$29)))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f>(1-Summary!$B$11)*T776+Summary!$B$11*V776</f>
        <v/>
      </c>
      <c r="P776">
        <f>IF(B790=0,0,O776/B790)</f>
        <v/>
      </c>
      <c r="Q776" t="n">
        <v>0</v>
      </c>
      <c r="R776" t="n">
        <v>0</v>
      </c>
      <c r="S776">
        <f>IFERROR(O776/N776,0)</f>
        <v/>
      </c>
      <c r="T776" t="n">
        <v>0</v>
      </c>
      <c r="V776" t="n">
        <v>0</v>
      </c>
    </row>
    <row r="777">
      <c r="A777">
        <f>Skills!A22</f>
        <v/>
      </c>
      <c r="B777">
        <f>Skills!B22</f>
        <v/>
      </c>
      <c r="C777">
        <f>Inputs!$B$3&gt;=75</f>
        <v/>
      </c>
      <c r="D777">
        <f>IF(Skills!C22=1,60+Inputs!$B$25+Inputs!$B$29,IF(Skills!C22=2,90+Inputs!$B$26+Inputs!$B$29,IF(Skills!C22=3,120+(Inputs!$B$27+1)+Inputs!$B$29,MAX(0,(Inputs!$B$3-100)*3)+Inputs!$B$28+Inputs!$B$29)))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f>(1-Summary!$B$11)*T777+Summary!$B$11*V777</f>
        <v/>
      </c>
      <c r="P777">
        <f>IF(B790=0,0,O777/B790)</f>
        <v/>
      </c>
      <c r="Q777" t="n">
        <v>0</v>
      </c>
      <c r="R777" t="n">
        <v>0</v>
      </c>
      <c r="S777">
        <f>IFERROR(O777/N777,0)</f>
        <v/>
      </c>
      <c r="T777" t="n">
        <v>0</v>
      </c>
      <c r="V777" t="n">
        <v>0</v>
      </c>
    </row>
    <row r="779">
      <c r="A779" t="inlineStr">
        <is>
          <t>Attack% Bucket Multiplier</t>
        </is>
      </c>
      <c r="B779">
        <f>(1+(((C768=TRUE)*F768)+((C774=TRUE)*(F774-Calc!F19))+(IF(ArtifactsInput!$M$21,CHOOSE(ArtifactsInput!$N$21+1,25,30,35,40,45,50)*(IF(OR(Inputs!$B$4="Chapter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0">
      <c r="A780" t="inlineStr">
        <is>
          <t>Global Crit Rate Bonus %</t>
        </is>
      </c>
      <c r="B780" t="n">
        <v>0</v>
      </c>
    </row>
    <row r="781">
      <c r="A781" t="inlineStr">
        <is>
          <t>Attack Speed Buff Bonus % (unused)</t>
        </is>
      </c>
      <c r="B781" t="n">
        <v>0</v>
      </c>
    </row>
    <row r="782">
      <c r="A782" t="inlineStr">
        <is>
          <t>Actions Per Second</t>
        </is>
      </c>
      <c r="B782">
        <f>1+MIN(150,150*(1-(1-(Inputs!$B$11+((C772=TRUE)*(F772-Calc!F17))+((C773=TRUE)*(F773-Calc!F18)))/150)*(1-B781/150)))/100</f>
        <v/>
      </c>
    </row>
    <row r="783">
      <c r="A783" t="inlineStr">
        <is>
          <t>Skill + Buff Cast Rate</t>
        </is>
      </c>
      <c r="B783">
        <f>IF(AND(Inputs!$B$38&lt;&gt;"pvp",Inputs!$B$43&gt;0),SUMPRODUCT((Skills!E2:E22=TRUE)*(C757:C777=TRUE)*R757:R777*Skills!F2:F22)/Inputs!$B$43,SUMPRODUCT((Skills!E2:E22=TRUE)*(C757:C777=TRUE)*Q757:Q777*Skills!F2:F22))</f>
        <v/>
      </c>
    </row>
    <row r="784">
      <c r="A784" t="inlineStr">
        <is>
          <t>Hook Bomber Casts Per Second</t>
        </is>
      </c>
      <c r="B784">
        <f>MAX(0,B782-B783)</f>
        <v/>
      </c>
    </row>
    <row r="785">
      <c r="A785" t="inlineStr">
        <is>
          <t>Global Critical Damage Bonus % (unused)</t>
        </is>
      </c>
      <c r="B785" t="n">
        <v>0</v>
      </c>
    </row>
    <row r="786">
      <c r="A786" t="inlineStr">
        <is>
          <t>Global Final Damage Bonus % (Serpent Scale + Crossbones + Time Leap + Speed Infusion)</t>
        </is>
      </c>
      <c r="B786">
        <f>((C760=TRUE)*F760*((10+IF(Inputs!$B$3&gt;=94,5,0))/((10+IF(Inputs!$B$3&gt;=94,5,0))+5/(B784*(1+IF(Inputs!$B$3&gt;=104,1,0))))))+((C769=TRUE)*F769)+((C770=TRUE)*F770)+((Inputs!$B$3&gt;=110)*20*(B782-1))</f>
        <v/>
      </c>
    </row>
    <row r="787">
      <c r="A787" t="inlineStr">
        <is>
          <t>Buff-Casting Startup Delay (s, fixed-duration only)</t>
        </is>
      </c>
      <c r="B787">
        <f>IF(AND(Inputs!$B$38&lt;&gt;"pvp",Inputs!$B$43&gt;0),SUMPRODUCT((Skills!T2:T22&gt;0)*(Skills!E2:E22=TRUE)*(C757:C777=TRUE))/B782,0)</f>
        <v/>
      </c>
    </row>
    <row r="788">
      <c r="A788" t="inlineStr">
        <is>
          <t>Boss-Only Total DPS (this block's swept value)</t>
        </is>
      </c>
      <c r="B788">
        <f>SUM(T757:T777)</f>
        <v/>
      </c>
    </row>
    <row r="789">
      <c r="A789" t="inlineStr">
        <is>
          <t>Normal-Only Total DPS (this block's swept value)</t>
        </is>
      </c>
      <c r="B789">
        <f>SUM(V757:V777)</f>
        <v/>
      </c>
    </row>
    <row r="790">
      <c r="A790" s="6" t="inlineStr">
        <is>
          <t>TOTAL DPS</t>
        </is>
      </c>
      <c r="B790" s="6">
        <f>SUM(O757:O777)</f>
        <v/>
      </c>
    </row>
    <row r="793">
      <c r="A793" s="6" t="inlineStr">
        <is>
          <t>Stat: Skill Level Bonus — 4th Job</t>
        </is>
      </c>
    </row>
    <row r="794">
      <c r="A794" s="5" t="inlineStr">
        <is>
          <t>Key</t>
        </is>
      </c>
      <c r="B794" s="5" t="inlineStr">
        <is>
          <t>Name</t>
        </is>
      </c>
      <c r="C794" s="5" t="inlineStr">
        <is>
          <t>Unlocked</t>
        </is>
      </c>
      <c r="D794" s="5" t="inlineStr">
        <is>
          <t>InputLevel</t>
        </is>
      </c>
      <c r="E794" s="5" t="inlineStr">
        <is>
          <t>Factor</t>
        </is>
      </c>
      <c r="F794" s="5" t="inlineStr">
        <is>
          <t>CoefficientPercent</t>
        </is>
      </c>
      <c r="G794" s="5" t="inlineStr">
        <is>
          <t>EffectiveHits</t>
        </is>
      </c>
      <c r="H794" s="5" t="inlineStr">
        <is>
          <t>ProcProbability</t>
        </is>
      </c>
      <c r="I794" s="5" t="inlineStr">
        <is>
          <t>MapleHeroMultiplier</t>
        </is>
      </c>
      <c r="J794" s="5" t="inlineStr">
        <is>
          <t>BaseDamage</t>
        </is>
      </c>
      <c r="K794" s="5" t="inlineStr">
        <is>
          <t>BaseHitDamage</t>
        </is>
      </c>
      <c r="L794" s="5" t="inlineStr">
        <is>
          <t>NonCritAvg</t>
        </is>
      </c>
      <c r="M794" s="5" t="inlineStr">
        <is>
          <t>CritAvg</t>
        </is>
      </c>
      <c r="N794" s="5" t="inlineStr">
        <is>
          <t>ExpectedDamage(perHit)</t>
        </is>
      </c>
      <c r="O794" s="5" t="inlineStr">
        <is>
          <t>DPS</t>
        </is>
      </c>
      <c r="P794" s="5" t="inlineStr">
        <is>
          <t>% of Total</t>
        </is>
      </c>
      <c r="Q794" s="5" t="inlineStr">
        <is>
          <t>InvCooldown</t>
        </is>
      </c>
      <c r="R794" s="5" t="inlineStr">
        <is>
          <t>CastsInFight</t>
        </is>
      </c>
      <c r="S794" s="5"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20)),(Inputs!$B$23+0+(IF(ArtifactsInput!$M$15,CHOOSE(ArtifactsInput!$N$15+1,25,30,35,40,45,50)/100*(Inputs!$B$11-Inputs!$B$11),0))))/100+(Inputs!$B$23+0+(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t="n">
        <v>0</v>
      </c>
      <c r="R795" t="n">
        <v>0</v>
      </c>
      <c r="S795">
        <f>IFERROR(O795/N795,0)</f>
        <v/>
      </c>
      <c r="T795">
        <f>IF(C795,(Skills!G2*N795*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MAX(0,(Inputs!$B$3-100)*3)+(Inputs!$B$28+1)+Inputs!$B$29</f>
        <v/>
      </c>
      <c r="V795">
        <f>IF(C795,(Skills!G2*N795*B822)*IF(Inputs!$B$38="pvp",1,(1+(Inputs!$B$21+Skills!Q2+(IF(ArtifactsInput!$M$33,CHOOSE(ArtifactsInput!$N$33+1,30,36,42,48,54,60),0))+(IF(AND(ArtifactsInput!$M$35,Inputs!$B$4&lt;&gt;"Chapter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Skills!A3</f>
        <v/>
      </c>
      <c r="B796">
        <f>Skills!B3</f>
        <v/>
      </c>
      <c r="C796">
        <f>Inputs!$B$3&gt;=35</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f>Skills!G3*IF(Skills!H3&gt;0,Skills!I3/Skills!H3,1)</f>
        <v/>
      </c>
      <c r="H796">
        <f>1-(1-Skills!J3/100)^Skills!K3</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20)),(Inputs!$B$23+0+(IF(ArtifactsInput!$M$15,CHOOSE(ArtifactsInput!$N$15+1,25,30,35,40,45,50)/100*(Inputs!$B$11-Inputs!$B$11),0))))/100+(Inputs!$B$23+0+(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t="n">
        <v>0</v>
      </c>
      <c r="R796" t="n">
        <v>0</v>
      </c>
      <c r="S796">
        <f>IFERROR(O796/N796,0)</f>
        <v/>
      </c>
      <c r="T796">
        <f>IF(C796,(Skills!G3*H796*N796*B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INDEX(FactorTable!$B$2:$Y$301, MATCH(ROUND(MIN(300,MAX(1,U795)),0), FactorTable!$A$2:$A$301,0), 22)</f>
        <v/>
      </c>
      <c r="V796">
        <f>IF(C796,(Skills!G3*H796*N796*B822)*IF(Inputs!$B$38="pvp",1,(1+(Inputs!$B$21+Skills!Q3+(IF(ArtifactsInput!$M$33,CHOOSE(ArtifactsInput!$N$33+1,30,36,42,48,54,60),0))+(IF(AND(ArtifactsInput!$M$35,Inputs!$B$4&lt;&gt;"Chapter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Skills!A4</f>
        <v/>
      </c>
      <c r="B797">
        <f>Skills!B4</f>
        <v/>
      </c>
      <c r="C797">
        <f>Inputs!$B$3&gt;=60</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805=TRUE,F805,0)/100)*(1+(IF(Skills!A4="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20)),(Inputs!$B$23+0+(IF(ArtifactsInput!$M$15,CHOOSE(ArtifactsInput!$N$15+1,25,30,35,40,45,50)/100*(Inputs!$B$11-Inputs!$B$11),0))))/100+(Inputs!$B$23+0+(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t="n">
        <v>0</v>
      </c>
      <c r="R797" t="n">
        <v>0</v>
      </c>
      <c r="S797">
        <f>IFERROR(O797/N797,0)</f>
        <v/>
      </c>
      <c r="T797">
        <f>IF(C797,(Skills!G4*H797*N797*B822)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290*U796/1000</f>
        <v/>
      </c>
      <c r="V797">
        <f>IF(C797,(Skills!G4*H797*N797*B822)*IF(Inputs!$B$38="pvp",1,(1+(Inputs!$B$21+Skills!Q4+(IF(ArtifactsInput!$M$33,CHOOSE(ArtifactsInput!$N$33+1,30,36,42,48,54,60),0))+(IF(AND(ArtifactsInput!$M$35,Inputs!$B$4&lt;&gt;"Chapter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Skills!A5</f>
        <v/>
      </c>
      <c r="B798">
        <f>Skills!B5</f>
        <v/>
      </c>
      <c r="C798">
        <f>Inputs!$B$3&gt;=60</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t="inlineStr"/>
      <c r="K798" t="inlineStr"/>
      <c r="L798" t="inlineStr"/>
      <c r="M798" t="inlineStr"/>
      <c r="N798" t="inlineStr"/>
      <c r="O798">
        <f>(1-Summary!$B$11)*T798+Summary!$B$11*V798</f>
        <v/>
      </c>
      <c r="P798">
        <f>IF(B828=0,0,O798/B828)</f>
        <v/>
      </c>
      <c r="Q798" t="n">
        <v>0</v>
      </c>
      <c r="R798" t="n">
        <v>0</v>
      </c>
      <c r="S798">
        <f>IFERROR(O798/N798,0)</f>
        <v/>
      </c>
      <c r="T798" t="n">
        <v>0</v>
      </c>
      <c r="V798" t="n">
        <v>0</v>
      </c>
    </row>
    <row r="799">
      <c r="A799">
        <f>Skills!A6</f>
        <v/>
      </c>
      <c r="B799">
        <f>Skills!B6</f>
        <v/>
      </c>
      <c r="C799">
        <f>Inputs!$B$3&gt;=63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20)),(Inputs!$B$23+0+(IF(ArtifactsInput!$M$15,CHOOSE(ArtifactsInput!$N$15+1,25,30,35,40,45,50)/100*(Inputs!$B$11-Inputs!$B$11),0))))/100+(Inputs!$B$23+0+(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IFERROR(1/(IF(Inputs!$B$38="pvp",15,MAX(0.1,Skills!D6-IF(Skills!E6=TRUE,Inputs!$B$32,0)))*(1-IF(AND(ArtifactsInput!$M$27,Inputs!$B$4="Chapter Hunt"),CHOOSE(ArtifactsInput!$N$27+1,20,24,28,32,36,40),0)/100)),0)</f>
        <v/>
      </c>
      <c r="R799">
        <f>IF(AND(Inputs!$B$38&lt;&gt;"pvp",Inputs!$B$43&gt;0),IF(MAX(0,Inputs!$B$43-B825)&lt;=0,0,(INT(MAX(0,Inputs!$B$43-B825)/(IF(Inputs!$B$38="pvp",15,MAX(0.1,Skills!D6-IF(Skills!E6=TRUE,Inputs!$B$32,0)))*(1-IF(AND(ArtifactsInput!$M$27,Inputs!$B$4="Chapter Hunt"),CHOOSE(ArtifactsInput!$N$27+1,20,24,28,32,36,40),0)/100)))+1)),0)</f>
        <v/>
      </c>
      <c r="S799">
        <f>IFERROR(O799/N799,0)</f>
        <v/>
      </c>
      <c r="T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Skills!A7</f>
        <v/>
      </c>
      <c r="B800">
        <f>Skills!B7</f>
        <v/>
      </c>
      <c r="C800">
        <f>Inputs!$B$3&gt;=100</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20)),(Inputs!$B$23+0+(IF(ArtifactsInput!$M$15,CHOOSE(ArtifactsInput!$N$15+1,25,30,35,40,45,50)/100*(Inputs!$B$11-Inputs!$B$11),0))))/100+(Inputs!$B$23+0+(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IFERROR(1/(IF(Inputs!$B$38="pvp",15,MAX(0.1,Skills!D7-IF(Skills!E7=TRUE,Inputs!$B$32,0)))*(1-IF(AND(ArtifactsInput!$M$27,Inputs!$B$4="Chapter Hunt"),CHOOSE(ArtifactsInput!$N$27+1,20,24,28,32,36,40),0)/100)),0)</f>
        <v/>
      </c>
      <c r="R800">
        <f>IF(AND(Inputs!$B$38&lt;&gt;"pvp",Inputs!$B$43&gt;0),IF(MAX(0,Inputs!$B$43-B825)&lt;=0,0,(INT(MAX(0,Inputs!$B$43-B825)/(IF(Inputs!$B$38="pvp",15,MAX(0.1,Skills!D7-IF(Skills!E7=TRUE,Inputs!$B$32,0)))*(1-IF(AND(ArtifactsInput!$M$27,Inputs!$B$4="Chapter Hunt"),CHOOSE(ArtifactsInput!$N$27+1,20,24,28,32,36,40),0)/100)))+1)),0)</f>
        <v/>
      </c>
      <c r="S800">
        <f>IFERROR(O800/N800,0)</f>
        <v/>
      </c>
      <c r="T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Skills!A8</f>
        <v/>
      </c>
      <c r="B801">
        <f>Skills!B8</f>
        <v/>
      </c>
      <c r="C801">
        <f>Inputs!$B$3&gt;=110</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20)),(Inputs!$B$23+0+(IF(ArtifactsInput!$M$15,CHOOSE(ArtifactsInput!$N$15+1,25,30,35,40,45,50)/100*(Inputs!$B$11-Inputs!$B$11),0))))/100+(Inputs!$B$23+0+(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IFERROR(1/(IF(Inputs!$B$38="pvp",15,MAX(0.1,Skills!D8-IF(Skills!E8=TRUE,Inputs!$B$32,0)))*(1-IF(AND(ArtifactsInput!$M$27,Inputs!$B$4="Chapter Hunt"),CHOOSE(ArtifactsInput!$N$27+1,20,24,28,32,36,40),0)/100)),0)</f>
        <v/>
      </c>
      <c r="R801">
        <f>IF(AND(Inputs!$B$38&lt;&gt;"pvp",Inputs!$B$43&gt;0),IF(MAX(0,Inputs!$B$43-B825)&lt;=0,0,(INT(MAX(0,Inputs!$B$43-B825)/(IF(Inputs!$B$38="pvp",15,MAX(0.1,Skills!D8-IF(Skills!E8=TRUE,Inputs!$B$32,0)))*(1-IF(AND(ArtifactsInput!$M$27,Inputs!$B$4="Chapter Hunt"),CHOOSE(ArtifactsInput!$N$27+1,20,24,28,32,36,40),0)/100)))+1)),0)</f>
        <v/>
      </c>
      <c r="S801">
        <f>IFERROR(O801/N801,0)</f>
        <v/>
      </c>
      <c r="T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Skills!A9</f>
        <v/>
      </c>
      <c r="B802">
        <f>Skills!B9</f>
        <v/>
      </c>
      <c r="C802">
        <f>Inputs!$B$3&gt;=110</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20)),(Inputs!$B$23+0+(IF(ArtifactsInput!$M$15,CHOOSE(ArtifactsInput!$N$15+1,25,30,35,40,45,50)/100*(Inputs!$B$11-Inputs!$B$11),0))))/100+(Inputs!$B$23+0+(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IFERROR(1/(IF(Inputs!$B$38="pvp",15,MAX(0.1,Skills!D9-IF(Skills!E9=TRUE,Inputs!$B$32,0)))*(1-IF(AND(ArtifactsInput!$M$27,Inputs!$B$4="Chapter Hunt"),CHOOSE(ArtifactsInput!$N$27+1,20,24,28,32,36,40),0)/100)),0)</f>
        <v/>
      </c>
      <c r="R802">
        <f>IF(AND(Inputs!$B$38&lt;&gt;"pvp",Inputs!$B$43&gt;0),IF(MAX(0,Inputs!$B$43-B825)&lt;=0,0,(INT(MAX(0,Inputs!$B$43-B825)/(IF(Inputs!$B$38="pvp",15,MAX(0.1,Skills!D9-IF(Skills!E9=TRUE,Inputs!$B$32,0)))*(1-IF(AND(ArtifactsInput!$M$27,Inputs!$B$4="Chapter Hunt"),CHOOSE(ArtifactsInput!$N$27+1,20,24,28,32,36,40),0)/100)))+1)),0)</f>
        <v/>
      </c>
      <c r="S802">
        <f>IFERROR(O802/N802,0)</f>
        <v/>
      </c>
      <c r="T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Skills!A10</f>
        <v/>
      </c>
      <c r="B803">
        <f>Skills!B10</f>
        <v/>
      </c>
      <c r="C803">
        <f>Inputs!$B$3&gt;=103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803)</f>
        <v/>
      </c>
      <c r="L803">
        <f>K803*(MIN(Inputs!$B$22+((C813=TRUE)*(F813-Calc!F20)),(Inputs!$B$23+0+(IF(ArtifactsInput!$M$15,CHOOSE(ArtifactsInput!$N$15+1,25,30,35,40,45,50)/100*(Inputs!$B$11-Inputs!$B$11),0))))/100+(Inputs!$B$23+0+(IF(ArtifactsInput!$M$15,CHOOSE(ArtifactsInput!$N$15+1,25,30,35,40,45,50)/100*(Inputs!$B$11-Inputs!$B$11),0)))/100)/2</f>
        <v/>
      </c>
      <c r="M803">
        <f>L803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3">
        <f>L803*(1-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803*(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3">
        <f>(1-Summary!$B$11)*T803+Summary!$B$11*V803</f>
        <v/>
      </c>
      <c r="P803">
        <f>IF(B828=0,0,O803/B828)</f>
        <v/>
      </c>
      <c r="Q803">
        <f>IFERROR(1/(IF(Inputs!$B$38="pvp",15,MAX(0.1,Skills!D10-IF(Skills!E10=TRUE,Inputs!$B$32,0)))*(1-IF(AND(ArtifactsInput!$M$27,Inputs!$B$4="Chapter Hunt"),CHOOSE(ArtifactsInput!$N$27+1,20,24,28,32,36,40),0)/100)),0)</f>
        <v/>
      </c>
      <c r="R803">
        <f>IF(AND(Inputs!$B$38&lt;&gt;"pvp",Inputs!$B$43&gt;0),IF(MAX(0,Inputs!$B$43-B825)&lt;=0,0,(INT(MAX(0,Inputs!$B$43-B825)/(IF(Inputs!$B$38="pvp",15,MAX(0.1,Skills!D10-IF(Skills!E10=TRUE,Inputs!$B$32,0)))*(1-IF(AND(ArtifactsInput!$M$27,Inputs!$B$4="Chapter Hunt"),CHOOSE(ArtifactsInput!$N$27+1,20,24,28,32,36,40),0)/100)))+1)),0)</f>
        <v/>
      </c>
      <c r="S803">
        <f>IFERROR(O803/N803,0)</f>
        <v/>
      </c>
      <c r="T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f>Skills!A11</f>
        <v/>
      </c>
      <c r="B804">
        <f>Skills!B11</f>
        <v/>
      </c>
      <c r="C804">
        <f>Inputs!$B$3&gt;=113</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813=TRUE)*(F813-Calc!F20)),(Inputs!$B$23+0+(IF(ArtifactsInput!$M$15,CHOOSE(ArtifactsInput!$N$15+1,25,30,35,40,45,50)/100*(Inputs!$B$11-Inputs!$B$11),0))))/100+(Inputs!$B$23+0+(IF(ArtifactsInput!$M$15,CHOOSE(ArtifactsInput!$N$15+1,25,30,35,40,45,50)/100*(Inputs!$B$11-Inputs!$B$11),0)))/100)/2</f>
        <v/>
      </c>
      <c r="M804">
        <f>L804*(1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IF(B828=0,0,O804/B828)</f>
        <v/>
      </c>
      <c r="Q804">
        <f>IFERROR(1/(IF(Inputs!$B$38="pvp",15,MAX(0.1,Skills!D11-IF(Skills!E11=TRUE,Inputs!$B$32,0)))*(1-IF(AND(ArtifactsInput!$M$27,Inputs!$B$4="Chapter Hunt"),CHOOSE(ArtifactsInput!$N$27+1,20,24,28,32,36,40),0)/100)),0)</f>
        <v/>
      </c>
      <c r="R804">
        <f>IF(AND(Inputs!$B$38&lt;&gt;"pvp",Inputs!$B$43&gt;0),IF(MAX(0,Inputs!$B$43-B825)&lt;=0,0,(INT(MAX(0,Inputs!$B$43-B825)/(IF(Inputs!$B$38="pvp",15,MAX(0.1,Skills!D11-IF(Skills!E11=TRUE,Inputs!$B$32,0)))*(1-IF(AND(ArtifactsInput!$M$27,Inputs!$B$4="Chapter Hunt"),CHOOSE(ArtifactsInput!$N$27+1,20,24,28,32,36,40),0)/100)))+1)),0)</f>
        <v/>
      </c>
      <c r="S804">
        <f>IFERROR(O804/N804,0)</f>
        <v/>
      </c>
      <c r="T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Skills!A13</f>
        <v/>
      </c>
      <c r="B806">
        <f>Skills!B13</f>
        <v/>
      </c>
      <c r="C806">
        <f>Inputs!$B$3&gt;=66</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f>(1-Summary!$B$11)*T806+Summary!$B$11*V806</f>
        <v/>
      </c>
      <c r="P806">
        <f>IF(B828=0,0,O806/B828)</f>
        <v/>
      </c>
      <c r="Q806" t="n">
        <v>0</v>
      </c>
      <c r="R806" t="n">
        <v>0</v>
      </c>
      <c r="S806">
        <f>IFERROR(O806/N806,0)</f>
        <v/>
      </c>
      <c r="T806" t="n">
        <v>0</v>
      </c>
      <c r="V806" t="n">
        <v>0</v>
      </c>
    </row>
    <row r="807">
      <c r="A807">
        <f>Skills!A14</f>
        <v/>
      </c>
      <c r="B807">
        <f>Skills!B14</f>
        <v/>
      </c>
      <c r="C807">
        <f>Inputs!$B$3&gt;=107</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f>(1-Summary!$B$11)*T807+Summary!$B$11*V807</f>
        <v/>
      </c>
      <c r="P807">
        <f>IF(B828=0,0,O807/B828)</f>
        <v/>
      </c>
      <c r="Q807" t="n">
        <v>0</v>
      </c>
      <c r="R807" t="n">
        <v>0</v>
      </c>
      <c r="S807">
        <f>IFERROR(O807/N807,0)</f>
        <v/>
      </c>
      <c r="T807" t="n">
        <v>0</v>
      </c>
      <c r="V807" t="n">
        <v>0</v>
      </c>
    </row>
    <row r="808">
      <c r="A808">
        <f>Skills!A15</f>
        <v/>
      </c>
      <c r="B808">
        <f>Skills!B15</f>
        <v/>
      </c>
      <c r="C808">
        <f>Inputs!$B$3&gt;=115</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f>(1-Summary!$B$11)*T808+Summary!$B$11*V808</f>
        <v/>
      </c>
      <c r="P808">
        <f>IF(B828=0,0,O808/B828)</f>
        <v/>
      </c>
      <c r="Q808" t="n">
        <v>0</v>
      </c>
      <c r="R808" t="n">
        <v>0</v>
      </c>
      <c r="S808">
        <f>IFERROR(O808/N808,0)</f>
        <v/>
      </c>
      <c r="T808" t="n">
        <v>0</v>
      </c>
      <c r="V808" t="n">
        <v>0</v>
      </c>
    </row>
    <row r="809">
      <c r="A809">
        <f>Skills!A16</f>
        <v/>
      </c>
      <c r="B809">
        <f>Skills!B16</f>
        <v/>
      </c>
      <c r="C809">
        <f>Inputs!$B$3&gt;=15</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f>(1-Summary!$B$11)*T809+Summary!$B$11*V809</f>
        <v/>
      </c>
      <c r="P809">
        <f>IF(B828=0,0,O809/B828)</f>
        <v/>
      </c>
      <c r="Q809" t="n">
        <v>0</v>
      </c>
      <c r="R809" t="n">
        <v>0</v>
      </c>
      <c r="S809">
        <f>IFERROR(O809/N809,0)</f>
        <v/>
      </c>
      <c r="T809" t="n">
        <v>0</v>
      </c>
      <c r="V809" t="n">
        <v>0</v>
      </c>
    </row>
    <row r="810">
      <c r="A810">
        <f>Skills!A17</f>
        <v/>
      </c>
      <c r="B810">
        <f>Skills!B17</f>
        <v/>
      </c>
      <c r="C810">
        <f>Inputs!$B$3&gt;=10</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f>(1-Summary!$B$11)*T810+Summary!$B$11*V810</f>
        <v/>
      </c>
      <c r="P810">
        <f>IF(B828=0,0,O810/B828)</f>
        <v/>
      </c>
      <c r="Q810" t="n">
        <v>0</v>
      </c>
      <c r="R810" t="n">
        <v>0</v>
      </c>
      <c r="S810">
        <f>IFERROR(O810/N810,0)</f>
        <v/>
      </c>
      <c r="T810" t="n">
        <v>0</v>
      </c>
      <c r="V810" t="n">
        <v>0</v>
      </c>
    </row>
    <row r="811">
      <c r="A811">
        <f>Skills!A18</f>
        <v/>
      </c>
      <c r="B811">
        <f>Skills!B18</f>
        <v/>
      </c>
      <c r="C811">
        <f>Inputs!$B$3&gt;=33</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Skills!A19</f>
        <v/>
      </c>
      <c r="B812">
        <f>Skills!B19</f>
        <v/>
      </c>
      <c r="C812">
        <f>Inputs!$B$3&gt;=40</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Skills!A20</f>
        <v/>
      </c>
      <c r="B813">
        <f>Skills!B20</f>
        <v/>
      </c>
      <c r="C813">
        <f>Inputs!$B$3&gt;=43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Skills!A22</f>
        <v/>
      </c>
      <c r="B815">
        <f>Skills!B22</f>
        <v/>
      </c>
      <c r="C815">
        <f>Inputs!$B$3&gt;=75</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 (unused)</t>
        </is>
      </c>
      <c r="B819" t="n">
        <v>0</v>
      </c>
    </row>
    <row r="820">
      <c r="A820" t="inlineStr">
        <is>
          <t>Actions Per Second</t>
        </is>
      </c>
      <c r="B820">
        <f>1+MIN(150,150*(1-(1-(Inputs!$B$11+((C810=TRUE)*(F810-Calc!F17))+((C811=TRUE)*(F811-Calc!F18)))/150)*(1-B819/150)))/100</f>
        <v/>
      </c>
    </row>
    <row r="821">
      <c r="A821" t="inlineStr">
        <is>
          <t>Skill + Buff Cast Rate</t>
        </is>
      </c>
      <c r="B821">
        <f>IF(AND(Inputs!$B$38&lt;&gt;"pvp",Inputs!$B$43&gt;0),SUMPRODUCT((Skills!E2:E22=TRUE)*(C795:C815=TRUE)*R795:R815*Skills!F2:F22)/Inputs!$B$43,SUMPRODUCT((Skills!E2:E22=TRUE)*(C795:C815=TRUE)*Q795:Q815*Skills!F2:F22))</f>
        <v/>
      </c>
    </row>
    <row r="822">
      <c r="A822" t="inlineStr">
        <is>
          <t>Hook Bomber Casts Per Second</t>
        </is>
      </c>
      <c r="B822">
        <f>MAX(0,B820-B821)</f>
        <v/>
      </c>
    </row>
    <row r="823">
      <c r="A823" t="inlineStr">
        <is>
          <t>Global Critical Damage Bonus % (unused)</t>
        </is>
      </c>
      <c r="B823" t="n">
        <v>0</v>
      </c>
    </row>
    <row r="824">
      <c r="A824" t="inlineStr">
        <is>
          <t>Global Final Damage Bonus % (Serpent Scale + Crossbones + Time Leap + Speed Infusion)</t>
        </is>
      </c>
      <c r="B824">
        <f>((C798=TRUE)*F798*((10+IF(Inputs!$B$3&gt;=94,5,0))/((10+IF(Inputs!$B$3&gt;=94,5,0))+5/(B822*(1+IF(Inputs!$B$3&gt;=104,1,0))))))+((C807=TRUE)*F807)+((C808=TRUE)*F808)+((Inputs!$B$3&gt;=110)*20*(B820-1))</f>
        <v/>
      </c>
    </row>
    <row r="825">
      <c r="A825" t="inlineStr">
        <is>
          <t>Buff-Casting Startup Delay (s, fixed-duration only)</t>
        </is>
      </c>
      <c r="B825">
        <f>IF(AND(Inputs!$B$38&lt;&gt;"pvp",Inputs!$B$43&gt;0),SUMPRODUCT((Skills!T2:T22&gt;0)*(Skills!E2:E22=TRUE)*(C795:C815=TRUE))/B820,0)</f>
        <v/>
      </c>
    </row>
    <row r="826">
      <c r="A826" t="inlineStr">
        <is>
          <t>Boss-Only Total DPS (this block's swept value)</t>
        </is>
      </c>
      <c r="B826">
        <f>SUM(T795:T815)</f>
        <v/>
      </c>
    </row>
    <row r="827">
      <c r="A827" t="inlineStr">
        <is>
          <t>Normal-Only Total DPS (this block's swept value)</t>
        </is>
      </c>
      <c r="B827">
        <f>SUM(V795:V815)</f>
        <v/>
      </c>
    </row>
    <row r="828">
      <c r="A828" s="6" t="inlineStr">
        <is>
          <t>TOTAL DPS</t>
        </is>
      </c>
      <c r="B828" s="6">
        <f>SUM(O795:O815)</f>
        <v/>
      </c>
    </row>
    <row r="831">
      <c r="A831" s="6" t="inlineStr">
        <is>
          <t>Stat: Skill Level Bonus — All Skills</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20)),(Inputs!$B$23+0+(IF(ArtifactsInput!$M$15,CHOOSE(ArtifactsInput!$N$15+1,25,30,35,40,45,50)/100*(Inputs!$B$11-Inputs!$B$11),0))))/100+(Inputs!$B$23+0+(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t="n">
        <v>0</v>
      </c>
      <c r="R833" t="n">
        <v>0</v>
      </c>
      <c r="S833">
        <f>IFERROR(O833/N833,0)</f>
        <v/>
      </c>
      <c r="T833">
        <f>IF(C833,(Skills!G2*N833*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MAX(0,(Inputs!$B$3-100)*3)+Inputs!$B$28+(Inputs!$B$29+1)</f>
        <v/>
      </c>
      <c r="V833">
        <f>IF(C833,(Skills!G2*N833*B860)*IF(Inputs!$B$38="pvp",1,(1+(Inputs!$B$21+Skills!Q2+(IF(ArtifactsInput!$M$33,CHOOSE(ArtifactsInput!$N$33+1,30,36,42,48,54,60),0))+(IF(AND(ArtifactsInput!$M$35,Inputs!$B$4&lt;&gt;"Chapter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Inputs!$B$3&gt;=35</f>
        <v/>
      </c>
      <c r="D834">
        <f>IF(Skills!C3=1,60+Inputs!$B$25+(Inputs!$B$29+1),IF(Skills!C3=2,90+Inputs!$B$26+(Inputs!$B$29+1),IF(Skills!C3=3,120+Inputs!$B$27+(Inputs!$B$29+1),MAX(0,(Inputs!$B$3-100)*3)+Inputs!$B$28+(Inputs!$B$29+1))))</f>
        <v/>
      </c>
      <c r="E834">
        <f>INDEX(FactorTable!$B$2:$Y$301, MATCH(ROUND(MIN(300,MAX(1,D834)),0), FactorTable!$A$2:$A$301,0), Skills!M3+1)</f>
        <v/>
      </c>
      <c r="F834">
        <f>IF(Skills!N3=TRUE,(Skills!L3/10)*(E834/1000),Skills!L3/10)+Skills!O3</f>
        <v/>
      </c>
      <c r="G834">
        <f>Skills!G3*IF(Skills!H3&gt;0,Skills!I3/Skills!H3,1)</f>
        <v/>
      </c>
      <c r="H834">
        <f>1-(1-Skills!J3/100)^Skills!K3</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20)),(Inputs!$B$23+0+(IF(ArtifactsInput!$M$15,CHOOSE(ArtifactsInput!$N$15+1,25,30,35,40,45,50)/100*(Inputs!$B$11-Inputs!$B$11),0))))/100+(Inputs!$B$23+0+(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t="n">
        <v>0</v>
      </c>
      <c r="R834" t="n">
        <v>0</v>
      </c>
      <c r="S834">
        <f>IFERROR(O834/N834,0)</f>
        <v/>
      </c>
      <c r="T834">
        <f>IF(C834,(Skills!G3*H834*N834*B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INDEX(FactorTable!$B$2:$Y$301, MATCH(ROUND(MIN(300,MAX(1,U833)),0), FactorTable!$A$2:$A$301,0), 22)</f>
        <v/>
      </c>
      <c r="V834">
        <f>IF(C834,(Skills!G3*H834*N834*B860)*IF(Inputs!$B$38="pvp",1,(1+(Inputs!$B$21+Skills!Q3+(IF(ArtifactsInput!$M$33,CHOOSE(ArtifactsInput!$N$33+1,30,36,42,48,54,60),0))+(IF(AND(ArtifactsInput!$M$35,Inputs!$B$4&lt;&gt;"Chapter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Skills!A4</f>
        <v/>
      </c>
      <c r="B835">
        <f>Skills!B4</f>
        <v/>
      </c>
      <c r="C835">
        <f>Inputs!$B$3&gt;=60</f>
        <v/>
      </c>
      <c r="D835">
        <f>IF(Skills!C4=1,60+Inputs!$B$25+(Inputs!$B$29+1),IF(Skills!C4=2,90+Inputs!$B$26+(Inputs!$B$29+1),IF(Skills!C4=3,120+Inputs!$B$27+(Inputs!$B$29+1),MAX(0,(Inputs!$B$3-100)*3)+Inputs!$B$28+(Inputs!$B$29+1))))</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4="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20)),(Inputs!$B$23+0+(IF(ArtifactsInput!$M$15,CHOOSE(ArtifactsInput!$N$15+1,25,30,35,40,45,50)/100*(Inputs!$B$11-Inputs!$B$11),0))))/100+(Inputs!$B$23+0+(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t="n">
        <v>0</v>
      </c>
      <c r="R835" t="n">
        <v>0</v>
      </c>
      <c r="S835">
        <f>IFERROR(O835/N835,0)</f>
        <v/>
      </c>
      <c r="T835">
        <f>IF(C835,(Skills!G4*H835*N835*B860)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IF(C835,(Skills!G4*H835*N835*B860)*IF(Inputs!$B$38="pvp",1,(1+(Inputs!$B$21+Skills!Q4+(IF(ArtifactsInput!$M$33,CHOOSE(ArtifactsInput!$N$33+1,30,36,42,48,54,60),0))+(IF(AND(ArtifactsInput!$M$35,Inputs!$B$4&lt;&gt;"Chapter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Inputs!$B$3&gt;=60</f>
        <v/>
      </c>
      <c r="D836">
        <f>IF(Skills!C5=1,60+Inputs!$B$25+(Inputs!$B$29+1),IF(Skills!C5=2,90+Inputs!$B$26+(Inputs!$B$29+1),IF(Skills!C5=3,120+Inputs!$B$27+(Inputs!$B$29+1),MAX(0,(Inputs!$B$3-100)*3)+Inputs!$B$28+(Inputs!$B$29+1))))</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t="inlineStr"/>
      <c r="K836" t="inlineStr"/>
      <c r="L836" t="inlineStr"/>
      <c r="M836" t="inlineStr"/>
      <c r="N836" t="inlineStr"/>
      <c r="O836">
        <f>(1-Summary!$B$11)*T836+Summary!$B$11*V836</f>
        <v/>
      </c>
      <c r="P836">
        <f>IF(B866=0,0,O836/B866)</f>
        <v/>
      </c>
      <c r="Q836" t="n">
        <v>0</v>
      </c>
      <c r="R836" t="n">
        <v>0</v>
      </c>
      <c r="S836">
        <f>IFERROR(O836/N836,0)</f>
        <v/>
      </c>
      <c r="T836" t="n">
        <v>0</v>
      </c>
      <c r="V836" t="n">
        <v>0</v>
      </c>
    </row>
    <row r="837">
      <c r="A837">
        <f>Skills!A6</f>
        <v/>
      </c>
      <c r="B837">
        <f>Skills!B6</f>
        <v/>
      </c>
      <c r="C837">
        <f>Inputs!$B$3&gt;=63</f>
        <v/>
      </c>
      <c r="D837">
        <f>IF(Skills!C6=1,60+Inputs!$B$25+(Inputs!$B$29+1),IF(Skills!C6=2,90+Inputs!$B$26+(Inputs!$B$29+1),IF(Skills!C6=3,120+Inputs!$B$27+(Inputs!$B$29+1),MAX(0,(Inputs!$B$3-100)*3)+Inputs!$B$28+(Inputs!$B$29+1))))</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20)),(Inputs!$B$23+0+(IF(ArtifactsInput!$M$15,CHOOSE(ArtifactsInput!$N$15+1,25,30,35,40,45,50)/100*(Inputs!$B$11-Inputs!$B$11),0))))/100+(Inputs!$B$23+0+(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IFERROR(1/(IF(Inputs!$B$38="pvp",15,MAX(0.1,Skills!D6-IF(Skills!E6=TRUE,Inputs!$B$32,0)))*(1-IF(AND(ArtifactsInput!$M$27,Inputs!$B$4="Chapter Hunt"),CHOOSE(ArtifactsInput!$N$27+1,20,24,28,32,36,40),0)/100)),0)</f>
        <v/>
      </c>
      <c r="R837">
        <f>IF(AND(Inputs!$B$38&lt;&gt;"pvp",Inputs!$B$43&gt;0),IF(MAX(0,Inputs!$B$43-B863)&lt;=0,0,(INT(MAX(0,Inputs!$B$43-B863)/(IF(Inputs!$B$38="pvp",15,MAX(0.1,Skills!D6-IF(Skills!E6=TRUE,Inputs!$B$32,0)))*(1-IF(AND(ArtifactsInput!$M$27,Inputs!$B$4="Chapter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Inputs!$B$3&gt;=100</f>
        <v/>
      </c>
      <c r="D838">
        <f>IF(Skills!C7=1,60+Inputs!$B$25+(Inputs!$B$29+1),IF(Skills!C7=2,90+Inputs!$B$26+(Inputs!$B$29+1),IF(Skills!C7=3,120+Inputs!$B$27+(Inputs!$B$29+1),MAX(0,(Inputs!$B$3-100)*3)+Inputs!$B$28+(Inputs!$B$29+1))))</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20)),(Inputs!$B$23+0+(IF(ArtifactsInput!$M$15,CHOOSE(ArtifactsInput!$N$15+1,25,30,35,40,45,50)/100*(Inputs!$B$11-Inputs!$B$11),0))))/100+(Inputs!$B$23+0+(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IFERROR(1/(IF(Inputs!$B$38="pvp",15,MAX(0.1,Skills!D7-IF(Skills!E7=TRUE,Inputs!$B$32,0)))*(1-IF(AND(ArtifactsInput!$M$27,Inputs!$B$4="Chapter Hunt"),CHOOSE(ArtifactsInput!$N$27+1,20,24,28,32,36,40),0)/100)),0)</f>
        <v/>
      </c>
      <c r="R838">
        <f>IF(AND(Inputs!$B$38&lt;&gt;"pvp",Inputs!$B$43&gt;0),IF(MAX(0,Inputs!$B$43-B863)&lt;=0,0,(INT(MAX(0,Inputs!$B$43-B863)/(IF(Inputs!$B$38="pvp",15,MAX(0.1,Skills!D7-IF(Skills!E7=TRUE,Inputs!$B$32,0)))*(1-IF(AND(ArtifactsInput!$M$27,Inputs!$B$4="Chapter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Inputs!$B$3&gt;=110</f>
        <v/>
      </c>
      <c r="D839">
        <f>IF(Skills!C8=1,60+Inputs!$B$25+(Inputs!$B$29+1),IF(Skills!C8=2,90+Inputs!$B$26+(Inputs!$B$29+1),IF(Skills!C8=3,120+Inputs!$B$27+(Inputs!$B$29+1),MAX(0,(Inputs!$B$3-100)*3)+Inputs!$B$28+(Inputs!$B$29+1))))</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851=TRUE)*(F851-Calc!F20)),(Inputs!$B$23+0+(IF(ArtifactsInput!$M$15,CHOOSE(ArtifactsInput!$N$15+1,25,30,35,40,45,50)/100*(Inputs!$B$11-Inputs!$B$11),0))))/100+(Inputs!$B$23+0+(IF(ArtifactsInput!$M$15,CHOOSE(ArtifactsInput!$N$15+1,25,30,35,40,45,50)/100*(Inputs!$B$11-Inputs!$B$11),0)))/100)/2</f>
        <v/>
      </c>
      <c r="M839">
        <f>L839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IF(B866=0,0,O839/B866)</f>
        <v/>
      </c>
      <c r="Q839">
        <f>IFERROR(1/(IF(Inputs!$B$38="pvp",15,MAX(0.1,Skills!D8-IF(Skills!E8=TRUE,Inputs!$B$32,0)))*(1-IF(AND(ArtifactsInput!$M$27,Inputs!$B$4="Chapter Hunt"),CHOOSE(ArtifactsInput!$N$27+1,20,24,28,32,36,40),0)/100)),0)</f>
        <v/>
      </c>
      <c r="R839">
        <f>IF(AND(Inputs!$B$38&lt;&gt;"pvp",Inputs!$B$43&gt;0),IF(MAX(0,Inputs!$B$43-B863)&lt;=0,0,(INT(MAX(0,Inputs!$B$43-B863)/(IF(Inputs!$B$38="pvp",15,MAX(0.1,Skills!D8-IF(Skills!E8=TRUE,Inputs!$B$32,0)))*(1-IF(AND(ArtifactsInput!$M$27,Inputs!$B$4="Chapter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Inputs!$B$3&gt;=110</f>
        <v/>
      </c>
      <c r="D840">
        <f>IF(Skills!C9=1,60+Inputs!$B$25+(Inputs!$B$29+1),IF(Skills!C9=2,90+Inputs!$B$26+(Inputs!$B$29+1),IF(Skills!C9=3,120+Inputs!$B$27+(Inputs!$B$29+1),MAX(0,(Inputs!$B$3-100)*3)+Inputs!$B$28+(Inputs!$B$29+1))))</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851=TRUE)*(F851-Calc!F20)),(Inputs!$B$23+0+(IF(ArtifactsInput!$M$15,CHOOSE(ArtifactsInput!$N$15+1,25,30,35,40,45,50)/100*(Inputs!$B$11-Inputs!$B$11),0))))/100+(Inputs!$B$23+0+(IF(ArtifactsInput!$M$15,CHOOSE(ArtifactsInput!$N$15+1,25,30,35,40,45,50)/100*(Inputs!$B$11-Inputs!$B$11),0)))/100)/2</f>
        <v/>
      </c>
      <c r="M840">
        <f>L840*(1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IF(B866=0,0,O840/B866)</f>
        <v/>
      </c>
      <c r="Q840">
        <f>IFERROR(1/(IF(Inputs!$B$38="pvp",15,MAX(0.1,Skills!D9-IF(Skills!E9=TRUE,Inputs!$B$32,0)))*(1-IF(AND(ArtifactsInput!$M$27,Inputs!$B$4="Chapter Hunt"),CHOOSE(ArtifactsInput!$N$27+1,20,24,28,32,36,40),0)/100)),0)</f>
        <v/>
      </c>
      <c r="R840">
        <f>IF(AND(Inputs!$B$38&lt;&gt;"pvp",Inputs!$B$43&gt;0),IF(MAX(0,Inputs!$B$43-B863)&lt;=0,0,(INT(MAX(0,Inputs!$B$43-B863)/(IF(Inputs!$B$38="pvp",15,MAX(0.1,Skills!D9-IF(Skills!E9=TRUE,Inputs!$B$32,0)))*(1-IF(AND(ArtifactsInput!$M$27,Inputs!$B$4="Chapter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Inputs!$B$3&gt;=103</f>
        <v/>
      </c>
      <c r="D841">
        <f>IF(Skills!C10=1,60+Inputs!$B$25+(Inputs!$B$29+1),IF(Skills!C10=2,90+Inputs!$B$26+(Inputs!$B$29+1),IF(Skills!C10=3,120+Inputs!$B$27+(Inputs!$B$29+1),MAX(0,(Inputs!$B$3-100)*3)+Inputs!$B$28+(Inputs!$B$29+1))))</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851=TRUE)*(F851-Calc!F20)),(Inputs!$B$23+0+(IF(ArtifactsInput!$M$15,CHOOSE(ArtifactsInput!$N$15+1,25,30,35,40,45,50)/100*(Inputs!$B$11-Inputs!$B$11),0))))/100+(Inputs!$B$23+0+(IF(ArtifactsInput!$M$15,CHOOSE(ArtifactsInput!$N$15+1,25,30,35,40,45,50)/100*(Inputs!$B$11-Inputs!$B$11),0)))/100)/2</f>
        <v/>
      </c>
      <c r="M841">
        <f>L841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IF(B866=0,0,O841/B866)</f>
        <v/>
      </c>
      <c r="Q841">
        <f>IFERROR(1/(IF(Inputs!$B$38="pvp",15,MAX(0.1,Skills!D10-IF(Skills!E10=TRUE,Inputs!$B$32,0)))*(1-IF(AND(ArtifactsInput!$M$27,Inputs!$B$4="Chapter Hunt"),CHOOSE(ArtifactsInput!$N$27+1,20,24,28,32,36,40),0)/100)),0)</f>
        <v/>
      </c>
      <c r="R841">
        <f>IF(AND(Inputs!$B$38&lt;&gt;"pvp",Inputs!$B$43&gt;0),IF(MAX(0,Inputs!$B$43-B863)&lt;=0,0,(INT(MAX(0,Inputs!$B$43-B863)/(IF(Inputs!$B$38="pvp",15,MAX(0.1,Skills!D10-IF(Skills!E10=TRUE,Inputs!$B$32,0)))*(1-IF(AND(ArtifactsInput!$M$27,Inputs!$B$4="Chapter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Inputs!$B$3&gt;=113</f>
        <v/>
      </c>
      <c r="D842">
        <f>IF(Skills!C11=1,60+Inputs!$B$25+(Inputs!$B$29+1),IF(Skills!C11=2,90+Inputs!$B$26+(Inputs!$B$29+1),IF(Skills!C11=3,120+Inputs!$B$27+(Inputs!$B$29+1),MAX(0,(Inputs!$B$3-100)*3)+Inputs!$B$28+(Inputs!$B$29+1))))</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851=TRUE)*(F851-Calc!F20)),(Inputs!$B$23+0+(IF(ArtifactsInput!$M$15,CHOOSE(ArtifactsInput!$N$15+1,25,30,35,40,45,50)/100*(Inputs!$B$11-Inputs!$B$11),0))))/100+(Inputs!$B$23+0+(IF(ArtifactsInput!$M$15,CHOOSE(ArtifactsInput!$N$15+1,25,30,35,40,45,50)/100*(Inputs!$B$11-Inputs!$B$11),0)))/100)/2</f>
        <v/>
      </c>
      <c r="M842">
        <f>L842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IF(B866=0,0,O842/B866)</f>
        <v/>
      </c>
      <c r="Q842">
        <f>IFERROR(1/(IF(Inputs!$B$38="pvp",15,MAX(0.1,Skills!D11-IF(Skills!E11=TRUE,Inputs!$B$32,0)))*(1-IF(AND(ArtifactsInput!$M$27,Inputs!$B$4="Chapter Hunt"),CHOOSE(ArtifactsInput!$N$27+1,20,24,28,32,36,40),0)/100)),0)</f>
        <v/>
      </c>
      <c r="R842">
        <f>IF(AND(Inputs!$B$38&lt;&gt;"pvp",Inputs!$B$43&gt;0),IF(MAX(0,Inputs!$B$43-B863)&lt;=0,0,(INT(MAX(0,Inputs!$B$43-B863)/(IF(Inputs!$B$38="pvp",15,MAX(0.1,Skills!D11-IF(Skills!E11=TRUE,Inputs!$B$32,0)))*(1-IF(AND(ArtifactsInput!$M$27,Inputs!$B$4="Chapter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IF(Skills!C12=1,60+Inputs!$B$25+(Inputs!$B$29+1),IF(Skills!C12=2,90+Inputs!$B$26+(Inputs!$B$29+1),IF(Skills!C12=3,120+Inputs!$B$27+(Inputs!$B$29+1),MAX(0,(Inputs!$B$3-100)*3)+Inputs!$B$28+(Inputs!$B$29+1))))</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V843" t="inlineStr"/>
    </row>
    <row r="844">
      <c r="A844">
        <f>Skills!A13</f>
        <v/>
      </c>
      <c r="B844">
        <f>Skills!B13</f>
        <v/>
      </c>
      <c r="C844">
        <f>Inputs!$B$3&gt;=66</f>
        <v/>
      </c>
      <c r="D844">
        <f>IF(Skills!C13=1,60+Inputs!$B$25+(Inputs!$B$29+1),IF(Skills!C13=2,90+Inputs!$B$26+(Inputs!$B$29+1),IF(Skills!C13=3,120+Inputs!$B$27+(Inputs!$B$29+1),MAX(0,(Inputs!$B$3-100)*3)+Inputs!$B$28+(Inputs!$B$29+1))))</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IF(B866=0,0,O844/B866)</f>
        <v/>
      </c>
      <c r="Q844" t="n">
        <v>0</v>
      </c>
      <c r="R844" t="n">
        <v>0</v>
      </c>
      <c r="S844">
        <f>IFERROR(O844/N844,0)</f>
        <v/>
      </c>
      <c r="T844" t="n">
        <v>0</v>
      </c>
      <c r="V844" t="n">
        <v>0</v>
      </c>
    </row>
    <row r="845">
      <c r="A845">
        <f>Skills!A14</f>
        <v/>
      </c>
      <c r="B845">
        <f>Skills!B14</f>
        <v/>
      </c>
      <c r="C845">
        <f>Inputs!$B$3&gt;=107</f>
        <v/>
      </c>
      <c r="D845">
        <f>IF(Skills!C14=1,60+Inputs!$B$25+(Inputs!$B$29+1),IF(Skills!C14=2,90+Inputs!$B$26+(Inputs!$B$29+1),IF(Skills!C14=3,120+Inputs!$B$27+(Inputs!$B$29+1),MAX(0,(Inputs!$B$3-100)*3)+Inputs!$B$28+(Inputs!$B$29+1))))</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IF(B866=0,0,O845/B866)</f>
        <v/>
      </c>
      <c r="Q845" t="n">
        <v>0</v>
      </c>
      <c r="R845" t="n">
        <v>0</v>
      </c>
      <c r="S845">
        <f>IFERROR(O845/N845,0)</f>
        <v/>
      </c>
      <c r="T845" t="n">
        <v>0</v>
      </c>
      <c r="V845" t="n">
        <v>0</v>
      </c>
    </row>
    <row r="846">
      <c r="A846">
        <f>Skills!A15</f>
        <v/>
      </c>
      <c r="B846">
        <f>Skills!B15</f>
        <v/>
      </c>
      <c r="C846">
        <f>Inputs!$B$3&gt;=115</f>
        <v/>
      </c>
      <c r="D846">
        <f>IF(Skills!C15=1,60+Inputs!$B$25+(Inputs!$B$29+1),IF(Skills!C15=2,90+Inputs!$B$26+(Inputs!$B$29+1),IF(Skills!C15=3,120+Inputs!$B$27+(Inputs!$B$29+1),MAX(0,(Inputs!$B$3-100)*3)+Inputs!$B$28+(Inputs!$B$29+1))))</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IF(B866=0,0,O846/B866)</f>
        <v/>
      </c>
      <c r="Q846" t="n">
        <v>0</v>
      </c>
      <c r="R846" t="n">
        <v>0</v>
      </c>
      <c r="S846">
        <f>IFERROR(O846/N846,0)</f>
        <v/>
      </c>
      <c r="T846" t="n">
        <v>0</v>
      </c>
      <c r="V846" t="n">
        <v>0</v>
      </c>
    </row>
    <row r="847">
      <c r="A847">
        <f>Skills!A16</f>
        <v/>
      </c>
      <c r="B847">
        <f>Skills!B16</f>
        <v/>
      </c>
      <c r="C847">
        <f>Inputs!$B$3&gt;=15</f>
        <v/>
      </c>
      <c r="D847">
        <f>IF(Skills!C16=1,60+Inputs!$B$25+(Inputs!$B$29+1),IF(Skills!C16=2,90+Inputs!$B$26+(Inputs!$B$29+1),IF(Skills!C16=3,120+Inputs!$B$27+(Inputs!$B$29+1),MAX(0,(Inputs!$B$3-100)*3)+Inputs!$B$28+(Inputs!$B$29+1))))</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Skills!A17</f>
        <v/>
      </c>
      <c r="B848">
        <f>Skills!B17</f>
        <v/>
      </c>
      <c r="C848">
        <f>Inputs!$B$3&gt;=10</f>
        <v/>
      </c>
      <c r="D848">
        <f>IF(Skills!C17=1,60+Inputs!$B$25+(Inputs!$B$29+1),IF(Skills!C17=2,90+Inputs!$B$26+(Inputs!$B$29+1),IF(Skills!C17=3,120+Inputs!$B$27+(Inputs!$B$29+1),MAX(0,(Inputs!$B$3-100)*3)+Inputs!$B$28+(Inputs!$B$29+1))))</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Skills!A18</f>
        <v/>
      </c>
      <c r="B849">
        <f>Skills!B18</f>
        <v/>
      </c>
      <c r="C849">
        <f>Inputs!$B$3&gt;=33</f>
        <v/>
      </c>
      <c r="D849">
        <f>IF(Skills!C18=1,60+Inputs!$B$25+(Inputs!$B$29+1),IF(Skills!C18=2,90+Inputs!$B$26+(Inputs!$B$29+1),IF(Skills!C18=3,120+Inputs!$B$27+(Inputs!$B$29+1),MAX(0,(Inputs!$B$3-100)*3)+Inputs!$B$28+(Inputs!$B$29+1))))</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Skills!A19</f>
        <v/>
      </c>
      <c r="B850">
        <f>Skills!B19</f>
        <v/>
      </c>
      <c r="C850">
        <f>Inputs!$B$3&gt;=40</f>
        <v/>
      </c>
      <c r="D850">
        <f>IF(Skills!C19=1,60+Inputs!$B$25+(Inputs!$B$29+1),IF(Skills!C19=2,90+Inputs!$B$26+(Inputs!$B$29+1),IF(Skills!C19=3,120+Inputs!$B$27+(Inputs!$B$29+1),MAX(0,(Inputs!$B$3-100)*3)+Inputs!$B$28+(Inputs!$B$29+1))))</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Skills!A20</f>
        <v/>
      </c>
      <c r="B851">
        <f>Skills!B20</f>
        <v/>
      </c>
      <c r="C851">
        <f>Inputs!$B$3&gt;=43</f>
        <v/>
      </c>
      <c r="D851">
        <f>IF(Skills!C20=1,60+Inputs!$B$25+(Inputs!$B$29+1),IF(Skills!C20=2,90+Inputs!$B$26+(Inputs!$B$29+1),IF(Skills!C20=3,120+Inputs!$B$27+(Inputs!$B$29+1),MAX(0,(Inputs!$B$3-100)*3)+Inputs!$B$28+(Inputs!$B$29+1))))</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Skills!A21</f>
        <v/>
      </c>
      <c r="B852">
        <f>Skills!B21</f>
        <v/>
      </c>
      <c r="C852">
        <f>Inputs!$B$3&gt;=38</f>
        <v/>
      </c>
      <c r="D852">
        <f>IF(Skills!C21=1,60+Inputs!$B$25+(Inputs!$B$29+1),IF(Skills!C21=2,90+Inputs!$B$26+(Inputs!$B$29+1),IF(Skills!C21=3,120+Inputs!$B$27+(Inputs!$B$29+1),MAX(0,(Inputs!$B$3-100)*3)+Inputs!$B$28+(Inputs!$B$29+1))))</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Skills!A22</f>
        <v/>
      </c>
      <c r="B853">
        <f>Skills!B22</f>
        <v/>
      </c>
      <c r="C853">
        <f>Inputs!$B$3&gt;=75</f>
        <v/>
      </c>
      <c r="D853">
        <f>IF(Skills!C22=1,60+Inputs!$B$25+(Inputs!$B$29+1),IF(Skills!C22=2,90+Inputs!$B$26+(Inputs!$B$29+1),IF(Skills!C22=3,120+Inputs!$B$27+(Inputs!$B$29+1),MAX(0,(Inputs!$B$3-100)*3)+Inputs!$B$28+(Inputs!$B$29+1))))</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 (unused)</t>
        </is>
      </c>
      <c r="B857" t="n">
        <v>0</v>
      </c>
    </row>
    <row r="858">
      <c r="A858" t="inlineStr">
        <is>
          <t>Actions Per Second</t>
        </is>
      </c>
      <c r="B858">
        <f>1+MIN(150,150*(1-(1-(Inputs!$B$11+((C848=TRUE)*(F848-Calc!F17))+((C849=TRUE)*(F849-Calc!F18)))/150)*(1-B857/150)))/100</f>
        <v/>
      </c>
    </row>
    <row r="859">
      <c r="A859" t="inlineStr">
        <is>
          <t>Skill + Buff Cast Rate</t>
        </is>
      </c>
      <c r="B859">
        <f>IF(AND(Inputs!$B$38&lt;&gt;"pvp",Inputs!$B$43&gt;0),SUMPRODUCT((Skills!E2:E22=TRUE)*(C833:C853=TRUE)*R833:R853*Skills!F2:F22)/Inputs!$B$43,SUMPRODUCT((Skills!E2:E22=TRUE)*(C833:C853=TRUE)*Q833:Q853*Skills!F2:F22))</f>
        <v/>
      </c>
    </row>
    <row r="860">
      <c r="A860" t="inlineStr">
        <is>
          <t>Hook Bomber Casts Per Second</t>
        </is>
      </c>
      <c r="B860">
        <f>MAX(0,B858-B859)</f>
        <v/>
      </c>
    </row>
    <row r="861">
      <c r="A861" t="inlineStr">
        <is>
          <t>Global Critical Damage Bonus % (unused)</t>
        </is>
      </c>
      <c r="B861" t="n">
        <v>0</v>
      </c>
    </row>
    <row r="862">
      <c r="A862" t="inlineStr">
        <is>
          <t>Global Final Damage Bonus % (Serpent Scale + Crossbones + Time Leap + Speed Infusion)</t>
        </is>
      </c>
      <c r="B862">
        <f>((C836=TRUE)*F836*((10+IF(Inputs!$B$3&gt;=94,5,0))/((10+IF(Inputs!$B$3&gt;=94,5,0))+5/(B860*(1+IF(Inputs!$B$3&gt;=104,1,0))))))+((C845=TRUE)*F845)+((C846=TRUE)*F846)+((Inputs!$B$3&gt;=110)*20*(B858-1))</f>
        <v/>
      </c>
    </row>
    <row r="863">
      <c r="A863" t="inlineStr">
        <is>
          <t>Buff-Casting Startup Delay (s, fixed-duration only)</t>
        </is>
      </c>
      <c r="B863">
        <f>IF(AND(Inputs!$B$38&lt;&gt;"pvp",Inputs!$B$43&gt;0),SUMPRODUCT((Skills!T2:T22&gt;0)*(Skills!E2:E22=TRUE)*(C833:C853=TRUE))/B858,0)</f>
        <v/>
      </c>
    </row>
    <row r="864">
      <c r="A864" t="inlineStr">
        <is>
          <t>Boss-Only Total DPS (this block's swept value)</t>
        </is>
      </c>
      <c r="B864">
        <f>SUM(T833:T853)</f>
        <v/>
      </c>
    </row>
    <row r="865">
      <c r="A865" t="inlineStr">
        <is>
          <t>Normal-Only Total DPS (this block's swept value)</t>
        </is>
      </c>
      <c r="B865">
        <f>SUM(V833:V853)</f>
        <v/>
      </c>
    </row>
    <row r="866">
      <c r="A866" s="6" t="inlineStr">
        <is>
          <t>TOTAL DPS</t>
        </is>
      </c>
      <c r="B866" s="6">
        <f>SUM(O833:O853)</f>
        <v/>
      </c>
    </row>
    <row r="869">
      <c r="A869" s="6" t="inlineStr">
        <is>
          <t>Stat: Flat ATTACK</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889=TRUE)*(F889-Calc!F20)),(Inputs!$B$23+0+(IF(ArtifactsInput!$M$15,CHOOSE(ArtifactsInput!$N$15+1,25,30,35,40,45,50)/100*(Inputs!$B$11-Inputs!$B$11),0))))/100+(Inputs!$B$23+0+(IF(ArtifactsInput!$M$15,CHOOSE(ArtifactsInput!$N$15+1,25,30,35,40,45,50)/100*(Inputs!$B$11-Inputs!$B$11),0)))/100)/2</f>
        <v/>
      </c>
      <c r="M871">
        <f>L871*(1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t="n">
        <v>0</v>
      </c>
      <c r="R871" t="n">
        <v>0</v>
      </c>
      <c r="S871">
        <f>IFERROR(O871/N871,0)</f>
        <v/>
      </c>
      <c r="T871">
        <f>IF(C871,(Skills!G2*N871*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MAX(0,(Inputs!$B$3-100)*3)+Inputs!$B$28+Inputs!$B$29</f>
        <v/>
      </c>
      <c r="V871">
        <f>IF(C871,(Skills!G2*N871*B898)*IF(Inputs!$B$38="pvp",1,(1+(Inputs!$B$21+Skills!Q2+(IF(ArtifactsInput!$M$33,CHOOSE(ArtifactsInput!$N$33+1,30,36,42,48,54,60),0))+(IF(AND(ArtifactsInput!$M$35,Inputs!$B$4&lt;&gt;"Chapter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Inputs!$B$3&gt;=35</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f>Skills!G3*IF(Skills!H3&gt;0,Skills!I3/Skills!H3,1)</f>
        <v/>
      </c>
      <c r="H872">
        <f>1-(1-Skills!J3/100)^Skills!K3</f>
        <v/>
      </c>
      <c r="I872" t="inlineStr">
        <is>
          <t>1</t>
        </is>
      </c>
      <c r="J872">
        <f>(((Inputs!$B$6+1)*(1+Inputs!$B$7/100))+(((Inputs!$B$12*(1+Inputs!$B$13/100))-(Inputs!$B$12*(1+Inputs!$B$13/100)))+0.25*(Inputs!$B$14-Inputs!$B$14))*(1+Inputs!$B$7/100))*(F872/100)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889=TRUE)*(F889-Calc!F20)),(Inputs!$B$23+0+(IF(ArtifactsInput!$M$15,CHOOSE(ArtifactsInput!$N$15+1,25,30,35,40,45,50)/100*(Inputs!$B$11-Inputs!$B$11),0))))/100+(Inputs!$B$23+0+(IF(ArtifactsInput!$M$15,CHOOSE(ArtifactsInput!$N$15+1,25,30,35,40,45,50)/100*(Inputs!$B$11-Inputs!$B$11),0)))/100)/2</f>
        <v/>
      </c>
      <c r="M872">
        <f>L872*(1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t="n">
        <v>0</v>
      </c>
      <c r="R872" t="n">
        <v>0</v>
      </c>
      <c r="S872">
        <f>IFERROR(O872/N872,0)</f>
        <v/>
      </c>
      <c r="T872">
        <f>IF(C872,(Skills!G3*H872*N872*B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INDEX(FactorTable!$B$2:$Y$301, MATCH(ROUND(MIN(300,MAX(1,U871)),0), FactorTable!$A$2:$A$301,0), 22)</f>
        <v/>
      </c>
      <c r="V872">
        <f>IF(C872,(Skills!G3*H872*N872*B898)*IF(Inputs!$B$38="pvp",1,(1+(Inputs!$B$21+Skills!Q3+(IF(ArtifactsInput!$M$33,CHOOSE(ArtifactsInput!$N$33+1,30,36,42,48,54,60),0))+(IF(AND(ArtifactsInput!$M$35,Inputs!$B$4&lt;&gt;"Chapter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Skills!A4</f>
        <v/>
      </c>
      <c r="B873">
        <f>Skills!B4</f>
        <v/>
      </c>
      <c r="C873">
        <f>Inputs!$B$3&gt;=60</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4="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889=TRUE)*(F889-Calc!F20)),(Inputs!$B$23+0+(IF(ArtifactsInput!$M$15,CHOOSE(ArtifactsInput!$N$15+1,25,30,35,40,45,50)/100*(Inputs!$B$11-Inputs!$B$11),0))))/100+(Inputs!$B$23+0+(IF(ArtifactsInput!$M$15,CHOOSE(ArtifactsInput!$N$15+1,25,30,35,40,45,50)/100*(Inputs!$B$11-Inputs!$B$11),0)))/100)/2</f>
        <v/>
      </c>
      <c r="M873">
        <f>L873*(1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t="n">
        <v>0</v>
      </c>
      <c r="R873" t="n">
        <v>0</v>
      </c>
      <c r="S873">
        <f>IFERROR(O873/N873,0)</f>
        <v/>
      </c>
      <c r="T873">
        <f>IF(C873,(Skills!G4*H873*N873*B898)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IF(C873,(Skills!G4*H873*N873*B898)*IF(Inputs!$B$38="pvp",1,(1+(Inputs!$B$21+Skills!Q4+(IF(ArtifactsInput!$M$33,CHOOSE(ArtifactsInput!$N$33+1,30,36,42,48,54,60),0))+(IF(AND(ArtifactsInput!$M$35,Inputs!$B$4&lt;&gt;"Chapter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Inputs!$B$3&gt;=60</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t="inlineStr"/>
      <c r="K874" t="inlineStr"/>
      <c r="L874" t="inlineStr"/>
      <c r="M874" t="inlineStr"/>
      <c r="N874" t="inlineStr"/>
      <c r="O874">
        <f>(1-Summary!$B$11)*T874+Summary!$B$11*V874</f>
        <v/>
      </c>
      <c r="P874">
        <f>IF(B904=0,0,O874/B904)</f>
        <v/>
      </c>
      <c r="Q874" t="n">
        <v>0</v>
      </c>
      <c r="R874" t="n">
        <v>0</v>
      </c>
      <c r="S874">
        <f>IFERROR(O874/N874,0)</f>
        <v/>
      </c>
      <c r="T874" t="n">
        <v>0</v>
      </c>
      <c r="V874" t="n">
        <v>0</v>
      </c>
    </row>
    <row r="875">
      <c r="A875">
        <f>Skills!A6</f>
        <v/>
      </c>
      <c r="B875">
        <f>Skills!B6</f>
        <v/>
      </c>
      <c r="C875">
        <f>Inputs!$B$3&gt;=63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889=TRUE)*(F889-Calc!F20)),(Inputs!$B$23+0+(IF(ArtifactsInput!$M$15,CHOOSE(ArtifactsInput!$N$15+1,25,30,35,40,45,50)/100*(Inputs!$B$11-Inputs!$B$11),0))))/100+(Inputs!$B$23+0+(IF(ArtifactsInput!$M$15,CHOOSE(ArtifactsInput!$N$15+1,25,30,35,40,45,50)/100*(Inputs!$B$11-Inputs!$B$11),0)))/100)/2</f>
        <v/>
      </c>
      <c r="M875">
        <f>L875*(1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IFERROR(1/(IF(Inputs!$B$38="pvp",15,MAX(0.1,Skills!D6-IF(Skills!E6=TRUE,Inputs!$B$32,0)))*(1-IF(AND(ArtifactsInput!$M$27,Inputs!$B$4="Chapter Hunt"),CHOOSE(ArtifactsInput!$N$27+1,20,24,28,32,36,40),0)/100)),0)</f>
        <v/>
      </c>
      <c r="R875">
        <f>IF(AND(Inputs!$B$38&lt;&gt;"pvp",Inputs!$B$43&gt;0),IF(MAX(0,Inputs!$B$43-B901)&lt;=0,0,(INT(MAX(0,Inputs!$B$43-B901)/(IF(Inputs!$B$38="pvp",15,MAX(0.1,Skills!D6-IF(Skills!E6=TRUE,Inputs!$B$32,0)))*(1-IF(AND(ArtifactsInput!$M$27,Inputs!$B$4="Chapter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Inputs!$B$3&gt;=100</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889=TRUE)*(F889-Calc!F20)),(Inputs!$B$23+0+(IF(ArtifactsInput!$M$15,CHOOSE(ArtifactsInput!$N$15+1,25,30,35,40,45,50)/100*(Inputs!$B$11-Inputs!$B$11),0))))/100+(Inputs!$B$23+0+(IF(ArtifactsInput!$M$15,CHOOSE(ArtifactsInput!$N$15+1,25,30,35,40,45,50)/100*(Inputs!$B$11-Inputs!$B$11),0)))/100)/2</f>
        <v/>
      </c>
      <c r="M876">
        <f>L876*(1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IFERROR(1/(IF(Inputs!$B$38="pvp",15,MAX(0.1,Skills!D7-IF(Skills!E7=TRUE,Inputs!$B$32,0)))*(1-IF(AND(ArtifactsInput!$M$27,Inputs!$B$4="Chapter Hunt"),CHOOSE(ArtifactsInput!$N$27+1,20,24,28,32,36,40),0)/100)),0)</f>
        <v/>
      </c>
      <c r="R876">
        <f>IF(AND(Inputs!$B$38&lt;&gt;"pvp",Inputs!$B$43&gt;0),IF(MAX(0,Inputs!$B$43-B901)&lt;=0,0,(INT(MAX(0,Inputs!$B$43-B901)/(IF(Inputs!$B$38="pvp",15,MAX(0.1,Skills!D7-IF(Skills!E7=TRUE,Inputs!$B$32,0)))*(1-IF(AND(ArtifactsInput!$M$27,Inputs!$B$4="Chapter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Inputs!$B$3&gt;=110</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889=TRUE)*(F889-Calc!F20)),(Inputs!$B$23+0+(IF(ArtifactsInput!$M$15,CHOOSE(ArtifactsInput!$N$15+1,25,30,35,40,45,50)/100*(Inputs!$B$11-Inputs!$B$11),0))))/100+(Inputs!$B$23+0+(IF(ArtifactsInput!$M$15,CHOOSE(ArtifactsInput!$N$15+1,25,30,35,40,45,50)/100*(Inputs!$B$11-Inputs!$B$11),0)))/100)/2</f>
        <v/>
      </c>
      <c r="M877">
        <f>L877*(1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f>IFERROR(1/(IF(Inputs!$B$38="pvp",15,MAX(0.1,Skills!D8-IF(Skills!E8=TRUE,Inputs!$B$32,0)))*(1-IF(AND(ArtifactsInput!$M$27,Inputs!$B$4="Chapter Hunt"),CHOOSE(ArtifactsInput!$N$27+1,20,24,28,32,36,40),0)/100)),0)</f>
        <v/>
      </c>
      <c r="R877">
        <f>IF(AND(Inputs!$B$38&lt;&gt;"pvp",Inputs!$B$43&gt;0),IF(MAX(0,Inputs!$B$43-B901)&lt;=0,0,(INT(MAX(0,Inputs!$B$43-B901)/(IF(Inputs!$B$38="pvp",15,MAX(0.1,Skills!D8-IF(Skills!E8=TRUE,Inputs!$B$32,0)))*(1-IF(AND(ArtifactsInput!$M$27,Inputs!$B$4="Chapter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Inputs!$B$3&gt;=110</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889=TRUE)*(F889-Calc!F20)),(Inputs!$B$23+0+(IF(ArtifactsInput!$M$15,CHOOSE(ArtifactsInput!$N$15+1,25,30,35,40,45,50)/100*(Inputs!$B$11-Inputs!$B$11),0))))/100+(Inputs!$B$23+0+(IF(ArtifactsInput!$M$15,CHOOSE(ArtifactsInput!$N$15+1,25,30,35,40,45,50)/100*(Inputs!$B$11-Inputs!$B$11),0)))/100)/2</f>
        <v/>
      </c>
      <c r="M878">
        <f>L878*(1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IF(B904=0,0,O878/B904)</f>
        <v/>
      </c>
      <c r="Q878">
        <f>IFERROR(1/(IF(Inputs!$B$38="pvp",15,MAX(0.1,Skills!D9-IF(Skills!E9=TRUE,Inputs!$B$32,0)))*(1-IF(AND(ArtifactsInput!$M$27,Inputs!$B$4="Chapter Hunt"),CHOOSE(ArtifactsInput!$N$27+1,20,24,28,32,36,40),0)/100)),0)</f>
        <v/>
      </c>
      <c r="R878">
        <f>IF(AND(Inputs!$B$38&lt;&gt;"pvp",Inputs!$B$43&gt;0),IF(MAX(0,Inputs!$B$43-B901)&lt;=0,0,(INT(MAX(0,Inputs!$B$43-B901)/(IF(Inputs!$B$38="pvp",15,MAX(0.1,Skills!D9-IF(Skills!E9=TRUE,Inputs!$B$32,0)))*(1-IF(AND(ArtifactsInput!$M$27,Inputs!$B$4="Chapter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Inputs!$B$3&gt;=103</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889=TRUE)*(F889-Calc!F20)),(Inputs!$B$23+0+(IF(ArtifactsInput!$M$15,CHOOSE(ArtifactsInput!$N$15+1,25,30,35,40,45,50)/100*(Inputs!$B$11-Inputs!$B$11),0))))/100+(Inputs!$B$23+0+(IF(ArtifactsInput!$M$15,CHOOSE(ArtifactsInput!$N$15+1,25,30,35,40,45,50)/100*(Inputs!$B$11-Inputs!$B$11),0)))/100)/2</f>
        <v/>
      </c>
      <c r="M879">
        <f>L879*(1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IF(B904=0,0,O879/B904)</f>
        <v/>
      </c>
      <c r="Q879">
        <f>IFERROR(1/(IF(Inputs!$B$38="pvp",15,MAX(0.1,Skills!D10-IF(Skills!E10=TRUE,Inputs!$B$32,0)))*(1-IF(AND(ArtifactsInput!$M$27,Inputs!$B$4="Chapter Hunt"),CHOOSE(ArtifactsInput!$N$27+1,20,24,28,32,36,40),0)/100)),0)</f>
        <v/>
      </c>
      <c r="R879">
        <f>IF(AND(Inputs!$B$38&lt;&gt;"pvp",Inputs!$B$43&gt;0),IF(MAX(0,Inputs!$B$43-B901)&lt;=0,0,(INT(MAX(0,Inputs!$B$43-B901)/(IF(Inputs!$B$38="pvp",15,MAX(0.1,Skills!D10-IF(Skills!E10=TRUE,Inputs!$B$32,0)))*(1-IF(AND(ArtifactsInput!$M$27,Inputs!$B$4="Chapter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Inputs!$B$3&gt;=113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889=TRUE)*(F889-Calc!F20)),(Inputs!$B$23+0+(IF(ArtifactsInput!$M$15,CHOOSE(ArtifactsInput!$N$15+1,25,30,35,40,45,50)/100*(Inputs!$B$11-Inputs!$B$11),0))))/100+(Inputs!$B$23+0+(IF(ArtifactsInput!$M$15,CHOOSE(ArtifactsInput!$N$15+1,25,30,35,40,45,50)/100*(Inputs!$B$11-Inputs!$B$11),0)))/100)/2</f>
        <v/>
      </c>
      <c r="M880">
        <f>L880*(1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IF(B904=0,0,O880/B904)</f>
        <v/>
      </c>
      <c r="Q880">
        <f>IFERROR(1/(IF(Inputs!$B$38="pvp",15,MAX(0.1,Skills!D11-IF(Skills!E11=TRUE,Inputs!$B$32,0)))*(1-IF(AND(ArtifactsInput!$M$27,Inputs!$B$4="Chapter Hunt"),CHOOSE(ArtifactsInput!$N$27+1,20,24,28,32,36,40),0)/100)),0)</f>
        <v/>
      </c>
      <c r="R880">
        <f>IF(AND(Inputs!$B$38&lt;&gt;"pvp",Inputs!$B$43&gt;0),IF(MAX(0,Inputs!$B$43-B901)&lt;=0,0,(INT(MAX(0,Inputs!$B$43-B901)/(IF(Inputs!$B$38="pvp",15,MAX(0.1,Skills!D11-IF(Skills!E11=TRUE,Inputs!$B$32,0)))*(1-IF(AND(ArtifactsInput!$M$27,Inputs!$B$4="Chapter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Skills!A13</f>
        <v/>
      </c>
      <c r="B882">
        <f>Skills!B13</f>
        <v/>
      </c>
      <c r="C882">
        <f>Inputs!$B$3&gt;=66</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Skills!A14</f>
        <v/>
      </c>
      <c r="B883">
        <f>Skills!B14</f>
        <v/>
      </c>
      <c r="C883">
        <f>Inputs!$B$3&gt;=107</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Skills!A15</f>
        <v/>
      </c>
      <c r="B884">
        <f>Skills!B15</f>
        <v/>
      </c>
      <c r="C884">
        <f>Inputs!$B$3&gt;=115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Skills!A16</f>
        <v/>
      </c>
      <c r="B885">
        <f>Skills!B16</f>
        <v/>
      </c>
      <c r="C885">
        <f>Inputs!$B$3&gt;=15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Skills!A17</f>
        <v/>
      </c>
      <c r="B886">
        <f>Skills!B17</f>
        <v/>
      </c>
      <c r="C886">
        <f>Inputs!$B$3&gt;=10</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Skills!A18</f>
        <v/>
      </c>
      <c r="B887">
        <f>Skills!B18</f>
        <v/>
      </c>
      <c r="C887">
        <f>Inputs!$B$3&gt;=33</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Skills!A19</f>
        <v/>
      </c>
      <c r="B888">
        <f>Skills!B19</f>
        <v/>
      </c>
      <c r="C888">
        <f>Inputs!$B$3&gt;=40</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Skills!A20</f>
        <v/>
      </c>
      <c r="B889">
        <f>Skills!B20</f>
        <v/>
      </c>
      <c r="C889">
        <f>Inputs!$B$3&gt;=43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Skills!A22</f>
        <v/>
      </c>
      <c r="B891">
        <f>Skills!B22</f>
        <v/>
      </c>
      <c r="C891">
        <f>Inputs!$B$3&gt;=75</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IF(B904=0,0,O891/B904)</f>
        <v/>
      </c>
      <c r="Q891" t="n">
        <v>0</v>
      </c>
      <c r="R891" t="n">
        <v>0</v>
      </c>
      <c r="S891">
        <f>IFERROR(O891/N891,0)</f>
        <v/>
      </c>
      <c r="T891" t="n">
        <v>0</v>
      </c>
      <c r="V891" t="n">
        <v>0</v>
      </c>
    </row>
    <row r="893">
      <c r="A893" t="inlineStr">
        <is>
          <t>Attack% Bucket Multiplier</t>
        </is>
      </c>
      <c r="B893">
        <f>(1+(((C882=TRUE)*F882)+((C888=TRUE)*(F888-Calc!F19))+(IF(ArtifactsInput!$M$21,CHOOSE(ArtifactsInput!$N$21+1,25,30,35,40,45,50)*(IF(OR(Inputs!$B$4="Chapter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(unused)</t>
        </is>
      </c>
      <c r="B895" t="n">
        <v>0</v>
      </c>
    </row>
    <row r="896">
      <c r="A896" t="inlineStr">
        <is>
          <t>Actions Per Second</t>
        </is>
      </c>
      <c r="B896">
        <f>1+MIN(150,150*(1-(1-(Inputs!$B$11+((C886=TRUE)*(F886-Calc!F17))+((C887=TRUE)*(F887-Calc!F18)))/150)*(1-B895/150)))/100</f>
        <v/>
      </c>
    </row>
    <row r="897">
      <c r="A897" t="inlineStr">
        <is>
          <t>Skill + Buff Cast Rate</t>
        </is>
      </c>
      <c r="B897">
        <f>IF(AND(Inputs!$B$38&lt;&gt;"pvp",Inputs!$B$43&gt;0),SUMPRODUCT((Skills!E2:E22=TRUE)*(C871:C891=TRUE)*R871:R891*Skills!F2:F22)/Inputs!$B$43,SUMPRODUCT((Skills!E2:E22=TRUE)*(C871:C891=TRUE)*Q871:Q891*Skills!F2:F22))</f>
        <v/>
      </c>
    </row>
    <row r="898">
      <c r="A898" t="inlineStr">
        <is>
          <t>Hook Bomber Casts Per Second</t>
        </is>
      </c>
      <c r="B898">
        <f>MAX(0,B896-B897)</f>
        <v/>
      </c>
    </row>
    <row r="899">
      <c r="A899" t="inlineStr">
        <is>
          <t>Global Critical Damage Bonus % (unused)</t>
        </is>
      </c>
      <c r="B899" t="n">
        <v>0</v>
      </c>
    </row>
    <row r="900">
      <c r="A900" t="inlineStr">
        <is>
          <t>Global Final Damage Bonus % (Serpent Scale + Crossbones + Time Leap + Speed Infusion)</t>
        </is>
      </c>
      <c r="B900">
        <f>((C874=TRUE)*F874*((10+IF(Inputs!$B$3&gt;=94,5,0))/((10+IF(Inputs!$B$3&gt;=94,5,0))+5/(B898*(1+IF(Inputs!$B$3&gt;=104,1,0))))))+((C883=TRUE)*F883)+((C884=TRUE)*F884)+((Inputs!$B$3&gt;=110)*20*(B896-1))</f>
        <v/>
      </c>
    </row>
    <row r="901">
      <c r="A901" t="inlineStr">
        <is>
          <t>Buff-Casting Startup Delay (s, fixed-duration only)</t>
        </is>
      </c>
      <c r="B901">
        <f>IF(AND(Inputs!$B$38&lt;&gt;"pvp",Inputs!$B$43&gt;0),SUMPRODUCT((Skills!T2:T22&gt;0)*(Skills!E2:E22=TRUE)*(C871:C891=TRUE))/B896,0)</f>
        <v/>
      </c>
    </row>
    <row r="902">
      <c r="A902" t="inlineStr">
        <is>
          <t>Boss-Only Total DPS (this block's swept value)</t>
        </is>
      </c>
      <c r="B902">
        <f>SUM(T871:T891)</f>
        <v/>
      </c>
    </row>
    <row r="903">
      <c r="A903" t="inlineStr">
        <is>
          <t>Normal-Only Total DPS (this block's swept value)</t>
        </is>
      </c>
      <c r="B903">
        <f>SUM(V871:V891)</f>
        <v/>
      </c>
    </row>
    <row r="904">
      <c r="A904" s="6" t="inlineStr">
        <is>
          <t>TOTAL DPS</t>
        </is>
      </c>
      <c r="B904" s="6">
        <f>SUM(O871:O891)</f>
        <v/>
      </c>
    </row>
    <row r="907">
      <c r="A907" s="6" t="inlineStr">
        <is>
          <t>Stat: ATTACK %</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((Inputs!$B$6*(1+(Inputs!$B$7+1)/100))+(((Inputs!$B$12*(1+Inputs!$B$13/100))-(Inputs!$B$12*(1+Inputs!$B$13/100)))+0.25*(Inputs!$B$14-Inputs!$B$14))*(1+(Inputs!$B$7+1)/100))*(F909/100)</f>
        <v/>
      </c>
      <c r="K909">
        <f>J909*(1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927=TRUE)*(F927-Calc!F20)),(Inputs!$B$23+0+(IF(ArtifactsInput!$M$15,CHOOSE(ArtifactsInput!$N$15+1,25,30,35,40,45,50)/100*(Inputs!$B$11-Inputs!$B$11),0))))/100+(Inputs!$B$23+0+(IF(ArtifactsInput!$M$15,CHOOSE(ArtifactsInput!$N$15+1,25,30,35,40,45,50)/100*(Inputs!$B$11-Inputs!$B$11),0)))/100)/2</f>
        <v/>
      </c>
      <c r="M909">
        <f>L909*(1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IF(B942=0,0,O909/B942)</f>
        <v/>
      </c>
      <c r="Q909" t="n">
        <v>0</v>
      </c>
      <c r="R909" t="n">
        <v>0</v>
      </c>
      <c r="S909">
        <f>IFERROR(O909/N909,0)</f>
        <v/>
      </c>
      <c r="T909">
        <f>IF(C909,(Skills!G2*N909*B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MAX(0,(Inputs!$B$3-100)*3)+Inputs!$B$28+Inputs!$B$29</f>
        <v/>
      </c>
      <c r="V909">
        <f>IF(C909,(Skills!G2*N909*B936)*IF(Inputs!$B$38="pvp",1,(1+(Inputs!$B$21+Skills!Q2+(IF(ArtifactsInput!$M$33,CHOOSE(ArtifactsInput!$N$33+1,30,36,42,48,54,60),0))+(IF(AND(ArtifactsInput!$M$35,Inputs!$B$4&lt;&gt;"Chapter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((Inputs!$B$6*(1+(Inputs!$B$7+1)/100))+(((Inputs!$B$12*(1+Inputs!$B$13/100))-(Inputs!$B$12*(1+Inputs!$B$13/100)))+0.25*(Inputs!$B$14-Inputs!$B$14))*(1+(Inputs!$B$7+1)/100))*(F910/100)</f>
        <v/>
      </c>
      <c r="K910">
        <f>J910*(1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927=TRUE)*(F927-Calc!F20)),(Inputs!$B$23+0+(IF(ArtifactsInput!$M$15,CHOOSE(ArtifactsInput!$N$15+1,25,30,35,40,45,50)/100*(Inputs!$B$11-Inputs!$B$11),0))))/100+(Inputs!$B$23+0+(IF(ArtifactsInput!$M$15,CHOOSE(ArtifactsInput!$N$15+1,25,30,35,40,45,50)/100*(Inputs!$B$11-Inputs!$B$11),0)))/100)/2</f>
        <v/>
      </c>
      <c r="M910">
        <f>L910*(1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IF(B942=0,0,O910/B942)</f>
        <v/>
      </c>
      <c r="Q910" t="n">
        <v>0</v>
      </c>
      <c r="R910" t="n">
        <v>0</v>
      </c>
      <c r="S910">
        <f>IFERROR(O910/N910,0)</f>
        <v/>
      </c>
      <c r="T910">
        <f>IF(C910,(Skills!G3*H910*N910*B936)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IF(C910,(Skills!G3*H910*N910*B936)*IF(Inputs!$B$38="pvp",1,(1+(Inputs!$B$21+Skills!Q3+(IF(ArtifactsInput!$M$33,CHOOSE(ArtifactsInput!$N$33+1,30,36,42,48,54,60),0))+(IF(AND(ArtifactsInput!$M$35,Inputs!$B$4&lt;&gt;"Chapter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Inputs!$B$3&gt;=60</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((Inputs!$B$6*(1+(Inputs!$B$7+1)/100))+(((Inputs!$B$12*(1+Inputs!$B$13/100))-(Inputs!$B$12*(1+Inputs!$B$13/100)))+0.25*(Inputs!$B$14-Inputs!$B$14))*(1+(Inputs!$B$7+1)/100))*(F911/100)</f>
        <v/>
      </c>
      <c r="K911">
        <f>J911*(1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919=TRUE,F919,0)/100)*(1+(IF(Skills!A4="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927=TRUE)*(F927-Calc!F20)),(Inputs!$B$23+0+(IF(ArtifactsInput!$M$15,CHOOSE(ArtifactsInput!$N$15+1,25,30,35,40,45,50)/100*(Inputs!$B$11-Inputs!$B$11),0))))/100+(Inputs!$B$23+0+(IF(ArtifactsInput!$M$15,CHOOSE(ArtifactsInput!$N$15+1,25,30,35,40,45,50)/100*(Inputs!$B$11-Inputs!$B$11),0)))/100)/2</f>
        <v/>
      </c>
      <c r="M911">
        <f>L911*(1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IF(B942=0,0,O911/B942)</f>
        <v/>
      </c>
      <c r="Q911" t="n">
        <v>0</v>
      </c>
      <c r="R911" t="n">
        <v>0</v>
      </c>
      <c r="S911">
        <f>IFERROR(O911/N911,0)</f>
        <v/>
      </c>
      <c r="T911">
        <f>IF(C911,(Skills!G4*H911*N911*B936)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IF(C911,(Skills!G4*H911*N911*B936)*IF(Inputs!$B$38="pvp",1,(1+(Inputs!$B$21+Skills!Q4+(IF(ArtifactsInput!$M$33,CHOOSE(ArtifactsInput!$N$33+1,30,36,42,48,54,60),0))+(IF(AND(ArtifactsInput!$M$35,Inputs!$B$4&lt;&gt;"Chapter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Inputs!$B$3&gt;=60</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t="inlineStr"/>
      <c r="K912" t="inlineStr"/>
      <c r="L912" t="inlineStr"/>
      <c r="M912" t="inlineStr"/>
      <c r="N912" t="inlineStr"/>
      <c r="O912">
        <f>(1-Summary!$B$11)*T912+Summary!$B$11*V912</f>
        <v/>
      </c>
      <c r="P912">
        <f>IF(B942=0,0,O912/B942)</f>
        <v/>
      </c>
      <c r="Q912" t="n">
        <v>0</v>
      </c>
      <c r="R912" t="n">
        <v>0</v>
      </c>
      <c r="S912">
        <f>IFERROR(O912/N912,0)</f>
        <v/>
      </c>
      <c r="T912" t="n">
        <v>0</v>
      </c>
      <c r="V912" t="n">
        <v>0</v>
      </c>
    </row>
    <row r="913">
      <c r="A913">
        <f>Skills!A6</f>
        <v/>
      </c>
      <c r="B913">
        <f>Skills!B6</f>
        <v/>
      </c>
      <c r="C913">
        <f>Inputs!$B$3&gt;=63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((Inputs!$B$6*(1+(Inputs!$B$7+1)/100))+(((Inputs!$B$12*(1+Inputs!$B$13/100))-(Inputs!$B$12*(1+Inputs!$B$13/100)))+0.25*(Inputs!$B$14-Inputs!$B$14))*(1+(Inputs!$B$7+1)/100))*(F913/100)</f>
        <v/>
      </c>
      <c r="K913">
        <f>J913*(1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927=TRUE)*(F927-Calc!F20)),(Inputs!$B$23+0+(IF(ArtifactsInput!$M$15,CHOOSE(ArtifactsInput!$N$15+1,25,30,35,40,45,50)/100*(Inputs!$B$11-Inputs!$B$11),0))))/100+(Inputs!$B$23+0+(IF(ArtifactsInput!$M$15,CHOOSE(ArtifactsInput!$N$15+1,25,30,35,40,45,50)/100*(Inputs!$B$11-Inputs!$B$11),0)))/100)/2</f>
        <v/>
      </c>
      <c r="M913">
        <f>L913*(1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IF(B942=0,0,O913/B942)</f>
        <v/>
      </c>
      <c r="Q913">
        <f>IFERROR(1/(IF(Inputs!$B$38="pvp",15,MAX(0.1,Skills!D6-IF(Skills!E6=TRUE,Inputs!$B$32,0)))*(1-IF(AND(ArtifactsInput!$M$27,Inputs!$B$4="Chapter Hunt"),CHOOSE(ArtifactsInput!$N$27+1,20,24,28,32,36,40),0)/100)),0)</f>
        <v/>
      </c>
      <c r="R913">
        <f>IF(AND(Inputs!$B$38&lt;&gt;"pvp",Inputs!$B$43&gt;0),IF(MAX(0,Inputs!$B$43-B939)&lt;=0,0,(INT(MAX(0,Inputs!$B$43-B939)/(IF(Inputs!$B$38="pvp",15,MAX(0.1,Skills!D6-IF(Skills!E6=TRUE,Inputs!$B$32,0)))*(1-IF(AND(ArtifactsInput!$M$27,Inputs!$B$4="Chapter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Inputs!$B$3&gt;=100</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((Inputs!$B$6*(1+(Inputs!$B$7+1)/100))+(((Inputs!$B$12*(1+Inputs!$B$13/100))-(Inputs!$B$12*(1+Inputs!$B$13/100)))+0.25*(Inputs!$B$14-Inputs!$B$14))*(1+(Inputs!$B$7+1)/100))*(F914/100)</f>
        <v/>
      </c>
      <c r="K914">
        <f>J914*(1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927=TRUE)*(F927-Calc!F20)),(Inputs!$B$23+0+(IF(ArtifactsInput!$M$15,CHOOSE(ArtifactsInput!$N$15+1,25,30,35,40,45,50)/100*(Inputs!$B$11-Inputs!$B$11),0))))/100+(Inputs!$B$23+0+(IF(ArtifactsInput!$M$15,CHOOSE(ArtifactsInput!$N$15+1,25,30,35,40,45,50)/100*(Inputs!$B$11-Inputs!$B$11),0)))/100)/2</f>
        <v/>
      </c>
      <c r="M914">
        <f>L914*(1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IF(B942=0,0,O914/B942)</f>
        <v/>
      </c>
      <c r="Q914">
        <f>IFERROR(1/(IF(Inputs!$B$38="pvp",15,MAX(0.1,Skills!D7-IF(Skills!E7=TRUE,Inputs!$B$32,0)))*(1-IF(AND(ArtifactsInput!$M$27,Inputs!$B$4="Chapter Hunt"),CHOOSE(ArtifactsInput!$N$27+1,20,24,28,32,36,40),0)/100)),0)</f>
        <v/>
      </c>
      <c r="R914">
        <f>IF(AND(Inputs!$B$38&lt;&gt;"pvp",Inputs!$B$43&gt;0),IF(MAX(0,Inputs!$B$43-B939)&lt;=0,0,(INT(MAX(0,Inputs!$B$43-B939)/(IF(Inputs!$B$38="pvp",15,MAX(0.1,Skills!D7-IF(Skills!E7=TRUE,Inputs!$B$32,0)))*(1-IF(AND(ArtifactsInput!$M$27,Inputs!$B$4="Chapter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Inputs!$B$3&gt;=110</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((Inputs!$B$6*(1+(Inputs!$B$7+1)/100))+(((Inputs!$B$12*(1+Inputs!$B$13/100))-(Inputs!$B$12*(1+Inputs!$B$13/100)))+0.25*(Inputs!$B$14-Inputs!$B$14))*(1+(Inputs!$B$7+1)/100))*(F915/100)</f>
        <v/>
      </c>
      <c r="K915">
        <f>J915*(1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927=TRUE)*(F927-Calc!F20)),(Inputs!$B$23+0+(IF(ArtifactsInput!$M$15,CHOOSE(ArtifactsInput!$N$15+1,25,30,35,40,45,50)/100*(Inputs!$B$11-Inputs!$B$11),0))))/100+(Inputs!$B$23+0+(IF(ArtifactsInput!$M$15,CHOOSE(ArtifactsInput!$N$15+1,25,30,35,40,45,50)/100*(Inputs!$B$11-Inputs!$B$11),0)))/100)/2</f>
        <v/>
      </c>
      <c r="M915">
        <f>L915*(1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IF(B942=0,0,O915/B942)</f>
        <v/>
      </c>
      <c r="Q915">
        <f>IFERROR(1/(IF(Inputs!$B$38="pvp",15,MAX(0.1,Skills!D8-IF(Skills!E8=TRUE,Inputs!$B$32,0)))*(1-IF(AND(ArtifactsInput!$M$27,Inputs!$B$4="Chapter Hunt"),CHOOSE(ArtifactsInput!$N$27+1,20,24,28,32,36,40),0)/100)),0)</f>
        <v/>
      </c>
      <c r="R915">
        <f>IF(AND(Inputs!$B$38&lt;&gt;"pvp",Inputs!$B$43&gt;0),IF(MAX(0,Inputs!$B$43-B939)&lt;=0,0,(INT(MAX(0,Inputs!$B$43-B939)/(IF(Inputs!$B$38="pvp",15,MAX(0.1,Skills!D8-IF(Skills!E8=TRUE,Inputs!$B$32,0)))*(1-IF(AND(ArtifactsInput!$M$27,Inputs!$B$4="Chapter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Inputs!$B$3&gt;=110</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((Inputs!$B$6*(1+(Inputs!$B$7+1)/100))+(((Inputs!$B$12*(1+Inputs!$B$13/100))-(Inputs!$B$12*(1+Inputs!$B$13/100)))+0.25*(Inputs!$B$14-Inputs!$B$14))*(1+(Inputs!$B$7+1)/100))*(F916/100)</f>
        <v/>
      </c>
      <c r="K916">
        <f>J916*(1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927=TRUE)*(F927-Calc!F20)),(Inputs!$B$23+0+(IF(ArtifactsInput!$M$15,CHOOSE(ArtifactsInput!$N$15+1,25,30,35,40,45,50)/100*(Inputs!$B$11-Inputs!$B$11),0))))/100+(Inputs!$B$23+0+(IF(ArtifactsInput!$M$15,CHOOSE(ArtifactsInput!$N$15+1,25,30,35,40,45,50)/100*(Inputs!$B$11-Inputs!$B$11),0)))/100)/2</f>
        <v/>
      </c>
      <c r="M916">
        <f>L916*(1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IF(B942=0,0,O916/B942)</f>
        <v/>
      </c>
      <c r="Q916">
        <f>IFERROR(1/(IF(Inputs!$B$38="pvp",15,MAX(0.1,Skills!D9-IF(Skills!E9=TRUE,Inputs!$B$32,0)))*(1-IF(AND(ArtifactsInput!$M$27,Inputs!$B$4="Chapter Hunt"),CHOOSE(ArtifactsInput!$N$27+1,20,24,28,32,36,40),0)/100)),0)</f>
        <v/>
      </c>
      <c r="R916">
        <f>IF(AND(Inputs!$B$38&lt;&gt;"pvp",Inputs!$B$43&gt;0),IF(MAX(0,Inputs!$B$43-B939)&lt;=0,0,(INT(MAX(0,Inputs!$B$43-B939)/(IF(Inputs!$B$38="pvp",15,MAX(0.1,Skills!D9-IF(Skills!E9=TRUE,Inputs!$B$32,0)))*(1-IF(AND(ArtifactsInput!$M$27,Inputs!$B$4="Chapter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Inputs!$B$3&gt;=103</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((Inputs!$B$6*(1+(Inputs!$B$7+1)/100))+(((Inputs!$B$12*(1+Inputs!$B$13/100))-(Inputs!$B$12*(1+Inputs!$B$13/100)))+0.25*(Inputs!$B$14-Inputs!$B$14))*(1+(Inputs!$B$7+1)/100))*(F917/100)</f>
        <v/>
      </c>
      <c r="K917">
        <f>J917*(1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927=TRUE)*(F927-Calc!F20)),(Inputs!$B$23+0+(IF(ArtifactsInput!$M$15,CHOOSE(ArtifactsInput!$N$15+1,25,30,35,40,45,50)/100*(Inputs!$B$11-Inputs!$B$11),0))))/100+(Inputs!$B$23+0+(IF(ArtifactsInput!$M$15,CHOOSE(ArtifactsInput!$N$15+1,25,30,35,40,45,50)/100*(Inputs!$B$11-Inputs!$B$11),0)))/100)/2</f>
        <v/>
      </c>
      <c r="M917">
        <f>L917*(1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IF(B942=0,0,O917/B942)</f>
        <v/>
      </c>
      <c r="Q917">
        <f>IFERROR(1/(IF(Inputs!$B$38="pvp",15,MAX(0.1,Skills!D10-IF(Skills!E10=TRUE,Inputs!$B$32,0)))*(1-IF(AND(ArtifactsInput!$M$27,Inputs!$B$4="Chapter Hunt"),CHOOSE(ArtifactsInput!$N$27+1,20,24,28,32,36,40),0)/100)),0)</f>
        <v/>
      </c>
      <c r="R917">
        <f>IF(AND(Inputs!$B$38&lt;&gt;"pvp",Inputs!$B$43&gt;0),IF(MAX(0,Inputs!$B$43-B939)&lt;=0,0,(INT(MAX(0,Inputs!$B$43-B939)/(IF(Inputs!$B$38="pvp",15,MAX(0.1,Skills!D10-IF(Skills!E10=TRUE,Inputs!$B$32,0)))*(1-IF(AND(ArtifactsInput!$M$27,Inputs!$B$4="Chapter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Inputs!$B$3&gt;=113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((Inputs!$B$6*(1+(Inputs!$B$7+1)/100))+(((Inputs!$B$12*(1+Inputs!$B$13/100))-(Inputs!$B$12*(1+Inputs!$B$13/100)))+0.25*(Inputs!$B$14-Inputs!$B$14))*(1+(Inputs!$B$7+1)/100))*(F918/100)</f>
        <v/>
      </c>
      <c r="K918">
        <f>J918*(1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927=TRUE)*(F927-Calc!F20)),(Inputs!$B$23+0+(IF(ArtifactsInput!$M$15,CHOOSE(ArtifactsInput!$N$15+1,25,30,35,40,45,50)/100*(Inputs!$B$11-Inputs!$B$11),0))))/100+(Inputs!$B$23+0+(IF(ArtifactsInput!$M$15,CHOOSE(ArtifactsInput!$N$15+1,25,30,35,40,45,50)/100*(Inputs!$B$11-Inputs!$B$11),0)))/100)/2</f>
        <v/>
      </c>
      <c r="M918">
        <f>L918*(1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IF(B942=0,0,O918/B942)</f>
        <v/>
      </c>
      <c r="Q918">
        <f>IFERROR(1/(IF(Inputs!$B$38="pvp",15,MAX(0.1,Skills!D11-IF(Skills!E11=TRUE,Inputs!$B$32,0)))*(1-IF(AND(ArtifactsInput!$M$27,Inputs!$B$4="Chapter Hunt"),CHOOSE(ArtifactsInput!$N$27+1,20,24,28,32,36,40),0)/100)),0)</f>
        <v/>
      </c>
      <c r="R918">
        <f>IF(AND(Inputs!$B$38&lt;&gt;"pvp",Inputs!$B$43&gt;0),IF(MAX(0,Inputs!$B$43-B939)&lt;=0,0,(INT(MAX(0,Inputs!$B$43-B939)/(IF(Inputs!$B$38="pvp",15,MAX(0.1,Skills!D11-IF(Skills!E11=TRUE,Inputs!$B$32,0)))*(1-IF(AND(ArtifactsInput!$M$27,Inputs!$B$4="Chapter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c r="T919" t="inlineStr"/>
      <c r="V919" t="inlineStr"/>
    </row>
    <row r="920">
      <c r="A920">
        <f>Skills!A13</f>
        <v/>
      </c>
      <c r="B920">
        <f>Skills!B13</f>
        <v/>
      </c>
      <c r="C920">
        <f>Inputs!$B$3&gt;=66</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f>(1-Summary!$B$11)*T920+Summary!$B$11*V920</f>
        <v/>
      </c>
      <c r="P920">
        <f>IF(B942=0,0,O920/B942)</f>
        <v/>
      </c>
      <c r="Q920" t="n">
        <v>0</v>
      </c>
      <c r="R920" t="n">
        <v>0</v>
      </c>
      <c r="S920">
        <f>IFERROR(O920/N920,0)</f>
        <v/>
      </c>
      <c r="T920" t="n">
        <v>0</v>
      </c>
      <c r="V920" t="n">
        <v>0</v>
      </c>
    </row>
    <row r="921">
      <c r="A921">
        <f>Skills!A14</f>
        <v/>
      </c>
      <c r="B921">
        <f>Skills!B14</f>
        <v/>
      </c>
      <c r="C921">
        <f>Inputs!$B$3&gt;=107</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f>(1-Summary!$B$11)*T921+Summary!$B$11*V921</f>
        <v/>
      </c>
      <c r="P921">
        <f>IF(B942=0,0,O921/B942)</f>
        <v/>
      </c>
      <c r="Q921" t="n">
        <v>0</v>
      </c>
      <c r="R921" t="n">
        <v>0</v>
      </c>
      <c r="S921">
        <f>IFERROR(O921/N921,0)</f>
        <v/>
      </c>
      <c r="T921" t="n">
        <v>0</v>
      </c>
      <c r="V921" t="n">
        <v>0</v>
      </c>
    </row>
    <row r="922">
      <c r="A922">
        <f>Skills!A15</f>
        <v/>
      </c>
      <c r="B922">
        <f>Skills!B15</f>
        <v/>
      </c>
      <c r="C922">
        <f>Inputs!$B$3&gt;=115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f>(1-Summary!$B$11)*T922+Summary!$B$11*V922</f>
        <v/>
      </c>
      <c r="P922">
        <f>IF(B942=0,0,O922/B942)</f>
        <v/>
      </c>
      <c r="Q922" t="n">
        <v>0</v>
      </c>
      <c r="R922" t="n">
        <v>0</v>
      </c>
      <c r="S922">
        <f>IFERROR(O922/N922,0)</f>
        <v/>
      </c>
      <c r="T922" t="n">
        <v>0</v>
      </c>
      <c r="V922" t="n">
        <v>0</v>
      </c>
    </row>
    <row r="923">
      <c r="A923">
        <f>Skills!A16</f>
        <v/>
      </c>
      <c r="B923">
        <f>Skills!B16</f>
        <v/>
      </c>
      <c r="C923">
        <f>Inputs!$B$3&gt;=15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f>(1-Summary!$B$11)*T923+Summary!$B$11*V923</f>
        <v/>
      </c>
      <c r="P923">
        <f>IF(B942=0,0,O923/B942)</f>
        <v/>
      </c>
      <c r="Q923" t="n">
        <v>0</v>
      </c>
      <c r="R923" t="n">
        <v>0</v>
      </c>
      <c r="S923">
        <f>IFERROR(O923/N923,0)</f>
        <v/>
      </c>
      <c r="T923" t="n">
        <v>0</v>
      </c>
      <c r="V923" t="n">
        <v>0</v>
      </c>
    </row>
    <row r="924">
      <c r="A924">
        <f>Skills!A17</f>
        <v/>
      </c>
      <c r="B924">
        <f>Skills!B17</f>
        <v/>
      </c>
      <c r="C924">
        <f>Inputs!$B$3&gt;=10</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IF(B942=0,0,O924/B942)</f>
        <v/>
      </c>
      <c r="Q924" t="n">
        <v>0</v>
      </c>
      <c r="R924" t="n">
        <v>0</v>
      </c>
      <c r="S924">
        <f>IFERROR(O924/N924,0)</f>
        <v/>
      </c>
      <c r="T924" t="n">
        <v>0</v>
      </c>
      <c r="V924" t="n">
        <v>0</v>
      </c>
    </row>
    <row r="925">
      <c r="A925">
        <f>Skills!A18</f>
        <v/>
      </c>
      <c r="B925">
        <f>Skills!B18</f>
        <v/>
      </c>
      <c r="C925">
        <f>Inputs!$B$3&gt;=33</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IF(B942=0,0,O925/B942)</f>
        <v/>
      </c>
      <c r="Q925" t="n">
        <v>0</v>
      </c>
      <c r="R925" t="n">
        <v>0</v>
      </c>
      <c r="S925">
        <f>IFERROR(O925/N925,0)</f>
        <v/>
      </c>
      <c r="T925" t="n">
        <v>0</v>
      </c>
      <c r="V925" t="n">
        <v>0</v>
      </c>
    </row>
    <row r="926">
      <c r="A926">
        <f>Skills!A19</f>
        <v/>
      </c>
      <c r="B926">
        <f>Skills!B19</f>
        <v/>
      </c>
      <c r="C926">
        <f>Inputs!$B$3&gt;=40</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IF(B942=0,0,O926/B942)</f>
        <v/>
      </c>
      <c r="Q926" t="n">
        <v>0</v>
      </c>
      <c r="R926" t="n">
        <v>0</v>
      </c>
      <c r="S926">
        <f>IFERROR(O926/N926,0)</f>
        <v/>
      </c>
      <c r="T926" t="n">
        <v>0</v>
      </c>
      <c r="V926" t="n">
        <v>0</v>
      </c>
    </row>
    <row r="927">
      <c r="A927">
        <f>Skills!A20</f>
        <v/>
      </c>
      <c r="B927">
        <f>Skills!B20</f>
        <v/>
      </c>
      <c r="C927">
        <f>Inputs!$B$3&gt;=43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IF(B942=0,0,O927/B942)</f>
        <v/>
      </c>
      <c r="Q927" t="n">
        <v>0</v>
      </c>
      <c r="R927" t="n">
        <v>0</v>
      </c>
      <c r="S927">
        <f>IFERROR(O927/N927,0)</f>
        <v/>
      </c>
      <c r="T927" t="n">
        <v>0</v>
      </c>
      <c r="V927" t="n">
        <v>0</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IF(B942=0,0,O928/B942)</f>
        <v/>
      </c>
      <c r="Q928" t="n">
        <v>0</v>
      </c>
      <c r="R928" t="n">
        <v>0</v>
      </c>
      <c r="S928">
        <f>IFERROR(O928/N928,0)</f>
        <v/>
      </c>
      <c r="T928" t="n">
        <v>0</v>
      </c>
      <c r="V928" t="n">
        <v>0</v>
      </c>
    </row>
    <row r="929">
      <c r="A929">
        <f>Skills!A22</f>
        <v/>
      </c>
      <c r="B929">
        <f>Skills!B22</f>
        <v/>
      </c>
      <c r="C929">
        <f>Inputs!$B$3&gt;=75</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IF(B942=0,0,O929/B942)</f>
        <v/>
      </c>
      <c r="Q929" t="n">
        <v>0</v>
      </c>
      <c r="R929" t="n">
        <v>0</v>
      </c>
      <c r="S929">
        <f>IFERROR(O929/N929,0)</f>
        <v/>
      </c>
      <c r="T929" t="n">
        <v>0</v>
      </c>
      <c r="V929" t="n">
        <v>0</v>
      </c>
    </row>
    <row r="931">
      <c r="A931" t="inlineStr">
        <is>
          <t>Attack% Bucket Multiplier</t>
        </is>
      </c>
      <c r="B931">
        <f>(1+(((C920=TRUE)*F920)+((C926=TRUE)*(F926-Calc!F19))+(IF(ArtifactsInput!$M$21,CHOOSE(ArtifactsInput!$N$21+1,25,30,35,40,45,50)*(IF(OR(Inputs!$B$4="Chapter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2">
      <c r="A932" t="inlineStr">
        <is>
          <t>Global Crit Rate Bonus %</t>
        </is>
      </c>
      <c r="B932" t="n">
        <v>0</v>
      </c>
    </row>
    <row r="933">
      <c r="A933" t="inlineStr">
        <is>
          <t>Attack Speed Buff Bonus % (unused)</t>
        </is>
      </c>
      <c r="B933" t="n">
        <v>0</v>
      </c>
    </row>
    <row r="934">
      <c r="A934" t="inlineStr">
        <is>
          <t>Actions Per Second</t>
        </is>
      </c>
      <c r="B934">
        <f>1+MIN(150,150*(1-(1-(Inputs!$B$11+((C924=TRUE)*(F924-Calc!F17))+((C925=TRUE)*(F925-Calc!F18)))/150)*(1-B933/150)))/100</f>
        <v/>
      </c>
    </row>
    <row r="935">
      <c r="A935" t="inlineStr">
        <is>
          <t>Skill + Buff Cast Rate</t>
        </is>
      </c>
      <c r="B935">
        <f>IF(AND(Inputs!$B$38&lt;&gt;"pvp",Inputs!$B$43&gt;0),SUMPRODUCT((Skills!E2:E22=TRUE)*(C909:C929=TRUE)*R909:R929*Skills!F2:F22)/Inputs!$B$43,SUMPRODUCT((Skills!E2:E22=TRUE)*(C909:C929=TRUE)*Q909:Q929*Skills!F2:F22))</f>
        <v/>
      </c>
    </row>
    <row r="936">
      <c r="A936" t="inlineStr">
        <is>
          <t>Hook Bomber Casts Per Second</t>
        </is>
      </c>
      <c r="B936">
        <f>MAX(0,B934-B935)</f>
        <v/>
      </c>
    </row>
    <row r="937">
      <c r="A937" t="inlineStr">
        <is>
          <t>Global Critical Damage Bonus % (unused)</t>
        </is>
      </c>
      <c r="B937" t="n">
        <v>0</v>
      </c>
    </row>
    <row r="938">
      <c r="A938" t="inlineStr">
        <is>
          <t>Global Final Damage Bonus % (Serpent Scale + Crossbones + Time Leap + Speed Infusion)</t>
        </is>
      </c>
      <c r="B938">
        <f>((C912=TRUE)*F912*((10+IF(Inputs!$B$3&gt;=94,5,0))/((10+IF(Inputs!$B$3&gt;=94,5,0))+5/(B936*(1+IF(Inputs!$B$3&gt;=104,1,0))))))+((C921=TRUE)*F921)+((C922=TRUE)*F922)+((Inputs!$B$3&gt;=110)*20*(B934-1))</f>
        <v/>
      </c>
    </row>
    <row r="939">
      <c r="A939" t="inlineStr">
        <is>
          <t>Buff-Casting Startup Delay (s, fixed-duration only)</t>
        </is>
      </c>
      <c r="B939">
        <f>IF(AND(Inputs!$B$38&lt;&gt;"pvp",Inputs!$B$43&gt;0),SUMPRODUCT((Skills!T2:T22&gt;0)*(Skills!E2:E22=TRUE)*(C909:C929=TRUE))/B934,0)</f>
        <v/>
      </c>
    </row>
    <row r="940">
      <c r="A940" t="inlineStr">
        <is>
          <t>Boss-Only Total DPS (this block's swept value)</t>
        </is>
      </c>
      <c r="B940">
        <f>SUM(T909:T929)</f>
        <v/>
      </c>
    </row>
    <row r="941">
      <c r="A941" t="inlineStr">
        <is>
          <t>Normal-Only Total DPS (this block's swept value)</t>
        </is>
      </c>
      <c r="B941">
        <f>SUM(V909:V929)</f>
        <v/>
      </c>
    </row>
    <row r="942">
      <c r="A942" s="6" t="inlineStr">
        <is>
          <t>TOTAL DPS</t>
        </is>
      </c>
      <c r="B942" s="6">
        <f>SUM(O909:O929)</f>
        <v/>
      </c>
    </row>
    <row r="945">
      <c r="A945" s="6" t="inlineStr">
        <is>
          <t>Stat: Skill Cooldown Decrease (seconds)</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965=TRUE)*(F965-Calc!F20)),(Inputs!$B$23+0+(IF(ArtifactsInput!$M$15,CHOOSE(ArtifactsInput!$N$15+1,25,30,35,40,45,50)/100*(Inputs!$B$11-Inputs!$B$11),0))))/100+(Inputs!$B$23+0+(IF(ArtifactsInput!$M$15,CHOOSE(ArtifactsInput!$N$15+1,25,30,35,40,45,50)/100*(Inputs!$B$11-Inputs!$B$11),0)))/100)/2</f>
        <v/>
      </c>
      <c r="M947">
        <f>L947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IF(B980=0,0,O947/B980)</f>
        <v/>
      </c>
      <c r="Q947" t="n">
        <v>0</v>
      </c>
      <c r="R947" t="n">
        <v>0</v>
      </c>
      <c r="S947">
        <f>IFERROR(O947/N947,0)</f>
        <v/>
      </c>
      <c r="T947">
        <f>IF(C947,(Skills!G2*N947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MAX(0,(Inputs!$B$3-100)*3)+Inputs!$B$28+Inputs!$B$29</f>
        <v/>
      </c>
      <c r="V947">
        <f>IF(C947,(Skills!G2*N947*B974)*IF(Inputs!$B$38="pvp",1,(1+(Inputs!$B$21+Skills!Q2+(IF(ArtifactsInput!$M$33,CHOOSE(ArtifactsInput!$N$33+1,30,36,42,48,54,60),0))+(IF(AND(ArtifactsInput!$M$35,Inputs!$B$4&lt;&gt;"Chapter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Inputs!$B$3&gt;=35</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f>Skills!G3*IF(Skills!H3&gt;0,Skills!I3/Skills!H3,1)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965=TRUE)*(F965-Calc!F20)),(Inputs!$B$23+0+(IF(ArtifactsInput!$M$15,CHOOSE(ArtifactsInput!$N$15+1,25,30,35,40,45,50)/100*(Inputs!$B$11-Inputs!$B$11),0))))/100+(Inputs!$B$23+0+(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t="n">
        <v>0</v>
      </c>
      <c r="R948" t="n">
        <v>0</v>
      </c>
      <c r="S948">
        <f>IFERROR(O948/N948,0)</f>
        <v/>
      </c>
      <c r="T948">
        <f>IF(C948,(Skills!G3*H948*N948*B974)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8">
        <f>INDEX(FactorTable!$B$2:$Y$301, MATCH(ROUND(MIN(300,MAX(1,U947)),0), FactorTable!$A$2:$A$301,0), 22)</f>
        <v/>
      </c>
      <c r="V948">
        <f>IF(C948,(Skills!G3*H948*N948*B974)*IF(Inputs!$B$38="pvp",1,(1+(Inputs!$B$21+Skills!Q3+(IF(ArtifactsInput!$M$33,CHOOSE(ArtifactsInput!$N$33+1,30,36,42,48,54,60),0))+(IF(AND(ArtifactsInput!$M$35,Inputs!$B$4&lt;&gt;"Chapter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Skills!A4</f>
        <v/>
      </c>
      <c r="B949">
        <f>Skills!B4</f>
        <v/>
      </c>
      <c r="C949">
        <f>Inputs!$B$3&gt;=60</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957=TRUE,F957,0)/100)*(1+(IF(Skills!A4="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949)</f>
        <v/>
      </c>
      <c r="L949">
        <f>K949*(MIN(Inputs!$B$22+((C965=TRUE)*(F965-Calc!F20)),(Inputs!$B$23+0+(IF(ArtifactsInput!$M$15,CHOOSE(ArtifactsInput!$N$15+1,25,30,35,40,45,50)/100*(Inputs!$B$11-Inputs!$B$11),0))))/100+(Inputs!$B$23+0+(IF(ArtifactsInput!$M$15,CHOOSE(ArtifactsInput!$N$15+1,25,30,35,40,45,50)/100*(Inputs!$B$11-Inputs!$B$11),0)))/100)/2</f>
        <v/>
      </c>
      <c r="M949">
        <f>L949*(1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9">
        <f>L949*(1-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949*(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9">
        <f>(1-Summary!$B$11)*T949+Summary!$B$11*V949</f>
        <v/>
      </c>
      <c r="P949">
        <f>IF(B980=0,0,O949/B980)</f>
        <v/>
      </c>
      <c r="Q949" t="n">
        <v>0</v>
      </c>
      <c r="R949" t="n">
        <v>0</v>
      </c>
      <c r="S949">
        <f>IFERROR(O949/N949,0)</f>
        <v/>
      </c>
      <c r="T949">
        <f>IF(C949,(Skills!G4*H949*N949*B974)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9">
        <f>290*U948/1000</f>
        <v/>
      </c>
      <c r="V949">
        <f>IF(C949,(Skills!G4*H949*N949*B974)*IF(Inputs!$B$38="pvp",1,(1+(Inputs!$B$21+Skills!Q4+(IF(ArtifactsInput!$M$33,CHOOSE(ArtifactsInput!$N$33+1,30,36,42,48,54,60),0))+(IF(AND(ArtifactsInput!$M$35,Inputs!$B$4&lt;&gt;"Chapter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0">
      <c r="A950">
        <f>Skills!A5</f>
        <v/>
      </c>
      <c r="B950">
        <f>Skills!B5</f>
        <v/>
      </c>
      <c r="C950">
        <f>Inputs!$B$3&gt;=60</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Skills!A6</f>
        <v/>
      </c>
      <c r="B951">
        <f>Skills!B6</f>
        <v/>
      </c>
      <c r="C951">
        <f>Inputs!$B$3&gt;=63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965=TRUE)*(F965-Calc!F20)),(Inputs!$B$23+0+(IF(ArtifactsInput!$M$15,CHOOSE(ArtifactsInput!$N$15+1,25,30,35,40,45,50)/100*(Inputs!$B$11-Inputs!$B$11),0))))/100+(Inputs!$B$23+0+(IF(ArtifactsInput!$M$15,CHOOSE(ArtifactsInput!$N$15+1,25,30,35,40,45,50)/100*(Inputs!$B$11-Inputs!$B$11),0)))/100)/2</f>
        <v/>
      </c>
      <c r="M951">
        <f>L951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IF(B980=0,0,O951/B980)</f>
        <v/>
      </c>
      <c r="Q951">
        <f>IFERROR(1/(IF(Inputs!$B$38="pvp",15,MAX(0.1,Skills!D6-IF(Skills!E6=TRUE,(Inputs!$B$32+1),0)))*(1-IF(AND(ArtifactsInput!$M$27,Inputs!$B$4="Chapter Hunt"),CHOOSE(ArtifactsInput!$N$27+1,20,24,28,32,36,40),0)/100)),0)</f>
        <v/>
      </c>
      <c r="R951">
        <f>IF(AND(Inputs!$B$38&lt;&gt;"pvp",Inputs!$B$43&gt;0),IF(MAX(0,Inputs!$B$43-B977)&lt;=0,0,(INT(MAX(0,Inputs!$B$43-B977)/(IF(Inputs!$B$38="pvp",15,MAX(0.1,Skills!D6-IF(Skills!E6=TRUE,(Inputs!$B$32+1),0)))*(1-IF(AND(ArtifactsInput!$M$27,Inputs!$B$4="Chapter Hunt"),CHOOSE(ArtifactsInput!$N$27+1,20,24,28,32,36,40),0)/100)))+1)),0)</f>
        <v/>
      </c>
      <c r="S951">
        <f>IFERROR(O951/N951,0)</f>
        <v/>
      </c>
      <c r="T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Inputs!$B$3&gt;=100</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C965=TRUE)*(F965-Calc!F20)),(Inputs!$B$23+0+(IF(ArtifactsInput!$M$15,CHOOSE(ArtifactsInput!$N$15+1,25,30,35,40,45,50)/100*(Inputs!$B$11-Inputs!$B$11),0))))/100+(Inputs!$B$23+0+(IF(ArtifactsInput!$M$15,CHOOSE(ArtifactsInput!$N$15+1,25,30,35,40,45,50)/100*(Inputs!$B$11-Inputs!$B$11),0)))/100)/2</f>
        <v/>
      </c>
      <c r="M952">
        <f>L952*(1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(1-Summary!$B$11)*T952+Summary!$B$11*V952</f>
        <v/>
      </c>
      <c r="P952">
        <f>IF(B980=0,0,O952/B980)</f>
        <v/>
      </c>
      <c r="Q952">
        <f>IFERROR(1/(IF(Inputs!$B$38="pvp",15,MAX(0.1,Skills!D7-IF(Skills!E7=TRUE,(Inputs!$B$32+1),0)))*(1-IF(AND(ArtifactsInput!$M$27,Inputs!$B$4="Chapter Hunt"),CHOOSE(ArtifactsInput!$N$27+1,20,24,28,32,36,40),0)/100)),0)</f>
        <v/>
      </c>
      <c r="R952">
        <f>IF(AND(Inputs!$B$38&lt;&gt;"pvp",Inputs!$B$43&gt;0),IF(MAX(0,Inputs!$B$43-B977)&lt;=0,0,(INT(MAX(0,Inputs!$B$43-B977)/(IF(Inputs!$B$38="pvp",15,MAX(0.1,Skills!D7-IF(Skills!E7=TRUE,(Inputs!$B$32+1),0)))*(1-IF(AND(ArtifactsInput!$M$27,Inputs!$B$4="Chapter Hunt"),CHOOSE(ArtifactsInput!$N$27+1,20,24,28,32,36,40),0)/100)))+1)),0)</f>
        <v/>
      </c>
      <c r="S952">
        <f>IFERROR(O952/N952,0)</f>
        <v/>
      </c>
      <c r="T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$21+Skills!Q7+(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3">
      <c r="A953">
        <f>Skills!A8</f>
        <v/>
      </c>
      <c r="B953">
        <f>Skills!B8</f>
        <v/>
      </c>
      <c r="C953">
        <f>Inputs!$B$3&gt;=110</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965=TRUE)*(F965-Calc!F20)),(Inputs!$B$23+0+(IF(ArtifactsInput!$M$15,CHOOSE(ArtifactsInput!$N$15+1,25,30,35,40,45,50)/100*(Inputs!$B$11-Inputs!$B$11),0))))/100+(Inputs!$B$23+0+(IF(ArtifactsInput!$M$15,CHOOSE(ArtifactsInput!$N$15+1,25,30,35,40,45,50)/100*(Inputs!$B$11-Inputs!$B$11),0)))/100)/2</f>
        <v/>
      </c>
      <c r="M953">
        <f>L953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IF(B980=0,0,O953/B980)</f>
        <v/>
      </c>
      <c r="Q953">
        <f>IFERROR(1/(IF(Inputs!$B$38="pvp",15,MAX(0.1,Skills!D8-IF(Skills!E8=TRUE,(Inputs!$B$32+1),0)))*(1-IF(AND(ArtifactsInput!$M$27,Inputs!$B$4="Chapter Hunt"),CHOOSE(ArtifactsInput!$N$27+1,20,24,28,32,36,40),0)/100)),0)</f>
        <v/>
      </c>
      <c r="R953">
        <f>IF(AND(Inputs!$B$38&lt;&gt;"pvp",Inputs!$B$43&gt;0),IF(MAX(0,Inputs!$B$43-B977)&lt;=0,0,(INT(MAX(0,Inputs!$B$43-B977)/(IF(Inputs!$B$38="pvp",15,MAX(0.1,Skills!D8-IF(Skills!E8=TRUE,(Inputs!$B$32+1),0)))*(1-IF(AND(ArtifactsInput!$M$27,Inputs!$B$4="Chapter Hunt"),CHOOSE(ArtifactsInput!$N$27+1,20,24,28,32,36,40),0)/100)))+1)),0)</f>
        <v/>
      </c>
      <c r="S953">
        <f>IFERROR(O953/N953,0)</f>
        <v/>
      </c>
      <c r="T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Inputs!$B$3&gt;=110</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965=TRUE)*(F965-Calc!F20)),(Inputs!$B$23+0+(IF(ArtifactsInput!$M$15,CHOOSE(ArtifactsInput!$N$15+1,25,30,35,40,45,50)/100*(Inputs!$B$11-Inputs!$B$11),0))))/100+(Inputs!$B$23+0+(IF(ArtifactsInput!$M$15,CHOOSE(ArtifactsInput!$N$15+1,25,30,35,40,45,50)/100*(Inputs!$B$11-Inputs!$B$11),0)))/100)/2</f>
        <v/>
      </c>
      <c r="M954">
        <f>L954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IF(B980=0,0,O954/B980)</f>
        <v/>
      </c>
      <c r="Q954">
        <f>IFERROR(1/(IF(Inputs!$B$38="pvp",15,MAX(0.1,Skills!D9-IF(Skills!E9=TRUE,(Inputs!$B$32+1),0)))*(1-IF(AND(ArtifactsInput!$M$27,Inputs!$B$4="Chapter Hunt"),CHOOSE(ArtifactsInput!$N$27+1,20,24,28,32,36,40),0)/100)),0)</f>
        <v/>
      </c>
      <c r="R954">
        <f>IF(AND(Inputs!$B$38&lt;&gt;"pvp",Inputs!$B$43&gt;0),IF(MAX(0,Inputs!$B$43-B977)&lt;=0,0,(INT(MAX(0,Inputs!$B$43-B977)/(IF(Inputs!$B$38="pvp",15,MAX(0.1,Skills!D9-IF(Skills!E9=TRUE,(Inputs!$B$32+1),0)))*(1-IF(AND(ArtifactsInput!$M$27,Inputs!$B$4="Chapter Hunt"),CHOOSE(ArtifactsInput!$N$27+1,20,24,28,32,36,40),0)/100)))+1)),0)</f>
        <v/>
      </c>
      <c r="S954">
        <f>IFERROR(O954/N954,0)</f>
        <v/>
      </c>
      <c r="T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Inputs!$B$3&gt;=103</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965=TRUE)*(F965-Calc!F20)),(Inputs!$B$23+0+(IF(ArtifactsInput!$M$15,CHOOSE(ArtifactsInput!$N$15+1,25,30,35,40,45,50)/100*(Inputs!$B$11-Inputs!$B$11),0))))/100+(Inputs!$B$23+0+(IF(ArtifactsInput!$M$15,CHOOSE(ArtifactsInput!$N$15+1,25,30,35,40,45,50)/100*(Inputs!$B$11-Inputs!$B$11),0)))/100)/2</f>
        <v/>
      </c>
      <c r="M955">
        <f>L955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IF(B980=0,0,O955/B980)</f>
        <v/>
      </c>
      <c r="Q955">
        <f>IFERROR(1/(IF(Inputs!$B$38="pvp",15,MAX(0.1,Skills!D10-IF(Skills!E10=TRUE,(Inputs!$B$32+1),0)))*(1-IF(AND(ArtifactsInput!$M$27,Inputs!$B$4="Chapter Hunt"),CHOOSE(ArtifactsInput!$N$27+1,20,24,28,32,36,40),0)/100)),0)</f>
        <v/>
      </c>
      <c r="R955">
        <f>IF(AND(Inputs!$B$38&lt;&gt;"pvp",Inputs!$B$43&gt;0),IF(MAX(0,Inputs!$B$43-B977)&lt;=0,0,(INT(MAX(0,Inputs!$B$43-B977)/(IF(Inputs!$B$38="pvp",15,MAX(0.1,Skills!D10-IF(Skills!E10=TRUE,(Inputs!$B$32+1),0)))*(1-IF(AND(ArtifactsInput!$M$27,Inputs!$B$4="Chapter Hunt"),CHOOSE(ArtifactsInput!$N$27+1,20,24,28,32,36,40),0)/100)))+1)),0)</f>
        <v/>
      </c>
      <c r="S955">
        <f>IFERROR(O955/N955,0)</f>
        <v/>
      </c>
      <c r="T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Skills!A11</f>
        <v/>
      </c>
      <c r="B956">
        <f>Skills!B11</f>
        <v/>
      </c>
      <c r="C956">
        <f>Inputs!$B$3&gt;=113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965=TRUE)*(F965-Calc!F20)),(Inputs!$B$23+0+(IF(ArtifactsInput!$M$15,CHOOSE(ArtifactsInput!$N$15+1,25,30,35,40,45,50)/100*(Inputs!$B$11-Inputs!$B$11),0))))/100+(Inputs!$B$23+0+(IF(ArtifactsInput!$M$15,CHOOSE(ArtifactsInput!$N$15+1,25,30,35,40,45,50)/100*(Inputs!$B$11-Inputs!$B$11),0)))/100)/2</f>
        <v/>
      </c>
      <c r="M956">
        <f>L956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IF(B980=0,0,O956/B980)</f>
        <v/>
      </c>
      <c r="Q956">
        <f>IFERROR(1/(IF(Inputs!$B$38="pvp",15,MAX(0.1,Skills!D11-IF(Skills!E11=TRUE,(Inputs!$B$32+1),0)))*(1-IF(AND(ArtifactsInput!$M$27,Inputs!$B$4="Chapter Hunt"),CHOOSE(ArtifactsInput!$N$27+1,20,24,28,32,36,40),0)/100)),0)</f>
        <v/>
      </c>
      <c r="R956">
        <f>IF(AND(Inputs!$B$38&lt;&gt;"pvp",Inputs!$B$43&gt;0),IF(MAX(0,Inputs!$B$43-B977)&lt;=0,0,(INT(MAX(0,Inputs!$B$43-B977)/(IF(Inputs!$B$38="pvp",15,MAX(0.1,Skills!D11-IF(Skills!E11=TRUE,(Inputs!$B$32+1),0)))*(1-IF(AND(ArtifactsInput!$M$27,Inputs!$B$4="Chapter Hunt"),CHOOSE(ArtifactsInput!$N$27+1,20,24,28,32,36,40),0)/100)))+1)),0)</f>
        <v/>
      </c>
      <c r="S956">
        <f>IFERROR(O956/N956,0)</f>
        <v/>
      </c>
      <c r="T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Inputs!$B$3&gt;=66</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Skills!A14</f>
        <v/>
      </c>
      <c r="B959">
        <f>Skills!B14</f>
        <v/>
      </c>
      <c r="C959">
        <f>Inputs!$B$3&gt;=107</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Skills!A15</f>
        <v/>
      </c>
      <c r="B960">
        <f>Skills!B15</f>
        <v/>
      </c>
      <c r="C960">
        <f>Inputs!$B$3&gt;=115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Skills!A16</f>
        <v/>
      </c>
      <c r="B961">
        <f>Skills!B16</f>
        <v/>
      </c>
      <c r="C961">
        <f>Inputs!$B$3&gt;=15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Skills!A17</f>
        <v/>
      </c>
      <c r="B962">
        <f>Skills!B17</f>
        <v/>
      </c>
      <c r="C962">
        <f>Inputs!$B$3&gt;=10</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Skills!A18</f>
        <v/>
      </c>
      <c r="B963">
        <f>Skills!B18</f>
        <v/>
      </c>
      <c r="C963">
        <f>Inputs!$B$3&gt;=33</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Skills!A19</f>
        <v/>
      </c>
      <c r="B964">
        <f>Skills!B19</f>
        <v/>
      </c>
      <c r="C964">
        <f>Inputs!$B$3&gt;=40</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Skills!A20</f>
        <v/>
      </c>
      <c r="B965">
        <f>Skills!B20</f>
        <v/>
      </c>
      <c r="C965">
        <f>Inputs!$B$3&gt;=43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Skills!A22</f>
        <v/>
      </c>
      <c r="B967">
        <f>Skills!B22</f>
        <v/>
      </c>
      <c r="C967">
        <f>Inputs!$B$3&gt;=75</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 (unused)</t>
        </is>
      </c>
      <c r="B971" t="n">
        <v>0</v>
      </c>
    </row>
    <row r="972">
      <c r="A972" t="inlineStr">
        <is>
          <t>Actions Per Second</t>
        </is>
      </c>
      <c r="B972">
        <f>1+MIN(150,150*(1-(1-(Inputs!$B$11+((C962=TRUE)*(F962-Calc!F17))+((C963=TRUE)*(F963-Calc!F18)))/150)*(1-B971/150)))/100</f>
        <v/>
      </c>
    </row>
    <row r="973">
      <c r="A973" t="inlineStr">
        <is>
          <t>Skill + Buff Cast Rate</t>
        </is>
      </c>
      <c r="B973">
        <f>IF(AND(Inputs!$B$38&lt;&gt;"pvp",Inputs!$B$43&gt;0),SUMPRODUCT((Skills!E2:E22=TRUE)*(C947:C967=TRUE)*R947:R967*Skills!F2:F22)/Inputs!$B$43,SUMPRODUCT((Skills!E2:E22=TRUE)*(C947:C967=TRUE)*Q947:Q967*Skills!F2:F22))</f>
        <v/>
      </c>
    </row>
    <row r="974">
      <c r="A974" t="inlineStr">
        <is>
          <t>Hook Bomber Casts Per Second</t>
        </is>
      </c>
      <c r="B974">
        <f>MAX(0,B972-B973)</f>
        <v/>
      </c>
    </row>
    <row r="975">
      <c r="A975" t="inlineStr">
        <is>
          <t>Global Critical Damage Bonus % (unused)</t>
        </is>
      </c>
      <c r="B975" t="n">
        <v>0</v>
      </c>
    </row>
    <row r="976">
      <c r="A976" t="inlineStr">
        <is>
          <t>Global Final Damage Bonus % (Serpent Scale + Crossbones + Time Leap + Speed Infusion)</t>
        </is>
      </c>
      <c r="B976">
        <f>((C950=TRUE)*F950*((10+IF(Inputs!$B$3&gt;=94,5,0))/((10+IF(Inputs!$B$3&gt;=94,5,0))+5/(B974*(1+IF(Inputs!$B$3&gt;=104,1,0))))))+((C959=TRUE)*F959)+((C960=TRUE)*F960)+((Inputs!$B$3&gt;=110)*20*(B972-1))</f>
        <v/>
      </c>
    </row>
    <row r="977">
      <c r="A977" t="inlineStr">
        <is>
          <t>Buff-Casting Startup Delay (s, fixed-duration only)</t>
        </is>
      </c>
      <c r="B977">
        <f>IF(AND(Inputs!$B$38&lt;&gt;"pvp",Inputs!$B$43&gt;0),SUMPRODUCT((Skills!T2:T22&gt;0)*(Skills!E2:E22=TRUE)*(C947:C967=TRUE))/B972,0)</f>
        <v/>
      </c>
    </row>
    <row r="978">
      <c r="A978" t="inlineStr">
        <is>
          <t>Boss-Only Total DPS (this block's swept value)</t>
        </is>
      </c>
      <c r="B978">
        <f>SUM(T947:T967)</f>
        <v/>
      </c>
    </row>
    <row r="979">
      <c r="A979" t="inlineStr">
        <is>
          <t>Normal-Only Total DPS (this block's swept value)</t>
        </is>
      </c>
      <c r="B979">
        <f>SUM(V947:V967)</f>
        <v/>
      </c>
    </row>
    <row r="980">
      <c r="A980" s="6" t="inlineStr">
        <is>
          <t>TOTAL DPS</t>
        </is>
      </c>
      <c r="B980" s="6">
        <f>SUM(O947:O967)</f>
        <v/>
      </c>
    </row>
    <row r="983">
      <c r="A983" s="6" t="inlineStr">
        <is>
          <t>Stat: Basic Attack Target Increase (flat)</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1003=TRUE)*(F1003-Calc!F20)),(Inputs!$B$23+0+(IF(ArtifactsInput!$M$15,CHOOSE(ArtifactsInput!$N$15+1,25,30,35,40,45,50)/100*(Inputs!$B$11-Inputs!$B$11),0))))/100+(Inputs!$B$23+0+(IF(ArtifactsInput!$M$15,CHOOSE(ArtifactsInput!$N$15+1,25,30,35,40,45,50)/100*(Inputs!$B$11-Inputs!$B$11),0)))/100)/2</f>
        <v/>
      </c>
      <c r="M985">
        <f>L985*(1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IF(B1018=0,0,O985/B1018)</f>
        <v/>
      </c>
      <c r="Q985" t="n">
        <v>0</v>
      </c>
      <c r="R985" t="n">
        <v>0</v>
      </c>
      <c r="S985">
        <f>IFERROR(O985/N985,0)</f>
        <v/>
      </c>
      <c r="T985">
        <f>IF(C985,(Skills!G2*N985*B1012)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MAX(0,(Inputs!$B$3-100)*3)+Inputs!$B$28+Inputs!$B$29</f>
        <v/>
      </c>
      <c r="V985">
        <f>IF(C985,(Skills!G2*N985*B1012)*IF(Inputs!$B$38="pvp",1,(1+(Inputs!$B$21+Skills!Q2+(IF(ArtifactsInput!$M$33,CHOOSE(ArtifactsInput!$N$33+1,30,36,42,48,54,60),0))+(IF(AND(ArtifactsInput!$M$35,Inputs!$B$4&lt;&gt;"Chapter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Inputs!$B$3&gt;=35</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1003=TRUE)*(F1003-Calc!F20)),(Inputs!$B$23+0+(IF(ArtifactsInput!$M$15,CHOOSE(ArtifactsInput!$N$15+1,25,30,35,40,45,50)/100*(Inputs!$B$11-Inputs!$B$11),0))))/100+(Inputs!$B$23+0+(IF(ArtifactsInput!$M$15,CHOOSE(ArtifactsInput!$N$15+1,25,30,35,40,45,50)/100*(Inputs!$B$11-Inputs!$B$11),0)))/100)/2</f>
        <v/>
      </c>
      <c r="M986">
        <f>L986*(1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IF(B1018=0,0,O986/B1018)</f>
        <v/>
      </c>
      <c r="Q986" t="n">
        <v>0</v>
      </c>
      <c r="R986" t="n">
        <v>0</v>
      </c>
      <c r="S986">
        <f>IFERROR(O986/N986,0)</f>
        <v/>
      </c>
      <c r="T986">
        <f>IF(C986,(Skills!G3*H986*N986*B1012)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IF(C986,(Skills!G3*H986*N986*B1012)*IF(Inputs!$B$38="pvp",1,(1+(Inputs!$B$21+Skills!Q3+(IF(ArtifactsInput!$M$33,CHOOSE(ArtifactsInput!$N$33+1,30,36,42,48,54,60),0))+(IF(AND(ArtifactsInput!$M$35,Inputs!$B$4&lt;&gt;"Chapter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Inputs!$B$3&gt;=60</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4="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1003=TRUE)*(F1003-Calc!F20)),(Inputs!$B$23+0+(IF(ArtifactsInput!$M$15,CHOOSE(ArtifactsInput!$N$15+1,25,30,35,40,45,50)/100*(Inputs!$B$11-Inputs!$B$11),0))))/100+(Inputs!$B$23+0+(IF(ArtifactsInput!$M$15,CHOOSE(ArtifactsInput!$N$15+1,25,30,35,40,45,50)/100*(Inputs!$B$11-Inputs!$B$11),0)))/100)/2</f>
        <v/>
      </c>
      <c r="M987">
        <f>L987*(1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IF(B1018=0,0,O987/B1018)</f>
        <v/>
      </c>
      <c r="Q987" t="n">
        <v>0</v>
      </c>
      <c r="R987" t="n">
        <v>0</v>
      </c>
      <c r="S987">
        <f>IFERROR(O987/N987,0)</f>
        <v/>
      </c>
      <c r="T987">
        <f>IF(C987,(Skills!G4*H987*N987*B1012)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7">
        <f>290*U986/1000</f>
        <v/>
      </c>
      <c r="V987">
        <f>IF(C987,(Skills!G4*H987*N987*B1012)*IF(Inputs!$B$38="pvp",1,(1+(Inputs!$B$21+Skills!Q4+(IF(ArtifactsInput!$M$33,CHOOSE(ArtifactsInput!$N$33+1,30,36,42,48,54,60),0))+(IF(AND(ArtifactsInput!$M$35,Inputs!$B$4&lt;&gt;"Chapter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Skills!A5</f>
        <v/>
      </c>
      <c r="B988">
        <f>Skills!B5</f>
        <v/>
      </c>
      <c r="C988">
        <f>Inputs!$B$3&gt;=60</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t="inlineStr"/>
      <c r="K988" t="inlineStr"/>
      <c r="L988" t="inlineStr"/>
      <c r="M988" t="inlineStr"/>
      <c r="N988" t="inlineStr"/>
      <c r="O988">
        <f>(1-Summary!$B$11)*T988+Summary!$B$11*V988</f>
        <v/>
      </c>
      <c r="P988">
        <f>IF(B1018=0,0,O988/B1018)</f>
        <v/>
      </c>
      <c r="Q988" t="n">
        <v>0</v>
      </c>
      <c r="R988" t="n">
        <v>0</v>
      </c>
      <c r="S988">
        <f>IFERROR(O988/N988,0)</f>
        <v/>
      </c>
      <c r="T988" t="n">
        <v>0</v>
      </c>
      <c r="V988" t="n">
        <v>0</v>
      </c>
    </row>
    <row r="989">
      <c r="A989">
        <f>Skills!A6</f>
        <v/>
      </c>
      <c r="B989">
        <f>Skills!B6</f>
        <v/>
      </c>
      <c r="C989">
        <f>Inputs!$B$3&gt;=63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1003=TRUE)*(F1003-Calc!F20)),(Inputs!$B$23+0+(IF(ArtifactsInput!$M$15,CHOOSE(ArtifactsInput!$N$15+1,25,30,35,40,45,50)/100*(Inputs!$B$11-Inputs!$B$11),0))))/100+(Inputs!$B$23+0+(IF(ArtifactsInput!$M$15,CHOOSE(ArtifactsInput!$N$15+1,25,30,35,40,45,50)/100*(Inputs!$B$11-Inputs!$B$11),0)))/100)/2</f>
        <v/>
      </c>
      <c r="M989">
        <f>L989*(1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IF(B1018=0,0,O989/B1018)</f>
        <v/>
      </c>
      <c r="Q989">
        <f>IFERROR(1/(IF(Inputs!$B$38="pvp",15,MAX(0.1,Skills!D6-IF(Skills!E6=TRUE,Inputs!$B$32,0)))*(1-IF(AND(ArtifactsInput!$M$27,Inputs!$B$4="Chapter Hunt"),CHOOSE(ArtifactsInput!$N$27+1,20,24,28,32,36,40),0)/100)),0)</f>
        <v/>
      </c>
      <c r="R989">
        <f>IF(AND(Inputs!$B$38&lt;&gt;"pvp",Inputs!$B$43&gt;0),IF(MAX(0,Inputs!$B$43-B1015)&lt;=0,0,(INT(MAX(0,Inputs!$B$43-B1015)/(IF(Inputs!$B$38="pvp",15,MAX(0.1,Skills!D6-IF(Skills!E6=TRUE,Inputs!$B$32,0)))*(1-IF(AND(ArtifactsInput!$M$27,Inputs!$B$4="Chapter Hunt"),CHOOSE(ArtifactsInput!$N$27+1,20,24,28,32,36,40),0)/100)))+1)),0)</f>
        <v/>
      </c>
      <c r="S989">
        <f>IFERROR(O989/N989,0)</f>
        <v/>
      </c>
      <c r="T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$21+Skills!Q6+(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Inputs!$B$3&gt;=100</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990)</f>
        <v/>
      </c>
      <c r="L990">
        <f>K990*(MIN(Inputs!$B$22+((C1003=TRUE)*(F1003-Calc!F20)),(Inputs!$B$23+0+(IF(ArtifactsInput!$M$15,CHOOSE(ArtifactsInput!$N$15+1,25,30,35,40,45,50)/100*(Inputs!$B$11-Inputs!$B$11),0))))/100+(Inputs!$B$23+0+(IF(ArtifactsInput!$M$15,CHOOSE(ArtifactsInput!$N$15+1,25,30,35,40,45,50)/100*(Inputs!$B$11-Inputs!$B$11),0)))/100)/2</f>
        <v/>
      </c>
      <c r="M990">
        <f>L990*(1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0">
        <f>L990*(1-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990*(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0">
        <f>(1-Summary!$B$11)*T990+Summary!$B$11*V990</f>
        <v/>
      </c>
      <c r="P990">
        <f>IF(B1018=0,0,O990/B1018)</f>
        <v/>
      </c>
      <c r="Q990">
        <f>IFERROR(1/(IF(Inputs!$B$38="pvp",15,MAX(0.1,Skills!D7-IF(Skills!E7=TRUE,Inputs!$B$32,0)))*(1-IF(AND(ArtifactsInput!$M$27,Inputs!$B$4="Chapter Hunt"),CHOOSE(ArtifactsInput!$N$27+1,20,24,28,32,36,40),0)/100)),0)</f>
        <v/>
      </c>
      <c r="R990">
        <f>IF(AND(Inputs!$B$38&lt;&gt;"pvp",Inputs!$B$43&gt;0),IF(MAX(0,Inputs!$B$43-B1015)&lt;=0,0,(INT(MAX(0,Inputs!$B$43-B1015)/(IF(Inputs!$B$38="pvp",15,MAX(0.1,Skills!D7-IF(Skills!E7=TRUE,Inputs!$B$32,0)))*(1-IF(AND(ArtifactsInput!$M$27,Inputs!$B$4="Chapter Hunt"),CHOOSE(ArtifactsInput!$N$27+1,20,24,28,32,36,40),0)/100)))+1)),0)</f>
        <v/>
      </c>
      <c r="S990">
        <f>IFERROR(O990/N990,0)</f>
        <v/>
      </c>
      <c r="T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$21+Skills!Q7+(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1">
      <c r="A991">
        <f>Skills!A8</f>
        <v/>
      </c>
      <c r="B991">
        <f>Skills!B8</f>
        <v/>
      </c>
      <c r="C991">
        <f>Inputs!$B$3&gt;=110</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1003=TRUE)*(F1003-Calc!F20)),(Inputs!$B$23+0+(IF(ArtifactsInput!$M$15,CHOOSE(ArtifactsInput!$N$15+1,25,30,35,40,45,50)/100*(Inputs!$B$11-Inputs!$B$11),0))))/100+(Inputs!$B$23+0+(IF(ArtifactsInput!$M$15,CHOOSE(ArtifactsInput!$N$15+1,25,30,35,40,45,50)/100*(Inputs!$B$11-Inputs!$B$11),0)))/100)/2</f>
        <v/>
      </c>
      <c r="M991">
        <f>L991*(1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IF(B1018=0,0,O991/B1018)</f>
        <v/>
      </c>
      <c r="Q991">
        <f>IFERROR(1/(IF(Inputs!$B$38="pvp",15,MAX(0.1,Skills!D8-IF(Skills!E8=TRUE,Inputs!$B$32,0)))*(1-IF(AND(ArtifactsInput!$M$27,Inputs!$B$4="Chapter Hunt"),CHOOSE(ArtifactsInput!$N$27+1,20,24,28,32,36,40),0)/100)),0)</f>
        <v/>
      </c>
      <c r="R991">
        <f>IF(AND(Inputs!$B$38&lt;&gt;"pvp",Inputs!$B$43&gt;0),IF(MAX(0,Inputs!$B$43-B1015)&lt;=0,0,(INT(MAX(0,Inputs!$B$43-B1015)/(IF(Inputs!$B$38="pvp",15,MAX(0.1,Skills!D8-IF(Skills!E8=TRUE,Inputs!$B$32,0)))*(1-IF(AND(ArtifactsInput!$M$27,Inputs!$B$4="Chapter Hunt"),CHOOSE(ArtifactsInput!$N$27+1,20,24,28,32,36,40),0)/100)))+1)),0)</f>
        <v/>
      </c>
      <c r="S991">
        <f>IFERROR(O991/N991,0)</f>
        <v/>
      </c>
      <c r="T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$21+Skills!Q8+(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Inputs!$B$3&gt;=110</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1003=TRUE)*(F1003-Calc!F20)),(Inputs!$B$23+0+(IF(ArtifactsInput!$M$15,CHOOSE(ArtifactsInput!$N$15+1,25,30,35,40,45,50)/100*(Inputs!$B$11-Inputs!$B$11),0))))/100+(Inputs!$B$23+0+(IF(ArtifactsInput!$M$15,CHOOSE(ArtifactsInput!$N$15+1,25,30,35,40,45,50)/100*(Inputs!$B$11-Inputs!$B$11),0)))/100)/2</f>
        <v/>
      </c>
      <c r="M992">
        <f>L992*(1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IF(B1018=0,0,O992/B1018)</f>
        <v/>
      </c>
      <c r="Q992">
        <f>IFERROR(1/(IF(Inputs!$B$38="pvp",15,MAX(0.1,Skills!D9-IF(Skills!E9=TRUE,Inputs!$B$32,0)))*(1-IF(AND(ArtifactsInput!$M$27,Inputs!$B$4="Chapter Hunt"),CHOOSE(ArtifactsInput!$N$27+1,20,24,28,32,36,40),0)/100)),0)</f>
        <v/>
      </c>
      <c r="R992">
        <f>IF(AND(Inputs!$B$38&lt;&gt;"pvp",Inputs!$B$43&gt;0),IF(MAX(0,Inputs!$B$43-B1015)&lt;=0,0,(INT(MAX(0,Inputs!$B$43-B1015)/(IF(Inputs!$B$38="pvp",15,MAX(0.1,Skills!D9-IF(Skills!E9=TRUE,Inputs!$B$32,0)))*(1-IF(AND(ArtifactsInput!$M$27,Inputs!$B$4="Chapter Hunt"),CHOOSE(ArtifactsInput!$N$27+1,20,24,28,32,36,40),0)/100)))+1)),0)</f>
        <v/>
      </c>
      <c r="S992">
        <f>IFERROR(O992/N992,0)</f>
        <v/>
      </c>
      <c r="T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$21+Skills!Q9+(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Inputs!$B$3&gt;=103</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1003=TRUE)*(F1003-Calc!F20)),(Inputs!$B$23+0+(IF(ArtifactsInput!$M$15,CHOOSE(ArtifactsInput!$N$15+1,25,30,35,40,45,50)/100*(Inputs!$B$11-Inputs!$B$11),0))))/100+(Inputs!$B$23+0+(IF(ArtifactsInput!$M$15,CHOOSE(ArtifactsInput!$N$15+1,25,30,35,40,45,50)/100*(Inputs!$B$11-Inputs!$B$11),0)))/100)/2</f>
        <v/>
      </c>
      <c r="M993">
        <f>L993*(1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IF(B1018=0,0,O993/B1018)</f>
        <v/>
      </c>
      <c r="Q993">
        <f>IFERROR(1/(IF(Inputs!$B$38="pvp",15,MAX(0.1,Skills!D10-IF(Skills!E10=TRUE,Inputs!$B$32,0)))*(1-IF(AND(ArtifactsInput!$M$27,Inputs!$B$4="Chapter Hunt"),CHOOSE(ArtifactsInput!$N$27+1,20,24,28,32,36,40),0)/100)),0)</f>
        <v/>
      </c>
      <c r="R993">
        <f>IF(AND(Inputs!$B$38&lt;&gt;"pvp",Inputs!$B$43&gt;0),IF(MAX(0,Inputs!$B$43-B1015)&lt;=0,0,(INT(MAX(0,Inputs!$B$43-B1015)/(IF(Inputs!$B$38="pvp",15,MAX(0.1,Skills!D10-IF(Skills!E10=TRUE,Inputs!$B$32,0)))*(1-IF(AND(ArtifactsInput!$M$27,Inputs!$B$4="Chapter Hunt"),CHOOSE(ArtifactsInput!$N$27+1,20,24,28,32,36,40),0)/100)))+1)),0)</f>
        <v/>
      </c>
      <c r="S993">
        <f>IFERROR(O993/N993,0)</f>
        <v/>
      </c>
      <c r="T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$21+Skills!Q10+(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Inputs!$B$3&gt;=113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1003=TRUE)*(F1003-Calc!F20)),(Inputs!$B$23+0+(IF(ArtifactsInput!$M$15,CHOOSE(ArtifactsInput!$N$15+1,25,30,35,40,45,50)/100*(Inputs!$B$11-Inputs!$B$11),0))))/100+(Inputs!$B$23+0+(IF(ArtifactsInput!$M$15,CHOOSE(ArtifactsInput!$N$15+1,25,30,35,40,45,50)/100*(Inputs!$B$11-Inputs!$B$11),0)))/100)/2</f>
        <v/>
      </c>
      <c r="M994">
        <f>L994*(1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IF(B1018=0,0,O994/B1018)</f>
        <v/>
      </c>
      <c r="Q994">
        <f>IFERROR(1/(IF(Inputs!$B$38="pvp",15,MAX(0.1,Skills!D11-IF(Skills!E11=TRUE,Inputs!$B$32,0)))*(1-IF(AND(ArtifactsInput!$M$27,Inputs!$B$4="Chapter Hunt"),CHOOSE(ArtifactsInput!$N$27+1,20,24,28,32,36,40),0)/100)),0)</f>
        <v/>
      </c>
      <c r="R994">
        <f>IF(AND(Inputs!$B$38&lt;&gt;"pvp",Inputs!$B$43&gt;0),IF(MAX(0,Inputs!$B$43-B1015)&lt;=0,0,(INT(MAX(0,Inputs!$B$43-B1015)/(IF(Inputs!$B$38="pvp",15,MAX(0.1,Skills!D11-IF(Skills!E11=TRUE,Inputs!$B$32,0)))*(1-IF(AND(ArtifactsInput!$M$27,Inputs!$B$4="Chapter Hunt"),CHOOSE(ArtifactsInput!$N$27+1,20,24,28,32,36,40),0)/100)))+1)),0)</f>
        <v/>
      </c>
      <c r="S994">
        <f>IFERROR(O994/N994,0)</f>
        <v/>
      </c>
      <c r="T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$21+Skills!Q11+(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Inputs!$B$3&gt;=66</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f>(1-Summary!$B$11)*T996+Summary!$B$11*V996</f>
        <v/>
      </c>
      <c r="P996">
        <f>IF(B1018=0,0,O996/B1018)</f>
        <v/>
      </c>
      <c r="Q996" t="n">
        <v>0</v>
      </c>
      <c r="R996" t="n">
        <v>0</v>
      </c>
      <c r="S996">
        <f>IFERROR(O996/N996,0)</f>
        <v/>
      </c>
      <c r="T996" t="n">
        <v>0</v>
      </c>
      <c r="V996" t="n">
        <v>0</v>
      </c>
    </row>
    <row r="997">
      <c r="A997">
        <f>Skills!A14</f>
        <v/>
      </c>
      <c r="B997">
        <f>Skills!B14</f>
        <v/>
      </c>
      <c r="C997">
        <f>Inputs!$B$3&gt;=107</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f>(1-Summary!$B$11)*T997+Summary!$B$11*V997</f>
        <v/>
      </c>
      <c r="P997">
        <f>IF(B1018=0,0,O997/B1018)</f>
        <v/>
      </c>
      <c r="Q997" t="n">
        <v>0</v>
      </c>
      <c r="R997" t="n">
        <v>0</v>
      </c>
      <c r="S997">
        <f>IFERROR(O997/N997,0)</f>
        <v/>
      </c>
      <c r="T997" t="n">
        <v>0</v>
      </c>
      <c r="V997" t="n">
        <v>0</v>
      </c>
    </row>
    <row r="998">
      <c r="A998">
        <f>Skills!A15</f>
        <v/>
      </c>
      <c r="B998">
        <f>Skills!B15</f>
        <v/>
      </c>
      <c r="C998">
        <f>Inputs!$B$3&gt;=115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f>(1-Summary!$B$11)*T998+Summary!$B$11*V998</f>
        <v/>
      </c>
      <c r="P998">
        <f>IF(B1018=0,0,O998/B1018)</f>
        <v/>
      </c>
      <c r="Q998" t="n">
        <v>0</v>
      </c>
      <c r="R998" t="n">
        <v>0</v>
      </c>
      <c r="S998">
        <f>IFERROR(O998/N998,0)</f>
        <v/>
      </c>
      <c r="T998" t="n">
        <v>0</v>
      </c>
      <c r="V998" t="n">
        <v>0</v>
      </c>
    </row>
    <row r="999">
      <c r="A999">
        <f>Skills!A16</f>
        <v/>
      </c>
      <c r="B999">
        <f>Skills!B16</f>
        <v/>
      </c>
      <c r="C999">
        <f>Inputs!$B$3&gt;=15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f>(1-Summary!$B$11)*T999+Summary!$B$11*V999</f>
        <v/>
      </c>
      <c r="P999">
        <f>IF(B1018=0,0,O999/B1018)</f>
        <v/>
      </c>
      <c r="Q999" t="n">
        <v>0</v>
      </c>
      <c r="R999" t="n">
        <v>0</v>
      </c>
      <c r="S999">
        <f>IFERROR(O999/N999,0)</f>
        <v/>
      </c>
      <c r="T999" t="n">
        <v>0</v>
      </c>
      <c r="V999" t="n">
        <v>0</v>
      </c>
    </row>
    <row r="1000">
      <c r="A1000">
        <f>Skills!A17</f>
        <v/>
      </c>
      <c r="B1000">
        <f>Skills!B17</f>
        <v/>
      </c>
      <c r="C1000">
        <f>Inputs!$B$3&gt;=10</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f>(1-Summary!$B$11)*T1000+Summary!$B$11*V1000</f>
        <v/>
      </c>
      <c r="P1000">
        <f>IF(B1018=0,0,O1000/B1018)</f>
        <v/>
      </c>
      <c r="Q1000" t="n">
        <v>0</v>
      </c>
      <c r="R1000" t="n">
        <v>0</v>
      </c>
      <c r="S1000">
        <f>IFERROR(O1000/N1000,0)</f>
        <v/>
      </c>
      <c r="T1000" t="n">
        <v>0</v>
      </c>
      <c r="V1000" t="n">
        <v>0</v>
      </c>
    </row>
    <row r="1001">
      <c r="A1001">
        <f>Skills!A18</f>
        <v/>
      </c>
      <c r="B1001">
        <f>Skills!B18</f>
        <v/>
      </c>
      <c r="C1001">
        <f>Inputs!$B$3&gt;=33</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f>(1-Summary!$B$11)*T1001+Summary!$B$11*V1001</f>
        <v/>
      </c>
      <c r="P1001">
        <f>IF(B1018=0,0,O1001/B1018)</f>
        <v/>
      </c>
      <c r="Q1001" t="n">
        <v>0</v>
      </c>
      <c r="R1001" t="n">
        <v>0</v>
      </c>
      <c r="S1001">
        <f>IFERROR(O1001/N1001,0)</f>
        <v/>
      </c>
      <c r="T1001" t="n">
        <v>0</v>
      </c>
      <c r="V1001" t="n">
        <v>0</v>
      </c>
    </row>
    <row r="1002">
      <c r="A1002">
        <f>Skills!A19</f>
        <v/>
      </c>
      <c r="B1002">
        <f>Skills!B19</f>
        <v/>
      </c>
      <c r="C1002">
        <f>Inputs!$B$3&gt;=40</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f>(1-Summary!$B$11)*T1002+Summary!$B$11*V1002</f>
        <v/>
      </c>
      <c r="P1002">
        <f>IF(B1018=0,0,O1002/B1018)</f>
        <v/>
      </c>
      <c r="Q1002" t="n">
        <v>0</v>
      </c>
      <c r="R1002" t="n">
        <v>0</v>
      </c>
      <c r="S1002">
        <f>IFERROR(O1002/N1002,0)</f>
        <v/>
      </c>
      <c r="T1002" t="n">
        <v>0</v>
      </c>
      <c r="V1002" t="n">
        <v>0</v>
      </c>
    </row>
    <row r="1003">
      <c r="A1003">
        <f>Skills!A20</f>
        <v/>
      </c>
      <c r="B1003">
        <f>Skills!B20</f>
        <v/>
      </c>
      <c r="C1003">
        <f>Inputs!$B$3&gt;=43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f>(1-Summary!$B$11)*T1003+Summary!$B$11*V1003</f>
        <v/>
      </c>
      <c r="P1003">
        <f>IF(B1018=0,0,O1003/B1018)</f>
        <v/>
      </c>
      <c r="Q1003" t="n">
        <v>0</v>
      </c>
      <c r="R1003" t="n">
        <v>0</v>
      </c>
      <c r="S1003">
        <f>IFERROR(O1003/N1003,0)</f>
        <v/>
      </c>
      <c r="T1003" t="n">
        <v>0</v>
      </c>
      <c r="V1003" t="n">
        <v>0</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f>(1-Summary!$B$11)*T1004+Summary!$B$11*V1004</f>
        <v/>
      </c>
      <c r="P1004">
        <f>IF(B1018=0,0,O1004/B1018)</f>
        <v/>
      </c>
      <c r="Q1004" t="n">
        <v>0</v>
      </c>
      <c r="R1004" t="n">
        <v>0</v>
      </c>
      <c r="S1004">
        <f>IFERROR(O1004/N1004,0)</f>
        <v/>
      </c>
      <c r="T1004" t="n">
        <v>0</v>
      </c>
      <c r="V1004" t="n">
        <v>0</v>
      </c>
    </row>
    <row r="1005">
      <c r="A1005">
        <f>Skills!A22</f>
        <v/>
      </c>
      <c r="B1005">
        <f>Skills!B22</f>
        <v/>
      </c>
      <c r="C1005">
        <f>Inputs!$B$3&gt;=75</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f>(1-Summary!$B$11)*T1005+Summary!$B$11*V1005</f>
        <v/>
      </c>
      <c r="P1005">
        <f>IF(B1018=0,0,O1005/B1018)</f>
        <v/>
      </c>
      <c r="Q1005" t="n">
        <v>0</v>
      </c>
      <c r="R1005" t="n">
        <v>0</v>
      </c>
      <c r="S1005">
        <f>IFERROR(O1005/N1005,0)</f>
        <v/>
      </c>
      <c r="T1005" t="n">
        <v>0</v>
      </c>
      <c r="V1005" t="n">
        <v>0</v>
      </c>
    </row>
    <row r="1007">
      <c r="A1007" t="inlineStr">
        <is>
          <t>Attack% Bucket Multiplier</t>
        </is>
      </c>
      <c r="B1007">
        <f>(1+(((C996=TRUE)*F996)+((C1002=TRUE)*(F1002-Calc!F19))+(IF(ArtifactsInput!$M$21,CHOOSE(ArtifactsInput!$N$21+1,25,30,35,40,45,50)*(IF(OR(Inputs!$B$4="Chapter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8">
      <c r="A1008" t="inlineStr">
        <is>
          <t>Global Crit Rate Bonus %</t>
        </is>
      </c>
      <c r="B1008" t="n">
        <v>0</v>
      </c>
    </row>
    <row r="1009">
      <c r="A1009" t="inlineStr">
        <is>
          <t>Attack Speed Buff Bonus % (unused)</t>
        </is>
      </c>
      <c r="B1009" t="n">
        <v>0</v>
      </c>
    </row>
    <row r="1010">
      <c r="A1010" t="inlineStr">
        <is>
          <t>Actions Per Second</t>
        </is>
      </c>
      <c r="B1010">
        <f>1+MIN(150,150*(1-(1-(Inputs!$B$11+((C1000=TRUE)*(F1000-Calc!F17))+((C1001=TRUE)*(F1001-Calc!F18)))/150)*(1-B1009/150)))/100</f>
        <v/>
      </c>
    </row>
    <row r="1011">
      <c r="A1011" t="inlineStr">
        <is>
          <t>Skill + Buff Cast Rate</t>
        </is>
      </c>
      <c r="B1011">
        <f>IF(AND(Inputs!$B$38&lt;&gt;"pvp",Inputs!$B$43&gt;0),SUMPRODUCT((Skills!E2:E22=TRUE)*(C985:C1005=TRUE)*R985:R1005*Skills!F2:F22)/Inputs!$B$43,SUMPRODUCT((Skills!E2:E22=TRUE)*(C985:C1005=TRUE)*Q985:Q1005*Skills!F2:F22))</f>
        <v/>
      </c>
    </row>
    <row r="1012">
      <c r="A1012" t="inlineStr">
        <is>
          <t>Hook Bomber Casts Per Second</t>
        </is>
      </c>
      <c r="B1012">
        <f>MAX(0,B1010-B1011)</f>
        <v/>
      </c>
    </row>
    <row r="1013">
      <c r="A1013" t="inlineStr">
        <is>
          <t>Global Critical Damage Bonus % (unused)</t>
        </is>
      </c>
      <c r="B1013" t="n">
        <v>0</v>
      </c>
    </row>
    <row r="1014">
      <c r="A1014" t="inlineStr">
        <is>
          <t>Global Final Damage Bonus % (Serpent Scale + Crossbones + Time Leap + Speed Infusion)</t>
        </is>
      </c>
      <c r="B1014">
        <f>((C988=TRUE)*F988*((10+IF(Inputs!$B$3&gt;=94,5,0))/((10+IF(Inputs!$B$3&gt;=94,5,0))+5/(B1012*(1+IF(Inputs!$B$3&gt;=104,1,0))))))+((C997=TRUE)*F997)+((C998=TRUE)*F998)+((Inputs!$B$3&gt;=110)*20*(B1010-1))</f>
        <v/>
      </c>
    </row>
    <row r="1015">
      <c r="A1015" t="inlineStr">
        <is>
          <t>Buff-Casting Startup Delay (s, fixed-duration only)</t>
        </is>
      </c>
      <c r="B1015">
        <f>IF(AND(Inputs!$B$38&lt;&gt;"pvp",Inputs!$B$43&gt;0),SUMPRODUCT((Skills!T2:T22&gt;0)*(Skills!E2:E22=TRUE)*(C985:C1005=TRUE))/B1010,0)</f>
        <v/>
      </c>
    </row>
    <row r="1016">
      <c r="A1016" t="inlineStr">
        <is>
          <t>Boss-Only Total DPS (this block's swept value)</t>
        </is>
      </c>
      <c r="B1016">
        <f>SUM(T985:T1005)</f>
        <v/>
      </c>
    </row>
    <row r="1017">
      <c r="A1017" t="inlineStr">
        <is>
          <t>Normal-Only Total DPS (this block's swept value)</t>
        </is>
      </c>
      <c r="B1017">
        <f>SUM(V985:V1005)</f>
        <v/>
      </c>
    </row>
    <row r="1018">
      <c r="A1018" s="6" t="inlineStr">
        <is>
          <t>TOTAL DPS</t>
        </is>
      </c>
      <c r="B1018" s="6">
        <f>SUM(O985:O1005)</f>
        <v/>
      </c>
    </row>
    <row r="1021">
      <c r="A1021" s="6" t="inlineStr">
        <is>
          <t>Stat: Buff Duration Increase %</t>
        </is>
      </c>
    </row>
    <row r="1022">
      <c r="A1022" s="5" t="inlineStr">
        <is>
          <t>Key</t>
        </is>
      </c>
      <c r="B1022" s="5" t="inlineStr">
        <is>
          <t>Name</t>
        </is>
      </c>
      <c r="C1022" s="5" t="inlineStr">
        <is>
          <t>Unlocked</t>
        </is>
      </c>
      <c r="D1022" s="5" t="inlineStr">
        <is>
          <t>InputLevel</t>
        </is>
      </c>
      <c r="E1022" s="5" t="inlineStr">
        <is>
          <t>Factor</t>
        </is>
      </c>
      <c r="F1022" s="5" t="inlineStr">
        <is>
          <t>CoefficientPercent</t>
        </is>
      </c>
      <c r="G1022" s="5" t="inlineStr">
        <is>
          <t>EffectiveHits</t>
        </is>
      </c>
      <c r="H1022" s="5" t="inlineStr">
        <is>
          <t>ProcProbability</t>
        </is>
      </c>
      <c r="I1022" s="5" t="inlineStr">
        <is>
          <t>MapleHeroMultiplier</t>
        </is>
      </c>
      <c r="J1022" s="5" t="inlineStr">
        <is>
          <t>BaseDamage</t>
        </is>
      </c>
      <c r="K1022" s="5" t="inlineStr">
        <is>
          <t>BaseHitDamage</t>
        </is>
      </c>
      <c r="L1022" s="5" t="inlineStr">
        <is>
          <t>NonCritAvg</t>
        </is>
      </c>
      <c r="M1022" s="5" t="inlineStr">
        <is>
          <t>CritAvg</t>
        </is>
      </c>
      <c r="N1022" s="5" t="inlineStr">
        <is>
          <t>ExpectedDamage(perHit)</t>
        </is>
      </c>
      <c r="O1022" s="5" t="inlineStr">
        <is>
          <t>DPS</t>
        </is>
      </c>
      <c r="P1022" s="5" t="inlineStr">
        <is>
          <t>% of Total</t>
        </is>
      </c>
      <c r="Q1022" s="5" t="inlineStr">
        <is>
          <t>InvCooldown</t>
        </is>
      </c>
      <c r="R1022" s="5" t="inlineStr">
        <is>
          <t>CastsInFight</t>
        </is>
      </c>
      <c r="S1022" s="5" t="inlineStr">
        <is>
          <t>HitRate(perSec)</t>
        </is>
      </c>
      <c r="U1022" t="inlineStr">
        <is>
          <t>helpers</t>
        </is>
      </c>
    </row>
    <row r="1023">
      <c r="A1023">
        <f>Skills!A2</f>
        <v/>
      </c>
      <c r="B1023">
        <f>Skills!B2</f>
        <v/>
      </c>
      <c r="C1023">
        <f>Inputs!$B$3&gt;=100</f>
        <v/>
      </c>
      <c r="D1023" t="inlineStr"/>
      <c r="E1023" t="inlineStr"/>
      <c r="F1023">
        <f>U1025+Skills!O2</f>
        <v/>
      </c>
      <c r="G1023">
        <f>Skills!G2*IF(Skills!H2&gt;0,Skills!I2/Skills!H2,1)</f>
        <v/>
      </c>
      <c r="H1023">
        <f>1-(1-Skills!J2/100)^Skills!K2</f>
        <v/>
      </c>
      <c r="I1023" t="inlineStr">
        <is>
          <t>1</t>
        </is>
      </c>
      <c r="J1023">
        <f>((Inputs!$B$6*(1+Inputs!$B$7/100))+(((Inputs!$B$12*(1+Inputs!$B$13/100))-(Inputs!$B$12*(1+Inputs!$B$13/100)))+0.25*(Inputs!$B$14-Inputs!$B$14))*(1+Inputs!$B$7/100))*(F1023/100)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1041=TRUE)*(F1041-Calc!F20)),(Inputs!$B$23+0+(IF(ArtifactsInput!$M$15,CHOOSE(ArtifactsInput!$N$15+1,25,30,35,40,45,50)/100*(Inputs!$B$11-Inputs!$B$11),0))))/100+(Inputs!$B$23+0+(IF(ArtifactsInput!$M$15,CHOOSE(ArtifactsInput!$N$15+1,25,30,35,40,45,50)/100*(Inputs!$B$11-Inputs!$B$11),0)))/100)/2</f>
        <v/>
      </c>
      <c r="M1023">
        <f>L1023*(1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IF(B1056=0,0,O1023/B1056)</f>
        <v/>
      </c>
      <c r="Q1023" t="n">
        <v>0</v>
      </c>
      <c r="R1023" t="n">
        <v>0</v>
      </c>
      <c r="S1023">
        <f>IFERROR(O1023/N1023,0)</f>
        <v/>
      </c>
      <c r="T1023">
        <f>IF(C1023,(Skills!G2*N1023*B1050)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3">
        <f>MAX(0,(Inputs!$B$3-100)*3)+Inputs!$B$28+Inputs!$B$29</f>
        <v/>
      </c>
      <c r="V1023">
        <f>IF(C1023,(Skills!G2*N1023*B1050)*IF(Inputs!$B$38="pvp",1,(1+(Inputs!$B$21+Skills!Q2+(IF(ArtifactsInput!$M$33,CHOOSE(ArtifactsInput!$N$33+1,30,36,42,48,54,60),0))+(IF(AND(ArtifactsInput!$M$35,Inputs!$B$4&lt;&gt;"Chapter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Skills!G3*IF(Skills!H3&gt;0,Skills!I3/Skills!H3,1)</f>
        <v/>
      </c>
      <c r="H1024">
        <f>1-(1-Skills!J3/100)^Skills!K3</f>
        <v/>
      </c>
      <c r="I1024" t="inlineStr">
        <is>
          <t>1</t>
        </is>
      </c>
      <c r="J1024">
        <f>((Inputs!$B$6*(1+Inputs!$B$7/100))+(((Inputs!$B$12*(1+Inputs!$B$13/100))-(Inputs!$B$12*(1+Inputs!$B$13/100)))+0.25*(Inputs!$B$14-Inputs!$B$14))*(1+Inputs!$B$7/100))*(F1024/100)</f>
        <v/>
      </c>
      <c r="K1024">
        <f>J1024*(1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1041=TRUE)*(F1041-Calc!F20)),(Inputs!$B$23+0+(IF(ArtifactsInput!$M$15,CHOOSE(ArtifactsInput!$N$15+1,25,30,35,40,45,50)/100*(Inputs!$B$11-Inputs!$B$11),0))))/100+(Inputs!$B$23+0+(IF(ArtifactsInput!$M$15,CHOOSE(ArtifactsInput!$N$15+1,25,30,35,40,45,50)/100*(Inputs!$B$11-Inputs!$B$11),0)))/100)/2</f>
        <v/>
      </c>
      <c r="M1024">
        <f>L1024*(1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IF(B1056=0,0,O1024/B1056)</f>
        <v/>
      </c>
      <c r="Q1024" t="n">
        <v>0</v>
      </c>
      <c r="R1024" t="n">
        <v>0</v>
      </c>
      <c r="S1024">
        <f>IFERROR(O1024/N1024,0)</f>
        <v/>
      </c>
      <c r="T1024">
        <f>IF(C1024,(Skills!G3*H1024*N1024*B1050)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4">
        <f>INDEX(FactorTable!$B$2:$Y$301, MATCH(ROUND(MIN(300,MAX(1,U1023)),0), FactorTable!$A$2:$A$301,0), 22)</f>
        <v/>
      </c>
      <c r="V1024">
        <f>IF(C1024,(Skills!G3*H1024*N1024*B1050)*IF(Inputs!$B$38="pvp",1,(1+(Inputs!$B$21+Skills!Q3+(IF(ArtifactsInput!$M$33,CHOOSE(ArtifactsInput!$N$33+1,30,36,42,48,54,60),0))+(IF(AND(ArtifactsInput!$M$35,Inputs!$B$4&lt;&gt;"Chapter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Skills!A4</f>
        <v/>
      </c>
      <c r="B1025">
        <f>Skills!B4</f>
        <v/>
      </c>
      <c r="C1025">
        <f>Inputs!$B$3&gt;=60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Skills!G4*IF(Skills!H4&gt;0,Skills!I4/Skills!H4,1)</f>
        <v/>
      </c>
      <c r="H1025">
        <f>1-(1-Skills!J4/100)^Skills!K4</f>
        <v/>
      </c>
      <c r="I1025" t="inlineStr">
        <is>
          <t>1</t>
        </is>
      </c>
      <c r="J1025">
        <f>((Inputs!$B$6*(1+Inputs!$B$7/100))+(((Inputs!$B$12*(1+Inputs!$B$13/100))-(Inputs!$B$12*(1+Inputs!$B$13/100)))+0.25*(Inputs!$B$14-Inputs!$B$14))*(1+Inputs!$B$7/100))*(F1025/100)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1041=TRUE)*(F1041-Calc!F20)),(Inputs!$B$23+0+(IF(ArtifactsInput!$M$15,CHOOSE(ArtifactsInput!$N$15+1,25,30,35,40,45,50)/100*(Inputs!$B$11-Inputs!$B$11),0))))/100+(Inputs!$B$23+0+(IF(ArtifactsInput!$M$15,CHOOSE(ArtifactsInput!$N$15+1,25,30,35,40,45,50)/100*(Inputs!$B$11-Inputs!$B$11),0)))/100)/2</f>
        <v/>
      </c>
      <c r="M1025">
        <f>L1025*(1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IF(B1056=0,0,O1025/B1056)</f>
        <v/>
      </c>
      <c r="Q1025" t="n">
        <v>0</v>
      </c>
      <c r="R1025" t="n">
        <v>0</v>
      </c>
      <c r="S1025">
        <f>IFERROR(O1025/N1025,0)</f>
        <v/>
      </c>
      <c r="T1025">
        <f>IF(C1025,(Skills!G4*H1025*N1025*B1050)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5">
        <f>290*U1024/1000</f>
        <v/>
      </c>
      <c r="V1025">
        <f>IF(C1025,(Skills!G4*H1025*N1025*B1050)*IF(Inputs!$B$38="pvp",1,(1+(Inputs!$B$21+Skills!Q4+(IF(ArtifactsInput!$M$33,CHOOSE(ArtifactsInput!$N$33+1,30,36,42,48,54,60),0))+(IF(AND(ArtifactsInput!$M$35,Inputs!$B$4&lt;&gt;"Chapter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Skills!A5</f>
        <v/>
      </c>
      <c r="B1026">
        <f>Skills!B5</f>
        <v/>
      </c>
      <c r="C1026">
        <f>Inputs!$B$3&gt;=60</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Skills!G5*IF(Skills!H5&gt;0,Skills!I5/Skills!H5,1)</f>
        <v/>
      </c>
      <c r="H1026">
        <f>1-(1-Skills!J5/100)^Skills!K5</f>
        <v/>
      </c>
      <c r="I1026" t="inlineStr">
        <is>
          <t>1</t>
        </is>
      </c>
      <c r="J1026" t="inlineStr"/>
      <c r="K1026" t="inlineStr"/>
      <c r="L1026" t="inlineStr"/>
      <c r="M1026" t="inlineStr"/>
      <c r="N1026" t="inlineStr"/>
      <c r="O1026">
        <f>(1-Summary!$B$11)*T1026+Summary!$B$11*V1026</f>
        <v/>
      </c>
      <c r="P1026">
        <f>IF(B1056=0,0,O1026/B1056)</f>
        <v/>
      </c>
      <c r="Q1026" t="n">
        <v>0</v>
      </c>
      <c r="R1026" t="n">
        <v>0</v>
      </c>
      <c r="S1026">
        <f>IFERROR(O1026/N1026,0)</f>
        <v/>
      </c>
      <c r="T1026" t="n">
        <v>0</v>
      </c>
      <c r="V1026" t="n">
        <v>0</v>
      </c>
    </row>
    <row r="1027">
      <c r="A1027">
        <f>Skills!A6</f>
        <v/>
      </c>
      <c r="B1027">
        <f>Skills!B6</f>
        <v/>
      </c>
      <c r="C1027">
        <f>Inputs!$B$3&gt;=63</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Skills!G6*IF(Skills!H6&gt;0,Skills!I6/Skills!H6,1)</f>
        <v/>
      </c>
      <c r="H1027">
        <f>1-(1-Skills!J6/100)^Skills!K6</f>
        <v/>
      </c>
      <c r="I1027" t="inlineStr">
        <is>
          <t>1</t>
        </is>
      </c>
      <c r="J1027">
        <f>((Inputs!$B$6*(1+Inputs!$B$7/100))+(((Inputs!$B$12*(1+Inputs!$B$13/100))-(Inputs!$B$12*(1+Inputs!$B$13/100)))+0.25*(Inputs!$B$14-Inputs!$B$14))*(1+Inputs!$B$7/100))*(F1027/100)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1041=TRUE)*(F1041-Calc!F20)),(Inputs!$B$23+0+(IF(ArtifactsInput!$M$15,CHOOSE(ArtifactsInput!$N$15+1,25,30,35,40,45,50)/100*(Inputs!$B$11-Inputs!$B$11),0))))/100+(Inputs!$B$23+0+(IF(ArtifactsInput!$M$15,CHOOSE(ArtifactsInput!$N$15+1,25,30,35,40,45,50)/100*(Inputs!$B$11-Inputs!$B$11),0)))/100)/2</f>
        <v/>
      </c>
      <c r="M1027">
        <f>L1027*(1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IF(B1056=0,0,O1027/B1056)</f>
        <v/>
      </c>
      <c r="Q1027">
        <f>IFERROR(1/(IF(Inputs!$B$38="pvp",15,MAX(0.1,Skills!D6-IF(Skills!E6=TRUE,Inputs!$B$32,0)))*(1-IF(AND(ArtifactsInput!$M$27,Inputs!$B$4="Chapter Hunt"),CHOOSE(ArtifactsInput!$N$27+1,20,24,28,32,36,40),0)/100)),0)</f>
        <v/>
      </c>
      <c r="R1027">
        <f>IF(AND(Inputs!$B$38&lt;&gt;"pvp",Inputs!$B$43&gt;0),IF(MAX(0,Inputs!$B$43-B1053)&lt;=0,0,(INT(MAX(0,Inputs!$B$43-B1053)/(IF(Inputs!$B$38="pvp",15,MAX(0.1,Skills!D6-IF(Skills!E6=TRUE,Inputs!$B$32,0)))*(1-IF(AND(ArtifactsInput!$M$27,Inputs!$B$4="Chapter Hunt"),CHOOSE(ArtifactsInput!$N$27+1,20,24,28,32,36,40),0)/100)))+1)),0)</f>
        <v/>
      </c>
      <c r="S1027">
        <f>IFERROR(O1027/N1027,0)</f>
        <v/>
      </c>
      <c r="T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$21+Skills!Q6+(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Skills!A7</f>
        <v/>
      </c>
      <c r="B1028">
        <f>Skills!B7</f>
        <v/>
      </c>
      <c r="C1028">
        <f>Inputs!$B$3&gt;=100</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Skills!G7*IF(Skills!H7&gt;0,Skills!I7/Skills!H7,1)</f>
        <v/>
      </c>
      <c r="H1028">
        <f>1-(1-Skills!J7/100)^Skills!K7</f>
        <v/>
      </c>
      <c r="I1028" t="inlineStr">
        <is>
          <t>1</t>
        </is>
      </c>
      <c r="J1028">
        <f>((Inputs!$B$6*(1+Inputs!$B$7/100))+(((Inputs!$B$12*(1+Inputs!$B$13/100))-(Inputs!$B$12*(1+Inputs!$B$13/100)))+0.25*(Inputs!$B$14-Inputs!$B$14))*(1+Inputs!$B$7/100))*(F1028/100)</f>
        <v/>
      </c>
      <c r="K1028">
        <f>J1028*(1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1041=TRUE)*(F1041-Calc!F20)),(Inputs!$B$23+0+(IF(ArtifactsInput!$M$15,CHOOSE(ArtifactsInput!$N$15+1,25,30,35,40,45,50)/100*(Inputs!$B$11-Inputs!$B$11),0))))/100+(Inputs!$B$23+0+(IF(ArtifactsInput!$M$15,CHOOSE(ArtifactsInput!$N$15+1,25,30,35,40,45,50)/100*(Inputs!$B$11-Inputs!$B$11),0)))/100)/2</f>
        <v/>
      </c>
      <c r="M1028">
        <f>L1028*(1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IF(B1056=0,0,O1028/B1056)</f>
        <v/>
      </c>
      <c r="Q1028">
        <f>IFERROR(1/(IF(Inputs!$B$38="pvp",15,MAX(0.1,Skills!D7-IF(Skills!E7=TRUE,Inputs!$B$32,0)))*(1-IF(AND(ArtifactsInput!$M$27,Inputs!$B$4="Chapter Hunt"),CHOOSE(ArtifactsInput!$N$27+1,20,24,28,32,36,40),0)/100)),0)</f>
        <v/>
      </c>
      <c r="R1028">
        <f>IF(AND(Inputs!$B$38&lt;&gt;"pvp",Inputs!$B$43&gt;0),IF(MAX(0,Inputs!$B$43-B1053)&lt;=0,0,(INT(MAX(0,Inputs!$B$43-B1053)/(IF(Inputs!$B$38="pvp",15,MAX(0.1,Skills!D7-IF(Skills!E7=TRUE,Inputs!$B$32,0)))*(1-IF(AND(ArtifactsInput!$M$27,Inputs!$B$4="Chapter Hunt"),CHOOSE(ArtifactsInput!$N$27+1,20,24,28,32,36,40),0)/100)))+1)),0)</f>
        <v/>
      </c>
      <c r="S1028">
        <f>IFERROR(O1028/N1028,0)</f>
        <v/>
      </c>
      <c r="T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$21+Skills!Q7+(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Skills!A8</f>
        <v/>
      </c>
      <c r="B1029">
        <f>Skills!B8</f>
        <v/>
      </c>
      <c r="C1029">
        <f>Inputs!$B$3&gt;=110</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Skills!G8*IF(Skills!H8&gt;0,Skills!I8/Skills!H8,1)</f>
        <v/>
      </c>
      <c r="H1029">
        <f>1-(1-Skills!J8/100)^Skills!K8</f>
        <v/>
      </c>
      <c r="I1029" t="inlineStr">
        <is>
          <t>1</t>
        </is>
      </c>
      <c r="J1029">
        <f>((Inputs!$B$6*(1+Inputs!$B$7/100))+(((Inputs!$B$12*(1+Inputs!$B$13/100))-(Inputs!$B$12*(1+Inputs!$B$13/100)))+0.25*(Inputs!$B$14-Inputs!$B$14))*(1+Inputs!$B$7/100))*(F1029/100)</f>
        <v/>
      </c>
      <c r="K1029">
        <f>J1029*(1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1041=TRUE)*(F1041-Calc!F20)),(Inputs!$B$23+0+(IF(ArtifactsInput!$M$15,CHOOSE(ArtifactsInput!$N$15+1,25,30,35,40,45,50)/100*(Inputs!$B$11-Inputs!$B$11),0))))/100+(Inputs!$B$23+0+(IF(ArtifactsInput!$M$15,CHOOSE(ArtifactsInput!$N$15+1,25,30,35,40,45,50)/100*(Inputs!$B$11-Inputs!$B$11),0)))/100)/2</f>
        <v/>
      </c>
      <c r="M1029">
        <f>L1029*(1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IF(B1056=0,0,O1029/B1056)</f>
        <v/>
      </c>
      <c r="Q1029">
        <f>IFERROR(1/(IF(Inputs!$B$38="pvp",15,MAX(0.1,Skills!D8-IF(Skills!E8=TRUE,Inputs!$B$32,0)))*(1-IF(AND(ArtifactsInput!$M$27,Inputs!$B$4="Chapter Hunt"),CHOOSE(ArtifactsInput!$N$27+1,20,24,28,32,36,40),0)/100)),0)</f>
        <v/>
      </c>
      <c r="R1029">
        <f>IF(AND(Inputs!$B$38&lt;&gt;"pvp",Inputs!$B$43&gt;0),IF(MAX(0,Inputs!$B$43-B1053)&lt;=0,0,(INT(MAX(0,Inputs!$B$43-B1053)/(IF(Inputs!$B$38="pvp",15,MAX(0.1,Skills!D8-IF(Skills!E8=TRUE,Inputs!$B$32,0)))*(1-IF(AND(ArtifactsInput!$M$27,Inputs!$B$4="Chapter Hunt"),CHOOSE(ArtifactsInput!$N$27+1,20,24,28,32,36,40),0)/100)))+1)),0)</f>
        <v/>
      </c>
      <c r="S1029">
        <f>IFERROR(O1029/N1029,0)</f>
        <v/>
      </c>
      <c r="T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$21+Skills!Q8+(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Skills!A9</f>
        <v/>
      </c>
      <c r="B1030">
        <f>Skills!B9</f>
        <v/>
      </c>
      <c r="C1030">
        <f>Inputs!$B$3&gt;=110</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Skills!G9*IF(Skills!H9&gt;0,Skills!I9/Skills!H9,1)</f>
        <v/>
      </c>
      <c r="H1030">
        <f>1-(1-Skills!J9/100)^Skills!K9</f>
        <v/>
      </c>
      <c r="I1030" t="inlineStr">
        <is>
          <t>1</t>
        </is>
      </c>
      <c r="J1030">
        <f>((Inputs!$B$6*(1+Inputs!$B$7/100))+(((Inputs!$B$12*(1+Inputs!$B$13/100))-(Inputs!$B$12*(1+Inputs!$B$13/100)))+0.25*(Inputs!$B$14-Inputs!$B$14))*(1+Inputs!$B$7/100))*(F1030/100)</f>
        <v/>
      </c>
      <c r="K1030">
        <f>J1030*(1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1041=TRUE)*(F1041-Calc!F20)),(Inputs!$B$23+0+(IF(ArtifactsInput!$M$15,CHOOSE(ArtifactsInput!$N$15+1,25,30,35,40,45,50)/100*(Inputs!$B$11-Inputs!$B$11),0))))/100+(Inputs!$B$23+0+(IF(ArtifactsInput!$M$15,CHOOSE(ArtifactsInput!$N$15+1,25,30,35,40,45,50)/100*(Inputs!$B$11-Inputs!$B$11),0)))/100)/2</f>
        <v/>
      </c>
      <c r="M1030">
        <f>L1030*(1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IF(B1056=0,0,O1030/B1056)</f>
        <v/>
      </c>
      <c r="Q1030">
        <f>IFERROR(1/(IF(Inputs!$B$38="pvp",15,MAX(0.1,Skills!D9-IF(Skills!E9=TRUE,Inputs!$B$32,0)))*(1-IF(AND(ArtifactsInput!$M$27,Inputs!$B$4="Chapter Hunt"),CHOOSE(ArtifactsInput!$N$27+1,20,24,28,32,36,40),0)/100)),0)</f>
        <v/>
      </c>
      <c r="R1030">
        <f>IF(AND(Inputs!$B$38&lt;&gt;"pvp",Inputs!$B$43&gt;0),IF(MAX(0,Inputs!$B$43-B1053)&lt;=0,0,(INT(MAX(0,Inputs!$B$43-B1053)/(IF(Inputs!$B$38="pvp",15,MAX(0.1,Skills!D9-IF(Skills!E9=TRUE,Inputs!$B$32,0)))*(1-IF(AND(ArtifactsInput!$M$27,Inputs!$B$4="Chapter Hunt"),CHOOSE(ArtifactsInput!$N$27+1,20,24,28,32,36,40),0)/100)))+1)),0)</f>
        <v/>
      </c>
      <c r="S1030">
        <f>IFERROR(O1030/N1030,0)</f>
        <v/>
      </c>
      <c r="T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$21+Skills!Q9+(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Skills!A10</f>
        <v/>
      </c>
      <c r="B1031">
        <f>Skills!B10</f>
        <v/>
      </c>
      <c r="C1031">
        <f>Inputs!$B$3&gt;=103</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Skills!G10*IF(Skills!H10&gt;0,Skills!I10/Skills!H10,1)</f>
        <v/>
      </c>
      <c r="H1031">
        <f>1-(1-Skills!J10/100)^Skills!K10</f>
        <v/>
      </c>
      <c r="I1031" t="inlineStr">
        <is>
          <t>1</t>
        </is>
      </c>
      <c r="J1031">
        <f>((Inputs!$B$6*(1+Inputs!$B$7/100))+(((Inputs!$B$12*(1+Inputs!$B$13/100))-(Inputs!$B$12*(1+Inputs!$B$13/100)))+0.25*(Inputs!$B$14-Inputs!$B$14))*(1+Inputs!$B$7/100))*(F1031/100)</f>
        <v/>
      </c>
      <c r="K1031">
        <f>J1031*(1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1041=TRUE)*(F1041-Calc!F20)),(Inputs!$B$23+0+(IF(ArtifactsInput!$M$15,CHOOSE(ArtifactsInput!$N$15+1,25,30,35,40,45,50)/100*(Inputs!$B$11-Inputs!$B$11),0))))/100+(Inputs!$B$23+0+(IF(ArtifactsInput!$M$15,CHOOSE(ArtifactsInput!$N$15+1,25,30,35,40,45,50)/100*(Inputs!$B$11-Inputs!$B$11),0)))/100)/2</f>
        <v/>
      </c>
      <c r="M1031">
        <f>L1031*(1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IF(B1056=0,0,O1031/B1056)</f>
        <v/>
      </c>
      <c r="Q1031">
        <f>IFERROR(1/(IF(Inputs!$B$38="pvp",15,MAX(0.1,Skills!D10-IF(Skills!E10=TRUE,Inputs!$B$32,0)))*(1-IF(AND(ArtifactsInput!$M$27,Inputs!$B$4="Chapter Hunt"),CHOOSE(ArtifactsInput!$N$27+1,20,24,28,32,36,40),0)/100)),0)</f>
        <v/>
      </c>
      <c r="R1031">
        <f>IF(AND(Inputs!$B$38&lt;&gt;"pvp",Inputs!$B$43&gt;0),IF(MAX(0,Inputs!$B$43-B1053)&lt;=0,0,(INT(MAX(0,Inputs!$B$43-B1053)/(IF(Inputs!$B$38="pvp",15,MAX(0.1,Skills!D10-IF(Skills!E10=TRUE,Inputs!$B$32,0)))*(1-IF(AND(ArtifactsInput!$M$27,Inputs!$B$4="Chapter Hunt"),CHOOSE(ArtifactsInput!$N$27+1,20,24,28,32,36,40),0)/100)))+1)),0)</f>
        <v/>
      </c>
      <c r="S1031">
        <f>IFERROR(O1031/N1031,0)</f>
        <v/>
      </c>
      <c r="T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$21+Skills!Q10+(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Skills!A11</f>
        <v/>
      </c>
      <c r="B1032">
        <f>Skills!B11</f>
        <v/>
      </c>
      <c r="C1032">
        <f>Inputs!$B$3&gt;=113</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Skills!G11*IF(Skills!H11&gt;0,Skills!I11/Skills!H11,1)</f>
        <v/>
      </c>
      <c r="H1032">
        <f>1-(1-Skills!J11/100)^Skills!K11</f>
        <v/>
      </c>
      <c r="I1032" t="inlineStr">
        <is>
          <t>1</t>
        </is>
      </c>
      <c r="J1032">
        <f>((Inputs!$B$6*(1+Inputs!$B$7/100))+(((Inputs!$B$12*(1+Inputs!$B$13/100))-(Inputs!$B$12*(1+Inputs!$B$13/100)))+0.25*(Inputs!$B$14-Inputs!$B$14))*(1+Inputs!$B$7/100))*(F1032/100)</f>
        <v/>
      </c>
      <c r="K1032">
        <f>J1032*(1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C1041=TRUE)*(F1041-Calc!F20)),(Inputs!$B$23+0+(IF(ArtifactsInput!$M$15,CHOOSE(ArtifactsInput!$N$15+1,25,30,35,40,45,50)/100*(Inputs!$B$11-Inputs!$B$11),0))))/100+(Inputs!$B$23+0+(IF(ArtifactsInput!$M$15,CHOOSE(ArtifactsInput!$N$15+1,25,30,35,40,45,50)/100*(Inputs!$B$11-Inputs!$B$11),0)))/100)/2</f>
        <v/>
      </c>
      <c r="M1032">
        <f>L1032*(1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(1-Summary!$B$11)*T1032+Summary!$B$11*V1032</f>
        <v/>
      </c>
      <c r="P1032">
        <f>IF(B1056=0,0,O1032/B1056)</f>
        <v/>
      </c>
      <c r="Q1032">
        <f>IFERROR(1/(IF(Inputs!$B$38="pvp",15,MAX(0.1,Skills!D11-IF(Skills!E11=TRUE,Inputs!$B$32,0)))*(1-IF(AND(ArtifactsInput!$M$27,Inputs!$B$4="Chapter Hunt"),CHOOSE(ArtifactsInput!$N$27+1,20,24,28,32,36,40),0)/100)),0)</f>
        <v/>
      </c>
      <c r="R1032">
        <f>IF(AND(Inputs!$B$38&lt;&gt;"pvp",Inputs!$B$43&gt;0),IF(MAX(0,Inputs!$B$43-B1053)&lt;=0,0,(INT(MAX(0,Inputs!$B$43-B1053)/(IF(Inputs!$B$38="pvp",15,MAX(0.1,Skills!D11-IF(Skills!E11=TRUE,Inputs!$B$32,0)))*(1-IF(AND(ArtifactsInput!$M$27,Inputs!$B$4="Chapter Hunt"),CHOOSE(ArtifactsInput!$N$27+1,20,24,28,32,36,40),0)/100)))+1)),0)</f>
        <v/>
      </c>
      <c r="S1032">
        <f>IFERROR(O1032/N1032,0)</f>
        <v/>
      </c>
      <c r="T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$21+Skills!Q11+(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3">
      <c r="A1033">
        <f>Skills!A12</f>
        <v/>
      </c>
      <c r="B1033">
        <f>Skills!B12</f>
        <v/>
      </c>
      <c r="C1033">
        <f>Inputs!$B$3&gt;=100</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t="inlineStr"/>
      <c r="H1033" t="inlineStr"/>
      <c r="I1033" t="inlineStr">
        <is>
          <t>1</t>
        </is>
      </c>
      <c r="J1033" t="inlineStr"/>
      <c r="K1033" t="inlineStr"/>
      <c r="L1033" t="inlineStr"/>
      <c r="M1033" t="inlineStr"/>
      <c r="N1033" t="inlineStr"/>
      <c r="O1033" t="inlineStr"/>
      <c r="P1033" t="inlineStr"/>
      <c r="Q1033" t="inlineStr"/>
      <c r="R1033" t="inlineStr"/>
      <c r="S1033" t="inlineStr"/>
      <c r="T1033" t="inlineStr"/>
      <c r="V1033" t="inlineStr"/>
    </row>
    <row r="1034">
      <c r="A1034">
        <f>Skills!A13</f>
        <v/>
      </c>
      <c r="B1034">
        <f>Skills!B13</f>
        <v/>
      </c>
      <c r="C1034">
        <f>Inputs!$B$3&gt;=66</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Skills!G13*IF(Skills!H13&gt;0,Skills!I13/Skills!H13,1)</f>
        <v/>
      </c>
      <c r="H1034">
        <f>1-(1-Skills!J13/100)^Skills!K13</f>
        <v/>
      </c>
      <c r="I1034" t="inlineStr">
        <is>
          <t>1</t>
        </is>
      </c>
      <c r="J1034" t="inlineStr"/>
      <c r="K1034" t="inlineStr"/>
      <c r="L1034" t="inlineStr"/>
      <c r="M1034" t="inlineStr"/>
      <c r="N1034" t="inlineStr"/>
      <c r="O1034">
        <f>(1-Summary!$B$11)*T1034+Summary!$B$11*V1034</f>
        <v/>
      </c>
      <c r="P1034">
        <f>IF(B1056=0,0,O1034/B1056)</f>
        <v/>
      </c>
      <c r="Q1034" t="n">
        <v>0</v>
      </c>
      <c r="R1034" t="n">
        <v>0</v>
      </c>
      <c r="S1034">
        <f>IFERROR(O1034/N1034,0)</f>
        <v/>
      </c>
      <c r="T1034" t="n">
        <v>0</v>
      </c>
      <c r="V1034" t="n">
        <v>0</v>
      </c>
    </row>
    <row r="1035">
      <c r="A1035">
        <f>Skills!A14</f>
        <v/>
      </c>
      <c r="B1035">
        <f>Skills!B14</f>
        <v/>
      </c>
      <c r="C1035">
        <f>Inputs!$B$3&gt;=107</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Skills!G14*IF(Skills!H14&gt;0,Skills!I14/Skills!H14,1)</f>
        <v/>
      </c>
      <c r="H1035">
        <f>1-(1-Skills!J14/100)^Skills!K14</f>
        <v/>
      </c>
      <c r="I1035" t="inlineStr">
        <is>
          <t>1</t>
        </is>
      </c>
      <c r="J1035" t="inlineStr"/>
      <c r="K1035" t="inlineStr"/>
      <c r="L1035" t="inlineStr"/>
      <c r="M1035" t="inlineStr"/>
      <c r="N1035" t="inlineStr"/>
      <c r="O1035">
        <f>(1-Summary!$B$11)*T1035+Summary!$B$11*V1035</f>
        <v/>
      </c>
      <c r="P1035">
        <f>IF(B1056=0,0,O1035/B1056)</f>
        <v/>
      </c>
      <c r="Q1035" t="n">
        <v>0</v>
      </c>
      <c r="R1035" t="n">
        <v>0</v>
      </c>
      <c r="S1035">
        <f>IFERROR(O1035/N1035,0)</f>
        <v/>
      </c>
      <c r="T1035" t="n">
        <v>0</v>
      </c>
      <c r="V1035" t="n">
        <v>0</v>
      </c>
    </row>
    <row r="1036">
      <c r="A1036">
        <f>Skills!A15</f>
        <v/>
      </c>
      <c r="B1036">
        <f>Skills!B15</f>
        <v/>
      </c>
      <c r="C1036">
        <f>Inputs!$B$3&gt;=115</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Skills!G15*IF(Skills!H15&gt;0,Skills!I15/Skills!H15,1)</f>
        <v/>
      </c>
      <c r="H1036">
        <f>1-(1-Skills!J15/100)^Skills!K15</f>
        <v/>
      </c>
      <c r="I1036" t="inlineStr">
        <is>
          <t>1</t>
        </is>
      </c>
      <c r="J1036" t="inlineStr"/>
      <c r="K1036" t="inlineStr"/>
      <c r="L1036" t="inlineStr"/>
      <c r="M1036" t="inlineStr"/>
      <c r="N1036" t="inlineStr"/>
      <c r="O1036">
        <f>(1-Summary!$B$11)*T1036+Summary!$B$11*V1036</f>
        <v/>
      </c>
      <c r="P1036">
        <f>IF(B1056=0,0,O1036/B1056)</f>
        <v/>
      </c>
      <c r="Q1036" t="n">
        <v>0</v>
      </c>
      <c r="R1036" t="n">
        <v>0</v>
      </c>
      <c r="S1036">
        <f>IFERROR(O1036/N1036,0)</f>
        <v/>
      </c>
      <c r="T1036" t="n">
        <v>0</v>
      </c>
      <c r="V1036" t="n">
        <v>0</v>
      </c>
    </row>
    <row r="1037">
      <c r="A1037">
        <f>Skills!A16</f>
        <v/>
      </c>
      <c r="B1037">
        <f>Skills!B16</f>
        <v/>
      </c>
      <c r="C1037">
        <f>Inputs!$B$3&gt;=15</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Skills!G16*IF(Skills!H16&gt;0,Skills!I16/Skills!H16,1)</f>
        <v/>
      </c>
      <c r="H1037">
        <f>1-(1-Skills!J16/100)^Skills!K16</f>
        <v/>
      </c>
      <c r="I1037" t="inlineStr">
        <is>
          <t>1</t>
        </is>
      </c>
      <c r="J1037" t="inlineStr"/>
      <c r="K1037" t="inlineStr"/>
      <c r="L1037" t="inlineStr"/>
      <c r="M1037" t="inlineStr"/>
      <c r="N1037" t="inlineStr"/>
      <c r="O1037">
        <f>(1-Summary!$B$11)*T1037+Summary!$B$11*V1037</f>
        <v/>
      </c>
      <c r="P1037">
        <f>IF(B1056=0,0,O1037/B1056)</f>
        <v/>
      </c>
      <c r="Q1037" t="n">
        <v>0</v>
      </c>
      <c r="R1037" t="n">
        <v>0</v>
      </c>
      <c r="S1037">
        <f>IFERROR(O1037/N1037,0)</f>
        <v/>
      </c>
      <c r="T1037" t="n">
        <v>0</v>
      </c>
      <c r="V1037" t="n">
        <v>0</v>
      </c>
    </row>
    <row r="1038">
      <c r="A1038">
        <f>Skills!A17</f>
        <v/>
      </c>
      <c r="B1038">
        <f>Skills!B17</f>
        <v/>
      </c>
      <c r="C1038">
        <f>Inputs!$B$3&gt;=10</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Skills!G17*IF(Skills!H17&gt;0,Skills!I17/Skills!H17,1)</f>
        <v/>
      </c>
      <c r="H1038">
        <f>1-(1-Skills!J17/100)^Skills!K17</f>
        <v/>
      </c>
      <c r="I1038" t="inlineStr">
        <is>
          <t>1</t>
        </is>
      </c>
      <c r="J1038" t="inlineStr"/>
      <c r="K1038" t="inlineStr"/>
      <c r="L1038" t="inlineStr"/>
      <c r="M1038" t="inlineStr"/>
      <c r="N1038" t="inlineStr"/>
      <c r="O1038">
        <f>(1-Summary!$B$11)*T1038+Summary!$B$11*V1038</f>
        <v/>
      </c>
      <c r="P1038">
        <f>IF(B1056=0,0,O1038/B1056)</f>
        <v/>
      </c>
      <c r="Q1038" t="n">
        <v>0</v>
      </c>
      <c r="R1038" t="n">
        <v>0</v>
      </c>
      <c r="S1038">
        <f>IFERROR(O1038/N1038,0)</f>
        <v/>
      </c>
      <c r="T1038" t="n">
        <v>0</v>
      </c>
      <c r="V1038" t="n">
        <v>0</v>
      </c>
    </row>
    <row r="1039">
      <c r="A1039">
        <f>Skills!A18</f>
        <v/>
      </c>
      <c r="B1039">
        <f>Skills!B18</f>
        <v/>
      </c>
      <c r="C1039">
        <f>Inputs!$B$3&gt;=33</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Skills!G18*IF(Skills!H18&gt;0,Skills!I18/Skills!H18,1)</f>
        <v/>
      </c>
      <c r="H1039">
        <f>1-(1-Skills!J18/100)^Skills!K18</f>
        <v/>
      </c>
      <c r="I1039" t="inlineStr">
        <is>
          <t>1</t>
        </is>
      </c>
      <c r="J1039" t="inlineStr"/>
      <c r="K1039" t="inlineStr"/>
      <c r="L1039" t="inlineStr"/>
      <c r="M1039" t="inlineStr"/>
      <c r="N1039" t="inlineStr"/>
      <c r="O1039">
        <f>(1-Summary!$B$11)*T1039+Summary!$B$11*V1039</f>
        <v/>
      </c>
      <c r="P1039">
        <f>IF(B1056=0,0,O1039/B1056)</f>
        <v/>
      </c>
      <c r="Q1039" t="n">
        <v>0</v>
      </c>
      <c r="R1039" t="n">
        <v>0</v>
      </c>
      <c r="S1039">
        <f>IFERROR(O1039/N1039,0)</f>
        <v/>
      </c>
      <c r="T1039" t="n">
        <v>0</v>
      </c>
      <c r="V1039" t="n">
        <v>0</v>
      </c>
    </row>
    <row r="1040">
      <c r="A1040">
        <f>Skills!A19</f>
        <v/>
      </c>
      <c r="B1040">
        <f>Skills!B19</f>
        <v/>
      </c>
      <c r="C1040">
        <f>Inputs!$B$3&gt;=40</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Skills!G19*IF(Skills!H19&gt;0,Skills!I19/Skills!H19,1)</f>
        <v/>
      </c>
      <c r="H1040">
        <f>1-(1-Skills!J19/100)^Skills!K19</f>
        <v/>
      </c>
      <c r="I1040" t="inlineStr">
        <is>
          <t>1</t>
        </is>
      </c>
      <c r="J1040" t="inlineStr"/>
      <c r="K1040" t="inlineStr"/>
      <c r="L1040" t="inlineStr"/>
      <c r="M1040" t="inlineStr"/>
      <c r="N1040" t="inlineStr"/>
      <c r="O1040">
        <f>(1-Summary!$B$11)*T1040+Summary!$B$11*V1040</f>
        <v/>
      </c>
      <c r="P1040">
        <f>IF(B1056=0,0,O1040/B1056)</f>
        <v/>
      </c>
      <c r="Q1040" t="n">
        <v>0</v>
      </c>
      <c r="R1040" t="n">
        <v>0</v>
      </c>
      <c r="S1040">
        <f>IFERROR(O1040/N1040,0)</f>
        <v/>
      </c>
      <c r="T1040" t="n">
        <v>0</v>
      </c>
      <c r="V1040" t="n">
        <v>0</v>
      </c>
    </row>
    <row r="1041">
      <c r="A1041">
        <f>Skills!A20</f>
        <v/>
      </c>
      <c r="B1041">
        <f>Skills!B20</f>
        <v/>
      </c>
      <c r="C1041">
        <f>Inputs!$B$3&gt;=43</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Skills!G20*IF(Skills!H20&gt;0,Skills!I20/Skills!H20,1)</f>
        <v/>
      </c>
      <c r="H1041">
        <f>1-(1-Skills!J20/100)^Skills!K20</f>
        <v/>
      </c>
      <c r="I1041" t="inlineStr">
        <is>
          <t>1</t>
        </is>
      </c>
      <c r="J1041" t="inlineStr"/>
      <c r="K1041" t="inlineStr"/>
      <c r="L1041" t="inlineStr"/>
      <c r="M1041" t="inlineStr"/>
      <c r="N1041" t="inlineStr"/>
      <c r="O1041">
        <f>(1-Summary!$B$11)*T1041+Summary!$B$11*V1041</f>
        <v/>
      </c>
      <c r="P1041">
        <f>IF(B1056=0,0,O1041/B1056)</f>
        <v/>
      </c>
      <c r="Q1041" t="n">
        <v>0</v>
      </c>
      <c r="R1041" t="n">
        <v>0</v>
      </c>
      <c r="S1041">
        <f>IFERROR(O1041/N1041,0)</f>
        <v/>
      </c>
      <c r="T1041" t="n">
        <v>0</v>
      </c>
      <c r="V1041" t="n">
        <v>0</v>
      </c>
    </row>
    <row r="1042">
      <c r="A1042">
        <f>Skills!A21</f>
        <v/>
      </c>
      <c r="B1042">
        <f>Skills!B21</f>
        <v/>
      </c>
      <c r="C1042">
        <f>Inputs!$B$3&gt;=38</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Skills!G21*IF(Skills!H21&gt;0,Skills!I21/Skills!H21,1)</f>
        <v/>
      </c>
      <c r="H1042">
        <f>1-(1-Skills!J21/100)^Skills!K21</f>
        <v/>
      </c>
      <c r="I1042" t="inlineStr">
        <is>
          <t>1</t>
        </is>
      </c>
      <c r="J1042" t="inlineStr"/>
      <c r="K1042" t="inlineStr"/>
      <c r="L1042" t="inlineStr"/>
      <c r="M1042" t="inlineStr"/>
      <c r="N1042" t="inlineStr"/>
      <c r="O1042">
        <f>(1-Summary!$B$11)*T1042+Summary!$B$11*V1042</f>
        <v/>
      </c>
      <c r="P1042">
        <f>IF(B1056=0,0,O1042/B1056)</f>
        <v/>
      </c>
      <c r="Q1042" t="n">
        <v>0</v>
      </c>
      <c r="R1042" t="n">
        <v>0</v>
      </c>
      <c r="S1042">
        <f>IFERROR(O1042/N1042,0)</f>
        <v/>
      </c>
      <c r="T1042" t="n">
        <v>0</v>
      </c>
      <c r="V1042" t="n">
        <v>0</v>
      </c>
    </row>
    <row r="1043">
      <c r="A1043">
        <f>Skills!A22</f>
        <v/>
      </c>
      <c r="B1043">
        <f>Skills!B22</f>
        <v/>
      </c>
      <c r="C1043">
        <f>Inputs!$B$3&gt;=75</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Skills!G22*IF(Skills!H22&gt;0,Skills!I22/Skills!H22,1)</f>
        <v/>
      </c>
      <c r="H1043">
        <f>1-(1-Skills!J22/100)^Skills!K22</f>
        <v/>
      </c>
      <c r="I1043" t="inlineStr">
        <is>
          <t>1</t>
        </is>
      </c>
      <c r="J1043" t="inlineStr"/>
      <c r="K1043" t="inlineStr"/>
      <c r="L1043" t="inlineStr"/>
      <c r="M1043" t="inlineStr"/>
      <c r="N1043" t="inlineStr"/>
      <c r="O1043">
        <f>(1-Summary!$B$11)*T1043+Summary!$B$11*V1043</f>
        <v/>
      </c>
      <c r="P1043">
        <f>IF(B1056=0,0,O1043/B1056)</f>
        <v/>
      </c>
      <c r="Q1043" t="n">
        <v>0</v>
      </c>
      <c r="R1043" t="n">
        <v>0</v>
      </c>
      <c r="S1043">
        <f>IFERROR(O1043/N1043,0)</f>
        <v/>
      </c>
      <c r="T1043" t="n">
        <v>0</v>
      </c>
      <c r="V1043" t="n">
        <v>0</v>
      </c>
    </row>
    <row r="1045">
      <c r="A1045" t="inlineStr">
        <is>
          <t>Attack% Bucket Multiplier</t>
        </is>
      </c>
      <c r="B1045">
        <f>(1+(((C1034=TRUE)*F1034)+((C1040=TRUE)*(F1040-Calc!F19))+(IF(ArtifactsInput!$M$21,CHOOSE(ArtifactsInput!$N$21+1,25,30,35,40,45,50)*(IF(OR(Inputs!$B$4="Chapter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6">
      <c r="A1046" t="inlineStr">
        <is>
          <t>Global Crit Rate Bonus %</t>
        </is>
      </c>
      <c r="B1046" t="n">
        <v>0</v>
      </c>
    </row>
    <row r="1047">
      <c r="A1047" t="inlineStr">
        <is>
          <t>Attack Speed Buff Bonus % (unused)</t>
        </is>
      </c>
      <c r="B1047" t="n">
        <v>0</v>
      </c>
    </row>
    <row r="1048">
      <c r="A1048" t="inlineStr">
        <is>
          <t>Actions Per Second</t>
        </is>
      </c>
      <c r="B1048">
        <f>1+MIN(150,150*(1-(1-(Inputs!$B$11+((C1038=TRUE)*(F1038-Calc!F17))+((C1039=TRUE)*(F1039-Calc!F18)))/150)*(1-B1047/150)))/100</f>
        <v/>
      </c>
    </row>
    <row r="1049">
      <c r="A1049" t="inlineStr">
        <is>
          <t>Skill + Buff Cast Rate</t>
        </is>
      </c>
      <c r="B1049">
        <f>IF(AND(Inputs!$B$38&lt;&gt;"pvp",Inputs!$B$43&gt;0),SUMPRODUCT((Skills!E2:E22=TRUE)*(C1023:C1043=TRUE)*R1023:R1043*Skills!F2:F22)/Inputs!$B$43,SUMPRODUCT((Skills!E2:E22=TRUE)*(C1023:C1043=TRUE)*Q1023:Q1043*Skills!F2:F22))</f>
        <v/>
      </c>
    </row>
    <row r="1050">
      <c r="A1050" t="inlineStr">
        <is>
          <t>Hook Bomber Casts Per Second</t>
        </is>
      </c>
      <c r="B1050">
        <f>MAX(0,B1048-B1049)</f>
        <v/>
      </c>
    </row>
    <row r="1051">
      <c r="A1051" t="inlineStr">
        <is>
          <t>Global Critical Damage Bonus % (unused)</t>
        </is>
      </c>
      <c r="B1051" t="n">
        <v>0</v>
      </c>
    </row>
    <row r="1052">
      <c r="A1052" t="inlineStr">
        <is>
          <t>Global Final Damage Bonus % (Serpent Scale + Crossbones + Time Leap + Speed Infusion)</t>
        </is>
      </c>
      <c r="B1052">
        <f>((C1026=TRUE)*F1026*((10+IF(Inputs!$B$3&gt;=94,5,0))/((10+IF(Inputs!$B$3&gt;=94,5,0))+5/(B1050*(1+IF(Inputs!$B$3&gt;=104,1,0))))))+((C1035=TRUE)*F1035)+((C1036=TRUE)*F1036)+((Inputs!$B$3&gt;=110)*20*(B1048-1))</f>
        <v/>
      </c>
    </row>
    <row r="1053">
      <c r="A1053" t="inlineStr">
        <is>
          <t>Buff-Casting Startup Delay (s, fixed-duration only)</t>
        </is>
      </c>
      <c r="B1053">
        <f>IF(AND(Inputs!$B$38&lt;&gt;"pvp",Inputs!$B$43&gt;0),SUMPRODUCT((Skills!T2:T22&gt;0)*(Skills!E2:E22=TRUE)*(C1023:C1043=TRUE))/B1048,0)</f>
        <v/>
      </c>
    </row>
    <row r="1054">
      <c r="A1054" t="inlineStr">
        <is>
          <t>Boss-Only Total DPS (this block's swept value)</t>
        </is>
      </c>
      <c r="B1054">
        <f>SUM(T1023:T1043)</f>
        <v/>
      </c>
    </row>
    <row r="1055">
      <c r="A1055" t="inlineStr">
        <is>
          <t>Normal-Only Total DPS (this block's swept value)</t>
        </is>
      </c>
      <c r="B1055">
        <f>SUM(V1023:V1043)</f>
        <v/>
      </c>
    </row>
    <row r="1056">
      <c r="A1056" s="6" t="inlineStr">
        <is>
          <t>TOTAL DPS</t>
        </is>
      </c>
      <c r="B1056" s="6">
        <f>SUM(O1023:O1043)</f>
        <v/>
      </c>
    </row>
    <row r="1059">
      <c r="A1059" s="6" t="inlineStr">
        <is>
          <t>Stat: Charm of the Undead (Equip)</t>
        </is>
      </c>
    </row>
    <row r="1060">
      <c r="A1060" s="5" t="inlineStr">
        <is>
          <t>Key</t>
        </is>
      </c>
      <c r="B1060" s="5" t="inlineStr">
        <is>
          <t>Name</t>
        </is>
      </c>
      <c r="C1060" s="5" t="inlineStr">
        <is>
          <t>Unlocked</t>
        </is>
      </c>
      <c r="D1060" s="5" t="inlineStr">
        <is>
          <t>InputLevel</t>
        </is>
      </c>
      <c r="E1060" s="5" t="inlineStr">
        <is>
          <t>Factor</t>
        </is>
      </c>
      <c r="F1060" s="5" t="inlineStr">
        <is>
          <t>CoefficientPercent</t>
        </is>
      </c>
      <c r="G1060" s="5" t="inlineStr">
        <is>
          <t>EffectiveHits</t>
        </is>
      </c>
      <c r="H1060" s="5" t="inlineStr">
        <is>
          <t>ProcProbability</t>
        </is>
      </c>
      <c r="I1060" s="5" t="inlineStr">
        <is>
          <t>MapleHeroMultiplier</t>
        </is>
      </c>
      <c r="J1060" s="5" t="inlineStr">
        <is>
          <t>BaseDamage</t>
        </is>
      </c>
      <c r="K1060" s="5" t="inlineStr">
        <is>
          <t>BaseHitDamage</t>
        </is>
      </c>
      <c r="L1060" s="5" t="inlineStr">
        <is>
          <t>NonCritAvg</t>
        </is>
      </c>
      <c r="M1060" s="5" t="inlineStr">
        <is>
          <t>CritAvg</t>
        </is>
      </c>
      <c r="N1060" s="5" t="inlineStr">
        <is>
          <t>ExpectedDamage(perHit)</t>
        </is>
      </c>
      <c r="O1060" s="5" t="inlineStr">
        <is>
          <t>DPS</t>
        </is>
      </c>
      <c r="P1060" s="5" t="inlineStr">
        <is>
          <t>% of Total</t>
        </is>
      </c>
      <c r="Q1060" s="5" t="inlineStr">
        <is>
          <t>InvCooldown</t>
        </is>
      </c>
      <c r="R1060" s="5" t="inlineStr">
        <is>
          <t>CastsInFight</t>
        </is>
      </c>
      <c r="S1060" s="5" t="inlineStr">
        <is>
          <t>HitRate(perSec)</t>
        </is>
      </c>
      <c r="U1060" t="inlineStr">
        <is>
          <t>helpers</t>
        </is>
      </c>
    </row>
    <row r="1061">
      <c r="A1061">
        <f>Skills!A2</f>
        <v/>
      </c>
      <c r="B1061">
        <f>Skills!B2</f>
        <v/>
      </c>
      <c r="C1061">
        <f>Inputs!$B$3&gt;=100</f>
        <v/>
      </c>
      <c r="D1061" t="inlineStr"/>
      <c r="E1061" t="inlineStr"/>
      <c r="F1061">
        <f>U1063+Skills!O2</f>
        <v/>
      </c>
      <c r="G1061">
        <f>Skills!G2*IF(Skills!H2&gt;0,Skills!I2/Skills!H2,1)</f>
        <v/>
      </c>
      <c r="H1061">
        <f>1-(1-Skills!J2/100)^Skills!K2</f>
        <v/>
      </c>
      <c r="I1061" t="inlineStr">
        <is>
          <t>1</t>
        </is>
      </c>
      <c r="J1061">
        <f>((Inputs!$B$6*(1+Inputs!$B$7/100))+(((Inputs!$B$12*(1+Inputs!$B$13/100))-(Inputs!$B$12*(1+Inputs!$B$13/100)))+0.25*(Inputs!$B$14-Inputs!$B$14))*(1+Inputs!$B$7/100))*(F1061/100)</f>
        <v/>
      </c>
      <c r="K1061">
        <f>J1061*(1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1079=TRUE)*(F1079-Calc!F20)),(Inputs!$B$23+0+(IF(ArtifactsInput!$M$15,CHOOSE(ArtifactsInput!$N$15+1,25,30,35,40,45,50)/100*(Inputs!$B$11-Inputs!$B$11),0))))/100+(Inputs!$B$23+0+(IF(ArtifactsInput!$M$15,CHOOSE(ArtifactsInput!$N$15+1,25,30,35,40,45,50)/100*(Inputs!$B$11-Inputs!$B$11),0)))/100)/2</f>
        <v/>
      </c>
      <c r="M1061">
        <f>L1061*(1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IF(B1094=0,0,O1061/B1094)</f>
        <v/>
      </c>
      <c r="Q1061" t="n">
        <v>0</v>
      </c>
      <c r="R1061" t="n">
        <v>0</v>
      </c>
      <c r="S1061">
        <f>IFERROR(O1061/N1061,0)</f>
        <v/>
      </c>
      <c r="T1061">
        <f>IF(C1061,(Skills!G2*N1061*B1088)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MAX(0,(Inputs!$B$3-100)*3)+Inputs!$B$28+Inputs!$B$29</f>
        <v/>
      </c>
      <c r="V1061">
        <f>IF(C1061,(Skills!G2*N1061*B1088)*IF(Inputs!$B$38="pvp",1,(1+(Inputs!$B$21+Skills!Q2+(IF(ArtifactsInput!$M$33,CHOOSE(ArtifactsInput!$N$33+1,30,36,42,48,54,60),0))+(IF(AND(ArtifactsInput!$M$35,Inputs!$B$4&lt;&gt;"Chapter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Skills!A3</f>
        <v/>
      </c>
      <c r="B1062">
        <f>Skills!B3</f>
        <v/>
      </c>
      <c r="C1062">
        <f>Inputs!$B$3&gt;=35</f>
        <v/>
      </c>
      <c r="D1062">
        <f>IF(Skills!C3=1,60+Inputs!$B$25+Inputs!$B$29,IF(Skills!C3=2,90+Inputs!$B$26+Inputs!$B$29,IF(Skills!C3=3,120+Inputs!$B$27+Inputs!$B$29,MAX(0,(Inputs!$B$3-100)*3)+Inputs!$B$28+Inputs!$B$29)))</f>
        <v/>
      </c>
      <c r="E1062">
        <f>INDEX(FactorTable!$B$2:$Y$301, MATCH(ROUND(MIN(300,MAX(1,D1062)),0), FactorTable!$A$2:$A$301,0), Skills!M3+1)</f>
        <v/>
      </c>
      <c r="F1062">
        <f>IF(Skills!N3=TRUE,(Skills!L3/10)*(E1062/1000),Skills!L3/10)+Skills!O3</f>
        <v/>
      </c>
      <c r="G1062">
        <f>Skills!G3*IF(Skills!H3&gt;0,Skills!I3/Skills!H3,1)</f>
        <v/>
      </c>
      <c r="H1062">
        <f>1-(1-Skills!J3/100)^Skills!K3</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1079=TRUE)*(F1079-Calc!F20)),(Inputs!$B$23+0+(IF(ArtifactsInput!$M$15,CHOOSE(ArtifactsInput!$N$15+1,25,30,35,40,45,50)/100*(Inputs!$B$11-Inputs!$B$11),0))))/100+(Inputs!$B$23+0+(IF(ArtifactsInput!$M$15,CHOOSE(ArtifactsInput!$N$15+1,25,30,35,40,45,50)/100*(Inputs!$B$11-Inputs!$B$11),0)))/100)/2</f>
        <v/>
      </c>
      <c r="M1062">
        <f>L1062*(1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IF(B1094=0,0,O1062/B1094)</f>
        <v/>
      </c>
      <c r="Q1062" t="n">
        <v>0</v>
      </c>
      <c r="R1062" t="n">
        <v>0</v>
      </c>
      <c r="S1062">
        <f>IFERROR(O1062/N1062,0)</f>
        <v/>
      </c>
      <c r="T1062">
        <f>IF(C1062,(Skills!G3*H1062*N1062*B1088)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INDEX(FactorTable!$B$2:$Y$301, MATCH(ROUND(MIN(300,MAX(1,U1061)),0), FactorTable!$A$2:$A$301,0), 22)</f>
        <v/>
      </c>
      <c r="V1062">
        <f>IF(C1062,(Skills!G3*H1062*N1062*B1088)*IF(Inputs!$B$38="pvp",1,(1+(Inputs!$B$21+Skills!Q3+(IF(ArtifactsInput!$M$33,CHOOSE(ArtifactsInput!$N$33+1,30,36,42,48,54,60),0))+(IF(AND(ArtifactsInput!$M$35,Inputs!$B$4&lt;&gt;"Chapter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Skills!A4</f>
        <v/>
      </c>
      <c r="B1063">
        <f>Skills!B4</f>
        <v/>
      </c>
      <c r="C1063">
        <f>Inputs!$B$3&gt;=60</f>
        <v/>
      </c>
      <c r="D1063">
        <f>IF(Skills!C4=1,60+Inputs!$B$25+Inputs!$B$29,IF(Skills!C4=2,90+Inputs!$B$26+Inputs!$B$29,IF(Skills!C4=3,120+Inputs!$B$27+Inputs!$B$29,MAX(0,(Inputs!$B$3-100)*3)+Inputs!$B$28+Inputs!$B$29)))</f>
        <v/>
      </c>
      <c r="E1063">
        <f>INDEX(FactorTable!$B$2:$Y$301, MATCH(ROUND(MIN(300,MAX(1,D1063)),0), FactorTable!$A$2:$A$301,0), Skills!M4+1)</f>
        <v/>
      </c>
      <c r="F1063">
        <f>IF(Skills!N4=TRUE,(Skills!L4/10)*(E1063/1000),Skills!L4/10)+Skills!O4</f>
        <v/>
      </c>
      <c r="G1063">
        <f>Skills!G4*IF(Skills!H4&gt;0,Skills!I4/Skills!H4,1)</f>
        <v/>
      </c>
      <c r="H1063">
        <f>1-(1-Skills!J4/100)^Skills!K4</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1071=TRUE,F1071,0)/100)*(1+(IF(Skills!A4="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1079=TRUE)*(F1079-Calc!F20)),(Inputs!$B$23+0+(IF(ArtifactsInput!$M$15,CHOOSE(ArtifactsInput!$N$15+1,25,30,35,40,45,50)/100*(Inputs!$B$11-Inputs!$B$11),0))))/100+(Inputs!$B$23+0+(IF(ArtifactsInput!$M$15,CHOOSE(ArtifactsInput!$N$15+1,25,30,35,40,45,50)/100*(Inputs!$B$11-Inputs!$B$11),0)))/100)/2</f>
        <v/>
      </c>
      <c r="M1063">
        <f>L1063*(1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IF(B1094=0,0,O1063/B1094)</f>
        <v/>
      </c>
      <c r="Q1063" t="n">
        <v>0</v>
      </c>
      <c r="R1063" t="n">
        <v>0</v>
      </c>
      <c r="S1063">
        <f>IFERROR(O1063/N1063,0)</f>
        <v/>
      </c>
      <c r="T1063">
        <f>IF(C1063,(Skills!G4*H1063*N1063*B1088)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290*U1062/1000</f>
        <v/>
      </c>
      <c r="V1063">
        <f>IF(C1063,(Skills!G4*H1063*N1063*B1088)*IF(Inputs!$B$38="pvp",1,(1+(Inputs!$B$21+Skills!Q4+(IF(ArtifactsInput!$M$33,CHOOSE(ArtifactsInput!$N$33+1,30,36,42,48,54,60),0))+(IF(AND(ArtifactsInput!$M$35,Inputs!$B$4&lt;&gt;"Chapter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Skills!A5</f>
        <v/>
      </c>
      <c r="B1064">
        <f>Skills!B5</f>
        <v/>
      </c>
      <c r="C1064">
        <f>Inputs!$B$3&gt;=60</f>
        <v/>
      </c>
      <c r="D1064">
        <f>IF(Skills!C5=1,60+Inputs!$B$25+Inputs!$B$29,IF(Skills!C5=2,90+Inputs!$B$26+Inputs!$B$29,IF(Skills!C5=3,120+Inputs!$B$27+Inputs!$B$29,MAX(0,(Inputs!$B$3-100)*3)+Inputs!$B$28+Inputs!$B$29)))</f>
        <v/>
      </c>
      <c r="E1064">
        <f>INDEX(FactorTable!$B$2:$Y$301, MATCH(ROUND(MIN(300,MAX(1,D1064)),0), FactorTable!$A$2:$A$301,0), Skills!M5+1)</f>
        <v/>
      </c>
      <c r="F1064">
        <f>IF(Skills!N5=TRUE,(Skills!L5/10)*(E1064/1000),Skills!L5/10)+Skills!O5</f>
        <v/>
      </c>
      <c r="G1064">
        <f>Skills!G5*IF(Skills!H5&gt;0,Skills!I5/Skills!H5,1)</f>
        <v/>
      </c>
      <c r="H1064">
        <f>1-(1-Skills!J5/100)^Skills!K5</f>
        <v/>
      </c>
      <c r="I1064" t="inlineStr">
        <is>
          <t>1</t>
        </is>
      </c>
      <c r="J1064" t="inlineStr"/>
      <c r="K1064" t="inlineStr"/>
      <c r="L1064" t="inlineStr"/>
      <c r="M1064" t="inlineStr"/>
      <c r="N1064" t="inlineStr"/>
      <c r="O1064">
        <f>(1-Summary!$B$11)*T1064+Summary!$B$11*V1064</f>
        <v/>
      </c>
      <c r="P1064">
        <f>IF(B1094=0,0,O1064/B1094)</f>
        <v/>
      </c>
      <c r="Q1064" t="n">
        <v>0</v>
      </c>
      <c r="R1064" t="n">
        <v>0</v>
      </c>
      <c r="S1064">
        <f>IFERROR(O1064/N1064,0)</f>
        <v/>
      </c>
      <c r="T1064" t="n">
        <v>0</v>
      </c>
      <c r="V1064" t="n">
        <v>0</v>
      </c>
    </row>
    <row r="1065">
      <c r="A1065">
        <f>Skills!A6</f>
        <v/>
      </c>
      <c r="B1065">
        <f>Skills!B6</f>
        <v/>
      </c>
      <c r="C1065">
        <f>Inputs!$B$3&gt;=63</f>
        <v/>
      </c>
      <c r="D1065">
        <f>IF(Skills!C6=1,60+Inputs!$B$25+Inputs!$B$29,IF(Skills!C6=2,90+Inputs!$B$26+Inputs!$B$29,IF(Skills!C6=3,120+Inputs!$B$27+Inputs!$B$29,MAX(0,(Inputs!$B$3-100)*3)+Inputs!$B$28+Inputs!$B$29)))</f>
        <v/>
      </c>
      <c r="E1065">
        <f>INDEX(FactorTable!$B$2:$Y$301, MATCH(ROUND(MIN(300,MAX(1,D1065)),0), FactorTable!$A$2:$A$301,0), Skills!M6+1)</f>
        <v/>
      </c>
      <c r="F1065">
        <f>IF(Skills!N6=TRUE,(Skills!L6/10)*(E1065/1000),Skills!L6/10)+Skills!O6</f>
        <v/>
      </c>
      <c r="G1065">
        <f>Skills!G6*IF(Skills!H6&gt;0,Skills!I6/Skills!H6,1)</f>
        <v/>
      </c>
      <c r="H1065">
        <f>1-(1-Skills!J6/100)^Skills!K6</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1079=TRUE)*(F1079-Calc!F20)),(Inputs!$B$23+0+(IF(ArtifactsInput!$M$15,CHOOSE(ArtifactsInput!$N$15+1,25,30,35,40,45,50)/100*(Inputs!$B$11-Inputs!$B$11),0))))/100+(Inputs!$B$23+0+(IF(ArtifactsInput!$M$15,CHOOSE(ArtifactsInput!$N$15+1,25,30,35,40,45,50)/100*(Inputs!$B$11-Inputs!$B$11),0)))/100)/2</f>
        <v/>
      </c>
      <c r="M1065">
        <f>L1065*(1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IF(B1094=0,0,O1065/B1094)</f>
        <v/>
      </c>
      <c r="Q1065">
        <f>IFERROR(1/(IF(Inputs!$B$38="pvp",15,MAX(0.1,Skills!D6-IF(Skills!E6=TRUE,Inputs!$B$32,0)))*(1-IF(AND(ArtifactsInput!$M$27,Inputs!$B$4="Chapter Hunt"),CHOOSE(ArtifactsInput!$N$27+1,20,24,28,32,36,40),0)/100)),0)</f>
        <v/>
      </c>
      <c r="R1065">
        <f>IF(AND(Inputs!$B$38&lt;&gt;"pvp",Inputs!$B$43&gt;0),IF(MAX(0,Inputs!$B$43-B1091)&lt;=0,0,(INT(MAX(0,Inputs!$B$43-B1091)/(IF(Inputs!$B$38="pvp",15,MAX(0.1,Skills!D6-IF(Skills!E6=TRUE,Inputs!$B$32,0)))*(1-IF(AND(ArtifactsInput!$M$27,Inputs!$B$4="Chapter Hunt"),CHOOSE(ArtifactsInput!$N$27+1,20,24,28,32,36,40),0)/100)))+1)),0)</f>
        <v/>
      </c>
      <c r="S1065">
        <f>IFERROR(O1065/N1065,0)</f>
        <v/>
      </c>
      <c r="T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$21+Skills!Q6+(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Skills!A7</f>
        <v/>
      </c>
      <c r="B1066">
        <f>Skills!B7</f>
        <v/>
      </c>
      <c r="C1066">
        <f>Inputs!$B$3&gt;=100</f>
        <v/>
      </c>
      <c r="D1066">
        <f>IF(Skills!C7=1,60+Inputs!$B$25+Inputs!$B$29,IF(Skills!C7=2,90+Inputs!$B$26+Inputs!$B$29,IF(Skills!C7=3,120+Inputs!$B$27+Inputs!$B$29,MAX(0,(Inputs!$B$3-100)*3)+Inputs!$B$28+Inputs!$B$29)))</f>
        <v/>
      </c>
      <c r="E1066">
        <f>INDEX(FactorTable!$B$2:$Y$301, MATCH(ROUND(MIN(300,MAX(1,D1066)),0), FactorTable!$A$2:$A$301,0), Skills!M7+1)</f>
        <v/>
      </c>
      <c r="F1066">
        <f>IF(Skills!N7=TRUE,(Skills!L7/10)*(E1066/1000),Skills!L7/10)+Skills!O7</f>
        <v/>
      </c>
      <c r="G1066">
        <f>Skills!G7*IF(Skills!H7&gt;0,Skills!I7/Skills!H7,1)</f>
        <v/>
      </c>
      <c r="H1066">
        <f>1-(1-Skills!J7/100)^Skills!K7</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1079=TRUE)*(F1079-Calc!F20)),(Inputs!$B$23+0+(IF(ArtifactsInput!$M$15,CHOOSE(ArtifactsInput!$N$15+1,25,30,35,40,45,50)/100*(Inputs!$B$11-Inputs!$B$11),0))))/100+(Inputs!$B$23+0+(IF(ArtifactsInput!$M$15,CHOOSE(ArtifactsInput!$N$15+1,25,30,35,40,45,50)/100*(Inputs!$B$11-Inputs!$B$11),0)))/100)/2</f>
        <v/>
      </c>
      <c r="M1066">
        <f>L1066*(1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IF(B1094=0,0,O1066/B1094)</f>
        <v/>
      </c>
      <c r="Q1066">
        <f>IFERROR(1/(IF(Inputs!$B$38="pvp",15,MAX(0.1,Skills!D7-IF(Skills!E7=TRUE,Inputs!$B$32,0)))*(1-IF(AND(ArtifactsInput!$M$27,Inputs!$B$4="Chapter Hunt"),CHOOSE(ArtifactsInput!$N$27+1,20,24,28,32,36,40),0)/100)),0)</f>
        <v/>
      </c>
      <c r="R1066">
        <f>IF(AND(Inputs!$B$38&lt;&gt;"pvp",Inputs!$B$43&gt;0),IF(MAX(0,Inputs!$B$43-B1091)&lt;=0,0,(INT(MAX(0,Inputs!$B$43-B1091)/(IF(Inputs!$B$38="pvp",15,MAX(0.1,Skills!D7-IF(Skills!E7=TRUE,Inputs!$B$32,0)))*(1-IF(AND(ArtifactsInput!$M$27,Inputs!$B$4="Chapter Hunt"),CHOOSE(ArtifactsInput!$N$27+1,20,24,28,32,36,40),0)/100)))+1)),0)</f>
        <v/>
      </c>
      <c r="S1066">
        <f>IFERROR(O1066/N1066,0)</f>
        <v/>
      </c>
      <c r="T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$21+Skills!Q7+(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Skills!A8</f>
        <v/>
      </c>
      <c r="B1067">
        <f>Skills!B8</f>
        <v/>
      </c>
      <c r="C1067">
        <f>Inputs!$B$3&gt;=110</f>
        <v/>
      </c>
      <c r="D1067">
        <f>IF(Skills!C8=1,60+Inputs!$B$25+Inputs!$B$29,IF(Skills!C8=2,90+Inputs!$B$26+Inputs!$B$29,IF(Skills!C8=3,120+Inputs!$B$27+Inputs!$B$29,MAX(0,(Inputs!$B$3-100)*3)+Inputs!$B$28+Inputs!$B$29)))</f>
        <v/>
      </c>
      <c r="E1067">
        <f>INDEX(FactorTable!$B$2:$Y$301, MATCH(ROUND(MIN(300,MAX(1,D1067)),0), FactorTable!$A$2:$A$301,0), Skills!M8+1)</f>
        <v/>
      </c>
      <c r="F1067">
        <f>IF(Skills!N8=TRUE,(Skills!L8/10)*(E1067/1000),Skills!L8/10)+Skills!O8</f>
        <v/>
      </c>
      <c r="G1067">
        <f>Skills!G8*IF(Skills!H8&gt;0,Skills!I8/Skills!H8,1)</f>
        <v/>
      </c>
      <c r="H1067">
        <f>1-(1-Skills!J8/100)^Skills!K8</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1079=TRUE)*(F1079-Calc!F20)),(Inputs!$B$23+0+(IF(ArtifactsInput!$M$15,CHOOSE(ArtifactsInput!$N$15+1,25,30,35,40,45,50)/100*(Inputs!$B$11-Inputs!$B$11),0))))/100+(Inputs!$B$23+0+(IF(ArtifactsInput!$M$15,CHOOSE(ArtifactsInput!$N$15+1,25,30,35,40,45,50)/100*(Inputs!$B$11-Inputs!$B$11),0)))/100)/2</f>
        <v/>
      </c>
      <c r="M1067">
        <f>L1067*(1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IF(B1094=0,0,O1067/B1094)</f>
        <v/>
      </c>
      <c r="Q1067">
        <f>IFERROR(1/(IF(Inputs!$B$38="pvp",15,MAX(0.1,Skills!D8-IF(Skills!E8=TRUE,Inputs!$B$32,0)))*(1-IF(AND(ArtifactsInput!$M$27,Inputs!$B$4="Chapter Hunt"),CHOOSE(ArtifactsInput!$N$27+1,20,24,28,32,36,40),0)/100)),0)</f>
        <v/>
      </c>
      <c r="R1067">
        <f>IF(AND(Inputs!$B$38&lt;&gt;"pvp",Inputs!$B$43&gt;0),IF(MAX(0,Inputs!$B$43-B1091)&lt;=0,0,(INT(MAX(0,Inputs!$B$43-B1091)/(IF(Inputs!$B$38="pvp",15,MAX(0.1,Skills!D8-IF(Skills!E8=TRUE,Inputs!$B$32,0)))*(1-IF(AND(ArtifactsInput!$M$27,Inputs!$B$4="Chapter Hunt"),CHOOSE(ArtifactsInput!$N$27+1,20,24,28,32,36,40),0)/100)))+1)),0)</f>
        <v/>
      </c>
      <c r="S1067">
        <f>IFERROR(O1067/N1067,0)</f>
        <v/>
      </c>
      <c r="T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$21+Skills!Q8+(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Skills!A9</f>
        <v/>
      </c>
      <c r="B1068">
        <f>Skills!B9</f>
        <v/>
      </c>
      <c r="C1068">
        <f>Inputs!$B$3&gt;=110</f>
        <v/>
      </c>
      <c r="D1068">
        <f>IF(Skills!C9=1,60+Inputs!$B$25+Inputs!$B$29,IF(Skills!C9=2,90+Inputs!$B$26+Inputs!$B$29,IF(Skills!C9=3,120+Inputs!$B$27+Inputs!$B$29,MAX(0,(Inputs!$B$3-100)*3)+Inputs!$B$28+Inputs!$B$29)))</f>
        <v/>
      </c>
      <c r="E1068">
        <f>INDEX(FactorTable!$B$2:$Y$301, MATCH(ROUND(MIN(300,MAX(1,D1068)),0), FactorTable!$A$2:$A$301,0), Skills!M9+1)</f>
        <v/>
      </c>
      <c r="F1068">
        <f>IF(Skills!N9=TRUE,(Skills!L9/10)*(E1068/1000),Skills!L9/10)+Skills!O9</f>
        <v/>
      </c>
      <c r="G1068">
        <f>Skills!G9*IF(Skills!H9&gt;0,Skills!I9/Skills!H9,1)</f>
        <v/>
      </c>
      <c r="H1068">
        <f>1-(1-Skills!J9/100)^Skills!K9</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1079=TRUE)*(F1079-Calc!F20)),(Inputs!$B$23+0+(IF(ArtifactsInput!$M$15,CHOOSE(ArtifactsInput!$N$15+1,25,30,35,40,45,50)/100*(Inputs!$B$11-Inputs!$B$11),0))))/100+(Inputs!$B$23+0+(IF(ArtifactsInput!$M$15,CHOOSE(ArtifactsInput!$N$15+1,25,30,35,40,45,50)/100*(Inputs!$B$11-Inputs!$B$11),0)))/100)/2</f>
        <v/>
      </c>
      <c r="M1068">
        <f>L1068*(1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IF(B1094=0,0,O1068/B1094)</f>
        <v/>
      </c>
      <c r="Q1068">
        <f>IFERROR(1/(IF(Inputs!$B$38="pvp",15,MAX(0.1,Skills!D9-IF(Skills!E9=TRUE,Inputs!$B$32,0)))*(1-IF(AND(ArtifactsInput!$M$27,Inputs!$B$4="Chapter Hunt"),CHOOSE(ArtifactsInput!$N$27+1,20,24,28,32,36,40),0)/100)),0)</f>
        <v/>
      </c>
      <c r="R1068">
        <f>IF(AND(Inputs!$B$38&lt;&gt;"pvp",Inputs!$B$43&gt;0),IF(MAX(0,Inputs!$B$43-B1091)&lt;=0,0,(INT(MAX(0,Inputs!$B$43-B1091)/(IF(Inputs!$B$38="pvp",15,MAX(0.1,Skills!D9-IF(Skills!E9=TRUE,Inputs!$B$32,0)))*(1-IF(AND(ArtifactsInput!$M$27,Inputs!$B$4="Chapter Hunt"),CHOOSE(ArtifactsInput!$N$27+1,20,24,28,32,36,40),0)/100)))+1)),0)</f>
        <v/>
      </c>
      <c r="S1068">
        <f>IFERROR(O1068/N1068,0)</f>
        <v/>
      </c>
      <c r="T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$21+Skills!Q9+(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Skills!A10</f>
        <v/>
      </c>
      <c r="B1069">
        <f>Skills!B10</f>
        <v/>
      </c>
      <c r="C1069">
        <f>Inputs!$B$3&gt;=103</f>
        <v/>
      </c>
      <c r="D1069">
        <f>IF(Skills!C10=1,60+Inputs!$B$25+Inputs!$B$29,IF(Skills!C10=2,90+Inputs!$B$26+Inputs!$B$29,IF(Skills!C10=3,120+Inputs!$B$27+Inputs!$B$29,MAX(0,(Inputs!$B$3-100)*3)+Inputs!$B$28+Inputs!$B$29)))</f>
        <v/>
      </c>
      <c r="E1069">
        <f>INDEX(FactorTable!$B$2:$Y$301, MATCH(ROUND(MIN(300,MAX(1,D1069)),0), FactorTable!$A$2:$A$301,0), Skills!M10+1)</f>
        <v/>
      </c>
      <c r="F1069">
        <f>IF(Skills!N10=TRUE,(Skills!L10/10)*(E1069/1000),Skills!L10/10)+Skills!O10</f>
        <v/>
      </c>
      <c r="G1069">
        <f>Skills!G10*IF(Skills!H10&gt;0,Skills!I10/Skills!H10,1)</f>
        <v/>
      </c>
      <c r="H1069">
        <f>1-(1-Skills!J10/100)^Skills!K10</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1079=TRUE)*(F1079-Calc!F20)),(Inputs!$B$23+0+(IF(ArtifactsInput!$M$15,CHOOSE(ArtifactsInput!$N$15+1,25,30,35,40,45,50)/100*(Inputs!$B$11-Inputs!$B$11),0))))/100+(Inputs!$B$23+0+(IF(ArtifactsInput!$M$15,CHOOSE(ArtifactsInput!$N$15+1,25,30,35,40,45,50)/100*(Inputs!$B$11-Inputs!$B$11),0)))/100)/2</f>
        <v/>
      </c>
      <c r="M1069">
        <f>L1069*(1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IF(B1094=0,0,O1069/B1094)</f>
        <v/>
      </c>
      <c r="Q1069">
        <f>IFERROR(1/(IF(Inputs!$B$38="pvp",15,MAX(0.1,Skills!D10-IF(Skills!E10=TRUE,Inputs!$B$32,0)))*(1-IF(AND(ArtifactsInput!$M$27,Inputs!$B$4="Chapter Hunt"),CHOOSE(ArtifactsInput!$N$27+1,20,24,28,32,36,40),0)/100)),0)</f>
        <v/>
      </c>
      <c r="R1069">
        <f>IF(AND(Inputs!$B$38&lt;&gt;"pvp",Inputs!$B$43&gt;0),IF(MAX(0,Inputs!$B$43-B1091)&lt;=0,0,(INT(MAX(0,Inputs!$B$43-B1091)/(IF(Inputs!$B$38="pvp",15,MAX(0.1,Skills!D10-IF(Skills!E10=TRUE,Inputs!$B$32,0)))*(1-IF(AND(ArtifactsInput!$M$27,Inputs!$B$4="Chapter Hunt"),CHOOSE(ArtifactsInput!$N$27+1,20,24,28,32,36,40),0)/100)))+1)),0)</f>
        <v/>
      </c>
      <c r="S1069">
        <f>IFERROR(O1069/N1069,0)</f>
        <v/>
      </c>
      <c r="T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$21+Skills!Q10+(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Skills!A11</f>
        <v/>
      </c>
      <c r="B1070">
        <f>Skills!B11</f>
        <v/>
      </c>
      <c r="C1070">
        <f>Inputs!$B$3&gt;=113</f>
        <v/>
      </c>
      <c r="D1070">
        <f>IF(Skills!C11=1,60+Inputs!$B$25+Inputs!$B$29,IF(Skills!C11=2,90+Inputs!$B$26+Inputs!$B$29,IF(Skills!C11=3,120+Inputs!$B$27+Inputs!$B$29,MAX(0,(Inputs!$B$3-100)*3)+Inputs!$B$28+Inputs!$B$29)))</f>
        <v/>
      </c>
      <c r="E1070">
        <f>INDEX(FactorTable!$B$2:$Y$301, MATCH(ROUND(MIN(300,MAX(1,D1070)),0), FactorTable!$A$2:$A$301,0), Skills!M11+1)</f>
        <v/>
      </c>
      <c r="F1070">
        <f>IF(Skills!N11=TRUE,(Skills!L11/10)*(E1070/1000),Skills!L11/10)+Skills!O11</f>
        <v/>
      </c>
      <c r="G1070">
        <f>Skills!G11*IF(Skills!H11&gt;0,Skills!I11/Skills!H11,1)</f>
        <v/>
      </c>
      <c r="H1070">
        <f>1-(1-Skills!J11/100)^Skills!K11</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1079=TRUE)*(F1079-Calc!F20)),(Inputs!$B$23+0+(IF(ArtifactsInput!$M$15,CHOOSE(ArtifactsInput!$N$15+1,25,30,35,40,45,50)/100*(Inputs!$B$11-Inputs!$B$11),0))))/100+(Inputs!$B$23+0+(IF(ArtifactsInput!$M$15,CHOOSE(ArtifactsInput!$N$15+1,25,30,35,40,45,50)/100*(Inputs!$B$11-Inputs!$B$11),0)))/100)/2</f>
        <v/>
      </c>
      <c r="M1070">
        <f>L1070*(1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IF(B1094=0,0,O1070/B1094)</f>
        <v/>
      </c>
      <c r="Q1070">
        <f>IFERROR(1/(IF(Inputs!$B$38="pvp",15,MAX(0.1,Skills!D11-IF(Skills!E11=TRUE,Inputs!$B$32,0)))*(1-IF(AND(ArtifactsInput!$M$27,Inputs!$B$4="Chapter Hunt"),CHOOSE(ArtifactsInput!$N$27+1,20,24,28,32,36,40),0)/100)),0)</f>
        <v/>
      </c>
      <c r="R1070">
        <f>IF(AND(Inputs!$B$38&lt;&gt;"pvp",Inputs!$B$43&gt;0),IF(MAX(0,Inputs!$B$43-B1091)&lt;=0,0,(INT(MAX(0,Inputs!$B$43-B1091)/(IF(Inputs!$B$38="pvp",15,MAX(0.1,Skills!D11-IF(Skills!E11=TRUE,Inputs!$B$32,0)))*(1-IF(AND(ArtifactsInput!$M$27,Inputs!$B$4="Chapter Hunt"),CHOOSE(ArtifactsInput!$N$27+1,20,24,28,32,36,40),0)/100)))+1)),0)</f>
        <v/>
      </c>
      <c r="S1070">
        <f>IFERROR(O1070/N1070,0)</f>
        <v/>
      </c>
      <c r="T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$21+Skills!Q11+(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Skills!A12</f>
        <v/>
      </c>
      <c r="B1071">
        <f>Skills!B12</f>
        <v/>
      </c>
      <c r="C1071">
        <f>Inputs!$B$3&gt;=100</f>
        <v/>
      </c>
      <c r="D1071">
        <f>IF(Skills!C12=1,60+Inputs!$B$25+Inputs!$B$29,IF(Skills!C12=2,90+Inputs!$B$26+Inputs!$B$29,IF(Skills!C12=3,120+Inputs!$B$27+Inputs!$B$29,MAX(0,(Inputs!$B$3-100)*3)+Inputs!$B$28+Inputs!$B$29)))</f>
        <v/>
      </c>
      <c r="E1071">
        <f>INDEX(FactorTable!$B$2:$Y$301, MATCH(ROUND(MIN(300,MAX(1,D1071)),0), FactorTable!$A$2:$A$301,0), Skills!M12+1)</f>
        <v/>
      </c>
      <c r="F1071">
        <f>IF(Skills!N12=TRUE,(Skills!L12/10)*(E1071/1000),Skills!L12/10)+Skills!O12</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Skills!A13</f>
        <v/>
      </c>
      <c r="B1072">
        <f>Skills!B13</f>
        <v/>
      </c>
      <c r="C1072">
        <f>Inputs!$B$3&gt;=66</f>
        <v/>
      </c>
      <c r="D1072">
        <f>IF(Skills!C13=1,60+Inputs!$B$25+Inputs!$B$29,IF(Skills!C13=2,90+Inputs!$B$26+Inputs!$B$29,IF(Skills!C13=3,120+Inputs!$B$27+Inputs!$B$29,MAX(0,(Inputs!$B$3-100)*3)+Inputs!$B$28+Inputs!$B$29)))</f>
        <v/>
      </c>
      <c r="E1072">
        <f>INDEX(FactorTable!$B$2:$Y$301, MATCH(ROUND(MIN(300,MAX(1,D1072)),0), FactorTable!$A$2:$A$301,0), Skills!M13+1)</f>
        <v/>
      </c>
      <c r="F1072">
        <f>IF(Skills!N13=TRUE,(Skills!L13/10)*(E1072/1000),Skills!L13/10)+Skills!O13</f>
        <v/>
      </c>
      <c r="G1072">
        <f>Skills!G13*IF(Skills!H13&gt;0,Skills!I13/Skills!H13,1)</f>
        <v/>
      </c>
      <c r="H1072">
        <f>1-(1-Skills!J13/100)^Skills!K13</f>
        <v/>
      </c>
      <c r="I1072" t="inlineStr">
        <is>
          <t>1</t>
        </is>
      </c>
      <c r="J1072" t="inlineStr"/>
      <c r="K1072" t="inlineStr"/>
      <c r="L1072" t="inlineStr"/>
      <c r="M1072" t="inlineStr"/>
      <c r="N1072" t="inlineStr"/>
      <c r="O1072">
        <f>(1-Summary!$B$11)*T1072+Summary!$B$11*V1072</f>
        <v/>
      </c>
      <c r="P1072">
        <f>IF(B1094=0,0,O1072/B1094)</f>
        <v/>
      </c>
      <c r="Q1072" t="n">
        <v>0</v>
      </c>
      <c r="R1072" t="n">
        <v>0</v>
      </c>
      <c r="S1072">
        <f>IFERROR(O1072/N1072,0)</f>
        <v/>
      </c>
      <c r="T1072" t="n">
        <v>0</v>
      </c>
      <c r="V1072" t="n">
        <v>0</v>
      </c>
    </row>
    <row r="1073">
      <c r="A1073">
        <f>Skills!A14</f>
        <v/>
      </c>
      <c r="B1073">
        <f>Skills!B14</f>
        <v/>
      </c>
      <c r="C1073">
        <f>Inputs!$B$3&gt;=107</f>
        <v/>
      </c>
      <c r="D1073">
        <f>IF(Skills!C14=1,60+Inputs!$B$25+Inputs!$B$29,IF(Skills!C14=2,90+Inputs!$B$26+Inputs!$B$29,IF(Skills!C14=3,120+Inputs!$B$27+Inputs!$B$29,MAX(0,(Inputs!$B$3-100)*3)+Inputs!$B$28+Inputs!$B$29)))</f>
        <v/>
      </c>
      <c r="E1073">
        <f>INDEX(FactorTable!$B$2:$Y$301, MATCH(ROUND(MIN(300,MAX(1,D1073)),0), FactorTable!$A$2:$A$301,0), Skills!M14+1)</f>
        <v/>
      </c>
      <c r="F1073">
        <f>IF(Skills!N14=TRUE,(Skills!L14/10)*(E1073/1000),Skills!L14/10)+Skills!O14</f>
        <v/>
      </c>
      <c r="G1073">
        <f>Skills!G14*IF(Skills!H14&gt;0,Skills!I14/Skills!H14,1)</f>
        <v/>
      </c>
      <c r="H1073">
        <f>1-(1-Skills!J14/100)^Skills!K14</f>
        <v/>
      </c>
      <c r="I1073" t="inlineStr">
        <is>
          <t>1</t>
        </is>
      </c>
      <c r="J1073" t="inlineStr"/>
      <c r="K1073" t="inlineStr"/>
      <c r="L1073" t="inlineStr"/>
      <c r="M1073" t="inlineStr"/>
      <c r="N1073" t="inlineStr"/>
      <c r="O1073">
        <f>(1-Summary!$B$11)*T1073+Summary!$B$11*V1073</f>
        <v/>
      </c>
      <c r="P1073">
        <f>IF(B1094=0,0,O1073/B1094)</f>
        <v/>
      </c>
      <c r="Q1073" t="n">
        <v>0</v>
      </c>
      <c r="R1073" t="n">
        <v>0</v>
      </c>
      <c r="S1073">
        <f>IFERROR(O1073/N1073,0)</f>
        <v/>
      </c>
      <c r="T1073" t="n">
        <v>0</v>
      </c>
      <c r="V1073" t="n">
        <v>0</v>
      </c>
    </row>
    <row r="1074">
      <c r="A1074">
        <f>Skills!A15</f>
        <v/>
      </c>
      <c r="B1074">
        <f>Skills!B15</f>
        <v/>
      </c>
      <c r="C1074">
        <f>Inputs!$B$3&gt;=115</f>
        <v/>
      </c>
      <c r="D1074">
        <f>IF(Skills!C15=1,60+Inputs!$B$25+Inputs!$B$29,IF(Skills!C15=2,90+Inputs!$B$26+Inputs!$B$29,IF(Skills!C15=3,120+Inputs!$B$27+Inputs!$B$29,MAX(0,(Inputs!$B$3-100)*3)+Inputs!$B$28+Inputs!$B$29)))</f>
        <v/>
      </c>
      <c r="E1074">
        <f>INDEX(FactorTable!$B$2:$Y$301, MATCH(ROUND(MIN(300,MAX(1,D1074)),0), FactorTable!$A$2:$A$301,0), Skills!M15+1)</f>
        <v/>
      </c>
      <c r="F1074">
        <f>IF(Skills!N15=TRUE,(Skills!L15/10)*(E1074/1000),Skills!L15/10)+Skills!O15</f>
        <v/>
      </c>
      <c r="G1074">
        <f>Skills!G15*IF(Skills!H15&gt;0,Skills!I15/Skills!H15,1)</f>
        <v/>
      </c>
      <c r="H1074">
        <f>1-(1-Skills!J15/100)^Skills!K15</f>
        <v/>
      </c>
      <c r="I1074" t="inlineStr">
        <is>
          <t>1</t>
        </is>
      </c>
      <c r="J1074" t="inlineStr"/>
      <c r="K1074" t="inlineStr"/>
      <c r="L1074" t="inlineStr"/>
      <c r="M1074" t="inlineStr"/>
      <c r="N1074" t="inlineStr"/>
      <c r="O1074">
        <f>(1-Summary!$B$11)*T1074+Summary!$B$11*V1074</f>
        <v/>
      </c>
      <c r="P1074">
        <f>IF(B1094=0,0,O1074/B1094)</f>
        <v/>
      </c>
      <c r="Q1074" t="n">
        <v>0</v>
      </c>
      <c r="R1074" t="n">
        <v>0</v>
      </c>
      <c r="S1074">
        <f>IFERROR(O1074/N1074,0)</f>
        <v/>
      </c>
      <c r="T1074" t="n">
        <v>0</v>
      </c>
      <c r="V1074" t="n">
        <v>0</v>
      </c>
    </row>
    <row r="1075">
      <c r="A1075">
        <f>Skills!A16</f>
        <v/>
      </c>
      <c r="B1075">
        <f>Skills!B16</f>
        <v/>
      </c>
      <c r="C1075">
        <f>Inputs!$B$3&gt;=15</f>
        <v/>
      </c>
      <c r="D1075">
        <f>IF(Skills!C16=1,60+Inputs!$B$25+Inputs!$B$29,IF(Skills!C16=2,90+Inputs!$B$26+Inputs!$B$29,IF(Skills!C16=3,120+Inputs!$B$27+Inputs!$B$29,MAX(0,(Inputs!$B$3-100)*3)+Inputs!$B$28+Inputs!$B$29)))</f>
        <v/>
      </c>
      <c r="E1075">
        <f>INDEX(FactorTable!$B$2:$Y$301, MATCH(ROUND(MIN(300,MAX(1,D1075)),0), FactorTable!$A$2:$A$301,0), Skills!M16+1)</f>
        <v/>
      </c>
      <c r="F1075">
        <f>IF(Skills!N16=TRUE,(Skills!L16/10)*(E1075/1000),Skills!L16/10)+Skills!O16</f>
        <v/>
      </c>
      <c r="G1075">
        <f>Skills!G16*IF(Skills!H16&gt;0,Skills!I16/Skills!H16,1)</f>
        <v/>
      </c>
      <c r="H1075">
        <f>1-(1-Skills!J16/100)^Skills!K16</f>
        <v/>
      </c>
      <c r="I1075" t="inlineStr">
        <is>
          <t>1</t>
        </is>
      </c>
      <c r="J1075" t="inlineStr"/>
      <c r="K1075" t="inlineStr"/>
      <c r="L1075" t="inlineStr"/>
      <c r="M1075" t="inlineStr"/>
      <c r="N1075" t="inlineStr"/>
      <c r="O1075">
        <f>(1-Summary!$B$11)*T1075+Summary!$B$11*V1075</f>
        <v/>
      </c>
      <c r="P1075">
        <f>IF(B1094=0,0,O1075/B1094)</f>
        <v/>
      </c>
      <c r="Q1075" t="n">
        <v>0</v>
      </c>
      <c r="R1075" t="n">
        <v>0</v>
      </c>
      <c r="S1075">
        <f>IFERROR(O1075/N1075,0)</f>
        <v/>
      </c>
      <c r="T1075" t="n">
        <v>0</v>
      </c>
      <c r="V1075" t="n">
        <v>0</v>
      </c>
    </row>
    <row r="1076">
      <c r="A1076">
        <f>Skills!A17</f>
        <v/>
      </c>
      <c r="B1076">
        <f>Skills!B17</f>
        <v/>
      </c>
      <c r="C1076">
        <f>Inputs!$B$3&gt;=10</f>
        <v/>
      </c>
      <c r="D1076">
        <f>IF(Skills!C17=1,60+Inputs!$B$25+Inputs!$B$29,IF(Skills!C17=2,90+Inputs!$B$26+Inputs!$B$29,IF(Skills!C17=3,120+Inputs!$B$27+Inputs!$B$29,MAX(0,(Inputs!$B$3-100)*3)+Inputs!$B$28+Inputs!$B$29)))</f>
        <v/>
      </c>
      <c r="E1076">
        <f>INDEX(FactorTable!$B$2:$Y$301, MATCH(ROUND(MIN(300,MAX(1,D1076)),0), FactorTable!$A$2:$A$301,0), Skills!M17+1)</f>
        <v/>
      </c>
      <c r="F1076">
        <f>IF(Skills!N17=TRUE,(Skills!L17/10)*(E1076/1000),Skills!L17/10)+Skills!O17</f>
        <v/>
      </c>
      <c r="G1076">
        <f>Skills!G17*IF(Skills!H17&gt;0,Skills!I17/Skills!H17,1)</f>
        <v/>
      </c>
      <c r="H1076">
        <f>1-(1-Skills!J17/100)^Skills!K17</f>
        <v/>
      </c>
      <c r="I1076" t="inlineStr">
        <is>
          <t>1</t>
        </is>
      </c>
      <c r="J1076" t="inlineStr"/>
      <c r="K1076" t="inlineStr"/>
      <c r="L1076" t="inlineStr"/>
      <c r="M1076" t="inlineStr"/>
      <c r="N1076" t="inlineStr"/>
      <c r="O1076">
        <f>(1-Summary!$B$11)*T1076+Summary!$B$11*V1076</f>
        <v/>
      </c>
      <c r="P1076">
        <f>IF(B1094=0,0,O1076/B1094)</f>
        <v/>
      </c>
      <c r="Q1076" t="n">
        <v>0</v>
      </c>
      <c r="R1076" t="n">
        <v>0</v>
      </c>
      <c r="S1076">
        <f>IFERROR(O1076/N1076,0)</f>
        <v/>
      </c>
      <c r="T1076" t="n">
        <v>0</v>
      </c>
      <c r="V1076" t="n">
        <v>0</v>
      </c>
    </row>
    <row r="1077">
      <c r="A1077">
        <f>Skills!A18</f>
        <v/>
      </c>
      <c r="B1077">
        <f>Skills!B18</f>
        <v/>
      </c>
      <c r="C1077">
        <f>Inputs!$B$3&gt;=33</f>
        <v/>
      </c>
      <c r="D1077">
        <f>IF(Skills!C18=1,60+Inputs!$B$25+Inputs!$B$29,IF(Skills!C18=2,90+Inputs!$B$26+Inputs!$B$29,IF(Skills!C18=3,120+Inputs!$B$27+Inputs!$B$29,MAX(0,(Inputs!$B$3-100)*3)+Inputs!$B$28+Inputs!$B$29)))</f>
        <v/>
      </c>
      <c r="E1077">
        <f>INDEX(FactorTable!$B$2:$Y$301, MATCH(ROUND(MIN(300,MAX(1,D1077)),0), FactorTable!$A$2:$A$301,0), Skills!M18+1)</f>
        <v/>
      </c>
      <c r="F1077">
        <f>IF(Skills!N18=TRUE,(Skills!L18/10)*(E1077/1000),Skills!L18/10)+Skills!O18</f>
        <v/>
      </c>
      <c r="G1077">
        <f>Skills!G18*IF(Skills!H18&gt;0,Skills!I18/Skills!H18,1)</f>
        <v/>
      </c>
      <c r="H1077">
        <f>1-(1-Skills!J18/100)^Skills!K18</f>
        <v/>
      </c>
      <c r="I1077" t="inlineStr">
        <is>
          <t>1</t>
        </is>
      </c>
      <c r="J1077" t="inlineStr"/>
      <c r="K1077" t="inlineStr"/>
      <c r="L1077" t="inlineStr"/>
      <c r="M1077" t="inlineStr"/>
      <c r="N1077" t="inlineStr"/>
      <c r="O1077">
        <f>(1-Summary!$B$11)*T1077+Summary!$B$11*V1077</f>
        <v/>
      </c>
      <c r="P1077">
        <f>IF(B1094=0,0,O1077/B1094)</f>
        <v/>
      </c>
      <c r="Q1077" t="n">
        <v>0</v>
      </c>
      <c r="R1077" t="n">
        <v>0</v>
      </c>
      <c r="S1077">
        <f>IFERROR(O1077/N1077,0)</f>
        <v/>
      </c>
      <c r="T1077" t="n">
        <v>0</v>
      </c>
      <c r="V1077" t="n">
        <v>0</v>
      </c>
    </row>
    <row r="1078">
      <c r="A1078">
        <f>Skills!A19</f>
        <v/>
      </c>
      <c r="B1078">
        <f>Skills!B19</f>
        <v/>
      </c>
      <c r="C1078">
        <f>Inputs!$B$3&gt;=40</f>
        <v/>
      </c>
      <c r="D1078">
        <f>IF(Skills!C19=1,60+Inputs!$B$25+Inputs!$B$29,IF(Skills!C19=2,90+Inputs!$B$26+Inputs!$B$29,IF(Skills!C19=3,120+Inputs!$B$27+Inputs!$B$29,MAX(0,(Inputs!$B$3-100)*3)+Inputs!$B$28+Inputs!$B$29)))</f>
        <v/>
      </c>
      <c r="E1078">
        <f>INDEX(FactorTable!$B$2:$Y$301, MATCH(ROUND(MIN(300,MAX(1,D1078)),0), FactorTable!$A$2:$A$301,0), Skills!M19+1)</f>
        <v/>
      </c>
      <c r="F1078">
        <f>IF(Skills!N19=TRUE,(Skills!L19/10)*(E1078/1000),Skills!L19/10)+Skills!O19</f>
        <v/>
      </c>
      <c r="G1078">
        <f>Skills!G19*IF(Skills!H19&gt;0,Skills!I19/Skills!H19,1)</f>
        <v/>
      </c>
      <c r="H1078">
        <f>1-(1-Skills!J19/100)^Skills!K19</f>
        <v/>
      </c>
      <c r="I1078" t="inlineStr">
        <is>
          <t>1</t>
        </is>
      </c>
      <c r="J1078" t="inlineStr"/>
      <c r="K1078" t="inlineStr"/>
      <c r="L1078" t="inlineStr"/>
      <c r="M1078" t="inlineStr"/>
      <c r="N1078" t="inlineStr"/>
      <c r="O1078">
        <f>(1-Summary!$B$11)*T1078+Summary!$B$11*V1078</f>
        <v/>
      </c>
      <c r="P1078">
        <f>IF(B1094=0,0,O1078/B1094)</f>
        <v/>
      </c>
      <c r="Q1078" t="n">
        <v>0</v>
      </c>
      <c r="R1078" t="n">
        <v>0</v>
      </c>
      <c r="S1078">
        <f>IFERROR(O1078/N1078,0)</f>
        <v/>
      </c>
      <c r="T1078" t="n">
        <v>0</v>
      </c>
      <c r="V1078" t="n">
        <v>0</v>
      </c>
    </row>
    <row r="1079">
      <c r="A1079">
        <f>Skills!A20</f>
        <v/>
      </c>
      <c r="B1079">
        <f>Skills!B20</f>
        <v/>
      </c>
      <c r="C1079">
        <f>Inputs!$B$3&gt;=43</f>
        <v/>
      </c>
      <c r="D1079">
        <f>IF(Skills!C20=1,60+Inputs!$B$25+Inputs!$B$29,IF(Skills!C20=2,90+Inputs!$B$26+Inputs!$B$29,IF(Skills!C20=3,120+Inputs!$B$27+Inputs!$B$29,MAX(0,(Inputs!$B$3-100)*3)+Inputs!$B$28+Inputs!$B$29)))</f>
        <v/>
      </c>
      <c r="E1079">
        <f>INDEX(FactorTable!$B$2:$Y$301, MATCH(ROUND(MIN(300,MAX(1,D1079)),0), FactorTable!$A$2:$A$301,0), Skills!M20+1)</f>
        <v/>
      </c>
      <c r="F1079">
        <f>IF(Skills!N20=TRUE,(Skills!L20/10)*(E1079/1000),Skills!L20/10)+Skills!O20</f>
        <v/>
      </c>
      <c r="G1079">
        <f>Skills!G20*IF(Skills!H20&gt;0,Skills!I20/Skills!H20,1)</f>
        <v/>
      </c>
      <c r="H1079">
        <f>1-(1-Skills!J20/100)^Skills!K20</f>
        <v/>
      </c>
      <c r="I1079" t="inlineStr">
        <is>
          <t>1</t>
        </is>
      </c>
      <c r="J1079" t="inlineStr"/>
      <c r="K1079" t="inlineStr"/>
      <c r="L1079" t="inlineStr"/>
      <c r="M1079" t="inlineStr"/>
      <c r="N1079" t="inlineStr"/>
      <c r="O1079">
        <f>(1-Summary!$B$11)*T1079+Summary!$B$11*V1079</f>
        <v/>
      </c>
      <c r="P1079">
        <f>IF(B1094=0,0,O1079/B1094)</f>
        <v/>
      </c>
      <c r="Q1079" t="n">
        <v>0</v>
      </c>
      <c r="R1079" t="n">
        <v>0</v>
      </c>
      <c r="S1079">
        <f>IFERROR(O1079/N1079,0)</f>
        <v/>
      </c>
      <c r="T1079" t="n">
        <v>0</v>
      </c>
      <c r="V1079" t="n">
        <v>0</v>
      </c>
    </row>
    <row r="1080">
      <c r="A1080">
        <f>Skills!A21</f>
        <v/>
      </c>
      <c r="B1080">
        <f>Skills!B21</f>
        <v/>
      </c>
      <c r="C1080">
        <f>Inputs!$B$3&gt;=38</f>
        <v/>
      </c>
      <c r="D1080">
        <f>IF(Skills!C21=1,60+Inputs!$B$25+Inputs!$B$29,IF(Skills!C21=2,90+Inputs!$B$26+Inputs!$B$29,IF(Skills!C21=3,120+Inputs!$B$27+Inputs!$B$29,MAX(0,(Inputs!$B$3-100)*3)+Inputs!$B$28+Inputs!$B$29)))</f>
        <v/>
      </c>
      <c r="E1080">
        <f>INDEX(FactorTable!$B$2:$Y$301, MATCH(ROUND(MIN(300,MAX(1,D1080)),0), FactorTable!$A$2:$A$301,0), Skills!M21+1)</f>
        <v/>
      </c>
      <c r="F1080">
        <f>IF(Skills!N21=TRUE,(Skills!L21/10)*(E1080/1000),Skills!L21/10)+Skills!O21</f>
        <v/>
      </c>
      <c r="G1080">
        <f>Skills!G21*IF(Skills!H21&gt;0,Skills!I21/Skills!H21,1)</f>
        <v/>
      </c>
      <c r="H1080">
        <f>1-(1-Skills!J21/100)^Skills!K21</f>
        <v/>
      </c>
      <c r="I1080" t="inlineStr">
        <is>
          <t>1</t>
        </is>
      </c>
      <c r="J1080" t="inlineStr"/>
      <c r="K1080" t="inlineStr"/>
      <c r="L1080" t="inlineStr"/>
      <c r="M1080" t="inlineStr"/>
      <c r="N1080" t="inlineStr"/>
      <c r="O1080">
        <f>(1-Summary!$B$11)*T1080+Summary!$B$11*V1080</f>
        <v/>
      </c>
      <c r="P1080">
        <f>IF(B1094=0,0,O1080/B1094)</f>
        <v/>
      </c>
      <c r="Q1080" t="n">
        <v>0</v>
      </c>
      <c r="R1080" t="n">
        <v>0</v>
      </c>
      <c r="S1080">
        <f>IFERROR(O1080/N1080,0)</f>
        <v/>
      </c>
      <c r="T1080" t="n">
        <v>0</v>
      </c>
      <c r="V1080" t="n">
        <v>0</v>
      </c>
    </row>
    <row r="1081">
      <c r="A1081">
        <f>Skills!A22</f>
        <v/>
      </c>
      <c r="B1081">
        <f>Skills!B22</f>
        <v/>
      </c>
      <c r="C1081">
        <f>Inputs!$B$3&gt;=75</f>
        <v/>
      </c>
      <c r="D1081">
        <f>IF(Skills!C22=1,60+Inputs!$B$25+Inputs!$B$29,IF(Skills!C22=2,90+Inputs!$B$26+Inputs!$B$29,IF(Skills!C22=3,120+Inputs!$B$27+Inputs!$B$29,MAX(0,(Inputs!$B$3-100)*3)+Inputs!$B$28+Inputs!$B$29)))</f>
        <v/>
      </c>
      <c r="E1081">
        <f>INDEX(FactorTable!$B$2:$Y$301, MATCH(ROUND(MIN(300,MAX(1,D1081)),0), FactorTable!$A$2:$A$301,0), Skills!M22+1)</f>
        <v/>
      </c>
      <c r="F1081">
        <f>IF(Skills!N22=TRUE,(Skills!L22/10)*(E1081/1000),Skills!L22/10)+Skills!O22</f>
        <v/>
      </c>
      <c r="G1081">
        <f>Skills!G22*IF(Skills!H22&gt;0,Skills!I22/Skills!H22,1)</f>
        <v/>
      </c>
      <c r="H1081">
        <f>1-(1-Skills!J22/100)^Skills!K22</f>
        <v/>
      </c>
      <c r="I1081" t="inlineStr">
        <is>
          <t>1</t>
        </is>
      </c>
      <c r="J1081" t="inlineStr"/>
      <c r="K1081" t="inlineStr"/>
      <c r="L1081" t="inlineStr"/>
      <c r="M1081" t="inlineStr"/>
      <c r="N1081" t="inlineStr"/>
      <c r="O1081">
        <f>(1-Summary!$B$11)*T1081+Summary!$B$11*V1081</f>
        <v/>
      </c>
      <c r="P1081">
        <f>IF(B1094=0,0,O1081/B1094)</f>
        <v/>
      </c>
      <c r="Q1081" t="n">
        <v>0</v>
      </c>
      <c r="R1081" t="n">
        <v>0</v>
      </c>
      <c r="S1081">
        <f>IFERROR(O1081/N1081,0)</f>
        <v/>
      </c>
      <c r="T1081" t="n">
        <v>0</v>
      </c>
      <c r="V1081" t="n">
        <v>0</v>
      </c>
    </row>
    <row r="1083">
      <c r="A1083" t="inlineStr">
        <is>
          <t>Attack% Bucket Multiplier</t>
        </is>
      </c>
      <c r="B1083">
        <f>(1+(((C1072=TRUE)*F1072)+((C1078=TRUE)*(F1078-Calc!F19))+(IF(ArtifactsInput!$M$21,CHOOSE(ArtifactsInput!$N$21+1,25,30,35,40,45,50)*(IF(OR(Inputs!$B$4="Chapter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084">
      <c r="A1084" t="inlineStr">
        <is>
          <t>Global Crit Rate Bonus %</t>
        </is>
      </c>
      <c r="B1084" t="n">
        <v>0</v>
      </c>
    </row>
    <row r="1085">
      <c r="A1085" t="inlineStr">
        <is>
          <t>Attack Speed Buff Bonus % (unused)</t>
        </is>
      </c>
      <c r="B1085" t="n">
        <v>0</v>
      </c>
    </row>
    <row r="1086">
      <c r="A1086" t="inlineStr">
        <is>
          <t>Actions Per Second</t>
        </is>
      </c>
      <c r="B1086">
        <f>1+MIN(150,150*(1-(1-(Inputs!$B$11+((C1076=TRUE)*(F1076-Calc!F17))+((C1077=TRUE)*(F1077-Calc!F18)))/150)*(1-B1085/150)))/100</f>
        <v/>
      </c>
    </row>
    <row r="1087">
      <c r="A1087" t="inlineStr">
        <is>
          <t>Skill + Buff Cast Rate</t>
        </is>
      </c>
      <c r="B1087">
        <f>IF(AND(Inputs!$B$38&lt;&gt;"pvp",Inputs!$B$43&gt;0),SUMPRODUCT((Skills!E2:E22=TRUE)*(C1061:C1081=TRUE)*R1061:R1081*Skills!F2:F22)/Inputs!$B$43,SUMPRODUCT((Skills!E2:E22=TRUE)*(C1061:C1081=TRUE)*Q1061:Q1081*Skills!F2:F22))</f>
        <v/>
      </c>
    </row>
    <row r="1088">
      <c r="A1088" t="inlineStr">
        <is>
          <t>Hook Bomber Casts Per Second</t>
        </is>
      </c>
      <c r="B1088">
        <f>MAX(0,B1086-B1087)</f>
        <v/>
      </c>
    </row>
    <row r="1089">
      <c r="A1089" t="inlineStr">
        <is>
          <t>Global Critical Damage Bonus % (unused)</t>
        </is>
      </c>
      <c r="B1089" t="n">
        <v>0</v>
      </c>
    </row>
    <row r="1090">
      <c r="A1090" t="inlineStr">
        <is>
          <t>Global Final Damage Bonus % (Serpent Scale + Crossbones + Time Leap + Speed Infusion)</t>
        </is>
      </c>
      <c r="B1090">
        <f>((C1064=TRUE)*F1064*((10+IF(Inputs!$B$3&gt;=94,5,0))/((10+IF(Inputs!$B$3&gt;=94,5,0))+5/(B1088*(1+IF(Inputs!$B$3&gt;=104,1,0))))))+((C1073=TRUE)*F1073)+((C1074=TRUE)*F1074)+((Inputs!$B$3&gt;=110)*20*(B1086-1))</f>
        <v/>
      </c>
    </row>
    <row r="1091">
      <c r="A1091" t="inlineStr">
        <is>
          <t>Buff-Casting Startup Delay (s, fixed-duration only)</t>
        </is>
      </c>
      <c r="B1091">
        <f>IF(AND(Inputs!$B$38&lt;&gt;"pvp",Inputs!$B$43&gt;0),SUMPRODUCT((Skills!T2:T22&gt;0)*(Skills!E2:E22=TRUE)*(C1061:C1081=TRUE))/B1086,0)</f>
        <v/>
      </c>
    </row>
    <row r="1092">
      <c r="A1092" t="inlineStr">
        <is>
          <t>Boss-Only Total DPS (this block's swept value)</t>
        </is>
      </c>
      <c r="B1092">
        <f>SUM(T1061:T1081)</f>
        <v/>
      </c>
    </row>
    <row r="1093">
      <c r="A1093" t="inlineStr">
        <is>
          <t>Normal-Only Total DPS (this block's swept value)</t>
        </is>
      </c>
      <c r="B1093">
        <f>SUM(V1061:V1081)</f>
        <v/>
      </c>
    </row>
    <row r="1094">
      <c r="A1094" s="6" t="inlineStr">
        <is>
          <t>TOTAL DPS</t>
        </is>
      </c>
      <c r="B1094" s="6">
        <f>SUM(O1061:O1081)</f>
        <v/>
      </c>
    </row>
    <row r="1097">
      <c r="A1097" s="6" t="inlineStr">
        <is>
          <t>Stat: Pig's Ribbon (Equip)</t>
        </is>
      </c>
    </row>
    <row r="1098">
      <c r="A1098" s="5" t="inlineStr">
        <is>
          <t>Key</t>
        </is>
      </c>
      <c r="B1098" s="5" t="inlineStr">
        <is>
          <t>Name</t>
        </is>
      </c>
      <c r="C1098" s="5" t="inlineStr">
        <is>
          <t>Unlocked</t>
        </is>
      </c>
      <c r="D1098" s="5" t="inlineStr">
        <is>
          <t>InputLevel</t>
        </is>
      </c>
      <c r="E1098" s="5" t="inlineStr">
        <is>
          <t>Factor</t>
        </is>
      </c>
      <c r="F1098" s="5" t="inlineStr">
        <is>
          <t>CoefficientPercent</t>
        </is>
      </c>
      <c r="G1098" s="5" t="inlineStr">
        <is>
          <t>EffectiveHits</t>
        </is>
      </c>
      <c r="H1098" s="5" t="inlineStr">
        <is>
          <t>ProcProbability</t>
        </is>
      </c>
      <c r="I1098" s="5" t="inlineStr">
        <is>
          <t>MapleHeroMultiplier</t>
        </is>
      </c>
      <c r="J1098" s="5" t="inlineStr">
        <is>
          <t>BaseDamage</t>
        </is>
      </c>
      <c r="K1098" s="5" t="inlineStr">
        <is>
          <t>BaseHitDamage</t>
        </is>
      </c>
      <c r="L1098" s="5" t="inlineStr">
        <is>
          <t>NonCritAvg</t>
        </is>
      </c>
      <c r="M1098" s="5" t="inlineStr">
        <is>
          <t>CritAvg</t>
        </is>
      </c>
      <c r="N1098" s="5" t="inlineStr">
        <is>
          <t>ExpectedDamage(perHit)</t>
        </is>
      </c>
      <c r="O1098" s="5" t="inlineStr">
        <is>
          <t>DPS</t>
        </is>
      </c>
      <c r="P1098" s="5" t="inlineStr">
        <is>
          <t>% of Total</t>
        </is>
      </c>
      <c r="Q1098" s="5" t="inlineStr">
        <is>
          <t>InvCooldown</t>
        </is>
      </c>
      <c r="R1098" s="5" t="inlineStr">
        <is>
          <t>CastsInFight</t>
        </is>
      </c>
      <c r="S1098" s="5" t="inlineStr">
        <is>
          <t>HitRate(perSec)</t>
        </is>
      </c>
      <c r="U1098" t="inlineStr">
        <is>
          <t>helpers</t>
        </is>
      </c>
    </row>
    <row r="1099">
      <c r="A1099">
        <f>Skills!A2</f>
        <v/>
      </c>
      <c r="B1099">
        <f>Skills!B2</f>
        <v/>
      </c>
      <c r="C1099">
        <f>Inputs!$B$3&gt;=100</f>
        <v/>
      </c>
      <c r="D1099" t="inlineStr"/>
      <c r="E1099" t="inlineStr"/>
      <c r="F1099">
        <f>U1101+Skills!O2</f>
        <v/>
      </c>
      <c r="G1099">
        <f>Skills!G2*IF(Skills!H2&gt;0,Skills!I2/Skills!H2,1)</f>
        <v/>
      </c>
      <c r="H1099">
        <f>1-(1-Skills!J2/100)^Skills!K2</f>
        <v/>
      </c>
      <c r="I1099" t="inlineStr">
        <is>
          <t>1</t>
        </is>
      </c>
      <c r="J1099">
        <f>((Inputs!$B$6*(1+Inputs!$B$7/100))+(((Inputs!$B$12*(1+Inputs!$B$13/100))-(Inputs!$B$12*(1+Inputs!$B$13/100)))+0.25*(Inputs!$B$14-Inputs!$B$14))*(1+Inputs!$B$7/100))*(F1099/100)</f>
        <v/>
      </c>
      <c r="K1099">
        <f>J1099*(1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1099)</f>
        <v/>
      </c>
      <c r="L1099">
        <f>K1099*(MIN(Inputs!$B$22+((C1117=TRUE)*(F1117-Calc!F20)),(Inputs!$B$23+0+(IF(ArtifactsInput!$M$15,CHOOSE(ArtifactsInput!$N$15+1,25,30,35,40,45,50)/100*(Inputs!$B$11-Inputs!$B$11),0))))/100+(Inputs!$B$23+0+(IF(ArtifactsInput!$M$15,CHOOSE(ArtifactsInput!$N$15+1,25,30,35,40,45,50)/100*(Inputs!$B$11-Inputs!$B$11),0)))/100)/2</f>
        <v/>
      </c>
      <c r="M1099">
        <f>L1099*(1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9">
        <f>L1099*(1-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1099*(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9">
        <f>(1-Summary!$B$11)*T1099+Summary!$B$11*V1099</f>
        <v/>
      </c>
      <c r="P1099">
        <f>IF(B1132=0,0,O1099/B1132)</f>
        <v/>
      </c>
      <c r="Q1099" t="n">
        <v>0</v>
      </c>
      <c r="R1099" t="n">
        <v>0</v>
      </c>
      <c r="S1099">
        <f>IFERROR(O1099/N1099,0)</f>
        <v/>
      </c>
      <c r="T1099">
        <f>IF(C1099,(Skills!G2*N1099*B1126)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9">
        <f>MAX(0,(Inputs!$B$3-100)*3)+Inputs!$B$28+Inputs!$B$29</f>
        <v/>
      </c>
      <c r="V1099">
        <f>IF(C1099,(Skills!G2*N1099*B1126)*IF(Inputs!$B$38="pvp",1,(1+(Inputs!$B$21+Skills!Q2+(IF(ArtifactsInput!$M$33,CHOOSE(ArtifactsInput!$N$33+1,30,36,42,48,54,60),0))+(IF(AND(ArtifactsInput!$M$35,Inputs!$B$4&lt;&gt;"Chapter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0">
      <c r="A1100">
        <f>Skills!A3</f>
        <v/>
      </c>
      <c r="B1100">
        <f>Skills!B3</f>
        <v/>
      </c>
      <c r="C1100">
        <f>Inputs!$B$3&gt;=35</f>
        <v/>
      </c>
      <c r="D1100">
        <f>IF(Skills!C3=1,60+Inputs!$B$25+Inputs!$B$29,IF(Skills!C3=2,90+Inputs!$B$26+Inputs!$B$29,IF(Skills!C3=3,120+Inputs!$B$27+Inputs!$B$29,MAX(0,(Inputs!$B$3-100)*3)+Inputs!$B$28+Inputs!$B$29)))</f>
        <v/>
      </c>
      <c r="E1100">
        <f>INDEX(FactorTable!$B$2:$Y$301, MATCH(ROUND(MIN(300,MAX(1,D1100)),0), FactorTable!$A$2:$A$301,0), Skills!M3+1)</f>
        <v/>
      </c>
      <c r="F1100">
        <f>IF(Skills!N3=TRUE,(Skills!L3/10)*(E1100/1000),Skills!L3/10)+Skills!O3</f>
        <v/>
      </c>
      <c r="G1100">
        <f>Skills!G3*IF(Skills!H3&gt;0,Skills!I3/Skills!H3,1)</f>
        <v/>
      </c>
      <c r="H1100">
        <f>1-(1-Skills!J3/100)^Skills!K3</f>
        <v/>
      </c>
      <c r="I1100" t="inlineStr">
        <is>
          <t>1</t>
        </is>
      </c>
      <c r="J1100">
        <f>((Inputs!$B$6*(1+Inputs!$B$7/100))+(((Inputs!$B$12*(1+Inputs!$B$13/100))-(Inputs!$B$12*(1+Inputs!$B$13/100)))+0.25*(Inputs!$B$14-Inputs!$B$14))*(1+Inputs!$B$7/100))*(F1100/100)</f>
        <v/>
      </c>
      <c r="K1100">
        <f>J1100*(1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1100)</f>
        <v/>
      </c>
      <c r="L1100">
        <f>K1100*(MIN(Inputs!$B$22+((C1117=TRUE)*(F1117-Calc!F20)),(Inputs!$B$23+0+(IF(ArtifactsInput!$M$15,CHOOSE(ArtifactsInput!$N$15+1,25,30,35,40,45,50)/100*(Inputs!$B$11-Inputs!$B$11),0))))/100+(Inputs!$B$23+0+(IF(ArtifactsInput!$M$15,CHOOSE(ArtifactsInput!$N$15+1,25,30,35,40,45,50)/100*(Inputs!$B$11-Inputs!$B$11),0)))/100)/2</f>
        <v/>
      </c>
      <c r="M1100">
        <f>L1100*(1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0">
        <f>L1100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1100*(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0">
        <f>(1-Summary!$B$11)*T1100+Summary!$B$11*V1100</f>
        <v/>
      </c>
      <c r="P1100">
        <f>IF(B1132=0,0,O1100/B1132)</f>
        <v/>
      </c>
      <c r="Q1100" t="n">
        <v>0</v>
      </c>
      <c r="R1100" t="n">
        <v>0</v>
      </c>
      <c r="S1100">
        <f>IFERROR(O1100/N1100,0)</f>
        <v/>
      </c>
      <c r="T1100">
        <f>IF(C1100,(Skills!G3*H1100*N1100*B1126)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0">
        <f>INDEX(FactorTable!$B$2:$Y$301, MATCH(ROUND(MIN(300,MAX(1,U1099)),0), FactorTable!$A$2:$A$301,0), 22)</f>
        <v/>
      </c>
      <c r="V1100">
        <f>IF(C1100,(Skills!G3*H1100*N1100*B1126)*IF(Inputs!$B$38="pvp",1,(1+(Inputs!$B$21+Skills!Q3+(IF(ArtifactsInput!$M$33,CHOOSE(ArtifactsInput!$N$33+1,30,36,42,48,54,60),0))+(IF(AND(ArtifactsInput!$M$35,Inputs!$B$4&lt;&gt;"Chapter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1">
      <c r="A1101">
        <f>Skills!A4</f>
        <v/>
      </c>
      <c r="B1101">
        <f>Skills!B4</f>
        <v/>
      </c>
      <c r="C1101">
        <f>Inputs!$B$3&gt;=60</f>
        <v/>
      </c>
      <c r="D1101">
        <f>IF(Skills!C4=1,60+Inputs!$B$25+Inputs!$B$29,IF(Skills!C4=2,90+Inputs!$B$26+Inputs!$B$29,IF(Skills!C4=3,120+Inputs!$B$27+Inputs!$B$29,MAX(0,(Inputs!$B$3-100)*3)+Inputs!$B$28+Inputs!$B$29)))</f>
        <v/>
      </c>
      <c r="E1101">
        <f>INDEX(FactorTable!$B$2:$Y$301, MATCH(ROUND(MIN(300,MAX(1,D1101)),0), FactorTable!$A$2:$A$301,0), Skills!M4+1)</f>
        <v/>
      </c>
      <c r="F1101">
        <f>IF(Skills!N4=TRUE,(Skills!L4/10)*(E1101/1000),Skills!L4/10)+Skills!O4</f>
        <v/>
      </c>
      <c r="G1101">
        <f>Skills!G4*IF(Skills!H4&gt;0,Skills!I4/Skills!H4,1)</f>
        <v/>
      </c>
      <c r="H1101">
        <f>1-(1-Skills!J4/100)^Skills!K4</f>
        <v/>
      </c>
      <c r="I1101" t="inlineStr">
        <is>
          <t>1</t>
        </is>
      </c>
      <c r="J1101">
        <f>((Inputs!$B$6*(1+Inputs!$B$7/100))+(((Inputs!$B$12*(1+Inputs!$B$13/100))-(Inputs!$B$12*(1+Inputs!$B$13/100)))+0.25*(Inputs!$B$14-Inputs!$B$14))*(1+Inputs!$B$7/100))*(F1101/100)</f>
        <v/>
      </c>
      <c r="K1101">
        <f>J1101*(1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1109=TRUE,F1109,0)/100)*(1+(IF(Skills!A4="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1101)</f>
        <v/>
      </c>
      <c r="L1101">
        <f>K1101*(MIN(Inputs!$B$22+((C1117=TRUE)*(F1117-Calc!F20)),(Inputs!$B$23+0+(IF(ArtifactsInput!$M$15,CHOOSE(ArtifactsInput!$N$15+1,25,30,35,40,45,50)/100*(Inputs!$B$11-Inputs!$B$11),0))))/100+(Inputs!$B$23+0+(IF(ArtifactsInput!$M$15,CHOOSE(ArtifactsInput!$N$15+1,25,30,35,40,45,50)/100*(Inputs!$B$11-Inputs!$B$11),0)))/100)/2</f>
        <v/>
      </c>
      <c r="M1101">
        <f>L1101*(1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1">
        <f>L1101*(1-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1">
        <f>(1-Summary!$B$11)*T1101+Summary!$B$11*V1101</f>
        <v/>
      </c>
      <c r="P1101">
        <f>IF(B1132=0,0,O1101/B1132)</f>
        <v/>
      </c>
      <c r="Q1101" t="n">
        <v>0</v>
      </c>
      <c r="R1101" t="n">
        <v>0</v>
      </c>
      <c r="S1101">
        <f>IFERROR(O1101/N1101,0)</f>
        <v/>
      </c>
      <c r="T1101">
        <f>IF(C1101,(Skills!G4*H1101*N1101*B1126)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1">
        <f>290*U1100/1000</f>
        <v/>
      </c>
      <c r="V1101">
        <f>IF(C1101,(Skills!G4*H1101*N1101*B1126)*IF(Inputs!$B$38="pvp",1,(1+(Inputs!$B$21+Skills!Q4+(IF(ArtifactsInput!$M$33,CHOOSE(ArtifactsInput!$N$33+1,30,36,42,48,54,60),0))+(IF(AND(ArtifactsInput!$M$35,Inputs!$B$4&lt;&gt;"Chapter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2">
      <c r="A1102">
        <f>Skills!A5</f>
        <v/>
      </c>
      <c r="B1102">
        <f>Skills!B5</f>
        <v/>
      </c>
      <c r="C1102">
        <f>Inputs!$B$3&gt;=60</f>
        <v/>
      </c>
      <c r="D1102">
        <f>IF(Skills!C5=1,60+Inputs!$B$25+Inputs!$B$29,IF(Skills!C5=2,90+Inputs!$B$26+Inputs!$B$29,IF(Skills!C5=3,120+Inputs!$B$27+Inputs!$B$29,MAX(0,(Inputs!$B$3-100)*3)+Inputs!$B$28+Inputs!$B$29)))</f>
        <v/>
      </c>
      <c r="E1102">
        <f>INDEX(FactorTable!$B$2:$Y$301, MATCH(ROUND(MIN(300,MAX(1,D1102)),0), FactorTable!$A$2:$A$301,0), Skills!M5+1)</f>
        <v/>
      </c>
      <c r="F1102">
        <f>IF(Skills!N5=TRUE,(Skills!L5/10)*(E1102/1000),Skills!L5/10)+Skills!O5</f>
        <v/>
      </c>
      <c r="G1102">
        <f>Skills!G5*IF(Skills!H5&gt;0,Skills!I5/Skills!H5,1)</f>
        <v/>
      </c>
      <c r="H1102">
        <f>1-(1-Skills!J5/100)^Skills!K5</f>
        <v/>
      </c>
      <c r="I1102" t="inlineStr">
        <is>
          <t>1</t>
        </is>
      </c>
      <c r="J1102" t="inlineStr"/>
      <c r="K1102" t="inlineStr"/>
      <c r="L1102" t="inlineStr"/>
      <c r="M1102" t="inlineStr"/>
      <c r="N1102" t="inlineStr"/>
      <c r="O1102">
        <f>(1-Summary!$B$11)*T1102+Summary!$B$11*V1102</f>
        <v/>
      </c>
      <c r="P1102">
        <f>IF(B1132=0,0,O1102/B1132)</f>
        <v/>
      </c>
      <c r="Q1102" t="n">
        <v>0</v>
      </c>
      <c r="R1102" t="n">
        <v>0</v>
      </c>
      <c r="S1102">
        <f>IFERROR(O1102/N1102,0)</f>
        <v/>
      </c>
      <c r="T1102" t="n">
        <v>0</v>
      </c>
      <c r="V1102" t="n">
        <v>0</v>
      </c>
    </row>
    <row r="1103">
      <c r="A1103">
        <f>Skills!A6</f>
        <v/>
      </c>
      <c r="B1103">
        <f>Skills!B6</f>
        <v/>
      </c>
      <c r="C1103">
        <f>Inputs!$B$3&gt;=63</f>
        <v/>
      </c>
      <c r="D1103">
        <f>IF(Skills!C6=1,60+Inputs!$B$25+Inputs!$B$29,IF(Skills!C6=2,90+Inputs!$B$26+Inputs!$B$29,IF(Skills!C6=3,120+Inputs!$B$27+Inputs!$B$29,MAX(0,(Inputs!$B$3-100)*3)+Inputs!$B$28+Inputs!$B$29)))</f>
        <v/>
      </c>
      <c r="E1103">
        <f>INDEX(FactorTable!$B$2:$Y$301, MATCH(ROUND(MIN(300,MAX(1,D1103)),0), FactorTable!$A$2:$A$301,0), Skills!M6+1)</f>
        <v/>
      </c>
      <c r="F1103">
        <f>IF(Skills!N6=TRUE,(Skills!L6/10)*(E1103/1000),Skills!L6/10)+Skills!O6</f>
        <v/>
      </c>
      <c r="G1103">
        <f>Skills!G6*IF(Skills!H6&gt;0,Skills!I6/Skills!H6,1)</f>
        <v/>
      </c>
      <c r="H1103">
        <f>1-(1-Skills!J6/100)^Skills!K6</f>
        <v/>
      </c>
      <c r="I1103" t="inlineStr">
        <is>
          <t>1</t>
        </is>
      </c>
      <c r="J1103">
        <f>((Inputs!$B$6*(1+Inputs!$B$7/100))+(((Inputs!$B$12*(1+Inputs!$B$13/100))-(Inputs!$B$12*(1+Inputs!$B$13/100)))+0.25*(Inputs!$B$14-Inputs!$B$14))*(1+Inputs!$B$7/100))*(F1103/100)</f>
        <v/>
      </c>
      <c r="K1103">
        <f>J1103*(1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1103)</f>
        <v/>
      </c>
      <c r="L1103">
        <f>K1103*(MIN(Inputs!$B$22+((C1117=TRUE)*(F1117-Calc!F20)),(Inputs!$B$23+0+(IF(ArtifactsInput!$M$15,CHOOSE(ArtifactsInput!$N$15+1,25,30,35,40,45,50)/100*(Inputs!$B$11-Inputs!$B$11),0))))/100+(Inputs!$B$23+0+(IF(ArtifactsInput!$M$15,CHOOSE(ArtifactsInput!$N$15+1,25,30,35,40,45,50)/100*(Inputs!$B$11-Inputs!$B$11),0)))/100)/2</f>
        <v/>
      </c>
      <c r="M1103">
        <f>L1103*(1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3">
        <f>L1103*(1-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1103*(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3">
        <f>(1-Summary!$B$11)*T1103+Summary!$B$11*V1103</f>
        <v/>
      </c>
      <c r="P1103">
        <f>IF(B1132=0,0,O1103/B1132)</f>
        <v/>
      </c>
      <c r="Q1103">
        <f>IFERROR(1/(IF(Inputs!$B$38="pvp",15,MAX(0.1,Skills!D6-IF(Skills!E6=TRUE,Inputs!$B$32,0)))*(1-IF(AND(ArtifactsInput!$M$27,Inputs!$B$4="Chapter Hunt"),CHOOSE(ArtifactsInput!$N$27+1,20,24,28,32,36,40),0)/100)),0)</f>
        <v/>
      </c>
      <c r="R1103">
        <f>IF(AND(Inputs!$B$38&lt;&gt;"pvp",Inputs!$B$43&gt;0),IF(MAX(0,Inputs!$B$43-B1129)&lt;=0,0,(INT(MAX(0,Inputs!$B$43-B1129)/(IF(Inputs!$B$38="pvp",15,MAX(0.1,Skills!D6-IF(Skills!E6=TRUE,Inputs!$B$32,0)))*(1-IF(AND(ArtifactsInput!$M$27,Inputs!$B$4="Chapter Hunt"),CHOOSE(ArtifactsInput!$N$27+1,20,24,28,32,36,40),0)/100)))+1)),0)</f>
        <v/>
      </c>
      <c r="S1103">
        <f>IFERROR(O1103/N1103,0)</f>
        <v/>
      </c>
      <c r="T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$21+Skills!Q6+(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4">
      <c r="A1104">
        <f>Skills!A7</f>
        <v/>
      </c>
      <c r="B1104">
        <f>Skills!B7</f>
        <v/>
      </c>
      <c r="C1104">
        <f>Inputs!$B$3&gt;=100</f>
        <v/>
      </c>
      <c r="D1104">
        <f>IF(Skills!C7=1,60+Inputs!$B$25+Inputs!$B$29,IF(Skills!C7=2,90+Inputs!$B$26+Inputs!$B$29,IF(Skills!C7=3,120+Inputs!$B$27+Inputs!$B$29,MAX(0,(Inputs!$B$3-100)*3)+Inputs!$B$28+Inputs!$B$29)))</f>
        <v/>
      </c>
      <c r="E1104">
        <f>INDEX(FactorTable!$B$2:$Y$301, MATCH(ROUND(MIN(300,MAX(1,D1104)),0), FactorTable!$A$2:$A$301,0), Skills!M7+1)</f>
        <v/>
      </c>
      <c r="F1104">
        <f>IF(Skills!N7=TRUE,(Skills!L7/10)*(E1104/1000),Skills!L7/10)+Skills!O7</f>
        <v/>
      </c>
      <c r="G1104">
        <f>Skills!G7*IF(Skills!H7&gt;0,Skills!I7/Skills!H7,1)</f>
        <v/>
      </c>
      <c r="H1104">
        <f>1-(1-Skills!J7/100)^Skills!K7</f>
        <v/>
      </c>
      <c r="I1104" t="inlineStr">
        <is>
          <t>1</t>
        </is>
      </c>
      <c r="J1104">
        <f>((Inputs!$B$6*(1+Inputs!$B$7/100))+(((Inputs!$B$12*(1+Inputs!$B$13/100))-(Inputs!$B$12*(1+Inputs!$B$13/100)))+0.25*(Inputs!$B$14-Inputs!$B$14))*(1+Inputs!$B$7/100))*(F1104/100)</f>
        <v/>
      </c>
      <c r="K1104">
        <f>J1104*(1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1104)</f>
        <v/>
      </c>
      <c r="L1104">
        <f>K1104*(MIN(Inputs!$B$22+((C1117=TRUE)*(F1117-Calc!F20)),(Inputs!$B$23+0+(IF(ArtifactsInput!$M$15,CHOOSE(ArtifactsInput!$N$15+1,25,30,35,40,45,50)/100*(Inputs!$B$11-Inputs!$B$11),0))))/100+(Inputs!$B$23+0+(IF(ArtifactsInput!$M$15,CHOOSE(ArtifactsInput!$N$15+1,25,30,35,40,45,50)/100*(Inputs!$B$11-Inputs!$B$11),0)))/100)/2</f>
        <v/>
      </c>
      <c r="M1104">
        <f>L1104*(1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4">
        <f>L1104*(1-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1104*(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4">
        <f>(1-Summary!$B$11)*T1104+Summary!$B$11*V1104</f>
        <v/>
      </c>
      <c r="P1104">
        <f>IF(B1132=0,0,O1104/B1132)</f>
        <v/>
      </c>
      <c r="Q1104">
        <f>IFERROR(1/(IF(Inputs!$B$38="pvp",15,MAX(0.1,Skills!D7-IF(Skills!E7=TRUE,Inputs!$B$32,0)))*(1-IF(AND(ArtifactsInput!$M$27,Inputs!$B$4="Chapter Hunt"),CHOOSE(ArtifactsInput!$N$27+1,20,24,28,32,36,40),0)/100)),0)</f>
        <v/>
      </c>
      <c r="R1104">
        <f>IF(AND(Inputs!$B$38&lt;&gt;"pvp",Inputs!$B$43&gt;0),IF(MAX(0,Inputs!$B$43-B1129)&lt;=0,0,(INT(MAX(0,Inputs!$B$43-B1129)/(IF(Inputs!$B$38="pvp",15,MAX(0.1,Skills!D7-IF(Skills!E7=TRUE,Inputs!$B$32,0)))*(1-IF(AND(ArtifactsInput!$M$27,Inputs!$B$4="Chapter Hunt"),CHOOSE(ArtifactsInput!$N$27+1,20,24,28,32,36,40),0)/100)))+1)),0)</f>
        <v/>
      </c>
      <c r="S1104">
        <f>IFERROR(O1104/N1104,0)</f>
        <v/>
      </c>
      <c r="T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$21+Skills!Q7+(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5">
      <c r="A1105">
        <f>Skills!A8</f>
        <v/>
      </c>
      <c r="B1105">
        <f>Skills!B8</f>
        <v/>
      </c>
      <c r="C1105">
        <f>Inputs!$B$3&gt;=110</f>
        <v/>
      </c>
      <c r="D1105">
        <f>IF(Skills!C8=1,60+Inputs!$B$25+Inputs!$B$29,IF(Skills!C8=2,90+Inputs!$B$26+Inputs!$B$29,IF(Skills!C8=3,120+Inputs!$B$27+Inputs!$B$29,MAX(0,(Inputs!$B$3-100)*3)+Inputs!$B$28+Inputs!$B$29)))</f>
        <v/>
      </c>
      <c r="E1105">
        <f>INDEX(FactorTable!$B$2:$Y$301, MATCH(ROUND(MIN(300,MAX(1,D1105)),0), FactorTable!$A$2:$A$301,0), Skills!M8+1)</f>
        <v/>
      </c>
      <c r="F1105">
        <f>IF(Skills!N8=TRUE,(Skills!L8/10)*(E1105/1000),Skills!L8/10)+Skills!O8</f>
        <v/>
      </c>
      <c r="G1105">
        <f>Skills!G8*IF(Skills!H8&gt;0,Skills!I8/Skills!H8,1)</f>
        <v/>
      </c>
      <c r="H1105">
        <f>1-(1-Skills!J8/100)^Skills!K8</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1117=TRUE)*(F1117-Calc!F20)),(Inputs!$B$23+0+(IF(ArtifactsInput!$M$15,CHOOSE(ArtifactsInput!$N$15+1,25,30,35,40,45,50)/100*(Inputs!$B$11-Inputs!$B$11),0))))/100+(Inputs!$B$23+0+(IF(ArtifactsInput!$M$15,CHOOSE(ArtifactsInput!$N$15+1,25,30,35,40,45,50)/100*(Inputs!$B$11-Inputs!$B$11),0)))/100)/2</f>
        <v/>
      </c>
      <c r="M1105">
        <f>L1105*(1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IF(B1132=0,0,O1105/B1132)</f>
        <v/>
      </c>
      <c r="Q1105">
        <f>IFERROR(1/(IF(Inputs!$B$38="pvp",15,MAX(0.1,Skills!D8-IF(Skills!E8=TRUE,Inputs!$B$32,0)))*(1-IF(AND(ArtifactsInput!$M$27,Inputs!$B$4="Chapter Hunt"),CHOOSE(ArtifactsInput!$N$27+1,20,24,28,32,36,40),0)/100)),0)</f>
        <v/>
      </c>
      <c r="R1105">
        <f>IF(AND(Inputs!$B$38&lt;&gt;"pvp",Inputs!$B$43&gt;0),IF(MAX(0,Inputs!$B$43-B1129)&lt;=0,0,(INT(MAX(0,Inputs!$B$43-B1129)/(IF(Inputs!$B$38="pvp",15,MAX(0.1,Skills!D8-IF(Skills!E8=TRUE,Inputs!$B$32,0)))*(1-IF(AND(ArtifactsInput!$M$27,Inputs!$B$4="Chapter Hunt"),CHOOSE(ArtifactsInput!$N$27+1,20,24,28,32,36,40),0)/100)))+1)),0)</f>
        <v/>
      </c>
      <c r="S1105">
        <f>IFERROR(O1105/N1105,0)</f>
        <v/>
      </c>
      <c r="T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$21+Skills!Q8+(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Skills!A9</f>
        <v/>
      </c>
      <c r="B1106">
        <f>Skills!B9</f>
        <v/>
      </c>
      <c r="C1106">
        <f>Inputs!$B$3&gt;=110</f>
        <v/>
      </c>
      <c r="D1106">
        <f>IF(Skills!C9=1,60+Inputs!$B$25+Inputs!$B$29,IF(Skills!C9=2,90+Inputs!$B$26+Inputs!$B$29,IF(Skills!C9=3,120+Inputs!$B$27+Inputs!$B$29,MAX(0,(Inputs!$B$3-100)*3)+Inputs!$B$28+Inputs!$B$29)))</f>
        <v/>
      </c>
      <c r="E1106">
        <f>INDEX(FactorTable!$B$2:$Y$301, MATCH(ROUND(MIN(300,MAX(1,D1106)),0), FactorTable!$A$2:$A$301,0), Skills!M9+1)</f>
        <v/>
      </c>
      <c r="F1106">
        <f>IF(Skills!N9=TRUE,(Skills!L9/10)*(E1106/1000),Skills!L9/10)+Skills!O9</f>
        <v/>
      </c>
      <c r="G1106">
        <f>Skills!G9*IF(Skills!H9&gt;0,Skills!I9/Skills!H9,1)</f>
        <v/>
      </c>
      <c r="H1106">
        <f>1-(1-Skills!J9/100)^Skills!K9</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1117=TRUE)*(F1117-Calc!F20)),(Inputs!$B$23+0+(IF(ArtifactsInput!$M$15,CHOOSE(ArtifactsInput!$N$15+1,25,30,35,40,45,50)/100*(Inputs!$B$11-Inputs!$B$11),0))))/100+(Inputs!$B$23+0+(IF(ArtifactsInput!$M$15,CHOOSE(ArtifactsInput!$N$15+1,25,30,35,40,45,50)/100*(Inputs!$B$11-Inputs!$B$11),0)))/100)/2</f>
        <v/>
      </c>
      <c r="M1106">
        <f>L1106*(1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IF(B1132=0,0,O1106/B1132)</f>
        <v/>
      </c>
      <c r="Q1106">
        <f>IFERROR(1/(IF(Inputs!$B$38="pvp",15,MAX(0.1,Skills!D9-IF(Skills!E9=TRUE,Inputs!$B$32,0)))*(1-IF(AND(ArtifactsInput!$M$27,Inputs!$B$4="Chapter Hunt"),CHOOSE(ArtifactsInput!$N$27+1,20,24,28,32,36,40),0)/100)),0)</f>
        <v/>
      </c>
      <c r="R1106">
        <f>IF(AND(Inputs!$B$38&lt;&gt;"pvp",Inputs!$B$43&gt;0),IF(MAX(0,Inputs!$B$43-B1129)&lt;=0,0,(INT(MAX(0,Inputs!$B$43-B1129)/(IF(Inputs!$B$38="pvp",15,MAX(0.1,Skills!D9-IF(Skills!E9=TRUE,Inputs!$B$32,0)))*(1-IF(AND(ArtifactsInput!$M$27,Inputs!$B$4="Chapter Hunt"),CHOOSE(ArtifactsInput!$N$27+1,20,24,28,32,36,40),0)/100)))+1)),0)</f>
        <v/>
      </c>
      <c r="S1106">
        <f>IFERROR(O1106/N1106,0)</f>
        <v/>
      </c>
      <c r="T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$21+Skills!Q9+(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Skills!A10</f>
        <v/>
      </c>
      <c r="B1107">
        <f>Skills!B10</f>
        <v/>
      </c>
      <c r="C1107">
        <f>Inputs!$B$3&gt;=103</f>
        <v/>
      </c>
      <c r="D1107">
        <f>IF(Skills!C10=1,60+Inputs!$B$25+Inputs!$B$29,IF(Skills!C10=2,90+Inputs!$B$26+Inputs!$B$29,IF(Skills!C10=3,120+Inputs!$B$27+Inputs!$B$29,MAX(0,(Inputs!$B$3-100)*3)+Inputs!$B$28+Inputs!$B$29)))</f>
        <v/>
      </c>
      <c r="E1107">
        <f>INDEX(FactorTable!$B$2:$Y$301, MATCH(ROUND(MIN(300,MAX(1,D1107)),0), FactorTable!$A$2:$A$301,0), Skills!M10+1)</f>
        <v/>
      </c>
      <c r="F1107">
        <f>IF(Skills!N10=TRUE,(Skills!L10/10)*(E1107/1000),Skills!L10/10)+Skills!O10</f>
        <v/>
      </c>
      <c r="G1107">
        <f>Skills!G10*IF(Skills!H10&gt;0,Skills!I10/Skills!H10,1)</f>
        <v/>
      </c>
      <c r="H1107">
        <f>1-(1-Skills!J10/100)^Skills!K10</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1117=TRUE)*(F1117-Calc!F20)),(Inputs!$B$23+0+(IF(ArtifactsInput!$M$15,CHOOSE(ArtifactsInput!$N$15+1,25,30,35,40,45,50)/100*(Inputs!$B$11-Inputs!$B$11),0))))/100+(Inputs!$B$23+0+(IF(ArtifactsInput!$M$15,CHOOSE(ArtifactsInput!$N$15+1,25,30,35,40,45,50)/100*(Inputs!$B$11-Inputs!$B$11),0)))/100)/2</f>
        <v/>
      </c>
      <c r="M1107">
        <f>L1107*(1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IF(B1132=0,0,O1107/B1132)</f>
        <v/>
      </c>
      <c r="Q1107">
        <f>IFERROR(1/(IF(Inputs!$B$38="pvp",15,MAX(0.1,Skills!D10-IF(Skills!E10=TRUE,Inputs!$B$32,0)))*(1-IF(AND(ArtifactsInput!$M$27,Inputs!$B$4="Chapter Hunt"),CHOOSE(ArtifactsInput!$N$27+1,20,24,28,32,36,40),0)/100)),0)</f>
        <v/>
      </c>
      <c r="R1107">
        <f>IF(AND(Inputs!$B$38&lt;&gt;"pvp",Inputs!$B$43&gt;0),IF(MAX(0,Inputs!$B$43-B1129)&lt;=0,0,(INT(MAX(0,Inputs!$B$43-B1129)/(IF(Inputs!$B$38="pvp",15,MAX(0.1,Skills!D10-IF(Skills!E10=TRUE,Inputs!$B$32,0)))*(1-IF(AND(ArtifactsInput!$M$27,Inputs!$B$4="Chapter Hunt"),CHOOSE(ArtifactsInput!$N$27+1,20,24,28,32,36,40),0)/100)))+1)),0)</f>
        <v/>
      </c>
      <c r="S1107">
        <f>IFERROR(O1107/N1107,0)</f>
        <v/>
      </c>
      <c r="T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$21+Skills!Q10+(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Skills!A11</f>
        <v/>
      </c>
      <c r="B1108">
        <f>Skills!B11</f>
        <v/>
      </c>
      <c r="C1108">
        <f>Inputs!$B$3&gt;=113</f>
        <v/>
      </c>
      <c r="D1108">
        <f>IF(Skills!C11=1,60+Inputs!$B$25+Inputs!$B$29,IF(Skills!C11=2,90+Inputs!$B$26+Inputs!$B$29,IF(Skills!C11=3,120+Inputs!$B$27+Inputs!$B$29,MAX(0,(Inputs!$B$3-100)*3)+Inputs!$B$28+Inputs!$B$29)))</f>
        <v/>
      </c>
      <c r="E1108">
        <f>INDEX(FactorTable!$B$2:$Y$301, MATCH(ROUND(MIN(300,MAX(1,D1108)),0), FactorTable!$A$2:$A$301,0), Skills!M11+1)</f>
        <v/>
      </c>
      <c r="F1108">
        <f>IF(Skills!N11=TRUE,(Skills!L11/10)*(E1108/1000),Skills!L11/10)+Skills!O11</f>
        <v/>
      </c>
      <c r="G1108">
        <f>Skills!G11*IF(Skills!H11&gt;0,Skills!I11/Skills!H11,1)</f>
        <v/>
      </c>
      <c r="H1108">
        <f>1-(1-Skills!J11/100)^Skills!K11</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1117=TRUE)*(F1117-Calc!F20)),(Inputs!$B$23+0+(IF(ArtifactsInput!$M$15,CHOOSE(ArtifactsInput!$N$15+1,25,30,35,40,45,50)/100*(Inputs!$B$11-Inputs!$B$11),0))))/100+(Inputs!$B$23+0+(IF(ArtifactsInput!$M$15,CHOOSE(ArtifactsInput!$N$15+1,25,30,35,40,45,50)/100*(Inputs!$B$11-Inputs!$B$11),0)))/100)/2</f>
        <v/>
      </c>
      <c r="M1108">
        <f>L1108*(1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IF(B1132=0,0,O1108/B1132)</f>
        <v/>
      </c>
      <c r="Q1108">
        <f>IFERROR(1/(IF(Inputs!$B$38="pvp",15,MAX(0.1,Skills!D11-IF(Skills!E11=TRUE,Inputs!$B$32,0)))*(1-IF(AND(ArtifactsInput!$M$27,Inputs!$B$4="Chapter Hunt"),CHOOSE(ArtifactsInput!$N$27+1,20,24,28,32,36,40),0)/100)),0)</f>
        <v/>
      </c>
      <c r="R1108">
        <f>IF(AND(Inputs!$B$38&lt;&gt;"pvp",Inputs!$B$43&gt;0),IF(MAX(0,Inputs!$B$43-B1129)&lt;=0,0,(INT(MAX(0,Inputs!$B$43-B1129)/(IF(Inputs!$B$38="pvp",15,MAX(0.1,Skills!D11-IF(Skills!E11=TRUE,Inputs!$B$32,0)))*(1-IF(AND(ArtifactsInput!$M$27,Inputs!$B$4="Chapter Hunt"),CHOOSE(ArtifactsInput!$N$27+1,20,24,28,32,36,40),0)/100)))+1)),0)</f>
        <v/>
      </c>
      <c r="S1108">
        <f>IFERROR(O1108/N1108,0)</f>
        <v/>
      </c>
      <c r="T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$21+Skills!Q11+(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Skills!A12</f>
        <v/>
      </c>
      <c r="B1109">
        <f>Skills!B12</f>
        <v/>
      </c>
      <c r="C1109">
        <f>Inputs!$B$3&gt;=100</f>
        <v/>
      </c>
      <c r="D1109">
        <f>IF(Skills!C12=1,60+Inputs!$B$25+Inputs!$B$29,IF(Skills!C12=2,90+Inputs!$B$26+Inputs!$B$29,IF(Skills!C12=3,120+Inputs!$B$27+Inputs!$B$29,MAX(0,(Inputs!$B$3-100)*3)+Inputs!$B$28+Inputs!$B$29)))</f>
        <v/>
      </c>
      <c r="E1109">
        <f>INDEX(FactorTable!$B$2:$Y$301, MATCH(ROUND(MIN(300,MAX(1,D1109)),0), FactorTable!$A$2:$A$301,0), Skills!M12+1)</f>
        <v/>
      </c>
      <c r="F1109">
        <f>IF(Skills!N12=TRUE,(Skills!L12/10)*(E1109/1000),Skills!L12/10)+Skills!O12</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V1109" t="inlineStr"/>
    </row>
    <row r="1110">
      <c r="A1110">
        <f>Skills!A13</f>
        <v/>
      </c>
      <c r="B1110">
        <f>Skills!B13</f>
        <v/>
      </c>
      <c r="C1110">
        <f>Inputs!$B$3&gt;=66</f>
        <v/>
      </c>
      <c r="D1110">
        <f>IF(Skills!C13=1,60+Inputs!$B$25+Inputs!$B$29,IF(Skills!C13=2,90+Inputs!$B$26+Inputs!$B$29,IF(Skills!C13=3,120+Inputs!$B$27+Inputs!$B$29,MAX(0,(Inputs!$B$3-100)*3)+Inputs!$B$28+Inputs!$B$29)))</f>
        <v/>
      </c>
      <c r="E1110">
        <f>INDEX(FactorTable!$B$2:$Y$301, MATCH(ROUND(MIN(300,MAX(1,D1110)),0), FactorTable!$A$2:$A$301,0), Skills!M13+1)</f>
        <v/>
      </c>
      <c r="F1110">
        <f>IF(Skills!N13=TRUE,(Skills!L13/10)*(E1110/1000),Skills!L13/10)+Skills!O13</f>
        <v/>
      </c>
      <c r="G1110">
        <f>Skills!G13*IF(Skills!H13&gt;0,Skills!I13/Skills!H13,1)</f>
        <v/>
      </c>
      <c r="H1110">
        <f>1-(1-Skills!J13/100)^Skills!K13</f>
        <v/>
      </c>
      <c r="I1110" t="inlineStr">
        <is>
          <t>1</t>
        </is>
      </c>
      <c r="J1110" t="inlineStr"/>
      <c r="K1110" t="inlineStr"/>
      <c r="L1110" t="inlineStr"/>
      <c r="M1110" t="inlineStr"/>
      <c r="N1110" t="inlineStr"/>
      <c r="O1110">
        <f>(1-Summary!$B$11)*T1110+Summary!$B$11*V1110</f>
        <v/>
      </c>
      <c r="P1110">
        <f>IF(B1132=0,0,O1110/B1132)</f>
        <v/>
      </c>
      <c r="Q1110" t="n">
        <v>0</v>
      </c>
      <c r="R1110" t="n">
        <v>0</v>
      </c>
      <c r="S1110">
        <f>IFERROR(O1110/N1110,0)</f>
        <v/>
      </c>
      <c r="T1110" t="n">
        <v>0</v>
      </c>
      <c r="V1110" t="n">
        <v>0</v>
      </c>
    </row>
    <row r="1111">
      <c r="A1111">
        <f>Skills!A14</f>
        <v/>
      </c>
      <c r="B1111">
        <f>Skills!B14</f>
        <v/>
      </c>
      <c r="C1111">
        <f>Inputs!$B$3&gt;=107</f>
        <v/>
      </c>
      <c r="D1111">
        <f>IF(Skills!C14=1,60+Inputs!$B$25+Inputs!$B$29,IF(Skills!C14=2,90+Inputs!$B$26+Inputs!$B$29,IF(Skills!C14=3,120+Inputs!$B$27+Inputs!$B$29,MAX(0,(Inputs!$B$3-100)*3)+Inputs!$B$28+Inputs!$B$29)))</f>
        <v/>
      </c>
      <c r="E1111">
        <f>INDEX(FactorTable!$B$2:$Y$301, MATCH(ROUND(MIN(300,MAX(1,D1111)),0), FactorTable!$A$2:$A$301,0), Skills!M14+1)</f>
        <v/>
      </c>
      <c r="F1111">
        <f>IF(Skills!N14=TRUE,(Skills!L14/10)*(E1111/1000),Skills!L14/10)+Skills!O14</f>
        <v/>
      </c>
      <c r="G1111">
        <f>Skills!G14*IF(Skills!H14&gt;0,Skills!I14/Skills!H14,1)</f>
        <v/>
      </c>
      <c r="H1111">
        <f>1-(1-Skills!J14/100)^Skills!K14</f>
        <v/>
      </c>
      <c r="I1111" t="inlineStr">
        <is>
          <t>1</t>
        </is>
      </c>
      <c r="J1111" t="inlineStr"/>
      <c r="K1111" t="inlineStr"/>
      <c r="L1111" t="inlineStr"/>
      <c r="M1111" t="inlineStr"/>
      <c r="N1111" t="inlineStr"/>
      <c r="O1111">
        <f>(1-Summary!$B$11)*T1111+Summary!$B$11*V1111</f>
        <v/>
      </c>
      <c r="P1111">
        <f>IF(B1132=0,0,O1111/B1132)</f>
        <v/>
      </c>
      <c r="Q1111" t="n">
        <v>0</v>
      </c>
      <c r="R1111" t="n">
        <v>0</v>
      </c>
      <c r="S1111">
        <f>IFERROR(O1111/N1111,0)</f>
        <v/>
      </c>
      <c r="T1111" t="n">
        <v>0</v>
      </c>
      <c r="V1111" t="n">
        <v>0</v>
      </c>
    </row>
    <row r="1112">
      <c r="A1112">
        <f>Skills!A15</f>
        <v/>
      </c>
      <c r="B1112">
        <f>Skills!B15</f>
        <v/>
      </c>
      <c r="C1112">
        <f>Inputs!$B$3&gt;=115</f>
        <v/>
      </c>
      <c r="D1112">
        <f>IF(Skills!C15=1,60+Inputs!$B$25+Inputs!$B$29,IF(Skills!C15=2,90+Inputs!$B$26+Inputs!$B$29,IF(Skills!C15=3,120+Inputs!$B$27+Inputs!$B$29,MAX(0,(Inputs!$B$3-100)*3)+Inputs!$B$28+Inputs!$B$29)))</f>
        <v/>
      </c>
      <c r="E1112">
        <f>INDEX(FactorTable!$B$2:$Y$301, MATCH(ROUND(MIN(300,MAX(1,D1112)),0), FactorTable!$A$2:$A$301,0), Skills!M15+1)</f>
        <v/>
      </c>
      <c r="F1112">
        <f>IF(Skills!N15=TRUE,(Skills!L15/10)*(E1112/1000),Skills!L15/10)+Skills!O15</f>
        <v/>
      </c>
      <c r="G1112">
        <f>Skills!G15*IF(Skills!H15&gt;0,Skills!I15/Skills!H15,1)</f>
        <v/>
      </c>
      <c r="H1112">
        <f>1-(1-Skills!J15/100)^Skills!K15</f>
        <v/>
      </c>
      <c r="I1112" t="inlineStr">
        <is>
          <t>1</t>
        </is>
      </c>
      <c r="J1112" t="inlineStr"/>
      <c r="K1112" t="inlineStr"/>
      <c r="L1112" t="inlineStr"/>
      <c r="M1112" t="inlineStr"/>
      <c r="N1112" t="inlineStr"/>
      <c r="O1112">
        <f>(1-Summary!$B$11)*T1112+Summary!$B$11*V1112</f>
        <v/>
      </c>
      <c r="P1112">
        <f>IF(B1132=0,0,O1112/B1132)</f>
        <v/>
      </c>
      <c r="Q1112" t="n">
        <v>0</v>
      </c>
      <c r="R1112" t="n">
        <v>0</v>
      </c>
      <c r="S1112">
        <f>IFERROR(O1112/N1112,0)</f>
        <v/>
      </c>
      <c r="T1112" t="n">
        <v>0</v>
      </c>
      <c r="V1112" t="n">
        <v>0</v>
      </c>
    </row>
    <row r="1113">
      <c r="A1113">
        <f>Skills!A16</f>
        <v/>
      </c>
      <c r="B1113">
        <f>Skills!B16</f>
        <v/>
      </c>
      <c r="C1113">
        <f>Inputs!$B$3&gt;=15</f>
        <v/>
      </c>
      <c r="D1113">
        <f>IF(Skills!C16=1,60+Inputs!$B$25+Inputs!$B$29,IF(Skills!C16=2,90+Inputs!$B$26+Inputs!$B$29,IF(Skills!C16=3,120+Inputs!$B$27+Inputs!$B$29,MAX(0,(Inputs!$B$3-100)*3)+Inputs!$B$28+Inputs!$B$29)))</f>
        <v/>
      </c>
      <c r="E1113">
        <f>INDEX(FactorTable!$B$2:$Y$301, MATCH(ROUND(MIN(300,MAX(1,D1113)),0), FactorTable!$A$2:$A$301,0), Skills!M16+1)</f>
        <v/>
      </c>
      <c r="F1113">
        <f>IF(Skills!N16=TRUE,(Skills!L16/10)*(E1113/1000),Skills!L16/10)+Skills!O16</f>
        <v/>
      </c>
      <c r="G1113">
        <f>Skills!G16*IF(Skills!H16&gt;0,Skills!I16/Skills!H16,1)</f>
        <v/>
      </c>
      <c r="H1113">
        <f>1-(1-Skills!J16/100)^Skills!K16</f>
        <v/>
      </c>
      <c r="I1113" t="inlineStr">
        <is>
          <t>1</t>
        </is>
      </c>
      <c r="J1113" t="inlineStr"/>
      <c r="K1113" t="inlineStr"/>
      <c r="L1113" t="inlineStr"/>
      <c r="M1113" t="inlineStr"/>
      <c r="N1113" t="inlineStr"/>
      <c r="O1113">
        <f>(1-Summary!$B$11)*T1113+Summary!$B$11*V1113</f>
        <v/>
      </c>
      <c r="P1113">
        <f>IF(B1132=0,0,O1113/B1132)</f>
        <v/>
      </c>
      <c r="Q1113" t="n">
        <v>0</v>
      </c>
      <c r="R1113" t="n">
        <v>0</v>
      </c>
      <c r="S1113">
        <f>IFERROR(O1113/N1113,0)</f>
        <v/>
      </c>
      <c r="T1113" t="n">
        <v>0</v>
      </c>
      <c r="V1113" t="n">
        <v>0</v>
      </c>
    </row>
    <row r="1114">
      <c r="A1114">
        <f>Skills!A17</f>
        <v/>
      </c>
      <c r="B1114">
        <f>Skills!B17</f>
        <v/>
      </c>
      <c r="C1114">
        <f>Inputs!$B$3&gt;=10</f>
        <v/>
      </c>
      <c r="D1114">
        <f>IF(Skills!C17=1,60+Inputs!$B$25+Inputs!$B$29,IF(Skills!C17=2,90+Inputs!$B$26+Inputs!$B$29,IF(Skills!C17=3,120+Inputs!$B$27+Inputs!$B$29,MAX(0,(Inputs!$B$3-100)*3)+Inputs!$B$28+Inputs!$B$29)))</f>
        <v/>
      </c>
      <c r="E1114">
        <f>INDEX(FactorTable!$B$2:$Y$301, MATCH(ROUND(MIN(300,MAX(1,D1114)),0), FactorTable!$A$2:$A$301,0), Skills!M17+1)</f>
        <v/>
      </c>
      <c r="F1114">
        <f>IF(Skills!N17=TRUE,(Skills!L17/10)*(E1114/1000),Skills!L17/10)+Skills!O17</f>
        <v/>
      </c>
      <c r="G1114">
        <f>Skills!G17*IF(Skills!H17&gt;0,Skills!I17/Skills!H17,1)</f>
        <v/>
      </c>
      <c r="H1114">
        <f>1-(1-Skills!J17/100)^Skills!K17</f>
        <v/>
      </c>
      <c r="I1114" t="inlineStr">
        <is>
          <t>1</t>
        </is>
      </c>
      <c r="J1114" t="inlineStr"/>
      <c r="K1114" t="inlineStr"/>
      <c r="L1114" t="inlineStr"/>
      <c r="M1114" t="inlineStr"/>
      <c r="N1114" t="inlineStr"/>
      <c r="O1114">
        <f>(1-Summary!$B$11)*T1114+Summary!$B$11*V1114</f>
        <v/>
      </c>
      <c r="P1114">
        <f>IF(B1132=0,0,O1114/B1132)</f>
        <v/>
      </c>
      <c r="Q1114" t="n">
        <v>0</v>
      </c>
      <c r="R1114" t="n">
        <v>0</v>
      </c>
      <c r="S1114">
        <f>IFERROR(O1114/N1114,0)</f>
        <v/>
      </c>
      <c r="T1114" t="n">
        <v>0</v>
      </c>
      <c r="V1114" t="n">
        <v>0</v>
      </c>
    </row>
    <row r="1115">
      <c r="A1115">
        <f>Skills!A18</f>
        <v/>
      </c>
      <c r="B1115">
        <f>Skills!B18</f>
        <v/>
      </c>
      <c r="C1115">
        <f>Inputs!$B$3&gt;=33</f>
        <v/>
      </c>
      <c r="D1115">
        <f>IF(Skills!C18=1,60+Inputs!$B$25+Inputs!$B$29,IF(Skills!C18=2,90+Inputs!$B$26+Inputs!$B$29,IF(Skills!C18=3,120+Inputs!$B$27+Inputs!$B$29,MAX(0,(Inputs!$B$3-100)*3)+Inputs!$B$28+Inputs!$B$29)))</f>
        <v/>
      </c>
      <c r="E1115">
        <f>INDEX(FactorTable!$B$2:$Y$301, MATCH(ROUND(MIN(300,MAX(1,D1115)),0), FactorTable!$A$2:$A$301,0), Skills!M18+1)</f>
        <v/>
      </c>
      <c r="F1115">
        <f>IF(Skills!N18=TRUE,(Skills!L18/10)*(E1115/1000),Skills!L18/10)+Skills!O18</f>
        <v/>
      </c>
      <c r="G1115">
        <f>Skills!G18*IF(Skills!H18&gt;0,Skills!I18/Skills!H18,1)</f>
        <v/>
      </c>
      <c r="H1115">
        <f>1-(1-Skills!J18/100)^Skills!K18</f>
        <v/>
      </c>
      <c r="I1115" t="inlineStr">
        <is>
          <t>1</t>
        </is>
      </c>
      <c r="J1115" t="inlineStr"/>
      <c r="K1115" t="inlineStr"/>
      <c r="L1115" t="inlineStr"/>
      <c r="M1115" t="inlineStr"/>
      <c r="N1115" t="inlineStr"/>
      <c r="O1115">
        <f>(1-Summary!$B$11)*T1115+Summary!$B$11*V1115</f>
        <v/>
      </c>
      <c r="P1115">
        <f>IF(B1132=0,0,O1115/B1132)</f>
        <v/>
      </c>
      <c r="Q1115" t="n">
        <v>0</v>
      </c>
      <c r="R1115" t="n">
        <v>0</v>
      </c>
      <c r="S1115">
        <f>IFERROR(O1115/N1115,0)</f>
        <v/>
      </c>
      <c r="T1115" t="n">
        <v>0</v>
      </c>
      <c r="V1115" t="n">
        <v>0</v>
      </c>
    </row>
    <row r="1116">
      <c r="A1116">
        <f>Skills!A19</f>
        <v/>
      </c>
      <c r="B1116">
        <f>Skills!B19</f>
        <v/>
      </c>
      <c r="C1116">
        <f>Inputs!$B$3&gt;=40</f>
        <v/>
      </c>
      <c r="D1116">
        <f>IF(Skills!C19=1,60+Inputs!$B$25+Inputs!$B$29,IF(Skills!C19=2,90+Inputs!$B$26+Inputs!$B$29,IF(Skills!C19=3,120+Inputs!$B$27+Inputs!$B$29,MAX(0,(Inputs!$B$3-100)*3)+Inputs!$B$28+Inputs!$B$29)))</f>
        <v/>
      </c>
      <c r="E1116">
        <f>INDEX(FactorTable!$B$2:$Y$301, MATCH(ROUND(MIN(300,MAX(1,D1116)),0), FactorTable!$A$2:$A$301,0), Skills!M19+1)</f>
        <v/>
      </c>
      <c r="F1116">
        <f>IF(Skills!N19=TRUE,(Skills!L19/10)*(E1116/1000),Skills!L19/10)+Skills!O19</f>
        <v/>
      </c>
      <c r="G1116">
        <f>Skills!G19*IF(Skills!H19&gt;0,Skills!I19/Skills!H19,1)</f>
        <v/>
      </c>
      <c r="H1116">
        <f>1-(1-Skills!J19/100)^Skills!K19</f>
        <v/>
      </c>
      <c r="I1116" t="inlineStr">
        <is>
          <t>1</t>
        </is>
      </c>
      <c r="J1116" t="inlineStr"/>
      <c r="K1116" t="inlineStr"/>
      <c r="L1116" t="inlineStr"/>
      <c r="M1116" t="inlineStr"/>
      <c r="N1116" t="inlineStr"/>
      <c r="O1116">
        <f>(1-Summary!$B$11)*T1116+Summary!$B$11*V1116</f>
        <v/>
      </c>
      <c r="P1116">
        <f>IF(B1132=0,0,O1116/B1132)</f>
        <v/>
      </c>
      <c r="Q1116" t="n">
        <v>0</v>
      </c>
      <c r="R1116" t="n">
        <v>0</v>
      </c>
      <c r="S1116">
        <f>IFERROR(O1116/N1116,0)</f>
        <v/>
      </c>
      <c r="T1116" t="n">
        <v>0</v>
      </c>
      <c r="V1116" t="n">
        <v>0</v>
      </c>
    </row>
    <row r="1117">
      <c r="A1117">
        <f>Skills!A20</f>
        <v/>
      </c>
      <c r="B1117">
        <f>Skills!B20</f>
        <v/>
      </c>
      <c r="C1117">
        <f>Inputs!$B$3&gt;=43</f>
        <v/>
      </c>
      <c r="D1117">
        <f>IF(Skills!C20=1,60+Inputs!$B$25+Inputs!$B$29,IF(Skills!C20=2,90+Inputs!$B$26+Inputs!$B$29,IF(Skills!C20=3,120+Inputs!$B$27+Inputs!$B$29,MAX(0,(Inputs!$B$3-100)*3)+Inputs!$B$28+Inputs!$B$29)))</f>
        <v/>
      </c>
      <c r="E1117">
        <f>INDEX(FactorTable!$B$2:$Y$301, MATCH(ROUND(MIN(300,MAX(1,D1117)),0), FactorTable!$A$2:$A$301,0), Skills!M20+1)</f>
        <v/>
      </c>
      <c r="F1117">
        <f>IF(Skills!N20=TRUE,(Skills!L20/10)*(E1117/1000),Skills!L20/10)+Skills!O20</f>
        <v/>
      </c>
      <c r="G1117">
        <f>Skills!G20*IF(Skills!H20&gt;0,Skills!I20/Skills!H20,1)</f>
        <v/>
      </c>
      <c r="H1117">
        <f>1-(1-Skills!J20/100)^Skills!K20</f>
        <v/>
      </c>
      <c r="I1117" t="inlineStr">
        <is>
          <t>1</t>
        </is>
      </c>
      <c r="J1117" t="inlineStr"/>
      <c r="K1117" t="inlineStr"/>
      <c r="L1117" t="inlineStr"/>
      <c r="M1117" t="inlineStr"/>
      <c r="N1117" t="inlineStr"/>
      <c r="O1117">
        <f>(1-Summary!$B$11)*T1117+Summary!$B$11*V1117</f>
        <v/>
      </c>
      <c r="P1117">
        <f>IF(B1132=0,0,O1117/B1132)</f>
        <v/>
      </c>
      <c r="Q1117" t="n">
        <v>0</v>
      </c>
      <c r="R1117" t="n">
        <v>0</v>
      </c>
      <c r="S1117">
        <f>IFERROR(O1117/N1117,0)</f>
        <v/>
      </c>
      <c r="T1117" t="n">
        <v>0</v>
      </c>
      <c r="V1117" t="n">
        <v>0</v>
      </c>
    </row>
    <row r="1118">
      <c r="A1118">
        <f>Skills!A21</f>
        <v/>
      </c>
      <c r="B1118">
        <f>Skills!B21</f>
        <v/>
      </c>
      <c r="C1118">
        <f>Inputs!$B$3&gt;=38</f>
        <v/>
      </c>
      <c r="D1118">
        <f>IF(Skills!C21=1,60+Inputs!$B$25+Inputs!$B$29,IF(Skills!C21=2,90+Inputs!$B$26+Inputs!$B$29,IF(Skills!C21=3,120+Inputs!$B$27+Inputs!$B$29,MAX(0,(Inputs!$B$3-100)*3)+Inputs!$B$28+Inputs!$B$29)))</f>
        <v/>
      </c>
      <c r="E1118">
        <f>INDEX(FactorTable!$B$2:$Y$301, MATCH(ROUND(MIN(300,MAX(1,D1118)),0), FactorTable!$A$2:$A$301,0), Skills!M21+1)</f>
        <v/>
      </c>
      <c r="F1118">
        <f>IF(Skills!N21=TRUE,(Skills!L21/10)*(E1118/1000),Skills!L21/10)+Skills!O21</f>
        <v/>
      </c>
      <c r="G1118">
        <f>Skills!G21*IF(Skills!H21&gt;0,Skills!I21/Skills!H21,1)</f>
        <v/>
      </c>
      <c r="H1118">
        <f>1-(1-Skills!J21/100)^Skills!K21</f>
        <v/>
      </c>
      <c r="I1118" t="inlineStr">
        <is>
          <t>1</t>
        </is>
      </c>
      <c r="J1118" t="inlineStr"/>
      <c r="K1118" t="inlineStr"/>
      <c r="L1118" t="inlineStr"/>
      <c r="M1118" t="inlineStr"/>
      <c r="N1118" t="inlineStr"/>
      <c r="O1118">
        <f>(1-Summary!$B$11)*T1118+Summary!$B$11*V1118</f>
        <v/>
      </c>
      <c r="P1118">
        <f>IF(B1132=0,0,O1118/B1132)</f>
        <v/>
      </c>
      <c r="Q1118" t="n">
        <v>0</v>
      </c>
      <c r="R1118" t="n">
        <v>0</v>
      </c>
      <c r="S1118">
        <f>IFERROR(O1118/N1118,0)</f>
        <v/>
      </c>
      <c r="T1118" t="n">
        <v>0</v>
      </c>
      <c r="V1118" t="n">
        <v>0</v>
      </c>
    </row>
    <row r="1119">
      <c r="A1119">
        <f>Skills!A22</f>
        <v/>
      </c>
      <c r="B1119">
        <f>Skills!B22</f>
        <v/>
      </c>
      <c r="C1119">
        <f>Inputs!$B$3&gt;=75</f>
        <v/>
      </c>
      <c r="D1119">
        <f>IF(Skills!C22=1,60+Inputs!$B$25+Inputs!$B$29,IF(Skills!C22=2,90+Inputs!$B$26+Inputs!$B$29,IF(Skills!C22=3,120+Inputs!$B$27+Inputs!$B$29,MAX(0,(Inputs!$B$3-100)*3)+Inputs!$B$28+Inputs!$B$29)))</f>
        <v/>
      </c>
      <c r="E1119">
        <f>INDEX(FactorTable!$B$2:$Y$301, MATCH(ROUND(MIN(300,MAX(1,D1119)),0), FactorTable!$A$2:$A$301,0), Skills!M22+1)</f>
        <v/>
      </c>
      <c r="F1119">
        <f>IF(Skills!N22=TRUE,(Skills!L22/10)*(E1119/1000),Skills!L22/10)+Skills!O22</f>
        <v/>
      </c>
      <c r="G1119">
        <f>Skills!G22*IF(Skills!H22&gt;0,Skills!I22/Skills!H22,1)</f>
        <v/>
      </c>
      <c r="H1119">
        <f>1-(1-Skills!J22/100)^Skills!K22</f>
        <v/>
      </c>
      <c r="I1119" t="inlineStr">
        <is>
          <t>1</t>
        </is>
      </c>
      <c r="J1119" t="inlineStr"/>
      <c r="K1119" t="inlineStr"/>
      <c r="L1119" t="inlineStr"/>
      <c r="M1119" t="inlineStr"/>
      <c r="N1119" t="inlineStr"/>
      <c r="O1119">
        <f>(1-Summary!$B$11)*T1119+Summary!$B$11*V1119</f>
        <v/>
      </c>
      <c r="P1119">
        <f>IF(B1132=0,0,O1119/B1132)</f>
        <v/>
      </c>
      <c r="Q1119" t="n">
        <v>0</v>
      </c>
      <c r="R1119" t="n">
        <v>0</v>
      </c>
      <c r="S1119">
        <f>IFERROR(O1119/N1119,0)</f>
        <v/>
      </c>
      <c r="T1119" t="n">
        <v>0</v>
      </c>
      <c r="V1119" t="n">
        <v>0</v>
      </c>
    </row>
    <row r="1121">
      <c r="A1121" t="inlineStr">
        <is>
          <t>Attack% Bucket Multiplier</t>
        </is>
      </c>
      <c r="B1121">
        <f>(1+(((C1110=TRUE)*F1110)+((C1116=TRUE)*(F1116-Calc!F19))+(IF(ArtifactsInput!$M$21,CHOOSE(ArtifactsInput!$N$21+1,25,30,35,40,45,50)*(IF(OR(Inputs!$B$4="Chapter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22">
      <c r="A1122" t="inlineStr">
        <is>
          <t>Global Crit Rate Bonus %</t>
        </is>
      </c>
      <c r="B1122" t="n">
        <v>0</v>
      </c>
    </row>
    <row r="1123">
      <c r="A1123" t="inlineStr">
        <is>
          <t>Attack Speed Buff Bonus % (unused)</t>
        </is>
      </c>
      <c r="B1123" t="n">
        <v>0</v>
      </c>
    </row>
    <row r="1124">
      <c r="A1124" t="inlineStr">
        <is>
          <t>Actions Per Second</t>
        </is>
      </c>
      <c r="B1124">
        <f>1+MIN(150,150*(1-(1-(Inputs!$B$11+((C1114=TRUE)*(F1114-Calc!F17))+((C1115=TRUE)*(F1115-Calc!F18)))/150)*(1-B1123/150)))/100</f>
        <v/>
      </c>
    </row>
    <row r="1125">
      <c r="A1125" t="inlineStr">
        <is>
          <t>Skill + Buff Cast Rate</t>
        </is>
      </c>
      <c r="B1125">
        <f>IF(AND(Inputs!$B$38&lt;&gt;"pvp",Inputs!$B$43&gt;0),SUMPRODUCT((Skills!E2:E22=TRUE)*(C1099:C1119=TRUE)*R1099:R1119*Skills!F2:F22)/Inputs!$B$43,SUMPRODUCT((Skills!E2:E22=TRUE)*(C1099:C1119=TRUE)*Q1099:Q1119*Skills!F2:F22))</f>
        <v/>
      </c>
    </row>
    <row r="1126">
      <c r="A1126" t="inlineStr">
        <is>
          <t>Hook Bomber Casts Per Second</t>
        </is>
      </c>
      <c r="B1126">
        <f>MAX(0,B1124-B1125)</f>
        <v/>
      </c>
    </row>
    <row r="1127">
      <c r="A1127" t="inlineStr">
        <is>
          <t>Global Critical Damage Bonus % (unused)</t>
        </is>
      </c>
      <c r="B1127" t="n">
        <v>0</v>
      </c>
    </row>
    <row r="1128">
      <c r="A1128" t="inlineStr">
        <is>
          <t>Global Final Damage Bonus % (Serpent Scale + Crossbones + Time Leap + Speed Infusion)</t>
        </is>
      </c>
      <c r="B1128">
        <f>((C1102=TRUE)*F1102*((10+IF(Inputs!$B$3&gt;=94,5,0))/((10+IF(Inputs!$B$3&gt;=94,5,0))+5/(B1126*(1+IF(Inputs!$B$3&gt;=104,1,0))))))+((C1111=TRUE)*F1111)+((C1112=TRUE)*F1112)+((Inputs!$B$3&gt;=110)*20*(B1124-1))</f>
        <v/>
      </c>
    </row>
    <row r="1129">
      <c r="A1129" t="inlineStr">
        <is>
          <t>Buff-Casting Startup Delay (s, fixed-duration only)</t>
        </is>
      </c>
      <c r="B1129">
        <f>IF(AND(Inputs!$B$38&lt;&gt;"pvp",Inputs!$B$43&gt;0),SUMPRODUCT((Skills!T2:T22&gt;0)*(Skills!E2:E22=TRUE)*(C1099:C1119=TRUE))/B1124,0)</f>
        <v/>
      </c>
    </row>
    <row r="1130">
      <c r="A1130" t="inlineStr">
        <is>
          <t>Boss-Only Total DPS (this block's swept value)</t>
        </is>
      </c>
      <c r="B1130">
        <f>SUM(T1099:T1119)</f>
        <v/>
      </c>
    </row>
    <row r="1131">
      <c r="A1131" t="inlineStr">
        <is>
          <t>Normal-Only Total DPS (this block's swept value)</t>
        </is>
      </c>
      <c r="B1131">
        <f>SUM(V1099:V1119)</f>
        <v/>
      </c>
    </row>
    <row r="1132">
      <c r="A1132" s="6" t="inlineStr">
        <is>
          <t>TOTAL DPS</t>
        </is>
      </c>
      <c r="B1132" s="6">
        <f>SUM(O1099:O1119)</f>
        <v/>
      </c>
    </row>
    <row r="1135">
      <c r="A1135" s="6" t="inlineStr">
        <is>
          <t>Stat: Shamaness Marble (Equip)</t>
        </is>
      </c>
    </row>
    <row r="1136">
      <c r="A1136" s="5" t="inlineStr">
        <is>
          <t>Key</t>
        </is>
      </c>
      <c r="B1136" s="5" t="inlineStr">
        <is>
          <t>Name</t>
        </is>
      </c>
      <c r="C1136" s="5" t="inlineStr">
        <is>
          <t>Unlocked</t>
        </is>
      </c>
      <c r="D1136" s="5" t="inlineStr">
        <is>
          <t>InputLevel</t>
        </is>
      </c>
      <c r="E1136" s="5" t="inlineStr">
        <is>
          <t>Factor</t>
        </is>
      </c>
      <c r="F1136" s="5" t="inlineStr">
        <is>
          <t>CoefficientPercent</t>
        </is>
      </c>
      <c r="G1136" s="5" t="inlineStr">
        <is>
          <t>EffectiveHits</t>
        </is>
      </c>
      <c r="H1136" s="5" t="inlineStr">
        <is>
          <t>ProcProbability</t>
        </is>
      </c>
      <c r="I1136" s="5" t="inlineStr">
        <is>
          <t>MapleHeroMultiplier</t>
        </is>
      </c>
      <c r="J1136" s="5" t="inlineStr">
        <is>
          <t>BaseDamage</t>
        </is>
      </c>
      <c r="K1136" s="5" t="inlineStr">
        <is>
          <t>BaseHitDamage</t>
        </is>
      </c>
      <c r="L1136" s="5" t="inlineStr">
        <is>
          <t>NonCritAvg</t>
        </is>
      </c>
      <c r="M1136" s="5" t="inlineStr">
        <is>
          <t>CritAvg</t>
        </is>
      </c>
      <c r="N1136" s="5" t="inlineStr">
        <is>
          <t>ExpectedDamage(perHit)</t>
        </is>
      </c>
      <c r="O1136" s="5" t="inlineStr">
        <is>
          <t>DPS</t>
        </is>
      </c>
      <c r="P1136" s="5" t="inlineStr">
        <is>
          <t>% of Total</t>
        </is>
      </c>
      <c r="Q1136" s="5" t="inlineStr">
        <is>
          <t>InvCooldown</t>
        </is>
      </c>
      <c r="R1136" s="5" t="inlineStr">
        <is>
          <t>CastsInFight</t>
        </is>
      </c>
      <c r="S1136" s="5" t="inlineStr">
        <is>
          <t>HitRate(perSec)</t>
        </is>
      </c>
      <c r="U1136" t="inlineStr">
        <is>
          <t>helpers</t>
        </is>
      </c>
    </row>
    <row r="1137">
      <c r="A1137">
        <f>Skills!A2</f>
        <v/>
      </c>
      <c r="B1137">
        <f>Skills!B2</f>
        <v/>
      </c>
      <c r="C1137">
        <f>Inputs!$B$3&gt;=100</f>
        <v/>
      </c>
      <c r="D1137" t="inlineStr"/>
      <c r="E1137" t="inlineStr"/>
      <c r="F1137">
        <f>U1139+Skills!O2</f>
        <v/>
      </c>
      <c r="G1137">
        <f>Skills!G2*IF(Skills!H2&gt;0,Skills!I2/Skills!H2,1)</f>
        <v/>
      </c>
      <c r="H1137">
        <f>1-(1-Skills!J2/100)^Skills!K2</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1155=TRUE)*(F1155-Calc!F20)),(Inputs!$B$23+0+(IF(ArtifactsInput!$M$15,CHOOSE(ArtifactsInput!$N$15+1,25,30,35,40,45,50)/100*(Inputs!$B$11-Inputs!$B$11),0))))/100+(Inputs!$B$23+0+(IF(ArtifactsInput!$M$15,CHOOSE(ArtifactsInput!$N$15+1,25,30,35,40,45,50)/100*(Inputs!$B$11-Inputs!$B$11),0)))/100)/2</f>
        <v/>
      </c>
      <c r="M1137">
        <f>L1137*(1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IF(B1170=0,0,O1137/B1170)</f>
        <v/>
      </c>
      <c r="Q1137" t="n">
        <v>0</v>
      </c>
      <c r="R1137" t="n">
        <v>0</v>
      </c>
      <c r="S1137">
        <f>IFERROR(O1137/N1137,0)</f>
        <v/>
      </c>
      <c r="T1137">
        <f>IF(C1137,(Skills!G2*N1137*B1164)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7">
        <f>MAX(0,(Inputs!$B$3-100)*3)+Inputs!$B$28+Inputs!$B$29</f>
        <v/>
      </c>
      <c r="V1137">
        <f>IF(C1137,(Skills!G2*N1137*B1164)*IF(Inputs!$B$38="pvp",1,(1+(Inputs!$B$21+Skills!Q2+(IF(ArtifactsInput!$M$33,CHOOSE(ArtifactsInput!$N$33+1,30,36,42,48,54,60),0))+(IF(AND(ArtifactsInput!$M$35,Inputs!$B$4&lt;&gt;"Chapter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Skills!A3</f>
        <v/>
      </c>
      <c r="B1138">
        <f>Skills!B3</f>
        <v/>
      </c>
      <c r="C1138">
        <f>Inputs!$B$3&gt;=35</f>
        <v/>
      </c>
      <c r="D1138">
        <f>IF(Skills!C3=1,60+Inputs!$B$25+Inputs!$B$29,IF(Skills!C3=2,90+Inputs!$B$26+Inputs!$B$29,IF(Skills!C3=3,120+Inputs!$B$27+Inputs!$B$29,MAX(0,(Inputs!$B$3-100)*3)+Inputs!$B$28+Inputs!$B$29)))</f>
        <v/>
      </c>
      <c r="E1138">
        <f>INDEX(FactorTable!$B$2:$Y$301, MATCH(ROUND(MIN(300,MAX(1,D1138)),0), FactorTable!$A$2:$A$301,0), Skills!M3+1)</f>
        <v/>
      </c>
      <c r="F1138">
        <f>IF(Skills!N3=TRUE,(Skills!L3/10)*(E1138/1000),Skills!L3/10)+Skills!O3</f>
        <v/>
      </c>
      <c r="G1138">
        <f>Skills!G3*IF(Skills!H3&gt;0,Skills!I3/Skills!H3,1)</f>
        <v/>
      </c>
      <c r="H1138">
        <f>1-(1-Skills!J3/100)^Skills!K3</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1155=TRUE)*(F1155-Calc!F20)),(Inputs!$B$23+0+(IF(ArtifactsInput!$M$15,CHOOSE(ArtifactsInput!$N$15+1,25,30,35,40,45,50)/100*(Inputs!$B$11-Inputs!$B$11),0))))/100+(Inputs!$B$23+0+(IF(ArtifactsInput!$M$15,CHOOSE(ArtifactsInput!$N$15+1,25,30,35,40,45,50)/100*(Inputs!$B$11-Inputs!$B$11),0)))/100)/2</f>
        <v/>
      </c>
      <c r="M1138">
        <f>L1138*(1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IF(B1170=0,0,O1138/B1170)</f>
        <v/>
      </c>
      <c r="Q1138" t="n">
        <v>0</v>
      </c>
      <c r="R1138" t="n">
        <v>0</v>
      </c>
      <c r="S1138">
        <f>IFERROR(O1138/N1138,0)</f>
        <v/>
      </c>
      <c r="T1138">
        <f>IF(C1138,(Skills!G3*H1138*N1138*B1164)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8">
        <f>INDEX(FactorTable!$B$2:$Y$301, MATCH(ROUND(MIN(300,MAX(1,U1137)),0), FactorTable!$A$2:$A$301,0), 22)</f>
        <v/>
      </c>
      <c r="V1138">
        <f>IF(C1138,(Skills!G3*H1138*N1138*B1164)*IF(Inputs!$B$38="pvp",1,(1+(Inputs!$B$21+Skills!Q3+(IF(ArtifactsInput!$M$33,CHOOSE(ArtifactsInput!$N$33+1,30,36,42,48,54,60),0))+(IF(AND(ArtifactsInput!$M$35,Inputs!$B$4&lt;&gt;"Chapter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Skills!A4</f>
        <v/>
      </c>
      <c r="B1139">
        <f>Skills!B4</f>
        <v/>
      </c>
      <c r="C1139">
        <f>Inputs!$B$3&gt;=60</f>
        <v/>
      </c>
      <c r="D1139">
        <f>IF(Skills!C4=1,60+Inputs!$B$25+Inputs!$B$29,IF(Skills!C4=2,90+Inputs!$B$26+Inputs!$B$29,IF(Skills!C4=3,120+Inputs!$B$27+Inputs!$B$29,MAX(0,(Inputs!$B$3-100)*3)+Inputs!$B$28+Inputs!$B$29)))</f>
        <v/>
      </c>
      <c r="E1139">
        <f>INDEX(FactorTable!$B$2:$Y$301, MATCH(ROUND(MIN(300,MAX(1,D1139)),0), FactorTable!$A$2:$A$301,0), Skills!M4+1)</f>
        <v/>
      </c>
      <c r="F1139">
        <f>IF(Skills!N4=TRUE,(Skills!L4/10)*(E1139/1000),Skills!L4/10)+Skills!O4</f>
        <v/>
      </c>
      <c r="G1139">
        <f>Skills!G4*IF(Skills!H4&gt;0,Skills!I4/Skills!H4,1)</f>
        <v/>
      </c>
      <c r="H1139">
        <f>1-(1-Skills!J4/100)^Skills!K4</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1147=TRUE,F1147,0)/100)*(1+(IF(Skills!A4="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1155=TRUE)*(F1155-Calc!F20)),(Inputs!$B$23+0+(IF(ArtifactsInput!$M$15,CHOOSE(ArtifactsInput!$N$15+1,25,30,35,40,45,50)/100*(Inputs!$B$11-Inputs!$B$11),0))))/100+(Inputs!$B$23+0+(IF(ArtifactsInput!$M$15,CHOOSE(ArtifactsInput!$N$15+1,25,30,35,40,45,50)/100*(Inputs!$B$11-Inputs!$B$11),0)))/100)/2</f>
        <v/>
      </c>
      <c r="M1139">
        <f>L1139*(1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IF(B1170=0,0,O1139/B1170)</f>
        <v/>
      </c>
      <c r="Q1139" t="n">
        <v>0</v>
      </c>
      <c r="R1139" t="n">
        <v>0</v>
      </c>
      <c r="S1139">
        <f>IFERROR(O1139/N1139,0)</f>
        <v/>
      </c>
      <c r="T1139">
        <f>IF(C1139,(Skills!G4*H1139*N1139*B1164)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290*U1138/1000</f>
        <v/>
      </c>
      <c r="V1139">
        <f>IF(C1139,(Skills!G4*H1139*N1139*B1164)*IF(Inputs!$B$38="pvp",1,(1+(Inputs!$B$21+Skills!Q4+(IF(ArtifactsInput!$M$33,CHOOSE(ArtifactsInput!$N$33+1,30,36,42,48,54,60),0))+(IF(AND(ArtifactsInput!$M$35,Inputs!$B$4&lt;&gt;"Chapter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Skills!A5</f>
        <v/>
      </c>
      <c r="B1140">
        <f>Skills!B5</f>
        <v/>
      </c>
      <c r="C1140">
        <f>Inputs!$B$3&gt;=60</f>
        <v/>
      </c>
      <c r="D1140">
        <f>IF(Skills!C5=1,60+Inputs!$B$25+Inputs!$B$29,IF(Skills!C5=2,90+Inputs!$B$26+Inputs!$B$29,IF(Skills!C5=3,120+Inputs!$B$27+Inputs!$B$29,MAX(0,(Inputs!$B$3-100)*3)+Inputs!$B$28+Inputs!$B$29)))</f>
        <v/>
      </c>
      <c r="E1140">
        <f>INDEX(FactorTable!$B$2:$Y$301, MATCH(ROUND(MIN(300,MAX(1,D1140)),0), FactorTable!$A$2:$A$301,0), Skills!M5+1)</f>
        <v/>
      </c>
      <c r="F1140">
        <f>IF(Skills!N5=TRUE,(Skills!L5/10)*(E1140/1000),Skills!L5/10)+Skills!O5</f>
        <v/>
      </c>
      <c r="G1140">
        <f>Skills!G5*IF(Skills!H5&gt;0,Skills!I5/Skills!H5,1)</f>
        <v/>
      </c>
      <c r="H1140">
        <f>1-(1-Skills!J5/100)^Skills!K5</f>
        <v/>
      </c>
      <c r="I1140" t="inlineStr">
        <is>
          <t>1</t>
        </is>
      </c>
      <c r="J1140" t="inlineStr"/>
      <c r="K1140" t="inlineStr"/>
      <c r="L1140" t="inlineStr"/>
      <c r="M1140" t="inlineStr"/>
      <c r="N1140" t="inlineStr"/>
      <c r="O1140">
        <f>(1-Summary!$B$11)*T1140+Summary!$B$11*V1140</f>
        <v/>
      </c>
      <c r="P1140">
        <f>IF(B1170=0,0,O1140/B1170)</f>
        <v/>
      </c>
      <c r="Q1140" t="n">
        <v>0</v>
      </c>
      <c r="R1140" t="n">
        <v>0</v>
      </c>
      <c r="S1140">
        <f>IFERROR(O1140/N1140,0)</f>
        <v/>
      </c>
      <c r="T1140" t="n">
        <v>0</v>
      </c>
      <c r="V1140" t="n">
        <v>0</v>
      </c>
    </row>
    <row r="1141">
      <c r="A1141">
        <f>Skills!A6</f>
        <v/>
      </c>
      <c r="B1141">
        <f>Skills!B6</f>
        <v/>
      </c>
      <c r="C1141">
        <f>Inputs!$B$3&gt;=63</f>
        <v/>
      </c>
      <c r="D1141">
        <f>IF(Skills!C6=1,60+Inputs!$B$25+Inputs!$B$29,IF(Skills!C6=2,90+Inputs!$B$26+Inputs!$B$29,IF(Skills!C6=3,120+Inputs!$B$27+Inputs!$B$29,MAX(0,(Inputs!$B$3-100)*3)+Inputs!$B$28+Inputs!$B$29)))</f>
        <v/>
      </c>
      <c r="E1141">
        <f>INDEX(FactorTable!$B$2:$Y$301, MATCH(ROUND(MIN(300,MAX(1,D1141)),0), FactorTable!$A$2:$A$301,0), Skills!M6+1)</f>
        <v/>
      </c>
      <c r="F1141">
        <f>IF(Skills!N6=TRUE,(Skills!L6/10)*(E1141/1000),Skills!L6/10)+Skills!O6</f>
        <v/>
      </c>
      <c r="G1141">
        <f>Skills!G6*IF(Skills!H6&gt;0,Skills!I6/Skills!H6,1)</f>
        <v/>
      </c>
      <c r="H1141">
        <f>1-(1-Skills!J6/100)^Skills!K6</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1155=TRUE)*(F1155-Calc!F20)),(Inputs!$B$23+0+(IF(ArtifactsInput!$M$15,CHOOSE(ArtifactsInput!$N$15+1,25,30,35,40,45,50)/100*(Inputs!$B$11-Inputs!$B$11),0))))/100+(Inputs!$B$23+0+(IF(ArtifactsInput!$M$15,CHOOSE(ArtifactsInput!$N$15+1,25,30,35,40,45,50)/100*(Inputs!$B$11-Inputs!$B$11),0)))/100)/2</f>
        <v/>
      </c>
      <c r="M1141">
        <f>L1141*(1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IF(B1170=0,0,O1141/B1170)</f>
        <v/>
      </c>
      <c r="Q1141">
        <f>IFERROR(1/(IF(Inputs!$B$38="pvp",15,MAX(0.1,Skills!D6-IF(Skills!E6=TRUE,Inputs!$B$32,0)))*(1-IF(AND(ArtifactsInput!$M$27,Inputs!$B$4="Chapter Hunt"),CHOOSE(ArtifactsInput!$N$27+1,20,24,28,32,36,40),0)/100)),0)</f>
        <v/>
      </c>
      <c r="R1141">
        <f>IF(AND(Inputs!$B$38&lt;&gt;"pvp",Inputs!$B$43&gt;0),IF(MAX(0,Inputs!$B$43-B1167)&lt;=0,0,(INT(MAX(0,Inputs!$B$43-B1167)/(IF(Inputs!$B$38="pvp",15,MAX(0.1,Skills!D6-IF(Skills!E6=TRUE,Inputs!$B$32,0)))*(1-IF(AND(ArtifactsInput!$M$27,Inputs!$B$4="Chapter Hunt"),CHOOSE(ArtifactsInput!$N$27+1,20,24,28,32,36,40),0)/100)))+1)),0)</f>
        <v/>
      </c>
      <c r="S1141">
        <f>IFERROR(O1141/N1141,0)</f>
        <v/>
      </c>
      <c r="T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$21+Skills!Q6+(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Skills!A7</f>
        <v/>
      </c>
      <c r="B1142">
        <f>Skills!B7</f>
        <v/>
      </c>
      <c r="C1142">
        <f>Inputs!$B$3&gt;=100</f>
        <v/>
      </c>
      <c r="D1142">
        <f>IF(Skills!C7=1,60+Inputs!$B$25+Inputs!$B$29,IF(Skills!C7=2,90+Inputs!$B$26+Inputs!$B$29,IF(Skills!C7=3,120+Inputs!$B$27+Inputs!$B$29,MAX(0,(Inputs!$B$3-100)*3)+Inputs!$B$28+Inputs!$B$29)))</f>
        <v/>
      </c>
      <c r="E1142">
        <f>INDEX(FactorTable!$B$2:$Y$301, MATCH(ROUND(MIN(300,MAX(1,D1142)),0), FactorTable!$A$2:$A$301,0), Skills!M7+1)</f>
        <v/>
      </c>
      <c r="F1142">
        <f>IF(Skills!N7=TRUE,(Skills!L7/10)*(E1142/1000),Skills!L7/10)+Skills!O7</f>
        <v/>
      </c>
      <c r="G1142">
        <f>Skills!G7*IF(Skills!H7&gt;0,Skills!I7/Skills!H7,1)</f>
        <v/>
      </c>
      <c r="H1142">
        <f>1-(1-Skills!J7/100)^Skills!K7</f>
        <v/>
      </c>
      <c r="I1142" t="inlineStr">
        <is>
          <t>1</t>
        </is>
      </c>
      <c r="J1142">
        <f>((Inputs!$B$6*(1+Inputs!$B$7/100))+(((Inputs!$B$12*(1+Inputs!$B$13/100))-(Inputs!$B$12*(1+Inputs!$B$13/100)))+0.25*(Inputs!$B$14-Inputs!$B$14))*(1+Inputs!$B$7/100))*(F1142/100)</f>
        <v/>
      </c>
      <c r="K1142">
        <f>J1142*(1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C1155=TRUE)*(F1155-Calc!F20)),(Inputs!$B$23+0+(IF(ArtifactsInput!$M$15,CHOOSE(ArtifactsInput!$N$15+1,25,30,35,40,45,50)/100*(Inputs!$B$11-Inputs!$B$11),0))))/100+(Inputs!$B$23+0+(IF(ArtifactsInput!$M$15,CHOOSE(ArtifactsInput!$N$15+1,25,30,35,40,45,50)/100*(Inputs!$B$11-Inputs!$B$11),0)))/100)/2</f>
        <v/>
      </c>
      <c r="M1142">
        <f>L1142*(1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(1-Summary!$B$11)*T1142+Summary!$B$11*V1142</f>
        <v/>
      </c>
      <c r="P1142">
        <f>IF(B1170=0,0,O1142/B1170)</f>
        <v/>
      </c>
      <c r="Q1142">
        <f>IFERROR(1/(IF(Inputs!$B$38="pvp",15,MAX(0.1,Skills!D7-IF(Skills!E7=TRUE,Inputs!$B$32,0)))*(1-IF(AND(ArtifactsInput!$M$27,Inputs!$B$4="Chapter Hunt"),CHOOSE(ArtifactsInput!$N$27+1,20,24,28,32,36,40),0)/100)),0)</f>
        <v/>
      </c>
      <c r="R1142">
        <f>IF(AND(Inputs!$B$38&lt;&gt;"pvp",Inputs!$B$43&gt;0),IF(MAX(0,Inputs!$B$43-B1167)&lt;=0,0,(INT(MAX(0,Inputs!$B$43-B1167)/(IF(Inputs!$B$38="pvp",15,MAX(0.1,Skills!D7-IF(Skills!E7=TRUE,Inputs!$B$32,0)))*(1-IF(AND(ArtifactsInput!$M$27,Inputs!$B$4="Chapter Hunt"),CHOOSE(ArtifactsInput!$N$27+1,20,24,28,32,36,40),0)/100)))+1)),0)</f>
        <v/>
      </c>
      <c r="S1142">
        <f>IFERROR(O1142/N1142,0)</f>
        <v/>
      </c>
      <c r="T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$21+Skills!Q7+(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Skills!A8</f>
        <v/>
      </c>
      <c r="B1143">
        <f>Skills!B8</f>
        <v/>
      </c>
      <c r="C1143">
        <f>Inputs!$B$3&gt;=110</f>
        <v/>
      </c>
      <c r="D1143">
        <f>IF(Skills!C8=1,60+Inputs!$B$25+Inputs!$B$29,IF(Skills!C8=2,90+Inputs!$B$26+Inputs!$B$29,IF(Skills!C8=3,120+Inputs!$B$27+Inputs!$B$29,MAX(0,(Inputs!$B$3-100)*3)+Inputs!$B$28+Inputs!$B$29)))</f>
        <v/>
      </c>
      <c r="E1143">
        <f>INDEX(FactorTable!$B$2:$Y$301, MATCH(ROUND(MIN(300,MAX(1,D1143)),0), FactorTable!$A$2:$A$301,0), Skills!M8+1)</f>
        <v/>
      </c>
      <c r="F1143">
        <f>IF(Skills!N8=TRUE,(Skills!L8/10)*(E1143/1000),Skills!L8/10)+Skills!O8</f>
        <v/>
      </c>
      <c r="G1143">
        <f>Skills!G8*IF(Skills!H8&gt;0,Skills!I8/Skills!H8,1)</f>
        <v/>
      </c>
      <c r="H1143">
        <f>1-(1-Skills!J8/100)^Skills!K8</f>
        <v/>
      </c>
      <c r="I1143" t="inlineStr">
        <is>
          <t>1</t>
        </is>
      </c>
      <c r="J1143">
        <f>((Inputs!$B$6*(1+Inputs!$B$7/100))+(((Inputs!$B$12*(1+Inputs!$B$13/100))-(Inputs!$B$12*(1+Inputs!$B$13/100)))+0.25*(Inputs!$B$14-Inputs!$B$14))*(1+Inputs!$B$7/100))*(F1143/100)</f>
        <v/>
      </c>
      <c r="K1143">
        <f>J1143*(1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C1155=TRUE)*(F1155-Calc!F20)),(Inputs!$B$23+0+(IF(ArtifactsInput!$M$15,CHOOSE(ArtifactsInput!$N$15+1,25,30,35,40,45,50)/100*(Inputs!$B$11-Inputs!$B$11),0))))/100+(Inputs!$B$23+0+(IF(ArtifactsInput!$M$15,CHOOSE(ArtifactsInput!$N$15+1,25,30,35,40,45,50)/100*(Inputs!$B$11-Inputs!$B$11),0)))/100)/2</f>
        <v/>
      </c>
      <c r="M1143">
        <f>L1143*(1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(1-Summary!$B$11)*T1143+Summary!$B$11*V1143</f>
        <v/>
      </c>
      <c r="P1143">
        <f>IF(B1170=0,0,O1143/B1170)</f>
        <v/>
      </c>
      <c r="Q1143">
        <f>IFERROR(1/(IF(Inputs!$B$38="pvp",15,MAX(0.1,Skills!D8-IF(Skills!E8=TRUE,Inputs!$B$32,0)))*(1-IF(AND(ArtifactsInput!$M$27,Inputs!$B$4="Chapter Hunt"),CHOOSE(ArtifactsInput!$N$27+1,20,24,28,32,36,40),0)/100)),0)</f>
        <v/>
      </c>
      <c r="R1143">
        <f>IF(AND(Inputs!$B$38&lt;&gt;"pvp",Inputs!$B$43&gt;0),IF(MAX(0,Inputs!$B$43-B1167)&lt;=0,0,(INT(MAX(0,Inputs!$B$43-B1167)/(IF(Inputs!$B$38="pvp",15,MAX(0.1,Skills!D8-IF(Skills!E8=TRUE,Inputs!$B$32,0)))*(1-IF(AND(ArtifactsInput!$M$27,Inputs!$B$4="Chapter Hunt"),CHOOSE(ArtifactsInput!$N$27+1,20,24,28,32,36,40),0)/100)))+1)),0)</f>
        <v/>
      </c>
      <c r="S1143">
        <f>IFERROR(O1143/N1143,0)</f>
        <v/>
      </c>
      <c r="T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$21+Skills!Q8+(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Skills!A9</f>
        <v/>
      </c>
      <c r="B1144">
        <f>Skills!B9</f>
        <v/>
      </c>
      <c r="C1144">
        <f>Inputs!$B$3&gt;=110</f>
        <v/>
      </c>
      <c r="D1144">
        <f>IF(Skills!C9=1,60+Inputs!$B$25+Inputs!$B$29,IF(Skills!C9=2,90+Inputs!$B$26+Inputs!$B$29,IF(Skills!C9=3,120+Inputs!$B$27+Inputs!$B$29,MAX(0,(Inputs!$B$3-100)*3)+Inputs!$B$28+Inputs!$B$29)))</f>
        <v/>
      </c>
      <c r="E1144">
        <f>INDEX(FactorTable!$B$2:$Y$301, MATCH(ROUND(MIN(300,MAX(1,D1144)),0), FactorTable!$A$2:$A$301,0), Skills!M9+1)</f>
        <v/>
      </c>
      <c r="F1144">
        <f>IF(Skills!N9=TRUE,(Skills!L9/10)*(E1144/1000),Skills!L9/10)+Skills!O9</f>
        <v/>
      </c>
      <c r="G1144">
        <f>Skills!G9*IF(Skills!H9&gt;0,Skills!I9/Skills!H9,1)</f>
        <v/>
      </c>
      <c r="H1144">
        <f>1-(1-Skills!J9/100)^Skills!K9</f>
        <v/>
      </c>
      <c r="I1144" t="inlineStr">
        <is>
          <t>1</t>
        </is>
      </c>
      <c r="J1144">
        <f>((Inputs!$B$6*(1+Inputs!$B$7/100))+(((Inputs!$B$12*(1+Inputs!$B$13/100))-(Inputs!$B$12*(1+Inputs!$B$13/100)))+0.25*(Inputs!$B$14-Inputs!$B$14))*(1+Inputs!$B$7/100))*(F1144/100)</f>
        <v/>
      </c>
      <c r="K1144">
        <f>J1144*(1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1144)</f>
        <v/>
      </c>
      <c r="L1144">
        <f>K1144*(MIN(Inputs!$B$22+((C1155=TRUE)*(F1155-Calc!F20)),(Inputs!$B$23+0+(IF(ArtifactsInput!$M$15,CHOOSE(ArtifactsInput!$N$15+1,25,30,35,40,45,50)/100*(Inputs!$B$11-Inputs!$B$11),0))))/100+(Inputs!$B$23+0+(IF(ArtifactsInput!$M$15,CHOOSE(ArtifactsInput!$N$15+1,25,30,35,40,45,50)/100*(Inputs!$B$11-Inputs!$B$11),0)))/100)/2</f>
        <v/>
      </c>
      <c r="M1144">
        <f>L1144*(1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4">
        <f>L1144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1144*(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4">
        <f>(1-Summary!$B$11)*T1144+Summary!$B$11*V1144</f>
        <v/>
      </c>
      <c r="P1144">
        <f>IF(B1170=0,0,O1144/B1170)</f>
        <v/>
      </c>
      <c r="Q1144">
        <f>IFERROR(1/(IF(Inputs!$B$38="pvp",15,MAX(0.1,Skills!D9-IF(Skills!E9=TRUE,Inputs!$B$32,0)))*(1-IF(AND(ArtifactsInput!$M$27,Inputs!$B$4="Chapter Hunt"),CHOOSE(ArtifactsInput!$N$27+1,20,24,28,32,36,40),0)/100)),0)</f>
        <v/>
      </c>
      <c r="R1144">
        <f>IF(AND(Inputs!$B$38&lt;&gt;"pvp",Inputs!$B$43&gt;0),IF(MAX(0,Inputs!$B$43-B1167)&lt;=0,0,(INT(MAX(0,Inputs!$B$43-B1167)/(IF(Inputs!$B$38="pvp",15,MAX(0.1,Skills!D9-IF(Skills!E9=TRUE,Inputs!$B$32,0)))*(1-IF(AND(ArtifactsInput!$M$27,Inputs!$B$4="Chapter Hunt"),CHOOSE(ArtifactsInput!$N$27+1,20,24,28,32,36,40),0)/100)))+1)),0)</f>
        <v/>
      </c>
      <c r="S1144">
        <f>IFERROR(O1144/N1144,0)</f>
        <v/>
      </c>
      <c r="T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$21+Skills!Q9+(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5">
      <c r="A1145">
        <f>Skills!A10</f>
        <v/>
      </c>
      <c r="B1145">
        <f>Skills!B10</f>
        <v/>
      </c>
      <c r="C1145">
        <f>Inputs!$B$3&gt;=103</f>
        <v/>
      </c>
      <c r="D1145">
        <f>IF(Skills!C10=1,60+Inputs!$B$25+Inputs!$B$29,IF(Skills!C10=2,90+Inputs!$B$26+Inputs!$B$29,IF(Skills!C10=3,120+Inputs!$B$27+Inputs!$B$29,MAX(0,(Inputs!$B$3-100)*3)+Inputs!$B$28+Inputs!$B$29)))</f>
        <v/>
      </c>
      <c r="E1145">
        <f>INDEX(FactorTable!$B$2:$Y$301, MATCH(ROUND(MIN(300,MAX(1,D1145)),0), FactorTable!$A$2:$A$301,0), Skills!M10+1)</f>
        <v/>
      </c>
      <c r="F1145">
        <f>IF(Skills!N10=TRUE,(Skills!L10/10)*(E1145/1000),Skills!L10/10)+Skills!O10</f>
        <v/>
      </c>
      <c r="G1145">
        <f>Skills!G10*IF(Skills!H10&gt;0,Skills!I10/Skills!H10,1)</f>
        <v/>
      </c>
      <c r="H1145">
        <f>1-(1-Skills!J10/100)^Skills!K10</f>
        <v/>
      </c>
      <c r="I1145" t="inlineStr">
        <is>
          <t>1</t>
        </is>
      </c>
      <c r="J1145">
        <f>((Inputs!$B$6*(1+Inputs!$B$7/100))+(((Inputs!$B$12*(1+Inputs!$B$13/100))-(Inputs!$B$12*(1+Inputs!$B$13/100)))+0.25*(Inputs!$B$14-Inputs!$B$14))*(1+Inputs!$B$7/100))*(F1145/100)</f>
        <v/>
      </c>
      <c r="K1145">
        <f>J1145*(1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1145)</f>
        <v/>
      </c>
      <c r="L1145">
        <f>K1145*(MIN(Inputs!$B$22+((C1155=TRUE)*(F1155-Calc!F20)),(Inputs!$B$23+0+(IF(ArtifactsInput!$M$15,CHOOSE(ArtifactsInput!$N$15+1,25,30,35,40,45,50)/100*(Inputs!$B$11-Inputs!$B$11),0))))/100+(Inputs!$B$23+0+(IF(ArtifactsInput!$M$15,CHOOSE(ArtifactsInput!$N$15+1,25,30,35,40,45,50)/100*(Inputs!$B$11-Inputs!$B$11),0)))/100)/2</f>
        <v/>
      </c>
      <c r="M1145">
        <f>L1145*(1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5">
        <f>L1145*(1-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1145*(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5">
        <f>(1-Summary!$B$11)*T1145+Summary!$B$11*V1145</f>
        <v/>
      </c>
      <c r="P1145">
        <f>IF(B1170=0,0,O1145/B1170)</f>
        <v/>
      </c>
      <c r="Q1145">
        <f>IFERROR(1/(IF(Inputs!$B$38="pvp",15,MAX(0.1,Skills!D10-IF(Skills!E10=TRUE,Inputs!$B$32,0)))*(1-IF(AND(ArtifactsInput!$M$27,Inputs!$B$4="Chapter Hunt"),CHOOSE(ArtifactsInput!$N$27+1,20,24,28,32,36,40),0)/100)),0)</f>
        <v/>
      </c>
      <c r="R1145">
        <f>IF(AND(Inputs!$B$38&lt;&gt;"pvp",Inputs!$B$43&gt;0),IF(MAX(0,Inputs!$B$43-B1167)&lt;=0,0,(INT(MAX(0,Inputs!$B$43-B1167)/(IF(Inputs!$B$38="pvp",15,MAX(0.1,Skills!D10-IF(Skills!E10=TRUE,Inputs!$B$32,0)))*(1-IF(AND(ArtifactsInput!$M$27,Inputs!$B$4="Chapter Hunt"),CHOOSE(ArtifactsInput!$N$27+1,20,24,28,32,36,40),0)/100)))+1)),0)</f>
        <v/>
      </c>
      <c r="S1145">
        <f>IFERROR(O1145/N1145,0)</f>
        <v/>
      </c>
      <c r="T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$21+Skills!Q10+(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6">
      <c r="A1146">
        <f>Skills!A11</f>
        <v/>
      </c>
      <c r="B1146">
        <f>Skills!B11</f>
        <v/>
      </c>
      <c r="C1146">
        <f>Inputs!$B$3&gt;=113</f>
        <v/>
      </c>
      <c r="D1146">
        <f>IF(Skills!C11=1,60+Inputs!$B$25+Inputs!$B$29,IF(Skills!C11=2,90+Inputs!$B$26+Inputs!$B$29,IF(Skills!C11=3,120+Inputs!$B$27+Inputs!$B$29,MAX(0,(Inputs!$B$3-100)*3)+Inputs!$B$28+Inputs!$B$29)))</f>
        <v/>
      </c>
      <c r="E1146">
        <f>INDEX(FactorTable!$B$2:$Y$301, MATCH(ROUND(MIN(300,MAX(1,D1146)),0), FactorTable!$A$2:$A$301,0), Skills!M11+1)</f>
        <v/>
      </c>
      <c r="F1146">
        <f>IF(Skills!N11=TRUE,(Skills!L11/10)*(E1146/1000),Skills!L11/10)+Skills!O11</f>
        <v/>
      </c>
      <c r="G1146">
        <f>Skills!G11*IF(Skills!H11&gt;0,Skills!I11/Skills!H11,1)</f>
        <v/>
      </c>
      <c r="H1146">
        <f>1-(1-Skills!J11/100)^Skills!K11</f>
        <v/>
      </c>
      <c r="I1146" t="inlineStr">
        <is>
          <t>1</t>
        </is>
      </c>
      <c r="J1146">
        <f>((Inputs!$B$6*(1+Inputs!$B$7/100))+(((Inputs!$B$12*(1+Inputs!$B$13/100))-(Inputs!$B$12*(1+Inputs!$B$13/100)))+0.25*(Inputs!$B$14-Inputs!$B$14))*(1+Inputs!$B$7/100))*(F1146/100)</f>
        <v/>
      </c>
      <c r="K1146">
        <f>J1146*(1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1146)</f>
        <v/>
      </c>
      <c r="L1146">
        <f>K1146*(MIN(Inputs!$B$22+((C1155=TRUE)*(F1155-Calc!F20)),(Inputs!$B$23+0+(IF(ArtifactsInput!$M$15,CHOOSE(ArtifactsInput!$N$15+1,25,30,35,40,45,50)/100*(Inputs!$B$11-Inputs!$B$11),0))))/100+(Inputs!$B$23+0+(IF(ArtifactsInput!$M$15,CHOOSE(ArtifactsInput!$N$15+1,25,30,35,40,45,50)/100*(Inputs!$B$11-Inputs!$B$11),0)))/100)/2</f>
        <v/>
      </c>
      <c r="M1146">
        <f>L1146*(1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6">
        <f>L1146*(1-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1146*(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6">
        <f>(1-Summary!$B$11)*T1146+Summary!$B$11*V1146</f>
        <v/>
      </c>
      <c r="P1146">
        <f>IF(B1170=0,0,O1146/B1170)</f>
        <v/>
      </c>
      <c r="Q1146">
        <f>IFERROR(1/(IF(Inputs!$B$38="pvp",15,MAX(0.1,Skills!D11-IF(Skills!E11=TRUE,Inputs!$B$32,0)))*(1-IF(AND(ArtifactsInput!$M$27,Inputs!$B$4="Chapter Hunt"),CHOOSE(ArtifactsInput!$N$27+1,20,24,28,32,36,40),0)/100)),0)</f>
        <v/>
      </c>
      <c r="R1146">
        <f>IF(AND(Inputs!$B$38&lt;&gt;"pvp",Inputs!$B$43&gt;0),IF(MAX(0,Inputs!$B$43-B1167)&lt;=0,0,(INT(MAX(0,Inputs!$B$43-B1167)/(IF(Inputs!$B$38="pvp",15,MAX(0.1,Skills!D11-IF(Skills!E11=TRUE,Inputs!$B$32,0)))*(1-IF(AND(ArtifactsInput!$M$27,Inputs!$B$4="Chapter Hunt"),CHOOSE(ArtifactsInput!$N$27+1,20,24,28,32,36,40),0)/100)))+1)),0)</f>
        <v/>
      </c>
      <c r="S1146">
        <f>IFERROR(O1146/N1146,0)</f>
        <v/>
      </c>
      <c r="T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$21+Skills!Q11+(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7">
      <c r="A1147">
        <f>Skills!A12</f>
        <v/>
      </c>
      <c r="B1147">
        <f>Skills!B12</f>
        <v/>
      </c>
      <c r="C1147">
        <f>Inputs!$B$3&gt;=100</f>
        <v/>
      </c>
      <c r="D1147">
        <f>IF(Skills!C12=1,60+Inputs!$B$25+Inputs!$B$29,IF(Skills!C12=2,90+Inputs!$B$26+Inputs!$B$29,IF(Skills!C12=3,120+Inputs!$B$27+Inputs!$B$29,MAX(0,(Inputs!$B$3-100)*3)+Inputs!$B$28+Inputs!$B$29)))</f>
        <v/>
      </c>
      <c r="E1147">
        <f>INDEX(FactorTable!$B$2:$Y$301, MATCH(ROUND(MIN(300,MAX(1,D1147)),0), FactorTable!$A$2:$A$301,0), Skills!M12+1)</f>
        <v/>
      </c>
      <c r="F1147">
        <f>IF(Skills!N12=TRUE,(Skills!L12/10)*(E1147/1000),Skills!L12/10)+Skills!O12</f>
        <v/>
      </c>
      <c r="G1147" t="inlineStr"/>
      <c r="H1147" t="inlineStr"/>
      <c r="I1147" t="inlineStr">
        <is>
          <t>1</t>
        </is>
      </c>
      <c r="J1147" t="inlineStr"/>
      <c r="K1147" t="inlineStr"/>
      <c r="L1147" t="inlineStr"/>
      <c r="M1147" t="inlineStr"/>
      <c r="N1147" t="inlineStr"/>
      <c r="O1147" t="inlineStr"/>
      <c r="P1147" t="inlineStr"/>
      <c r="Q1147" t="inlineStr"/>
      <c r="R1147" t="inlineStr"/>
      <c r="S1147" t="inlineStr"/>
      <c r="T1147" t="inlineStr"/>
      <c r="V1147" t="inlineStr"/>
    </row>
    <row r="1148">
      <c r="A1148">
        <f>Skills!A13</f>
        <v/>
      </c>
      <c r="B1148">
        <f>Skills!B13</f>
        <v/>
      </c>
      <c r="C1148">
        <f>Inputs!$B$3&gt;=66</f>
        <v/>
      </c>
      <c r="D1148">
        <f>IF(Skills!C13=1,60+Inputs!$B$25+Inputs!$B$29,IF(Skills!C13=2,90+Inputs!$B$26+Inputs!$B$29,IF(Skills!C13=3,120+Inputs!$B$27+Inputs!$B$29,MAX(0,(Inputs!$B$3-100)*3)+Inputs!$B$28+Inputs!$B$29)))</f>
        <v/>
      </c>
      <c r="E1148">
        <f>INDEX(FactorTable!$B$2:$Y$301, MATCH(ROUND(MIN(300,MAX(1,D1148)),0), FactorTable!$A$2:$A$301,0), Skills!M13+1)</f>
        <v/>
      </c>
      <c r="F1148">
        <f>IF(Skills!N13=TRUE,(Skills!L13/10)*(E1148/1000),Skills!L13/10)+Skills!O13</f>
        <v/>
      </c>
      <c r="G1148">
        <f>Skills!G13*IF(Skills!H13&gt;0,Skills!I13/Skills!H13,1)</f>
        <v/>
      </c>
      <c r="H1148">
        <f>1-(1-Skills!J13/100)^Skills!K13</f>
        <v/>
      </c>
      <c r="I1148" t="inlineStr">
        <is>
          <t>1</t>
        </is>
      </c>
      <c r="J1148" t="inlineStr"/>
      <c r="K1148" t="inlineStr"/>
      <c r="L1148" t="inlineStr"/>
      <c r="M1148" t="inlineStr"/>
      <c r="N1148" t="inlineStr"/>
      <c r="O1148">
        <f>(1-Summary!$B$11)*T1148+Summary!$B$11*V1148</f>
        <v/>
      </c>
      <c r="P1148">
        <f>IF(B1170=0,0,O1148/B1170)</f>
        <v/>
      </c>
      <c r="Q1148" t="n">
        <v>0</v>
      </c>
      <c r="R1148" t="n">
        <v>0</v>
      </c>
      <c r="S1148">
        <f>IFERROR(O1148/N1148,0)</f>
        <v/>
      </c>
      <c r="T1148" t="n">
        <v>0</v>
      </c>
      <c r="V1148" t="n">
        <v>0</v>
      </c>
    </row>
    <row r="1149">
      <c r="A1149">
        <f>Skills!A14</f>
        <v/>
      </c>
      <c r="B1149">
        <f>Skills!B14</f>
        <v/>
      </c>
      <c r="C1149">
        <f>Inputs!$B$3&gt;=107</f>
        <v/>
      </c>
      <c r="D1149">
        <f>IF(Skills!C14=1,60+Inputs!$B$25+Inputs!$B$29,IF(Skills!C14=2,90+Inputs!$B$26+Inputs!$B$29,IF(Skills!C14=3,120+Inputs!$B$27+Inputs!$B$29,MAX(0,(Inputs!$B$3-100)*3)+Inputs!$B$28+Inputs!$B$29)))</f>
        <v/>
      </c>
      <c r="E1149">
        <f>INDEX(FactorTable!$B$2:$Y$301, MATCH(ROUND(MIN(300,MAX(1,D1149)),0), FactorTable!$A$2:$A$301,0), Skills!M14+1)</f>
        <v/>
      </c>
      <c r="F1149">
        <f>IF(Skills!N14=TRUE,(Skills!L14/10)*(E1149/1000),Skills!L14/10)+Skills!O14</f>
        <v/>
      </c>
      <c r="G1149">
        <f>Skills!G14*IF(Skills!H14&gt;0,Skills!I14/Skills!H14,1)</f>
        <v/>
      </c>
      <c r="H1149">
        <f>1-(1-Skills!J14/100)^Skills!K14</f>
        <v/>
      </c>
      <c r="I1149" t="inlineStr">
        <is>
          <t>1</t>
        </is>
      </c>
      <c r="J1149" t="inlineStr"/>
      <c r="K1149" t="inlineStr"/>
      <c r="L1149" t="inlineStr"/>
      <c r="M1149" t="inlineStr"/>
      <c r="N1149" t="inlineStr"/>
      <c r="O1149">
        <f>(1-Summary!$B$11)*T1149+Summary!$B$11*V1149</f>
        <v/>
      </c>
      <c r="P1149">
        <f>IF(B1170=0,0,O1149/B1170)</f>
        <v/>
      </c>
      <c r="Q1149" t="n">
        <v>0</v>
      </c>
      <c r="R1149" t="n">
        <v>0</v>
      </c>
      <c r="S1149">
        <f>IFERROR(O1149/N1149,0)</f>
        <v/>
      </c>
      <c r="T1149" t="n">
        <v>0</v>
      </c>
      <c r="V1149" t="n">
        <v>0</v>
      </c>
    </row>
    <row r="1150">
      <c r="A1150">
        <f>Skills!A15</f>
        <v/>
      </c>
      <c r="B1150">
        <f>Skills!B15</f>
        <v/>
      </c>
      <c r="C1150">
        <f>Inputs!$B$3&gt;=115</f>
        <v/>
      </c>
      <c r="D1150">
        <f>IF(Skills!C15=1,60+Inputs!$B$25+Inputs!$B$29,IF(Skills!C15=2,90+Inputs!$B$26+Inputs!$B$29,IF(Skills!C15=3,120+Inputs!$B$27+Inputs!$B$29,MAX(0,(Inputs!$B$3-100)*3)+Inputs!$B$28+Inputs!$B$29)))</f>
        <v/>
      </c>
      <c r="E1150">
        <f>INDEX(FactorTable!$B$2:$Y$301, MATCH(ROUND(MIN(300,MAX(1,D1150)),0), FactorTable!$A$2:$A$301,0), Skills!M15+1)</f>
        <v/>
      </c>
      <c r="F1150">
        <f>IF(Skills!N15=TRUE,(Skills!L15/10)*(E1150/1000),Skills!L15/10)+Skills!O15</f>
        <v/>
      </c>
      <c r="G1150">
        <f>Skills!G15*IF(Skills!H15&gt;0,Skills!I15/Skills!H15,1)</f>
        <v/>
      </c>
      <c r="H1150">
        <f>1-(1-Skills!J15/100)^Skills!K15</f>
        <v/>
      </c>
      <c r="I1150" t="inlineStr">
        <is>
          <t>1</t>
        </is>
      </c>
      <c r="J1150" t="inlineStr"/>
      <c r="K1150" t="inlineStr"/>
      <c r="L1150" t="inlineStr"/>
      <c r="M1150" t="inlineStr"/>
      <c r="N1150" t="inlineStr"/>
      <c r="O1150">
        <f>(1-Summary!$B$11)*T1150+Summary!$B$11*V1150</f>
        <v/>
      </c>
      <c r="P1150">
        <f>IF(B1170=0,0,O1150/B1170)</f>
        <v/>
      </c>
      <c r="Q1150" t="n">
        <v>0</v>
      </c>
      <c r="R1150" t="n">
        <v>0</v>
      </c>
      <c r="S1150">
        <f>IFERROR(O1150/N1150,0)</f>
        <v/>
      </c>
      <c r="T1150" t="n">
        <v>0</v>
      </c>
      <c r="V1150" t="n">
        <v>0</v>
      </c>
    </row>
    <row r="1151">
      <c r="A1151">
        <f>Skills!A16</f>
        <v/>
      </c>
      <c r="B1151">
        <f>Skills!B16</f>
        <v/>
      </c>
      <c r="C1151">
        <f>Inputs!$B$3&gt;=15</f>
        <v/>
      </c>
      <c r="D1151">
        <f>IF(Skills!C16=1,60+Inputs!$B$25+Inputs!$B$29,IF(Skills!C16=2,90+Inputs!$B$26+Inputs!$B$29,IF(Skills!C16=3,120+Inputs!$B$27+Inputs!$B$29,MAX(0,(Inputs!$B$3-100)*3)+Inputs!$B$28+Inputs!$B$29)))</f>
        <v/>
      </c>
      <c r="E1151">
        <f>INDEX(FactorTable!$B$2:$Y$301, MATCH(ROUND(MIN(300,MAX(1,D1151)),0), FactorTable!$A$2:$A$301,0), Skills!M16+1)</f>
        <v/>
      </c>
      <c r="F1151">
        <f>IF(Skills!N16=TRUE,(Skills!L16/10)*(E1151/1000),Skills!L16/10)+Skills!O16</f>
        <v/>
      </c>
      <c r="G1151">
        <f>Skills!G16*IF(Skills!H16&gt;0,Skills!I16/Skills!H16,1)</f>
        <v/>
      </c>
      <c r="H1151">
        <f>1-(1-Skills!J16/100)^Skills!K16</f>
        <v/>
      </c>
      <c r="I1151" t="inlineStr">
        <is>
          <t>1</t>
        </is>
      </c>
      <c r="J1151" t="inlineStr"/>
      <c r="K1151" t="inlineStr"/>
      <c r="L1151" t="inlineStr"/>
      <c r="M1151" t="inlineStr"/>
      <c r="N1151" t="inlineStr"/>
      <c r="O1151">
        <f>(1-Summary!$B$11)*T1151+Summary!$B$11*V1151</f>
        <v/>
      </c>
      <c r="P1151">
        <f>IF(B1170=0,0,O1151/B1170)</f>
        <v/>
      </c>
      <c r="Q1151" t="n">
        <v>0</v>
      </c>
      <c r="R1151" t="n">
        <v>0</v>
      </c>
      <c r="S1151">
        <f>IFERROR(O1151/N1151,0)</f>
        <v/>
      </c>
      <c r="T1151" t="n">
        <v>0</v>
      </c>
      <c r="V1151" t="n">
        <v>0</v>
      </c>
    </row>
    <row r="1152">
      <c r="A1152">
        <f>Skills!A17</f>
        <v/>
      </c>
      <c r="B1152">
        <f>Skills!B17</f>
        <v/>
      </c>
      <c r="C1152">
        <f>Inputs!$B$3&gt;=10</f>
        <v/>
      </c>
      <c r="D1152">
        <f>IF(Skills!C17=1,60+Inputs!$B$25+Inputs!$B$29,IF(Skills!C17=2,90+Inputs!$B$26+Inputs!$B$29,IF(Skills!C17=3,120+Inputs!$B$27+Inputs!$B$29,MAX(0,(Inputs!$B$3-100)*3)+Inputs!$B$28+Inputs!$B$29)))</f>
        <v/>
      </c>
      <c r="E1152">
        <f>INDEX(FactorTable!$B$2:$Y$301, MATCH(ROUND(MIN(300,MAX(1,D1152)),0), FactorTable!$A$2:$A$301,0), Skills!M17+1)</f>
        <v/>
      </c>
      <c r="F1152">
        <f>IF(Skills!N17=TRUE,(Skills!L17/10)*(E1152/1000),Skills!L17/10)+Skills!O17</f>
        <v/>
      </c>
      <c r="G1152">
        <f>Skills!G17*IF(Skills!H17&gt;0,Skills!I17/Skills!H17,1)</f>
        <v/>
      </c>
      <c r="H1152">
        <f>1-(1-Skills!J17/100)^Skills!K17</f>
        <v/>
      </c>
      <c r="I1152" t="inlineStr">
        <is>
          <t>1</t>
        </is>
      </c>
      <c r="J1152" t="inlineStr"/>
      <c r="K1152" t="inlineStr"/>
      <c r="L1152" t="inlineStr"/>
      <c r="M1152" t="inlineStr"/>
      <c r="N1152" t="inlineStr"/>
      <c r="O1152">
        <f>(1-Summary!$B$11)*T1152+Summary!$B$11*V1152</f>
        <v/>
      </c>
      <c r="P1152">
        <f>IF(B1170=0,0,O1152/B1170)</f>
        <v/>
      </c>
      <c r="Q1152" t="n">
        <v>0</v>
      </c>
      <c r="R1152" t="n">
        <v>0</v>
      </c>
      <c r="S1152">
        <f>IFERROR(O1152/N1152,0)</f>
        <v/>
      </c>
      <c r="T1152" t="n">
        <v>0</v>
      </c>
      <c r="V1152" t="n">
        <v>0</v>
      </c>
    </row>
    <row r="1153">
      <c r="A1153">
        <f>Skills!A18</f>
        <v/>
      </c>
      <c r="B1153">
        <f>Skills!B18</f>
        <v/>
      </c>
      <c r="C1153">
        <f>Inputs!$B$3&gt;=33</f>
        <v/>
      </c>
      <c r="D1153">
        <f>IF(Skills!C18=1,60+Inputs!$B$25+Inputs!$B$29,IF(Skills!C18=2,90+Inputs!$B$26+Inputs!$B$29,IF(Skills!C18=3,120+Inputs!$B$27+Inputs!$B$29,MAX(0,(Inputs!$B$3-100)*3)+Inputs!$B$28+Inputs!$B$29)))</f>
        <v/>
      </c>
      <c r="E1153">
        <f>INDEX(FactorTable!$B$2:$Y$301, MATCH(ROUND(MIN(300,MAX(1,D1153)),0), FactorTable!$A$2:$A$301,0), Skills!M18+1)</f>
        <v/>
      </c>
      <c r="F1153">
        <f>IF(Skills!N18=TRUE,(Skills!L18/10)*(E1153/1000),Skills!L18/10)+Skills!O18</f>
        <v/>
      </c>
      <c r="G1153">
        <f>Skills!G18*IF(Skills!H18&gt;0,Skills!I18/Skills!H18,1)</f>
        <v/>
      </c>
      <c r="H1153">
        <f>1-(1-Skills!J18/100)^Skills!K18</f>
        <v/>
      </c>
      <c r="I1153" t="inlineStr">
        <is>
          <t>1</t>
        </is>
      </c>
      <c r="J1153" t="inlineStr"/>
      <c r="K1153" t="inlineStr"/>
      <c r="L1153" t="inlineStr"/>
      <c r="M1153" t="inlineStr"/>
      <c r="N1153" t="inlineStr"/>
      <c r="O1153">
        <f>(1-Summary!$B$11)*T1153+Summary!$B$11*V1153</f>
        <v/>
      </c>
      <c r="P1153">
        <f>IF(B1170=0,0,O1153/B1170)</f>
        <v/>
      </c>
      <c r="Q1153" t="n">
        <v>0</v>
      </c>
      <c r="R1153" t="n">
        <v>0</v>
      </c>
      <c r="S1153">
        <f>IFERROR(O1153/N1153,0)</f>
        <v/>
      </c>
      <c r="T1153" t="n">
        <v>0</v>
      </c>
      <c r="V1153" t="n">
        <v>0</v>
      </c>
    </row>
    <row r="1154">
      <c r="A1154">
        <f>Skills!A19</f>
        <v/>
      </c>
      <c r="B1154">
        <f>Skills!B19</f>
        <v/>
      </c>
      <c r="C1154">
        <f>Inputs!$B$3&gt;=40</f>
        <v/>
      </c>
      <c r="D1154">
        <f>IF(Skills!C19=1,60+Inputs!$B$25+Inputs!$B$29,IF(Skills!C19=2,90+Inputs!$B$26+Inputs!$B$29,IF(Skills!C19=3,120+Inputs!$B$27+Inputs!$B$29,MAX(0,(Inputs!$B$3-100)*3)+Inputs!$B$28+Inputs!$B$29)))</f>
        <v/>
      </c>
      <c r="E1154">
        <f>INDEX(FactorTable!$B$2:$Y$301, MATCH(ROUND(MIN(300,MAX(1,D1154)),0), FactorTable!$A$2:$A$301,0), Skills!M19+1)</f>
        <v/>
      </c>
      <c r="F1154">
        <f>IF(Skills!N19=TRUE,(Skills!L19/10)*(E1154/1000),Skills!L19/10)+Skills!O19</f>
        <v/>
      </c>
      <c r="G1154">
        <f>Skills!G19*IF(Skills!H19&gt;0,Skills!I19/Skills!H19,1)</f>
        <v/>
      </c>
      <c r="H1154">
        <f>1-(1-Skills!J19/100)^Skills!K19</f>
        <v/>
      </c>
      <c r="I1154" t="inlineStr">
        <is>
          <t>1</t>
        </is>
      </c>
      <c r="J1154" t="inlineStr"/>
      <c r="K1154" t="inlineStr"/>
      <c r="L1154" t="inlineStr"/>
      <c r="M1154" t="inlineStr"/>
      <c r="N1154" t="inlineStr"/>
      <c r="O1154">
        <f>(1-Summary!$B$11)*T1154+Summary!$B$11*V1154</f>
        <v/>
      </c>
      <c r="P1154">
        <f>IF(B1170=0,0,O1154/B1170)</f>
        <v/>
      </c>
      <c r="Q1154" t="n">
        <v>0</v>
      </c>
      <c r="R1154" t="n">
        <v>0</v>
      </c>
      <c r="S1154">
        <f>IFERROR(O1154/N1154,0)</f>
        <v/>
      </c>
      <c r="T1154" t="n">
        <v>0</v>
      </c>
      <c r="V1154" t="n">
        <v>0</v>
      </c>
    </row>
    <row r="1155">
      <c r="A1155">
        <f>Skills!A20</f>
        <v/>
      </c>
      <c r="B1155">
        <f>Skills!B20</f>
        <v/>
      </c>
      <c r="C1155">
        <f>Inputs!$B$3&gt;=43</f>
        <v/>
      </c>
      <c r="D1155">
        <f>IF(Skills!C20=1,60+Inputs!$B$25+Inputs!$B$29,IF(Skills!C20=2,90+Inputs!$B$26+Inputs!$B$29,IF(Skills!C20=3,120+Inputs!$B$27+Inputs!$B$29,MAX(0,(Inputs!$B$3-100)*3)+Inputs!$B$28+Inputs!$B$29)))</f>
        <v/>
      </c>
      <c r="E1155">
        <f>INDEX(FactorTable!$B$2:$Y$301, MATCH(ROUND(MIN(300,MAX(1,D1155)),0), FactorTable!$A$2:$A$301,0), Skills!M20+1)</f>
        <v/>
      </c>
      <c r="F1155">
        <f>IF(Skills!N20=TRUE,(Skills!L20/10)*(E1155/1000),Skills!L20/10)+Skills!O20</f>
        <v/>
      </c>
      <c r="G1155">
        <f>Skills!G20*IF(Skills!H20&gt;0,Skills!I20/Skills!H20,1)</f>
        <v/>
      </c>
      <c r="H1155">
        <f>1-(1-Skills!J20/100)^Skills!K20</f>
        <v/>
      </c>
      <c r="I1155" t="inlineStr">
        <is>
          <t>1</t>
        </is>
      </c>
      <c r="J1155" t="inlineStr"/>
      <c r="K1155" t="inlineStr"/>
      <c r="L1155" t="inlineStr"/>
      <c r="M1155" t="inlineStr"/>
      <c r="N1155" t="inlineStr"/>
      <c r="O1155">
        <f>(1-Summary!$B$11)*T1155+Summary!$B$11*V1155</f>
        <v/>
      </c>
      <c r="P1155">
        <f>IF(B1170=0,0,O1155/B1170)</f>
        <v/>
      </c>
      <c r="Q1155" t="n">
        <v>0</v>
      </c>
      <c r="R1155" t="n">
        <v>0</v>
      </c>
      <c r="S1155">
        <f>IFERROR(O1155/N1155,0)</f>
        <v/>
      </c>
      <c r="T1155" t="n">
        <v>0</v>
      </c>
      <c r="V1155" t="n">
        <v>0</v>
      </c>
    </row>
    <row r="1156">
      <c r="A1156">
        <f>Skills!A21</f>
        <v/>
      </c>
      <c r="B1156">
        <f>Skills!B21</f>
        <v/>
      </c>
      <c r="C1156">
        <f>Inputs!$B$3&gt;=38</f>
        <v/>
      </c>
      <c r="D1156">
        <f>IF(Skills!C21=1,60+Inputs!$B$25+Inputs!$B$29,IF(Skills!C21=2,90+Inputs!$B$26+Inputs!$B$29,IF(Skills!C21=3,120+Inputs!$B$27+Inputs!$B$29,MAX(0,(Inputs!$B$3-100)*3)+Inputs!$B$28+Inputs!$B$29)))</f>
        <v/>
      </c>
      <c r="E1156">
        <f>INDEX(FactorTable!$B$2:$Y$301, MATCH(ROUND(MIN(300,MAX(1,D1156)),0), FactorTable!$A$2:$A$301,0), Skills!M21+1)</f>
        <v/>
      </c>
      <c r="F1156">
        <f>IF(Skills!N21=TRUE,(Skills!L21/10)*(E1156/1000),Skills!L21/10)+Skills!O21</f>
        <v/>
      </c>
      <c r="G1156">
        <f>Skills!G21*IF(Skills!H21&gt;0,Skills!I21/Skills!H21,1)</f>
        <v/>
      </c>
      <c r="H1156">
        <f>1-(1-Skills!J21/100)^Skills!K21</f>
        <v/>
      </c>
      <c r="I1156" t="inlineStr">
        <is>
          <t>1</t>
        </is>
      </c>
      <c r="J1156" t="inlineStr"/>
      <c r="K1156" t="inlineStr"/>
      <c r="L1156" t="inlineStr"/>
      <c r="M1156" t="inlineStr"/>
      <c r="N1156" t="inlineStr"/>
      <c r="O1156">
        <f>(1-Summary!$B$11)*T1156+Summary!$B$11*V1156</f>
        <v/>
      </c>
      <c r="P1156">
        <f>IF(B1170=0,0,O1156/B1170)</f>
        <v/>
      </c>
      <c r="Q1156" t="n">
        <v>0</v>
      </c>
      <c r="R1156" t="n">
        <v>0</v>
      </c>
      <c r="S1156">
        <f>IFERROR(O1156/N1156,0)</f>
        <v/>
      </c>
      <c r="T1156" t="n">
        <v>0</v>
      </c>
      <c r="V1156" t="n">
        <v>0</v>
      </c>
    </row>
    <row r="1157">
      <c r="A1157">
        <f>Skills!A22</f>
        <v/>
      </c>
      <c r="B1157">
        <f>Skills!B22</f>
        <v/>
      </c>
      <c r="C1157">
        <f>Inputs!$B$3&gt;=75</f>
        <v/>
      </c>
      <c r="D1157">
        <f>IF(Skills!C22=1,60+Inputs!$B$25+Inputs!$B$29,IF(Skills!C22=2,90+Inputs!$B$26+Inputs!$B$29,IF(Skills!C22=3,120+Inputs!$B$27+Inputs!$B$29,MAX(0,(Inputs!$B$3-100)*3)+Inputs!$B$28+Inputs!$B$29)))</f>
        <v/>
      </c>
      <c r="E1157">
        <f>INDEX(FactorTable!$B$2:$Y$301, MATCH(ROUND(MIN(300,MAX(1,D1157)),0), FactorTable!$A$2:$A$301,0), Skills!M22+1)</f>
        <v/>
      </c>
      <c r="F1157">
        <f>IF(Skills!N22=TRUE,(Skills!L22/10)*(E1157/1000),Skills!L22/10)+Skills!O22</f>
        <v/>
      </c>
      <c r="G1157">
        <f>Skills!G22*IF(Skills!H22&gt;0,Skills!I22/Skills!H22,1)</f>
        <v/>
      </c>
      <c r="H1157">
        <f>1-(1-Skills!J22/100)^Skills!K22</f>
        <v/>
      </c>
      <c r="I1157" t="inlineStr">
        <is>
          <t>1</t>
        </is>
      </c>
      <c r="J1157" t="inlineStr"/>
      <c r="K1157" t="inlineStr"/>
      <c r="L1157" t="inlineStr"/>
      <c r="M1157" t="inlineStr"/>
      <c r="N1157" t="inlineStr"/>
      <c r="O1157">
        <f>(1-Summary!$B$11)*T1157+Summary!$B$11*V1157</f>
        <v/>
      </c>
      <c r="P1157">
        <f>IF(B1170=0,0,O1157/B1170)</f>
        <v/>
      </c>
      <c r="Q1157" t="n">
        <v>0</v>
      </c>
      <c r="R1157" t="n">
        <v>0</v>
      </c>
      <c r="S1157">
        <f>IFERROR(O1157/N1157,0)</f>
        <v/>
      </c>
      <c r="T1157" t="n">
        <v>0</v>
      </c>
      <c r="V1157" t="n">
        <v>0</v>
      </c>
    </row>
    <row r="1159">
      <c r="A1159" t="inlineStr">
        <is>
          <t>Attack% Bucket Multiplier</t>
        </is>
      </c>
      <c r="B1159">
        <f>(1+(((C1148=TRUE)*F1148)+((C1154=TRUE)*(F1154-Calc!F19))+(IF(ArtifactsInput!$M$21,CHOOSE(ArtifactsInput!$N$21+1,25,30,35,40,45,50)*(IF(OR(Inputs!$B$4="Chapter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0">
      <c r="A1160" t="inlineStr">
        <is>
          <t>Global Crit Rate Bonus %</t>
        </is>
      </c>
      <c r="B1160" t="n">
        <v>0</v>
      </c>
    </row>
    <row r="1161">
      <c r="A1161" t="inlineStr">
        <is>
          <t>Attack Speed Buff Bonus % (unused)</t>
        </is>
      </c>
      <c r="B1161" t="n">
        <v>0</v>
      </c>
    </row>
    <row r="1162">
      <c r="A1162" t="inlineStr">
        <is>
          <t>Actions Per Second</t>
        </is>
      </c>
      <c r="B1162">
        <f>1+MIN(150,150*(1-(1-(Inputs!$B$11+((C1152=TRUE)*(F1152-Calc!F17))+((C1153=TRUE)*(F1153-Calc!F18)))/150)*(1-B1161/150)))/100</f>
        <v/>
      </c>
    </row>
    <row r="1163">
      <c r="A1163" t="inlineStr">
        <is>
          <t>Skill + Buff Cast Rate</t>
        </is>
      </c>
      <c r="B1163">
        <f>IF(AND(Inputs!$B$38&lt;&gt;"pvp",Inputs!$B$43&gt;0),SUMPRODUCT((Skills!E2:E22=TRUE)*(C1137:C1157=TRUE)*R1137:R1157*Skills!F2:F22)/Inputs!$B$43,SUMPRODUCT((Skills!E2:E22=TRUE)*(C1137:C1157=TRUE)*Q1137:Q1157*Skills!F2:F22))</f>
        <v/>
      </c>
    </row>
    <row r="1164">
      <c r="A1164" t="inlineStr">
        <is>
          <t>Hook Bomber Casts Per Second</t>
        </is>
      </c>
      <c r="B1164">
        <f>MAX(0,B1162-B1163)</f>
        <v/>
      </c>
    </row>
    <row r="1165">
      <c r="A1165" t="inlineStr">
        <is>
          <t>Global Critical Damage Bonus % (unused)</t>
        </is>
      </c>
      <c r="B1165" t="n">
        <v>0</v>
      </c>
    </row>
    <row r="1166">
      <c r="A1166" t="inlineStr">
        <is>
          <t>Global Final Damage Bonus % (Serpent Scale + Crossbones + Time Leap + Speed Infusion)</t>
        </is>
      </c>
      <c r="B1166">
        <f>((C1140=TRUE)*F1140*((10+IF(Inputs!$B$3&gt;=94,5,0))/((10+IF(Inputs!$B$3&gt;=94,5,0))+5/(B1164*(1+IF(Inputs!$B$3&gt;=104,1,0))))))+((C1149=TRUE)*F1149)+((C1150=TRUE)*F1150)+((Inputs!$B$3&gt;=110)*20*(B1162-1))</f>
        <v/>
      </c>
    </row>
    <row r="1167">
      <c r="A1167" t="inlineStr">
        <is>
          <t>Buff-Casting Startup Delay (s, fixed-duration only)</t>
        </is>
      </c>
      <c r="B1167">
        <f>IF(AND(Inputs!$B$38&lt;&gt;"pvp",Inputs!$B$43&gt;0),SUMPRODUCT((Skills!T2:T22&gt;0)*(Skills!E2:E22=TRUE)*(C1137:C1157=TRUE))/B1162,0)</f>
        <v/>
      </c>
    </row>
    <row r="1168">
      <c r="A1168" t="inlineStr">
        <is>
          <t>Boss-Only Total DPS (this block's swept value)</t>
        </is>
      </c>
      <c r="B1168">
        <f>SUM(T1137:T1157)</f>
        <v/>
      </c>
    </row>
    <row r="1169">
      <c r="A1169" t="inlineStr">
        <is>
          <t>Normal-Only Total DPS (this block's swept value)</t>
        </is>
      </c>
      <c r="B1169">
        <f>SUM(V1137:V1157)</f>
        <v/>
      </c>
    </row>
    <row r="1170">
      <c r="A1170" s="6" t="inlineStr">
        <is>
          <t>TOTAL DPS</t>
        </is>
      </c>
      <c r="B1170" s="6">
        <f>SUM(O1137:O1157)</f>
        <v/>
      </c>
    </row>
    <row r="1173">
      <c r="A1173" s="6" t="inlineStr">
        <is>
          <t>Stat: The Contract of Darkness (Equip)</t>
        </is>
      </c>
    </row>
    <row r="1174">
      <c r="A1174" s="5" t="inlineStr">
        <is>
          <t>Key</t>
        </is>
      </c>
      <c r="B1174" s="5" t="inlineStr">
        <is>
          <t>Name</t>
        </is>
      </c>
      <c r="C1174" s="5" t="inlineStr">
        <is>
          <t>Unlocked</t>
        </is>
      </c>
      <c r="D1174" s="5" t="inlineStr">
        <is>
          <t>InputLevel</t>
        </is>
      </c>
      <c r="E1174" s="5" t="inlineStr">
        <is>
          <t>Factor</t>
        </is>
      </c>
      <c r="F1174" s="5" t="inlineStr">
        <is>
          <t>CoefficientPercent</t>
        </is>
      </c>
      <c r="G1174" s="5" t="inlineStr">
        <is>
          <t>EffectiveHits</t>
        </is>
      </c>
      <c r="H1174" s="5" t="inlineStr">
        <is>
          <t>ProcProbability</t>
        </is>
      </c>
      <c r="I1174" s="5" t="inlineStr">
        <is>
          <t>MapleHeroMultiplier</t>
        </is>
      </c>
      <c r="J1174" s="5" t="inlineStr">
        <is>
          <t>BaseDamage</t>
        </is>
      </c>
      <c r="K1174" s="5" t="inlineStr">
        <is>
          <t>BaseHitDamage</t>
        </is>
      </c>
      <c r="L1174" s="5" t="inlineStr">
        <is>
          <t>NonCritAvg</t>
        </is>
      </c>
      <c r="M1174" s="5" t="inlineStr">
        <is>
          <t>CritAvg</t>
        </is>
      </c>
      <c r="N1174" s="5" t="inlineStr">
        <is>
          <t>ExpectedDamage(perHit)</t>
        </is>
      </c>
      <c r="O1174" s="5" t="inlineStr">
        <is>
          <t>DPS</t>
        </is>
      </c>
      <c r="P1174" s="5" t="inlineStr">
        <is>
          <t>% of Total</t>
        </is>
      </c>
      <c r="Q1174" s="5" t="inlineStr">
        <is>
          <t>InvCooldown</t>
        </is>
      </c>
      <c r="R1174" s="5" t="inlineStr">
        <is>
          <t>CastsInFight</t>
        </is>
      </c>
      <c r="S1174" s="5" t="inlineStr">
        <is>
          <t>HitRate(perSec)</t>
        </is>
      </c>
      <c r="U1174" t="inlineStr">
        <is>
          <t>helpers</t>
        </is>
      </c>
    </row>
    <row r="1175">
      <c r="A1175">
        <f>Skills!A2</f>
        <v/>
      </c>
      <c r="B1175">
        <f>Skills!B2</f>
        <v/>
      </c>
      <c r="C1175">
        <f>Inputs!$B$3&gt;=100</f>
        <v/>
      </c>
      <c r="D1175" t="inlineStr"/>
      <c r="E1175" t="inlineStr"/>
      <c r="F1175">
        <f>U1177+Skills!O2</f>
        <v/>
      </c>
      <c r="G1175">
        <f>Skills!G2*IF(Skills!H2&gt;0,Skills!I2/Skills!H2,1)</f>
        <v/>
      </c>
      <c r="H1175">
        <f>1-(1-Skills!J2/100)^Skills!K2</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20)),(Inputs!$B$23+0+(IF(ArtifactsInput!$M$15,CHOOSE(ArtifactsInput!$N$15+1,25,30,35,40,45,50)/100*(Inputs!$B$11-Inputs!$B$11),0))))/100+(Inputs!$B$23+0+(IF(ArtifactsInput!$M$15,CHOOSE(ArtifactsInput!$N$15+1,25,30,35,40,45,50)/100*(Inputs!$B$11-Inputs!$B$11),0)))/100)/2</f>
        <v/>
      </c>
      <c r="M1175">
        <f>L1175*(1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IF(B1208=0,0,O1175/B1208)</f>
        <v/>
      </c>
      <c r="Q1175" t="n">
        <v>0</v>
      </c>
      <c r="R1175" t="n">
        <v>0</v>
      </c>
      <c r="S1175">
        <f>IFERROR(O1175/N1175,0)</f>
        <v/>
      </c>
      <c r="T1175">
        <f>IF(C1175,(Skills!G2*N1175*B1202)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MAX(0,(Inputs!$B$3-100)*3)+Inputs!$B$28+Inputs!$B$29</f>
        <v/>
      </c>
      <c r="V1175">
        <f>IF(C1175,(Skills!G2*N1175*B1202)*IF(Inputs!$B$38="pvp",1,(1+(Inputs!$B$21+Skills!Q2+(IF(ArtifactsInput!$M$33,CHOOSE(ArtifactsInput!$N$33+1,30,36,42,48,54,60),0))+(IF(AND(ArtifactsInput!$M$35,Inputs!$B$4&lt;&gt;"Chapter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Skills!A3</f>
        <v/>
      </c>
      <c r="B1176">
        <f>Skills!B3</f>
        <v/>
      </c>
      <c r="C1176">
        <f>Inputs!$B$3&gt;=35</f>
        <v/>
      </c>
      <c r="D1176">
        <f>IF(Skills!C3=1,60+Inputs!$B$25+Inputs!$B$29,IF(Skills!C3=2,90+Inputs!$B$26+Inputs!$B$29,IF(Skills!C3=3,120+Inputs!$B$27+Inputs!$B$29,MAX(0,(Inputs!$B$3-100)*3)+Inputs!$B$28+Inputs!$B$29)))</f>
        <v/>
      </c>
      <c r="E1176">
        <f>INDEX(FactorTable!$B$2:$Y$301, MATCH(ROUND(MIN(300,MAX(1,D1176)),0), FactorTable!$A$2:$A$301,0), Skills!M3+1)</f>
        <v/>
      </c>
      <c r="F1176">
        <f>IF(Skills!N3=TRUE,(Skills!L3/10)*(E1176/1000),Skills!L3/10)+Skills!O3</f>
        <v/>
      </c>
      <c r="G1176">
        <f>Skills!G3*IF(Skills!H3&gt;0,Skills!I3/Skills!H3,1)</f>
        <v/>
      </c>
      <c r="H1176">
        <f>1-(1-Skills!J3/100)^Skills!K3</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20)),(Inputs!$B$23+0+(IF(ArtifactsInput!$M$15,CHOOSE(ArtifactsInput!$N$15+1,25,30,35,40,45,50)/100*(Inputs!$B$11-Inputs!$B$11),0))))/100+(Inputs!$B$23+0+(IF(ArtifactsInput!$M$15,CHOOSE(ArtifactsInput!$N$15+1,25,30,35,40,45,50)/100*(Inputs!$B$11-Inputs!$B$11),0)))/100)/2</f>
        <v/>
      </c>
      <c r="M1176">
        <f>L1176*(1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IF(B1208=0,0,O1176/B1208)</f>
        <v/>
      </c>
      <c r="Q1176" t="n">
        <v>0</v>
      </c>
      <c r="R1176" t="n">
        <v>0</v>
      </c>
      <c r="S1176">
        <f>IFERROR(O1176/N1176,0)</f>
        <v/>
      </c>
      <c r="T1176">
        <f>IF(C1176,(Skills!G3*H1176*N1176*B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6">
        <f>INDEX(FactorTable!$B$2:$Y$301, MATCH(ROUND(MIN(300,MAX(1,U1175)),0), FactorTable!$A$2:$A$301,0), 22)</f>
        <v/>
      </c>
      <c r="V1176">
        <f>IF(C1176,(Skills!G3*H1176*N1176*B1202)*IF(Inputs!$B$38="pvp",1,(1+(Inputs!$B$21+Skills!Q3+(IF(ArtifactsInput!$M$33,CHOOSE(ArtifactsInput!$N$33+1,30,36,42,48,54,60),0))+(IF(AND(ArtifactsInput!$M$35,Inputs!$B$4&lt;&gt;"Chapter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Skills!A4</f>
        <v/>
      </c>
      <c r="B1177">
        <f>Skills!B4</f>
        <v/>
      </c>
      <c r="C1177">
        <f>Inputs!$B$3&gt;=60</f>
        <v/>
      </c>
      <c r="D1177">
        <f>IF(Skills!C4=1,60+Inputs!$B$25+Inputs!$B$29,IF(Skills!C4=2,90+Inputs!$B$26+Inputs!$B$29,IF(Skills!C4=3,120+Inputs!$B$27+Inputs!$B$29,MAX(0,(Inputs!$B$3-100)*3)+Inputs!$B$28+Inputs!$B$29)))</f>
        <v/>
      </c>
      <c r="E1177">
        <f>INDEX(FactorTable!$B$2:$Y$301, MATCH(ROUND(MIN(300,MAX(1,D1177)),0), FactorTable!$A$2:$A$301,0), Skills!M4+1)</f>
        <v/>
      </c>
      <c r="F1177">
        <f>IF(Skills!N4=TRUE,(Skills!L4/10)*(E1177/1000),Skills!L4/10)+Skills!O4</f>
        <v/>
      </c>
      <c r="G1177">
        <f>Skills!G4*IF(Skills!H4&gt;0,Skills!I4/Skills!H4,1)</f>
        <v/>
      </c>
      <c r="H1177">
        <f>1-(1-Skills!J4/100)^Skills!K4</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1185=TRUE,F1185,0)/100)*(1+(IF(Skills!A4="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20)),(Inputs!$B$23+0+(IF(ArtifactsInput!$M$15,CHOOSE(ArtifactsInput!$N$15+1,25,30,35,40,45,50)/100*(Inputs!$B$11-Inputs!$B$11),0))))/100+(Inputs!$B$23+0+(IF(ArtifactsInput!$M$15,CHOOSE(ArtifactsInput!$N$15+1,25,30,35,40,45,50)/100*(Inputs!$B$11-Inputs!$B$11),0)))/100)/2</f>
        <v/>
      </c>
      <c r="M1177">
        <f>L1177*(1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IF(B1208=0,0,O1177/B1208)</f>
        <v/>
      </c>
      <c r="Q1177" t="n">
        <v>0</v>
      </c>
      <c r="R1177" t="n">
        <v>0</v>
      </c>
      <c r="S1177">
        <f>IFERROR(O1177/N1177,0)</f>
        <v/>
      </c>
      <c r="T1177">
        <f>IF(C1177,(Skills!G4*H1177*N1177*B1202)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290*U1176/1000</f>
        <v/>
      </c>
      <c r="V1177">
        <f>IF(C1177,(Skills!G4*H1177*N1177*B1202)*IF(Inputs!$B$38="pvp",1,(1+(Inputs!$B$21+Skills!Q4+(IF(ArtifactsInput!$M$33,CHOOSE(ArtifactsInput!$N$33+1,30,36,42,48,54,60),0))+(IF(AND(ArtifactsInput!$M$35,Inputs!$B$4&lt;&gt;"Chapter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Skills!A5</f>
        <v/>
      </c>
      <c r="B1178">
        <f>Skills!B5</f>
        <v/>
      </c>
      <c r="C1178">
        <f>Inputs!$B$3&gt;=60</f>
        <v/>
      </c>
      <c r="D1178">
        <f>IF(Skills!C5=1,60+Inputs!$B$25+Inputs!$B$29,IF(Skills!C5=2,90+Inputs!$B$26+Inputs!$B$29,IF(Skills!C5=3,120+Inputs!$B$27+Inputs!$B$29,MAX(0,(Inputs!$B$3-100)*3)+Inputs!$B$28+Inputs!$B$29)))</f>
        <v/>
      </c>
      <c r="E1178">
        <f>INDEX(FactorTable!$B$2:$Y$301, MATCH(ROUND(MIN(300,MAX(1,D1178)),0), FactorTable!$A$2:$A$301,0), Skills!M5+1)</f>
        <v/>
      </c>
      <c r="F1178">
        <f>IF(Skills!N5=TRUE,(Skills!L5/10)*(E1178/1000),Skills!L5/10)+Skills!O5</f>
        <v/>
      </c>
      <c r="G1178">
        <f>Skills!G5*IF(Skills!H5&gt;0,Skills!I5/Skills!H5,1)</f>
        <v/>
      </c>
      <c r="H1178">
        <f>1-(1-Skills!J5/100)^Skills!K5</f>
        <v/>
      </c>
      <c r="I1178" t="inlineStr">
        <is>
          <t>1</t>
        </is>
      </c>
      <c r="J1178" t="inlineStr"/>
      <c r="K1178" t="inlineStr"/>
      <c r="L1178" t="inlineStr"/>
      <c r="M1178" t="inlineStr"/>
      <c r="N1178" t="inlineStr"/>
      <c r="O1178">
        <f>(1-Summary!$B$11)*T1178+Summary!$B$11*V1178</f>
        <v/>
      </c>
      <c r="P1178">
        <f>IF(B1208=0,0,O1178/B1208)</f>
        <v/>
      </c>
      <c r="Q1178" t="n">
        <v>0</v>
      </c>
      <c r="R1178" t="n">
        <v>0</v>
      </c>
      <c r="S1178">
        <f>IFERROR(O1178/N1178,0)</f>
        <v/>
      </c>
      <c r="T1178" t="n">
        <v>0</v>
      </c>
      <c r="V1178" t="n">
        <v>0</v>
      </c>
    </row>
    <row r="1179">
      <c r="A1179">
        <f>Skills!A6</f>
        <v/>
      </c>
      <c r="B1179">
        <f>Skills!B6</f>
        <v/>
      </c>
      <c r="C1179">
        <f>Inputs!$B$3&gt;=63</f>
        <v/>
      </c>
      <c r="D1179">
        <f>IF(Skills!C6=1,60+Inputs!$B$25+Inputs!$B$29,IF(Skills!C6=2,90+Inputs!$B$26+Inputs!$B$29,IF(Skills!C6=3,120+Inputs!$B$27+Inputs!$B$29,MAX(0,(Inputs!$B$3-100)*3)+Inputs!$B$28+Inputs!$B$29)))</f>
        <v/>
      </c>
      <c r="E1179">
        <f>INDEX(FactorTable!$B$2:$Y$301, MATCH(ROUND(MIN(300,MAX(1,D1179)),0), FactorTable!$A$2:$A$301,0), Skills!M6+1)</f>
        <v/>
      </c>
      <c r="F1179">
        <f>IF(Skills!N6=TRUE,(Skills!L6/10)*(E1179/1000),Skills!L6/10)+Skills!O6</f>
        <v/>
      </c>
      <c r="G1179">
        <f>Skills!G6*IF(Skills!H6&gt;0,Skills!I6/Skills!H6,1)</f>
        <v/>
      </c>
      <c r="H1179">
        <f>1-(1-Skills!J6/100)^Skills!K6</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20)),(Inputs!$B$23+0+(IF(ArtifactsInput!$M$15,CHOOSE(ArtifactsInput!$N$15+1,25,30,35,40,45,50)/100*(Inputs!$B$11-Inputs!$B$11),0))))/100+(Inputs!$B$23+0+(IF(ArtifactsInput!$M$15,CHOOSE(ArtifactsInput!$N$15+1,25,30,35,40,45,50)/100*(Inputs!$B$11-Inputs!$B$11),0)))/100)/2</f>
        <v/>
      </c>
      <c r="M1179">
        <f>L1179*(1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IF(B1208=0,0,O1179/B1208)</f>
        <v/>
      </c>
      <c r="Q1179">
        <f>IFERROR(1/(IF(Inputs!$B$38="pvp",15,MAX(0.1,Skills!D6-IF(Skills!E6=TRUE,Inputs!$B$32,0)))*(1-IF(AND(ArtifactsInput!$M$27,Inputs!$B$4="Chapter Hunt"),CHOOSE(ArtifactsInput!$N$27+1,20,24,28,32,36,40),0)/100)),0)</f>
        <v/>
      </c>
      <c r="R1179">
        <f>IF(AND(Inputs!$B$38&lt;&gt;"pvp",Inputs!$B$43&gt;0),IF(MAX(0,Inputs!$B$43-B1205)&lt;=0,0,(INT(MAX(0,Inputs!$B$43-B1205)/(IF(Inputs!$B$38="pvp",15,MAX(0.1,Skills!D6-IF(Skills!E6=TRUE,Inputs!$B$32,0)))*(1-IF(AND(ArtifactsInput!$M$27,Inputs!$B$4="Chapter Hunt"),CHOOSE(ArtifactsInput!$N$27+1,20,24,28,32,36,40),0)/100)))+1)),0)</f>
        <v/>
      </c>
      <c r="S1179">
        <f>IFERROR(O1179/N1179,0)</f>
        <v/>
      </c>
      <c r="T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$21+Skills!Q6+(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Skills!A7</f>
        <v/>
      </c>
      <c r="B1180">
        <f>Skills!B7</f>
        <v/>
      </c>
      <c r="C1180">
        <f>Inputs!$B$3&gt;=100</f>
        <v/>
      </c>
      <c r="D1180">
        <f>IF(Skills!C7=1,60+Inputs!$B$25+Inputs!$B$29,IF(Skills!C7=2,90+Inputs!$B$26+Inputs!$B$29,IF(Skills!C7=3,120+Inputs!$B$27+Inputs!$B$29,MAX(0,(Inputs!$B$3-100)*3)+Inputs!$B$28+Inputs!$B$29)))</f>
        <v/>
      </c>
      <c r="E1180">
        <f>INDEX(FactorTable!$B$2:$Y$301, MATCH(ROUND(MIN(300,MAX(1,D1180)),0), FactorTable!$A$2:$A$301,0), Skills!M7+1)</f>
        <v/>
      </c>
      <c r="F1180">
        <f>IF(Skills!N7=TRUE,(Skills!L7/10)*(E1180/1000),Skills!L7/10)+Skills!O7</f>
        <v/>
      </c>
      <c r="G1180">
        <f>Skills!G7*IF(Skills!H7&gt;0,Skills!I7/Skills!H7,1)</f>
        <v/>
      </c>
      <c r="H1180">
        <f>1-(1-Skills!J7/100)^Skills!K7</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20)),(Inputs!$B$23+0+(IF(ArtifactsInput!$M$15,CHOOSE(ArtifactsInput!$N$15+1,25,30,35,40,45,50)/100*(Inputs!$B$11-Inputs!$B$11),0))))/100+(Inputs!$B$23+0+(IF(ArtifactsInput!$M$15,CHOOSE(ArtifactsInput!$N$15+1,25,30,35,40,45,50)/100*(Inputs!$B$11-Inputs!$B$11),0)))/100)/2</f>
        <v/>
      </c>
      <c r="M1180">
        <f>L1180*(1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IF(B1208=0,0,O1180/B1208)</f>
        <v/>
      </c>
      <c r="Q1180">
        <f>IFERROR(1/(IF(Inputs!$B$38="pvp",15,MAX(0.1,Skills!D7-IF(Skills!E7=TRUE,Inputs!$B$32,0)))*(1-IF(AND(ArtifactsInput!$M$27,Inputs!$B$4="Chapter Hunt"),CHOOSE(ArtifactsInput!$N$27+1,20,24,28,32,36,40),0)/100)),0)</f>
        <v/>
      </c>
      <c r="R1180">
        <f>IF(AND(Inputs!$B$38&lt;&gt;"pvp",Inputs!$B$43&gt;0),IF(MAX(0,Inputs!$B$43-B1205)&lt;=0,0,(INT(MAX(0,Inputs!$B$43-B1205)/(IF(Inputs!$B$38="pvp",15,MAX(0.1,Skills!D7-IF(Skills!E7=TRUE,Inputs!$B$32,0)))*(1-IF(AND(ArtifactsInput!$M$27,Inputs!$B$4="Chapter Hunt"),CHOOSE(ArtifactsInput!$N$27+1,20,24,28,32,36,40),0)/100)))+1)),0)</f>
        <v/>
      </c>
      <c r="S1180">
        <f>IFERROR(O1180/N1180,0)</f>
        <v/>
      </c>
      <c r="T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$21+Skills!Q7+(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Skills!A8</f>
        <v/>
      </c>
      <c r="B1181">
        <f>Skills!B8</f>
        <v/>
      </c>
      <c r="C1181">
        <f>Inputs!$B$3&gt;=110</f>
        <v/>
      </c>
      <c r="D1181">
        <f>IF(Skills!C8=1,60+Inputs!$B$25+Inputs!$B$29,IF(Skills!C8=2,90+Inputs!$B$26+Inputs!$B$29,IF(Skills!C8=3,120+Inputs!$B$27+Inputs!$B$29,MAX(0,(Inputs!$B$3-100)*3)+Inputs!$B$28+Inputs!$B$29)))</f>
        <v/>
      </c>
      <c r="E1181">
        <f>INDEX(FactorTable!$B$2:$Y$301, MATCH(ROUND(MIN(300,MAX(1,D1181)),0), FactorTable!$A$2:$A$301,0), Skills!M8+1)</f>
        <v/>
      </c>
      <c r="F1181">
        <f>IF(Skills!N8=TRUE,(Skills!L8/10)*(E1181/1000),Skills!L8/10)+Skills!O8</f>
        <v/>
      </c>
      <c r="G1181">
        <f>Skills!G8*IF(Skills!H8&gt;0,Skills!I8/Skills!H8,1)</f>
        <v/>
      </c>
      <c r="H1181">
        <f>1-(1-Skills!J8/100)^Skills!K8</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20)),(Inputs!$B$23+0+(IF(ArtifactsInput!$M$15,CHOOSE(ArtifactsInput!$N$15+1,25,30,35,40,45,50)/100*(Inputs!$B$11-Inputs!$B$11),0))))/100+(Inputs!$B$23+0+(IF(ArtifactsInput!$M$15,CHOOSE(ArtifactsInput!$N$15+1,25,30,35,40,45,50)/100*(Inputs!$B$11-Inputs!$B$11),0)))/100)/2</f>
        <v/>
      </c>
      <c r="M1181">
        <f>L1181*(1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IF(B1208=0,0,O1181/B1208)</f>
        <v/>
      </c>
      <c r="Q1181">
        <f>IFERROR(1/(IF(Inputs!$B$38="pvp",15,MAX(0.1,Skills!D8-IF(Skills!E8=TRUE,Inputs!$B$32,0)))*(1-IF(AND(ArtifactsInput!$M$27,Inputs!$B$4="Chapter Hunt"),CHOOSE(ArtifactsInput!$N$27+1,20,24,28,32,36,40),0)/100)),0)</f>
        <v/>
      </c>
      <c r="R1181">
        <f>IF(AND(Inputs!$B$38&lt;&gt;"pvp",Inputs!$B$43&gt;0),IF(MAX(0,Inputs!$B$43-B1205)&lt;=0,0,(INT(MAX(0,Inputs!$B$43-B1205)/(IF(Inputs!$B$38="pvp",15,MAX(0.1,Skills!D8-IF(Skills!E8=TRUE,Inputs!$B$32,0)))*(1-IF(AND(ArtifactsInput!$M$27,Inputs!$B$4="Chapter Hunt"),CHOOSE(ArtifactsInput!$N$27+1,20,24,28,32,36,40),0)/100)))+1)),0)</f>
        <v/>
      </c>
      <c r="S1181">
        <f>IFERROR(O1181/N1181,0)</f>
        <v/>
      </c>
      <c r="T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$21+Skills!Q8+(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Skills!A9</f>
        <v/>
      </c>
      <c r="B1182">
        <f>Skills!B9</f>
        <v/>
      </c>
      <c r="C1182">
        <f>Inputs!$B$3&gt;=110</f>
        <v/>
      </c>
      <c r="D1182">
        <f>IF(Skills!C9=1,60+Inputs!$B$25+Inputs!$B$29,IF(Skills!C9=2,90+Inputs!$B$26+Inputs!$B$29,IF(Skills!C9=3,120+Inputs!$B$27+Inputs!$B$29,MAX(0,(Inputs!$B$3-100)*3)+Inputs!$B$28+Inputs!$B$29)))</f>
        <v/>
      </c>
      <c r="E1182">
        <f>INDEX(FactorTable!$B$2:$Y$301, MATCH(ROUND(MIN(300,MAX(1,D1182)),0), FactorTable!$A$2:$A$301,0), Skills!M9+1)</f>
        <v/>
      </c>
      <c r="F1182">
        <f>IF(Skills!N9=TRUE,(Skills!L9/10)*(E1182/1000),Skills!L9/10)+Skills!O9</f>
        <v/>
      </c>
      <c r="G1182">
        <f>Skills!G9*IF(Skills!H9&gt;0,Skills!I9/Skills!H9,1)</f>
        <v/>
      </c>
      <c r="H1182">
        <f>1-(1-Skills!J9/100)^Skills!K9</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20)),(Inputs!$B$23+0+(IF(ArtifactsInput!$M$15,CHOOSE(ArtifactsInput!$N$15+1,25,30,35,40,45,50)/100*(Inputs!$B$11-Inputs!$B$11),0))))/100+(Inputs!$B$23+0+(IF(ArtifactsInput!$M$15,CHOOSE(ArtifactsInput!$N$15+1,25,30,35,40,45,50)/100*(Inputs!$B$11-Inputs!$B$11),0)))/100)/2</f>
        <v/>
      </c>
      <c r="M1182">
        <f>L1182*(1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IF(B1208=0,0,O1182/B1208)</f>
        <v/>
      </c>
      <c r="Q1182">
        <f>IFERROR(1/(IF(Inputs!$B$38="pvp",15,MAX(0.1,Skills!D9-IF(Skills!E9=TRUE,Inputs!$B$32,0)))*(1-IF(AND(ArtifactsInput!$M$27,Inputs!$B$4="Chapter Hunt"),CHOOSE(ArtifactsInput!$N$27+1,20,24,28,32,36,40),0)/100)),0)</f>
        <v/>
      </c>
      <c r="R1182">
        <f>IF(AND(Inputs!$B$38&lt;&gt;"pvp",Inputs!$B$43&gt;0),IF(MAX(0,Inputs!$B$43-B1205)&lt;=0,0,(INT(MAX(0,Inputs!$B$43-B1205)/(IF(Inputs!$B$38="pvp",15,MAX(0.1,Skills!D9-IF(Skills!E9=TRUE,Inputs!$B$32,0)))*(1-IF(AND(ArtifactsInput!$M$27,Inputs!$B$4="Chapter Hunt"),CHOOSE(ArtifactsInput!$N$27+1,20,24,28,32,36,40),0)/100)))+1)),0)</f>
        <v/>
      </c>
      <c r="S1182">
        <f>IFERROR(O1182/N1182,0)</f>
        <v/>
      </c>
      <c r="T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$21+Skills!Q9+(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Skills!A10</f>
        <v/>
      </c>
      <c r="B1183">
        <f>Skills!B10</f>
        <v/>
      </c>
      <c r="C1183">
        <f>Inputs!$B$3&gt;=103</f>
        <v/>
      </c>
      <c r="D1183">
        <f>IF(Skills!C10=1,60+Inputs!$B$25+Inputs!$B$29,IF(Skills!C10=2,90+Inputs!$B$26+Inputs!$B$29,IF(Skills!C10=3,120+Inputs!$B$27+Inputs!$B$29,MAX(0,(Inputs!$B$3-100)*3)+Inputs!$B$28+Inputs!$B$29)))</f>
        <v/>
      </c>
      <c r="E1183">
        <f>INDEX(FactorTable!$B$2:$Y$301, MATCH(ROUND(MIN(300,MAX(1,D1183)),0), FactorTable!$A$2:$A$301,0), Skills!M10+1)</f>
        <v/>
      </c>
      <c r="F1183">
        <f>IF(Skills!N10=TRUE,(Skills!L10/10)*(E1183/1000),Skills!L10/10)+Skills!O10</f>
        <v/>
      </c>
      <c r="G1183">
        <f>Skills!G10*IF(Skills!H10&gt;0,Skills!I10/Skills!H10,1)</f>
        <v/>
      </c>
      <c r="H1183">
        <f>1-(1-Skills!J10/100)^Skills!K10</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20)),(Inputs!$B$23+0+(IF(ArtifactsInput!$M$15,CHOOSE(ArtifactsInput!$N$15+1,25,30,35,40,45,50)/100*(Inputs!$B$11-Inputs!$B$11),0))))/100+(Inputs!$B$23+0+(IF(ArtifactsInput!$M$15,CHOOSE(ArtifactsInput!$N$15+1,25,30,35,40,45,50)/100*(Inputs!$B$11-Inputs!$B$11),0)))/100)/2</f>
        <v/>
      </c>
      <c r="M1183">
        <f>L1183*(1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IF(B1208=0,0,O1183/B1208)</f>
        <v/>
      </c>
      <c r="Q1183">
        <f>IFERROR(1/(IF(Inputs!$B$38="pvp",15,MAX(0.1,Skills!D10-IF(Skills!E10=TRUE,Inputs!$B$32,0)))*(1-IF(AND(ArtifactsInput!$M$27,Inputs!$B$4="Chapter Hunt"),CHOOSE(ArtifactsInput!$N$27+1,20,24,28,32,36,40),0)/100)),0)</f>
        <v/>
      </c>
      <c r="R1183">
        <f>IF(AND(Inputs!$B$38&lt;&gt;"pvp",Inputs!$B$43&gt;0),IF(MAX(0,Inputs!$B$43-B1205)&lt;=0,0,(INT(MAX(0,Inputs!$B$43-B1205)/(IF(Inputs!$B$38="pvp",15,MAX(0.1,Skills!D10-IF(Skills!E10=TRUE,Inputs!$B$32,0)))*(1-IF(AND(ArtifactsInput!$M$27,Inputs!$B$4="Chapter Hunt"),CHOOSE(ArtifactsInput!$N$27+1,20,24,28,32,36,40),0)/100)))+1)),0)</f>
        <v/>
      </c>
      <c r="S1183">
        <f>IFERROR(O1183/N1183,0)</f>
        <v/>
      </c>
      <c r="T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$21+Skills!Q10+(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Skills!A11</f>
        <v/>
      </c>
      <c r="B1184">
        <f>Skills!B11</f>
        <v/>
      </c>
      <c r="C1184">
        <f>Inputs!$B$3&gt;=113</f>
        <v/>
      </c>
      <c r="D1184">
        <f>IF(Skills!C11=1,60+Inputs!$B$25+Inputs!$B$29,IF(Skills!C11=2,90+Inputs!$B$26+Inputs!$B$29,IF(Skills!C11=3,120+Inputs!$B$27+Inputs!$B$29,MAX(0,(Inputs!$B$3-100)*3)+Inputs!$B$28+Inputs!$B$29)))</f>
        <v/>
      </c>
      <c r="E1184">
        <f>INDEX(FactorTable!$B$2:$Y$301, MATCH(ROUND(MIN(300,MAX(1,D1184)),0), FactorTable!$A$2:$A$301,0), Skills!M11+1)</f>
        <v/>
      </c>
      <c r="F1184">
        <f>IF(Skills!N11=TRUE,(Skills!L11/10)*(E1184/1000),Skills!L11/10)+Skills!O11</f>
        <v/>
      </c>
      <c r="G1184">
        <f>Skills!G11*IF(Skills!H11&gt;0,Skills!I11/Skills!H11,1)</f>
        <v/>
      </c>
      <c r="H1184">
        <f>1-(1-Skills!J11/100)^Skills!K11</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20)),(Inputs!$B$23+0+(IF(ArtifactsInput!$M$15,CHOOSE(ArtifactsInput!$N$15+1,25,30,35,40,45,50)/100*(Inputs!$B$11-Inputs!$B$11),0))))/100+(Inputs!$B$23+0+(IF(ArtifactsInput!$M$15,CHOOSE(ArtifactsInput!$N$15+1,25,30,35,40,45,50)/100*(Inputs!$B$11-Inputs!$B$11),0)))/100)/2</f>
        <v/>
      </c>
      <c r="M1184">
        <f>L1184*(1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IF(B1208=0,0,O1184/B1208)</f>
        <v/>
      </c>
      <c r="Q1184">
        <f>IFERROR(1/(IF(Inputs!$B$38="pvp",15,MAX(0.1,Skills!D11-IF(Skills!E11=TRUE,Inputs!$B$32,0)))*(1-IF(AND(ArtifactsInput!$M$27,Inputs!$B$4="Chapter Hunt"),CHOOSE(ArtifactsInput!$N$27+1,20,24,28,32,36,40),0)/100)),0)</f>
        <v/>
      </c>
      <c r="R1184">
        <f>IF(AND(Inputs!$B$38&lt;&gt;"pvp",Inputs!$B$43&gt;0),IF(MAX(0,Inputs!$B$43-B1205)&lt;=0,0,(INT(MAX(0,Inputs!$B$43-B1205)/(IF(Inputs!$B$38="pvp",15,MAX(0.1,Skills!D11-IF(Skills!E11=TRUE,Inputs!$B$32,0)))*(1-IF(AND(ArtifactsInput!$M$27,Inputs!$B$4="Chapter Hunt"),CHOOSE(ArtifactsInput!$N$27+1,20,24,28,32,36,40),0)/100)))+1)),0)</f>
        <v/>
      </c>
      <c r="S1184">
        <f>IFERROR(O1184/N1184,0)</f>
        <v/>
      </c>
      <c r="T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$21+Skills!Q11+(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Skills!A12</f>
        <v/>
      </c>
      <c r="B1185">
        <f>Skills!B12</f>
        <v/>
      </c>
      <c r="C1185">
        <f>Inputs!$B$3&gt;=100</f>
        <v/>
      </c>
      <c r="D1185">
        <f>IF(Skills!C12=1,60+Inputs!$B$25+Inputs!$B$29,IF(Skills!C12=2,90+Inputs!$B$26+Inputs!$B$29,IF(Skills!C12=3,120+Inputs!$B$27+Inputs!$B$29,MAX(0,(Inputs!$B$3-100)*3)+Inputs!$B$28+Inputs!$B$29)))</f>
        <v/>
      </c>
      <c r="E1185">
        <f>INDEX(FactorTable!$B$2:$Y$301, MATCH(ROUND(MIN(300,MAX(1,D1185)),0), FactorTable!$A$2:$A$301,0), Skills!M12+1)</f>
        <v/>
      </c>
      <c r="F1185">
        <f>IF(Skills!N12=TRUE,(Skills!L12/10)*(E1185/1000),Skills!L12/10)+Skills!O12</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T1185" t="inlineStr"/>
      <c r="V1185" t="inlineStr"/>
    </row>
    <row r="1186">
      <c r="A1186">
        <f>Skills!A13</f>
        <v/>
      </c>
      <c r="B1186">
        <f>Skills!B13</f>
        <v/>
      </c>
      <c r="C1186">
        <f>Inputs!$B$3&gt;=66</f>
        <v/>
      </c>
      <c r="D1186">
        <f>IF(Skills!C13=1,60+Inputs!$B$25+Inputs!$B$29,IF(Skills!C13=2,90+Inputs!$B$26+Inputs!$B$29,IF(Skills!C13=3,120+Inputs!$B$27+Inputs!$B$29,MAX(0,(Inputs!$B$3-100)*3)+Inputs!$B$28+Inputs!$B$29)))</f>
        <v/>
      </c>
      <c r="E1186">
        <f>INDEX(FactorTable!$B$2:$Y$301, MATCH(ROUND(MIN(300,MAX(1,D1186)),0), FactorTable!$A$2:$A$301,0), Skills!M13+1)</f>
        <v/>
      </c>
      <c r="F1186">
        <f>IF(Skills!N13=TRUE,(Skills!L13/10)*(E1186/1000),Skills!L13/10)+Skills!O13</f>
        <v/>
      </c>
      <c r="G1186">
        <f>Skills!G13*IF(Skills!H13&gt;0,Skills!I13/Skills!H13,1)</f>
        <v/>
      </c>
      <c r="H1186">
        <f>1-(1-Skills!J13/100)^Skills!K13</f>
        <v/>
      </c>
      <c r="I1186" t="inlineStr">
        <is>
          <t>1</t>
        </is>
      </c>
      <c r="J1186" t="inlineStr"/>
      <c r="K1186" t="inlineStr"/>
      <c r="L1186" t="inlineStr"/>
      <c r="M1186" t="inlineStr"/>
      <c r="N1186" t="inlineStr"/>
      <c r="O1186">
        <f>(1-Summary!$B$11)*T1186+Summary!$B$11*V1186</f>
        <v/>
      </c>
      <c r="P1186">
        <f>IF(B1208=0,0,O1186/B1208)</f>
        <v/>
      </c>
      <c r="Q1186" t="n">
        <v>0</v>
      </c>
      <c r="R1186" t="n">
        <v>0</v>
      </c>
      <c r="S1186">
        <f>IFERROR(O1186/N1186,0)</f>
        <v/>
      </c>
      <c r="T1186" t="n">
        <v>0</v>
      </c>
      <c r="V1186" t="n">
        <v>0</v>
      </c>
    </row>
    <row r="1187">
      <c r="A1187">
        <f>Skills!A14</f>
        <v/>
      </c>
      <c r="B1187">
        <f>Skills!B14</f>
        <v/>
      </c>
      <c r="C1187">
        <f>Inputs!$B$3&gt;=107</f>
        <v/>
      </c>
      <c r="D1187">
        <f>IF(Skills!C14=1,60+Inputs!$B$25+Inputs!$B$29,IF(Skills!C14=2,90+Inputs!$B$26+Inputs!$B$29,IF(Skills!C14=3,120+Inputs!$B$27+Inputs!$B$29,MAX(0,(Inputs!$B$3-100)*3)+Inputs!$B$28+Inputs!$B$29)))</f>
        <v/>
      </c>
      <c r="E1187">
        <f>INDEX(FactorTable!$B$2:$Y$301, MATCH(ROUND(MIN(300,MAX(1,D1187)),0), FactorTable!$A$2:$A$301,0), Skills!M14+1)</f>
        <v/>
      </c>
      <c r="F1187">
        <f>IF(Skills!N14=TRUE,(Skills!L14/10)*(E1187/1000),Skills!L14/10)+Skills!O14</f>
        <v/>
      </c>
      <c r="G1187">
        <f>Skills!G14*IF(Skills!H14&gt;0,Skills!I14/Skills!H14,1)</f>
        <v/>
      </c>
      <c r="H1187">
        <f>1-(1-Skills!J14/100)^Skills!K14</f>
        <v/>
      </c>
      <c r="I1187" t="inlineStr">
        <is>
          <t>1</t>
        </is>
      </c>
      <c r="J1187" t="inlineStr"/>
      <c r="K1187" t="inlineStr"/>
      <c r="L1187" t="inlineStr"/>
      <c r="M1187" t="inlineStr"/>
      <c r="N1187" t="inlineStr"/>
      <c r="O1187">
        <f>(1-Summary!$B$11)*T1187+Summary!$B$11*V1187</f>
        <v/>
      </c>
      <c r="P1187">
        <f>IF(B1208=0,0,O1187/B1208)</f>
        <v/>
      </c>
      <c r="Q1187" t="n">
        <v>0</v>
      </c>
      <c r="R1187" t="n">
        <v>0</v>
      </c>
      <c r="S1187">
        <f>IFERROR(O1187/N1187,0)</f>
        <v/>
      </c>
      <c r="T1187" t="n">
        <v>0</v>
      </c>
      <c r="V1187" t="n">
        <v>0</v>
      </c>
    </row>
    <row r="1188">
      <c r="A1188">
        <f>Skills!A15</f>
        <v/>
      </c>
      <c r="B1188">
        <f>Skills!B15</f>
        <v/>
      </c>
      <c r="C1188">
        <f>Inputs!$B$3&gt;=115</f>
        <v/>
      </c>
      <c r="D1188">
        <f>IF(Skills!C15=1,60+Inputs!$B$25+Inputs!$B$29,IF(Skills!C15=2,90+Inputs!$B$26+Inputs!$B$29,IF(Skills!C15=3,120+Inputs!$B$27+Inputs!$B$29,MAX(0,(Inputs!$B$3-100)*3)+Inputs!$B$28+Inputs!$B$29)))</f>
        <v/>
      </c>
      <c r="E1188">
        <f>INDEX(FactorTable!$B$2:$Y$301, MATCH(ROUND(MIN(300,MAX(1,D1188)),0), FactorTable!$A$2:$A$301,0), Skills!M15+1)</f>
        <v/>
      </c>
      <c r="F1188">
        <f>IF(Skills!N15=TRUE,(Skills!L15/10)*(E1188/1000),Skills!L15/10)+Skills!O15</f>
        <v/>
      </c>
      <c r="G1188">
        <f>Skills!G15*IF(Skills!H15&gt;0,Skills!I15/Skills!H15,1)</f>
        <v/>
      </c>
      <c r="H1188">
        <f>1-(1-Skills!J15/100)^Skills!K15</f>
        <v/>
      </c>
      <c r="I1188" t="inlineStr">
        <is>
          <t>1</t>
        </is>
      </c>
      <c r="J1188" t="inlineStr"/>
      <c r="K1188" t="inlineStr"/>
      <c r="L1188" t="inlineStr"/>
      <c r="M1188" t="inlineStr"/>
      <c r="N1188" t="inlineStr"/>
      <c r="O1188">
        <f>(1-Summary!$B$11)*T1188+Summary!$B$11*V1188</f>
        <v/>
      </c>
      <c r="P1188">
        <f>IF(B1208=0,0,O1188/B1208)</f>
        <v/>
      </c>
      <c r="Q1188" t="n">
        <v>0</v>
      </c>
      <c r="R1188" t="n">
        <v>0</v>
      </c>
      <c r="S1188">
        <f>IFERROR(O1188/N1188,0)</f>
        <v/>
      </c>
      <c r="T1188" t="n">
        <v>0</v>
      </c>
      <c r="V1188" t="n">
        <v>0</v>
      </c>
    </row>
    <row r="1189">
      <c r="A1189">
        <f>Skills!A16</f>
        <v/>
      </c>
      <c r="B1189">
        <f>Skills!B16</f>
        <v/>
      </c>
      <c r="C1189">
        <f>Inputs!$B$3&gt;=15</f>
        <v/>
      </c>
      <c r="D1189">
        <f>IF(Skills!C16=1,60+Inputs!$B$25+Inputs!$B$29,IF(Skills!C16=2,90+Inputs!$B$26+Inputs!$B$29,IF(Skills!C16=3,120+Inputs!$B$27+Inputs!$B$29,MAX(0,(Inputs!$B$3-100)*3)+Inputs!$B$28+Inputs!$B$29)))</f>
        <v/>
      </c>
      <c r="E1189">
        <f>INDEX(FactorTable!$B$2:$Y$301, MATCH(ROUND(MIN(300,MAX(1,D1189)),0), FactorTable!$A$2:$A$301,0), Skills!M16+1)</f>
        <v/>
      </c>
      <c r="F1189">
        <f>IF(Skills!N16=TRUE,(Skills!L16/10)*(E1189/1000),Skills!L16/10)+Skills!O16</f>
        <v/>
      </c>
      <c r="G1189">
        <f>Skills!G16*IF(Skills!H16&gt;0,Skills!I16/Skills!H16,1)</f>
        <v/>
      </c>
      <c r="H1189">
        <f>1-(1-Skills!J16/100)^Skills!K16</f>
        <v/>
      </c>
      <c r="I1189" t="inlineStr">
        <is>
          <t>1</t>
        </is>
      </c>
      <c r="J1189" t="inlineStr"/>
      <c r="K1189" t="inlineStr"/>
      <c r="L1189" t="inlineStr"/>
      <c r="M1189" t="inlineStr"/>
      <c r="N1189" t="inlineStr"/>
      <c r="O1189">
        <f>(1-Summary!$B$11)*T1189+Summary!$B$11*V1189</f>
        <v/>
      </c>
      <c r="P1189">
        <f>IF(B1208=0,0,O1189/B1208)</f>
        <v/>
      </c>
      <c r="Q1189" t="n">
        <v>0</v>
      </c>
      <c r="R1189" t="n">
        <v>0</v>
      </c>
      <c r="S1189">
        <f>IFERROR(O1189/N1189,0)</f>
        <v/>
      </c>
      <c r="T1189" t="n">
        <v>0</v>
      </c>
      <c r="V1189" t="n">
        <v>0</v>
      </c>
    </row>
    <row r="1190">
      <c r="A1190">
        <f>Skills!A17</f>
        <v/>
      </c>
      <c r="B1190">
        <f>Skills!B17</f>
        <v/>
      </c>
      <c r="C1190">
        <f>Inputs!$B$3&gt;=10</f>
        <v/>
      </c>
      <c r="D1190">
        <f>IF(Skills!C17=1,60+Inputs!$B$25+Inputs!$B$29,IF(Skills!C17=2,90+Inputs!$B$26+Inputs!$B$29,IF(Skills!C17=3,120+Inputs!$B$27+Inputs!$B$29,MAX(0,(Inputs!$B$3-100)*3)+Inputs!$B$28+Inputs!$B$29)))</f>
        <v/>
      </c>
      <c r="E1190">
        <f>INDEX(FactorTable!$B$2:$Y$301, MATCH(ROUND(MIN(300,MAX(1,D1190)),0), FactorTable!$A$2:$A$301,0), Skills!M17+1)</f>
        <v/>
      </c>
      <c r="F1190">
        <f>IF(Skills!N17=TRUE,(Skills!L17/10)*(E1190/1000),Skills!L17/10)+Skills!O17</f>
        <v/>
      </c>
      <c r="G1190">
        <f>Skills!G17*IF(Skills!H17&gt;0,Skills!I17/Skills!H17,1)</f>
        <v/>
      </c>
      <c r="H1190">
        <f>1-(1-Skills!J17/100)^Skills!K17</f>
        <v/>
      </c>
      <c r="I1190" t="inlineStr">
        <is>
          <t>1</t>
        </is>
      </c>
      <c r="J1190" t="inlineStr"/>
      <c r="K1190" t="inlineStr"/>
      <c r="L1190" t="inlineStr"/>
      <c r="M1190" t="inlineStr"/>
      <c r="N1190" t="inlineStr"/>
      <c r="O1190">
        <f>(1-Summary!$B$11)*T1190+Summary!$B$11*V1190</f>
        <v/>
      </c>
      <c r="P1190">
        <f>IF(B1208=0,0,O1190/B1208)</f>
        <v/>
      </c>
      <c r="Q1190" t="n">
        <v>0</v>
      </c>
      <c r="R1190" t="n">
        <v>0</v>
      </c>
      <c r="S1190">
        <f>IFERROR(O1190/N1190,0)</f>
        <v/>
      </c>
      <c r="T1190" t="n">
        <v>0</v>
      </c>
      <c r="V1190" t="n">
        <v>0</v>
      </c>
    </row>
    <row r="1191">
      <c r="A1191">
        <f>Skills!A18</f>
        <v/>
      </c>
      <c r="B1191">
        <f>Skills!B18</f>
        <v/>
      </c>
      <c r="C1191">
        <f>Inputs!$B$3&gt;=33</f>
        <v/>
      </c>
      <c r="D1191">
        <f>IF(Skills!C18=1,60+Inputs!$B$25+Inputs!$B$29,IF(Skills!C18=2,90+Inputs!$B$26+Inputs!$B$29,IF(Skills!C18=3,120+Inputs!$B$27+Inputs!$B$29,MAX(0,(Inputs!$B$3-100)*3)+Inputs!$B$28+Inputs!$B$29)))</f>
        <v/>
      </c>
      <c r="E1191">
        <f>INDEX(FactorTable!$B$2:$Y$301, MATCH(ROUND(MIN(300,MAX(1,D1191)),0), FactorTable!$A$2:$A$301,0), Skills!M18+1)</f>
        <v/>
      </c>
      <c r="F1191">
        <f>IF(Skills!N18=TRUE,(Skills!L18/10)*(E1191/1000),Skills!L18/10)+Skills!O18</f>
        <v/>
      </c>
      <c r="G1191">
        <f>Skills!G18*IF(Skills!H18&gt;0,Skills!I18/Skills!H18,1)</f>
        <v/>
      </c>
      <c r="H1191">
        <f>1-(1-Skills!J18/100)^Skills!K18</f>
        <v/>
      </c>
      <c r="I1191" t="inlineStr">
        <is>
          <t>1</t>
        </is>
      </c>
      <c r="J1191" t="inlineStr"/>
      <c r="K1191" t="inlineStr"/>
      <c r="L1191" t="inlineStr"/>
      <c r="M1191" t="inlineStr"/>
      <c r="N1191" t="inlineStr"/>
      <c r="O1191">
        <f>(1-Summary!$B$11)*T1191+Summary!$B$11*V1191</f>
        <v/>
      </c>
      <c r="P1191">
        <f>IF(B1208=0,0,O1191/B1208)</f>
        <v/>
      </c>
      <c r="Q1191" t="n">
        <v>0</v>
      </c>
      <c r="R1191" t="n">
        <v>0</v>
      </c>
      <c r="S1191">
        <f>IFERROR(O1191/N1191,0)</f>
        <v/>
      </c>
      <c r="T1191" t="n">
        <v>0</v>
      </c>
      <c r="V1191" t="n">
        <v>0</v>
      </c>
    </row>
    <row r="1192">
      <c r="A1192">
        <f>Skills!A19</f>
        <v/>
      </c>
      <c r="B1192">
        <f>Skills!B19</f>
        <v/>
      </c>
      <c r="C1192">
        <f>Inputs!$B$3&gt;=40</f>
        <v/>
      </c>
      <c r="D1192">
        <f>IF(Skills!C19=1,60+Inputs!$B$25+Inputs!$B$29,IF(Skills!C19=2,90+Inputs!$B$26+Inputs!$B$29,IF(Skills!C19=3,120+Inputs!$B$27+Inputs!$B$29,MAX(0,(Inputs!$B$3-100)*3)+Inputs!$B$28+Inputs!$B$29)))</f>
        <v/>
      </c>
      <c r="E1192">
        <f>INDEX(FactorTable!$B$2:$Y$301, MATCH(ROUND(MIN(300,MAX(1,D1192)),0), FactorTable!$A$2:$A$301,0), Skills!M19+1)</f>
        <v/>
      </c>
      <c r="F1192">
        <f>IF(Skills!N19=TRUE,(Skills!L19/10)*(E1192/1000),Skills!L19/10)+Skills!O19</f>
        <v/>
      </c>
      <c r="G1192">
        <f>Skills!G19*IF(Skills!H19&gt;0,Skills!I19/Skills!H19,1)</f>
        <v/>
      </c>
      <c r="H1192">
        <f>1-(1-Skills!J19/100)^Skills!K19</f>
        <v/>
      </c>
      <c r="I1192" t="inlineStr">
        <is>
          <t>1</t>
        </is>
      </c>
      <c r="J1192" t="inlineStr"/>
      <c r="K1192" t="inlineStr"/>
      <c r="L1192" t="inlineStr"/>
      <c r="M1192" t="inlineStr"/>
      <c r="N1192" t="inlineStr"/>
      <c r="O1192">
        <f>(1-Summary!$B$11)*T1192+Summary!$B$11*V1192</f>
        <v/>
      </c>
      <c r="P1192">
        <f>IF(B1208=0,0,O1192/B1208)</f>
        <v/>
      </c>
      <c r="Q1192" t="n">
        <v>0</v>
      </c>
      <c r="R1192" t="n">
        <v>0</v>
      </c>
      <c r="S1192">
        <f>IFERROR(O1192/N1192,0)</f>
        <v/>
      </c>
      <c r="T1192" t="n">
        <v>0</v>
      </c>
      <c r="V1192" t="n">
        <v>0</v>
      </c>
    </row>
    <row r="1193">
      <c r="A1193">
        <f>Skills!A20</f>
        <v/>
      </c>
      <c r="B1193">
        <f>Skills!B20</f>
        <v/>
      </c>
      <c r="C1193">
        <f>Inputs!$B$3&gt;=43</f>
        <v/>
      </c>
      <c r="D1193">
        <f>IF(Skills!C20=1,60+Inputs!$B$25+Inputs!$B$29,IF(Skills!C20=2,90+Inputs!$B$26+Inputs!$B$29,IF(Skills!C20=3,120+Inputs!$B$27+Inputs!$B$29,MAX(0,(Inputs!$B$3-100)*3)+Inputs!$B$28+Inputs!$B$29)))</f>
        <v/>
      </c>
      <c r="E1193">
        <f>INDEX(FactorTable!$B$2:$Y$301, MATCH(ROUND(MIN(300,MAX(1,D1193)),0), FactorTable!$A$2:$A$301,0), Skills!M20+1)</f>
        <v/>
      </c>
      <c r="F1193">
        <f>IF(Skills!N20=TRUE,(Skills!L20/10)*(E1193/1000),Skills!L20/10)+Skills!O20</f>
        <v/>
      </c>
      <c r="G1193">
        <f>Skills!G20*IF(Skills!H20&gt;0,Skills!I20/Skills!H20,1)</f>
        <v/>
      </c>
      <c r="H1193">
        <f>1-(1-Skills!J20/100)^Skills!K20</f>
        <v/>
      </c>
      <c r="I1193" t="inlineStr">
        <is>
          <t>1</t>
        </is>
      </c>
      <c r="J1193" t="inlineStr"/>
      <c r="K1193" t="inlineStr"/>
      <c r="L1193" t="inlineStr"/>
      <c r="M1193" t="inlineStr"/>
      <c r="N1193" t="inlineStr"/>
      <c r="O1193">
        <f>(1-Summary!$B$11)*T1193+Summary!$B$11*V1193</f>
        <v/>
      </c>
      <c r="P1193">
        <f>IF(B1208=0,0,O1193/B1208)</f>
        <v/>
      </c>
      <c r="Q1193" t="n">
        <v>0</v>
      </c>
      <c r="R1193" t="n">
        <v>0</v>
      </c>
      <c r="S1193">
        <f>IFERROR(O1193/N1193,0)</f>
        <v/>
      </c>
      <c r="T1193" t="n">
        <v>0</v>
      </c>
      <c r="V1193" t="n">
        <v>0</v>
      </c>
    </row>
    <row r="1194">
      <c r="A1194">
        <f>Skills!A21</f>
        <v/>
      </c>
      <c r="B1194">
        <f>Skills!B21</f>
        <v/>
      </c>
      <c r="C1194">
        <f>Inputs!$B$3&gt;=38</f>
        <v/>
      </c>
      <c r="D1194">
        <f>IF(Skills!C21=1,60+Inputs!$B$25+Inputs!$B$29,IF(Skills!C21=2,90+Inputs!$B$26+Inputs!$B$29,IF(Skills!C21=3,120+Inputs!$B$27+Inputs!$B$29,MAX(0,(Inputs!$B$3-100)*3)+Inputs!$B$28+Inputs!$B$29)))</f>
        <v/>
      </c>
      <c r="E1194">
        <f>INDEX(FactorTable!$B$2:$Y$301, MATCH(ROUND(MIN(300,MAX(1,D1194)),0), FactorTable!$A$2:$A$301,0), Skills!M21+1)</f>
        <v/>
      </c>
      <c r="F1194">
        <f>IF(Skills!N21=TRUE,(Skills!L21/10)*(E1194/1000),Skills!L21/10)+Skills!O21</f>
        <v/>
      </c>
      <c r="G1194">
        <f>Skills!G21*IF(Skills!H21&gt;0,Skills!I21/Skills!H21,1)</f>
        <v/>
      </c>
      <c r="H1194">
        <f>1-(1-Skills!J21/100)^Skills!K21</f>
        <v/>
      </c>
      <c r="I1194" t="inlineStr">
        <is>
          <t>1</t>
        </is>
      </c>
      <c r="J1194" t="inlineStr"/>
      <c r="K1194" t="inlineStr"/>
      <c r="L1194" t="inlineStr"/>
      <c r="M1194" t="inlineStr"/>
      <c r="N1194" t="inlineStr"/>
      <c r="O1194">
        <f>(1-Summary!$B$11)*T1194+Summary!$B$11*V1194</f>
        <v/>
      </c>
      <c r="P1194">
        <f>IF(B1208=0,0,O1194/B1208)</f>
        <v/>
      </c>
      <c r="Q1194" t="n">
        <v>0</v>
      </c>
      <c r="R1194" t="n">
        <v>0</v>
      </c>
      <c r="S1194">
        <f>IFERROR(O1194/N1194,0)</f>
        <v/>
      </c>
      <c r="T1194" t="n">
        <v>0</v>
      </c>
      <c r="V1194" t="n">
        <v>0</v>
      </c>
    </row>
    <row r="1195">
      <c r="A1195">
        <f>Skills!A22</f>
        <v/>
      </c>
      <c r="B1195">
        <f>Skills!B22</f>
        <v/>
      </c>
      <c r="C1195">
        <f>Inputs!$B$3&gt;=75</f>
        <v/>
      </c>
      <c r="D1195">
        <f>IF(Skills!C22=1,60+Inputs!$B$25+Inputs!$B$29,IF(Skills!C22=2,90+Inputs!$B$26+Inputs!$B$29,IF(Skills!C22=3,120+Inputs!$B$27+Inputs!$B$29,MAX(0,(Inputs!$B$3-100)*3)+Inputs!$B$28+Inputs!$B$29)))</f>
        <v/>
      </c>
      <c r="E1195">
        <f>INDEX(FactorTable!$B$2:$Y$301, MATCH(ROUND(MIN(300,MAX(1,D1195)),0), FactorTable!$A$2:$A$301,0), Skills!M22+1)</f>
        <v/>
      </c>
      <c r="F1195">
        <f>IF(Skills!N22=TRUE,(Skills!L22/10)*(E1195/1000),Skills!L22/10)+Skills!O22</f>
        <v/>
      </c>
      <c r="G1195">
        <f>Skills!G22*IF(Skills!H22&gt;0,Skills!I22/Skills!H22,1)</f>
        <v/>
      </c>
      <c r="H1195">
        <f>1-(1-Skills!J22/100)^Skills!K22</f>
        <v/>
      </c>
      <c r="I1195" t="inlineStr">
        <is>
          <t>1</t>
        </is>
      </c>
      <c r="J1195" t="inlineStr"/>
      <c r="K1195" t="inlineStr"/>
      <c r="L1195" t="inlineStr"/>
      <c r="M1195" t="inlineStr"/>
      <c r="N1195" t="inlineStr"/>
      <c r="O1195">
        <f>(1-Summary!$B$11)*T1195+Summary!$B$11*V1195</f>
        <v/>
      </c>
      <c r="P1195">
        <f>IF(B1208=0,0,O1195/B1208)</f>
        <v/>
      </c>
      <c r="Q1195" t="n">
        <v>0</v>
      </c>
      <c r="R1195" t="n">
        <v>0</v>
      </c>
      <c r="S1195">
        <f>IFERROR(O1195/N1195,0)</f>
        <v/>
      </c>
      <c r="T1195" t="n">
        <v>0</v>
      </c>
      <c r="V1195" t="n">
        <v>0</v>
      </c>
    </row>
    <row r="1197">
      <c r="A1197" t="inlineStr">
        <is>
          <t>Attack% Bucket Multiplier</t>
        </is>
      </c>
      <c r="B1197">
        <f>(1+(((C1186=TRUE)*F1186)+((C1192=TRUE)*(F1192-Calc!F19))+(IF(ArtifactsInput!$M$21,CHOOSE(ArtifactsInput!$N$21+1,25,30,35,40,45,50)*(IF(OR(Inputs!$B$4="Chapter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98">
      <c r="A1198" t="inlineStr">
        <is>
          <t>Global Crit Rate Bonus %</t>
        </is>
      </c>
      <c r="B1198" t="n">
        <v>0</v>
      </c>
    </row>
    <row r="1199">
      <c r="A1199" t="inlineStr">
        <is>
          <t>Attack Speed Buff Bonus % (unused)</t>
        </is>
      </c>
      <c r="B1199" t="n">
        <v>0</v>
      </c>
    </row>
    <row r="1200">
      <c r="A1200" t="inlineStr">
        <is>
          <t>Actions Per Second</t>
        </is>
      </c>
      <c r="B1200">
        <f>1+MIN(150,150*(1-(1-(Inputs!$B$11+((C1190=TRUE)*(F1190-Calc!F17))+((C1191=TRUE)*(F1191-Calc!F18)))/150)*(1-B1199/150)))/100</f>
        <v/>
      </c>
    </row>
    <row r="1201">
      <c r="A1201" t="inlineStr">
        <is>
          <t>Skill + Buff Cast Rate</t>
        </is>
      </c>
      <c r="B1201">
        <f>IF(AND(Inputs!$B$38&lt;&gt;"pvp",Inputs!$B$43&gt;0),SUMPRODUCT((Skills!E2:E22=TRUE)*(C1175:C1195=TRUE)*R1175:R1195*Skills!F2:F22)/Inputs!$B$43,SUMPRODUCT((Skills!E2:E22=TRUE)*(C1175:C1195=TRUE)*Q1175:Q1195*Skills!F2:F22))</f>
        <v/>
      </c>
    </row>
    <row r="1202">
      <c r="A1202" t="inlineStr">
        <is>
          <t>Hook Bomber Casts Per Second</t>
        </is>
      </c>
      <c r="B1202">
        <f>MAX(0,B1200-B1201)</f>
        <v/>
      </c>
    </row>
    <row r="1203">
      <c r="A1203" t="inlineStr">
        <is>
          <t>Global Critical Damage Bonus % (unused)</t>
        </is>
      </c>
      <c r="B1203" t="n">
        <v>0</v>
      </c>
    </row>
    <row r="1204">
      <c r="A1204" t="inlineStr">
        <is>
          <t>Global Final Damage Bonus % (Serpent Scale + Crossbones + Time Leap + Speed Infusion)</t>
        </is>
      </c>
      <c r="B1204">
        <f>((C1178=TRUE)*F1178*((10+IF(Inputs!$B$3&gt;=94,5,0))/((10+IF(Inputs!$B$3&gt;=94,5,0))+5/(B1202*(1+IF(Inputs!$B$3&gt;=104,1,0))))))+((C1187=TRUE)*F1187)+((C1188=TRUE)*F1188)+((Inputs!$B$3&gt;=110)*20*(B1200-1))</f>
        <v/>
      </c>
    </row>
    <row r="1205">
      <c r="A1205" t="inlineStr">
        <is>
          <t>Buff-Casting Startup Delay (s, fixed-duration only)</t>
        </is>
      </c>
      <c r="B1205">
        <f>IF(AND(Inputs!$B$38&lt;&gt;"pvp",Inputs!$B$43&gt;0),SUMPRODUCT((Skills!T2:T22&gt;0)*(Skills!E2:E22=TRUE)*(C1175:C1195=TRUE))/B1200,0)</f>
        <v/>
      </c>
    </row>
    <row r="1206">
      <c r="A1206" t="inlineStr">
        <is>
          <t>Boss-Only Total DPS (this block's swept value)</t>
        </is>
      </c>
      <c r="B1206">
        <f>SUM(T1175:T1195)</f>
        <v/>
      </c>
    </row>
    <row r="1207">
      <c r="A1207" t="inlineStr">
        <is>
          <t>Normal-Only Total DPS (this block's swept value)</t>
        </is>
      </c>
      <c r="B1207">
        <f>SUM(V1175:V1195)</f>
        <v/>
      </c>
    </row>
    <row r="1208">
      <c r="A1208" s="6" t="inlineStr">
        <is>
          <t>TOTAL DPS</t>
        </is>
      </c>
      <c r="B1208" s="6">
        <f>SUM(O1175:O1195)</f>
        <v/>
      </c>
    </row>
    <row r="1211">
      <c r="A1211" s="6" t="inlineStr">
        <is>
          <t>Stat: Rainbow-colored Snail Shell (Equip)</t>
        </is>
      </c>
    </row>
    <row r="1212">
      <c r="A1212" s="5" t="inlineStr">
        <is>
          <t>Key</t>
        </is>
      </c>
      <c r="B1212" s="5" t="inlineStr">
        <is>
          <t>Name</t>
        </is>
      </c>
      <c r="C1212" s="5" t="inlineStr">
        <is>
          <t>Unlocked</t>
        </is>
      </c>
      <c r="D1212" s="5" t="inlineStr">
        <is>
          <t>InputLevel</t>
        </is>
      </c>
      <c r="E1212" s="5" t="inlineStr">
        <is>
          <t>Factor</t>
        </is>
      </c>
      <c r="F1212" s="5" t="inlineStr">
        <is>
          <t>CoefficientPercent</t>
        </is>
      </c>
      <c r="G1212" s="5" t="inlineStr">
        <is>
          <t>EffectiveHits</t>
        </is>
      </c>
      <c r="H1212" s="5" t="inlineStr">
        <is>
          <t>ProcProbability</t>
        </is>
      </c>
      <c r="I1212" s="5" t="inlineStr">
        <is>
          <t>MapleHeroMultiplier</t>
        </is>
      </c>
      <c r="J1212" s="5" t="inlineStr">
        <is>
          <t>BaseDamage</t>
        </is>
      </c>
      <c r="K1212" s="5" t="inlineStr">
        <is>
          <t>BaseHitDamage</t>
        </is>
      </c>
      <c r="L1212" s="5" t="inlineStr">
        <is>
          <t>NonCritAvg</t>
        </is>
      </c>
      <c r="M1212" s="5" t="inlineStr">
        <is>
          <t>CritAvg</t>
        </is>
      </c>
      <c r="N1212" s="5" t="inlineStr">
        <is>
          <t>ExpectedDamage(perHit)</t>
        </is>
      </c>
      <c r="O1212" s="5" t="inlineStr">
        <is>
          <t>DPS</t>
        </is>
      </c>
      <c r="P1212" s="5" t="inlineStr">
        <is>
          <t>% of Total</t>
        </is>
      </c>
      <c r="Q1212" s="5" t="inlineStr">
        <is>
          <t>InvCooldown</t>
        </is>
      </c>
      <c r="R1212" s="5" t="inlineStr">
        <is>
          <t>CastsInFight</t>
        </is>
      </c>
      <c r="S1212" s="5" t="inlineStr">
        <is>
          <t>HitRate(perSec)</t>
        </is>
      </c>
      <c r="U1212" t="inlineStr">
        <is>
          <t>helpers</t>
        </is>
      </c>
    </row>
    <row r="1213">
      <c r="A1213">
        <f>Skills!A2</f>
        <v/>
      </c>
      <c r="B1213">
        <f>Skills!B2</f>
        <v/>
      </c>
      <c r="C1213">
        <f>Inputs!$B$3&gt;=100</f>
        <v/>
      </c>
      <c r="D1213" t="inlineStr"/>
      <c r="E1213" t="inlineStr"/>
      <c r="F1213">
        <f>U1215+Skills!O2</f>
        <v/>
      </c>
      <c r="G1213">
        <f>Skills!G2*IF(Skills!H2&gt;0,Skills!I2/Skills!H2,1)</f>
        <v/>
      </c>
      <c r="H1213">
        <f>1-(1-Skills!J2/100)^Skills!K2</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1231=TRUE)*(F1231-Calc!F20)),(Inputs!$B$23+0+(IF(ArtifactsInput!$M$15,CHOOSE(ArtifactsInput!$N$15+1,25,30,35,40,45,50)/100*(Inputs!$B$11-Inputs!$B$11),0))))/100+(Inputs!$B$23+0+(IF(ArtifactsInput!$M$15,CHOOSE(ArtifactsInput!$N$15+1,25,30,35,40,45,50)/100*(Inputs!$B$11-Inputs!$B$11),0)))/100)/2</f>
        <v/>
      </c>
      <c r="M1213">
        <f>L1213*(1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3">
        <f>L1213*(1-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1213*(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3">
        <f>(1-Summary!$B$11)*T1213+Summary!$B$11*V1213</f>
        <v/>
      </c>
      <c r="P1213">
        <f>IF(B1246=0,0,O1213/B1246)</f>
        <v/>
      </c>
      <c r="Q1213" t="n">
        <v>0</v>
      </c>
      <c r="R1213" t="n">
        <v>0</v>
      </c>
      <c r="S1213">
        <f>IFERROR(O1213/N1213,0)</f>
        <v/>
      </c>
      <c r="T1213">
        <f>IF(C1213,(Skills!G2*N1213*B1240)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3">
        <f>MAX(0,(Inputs!$B$3-100)*3)+Inputs!$B$28+Inputs!$B$29</f>
        <v/>
      </c>
      <c r="V1213">
        <f>IF(C1213,(Skills!G2*N1213*B1240)*IF(Inputs!$B$38="pvp",1,(1+(Inputs!$B$21+Skills!Q2+(IF(ArtifactsInput!$M$33,CHOOSE(ArtifactsInput!$N$33+1,30,36,42,48,54,60),0))+(IF(AND(ArtifactsInput!$M$35,Inputs!$B$4&lt;&gt;"Chapter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Skills!A3</f>
        <v/>
      </c>
      <c r="B1214">
        <f>Skills!B3</f>
        <v/>
      </c>
      <c r="C1214">
        <f>Inputs!$B$3&gt;=35</f>
        <v/>
      </c>
      <c r="D1214">
        <f>IF(Skills!C3=1,60+Inputs!$B$25+Inputs!$B$29,IF(Skills!C3=2,90+Inputs!$B$26+Inputs!$B$29,IF(Skills!C3=3,120+Inputs!$B$27+Inputs!$B$29,MAX(0,(Inputs!$B$3-100)*3)+Inputs!$B$28+Inputs!$B$29)))</f>
        <v/>
      </c>
      <c r="E1214">
        <f>INDEX(FactorTable!$B$2:$Y$301, MATCH(ROUND(MIN(300,MAX(1,D1214)),0), FactorTable!$A$2:$A$301,0), Skills!M3+1)</f>
        <v/>
      </c>
      <c r="F1214">
        <f>IF(Skills!N3=TRUE,(Skills!L3/10)*(E1214/1000),Skills!L3/10)+Skills!O3</f>
        <v/>
      </c>
      <c r="G1214">
        <f>Skills!G3*IF(Skills!H3&gt;0,Skills!I3/Skills!H3,1)</f>
        <v/>
      </c>
      <c r="H1214">
        <f>1-(1-Skills!J3/100)^Skills!K3</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1231=TRUE)*(F1231-Calc!F20)),(Inputs!$B$23+0+(IF(ArtifactsInput!$M$15,CHOOSE(ArtifactsInput!$N$15+1,25,30,35,40,45,50)/100*(Inputs!$B$11-Inputs!$B$11),0))))/100+(Inputs!$B$23+0+(IF(ArtifactsInput!$M$15,CHOOSE(ArtifactsInput!$N$15+1,25,30,35,40,45,50)/100*(Inputs!$B$11-Inputs!$B$11),0)))/100)/2</f>
        <v/>
      </c>
      <c r="M1214">
        <f>L1214*(1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4">
        <f>L1214*(1-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1214*(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4">
        <f>(1-Summary!$B$11)*T1214+Summary!$B$11*V1214</f>
        <v/>
      </c>
      <c r="P1214">
        <f>IF(B1246=0,0,O1214/B1246)</f>
        <v/>
      </c>
      <c r="Q1214" t="n">
        <v>0</v>
      </c>
      <c r="R1214" t="n">
        <v>0</v>
      </c>
      <c r="S1214">
        <f>IFERROR(O1214/N1214,0)</f>
        <v/>
      </c>
      <c r="T1214">
        <f>IF(C1214,(Skills!G3*H1214*N1214*B1240)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4">
        <f>INDEX(FactorTable!$B$2:$Y$301, MATCH(ROUND(MIN(300,MAX(1,U1213)),0), FactorTable!$A$2:$A$301,0), 22)</f>
        <v/>
      </c>
      <c r="V1214">
        <f>IF(C1214,(Skills!G3*H1214*N1214*B1240)*IF(Inputs!$B$38="pvp",1,(1+(Inputs!$B$21+Skills!Q3+(IF(ArtifactsInput!$M$33,CHOOSE(ArtifactsInput!$N$33+1,30,36,42,48,54,60),0))+(IF(AND(ArtifactsInput!$M$35,Inputs!$B$4&lt;&gt;"Chapter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Skills!A4</f>
        <v/>
      </c>
      <c r="B1215">
        <f>Skills!B4</f>
        <v/>
      </c>
      <c r="C1215">
        <f>Inputs!$B$3&gt;=60</f>
        <v/>
      </c>
      <c r="D1215">
        <f>IF(Skills!C4=1,60+Inputs!$B$25+Inputs!$B$29,IF(Skills!C4=2,90+Inputs!$B$26+Inputs!$B$29,IF(Skills!C4=3,120+Inputs!$B$27+Inputs!$B$29,MAX(0,(Inputs!$B$3-100)*3)+Inputs!$B$28+Inputs!$B$29)))</f>
        <v/>
      </c>
      <c r="E1215">
        <f>INDEX(FactorTable!$B$2:$Y$301, MATCH(ROUND(MIN(300,MAX(1,D1215)),0), FactorTable!$A$2:$A$301,0), Skills!M4+1)</f>
        <v/>
      </c>
      <c r="F1215">
        <f>IF(Skills!N4=TRUE,(Skills!L4/10)*(E1215/1000),Skills!L4/10)+Skills!O4</f>
        <v/>
      </c>
      <c r="G1215">
        <f>Skills!G4*IF(Skills!H4&gt;0,Skills!I4/Skills!H4,1)</f>
        <v/>
      </c>
      <c r="H1215">
        <f>1-(1-Skills!J4/100)^Skills!K4</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1223=TRUE,F1223,0)/100)*(1+(IF(Skills!A4="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1231=TRUE)*(F1231-Calc!F20)),(Inputs!$B$23+0+(IF(ArtifactsInput!$M$15,CHOOSE(ArtifactsInput!$N$15+1,25,30,35,40,45,50)/100*(Inputs!$B$11-Inputs!$B$11),0))))/100+(Inputs!$B$23+0+(IF(ArtifactsInput!$M$15,CHOOSE(ArtifactsInput!$N$15+1,25,30,35,40,45,50)/100*(Inputs!$B$11-Inputs!$B$11),0)))/100)/2</f>
        <v/>
      </c>
      <c r="M1215">
        <f>L1215*(1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5">
        <f>L1215*(1-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1215*(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5">
        <f>(1-Summary!$B$11)*T1215+Summary!$B$11*V1215</f>
        <v/>
      </c>
      <c r="P1215">
        <f>IF(B1246=0,0,O1215/B1246)</f>
        <v/>
      </c>
      <c r="Q1215" t="n">
        <v>0</v>
      </c>
      <c r="R1215" t="n">
        <v>0</v>
      </c>
      <c r="S1215">
        <f>IFERROR(O1215/N1215,0)</f>
        <v/>
      </c>
      <c r="T1215">
        <f>IF(C1215,(Skills!G4*H1215*N1215*B1240)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5">
        <f>290*U1214/1000</f>
        <v/>
      </c>
      <c r="V1215">
        <f>IF(C1215,(Skills!G4*H1215*N1215*B1240)*IF(Inputs!$B$38="pvp",1,(1+(Inputs!$B$21+Skills!Q4+(IF(ArtifactsInput!$M$33,CHOOSE(ArtifactsInput!$N$33+1,30,36,42,48,54,60),0))+(IF(AND(ArtifactsInput!$M$35,Inputs!$B$4&lt;&gt;"Chapter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Skills!A5</f>
        <v/>
      </c>
      <c r="B1216">
        <f>Skills!B5</f>
        <v/>
      </c>
      <c r="C1216">
        <f>Inputs!$B$3&gt;=60</f>
        <v/>
      </c>
      <c r="D1216">
        <f>IF(Skills!C5=1,60+Inputs!$B$25+Inputs!$B$29,IF(Skills!C5=2,90+Inputs!$B$26+Inputs!$B$29,IF(Skills!C5=3,120+Inputs!$B$27+Inputs!$B$29,MAX(0,(Inputs!$B$3-100)*3)+Inputs!$B$28+Inputs!$B$29)))</f>
        <v/>
      </c>
      <c r="E1216">
        <f>INDEX(FactorTable!$B$2:$Y$301, MATCH(ROUND(MIN(300,MAX(1,D1216)),0), FactorTable!$A$2:$A$301,0), Skills!M5+1)</f>
        <v/>
      </c>
      <c r="F1216">
        <f>IF(Skills!N5=TRUE,(Skills!L5/10)*(E1216/1000),Skills!L5/10)+Skills!O5</f>
        <v/>
      </c>
      <c r="G1216">
        <f>Skills!G5*IF(Skills!H5&gt;0,Skills!I5/Skills!H5,1)</f>
        <v/>
      </c>
      <c r="H1216">
        <f>1-(1-Skills!J5/100)^Skills!K5</f>
        <v/>
      </c>
      <c r="I1216" t="inlineStr">
        <is>
          <t>1</t>
        </is>
      </c>
      <c r="J1216" t="inlineStr"/>
      <c r="K1216" t="inlineStr"/>
      <c r="L1216" t="inlineStr"/>
      <c r="M1216" t="inlineStr"/>
      <c r="N1216" t="inlineStr"/>
      <c r="O1216">
        <f>(1-Summary!$B$11)*T1216+Summary!$B$11*V1216</f>
        <v/>
      </c>
      <c r="P1216">
        <f>IF(B1246=0,0,O1216/B1246)</f>
        <v/>
      </c>
      <c r="Q1216" t="n">
        <v>0</v>
      </c>
      <c r="R1216" t="n">
        <v>0</v>
      </c>
      <c r="S1216">
        <f>IFERROR(O1216/N1216,0)</f>
        <v/>
      </c>
      <c r="T1216" t="n">
        <v>0</v>
      </c>
      <c r="V1216" t="n">
        <v>0</v>
      </c>
    </row>
    <row r="1217">
      <c r="A1217">
        <f>Skills!A6</f>
        <v/>
      </c>
      <c r="B1217">
        <f>Skills!B6</f>
        <v/>
      </c>
      <c r="C1217">
        <f>Inputs!$B$3&gt;=63</f>
        <v/>
      </c>
      <c r="D1217">
        <f>IF(Skills!C6=1,60+Inputs!$B$25+Inputs!$B$29,IF(Skills!C6=2,90+Inputs!$B$26+Inputs!$B$29,IF(Skills!C6=3,120+Inputs!$B$27+Inputs!$B$29,MAX(0,(Inputs!$B$3-100)*3)+Inputs!$B$28+Inputs!$B$29)))</f>
        <v/>
      </c>
      <c r="E1217">
        <f>INDEX(FactorTable!$B$2:$Y$301, MATCH(ROUND(MIN(300,MAX(1,D1217)),0), FactorTable!$A$2:$A$301,0), Skills!M6+1)</f>
        <v/>
      </c>
      <c r="F1217">
        <f>IF(Skills!N6=TRUE,(Skills!L6/10)*(E1217/1000),Skills!L6/10)+Skills!O6</f>
        <v/>
      </c>
      <c r="G1217">
        <f>Skills!G6*IF(Skills!H6&gt;0,Skills!I6/Skills!H6,1)</f>
        <v/>
      </c>
      <c r="H1217">
        <f>1-(1-Skills!J6/100)^Skills!K6</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1231=TRUE)*(F1231-Calc!F20)),(Inputs!$B$23+0+(IF(ArtifactsInput!$M$15,CHOOSE(ArtifactsInput!$N$15+1,25,30,35,40,45,50)/100*(Inputs!$B$11-Inputs!$B$11),0))))/100+(Inputs!$B$23+0+(IF(ArtifactsInput!$M$15,CHOOSE(ArtifactsInput!$N$15+1,25,30,35,40,45,50)/100*(Inputs!$B$11-Inputs!$B$11),0)))/100)/2</f>
        <v/>
      </c>
      <c r="M1217">
        <f>L1217*(1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7">
        <f>L1217*(1-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1217*(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7">
        <f>(1-Summary!$B$11)*T1217+Summary!$B$11*V1217</f>
        <v/>
      </c>
      <c r="P1217">
        <f>IF(B1246=0,0,O1217/B1246)</f>
        <v/>
      </c>
      <c r="Q1217">
        <f>IFERROR(1/(IF(Inputs!$B$38="pvp",15,MAX(0.1,Skills!D6-IF(Skills!E6=TRUE,Inputs!$B$32,0)))*(1-IF(AND(ArtifactsInput!$M$27,Inputs!$B$4="Chapter Hunt"),CHOOSE(ArtifactsInput!$N$27+1,20,24,28,32,36,40),0)/100)),0)</f>
        <v/>
      </c>
      <c r="R1217">
        <f>IF(AND(Inputs!$B$38&lt;&gt;"pvp",Inputs!$B$43&gt;0),IF(MAX(0,Inputs!$B$43-B1243)&lt;=0,0,(INT(MAX(0,Inputs!$B$43-B1243)/(IF(Inputs!$B$38="pvp",15,MAX(0.1,Skills!D6-IF(Skills!E6=TRUE,Inputs!$B$32,0)))*(1-IF(AND(ArtifactsInput!$M$27,Inputs!$B$4="Chapter Hunt"),CHOOSE(ArtifactsInput!$N$27+1,20,24,28,32,36,40),0)/100)))+1)),0)</f>
        <v/>
      </c>
      <c r="S1217">
        <f>IFERROR(O1217/N1217,0)</f>
        <v/>
      </c>
      <c r="T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$21+Skills!Q6+(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Skills!A7</f>
        <v/>
      </c>
      <c r="B1218">
        <f>Skills!B7</f>
        <v/>
      </c>
      <c r="C1218">
        <f>Inputs!$B$3&gt;=100</f>
        <v/>
      </c>
      <c r="D1218">
        <f>IF(Skills!C7=1,60+Inputs!$B$25+Inputs!$B$29,IF(Skills!C7=2,90+Inputs!$B$26+Inputs!$B$29,IF(Skills!C7=3,120+Inputs!$B$27+Inputs!$B$29,MAX(0,(Inputs!$B$3-100)*3)+Inputs!$B$28+Inputs!$B$29)))</f>
        <v/>
      </c>
      <c r="E1218">
        <f>INDEX(FactorTable!$B$2:$Y$301, MATCH(ROUND(MIN(300,MAX(1,D1218)),0), FactorTable!$A$2:$A$301,0), Skills!M7+1)</f>
        <v/>
      </c>
      <c r="F1218">
        <f>IF(Skills!N7=TRUE,(Skills!L7/10)*(E1218/1000),Skills!L7/10)+Skills!O7</f>
        <v/>
      </c>
      <c r="G1218">
        <f>Skills!G7*IF(Skills!H7&gt;0,Skills!I7/Skills!H7,1)</f>
        <v/>
      </c>
      <c r="H1218">
        <f>1-(1-Skills!J7/100)^Skills!K7</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1231=TRUE)*(F1231-Calc!F20)),(Inputs!$B$23+0+(IF(ArtifactsInput!$M$15,CHOOSE(ArtifactsInput!$N$15+1,25,30,35,40,45,50)/100*(Inputs!$B$11-Inputs!$B$11),0))))/100+(Inputs!$B$23+0+(IF(ArtifactsInput!$M$15,CHOOSE(ArtifactsInput!$N$15+1,25,30,35,40,45,50)/100*(Inputs!$B$11-Inputs!$B$11),0)))/100)/2</f>
        <v/>
      </c>
      <c r="M1218">
        <f>L1218*(1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8">
        <f>L1218*(1-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1218*(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8">
        <f>(1-Summary!$B$11)*T1218+Summary!$B$11*V1218</f>
        <v/>
      </c>
      <c r="P1218">
        <f>IF(B1246=0,0,O1218/B1246)</f>
        <v/>
      </c>
      <c r="Q1218">
        <f>IFERROR(1/(IF(Inputs!$B$38="pvp",15,MAX(0.1,Skills!D7-IF(Skills!E7=TRUE,Inputs!$B$32,0)))*(1-IF(AND(ArtifactsInput!$M$27,Inputs!$B$4="Chapter Hunt"),CHOOSE(ArtifactsInput!$N$27+1,20,24,28,32,36,40),0)/100)),0)</f>
        <v/>
      </c>
      <c r="R1218">
        <f>IF(AND(Inputs!$B$38&lt;&gt;"pvp",Inputs!$B$43&gt;0),IF(MAX(0,Inputs!$B$43-B1243)&lt;=0,0,(INT(MAX(0,Inputs!$B$43-B1243)/(IF(Inputs!$B$38="pvp",15,MAX(0.1,Skills!D7-IF(Skills!E7=TRUE,Inputs!$B$32,0)))*(1-IF(AND(ArtifactsInput!$M$27,Inputs!$B$4="Chapter Hunt"),CHOOSE(ArtifactsInput!$N$27+1,20,24,28,32,36,40),0)/100)))+1)),0)</f>
        <v/>
      </c>
      <c r="S1218">
        <f>IFERROR(O1218/N1218,0)</f>
        <v/>
      </c>
      <c r="T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$21+Skills!Q7+(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Skills!A8</f>
        <v/>
      </c>
      <c r="B1219">
        <f>Skills!B8</f>
        <v/>
      </c>
      <c r="C1219">
        <f>Inputs!$B$3&gt;=110</f>
        <v/>
      </c>
      <c r="D1219">
        <f>IF(Skills!C8=1,60+Inputs!$B$25+Inputs!$B$29,IF(Skills!C8=2,90+Inputs!$B$26+Inputs!$B$29,IF(Skills!C8=3,120+Inputs!$B$27+Inputs!$B$29,MAX(0,(Inputs!$B$3-100)*3)+Inputs!$B$28+Inputs!$B$29)))</f>
        <v/>
      </c>
      <c r="E1219">
        <f>INDEX(FactorTable!$B$2:$Y$301, MATCH(ROUND(MIN(300,MAX(1,D1219)),0), FactorTable!$A$2:$A$301,0), Skills!M8+1)</f>
        <v/>
      </c>
      <c r="F1219">
        <f>IF(Skills!N8=TRUE,(Skills!L8/10)*(E1219/1000),Skills!L8/10)+Skills!O8</f>
        <v/>
      </c>
      <c r="G1219">
        <f>Skills!G8*IF(Skills!H8&gt;0,Skills!I8/Skills!H8,1)</f>
        <v/>
      </c>
      <c r="H1219">
        <f>1-(1-Skills!J8/100)^Skills!K8</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1231=TRUE)*(F1231-Calc!F20)),(Inputs!$B$23+0+(IF(ArtifactsInput!$M$15,CHOOSE(ArtifactsInput!$N$15+1,25,30,35,40,45,50)/100*(Inputs!$B$11-Inputs!$B$11),0))))/100+(Inputs!$B$23+0+(IF(ArtifactsInput!$M$15,CHOOSE(ArtifactsInput!$N$15+1,25,30,35,40,45,50)/100*(Inputs!$B$11-Inputs!$B$11),0)))/100)/2</f>
        <v/>
      </c>
      <c r="M1219">
        <f>L1219*(1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9">
        <f>L1219*(1-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1219*(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9">
        <f>(1-Summary!$B$11)*T1219+Summary!$B$11*V1219</f>
        <v/>
      </c>
      <c r="P1219">
        <f>IF(B1246=0,0,O1219/B1246)</f>
        <v/>
      </c>
      <c r="Q1219">
        <f>IFERROR(1/(IF(Inputs!$B$38="pvp",15,MAX(0.1,Skills!D8-IF(Skills!E8=TRUE,Inputs!$B$32,0)))*(1-IF(AND(ArtifactsInput!$M$27,Inputs!$B$4="Chapter Hunt"),CHOOSE(ArtifactsInput!$N$27+1,20,24,28,32,36,40),0)/100)),0)</f>
        <v/>
      </c>
      <c r="R1219">
        <f>IF(AND(Inputs!$B$38&lt;&gt;"pvp",Inputs!$B$43&gt;0),IF(MAX(0,Inputs!$B$43-B1243)&lt;=0,0,(INT(MAX(0,Inputs!$B$43-B1243)/(IF(Inputs!$B$38="pvp",15,MAX(0.1,Skills!D8-IF(Skills!E8=TRUE,Inputs!$B$32,0)))*(1-IF(AND(ArtifactsInput!$M$27,Inputs!$B$4="Chapter Hunt"),CHOOSE(ArtifactsInput!$N$27+1,20,24,28,32,36,40),0)/100)))+1)),0)</f>
        <v/>
      </c>
      <c r="S1219">
        <f>IFERROR(O1219/N1219,0)</f>
        <v/>
      </c>
      <c r="T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$21+Skills!Q8+(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Skills!A9</f>
        <v/>
      </c>
      <c r="B1220">
        <f>Skills!B9</f>
        <v/>
      </c>
      <c r="C1220">
        <f>Inputs!$B$3&gt;=110</f>
        <v/>
      </c>
      <c r="D1220">
        <f>IF(Skills!C9=1,60+Inputs!$B$25+Inputs!$B$29,IF(Skills!C9=2,90+Inputs!$B$26+Inputs!$B$29,IF(Skills!C9=3,120+Inputs!$B$27+Inputs!$B$29,MAX(0,(Inputs!$B$3-100)*3)+Inputs!$B$28+Inputs!$B$29)))</f>
        <v/>
      </c>
      <c r="E1220">
        <f>INDEX(FactorTable!$B$2:$Y$301, MATCH(ROUND(MIN(300,MAX(1,D1220)),0), FactorTable!$A$2:$A$301,0), Skills!M9+1)</f>
        <v/>
      </c>
      <c r="F1220">
        <f>IF(Skills!N9=TRUE,(Skills!L9/10)*(E1220/1000),Skills!L9/10)+Skills!O9</f>
        <v/>
      </c>
      <c r="G1220">
        <f>Skills!G9*IF(Skills!H9&gt;0,Skills!I9/Skills!H9,1)</f>
        <v/>
      </c>
      <c r="H1220">
        <f>1-(1-Skills!J9/100)^Skills!K9</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1231=TRUE)*(F1231-Calc!F20)),(Inputs!$B$23+0+(IF(ArtifactsInput!$M$15,CHOOSE(ArtifactsInput!$N$15+1,25,30,35,40,45,50)/100*(Inputs!$B$11-Inputs!$B$11),0))))/100+(Inputs!$B$23+0+(IF(ArtifactsInput!$M$15,CHOOSE(ArtifactsInput!$N$15+1,25,30,35,40,45,50)/100*(Inputs!$B$11-Inputs!$B$11),0)))/100)/2</f>
        <v/>
      </c>
      <c r="M1220">
        <f>L1220*(1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0">
        <f>L1220*(1-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1220*(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0">
        <f>(1-Summary!$B$11)*T1220+Summary!$B$11*V1220</f>
        <v/>
      </c>
      <c r="P1220">
        <f>IF(B1246=0,0,O1220/B1246)</f>
        <v/>
      </c>
      <c r="Q1220">
        <f>IFERROR(1/(IF(Inputs!$B$38="pvp",15,MAX(0.1,Skills!D9-IF(Skills!E9=TRUE,Inputs!$B$32,0)))*(1-IF(AND(ArtifactsInput!$M$27,Inputs!$B$4="Chapter Hunt"),CHOOSE(ArtifactsInput!$N$27+1,20,24,28,32,36,40),0)/100)),0)</f>
        <v/>
      </c>
      <c r="R1220">
        <f>IF(AND(Inputs!$B$38&lt;&gt;"pvp",Inputs!$B$43&gt;0),IF(MAX(0,Inputs!$B$43-B1243)&lt;=0,0,(INT(MAX(0,Inputs!$B$43-B1243)/(IF(Inputs!$B$38="pvp",15,MAX(0.1,Skills!D9-IF(Skills!E9=TRUE,Inputs!$B$32,0)))*(1-IF(AND(ArtifactsInput!$M$27,Inputs!$B$4="Chapter Hunt"),CHOOSE(ArtifactsInput!$N$27+1,20,24,28,32,36,40),0)/100)))+1)),0)</f>
        <v/>
      </c>
      <c r="S1220">
        <f>IFERROR(O1220/N1220,0)</f>
        <v/>
      </c>
      <c r="T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$21+Skills!Q9+(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Skills!A10</f>
        <v/>
      </c>
      <c r="B1221">
        <f>Skills!B10</f>
        <v/>
      </c>
      <c r="C1221">
        <f>Inputs!$B$3&gt;=103</f>
        <v/>
      </c>
      <c r="D1221">
        <f>IF(Skills!C10=1,60+Inputs!$B$25+Inputs!$B$29,IF(Skills!C10=2,90+Inputs!$B$26+Inputs!$B$29,IF(Skills!C10=3,120+Inputs!$B$27+Inputs!$B$29,MAX(0,(Inputs!$B$3-100)*3)+Inputs!$B$28+Inputs!$B$29)))</f>
        <v/>
      </c>
      <c r="E1221">
        <f>INDEX(FactorTable!$B$2:$Y$301, MATCH(ROUND(MIN(300,MAX(1,D1221)),0), FactorTable!$A$2:$A$301,0), Skills!M10+1)</f>
        <v/>
      </c>
      <c r="F1221">
        <f>IF(Skills!N10=TRUE,(Skills!L10/10)*(E1221/1000),Skills!L10/10)+Skills!O10</f>
        <v/>
      </c>
      <c r="G1221">
        <f>Skills!G10*IF(Skills!H10&gt;0,Skills!I10/Skills!H10,1)</f>
        <v/>
      </c>
      <c r="H1221">
        <f>1-(1-Skills!J10/100)^Skills!K10</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1231=TRUE)*(F1231-Calc!F20)),(Inputs!$B$23+0+(IF(ArtifactsInput!$M$15,CHOOSE(ArtifactsInput!$N$15+1,25,30,35,40,45,50)/100*(Inputs!$B$11-Inputs!$B$11),0))))/100+(Inputs!$B$23+0+(IF(ArtifactsInput!$M$15,CHOOSE(ArtifactsInput!$N$15+1,25,30,35,40,45,50)/100*(Inputs!$B$11-Inputs!$B$11),0)))/100)/2</f>
        <v/>
      </c>
      <c r="M1221">
        <f>L1221*(1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1">
        <f>L1221*(1-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1">
        <f>(1-Summary!$B$11)*T1221+Summary!$B$11*V1221</f>
        <v/>
      </c>
      <c r="P1221">
        <f>IF(B1246=0,0,O1221/B1246)</f>
        <v/>
      </c>
      <c r="Q1221">
        <f>IFERROR(1/(IF(Inputs!$B$38="pvp",15,MAX(0.1,Skills!D10-IF(Skills!E10=TRUE,Inputs!$B$32,0)))*(1-IF(AND(ArtifactsInput!$M$27,Inputs!$B$4="Chapter Hunt"),CHOOSE(ArtifactsInput!$N$27+1,20,24,28,32,36,40),0)/100)),0)</f>
        <v/>
      </c>
      <c r="R1221">
        <f>IF(AND(Inputs!$B$38&lt;&gt;"pvp",Inputs!$B$43&gt;0),IF(MAX(0,Inputs!$B$43-B1243)&lt;=0,0,(INT(MAX(0,Inputs!$B$43-B1243)/(IF(Inputs!$B$38="pvp",15,MAX(0.1,Skills!D10-IF(Skills!E10=TRUE,Inputs!$B$32,0)))*(1-IF(AND(ArtifactsInput!$M$27,Inputs!$B$4="Chapter Hunt"),CHOOSE(ArtifactsInput!$N$27+1,20,24,28,32,36,40),0)/100)))+1)),0)</f>
        <v/>
      </c>
      <c r="S1221">
        <f>IFERROR(O1221/N1221,0)</f>
        <v/>
      </c>
      <c r="T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$21+Skills!Q10+(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Skills!A11</f>
        <v/>
      </c>
      <c r="B1222">
        <f>Skills!B11</f>
        <v/>
      </c>
      <c r="C1222">
        <f>Inputs!$B$3&gt;=113</f>
        <v/>
      </c>
      <c r="D1222">
        <f>IF(Skills!C11=1,60+Inputs!$B$25+Inputs!$B$29,IF(Skills!C11=2,90+Inputs!$B$26+Inputs!$B$29,IF(Skills!C11=3,120+Inputs!$B$27+Inputs!$B$29,MAX(0,(Inputs!$B$3-100)*3)+Inputs!$B$28+Inputs!$B$29)))</f>
        <v/>
      </c>
      <c r="E1222">
        <f>INDEX(FactorTable!$B$2:$Y$301, MATCH(ROUND(MIN(300,MAX(1,D1222)),0), FactorTable!$A$2:$A$301,0), Skills!M11+1)</f>
        <v/>
      </c>
      <c r="F1222">
        <f>IF(Skills!N11=TRUE,(Skills!L11/10)*(E1222/1000),Skills!L11/10)+Skills!O11</f>
        <v/>
      </c>
      <c r="G1222">
        <f>Skills!G11*IF(Skills!H11&gt;0,Skills!I11/Skills!H11,1)</f>
        <v/>
      </c>
      <c r="H1222">
        <f>1-(1-Skills!J11/100)^Skills!K11</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1231=TRUE)*(F1231-Calc!F20)),(Inputs!$B$23+0+(IF(ArtifactsInput!$M$15,CHOOSE(ArtifactsInput!$N$15+1,25,30,35,40,45,50)/100*(Inputs!$B$11-Inputs!$B$11),0))))/100+(Inputs!$B$23+0+(IF(ArtifactsInput!$M$15,CHOOSE(ArtifactsInput!$N$15+1,25,30,35,40,45,50)/100*(Inputs!$B$11-Inputs!$B$11),0)))/100)/2</f>
        <v/>
      </c>
      <c r="M1222">
        <f>L1222*(1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2">
        <f>L1222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1222*(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2">
        <f>(1-Summary!$B$11)*T1222+Summary!$B$11*V1222</f>
        <v/>
      </c>
      <c r="P1222">
        <f>IF(B1246=0,0,O1222/B1246)</f>
        <v/>
      </c>
      <c r="Q1222">
        <f>IFERROR(1/(IF(Inputs!$B$38="pvp",15,MAX(0.1,Skills!D11-IF(Skills!E11=TRUE,Inputs!$B$32,0)))*(1-IF(AND(ArtifactsInput!$M$27,Inputs!$B$4="Chapter Hunt"),CHOOSE(ArtifactsInput!$N$27+1,20,24,28,32,36,40),0)/100)),0)</f>
        <v/>
      </c>
      <c r="R1222">
        <f>IF(AND(Inputs!$B$38&lt;&gt;"pvp",Inputs!$B$43&gt;0),IF(MAX(0,Inputs!$B$43-B1243)&lt;=0,0,(INT(MAX(0,Inputs!$B$43-B1243)/(IF(Inputs!$B$38="pvp",15,MAX(0.1,Skills!D11-IF(Skills!E11=TRUE,Inputs!$B$32,0)))*(1-IF(AND(ArtifactsInput!$M$27,Inputs!$B$4="Chapter Hunt"),CHOOSE(ArtifactsInput!$N$27+1,20,24,28,32,36,40),0)/100)))+1)),0)</f>
        <v/>
      </c>
      <c r="S1222">
        <f>IFERROR(O1222/N1222,0)</f>
        <v/>
      </c>
      <c r="T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$21+Skills!Q11+(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Skills!A12</f>
        <v/>
      </c>
      <c r="B1223">
        <f>Skills!B12</f>
        <v/>
      </c>
      <c r="C1223">
        <f>Inputs!$B$3&gt;=100</f>
        <v/>
      </c>
      <c r="D1223">
        <f>IF(Skills!C12=1,60+Inputs!$B$25+Inputs!$B$29,IF(Skills!C12=2,90+Inputs!$B$26+Inputs!$B$29,IF(Skills!C12=3,120+Inputs!$B$27+Inputs!$B$29,MAX(0,(Inputs!$B$3-100)*3)+Inputs!$B$28+Inputs!$B$29)))</f>
        <v/>
      </c>
      <c r="E1223">
        <f>INDEX(FactorTable!$B$2:$Y$301, MATCH(ROUND(MIN(300,MAX(1,D1223)),0), FactorTable!$A$2:$A$301,0), Skills!M12+1)</f>
        <v/>
      </c>
      <c r="F1223">
        <f>IF(Skills!N12=TRUE,(Skills!L12/10)*(E1223/1000),Skills!L12/10)+Skills!O12</f>
        <v/>
      </c>
      <c r="G1223" t="inlineStr"/>
      <c r="H1223" t="inlineStr"/>
      <c r="I1223" t="inlineStr">
        <is>
          <t>1</t>
        </is>
      </c>
      <c r="J1223" t="inlineStr"/>
      <c r="K1223" t="inlineStr"/>
      <c r="L1223" t="inlineStr"/>
      <c r="M1223" t="inlineStr"/>
      <c r="N1223" t="inlineStr"/>
      <c r="O1223" t="inlineStr"/>
      <c r="P1223" t="inlineStr"/>
      <c r="Q1223" t="inlineStr"/>
      <c r="R1223" t="inlineStr"/>
      <c r="S1223" t="inlineStr"/>
      <c r="T1223" t="inlineStr"/>
      <c r="V1223" t="inlineStr"/>
    </row>
    <row r="1224">
      <c r="A1224">
        <f>Skills!A13</f>
        <v/>
      </c>
      <c r="B1224">
        <f>Skills!B13</f>
        <v/>
      </c>
      <c r="C1224">
        <f>Inputs!$B$3&gt;=66</f>
        <v/>
      </c>
      <c r="D1224">
        <f>IF(Skills!C13=1,60+Inputs!$B$25+Inputs!$B$29,IF(Skills!C13=2,90+Inputs!$B$26+Inputs!$B$29,IF(Skills!C13=3,120+Inputs!$B$27+Inputs!$B$29,MAX(0,(Inputs!$B$3-100)*3)+Inputs!$B$28+Inputs!$B$29)))</f>
        <v/>
      </c>
      <c r="E1224">
        <f>INDEX(FactorTable!$B$2:$Y$301, MATCH(ROUND(MIN(300,MAX(1,D1224)),0), FactorTable!$A$2:$A$301,0), Skills!M13+1)</f>
        <v/>
      </c>
      <c r="F1224">
        <f>IF(Skills!N13=TRUE,(Skills!L13/10)*(E1224/1000),Skills!L13/10)+Skills!O13</f>
        <v/>
      </c>
      <c r="G1224">
        <f>Skills!G13*IF(Skills!H13&gt;0,Skills!I13/Skills!H13,1)</f>
        <v/>
      </c>
      <c r="H1224">
        <f>1-(1-Skills!J13/100)^Skills!K13</f>
        <v/>
      </c>
      <c r="I1224" t="inlineStr">
        <is>
          <t>1</t>
        </is>
      </c>
      <c r="J1224" t="inlineStr"/>
      <c r="K1224" t="inlineStr"/>
      <c r="L1224" t="inlineStr"/>
      <c r="M1224" t="inlineStr"/>
      <c r="N1224" t="inlineStr"/>
      <c r="O1224">
        <f>(1-Summary!$B$11)*T1224+Summary!$B$11*V1224</f>
        <v/>
      </c>
      <c r="P1224">
        <f>IF(B1246=0,0,O1224/B1246)</f>
        <v/>
      </c>
      <c r="Q1224" t="n">
        <v>0</v>
      </c>
      <c r="R1224" t="n">
        <v>0</v>
      </c>
      <c r="S1224">
        <f>IFERROR(O1224/N1224,0)</f>
        <v/>
      </c>
      <c r="T1224" t="n">
        <v>0</v>
      </c>
      <c r="V1224" t="n">
        <v>0</v>
      </c>
    </row>
    <row r="1225">
      <c r="A1225">
        <f>Skills!A14</f>
        <v/>
      </c>
      <c r="B1225">
        <f>Skills!B14</f>
        <v/>
      </c>
      <c r="C1225">
        <f>Inputs!$B$3&gt;=107</f>
        <v/>
      </c>
      <c r="D1225">
        <f>IF(Skills!C14=1,60+Inputs!$B$25+Inputs!$B$29,IF(Skills!C14=2,90+Inputs!$B$26+Inputs!$B$29,IF(Skills!C14=3,120+Inputs!$B$27+Inputs!$B$29,MAX(0,(Inputs!$B$3-100)*3)+Inputs!$B$28+Inputs!$B$29)))</f>
        <v/>
      </c>
      <c r="E1225">
        <f>INDEX(FactorTable!$B$2:$Y$301, MATCH(ROUND(MIN(300,MAX(1,D1225)),0), FactorTable!$A$2:$A$301,0), Skills!M14+1)</f>
        <v/>
      </c>
      <c r="F1225">
        <f>IF(Skills!N14=TRUE,(Skills!L14/10)*(E1225/1000),Skills!L14/10)+Skills!O14</f>
        <v/>
      </c>
      <c r="G1225">
        <f>Skills!G14*IF(Skills!H14&gt;0,Skills!I14/Skills!H14,1)</f>
        <v/>
      </c>
      <c r="H1225">
        <f>1-(1-Skills!J14/100)^Skills!K14</f>
        <v/>
      </c>
      <c r="I1225" t="inlineStr">
        <is>
          <t>1</t>
        </is>
      </c>
      <c r="J1225" t="inlineStr"/>
      <c r="K1225" t="inlineStr"/>
      <c r="L1225" t="inlineStr"/>
      <c r="M1225" t="inlineStr"/>
      <c r="N1225" t="inlineStr"/>
      <c r="O1225">
        <f>(1-Summary!$B$11)*T1225+Summary!$B$11*V1225</f>
        <v/>
      </c>
      <c r="P1225">
        <f>IF(B1246=0,0,O1225/B1246)</f>
        <v/>
      </c>
      <c r="Q1225" t="n">
        <v>0</v>
      </c>
      <c r="R1225" t="n">
        <v>0</v>
      </c>
      <c r="S1225">
        <f>IFERROR(O1225/N1225,0)</f>
        <v/>
      </c>
      <c r="T1225" t="n">
        <v>0</v>
      </c>
      <c r="V1225" t="n">
        <v>0</v>
      </c>
    </row>
    <row r="1226">
      <c r="A1226">
        <f>Skills!A15</f>
        <v/>
      </c>
      <c r="B1226">
        <f>Skills!B15</f>
        <v/>
      </c>
      <c r="C1226">
        <f>Inputs!$B$3&gt;=115</f>
        <v/>
      </c>
      <c r="D1226">
        <f>IF(Skills!C15=1,60+Inputs!$B$25+Inputs!$B$29,IF(Skills!C15=2,90+Inputs!$B$26+Inputs!$B$29,IF(Skills!C15=3,120+Inputs!$B$27+Inputs!$B$29,MAX(0,(Inputs!$B$3-100)*3)+Inputs!$B$28+Inputs!$B$29)))</f>
        <v/>
      </c>
      <c r="E1226">
        <f>INDEX(FactorTable!$B$2:$Y$301, MATCH(ROUND(MIN(300,MAX(1,D1226)),0), FactorTable!$A$2:$A$301,0), Skills!M15+1)</f>
        <v/>
      </c>
      <c r="F1226">
        <f>IF(Skills!N15=TRUE,(Skills!L15/10)*(E1226/1000),Skills!L15/10)+Skills!O15</f>
        <v/>
      </c>
      <c r="G1226">
        <f>Skills!G15*IF(Skills!H15&gt;0,Skills!I15/Skills!H15,1)</f>
        <v/>
      </c>
      <c r="H1226">
        <f>1-(1-Skills!J15/100)^Skills!K15</f>
        <v/>
      </c>
      <c r="I1226" t="inlineStr">
        <is>
          <t>1</t>
        </is>
      </c>
      <c r="J1226" t="inlineStr"/>
      <c r="K1226" t="inlineStr"/>
      <c r="L1226" t="inlineStr"/>
      <c r="M1226" t="inlineStr"/>
      <c r="N1226" t="inlineStr"/>
      <c r="O1226">
        <f>(1-Summary!$B$11)*T1226+Summary!$B$11*V1226</f>
        <v/>
      </c>
      <c r="P1226">
        <f>IF(B1246=0,0,O1226/B1246)</f>
        <v/>
      </c>
      <c r="Q1226" t="n">
        <v>0</v>
      </c>
      <c r="R1226" t="n">
        <v>0</v>
      </c>
      <c r="S1226">
        <f>IFERROR(O1226/N1226,0)</f>
        <v/>
      </c>
      <c r="T1226" t="n">
        <v>0</v>
      </c>
      <c r="V1226" t="n">
        <v>0</v>
      </c>
    </row>
    <row r="1227">
      <c r="A1227">
        <f>Skills!A16</f>
        <v/>
      </c>
      <c r="B1227">
        <f>Skills!B16</f>
        <v/>
      </c>
      <c r="C1227">
        <f>Inputs!$B$3&gt;=15</f>
        <v/>
      </c>
      <c r="D1227">
        <f>IF(Skills!C16=1,60+Inputs!$B$25+Inputs!$B$29,IF(Skills!C16=2,90+Inputs!$B$26+Inputs!$B$29,IF(Skills!C16=3,120+Inputs!$B$27+Inputs!$B$29,MAX(0,(Inputs!$B$3-100)*3)+Inputs!$B$28+Inputs!$B$29)))</f>
        <v/>
      </c>
      <c r="E1227">
        <f>INDEX(FactorTable!$B$2:$Y$301, MATCH(ROUND(MIN(300,MAX(1,D1227)),0), FactorTable!$A$2:$A$301,0), Skills!M16+1)</f>
        <v/>
      </c>
      <c r="F1227">
        <f>IF(Skills!N16=TRUE,(Skills!L16/10)*(E1227/1000),Skills!L16/10)+Skills!O16</f>
        <v/>
      </c>
      <c r="G1227">
        <f>Skills!G16*IF(Skills!H16&gt;0,Skills!I16/Skills!H16,1)</f>
        <v/>
      </c>
      <c r="H1227">
        <f>1-(1-Skills!J16/100)^Skills!K16</f>
        <v/>
      </c>
      <c r="I1227" t="inlineStr">
        <is>
          <t>1</t>
        </is>
      </c>
      <c r="J1227" t="inlineStr"/>
      <c r="K1227" t="inlineStr"/>
      <c r="L1227" t="inlineStr"/>
      <c r="M1227" t="inlineStr"/>
      <c r="N1227" t="inlineStr"/>
      <c r="O1227">
        <f>(1-Summary!$B$11)*T1227+Summary!$B$11*V1227</f>
        <v/>
      </c>
      <c r="P1227">
        <f>IF(B1246=0,0,O1227/B1246)</f>
        <v/>
      </c>
      <c r="Q1227" t="n">
        <v>0</v>
      </c>
      <c r="R1227" t="n">
        <v>0</v>
      </c>
      <c r="S1227">
        <f>IFERROR(O1227/N1227,0)</f>
        <v/>
      </c>
      <c r="T1227" t="n">
        <v>0</v>
      </c>
      <c r="V1227" t="n">
        <v>0</v>
      </c>
    </row>
    <row r="1228">
      <c r="A1228">
        <f>Skills!A17</f>
        <v/>
      </c>
      <c r="B1228">
        <f>Skills!B17</f>
        <v/>
      </c>
      <c r="C1228">
        <f>Inputs!$B$3&gt;=10</f>
        <v/>
      </c>
      <c r="D1228">
        <f>IF(Skills!C17=1,60+Inputs!$B$25+Inputs!$B$29,IF(Skills!C17=2,90+Inputs!$B$26+Inputs!$B$29,IF(Skills!C17=3,120+Inputs!$B$27+Inputs!$B$29,MAX(0,(Inputs!$B$3-100)*3)+Inputs!$B$28+Inputs!$B$29)))</f>
        <v/>
      </c>
      <c r="E1228">
        <f>INDEX(FactorTable!$B$2:$Y$301, MATCH(ROUND(MIN(300,MAX(1,D1228)),0), FactorTable!$A$2:$A$301,0), Skills!M17+1)</f>
        <v/>
      </c>
      <c r="F1228">
        <f>IF(Skills!N17=TRUE,(Skills!L17/10)*(E1228/1000),Skills!L17/10)+Skills!O17</f>
        <v/>
      </c>
      <c r="G1228">
        <f>Skills!G17*IF(Skills!H17&gt;0,Skills!I17/Skills!H17,1)</f>
        <v/>
      </c>
      <c r="H1228">
        <f>1-(1-Skills!J17/100)^Skills!K17</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Skills!A18</f>
        <v/>
      </c>
      <c r="B1229">
        <f>Skills!B18</f>
        <v/>
      </c>
      <c r="C1229">
        <f>Inputs!$B$3&gt;=33</f>
        <v/>
      </c>
      <c r="D1229">
        <f>IF(Skills!C18=1,60+Inputs!$B$25+Inputs!$B$29,IF(Skills!C18=2,90+Inputs!$B$26+Inputs!$B$29,IF(Skills!C18=3,120+Inputs!$B$27+Inputs!$B$29,MAX(0,(Inputs!$B$3-100)*3)+Inputs!$B$28+Inputs!$B$29)))</f>
        <v/>
      </c>
      <c r="E1229">
        <f>INDEX(FactorTable!$B$2:$Y$301, MATCH(ROUND(MIN(300,MAX(1,D1229)),0), FactorTable!$A$2:$A$301,0), Skills!M18+1)</f>
        <v/>
      </c>
      <c r="F1229">
        <f>IF(Skills!N18=TRUE,(Skills!L18/10)*(E1229/1000),Skills!L18/10)+Skills!O18</f>
        <v/>
      </c>
      <c r="G1229">
        <f>Skills!G18*IF(Skills!H18&gt;0,Skills!I18/Skills!H18,1)</f>
        <v/>
      </c>
      <c r="H1229">
        <f>1-(1-Skills!J18/100)^Skills!K18</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Skills!A19</f>
        <v/>
      </c>
      <c r="B1230">
        <f>Skills!B19</f>
        <v/>
      </c>
      <c r="C1230">
        <f>Inputs!$B$3&gt;=40</f>
        <v/>
      </c>
      <c r="D1230">
        <f>IF(Skills!C19=1,60+Inputs!$B$25+Inputs!$B$29,IF(Skills!C19=2,90+Inputs!$B$26+Inputs!$B$29,IF(Skills!C19=3,120+Inputs!$B$27+Inputs!$B$29,MAX(0,(Inputs!$B$3-100)*3)+Inputs!$B$28+Inputs!$B$29)))</f>
        <v/>
      </c>
      <c r="E1230">
        <f>INDEX(FactorTable!$B$2:$Y$301, MATCH(ROUND(MIN(300,MAX(1,D1230)),0), FactorTable!$A$2:$A$301,0), Skills!M19+1)</f>
        <v/>
      </c>
      <c r="F1230">
        <f>IF(Skills!N19=TRUE,(Skills!L19/10)*(E1230/1000),Skills!L19/10)+Skills!O19</f>
        <v/>
      </c>
      <c r="G1230">
        <f>Skills!G19*IF(Skills!H19&gt;0,Skills!I19/Skills!H19,1)</f>
        <v/>
      </c>
      <c r="H1230">
        <f>1-(1-Skills!J19/100)^Skills!K19</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Skills!A20</f>
        <v/>
      </c>
      <c r="B1231">
        <f>Skills!B20</f>
        <v/>
      </c>
      <c r="C1231">
        <f>Inputs!$B$3&gt;=43</f>
        <v/>
      </c>
      <c r="D1231">
        <f>IF(Skills!C20=1,60+Inputs!$B$25+Inputs!$B$29,IF(Skills!C20=2,90+Inputs!$B$26+Inputs!$B$29,IF(Skills!C20=3,120+Inputs!$B$27+Inputs!$B$29,MAX(0,(Inputs!$B$3-100)*3)+Inputs!$B$28+Inputs!$B$29)))</f>
        <v/>
      </c>
      <c r="E1231">
        <f>INDEX(FactorTable!$B$2:$Y$301, MATCH(ROUND(MIN(300,MAX(1,D1231)),0), FactorTable!$A$2:$A$301,0), Skills!M20+1)</f>
        <v/>
      </c>
      <c r="F1231">
        <f>IF(Skills!N20=TRUE,(Skills!L20/10)*(E1231/1000),Skills!L20/10)+Skills!O20</f>
        <v/>
      </c>
      <c r="G1231">
        <f>Skills!G20*IF(Skills!H20&gt;0,Skills!I20/Skills!H20,1)</f>
        <v/>
      </c>
      <c r="H1231">
        <f>1-(1-Skills!J20/100)^Skills!K20</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Skills!A21</f>
        <v/>
      </c>
      <c r="B1232">
        <f>Skills!B21</f>
        <v/>
      </c>
      <c r="C1232">
        <f>Inputs!$B$3&gt;=38</f>
        <v/>
      </c>
      <c r="D1232">
        <f>IF(Skills!C21=1,60+Inputs!$B$25+Inputs!$B$29,IF(Skills!C21=2,90+Inputs!$B$26+Inputs!$B$29,IF(Skills!C21=3,120+Inputs!$B$27+Inputs!$B$29,MAX(0,(Inputs!$B$3-100)*3)+Inputs!$B$28+Inputs!$B$29)))</f>
        <v/>
      </c>
      <c r="E1232">
        <f>INDEX(FactorTable!$B$2:$Y$301, MATCH(ROUND(MIN(300,MAX(1,D1232)),0), FactorTable!$A$2:$A$301,0), Skills!M21+1)</f>
        <v/>
      </c>
      <c r="F1232">
        <f>IF(Skills!N21=TRUE,(Skills!L21/10)*(E1232/1000),Skills!L21/10)+Skills!O21</f>
        <v/>
      </c>
      <c r="G1232">
        <f>Skills!G21*IF(Skills!H21&gt;0,Skills!I21/Skills!H21,1)</f>
        <v/>
      </c>
      <c r="H1232">
        <f>1-(1-Skills!J21/100)^Skills!K21</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Skills!A22</f>
        <v/>
      </c>
      <c r="B1233">
        <f>Skills!B22</f>
        <v/>
      </c>
      <c r="C1233">
        <f>Inputs!$B$3&gt;=75</f>
        <v/>
      </c>
      <c r="D1233">
        <f>IF(Skills!C22=1,60+Inputs!$B$25+Inputs!$B$29,IF(Skills!C22=2,90+Inputs!$B$26+Inputs!$B$29,IF(Skills!C22=3,120+Inputs!$B$27+Inputs!$B$29,MAX(0,(Inputs!$B$3-100)*3)+Inputs!$B$28+Inputs!$B$29)))</f>
        <v/>
      </c>
      <c r="E1233">
        <f>INDEX(FactorTable!$B$2:$Y$301, MATCH(ROUND(MIN(300,MAX(1,D1233)),0), FactorTable!$A$2:$A$301,0), Skills!M22+1)</f>
        <v/>
      </c>
      <c r="F1233">
        <f>IF(Skills!N22=TRUE,(Skills!L22/10)*(E1233/1000),Skills!L22/10)+Skills!O22</f>
        <v/>
      </c>
      <c r="G1233">
        <f>Skills!G22*IF(Skills!H22&gt;0,Skills!I22/Skills!H22,1)</f>
        <v/>
      </c>
      <c r="H1233">
        <f>1-(1-Skills!J22/100)^Skills!K22</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6">
      <c r="A1236" t="inlineStr">
        <is>
          <t>Global Crit Rate Bonus %</t>
        </is>
      </c>
      <c r="B1236" t="n">
        <v>0</v>
      </c>
    </row>
    <row r="1237">
      <c r="A1237" t="inlineStr">
        <is>
          <t>Attack Speed Buff Bonus % (unused)</t>
        </is>
      </c>
      <c r="B1237" t="n">
        <v>0</v>
      </c>
    </row>
    <row r="1238">
      <c r="A1238" t="inlineStr">
        <is>
          <t>Actions Per Second</t>
        </is>
      </c>
      <c r="B1238">
        <f>1+MIN(150,150*(1-(1-(Inputs!$B$11+((C1228=TRUE)*(F1228-Calc!F17))+((C1229=TRUE)*(F1229-Calc!F18)))/150)*(1-B1237/150)))/100</f>
        <v/>
      </c>
    </row>
    <row r="1239">
      <c r="A1239" t="inlineStr">
        <is>
          <t>Skill + Buff Cast Rate</t>
        </is>
      </c>
      <c r="B1239">
        <f>IF(AND(Inputs!$B$38&lt;&gt;"pvp",Inputs!$B$43&gt;0),SUMPRODUCT((Skills!E2:E22=TRUE)*(C1213:C1233=TRUE)*R1213:R1233*Skills!F2:F22)/Inputs!$B$43,SUMPRODUCT((Skills!E2:E22=TRUE)*(C1213:C1233=TRUE)*Q1213:Q1233*Skills!F2:F22))</f>
        <v/>
      </c>
    </row>
    <row r="1240">
      <c r="A1240" t="inlineStr">
        <is>
          <t>Hook Bomber Casts Per Second</t>
        </is>
      </c>
      <c r="B1240">
        <f>MAX(0,B1238-B1239)</f>
        <v/>
      </c>
    </row>
    <row r="1241">
      <c r="A1241" t="inlineStr">
        <is>
          <t>Global Critical Damage Bonus % (unused)</t>
        </is>
      </c>
      <c r="B1241" t="n">
        <v>0</v>
      </c>
    </row>
    <row r="1242">
      <c r="A1242" t="inlineStr">
        <is>
          <t>Global Final Damage Bonus % (Serpent Scale + Crossbones + Time Leap + Speed Infusion)</t>
        </is>
      </c>
      <c r="B1242">
        <f>((C1216=TRUE)*F1216*((10+IF(Inputs!$B$3&gt;=94,5,0))/((10+IF(Inputs!$B$3&gt;=94,5,0))+5/(B1240*(1+IF(Inputs!$B$3&gt;=104,1,0))))))+((C1225=TRUE)*F1225)+((C1226=TRUE)*F1226)+((Inputs!$B$3&gt;=110)*20*(B1238-1))</f>
        <v/>
      </c>
    </row>
    <row r="1243">
      <c r="A1243" t="inlineStr">
        <is>
          <t>Buff-Casting Startup Delay (s, fixed-duration only)</t>
        </is>
      </c>
      <c r="B1243">
        <f>IF(AND(Inputs!$B$38&lt;&gt;"pvp",Inputs!$B$43&gt;0),SUMPRODUCT((Skills!T2:T22&gt;0)*(Skills!E2:E22=TRUE)*(C1213:C1233=TRUE))/B1238,0)</f>
        <v/>
      </c>
    </row>
    <row r="1244">
      <c r="A1244" t="inlineStr">
        <is>
          <t>Boss-Only Total DPS (this block's swept value)</t>
        </is>
      </c>
      <c r="B1244">
        <f>SUM(T1213:T1233)</f>
        <v/>
      </c>
    </row>
    <row r="1245">
      <c r="A1245" t="inlineStr">
        <is>
          <t>Normal-Only Total DPS (this block's swept value)</t>
        </is>
      </c>
      <c r="B1245">
        <f>SUM(V1213:V1233)</f>
        <v/>
      </c>
    </row>
    <row r="1246">
      <c r="A1246" s="6" t="inlineStr">
        <is>
          <t>TOTAL DPS</t>
        </is>
      </c>
      <c r="B1246" s="6">
        <f>SUM(O1213:O1233)</f>
        <v/>
      </c>
    </row>
    <row r="1249">
      <c r="A1249" s="6" t="inlineStr">
        <is>
          <t>Stat: Hexagon Necklace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1269=TRUE)*(F1269-Calc!F20)),(Inputs!$B$23+0+(IF(ArtifactsInput!$M$15,CHOOSE(ArtifactsInput!$N$15+1,25,30,35,40,45,50)/100*(Inputs!$B$11-Inputs!$B$11),0))))/100+(Inputs!$B$23+0+(IF(ArtifactsInput!$M$15,CHOOSE(ArtifactsInput!$N$15+1,25,30,35,40,45,50)/100*(Inputs!$B$11-Inputs!$B$11),0)))/100)/2</f>
        <v/>
      </c>
      <c r="M1251">
        <f>L1251*(1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IF(B1284=0,0,O1251/B1284)</f>
        <v/>
      </c>
      <c r="Q1251" t="n">
        <v>0</v>
      </c>
      <c r="R1251" t="n">
        <v>0</v>
      </c>
      <c r="S1251">
        <f>IFERROR(O1251/N1251,0)</f>
        <v/>
      </c>
      <c r="T1251">
        <f>IF(C1251,(Skills!G2*N1251*B1278)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MAX(0,(Inputs!$B$3-100)*3)+Inputs!$B$28+Inputs!$B$29</f>
        <v/>
      </c>
      <c r="V1251">
        <f>IF(C1251,(Skills!G2*N1251*B1278)*IF(Inputs!$B$38="pvp",1,(1+(Inputs!$B$21+Skills!Q2+(IF(ArtifactsInput!$M$33,CHOOSE(ArtifactsInput!$N$33+1,30,36,42,48,54,60),0))+(IF(AND(ArtifactsInput!$M$35,Inputs!$B$4&lt;&gt;"Chapter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Skills!A3</f>
        <v/>
      </c>
      <c r="B1252">
        <f>Skills!B3</f>
        <v/>
      </c>
      <c r="C1252">
        <f>Inputs!$B$3&gt;=35</f>
        <v/>
      </c>
      <c r="D1252">
        <f>IF(Skills!C3=1,60+Inputs!$B$25+Inputs!$B$29,IF(Skills!C3=2,90+Inputs!$B$26+Inputs!$B$29,IF(Skills!C3=3,120+Inputs!$B$27+Inputs!$B$29,MAX(0,(Inputs!$B$3-100)*3)+Inputs!$B$28+Inputs!$B$29)))</f>
        <v/>
      </c>
      <c r="E1252">
        <f>INDEX(FactorTable!$B$2:$Y$301, MATCH(ROUND(MIN(300,MAX(1,D1252)),0), FactorTable!$A$2:$A$301,0), Skills!M3+1)</f>
        <v/>
      </c>
      <c r="F1252">
        <f>IF(Skills!N3=TRUE,(Skills!L3/10)*(E1252/1000),Skills!L3/10)+Skills!O3</f>
        <v/>
      </c>
      <c r="G1252">
        <f>Skills!G3*IF(Skills!H3&gt;0,Skills!I3/Skills!H3,1)</f>
        <v/>
      </c>
      <c r="H1252">
        <f>1-(1-Skills!J3/100)^Skills!K3</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1269=TRUE)*(F1269-Calc!F20)),(Inputs!$B$23+0+(IF(ArtifactsInput!$M$15,CHOOSE(ArtifactsInput!$N$15+1,25,30,35,40,45,50)/100*(Inputs!$B$11-Inputs!$B$11),0))))/100+(Inputs!$B$23+0+(IF(ArtifactsInput!$M$15,CHOOSE(ArtifactsInput!$N$15+1,25,30,35,40,45,50)/100*(Inputs!$B$11-Inputs!$B$11),0)))/100)/2</f>
        <v/>
      </c>
      <c r="M1252">
        <f>L1252*(1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IF(B1284=0,0,O1252/B1284)</f>
        <v/>
      </c>
      <c r="Q1252" t="n">
        <v>0</v>
      </c>
      <c r="R1252" t="n">
        <v>0</v>
      </c>
      <c r="S1252">
        <f>IFERROR(O1252/N1252,0)</f>
        <v/>
      </c>
      <c r="T1252">
        <f>IF(C1252,(Skills!G3*H1252*N1252*B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2">
        <f>INDEX(FactorTable!$B$2:$Y$301, MATCH(ROUND(MIN(300,MAX(1,U1251)),0), FactorTable!$A$2:$A$301,0), 22)</f>
        <v/>
      </c>
      <c r="V1252">
        <f>IF(C1252,(Skills!G3*H1252*N1252*B1278)*IF(Inputs!$B$38="pvp",1,(1+(Inputs!$B$21+Skills!Q3+(IF(ArtifactsInput!$M$33,CHOOSE(ArtifactsInput!$N$33+1,30,36,42,48,54,60),0))+(IF(AND(ArtifactsInput!$M$35,Inputs!$B$4&lt;&gt;"Chapter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Skills!A4</f>
        <v/>
      </c>
      <c r="B1253">
        <f>Skills!B4</f>
        <v/>
      </c>
      <c r="C1253">
        <f>Inputs!$B$3&gt;=60</f>
        <v/>
      </c>
      <c r="D1253">
        <f>IF(Skills!C4=1,60+Inputs!$B$25+Inputs!$B$29,IF(Skills!C4=2,90+Inputs!$B$26+Inputs!$B$29,IF(Skills!C4=3,120+Inputs!$B$27+Inputs!$B$29,MAX(0,(Inputs!$B$3-100)*3)+Inputs!$B$28+Inputs!$B$29)))</f>
        <v/>
      </c>
      <c r="E1253">
        <f>INDEX(FactorTable!$B$2:$Y$301, MATCH(ROUND(MIN(300,MAX(1,D1253)),0), FactorTable!$A$2:$A$301,0), Skills!M4+1)</f>
        <v/>
      </c>
      <c r="F1253">
        <f>IF(Skills!N4=TRUE,(Skills!L4/10)*(E1253/1000),Skills!L4/10)+Skills!O4</f>
        <v/>
      </c>
      <c r="G1253">
        <f>Skills!G4*IF(Skills!H4&gt;0,Skills!I4/Skills!H4,1)</f>
        <v/>
      </c>
      <c r="H1253">
        <f>1-(1-Skills!J4/100)^Skills!K4</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1261=TRUE,F1261,0)/100)*(1+(IF(Skills!A4="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1269=TRUE)*(F1269-Calc!F20)),(Inputs!$B$23+0+(IF(ArtifactsInput!$M$15,CHOOSE(ArtifactsInput!$N$15+1,25,30,35,40,45,50)/100*(Inputs!$B$11-Inputs!$B$11),0))))/100+(Inputs!$B$23+0+(IF(ArtifactsInput!$M$15,CHOOSE(ArtifactsInput!$N$15+1,25,30,35,40,45,50)/100*(Inputs!$B$11-Inputs!$B$11),0)))/100)/2</f>
        <v/>
      </c>
      <c r="M1253">
        <f>L1253*(1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IF(B1284=0,0,O1253/B1284)</f>
        <v/>
      </c>
      <c r="Q1253" t="n">
        <v>0</v>
      </c>
      <c r="R1253" t="n">
        <v>0</v>
      </c>
      <c r="S1253">
        <f>IFERROR(O1253/N1253,0)</f>
        <v/>
      </c>
      <c r="T1253">
        <f>IF(C1253,(Skills!G4*H1253*N1253*B1278)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3">
        <f>290*U1252/1000</f>
        <v/>
      </c>
      <c r="V1253">
        <f>IF(C1253,(Skills!G4*H1253*N1253*B1278)*IF(Inputs!$B$38="pvp",1,(1+(Inputs!$B$21+Skills!Q4+(IF(ArtifactsInput!$M$33,CHOOSE(ArtifactsInput!$N$33+1,30,36,42,48,54,60),0))+(IF(AND(ArtifactsInput!$M$35,Inputs!$B$4&lt;&gt;"Chapter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Skills!A5</f>
        <v/>
      </c>
      <c r="B1254">
        <f>Skills!B5</f>
        <v/>
      </c>
      <c r="C1254">
        <f>Inputs!$B$3&gt;=60</f>
        <v/>
      </c>
      <c r="D1254">
        <f>IF(Skills!C5=1,60+Inputs!$B$25+Inputs!$B$29,IF(Skills!C5=2,90+Inputs!$B$26+Inputs!$B$29,IF(Skills!C5=3,120+Inputs!$B$27+Inputs!$B$29,MAX(0,(Inputs!$B$3-100)*3)+Inputs!$B$28+Inputs!$B$29)))</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t="inlineStr"/>
      <c r="K1254" t="inlineStr"/>
      <c r="L1254" t="inlineStr"/>
      <c r="M1254" t="inlineStr"/>
      <c r="N1254" t="inlineStr"/>
      <c r="O1254">
        <f>(1-Summary!$B$11)*T1254+Summary!$B$11*V1254</f>
        <v/>
      </c>
      <c r="P1254">
        <f>IF(B1284=0,0,O1254/B1284)</f>
        <v/>
      </c>
      <c r="Q1254" t="n">
        <v>0</v>
      </c>
      <c r="R1254" t="n">
        <v>0</v>
      </c>
      <c r="S1254">
        <f>IFERROR(O1254/N1254,0)</f>
        <v/>
      </c>
      <c r="T1254" t="n">
        <v>0</v>
      </c>
      <c r="V1254" t="n">
        <v>0</v>
      </c>
    </row>
    <row r="1255">
      <c r="A1255">
        <f>Skills!A6</f>
        <v/>
      </c>
      <c r="B1255">
        <f>Skills!B6</f>
        <v/>
      </c>
      <c r="C1255">
        <f>Inputs!$B$3&gt;=63</f>
        <v/>
      </c>
      <c r="D1255">
        <f>IF(Skills!C6=1,60+Inputs!$B$25+Inputs!$B$29,IF(Skills!C6=2,90+Inputs!$B$26+Inputs!$B$29,IF(Skills!C6=3,120+Inputs!$B$27+Inputs!$B$29,MAX(0,(Inputs!$B$3-100)*3)+Inputs!$B$28+Inputs!$B$29)))</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1269=TRUE)*(F1269-Calc!F20)),(Inputs!$B$23+0+(IF(ArtifactsInput!$M$15,CHOOSE(ArtifactsInput!$N$15+1,25,30,35,40,45,50)/100*(Inputs!$B$11-Inputs!$B$11),0))))/100+(Inputs!$B$23+0+(IF(ArtifactsInput!$M$15,CHOOSE(ArtifactsInput!$N$15+1,25,30,35,40,45,50)/100*(Inputs!$B$11-Inputs!$B$11),0)))/100)/2</f>
        <v/>
      </c>
      <c r="M1255">
        <f>L1255*(1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IF(B1284=0,0,O1255/B1284)</f>
        <v/>
      </c>
      <c r="Q1255">
        <f>IFERROR(1/(IF(Inputs!$B$38="pvp",15,MAX(0.1,Skills!D6-IF(Skills!E6=TRUE,Inputs!$B$32,0)))*(1-IF(AND(ArtifactsInput!$M$27,Inputs!$B$4="Chapter Hunt"),CHOOSE(ArtifactsInput!$N$27+1,20,24,28,32,36,40),0)/100)),0)</f>
        <v/>
      </c>
      <c r="R1255">
        <f>IF(AND(Inputs!$B$38&lt;&gt;"pvp",Inputs!$B$43&gt;0),IF(MAX(0,Inputs!$B$43-B1281)&lt;=0,0,(INT(MAX(0,Inputs!$B$43-B1281)/(IF(Inputs!$B$38="pvp",15,MAX(0.1,Skills!D6-IF(Skills!E6=TRUE,Inputs!$B$32,0)))*(1-IF(AND(ArtifactsInput!$M$27,Inputs!$B$4="Chapter Hunt"),CHOOSE(ArtifactsInput!$N$27+1,20,24,28,32,36,40),0)/100)))+1)),0)</f>
        <v/>
      </c>
      <c r="S1255">
        <f>IFERROR(O1255/N1255,0)</f>
        <v/>
      </c>
      <c r="T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$21+Skills!Q6+(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Skills!A7</f>
        <v/>
      </c>
      <c r="B1256">
        <f>Skills!B7</f>
        <v/>
      </c>
      <c r="C1256">
        <f>Inputs!$B$3&gt;=100</f>
        <v/>
      </c>
      <c r="D1256">
        <f>IF(Skills!C7=1,60+Inputs!$B$25+Inputs!$B$29,IF(Skills!C7=2,90+Inputs!$B$26+Inputs!$B$29,IF(Skills!C7=3,120+Inputs!$B$27+Inputs!$B$29,MAX(0,(Inputs!$B$3-100)*3)+Inputs!$B$28+Inputs!$B$29)))</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1269=TRUE)*(F1269-Calc!F20)),(Inputs!$B$23+0+(IF(ArtifactsInput!$M$15,CHOOSE(ArtifactsInput!$N$15+1,25,30,35,40,45,50)/100*(Inputs!$B$11-Inputs!$B$11),0))))/100+(Inputs!$B$23+0+(IF(ArtifactsInput!$M$15,CHOOSE(ArtifactsInput!$N$15+1,25,30,35,40,45,50)/100*(Inputs!$B$11-Inputs!$B$11),0)))/100)/2</f>
        <v/>
      </c>
      <c r="M1256">
        <f>L1256*(1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IF(B1284=0,0,O1256/B1284)</f>
        <v/>
      </c>
      <c r="Q1256">
        <f>IFERROR(1/(IF(Inputs!$B$38="pvp",15,MAX(0.1,Skills!D7-IF(Skills!E7=TRUE,Inputs!$B$32,0)))*(1-IF(AND(ArtifactsInput!$M$27,Inputs!$B$4="Chapter Hunt"),CHOOSE(ArtifactsInput!$N$27+1,20,24,28,32,36,40),0)/100)),0)</f>
        <v/>
      </c>
      <c r="R1256">
        <f>IF(AND(Inputs!$B$38&lt;&gt;"pvp",Inputs!$B$43&gt;0),IF(MAX(0,Inputs!$B$43-B1281)&lt;=0,0,(INT(MAX(0,Inputs!$B$43-B1281)/(IF(Inputs!$B$38="pvp",15,MAX(0.1,Skills!D7-IF(Skills!E7=TRUE,Inputs!$B$32,0)))*(1-IF(AND(ArtifactsInput!$M$27,Inputs!$B$4="Chapter Hunt"),CHOOSE(ArtifactsInput!$N$27+1,20,24,28,32,36,40),0)/100)))+1)),0)</f>
        <v/>
      </c>
      <c r="S1256">
        <f>IFERROR(O1256/N1256,0)</f>
        <v/>
      </c>
      <c r="T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$21+Skills!Q7+(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Skills!A8</f>
        <v/>
      </c>
      <c r="B1257">
        <f>Skills!B8</f>
        <v/>
      </c>
      <c r="C1257">
        <f>Inputs!$B$3&gt;=110</f>
        <v/>
      </c>
      <c r="D1257">
        <f>IF(Skills!C8=1,60+Inputs!$B$25+Inputs!$B$29,IF(Skills!C8=2,90+Inputs!$B$26+Inputs!$B$29,IF(Skills!C8=3,120+Inputs!$B$27+Inputs!$B$29,MAX(0,(Inputs!$B$3-100)*3)+Inputs!$B$28+Inputs!$B$29)))</f>
        <v/>
      </c>
      <c r="E1257">
        <f>INDEX(FactorTable!$B$2:$Y$301, MATCH(ROUND(MIN(300,MAX(1,D1257)),0), FactorTable!$A$2:$A$301,0), Skills!M8+1)</f>
        <v/>
      </c>
      <c r="F1257">
        <f>IF(Skills!N8=TRUE,(Skills!L8/10)*(E1257/1000),Skills!L8/10)+Skills!O8</f>
        <v/>
      </c>
      <c r="G1257">
        <f>Skills!G8*IF(Skills!H8&gt;0,Skills!I8/Skills!H8,1)</f>
        <v/>
      </c>
      <c r="H1257">
        <f>1-(1-Skills!J8/100)^Skills!K8</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1269=TRUE)*(F1269-Calc!F20)),(Inputs!$B$23+0+(IF(ArtifactsInput!$M$15,CHOOSE(ArtifactsInput!$N$15+1,25,30,35,40,45,50)/100*(Inputs!$B$11-Inputs!$B$11),0))))/100+(Inputs!$B$23+0+(IF(ArtifactsInput!$M$15,CHOOSE(ArtifactsInput!$N$15+1,25,30,35,40,45,50)/100*(Inputs!$B$11-Inputs!$B$11),0)))/100)/2</f>
        <v/>
      </c>
      <c r="M1257">
        <f>L1257*(1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IF(B1284=0,0,O1257/B1284)</f>
        <v/>
      </c>
      <c r="Q1257">
        <f>IFERROR(1/(IF(Inputs!$B$38="pvp",15,MAX(0.1,Skills!D8-IF(Skills!E8=TRUE,Inputs!$B$32,0)))*(1-IF(AND(ArtifactsInput!$M$27,Inputs!$B$4="Chapter Hunt"),CHOOSE(ArtifactsInput!$N$27+1,20,24,28,32,36,40),0)/100)),0)</f>
        <v/>
      </c>
      <c r="R1257">
        <f>IF(AND(Inputs!$B$38&lt;&gt;"pvp",Inputs!$B$43&gt;0),IF(MAX(0,Inputs!$B$43-B1281)&lt;=0,0,(INT(MAX(0,Inputs!$B$43-B1281)/(IF(Inputs!$B$38="pvp",15,MAX(0.1,Skills!D8-IF(Skills!E8=TRUE,Inputs!$B$32,0)))*(1-IF(AND(ArtifactsInput!$M$27,Inputs!$B$4="Chapter Hunt"),CHOOSE(ArtifactsInput!$N$27+1,20,24,28,32,36,40),0)/100)))+1)),0)</f>
        <v/>
      </c>
      <c r="S1257">
        <f>IFERROR(O1257/N1257,0)</f>
        <v/>
      </c>
      <c r="T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$21+Skills!Q8+(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Skills!A9</f>
        <v/>
      </c>
      <c r="B1258">
        <f>Skills!B9</f>
        <v/>
      </c>
      <c r="C1258">
        <f>Inputs!$B$3&gt;=110</f>
        <v/>
      </c>
      <c r="D1258">
        <f>IF(Skills!C9=1,60+Inputs!$B$25+Inputs!$B$29,IF(Skills!C9=2,90+Inputs!$B$26+Inputs!$B$29,IF(Skills!C9=3,120+Inputs!$B$27+Inputs!$B$29,MAX(0,(Inputs!$B$3-100)*3)+Inputs!$B$28+Inputs!$B$29)))</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1269=TRUE)*(F1269-Calc!F20)),(Inputs!$B$23+0+(IF(ArtifactsInput!$M$15,CHOOSE(ArtifactsInput!$N$15+1,25,30,35,40,45,50)/100*(Inputs!$B$11-Inputs!$B$11),0))))/100+(Inputs!$B$23+0+(IF(ArtifactsInput!$M$15,CHOOSE(ArtifactsInput!$N$15+1,25,30,35,40,45,50)/100*(Inputs!$B$11-Inputs!$B$11),0)))/100)/2</f>
        <v/>
      </c>
      <c r="M1258">
        <f>L1258*(1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IF(B1284=0,0,O1258/B1284)</f>
        <v/>
      </c>
      <c r="Q1258">
        <f>IFERROR(1/(IF(Inputs!$B$38="pvp",15,MAX(0.1,Skills!D9-IF(Skills!E9=TRUE,Inputs!$B$32,0)))*(1-IF(AND(ArtifactsInput!$M$27,Inputs!$B$4="Chapter Hunt"),CHOOSE(ArtifactsInput!$N$27+1,20,24,28,32,36,40),0)/100)),0)</f>
        <v/>
      </c>
      <c r="R1258">
        <f>IF(AND(Inputs!$B$38&lt;&gt;"pvp",Inputs!$B$43&gt;0),IF(MAX(0,Inputs!$B$43-B1281)&lt;=0,0,(INT(MAX(0,Inputs!$B$43-B1281)/(IF(Inputs!$B$38="pvp",15,MAX(0.1,Skills!D9-IF(Skills!E9=TRUE,Inputs!$B$32,0)))*(1-IF(AND(ArtifactsInput!$M$27,Inputs!$B$4="Chapter Hunt"),CHOOSE(ArtifactsInput!$N$27+1,20,24,28,32,36,40),0)/100)))+1)),0)</f>
        <v/>
      </c>
      <c r="S1258">
        <f>IFERROR(O1258/N1258,0)</f>
        <v/>
      </c>
      <c r="T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$21+Skills!Q9+(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Skills!A10</f>
        <v/>
      </c>
      <c r="B1259">
        <f>Skills!B10</f>
        <v/>
      </c>
      <c r="C1259">
        <f>Inputs!$B$3&gt;=103</f>
        <v/>
      </c>
      <c r="D1259">
        <f>IF(Skills!C10=1,60+Inputs!$B$25+Inputs!$B$29,IF(Skills!C10=2,90+Inputs!$B$26+Inputs!$B$29,IF(Skills!C10=3,120+Inputs!$B$27+Inputs!$B$29,MAX(0,(Inputs!$B$3-100)*3)+Inputs!$B$28+Inputs!$B$29)))</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((Inputs!$B$6*(1+Inputs!$B$7/100))+(((Inputs!$B$12*(1+Inputs!$B$13/100))-(Inputs!$B$12*(1+Inputs!$B$13/100)))+0.25*(Inputs!$B$14-Inputs!$B$14))*(1+Inputs!$B$7/100))*(F1259/100)</f>
        <v/>
      </c>
      <c r="K1259">
        <f>J1259*(1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1259)</f>
        <v/>
      </c>
      <c r="L1259">
        <f>K1259*(MIN(Inputs!$B$22+((C1269=TRUE)*(F1269-Calc!F20)),(Inputs!$B$23+0+(IF(ArtifactsInput!$M$15,CHOOSE(ArtifactsInput!$N$15+1,25,30,35,40,45,50)/100*(Inputs!$B$11-Inputs!$B$11),0))))/100+(Inputs!$B$23+0+(IF(ArtifactsInput!$M$15,CHOOSE(ArtifactsInput!$N$15+1,25,30,35,40,45,50)/100*(Inputs!$B$11-Inputs!$B$11),0)))/100)/2</f>
        <v/>
      </c>
      <c r="M1259">
        <f>L1259*(1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9">
        <f>L1259*(1-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1259*(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9">
        <f>(1-Summary!$B$11)*T1259+Summary!$B$11*V1259</f>
        <v/>
      </c>
      <c r="P1259">
        <f>IF(B1284=0,0,O1259/B1284)</f>
        <v/>
      </c>
      <c r="Q1259">
        <f>IFERROR(1/(IF(Inputs!$B$38="pvp",15,MAX(0.1,Skills!D10-IF(Skills!E10=TRUE,Inputs!$B$32,0)))*(1-IF(AND(ArtifactsInput!$M$27,Inputs!$B$4="Chapter Hunt"),CHOOSE(ArtifactsInput!$N$27+1,20,24,28,32,36,40),0)/100)),0)</f>
        <v/>
      </c>
      <c r="R1259">
        <f>IF(AND(Inputs!$B$38&lt;&gt;"pvp",Inputs!$B$43&gt;0),IF(MAX(0,Inputs!$B$43-B1281)&lt;=0,0,(INT(MAX(0,Inputs!$B$43-B1281)/(IF(Inputs!$B$38="pvp",15,MAX(0.1,Skills!D10-IF(Skills!E10=TRUE,Inputs!$B$32,0)))*(1-IF(AND(ArtifactsInput!$M$27,Inputs!$B$4="Chapter Hunt"),CHOOSE(ArtifactsInput!$N$27+1,20,24,28,32,36,40),0)/100)))+1)),0)</f>
        <v/>
      </c>
      <c r="S1259">
        <f>IFERROR(O1259/N1259,0)</f>
        <v/>
      </c>
      <c r="T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$21+Skills!Q10+(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0">
      <c r="A1260">
        <f>Skills!A11</f>
        <v/>
      </c>
      <c r="B1260">
        <f>Skills!B11</f>
        <v/>
      </c>
      <c r="C1260">
        <f>Inputs!$B$3&gt;=113</f>
        <v/>
      </c>
      <c r="D1260">
        <f>IF(Skills!C11=1,60+Inputs!$B$25+Inputs!$B$29,IF(Skills!C11=2,90+Inputs!$B$26+Inputs!$B$29,IF(Skills!C11=3,120+Inputs!$B$27+Inputs!$B$29,MAX(0,(Inputs!$B$3-100)*3)+Inputs!$B$28+Inputs!$B$29)))</f>
        <v/>
      </c>
      <c r="E1260">
        <f>INDEX(FactorTable!$B$2:$Y$301, MATCH(ROUND(MIN(300,MAX(1,D1260)),0), FactorTable!$A$2:$A$301,0), Skills!M11+1)</f>
        <v/>
      </c>
      <c r="F1260">
        <f>IF(Skills!N11=TRUE,(Skills!L11/10)*(E1260/1000),Skills!L11/10)+Skills!O11</f>
        <v/>
      </c>
      <c r="G1260">
        <f>Skills!G11*IF(Skills!H11&gt;0,Skills!I11/Skills!H11,1)</f>
        <v/>
      </c>
      <c r="H1260">
        <f>1-(1-Skills!J11/100)^Skills!K11</f>
        <v/>
      </c>
      <c r="I1260" t="inlineStr">
        <is>
          <t>1</t>
        </is>
      </c>
      <c r="J1260">
        <f>((Inputs!$B$6*(1+Inputs!$B$7/100))+(((Inputs!$B$12*(1+Inputs!$B$13/100))-(Inputs!$B$12*(1+Inputs!$B$13/100)))+0.25*(Inputs!$B$14-Inputs!$B$14))*(1+Inputs!$B$7/100))*(F1260/100)</f>
        <v/>
      </c>
      <c r="K1260">
        <f>J1260*(1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C1269=TRUE)*(F1269-Calc!F20)),(Inputs!$B$23+0+(IF(ArtifactsInput!$M$15,CHOOSE(ArtifactsInput!$N$15+1,25,30,35,40,45,50)/100*(Inputs!$B$11-Inputs!$B$11),0))))/100+(Inputs!$B$23+0+(IF(ArtifactsInput!$M$15,CHOOSE(ArtifactsInput!$N$15+1,25,30,35,40,45,50)/100*(Inputs!$B$11-Inputs!$B$11),0)))/100)/2</f>
        <v/>
      </c>
      <c r="M1260">
        <f>L1260*(1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(1-Summary!$B$11)*T1260+Summary!$B$11*V1260</f>
        <v/>
      </c>
      <c r="P1260">
        <f>IF(B1284=0,0,O1260/B1284)</f>
        <v/>
      </c>
      <c r="Q1260">
        <f>IFERROR(1/(IF(Inputs!$B$38="pvp",15,MAX(0.1,Skills!D11-IF(Skills!E11=TRUE,Inputs!$B$32,0)))*(1-IF(AND(ArtifactsInput!$M$27,Inputs!$B$4="Chapter Hunt"),CHOOSE(ArtifactsInput!$N$27+1,20,24,28,32,36,40),0)/100)),0)</f>
        <v/>
      </c>
      <c r="R1260">
        <f>IF(AND(Inputs!$B$38&lt;&gt;"pvp",Inputs!$B$43&gt;0),IF(MAX(0,Inputs!$B$43-B1281)&lt;=0,0,(INT(MAX(0,Inputs!$B$43-B1281)/(IF(Inputs!$B$38="pvp",15,MAX(0.1,Skills!D11-IF(Skills!E11=TRUE,Inputs!$B$32,0)))*(1-IF(AND(ArtifactsInput!$M$27,Inputs!$B$4="Chapter Hunt"),CHOOSE(ArtifactsInput!$N$27+1,20,24,28,32,36,40),0)/100)))+1)),0)</f>
        <v/>
      </c>
      <c r="S1260">
        <f>IFERROR(O1260/N1260,0)</f>
        <v/>
      </c>
      <c r="T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$21+Skills!Q11+(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1">
      <c r="A1261">
        <f>Skills!A12</f>
        <v/>
      </c>
      <c r="B1261">
        <f>Skills!B12</f>
        <v/>
      </c>
      <c r="C1261">
        <f>Inputs!$B$3&gt;=100</f>
        <v/>
      </c>
      <c r="D1261">
        <f>IF(Skills!C12=1,60+Inputs!$B$25+Inputs!$B$29,IF(Skills!C12=2,90+Inputs!$B$26+Inputs!$B$29,IF(Skills!C12=3,120+Inputs!$B$27+Inputs!$B$29,MAX(0,(Inputs!$B$3-100)*3)+Inputs!$B$28+Inputs!$B$29)))</f>
        <v/>
      </c>
      <c r="E1261">
        <f>INDEX(FactorTable!$B$2:$Y$301, MATCH(ROUND(MIN(300,MAX(1,D1261)),0), FactorTable!$A$2:$A$301,0), Skills!M12+1)</f>
        <v/>
      </c>
      <c r="F1261">
        <f>IF(Skills!N12=TRUE,(Skills!L12/10)*(E1261/1000),Skills!L12/10)+Skills!O12</f>
        <v/>
      </c>
      <c r="G1261" t="inlineStr"/>
      <c r="H1261" t="inlineStr"/>
      <c r="I1261" t="inlineStr">
        <is>
          <t>1</t>
        </is>
      </c>
      <c r="J1261" t="inlineStr"/>
      <c r="K1261" t="inlineStr"/>
      <c r="L1261" t="inlineStr"/>
      <c r="M1261" t="inlineStr"/>
      <c r="N1261" t="inlineStr"/>
      <c r="O1261" t="inlineStr"/>
      <c r="P1261" t="inlineStr"/>
      <c r="Q1261" t="inlineStr"/>
      <c r="R1261" t="inlineStr"/>
      <c r="S1261" t="inlineStr"/>
      <c r="T1261" t="inlineStr"/>
      <c r="V1261" t="inlineStr"/>
    </row>
    <row r="1262">
      <c r="A1262">
        <f>Skills!A13</f>
        <v/>
      </c>
      <c r="B1262">
        <f>Skills!B13</f>
        <v/>
      </c>
      <c r="C1262">
        <f>Inputs!$B$3&gt;=66</f>
        <v/>
      </c>
      <c r="D1262">
        <f>IF(Skills!C13=1,60+Inputs!$B$25+Inputs!$B$29,IF(Skills!C13=2,90+Inputs!$B$26+Inputs!$B$29,IF(Skills!C13=3,120+Inputs!$B$27+Inputs!$B$29,MAX(0,(Inputs!$B$3-100)*3)+Inputs!$B$28+Inputs!$B$29)))</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IF(B1284=0,0,O1262/B1284)</f>
        <v/>
      </c>
      <c r="Q1262" t="n">
        <v>0</v>
      </c>
      <c r="R1262" t="n">
        <v>0</v>
      </c>
      <c r="S1262">
        <f>IFERROR(O1262/N1262,0)</f>
        <v/>
      </c>
      <c r="T1262" t="n">
        <v>0</v>
      </c>
      <c r="V1262" t="n">
        <v>0</v>
      </c>
    </row>
    <row r="1263">
      <c r="A1263">
        <f>Skills!A14</f>
        <v/>
      </c>
      <c r="B1263">
        <f>Skills!B14</f>
        <v/>
      </c>
      <c r="C1263">
        <f>Inputs!$B$3&gt;=107</f>
        <v/>
      </c>
      <c r="D1263">
        <f>IF(Skills!C14=1,60+Inputs!$B$25+Inputs!$B$29,IF(Skills!C14=2,90+Inputs!$B$26+Inputs!$B$29,IF(Skills!C14=3,120+Inputs!$B$27+Inputs!$B$29,MAX(0,(Inputs!$B$3-100)*3)+Inputs!$B$28+Inputs!$B$29)))</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IF(B1284=0,0,O1263/B1284)</f>
        <v/>
      </c>
      <c r="Q1263" t="n">
        <v>0</v>
      </c>
      <c r="R1263" t="n">
        <v>0</v>
      </c>
      <c r="S1263">
        <f>IFERROR(O1263/N1263,0)</f>
        <v/>
      </c>
      <c r="T1263" t="n">
        <v>0</v>
      </c>
      <c r="V1263" t="n">
        <v>0</v>
      </c>
    </row>
    <row r="1264">
      <c r="A1264">
        <f>Skills!A15</f>
        <v/>
      </c>
      <c r="B1264">
        <f>Skills!B15</f>
        <v/>
      </c>
      <c r="C1264">
        <f>Inputs!$B$3&gt;=115</f>
        <v/>
      </c>
      <c r="D1264">
        <f>IF(Skills!C15=1,60+Inputs!$B$25+Inputs!$B$29,IF(Skills!C15=2,90+Inputs!$B$26+Inputs!$B$29,IF(Skills!C15=3,120+Inputs!$B$27+Inputs!$B$29,MAX(0,(Inputs!$B$3-100)*3)+Inputs!$B$28+Inputs!$B$29)))</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IF(B1284=0,0,O1264/B1284)</f>
        <v/>
      </c>
      <c r="Q1264" t="n">
        <v>0</v>
      </c>
      <c r="R1264" t="n">
        <v>0</v>
      </c>
      <c r="S1264">
        <f>IFERROR(O1264/N1264,0)</f>
        <v/>
      </c>
      <c r="T1264" t="n">
        <v>0</v>
      </c>
      <c r="V1264" t="n">
        <v>0</v>
      </c>
    </row>
    <row r="1265">
      <c r="A1265">
        <f>Skills!A16</f>
        <v/>
      </c>
      <c r="B1265">
        <f>Skills!B16</f>
        <v/>
      </c>
      <c r="C1265">
        <f>Inputs!$B$3&gt;=15</f>
        <v/>
      </c>
      <c r="D1265">
        <f>IF(Skills!C16=1,60+Inputs!$B$25+Inputs!$B$29,IF(Skills!C16=2,90+Inputs!$B$26+Inputs!$B$29,IF(Skills!C16=3,120+Inputs!$B$27+Inputs!$B$29,MAX(0,(Inputs!$B$3-100)*3)+Inputs!$B$28+Inputs!$B$29)))</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IF(B1284=0,0,O1265/B1284)</f>
        <v/>
      </c>
      <c r="Q1265" t="n">
        <v>0</v>
      </c>
      <c r="R1265" t="n">
        <v>0</v>
      </c>
      <c r="S1265">
        <f>IFERROR(O1265/N1265,0)</f>
        <v/>
      </c>
      <c r="T1265" t="n">
        <v>0</v>
      </c>
      <c r="V1265" t="n">
        <v>0</v>
      </c>
    </row>
    <row r="1266">
      <c r="A1266">
        <f>Skills!A17</f>
        <v/>
      </c>
      <c r="B1266">
        <f>Skills!B17</f>
        <v/>
      </c>
      <c r="C1266">
        <f>Inputs!$B$3&gt;=10</f>
        <v/>
      </c>
      <c r="D1266">
        <f>IF(Skills!C17=1,60+Inputs!$B$25+Inputs!$B$29,IF(Skills!C17=2,90+Inputs!$B$26+Inputs!$B$29,IF(Skills!C17=3,120+Inputs!$B$27+Inputs!$B$29,MAX(0,(Inputs!$B$3-100)*3)+Inputs!$B$28+Inputs!$B$29)))</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IF(B1284=0,0,O1266/B1284)</f>
        <v/>
      </c>
      <c r="Q1266" t="n">
        <v>0</v>
      </c>
      <c r="R1266" t="n">
        <v>0</v>
      </c>
      <c r="S1266">
        <f>IFERROR(O1266/N1266,0)</f>
        <v/>
      </c>
      <c r="T1266" t="n">
        <v>0</v>
      </c>
      <c r="V1266" t="n">
        <v>0</v>
      </c>
    </row>
    <row r="1267">
      <c r="A1267">
        <f>Skills!A18</f>
        <v/>
      </c>
      <c r="B1267">
        <f>Skills!B18</f>
        <v/>
      </c>
      <c r="C1267">
        <f>Inputs!$B$3&gt;=33</f>
        <v/>
      </c>
      <c r="D1267">
        <f>IF(Skills!C18=1,60+Inputs!$B$25+Inputs!$B$29,IF(Skills!C18=2,90+Inputs!$B$26+Inputs!$B$29,IF(Skills!C18=3,120+Inputs!$B$27+Inputs!$B$29,MAX(0,(Inputs!$B$3-100)*3)+Inputs!$B$28+Inputs!$B$29)))</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IF(B1284=0,0,O1267/B1284)</f>
        <v/>
      </c>
      <c r="Q1267" t="n">
        <v>0</v>
      </c>
      <c r="R1267" t="n">
        <v>0</v>
      </c>
      <c r="S1267">
        <f>IFERROR(O1267/N1267,0)</f>
        <v/>
      </c>
      <c r="T1267" t="n">
        <v>0</v>
      </c>
      <c r="V1267" t="n">
        <v>0</v>
      </c>
    </row>
    <row r="1268">
      <c r="A1268">
        <f>Skills!A19</f>
        <v/>
      </c>
      <c r="B1268">
        <f>Skills!B19</f>
        <v/>
      </c>
      <c r="C1268">
        <f>Inputs!$B$3&gt;=40</f>
        <v/>
      </c>
      <c r="D1268">
        <f>IF(Skills!C19=1,60+Inputs!$B$25+Inputs!$B$29,IF(Skills!C19=2,90+Inputs!$B$26+Inputs!$B$29,IF(Skills!C19=3,120+Inputs!$B$27+Inputs!$B$29,MAX(0,(Inputs!$B$3-100)*3)+Inputs!$B$28+Inputs!$B$29)))</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IF(B1284=0,0,O1268/B1284)</f>
        <v/>
      </c>
      <c r="Q1268" t="n">
        <v>0</v>
      </c>
      <c r="R1268" t="n">
        <v>0</v>
      </c>
      <c r="S1268">
        <f>IFERROR(O1268/N1268,0)</f>
        <v/>
      </c>
      <c r="T1268" t="n">
        <v>0</v>
      </c>
      <c r="V1268" t="n">
        <v>0</v>
      </c>
    </row>
    <row r="1269">
      <c r="A1269">
        <f>Skills!A20</f>
        <v/>
      </c>
      <c r="B1269">
        <f>Skills!B20</f>
        <v/>
      </c>
      <c r="C1269">
        <f>Inputs!$B$3&gt;=43</f>
        <v/>
      </c>
      <c r="D1269">
        <f>IF(Skills!C20=1,60+Inputs!$B$25+Inputs!$B$29,IF(Skills!C20=2,90+Inputs!$B$26+Inputs!$B$29,IF(Skills!C20=3,120+Inputs!$B$27+Inputs!$B$29,MAX(0,(Inputs!$B$3-100)*3)+Inputs!$B$28+Inputs!$B$29)))</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IF(B1284=0,0,O1269/B1284)</f>
        <v/>
      </c>
      <c r="Q1269" t="n">
        <v>0</v>
      </c>
      <c r="R1269" t="n">
        <v>0</v>
      </c>
      <c r="S1269">
        <f>IFERROR(O1269/N1269,0)</f>
        <v/>
      </c>
      <c r="T1269" t="n">
        <v>0</v>
      </c>
      <c r="V1269" t="n">
        <v>0</v>
      </c>
    </row>
    <row r="1270">
      <c r="A1270">
        <f>Skills!A21</f>
        <v/>
      </c>
      <c r="B1270">
        <f>Skills!B21</f>
        <v/>
      </c>
      <c r="C1270">
        <f>Inputs!$B$3&gt;=38</f>
        <v/>
      </c>
      <c r="D1270">
        <f>IF(Skills!C21=1,60+Inputs!$B$25+Inputs!$B$29,IF(Skills!C21=2,90+Inputs!$B$26+Inputs!$B$29,IF(Skills!C21=3,120+Inputs!$B$27+Inputs!$B$29,MAX(0,(Inputs!$B$3-100)*3)+Inputs!$B$28+Inputs!$B$29)))</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IF(B1284=0,0,O1270/B1284)</f>
        <v/>
      </c>
      <c r="Q1270" t="n">
        <v>0</v>
      </c>
      <c r="R1270" t="n">
        <v>0</v>
      </c>
      <c r="S1270">
        <f>IFERROR(O1270/N1270,0)</f>
        <v/>
      </c>
      <c r="T1270" t="n">
        <v>0</v>
      </c>
      <c r="V1270" t="n">
        <v>0</v>
      </c>
    </row>
    <row r="1271">
      <c r="A1271">
        <f>Skills!A22</f>
        <v/>
      </c>
      <c r="B1271">
        <f>Skills!B22</f>
        <v/>
      </c>
      <c r="C1271">
        <f>Inputs!$B$3&gt;=75</f>
        <v/>
      </c>
      <c r="D1271">
        <f>IF(Skills!C22=1,60+Inputs!$B$25+Inputs!$B$29,IF(Skills!C22=2,90+Inputs!$B$26+Inputs!$B$29,IF(Skills!C22=3,120+Inputs!$B$27+Inputs!$B$29,MAX(0,(Inputs!$B$3-100)*3)+Inputs!$B$28+Inputs!$B$29)))</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IF(B1284=0,0,O1271/B1284)</f>
        <v/>
      </c>
      <c r="Q1271" t="n">
        <v>0</v>
      </c>
      <c r="R1271" t="n">
        <v>0</v>
      </c>
      <c r="S1271">
        <f>IFERROR(O1271/N1271,0)</f>
        <v/>
      </c>
      <c r="T1271" t="n">
        <v>0</v>
      </c>
      <c r="V1271" t="n">
        <v>0</v>
      </c>
    </row>
    <row r="1273">
      <c r="A1273" t="inlineStr">
        <is>
          <t>Attack% Bucket Multiplier</t>
        </is>
      </c>
      <c r="B1273">
        <f>(1+(((C1262=TRUE)*F1262)+((C1268=TRUE)*(F1268-Calc!F19))+(IF(ArtifactsInput!$M$21,CHOOSE(ArtifactsInput!$N$21+1,25,30,35,40,45,50)*(IF(OR(Inputs!$B$4="Chapter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4">
      <c r="A1274" t="inlineStr">
        <is>
          <t>Global Crit Rate Bonus %</t>
        </is>
      </c>
      <c r="B1274" t="n">
        <v>0</v>
      </c>
    </row>
    <row r="1275">
      <c r="A1275" t="inlineStr">
        <is>
          <t>Attack Speed Buff Bonus % (unused)</t>
        </is>
      </c>
      <c r="B1275" t="n">
        <v>0</v>
      </c>
    </row>
    <row r="1276">
      <c r="A1276" t="inlineStr">
        <is>
          <t>Actions Per Second</t>
        </is>
      </c>
      <c r="B1276">
        <f>1+MIN(150,150*(1-(1-(Inputs!$B$11+((C1266=TRUE)*(F1266-Calc!F17))+((C1267=TRUE)*(F1267-Calc!F18)))/150)*(1-B1275/150)))/100</f>
        <v/>
      </c>
    </row>
    <row r="1277">
      <c r="A1277" t="inlineStr">
        <is>
          <t>Skill + Buff Cast Rate</t>
        </is>
      </c>
      <c r="B1277">
        <f>IF(AND(Inputs!$B$38&lt;&gt;"pvp",Inputs!$B$43&gt;0),SUMPRODUCT((Skills!E2:E22=TRUE)*(C1251:C1271=TRUE)*R1251:R1271*Skills!F2:F22)/Inputs!$B$43,SUMPRODUCT((Skills!E2:E22=TRUE)*(C1251:C1271=TRUE)*Q1251:Q1271*Skills!F2:F22))</f>
        <v/>
      </c>
    </row>
    <row r="1278">
      <c r="A1278" t="inlineStr">
        <is>
          <t>Hook Bomber Casts Per Second</t>
        </is>
      </c>
      <c r="B1278">
        <f>MAX(0,B1276-B1277)</f>
        <v/>
      </c>
    </row>
    <row r="1279">
      <c r="A1279" t="inlineStr">
        <is>
          <t>Global Critical Damage Bonus % (unused)</t>
        </is>
      </c>
      <c r="B1279" t="n">
        <v>0</v>
      </c>
    </row>
    <row r="1280">
      <c r="A1280" t="inlineStr">
        <is>
          <t>Global Final Damage Bonus % (Serpent Scale + Crossbones + Time Leap + Speed Infusion)</t>
        </is>
      </c>
      <c r="B1280">
        <f>((C1254=TRUE)*F1254*((10+IF(Inputs!$B$3&gt;=94,5,0))/((10+IF(Inputs!$B$3&gt;=94,5,0))+5/(B1278*(1+IF(Inputs!$B$3&gt;=104,1,0))))))+((C1263=TRUE)*F1263)+((C1264=TRUE)*F1264)+((Inputs!$B$3&gt;=110)*20*(B1276-1))</f>
        <v/>
      </c>
    </row>
    <row r="1281">
      <c r="A1281" t="inlineStr">
        <is>
          <t>Buff-Casting Startup Delay (s, fixed-duration only)</t>
        </is>
      </c>
      <c r="B1281">
        <f>IF(AND(Inputs!$B$38&lt;&gt;"pvp",Inputs!$B$43&gt;0),SUMPRODUCT((Skills!T2:T22&gt;0)*(Skills!E2:E22=TRUE)*(C1251:C1271=TRUE))/B1276,0)</f>
        <v/>
      </c>
    </row>
    <row r="1282">
      <c r="A1282" t="inlineStr">
        <is>
          <t>Boss-Only Total DPS (this block's swept value)</t>
        </is>
      </c>
      <c r="B1282">
        <f>SUM(T1251:T1271)</f>
        <v/>
      </c>
    </row>
    <row r="1283">
      <c r="A1283" t="inlineStr">
        <is>
          <t>Normal-Only Total DPS (this block's swept value)</t>
        </is>
      </c>
      <c r="B1283">
        <f>SUM(V1251:V1271)</f>
        <v/>
      </c>
    </row>
    <row r="1284">
      <c r="A1284" s="6" t="inlineStr">
        <is>
          <t>TOTAL DPS</t>
        </is>
      </c>
      <c r="B1284" s="6">
        <f>SUM(O1251:O1271)</f>
        <v/>
      </c>
    </row>
    <row r="1287">
      <c r="A1287" s="6" t="inlineStr">
        <is>
          <t>Stat: Arwen's Glass Shoes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Q1288" s="5" t="inlineStr">
        <is>
          <t>InvCooldown</t>
        </is>
      </c>
      <c r="R1288" s="5" t="inlineStr">
        <is>
          <t>CastsInFight</t>
        </is>
      </c>
      <c r="S1288" s="5" t="inlineStr">
        <is>
          <t>HitRate(perSec)</t>
        </is>
      </c>
      <c r="U1288" t="inlineStr">
        <is>
          <t>helpers</t>
        </is>
      </c>
    </row>
    <row r="1289">
      <c r="A1289">
        <f>Skills!A2</f>
        <v/>
      </c>
      <c r="B1289">
        <f>Skills!B2</f>
        <v/>
      </c>
      <c r="C1289">
        <f>Inputs!$B$3&gt;=100</f>
        <v/>
      </c>
      <c r="D1289" t="inlineStr"/>
      <c r="E1289" t="inlineStr"/>
      <c r="F1289">
        <f>U1291+Skills!O2</f>
        <v/>
      </c>
      <c r="G1289">
        <f>Skills!G2*IF(Skills!H2&gt;0,Skills!I2/Skills!H2,1)</f>
        <v/>
      </c>
      <c r="H1289">
        <f>1-(1-Skills!J2/100)^Skills!K2</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1307=TRUE)*(F1307-Calc!F20)),(Inputs!$B$23+0+(IF(ArtifactsInput!$M$15,CHOOSE(ArtifactsInput!$N$15+1,25,30,35,40,45,50)/100*(Inputs!$B$11-Inputs!$B$11),0))))/100+(Inputs!$B$23+0+(IF(ArtifactsInput!$M$15,CHOOSE(ArtifactsInput!$N$15+1,25,30,35,40,45,50)/100*(Inputs!$B$11-Inputs!$B$11),0)))/100)/2</f>
        <v/>
      </c>
      <c r="M1289">
        <f>L1289*(1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IF(B1322=0,0,O1289/B1322)</f>
        <v/>
      </c>
      <c r="Q1289" t="n">
        <v>0</v>
      </c>
      <c r="R1289" t="n">
        <v>0</v>
      </c>
      <c r="S1289">
        <f>IFERROR(O1289/N1289,0)</f>
        <v/>
      </c>
      <c r="T1289">
        <f>IF(C1289,(Skills!G2*N1289*B1316)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MAX(0,(Inputs!$B$3-100)*3)+Inputs!$B$28+Inputs!$B$29</f>
        <v/>
      </c>
      <c r="V1289">
        <f>IF(C1289,(Skills!G2*N1289*B1316)*IF(Inputs!$B$38="pvp",1,(1+(Inputs!$B$21+Skills!Q2+(IF(ArtifactsInput!$M$33,CHOOSE(ArtifactsInput!$N$33+1,30,36,42,48,54,60),0))+(IF(AND(ArtifactsInput!$M$35,Inputs!$B$4&lt;&gt;"Chapter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Skills!A3</f>
        <v/>
      </c>
      <c r="B1290">
        <f>Skills!B3</f>
        <v/>
      </c>
      <c r="C1290">
        <f>Inputs!$B$3&gt;=35</f>
        <v/>
      </c>
      <c r="D1290">
        <f>IF(Skills!C3=1,60+Inputs!$B$25+Inputs!$B$29,IF(Skills!C3=2,90+Inputs!$B$26+Inputs!$B$29,IF(Skills!C3=3,120+Inputs!$B$27+Inputs!$B$29,MAX(0,(Inputs!$B$3-100)*3)+Inputs!$B$28+Inputs!$B$29)))</f>
        <v/>
      </c>
      <c r="E1290">
        <f>INDEX(FactorTable!$B$2:$Y$301, MATCH(ROUND(MIN(300,MAX(1,D1290)),0), FactorTable!$A$2:$A$301,0), Skills!M3+1)</f>
        <v/>
      </c>
      <c r="F1290">
        <f>IF(Skills!N3=TRUE,(Skills!L3/10)*(E1290/1000),Skills!L3/10)+Skills!O3</f>
        <v/>
      </c>
      <c r="G1290">
        <f>Skills!G3*IF(Skills!H3&gt;0,Skills!I3/Skills!H3,1)</f>
        <v/>
      </c>
      <c r="H1290">
        <f>1-(1-Skills!J3/100)^Skills!K3</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1307=TRUE)*(F1307-Calc!F20)),(Inputs!$B$23+0+(IF(ArtifactsInput!$M$15,CHOOSE(ArtifactsInput!$N$15+1,25,30,35,40,45,50)/100*(Inputs!$B$11-Inputs!$B$11),0))))/100+(Inputs!$B$23+0+(IF(ArtifactsInput!$M$15,CHOOSE(ArtifactsInput!$N$15+1,25,30,35,40,45,50)/100*(Inputs!$B$11-Inputs!$B$11),0)))/100)/2</f>
        <v/>
      </c>
      <c r="M1290">
        <f>L1290*(1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IF(B1322=0,0,O1290/B1322)</f>
        <v/>
      </c>
      <c r="Q1290" t="n">
        <v>0</v>
      </c>
      <c r="R1290" t="n">
        <v>0</v>
      </c>
      <c r="S1290">
        <f>IFERROR(O1290/N1290,0)</f>
        <v/>
      </c>
      <c r="T1290">
        <f>IF(C1290,(Skills!G3*H1290*N1290*B1316)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INDEX(FactorTable!$B$2:$Y$301, MATCH(ROUND(MIN(300,MAX(1,U1289)),0), FactorTable!$A$2:$A$301,0), 22)</f>
        <v/>
      </c>
      <c r="V1290">
        <f>IF(C1290,(Skills!G3*H1290*N1290*B1316)*IF(Inputs!$B$38="pvp",1,(1+(Inputs!$B$21+Skills!Q3+(IF(ArtifactsInput!$M$33,CHOOSE(ArtifactsInput!$N$33+1,30,36,42,48,54,60),0))+(IF(AND(ArtifactsInput!$M$35,Inputs!$B$4&lt;&gt;"Chapter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Skills!A4</f>
        <v/>
      </c>
      <c r="B1291">
        <f>Skills!B4</f>
        <v/>
      </c>
      <c r="C1291">
        <f>Inputs!$B$3&gt;=60</f>
        <v/>
      </c>
      <c r="D1291">
        <f>IF(Skills!C4=1,60+Inputs!$B$25+Inputs!$B$29,IF(Skills!C4=2,90+Inputs!$B$26+Inputs!$B$29,IF(Skills!C4=3,120+Inputs!$B$27+Inputs!$B$29,MAX(0,(Inputs!$B$3-100)*3)+Inputs!$B$28+Inputs!$B$29)))</f>
        <v/>
      </c>
      <c r="E1291">
        <f>INDEX(FactorTable!$B$2:$Y$301, MATCH(ROUND(MIN(300,MAX(1,D1291)),0), FactorTable!$A$2:$A$301,0), Skills!M4+1)</f>
        <v/>
      </c>
      <c r="F1291">
        <f>IF(Skills!N4=TRUE,(Skills!L4/10)*(E1291/1000),Skills!L4/10)+Skills!O4</f>
        <v/>
      </c>
      <c r="G1291">
        <f>Skills!G4*IF(Skills!H4&gt;0,Skills!I4/Skills!H4,1)</f>
        <v/>
      </c>
      <c r="H1291">
        <f>1-(1-Skills!J4/100)^Skills!K4</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1299=TRUE,F1299,0)/100)*(1+(IF(Skills!A4="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1307=TRUE)*(F1307-Calc!F20)),(Inputs!$B$23+0+(IF(ArtifactsInput!$M$15,CHOOSE(ArtifactsInput!$N$15+1,25,30,35,40,45,50)/100*(Inputs!$B$11-Inputs!$B$11),0))))/100+(Inputs!$B$23+0+(IF(ArtifactsInput!$M$15,CHOOSE(ArtifactsInput!$N$15+1,25,30,35,40,45,50)/100*(Inputs!$B$11-Inputs!$B$11),0)))/100)/2</f>
        <v/>
      </c>
      <c r="M1291">
        <f>L1291*(1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IF(B1322=0,0,O1291/B1322)</f>
        <v/>
      </c>
      <c r="Q1291" t="n">
        <v>0</v>
      </c>
      <c r="R1291" t="n">
        <v>0</v>
      </c>
      <c r="S1291">
        <f>IFERROR(O1291/N1291,0)</f>
        <v/>
      </c>
      <c r="T1291">
        <f>IF(C1291,(Skills!G4*H1291*N1291*B1316)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290*U1290/1000</f>
        <v/>
      </c>
      <c r="V1291">
        <f>IF(C1291,(Skills!G4*H1291*N1291*B1316)*IF(Inputs!$B$38="pvp",1,(1+(Inputs!$B$21+Skills!Q4+(IF(ArtifactsInput!$M$33,CHOOSE(ArtifactsInput!$N$33+1,30,36,42,48,54,60),0))+(IF(AND(ArtifactsInput!$M$35,Inputs!$B$4&lt;&gt;"Chapter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Skills!A5</f>
        <v/>
      </c>
      <c r="B1292">
        <f>Skills!B5</f>
        <v/>
      </c>
      <c r="C1292">
        <f>Inputs!$B$3&gt;=60</f>
        <v/>
      </c>
      <c r="D1292">
        <f>IF(Skills!C5=1,60+Inputs!$B$25+Inputs!$B$29,IF(Skills!C5=2,90+Inputs!$B$26+Inputs!$B$29,IF(Skills!C5=3,120+Inputs!$B$27+Inputs!$B$29,MAX(0,(Inputs!$B$3-100)*3)+Inputs!$B$28+Inputs!$B$29)))</f>
        <v/>
      </c>
      <c r="E1292">
        <f>INDEX(FactorTable!$B$2:$Y$301, MATCH(ROUND(MIN(300,MAX(1,D1292)),0), FactorTable!$A$2:$A$301,0), Skills!M5+1)</f>
        <v/>
      </c>
      <c r="F1292">
        <f>IF(Skills!N5=TRUE,(Skills!L5/10)*(E1292/1000),Skills!L5/10)+Skills!O5</f>
        <v/>
      </c>
      <c r="G1292">
        <f>Skills!G5*IF(Skills!H5&gt;0,Skills!I5/Skills!H5,1)</f>
        <v/>
      </c>
      <c r="H1292">
        <f>1-(1-Skills!J5/100)^Skills!K5</f>
        <v/>
      </c>
      <c r="I1292" t="inlineStr">
        <is>
          <t>1</t>
        </is>
      </c>
      <c r="J1292" t="inlineStr"/>
      <c r="K1292" t="inlineStr"/>
      <c r="L1292" t="inlineStr"/>
      <c r="M1292" t="inlineStr"/>
      <c r="N1292" t="inlineStr"/>
      <c r="O1292">
        <f>(1-Summary!$B$11)*T1292+Summary!$B$11*V1292</f>
        <v/>
      </c>
      <c r="P1292">
        <f>IF(B1322=0,0,O1292/B1322)</f>
        <v/>
      </c>
      <c r="Q1292" t="n">
        <v>0</v>
      </c>
      <c r="R1292" t="n">
        <v>0</v>
      </c>
      <c r="S1292">
        <f>IFERROR(O1292/N1292,0)</f>
        <v/>
      </c>
      <c r="T1292" t="n">
        <v>0</v>
      </c>
      <c r="V1292" t="n">
        <v>0</v>
      </c>
    </row>
    <row r="1293">
      <c r="A1293">
        <f>Skills!A6</f>
        <v/>
      </c>
      <c r="B1293">
        <f>Skills!B6</f>
        <v/>
      </c>
      <c r="C1293">
        <f>Inputs!$B$3&gt;=63</f>
        <v/>
      </c>
      <c r="D1293">
        <f>IF(Skills!C6=1,60+Inputs!$B$25+Inputs!$B$29,IF(Skills!C6=2,90+Inputs!$B$26+Inputs!$B$29,IF(Skills!C6=3,120+Inputs!$B$27+Inputs!$B$29,MAX(0,(Inputs!$B$3-100)*3)+Inputs!$B$28+Inputs!$B$29)))</f>
        <v/>
      </c>
      <c r="E1293">
        <f>INDEX(FactorTable!$B$2:$Y$301, MATCH(ROUND(MIN(300,MAX(1,D1293)),0), FactorTable!$A$2:$A$301,0), Skills!M6+1)</f>
        <v/>
      </c>
      <c r="F1293">
        <f>IF(Skills!N6=TRUE,(Skills!L6/10)*(E1293/1000),Skills!L6/10)+Skills!O6</f>
        <v/>
      </c>
      <c r="G1293">
        <f>Skills!G6*IF(Skills!H6&gt;0,Skills!I6/Skills!H6,1)</f>
        <v/>
      </c>
      <c r="H1293">
        <f>1-(1-Skills!J6/100)^Skills!K6</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1307=TRUE)*(F1307-Calc!F20)),(Inputs!$B$23+0+(IF(ArtifactsInput!$M$15,CHOOSE(ArtifactsInput!$N$15+1,25,30,35,40,45,50)/100*(Inputs!$B$11-Inputs!$B$11),0))))/100+(Inputs!$B$23+0+(IF(ArtifactsInput!$M$15,CHOOSE(ArtifactsInput!$N$15+1,25,30,35,40,45,50)/100*(Inputs!$B$11-Inputs!$B$11),0)))/100)/2</f>
        <v/>
      </c>
      <c r="M1293">
        <f>L1293*(1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IF(B1322=0,0,O1293/B1322)</f>
        <v/>
      </c>
      <c r="Q1293">
        <f>IFERROR(1/(IF(Inputs!$B$38="pvp",15,MAX(0.1,Skills!D6-IF(Skills!E6=TRUE,Inputs!$B$32,0)))*(1-IF(AND(ArtifactsInput!$M$27,Inputs!$B$4="Chapter Hunt"),CHOOSE(ArtifactsInput!$N$27+1,20,24,28,32,36,40),0)/100)),0)</f>
        <v/>
      </c>
      <c r="R1293">
        <f>IF(AND(Inputs!$B$38&lt;&gt;"pvp",Inputs!$B$43&gt;0),IF(MAX(0,Inputs!$B$43-B1319)&lt;=0,0,(INT(MAX(0,Inputs!$B$43-B1319)/(IF(Inputs!$B$38="pvp",15,MAX(0.1,Skills!D6-IF(Skills!E6=TRUE,Inputs!$B$32,0)))*(1-IF(AND(ArtifactsInput!$M$27,Inputs!$B$4="Chapter Hunt"),CHOOSE(ArtifactsInput!$N$27+1,20,24,28,32,36,40),0)/100)))+1)),0)</f>
        <v/>
      </c>
      <c r="S1293">
        <f>IFERROR(O1293/N1293,0)</f>
        <v/>
      </c>
      <c r="T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$21+Skills!Q6+(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Skills!A7</f>
        <v/>
      </c>
      <c r="B1294">
        <f>Skills!B7</f>
        <v/>
      </c>
      <c r="C1294">
        <f>Inputs!$B$3&gt;=100</f>
        <v/>
      </c>
      <c r="D1294">
        <f>IF(Skills!C7=1,60+Inputs!$B$25+Inputs!$B$29,IF(Skills!C7=2,90+Inputs!$B$26+Inputs!$B$29,IF(Skills!C7=3,120+Inputs!$B$27+Inputs!$B$29,MAX(0,(Inputs!$B$3-100)*3)+Inputs!$B$28+Inputs!$B$29)))</f>
        <v/>
      </c>
      <c r="E1294">
        <f>INDEX(FactorTable!$B$2:$Y$301, MATCH(ROUND(MIN(300,MAX(1,D1294)),0), FactorTable!$A$2:$A$301,0), Skills!M7+1)</f>
        <v/>
      </c>
      <c r="F1294">
        <f>IF(Skills!N7=TRUE,(Skills!L7/10)*(E1294/1000),Skills!L7/10)+Skills!O7</f>
        <v/>
      </c>
      <c r="G1294">
        <f>Skills!G7*IF(Skills!H7&gt;0,Skills!I7/Skills!H7,1)</f>
        <v/>
      </c>
      <c r="H1294">
        <f>1-(1-Skills!J7/100)^Skills!K7</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1307=TRUE)*(F1307-Calc!F20)),(Inputs!$B$23+0+(IF(ArtifactsInput!$M$15,CHOOSE(ArtifactsInput!$N$15+1,25,30,35,40,45,50)/100*(Inputs!$B$11-Inputs!$B$11),0))))/100+(Inputs!$B$23+0+(IF(ArtifactsInput!$M$15,CHOOSE(ArtifactsInput!$N$15+1,25,30,35,40,45,50)/100*(Inputs!$B$11-Inputs!$B$11),0)))/100)/2</f>
        <v/>
      </c>
      <c r="M1294">
        <f>L1294*(1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IF(B1322=0,0,O1294/B1322)</f>
        <v/>
      </c>
      <c r="Q1294">
        <f>IFERROR(1/(IF(Inputs!$B$38="pvp",15,MAX(0.1,Skills!D7-IF(Skills!E7=TRUE,Inputs!$B$32,0)))*(1-IF(AND(ArtifactsInput!$M$27,Inputs!$B$4="Chapter Hunt"),CHOOSE(ArtifactsInput!$N$27+1,20,24,28,32,36,40),0)/100)),0)</f>
        <v/>
      </c>
      <c r="R1294">
        <f>IF(AND(Inputs!$B$38&lt;&gt;"pvp",Inputs!$B$43&gt;0),IF(MAX(0,Inputs!$B$43-B1319)&lt;=0,0,(INT(MAX(0,Inputs!$B$43-B1319)/(IF(Inputs!$B$38="pvp",15,MAX(0.1,Skills!D7-IF(Skills!E7=TRUE,Inputs!$B$32,0)))*(1-IF(AND(ArtifactsInput!$M$27,Inputs!$B$4="Chapter Hunt"),CHOOSE(ArtifactsInput!$N$27+1,20,24,28,32,36,40),0)/100)))+1)),0)</f>
        <v/>
      </c>
      <c r="S1294">
        <f>IFERROR(O1294/N1294,0)</f>
        <v/>
      </c>
      <c r="T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$21+Skills!Q7+(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Skills!A8</f>
        <v/>
      </c>
      <c r="B1295">
        <f>Skills!B8</f>
        <v/>
      </c>
      <c r="C1295">
        <f>Inputs!$B$3&gt;=110</f>
        <v/>
      </c>
      <c r="D1295">
        <f>IF(Skills!C8=1,60+Inputs!$B$25+Inputs!$B$29,IF(Skills!C8=2,90+Inputs!$B$26+Inputs!$B$29,IF(Skills!C8=3,120+Inputs!$B$27+Inputs!$B$29,MAX(0,(Inputs!$B$3-100)*3)+Inputs!$B$28+Inputs!$B$29)))</f>
        <v/>
      </c>
      <c r="E1295">
        <f>INDEX(FactorTable!$B$2:$Y$301, MATCH(ROUND(MIN(300,MAX(1,D1295)),0), FactorTable!$A$2:$A$301,0), Skills!M8+1)</f>
        <v/>
      </c>
      <c r="F1295">
        <f>IF(Skills!N8=TRUE,(Skills!L8/10)*(E1295/1000),Skills!L8/10)+Skills!O8</f>
        <v/>
      </c>
      <c r="G1295">
        <f>Skills!G8*IF(Skills!H8&gt;0,Skills!I8/Skills!H8,1)</f>
        <v/>
      </c>
      <c r="H1295">
        <f>1-(1-Skills!J8/100)^Skills!K8</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1307=TRUE)*(F1307-Calc!F20)),(Inputs!$B$23+0+(IF(ArtifactsInput!$M$15,CHOOSE(ArtifactsInput!$N$15+1,25,30,35,40,45,50)/100*(Inputs!$B$11-Inputs!$B$11),0))))/100+(Inputs!$B$23+0+(IF(ArtifactsInput!$M$15,CHOOSE(ArtifactsInput!$N$15+1,25,30,35,40,45,50)/100*(Inputs!$B$11-Inputs!$B$11),0)))/100)/2</f>
        <v/>
      </c>
      <c r="M1295">
        <f>L1295*(1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IF(B1322=0,0,O1295/B1322)</f>
        <v/>
      </c>
      <c r="Q1295">
        <f>IFERROR(1/(IF(Inputs!$B$38="pvp",15,MAX(0.1,Skills!D8-IF(Skills!E8=TRUE,Inputs!$B$32,0)))*(1-IF(AND(ArtifactsInput!$M$27,Inputs!$B$4="Chapter Hunt"),CHOOSE(ArtifactsInput!$N$27+1,20,24,28,32,36,40),0)/100)),0)</f>
        <v/>
      </c>
      <c r="R1295">
        <f>IF(AND(Inputs!$B$38&lt;&gt;"pvp",Inputs!$B$43&gt;0),IF(MAX(0,Inputs!$B$43-B1319)&lt;=0,0,(INT(MAX(0,Inputs!$B$43-B1319)/(IF(Inputs!$B$38="pvp",15,MAX(0.1,Skills!D8-IF(Skills!E8=TRUE,Inputs!$B$32,0)))*(1-IF(AND(ArtifactsInput!$M$27,Inputs!$B$4="Chapter Hunt"),CHOOSE(ArtifactsInput!$N$27+1,20,24,28,32,36,40),0)/100)))+1)),0)</f>
        <v/>
      </c>
      <c r="S1295">
        <f>IFERROR(O1295/N1295,0)</f>
        <v/>
      </c>
      <c r="T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$21+Skills!Q8+(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Skills!A9</f>
        <v/>
      </c>
      <c r="B1296">
        <f>Skills!B9</f>
        <v/>
      </c>
      <c r="C1296">
        <f>Inputs!$B$3&gt;=110</f>
        <v/>
      </c>
      <c r="D1296">
        <f>IF(Skills!C9=1,60+Inputs!$B$25+Inputs!$B$29,IF(Skills!C9=2,90+Inputs!$B$26+Inputs!$B$29,IF(Skills!C9=3,120+Inputs!$B$27+Inputs!$B$29,MAX(0,(Inputs!$B$3-100)*3)+Inputs!$B$28+Inputs!$B$29)))</f>
        <v/>
      </c>
      <c r="E1296">
        <f>INDEX(FactorTable!$B$2:$Y$301, MATCH(ROUND(MIN(300,MAX(1,D1296)),0), FactorTable!$A$2:$A$301,0), Skills!M9+1)</f>
        <v/>
      </c>
      <c r="F1296">
        <f>IF(Skills!N9=TRUE,(Skills!L9/10)*(E1296/1000),Skills!L9/10)+Skills!O9</f>
        <v/>
      </c>
      <c r="G1296">
        <f>Skills!G9*IF(Skills!H9&gt;0,Skills!I9/Skills!H9,1)</f>
        <v/>
      </c>
      <c r="H1296">
        <f>1-(1-Skills!J9/100)^Skills!K9</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1307=TRUE)*(F1307-Calc!F20)),(Inputs!$B$23+0+(IF(ArtifactsInput!$M$15,CHOOSE(ArtifactsInput!$N$15+1,25,30,35,40,45,50)/100*(Inputs!$B$11-Inputs!$B$11),0))))/100+(Inputs!$B$23+0+(IF(ArtifactsInput!$M$15,CHOOSE(ArtifactsInput!$N$15+1,25,30,35,40,45,50)/100*(Inputs!$B$11-Inputs!$B$11),0)))/100)/2</f>
        <v/>
      </c>
      <c r="M1296">
        <f>L1296*(1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IF(B1322=0,0,O1296/B1322)</f>
        <v/>
      </c>
      <c r="Q1296">
        <f>IFERROR(1/(IF(Inputs!$B$38="pvp",15,MAX(0.1,Skills!D9-IF(Skills!E9=TRUE,Inputs!$B$32,0)))*(1-IF(AND(ArtifactsInput!$M$27,Inputs!$B$4="Chapter Hunt"),CHOOSE(ArtifactsInput!$N$27+1,20,24,28,32,36,40),0)/100)),0)</f>
        <v/>
      </c>
      <c r="R1296">
        <f>IF(AND(Inputs!$B$38&lt;&gt;"pvp",Inputs!$B$43&gt;0),IF(MAX(0,Inputs!$B$43-B1319)&lt;=0,0,(INT(MAX(0,Inputs!$B$43-B1319)/(IF(Inputs!$B$38="pvp",15,MAX(0.1,Skills!D9-IF(Skills!E9=TRUE,Inputs!$B$32,0)))*(1-IF(AND(ArtifactsInput!$M$27,Inputs!$B$4="Chapter Hunt"),CHOOSE(ArtifactsInput!$N$27+1,20,24,28,32,36,40),0)/100)))+1)),0)</f>
        <v/>
      </c>
      <c r="S1296">
        <f>IFERROR(O1296/N1296,0)</f>
        <v/>
      </c>
      <c r="T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$21+Skills!Q9+(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Skills!A10</f>
        <v/>
      </c>
      <c r="B1297">
        <f>Skills!B10</f>
        <v/>
      </c>
      <c r="C1297">
        <f>Inputs!$B$3&gt;=103</f>
        <v/>
      </c>
      <c r="D1297">
        <f>IF(Skills!C10=1,60+Inputs!$B$25+Inputs!$B$29,IF(Skills!C10=2,90+Inputs!$B$26+Inputs!$B$29,IF(Skills!C10=3,120+Inputs!$B$27+Inputs!$B$29,MAX(0,(Inputs!$B$3-100)*3)+Inputs!$B$28+Inputs!$B$29)))</f>
        <v/>
      </c>
      <c r="E1297">
        <f>INDEX(FactorTable!$B$2:$Y$301, MATCH(ROUND(MIN(300,MAX(1,D1297)),0), FactorTable!$A$2:$A$301,0), Skills!M10+1)</f>
        <v/>
      </c>
      <c r="F1297">
        <f>IF(Skills!N10=TRUE,(Skills!L10/10)*(E1297/1000),Skills!L10/10)+Skills!O10</f>
        <v/>
      </c>
      <c r="G1297">
        <f>Skills!G10*IF(Skills!H10&gt;0,Skills!I10/Skills!H10,1)</f>
        <v/>
      </c>
      <c r="H1297">
        <f>1-(1-Skills!J10/100)^Skills!K10</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1307=TRUE)*(F1307-Calc!F20)),(Inputs!$B$23+0+(IF(ArtifactsInput!$M$15,CHOOSE(ArtifactsInput!$N$15+1,25,30,35,40,45,50)/100*(Inputs!$B$11-Inputs!$B$11),0))))/100+(Inputs!$B$23+0+(IF(ArtifactsInput!$M$15,CHOOSE(ArtifactsInput!$N$15+1,25,30,35,40,45,50)/100*(Inputs!$B$11-Inputs!$B$11),0)))/100)/2</f>
        <v/>
      </c>
      <c r="M1297">
        <f>L1297*(1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IF(B1322=0,0,O1297/B1322)</f>
        <v/>
      </c>
      <c r="Q1297">
        <f>IFERROR(1/(IF(Inputs!$B$38="pvp",15,MAX(0.1,Skills!D10-IF(Skills!E10=TRUE,Inputs!$B$32,0)))*(1-IF(AND(ArtifactsInput!$M$27,Inputs!$B$4="Chapter Hunt"),CHOOSE(ArtifactsInput!$N$27+1,20,24,28,32,36,40),0)/100)),0)</f>
        <v/>
      </c>
      <c r="R1297">
        <f>IF(AND(Inputs!$B$38&lt;&gt;"pvp",Inputs!$B$43&gt;0),IF(MAX(0,Inputs!$B$43-B1319)&lt;=0,0,(INT(MAX(0,Inputs!$B$43-B1319)/(IF(Inputs!$B$38="pvp",15,MAX(0.1,Skills!D10-IF(Skills!E10=TRUE,Inputs!$B$32,0)))*(1-IF(AND(ArtifactsInput!$M$27,Inputs!$B$4="Chapter Hunt"),CHOOSE(ArtifactsInput!$N$27+1,20,24,28,32,36,40),0)/100)))+1)),0)</f>
        <v/>
      </c>
      <c r="S1297">
        <f>IFERROR(O1297/N1297,0)</f>
        <v/>
      </c>
      <c r="T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$21+Skills!Q10+(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Skills!A11</f>
        <v/>
      </c>
      <c r="B1298">
        <f>Skills!B11</f>
        <v/>
      </c>
      <c r="C1298">
        <f>Inputs!$B$3&gt;=113</f>
        <v/>
      </c>
      <c r="D1298">
        <f>IF(Skills!C11=1,60+Inputs!$B$25+Inputs!$B$29,IF(Skills!C11=2,90+Inputs!$B$26+Inputs!$B$29,IF(Skills!C11=3,120+Inputs!$B$27+Inputs!$B$29,MAX(0,(Inputs!$B$3-100)*3)+Inputs!$B$28+Inputs!$B$29)))</f>
        <v/>
      </c>
      <c r="E1298">
        <f>INDEX(FactorTable!$B$2:$Y$301, MATCH(ROUND(MIN(300,MAX(1,D1298)),0), FactorTable!$A$2:$A$301,0), Skills!M11+1)</f>
        <v/>
      </c>
      <c r="F1298">
        <f>IF(Skills!N11=TRUE,(Skills!L11/10)*(E1298/1000),Skills!L11/10)+Skills!O11</f>
        <v/>
      </c>
      <c r="G1298">
        <f>Skills!G11*IF(Skills!H11&gt;0,Skills!I11/Skills!H11,1)</f>
        <v/>
      </c>
      <c r="H1298">
        <f>1-(1-Skills!J11/100)^Skills!K11</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1307=TRUE)*(F1307-Calc!F20)),(Inputs!$B$23+0+(IF(ArtifactsInput!$M$15,CHOOSE(ArtifactsInput!$N$15+1,25,30,35,40,45,50)/100*(Inputs!$B$11-Inputs!$B$11),0))))/100+(Inputs!$B$23+0+(IF(ArtifactsInput!$M$15,CHOOSE(ArtifactsInput!$N$15+1,25,30,35,40,45,50)/100*(Inputs!$B$11-Inputs!$B$11),0)))/100)/2</f>
        <v/>
      </c>
      <c r="M1298">
        <f>L1298*(1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IF(B1322=0,0,O1298/B1322)</f>
        <v/>
      </c>
      <c r="Q1298">
        <f>IFERROR(1/(IF(Inputs!$B$38="pvp",15,MAX(0.1,Skills!D11-IF(Skills!E11=TRUE,Inputs!$B$32,0)))*(1-IF(AND(ArtifactsInput!$M$27,Inputs!$B$4="Chapter Hunt"),CHOOSE(ArtifactsInput!$N$27+1,20,24,28,32,36,40),0)/100)),0)</f>
        <v/>
      </c>
      <c r="R1298">
        <f>IF(AND(Inputs!$B$38&lt;&gt;"pvp",Inputs!$B$43&gt;0),IF(MAX(0,Inputs!$B$43-B1319)&lt;=0,0,(INT(MAX(0,Inputs!$B$43-B1319)/(IF(Inputs!$B$38="pvp",15,MAX(0.1,Skills!D11-IF(Skills!E11=TRUE,Inputs!$B$32,0)))*(1-IF(AND(ArtifactsInput!$M$27,Inputs!$B$4="Chapter Hunt"),CHOOSE(ArtifactsInput!$N$27+1,20,24,28,32,36,40),0)/100)))+1)),0)</f>
        <v/>
      </c>
      <c r="S1298">
        <f>IFERROR(O1298/N1298,0)</f>
        <v/>
      </c>
      <c r="T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$21+Skills!Q11+(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Skills!A12</f>
        <v/>
      </c>
      <c r="B1299">
        <f>Skills!B12</f>
        <v/>
      </c>
      <c r="C1299">
        <f>Inputs!$B$3&gt;=100</f>
        <v/>
      </c>
      <c r="D1299">
        <f>IF(Skills!C12=1,60+Inputs!$B$25+Inputs!$B$29,IF(Skills!C12=2,90+Inputs!$B$26+Inputs!$B$29,IF(Skills!C12=3,120+Inputs!$B$27+Inputs!$B$29,MAX(0,(Inputs!$B$3-100)*3)+Inputs!$B$28+Inputs!$B$29)))</f>
        <v/>
      </c>
      <c r="E1299">
        <f>INDEX(FactorTable!$B$2:$Y$301, MATCH(ROUND(MIN(300,MAX(1,D1299)),0), FactorTable!$A$2:$A$301,0), Skills!M12+1)</f>
        <v/>
      </c>
      <c r="F1299">
        <f>IF(Skills!N12=TRUE,(Skills!L12/10)*(E1299/1000),Skills!L12/10)+Skills!O12</f>
        <v/>
      </c>
      <c r="G1299" t="inlineStr"/>
      <c r="H1299" t="inlineStr"/>
      <c r="I1299" t="inlineStr">
        <is>
          <t>1</t>
        </is>
      </c>
      <c r="J1299" t="inlineStr"/>
      <c r="K1299" t="inlineStr"/>
      <c r="L1299" t="inlineStr"/>
      <c r="M1299" t="inlineStr"/>
      <c r="N1299" t="inlineStr"/>
      <c r="O1299" t="inlineStr"/>
      <c r="P1299" t="inlineStr"/>
      <c r="Q1299" t="inlineStr"/>
      <c r="R1299" t="inlineStr"/>
      <c r="S1299" t="inlineStr"/>
      <c r="T1299" t="inlineStr"/>
      <c r="V1299" t="inlineStr"/>
    </row>
    <row r="1300">
      <c r="A1300">
        <f>Skills!A13</f>
        <v/>
      </c>
      <c r="B1300">
        <f>Skills!B13</f>
        <v/>
      </c>
      <c r="C1300">
        <f>Inputs!$B$3&gt;=66</f>
        <v/>
      </c>
      <c r="D1300">
        <f>IF(Skills!C13=1,60+Inputs!$B$25+Inputs!$B$29,IF(Skills!C13=2,90+Inputs!$B$26+Inputs!$B$29,IF(Skills!C13=3,120+Inputs!$B$27+Inputs!$B$29,MAX(0,(Inputs!$B$3-100)*3)+Inputs!$B$28+Inputs!$B$29)))</f>
        <v/>
      </c>
      <c r="E1300">
        <f>INDEX(FactorTable!$B$2:$Y$301, MATCH(ROUND(MIN(300,MAX(1,D1300)),0), FactorTable!$A$2:$A$301,0), Skills!M13+1)</f>
        <v/>
      </c>
      <c r="F1300">
        <f>IF(Skills!N13=TRUE,(Skills!L13/10)*(E1300/1000),Skills!L13/10)+Skills!O13</f>
        <v/>
      </c>
      <c r="G1300">
        <f>Skills!G13*IF(Skills!H13&gt;0,Skills!I13/Skills!H13,1)</f>
        <v/>
      </c>
      <c r="H1300">
        <f>1-(1-Skills!J13/100)^Skills!K13</f>
        <v/>
      </c>
      <c r="I1300" t="inlineStr">
        <is>
          <t>1</t>
        </is>
      </c>
      <c r="J1300" t="inlineStr"/>
      <c r="K1300" t="inlineStr"/>
      <c r="L1300" t="inlineStr"/>
      <c r="M1300" t="inlineStr"/>
      <c r="N1300" t="inlineStr"/>
      <c r="O1300">
        <f>(1-Summary!$B$11)*T1300+Summary!$B$11*V1300</f>
        <v/>
      </c>
      <c r="P1300">
        <f>IF(B1322=0,0,O1300/B1322)</f>
        <v/>
      </c>
      <c r="Q1300" t="n">
        <v>0</v>
      </c>
      <c r="R1300" t="n">
        <v>0</v>
      </c>
      <c r="S1300">
        <f>IFERROR(O1300/N1300,0)</f>
        <v/>
      </c>
      <c r="T1300" t="n">
        <v>0</v>
      </c>
      <c r="V1300" t="n">
        <v>0</v>
      </c>
    </row>
    <row r="1301">
      <c r="A1301">
        <f>Skills!A14</f>
        <v/>
      </c>
      <c r="B1301">
        <f>Skills!B14</f>
        <v/>
      </c>
      <c r="C1301">
        <f>Inputs!$B$3&gt;=107</f>
        <v/>
      </c>
      <c r="D1301">
        <f>IF(Skills!C14=1,60+Inputs!$B$25+Inputs!$B$29,IF(Skills!C14=2,90+Inputs!$B$26+Inputs!$B$29,IF(Skills!C14=3,120+Inputs!$B$27+Inputs!$B$29,MAX(0,(Inputs!$B$3-100)*3)+Inputs!$B$28+Inputs!$B$29)))</f>
        <v/>
      </c>
      <c r="E1301">
        <f>INDEX(FactorTable!$B$2:$Y$301, MATCH(ROUND(MIN(300,MAX(1,D1301)),0), FactorTable!$A$2:$A$301,0), Skills!M14+1)</f>
        <v/>
      </c>
      <c r="F1301">
        <f>IF(Skills!N14=TRUE,(Skills!L14/10)*(E1301/1000),Skills!L14/10)+Skills!O14</f>
        <v/>
      </c>
      <c r="G1301">
        <f>Skills!G14*IF(Skills!H14&gt;0,Skills!I14/Skills!H14,1)</f>
        <v/>
      </c>
      <c r="H1301">
        <f>1-(1-Skills!J14/100)^Skills!K14</f>
        <v/>
      </c>
      <c r="I1301" t="inlineStr">
        <is>
          <t>1</t>
        </is>
      </c>
      <c r="J1301" t="inlineStr"/>
      <c r="K1301" t="inlineStr"/>
      <c r="L1301" t="inlineStr"/>
      <c r="M1301" t="inlineStr"/>
      <c r="N1301" t="inlineStr"/>
      <c r="O1301">
        <f>(1-Summary!$B$11)*T1301+Summary!$B$11*V1301</f>
        <v/>
      </c>
      <c r="P1301">
        <f>IF(B1322=0,0,O1301/B1322)</f>
        <v/>
      </c>
      <c r="Q1301" t="n">
        <v>0</v>
      </c>
      <c r="R1301" t="n">
        <v>0</v>
      </c>
      <c r="S1301">
        <f>IFERROR(O1301/N1301,0)</f>
        <v/>
      </c>
      <c r="T1301" t="n">
        <v>0</v>
      </c>
      <c r="V1301" t="n">
        <v>0</v>
      </c>
    </row>
    <row r="1302">
      <c r="A1302">
        <f>Skills!A15</f>
        <v/>
      </c>
      <c r="B1302">
        <f>Skills!B15</f>
        <v/>
      </c>
      <c r="C1302">
        <f>Inputs!$B$3&gt;=115</f>
        <v/>
      </c>
      <c r="D1302">
        <f>IF(Skills!C15=1,60+Inputs!$B$25+Inputs!$B$29,IF(Skills!C15=2,90+Inputs!$B$26+Inputs!$B$29,IF(Skills!C15=3,120+Inputs!$B$27+Inputs!$B$29,MAX(0,(Inputs!$B$3-100)*3)+Inputs!$B$28+Inputs!$B$29)))</f>
        <v/>
      </c>
      <c r="E1302">
        <f>INDEX(FactorTable!$B$2:$Y$301, MATCH(ROUND(MIN(300,MAX(1,D1302)),0), FactorTable!$A$2:$A$301,0), Skills!M15+1)</f>
        <v/>
      </c>
      <c r="F1302">
        <f>IF(Skills!N15=TRUE,(Skills!L15/10)*(E1302/1000),Skills!L15/10)+Skills!O15</f>
        <v/>
      </c>
      <c r="G1302">
        <f>Skills!G15*IF(Skills!H15&gt;0,Skills!I15/Skills!H15,1)</f>
        <v/>
      </c>
      <c r="H1302">
        <f>1-(1-Skills!J15/100)^Skills!K15</f>
        <v/>
      </c>
      <c r="I1302" t="inlineStr">
        <is>
          <t>1</t>
        </is>
      </c>
      <c r="J1302" t="inlineStr"/>
      <c r="K1302" t="inlineStr"/>
      <c r="L1302" t="inlineStr"/>
      <c r="M1302" t="inlineStr"/>
      <c r="N1302" t="inlineStr"/>
      <c r="O1302">
        <f>(1-Summary!$B$11)*T1302+Summary!$B$11*V1302</f>
        <v/>
      </c>
      <c r="P1302">
        <f>IF(B1322=0,0,O1302/B1322)</f>
        <v/>
      </c>
      <c r="Q1302" t="n">
        <v>0</v>
      </c>
      <c r="R1302" t="n">
        <v>0</v>
      </c>
      <c r="S1302">
        <f>IFERROR(O1302/N1302,0)</f>
        <v/>
      </c>
      <c r="T1302" t="n">
        <v>0</v>
      </c>
      <c r="V1302" t="n">
        <v>0</v>
      </c>
    </row>
    <row r="1303">
      <c r="A1303">
        <f>Skills!A16</f>
        <v/>
      </c>
      <c r="B1303">
        <f>Skills!B16</f>
        <v/>
      </c>
      <c r="C1303">
        <f>Inputs!$B$3&gt;=15</f>
        <v/>
      </c>
      <c r="D1303">
        <f>IF(Skills!C16=1,60+Inputs!$B$25+Inputs!$B$29,IF(Skills!C16=2,90+Inputs!$B$26+Inputs!$B$29,IF(Skills!C16=3,120+Inputs!$B$27+Inputs!$B$29,MAX(0,(Inputs!$B$3-100)*3)+Inputs!$B$28+Inputs!$B$29)))</f>
        <v/>
      </c>
      <c r="E1303">
        <f>INDEX(FactorTable!$B$2:$Y$301, MATCH(ROUND(MIN(300,MAX(1,D1303)),0), FactorTable!$A$2:$A$301,0), Skills!M16+1)</f>
        <v/>
      </c>
      <c r="F1303">
        <f>IF(Skills!N16=TRUE,(Skills!L16/10)*(E1303/1000),Skills!L16/10)+Skills!O16</f>
        <v/>
      </c>
      <c r="G1303">
        <f>Skills!G16*IF(Skills!H16&gt;0,Skills!I16/Skills!H16,1)</f>
        <v/>
      </c>
      <c r="H1303">
        <f>1-(1-Skills!J16/100)^Skills!K16</f>
        <v/>
      </c>
      <c r="I1303" t="inlineStr">
        <is>
          <t>1</t>
        </is>
      </c>
      <c r="J1303" t="inlineStr"/>
      <c r="K1303" t="inlineStr"/>
      <c r="L1303" t="inlineStr"/>
      <c r="M1303" t="inlineStr"/>
      <c r="N1303" t="inlineStr"/>
      <c r="O1303">
        <f>(1-Summary!$B$11)*T1303+Summary!$B$11*V1303</f>
        <v/>
      </c>
      <c r="P1303">
        <f>IF(B1322=0,0,O1303/B1322)</f>
        <v/>
      </c>
      <c r="Q1303" t="n">
        <v>0</v>
      </c>
      <c r="R1303" t="n">
        <v>0</v>
      </c>
      <c r="S1303">
        <f>IFERROR(O1303/N1303,0)</f>
        <v/>
      </c>
      <c r="T1303" t="n">
        <v>0</v>
      </c>
      <c r="V1303" t="n">
        <v>0</v>
      </c>
    </row>
    <row r="1304">
      <c r="A1304">
        <f>Skills!A17</f>
        <v/>
      </c>
      <c r="B1304">
        <f>Skills!B17</f>
        <v/>
      </c>
      <c r="C1304">
        <f>Inputs!$B$3&gt;=10</f>
        <v/>
      </c>
      <c r="D1304">
        <f>IF(Skills!C17=1,60+Inputs!$B$25+Inputs!$B$29,IF(Skills!C17=2,90+Inputs!$B$26+Inputs!$B$29,IF(Skills!C17=3,120+Inputs!$B$27+Inputs!$B$29,MAX(0,(Inputs!$B$3-100)*3)+Inputs!$B$28+Inputs!$B$29)))</f>
        <v/>
      </c>
      <c r="E1304">
        <f>INDEX(FactorTable!$B$2:$Y$301, MATCH(ROUND(MIN(300,MAX(1,D1304)),0), FactorTable!$A$2:$A$301,0), Skills!M17+1)</f>
        <v/>
      </c>
      <c r="F1304">
        <f>IF(Skills!N17=TRUE,(Skills!L17/10)*(E1304/1000),Skills!L17/10)+Skills!O17</f>
        <v/>
      </c>
      <c r="G1304">
        <f>Skills!G17*IF(Skills!H17&gt;0,Skills!I17/Skills!H17,1)</f>
        <v/>
      </c>
      <c r="H1304">
        <f>1-(1-Skills!J17/100)^Skills!K17</f>
        <v/>
      </c>
      <c r="I1304" t="inlineStr">
        <is>
          <t>1</t>
        </is>
      </c>
      <c r="J1304" t="inlineStr"/>
      <c r="K1304" t="inlineStr"/>
      <c r="L1304" t="inlineStr"/>
      <c r="M1304" t="inlineStr"/>
      <c r="N1304" t="inlineStr"/>
      <c r="O1304">
        <f>(1-Summary!$B$11)*T1304+Summary!$B$11*V1304</f>
        <v/>
      </c>
      <c r="P1304">
        <f>IF(B1322=0,0,O1304/B1322)</f>
        <v/>
      </c>
      <c r="Q1304" t="n">
        <v>0</v>
      </c>
      <c r="R1304" t="n">
        <v>0</v>
      </c>
      <c r="S1304">
        <f>IFERROR(O1304/N1304,0)</f>
        <v/>
      </c>
      <c r="T1304" t="n">
        <v>0</v>
      </c>
      <c r="V1304" t="n">
        <v>0</v>
      </c>
    </row>
    <row r="1305">
      <c r="A1305">
        <f>Skills!A18</f>
        <v/>
      </c>
      <c r="B1305">
        <f>Skills!B18</f>
        <v/>
      </c>
      <c r="C1305">
        <f>Inputs!$B$3&gt;=33</f>
        <v/>
      </c>
      <c r="D1305">
        <f>IF(Skills!C18=1,60+Inputs!$B$25+Inputs!$B$29,IF(Skills!C18=2,90+Inputs!$B$26+Inputs!$B$29,IF(Skills!C18=3,120+Inputs!$B$27+Inputs!$B$29,MAX(0,(Inputs!$B$3-100)*3)+Inputs!$B$28+Inputs!$B$29)))</f>
        <v/>
      </c>
      <c r="E1305">
        <f>INDEX(FactorTable!$B$2:$Y$301, MATCH(ROUND(MIN(300,MAX(1,D1305)),0), FactorTable!$A$2:$A$301,0), Skills!M18+1)</f>
        <v/>
      </c>
      <c r="F1305">
        <f>IF(Skills!N18=TRUE,(Skills!L18/10)*(E1305/1000),Skills!L18/10)+Skills!O18</f>
        <v/>
      </c>
      <c r="G1305">
        <f>Skills!G18*IF(Skills!H18&gt;0,Skills!I18/Skills!H18,1)</f>
        <v/>
      </c>
      <c r="H1305">
        <f>1-(1-Skills!J18/100)^Skills!K18</f>
        <v/>
      </c>
      <c r="I1305" t="inlineStr">
        <is>
          <t>1</t>
        </is>
      </c>
      <c r="J1305" t="inlineStr"/>
      <c r="K1305" t="inlineStr"/>
      <c r="L1305" t="inlineStr"/>
      <c r="M1305" t="inlineStr"/>
      <c r="N1305" t="inlineStr"/>
      <c r="O1305">
        <f>(1-Summary!$B$11)*T1305+Summary!$B$11*V1305</f>
        <v/>
      </c>
      <c r="P1305">
        <f>IF(B1322=0,0,O1305/B1322)</f>
        <v/>
      </c>
      <c r="Q1305" t="n">
        <v>0</v>
      </c>
      <c r="R1305" t="n">
        <v>0</v>
      </c>
      <c r="S1305">
        <f>IFERROR(O1305/N1305,0)</f>
        <v/>
      </c>
      <c r="T1305" t="n">
        <v>0</v>
      </c>
      <c r="V1305" t="n">
        <v>0</v>
      </c>
    </row>
    <row r="1306">
      <c r="A1306">
        <f>Skills!A19</f>
        <v/>
      </c>
      <c r="B1306">
        <f>Skills!B19</f>
        <v/>
      </c>
      <c r="C1306">
        <f>Inputs!$B$3&gt;=40</f>
        <v/>
      </c>
      <c r="D1306">
        <f>IF(Skills!C19=1,60+Inputs!$B$25+Inputs!$B$29,IF(Skills!C19=2,90+Inputs!$B$26+Inputs!$B$29,IF(Skills!C19=3,120+Inputs!$B$27+Inputs!$B$29,MAX(0,(Inputs!$B$3-100)*3)+Inputs!$B$28+Inputs!$B$29)))</f>
        <v/>
      </c>
      <c r="E1306">
        <f>INDEX(FactorTable!$B$2:$Y$301, MATCH(ROUND(MIN(300,MAX(1,D1306)),0), FactorTable!$A$2:$A$301,0), Skills!M19+1)</f>
        <v/>
      </c>
      <c r="F1306">
        <f>IF(Skills!N19=TRUE,(Skills!L19/10)*(E1306/1000),Skills!L19/10)+Skills!O19</f>
        <v/>
      </c>
      <c r="G1306">
        <f>Skills!G19*IF(Skills!H19&gt;0,Skills!I19/Skills!H19,1)</f>
        <v/>
      </c>
      <c r="H1306">
        <f>1-(1-Skills!J19/100)^Skills!K19</f>
        <v/>
      </c>
      <c r="I1306" t="inlineStr">
        <is>
          <t>1</t>
        </is>
      </c>
      <c r="J1306" t="inlineStr"/>
      <c r="K1306" t="inlineStr"/>
      <c r="L1306" t="inlineStr"/>
      <c r="M1306" t="inlineStr"/>
      <c r="N1306" t="inlineStr"/>
      <c r="O1306">
        <f>(1-Summary!$B$11)*T1306+Summary!$B$11*V1306</f>
        <v/>
      </c>
      <c r="P1306">
        <f>IF(B1322=0,0,O1306/B1322)</f>
        <v/>
      </c>
      <c r="Q1306" t="n">
        <v>0</v>
      </c>
      <c r="R1306" t="n">
        <v>0</v>
      </c>
      <c r="S1306">
        <f>IFERROR(O1306/N1306,0)</f>
        <v/>
      </c>
      <c r="T1306" t="n">
        <v>0</v>
      </c>
      <c r="V1306" t="n">
        <v>0</v>
      </c>
    </row>
    <row r="1307">
      <c r="A1307">
        <f>Skills!A20</f>
        <v/>
      </c>
      <c r="B1307">
        <f>Skills!B20</f>
        <v/>
      </c>
      <c r="C1307">
        <f>Inputs!$B$3&gt;=43</f>
        <v/>
      </c>
      <c r="D1307">
        <f>IF(Skills!C20=1,60+Inputs!$B$25+Inputs!$B$29,IF(Skills!C20=2,90+Inputs!$B$26+Inputs!$B$29,IF(Skills!C20=3,120+Inputs!$B$27+Inputs!$B$29,MAX(0,(Inputs!$B$3-100)*3)+Inputs!$B$28+Inputs!$B$29)))</f>
        <v/>
      </c>
      <c r="E1307">
        <f>INDEX(FactorTable!$B$2:$Y$301, MATCH(ROUND(MIN(300,MAX(1,D1307)),0), FactorTable!$A$2:$A$301,0), Skills!M20+1)</f>
        <v/>
      </c>
      <c r="F1307">
        <f>IF(Skills!N20=TRUE,(Skills!L20/10)*(E1307/1000),Skills!L20/10)+Skills!O20</f>
        <v/>
      </c>
      <c r="G1307">
        <f>Skills!G20*IF(Skills!H20&gt;0,Skills!I20/Skills!H20,1)</f>
        <v/>
      </c>
      <c r="H1307">
        <f>1-(1-Skills!J20/100)^Skills!K20</f>
        <v/>
      </c>
      <c r="I1307" t="inlineStr">
        <is>
          <t>1</t>
        </is>
      </c>
      <c r="J1307" t="inlineStr"/>
      <c r="K1307" t="inlineStr"/>
      <c r="L1307" t="inlineStr"/>
      <c r="M1307" t="inlineStr"/>
      <c r="N1307" t="inlineStr"/>
      <c r="O1307">
        <f>(1-Summary!$B$11)*T1307+Summary!$B$11*V1307</f>
        <v/>
      </c>
      <c r="P1307">
        <f>IF(B1322=0,0,O1307/B1322)</f>
        <v/>
      </c>
      <c r="Q1307" t="n">
        <v>0</v>
      </c>
      <c r="R1307" t="n">
        <v>0</v>
      </c>
      <c r="S1307">
        <f>IFERROR(O1307/N1307,0)</f>
        <v/>
      </c>
      <c r="T1307" t="n">
        <v>0</v>
      </c>
      <c r="V1307" t="n">
        <v>0</v>
      </c>
    </row>
    <row r="1308">
      <c r="A1308">
        <f>Skills!A21</f>
        <v/>
      </c>
      <c r="B1308">
        <f>Skills!B21</f>
        <v/>
      </c>
      <c r="C1308">
        <f>Inputs!$B$3&gt;=38</f>
        <v/>
      </c>
      <c r="D1308">
        <f>IF(Skills!C21=1,60+Inputs!$B$25+Inputs!$B$29,IF(Skills!C21=2,90+Inputs!$B$26+Inputs!$B$29,IF(Skills!C21=3,120+Inputs!$B$27+Inputs!$B$29,MAX(0,(Inputs!$B$3-100)*3)+Inputs!$B$28+Inputs!$B$29)))</f>
        <v/>
      </c>
      <c r="E1308">
        <f>INDEX(FactorTable!$B$2:$Y$301, MATCH(ROUND(MIN(300,MAX(1,D1308)),0), FactorTable!$A$2:$A$301,0), Skills!M21+1)</f>
        <v/>
      </c>
      <c r="F1308">
        <f>IF(Skills!N21=TRUE,(Skills!L21/10)*(E1308/1000),Skills!L21/10)+Skills!O21</f>
        <v/>
      </c>
      <c r="G1308">
        <f>Skills!G21*IF(Skills!H21&gt;0,Skills!I21/Skills!H21,1)</f>
        <v/>
      </c>
      <c r="H1308">
        <f>1-(1-Skills!J21/100)^Skills!K21</f>
        <v/>
      </c>
      <c r="I1308" t="inlineStr">
        <is>
          <t>1</t>
        </is>
      </c>
      <c r="J1308" t="inlineStr"/>
      <c r="K1308" t="inlineStr"/>
      <c r="L1308" t="inlineStr"/>
      <c r="M1308" t="inlineStr"/>
      <c r="N1308" t="inlineStr"/>
      <c r="O1308">
        <f>(1-Summary!$B$11)*T1308+Summary!$B$11*V1308</f>
        <v/>
      </c>
      <c r="P1308">
        <f>IF(B1322=0,0,O1308/B1322)</f>
        <v/>
      </c>
      <c r="Q1308" t="n">
        <v>0</v>
      </c>
      <c r="R1308" t="n">
        <v>0</v>
      </c>
      <c r="S1308">
        <f>IFERROR(O1308/N1308,0)</f>
        <v/>
      </c>
      <c r="T1308" t="n">
        <v>0</v>
      </c>
      <c r="V1308" t="n">
        <v>0</v>
      </c>
    </row>
    <row r="1309">
      <c r="A1309">
        <f>Skills!A22</f>
        <v/>
      </c>
      <c r="B1309">
        <f>Skills!B22</f>
        <v/>
      </c>
      <c r="C1309">
        <f>Inputs!$B$3&gt;=75</f>
        <v/>
      </c>
      <c r="D1309">
        <f>IF(Skills!C22=1,60+Inputs!$B$25+Inputs!$B$29,IF(Skills!C22=2,90+Inputs!$B$26+Inputs!$B$29,IF(Skills!C22=3,120+Inputs!$B$27+Inputs!$B$29,MAX(0,(Inputs!$B$3-100)*3)+Inputs!$B$28+Inputs!$B$29)))</f>
        <v/>
      </c>
      <c r="E1309">
        <f>INDEX(FactorTable!$B$2:$Y$301, MATCH(ROUND(MIN(300,MAX(1,D1309)),0), FactorTable!$A$2:$A$301,0), Skills!M22+1)</f>
        <v/>
      </c>
      <c r="F1309">
        <f>IF(Skills!N22=TRUE,(Skills!L22/10)*(E1309/1000),Skills!L22/10)+Skills!O22</f>
        <v/>
      </c>
      <c r="G1309">
        <f>Skills!G22*IF(Skills!H22&gt;0,Skills!I22/Skills!H22,1)</f>
        <v/>
      </c>
      <c r="H1309">
        <f>1-(1-Skills!J22/100)^Skills!K22</f>
        <v/>
      </c>
      <c r="I1309" t="inlineStr">
        <is>
          <t>1</t>
        </is>
      </c>
      <c r="J1309" t="inlineStr"/>
      <c r="K1309" t="inlineStr"/>
      <c r="L1309" t="inlineStr"/>
      <c r="M1309" t="inlineStr"/>
      <c r="N1309" t="inlineStr"/>
      <c r="O1309">
        <f>(1-Summary!$B$11)*T1309+Summary!$B$11*V1309</f>
        <v/>
      </c>
      <c r="P1309">
        <f>IF(B1322=0,0,O1309/B1322)</f>
        <v/>
      </c>
      <c r="Q1309" t="n">
        <v>0</v>
      </c>
      <c r="R1309" t="n">
        <v>0</v>
      </c>
      <c r="S1309">
        <f>IFERROR(O1309/N1309,0)</f>
        <v/>
      </c>
      <c r="T1309" t="n">
        <v>0</v>
      </c>
      <c r="V1309" t="n">
        <v>0</v>
      </c>
    </row>
    <row r="1311">
      <c r="A1311" t="inlineStr">
        <is>
          <t>Attack% Bucket Multiplier</t>
        </is>
      </c>
      <c r="B1311">
        <f>(1+(((C1300=TRUE)*F1300)+((C1306=TRUE)*(F1306-Calc!F19))+(IF(ArtifactsInput!$M$21,CHOOSE(ArtifactsInput!$N$21+1,25,30,35,40,45,50)*(IF(OR(Inputs!$B$4="Chapter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2">
      <c r="A1312" t="inlineStr">
        <is>
          <t>Global Crit Rate Bonus %</t>
        </is>
      </c>
      <c r="B1312" t="n">
        <v>0</v>
      </c>
    </row>
    <row r="1313">
      <c r="A1313" t="inlineStr">
        <is>
          <t>Attack Speed Buff Bonus % (unused)</t>
        </is>
      </c>
      <c r="B1313" t="n">
        <v>0</v>
      </c>
    </row>
    <row r="1314">
      <c r="A1314" t="inlineStr">
        <is>
          <t>Actions Per Second</t>
        </is>
      </c>
      <c r="B1314">
        <f>1+MIN(150,150*(1-(1-(Inputs!$B$11+((C1304=TRUE)*(F1304-Calc!F17))+((C1305=TRUE)*(F1305-Calc!F18)))/150)*(1-B1313/150)))/100</f>
        <v/>
      </c>
    </row>
    <row r="1315">
      <c r="A1315" t="inlineStr">
        <is>
          <t>Skill + Buff Cast Rate</t>
        </is>
      </c>
      <c r="B1315">
        <f>IF(AND(Inputs!$B$38&lt;&gt;"pvp",Inputs!$B$43&gt;0),SUMPRODUCT((Skills!E2:E22=TRUE)*(C1289:C1309=TRUE)*R1289:R1309*Skills!F2:F22)/Inputs!$B$43,SUMPRODUCT((Skills!E2:E22=TRUE)*(C1289:C1309=TRUE)*Q1289:Q1309*Skills!F2:F22))</f>
        <v/>
      </c>
    </row>
    <row r="1316">
      <c r="A1316" t="inlineStr">
        <is>
          <t>Hook Bomber Casts Per Second</t>
        </is>
      </c>
      <c r="B1316">
        <f>MAX(0,B1314-B1315)</f>
        <v/>
      </c>
    </row>
    <row r="1317">
      <c r="A1317" t="inlineStr">
        <is>
          <t>Global Critical Damage Bonus % (unused)</t>
        </is>
      </c>
      <c r="B1317" t="n">
        <v>0</v>
      </c>
    </row>
    <row r="1318">
      <c r="A1318" t="inlineStr">
        <is>
          <t>Global Final Damage Bonus % (Serpent Scale + Crossbones + Time Leap + Speed Infusion)</t>
        </is>
      </c>
      <c r="B1318">
        <f>((C1292=TRUE)*F1292*((10+IF(Inputs!$B$3&gt;=94,5,0))/((10+IF(Inputs!$B$3&gt;=94,5,0))+5/(B1316*(1+IF(Inputs!$B$3&gt;=104,1,0))))))+((C1301=TRUE)*F1301)+((C1302=TRUE)*F1302)+((Inputs!$B$3&gt;=110)*20*(B1314-1))</f>
        <v/>
      </c>
    </row>
    <row r="1319">
      <c r="A1319" t="inlineStr">
        <is>
          <t>Buff-Casting Startup Delay (s, fixed-duration only)</t>
        </is>
      </c>
      <c r="B1319">
        <f>IF(AND(Inputs!$B$38&lt;&gt;"pvp",Inputs!$B$43&gt;0),SUMPRODUCT((Skills!T2:T22&gt;0)*(Skills!E2:E22=TRUE)*(C1289:C1309=TRUE))/B1314,0)</f>
        <v/>
      </c>
    </row>
    <row r="1320">
      <c r="A1320" t="inlineStr">
        <is>
          <t>Boss-Only Total DPS (this block's swept value)</t>
        </is>
      </c>
      <c r="B1320">
        <f>SUM(T1289:T1309)</f>
        <v/>
      </c>
    </row>
    <row r="1321">
      <c r="A1321" t="inlineStr">
        <is>
          <t>Normal-Only Total DPS (this block's swept value)</t>
        </is>
      </c>
      <c r="B1321">
        <f>SUM(V1289:V1309)</f>
        <v/>
      </c>
    </row>
    <row r="1322">
      <c r="A1322" s="6" t="inlineStr">
        <is>
          <t>TOTAL DPS</t>
        </is>
      </c>
      <c r="B1322" s="6">
        <f>SUM(O1289:O1309)</f>
        <v/>
      </c>
    </row>
    <row r="1325">
      <c r="A1325" s="6" t="inlineStr">
        <is>
          <t>Stat: Mushmom's Cap (Equip)</t>
        </is>
      </c>
    </row>
    <row r="1326">
      <c r="A1326" s="5" t="inlineStr">
        <is>
          <t>Key</t>
        </is>
      </c>
      <c r="B1326" s="5" t="inlineStr">
        <is>
          <t>Name</t>
        </is>
      </c>
      <c r="C1326" s="5" t="inlineStr">
        <is>
          <t>Unlocked</t>
        </is>
      </c>
      <c r="D1326" s="5" t="inlineStr">
        <is>
          <t>InputLevel</t>
        </is>
      </c>
      <c r="E1326" s="5" t="inlineStr">
        <is>
          <t>Factor</t>
        </is>
      </c>
      <c r="F1326" s="5" t="inlineStr">
        <is>
          <t>CoefficientPercent</t>
        </is>
      </c>
      <c r="G1326" s="5" t="inlineStr">
        <is>
          <t>EffectiveHits</t>
        </is>
      </c>
      <c r="H1326" s="5" t="inlineStr">
        <is>
          <t>ProcProbability</t>
        </is>
      </c>
      <c r="I1326" s="5" t="inlineStr">
        <is>
          <t>MapleHeroMultiplier</t>
        </is>
      </c>
      <c r="J1326" s="5" t="inlineStr">
        <is>
          <t>BaseDamage</t>
        </is>
      </c>
      <c r="K1326" s="5" t="inlineStr">
        <is>
          <t>BaseHitDamage</t>
        </is>
      </c>
      <c r="L1326" s="5" t="inlineStr">
        <is>
          <t>NonCritAvg</t>
        </is>
      </c>
      <c r="M1326" s="5" t="inlineStr">
        <is>
          <t>CritAvg</t>
        </is>
      </c>
      <c r="N1326" s="5" t="inlineStr">
        <is>
          <t>ExpectedDamage(perHit)</t>
        </is>
      </c>
      <c r="O1326" s="5" t="inlineStr">
        <is>
          <t>DPS</t>
        </is>
      </c>
      <c r="P1326" s="5" t="inlineStr">
        <is>
          <t>% of Total</t>
        </is>
      </c>
      <c r="Q1326" s="5" t="inlineStr">
        <is>
          <t>InvCooldown</t>
        </is>
      </c>
      <c r="R1326" s="5" t="inlineStr">
        <is>
          <t>CastsInFight</t>
        </is>
      </c>
      <c r="S1326" s="5" t="inlineStr">
        <is>
          <t>HitRate(perSec)</t>
        </is>
      </c>
      <c r="U1326" t="inlineStr">
        <is>
          <t>helpers</t>
        </is>
      </c>
    </row>
    <row r="1327">
      <c r="A1327">
        <f>Skills!A2</f>
        <v/>
      </c>
      <c r="B1327">
        <f>Skills!B2</f>
        <v/>
      </c>
      <c r="C1327">
        <f>Inputs!$B$3&gt;=100</f>
        <v/>
      </c>
      <c r="D1327" t="inlineStr"/>
      <c r="E1327" t="inlineStr"/>
      <c r="F1327">
        <f>U1329+Skills!O2</f>
        <v/>
      </c>
      <c r="G1327">
        <f>Skills!G2*IF(Skills!H2&gt;0,Skills!I2/Skills!H2,1)</f>
        <v/>
      </c>
      <c r="H1327">
        <f>1-(1-Skills!J2/100)^Skills!K2</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20)),(Inputs!$B$23+0+(IF(ArtifactsInput!$M$15,CHOOSE(ArtifactsInput!$N$15+1,25,30,35,40,45,50)/100*(Inputs!$B$11-Inputs!$B$11),0))))/100+(Inputs!$B$23+0+(IF(ArtifactsInput!$M$15,CHOOSE(ArtifactsInput!$N$15+1,25,30,35,40,45,50)/100*(Inputs!$B$11-Inputs!$B$11),0)))/100)/2</f>
        <v/>
      </c>
      <c r="M1327">
        <f>L1327*(1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IF(B1360=0,0,O1327/B1360)</f>
        <v/>
      </c>
      <c r="Q1327" t="n">
        <v>0</v>
      </c>
      <c r="R1327" t="n">
        <v>0</v>
      </c>
      <c r="S1327">
        <f>IFERROR(O1327/N1327,0)</f>
        <v/>
      </c>
      <c r="T1327">
        <f>IF(C1327,(Skills!G2*N1327*B1354)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7">
        <f>MAX(0,(Inputs!$B$3-100)*3)+Inputs!$B$28+Inputs!$B$29</f>
        <v/>
      </c>
      <c r="V1327">
        <f>IF(C1327,(Skills!G2*N1327*B1354)*IF(Inputs!$B$38="pvp",1,(1+(Inputs!$B$21+Skills!Q2+(IF(ArtifactsInput!$M$33,CHOOSE(ArtifactsInput!$N$33+1,30,36,42,48,54,60),0))+(IF(AND(ArtifactsInput!$M$35,Inputs!$B$4&lt;&gt;"Chapter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Skills!A3</f>
        <v/>
      </c>
      <c r="B1328">
        <f>Skills!B3</f>
        <v/>
      </c>
      <c r="C1328">
        <f>Inputs!$B$3&gt;=35</f>
        <v/>
      </c>
      <c r="D1328">
        <f>IF(Skills!C3=1,60+Inputs!$B$25+Inputs!$B$29,IF(Skills!C3=2,90+Inputs!$B$26+Inputs!$B$29,IF(Skills!C3=3,120+Inputs!$B$27+Inputs!$B$29,MAX(0,(Inputs!$B$3-100)*3)+Inputs!$B$28+Inputs!$B$29)))</f>
        <v/>
      </c>
      <c r="E1328">
        <f>INDEX(FactorTable!$B$2:$Y$301, MATCH(ROUND(MIN(300,MAX(1,D1328)),0), FactorTable!$A$2:$A$301,0), Skills!M3+1)</f>
        <v/>
      </c>
      <c r="F1328">
        <f>IF(Skills!N3=TRUE,(Skills!L3/10)*(E1328/1000),Skills!L3/10)+Skills!O3</f>
        <v/>
      </c>
      <c r="G1328">
        <f>Skills!G3*IF(Skills!H3&gt;0,Skills!I3/Skills!H3,1)</f>
        <v/>
      </c>
      <c r="H1328">
        <f>1-(1-Skills!J3/100)^Skills!K3</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20)),(Inputs!$B$23+0+(IF(ArtifactsInput!$M$15,CHOOSE(ArtifactsInput!$N$15+1,25,30,35,40,45,50)/100*(Inputs!$B$11-Inputs!$B$11),0))))/100+(Inputs!$B$23+0+(IF(ArtifactsInput!$M$15,CHOOSE(ArtifactsInput!$N$15+1,25,30,35,40,45,50)/100*(Inputs!$B$11-Inputs!$B$11),0)))/100)/2</f>
        <v/>
      </c>
      <c r="M1328">
        <f>L1328*(1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IF(B1360=0,0,O1328/B1360)</f>
        <v/>
      </c>
      <c r="Q1328" t="n">
        <v>0</v>
      </c>
      <c r="R1328" t="n">
        <v>0</v>
      </c>
      <c r="S1328">
        <f>IFERROR(O1328/N1328,0)</f>
        <v/>
      </c>
      <c r="T1328">
        <f>IF(C1328,(Skills!G3*H1328*N1328*B1354)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8">
        <f>INDEX(FactorTable!$B$2:$Y$301, MATCH(ROUND(MIN(300,MAX(1,U1327)),0), FactorTable!$A$2:$A$301,0), 22)</f>
        <v/>
      </c>
      <c r="V1328">
        <f>IF(C1328,(Skills!G3*H1328*N1328*B1354)*IF(Inputs!$B$38="pvp",1,(1+(Inputs!$B$21+Skills!Q3+(IF(ArtifactsInput!$M$33,CHOOSE(ArtifactsInput!$N$33+1,30,36,42,48,54,60),0))+(IF(AND(ArtifactsInput!$M$35,Inputs!$B$4&lt;&gt;"Chapter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Skills!A4</f>
        <v/>
      </c>
      <c r="B1329">
        <f>Skills!B4</f>
        <v/>
      </c>
      <c r="C1329">
        <f>Inputs!$B$3&gt;=60</f>
        <v/>
      </c>
      <c r="D1329">
        <f>IF(Skills!C4=1,60+Inputs!$B$25+Inputs!$B$29,IF(Skills!C4=2,90+Inputs!$B$26+Inputs!$B$29,IF(Skills!C4=3,120+Inputs!$B$27+Inputs!$B$29,MAX(0,(Inputs!$B$3-100)*3)+Inputs!$B$28+Inputs!$B$29)))</f>
        <v/>
      </c>
      <c r="E1329">
        <f>INDEX(FactorTable!$B$2:$Y$301, MATCH(ROUND(MIN(300,MAX(1,D1329)),0), FactorTable!$A$2:$A$301,0), Skills!M4+1)</f>
        <v/>
      </c>
      <c r="F1329">
        <f>IF(Skills!N4=TRUE,(Skills!L4/10)*(E1329/1000),Skills!L4/10)+Skills!O4</f>
        <v/>
      </c>
      <c r="G1329">
        <f>Skills!G4*IF(Skills!H4&gt;0,Skills!I4/Skills!H4,1)</f>
        <v/>
      </c>
      <c r="H1329">
        <f>1-(1-Skills!J4/100)^Skills!K4</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1337=TRUE,F1337,0)/100)*(1+(IF(Skills!A4="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20)),(Inputs!$B$23+0+(IF(ArtifactsInput!$M$15,CHOOSE(ArtifactsInput!$N$15+1,25,30,35,40,45,50)/100*(Inputs!$B$11-Inputs!$B$11),0))))/100+(Inputs!$B$23+0+(IF(ArtifactsInput!$M$15,CHOOSE(ArtifactsInput!$N$15+1,25,30,35,40,45,50)/100*(Inputs!$B$11-Inputs!$B$11),0)))/100)/2</f>
        <v/>
      </c>
      <c r="M1329">
        <f>L1329*(1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IF(B1360=0,0,O1329/B1360)</f>
        <v/>
      </c>
      <c r="Q1329" t="n">
        <v>0</v>
      </c>
      <c r="R1329" t="n">
        <v>0</v>
      </c>
      <c r="S1329">
        <f>IFERROR(O1329/N1329,0)</f>
        <v/>
      </c>
      <c r="T1329">
        <f>IF(C1329,(Skills!G4*H1329*N1329*B1354)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9">
        <f>290*U1328/1000</f>
        <v/>
      </c>
      <c r="V1329">
        <f>IF(C1329,(Skills!G4*H1329*N1329*B1354)*IF(Inputs!$B$38="pvp",1,(1+(Inputs!$B$21+Skills!Q4+(IF(ArtifactsInput!$M$33,CHOOSE(ArtifactsInput!$N$33+1,30,36,42,48,54,60),0))+(IF(AND(ArtifactsInput!$M$35,Inputs!$B$4&lt;&gt;"Chapter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Skills!A5</f>
        <v/>
      </c>
      <c r="B1330">
        <f>Skills!B5</f>
        <v/>
      </c>
      <c r="C1330">
        <f>Inputs!$B$3&gt;=60</f>
        <v/>
      </c>
      <c r="D1330">
        <f>IF(Skills!C5=1,60+Inputs!$B$25+Inputs!$B$29,IF(Skills!C5=2,90+Inputs!$B$26+Inputs!$B$29,IF(Skills!C5=3,120+Inputs!$B$27+Inputs!$B$29,MAX(0,(Inputs!$B$3-100)*3)+Inputs!$B$28+Inputs!$B$29)))</f>
        <v/>
      </c>
      <c r="E1330">
        <f>INDEX(FactorTable!$B$2:$Y$301, MATCH(ROUND(MIN(300,MAX(1,D1330)),0), FactorTable!$A$2:$A$301,0), Skills!M5+1)</f>
        <v/>
      </c>
      <c r="F1330">
        <f>IF(Skills!N5=TRUE,(Skills!L5/10)*(E1330/1000),Skills!L5/10)+Skills!O5</f>
        <v/>
      </c>
      <c r="G1330">
        <f>Skills!G5*IF(Skills!H5&gt;0,Skills!I5/Skills!H5,1)</f>
        <v/>
      </c>
      <c r="H1330">
        <f>1-(1-Skills!J5/100)^Skills!K5</f>
        <v/>
      </c>
      <c r="I1330" t="inlineStr">
        <is>
          <t>1</t>
        </is>
      </c>
      <c r="J1330" t="inlineStr"/>
      <c r="K1330" t="inlineStr"/>
      <c r="L1330" t="inlineStr"/>
      <c r="M1330" t="inlineStr"/>
      <c r="N1330" t="inlineStr"/>
      <c r="O1330">
        <f>(1-Summary!$B$11)*T1330+Summary!$B$11*V1330</f>
        <v/>
      </c>
      <c r="P1330">
        <f>IF(B1360=0,0,O1330/B1360)</f>
        <v/>
      </c>
      <c r="Q1330" t="n">
        <v>0</v>
      </c>
      <c r="R1330" t="n">
        <v>0</v>
      </c>
      <c r="S1330">
        <f>IFERROR(O1330/N1330,0)</f>
        <v/>
      </c>
      <c r="T1330" t="n">
        <v>0</v>
      </c>
      <c r="V1330" t="n">
        <v>0</v>
      </c>
    </row>
    <row r="1331">
      <c r="A1331">
        <f>Skills!A6</f>
        <v/>
      </c>
      <c r="B1331">
        <f>Skills!B6</f>
        <v/>
      </c>
      <c r="C1331">
        <f>Inputs!$B$3&gt;=63</f>
        <v/>
      </c>
      <c r="D1331">
        <f>IF(Skills!C6=1,60+Inputs!$B$25+Inputs!$B$29,IF(Skills!C6=2,90+Inputs!$B$26+Inputs!$B$29,IF(Skills!C6=3,120+Inputs!$B$27+Inputs!$B$29,MAX(0,(Inputs!$B$3-100)*3)+Inputs!$B$28+Inputs!$B$29)))</f>
        <v/>
      </c>
      <c r="E1331">
        <f>INDEX(FactorTable!$B$2:$Y$301, MATCH(ROUND(MIN(300,MAX(1,D1331)),0), FactorTable!$A$2:$A$301,0), Skills!M6+1)</f>
        <v/>
      </c>
      <c r="F1331">
        <f>IF(Skills!N6=TRUE,(Skills!L6/10)*(E1331/1000),Skills!L6/10)+Skills!O6</f>
        <v/>
      </c>
      <c r="G1331">
        <f>Skills!G6*IF(Skills!H6&gt;0,Skills!I6/Skills!H6,1)</f>
        <v/>
      </c>
      <c r="H1331">
        <f>1-(1-Skills!J6/100)^Skills!K6</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1345=TRUE)*(F1345-Calc!F20)),(Inputs!$B$23+0+(IF(ArtifactsInput!$M$15,CHOOSE(ArtifactsInput!$N$15+1,25,30,35,40,45,50)/100*(Inputs!$B$11-Inputs!$B$11),0))))/100+(Inputs!$B$23+0+(IF(ArtifactsInput!$M$15,CHOOSE(ArtifactsInput!$N$15+1,25,30,35,40,45,50)/100*(Inputs!$B$11-Inputs!$B$11),0)))/100)/2</f>
        <v/>
      </c>
      <c r="M1331">
        <f>L1331*(1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IF(B1360=0,0,O1331/B1360)</f>
        <v/>
      </c>
      <c r="Q1331">
        <f>IFERROR(1/(IF(Inputs!$B$38="pvp",15,MAX(0.1,Skills!D6-IF(Skills!E6=TRUE,Inputs!$B$32,0)))*(1-IF(AND(ArtifactsInput!$M$27,Inputs!$B$4="Chapter Hunt"),CHOOSE(ArtifactsInput!$N$27+1,20,24,28,32,36,40),0)/100)),0)</f>
        <v/>
      </c>
      <c r="R1331">
        <f>IF(AND(Inputs!$B$38&lt;&gt;"pvp",Inputs!$B$43&gt;0),IF(MAX(0,Inputs!$B$43-B1357)&lt;=0,0,(INT(MAX(0,Inputs!$B$43-B1357)/(IF(Inputs!$B$38="pvp",15,MAX(0.1,Skills!D6-IF(Skills!E6=TRUE,Inputs!$B$32,0)))*(1-IF(AND(ArtifactsInput!$M$27,Inputs!$B$4="Chapter Hunt"),CHOOSE(ArtifactsInput!$N$27+1,20,24,28,32,36,40),0)/100)))+1)),0)</f>
        <v/>
      </c>
      <c r="S1331">
        <f>IFERROR(O1331/N1331,0)</f>
        <v/>
      </c>
      <c r="T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$21+Skills!Q6+(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Skills!A7</f>
        <v/>
      </c>
      <c r="B1332">
        <f>Skills!B7</f>
        <v/>
      </c>
      <c r="C1332">
        <f>Inputs!$B$3&gt;=100</f>
        <v/>
      </c>
      <c r="D1332">
        <f>IF(Skills!C7=1,60+Inputs!$B$25+Inputs!$B$29,IF(Skills!C7=2,90+Inputs!$B$26+Inputs!$B$29,IF(Skills!C7=3,120+Inputs!$B$27+Inputs!$B$29,MAX(0,(Inputs!$B$3-100)*3)+Inputs!$B$28+Inputs!$B$29)))</f>
        <v/>
      </c>
      <c r="E1332">
        <f>INDEX(FactorTable!$B$2:$Y$301, MATCH(ROUND(MIN(300,MAX(1,D1332)),0), FactorTable!$A$2:$A$301,0), Skills!M7+1)</f>
        <v/>
      </c>
      <c r="F1332">
        <f>IF(Skills!N7=TRUE,(Skills!L7/10)*(E1332/1000),Skills!L7/10)+Skills!O7</f>
        <v/>
      </c>
      <c r="G1332">
        <f>Skills!G7*IF(Skills!H7&gt;0,Skills!I7/Skills!H7,1)</f>
        <v/>
      </c>
      <c r="H1332">
        <f>1-(1-Skills!J7/100)^Skills!K7</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20)),(Inputs!$B$23+0+(IF(ArtifactsInput!$M$15,CHOOSE(ArtifactsInput!$N$15+1,25,30,35,40,45,50)/100*(Inputs!$B$11-Inputs!$B$11),0))))/100+(Inputs!$B$23+0+(IF(ArtifactsInput!$M$15,CHOOSE(ArtifactsInput!$N$15+1,25,30,35,40,45,50)/100*(Inputs!$B$11-Inputs!$B$11),0)))/100)/2</f>
        <v/>
      </c>
      <c r="M1332">
        <f>L1332*(1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IF(B1360=0,0,O1332/B1360)</f>
        <v/>
      </c>
      <c r="Q1332">
        <f>IFERROR(1/(IF(Inputs!$B$38="pvp",15,MAX(0.1,Skills!D7-IF(Skills!E7=TRUE,Inputs!$B$32,0)))*(1-IF(AND(ArtifactsInput!$M$27,Inputs!$B$4="Chapter Hunt"),CHOOSE(ArtifactsInput!$N$27+1,20,24,28,32,36,40),0)/100)),0)</f>
        <v/>
      </c>
      <c r="R1332">
        <f>IF(AND(Inputs!$B$38&lt;&gt;"pvp",Inputs!$B$43&gt;0),IF(MAX(0,Inputs!$B$43-B1357)&lt;=0,0,(INT(MAX(0,Inputs!$B$43-B1357)/(IF(Inputs!$B$38="pvp",15,MAX(0.1,Skills!D7-IF(Skills!E7=TRUE,Inputs!$B$32,0)))*(1-IF(AND(ArtifactsInput!$M$27,Inputs!$B$4="Chapter Hunt"),CHOOSE(ArtifactsInput!$N$27+1,20,24,28,32,36,40),0)/100)))+1)),0)</f>
        <v/>
      </c>
      <c r="S1332">
        <f>IFERROR(O1332/N1332,0)</f>
        <v/>
      </c>
      <c r="T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$21+Skills!Q7+(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Skills!A8</f>
        <v/>
      </c>
      <c r="B1333">
        <f>Skills!B8</f>
        <v/>
      </c>
      <c r="C1333">
        <f>Inputs!$B$3&gt;=110</f>
        <v/>
      </c>
      <c r="D1333">
        <f>IF(Skills!C8=1,60+Inputs!$B$25+Inputs!$B$29,IF(Skills!C8=2,90+Inputs!$B$26+Inputs!$B$29,IF(Skills!C8=3,120+Inputs!$B$27+Inputs!$B$29,MAX(0,(Inputs!$B$3-100)*3)+Inputs!$B$28+Inputs!$B$29)))</f>
        <v/>
      </c>
      <c r="E1333">
        <f>INDEX(FactorTable!$B$2:$Y$301, MATCH(ROUND(MIN(300,MAX(1,D1333)),0), FactorTable!$A$2:$A$301,0), Skills!M8+1)</f>
        <v/>
      </c>
      <c r="F1333">
        <f>IF(Skills!N8=TRUE,(Skills!L8/10)*(E1333/1000),Skills!L8/10)+Skills!O8</f>
        <v/>
      </c>
      <c r="G1333">
        <f>Skills!G8*IF(Skills!H8&gt;0,Skills!I8/Skills!H8,1)</f>
        <v/>
      </c>
      <c r="H1333">
        <f>1-(1-Skills!J8/100)^Skills!K8</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1345=TRUE)*(F1345-Calc!F20)),(Inputs!$B$23+0+(IF(ArtifactsInput!$M$15,CHOOSE(ArtifactsInput!$N$15+1,25,30,35,40,45,50)/100*(Inputs!$B$11-Inputs!$B$11),0))))/100+(Inputs!$B$23+0+(IF(ArtifactsInput!$M$15,CHOOSE(ArtifactsInput!$N$15+1,25,30,35,40,45,50)/100*(Inputs!$B$11-Inputs!$B$11),0)))/100)/2</f>
        <v/>
      </c>
      <c r="M1333">
        <f>L1333*(1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IF(B1360=0,0,O1333/B1360)</f>
        <v/>
      </c>
      <c r="Q1333">
        <f>IFERROR(1/(IF(Inputs!$B$38="pvp",15,MAX(0.1,Skills!D8-IF(Skills!E8=TRUE,Inputs!$B$32,0)))*(1-IF(AND(ArtifactsInput!$M$27,Inputs!$B$4="Chapter Hunt"),CHOOSE(ArtifactsInput!$N$27+1,20,24,28,32,36,40),0)/100)),0)</f>
        <v/>
      </c>
      <c r="R1333">
        <f>IF(AND(Inputs!$B$38&lt;&gt;"pvp",Inputs!$B$43&gt;0),IF(MAX(0,Inputs!$B$43-B1357)&lt;=0,0,(INT(MAX(0,Inputs!$B$43-B1357)/(IF(Inputs!$B$38="pvp",15,MAX(0.1,Skills!D8-IF(Skills!E8=TRUE,Inputs!$B$32,0)))*(1-IF(AND(ArtifactsInput!$M$27,Inputs!$B$4="Chapter Hunt"),CHOOSE(ArtifactsInput!$N$27+1,20,24,28,32,36,40),0)/100)))+1)),0)</f>
        <v/>
      </c>
      <c r="S1333">
        <f>IFERROR(O1333/N1333,0)</f>
        <v/>
      </c>
      <c r="T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$21+Skills!Q8+(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Skills!A9</f>
        <v/>
      </c>
      <c r="B1334">
        <f>Skills!B9</f>
        <v/>
      </c>
      <c r="C1334">
        <f>Inputs!$B$3&gt;=110</f>
        <v/>
      </c>
      <c r="D1334">
        <f>IF(Skills!C9=1,60+Inputs!$B$25+Inputs!$B$29,IF(Skills!C9=2,90+Inputs!$B$26+Inputs!$B$29,IF(Skills!C9=3,120+Inputs!$B$27+Inputs!$B$29,MAX(0,(Inputs!$B$3-100)*3)+Inputs!$B$28+Inputs!$B$29)))</f>
        <v/>
      </c>
      <c r="E1334">
        <f>INDEX(FactorTable!$B$2:$Y$301, MATCH(ROUND(MIN(300,MAX(1,D1334)),0), FactorTable!$A$2:$A$301,0), Skills!M9+1)</f>
        <v/>
      </c>
      <c r="F1334">
        <f>IF(Skills!N9=TRUE,(Skills!L9/10)*(E1334/1000),Skills!L9/10)+Skills!O9</f>
        <v/>
      </c>
      <c r="G1334">
        <f>Skills!G9*IF(Skills!H9&gt;0,Skills!I9/Skills!H9,1)</f>
        <v/>
      </c>
      <c r="H1334">
        <f>1-(1-Skills!J9/100)^Skills!K9</f>
        <v/>
      </c>
      <c r="I1334" t="inlineStr">
        <is>
          <t>1</t>
        </is>
      </c>
      <c r="J1334">
        <f>((Inputs!$B$6*(1+Inputs!$B$7/100))+(((Inputs!$B$12*(1+Inputs!$B$13/100))-(Inputs!$B$12*(1+Inputs!$B$13/100)))+0.25*(Inputs!$B$14-Inputs!$B$14))*(1+Inputs!$B$7/100))*(F1334/100)</f>
        <v/>
      </c>
      <c r="K1334">
        <f>J1334*(1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1334)</f>
        <v/>
      </c>
      <c r="L1334">
        <f>K1334*(MIN(Inputs!$B$22+((C1345=TRUE)*(F1345-Calc!F20)),(Inputs!$B$23+0+(IF(ArtifactsInput!$M$15,CHOOSE(ArtifactsInput!$N$15+1,25,30,35,40,45,50)/100*(Inputs!$B$11-Inputs!$B$11),0))))/100+(Inputs!$B$23+0+(IF(ArtifactsInput!$M$15,CHOOSE(ArtifactsInput!$N$15+1,25,30,35,40,45,50)/100*(Inputs!$B$11-Inputs!$B$11),0)))/100)/2</f>
        <v/>
      </c>
      <c r="M1334">
        <f>L1334*(1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4">
        <f>L1334*(1-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1334*(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4">
        <f>(1-Summary!$B$11)*T1334+Summary!$B$11*V1334</f>
        <v/>
      </c>
      <c r="P1334">
        <f>IF(B1360=0,0,O1334/B1360)</f>
        <v/>
      </c>
      <c r="Q1334">
        <f>IFERROR(1/(IF(Inputs!$B$38="pvp",15,MAX(0.1,Skills!D9-IF(Skills!E9=TRUE,Inputs!$B$32,0)))*(1-IF(AND(ArtifactsInput!$M$27,Inputs!$B$4="Chapter Hunt"),CHOOSE(ArtifactsInput!$N$27+1,20,24,28,32,36,40),0)/100)),0)</f>
        <v/>
      </c>
      <c r="R1334">
        <f>IF(AND(Inputs!$B$38&lt;&gt;"pvp",Inputs!$B$43&gt;0),IF(MAX(0,Inputs!$B$43-B1357)&lt;=0,0,(INT(MAX(0,Inputs!$B$43-B1357)/(IF(Inputs!$B$38="pvp",15,MAX(0.1,Skills!D9-IF(Skills!E9=TRUE,Inputs!$B$32,0)))*(1-IF(AND(ArtifactsInput!$M$27,Inputs!$B$4="Chapter Hunt"),CHOOSE(ArtifactsInput!$N$27+1,20,24,28,32,36,40),0)/100)))+1)),0)</f>
        <v/>
      </c>
      <c r="S1334">
        <f>IFERROR(O1334/N1334,0)</f>
        <v/>
      </c>
      <c r="T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$21+Skills!Q9+(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5">
      <c r="A1335">
        <f>Skills!A10</f>
        <v/>
      </c>
      <c r="B1335">
        <f>Skills!B10</f>
        <v/>
      </c>
      <c r="C1335">
        <f>Inputs!$B$3&gt;=103</f>
        <v/>
      </c>
      <c r="D1335">
        <f>IF(Skills!C10=1,60+Inputs!$B$25+Inputs!$B$29,IF(Skills!C10=2,90+Inputs!$B$26+Inputs!$B$29,IF(Skills!C10=3,120+Inputs!$B$27+Inputs!$B$29,MAX(0,(Inputs!$B$3-100)*3)+Inputs!$B$28+Inputs!$B$29)))</f>
        <v/>
      </c>
      <c r="E1335">
        <f>INDEX(FactorTable!$B$2:$Y$301, MATCH(ROUND(MIN(300,MAX(1,D1335)),0), FactorTable!$A$2:$A$301,0), Skills!M10+1)</f>
        <v/>
      </c>
      <c r="F1335">
        <f>IF(Skills!N10=TRUE,(Skills!L10/10)*(E1335/1000),Skills!L10/10)+Skills!O10</f>
        <v/>
      </c>
      <c r="G1335">
        <f>Skills!G10*IF(Skills!H10&gt;0,Skills!I10/Skills!H10,1)</f>
        <v/>
      </c>
      <c r="H1335">
        <f>1-(1-Skills!J10/100)^Skills!K10</f>
        <v/>
      </c>
      <c r="I1335" t="inlineStr">
        <is>
          <t>1</t>
        </is>
      </c>
      <c r="J1335">
        <f>((Inputs!$B$6*(1+Inputs!$B$7/100))+(((Inputs!$B$12*(1+Inputs!$B$13/100))-(Inputs!$B$12*(1+Inputs!$B$13/100)))+0.25*(Inputs!$B$14-Inputs!$B$14))*(1+Inputs!$B$7/100))*(F1335/100)</f>
        <v/>
      </c>
      <c r="K1335">
        <f>J1335*(1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1345=TRUE)*(F1345-Calc!F20)),(Inputs!$B$23+0+(IF(ArtifactsInput!$M$15,CHOOSE(ArtifactsInput!$N$15+1,25,30,35,40,45,50)/100*(Inputs!$B$11-Inputs!$B$11),0))))/100+(Inputs!$B$23+0+(IF(ArtifactsInput!$M$15,CHOOSE(ArtifactsInput!$N$15+1,25,30,35,40,45,50)/100*(Inputs!$B$11-Inputs!$B$11),0)))/100)/2</f>
        <v/>
      </c>
      <c r="M1335">
        <f>L1335*(1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5">
        <f>L1335*(1-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1335*(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5">
        <f>(1-Summary!$B$11)*T1335+Summary!$B$11*V1335</f>
        <v/>
      </c>
      <c r="P1335">
        <f>IF(B1360=0,0,O1335/B1360)</f>
        <v/>
      </c>
      <c r="Q1335">
        <f>IFERROR(1/(IF(Inputs!$B$38="pvp",15,MAX(0.1,Skills!D10-IF(Skills!E10=TRUE,Inputs!$B$32,0)))*(1-IF(AND(ArtifactsInput!$M$27,Inputs!$B$4="Chapter Hunt"),CHOOSE(ArtifactsInput!$N$27+1,20,24,28,32,36,40),0)/100)),0)</f>
        <v/>
      </c>
      <c r="R1335">
        <f>IF(AND(Inputs!$B$38&lt;&gt;"pvp",Inputs!$B$43&gt;0),IF(MAX(0,Inputs!$B$43-B1357)&lt;=0,0,(INT(MAX(0,Inputs!$B$43-B1357)/(IF(Inputs!$B$38="pvp",15,MAX(0.1,Skills!D10-IF(Skills!E10=TRUE,Inputs!$B$32,0)))*(1-IF(AND(ArtifactsInput!$M$27,Inputs!$B$4="Chapter Hunt"),CHOOSE(ArtifactsInput!$N$27+1,20,24,28,32,36,40),0)/100)))+1)),0)</f>
        <v/>
      </c>
      <c r="S1335">
        <f>IFERROR(O1335/N1335,0)</f>
        <v/>
      </c>
      <c r="T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$21+Skills!Q10+(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Skills!A11</f>
        <v/>
      </c>
      <c r="B1336">
        <f>Skills!B11</f>
        <v/>
      </c>
      <c r="C1336">
        <f>Inputs!$B$3&gt;=113</f>
        <v/>
      </c>
      <c r="D1336">
        <f>IF(Skills!C11=1,60+Inputs!$B$25+Inputs!$B$29,IF(Skills!C11=2,90+Inputs!$B$26+Inputs!$B$29,IF(Skills!C11=3,120+Inputs!$B$27+Inputs!$B$29,MAX(0,(Inputs!$B$3-100)*3)+Inputs!$B$28+Inputs!$B$29)))</f>
        <v/>
      </c>
      <c r="E1336">
        <f>INDEX(FactorTable!$B$2:$Y$301, MATCH(ROUND(MIN(300,MAX(1,D1336)),0), FactorTable!$A$2:$A$301,0), Skills!M11+1)</f>
        <v/>
      </c>
      <c r="F1336">
        <f>IF(Skills!N11=TRUE,(Skills!L11/10)*(E1336/1000),Skills!L11/10)+Skills!O11</f>
        <v/>
      </c>
      <c r="G1336">
        <f>Skills!G11*IF(Skills!H11&gt;0,Skills!I11/Skills!H11,1)</f>
        <v/>
      </c>
      <c r="H1336">
        <f>1-(1-Skills!J11/100)^Skills!K11</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1345=TRUE)*(F1345-Calc!F20)),(Inputs!$B$23+0+(IF(ArtifactsInput!$M$15,CHOOSE(ArtifactsInput!$N$15+1,25,30,35,40,45,50)/100*(Inputs!$B$11-Inputs!$B$11),0))))/100+(Inputs!$B$23+0+(IF(ArtifactsInput!$M$15,CHOOSE(ArtifactsInput!$N$15+1,25,30,35,40,45,50)/100*(Inputs!$B$11-Inputs!$B$11),0)))/100)/2</f>
        <v/>
      </c>
      <c r="M1336">
        <f>L1336*(1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IF(B1360=0,0,O1336/B1360)</f>
        <v/>
      </c>
      <c r="Q1336">
        <f>IFERROR(1/(IF(Inputs!$B$38="pvp",15,MAX(0.1,Skills!D11-IF(Skills!E11=TRUE,Inputs!$B$32,0)))*(1-IF(AND(ArtifactsInput!$M$27,Inputs!$B$4="Chapter Hunt"),CHOOSE(ArtifactsInput!$N$27+1,20,24,28,32,36,40),0)/100)),0)</f>
        <v/>
      </c>
      <c r="R1336">
        <f>IF(AND(Inputs!$B$38&lt;&gt;"pvp",Inputs!$B$43&gt;0),IF(MAX(0,Inputs!$B$43-B1357)&lt;=0,0,(INT(MAX(0,Inputs!$B$43-B1357)/(IF(Inputs!$B$38="pvp",15,MAX(0.1,Skills!D11-IF(Skills!E11=TRUE,Inputs!$B$32,0)))*(1-IF(AND(ArtifactsInput!$M$27,Inputs!$B$4="Chapter Hunt"),CHOOSE(ArtifactsInput!$N$27+1,20,24,28,32,36,40),0)/100)))+1)),0)</f>
        <v/>
      </c>
      <c r="S1336">
        <f>IFERROR(O1336/N1336,0)</f>
        <v/>
      </c>
      <c r="T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$21+Skills!Q11+(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Skills!A12</f>
        <v/>
      </c>
      <c r="B1337">
        <f>Skills!B12</f>
        <v/>
      </c>
      <c r="C1337">
        <f>Inputs!$B$3&gt;=100</f>
        <v/>
      </c>
      <c r="D1337">
        <f>IF(Skills!C12=1,60+Inputs!$B$25+Inputs!$B$29,IF(Skills!C12=2,90+Inputs!$B$26+Inputs!$B$29,IF(Skills!C12=3,120+Inputs!$B$27+Inputs!$B$29,MAX(0,(Inputs!$B$3-100)*3)+Inputs!$B$28+Inputs!$B$29)))</f>
        <v/>
      </c>
      <c r="E1337">
        <f>INDEX(FactorTable!$B$2:$Y$301, MATCH(ROUND(MIN(300,MAX(1,D1337)),0), FactorTable!$A$2:$A$301,0), Skills!M12+1)</f>
        <v/>
      </c>
      <c r="F1337">
        <f>IF(Skills!N12=TRUE,(Skills!L12/10)*(E1337/1000),Skills!L12/10)+Skills!O12</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T1337" t="inlineStr"/>
      <c r="V1337" t="inlineStr"/>
    </row>
    <row r="1338">
      <c r="A1338">
        <f>Skills!A13</f>
        <v/>
      </c>
      <c r="B1338">
        <f>Skills!B13</f>
        <v/>
      </c>
      <c r="C1338">
        <f>Inputs!$B$3&gt;=66</f>
        <v/>
      </c>
      <c r="D1338">
        <f>IF(Skills!C13=1,60+Inputs!$B$25+Inputs!$B$29,IF(Skills!C13=2,90+Inputs!$B$26+Inputs!$B$29,IF(Skills!C13=3,120+Inputs!$B$27+Inputs!$B$29,MAX(0,(Inputs!$B$3-100)*3)+Inputs!$B$28+Inputs!$B$29)))</f>
        <v/>
      </c>
      <c r="E1338">
        <f>INDEX(FactorTable!$B$2:$Y$301, MATCH(ROUND(MIN(300,MAX(1,D1338)),0), FactorTable!$A$2:$A$301,0), Skills!M13+1)</f>
        <v/>
      </c>
      <c r="F1338">
        <f>IF(Skills!N13=TRUE,(Skills!L13/10)*(E1338/1000),Skills!L13/10)+Skills!O13</f>
        <v/>
      </c>
      <c r="G1338">
        <f>Skills!G13*IF(Skills!H13&gt;0,Skills!I13/Skills!H13,1)</f>
        <v/>
      </c>
      <c r="H1338">
        <f>1-(1-Skills!J13/100)^Skills!K13</f>
        <v/>
      </c>
      <c r="I1338" t="inlineStr">
        <is>
          <t>1</t>
        </is>
      </c>
      <c r="J1338" t="inlineStr"/>
      <c r="K1338" t="inlineStr"/>
      <c r="L1338" t="inlineStr"/>
      <c r="M1338" t="inlineStr"/>
      <c r="N1338" t="inlineStr"/>
      <c r="O1338">
        <f>(1-Summary!$B$11)*T1338+Summary!$B$11*V1338</f>
        <v/>
      </c>
      <c r="P1338">
        <f>IF(B1360=0,0,O1338/B1360)</f>
        <v/>
      </c>
      <c r="Q1338" t="n">
        <v>0</v>
      </c>
      <c r="R1338" t="n">
        <v>0</v>
      </c>
      <c r="S1338">
        <f>IFERROR(O1338/N1338,0)</f>
        <v/>
      </c>
      <c r="T1338" t="n">
        <v>0</v>
      </c>
      <c r="V1338" t="n">
        <v>0</v>
      </c>
    </row>
    <row r="1339">
      <c r="A1339">
        <f>Skills!A14</f>
        <v/>
      </c>
      <c r="B1339">
        <f>Skills!B14</f>
        <v/>
      </c>
      <c r="C1339">
        <f>Inputs!$B$3&gt;=107</f>
        <v/>
      </c>
      <c r="D1339">
        <f>IF(Skills!C14=1,60+Inputs!$B$25+Inputs!$B$29,IF(Skills!C14=2,90+Inputs!$B$26+Inputs!$B$29,IF(Skills!C14=3,120+Inputs!$B$27+Inputs!$B$29,MAX(0,(Inputs!$B$3-100)*3)+Inputs!$B$28+Inputs!$B$29)))</f>
        <v/>
      </c>
      <c r="E1339">
        <f>INDEX(FactorTable!$B$2:$Y$301, MATCH(ROUND(MIN(300,MAX(1,D1339)),0), FactorTable!$A$2:$A$301,0), Skills!M14+1)</f>
        <v/>
      </c>
      <c r="F1339">
        <f>IF(Skills!N14=TRUE,(Skills!L14/10)*(E1339/1000),Skills!L14/10)+Skills!O14</f>
        <v/>
      </c>
      <c r="G1339">
        <f>Skills!G14*IF(Skills!H14&gt;0,Skills!I14/Skills!H14,1)</f>
        <v/>
      </c>
      <c r="H1339">
        <f>1-(1-Skills!J14/100)^Skills!K14</f>
        <v/>
      </c>
      <c r="I1339" t="inlineStr">
        <is>
          <t>1</t>
        </is>
      </c>
      <c r="J1339" t="inlineStr"/>
      <c r="K1339" t="inlineStr"/>
      <c r="L1339" t="inlineStr"/>
      <c r="M1339" t="inlineStr"/>
      <c r="N1339" t="inlineStr"/>
      <c r="O1339">
        <f>(1-Summary!$B$11)*T1339+Summary!$B$11*V1339</f>
        <v/>
      </c>
      <c r="P1339">
        <f>IF(B1360=0,0,O1339/B1360)</f>
        <v/>
      </c>
      <c r="Q1339" t="n">
        <v>0</v>
      </c>
      <c r="R1339" t="n">
        <v>0</v>
      </c>
      <c r="S1339">
        <f>IFERROR(O1339/N1339,0)</f>
        <v/>
      </c>
      <c r="T1339" t="n">
        <v>0</v>
      </c>
      <c r="V1339" t="n">
        <v>0</v>
      </c>
    </row>
    <row r="1340">
      <c r="A1340">
        <f>Skills!A15</f>
        <v/>
      </c>
      <c r="B1340">
        <f>Skills!B15</f>
        <v/>
      </c>
      <c r="C1340">
        <f>Inputs!$B$3&gt;=115</f>
        <v/>
      </c>
      <c r="D1340">
        <f>IF(Skills!C15=1,60+Inputs!$B$25+Inputs!$B$29,IF(Skills!C15=2,90+Inputs!$B$26+Inputs!$B$29,IF(Skills!C15=3,120+Inputs!$B$27+Inputs!$B$29,MAX(0,(Inputs!$B$3-100)*3)+Inputs!$B$28+Inputs!$B$29)))</f>
        <v/>
      </c>
      <c r="E1340">
        <f>INDEX(FactorTable!$B$2:$Y$301, MATCH(ROUND(MIN(300,MAX(1,D1340)),0), FactorTable!$A$2:$A$301,0), Skills!M15+1)</f>
        <v/>
      </c>
      <c r="F1340">
        <f>IF(Skills!N15=TRUE,(Skills!L15/10)*(E1340/1000),Skills!L15/10)+Skills!O15</f>
        <v/>
      </c>
      <c r="G1340">
        <f>Skills!G15*IF(Skills!H15&gt;0,Skills!I15/Skills!H15,1)</f>
        <v/>
      </c>
      <c r="H1340">
        <f>1-(1-Skills!J15/100)^Skills!K15</f>
        <v/>
      </c>
      <c r="I1340" t="inlineStr">
        <is>
          <t>1</t>
        </is>
      </c>
      <c r="J1340" t="inlineStr"/>
      <c r="K1340" t="inlineStr"/>
      <c r="L1340" t="inlineStr"/>
      <c r="M1340" t="inlineStr"/>
      <c r="N1340" t="inlineStr"/>
      <c r="O1340">
        <f>(1-Summary!$B$11)*T1340+Summary!$B$11*V1340</f>
        <v/>
      </c>
      <c r="P1340">
        <f>IF(B1360=0,0,O1340/B1360)</f>
        <v/>
      </c>
      <c r="Q1340" t="n">
        <v>0</v>
      </c>
      <c r="R1340" t="n">
        <v>0</v>
      </c>
      <c r="S1340">
        <f>IFERROR(O1340/N1340,0)</f>
        <v/>
      </c>
      <c r="T1340" t="n">
        <v>0</v>
      </c>
      <c r="V1340" t="n">
        <v>0</v>
      </c>
    </row>
    <row r="1341">
      <c r="A1341">
        <f>Skills!A16</f>
        <v/>
      </c>
      <c r="B1341">
        <f>Skills!B16</f>
        <v/>
      </c>
      <c r="C1341">
        <f>Inputs!$B$3&gt;=15</f>
        <v/>
      </c>
      <c r="D1341">
        <f>IF(Skills!C16=1,60+Inputs!$B$25+Inputs!$B$29,IF(Skills!C16=2,90+Inputs!$B$26+Inputs!$B$29,IF(Skills!C16=3,120+Inputs!$B$27+Inputs!$B$29,MAX(0,(Inputs!$B$3-100)*3)+Inputs!$B$28+Inputs!$B$29)))</f>
        <v/>
      </c>
      <c r="E1341">
        <f>INDEX(FactorTable!$B$2:$Y$301, MATCH(ROUND(MIN(300,MAX(1,D1341)),0), FactorTable!$A$2:$A$301,0), Skills!M16+1)</f>
        <v/>
      </c>
      <c r="F1341">
        <f>IF(Skills!N16=TRUE,(Skills!L16/10)*(E1341/1000),Skills!L16/10)+Skills!O16</f>
        <v/>
      </c>
      <c r="G1341">
        <f>Skills!G16*IF(Skills!H16&gt;0,Skills!I16/Skills!H16,1)</f>
        <v/>
      </c>
      <c r="H1341">
        <f>1-(1-Skills!J16/100)^Skills!K16</f>
        <v/>
      </c>
      <c r="I1341" t="inlineStr">
        <is>
          <t>1</t>
        </is>
      </c>
      <c r="J1341" t="inlineStr"/>
      <c r="K1341" t="inlineStr"/>
      <c r="L1341" t="inlineStr"/>
      <c r="M1341" t="inlineStr"/>
      <c r="N1341" t="inlineStr"/>
      <c r="O1341">
        <f>(1-Summary!$B$11)*T1341+Summary!$B$11*V1341</f>
        <v/>
      </c>
      <c r="P1341">
        <f>IF(B1360=0,0,O1341/B1360)</f>
        <v/>
      </c>
      <c r="Q1341" t="n">
        <v>0</v>
      </c>
      <c r="R1341" t="n">
        <v>0</v>
      </c>
      <c r="S1341">
        <f>IFERROR(O1341/N1341,0)</f>
        <v/>
      </c>
      <c r="T1341" t="n">
        <v>0</v>
      </c>
      <c r="V1341" t="n">
        <v>0</v>
      </c>
    </row>
    <row r="1342">
      <c r="A1342">
        <f>Skills!A17</f>
        <v/>
      </c>
      <c r="B1342">
        <f>Skills!B17</f>
        <v/>
      </c>
      <c r="C1342">
        <f>Inputs!$B$3&gt;=10</f>
        <v/>
      </c>
      <c r="D1342">
        <f>IF(Skills!C17=1,60+Inputs!$B$25+Inputs!$B$29,IF(Skills!C17=2,90+Inputs!$B$26+Inputs!$B$29,IF(Skills!C17=3,120+Inputs!$B$27+Inputs!$B$29,MAX(0,(Inputs!$B$3-100)*3)+Inputs!$B$28+Inputs!$B$29)))</f>
        <v/>
      </c>
      <c r="E1342">
        <f>INDEX(FactorTable!$B$2:$Y$301, MATCH(ROUND(MIN(300,MAX(1,D1342)),0), FactorTable!$A$2:$A$301,0), Skills!M17+1)</f>
        <v/>
      </c>
      <c r="F1342">
        <f>IF(Skills!N17=TRUE,(Skills!L17/10)*(E1342/1000),Skills!L17/10)+Skills!O17</f>
        <v/>
      </c>
      <c r="G1342">
        <f>Skills!G17*IF(Skills!H17&gt;0,Skills!I17/Skills!H17,1)</f>
        <v/>
      </c>
      <c r="H1342">
        <f>1-(1-Skills!J17/100)^Skills!K17</f>
        <v/>
      </c>
      <c r="I1342" t="inlineStr">
        <is>
          <t>1</t>
        </is>
      </c>
      <c r="J1342" t="inlineStr"/>
      <c r="K1342" t="inlineStr"/>
      <c r="L1342" t="inlineStr"/>
      <c r="M1342" t="inlineStr"/>
      <c r="N1342" t="inlineStr"/>
      <c r="O1342">
        <f>(1-Summary!$B$11)*T1342+Summary!$B$11*V1342</f>
        <v/>
      </c>
      <c r="P1342">
        <f>IF(B1360=0,0,O1342/B1360)</f>
        <v/>
      </c>
      <c r="Q1342" t="n">
        <v>0</v>
      </c>
      <c r="R1342" t="n">
        <v>0</v>
      </c>
      <c r="S1342">
        <f>IFERROR(O1342/N1342,0)</f>
        <v/>
      </c>
      <c r="T1342" t="n">
        <v>0</v>
      </c>
      <c r="V1342" t="n">
        <v>0</v>
      </c>
    </row>
    <row r="1343">
      <c r="A1343">
        <f>Skills!A18</f>
        <v/>
      </c>
      <c r="B1343">
        <f>Skills!B18</f>
        <v/>
      </c>
      <c r="C1343">
        <f>Inputs!$B$3&gt;=33</f>
        <v/>
      </c>
      <c r="D1343">
        <f>IF(Skills!C18=1,60+Inputs!$B$25+Inputs!$B$29,IF(Skills!C18=2,90+Inputs!$B$26+Inputs!$B$29,IF(Skills!C18=3,120+Inputs!$B$27+Inputs!$B$29,MAX(0,(Inputs!$B$3-100)*3)+Inputs!$B$28+Inputs!$B$29)))</f>
        <v/>
      </c>
      <c r="E1343">
        <f>INDEX(FactorTable!$B$2:$Y$301, MATCH(ROUND(MIN(300,MAX(1,D1343)),0), FactorTable!$A$2:$A$301,0), Skills!M18+1)</f>
        <v/>
      </c>
      <c r="F1343">
        <f>IF(Skills!N18=TRUE,(Skills!L18/10)*(E1343/1000),Skills!L18/10)+Skills!O18</f>
        <v/>
      </c>
      <c r="G1343">
        <f>Skills!G18*IF(Skills!H18&gt;0,Skills!I18/Skills!H18,1)</f>
        <v/>
      </c>
      <c r="H1343">
        <f>1-(1-Skills!J18/100)^Skills!K18</f>
        <v/>
      </c>
      <c r="I1343" t="inlineStr">
        <is>
          <t>1</t>
        </is>
      </c>
      <c r="J1343" t="inlineStr"/>
      <c r="K1343" t="inlineStr"/>
      <c r="L1343" t="inlineStr"/>
      <c r="M1343" t="inlineStr"/>
      <c r="N1343" t="inlineStr"/>
      <c r="O1343">
        <f>(1-Summary!$B$11)*T1343+Summary!$B$11*V1343</f>
        <v/>
      </c>
      <c r="P1343">
        <f>IF(B1360=0,0,O1343/B1360)</f>
        <v/>
      </c>
      <c r="Q1343" t="n">
        <v>0</v>
      </c>
      <c r="R1343" t="n">
        <v>0</v>
      </c>
      <c r="S1343">
        <f>IFERROR(O1343/N1343,0)</f>
        <v/>
      </c>
      <c r="T1343" t="n">
        <v>0</v>
      </c>
      <c r="V1343" t="n">
        <v>0</v>
      </c>
    </row>
    <row r="1344">
      <c r="A1344">
        <f>Skills!A19</f>
        <v/>
      </c>
      <c r="B1344">
        <f>Skills!B19</f>
        <v/>
      </c>
      <c r="C1344">
        <f>Inputs!$B$3&gt;=40</f>
        <v/>
      </c>
      <c r="D1344">
        <f>IF(Skills!C19=1,60+Inputs!$B$25+Inputs!$B$29,IF(Skills!C19=2,90+Inputs!$B$26+Inputs!$B$29,IF(Skills!C19=3,120+Inputs!$B$27+Inputs!$B$29,MAX(0,(Inputs!$B$3-100)*3)+Inputs!$B$28+Inputs!$B$29)))</f>
        <v/>
      </c>
      <c r="E1344">
        <f>INDEX(FactorTable!$B$2:$Y$301, MATCH(ROUND(MIN(300,MAX(1,D1344)),0), FactorTable!$A$2:$A$301,0), Skills!M19+1)</f>
        <v/>
      </c>
      <c r="F1344">
        <f>IF(Skills!N19=TRUE,(Skills!L19/10)*(E1344/1000),Skills!L19/10)+Skills!O19</f>
        <v/>
      </c>
      <c r="G1344">
        <f>Skills!G19*IF(Skills!H19&gt;0,Skills!I19/Skills!H19,1)</f>
        <v/>
      </c>
      <c r="H1344">
        <f>1-(1-Skills!J19/100)^Skills!K19</f>
        <v/>
      </c>
      <c r="I1344" t="inlineStr">
        <is>
          <t>1</t>
        </is>
      </c>
      <c r="J1344" t="inlineStr"/>
      <c r="K1344" t="inlineStr"/>
      <c r="L1344" t="inlineStr"/>
      <c r="M1344" t="inlineStr"/>
      <c r="N1344" t="inlineStr"/>
      <c r="O1344">
        <f>(1-Summary!$B$11)*T1344+Summary!$B$11*V1344</f>
        <v/>
      </c>
      <c r="P1344">
        <f>IF(B1360=0,0,O1344/B1360)</f>
        <v/>
      </c>
      <c r="Q1344" t="n">
        <v>0</v>
      </c>
      <c r="R1344" t="n">
        <v>0</v>
      </c>
      <c r="S1344">
        <f>IFERROR(O1344/N1344,0)</f>
        <v/>
      </c>
      <c r="T1344" t="n">
        <v>0</v>
      </c>
      <c r="V1344" t="n">
        <v>0</v>
      </c>
    </row>
    <row r="1345">
      <c r="A1345">
        <f>Skills!A20</f>
        <v/>
      </c>
      <c r="B1345">
        <f>Skills!B20</f>
        <v/>
      </c>
      <c r="C1345">
        <f>Inputs!$B$3&gt;=43</f>
        <v/>
      </c>
      <c r="D1345">
        <f>IF(Skills!C20=1,60+Inputs!$B$25+Inputs!$B$29,IF(Skills!C20=2,90+Inputs!$B$26+Inputs!$B$29,IF(Skills!C20=3,120+Inputs!$B$27+Inputs!$B$29,MAX(0,(Inputs!$B$3-100)*3)+Inputs!$B$28+Inputs!$B$29)))</f>
        <v/>
      </c>
      <c r="E1345">
        <f>INDEX(FactorTable!$B$2:$Y$301, MATCH(ROUND(MIN(300,MAX(1,D1345)),0), FactorTable!$A$2:$A$301,0), Skills!M20+1)</f>
        <v/>
      </c>
      <c r="F1345">
        <f>IF(Skills!N20=TRUE,(Skills!L20/10)*(E1345/1000),Skills!L20/10)+Skills!O20</f>
        <v/>
      </c>
      <c r="G1345">
        <f>Skills!G20*IF(Skills!H20&gt;0,Skills!I20/Skills!H20,1)</f>
        <v/>
      </c>
      <c r="H1345">
        <f>1-(1-Skills!J20/100)^Skills!K20</f>
        <v/>
      </c>
      <c r="I1345" t="inlineStr">
        <is>
          <t>1</t>
        </is>
      </c>
      <c r="J1345" t="inlineStr"/>
      <c r="K1345" t="inlineStr"/>
      <c r="L1345" t="inlineStr"/>
      <c r="M1345" t="inlineStr"/>
      <c r="N1345" t="inlineStr"/>
      <c r="O1345">
        <f>(1-Summary!$B$11)*T1345+Summary!$B$11*V1345</f>
        <v/>
      </c>
      <c r="P1345">
        <f>IF(B1360=0,0,O1345/B1360)</f>
        <v/>
      </c>
      <c r="Q1345" t="n">
        <v>0</v>
      </c>
      <c r="R1345" t="n">
        <v>0</v>
      </c>
      <c r="S1345">
        <f>IFERROR(O1345/N1345,0)</f>
        <v/>
      </c>
      <c r="T1345" t="n">
        <v>0</v>
      </c>
      <c r="V1345" t="n">
        <v>0</v>
      </c>
    </row>
    <row r="1346">
      <c r="A1346">
        <f>Skills!A21</f>
        <v/>
      </c>
      <c r="B1346">
        <f>Skills!B21</f>
        <v/>
      </c>
      <c r="C1346">
        <f>Inputs!$B$3&gt;=38</f>
        <v/>
      </c>
      <c r="D1346">
        <f>IF(Skills!C21=1,60+Inputs!$B$25+Inputs!$B$29,IF(Skills!C21=2,90+Inputs!$B$26+Inputs!$B$29,IF(Skills!C21=3,120+Inputs!$B$27+Inputs!$B$29,MAX(0,(Inputs!$B$3-100)*3)+Inputs!$B$28+Inputs!$B$29)))</f>
        <v/>
      </c>
      <c r="E1346">
        <f>INDEX(FactorTable!$B$2:$Y$301, MATCH(ROUND(MIN(300,MAX(1,D1346)),0), FactorTable!$A$2:$A$301,0), Skills!M21+1)</f>
        <v/>
      </c>
      <c r="F1346">
        <f>IF(Skills!N21=TRUE,(Skills!L21/10)*(E1346/1000),Skills!L21/10)+Skills!O21</f>
        <v/>
      </c>
      <c r="G1346">
        <f>Skills!G21*IF(Skills!H21&gt;0,Skills!I21/Skills!H21,1)</f>
        <v/>
      </c>
      <c r="H1346">
        <f>1-(1-Skills!J21/100)^Skills!K21</f>
        <v/>
      </c>
      <c r="I1346" t="inlineStr">
        <is>
          <t>1</t>
        </is>
      </c>
      <c r="J1346" t="inlineStr"/>
      <c r="K1346" t="inlineStr"/>
      <c r="L1346" t="inlineStr"/>
      <c r="M1346" t="inlineStr"/>
      <c r="N1346" t="inlineStr"/>
      <c r="O1346">
        <f>(1-Summary!$B$11)*T1346+Summary!$B$11*V1346</f>
        <v/>
      </c>
      <c r="P1346">
        <f>IF(B1360=0,0,O1346/B1360)</f>
        <v/>
      </c>
      <c r="Q1346" t="n">
        <v>0</v>
      </c>
      <c r="R1346" t="n">
        <v>0</v>
      </c>
      <c r="S1346">
        <f>IFERROR(O1346/N1346,0)</f>
        <v/>
      </c>
      <c r="T1346" t="n">
        <v>0</v>
      </c>
      <c r="V1346" t="n">
        <v>0</v>
      </c>
    </row>
    <row r="1347">
      <c r="A1347">
        <f>Skills!A22</f>
        <v/>
      </c>
      <c r="B1347">
        <f>Skills!B22</f>
        <v/>
      </c>
      <c r="C1347">
        <f>Inputs!$B$3&gt;=75</f>
        <v/>
      </c>
      <c r="D1347">
        <f>IF(Skills!C22=1,60+Inputs!$B$25+Inputs!$B$29,IF(Skills!C22=2,90+Inputs!$B$26+Inputs!$B$29,IF(Skills!C22=3,120+Inputs!$B$27+Inputs!$B$29,MAX(0,(Inputs!$B$3-100)*3)+Inputs!$B$28+Inputs!$B$29)))</f>
        <v/>
      </c>
      <c r="E1347">
        <f>INDEX(FactorTable!$B$2:$Y$301, MATCH(ROUND(MIN(300,MAX(1,D1347)),0), FactorTable!$A$2:$A$301,0), Skills!M22+1)</f>
        <v/>
      </c>
      <c r="F1347">
        <f>IF(Skills!N22=TRUE,(Skills!L22/10)*(E1347/1000),Skills!L22/10)+Skills!O22</f>
        <v/>
      </c>
      <c r="G1347">
        <f>Skills!G22*IF(Skills!H22&gt;0,Skills!I22/Skills!H22,1)</f>
        <v/>
      </c>
      <c r="H1347">
        <f>1-(1-Skills!J22/100)^Skills!K22</f>
        <v/>
      </c>
      <c r="I1347" t="inlineStr">
        <is>
          <t>1</t>
        </is>
      </c>
      <c r="J1347" t="inlineStr"/>
      <c r="K1347" t="inlineStr"/>
      <c r="L1347" t="inlineStr"/>
      <c r="M1347" t="inlineStr"/>
      <c r="N1347" t="inlineStr"/>
      <c r="O1347">
        <f>(1-Summary!$B$11)*T1347+Summary!$B$11*V1347</f>
        <v/>
      </c>
      <c r="P1347">
        <f>IF(B1360=0,0,O1347/B1360)</f>
        <v/>
      </c>
      <c r="Q1347" t="n">
        <v>0</v>
      </c>
      <c r="R1347" t="n">
        <v>0</v>
      </c>
      <c r="S1347">
        <f>IFERROR(O1347/N1347,0)</f>
        <v/>
      </c>
      <c r="T1347" t="n">
        <v>0</v>
      </c>
      <c r="V1347" t="n">
        <v>0</v>
      </c>
    </row>
    <row r="1349">
      <c r="A1349" t="inlineStr">
        <is>
          <t>Attack% Bucket Multiplier</t>
        </is>
      </c>
      <c r="B1349">
        <f>(1+(((C1338=TRUE)*F1338)+((C1344=TRUE)*(F1344-Calc!F19))+(IF(ArtifactsInput!$M$21,CHOOSE(ArtifactsInput!$N$21+1,25,30,35,40,45,50)*(IF(OR(Inputs!$B$4="Chapter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50">
      <c r="A1350" t="inlineStr">
        <is>
          <t>Global Crit Rate Bonus %</t>
        </is>
      </c>
      <c r="B1350" t="n">
        <v>0</v>
      </c>
    </row>
    <row r="1351">
      <c r="A1351" t="inlineStr">
        <is>
          <t>Attack Speed Buff Bonus % (unused)</t>
        </is>
      </c>
      <c r="B1351" t="n">
        <v>0</v>
      </c>
    </row>
    <row r="1352">
      <c r="A1352" t="inlineStr">
        <is>
          <t>Actions Per Second</t>
        </is>
      </c>
      <c r="B1352">
        <f>1+MIN(150,150*(1-(1-(Inputs!$B$11+((C1342=TRUE)*(F1342-Calc!F17))+((C1343=TRUE)*(F1343-Calc!F18)))/150)*(1-B1351/150)))/100</f>
        <v/>
      </c>
    </row>
    <row r="1353">
      <c r="A1353" t="inlineStr">
        <is>
          <t>Skill + Buff Cast Rate</t>
        </is>
      </c>
      <c r="B1353">
        <f>IF(AND(Inputs!$B$38&lt;&gt;"pvp",Inputs!$B$43&gt;0),SUMPRODUCT((Skills!E2:E22=TRUE)*(C1327:C1347=TRUE)*R1327:R1347*Skills!F2:F22)/Inputs!$B$43,SUMPRODUCT((Skills!E2:E22=TRUE)*(C1327:C1347=TRUE)*Q1327:Q1347*Skills!F2:F22))</f>
        <v/>
      </c>
    </row>
    <row r="1354">
      <c r="A1354" t="inlineStr">
        <is>
          <t>Hook Bomber Casts Per Second</t>
        </is>
      </c>
      <c r="B1354">
        <f>MAX(0,B1352-B1353)</f>
        <v/>
      </c>
    </row>
    <row r="1355">
      <c r="A1355" t="inlineStr">
        <is>
          <t>Global Critical Damage Bonus % (unused)</t>
        </is>
      </c>
      <c r="B1355" t="n">
        <v>0</v>
      </c>
    </row>
    <row r="1356">
      <c r="A1356" t="inlineStr">
        <is>
          <t>Global Final Damage Bonus % (Serpent Scale + Crossbones + Time Leap + Speed Infusion)</t>
        </is>
      </c>
      <c r="B1356">
        <f>((C1330=TRUE)*F1330*((10+IF(Inputs!$B$3&gt;=94,5,0))/((10+IF(Inputs!$B$3&gt;=94,5,0))+5/(B1354*(1+IF(Inputs!$B$3&gt;=104,1,0))))))+((C1339=TRUE)*F1339)+((C1340=TRUE)*F1340)+((Inputs!$B$3&gt;=110)*20*(B1352-1))</f>
        <v/>
      </c>
    </row>
    <row r="1357">
      <c r="A1357" t="inlineStr">
        <is>
          <t>Buff-Casting Startup Delay (s, fixed-duration only)</t>
        </is>
      </c>
      <c r="B1357">
        <f>IF(AND(Inputs!$B$38&lt;&gt;"pvp",Inputs!$B$43&gt;0),SUMPRODUCT((Skills!T2:T22&gt;0)*(Skills!E2:E22=TRUE)*(C1327:C1347=TRUE))/B1352,0)</f>
        <v/>
      </c>
    </row>
    <row r="1358">
      <c r="A1358" t="inlineStr">
        <is>
          <t>Boss-Only Total DPS (this block's swept value)</t>
        </is>
      </c>
      <c r="B1358">
        <f>SUM(T1327:T1347)</f>
        <v/>
      </c>
    </row>
    <row r="1359">
      <c r="A1359" t="inlineStr">
        <is>
          <t>Normal-Only Total DPS (this block's swept value)</t>
        </is>
      </c>
      <c r="B1359">
        <f>SUM(V1327:V1347)</f>
        <v/>
      </c>
    </row>
    <row r="1360">
      <c r="A1360" s="6" t="inlineStr">
        <is>
          <t>TOTAL DPS</t>
        </is>
      </c>
      <c r="B1360" s="6">
        <f>SUM(O1327:O1347)</f>
        <v/>
      </c>
    </row>
    <row r="1363">
      <c r="A1363" s="6" t="inlineStr">
        <is>
          <t>Stat: Clear Spring Water (Equip)</t>
        </is>
      </c>
    </row>
    <row r="1364">
      <c r="A1364" s="5" t="inlineStr">
        <is>
          <t>Key</t>
        </is>
      </c>
      <c r="B1364" s="5" t="inlineStr">
        <is>
          <t>Name</t>
        </is>
      </c>
      <c r="C1364" s="5" t="inlineStr">
        <is>
          <t>Unlocked</t>
        </is>
      </c>
      <c r="D1364" s="5" t="inlineStr">
        <is>
          <t>InputLevel</t>
        </is>
      </c>
      <c r="E1364" s="5" t="inlineStr">
        <is>
          <t>Factor</t>
        </is>
      </c>
      <c r="F1364" s="5" t="inlineStr">
        <is>
          <t>CoefficientPercent</t>
        </is>
      </c>
      <c r="G1364" s="5" t="inlineStr">
        <is>
          <t>EffectiveHits</t>
        </is>
      </c>
      <c r="H1364" s="5" t="inlineStr">
        <is>
          <t>ProcProbability</t>
        </is>
      </c>
      <c r="I1364" s="5" t="inlineStr">
        <is>
          <t>MapleHeroMultiplier</t>
        </is>
      </c>
      <c r="J1364" s="5" t="inlineStr">
        <is>
          <t>BaseDamage</t>
        </is>
      </c>
      <c r="K1364" s="5" t="inlineStr">
        <is>
          <t>BaseHitDamage</t>
        </is>
      </c>
      <c r="L1364" s="5" t="inlineStr">
        <is>
          <t>NonCritAvg</t>
        </is>
      </c>
      <c r="M1364" s="5" t="inlineStr">
        <is>
          <t>CritAvg</t>
        </is>
      </c>
      <c r="N1364" s="5" t="inlineStr">
        <is>
          <t>ExpectedDamage(perHit)</t>
        </is>
      </c>
      <c r="O1364" s="5" t="inlineStr">
        <is>
          <t>DPS</t>
        </is>
      </c>
      <c r="P1364" s="5" t="inlineStr">
        <is>
          <t>% of Total</t>
        </is>
      </c>
      <c r="Q1364" s="5" t="inlineStr">
        <is>
          <t>InvCooldown</t>
        </is>
      </c>
      <c r="R1364" s="5" t="inlineStr">
        <is>
          <t>CastsInFight</t>
        </is>
      </c>
      <c r="S1364" s="5" t="inlineStr">
        <is>
          <t>HitRate(perSec)</t>
        </is>
      </c>
      <c r="U1364" t="inlineStr">
        <is>
          <t>helpers</t>
        </is>
      </c>
    </row>
    <row r="1365">
      <c r="A1365">
        <f>Skills!A2</f>
        <v/>
      </c>
      <c r="B1365">
        <f>Skills!B2</f>
        <v/>
      </c>
      <c r="C1365">
        <f>Inputs!$B$3&gt;=100</f>
        <v/>
      </c>
      <c r="D1365" t="inlineStr"/>
      <c r="E1365" t="inlineStr"/>
      <c r="F1365">
        <f>U1367+Skills!O2</f>
        <v/>
      </c>
      <c r="G1365">
        <f>Skills!G2*IF(Skills!H2&gt;0,Skills!I2/Skills!H2,1)</f>
        <v/>
      </c>
      <c r="H1365">
        <f>1-(1-Skills!J2/100)^Skills!K2</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20)),(Inputs!$B$23+0+(IF(ArtifactsInput!$M$15,CHOOSE(ArtifactsInput!$N$15+1,25,30,35,40,45,50)/100*(Inputs!$B$11-Inputs!$B$11),0))))/100+(Inputs!$B$23+0+(IF(ArtifactsInput!$M$15,CHOOSE(ArtifactsInput!$N$15+1,25,30,35,40,45,50)/100*(Inputs!$B$11-Inputs!$B$11),0)))/100)/2</f>
        <v/>
      </c>
      <c r="M1365">
        <f>L1365*(1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IF(B1398=0,0,O1365/B1398)</f>
        <v/>
      </c>
      <c r="Q1365" t="n">
        <v>0</v>
      </c>
      <c r="R1365" t="n">
        <v>0</v>
      </c>
      <c r="S1365">
        <f>IFERROR(O1365/N1365,0)</f>
        <v/>
      </c>
      <c r="T1365">
        <f>IF(C1365,(Skills!G2*N1365*B1392)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MAX(0,(Inputs!$B$3-100)*3)+Inputs!$B$28+Inputs!$B$29</f>
        <v/>
      </c>
      <c r="V1365">
        <f>IF(C1365,(Skills!G2*N1365*B1392)*IF(Inputs!$B$38="pvp",1,(1+(Inputs!$B$21+Skills!Q2+(IF(ArtifactsInput!$M$33,CHOOSE(ArtifactsInput!$N$33+1,30,36,42,48,54,60),0))+(IF(AND(ArtifactsInput!$M$35,Inputs!$B$4&lt;&gt;"Chapter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Skills!A3</f>
        <v/>
      </c>
      <c r="B1366">
        <f>Skills!B3</f>
        <v/>
      </c>
      <c r="C1366">
        <f>Inputs!$B$3&gt;=35</f>
        <v/>
      </c>
      <c r="D1366">
        <f>IF(Skills!C3=1,60+Inputs!$B$25+Inputs!$B$29,IF(Skills!C3=2,90+Inputs!$B$26+Inputs!$B$29,IF(Skills!C3=3,120+Inputs!$B$27+Inputs!$B$29,MAX(0,(Inputs!$B$3-100)*3)+Inputs!$B$28+Inputs!$B$29)))</f>
        <v/>
      </c>
      <c r="E1366">
        <f>INDEX(FactorTable!$B$2:$Y$301, MATCH(ROUND(MIN(300,MAX(1,D1366)),0), FactorTable!$A$2:$A$301,0), Skills!M3+1)</f>
        <v/>
      </c>
      <c r="F1366">
        <f>IF(Skills!N3=TRUE,(Skills!L3/10)*(E1366/1000),Skills!L3/10)+Skills!O3</f>
        <v/>
      </c>
      <c r="G1366">
        <f>Skills!G3*IF(Skills!H3&gt;0,Skills!I3/Skills!H3,1)</f>
        <v/>
      </c>
      <c r="H1366">
        <f>1-(1-Skills!J3/100)^Skills!K3</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20)),(Inputs!$B$23+0+(IF(ArtifactsInput!$M$15,CHOOSE(ArtifactsInput!$N$15+1,25,30,35,40,45,50)/100*(Inputs!$B$11-Inputs!$B$11),0))))/100+(Inputs!$B$23+0+(IF(ArtifactsInput!$M$15,CHOOSE(ArtifactsInput!$N$15+1,25,30,35,40,45,50)/100*(Inputs!$B$11-Inputs!$B$11),0)))/100)/2</f>
        <v/>
      </c>
      <c r="M1366">
        <f>L1366*(1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IF(B1398=0,0,O1366/B1398)</f>
        <v/>
      </c>
      <c r="Q1366" t="n">
        <v>0</v>
      </c>
      <c r="R1366" t="n">
        <v>0</v>
      </c>
      <c r="S1366">
        <f>IFERROR(O1366/N1366,0)</f>
        <v/>
      </c>
      <c r="T1366">
        <f>IF(C1366,(Skills!G3*H1366*N1366*B1392)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6">
        <f>INDEX(FactorTable!$B$2:$Y$301, MATCH(ROUND(MIN(300,MAX(1,U1365)),0), FactorTable!$A$2:$A$301,0), 22)</f>
        <v/>
      </c>
      <c r="V1366">
        <f>IF(C1366,(Skills!G3*H1366*N1366*B1392)*IF(Inputs!$B$38="pvp",1,(1+(Inputs!$B$21+Skills!Q3+(IF(ArtifactsInput!$M$33,CHOOSE(ArtifactsInput!$N$33+1,30,36,42,48,54,60),0))+(IF(AND(ArtifactsInput!$M$35,Inputs!$B$4&lt;&gt;"Chapter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Skills!A4</f>
        <v/>
      </c>
      <c r="B1367">
        <f>Skills!B4</f>
        <v/>
      </c>
      <c r="C1367">
        <f>Inputs!$B$3&gt;=60</f>
        <v/>
      </c>
      <c r="D1367">
        <f>IF(Skills!C4=1,60+Inputs!$B$25+Inputs!$B$29,IF(Skills!C4=2,90+Inputs!$B$26+Inputs!$B$29,IF(Skills!C4=3,120+Inputs!$B$27+Inputs!$B$29,MAX(0,(Inputs!$B$3-100)*3)+Inputs!$B$28+Inputs!$B$29)))</f>
        <v/>
      </c>
      <c r="E1367">
        <f>INDEX(FactorTable!$B$2:$Y$301, MATCH(ROUND(MIN(300,MAX(1,D1367)),0), FactorTable!$A$2:$A$301,0), Skills!M4+1)</f>
        <v/>
      </c>
      <c r="F1367">
        <f>IF(Skills!N4=TRUE,(Skills!L4/10)*(E1367/1000),Skills!L4/10)+Skills!O4</f>
        <v/>
      </c>
      <c r="G1367">
        <f>Skills!G4*IF(Skills!H4&gt;0,Skills!I4/Skills!H4,1)</f>
        <v/>
      </c>
      <c r="H1367">
        <f>1-(1-Skills!J4/100)^Skills!K4</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1375=TRUE,F1375,0)/100)*(1+(IF(Skills!A4="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20)),(Inputs!$B$23+0+(IF(ArtifactsInput!$M$15,CHOOSE(ArtifactsInput!$N$15+1,25,30,35,40,45,50)/100*(Inputs!$B$11-Inputs!$B$11),0))))/100+(Inputs!$B$23+0+(IF(ArtifactsInput!$M$15,CHOOSE(ArtifactsInput!$N$15+1,25,30,35,40,45,50)/100*(Inputs!$B$11-Inputs!$B$11),0)))/100)/2</f>
        <v/>
      </c>
      <c r="M1367">
        <f>L1367*(1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IF(B1398=0,0,O1367/B1398)</f>
        <v/>
      </c>
      <c r="Q1367" t="n">
        <v>0</v>
      </c>
      <c r="R1367" t="n">
        <v>0</v>
      </c>
      <c r="S1367">
        <f>IFERROR(O1367/N1367,0)</f>
        <v/>
      </c>
      <c r="T1367">
        <f>IF(C1367,(Skills!G4*H1367*N1367*B1392)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7">
        <f>290*U1366/1000</f>
        <v/>
      </c>
      <c r="V1367">
        <f>IF(C1367,(Skills!G4*H1367*N1367*B1392)*IF(Inputs!$B$38="pvp",1,(1+(Inputs!$B$21+Skills!Q4+(IF(ArtifactsInput!$M$33,CHOOSE(ArtifactsInput!$N$33+1,30,36,42,48,54,60),0))+(IF(AND(ArtifactsInput!$M$35,Inputs!$B$4&lt;&gt;"Chapter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Skills!A5</f>
        <v/>
      </c>
      <c r="B1368">
        <f>Skills!B5</f>
        <v/>
      </c>
      <c r="C1368">
        <f>Inputs!$B$3&gt;=60</f>
        <v/>
      </c>
      <c r="D1368">
        <f>IF(Skills!C5=1,60+Inputs!$B$25+Inputs!$B$29,IF(Skills!C5=2,90+Inputs!$B$26+Inputs!$B$29,IF(Skills!C5=3,120+Inputs!$B$27+Inputs!$B$29,MAX(0,(Inputs!$B$3-100)*3)+Inputs!$B$28+Inputs!$B$29)))</f>
        <v/>
      </c>
      <c r="E1368">
        <f>INDEX(FactorTable!$B$2:$Y$301, MATCH(ROUND(MIN(300,MAX(1,D1368)),0), FactorTable!$A$2:$A$301,0), Skills!M5+1)</f>
        <v/>
      </c>
      <c r="F1368">
        <f>IF(Skills!N5=TRUE,(Skills!L5/10)*(E1368/1000),Skills!L5/10)+Skills!O5</f>
        <v/>
      </c>
      <c r="G1368">
        <f>Skills!G5*IF(Skills!H5&gt;0,Skills!I5/Skills!H5,1)</f>
        <v/>
      </c>
      <c r="H1368">
        <f>1-(1-Skills!J5/100)^Skills!K5</f>
        <v/>
      </c>
      <c r="I1368" t="inlineStr">
        <is>
          <t>1</t>
        </is>
      </c>
      <c r="J1368" t="inlineStr"/>
      <c r="K1368" t="inlineStr"/>
      <c r="L1368" t="inlineStr"/>
      <c r="M1368" t="inlineStr"/>
      <c r="N1368" t="inlineStr"/>
      <c r="O1368">
        <f>(1-Summary!$B$11)*T1368+Summary!$B$11*V1368</f>
        <v/>
      </c>
      <c r="P1368">
        <f>IF(B1398=0,0,O1368/B1398)</f>
        <v/>
      </c>
      <c r="Q1368" t="n">
        <v>0</v>
      </c>
      <c r="R1368" t="n">
        <v>0</v>
      </c>
      <c r="S1368">
        <f>IFERROR(O1368/N1368,0)</f>
        <v/>
      </c>
      <c r="T1368" t="n">
        <v>0</v>
      </c>
      <c r="V1368" t="n">
        <v>0</v>
      </c>
    </row>
    <row r="1369">
      <c r="A1369">
        <f>Skills!A6</f>
        <v/>
      </c>
      <c r="B1369">
        <f>Skills!B6</f>
        <v/>
      </c>
      <c r="C1369">
        <f>Inputs!$B$3&gt;=63</f>
        <v/>
      </c>
      <c r="D1369">
        <f>IF(Skills!C6=1,60+Inputs!$B$25+Inputs!$B$29,IF(Skills!C6=2,90+Inputs!$B$26+Inputs!$B$29,IF(Skills!C6=3,120+Inputs!$B$27+Inputs!$B$29,MAX(0,(Inputs!$B$3-100)*3)+Inputs!$B$28+Inputs!$B$29)))</f>
        <v/>
      </c>
      <c r="E1369">
        <f>INDEX(FactorTable!$B$2:$Y$301, MATCH(ROUND(MIN(300,MAX(1,D1369)),0), FactorTable!$A$2:$A$301,0), Skills!M6+1)</f>
        <v/>
      </c>
      <c r="F1369">
        <f>IF(Skills!N6=TRUE,(Skills!L6/10)*(E1369/1000),Skills!L6/10)+Skills!O6</f>
        <v/>
      </c>
      <c r="G1369">
        <f>Skills!G6*IF(Skills!H6&gt;0,Skills!I6/Skills!H6,1)</f>
        <v/>
      </c>
      <c r="H1369">
        <f>1-(1-Skills!J6/100)^Skills!K6</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20)),(Inputs!$B$23+0+(IF(ArtifactsInput!$M$15,CHOOSE(ArtifactsInput!$N$15+1,25,30,35,40,45,50)/100*(Inputs!$B$11-Inputs!$B$11),0))))/100+(Inputs!$B$23+0+(IF(ArtifactsInput!$M$15,CHOOSE(ArtifactsInput!$N$15+1,25,30,35,40,45,50)/100*(Inputs!$B$11-Inputs!$B$11),0)))/100)/2</f>
        <v/>
      </c>
      <c r="M1369">
        <f>L1369*(1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IF(B1398=0,0,O1369/B1398)</f>
        <v/>
      </c>
      <c r="Q1369">
        <f>IFERROR(1/(IF(Inputs!$B$38="pvp",15,MAX(0.1,Skills!D6-IF(Skills!E6=TRUE,Inputs!$B$32,0)))*(1-IF(AND(ArtifactsInput!$M$27,Inputs!$B$4="Chapter Hunt"),CHOOSE(ArtifactsInput!$N$27+1,20,24,28,32,36,40),0)/100)),0)</f>
        <v/>
      </c>
      <c r="R1369">
        <f>IF(AND(Inputs!$B$38&lt;&gt;"pvp",Inputs!$B$43&gt;0),IF(MAX(0,Inputs!$B$43-B1395)&lt;=0,0,(INT(MAX(0,Inputs!$B$43-B1395)/(IF(Inputs!$B$38="pvp",15,MAX(0.1,Skills!D6-IF(Skills!E6=TRUE,Inputs!$B$32,0)))*(1-IF(AND(ArtifactsInput!$M$27,Inputs!$B$4="Chapter Hunt"),CHOOSE(ArtifactsInput!$N$27+1,20,24,28,32,36,40),0)/100)))+1)),0)</f>
        <v/>
      </c>
      <c r="S1369">
        <f>IFERROR(O1369/N1369,0)</f>
        <v/>
      </c>
      <c r="T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$21+Skills!Q6+(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Skills!A7</f>
        <v/>
      </c>
      <c r="B1370">
        <f>Skills!B7</f>
        <v/>
      </c>
      <c r="C1370">
        <f>Inputs!$B$3&gt;=100</f>
        <v/>
      </c>
      <c r="D1370">
        <f>IF(Skills!C7=1,60+Inputs!$B$25+Inputs!$B$29,IF(Skills!C7=2,90+Inputs!$B$26+Inputs!$B$29,IF(Skills!C7=3,120+Inputs!$B$27+Inputs!$B$29,MAX(0,(Inputs!$B$3-100)*3)+Inputs!$B$28+Inputs!$B$29)))</f>
        <v/>
      </c>
      <c r="E1370">
        <f>INDEX(FactorTable!$B$2:$Y$301, MATCH(ROUND(MIN(300,MAX(1,D1370)),0), FactorTable!$A$2:$A$301,0), Skills!M7+1)</f>
        <v/>
      </c>
      <c r="F1370">
        <f>IF(Skills!N7=TRUE,(Skills!L7/10)*(E1370/1000),Skills!L7/10)+Skills!O7</f>
        <v/>
      </c>
      <c r="G1370">
        <f>Skills!G7*IF(Skills!H7&gt;0,Skills!I7/Skills!H7,1)</f>
        <v/>
      </c>
      <c r="H1370">
        <f>1-(1-Skills!J7/100)^Skills!K7</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20)),(Inputs!$B$23+0+(IF(ArtifactsInput!$M$15,CHOOSE(ArtifactsInput!$N$15+1,25,30,35,40,45,50)/100*(Inputs!$B$11-Inputs!$B$11),0))))/100+(Inputs!$B$23+0+(IF(ArtifactsInput!$M$15,CHOOSE(ArtifactsInput!$N$15+1,25,30,35,40,45,50)/100*(Inputs!$B$11-Inputs!$B$11),0)))/100)/2</f>
        <v/>
      </c>
      <c r="M1370">
        <f>L1370*(1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IF(B1398=0,0,O1370/B1398)</f>
        <v/>
      </c>
      <c r="Q1370">
        <f>IFERROR(1/(IF(Inputs!$B$38="pvp",15,MAX(0.1,Skills!D7-IF(Skills!E7=TRUE,Inputs!$B$32,0)))*(1-IF(AND(ArtifactsInput!$M$27,Inputs!$B$4="Chapter Hunt"),CHOOSE(ArtifactsInput!$N$27+1,20,24,28,32,36,40),0)/100)),0)</f>
        <v/>
      </c>
      <c r="R1370">
        <f>IF(AND(Inputs!$B$38&lt;&gt;"pvp",Inputs!$B$43&gt;0),IF(MAX(0,Inputs!$B$43-B1395)&lt;=0,0,(INT(MAX(0,Inputs!$B$43-B1395)/(IF(Inputs!$B$38="pvp",15,MAX(0.1,Skills!D7-IF(Skills!E7=TRUE,Inputs!$B$32,0)))*(1-IF(AND(ArtifactsInput!$M$27,Inputs!$B$4="Chapter Hunt"),CHOOSE(ArtifactsInput!$N$27+1,20,24,28,32,36,40),0)/100)))+1)),0)</f>
        <v/>
      </c>
      <c r="S1370">
        <f>IFERROR(O1370/N1370,0)</f>
        <v/>
      </c>
      <c r="T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$21+Skills!Q7+(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Skills!A8</f>
        <v/>
      </c>
      <c r="B1371">
        <f>Skills!B8</f>
        <v/>
      </c>
      <c r="C1371">
        <f>Inputs!$B$3&gt;=110</f>
        <v/>
      </c>
      <c r="D1371">
        <f>IF(Skills!C8=1,60+Inputs!$B$25+Inputs!$B$29,IF(Skills!C8=2,90+Inputs!$B$26+Inputs!$B$29,IF(Skills!C8=3,120+Inputs!$B$27+Inputs!$B$29,MAX(0,(Inputs!$B$3-100)*3)+Inputs!$B$28+Inputs!$B$29)))</f>
        <v/>
      </c>
      <c r="E1371">
        <f>INDEX(FactorTable!$B$2:$Y$301, MATCH(ROUND(MIN(300,MAX(1,D1371)),0), FactorTable!$A$2:$A$301,0), Skills!M8+1)</f>
        <v/>
      </c>
      <c r="F1371">
        <f>IF(Skills!N8=TRUE,(Skills!L8/10)*(E1371/1000),Skills!L8/10)+Skills!O8</f>
        <v/>
      </c>
      <c r="G1371">
        <f>Skills!G8*IF(Skills!H8&gt;0,Skills!I8/Skills!H8,1)</f>
        <v/>
      </c>
      <c r="H1371">
        <f>1-(1-Skills!J8/100)^Skills!K8</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20)),(Inputs!$B$23+0+(IF(ArtifactsInput!$M$15,CHOOSE(ArtifactsInput!$N$15+1,25,30,35,40,45,50)/100*(Inputs!$B$11-Inputs!$B$11),0))))/100+(Inputs!$B$23+0+(IF(ArtifactsInput!$M$15,CHOOSE(ArtifactsInput!$N$15+1,25,30,35,40,45,50)/100*(Inputs!$B$11-Inputs!$B$11),0)))/100)/2</f>
        <v/>
      </c>
      <c r="M1371">
        <f>L1371*(1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1">
        <f>L1371*(1-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1">
        <f>(1-Summary!$B$11)*T1371+Summary!$B$11*V1371</f>
        <v/>
      </c>
      <c r="P1371">
        <f>IF(B1398=0,0,O1371/B1398)</f>
        <v/>
      </c>
      <c r="Q1371">
        <f>IFERROR(1/(IF(Inputs!$B$38="pvp",15,MAX(0.1,Skills!D8-IF(Skills!E8=TRUE,Inputs!$B$32,0)))*(1-IF(AND(ArtifactsInput!$M$27,Inputs!$B$4="Chapter Hunt"),CHOOSE(ArtifactsInput!$N$27+1,20,24,28,32,36,40),0)/100)),0)</f>
        <v/>
      </c>
      <c r="R1371">
        <f>IF(AND(Inputs!$B$38&lt;&gt;"pvp",Inputs!$B$43&gt;0),IF(MAX(0,Inputs!$B$43-B1395)&lt;=0,0,(INT(MAX(0,Inputs!$B$43-B1395)/(IF(Inputs!$B$38="pvp",15,MAX(0.1,Skills!D8-IF(Skills!E8=TRUE,Inputs!$B$32,0)))*(1-IF(AND(ArtifactsInput!$M$27,Inputs!$B$4="Chapter Hunt"),CHOOSE(ArtifactsInput!$N$27+1,20,24,28,32,36,40),0)/100)))+1)),0)</f>
        <v/>
      </c>
      <c r="S1371">
        <f>IFERROR(O1371/N1371,0)</f>
        <v/>
      </c>
      <c r="T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$21+Skills!Q8+(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Skills!A9</f>
        <v/>
      </c>
      <c r="B1372">
        <f>Skills!B9</f>
        <v/>
      </c>
      <c r="C1372">
        <f>Inputs!$B$3&gt;=110</f>
        <v/>
      </c>
      <c r="D1372">
        <f>IF(Skills!C9=1,60+Inputs!$B$25+Inputs!$B$29,IF(Skills!C9=2,90+Inputs!$B$26+Inputs!$B$29,IF(Skills!C9=3,120+Inputs!$B$27+Inputs!$B$29,MAX(0,(Inputs!$B$3-100)*3)+Inputs!$B$28+Inputs!$B$29)))</f>
        <v/>
      </c>
      <c r="E1372">
        <f>INDEX(FactorTable!$B$2:$Y$301, MATCH(ROUND(MIN(300,MAX(1,D1372)),0), FactorTable!$A$2:$A$301,0), Skills!M9+1)</f>
        <v/>
      </c>
      <c r="F1372">
        <f>IF(Skills!N9=TRUE,(Skills!L9/10)*(E1372/1000),Skills!L9/10)+Skills!O9</f>
        <v/>
      </c>
      <c r="G1372">
        <f>Skills!G9*IF(Skills!H9&gt;0,Skills!I9/Skills!H9,1)</f>
        <v/>
      </c>
      <c r="H1372">
        <f>1-(1-Skills!J9/100)^Skills!K9</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20)),(Inputs!$B$23+0+(IF(ArtifactsInput!$M$15,CHOOSE(ArtifactsInput!$N$15+1,25,30,35,40,45,50)/100*(Inputs!$B$11-Inputs!$B$11),0))))/100+(Inputs!$B$23+0+(IF(ArtifactsInput!$M$15,CHOOSE(ArtifactsInput!$N$15+1,25,30,35,40,45,50)/100*(Inputs!$B$11-Inputs!$B$11),0)))/100)/2</f>
        <v/>
      </c>
      <c r="M1372">
        <f>L1372*(1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IF(B1398=0,0,O1372/B1398)</f>
        <v/>
      </c>
      <c r="Q1372">
        <f>IFERROR(1/(IF(Inputs!$B$38="pvp",15,MAX(0.1,Skills!D9-IF(Skills!E9=TRUE,Inputs!$B$32,0)))*(1-IF(AND(ArtifactsInput!$M$27,Inputs!$B$4="Chapter Hunt"),CHOOSE(ArtifactsInput!$N$27+1,20,24,28,32,36,40),0)/100)),0)</f>
        <v/>
      </c>
      <c r="R1372">
        <f>IF(AND(Inputs!$B$38&lt;&gt;"pvp",Inputs!$B$43&gt;0),IF(MAX(0,Inputs!$B$43-B1395)&lt;=0,0,(INT(MAX(0,Inputs!$B$43-B1395)/(IF(Inputs!$B$38="pvp",15,MAX(0.1,Skills!D9-IF(Skills!E9=TRUE,Inputs!$B$32,0)))*(1-IF(AND(ArtifactsInput!$M$27,Inputs!$B$4="Chapter Hunt"),CHOOSE(ArtifactsInput!$N$27+1,20,24,28,32,36,40),0)/100)))+1)),0)</f>
        <v/>
      </c>
      <c r="S1372">
        <f>IFERROR(O1372/N1372,0)</f>
        <v/>
      </c>
      <c r="T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$21+Skills!Q9+(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Skills!A10</f>
        <v/>
      </c>
      <c r="B1373">
        <f>Skills!B10</f>
        <v/>
      </c>
      <c r="C1373">
        <f>Inputs!$B$3&gt;=103</f>
        <v/>
      </c>
      <c r="D1373">
        <f>IF(Skills!C10=1,60+Inputs!$B$25+Inputs!$B$29,IF(Skills!C10=2,90+Inputs!$B$26+Inputs!$B$29,IF(Skills!C10=3,120+Inputs!$B$27+Inputs!$B$29,MAX(0,(Inputs!$B$3-100)*3)+Inputs!$B$28+Inputs!$B$29)))</f>
        <v/>
      </c>
      <c r="E1373">
        <f>INDEX(FactorTable!$B$2:$Y$301, MATCH(ROUND(MIN(300,MAX(1,D1373)),0), FactorTable!$A$2:$A$301,0), Skills!M10+1)</f>
        <v/>
      </c>
      <c r="F1373">
        <f>IF(Skills!N10=TRUE,(Skills!L10/10)*(E1373/1000),Skills!L10/10)+Skills!O10</f>
        <v/>
      </c>
      <c r="G1373">
        <f>Skills!G10*IF(Skills!H10&gt;0,Skills!I10/Skills!H10,1)</f>
        <v/>
      </c>
      <c r="H1373">
        <f>1-(1-Skills!J10/100)^Skills!K10</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20)),(Inputs!$B$23+0+(IF(ArtifactsInput!$M$15,CHOOSE(ArtifactsInput!$N$15+1,25,30,35,40,45,50)/100*(Inputs!$B$11-Inputs!$B$11),0))))/100+(Inputs!$B$23+0+(IF(ArtifactsInput!$M$15,CHOOSE(ArtifactsInput!$N$15+1,25,30,35,40,45,50)/100*(Inputs!$B$11-Inputs!$B$11),0)))/100)/2</f>
        <v/>
      </c>
      <c r="M1373">
        <f>L1373*(1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IF(B1398=0,0,O1373/B1398)</f>
        <v/>
      </c>
      <c r="Q1373">
        <f>IFERROR(1/(IF(Inputs!$B$38="pvp",15,MAX(0.1,Skills!D10-IF(Skills!E10=TRUE,Inputs!$B$32,0)))*(1-IF(AND(ArtifactsInput!$M$27,Inputs!$B$4="Chapter Hunt"),CHOOSE(ArtifactsInput!$N$27+1,20,24,28,32,36,40),0)/100)),0)</f>
        <v/>
      </c>
      <c r="R1373">
        <f>IF(AND(Inputs!$B$38&lt;&gt;"pvp",Inputs!$B$43&gt;0),IF(MAX(0,Inputs!$B$43-B1395)&lt;=0,0,(INT(MAX(0,Inputs!$B$43-B1395)/(IF(Inputs!$B$38="pvp",15,MAX(0.1,Skills!D10-IF(Skills!E10=TRUE,Inputs!$B$32,0)))*(1-IF(AND(ArtifactsInput!$M$27,Inputs!$B$4="Chapter Hunt"),CHOOSE(ArtifactsInput!$N$27+1,20,24,28,32,36,40),0)/100)))+1)),0)</f>
        <v/>
      </c>
      <c r="S1373">
        <f>IFERROR(O1373/N1373,0)</f>
        <v/>
      </c>
      <c r="T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$21+Skills!Q10+(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Skills!A11</f>
        <v/>
      </c>
      <c r="B1374">
        <f>Skills!B11</f>
        <v/>
      </c>
      <c r="C1374">
        <f>Inputs!$B$3&gt;=113</f>
        <v/>
      </c>
      <c r="D1374">
        <f>IF(Skills!C11=1,60+Inputs!$B$25+Inputs!$B$29,IF(Skills!C11=2,90+Inputs!$B$26+Inputs!$B$29,IF(Skills!C11=3,120+Inputs!$B$27+Inputs!$B$29,MAX(0,(Inputs!$B$3-100)*3)+Inputs!$B$28+Inputs!$B$29)))</f>
        <v/>
      </c>
      <c r="E1374">
        <f>INDEX(FactorTable!$B$2:$Y$301, MATCH(ROUND(MIN(300,MAX(1,D1374)),0), FactorTable!$A$2:$A$301,0), Skills!M11+1)</f>
        <v/>
      </c>
      <c r="F1374">
        <f>IF(Skills!N11=TRUE,(Skills!L11/10)*(E1374/1000),Skills!L11/10)+Skills!O11</f>
        <v/>
      </c>
      <c r="G1374">
        <f>Skills!G11*IF(Skills!H11&gt;0,Skills!I11/Skills!H11,1)</f>
        <v/>
      </c>
      <c r="H1374">
        <f>1-(1-Skills!J11/100)^Skills!K11</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20)),(Inputs!$B$23+0+(IF(ArtifactsInput!$M$15,CHOOSE(ArtifactsInput!$N$15+1,25,30,35,40,45,50)/100*(Inputs!$B$11-Inputs!$B$11),0))))/100+(Inputs!$B$23+0+(IF(ArtifactsInput!$M$15,CHOOSE(ArtifactsInput!$N$15+1,25,30,35,40,45,50)/100*(Inputs!$B$11-Inputs!$B$11),0)))/100)/2</f>
        <v/>
      </c>
      <c r="M1374">
        <f>L1374*(1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4">
        <f>L1374*(1-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1374*(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4">
        <f>(1-Summary!$B$11)*T1374+Summary!$B$11*V1374</f>
        <v/>
      </c>
      <c r="P1374">
        <f>IF(B1398=0,0,O1374/B1398)</f>
        <v/>
      </c>
      <c r="Q1374">
        <f>IFERROR(1/(IF(Inputs!$B$38="pvp",15,MAX(0.1,Skills!D11-IF(Skills!E11=TRUE,Inputs!$B$32,0)))*(1-IF(AND(ArtifactsInput!$M$27,Inputs!$B$4="Chapter Hunt"),CHOOSE(ArtifactsInput!$N$27+1,20,24,28,32,36,40),0)/100)),0)</f>
        <v/>
      </c>
      <c r="R1374">
        <f>IF(AND(Inputs!$B$38&lt;&gt;"pvp",Inputs!$B$43&gt;0),IF(MAX(0,Inputs!$B$43-B1395)&lt;=0,0,(INT(MAX(0,Inputs!$B$43-B1395)/(IF(Inputs!$B$38="pvp",15,MAX(0.1,Skills!D11-IF(Skills!E11=TRUE,Inputs!$B$32,0)))*(1-IF(AND(ArtifactsInput!$M$27,Inputs!$B$4="Chapter Hunt"),CHOOSE(ArtifactsInput!$N$27+1,20,24,28,32,36,40),0)/100)))+1)),0)</f>
        <v/>
      </c>
      <c r="S1374">
        <f>IFERROR(O1374/N1374,0)</f>
        <v/>
      </c>
      <c r="T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$21+Skills!Q11+(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Skills!A12</f>
        <v/>
      </c>
      <c r="B1375">
        <f>Skills!B12</f>
        <v/>
      </c>
      <c r="C1375">
        <f>Inputs!$B$3&gt;=100</f>
        <v/>
      </c>
      <c r="D1375">
        <f>IF(Skills!C12=1,60+Inputs!$B$25+Inputs!$B$29,IF(Skills!C12=2,90+Inputs!$B$26+Inputs!$B$29,IF(Skills!C12=3,120+Inputs!$B$27+Inputs!$B$29,MAX(0,(Inputs!$B$3-100)*3)+Inputs!$B$28+Inputs!$B$29)))</f>
        <v/>
      </c>
      <c r="E1375">
        <f>INDEX(FactorTable!$B$2:$Y$301, MATCH(ROUND(MIN(300,MAX(1,D1375)),0), FactorTable!$A$2:$A$301,0), Skills!M12+1)</f>
        <v/>
      </c>
      <c r="F1375">
        <f>IF(Skills!N12=TRUE,(Skills!L12/10)*(E1375/1000),Skills!L12/10)+Skills!O12</f>
        <v/>
      </c>
      <c r="G1375" t="inlineStr"/>
      <c r="H1375" t="inlineStr"/>
      <c r="I1375" t="inlineStr">
        <is>
          <t>1</t>
        </is>
      </c>
      <c r="J1375" t="inlineStr"/>
      <c r="K1375" t="inlineStr"/>
      <c r="L1375" t="inlineStr"/>
      <c r="M1375" t="inlineStr"/>
      <c r="N1375" t="inlineStr"/>
      <c r="O1375" t="inlineStr"/>
      <c r="P1375" t="inlineStr"/>
      <c r="Q1375" t="inlineStr"/>
      <c r="R1375" t="inlineStr"/>
      <c r="S1375" t="inlineStr"/>
      <c r="T1375" t="inlineStr"/>
      <c r="V1375" t="inlineStr"/>
    </row>
    <row r="1376">
      <c r="A1376">
        <f>Skills!A13</f>
        <v/>
      </c>
      <c r="B1376">
        <f>Skills!B13</f>
        <v/>
      </c>
      <c r="C1376">
        <f>Inputs!$B$3&gt;=66</f>
        <v/>
      </c>
      <c r="D1376">
        <f>IF(Skills!C13=1,60+Inputs!$B$25+Inputs!$B$29,IF(Skills!C13=2,90+Inputs!$B$26+Inputs!$B$29,IF(Skills!C13=3,120+Inputs!$B$27+Inputs!$B$29,MAX(0,(Inputs!$B$3-100)*3)+Inputs!$B$28+Inputs!$B$29)))</f>
        <v/>
      </c>
      <c r="E1376">
        <f>INDEX(FactorTable!$B$2:$Y$301, MATCH(ROUND(MIN(300,MAX(1,D1376)),0), FactorTable!$A$2:$A$301,0), Skills!M13+1)</f>
        <v/>
      </c>
      <c r="F1376">
        <f>IF(Skills!N13=TRUE,(Skills!L13/10)*(E1376/1000),Skills!L13/10)+Skills!O13</f>
        <v/>
      </c>
      <c r="G1376">
        <f>Skills!G13*IF(Skills!H13&gt;0,Skills!I13/Skills!H13,1)</f>
        <v/>
      </c>
      <c r="H1376">
        <f>1-(1-Skills!J13/100)^Skills!K13</f>
        <v/>
      </c>
      <c r="I1376" t="inlineStr">
        <is>
          <t>1</t>
        </is>
      </c>
      <c r="J1376" t="inlineStr"/>
      <c r="K1376" t="inlineStr"/>
      <c r="L1376" t="inlineStr"/>
      <c r="M1376" t="inlineStr"/>
      <c r="N1376" t="inlineStr"/>
      <c r="O1376">
        <f>(1-Summary!$B$11)*T1376+Summary!$B$11*V1376</f>
        <v/>
      </c>
      <c r="P1376">
        <f>IF(B1398=0,0,O1376/B1398)</f>
        <v/>
      </c>
      <c r="Q1376" t="n">
        <v>0</v>
      </c>
      <c r="R1376" t="n">
        <v>0</v>
      </c>
      <c r="S1376">
        <f>IFERROR(O1376/N1376,0)</f>
        <v/>
      </c>
      <c r="T1376" t="n">
        <v>0</v>
      </c>
      <c r="V1376" t="n">
        <v>0</v>
      </c>
    </row>
    <row r="1377">
      <c r="A1377">
        <f>Skills!A14</f>
        <v/>
      </c>
      <c r="B1377">
        <f>Skills!B14</f>
        <v/>
      </c>
      <c r="C1377">
        <f>Inputs!$B$3&gt;=107</f>
        <v/>
      </c>
      <c r="D1377">
        <f>IF(Skills!C14=1,60+Inputs!$B$25+Inputs!$B$29,IF(Skills!C14=2,90+Inputs!$B$26+Inputs!$B$29,IF(Skills!C14=3,120+Inputs!$B$27+Inputs!$B$29,MAX(0,(Inputs!$B$3-100)*3)+Inputs!$B$28+Inputs!$B$29)))</f>
        <v/>
      </c>
      <c r="E1377">
        <f>INDEX(FactorTable!$B$2:$Y$301, MATCH(ROUND(MIN(300,MAX(1,D1377)),0), FactorTable!$A$2:$A$301,0), Skills!M14+1)</f>
        <v/>
      </c>
      <c r="F1377">
        <f>IF(Skills!N14=TRUE,(Skills!L14/10)*(E1377/1000),Skills!L14/10)+Skills!O14</f>
        <v/>
      </c>
      <c r="G1377">
        <f>Skills!G14*IF(Skills!H14&gt;0,Skills!I14/Skills!H14,1)</f>
        <v/>
      </c>
      <c r="H1377">
        <f>1-(1-Skills!J14/100)^Skills!K14</f>
        <v/>
      </c>
      <c r="I1377" t="inlineStr">
        <is>
          <t>1</t>
        </is>
      </c>
      <c r="J1377" t="inlineStr"/>
      <c r="K1377" t="inlineStr"/>
      <c r="L1377" t="inlineStr"/>
      <c r="M1377" t="inlineStr"/>
      <c r="N1377" t="inlineStr"/>
      <c r="O1377">
        <f>(1-Summary!$B$11)*T1377+Summary!$B$11*V1377</f>
        <v/>
      </c>
      <c r="P1377">
        <f>IF(B1398=0,0,O1377/B1398)</f>
        <v/>
      </c>
      <c r="Q1377" t="n">
        <v>0</v>
      </c>
      <c r="R1377" t="n">
        <v>0</v>
      </c>
      <c r="S1377">
        <f>IFERROR(O1377/N1377,0)</f>
        <v/>
      </c>
      <c r="T1377" t="n">
        <v>0</v>
      </c>
      <c r="V1377" t="n">
        <v>0</v>
      </c>
    </row>
    <row r="1378">
      <c r="A1378">
        <f>Skills!A15</f>
        <v/>
      </c>
      <c r="B1378">
        <f>Skills!B15</f>
        <v/>
      </c>
      <c r="C1378">
        <f>Inputs!$B$3&gt;=115</f>
        <v/>
      </c>
      <c r="D1378">
        <f>IF(Skills!C15=1,60+Inputs!$B$25+Inputs!$B$29,IF(Skills!C15=2,90+Inputs!$B$26+Inputs!$B$29,IF(Skills!C15=3,120+Inputs!$B$27+Inputs!$B$29,MAX(0,(Inputs!$B$3-100)*3)+Inputs!$B$28+Inputs!$B$29)))</f>
        <v/>
      </c>
      <c r="E1378">
        <f>INDEX(FactorTable!$B$2:$Y$301, MATCH(ROUND(MIN(300,MAX(1,D1378)),0), FactorTable!$A$2:$A$301,0), Skills!M15+1)</f>
        <v/>
      </c>
      <c r="F1378">
        <f>IF(Skills!N15=TRUE,(Skills!L15/10)*(E1378/1000),Skills!L15/10)+Skills!O15</f>
        <v/>
      </c>
      <c r="G1378">
        <f>Skills!G15*IF(Skills!H15&gt;0,Skills!I15/Skills!H15,1)</f>
        <v/>
      </c>
      <c r="H1378">
        <f>1-(1-Skills!J15/100)^Skills!K15</f>
        <v/>
      </c>
      <c r="I1378" t="inlineStr">
        <is>
          <t>1</t>
        </is>
      </c>
      <c r="J1378" t="inlineStr"/>
      <c r="K1378" t="inlineStr"/>
      <c r="L1378" t="inlineStr"/>
      <c r="M1378" t="inlineStr"/>
      <c r="N1378" t="inlineStr"/>
      <c r="O1378">
        <f>(1-Summary!$B$11)*T1378+Summary!$B$11*V1378</f>
        <v/>
      </c>
      <c r="P1378">
        <f>IF(B1398=0,0,O1378/B1398)</f>
        <v/>
      </c>
      <c r="Q1378" t="n">
        <v>0</v>
      </c>
      <c r="R1378" t="n">
        <v>0</v>
      </c>
      <c r="S1378">
        <f>IFERROR(O1378/N1378,0)</f>
        <v/>
      </c>
      <c r="T1378" t="n">
        <v>0</v>
      </c>
      <c r="V1378" t="n">
        <v>0</v>
      </c>
    </row>
    <row r="1379">
      <c r="A1379">
        <f>Skills!A16</f>
        <v/>
      </c>
      <c r="B1379">
        <f>Skills!B16</f>
        <v/>
      </c>
      <c r="C1379">
        <f>Inputs!$B$3&gt;=15</f>
        <v/>
      </c>
      <c r="D1379">
        <f>IF(Skills!C16=1,60+Inputs!$B$25+Inputs!$B$29,IF(Skills!C16=2,90+Inputs!$B$26+Inputs!$B$29,IF(Skills!C16=3,120+Inputs!$B$27+Inputs!$B$29,MAX(0,(Inputs!$B$3-100)*3)+Inputs!$B$28+Inputs!$B$29)))</f>
        <v/>
      </c>
      <c r="E1379">
        <f>INDEX(FactorTable!$B$2:$Y$301, MATCH(ROUND(MIN(300,MAX(1,D1379)),0), FactorTable!$A$2:$A$301,0), Skills!M16+1)</f>
        <v/>
      </c>
      <c r="F1379">
        <f>IF(Skills!N16=TRUE,(Skills!L16/10)*(E1379/1000),Skills!L16/10)+Skills!O16</f>
        <v/>
      </c>
      <c r="G1379">
        <f>Skills!G16*IF(Skills!H16&gt;0,Skills!I16/Skills!H16,1)</f>
        <v/>
      </c>
      <c r="H1379">
        <f>1-(1-Skills!J16/100)^Skills!K16</f>
        <v/>
      </c>
      <c r="I1379" t="inlineStr">
        <is>
          <t>1</t>
        </is>
      </c>
      <c r="J1379" t="inlineStr"/>
      <c r="K1379" t="inlineStr"/>
      <c r="L1379" t="inlineStr"/>
      <c r="M1379" t="inlineStr"/>
      <c r="N1379" t="inlineStr"/>
      <c r="O1379">
        <f>(1-Summary!$B$11)*T1379+Summary!$B$11*V1379</f>
        <v/>
      </c>
      <c r="P1379">
        <f>IF(B1398=0,0,O1379/B1398)</f>
        <v/>
      </c>
      <c r="Q1379" t="n">
        <v>0</v>
      </c>
      <c r="R1379" t="n">
        <v>0</v>
      </c>
      <c r="S1379">
        <f>IFERROR(O1379/N1379,0)</f>
        <v/>
      </c>
      <c r="T1379" t="n">
        <v>0</v>
      </c>
      <c r="V1379" t="n">
        <v>0</v>
      </c>
    </row>
    <row r="1380">
      <c r="A1380">
        <f>Skills!A17</f>
        <v/>
      </c>
      <c r="B1380">
        <f>Skills!B17</f>
        <v/>
      </c>
      <c r="C1380">
        <f>Inputs!$B$3&gt;=10</f>
        <v/>
      </c>
      <c r="D1380">
        <f>IF(Skills!C17=1,60+Inputs!$B$25+Inputs!$B$29,IF(Skills!C17=2,90+Inputs!$B$26+Inputs!$B$29,IF(Skills!C17=3,120+Inputs!$B$27+Inputs!$B$29,MAX(0,(Inputs!$B$3-100)*3)+Inputs!$B$28+Inputs!$B$29)))</f>
        <v/>
      </c>
      <c r="E1380">
        <f>INDEX(FactorTable!$B$2:$Y$301, MATCH(ROUND(MIN(300,MAX(1,D1380)),0), FactorTable!$A$2:$A$301,0), Skills!M17+1)</f>
        <v/>
      </c>
      <c r="F1380">
        <f>IF(Skills!N17=TRUE,(Skills!L17/10)*(E1380/1000),Skills!L17/10)+Skills!O17</f>
        <v/>
      </c>
      <c r="G1380">
        <f>Skills!G17*IF(Skills!H17&gt;0,Skills!I17/Skills!H17,1)</f>
        <v/>
      </c>
      <c r="H1380">
        <f>1-(1-Skills!J17/100)^Skills!K17</f>
        <v/>
      </c>
      <c r="I1380" t="inlineStr">
        <is>
          <t>1</t>
        </is>
      </c>
      <c r="J1380" t="inlineStr"/>
      <c r="K1380" t="inlineStr"/>
      <c r="L1380" t="inlineStr"/>
      <c r="M1380" t="inlineStr"/>
      <c r="N1380" t="inlineStr"/>
      <c r="O1380">
        <f>(1-Summary!$B$11)*T1380+Summary!$B$11*V1380</f>
        <v/>
      </c>
      <c r="P1380">
        <f>IF(B1398=0,0,O1380/B1398)</f>
        <v/>
      </c>
      <c r="Q1380" t="n">
        <v>0</v>
      </c>
      <c r="R1380" t="n">
        <v>0</v>
      </c>
      <c r="S1380">
        <f>IFERROR(O1380/N1380,0)</f>
        <v/>
      </c>
      <c r="T1380" t="n">
        <v>0</v>
      </c>
      <c r="V1380" t="n">
        <v>0</v>
      </c>
    </row>
    <row r="1381">
      <c r="A1381">
        <f>Skills!A18</f>
        <v/>
      </c>
      <c r="B1381">
        <f>Skills!B18</f>
        <v/>
      </c>
      <c r="C1381">
        <f>Inputs!$B$3&gt;=33</f>
        <v/>
      </c>
      <c r="D1381">
        <f>IF(Skills!C18=1,60+Inputs!$B$25+Inputs!$B$29,IF(Skills!C18=2,90+Inputs!$B$26+Inputs!$B$29,IF(Skills!C18=3,120+Inputs!$B$27+Inputs!$B$29,MAX(0,(Inputs!$B$3-100)*3)+Inputs!$B$28+Inputs!$B$29)))</f>
        <v/>
      </c>
      <c r="E1381">
        <f>INDEX(FactorTable!$B$2:$Y$301, MATCH(ROUND(MIN(300,MAX(1,D1381)),0), FactorTable!$A$2:$A$301,0), Skills!M18+1)</f>
        <v/>
      </c>
      <c r="F1381">
        <f>IF(Skills!N18=TRUE,(Skills!L18/10)*(E1381/1000),Skills!L18/10)+Skills!O18</f>
        <v/>
      </c>
      <c r="G1381">
        <f>Skills!G18*IF(Skills!H18&gt;0,Skills!I18/Skills!H18,1)</f>
        <v/>
      </c>
      <c r="H1381">
        <f>1-(1-Skills!J18/100)^Skills!K18</f>
        <v/>
      </c>
      <c r="I1381" t="inlineStr">
        <is>
          <t>1</t>
        </is>
      </c>
      <c r="J1381" t="inlineStr"/>
      <c r="K1381" t="inlineStr"/>
      <c r="L1381" t="inlineStr"/>
      <c r="M1381" t="inlineStr"/>
      <c r="N1381" t="inlineStr"/>
      <c r="O1381">
        <f>(1-Summary!$B$11)*T1381+Summary!$B$11*V1381</f>
        <v/>
      </c>
      <c r="P1381">
        <f>IF(B1398=0,0,O1381/B1398)</f>
        <v/>
      </c>
      <c r="Q1381" t="n">
        <v>0</v>
      </c>
      <c r="R1381" t="n">
        <v>0</v>
      </c>
      <c r="S1381">
        <f>IFERROR(O1381/N1381,0)</f>
        <v/>
      </c>
      <c r="T1381" t="n">
        <v>0</v>
      </c>
      <c r="V1381" t="n">
        <v>0</v>
      </c>
    </row>
    <row r="1382">
      <c r="A1382">
        <f>Skills!A19</f>
        <v/>
      </c>
      <c r="B1382">
        <f>Skills!B19</f>
        <v/>
      </c>
      <c r="C1382">
        <f>Inputs!$B$3&gt;=40</f>
        <v/>
      </c>
      <c r="D1382">
        <f>IF(Skills!C19=1,60+Inputs!$B$25+Inputs!$B$29,IF(Skills!C19=2,90+Inputs!$B$26+Inputs!$B$29,IF(Skills!C19=3,120+Inputs!$B$27+Inputs!$B$29,MAX(0,(Inputs!$B$3-100)*3)+Inputs!$B$28+Inputs!$B$29)))</f>
        <v/>
      </c>
      <c r="E1382">
        <f>INDEX(FactorTable!$B$2:$Y$301, MATCH(ROUND(MIN(300,MAX(1,D1382)),0), FactorTable!$A$2:$A$301,0), Skills!M19+1)</f>
        <v/>
      </c>
      <c r="F1382">
        <f>IF(Skills!N19=TRUE,(Skills!L19/10)*(E1382/1000),Skills!L19/10)+Skills!O19</f>
        <v/>
      </c>
      <c r="G1382">
        <f>Skills!G19*IF(Skills!H19&gt;0,Skills!I19/Skills!H19,1)</f>
        <v/>
      </c>
      <c r="H1382">
        <f>1-(1-Skills!J19/100)^Skills!K19</f>
        <v/>
      </c>
      <c r="I1382" t="inlineStr">
        <is>
          <t>1</t>
        </is>
      </c>
      <c r="J1382" t="inlineStr"/>
      <c r="K1382" t="inlineStr"/>
      <c r="L1382" t="inlineStr"/>
      <c r="M1382" t="inlineStr"/>
      <c r="N1382" t="inlineStr"/>
      <c r="O1382">
        <f>(1-Summary!$B$11)*T1382+Summary!$B$11*V1382</f>
        <v/>
      </c>
      <c r="P1382">
        <f>IF(B1398=0,0,O1382/B1398)</f>
        <v/>
      </c>
      <c r="Q1382" t="n">
        <v>0</v>
      </c>
      <c r="R1382" t="n">
        <v>0</v>
      </c>
      <c r="S1382">
        <f>IFERROR(O1382/N1382,0)</f>
        <v/>
      </c>
      <c r="T1382" t="n">
        <v>0</v>
      </c>
      <c r="V1382" t="n">
        <v>0</v>
      </c>
    </row>
    <row r="1383">
      <c r="A1383">
        <f>Skills!A20</f>
        <v/>
      </c>
      <c r="B1383">
        <f>Skills!B20</f>
        <v/>
      </c>
      <c r="C1383">
        <f>Inputs!$B$3&gt;=43</f>
        <v/>
      </c>
      <c r="D1383">
        <f>IF(Skills!C20=1,60+Inputs!$B$25+Inputs!$B$29,IF(Skills!C20=2,90+Inputs!$B$26+Inputs!$B$29,IF(Skills!C20=3,120+Inputs!$B$27+Inputs!$B$29,MAX(0,(Inputs!$B$3-100)*3)+Inputs!$B$28+Inputs!$B$29)))</f>
        <v/>
      </c>
      <c r="E1383">
        <f>INDEX(FactorTable!$B$2:$Y$301, MATCH(ROUND(MIN(300,MAX(1,D1383)),0), FactorTable!$A$2:$A$301,0), Skills!M20+1)</f>
        <v/>
      </c>
      <c r="F1383">
        <f>IF(Skills!N20=TRUE,(Skills!L20/10)*(E1383/1000),Skills!L20/10)+Skills!O20</f>
        <v/>
      </c>
      <c r="G1383">
        <f>Skills!G20*IF(Skills!H20&gt;0,Skills!I20/Skills!H20,1)</f>
        <v/>
      </c>
      <c r="H1383">
        <f>1-(1-Skills!J20/100)^Skills!K20</f>
        <v/>
      </c>
      <c r="I1383" t="inlineStr">
        <is>
          <t>1</t>
        </is>
      </c>
      <c r="J1383" t="inlineStr"/>
      <c r="K1383" t="inlineStr"/>
      <c r="L1383" t="inlineStr"/>
      <c r="M1383" t="inlineStr"/>
      <c r="N1383" t="inlineStr"/>
      <c r="O1383">
        <f>(1-Summary!$B$11)*T1383+Summary!$B$11*V1383</f>
        <v/>
      </c>
      <c r="P1383">
        <f>IF(B1398=0,0,O1383/B1398)</f>
        <v/>
      </c>
      <c r="Q1383" t="n">
        <v>0</v>
      </c>
      <c r="R1383" t="n">
        <v>0</v>
      </c>
      <c r="S1383">
        <f>IFERROR(O1383/N1383,0)</f>
        <v/>
      </c>
      <c r="T1383" t="n">
        <v>0</v>
      </c>
      <c r="V1383" t="n">
        <v>0</v>
      </c>
    </row>
    <row r="1384">
      <c r="A1384">
        <f>Skills!A21</f>
        <v/>
      </c>
      <c r="B1384">
        <f>Skills!B21</f>
        <v/>
      </c>
      <c r="C1384">
        <f>Inputs!$B$3&gt;=38</f>
        <v/>
      </c>
      <c r="D1384">
        <f>IF(Skills!C21=1,60+Inputs!$B$25+Inputs!$B$29,IF(Skills!C21=2,90+Inputs!$B$26+Inputs!$B$29,IF(Skills!C21=3,120+Inputs!$B$27+Inputs!$B$29,MAX(0,(Inputs!$B$3-100)*3)+Inputs!$B$28+Inputs!$B$29)))</f>
        <v/>
      </c>
      <c r="E1384">
        <f>INDEX(FactorTable!$B$2:$Y$301, MATCH(ROUND(MIN(300,MAX(1,D1384)),0), FactorTable!$A$2:$A$301,0), Skills!M21+1)</f>
        <v/>
      </c>
      <c r="F1384">
        <f>IF(Skills!N21=TRUE,(Skills!L21/10)*(E1384/1000),Skills!L21/10)+Skills!O21</f>
        <v/>
      </c>
      <c r="G1384">
        <f>Skills!G21*IF(Skills!H21&gt;0,Skills!I21/Skills!H21,1)</f>
        <v/>
      </c>
      <c r="H1384">
        <f>1-(1-Skills!J21/100)^Skills!K21</f>
        <v/>
      </c>
      <c r="I1384" t="inlineStr">
        <is>
          <t>1</t>
        </is>
      </c>
      <c r="J1384" t="inlineStr"/>
      <c r="K1384" t="inlineStr"/>
      <c r="L1384" t="inlineStr"/>
      <c r="M1384" t="inlineStr"/>
      <c r="N1384" t="inlineStr"/>
      <c r="O1384">
        <f>(1-Summary!$B$11)*T1384+Summary!$B$11*V1384</f>
        <v/>
      </c>
      <c r="P1384">
        <f>IF(B1398=0,0,O1384/B1398)</f>
        <v/>
      </c>
      <c r="Q1384" t="n">
        <v>0</v>
      </c>
      <c r="R1384" t="n">
        <v>0</v>
      </c>
      <c r="S1384">
        <f>IFERROR(O1384/N1384,0)</f>
        <v/>
      </c>
      <c r="T1384" t="n">
        <v>0</v>
      </c>
      <c r="V1384" t="n">
        <v>0</v>
      </c>
    </row>
    <row r="1385">
      <c r="A1385">
        <f>Skills!A22</f>
        <v/>
      </c>
      <c r="B1385">
        <f>Skills!B22</f>
        <v/>
      </c>
      <c r="C1385">
        <f>Inputs!$B$3&gt;=75</f>
        <v/>
      </c>
      <c r="D1385">
        <f>IF(Skills!C22=1,60+Inputs!$B$25+Inputs!$B$29,IF(Skills!C22=2,90+Inputs!$B$26+Inputs!$B$29,IF(Skills!C22=3,120+Inputs!$B$27+Inputs!$B$29,MAX(0,(Inputs!$B$3-100)*3)+Inputs!$B$28+Inputs!$B$29)))</f>
        <v/>
      </c>
      <c r="E1385">
        <f>INDEX(FactorTable!$B$2:$Y$301, MATCH(ROUND(MIN(300,MAX(1,D1385)),0), FactorTable!$A$2:$A$301,0), Skills!M22+1)</f>
        <v/>
      </c>
      <c r="F1385">
        <f>IF(Skills!N22=TRUE,(Skills!L22/10)*(E1385/1000),Skills!L22/10)+Skills!O22</f>
        <v/>
      </c>
      <c r="G1385">
        <f>Skills!G22*IF(Skills!H22&gt;0,Skills!I22/Skills!H22,1)</f>
        <v/>
      </c>
      <c r="H1385">
        <f>1-(1-Skills!J22/100)^Skills!K22</f>
        <v/>
      </c>
      <c r="I1385" t="inlineStr">
        <is>
          <t>1</t>
        </is>
      </c>
      <c r="J1385" t="inlineStr"/>
      <c r="K1385" t="inlineStr"/>
      <c r="L1385" t="inlineStr"/>
      <c r="M1385" t="inlineStr"/>
      <c r="N1385" t="inlineStr"/>
      <c r="O1385">
        <f>(1-Summary!$B$11)*T1385+Summary!$B$11*V1385</f>
        <v/>
      </c>
      <c r="P1385">
        <f>IF(B1398=0,0,O1385/B1398)</f>
        <v/>
      </c>
      <c r="Q1385" t="n">
        <v>0</v>
      </c>
      <c r="R1385" t="n">
        <v>0</v>
      </c>
      <c r="S1385">
        <f>IFERROR(O1385/N1385,0)</f>
        <v/>
      </c>
      <c r="T1385" t="n">
        <v>0</v>
      </c>
      <c r="V1385" t="n">
        <v>0</v>
      </c>
    </row>
    <row r="1387">
      <c r="A1387" t="inlineStr">
        <is>
          <t>Attack% Bucket Multiplier</t>
        </is>
      </c>
      <c r="B1387">
        <f>(1+(((C1376=TRUE)*F1376)+((C1382=TRUE)*(F1382-Calc!F19))+(IF(ArtifactsInput!$M$21,CHOOSE(ArtifactsInput!$N$21+1,25,30,35,40,45,50)*(IF(OR(Inputs!$B$4="Chapter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8">
      <c r="A1388" t="inlineStr">
        <is>
          <t>Global Crit Rate Bonus %</t>
        </is>
      </c>
      <c r="B1388" t="n">
        <v>0</v>
      </c>
    </row>
    <row r="1389">
      <c r="A1389" t="inlineStr">
        <is>
          <t>Attack Speed Buff Bonus % (unused)</t>
        </is>
      </c>
      <c r="B1389" t="n">
        <v>0</v>
      </c>
    </row>
    <row r="1390">
      <c r="A1390" t="inlineStr">
        <is>
          <t>Actions Per Second</t>
        </is>
      </c>
      <c r="B1390">
        <f>1+MIN(150,150*(1-(1-(Inputs!$B$11+((C1380=TRUE)*(F1380-Calc!F17))+((C1381=TRUE)*(F1381-Calc!F18)))/150)*(1-B1389/150)))/100</f>
        <v/>
      </c>
    </row>
    <row r="1391">
      <c r="A1391" t="inlineStr">
        <is>
          <t>Skill + Buff Cast Rate</t>
        </is>
      </c>
      <c r="B1391">
        <f>IF(AND(Inputs!$B$38&lt;&gt;"pvp",Inputs!$B$43&gt;0),SUMPRODUCT((Skills!E2:E22=TRUE)*(C1365:C1385=TRUE)*R1365:R1385*Skills!F2:F22)/Inputs!$B$43,SUMPRODUCT((Skills!E2:E22=TRUE)*(C1365:C1385=TRUE)*Q1365:Q1385*Skills!F2:F22))</f>
        <v/>
      </c>
    </row>
    <row r="1392">
      <c r="A1392" t="inlineStr">
        <is>
          <t>Hook Bomber Casts Per Second</t>
        </is>
      </c>
      <c r="B1392">
        <f>MAX(0,B1390-B1391)</f>
        <v/>
      </c>
    </row>
    <row r="1393">
      <c r="A1393" t="inlineStr">
        <is>
          <t>Global Critical Damage Bonus % (unused)</t>
        </is>
      </c>
      <c r="B1393" t="n">
        <v>0</v>
      </c>
    </row>
    <row r="1394">
      <c r="A1394" t="inlineStr">
        <is>
          <t>Global Final Damage Bonus % (Serpent Scale + Crossbones + Time Leap + Speed Infusion)</t>
        </is>
      </c>
      <c r="B1394">
        <f>((C1368=TRUE)*F1368*((10+IF(Inputs!$B$3&gt;=94,5,0))/((10+IF(Inputs!$B$3&gt;=94,5,0))+5/(B1392*(1+IF(Inputs!$B$3&gt;=104,1,0))))))+((C1377=TRUE)*F1377)+((C1378=TRUE)*F1378)+((Inputs!$B$3&gt;=110)*20*(B1390-1))</f>
        <v/>
      </c>
    </row>
    <row r="1395">
      <c r="A1395" t="inlineStr">
        <is>
          <t>Buff-Casting Startup Delay (s, fixed-duration only)</t>
        </is>
      </c>
      <c r="B1395">
        <f>IF(AND(Inputs!$B$38&lt;&gt;"pvp",Inputs!$B$43&gt;0),SUMPRODUCT((Skills!T2:T22&gt;0)*(Skills!E2:E22=TRUE)*(C1365:C1385=TRUE))/B1390,0)</f>
        <v/>
      </c>
    </row>
    <row r="1396">
      <c r="A1396" t="inlineStr">
        <is>
          <t>Boss-Only Total DPS (this block's swept value)</t>
        </is>
      </c>
      <c r="B1396">
        <f>SUM(T1365:T1385)</f>
        <v/>
      </c>
    </row>
    <row r="1397">
      <c r="A1397" t="inlineStr">
        <is>
          <t>Normal-Only Total DPS (this block's swept value)</t>
        </is>
      </c>
      <c r="B1397">
        <f>SUM(V1365:V1385)</f>
        <v/>
      </c>
    </row>
    <row r="1398">
      <c r="A1398" s="6" t="inlineStr">
        <is>
          <t>TOTAL DPS</t>
        </is>
      </c>
      <c r="B1398" s="6">
        <f>SUM(O1365:O1385)</f>
        <v/>
      </c>
    </row>
    <row r="1401">
      <c r="A1401" s="6" t="inlineStr">
        <is>
          <t>Stat: Athena Pierce's Old Gloves (Equip)</t>
        </is>
      </c>
    </row>
    <row r="1402">
      <c r="A1402" s="5" t="inlineStr">
        <is>
          <t>Key</t>
        </is>
      </c>
      <c r="B1402" s="5" t="inlineStr">
        <is>
          <t>Name</t>
        </is>
      </c>
      <c r="C1402" s="5" t="inlineStr">
        <is>
          <t>Unlocked</t>
        </is>
      </c>
      <c r="D1402" s="5" t="inlineStr">
        <is>
          <t>InputLevel</t>
        </is>
      </c>
      <c r="E1402" s="5" t="inlineStr">
        <is>
          <t>Factor</t>
        </is>
      </c>
      <c r="F1402" s="5" t="inlineStr">
        <is>
          <t>CoefficientPercent</t>
        </is>
      </c>
      <c r="G1402" s="5" t="inlineStr">
        <is>
          <t>EffectiveHits</t>
        </is>
      </c>
      <c r="H1402" s="5" t="inlineStr">
        <is>
          <t>ProcProbability</t>
        </is>
      </c>
      <c r="I1402" s="5" t="inlineStr">
        <is>
          <t>MapleHeroMultiplier</t>
        </is>
      </c>
      <c r="J1402" s="5" t="inlineStr">
        <is>
          <t>BaseDamage</t>
        </is>
      </c>
      <c r="K1402" s="5" t="inlineStr">
        <is>
          <t>BaseHitDamage</t>
        </is>
      </c>
      <c r="L1402" s="5" t="inlineStr">
        <is>
          <t>NonCritAvg</t>
        </is>
      </c>
      <c r="M1402" s="5" t="inlineStr">
        <is>
          <t>CritAvg</t>
        </is>
      </c>
      <c r="N1402" s="5" t="inlineStr">
        <is>
          <t>ExpectedDamage(perHit)</t>
        </is>
      </c>
      <c r="O1402" s="5" t="inlineStr">
        <is>
          <t>DPS</t>
        </is>
      </c>
      <c r="P1402" s="5" t="inlineStr">
        <is>
          <t>% of Total</t>
        </is>
      </c>
      <c r="Q1402" s="5" t="inlineStr">
        <is>
          <t>InvCooldown</t>
        </is>
      </c>
      <c r="R1402" s="5" t="inlineStr">
        <is>
          <t>CastsInFight</t>
        </is>
      </c>
      <c r="S1402" s="5" t="inlineStr">
        <is>
          <t>HitRate(perSec)</t>
        </is>
      </c>
      <c r="U1402" t="inlineStr">
        <is>
          <t>helpers</t>
        </is>
      </c>
    </row>
    <row r="1403">
      <c r="A1403">
        <f>Skills!A2</f>
        <v/>
      </c>
      <c r="B1403">
        <f>Skills!B2</f>
        <v/>
      </c>
      <c r="C1403">
        <f>Inputs!$B$3&gt;=100</f>
        <v/>
      </c>
      <c r="D1403" t="inlineStr"/>
      <c r="E1403" t="inlineStr"/>
      <c r="F1403">
        <f>U1405+Skills!O2</f>
        <v/>
      </c>
      <c r="G1403">
        <f>Skills!G2*IF(Skills!H2&gt;0,Skills!I2/Skills!H2,1)</f>
        <v/>
      </c>
      <c r="H1403">
        <f>1-(1-Skills!J2/100)^Skills!K2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3">
        <f>L1403*(1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IF(B1436=0,0,O1403/B1436)</f>
        <v/>
      </c>
      <c r="Q1403" t="n">
        <v>0</v>
      </c>
      <c r="R1403" t="n">
        <v>0</v>
      </c>
      <c r="S1403">
        <f>IFERROR(O1403/N1403,0)</f>
        <v/>
      </c>
      <c r="T1403">
        <f>IF(C1403,(Skills!G2*N1403*B1430)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MAX(0,(Inputs!$B$3-100)*3)+Inputs!$B$28+Inputs!$B$29</f>
        <v/>
      </c>
      <c r="V1403">
        <f>IF(C1403,(Skills!G2*N1403*B1430)*IF(Inputs!$B$38="pvp",1,(1+(Inputs!$B$21+Skills!Q2+(IF(ArtifactsInput!$M$33,CHOOSE(ArtifactsInput!$N$33+1,30,36,42,48,54,60),0))+(IF(AND(ArtifactsInput!$M$35,Inputs!$B$4&lt;&gt;"Chapter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Skills!A3</f>
        <v/>
      </c>
      <c r="B1404">
        <f>Skills!B3</f>
        <v/>
      </c>
      <c r="C1404">
        <f>Inputs!$B$3&gt;=35</f>
        <v/>
      </c>
      <c r="D1404">
        <f>IF(Skills!C3=1,60+Inputs!$B$25+Inputs!$B$29,IF(Skills!C3=2,90+Inputs!$B$26+Inputs!$B$29,IF(Skills!C3=3,120+Inputs!$B$27+Inputs!$B$29,MAX(0,(Inputs!$B$3-100)*3)+Inputs!$B$28+Inputs!$B$29)))</f>
        <v/>
      </c>
      <c r="E1404">
        <f>INDEX(FactorTable!$B$2:$Y$301, MATCH(ROUND(MIN(300,MAX(1,D1404)),0), FactorTable!$A$2:$A$301,0), Skills!M3+1)</f>
        <v/>
      </c>
      <c r="F1404">
        <f>IF(Skills!N3=TRUE,(Skills!L3/10)*(E1404/1000),Skills!L3/10)+Skills!O3</f>
        <v/>
      </c>
      <c r="G1404">
        <f>Skills!G3*IF(Skills!H3&gt;0,Skills!I3/Skills!H3,1)</f>
        <v/>
      </c>
      <c r="H1404">
        <f>1-(1-Skills!J3/100)^Skills!K3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4">
        <f>L1404*(1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IF(B1436=0,0,O1404/B1436)</f>
        <v/>
      </c>
      <c r="Q1404" t="n">
        <v>0</v>
      </c>
      <c r="R1404" t="n">
        <v>0</v>
      </c>
      <c r="S1404">
        <f>IFERROR(O1404/N1404,0)</f>
        <v/>
      </c>
      <c r="T1404">
        <f>IF(C1404,(Skills!G3*H1404*N1404*B1430)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INDEX(FactorTable!$B$2:$Y$301, MATCH(ROUND(MIN(300,MAX(1,U1403)),0), FactorTable!$A$2:$A$301,0), 22)</f>
        <v/>
      </c>
      <c r="V1404">
        <f>IF(C1404,(Skills!G3*H1404*N1404*B1430)*IF(Inputs!$B$38="pvp",1,(1+(Inputs!$B$21+Skills!Q3+(IF(ArtifactsInput!$M$33,CHOOSE(ArtifactsInput!$N$33+1,30,36,42,48,54,60),0))+(IF(AND(ArtifactsInput!$M$35,Inputs!$B$4&lt;&gt;"Chapter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Skills!A4</f>
        <v/>
      </c>
      <c r="B1405">
        <f>Skills!B4</f>
        <v/>
      </c>
      <c r="C1405">
        <f>Inputs!$B$3&gt;=60</f>
        <v/>
      </c>
      <c r="D1405">
        <f>IF(Skills!C4=1,60+Inputs!$B$25+Inputs!$B$29,IF(Skills!C4=2,90+Inputs!$B$26+Inputs!$B$29,IF(Skills!C4=3,120+Inputs!$B$27+Inputs!$B$29,MAX(0,(Inputs!$B$3-100)*3)+Inputs!$B$28+Inputs!$B$29)))</f>
        <v/>
      </c>
      <c r="E1405">
        <f>INDEX(FactorTable!$B$2:$Y$301, MATCH(ROUND(MIN(300,MAX(1,D1405)),0), FactorTable!$A$2:$A$301,0), Skills!M4+1)</f>
        <v/>
      </c>
      <c r="F1405">
        <f>IF(Skills!N4=TRUE,(Skills!L4/10)*(E1405/1000),Skills!L4/10)+Skills!O4</f>
        <v/>
      </c>
      <c r="G1405">
        <f>Skills!G4*IF(Skills!H4&gt;0,Skills!I4/Skills!H4,1)</f>
        <v/>
      </c>
      <c r="H1405">
        <f>1-(1-Skills!J4/100)^Skills!K4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1413=TRUE,F1413,0)/100)*(1+(IF(Skills!A4="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5">
        <f>L1405*(1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IF(B1436=0,0,O1405/B1436)</f>
        <v/>
      </c>
      <c r="Q1405" t="n">
        <v>0</v>
      </c>
      <c r="R1405" t="n">
        <v>0</v>
      </c>
      <c r="S1405">
        <f>IFERROR(O1405/N1405,0)</f>
        <v/>
      </c>
      <c r="T1405">
        <f>IF(C1405,(Skills!G4*H1405*N1405*B1430)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290*U1404/1000</f>
        <v/>
      </c>
      <c r="V1405">
        <f>IF(C1405,(Skills!G4*H1405*N1405*B1430)*IF(Inputs!$B$38="pvp",1,(1+(Inputs!$B$21+Skills!Q4+(IF(ArtifactsInput!$M$33,CHOOSE(ArtifactsInput!$N$33+1,30,36,42,48,54,60),0))+(IF(AND(ArtifactsInput!$M$35,Inputs!$B$4&lt;&gt;"Chapter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Skills!A5</f>
        <v/>
      </c>
      <c r="B1406">
        <f>Skills!B5</f>
        <v/>
      </c>
      <c r="C1406">
        <f>Inputs!$B$3&gt;=60</f>
        <v/>
      </c>
      <c r="D1406">
        <f>IF(Skills!C5=1,60+Inputs!$B$25+Inputs!$B$29,IF(Skills!C5=2,90+Inputs!$B$26+Inputs!$B$29,IF(Skills!C5=3,120+Inputs!$B$27+Inputs!$B$29,MAX(0,(Inputs!$B$3-100)*3)+Inputs!$B$28+Inputs!$B$29)))</f>
        <v/>
      </c>
      <c r="E1406">
        <f>INDEX(FactorTable!$B$2:$Y$301, MATCH(ROUND(MIN(300,MAX(1,D1406)),0), FactorTable!$A$2:$A$301,0), Skills!M5+1)</f>
        <v/>
      </c>
      <c r="F1406">
        <f>IF(Skills!N5=TRUE,(Skills!L5/10)*(E1406/1000),Skills!L5/10)+Skills!O5</f>
        <v/>
      </c>
      <c r="G1406">
        <f>Skills!G5*IF(Skills!H5&gt;0,Skills!I5/Skills!H5,1)</f>
        <v/>
      </c>
      <c r="H1406">
        <f>1-(1-Skills!J5/100)^Skills!K5</f>
        <v/>
      </c>
      <c r="I1406" t="inlineStr">
        <is>
          <t>1</t>
        </is>
      </c>
      <c r="J1406" t="inlineStr"/>
      <c r="K1406" t="inlineStr"/>
      <c r="L1406" t="inlineStr"/>
      <c r="M1406" t="inlineStr"/>
      <c r="N1406" t="inlineStr"/>
      <c r="O1406">
        <f>(1-Summary!$B$11)*T1406+Summary!$B$11*V1406</f>
        <v/>
      </c>
      <c r="P1406">
        <f>IF(B1436=0,0,O1406/B1436)</f>
        <v/>
      </c>
      <c r="Q1406" t="n">
        <v>0</v>
      </c>
      <c r="R1406" t="n">
        <v>0</v>
      </c>
      <c r="S1406">
        <f>IFERROR(O1406/N1406,0)</f>
        <v/>
      </c>
      <c r="T1406" t="n">
        <v>0</v>
      </c>
      <c r="V1406" t="n">
        <v>0</v>
      </c>
    </row>
    <row r="1407">
      <c r="A1407">
        <f>Skills!A6</f>
        <v/>
      </c>
      <c r="B1407">
        <f>Skills!B6</f>
        <v/>
      </c>
      <c r="C1407">
        <f>Inputs!$B$3&gt;=63</f>
        <v/>
      </c>
      <c r="D1407">
        <f>IF(Skills!C6=1,60+Inputs!$B$25+Inputs!$B$29,IF(Skills!C6=2,90+Inputs!$B$26+Inputs!$B$29,IF(Skills!C6=3,120+Inputs!$B$27+Inputs!$B$29,MAX(0,(Inputs!$B$3-100)*3)+Inputs!$B$28+Inputs!$B$29)))</f>
        <v/>
      </c>
      <c r="E1407">
        <f>INDEX(FactorTable!$B$2:$Y$301, MATCH(ROUND(MIN(300,MAX(1,D1407)),0), FactorTable!$A$2:$A$301,0), Skills!M6+1)</f>
        <v/>
      </c>
      <c r="F1407">
        <f>IF(Skills!N6=TRUE,(Skills!L6/10)*(E1407/1000),Skills!L6/10)+Skills!O6</f>
        <v/>
      </c>
      <c r="G1407">
        <f>Skills!G6*IF(Skills!H6&gt;0,Skills!I6/Skills!H6,1)</f>
        <v/>
      </c>
      <c r="H1407">
        <f>1-(1-Skills!J6/100)^Skills!K6</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7">
        <f>L1407*(1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IF(B1436=0,0,O1407/B1436)</f>
        <v/>
      </c>
      <c r="Q1407">
        <f>IFERROR(1/(IF(Inputs!$B$38="pvp",15,MAX(0.1,Skills!D6-IF(Skills!E6=TRUE,Inputs!$B$32,0)))*(1-IF(AND(ArtifactsInput!$M$27,Inputs!$B$4="Chapter Hunt"),CHOOSE(ArtifactsInput!$N$27+1,20,24,28,32,36,40),0)/100)),0)</f>
        <v/>
      </c>
      <c r="R1407">
        <f>IF(AND(Inputs!$B$38&lt;&gt;"pvp",Inputs!$B$43&gt;0),IF(MAX(0,Inputs!$B$43-B1433)&lt;=0,0,(INT(MAX(0,Inputs!$B$43-B1433)/(IF(Inputs!$B$38="pvp",15,MAX(0.1,Skills!D6-IF(Skills!E6=TRUE,Inputs!$B$32,0)))*(1-IF(AND(ArtifactsInput!$M$27,Inputs!$B$4="Chapter Hunt"),CHOOSE(ArtifactsInput!$N$27+1,20,24,28,32,36,40),0)/100)))+1)),0)</f>
        <v/>
      </c>
      <c r="S1407">
        <f>IFERROR(O1407/N1407,0)</f>
        <v/>
      </c>
      <c r="T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$21+Skills!Q6+(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Skills!A7</f>
        <v/>
      </c>
      <c r="B1408">
        <f>Skills!B7</f>
        <v/>
      </c>
      <c r="C1408">
        <f>Inputs!$B$3&gt;=100</f>
        <v/>
      </c>
      <c r="D1408">
        <f>IF(Skills!C7=1,60+Inputs!$B$25+Inputs!$B$29,IF(Skills!C7=2,90+Inputs!$B$26+Inputs!$B$29,IF(Skills!C7=3,120+Inputs!$B$27+Inputs!$B$29,MAX(0,(Inputs!$B$3-100)*3)+Inputs!$B$28+Inputs!$B$29)))</f>
        <v/>
      </c>
      <c r="E1408">
        <f>INDEX(FactorTable!$B$2:$Y$301, MATCH(ROUND(MIN(300,MAX(1,D1408)),0), FactorTable!$A$2:$A$301,0), Skills!M7+1)</f>
        <v/>
      </c>
      <c r="F1408">
        <f>IF(Skills!N7=TRUE,(Skills!L7/10)*(E1408/1000),Skills!L7/10)+Skills!O7</f>
        <v/>
      </c>
      <c r="G1408">
        <f>Skills!G7*IF(Skills!H7&gt;0,Skills!I7/Skills!H7,1)</f>
        <v/>
      </c>
      <c r="H1408">
        <f>1-(1-Skills!J7/100)^Skills!K7</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8">
        <f>L1408*(1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IF(B1436=0,0,O1408/B1436)</f>
        <v/>
      </c>
      <c r="Q1408">
        <f>IFERROR(1/(IF(Inputs!$B$38="pvp",15,MAX(0.1,Skills!D7-IF(Skills!E7=TRUE,Inputs!$B$32,0)))*(1-IF(AND(ArtifactsInput!$M$27,Inputs!$B$4="Chapter Hunt"),CHOOSE(ArtifactsInput!$N$27+1,20,24,28,32,36,40),0)/100)),0)</f>
        <v/>
      </c>
      <c r="R1408">
        <f>IF(AND(Inputs!$B$38&lt;&gt;"pvp",Inputs!$B$43&gt;0),IF(MAX(0,Inputs!$B$43-B1433)&lt;=0,0,(INT(MAX(0,Inputs!$B$43-B1433)/(IF(Inputs!$B$38="pvp",15,MAX(0.1,Skills!D7-IF(Skills!E7=TRUE,Inputs!$B$32,0)))*(1-IF(AND(ArtifactsInput!$M$27,Inputs!$B$4="Chapter Hunt"),CHOOSE(ArtifactsInput!$N$27+1,20,24,28,32,36,40),0)/100)))+1)),0)</f>
        <v/>
      </c>
      <c r="S1408">
        <f>IFERROR(O1408/N1408,0)</f>
        <v/>
      </c>
      <c r="T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$21+Skills!Q7+(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Skills!A8</f>
        <v/>
      </c>
      <c r="B1409">
        <f>Skills!B8</f>
        <v/>
      </c>
      <c r="C1409">
        <f>Inputs!$B$3&gt;=110</f>
        <v/>
      </c>
      <c r="D1409">
        <f>IF(Skills!C8=1,60+Inputs!$B$25+Inputs!$B$29,IF(Skills!C8=2,90+Inputs!$B$26+Inputs!$B$29,IF(Skills!C8=3,120+Inputs!$B$27+Inputs!$B$29,MAX(0,(Inputs!$B$3-100)*3)+Inputs!$B$28+Inputs!$B$29)))</f>
        <v/>
      </c>
      <c r="E1409">
        <f>INDEX(FactorTable!$B$2:$Y$301, MATCH(ROUND(MIN(300,MAX(1,D1409)),0), FactorTable!$A$2:$A$301,0), Skills!M8+1)</f>
        <v/>
      </c>
      <c r="F1409">
        <f>IF(Skills!N8=TRUE,(Skills!L8/10)*(E1409/1000),Skills!L8/10)+Skills!O8</f>
        <v/>
      </c>
      <c r="G1409">
        <f>Skills!G8*IF(Skills!H8&gt;0,Skills!I8/Skills!H8,1)</f>
        <v/>
      </c>
      <c r="H1409">
        <f>1-(1-Skills!J8/100)^Skills!K8</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9">
        <f>L1409*(1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IF(B1436=0,0,O1409/B1436)</f>
        <v/>
      </c>
      <c r="Q1409">
        <f>IFERROR(1/(IF(Inputs!$B$38="pvp",15,MAX(0.1,Skills!D8-IF(Skills!E8=TRUE,Inputs!$B$32,0)))*(1-IF(AND(ArtifactsInput!$M$27,Inputs!$B$4="Chapter Hunt"),CHOOSE(ArtifactsInput!$N$27+1,20,24,28,32,36,40),0)/100)),0)</f>
        <v/>
      </c>
      <c r="R1409">
        <f>IF(AND(Inputs!$B$38&lt;&gt;"pvp",Inputs!$B$43&gt;0),IF(MAX(0,Inputs!$B$43-B1433)&lt;=0,0,(INT(MAX(0,Inputs!$B$43-B1433)/(IF(Inputs!$B$38="pvp",15,MAX(0.1,Skills!D8-IF(Skills!E8=TRUE,Inputs!$B$32,0)))*(1-IF(AND(ArtifactsInput!$M$27,Inputs!$B$4="Chapter Hunt"),CHOOSE(ArtifactsInput!$N$27+1,20,24,28,32,36,40),0)/100)))+1)),0)</f>
        <v/>
      </c>
      <c r="S1409">
        <f>IFERROR(O1409/N1409,0)</f>
        <v/>
      </c>
      <c r="T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$21+Skills!Q8+(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Skills!A9</f>
        <v/>
      </c>
      <c r="B1410">
        <f>Skills!B9</f>
        <v/>
      </c>
      <c r="C1410">
        <f>Inputs!$B$3&gt;=110</f>
        <v/>
      </c>
      <c r="D1410">
        <f>IF(Skills!C9=1,60+Inputs!$B$25+Inputs!$B$29,IF(Skills!C9=2,90+Inputs!$B$26+Inputs!$B$29,IF(Skills!C9=3,120+Inputs!$B$27+Inputs!$B$29,MAX(0,(Inputs!$B$3-100)*3)+Inputs!$B$28+Inputs!$B$29)))</f>
        <v/>
      </c>
      <c r="E1410">
        <f>INDEX(FactorTable!$B$2:$Y$301, MATCH(ROUND(MIN(300,MAX(1,D1410)),0), FactorTable!$A$2:$A$301,0), Skills!M9+1)</f>
        <v/>
      </c>
      <c r="F1410">
        <f>IF(Skills!N9=TRUE,(Skills!L9/10)*(E1410/1000),Skills!L9/10)+Skills!O9</f>
        <v/>
      </c>
      <c r="G1410">
        <f>Skills!G9*IF(Skills!H9&gt;0,Skills!I9/Skills!H9,1)</f>
        <v/>
      </c>
      <c r="H1410">
        <f>1-(1-Skills!J9/100)^Skills!K9</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0">
        <f>L1410*(1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IF(B1436=0,0,O1410/B1436)</f>
        <v/>
      </c>
      <c r="Q1410">
        <f>IFERROR(1/(IF(Inputs!$B$38="pvp",15,MAX(0.1,Skills!D9-IF(Skills!E9=TRUE,Inputs!$B$32,0)))*(1-IF(AND(ArtifactsInput!$M$27,Inputs!$B$4="Chapter Hunt"),CHOOSE(ArtifactsInput!$N$27+1,20,24,28,32,36,40),0)/100)),0)</f>
        <v/>
      </c>
      <c r="R1410">
        <f>IF(AND(Inputs!$B$38&lt;&gt;"pvp",Inputs!$B$43&gt;0),IF(MAX(0,Inputs!$B$43-B1433)&lt;=0,0,(INT(MAX(0,Inputs!$B$43-B1433)/(IF(Inputs!$B$38="pvp",15,MAX(0.1,Skills!D9-IF(Skills!E9=TRUE,Inputs!$B$32,0)))*(1-IF(AND(ArtifactsInput!$M$27,Inputs!$B$4="Chapter Hunt"),CHOOSE(ArtifactsInput!$N$27+1,20,24,28,32,36,40),0)/100)))+1)),0)</f>
        <v/>
      </c>
      <c r="S1410">
        <f>IFERROR(O1410/N1410,0)</f>
        <v/>
      </c>
      <c r="T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$21+Skills!Q9+(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Skills!A10</f>
        <v/>
      </c>
      <c r="B1411">
        <f>Skills!B10</f>
        <v/>
      </c>
      <c r="C1411">
        <f>Inputs!$B$3&gt;=103</f>
        <v/>
      </c>
      <c r="D1411">
        <f>IF(Skills!C10=1,60+Inputs!$B$25+Inputs!$B$29,IF(Skills!C10=2,90+Inputs!$B$26+Inputs!$B$29,IF(Skills!C10=3,120+Inputs!$B$27+Inputs!$B$29,MAX(0,(Inputs!$B$3-100)*3)+Inputs!$B$28+Inputs!$B$29)))</f>
        <v/>
      </c>
      <c r="E1411">
        <f>INDEX(FactorTable!$B$2:$Y$301, MATCH(ROUND(MIN(300,MAX(1,D1411)),0), FactorTable!$A$2:$A$301,0), Skills!M10+1)</f>
        <v/>
      </c>
      <c r="F1411">
        <f>IF(Skills!N10=TRUE,(Skills!L10/10)*(E1411/1000),Skills!L10/10)+Skills!O10</f>
        <v/>
      </c>
      <c r="G1411">
        <f>Skills!G10*IF(Skills!H10&gt;0,Skills!I10/Skills!H10,1)</f>
        <v/>
      </c>
      <c r="H1411">
        <f>1-(1-Skills!J10/100)^Skills!K10</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1">
        <f>L1411*(1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IF(B1436=0,0,O1411/B1436)</f>
        <v/>
      </c>
      <c r="Q1411">
        <f>IFERROR(1/(IF(Inputs!$B$38="pvp",15,MAX(0.1,Skills!D10-IF(Skills!E10=TRUE,Inputs!$B$32,0)))*(1-IF(AND(ArtifactsInput!$M$27,Inputs!$B$4="Chapter Hunt"),CHOOSE(ArtifactsInput!$N$27+1,20,24,28,32,36,40),0)/100)),0)</f>
        <v/>
      </c>
      <c r="R1411">
        <f>IF(AND(Inputs!$B$38&lt;&gt;"pvp",Inputs!$B$43&gt;0),IF(MAX(0,Inputs!$B$43-B1433)&lt;=0,0,(INT(MAX(0,Inputs!$B$43-B1433)/(IF(Inputs!$B$38="pvp",15,MAX(0.1,Skills!D10-IF(Skills!E10=TRUE,Inputs!$B$32,0)))*(1-IF(AND(ArtifactsInput!$M$27,Inputs!$B$4="Chapter Hunt"),CHOOSE(ArtifactsInput!$N$27+1,20,24,28,32,36,40),0)/100)))+1)),0)</f>
        <v/>
      </c>
      <c r="S1411">
        <f>IFERROR(O1411/N1411,0)</f>
        <v/>
      </c>
      <c r="T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$21+Skills!Q10+(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Skills!A11</f>
        <v/>
      </c>
      <c r="B1412">
        <f>Skills!B11</f>
        <v/>
      </c>
      <c r="C1412">
        <f>Inputs!$B$3&gt;=113</f>
        <v/>
      </c>
      <c r="D1412">
        <f>IF(Skills!C11=1,60+Inputs!$B$25+Inputs!$B$29,IF(Skills!C11=2,90+Inputs!$B$26+Inputs!$B$29,IF(Skills!C11=3,120+Inputs!$B$27+Inputs!$B$29,MAX(0,(Inputs!$B$3-100)*3)+Inputs!$B$28+Inputs!$B$29)))</f>
        <v/>
      </c>
      <c r="E1412">
        <f>INDEX(FactorTable!$B$2:$Y$301, MATCH(ROUND(MIN(300,MAX(1,D1412)),0), FactorTable!$A$2:$A$301,0), Skills!M11+1)</f>
        <v/>
      </c>
      <c r="F1412">
        <f>IF(Skills!N11=TRUE,(Skills!L11/10)*(E1412/1000),Skills!L11/10)+Skills!O11</f>
        <v/>
      </c>
      <c r="G1412">
        <f>Skills!G11*IF(Skills!H11&gt;0,Skills!I11/Skills!H11,1)</f>
        <v/>
      </c>
      <c r="H1412">
        <f>1-(1-Skills!J11/100)^Skills!K11</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2">
        <f>L1412*(1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IF(B1436=0,0,O1412/B1436)</f>
        <v/>
      </c>
      <c r="Q1412">
        <f>IFERROR(1/(IF(Inputs!$B$38="pvp",15,MAX(0.1,Skills!D11-IF(Skills!E11=TRUE,Inputs!$B$32,0)))*(1-IF(AND(ArtifactsInput!$M$27,Inputs!$B$4="Chapter Hunt"),CHOOSE(ArtifactsInput!$N$27+1,20,24,28,32,36,40),0)/100)),0)</f>
        <v/>
      </c>
      <c r="R1412">
        <f>IF(AND(Inputs!$B$38&lt;&gt;"pvp",Inputs!$B$43&gt;0),IF(MAX(0,Inputs!$B$43-B1433)&lt;=0,0,(INT(MAX(0,Inputs!$B$43-B1433)/(IF(Inputs!$B$38="pvp",15,MAX(0.1,Skills!D11-IF(Skills!E11=TRUE,Inputs!$B$32,0)))*(1-IF(AND(ArtifactsInput!$M$27,Inputs!$B$4="Chapter Hunt"),CHOOSE(ArtifactsInput!$N$27+1,20,24,28,32,36,40),0)/100)))+1)),0)</f>
        <v/>
      </c>
      <c r="S1412">
        <f>IFERROR(O1412/N1412,0)</f>
        <v/>
      </c>
      <c r="T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$21+Skills!Q11+(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Skills!A12</f>
        <v/>
      </c>
      <c r="B1413">
        <f>Skills!B12</f>
        <v/>
      </c>
      <c r="C1413">
        <f>Inputs!$B$3&gt;=100</f>
        <v/>
      </c>
      <c r="D1413">
        <f>IF(Skills!C12=1,60+Inputs!$B$25+Inputs!$B$29,IF(Skills!C12=2,90+Inputs!$B$26+Inputs!$B$29,IF(Skills!C12=3,120+Inputs!$B$27+Inputs!$B$29,MAX(0,(Inputs!$B$3-100)*3)+Inputs!$B$28+Inputs!$B$29)))</f>
        <v/>
      </c>
      <c r="E1413">
        <f>INDEX(FactorTable!$B$2:$Y$301, MATCH(ROUND(MIN(300,MAX(1,D1413)),0), FactorTable!$A$2:$A$301,0), Skills!M12+1)</f>
        <v/>
      </c>
      <c r="F1413">
        <f>IF(Skills!N12=TRUE,(Skills!L12/10)*(E1413/1000),Skills!L12/10)+Skills!O12</f>
        <v/>
      </c>
      <c r="G1413" t="inlineStr"/>
      <c r="H1413" t="inlineStr"/>
      <c r="I1413" t="inlineStr">
        <is>
          <t>1</t>
        </is>
      </c>
      <c r="J1413" t="inlineStr"/>
      <c r="K1413" t="inlineStr"/>
      <c r="L1413" t="inlineStr"/>
      <c r="M1413" t="inlineStr"/>
      <c r="N1413" t="inlineStr"/>
      <c r="O1413" t="inlineStr"/>
      <c r="P1413" t="inlineStr"/>
      <c r="Q1413" t="inlineStr"/>
      <c r="R1413" t="inlineStr"/>
      <c r="S1413" t="inlineStr"/>
      <c r="T1413" t="inlineStr"/>
      <c r="V1413" t="inlineStr"/>
    </row>
    <row r="1414">
      <c r="A1414">
        <f>Skills!A13</f>
        <v/>
      </c>
      <c r="B1414">
        <f>Skills!B13</f>
        <v/>
      </c>
      <c r="C1414">
        <f>Inputs!$B$3&gt;=66</f>
        <v/>
      </c>
      <c r="D1414">
        <f>IF(Skills!C13=1,60+Inputs!$B$25+Inputs!$B$29,IF(Skills!C13=2,90+Inputs!$B$26+Inputs!$B$29,IF(Skills!C13=3,120+Inputs!$B$27+Inputs!$B$29,MAX(0,(Inputs!$B$3-100)*3)+Inputs!$B$28+Inputs!$B$29)))</f>
        <v/>
      </c>
      <c r="E1414">
        <f>INDEX(FactorTable!$B$2:$Y$301, MATCH(ROUND(MIN(300,MAX(1,D1414)),0), FactorTable!$A$2:$A$301,0), Skills!M13+1)</f>
        <v/>
      </c>
      <c r="F1414">
        <f>IF(Skills!N13=TRUE,(Skills!L13/10)*(E1414/1000),Skills!L13/10)+Skills!O13</f>
        <v/>
      </c>
      <c r="G1414">
        <f>Skills!G13*IF(Skills!H13&gt;0,Skills!I13/Skills!H13,1)</f>
        <v/>
      </c>
      <c r="H1414">
        <f>1-(1-Skills!J13/100)^Skills!K13</f>
        <v/>
      </c>
      <c r="I1414" t="inlineStr">
        <is>
          <t>1</t>
        </is>
      </c>
      <c r="J1414" t="inlineStr"/>
      <c r="K1414" t="inlineStr"/>
      <c r="L1414" t="inlineStr"/>
      <c r="M1414" t="inlineStr"/>
      <c r="N1414" t="inlineStr"/>
      <c r="O1414">
        <f>(1-Summary!$B$11)*T1414+Summary!$B$11*V1414</f>
        <v/>
      </c>
      <c r="P1414">
        <f>IF(B1436=0,0,O1414/B1436)</f>
        <v/>
      </c>
      <c r="Q1414" t="n">
        <v>0</v>
      </c>
      <c r="R1414" t="n">
        <v>0</v>
      </c>
      <c r="S1414">
        <f>IFERROR(O1414/N1414,0)</f>
        <v/>
      </c>
      <c r="T1414" t="n">
        <v>0</v>
      </c>
      <c r="V1414" t="n">
        <v>0</v>
      </c>
    </row>
    <row r="1415">
      <c r="A1415">
        <f>Skills!A14</f>
        <v/>
      </c>
      <c r="B1415">
        <f>Skills!B14</f>
        <v/>
      </c>
      <c r="C1415">
        <f>Inputs!$B$3&gt;=107</f>
        <v/>
      </c>
      <c r="D1415">
        <f>IF(Skills!C14=1,60+Inputs!$B$25+Inputs!$B$29,IF(Skills!C14=2,90+Inputs!$B$26+Inputs!$B$29,IF(Skills!C14=3,120+Inputs!$B$27+Inputs!$B$29,MAX(0,(Inputs!$B$3-100)*3)+Inputs!$B$28+Inputs!$B$29)))</f>
        <v/>
      </c>
      <c r="E1415">
        <f>INDEX(FactorTable!$B$2:$Y$301, MATCH(ROUND(MIN(300,MAX(1,D1415)),0), FactorTable!$A$2:$A$301,0), Skills!M14+1)</f>
        <v/>
      </c>
      <c r="F1415">
        <f>IF(Skills!N14=TRUE,(Skills!L14/10)*(E1415/1000),Skills!L14/10)+Skills!O14</f>
        <v/>
      </c>
      <c r="G1415">
        <f>Skills!G14*IF(Skills!H14&gt;0,Skills!I14/Skills!H14,1)</f>
        <v/>
      </c>
      <c r="H1415">
        <f>1-(1-Skills!J14/100)^Skills!K14</f>
        <v/>
      </c>
      <c r="I1415" t="inlineStr">
        <is>
          <t>1</t>
        </is>
      </c>
      <c r="J1415" t="inlineStr"/>
      <c r="K1415" t="inlineStr"/>
      <c r="L1415" t="inlineStr"/>
      <c r="M1415" t="inlineStr"/>
      <c r="N1415" t="inlineStr"/>
      <c r="O1415">
        <f>(1-Summary!$B$11)*T1415+Summary!$B$11*V1415</f>
        <v/>
      </c>
      <c r="P1415">
        <f>IF(B1436=0,0,O1415/B1436)</f>
        <v/>
      </c>
      <c r="Q1415" t="n">
        <v>0</v>
      </c>
      <c r="R1415" t="n">
        <v>0</v>
      </c>
      <c r="S1415">
        <f>IFERROR(O1415/N1415,0)</f>
        <v/>
      </c>
      <c r="T1415" t="n">
        <v>0</v>
      </c>
      <c r="V1415" t="n">
        <v>0</v>
      </c>
    </row>
    <row r="1416">
      <c r="A1416">
        <f>Skills!A15</f>
        <v/>
      </c>
      <c r="B1416">
        <f>Skills!B15</f>
        <v/>
      </c>
      <c r="C1416">
        <f>Inputs!$B$3&gt;=115</f>
        <v/>
      </c>
      <c r="D1416">
        <f>IF(Skills!C15=1,60+Inputs!$B$25+Inputs!$B$29,IF(Skills!C15=2,90+Inputs!$B$26+Inputs!$B$29,IF(Skills!C15=3,120+Inputs!$B$27+Inputs!$B$29,MAX(0,(Inputs!$B$3-100)*3)+Inputs!$B$28+Inputs!$B$29)))</f>
        <v/>
      </c>
      <c r="E1416">
        <f>INDEX(FactorTable!$B$2:$Y$301, MATCH(ROUND(MIN(300,MAX(1,D1416)),0), FactorTable!$A$2:$A$301,0), Skills!M15+1)</f>
        <v/>
      </c>
      <c r="F1416">
        <f>IF(Skills!N15=TRUE,(Skills!L15/10)*(E1416/1000),Skills!L15/10)+Skills!O15</f>
        <v/>
      </c>
      <c r="G1416">
        <f>Skills!G15*IF(Skills!H15&gt;0,Skills!I15/Skills!H15,1)</f>
        <v/>
      </c>
      <c r="H1416">
        <f>1-(1-Skills!J15/100)^Skills!K15</f>
        <v/>
      </c>
      <c r="I1416" t="inlineStr">
        <is>
          <t>1</t>
        </is>
      </c>
      <c r="J1416" t="inlineStr"/>
      <c r="K1416" t="inlineStr"/>
      <c r="L1416" t="inlineStr"/>
      <c r="M1416" t="inlineStr"/>
      <c r="N1416" t="inlineStr"/>
      <c r="O1416">
        <f>(1-Summary!$B$11)*T1416+Summary!$B$11*V1416</f>
        <v/>
      </c>
      <c r="P1416">
        <f>IF(B1436=0,0,O1416/B1436)</f>
        <v/>
      </c>
      <c r="Q1416" t="n">
        <v>0</v>
      </c>
      <c r="R1416" t="n">
        <v>0</v>
      </c>
      <c r="S1416">
        <f>IFERROR(O1416/N1416,0)</f>
        <v/>
      </c>
      <c r="T1416" t="n">
        <v>0</v>
      </c>
      <c r="V1416" t="n">
        <v>0</v>
      </c>
    </row>
    <row r="1417">
      <c r="A1417">
        <f>Skills!A16</f>
        <v/>
      </c>
      <c r="B1417">
        <f>Skills!B16</f>
        <v/>
      </c>
      <c r="C1417">
        <f>Inputs!$B$3&gt;=15</f>
        <v/>
      </c>
      <c r="D1417">
        <f>IF(Skills!C16=1,60+Inputs!$B$25+Inputs!$B$29,IF(Skills!C16=2,90+Inputs!$B$26+Inputs!$B$29,IF(Skills!C16=3,120+Inputs!$B$27+Inputs!$B$29,MAX(0,(Inputs!$B$3-100)*3)+Inputs!$B$28+Inputs!$B$29)))</f>
        <v/>
      </c>
      <c r="E1417">
        <f>INDEX(FactorTable!$B$2:$Y$301, MATCH(ROUND(MIN(300,MAX(1,D1417)),0), FactorTable!$A$2:$A$301,0), Skills!M16+1)</f>
        <v/>
      </c>
      <c r="F1417">
        <f>IF(Skills!N16=TRUE,(Skills!L16/10)*(E1417/1000),Skills!L16/10)+Skills!O16</f>
        <v/>
      </c>
      <c r="G1417">
        <f>Skills!G16*IF(Skills!H16&gt;0,Skills!I16/Skills!H16,1)</f>
        <v/>
      </c>
      <c r="H1417">
        <f>1-(1-Skills!J16/100)^Skills!K16</f>
        <v/>
      </c>
      <c r="I1417" t="inlineStr">
        <is>
          <t>1</t>
        </is>
      </c>
      <c r="J1417" t="inlineStr"/>
      <c r="K1417" t="inlineStr"/>
      <c r="L1417" t="inlineStr"/>
      <c r="M1417" t="inlineStr"/>
      <c r="N1417" t="inlineStr"/>
      <c r="O1417">
        <f>(1-Summary!$B$11)*T1417+Summary!$B$11*V1417</f>
        <v/>
      </c>
      <c r="P1417">
        <f>IF(B1436=0,0,O1417/B1436)</f>
        <v/>
      </c>
      <c r="Q1417" t="n">
        <v>0</v>
      </c>
      <c r="R1417" t="n">
        <v>0</v>
      </c>
      <c r="S1417">
        <f>IFERROR(O1417/N1417,0)</f>
        <v/>
      </c>
      <c r="T1417" t="n">
        <v>0</v>
      </c>
      <c r="V1417" t="n">
        <v>0</v>
      </c>
    </row>
    <row r="1418">
      <c r="A1418">
        <f>Skills!A17</f>
        <v/>
      </c>
      <c r="B1418">
        <f>Skills!B17</f>
        <v/>
      </c>
      <c r="C1418">
        <f>Inputs!$B$3&gt;=10</f>
        <v/>
      </c>
      <c r="D1418">
        <f>IF(Skills!C17=1,60+Inputs!$B$25+Inputs!$B$29,IF(Skills!C17=2,90+Inputs!$B$26+Inputs!$B$29,IF(Skills!C17=3,120+Inputs!$B$27+Inputs!$B$29,MAX(0,(Inputs!$B$3-100)*3)+Inputs!$B$28+Inputs!$B$29)))</f>
        <v/>
      </c>
      <c r="E1418">
        <f>INDEX(FactorTable!$B$2:$Y$301, MATCH(ROUND(MIN(300,MAX(1,D1418)),0), FactorTable!$A$2:$A$301,0), Skills!M17+1)</f>
        <v/>
      </c>
      <c r="F1418">
        <f>IF(Skills!N17=TRUE,(Skills!L17/10)*(E1418/1000),Skills!L17/10)+Skills!O17</f>
        <v/>
      </c>
      <c r="G1418">
        <f>Skills!G17*IF(Skills!H17&gt;0,Skills!I17/Skills!H17,1)</f>
        <v/>
      </c>
      <c r="H1418">
        <f>1-(1-Skills!J17/100)^Skills!K17</f>
        <v/>
      </c>
      <c r="I1418" t="inlineStr">
        <is>
          <t>1</t>
        </is>
      </c>
      <c r="J1418" t="inlineStr"/>
      <c r="K1418" t="inlineStr"/>
      <c r="L1418" t="inlineStr"/>
      <c r="M1418" t="inlineStr"/>
      <c r="N1418" t="inlineStr"/>
      <c r="O1418">
        <f>(1-Summary!$B$11)*T1418+Summary!$B$11*V1418</f>
        <v/>
      </c>
      <c r="P1418">
        <f>IF(B1436=0,0,O1418/B1436)</f>
        <v/>
      </c>
      <c r="Q1418" t="n">
        <v>0</v>
      </c>
      <c r="R1418" t="n">
        <v>0</v>
      </c>
      <c r="S1418">
        <f>IFERROR(O1418/N1418,0)</f>
        <v/>
      </c>
      <c r="T1418" t="n">
        <v>0</v>
      </c>
      <c r="V1418" t="n">
        <v>0</v>
      </c>
    </row>
    <row r="1419">
      <c r="A1419">
        <f>Skills!A18</f>
        <v/>
      </c>
      <c r="B1419">
        <f>Skills!B18</f>
        <v/>
      </c>
      <c r="C1419">
        <f>Inputs!$B$3&gt;=33</f>
        <v/>
      </c>
      <c r="D1419">
        <f>IF(Skills!C18=1,60+Inputs!$B$25+Inputs!$B$29,IF(Skills!C18=2,90+Inputs!$B$26+Inputs!$B$29,IF(Skills!C18=3,120+Inputs!$B$27+Inputs!$B$29,MAX(0,(Inputs!$B$3-100)*3)+Inputs!$B$28+Inputs!$B$29)))</f>
        <v/>
      </c>
      <c r="E1419">
        <f>INDEX(FactorTable!$B$2:$Y$301, MATCH(ROUND(MIN(300,MAX(1,D1419)),0), FactorTable!$A$2:$A$301,0), Skills!M18+1)</f>
        <v/>
      </c>
      <c r="F1419">
        <f>IF(Skills!N18=TRUE,(Skills!L18/10)*(E1419/1000),Skills!L18/10)+Skills!O18</f>
        <v/>
      </c>
      <c r="G1419">
        <f>Skills!G18*IF(Skills!H18&gt;0,Skills!I18/Skills!H18,1)</f>
        <v/>
      </c>
      <c r="H1419">
        <f>1-(1-Skills!J18/100)^Skills!K18</f>
        <v/>
      </c>
      <c r="I1419" t="inlineStr">
        <is>
          <t>1</t>
        </is>
      </c>
      <c r="J1419" t="inlineStr"/>
      <c r="K1419" t="inlineStr"/>
      <c r="L1419" t="inlineStr"/>
      <c r="M1419" t="inlineStr"/>
      <c r="N1419" t="inlineStr"/>
      <c r="O1419">
        <f>(1-Summary!$B$11)*T1419+Summary!$B$11*V1419</f>
        <v/>
      </c>
      <c r="P1419">
        <f>IF(B1436=0,0,O1419/B1436)</f>
        <v/>
      </c>
      <c r="Q1419" t="n">
        <v>0</v>
      </c>
      <c r="R1419" t="n">
        <v>0</v>
      </c>
      <c r="S1419">
        <f>IFERROR(O1419/N1419,0)</f>
        <v/>
      </c>
      <c r="T1419" t="n">
        <v>0</v>
      </c>
      <c r="V1419" t="n">
        <v>0</v>
      </c>
    </row>
    <row r="1420">
      <c r="A1420">
        <f>Skills!A19</f>
        <v/>
      </c>
      <c r="B1420">
        <f>Skills!B19</f>
        <v/>
      </c>
      <c r="C1420">
        <f>Inputs!$B$3&gt;=40</f>
        <v/>
      </c>
      <c r="D1420">
        <f>IF(Skills!C19=1,60+Inputs!$B$25+Inputs!$B$29,IF(Skills!C19=2,90+Inputs!$B$26+Inputs!$B$29,IF(Skills!C19=3,120+Inputs!$B$27+Inputs!$B$29,MAX(0,(Inputs!$B$3-100)*3)+Inputs!$B$28+Inputs!$B$29)))</f>
        <v/>
      </c>
      <c r="E1420">
        <f>INDEX(FactorTable!$B$2:$Y$301, MATCH(ROUND(MIN(300,MAX(1,D1420)),0), FactorTable!$A$2:$A$301,0), Skills!M19+1)</f>
        <v/>
      </c>
      <c r="F1420">
        <f>IF(Skills!N19=TRUE,(Skills!L19/10)*(E1420/1000),Skills!L19/10)+Skills!O19</f>
        <v/>
      </c>
      <c r="G1420">
        <f>Skills!G19*IF(Skills!H19&gt;0,Skills!I19/Skills!H19,1)</f>
        <v/>
      </c>
      <c r="H1420">
        <f>1-(1-Skills!J19/100)^Skills!K19</f>
        <v/>
      </c>
      <c r="I1420" t="inlineStr">
        <is>
          <t>1</t>
        </is>
      </c>
      <c r="J1420" t="inlineStr"/>
      <c r="K1420" t="inlineStr"/>
      <c r="L1420" t="inlineStr"/>
      <c r="M1420" t="inlineStr"/>
      <c r="N1420" t="inlineStr"/>
      <c r="O1420">
        <f>(1-Summary!$B$11)*T1420+Summary!$B$11*V1420</f>
        <v/>
      </c>
      <c r="P1420">
        <f>IF(B1436=0,0,O1420/B1436)</f>
        <v/>
      </c>
      <c r="Q1420" t="n">
        <v>0</v>
      </c>
      <c r="R1420" t="n">
        <v>0</v>
      </c>
      <c r="S1420">
        <f>IFERROR(O1420/N1420,0)</f>
        <v/>
      </c>
      <c r="T1420" t="n">
        <v>0</v>
      </c>
      <c r="V1420" t="n">
        <v>0</v>
      </c>
    </row>
    <row r="1421">
      <c r="A1421">
        <f>Skills!A20</f>
        <v/>
      </c>
      <c r="B1421">
        <f>Skills!B20</f>
        <v/>
      </c>
      <c r="C1421">
        <f>Inputs!$B$3&gt;=43</f>
        <v/>
      </c>
      <c r="D1421">
        <f>IF(Skills!C20=1,60+Inputs!$B$25+Inputs!$B$29,IF(Skills!C20=2,90+Inputs!$B$26+Inputs!$B$29,IF(Skills!C20=3,120+Inputs!$B$27+Inputs!$B$29,MAX(0,(Inputs!$B$3-100)*3)+Inputs!$B$28+Inputs!$B$29)))</f>
        <v/>
      </c>
      <c r="E1421">
        <f>INDEX(FactorTable!$B$2:$Y$301, MATCH(ROUND(MIN(300,MAX(1,D1421)),0), FactorTable!$A$2:$A$301,0), Skills!M20+1)</f>
        <v/>
      </c>
      <c r="F1421">
        <f>IF(Skills!N20=TRUE,(Skills!L20/10)*(E1421/1000),Skills!L20/10)+Skills!O20</f>
        <v/>
      </c>
      <c r="G1421">
        <f>Skills!G20*IF(Skills!H20&gt;0,Skills!I20/Skills!H20,1)</f>
        <v/>
      </c>
      <c r="H1421">
        <f>1-(1-Skills!J20/100)^Skills!K20</f>
        <v/>
      </c>
      <c r="I1421" t="inlineStr">
        <is>
          <t>1</t>
        </is>
      </c>
      <c r="J1421" t="inlineStr"/>
      <c r="K1421" t="inlineStr"/>
      <c r="L1421" t="inlineStr"/>
      <c r="M1421" t="inlineStr"/>
      <c r="N1421" t="inlineStr"/>
      <c r="O1421">
        <f>(1-Summary!$B$11)*T1421+Summary!$B$11*V1421</f>
        <v/>
      </c>
      <c r="P1421">
        <f>IF(B1436=0,0,O1421/B1436)</f>
        <v/>
      </c>
      <c r="Q1421" t="n">
        <v>0</v>
      </c>
      <c r="R1421" t="n">
        <v>0</v>
      </c>
      <c r="S1421">
        <f>IFERROR(O1421/N1421,0)</f>
        <v/>
      </c>
      <c r="T1421" t="n">
        <v>0</v>
      </c>
      <c r="V1421" t="n">
        <v>0</v>
      </c>
    </row>
    <row r="1422">
      <c r="A1422">
        <f>Skills!A21</f>
        <v/>
      </c>
      <c r="B1422">
        <f>Skills!B21</f>
        <v/>
      </c>
      <c r="C1422">
        <f>Inputs!$B$3&gt;=38</f>
        <v/>
      </c>
      <c r="D1422">
        <f>IF(Skills!C21=1,60+Inputs!$B$25+Inputs!$B$29,IF(Skills!C21=2,90+Inputs!$B$26+Inputs!$B$29,IF(Skills!C21=3,120+Inputs!$B$27+Inputs!$B$29,MAX(0,(Inputs!$B$3-100)*3)+Inputs!$B$28+Inputs!$B$29)))</f>
        <v/>
      </c>
      <c r="E1422">
        <f>INDEX(FactorTable!$B$2:$Y$301, MATCH(ROUND(MIN(300,MAX(1,D1422)),0), FactorTable!$A$2:$A$301,0), Skills!M21+1)</f>
        <v/>
      </c>
      <c r="F1422">
        <f>IF(Skills!N21=TRUE,(Skills!L21/10)*(E1422/1000),Skills!L21/10)+Skills!O21</f>
        <v/>
      </c>
      <c r="G1422">
        <f>Skills!G21*IF(Skills!H21&gt;0,Skills!I21/Skills!H21,1)</f>
        <v/>
      </c>
      <c r="H1422">
        <f>1-(1-Skills!J21/100)^Skills!K21</f>
        <v/>
      </c>
      <c r="I1422" t="inlineStr">
        <is>
          <t>1</t>
        </is>
      </c>
      <c r="J1422" t="inlineStr"/>
      <c r="K1422" t="inlineStr"/>
      <c r="L1422" t="inlineStr"/>
      <c r="M1422" t="inlineStr"/>
      <c r="N1422" t="inlineStr"/>
      <c r="O1422">
        <f>(1-Summary!$B$11)*T1422+Summary!$B$11*V1422</f>
        <v/>
      </c>
      <c r="P1422">
        <f>IF(B1436=0,0,O1422/B1436)</f>
        <v/>
      </c>
      <c r="Q1422" t="n">
        <v>0</v>
      </c>
      <c r="R1422" t="n">
        <v>0</v>
      </c>
      <c r="S1422">
        <f>IFERROR(O1422/N1422,0)</f>
        <v/>
      </c>
      <c r="T1422" t="n">
        <v>0</v>
      </c>
      <c r="V1422" t="n">
        <v>0</v>
      </c>
    </row>
    <row r="1423">
      <c r="A1423">
        <f>Skills!A22</f>
        <v/>
      </c>
      <c r="B1423">
        <f>Skills!B22</f>
        <v/>
      </c>
      <c r="C1423">
        <f>Inputs!$B$3&gt;=75</f>
        <v/>
      </c>
      <c r="D1423">
        <f>IF(Skills!C22=1,60+Inputs!$B$25+Inputs!$B$29,IF(Skills!C22=2,90+Inputs!$B$26+Inputs!$B$29,IF(Skills!C22=3,120+Inputs!$B$27+Inputs!$B$29,MAX(0,(Inputs!$B$3-100)*3)+Inputs!$B$28+Inputs!$B$29)))</f>
        <v/>
      </c>
      <c r="E1423">
        <f>INDEX(FactorTable!$B$2:$Y$301, MATCH(ROUND(MIN(300,MAX(1,D1423)),0), FactorTable!$A$2:$A$301,0), Skills!M22+1)</f>
        <v/>
      </c>
      <c r="F1423">
        <f>IF(Skills!N22=TRUE,(Skills!L22/10)*(E1423/1000),Skills!L22/10)+Skills!O22</f>
        <v/>
      </c>
      <c r="G1423">
        <f>Skills!G22*IF(Skills!H22&gt;0,Skills!I22/Skills!H22,1)</f>
        <v/>
      </c>
      <c r="H1423">
        <f>1-(1-Skills!J22/100)^Skills!K22</f>
        <v/>
      </c>
      <c r="I1423" t="inlineStr">
        <is>
          <t>1</t>
        </is>
      </c>
      <c r="J1423" t="inlineStr"/>
      <c r="K1423" t="inlineStr"/>
      <c r="L1423" t="inlineStr"/>
      <c r="M1423" t="inlineStr"/>
      <c r="N1423" t="inlineStr"/>
      <c r="O1423">
        <f>(1-Summary!$B$11)*T1423+Summary!$B$11*V1423</f>
        <v/>
      </c>
      <c r="P1423">
        <f>IF(B1436=0,0,O1423/B1436)</f>
        <v/>
      </c>
      <c r="Q1423" t="n">
        <v>0</v>
      </c>
      <c r="R1423" t="n">
        <v>0</v>
      </c>
      <c r="S1423">
        <f>IFERROR(O1423/N1423,0)</f>
        <v/>
      </c>
      <c r="T1423" t="n">
        <v>0</v>
      </c>
      <c r="V1423" t="n">
        <v>0</v>
      </c>
    </row>
    <row r="1425">
      <c r="A1425" t="inlineStr">
        <is>
          <t>Attack% Bucket Multiplier</t>
        </is>
      </c>
      <c r="B1425">
        <f>(1+(((C1414=TRUE)*F1414)+((C1420=TRUE)*(F1420-Calc!F19))+(IF(ArtifactsInput!$M$21,CHOOSE(ArtifactsInput!$N$21+1,25,30,35,40,45,50)*(IF(OR(Inputs!$B$4="Chapter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6">
      <c r="A1426" t="inlineStr">
        <is>
          <t>Global Crit Rate Bonus %</t>
        </is>
      </c>
      <c r="B1426" t="n">
        <v>0</v>
      </c>
    </row>
    <row r="1427">
      <c r="A1427" t="inlineStr">
        <is>
          <t>Attack Speed Buff Bonus % (unused)</t>
        </is>
      </c>
      <c r="B1427" t="n">
        <v>0</v>
      </c>
    </row>
    <row r="1428">
      <c r="A1428" t="inlineStr">
        <is>
          <t>Actions Per Second</t>
        </is>
      </c>
      <c r="B1428">
        <f>1+MIN(150,150*(1-(1-(Inputs!$B$11+((C1418=TRUE)*(F1418-Calc!F17))+((C1419=TRUE)*(F1419-Calc!F18)))/150)*(1-B1427/150)))/100</f>
        <v/>
      </c>
    </row>
    <row r="1429">
      <c r="A1429" t="inlineStr">
        <is>
          <t>Skill + Buff Cast Rate</t>
        </is>
      </c>
      <c r="B1429">
        <f>IF(AND(Inputs!$B$38&lt;&gt;"pvp",Inputs!$B$43&gt;0),SUMPRODUCT((Skills!E2:E22=TRUE)*(C1403:C1423=TRUE)*R1403:R1423*Skills!F2:F22)/Inputs!$B$43,SUMPRODUCT((Skills!E2:E22=TRUE)*(C1403:C1423=TRUE)*Q1403:Q1423*Skills!F2:F22))</f>
        <v/>
      </c>
    </row>
    <row r="1430">
      <c r="A1430" t="inlineStr">
        <is>
          <t>Hook Bomber Casts Per Second</t>
        </is>
      </c>
      <c r="B1430">
        <f>MAX(0,B1428-B1429)</f>
        <v/>
      </c>
    </row>
    <row r="1431">
      <c r="A1431" t="inlineStr">
        <is>
          <t>Global Critical Damage Bonus % (unused)</t>
        </is>
      </c>
      <c r="B1431" t="n">
        <v>0</v>
      </c>
    </row>
    <row r="1432">
      <c r="A1432" t="inlineStr">
        <is>
          <t>Global Final Damage Bonus % (Serpent Scale + Crossbones + Time Leap + Speed Infusion)</t>
        </is>
      </c>
      <c r="B1432">
        <f>((C1406=TRUE)*F1406*((10+IF(Inputs!$B$3&gt;=94,5,0))/((10+IF(Inputs!$B$3&gt;=94,5,0))+5/(B1430*(1+IF(Inputs!$B$3&gt;=104,1,0))))))+((C1415=TRUE)*F1415)+((C1416=TRUE)*F1416)+((Inputs!$B$3&gt;=110)*20*(B1428-1))</f>
        <v/>
      </c>
    </row>
    <row r="1433">
      <c r="A1433" t="inlineStr">
        <is>
          <t>Buff-Casting Startup Delay (s, fixed-duration only)</t>
        </is>
      </c>
      <c r="B1433">
        <f>IF(AND(Inputs!$B$38&lt;&gt;"pvp",Inputs!$B$43&gt;0),SUMPRODUCT((Skills!T2:T22&gt;0)*(Skills!E2:E22=TRUE)*(C1403:C1423=TRUE))/B1428,0)</f>
        <v/>
      </c>
    </row>
    <row r="1434">
      <c r="A1434" t="inlineStr">
        <is>
          <t>Boss-Only Total DPS (this block's swept value)</t>
        </is>
      </c>
      <c r="B1434">
        <f>SUM(T1403:T1423)</f>
        <v/>
      </c>
    </row>
    <row r="1435">
      <c r="A1435" t="inlineStr">
        <is>
          <t>Normal-Only Total DPS (this block's swept value)</t>
        </is>
      </c>
      <c r="B1435">
        <f>SUM(V1403:V1423)</f>
        <v/>
      </c>
    </row>
    <row r="1436">
      <c r="A1436" s="6" t="inlineStr">
        <is>
          <t>TOTAL DPS</t>
        </is>
      </c>
      <c r="B1436" s="6">
        <f>SUM(O1403:O1423)</f>
        <v/>
      </c>
    </row>
    <row r="1439">
      <c r="A1439" s="6" t="inlineStr">
        <is>
          <t>Stat: Zakum's Stone Piece (Equip)</t>
        </is>
      </c>
    </row>
    <row r="1440">
      <c r="A1440" s="5" t="inlineStr">
        <is>
          <t>Key</t>
        </is>
      </c>
      <c r="B1440" s="5" t="inlineStr">
        <is>
          <t>Name</t>
        </is>
      </c>
      <c r="C1440" s="5" t="inlineStr">
        <is>
          <t>Unlocked</t>
        </is>
      </c>
      <c r="D1440" s="5" t="inlineStr">
        <is>
          <t>InputLevel</t>
        </is>
      </c>
      <c r="E1440" s="5" t="inlineStr">
        <is>
          <t>Factor</t>
        </is>
      </c>
      <c r="F1440" s="5" t="inlineStr">
        <is>
          <t>CoefficientPercent</t>
        </is>
      </c>
      <c r="G1440" s="5" t="inlineStr">
        <is>
          <t>EffectiveHits</t>
        </is>
      </c>
      <c r="H1440" s="5" t="inlineStr">
        <is>
          <t>ProcProbability</t>
        </is>
      </c>
      <c r="I1440" s="5" t="inlineStr">
        <is>
          <t>MapleHeroMultiplier</t>
        </is>
      </c>
      <c r="J1440" s="5" t="inlineStr">
        <is>
          <t>BaseDamage</t>
        </is>
      </c>
      <c r="K1440" s="5" t="inlineStr">
        <is>
          <t>BaseHitDamage</t>
        </is>
      </c>
      <c r="L1440" s="5" t="inlineStr">
        <is>
          <t>NonCritAvg</t>
        </is>
      </c>
      <c r="M1440" s="5" t="inlineStr">
        <is>
          <t>CritAvg</t>
        </is>
      </c>
      <c r="N1440" s="5" t="inlineStr">
        <is>
          <t>ExpectedDamage(perHit)</t>
        </is>
      </c>
      <c r="O1440" s="5" t="inlineStr">
        <is>
          <t>DPS</t>
        </is>
      </c>
      <c r="P1440" s="5" t="inlineStr">
        <is>
          <t>% of Total</t>
        </is>
      </c>
      <c r="Q1440" s="5" t="inlineStr">
        <is>
          <t>InvCooldown</t>
        </is>
      </c>
      <c r="R1440" s="5" t="inlineStr">
        <is>
          <t>CastsInFight</t>
        </is>
      </c>
      <c r="S1440" s="5" t="inlineStr">
        <is>
          <t>HitRate(perSec)</t>
        </is>
      </c>
      <c r="U1440" t="inlineStr">
        <is>
          <t>helpers</t>
        </is>
      </c>
    </row>
    <row r="1441">
      <c r="A1441">
        <f>Skills!A2</f>
        <v/>
      </c>
      <c r="B1441">
        <f>Skills!B2</f>
        <v/>
      </c>
      <c r="C1441">
        <f>Inputs!$B$3&gt;=100</f>
        <v/>
      </c>
      <c r="D1441" t="inlineStr"/>
      <c r="E1441" t="inlineStr"/>
      <c r="F1441">
        <f>U1443+Skills!O2</f>
        <v/>
      </c>
      <c r="G1441">
        <f>Skills!G2*IF(Skills!H2&gt;0,Skills!I2/Skills!H2,1)</f>
        <v/>
      </c>
      <c r="H1441">
        <f>1-(1-Skills!J2/100)^Skills!K2</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1459=TRUE)*(F1459-Calc!F20)),(Inputs!$B$23+0+(IF(ArtifactsInput!$M$15,CHOOSE(ArtifactsInput!$N$15+1,25,30,35,40,45,50)/100*(Inputs!$B$11-Inputs!$B$11),0))))/100+(Inputs!$B$23+0+(IF(ArtifactsInput!$M$15,CHOOSE(ArtifactsInput!$N$15+1,25,30,35,40,45,50)/100*(Inputs!$B$11-Inputs!$B$11),0)))/100)/2</f>
        <v/>
      </c>
      <c r="M1441">
        <f>L1441*(1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IF(B1474=0,0,O1441/B1474)</f>
        <v/>
      </c>
      <c r="Q1441" t="n">
        <v>0</v>
      </c>
      <c r="R1441" t="n">
        <v>0</v>
      </c>
      <c r="S1441">
        <f>IFERROR(O1441/N1441,0)</f>
        <v/>
      </c>
      <c r="T1441">
        <f>IF(C1441,(Skills!G2*N1441*B1468)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MAX(0,(Inputs!$B$3-100)*3)+Inputs!$B$28+Inputs!$B$29</f>
        <v/>
      </c>
      <c r="V1441">
        <f>IF(C1441,(Skills!G2*N1441*B1468)*IF(Inputs!$B$38="pvp",1,(1+(Inputs!$B$21+Skills!Q2+(IF(ArtifactsInput!$M$33,CHOOSE(ArtifactsInput!$N$33+1,30,36,42,48,54,60),0))+(IF(AND(ArtifactsInput!$M$35,Inputs!$B$4&lt;&gt;"Chapter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Skills!A3</f>
        <v/>
      </c>
      <c r="B1442">
        <f>Skills!B3</f>
        <v/>
      </c>
      <c r="C1442">
        <f>Inputs!$B$3&gt;=35</f>
        <v/>
      </c>
      <c r="D1442">
        <f>IF(Skills!C3=1,60+Inputs!$B$25+Inputs!$B$29,IF(Skills!C3=2,90+Inputs!$B$26+Inputs!$B$29,IF(Skills!C3=3,120+Inputs!$B$27+Inputs!$B$29,MAX(0,(Inputs!$B$3-100)*3)+Inputs!$B$28+Inputs!$B$29)))</f>
        <v/>
      </c>
      <c r="E1442">
        <f>INDEX(FactorTable!$B$2:$Y$301, MATCH(ROUND(MIN(300,MAX(1,D1442)),0), FactorTable!$A$2:$A$301,0), Skills!M3+1)</f>
        <v/>
      </c>
      <c r="F1442">
        <f>IF(Skills!N3=TRUE,(Skills!L3/10)*(E1442/1000),Skills!L3/10)+Skills!O3</f>
        <v/>
      </c>
      <c r="G1442">
        <f>Skills!G3*IF(Skills!H3&gt;0,Skills!I3/Skills!H3,1)</f>
        <v/>
      </c>
      <c r="H1442">
        <f>1-(1-Skills!J3/100)^Skills!K3</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20)),(Inputs!$B$23+0+(IF(ArtifactsInput!$M$15,CHOOSE(ArtifactsInput!$N$15+1,25,30,35,40,45,50)/100*(Inputs!$B$11-Inputs!$B$11),0))))/100+(Inputs!$B$23+0+(IF(ArtifactsInput!$M$15,CHOOSE(ArtifactsInput!$N$15+1,25,30,35,40,45,50)/100*(Inputs!$B$11-Inputs!$B$11),0)))/100)/2</f>
        <v/>
      </c>
      <c r="M1442">
        <f>L1442*(1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IF(B1474=0,0,O1442/B1474)</f>
        <v/>
      </c>
      <c r="Q1442" t="n">
        <v>0</v>
      </c>
      <c r="R1442" t="n">
        <v>0</v>
      </c>
      <c r="S1442">
        <f>IFERROR(O1442/N1442,0)</f>
        <v/>
      </c>
      <c r="T1442">
        <f>IF(C1442,(Skills!G3*H1442*N1442*B1468)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INDEX(FactorTable!$B$2:$Y$301, MATCH(ROUND(MIN(300,MAX(1,U1441)),0), FactorTable!$A$2:$A$301,0), 22)</f>
        <v/>
      </c>
      <c r="V1442">
        <f>IF(C1442,(Skills!G3*H1442*N1442*B1468)*IF(Inputs!$B$38="pvp",1,(1+(Inputs!$B$21+Skills!Q3+(IF(ArtifactsInput!$M$33,CHOOSE(ArtifactsInput!$N$33+1,30,36,42,48,54,60),0))+(IF(AND(ArtifactsInput!$M$35,Inputs!$B$4&lt;&gt;"Chapter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Skills!A4</f>
        <v/>
      </c>
      <c r="B1443">
        <f>Skills!B4</f>
        <v/>
      </c>
      <c r="C1443">
        <f>Inputs!$B$3&gt;=60</f>
        <v/>
      </c>
      <c r="D1443">
        <f>IF(Skills!C4=1,60+Inputs!$B$25+Inputs!$B$29,IF(Skills!C4=2,90+Inputs!$B$26+Inputs!$B$29,IF(Skills!C4=3,120+Inputs!$B$27+Inputs!$B$29,MAX(0,(Inputs!$B$3-100)*3)+Inputs!$B$28+Inputs!$B$29)))</f>
        <v/>
      </c>
      <c r="E1443">
        <f>INDEX(FactorTable!$B$2:$Y$301, MATCH(ROUND(MIN(300,MAX(1,D1443)),0), FactorTable!$A$2:$A$301,0), Skills!M4+1)</f>
        <v/>
      </c>
      <c r="F1443">
        <f>IF(Skills!N4=TRUE,(Skills!L4/10)*(E1443/1000),Skills!L4/10)+Skills!O4</f>
        <v/>
      </c>
      <c r="G1443">
        <f>Skills!G4*IF(Skills!H4&gt;0,Skills!I4/Skills!H4,1)</f>
        <v/>
      </c>
      <c r="H1443">
        <f>1-(1-Skills!J4/100)^Skills!K4</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20)),(Inputs!$B$23+0+(IF(ArtifactsInput!$M$15,CHOOSE(ArtifactsInput!$N$15+1,25,30,35,40,45,50)/100*(Inputs!$B$11-Inputs!$B$11),0))))/100+(Inputs!$B$23+0+(IF(ArtifactsInput!$M$15,CHOOSE(ArtifactsInput!$N$15+1,25,30,35,40,45,50)/100*(Inputs!$B$11-Inputs!$B$11),0)))/100)/2</f>
        <v/>
      </c>
      <c r="M1443">
        <f>L1443*(1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IF(B1474=0,0,O1443/B1474)</f>
        <v/>
      </c>
      <c r="Q1443" t="n">
        <v>0</v>
      </c>
      <c r="R1443" t="n">
        <v>0</v>
      </c>
      <c r="S1443">
        <f>IFERROR(O1443/N1443,0)</f>
        <v/>
      </c>
      <c r="T1443">
        <f>IF(C1443,(Skills!G4*H1443*N1443*B1468)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290*U1442/1000</f>
        <v/>
      </c>
      <c r="V1443">
        <f>IF(C1443,(Skills!G4*H1443*N1443*B1468)*IF(Inputs!$B$38="pvp",1,(1+(Inputs!$B$21+Skills!Q4+(IF(ArtifactsInput!$M$33,CHOOSE(ArtifactsInput!$N$33+1,30,36,42,48,54,60),0))+(IF(AND(ArtifactsInput!$M$35,Inputs!$B$4&lt;&gt;"Chapter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Skills!A5</f>
        <v/>
      </c>
      <c r="B1444">
        <f>Skills!B5</f>
        <v/>
      </c>
      <c r="C1444">
        <f>Inputs!$B$3&gt;=60</f>
        <v/>
      </c>
      <c r="D1444">
        <f>IF(Skills!C5=1,60+Inputs!$B$25+Inputs!$B$29,IF(Skills!C5=2,90+Inputs!$B$26+Inputs!$B$29,IF(Skills!C5=3,120+Inputs!$B$27+Inputs!$B$29,MAX(0,(Inputs!$B$3-100)*3)+Inputs!$B$28+Inputs!$B$29)))</f>
        <v/>
      </c>
      <c r="E1444">
        <f>INDEX(FactorTable!$B$2:$Y$301, MATCH(ROUND(MIN(300,MAX(1,D1444)),0), FactorTable!$A$2:$A$301,0), Skills!M5+1)</f>
        <v/>
      </c>
      <c r="F1444">
        <f>IF(Skills!N5=TRUE,(Skills!L5/10)*(E1444/1000),Skills!L5/10)+Skills!O5</f>
        <v/>
      </c>
      <c r="G1444">
        <f>Skills!G5*IF(Skills!H5&gt;0,Skills!I5/Skills!H5,1)</f>
        <v/>
      </c>
      <c r="H1444">
        <f>1-(1-Skills!J5/100)^Skills!K5</f>
        <v/>
      </c>
      <c r="I1444" t="inlineStr">
        <is>
          <t>1</t>
        </is>
      </c>
      <c r="J1444" t="inlineStr"/>
      <c r="K1444" t="inlineStr"/>
      <c r="L1444" t="inlineStr"/>
      <c r="M1444" t="inlineStr"/>
      <c r="N1444" t="inlineStr"/>
      <c r="O1444">
        <f>(1-Summary!$B$11)*T1444+Summary!$B$11*V1444</f>
        <v/>
      </c>
      <c r="P1444">
        <f>IF(B1474=0,0,O1444/B1474)</f>
        <v/>
      </c>
      <c r="Q1444" t="n">
        <v>0</v>
      </c>
      <c r="R1444" t="n">
        <v>0</v>
      </c>
      <c r="S1444">
        <f>IFERROR(O1444/N1444,0)</f>
        <v/>
      </c>
      <c r="T1444" t="n">
        <v>0</v>
      </c>
      <c r="V1444" t="n">
        <v>0</v>
      </c>
    </row>
    <row r="1445">
      <c r="A1445">
        <f>Skills!A6</f>
        <v/>
      </c>
      <c r="B1445">
        <f>Skills!B6</f>
        <v/>
      </c>
      <c r="C1445">
        <f>Inputs!$B$3&gt;=63</f>
        <v/>
      </c>
      <c r="D1445">
        <f>IF(Skills!C6=1,60+Inputs!$B$25+Inputs!$B$29,IF(Skills!C6=2,90+Inputs!$B$26+Inputs!$B$29,IF(Skills!C6=3,120+Inputs!$B$27+Inputs!$B$29,MAX(0,(Inputs!$B$3-100)*3)+Inputs!$B$28+Inputs!$B$29)))</f>
        <v/>
      </c>
      <c r="E1445">
        <f>INDEX(FactorTable!$B$2:$Y$301, MATCH(ROUND(MIN(300,MAX(1,D1445)),0), FactorTable!$A$2:$A$301,0), Skills!M6+1)</f>
        <v/>
      </c>
      <c r="F1445">
        <f>IF(Skills!N6=TRUE,(Skills!L6/10)*(E1445/1000),Skills!L6/10)+Skills!O6</f>
        <v/>
      </c>
      <c r="G1445">
        <f>Skills!G6*IF(Skills!H6&gt;0,Skills!I6/Skills!H6,1)</f>
        <v/>
      </c>
      <c r="H1445">
        <f>1-(1-Skills!J6/100)^Skills!K6</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1459=TRUE)*(F1459-Calc!F20)),(Inputs!$B$23+0+(IF(ArtifactsInput!$M$15,CHOOSE(ArtifactsInput!$N$15+1,25,30,35,40,45,50)/100*(Inputs!$B$11-Inputs!$B$11),0))))/100+(Inputs!$B$23+0+(IF(ArtifactsInput!$M$15,CHOOSE(ArtifactsInput!$N$15+1,25,30,35,40,45,50)/100*(Inputs!$B$11-Inputs!$B$11),0)))/100)/2</f>
        <v/>
      </c>
      <c r="M1445">
        <f>L1445*(1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IF(B1474=0,0,O1445/B1474)</f>
        <v/>
      </c>
      <c r="Q1445">
        <f>IFERROR(1/(IF(Inputs!$B$38="pvp",15,MAX(0.1,Skills!D6-IF(Skills!E6=TRUE,Inputs!$B$32,0)))*(1-IF(AND(ArtifactsInput!$M$27,Inputs!$B$4="Chapter Hunt"),CHOOSE(ArtifactsInput!$N$27+1,20,24,28,32,36,40),0)/100)),0)</f>
        <v/>
      </c>
      <c r="R1445">
        <f>IF(AND(Inputs!$B$38&lt;&gt;"pvp",Inputs!$B$43&gt;0),IF(MAX(0,Inputs!$B$43-B1471)&lt;=0,0,(INT(MAX(0,Inputs!$B$43-B1471)/(IF(Inputs!$B$38="pvp",15,MAX(0.1,Skills!D6-IF(Skills!E6=TRUE,Inputs!$B$32,0)))*(1-IF(AND(ArtifactsInput!$M$27,Inputs!$B$4="Chapter Hunt"),CHOOSE(ArtifactsInput!$N$27+1,20,24,28,32,36,40),0)/100)))+1)),0)</f>
        <v/>
      </c>
      <c r="S1445">
        <f>IFERROR(O1445/N1445,0)</f>
        <v/>
      </c>
      <c r="T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$21+Skills!Q6+(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Skills!A7</f>
        <v/>
      </c>
      <c r="B1446">
        <f>Skills!B7</f>
        <v/>
      </c>
      <c r="C1446">
        <f>Inputs!$B$3&gt;=100</f>
        <v/>
      </c>
      <c r="D1446">
        <f>IF(Skills!C7=1,60+Inputs!$B$25+Inputs!$B$29,IF(Skills!C7=2,90+Inputs!$B$26+Inputs!$B$29,IF(Skills!C7=3,120+Inputs!$B$27+Inputs!$B$29,MAX(0,(Inputs!$B$3-100)*3)+Inputs!$B$28+Inputs!$B$29)))</f>
        <v/>
      </c>
      <c r="E1446">
        <f>INDEX(FactorTable!$B$2:$Y$301, MATCH(ROUND(MIN(300,MAX(1,D1446)),0), FactorTable!$A$2:$A$301,0), Skills!M7+1)</f>
        <v/>
      </c>
      <c r="F1446">
        <f>IF(Skills!N7=TRUE,(Skills!L7/10)*(E1446/1000),Skills!L7/10)+Skills!O7</f>
        <v/>
      </c>
      <c r="G1446">
        <f>Skills!G7*IF(Skills!H7&gt;0,Skills!I7/Skills!H7,1)</f>
        <v/>
      </c>
      <c r="H1446">
        <f>1-(1-Skills!J7/100)^Skills!K7</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20)),(Inputs!$B$23+0+(IF(ArtifactsInput!$M$15,CHOOSE(ArtifactsInput!$N$15+1,25,30,35,40,45,50)/100*(Inputs!$B$11-Inputs!$B$11),0))))/100+(Inputs!$B$23+0+(IF(ArtifactsInput!$M$15,CHOOSE(ArtifactsInput!$N$15+1,25,30,35,40,45,50)/100*(Inputs!$B$11-Inputs!$B$11),0)))/100)/2</f>
        <v/>
      </c>
      <c r="M1446">
        <f>L1446*(1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IF(B1474=0,0,O1446/B1474)</f>
        <v/>
      </c>
      <c r="Q1446">
        <f>IFERROR(1/(IF(Inputs!$B$38="pvp",15,MAX(0.1,Skills!D7-IF(Skills!E7=TRUE,Inputs!$B$32,0)))*(1-IF(AND(ArtifactsInput!$M$27,Inputs!$B$4="Chapter Hunt"),CHOOSE(ArtifactsInput!$N$27+1,20,24,28,32,36,40),0)/100)),0)</f>
        <v/>
      </c>
      <c r="R1446">
        <f>IF(AND(Inputs!$B$38&lt;&gt;"pvp",Inputs!$B$43&gt;0),IF(MAX(0,Inputs!$B$43-B1471)&lt;=0,0,(INT(MAX(0,Inputs!$B$43-B1471)/(IF(Inputs!$B$38="pvp",15,MAX(0.1,Skills!D7-IF(Skills!E7=TRUE,Inputs!$B$32,0)))*(1-IF(AND(ArtifactsInput!$M$27,Inputs!$B$4="Chapter Hunt"),CHOOSE(ArtifactsInput!$N$27+1,20,24,28,32,36,40),0)/100)))+1)),0)</f>
        <v/>
      </c>
      <c r="S1446">
        <f>IFERROR(O1446/N1446,0)</f>
        <v/>
      </c>
      <c r="T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$21+Skills!Q7+(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Skills!A8</f>
        <v/>
      </c>
      <c r="B1447">
        <f>Skills!B8</f>
        <v/>
      </c>
      <c r="C1447">
        <f>Inputs!$B$3&gt;=110</f>
        <v/>
      </c>
      <c r="D1447">
        <f>IF(Skills!C8=1,60+Inputs!$B$25+Inputs!$B$29,IF(Skills!C8=2,90+Inputs!$B$26+Inputs!$B$29,IF(Skills!C8=3,120+Inputs!$B$27+Inputs!$B$29,MAX(0,(Inputs!$B$3-100)*3)+Inputs!$B$28+Inputs!$B$29)))</f>
        <v/>
      </c>
      <c r="E1447">
        <f>INDEX(FactorTable!$B$2:$Y$301, MATCH(ROUND(MIN(300,MAX(1,D1447)),0), FactorTable!$A$2:$A$301,0), Skills!M8+1)</f>
        <v/>
      </c>
      <c r="F1447">
        <f>IF(Skills!N8=TRUE,(Skills!L8/10)*(E1447/1000),Skills!L8/10)+Skills!O8</f>
        <v/>
      </c>
      <c r="G1447">
        <f>Skills!G8*IF(Skills!H8&gt;0,Skills!I8/Skills!H8,1)</f>
        <v/>
      </c>
      <c r="H1447">
        <f>1-(1-Skills!J8/100)^Skills!K8</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1459=TRUE)*(F1459-Calc!F20)),(Inputs!$B$23+0+(IF(ArtifactsInput!$M$15,CHOOSE(ArtifactsInput!$N$15+1,25,30,35,40,45,50)/100*(Inputs!$B$11-Inputs!$B$11),0))))/100+(Inputs!$B$23+0+(IF(ArtifactsInput!$M$15,CHOOSE(ArtifactsInput!$N$15+1,25,30,35,40,45,50)/100*(Inputs!$B$11-Inputs!$B$11),0)))/100)/2</f>
        <v/>
      </c>
      <c r="M1447">
        <f>L1447*(1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IF(B1474=0,0,O1447/B1474)</f>
        <v/>
      </c>
      <c r="Q1447">
        <f>IFERROR(1/(IF(Inputs!$B$38="pvp",15,MAX(0.1,Skills!D8-IF(Skills!E8=TRUE,Inputs!$B$32,0)))*(1-IF(AND(ArtifactsInput!$M$27,Inputs!$B$4="Chapter Hunt"),CHOOSE(ArtifactsInput!$N$27+1,20,24,28,32,36,40),0)/100)),0)</f>
        <v/>
      </c>
      <c r="R1447">
        <f>IF(AND(Inputs!$B$38&lt;&gt;"pvp",Inputs!$B$43&gt;0),IF(MAX(0,Inputs!$B$43-B1471)&lt;=0,0,(INT(MAX(0,Inputs!$B$43-B1471)/(IF(Inputs!$B$38="pvp",15,MAX(0.1,Skills!D8-IF(Skills!E8=TRUE,Inputs!$B$32,0)))*(1-IF(AND(ArtifactsInput!$M$27,Inputs!$B$4="Chapter Hunt"),CHOOSE(ArtifactsInput!$N$27+1,20,24,28,32,36,40),0)/100)))+1)),0)</f>
        <v/>
      </c>
      <c r="S1447">
        <f>IFERROR(O1447/N1447,0)</f>
        <v/>
      </c>
      <c r="T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$21+Skills!Q8+(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Skills!A9</f>
        <v/>
      </c>
      <c r="B1448">
        <f>Skills!B9</f>
        <v/>
      </c>
      <c r="C1448">
        <f>Inputs!$B$3&gt;=110</f>
        <v/>
      </c>
      <c r="D1448">
        <f>IF(Skills!C9=1,60+Inputs!$B$25+Inputs!$B$29,IF(Skills!C9=2,90+Inputs!$B$26+Inputs!$B$29,IF(Skills!C9=3,120+Inputs!$B$27+Inputs!$B$29,MAX(0,(Inputs!$B$3-100)*3)+Inputs!$B$28+Inputs!$B$29)))</f>
        <v/>
      </c>
      <c r="E1448">
        <f>INDEX(FactorTable!$B$2:$Y$301, MATCH(ROUND(MIN(300,MAX(1,D1448)),0), FactorTable!$A$2:$A$301,0), Skills!M9+1)</f>
        <v/>
      </c>
      <c r="F1448">
        <f>IF(Skills!N9=TRUE,(Skills!L9/10)*(E1448/1000),Skills!L9/10)+Skills!O9</f>
        <v/>
      </c>
      <c r="G1448">
        <f>Skills!G9*IF(Skills!H9&gt;0,Skills!I9/Skills!H9,1)</f>
        <v/>
      </c>
      <c r="H1448">
        <f>1-(1-Skills!J9/100)^Skills!K9</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1459=TRUE)*(F1459-Calc!F20)),(Inputs!$B$23+0+(IF(ArtifactsInput!$M$15,CHOOSE(ArtifactsInput!$N$15+1,25,30,35,40,45,50)/100*(Inputs!$B$11-Inputs!$B$11),0))))/100+(Inputs!$B$23+0+(IF(ArtifactsInput!$M$15,CHOOSE(ArtifactsInput!$N$15+1,25,30,35,40,45,50)/100*(Inputs!$B$11-Inputs!$B$11),0)))/100)/2</f>
        <v/>
      </c>
      <c r="M1448">
        <f>L1448*(1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IF(B1474=0,0,O1448/B1474)</f>
        <v/>
      </c>
      <c r="Q1448">
        <f>IFERROR(1/(IF(Inputs!$B$38="pvp",15,MAX(0.1,Skills!D9-IF(Skills!E9=TRUE,Inputs!$B$32,0)))*(1-IF(AND(ArtifactsInput!$M$27,Inputs!$B$4="Chapter Hunt"),CHOOSE(ArtifactsInput!$N$27+1,20,24,28,32,36,40),0)/100)),0)</f>
        <v/>
      </c>
      <c r="R1448">
        <f>IF(AND(Inputs!$B$38&lt;&gt;"pvp",Inputs!$B$43&gt;0),IF(MAX(0,Inputs!$B$43-B1471)&lt;=0,0,(INT(MAX(0,Inputs!$B$43-B1471)/(IF(Inputs!$B$38="pvp",15,MAX(0.1,Skills!D9-IF(Skills!E9=TRUE,Inputs!$B$32,0)))*(1-IF(AND(ArtifactsInput!$M$27,Inputs!$B$4="Chapter Hunt"),CHOOSE(ArtifactsInput!$N$27+1,20,24,28,32,36,40),0)/100)))+1)),0)</f>
        <v/>
      </c>
      <c r="S1448">
        <f>IFERROR(O1448/N1448,0)</f>
        <v/>
      </c>
      <c r="T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$21+Skills!Q9+(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Skills!A10</f>
        <v/>
      </c>
      <c r="B1449">
        <f>Skills!B10</f>
        <v/>
      </c>
      <c r="C1449">
        <f>Inputs!$B$3&gt;=103</f>
        <v/>
      </c>
      <c r="D1449">
        <f>IF(Skills!C10=1,60+Inputs!$B$25+Inputs!$B$29,IF(Skills!C10=2,90+Inputs!$B$26+Inputs!$B$29,IF(Skills!C10=3,120+Inputs!$B$27+Inputs!$B$29,MAX(0,(Inputs!$B$3-100)*3)+Inputs!$B$28+Inputs!$B$29)))</f>
        <v/>
      </c>
      <c r="E1449">
        <f>INDEX(FactorTable!$B$2:$Y$301, MATCH(ROUND(MIN(300,MAX(1,D1449)),0), FactorTable!$A$2:$A$301,0), Skills!M10+1)</f>
        <v/>
      </c>
      <c r="F1449">
        <f>IF(Skills!N10=TRUE,(Skills!L10/10)*(E1449/1000),Skills!L10/10)+Skills!O10</f>
        <v/>
      </c>
      <c r="G1449">
        <f>Skills!G10*IF(Skills!H10&gt;0,Skills!I10/Skills!H10,1)</f>
        <v/>
      </c>
      <c r="H1449">
        <f>1-(1-Skills!J10/100)^Skills!K10</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1459=TRUE)*(F1459-Calc!F20)),(Inputs!$B$23+0+(IF(ArtifactsInput!$M$15,CHOOSE(ArtifactsInput!$N$15+1,25,30,35,40,45,50)/100*(Inputs!$B$11-Inputs!$B$11),0))))/100+(Inputs!$B$23+0+(IF(ArtifactsInput!$M$15,CHOOSE(ArtifactsInput!$N$15+1,25,30,35,40,45,50)/100*(Inputs!$B$11-Inputs!$B$11),0)))/100)/2</f>
        <v/>
      </c>
      <c r="M1449">
        <f>L1449*(1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IF(B1474=0,0,O1449/B1474)</f>
        <v/>
      </c>
      <c r="Q1449">
        <f>IFERROR(1/(IF(Inputs!$B$38="pvp",15,MAX(0.1,Skills!D10-IF(Skills!E10=TRUE,Inputs!$B$32,0)))*(1-IF(AND(ArtifactsInput!$M$27,Inputs!$B$4="Chapter Hunt"),CHOOSE(ArtifactsInput!$N$27+1,20,24,28,32,36,40),0)/100)),0)</f>
        <v/>
      </c>
      <c r="R1449">
        <f>IF(AND(Inputs!$B$38&lt;&gt;"pvp",Inputs!$B$43&gt;0),IF(MAX(0,Inputs!$B$43-B1471)&lt;=0,0,(INT(MAX(0,Inputs!$B$43-B1471)/(IF(Inputs!$B$38="pvp",15,MAX(0.1,Skills!D10-IF(Skills!E10=TRUE,Inputs!$B$32,0)))*(1-IF(AND(ArtifactsInput!$M$27,Inputs!$B$4="Chapter Hunt"),CHOOSE(ArtifactsInput!$N$27+1,20,24,28,32,36,40),0)/100)))+1)),0)</f>
        <v/>
      </c>
      <c r="S1449">
        <f>IFERROR(O1449/N1449,0)</f>
        <v/>
      </c>
      <c r="T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$21+Skills!Q10+(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Skills!A11</f>
        <v/>
      </c>
      <c r="B1450">
        <f>Skills!B11</f>
        <v/>
      </c>
      <c r="C1450">
        <f>Inputs!$B$3&gt;=113</f>
        <v/>
      </c>
      <c r="D1450">
        <f>IF(Skills!C11=1,60+Inputs!$B$25+Inputs!$B$29,IF(Skills!C11=2,90+Inputs!$B$26+Inputs!$B$29,IF(Skills!C11=3,120+Inputs!$B$27+Inputs!$B$29,MAX(0,(Inputs!$B$3-100)*3)+Inputs!$B$28+Inputs!$B$29)))</f>
        <v/>
      </c>
      <c r="E1450">
        <f>INDEX(FactorTable!$B$2:$Y$301, MATCH(ROUND(MIN(300,MAX(1,D1450)),0), FactorTable!$A$2:$A$301,0), Skills!M11+1)</f>
        <v/>
      </c>
      <c r="F1450">
        <f>IF(Skills!N11=TRUE,(Skills!L11/10)*(E1450/1000),Skills!L11/10)+Skills!O11</f>
        <v/>
      </c>
      <c r="G1450">
        <f>Skills!G11*IF(Skills!H11&gt;0,Skills!I11/Skills!H11,1)</f>
        <v/>
      </c>
      <c r="H1450">
        <f>1-(1-Skills!J11/100)^Skills!K11</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1459=TRUE)*(F1459-Calc!F20)),(Inputs!$B$23+0+(IF(ArtifactsInput!$M$15,CHOOSE(ArtifactsInput!$N$15+1,25,30,35,40,45,50)/100*(Inputs!$B$11-Inputs!$B$11),0))))/100+(Inputs!$B$23+0+(IF(ArtifactsInput!$M$15,CHOOSE(ArtifactsInput!$N$15+1,25,30,35,40,45,50)/100*(Inputs!$B$11-Inputs!$B$11),0)))/100)/2</f>
        <v/>
      </c>
      <c r="M1450">
        <f>L1450*(1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IF(B1474=0,0,O1450/B1474)</f>
        <v/>
      </c>
      <c r="Q1450">
        <f>IFERROR(1/(IF(Inputs!$B$38="pvp",15,MAX(0.1,Skills!D11-IF(Skills!E11=TRUE,Inputs!$B$32,0)))*(1-IF(AND(ArtifactsInput!$M$27,Inputs!$B$4="Chapter Hunt"),CHOOSE(ArtifactsInput!$N$27+1,20,24,28,32,36,40),0)/100)),0)</f>
        <v/>
      </c>
      <c r="R1450">
        <f>IF(AND(Inputs!$B$38&lt;&gt;"pvp",Inputs!$B$43&gt;0),IF(MAX(0,Inputs!$B$43-B1471)&lt;=0,0,(INT(MAX(0,Inputs!$B$43-B1471)/(IF(Inputs!$B$38="pvp",15,MAX(0.1,Skills!D11-IF(Skills!E11=TRUE,Inputs!$B$32,0)))*(1-IF(AND(ArtifactsInput!$M$27,Inputs!$B$4="Chapter Hunt"),CHOOSE(ArtifactsInput!$N$27+1,20,24,28,32,36,40),0)/100)))+1)),0)</f>
        <v/>
      </c>
      <c r="S1450">
        <f>IFERROR(O1450/N1450,0)</f>
        <v/>
      </c>
      <c r="T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$21+Skills!Q11+(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Skills!A12</f>
        <v/>
      </c>
      <c r="B1451">
        <f>Skills!B12</f>
        <v/>
      </c>
      <c r="C1451">
        <f>Inputs!$B$3&gt;=100</f>
        <v/>
      </c>
      <c r="D1451">
        <f>IF(Skills!C12=1,60+Inputs!$B$25+Inputs!$B$29,IF(Skills!C12=2,90+Inputs!$B$26+Inputs!$B$29,IF(Skills!C12=3,120+Inputs!$B$27+Inputs!$B$29,MAX(0,(Inputs!$B$3-100)*3)+Inputs!$B$28+Inputs!$B$29)))</f>
        <v/>
      </c>
      <c r="E1451">
        <f>INDEX(FactorTable!$B$2:$Y$301, MATCH(ROUND(MIN(300,MAX(1,D1451)),0), FactorTable!$A$2:$A$301,0), Skills!M12+1)</f>
        <v/>
      </c>
      <c r="F1451">
        <f>IF(Skills!N12=TRUE,(Skills!L12/10)*(E1451/1000),Skills!L12/10)+Skills!O12</f>
        <v/>
      </c>
      <c r="G1451" t="inlineStr"/>
      <c r="H1451" t="inlineStr"/>
      <c r="I1451" t="inlineStr">
        <is>
          <t>1</t>
        </is>
      </c>
      <c r="J1451" t="inlineStr"/>
      <c r="K1451" t="inlineStr"/>
      <c r="L1451" t="inlineStr"/>
      <c r="M1451" t="inlineStr"/>
      <c r="N1451" t="inlineStr"/>
      <c r="O1451" t="inlineStr"/>
      <c r="P1451" t="inlineStr"/>
      <c r="Q1451" t="inlineStr"/>
      <c r="R1451" t="inlineStr"/>
      <c r="S1451" t="inlineStr"/>
      <c r="T1451" t="inlineStr"/>
      <c r="V1451" t="inlineStr"/>
    </row>
    <row r="1452">
      <c r="A1452">
        <f>Skills!A13</f>
        <v/>
      </c>
      <c r="B1452">
        <f>Skills!B13</f>
        <v/>
      </c>
      <c r="C1452">
        <f>Inputs!$B$3&gt;=66</f>
        <v/>
      </c>
      <c r="D1452">
        <f>IF(Skills!C13=1,60+Inputs!$B$25+Inputs!$B$29,IF(Skills!C13=2,90+Inputs!$B$26+Inputs!$B$29,IF(Skills!C13=3,120+Inputs!$B$27+Inputs!$B$29,MAX(0,(Inputs!$B$3-100)*3)+Inputs!$B$28+Inputs!$B$29)))</f>
        <v/>
      </c>
      <c r="E1452">
        <f>INDEX(FactorTable!$B$2:$Y$301, MATCH(ROUND(MIN(300,MAX(1,D1452)),0), FactorTable!$A$2:$A$301,0), Skills!M13+1)</f>
        <v/>
      </c>
      <c r="F1452">
        <f>IF(Skills!N13=TRUE,(Skills!L13/10)*(E1452/1000),Skills!L13/10)+Skills!O13</f>
        <v/>
      </c>
      <c r="G1452">
        <f>Skills!G13*IF(Skills!H13&gt;0,Skills!I13/Skills!H13,1)</f>
        <v/>
      </c>
      <c r="H1452">
        <f>1-(1-Skills!J13/100)^Skills!K13</f>
        <v/>
      </c>
      <c r="I1452" t="inlineStr">
        <is>
          <t>1</t>
        </is>
      </c>
      <c r="J1452" t="inlineStr"/>
      <c r="K1452" t="inlineStr"/>
      <c r="L1452" t="inlineStr"/>
      <c r="M1452" t="inlineStr"/>
      <c r="N1452" t="inlineStr"/>
      <c r="O1452">
        <f>(1-Summary!$B$11)*T1452+Summary!$B$11*V1452</f>
        <v/>
      </c>
      <c r="P1452">
        <f>IF(B1474=0,0,O1452/B1474)</f>
        <v/>
      </c>
      <c r="Q1452" t="n">
        <v>0</v>
      </c>
      <c r="R1452" t="n">
        <v>0</v>
      </c>
      <c r="S1452">
        <f>IFERROR(O1452/N1452,0)</f>
        <v/>
      </c>
      <c r="T1452" t="n">
        <v>0</v>
      </c>
      <c r="V1452" t="n">
        <v>0</v>
      </c>
    </row>
    <row r="1453">
      <c r="A1453">
        <f>Skills!A14</f>
        <v/>
      </c>
      <c r="B1453">
        <f>Skills!B14</f>
        <v/>
      </c>
      <c r="C1453">
        <f>Inputs!$B$3&gt;=107</f>
        <v/>
      </c>
      <c r="D1453">
        <f>IF(Skills!C14=1,60+Inputs!$B$25+Inputs!$B$29,IF(Skills!C14=2,90+Inputs!$B$26+Inputs!$B$29,IF(Skills!C14=3,120+Inputs!$B$27+Inputs!$B$29,MAX(0,(Inputs!$B$3-100)*3)+Inputs!$B$28+Inputs!$B$29)))</f>
        <v/>
      </c>
      <c r="E1453">
        <f>INDEX(FactorTable!$B$2:$Y$301, MATCH(ROUND(MIN(300,MAX(1,D1453)),0), FactorTable!$A$2:$A$301,0), Skills!M14+1)</f>
        <v/>
      </c>
      <c r="F1453">
        <f>IF(Skills!N14=TRUE,(Skills!L14/10)*(E1453/1000),Skills!L14/10)+Skills!O14</f>
        <v/>
      </c>
      <c r="G1453">
        <f>Skills!G14*IF(Skills!H14&gt;0,Skills!I14/Skills!H14,1)</f>
        <v/>
      </c>
      <c r="H1453">
        <f>1-(1-Skills!J14/100)^Skills!K14</f>
        <v/>
      </c>
      <c r="I1453" t="inlineStr">
        <is>
          <t>1</t>
        </is>
      </c>
      <c r="J1453" t="inlineStr"/>
      <c r="K1453" t="inlineStr"/>
      <c r="L1453" t="inlineStr"/>
      <c r="M1453" t="inlineStr"/>
      <c r="N1453" t="inlineStr"/>
      <c r="O1453">
        <f>(1-Summary!$B$11)*T1453+Summary!$B$11*V1453</f>
        <v/>
      </c>
      <c r="P1453">
        <f>IF(B1474=0,0,O1453/B1474)</f>
        <v/>
      </c>
      <c r="Q1453" t="n">
        <v>0</v>
      </c>
      <c r="R1453" t="n">
        <v>0</v>
      </c>
      <c r="S1453">
        <f>IFERROR(O1453/N1453,0)</f>
        <v/>
      </c>
      <c r="T1453" t="n">
        <v>0</v>
      </c>
      <c r="V1453" t="n">
        <v>0</v>
      </c>
    </row>
    <row r="1454">
      <c r="A1454">
        <f>Skills!A15</f>
        <v/>
      </c>
      <c r="B1454">
        <f>Skills!B15</f>
        <v/>
      </c>
      <c r="C1454">
        <f>Inputs!$B$3&gt;=115</f>
        <v/>
      </c>
      <c r="D1454">
        <f>IF(Skills!C15=1,60+Inputs!$B$25+Inputs!$B$29,IF(Skills!C15=2,90+Inputs!$B$26+Inputs!$B$29,IF(Skills!C15=3,120+Inputs!$B$27+Inputs!$B$29,MAX(0,(Inputs!$B$3-100)*3)+Inputs!$B$28+Inputs!$B$29)))</f>
        <v/>
      </c>
      <c r="E1454">
        <f>INDEX(FactorTable!$B$2:$Y$301, MATCH(ROUND(MIN(300,MAX(1,D1454)),0), FactorTable!$A$2:$A$301,0), Skills!M15+1)</f>
        <v/>
      </c>
      <c r="F1454">
        <f>IF(Skills!N15=TRUE,(Skills!L15/10)*(E1454/1000),Skills!L15/10)+Skills!O15</f>
        <v/>
      </c>
      <c r="G1454">
        <f>Skills!G15*IF(Skills!H15&gt;0,Skills!I15/Skills!H15,1)</f>
        <v/>
      </c>
      <c r="H1454">
        <f>1-(1-Skills!J15/100)^Skills!K15</f>
        <v/>
      </c>
      <c r="I1454" t="inlineStr">
        <is>
          <t>1</t>
        </is>
      </c>
      <c r="J1454" t="inlineStr"/>
      <c r="K1454" t="inlineStr"/>
      <c r="L1454" t="inlineStr"/>
      <c r="M1454" t="inlineStr"/>
      <c r="N1454" t="inlineStr"/>
      <c r="O1454">
        <f>(1-Summary!$B$11)*T1454+Summary!$B$11*V1454</f>
        <v/>
      </c>
      <c r="P1454">
        <f>IF(B1474=0,0,O1454/B1474)</f>
        <v/>
      </c>
      <c r="Q1454" t="n">
        <v>0</v>
      </c>
      <c r="R1454" t="n">
        <v>0</v>
      </c>
      <c r="S1454">
        <f>IFERROR(O1454/N1454,0)</f>
        <v/>
      </c>
      <c r="T1454" t="n">
        <v>0</v>
      </c>
      <c r="V1454" t="n">
        <v>0</v>
      </c>
    </row>
    <row r="1455">
      <c r="A1455">
        <f>Skills!A16</f>
        <v/>
      </c>
      <c r="B1455">
        <f>Skills!B16</f>
        <v/>
      </c>
      <c r="C1455">
        <f>Inputs!$B$3&gt;=15</f>
        <v/>
      </c>
      <c r="D1455">
        <f>IF(Skills!C16=1,60+Inputs!$B$25+Inputs!$B$29,IF(Skills!C16=2,90+Inputs!$B$26+Inputs!$B$29,IF(Skills!C16=3,120+Inputs!$B$27+Inputs!$B$29,MAX(0,(Inputs!$B$3-100)*3)+Inputs!$B$28+Inputs!$B$29)))</f>
        <v/>
      </c>
      <c r="E1455">
        <f>INDEX(FactorTable!$B$2:$Y$301, MATCH(ROUND(MIN(300,MAX(1,D1455)),0), FactorTable!$A$2:$A$301,0), Skills!M16+1)</f>
        <v/>
      </c>
      <c r="F1455">
        <f>IF(Skills!N16=TRUE,(Skills!L16/10)*(E1455/1000),Skills!L16/10)+Skills!O16</f>
        <v/>
      </c>
      <c r="G1455">
        <f>Skills!G16*IF(Skills!H16&gt;0,Skills!I16/Skills!H16,1)</f>
        <v/>
      </c>
      <c r="H1455">
        <f>1-(1-Skills!J16/100)^Skills!K16</f>
        <v/>
      </c>
      <c r="I1455" t="inlineStr">
        <is>
          <t>1</t>
        </is>
      </c>
      <c r="J1455" t="inlineStr"/>
      <c r="K1455" t="inlineStr"/>
      <c r="L1455" t="inlineStr"/>
      <c r="M1455" t="inlineStr"/>
      <c r="N1455" t="inlineStr"/>
      <c r="O1455">
        <f>(1-Summary!$B$11)*T1455+Summary!$B$11*V1455</f>
        <v/>
      </c>
      <c r="P1455">
        <f>IF(B1474=0,0,O1455/B1474)</f>
        <v/>
      </c>
      <c r="Q1455" t="n">
        <v>0</v>
      </c>
      <c r="R1455" t="n">
        <v>0</v>
      </c>
      <c r="S1455">
        <f>IFERROR(O1455/N1455,0)</f>
        <v/>
      </c>
      <c r="T1455" t="n">
        <v>0</v>
      </c>
      <c r="V1455" t="n">
        <v>0</v>
      </c>
    </row>
    <row r="1456">
      <c r="A1456">
        <f>Skills!A17</f>
        <v/>
      </c>
      <c r="B1456">
        <f>Skills!B17</f>
        <v/>
      </c>
      <c r="C1456">
        <f>Inputs!$B$3&gt;=10</f>
        <v/>
      </c>
      <c r="D1456">
        <f>IF(Skills!C17=1,60+Inputs!$B$25+Inputs!$B$29,IF(Skills!C17=2,90+Inputs!$B$26+Inputs!$B$29,IF(Skills!C17=3,120+Inputs!$B$27+Inputs!$B$29,MAX(0,(Inputs!$B$3-100)*3)+Inputs!$B$28+Inputs!$B$29)))</f>
        <v/>
      </c>
      <c r="E1456">
        <f>INDEX(FactorTable!$B$2:$Y$301, MATCH(ROUND(MIN(300,MAX(1,D1456)),0), FactorTable!$A$2:$A$301,0), Skills!M17+1)</f>
        <v/>
      </c>
      <c r="F1456">
        <f>IF(Skills!N17=TRUE,(Skills!L17/10)*(E1456/1000),Skills!L17/10)+Skills!O17</f>
        <v/>
      </c>
      <c r="G1456">
        <f>Skills!G17*IF(Skills!H17&gt;0,Skills!I17/Skills!H17,1)</f>
        <v/>
      </c>
      <c r="H1456">
        <f>1-(1-Skills!J17/100)^Skills!K17</f>
        <v/>
      </c>
      <c r="I1456" t="inlineStr">
        <is>
          <t>1</t>
        </is>
      </c>
      <c r="J1456" t="inlineStr"/>
      <c r="K1456" t="inlineStr"/>
      <c r="L1456" t="inlineStr"/>
      <c r="M1456" t="inlineStr"/>
      <c r="N1456" t="inlineStr"/>
      <c r="O1456">
        <f>(1-Summary!$B$11)*T1456+Summary!$B$11*V1456</f>
        <v/>
      </c>
      <c r="P1456">
        <f>IF(B1474=0,0,O1456/B1474)</f>
        <v/>
      </c>
      <c r="Q1456" t="n">
        <v>0</v>
      </c>
      <c r="R1456" t="n">
        <v>0</v>
      </c>
      <c r="S1456">
        <f>IFERROR(O1456/N1456,0)</f>
        <v/>
      </c>
      <c r="T1456" t="n">
        <v>0</v>
      </c>
      <c r="V1456" t="n">
        <v>0</v>
      </c>
    </row>
    <row r="1457">
      <c r="A1457">
        <f>Skills!A18</f>
        <v/>
      </c>
      <c r="B1457">
        <f>Skills!B18</f>
        <v/>
      </c>
      <c r="C1457">
        <f>Inputs!$B$3&gt;=33</f>
        <v/>
      </c>
      <c r="D1457">
        <f>IF(Skills!C18=1,60+Inputs!$B$25+Inputs!$B$29,IF(Skills!C18=2,90+Inputs!$B$26+Inputs!$B$29,IF(Skills!C18=3,120+Inputs!$B$27+Inputs!$B$29,MAX(0,(Inputs!$B$3-100)*3)+Inputs!$B$28+Inputs!$B$29)))</f>
        <v/>
      </c>
      <c r="E1457">
        <f>INDEX(FactorTable!$B$2:$Y$301, MATCH(ROUND(MIN(300,MAX(1,D1457)),0), FactorTable!$A$2:$A$301,0), Skills!M18+1)</f>
        <v/>
      </c>
      <c r="F1457">
        <f>IF(Skills!N18=TRUE,(Skills!L18/10)*(E1457/1000),Skills!L18/10)+Skills!O18</f>
        <v/>
      </c>
      <c r="G1457">
        <f>Skills!G18*IF(Skills!H18&gt;0,Skills!I18/Skills!H18,1)</f>
        <v/>
      </c>
      <c r="H1457">
        <f>1-(1-Skills!J18/100)^Skills!K18</f>
        <v/>
      </c>
      <c r="I1457" t="inlineStr">
        <is>
          <t>1</t>
        </is>
      </c>
      <c r="J1457" t="inlineStr"/>
      <c r="K1457" t="inlineStr"/>
      <c r="L1457" t="inlineStr"/>
      <c r="M1457" t="inlineStr"/>
      <c r="N1457" t="inlineStr"/>
      <c r="O1457">
        <f>(1-Summary!$B$11)*T1457+Summary!$B$11*V1457</f>
        <v/>
      </c>
      <c r="P1457">
        <f>IF(B1474=0,0,O1457/B1474)</f>
        <v/>
      </c>
      <c r="Q1457" t="n">
        <v>0</v>
      </c>
      <c r="R1457" t="n">
        <v>0</v>
      </c>
      <c r="S1457">
        <f>IFERROR(O1457/N1457,0)</f>
        <v/>
      </c>
      <c r="T1457" t="n">
        <v>0</v>
      </c>
      <c r="V1457" t="n">
        <v>0</v>
      </c>
    </row>
    <row r="1458">
      <c r="A1458">
        <f>Skills!A19</f>
        <v/>
      </c>
      <c r="B1458">
        <f>Skills!B19</f>
        <v/>
      </c>
      <c r="C1458">
        <f>Inputs!$B$3&gt;=40</f>
        <v/>
      </c>
      <c r="D1458">
        <f>IF(Skills!C19=1,60+Inputs!$B$25+Inputs!$B$29,IF(Skills!C19=2,90+Inputs!$B$26+Inputs!$B$29,IF(Skills!C19=3,120+Inputs!$B$27+Inputs!$B$29,MAX(0,(Inputs!$B$3-100)*3)+Inputs!$B$28+Inputs!$B$29)))</f>
        <v/>
      </c>
      <c r="E1458">
        <f>INDEX(FactorTable!$B$2:$Y$301, MATCH(ROUND(MIN(300,MAX(1,D1458)),0), FactorTable!$A$2:$A$301,0), Skills!M19+1)</f>
        <v/>
      </c>
      <c r="F1458">
        <f>IF(Skills!N19=TRUE,(Skills!L19/10)*(E1458/1000),Skills!L19/10)+Skills!O19</f>
        <v/>
      </c>
      <c r="G1458">
        <f>Skills!G19*IF(Skills!H19&gt;0,Skills!I19/Skills!H19,1)</f>
        <v/>
      </c>
      <c r="H1458">
        <f>1-(1-Skills!J19/100)^Skills!K19</f>
        <v/>
      </c>
      <c r="I1458" t="inlineStr">
        <is>
          <t>1</t>
        </is>
      </c>
      <c r="J1458" t="inlineStr"/>
      <c r="K1458" t="inlineStr"/>
      <c r="L1458" t="inlineStr"/>
      <c r="M1458" t="inlineStr"/>
      <c r="N1458" t="inlineStr"/>
      <c r="O1458">
        <f>(1-Summary!$B$11)*T1458+Summary!$B$11*V1458</f>
        <v/>
      </c>
      <c r="P1458">
        <f>IF(B1474=0,0,O1458/B1474)</f>
        <v/>
      </c>
      <c r="Q1458" t="n">
        <v>0</v>
      </c>
      <c r="R1458" t="n">
        <v>0</v>
      </c>
      <c r="S1458">
        <f>IFERROR(O1458/N1458,0)</f>
        <v/>
      </c>
      <c r="T1458" t="n">
        <v>0</v>
      </c>
      <c r="V1458" t="n">
        <v>0</v>
      </c>
    </row>
    <row r="1459">
      <c r="A1459">
        <f>Skills!A20</f>
        <v/>
      </c>
      <c r="B1459">
        <f>Skills!B20</f>
        <v/>
      </c>
      <c r="C1459">
        <f>Inputs!$B$3&gt;=43</f>
        <v/>
      </c>
      <c r="D1459">
        <f>IF(Skills!C20=1,60+Inputs!$B$25+Inputs!$B$29,IF(Skills!C20=2,90+Inputs!$B$26+Inputs!$B$29,IF(Skills!C20=3,120+Inputs!$B$27+Inputs!$B$29,MAX(0,(Inputs!$B$3-100)*3)+Inputs!$B$28+Inputs!$B$29)))</f>
        <v/>
      </c>
      <c r="E1459">
        <f>INDEX(FactorTable!$B$2:$Y$301, MATCH(ROUND(MIN(300,MAX(1,D1459)),0), FactorTable!$A$2:$A$301,0), Skills!M20+1)</f>
        <v/>
      </c>
      <c r="F1459">
        <f>IF(Skills!N20=TRUE,(Skills!L20/10)*(E1459/1000),Skills!L20/10)+Skills!O20</f>
        <v/>
      </c>
      <c r="G1459">
        <f>Skills!G20*IF(Skills!H20&gt;0,Skills!I20/Skills!H20,1)</f>
        <v/>
      </c>
      <c r="H1459">
        <f>1-(1-Skills!J20/100)^Skills!K20</f>
        <v/>
      </c>
      <c r="I1459" t="inlineStr">
        <is>
          <t>1</t>
        </is>
      </c>
      <c r="J1459" t="inlineStr"/>
      <c r="K1459" t="inlineStr"/>
      <c r="L1459" t="inlineStr"/>
      <c r="M1459" t="inlineStr"/>
      <c r="N1459" t="inlineStr"/>
      <c r="O1459">
        <f>(1-Summary!$B$11)*T1459+Summary!$B$11*V1459</f>
        <v/>
      </c>
      <c r="P1459">
        <f>IF(B1474=0,0,O1459/B1474)</f>
        <v/>
      </c>
      <c r="Q1459" t="n">
        <v>0</v>
      </c>
      <c r="R1459" t="n">
        <v>0</v>
      </c>
      <c r="S1459">
        <f>IFERROR(O1459/N1459,0)</f>
        <v/>
      </c>
      <c r="T1459" t="n">
        <v>0</v>
      </c>
      <c r="V1459" t="n">
        <v>0</v>
      </c>
    </row>
    <row r="1460">
      <c r="A1460">
        <f>Skills!A21</f>
        <v/>
      </c>
      <c r="B1460">
        <f>Skills!B21</f>
        <v/>
      </c>
      <c r="C1460">
        <f>Inputs!$B$3&gt;=38</f>
        <v/>
      </c>
      <c r="D1460">
        <f>IF(Skills!C21=1,60+Inputs!$B$25+Inputs!$B$29,IF(Skills!C21=2,90+Inputs!$B$26+Inputs!$B$29,IF(Skills!C21=3,120+Inputs!$B$27+Inputs!$B$29,MAX(0,(Inputs!$B$3-100)*3)+Inputs!$B$28+Inputs!$B$29)))</f>
        <v/>
      </c>
      <c r="E1460">
        <f>INDEX(FactorTable!$B$2:$Y$301, MATCH(ROUND(MIN(300,MAX(1,D1460)),0), FactorTable!$A$2:$A$301,0), Skills!M21+1)</f>
        <v/>
      </c>
      <c r="F1460">
        <f>IF(Skills!N21=TRUE,(Skills!L21/10)*(E1460/1000),Skills!L21/10)+Skills!O21</f>
        <v/>
      </c>
      <c r="G1460">
        <f>Skills!G21*IF(Skills!H21&gt;0,Skills!I21/Skills!H21,1)</f>
        <v/>
      </c>
      <c r="H1460">
        <f>1-(1-Skills!J21/100)^Skills!K21</f>
        <v/>
      </c>
      <c r="I1460" t="inlineStr">
        <is>
          <t>1</t>
        </is>
      </c>
      <c r="J1460" t="inlineStr"/>
      <c r="K1460" t="inlineStr"/>
      <c r="L1460" t="inlineStr"/>
      <c r="M1460" t="inlineStr"/>
      <c r="N1460" t="inlineStr"/>
      <c r="O1460">
        <f>(1-Summary!$B$11)*T1460+Summary!$B$11*V1460</f>
        <v/>
      </c>
      <c r="P1460">
        <f>IF(B1474=0,0,O1460/B1474)</f>
        <v/>
      </c>
      <c r="Q1460" t="n">
        <v>0</v>
      </c>
      <c r="R1460" t="n">
        <v>0</v>
      </c>
      <c r="S1460">
        <f>IFERROR(O1460/N1460,0)</f>
        <v/>
      </c>
      <c r="T1460" t="n">
        <v>0</v>
      </c>
      <c r="V1460" t="n">
        <v>0</v>
      </c>
    </row>
    <row r="1461">
      <c r="A1461">
        <f>Skills!A22</f>
        <v/>
      </c>
      <c r="B1461">
        <f>Skills!B22</f>
        <v/>
      </c>
      <c r="C1461">
        <f>Inputs!$B$3&gt;=75</f>
        <v/>
      </c>
      <c r="D1461">
        <f>IF(Skills!C22=1,60+Inputs!$B$25+Inputs!$B$29,IF(Skills!C22=2,90+Inputs!$B$26+Inputs!$B$29,IF(Skills!C22=3,120+Inputs!$B$27+Inputs!$B$29,MAX(0,(Inputs!$B$3-100)*3)+Inputs!$B$28+Inputs!$B$29)))</f>
        <v/>
      </c>
      <c r="E1461">
        <f>INDEX(FactorTable!$B$2:$Y$301, MATCH(ROUND(MIN(300,MAX(1,D1461)),0), FactorTable!$A$2:$A$301,0), Skills!M22+1)</f>
        <v/>
      </c>
      <c r="F1461">
        <f>IF(Skills!N22=TRUE,(Skills!L22/10)*(E1461/1000),Skills!L22/10)+Skills!O22</f>
        <v/>
      </c>
      <c r="G1461">
        <f>Skills!G22*IF(Skills!H22&gt;0,Skills!I22/Skills!H22,1)</f>
        <v/>
      </c>
      <c r="H1461">
        <f>1-(1-Skills!J22/100)^Skills!K22</f>
        <v/>
      </c>
      <c r="I1461" t="inlineStr">
        <is>
          <t>1</t>
        </is>
      </c>
      <c r="J1461" t="inlineStr"/>
      <c r="K1461" t="inlineStr"/>
      <c r="L1461" t="inlineStr"/>
      <c r="M1461" t="inlineStr"/>
      <c r="N1461" t="inlineStr"/>
      <c r="O1461">
        <f>(1-Summary!$B$11)*T1461+Summary!$B$11*V1461</f>
        <v/>
      </c>
      <c r="P1461">
        <f>IF(B1474=0,0,O1461/B1474)</f>
        <v/>
      </c>
      <c r="Q1461" t="n">
        <v>0</v>
      </c>
      <c r="R1461" t="n">
        <v>0</v>
      </c>
      <c r="S1461">
        <f>IFERROR(O1461/N1461,0)</f>
        <v/>
      </c>
      <c r="T1461" t="n">
        <v>0</v>
      </c>
      <c r="V1461" t="n">
        <v>0</v>
      </c>
    </row>
    <row r="1463">
      <c r="A1463" t="inlineStr">
        <is>
          <t>Attack% Bucket Multiplier</t>
        </is>
      </c>
      <c r="B1463">
        <f>(1+(((C1452=TRUE)*F1452)+((C1458=TRUE)*(F1458-Calc!F19))+(IF(ArtifactsInput!$M$21,CHOOSE(ArtifactsInput!$N$21+1,25,30,35,40,45,50)*(IF(OR(Inputs!$B$4="Chapter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4">
      <c r="A1464" t="inlineStr">
        <is>
          <t>Global Crit Rate Bonus %</t>
        </is>
      </c>
      <c r="B1464" t="n">
        <v>0</v>
      </c>
    </row>
    <row r="1465">
      <c r="A1465" t="inlineStr">
        <is>
          <t>Attack Speed Buff Bonus % (unused)</t>
        </is>
      </c>
      <c r="B1465" t="n">
        <v>0</v>
      </c>
    </row>
    <row r="1466">
      <c r="A1466" t="inlineStr">
        <is>
          <t>Actions Per Second</t>
        </is>
      </c>
      <c r="B1466">
        <f>1+MIN(150,150*(1-(1-(Inputs!$B$11+((C1456=TRUE)*(F1456-Calc!F17))+((C1457=TRUE)*(F1457-Calc!F18)))/150)*(1-B1465/150)))/100</f>
        <v/>
      </c>
    </row>
    <row r="1467">
      <c r="A1467" t="inlineStr">
        <is>
          <t>Skill + Buff Cast Rate</t>
        </is>
      </c>
      <c r="B1467">
        <f>IF(AND(Inputs!$B$38&lt;&gt;"pvp",Inputs!$B$43&gt;0),SUMPRODUCT((Skills!E2:E22=TRUE)*(C1441:C1461=TRUE)*R1441:R1461*Skills!F2:F22)/Inputs!$B$43,SUMPRODUCT((Skills!E2:E22=TRUE)*(C1441:C1461=TRUE)*Q1441:Q1461*Skills!F2:F22))</f>
        <v/>
      </c>
    </row>
    <row r="1468">
      <c r="A1468" t="inlineStr">
        <is>
          <t>Hook Bomber Casts Per Second</t>
        </is>
      </c>
      <c r="B1468">
        <f>MAX(0,B1466-B1467)</f>
        <v/>
      </c>
    </row>
    <row r="1469">
      <c r="A1469" t="inlineStr">
        <is>
          <t>Global Critical Damage Bonus % (unused)</t>
        </is>
      </c>
      <c r="B1469" t="n">
        <v>0</v>
      </c>
    </row>
    <row r="1470">
      <c r="A1470" t="inlineStr">
        <is>
          <t>Global Final Damage Bonus % (Serpent Scale + Crossbones + Time Leap + Speed Infusion)</t>
        </is>
      </c>
      <c r="B1470">
        <f>((C1444=TRUE)*F1444*((10+IF(Inputs!$B$3&gt;=94,5,0))/((10+IF(Inputs!$B$3&gt;=94,5,0))+5/(B1468*(1+IF(Inputs!$B$3&gt;=104,1,0))))))+((C1453=TRUE)*F1453)+((C1454=TRUE)*F1454)+((Inputs!$B$3&gt;=110)*20*(B1466-1))</f>
        <v/>
      </c>
    </row>
    <row r="1471">
      <c r="A1471" t="inlineStr">
        <is>
          <t>Buff-Casting Startup Delay (s, fixed-duration only)</t>
        </is>
      </c>
      <c r="B1471">
        <f>IF(AND(Inputs!$B$38&lt;&gt;"pvp",Inputs!$B$43&gt;0),SUMPRODUCT((Skills!T2:T22&gt;0)*(Skills!E2:E22=TRUE)*(C1441:C1461=TRUE))/B1466,0)</f>
        <v/>
      </c>
    </row>
    <row r="1472">
      <c r="A1472" t="inlineStr">
        <is>
          <t>Boss-Only Total DPS (this block's swept value)</t>
        </is>
      </c>
      <c r="B1472">
        <f>SUM(T1441:T1461)</f>
        <v/>
      </c>
    </row>
    <row r="1473">
      <c r="A1473" t="inlineStr">
        <is>
          <t>Normal-Only Total DPS (this block's swept value)</t>
        </is>
      </c>
      <c r="B1473">
        <f>SUM(V1441:V1461)</f>
        <v/>
      </c>
    </row>
    <row r="1474">
      <c r="A1474" s="6" t="inlineStr">
        <is>
          <t>TOTAL DPS</t>
        </is>
      </c>
      <c r="B1474" s="6">
        <f>SUM(O1441:O1461)</f>
        <v/>
      </c>
    </row>
    <row r="1477">
      <c r="A1477" s="6" t="inlineStr">
        <is>
          <t>Stat: Horntail's Scale (Equip)</t>
        </is>
      </c>
    </row>
    <row r="1478">
      <c r="A1478" s="5" t="inlineStr">
        <is>
          <t>Key</t>
        </is>
      </c>
      <c r="B1478" s="5" t="inlineStr">
        <is>
          <t>Name</t>
        </is>
      </c>
      <c r="C1478" s="5" t="inlineStr">
        <is>
          <t>Unlocked</t>
        </is>
      </c>
      <c r="D1478" s="5" t="inlineStr">
        <is>
          <t>InputLevel</t>
        </is>
      </c>
      <c r="E1478" s="5" t="inlineStr">
        <is>
          <t>Factor</t>
        </is>
      </c>
      <c r="F1478" s="5" t="inlineStr">
        <is>
          <t>CoefficientPercent</t>
        </is>
      </c>
      <c r="G1478" s="5" t="inlineStr">
        <is>
          <t>EffectiveHits</t>
        </is>
      </c>
      <c r="H1478" s="5" t="inlineStr">
        <is>
          <t>ProcProbability</t>
        </is>
      </c>
      <c r="I1478" s="5" t="inlineStr">
        <is>
          <t>MapleHeroMultiplier</t>
        </is>
      </c>
      <c r="J1478" s="5" t="inlineStr">
        <is>
          <t>BaseDamage</t>
        </is>
      </c>
      <c r="K1478" s="5" t="inlineStr">
        <is>
          <t>BaseHitDamage</t>
        </is>
      </c>
      <c r="L1478" s="5" t="inlineStr">
        <is>
          <t>NonCritAvg</t>
        </is>
      </c>
      <c r="M1478" s="5" t="inlineStr">
        <is>
          <t>CritAvg</t>
        </is>
      </c>
      <c r="N1478" s="5" t="inlineStr">
        <is>
          <t>ExpectedDamage(perHit)</t>
        </is>
      </c>
      <c r="O1478" s="5" t="inlineStr">
        <is>
          <t>DPS</t>
        </is>
      </c>
      <c r="P1478" s="5" t="inlineStr">
        <is>
          <t>% of Total</t>
        </is>
      </c>
      <c r="Q1478" s="5" t="inlineStr">
        <is>
          <t>InvCooldown</t>
        </is>
      </c>
      <c r="R1478" s="5" t="inlineStr">
        <is>
          <t>CastsInFight</t>
        </is>
      </c>
      <c r="S1478" s="5" t="inlineStr">
        <is>
          <t>HitRate(perSec)</t>
        </is>
      </c>
      <c r="U1478" t="inlineStr">
        <is>
          <t>helpers</t>
        </is>
      </c>
    </row>
    <row r="1479">
      <c r="A1479">
        <f>Skills!A2</f>
        <v/>
      </c>
      <c r="B1479">
        <f>Skills!B2</f>
        <v/>
      </c>
      <c r="C1479">
        <f>Inputs!$B$3&gt;=100</f>
        <v/>
      </c>
      <c r="D1479" t="inlineStr"/>
      <c r="E1479" t="inlineStr"/>
      <c r="F1479">
        <f>U1481+Skills!O2</f>
        <v/>
      </c>
      <c r="G1479">
        <f>Skills!G2*IF(Skills!H2&gt;0,Skills!I2/Skills!H2,1)</f>
        <v/>
      </c>
      <c r="H1479">
        <f>1-(1-Skills!J2/100)^Skills!K2</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1497=TRUE)*(F1497-Calc!F20)),(Inputs!$B$23+0+(IF(ArtifactsInput!$M$15,CHOOSE(ArtifactsInput!$N$15+1,25,30,35,40,45,50)/100*(Inputs!$B$11-Inputs!$B$11),0))))/100+(Inputs!$B$23+0+(IF(ArtifactsInput!$M$15,CHOOSE(ArtifactsInput!$N$15+1,25,30,35,40,45,50)/100*(Inputs!$B$11-Inputs!$B$11),0)))/100)/2</f>
        <v/>
      </c>
      <c r="M1479">
        <f>L1479*(1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IF(B1512=0,0,O1479/B1512)</f>
        <v/>
      </c>
      <c r="Q1479" t="n">
        <v>0</v>
      </c>
      <c r="R1479" t="n">
        <v>0</v>
      </c>
      <c r="S1479">
        <f>IFERROR(O1479/N1479,0)</f>
        <v/>
      </c>
      <c r="T1479">
        <f>IF(C1479,(Skills!G2*N1479*B1506)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MAX(0,(Inputs!$B$3-100)*3)+Inputs!$B$28+Inputs!$B$29</f>
        <v/>
      </c>
      <c r="V1479">
        <f>IF(C1479,(Skills!G2*N1479*B1506)*IF(Inputs!$B$38="pvp",1,(1+(Inputs!$B$21+Skills!Q2+(IF(ArtifactsInput!$M$33,CHOOSE(ArtifactsInput!$N$33+1,30,36,42,48,54,60),0))+(IF(AND(ArtifactsInput!$M$35,Inputs!$B$4&lt;&gt;"Chapter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Skills!A3</f>
        <v/>
      </c>
      <c r="B1480">
        <f>Skills!B3</f>
        <v/>
      </c>
      <c r="C1480">
        <f>Inputs!$B$3&gt;=35</f>
        <v/>
      </c>
      <c r="D1480">
        <f>IF(Skills!C3=1,60+Inputs!$B$25+Inputs!$B$29,IF(Skills!C3=2,90+Inputs!$B$26+Inputs!$B$29,IF(Skills!C3=3,120+Inputs!$B$27+Inputs!$B$29,MAX(0,(Inputs!$B$3-100)*3)+Inputs!$B$28+Inputs!$B$29)))</f>
        <v/>
      </c>
      <c r="E1480">
        <f>INDEX(FactorTable!$B$2:$Y$301, MATCH(ROUND(MIN(300,MAX(1,D1480)),0), FactorTable!$A$2:$A$301,0), Skills!M3+1)</f>
        <v/>
      </c>
      <c r="F1480">
        <f>IF(Skills!N3=TRUE,(Skills!L3/10)*(E1480/1000),Skills!L3/10)+Skills!O3</f>
        <v/>
      </c>
      <c r="G1480">
        <f>Skills!G3*IF(Skills!H3&gt;0,Skills!I3/Skills!H3,1)</f>
        <v/>
      </c>
      <c r="H1480">
        <f>1-(1-Skills!J3/100)^Skills!K3</f>
        <v/>
      </c>
      <c r="I1480" t="inlineStr">
        <is>
          <t>1</t>
        </is>
      </c>
      <c r="J1480">
        <f>((Inputs!$B$6*(1+Inputs!$B$7/100))+(((Inputs!$B$12*(1+Inputs!$B$13/100))-(Inputs!$B$12*(1+Inputs!$B$13/100)))+0.25*(Inputs!$B$14-Inputs!$B$14))*(1+Inputs!$B$7/100))*(F1480/100)</f>
        <v/>
      </c>
      <c r="K1480">
        <f>J1480*(1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1497=TRUE)*(F1497-Calc!F20)),(Inputs!$B$23+0+(IF(ArtifactsInput!$M$15,CHOOSE(ArtifactsInput!$N$15+1,25,30,35,40,45,50)/100*(Inputs!$B$11-Inputs!$B$11),0))))/100+(Inputs!$B$23+0+(IF(ArtifactsInput!$M$15,CHOOSE(ArtifactsInput!$N$15+1,25,30,35,40,45,50)/100*(Inputs!$B$11-Inputs!$B$11),0)))/100)/2</f>
        <v/>
      </c>
      <c r="M1480">
        <f>L1480*(1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IF(B1512=0,0,O1480/B1512)</f>
        <v/>
      </c>
      <c r="Q1480" t="n">
        <v>0</v>
      </c>
      <c r="R1480" t="n">
        <v>0</v>
      </c>
      <c r="S1480">
        <f>IFERROR(O1480/N1480,0)</f>
        <v/>
      </c>
      <c r="T1480">
        <f>IF(C1480,(Skills!G3*H1480*N1480*B1506)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INDEX(FactorTable!$B$2:$Y$301, MATCH(ROUND(MIN(300,MAX(1,U1479)),0), FactorTable!$A$2:$A$301,0), 22)</f>
        <v/>
      </c>
      <c r="V1480">
        <f>IF(C1480,(Skills!G3*H1480*N1480*B1506)*IF(Inputs!$B$38="pvp",1,(1+(Inputs!$B$21+Skills!Q3+(IF(ArtifactsInput!$M$33,CHOOSE(ArtifactsInput!$N$33+1,30,36,42,48,54,60),0))+(IF(AND(ArtifactsInput!$M$35,Inputs!$B$4&lt;&gt;"Chapter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Skills!A4</f>
        <v/>
      </c>
      <c r="B1481">
        <f>Skills!B4</f>
        <v/>
      </c>
      <c r="C1481">
        <f>Inputs!$B$3&gt;=60</f>
        <v/>
      </c>
      <c r="D1481">
        <f>IF(Skills!C4=1,60+Inputs!$B$25+Inputs!$B$29,IF(Skills!C4=2,90+Inputs!$B$26+Inputs!$B$29,IF(Skills!C4=3,120+Inputs!$B$27+Inputs!$B$29,MAX(0,(Inputs!$B$3-100)*3)+Inputs!$B$28+Inputs!$B$29)))</f>
        <v/>
      </c>
      <c r="E1481">
        <f>INDEX(FactorTable!$B$2:$Y$301, MATCH(ROUND(MIN(300,MAX(1,D1481)),0), FactorTable!$A$2:$A$301,0), Skills!M4+1)</f>
        <v/>
      </c>
      <c r="F1481">
        <f>IF(Skills!N4=TRUE,(Skills!L4/10)*(E1481/1000),Skills!L4/10)+Skills!O4</f>
        <v/>
      </c>
      <c r="G1481">
        <f>Skills!G4*IF(Skills!H4&gt;0,Skills!I4/Skills!H4,1)</f>
        <v/>
      </c>
      <c r="H1481">
        <f>1-(1-Skills!J4/100)^Skills!K4</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1489=TRUE,F1489,0)/100)*(1+(IF(Skills!A4="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1497=TRUE)*(F1497-Calc!F20)),(Inputs!$B$23+0+(IF(ArtifactsInput!$M$15,CHOOSE(ArtifactsInput!$N$15+1,25,30,35,40,45,50)/100*(Inputs!$B$11-Inputs!$B$11),0))))/100+(Inputs!$B$23+0+(IF(ArtifactsInput!$M$15,CHOOSE(ArtifactsInput!$N$15+1,25,30,35,40,45,50)/100*(Inputs!$B$11-Inputs!$B$11),0)))/100)/2</f>
        <v/>
      </c>
      <c r="M1481">
        <f>L1481*(1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IF(B1512=0,0,O1481/B1512)</f>
        <v/>
      </c>
      <c r="Q1481" t="n">
        <v>0</v>
      </c>
      <c r="R1481" t="n">
        <v>0</v>
      </c>
      <c r="S1481">
        <f>IFERROR(O1481/N1481,0)</f>
        <v/>
      </c>
      <c r="T1481">
        <f>IF(C1481,(Skills!G4*H1481*N1481*B1506)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290*U1480/1000</f>
        <v/>
      </c>
      <c r="V1481">
        <f>IF(C1481,(Skills!G4*H1481*N1481*B1506)*IF(Inputs!$B$38="pvp",1,(1+(Inputs!$B$21+Skills!Q4+(IF(ArtifactsInput!$M$33,CHOOSE(ArtifactsInput!$N$33+1,30,36,42,48,54,60),0))+(IF(AND(ArtifactsInput!$M$35,Inputs!$B$4&lt;&gt;"Chapter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Skills!A5</f>
        <v/>
      </c>
      <c r="B1482">
        <f>Skills!B5</f>
        <v/>
      </c>
      <c r="C1482">
        <f>Inputs!$B$3&gt;=60</f>
        <v/>
      </c>
      <c r="D1482">
        <f>IF(Skills!C5=1,60+Inputs!$B$25+Inputs!$B$29,IF(Skills!C5=2,90+Inputs!$B$26+Inputs!$B$29,IF(Skills!C5=3,120+Inputs!$B$27+Inputs!$B$29,MAX(0,(Inputs!$B$3-100)*3)+Inputs!$B$28+Inputs!$B$29)))</f>
        <v/>
      </c>
      <c r="E1482">
        <f>INDEX(FactorTable!$B$2:$Y$301, MATCH(ROUND(MIN(300,MAX(1,D1482)),0), FactorTable!$A$2:$A$301,0), Skills!M5+1)</f>
        <v/>
      </c>
      <c r="F1482">
        <f>IF(Skills!N5=TRUE,(Skills!L5/10)*(E1482/1000),Skills!L5/10)+Skills!O5</f>
        <v/>
      </c>
      <c r="G1482">
        <f>Skills!G5*IF(Skills!H5&gt;0,Skills!I5/Skills!H5,1)</f>
        <v/>
      </c>
      <c r="H1482">
        <f>1-(1-Skills!J5/100)^Skills!K5</f>
        <v/>
      </c>
      <c r="I1482" t="inlineStr">
        <is>
          <t>1</t>
        </is>
      </c>
      <c r="J1482" t="inlineStr"/>
      <c r="K1482" t="inlineStr"/>
      <c r="L1482" t="inlineStr"/>
      <c r="M1482" t="inlineStr"/>
      <c r="N1482" t="inlineStr"/>
      <c r="O1482">
        <f>(1-Summary!$B$11)*T1482+Summary!$B$11*V1482</f>
        <v/>
      </c>
      <c r="P1482">
        <f>IF(B1512=0,0,O1482/B1512)</f>
        <v/>
      </c>
      <c r="Q1482" t="n">
        <v>0</v>
      </c>
      <c r="R1482" t="n">
        <v>0</v>
      </c>
      <c r="S1482">
        <f>IFERROR(O1482/N1482,0)</f>
        <v/>
      </c>
      <c r="T1482" t="n">
        <v>0</v>
      </c>
      <c r="V1482" t="n">
        <v>0</v>
      </c>
    </row>
    <row r="1483">
      <c r="A1483">
        <f>Skills!A6</f>
        <v/>
      </c>
      <c r="B1483">
        <f>Skills!B6</f>
        <v/>
      </c>
      <c r="C1483">
        <f>Inputs!$B$3&gt;=63</f>
        <v/>
      </c>
      <c r="D1483">
        <f>IF(Skills!C6=1,60+Inputs!$B$25+Inputs!$B$29,IF(Skills!C6=2,90+Inputs!$B$26+Inputs!$B$29,IF(Skills!C6=3,120+Inputs!$B$27+Inputs!$B$29,MAX(0,(Inputs!$B$3-100)*3)+Inputs!$B$28+Inputs!$B$29)))</f>
        <v/>
      </c>
      <c r="E1483">
        <f>INDEX(FactorTable!$B$2:$Y$301, MATCH(ROUND(MIN(300,MAX(1,D1483)),0), FactorTable!$A$2:$A$301,0), Skills!M6+1)</f>
        <v/>
      </c>
      <c r="F1483">
        <f>IF(Skills!N6=TRUE,(Skills!L6/10)*(E1483/1000),Skills!L6/10)+Skills!O6</f>
        <v/>
      </c>
      <c r="G1483">
        <f>Skills!G6*IF(Skills!H6&gt;0,Skills!I6/Skills!H6,1)</f>
        <v/>
      </c>
      <c r="H1483">
        <f>1-(1-Skills!J6/100)^Skills!K6</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1497=TRUE)*(F1497-Calc!F20)),(Inputs!$B$23+0+(IF(ArtifactsInput!$M$15,CHOOSE(ArtifactsInput!$N$15+1,25,30,35,40,45,50)/100*(Inputs!$B$11-Inputs!$B$11),0))))/100+(Inputs!$B$23+0+(IF(ArtifactsInput!$M$15,CHOOSE(ArtifactsInput!$N$15+1,25,30,35,40,45,50)/100*(Inputs!$B$11-Inputs!$B$11),0)))/100)/2</f>
        <v/>
      </c>
      <c r="M1483">
        <f>L1483*(1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IF(B1512=0,0,O1483/B1512)</f>
        <v/>
      </c>
      <c r="Q1483">
        <f>IFERROR(1/(IF(Inputs!$B$38="pvp",15,MAX(0.1,Skills!D6-IF(Skills!E6=TRUE,Inputs!$B$32,0)))*(1-IF(AND(ArtifactsInput!$M$27,Inputs!$B$4="Chapter Hunt"),CHOOSE(ArtifactsInput!$N$27+1,20,24,28,32,36,40),0)/100)),0)</f>
        <v/>
      </c>
      <c r="R1483">
        <f>IF(AND(Inputs!$B$38&lt;&gt;"pvp",Inputs!$B$43&gt;0),IF(MAX(0,Inputs!$B$43-B1509)&lt;=0,0,(INT(MAX(0,Inputs!$B$43-B1509)/(IF(Inputs!$B$38="pvp",15,MAX(0.1,Skills!D6-IF(Skills!E6=TRUE,Inputs!$B$32,0)))*(1-IF(AND(ArtifactsInput!$M$27,Inputs!$B$4="Chapter Hunt"),CHOOSE(ArtifactsInput!$N$27+1,20,24,28,32,36,40),0)/100)))+1)),0)</f>
        <v/>
      </c>
      <c r="S1483">
        <f>IFERROR(O1483/N1483,0)</f>
        <v/>
      </c>
      <c r="T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$21+Skills!Q6+(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Skills!A7</f>
        <v/>
      </c>
      <c r="B1484">
        <f>Skills!B7</f>
        <v/>
      </c>
      <c r="C1484">
        <f>Inputs!$B$3&gt;=100</f>
        <v/>
      </c>
      <c r="D1484">
        <f>IF(Skills!C7=1,60+Inputs!$B$25+Inputs!$B$29,IF(Skills!C7=2,90+Inputs!$B$26+Inputs!$B$29,IF(Skills!C7=3,120+Inputs!$B$27+Inputs!$B$29,MAX(0,(Inputs!$B$3-100)*3)+Inputs!$B$28+Inputs!$B$29)))</f>
        <v/>
      </c>
      <c r="E1484">
        <f>INDEX(FactorTable!$B$2:$Y$301, MATCH(ROUND(MIN(300,MAX(1,D1484)),0), FactorTable!$A$2:$A$301,0), Skills!M7+1)</f>
        <v/>
      </c>
      <c r="F1484">
        <f>IF(Skills!N7=TRUE,(Skills!L7/10)*(E1484/1000),Skills!L7/10)+Skills!O7</f>
        <v/>
      </c>
      <c r="G1484">
        <f>Skills!G7*IF(Skills!H7&gt;0,Skills!I7/Skills!H7,1)</f>
        <v/>
      </c>
      <c r="H1484">
        <f>1-(1-Skills!J7/100)^Skills!K7</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1497=TRUE)*(F1497-Calc!F20)),(Inputs!$B$23+0+(IF(ArtifactsInput!$M$15,CHOOSE(ArtifactsInput!$N$15+1,25,30,35,40,45,50)/100*(Inputs!$B$11-Inputs!$B$11),0))))/100+(Inputs!$B$23+0+(IF(ArtifactsInput!$M$15,CHOOSE(ArtifactsInput!$N$15+1,25,30,35,40,45,50)/100*(Inputs!$B$11-Inputs!$B$11),0)))/100)/2</f>
        <v/>
      </c>
      <c r="M1484">
        <f>L1484*(1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IF(B1512=0,0,O1484/B1512)</f>
        <v/>
      </c>
      <c r="Q1484">
        <f>IFERROR(1/(IF(Inputs!$B$38="pvp",15,MAX(0.1,Skills!D7-IF(Skills!E7=TRUE,Inputs!$B$32,0)))*(1-IF(AND(ArtifactsInput!$M$27,Inputs!$B$4="Chapter Hunt"),CHOOSE(ArtifactsInput!$N$27+1,20,24,28,32,36,40),0)/100)),0)</f>
        <v/>
      </c>
      <c r="R1484">
        <f>IF(AND(Inputs!$B$38&lt;&gt;"pvp",Inputs!$B$43&gt;0),IF(MAX(0,Inputs!$B$43-B1509)&lt;=0,0,(INT(MAX(0,Inputs!$B$43-B1509)/(IF(Inputs!$B$38="pvp",15,MAX(0.1,Skills!D7-IF(Skills!E7=TRUE,Inputs!$B$32,0)))*(1-IF(AND(ArtifactsInput!$M$27,Inputs!$B$4="Chapter Hunt"),CHOOSE(ArtifactsInput!$N$27+1,20,24,28,32,36,40),0)/100)))+1)),0)</f>
        <v/>
      </c>
      <c r="S1484">
        <f>IFERROR(O1484/N1484,0)</f>
        <v/>
      </c>
      <c r="T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$21+Skills!Q7+(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Skills!A8</f>
        <v/>
      </c>
      <c r="B1485">
        <f>Skills!B8</f>
        <v/>
      </c>
      <c r="C1485">
        <f>Inputs!$B$3&gt;=110</f>
        <v/>
      </c>
      <c r="D1485">
        <f>IF(Skills!C8=1,60+Inputs!$B$25+Inputs!$B$29,IF(Skills!C8=2,90+Inputs!$B$26+Inputs!$B$29,IF(Skills!C8=3,120+Inputs!$B$27+Inputs!$B$29,MAX(0,(Inputs!$B$3-100)*3)+Inputs!$B$28+Inputs!$B$29)))</f>
        <v/>
      </c>
      <c r="E1485">
        <f>INDEX(FactorTable!$B$2:$Y$301, MATCH(ROUND(MIN(300,MAX(1,D1485)),0), FactorTable!$A$2:$A$301,0), Skills!M8+1)</f>
        <v/>
      </c>
      <c r="F1485">
        <f>IF(Skills!N8=TRUE,(Skills!L8/10)*(E1485/1000),Skills!L8/10)+Skills!O8</f>
        <v/>
      </c>
      <c r="G1485">
        <f>Skills!G8*IF(Skills!H8&gt;0,Skills!I8/Skills!H8,1)</f>
        <v/>
      </c>
      <c r="H1485">
        <f>1-(1-Skills!J8/100)^Skills!K8</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1497=TRUE)*(F1497-Calc!F20)),(Inputs!$B$23+0+(IF(ArtifactsInput!$M$15,CHOOSE(ArtifactsInput!$N$15+1,25,30,35,40,45,50)/100*(Inputs!$B$11-Inputs!$B$11),0))))/100+(Inputs!$B$23+0+(IF(ArtifactsInput!$M$15,CHOOSE(ArtifactsInput!$N$15+1,25,30,35,40,45,50)/100*(Inputs!$B$11-Inputs!$B$11),0)))/100)/2</f>
        <v/>
      </c>
      <c r="M1485">
        <f>L1485*(1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IF(B1512=0,0,O1485/B1512)</f>
        <v/>
      </c>
      <c r="Q1485">
        <f>IFERROR(1/(IF(Inputs!$B$38="pvp",15,MAX(0.1,Skills!D8-IF(Skills!E8=TRUE,Inputs!$B$32,0)))*(1-IF(AND(ArtifactsInput!$M$27,Inputs!$B$4="Chapter Hunt"),CHOOSE(ArtifactsInput!$N$27+1,20,24,28,32,36,40),0)/100)),0)</f>
        <v/>
      </c>
      <c r="R1485">
        <f>IF(AND(Inputs!$B$38&lt;&gt;"pvp",Inputs!$B$43&gt;0),IF(MAX(0,Inputs!$B$43-B1509)&lt;=0,0,(INT(MAX(0,Inputs!$B$43-B1509)/(IF(Inputs!$B$38="pvp",15,MAX(0.1,Skills!D8-IF(Skills!E8=TRUE,Inputs!$B$32,0)))*(1-IF(AND(ArtifactsInput!$M$27,Inputs!$B$4="Chapter Hunt"),CHOOSE(ArtifactsInput!$N$27+1,20,24,28,32,36,40),0)/100)))+1)),0)</f>
        <v/>
      </c>
      <c r="S1485">
        <f>IFERROR(O1485/N1485,0)</f>
        <v/>
      </c>
      <c r="T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$21+Skills!Q8+(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Skills!A9</f>
        <v/>
      </c>
      <c r="B1486">
        <f>Skills!B9</f>
        <v/>
      </c>
      <c r="C1486">
        <f>Inputs!$B$3&gt;=110</f>
        <v/>
      </c>
      <c r="D1486">
        <f>IF(Skills!C9=1,60+Inputs!$B$25+Inputs!$B$29,IF(Skills!C9=2,90+Inputs!$B$26+Inputs!$B$29,IF(Skills!C9=3,120+Inputs!$B$27+Inputs!$B$29,MAX(0,(Inputs!$B$3-100)*3)+Inputs!$B$28+Inputs!$B$29)))</f>
        <v/>
      </c>
      <c r="E1486">
        <f>INDEX(FactorTable!$B$2:$Y$301, MATCH(ROUND(MIN(300,MAX(1,D1486)),0), FactorTable!$A$2:$A$301,0), Skills!M9+1)</f>
        <v/>
      </c>
      <c r="F1486">
        <f>IF(Skills!N9=TRUE,(Skills!L9/10)*(E1486/1000),Skills!L9/10)+Skills!O9</f>
        <v/>
      </c>
      <c r="G1486">
        <f>Skills!G9*IF(Skills!H9&gt;0,Skills!I9/Skills!H9,1)</f>
        <v/>
      </c>
      <c r="H1486">
        <f>1-(1-Skills!J9/100)^Skills!K9</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1497=TRUE)*(F1497-Calc!F20)),(Inputs!$B$23+0+(IF(ArtifactsInput!$M$15,CHOOSE(ArtifactsInput!$N$15+1,25,30,35,40,45,50)/100*(Inputs!$B$11-Inputs!$B$11),0))))/100+(Inputs!$B$23+0+(IF(ArtifactsInput!$M$15,CHOOSE(ArtifactsInput!$N$15+1,25,30,35,40,45,50)/100*(Inputs!$B$11-Inputs!$B$11),0)))/100)/2</f>
        <v/>
      </c>
      <c r="M1486">
        <f>L1486*(1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IF(B1512=0,0,O1486/B1512)</f>
        <v/>
      </c>
      <c r="Q1486">
        <f>IFERROR(1/(IF(Inputs!$B$38="pvp",15,MAX(0.1,Skills!D9-IF(Skills!E9=TRUE,Inputs!$B$32,0)))*(1-IF(AND(ArtifactsInput!$M$27,Inputs!$B$4="Chapter Hunt"),CHOOSE(ArtifactsInput!$N$27+1,20,24,28,32,36,40),0)/100)),0)</f>
        <v/>
      </c>
      <c r="R1486">
        <f>IF(AND(Inputs!$B$38&lt;&gt;"pvp",Inputs!$B$43&gt;0),IF(MAX(0,Inputs!$B$43-B1509)&lt;=0,0,(INT(MAX(0,Inputs!$B$43-B1509)/(IF(Inputs!$B$38="pvp",15,MAX(0.1,Skills!D9-IF(Skills!E9=TRUE,Inputs!$B$32,0)))*(1-IF(AND(ArtifactsInput!$M$27,Inputs!$B$4="Chapter Hunt"),CHOOSE(ArtifactsInput!$N$27+1,20,24,28,32,36,40),0)/100)))+1)),0)</f>
        <v/>
      </c>
      <c r="S1486">
        <f>IFERROR(O1486/N1486,0)</f>
        <v/>
      </c>
      <c r="T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$21+Skills!Q9+(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Skills!A10</f>
        <v/>
      </c>
      <c r="B1487">
        <f>Skills!B10</f>
        <v/>
      </c>
      <c r="C1487">
        <f>Inputs!$B$3&gt;=103</f>
        <v/>
      </c>
      <c r="D1487">
        <f>IF(Skills!C10=1,60+Inputs!$B$25+Inputs!$B$29,IF(Skills!C10=2,90+Inputs!$B$26+Inputs!$B$29,IF(Skills!C10=3,120+Inputs!$B$27+Inputs!$B$29,MAX(0,(Inputs!$B$3-100)*3)+Inputs!$B$28+Inputs!$B$29)))</f>
        <v/>
      </c>
      <c r="E1487">
        <f>INDEX(FactorTable!$B$2:$Y$301, MATCH(ROUND(MIN(300,MAX(1,D1487)),0), FactorTable!$A$2:$A$301,0), Skills!M10+1)</f>
        <v/>
      </c>
      <c r="F1487">
        <f>IF(Skills!N10=TRUE,(Skills!L10/10)*(E1487/1000),Skills!L10/10)+Skills!O10</f>
        <v/>
      </c>
      <c r="G1487">
        <f>Skills!G10*IF(Skills!H10&gt;0,Skills!I10/Skills!H10,1)</f>
        <v/>
      </c>
      <c r="H1487">
        <f>1-(1-Skills!J10/100)^Skills!K10</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1497=TRUE)*(F1497-Calc!F20)),(Inputs!$B$23+0+(IF(ArtifactsInput!$M$15,CHOOSE(ArtifactsInput!$N$15+1,25,30,35,40,45,50)/100*(Inputs!$B$11-Inputs!$B$11),0))))/100+(Inputs!$B$23+0+(IF(ArtifactsInput!$M$15,CHOOSE(ArtifactsInput!$N$15+1,25,30,35,40,45,50)/100*(Inputs!$B$11-Inputs!$B$11),0)))/100)/2</f>
        <v/>
      </c>
      <c r="M1487">
        <f>L1487*(1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IF(B1512=0,0,O1487/B1512)</f>
        <v/>
      </c>
      <c r="Q1487">
        <f>IFERROR(1/(IF(Inputs!$B$38="pvp",15,MAX(0.1,Skills!D10-IF(Skills!E10=TRUE,Inputs!$B$32,0)))*(1-IF(AND(ArtifactsInput!$M$27,Inputs!$B$4="Chapter Hunt"),CHOOSE(ArtifactsInput!$N$27+1,20,24,28,32,36,40),0)/100)),0)</f>
        <v/>
      </c>
      <c r="R1487">
        <f>IF(AND(Inputs!$B$38&lt;&gt;"pvp",Inputs!$B$43&gt;0),IF(MAX(0,Inputs!$B$43-B1509)&lt;=0,0,(INT(MAX(0,Inputs!$B$43-B1509)/(IF(Inputs!$B$38="pvp",15,MAX(0.1,Skills!D10-IF(Skills!E10=TRUE,Inputs!$B$32,0)))*(1-IF(AND(ArtifactsInput!$M$27,Inputs!$B$4="Chapter Hunt"),CHOOSE(ArtifactsInput!$N$27+1,20,24,28,32,36,40),0)/100)))+1)),0)</f>
        <v/>
      </c>
      <c r="S1487">
        <f>IFERROR(O1487/N1487,0)</f>
        <v/>
      </c>
      <c r="T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$21+Skills!Q10+(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Skills!A11</f>
        <v/>
      </c>
      <c r="B1488">
        <f>Skills!B11</f>
        <v/>
      </c>
      <c r="C1488">
        <f>Inputs!$B$3&gt;=113</f>
        <v/>
      </c>
      <c r="D1488">
        <f>IF(Skills!C11=1,60+Inputs!$B$25+Inputs!$B$29,IF(Skills!C11=2,90+Inputs!$B$26+Inputs!$B$29,IF(Skills!C11=3,120+Inputs!$B$27+Inputs!$B$29,MAX(0,(Inputs!$B$3-100)*3)+Inputs!$B$28+Inputs!$B$29)))</f>
        <v/>
      </c>
      <c r="E1488">
        <f>INDEX(FactorTable!$B$2:$Y$301, MATCH(ROUND(MIN(300,MAX(1,D1488)),0), FactorTable!$A$2:$A$301,0), Skills!M11+1)</f>
        <v/>
      </c>
      <c r="F1488">
        <f>IF(Skills!N11=TRUE,(Skills!L11/10)*(E1488/1000),Skills!L11/10)+Skills!O11</f>
        <v/>
      </c>
      <c r="G1488">
        <f>Skills!G11*IF(Skills!H11&gt;0,Skills!I11/Skills!H11,1)</f>
        <v/>
      </c>
      <c r="H1488">
        <f>1-(1-Skills!J11/100)^Skills!K11</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1497=TRUE)*(F1497-Calc!F20)),(Inputs!$B$23+0+(IF(ArtifactsInput!$M$15,CHOOSE(ArtifactsInput!$N$15+1,25,30,35,40,45,50)/100*(Inputs!$B$11-Inputs!$B$11),0))))/100+(Inputs!$B$23+0+(IF(ArtifactsInput!$M$15,CHOOSE(ArtifactsInput!$N$15+1,25,30,35,40,45,50)/100*(Inputs!$B$11-Inputs!$B$11),0)))/100)/2</f>
        <v/>
      </c>
      <c r="M1488">
        <f>L1488*(1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IF(B1512=0,0,O1488/B1512)</f>
        <v/>
      </c>
      <c r="Q1488">
        <f>IFERROR(1/(IF(Inputs!$B$38="pvp",15,MAX(0.1,Skills!D11-IF(Skills!E11=TRUE,Inputs!$B$32,0)))*(1-IF(AND(ArtifactsInput!$M$27,Inputs!$B$4="Chapter Hunt"),CHOOSE(ArtifactsInput!$N$27+1,20,24,28,32,36,40),0)/100)),0)</f>
        <v/>
      </c>
      <c r="R1488">
        <f>IF(AND(Inputs!$B$38&lt;&gt;"pvp",Inputs!$B$43&gt;0),IF(MAX(0,Inputs!$B$43-B1509)&lt;=0,0,(INT(MAX(0,Inputs!$B$43-B1509)/(IF(Inputs!$B$38="pvp",15,MAX(0.1,Skills!D11-IF(Skills!E11=TRUE,Inputs!$B$32,0)))*(1-IF(AND(ArtifactsInput!$M$27,Inputs!$B$4="Chapter Hunt"),CHOOSE(ArtifactsInput!$N$27+1,20,24,28,32,36,40),0)/100)))+1)),0)</f>
        <v/>
      </c>
      <c r="S1488">
        <f>IFERROR(O1488/N1488,0)</f>
        <v/>
      </c>
      <c r="T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$21+Skills!Q11+(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Skills!A12</f>
        <v/>
      </c>
      <c r="B1489">
        <f>Skills!B12</f>
        <v/>
      </c>
      <c r="C1489">
        <f>Inputs!$B$3&gt;=100</f>
        <v/>
      </c>
      <c r="D1489">
        <f>IF(Skills!C12=1,60+Inputs!$B$25+Inputs!$B$29,IF(Skills!C12=2,90+Inputs!$B$26+Inputs!$B$29,IF(Skills!C12=3,120+Inputs!$B$27+Inputs!$B$29,MAX(0,(Inputs!$B$3-100)*3)+Inputs!$B$28+Inputs!$B$29)))</f>
        <v/>
      </c>
      <c r="E1489">
        <f>INDEX(FactorTable!$B$2:$Y$301, MATCH(ROUND(MIN(300,MAX(1,D1489)),0), FactorTable!$A$2:$A$301,0), Skills!M12+1)</f>
        <v/>
      </c>
      <c r="F1489">
        <f>IF(Skills!N12=TRUE,(Skills!L12/10)*(E1489/1000),Skills!L12/10)+Skills!O12</f>
        <v/>
      </c>
      <c r="G1489" t="inlineStr"/>
      <c r="H1489" t="inlineStr"/>
      <c r="I1489" t="inlineStr">
        <is>
          <t>1</t>
        </is>
      </c>
      <c r="J1489" t="inlineStr"/>
      <c r="K1489" t="inlineStr"/>
      <c r="L1489" t="inlineStr"/>
      <c r="M1489" t="inlineStr"/>
      <c r="N1489" t="inlineStr"/>
      <c r="O1489" t="inlineStr"/>
      <c r="P1489" t="inlineStr"/>
      <c r="Q1489" t="inlineStr"/>
      <c r="R1489" t="inlineStr"/>
      <c r="S1489" t="inlineStr"/>
      <c r="T1489" t="inlineStr"/>
      <c r="V1489" t="inlineStr"/>
    </row>
    <row r="1490">
      <c r="A1490">
        <f>Skills!A13</f>
        <v/>
      </c>
      <c r="B1490">
        <f>Skills!B13</f>
        <v/>
      </c>
      <c r="C1490">
        <f>Inputs!$B$3&gt;=66</f>
        <v/>
      </c>
      <c r="D1490">
        <f>IF(Skills!C13=1,60+Inputs!$B$25+Inputs!$B$29,IF(Skills!C13=2,90+Inputs!$B$26+Inputs!$B$29,IF(Skills!C13=3,120+Inputs!$B$27+Inputs!$B$29,MAX(0,(Inputs!$B$3-100)*3)+Inputs!$B$28+Inputs!$B$29)))</f>
        <v/>
      </c>
      <c r="E1490">
        <f>INDEX(FactorTable!$B$2:$Y$301, MATCH(ROUND(MIN(300,MAX(1,D1490)),0), FactorTable!$A$2:$A$301,0), Skills!M13+1)</f>
        <v/>
      </c>
      <c r="F1490">
        <f>IF(Skills!N13=TRUE,(Skills!L13/10)*(E1490/1000),Skills!L13/10)+Skills!O13</f>
        <v/>
      </c>
      <c r="G1490">
        <f>Skills!G13*IF(Skills!H13&gt;0,Skills!I13/Skills!H13,1)</f>
        <v/>
      </c>
      <c r="H1490">
        <f>1-(1-Skills!J13/100)^Skills!K13</f>
        <v/>
      </c>
      <c r="I1490" t="inlineStr">
        <is>
          <t>1</t>
        </is>
      </c>
      <c r="J1490" t="inlineStr"/>
      <c r="K1490" t="inlineStr"/>
      <c r="L1490" t="inlineStr"/>
      <c r="M1490" t="inlineStr"/>
      <c r="N1490" t="inlineStr"/>
      <c r="O1490">
        <f>(1-Summary!$B$11)*T1490+Summary!$B$11*V1490</f>
        <v/>
      </c>
      <c r="P1490">
        <f>IF(B1512=0,0,O1490/B1512)</f>
        <v/>
      </c>
      <c r="Q1490" t="n">
        <v>0</v>
      </c>
      <c r="R1490" t="n">
        <v>0</v>
      </c>
      <c r="S1490">
        <f>IFERROR(O1490/N1490,0)</f>
        <v/>
      </c>
      <c r="T1490" t="n">
        <v>0</v>
      </c>
      <c r="V1490" t="n">
        <v>0</v>
      </c>
    </row>
    <row r="1491">
      <c r="A1491">
        <f>Skills!A14</f>
        <v/>
      </c>
      <c r="B1491">
        <f>Skills!B14</f>
        <v/>
      </c>
      <c r="C1491">
        <f>Inputs!$B$3&gt;=107</f>
        <v/>
      </c>
      <c r="D1491">
        <f>IF(Skills!C14=1,60+Inputs!$B$25+Inputs!$B$29,IF(Skills!C14=2,90+Inputs!$B$26+Inputs!$B$29,IF(Skills!C14=3,120+Inputs!$B$27+Inputs!$B$29,MAX(0,(Inputs!$B$3-100)*3)+Inputs!$B$28+Inputs!$B$29)))</f>
        <v/>
      </c>
      <c r="E1491">
        <f>INDEX(FactorTable!$B$2:$Y$301, MATCH(ROUND(MIN(300,MAX(1,D1491)),0), FactorTable!$A$2:$A$301,0), Skills!M14+1)</f>
        <v/>
      </c>
      <c r="F1491">
        <f>IF(Skills!N14=TRUE,(Skills!L14/10)*(E1491/1000),Skills!L14/10)+Skills!O14</f>
        <v/>
      </c>
      <c r="G1491">
        <f>Skills!G14*IF(Skills!H14&gt;0,Skills!I14/Skills!H14,1)</f>
        <v/>
      </c>
      <c r="H1491">
        <f>1-(1-Skills!J14/100)^Skills!K14</f>
        <v/>
      </c>
      <c r="I1491" t="inlineStr">
        <is>
          <t>1</t>
        </is>
      </c>
      <c r="J1491" t="inlineStr"/>
      <c r="K1491" t="inlineStr"/>
      <c r="L1491" t="inlineStr"/>
      <c r="M1491" t="inlineStr"/>
      <c r="N1491" t="inlineStr"/>
      <c r="O1491">
        <f>(1-Summary!$B$11)*T1491+Summary!$B$11*V1491</f>
        <v/>
      </c>
      <c r="P1491">
        <f>IF(B1512=0,0,O1491/B1512)</f>
        <v/>
      </c>
      <c r="Q1491" t="n">
        <v>0</v>
      </c>
      <c r="R1491" t="n">
        <v>0</v>
      </c>
      <c r="S1491">
        <f>IFERROR(O1491/N1491,0)</f>
        <v/>
      </c>
      <c r="T1491" t="n">
        <v>0</v>
      </c>
      <c r="V1491" t="n">
        <v>0</v>
      </c>
    </row>
    <row r="1492">
      <c r="A1492">
        <f>Skills!A15</f>
        <v/>
      </c>
      <c r="B1492">
        <f>Skills!B15</f>
        <v/>
      </c>
      <c r="C1492">
        <f>Inputs!$B$3&gt;=115</f>
        <v/>
      </c>
      <c r="D1492">
        <f>IF(Skills!C15=1,60+Inputs!$B$25+Inputs!$B$29,IF(Skills!C15=2,90+Inputs!$B$26+Inputs!$B$29,IF(Skills!C15=3,120+Inputs!$B$27+Inputs!$B$29,MAX(0,(Inputs!$B$3-100)*3)+Inputs!$B$28+Inputs!$B$29)))</f>
        <v/>
      </c>
      <c r="E1492">
        <f>INDEX(FactorTable!$B$2:$Y$301, MATCH(ROUND(MIN(300,MAX(1,D1492)),0), FactorTable!$A$2:$A$301,0), Skills!M15+1)</f>
        <v/>
      </c>
      <c r="F1492">
        <f>IF(Skills!N15=TRUE,(Skills!L15/10)*(E1492/1000),Skills!L15/10)+Skills!O15</f>
        <v/>
      </c>
      <c r="G1492">
        <f>Skills!G15*IF(Skills!H15&gt;0,Skills!I15/Skills!H15,1)</f>
        <v/>
      </c>
      <c r="H1492">
        <f>1-(1-Skills!J15/100)^Skills!K15</f>
        <v/>
      </c>
      <c r="I1492" t="inlineStr">
        <is>
          <t>1</t>
        </is>
      </c>
      <c r="J1492" t="inlineStr"/>
      <c r="K1492" t="inlineStr"/>
      <c r="L1492" t="inlineStr"/>
      <c r="M1492" t="inlineStr"/>
      <c r="N1492" t="inlineStr"/>
      <c r="O1492">
        <f>(1-Summary!$B$11)*T1492+Summary!$B$11*V1492</f>
        <v/>
      </c>
      <c r="P1492">
        <f>IF(B1512=0,0,O1492/B1512)</f>
        <v/>
      </c>
      <c r="Q1492" t="n">
        <v>0</v>
      </c>
      <c r="R1492" t="n">
        <v>0</v>
      </c>
      <c r="S1492">
        <f>IFERROR(O1492/N1492,0)</f>
        <v/>
      </c>
      <c r="T1492" t="n">
        <v>0</v>
      </c>
      <c r="V1492" t="n">
        <v>0</v>
      </c>
    </row>
    <row r="1493">
      <c r="A1493">
        <f>Skills!A16</f>
        <v/>
      </c>
      <c r="B1493">
        <f>Skills!B16</f>
        <v/>
      </c>
      <c r="C1493">
        <f>Inputs!$B$3&gt;=15</f>
        <v/>
      </c>
      <c r="D1493">
        <f>IF(Skills!C16=1,60+Inputs!$B$25+Inputs!$B$29,IF(Skills!C16=2,90+Inputs!$B$26+Inputs!$B$29,IF(Skills!C16=3,120+Inputs!$B$27+Inputs!$B$29,MAX(0,(Inputs!$B$3-100)*3)+Inputs!$B$28+Inputs!$B$29)))</f>
        <v/>
      </c>
      <c r="E1493">
        <f>INDEX(FactorTable!$B$2:$Y$301, MATCH(ROUND(MIN(300,MAX(1,D1493)),0), FactorTable!$A$2:$A$301,0), Skills!M16+1)</f>
        <v/>
      </c>
      <c r="F1493">
        <f>IF(Skills!N16=TRUE,(Skills!L16/10)*(E1493/1000),Skills!L16/10)+Skills!O16</f>
        <v/>
      </c>
      <c r="G1493">
        <f>Skills!G16*IF(Skills!H16&gt;0,Skills!I16/Skills!H16,1)</f>
        <v/>
      </c>
      <c r="H1493">
        <f>1-(1-Skills!J16/100)^Skills!K16</f>
        <v/>
      </c>
      <c r="I1493" t="inlineStr">
        <is>
          <t>1</t>
        </is>
      </c>
      <c r="J1493" t="inlineStr"/>
      <c r="K1493" t="inlineStr"/>
      <c r="L1493" t="inlineStr"/>
      <c r="M1493" t="inlineStr"/>
      <c r="N1493" t="inlineStr"/>
      <c r="O1493">
        <f>(1-Summary!$B$11)*T1493+Summary!$B$11*V1493</f>
        <v/>
      </c>
      <c r="P1493">
        <f>IF(B1512=0,0,O1493/B1512)</f>
        <v/>
      </c>
      <c r="Q1493" t="n">
        <v>0</v>
      </c>
      <c r="R1493" t="n">
        <v>0</v>
      </c>
      <c r="S1493">
        <f>IFERROR(O1493/N1493,0)</f>
        <v/>
      </c>
      <c r="T1493" t="n">
        <v>0</v>
      </c>
      <c r="V1493" t="n">
        <v>0</v>
      </c>
    </row>
    <row r="1494">
      <c r="A1494">
        <f>Skills!A17</f>
        <v/>
      </c>
      <c r="B1494">
        <f>Skills!B17</f>
        <v/>
      </c>
      <c r="C1494">
        <f>Inputs!$B$3&gt;=10</f>
        <v/>
      </c>
      <c r="D1494">
        <f>IF(Skills!C17=1,60+Inputs!$B$25+Inputs!$B$29,IF(Skills!C17=2,90+Inputs!$B$26+Inputs!$B$29,IF(Skills!C17=3,120+Inputs!$B$27+Inputs!$B$29,MAX(0,(Inputs!$B$3-100)*3)+Inputs!$B$28+Inputs!$B$29)))</f>
        <v/>
      </c>
      <c r="E1494">
        <f>INDEX(FactorTable!$B$2:$Y$301, MATCH(ROUND(MIN(300,MAX(1,D1494)),0), FactorTable!$A$2:$A$301,0), Skills!M17+1)</f>
        <v/>
      </c>
      <c r="F1494">
        <f>IF(Skills!N17=TRUE,(Skills!L17/10)*(E1494/1000),Skills!L17/10)+Skills!O17</f>
        <v/>
      </c>
      <c r="G1494">
        <f>Skills!G17*IF(Skills!H17&gt;0,Skills!I17/Skills!H17,1)</f>
        <v/>
      </c>
      <c r="H1494">
        <f>1-(1-Skills!J17/100)^Skills!K17</f>
        <v/>
      </c>
      <c r="I1494" t="inlineStr">
        <is>
          <t>1</t>
        </is>
      </c>
      <c r="J1494" t="inlineStr"/>
      <c r="K1494" t="inlineStr"/>
      <c r="L1494" t="inlineStr"/>
      <c r="M1494" t="inlineStr"/>
      <c r="N1494" t="inlineStr"/>
      <c r="O1494">
        <f>(1-Summary!$B$11)*T1494+Summary!$B$11*V1494</f>
        <v/>
      </c>
      <c r="P1494">
        <f>IF(B1512=0,0,O1494/B1512)</f>
        <v/>
      </c>
      <c r="Q1494" t="n">
        <v>0</v>
      </c>
      <c r="R1494" t="n">
        <v>0</v>
      </c>
      <c r="S1494">
        <f>IFERROR(O1494/N1494,0)</f>
        <v/>
      </c>
      <c r="T1494" t="n">
        <v>0</v>
      </c>
      <c r="V1494" t="n">
        <v>0</v>
      </c>
    </row>
    <row r="1495">
      <c r="A1495">
        <f>Skills!A18</f>
        <v/>
      </c>
      <c r="B1495">
        <f>Skills!B18</f>
        <v/>
      </c>
      <c r="C1495">
        <f>Inputs!$B$3&gt;=33</f>
        <v/>
      </c>
      <c r="D1495">
        <f>IF(Skills!C18=1,60+Inputs!$B$25+Inputs!$B$29,IF(Skills!C18=2,90+Inputs!$B$26+Inputs!$B$29,IF(Skills!C18=3,120+Inputs!$B$27+Inputs!$B$29,MAX(0,(Inputs!$B$3-100)*3)+Inputs!$B$28+Inputs!$B$29)))</f>
        <v/>
      </c>
      <c r="E1495">
        <f>INDEX(FactorTable!$B$2:$Y$301, MATCH(ROUND(MIN(300,MAX(1,D1495)),0), FactorTable!$A$2:$A$301,0), Skills!M18+1)</f>
        <v/>
      </c>
      <c r="F1495">
        <f>IF(Skills!N18=TRUE,(Skills!L18/10)*(E1495/1000),Skills!L18/10)+Skills!O18</f>
        <v/>
      </c>
      <c r="G1495">
        <f>Skills!G18*IF(Skills!H18&gt;0,Skills!I18/Skills!H18,1)</f>
        <v/>
      </c>
      <c r="H1495">
        <f>1-(1-Skills!J18/100)^Skills!K18</f>
        <v/>
      </c>
      <c r="I1495" t="inlineStr">
        <is>
          <t>1</t>
        </is>
      </c>
      <c r="J1495" t="inlineStr"/>
      <c r="K1495" t="inlineStr"/>
      <c r="L1495" t="inlineStr"/>
      <c r="M1495" t="inlineStr"/>
      <c r="N1495" t="inlineStr"/>
      <c r="O1495">
        <f>(1-Summary!$B$11)*T1495+Summary!$B$11*V1495</f>
        <v/>
      </c>
      <c r="P1495">
        <f>IF(B1512=0,0,O1495/B1512)</f>
        <v/>
      </c>
      <c r="Q1495" t="n">
        <v>0</v>
      </c>
      <c r="R1495" t="n">
        <v>0</v>
      </c>
      <c r="S1495">
        <f>IFERROR(O1495/N1495,0)</f>
        <v/>
      </c>
      <c r="T1495" t="n">
        <v>0</v>
      </c>
      <c r="V1495" t="n">
        <v>0</v>
      </c>
    </row>
    <row r="1496">
      <c r="A1496">
        <f>Skills!A19</f>
        <v/>
      </c>
      <c r="B1496">
        <f>Skills!B19</f>
        <v/>
      </c>
      <c r="C1496">
        <f>Inputs!$B$3&gt;=40</f>
        <v/>
      </c>
      <c r="D1496">
        <f>IF(Skills!C19=1,60+Inputs!$B$25+Inputs!$B$29,IF(Skills!C19=2,90+Inputs!$B$26+Inputs!$B$29,IF(Skills!C19=3,120+Inputs!$B$27+Inputs!$B$29,MAX(0,(Inputs!$B$3-100)*3)+Inputs!$B$28+Inputs!$B$29)))</f>
        <v/>
      </c>
      <c r="E1496">
        <f>INDEX(FactorTable!$B$2:$Y$301, MATCH(ROUND(MIN(300,MAX(1,D1496)),0), FactorTable!$A$2:$A$301,0), Skills!M19+1)</f>
        <v/>
      </c>
      <c r="F1496">
        <f>IF(Skills!N19=TRUE,(Skills!L19/10)*(E1496/1000),Skills!L19/10)+Skills!O19</f>
        <v/>
      </c>
      <c r="G1496">
        <f>Skills!G19*IF(Skills!H19&gt;0,Skills!I19/Skills!H19,1)</f>
        <v/>
      </c>
      <c r="H1496">
        <f>1-(1-Skills!J19/100)^Skills!K19</f>
        <v/>
      </c>
      <c r="I1496" t="inlineStr">
        <is>
          <t>1</t>
        </is>
      </c>
      <c r="J1496" t="inlineStr"/>
      <c r="K1496" t="inlineStr"/>
      <c r="L1496" t="inlineStr"/>
      <c r="M1496" t="inlineStr"/>
      <c r="N1496" t="inlineStr"/>
      <c r="O1496">
        <f>(1-Summary!$B$11)*T1496+Summary!$B$11*V1496</f>
        <v/>
      </c>
      <c r="P1496">
        <f>IF(B1512=0,0,O1496/B1512)</f>
        <v/>
      </c>
      <c r="Q1496" t="n">
        <v>0</v>
      </c>
      <c r="R1496" t="n">
        <v>0</v>
      </c>
      <c r="S1496">
        <f>IFERROR(O1496/N1496,0)</f>
        <v/>
      </c>
      <c r="T1496" t="n">
        <v>0</v>
      </c>
      <c r="V1496" t="n">
        <v>0</v>
      </c>
    </row>
    <row r="1497">
      <c r="A1497">
        <f>Skills!A20</f>
        <v/>
      </c>
      <c r="B1497">
        <f>Skills!B20</f>
        <v/>
      </c>
      <c r="C1497">
        <f>Inputs!$B$3&gt;=43</f>
        <v/>
      </c>
      <c r="D1497">
        <f>IF(Skills!C20=1,60+Inputs!$B$25+Inputs!$B$29,IF(Skills!C20=2,90+Inputs!$B$26+Inputs!$B$29,IF(Skills!C20=3,120+Inputs!$B$27+Inputs!$B$29,MAX(0,(Inputs!$B$3-100)*3)+Inputs!$B$28+Inputs!$B$29)))</f>
        <v/>
      </c>
      <c r="E1497">
        <f>INDEX(FactorTable!$B$2:$Y$301, MATCH(ROUND(MIN(300,MAX(1,D1497)),0), FactorTable!$A$2:$A$301,0), Skills!M20+1)</f>
        <v/>
      </c>
      <c r="F1497">
        <f>IF(Skills!N20=TRUE,(Skills!L20/10)*(E1497/1000),Skills!L20/10)+Skills!O20</f>
        <v/>
      </c>
      <c r="G1497">
        <f>Skills!G20*IF(Skills!H20&gt;0,Skills!I20/Skills!H20,1)</f>
        <v/>
      </c>
      <c r="H1497">
        <f>1-(1-Skills!J20/100)^Skills!K20</f>
        <v/>
      </c>
      <c r="I1497" t="inlineStr">
        <is>
          <t>1</t>
        </is>
      </c>
      <c r="J1497" t="inlineStr"/>
      <c r="K1497" t="inlineStr"/>
      <c r="L1497" t="inlineStr"/>
      <c r="M1497" t="inlineStr"/>
      <c r="N1497" t="inlineStr"/>
      <c r="O1497">
        <f>(1-Summary!$B$11)*T1497+Summary!$B$11*V1497</f>
        <v/>
      </c>
      <c r="P1497">
        <f>IF(B1512=0,0,O1497/B1512)</f>
        <v/>
      </c>
      <c r="Q1497" t="n">
        <v>0</v>
      </c>
      <c r="R1497" t="n">
        <v>0</v>
      </c>
      <c r="S1497">
        <f>IFERROR(O1497/N1497,0)</f>
        <v/>
      </c>
      <c r="T1497" t="n">
        <v>0</v>
      </c>
      <c r="V1497" t="n">
        <v>0</v>
      </c>
    </row>
    <row r="1498">
      <c r="A1498">
        <f>Skills!A21</f>
        <v/>
      </c>
      <c r="B1498">
        <f>Skills!B21</f>
        <v/>
      </c>
      <c r="C1498">
        <f>Inputs!$B$3&gt;=38</f>
        <v/>
      </c>
      <c r="D1498">
        <f>IF(Skills!C21=1,60+Inputs!$B$25+Inputs!$B$29,IF(Skills!C21=2,90+Inputs!$B$26+Inputs!$B$29,IF(Skills!C21=3,120+Inputs!$B$27+Inputs!$B$29,MAX(0,(Inputs!$B$3-100)*3)+Inputs!$B$28+Inputs!$B$29)))</f>
        <v/>
      </c>
      <c r="E1498">
        <f>INDEX(FactorTable!$B$2:$Y$301, MATCH(ROUND(MIN(300,MAX(1,D1498)),0), FactorTable!$A$2:$A$301,0), Skills!M21+1)</f>
        <v/>
      </c>
      <c r="F1498">
        <f>IF(Skills!N21=TRUE,(Skills!L21/10)*(E1498/1000),Skills!L21/10)+Skills!O21</f>
        <v/>
      </c>
      <c r="G1498">
        <f>Skills!G21*IF(Skills!H21&gt;0,Skills!I21/Skills!H21,1)</f>
        <v/>
      </c>
      <c r="H1498">
        <f>1-(1-Skills!J21/100)^Skills!K21</f>
        <v/>
      </c>
      <c r="I1498" t="inlineStr">
        <is>
          <t>1</t>
        </is>
      </c>
      <c r="J1498" t="inlineStr"/>
      <c r="K1498" t="inlineStr"/>
      <c r="L1498" t="inlineStr"/>
      <c r="M1498" t="inlineStr"/>
      <c r="N1498" t="inlineStr"/>
      <c r="O1498">
        <f>(1-Summary!$B$11)*T1498+Summary!$B$11*V1498</f>
        <v/>
      </c>
      <c r="P1498">
        <f>IF(B1512=0,0,O1498/B1512)</f>
        <v/>
      </c>
      <c r="Q1498" t="n">
        <v>0</v>
      </c>
      <c r="R1498" t="n">
        <v>0</v>
      </c>
      <c r="S1498">
        <f>IFERROR(O1498/N1498,0)</f>
        <v/>
      </c>
      <c r="T1498" t="n">
        <v>0</v>
      </c>
      <c r="V1498" t="n">
        <v>0</v>
      </c>
    </row>
    <row r="1499">
      <c r="A1499">
        <f>Skills!A22</f>
        <v/>
      </c>
      <c r="B1499">
        <f>Skills!B22</f>
        <v/>
      </c>
      <c r="C1499">
        <f>Inputs!$B$3&gt;=75</f>
        <v/>
      </c>
      <c r="D1499">
        <f>IF(Skills!C22=1,60+Inputs!$B$25+Inputs!$B$29,IF(Skills!C22=2,90+Inputs!$B$26+Inputs!$B$29,IF(Skills!C22=3,120+Inputs!$B$27+Inputs!$B$29,MAX(0,(Inputs!$B$3-100)*3)+Inputs!$B$28+Inputs!$B$29)))</f>
        <v/>
      </c>
      <c r="E1499">
        <f>INDEX(FactorTable!$B$2:$Y$301, MATCH(ROUND(MIN(300,MAX(1,D1499)),0), FactorTable!$A$2:$A$301,0), Skills!M22+1)</f>
        <v/>
      </c>
      <c r="F1499">
        <f>IF(Skills!N22=TRUE,(Skills!L22/10)*(E1499/1000),Skills!L22/10)+Skills!O22</f>
        <v/>
      </c>
      <c r="G1499">
        <f>Skills!G22*IF(Skills!H22&gt;0,Skills!I22/Skills!H22,1)</f>
        <v/>
      </c>
      <c r="H1499">
        <f>1-(1-Skills!J22/100)^Skills!K22</f>
        <v/>
      </c>
      <c r="I1499" t="inlineStr">
        <is>
          <t>1</t>
        </is>
      </c>
      <c r="J1499" t="inlineStr"/>
      <c r="K1499" t="inlineStr"/>
      <c r="L1499" t="inlineStr"/>
      <c r="M1499" t="inlineStr"/>
      <c r="N1499" t="inlineStr"/>
      <c r="O1499">
        <f>(1-Summary!$B$11)*T1499+Summary!$B$11*V1499</f>
        <v/>
      </c>
      <c r="P1499">
        <f>IF(B1512=0,0,O1499/B1512)</f>
        <v/>
      </c>
      <c r="Q1499" t="n">
        <v>0</v>
      </c>
      <c r="R1499" t="n">
        <v>0</v>
      </c>
      <c r="S1499">
        <f>IFERROR(O1499/N1499,0)</f>
        <v/>
      </c>
      <c r="T1499" t="n">
        <v>0</v>
      </c>
      <c r="V1499" t="n">
        <v>0</v>
      </c>
    </row>
    <row r="1501">
      <c r="A1501" t="inlineStr">
        <is>
          <t>Attack% Bucket Multiplier</t>
        </is>
      </c>
      <c r="B1501">
        <f>(1+(((C1490=TRUE)*F1490)+((C1496=TRUE)*(F1496-Calc!F19))+(IF(ArtifactsInput!$M$21,CHOOSE(ArtifactsInput!$N$21+1,25,30,35,40,45,50)*(IF(OR(Inputs!$B$4="Chapter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2">
      <c r="A1502" t="inlineStr">
        <is>
          <t>Global Crit Rate Bonus %</t>
        </is>
      </c>
      <c r="B1502" t="n">
        <v>0</v>
      </c>
    </row>
    <row r="1503">
      <c r="A1503" t="inlineStr">
        <is>
          <t>Attack Speed Buff Bonus % (unused)</t>
        </is>
      </c>
      <c r="B1503" t="n">
        <v>0</v>
      </c>
    </row>
    <row r="1504">
      <c r="A1504" t="inlineStr">
        <is>
          <t>Actions Per Second</t>
        </is>
      </c>
      <c r="B1504">
        <f>1+MIN(150,150*(1-(1-(Inputs!$B$11+((C1494=TRUE)*(F1494-Calc!F17))+((C1495=TRUE)*(F1495-Calc!F18)))/150)*(1-B1503/150)))/100</f>
        <v/>
      </c>
    </row>
    <row r="1505">
      <c r="A1505" t="inlineStr">
        <is>
          <t>Skill + Buff Cast Rate</t>
        </is>
      </c>
      <c r="B1505">
        <f>IF(AND(Inputs!$B$38&lt;&gt;"pvp",Inputs!$B$43&gt;0),SUMPRODUCT((Skills!E2:E22=TRUE)*(C1479:C1499=TRUE)*R1479:R1499*Skills!F2:F22)/Inputs!$B$43,SUMPRODUCT((Skills!E2:E22=TRUE)*(C1479:C1499=TRUE)*Q1479:Q1499*Skills!F2:F22))</f>
        <v/>
      </c>
    </row>
    <row r="1506">
      <c r="A1506" t="inlineStr">
        <is>
          <t>Hook Bomber Casts Per Second</t>
        </is>
      </c>
      <c r="B1506">
        <f>MAX(0,B1504-B1505)</f>
        <v/>
      </c>
    </row>
    <row r="1507">
      <c r="A1507" t="inlineStr">
        <is>
          <t>Global Critical Damage Bonus % (unused)</t>
        </is>
      </c>
      <c r="B1507" t="n">
        <v>0</v>
      </c>
    </row>
    <row r="1508">
      <c r="A1508" t="inlineStr">
        <is>
          <t>Global Final Damage Bonus % (Serpent Scale + Crossbones + Time Leap + Speed Infusion)</t>
        </is>
      </c>
      <c r="B1508">
        <f>((C1482=TRUE)*F1482*((10+IF(Inputs!$B$3&gt;=94,5,0))/((10+IF(Inputs!$B$3&gt;=94,5,0))+5/(B1506*(1+IF(Inputs!$B$3&gt;=104,1,0))))))+((C1491=TRUE)*F1491)+((C1492=TRUE)*F1492)+((Inputs!$B$3&gt;=110)*20*(B1504-1))</f>
        <v/>
      </c>
    </row>
    <row r="1509">
      <c r="A1509" t="inlineStr">
        <is>
          <t>Buff-Casting Startup Delay (s, fixed-duration only)</t>
        </is>
      </c>
      <c r="B1509">
        <f>IF(AND(Inputs!$B$38&lt;&gt;"pvp",Inputs!$B$43&gt;0),SUMPRODUCT((Skills!T2:T22&gt;0)*(Skills!E2:E22=TRUE)*(C1479:C1499=TRUE))/B1504,0)</f>
        <v/>
      </c>
    </row>
    <row r="1510">
      <c r="A1510" t="inlineStr">
        <is>
          <t>Boss-Only Total DPS (this block's swept value)</t>
        </is>
      </c>
      <c r="B1510">
        <f>SUM(T1479:T1499)</f>
        <v/>
      </c>
    </row>
    <row r="1511">
      <c r="A1511" t="inlineStr">
        <is>
          <t>Normal-Only Total DPS (this block's swept value)</t>
        </is>
      </c>
      <c r="B1511">
        <f>SUM(V1479:V1499)</f>
        <v/>
      </c>
    </row>
    <row r="1512">
      <c r="A1512" s="6" t="inlineStr">
        <is>
          <t>TOTAL DPS</t>
        </is>
      </c>
      <c r="B1512" s="6">
        <f>SUM(O1479:O1499)</f>
        <v/>
      </c>
    </row>
    <row r="1515">
      <c r="A1515" s="6" t="inlineStr">
        <is>
          <t>Stat: Pink Bean's Giant Rib (Equip)</t>
        </is>
      </c>
    </row>
    <row r="1516">
      <c r="A1516" s="5" t="inlineStr">
        <is>
          <t>Key</t>
        </is>
      </c>
      <c r="B1516" s="5" t="inlineStr">
        <is>
          <t>Name</t>
        </is>
      </c>
      <c r="C1516" s="5" t="inlineStr">
        <is>
          <t>Unlocked</t>
        </is>
      </c>
      <c r="D1516" s="5" t="inlineStr">
        <is>
          <t>InputLevel</t>
        </is>
      </c>
      <c r="E1516" s="5" t="inlineStr">
        <is>
          <t>Factor</t>
        </is>
      </c>
      <c r="F1516" s="5" t="inlineStr">
        <is>
          <t>CoefficientPercent</t>
        </is>
      </c>
      <c r="G1516" s="5" t="inlineStr">
        <is>
          <t>EffectiveHits</t>
        </is>
      </c>
      <c r="H1516" s="5" t="inlineStr">
        <is>
          <t>ProcProbability</t>
        </is>
      </c>
      <c r="I1516" s="5" t="inlineStr">
        <is>
          <t>MapleHeroMultiplier</t>
        </is>
      </c>
      <c r="J1516" s="5" t="inlineStr">
        <is>
          <t>BaseDamage</t>
        </is>
      </c>
      <c r="K1516" s="5" t="inlineStr">
        <is>
          <t>BaseHitDamage</t>
        </is>
      </c>
      <c r="L1516" s="5" t="inlineStr">
        <is>
          <t>NonCritAvg</t>
        </is>
      </c>
      <c r="M1516" s="5" t="inlineStr">
        <is>
          <t>CritAvg</t>
        </is>
      </c>
      <c r="N1516" s="5" t="inlineStr">
        <is>
          <t>ExpectedDamage(perHit)</t>
        </is>
      </c>
      <c r="O1516" s="5" t="inlineStr">
        <is>
          <t>DPS</t>
        </is>
      </c>
      <c r="P1516" s="5" t="inlineStr">
        <is>
          <t>% of Total</t>
        </is>
      </c>
      <c r="Q1516" s="5" t="inlineStr">
        <is>
          <t>InvCooldown</t>
        </is>
      </c>
      <c r="R1516" s="5" t="inlineStr">
        <is>
          <t>CastsInFight</t>
        </is>
      </c>
      <c r="S1516" s="5" t="inlineStr">
        <is>
          <t>HitRate(perSec)</t>
        </is>
      </c>
      <c r="U1516" t="inlineStr">
        <is>
          <t>helpers</t>
        </is>
      </c>
    </row>
    <row r="1517">
      <c r="A1517">
        <f>Skills!A2</f>
        <v/>
      </c>
      <c r="B1517">
        <f>Skills!B2</f>
        <v/>
      </c>
      <c r="C1517">
        <f>Inputs!$B$3&gt;=100</f>
        <v/>
      </c>
      <c r="D1517" t="inlineStr"/>
      <c r="E1517" t="inlineStr"/>
      <c r="F1517">
        <f>U1519+Skills!O2</f>
        <v/>
      </c>
      <c r="G1517">
        <f>Skills!G2*IF(Skills!H2&gt;0,Skills!I2/Skills!H2,1)</f>
        <v/>
      </c>
      <c r="H1517">
        <f>1-(1-Skills!J2/100)^Skills!K2</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1535=TRUE)*(F1535-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2*N1517*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MAX(0,(Inputs!$B$3-100)*3)+Inputs!$B$28+Inputs!$B$29</f>
        <v/>
      </c>
      <c r="V1517">
        <f>IF(C1517,(Skills!G2*N1517*B1544)*IF(Inputs!$B$38="pvp",1,(1+(Inputs!$B$21+Skills!Q2+(IF(ArtifactsInput!$M$33,CHOOSE(ArtifactsInput!$N$33+1,30,36,42,48,54,60),0))+(IF(AND(ArtifactsInput!$M$35,Inputs!$B$4&lt;&gt;"Chapter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Skills!A3</f>
        <v/>
      </c>
      <c r="B1518">
        <f>Skills!B3</f>
        <v/>
      </c>
      <c r="C1518">
        <f>Inputs!$B$3&gt;=35</f>
        <v/>
      </c>
      <c r="D1518">
        <f>IF(Skills!C3=1,60+Inputs!$B$25+Inputs!$B$29,IF(Skills!C3=2,90+Inputs!$B$26+Inputs!$B$29,IF(Skills!C3=3,120+Inputs!$B$27+Inputs!$B$29,MAX(0,(Inputs!$B$3-100)*3)+Inputs!$B$28+Inputs!$B$29)))</f>
        <v/>
      </c>
      <c r="E1518">
        <f>INDEX(FactorTable!$B$2:$Y$301, MATCH(ROUND(MIN(300,MAX(1,D1518)),0), FactorTable!$A$2:$A$301,0), Skills!M3+1)</f>
        <v/>
      </c>
      <c r="F1518">
        <f>IF(Skills!N3=TRUE,(Skills!L3/10)*(E1518/1000),Skills!L3/10)+Skills!O3</f>
        <v/>
      </c>
      <c r="G1518">
        <f>Skills!G3*IF(Skills!H3&gt;0,Skills!I3/Skills!H3,1)</f>
        <v/>
      </c>
      <c r="H1518">
        <f>1-(1-Skills!J3/100)^Skills!K3</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1535=TRUE)*(F1535-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3*H1518*N1518*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INDEX(FactorTable!$B$2:$Y$301, MATCH(ROUND(MIN(300,MAX(1,U1517)),0), FactorTable!$A$2:$A$301,0), 22)</f>
        <v/>
      </c>
      <c r="V1518">
        <f>IF(C1518,(Skills!G3*H1518*N1518*B1544)*IF(Inputs!$B$38="pvp",1,(1+(Inputs!$B$21+Skills!Q3+(IF(ArtifactsInput!$M$33,CHOOSE(ArtifactsInput!$N$33+1,30,36,42,48,54,60),0))+(IF(AND(ArtifactsInput!$M$35,Inputs!$B$4&lt;&gt;"Chapter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Skills!A4</f>
        <v/>
      </c>
      <c r="B1519">
        <f>Skills!B4</f>
        <v/>
      </c>
      <c r="C1519">
        <f>Inputs!$B$3&gt;=60</f>
        <v/>
      </c>
      <c r="D1519">
        <f>IF(Skills!C4=1,60+Inputs!$B$25+Inputs!$B$29,IF(Skills!C4=2,90+Inputs!$B$26+Inputs!$B$29,IF(Skills!C4=3,120+Inputs!$B$27+Inputs!$B$29,MAX(0,(Inputs!$B$3-100)*3)+Inputs!$B$28+Inputs!$B$29)))</f>
        <v/>
      </c>
      <c r="E1519">
        <f>INDEX(FactorTable!$B$2:$Y$301, MATCH(ROUND(MIN(300,MAX(1,D1519)),0), FactorTable!$A$2:$A$301,0), Skills!M4+1)</f>
        <v/>
      </c>
      <c r="F1519">
        <f>IF(Skills!N4=TRUE,(Skills!L4/10)*(E1519/1000),Skills!L4/10)+Skills!O4</f>
        <v/>
      </c>
      <c r="G1519">
        <f>Skills!G4*IF(Skills!H4&gt;0,Skills!I4/Skills!H4,1)</f>
        <v/>
      </c>
      <c r="H1519">
        <f>1-(1-Skills!J4/100)^Skills!K4</f>
        <v/>
      </c>
      <c r="I1519" t="inlineStr">
        <is>
          <t>1</t>
        </is>
      </c>
      <c r="J1519">
        <f>((Inputs!$B$6*(1+Inputs!$B$7/100))+(((Inputs!$B$12*(1+Inputs!$B$13/100))-(Inputs!$B$12*(1+Inputs!$B$13/100)))+0.25*(Inputs!$B$14-Inputs!$B$14))*(1+Inputs!$B$7/100))*(F1519/100)</f>
        <v/>
      </c>
      <c r="K1519">
        <f>J1519*(1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1527=TRUE,F1527,0)/100)*(1+(IF(Skills!A4="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1535=TRUE)*(F1535-Calc!F20)),(Inputs!$B$23+0+(IF(ArtifactsInput!$M$15,CHOOSE(ArtifactsInput!$N$15+1,25,30,35,40,45,50)/100*(Inputs!$B$11-Inputs!$B$11),0))))/100+(Inputs!$B$23+0+(IF(ArtifactsInput!$M$15,CHOOSE(ArtifactsInput!$N$15+1,25,30,35,40,45,50)/100*(Inputs!$B$11-Inputs!$B$11),0)))/100)/2</f>
        <v/>
      </c>
      <c r="M1519">
        <f>L1519*(1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IF(B1550=0,0,O1519/B1550)</f>
        <v/>
      </c>
      <c r="Q1519" t="n">
        <v>0</v>
      </c>
      <c r="R1519" t="n">
        <v>0</v>
      </c>
      <c r="S1519">
        <f>IFERROR(O1519/N1519,0)</f>
        <v/>
      </c>
      <c r="T1519">
        <f>IF(C1519,(Skills!G4*H1519*N1519*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290*U1518/1000</f>
        <v/>
      </c>
      <c r="V1519">
        <f>IF(C1519,(Skills!G4*H1519*N1519*B1544)*IF(Inputs!$B$38="pvp",1,(1+(Inputs!$B$21+Skills!Q4+(IF(ArtifactsInput!$M$33,CHOOSE(ArtifactsInput!$N$33+1,30,36,42,48,54,60),0))+(IF(AND(ArtifactsInput!$M$35,Inputs!$B$4&lt;&gt;"Chapter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Skills!A5</f>
        <v/>
      </c>
      <c r="B1520">
        <f>Skills!B5</f>
        <v/>
      </c>
      <c r="C1520">
        <f>Inputs!$B$3&gt;=60</f>
        <v/>
      </c>
      <c r="D1520">
        <f>IF(Skills!C5=1,60+Inputs!$B$25+Inputs!$B$29,IF(Skills!C5=2,90+Inputs!$B$26+Inputs!$B$29,IF(Skills!C5=3,120+Inputs!$B$27+Inputs!$B$29,MAX(0,(Inputs!$B$3-100)*3)+Inputs!$B$28+Inputs!$B$29)))</f>
        <v/>
      </c>
      <c r="E1520">
        <f>INDEX(FactorTable!$B$2:$Y$301, MATCH(ROUND(MIN(300,MAX(1,D1520)),0), FactorTable!$A$2:$A$301,0), Skills!M5+1)</f>
        <v/>
      </c>
      <c r="F1520">
        <f>IF(Skills!N5=TRUE,(Skills!L5/10)*(E1520/1000),Skills!L5/10)+Skills!O5</f>
        <v/>
      </c>
      <c r="G1520">
        <f>Skills!G5*IF(Skills!H5&gt;0,Skills!I5/Skills!H5,1)</f>
        <v/>
      </c>
      <c r="H1520">
        <f>1-(1-Skills!J5/100)^Skills!K5</f>
        <v/>
      </c>
      <c r="I1520" t="inlineStr">
        <is>
          <t>1</t>
        </is>
      </c>
      <c r="J1520" t="inlineStr"/>
      <c r="K1520" t="inlineStr"/>
      <c r="L1520" t="inlineStr"/>
      <c r="M1520" t="inlineStr"/>
      <c r="N1520" t="inlineStr"/>
      <c r="O1520">
        <f>(1-Summary!$B$11)*T1520+Summary!$B$11*V1520</f>
        <v/>
      </c>
      <c r="P1520">
        <f>IF(B1550=0,0,O1520/B1550)</f>
        <v/>
      </c>
      <c r="Q1520" t="n">
        <v>0</v>
      </c>
      <c r="R1520" t="n">
        <v>0</v>
      </c>
      <c r="S1520">
        <f>IFERROR(O1520/N1520,0)</f>
        <v/>
      </c>
      <c r="T1520" t="n">
        <v>0</v>
      </c>
      <c r="V1520" t="n">
        <v>0</v>
      </c>
    </row>
    <row r="1521">
      <c r="A1521">
        <f>Skills!A6</f>
        <v/>
      </c>
      <c r="B1521">
        <f>Skills!B6</f>
        <v/>
      </c>
      <c r="C1521">
        <f>Inputs!$B$3&gt;=63</f>
        <v/>
      </c>
      <c r="D1521">
        <f>IF(Skills!C6=1,60+Inputs!$B$25+Inputs!$B$29,IF(Skills!C6=2,90+Inputs!$B$26+Inputs!$B$29,IF(Skills!C6=3,120+Inputs!$B$27+Inputs!$B$29,MAX(0,(Inputs!$B$3-100)*3)+Inputs!$B$28+Inputs!$B$29)))</f>
        <v/>
      </c>
      <c r="E1521">
        <f>INDEX(FactorTable!$B$2:$Y$301, MATCH(ROUND(MIN(300,MAX(1,D1521)),0), FactorTable!$A$2:$A$301,0), Skills!M6+1)</f>
        <v/>
      </c>
      <c r="F1521">
        <f>IF(Skills!N6=TRUE,(Skills!L6/10)*(E1521/1000),Skills!L6/10)+Skills!O6</f>
        <v/>
      </c>
      <c r="G1521">
        <f>Skills!G6*IF(Skills!H6&gt;0,Skills!I6/Skills!H6,1)</f>
        <v/>
      </c>
      <c r="H1521">
        <f>1-(1-Skills!J6/100)^Skills!K6</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1535=TRUE)*(F1535-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IFERROR(1/(IF(Inputs!$B$38="pvp",15,MAX(0.1,Skills!D6-IF(Skills!E6=TRUE,Inputs!$B$32,0)))*(1-IF(AND(ArtifactsInput!$M$27,Inputs!$B$4="Chapter Hunt"),CHOOSE(ArtifactsInput!$N$27+1,20,24,28,32,36,40),0)/100)),0)</f>
        <v/>
      </c>
      <c r="R1521">
        <f>IF(AND(Inputs!$B$38&lt;&gt;"pvp",Inputs!$B$43&gt;0),IF(MAX(0,Inputs!$B$43-B1547)&lt;=0,0,(INT(MAX(0,Inputs!$B$43-B1547)/(IF(Inputs!$B$38="pvp",15,MAX(0.1,Skills!D6-IF(Skills!E6=TRUE,Inputs!$B$32,0)))*(1-IF(AND(ArtifactsInput!$M$27,Inputs!$B$4="Chapter Hunt"),CHOOSE(ArtifactsInput!$N$27+1,20,24,28,32,36,40),0)/100)))+1)),0)</f>
        <v/>
      </c>
      <c r="S1521">
        <f>IFERROR(O1521/N1521,0)</f>
        <v/>
      </c>
      <c r="T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Skills!A7</f>
        <v/>
      </c>
      <c r="B1522">
        <f>Skills!B7</f>
        <v/>
      </c>
      <c r="C1522">
        <f>Inputs!$B$3&gt;=100</f>
        <v/>
      </c>
      <c r="D1522">
        <f>IF(Skills!C7=1,60+Inputs!$B$25+Inputs!$B$29,IF(Skills!C7=2,90+Inputs!$B$26+Inputs!$B$29,IF(Skills!C7=3,120+Inputs!$B$27+Inputs!$B$29,MAX(0,(Inputs!$B$3-100)*3)+Inputs!$B$28+Inputs!$B$29)))</f>
        <v/>
      </c>
      <c r="E1522">
        <f>INDEX(FactorTable!$B$2:$Y$301, MATCH(ROUND(MIN(300,MAX(1,D1522)),0), FactorTable!$A$2:$A$301,0), Skills!M7+1)</f>
        <v/>
      </c>
      <c r="F1522">
        <f>IF(Skills!N7=TRUE,(Skills!L7/10)*(E1522/1000),Skills!L7/10)+Skills!O7</f>
        <v/>
      </c>
      <c r="G1522">
        <f>Skills!G7*IF(Skills!H7&gt;0,Skills!I7/Skills!H7,1)</f>
        <v/>
      </c>
      <c r="H1522">
        <f>1-(1-Skills!J7/100)^Skills!K7</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1535=TRUE)*(F1535-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IFERROR(1/(IF(Inputs!$B$38="pvp",15,MAX(0.1,Skills!D7-IF(Skills!E7=TRUE,Inputs!$B$32,0)))*(1-IF(AND(ArtifactsInput!$M$27,Inputs!$B$4="Chapter Hunt"),CHOOSE(ArtifactsInput!$N$27+1,20,24,28,32,36,40),0)/100)),0)</f>
        <v/>
      </c>
      <c r="R1522">
        <f>IF(AND(Inputs!$B$38&lt;&gt;"pvp",Inputs!$B$43&gt;0),IF(MAX(0,Inputs!$B$43-B1547)&lt;=0,0,(INT(MAX(0,Inputs!$B$43-B1547)/(IF(Inputs!$B$38="pvp",15,MAX(0.1,Skills!D7-IF(Skills!E7=TRUE,Inputs!$B$32,0)))*(1-IF(AND(ArtifactsInput!$M$27,Inputs!$B$4="Chapter Hunt"),CHOOSE(ArtifactsInput!$N$27+1,20,24,28,32,36,40),0)/100)))+1)),0)</f>
        <v/>
      </c>
      <c r="S1522">
        <f>IFERROR(O1522/N1522,0)</f>
        <v/>
      </c>
      <c r="T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Skills!A8</f>
        <v/>
      </c>
      <c r="B1523">
        <f>Skills!B8</f>
        <v/>
      </c>
      <c r="C1523">
        <f>Inputs!$B$3&gt;=110</f>
        <v/>
      </c>
      <c r="D1523">
        <f>IF(Skills!C8=1,60+Inputs!$B$25+Inputs!$B$29,IF(Skills!C8=2,90+Inputs!$B$26+Inputs!$B$29,IF(Skills!C8=3,120+Inputs!$B$27+Inputs!$B$29,MAX(0,(Inputs!$B$3-100)*3)+Inputs!$B$28+Inputs!$B$29)))</f>
        <v/>
      </c>
      <c r="E1523">
        <f>INDEX(FactorTable!$B$2:$Y$301, MATCH(ROUND(MIN(300,MAX(1,D1523)),0), FactorTable!$A$2:$A$301,0), Skills!M8+1)</f>
        <v/>
      </c>
      <c r="F1523">
        <f>IF(Skills!N8=TRUE,(Skills!L8/10)*(E1523/1000),Skills!L8/10)+Skills!O8</f>
        <v/>
      </c>
      <c r="G1523">
        <f>Skills!G8*IF(Skills!H8&gt;0,Skills!I8/Skills!H8,1)</f>
        <v/>
      </c>
      <c r="H1523">
        <f>1-(1-Skills!J8/100)^Skills!K8</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1535=TRUE)*(F1535-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IFERROR(1/(IF(Inputs!$B$38="pvp",15,MAX(0.1,Skills!D8-IF(Skills!E8=TRUE,Inputs!$B$32,0)))*(1-IF(AND(ArtifactsInput!$M$27,Inputs!$B$4="Chapter Hunt"),CHOOSE(ArtifactsInput!$N$27+1,20,24,28,32,36,40),0)/100)),0)</f>
        <v/>
      </c>
      <c r="R1523">
        <f>IF(AND(Inputs!$B$38&lt;&gt;"pvp",Inputs!$B$43&gt;0),IF(MAX(0,Inputs!$B$43-B1547)&lt;=0,0,(INT(MAX(0,Inputs!$B$43-B1547)/(IF(Inputs!$B$38="pvp",15,MAX(0.1,Skills!D8-IF(Skills!E8=TRUE,Inputs!$B$32,0)))*(1-IF(AND(ArtifactsInput!$M$27,Inputs!$B$4="Chapter Hunt"),CHOOSE(ArtifactsInput!$N$27+1,20,24,28,32,36,40),0)/100)))+1)),0)</f>
        <v/>
      </c>
      <c r="S1523">
        <f>IFERROR(O1523/N1523,0)</f>
        <v/>
      </c>
      <c r="T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Skills!A9</f>
        <v/>
      </c>
      <c r="B1524">
        <f>Skills!B9</f>
        <v/>
      </c>
      <c r="C1524">
        <f>Inputs!$B$3&gt;=110</f>
        <v/>
      </c>
      <c r="D1524">
        <f>IF(Skills!C9=1,60+Inputs!$B$25+Inputs!$B$29,IF(Skills!C9=2,90+Inputs!$B$26+Inputs!$B$29,IF(Skills!C9=3,120+Inputs!$B$27+Inputs!$B$29,MAX(0,(Inputs!$B$3-100)*3)+Inputs!$B$28+Inputs!$B$29)))</f>
        <v/>
      </c>
      <c r="E1524">
        <f>INDEX(FactorTable!$B$2:$Y$301, MATCH(ROUND(MIN(300,MAX(1,D1524)),0), FactorTable!$A$2:$A$301,0), Skills!M9+1)</f>
        <v/>
      </c>
      <c r="F1524">
        <f>IF(Skills!N9=TRUE,(Skills!L9/10)*(E1524/1000),Skills!L9/10)+Skills!O9</f>
        <v/>
      </c>
      <c r="G1524">
        <f>Skills!G9*IF(Skills!H9&gt;0,Skills!I9/Skills!H9,1)</f>
        <v/>
      </c>
      <c r="H1524">
        <f>1-(1-Skills!J9/100)^Skills!K9</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1535=TRUE)*(F1535-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IFERROR(1/(IF(Inputs!$B$38="pvp",15,MAX(0.1,Skills!D9-IF(Skills!E9=TRUE,Inputs!$B$32,0)))*(1-IF(AND(ArtifactsInput!$M$27,Inputs!$B$4="Chapter Hunt"),CHOOSE(ArtifactsInput!$N$27+1,20,24,28,32,36,40),0)/100)),0)</f>
        <v/>
      </c>
      <c r="R1524">
        <f>IF(AND(Inputs!$B$38&lt;&gt;"pvp",Inputs!$B$43&gt;0),IF(MAX(0,Inputs!$B$43-B1547)&lt;=0,0,(INT(MAX(0,Inputs!$B$43-B1547)/(IF(Inputs!$B$38="pvp",15,MAX(0.1,Skills!D9-IF(Skills!E9=TRUE,Inputs!$B$32,0)))*(1-IF(AND(ArtifactsInput!$M$27,Inputs!$B$4="Chapter Hunt"),CHOOSE(ArtifactsInput!$N$27+1,20,24,28,32,36,40),0)/100)))+1)),0)</f>
        <v/>
      </c>
      <c r="S1524">
        <f>IFERROR(O1524/N1524,0)</f>
        <v/>
      </c>
      <c r="T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Skills!A10</f>
        <v/>
      </c>
      <c r="B1525">
        <f>Skills!B10</f>
        <v/>
      </c>
      <c r="C1525">
        <f>Inputs!$B$3&gt;=103</f>
        <v/>
      </c>
      <c r="D1525">
        <f>IF(Skills!C10=1,60+Inputs!$B$25+Inputs!$B$29,IF(Skills!C10=2,90+Inputs!$B$26+Inputs!$B$29,IF(Skills!C10=3,120+Inputs!$B$27+Inputs!$B$29,MAX(0,(Inputs!$B$3-100)*3)+Inputs!$B$28+Inputs!$B$29)))</f>
        <v/>
      </c>
      <c r="E1525">
        <f>INDEX(FactorTable!$B$2:$Y$301, MATCH(ROUND(MIN(300,MAX(1,D1525)),0), FactorTable!$A$2:$A$301,0), Skills!M10+1)</f>
        <v/>
      </c>
      <c r="F1525">
        <f>IF(Skills!N10=TRUE,(Skills!L10/10)*(E1525/1000),Skills!L10/10)+Skills!O10</f>
        <v/>
      </c>
      <c r="G1525">
        <f>Skills!G10*IF(Skills!H10&gt;0,Skills!I10/Skills!H10,1)</f>
        <v/>
      </c>
      <c r="H1525">
        <f>1-(1-Skills!J10/100)^Skills!K10</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1535=TRUE)*(F1535-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IFERROR(1/(IF(Inputs!$B$38="pvp",15,MAX(0.1,Skills!D10-IF(Skills!E10=TRUE,Inputs!$B$32,0)))*(1-IF(AND(ArtifactsInput!$M$27,Inputs!$B$4="Chapter Hunt"),CHOOSE(ArtifactsInput!$N$27+1,20,24,28,32,36,40),0)/100)),0)</f>
        <v/>
      </c>
      <c r="R1525">
        <f>IF(AND(Inputs!$B$38&lt;&gt;"pvp",Inputs!$B$43&gt;0),IF(MAX(0,Inputs!$B$43-B1547)&lt;=0,0,(INT(MAX(0,Inputs!$B$43-B1547)/(IF(Inputs!$B$38="pvp",15,MAX(0.1,Skills!D10-IF(Skills!E10=TRUE,Inputs!$B$32,0)))*(1-IF(AND(ArtifactsInput!$M$27,Inputs!$B$4="Chapter Hunt"),CHOOSE(ArtifactsInput!$N$27+1,20,24,28,32,36,40),0)/100)))+1)),0)</f>
        <v/>
      </c>
      <c r="S1525">
        <f>IFERROR(O1525/N1525,0)</f>
        <v/>
      </c>
      <c r="T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Skills!A11</f>
        <v/>
      </c>
      <c r="B1526">
        <f>Skills!B11</f>
        <v/>
      </c>
      <c r="C1526">
        <f>Inputs!$B$3&gt;=113</f>
        <v/>
      </c>
      <c r="D1526">
        <f>IF(Skills!C11=1,60+Inputs!$B$25+Inputs!$B$29,IF(Skills!C11=2,90+Inputs!$B$26+Inputs!$B$29,IF(Skills!C11=3,120+Inputs!$B$27+Inputs!$B$29,MAX(0,(Inputs!$B$3-100)*3)+Inputs!$B$28+Inputs!$B$29)))</f>
        <v/>
      </c>
      <c r="E1526">
        <f>INDEX(FactorTable!$B$2:$Y$301, MATCH(ROUND(MIN(300,MAX(1,D1526)),0), FactorTable!$A$2:$A$301,0), Skills!M11+1)</f>
        <v/>
      </c>
      <c r="F1526">
        <f>IF(Skills!N11=TRUE,(Skills!L11/10)*(E1526/1000),Skills!L11/10)+Skills!O11</f>
        <v/>
      </c>
      <c r="G1526">
        <f>Skills!G11*IF(Skills!H11&gt;0,Skills!I11/Skills!H11,1)</f>
        <v/>
      </c>
      <c r="H1526">
        <f>1-(1-Skills!J11/100)^Skills!K11</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1535=TRUE)*(F1535-Calc!F20)),(Inputs!$B$23+0+(IF(ArtifactsInput!$M$15,CHOOSE(ArtifactsInput!$N$15+1,25,30,35,40,45,50)/100*(Inputs!$B$11-Inputs!$B$11),0))))/100+(Inputs!$B$23+0+(IF(ArtifactsInput!$M$15,CHOOSE(ArtifactsInput!$N$15+1,25,30,35,40,45,50)/100*(Inputs!$B$11-Inputs!$B$11),0)))/100)/2</f>
        <v/>
      </c>
      <c r="M1526">
        <f>L1526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IF(B1550=0,0,O1526/B1550)</f>
        <v/>
      </c>
      <c r="Q1526">
        <f>IFERROR(1/(IF(Inputs!$B$38="pvp",15,MAX(0.1,Skills!D11-IF(Skills!E11=TRUE,Inputs!$B$32,0)))*(1-IF(AND(ArtifactsInput!$M$27,Inputs!$B$4="Chapter Hunt"),CHOOSE(ArtifactsInput!$N$27+1,20,24,28,32,36,40),0)/100)),0)</f>
        <v/>
      </c>
      <c r="R1526">
        <f>IF(AND(Inputs!$B$38&lt;&gt;"pvp",Inputs!$B$43&gt;0),IF(MAX(0,Inputs!$B$43-B1547)&lt;=0,0,(INT(MAX(0,Inputs!$B$43-B1547)/(IF(Inputs!$B$38="pvp",15,MAX(0.1,Skills!D11-IF(Skills!E11=TRUE,Inputs!$B$32,0)))*(1-IF(AND(ArtifactsInput!$M$27,Inputs!$B$4="Chapter Hunt"),CHOOSE(ArtifactsInput!$N$27+1,20,24,28,32,36,40),0)/100)))+1)),0)</f>
        <v/>
      </c>
      <c r="S1526">
        <f>IFERROR(O1526/N1526,0)</f>
        <v/>
      </c>
      <c r="T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Skills!A12</f>
        <v/>
      </c>
      <c r="B1527">
        <f>Skills!B12</f>
        <v/>
      </c>
      <c r="C1527">
        <f>Inputs!$B$3&gt;=100</f>
        <v/>
      </c>
      <c r="D1527">
        <f>IF(Skills!C12=1,60+Inputs!$B$25+Inputs!$B$29,IF(Skills!C12=2,90+Inputs!$B$26+Inputs!$B$29,IF(Skills!C12=3,120+Inputs!$B$27+Inputs!$B$29,MAX(0,(Inputs!$B$3-100)*3)+Inputs!$B$28+Inputs!$B$29)))</f>
        <v/>
      </c>
      <c r="E1527">
        <f>INDEX(FactorTable!$B$2:$Y$301, MATCH(ROUND(MIN(300,MAX(1,D1527)),0), FactorTable!$A$2:$A$301,0), Skills!M12+1)</f>
        <v/>
      </c>
      <c r="F1527">
        <f>IF(Skills!N12=TRUE,(Skills!L12/10)*(E1527/1000),Skills!L12/10)+Skills!O12</f>
        <v/>
      </c>
      <c r="G1527" t="inlineStr"/>
      <c r="H1527" t="inlineStr"/>
      <c r="I1527" t="inlineStr">
        <is>
          <t>1</t>
        </is>
      </c>
      <c r="J1527" t="inlineStr"/>
      <c r="K1527" t="inlineStr"/>
      <c r="L1527" t="inlineStr"/>
      <c r="M1527" t="inlineStr"/>
      <c r="N1527" t="inlineStr"/>
      <c r="O1527" t="inlineStr"/>
      <c r="P1527" t="inlineStr"/>
      <c r="Q1527" t="inlineStr"/>
      <c r="R1527" t="inlineStr"/>
      <c r="S1527" t="inlineStr"/>
      <c r="T1527" t="inlineStr"/>
      <c r="V1527" t="inlineStr"/>
    </row>
    <row r="1528">
      <c r="A1528">
        <f>Skills!A13</f>
        <v/>
      </c>
      <c r="B1528">
        <f>Skills!B13</f>
        <v/>
      </c>
      <c r="C1528">
        <f>Inputs!$B$3&gt;=66</f>
        <v/>
      </c>
      <c r="D1528">
        <f>IF(Skills!C13=1,60+Inputs!$B$25+Inputs!$B$29,IF(Skills!C13=2,90+Inputs!$B$26+Inputs!$B$29,IF(Skills!C13=3,120+Inputs!$B$27+Inputs!$B$29,MAX(0,(Inputs!$B$3-100)*3)+Inputs!$B$28+Inputs!$B$29)))</f>
        <v/>
      </c>
      <c r="E1528">
        <f>INDEX(FactorTable!$B$2:$Y$301, MATCH(ROUND(MIN(300,MAX(1,D1528)),0), FactorTable!$A$2:$A$301,0), Skills!M13+1)</f>
        <v/>
      </c>
      <c r="F1528">
        <f>IF(Skills!N13=TRUE,(Skills!L13/10)*(E1528/1000),Skills!L13/10)+Skills!O13</f>
        <v/>
      </c>
      <c r="G1528">
        <f>Skills!G13*IF(Skills!H13&gt;0,Skills!I13/Skills!H13,1)</f>
        <v/>
      </c>
      <c r="H1528">
        <f>1-(1-Skills!J13/100)^Skills!K13</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Skills!A14</f>
        <v/>
      </c>
      <c r="B1529">
        <f>Skills!B14</f>
        <v/>
      </c>
      <c r="C1529">
        <f>Inputs!$B$3&gt;=107</f>
        <v/>
      </c>
      <c r="D1529">
        <f>IF(Skills!C14=1,60+Inputs!$B$25+Inputs!$B$29,IF(Skills!C14=2,90+Inputs!$B$26+Inputs!$B$29,IF(Skills!C14=3,120+Inputs!$B$27+Inputs!$B$29,MAX(0,(Inputs!$B$3-100)*3)+Inputs!$B$28+Inputs!$B$29)))</f>
        <v/>
      </c>
      <c r="E1529">
        <f>INDEX(FactorTable!$B$2:$Y$301, MATCH(ROUND(MIN(300,MAX(1,D1529)),0), FactorTable!$A$2:$A$301,0), Skills!M14+1)</f>
        <v/>
      </c>
      <c r="F1529">
        <f>IF(Skills!N14=TRUE,(Skills!L14/10)*(E1529/1000),Skills!L14/10)+Skills!O14</f>
        <v/>
      </c>
      <c r="G1529">
        <f>Skills!G14*IF(Skills!H14&gt;0,Skills!I14/Skills!H14,1)</f>
        <v/>
      </c>
      <c r="H1529">
        <f>1-(1-Skills!J14/100)^Skills!K14</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Skills!A15</f>
        <v/>
      </c>
      <c r="B1530">
        <f>Skills!B15</f>
        <v/>
      </c>
      <c r="C1530">
        <f>Inputs!$B$3&gt;=115</f>
        <v/>
      </c>
      <c r="D1530">
        <f>IF(Skills!C15=1,60+Inputs!$B$25+Inputs!$B$29,IF(Skills!C15=2,90+Inputs!$B$26+Inputs!$B$29,IF(Skills!C15=3,120+Inputs!$B$27+Inputs!$B$29,MAX(0,(Inputs!$B$3-100)*3)+Inputs!$B$28+Inputs!$B$29)))</f>
        <v/>
      </c>
      <c r="E1530">
        <f>INDEX(FactorTable!$B$2:$Y$301, MATCH(ROUND(MIN(300,MAX(1,D1530)),0), FactorTable!$A$2:$A$301,0), Skills!M15+1)</f>
        <v/>
      </c>
      <c r="F1530">
        <f>IF(Skills!N15=TRUE,(Skills!L15/10)*(E1530/1000),Skills!L15/10)+Skills!O15</f>
        <v/>
      </c>
      <c r="G1530">
        <f>Skills!G15*IF(Skills!H15&gt;0,Skills!I15/Skills!H15,1)</f>
        <v/>
      </c>
      <c r="H1530">
        <f>1-(1-Skills!J15/100)^Skills!K15</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Skills!A16</f>
        <v/>
      </c>
      <c r="B1531">
        <f>Skills!B16</f>
        <v/>
      </c>
      <c r="C1531">
        <f>Inputs!$B$3&gt;=15</f>
        <v/>
      </c>
      <c r="D1531">
        <f>IF(Skills!C16=1,60+Inputs!$B$25+Inputs!$B$29,IF(Skills!C16=2,90+Inputs!$B$26+Inputs!$B$29,IF(Skills!C16=3,120+Inputs!$B$27+Inputs!$B$29,MAX(0,(Inputs!$B$3-100)*3)+Inputs!$B$28+Inputs!$B$29)))</f>
        <v/>
      </c>
      <c r="E1531">
        <f>INDEX(FactorTable!$B$2:$Y$301, MATCH(ROUND(MIN(300,MAX(1,D1531)),0), FactorTable!$A$2:$A$301,0), Skills!M16+1)</f>
        <v/>
      </c>
      <c r="F1531">
        <f>IF(Skills!N16=TRUE,(Skills!L16/10)*(E1531/1000),Skills!L16/10)+Skills!O16</f>
        <v/>
      </c>
      <c r="G1531">
        <f>Skills!G16*IF(Skills!H16&gt;0,Skills!I16/Skills!H16,1)</f>
        <v/>
      </c>
      <c r="H1531">
        <f>1-(1-Skills!J16/100)^Skills!K16</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Skills!A17</f>
        <v/>
      </c>
      <c r="B1532">
        <f>Skills!B17</f>
        <v/>
      </c>
      <c r="C1532">
        <f>Inputs!$B$3&gt;=10</f>
        <v/>
      </c>
      <c r="D1532">
        <f>IF(Skills!C17=1,60+Inputs!$B$25+Inputs!$B$29,IF(Skills!C17=2,90+Inputs!$B$26+Inputs!$B$29,IF(Skills!C17=3,120+Inputs!$B$27+Inputs!$B$29,MAX(0,(Inputs!$B$3-100)*3)+Inputs!$B$28+Inputs!$B$29)))</f>
        <v/>
      </c>
      <c r="E1532">
        <f>INDEX(FactorTable!$B$2:$Y$301, MATCH(ROUND(MIN(300,MAX(1,D1532)),0), FactorTable!$A$2:$A$301,0), Skills!M17+1)</f>
        <v/>
      </c>
      <c r="F1532">
        <f>IF(Skills!N17=TRUE,(Skills!L17/10)*(E1532/1000),Skills!L17/10)+Skills!O17</f>
        <v/>
      </c>
      <c r="G1532">
        <f>Skills!G17*IF(Skills!H17&gt;0,Skills!I17/Skills!H17,1)</f>
        <v/>
      </c>
      <c r="H1532">
        <f>1-(1-Skills!J17/100)^Skills!K17</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Skills!A18</f>
        <v/>
      </c>
      <c r="B1533">
        <f>Skills!B18</f>
        <v/>
      </c>
      <c r="C1533">
        <f>Inputs!$B$3&gt;=33</f>
        <v/>
      </c>
      <c r="D1533">
        <f>IF(Skills!C18=1,60+Inputs!$B$25+Inputs!$B$29,IF(Skills!C18=2,90+Inputs!$B$26+Inputs!$B$29,IF(Skills!C18=3,120+Inputs!$B$27+Inputs!$B$29,MAX(0,(Inputs!$B$3-100)*3)+Inputs!$B$28+Inputs!$B$29)))</f>
        <v/>
      </c>
      <c r="E1533">
        <f>INDEX(FactorTable!$B$2:$Y$301, MATCH(ROUND(MIN(300,MAX(1,D1533)),0), FactorTable!$A$2:$A$301,0), Skills!M18+1)</f>
        <v/>
      </c>
      <c r="F1533">
        <f>IF(Skills!N18=TRUE,(Skills!L18/10)*(E1533/1000),Skills!L18/10)+Skills!O18</f>
        <v/>
      </c>
      <c r="G1533">
        <f>Skills!G18*IF(Skills!H18&gt;0,Skills!I18/Skills!H18,1)</f>
        <v/>
      </c>
      <c r="H1533">
        <f>1-(1-Skills!J18/100)^Skills!K18</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Skills!A19</f>
        <v/>
      </c>
      <c r="B1534">
        <f>Skills!B19</f>
        <v/>
      </c>
      <c r="C1534">
        <f>Inputs!$B$3&gt;=40</f>
        <v/>
      </c>
      <c r="D1534">
        <f>IF(Skills!C19=1,60+Inputs!$B$25+Inputs!$B$29,IF(Skills!C19=2,90+Inputs!$B$26+Inputs!$B$29,IF(Skills!C19=3,120+Inputs!$B$27+Inputs!$B$29,MAX(0,(Inputs!$B$3-100)*3)+Inputs!$B$28+Inputs!$B$29)))</f>
        <v/>
      </c>
      <c r="E1534">
        <f>INDEX(FactorTable!$B$2:$Y$301, MATCH(ROUND(MIN(300,MAX(1,D1534)),0), FactorTable!$A$2:$A$301,0), Skills!M19+1)</f>
        <v/>
      </c>
      <c r="F1534">
        <f>IF(Skills!N19=TRUE,(Skills!L19/10)*(E1534/1000),Skills!L19/10)+Skills!O19</f>
        <v/>
      </c>
      <c r="G1534">
        <f>Skills!G19*IF(Skills!H19&gt;0,Skills!I19/Skills!H19,1)</f>
        <v/>
      </c>
      <c r="H1534">
        <f>1-(1-Skills!J19/100)^Skills!K19</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Skills!A20</f>
        <v/>
      </c>
      <c r="B1535">
        <f>Skills!B20</f>
        <v/>
      </c>
      <c r="C1535">
        <f>Inputs!$B$3&gt;=43</f>
        <v/>
      </c>
      <c r="D1535">
        <f>IF(Skills!C20=1,60+Inputs!$B$25+Inputs!$B$29,IF(Skills!C20=2,90+Inputs!$B$26+Inputs!$B$29,IF(Skills!C20=3,120+Inputs!$B$27+Inputs!$B$29,MAX(0,(Inputs!$B$3-100)*3)+Inputs!$B$28+Inputs!$B$29)))</f>
        <v/>
      </c>
      <c r="E1535">
        <f>INDEX(FactorTable!$B$2:$Y$301, MATCH(ROUND(MIN(300,MAX(1,D1535)),0), FactorTable!$A$2:$A$301,0), Skills!M20+1)</f>
        <v/>
      </c>
      <c r="F1535">
        <f>IF(Skills!N20=TRUE,(Skills!L20/10)*(E1535/1000),Skills!L20/10)+Skills!O20</f>
        <v/>
      </c>
      <c r="G1535">
        <f>Skills!G20*IF(Skills!H20&gt;0,Skills!I20/Skills!H20,1)</f>
        <v/>
      </c>
      <c r="H1535">
        <f>1-(1-Skills!J20/100)^Skills!K20</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Skills!A21</f>
        <v/>
      </c>
      <c r="B1536">
        <f>Skills!B21</f>
        <v/>
      </c>
      <c r="C1536">
        <f>Inputs!$B$3&gt;=38</f>
        <v/>
      </c>
      <c r="D1536">
        <f>IF(Skills!C21=1,60+Inputs!$B$25+Inputs!$B$29,IF(Skills!C21=2,90+Inputs!$B$26+Inputs!$B$29,IF(Skills!C21=3,120+Inputs!$B$27+Inputs!$B$29,MAX(0,(Inputs!$B$3-100)*3)+Inputs!$B$28+Inputs!$B$29)))</f>
        <v/>
      </c>
      <c r="E1536">
        <f>INDEX(FactorTable!$B$2:$Y$301, MATCH(ROUND(MIN(300,MAX(1,D1536)),0), FactorTable!$A$2:$A$301,0), Skills!M21+1)</f>
        <v/>
      </c>
      <c r="F1536">
        <f>IF(Skills!N21=TRUE,(Skills!L21/10)*(E1536/1000),Skills!L21/10)+Skills!O21</f>
        <v/>
      </c>
      <c r="G1536">
        <f>Skills!G21*IF(Skills!H21&gt;0,Skills!I21/Skills!H21,1)</f>
        <v/>
      </c>
      <c r="H1536">
        <f>1-(1-Skills!J21/100)^Skills!K21</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Skills!A22</f>
        <v/>
      </c>
      <c r="B1537">
        <f>Skills!B22</f>
        <v/>
      </c>
      <c r="C1537">
        <f>Inputs!$B$3&gt;=75</f>
        <v/>
      </c>
      <c r="D1537">
        <f>IF(Skills!C22=1,60+Inputs!$B$25+Inputs!$B$29,IF(Skills!C22=2,90+Inputs!$B$26+Inputs!$B$29,IF(Skills!C22=3,120+Inputs!$B$27+Inputs!$B$29,MAX(0,(Inputs!$B$3-100)*3)+Inputs!$B$28+Inputs!$B$29)))</f>
        <v/>
      </c>
      <c r="E1537">
        <f>INDEX(FactorTable!$B$2:$Y$301, MATCH(ROUND(MIN(300,MAX(1,D1537)),0), FactorTable!$A$2:$A$301,0), Skills!M22+1)</f>
        <v/>
      </c>
      <c r="F1537">
        <f>IF(Skills!N22=TRUE,(Skills!L22/10)*(E1537/1000),Skills!L22/10)+Skills!O22</f>
        <v/>
      </c>
      <c r="G1537">
        <f>Skills!G22*IF(Skills!H22&gt;0,Skills!I22/Skills!H22,1)</f>
        <v/>
      </c>
      <c r="H1537">
        <f>1-(1-Skills!J22/100)^Skills!K22</f>
        <v/>
      </c>
      <c r="I1537" t="inlineStr">
        <is>
          <t>1</t>
        </is>
      </c>
      <c r="J1537" t="inlineStr"/>
      <c r="K1537" t="inlineStr"/>
      <c r="L1537" t="inlineStr"/>
      <c r="M1537" t="inlineStr"/>
      <c r="N1537" t="inlineStr"/>
      <c r="O1537">
        <f>(1-Summary!$B$11)*T1537+Summary!$B$11*V1537</f>
        <v/>
      </c>
      <c r="P1537">
        <f>IF(B1550=0,0,O1537/B1550)</f>
        <v/>
      </c>
      <c r="Q1537" t="n">
        <v>0</v>
      </c>
      <c r="R1537" t="n">
        <v>0</v>
      </c>
      <c r="S1537">
        <f>IFERROR(O1537/N1537,0)</f>
        <v/>
      </c>
      <c r="T1537" t="n">
        <v>0</v>
      </c>
      <c r="V1537" t="n">
        <v>0</v>
      </c>
    </row>
    <row r="1539">
      <c r="A1539" t="inlineStr">
        <is>
          <t>Attack% Bucket Multiplier</t>
        </is>
      </c>
      <c r="B1539">
        <f>(1+(((C1528=TRUE)*F1528)+((C1534=TRUE)*(F1534-Calc!F19))+(IF(ArtifactsInput!$M$21,CHOOSE(ArtifactsInput!$N$21+1,25,30,35,40,45,50)*(IF(OR(Inputs!$B$4="Chapter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(unused)</t>
        </is>
      </c>
      <c r="B1541" t="n">
        <v>0</v>
      </c>
    </row>
    <row r="1542">
      <c r="A1542" t="inlineStr">
        <is>
          <t>Actions Per Second</t>
        </is>
      </c>
      <c r="B1542">
        <f>1+MIN(150,150*(1-(1-(Inputs!$B$11+((C1532=TRUE)*(F1532-Calc!F17))+((C1533=TRUE)*(F1533-Calc!F18)))/150)*(1-B1541/150)))/100</f>
        <v/>
      </c>
    </row>
    <row r="1543">
      <c r="A1543" t="inlineStr">
        <is>
          <t>Skill + Buff Cast Rate</t>
        </is>
      </c>
      <c r="B1543">
        <f>IF(AND(Inputs!$B$38&lt;&gt;"pvp",Inputs!$B$43&gt;0),SUMPRODUCT((Skills!E2:E22=TRUE)*(C1517:C1537=TRUE)*R1517:R1537*Skills!F2:F22)/Inputs!$B$43,SUMPRODUCT((Skills!E2:E22=TRUE)*(C1517:C1537=TRUE)*Q1517:Q1537*Skills!F2:F22))</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((C1520=TRUE)*F1520*((10+IF(Inputs!$B$3&gt;=94,5,0))/((10+IF(Inputs!$B$3&gt;=94,5,0))+5/(B1544*(1+IF(Inputs!$B$3&gt;=104,1,0))))))+((C1529=TRUE)*F1529)+((C1530=TRUE)*F1530)+((Inputs!$B$3&gt;=110)*20*(B1542-1))</f>
        <v/>
      </c>
    </row>
    <row r="1547">
      <c r="A1547" t="inlineStr">
        <is>
          <t>Buff-Casting Startup Delay (s, fixed-duration only)</t>
        </is>
      </c>
      <c r="B1547">
        <f>IF(AND(Inputs!$B$38&lt;&gt;"pvp",Inputs!$B$43&gt;0),SUMPRODUCT((Skills!T2:T22&gt;0)*(Skills!E2:E22=TRUE)*(C1517:C1537=TRUE))/B1542,0)</f>
        <v/>
      </c>
    </row>
    <row r="1548">
      <c r="A1548" t="inlineStr">
        <is>
          <t>Boss-Only Total DPS (this block's swept value)</t>
        </is>
      </c>
      <c r="B1548">
        <f>SUM(T1517:T1537)</f>
        <v/>
      </c>
    </row>
    <row r="1549">
      <c r="A1549" t="inlineStr">
        <is>
          <t>Normal-Only Total DPS (this block's swept value)</t>
        </is>
      </c>
      <c r="B1549">
        <f>SUM(V1517:V1537)</f>
        <v/>
      </c>
    </row>
    <row r="1550">
      <c r="A1550" s="6" t="inlineStr">
        <is>
          <t>TOTAL DPS</t>
        </is>
      </c>
      <c r="B1550" s="6">
        <f>SUM(O1517:O1537)</f>
        <v/>
      </c>
    </row>
    <row r="1553">
      <c r="A1553" s="6" t="inlineStr">
        <is>
          <t>Stat: Chalice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t="n">
        <v>0</v>
      </c>
      <c r="R1555" t="n">
        <v>0</v>
      </c>
      <c r="S1555">
        <f>IFERROR(O1555/N1555,0)</f>
        <v/>
      </c>
      <c r="T1555">
        <f>IF(C1555,(Skills!G2*N1555*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t="n">
        <v>0</v>
      </c>
      <c r="R1556" t="n">
        <v>0</v>
      </c>
      <c r="S1556">
        <f>IFERROR(O1556/N1556,0)</f>
        <v/>
      </c>
      <c r="T1556">
        <f>IF(C1556,(Skills!G3*H1556*N1556*B1582)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IF(C1556,(Skills!G3*H1556*N1556*B1582)*IF(Inputs!$B$38="pvp",1,(1+(Inputs!$B$21+Skills!Q3+(IF(ArtifactsInput!$M$33,CHOOSE(ArtifactsInput!$N$33+1,30,36,42,48,54,60),0))+(IF(AND(ArtifactsInput!$M$35,Inputs!$B$4&lt;&gt;"Chapter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t="n">
        <v>0</v>
      </c>
      <c r="R1557" t="n">
        <v>0</v>
      </c>
      <c r="S1557">
        <f>IFERROR(O1557/N1557,0)</f>
        <v/>
      </c>
      <c r="T1557">
        <f>IF(C1557,(Skills!G4*H1557*N1557*B1582)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IF(C1557,(Skills!G4*H1557*N1557*B1582)*IF(Inputs!$B$38="pvp",1,(1+(Inputs!$B$21+Skills!Q4+(IF(ArtifactsInput!$M$33,CHOOSE(ArtifactsInput!$N$33+1,30,36,42,48,54,60),0))+(IF(AND(ArtifactsInput!$M$35,Inputs!$B$4&lt;&gt;"Chapter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IF(B1588=0,0,O1558/B1588)</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IFERROR(1/(IF(Inputs!$B$38="pvp",15,MAX(0.1,Skills!D6-IF(Skills!E6=TRUE,Inputs!$B$32,0)))*(1-IF(AND(ArtifactsInput!$M$27,Inputs!$B$4="Chapter Hunt"),CHOOSE(ArtifactsInput!$N$27+1,20,24,28,32,36,40),0)/100)),0)</f>
        <v/>
      </c>
      <c r="R1559">
        <f>IF(AND(Inputs!$B$38&lt;&gt;"pvp",Inputs!$B$43&gt;0),IF(MAX(0,Inputs!$B$43-B1585)&lt;=0,0,(INT(MAX(0,Inputs!$B$43-B1585)/(IF(Inputs!$B$38="pvp",15,MAX(0.1,Skills!D6-IF(Skills!E6=TRUE,Inputs!$B$32,0)))*(1-IF(AND(ArtifactsInput!$M$27,Inputs!$B$4="Chapter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IFERROR(1/(IF(Inputs!$B$38="pvp",15,MAX(0.1,Skills!D7-IF(Skills!E7=TRUE,Inputs!$B$32,0)))*(1-IF(AND(ArtifactsInput!$M$27,Inputs!$B$4="Chapter Hunt"),CHOOSE(ArtifactsInput!$N$27+1,20,24,28,32,36,40),0)/100)),0)</f>
        <v/>
      </c>
      <c r="R1560">
        <f>IF(AND(Inputs!$B$38&lt;&gt;"pvp",Inputs!$B$43&gt;0),IF(MAX(0,Inputs!$B$43-B1585)&lt;=0,0,(INT(MAX(0,Inputs!$B$43-B1585)/(IF(Inputs!$B$38="pvp",15,MAX(0.1,Skills!D7-IF(Skills!E7=TRUE,Inputs!$B$32,0)))*(1-IF(AND(ArtifactsInput!$M$27,Inputs!$B$4="Chapter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IFERROR(1/(IF(Inputs!$B$38="pvp",15,MAX(0.1,Skills!D8-IF(Skills!E8=TRUE,Inputs!$B$32,0)))*(1-IF(AND(ArtifactsInput!$M$27,Inputs!$B$4="Chapter Hunt"),CHOOSE(ArtifactsInput!$N$27+1,20,24,28,32,36,40),0)/100)),0)</f>
        <v/>
      </c>
      <c r="R1561">
        <f>IF(AND(Inputs!$B$38&lt;&gt;"pvp",Inputs!$B$43&gt;0),IF(MAX(0,Inputs!$B$43-B1585)&lt;=0,0,(INT(MAX(0,Inputs!$B$43-B1585)/(IF(Inputs!$B$38="pvp",15,MAX(0.1,Skills!D8-IF(Skills!E8=TRUE,Inputs!$B$32,0)))*(1-IF(AND(ArtifactsInput!$M$27,Inputs!$B$4="Chapter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IFERROR(1/(IF(Inputs!$B$38="pvp",15,MAX(0.1,Skills!D9-IF(Skills!E9=TRUE,Inputs!$B$32,0)))*(1-IF(AND(ArtifactsInput!$M$27,Inputs!$B$4="Chapter Hunt"),CHOOSE(ArtifactsInput!$N$27+1,20,24,28,32,36,40),0)/100)),0)</f>
        <v/>
      </c>
      <c r="R1562">
        <f>IF(AND(Inputs!$B$38&lt;&gt;"pvp",Inputs!$B$43&gt;0),IF(MAX(0,Inputs!$B$43-B1585)&lt;=0,0,(INT(MAX(0,Inputs!$B$43-B1585)/(IF(Inputs!$B$38="pvp",15,MAX(0.1,Skills!D9-IF(Skills!E9=TRUE,Inputs!$B$32,0)))*(1-IF(AND(ArtifactsInput!$M$27,Inputs!$B$4="Chapter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IF(B1588=0,0,O1563/B1588)</f>
        <v/>
      </c>
      <c r="Q1563">
        <f>IFERROR(1/(IF(Inputs!$B$38="pvp",15,MAX(0.1,Skills!D10-IF(Skills!E10=TRUE,Inputs!$B$32,0)))*(1-IF(AND(ArtifactsInput!$M$27,Inputs!$B$4="Chapter Hunt"),CHOOSE(ArtifactsInput!$N$27+1,20,24,28,32,36,40),0)/100)),0)</f>
        <v/>
      </c>
      <c r="R1563">
        <f>IF(AND(Inputs!$B$38&lt;&gt;"pvp",Inputs!$B$43&gt;0),IF(MAX(0,Inputs!$B$43-B1585)&lt;=0,0,(INT(MAX(0,Inputs!$B$43-B1585)/(IF(Inputs!$B$38="pvp",15,MAX(0.1,Skills!D10-IF(Skills!E10=TRUE,Inputs!$B$32,0)))*(1-IF(AND(ArtifactsInput!$M$27,Inputs!$B$4="Chapter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IF(B1588=0,0,O1564/B1588)</f>
        <v/>
      </c>
      <c r="Q1564">
        <f>IFERROR(1/(IF(Inputs!$B$38="pvp",15,MAX(0.1,Skills!D11-IF(Skills!E11=TRUE,Inputs!$B$32,0)))*(1-IF(AND(ArtifactsInput!$M$27,Inputs!$B$4="Chapter Hunt"),CHOOSE(ArtifactsInput!$N$27+1,20,24,28,32,36,40),0)/100)),0)</f>
        <v/>
      </c>
      <c r="R1564">
        <f>IF(AND(Inputs!$B$38&lt;&gt;"pvp",Inputs!$B$43&gt;0),IF(MAX(0,Inputs!$B$43-B1585)&lt;=0,0,(INT(MAX(0,Inputs!$B$43-B1585)/(IF(Inputs!$B$38="pvp",15,MAX(0.1,Skills!D11-IF(Skills!E11=TRUE,Inputs!$B$32,0)))*(1-IF(AND(ArtifactsInput!$M$27,Inputs!$B$4="Chapter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IF(B1588=0,0,O1566/B1588)</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IF(B1588=0,0,O1567/B1588)</f>
        <v/>
      </c>
      <c r="Q1567" t="n">
        <v>0</v>
      </c>
      <c r="R1567" t="n">
        <v>0</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IF(B1588=0,0,O1568/B1588)</f>
        <v/>
      </c>
      <c r="Q1568" t="n">
        <v>0</v>
      </c>
      <c r="R1568" t="n">
        <v>0</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IF(B1588=0,0,O1569/B1588)</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IF(B1588=0,0,O1570/B1588)</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 (unused)</t>
        </is>
      </c>
      <c r="B1579" t="n">
        <v>0</v>
      </c>
    </row>
    <row r="1580">
      <c r="A1580" t="inlineStr">
        <is>
          <t>Actions Per Second</t>
        </is>
      </c>
      <c r="B1580">
        <f>1+MIN(150,150*(1-(1-(Inputs!$B$11+((C1570=TRUE)*(F1570-Calc!F17))+((C1571=TRUE)*(F1571-Calc!F18)))/150)*(1-B1579/150)))/100</f>
        <v/>
      </c>
    </row>
    <row r="1581">
      <c r="A1581" t="inlineStr">
        <is>
          <t>Skill + Buff Cast Rate</t>
        </is>
      </c>
      <c r="B1581">
        <f>IF(AND(Inputs!$B$38&lt;&gt;"pvp",Inputs!$B$43&gt;0),SUMPRODUCT((Skills!E2:E22=TRUE)*(C1555:C1575=TRUE)*R1555:R1575*Skills!F2:F22)/Inputs!$B$43,SUMPRODUCT((Skills!E2:E22=TRUE)*(C1555:C1575=TRUE)*Q1555:Q1575*Skills!F2:F22))</f>
        <v/>
      </c>
    </row>
    <row r="1582">
      <c r="A1582" t="inlineStr">
        <is>
          <t>Hook Bomber Casts Per Second</t>
        </is>
      </c>
      <c r="B1582">
        <f>MAX(0,B1580-B1581)</f>
        <v/>
      </c>
    </row>
    <row r="1583">
      <c r="A1583" t="inlineStr">
        <is>
          <t>Global Critical Damage Bonus % (unused)</t>
        </is>
      </c>
      <c r="B1583" t="n">
        <v>0</v>
      </c>
    </row>
    <row r="1584">
      <c r="A1584" t="inlineStr">
        <is>
          <t>Global Final Damage Bonus % (Serpent Scale + Crossbones + Time Leap + Speed Infusion)</t>
        </is>
      </c>
      <c r="B1584">
        <f>((C1558=TRUE)*F1558*((10+IF(Inputs!$B$3&gt;=94,5,0))/((10+IF(Inputs!$B$3&gt;=94,5,0))+5/(B1582*(1+IF(Inputs!$B$3&gt;=104,1,0))))))+((C1567=TRUE)*F1567)+((C1568=TRUE)*F1568)+((Inputs!$B$3&gt;=110)*20*(B1580-1))</f>
        <v/>
      </c>
    </row>
    <row r="1585">
      <c r="A1585" t="inlineStr">
        <is>
          <t>Buff-Casting Startup Delay (s, fixed-duration only)</t>
        </is>
      </c>
      <c r="B1585">
        <f>IF(AND(Inputs!$B$38&lt;&gt;"pvp",Inputs!$B$43&gt;0),SUMPRODUCT((Skills!T2:T22&gt;0)*(Skills!E2:E22=TRUE)*(C1555:C1575=TRUE))/B1580,0)</f>
        <v/>
      </c>
    </row>
    <row r="1586">
      <c r="A1586" t="inlineStr">
        <is>
          <t>Boss-Only Total DPS (this block's swept value)</t>
        </is>
      </c>
      <c r="B1586">
        <f>SUM(T1555:T1575)</f>
        <v/>
      </c>
    </row>
    <row r="1587">
      <c r="A1587" t="inlineStr">
        <is>
          <t>Normal-Only Total DPS (this block's swept value)</t>
        </is>
      </c>
      <c r="B1587">
        <f>SUM(V1555:V1575)</f>
        <v/>
      </c>
    </row>
    <row r="1588">
      <c r="A1588" s="6" t="inlineStr">
        <is>
          <t>TOTAL DPS</t>
        </is>
      </c>
      <c r="B1588" s="6">
        <f>SUM(O1555:O1575)</f>
        <v/>
      </c>
    </row>
    <row r="1591">
      <c r="A1591" s="6" t="inlineStr">
        <is>
          <t>Stat: Old Music Box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1611=TRUE)*(F1611-Calc!F20)),(Inputs!$B$23+0+(IF(ArtifactsInput!$M$15,CHOOSE(ArtifactsInput!$N$15+1,25,30,35,40,45,50)/100*(Inputs!$B$11-Inputs!$B$11),0))))/100+(Inputs!$B$23+0+(IF(ArtifactsInput!$M$15,CHOOSE(ArtifactsInput!$N$15+1,25,30,35,40,45,50)/100*(Inputs!$B$11-Inputs!$B$11),0)))/100)/2</f>
        <v/>
      </c>
      <c r="M1593">
        <f>L1593*(1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IF(B1626=0,0,O1593/B1626)</f>
        <v/>
      </c>
      <c r="Q1593" t="n">
        <v>0</v>
      </c>
      <c r="R1593" t="n">
        <v>0</v>
      </c>
      <c r="S1593">
        <f>IFERROR(O1593/N1593,0)</f>
        <v/>
      </c>
      <c r="T1593">
        <f>IF(C1593,(Skills!G2*N1593*B1620)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IF(C1593,(Skills!G2*N1593*B1620)*IF(Inputs!$B$38="pvp",1,(1+(Inputs!$B$21+Skills!Q2+(IF(ArtifactsInput!$M$33,CHOOSE(ArtifactsInput!$N$33+1,30,36,42,48,54,60),0))+(IF(AND(ArtifactsInput!$M$35,Inputs!$B$4&lt;&gt;"Chapter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Skills!G3*IF(Skills!H3&gt;0,Skills!I3/Skills!H3,1)</f>
        <v/>
      </c>
      <c r="H1594">
        <f>1-(1-Skills!J3/100)^Skills!K3</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1611=TRUE)*(F1611-Calc!F20)),(Inputs!$B$23+0+(IF(ArtifactsInput!$M$15,CHOOSE(ArtifactsInput!$N$15+1,25,30,35,40,45,50)/100*(Inputs!$B$11-Inputs!$B$11),0))))/100+(Inputs!$B$23+0+(IF(ArtifactsInput!$M$15,CHOOSE(ArtifactsInput!$N$15+1,25,30,35,40,45,50)/100*(Inputs!$B$11-Inputs!$B$11),0)))/100)/2</f>
        <v/>
      </c>
      <c r="M1594">
        <f>L1594*(1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IF(B1626=0,0,O1594/B1626)</f>
        <v/>
      </c>
      <c r="Q1594" t="n">
        <v>0</v>
      </c>
      <c r="R1594" t="n">
        <v>0</v>
      </c>
      <c r="S1594">
        <f>IFERROR(O1594/N1594,0)</f>
        <v/>
      </c>
      <c r="T1594">
        <f>IF(C1594,(Skills!G3*H1594*N1594*B1620)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INDEX(FactorTable!$B$2:$Y$301, MATCH(ROUND(MIN(300,MAX(1,U1593)),0), FactorTable!$A$2:$A$301,0), 22)</f>
        <v/>
      </c>
      <c r="V1594">
        <f>IF(C1594,(Skills!G3*H1594*N1594*B1620)*IF(Inputs!$B$38="pvp",1,(1+(Inputs!$B$21+Skills!Q3+(IF(ArtifactsInput!$M$33,CHOOSE(ArtifactsInput!$N$33+1,30,36,42,48,54,60),0))+(IF(AND(ArtifactsInput!$M$35,Inputs!$B$4&lt;&gt;"Chapter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Skills!A4</f>
        <v/>
      </c>
      <c r="B1595">
        <f>Skills!B4</f>
        <v/>
      </c>
      <c r="C1595">
        <f>Inputs!$B$3&gt;=60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4="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1611=TRUE)*(F1611-Calc!F20)),(Inputs!$B$23+0+(IF(ArtifactsInput!$M$15,CHOOSE(ArtifactsInput!$N$15+1,25,30,35,40,45,50)/100*(Inputs!$B$11-Inputs!$B$11),0))))/100+(Inputs!$B$23+0+(IF(ArtifactsInput!$M$15,CHOOSE(ArtifactsInput!$N$15+1,25,30,35,40,45,50)/100*(Inputs!$B$11-Inputs!$B$11),0)))/100)/2</f>
        <v/>
      </c>
      <c r="M1595">
        <f>L1595*(1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IF(B1626=0,0,O1595/B1626)</f>
        <v/>
      </c>
      <c r="Q1595" t="n">
        <v>0</v>
      </c>
      <c r="R1595" t="n">
        <v>0</v>
      </c>
      <c r="S1595">
        <f>IFERROR(O1595/N1595,0)</f>
        <v/>
      </c>
      <c r="T1595">
        <f>IF(C1595,(Skills!G4*H1595*N1595*B1620)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IF(C1595,(Skills!G4*H1595*N1595*B1620)*IF(Inputs!$B$38="pvp",1,(1+(Inputs!$B$21+Skills!Q4+(IF(ArtifactsInput!$M$33,CHOOSE(ArtifactsInput!$N$33+1,30,36,42,48,54,60),0))+(IF(AND(ArtifactsInput!$M$35,Inputs!$B$4&lt;&gt;"Chapter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Inputs!$B$3&gt;=60</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t="inlineStr"/>
      <c r="K1596" t="inlineStr"/>
      <c r="L1596" t="inlineStr"/>
      <c r="M1596" t="inlineStr"/>
      <c r="N1596" t="inlineStr"/>
      <c r="O1596">
        <f>(1-Summary!$B$11)*T1596+Summary!$B$11*V1596</f>
        <v/>
      </c>
      <c r="P1596">
        <f>IF(B1626=0,0,O1596/B1626)</f>
        <v/>
      </c>
      <c r="Q1596" t="n">
        <v>0</v>
      </c>
      <c r="R1596" t="n">
        <v>0</v>
      </c>
      <c r="S1596">
        <f>IFERROR(O1596/N1596,0)</f>
        <v/>
      </c>
      <c r="T1596" t="n">
        <v>0</v>
      </c>
      <c r="V1596" t="n">
        <v>0</v>
      </c>
    </row>
    <row r="1597">
      <c r="A1597">
        <f>Skills!A6</f>
        <v/>
      </c>
      <c r="B1597">
        <f>Skills!B6</f>
        <v/>
      </c>
      <c r="C1597">
        <f>Inputs!$B$3&gt;=63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1611=TRUE)*(F1611-Calc!F20)),(Inputs!$B$23+0+(IF(ArtifactsInput!$M$15,CHOOSE(ArtifactsInput!$N$15+1,25,30,35,40,45,50)/100*(Inputs!$B$11-Inputs!$B$11),0))))/100+(Inputs!$B$23+0+(IF(ArtifactsInput!$M$15,CHOOSE(ArtifactsInput!$N$15+1,25,30,35,40,45,50)/100*(Inputs!$B$11-Inputs!$B$11),0)))/100)/2</f>
        <v/>
      </c>
      <c r="M1597">
        <f>L1597*(1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IF(B1626=0,0,O1597/B1626)</f>
        <v/>
      </c>
      <c r="Q1597">
        <f>IFERROR(1/(IF(Inputs!$B$38="pvp",15,MAX(0.1,Skills!D6-IF(Skills!E6=TRUE,Inputs!$B$32,0)))*(1-IF(AND(ArtifactsInput!$M$27,Inputs!$B$4="Chapter Hunt"),CHOOSE(ArtifactsInput!$N$27+1,20,24,28,32,36,40),0)/100)),0)</f>
        <v/>
      </c>
      <c r="R1597">
        <f>IF(AND(Inputs!$B$38&lt;&gt;"pvp",Inputs!$B$43&gt;0),IF(MAX(0,Inputs!$B$43-B1623)&lt;=0,0,(INT(MAX(0,Inputs!$B$43-B1623)/(IF(Inputs!$B$38="pvp",15,MAX(0.1,Skills!D6-IF(Skills!E6=TRUE,Inputs!$B$32,0)))*(1-IF(AND(ArtifactsInput!$M$27,Inputs!$B$4="Chapter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Inputs!$B$3&gt;=100</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1611=TRUE)*(F1611-Calc!F20)),(Inputs!$B$23+0+(IF(ArtifactsInput!$M$15,CHOOSE(ArtifactsInput!$N$15+1,25,30,35,40,45,50)/100*(Inputs!$B$11-Inputs!$B$11),0))))/100+(Inputs!$B$23+0+(IF(ArtifactsInput!$M$15,CHOOSE(ArtifactsInput!$N$15+1,25,30,35,40,45,50)/100*(Inputs!$B$11-Inputs!$B$11),0)))/100)/2</f>
        <v/>
      </c>
      <c r="M1598">
        <f>L1598*(1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IF(B1626=0,0,O1598/B1626)</f>
        <v/>
      </c>
      <c r="Q1598">
        <f>IFERROR(1/(IF(Inputs!$B$38="pvp",15,MAX(0.1,Skills!D7-IF(Skills!E7=TRUE,Inputs!$B$32,0)))*(1-IF(AND(ArtifactsInput!$M$27,Inputs!$B$4="Chapter Hunt"),CHOOSE(ArtifactsInput!$N$27+1,20,24,28,32,36,40),0)/100)),0)</f>
        <v/>
      </c>
      <c r="R1598">
        <f>IF(AND(Inputs!$B$38&lt;&gt;"pvp",Inputs!$B$43&gt;0),IF(MAX(0,Inputs!$B$43-B1623)&lt;=0,0,(INT(MAX(0,Inputs!$B$43-B1623)/(IF(Inputs!$B$38="pvp",15,MAX(0.1,Skills!D7-IF(Skills!E7=TRUE,Inputs!$B$32,0)))*(1-IF(AND(ArtifactsInput!$M$27,Inputs!$B$4="Chapter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Inputs!$B$3&gt;=110</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1611=TRUE)*(F1611-Calc!F20)),(Inputs!$B$23+0+(IF(ArtifactsInput!$M$15,CHOOSE(ArtifactsInput!$N$15+1,25,30,35,40,45,50)/100*(Inputs!$B$11-Inputs!$B$11),0))))/100+(Inputs!$B$23+0+(IF(ArtifactsInput!$M$15,CHOOSE(ArtifactsInput!$N$15+1,25,30,35,40,45,50)/100*(Inputs!$B$11-Inputs!$B$11),0)))/100)/2</f>
        <v/>
      </c>
      <c r="M1599">
        <f>L1599*(1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IF(B1626=0,0,O1599/B1626)</f>
        <v/>
      </c>
      <c r="Q1599">
        <f>IFERROR(1/(IF(Inputs!$B$38="pvp",15,MAX(0.1,Skills!D8-IF(Skills!E8=TRUE,Inputs!$B$32,0)))*(1-IF(AND(ArtifactsInput!$M$27,Inputs!$B$4="Chapter Hunt"),CHOOSE(ArtifactsInput!$N$27+1,20,24,28,32,36,40),0)/100)),0)</f>
        <v/>
      </c>
      <c r="R1599">
        <f>IF(AND(Inputs!$B$38&lt;&gt;"pvp",Inputs!$B$43&gt;0),IF(MAX(0,Inputs!$B$43-B1623)&lt;=0,0,(INT(MAX(0,Inputs!$B$43-B1623)/(IF(Inputs!$B$38="pvp",15,MAX(0.1,Skills!D8-IF(Skills!E8=TRUE,Inputs!$B$32,0)))*(1-IF(AND(ArtifactsInput!$M$27,Inputs!$B$4="Chapter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Inputs!$B$3&gt;=110</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1611=TRUE)*(F1611-Calc!F20)),(Inputs!$B$23+0+(IF(ArtifactsInput!$M$15,CHOOSE(ArtifactsInput!$N$15+1,25,30,35,40,45,50)/100*(Inputs!$B$11-Inputs!$B$11),0))))/100+(Inputs!$B$23+0+(IF(ArtifactsInput!$M$15,CHOOSE(ArtifactsInput!$N$15+1,25,30,35,40,45,50)/100*(Inputs!$B$11-Inputs!$B$11),0)))/100)/2</f>
        <v/>
      </c>
      <c r="M1600">
        <f>L1600*(1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IF(B1626=0,0,O1600/B1626)</f>
        <v/>
      </c>
      <c r="Q1600">
        <f>IFERROR(1/(IF(Inputs!$B$38="pvp",15,MAX(0.1,Skills!D9-IF(Skills!E9=TRUE,Inputs!$B$32,0)))*(1-IF(AND(ArtifactsInput!$M$27,Inputs!$B$4="Chapter Hunt"),CHOOSE(ArtifactsInput!$N$27+1,20,24,28,32,36,40),0)/100)),0)</f>
        <v/>
      </c>
      <c r="R1600">
        <f>IF(AND(Inputs!$B$38&lt;&gt;"pvp",Inputs!$B$43&gt;0),IF(MAX(0,Inputs!$B$43-B1623)&lt;=0,0,(INT(MAX(0,Inputs!$B$43-B1623)/(IF(Inputs!$B$38="pvp",15,MAX(0.1,Skills!D9-IF(Skills!E9=TRUE,Inputs!$B$32,0)))*(1-IF(AND(ArtifactsInput!$M$27,Inputs!$B$4="Chapter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Inputs!$B$3&gt;=103</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1611=TRUE)*(F1611-Calc!F20)),(Inputs!$B$23+0+(IF(ArtifactsInput!$M$15,CHOOSE(ArtifactsInput!$N$15+1,25,30,35,40,45,50)/100*(Inputs!$B$11-Inputs!$B$11),0))))/100+(Inputs!$B$23+0+(IF(ArtifactsInput!$M$15,CHOOSE(ArtifactsInput!$N$15+1,25,30,35,40,45,50)/100*(Inputs!$B$11-Inputs!$B$11),0)))/100)/2</f>
        <v/>
      </c>
      <c r="M1601">
        <f>L1601*(1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IF(B1626=0,0,O1601/B1626)</f>
        <v/>
      </c>
      <c r="Q1601">
        <f>IFERROR(1/(IF(Inputs!$B$38="pvp",15,MAX(0.1,Skills!D10-IF(Skills!E10=TRUE,Inputs!$B$32,0)))*(1-IF(AND(ArtifactsInput!$M$27,Inputs!$B$4="Chapter Hunt"),CHOOSE(ArtifactsInput!$N$27+1,20,24,28,32,36,40),0)/100)),0)</f>
        <v/>
      </c>
      <c r="R1601">
        <f>IF(AND(Inputs!$B$38&lt;&gt;"pvp",Inputs!$B$43&gt;0),IF(MAX(0,Inputs!$B$43-B1623)&lt;=0,0,(INT(MAX(0,Inputs!$B$43-B1623)/(IF(Inputs!$B$38="pvp",15,MAX(0.1,Skills!D10-IF(Skills!E10=TRUE,Inputs!$B$32,0)))*(1-IF(AND(ArtifactsInput!$M$27,Inputs!$B$4="Chapter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Inputs!$B$3&gt;=113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1611=TRUE)*(F1611-Calc!F20)),(Inputs!$B$23+0+(IF(ArtifactsInput!$M$15,CHOOSE(ArtifactsInput!$N$15+1,25,30,35,40,45,50)/100*(Inputs!$B$11-Inputs!$B$11),0))))/100+(Inputs!$B$23+0+(IF(ArtifactsInput!$M$15,CHOOSE(ArtifactsInput!$N$15+1,25,30,35,40,45,50)/100*(Inputs!$B$11-Inputs!$B$11),0)))/100)/2</f>
        <v/>
      </c>
      <c r="M1602">
        <f>L1602*(1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IF(B1626=0,0,O1602/B1626)</f>
        <v/>
      </c>
      <c r="Q1602">
        <f>IFERROR(1/(IF(Inputs!$B$38="pvp",15,MAX(0.1,Skills!D11-IF(Skills!E11=TRUE,Inputs!$B$32,0)))*(1-IF(AND(ArtifactsInput!$M$27,Inputs!$B$4="Chapter Hunt"),CHOOSE(ArtifactsInput!$N$27+1,20,24,28,32,36,40),0)/100)),0)</f>
        <v/>
      </c>
      <c r="R1602">
        <f>IF(AND(Inputs!$B$38&lt;&gt;"pvp",Inputs!$B$43&gt;0),IF(MAX(0,Inputs!$B$43-B1623)&lt;=0,0,(INT(MAX(0,Inputs!$B$43-B1623)/(IF(Inputs!$B$38="pvp",15,MAX(0.1,Skills!D11-IF(Skills!E11=TRUE,Inputs!$B$32,0)))*(1-IF(AND(ArtifactsInput!$M$27,Inputs!$B$4="Chapter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c r="T1603" t="inlineStr"/>
      <c r="V1603" t="inlineStr"/>
    </row>
    <row r="1604">
      <c r="A1604">
        <f>Skills!A13</f>
        <v/>
      </c>
      <c r="B1604">
        <f>Skills!B13</f>
        <v/>
      </c>
      <c r="C1604">
        <f>Inputs!$B$3&gt;=66</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IF(B1626=0,0,O1604/B1626)</f>
        <v/>
      </c>
      <c r="Q1604" t="n">
        <v>0</v>
      </c>
      <c r="R1604" t="n">
        <v>0</v>
      </c>
      <c r="S1604">
        <f>IFERROR(O1604/N1604,0)</f>
        <v/>
      </c>
      <c r="T1604" t="n">
        <v>0</v>
      </c>
      <c r="V1604" t="n">
        <v>0</v>
      </c>
    </row>
    <row r="1605">
      <c r="A1605">
        <f>Skills!A14</f>
        <v/>
      </c>
      <c r="B1605">
        <f>Skills!B14</f>
        <v/>
      </c>
      <c r="C1605">
        <f>Inputs!$B$3&gt;=107</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IF(B1626=0,0,O1605/B1626)</f>
        <v/>
      </c>
      <c r="Q1605" t="n">
        <v>0</v>
      </c>
      <c r="R1605" t="n">
        <v>0</v>
      </c>
      <c r="S1605">
        <f>IFERROR(O1605/N1605,0)</f>
        <v/>
      </c>
      <c r="T1605" t="n">
        <v>0</v>
      </c>
      <c r="V1605" t="n">
        <v>0</v>
      </c>
    </row>
    <row r="1606">
      <c r="A1606">
        <f>Skills!A15</f>
        <v/>
      </c>
      <c r="B1606">
        <f>Skills!B15</f>
        <v/>
      </c>
      <c r="C1606">
        <f>Inputs!$B$3&gt;=115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IF(B1626=0,0,O1606/B1626)</f>
        <v/>
      </c>
      <c r="Q1606" t="n">
        <v>0</v>
      </c>
      <c r="R1606" t="n">
        <v>0</v>
      </c>
      <c r="S1606">
        <f>IFERROR(O1606/N1606,0)</f>
        <v/>
      </c>
      <c r="T1606" t="n">
        <v>0</v>
      </c>
      <c r="V1606" t="n">
        <v>0</v>
      </c>
    </row>
    <row r="1607">
      <c r="A1607">
        <f>Skills!A16</f>
        <v/>
      </c>
      <c r="B1607">
        <f>Skills!B16</f>
        <v/>
      </c>
      <c r="C1607">
        <f>Inputs!$B$3&gt;=15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IF(B1626=0,0,O1607/B1626)</f>
        <v/>
      </c>
      <c r="Q1607" t="n">
        <v>0</v>
      </c>
      <c r="R1607" t="n">
        <v>0</v>
      </c>
      <c r="S1607">
        <f>IFERROR(O1607/N1607,0)</f>
        <v/>
      </c>
      <c r="T1607" t="n">
        <v>0</v>
      </c>
      <c r="V1607" t="n">
        <v>0</v>
      </c>
    </row>
    <row r="1608">
      <c r="A1608">
        <f>Skills!A17</f>
        <v/>
      </c>
      <c r="B1608">
        <f>Skills!B17</f>
        <v/>
      </c>
      <c r="C1608">
        <f>Inputs!$B$3&gt;=10</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IF(B1626=0,0,O1608/B1626)</f>
        <v/>
      </c>
      <c r="Q1608" t="n">
        <v>0</v>
      </c>
      <c r="R1608" t="n">
        <v>0</v>
      </c>
      <c r="S1608">
        <f>IFERROR(O1608/N1608,0)</f>
        <v/>
      </c>
      <c r="T1608" t="n">
        <v>0</v>
      </c>
      <c r="V1608" t="n">
        <v>0</v>
      </c>
    </row>
    <row r="1609">
      <c r="A1609">
        <f>Skills!A18</f>
        <v/>
      </c>
      <c r="B1609">
        <f>Skills!B18</f>
        <v/>
      </c>
      <c r="C1609">
        <f>Inputs!$B$3&gt;=33</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IF(B1626=0,0,O1609/B1626)</f>
        <v/>
      </c>
      <c r="Q1609" t="n">
        <v>0</v>
      </c>
      <c r="R1609" t="n">
        <v>0</v>
      </c>
      <c r="S1609">
        <f>IFERROR(O1609/N1609,0)</f>
        <v/>
      </c>
      <c r="T1609" t="n">
        <v>0</v>
      </c>
      <c r="V1609" t="n">
        <v>0</v>
      </c>
    </row>
    <row r="1610">
      <c r="A1610">
        <f>Skills!A19</f>
        <v/>
      </c>
      <c r="B1610">
        <f>Skills!B19</f>
        <v/>
      </c>
      <c r="C1610">
        <f>Inputs!$B$3&gt;=40</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IF(B1626=0,0,O1610/B1626)</f>
        <v/>
      </c>
      <c r="Q1610" t="n">
        <v>0</v>
      </c>
      <c r="R1610" t="n">
        <v>0</v>
      </c>
      <c r="S1610">
        <f>IFERROR(O1610/N1610,0)</f>
        <v/>
      </c>
      <c r="T1610" t="n">
        <v>0</v>
      </c>
      <c r="V1610" t="n">
        <v>0</v>
      </c>
    </row>
    <row r="1611">
      <c r="A1611">
        <f>Skills!A20</f>
        <v/>
      </c>
      <c r="B1611">
        <f>Skills!B20</f>
        <v/>
      </c>
      <c r="C1611">
        <f>Inputs!$B$3&gt;=43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IF(B1626=0,0,O1611/B1626)</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IF(B1626=0,0,O1612/B1626)</f>
        <v/>
      </c>
      <c r="Q1612" t="n">
        <v>0</v>
      </c>
      <c r="R1612" t="n">
        <v>0</v>
      </c>
      <c r="S1612">
        <f>IFERROR(O1612/N1612,0)</f>
        <v/>
      </c>
      <c r="T1612" t="n">
        <v>0</v>
      </c>
      <c r="V1612" t="n">
        <v>0</v>
      </c>
    </row>
    <row r="1613">
      <c r="A1613">
        <f>Skills!A22</f>
        <v/>
      </c>
      <c r="B1613">
        <f>Skills!B22</f>
        <v/>
      </c>
      <c r="C1613">
        <f>Inputs!$B$3&gt;=75</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IF(B1626=0,0,O1613/B1626)</f>
        <v/>
      </c>
      <c r="Q1613" t="n">
        <v>0</v>
      </c>
      <c r="R1613" t="n">
        <v>0</v>
      </c>
      <c r="S1613">
        <f>IFERROR(O1613/N1613,0)</f>
        <v/>
      </c>
      <c r="T1613" t="n">
        <v>0</v>
      </c>
      <c r="V1613" t="n">
        <v>0</v>
      </c>
    </row>
    <row r="1615">
      <c r="A1615" t="inlineStr">
        <is>
          <t>Attack% Bucket Multiplier</t>
        </is>
      </c>
      <c r="B1615">
        <f>(1+(((C1604=TRUE)*F1604)+((C1610=TRUE)*(F1610-Calc!F19))+(IF(IF(ArtifactsInput!$M$21,FALSE,TRUE),CHOOSE(ArtifactsInput!$N$21+1,25,30,35,40,45,50)*(IF(OR(Inputs!$B$4="Chapter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6">
      <c r="A1616" t="inlineStr">
        <is>
          <t>Global Crit Rate Bonus %</t>
        </is>
      </c>
      <c r="B1616" t="n">
        <v>0</v>
      </c>
    </row>
    <row r="1617">
      <c r="A1617" t="inlineStr">
        <is>
          <t>Attack Speed Buff Bonus % (unused)</t>
        </is>
      </c>
      <c r="B1617" t="n">
        <v>0</v>
      </c>
    </row>
    <row r="1618">
      <c r="A1618" t="inlineStr">
        <is>
          <t>Actions Per Second</t>
        </is>
      </c>
      <c r="B1618">
        <f>1+MIN(150,150*(1-(1-(Inputs!$B$11+((C1608=TRUE)*(F1608-Calc!F17))+((C1609=TRUE)*(F1609-Calc!F18)))/150)*(1-B1617/150)))/100</f>
        <v/>
      </c>
    </row>
    <row r="1619">
      <c r="A1619" t="inlineStr">
        <is>
          <t>Skill + Buff Cast Rate</t>
        </is>
      </c>
      <c r="B1619">
        <f>IF(AND(Inputs!$B$38&lt;&gt;"pvp",Inputs!$B$43&gt;0),SUMPRODUCT((Skills!E2:E22=TRUE)*(C1593:C1613=TRUE)*R1593:R1613*Skills!F2:F22)/Inputs!$B$43,SUMPRODUCT((Skills!E2:E22=TRUE)*(C1593:C1613=TRUE)*Q1593:Q1613*Skills!F2:F22))</f>
        <v/>
      </c>
    </row>
    <row r="1620">
      <c r="A1620" t="inlineStr">
        <is>
          <t>Hook Bomber Casts Per Second</t>
        </is>
      </c>
      <c r="B1620">
        <f>MAX(0,B1618-B1619)</f>
        <v/>
      </c>
    </row>
    <row r="1621">
      <c r="A1621" t="inlineStr">
        <is>
          <t>Global Critical Damage Bonus % (unused)</t>
        </is>
      </c>
      <c r="B1621" t="n">
        <v>0</v>
      </c>
    </row>
    <row r="1622">
      <c r="A1622" t="inlineStr">
        <is>
          <t>Global Final Damage Bonus % (Serpent Scale + Crossbones + Time Leap + Speed Infusion)</t>
        </is>
      </c>
      <c r="B1622">
        <f>((C1596=TRUE)*F1596*((10+IF(Inputs!$B$3&gt;=94,5,0))/((10+IF(Inputs!$B$3&gt;=94,5,0))+5/(B1620*(1+IF(Inputs!$B$3&gt;=104,1,0))))))+((C1605=TRUE)*F1605)+((C1606=TRUE)*F1606)+((Inputs!$B$3&gt;=110)*20*(B1618-1))</f>
        <v/>
      </c>
    </row>
    <row r="1623">
      <c r="A1623" t="inlineStr">
        <is>
          <t>Buff-Casting Startup Delay (s, fixed-duration only)</t>
        </is>
      </c>
      <c r="B1623">
        <f>IF(AND(Inputs!$B$38&lt;&gt;"pvp",Inputs!$B$43&gt;0),SUMPRODUCT((Skills!T2:T22&gt;0)*(Skills!E2:E22=TRUE)*(C1593:C1613=TRUE))/B1618,0)</f>
        <v/>
      </c>
    </row>
    <row r="1624">
      <c r="A1624" t="inlineStr">
        <is>
          <t>Boss-Only Total DPS (this block's swept value)</t>
        </is>
      </c>
      <c r="B1624">
        <f>SUM(T1593:T1613)</f>
        <v/>
      </c>
    </row>
    <row r="1625">
      <c r="A1625" t="inlineStr">
        <is>
          <t>Normal-Only Total DPS (this block's swept value)</t>
        </is>
      </c>
      <c r="B1625">
        <f>SUM(V1593:V1613)</f>
        <v/>
      </c>
    </row>
    <row r="1626">
      <c r="A1626" s="6" t="inlineStr">
        <is>
          <t>TOTAL DPS</t>
        </is>
      </c>
      <c r="B1626" s="6">
        <f>SUM(O1593:O1613)</f>
        <v/>
      </c>
    </row>
    <row r="1629">
      <c r="A1629" s="6" t="inlineStr">
        <is>
          <t>Stat: Silver Pendant (Equip)</t>
        </is>
      </c>
    </row>
    <row r="1630">
      <c r="A1630" s="5" t="inlineStr">
        <is>
          <t>Key</t>
        </is>
      </c>
      <c r="B1630" s="5" t="inlineStr">
        <is>
          <t>Name</t>
        </is>
      </c>
      <c r="C1630" s="5" t="inlineStr">
        <is>
          <t>Unlocked</t>
        </is>
      </c>
      <c r="D1630" s="5" t="inlineStr">
        <is>
          <t>InputLevel</t>
        </is>
      </c>
      <c r="E1630" s="5" t="inlineStr">
        <is>
          <t>Factor</t>
        </is>
      </c>
      <c r="F1630" s="5" t="inlineStr">
        <is>
          <t>CoefficientPercent</t>
        </is>
      </c>
      <c r="G1630" s="5" t="inlineStr">
        <is>
          <t>EffectiveHits</t>
        </is>
      </c>
      <c r="H1630" s="5" t="inlineStr">
        <is>
          <t>ProcProbability</t>
        </is>
      </c>
      <c r="I1630" s="5" t="inlineStr">
        <is>
          <t>MapleHeroMultiplier</t>
        </is>
      </c>
      <c r="J1630" s="5" t="inlineStr">
        <is>
          <t>BaseDamage</t>
        </is>
      </c>
      <c r="K1630" s="5" t="inlineStr">
        <is>
          <t>BaseHitDamage</t>
        </is>
      </c>
      <c r="L1630" s="5" t="inlineStr">
        <is>
          <t>NonCritAvg</t>
        </is>
      </c>
      <c r="M1630" s="5" t="inlineStr">
        <is>
          <t>CritAvg</t>
        </is>
      </c>
      <c r="N1630" s="5" t="inlineStr">
        <is>
          <t>ExpectedDamage(perHit)</t>
        </is>
      </c>
      <c r="O1630" s="5" t="inlineStr">
        <is>
          <t>DPS</t>
        </is>
      </c>
      <c r="P1630" s="5" t="inlineStr">
        <is>
          <t>% of Total</t>
        </is>
      </c>
      <c r="Q1630" s="5" t="inlineStr">
        <is>
          <t>InvCooldown</t>
        </is>
      </c>
      <c r="R1630" s="5" t="inlineStr">
        <is>
          <t>CastsInFight</t>
        </is>
      </c>
      <c r="S1630" s="5" t="inlineStr">
        <is>
          <t>HitRate(perSec)</t>
        </is>
      </c>
      <c r="U1630" t="inlineStr">
        <is>
          <t>helpers</t>
        </is>
      </c>
    </row>
    <row r="1631">
      <c r="A1631">
        <f>Skills!A2</f>
        <v/>
      </c>
      <c r="B1631">
        <f>Skills!B2</f>
        <v/>
      </c>
      <c r="C1631">
        <f>Inputs!$B$3&gt;=100</f>
        <v/>
      </c>
      <c r="D1631" t="inlineStr"/>
      <c r="E1631" t="inlineStr"/>
      <c r="F1631">
        <f>U1633+Skills!O2</f>
        <v/>
      </c>
      <c r="G1631">
        <f>Skills!G2*IF(Skills!H2&gt;0,Skills!I2/Skills!H2,1)</f>
        <v/>
      </c>
      <c r="H1631">
        <f>1-(1-Skills!J2/100)^Skills!K2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20)),(Inputs!$B$23+0+(IF(ArtifactsInput!$M$15,CHOOSE(ArtifactsInput!$N$15+1,25,30,35,40,45,50)/100*(Inputs!$B$11-Inputs!$B$11),0))))/100+(Inputs!$B$23+0+(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t="n">
        <v>0</v>
      </c>
      <c r="R1631" t="n">
        <v>0</v>
      </c>
      <c r="S1631">
        <f>IFERROR(O1631/N1631,0)</f>
        <v/>
      </c>
      <c r="T1631">
        <f>IF(C1631,(Skills!G2*N1631*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1">
        <f>MAX(0,(Inputs!$B$3-100)*3)+Inputs!$B$28+Inputs!$B$29</f>
        <v/>
      </c>
      <c r="V1631">
        <f>IF(C1631,(Skills!G2*N1631*B1658)*IF(Inputs!$B$38="pvp",1,(1+(Inputs!$B$21+Skills!Q2+(IF(ArtifactsInput!$M$33,CHOOSE(ArtifactsInput!$N$33+1,30,36,42,48,54,60),0))+(IF(AND(ArtifactsInput!$M$35,Inputs!$B$4&lt;&gt;"Chapter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Skills!A3</f>
        <v/>
      </c>
      <c r="B1632">
        <f>Skills!B3</f>
        <v/>
      </c>
      <c r="C1632">
        <f>Inputs!$B$3&gt;=35</f>
        <v/>
      </c>
      <c r="D1632">
        <f>IF(Skills!C3=1,60+Inputs!$B$25+Inputs!$B$29,IF(Skills!C3=2,90+Inputs!$B$26+Inputs!$B$29,IF(Skills!C3=3,120+Inputs!$B$27+Inputs!$B$29,MAX(0,(Inputs!$B$3-100)*3)+Inputs!$B$28+Inputs!$B$29)))</f>
        <v/>
      </c>
      <c r="E1632">
        <f>INDEX(FactorTable!$B$2:$Y$301, MATCH(ROUND(MIN(300,MAX(1,D1632)),0), FactorTable!$A$2:$A$301,0), Skills!M3+1)</f>
        <v/>
      </c>
      <c r="F1632">
        <f>IF(Skills!N3=TRUE,(Skills!L3/10)*(E1632/1000),Skills!L3/10)+Skills!O3</f>
        <v/>
      </c>
      <c r="G1632">
        <f>Skills!G3*IF(Skills!H3&gt;0,Skills!I3/Skills!H3,1)</f>
        <v/>
      </c>
      <c r="H1632">
        <f>1-(1-Skills!J3/100)^Skills!K3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20)),(Inputs!$B$23+0+(IF(ArtifactsInput!$M$15,CHOOSE(ArtifactsInput!$N$15+1,25,30,35,40,45,50)/100*(Inputs!$B$11-Inputs!$B$11),0))))/100+(Inputs!$B$23+0+(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t="n">
        <v>0</v>
      </c>
      <c r="R1632" t="n">
        <v>0</v>
      </c>
      <c r="S1632">
        <f>IFERROR(O1632/N1632,0)</f>
        <v/>
      </c>
      <c r="T1632">
        <f>IF(C1632,(Skills!G3*H1632*N1632*B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2">
        <f>INDEX(FactorTable!$B$2:$Y$301, MATCH(ROUND(MIN(300,MAX(1,U1631)),0), FactorTable!$A$2:$A$301,0), 22)</f>
        <v/>
      </c>
      <c r="V1632">
        <f>IF(C1632,(Skills!G3*H1632*N1632*B1658)*IF(Inputs!$B$38="pvp",1,(1+(Inputs!$B$21+Skills!Q3+(IF(ArtifactsInput!$M$33,CHOOSE(ArtifactsInput!$N$33+1,30,36,42,48,54,60),0))+(IF(AND(ArtifactsInput!$M$35,Inputs!$B$4&lt;&gt;"Chapter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Skills!A4</f>
        <v/>
      </c>
      <c r="B1633">
        <f>Skills!B4</f>
        <v/>
      </c>
      <c r="C1633">
        <f>Inputs!$B$3&gt;=60</f>
        <v/>
      </c>
      <c r="D1633">
        <f>IF(Skills!C4=1,60+Inputs!$B$25+Inputs!$B$29,IF(Skills!C4=2,90+Inputs!$B$26+Inputs!$B$29,IF(Skills!C4=3,120+Inputs!$B$27+Inputs!$B$29,MAX(0,(Inputs!$B$3-100)*3)+Inputs!$B$28+Inputs!$B$29)))</f>
        <v/>
      </c>
      <c r="E1633">
        <f>INDEX(FactorTable!$B$2:$Y$301, MATCH(ROUND(MIN(300,MAX(1,D1633)),0), FactorTable!$A$2:$A$301,0), Skills!M4+1)</f>
        <v/>
      </c>
      <c r="F1633">
        <f>IF(Skills!N4=TRUE,(Skills!L4/10)*(E1633/1000),Skills!L4/10)+Skills!O4</f>
        <v/>
      </c>
      <c r="G1633">
        <f>Skills!G4*IF(Skills!H4&gt;0,Skills!I4/Skills!H4,1)</f>
        <v/>
      </c>
      <c r="H1633">
        <f>1-(1-Skills!J4/100)^Skills!K4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1641=TRUE,F1641,0)/100)*(1+(IF(Skills!A4="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20)),(Inputs!$B$23+0+(IF(ArtifactsInput!$M$15,CHOOSE(ArtifactsInput!$N$15+1,25,30,35,40,45,50)/100*(Inputs!$B$11-Inputs!$B$11),0))))/100+(Inputs!$B$23+0+(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t="n">
        <v>0</v>
      </c>
      <c r="R1633" t="n">
        <v>0</v>
      </c>
      <c r="S1633">
        <f>IFERROR(O1633/N1633,0)</f>
        <v/>
      </c>
      <c r="T1633">
        <f>IF(C1633,(Skills!G4*H1633*N1633*B1658)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290*U1632/1000</f>
        <v/>
      </c>
      <c r="V1633">
        <f>IF(C1633,(Skills!G4*H1633*N1633*B1658)*IF(Inputs!$B$38="pvp",1,(1+(Inputs!$B$21+Skills!Q4+(IF(ArtifactsInput!$M$33,CHOOSE(ArtifactsInput!$N$33+1,30,36,42,48,54,60),0))+(IF(AND(ArtifactsInput!$M$35,Inputs!$B$4&lt;&gt;"Chapter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Skills!A5</f>
        <v/>
      </c>
      <c r="B1634">
        <f>Skills!B5</f>
        <v/>
      </c>
      <c r="C1634">
        <f>Inputs!$B$3&gt;=60</f>
        <v/>
      </c>
      <c r="D1634">
        <f>IF(Skills!C5=1,60+Inputs!$B$25+Inputs!$B$29,IF(Skills!C5=2,90+Inputs!$B$26+Inputs!$B$29,IF(Skills!C5=3,120+Inputs!$B$27+Inputs!$B$29,MAX(0,(Inputs!$B$3-100)*3)+Inputs!$B$28+Inputs!$B$29)))</f>
        <v/>
      </c>
      <c r="E1634">
        <f>INDEX(FactorTable!$B$2:$Y$301, MATCH(ROUND(MIN(300,MAX(1,D1634)),0), FactorTable!$A$2:$A$301,0), Skills!M5+1)</f>
        <v/>
      </c>
      <c r="F1634">
        <f>IF(Skills!N5=TRUE,(Skills!L5/10)*(E1634/1000),Skills!L5/10)+Skills!O5</f>
        <v/>
      </c>
      <c r="G1634">
        <f>Skills!G5*IF(Skills!H5&gt;0,Skills!I5/Skills!H5,1)</f>
        <v/>
      </c>
      <c r="H1634">
        <f>1-(1-Skills!J5/100)^Skills!K5</f>
        <v/>
      </c>
      <c r="I1634" t="inlineStr">
        <is>
          <t>1</t>
        </is>
      </c>
      <c r="J1634" t="inlineStr"/>
      <c r="K1634" t="inlineStr"/>
      <c r="L1634" t="inlineStr"/>
      <c r="M1634" t="inlineStr"/>
      <c r="N1634" t="inlineStr"/>
      <c r="O1634">
        <f>(1-Summary!$B$11)*T1634+Summary!$B$11*V1634</f>
        <v/>
      </c>
      <c r="P1634">
        <f>IF(B1664=0,0,O1634/B1664)</f>
        <v/>
      </c>
      <c r="Q1634" t="n">
        <v>0</v>
      </c>
      <c r="R1634" t="n">
        <v>0</v>
      </c>
      <c r="S1634">
        <f>IFERROR(O1634/N1634,0)</f>
        <v/>
      </c>
      <c r="T1634" t="n">
        <v>0</v>
      </c>
      <c r="V1634" t="n">
        <v>0</v>
      </c>
    </row>
    <row r="1635">
      <c r="A1635">
        <f>Skills!A6</f>
        <v/>
      </c>
      <c r="B1635">
        <f>Skills!B6</f>
        <v/>
      </c>
      <c r="C1635">
        <f>Inputs!$B$3&gt;=63</f>
        <v/>
      </c>
      <c r="D1635">
        <f>IF(Skills!C6=1,60+Inputs!$B$25+Inputs!$B$29,IF(Skills!C6=2,90+Inputs!$B$26+Inputs!$B$29,IF(Skills!C6=3,120+Inputs!$B$27+Inputs!$B$29,MAX(0,(Inputs!$B$3-100)*3)+Inputs!$B$28+Inputs!$B$29)))</f>
        <v/>
      </c>
      <c r="E1635">
        <f>INDEX(FactorTable!$B$2:$Y$301, MATCH(ROUND(MIN(300,MAX(1,D1635)),0), FactorTable!$A$2:$A$301,0), Skills!M6+1)</f>
        <v/>
      </c>
      <c r="F1635">
        <f>IF(Skills!N6=TRUE,(Skills!L6/10)*(E1635/1000),Skills!L6/10)+Skills!O6</f>
        <v/>
      </c>
      <c r="G1635">
        <f>Skills!G6*IF(Skills!H6&gt;0,Skills!I6/Skills!H6,1)</f>
        <v/>
      </c>
      <c r="H1635">
        <f>1-(1-Skills!J6/100)^Skills!K6</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20)),(Inputs!$B$23+0+(IF(ArtifactsInput!$M$15,CHOOSE(ArtifactsInput!$N$15+1,25,30,35,40,45,50)/100*(Inputs!$B$11-Inputs!$B$11),0))))/100+(Inputs!$B$23+0+(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IFERROR(1/(IF(Inputs!$B$38="pvp",15,MAX(0.1,Skills!D6-IF(Skills!E6=TRUE,Inputs!$B$32,0)))*(1-IF(AND(ArtifactsInput!$M$27,Inputs!$B$4="Chapter Hunt"),CHOOSE(ArtifactsInput!$N$27+1,20,24,28,32,36,40),0)/100)),0)</f>
        <v/>
      </c>
      <c r="R1635">
        <f>IF(AND(Inputs!$B$38&lt;&gt;"pvp",Inputs!$B$43&gt;0),IF(MAX(0,Inputs!$B$43-B1661)&lt;=0,0,(INT(MAX(0,Inputs!$B$43-B1661)/(IF(Inputs!$B$38="pvp",15,MAX(0.1,Skills!D6-IF(Skills!E6=TRUE,Inputs!$B$32,0)))*(1-IF(AND(ArtifactsInput!$M$27,Inputs!$B$4="Chapter Hunt"),CHOOSE(ArtifactsInput!$N$27+1,20,24,28,32,36,40),0)/100)))+1)),0)</f>
        <v/>
      </c>
      <c r="S1635">
        <f>IFERROR(O1635/N1635,0)</f>
        <v/>
      </c>
      <c r="T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$21+Skills!Q6+(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Skills!A7</f>
        <v/>
      </c>
      <c r="B1636">
        <f>Skills!B7</f>
        <v/>
      </c>
      <c r="C1636">
        <f>Inputs!$B$3&gt;=100</f>
        <v/>
      </c>
      <c r="D1636">
        <f>IF(Skills!C7=1,60+Inputs!$B$25+Inputs!$B$29,IF(Skills!C7=2,90+Inputs!$B$26+Inputs!$B$29,IF(Skills!C7=3,120+Inputs!$B$27+Inputs!$B$29,MAX(0,(Inputs!$B$3-100)*3)+Inputs!$B$28+Inputs!$B$29)))</f>
        <v/>
      </c>
      <c r="E1636">
        <f>INDEX(FactorTable!$B$2:$Y$301, MATCH(ROUND(MIN(300,MAX(1,D1636)),0), FactorTable!$A$2:$A$301,0), Skills!M7+1)</f>
        <v/>
      </c>
      <c r="F1636">
        <f>IF(Skills!N7=TRUE,(Skills!L7/10)*(E1636/1000),Skills!L7/10)+Skills!O7</f>
        <v/>
      </c>
      <c r="G1636">
        <f>Skills!G7*IF(Skills!H7&gt;0,Skills!I7/Skills!H7,1)</f>
        <v/>
      </c>
      <c r="H1636">
        <f>1-(1-Skills!J7/100)^Skills!K7</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20)),(Inputs!$B$23+0+(IF(ArtifactsInput!$M$15,CHOOSE(ArtifactsInput!$N$15+1,25,30,35,40,45,50)/100*(Inputs!$B$11-Inputs!$B$11),0))))/100+(Inputs!$B$23+0+(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IFERROR(1/(IF(Inputs!$B$38="pvp",15,MAX(0.1,Skills!D7-IF(Skills!E7=TRUE,Inputs!$B$32,0)))*(1-IF(AND(ArtifactsInput!$M$27,Inputs!$B$4="Chapter Hunt"),CHOOSE(ArtifactsInput!$N$27+1,20,24,28,32,36,40),0)/100)),0)</f>
        <v/>
      </c>
      <c r="R1636">
        <f>IF(AND(Inputs!$B$38&lt;&gt;"pvp",Inputs!$B$43&gt;0),IF(MAX(0,Inputs!$B$43-B1661)&lt;=0,0,(INT(MAX(0,Inputs!$B$43-B1661)/(IF(Inputs!$B$38="pvp",15,MAX(0.1,Skills!D7-IF(Skills!E7=TRUE,Inputs!$B$32,0)))*(1-IF(AND(ArtifactsInput!$M$27,Inputs!$B$4="Chapter Hunt"),CHOOSE(ArtifactsInput!$N$27+1,20,24,28,32,36,40),0)/100)))+1)),0)</f>
        <v/>
      </c>
      <c r="S1636">
        <f>IFERROR(O1636/N1636,0)</f>
        <v/>
      </c>
      <c r="T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$21+Skills!Q7+(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Skills!A8</f>
        <v/>
      </c>
      <c r="B1637">
        <f>Skills!B8</f>
        <v/>
      </c>
      <c r="C1637">
        <f>Inputs!$B$3&gt;=110</f>
        <v/>
      </c>
      <c r="D1637">
        <f>IF(Skills!C8=1,60+Inputs!$B$25+Inputs!$B$29,IF(Skills!C8=2,90+Inputs!$B$26+Inputs!$B$29,IF(Skills!C8=3,120+Inputs!$B$27+Inputs!$B$29,MAX(0,(Inputs!$B$3-100)*3)+Inputs!$B$28+Inputs!$B$29)))</f>
        <v/>
      </c>
      <c r="E1637">
        <f>INDEX(FactorTable!$B$2:$Y$301, MATCH(ROUND(MIN(300,MAX(1,D1637)),0), FactorTable!$A$2:$A$301,0), Skills!M8+1)</f>
        <v/>
      </c>
      <c r="F1637">
        <f>IF(Skills!N8=TRUE,(Skills!L8/10)*(E1637/1000),Skills!L8/10)+Skills!O8</f>
        <v/>
      </c>
      <c r="G1637">
        <f>Skills!G8*IF(Skills!H8&gt;0,Skills!I8/Skills!H8,1)</f>
        <v/>
      </c>
      <c r="H1637">
        <f>1-(1-Skills!J8/100)^Skills!K8</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1649=TRUE)*(F1649-Calc!F20)),(Inputs!$B$23+0+(IF(ArtifactsInput!$M$15,CHOOSE(ArtifactsInput!$N$15+1,25,30,35,40,45,50)/100*(Inputs!$B$11-Inputs!$B$11),0))))/100+(Inputs!$B$23+0+(IF(ArtifactsInput!$M$15,CHOOSE(ArtifactsInput!$N$15+1,25,30,35,40,45,50)/100*(Inputs!$B$11-Inputs!$B$11),0)))/100)/2</f>
        <v/>
      </c>
      <c r="M1637">
        <f>L1637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IF(B1664=0,0,O1637/B1664)</f>
        <v/>
      </c>
      <c r="Q1637">
        <f>IFERROR(1/(IF(Inputs!$B$38="pvp",15,MAX(0.1,Skills!D8-IF(Skills!E8=TRUE,Inputs!$B$32,0)))*(1-IF(AND(ArtifactsInput!$M$27,Inputs!$B$4="Chapter Hunt"),CHOOSE(ArtifactsInput!$N$27+1,20,24,28,32,36,40),0)/100)),0)</f>
        <v/>
      </c>
      <c r="R1637">
        <f>IF(AND(Inputs!$B$38&lt;&gt;"pvp",Inputs!$B$43&gt;0),IF(MAX(0,Inputs!$B$43-B1661)&lt;=0,0,(INT(MAX(0,Inputs!$B$43-B1661)/(IF(Inputs!$B$38="pvp",15,MAX(0.1,Skills!D8-IF(Skills!E8=TRUE,Inputs!$B$32,0)))*(1-IF(AND(ArtifactsInput!$M$27,Inputs!$B$4="Chapter Hunt"),CHOOSE(ArtifactsInput!$N$27+1,20,24,28,32,36,40),0)/100)))+1)),0)</f>
        <v/>
      </c>
      <c r="S1637">
        <f>IFERROR(O1637/N1637,0)</f>
        <v/>
      </c>
      <c r="T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$21+Skills!Q8+(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Skills!A9</f>
        <v/>
      </c>
      <c r="B1638">
        <f>Skills!B9</f>
        <v/>
      </c>
      <c r="C1638">
        <f>Inputs!$B$3&gt;=110</f>
        <v/>
      </c>
      <c r="D1638">
        <f>IF(Skills!C9=1,60+Inputs!$B$25+Inputs!$B$29,IF(Skills!C9=2,90+Inputs!$B$26+Inputs!$B$29,IF(Skills!C9=3,120+Inputs!$B$27+Inputs!$B$29,MAX(0,(Inputs!$B$3-100)*3)+Inputs!$B$28+Inputs!$B$29)))</f>
        <v/>
      </c>
      <c r="E1638">
        <f>INDEX(FactorTable!$B$2:$Y$301, MATCH(ROUND(MIN(300,MAX(1,D1638)),0), FactorTable!$A$2:$A$301,0), Skills!M9+1)</f>
        <v/>
      </c>
      <c r="F1638">
        <f>IF(Skills!N9=TRUE,(Skills!L9/10)*(E1638/1000),Skills!L9/10)+Skills!O9</f>
        <v/>
      </c>
      <c r="G1638">
        <f>Skills!G9*IF(Skills!H9&gt;0,Skills!I9/Skills!H9,1)</f>
        <v/>
      </c>
      <c r="H1638">
        <f>1-(1-Skills!J9/100)^Skills!K9</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1649=TRUE)*(F1649-Calc!F20)),(Inputs!$B$23+0+(IF(ArtifactsInput!$M$15,CHOOSE(ArtifactsInput!$N$15+1,25,30,35,40,45,50)/100*(Inputs!$B$11-Inputs!$B$11),0))))/100+(Inputs!$B$23+0+(IF(ArtifactsInput!$M$15,CHOOSE(ArtifactsInput!$N$15+1,25,30,35,40,45,50)/100*(Inputs!$B$11-Inputs!$B$11),0)))/100)/2</f>
        <v/>
      </c>
      <c r="M1638">
        <f>L1638*(1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IF(B1664=0,0,O1638/B1664)</f>
        <v/>
      </c>
      <c r="Q1638">
        <f>IFERROR(1/(IF(Inputs!$B$38="pvp",15,MAX(0.1,Skills!D9-IF(Skills!E9=TRUE,Inputs!$B$32,0)))*(1-IF(AND(ArtifactsInput!$M$27,Inputs!$B$4="Chapter Hunt"),CHOOSE(ArtifactsInput!$N$27+1,20,24,28,32,36,40),0)/100)),0)</f>
        <v/>
      </c>
      <c r="R1638">
        <f>IF(AND(Inputs!$B$38&lt;&gt;"pvp",Inputs!$B$43&gt;0),IF(MAX(0,Inputs!$B$43-B1661)&lt;=0,0,(INT(MAX(0,Inputs!$B$43-B1661)/(IF(Inputs!$B$38="pvp",15,MAX(0.1,Skills!D9-IF(Skills!E9=TRUE,Inputs!$B$32,0)))*(1-IF(AND(ArtifactsInput!$M$27,Inputs!$B$4="Chapter Hunt"),CHOOSE(ArtifactsInput!$N$27+1,20,24,28,32,36,40),0)/100)))+1)),0)</f>
        <v/>
      </c>
      <c r="S1638">
        <f>IFERROR(O1638/N1638,0)</f>
        <v/>
      </c>
      <c r="T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$21+Skills!Q9+(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Skills!A10</f>
        <v/>
      </c>
      <c r="B1639">
        <f>Skills!B10</f>
        <v/>
      </c>
      <c r="C1639">
        <f>Inputs!$B$3&gt;=103</f>
        <v/>
      </c>
      <c r="D1639">
        <f>IF(Skills!C10=1,60+Inputs!$B$25+Inputs!$B$29,IF(Skills!C10=2,90+Inputs!$B$26+Inputs!$B$29,IF(Skills!C10=3,120+Inputs!$B$27+Inputs!$B$29,MAX(0,(Inputs!$B$3-100)*3)+Inputs!$B$28+Inputs!$B$29)))</f>
        <v/>
      </c>
      <c r="E1639">
        <f>INDEX(FactorTable!$B$2:$Y$301, MATCH(ROUND(MIN(300,MAX(1,D1639)),0), FactorTable!$A$2:$A$301,0), Skills!M10+1)</f>
        <v/>
      </c>
      <c r="F1639">
        <f>IF(Skills!N10=TRUE,(Skills!L10/10)*(E1639/1000),Skills!L10/10)+Skills!O10</f>
        <v/>
      </c>
      <c r="G1639">
        <f>Skills!G10*IF(Skills!H10&gt;0,Skills!I10/Skills!H10,1)</f>
        <v/>
      </c>
      <c r="H1639">
        <f>1-(1-Skills!J10/100)^Skills!K10</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1649=TRUE)*(F1649-Calc!F20)),(Inputs!$B$23+0+(IF(ArtifactsInput!$M$15,CHOOSE(ArtifactsInput!$N$15+1,25,30,35,40,45,50)/100*(Inputs!$B$11-Inputs!$B$11),0))))/100+(Inputs!$B$23+0+(IF(ArtifactsInput!$M$15,CHOOSE(ArtifactsInput!$N$15+1,25,30,35,40,45,50)/100*(Inputs!$B$11-Inputs!$B$11),0)))/100)/2</f>
        <v/>
      </c>
      <c r="M1639">
        <f>L1639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IF(B1664=0,0,O1639/B1664)</f>
        <v/>
      </c>
      <c r="Q1639">
        <f>IFERROR(1/(IF(Inputs!$B$38="pvp",15,MAX(0.1,Skills!D10-IF(Skills!E10=TRUE,Inputs!$B$32,0)))*(1-IF(AND(ArtifactsInput!$M$27,Inputs!$B$4="Chapter Hunt"),CHOOSE(ArtifactsInput!$N$27+1,20,24,28,32,36,40),0)/100)),0)</f>
        <v/>
      </c>
      <c r="R1639">
        <f>IF(AND(Inputs!$B$38&lt;&gt;"pvp",Inputs!$B$43&gt;0),IF(MAX(0,Inputs!$B$43-B1661)&lt;=0,0,(INT(MAX(0,Inputs!$B$43-B1661)/(IF(Inputs!$B$38="pvp",15,MAX(0.1,Skills!D10-IF(Skills!E10=TRUE,Inputs!$B$32,0)))*(1-IF(AND(ArtifactsInput!$M$27,Inputs!$B$4="Chapter Hunt"),CHOOSE(ArtifactsInput!$N$27+1,20,24,28,32,36,40),0)/100)))+1)),0)</f>
        <v/>
      </c>
      <c r="S1639">
        <f>IFERROR(O1639/N1639,0)</f>
        <v/>
      </c>
      <c r="T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$21+Skills!Q10+(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Skills!A11</f>
        <v/>
      </c>
      <c r="B1640">
        <f>Skills!B11</f>
        <v/>
      </c>
      <c r="C1640">
        <f>Inputs!$B$3&gt;=113</f>
        <v/>
      </c>
      <c r="D1640">
        <f>IF(Skills!C11=1,60+Inputs!$B$25+Inputs!$B$29,IF(Skills!C11=2,90+Inputs!$B$26+Inputs!$B$29,IF(Skills!C11=3,120+Inputs!$B$27+Inputs!$B$29,MAX(0,(Inputs!$B$3-100)*3)+Inputs!$B$28+Inputs!$B$29)))</f>
        <v/>
      </c>
      <c r="E1640">
        <f>INDEX(FactorTable!$B$2:$Y$301, MATCH(ROUND(MIN(300,MAX(1,D1640)),0), FactorTable!$A$2:$A$301,0), Skills!M11+1)</f>
        <v/>
      </c>
      <c r="F1640">
        <f>IF(Skills!N11=TRUE,(Skills!L11/10)*(E1640/1000),Skills!L11/10)+Skills!O11</f>
        <v/>
      </c>
      <c r="G1640">
        <f>Skills!G11*IF(Skills!H11&gt;0,Skills!I11/Skills!H11,1)</f>
        <v/>
      </c>
      <c r="H1640">
        <f>1-(1-Skills!J11/100)^Skills!K11</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1649=TRUE)*(F1649-Calc!F20)),(Inputs!$B$23+0+(IF(ArtifactsInput!$M$15,CHOOSE(ArtifactsInput!$N$15+1,25,30,35,40,45,50)/100*(Inputs!$B$11-Inputs!$B$11),0))))/100+(Inputs!$B$23+0+(IF(ArtifactsInput!$M$15,CHOOSE(ArtifactsInput!$N$15+1,25,30,35,40,45,50)/100*(Inputs!$B$11-Inputs!$B$11),0)))/100)/2</f>
        <v/>
      </c>
      <c r="M1640">
        <f>L1640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IF(B1664=0,0,O1640/B1664)</f>
        <v/>
      </c>
      <c r="Q1640">
        <f>IFERROR(1/(IF(Inputs!$B$38="pvp",15,MAX(0.1,Skills!D11-IF(Skills!E11=TRUE,Inputs!$B$32,0)))*(1-IF(AND(ArtifactsInput!$M$27,Inputs!$B$4="Chapter Hunt"),CHOOSE(ArtifactsInput!$N$27+1,20,24,28,32,36,40),0)/100)),0)</f>
        <v/>
      </c>
      <c r="R1640">
        <f>IF(AND(Inputs!$B$38&lt;&gt;"pvp",Inputs!$B$43&gt;0),IF(MAX(0,Inputs!$B$43-B1661)&lt;=0,0,(INT(MAX(0,Inputs!$B$43-B1661)/(IF(Inputs!$B$38="pvp",15,MAX(0.1,Skills!D11-IF(Skills!E11=TRUE,Inputs!$B$32,0)))*(1-IF(AND(ArtifactsInput!$M$27,Inputs!$B$4="Chapter Hunt"),CHOOSE(ArtifactsInput!$N$27+1,20,24,28,32,36,40),0)/100)))+1)),0)</f>
        <v/>
      </c>
      <c r="S1640">
        <f>IFERROR(O1640/N1640,0)</f>
        <v/>
      </c>
      <c r="T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$21+Skills!Q11+(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Skills!A12</f>
        <v/>
      </c>
      <c r="B1641">
        <f>Skills!B12</f>
        <v/>
      </c>
      <c r="C1641">
        <f>Inputs!$B$3&gt;=100</f>
        <v/>
      </c>
      <c r="D1641">
        <f>IF(Skills!C12=1,60+Inputs!$B$25+Inputs!$B$29,IF(Skills!C12=2,90+Inputs!$B$26+Inputs!$B$29,IF(Skills!C12=3,120+Inputs!$B$27+Inputs!$B$29,MAX(0,(Inputs!$B$3-100)*3)+Inputs!$B$28+Inputs!$B$29)))</f>
        <v/>
      </c>
      <c r="E1641">
        <f>INDEX(FactorTable!$B$2:$Y$301, MATCH(ROUND(MIN(300,MAX(1,D1641)),0), FactorTable!$A$2:$A$301,0), Skills!M12+1)</f>
        <v/>
      </c>
      <c r="F1641">
        <f>IF(Skills!N12=TRUE,(Skills!L12/10)*(E1641/1000),Skills!L12/10)+Skills!O12</f>
        <v/>
      </c>
      <c r="G1641" t="inlineStr"/>
      <c r="H1641" t="inlineStr"/>
      <c r="I1641" t="inlineStr">
        <is>
          <t>1</t>
        </is>
      </c>
      <c r="J1641" t="inlineStr"/>
      <c r="K1641" t="inlineStr"/>
      <c r="L1641" t="inlineStr"/>
      <c r="M1641" t="inlineStr"/>
      <c r="N1641" t="inlineStr"/>
      <c r="O1641" t="inlineStr"/>
      <c r="P1641" t="inlineStr"/>
      <c r="Q1641" t="inlineStr"/>
      <c r="R1641" t="inlineStr"/>
      <c r="S1641" t="inlineStr"/>
      <c r="T1641" t="inlineStr"/>
      <c r="V1641" t="inlineStr"/>
    </row>
    <row r="1642">
      <c r="A1642">
        <f>Skills!A13</f>
        <v/>
      </c>
      <c r="B1642">
        <f>Skills!B13</f>
        <v/>
      </c>
      <c r="C1642">
        <f>Inputs!$B$3&gt;=66</f>
        <v/>
      </c>
      <c r="D1642">
        <f>IF(Skills!C13=1,60+Inputs!$B$25+Inputs!$B$29,IF(Skills!C13=2,90+Inputs!$B$26+Inputs!$B$29,IF(Skills!C13=3,120+Inputs!$B$27+Inputs!$B$29,MAX(0,(Inputs!$B$3-100)*3)+Inputs!$B$28+Inputs!$B$29)))</f>
        <v/>
      </c>
      <c r="E1642">
        <f>INDEX(FactorTable!$B$2:$Y$301, MATCH(ROUND(MIN(300,MAX(1,D1642)),0), FactorTable!$A$2:$A$301,0), Skills!M13+1)</f>
        <v/>
      </c>
      <c r="F1642">
        <f>IF(Skills!N13=TRUE,(Skills!L13/10)*(E1642/1000),Skills!L13/10)+Skills!O13</f>
        <v/>
      </c>
      <c r="G1642">
        <f>Skills!G13*IF(Skills!H13&gt;0,Skills!I13/Skills!H13,1)</f>
        <v/>
      </c>
      <c r="H1642">
        <f>1-(1-Skills!J13/100)^Skills!K13</f>
        <v/>
      </c>
      <c r="I1642" t="inlineStr">
        <is>
          <t>1</t>
        </is>
      </c>
      <c r="J1642" t="inlineStr"/>
      <c r="K1642" t="inlineStr"/>
      <c r="L1642" t="inlineStr"/>
      <c r="M1642" t="inlineStr"/>
      <c r="N1642" t="inlineStr"/>
      <c r="O1642">
        <f>(1-Summary!$B$11)*T1642+Summary!$B$11*V1642</f>
        <v/>
      </c>
      <c r="P1642">
        <f>IF(B1664=0,0,O1642/B1664)</f>
        <v/>
      </c>
      <c r="Q1642" t="n">
        <v>0</v>
      </c>
      <c r="R1642" t="n">
        <v>0</v>
      </c>
      <c r="S1642">
        <f>IFERROR(O1642/N1642,0)</f>
        <v/>
      </c>
      <c r="T1642" t="n">
        <v>0</v>
      </c>
      <c r="V1642" t="n">
        <v>0</v>
      </c>
    </row>
    <row r="1643">
      <c r="A1643">
        <f>Skills!A14</f>
        <v/>
      </c>
      <c r="B1643">
        <f>Skills!B14</f>
        <v/>
      </c>
      <c r="C1643">
        <f>Inputs!$B$3&gt;=107</f>
        <v/>
      </c>
      <c r="D1643">
        <f>IF(Skills!C14=1,60+Inputs!$B$25+Inputs!$B$29,IF(Skills!C14=2,90+Inputs!$B$26+Inputs!$B$29,IF(Skills!C14=3,120+Inputs!$B$27+Inputs!$B$29,MAX(0,(Inputs!$B$3-100)*3)+Inputs!$B$28+Inputs!$B$29)))</f>
        <v/>
      </c>
      <c r="E1643">
        <f>INDEX(FactorTable!$B$2:$Y$301, MATCH(ROUND(MIN(300,MAX(1,D1643)),0), FactorTable!$A$2:$A$301,0), Skills!M14+1)</f>
        <v/>
      </c>
      <c r="F1643">
        <f>IF(Skills!N14=TRUE,(Skills!L14/10)*(E1643/1000),Skills!L14/10)+Skills!O14</f>
        <v/>
      </c>
      <c r="G1643">
        <f>Skills!G14*IF(Skills!H14&gt;0,Skills!I14/Skills!H14,1)</f>
        <v/>
      </c>
      <c r="H1643">
        <f>1-(1-Skills!J14/100)^Skills!K14</f>
        <v/>
      </c>
      <c r="I1643" t="inlineStr">
        <is>
          <t>1</t>
        </is>
      </c>
      <c r="J1643" t="inlineStr"/>
      <c r="K1643" t="inlineStr"/>
      <c r="L1643" t="inlineStr"/>
      <c r="M1643" t="inlineStr"/>
      <c r="N1643" t="inlineStr"/>
      <c r="O1643">
        <f>(1-Summary!$B$11)*T1643+Summary!$B$11*V1643</f>
        <v/>
      </c>
      <c r="P1643">
        <f>IF(B1664=0,0,O1643/B1664)</f>
        <v/>
      </c>
      <c r="Q1643" t="n">
        <v>0</v>
      </c>
      <c r="R1643" t="n">
        <v>0</v>
      </c>
      <c r="S1643">
        <f>IFERROR(O1643/N1643,0)</f>
        <v/>
      </c>
      <c r="T1643" t="n">
        <v>0</v>
      </c>
      <c r="V1643" t="n">
        <v>0</v>
      </c>
    </row>
    <row r="1644">
      <c r="A1644">
        <f>Skills!A15</f>
        <v/>
      </c>
      <c r="B1644">
        <f>Skills!B15</f>
        <v/>
      </c>
      <c r="C1644">
        <f>Inputs!$B$3&gt;=115</f>
        <v/>
      </c>
      <c r="D1644">
        <f>IF(Skills!C15=1,60+Inputs!$B$25+Inputs!$B$29,IF(Skills!C15=2,90+Inputs!$B$26+Inputs!$B$29,IF(Skills!C15=3,120+Inputs!$B$27+Inputs!$B$29,MAX(0,(Inputs!$B$3-100)*3)+Inputs!$B$28+Inputs!$B$29)))</f>
        <v/>
      </c>
      <c r="E1644">
        <f>INDEX(FactorTable!$B$2:$Y$301, MATCH(ROUND(MIN(300,MAX(1,D1644)),0), FactorTable!$A$2:$A$301,0), Skills!M15+1)</f>
        <v/>
      </c>
      <c r="F1644">
        <f>IF(Skills!N15=TRUE,(Skills!L15/10)*(E1644/1000),Skills!L15/10)+Skills!O15</f>
        <v/>
      </c>
      <c r="G1644">
        <f>Skills!G15*IF(Skills!H15&gt;0,Skills!I15/Skills!H15,1)</f>
        <v/>
      </c>
      <c r="H1644">
        <f>1-(1-Skills!J15/100)^Skills!K15</f>
        <v/>
      </c>
      <c r="I1644" t="inlineStr">
        <is>
          <t>1</t>
        </is>
      </c>
      <c r="J1644" t="inlineStr"/>
      <c r="K1644" t="inlineStr"/>
      <c r="L1644" t="inlineStr"/>
      <c r="M1644" t="inlineStr"/>
      <c r="N1644" t="inlineStr"/>
      <c r="O1644">
        <f>(1-Summary!$B$11)*T1644+Summary!$B$11*V1644</f>
        <v/>
      </c>
      <c r="P1644">
        <f>IF(B1664=0,0,O1644/B1664)</f>
        <v/>
      </c>
      <c r="Q1644" t="n">
        <v>0</v>
      </c>
      <c r="R1644" t="n">
        <v>0</v>
      </c>
      <c r="S1644">
        <f>IFERROR(O1644/N1644,0)</f>
        <v/>
      </c>
      <c r="T1644" t="n">
        <v>0</v>
      </c>
      <c r="V1644" t="n">
        <v>0</v>
      </c>
    </row>
    <row r="1645">
      <c r="A1645">
        <f>Skills!A16</f>
        <v/>
      </c>
      <c r="B1645">
        <f>Skills!B16</f>
        <v/>
      </c>
      <c r="C1645">
        <f>Inputs!$B$3&gt;=15</f>
        <v/>
      </c>
      <c r="D1645">
        <f>IF(Skills!C16=1,60+Inputs!$B$25+Inputs!$B$29,IF(Skills!C16=2,90+Inputs!$B$26+Inputs!$B$29,IF(Skills!C16=3,120+Inputs!$B$27+Inputs!$B$29,MAX(0,(Inputs!$B$3-100)*3)+Inputs!$B$28+Inputs!$B$29)))</f>
        <v/>
      </c>
      <c r="E1645">
        <f>INDEX(FactorTable!$B$2:$Y$301, MATCH(ROUND(MIN(300,MAX(1,D1645)),0), FactorTable!$A$2:$A$301,0), Skills!M16+1)</f>
        <v/>
      </c>
      <c r="F1645">
        <f>IF(Skills!N16=TRUE,(Skills!L16/10)*(E1645/1000),Skills!L16/10)+Skills!O16</f>
        <v/>
      </c>
      <c r="G1645">
        <f>Skills!G16*IF(Skills!H16&gt;0,Skills!I16/Skills!H16,1)</f>
        <v/>
      </c>
      <c r="H1645">
        <f>1-(1-Skills!J16/100)^Skills!K16</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Skills!A17</f>
        <v/>
      </c>
      <c r="B1646">
        <f>Skills!B17</f>
        <v/>
      </c>
      <c r="C1646">
        <f>Inputs!$B$3&gt;=10</f>
        <v/>
      </c>
      <c r="D1646">
        <f>IF(Skills!C17=1,60+Inputs!$B$25+Inputs!$B$29,IF(Skills!C17=2,90+Inputs!$B$26+Inputs!$B$29,IF(Skills!C17=3,120+Inputs!$B$27+Inputs!$B$29,MAX(0,(Inputs!$B$3-100)*3)+Inputs!$B$28+Inputs!$B$29)))</f>
        <v/>
      </c>
      <c r="E1646">
        <f>INDEX(FactorTable!$B$2:$Y$301, MATCH(ROUND(MIN(300,MAX(1,D1646)),0), FactorTable!$A$2:$A$301,0), Skills!M17+1)</f>
        <v/>
      </c>
      <c r="F1646">
        <f>IF(Skills!N17=TRUE,(Skills!L17/10)*(E1646/1000),Skills!L17/10)+Skills!O17</f>
        <v/>
      </c>
      <c r="G1646">
        <f>Skills!G17*IF(Skills!H17&gt;0,Skills!I17/Skills!H17,1)</f>
        <v/>
      </c>
      <c r="H1646">
        <f>1-(1-Skills!J17/100)^Skills!K17</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Skills!A18</f>
        <v/>
      </c>
      <c r="B1647">
        <f>Skills!B18</f>
        <v/>
      </c>
      <c r="C1647">
        <f>Inputs!$B$3&gt;=33</f>
        <v/>
      </c>
      <c r="D1647">
        <f>IF(Skills!C18=1,60+Inputs!$B$25+Inputs!$B$29,IF(Skills!C18=2,90+Inputs!$B$26+Inputs!$B$29,IF(Skills!C18=3,120+Inputs!$B$27+Inputs!$B$29,MAX(0,(Inputs!$B$3-100)*3)+Inputs!$B$28+Inputs!$B$29)))</f>
        <v/>
      </c>
      <c r="E1647">
        <f>INDEX(FactorTable!$B$2:$Y$301, MATCH(ROUND(MIN(300,MAX(1,D1647)),0), FactorTable!$A$2:$A$301,0), Skills!M18+1)</f>
        <v/>
      </c>
      <c r="F1647">
        <f>IF(Skills!N18=TRUE,(Skills!L18/10)*(E1647/1000),Skills!L18/10)+Skills!O18</f>
        <v/>
      </c>
      <c r="G1647">
        <f>Skills!G18*IF(Skills!H18&gt;0,Skills!I18/Skills!H18,1)</f>
        <v/>
      </c>
      <c r="H1647">
        <f>1-(1-Skills!J18/100)^Skills!K18</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Skills!A19</f>
        <v/>
      </c>
      <c r="B1648">
        <f>Skills!B19</f>
        <v/>
      </c>
      <c r="C1648">
        <f>Inputs!$B$3&gt;=40</f>
        <v/>
      </c>
      <c r="D1648">
        <f>IF(Skills!C19=1,60+Inputs!$B$25+Inputs!$B$29,IF(Skills!C19=2,90+Inputs!$B$26+Inputs!$B$29,IF(Skills!C19=3,120+Inputs!$B$27+Inputs!$B$29,MAX(0,(Inputs!$B$3-100)*3)+Inputs!$B$28+Inputs!$B$29)))</f>
        <v/>
      </c>
      <c r="E1648">
        <f>INDEX(FactorTable!$B$2:$Y$301, MATCH(ROUND(MIN(300,MAX(1,D1648)),0), FactorTable!$A$2:$A$301,0), Skills!M19+1)</f>
        <v/>
      </c>
      <c r="F1648">
        <f>IF(Skills!N19=TRUE,(Skills!L19/10)*(E1648/1000),Skills!L19/10)+Skills!O19</f>
        <v/>
      </c>
      <c r="G1648">
        <f>Skills!G19*IF(Skills!H19&gt;0,Skills!I19/Skills!H19,1)</f>
        <v/>
      </c>
      <c r="H1648">
        <f>1-(1-Skills!J19/100)^Skills!K19</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Skills!A20</f>
        <v/>
      </c>
      <c r="B1649">
        <f>Skills!B20</f>
        <v/>
      </c>
      <c r="C1649">
        <f>Inputs!$B$3&gt;=43</f>
        <v/>
      </c>
      <c r="D1649">
        <f>IF(Skills!C20=1,60+Inputs!$B$25+Inputs!$B$29,IF(Skills!C20=2,90+Inputs!$B$26+Inputs!$B$29,IF(Skills!C20=3,120+Inputs!$B$27+Inputs!$B$29,MAX(0,(Inputs!$B$3-100)*3)+Inputs!$B$28+Inputs!$B$29)))</f>
        <v/>
      </c>
      <c r="E1649">
        <f>INDEX(FactorTable!$B$2:$Y$301, MATCH(ROUND(MIN(300,MAX(1,D1649)),0), FactorTable!$A$2:$A$301,0), Skills!M20+1)</f>
        <v/>
      </c>
      <c r="F1649">
        <f>IF(Skills!N20=TRUE,(Skills!L20/10)*(E1649/1000),Skills!L20/10)+Skills!O20</f>
        <v/>
      </c>
      <c r="G1649">
        <f>Skills!G20*IF(Skills!H20&gt;0,Skills!I20/Skills!H20,1)</f>
        <v/>
      </c>
      <c r="H1649">
        <f>1-(1-Skills!J20/100)^Skills!K20</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Skills!A21</f>
        <v/>
      </c>
      <c r="B1650">
        <f>Skills!B21</f>
        <v/>
      </c>
      <c r="C1650">
        <f>Inputs!$B$3&gt;=38</f>
        <v/>
      </c>
      <c r="D1650">
        <f>IF(Skills!C21=1,60+Inputs!$B$25+Inputs!$B$29,IF(Skills!C21=2,90+Inputs!$B$26+Inputs!$B$29,IF(Skills!C21=3,120+Inputs!$B$27+Inputs!$B$29,MAX(0,(Inputs!$B$3-100)*3)+Inputs!$B$28+Inputs!$B$29)))</f>
        <v/>
      </c>
      <c r="E1650">
        <f>INDEX(FactorTable!$B$2:$Y$301, MATCH(ROUND(MIN(300,MAX(1,D1650)),0), FactorTable!$A$2:$A$301,0), Skills!M21+1)</f>
        <v/>
      </c>
      <c r="F1650">
        <f>IF(Skills!N21=TRUE,(Skills!L21/10)*(E1650/1000),Skills!L21/10)+Skills!O21</f>
        <v/>
      </c>
      <c r="G1650">
        <f>Skills!G21*IF(Skills!H21&gt;0,Skills!I21/Skills!H21,1)</f>
        <v/>
      </c>
      <c r="H1650">
        <f>1-(1-Skills!J21/100)^Skills!K21</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Skills!A22</f>
        <v/>
      </c>
      <c r="B1651">
        <f>Skills!B22</f>
        <v/>
      </c>
      <c r="C1651">
        <f>Inputs!$B$3&gt;=75</f>
        <v/>
      </c>
      <c r="D1651">
        <f>IF(Skills!C22=1,60+Inputs!$B$25+Inputs!$B$29,IF(Skills!C22=2,90+Inputs!$B$26+Inputs!$B$29,IF(Skills!C22=3,120+Inputs!$B$27+Inputs!$B$29,MAX(0,(Inputs!$B$3-100)*3)+Inputs!$B$28+Inputs!$B$29)))</f>
        <v/>
      </c>
      <c r="E1651">
        <f>INDEX(FactorTable!$B$2:$Y$301, MATCH(ROUND(MIN(300,MAX(1,D1651)),0), FactorTable!$A$2:$A$301,0), Skills!M22+1)</f>
        <v/>
      </c>
      <c r="F1651">
        <f>IF(Skills!N22=TRUE,(Skills!L22/10)*(E1651/1000),Skills!L22/10)+Skills!O22</f>
        <v/>
      </c>
      <c r="G1651">
        <f>Skills!G22*IF(Skills!H22&gt;0,Skills!I22/Skills!H22,1)</f>
        <v/>
      </c>
      <c r="H1651">
        <f>1-(1-Skills!J22/100)^Skills!K22</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 (unused)</t>
        </is>
      </c>
      <c r="B1655" t="n">
        <v>0</v>
      </c>
    </row>
    <row r="1656">
      <c r="A1656" t="inlineStr">
        <is>
          <t>Actions Per Second</t>
        </is>
      </c>
      <c r="B1656">
        <f>1+MIN(150,150*(1-(1-(Inputs!$B$11+((C1646=TRUE)*(F1646-Calc!F17))+((C1647=TRUE)*(F1647-Calc!F18)))/150)*(1-B1655/150)))/100</f>
        <v/>
      </c>
    </row>
    <row r="1657">
      <c r="A1657" t="inlineStr">
        <is>
          <t>Skill + Buff Cast Rate</t>
        </is>
      </c>
      <c r="B1657">
        <f>IF(AND(Inputs!$B$38&lt;&gt;"pvp",Inputs!$B$43&gt;0),SUMPRODUCT((Skills!E2:E22=TRUE)*(C1631:C1651=TRUE)*R1631:R1651*Skills!F2:F22)/Inputs!$B$43,SUMPRODUCT((Skills!E2:E22=TRUE)*(C1631:C1651=TRUE)*Q1631:Q1651*Skills!F2:F22))</f>
        <v/>
      </c>
    </row>
    <row r="1658">
      <c r="A1658" t="inlineStr">
        <is>
          <t>Hook Bomber Casts Per Second</t>
        </is>
      </c>
      <c r="B1658">
        <f>MAX(0,B1656-B1657)</f>
        <v/>
      </c>
    </row>
    <row r="1659">
      <c r="A1659" t="inlineStr">
        <is>
          <t>Global Critical Damage Bonus % (unused)</t>
        </is>
      </c>
      <c r="B1659" t="n">
        <v>0</v>
      </c>
    </row>
    <row r="1660">
      <c r="A1660" t="inlineStr">
        <is>
          <t>Global Final Damage Bonus % (Serpent Scale + Crossbones + Time Leap + Speed Infusion)</t>
        </is>
      </c>
      <c r="B1660">
        <f>((C1634=TRUE)*F1634*((10+IF(Inputs!$B$3&gt;=94,5,0))/((10+IF(Inputs!$B$3&gt;=94,5,0))+5/(B1658*(1+IF(Inputs!$B$3&gt;=104,1,0))))))+((C1643=TRUE)*F1643)+((C1644=TRUE)*F1644)+((Inputs!$B$3&gt;=110)*20*(B1656-1))</f>
        <v/>
      </c>
    </row>
    <row r="1661">
      <c r="A1661" t="inlineStr">
        <is>
          <t>Buff-Casting Startup Delay (s, fixed-duration only)</t>
        </is>
      </c>
      <c r="B1661">
        <f>IF(AND(Inputs!$B$38&lt;&gt;"pvp",Inputs!$B$43&gt;0),SUMPRODUCT((Skills!T2:T22&gt;0)*(Skills!E2:E22=TRUE)*(C1631:C1651=TRUE))/B1656,0)</f>
        <v/>
      </c>
    </row>
    <row r="1662">
      <c r="A1662" t="inlineStr">
        <is>
          <t>Boss-Only Total DPS (this block's swept value)</t>
        </is>
      </c>
      <c r="B1662">
        <f>SUM(T1631:T1651)</f>
        <v/>
      </c>
    </row>
    <row r="1663">
      <c r="A1663" t="inlineStr">
        <is>
          <t>Normal-Only Total DPS (this block's swept value)</t>
        </is>
      </c>
      <c r="B1663">
        <f>SUM(V1631:V1651)</f>
        <v/>
      </c>
    </row>
    <row r="1664">
      <c r="A1664" s="6" t="inlineStr">
        <is>
          <t>TOTAL DPS</t>
        </is>
      </c>
      <c r="B1664" s="6">
        <f>SUM(O1631:O1651)</f>
        <v/>
      </c>
    </row>
    <row r="1667">
      <c r="A1667" s="6" t="inlineStr">
        <is>
          <t>Stat: Star Rock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1687=TRUE)*(F1687-Calc!F20)),(Inputs!$B$23+0+(IF(ArtifactsInput!$M$15,CHOOSE(ArtifactsInput!$N$15+1,25,30,35,40,45,50)/100*(Inputs!$B$11-Inputs!$B$11),0))))/100+(Inputs!$B$23+0+(IF(ArtifactsInput!$M$15,CHOOSE(ArtifactsInput!$N$15+1,25,30,35,40,45,50)/100*(Inputs!$B$11-Inputs!$B$11),0)))/100)/2</f>
        <v/>
      </c>
      <c r="M1669">
        <f>L1669*(1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t="n">
        <v>0</v>
      </c>
      <c r="R1669" t="n">
        <v>0</v>
      </c>
      <c r="S1669">
        <f>IFERROR(O1669/N1669,0)</f>
        <v/>
      </c>
      <c r="T1669">
        <f>IF(C1669,(Skills!G2*N1669*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Inputs!$B$3&gt;=35</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f>Skills!G3*IF(Skills!H3&gt;0,Skills!I3/Skills!H3,1)</f>
        <v/>
      </c>
      <c r="H1670">
        <f>1-(1-Skills!J3/100)^Skills!K3</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1687=TRUE)*(F1687-Calc!F20)),(Inputs!$B$23+0+(IF(ArtifactsInput!$M$15,CHOOSE(ArtifactsInput!$N$15+1,25,30,35,40,45,50)/100*(Inputs!$B$11-Inputs!$B$11),0))))/100+(Inputs!$B$23+0+(IF(ArtifactsInput!$M$15,CHOOSE(ArtifactsInput!$N$15+1,25,30,35,40,45,50)/100*(Inputs!$B$11-Inputs!$B$11),0)))/100)/2</f>
        <v/>
      </c>
      <c r="M1670">
        <f>L1670*(1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t="n">
        <v>0</v>
      </c>
      <c r="R1670" t="n">
        <v>0</v>
      </c>
      <c r="S1670">
        <f>IFERROR(O1670/N1670,0)</f>
        <v/>
      </c>
      <c r="T1670">
        <f>IF(C1670,(Skills!G3*H1670*N1670*B1696)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INDEX(FactorTable!$B$2:$Y$301, MATCH(ROUND(MIN(300,MAX(1,U1669)),0), FactorTable!$A$2:$A$301,0), 22)</f>
        <v/>
      </c>
      <c r="V1670">
        <f>IF(C1670,(Skills!G3*H1670*N1670*B1696)*IF(Inputs!$B$38="pvp",1,(1+(Inputs!$B$21+Skills!Q3+(IF(ArtifactsInput!$M$33,CHOOSE(ArtifactsInput!$N$33+1,30,36,42,48,54,60),0))+(IF(AND(ArtifactsInput!$M$35,Inputs!$B$4&lt;&gt;"Chapter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Skills!A4</f>
        <v/>
      </c>
      <c r="B1671">
        <f>Skills!B4</f>
        <v/>
      </c>
      <c r="C1671">
        <f>Inputs!$B$3&gt;=60</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f>Skills!G4*IF(Skills!H4&gt;0,Skills!I4/Skills!H4,1)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4="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1687=TRUE)*(F1687-Calc!F20)),(Inputs!$B$23+0+(IF(ArtifactsInput!$M$15,CHOOSE(ArtifactsInput!$N$15+1,25,30,35,40,45,50)/100*(Inputs!$B$11-Inputs!$B$11),0))))/100+(Inputs!$B$23+0+(IF(ArtifactsInput!$M$15,CHOOSE(ArtifactsInput!$N$15+1,25,30,35,40,45,50)/100*(Inputs!$B$11-Inputs!$B$11),0)))/100)/2</f>
        <v/>
      </c>
      <c r="M1671">
        <f>L1671*(1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t="n">
        <v>0</v>
      </c>
      <c r="R1671" t="n">
        <v>0</v>
      </c>
      <c r="S1671">
        <f>IFERROR(O1671/N1671,0)</f>
        <v/>
      </c>
      <c r="T1671">
        <f>IF(C1671,(Skills!G4*H1671*N1671*B1696)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IF(C1671,(Skills!G4*H1671*N1671*B1696)*IF(Inputs!$B$38="pvp",1,(1+(Inputs!$B$21+Skills!Q4+(IF(ArtifactsInput!$M$33,CHOOSE(ArtifactsInput!$N$33+1,30,36,42,48,54,60),0))+(IF(AND(ArtifactsInput!$M$35,Inputs!$B$4&lt;&gt;"Chapter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Inputs!$B$3&gt;=60</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t="inlineStr"/>
      <c r="K1672" t="inlineStr"/>
      <c r="L1672" t="inlineStr"/>
      <c r="M1672" t="inlineStr"/>
      <c r="N1672" t="inlineStr"/>
      <c r="O1672">
        <f>(1-Summary!$B$11)*T1672+Summary!$B$11*V1672</f>
        <v/>
      </c>
      <c r="P1672">
        <f>IF(B1702=0,0,O1672/B1702)</f>
        <v/>
      </c>
      <c r="Q1672" t="n">
        <v>0</v>
      </c>
      <c r="R1672" t="n">
        <v>0</v>
      </c>
      <c r="S1672">
        <f>IFERROR(O1672/N1672,0)</f>
        <v/>
      </c>
      <c r="T1672" t="n">
        <v>0</v>
      </c>
      <c r="V1672" t="n">
        <v>0</v>
      </c>
    </row>
    <row r="1673">
      <c r="A1673">
        <f>Skills!A6</f>
        <v/>
      </c>
      <c r="B1673">
        <f>Skills!B6</f>
        <v/>
      </c>
      <c r="C1673">
        <f>Inputs!$B$3&gt;=63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1687=TRUE)*(F1687-Calc!F20)),(Inputs!$B$23+0+(IF(ArtifactsInput!$M$15,CHOOSE(ArtifactsInput!$N$15+1,25,30,35,40,45,50)/100*(Inputs!$B$11-Inputs!$B$11),0))))/100+(Inputs!$B$23+0+(IF(ArtifactsInput!$M$15,CHOOSE(ArtifactsInput!$N$15+1,25,30,35,40,45,50)/100*(Inputs!$B$11-Inputs!$B$11),0)))/100)/2</f>
        <v/>
      </c>
      <c r="M1673">
        <f>L1673*(1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IFERROR(1/(IF(Inputs!$B$38="pvp",15,MAX(0.1,Skills!D6-IF(Skills!E6=TRUE,Inputs!$B$32,0)))*(1-IF(AND(ArtifactsInput!$M$27,Inputs!$B$4="Chapter Hunt"),CHOOSE(ArtifactsInput!$N$27+1,20,24,28,32,36,40),0)/100)),0)</f>
        <v/>
      </c>
      <c r="R1673">
        <f>IF(AND(Inputs!$B$38&lt;&gt;"pvp",Inputs!$B$43&gt;0),IF(MAX(0,Inputs!$B$43-B1699)&lt;=0,0,(INT(MAX(0,Inputs!$B$43-B1699)/(IF(Inputs!$B$38="pvp",15,MAX(0.1,Skills!D6-IF(Skills!E6=TRUE,Inputs!$B$32,0)))*(1-IF(AND(ArtifactsInput!$M$27,Inputs!$B$4="Chapter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Inputs!$B$3&gt;=100</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1687=TRUE)*(F1687-Calc!F20)),(Inputs!$B$23+0+(IF(ArtifactsInput!$M$15,CHOOSE(ArtifactsInput!$N$15+1,25,30,35,40,45,50)/100*(Inputs!$B$11-Inputs!$B$11),0))))/100+(Inputs!$B$23+0+(IF(ArtifactsInput!$M$15,CHOOSE(ArtifactsInput!$N$15+1,25,30,35,40,45,50)/100*(Inputs!$B$11-Inputs!$B$11),0)))/100)/2</f>
        <v/>
      </c>
      <c r="M1674">
        <f>L1674*(1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IFERROR(1/(IF(Inputs!$B$38="pvp",15,MAX(0.1,Skills!D7-IF(Skills!E7=TRUE,Inputs!$B$32,0)))*(1-IF(AND(ArtifactsInput!$M$27,Inputs!$B$4="Chapter Hunt"),CHOOSE(ArtifactsInput!$N$27+1,20,24,28,32,36,40),0)/100)),0)</f>
        <v/>
      </c>
      <c r="R1674">
        <f>IF(AND(Inputs!$B$38&lt;&gt;"pvp",Inputs!$B$43&gt;0),IF(MAX(0,Inputs!$B$43-B1699)&lt;=0,0,(INT(MAX(0,Inputs!$B$43-B1699)/(IF(Inputs!$B$38="pvp",15,MAX(0.1,Skills!D7-IF(Skills!E7=TRUE,Inputs!$B$32,0)))*(1-IF(AND(ArtifactsInput!$M$27,Inputs!$B$4="Chapter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Inputs!$B$3&gt;=110</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1687=TRUE)*(F1687-Calc!F20)),(Inputs!$B$23+0+(IF(ArtifactsInput!$M$15,CHOOSE(ArtifactsInput!$N$15+1,25,30,35,40,45,50)/100*(Inputs!$B$11-Inputs!$B$11),0))))/100+(Inputs!$B$23+0+(IF(ArtifactsInput!$M$15,CHOOSE(ArtifactsInput!$N$15+1,25,30,35,40,45,50)/100*(Inputs!$B$11-Inputs!$B$11),0)))/100)/2</f>
        <v/>
      </c>
      <c r="M1675">
        <f>L1675*(1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IFERROR(1/(IF(Inputs!$B$38="pvp",15,MAX(0.1,Skills!D8-IF(Skills!E8=TRUE,Inputs!$B$32,0)))*(1-IF(AND(ArtifactsInput!$M$27,Inputs!$B$4="Chapter Hunt"),CHOOSE(ArtifactsInput!$N$27+1,20,24,28,32,36,40),0)/100)),0)</f>
        <v/>
      </c>
      <c r="R1675">
        <f>IF(AND(Inputs!$B$38&lt;&gt;"pvp",Inputs!$B$43&gt;0),IF(MAX(0,Inputs!$B$43-B1699)&lt;=0,0,(INT(MAX(0,Inputs!$B$43-B1699)/(IF(Inputs!$B$38="pvp",15,MAX(0.1,Skills!D8-IF(Skills!E8=TRUE,Inputs!$B$32,0)))*(1-IF(AND(ArtifactsInput!$M$27,Inputs!$B$4="Chapter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Inputs!$B$3&gt;=110</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1687=TRUE)*(F1687-Calc!F20)),(Inputs!$B$23+0+(IF(ArtifactsInput!$M$15,CHOOSE(ArtifactsInput!$N$15+1,25,30,35,40,45,50)/100*(Inputs!$B$11-Inputs!$B$11),0))))/100+(Inputs!$B$23+0+(IF(ArtifactsInput!$M$15,CHOOSE(ArtifactsInput!$N$15+1,25,30,35,40,45,50)/100*(Inputs!$B$11-Inputs!$B$11),0)))/100)/2</f>
        <v/>
      </c>
      <c r="M1676">
        <f>L1676*(1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f>IFERROR(1/(IF(Inputs!$B$38="pvp",15,MAX(0.1,Skills!D9-IF(Skills!E9=TRUE,Inputs!$B$32,0)))*(1-IF(AND(ArtifactsInput!$M$27,Inputs!$B$4="Chapter Hunt"),CHOOSE(ArtifactsInput!$N$27+1,20,24,28,32,36,40),0)/100)),0)</f>
        <v/>
      </c>
      <c r="R1676">
        <f>IF(AND(Inputs!$B$38&lt;&gt;"pvp",Inputs!$B$43&gt;0),IF(MAX(0,Inputs!$B$43-B1699)&lt;=0,0,(INT(MAX(0,Inputs!$B$43-B1699)/(IF(Inputs!$B$38="pvp",15,MAX(0.1,Skills!D9-IF(Skills!E9=TRUE,Inputs!$B$32,0)))*(1-IF(AND(ArtifactsInput!$M$27,Inputs!$B$4="Chapter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Inputs!$B$3&gt;=103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1687=TRUE)*(F1687-Calc!F20)),(Inputs!$B$23+0+(IF(ArtifactsInput!$M$15,CHOOSE(ArtifactsInput!$N$15+1,25,30,35,40,45,50)/100*(Inputs!$B$11-Inputs!$B$11),0))))/100+(Inputs!$B$23+0+(IF(ArtifactsInput!$M$15,CHOOSE(ArtifactsInput!$N$15+1,25,30,35,40,45,50)/100*(Inputs!$B$11-Inputs!$B$11),0)))/100)/2</f>
        <v/>
      </c>
      <c r="M1677">
        <f>L1677*(1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IF(B1702=0,0,O1677/B1702)</f>
        <v/>
      </c>
      <c r="Q1677">
        <f>IFERROR(1/(IF(Inputs!$B$38="pvp",15,MAX(0.1,Skills!D10-IF(Skills!E10=TRUE,Inputs!$B$32,0)))*(1-IF(AND(ArtifactsInput!$M$27,Inputs!$B$4="Chapter Hunt"),CHOOSE(ArtifactsInput!$N$27+1,20,24,28,32,36,40),0)/100)),0)</f>
        <v/>
      </c>
      <c r="R1677">
        <f>IF(AND(Inputs!$B$38&lt;&gt;"pvp",Inputs!$B$43&gt;0),IF(MAX(0,Inputs!$B$43-B1699)&lt;=0,0,(INT(MAX(0,Inputs!$B$43-B1699)/(IF(Inputs!$B$38="pvp",15,MAX(0.1,Skills!D10-IF(Skills!E10=TRUE,Inputs!$B$32,0)))*(1-IF(AND(ArtifactsInput!$M$27,Inputs!$B$4="Chapter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Inputs!$B$3&gt;=113</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1687=TRUE)*(F1687-Calc!F20)),(Inputs!$B$23+0+(IF(ArtifactsInput!$M$15,CHOOSE(ArtifactsInput!$N$15+1,25,30,35,40,45,50)/100*(Inputs!$B$11-Inputs!$B$11),0))))/100+(Inputs!$B$23+0+(IF(ArtifactsInput!$M$15,CHOOSE(ArtifactsInput!$N$15+1,25,30,35,40,45,50)/100*(Inputs!$B$11-Inputs!$B$11),0)))/100)/2</f>
        <v/>
      </c>
      <c r="M1678">
        <f>L1678*(1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IF(B1702=0,0,O1678/B1702)</f>
        <v/>
      </c>
      <c r="Q1678">
        <f>IFERROR(1/(IF(Inputs!$B$38="pvp",15,MAX(0.1,Skills!D11-IF(Skills!E11=TRUE,Inputs!$B$32,0)))*(1-IF(AND(ArtifactsInput!$M$27,Inputs!$B$4="Chapter Hunt"),CHOOSE(ArtifactsInput!$N$27+1,20,24,28,32,36,40),0)/100)),0)</f>
        <v/>
      </c>
      <c r="R1678">
        <f>IF(AND(Inputs!$B$38&lt;&gt;"pvp",Inputs!$B$43&gt;0),IF(MAX(0,Inputs!$B$43-B1699)&lt;=0,0,(INT(MAX(0,Inputs!$B$43-B1699)/(IF(Inputs!$B$38="pvp",15,MAX(0.1,Skills!D11-IF(Skills!E11=TRUE,Inputs!$B$32,0)))*(1-IF(AND(ArtifactsInput!$M$27,Inputs!$B$4="Chapter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c r="T1679" t="inlineStr"/>
      <c r="V1679" t="inlineStr"/>
    </row>
    <row r="1680">
      <c r="A1680">
        <f>Skills!A13</f>
        <v/>
      </c>
      <c r="B1680">
        <f>Skills!B13</f>
        <v/>
      </c>
      <c r="C1680">
        <f>Inputs!$B$3&gt;=66</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Skills!A14</f>
        <v/>
      </c>
      <c r="B1681">
        <f>Skills!B14</f>
        <v/>
      </c>
      <c r="C1681">
        <f>Inputs!$B$3&gt;=107</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Skills!A15</f>
        <v/>
      </c>
      <c r="B1682">
        <f>Skills!B15</f>
        <v/>
      </c>
      <c r="C1682">
        <f>Inputs!$B$3&gt;=115</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Skills!A16</f>
        <v/>
      </c>
      <c r="B1683">
        <f>Skills!B16</f>
        <v/>
      </c>
      <c r="C1683">
        <f>Inputs!$B$3&gt;=15</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Skills!A17</f>
        <v/>
      </c>
      <c r="B1684">
        <f>Skills!B17</f>
        <v/>
      </c>
      <c r="C1684">
        <f>Inputs!$B$3&gt;=10</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Skills!A18</f>
        <v/>
      </c>
      <c r="B1685">
        <f>Skills!B18</f>
        <v/>
      </c>
      <c r="C1685">
        <f>Inputs!$B$3&gt;=33</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Skills!A19</f>
        <v/>
      </c>
      <c r="B1686">
        <f>Skills!B19</f>
        <v/>
      </c>
      <c r="C1686">
        <f>Inputs!$B$3&gt;=40</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Skills!A20</f>
        <v/>
      </c>
      <c r="B1687">
        <f>Skills!B20</f>
        <v/>
      </c>
      <c r="C1687">
        <f>Inputs!$B$3&gt;=43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Skills!A22</f>
        <v/>
      </c>
      <c r="B1689">
        <f>Skills!B22</f>
        <v/>
      </c>
      <c r="C1689">
        <f>Inputs!$B$3&gt;=75</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1+MIN(150,150*(1-(1-(Inputs!$B$11+((C1684=TRUE)*(F1684-Calc!F17))+((C1685=TRUE)*(F1685-Calc!F18)))/150)*(1-B1693/150)))/100</f>
        <v/>
      </c>
    </row>
    <row r="1695">
      <c r="A1695" t="inlineStr">
        <is>
          <t>Skill + Buff Cast Rate</t>
        </is>
      </c>
      <c r="B1695">
        <f>IF(AND(Inputs!$B$38&lt;&gt;"pvp",Inputs!$B$43&gt;0),SUMPRODUCT((Skills!E2:E22=TRUE)*(C1669:C1689=TRUE)*R1669:R1689*Skills!F2:F22)/Inputs!$B$43,SUMPRODUCT((Skills!E2:E22=TRUE)*(C1669:C1689=TRUE)*Q1669:Q1689*Skills!F2:F22))</f>
        <v/>
      </c>
    </row>
    <row r="1696">
      <c r="A1696" t="inlineStr">
        <is>
          <t>Hook Bomber Casts Per Second</t>
        </is>
      </c>
      <c r="B1696">
        <f>MAX(0,B1694-B1695)</f>
        <v/>
      </c>
    </row>
    <row r="1697">
      <c r="A1697" t="inlineStr">
        <is>
          <t>Global Critical Damage Bonus % (unused)</t>
        </is>
      </c>
      <c r="B1697" t="n">
        <v>0</v>
      </c>
    </row>
    <row r="1698">
      <c r="A1698" t="inlineStr">
        <is>
          <t>Global Final Damage Bonus % (Serpent Scale + Crossbones + Time Leap + Speed Infusion)</t>
        </is>
      </c>
      <c r="B1698">
        <f>((C1672=TRUE)*F1672*((10+IF(Inputs!$B$3&gt;=94,5,0))/((10+IF(Inputs!$B$3&gt;=94,5,0))+5/(B1696*(1+IF(Inputs!$B$3&gt;=104,1,0))))))+((C1681=TRUE)*F1681)+((C1682=TRUE)*F1682)+((Inputs!$B$3&gt;=110)*20*(B1694-1))</f>
        <v/>
      </c>
    </row>
    <row r="1699">
      <c r="A1699" t="inlineStr">
        <is>
          <t>Buff-Casting Startup Delay (s, fixed-duration only)</t>
        </is>
      </c>
      <c r="B1699">
        <f>IF(AND(Inputs!$B$38&lt;&gt;"pvp",Inputs!$B$43&gt;0),SUMPRODUCT((Skills!T2:T22&gt;0)*(Skills!E2:E22=TRUE)*(C1669:C1689=TRUE))/B1694,0)</f>
        <v/>
      </c>
    </row>
    <row r="1700">
      <c r="A1700" t="inlineStr">
        <is>
          <t>Boss-Only Total DPS (this block's swept value)</t>
        </is>
      </c>
      <c r="B1700">
        <f>SUM(T1669:T1689)</f>
        <v/>
      </c>
    </row>
    <row r="1701">
      <c r="A1701" t="inlineStr">
        <is>
          <t>Normal-Only Total DPS (this block's swept value)</t>
        </is>
      </c>
      <c r="B1701">
        <f>SUM(V1669:V1689)</f>
        <v/>
      </c>
    </row>
    <row r="1702">
      <c r="A1702" s="6" t="inlineStr">
        <is>
          <t>TOTAL DPS</t>
        </is>
      </c>
      <c r="B1702" s="6">
        <f>SUM(O1669:O1689)</f>
        <v/>
      </c>
    </row>
    <row r="1705">
      <c r="A1705" s="6" t="inlineStr">
        <is>
          <t>Stat: Book of Ancient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1725=TRUE)*(F1725-Calc!F20)),(Inputs!$B$23+0+(IF(ArtifactsInput!$M$15,CHOOSE(ArtifactsInput!$N$15+1,25,30,35,40,45,50)/100*(Inputs!$B$11-Inputs!$B$11),0))))/100+(Inputs!$B$23+0+(IF(ArtifactsInput!$M$15,CHOOSE(ArtifactsInput!$N$15+1,25,30,35,40,45,50)/100*(Inputs!$B$11-Inputs!$B$11),0)))/100)/2</f>
        <v/>
      </c>
      <c r="M1707">
        <f>L1707*(1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7">
        <f>L1707*(1-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t="n">
        <v>0</v>
      </c>
      <c r="R1707" t="n">
        <v>0</v>
      </c>
      <c r="S1707">
        <f>IFERROR(O1707/N1707,0)</f>
        <v/>
      </c>
      <c r="T1707">
        <f>IF(C1707,(Skills!G2*N1707*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1725=TRUE)*(F1725-Calc!F20)),(Inputs!$B$23+0+(IF(ArtifactsInput!$M$15,CHOOSE(ArtifactsInput!$N$15+1,25,30,35,40,45,50)/100*(Inputs!$B$11-Inputs!$B$11),0))))/100+(Inputs!$B$23+0+(IF(ArtifactsInput!$M$15,CHOOSE(ArtifactsInput!$N$15+1,25,30,35,40,45,50)/100*(Inputs!$B$11-Inputs!$B$11),0)))/100)/2</f>
        <v/>
      </c>
      <c r="M1708">
        <f>L1708*(1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8">
        <f>L1708*(1-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t="n">
        <v>0</v>
      </c>
      <c r="R1708" t="n">
        <v>0</v>
      </c>
      <c r="S1708">
        <f>IFERROR(O1708/N1708,0)</f>
        <v/>
      </c>
      <c r="T1708">
        <f>IF(C1708,(Skills!G3*H1708*N1708*B1734)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IF(C1708,(Skills!G3*H1708*N1708*B1734)*IF(Inputs!$B$38="pvp",1,(1+(Inputs!$B$21+Skills!Q3+(IF(ArtifactsInput!$M$33,CHOOSE(ArtifactsInput!$N$33+1,30,36,42,48,54,60),0))+(IF(AND(ArtifactsInput!$M$35,Inputs!$B$4&lt;&gt;"Chapter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Inputs!$B$3&gt;=60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1717=TRUE,F1717,0)/100)*(1+(IF(Skills!A4="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1725=TRUE)*(F1725-Calc!F20)),(Inputs!$B$23+0+(IF(ArtifactsInput!$M$15,CHOOSE(ArtifactsInput!$N$15+1,25,30,35,40,45,50)/100*(Inputs!$B$11-Inputs!$B$11),0))))/100+(Inputs!$B$23+0+(IF(ArtifactsInput!$M$15,CHOOSE(ArtifactsInput!$N$15+1,25,30,35,40,45,50)/100*(Inputs!$B$11-Inputs!$B$11),0)))/100)/2</f>
        <v/>
      </c>
      <c r="M1709">
        <f>L1709*(1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9">
        <f>L1709*(1-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t="n">
        <v>0</v>
      </c>
      <c r="R1709" t="n">
        <v>0</v>
      </c>
      <c r="S1709">
        <f>IFERROR(O1709/N1709,0)</f>
        <v/>
      </c>
      <c r="T1709">
        <f>IF(C1709,(Skills!G4*H1709*N1709*B1734)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IF(C1709,(Skills!G4*H1709*N1709*B1734)*IF(Inputs!$B$38="pvp",1,(1+(Inputs!$B$21+Skills!Q4+(IF(ArtifactsInput!$M$33,CHOOSE(ArtifactsInput!$N$33+1,30,36,42,48,54,60),0))+(IF(AND(ArtifactsInput!$M$35,Inputs!$B$4&lt;&gt;"Chapter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Inputs!$B$3&gt;=60</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t="inlineStr"/>
      <c r="K1710" t="inlineStr"/>
      <c r="L1710" t="inlineStr"/>
      <c r="M1710" t="inlineStr"/>
      <c r="N1710" t="inlineStr"/>
      <c r="O1710">
        <f>(1-Summary!$B$11)*T1710+Summary!$B$11*V1710</f>
        <v/>
      </c>
      <c r="P1710">
        <f>IF(B1740=0,0,O1710/B1740)</f>
        <v/>
      </c>
      <c r="Q1710" t="n">
        <v>0</v>
      </c>
      <c r="R1710" t="n">
        <v>0</v>
      </c>
      <c r="S1710">
        <f>IFERROR(O1710/N1710,0)</f>
        <v/>
      </c>
      <c r="T1710" t="n">
        <v>0</v>
      </c>
      <c r="V1710" t="n">
        <v>0</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1725=TRUE)*(F1725-Calc!F20)),(Inputs!$B$23+0+(IF(ArtifactsInput!$M$15,CHOOSE(ArtifactsInput!$N$15+1,25,30,35,40,45,50)/100*(Inputs!$B$11-Inputs!$B$11),0))))/100+(Inputs!$B$23+0+(IF(ArtifactsInput!$M$15,CHOOSE(ArtifactsInput!$N$15+1,25,30,35,40,45,50)/100*(Inputs!$B$11-Inputs!$B$11),0)))/100)/2</f>
        <v/>
      </c>
      <c r="M1711">
        <f>L1711*(1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1">
        <f>L1711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IFERROR(1/(IF(Inputs!$B$38="pvp",15,MAX(0.1,Skills!D6-IF(Skills!E6=TRUE,Inputs!$B$32,0)))*(1-IF(AND(ArtifactsInput!$M$27,Inputs!$B$4="Chapter Hunt"),CHOOSE(ArtifactsInput!$N$27+1,20,24,28,32,36,40),0)/100)),0)</f>
        <v/>
      </c>
      <c r="R1711">
        <f>IF(AND(Inputs!$B$38&lt;&gt;"pvp",Inputs!$B$43&gt;0),IF(MAX(0,Inputs!$B$43-B1737)&lt;=0,0,(INT(MAX(0,Inputs!$B$43-B1737)/(IF(Inputs!$B$38="pvp",15,MAX(0.1,Skills!D6-IF(Skills!E6=TRUE,Inputs!$B$32,0)))*(1-IF(AND(ArtifactsInput!$M$27,Inputs!$B$4="Chapter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Inputs!$B$3&gt;=100</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1725=TRUE)*(F1725-Calc!F20)),(Inputs!$B$23+0+(IF(ArtifactsInput!$M$15,CHOOSE(ArtifactsInput!$N$15+1,25,30,35,40,45,50)/100*(Inputs!$B$11-Inputs!$B$11),0))))/100+(Inputs!$B$23+0+(IF(ArtifactsInput!$M$15,CHOOSE(ArtifactsInput!$N$15+1,25,30,35,40,45,50)/100*(Inputs!$B$11-Inputs!$B$11),0)))/100)/2</f>
        <v/>
      </c>
      <c r="M1712">
        <f>L1712*(1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2">
        <f>L1712*(1-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IFERROR(1/(IF(Inputs!$B$38="pvp",15,MAX(0.1,Skills!D7-IF(Skills!E7=TRUE,Inputs!$B$32,0)))*(1-IF(AND(ArtifactsInput!$M$27,Inputs!$B$4="Chapter Hunt"),CHOOSE(ArtifactsInput!$N$27+1,20,24,28,32,36,40),0)/100)),0)</f>
        <v/>
      </c>
      <c r="R1712">
        <f>IF(AND(Inputs!$B$38&lt;&gt;"pvp",Inputs!$B$43&gt;0),IF(MAX(0,Inputs!$B$43-B1737)&lt;=0,0,(INT(MAX(0,Inputs!$B$43-B1737)/(IF(Inputs!$B$38="pvp",15,MAX(0.1,Skills!D7-IF(Skills!E7=TRUE,Inputs!$B$32,0)))*(1-IF(AND(ArtifactsInput!$M$27,Inputs!$B$4="Chapter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Inputs!$B$3&gt;=110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1725=TRUE)*(F1725-Calc!F20)),(Inputs!$B$23+0+(IF(ArtifactsInput!$M$15,CHOOSE(ArtifactsInput!$N$15+1,25,30,35,40,45,50)/100*(Inputs!$B$11-Inputs!$B$11),0))))/100+(Inputs!$B$23+0+(IF(ArtifactsInput!$M$15,CHOOSE(ArtifactsInput!$N$15+1,25,30,35,40,45,50)/100*(Inputs!$B$11-Inputs!$B$11),0)))/100)/2</f>
        <v/>
      </c>
      <c r="M1713">
        <f>L1713*(1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3">
        <f>L1713*(1-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f>IFERROR(1/(IF(Inputs!$B$38="pvp",15,MAX(0.1,Skills!D8-IF(Skills!E8=TRUE,Inputs!$B$32,0)))*(1-IF(AND(ArtifactsInput!$M$27,Inputs!$B$4="Chapter Hunt"),CHOOSE(ArtifactsInput!$N$27+1,20,24,28,32,36,40),0)/100)),0)</f>
        <v/>
      </c>
      <c r="R1713">
        <f>IF(AND(Inputs!$B$38&lt;&gt;"pvp",Inputs!$B$43&gt;0),IF(MAX(0,Inputs!$B$43-B1737)&lt;=0,0,(INT(MAX(0,Inputs!$B$43-B1737)/(IF(Inputs!$B$38="pvp",15,MAX(0.1,Skills!D8-IF(Skills!E8=TRUE,Inputs!$B$32,0)))*(1-IF(AND(ArtifactsInput!$M$27,Inputs!$B$4="Chapter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Inputs!$B$3&gt;=110</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1725=TRUE)*(F1725-Calc!F20)),(Inputs!$B$23+0+(IF(ArtifactsInput!$M$15,CHOOSE(ArtifactsInput!$N$15+1,25,30,35,40,45,50)/100*(Inputs!$B$11-Inputs!$B$11),0))))/100+(Inputs!$B$23+0+(IF(ArtifactsInput!$M$15,CHOOSE(ArtifactsInput!$N$15+1,25,30,35,40,45,50)/100*(Inputs!$B$11-Inputs!$B$11),0)))/100)/2</f>
        <v/>
      </c>
      <c r="M1714">
        <f>L1714*(1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4">
        <f>L1714*(1-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IF(B1740=0,0,O1714/B1740)</f>
        <v/>
      </c>
      <c r="Q1714">
        <f>IFERROR(1/(IF(Inputs!$B$38="pvp",15,MAX(0.1,Skills!D9-IF(Skills!E9=TRUE,Inputs!$B$32,0)))*(1-IF(AND(ArtifactsInput!$M$27,Inputs!$B$4="Chapter Hunt"),CHOOSE(ArtifactsInput!$N$27+1,20,24,28,32,36,40),0)/100)),0)</f>
        <v/>
      </c>
      <c r="R1714">
        <f>IF(AND(Inputs!$B$38&lt;&gt;"pvp",Inputs!$B$43&gt;0),IF(MAX(0,Inputs!$B$43-B1737)&lt;=0,0,(INT(MAX(0,Inputs!$B$43-B1737)/(IF(Inputs!$B$38="pvp",15,MAX(0.1,Skills!D9-IF(Skills!E9=TRUE,Inputs!$B$32,0)))*(1-IF(AND(ArtifactsInput!$M$27,Inputs!$B$4="Chapter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Inputs!$B$3&gt;=103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1725=TRUE)*(F1725-Calc!F20)),(Inputs!$B$23+0+(IF(ArtifactsInput!$M$15,CHOOSE(ArtifactsInput!$N$15+1,25,30,35,40,45,50)/100*(Inputs!$B$11-Inputs!$B$11),0))))/100+(Inputs!$B$23+0+(IF(ArtifactsInput!$M$15,CHOOSE(ArtifactsInput!$N$15+1,25,30,35,40,45,50)/100*(Inputs!$B$11-Inputs!$B$11),0)))/100)/2</f>
        <v/>
      </c>
      <c r="M1715">
        <f>L1715*(1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5">
        <f>L1715*(1-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IF(B1740=0,0,O1715/B1740)</f>
        <v/>
      </c>
      <c r="Q1715">
        <f>IFERROR(1/(IF(Inputs!$B$38="pvp",15,MAX(0.1,Skills!D10-IF(Skills!E10=TRUE,Inputs!$B$32,0)))*(1-IF(AND(ArtifactsInput!$M$27,Inputs!$B$4="Chapter Hunt"),CHOOSE(ArtifactsInput!$N$27+1,20,24,28,32,36,40),0)/100)),0)</f>
        <v/>
      </c>
      <c r="R1715">
        <f>IF(AND(Inputs!$B$38&lt;&gt;"pvp",Inputs!$B$43&gt;0),IF(MAX(0,Inputs!$B$43-B1737)&lt;=0,0,(INT(MAX(0,Inputs!$B$43-B1737)/(IF(Inputs!$B$38="pvp",15,MAX(0.1,Skills!D10-IF(Skills!E10=TRUE,Inputs!$B$32,0)))*(1-IF(AND(ArtifactsInput!$M$27,Inputs!$B$4="Chapter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Inputs!$B$3&gt;=113</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1725=TRUE)*(F1725-Calc!F20)),(Inputs!$B$23+0+(IF(ArtifactsInput!$M$15,CHOOSE(ArtifactsInput!$N$15+1,25,30,35,40,45,50)/100*(Inputs!$B$11-Inputs!$B$11),0))))/100+(Inputs!$B$23+0+(IF(ArtifactsInput!$M$15,CHOOSE(ArtifactsInput!$N$15+1,25,30,35,40,45,50)/100*(Inputs!$B$11-Inputs!$B$11),0)))/100)/2</f>
        <v/>
      </c>
      <c r="M1716">
        <f>L1716*(1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6">
        <f>L1716*(1-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IF(B1740=0,0,O1716/B1740)</f>
        <v/>
      </c>
      <c r="Q1716">
        <f>IFERROR(1/(IF(Inputs!$B$38="pvp",15,MAX(0.1,Skills!D11-IF(Skills!E11=TRUE,Inputs!$B$32,0)))*(1-IF(AND(ArtifactsInput!$M$27,Inputs!$B$4="Chapter Hunt"),CHOOSE(ArtifactsInput!$N$27+1,20,24,28,32,36,40),0)/100)),0)</f>
        <v/>
      </c>
      <c r="R1716">
        <f>IF(AND(Inputs!$B$38&lt;&gt;"pvp",Inputs!$B$43&gt;0),IF(MAX(0,Inputs!$B$43-B1737)&lt;=0,0,(INT(MAX(0,Inputs!$B$43-B1737)/(IF(Inputs!$B$38="pvp",15,MAX(0.1,Skills!D11-IF(Skills!E11=TRUE,Inputs!$B$32,0)))*(1-IF(AND(ArtifactsInput!$M$27,Inputs!$B$4="Chapter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Inputs!$B$3&gt;=100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Skills!A13</f>
        <v/>
      </c>
      <c r="B1718">
        <f>Skills!B13</f>
        <v/>
      </c>
      <c r="C1718">
        <f>Inputs!$B$3&gt;=66</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Skills!A14</f>
        <v/>
      </c>
      <c r="B1719">
        <f>Skills!B14</f>
        <v/>
      </c>
      <c r="C1719">
        <f>Inputs!$B$3&gt;=107</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Skills!A15</f>
        <v/>
      </c>
      <c r="B1720">
        <f>Skills!B15</f>
        <v/>
      </c>
      <c r="C1720">
        <f>Inputs!$B$3&gt;=115</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f>Skills!G15*IF(Skills!H15&gt;0,Skills!I15/Skills!H15,1)</f>
        <v/>
      </c>
      <c r="H1720">
        <f>1-(1-Skills!J15/100)^Skills!K15</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Skills!A16</f>
        <v/>
      </c>
      <c r="B1721">
        <f>Skills!B16</f>
        <v/>
      </c>
      <c r="C1721">
        <f>Inputs!$B$3&gt;=15</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f>Skills!G16*IF(Skills!H16&gt;0,Skills!I16/Skills!H16,1)</f>
        <v/>
      </c>
      <c r="H1721">
        <f>1-(1-Skills!J16/100)^Skills!K16</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Skills!A17</f>
        <v/>
      </c>
      <c r="B1722">
        <f>Skills!B17</f>
        <v/>
      </c>
      <c r="C1722">
        <f>Inputs!$B$3&gt;=10</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Skills!A18</f>
        <v/>
      </c>
      <c r="B1723">
        <f>Skills!B18</f>
        <v/>
      </c>
      <c r="C1723">
        <f>Inputs!$B$3&gt;=33</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Skills!A19</f>
        <v/>
      </c>
      <c r="B1724">
        <f>Skills!B19</f>
        <v/>
      </c>
      <c r="C1724">
        <f>Inputs!$B$3&gt;=40</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Skills!A20</f>
        <v/>
      </c>
      <c r="B1725">
        <f>Skills!B20</f>
        <v/>
      </c>
      <c r="C1725">
        <f>Inputs!$B$3&gt;=43</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Skills!A21</f>
        <v/>
      </c>
      <c r="B1726">
        <f>Skills!B21</f>
        <v/>
      </c>
      <c r="C1726">
        <f>Inputs!$B$3&gt;=38</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Skills!A22</f>
        <v/>
      </c>
      <c r="B1727">
        <f>Skills!B22</f>
        <v/>
      </c>
      <c r="C1727">
        <f>Inputs!$B$3&gt;=75</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IF(B1740=0,0,O1727/B1740)</f>
        <v/>
      </c>
      <c r="Q1727" t="n">
        <v>0</v>
      </c>
      <c r="R1727" t="n">
        <v>0</v>
      </c>
      <c r="S1727">
        <f>IFERROR(O1727/N1727,0)</f>
        <v/>
      </c>
      <c r="T1727" t="n">
        <v>0</v>
      </c>
      <c r="V1727" t="n">
        <v>0</v>
      </c>
    </row>
    <row r="1729">
      <c r="A1729" t="inlineStr">
        <is>
          <t>Attack% Bucket Multiplier</t>
        </is>
      </c>
      <c r="B1729">
        <f>(1+(((C1718=TRUE)*F1718)+((C1724=TRUE)*(F1724-Calc!F19))+(IF(ArtifactsInput!$M$21,CHOOSE(ArtifactsInput!$N$21+1,25,30,35,40,45,50)*(IF(OR(Inputs!$B$4="Chapter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(unused)</t>
        </is>
      </c>
      <c r="B1731" t="n">
        <v>0</v>
      </c>
    </row>
    <row r="1732">
      <c r="A1732" t="inlineStr">
        <is>
          <t>Actions Per Second</t>
        </is>
      </c>
      <c r="B1732">
        <f>1+MIN(150,150*(1-(1-(Inputs!$B$11+((C1722=TRUE)*(F1722-Calc!F17))+((C1723=TRUE)*(F1723-Calc!F18)))/150)*(1-B1731/150)))/100</f>
        <v/>
      </c>
    </row>
    <row r="1733">
      <c r="A1733" t="inlineStr">
        <is>
          <t>Skill + Buff Cast Rate</t>
        </is>
      </c>
      <c r="B1733">
        <f>IF(AND(Inputs!$B$38&lt;&gt;"pvp",Inputs!$B$43&gt;0),SUMPRODUCT((Skills!E2:E22=TRUE)*(C1707:C1727=TRUE)*R1707:R1727*Skills!F2:F22)/Inputs!$B$43,SUMPRODUCT((Skills!E2:E22=TRUE)*(C1707:C1727=TRUE)*Q1707:Q1727*Skills!F2:F22))</f>
        <v/>
      </c>
    </row>
    <row r="1734">
      <c r="A1734" t="inlineStr">
        <is>
          <t>Hook Bomber Casts Per Second</t>
        </is>
      </c>
      <c r="B1734">
        <f>MAX(0,B1732-B1733)</f>
        <v/>
      </c>
    </row>
    <row r="1735">
      <c r="A1735" t="inlineStr">
        <is>
          <t>Global Critical Damage Bonus % (unused)</t>
        </is>
      </c>
      <c r="B1735" t="n">
        <v>0</v>
      </c>
    </row>
    <row r="1736">
      <c r="A1736" t="inlineStr">
        <is>
          <t>Global Final Damage Bonus % (Serpent Scale + Crossbones + Time Leap + Speed Infusion)</t>
        </is>
      </c>
      <c r="B1736">
        <f>((C1710=TRUE)*F1710*((10+IF(Inputs!$B$3&gt;=94,5,0))/((10+IF(Inputs!$B$3&gt;=94,5,0))+5/(B1734*(1+IF(Inputs!$B$3&gt;=104,1,0))))))+((C1719=TRUE)*F1719)+((C1720=TRUE)*F1720)+((Inputs!$B$3&gt;=110)*20*(B1732-1))</f>
        <v/>
      </c>
    </row>
    <row r="1737">
      <c r="A1737" t="inlineStr">
        <is>
          <t>Buff-Casting Startup Delay (s, fixed-duration only)</t>
        </is>
      </c>
      <c r="B1737">
        <f>IF(AND(Inputs!$B$38&lt;&gt;"pvp",Inputs!$B$43&gt;0),SUMPRODUCT((Skills!T2:T22&gt;0)*(Skills!E2:E22=TRUE)*(C1707:C1727=TRUE))/B1732,0)</f>
        <v/>
      </c>
    </row>
    <row r="1738">
      <c r="A1738" t="inlineStr">
        <is>
          <t>Boss-Only Total DPS (this block's swept value)</t>
        </is>
      </c>
      <c r="B1738">
        <f>SUM(T1707:T1727)</f>
        <v/>
      </c>
    </row>
    <row r="1739">
      <c r="A1739" t="inlineStr">
        <is>
          <t>Normal-Only Total DPS (this block's swept value)</t>
        </is>
      </c>
      <c r="B1739">
        <f>SUM(V1707:V1727)</f>
        <v/>
      </c>
    </row>
    <row r="1740">
      <c r="A1740" s="6" t="inlineStr">
        <is>
          <t>TOTAL DPS</t>
        </is>
      </c>
      <c r="B1740" s="6">
        <f>SUM(O1707:O1727)</f>
        <v/>
      </c>
    </row>
    <row r="1743">
      <c r="A1743" s="6" t="inlineStr">
        <is>
          <t>Stat: Lunar Dew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1763=TRUE)*(F1763-Calc!F20)),(Inputs!$B$23+0+(IF(ArtifactsInput!$M$15,CHOOSE(ArtifactsInput!$N$15+1,25,30,35,40,45,50)/100*(Inputs!$B$11-Inputs!$B$11),0))))/100+(Inputs!$B$23+0+(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t="n">
        <v>0</v>
      </c>
      <c r="R1745" t="n">
        <v>0</v>
      </c>
      <c r="S1745">
        <f>IFERROR(O1745/N1745,0)</f>
        <v/>
      </c>
      <c r="T1745">
        <f>IF(C1745,(Skills!G2*N1745*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1763=TRUE)*(F1763-Calc!F20)),(Inputs!$B$23+0+(IF(ArtifactsInput!$M$15,CHOOSE(ArtifactsInput!$N$15+1,25,30,35,40,45,50)/100*(Inputs!$B$11-Inputs!$B$11),0))))/100+(Inputs!$B$23+0+(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f>IFERROR(O1746/N1746,0)</f>
        <v/>
      </c>
      <c r="T1746">
        <f>IF(C1746,(Skills!G3*H1746*N1746*B1772)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IF(C1746,(Skills!G3*H1746*N1746*B1772)*IF(Inputs!$B$38="pvp",1,(1+(Inputs!$B$21+Skills!Q3+(IF(ArtifactsInput!$M$33,CHOOSE(ArtifactsInput!$N$33+1,30,36,42,48,54,60),0))+(IF(AND(ArtifactsInput!$M$35,Inputs!$B$4&lt;&gt;"Chapter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Inputs!$B$3&gt;=60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1755=TRUE,F1755,0)/100)*(1+(IF(Skills!A4="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1763=TRUE)*(F1763-Calc!F20)),(Inputs!$B$23+0+(IF(ArtifactsInput!$M$15,CHOOSE(ArtifactsInput!$N$15+1,25,30,35,40,45,50)/100*(Inputs!$B$11-Inputs!$B$11),0))))/100+(Inputs!$B$23+0+(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t="n">
        <v>0</v>
      </c>
      <c r="R1747" t="n">
        <v>0</v>
      </c>
      <c r="S1747">
        <f>IFERROR(O1747/N1747,0)</f>
        <v/>
      </c>
      <c r="T1747">
        <f>IF(C1747,(Skills!G4*H1747*N1747*B1772)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IF(C1747,(Skills!G4*H1747*N1747*B1772)*IF(Inputs!$B$38="pvp",1,(1+(Inputs!$B$21+Skills!Q4+(IF(ArtifactsInput!$M$33,CHOOSE(ArtifactsInput!$N$33+1,30,36,42,48,54,60),0))+(IF(AND(ArtifactsInput!$M$35,Inputs!$B$4&lt;&gt;"Chapter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Inputs!$B$3&gt;=60</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t="inlineStr"/>
      <c r="K1748" t="inlineStr"/>
      <c r="L1748" t="inlineStr"/>
      <c r="M1748" t="inlineStr"/>
      <c r="N1748" t="inlineStr"/>
      <c r="O1748">
        <f>(1-Summary!$B$11)*T1748+Summary!$B$11*V1748</f>
        <v/>
      </c>
      <c r="P1748">
        <f>IF(B1778=0,0,O1748/B1778)</f>
        <v/>
      </c>
      <c r="Q1748" t="n">
        <v>0</v>
      </c>
      <c r="R1748" t="n">
        <v>0</v>
      </c>
      <c r="S1748">
        <f>IFERROR(O1748/N1748,0)</f>
        <v/>
      </c>
      <c r="T1748" t="n">
        <v>0</v>
      </c>
      <c r="V1748" t="n">
        <v>0</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1763=TRUE)*(F1763-Calc!F20)),(Inputs!$B$23+0+(IF(ArtifactsInput!$M$15,CHOOSE(ArtifactsInput!$N$15+1,25,30,35,40,45,50)/100*(Inputs!$B$11-Inputs!$B$11),0))))/100+(Inputs!$B$23+0+(IF(ArtifactsInput!$M$15,CHOOSE(ArtifactsInput!$N$15+1,25,30,35,40,45,50)/100*(Inputs!$B$11-Inputs!$B$11),0)))/100)/2</f>
        <v/>
      </c>
      <c r="M1749">
        <f>L1749*(1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IF(B1778=0,0,O1749/B1778)</f>
        <v/>
      </c>
      <c r="Q1749">
        <f>IFERROR(1/(IF(Inputs!$B$38="pvp",15,MAX(0.1,Skills!D6-IF(Skills!E6=TRUE,Inputs!$B$32,0)))*(1-IF(AND(ArtifactsInput!$M$27,Inputs!$B$4="Chapter Hunt"),CHOOSE(ArtifactsInput!$N$27+1,20,24,28,32,36,40),0)/100)),0)</f>
        <v/>
      </c>
      <c r="R1749">
        <f>IF(AND(Inputs!$B$38&lt;&gt;"pvp",Inputs!$B$43&gt;0),IF(MAX(0,Inputs!$B$43-B1775)&lt;=0,0,(INT(MAX(0,Inputs!$B$43-B1775)/(IF(Inputs!$B$38="pvp",15,MAX(0.1,Skills!D6-IF(Skills!E6=TRUE,Inputs!$B$32,0)))*(1-IF(AND(ArtifactsInput!$M$27,Inputs!$B$4="Chapter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Inputs!$B$3&gt;=100</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1763=TRUE)*(F1763-Calc!F20)),(Inputs!$B$23+0+(IF(ArtifactsInput!$M$15,CHOOSE(ArtifactsInput!$N$15+1,25,30,35,40,45,50)/100*(Inputs!$B$11-Inputs!$B$11),0))))/100+(Inputs!$B$23+0+(IF(ArtifactsInput!$M$15,CHOOSE(ArtifactsInput!$N$15+1,25,30,35,40,45,50)/100*(Inputs!$B$11-Inputs!$B$11),0)))/100)/2</f>
        <v/>
      </c>
      <c r="M1750">
        <f>L1750*(1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IF(B1778=0,0,O1750/B1778)</f>
        <v/>
      </c>
      <c r="Q1750">
        <f>IFERROR(1/(IF(Inputs!$B$38="pvp",15,MAX(0.1,Skills!D7-IF(Skills!E7=TRUE,Inputs!$B$32,0)))*(1-IF(AND(ArtifactsInput!$M$27,Inputs!$B$4="Chapter Hunt"),CHOOSE(ArtifactsInput!$N$27+1,20,24,28,32,36,40),0)/100)),0)</f>
        <v/>
      </c>
      <c r="R1750">
        <f>IF(AND(Inputs!$B$38&lt;&gt;"pvp",Inputs!$B$43&gt;0),IF(MAX(0,Inputs!$B$43-B1775)&lt;=0,0,(INT(MAX(0,Inputs!$B$43-B1775)/(IF(Inputs!$B$38="pvp",15,MAX(0.1,Skills!D7-IF(Skills!E7=TRUE,Inputs!$B$32,0)))*(1-IF(AND(ArtifactsInput!$M$27,Inputs!$B$4="Chapter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Inputs!$B$3&gt;=110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1763=TRUE)*(F1763-Calc!F20)),(Inputs!$B$23+0+(IF(ArtifactsInput!$M$15,CHOOSE(ArtifactsInput!$N$15+1,25,30,35,40,45,50)/100*(Inputs!$B$11-Inputs!$B$11),0))))/100+(Inputs!$B$23+0+(IF(ArtifactsInput!$M$15,CHOOSE(ArtifactsInput!$N$15+1,25,30,35,40,45,50)/100*(Inputs!$B$11-Inputs!$B$11),0)))/100)/2</f>
        <v/>
      </c>
      <c r="M1751">
        <f>L1751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IF(B1778=0,0,O1751/B1778)</f>
        <v/>
      </c>
      <c r="Q1751">
        <f>IFERROR(1/(IF(Inputs!$B$38="pvp",15,MAX(0.1,Skills!D8-IF(Skills!E8=TRUE,Inputs!$B$32,0)))*(1-IF(AND(ArtifactsInput!$M$27,Inputs!$B$4="Chapter Hunt"),CHOOSE(ArtifactsInput!$N$27+1,20,24,28,32,36,40),0)/100)),0)</f>
        <v/>
      </c>
      <c r="R1751">
        <f>IF(AND(Inputs!$B$38&lt;&gt;"pvp",Inputs!$B$43&gt;0),IF(MAX(0,Inputs!$B$43-B1775)&lt;=0,0,(INT(MAX(0,Inputs!$B$43-B1775)/(IF(Inputs!$B$38="pvp",15,MAX(0.1,Skills!D8-IF(Skills!E8=TRUE,Inputs!$B$32,0)))*(1-IF(AND(ArtifactsInput!$M$27,Inputs!$B$4="Chapter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Inputs!$B$3&gt;=110</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1763=TRUE)*(F1763-Calc!F20)),(Inputs!$B$23+0+(IF(ArtifactsInput!$M$15,CHOOSE(ArtifactsInput!$N$15+1,25,30,35,40,45,50)/100*(Inputs!$B$11-Inputs!$B$11),0))))/100+(Inputs!$B$23+0+(IF(ArtifactsInput!$M$15,CHOOSE(ArtifactsInput!$N$15+1,25,30,35,40,45,50)/100*(Inputs!$B$11-Inputs!$B$11),0)))/100)/2</f>
        <v/>
      </c>
      <c r="M1752">
        <f>L1752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IF(B1778=0,0,O1752/B1778)</f>
        <v/>
      </c>
      <c r="Q1752">
        <f>IFERROR(1/(IF(Inputs!$B$38="pvp",15,MAX(0.1,Skills!D9-IF(Skills!E9=TRUE,Inputs!$B$32,0)))*(1-IF(AND(ArtifactsInput!$M$27,Inputs!$B$4="Chapter Hunt"),CHOOSE(ArtifactsInput!$N$27+1,20,24,28,32,36,40),0)/100)),0)</f>
        <v/>
      </c>
      <c r="R1752">
        <f>IF(AND(Inputs!$B$38&lt;&gt;"pvp",Inputs!$B$43&gt;0),IF(MAX(0,Inputs!$B$43-B1775)&lt;=0,0,(INT(MAX(0,Inputs!$B$43-B1775)/(IF(Inputs!$B$38="pvp",15,MAX(0.1,Skills!D9-IF(Skills!E9=TRUE,Inputs!$B$32,0)))*(1-IF(AND(ArtifactsInput!$M$27,Inputs!$B$4="Chapter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Inputs!$B$3&gt;=103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1763=TRUE)*(F1763-Calc!F20)),(Inputs!$B$23+0+(IF(ArtifactsInput!$M$15,CHOOSE(ArtifactsInput!$N$15+1,25,30,35,40,45,50)/100*(Inputs!$B$11-Inputs!$B$11),0))))/100+(Inputs!$B$23+0+(IF(ArtifactsInput!$M$15,CHOOSE(ArtifactsInput!$N$15+1,25,30,35,40,45,50)/100*(Inputs!$B$11-Inputs!$B$11),0)))/100)/2</f>
        <v/>
      </c>
      <c r="M1753">
        <f>L1753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IF(B1778=0,0,O1753/B1778)</f>
        <v/>
      </c>
      <c r="Q1753">
        <f>IFERROR(1/(IF(Inputs!$B$38="pvp",15,MAX(0.1,Skills!D10-IF(Skills!E10=TRUE,Inputs!$B$32,0)))*(1-IF(AND(ArtifactsInput!$M$27,Inputs!$B$4="Chapter Hunt"),CHOOSE(ArtifactsInput!$N$27+1,20,24,28,32,36,40),0)/100)),0)</f>
        <v/>
      </c>
      <c r="R1753">
        <f>IF(AND(Inputs!$B$38&lt;&gt;"pvp",Inputs!$B$43&gt;0),IF(MAX(0,Inputs!$B$43-B1775)&lt;=0,0,(INT(MAX(0,Inputs!$B$43-B1775)/(IF(Inputs!$B$38="pvp",15,MAX(0.1,Skills!D10-IF(Skills!E10=TRUE,Inputs!$B$32,0)))*(1-IF(AND(ArtifactsInput!$M$27,Inputs!$B$4="Chapter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Inputs!$B$3&gt;=113</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1763=TRUE)*(F1763-Calc!F20)),(Inputs!$B$23+0+(IF(ArtifactsInput!$M$15,CHOOSE(ArtifactsInput!$N$15+1,25,30,35,40,45,50)/100*(Inputs!$B$11-Inputs!$B$11),0))))/100+(Inputs!$B$23+0+(IF(ArtifactsInput!$M$15,CHOOSE(ArtifactsInput!$N$15+1,25,30,35,40,45,50)/100*(Inputs!$B$11-Inputs!$B$11),0)))/100)/2</f>
        <v/>
      </c>
      <c r="M1754">
        <f>L1754*(1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IF(B1778=0,0,O1754/B1778)</f>
        <v/>
      </c>
      <c r="Q1754">
        <f>IFERROR(1/(IF(Inputs!$B$38="pvp",15,MAX(0.1,Skills!D11-IF(Skills!E11=TRUE,Inputs!$B$32,0)))*(1-IF(AND(ArtifactsInput!$M$27,Inputs!$B$4="Chapter Hunt"),CHOOSE(ArtifactsInput!$N$27+1,20,24,28,32,36,40),0)/100)),0)</f>
        <v/>
      </c>
      <c r="R1754">
        <f>IF(AND(Inputs!$B$38&lt;&gt;"pvp",Inputs!$B$43&gt;0),IF(MAX(0,Inputs!$B$43-B1775)&lt;=0,0,(INT(MAX(0,Inputs!$B$43-B1775)/(IF(Inputs!$B$38="pvp",15,MAX(0.1,Skills!D11-IF(Skills!E11=TRUE,Inputs!$B$32,0)))*(1-IF(AND(ArtifactsInput!$M$27,Inputs!$B$4="Chapter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Inputs!$B$3&gt;=100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V1755" t="inlineStr"/>
    </row>
    <row r="1756">
      <c r="A1756">
        <f>Skills!A13</f>
        <v/>
      </c>
      <c r="B1756">
        <f>Skills!B13</f>
        <v/>
      </c>
      <c r="C1756">
        <f>Inputs!$B$3&gt;=66</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t="inlineStr"/>
      <c r="K1756" t="inlineStr"/>
      <c r="L1756" t="inlineStr"/>
      <c r="M1756" t="inlineStr"/>
      <c r="N1756" t="inlineStr"/>
      <c r="O1756">
        <f>(1-Summary!$B$11)*T1756+Summary!$B$11*V1756</f>
        <v/>
      </c>
      <c r="P1756">
        <f>IF(B1778=0,0,O1756/B1778)</f>
        <v/>
      </c>
      <c r="Q1756" t="n">
        <v>0</v>
      </c>
      <c r="R1756" t="n">
        <v>0</v>
      </c>
      <c r="S1756">
        <f>IFERROR(O1756/N1756,0)</f>
        <v/>
      </c>
      <c r="T1756" t="n">
        <v>0</v>
      </c>
      <c r="V1756" t="n">
        <v>0</v>
      </c>
    </row>
    <row r="1757">
      <c r="A1757">
        <f>Skills!A14</f>
        <v/>
      </c>
      <c r="B1757">
        <f>Skills!B14</f>
        <v/>
      </c>
      <c r="C1757">
        <f>Inputs!$B$3&gt;=107</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t="inlineStr"/>
      <c r="K1757" t="inlineStr"/>
      <c r="L1757" t="inlineStr"/>
      <c r="M1757" t="inlineStr"/>
      <c r="N1757" t="inlineStr"/>
      <c r="O1757">
        <f>(1-Summary!$B$11)*T1757+Summary!$B$11*V1757</f>
        <v/>
      </c>
      <c r="P1757">
        <f>IF(B1778=0,0,O1757/B1778)</f>
        <v/>
      </c>
      <c r="Q1757" t="n">
        <v>0</v>
      </c>
      <c r="R1757" t="n">
        <v>0</v>
      </c>
      <c r="S1757">
        <f>IFERROR(O1757/N1757,0)</f>
        <v/>
      </c>
      <c r="T1757" t="n">
        <v>0</v>
      </c>
      <c r="V1757" t="n">
        <v>0</v>
      </c>
    </row>
    <row r="1758">
      <c r="A1758">
        <f>Skills!A15</f>
        <v/>
      </c>
      <c r="B1758">
        <f>Skills!B15</f>
        <v/>
      </c>
      <c r="C1758">
        <f>Inputs!$B$3&gt;=115</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f>Skills!G15*IF(Skills!H15&gt;0,Skills!I15/Skills!H15,1)</f>
        <v/>
      </c>
      <c r="H1758">
        <f>1-(1-Skills!J15/100)^Skills!K15</f>
        <v/>
      </c>
      <c r="I1758" t="inlineStr">
        <is>
          <t>1</t>
        </is>
      </c>
      <c r="J1758" t="inlineStr"/>
      <c r="K1758" t="inlineStr"/>
      <c r="L1758" t="inlineStr"/>
      <c r="M1758" t="inlineStr"/>
      <c r="N1758" t="inlineStr"/>
      <c r="O1758">
        <f>(1-Summary!$B$11)*T1758+Summary!$B$11*V1758</f>
        <v/>
      </c>
      <c r="P1758">
        <f>IF(B1778=0,0,O1758/B1778)</f>
        <v/>
      </c>
      <c r="Q1758" t="n">
        <v>0</v>
      </c>
      <c r="R1758" t="n">
        <v>0</v>
      </c>
      <c r="S1758">
        <f>IFERROR(O1758/N1758,0)</f>
        <v/>
      </c>
      <c r="T1758" t="n">
        <v>0</v>
      </c>
      <c r="V1758" t="n">
        <v>0</v>
      </c>
    </row>
    <row r="1759">
      <c r="A1759">
        <f>Skills!A16</f>
        <v/>
      </c>
      <c r="B1759">
        <f>Skills!B16</f>
        <v/>
      </c>
      <c r="C1759">
        <f>Inputs!$B$3&gt;=15</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f>Skills!G16*IF(Skills!H16&gt;0,Skills!I16/Skills!H16,1)</f>
        <v/>
      </c>
      <c r="H1759">
        <f>1-(1-Skills!J16/100)^Skills!K16</f>
        <v/>
      </c>
      <c r="I1759" t="inlineStr">
        <is>
          <t>1</t>
        </is>
      </c>
      <c r="J1759" t="inlineStr"/>
      <c r="K1759" t="inlineStr"/>
      <c r="L1759" t="inlineStr"/>
      <c r="M1759" t="inlineStr"/>
      <c r="N1759" t="inlineStr"/>
      <c r="O1759">
        <f>(1-Summary!$B$11)*T1759+Summary!$B$11*V1759</f>
        <v/>
      </c>
      <c r="P1759">
        <f>IF(B1778=0,0,O1759/B1778)</f>
        <v/>
      </c>
      <c r="Q1759" t="n">
        <v>0</v>
      </c>
      <c r="R1759" t="n">
        <v>0</v>
      </c>
      <c r="S1759">
        <f>IFERROR(O1759/N1759,0)</f>
        <v/>
      </c>
      <c r="T1759" t="n">
        <v>0</v>
      </c>
      <c r="V1759" t="n">
        <v>0</v>
      </c>
    </row>
    <row r="1760">
      <c r="A1760">
        <f>Skills!A17</f>
        <v/>
      </c>
      <c r="B1760">
        <f>Skills!B17</f>
        <v/>
      </c>
      <c r="C1760">
        <f>Inputs!$B$3&gt;=10</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IF(B1778=0,0,O1760/B1778)</f>
        <v/>
      </c>
      <c r="Q1760" t="n">
        <v>0</v>
      </c>
      <c r="R1760" t="n">
        <v>0</v>
      </c>
      <c r="S1760">
        <f>IFERROR(O1760/N1760,0)</f>
        <v/>
      </c>
      <c r="T1760" t="n">
        <v>0</v>
      </c>
      <c r="V1760" t="n">
        <v>0</v>
      </c>
    </row>
    <row r="1761">
      <c r="A1761">
        <f>Skills!A18</f>
        <v/>
      </c>
      <c r="B1761">
        <f>Skills!B18</f>
        <v/>
      </c>
      <c r="C1761">
        <f>Inputs!$B$3&gt;=33</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IF(B1778=0,0,O1761/B1778)</f>
        <v/>
      </c>
      <c r="Q1761" t="n">
        <v>0</v>
      </c>
      <c r="R1761" t="n">
        <v>0</v>
      </c>
      <c r="S1761">
        <f>IFERROR(O1761/N1761,0)</f>
        <v/>
      </c>
      <c r="T1761" t="n">
        <v>0</v>
      </c>
      <c r="V1761" t="n">
        <v>0</v>
      </c>
    </row>
    <row r="1762">
      <c r="A1762">
        <f>Skills!A19</f>
        <v/>
      </c>
      <c r="B1762">
        <f>Skills!B19</f>
        <v/>
      </c>
      <c r="C1762">
        <f>Inputs!$B$3&gt;=40</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IF(B1778=0,0,O1762/B1778)</f>
        <v/>
      </c>
      <c r="Q1762" t="n">
        <v>0</v>
      </c>
      <c r="R1762" t="n">
        <v>0</v>
      </c>
      <c r="S1762">
        <f>IFERROR(O1762/N1762,0)</f>
        <v/>
      </c>
      <c r="T1762" t="n">
        <v>0</v>
      </c>
      <c r="V1762" t="n">
        <v>0</v>
      </c>
    </row>
    <row r="1763">
      <c r="A1763">
        <f>Skills!A20</f>
        <v/>
      </c>
      <c r="B1763">
        <f>Skills!B20</f>
        <v/>
      </c>
      <c r="C1763">
        <f>Inputs!$B$3&gt;=43</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IF(B1778=0,0,O1763/B1778)</f>
        <v/>
      </c>
      <c r="Q1763" t="n">
        <v>0</v>
      </c>
      <c r="R1763" t="n">
        <v>0</v>
      </c>
      <c r="S1763">
        <f>IFERROR(O1763/N1763,0)</f>
        <v/>
      </c>
      <c r="T1763" t="n">
        <v>0</v>
      </c>
      <c r="V1763" t="n">
        <v>0</v>
      </c>
    </row>
    <row r="1764">
      <c r="A1764">
        <f>Skills!A21</f>
        <v/>
      </c>
      <c r="B1764">
        <f>Skills!B21</f>
        <v/>
      </c>
      <c r="C1764">
        <f>Inputs!$B$3&gt;=38</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IF(B1778=0,0,O1764/B1778)</f>
        <v/>
      </c>
      <c r="Q1764" t="n">
        <v>0</v>
      </c>
      <c r="R1764" t="n">
        <v>0</v>
      </c>
      <c r="S1764">
        <f>IFERROR(O1764/N1764,0)</f>
        <v/>
      </c>
      <c r="T1764" t="n">
        <v>0</v>
      </c>
      <c r="V1764" t="n">
        <v>0</v>
      </c>
    </row>
    <row r="1765">
      <c r="A1765">
        <f>Skills!A22</f>
        <v/>
      </c>
      <c r="B1765">
        <f>Skills!B22</f>
        <v/>
      </c>
      <c r="C1765">
        <f>Inputs!$B$3&gt;=75</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IF(B1778=0,0,O1765/B1778)</f>
        <v/>
      </c>
      <c r="Q1765" t="n">
        <v>0</v>
      </c>
      <c r="R1765" t="n">
        <v>0</v>
      </c>
      <c r="S1765">
        <f>IFERROR(O1765/N1765,0)</f>
        <v/>
      </c>
      <c r="T1765" t="n">
        <v>0</v>
      </c>
      <c r="V1765" t="n">
        <v>0</v>
      </c>
    </row>
    <row r="1767">
      <c r="A1767" t="inlineStr">
        <is>
          <t>Attack% Bucket Multiplier</t>
        </is>
      </c>
      <c r="B1767">
        <f>(1+(((C1756=TRUE)*F1756)+((C1762=TRUE)*(F1762-Calc!F19))+(IF(ArtifactsInput!$M$21,CHOOSE(ArtifactsInput!$N$21+1,25,30,35,40,45,50)*(IF(OR(Inputs!$B$4="Chapter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 (unused)</t>
        </is>
      </c>
      <c r="B1769" t="n">
        <v>0</v>
      </c>
    </row>
    <row r="1770">
      <c r="A1770" t="inlineStr">
        <is>
          <t>Actions Per Second</t>
        </is>
      </c>
      <c r="B1770">
        <f>1+MIN(150,150*(1-(1-(Inputs!$B$11+((C1760=TRUE)*(F1760-Calc!F17))+((C1761=TRUE)*(F1761-Calc!F18)))/150)*(1-B1769/150)))/100</f>
        <v/>
      </c>
    </row>
    <row r="1771">
      <c r="A1771" t="inlineStr">
        <is>
          <t>Skill + Buff Cast Rate</t>
        </is>
      </c>
      <c r="B1771">
        <f>IF(AND(Inputs!$B$38&lt;&gt;"pvp",Inputs!$B$43&gt;0),SUMPRODUCT((Skills!E2:E22=TRUE)*(C1745:C1765=TRUE)*R1745:R1765*Skills!F2:F22)/Inputs!$B$43,SUMPRODUCT((Skills!E2:E22=TRUE)*(C1745:C1765=TRUE)*Q1745:Q1765*Skills!F2:F22))</f>
        <v/>
      </c>
    </row>
    <row r="1772">
      <c r="A1772" t="inlineStr">
        <is>
          <t>Hook Bomber Casts Per Second</t>
        </is>
      </c>
      <c r="B1772">
        <f>MAX(0,B1770-B1771)</f>
        <v/>
      </c>
    </row>
    <row r="1773">
      <c r="A1773" t="inlineStr">
        <is>
          <t>Global Critical Damage Bonus % (unused)</t>
        </is>
      </c>
      <c r="B1773" t="n">
        <v>0</v>
      </c>
    </row>
    <row r="1774">
      <c r="A1774" t="inlineStr">
        <is>
          <t>Global Final Damage Bonus % (Serpent Scale + Crossbones + Time Leap + Speed Infusion)</t>
        </is>
      </c>
      <c r="B1774">
        <f>((C1748=TRUE)*F1748*((10+IF(Inputs!$B$3&gt;=94,5,0))/((10+IF(Inputs!$B$3&gt;=94,5,0))+5/(B1772*(1+IF(Inputs!$B$3&gt;=104,1,0))))))+((C1757=TRUE)*F1757)+((C1758=TRUE)*F1758)+((Inputs!$B$3&gt;=110)*20*(B1770-1))</f>
        <v/>
      </c>
    </row>
    <row r="1775">
      <c r="A1775" t="inlineStr">
        <is>
          <t>Buff-Casting Startup Delay (s, fixed-duration only)</t>
        </is>
      </c>
      <c r="B1775">
        <f>IF(AND(Inputs!$B$38&lt;&gt;"pvp",Inputs!$B$43&gt;0),SUMPRODUCT((Skills!T2:T22&gt;0)*(Skills!E2:E22=TRUE)*(C1745:C1765=TRUE))/B1770,0)</f>
        <v/>
      </c>
    </row>
    <row r="1776">
      <c r="A1776" t="inlineStr">
        <is>
          <t>Boss-Only Total DPS (this block's swept value)</t>
        </is>
      </c>
      <c r="B1776">
        <f>SUM(T1745:T1765)</f>
        <v/>
      </c>
    </row>
    <row r="1777">
      <c r="A1777" t="inlineStr">
        <is>
          <t>Normal-Only Total DPS (this block's swept value)</t>
        </is>
      </c>
      <c r="B1777">
        <f>SUM(V1745:V1765)</f>
        <v/>
      </c>
    </row>
    <row r="1778">
      <c r="A1778" s="6" t="inlineStr">
        <is>
          <t>TOTAL DPS</t>
        </is>
      </c>
      <c r="B1778" s="6">
        <f>SUM(O1745:O1765)</f>
        <v/>
      </c>
    </row>
    <row r="1781">
      <c r="A1781" s="6" t="inlineStr">
        <is>
          <t>Stat: Fire Flower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1801=TRUE)*(F1801-Calc!F20)),(Inputs!$B$23+0+(IF(ArtifactsInput!$M$15,CHOOSE(ArtifactsInput!$N$15+1,25,30,35,40,45,50)/100*(Inputs!$B$11-Inputs!$B$11),0))))/100+(Inputs!$B$23+0+(IF(ArtifactsInput!$M$15,CHOOSE(ArtifactsInput!$N$15+1,25,30,35,40,45,50)/100*(Inputs!$B$11-Inputs!$B$11),0)))/100)/2</f>
        <v/>
      </c>
      <c r="M1783">
        <f>L1783*(1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IF(B1816=0,0,O1783/B1816)</f>
        <v/>
      </c>
      <c r="Q1783" t="n">
        <v>0</v>
      </c>
      <c r="R1783" t="n">
        <v>0</v>
      </c>
      <c r="S1783">
        <f>IFERROR(O1783/N1783,0)</f>
        <v/>
      </c>
      <c r="T1783">
        <f>IF(C1783,(Skills!G2*N1783*B1810)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IF(C1783,(Skills!G2*N1783*B1810)*IF(Inputs!$B$38="pvp",1,(1+(Inputs!$B$21+Skills!Q2+(IF(ArtifactsInput!$M$33,CHOOSE(ArtifactsInput!$N$33+1,30,36,42,48,54,60),0))+(IF(AND(ArtifactsInput!$M$35,Inputs!$B$4&lt;&gt;"Chapter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Inputs!$B$3&gt;=35</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f>Skills!G3*IF(Skills!H3&gt;0,Skills!I3/Skills!H3,1)</f>
        <v/>
      </c>
      <c r="H1784">
        <f>1-(1-Skills!J3/100)^Skills!K3</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1801=TRUE)*(F1801-Calc!F20)),(Inputs!$B$23+0+(IF(ArtifactsInput!$M$15,CHOOSE(ArtifactsInput!$N$15+1,25,30,35,40,45,50)/100*(Inputs!$B$11-Inputs!$B$11),0))))/100+(Inputs!$B$23+0+(IF(ArtifactsInput!$M$15,CHOOSE(ArtifactsInput!$N$15+1,25,30,35,40,45,50)/100*(Inputs!$B$11-Inputs!$B$11),0)))/100)/2</f>
        <v/>
      </c>
      <c r="M1784">
        <f>L1784*(1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IF(B1816=0,0,O1784/B1816)</f>
        <v/>
      </c>
      <c r="Q1784" t="n">
        <v>0</v>
      </c>
      <c r="R1784" t="n">
        <v>0</v>
      </c>
      <c r="S1784">
        <f>IFERROR(O1784/N1784,0)</f>
        <v/>
      </c>
      <c r="T1784">
        <f>IF(C1784,(Skills!G3*H1784*N1784*B1810)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4">
        <f>INDEX(FactorTable!$B$2:$Y$301, MATCH(ROUND(MIN(300,MAX(1,U1783)),0), FactorTable!$A$2:$A$301,0), 22)</f>
        <v/>
      </c>
      <c r="V1784">
        <f>IF(C1784,(Skills!G3*H1784*N1784*B1810)*IF(Inputs!$B$38="pvp",1,(1+(Inputs!$B$21+Skills!Q3+(IF(ArtifactsInput!$M$33,CHOOSE(ArtifactsInput!$N$33+1,30,36,42,48,54,60),0))+(IF(AND(ArtifactsInput!$M$35,Inputs!$B$4&lt;&gt;"Chapter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Skills!A4</f>
        <v/>
      </c>
      <c r="B1785">
        <f>Skills!B4</f>
        <v/>
      </c>
      <c r="C1785">
        <f>Inputs!$B$3&gt;=60</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f>Skills!G4*IF(Skills!H4&gt;0,Skills!I4/Skills!H4,1)</f>
        <v/>
      </c>
      <c r="H1785">
        <f>1-(1-Skills!J4/100)^Skills!K4</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1793=TRUE,F1793,0)/100)*(1+(IF(Skills!A4="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1801=TRUE)*(F1801-Calc!F20)),(Inputs!$B$23+0+(IF(ArtifactsInput!$M$15,CHOOSE(ArtifactsInput!$N$15+1,25,30,35,40,45,50)/100*(Inputs!$B$11-Inputs!$B$11),0))))/100+(Inputs!$B$23+0+(IF(ArtifactsInput!$M$15,CHOOSE(ArtifactsInput!$N$15+1,25,30,35,40,45,50)/100*(Inputs!$B$11-Inputs!$B$11),0)))/100)/2</f>
        <v/>
      </c>
      <c r="M1785">
        <f>L1785*(1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IF(B1816=0,0,O1785/B1816)</f>
        <v/>
      </c>
      <c r="Q1785" t="n">
        <v>0</v>
      </c>
      <c r="R1785" t="n">
        <v>0</v>
      </c>
      <c r="S1785">
        <f>IFERROR(O1785/N1785,0)</f>
        <v/>
      </c>
      <c r="T1785">
        <f>IF(C1785,(Skills!G4*H1785*N1785*B1810)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5">
        <f>290*U1784/1000</f>
        <v/>
      </c>
      <c r="V1785">
        <f>IF(C1785,(Skills!G4*H1785*N1785*B1810)*IF(Inputs!$B$38="pvp",1,(1+(Inputs!$B$21+Skills!Q4+(IF(ArtifactsInput!$M$33,CHOOSE(ArtifactsInput!$N$33+1,30,36,42,48,54,60),0))+(IF(AND(ArtifactsInput!$M$35,Inputs!$B$4&lt;&gt;"Chapter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Skills!A5</f>
        <v/>
      </c>
      <c r="B1786">
        <f>Skills!B5</f>
        <v/>
      </c>
      <c r="C1786">
        <f>Inputs!$B$3&gt;=60</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t="inlineStr"/>
      <c r="K1786" t="inlineStr"/>
      <c r="L1786" t="inlineStr"/>
      <c r="M1786" t="inlineStr"/>
      <c r="N1786" t="inlineStr"/>
      <c r="O1786">
        <f>(1-Summary!$B$11)*T1786+Summary!$B$11*V1786</f>
        <v/>
      </c>
      <c r="P1786">
        <f>IF(B1816=0,0,O1786/B1816)</f>
        <v/>
      </c>
      <c r="Q1786" t="n">
        <v>0</v>
      </c>
      <c r="R1786" t="n">
        <v>0</v>
      </c>
      <c r="S1786">
        <f>IFERROR(O1786/N1786,0)</f>
        <v/>
      </c>
      <c r="T1786" t="n">
        <v>0</v>
      </c>
      <c r="V1786" t="n">
        <v>0</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1801=TRUE)*(F1801-Calc!F20)),(Inputs!$B$23+0+(IF(ArtifactsInput!$M$15,CHOOSE(ArtifactsInput!$N$15+1,25,30,35,40,45,50)/100*(Inputs!$B$11-Inputs!$B$11),0))))/100+(Inputs!$B$23+0+(IF(ArtifactsInput!$M$15,CHOOSE(ArtifactsInput!$N$15+1,25,30,35,40,45,50)/100*(Inputs!$B$11-Inputs!$B$11),0)))/100)/2</f>
        <v/>
      </c>
      <c r="M1787">
        <f>L1787*(1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IF(B1816=0,0,O1787/B1816)</f>
        <v/>
      </c>
      <c r="Q1787">
        <f>IFERROR(1/(IF(Inputs!$B$38="pvp",15,MAX(0.1,Skills!D6-IF(Skills!E6=TRUE,Inputs!$B$32,0)))*(1-IF(AND(ArtifactsInput!$M$27,Inputs!$B$4="Chapter Hunt"),CHOOSE(ArtifactsInput!$N$27+1,20,24,28,32,36,40),0)/100)),0)</f>
        <v/>
      </c>
      <c r="R1787">
        <f>IF(AND(Inputs!$B$38&lt;&gt;"pvp",Inputs!$B$43&gt;0),IF(MAX(0,Inputs!$B$43-B1813)&lt;=0,0,(INT(MAX(0,Inputs!$B$43-B1813)/(IF(Inputs!$B$38="pvp",15,MAX(0.1,Skills!D6-IF(Skills!E6=TRUE,Inputs!$B$32,0)))*(1-IF(AND(ArtifactsInput!$M$27,Inputs!$B$4="Chapter Hunt"),CHOOSE(ArtifactsInput!$N$27+1,20,24,28,32,36,40),0)/100)))+1)),0)</f>
        <v/>
      </c>
      <c r="S1787">
        <f>IFERROR(O1787/N1787,0)</f>
        <v/>
      </c>
      <c r="T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$21+Skills!Q6+(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Inputs!$B$3&gt;=100</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1801=TRUE)*(F1801-Calc!F20)),(Inputs!$B$23+0+(IF(ArtifactsInput!$M$15,CHOOSE(ArtifactsInput!$N$15+1,25,30,35,40,45,50)/100*(Inputs!$B$11-Inputs!$B$11),0))))/100+(Inputs!$B$23+0+(IF(ArtifactsInput!$M$15,CHOOSE(ArtifactsInput!$N$15+1,25,30,35,40,45,50)/100*(Inputs!$B$11-Inputs!$B$11),0)))/100)/2</f>
        <v/>
      </c>
      <c r="M1788">
        <f>L1788*(1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IF(B1816=0,0,O1788/B1816)</f>
        <v/>
      </c>
      <c r="Q1788">
        <f>IFERROR(1/(IF(Inputs!$B$38="pvp",15,MAX(0.1,Skills!D7-IF(Skills!E7=TRUE,Inputs!$B$32,0)))*(1-IF(AND(ArtifactsInput!$M$27,Inputs!$B$4="Chapter Hunt"),CHOOSE(ArtifactsInput!$N$27+1,20,24,28,32,36,40),0)/100)),0)</f>
        <v/>
      </c>
      <c r="R1788">
        <f>IF(AND(Inputs!$B$38&lt;&gt;"pvp",Inputs!$B$43&gt;0),IF(MAX(0,Inputs!$B$43-B1813)&lt;=0,0,(INT(MAX(0,Inputs!$B$43-B1813)/(IF(Inputs!$B$38="pvp",15,MAX(0.1,Skills!D7-IF(Skills!E7=TRUE,Inputs!$B$32,0)))*(1-IF(AND(ArtifactsInput!$M$27,Inputs!$B$4="Chapter Hunt"),CHOOSE(ArtifactsInput!$N$27+1,20,24,28,32,36,40),0)/100)))+1)),0)</f>
        <v/>
      </c>
      <c r="S1788">
        <f>IFERROR(O1788/N1788,0)</f>
        <v/>
      </c>
      <c r="T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$21+Skills!Q7+(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Inputs!$B$3&gt;=110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f>Skills!G8*IF(Skills!H8&gt;0,Skills!I8/Skills!H8,1)</f>
        <v/>
      </c>
      <c r="H1789">
        <f>1-(1-Skills!J8/100)^Skills!K8</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1801=TRUE)*(F1801-Calc!F20)),(Inputs!$B$23+0+(IF(ArtifactsInput!$M$15,CHOOSE(ArtifactsInput!$N$15+1,25,30,35,40,45,50)/100*(Inputs!$B$11-Inputs!$B$11),0))))/100+(Inputs!$B$23+0+(IF(ArtifactsInput!$M$15,CHOOSE(ArtifactsInput!$N$15+1,25,30,35,40,45,50)/100*(Inputs!$B$11-Inputs!$B$11),0)))/100)/2</f>
        <v/>
      </c>
      <c r="M1789">
        <f>L1789*(1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IF(B1816=0,0,O1789/B1816)</f>
        <v/>
      </c>
      <c r="Q1789">
        <f>IFERROR(1/(IF(Inputs!$B$38="pvp",15,MAX(0.1,Skills!D8-IF(Skills!E8=TRUE,Inputs!$B$32,0)))*(1-IF(AND(ArtifactsInput!$M$27,Inputs!$B$4="Chapter Hunt"),CHOOSE(ArtifactsInput!$N$27+1,20,24,28,32,36,40),0)/100)),0)</f>
        <v/>
      </c>
      <c r="R1789">
        <f>IF(AND(Inputs!$B$38&lt;&gt;"pvp",Inputs!$B$43&gt;0),IF(MAX(0,Inputs!$B$43-B1813)&lt;=0,0,(INT(MAX(0,Inputs!$B$43-B1813)/(IF(Inputs!$B$38="pvp",15,MAX(0.1,Skills!D8-IF(Skills!E8=TRUE,Inputs!$B$32,0)))*(1-IF(AND(ArtifactsInput!$M$27,Inputs!$B$4="Chapter Hunt"),CHOOSE(ArtifactsInput!$N$27+1,20,24,28,32,36,40),0)/100)))+1)),0)</f>
        <v/>
      </c>
      <c r="S1789">
        <f>IFERROR(O1789/N1789,0)</f>
        <v/>
      </c>
      <c r="T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$21+Skills!Q8+(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Skills!A9</f>
        <v/>
      </c>
      <c r="B1790">
        <f>Skills!B9</f>
        <v/>
      </c>
      <c r="C1790">
        <f>Inputs!$B$3&gt;=110</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1801=TRUE)*(F1801-Calc!F20)),(Inputs!$B$23+0+(IF(ArtifactsInput!$M$15,CHOOSE(ArtifactsInput!$N$15+1,25,30,35,40,45,50)/100*(Inputs!$B$11-Inputs!$B$11),0))))/100+(Inputs!$B$23+0+(IF(ArtifactsInput!$M$15,CHOOSE(ArtifactsInput!$N$15+1,25,30,35,40,45,50)/100*(Inputs!$B$11-Inputs!$B$11),0)))/100)/2</f>
        <v/>
      </c>
      <c r="M1790">
        <f>L1790*(1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IF(B1816=0,0,O1790/B1816)</f>
        <v/>
      </c>
      <c r="Q1790">
        <f>IFERROR(1/(IF(Inputs!$B$38="pvp",15,MAX(0.1,Skills!D9-IF(Skills!E9=TRUE,Inputs!$B$32,0)))*(1-IF(AND(ArtifactsInput!$M$27,Inputs!$B$4="Chapter Hunt"),CHOOSE(ArtifactsInput!$N$27+1,20,24,28,32,36,40),0)/100)),0)</f>
        <v/>
      </c>
      <c r="R1790">
        <f>IF(AND(Inputs!$B$38&lt;&gt;"pvp",Inputs!$B$43&gt;0),IF(MAX(0,Inputs!$B$43-B1813)&lt;=0,0,(INT(MAX(0,Inputs!$B$43-B1813)/(IF(Inputs!$B$38="pvp",15,MAX(0.1,Skills!D9-IF(Skills!E9=TRUE,Inputs!$B$32,0)))*(1-IF(AND(ArtifactsInput!$M$27,Inputs!$B$4="Chapter Hunt"),CHOOSE(ArtifactsInput!$N$27+1,20,24,28,32,36,40),0)/100)))+1)),0)</f>
        <v/>
      </c>
      <c r="S1790">
        <f>IFERROR(O1790/N1790,0)</f>
        <v/>
      </c>
      <c r="T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$21+Skills!Q9+(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Inputs!$B$3&gt;=103</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1801=TRUE)*(F1801-Calc!F20)),(Inputs!$B$23+0+(IF(ArtifactsInput!$M$15,CHOOSE(ArtifactsInput!$N$15+1,25,30,35,40,45,50)/100*(Inputs!$B$11-Inputs!$B$11),0))))/100+(Inputs!$B$23+0+(IF(ArtifactsInput!$M$15,CHOOSE(ArtifactsInput!$N$15+1,25,30,35,40,45,50)/100*(Inputs!$B$11-Inputs!$B$11),0)))/100)/2</f>
        <v/>
      </c>
      <c r="M1791">
        <f>L1791*(1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IF(B1816=0,0,O1791/B1816)</f>
        <v/>
      </c>
      <c r="Q1791">
        <f>IFERROR(1/(IF(Inputs!$B$38="pvp",15,MAX(0.1,Skills!D10-IF(Skills!E10=TRUE,Inputs!$B$32,0)))*(1-IF(AND(ArtifactsInput!$M$27,Inputs!$B$4="Chapter Hunt"),CHOOSE(ArtifactsInput!$N$27+1,20,24,28,32,36,40),0)/100)),0)</f>
        <v/>
      </c>
      <c r="R1791">
        <f>IF(AND(Inputs!$B$38&lt;&gt;"pvp",Inputs!$B$43&gt;0),IF(MAX(0,Inputs!$B$43-B1813)&lt;=0,0,(INT(MAX(0,Inputs!$B$43-B1813)/(IF(Inputs!$B$38="pvp",15,MAX(0.1,Skills!D10-IF(Skills!E10=TRUE,Inputs!$B$32,0)))*(1-IF(AND(ArtifactsInput!$M$27,Inputs!$B$4="Chapter Hunt"),CHOOSE(ArtifactsInput!$N$27+1,20,24,28,32,36,40),0)/100)))+1)),0)</f>
        <v/>
      </c>
      <c r="S1791">
        <f>IFERROR(O1791/N1791,0)</f>
        <v/>
      </c>
      <c r="T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$21+Skills!Q10+(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Inputs!$B$3&gt;=113</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1801=TRUE)*(F1801-Calc!F20)),(Inputs!$B$23+0+(IF(ArtifactsInput!$M$15,CHOOSE(ArtifactsInput!$N$15+1,25,30,35,40,45,50)/100*(Inputs!$B$11-Inputs!$B$11),0))))/100+(Inputs!$B$23+0+(IF(ArtifactsInput!$M$15,CHOOSE(ArtifactsInput!$N$15+1,25,30,35,40,45,50)/100*(Inputs!$B$11-Inputs!$B$11),0)))/100)/2</f>
        <v/>
      </c>
      <c r="M1792">
        <f>L1792*(1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IF(B1816=0,0,O1792/B1816)</f>
        <v/>
      </c>
      <c r="Q1792">
        <f>IFERROR(1/(IF(Inputs!$B$38="pvp",15,MAX(0.1,Skills!D11-IF(Skills!E11=TRUE,Inputs!$B$32,0)))*(1-IF(AND(ArtifactsInput!$M$27,Inputs!$B$4="Chapter Hunt"),CHOOSE(ArtifactsInput!$N$27+1,20,24,28,32,36,40),0)/100)),0)</f>
        <v/>
      </c>
      <c r="R1792">
        <f>IF(AND(Inputs!$B$38&lt;&gt;"pvp",Inputs!$B$43&gt;0),IF(MAX(0,Inputs!$B$43-B1813)&lt;=0,0,(INT(MAX(0,Inputs!$B$43-B1813)/(IF(Inputs!$B$38="pvp",15,MAX(0.1,Skills!D11-IF(Skills!E11=TRUE,Inputs!$B$32,0)))*(1-IF(AND(ArtifactsInput!$M$27,Inputs!$B$4="Chapter Hunt"),CHOOSE(ArtifactsInput!$N$27+1,20,24,28,32,36,40),0)/100)))+1)),0)</f>
        <v/>
      </c>
      <c r="S1792">
        <f>IFERROR(O1792/N1792,0)</f>
        <v/>
      </c>
      <c r="T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$21+Skills!Q11+(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Inputs!$B$3&gt;=100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t="inlineStr"/>
      <c r="H1793" t="inlineStr"/>
      <c r="I1793" t="inlineStr">
        <is>
          <t>1</t>
        </is>
      </c>
      <c r="J1793" t="inlineStr"/>
      <c r="K1793" t="inlineStr"/>
      <c r="L1793" t="inlineStr"/>
      <c r="M1793" t="inlineStr"/>
      <c r="N1793" t="inlineStr"/>
      <c r="O1793" t="inlineStr"/>
      <c r="P1793" t="inlineStr"/>
      <c r="Q1793" t="inlineStr"/>
      <c r="R1793" t="inlineStr"/>
      <c r="S1793" t="inlineStr"/>
      <c r="T1793" t="inlineStr"/>
      <c r="V1793" t="inlineStr"/>
    </row>
    <row r="1794">
      <c r="A1794">
        <f>Skills!A13</f>
        <v/>
      </c>
      <c r="B1794">
        <f>Skills!B13</f>
        <v/>
      </c>
      <c r="C1794">
        <f>Inputs!$B$3&gt;=66</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IF(B1816=0,0,O1794/B1816)</f>
        <v/>
      </c>
      <c r="Q1794" t="n">
        <v>0</v>
      </c>
      <c r="R1794" t="n">
        <v>0</v>
      </c>
      <c r="S1794">
        <f>IFERROR(O1794/N1794,0)</f>
        <v/>
      </c>
      <c r="T1794" t="n">
        <v>0</v>
      </c>
      <c r="V1794" t="n">
        <v>0</v>
      </c>
    </row>
    <row r="1795">
      <c r="A1795">
        <f>Skills!A14</f>
        <v/>
      </c>
      <c r="B1795">
        <f>Skills!B14</f>
        <v/>
      </c>
      <c r="C1795">
        <f>Inputs!$B$3&gt;=107</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IF(B1816=0,0,O1795/B1816)</f>
        <v/>
      </c>
      <c r="Q1795" t="n">
        <v>0</v>
      </c>
      <c r="R1795" t="n">
        <v>0</v>
      </c>
      <c r="S1795">
        <f>IFERROR(O1795/N1795,0)</f>
        <v/>
      </c>
      <c r="T1795" t="n">
        <v>0</v>
      </c>
      <c r="V1795" t="n">
        <v>0</v>
      </c>
    </row>
    <row r="1796">
      <c r="A1796">
        <f>Skills!A15</f>
        <v/>
      </c>
      <c r="B1796">
        <f>Skills!B15</f>
        <v/>
      </c>
      <c r="C1796">
        <f>Inputs!$B$3&gt;=115</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IF(B1816=0,0,O1796/B1816)</f>
        <v/>
      </c>
      <c r="Q1796" t="n">
        <v>0</v>
      </c>
      <c r="R1796" t="n">
        <v>0</v>
      </c>
      <c r="S1796">
        <f>IFERROR(O1796/N1796,0)</f>
        <v/>
      </c>
      <c r="T1796" t="n">
        <v>0</v>
      </c>
      <c r="V1796" t="n">
        <v>0</v>
      </c>
    </row>
    <row r="1797">
      <c r="A1797">
        <f>Skills!A16</f>
        <v/>
      </c>
      <c r="B1797">
        <f>Skills!B16</f>
        <v/>
      </c>
      <c r="C1797">
        <f>Inputs!$B$3&gt;=15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IF(B1816=0,0,O1797/B1816)</f>
        <v/>
      </c>
      <c r="Q1797" t="n">
        <v>0</v>
      </c>
      <c r="R1797" t="n">
        <v>0</v>
      </c>
      <c r="S1797">
        <f>IFERROR(O1797/N1797,0)</f>
        <v/>
      </c>
      <c r="T1797" t="n">
        <v>0</v>
      </c>
      <c r="V1797" t="n">
        <v>0</v>
      </c>
    </row>
    <row r="1798">
      <c r="A1798">
        <f>Skills!A17</f>
        <v/>
      </c>
      <c r="B1798">
        <f>Skills!B17</f>
        <v/>
      </c>
      <c r="C1798">
        <f>Inputs!$B$3&gt;=10</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IF(B1816=0,0,O1798/B1816)</f>
        <v/>
      </c>
      <c r="Q1798" t="n">
        <v>0</v>
      </c>
      <c r="R1798" t="n">
        <v>0</v>
      </c>
      <c r="S1798">
        <f>IFERROR(O1798/N1798,0)</f>
        <v/>
      </c>
      <c r="T1798" t="n">
        <v>0</v>
      </c>
      <c r="V1798" t="n">
        <v>0</v>
      </c>
    </row>
    <row r="1799">
      <c r="A1799">
        <f>Skills!A18</f>
        <v/>
      </c>
      <c r="B1799">
        <f>Skills!B18</f>
        <v/>
      </c>
      <c r="C1799">
        <f>Inputs!$B$3&gt;=33</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IF(B1816=0,0,O1799/B1816)</f>
        <v/>
      </c>
      <c r="Q1799" t="n">
        <v>0</v>
      </c>
      <c r="R1799" t="n">
        <v>0</v>
      </c>
      <c r="S1799">
        <f>IFERROR(O1799/N1799,0)</f>
        <v/>
      </c>
      <c r="T1799" t="n">
        <v>0</v>
      </c>
      <c r="V1799" t="n">
        <v>0</v>
      </c>
    </row>
    <row r="1800">
      <c r="A1800">
        <f>Skills!A19</f>
        <v/>
      </c>
      <c r="B1800">
        <f>Skills!B19</f>
        <v/>
      </c>
      <c r="C1800">
        <f>Inputs!$B$3&gt;=40</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IF(B1816=0,0,O1800/B1816)</f>
        <v/>
      </c>
      <c r="Q1800" t="n">
        <v>0</v>
      </c>
      <c r="R1800" t="n">
        <v>0</v>
      </c>
      <c r="S1800">
        <f>IFERROR(O1800/N1800,0)</f>
        <v/>
      </c>
      <c r="T1800" t="n">
        <v>0</v>
      </c>
      <c r="V1800" t="n">
        <v>0</v>
      </c>
    </row>
    <row r="1801">
      <c r="A1801">
        <f>Skills!A20</f>
        <v/>
      </c>
      <c r="B1801">
        <f>Skills!B20</f>
        <v/>
      </c>
      <c r="C1801">
        <f>Inputs!$B$3&gt;=43</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IF(B1816=0,0,O1801/B1816)</f>
        <v/>
      </c>
      <c r="Q1801" t="n">
        <v>0</v>
      </c>
      <c r="R1801" t="n">
        <v>0</v>
      </c>
      <c r="S1801">
        <f>IFERROR(O1801/N1801,0)</f>
        <v/>
      </c>
      <c r="T1801" t="n">
        <v>0</v>
      </c>
      <c r="V1801" t="n">
        <v>0</v>
      </c>
    </row>
    <row r="1802">
      <c r="A1802">
        <f>Skills!A21</f>
        <v/>
      </c>
      <c r="B1802">
        <f>Skills!B21</f>
        <v/>
      </c>
      <c r="C1802">
        <f>Inputs!$B$3&gt;=38</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IF(B1816=0,0,O1802/B1816)</f>
        <v/>
      </c>
      <c r="Q1802" t="n">
        <v>0</v>
      </c>
      <c r="R1802" t="n">
        <v>0</v>
      </c>
      <c r="S1802">
        <f>IFERROR(O1802/N1802,0)</f>
        <v/>
      </c>
      <c r="T1802" t="n">
        <v>0</v>
      </c>
      <c r="V1802" t="n">
        <v>0</v>
      </c>
    </row>
    <row r="1803">
      <c r="A1803">
        <f>Skills!A22</f>
        <v/>
      </c>
      <c r="B1803">
        <f>Skills!B22</f>
        <v/>
      </c>
      <c r="C1803">
        <f>Inputs!$B$3&gt;=75</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IF(B1816=0,0,O1803/B1816)</f>
        <v/>
      </c>
      <c r="Q1803" t="n">
        <v>0</v>
      </c>
      <c r="R1803" t="n">
        <v>0</v>
      </c>
      <c r="S1803">
        <f>IFERROR(O1803/N1803,0)</f>
        <v/>
      </c>
      <c r="T1803" t="n">
        <v>0</v>
      </c>
      <c r="V1803" t="n">
        <v>0</v>
      </c>
    </row>
    <row r="1805">
      <c r="A1805" t="inlineStr">
        <is>
          <t>Attack% Bucket Multiplier</t>
        </is>
      </c>
      <c r="B1805">
        <f>(1+(((C1794=TRUE)*F1794)+((C1800=TRUE)*(F1800-Calc!F19))+(IF(ArtifactsInput!$M$21,CHOOSE(ArtifactsInput!$N$21+1,25,30,35,40,45,50)*(IF(OR(Inputs!$B$4="Chapter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6">
      <c r="A1806" t="inlineStr">
        <is>
          <t>Global Crit Rate Bonus %</t>
        </is>
      </c>
      <c r="B1806" t="n">
        <v>0</v>
      </c>
    </row>
    <row r="1807">
      <c r="A1807" t="inlineStr">
        <is>
          <t>Attack Speed Buff Bonus % (unused)</t>
        </is>
      </c>
      <c r="B1807" t="n">
        <v>0</v>
      </c>
    </row>
    <row r="1808">
      <c r="A1808" t="inlineStr">
        <is>
          <t>Actions Per Second</t>
        </is>
      </c>
      <c r="B1808">
        <f>1+MIN(150,150*(1-(1-(Inputs!$B$11+((C1798=TRUE)*(F1798-Calc!F17))+((C1799=TRUE)*(F1799-Calc!F18)))/150)*(1-B1807/150)))/100</f>
        <v/>
      </c>
    </row>
    <row r="1809">
      <c r="A1809" t="inlineStr">
        <is>
          <t>Skill + Buff Cast Rate</t>
        </is>
      </c>
      <c r="B1809">
        <f>IF(AND(Inputs!$B$38&lt;&gt;"pvp",Inputs!$B$43&gt;0),SUMPRODUCT((Skills!E2:E22=TRUE)*(C1783:C1803=TRUE)*R1783:R1803*Skills!F2:F22)/Inputs!$B$43,SUMPRODUCT((Skills!E2:E22=TRUE)*(C1783:C1803=TRUE)*Q1783:Q1803*Skills!F2:F22))</f>
        <v/>
      </c>
    </row>
    <row r="1810">
      <c r="A1810" t="inlineStr">
        <is>
          <t>Hook Bomber Casts Per Second</t>
        </is>
      </c>
      <c r="B1810">
        <f>MAX(0,B1808-B1809)</f>
        <v/>
      </c>
    </row>
    <row r="1811">
      <c r="A1811" t="inlineStr">
        <is>
          <t>Global Critical Damage Bonus % (unused)</t>
        </is>
      </c>
      <c r="B1811" t="n">
        <v>0</v>
      </c>
    </row>
    <row r="1812">
      <c r="A1812" t="inlineStr">
        <is>
          <t>Global Final Damage Bonus % (Serpent Scale + Crossbones + Time Leap + Speed Infusion)</t>
        </is>
      </c>
      <c r="B1812">
        <f>((C1786=TRUE)*F1786*((10+IF(Inputs!$B$3&gt;=94,5,0))/((10+IF(Inputs!$B$3&gt;=94,5,0))+5/(B1810*(1+IF(Inputs!$B$3&gt;=104,1,0))))))+((C1795=TRUE)*F1795)+((C1796=TRUE)*F1796)+((Inputs!$B$3&gt;=110)*20*(B1808-1))</f>
        <v/>
      </c>
    </row>
    <row r="1813">
      <c r="A1813" t="inlineStr">
        <is>
          <t>Buff-Casting Startup Delay (s, fixed-duration only)</t>
        </is>
      </c>
      <c r="B1813">
        <f>IF(AND(Inputs!$B$38&lt;&gt;"pvp",Inputs!$B$43&gt;0),SUMPRODUCT((Skills!T2:T22&gt;0)*(Skills!E2:E22=TRUE)*(C1783:C1803=TRUE))/B1808,0)</f>
        <v/>
      </c>
    </row>
    <row r="1814">
      <c r="A1814" t="inlineStr">
        <is>
          <t>Boss-Only Total DPS (this block's swept value)</t>
        </is>
      </c>
      <c r="B1814">
        <f>SUM(T1783:T1803)</f>
        <v/>
      </c>
    </row>
    <row r="1815">
      <c r="A1815" t="inlineStr">
        <is>
          <t>Normal-Only Total DPS (this block's swept value)</t>
        </is>
      </c>
      <c r="B1815">
        <f>SUM(V1783:V1803)</f>
        <v/>
      </c>
    </row>
    <row r="1816">
      <c r="A1816" s="6" t="inlineStr">
        <is>
          <t>TOTAL DPS</t>
        </is>
      </c>
      <c r="B1816" s="6">
        <f>SUM(O1783:O1803)</f>
        <v/>
      </c>
    </row>
    <row r="1819">
      <c r="A1819" s="6" t="inlineStr">
        <is>
          <t>Stat: Soul Contract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1839=TRUE)*(F1839-Calc!F20)),(Inputs!$B$23+0+(IF(ArtifactsInput!$M$15,CHOOSE(ArtifactsInput!$N$15+1,25,30,35,40,45,50)/100*(Inputs!$B$11-Inputs!$B$11),0))))/100+(Inputs!$B$23+0+(IF(ArtifactsInput!$M$15,CHOOSE(ArtifactsInput!$N$15+1,25,30,35,40,45,50)/100*(Inputs!$B$11-Inputs!$B$11),0)))/100)/2</f>
        <v/>
      </c>
      <c r="M1821">
        <f>L1821*(1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IF(B1854=0,0,O1821/B1854)</f>
        <v/>
      </c>
      <c r="Q1821" t="n">
        <v>0</v>
      </c>
      <c r="R1821" t="n">
        <v>0</v>
      </c>
      <c r="S1821">
        <f>IFERROR(O1821/N1821,0)</f>
        <v/>
      </c>
      <c r="T1821">
        <f>IF(C1821,(Skills!G2*N1821*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Inputs!$B$3&gt;=35</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f>Skills!G3*IF(Skills!H3&gt;0,Skills!I3/Skills!H3,1)</f>
        <v/>
      </c>
      <c r="H1822">
        <f>1-(1-Skills!J3/100)^Skills!K3</f>
        <v/>
      </c>
      <c r="I1822" t="inlineStr">
        <is>
          <t>1</t>
        </is>
      </c>
      <c r="J1822">
        <f>((Inputs!$B$6*(1+Inputs!$B$7/100))+(((Inputs!$B$12*(1+Inputs!$B$13/100))-(Inputs!$B$12*(1+Inputs!$B$13/100)))+0.25*(Inputs!$B$14-Inputs!$B$14))*(1+Inputs!$B$7/100))*(F1822/100)</f>
        <v/>
      </c>
      <c r="K1822">
        <f>J1822*(1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1839=TRUE)*(F1839-Calc!F20)),(Inputs!$B$23+0+(IF(ArtifactsInput!$M$15,CHOOSE(ArtifactsInput!$N$15+1,25,30,35,40,45,50)/100*(Inputs!$B$11-Inputs!$B$11),0))))/100+(Inputs!$B$23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t="n">
        <v>0</v>
      </c>
      <c r="R1822" t="n">
        <v>0</v>
      </c>
      <c r="S1822">
        <f>IFERROR(O1822/N1822,0)</f>
        <v/>
      </c>
      <c r="T1822">
        <f>IF(C1822,(Skills!G3*H1822*N1822*B1848)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2">
        <f>INDEX(FactorTable!$B$2:$Y$301, MATCH(ROUND(MIN(300,MAX(1,U1821)),0), FactorTable!$A$2:$A$301,0), 22)</f>
        <v/>
      </c>
      <c r="V1822">
        <f>IF(C1822,(Skills!G3*H1822*N1822*B1848)*IF(Inputs!$B$38="pvp",1,(1+(Inputs!$B$21+Skills!Q3+(IF(ArtifactsInput!$M$33,CHOOSE(ArtifactsInput!$N$33+1,30,36,42,48,54,60),0))+(IF(AND(ArtifactsInput!$M$35,Inputs!$B$4&lt;&gt;"Chapter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Skills!A4</f>
        <v/>
      </c>
      <c r="B1823">
        <f>Skills!B4</f>
        <v/>
      </c>
      <c r="C1823">
        <f>Inputs!$B$3&gt;=60</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f>Skills!G4*IF(Skills!H4&gt;0,Skills!I4/Skills!H4,1)</f>
        <v/>
      </c>
      <c r="H1823">
        <f>1-(1-Skills!J4/100)^Skills!K4</f>
        <v/>
      </c>
      <c r="I1823" t="inlineStr">
        <is>
          <t>1</t>
        </is>
      </c>
      <c r="J1823">
        <f>((Inputs!$B$6*(1+Inputs!$B$7/100))+(((Inputs!$B$12*(1+Inputs!$B$13/100))-(Inputs!$B$12*(1+Inputs!$B$13/100)))+0.25*(Inputs!$B$14-Inputs!$B$14))*(1+Inputs!$B$7/100))*(F1823/100)</f>
        <v/>
      </c>
      <c r="K1823">
        <f>J1823*(1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1831=TRUE,F1831,0)/100)*(1+(IF(Skills!A4="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1823)</f>
        <v/>
      </c>
      <c r="L1823">
        <f>K1823*(MIN(Inputs!$B$22+((C1839=TRUE)*(F1839-Calc!F20)),(Inputs!$B$23+0+(IF(ArtifactsInput!$M$15,CHOOSE(ArtifactsInput!$N$15+1,25,30,35,40,45,50)/100*(Inputs!$B$11-Inputs!$B$11),0))))/100+(Inputs!$B$23+0+(IF(ArtifactsInput!$M$15,CHOOSE(ArtifactsInput!$N$15+1,25,30,35,40,45,50)/100*(Inputs!$B$11-Inputs!$B$11),0)))/100)/2</f>
        <v/>
      </c>
      <c r="M1823">
        <f>L1823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3">
        <f>L1823*(1-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1823*(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3">
        <f>(1-Summary!$B$11)*T1823+Summary!$B$11*V1823</f>
        <v/>
      </c>
      <c r="P1823">
        <f>IF(B1854=0,0,O1823/B1854)</f>
        <v/>
      </c>
      <c r="Q1823" t="n">
        <v>0</v>
      </c>
      <c r="R1823" t="n">
        <v>0</v>
      </c>
      <c r="S1823">
        <f>IFERROR(O1823/N1823,0)</f>
        <v/>
      </c>
      <c r="T1823">
        <f>IF(C1823,(Skills!G4*H1823*N1823*B1848)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3">
        <f>290*U1822/1000</f>
        <v/>
      </c>
      <c r="V1823">
        <f>IF(C1823,(Skills!G4*H1823*N1823*B1848)*IF(Inputs!$B$38="pvp",1,(1+(Inputs!$B$21+Skills!Q4+(IF(ArtifactsInput!$M$33,CHOOSE(ArtifactsInput!$N$33+1,30,36,42,48,54,60),0))+(IF(AND(ArtifactsInput!$M$35,Inputs!$B$4&lt;&gt;"Chapter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4">
      <c r="A1824">
        <f>Skills!A5</f>
        <v/>
      </c>
      <c r="B1824">
        <f>Skills!B5</f>
        <v/>
      </c>
      <c r="C1824">
        <f>Inputs!$B$3&gt;=60</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Skills!G5*IF(Skills!H5&gt;0,Skills!I5/Skills!H5,1)</f>
        <v/>
      </c>
      <c r="H1824">
        <f>1-(1-Skills!J5/100)^Skills!K5</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Skills!A6</f>
        <v/>
      </c>
      <c r="B1825">
        <f>Skills!B6</f>
        <v/>
      </c>
      <c r="C1825">
        <f>Inputs!$B$3&gt;=63</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1839=TRUE)*(F1839-Calc!F20)),(Inputs!$B$23+0+(IF(ArtifactsInput!$M$15,CHOOSE(ArtifactsInput!$N$15+1,25,30,35,40,45,50)/100*(Inputs!$B$11-Inputs!$B$11),0))))/100+(Inputs!$B$23+0+(IF(ArtifactsInput!$M$15,CHOOSE(ArtifactsInput!$N$15+1,25,30,35,40,45,50)/100*(Inputs!$B$11-Inputs!$B$11),0)))/100)/2</f>
        <v/>
      </c>
      <c r="M1825">
        <f>L1825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IF(B1854=0,0,O1825/B1854)</f>
        <v/>
      </c>
      <c r="Q1825">
        <f>IFERROR(1/(IF(Inputs!$B$38="pvp",15,MAX(0.1,Skills!D6-IF(Skills!E6=TRUE,Inputs!$B$32,0)))*(1-IF(AND(IF(ArtifactsInput!$M$27,FALSE,TRUE),Inputs!$B$4="Chapter Hunt"),CHOOSE(ArtifactsInput!$N$27+1,20,24,28,32,36,40),0)/100)),0)</f>
        <v/>
      </c>
      <c r="R1825">
        <f>IF(AND(Inputs!$B$38&lt;&gt;"pvp",Inputs!$B$43&gt;0),IF(MAX(0,Inputs!$B$43-B1851)&lt;=0,0,(INT(MAX(0,Inputs!$B$43-B1851)/(IF(Inputs!$B$38="pvp",15,MAX(0.1,Skills!D6-IF(Skills!E6=TRUE,Inputs!$B$32,0)))*(1-IF(AND(IF(ArtifactsInput!$M$27,FALSE,TRUE),Inputs!$B$4="Chapter Hunt"),CHOOSE(ArtifactsInput!$N$27+1,20,24,28,32,36,40),0)/100)))+1)),0)</f>
        <v/>
      </c>
      <c r="S1825">
        <f>IFERROR(O1825/N1825,0)</f>
        <v/>
      </c>
      <c r="T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Inputs!$B$3&gt;=100</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f>Skills!G7*IF(Skills!H7&gt;0,Skills!I7/Skills!H7,1)</f>
        <v/>
      </c>
      <c r="H1826">
        <f>1-(1-Skills!J7/100)^Skills!K7</f>
        <v/>
      </c>
      <c r="I1826" t="inlineStr">
        <is>
          <t>1</t>
        </is>
      </c>
      <c r="J1826">
        <f>((Inputs!$B$6*(1+Inputs!$B$7/100))+(((Inputs!$B$12*(1+Inputs!$B$13/100))-(Inputs!$B$12*(1+Inputs!$B$13/100)))+0.25*(Inputs!$B$14-Inputs!$B$14))*(1+Inputs!$B$7/100))*(F1826/100)</f>
        <v/>
      </c>
      <c r="K1826">
        <f>J1826*(1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1826)</f>
        <v/>
      </c>
      <c r="L1826">
        <f>K1826*(MIN(Inputs!$B$22+((C1839=TRUE)*(F1839-Calc!F20)),(Inputs!$B$23+0+(IF(ArtifactsInput!$M$15,CHOOSE(ArtifactsInput!$N$15+1,25,30,35,40,45,50)/100*(Inputs!$B$11-Inputs!$B$11),0))))/100+(Inputs!$B$23+0+(IF(ArtifactsInput!$M$15,CHOOSE(ArtifactsInput!$N$15+1,25,30,35,40,45,50)/100*(Inputs!$B$11-Inputs!$B$11),0)))/100)/2</f>
        <v/>
      </c>
      <c r="M1826">
        <f>L1826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6">
        <f>L1826*(1-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1826*(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6">
        <f>(1-Summary!$B$11)*T1826+Summary!$B$11*V1826</f>
        <v/>
      </c>
      <c r="P1826">
        <f>IF(B1854=0,0,O1826/B1854)</f>
        <v/>
      </c>
      <c r="Q1826">
        <f>IFERROR(1/(IF(Inputs!$B$38="pvp",15,MAX(0.1,Skills!D7-IF(Skills!E7=TRUE,Inputs!$B$32,0)))*(1-IF(AND(IF(ArtifactsInput!$M$27,FALSE,TRUE),Inputs!$B$4="Chapter Hunt"),CHOOSE(ArtifactsInput!$N$27+1,20,24,28,32,36,40),0)/100)),0)</f>
        <v/>
      </c>
      <c r="R1826">
        <f>IF(AND(Inputs!$B$38&lt;&gt;"pvp",Inputs!$B$43&gt;0),IF(MAX(0,Inputs!$B$43-B1851)&lt;=0,0,(INT(MAX(0,Inputs!$B$43-B1851)/(IF(Inputs!$B$38="pvp",15,MAX(0.1,Skills!D7-IF(Skills!E7=TRUE,Inputs!$B$32,0)))*(1-IF(AND(IF(ArtifactsInput!$M$27,FALSE,TRUE),Inputs!$B$4="Chapter Hunt"),CHOOSE(ArtifactsInput!$N$27+1,20,24,28,32,36,40),0)/100)))+1)),0)</f>
        <v/>
      </c>
      <c r="S1826">
        <f>IFERROR(O1826/N1826,0)</f>
        <v/>
      </c>
      <c r="T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$21+Skills!Q7+(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7">
      <c r="A1827">
        <f>Skills!A8</f>
        <v/>
      </c>
      <c r="B1827">
        <f>Skills!B8</f>
        <v/>
      </c>
      <c r="C1827">
        <f>Inputs!$B$3&gt;=110</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1839=TRUE)*(F1839-Calc!F20)),(Inputs!$B$23+0+(IF(ArtifactsInput!$M$15,CHOOSE(ArtifactsInput!$N$15+1,25,30,35,40,45,50)/100*(Inputs!$B$11-Inputs!$B$11),0))))/100+(Inputs!$B$23+0+(IF(ArtifactsInput!$M$15,CHOOSE(ArtifactsInput!$N$15+1,25,30,35,40,45,50)/100*(Inputs!$B$11-Inputs!$B$11),0)))/100)/2</f>
        <v/>
      </c>
      <c r="M1827">
        <f>L1827*(1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IF(B1854=0,0,O1827/B1854)</f>
        <v/>
      </c>
      <c r="Q1827">
        <f>IFERROR(1/(IF(Inputs!$B$38="pvp",15,MAX(0.1,Skills!D8-IF(Skills!E8=TRUE,Inputs!$B$32,0)))*(1-IF(AND(IF(ArtifactsInput!$M$27,FALSE,TRUE),Inputs!$B$4="Chapter Hunt"),CHOOSE(ArtifactsInput!$N$27+1,20,24,28,32,36,40),0)/100)),0)</f>
        <v/>
      </c>
      <c r="R1827">
        <f>IF(AND(Inputs!$B$38&lt;&gt;"pvp",Inputs!$B$43&gt;0),IF(MAX(0,Inputs!$B$43-B1851)&lt;=0,0,(INT(MAX(0,Inputs!$B$43-B1851)/(IF(Inputs!$B$38="pvp",15,MAX(0.1,Skills!D8-IF(Skills!E8=TRUE,Inputs!$B$32,0)))*(1-IF(AND(IF(ArtifactsInput!$M$27,FALSE,TRUE),Inputs!$B$4="Chapter Hunt"),CHOOSE(ArtifactsInput!$N$27+1,20,24,28,32,36,40),0)/100)))+1)),0)</f>
        <v/>
      </c>
      <c r="S1827">
        <f>IFERROR(O1827/N1827,0)</f>
        <v/>
      </c>
      <c r="T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Inputs!$B$3&gt;=110</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1839=TRUE)*(F1839-Calc!F20)),(Inputs!$B$23+0+(IF(ArtifactsInput!$M$15,CHOOSE(ArtifactsInput!$N$15+1,25,30,35,40,45,50)/100*(Inputs!$B$11-Inputs!$B$11),0))))/100+(Inputs!$B$23+0+(IF(ArtifactsInput!$M$15,CHOOSE(ArtifactsInput!$N$15+1,25,30,35,40,45,50)/100*(Inputs!$B$11-Inputs!$B$11),0)))/100)/2</f>
        <v/>
      </c>
      <c r="M1828">
        <f>L1828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IF(B1854=0,0,O1828/B1854)</f>
        <v/>
      </c>
      <c r="Q1828">
        <f>IFERROR(1/(IF(Inputs!$B$38="pvp",15,MAX(0.1,Skills!D9-IF(Skills!E9=TRUE,Inputs!$B$32,0)))*(1-IF(AND(IF(ArtifactsInput!$M$27,FALSE,TRUE),Inputs!$B$4="Chapter Hunt"),CHOOSE(ArtifactsInput!$N$27+1,20,24,28,32,36,40),0)/100)),0)</f>
        <v/>
      </c>
      <c r="R1828">
        <f>IF(AND(Inputs!$B$38&lt;&gt;"pvp",Inputs!$B$43&gt;0),IF(MAX(0,Inputs!$B$43-B1851)&lt;=0,0,(INT(MAX(0,Inputs!$B$43-B1851)/(IF(Inputs!$B$38="pvp",15,MAX(0.1,Skills!D9-IF(Skills!E9=TRUE,Inputs!$B$32,0)))*(1-IF(AND(IF(ArtifactsInput!$M$27,FALSE,TRUE),Inputs!$B$4="Chapter Hunt"),CHOOSE(ArtifactsInput!$N$27+1,20,24,28,32,36,40),0)/100)))+1)),0)</f>
        <v/>
      </c>
      <c r="S1828">
        <f>IFERROR(O1828/N1828,0)</f>
        <v/>
      </c>
      <c r="T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Inputs!$B$3&gt;=103</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f>Skills!G10*IF(Skills!H10&gt;0,Skills!I10/Skills!H10,1)</f>
        <v/>
      </c>
      <c r="H1829">
        <f>1-(1-Skills!J10/100)^Skills!K10</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1839=TRUE)*(F1839-Calc!F20)),(Inputs!$B$23+0+(IF(ArtifactsInput!$M$15,CHOOSE(ArtifactsInput!$N$15+1,25,30,35,40,45,50)/100*(Inputs!$B$11-Inputs!$B$11),0))))/100+(Inputs!$B$23+0+(IF(ArtifactsInput!$M$15,CHOOSE(ArtifactsInput!$N$15+1,25,30,35,40,45,50)/100*(Inputs!$B$11-Inputs!$B$11),0)))/100)/2</f>
        <v/>
      </c>
      <c r="M1829">
        <f>L1829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IF(B1854=0,0,O1829/B1854)</f>
        <v/>
      </c>
      <c r="Q1829">
        <f>IFERROR(1/(IF(Inputs!$B$38="pvp",15,MAX(0.1,Skills!D10-IF(Skills!E10=TRUE,Inputs!$B$32,0)))*(1-IF(AND(IF(ArtifactsInput!$M$27,FALSE,TRUE),Inputs!$B$4="Chapter Hunt"),CHOOSE(ArtifactsInput!$N$27+1,20,24,28,32,36,40),0)/100)),0)</f>
        <v/>
      </c>
      <c r="R1829">
        <f>IF(AND(Inputs!$B$38&lt;&gt;"pvp",Inputs!$B$43&gt;0),IF(MAX(0,Inputs!$B$43-B1851)&lt;=0,0,(INT(MAX(0,Inputs!$B$43-B1851)/(IF(Inputs!$B$38="pvp",15,MAX(0.1,Skills!D10-IF(Skills!E10=TRUE,Inputs!$B$32,0)))*(1-IF(AND(IF(ArtifactsInput!$M$27,FALSE,TRUE),Inputs!$B$4="Chapter Hunt"),CHOOSE(ArtifactsInput!$N$27+1,20,24,28,32,36,40),0)/100)))+1)),0)</f>
        <v/>
      </c>
      <c r="S1829">
        <f>IFERROR(O1829/N1829,0)</f>
        <v/>
      </c>
      <c r="T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Skills!A11</f>
        <v/>
      </c>
      <c r="B1830">
        <f>Skills!B11</f>
        <v/>
      </c>
      <c r="C1830">
        <f>Inputs!$B$3&gt;=113</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1839=TRUE)*(F1839-Calc!F20)),(Inputs!$B$23+0+(IF(ArtifactsInput!$M$15,CHOOSE(ArtifactsInput!$N$15+1,25,30,35,40,45,50)/100*(Inputs!$B$11-Inputs!$B$11),0))))/100+(Inputs!$B$23+0+(IF(ArtifactsInput!$M$15,CHOOSE(ArtifactsInput!$N$15+1,25,30,35,40,45,50)/100*(Inputs!$B$11-Inputs!$B$11),0)))/100)/2</f>
        <v/>
      </c>
      <c r="M1830">
        <f>L1830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IF(B1854=0,0,O1830/B1854)</f>
        <v/>
      </c>
      <c r="Q1830">
        <f>IFERROR(1/(IF(Inputs!$B$38="pvp",15,MAX(0.1,Skills!D11-IF(Skills!E11=TRUE,Inputs!$B$32,0)))*(1-IF(AND(IF(ArtifactsInput!$M$27,FALSE,TRUE),Inputs!$B$4="Chapter Hunt"),CHOOSE(ArtifactsInput!$N$27+1,20,24,28,32,36,40),0)/100)),0)</f>
        <v/>
      </c>
      <c r="R1830">
        <f>IF(AND(Inputs!$B$38&lt;&gt;"pvp",Inputs!$B$43&gt;0),IF(MAX(0,Inputs!$B$43-B1851)&lt;=0,0,(INT(MAX(0,Inputs!$B$43-B1851)/(IF(Inputs!$B$38="pvp",15,MAX(0.1,Skills!D11-IF(Skills!E11=TRUE,Inputs!$B$32,0)))*(1-IF(AND(IF(ArtifactsInput!$M$27,FALSE,TRUE),Inputs!$B$4="Chapter Hunt"),CHOOSE(ArtifactsInput!$N$27+1,20,24,28,32,36,40),0)/100)))+1)),0)</f>
        <v/>
      </c>
      <c r="S1830">
        <f>IFERROR(O1830/N1830,0)</f>
        <v/>
      </c>
      <c r="T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$21+Skills!Q11+(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Inputs!$B$3&gt;=100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t="inlineStr"/>
      <c r="H1831" t="inlineStr"/>
      <c r="I1831" t="inlineStr">
        <is>
          <t>1</t>
        </is>
      </c>
      <c r="J1831" t="inlineStr"/>
      <c r="K1831" t="inlineStr"/>
      <c r="L1831" t="inlineStr"/>
      <c r="M1831" t="inlineStr"/>
      <c r="N1831" t="inlineStr"/>
      <c r="O1831" t="inlineStr"/>
      <c r="P1831" t="inlineStr"/>
      <c r="Q1831" t="inlineStr"/>
      <c r="R1831" t="inlineStr"/>
      <c r="S1831" t="inlineStr"/>
      <c r="T1831" t="inlineStr"/>
      <c r="V1831" t="inlineStr"/>
    </row>
    <row r="1832">
      <c r="A1832">
        <f>Skills!A13</f>
        <v/>
      </c>
      <c r="B1832">
        <f>Skills!B13</f>
        <v/>
      </c>
      <c r="C1832">
        <f>Inputs!$B$3&gt;=66</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Skills!A14</f>
        <v/>
      </c>
      <c r="B1833">
        <f>Skills!B14</f>
        <v/>
      </c>
      <c r="C1833">
        <f>Inputs!$B$3&gt;=107</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Skills!A15</f>
        <v/>
      </c>
      <c r="B1834">
        <f>Skills!B15</f>
        <v/>
      </c>
      <c r="C1834">
        <f>Inputs!$B$3&gt;=115</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f>Skills!G15*IF(Skills!H15&gt;0,Skills!I15/Skills!H15,1)</f>
        <v/>
      </c>
      <c r="H1834">
        <f>1-(1-Skills!J15/100)^Skills!K15</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Skills!A16</f>
        <v/>
      </c>
      <c r="B1835">
        <f>Skills!B16</f>
        <v/>
      </c>
      <c r="C1835">
        <f>Inputs!$B$3&gt;=15</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f>Skills!G16*IF(Skills!H16&gt;0,Skills!I16/Skills!H16,1)</f>
        <v/>
      </c>
      <c r="H1835">
        <f>1-(1-Skills!J16/100)^Skills!K16</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Skills!A17</f>
        <v/>
      </c>
      <c r="B1836">
        <f>Skills!B17</f>
        <v/>
      </c>
      <c r="C1836">
        <f>Inputs!$B$3&gt;=10</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Skills!A18</f>
        <v/>
      </c>
      <c r="B1837">
        <f>Skills!B18</f>
        <v/>
      </c>
      <c r="C1837">
        <f>Inputs!$B$3&gt;=33</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Skills!A19</f>
        <v/>
      </c>
      <c r="B1838">
        <f>Skills!B19</f>
        <v/>
      </c>
      <c r="C1838">
        <f>Inputs!$B$3&gt;=40</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Skills!A20</f>
        <v/>
      </c>
      <c r="B1839">
        <f>Skills!B20</f>
        <v/>
      </c>
      <c r="C1839">
        <f>Inputs!$B$3&gt;=43</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Skills!A21</f>
        <v/>
      </c>
      <c r="B1840">
        <f>Skills!B21</f>
        <v/>
      </c>
      <c r="C1840">
        <f>Inputs!$B$3&gt;=38</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Skills!A22</f>
        <v/>
      </c>
      <c r="B1841">
        <f>Skills!B22</f>
        <v/>
      </c>
      <c r="C1841">
        <f>Inputs!$B$3&gt;=75</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t="n">
        <v>0</v>
      </c>
    </row>
    <row r="1845">
      <c r="A1845" t="inlineStr">
        <is>
          <t>Attack Speed Buff Bonus % (unused)</t>
        </is>
      </c>
      <c r="B1845" t="n">
        <v>0</v>
      </c>
    </row>
    <row r="1846">
      <c r="A1846" t="inlineStr">
        <is>
          <t>Actions Per Second</t>
        </is>
      </c>
      <c r="B1846">
        <f>1+MIN(150,150*(1-(1-(Inputs!$B$11+((C1836=TRUE)*(F1836-Calc!F17))+((C1837=TRUE)*(F1837-Calc!F18)))/150)*(1-B1845/150)))/100</f>
        <v/>
      </c>
    </row>
    <row r="1847">
      <c r="A1847" t="inlineStr">
        <is>
          <t>Skill + Buff Cast Rate</t>
        </is>
      </c>
      <c r="B1847">
        <f>IF(AND(Inputs!$B$38&lt;&gt;"pvp",Inputs!$B$43&gt;0),SUMPRODUCT((Skills!E2:E22=TRUE)*(C1821:C1841=TRUE)*R1821:R1841*Skills!F2:F22)/Inputs!$B$43,SUMPRODUCT((Skills!E2:E22=TRUE)*(C1821:C1841=TRUE)*Q1821:Q1841*Skills!F2:F22))</f>
        <v/>
      </c>
    </row>
    <row r="1848">
      <c r="A1848" t="inlineStr">
        <is>
          <t>Hook Bomber Casts Per Second</t>
        </is>
      </c>
      <c r="B1848">
        <f>MAX(0,B1846-B1847)</f>
        <v/>
      </c>
    </row>
    <row r="1849">
      <c r="A1849" t="inlineStr">
        <is>
          <t>Global Critical Damage Bonus % (unused)</t>
        </is>
      </c>
      <c r="B1849" t="n">
        <v>0</v>
      </c>
    </row>
    <row r="1850">
      <c r="A1850" t="inlineStr">
        <is>
          <t>Global Final Damage Bonus % (Serpent Scale + Crossbones + Time Leap + Speed Infusion)</t>
        </is>
      </c>
      <c r="B1850">
        <f>((C1824=TRUE)*F1824*((10+IF(Inputs!$B$3&gt;=94,5,0))/((10+IF(Inputs!$B$3&gt;=94,5,0))+5/(B1848*(1+IF(Inputs!$B$3&gt;=104,1,0))))))+((C1833=TRUE)*F1833)+((C1834=TRUE)*F1834)+((Inputs!$B$3&gt;=110)*20*(B1846-1))</f>
        <v/>
      </c>
    </row>
    <row r="1851">
      <c r="A1851" t="inlineStr">
        <is>
          <t>Buff-Casting Startup Delay (s, fixed-duration only)</t>
        </is>
      </c>
      <c r="B1851">
        <f>IF(AND(Inputs!$B$38&lt;&gt;"pvp",Inputs!$B$43&gt;0),SUMPRODUCT((Skills!T2:T22&gt;0)*(Skills!E2:E22=TRUE)*(C1821:C1841=TRUE))/B1846,0)</f>
        <v/>
      </c>
    </row>
    <row r="1852">
      <c r="A1852" t="inlineStr">
        <is>
          <t>Boss-Only Total DPS (this block's swept value)</t>
        </is>
      </c>
      <c r="B1852">
        <f>SUM(T1821:T1841)</f>
        <v/>
      </c>
    </row>
    <row r="1853">
      <c r="A1853" t="inlineStr">
        <is>
          <t>Normal-Only Total DPS (this block's swept value)</t>
        </is>
      </c>
      <c r="B1853">
        <f>SUM(V1821:V1841)</f>
        <v/>
      </c>
    </row>
    <row r="1854">
      <c r="A1854" s="6" t="inlineStr">
        <is>
          <t>TOTAL DPS</t>
        </is>
      </c>
      <c r="B1854" s="6">
        <f>SUM(O1821:O1841)</f>
        <v/>
      </c>
    </row>
    <row r="1857">
      <c r="A1857" s="6" t="inlineStr">
        <is>
          <t>Stat: Lit Lamp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1877=TRUE)*(F1877-Calc!F20)),(Inputs!$B$23+0+(IF(ArtifactsInput!$M$15,CHOOSE(ArtifactsInput!$N$15+1,25,30,35,40,45,50)/100*(Inputs!$B$11-Inputs!$B$11),0))))/100+(Inputs!$B$23+0+(IF(ArtifactsInput!$M$15,CHOOSE(ArtifactsInput!$N$15+1,25,30,35,40,45,50)/100*(Inputs!$B$11-Inputs!$B$11),0)))/100)/2</f>
        <v/>
      </c>
      <c r="M1859">
        <f>L1859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IF(B1892=0,0,O1859/B1892)</f>
        <v/>
      </c>
      <c r="Q1859" t="n">
        <v>0</v>
      </c>
      <c r="R1859" t="n">
        <v>0</v>
      </c>
      <c r="S1859">
        <f>IFERROR(O1859/N1859,0)</f>
        <v/>
      </c>
      <c r="T1859">
        <f>IF(C1859,(Skills!G2*N1859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Inputs!$B$3&gt;=35</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1877=TRUE)*(F1877-Calc!F20)),(Inputs!$B$23+0+(IF(ArtifactsInput!$M$15,CHOOSE(ArtifactsInput!$N$15+1,25,30,35,40,45,50)/100*(Inputs!$B$11-Inputs!$B$11),0))))/100+(Inputs!$B$23+0+(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t="n">
        <v>0</v>
      </c>
      <c r="R1860" t="n">
        <v>0</v>
      </c>
      <c r="S1860">
        <f>IFERROR(O1860/N1860,0)</f>
        <v/>
      </c>
      <c r="T1860">
        <f>IF(C1860,(Skills!G3*H1860*N1860*B1886)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IF(C1860,(Skills!G3*H1860*N1860*B1886)*IF(Inputs!$B$38="pvp",1,(1+(Inputs!$B$21+Skills!Q3+(IF(ArtifactsInput!$M$33,CHOOSE(ArtifactsInput!$N$33+1,30,36,42,48,54,60),0))+(IF(AND(ArtifactsInput!$M$35,Inputs!$B$4&lt;&gt;"Chapter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Inputs!$B$3&gt;=60</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f>Skills!G4*IF(Skills!H4&gt;0,Skills!I4/Skills!H4,1)</f>
        <v/>
      </c>
      <c r="H1861">
        <f>1-(1-Skills!J4/100)^Skills!K4</f>
        <v/>
      </c>
      <c r="I1861" t="inlineStr">
        <is>
          <t>1</t>
        </is>
      </c>
      <c r="J1861">
        <f>((Inputs!$B$6*(1+Inputs!$B$7/100))+(((Inputs!$B$12*(1+Inputs!$B$13/100))-(Inputs!$B$12*(1+Inputs!$B$13/100)))+0.25*(Inputs!$B$14-Inputs!$B$14))*(1+Inputs!$B$7/100))*(F1861/100)</f>
        <v/>
      </c>
      <c r="K1861">
        <f>J1861*(1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1869=TRUE,F1869,0)/100)*(1+(IF(Skills!A4="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1861)</f>
        <v/>
      </c>
      <c r="L1861">
        <f>K1861*(MIN(Inputs!$B$22+((C1877=TRUE)*(F1877-Calc!F20)),(Inputs!$B$23+0+(IF(ArtifactsInput!$M$15,CHOOSE(ArtifactsInput!$N$15+1,25,30,35,40,45,50)/100*(Inputs!$B$11-Inputs!$B$11),0))))/100+(Inputs!$B$23+0+(IF(ArtifactsInput!$M$15,CHOOSE(ArtifactsInput!$N$15+1,25,30,35,40,45,50)/100*(Inputs!$B$11-Inputs!$B$11),0)))/100)/2</f>
        <v/>
      </c>
      <c r="M1861">
        <f>L1861*(1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1">
        <f>L1861*(1-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1">
        <f>(1-Summary!$B$11)*T1861+Summary!$B$11*V1861</f>
        <v/>
      </c>
      <c r="P1861">
        <f>IF(B1892=0,0,O1861/B1892)</f>
        <v/>
      </c>
      <c r="Q1861" t="n">
        <v>0</v>
      </c>
      <c r="R1861" t="n">
        <v>0</v>
      </c>
      <c r="S1861">
        <f>IFERROR(O1861/N1861,0)</f>
        <v/>
      </c>
      <c r="T1861">
        <f>IF(C1861,(Skills!G4*H1861*N1861*B1886)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1">
        <f>290*U1860/1000</f>
        <v/>
      </c>
      <c r="V1861">
        <f>IF(C1861,(Skills!G4*H1861*N1861*B1886)*IF(Inputs!$B$38="pvp",1,(1+(Inputs!$B$21+Skills!Q4+(IF(ArtifactsInput!$M$33,CHOOSE(ArtifactsInput!$N$33+1,30,36,42,48,54,60),0))+(IF(AND(ArtifactsInput!$M$35,Inputs!$B$4&lt;&gt;"Chapter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2">
      <c r="A1862">
        <f>Skills!A5</f>
        <v/>
      </c>
      <c r="B1862">
        <f>Skills!B5</f>
        <v/>
      </c>
      <c r="C1862">
        <f>Inputs!$B$3&gt;=60</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Skills!A6</f>
        <v/>
      </c>
      <c r="B1863">
        <f>Skills!B6</f>
        <v/>
      </c>
      <c r="C1863">
        <f>Inputs!$B$3&gt;=63</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1877=TRUE)*(F1877-Calc!F20)),(Inputs!$B$23+0+(IF(ArtifactsInput!$M$15,CHOOSE(ArtifactsInput!$N$15+1,25,30,35,40,45,50)/100*(Inputs!$B$11-Inputs!$B$11),0))))/100+(Inputs!$B$23+0+(IF(ArtifactsInput!$M$15,CHOOSE(ArtifactsInput!$N$15+1,25,30,35,40,45,50)/100*(Inputs!$B$11-Inputs!$B$11),0)))/100)/2</f>
        <v/>
      </c>
      <c r="M1863">
        <f>L1863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IF(B1892=0,0,O1863/B1892)</f>
        <v/>
      </c>
      <c r="Q1863">
        <f>IFERROR(1/(IF(Inputs!$B$38="pvp",15,MAX(0.1,Skills!D6-IF(Skills!E6=TRUE,Inputs!$B$32,0)))*(1-IF(AND(ArtifactsInput!$M$27,Inputs!$B$4="Chapter Hunt"),CHOOSE(ArtifactsInput!$N$27+1,20,24,28,32,36,40),0)/100)),0)</f>
        <v/>
      </c>
      <c r="R1863">
        <f>IF(AND(Inputs!$B$38&lt;&gt;"pvp",Inputs!$B$43&gt;0),IF(MAX(0,Inputs!$B$43-B1889)&lt;=0,0,(INT(MAX(0,Inputs!$B$43-B1889)/(IF(Inputs!$B$38="pvp",15,MAX(0.1,Skills!D6-IF(Skills!E6=TRUE,Inputs!$B$32,0)))*(1-IF(AND(ArtifactsInput!$M$27,Inputs!$B$4="Chapter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Inputs!$B$3&gt;=100</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f>Skills!G7*IF(Skills!H7&gt;0,Skills!I7/Skills!H7,1)</f>
        <v/>
      </c>
      <c r="H1864">
        <f>1-(1-Skills!J7/100)^Skills!K7</f>
        <v/>
      </c>
      <c r="I1864" t="inlineStr">
        <is>
          <t>1</t>
        </is>
      </c>
      <c r="J1864">
        <f>((Inputs!$B$6*(1+Inputs!$B$7/100))+(((Inputs!$B$12*(1+Inputs!$B$13/100))-(Inputs!$B$12*(1+Inputs!$B$13/100)))+0.25*(Inputs!$B$14-Inputs!$B$14))*(1+Inputs!$B$7/100))*(F1864/100)</f>
        <v/>
      </c>
      <c r="K1864">
        <f>J1864*(1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1864)</f>
        <v/>
      </c>
      <c r="L1864">
        <f>K1864*(MIN(Inputs!$B$22+((C1877=TRUE)*(F1877-Calc!F20)),(Inputs!$B$23+0+(IF(ArtifactsInput!$M$15,CHOOSE(ArtifactsInput!$N$15+1,25,30,35,40,45,50)/100*(Inputs!$B$11-Inputs!$B$11),0))))/100+(Inputs!$B$23+0+(IF(ArtifactsInput!$M$15,CHOOSE(ArtifactsInput!$N$15+1,25,30,35,40,45,50)/100*(Inputs!$B$11-Inputs!$B$11),0)))/100)/2</f>
        <v/>
      </c>
      <c r="M1864">
        <f>L1864*(1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4">
        <f>L1864*(1-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1864*(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4">
        <f>(1-Summary!$B$11)*T1864+Summary!$B$11*V1864</f>
        <v/>
      </c>
      <c r="P1864">
        <f>IF(B1892=0,0,O1864/B1892)</f>
        <v/>
      </c>
      <c r="Q1864">
        <f>IFERROR(1/(IF(Inputs!$B$38="pvp",15,MAX(0.1,Skills!D7-IF(Skills!E7=TRUE,Inputs!$B$32,0)))*(1-IF(AND(ArtifactsInput!$M$27,Inputs!$B$4="Chapter Hunt"),CHOOSE(ArtifactsInput!$N$27+1,20,24,28,32,36,40),0)/100)),0)</f>
        <v/>
      </c>
      <c r="R1864">
        <f>IF(AND(Inputs!$B$38&lt;&gt;"pvp",Inputs!$B$43&gt;0),IF(MAX(0,Inputs!$B$43-B1889)&lt;=0,0,(INT(MAX(0,Inputs!$B$43-B1889)/(IF(Inputs!$B$38="pvp",15,MAX(0.1,Skills!D7-IF(Skills!E7=TRUE,Inputs!$B$32,0)))*(1-IF(AND(ArtifactsInput!$M$27,Inputs!$B$4="Chapter Hunt"),CHOOSE(ArtifactsInput!$N$27+1,20,24,28,32,36,40),0)/100)))+1)),0)</f>
        <v/>
      </c>
      <c r="S1864">
        <f>IFERROR(O1864/N1864,0)</f>
        <v/>
      </c>
      <c r="T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$21+Skills!Q7+(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5">
      <c r="A1865">
        <f>Skills!A8</f>
        <v/>
      </c>
      <c r="B1865">
        <f>Skills!B8</f>
        <v/>
      </c>
      <c r="C1865">
        <f>Inputs!$B$3&gt;=110</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1877=TRUE)*(F1877-Calc!F20)),(Inputs!$B$23+0+(IF(ArtifactsInput!$M$15,CHOOSE(ArtifactsInput!$N$15+1,25,30,35,40,45,50)/100*(Inputs!$B$11-Inputs!$B$11),0))))/100+(Inputs!$B$23+0+(IF(ArtifactsInput!$M$15,CHOOSE(ArtifactsInput!$N$15+1,25,30,35,40,45,50)/100*(Inputs!$B$11-Inputs!$B$11),0)))/100)/2</f>
        <v/>
      </c>
      <c r="M1865">
        <f>L1865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IF(B1892=0,0,O1865/B1892)</f>
        <v/>
      </c>
      <c r="Q1865">
        <f>IFERROR(1/(IF(Inputs!$B$38="pvp",15,MAX(0.1,Skills!D8-IF(Skills!E8=TRUE,Inputs!$B$32,0)))*(1-IF(AND(ArtifactsInput!$M$27,Inputs!$B$4="Chapter Hunt"),CHOOSE(ArtifactsInput!$N$27+1,20,24,28,32,36,40),0)/100)),0)</f>
        <v/>
      </c>
      <c r="R1865">
        <f>IF(AND(Inputs!$B$38&lt;&gt;"pvp",Inputs!$B$43&gt;0),IF(MAX(0,Inputs!$B$43-B1889)&lt;=0,0,(INT(MAX(0,Inputs!$B$43-B1889)/(IF(Inputs!$B$38="pvp",15,MAX(0.1,Skills!D8-IF(Skills!E8=TRUE,Inputs!$B$32,0)))*(1-IF(AND(ArtifactsInput!$M$27,Inputs!$B$4="Chapter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Inputs!$B$3&gt;=110</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1877=TRUE)*(F1877-Calc!F20)),(Inputs!$B$23+0+(IF(ArtifactsInput!$M$15,CHOOSE(ArtifactsInput!$N$15+1,25,30,35,40,45,50)/100*(Inputs!$B$11-Inputs!$B$11),0))))/100+(Inputs!$B$23+0+(IF(ArtifactsInput!$M$15,CHOOSE(ArtifactsInput!$N$15+1,25,30,35,40,45,50)/100*(Inputs!$B$11-Inputs!$B$11),0)))/100)/2</f>
        <v/>
      </c>
      <c r="M1866">
        <f>L1866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IF(B1892=0,0,O1866/B1892)</f>
        <v/>
      </c>
      <c r="Q1866">
        <f>IFERROR(1/(IF(Inputs!$B$38="pvp",15,MAX(0.1,Skills!D9-IF(Skills!E9=TRUE,Inputs!$B$32,0)))*(1-IF(AND(ArtifactsInput!$M$27,Inputs!$B$4="Chapter Hunt"),CHOOSE(ArtifactsInput!$N$27+1,20,24,28,32,36,40),0)/100)),0)</f>
        <v/>
      </c>
      <c r="R1866">
        <f>IF(AND(Inputs!$B$38&lt;&gt;"pvp",Inputs!$B$43&gt;0),IF(MAX(0,Inputs!$B$43-B1889)&lt;=0,0,(INT(MAX(0,Inputs!$B$43-B1889)/(IF(Inputs!$B$38="pvp",15,MAX(0.1,Skills!D9-IF(Skills!E9=TRUE,Inputs!$B$32,0)))*(1-IF(AND(ArtifactsInput!$M$27,Inputs!$B$4="Chapter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1877=TRUE)*(F1877-Calc!F20)),(Inputs!$B$23+0+(IF(ArtifactsInput!$M$15,CHOOSE(ArtifactsInput!$N$15+1,25,30,35,40,45,50)/100*(Inputs!$B$11-Inputs!$B$11),0))))/100+(Inputs!$B$23+0+(IF(ArtifactsInput!$M$15,CHOOSE(ArtifactsInput!$N$15+1,25,30,35,40,45,50)/100*(Inputs!$B$11-Inputs!$B$11),0)))/100)/2</f>
        <v/>
      </c>
      <c r="M1867">
        <f>L1867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IF(B1892=0,0,O1867/B1892)</f>
        <v/>
      </c>
      <c r="Q1867">
        <f>IFERROR(1/(IF(Inputs!$B$38="pvp",15,MAX(0.1,Skills!D10-IF(Skills!E10=TRUE,Inputs!$B$32,0)))*(1-IF(AND(ArtifactsInput!$M$27,Inputs!$B$4="Chapter Hunt"),CHOOSE(ArtifactsInput!$N$27+1,20,24,28,32,36,40),0)/100)),0)</f>
        <v/>
      </c>
      <c r="R1867">
        <f>IF(AND(Inputs!$B$38&lt;&gt;"pvp",Inputs!$B$43&gt;0),IF(MAX(0,Inputs!$B$43-B1889)&lt;=0,0,(INT(MAX(0,Inputs!$B$43-B1889)/(IF(Inputs!$B$38="pvp",15,MAX(0.1,Skills!D10-IF(Skills!E10=TRUE,Inputs!$B$32,0)))*(1-IF(AND(ArtifactsInput!$M$27,Inputs!$B$4="Chapter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Inputs!$B$3&gt;=113</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f>Skills!G11*IF(Skills!H11&gt;0,Skills!I11/Skills!H11,1)</f>
        <v/>
      </c>
      <c r="H1868">
        <f>1-(1-Skills!J11/100)^Skills!K11</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1877=TRUE)*(F1877-Calc!F20)),(Inputs!$B$23+0+(IF(ArtifactsInput!$M$15,CHOOSE(ArtifactsInput!$N$15+1,25,30,35,40,45,50)/100*(Inputs!$B$11-Inputs!$B$11),0))))/100+(Inputs!$B$23+0+(IF(ArtifactsInput!$M$15,CHOOSE(ArtifactsInput!$N$15+1,25,30,35,40,45,50)/100*(Inputs!$B$11-Inputs!$B$11),0)))/100)/2</f>
        <v/>
      </c>
      <c r="M1868">
        <f>L1868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IF(B1892=0,0,O1868/B1892)</f>
        <v/>
      </c>
      <c r="Q1868">
        <f>IFERROR(1/(IF(Inputs!$B$38="pvp",15,MAX(0.1,Skills!D11-IF(Skills!E11=TRUE,Inputs!$B$32,0)))*(1-IF(AND(ArtifactsInput!$M$27,Inputs!$B$4="Chapter Hunt"),CHOOSE(ArtifactsInput!$N$27+1,20,24,28,32,36,40),0)/100)),0)</f>
        <v/>
      </c>
      <c r="R1868">
        <f>IF(AND(Inputs!$B$38&lt;&gt;"pvp",Inputs!$B$43&gt;0),IF(MAX(0,Inputs!$B$43-B1889)&lt;=0,0,(INT(MAX(0,Inputs!$B$43-B1889)/(IF(Inputs!$B$38="pvp",15,MAX(0.1,Skills!D11-IF(Skills!E11=TRUE,Inputs!$B$32,0)))*(1-IF(AND(ArtifactsInput!$M$27,Inputs!$B$4="Chapter Hunt"),CHOOSE(ArtifactsInput!$N$27+1,20,24,28,32,36,40),0)/100)))+1)),0)</f>
        <v/>
      </c>
      <c r="S1868">
        <f>IFERROR(O1868/N1868,0)</f>
        <v/>
      </c>
      <c r="T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Skills!A12</f>
        <v/>
      </c>
      <c r="B1869">
        <f>Skills!B12</f>
        <v/>
      </c>
      <c r="C1869">
        <f>Inputs!$B$3&gt;=100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t="inlineStr"/>
      <c r="H1869" t="inlineStr"/>
      <c r="I1869" t="inlineStr">
        <is>
          <t>1</t>
        </is>
      </c>
      <c r="J1869" t="inlineStr"/>
      <c r="K1869" t="inlineStr"/>
      <c r="L1869" t="inlineStr"/>
      <c r="M1869" t="inlineStr"/>
      <c r="N1869" t="inlineStr"/>
      <c r="O1869" t="inlineStr"/>
      <c r="P1869" t="inlineStr"/>
      <c r="Q1869" t="inlineStr"/>
      <c r="R1869" t="inlineStr"/>
      <c r="S1869" t="inlineStr"/>
      <c r="T1869" t="inlineStr"/>
      <c r="V1869" t="inlineStr"/>
    </row>
    <row r="1870">
      <c r="A1870">
        <f>Skills!A13</f>
        <v/>
      </c>
      <c r="B1870">
        <f>Skills!B13</f>
        <v/>
      </c>
      <c r="C1870">
        <f>Inputs!$B$3&gt;=66</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f>Skills!G13*IF(Skills!H13&gt;0,Skills!I13/Skills!H13,1)</f>
        <v/>
      </c>
      <c r="H1870">
        <f>1-(1-Skills!J13/100)^Skills!K13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Skills!A14</f>
        <v/>
      </c>
      <c r="B1871">
        <f>Skills!B14</f>
        <v/>
      </c>
      <c r="C1871">
        <f>Inputs!$B$3&gt;=107</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Skills!A15</f>
        <v/>
      </c>
      <c r="B1872">
        <f>Skills!B15</f>
        <v/>
      </c>
      <c r="C1872">
        <f>Inputs!$B$3&gt;=115</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Skills!A16</f>
        <v/>
      </c>
      <c r="B1873">
        <f>Skills!B16</f>
        <v/>
      </c>
      <c r="C1873">
        <f>Inputs!$B$3&gt;=15</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Skills!A17</f>
        <v/>
      </c>
      <c r="B1874">
        <f>Skills!B17</f>
        <v/>
      </c>
      <c r="C1874">
        <f>Inputs!$B$3&gt;=10</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Skills!A18</f>
        <v/>
      </c>
      <c r="B1875">
        <f>Skills!B18</f>
        <v/>
      </c>
      <c r="C1875">
        <f>Inputs!$B$3&gt;=33</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Skills!A19</f>
        <v/>
      </c>
      <c r="B1876">
        <f>Skills!B19</f>
        <v/>
      </c>
      <c r="C1876">
        <f>Inputs!$B$3&gt;=40</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Skills!A20</f>
        <v/>
      </c>
      <c r="B1877">
        <f>Skills!B20</f>
        <v/>
      </c>
      <c r="C1877">
        <f>Inputs!$B$3&gt;=43</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Skills!A21</f>
        <v/>
      </c>
      <c r="B1878">
        <f>Skills!B21</f>
        <v/>
      </c>
      <c r="C1878">
        <f>Inputs!$B$3&gt;=38</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Skills!A22</f>
        <v/>
      </c>
      <c r="B1879">
        <f>Skills!B22</f>
        <v/>
      </c>
      <c r="C1879">
        <f>Inputs!$B$3&gt;=75</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 (unused)</t>
        </is>
      </c>
      <c r="B1883" t="n">
        <v>0</v>
      </c>
    </row>
    <row r="1884">
      <c r="A1884" t="inlineStr">
        <is>
          <t>Actions Per Second</t>
        </is>
      </c>
      <c r="B1884">
        <f>1+MIN(150,150*(1-(1-(Inputs!$B$11+((C1874=TRUE)*(F1874-Calc!F17))+((C1875=TRUE)*(F1875-Calc!F18)))/150)*(1-B1883/150)))/100</f>
        <v/>
      </c>
    </row>
    <row r="1885">
      <c r="A1885" t="inlineStr">
        <is>
          <t>Skill + Buff Cast Rate</t>
        </is>
      </c>
      <c r="B1885">
        <f>IF(AND(Inputs!$B$38&lt;&gt;"pvp",Inputs!$B$43&gt;0),SUMPRODUCT((Skills!E2:E22=TRUE)*(C1859:C1879=TRUE)*R1859:R1879*Skills!F2:F22)/Inputs!$B$43,SUMPRODUCT((Skills!E2:E22=TRUE)*(C1859:C1879=TRUE)*Q1859:Q1879*Skills!F2:F22))</f>
        <v/>
      </c>
    </row>
    <row r="1886">
      <c r="A1886" t="inlineStr">
        <is>
          <t>Hook Bomber Casts Per Second</t>
        </is>
      </c>
      <c r="B1886">
        <f>MAX(0,B1884-B1885)</f>
        <v/>
      </c>
    </row>
    <row r="1887">
      <c r="A1887" t="inlineStr">
        <is>
          <t>Global Critical Damage Bonus % (unused)</t>
        </is>
      </c>
      <c r="B1887" t="n">
        <v>0</v>
      </c>
    </row>
    <row r="1888">
      <c r="A1888" t="inlineStr">
        <is>
          <t>Global Final Damage Bonus % (Serpent Scale + Crossbones + Time Leap + Speed Infusion)</t>
        </is>
      </c>
      <c r="B1888">
        <f>((C1862=TRUE)*F1862*((10+IF(Inputs!$B$3&gt;=94,5,0))/((10+IF(Inputs!$B$3&gt;=94,5,0))+5/(B1886*(1+IF(Inputs!$B$3&gt;=104,1,0))))))+((C1871=TRUE)*F1871)+((C1872=TRUE)*F1872)+((Inputs!$B$3&gt;=110)*20*(B1884-1))</f>
        <v/>
      </c>
    </row>
    <row r="1889">
      <c r="A1889" t="inlineStr">
        <is>
          <t>Buff-Casting Startup Delay (s, fixed-duration only)</t>
        </is>
      </c>
      <c r="B1889">
        <f>IF(AND(Inputs!$B$38&lt;&gt;"pvp",Inputs!$B$43&gt;0),SUMPRODUCT((Skills!T2:T22&gt;0)*(Skills!E2:E22=TRUE)*(C1859:C1879=TRUE))/B1884,0)</f>
        <v/>
      </c>
    </row>
    <row r="1890">
      <c r="A1890" t="inlineStr">
        <is>
          <t>Boss-Only Total DPS (this block's swept value)</t>
        </is>
      </c>
      <c r="B1890">
        <f>SUM(T1859:T1879)</f>
        <v/>
      </c>
    </row>
    <row r="1891">
      <c r="A1891" t="inlineStr">
        <is>
          <t>Normal-Only Total DPS (this block's swept value)</t>
        </is>
      </c>
      <c r="B1891">
        <f>SUM(V1859:V1879)</f>
        <v/>
      </c>
    </row>
    <row r="1892">
      <c r="A1892" s="6" t="inlineStr">
        <is>
          <t>TOTAL DPS</t>
        </is>
      </c>
      <c r="B1892" s="6">
        <f>SUM(O1859:O1879)</f>
        <v/>
      </c>
    </row>
    <row r="1895">
      <c r="A1895" s="6" t="inlineStr">
        <is>
          <t>Stat: Soul Pouch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Skills!G2*IF(Skills!H2&gt;0,Skills!I2/Skills!H2,1)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1915=TRUE)*(F1915-Calc!F20)),(Inputs!$B$23+0+(IF(ArtifactsInput!$M$15,CHOOSE(ArtifactsInput!$N$15+1,25,30,35,40,45,50)/100*(Inputs!$B$11-Inputs!$B$11),0))))/100+(Inputs!$B$23+0+(IF(ArtifactsInput!$M$15,CHOOSE(ArtifactsInput!$N$15+1,25,30,35,40,45,50)/100*(Inputs!$B$11-Inputs!$B$11),0)))/100)/2</f>
        <v/>
      </c>
      <c r="M1897">
        <f>L1897*(1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IF(B1930=0,0,O1897/B1930)</f>
        <v/>
      </c>
      <c r="Q1897" t="n">
        <v>0</v>
      </c>
      <c r="R1897" t="n">
        <v>0</v>
      </c>
      <c r="S1897">
        <f>IFERROR(O1897/N1897,0)</f>
        <v/>
      </c>
      <c r="T1897">
        <f>IF(C1897,(Skills!G2*N1897*B1924)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IF(C1897,(Skills!G2*N1897*B1924)*IF(Inputs!$B$38="pvp",1,(1+(Inputs!$B$21+Skills!Q2+(IF(ArtifactsInput!$M$33,CHOOSE(ArtifactsInput!$N$33+1,30,36,42,48,54,60),0))+(IF(AND(ArtifactsInput!$M$35,Inputs!$B$4&lt;&gt;"Chapter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Inputs!$B$3&gt;=35</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Skills!G3*IF(Skills!H3&gt;0,Skills!I3/Skills!H3,1)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1915=TRUE)*(F1915-Calc!F20)),(Inputs!$B$23+0+(IF(ArtifactsInput!$M$15,CHOOSE(ArtifactsInput!$N$15+1,25,30,35,40,45,50)/100*(Inputs!$B$11-Inputs!$B$11),0))))/100+(Inputs!$B$23+0+(IF(ArtifactsInput!$M$15,CHOOSE(ArtifactsInput!$N$15+1,25,30,35,40,45,50)/100*(Inputs!$B$11-Inputs!$B$11),0)))/100)/2</f>
        <v/>
      </c>
      <c r="M1898">
        <f>L1898*(1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IF(B1930=0,0,O1898/B1930)</f>
        <v/>
      </c>
      <c r="Q1898" t="n">
        <v>0</v>
      </c>
      <c r="R1898" t="n">
        <v>0</v>
      </c>
      <c r="S1898">
        <f>IFERROR(O1898/N1898,0)</f>
        <v/>
      </c>
      <c r="T1898">
        <f>IF(C1898,(Skills!G3*H1898*N1898*B1924)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IF(C1898,(Skills!G3*H1898*N1898*B1924)*IF(Inputs!$B$38="pvp",1,(1+(Inputs!$B$21+Skills!Q3+(IF(ArtifactsInput!$M$33,CHOOSE(ArtifactsInput!$N$33+1,30,36,42,48,54,60),0))+(IF(AND(ArtifactsInput!$M$35,Inputs!$B$4&lt;&gt;"Chapter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Inputs!$B$3&gt;=60</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f>Skills!G4*IF(Skills!H4&gt;0,Skills!I4/Skills!H4,1)</f>
        <v/>
      </c>
      <c r="H1899">
        <f>1-(1-Skills!J4/100)^Skills!K4</f>
        <v/>
      </c>
      <c r="I1899" t="inlineStr">
        <is>
          <t>1</t>
        </is>
      </c>
      <c r="J1899">
        <f>((Inputs!$B$6*(1+Inputs!$B$7/100))+(((Inputs!$B$12*(1+Inputs!$B$13/100))-(Inputs!$B$12*(1+Inputs!$B$13/100)))+0.25*(Inputs!$B$14-Inputs!$B$14))*(1+Inputs!$B$7/100))*(F1899/100)</f>
        <v/>
      </c>
      <c r="K1899">
        <f>J1899*(1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4="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1899)</f>
        <v/>
      </c>
      <c r="L1899">
        <f>K1899*(MIN(Inputs!$B$22+((C1915=TRUE)*(F1915-Calc!F20)),(Inputs!$B$23+0+(IF(ArtifactsInput!$M$15,CHOOSE(ArtifactsInput!$N$15+1,25,30,35,40,45,50)/100*(Inputs!$B$11-Inputs!$B$11),0))))/100+(Inputs!$B$23+0+(IF(ArtifactsInput!$M$15,CHOOSE(ArtifactsInput!$N$15+1,25,30,35,40,45,50)/100*(Inputs!$B$11-Inputs!$B$11),0)))/100)/2</f>
        <v/>
      </c>
      <c r="M1899">
        <f>L1899*(1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9">
        <f>L1899*(1-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1899*(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9">
        <f>(1-Summary!$B$11)*T1899+Summary!$B$11*V1899</f>
        <v/>
      </c>
      <c r="P1899">
        <f>IF(B1930=0,0,O1899/B1930)</f>
        <v/>
      </c>
      <c r="Q1899" t="n">
        <v>0</v>
      </c>
      <c r="R1899" t="n">
        <v>0</v>
      </c>
      <c r="S1899">
        <f>IFERROR(O1899/N1899,0)</f>
        <v/>
      </c>
      <c r="T1899">
        <f>IF(C1899,(Skills!G4*H1899*N1899*B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9">
        <f>290*U1898/1000</f>
        <v/>
      </c>
      <c r="V1899">
        <f>IF(C1899,(Skills!G4*H1899*N1899*B1924)*IF(Inputs!$B$38="pvp",1,(1+(Inputs!$B$21+Skills!Q4+(IF(ArtifactsInput!$M$33,CHOOSE(ArtifactsInput!$N$33+1,30,36,42,48,54,60),0))+(IF(AND(ArtifactsInput!$M$35,Inputs!$B$4&lt;&gt;"Chapter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0">
      <c r="A1900">
        <f>Skills!A5</f>
        <v/>
      </c>
      <c r="B1900">
        <f>Skills!B5</f>
        <v/>
      </c>
      <c r="C1900">
        <f>Inputs!$B$3&gt;=60</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Skills!G5*IF(Skills!H5&gt;0,Skills!I5/Skills!H5,1)</f>
        <v/>
      </c>
      <c r="H1900">
        <f>1-(1-Skills!J5/100)^Skills!K5</f>
        <v/>
      </c>
      <c r="I1900" t="inlineStr">
        <is>
          <t>1</t>
        </is>
      </c>
      <c r="J1900" t="inlineStr"/>
      <c r="K1900" t="inlineStr"/>
      <c r="L1900" t="inlineStr"/>
      <c r="M1900" t="inlineStr"/>
      <c r="N1900" t="inlineStr"/>
      <c r="O1900">
        <f>(1-Summary!$B$11)*T1900+Summary!$B$11*V1900</f>
        <v/>
      </c>
      <c r="P1900">
        <f>IF(B1930=0,0,O1900/B1930)</f>
        <v/>
      </c>
      <c r="Q1900" t="n">
        <v>0</v>
      </c>
      <c r="R1900" t="n">
        <v>0</v>
      </c>
      <c r="S1900">
        <f>IFERROR(O1900/N1900,0)</f>
        <v/>
      </c>
      <c r="T1900" t="n">
        <v>0</v>
      </c>
      <c r="V1900" t="n">
        <v>0</v>
      </c>
    </row>
    <row r="1901">
      <c r="A1901">
        <f>Skills!A6</f>
        <v/>
      </c>
      <c r="B1901">
        <f>Skills!B6</f>
        <v/>
      </c>
      <c r="C1901">
        <f>Inputs!$B$3&gt;=63</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Skills!G6*IF(Skills!H6&gt;0,Skills!I6/Skills!H6,1)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1915=TRUE)*(F1915-Calc!F20)),(Inputs!$B$23+0+(IF(ArtifactsInput!$M$15,CHOOSE(ArtifactsInput!$N$15+1,25,30,35,40,45,50)/100*(Inputs!$B$11-Inputs!$B$11),0))))/100+(Inputs!$B$23+0+(IF(ArtifactsInput!$M$15,CHOOSE(ArtifactsInput!$N$15+1,25,30,35,40,45,50)/100*(Inputs!$B$11-Inputs!$B$11),0)))/100)/2</f>
        <v/>
      </c>
      <c r="M1901">
        <f>L1901*(1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IF(B1930=0,0,O1901/B1930)</f>
        <v/>
      </c>
      <c r="Q1901">
        <f>IFERROR(1/(IF(Inputs!$B$38="pvp",15,MAX(0.1,Skills!D6-IF(Skills!E6=TRUE,Inputs!$B$32,0)))*(1-IF(AND(ArtifactsInput!$M$27,Inputs!$B$4="Chapter Hunt"),CHOOSE(ArtifactsInput!$N$27+1,20,24,28,32,36,40),0)/100)),0)</f>
        <v/>
      </c>
      <c r="R1901">
        <f>IF(AND(Inputs!$B$38&lt;&gt;"pvp",Inputs!$B$43&gt;0),IF(MAX(0,Inputs!$B$43-B1927)&lt;=0,0,(INT(MAX(0,Inputs!$B$43-B1927)/(IF(Inputs!$B$38="pvp",15,MAX(0.1,Skills!D6-IF(Skills!E6=TRUE,Inputs!$B$32,0)))*(1-IF(AND(ArtifactsInput!$M$27,Inputs!$B$4="Chapter Hunt"),CHOOSE(ArtifactsInput!$N$27+1,20,24,28,32,36,40),0)/100)))+1)),0)</f>
        <v/>
      </c>
      <c r="S1901">
        <f>IFERROR(O1901/N1901,0)</f>
        <v/>
      </c>
      <c r="T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$21+Skills!Q6+(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Inputs!$B$3&gt;=100</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f>Skills!G7*IF(Skills!H7&gt;0,Skills!I7/Skills!H7,1)</f>
        <v/>
      </c>
      <c r="H1902">
        <f>1-(1-Skills!J7/100)^Skills!K7</f>
        <v/>
      </c>
      <c r="I1902" t="inlineStr">
        <is>
          <t>1</t>
        </is>
      </c>
      <c r="J1902">
        <f>((Inputs!$B$6*(1+Inputs!$B$7/100))+(((Inputs!$B$12*(1+Inputs!$B$13/100))-(Inputs!$B$12*(1+Inputs!$B$13/100)))+0.25*(Inputs!$B$14-Inputs!$B$14))*(1+Inputs!$B$7/100))*(F1902/100)</f>
        <v/>
      </c>
      <c r="K1902">
        <f>J1902*(1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C1915=TRUE)*(F1915-Calc!F20)),(Inputs!$B$23+0+(IF(ArtifactsInput!$M$15,CHOOSE(ArtifactsInput!$N$15+1,25,30,35,40,45,50)/100*(Inputs!$B$11-Inputs!$B$11),0))))/100+(Inputs!$B$23+0+(IF(ArtifactsInput!$M$15,CHOOSE(ArtifactsInput!$N$15+1,25,30,35,40,45,50)/100*(Inputs!$B$11-Inputs!$B$11),0)))/100)/2</f>
        <v/>
      </c>
      <c r="M1902">
        <f>L1902*(1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(1-Summary!$B$11)*T1902+Summary!$B$11*V1902</f>
        <v/>
      </c>
      <c r="P1902">
        <f>IF(B1930=0,0,O1902/B1930)</f>
        <v/>
      </c>
      <c r="Q1902">
        <f>IFERROR(1/(IF(Inputs!$B$38="pvp",15,MAX(0.1,Skills!D7-IF(Skills!E7=TRUE,Inputs!$B$32,0)))*(1-IF(AND(ArtifactsInput!$M$27,Inputs!$B$4="Chapter Hunt"),CHOOSE(ArtifactsInput!$N$27+1,20,24,28,32,36,40),0)/100)),0)</f>
        <v/>
      </c>
      <c r="R1902">
        <f>IF(AND(Inputs!$B$38&lt;&gt;"pvp",Inputs!$B$43&gt;0),IF(MAX(0,Inputs!$B$43-B1927)&lt;=0,0,(INT(MAX(0,Inputs!$B$43-B1927)/(IF(Inputs!$B$38="pvp",15,MAX(0.1,Skills!D7-IF(Skills!E7=TRUE,Inputs!$B$32,0)))*(1-IF(AND(ArtifactsInput!$M$27,Inputs!$B$4="Chapter Hunt"),CHOOSE(ArtifactsInput!$N$27+1,20,24,28,32,36,40),0)/100)))+1)),0)</f>
        <v/>
      </c>
      <c r="S1902">
        <f>IFERROR(O1902/N1902,0)</f>
        <v/>
      </c>
      <c r="T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$21+Skills!Q7+(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3">
      <c r="A1903">
        <f>Skills!A8</f>
        <v/>
      </c>
      <c r="B1903">
        <f>Skills!B8</f>
        <v/>
      </c>
      <c r="C1903">
        <f>Inputs!$B$3&gt;=110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Skills!G8*IF(Skills!H8&gt;0,Skills!I8/Skills!H8,1)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1915=TRUE)*(F1915-Calc!F20)),(Inputs!$B$23+0+(IF(ArtifactsInput!$M$15,CHOOSE(ArtifactsInput!$N$15+1,25,30,35,40,45,50)/100*(Inputs!$B$11-Inputs!$B$11),0))))/100+(Inputs!$B$23+0+(IF(ArtifactsInput!$M$15,CHOOSE(ArtifactsInput!$N$15+1,25,30,35,40,45,50)/100*(Inputs!$B$11-Inputs!$B$11),0)))/100)/2</f>
        <v/>
      </c>
      <c r="M1903">
        <f>L1903*(1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IF(B1930=0,0,O1903/B1930)</f>
        <v/>
      </c>
      <c r="Q1903">
        <f>IFERROR(1/(IF(Inputs!$B$38="pvp",15,MAX(0.1,Skills!D8-IF(Skills!E8=TRUE,Inputs!$B$32,0)))*(1-IF(AND(ArtifactsInput!$M$27,Inputs!$B$4="Chapter Hunt"),CHOOSE(ArtifactsInput!$N$27+1,20,24,28,32,36,40),0)/100)),0)</f>
        <v/>
      </c>
      <c r="R1903">
        <f>IF(AND(Inputs!$B$38&lt;&gt;"pvp",Inputs!$B$43&gt;0),IF(MAX(0,Inputs!$B$43-B1927)&lt;=0,0,(INT(MAX(0,Inputs!$B$43-B1927)/(IF(Inputs!$B$38="pvp",15,MAX(0.1,Skills!D8-IF(Skills!E8=TRUE,Inputs!$B$32,0)))*(1-IF(AND(ArtifactsInput!$M$27,Inputs!$B$4="Chapter Hunt"),CHOOSE(ArtifactsInput!$N$27+1,20,24,28,32,36,40),0)/100)))+1)),0)</f>
        <v/>
      </c>
      <c r="S1903">
        <f>IFERROR(O1903/N1903,0)</f>
        <v/>
      </c>
      <c r="T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$21+Skills!Q8+(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Inputs!$B$3&gt;=110</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Skills!G9*IF(Skills!H9&gt;0,Skills!I9/Skills!H9,1)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1915=TRUE)*(F1915-Calc!F20)),(Inputs!$B$23+0+(IF(ArtifactsInput!$M$15,CHOOSE(ArtifactsInput!$N$15+1,25,30,35,40,45,50)/100*(Inputs!$B$11-Inputs!$B$11),0))))/100+(Inputs!$B$23+0+(IF(ArtifactsInput!$M$15,CHOOSE(ArtifactsInput!$N$15+1,25,30,35,40,45,50)/100*(Inputs!$B$11-Inputs!$B$11),0)))/100)/2</f>
        <v/>
      </c>
      <c r="M1904">
        <f>L1904*(1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IF(B1930=0,0,O1904/B1930)</f>
        <v/>
      </c>
      <c r="Q1904">
        <f>IFERROR(1/(IF(Inputs!$B$38="pvp",15,MAX(0.1,Skills!D9-IF(Skills!E9=TRUE,Inputs!$B$32,0)))*(1-IF(AND(ArtifactsInput!$M$27,Inputs!$B$4="Chapter Hunt"),CHOOSE(ArtifactsInput!$N$27+1,20,24,28,32,36,40),0)/100)),0)</f>
        <v/>
      </c>
      <c r="R1904">
        <f>IF(AND(Inputs!$B$38&lt;&gt;"pvp",Inputs!$B$43&gt;0),IF(MAX(0,Inputs!$B$43-B1927)&lt;=0,0,(INT(MAX(0,Inputs!$B$43-B1927)/(IF(Inputs!$B$38="pvp",15,MAX(0.1,Skills!D9-IF(Skills!E9=TRUE,Inputs!$B$32,0)))*(1-IF(AND(ArtifactsInput!$M$27,Inputs!$B$4="Chapter Hunt"),CHOOSE(ArtifactsInput!$N$27+1,20,24,28,32,36,40),0)/100)))+1)),0)</f>
        <v/>
      </c>
      <c r="S1904">
        <f>IFERROR(O1904/N1904,0)</f>
        <v/>
      </c>
      <c r="T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$21+Skills!Q9+(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Inputs!$B$3&gt;=103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Skills!G10*IF(Skills!H10&gt;0,Skills!I10/Skills!H10,1)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1915=TRUE)*(F1915-Calc!F20)),(Inputs!$B$23+0+(IF(ArtifactsInput!$M$15,CHOOSE(ArtifactsInput!$N$15+1,25,30,35,40,45,50)/100*(Inputs!$B$11-Inputs!$B$11),0))))/100+(Inputs!$B$23+0+(IF(ArtifactsInput!$M$15,CHOOSE(ArtifactsInput!$N$15+1,25,30,35,40,45,50)/100*(Inputs!$B$11-Inputs!$B$11),0)))/100)/2</f>
        <v/>
      </c>
      <c r="M1905">
        <f>L1905*(1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IF(B1930=0,0,O1905/B1930)</f>
        <v/>
      </c>
      <c r="Q1905">
        <f>IFERROR(1/(IF(Inputs!$B$38="pvp",15,MAX(0.1,Skills!D10-IF(Skills!E10=TRUE,Inputs!$B$32,0)))*(1-IF(AND(ArtifactsInput!$M$27,Inputs!$B$4="Chapter Hunt"),CHOOSE(ArtifactsInput!$N$27+1,20,24,28,32,36,40),0)/100)),0)</f>
        <v/>
      </c>
      <c r="R1905">
        <f>IF(AND(Inputs!$B$38&lt;&gt;"pvp",Inputs!$B$43&gt;0),IF(MAX(0,Inputs!$B$43-B1927)&lt;=0,0,(INT(MAX(0,Inputs!$B$43-B1927)/(IF(Inputs!$B$38="pvp",15,MAX(0.1,Skills!D10-IF(Skills!E10=TRUE,Inputs!$B$32,0)))*(1-IF(AND(ArtifactsInput!$M$27,Inputs!$B$4="Chapter Hunt"),CHOOSE(ArtifactsInput!$N$27+1,20,24,28,32,36,40),0)/100)))+1)),0)</f>
        <v/>
      </c>
      <c r="S1905">
        <f>IFERROR(O1905/N1905,0)</f>
        <v/>
      </c>
      <c r="T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$21+Skills!Q10+(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Inputs!$B$3&gt;=113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Skills!G11*IF(Skills!H11&gt;0,Skills!I11/Skills!H11,1)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1915=TRUE)*(F1915-Calc!F20)),(Inputs!$B$23+0+(IF(ArtifactsInput!$M$15,CHOOSE(ArtifactsInput!$N$15+1,25,30,35,40,45,50)/100*(Inputs!$B$11-Inputs!$B$11),0))))/100+(Inputs!$B$23+0+(IF(ArtifactsInput!$M$15,CHOOSE(ArtifactsInput!$N$15+1,25,30,35,40,45,50)/100*(Inputs!$B$11-Inputs!$B$11),0)))/100)/2</f>
        <v/>
      </c>
      <c r="M1906">
        <f>L1906*(1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IF(B1930=0,0,O1906/B1930)</f>
        <v/>
      </c>
      <c r="Q1906">
        <f>IFERROR(1/(IF(Inputs!$B$38="pvp",15,MAX(0.1,Skills!D11-IF(Skills!E11=TRUE,Inputs!$B$32,0)))*(1-IF(AND(ArtifactsInput!$M$27,Inputs!$B$4="Chapter Hunt"),CHOOSE(ArtifactsInput!$N$27+1,20,24,28,32,36,40),0)/100)),0)</f>
        <v/>
      </c>
      <c r="R1906">
        <f>IF(AND(Inputs!$B$38&lt;&gt;"pvp",Inputs!$B$43&gt;0),IF(MAX(0,Inputs!$B$43-B1927)&lt;=0,0,(INT(MAX(0,Inputs!$B$43-B1927)/(IF(Inputs!$B$38="pvp",15,MAX(0.1,Skills!D11-IF(Skills!E11=TRUE,Inputs!$B$32,0)))*(1-IF(AND(ArtifactsInput!$M$27,Inputs!$B$4="Chapter Hunt"),CHOOSE(ArtifactsInput!$N$27+1,20,24,28,32,36,40),0)/100)))+1)),0)</f>
        <v/>
      </c>
      <c r="S1906">
        <f>IFERROR(O1906/N1906,0)</f>
        <v/>
      </c>
      <c r="T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$21+Skills!Q11+(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Inputs!$B$3&gt;=66</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Skills!G13*IF(Skills!H13&gt;0,Skills!I13/Skills!H13,1)</f>
        <v/>
      </c>
      <c r="H1908">
        <f>1-(1-Skills!J13/100)^Skills!K13</f>
        <v/>
      </c>
      <c r="I1908" t="inlineStr">
        <is>
          <t>1</t>
        </is>
      </c>
      <c r="J1908" t="inlineStr"/>
      <c r="K1908" t="inlineStr"/>
      <c r="L1908" t="inlineStr"/>
      <c r="M1908" t="inlineStr"/>
      <c r="N1908" t="inlineStr"/>
      <c r="O1908">
        <f>(1-Summary!$B$11)*T1908+Summary!$B$11*V1908</f>
        <v/>
      </c>
      <c r="P1908">
        <f>IF(B1930=0,0,O1908/B1930)</f>
        <v/>
      </c>
      <c r="Q1908" t="n">
        <v>0</v>
      </c>
      <c r="R1908" t="n">
        <v>0</v>
      </c>
      <c r="S1908">
        <f>IFERROR(O1908/N1908,0)</f>
        <v/>
      </c>
      <c r="T1908" t="n">
        <v>0</v>
      </c>
      <c r="V1908" t="n">
        <v>0</v>
      </c>
    </row>
    <row r="1909">
      <c r="A1909">
        <f>Skills!A14</f>
        <v/>
      </c>
      <c r="B1909">
        <f>Skills!B14</f>
        <v/>
      </c>
      <c r="C1909">
        <f>Inputs!$B$3&gt;=107</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f>Skills!G14*IF(Skills!H14&gt;0,Skills!I14/Skills!H14,1)</f>
        <v/>
      </c>
      <c r="H1909">
        <f>1-(1-Skills!J14/100)^Skills!K14</f>
        <v/>
      </c>
      <c r="I1909" t="inlineStr">
        <is>
          <t>1</t>
        </is>
      </c>
      <c r="J1909" t="inlineStr"/>
      <c r="K1909" t="inlineStr"/>
      <c r="L1909" t="inlineStr"/>
      <c r="M1909" t="inlineStr"/>
      <c r="N1909" t="inlineStr"/>
      <c r="O1909">
        <f>(1-Summary!$B$11)*T1909+Summary!$B$11*V1909</f>
        <v/>
      </c>
      <c r="P1909">
        <f>IF(B1930=0,0,O1909/B1930)</f>
        <v/>
      </c>
      <c r="Q1909" t="n">
        <v>0</v>
      </c>
      <c r="R1909" t="n">
        <v>0</v>
      </c>
      <c r="S1909">
        <f>IFERROR(O1909/N1909,0)</f>
        <v/>
      </c>
      <c r="T1909" t="n">
        <v>0</v>
      </c>
      <c r="V1909" t="n">
        <v>0</v>
      </c>
    </row>
    <row r="1910">
      <c r="A1910">
        <f>Skills!A15</f>
        <v/>
      </c>
      <c r="B1910">
        <f>Skills!B15</f>
        <v/>
      </c>
      <c r="C1910">
        <f>Inputs!$B$3&gt;=115</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Skills!G15*IF(Skills!H15&gt;0,Skills!I15/Skills!H15,1)</f>
        <v/>
      </c>
      <c r="H1910">
        <f>1-(1-Skills!J15/100)^Skills!K15</f>
        <v/>
      </c>
      <c r="I1910" t="inlineStr">
        <is>
          <t>1</t>
        </is>
      </c>
      <c r="J1910" t="inlineStr"/>
      <c r="K1910" t="inlineStr"/>
      <c r="L1910" t="inlineStr"/>
      <c r="M1910" t="inlineStr"/>
      <c r="N1910" t="inlineStr"/>
      <c r="O1910">
        <f>(1-Summary!$B$11)*T1910+Summary!$B$11*V1910</f>
        <v/>
      </c>
      <c r="P1910">
        <f>IF(B1930=0,0,O1910/B1930)</f>
        <v/>
      </c>
      <c r="Q1910" t="n">
        <v>0</v>
      </c>
      <c r="R1910" t="n">
        <v>0</v>
      </c>
      <c r="S1910">
        <f>IFERROR(O1910/N1910,0)</f>
        <v/>
      </c>
      <c r="T1910" t="n">
        <v>0</v>
      </c>
      <c r="V1910" t="n">
        <v>0</v>
      </c>
    </row>
    <row r="1911">
      <c r="A1911">
        <f>Skills!A16</f>
        <v/>
      </c>
      <c r="B1911">
        <f>Skills!B16</f>
        <v/>
      </c>
      <c r="C1911">
        <f>Inputs!$B$3&gt;=15</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Skills!G16*IF(Skills!H16&gt;0,Skills!I16/Skills!H16,1)</f>
        <v/>
      </c>
      <c r="H1911">
        <f>1-(1-Skills!J16/100)^Skills!K16</f>
        <v/>
      </c>
      <c r="I1911" t="inlineStr">
        <is>
          <t>1</t>
        </is>
      </c>
      <c r="J1911" t="inlineStr"/>
      <c r="K1911" t="inlineStr"/>
      <c r="L1911" t="inlineStr"/>
      <c r="M1911" t="inlineStr"/>
      <c r="N1911" t="inlineStr"/>
      <c r="O1911">
        <f>(1-Summary!$B$11)*T1911+Summary!$B$11*V1911</f>
        <v/>
      </c>
      <c r="P1911">
        <f>IF(B1930=0,0,O1911/B1930)</f>
        <v/>
      </c>
      <c r="Q1911" t="n">
        <v>0</v>
      </c>
      <c r="R1911" t="n">
        <v>0</v>
      </c>
      <c r="S1911">
        <f>IFERROR(O1911/N1911,0)</f>
        <v/>
      </c>
      <c r="T1911" t="n">
        <v>0</v>
      </c>
      <c r="V1911" t="n">
        <v>0</v>
      </c>
    </row>
    <row r="1912">
      <c r="A1912">
        <f>Skills!A17</f>
        <v/>
      </c>
      <c r="B1912">
        <f>Skills!B17</f>
        <v/>
      </c>
      <c r="C1912">
        <f>Inputs!$B$3&gt;=10</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Skills!G17*IF(Skills!H17&gt;0,Skills!I17/Skills!H17,1)</f>
        <v/>
      </c>
      <c r="H1912">
        <f>1-(1-Skills!J17/100)^Skills!K17</f>
        <v/>
      </c>
      <c r="I1912" t="inlineStr">
        <is>
          <t>1</t>
        </is>
      </c>
      <c r="J1912" t="inlineStr"/>
      <c r="K1912" t="inlineStr"/>
      <c r="L1912" t="inlineStr"/>
      <c r="M1912" t="inlineStr"/>
      <c r="N1912" t="inlineStr"/>
      <c r="O1912">
        <f>(1-Summary!$B$11)*T1912+Summary!$B$11*V1912</f>
        <v/>
      </c>
      <c r="P1912">
        <f>IF(B1930=0,0,O1912/B1930)</f>
        <v/>
      </c>
      <c r="Q1912" t="n">
        <v>0</v>
      </c>
      <c r="R1912" t="n">
        <v>0</v>
      </c>
      <c r="S1912">
        <f>IFERROR(O1912/N1912,0)</f>
        <v/>
      </c>
      <c r="T1912" t="n">
        <v>0</v>
      </c>
      <c r="V1912" t="n">
        <v>0</v>
      </c>
    </row>
    <row r="1913">
      <c r="A1913">
        <f>Skills!A18</f>
        <v/>
      </c>
      <c r="B1913">
        <f>Skills!B18</f>
        <v/>
      </c>
      <c r="C1913">
        <f>Inputs!$B$3&gt;=33</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Skills!G18*IF(Skills!H18&gt;0,Skills!I18/Skills!H18,1)</f>
        <v/>
      </c>
      <c r="H1913">
        <f>1-(1-Skills!J18/100)^Skills!K18</f>
        <v/>
      </c>
      <c r="I1913" t="inlineStr">
        <is>
          <t>1</t>
        </is>
      </c>
      <c r="J1913" t="inlineStr"/>
      <c r="K1913" t="inlineStr"/>
      <c r="L1913" t="inlineStr"/>
      <c r="M1913" t="inlineStr"/>
      <c r="N1913" t="inlineStr"/>
      <c r="O1913">
        <f>(1-Summary!$B$11)*T1913+Summary!$B$11*V1913</f>
        <v/>
      </c>
      <c r="P1913">
        <f>IF(B1930=0,0,O1913/B1930)</f>
        <v/>
      </c>
      <c r="Q1913" t="n">
        <v>0</v>
      </c>
      <c r="R1913" t="n">
        <v>0</v>
      </c>
      <c r="S1913">
        <f>IFERROR(O1913/N1913,0)</f>
        <v/>
      </c>
      <c r="T1913" t="n">
        <v>0</v>
      </c>
      <c r="V1913" t="n">
        <v>0</v>
      </c>
    </row>
    <row r="1914">
      <c r="A1914">
        <f>Skills!A19</f>
        <v/>
      </c>
      <c r="B1914">
        <f>Skills!B19</f>
        <v/>
      </c>
      <c r="C1914">
        <f>Inputs!$B$3&gt;=40</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Skills!G19*IF(Skills!H19&gt;0,Skills!I19/Skills!H19,1)</f>
        <v/>
      </c>
      <c r="H1914">
        <f>1-(1-Skills!J19/100)^Skills!K19</f>
        <v/>
      </c>
      <c r="I1914" t="inlineStr">
        <is>
          <t>1</t>
        </is>
      </c>
      <c r="J1914" t="inlineStr"/>
      <c r="K1914" t="inlineStr"/>
      <c r="L1914" t="inlineStr"/>
      <c r="M1914" t="inlineStr"/>
      <c r="N1914" t="inlineStr"/>
      <c r="O1914">
        <f>(1-Summary!$B$11)*T1914+Summary!$B$11*V1914</f>
        <v/>
      </c>
      <c r="P1914">
        <f>IF(B1930=0,0,O1914/B1930)</f>
        <v/>
      </c>
      <c r="Q1914" t="n">
        <v>0</v>
      </c>
      <c r="R1914" t="n">
        <v>0</v>
      </c>
      <c r="S1914">
        <f>IFERROR(O1914/N1914,0)</f>
        <v/>
      </c>
      <c r="T1914" t="n">
        <v>0</v>
      </c>
      <c r="V1914" t="n">
        <v>0</v>
      </c>
    </row>
    <row r="1915">
      <c r="A1915">
        <f>Skills!A20</f>
        <v/>
      </c>
      <c r="B1915">
        <f>Skills!B20</f>
        <v/>
      </c>
      <c r="C1915">
        <f>Inputs!$B$3&gt;=43</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Skills!G20*IF(Skills!H20&gt;0,Skills!I20/Skills!H20,1)</f>
        <v/>
      </c>
      <c r="H1915">
        <f>1-(1-Skills!J20/100)^Skills!K20</f>
        <v/>
      </c>
      <c r="I1915" t="inlineStr">
        <is>
          <t>1</t>
        </is>
      </c>
      <c r="J1915" t="inlineStr"/>
      <c r="K1915" t="inlineStr"/>
      <c r="L1915" t="inlineStr"/>
      <c r="M1915" t="inlineStr"/>
      <c r="N1915" t="inlineStr"/>
      <c r="O1915">
        <f>(1-Summary!$B$11)*T1915+Summary!$B$11*V1915</f>
        <v/>
      </c>
      <c r="P1915">
        <f>IF(B1930=0,0,O1915/B1930)</f>
        <v/>
      </c>
      <c r="Q1915" t="n">
        <v>0</v>
      </c>
      <c r="R1915" t="n">
        <v>0</v>
      </c>
      <c r="S1915">
        <f>IFERROR(O1915/N1915,0)</f>
        <v/>
      </c>
      <c r="T1915" t="n">
        <v>0</v>
      </c>
      <c r="V1915" t="n">
        <v>0</v>
      </c>
    </row>
    <row r="1916">
      <c r="A1916">
        <f>Skills!A21</f>
        <v/>
      </c>
      <c r="B1916">
        <f>Skills!B21</f>
        <v/>
      </c>
      <c r="C1916">
        <f>Inputs!$B$3&gt;=38</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Skills!G21*IF(Skills!H21&gt;0,Skills!I21/Skills!H21,1)</f>
        <v/>
      </c>
      <c r="H1916">
        <f>1-(1-Skills!J21/100)^Skills!K21</f>
        <v/>
      </c>
      <c r="I1916" t="inlineStr">
        <is>
          <t>1</t>
        </is>
      </c>
      <c r="J1916" t="inlineStr"/>
      <c r="K1916" t="inlineStr"/>
      <c r="L1916" t="inlineStr"/>
      <c r="M1916" t="inlineStr"/>
      <c r="N1916" t="inlineStr"/>
      <c r="O1916">
        <f>(1-Summary!$B$11)*T1916+Summary!$B$11*V1916</f>
        <v/>
      </c>
      <c r="P1916">
        <f>IF(B1930=0,0,O1916/B1930)</f>
        <v/>
      </c>
      <c r="Q1916" t="n">
        <v>0</v>
      </c>
      <c r="R1916" t="n">
        <v>0</v>
      </c>
      <c r="S1916">
        <f>IFERROR(O1916/N1916,0)</f>
        <v/>
      </c>
      <c r="T1916" t="n">
        <v>0</v>
      </c>
      <c r="V1916" t="n">
        <v>0</v>
      </c>
    </row>
    <row r="1917">
      <c r="A1917">
        <f>Skills!A22</f>
        <v/>
      </c>
      <c r="B1917">
        <f>Skills!B22</f>
        <v/>
      </c>
      <c r="C1917">
        <f>Inputs!$B$3&gt;=75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Skills!G22*IF(Skills!H22&gt;0,Skills!I22/Skills!H22,1)</f>
        <v/>
      </c>
      <c r="H1917">
        <f>1-(1-Skills!J22/100)^Skills!K22</f>
        <v/>
      </c>
      <c r="I1917" t="inlineStr">
        <is>
          <t>1</t>
        </is>
      </c>
      <c r="J1917" t="inlineStr"/>
      <c r="K1917" t="inlineStr"/>
      <c r="L1917" t="inlineStr"/>
      <c r="M1917" t="inlineStr"/>
      <c r="N1917" t="inlineStr"/>
      <c r="O1917">
        <f>(1-Summary!$B$11)*T1917+Summary!$B$11*V1917</f>
        <v/>
      </c>
      <c r="P1917">
        <f>IF(B1930=0,0,O1917/B1930)</f>
        <v/>
      </c>
      <c r="Q1917" t="n">
        <v>0</v>
      </c>
      <c r="R1917" t="n">
        <v>0</v>
      </c>
      <c r="S1917">
        <f>IFERROR(O1917/N1917,0)</f>
        <v/>
      </c>
      <c r="T1917" t="n">
        <v>0</v>
      </c>
      <c r="V1917" t="n">
        <v>0</v>
      </c>
    </row>
    <row r="1919">
      <c r="A1919" t="inlineStr">
        <is>
          <t>Attack% Bucket Multiplier</t>
        </is>
      </c>
      <c r="B1919">
        <f>(1+(((C1908=TRUE)*F1908)+((C1914=TRUE)*(F1914-Calc!F19))+(IF(ArtifactsInput!$M$21,CHOOSE(ArtifactsInput!$N$21+1,25,30,35,40,45,50)*(IF(OR(Inputs!$B$4="Chapter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20">
      <c r="A1920" t="inlineStr">
        <is>
          <t>Global Crit Rate Bonus %</t>
        </is>
      </c>
      <c r="B1920" t="n">
        <v>0</v>
      </c>
    </row>
    <row r="1921">
      <c r="A1921" t="inlineStr">
        <is>
          <t>Attack Speed Buff Bonus % (unused)</t>
        </is>
      </c>
      <c r="B1921" t="n">
        <v>0</v>
      </c>
    </row>
    <row r="1922">
      <c r="A1922" t="inlineStr">
        <is>
          <t>Actions Per Second</t>
        </is>
      </c>
      <c r="B1922">
        <f>1+MIN(150,150*(1-(1-(Inputs!$B$11+((C1912=TRUE)*(F1912-Calc!F17))+((C1913=TRUE)*(F1913-Calc!F18)))/150)*(1-B1921/150)))/100</f>
        <v/>
      </c>
    </row>
    <row r="1923">
      <c r="A1923" t="inlineStr">
        <is>
          <t>Skill + Buff Cast Rate</t>
        </is>
      </c>
      <c r="B1923">
        <f>IF(AND(Inputs!$B$38&lt;&gt;"pvp",Inputs!$B$43&gt;0),SUMPRODUCT((Skills!E2:E22=TRUE)*(C1897:C1917=TRUE)*R1897:R1917*Skills!F2:F22)/Inputs!$B$43,SUMPRODUCT((Skills!E2:E22=TRUE)*(C1897:C1917=TRUE)*Q1897:Q1917*Skills!F2:F22))</f>
        <v/>
      </c>
    </row>
    <row r="1924">
      <c r="A1924" t="inlineStr">
        <is>
          <t>Hook Bomber Casts Per Second</t>
        </is>
      </c>
      <c r="B1924">
        <f>MAX(0,B1922-B1923)</f>
        <v/>
      </c>
    </row>
    <row r="1925">
      <c r="A1925" t="inlineStr">
        <is>
          <t>Global Critical Damage Bonus % (unused)</t>
        </is>
      </c>
      <c r="B1925" t="n">
        <v>0</v>
      </c>
    </row>
    <row r="1926">
      <c r="A1926" t="inlineStr">
        <is>
          <t>Global Final Damage Bonus % (Serpent Scale + Crossbones + Time Leap + Speed Infusion)</t>
        </is>
      </c>
      <c r="B1926">
        <f>((C1900=TRUE)*F1900*((10+IF(Inputs!$B$3&gt;=94,5,0))/((10+IF(Inputs!$B$3&gt;=94,5,0))+5/(B1924*(1+IF(Inputs!$B$3&gt;=104,1,0))))))+((C1909=TRUE)*F1909)+((C1910=TRUE)*F1910)+((Inputs!$B$3&gt;=110)*20*(B1922-1))</f>
        <v/>
      </c>
    </row>
    <row r="1927">
      <c r="A1927" t="inlineStr">
        <is>
          <t>Buff-Casting Startup Delay (s, fixed-duration only)</t>
        </is>
      </c>
      <c r="B1927">
        <f>IF(AND(Inputs!$B$38&lt;&gt;"pvp",Inputs!$B$43&gt;0),SUMPRODUCT((Skills!T2:T22&gt;0)*(Skills!E2:E22=TRUE)*(C1897:C1917=TRUE))/B1922,0)</f>
        <v/>
      </c>
    </row>
    <row r="1928">
      <c r="A1928" t="inlineStr">
        <is>
          <t>Boss-Only Total DPS (this block's swept value)</t>
        </is>
      </c>
      <c r="B1928">
        <f>SUM(T1897:T1917)</f>
        <v/>
      </c>
    </row>
    <row r="1929">
      <c r="A1929" t="inlineStr">
        <is>
          <t>Normal-Only Total DPS (this block's swept value)</t>
        </is>
      </c>
      <c r="B1929">
        <f>SUM(V1897:V1917)</f>
        <v/>
      </c>
    </row>
    <row r="1930">
      <c r="A1930" s="6" t="inlineStr">
        <is>
          <t>TOTAL DPS</t>
        </is>
      </c>
      <c r="B1930" s="6">
        <f>SUM(O1897:O1917)</f>
        <v/>
      </c>
    </row>
    <row r="1933">
      <c r="A1933" s="6" t="inlineStr">
        <is>
          <t>Stat: Ancient Text Piece (Equip)</t>
        </is>
      </c>
    </row>
    <row r="1934">
      <c r="A1934" s="5" t="inlineStr">
        <is>
          <t>Key</t>
        </is>
      </c>
      <c r="B1934" s="5" t="inlineStr">
        <is>
          <t>Name</t>
        </is>
      </c>
      <c r="C1934" s="5" t="inlineStr">
        <is>
          <t>Unlocked</t>
        </is>
      </c>
      <c r="D1934" s="5" t="inlineStr">
        <is>
          <t>InputLevel</t>
        </is>
      </c>
      <c r="E1934" s="5" t="inlineStr">
        <is>
          <t>Factor</t>
        </is>
      </c>
      <c r="F1934" s="5" t="inlineStr">
        <is>
          <t>CoefficientPercent</t>
        </is>
      </c>
      <c r="G1934" s="5" t="inlineStr">
        <is>
          <t>EffectiveHits</t>
        </is>
      </c>
      <c r="H1934" s="5" t="inlineStr">
        <is>
          <t>ProcProbability</t>
        </is>
      </c>
      <c r="I1934" s="5" t="inlineStr">
        <is>
          <t>MapleHeroMultiplier</t>
        </is>
      </c>
      <c r="J1934" s="5" t="inlineStr">
        <is>
          <t>BaseDamage</t>
        </is>
      </c>
      <c r="K1934" s="5" t="inlineStr">
        <is>
          <t>BaseHitDamage</t>
        </is>
      </c>
      <c r="L1934" s="5" t="inlineStr">
        <is>
          <t>NonCritAvg</t>
        </is>
      </c>
      <c r="M1934" s="5" t="inlineStr">
        <is>
          <t>CritAvg</t>
        </is>
      </c>
      <c r="N1934" s="5" t="inlineStr">
        <is>
          <t>ExpectedDamage(perHit)</t>
        </is>
      </c>
      <c r="O1934" s="5" t="inlineStr">
        <is>
          <t>DPS</t>
        </is>
      </c>
      <c r="P1934" s="5" t="inlineStr">
        <is>
          <t>% of Total</t>
        </is>
      </c>
      <c r="Q1934" s="5" t="inlineStr">
        <is>
          <t>InvCooldown</t>
        </is>
      </c>
      <c r="R1934" s="5" t="inlineStr">
        <is>
          <t>CastsInFight</t>
        </is>
      </c>
      <c r="S1934" s="5" t="inlineStr">
        <is>
          <t>HitRate(perSec)</t>
        </is>
      </c>
      <c r="U1934" t="inlineStr">
        <is>
          <t>helpers</t>
        </is>
      </c>
    </row>
    <row r="1935">
      <c r="A1935">
        <f>Skills!A2</f>
        <v/>
      </c>
      <c r="B1935">
        <f>Skills!B2</f>
        <v/>
      </c>
      <c r="C1935">
        <f>Inputs!$B$3&gt;=100</f>
        <v/>
      </c>
      <c r="D1935" t="inlineStr"/>
      <c r="E1935" t="inlineStr"/>
      <c r="F1935">
        <f>U1937+Skills!O2</f>
        <v/>
      </c>
      <c r="G1935">
        <f>Skills!G2*IF(Skills!H2&gt;0,Skills!I2/Skills!H2,1)</f>
        <v/>
      </c>
      <c r="H1935">
        <f>1-(1-Skills!J2/100)^Skills!K2</f>
        <v/>
      </c>
      <c r="I1935" t="inlineStr">
        <is>
          <t>1</t>
        </is>
      </c>
      <c r="J1935">
        <f>((Inputs!$B$6*(1+Inputs!$B$7/100))+(((Inputs!$B$12*(1+Inputs!$B$13/100))-(Inputs!$B$12*(1+Inputs!$B$13/100)))+0.25*(Inputs!$B$14-Inputs!$B$14))*(1+Inputs!$B$7/100))*(F1935/100)</f>
        <v/>
      </c>
      <c r="K1935">
        <f>J1935*(1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1935)</f>
        <v/>
      </c>
      <c r="L1935">
        <f>K1935*(MIN(Inputs!$B$22+((C1953=TRUE)*(F1953-Calc!F20)),(Inputs!$B$23+0+(IF(ArtifactsInput!$M$15,CHOOSE(ArtifactsInput!$N$15+1,25,30,35,40,45,50)/100*(Inputs!$B$11-Inputs!$B$11),0))))/100+(Inputs!$B$23+0+(IF(ArtifactsInput!$M$15,CHOOSE(ArtifactsInput!$N$15+1,25,30,35,40,45,50)/100*(Inputs!$B$11-Inputs!$B$11),0)))/100)/2</f>
        <v/>
      </c>
      <c r="M1935">
        <f>L1935*(1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5">
        <f>L1935*(1-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1935*(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5">
        <f>(1-Summary!$B$11)*T1935+Summary!$B$11*V1935</f>
        <v/>
      </c>
      <c r="P1935">
        <f>IF(B1968=0,0,O1935/B1968)</f>
        <v/>
      </c>
      <c r="Q1935" t="n">
        <v>0</v>
      </c>
      <c r="R1935" t="n">
        <v>0</v>
      </c>
      <c r="S1935">
        <f>IFERROR(O1935/N1935,0)</f>
        <v/>
      </c>
      <c r="T1935">
        <f>IF(C1935,(Skills!G2*N1935*B1962)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5">
        <f>MAX(0,(Inputs!$B$3-100)*3)+Inputs!$B$28+Inputs!$B$29</f>
        <v/>
      </c>
      <c r="V1935">
        <f>IF(C1935,(Skills!G2*N1935*B1962)*IF(Inputs!$B$38="pvp",1,(1+(Inputs!$B$21+Skills!Q2+(IF(ArtifactsInput!$M$33,CHOOSE(ArtifactsInput!$N$33+1,30,36,42,48,54,60),0))+(IF(AND(ArtifactsInput!$M$35,Inputs!$B$4&lt;&gt;"Chapter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6">
      <c r="A1936">
        <f>Skills!A3</f>
        <v/>
      </c>
      <c r="B1936">
        <f>Skills!B3</f>
        <v/>
      </c>
      <c r="C1936">
        <f>Inputs!$B$3&gt;=35</f>
        <v/>
      </c>
      <c r="D1936">
        <f>IF(Skills!C3=1,60+Inputs!$B$25+Inputs!$B$29,IF(Skills!C3=2,90+Inputs!$B$26+Inputs!$B$29,IF(Skills!C3=3,120+Inputs!$B$27+Inputs!$B$29,MAX(0,(Inputs!$B$3-100)*3)+Inputs!$B$28+Inputs!$B$29)))</f>
        <v/>
      </c>
      <c r="E1936">
        <f>INDEX(FactorTable!$B$2:$Y$301, MATCH(ROUND(MIN(300,MAX(1,D1936)),0), FactorTable!$A$2:$A$301,0), Skills!M3+1)</f>
        <v/>
      </c>
      <c r="F1936">
        <f>IF(Skills!N3=TRUE,(Skills!L3/10)*(E1936/1000),Skills!L3/10)+Skills!O3</f>
        <v/>
      </c>
      <c r="G1936">
        <f>Skills!G3*IF(Skills!H3&gt;0,Skills!I3/Skills!H3,1)</f>
        <v/>
      </c>
      <c r="H1936">
        <f>1-(1-Skills!J3/100)^Skills!K3</f>
        <v/>
      </c>
      <c r="I1936" t="inlineStr">
        <is>
          <t>1</t>
        </is>
      </c>
      <c r="J1936">
        <f>((Inputs!$B$6*(1+Inputs!$B$7/100))+(((Inputs!$B$12*(1+Inputs!$B$13/100))-(Inputs!$B$12*(1+Inputs!$B$13/100)))+0.25*(Inputs!$B$14-Inputs!$B$14))*(1+Inputs!$B$7/100))*(F1936/100)</f>
        <v/>
      </c>
      <c r="K1936">
        <f>J1936*(1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1936)</f>
        <v/>
      </c>
      <c r="L1936">
        <f>K1936*(MIN(Inputs!$B$22+((C1953=TRUE)*(F1953-Calc!F20)),(Inputs!$B$23+0+(IF(ArtifactsInput!$M$15,CHOOSE(ArtifactsInput!$N$15+1,25,30,35,40,45,50)/100*(Inputs!$B$11-Inputs!$B$11),0))))/100+(Inputs!$B$23+0+(IF(ArtifactsInput!$M$15,CHOOSE(ArtifactsInput!$N$15+1,25,30,35,40,45,50)/100*(Inputs!$B$11-Inputs!$B$11),0)))/100)/2</f>
        <v/>
      </c>
      <c r="M1936">
        <f>L1936*(1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6">
        <f>L1936*(1-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1936*(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6">
        <f>(1-Summary!$B$11)*T1936+Summary!$B$11*V1936</f>
        <v/>
      </c>
      <c r="P1936">
        <f>IF(B1968=0,0,O1936/B1968)</f>
        <v/>
      </c>
      <c r="Q1936" t="n">
        <v>0</v>
      </c>
      <c r="R1936" t="n">
        <v>0</v>
      </c>
      <c r="S1936">
        <f>IFERROR(O1936/N1936,0)</f>
        <v/>
      </c>
      <c r="T1936">
        <f>IF(C1936,(Skills!G3*H1936*N1936*B1962)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6">
        <f>INDEX(FactorTable!$B$2:$Y$301, MATCH(ROUND(MIN(300,MAX(1,U1935)),0), FactorTable!$A$2:$A$301,0), 22)</f>
        <v/>
      </c>
      <c r="V1936">
        <f>IF(C1936,(Skills!G3*H1936*N1936*B1962)*IF(Inputs!$B$38="pvp",1,(1+(Inputs!$B$21+Skills!Q3+(IF(ArtifactsInput!$M$33,CHOOSE(ArtifactsInput!$N$33+1,30,36,42,48,54,60),0))+(IF(AND(ArtifactsInput!$M$35,Inputs!$B$4&lt;&gt;"Chapter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7">
      <c r="A1937">
        <f>Skills!A4</f>
        <v/>
      </c>
      <c r="B1937">
        <f>Skills!B4</f>
        <v/>
      </c>
      <c r="C1937">
        <f>Inputs!$B$3&gt;=60</f>
        <v/>
      </c>
      <c r="D1937">
        <f>IF(Skills!C4=1,60+Inputs!$B$25+Inputs!$B$29,IF(Skills!C4=2,90+Inputs!$B$26+Inputs!$B$29,IF(Skills!C4=3,120+Inputs!$B$27+Inputs!$B$29,MAX(0,(Inputs!$B$3-100)*3)+Inputs!$B$28+Inputs!$B$29)))</f>
        <v/>
      </c>
      <c r="E1937">
        <f>INDEX(FactorTable!$B$2:$Y$301, MATCH(ROUND(MIN(300,MAX(1,D1937)),0), FactorTable!$A$2:$A$301,0), Skills!M4+1)</f>
        <v/>
      </c>
      <c r="F1937">
        <f>IF(Skills!N4=TRUE,(Skills!L4/10)*(E1937/1000),Skills!L4/10)+Skills!O4</f>
        <v/>
      </c>
      <c r="G1937">
        <f>Skills!G4*IF(Skills!H4&gt;0,Skills!I4/Skills!H4,1)</f>
        <v/>
      </c>
      <c r="H1937">
        <f>1-(1-Skills!J4/100)^Skills!K4</f>
        <v/>
      </c>
      <c r="I1937" t="inlineStr">
        <is>
          <t>1</t>
        </is>
      </c>
      <c r="J1937">
        <f>((Inputs!$B$6*(1+Inputs!$B$7/100))+(((Inputs!$B$12*(1+Inputs!$B$13/100))-(Inputs!$B$12*(1+Inputs!$B$13/100)))+0.25*(Inputs!$B$14-Inputs!$B$14))*(1+Inputs!$B$7/100))*(F1937/100)</f>
        <v/>
      </c>
      <c r="K1937">
        <f>J1937*(1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1945=TRUE,F1945,0)/100)*(1+(IF(Skills!A4="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1937)</f>
        <v/>
      </c>
      <c r="L1937">
        <f>K1937*(MIN(Inputs!$B$22+((C1953=TRUE)*(F1953-Calc!F20)),(Inputs!$B$23+0+(IF(ArtifactsInput!$M$15,CHOOSE(ArtifactsInput!$N$15+1,25,30,35,40,45,50)/100*(Inputs!$B$11-Inputs!$B$11),0))))/100+(Inputs!$B$23+0+(IF(ArtifactsInput!$M$15,CHOOSE(ArtifactsInput!$N$15+1,25,30,35,40,45,50)/100*(Inputs!$B$11-Inputs!$B$11),0)))/100)/2</f>
        <v/>
      </c>
      <c r="M1937">
        <f>L1937*(1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7">
        <f>L1937*(1-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1937*(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7">
        <f>(1-Summary!$B$11)*T1937+Summary!$B$11*V1937</f>
        <v/>
      </c>
      <c r="P1937">
        <f>IF(B1968=0,0,O1937/B1968)</f>
        <v/>
      </c>
      <c r="Q1937" t="n">
        <v>0</v>
      </c>
      <c r="R1937" t="n">
        <v>0</v>
      </c>
      <c r="S1937">
        <f>IFERROR(O1937/N1937,0)</f>
        <v/>
      </c>
      <c r="T1937">
        <f>IF(C1937,(Skills!G4*H1937*N1937*B1962)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7">
        <f>290*U1936/1000</f>
        <v/>
      </c>
      <c r="V1937">
        <f>IF(C1937,(Skills!G4*H1937*N1937*B1962)*IF(Inputs!$B$38="pvp",1,(1+(Inputs!$B$21+Skills!Q4+(IF(ArtifactsInput!$M$33,CHOOSE(ArtifactsInput!$N$33+1,30,36,42,48,54,60),0))+(IF(AND(ArtifactsInput!$M$35,Inputs!$B$4&lt;&gt;"Chapter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8">
      <c r="A1938">
        <f>Skills!A5</f>
        <v/>
      </c>
      <c r="B1938">
        <f>Skills!B5</f>
        <v/>
      </c>
      <c r="C1938">
        <f>Inputs!$B$3&gt;=60</f>
        <v/>
      </c>
      <c r="D1938">
        <f>IF(Skills!C5=1,60+Inputs!$B$25+Inputs!$B$29,IF(Skills!C5=2,90+Inputs!$B$26+Inputs!$B$29,IF(Skills!C5=3,120+Inputs!$B$27+Inputs!$B$29,MAX(0,(Inputs!$B$3-100)*3)+Inputs!$B$28+Inputs!$B$29)))</f>
        <v/>
      </c>
      <c r="E1938">
        <f>INDEX(FactorTable!$B$2:$Y$301, MATCH(ROUND(MIN(300,MAX(1,D1938)),0), FactorTable!$A$2:$A$301,0), Skills!M5+1)</f>
        <v/>
      </c>
      <c r="F1938">
        <f>IF(Skills!N5=TRUE,(Skills!L5/10)*(E1938/1000),Skills!L5/10)+Skills!O5</f>
        <v/>
      </c>
      <c r="G1938">
        <f>Skills!G5*IF(Skills!H5&gt;0,Skills!I5/Skills!H5,1)</f>
        <v/>
      </c>
      <c r="H1938">
        <f>1-(1-Skills!J5/100)^Skills!K5</f>
        <v/>
      </c>
      <c r="I1938" t="inlineStr">
        <is>
          <t>1</t>
        </is>
      </c>
      <c r="J1938" t="inlineStr"/>
      <c r="K1938" t="inlineStr"/>
      <c r="L1938" t="inlineStr"/>
      <c r="M1938" t="inlineStr"/>
      <c r="N1938" t="inlineStr"/>
      <c r="O1938">
        <f>(1-Summary!$B$11)*T1938+Summary!$B$11*V1938</f>
        <v/>
      </c>
      <c r="P1938">
        <f>IF(B1968=0,0,O1938/B1968)</f>
        <v/>
      </c>
      <c r="Q1938" t="n">
        <v>0</v>
      </c>
      <c r="R1938" t="n">
        <v>0</v>
      </c>
      <c r="S1938">
        <f>IFERROR(O1938/N1938,0)</f>
        <v/>
      </c>
      <c r="T1938" t="n">
        <v>0</v>
      </c>
      <c r="V1938" t="n">
        <v>0</v>
      </c>
    </row>
    <row r="1939">
      <c r="A1939">
        <f>Skills!A6</f>
        <v/>
      </c>
      <c r="B1939">
        <f>Skills!B6</f>
        <v/>
      </c>
      <c r="C1939">
        <f>Inputs!$B$3&gt;=63</f>
        <v/>
      </c>
      <c r="D1939">
        <f>IF(Skills!C6=1,60+Inputs!$B$25+Inputs!$B$29,IF(Skills!C6=2,90+Inputs!$B$26+Inputs!$B$29,IF(Skills!C6=3,120+Inputs!$B$27+Inputs!$B$29,MAX(0,(Inputs!$B$3-100)*3)+Inputs!$B$28+Inputs!$B$29)))</f>
        <v/>
      </c>
      <c r="E1939">
        <f>INDEX(FactorTable!$B$2:$Y$301, MATCH(ROUND(MIN(300,MAX(1,D1939)),0), FactorTable!$A$2:$A$301,0), Skills!M6+1)</f>
        <v/>
      </c>
      <c r="F1939">
        <f>IF(Skills!N6=TRUE,(Skills!L6/10)*(E1939/1000),Skills!L6/10)+Skills!O6</f>
        <v/>
      </c>
      <c r="G1939">
        <f>Skills!G6*IF(Skills!H6&gt;0,Skills!I6/Skills!H6,1)</f>
        <v/>
      </c>
      <c r="H1939">
        <f>1-(1-Skills!J6/100)^Skills!K6</f>
        <v/>
      </c>
      <c r="I1939" t="inlineStr">
        <is>
          <t>1</t>
        </is>
      </c>
      <c r="J1939">
        <f>((Inputs!$B$6*(1+Inputs!$B$7/100))+(((Inputs!$B$12*(1+Inputs!$B$13/100))-(Inputs!$B$12*(1+Inputs!$B$13/100)))+0.25*(Inputs!$B$14-Inputs!$B$14))*(1+Inputs!$B$7/100))*(F1939/100)</f>
        <v/>
      </c>
      <c r="K1939">
        <f>J1939*(1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1939)</f>
        <v/>
      </c>
      <c r="L1939">
        <f>K1939*(MIN(Inputs!$B$22+((C1953=TRUE)*(F1953-Calc!F20)),(Inputs!$B$23+0+(IF(ArtifactsInput!$M$15,CHOOSE(ArtifactsInput!$N$15+1,25,30,35,40,45,50)/100*(Inputs!$B$11-Inputs!$B$11),0))))/100+(Inputs!$B$23+0+(IF(ArtifactsInput!$M$15,CHOOSE(ArtifactsInput!$N$15+1,25,30,35,40,45,50)/100*(Inputs!$B$11-Inputs!$B$11),0)))/100)/2</f>
        <v/>
      </c>
      <c r="M1939">
        <f>L1939*(1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9">
        <f>L1939*(1-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1939*(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9">
        <f>(1-Summary!$B$11)*T1939+Summary!$B$11*V1939</f>
        <v/>
      </c>
      <c r="P1939">
        <f>IF(B1968=0,0,O1939/B1968)</f>
        <v/>
      </c>
      <c r="Q1939">
        <f>IFERROR(1/(IF(Inputs!$B$38="pvp",15,MAX(0.1,Skills!D6-IF(Skills!E6=TRUE,Inputs!$B$32,0)))*(1-IF(AND(ArtifactsInput!$M$27,Inputs!$B$4="Chapter Hunt"),CHOOSE(ArtifactsInput!$N$27+1,20,24,28,32,36,40),0)/100)),0)</f>
        <v/>
      </c>
      <c r="R1939">
        <f>IF(AND(Inputs!$B$38&lt;&gt;"pvp",Inputs!$B$43&gt;0),IF(MAX(0,Inputs!$B$43-B1965)&lt;=0,0,(INT(MAX(0,Inputs!$B$43-B1965)/(IF(Inputs!$B$38="pvp",15,MAX(0.1,Skills!D6-IF(Skills!E6=TRUE,Inputs!$B$32,0)))*(1-IF(AND(ArtifactsInput!$M$27,Inputs!$B$4="Chapter Hunt"),CHOOSE(ArtifactsInput!$N$27+1,20,24,28,32,36,40),0)/100)))+1)),0)</f>
        <v/>
      </c>
      <c r="S1939">
        <f>IFERROR(O1939/N1939,0)</f>
        <v/>
      </c>
      <c r="T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$21+Skills!Q6+(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0">
      <c r="A1940">
        <f>Skills!A7</f>
        <v/>
      </c>
      <c r="B1940">
        <f>Skills!B7</f>
        <v/>
      </c>
      <c r="C1940">
        <f>Inputs!$B$3&gt;=100</f>
        <v/>
      </c>
      <c r="D1940">
        <f>IF(Skills!C7=1,60+Inputs!$B$25+Inputs!$B$29,IF(Skills!C7=2,90+Inputs!$B$26+Inputs!$B$29,IF(Skills!C7=3,120+Inputs!$B$27+Inputs!$B$29,MAX(0,(Inputs!$B$3-100)*3)+Inputs!$B$28+Inputs!$B$29)))</f>
        <v/>
      </c>
      <c r="E1940">
        <f>INDEX(FactorTable!$B$2:$Y$301, MATCH(ROUND(MIN(300,MAX(1,D1940)),0), FactorTable!$A$2:$A$301,0), Skills!M7+1)</f>
        <v/>
      </c>
      <c r="F1940">
        <f>IF(Skills!N7=TRUE,(Skills!L7/10)*(E1940/1000),Skills!L7/10)+Skills!O7</f>
        <v/>
      </c>
      <c r="G1940">
        <f>Skills!G7*IF(Skills!H7&gt;0,Skills!I7/Skills!H7,1)</f>
        <v/>
      </c>
      <c r="H1940">
        <f>1-(1-Skills!J7/100)^Skills!K7</f>
        <v/>
      </c>
      <c r="I1940" t="inlineStr">
        <is>
          <t>1</t>
        </is>
      </c>
      <c r="J1940">
        <f>((Inputs!$B$6*(1+Inputs!$B$7/100))+(((Inputs!$B$12*(1+Inputs!$B$13/100))-(Inputs!$B$12*(1+Inputs!$B$13/100)))+0.25*(Inputs!$B$14-Inputs!$B$14))*(1+Inputs!$B$7/100))*(F1940/100)</f>
        <v/>
      </c>
      <c r="K1940">
        <f>J1940*(1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1940)</f>
        <v/>
      </c>
      <c r="L1940">
        <f>K1940*(MIN(Inputs!$B$22+((C1953=TRUE)*(F1953-Calc!F20)),(Inputs!$B$23+0+(IF(ArtifactsInput!$M$15,CHOOSE(ArtifactsInput!$N$15+1,25,30,35,40,45,50)/100*(Inputs!$B$11-Inputs!$B$11),0))))/100+(Inputs!$B$23+0+(IF(ArtifactsInput!$M$15,CHOOSE(ArtifactsInput!$N$15+1,25,30,35,40,45,50)/100*(Inputs!$B$11-Inputs!$B$11),0)))/100)/2</f>
        <v/>
      </c>
      <c r="M1940">
        <f>L1940*(1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0">
        <f>L1940*(1-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1940*(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0">
        <f>(1-Summary!$B$11)*T1940+Summary!$B$11*V1940</f>
        <v/>
      </c>
      <c r="P1940">
        <f>IF(B1968=0,0,O1940/B1968)</f>
        <v/>
      </c>
      <c r="Q1940">
        <f>IFERROR(1/(IF(Inputs!$B$38="pvp",15,MAX(0.1,Skills!D7-IF(Skills!E7=TRUE,Inputs!$B$32,0)))*(1-IF(AND(ArtifactsInput!$M$27,Inputs!$B$4="Chapter Hunt"),CHOOSE(ArtifactsInput!$N$27+1,20,24,28,32,36,40),0)/100)),0)</f>
        <v/>
      </c>
      <c r="R1940">
        <f>IF(AND(Inputs!$B$38&lt;&gt;"pvp",Inputs!$B$43&gt;0),IF(MAX(0,Inputs!$B$43-B1965)&lt;=0,0,(INT(MAX(0,Inputs!$B$43-B1965)/(IF(Inputs!$B$38="pvp",15,MAX(0.1,Skills!D7-IF(Skills!E7=TRUE,Inputs!$B$32,0)))*(1-IF(AND(ArtifactsInput!$M$27,Inputs!$B$4="Chapter Hunt"),CHOOSE(ArtifactsInput!$N$27+1,20,24,28,32,36,40),0)/100)))+1)),0)</f>
        <v/>
      </c>
      <c r="S1940">
        <f>IFERROR(O1940/N1940,0)</f>
        <v/>
      </c>
      <c r="T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$21+Skills!Q7+(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1">
      <c r="A1941">
        <f>Skills!A8</f>
        <v/>
      </c>
      <c r="B1941">
        <f>Skills!B8</f>
        <v/>
      </c>
      <c r="C1941">
        <f>Inputs!$B$3&gt;=110</f>
        <v/>
      </c>
      <c r="D1941">
        <f>IF(Skills!C8=1,60+Inputs!$B$25+Inputs!$B$29,IF(Skills!C8=2,90+Inputs!$B$26+Inputs!$B$29,IF(Skills!C8=3,120+Inputs!$B$27+Inputs!$B$29,MAX(0,(Inputs!$B$3-100)*3)+Inputs!$B$28+Inputs!$B$29)))</f>
        <v/>
      </c>
      <c r="E1941">
        <f>INDEX(FactorTable!$B$2:$Y$301, MATCH(ROUND(MIN(300,MAX(1,D1941)),0), FactorTable!$A$2:$A$301,0), Skills!M8+1)</f>
        <v/>
      </c>
      <c r="F1941">
        <f>IF(Skills!N8=TRUE,(Skills!L8/10)*(E1941/1000),Skills!L8/10)+Skills!O8</f>
        <v/>
      </c>
      <c r="G1941">
        <f>Skills!G8*IF(Skills!H8&gt;0,Skills!I8/Skills!H8,1)</f>
        <v/>
      </c>
      <c r="H1941">
        <f>1-(1-Skills!J8/100)^Skills!K8</f>
        <v/>
      </c>
      <c r="I1941" t="inlineStr">
        <is>
          <t>1</t>
        </is>
      </c>
      <c r="J1941">
        <f>((Inputs!$B$6*(1+Inputs!$B$7/100))+(((Inputs!$B$12*(1+Inputs!$B$13/100))-(Inputs!$B$12*(1+Inputs!$B$13/100)))+0.25*(Inputs!$B$14-Inputs!$B$14))*(1+Inputs!$B$7/100))*(F1941/100)</f>
        <v/>
      </c>
      <c r="K1941">
        <f>J1941*(1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1941)</f>
        <v/>
      </c>
      <c r="L1941">
        <f>K1941*(MIN(Inputs!$B$22+((C1953=TRUE)*(F1953-Calc!F20)),(Inputs!$B$23+0+(IF(ArtifactsInput!$M$15,CHOOSE(ArtifactsInput!$N$15+1,25,30,35,40,45,50)/100*(Inputs!$B$11-Inputs!$B$11),0))))/100+(Inputs!$B$23+0+(IF(ArtifactsInput!$M$15,CHOOSE(ArtifactsInput!$N$15+1,25,30,35,40,45,50)/100*(Inputs!$B$11-Inputs!$B$11),0)))/100)/2</f>
        <v/>
      </c>
      <c r="M1941">
        <f>L1941*(1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1">
        <f>L1941*(1-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1">
        <f>(1-Summary!$B$11)*T1941+Summary!$B$11*V1941</f>
        <v/>
      </c>
      <c r="P1941">
        <f>IF(B1968=0,0,O1941/B1968)</f>
        <v/>
      </c>
      <c r="Q1941">
        <f>IFERROR(1/(IF(Inputs!$B$38="pvp",15,MAX(0.1,Skills!D8-IF(Skills!E8=TRUE,Inputs!$B$32,0)))*(1-IF(AND(ArtifactsInput!$M$27,Inputs!$B$4="Chapter Hunt"),CHOOSE(ArtifactsInput!$N$27+1,20,24,28,32,36,40),0)/100)),0)</f>
        <v/>
      </c>
      <c r="R1941">
        <f>IF(AND(Inputs!$B$38&lt;&gt;"pvp",Inputs!$B$43&gt;0),IF(MAX(0,Inputs!$B$43-B1965)&lt;=0,0,(INT(MAX(0,Inputs!$B$43-B1965)/(IF(Inputs!$B$38="pvp",15,MAX(0.1,Skills!D8-IF(Skills!E8=TRUE,Inputs!$B$32,0)))*(1-IF(AND(ArtifactsInput!$M$27,Inputs!$B$4="Chapter Hunt"),CHOOSE(ArtifactsInput!$N$27+1,20,24,28,32,36,40),0)/100)))+1)),0)</f>
        <v/>
      </c>
      <c r="S1941">
        <f>IFERROR(O1941/N1941,0)</f>
        <v/>
      </c>
      <c r="T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$21+Skills!Q8+(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2">
      <c r="A1942">
        <f>Skills!A9</f>
        <v/>
      </c>
      <c r="B1942">
        <f>Skills!B9</f>
        <v/>
      </c>
      <c r="C1942">
        <f>Inputs!$B$3&gt;=110</f>
        <v/>
      </c>
      <c r="D1942">
        <f>IF(Skills!C9=1,60+Inputs!$B$25+Inputs!$B$29,IF(Skills!C9=2,90+Inputs!$B$26+Inputs!$B$29,IF(Skills!C9=3,120+Inputs!$B$27+Inputs!$B$29,MAX(0,(Inputs!$B$3-100)*3)+Inputs!$B$28+Inputs!$B$29)))</f>
        <v/>
      </c>
      <c r="E1942">
        <f>INDEX(FactorTable!$B$2:$Y$301, MATCH(ROUND(MIN(300,MAX(1,D1942)),0), FactorTable!$A$2:$A$301,0), Skills!M9+1)</f>
        <v/>
      </c>
      <c r="F1942">
        <f>IF(Skills!N9=TRUE,(Skills!L9/10)*(E1942/1000),Skills!L9/10)+Skills!O9</f>
        <v/>
      </c>
      <c r="G1942">
        <f>Skills!G9*IF(Skills!H9&gt;0,Skills!I9/Skills!H9,1)</f>
        <v/>
      </c>
      <c r="H1942">
        <f>1-(1-Skills!J9/100)^Skills!K9</f>
        <v/>
      </c>
      <c r="I1942" t="inlineStr">
        <is>
          <t>1</t>
        </is>
      </c>
      <c r="J1942">
        <f>((Inputs!$B$6*(1+Inputs!$B$7/100))+(((Inputs!$B$12*(1+Inputs!$B$13/100))-(Inputs!$B$12*(1+Inputs!$B$13/100)))+0.25*(Inputs!$B$14-Inputs!$B$14))*(1+Inputs!$B$7/100))*(F1942/100)</f>
        <v/>
      </c>
      <c r="K1942">
        <f>J1942*(1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C1953=TRUE)*(F1953-Calc!F20)),(Inputs!$B$23+0+(IF(ArtifactsInput!$M$15,CHOOSE(ArtifactsInput!$N$15+1,25,30,35,40,45,50)/100*(Inputs!$B$11-Inputs!$B$11),0))))/100+(Inputs!$B$23+0+(IF(ArtifactsInput!$M$15,CHOOSE(ArtifactsInput!$N$15+1,25,30,35,40,45,50)/100*(Inputs!$B$11-Inputs!$B$11),0)))/100)/2</f>
        <v/>
      </c>
      <c r="M1942">
        <f>L1942*(1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2">
        <f>L1942*(1-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(1-Summary!$B$11)*T1942+Summary!$B$11*V1942</f>
        <v/>
      </c>
      <c r="P1942">
        <f>IF(B1968=0,0,O1942/B1968)</f>
        <v/>
      </c>
      <c r="Q1942">
        <f>IFERROR(1/(IF(Inputs!$B$38="pvp",15,MAX(0.1,Skills!D9-IF(Skills!E9=TRUE,Inputs!$B$32,0)))*(1-IF(AND(ArtifactsInput!$M$27,Inputs!$B$4="Chapter Hunt"),CHOOSE(ArtifactsInput!$N$27+1,20,24,28,32,36,40),0)/100)),0)</f>
        <v/>
      </c>
      <c r="R1942">
        <f>IF(AND(Inputs!$B$38&lt;&gt;"pvp",Inputs!$B$43&gt;0),IF(MAX(0,Inputs!$B$43-B1965)&lt;=0,0,(INT(MAX(0,Inputs!$B$43-B1965)/(IF(Inputs!$B$38="pvp",15,MAX(0.1,Skills!D9-IF(Skills!E9=TRUE,Inputs!$B$32,0)))*(1-IF(AND(ArtifactsInput!$M$27,Inputs!$B$4="Chapter Hunt"),CHOOSE(ArtifactsInput!$N$27+1,20,24,28,32,36,40),0)/100)))+1)),0)</f>
        <v/>
      </c>
      <c r="S1942">
        <f>IFERROR(O1942/N1942,0)</f>
        <v/>
      </c>
      <c r="T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$21+Skills!Q9+(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Skills!A10</f>
        <v/>
      </c>
      <c r="B1943">
        <f>Skills!B10</f>
        <v/>
      </c>
      <c r="C1943">
        <f>Inputs!$B$3&gt;=103</f>
        <v/>
      </c>
      <c r="D1943">
        <f>IF(Skills!C10=1,60+Inputs!$B$25+Inputs!$B$29,IF(Skills!C10=2,90+Inputs!$B$26+Inputs!$B$29,IF(Skills!C10=3,120+Inputs!$B$27+Inputs!$B$29,MAX(0,(Inputs!$B$3-100)*3)+Inputs!$B$28+Inputs!$B$29)))</f>
        <v/>
      </c>
      <c r="E1943">
        <f>INDEX(FactorTable!$B$2:$Y$301, MATCH(ROUND(MIN(300,MAX(1,D1943)),0), FactorTable!$A$2:$A$301,0), Skills!M10+1)</f>
        <v/>
      </c>
      <c r="F1943">
        <f>IF(Skills!N10=TRUE,(Skills!L10/10)*(E1943/1000),Skills!L10/10)+Skills!O10</f>
        <v/>
      </c>
      <c r="G1943">
        <f>Skills!G10*IF(Skills!H10&gt;0,Skills!I10/Skills!H10,1)</f>
        <v/>
      </c>
      <c r="H1943">
        <f>1-(1-Skills!J10/100)^Skills!K10</f>
        <v/>
      </c>
      <c r="I1943" t="inlineStr">
        <is>
          <t>1</t>
        </is>
      </c>
      <c r="J1943">
        <f>((Inputs!$B$6*(1+Inputs!$B$7/100))+(((Inputs!$B$12*(1+Inputs!$B$13/100))-(Inputs!$B$12*(1+Inputs!$B$13/100)))+0.25*(Inputs!$B$14-Inputs!$B$14))*(1+Inputs!$B$7/100))*(F1943/100)</f>
        <v/>
      </c>
      <c r="K1943">
        <f>J1943*(1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1943)</f>
        <v/>
      </c>
      <c r="L1943">
        <f>K1943*(MIN(Inputs!$B$22+((C1953=TRUE)*(F1953-Calc!F20)),(Inputs!$B$23+0+(IF(ArtifactsInput!$M$15,CHOOSE(ArtifactsInput!$N$15+1,25,30,35,40,45,50)/100*(Inputs!$B$11-Inputs!$B$11),0))))/100+(Inputs!$B$23+0+(IF(ArtifactsInput!$M$15,CHOOSE(ArtifactsInput!$N$15+1,25,30,35,40,45,50)/100*(Inputs!$B$11-Inputs!$B$11),0)))/100)/2</f>
        <v/>
      </c>
      <c r="M1943">
        <f>L1943*(1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3">
        <f>L1943*(1-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1943*(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3">
        <f>(1-Summary!$B$11)*T1943+Summary!$B$11*V1943</f>
        <v/>
      </c>
      <c r="P1943">
        <f>IF(B1968=0,0,O1943/B1968)</f>
        <v/>
      </c>
      <c r="Q1943">
        <f>IFERROR(1/(IF(Inputs!$B$38="pvp",15,MAX(0.1,Skills!D10-IF(Skills!E10=TRUE,Inputs!$B$32,0)))*(1-IF(AND(ArtifactsInput!$M$27,Inputs!$B$4="Chapter Hunt"),CHOOSE(ArtifactsInput!$N$27+1,20,24,28,32,36,40),0)/100)),0)</f>
        <v/>
      </c>
      <c r="R1943">
        <f>IF(AND(Inputs!$B$38&lt;&gt;"pvp",Inputs!$B$43&gt;0),IF(MAX(0,Inputs!$B$43-B1965)&lt;=0,0,(INT(MAX(0,Inputs!$B$43-B1965)/(IF(Inputs!$B$38="pvp",15,MAX(0.1,Skills!D10-IF(Skills!E10=TRUE,Inputs!$B$32,0)))*(1-IF(AND(ArtifactsInput!$M$27,Inputs!$B$4="Chapter Hunt"),CHOOSE(ArtifactsInput!$N$27+1,20,24,28,32,36,40),0)/100)))+1)),0)</f>
        <v/>
      </c>
      <c r="S1943">
        <f>IFERROR(O1943/N1943,0)</f>
        <v/>
      </c>
      <c r="T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$21+Skills!Q10+(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4">
      <c r="A1944">
        <f>Skills!A11</f>
        <v/>
      </c>
      <c r="B1944">
        <f>Skills!B11</f>
        <v/>
      </c>
      <c r="C1944">
        <f>Inputs!$B$3&gt;=113</f>
        <v/>
      </c>
      <c r="D1944">
        <f>IF(Skills!C11=1,60+Inputs!$B$25+Inputs!$B$29,IF(Skills!C11=2,90+Inputs!$B$26+Inputs!$B$29,IF(Skills!C11=3,120+Inputs!$B$27+Inputs!$B$29,MAX(0,(Inputs!$B$3-100)*3)+Inputs!$B$28+Inputs!$B$29)))</f>
        <v/>
      </c>
      <c r="E1944">
        <f>INDEX(FactorTable!$B$2:$Y$301, MATCH(ROUND(MIN(300,MAX(1,D1944)),0), FactorTable!$A$2:$A$301,0), Skills!M11+1)</f>
        <v/>
      </c>
      <c r="F1944">
        <f>IF(Skills!N11=TRUE,(Skills!L11/10)*(E1944/1000),Skills!L11/10)+Skills!O11</f>
        <v/>
      </c>
      <c r="G1944">
        <f>Skills!G11*IF(Skills!H11&gt;0,Skills!I11/Skills!H11,1)</f>
        <v/>
      </c>
      <c r="H1944">
        <f>1-(1-Skills!J11/100)^Skills!K11</f>
        <v/>
      </c>
      <c r="I1944" t="inlineStr">
        <is>
          <t>1</t>
        </is>
      </c>
      <c r="J1944">
        <f>((Inputs!$B$6*(1+Inputs!$B$7/100))+(((Inputs!$B$12*(1+Inputs!$B$13/100))-(Inputs!$B$12*(1+Inputs!$B$13/100)))+0.25*(Inputs!$B$14-Inputs!$B$14))*(1+Inputs!$B$7/100))*(F1944/100)</f>
        <v/>
      </c>
      <c r="K1944">
        <f>J1944*(1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1944)</f>
        <v/>
      </c>
      <c r="L1944">
        <f>K1944*(MIN(Inputs!$B$22+((C1953=TRUE)*(F1953-Calc!F20)),(Inputs!$B$23+0+(IF(ArtifactsInput!$M$15,CHOOSE(ArtifactsInput!$N$15+1,25,30,35,40,45,50)/100*(Inputs!$B$11-Inputs!$B$11),0))))/100+(Inputs!$B$23+0+(IF(ArtifactsInput!$M$15,CHOOSE(ArtifactsInput!$N$15+1,25,30,35,40,45,50)/100*(Inputs!$B$11-Inputs!$B$11),0)))/100)/2</f>
        <v/>
      </c>
      <c r="M1944">
        <f>L1944*(1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4">
        <f>L1944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1944*(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4">
        <f>(1-Summary!$B$11)*T1944+Summary!$B$11*V1944</f>
        <v/>
      </c>
      <c r="P1944">
        <f>IF(B1968=0,0,O1944/B1968)</f>
        <v/>
      </c>
      <c r="Q1944">
        <f>IFERROR(1/(IF(Inputs!$B$38="pvp",15,MAX(0.1,Skills!D11-IF(Skills!E11=TRUE,Inputs!$B$32,0)))*(1-IF(AND(ArtifactsInput!$M$27,Inputs!$B$4="Chapter Hunt"),CHOOSE(ArtifactsInput!$N$27+1,20,24,28,32,36,40),0)/100)),0)</f>
        <v/>
      </c>
      <c r="R1944">
        <f>IF(AND(Inputs!$B$38&lt;&gt;"pvp",Inputs!$B$43&gt;0),IF(MAX(0,Inputs!$B$43-B1965)&lt;=0,0,(INT(MAX(0,Inputs!$B$43-B1965)/(IF(Inputs!$B$38="pvp",15,MAX(0.1,Skills!D11-IF(Skills!E11=TRUE,Inputs!$B$32,0)))*(1-IF(AND(ArtifactsInput!$M$27,Inputs!$B$4="Chapter Hunt"),CHOOSE(ArtifactsInput!$N$27+1,20,24,28,32,36,40),0)/100)))+1)),0)</f>
        <v/>
      </c>
      <c r="S1944">
        <f>IFERROR(O1944/N1944,0)</f>
        <v/>
      </c>
      <c r="T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$21+Skills!Q11+(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5">
      <c r="A1945">
        <f>Skills!A12</f>
        <v/>
      </c>
      <c r="B1945">
        <f>Skills!B12</f>
        <v/>
      </c>
      <c r="C1945">
        <f>Inputs!$B$3&gt;=100</f>
        <v/>
      </c>
      <c r="D1945">
        <f>IF(Skills!C12=1,60+Inputs!$B$25+Inputs!$B$29,IF(Skills!C12=2,90+Inputs!$B$26+Inputs!$B$29,IF(Skills!C12=3,120+Inputs!$B$27+Inputs!$B$29,MAX(0,(Inputs!$B$3-100)*3)+Inputs!$B$28+Inputs!$B$29)))</f>
        <v/>
      </c>
      <c r="E1945">
        <f>INDEX(FactorTable!$B$2:$Y$301, MATCH(ROUND(MIN(300,MAX(1,D1945)),0), FactorTable!$A$2:$A$301,0), Skills!M12+1)</f>
        <v/>
      </c>
      <c r="F1945">
        <f>IF(Skills!N12=TRUE,(Skills!L12/10)*(E1945/1000),Skills!L12/10)+Skills!O12</f>
        <v/>
      </c>
      <c r="G1945" t="inlineStr"/>
      <c r="H1945" t="inlineStr"/>
      <c r="I1945" t="inlineStr">
        <is>
          <t>1</t>
        </is>
      </c>
      <c r="J1945" t="inlineStr"/>
      <c r="K1945" t="inlineStr"/>
      <c r="L1945" t="inlineStr"/>
      <c r="M1945" t="inlineStr"/>
      <c r="N1945" t="inlineStr"/>
      <c r="O1945" t="inlineStr"/>
      <c r="P1945" t="inlineStr"/>
      <c r="Q1945" t="inlineStr"/>
      <c r="R1945" t="inlineStr"/>
      <c r="S1945" t="inlineStr"/>
      <c r="T1945" t="inlineStr"/>
      <c r="V1945" t="inlineStr"/>
    </row>
    <row r="1946">
      <c r="A1946">
        <f>Skills!A13</f>
        <v/>
      </c>
      <c r="B1946">
        <f>Skills!B13</f>
        <v/>
      </c>
      <c r="C1946">
        <f>Inputs!$B$3&gt;=66</f>
        <v/>
      </c>
      <c r="D1946">
        <f>IF(Skills!C13=1,60+Inputs!$B$25+Inputs!$B$29,IF(Skills!C13=2,90+Inputs!$B$26+Inputs!$B$29,IF(Skills!C13=3,120+Inputs!$B$27+Inputs!$B$29,MAX(0,(Inputs!$B$3-100)*3)+Inputs!$B$28+Inputs!$B$29)))</f>
        <v/>
      </c>
      <c r="E1946">
        <f>INDEX(FactorTable!$B$2:$Y$301, MATCH(ROUND(MIN(300,MAX(1,D1946)),0), FactorTable!$A$2:$A$301,0), Skills!M13+1)</f>
        <v/>
      </c>
      <c r="F1946">
        <f>IF(Skills!N13=TRUE,(Skills!L13/10)*(E1946/1000),Skills!L13/10)+Skills!O13</f>
        <v/>
      </c>
      <c r="G1946">
        <f>Skills!G13*IF(Skills!H13&gt;0,Skills!I13/Skills!H13,1)</f>
        <v/>
      </c>
      <c r="H1946">
        <f>1-(1-Skills!J13/100)^Skills!K13</f>
        <v/>
      </c>
      <c r="I1946" t="inlineStr">
        <is>
          <t>1</t>
        </is>
      </c>
      <c r="J1946" t="inlineStr"/>
      <c r="K1946" t="inlineStr"/>
      <c r="L1946" t="inlineStr"/>
      <c r="M1946" t="inlineStr"/>
      <c r="N1946" t="inlineStr"/>
      <c r="O1946">
        <f>(1-Summary!$B$11)*T1946+Summary!$B$11*V1946</f>
        <v/>
      </c>
      <c r="P1946">
        <f>IF(B1968=0,0,O1946/B1968)</f>
        <v/>
      </c>
      <c r="Q1946" t="n">
        <v>0</v>
      </c>
      <c r="R1946" t="n">
        <v>0</v>
      </c>
      <c r="S1946">
        <f>IFERROR(O1946/N1946,0)</f>
        <v/>
      </c>
      <c r="T1946" t="n">
        <v>0</v>
      </c>
      <c r="V1946" t="n">
        <v>0</v>
      </c>
    </row>
    <row r="1947">
      <c r="A1947">
        <f>Skills!A14</f>
        <v/>
      </c>
      <c r="B1947">
        <f>Skills!B14</f>
        <v/>
      </c>
      <c r="C1947">
        <f>Inputs!$B$3&gt;=107</f>
        <v/>
      </c>
      <c r="D1947">
        <f>IF(Skills!C14=1,60+Inputs!$B$25+Inputs!$B$29,IF(Skills!C14=2,90+Inputs!$B$26+Inputs!$B$29,IF(Skills!C14=3,120+Inputs!$B$27+Inputs!$B$29,MAX(0,(Inputs!$B$3-100)*3)+Inputs!$B$28+Inputs!$B$29)))</f>
        <v/>
      </c>
      <c r="E1947">
        <f>INDEX(FactorTable!$B$2:$Y$301, MATCH(ROUND(MIN(300,MAX(1,D1947)),0), FactorTable!$A$2:$A$301,0), Skills!M14+1)</f>
        <v/>
      </c>
      <c r="F1947">
        <f>IF(Skills!N14=TRUE,(Skills!L14/10)*(E1947/1000),Skills!L14/10)+Skills!O14</f>
        <v/>
      </c>
      <c r="G1947">
        <f>Skills!G14*IF(Skills!H14&gt;0,Skills!I14/Skills!H14,1)</f>
        <v/>
      </c>
      <c r="H1947">
        <f>1-(1-Skills!J14/100)^Skills!K14</f>
        <v/>
      </c>
      <c r="I1947" t="inlineStr">
        <is>
          <t>1</t>
        </is>
      </c>
      <c r="J1947" t="inlineStr"/>
      <c r="K1947" t="inlineStr"/>
      <c r="L1947" t="inlineStr"/>
      <c r="M1947" t="inlineStr"/>
      <c r="N1947" t="inlineStr"/>
      <c r="O1947">
        <f>(1-Summary!$B$11)*T1947+Summary!$B$11*V1947</f>
        <v/>
      </c>
      <c r="P1947">
        <f>IF(B1968=0,0,O1947/B1968)</f>
        <v/>
      </c>
      <c r="Q1947" t="n">
        <v>0</v>
      </c>
      <c r="R1947" t="n">
        <v>0</v>
      </c>
      <c r="S1947">
        <f>IFERROR(O1947/N1947,0)</f>
        <v/>
      </c>
      <c r="T1947" t="n">
        <v>0</v>
      </c>
      <c r="V1947" t="n">
        <v>0</v>
      </c>
    </row>
    <row r="1948">
      <c r="A1948">
        <f>Skills!A15</f>
        <v/>
      </c>
      <c r="B1948">
        <f>Skills!B15</f>
        <v/>
      </c>
      <c r="C1948">
        <f>Inputs!$B$3&gt;=115</f>
        <v/>
      </c>
      <c r="D1948">
        <f>IF(Skills!C15=1,60+Inputs!$B$25+Inputs!$B$29,IF(Skills!C15=2,90+Inputs!$B$26+Inputs!$B$29,IF(Skills!C15=3,120+Inputs!$B$27+Inputs!$B$29,MAX(0,(Inputs!$B$3-100)*3)+Inputs!$B$28+Inputs!$B$29)))</f>
        <v/>
      </c>
      <c r="E1948">
        <f>INDEX(FactorTable!$B$2:$Y$301, MATCH(ROUND(MIN(300,MAX(1,D1948)),0), FactorTable!$A$2:$A$301,0), Skills!M15+1)</f>
        <v/>
      </c>
      <c r="F1948">
        <f>IF(Skills!N15=TRUE,(Skills!L15/10)*(E1948/1000),Skills!L15/10)+Skills!O15</f>
        <v/>
      </c>
      <c r="G1948">
        <f>Skills!G15*IF(Skills!H15&gt;0,Skills!I15/Skills!H15,1)</f>
        <v/>
      </c>
      <c r="H1948">
        <f>1-(1-Skills!J15/100)^Skills!K15</f>
        <v/>
      </c>
      <c r="I1948" t="inlineStr">
        <is>
          <t>1</t>
        </is>
      </c>
      <c r="J1948" t="inlineStr"/>
      <c r="K1948" t="inlineStr"/>
      <c r="L1948" t="inlineStr"/>
      <c r="M1948" t="inlineStr"/>
      <c r="N1948" t="inlineStr"/>
      <c r="O1948">
        <f>(1-Summary!$B$11)*T1948+Summary!$B$11*V1948</f>
        <v/>
      </c>
      <c r="P1948">
        <f>IF(B1968=0,0,O1948/B1968)</f>
        <v/>
      </c>
      <c r="Q1948" t="n">
        <v>0</v>
      </c>
      <c r="R1948" t="n">
        <v>0</v>
      </c>
      <c r="S1948">
        <f>IFERROR(O1948/N1948,0)</f>
        <v/>
      </c>
      <c r="T1948" t="n">
        <v>0</v>
      </c>
      <c r="V1948" t="n">
        <v>0</v>
      </c>
    </row>
    <row r="1949">
      <c r="A1949">
        <f>Skills!A16</f>
        <v/>
      </c>
      <c r="B1949">
        <f>Skills!B16</f>
        <v/>
      </c>
      <c r="C1949">
        <f>Inputs!$B$3&gt;=15</f>
        <v/>
      </c>
      <c r="D1949">
        <f>IF(Skills!C16=1,60+Inputs!$B$25+Inputs!$B$29,IF(Skills!C16=2,90+Inputs!$B$26+Inputs!$B$29,IF(Skills!C16=3,120+Inputs!$B$27+Inputs!$B$29,MAX(0,(Inputs!$B$3-100)*3)+Inputs!$B$28+Inputs!$B$29)))</f>
        <v/>
      </c>
      <c r="E1949">
        <f>INDEX(FactorTable!$B$2:$Y$301, MATCH(ROUND(MIN(300,MAX(1,D1949)),0), FactorTable!$A$2:$A$301,0), Skills!M16+1)</f>
        <v/>
      </c>
      <c r="F1949">
        <f>IF(Skills!N16=TRUE,(Skills!L16/10)*(E1949/1000),Skills!L16/10)+Skills!O16</f>
        <v/>
      </c>
      <c r="G1949">
        <f>Skills!G16*IF(Skills!H16&gt;0,Skills!I16/Skills!H16,1)</f>
        <v/>
      </c>
      <c r="H1949">
        <f>1-(1-Skills!J16/100)^Skills!K16</f>
        <v/>
      </c>
      <c r="I1949" t="inlineStr">
        <is>
          <t>1</t>
        </is>
      </c>
      <c r="J1949" t="inlineStr"/>
      <c r="K1949" t="inlineStr"/>
      <c r="L1949" t="inlineStr"/>
      <c r="M1949" t="inlineStr"/>
      <c r="N1949" t="inlineStr"/>
      <c r="O1949">
        <f>(1-Summary!$B$11)*T1949+Summary!$B$11*V1949</f>
        <v/>
      </c>
      <c r="P1949">
        <f>IF(B1968=0,0,O1949/B1968)</f>
        <v/>
      </c>
      <c r="Q1949" t="n">
        <v>0</v>
      </c>
      <c r="R1949" t="n">
        <v>0</v>
      </c>
      <c r="S1949">
        <f>IFERROR(O1949/N1949,0)</f>
        <v/>
      </c>
      <c r="T1949" t="n">
        <v>0</v>
      </c>
      <c r="V1949" t="n">
        <v>0</v>
      </c>
    </row>
    <row r="1950">
      <c r="A1950">
        <f>Skills!A17</f>
        <v/>
      </c>
      <c r="B1950">
        <f>Skills!B17</f>
        <v/>
      </c>
      <c r="C1950">
        <f>Inputs!$B$3&gt;=10</f>
        <v/>
      </c>
      <c r="D1950">
        <f>IF(Skills!C17=1,60+Inputs!$B$25+Inputs!$B$29,IF(Skills!C17=2,90+Inputs!$B$26+Inputs!$B$29,IF(Skills!C17=3,120+Inputs!$B$27+Inputs!$B$29,MAX(0,(Inputs!$B$3-100)*3)+Inputs!$B$28+Inputs!$B$29)))</f>
        <v/>
      </c>
      <c r="E1950">
        <f>INDEX(FactorTable!$B$2:$Y$301, MATCH(ROUND(MIN(300,MAX(1,D1950)),0), FactorTable!$A$2:$A$301,0), Skills!M17+1)</f>
        <v/>
      </c>
      <c r="F1950">
        <f>IF(Skills!N17=TRUE,(Skills!L17/10)*(E1950/1000),Skills!L17/10)+Skills!O17</f>
        <v/>
      </c>
      <c r="G1950">
        <f>Skills!G17*IF(Skills!H17&gt;0,Skills!I17/Skills!H17,1)</f>
        <v/>
      </c>
      <c r="H1950">
        <f>1-(1-Skills!J17/100)^Skills!K17</f>
        <v/>
      </c>
      <c r="I1950" t="inlineStr">
        <is>
          <t>1</t>
        </is>
      </c>
      <c r="J1950" t="inlineStr"/>
      <c r="K1950" t="inlineStr"/>
      <c r="L1950" t="inlineStr"/>
      <c r="M1950" t="inlineStr"/>
      <c r="N1950" t="inlineStr"/>
      <c r="O1950">
        <f>(1-Summary!$B$11)*T1950+Summary!$B$11*V1950</f>
        <v/>
      </c>
      <c r="P1950">
        <f>IF(B1968=0,0,O1950/B1968)</f>
        <v/>
      </c>
      <c r="Q1950" t="n">
        <v>0</v>
      </c>
      <c r="R1950" t="n">
        <v>0</v>
      </c>
      <c r="S1950">
        <f>IFERROR(O1950/N1950,0)</f>
        <v/>
      </c>
      <c r="T1950" t="n">
        <v>0</v>
      </c>
      <c r="V1950" t="n">
        <v>0</v>
      </c>
    </row>
    <row r="1951">
      <c r="A1951">
        <f>Skills!A18</f>
        <v/>
      </c>
      <c r="B1951">
        <f>Skills!B18</f>
        <v/>
      </c>
      <c r="C1951">
        <f>Inputs!$B$3&gt;=33</f>
        <v/>
      </c>
      <c r="D1951">
        <f>IF(Skills!C18=1,60+Inputs!$B$25+Inputs!$B$29,IF(Skills!C18=2,90+Inputs!$B$26+Inputs!$B$29,IF(Skills!C18=3,120+Inputs!$B$27+Inputs!$B$29,MAX(0,(Inputs!$B$3-100)*3)+Inputs!$B$28+Inputs!$B$29)))</f>
        <v/>
      </c>
      <c r="E1951">
        <f>INDEX(FactorTable!$B$2:$Y$301, MATCH(ROUND(MIN(300,MAX(1,D1951)),0), FactorTable!$A$2:$A$301,0), Skills!M18+1)</f>
        <v/>
      </c>
      <c r="F1951">
        <f>IF(Skills!N18=TRUE,(Skills!L18/10)*(E1951/1000),Skills!L18/10)+Skills!O18</f>
        <v/>
      </c>
      <c r="G1951">
        <f>Skills!G18*IF(Skills!H18&gt;0,Skills!I18/Skills!H18,1)</f>
        <v/>
      </c>
      <c r="H1951">
        <f>1-(1-Skills!J18/100)^Skills!K18</f>
        <v/>
      </c>
      <c r="I1951" t="inlineStr">
        <is>
          <t>1</t>
        </is>
      </c>
      <c r="J1951" t="inlineStr"/>
      <c r="K1951" t="inlineStr"/>
      <c r="L1951" t="inlineStr"/>
      <c r="M1951" t="inlineStr"/>
      <c r="N1951" t="inlineStr"/>
      <c r="O1951">
        <f>(1-Summary!$B$11)*T1951+Summary!$B$11*V1951</f>
        <v/>
      </c>
      <c r="P1951">
        <f>IF(B1968=0,0,O1951/B1968)</f>
        <v/>
      </c>
      <c r="Q1951" t="n">
        <v>0</v>
      </c>
      <c r="R1951" t="n">
        <v>0</v>
      </c>
      <c r="S1951">
        <f>IFERROR(O1951/N1951,0)</f>
        <v/>
      </c>
      <c r="T1951" t="n">
        <v>0</v>
      </c>
      <c r="V1951" t="n">
        <v>0</v>
      </c>
    </row>
    <row r="1952">
      <c r="A1952">
        <f>Skills!A19</f>
        <v/>
      </c>
      <c r="B1952">
        <f>Skills!B19</f>
        <v/>
      </c>
      <c r="C1952">
        <f>Inputs!$B$3&gt;=40</f>
        <v/>
      </c>
      <c r="D1952">
        <f>IF(Skills!C19=1,60+Inputs!$B$25+Inputs!$B$29,IF(Skills!C19=2,90+Inputs!$B$26+Inputs!$B$29,IF(Skills!C19=3,120+Inputs!$B$27+Inputs!$B$29,MAX(0,(Inputs!$B$3-100)*3)+Inputs!$B$28+Inputs!$B$29)))</f>
        <v/>
      </c>
      <c r="E1952">
        <f>INDEX(FactorTable!$B$2:$Y$301, MATCH(ROUND(MIN(300,MAX(1,D1952)),0), FactorTable!$A$2:$A$301,0), Skills!M19+1)</f>
        <v/>
      </c>
      <c r="F1952">
        <f>IF(Skills!N19=TRUE,(Skills!L19/10)*(E1952/1000),Skills!L19/10)+Skills!O19</f>
        <v/>
      </c>
      <c r="G1952">
        <f>Skills!G19*IF(Skills!H19&gt;0,Skills!I19/Skills!H19,1)</f>
        <v/>
      </c>
      <c r="H1952">
        <f>1-(1-Skills!J19/100)^Skills!K19</f>
        <v/>
      </c>
      <c r="I1952" t="inlineStr">
        <is>
          <t>1</t>
        </is>
      </c>
      <c r="J1952" t="inlineStr"/>
      <c r="K1952" t="inlineStr"/>
      <c r="L1952" t="inlineStr"/>
      <c r="M1952" t="inlineStr"/>
      <c r="N1952" t="inlineStr"/>
      <c r="O1952">
        <f>(1-Summary!$B$11)*T1952+Summary!$B$11*V1952</f>
        <v/>
      </c>
      <c r="P1952">
        <f>IF(B1968=0,0,O1952/B1968)</f>
        <v/>
      </c>
      <c r="Q1952" t="n">
        <v>0</v>
      </c>
      <c r="R1952" t="n">
        <v>0</v>
      </c>
      <c r="S1952">
        <f>IFERROR(O1952/N1952,0)</f>
        <v/>
      </c>
      <c r="T1952" t="n">
        <v>0</v>
      </c>
      <c r="V1952" t="n">
        <v>0</v>
      </c>
    </row>
    <row r="1953">
      <c r="A1953">
        <f>Skills!A20</f>
        <v/>
      </c>
      <c r="B1953">
        <f>Skills!B20</f>
        <v/>
      </c>
      <c r="C1953">
        <f>Inputs!$B$3&gt;=43</f>
        <v/>
      </c>
      <c r="D1953">
        <f>IF(Skills!C20=1,60+Inputs!$B$25+Inputs!$B$29,IF(Skills!C20=2,90+Inputs!$B$26+Inputs!$B$29,IF(Skills!C20=3,120+Inputs!$B$27+Inputs!$B$29,MAX(0,(Inputs!$B$3-100)*3)+Inputs!$B$28+Inputs!$B$29)))</f>
        <v/>
      </c>
      <c r="E1953">
        <f>INDEX(FactorTable!$B$2:$Y$301, MATCH(ROUND(MIN(300,MAX(1,D1953)),0), FactorTable!$A$2:$A$301,0), Skills!M20+1)</f>
        <v/>
      </c>
      <c r="F1953">
        <f>IF(Skills!N20=TRUE,(Skills!L20/10)*(E1953/1000),Skills!L20/10)+Skills!O20</f>
        <v/>
      </c>
      <c r="G1953">
        <f>Skills!G20*IF(Skills!H20&gt;0,Skills!I20/Skills!H20,1)</f>
        <v/>
      </c>
      <c r="H1953">
        <f>1-(1-Skills!J20/100)^Skills!K20</f>
        <v/>
      </c>
      <c r="I1953" t="inlineStr">
        <is>
          <t>1</t>
        </is>
      </c>
      <c r="J1953" t="inlineStr"/>
      <c r="K1953" t="inlineStr"/>
      <c r="L1953" t="inlineStr"/>
      <c r="M1953" t="inlineStr"/>
      <c r="N1953" t="inlineStr"/>
      <c r="O1953">
        <f>(1-Summary!$B$11)*T1953+Summary!$B$11*V1953</f>
        <v/>
      </c>
      <c r="P1953">
        <f>IF(B1968=0,0,O1953/B1968)</f>
        <v/>
      </c>
      <c r="Q1953" t="n">
        <v>0</v>
      </c>
      <c r="R1953" t="n">
        <v>0</v>
      </c>
      <c r="S1953">
        <f>IFERROR(O1953/N1953,0)</f>
        <v/>
      </c>
      <c r="T1953" t="n">
        <v>0</v>
      </c>
      <c r="V1953" t="n">
        <v>0</v>
      </c>
    </row>
    <row r="1954">
      <c r="A1954">
        <f>Skills!A21</f>
        <v/>
      </c>
      <c r="B1954">
        <f>Skills!B21</f>
        <v/>
      </c>
      <c r="C1954">
        <f>Inputs!$B$3&gt;=38</f>
        <v/>
      </c>
      <c r="D1954">
        <f>IF(Skills!C21=1,60+Inputs!$B$25+Inputs!$B$29,IF(Skills!C21=2,90+Inputs!$B$26+Inputs!$B$29,IF(Skills!C21=3,120+Inputs!$B$27+Inputs!$B$29,MAX(0,(Inputs!$B$3-100)*3)+Inputs!$B$28+Inputs!$B$29)))</f>
        <v/>
      </c>
      <c r="E1954">
        <f>INDEX(FactorTable!$B$2:$Y$301, MATCH(ROUND(MIN(300,MAX(1,D1954)),0), FactorTable!$A$2:$A$301,0), Skills!M21+1)</f>
        <v/>
      </c>
      <c r="F1954">
        <f>IF(Skills!N21=TRUE,(Skills!L21/10)*(E1954/1000),Skills!L21/10)+Skills!O21</f>
        <v/>
      </c>
      <c r="G1954">
        <f>Skills!G21*IF(Skills!H21&gt;0,Skills!I21/Skills!H21,1)</f>
        <v/>
      </c>
      <c r="H1954">
        <f>1-(1-Skills!J21/100)^Skills!K21</f>
        <v/>
      </c>
      <c r="I1954" t="inlineStr">
        <is>
          <t>1</t>
        </is>
      </c>
      <c r="J1954" t="inlineStr"/>
      <c r="K1954" t="inlineStr"/>
      <c r="L1954" t="inlineStr"/>
      <c r="M1954" t="inlineStr"/>
      <c r="N1954" t="inlineStr"/>
      <c r="O1954">
        <f>(1-Summary!$B$11)*T1954+Summary!$B$11*V1954</f>
        <v/>
      </c>
      <c r="P1954">
        <f>IF(B1968=0,0,O1954/B1968)</f>
        <v/>
      </c>
      <c r="Q1954" t="n">
        <v>0</v>
      </c>
      <c r="R1954" t="n">
        <v>0</v>
      </c>
      <c r="S1954">
        <f>IFERROR(O1954/N1954,0)</f>
        <v/>
      </c>
      <c r="T1954" t="n">
        <v>0</v>
      </c>
      <c r="V1954" t="n">
        <v>0</v>
      </c>
    </row>
    <row r="1955">
      <c r="A1955">
        <f>Skills!A22</f>
        <v/>
      </c>
      <c r="B1955">
        <f>Skills!B22</f>
        <v/>
      </c>
      <c r="C1955">
        <f>Inputs!$B$3&gt;=75</f>
        <v/>
      </c>
      <c r="D1955">
        <f>IF(Skills!C22=1,60+Inputs!$B$25+Inputs!$B$29,IF(Skills!C22=2,90+Inputs!$B$26+Inputs!$B$29,IF(Skills!C22=3,120+Inputs!$B$27+Inputs!$B$29,MAX(0,(Inputs!$B$3-100)*3)+Inputs!$B$28+Inputs!$B$29)))</f>
        <v/>
      </c>
      <c r="E1955">
        <f>INDEX(FactorTable!$B$2:$Y$301, MATCH(ROUND(MIN(300,MAX(1,D1955)),0), FactorTable!$A$2:$A$301,0), Skills!M22+1)</f>
        <v/>
      </c>
      <c r="F1955">
        <f>IF(Skills!N22=TRUE,(Skills!L22/10)*(E1955/1000),Skills!L22/10)+Skills!O22</f>
        <v/>
      </c>
      <c r="G1955">
        <f>Skills!G22*IF(Skills!H22&gt;0,Skills!I22/Skills!H22,1)</f>
        <v/>
      </c>
      <c r="H1955">
        <f>1-(1-Skills!J22/100)^Skills!K22</f>
        <v/>
      </c>
      <c r="I1955" t="inlineStr">
        <is>
          <t>1</t>
        </is>
      </c>
      <c r="J1955" t="inlineStr"/>
      <c r="K1955" t="inlineStr"/>
      <c r="L1955" t="inlineStr"/>
      <c r="M1955" t="inlineStr"/>
      <c r="N1955" t="inlineStr"/>
      <c r="O1955">
        <f>(1-Summary!$B$11)*T1955+Summary!$B$11*V1955</f>
        <v/>
      </c>
      <c r="P1955">
        <f>IF(B1968=0,0,O1955/B1968)</f>
        <v/>
      </c>
      <c r="Q1955" t="n">
        <v>0</v>
      </c>
      <c r="R1955" t="n">
        <v>0</v>
      </c>
      <c r="S1955">
        <f>IFERROR(O1955/N1955,0)</f>
        <v/>
      </c>
      <c r="T1955" t="n">
        <v>0</v>
      </c>
      <c r="V1955" t="n">
        <v>0</v>
      </c>
    </row>
    <row r="1957">
      <c r="A1957" t="inlineStr">
        <is>
          <t>Attack% Bucket Multiplier</t>
        </is>
      </c>
      <c r="B1957">
        <f>(1+(((C1946=TRUE)*F1946)+((C1952=TRUE)*(F1952-Calc!F19))+(IF(ArtifactsInput!$M$21,CHOOSE(ArtifactsInput!$N$21+1,25,30,35,40,45,50)*(IF(OR(Inputs!$B$4="Chapter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8">
      <c r="A1958" t="inlineStr">
        <is>
          <t>Global Crit Rate Bonus %</t>
        </is>
      </c>
      <c r="B1958" t="n">
        <v>0</v>
      </c>
    </row>
    <row r="1959">
      <c r="A1959" t="inlineStr">
        <is>
          <t>Attack Speed Buff Bonus % (unused)</t>
        </is>
      </c>
      <c r="B1959" t="n">
        <v>0</v>
      </c>
    </row>
    <row r="1960">
      <c r="A1960" t="inlineStr">
        <is>
          <t>Actions Per Second</t>
        </is>
      </c>
      <c r="B1960">
        <f>1+MIN(150,150*(1-(1-(Inputs!$B$11+((C1950=TRUE)*(F1950-Calc!F17))+((C1951=TRUE)*(F1951-Calc!F18)))/150)*(1-B1959/150)))/100</f>
        <v/>
      </c>
    </row>
    <row r="1961">
      <c r="A1961" t="inlineStr">
        <is>
          <t>Skill + Buff Cast Rate</t>
        </is>
      </c>
      <c r="B1961">
        <f>IF(AND(Inputs!$B$38&lt;&gt;"pvp",Inputs!$B$43&gt;0),SUMPRODUCT((Skills!E2:E22=TRUE)*(C1935:C1955=TRUE)*R1935:R1955*Skills!F2:F22)/Inputs!$B$43,SUMPRODUCT((Skills!E2:E22=TRUE)*(C1935:C1955=TRUE)*Q1935:Q1955*Skills!F2:F22))</f>
        <v/>
      </c>
    </row>
    <row r="1962">
      <c r="A1962" t="inlineStr">
        <is>
          <t>Hook Bomber Casts Per Second</t>
        </is>
      </c>
      <c r="B1962">
        <f>MAX(0,B1960-B1961)</f>
        <v/>
      </c>
    </row>
    <row r="1963">
      <c r="A1963" t="inlineStr">
        <is>
          <t>Global Critical Damage Bonus % (unused)</t>
        </is>
      </c>
      <c r="B1963" t="n">
        <v>0</v>
      </c>
    </row>
    <row r="1964">
      <c r="A1964" t="inlineStr">
        <is>
          <t>Global Final Damage Bonus % (Serpent Scale + Crossbones + Time Leap + Speed Infusion)</t>
        </is>
      </c>
      <c r="B1964">
        <f>((C1938=TRUE)*F1938*((10+IF(Inputs!$B$3&gt;=94,5,0))/((10+IF(Inputs!$B$3&gt;=94,5,0))+5/(B1962*(1+IF(Inputs!$B$3&gt;=104,1,0))))))+((C1947=TRUE)*F1947)+((C1948=TRUE)*F1948)+((Inputs!$B$3&gt;=110)*20*(B1960-1))</f>
        <v/>
      </c>
    </row>
    <row r="1965">
      <c r="A1965" t="inlineStr">
        <is>
          <t>Buff-Casting Startup Delay (s, fixed-duration only)</t>
        </is>
      </c>
      <c r="B1965">
        <f>IF(AND(Inputs!$B$38&lt;&gt;"pvp",Inputs!$B$43&gt;0),SUMPRODUCT((Skills!T2:T22&gt;0)*(Skills!E2:E22=TRUE)*(C1935:C1955=TRUE))/B1960,0)</f>
        <v/>
      </c>
    </row>
    <row r="1966">
      <c r="A1966" t="inlineStr">
        <is>
          <t>Boss-Only Total DPS (this block's swept value)</t>
        </is>
      </c>
      <c r="B1966">
        <f>SUM(T1935:T1955)</f>
        <v/>
      </c>
    </row>
    <row r="1967">
      <c r="A1967" t="inlineStr">
        <is>
          <t>Normal-Only Total DPS (this block's swept value)</t>
        </is>
      </c>
      <c r="B1967">
        <f>SUM(V1935:V1955)</f>
        <v/>
      </c>
    </row>
    <row r="1968">
      <c r="A1968" s="6" t="inlineStr">
        <is>
          <t>TOTAL DPS</t>
        </is>
      </c>
      <c r="B1968" s="6">
        <f>SUM(O1935:O1955)</f>
        <v/>
      </c>
    </row>
    <row r="1971">
      <c r="A1971" s="6" t="inlineStr">
        <is>
          <t>Stat: Icy Soul Rock (Equip)</t>
        </is>
      </c>
    </row>
    <row r="1972">
      <c r="A1972" s="5" t="inlineStr">
        <is>
          <t>Key</t>
        </is>
      </c>
      <c r="B1972" s="5" t="inlineStr">
        <is>
          <t>Name</t>
        </is>
      </c>
      <c r="C1972" s="5" t="inlineStr">
        <is>
          <t>Unlocked</t>
        </is>
      </c>
      <c r="D1972" s="5" t="inlineStr">
        <is>
          <t>InputLevel</t>
        </is>
      </c>
      <c r="E1972" s="5" t="inlineStr">
        <is>
          <t>Factor</t>
        </is>
      </c>
      <c r="F1972" s="5" t="inlineStr">
        <is>
          <t>CoefficientPercent</t>
        </is>
      </c>
      <c r="G1972" s="5" t="inlineStr">
        <is>
          <t>EffectiveHits</t>
        </is>
      </c>
      <c r="H1972" s="5" t="inlineStr">
        <is>
          <t>ProcProbability</t>
        </is>
      </c>
      <c r="I1972" s="5" t="inlineStr">
        <is>
          <t>MapleHeroMultiplier</t>
        </is>
      </c>
      <c r="J1972" s="5" t="inlineStr">
        <is>
          <t>BaseDamage</t>
        </is>
      </c>
      <c r="K1972" s="5" t="inlineStr">
        <is>
          <t>BaseHitDamage</t>
        </is>
      </c>
      <c r="L1972" s="5" t="inlineStr">
        <is>
          <t>NonCritAvg</t>
        </is>
      </c>
      <c r="M1972" s="5" t="inlineStr">
        <is>
          <t>CritAvg</t>
        </is>
      </c>
      <c r="N1972" s="5" t="inlineStr">
        <is>
          <t>ExpectedDamage(perHit)</t>
        </is>
      </c>
      <c r="O1972" s="5" t="inlineStr">
        <is>
          <t>DPS</t>
        </is>
      </c>
      <c r="P1972" s="5" t="inlineStr">
        <is>
          <t>% of Total</t>
        </is>
      </c>
      <c r="Q1972" s="5" t="inlineStr">
        <is>
          <t>InvCooldown</t>
        </is>
      </c>
      <c r="R1972" s="5" t="inlineStr">
        <is>
          <t>CastsInFight</t>
        </is>
      </c>
      <c r="S1972" s="5" t="inlineStr">
        <is>
          <t>HitRate(perSec)</t>
        </is>
      </c>
      <c r="U1972" t="inlineStr">
        <is>
          <t>helpers</t>
        </is>
      </c>
    </row>
    <row r="1973">
      <c r="A1973">
        <f>Skills!A2</f>
        <v/>
      </c>
      <c r="B1973">
        <f>Skills!B2</f>
        <v/>
      </c>
      <c r="C1973">
        <f>Inputs!$B$3&gt;=100</f>
        <v/>
      </c>
      <c r="D1973" t="inlineStr"/>
      <c r="E1973" t="inlineStr"/>
      <c r="F1973">
        <f>U1975+Skills!O2</f>
        <v/>
      </c>
      <c r="G1973">
        <f>Skills!G2*IF(Skills!H2&gt;0,Skills!I2/Skills!H2,1)</f>
        <v/>
      </c>
      <c r="H1973">
        <f>1-(1-Skills!J2/100)^Skills!K2</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1991=TRUE)*(F1991-Calc!F20)),(Inputs!$B$23+0+(IF(ArtifactsInput!$M$15,CHOOSE(ArtifactsInput!$N$15+1,25,30,35,40,45,50)/100*(Inputs!$B$11-Inputs!$B$11),0))))/100+(Inputs!$B$23+0+(IF(ArtifactsInput!$M$15,CHOOSE(ArtifactsInput!$N$15+1,25,30,35,40,45,50)/100*(Inputs!$B$11-Inputs!$B$11),0)))/100)/2</f>
        <v/>
      </c>
      <c r="M1973">
        <f>L1973*(1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3">
        <f>L1973*(1-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IF(B2006=0,0,O1973/B2006)</f>
        <v/>
      </c>
      <c r="Q1973" t="n">
        <v>0</v>
      </c>
      <c r="R1973" t="n">
        <v>0</v>
      </c>
      <c r="S1973">
        <f>IFERROR(O1973/N1973,0)</f>
        <v/>
      </c>
      <c r="T1973">
        <f>IF(C1973,(Skills!G2*N1973*B2000)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3">
        <f>MAX(0,(Inputs!$B$3-100)*3)+Inputs!$B$28+Inputs!$B$29</f>
        <v/>
      </c>
      <c r="V1973">
        <f>IF(C1973,(Skills!G2*N1973*B2000)*IF(Inputs!$B$38="pvp",1,(1+(Inputs!$B$21+Skills!Q2+(IF(ArtifactsInput!$M$33,CHOOSE(ArtifactsInput!$N$33+1,30,36,42,48,54,60),0))+(IF(AND(ArtifactsInput!$M$35,Inputs!$B$4&lt;&gt;"Chapter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Skills!A3</f>
        <v/>
      </c>
      <c r="B1974">
        <f>Skills!B3</f>
        <v/>
      </c>
      <c r="C1974">
        <f>Inputs!$B$3&gt;=35</f>
        <v/>
      </c>
      <c r="D1974">
        <f>IF(Skills!C3=1,60+Inputs!$B$25+Inputs!$B$29,IF(Skills!C3=2,90+Inputs!$B$26+Inputs!$B$29,IF(Skills!C3=3,120+Inputs!$B$27+Inputs!$B$29,MAX(0,(Inputs!$B$3-100)*3)+Inputs!$B$28+Inputs!$B$29)))</f>
        <v/>
      </c>
      <c r="E1974">
        <f>INDEX(FactorTable!$B$2:$Y$301, MATCH(ROUND(MIN(300,MAX(1,D1974)),0), FactorTable!$A$2:$A$301,0), Skills!M3+1)</f>
        <v/>
      </c>
      <c r="F1974">
        <f>IF(Skills!N3=TRUE,(Skills!L3/10)*(E1974/1000),Skills!L3/10)+Skills!O3</f>
        <v/>
      </c>
      <c r="G1974">
        <f>Skills!G3*IF(Skills!H3&gt;0,Skills!I3/Skills!H3,1)</f>
        <v/>
      </c>
      <c r="H1974">
        <f>1-(1-Skills!J3/100)^Skills!K3</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1991=TRUE)*(F1991-Calc!F20)),(Inputs!$B$23+0+(IF(ArtifactsInput!$M$15,CHOOSE(ArtifactsInput!$N$15+1,25,30,35,40,45,50)/100*(Inputs!$B$11-Inputs!$B$11),0))))/100+(Inputs!$B$23+0+(IF(ArtifactsInput!$M$15,CHOOSE(ArtifactsInput!$N$15+1,25,30,35,40,45,50)/100*(Inputs!$B$11-Inputs!$B$11),0)))/100)/2</f>
        <v/>
      </c>
      <c r="M1974">
        <f>L1974*(1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4">
        <f>L1974*(1-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IF(B2006=0,0,O1974/B2006)</f>
        <v/>
      </c>
      <c r="Q1974" t="n">
        <v>0</v>
      </c>
      <c r="R1974" t="n">
        <v>0</v>
      </c>
      <c r="S1974">
        <f>IFERROR(O1974/N1974,0)</f>
        <v/>
      </c>
      <c r="T1974">
        <f>IF(C1974,(Skills!G3*H1974*N1974*B2000)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4">
        <f>INDEX(FactorTable!$B$2:$Y$301, MATCH(ROUND(MIN(300,MAX(1,U1973)),0), FactorTable!$A$2:$A$301,0), 22)</f>
        <v/>
      </c>
      <c r="V1974">
        <f>IF(C1974,(Skills!G3*H1974*N1974*B2000)*IF(Inputs!$B$38="pvp",1,(1+(Inputs!$B$21+Skills!Q3+(IF(ArtifactsInput!$M$33,CHOOSE(ArtifactsInput!$N$33+1,30,36,42,48,54,60),0))+(IF(AND(ArtifactsInput!$M$35,Inputs!$B$4&lt;&gt;"Chapter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Skills!A4</f>
        <v/>
      </c>
      <c r="B1975">
        <f>Skills!B4</f>
        <v/>
      </c>
      <c r="C1975">
        <f>Inputs!$B$3&gt;=60</f>
        <v/>
      </c>
      <c r="D1975">
        <f>IF(Skills!C4=1,60+Inputs!$B$25+Inputs!$B$29,IF(Skills!C4=2,90+Inputs!$B$26+Inputs!$B$29,IF(Skills!C4=3,120+Inputs!$B$27+Inputs!$B$29,MAX(0,(Inputs!$B$3-100)*3)+Inputs!$B$28+Inputs!$B$29)))</f>
        <v/>
      </c>
      <c r="E1975">
        <f>INDEX(FactorTable!$B$2:$Y$301, MATCH(ROUND(MIN(300,MAX(1,D1975)),0), FactorTable!$A$2:$A$301,0), Skills!M4+1)</f>
        <v/>
      </c>
      <c r="F1975">
        <f>IF(Skills!N4=TRUE,(Skills!L4/10)*(E1975/1000),Skills!L4/10)+Skills!O4</f>
        <v/>
      </c>
      <c r="G1975">
        <f>Skills!G4*IF(Skills!H4&gt;0,Skills!I4/Skills!H4,1)</f>
        <v/>
      </c>
      <c r="H1975">
        <f>1-(1-Skills!J4/100)^Skills!K4</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1983=TRUE,F1983,0)/100)*(1+(IF(Skills!A4="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1991=TRUE)*(F1991-Calc!F20)),(Inputs!$B$23+0+(IF(ArtifactsInput!$M$15,CHOOSE(ArtifactsInput!$N$15+1,25,30,35,40,45,50)/100*(Inputs!$B$11-Inputs!$B$11),0))))/100+(Inputs!$B$23+0+(IF(ArtifactsInput!$M$15,CHOOSE(ArtifactsInput!$N$15+1,25,30,35,40,45,50)/100*(Inputs!$B$11-Inputs!$B$11),0)))/100)/2</f>
        <v/>
      </c>
      <c r="M1975">
        <f>L1975*(1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5">
        <f>L1975*(1-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IF(B2006=0,0,O1975/B2006)</f>
        <v/>
      </c>
      <c r="Q1975" t="n">
        <v>0</v>
      </c>
      <c r="R1975" t="n">
        <v>0</v>
      </c>
      <c r="S1975">
        <f>IFERROR(O1975/N1975,0)</f>
        <v/>
      </c>
      <c r="T1975">
        <f>IF(C1975,(Skills!G4*H1975*N1975*B2000)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290*U1974/1000</f>
        <v/>
      </c>
      <c r="V1975">
        <f>IF(C1975,(Skills!G4*H1975*N1975*B2000)*IF(Inputs!$B$38="pvp",1,(1+(Inputs!$B$21+Skills!Q4+(IF(ArtifactsInput!$M$33,CHOOSE(ArtifactsInput!$N$33+1,30,36,42,48,54,60),0))+(IF(AND(ArtifactsInput!$M$35,Inputs!$B$4&lt;&gt;"Chapter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Skills!A5</f>
        <v/>
      </c>
      <c r="B1976">
        <f>Skills!B5</f>
        <v/>
      </c>
      <c r="C1976">
        <f>Inputs!$B$3&gt;=60</f>
        <v/>
      </c>
      <c r="D1976">
        <f>IF(Skills!C5=1,60+Inputs!$B$25+Inputs!$B$29,IF(Skills!C5=2,90+Inputs!$B$26+Inputs!$B$29,IF(Skills!C5=3,120+Inputs!$B$27+Inputs!$B$29,MAX(0,(Inputs!$B$3-100)*3)+Inputs!$B$28+Inputs!$B$29)))</f>
        <v/>
      </c>
      <c r="E1976">
        <f>INDEX(FactorTable!$B$2:$Y$301, MATCH(ROUND(MIN(300,MAX(1,D1976)),0), FactorTable!$A$2:$A$301,0), Skills!M5+1)</f>
        <v/>
      </c>
      <c r="F1976">
        <f>IF(Skills!N5=TRUE,(Skills!L5/10)*(E1976/1000),Skills!L5/10)+Skills!O5</f>
        <v/>
      </c>
      <c r="G1976">
        <f>Skills!G5*IF(Skills!H5&gt;0,Skills!I5/Skills!H5,1)</f>
        <v/>
      </c>
      <c r="H1976">
        <f>1-(1-Skills!J5/100)^Skills!K5</f>
        <v/>
      </c>
      <c r="I1976" t="inlineStr">
        <is>
          <t>1</t>
        </is>
      </c>
      <c r="J1976" t="inlineStr"/>
      <c r="K1976" t="inlineStr"/>
      <c r="L1976" t="inlineStr"/>
      <c r="M1976" t="inlineStr"/>
      <c r="N1976" t="inlineStr"/>
      <c r="O1976">
        <f>(1-Summary!$B$11)*T1976+Summary!$B$11*V1976</f>
        <v/>
      </c>
      <c r="P1976">
        <f>IF(B2006=0,0,O1976/B2006)</f>
        <v/>
      </c>
      <c r="Q1976" t="n">
        <v>0</v>
      </c>
      <c r="R1976" t="n">
        <v>0</v>
      </c>
      <c r="S1976">
        <f>IFERROR(O1976/N1976,0)</f>
        <v/>
      </c>
      <c r="T1976" t="n">
        <v>0</v>
      </c>
      <c r="V1976" t="n">
        <v>0</v>
      </c>
    </row>
    <row r="1977">
      <c r="A1977">
        <f>Skills!A6</f>
        <v/>
      </c>
      <c r="B1977">
        <f>Skills!B6</f>
        <v/>
      </c>
      <c r="C1977">
        <f>Inputs!$B$3&gt;=63</f>
        <v/>
      </c>
      <c r="D1977">
        <f>IF(Skills!C6=1,60+Inputs!$B$25+Inputs!$B$29,IF(Skills!C6=2,90+Inputs!$B$26+Inputs!$B$29,IF(Skills!C6=3,120+Inputs!$B$27+Inputs!$B$29,MAX(0,(Inputs!$B$3-100)*3)+Inputs!$B$28+Inputs!$B$29)))</f>
        <v/>
      </c>
      <c r="E1977">
        <f>INDEX(FactorTable!$B$2:$Y$301, MATCH(ROUND(MIN(300,MAX(1,D1977)),0), FactorTable!$A$2:$A$301,0), Skills!M6+1)</f>
        <v/>
      </c>
      <c r="F1977">
        <f>IF(Skills!N6=TRUE,(Skills!L6/10)*(E1977/1000),Skills!L6/10)+Skills!O6</f>
        <v/>
      </c>
      <c r="G1977">
        <f>Skills!G6*IF(Skills!H6&gt;0,Skills!I6/Skills!H6,1)</f>
        <v/>
      </c>
      <c r="H1977">
        <f>1-(1-Skills!J6/100)^Skills!K6</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1991=TRUE)*(F1991-Calc!F20)),(Inputs!$B$23+0+(IF(ArtifactsInput!$M$15,CHOOSE(ArtifactsInput!$N$15+1,25,30,35,40,45,50)/100*(Inputs!$B$11-Inputs!$B$11),0))))/100+(Inputs!$B$23+0+(IF(ArtifactsInput!$M$15,CHOOSE(ArtifactsInput!$N$15+1,25,30,35,40,45,50)/100*(Inputs!$B$11-Inputs!$B$11),0)))/100)/2</f>
        <v/>
      </c>
      <c r="M1977">
        <f>L1977*(1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7">
        <f>L1977*(1-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IF(B2006=0,0,O1977/B2006)</f>
        <v/>
      </c>
      <c r="Q1977">
        <f>IFERROR(1/(IF(Inputs!$B$38="pvp",15,MAX(0.1,Skills!D6-IF(Skills!E6=TRUE,Inputs!$B$32,0)))*(1-IF(AND(ArtifactsInput!$M$27,Inputs!$B$4="Chapter Hunt"),CHOOSE(ArtifactsInput!$N$27+1,20,24,28,32,36,40),0)/100)),0)</f>
        <v/>
      </c>
      <c r="R1977">
        <f>IF(AND(Inputs!$B$38&lt;&gt;"pvp",Inputs!$B$43&gt;0),IF(MAX(0,Inputs!$B$43-B2003)&lt;=0,0,(INT(MAX(0,Inputs!$B$43-B2003)/(IF(Inputs!$B$38="pvp",15,MAX(0.1,Skills!D6-IF(Skills!E6=TRUE,Inputs!$B$32,0)))*(1-IF(AND(ArtifactsInput!$M$27,Inputs!$B$4="Chapter Hunt"),CHOOSE(ArtifactsInput!$N$27+1,20,24,28,32,36,40),0)/100)))+1)),0)</f>
        <v/>
      </c>
      <c r="S1977">
        <f>IFERROR(O1977/N1977,0)</f>
        <v/>
      </c>
      <c r="T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$21+Skills!Q6+(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Skills!A7</f>
        <v/>
      </c>
      <c r="B1978">
        <f>Skills!B7</f>
        <v/>
      </c>
      <c r="C1978">
        <f>Inputs!$B$3&gt;=100</f>
        <v/>
      </c>
      <c r="D1978">
        <f>IF(Skills!C7=1,60+Inputs!$B$25+Inputs!$B$29,IF(Skills!C7=2,90+Inputs!$B$26+Inputs!$B$29,IF(Skills!C7=3,120+Inputs!$B$27+Inputs!$B$29,MAX(0,(Inputs!$B$3-100)*3)+Inputs!$B$28+Inputs!$B$29)))</f>
        <v/>
      </c>
      <c r="E1978">
        <f>INDEX(FactorTable!$B$2:$Y$301, MATCH(ROUND(MIN(300,MAX(1,D1978)),0), FactorTable!$A$2:$A$301,0), Skills!M7+1)</f>
        <v/>
      </c>
      <c r="F1978">
        <f>IF(Skills!N7=TRUE,(Skills!L7/10)*(E1978/1000),Skills!L7/10)+Skills!O7</f>
        <v/>
      </c>
      <c r="G1978">
        <f>Skills!G7*IF(Skills!H7&gt;0,Skills!I7/Skills!H7,1)</f>
        <v/>
      </c>
      <c r="H1978">
        <f>1-(1-Skills!J7/100)^Skills!K7</f>
        <v/>
      </c>
      <c r="I1978" t="inlineStr">
        <is>
          <t>1</t>
        </is>
      </c>
      <c r="J1978">
        <f>((Inputs!$B$6*(1+Inputs!$B$7/100))+(((Inputs!$B$12*(1+Inputs!$B$13/100))-(Inputs!$B$12*(1+Inputs!$B$13/100)))+0.25*(Inputs!$B$14-Inputs!$B$14))*(1+Inputs!$B$7/100))*(F1978/100)</f>
        <v/>
      </c>
      <c r="K1978">
        <f>J1978*(1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C1991=TRUE)*(F1991-Calc!F20)),(Inputs!$B$23+0+(IF(ArtifactsInput!$M$15,CHOOSE(ArtifactsInput!$N$15+1,25,30,35,40,45,50)/100*(Inputs!$B$11-Inputs!$B$11),0))))/100+(Inputs!$B$23+0+(IF(ArtifactsInput!$M$15,CHOOSE(ArtifactsInput!$N$15+1,25,30,35,40,45,50)/100*(Inputs!$B$11-Inputs!$B$11),0)))/100)/2</f>
        <v/>
      </c>
      <c r="M1978">
        <f>L1978*(1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8">
        <f>L1978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(1-Summary!$B$11)*T1978+Summary!$B$11*V1978</f>
        <v/>
      </c>
      <c r="P1978">
        <f>IF(B2006=0,0,O1978/B2006)</f>
        <v/>
      </c>
      <c r="Q1978">
        <f>IFERROR(1/(IF(Inputs!$B$38="pvp",15,MAX(0.1,Skills!D7-IF(Skills!E7=TRUE,Inputs!$B$32,0)))*(1-IF(AND(ArtifactsInput!$M$27,Inputs!$B$4="Chapter Hunt"),CHOOSE(ArtifactsInput!$N$27+1,20,24,28,32,36,40),0)/100)),0)</f>
        <v/>
      </c>
      <c r="R1978">
        <f>IF(AND(Inputs!$B$38&lt;&gt;"pvp",Inputs!$B$43&gt;0),IF(MAX(0,Inputs!$B$43-B2003)&lt;=0,0,(INT(MAX(0,Inputs!$B$43-B2003)/(IF(Inputs!$B$38="pvp",15,MAX(0.1,Skills!D7-IF(Skills!E7=TRUE,Inputs!$B$32,0)))*(1-IF(AND(ArtifactsInput!$M$27,Inputs!$B$4="Chapter Hunt"),CHOOSE(ArtifactsInput!$N$27+1,20,24,28,32,36,40),0)/100)))+1)),0)</f>
        <v/>
      </c>
      <c r="S1978">
        <f>IFERROR(O1978/N1978,0)</f>
        <v/>
      </c>
      <c r="T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$21+Skills!Q7+(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Skills!A8</f>
        <v/>
      </c>
      <c r="B1979">
        <f>Skills!B8</f>
        <v/>
      </c>
      <c r="C1979">
        <f>Inputs!$B$3&gt;=110</f>
        <v/>
      </c>
      <c r="D1979">
        <f>IF(Skills!C8=1,60+Inputs!$B$25+Inputs!$B$29,IF(Skills!C8=2,90+Inputs!$B$26+Inputs!$B$29,IF(Skills!C8=3,120+Inputs!$B$27+Inputs!$B$29,MAX(0,(Inputs!$B$3-100)*3)+Inputs!$B$28+Inputs!$B$29)))</f>
        <v/>
      </c>
      <c r="E1979">
        <f>INDEX(FactorTable!$B$2:$Y$301, MATCH(ROUND(MIN(300,MAX(1,D1979)),0), FactorTable!$A$2:$A$301,0), Skills!M8+1)</f>
        <v/>
      </c>
      <c r="F1979">
        <f>IF(Skills!N8=TRUE,(Skills!L8/10)*(E1979/1000),Skills!L8/10)+Skills!O8</f>
        <v/>
      </c>
      <c r="G1979">
        <f>Skills!G8*IF(Skills!H8&gt;0,Skills!I8/Skills!H8,1)</f>
        <v/>
      </c>
      <c r="H1979">
        <f>1-(1-Skills!J8/100)^Skills!K8</f>
        <v/>
      </c>
      <c r="I1979" t="inlineStr">
        <is>
          <t>1</t>
        </is>
      </c>
      <c r="J1979">
        <f>((Inputs!$B$6*(1+Inputs!$B$7/100))+(((Inputs!$B$12*(1+Inputs!$B$13/100))-(Inputs!$B$12*(1+Inputs!$B$13/100)))+0.25*(Inputs!$B$14-Inputs!$B$14))*(1+Inputs!$B$7/100))*(F1979/100)</f>
        <v/>
      </c>
      <c r="K1979">
        <f>J1979*(1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1979)</f>
        <v/>
      </c>
      <c r="L1979">
        <f>K1979*(MIN(Inputs!$B$22+((C1991=TRUE)*(F1991-Calc!F20)),(Inputs!$B$23+0+(IF(ArtifactsInput!$M$15,CHOOSE(ArtifactsInput!$N$15+1,25,30,35,40,45,50)/100*(Inputs!$B$11-Inputs!$B$11),0))))/100+(Inputs!$B$23+0+(IF(ArtifactsInput!$M$15,CHOOSE(ArtifactsInput!$N$15+1,25,30,35,40,45,50)/100*(Inputs!$B$11-Inputs!$B$11),0)))/100)/2</f>
        <v/>
      </c>
      <c r="M1979">
        <f>L1979*(1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9">
        <f>L1979*(1-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1979*(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9">
        <f>(1-Summary!$B$11)*T1979+Summary!$B$11*V1979</f>
        <v/>
      </c>
      <c r="P1979">
        <f>IF(B2006=0,0,O1979/B2006)</f>
        <v/>
      </c>
      <c r="Q1979">
        <f>IFERROR(1/(IF(Inputs!$B$38="pvp",15,MAX(0.1,Skills!D8-IF(Skills!E8=TRUE,Inputs!$B$32,0)))*(1-IF(AND(ArtifactsInput!$M$27,Inputs!$B$4="Chapter Hunt"),CHOOSE(ArtifactsInput!$N$27+1,20,24,28,32,36,40),0)/100)),0)</f>
        <v/>
      </c>
      <c r="R1979">
        <f>IF(AND(Inputs!$B$38&lt;&gt;"pvp",Inputs!$B$43&gt;0),IF(MAX(0,Inputs!$B$43-B2003)&lt;=0,0,(INT(MAX(0,Inputs!$B$43-B2003)/(IF(Inputs!$B$38="pvp",15,MAX(0.1,Skills!D8-IF(Skills!E8=TRUE,Inputs!$B$32,0)))*(1-IF(AND(ArtifactsInput!$M$27,Inputs!$B$4="Chapter Hunt"),CHOOSE(ArtifactsInput!$N$27+1,20,24,28,32,36,40),0)/100)))+1)),0)</f>
        <v/>
      </c>
      <c r="S1979">
        <f>IFERROR(O1979/N1979,0)</f>
        <v/>
      </c>
      <c r="T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$21+Skills!Q8+(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0">
      <c r="A1980">
        <f>Skills!A9</f>
        <v/>
      </c>
      <c r="B1980">
        <f>Skills!B9</f>
        <v/>
      </c>
      <c r="C1980">
        <f>Inputs!$B$3&gt;=110</f>
        <v/>
      </c>
      <c r="D1980">
        <f>IF(Skills!C9=1,60+Inputs!$B$25+Inputs!$B$29,IF(Skills!C9=2,90+Inputs!$B$26+Inputs!$B$29,IF(Skills!C9=3,120+Inputs!$B$27+Inputs!$B$29,MAX(0,(Inputs!$B$3-100)*3)+Inputs!$B$28+Inputs!$B$29)))</f>
        <v/>
      </c>
      <c r="E1980">
        <f>INDEX(FactorTable!$B$2:$Y$301, MATCH(ROUND(MIN(300,MAX(1,D1980)),0), FactorTable!$A$2:$A$301,0), Skills!M9+1)</f>
        <v/>
      </c>
      <c r="F1980">
        <f>IF(Skills!N9=TRUE,(Skills!L9/10)*(E1980/1000),Skills!L9/10)+Skills!O9</f>
        <v/>
      </c>
      <c r="G1980">
        <f>Skills!G9*IF(Skills!H9&gt;0,Skills!I9/Skills!H9,1)</f>
        <v/>
      </c>
      <c r="H1980">
        <f>1-(1-Skills!J9/100)^Skills!K9</f>
        <v/>
      </c>
      <c r="I1980" t="inlineStr">
        <is>
          <t>1</t>
        </is>
      </c>
      <c r="J1980">
        <f>((Inputs!$B$6*(1+Inputs!$B$7/100))+(((Inputs!$B$12*(1+Inputs!$B$13/100))-(Inputs!$B$12*(1+Inputs!$B$13/100)))+0.25*(Inputs!$B$14-Inputs!$B$14))*(1+Inputs!$B$7/100))*(F1980/100)</f>
        <v/>
      </c>
      <c r="K1980">
        <f>J1980*(1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1980)</f>
        <v/>
      </c>
      <c r="L1980">
        <f>K1980*(MIN(Inputs!$B$22+((C1991=TRUE)*(F1991-Calc!F20)),(Inputs!$B$23+0+(IF(ArtifactsInput!$M$15,CHOOSE(ArtifactsInput!$N$15+1,25,30,35,40,45,50)/100*(Inputs!$B$11-Inputs!$B$11),0))))/100+(Inputs!$B$23+0+(IF(ArtifactsInput!$M$15,CHOOSE(ArtifactsInput!$N$15+1,25,30,35,40,45,50)/100*(Inputs!$B$11-Inputs!$B$11),0)))/100)/2</f>
        <v/>
      </c>
      <c r="M1980">
        <f>L1980*(1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0">
        <f>L1980*(1-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1980*(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0">
        <f>(1-Summary!$B$11)*T1980+Summary!$B$11*V1980</f>
        <v/>
      </c>
      <c r="P1980">
        <f>IF(B2006=0,0,O1980/B2006)</f>
        <v/>
      </c>
      <c r="Q1980">
        <f>IFERROR(1/(IF(Inputs!$B$38="pvp",15,MAX(0.1,Skills!D9-IF(Skills!E9=TRUE,Inputs!$B$32,0)))*(1-IF(AND(ArtifactsInput!$M$27,Inputs!$B$4="Chapter Hunt"),CHOOSE(ArtifactsInput!$N$27+1,20,24,28,32,36,40),0)/100)),0)</f>
        <v/>
      </c>
      <c r="R1980">
        <f>IF(AND(Inputs!$B$38&lt;&gt;"pvp",Inputs!$B$43&gt;0),IF(MAX(0,Inputs!$B$43-B2003)&lt;=0,0,(INT(MAX(0,Inputs!$B$43-B2003)/(IF(Inputs!$B$38="pvp",15,MAX(0.1,Skills!D9-IF(Skills!E9=TRUE,Inputs!$B$32,0)))*(1-IF(AND(ArtifactsInput!$M$27,Inputs!$B$4="Chapter Hunt"),CHOOSE(ArtifactsInput!$N$27+1,20,24,28,32,36,40),0)/100)))+1)),0)</f>
        <v/>
      </c>
      <c r="S1980">
        <f>IFERROR(O1980/N1980,0)</f>
        <v/>
      </c>
      <c r="T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$21+Skills!Q9+(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1">
      <c r="A1981">
        <f>Skills!A10</f>
        <v/>
      </c>
      <c r="B1981">
        <f>Skills!B10</f>
        <v/>
      </c>
      <c r="C1981">
        <f>Inputs!$B$3&gt;=103</f>
        <v/>
      </c>
      <c r="D1981">
        <f>IF(Skills!C10=1,60+Inputs!$B$25+Inputs!$B$29,IF(Skills!C10=2,90+Inputs!$B$26+Inputs!$B$29,IF(Skills!C10=3,120+Inputs!$B$27+Inputs!$B$29,MAX(0,(Inputs!$B$3-100)*3)+Inputs!$B$28+Inputs!$B$29)))</f>
        <v/>
      </c>
      <c r="E1981">
        <f>INDEX(FactorTable!$B$2:$Y$301, MATCH(ROUND(MIN(300,MAX(1,D1981)),0), FactorTable!$A$2:$A$301,0), Skills!M10+1)</f>
        <v/>
      </c>
      <c r="F1981">
        <f>IF(Skills!N10=TRUE,(Skills!L10/10)*(E1981/1000),Skills!L10/10)+Skills!O10</f>
        <v/>
      </c>
      <c r="G1981">
        <f>Skills!G10*IF(Skills!H10&gt;0,Skills!I10/Skills!H10,1)</f>
        <v/>
      </c>
      <c r="H1981">
        <f>1-(1-Skills!J10/100)^Skills!K10</f>
        <v/>
      </c>
      <c r="I1981" t="inlineStr">
        <is>
          <t>1</t>
        </is>
      </c>
      <c r="J1981">
        <f>((Inputs!$B$6*(1+Inputs!$B$7/100))+(((Inputs!$B$12*(1+Inputs!$B$13/100))-(Inputs!$B$12*(1+Inputs!$B$13/100)))+0.25*(Inputs!$B$14-Inputs!$B$14))*(1+Inputs!$B$7/100))*(F1981/100)</f>
        <v/>
      </c>
      <c r="K1981">
        <f>J1981*(1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1981)</f>
        <v/>
      </c>
      <c r="L1981">
        <f>K1981*(MIN(Inputs!$B$22+((C1991=TRUE)*(F1991-Calc!F20)),(Inputs!$B$23+0+(IF(ArtifactsInput!$M$15,CHOOSE(ArtifactsInput!$N$15+1,25,30,35,40,45,50)/100*(Inputs!$B$11-Inputs!$B$11),0))))/100+(Inputs!$B$23+0+(IF(ArtifactsInput!$M$15,CHOOSE(ArtifactsInput!$N$15+1,25,30,35,40,45,50)/100*(Inputs!$B$11-Inputs!$B$11),0)))/100)/2</f>
        <v/>
      </c>
      <c r="M1981">
        <f>L1981*(1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1">
        <f>L1981*(1-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1">
        <f>(1-Summary!$B$11)*T1981+Summary!$B$11*V1981</f>
        <v/>
      </c>
      <c r="P1981">
        <f>IF(B2006=0,0,O1981/B2006)</f>
        <v/>
      </c>
      <c r="Q1981">
        <f>IFERROR(1/(IF(Inputs!$B$38="pvp",15,MAX(0.1,Skills!D10-IF(Skills!E10=TRUE,Inputs!$B$32,0)))*(1-IF(AND(ArtifactsInput!$M$27,Inputs!$B$4="Chapter Hunt"),CHOOSE(ArtifactsInput!$N$27+1,20,24,28,32,36,40),0)/100)),0)</f>
        <v/>
      </c>
      <c r="R1981">
        <f>IF(AND(Inputs!$B$38&lt;&gt;"pvp",Inputs!$B$43&gt;0),IF(MAX(0,Inputs!$B$43-B2003)&lt;=0,0,(INT(MAX(0,Inputs!$B$43-B2003)/(IF(Inputs!$B$38="pvp",15,MAX(0.1,Skills!D10-IF(Skills!E10=TRUE,Inputs!$B$32,0)))*(1-IF(AND(ArtifactsInput!$M$27,Inputs!$B$4="Chapter Hunt"),CHOOSE(ArtifactsInput!$N$27+1,20,24,28,32,36,40),0)/100)))+1)),0)</f>
        <v/>
      </c>
      <c r="S1981">
        <f>IFERROR(O1981/N1981,0)</f>
        <v/>
      </c>
      <c r="T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$21+Skills!Q10+(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2">
      <c r="A1982">
        <f>Skills!A11</f>
        <v/>
      </c>
      <c r="B1982">
        <f>Skills!B11</f>
        <v/>
      </c>
      <c r="C1982">
        <f>Inputs!$B$3&gt;=113</f>
        <v/>
      </c>
      <c r="D1982">
        <f>IF(Skills!C11=1,60+Inputs!$B$25+Inputs!$B$29,IF(Skills!C11=2,90+Inputs!$B$26+Inputs!$B$29,IF(Skills!C11=3,120+Inputs!$B$27+Inputs!$B$29,MAX(0,(Inputs!$B$3-100)*3)+Inputs!$B$28+Inputs!$B$29)))</f>
        <v/>
      </c>
      <c r="E1982">
        <f>INDEX(FactorTable!$B$2:$Y$301, MATCH(ROUND(MIN(300,MAX(1,D1982)),0), FactorTable!$A$2:$A$301,0), Skills!M11+1)</f>
        <v/>
      </c>
      <c r="F1982">
        <f>IF(Skills!N11=TRUE,(Skills!L11/10)*(E1982/1000),Skills!L11/10)+Skills!O11</f>
        <v/>
      </c>
      <c r="G1982">
        <f>Skills!G11*IF(Skills!H11&gt;0,Skills!I11/Skills!H11,1)</f>
        <v/>
      </c>
      <c r="H1982">
        <f>1-(1-Skills!J11/100)^Skills!K11</f>
        <v/>
      </c>
      <c r="I1982" t="inlineStr">
        <is>
          <t>1</t>
        </is>
      </c>
      <c r="J1982">
        <f>((Inputs!$B$6*(1+Inputs!$B$7/100))+(((Inputs!$B$12*(1+Inputs!$B$13/100))-(Inputs!$B$12*(1+Inputs!$B$13/100)))+0.25*(Inputs!$B$14-Inputs!$B$14))*(1+Inputs!$B$7/100))*(F1982/100)</f>
        <v/>
      </c>
      <c r="K1982">
        <f>J1982*(1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1982)</f>
        <v/>
      </c>
      <c r="L1982">
        <f>K1982*(MIN(Inputs!$B$22+((C1991=TRUE)*(F1991-Calc!F20)),(Inputs!$B$23+0+(IF(ArtifactsInput!$M$15,CHOOSE(ArtifactsInput!$N$15+1,25,30,35,40,45,50)/100*(Inputs!$B$11-Inputs!$B$11),0))))/100+(Inputs!$B$23+0+(IF(ArtifactsInput!$M$15,CHOOSE(ArtifactsInput!$N$15+1,25,30,35,40,45,50)/100*(Inputs!$B$11-Inputs!$B$11),0)))/100)/2</f>
        <v/>
      </c>
      <c r="M1982">
        <f>L1982*(1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2">
        <f>L1982*(1-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1982*(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2">
        <f>(1-Summary!$B$11)*T1982+Summary!$B$11*V1982</f>
        <v/>
      </c>
      <c r="P1982">
        <f>IF(B2006=0,0,O1982/B2006)</f>
        <v/>
      </c>
      <c r="Q1982">
        <f>IFERROR(1/(IF(Inputs!$B$38="pvp",15,MAX(0.1,Skills!D11-IF(Skills!E11=TRUE,Inputs!$B$32,0)))*(1-IF(AND(ArtifactsInput!$M$27,Inputs!$B$4="Chapter Hunt"),CHOOSE(ArtifactsInput!$N$27+1,20,24,28,32,36,40),0)/100)),0)</f>
        <v/>
      </c>
      <c r="R1982">
        <f>IF(AND(Inputs!$B$38&lt;&gt;"pvp",Inputs!$B$43&gt;0),IF(MAX(0,Inputs!$B$43-B2003)&lt;=0,0,(INT(MAX(0,Inputs!$B$43-B2003)/(IF(Inputs!$B$38="pvp",15,MAX(0.1,Skills!D11-IF(Skills!E11=TRUE,Inputs!$B$32,0)))*(1-IF(AND(ArtifactsInput!$M$27,Inputs!$B$4="Chapter Hunt"),CHOOSE(ArtifactsInput!$N$27+1,20,24,28,32,36,40),0)/100)))+1)),0)</f>
        <v/>
      </c>
      <c r="S1982">
        <f>IFERROR(O1982/N1982,0)</f>
        <v/>
      </c>
      <c r="T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$21+Skills!Q11+(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3">
      <c r="A1983">
        <f>Skills!A12</f>
        <v/>
      </c>
      <c r="B1983">
        <f>Skills!B12</f>
        <v/>
      </c>
      <c r="C1983">
        <f>Inputs!$B$3&gt;=100</f>
        <v/>
      </c>
      <c r="D1983">
        <f>IF(Skills!C12=1,60+Inputs!$B$25+Inputs!$B$29,IF(Skills!C12=2,90+Inputs!$B$26+Inputs!$B$29,IF(Skills!C12=3,120+Inputs!$B$27+Inputs!$B$29,MAX(0,(Inputs!$B$3-100)*3)+Inputs!$B$28+Inputs!$B$29)))</f>
        <v/>
      </c>
      <c r="E1983">
        <f>INDEX(FactorTable!$B$2:$Y$301, MATCH(ROUND(MIN(300,MAX(1,D1983)),0), FactorTable!$A$2:$A$301,0), Skills!M12+1)</f>
        <v/>
      </c>
      <c r="F1983">
        <f>IF(Skills!N12=TRUE,(Skills!L12/10)*(E1983/1000),Skills!L12/10)+Skills!O12</f>
        <v/>
      </c>
      <c r="G1983" t="inlineStr"/>
      <c r="H1983" t="inlineStr"/>
      <c r="I1983" t="inlineStr">
        <is>
          <t>1</t>
        </is>
      </c>
      <c r="J1983" t="inlineStr"/>
      <c r="K1983" t="inlineStr"/>
      <c r="L1983" t="inlineStr"/>
      <c r="M1983" t="inlineStr"/>
      <c r="N1983" t="inlineStr"/>
      <c r="O1983" t="inlineStr"/>
      <c r="P1983" t="inlineStr"/>
      <c r="Q1983" t="inlineStr"/>
      <c r="R1983" t="inlineStr"/>
      <c r="S1983" t="inlineStr"/>
      <c r="T1983" t="inlineStr"/>
      <c r="V1983" t="inlineStr"/>
    </row>
    <row r="1984">
      <c r="A1984">
        <f>Skills!A13</f>
        <v/>
      </c>
      <c r="B1984">
        <f>Skills!B13</f>
        <v/>
      </c>
      <c r="C1984">
        <f>Inputs!$B$3&gt;=66</f>
        <v/>
      </c>
      <c r="D1984">
        <f>IF(Skills!C13=1,60+Inputs!$B$25+Inputs!$B$29,IF(Skills!C13=2,90+Inputs!$B$26+Inputs!$B$29,IF(Skills!C13=3,120+Inputs!$B$27+Inputs!$B$29,MAX(0,(Inputs!$B$3-100)*3)+Inputs!$B$28+Inputs!$B$29)))</f>
        <v/>
      </c>
      <c r="E1984">
        <f>INDEX(FactorTable!$B$2:$Y$301, MATCH(ROUND(MIN(300,MAX(1,D1984)),0), FactorTable!$A$2:$A$301,0), Skills!M13+1)</f>
        <v/>
      </c>
      <c r="F1984">
        <f>IF(Skills!N13=TRUE,(Skills!L13/10)*(E1984/1000),Skills!L13/10)+Skills!O13</f>
        <v/>
      </c>
      <c r="G1984">
        <f>Skills!G13*IF(Skills!H13&gt;0,Skills!I13/Skills!H13,1)</f>
        <v/>
      </c>
      <c r="H1984">
        <f>1-(1-Skills!J13/100)^Skills!K13</f>
        <v/>
      </c>
      <c r="I1984" t="inlineStr">
        <is>
          <t>1</t>
        </is>
      </c>
      <c r="J1984" t="inlineStr"/>
      <c r="K1984" t="inlineStr"/>
      <c r="L1984" t="inlineStr"/>
      <c r="M1984" t="inlineStr"/>
      <c r="N1984" t="inlineStr"/>
      <c r="O1984">
        <f>(1-Summary!$B$11)*T1984+Summary!$B$11*V1984</f>
        <v/>
      </c>
      <c r="P1984">
        <f>IF(B2006=0,0,O1984/B2006)</f>
        <v/>
      </c>
      <c r="Q1984" t="n">
        <v>0</v>
      </c>
      <c r="R1984" t="n">
        <v>0</v>
      </c>
      <c r="S1984">
        <f>IFERROR(O1984/N1984,0)</f>
        <v/>
      </c>
      <c r="T1984" t="n">
        <v>0</v>
      </c>
      <c r="V1984" t="n">
        <v>0</v>
      </c>
    </row>
    <row r="1985">
      <c r="A1985">
        <f>Skills!A14</f>
        <v/>
      </c>
      <c r="B1985">
        <f>Skills!B14</f>
        <v/>
      </c>
      <c r="C1985">
        <f>Inputs!$B$3&gt;=107</f>
        <v/>
      </c>
      <c r="D1985">
        <f>IF(Skills!C14=1,60+Inputs!$B$25+Inputs!$B$29,IF(Skills!C14=2,90+Inputs!$B$26+Inputs!$B$29,IF(Skills!C14=3,120+Inputs!$B$27+Inputs!$B$29,MAX(0,(Inputs!$B$3-100)*3)+Inputs!$B$28+Inputs!$B$29)))</f>
        <v/>
      </c>
      <c r="E1985">
        <f>INDEX(FactorTable!$B$2:$Y$301, MATCH(ROUND(MIN(300,MAX(1,D1985)),0), FactorTable!$A$2:$A$301,0), Skills!M14+1)</f>
        <v/>
      </c>
      <c r="F1985">
        <f>IF(Skills!N14=TRUE,(Skills!L14/10)*(E1985/1000),Skills!L14/10)+Skills!O14</f>
        <v/>
      </c>
      <c r="G1985">
        <f>Skills!G14*IF(Skills!H14&gt;0,Skills!I14/Skills!H14,1)</f>
        <v/>
      </c>
      <c r="H1985">
        <f>1-(1-Skills!J14/100)^Skills!K14</f>
        <v/>
      </c>
      <c r="I1985" t="inlineStr">
        <is>
          <t>1</t>
        </is>
      </c>
      <c r="J1985" t="inlineStr"/>
      <c r="K1985" t="inlineStr"/>
      <c r="L1985" t="inlineStr"/>
      <c r="M1985" t="inlineStr"/>
      <c r="N1985" t="inlineStr"/>
      <c r="O1985">
        <f>(1-Summary!$B$11)*T1985+Summary!$B$11*V1985</f>
        <v/>
      </c>
      <c r="P1985">
        <f>IF(B2006=0,0,O1985/B2006)</f>
        <v/>
      </c>
      <c r="Q1985" t="n">
        <v>0</v>
      </c>
      <c r="R1985" t="n">
        <v>0</v>
      </c>
      <c r="S1985">
        <f>IFERROR(O1985/N1985,0)</f>
        <v/>
      </c>
      <c r="T1985" t="n">
        <v>0</v>
      </c>
      <c r="V1985" t="n">
        <v>0</v>
      </c>
    </row>
    <row r="1986">
      <c r="A1986">
        <f>Skills!A15</f>
        <v/>
      </c>
      <c r="B1986">
        <f>Skills!B15</f>
        <v/>
      </c>
      <c r="C1986">
        <f>Inputs!$B$3&gt;=115</f>
        <v/>
      </c>
      <c r="D1986">
        <f>IF(Skills!C15=1,60+Inputs!$B$25+Inputs!$B$29,IF(Skills!C15=2,90+Inputs!$B$26+Inputs!$B$29,IF(Skills!C15=3,120+Inputs!$B$27+Inputs!$B$29,MAX(0,(Inputs!$B$3-100)*3)+Inputs!$B$28+Inputs!$B$29)))</f>
        <v/>
      </c>
      <c r="E1986">
        <f>INDEX(FactorTable!$B$2:$Y$301, MATCH(ROUND(MIN(300,MAX(1,D1986)),0), FactorTable!$A$2:$A$301,0), Skills!M15+1)</f>
        <v/>
      </c>
      <c r="F1986">
        <f>IF(Skills!N15=TRUE,(Skills!L15/10)*(E1986/1000),Skills!L15/10)+Skills!O15</f>
        <v/>
      </c>
      <c r="G1986">
        <f>Skills!G15*IF(Skills!H15&gt;0,Skills!I15/Skills!H15,1)</f>
        <v/>
      </c>
      <c r="H1986">
        <f>1-(1-Skills!J15/100)^Skills!K15</f>
        <v/>
      </c>
      <c r="I1986" t="inlineStr">
        <is>
          <t>1</t>
        </is>
      </c>
      <c r="J1986" t="inlineStr"/>
      <c r="K1986" t="inlineStr"/>
      <c r="L1986" t="inlineStr"/>
      <c r="M1986" t="inlineStr"/>
      <c r="N1986" t="inlineStr"/>
      <c r="O1986">
        <f>(1-Summary!$B$11)*T1986+Summary!$B$11*V1986</f>
        <v/>
      </c>
      <c r="P1986">
        <f>IF(B2006=0,0,O1986/B2006)</f>
        <v/>
      </c>
      <c r="Q1986" t="n">
        <v>0</v>
      </c>
      <c r="R1986" t="n">
        <v>0</v>
      </c>
      <c r="S1986">
        <f>IFERROR(O1986/N1986,0)</f>
        <v/>
      </c>
      <c r="T1986" t="n">
        <v>0</v>
      </c>
      <c r="V1986" t="n">
        <v>0</v>
      </c>
    </row>
    <row r="1987">
      <c r="A1987">
        <f>Skills!A16</f>
        <v/>
      </c>
      <c r="B1987">
        <f>Skills!B16</f>
        <v/>
      </c>
      <c r="C1987">
        <f>Inputs!$B$3&gt;=15</f>
        <v/>
      </c>
      <c r="D1987">
        <f>IF(Skills!C16=1,60+Inputs!$B$25+Inputs!$B$29,IF(Skills!C16=2,90+Inputs!$B$26+Inputs!$B$29,IF(Skills!C16=3,120+Inputs!$B$27+Inputs!$B$29,MAX(0,(Inputs!$B$3-100)*3)+Inputs!$B$28+Inputs!$B$29)))</f>
        <v/>
      </c>
      <c r="E1987">
        <f>INDEX(FactorTable!$B$2:$Y$301, MATCH(ROUND(MIN(300,MAX(1,D1987)),0), FactorTable!$A$2:$A$301,0), Skills!M16+1)</f>
        <v/>
      </c>
      <c r="F1987">
        <f>IF(Skills!N16=TRUE,(Skills!L16/10)*(E1987/1000),Skills!L16/10)+Skills!O16</f>
        <v/>
      </c>
      <c r="G1987">
        <f>Skills!G16*IF(Skills!H16&gt;0,Skills!I16/Skills!H16,1)</f>
        <v/>
      </c>
      <c r="H1987">
        <f>1-(1-Skills!J16/100)^Skills!K16</f>
        <v/>
      </c>
      <c r="I1987" t="inlineStr">
        <is>
          <t>1</t>
        </is>
      </c>
      <c r="J1987" t="inlineStr"/>
      <c r="K1987" t="inlineStr"/>
      <c r="L1987" t="inlineStr"/>
      <c r="M1987" t="inlineStr"/>
      <c r="N1987" t="inlineStr"/>
      <c r="O1987">
        <f>(1-Summary!$B$11)*T1987+Summary!$B$11*V1987</f>
        <v/>
      </c>
      <c r="P1987">
        <f>IF(B2006=0,0,O1987/B2006)</f>
        <v/>
      </c>
      <c r="Q1987" t="n">
        <v>0</v>
      </c>
      <c r="R1987" t="n">
        <v>0</v>
      </c>
      <c r="S1987">
        <f>IFERROR(O1987/N1987,0)</f>
        <v/>
      </c>
      <c r="T1987" t="n">
        <v>0</v>
      </c>
      <c r="V1987" t="n">
        <v>0</v>
      </c>
    </row>
    <row r="1988">
      <c r="A1988">
        <f>Skills!A17</f>
        <v/>
      </c>
      <c r="B1988">
        <f>Skills!B17</f>
        <v/>
      </c>
      <c r="C1988">
        <f>Inputs!$B$3&gt;=10</f>
        <v/>
      </c>
      <c r="D1988">
        <f>IF(Skills!C17=1,60+Inputs!$B$25+Inputs!$B$29,IF(Skills!C17=2,90+Inputs!$B$26+Inputs!$B$29,IF(Skills!C17=3,120+Inputs!$B$27+Inputs!$B$29,MAX(0,(Inputs!$B$3-100)*3)+Inputs!$B$28+Inputs!$B$29)))</f>
        <v/>
      </c>
      <c r="E1988">
        <f>INDEX(FactorTable!$B$2:$Y$301, MATCH(ROUND(MIN(300,MAX(1,D1988)),0), FactorTable!$A$2:$A$301,0), Skills!M17+1)</f>
        <v/>
      </c>
      <c r="F1988">
        <f>IF(Skills!N17=TRUE,(Skills!L17/10)*(E1988/1000),Skills!L17/10)+Skills!O17</f>
        <v/>
      </c>
      <c r="G1988">
        <f>Skills!G17*IF(Skills!H17&gt;0,Skills!I17/Skills!H17,1)</f>
        <v/>
      </c>
      <c r="H1988">
        <f>1-(1-Skills!J17/100)^Skills!K17</f>
        <v/>
      </c>
      <c r="I1988" t="inlineStr">
        <is>
          <t>1</t>
        </is>
      </c>
      <c r="J1988" t="inlineStr"/>
      <c r="K1988" t="inlineStr"/>
      <c r="L1988" t="inlineStr"/>
      <c r="M1988" t="inlineStr"/>
      <c r="N1988" t="inlineStr"/>
      <c r="O1988">
        <f>(1-Summary!$B$11)*T1988+Summary!$B$11*V1988</f>
        <v/>
      </c>
      <c r="P1988">
        <f>IF(B2006=0,0,O1988/B2006)</f>
        <v/>
      </c>
      <c r="Q1988" t="n">
        <v>0</v>
      </c>
      <c r="R1988" t="n">
        <v>0</v>
      </c>
      <c r="S1988">
        <f>IFERROR(O1988/N1988,0)</f>
        <v/>
      </c>
      <c r="T1988" t="n">
        <v>0</v>
      </c>
      <c r="V1988" t="n">
        <v>0</v>
      </c>
    </row>
    <row r="1989">
      <c r="A1989">
        <f>Skills!A18</f>
        <v/>
      </c>
      <c r="B1989">
        <f>Skills!B18</f>
        <v/>
      </c>
      <c r="C1989">
        <f>Inputs!$B$3&gt;=33</f>
        <v/>
      </c>
      <c r="D1989">
        <f>IF(Skills!C18=1,60+Inputs!$B$25+Inputs!$B$29,IF(Skills!C18=2,90+Inputs!$B$26+Inputs!$B$29,IF(Skills!C18=3,120+Inputs!$B$27+Inputs!$B$29,MAX(0,(Inputs!$B$3-100)*3)+Inputs!$B$28+Inputs!$B$29)))</f>
        <v/>
      </c>
      <c r="E1989">
        <f>INDEX(FactorTable!$B$2:$Y$301, MATCH(ROUND(MIN(300,MAX(1,D1989)),0), FactorTable!$A$2:$A$301,0), Skills!M18+1)</f>
        <v/>
      </c>
      <c r="F1989">
        <f>IF(Skills!N18=TRUE,(Skills!L18/10)*(E1989/1000),Skills!L18/10)+Skills!O18</f>
        <v/>
      </c>
      <c r="G1989">
        <f>Skills!G18*IF(Skills!H18&gt;0,Skills!I18/Skills!H18,1)</f>
        <v/>
      </c>
      <c r="H1989">
        <f>1-(1-Skills!J18/100)^Skills!K18</f>
        <v/>
      </c>
      <c r="I1989" t="inlineStr">
        <is>
          <t>1</t>
        </is>
      </c>
      <c r="J1989" t="inlineStr"/>
      <c r="K1989" t="inlineStr"/>
      <c r="L1989" t="inlineStr"/>
      <c r="M1989" t="inlineStr"/>
      <c r="N1989" t="inlineStr"/>
      <c r="O1989">
        <f>(1-Summary!$B$11)*T1989+Summary!$B$11*V1989</f>
        <v/>
      </c>
      <c r="P1989">
        <f>IF(B2006=0,0,O1989/B2006)</f>
        <v/>
      </c>
      <c r="Q1989" t="n">
        <v>0</v>
      </c>
      <c r="R1989" t="n">
        <v>0</v>
      </c>
      <c r="S1989">
        <f>IFERROR(O1989/N1989,0)</f>
        <v/>
      </c>
      <c r="T1989" t="n">
        <v>0</v>
      </c>
      <c r="V1989" t="n">
        <v>0</v>
      </c>
    </row>
    <row r="1990">
      <c r="A1990">
        <f>Skills!A19</f>
        <v/>
      </c>
      <c r="B1990">
        <f>Skills!B19</f>
        <v/>
      </c>
      <c r="C1990">
        <f>Inputs!$B$3&gt;=40</f>
        <v/>
      </c>
      <c r="D1990">
        <f>IF(Skills!C19=1,60+Inputs!$B$25+Inputs!$B$29,IF(Skills!C19=2,90+Inputs!$B$26+Inputs!$B$29,IF(Skills!C19=3,120+Inputs!$B$27+Inputs!$B$29,MAX(0,(Inputs!$B$3-100)*3)+Inputs!$B$28+Inputs!$B$29)))</f>
        <v/>
      </c>
      <c r="E1990">
        <f>INDEX(FactorTable!$B$2:$Y$301, MATCH(ROUND(MIN(300,MAX(1,D1990)),0), FactorTable!$A$2:$A$301,0), Skills!M19+1)</f>
        <v/>
      </c>
      <c r="F1990">
        <f>IF(Skills!N19=TRUE,(Skills!L19/10)*(E1990/1000),Skills!L19/10)+Skills!O19</f>
        <v/>
      </c>
      <c r="G1990">
        <f>Skills!G19*IF(Skills!H19&gt;0,Skills!I19/Skills!H19,1)</f>
        <v/>
      </c>
      <c r="H1990">
        <f>1-(1-Skills!J19/100)^Skills!K19</f>
        <v/>
      </c>
      <c r="I1990" t="inlineStr">
        <is>
          <t>1</t>
        </is>
      </c>
      <c r="J1990" t="inlineStr"/>
      <c r="K1990" t="inlineStr"/>
      <c r="L1990" t="inlineStr"/>
      <c r="M1990" t="inlineStr"/>
      <c r="N1990" t="inlineStr"/>
      <c r="O1990">
        <f>(1-Summary!$B$11)*T1990+Summary!$B$11*V1990</f>
        <v/>
      </c>
      <c r="P1990">
        <f>IF(B2006=0,0,O1990/B2006)</f>
        <v/>
      </c>
      <c r="Q1990" t="n">
        <v>0</v>
      </c>
      <c r="R1990" t="n">
        <v>0</v>
      </c>
      <c r="S1990">
        <f>IFERROR(O1990/N1990,0)</f>
        <v/>
      </c>
      <c r="T1990" t="n">
        <v>0</v>
      </c>
      <c r="V1990" t="n">
        <v>0</v>
      </c>
    </row>
    <row r="1991">
      <c r="A1991">
        <f>Skills!A20</f>
        <v/>
      </c>
      <c r="B1991">
        <f>Skills!B20</f>
        <v/>
      </c>
      <c r="C1991">
        <f>Inputs!$B$3&gt;=43</f>
        <v/>
      </c>
      <c r="D1991">
        <f>IF(Skills!C20=1,60+Inputs!$B$25+Inputs!$B$29,IF(Skills!C20=2,90+Inputs!$B$26+Inputs!$B$29,IF(Skills!C20=3,120+Inputs!$B$27+Inputs!$B$29,MAX(0,(Inputs!$B$3-100)*3)+Inputs!$B$28+Inputs!$B$29)))</f>
        <v/>
      </c>
      <c r="E1991">
        <f>INDEX(FactorTable!$B$2:$Y$301, MATCH(ROUND(MIN(300,MAX(1,D1991)),0), FactorTable!$A$2:$A$301,0), Skills!M20+1)</f>
        <v/>
      </c>
      <c r="F1991">
        <f>IF(Skills!N20=TRUE,(Skills!L20/10)*(E1991/1000),Skills!L20/10)+Skills!O20</f>
        <v/>
      </c>
      <c r="G1991">
        <f>Skills!G20*IF(Skills!H20&gt;0,Skills!I20/Skills!H20,1)</f>
        <v/>
      </c>
      <c r="H1991">
        <f>1-(1-Skills!J20/100)^Skills!K20</f>
        <v/>
      </c>
      <c r="I1991" t="inlineStr">
        <is>
          <t>1</t>
        </is>
      </c>
      <c r="J1991" t="inlineStr"/>
      <c r="K1991" t="inlineStr"/>
      <c r="L1991" t="inlineStr"/>
      <c r="M1991" t="inlineStr"/>
      <c r="N1991" t="inlineStr"/>
      <c r="O1991">
        <f>(1-Summary!$B$11)*T1991+Summary!$B$11*V1991</f>
        <v/>
      </c>
      <c r="P1991">
        <f>IF(B2006=0,0,O1991/B2006)</f>
        <v/>
      </c>
      <c r="Q1991" t="n">
        <v>0</v>
      </c>
      <c r="R1991" t="n">
        <v>0</v>
      </c>
      <c r="S1991">
        <f>IFERROR(O1991/N1991,0)</f>
        <v/>
      </c>
      <c r="T1991" t="n">
        <v>0</v>
      </c>
      <c r="V1991" t="n">
        <v>0</v>
      </c>
    </row>
    <row r="1992">
      <c r="A1992">
        <f>Skills!A21</f>
        <v/>
      </c>
      <c r="B1992">
        <f>Skills!B21</f>
        <v/>
      </c>
      <c r="C1992">
        <f>Inputs!$B$3&gt;=38</f>
        <v/>
      </c>
      <c r="D1992">
        <f>IF(Skills!C21=1,60+Inputs!$B$25+Inputs!$B$29,IF(Skills!C21=2,90+Inputs!$B$26+Inputs!$B$29,IF(Skills!C21=3,120+Inputs!$B$27+Inputs!$B$29,MAX(0,(Inputs!$B$3-100)*3)+Inputs!$B$28+Inputs!$B$29)))</f>
        <v/>
      </c>
      <c r="E1992">
        <f>INDEX(FactorTable!$B$2:$Y$301, MATCH(ROUND(MIN(300,MAX(1,D1992)),0), FactorTable!$A$2:$A$301,0), Skills!M21+1)</f>
        <v/>
      </c>
      <c r="F1992">
        <f>IF(Skills!N21=TRUE,(Skills!L21/10)*(E1992/1000),Skills!L21/10)+Skills!O21</f>
        <v/>
      </c>
      <c r="G1992">
        <f>Skills!G21*IF(Skills!H21&gt;0,Skills!I21/Skills!H21,1)</f>
        <v/>
      </c>
      <c r="H1992">
        <f>1-(1-Skills!J21/100)^Skills!K21</f>
        <v/>
      </c>
      <c r="I1992" t="inlineStr">
        <is>
          <t>1</t>
        </is>
      </c>
      <c r="J1992" t="inlineStr"/>
      <c r="K1992" t="inlineStr"/>
      <c r="L1992" t="inlineStr"/>
      <c r="M1992" t="inlineStr"/>
      <c r="N1992" t="inlineStr"/>
      <c r="O1992">
        <f>(1-Summary!$B$11)*T1992+Summary!$B$11*V1992</f>
        <v/>
      </c>
      <c r="P1992">
        <f>IF(B2006=0,0,O1992/B2006)</f>
        <v/>
      </c>
      <c r="Q1992" t="n">
        <v>0</v>
      </c>
      <c r="R1992" t="n">
        <v>0</v>
      </c>
      <c r="S1992">
        <f>IFERROR(O1992/N1992,0)</f>
        <v/>
      </c>
      <c r="T1992" t="n">
        <v>0</v>
      </c>
      <c r="V1992" t="n">
        <v>0</v>
      </c>
    </row>
    <row r="1993">
      <c r="A1993">
        <f>Skills!A22</f>
        <v/>
      </c>
      <c r="B1993">
        <f>Skills!B22</f>
        <v/>
      </c>
      <c r="C1993">
        <f>Inputs!$B$3&gt;=75</f>
        <v/>
      </c>
      <c r="D1993">
        <f>IF(Skills!C22=1,60+Inputs!$B$25+Inputs!$B$29,IF(Skills!C22=2,90+Inputs!$B$26+Inputs!$B$29,IF(Skills!C22=3,120+Inputs!$B$27+Inputs!$B$29,MAX(0,(Inputs!$B$3-100)*3)+Inputs!$B$28+Inputs!$B$29)))</f>
        <v/>
      </c>
      <c r="E1993">
        <f>INDEX(FactorTable!$B$2:$Y$301, MATCH(ROUND(MIN(300,MAX(1,D1993)),0), FactorTable!$A$2:$A$301,0), Skills!M22+1)</f>
        <v/>
      </c>
      <c r="F1993">
        <f>IF(Skills!N22=TRUE,(Skills!L22/10)*(E1993/1000),Skills!L22/10)+Skills!O22</f>
        <v/>
      </c>
      <c r="G1993">
        <f>Skills!G22*IF(Skills!H22&gt;0,Skills!I22/Skills!H22,1)</f>
        <v/>
      </c>
      <c r="H1993">
        <f>1-(1-Skills!J22/100)^Skills!K22</f>
        <v/>
      </c>
      <c r="I1993" t="inlineStr">
        <is>
          <t>1</t>
        </is>
      </c>
      <c r="J1993" t="inlineStr"/>
      <c r="K1993" t="inlineStr"/>
      <c r="L1993" t="inlineStr"/>
      <c r="M1993" t="inlineStr"/>
      <c r="N1993" t="inlineStr"/>
      <c r="O1993">
        <f>(1-Summary!$B$11)*T1993+Summary!$B$11*V1993</f>
        <v/>
      </c>
      <c r="P1993">
        <f>IF(B2006=0,0,O1993/B2006)</f>
        <v/>
      </c>
      <c r="Q1993" t="n">
        <v>0</v>
      </c>
      <c r="R1993" t="n">
        <v>0</v>
      </c>
      <c r="S1993">
        <f>IFERROR(O1993/N1993,0)</f>
        <v/>
      </c>
      <c r="T1993" t="n">
        <v>0</v>
      </c>
      <c r="V1993" t="n">
        <v>0</v>
      </c>
    </row>
    <row r="1995">
      <c r="A1995" t="inlineStr">
        <is>
          <t>Attack% Bucket Multiplier</t>
        </is>
      </c>
      <c r="B1995">
        <f>(1+(((C1984=TRUE)*F1984)+((C1990=TRUE)*(F1990-Calc!F19))+(IF(ArtifactsInput!$M$21,CHOOSE(ArtifactsInput!$N$21+1,25,30,35,40,45,50)*(IF(OR(Inputs!$B$4="Chapter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6">
      <c r="A1996" t="inlineStr">
        <is>
          <t>Global Crit Rate Bonus %</t>
        </is>
      </c>
      <c r="B1996" t="n">
        <v>0</v>
      </c>
    </row>
    <row r="1997">
      <c r="A1997" t="inlineStr">
        <is>
          <t>Attack Speed Buff Bonus % (unused)</t>
        </is>
      </c>
      <c r="B1997" t="n">
        <v>0</v>
      </c>
    </row>
    <row r="1998">
      <c r="A1998" t="inlineStr">
        <is>
          <t>Actions Per Second</t>
        </is>
      </c>
      <c r="B1998">
        <f>1+MIN(150,150*(1-(1-(Inputs!$B$11+((C1988=TRUE)*(F1988-Calc!F17))+((C1989=TRUE)*(F1989-Calc!F18)))/150)*(1-B1997/150)))/100</f>
        <v/>
      </c>
    </row>
    <row r="1999">
      <c r="A1999" t="inlineStr">
        <is>
          <t>Skill + Buff Cast Rate</t>
        </is>
      </c>
      <c r="B1999">
        <f>IF(AND(Inputs!$B$38&lt;&gt;"pvp",Inputs!$B$43&gt;0),SUMPRODUCT((Skills!E2:E22=TRUE)*(C1973:C1993=TRUE)*R1973:R1993*Skills!F2:F22)/Inputs!$B$43,SUMPRODUCT((Skills!E2:E22=TRUE)*(C1973:C1993=TRUE)*Q1973:Q1993*Skills!F2:F22))</f>
        <v/>
      </c>
    </row>
    <row r="2000">
      <c r="A2000" t="inlineStr">
        <is>
          <t>Hook Bomber Casts Per Second</t>
        </is>
      </c>
      <c r="B2000">
        <f>MAX(0,B1998-B1999)</f>
        <v/>
      </c>
    </row>
    <row r="2001">
      <c r="A2001" t="inlineStr">
        <is>
          <t>Global Critical Damage Bonus % (unused)</t>
        </is>
      </c>
      <c r="B2001" t="n">
        <v>0</v>
      </c>
    </row>
    <row r="2002">
      <c r="A2002" t="inlineStr">
        <is>
          <t>Global Final Damage Bonus % (Serpent Scale + Crossbones + Time Leap + Speed Infusion)</t>
        </is>
      </c>
      <c r="B2002">
        <f>((C1976=TRUE)*F1976*((10+IF(Inputs!$B$3&gt;=94,5,0))/((10+IF(Inputs!$B$3&gt;=94,5,0))+5/(B2000*(1+IF(Inputs!$B$3&gt;=104,1,0))))))+((C1985=TRUE)*F1985)+((C1986=TRUE)*F1986)+((Inputs!$B$3&gt;=110)*20*(B1998-1))</f>
        <v/>
      </c>
    </row>
    <row r="2003">
      <c r="A2003" t="inlineStr">
        <is>
          <t>Buff-Casting Startup Delay (s, fixed-duration only)</t>
        </is>
      </c>
      <c r="B2003">
        <f>IF(AND(Inputs!$B$38&lt;&gt;"pvp",Inputs!$B$43&gt;0),SUMPRODUCT((Skills!T2:T22&gt;0)*(Skills!E2:E22=TRUE)*(C1973:C1993=TRUE))/B1998,0)</f>
        <v/>
      </c>
    </row>
    <row r="2004">
      <c r="A2004" t="inlineStr">
        <is>
          <t>Boss-Only Total DPS (this block's swept value)</t>
        </is>
      </c>
      <c r="B2004">
        <f>SUM(T1973:T1993)</f>
        <v/>
      </c>
    </row>
    <row r="2005">
      <c r="A2005" t="inlineStr">
        <is>
          <t>Normal-Only Total DPS (this block's swept value)</t>
        </is>
      </c>
      <c r="B2005">
        <f>SUM(V1973:V1993)</f>
        <v/>
      </c>
    </row>
    <row r="2006">
      <c r="A2006" s="6" t="inlineStr">
        <is>
          <t>TOTAL DPS</t>
        </is>
      </c>
      <c r="B2006" s="6">
        <f>SUM(O1973:O1993)</f>
        <v/>
      </c>
    </row>
    <row r="2009">
      <c r="A2009" s="6" t="inlineStr">
        <is>
          <t>Stat: Flaming Lava (Equip)</t>
        </is>
      </c>
    </row>
    <row r="2010">
      <c r="A2010" s="5" t="inlineStr">
        <is>
          <t>Key</t>
        </is>
      </c>
      <c r="B2010" s="5" t="inlineStr">
        <is>
          <t>Name</t>
        </is>
      </c>
      <c r="C2010" s="5" t="inlineStr">
        <is>
          <t>Unlocked</t>
        </is>
      </c>
      <c r="D2010" s="5" t="inlineStr">
        <is>
          <t>InputLevel</t>
        </is>
      </c>
      <c r="E2010" s="5" t="inlineStr">
        <is>
          <t>Factor</t>
        </is>
      </c>
      <c r="F2010" s="5" t="inlineStr">
        <is>
          <t>CoefficientPercent</t>
        </is>
      </c>
      <c r="G2010" s="5" t="inlineStr">
        <is>
          <t>EffectiveHits</t>
        </is>
      </c>
      <c r="H2010" s="5" t="inlineStr">
        <is>
          <t>ProcProbability</t>
        </is>
      </c>
      <c r="I2010" s="5" t="inlineStr">
        <is>
          <t>MapleHeroMultiplier</t>
        </is>
      </c>
      <c r="J2010" s="5" t="inlineStr">
        <is>
          <t>BaseDamage</t>
        </is>
      </c>
      <c r="K2010" s="5" t="inlineStr">
        <is>
          <t>BaseHitDamage</t>
        </is>
      </c>
      <c r="L2010" s="5" t="inlineStr">
        <is>
          <t>NonCritAvg</t>
        </is>
      </c>
      <c r="M2010" s="5" t="inlineStr">
        <is>
          <t>CritAvg</t>
        </is>
      </c>
      <c r="N2010" s="5" t="inlineStr">
        <is>
          <t>ExpectedDamage(perHit)</t>
        </is>
      </c>
      <c r="O2010" s="5" t="inlineStr">
        <is>
          <t>DPS</t>
        </is>
      </c>
      <c r="P2010" s="5" t="inlineStr">
        <is>
          <t>% of Total</t>
        </is>
      </c>
      <c r="Q2010" s="5" t="inlineStr">
        <is>
          <t>InvCooldown</t>
        </is>
      </c>
      <c r="R2010" s="5" t="inlineStr">
        <is>
          <t>CastsInFight</t>
        </is>
      </c>
      <c r="S2010" s="5" t="inlineStr">
        <is>
          <t>HitRate(perSec)</t>
        </is>
      </c>
      <c r="U2010" t="inlineStr">
        <is>
          <t>helpers</t>
        </is>
      </c>
    </row>
    <row r="2011">
      <c r="A2011">
        <f>Skills!A2</f>
        <v/>
      </c>
      <c r="B2011">
        <f>Skills!B2</f>
        <v/>
      </c>
      <c r="C2011">
        <f>Inputs!$B$3&gt;=100</f>
        <v/>
      </c>
      <c r="D2011" t="inlineStr"/>
      <c r="E2011" t="inlineStr"/>
      <c r="F2011">
        <f>U2013+Skills!O2</f>
        <v/>
      </c>
      <c r="G2011">
        <f>Skills!G2*IF(Skills!H2&gt;0,Skills!I2/Skills!H2,1)</f>
        <v/>
      </c>
      <c r="H2011">
        <f>1-(1-Skills!J2/100)^Skills!K2</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20)),(Inputs!$B$23+0+(IF(ArtifactsInput!$M$15,CHOOSE(ArtifactsInput!$N$15+1,25,30,35,40,45,50)/100*(Inputs!$B$11-Inputs!$B$11),0))))/100+(Inputs!$B$23+0+(IF(ArtifactsInput!$M$15,CHOOSE(ArtifactsInput!$N$15+1,25,30,35,40,45,50)/100*(Inputs!$B$11-Inputs!$B$11),0)))/100)/2</f>
        <v/>
      </c>
      <c r="M2011">
        <f>L2011*(1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IF(B2044=0,0,O2011/B2044)</f>
        <v/>
      </c>
      <c r="Q2011" t="n">
        <v>0</v>
      </c>
      <c r="R2011" t="n">
        <v>0</v>
      </c>
      <c r="S2011">
        <f>IFERROR(O2011/N2011,0)</f>
        <v/>
      </c>
      <c r="T2011">
        <f>IF(C2011,(Skills!G2*N2011*B2038)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MAX(0,(Inputs!$B$3-100)*3)+Inputs!$B$28+Inputs!$B$29</f>
        <v/>
      </c>
      <c r="V2011">
        <f>IF(C2011,(Skills!G2*N2011*B2038)*IF(Inputs!$B$38="pvp",1,(1+(Inputs!$B$21+Skills!Q2+(IF(ArtifactsInput!$M$33,CHOOSE(ArtifactsInput!$N$33+1,30,36,42,48,54,60),0))+(IF(AND(ArtifactsInput!$M$35,Inputs!$B$4&lt;&gt;"Chapter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Skills!A3</f>
        <v/>
      </c>
      <c r="B2012">
        <f>Skills!B3</f>
        <v/>
      </c>
      <c r="C2012">
        <f>Inputs!$B$3&gt;=35</f>
        <v/>
      </c>
      <c r="D2012">
        <f>IF(Skills!C3=1,60+Inputs!$B$25+Inputs!$B$29,IF(Skills!C3=2,90+Inputs!$B$26+Inputs!$B$29,IF(Skills!C3=3,120+Inputs!$B$27+Inputs!$B$29,MAX(0,(Inputs!$B$3-100)*3)+Inputs!$B$28+Inputs!$B$29)))</f>
        <v/>
      </c>
      <c r="E2012">
        <f>INDEX(FactorTable!$B$2:$Y$301, MATCH(ROUND(MIN(300,MAX(1,D2012)),0), FactorTable!$A$2:$A$301,0), Skills!M3+1)</f>
        <v/>
      </c>
      <c r="F2012">
        <f>IF(Skills!N3=TRUE,(Skills!L3/10)*(E2012/1000),Skills!L3/10)+Skills!O3</f>
        <v/>
      </c>
      <c r="G2012">
        <f>Skills!G3*IF(Skills!H3&gt;0,Skills!I3/Skills!H3,1)</f>
        <v/>
      </c>
      <c r="H2012">
        <f>1-(1-Skills!J3/100)^Skills!K3</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20)),(Inputs!$B$23+0+(IF(ArtifactsInput!$M$15,CHOOSE(ArtifactsInput!$N$15+1,25,30,35,40,45,50)/100*(Inputs!$B$11-Inputs!$B$11),0))))/100+(Inputs!$B$23+0+(IF(ArtifactsInput!$M$15,CHOOSE(ArtifactsInput!$N$15+1,25,30,35,40,45,50)/100*(Inputs!$B$11-Inputs!$B$11),0)))/100)/2</f>
        <v/>
      </c>
      <c r="M2012">
        <f>L2012*(1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IF(B2044=0,0,O2012/B2044)</f>
        <v/>
      </c>
      <c r="Q2012" t="n">
        <v>0</v>
      </c>
      <c r="R2012" t="n">
        <v>0</v>
      </c>
      <c r="S2012">
        <f>IFERROR(O2012/N2012,0)</f>
        <v/>
      </c>
      <c r="T2012">
        <f>IF(C2012,(Skills!G3*H2012*N2012*B2038)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2">
        <f>INDEX(FactorTable!$B$2:$Y$301, MATCH(ROUND(MIN(300,MAX(1,U2011)),0), FactorTable!$A$2:$A$301,0), 22)</f>
        <v/>
      </c>
      <c r="V2012">
        <f>IF(C2012,(Skills!G3*H2012*N2012*B2038)*IF(Inputs!$B$38="pvp",1,(1+(Inputs!$B$21+Skills!Q3+(IF(ArtifactsInput!$M$33,CHOOSE(ArtifactsInput!$N$33+1,30,36,42,48,54,60),0))+(IF(AND(ArtifactsInput!$M$35,Inputs!$B$4&lt;&gt;"Chapter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Skills!A4</f>
        <v/>
      </c>
      <c r="B2013">
        <f>Skills!B4</f>
        <v/>
      </c>
      <c r="C2013">
        <f>Inputs!$B$3&gt;=60</f>
        <v/>
      </c>
      <c r="D2013">
        <f>IF(Skills!C4=1,60+Inputs!$B$25+Inputs!$B$29,IF(Skills!C4=2,90+Inputs!$B$26+Inputs!$B$29,IF(Skills!C4=3,120+Inputs!$B$27+Inputs!$B$29,MAX(0,(Inputs!$B$3-100)*3)+Inputs!$B$28+Inputs!$B$29)))</f>
        <v/>
      </c>
      <c r="E2013">
        <f>INDEX(FactorTable!$B$2:$Y$301, MATCH(ROUND(MIN(300,MAX(1,D2013)),0), FactorTable!$A$2:$A$301,0), Skills!M4+1)</f>
        <v/>
      </c>
      <c r="F2013">
        <f>IF(Skills!N4=TRUE,(Skills!L4/10)*(E2013/1000),Skills!L4/10)+Skills!O4</f>
        <v/>
      </c>
      <c r="G2013">
        <f>Skills!G4*IF(Skills!H4&gt;0,Skills!I4/Skills!H4,1)</f>
        <v/>
      </c>
      <c r="H2013">
        <f>1-(1-Skills!J4/100)^Skills!K4</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4="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20)),(Inputs!$B$23+0+(IF(ArtifactsInput!$M$15,CHOOSE(ArtifactsInput!$N$15+1,25,30,35,40,45,50)/100*(Inputs!$B$11-Inputs!$B$11),0))))/100+(Inputs!$B$23+0+(IF(ArtifactsInput!$M$15,CHOOSE(ArtifactsInput!$N$15+1,25,30,35,40,45,50)/100*(Inputs!$B$11-Inputs!$B$11),0)))/100)/2</f>
        <v/>
      </c>
      <c r="M2013">
        <f>L2013*(1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IF(B2044=0,0,O2013/B2044)</f>
        <v/>
      </c>
      <c r="Q2013" t="n">
        <v>0</v>
      </c>
      <c r="R2013" t="n">
        <v>0</v>
      </c>
      <c r="S2013">
        <f>IFERROR(O2013/N2013,0)</f>
        <v/>
      </c>
      <c r="T2013">
        <f>IF(C2013,(Skills!G4*H2013*N2013*B2038)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290*U2012/1000</f>
        <v/>
      </c>
      <c r="V2013">
        <f>IF(C2013,(Skills!G4*H2013*N2013*B2038)*IF(Inputs!$B$38="pvp",1,(1+(Inputs!$B$21+Skills!Q4+(IF(ArtifactsInput!$M$33,CHOOSE(ArtifactsInput!$N$33+1,30,36,42,48,54,60),0))+(IF(AND(ArtifactsInput!$M$35,Inputs!$B$4&lt;&gt;"Chapter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Skills!A5</f>
        <v/>
      </c>
      <c r="B2014">
        <f>Skills!B5</f>
        <v/>
      </c>
      <c r="C2014">
        <f>Inputs!$B$3&gt;=60</f>
        <v/>
      </c>
      <c r="D2014">
        <f>IF(Skills!C5=1,60+Inputs!$B$25+Inputs!$B$29,IF(Skills!C5=2,90+Inputs!$B$26+Inputs!$B$29,IF(Skills!C5=3,120+Inputs!$B$27+Inputs!$B$29,MAX(0,(Inputs!$B$3-100)*3)+Inputs!$B$28+Inputs!$B$29)))</f>
        <v/>
      </c>
      <c r="E2014">
        <f>INDEX(FactorTable!$B$2:$Y$301, MATCH(ROUND(MIN(300,MAX(1,D2014)),0), FactorTable!$A$2:$A$301,0), Skills!M5+1)</f>
        <v/>
      </c>
      <c r="F2014">
        <f>IF(Skills!N5=TRUE,(Skills!L5/10)*(E2014/1000),Skills!L5/10)+Skills!O5</f>
        <v/>
      </c>
      <c r="G2014">
        <f>Skills!G5*IF(Skills!H5&gt;0,Skills!I5/Skills!H5,1)</f>
        <v/>
      </c>
      <c r="H2014">
        <f>1-(1-Skills!J5/100)^Skills!K5</f>
        <v/>
      </c>
      <c r="I2014" t="inlineStr">
        <is>
          <t>1</t>
        </is>
      </c>
      <c r="J2014" t="inlineStr"/>
      <c r="K2014" t="inlineStr"/>
      <c r="L2014" t="inlineStr"/>
      <c r="M2014" t="inlineStr"/>
      <c r="N2014" t="inlineStr"/>
      <c r="O2014">
        <f>(1-Summary!$B$11)*T2014+Summary!$B$11*V2014</f>
        <v/>
      </c>
      <c r="P2014">
        <f>IF(B2044=0,0,O2014/B2044)</f>
        <v/>
      </c>
      <c r="Q2014" t="n">
        <v>0</v>
      </c>
      <c r="R2014" t="n">
        <v>0</v>
      </c>
      <c r="S2014">
        <f>IFERROR(O2014/N2014,0)</f>
        <v/>
      </c>
      <c r="T2014" t="n">
        <v>0</v>
      </c>
      <c r="V2014" t="n">
        <v>0</v>
      </c>
    </row>
    <row r="2015">
      <c r="A2015">
        <f>Skills!A6</f>
        <v/>
      </c>
      <c r="B2015">
        <f>Skills!B6</f>
        <v/>
      </c>
      <c r="C2015">
        <f>Inputs!$B$3&gt;=63</f>
        <v/>
      </c>
      <c r="D2015">
        <f>IF(Skills!C6=1,60+Inputs!$B$25+Inputs!$B$29,IF(Skills!C6=2,90+Inputs!$B$26+Inputs!$B$29,IF(Skills!C6=3,120+Inputs!$B$27+Inputs!$B$29,MAX(0,(Inputs!$B$3-100)*3)+Inputs!$B$28+Inputs!$B$29)))</f>
        <v/>
      </c>
      <c r="E2015">
        <f>INDEX(FactorTable!$B$2:$Y$301, MATCH(ROUND(MIN(300,MAX(1,D2015)),0), FactorTable!$A$2:$A$301,0), Skills!M6+1)</f>
        <v/>
      </c>
      <c r="F2015">
        <f>IF(Skills!N6=TRUE,(Skills!L6/10)*(E2015/1000),Skills!L6/10)+Skills!O6</f>
        <v/>
      </c>
      <c r="G2015">
        <f>Skills!G6*IF(Skills!H6&gt;0,Skills!I6/Skills!H6,1)</f>
        <v/>
      </c>
      <c r="H2015">
        <f>1-(1-Skills!J6/100)^Skills!K6</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20)),(Inputs!$B$23+0+(IF(ArtifactsInput!$M$15,CHOOSE(ArtifactsInput!$N$15+1,25,30,35,40,45,50)/100*(Inputs!$B$11-Inputs!$B$11),0))))/100+(Inputs!$B$23+0+(IF(ArtifactsInput!$M$15,CHOOSE(ArtifactsInput!$N$15+1,25,30,35,40,45,50)/100*(Inputs!$B$11-Inputs!$B$11),0)))/100)/2</f>
        <v/>
      </c>
      <c r="M2015">
        <f>L2015*(1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IF(B2044=0,0,O2015/B2044)</f>
        <v/>
      </c>
      <c r="Q2015">
        <f>IFERROR(1/(IF(Inputs!$B$38="pvp",15,MAX(0.1,Skills!D6-IF(Skills!E6=TRUE,Inputs!$B$32,0)))*(1-IF(AND(ArtifactsInput!$M$27,Inputs!$B$4="Chapter Hunt"),CHOOSE(ArtifactsInput!$N$27+1,20,24,28,32,36,40),0)/100)),0)</f>
        <v/>
      </c>
      <c r="R2015">
        <f>IF(AND(Inputs!$B$38&lt;&gt;"pvp",Inputs!$B$43&gt;0),IF(MAX(0,Inputs!$B$43-B2041)&lt;=0,0,(INT(MAX(0,Inputs!$B$43-B2041)/(IF(Inputs!$B$38="pvp",15,MAX(0.1,Skills!D6-IF(Skills!E6=TRUE,Inputs!$B$32,0)))*(1-IF(AND(ArtifactsInput!$M$27,Inputs!$B$4="Chapter Hunt"),CHOOSE(ArtifactsInput!$N$27+1,20,24,28,32,36,40),0)/100)))+1)),0)</f>
        <v/>
      </c>
      <c r="S2015">
        <f>IFERROR(O2015/N2015,0)</f>
        <v/>
      </c>
      <c r="T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$21+Skills!Q6+(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Skills!A7</f>
        <v/>
      </c>
      <c r="B2016">
        <f>Skills!B7</f>
        <v/>
      </c>
      <c r="C2016">
        <f>Inputs!$B$3&gt;=100</f>
        <v/>
      </c>
      <c r="D2016">
        <f>IF(Skills!C7=1,60+Inputs!$B$25+Inputs!$B$29,IF(Skills!C7=2,90+Inputs!$B$26+Inputs!$B$29,IF(Skills!C7=3,120+Inputs!$B$27+Inputs!$B$29,MAX(0,(Inputs!$B$3-100)*3)+Inputs!$B$28+Inputs!$B$29)))</f>
        <v/>
      </c>
      <c r="E2016">
        <f>INDEX(FactorTable!$B$2:$Y$301, MATCH(ROUND(MIN(300,MAX(1,D2016)),0), FactorTable!$A$2:$A$301,0), Skills!M7+1)</f>
        <v/>
      </c>
      <c r="F2016">
        <f>IF(Skills!N7=TRUE,(Skills!L7/10)*(E2016/1000),Skills!L7/10)+Skills!O7</f>
        <v/>
      </c>
      <c r="G2016">
        <f>Skills!G7*IF(Skills!H7&gt;0,Skills!I7/Skills!H7,1)</f>
        <v/>
      </c>
      <c r="H2016">
        <f>1-(1-Skills!J7/100)^Skills!K7</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20)),(Inputs!$B$23+0+(IF(ArtifactsInput!$M$15,CHOOSE(ArtifactsInput!$N$15+1,25,30,35,40,45,50)/100*(Inputs!$B$11-Inputs!$B$11),0))))/100+(Inputs!$B$23+0+(IF(ArtifactsInput!$M$15,CHOOSE(ArtifactsInput!$N$15+1,25,30,35,40,45,50)/100*(Inputs!$B$11-Inputs!$B$11),0)))/100)/2</f>
        <v/>
      </c>
      <c r="M2016">
        <f>L2016*(1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IF(B2044=0,0,O2016/B2044)</f>
        <v/>
      </c>
      <c r="Q2016">
        <f>IFERROR(1/(IF(Inputs!$B$38="pvp",15,MAX(0.1,Skills!D7-IF(Skills!E7=TRUE,Inputs!$B$32,0)))*(1-IF(AND(ArtifactsInput!$M$27,Inputs!$B$4="Chapter Hunt"),CHOOSE(ArtifactsInput!$N$27+1,20,24,28,32,36,40),0)/100)),0)</f>
        <v/>
      </c>
      <c r="R2016">
        <f>IF(AND(Inputs!$B$38&lt;&gt;"pvp",Inputs!$B$43&gt;0),IF(MAX(0,Inputs!$B$43-B2041)&lt;=0,0,(INT(MAX(0,Inputs!$B$43-B2041)/(IF(Inputs!$B$38="pvp",15,MAX(0.1,Skills!D7-IF(Skills!E7=TRUE,Inputs!$B$32,0)))*(1-IF(AND(ArtifactsInput!$M$27,Inputs!$B$4="Chapter Hunt"),CHOOSE(ArtifactsInput!$N$27+1,20,24,28,32,36,40),0)/100)))+1)),0)</f>
        <v/>
      </c>
      <c r="S2016">
        <f>IFERROR(O2016/N2016,0)</f>
        <v/>
      </c>
      <c r="T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$21+Skills!Q7+(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Skills!A8</f>
        <v/>
      </c>
      <c r="B2017">
        <f>Skills!B8</f>
        <v/>
      </c>
      <c r="C2017">
        <f>Inputs!$B$3&gt;=110</f>
        <v/>
      </c>
      <c r="D2017">
        <f>IF(Skills!C8=1,60+Inputs!$B$25+Inputs!$B$29,IF(Skills!C8=2,90+Inputs!$B$26+Inputs!$B$29,IF(Skills!C8=3,120+Inputs!$B$27+Inputs!$B$29,MAX(0,(Inputs!$B$3-100)*3)+Inputs!$B$28+Inputs!$B$29)))</f>
        <v/>
      </c>
      <c r="E2017">
        <f>INDEX(FactorTable!$B$2:$Y$301, MATCH(ROUND(MIN(300,MAX(1,D2017)),0), FactorTable!$A$2:$A$301,0), Skills!M8+1)</f>
        <v/>
      </c>
      <c r="F2017">
        <f>IF(Skills!N8=TRUE,(Skills!L8/10)*(E2017/1000),Skills!L8/10)+Skills!O8</f>
        <v/>
      </c>
      <c r="G2017">
        <f>Skills!G8*IF(Skills!H8&gt;0,Skills!I8/Skills!H8,1)</f>
        <v/>
      </c>
      <c r="H2017">
        <f>1-(1-Skills!J8/100)^Skills!K8</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20)),(Inputs!$B$23+0+(IF(ArtifactsInput!$M$15,CHOOSE(ArtifactsInput!$N$15+1,25,30,35,40,45,50)/100*(Inputs!$B$11-Inputs!$B$11),0))))/100+(Inputs!$B$23+0+(IF(ArtifactsInput!$M$15,CHOOSE(ArtifactsInput!$N$15+1,25,30,35,40,45,50)/100*(Inputs!$B$11-Inputs!$B$11),0)))/100)/2</f>
        <v/>
      </c>
      <c r="M2017">
        <f>L2017*(1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IF(B2044=0,0,O2017/B2044)</f>
        <v/>
      </c>
      <c r="Q2017">
        <f>IFERROR(1/(IF(Inputs!$B$38="pvp",15,MAX(0.1,Skills!D8-IF(Skills!E8=TRUE,Inputs!$B$32,0)))*(1-IF(AND(ArtifactsInput!$M$27,Inputs!$B$4="Chapter Hunt"),CHOOSE(ArtifactsInput!$N$27+1,20,24,28,32,36,40),0)/100)),0)</f>
        <v/>
      </c>
      <c r="R2017">
        <f>IF(AND(Inputs!$B$38&lt;&gt;"pvp",Inputs!$B$43&gt;0),IF(MAX(0,Inputs!$B$43-B2041)&lt;=0,0,(INT(MAX(0,Inputs!$B$43-B2041)/(IF(Inputs!$B$38="pvp",15,MAX(0.1,Skills!D8-IF(Skills!E8=TRUE,Inputs!$B$32,0)))*(1-IF(AND(ArtifactsInput!$M$27,Inputs!$B$4="Chapter Hunt"),CHOOSE(ArtifactsInput!$N$27+1,20,24,28,32,36,40),0)/100)))+1)),0)</f>
        <v/>
      </c>
      <c r="S2017">
        <f>IFERROR(O2017/N2017,0)</f>
        <v/>
      </c>
      <c r="T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$21+Skills!Q8+(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Skills!A9</f>
        <v/>
      </c>
      <c r="B2018">
        <f>Skills!B9</f>
        <v/>
      </c>
      <c r="C2018">
        <f>Inputs!$B$3&gt;=110</f>
        <v/>
      </c>
      <c r="D2018">
        <f>IF(Skills!C9=1,60+Inputs!$B$25+Inputs!$B$29,IF(Skills!C9=2,90+Inputs!$B$26+Inputs!$B$29,IF(Skills!C9=3,120+Inputs!$B$27+Inputs!$B$29,MAX(0,(Inputs!$B$3-100)*3)+Inputs!$B$28+Inputs!$B$29)))</f>
        <v/>
      </c>
      <c r="E2018">
        <f>INDEX(FactorTable!$B$2:$Y$301, MATCH(ROUND(MIN(300,MAX(1,D2018)),0), FactorTable!$A$2:$A$301,0), Skills!M9+1)</f>
        <v/>
      </c>
      <c r="F2018">
        <f>IF(Skills!N9=TRUE,(Skills!L9/10)*(E2018/1000),Skills!L9/10)+Skills!O9</f>
        <v/>
      </c>
      <c r="G2018">
        <f>Skills!G9*IF(Skills!H9&gt;0,Skills!I9/Skills!H9,1)</f>
        <v/>
      </c>
      <c r="H2018">
        <f>1-(1-Skills!J9/100)^Skills!K9</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20)),(Inputs!$B$23+0+(IF(ArtifactsInput!$M$15,CHOOSE(ArtifactsInput!$N$15+1,25,30,35,40,45,50)/100*(Inputs!$B$11-Inputs!$B$11),0))))/100+(Inputs!$B$23+0+(IF(ArtifactsInput!$M$15,CHOOSE(ArtifactsInput!$N$15+1,25,30,35,40,45,50)/100*(Inputs!$B$11-Inputs!$B$11),0)))/100)/2</f>
        <v/>
      </c>
      <c r="M2018">
        <f>L2018*(1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IF(B2044=0,0,O2018/B2044)</f>
        <v/>
      </c>
      <c r="Q2018">
        <f>IFERROR(1/(IF(Inputs!$B$38="pvp",15,MAX(0.1,Skills!D9-IF(Skills!E9=TRUE,Inputs!$B$32,0)))*(1-IF(AND(ArtifactsInput!$M$27,Inputs!$B$4="Chapter Hunt"),CHOOSE(ArtifactsInput!$N$27+1,20,24,28,32,36,40),0)/100)),0)</f>
        <v/>
      </c>
      <c r="R2018">
        <f>IF(AND(Inputs!$B$38&lt;&gt;"pvp",Inputs!$B$43&gt;0),IF(MAX(0,Inputs!$B$43-B2041)&lt;=0,0,(INT(MAX(0,Inputs!$B$43-B2041)/(IF(Inputs!$B$38="pvp",15,MAX(0.1,Skills!D9-IF(Skills!E9=TRUE,Inputs!$B$32,0)))*(1-IF(AND(ArtifactsInput!$M$27,Inputs!$B$4="Chapter Hunt"),CHOOSE(ArtifactsInput!$N$27+1,20,24,28,32,36,40),0)/100)))+1)),0)</f>
        <v/>
      </c>
      <c r="S2018">
        <f>IFERROR(O2018/N2018,0)</f>
        <v/>
      </c>
      <c r="T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$21+Skills!Q9+(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Skills!A10</f>
        <v/>
      </c>
      <c r="B2019">
        <f>Skills!B10</f>
        <v/>
      </c>
      <c r="C2019">
        <f>Inputs!$B$3&gt;=103</f>
        <v/>
      </c>
      <c r="D2019">
        <f>IF(Skills!C10=1,60+Inputs!$B$25+Inputs!$B$29,IF(Skills!C10=2,90+Inputs!$B$26+Inputs!$B$29,IF(Skills!C10=3,120+Inputs!$B$27+Inputs!$B$29,MAX(0,(Inputs!$B$3-100)*3)+Inputs!$B$28+Inputs!$B$29)))</f>
        <v/>
      </c>
      <c r="E2019">
        <f>INDEX(FactorTable!$B$2:$Y$301, MATCH(ROUND(MIN(300,MAX(1,D2019)),0), FactorTable!$A$2:$A$301,0), Skills!M10+1)</f>
        <v/>
      </c>
      <c r="F2019">
        <f>IF(Skills!N10=TRUE,(Skills!L10/10)*(E2019/1000),Skills!L10/10)+Skills!O10</f>
        <v/>
      </c>
      <c r="G2019">
        <f>Skills!G10*IF(Skills!H10&gt;0,Skills!I10/Skills!H10,1)</f>
        <v/>
      </c>
      <c r="H2019">
        <f>1-(1-Skills!J10/100)^Skills!K10</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20)),(Inputs!$B$23+0+(IF(ArtifactsInput!$M$15,CHOOSE(ArtifactsInput!$N$15+1,25,30,35,40,45,50)/100*(Inputs!$B$11-Inputs!$B$11),0))))/100+(Inputs!$B$23+0+(IF(ArtifactsInput!$M$15,CHOOSE(ArtifactsInput!$N$15+1,25,30,35,40,45,50)/100*(Inputs!$B$11-Inputs!$B$11),0)))/100)/2</f>
        <v/>
      </c>
      <c r="M2019">
        <f>L2019*(1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IF(B2044=0,0,O2019/B2044)</f>
        <v/>
      </c>
      <c r="Q2019">
        <f>IFERROR(1/(IF(Inputs!$B$38="pvp",15,MAX(0.1,Skills!D10-IF(Skills!E10=TRUE,Inputs!$B$32,0)))*(1-IF(AND(ArtifactsInput!$M$27,Inputs!$B$4="Chapter Hunt"),CHOOSE(ArtifactsInput!$N$27+1,20,24,28,32,36,40),0)/100)),0)</f>
        <v/>
      </c>
      <c r="R2019">
        <f>IF(AND(Inputs!$B$38&lt;&gt;"pvp",Inputs!$B$43&gt;0),IF(MAX(0,Inputs!$B$43-B2041)&lt;=0,0,(INT(MAX(0,Inputs!$B$43-B2041)/(IF(Inputs!$B$38="pvp",15,MAX(0.1,Skills!D10-IF(Skills!E10=TRUE,Inputs!$B$32,0)))*(1-IF(AND(ArtifactsInput!$M$27,Inputs!$B$4="Chapter Hunt"),CHOOSE(ArtifactsInput!$N$27+1,20,24,28,32,36,40),0)/100)))+1)),0)</f>
        <v/>
      </c>
      <c r="S2019">
        <f>IFERROR(O2019/N2019,0)</f>
        <v/>
      </c>
      <c r="T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$21+Skills!Q10+(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Skills!A11</f>
        <v/>
      </c>
      <c r="B2020">
        <f>Skills!B11</f>
        <v/>
      </c>
      <c r="C2020">
        <f>Inputs!$B$3&gt;=113</f>
        <v/>
      </c>
      <c r="D2020">
        <f>IF(Skills!C11=1,60+Inputs!$B$25+Inputs!$B$29,IF(Skills!C11=2,90+Inputs!$B$26+Inputs!$B$29,IF(Skills!C11=3,120+Inputs!$B$27+Inputs!$B$29,MAX(0,(Inputs!$B$3-100)*3)+Inputs!$B$28+Inputs!$B$29)))</f>
        <v/>
      </c>
      <c r="E2020">
        <f>INDEX(FactorTable!$B$2:$Y$301, MATCH(ROUND(MIN(300,MAX(1,D2020)),0), FactorTable!$A$2:$A$301,0), Skills!M11+1)</f>
        <v/>
      </c>
      <c r="F2020">
        <f>IF(Skills!N11=TRUE,(Skills!L11/10)*(E2020/1000),Skills!L11/10)+Skills!O11</f>
        <v/>
      </c>
      <c r="G2020">
        <f>Skills!G11*IF(Skills!H11&gt;0,Skills!I11/Skills!H11,1)</f>
        <v/>
      </c>
      <c r="H2020">
        <f>1-(1-Skills!J11/100)^Skills!K11</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20)),(Inputs!$B$23+0+(IF(ArtifactsInput!$M$15,CHOOSE(ArtifactsInput!$N$15+1,25,30,35,40,45,50)/100*(Inputs!$B$11-Inputs!$B$11),0))))/100+(Inputs!$B$23+0+(IF(ArtifactsInput!$M$15,CHOOSE(ArtifactsInput!$N$15+1,25,30,35,40,45,50)/100*(Inputs!$B$11-Inputs!$B$11),0)))/100)/2</f>
        <v/>
      </c>
      <c r="M2020">
        <f>L2020*(1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IF(B2044=0,0,O2020/B2044)</f>
        <v/>
      </c>
      <c r="Q2020">
        <f>IFERROR(1/(IF(Inputs!$B$38="pvp",15,MAX(0.1,Skills!D11-IF(Skills!E11=TRUE,Inputs!$B$32,0)))*(1-IF(AND(ArtifactsInput!$M$27,Inputs!$B$4="Chapter Hunt"),CHOOSE(ArtifactsInput!$N$27+1,20,24,28,32,36,40),0)/100)),0)</f>
        <v/>
      </c>
      <c r="R2020">
        <f>IF(AND(Inputs!$B$38&lt;&gt;"pvp",Inputs!$B$43&gt;0),IF(MAX(0,Inputs!$B$43-B2041)&lt;=0,0,(INT(MAX(0,Inputs!$B$43-B2041)/(IF(Inputs!$B$38="pvp",15,MAX(0.1,Skills!D11-IF(Skills!E11=TRUE,Inputs!$B$32,0)))*(1-IF(AND(ArtifactsInput!$M$27,Inputs!$B$4="Chapter Hunt"),CHOOSE(ArtifactsInput!$N$27+1,20,24,28,32,36,40),0)/100)))+1)),0)</f>
        <v/>
      </c>
      <c r="S2020">
        <f>IFERROR(O2020/N2020,0)</f>
        <v/>
      </c>
      <c r="T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$21+Skills!Q11+(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Skills!A12</f>
        <v/>
      </c>
      <c r="B2021">
        <f>Skills!B12</f>
        <v/>
      </c>
      <c r="C2021">
        <f>Inputs!$B$3&gt;=100</f>
        <v/>
      </c>
      <c r="D2021">
        <f>IF(Skills!C12=1,60+Inputs!$B$25+Inputs!$B$29,IF(Skills!C12=2,90+Inputs!$B$26+Inputs!$B$29,IF(Skills!C12=3,120+Inputs!$B$27+Inputs!$B$29,MAX(0,(Inputs!$B$3-100)*3)+Inputs!$B$28+Inputs!$B$29)))</f>
        <v/>
      </c>
      <c r="E2021">
        <f>INDEX(FactorTable!$B$2:$Y$301, MATCH(ROUND(MIN(300,MAX(1,D2021)),0), FactorTable!$A$2:$A$301,0), Skills!M12+1)</f>
        <v/>
      </c>
      <c r="F2021">
        <f>IF(Skills!N12=TRUE,(Skills!L12/10)*(E2021/1000),Skills!L12/10)+Skills!O12</f>
        <v/>
      </c>
      <c r="G2021" t="inlineStr"/>
      <c r="H2021" t="inlineStr"/>
      <c r="I2021" t="inlineStr">
        <is>
          <t>1</t>
        </is>
      </c>
      <c r="J2021" t="inlineStr"/>
      <c r="K2021" t="inlineStr"/>
      <c r="L2021" t="inlineStr"/>
      <c r="M2021" t="inlineStr"/>
      <c r="N2021" t="inlineStr"/>
      <c r="O2021" t="inlineStr"/>
      <c r="P2021" t="inlineStr"/>
      <c r="Q2021" t="inlineStr"/>
      <c r="R2021" t="inlineStr"/>
      <c r="S2021" t="inlineStr"/>
      <c r="T2021" t="inlineStr"/>
      <c r="V2021" t="inlineStr"/>
    </row>
    <row r="2022">
      <c r="A2022">
        <f>Skills!A13</f>
        <v/>
      </c>
      <c r="B2022">
        <f>Skills!B13</f>
        <v/>
      </c>
      <c r="C2022">
        <f>Inputs!$B$3&gt;=66</f>
        <v/>
      </c>
      <c r="D2022">
        <f>IF(Skills!C13=1,60+Inputs!$B$25+Inputs!$B$29,IF(Skills!C13=2,90+Inputs!$B$26+Inputs!$B$29,IF(Skills!C13=3,120+Inputs!$B$27+Inputs!$B$29,MAX(0,(Inputs!$B$3-100)*3)+Inputs!$B$28+Inputs!$B$29)))</f>
        <v/>
      </c>
      <c r="E2022">
        <f>INDEX(FactorTable!$B$2:$Y$301, MATCH(ROUND(MIN(300,MAX(1,D2022)),0), FactorTable!$A$2:$A$301,0), Skills!M13+1)</f>
        <v/>
      </c>
      <c r="F2022">
        <f>IF(Skills!N13=TRUE,(Skills!L13/10)*(E2022/1000),Skills!L13/10)+Skills!O13</f>
        <v/>
      </c>
      <c r="G2022">
        <f>Skills!G13*IF(Skills!H13&gt;0,Skills!I13/Skills!H13,1)</f>
        <v/>
      </c>
      <c r="H2022">
        <f>1-(1-Skills!J13/100)^Skills!K13</f>
        <v/>
      </c>
      <c r="I2022" t="inlineStr">
        <is>
          <t>1</t>
        </is>
      </c>
      <c r="J2022" t="inlineStr"/>
      <c r="K2022" t="inlineStr"/>
      <c r="L2022" t="inlineStr"/>
      <c r="M2022" t="inlineStr"/>
      <c r="N2022" t="inlineStr"/>
      <c r="O2022">
        <f>(1-Summary!$B$11)*T2022+Summary!$B$11*V2022</f>
        <v/>
      </c>
      <c r="P2022">
        <f>IF(B2044=0,0,O2022/B2044)</f>
        <v/>
      </c>
      <c r="Q2022" t="n">
        <v>0</v>
      </c>
      <c r="R2022" t="n">
        <v>0</v>
      </c>
      <c r="S2022">
        <f>IFERROR(O2022/N2022,0)</f>
        <v/>
      </c>
      <c r="T2022" t="n">
        <v>0</v>
      </c>
      <c r="V2022" t="n">
        <v>0</v>
      </c>
    </row>
    <row r="2023">
      <c r="A2023">
        <f>Skills!A14</f>
        <v/>
      </c>
      <c r="B2023">
        <f>Skills!B14</f>
        <v/>
      </c>
      <c r="C2023">
        <f>Inputs!$B$3&gt;=107</f>
        <v/>
      </c>
      <c r="D2023">
        <f>IF(Skills!C14=1,60+Inputs!$B$25+Inputs!$B$29,IF(Skills!C14=2,90+Inputs!$B$26+Inputs!$B$29,IF(Skills!C14=3,120+Inputs!$B$27+Inputs!$B$29,MAX(0,(Inputs!$B$3-100)*3)+Inputs!$B$28+Inputs!$B$29)))</f>
        <v/>
      </c>
      <c r="E2023">
        <f>INDEX(FactorTable!$B$2:$Y$301, MATCH(ROUND(MIN(300,MAX(1,D2023)),0), FactorTable!$A$2:$A$301,0), Skills!M14+1)</f>
        <v/>
      </c>
      <c r="F2023">
        <f>IF(Skills!N14=TRUE,(Skills!L14/10)*(E2023/1000),Skills!L14/10)+Skills!O14</f>
        <v/>
      </c>
      <c r="G2023">
        <f>Skills!G14*IF(Skills!H14&gt;0,Skills!I14/Skills!H14,1)</f>
        <v/>
      </c>
      <c r="H2023">
        <f>1-(1-Skills!J14/100)^Skills!K14</f>
        <v/>
      </c>
      <c r="I2023" t="inlineStr">
        <is>
          <t>1</t>
        </is>
      </c>
      <c r="J2023" t="inlineStr"/>
      <c r="K2023" t="inlineStr"/>
      <c r="L2023" t="inlineStr"/>
      <c r="M2023" t="inlineStr"/>
      <c r="N2023" t="inlineStr"/>
      <c r="O2023">
        <f>(1-Summary!$B$11)*T2023+Summary!$B$11*V2023</f>
        <v/>
      </c>
      <c r="P2023">
        <f>IF(B2044=0,0,O2023/B2044)</f>
        <v/>
      </c>
      <c r="Q2023" t="n">
        <v>0</v>
      </c>
      <c r="R2023" t="n">
        <v>0</v>
      </c>
      <c r="S2023">
        <f>IFERROR(O2023/N2023,0)</f>
        <v/>
      </c>
      <c r="T2023" t="n">
        <v>0</v>
      </c>
      <c r="V2023" t="n">
        <v>0</v>
      </c>
    </row>
    <row r="2024">
      <c r="A2024">
        <f>Skills!A15</f>
        <v/>
      </c>
      <c r="B2024">
        <f>Skills!B15</f>
        <v/>
      </c>
      <c r="C2024">
        <f>Inputs!$B$3&gt;=115</f>
        <v/>
      </c>
      <c r="D2024">
        <f>IF(Skills!C15=1,60+Inputs!$B$25+Inputs!$B$29,IF(Skills!C15=2,90+Inputs!$B$26+Inputs!$B$29,IF(Skills!C15=3,120+Inputs!$B$27+Inputs!$B$29,MAX(0,(Inputs!$B$3-100)*3)+Inputs!$B$28+Inputs!$B$29)))</f>
        <v/>
      </c>
      <c r="E2024">
        <f>INDEX(FactorTable!$B$2:$Y$301, MATCH(ROUND(MIN(300,MAX(1,D2024)),0), FactorTable!$A$2:$A$301,0), Skills!M15+1)</f>
        <v/>
      </c>
      <c r="F2024">
        <f>IF(Skills!N15=TRUE,(Skills!L15/10)*(E2024/1000),Skills!L15/10)+Skills!O15</f>
        <v/>
      </c>
      <c r="G2024">
        <f>Skills!G15*IF(Skills!H15&gt;0,Skills!I15/Skills!H15,1)</f>
        <v/>
      </c>
      <c r="H2024">
        <f>1-(1-Skills!J15/100)^Skills!K15</f>
        <v/>
      </c>
      <c r="I2024" t="inlineStr">
        <is>
          <t>1</t>
        </is>
      </c>
      <c r="J2024" t="inlineStr"/>
      <c r="K2024" t="inlineStr"/>
      <c r="L2024" t="inlineStr"/>
      <c r="M2024" t="inlineStr"/>
      <c r="N2024" t="inlineStr"/>
      <c r="O2024">
        <f>(1-Summary!$B$11)*T2024+Summary!$B$11*V2024</f>
        <v/>
      </c>
      <c r="P2024">
        <f>IF(B2044=0,0,O2024/B2044)</f>
        <v/>
      </c>
      <c r="Q2024" t="n">
        <v>0</v>
      </c>
      <c r="R2024" t="n">
        <v>0</v>
      </c>
      <c r="S2024">
        <f>IFERROR(O2024/N2024,0)</f>
        <v/>
      </c>
      <c r="T2024" t="n">
        <v>0</v>
      </c>
      <c r="V2024" t="n">
        <v>0</v>
      </c>
    </row>
    <row r="2025">
      <c r="A2025">
        <f>Skills!A16</f>
        <v/>
      </c>
      <c r="B2025">
        <f>Skills!B16</f>
        <v/>
      </c>
      <c r="C2025">
        <f>Inputs!$B$3&gt;=15</f>
        <v/>
      </c>
      <c r="D2025">
        <f>IF(Skills!C16=1,60+Inputs!$B$25+Inputs!$B$29,IF(Skills!C16=2,90+Inputs!$B$26+Inputs!$B$29,IF(Skills!C16=3,120+Inputs!$B$27+Inputs!$B$29,MAX(0,(Inputs!$B$3-100)*3)+Inputs!$B$28+Inputs!$B$29)))</f>
        <v/>
      </c>
      <c r="E2025">
        <f>INDEX(FactorTable!$B$2:$Y$301, MATCH(ROUND(MIN(300,MAX(1,D2025)),0), FactorTable!$A$2:$A$301,0), Skills!M16+1)</f>
        <v/>
      </c>
      <c r="F2025">
        <f>IF(Skills!N16=TRUE,(Skills!L16/10)*(E2025/1000),Skills!L16/10)+Skills!O16</f>
        <v/>
      </c>
      <c r="G2025">
        <f>Skills!G16*IF(Skills!H16&gt;0,Skills!I16/Skills!H16,1)</f>
        <v/>
      </c>
      <c r="H2025">
        <f>1-(1-Skills!J16/100)^Skills!K16</f>
        <v/>
      </c>
      <c r="I2025" t="inlineStr">
        <is>
          <t>1</t>
        </is>
      </c>
      <c r="J2025" t="inlineStr"/>
      <c r="K2025" t="inlineStr"/>
      <c r="L2025" t="inlineStr"/>
      <c r="M2025" t="inlineStr"/>
      <c r="N2025" t="inlineStr"/>
      <c r="O2025">
        <f>(1-Summary!$B$11)*T2025+Summary!$B$11*V2025</f>
        <v/>
      </c>
      <c r="P2025">
        <f>IF(B2044=0,0,O2025/B2044)</f>
        <v/>
      </c>
      <c r="Q2025" t="n">
        <v>0</v>
      </c>
      <c r="R2025" t="n">
        <v>0</v>
      </c>
      <c r="S2025">
        <f>IFERROR(O2025/N2025,0)</f>
        <v/>
      </c>
      <c r="T2025" t="n">
        <v>0</v>
      </c>
      <c r="V2025" t="n">
        <v>0</v>
      </c>
    </row>
    <row r="2026">
      <c r="A2026">
        <f>Skills!A17</f>
        <v/>
      </c>
      <c r="B2026">
        <f>Skills!B17</f>
        <v/>
      </c>
      <c r="C2026">
        <f>Inputs!$B$3&gt;=10</f>
        <v/>
      </c>
      <c r="D2026">
        <f>IF(Skills!C17=1,60+Inputs!$B$25+Inputs!$B$29,IF(Skills!C17=2,90+Inputs!$B$26+Inputs!$B$29,IF(Skills!C17=3,120+Inputs!$B$27+Inputs!$B$29,MAX(0,(Inputs!$B$3-100)*3)+Inputs!$B$28+Inputs!$B$29)))</f>
        <v/>
      </c>
      <c r="E2026">
        <f>INDEX(FactorTable!$B$2:$Y$301, MATCH(ROUND(MIN(300,MAX(1,D2026)),0), FactorTable!$A$2:$A$301,0), Skills!M17+1)</f>
        <v/>
      </c>
      <c r="F2026">
        <f>IF(Skills!N17=TRUE,(Skills!L17/10)*(E2026/1000),Skills!L17/10)+Skills!O17</f>
        <v/>
      </c>
      <c r="G2026">
        <f>Skills!G17*IF(Skills!H17&gt;0,Skills!I17/Skills!H17,1)</f>
        <v/>
      </c>
      <c r="H2026">
        <f>1-(1-Skills!J17/100)^Skills!K17</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Skills!A18</f>
        <v/>
      </c>
      <c r="B2027">
        <f>Skills!B18</f>
        <v/>
      </c>
      <c r="C2027">
        <f>Inputs!$B$3&gt;=33</f>
        <v/>
      </c>
      <c r="D2027">
        <f>IF(Skills!C18=1,60+Inputs!$B$25+Inputs!$B$29,IF(Skills!C18=2,90+Inputs!$B$26+Inputs!$B$29,IF(Skills!C18=3,120+Inputs!$B$27+Inputs!$B$29,MAX(0,(Inputs!$B$3-100)*3)+Inputs!$B$28+Inputs!$B$29)))</f>
        <v/>
      </c>
      <c r="E2027">
        <f>INDEX(FactorTable!$B$2:$Y$301, MATCH(ROUND(MIN(300,MAX(1,D2027)),0), FactorTable!$A$2:$A$301,0), Skills!M18+1)</f>
        <v/>
      </c>
      <c r="F2027">
        <f>IF(Skills!N18=TRUE,(Skills!L18/10)*(E2027/1000),Skills!L18/10)+Skills!O18</f>
        <v/>
      </c>
      <c r="G2027">
        <f>Skills!G18*IF(Skills!H18&gt;0,Skills!I18/Skills!H18,1)</f>
        <v/>
      </c>
      <c r="H2027">
        <f>1-(1-Skills!J18/100)^Skills!K18</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Skills!A19</f>
        <v/>
      </c>
      <c r="B2028">
        <f>Skills!B19</f>
        <v/>
      </c>
      <c r="C2028">
        <f>Inputs!$B$3&gt;=40</f>
        <v/>
      </c>
      <c r="D2028">
        <f>IF(Skills!C19=1,60+Inputs!$B$25+Inputs!$B$29,IF(Skills!C19=2,90+Inputs!$B$26+Inputs!$B$29,IF(Skills!C19=3,120+Inputs!$B$27+Inputs!$B$29,MAX(0,(Inputs!$B$3-100)*3)+Inputs!$B$28+Inputs!$B$29)))</f>
        <v/>
      </c>
      <c r="E2028">
        <f>INDEX(FactorTable!$B$2:$Y$301, MATCH(ROUND(MIN(300,MAX(1,D2028)),0), FactorTable!$A$2:$A$301,0), Skills!M19+1)</f>
        <v/>
      </c>
      <c r="F2028">
        <f>IF(Skills!N19=TRUE,(Skills!L19/10)*(E2028/1000),Skills!L19/10)+Skills!O19</f>
        <v/>
      </c>
      <c r="G2028">
        <f>Skills!G19*IF(Skills!H19&gt;0,Skills!I19/Skills!H19,1)</f>
        <v/>
      </c>
      <c r="H2028">
        <f>1-(1-Skills!J19/100)^Skills!K19</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Skills!A20</f>
        <v/>
      </c>
      <c r="B2029">
        <f>Skills!B20</f>
        <v/>
      </c>
      <c r="C2029">
        <f>Inputs!$B$3&gt;=43</f>
        <v/>
      </c>
      <c r="D2029">
        <f>IF(Skills!C20=1,60+Inputs!$B$25+Inputs!$B$29,IF(Skills!C20=2,90+Inputs!$B$26+Inputs!$B$29,IF(Skills!C20=3,120+Inputs!$B$27+Inputs!$B$29,MAX(0,(Inputs!$B$3-100)*3)+Inputs!$B$28+Inputs!$B$29)))</f>
        <v/>
      </c>
      <c r="E2029">
        <f>INDEX(FactorTable!$B$2:$Y$301, MATCH(ROUND(MIN(300,MAX(1,D2029)),0), FactorTable!$A$2:$A$301,0), Skills!M20+1)</f>
        <v/>
      </c>
      <c r="F2029">
        <f>IF(Skills!N20=TRUE,(Skills!L20/10)*(E2029/1000),Skills!L20/10)+Skills!O20</f>
        <v/>
      </c>
      <c r="G2029">
        <f>Skills!G20*IF(Skills!H20&gt;0,Skills!I20/Skills!H20,1)</f>
        <v/>
      </c>
      <c r="H2029">
        <f>1-(1-Skills!J20/100)^Skills!K20</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Skills!A21</f>
        <v/>
      </c>
      <c r="B2030">
        <f>Skills!B21</f>
        <v/>
      </c>
      <c r="C2030">
        <f>Inputs!$B$3&gt;=38</f>
        <v/>
      </c>
      <c r="D2030">
        <f>IF(Skills!C21=1,60+Inputs!$B$25+Inputs!$B$29,IF(Skills!C21=2,90+Inputs!$B$26+Inputs!$B$29,IF(Skills!C21=3,120+Inputs!$B$27+Inputs!$B$29,MAX(0,(Inputs!$B$3-100)*3)+Inputs!$B$28+Inputs!$B$29)))</f>
        <v/>
      </c>
      <c r="E2030">
        <f>INDEX(FactorTable!$B$2:$Y$301, MATCH(ROUND(MIN(300,MAX(1,D2030)),0), FactorTable!$A$2:$A$301,0), Skills!M21+1)</f>
        <v/>
      </c>
      <c r="F2030">
        <f>IF(Skills!N21=TRUE,(Skills!L21/10)*(E2030/1000),Skills!L21/10)+Skills!O21</f>
        <v/>
      </c>
      <c r="G2030">
        <f>Skills!G21*IF(Skills!H21&gt;0,Skills!I21/Skills!H21,1)</f>
        <v/>
      </c>
      <c r="H2030">
        <f>1-(1-Skills!J21/100)^Skills!K21</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Skills!A22</f>
        <v/>
      </c>
      <c r="B2031">
        <f>Skills!B22</f>
        <v/>
      </c>
      <c r="C2031">
        <f>Inputs!$B$3&gt;=75</f>
        <v/>
      </c>
      <c r="D2031">
        <f>IF(Skills!C22=1,60+Inputs!$B$25+Inputs!$B$29,IF(Skills!C22=2,90+Inputs!$B$26+Inputs!$B$29,IF(Skills!C22=3,120+Inputs!$B$27+Inputs!$B$29,MAX(0,(Inputs!$B$3-100)*3)+Inputs!$B$28+Inputs!$B$29)))</f>
        <v/>
      </c>
      <c r="E2031">
        <f>INDEX(FactorTable!$B$2:$Y$301, MATCH(ROUND(MIN(300,MAX(1,D2031)),0), FactorTable!$A$2:$A$301,0), Skills!M22+1)</f>
        <v/>
      </c>
      <c r="F2031">
        <f>IF(Skills!N22=TRUE,(Skills!L22/10)*(E2031/1000),Skills!L22/10)+Skills!O22</f>
        <v/>
      </c>
      <c r="G2031">
        <f>Skills!G22*IF(Skills!H22&gt;0,Skills!I22/Skills!H22,1)</f>
        <v/>
      </c>
      <c r="H2031">
        <f>1-(1-Skills!J22/100)^Skills!K22</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4">
      <c r="A2034" t="inlineStr">
        <is>
          <t>Global Crit Rate Bonus %</t>
        </is>
      </c>
      <c r="B2034" t="n">
        <v>0</v>
      </c>
    </row>
    <row r="2035">
      <c r="A2035" t="inlineStr">
        <is>
          <t>Attack Speed Buff Bonus % (unused)</t>
        </is>
      </c>
      <c r="B2035" t="n">
        <v>0</v>
      </c>
    </row>
    <row r="2036">
      <c r="A2036" t="inlineStr">
        <is>
          <t>Actions Per Second</t>
        </is>
      </c>
      <c r="B2036">
        <f>1+MIN(150,150*(1-(1-(Inputs!$B$11+((C2026=TRUE)*(F2026-Calc!F17))+((C2027=TRUE)*(F2027-Calc!F18)))/150)*(1-B2035/150)))/100</f>
        <v/>
      </c>
    </row>
    <row r="2037">
      <c r="A2037" t="inlineStr">
        <is>
          <t>Skill + Buff Cast Rate</t>
        </is>
      </c>
      <c r="B2037">
        <f>IF(AND(Inputs!$B$38&lt;&gt;"pvp",Inputs!$B$43&gt;0),SUMPRODUCT((Skills!E2:E22=TRUE)*(C2011:C2031=TRUE)*R2011:R2031*Skills!F2:F22)/Inputs!$B$43,SUMPRODUCT((Skills!E2:E22=TRUE)*(C2011:C2031=TRUE)*Q2011:Q2031*Skills!F2:F22))</f>
        <v/>
      </c>
    </row>
    <row r="2038">
      <c r="A2038" t="inlineStr">
        <is>
          <t>Hook Bomber Casts Per Second</t>
        </is>
      </c>
      <c r="B2038">
        <f>MAX(0,B2036-B2037)</f>
        <v/>
      </c>
    </row>
    <row r="2039">
      <c r="A2039" t="inlineStr">
        <is>
          <t>Global Critical Damage Bonus % (unused)</t>
        </is>
      </c>
      <c r="B2039" t="n">
        <v>0</v>
      </c>
    </row>
    <row r="2040">
      <c r="A2040" t="inlineStr">
        <is>
          <t>Global Final Damage Bonus % (Serpent Scale + Crossbones + Time Leap + Speed Infusion)</t>
        </is>
      </c>
      <c r="B2040">
        <f>((C2014=TRUE)*F2014*((10+IF(Inputs!$B$3&gt;=94,5,0))/((10+IF(Inputs!$B$3&gt;=94,5,0))+5/(B2038*(1+IF(Inputs!$B$3&gt;=104,1,0))))))+((C2023=TRUE)*F2023)+((C2024=TRUE)*F2024)+((Inputs!$B$3&gt;=110)*20*(B2036-1))</f>
        <v/>
      </c>
    </row>
    <row r="2041">
      <c r="A2041" t="inlineStr">
        <is>
          <t>Buff-Casting Startup Delay (s, fixed-duration only)</t>
        </is>
      </c>
      <c r="B2041">
        <f>IF(AND(Inputs!$B$38&lt;&gt;"pvp",Inputs!$B$43&gt;0),SUMPRODUCT((Skills!T2:T22&gt;0)*(Skills!E2:E22=TRUE)*(C2011:C2031=TRUE))/B2036,0)</f>
        <v/>
      </c>
    </row>
    <row r="2042">
      <c r="A2042" t="inlineStr">
        <is>
          <t>Boss-Only Total DPS (this block's swept value)</t>
        </is>
      </c>
      <c r="B2042">
        <f>SUM(T2011:T2031)</f>
        <v/>
      </c>
    </row>
    <row r="2043">
      <c r="A2043" t="inlineStr">
        <is>
          <t>Normal-Only Total DPS (this block's swept value)</t>
        </is>
      </c>
      <c r="B2043">
        <f>SUM(V2011:V2031)</f>
        <v/>
      </c>
    </row>
    <row r="2044">
      <c r="A2044" s="6" t="inlineStr">
        <is>
          <t>TOTAL DPS</t>
        </is>
      </c>
      <c r="B2044" s="6">
        <f>SUM(O2011:O2031)</f>
        <v/>
      </c>
    </row>
    <row r="2047">
      <c r="A2047" s="6" t="inlineStr">
        <is>
          <t>Stat: Sayram's Necklace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((Inputs!$B$6*(1+Inputs!$B$7/100))+(((Inputs!$B$12*(1+Inputs!$B$13/100))-(Inputs!$B$12*(1+Inputs!$B$13/100)))+0.25*(Inputs!$B$14-Inputs!$B$14))*(1+Inputs!$B$7/100))*(F2049/100)</f>
        <v/>
      </c>
      <c r="K2049">
        <f>J2049*(1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2067=TRUE)*(F2067-Calc!F20)),(Inputs!$B$23+0+(IF(ArtifactsInput!$M$15,CHOOSE(ArtifactsInput!$N$15+1,25,30,35,40,45,50)/100*(Inputs!$B$11-Inputs!$B$11),0))))/100+(Inputs!$B$23+0+(IF(ArtifactsInput!$M$15,CHOOSE(ArtifactsInput!$N$15+1,25,30,35,40,45,50)/100*(Inputs!$B$11-Inputs!$B$11),0)))/100)/2</f>
        <v/>
      </c>
      <c r="M2049">
        <f>L2049*(1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IF(B2082=0,0,O2049/B2082)</f>
        <v/>
      </c>
      <c r="Q2049" t="n">
        <v>0</v>
      </c>
      <c r="R2049" t="n">
        <v>0</v>
      </c>
      <c r="S2049">
        <f>IFERROR(O2049/N2049,0)</f>
        <v/>
      </c>
      <c r="T2049">
        <f>IF(C2049,(Skills!G2*N2049*B2076)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MAX(0,(Inputs!$B$3-100)*3)+Inputs!$B$28+Inputs!$B$29</f>
        <v/>
      </c>
      <c r="V2049">
        <f>IF(C2049,(Skills!G2*N2049*B2076)*IF(Inputs!$B$38="pvp",1,(1+(Inputs!$B$21+Skills!Q2+(IF(IF(ArtifactsInput!$M$33,FALSE,TRUE),CHOOSE(ArtifactsInput!$N$33+1,30,36,42,48,54,60),0))+(IF(AND(ArtifactsInput!$M$35,Inputs!$B$4&lt;&gt;"Chapter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Skills!A3</f>
        <v/>
      </c>
      <c r="B2050">
        <f>Skills!B3</f>
        <v/>
      </c>
      <c r="C2050">
        <f>Inputs!$B$3&gt;=35</f>
        <v/>
      </c>
      <c r="D2050">
        <f>IF(Skills!C3=1,60+Inputs!$B$25+Inputs!$B$29,IF(Skills!C3=2,90+Inputs!$B$26+Inputs!$B$29,IF(Skills!C3=3,120+Inputs!$B$27+Inputs!$B$29,MAX(0,(Inputs!$B$3-100)*3)+Inputs!$B$28+Inputs!$B$29)))</f>
        <v/>
      </c>
      <c r="E2050">
        <f>INDEX(FactorTable!$B$2:$Y$301, MATCH(ROUND(MIN(300,MAX(1,D2050)),0), FactorTable!$A$2:$A$301,0), Skills!M3+1)</f>
        <v/>
      </c>
      <c r="F2050">
        <f>IF(Skills!N3=TRUE,(Skills!L3/10)*(E2050/1000),Skills!L3/10)+Skills!O3</f>
        <v/>
      </c>
      <c r="G2050">
        <f>Skills!G3*IF(Skills!H3&gt;0,Skills!I3/Skills!H3,1)</f>
        <v/>
      </c>
      <c r="H2050">
        <f>1-(1-Skills!J3/100)^Skills!K3</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2067=TRUE)*(F2067-Calc!F20)),(Inputs!$B$23+0+(IF(ArtifactsInput!$M$15,CHOOSE(ArtifactsInput!$N$15+1,25,30,35,40,45,50)/100*(Inputs!$B$11-Inputs!$B$11),0))))/100+(Inputs!$B$23+0+(IF(ArtifactsInput!$M$15,CHOOSE(ArtifactsInput!$N$15+1,25,30,35,40,45,50)/100*(Inputs!$B$11-Inputs!$B$11),0)))/100)/2</f>
        <v/>
      </c>
      <c r="M2050">
        <f>L2050*(1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IF(B2082=0,0,O2050/B2082)</f>
        <v/>
      </c>
      <c r="Q2050" t="n">
        <v>0</v>
      </c>
      <c r="R2050" t="n">
        <v>0</v>
      </c>
      <c r="S2050">
        <f>IFERROR(O2050/N2050,0)</f>
        <v/>
      </c>
      <c r="T2050">
        <f>IF(C2050,(Skills!G3*H2050*N2050*B2076)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0">
        <f>INDEX(FactorTable!$B$2:$Y$301, MATCH(ROUND(MIN(300,MAX(1,U2049)),0), FactorTable!$A$2:$A$301,0), 22)</f>
        <v/>
      </c>
      <c r="V2050">
        <f>IF(C2050,(Skills!G3*H2050*N2050*B2076)*IF(Inputs!$B$38="pvp",1,(1+(Inputs!$B$21+Skills!Q3+(IF(IF(ArtifactsInput!$M$33,FALSE,TRUE),CHOOSE(ArtifactsInput!$N$33+1,30,36,42,48,54,60),0))+(IF(AND(ArtifactsInput!$M$35,Inputs!$B$4&lt;&gt;"Chapter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Skills!A4</f>
        <v/>
      </c>
      <c r="B2051">
        <f>Skills!B4</f>
        <v/>
      </c>
      <c r="C2051">
        <f>Inputs!$B$3&gt;=60</f>
        <v/>
      </c>
      <c r="D2051">
        <f>IF(Skills!C4=1,60+Inputs!$B$25+Inputs!$B$29,IF(Skills!C4=2,90+Inputs!$B$26+Inputs!$B$29,IF(Skills!C4=3,120+Inputs!$B$27+Inputs!$B$29,MAX(0,(Inputs!$B$3-100)*3)+Inputs!$B$28+Inputs!$B$29)))</f>
        <v/>
      </c>
      <c r="E2051">
        <f>INDEX(FactorTable!$B$2:$Y$301, MATCH(ROUND(MIN(300,MAX(1,D2051)),0), FactorTable!$A$2:$A$301,0), Skills!M4+1)</f>
        <v/>
      </c>
      <c r="F2051">
        <f>IF(Skills!N4=TRUE,(Skills!L4/10)*(E2051/1000),Skills!L4/10)+Skills!O4</f>
        <v/>
      </c>
      <c r="G2051">
        <f>Skills!G4*IF(Skills!H4&gt;0,Skills!I4/Skills!H4,1)</f>
        <v/>
      </c>
      <c r="H2051">
        <f>1-(1-Skills!J4/100)^Skills!K4</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4="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2067=TRUE)*(F2067-Calc!F20)),(Inputs!$B$23+0+(IF(ArtifactsInput!$M$15,CHOOSE(ArtifactsInput!$N$15+1,25,30,35,40,45,50)/100*(Inputs!$B$11-Inputs!$B$11),0))))/100+(Inputs!$B$23+0+(IF(ArtifactsInput!$M$15,CHOOSE(ArtifactsInput!$N$15+1,25,30,35,40,45,50)/100*(Inputs!$B$11-Inputs!$B$11),0)))/100)/2</f>
        <v/>
      </c>
      <c r="M2051">
        <f>L2051*(1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IF(B2082=0,0,O2051/B2082)</f>
        <v/>
      </c>
      <c r="Q2051" t="n">
        <v>0</v>
      </c>
      <c r="R2051" t="n">
        <v>0</v>
      </c>
      <c r="S2051">
        <f>IFERROR(O2051/N2051,0)</f>
        <v/>
      </c>
      <c r="T2051">
        <f>IF(C2051,(Skills!G4*H2051*N2051*B2076)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290*U2050/1000</f>
        <v/>
      </c>
      <c r="V2051">
        <f>IF(C2051,(Skills!G4*H2051*N2051*B2076)*IF(Inputs!$B$38="pvp",1,(1+(Inputs!$B$21+Skills!Q4+(IF(IF(ArtifactsInput!$M$33,FALSE,TRUE),CHOOSE(ArtifactsInput!$N$33+1,30,36,42,48,54,60),0))+(IF(AND(ArtifactsInput!$M$35,Inputs!$B$4&lt;&gt;"Chapter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Skills!A5</f>
        <v/>
      </c>
      <c r="B2052">
        <f>Skills!B5</f>
        <v/>
      </c>
      <c r="C2052">
        <f>Inputs!$B$3&gt;=60</f>
        <v/>
      </c>
      <c r="D2052">
        <f>IF(Skills!C5=1,60+Inputs!$B$25+Inputs!$B$29,IF(Skills!C5=2,90+Inputs!$B$26+Inputs!$B$29,IF(Skills!C5=3,120+Inputs!$B$27+Inputs!$B$29,MAX(0,(Inputs!$B$3-100)*3)+Inputs!$B$28+Inputs!$B$29)))</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t="inlineStr"/>
      <c r="K2052" t="inlineStr"/>
      <c r="L2052" t="inlineStr"/>
      <c r="M2052" t="inlineStr"/>
      <c r="N2052" t="inlineStr"/>
      <c r="O2052">
        <f>(1-Summary!$B$11)*T2052+Summary!$B$11*V2052</f>
        <v/>
      </c>
      <c r="P2052">
        <f>IF(B2082=0,0,O2052/B2082)</f>
        <v/>
      </c>
      <c r="Q2052" t="n">
        <v>0</v>
      </c>
      <c r="R2052" t="n">
        <v>0</v>
      </c>
      <c r="S2052">
        <f>IFERROR(O2052/N2052,0)</f>
        <v/>
      </c>
      <c r="T2052" t="n">
        <v>0</v>
      </c>
      <c r="V2052" t="n">
        <v>0</v>
      </c>
    </row>
    <row r="2053">
      <c r="A2053">
        <f>Skills!A6</f>
        <v/>
      </c>
      <c r="B2053">
        <f>Skills!B6</f>
        <v/>
      </c>
      <c r="C2053">
        <f>Inputs!$B$3&gt;=63</f>
        <v/>
      </c>
      <c r="D2053">
        <f>IF(Skills!C6=1,60+Inputs!$B$25+Inputs!$B$29,IF(Skills!C6=2,90+Inputs!$B$26+Inputs!$B$29,IF(Skills!C6=3,120+Inputs!$B$27+Inputs!$B$29,MAX(0,(Inputs!$B$3-100)*3)+Inputs!$B$28+Inputs!$B$29)))</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2067=TRUE)*(F2067-Calc!F20)),(Inputs!$B$23+0+(IF(ArtifactsInput!$M$15,CHOOSE(ArtifactsInput!$N$15+1,25,30,35,40,45,50)/100*(Inputs!$B$11-Inputs!$B$11),0))))/100+(Inputs!$B$23+0+(IF(ArtifactsInput!$M$15,CHOOSE(ArtifactsInput!$N$15+1,25,30,35,40,45,50)/100*(Inputs!$B$11-Inputs!$B$11),0)))/100)/2</f>
        <v/>
      </c>
      <c r="M2053">
        <f>L2053*(1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IF(B2082=0,0,O2053/B2082)</f>
        <v/>
      </c>
      <c r="Q2053">
        <f>IFERROR(1/(IF(Inputs!$B$38="pvp",15,MAX(0.1,Skills!D6-IF(Skills!E6=TRUE,Inputs!$B$32,0)))*(1-IF(AND(ArtifactsInput!$M$27,Inputs!$B$4="Chapter Hunt"),CHOOSE(ArtifactsInput!$N$27+1,20,24,28,32,36,40),0)/100)),0)</f>
        <v/>
      </c>
      <c r="R2053">
        <f>IF(AND(Inputs!$B$38&lt;&gt;"pvp",Inputs!$B$43&gt;0),IF(MAX(0,Inputs!$B$43-B2079)&lt;=0,0,(INT(MAX(0,Inputs!$B$43-B2079)/(IF(Inputs!$B$38="pvp",15,MAX(0.1,Skills!D6-IF(Skills!E6=TRUE,Inputs!$B$32,0)))*(1-IF(AND(ArtifactsInput!$M$27,Inputs!$B$4="Chapter Hunt"),CHOOSE(ArtifactsInput!$N$27+1,20,24,28,32,36,40),0)/100)))+1)),0)</f>
        <v/>
      </c>
      <c r="S2053">
        <f>IFERROR(O2053/N2053,0)</f>
        <v/>
      </c>
      <c r="T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$21+Skills!Q6+(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Skills!A7</f>
        <v/>
      </c>
      <c r="B2054">
        <f>Skills!B7</f>
        <v/>
      </c>
      <c r="C2054">
        <f>Inputs!$B$3&gt;=100</f>
        <v/>
      </c>
      <c r="D2054">
        <f>IF(Skills!C7=1,60+Inputs!$B$25+Inputs!$B$29,IF(Skills!C7=2,90+Inputs!$B$26+Inputs!$B$29,IF(Skills!C7=3,120+Inputs!$B$27+Inputs!$B$29,MAX(0,(Inputs!$B$3-100)*3)+Inputs!$B$28+Inputs!$B$29)))</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2067=TRUE)*(F2067-Calc!F20)),(Inputs!$B$23+0+(IF(ArtifactsInput!$M$15,CHOOSE(ArtifactsInput!$N$15+1,25,30,35,40,45,50)/100*(Inputs!$B$11-Inputs!$B$11),0))))/100+(Inputs!$B$23+0+(IF(ArtifactsInput!$M$15,CHOOSE(ArtifactsInput!$N$15+1,25,30,35,40,45,50)/100*(Inputs!$B$11-Inputs!$B$11),0)))/100)/2</f>
        <v/>
      </c>
      <c r="M2054">
        <f>L2054*(1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IF(B2082=0,0,O2054/B2082)</f>
        <v/>
      </c>
      <c r="Q2054">
        <f>IFERROR(1/(IF(Inputs!$B$38="pvp",15,MAX(0.1,Skills!D7-IF(Skills!E7=TRUE,Inputs!$B$32,0)))*(1-IF(AND(ArtifactsInput!$M$27,Inputs!$B$4="Chapter Hunt"),CHOOSE(ArtifactsInput!$N$27+1,20,24,28,32,36,40),0)/100)),0)</f>
        <v/>
      </c>
      <c r="R2054">
        <f>IF(AND(Inputs!$B$38&lt;&gt;"pvp",Inputs!$B$43&gt;0),IF(MAX(0,Inputs!$B$43-B2079)&lt;=0,0,(INT(MAX(0,Inputs!$B$43-B2079)/(IF(Inputs!$B$38="pvp",15,MAX(0.1,Skills!D7-IF(Skills!E7=TRUE,Inputs!$B$32,0)))*(1-IF(AND(ArtifactsInput!$M$27,Inputs!$B$4="Chapter Hunt"),CHOOSE(ArtifactsInput!$N$27+1,20,24,28,32,36,40),0)/100)))+1)),0)</f>
        <v/>
      </c>
      <c r="S2054">
        <f>IFERROR(O2054/N2054,0)</f>
        <v/>
      </c>
      <c r="T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$21+Skills!Q7+(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Skills!A8</f>
        <v/>
      </c>
      <c r="B2055">
        <f>Skills!B8</f>
        <v/>
      </c>
      <c r="C2055">
        <f>Inputs!$B$3&gt;=110</f>
        <v/>
      </c>
      <c r="D2055">
        <f>IF(Skills!C8=1,60+Inputs!$B$25+Inputs!$B$29,IF(Skills!C8=2,90+Inputs!$B$26+Inputs!$B$29,IF(Skills!C8=3,120+Inputs!$B$27+Inputs!$B$29,MAX(0,(Inputs!$B$3-100)*3)+Inputs!$B$28+Inputs!$B$29)))</f>
        <v/>
      </c>
      <c r="E2055">
        <f>INDEX(FactorTable!$B$2:$Y$301, MATCH(ROUND(MIN(300,MAX(1,D2055)),0), FactorTable!$A$2:$A$301,0), Skills!M8+1)</f>
        <v/>
      </c>
      <c r="F2055">
        <f>IF(Skills!N8=TRUE,(Skills!L8/10)*(E2055/1000),Skills!L8/10)+Skills!O8</f>
        <v/>
      </c>
      <c r="G2055">
        <f>Skills!G8*IF(Skills!H8&gt;0,Skills!I8/Skills!H8,1)</f>
        <v/>
      </c>
      <c r="H2055">
        <f>1-(1-Skills!J8/100)^Skills!K8</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2067=TRUE)*(F2067-Calc!F20)),(Inputs!$B$23+0+(IF(ArtifactsInput!$M$15,CHOOSE(ArtifactsInput!$N$15+1,25,30,35,40,45,50)/100*(Inputs!$B$11-Inputs!$B$11),0))))/100+(Inputs!$B$23+0+(IF(ArtifactsInput!$M$15,CHOOSE(ArtifactsInput!$N$15+1,25,30,35,40,45,50)/100*(Inputs!$B$11-Inputs!$B$11),0)))/100)/2</f>
        <v/>
      </c>
      <c r="M2055">
        <f>L2055*(1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IF(B2082=0,0,O2055/B2082)</f>
        <v/>
      </c>
      <c r="Q2055">
        <f>IFERROR(1/(IF(Inputs!$B$38="pvp",15,MAX(0.1,Skills!D8-IF(Skills!E8=TRUE,Inputs!$B$32,0)))*(1-IF(AND(ArtifactsInput!$M$27,Inputs!$B$4="Chapter Hunt"),CHOOSE(ArtifactsInput!$N$27+1,20,24,28,32,36,40),0)/100)),0)</f>
        <v/>
      </c>
      <c r="R2055">
        <f>IF(AND(Inputs!$B$38&lt;&gt;"pvp",Inputs!$B$43&gt;0),IF(MAX(0,Inputs!$B$43-B2079)&lt;=0,0,(INT(MAX(0,Inputs!$B$43-B2079)/(IF(Inputs!$B$38="pvp",15,MAX(0.1,Skills!D8-IF(Skills!E8=TRUE,Inputs!$B$32,0)))*(1-IF(AND(ArtifactsInput!$M$27,Inputs!$B$4="Chapter Hunt"),CHOOSE(ArtifactsInput!$N$27+1,20,24,28,32,36,40),0)/100)))+1)),0)</f>
        <v/>
      </c>
      <c r="S2055">
        <f>IFERROR(O2055/N2055,0)</f>
        <v/>
      </c>
      <c r="T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$21+Skills!Q8+(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Skills!A9</f>
        <v/>
      </c>
      <c r="B2056">
        <f>Skills!B9</f>
        <v/>
      </c>
      <c r="C2056">
        <f>Inputs!$B$3&gt;=110</f>
        <v/>
      </c>
      <c r="D2056">
        <f>IF(Skills!C9=1,60+Inputs!$B$25+Inputs!$B$29,IF(Skills!C9=2,90+Inputs!$B$26+Inputs!$B$29,IF(Skills!C9=3,120+Inputs!$B$27+Inputs!$B$29,MAX(0,(Inputs!$B$3-100)*3)+Inputs!$B$28+Inputs!$B$29)))</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2067=TRUE)*(F2067-Calc!F20)),(Inputs!$B$23+0+(IF(ArtifactsInput!$M$15,CHOOSE(ArtifactsInput!$N$15+1,25,30,35,40,45,50)/100*(Inputs!$B$11-Inputs!$B$11),0))))/100+(Inputs!$B$23+0+(IF(ArtifactsInput!$M$15,CHOOSE(ArtifactsInput!$N$15+1,25,30,35,40,45,50)/100*(Inputs!$B$11-Inputs!$B$11),0)))/100)/2</f>
        <v/>
      </c>
      <c r="M2056">
        <f>L2056*(1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IF(B2082=0,0,O2056/B2082)</f>
        <v/>
      </c>
      <c r="Q2056">
        <f>IFERROR(1/(IF(Inputs!$B$38="pvp",15,MAX(0.1,Skills!D9-IF(Skills!E9=TRUE,Inputs!$B$32,0)))*(1-IF(AND(ArtifactsInput!$M$27,Inputs!$B$4="Chapter Hunt"),CHOOSE(ArtifactsInput!$N$27+1,20,24,28,32,36,40),0)/100)),0)</f>
        <v/>
      </c>
      <c r="R2056">
        <f>IF(AND(Inputs!$B$38&lt;&gt;"pvp",Inputs!$B$43&gt;0),IF(MAX(0,Inputs!$B$43-B2079)&lt;=0,0,(INT(MAX(0,Inputs!$B$43-B2079)/(IF(Inputs!$B$38="pvp",15,MAX(0.1,Skills!D9-IF(Skills!E9=TRUE,Inputs!$B$32,0)))*(1-IF(AND(ArtifactsInput!$M$27,Inputs!$B$4="Chapter Hunt"),CHOOSE(ArtifactsInput!$N$27+1,20,24,28,32,36,40),0)/100)))+1)),0)</f>
        <v/>
      </c>
      <c r="S2056">
        <f>IFERROR(O2056/N2056,0)</f>
        <v/>
      </c>
      <c r="T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$21+Skills!Q9+(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Skills!A10</f>
        <v/>
      </c>
      <c r="B2057">
        <f>Skills!B10</f>
        <v/>
      </c>
      <c r="C2057">
        <f>Inputs!$B$3&gt;=103</f>
        <v/>
      </c>
      <c r="D2057">
        <f>IF(Skills!C10=1,60+Inputs!$B$25+Inputs!$B$29,IF(Skills!C10=2,90+Inputs!$B$26+Inputs!$B$29,IF(Skills!C10=3,120+Inputs!$B$27+Inputs!$B$29,MAX(0,(Inputs!$B$3-100)*3)+Inputs!$B$28+Inputs!$B$29)))</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2067=TRUE)*(F2067-Calc!F20)),(Inputs!$B$23+0+(IF(ArtifactsInput!$M$15,CHOOSE(ArtifactsInput!$N$15+1,25,30,35,40,45,50)/100*(Inputs!$B$11-Inputs!$B$11),0))))/100+(Inputs!$B$23+0+(IF(ArtifactsInput!$M$15,CHOOSE(ArtifactsInput!$N$15+1,25,30,35,40,45,50)/100*(Inputs!$B$11-Inputs!$B$11),0)))/100)/2</f>
        <v/>
      </c>
      <c r="M2057">
        <f>L2057*(1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IF(B2082=0,0,O2057/B2082)</f>
        <v/>
      </c>
      <c r="Q2057">
        <f>IFERROR(1/(IF(Inputs!$B$38="pvp",15,MAX(0.1,Skills!D10-IF(Skills!E10=TRUE,Inputs!$B$32,0)))*(1-IF(AND(ArtifactsInput!$M$27,Inputs!$B$4="Chapter Hunt"),CHOOSE(ArtifactsInput!$N$27+1,20,24,28,32,36,40),0)/100)),0)</f>
        <v/>
      </c>
      <c r="R2057">
        <f>IF(AND(Inputs!$B$38&lt;&gt;"pvp",Inputs!$B$43&gt;0),IF(MAX(0,Inputs!$B$43-B2079)&lt;=0,0,(INT(MAX(0,Inputs!$B$43-B2079)/(IF(Inputs!$B$38="pvp",15,MAX(0.1,Skills!D10-IF(Skills!E10=TRUE,Inputs!$B$32,0)))*(1-IF(AND(ArtifactsInput!$M$27,Inputs!$B$4="Chapter Hunt"),CHOOSE(ArtifactsInput!$N$27+1,20,24,28,32,36,40),0)/100)))+1)),0)</f>
        <v/>
      </c>
      <c r="S2057">
        <f>IFERROR(O2057/N2057,0)</f>
        <v/>
      </c>
      <c r="T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$21+Skills!Q10+(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Skills!A11</f>
        <v/>
      </c>
      <c r="B2058">
        <f>Skills!B11</f>
        <v/>
      </c>
      <c r="C2058">
        <f>Inputs!$B$3&gt;=113</f>
        <v/>
      </c>
      <c r="D2058">
        <f>IF(Skills!C11=1,60+Inputs!$B$25+Inputs!$B$29,IF(Skills!C11=2,90+Inputs!$B$26+Inputs!$B$29,IF(Skills!C11=3,120+Inputs!$B$27+Inputs!$B$29,MAX(0,(Inputs!$B$3-100)*3)+Inputs!$B$28+Inputs!$B$29)))</f>
        <v/>
      </c>
      <c r="E2058">
        <f>INDEX(FactorTable!$B$2:$Y$301, MATCH(ROUND(MIN(300,MAX(1,D2058)),0), FactorTable!$A$2:$A$301,0), Skills!M11+1)</f>
        <v/>
      </c>
      <c r="F2058">
        <f>IF(Skills!N11=TRUE,(Skills!L11/10)*(E2058/1000),Skills!L11/10)+Skills!O11</f>
        <v/>
      </c>
      <c r="G2058">
        <f>Skills!G11*IF(Skills!H11&gt;0,Skills!I11/Skills!H11,1)</f>
        <v/>
      </c>
      <c r="H2058">
        <f>1-(1-Skills!J11/100)^Skills!K11</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2067=TRUE)*(F2067-Calc!F20)),(Inputs!$B$23+0+(IF(ArtifactsInput!$M$15,CHOOSE(ArtifactsInput!$N$15+1,25,30,35,40,45,50)/100*(Inputs!$B$11-Inputs!$B$11),0))))/100+(Inputs!$B$23+0+(IF(ArtifactsInput!$M$15,CHOOSE(ArtifactsInput!$N$15+1,25,30,35,40,45,50)/100*(Inputs!$B$11-Inputs!$B$11),0)))/100)/2</f>
        <v/>
      </c>
      <c r="M2058">
        <f>L2058*(1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IF(B2082=0,0,O2058/B2082)</f>
        <v/>
      </c>
      <c r="Q2058">
        <f>IFERROR(1/(IF(Inputs!$B$38="pvp",15,MAX(0.1,Skills!D11-IF(Skills!E11=TRUE,Inputs!$B$32,0)))*(1-IF(AND(ArtifactsInput!$M$27,Inputs!$B$4="Chapter Hunt"),CHOOSE(ArtifactsInput!$N$27+1,20,24,28,32,36,40),0)/100)),0)</f>
        <v/>
      </c>
      <c r="R2058">
        <f>IF(AND(Inputs!$B$38&lt;&gt;"pvp",Inputs!$B$43&gt;0),IF(MAX(0,Inputs!$B$43-B2079)&lt;=0,0,(INT(MAX(0,Inputs!$B$43-B2079)/(IF(Inputs!$B$38="pvp",15,MAX(0.1,Skills!D11-IF(Skills!E11=TRUE,Inputs!$B$32,0)))*(1-IF(AND(ArtifactsInput!$M$27,Inputs!$B$4="Chapter Hunt"),CHOOSE(ArtifactsInput!$N$27+1,20,24,28,32,36,40),0)/100)))+1)),0)</f>
        <v/>
      </c>
      <c r="S2058">
        <f>IFERROR(O2058/N2058,0)</f>
        <v/>
      </c>
      <c r="T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$21+Skills!Q11+(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Skills!A12</f>
        <v/>
      </c>
      <c r="B2059">
        <f>Skills!B12</f>
        <v/>
      </c>
      <c r="C2059">
        <f>Inputs!$B$3&gt;=100</f>
        <v/>
      </c>
      <c r="D2059">
        <f>IF(Skills!C12=1,60+Inputs!$B$25+Inputs!$B$29,IF(Skills!C12=2,90+Inputs!$B$26+Inputs!$B$29,IF(Skills!C12=3,120+Inputs!$B$27+Inputs!$B$29,MAX(0,(Inputs!$B$3-100)*3)+Inputs!$B$28+Inputs!$B$29)))</f>
        <v/>
      </c>
      <c r="E2059">
        <f>INDEX(FactorTable!$B$2:$Y$301, MATCH(ROUND(MIN(300,MAX(1,D2059)),0), FactorTable!$A$2:$A$301,0), Skills!M12+1)</f>
        <v/>
      </c>
      <c r="F2059">
        <f>IF(Skills!N12=TRUE,(Skills!L12/10)*(E2059/1000),Skills!L12/10)+Skills!O12</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Skills!A13</f>
        <v/>
      </c>
      <c r="B2060">
        <f>Skills!B13</f>
        <v/>
      </c>
      <c r="C2060">
        <f>Inputs!$B$3&gt;=66</f>
        <v/>
      </c>
      <c r="D2060">
        <f>IF(Skills!C13=1,60+Inputs!$B$25+Inputs!$B$29,IF(Skills!C13=2,90+Inputs!$B$26+Inputs!$B$29,IF(Skills!C13=3,120+Inputs!$B$27+Inputs!$B$29,MAX(0,(Inputs!$B$3-100)*3)+Inputs!$B$28+Inputs!$B$29)))</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IF(B2082=0,0,O2060/B2082)</f>
        <v/>
      </c>
      <c r="Q2060" t="n">
        <v>0</v>
      </c>
      <c r="R2060" t="n">
        <v>0</v>
      </c>
      <c r="S2060">
        <f>IFERROR(O2060/N2060,0)</f>
        <v/>
      </c>
      <c r="T2060" t="n">
        <v>0</v>
      </c>
      <c r="V2060" t="n">
        <v>0</v>
      </c>
    </row>
    <row r="2061">
      <c r="A2061">
        <f>Skills!A14</f>
        <v/>
      </c>
      <c r="B2061">
        <f>Skills!B14</f>
        <v/>
      </c>
      <c r="C2061">
        <f>Inputs!$B$3&gt;=107</f>
        <v/>
      </c>
      <c r="D2061">
        <f>IF(Skills!C14=1,60+Inputs!$B$25+Inputs!$B$29,IF(Skills!C14=2,90+Inputs!$B$26+Inputs!$B$29,IF(Skills!C14=3,120+Inputs!$B$27+Inputs!$B$29,MAX(0,(Inputs!$B$3-100)*3)+Inputs!$B$28+Inputs!$B$29)))</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IF(B2082=0,0,O2061/B2082)</f>
        <v/>
      </c>
      <c r="Q2061" t="n">
        <v>0</v>
      </c>
      <c r="R2061" t="n">
        <v>0</v>
      </c>
      <c r="S2061">
        <f>IFERROR(O2061/N2061,0)</f>
        <v/>
      </c>
      <c r="T2061" t="n">
        <v>0</v>
      </c>
      <c r="V2061" t="n">
        <v>0</v>
      </c>
    </row>
    <row r="2062">
      <c r="A2062">
        <f>Skills!A15</f>
        <v/>
      </c>
      <c r="B2062">
        <f>Skills!B15</f>
        <v/>
      </c>
      <c r="C2062">
        <f>Inputs!$B$3&gt;=115</f>
        <v/>
      </c>
      <c r="D2062">
        <f>IF(Skills!C15=1,60+Inputs!$B$25+Inputs!$B$29,IF(Skills!C15=2,90+Inputs!$B$26+Inputs!$B$29,IF(Skills!C15=3,120+Inputs!$B$27+Inputs!$B$29,MAX(0,(Inputs!$B$3-100)*3)+Inputs!$B$28+Inputs!$B$29)))</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IF(B2082=0,0,O2062/B2082)</f>
        <v/>
      </c>
      <c r="Q2062" t="n">
        <v>0</v>
      </c>
      <c r="R2062" t="n">
        <v>0</v>
      </c>
      <c r="S2062">
        <f>IFERROR(O2062/N2062,0)</f>
        <v/>
      </c>
      <c r="T2062" t="n">
        <v>0</v>
      </c>
      <c r="V2062" t="n">
        <v>0</v>
      </c>
    </row>
    <row r="2063">
      <c r="A2063">
        <f>Skills!A16</f>
        <v/>
      </c>
      <c r="B2063">
        <f>Skills!B16</f>
        <v/>
      </c>
      <c r="C2063">
        <f>Inputs!$B$3&gt;=15</f>
        <v/>
      </c>
      <c r="D2063">
        <f>IF(Skills!C16=1,60+Inputs!$B$25+Inputs!$B$29,IF(Skills!C16=2,90+Inputs!$B$26+Inputs!$B$29,IF(Skills!C16=3,120+Inputs!$B$27+Inputs!$B$29,MAX(0,(Inputs!$B$3-100)*3)+Inputs!$B$28+Inputs!$B$29)))</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IF(B2082=0,0,O2063/B2082)</f>
        <v/>
      </c>
      <c r="Q2063" t="n">
        <v>0</v>
      </c>
      <c r="R2063" t="n">
        <v>0</v>
      </c>
      <c r="S2063">
        <f>IFERROR(O2063/N2063,0)</f>
        <v/>
      </c>
      <c r="T2063" t="n">
        <v>0</v>
      </c>
      <c r="V2063" t="n">
        <v>0</v>
      </c>
    </row>
    <row r="2064">
      <c r="A2064">
        <f>Skills!A17</f>
        <v/>
      </c>
      <c r="B2064">
        <f>Skills!B17</f>
        <v/>
      </c>
      <c r="C2064">
        <f>Inputs!$B$3&gt;=10</f>
        <v/>
      </c>
      <c r="D2064">
        <f>IF(Skills!C17=1,60+Inputs!$B$25+Inputs!$B$29,IF(Skills!C17=2,90+Inputs!$B$26+Inputs!$B$29,IF(Skills!C17=3,120+Inputs!$B$27+Inputs!$B$29,MAX(0,(Inputs!$B$3-100)*3)+Inputs!$B$28+Inputs!$B$29)))</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IF(B2082=0,0,O2064/B2082)</f>
        <v/>
      </c>
      <c r="Q2064" t="n">
        <v>0</v>
      </c>
      <c r="R2064" t="n">
        <v>0</v>
      </c>
      <c r="S2064">
        <f>IFERROR(O2064/N2064,0)</f>
        <v/>
      </c>
      <c r="T2064" t="n">
        <v>0</v>
      </c>
      <c r="V2064" t="n">
        <v>0</v>
      </c>
    </row>
    <row r="2065">
      <c r="A2065">
        <f>Skills!A18</f>
        <v/>
      </c>
      <c r="B2065">
        <f>Skills!B18</f>
        <v/>
      </c>
      <c r="C2065">
        <f>Inputs!$B$3&gt;=33</f>
        <v/>
      </c>
      <c r="D2065">
        <f>IF(Skills!C18=1,60+Inputs!$B$25+Inputs!$B$29,IF(Skills!C18=2,90+Inputs!$B$26+Inputs!$B$29,IF(Skills!C18=3,120+Inputs!$B$27+Inputs!$B$29,MAX(0,(Inputs!$B$3-100)*3)+Inputs!$B$28+Inputs!$B$29)))</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IF(B2082=0,0,O2065/B2082)</f>
        <v/>
      </c>
      <c r="Q2065" t="n">
        <v>0</v>
      </c>
      <c r="R2065" t="n">
        <v>0</v>
      </c>
      <c r="S2065">
        <f>IFERROR(O2065/N2065,0)</f>
        <v/>
      </c>
      <c r="T2065" t="n">
        <v>0</v>
      </c>
      <c r="V2065" t="n">
        <v>0</v>
      </c>
    </row>
    <row r="2066">
      <c r="A2066">
        <f>Skills!A19</f>
        <v/>
      </c>
      <c r="B2066">
        <f>Skills!B19</f>
        <v/>
      </c>
      <c r="C2066">
        <f>Inputs!$B$3&gt;=40</f>
        <v/>
      </c>
      <c r="D2066">
        <f>IF(Skills!C19=1,60+Inputs!$B$25+Inputs!$B$29,IF(Skills!C19=2,90+Inputs!$B$26+Inputs!$B$29,IF(Skills!C19=3,120+Inputs!$B$27+Inputs!$B$29,MAX(0,(Inputs!$B$3-100)*3)+Inputs!$B$28+Inputs!$B$29)))</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IF(B2082=0,0,O2066/B2082)</f>
        <v/>
      </c>
      <c r="Q2066" t="n">
        <v>0</v>
      </c>
      <c r="R2066" t="n">
        <v>0</v>
      </c>
      <c r="S2066">
        <f>IFERROR(O2066/N2066,0)</f>
        <v/>
      </c>
      <c r="T2066" t="n">
        <v>0</v>
      </c>
      <c r="V2066" t="n">
        <v>0</v>
      </c>
    </row>
    <row r="2067">
      <c r="A2067">
        <f>Skills!A20</f>
        <v/>
      </c>
      <c r="B2067">
        <f>Skills!B20</f>
        <v/>
      </c>
      <c r="C2067">
        <f>Inputs!$B$3&gt;=43</f>
        <v/>
      </c>
      <c r="D2067">
        <f>IF(Skills!C20=1,60+Inputs!$B$25+Inputs!$B$29,IF(Skills!C20=2,90+Inputs!$B$26+Inputs!$B$29,IF(Skills!C20=3,120+Inputs!$B$27+Inputs!$B$29,MAX(0,(Inputs!$B$3-100)*3)+Inputs!$B$28+Inputs!$B$29)))</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IF(B2082=0,0,O2067/B2082)</f>
        <v/>
      </c>
      <c r="Q2067" t="n">
        <v>0</v>
      </c>
      <c r="R2067" t="n">
        <v>0</v>
      </c>
      <c r="S2067">
        <f>IFERROR(O2067/N2067,0)</f>
        <v/>
      </c>
      <c r="T2067" t="n">
        <v>0</v>
      </c>
      <c r="V2067" t="n">
        <v>0</v>
      </c>
    </row>
    <row r="2068">
      <c r="A2068">
        <f>Skills!A21</f>
        <v/>
      </c>
      <c r="B2068">
        <f>Skills!B21</f>
        <v/>
      </c>
      <c r="C2068">
        <f>Inputs!$B$3&gt;=38</f>
        <v/>
      </c>
      <c r="D2068">
        <f>IF(Skills!C21=1,60+Inputs!$B$25+Inputs!$B$29,IF(Skills!C21=2,90+Inputs!$B$26+Inputs!$B$29,IF(Skills!C21=3,120+Inputs!$B$27+Inputs!$B$29,MAX(0,(Inputs!$B$3-100)*3)+Inputs!$B$28+Inputs!$B$29)))</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IF(B2082=0,0,O2068/B2082)</f>
        <v/>
      </c>
      <c r="Q2068" t="n">
        <v>0</v>
      </c>
      <c r="R2068" t="n">
        <v>0</v>
      </c>
      <c r="S2068">
        <f>IFERROR(O2068/N2068,0)</f>
        <v/>
      </c>
      <c r="T2068" t="n">
        <v>0</v>
      </c>
      <c r="V2068" t="n">
        <v>0</v>
      </c>
    </row>
    <row r="2069">
      <c r="A2069">
        <f>Skills!A22</f>
        <v/>
      </c>
      <c r="B2069">
        <f>Skills!B22</f>
        <v/>
      </c>
      <c r="C2069">
        <f>Inputs!$B$3&gt;=75</f>
        <v/>
      </c>
      <c r="D2069">
        <f>IF(Skills!C22=1,60+Inputs!$B$25+Inputs!$B$29,IF(Skills!C22=2,90+Inputs!$B$26+Inputs!$B$29,IF(Skills!C22=3,120+Inputs!$B$27+Inputs!$B$29,MAX(0,(Inputs!$B$3-100)*3)+Inputs!$B$28+Inputs!$B$29)))</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IF(B2082=0,0,O2069/B2082)</f>
        <v/>
      </c>
      <c r="Q2069" t="n">
        <v>0</v>
      </c>
      <c r="R2069" t="n">
        <v>0</v>
      </c>
      <c r="S2069">
        <f>IFERROR(O2069/N2069,0)</f>
        <v/>
      </c>
      <c r="T2069" t="n">
        <v>0</v>
      </c>
      <c r="V2069" t="n">
        <v>0</v>
      </c>
    </row>
    <row r="2071">
      <c r="A2071" t="inlineStr">
        <is>
          <t>Attack% Bucket Multiplier</t>
        </is>
      </c>
      <c r="B2071">
        <f>(1+(((C2060=TRUE)*F2060)+((C2066=TRUE)*(F2066-Calc!F19))+(IF(ArtifactsInput!$M$21,CHOOSE(ArtifactsInput!$N$21+1,25,30,35,40,45,50)*(IF(OR(Inputs!$B$4="Chapter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2">
      <c r="A2072" t="inlineStr">
        <is>
          <t>Global Crit Rate Bonus %</t>
        </is>
      </c>
      <c r="B2072" t="n">
        <v>0</v>
      </c>
    </row>
    <row r="2073">
      <c r="A2073" t="inlineStr">
        <is>
          <t>Attack Speed Buff Bonus % (unused)</t>
        </is>
      </c>
      <c r="B2073" t="n">
        <v>0</v>
      </c>
    </row>
    <row r="2074">
      <c r="A2074" t="inlineStr">
        <is>
          <t>Actions Per Second</t>
        </is>
      </c>
      <c r="B2074">
        <f>1+MIN(150,150*(1-(1-(Inputs!$B$11+((C2064=TRUE)*(F2064-Calc!F17))+((C2065=TRUE)*(F2065-Calc!F18)))/150)*(1-B2073/150)))/100</f>
        <v/>
      </c>
    </row>
    <row r="2075">
      <c r="A2075" t="inlineStr">
        <is>
          <t>Skill + Buff Cast Rate</t>
        </is>
      </c>
      <c r="B2075">
        <f>IF(AND(Inputs!$B$38&lt;&gt;"pvp",Inputs!$B$43&gt;0),SUMPRODUCT((Skills!E2:E22=TRUE)*(C2049:C2069=TRUE)*R2049:R2069*Skills!F2:F22)/Inputs!$B$43,SUMPRODUCT((Skills!E2:E22=TRUE)*(C2049:C2069=TRUE)*Q2049:Q2069*Skills!F2:F22))</f>
        <v/>
      </c>
    </row>
    <row r="2076">
      <c r="A2076" t="inlineStr">
        <is>
          <t>Hook Bomber Casts Per Second</t>
        </is>
      </c>
      <c r="B2076">
        <f>MAX(0,B2074-B2075)</f>
        <v/>
      </c>
    </row>
    <row r="2077">
      <c r="A2077" t="inlineStr">
        <is>
          <t>Global Critical Damage Bonus % (unused)</t>
        </is>
      </c>
      <c r="B2077" t="n">
        <v>0</v>
      </c>
    </row>
    <row r="2078">
      <c r="A2078" t="inlineStr">
        <is>
          <t>Global Final Damage Bonus % (Serpent Scale + Crossbones + Time Leap + Speed Infusion)</t>
        </is>
      </c>
      <c r="B2078">
        <f>((C2052=TRUE)*F2052*((10+IF(Inputs!$B$3&gt;=94,5,0))/((10+IF(Inputs!$B$3&gt;=94,5,0))+5/(B2076*(1+IF(Inputs!$B$3&gt;=104,1,0))))))+((C2061=TRUE)*F2061)+((C2062=TRUE)*F2062)+((Inputs!$B$3&gt;=110)*20*(B2074-1))</f>
        <v/>
      </c>
    </row>
    <row r="2079">
      <c r="A2079" t="inlineStr">
        <is>
          <t>Buff-Casting Startup Delay (s, fixed-duration only)</t>
        </is>
      </c>
      <c r="B2079">
        <f>IF(AND(Inputs!$B$38&lt;&gt;"pvp",Inputs!$B$43&gt;0),SUMPRODUCT((Skills!T2:T22&gt;0)*(Skills!E2:E22=TRUE)*(C2049:C2069=TRUE))/B2074,0)</f>
        <v/>
      </c>
    </row>
    <row r="2080">
      <c r="A2080" t="inlineStr">
        <is>
          <t>Boss-Only Total DPS (this block's swept value)</t>
        </is>
      </c>
      <c r="B2080">
        <f>SUM(T2049:T2069)</f>
        <v/>
      </c>
    </row>
    <row r="2081">
      <c r="A2081" t="inlineStr">
        <is>
          <t>Normal-Only Total DPS (this block's swept value)</t>
        </is>
      </c>
      <c r="B2081">
        <f>SUM(V2049:V2069)</f>
        <v/>
      </c>
    </row>
    <row r="2082">
      <c r="A2082" s="6" t="inlineStr">
        <is>
          <t>TOTAL DPS</t>
        </is>
      </c>
      <c r="B2082" s="6">
        <f>SUM(O2049:O2069)</f>
        <v/>
      </c>
    </row>
    <row r="2085">
      <c r="A2085" s="6" t="inlineStr">
        <is>
          <t>Stat: Bottle of Emotion (Equip)</t>
        </is>
      </c>
    </row>
    <row r="2086">
      <c r="A2086" s="5" t="inlineStr">
        <is>
          <t>Key</t>
        </is>
      </c>
      <c r="B2086" s="5" t="inlineStr">
        <is>
          <t>Name</t>
        </is>
      </c>
      <c r="C2086" s="5" t="inlineStr">
        <is>
          <t>Unlocked</t>
        </is>
      </c>
      <c r="D2086" s="5" t="inlineStr">
        <is>
          <t>InputLevel</t>
        </is>
      </c>
      <c r="E2086" s="5" t="inlineStr">
        <is>
          <t>Factor</t>
        </is>
      </c>
      <c r="F2086" s="5" t="inlineStr">
        <is>
          <t>CoefficientPercent</t>
        </is>
      </c>
      <c r="G2086" s="5" t="inlineStr">
        <is>
          <t>EffectiveHits</t>
        </is>
      </c>
      <c r="H2086" s="5" t="inlineStr">
        <is>
          <t>ProcProbability</t>
        </is>
      </c>
      <c r="I2086" s="5" t="inlineStr">
        <is>
          <t>MapleHeroMultiplier</t>
        </is>
      </c>
      <c r="J2086" s="5" t="inlineStr">
        <is>
          <t>BaseDamage</t>
        </is>
      </c>
      <c r="K2086" s="5" t="inlineStr">
        <is>
          <t>BaseHitDamage</t>
        </is>
      </c>
      <c r="L2086" s="5" t="inlineStr">
        <is>
          <t>NonCritAvg</t>
        </is>
      </c>
      <c r="M2086" s="5" t="inlineStr">
        <is>
          <t>CritAvg</t>
        </is>
      </c>
      <c r="N2086" s="5" t="inlineStr">
        <is>
          <t>ExpectedDamage(perHit)</t>
        </is>
      </c>
      <c r="O2086" s="5" t="inlineStr">
        <is>
          <t>DPS</t>
        </is>
      </c>
      <c r="P2086" s="5" t="inlineStr">
        <is>
          <t>% of Total</t>
        </is>
      </c>
      <c r="Q2086" s="5" t="inlineStr">
        <is>
          <t>InvCooldown</t>
        </is>
      </c>
      <c r="R2086" s="5" t="inlineStr">
        <is>
          <t>CastsInFight</t>
        </is>
      </c>
      <c r="S2086" s="5" t="inlineStr">
        <is>
          <t>HitRate(perSec)</t>
        </is>
      </c>
      <c r="U2086" t="inlineStr">
        <is>
          <t>helpers</t>
        </is>
      </c>
    </row>
    <row r="2087">
      <c r="A2087">
        <f>Skills!A2</f>
        <v/>
      </c>
      <c r="B2087">
        <f>Skills!B2</f>
        <v/>
      </c>
      <c r="C2087">
        <f>Inputs!$B$3&gt;=100</f>
        <v/>
      </c>
      <c r="D2087" t="inlineStr"/>
      <c r="E2087" t="inlineStr"/>
      <c r="F2087">
        <f>U2089+Skills!O2</f>
        <v/>
      </c>
      <c r="G2087">
        <f>Skills!G2*IF(Skills!H2&gt;0,Skills!I2/Skills!H2,1)</f>
        <v/>
      </c>
      <c r="H2087">
        <f>1-(1-Skills!J2/100)^Skills!K2</f>
        <v/>
      </c>
      <c r="I2087" t="inlineStr">
        <is>
          <t>1</t>
        </is>
      </c>
      <c r="J2087">
        <f>((Inputs!$B$6*(1+Inputs!$B$7/100))+(((Inputs!$B$12*(1+Inputs!$B$13/100))-(Inputs!$B$12*(1+Inputs!$B$13/100)))+0.25*(Inputs!$B$14-Inputs!$B$14))*(1+Inputs!$B$7/100))*(F2087/100)</f>
        <v/>
      </c>
      <c r="K2087">
        <f>J2087*(1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2087)</f>
        <v/>
      </c>
      <c r="L2087">
        <f>K2087*(MIN(Inputs!$B$22+((C2105=TRUE)*(F2105-Calc!F20)),(Inputs!$B$23+0+(IF(ArtifactsInput!$M$15,CHOOSE(ArtifactsInput!$N$15+1,25,30,35,40,45,50)/100*(Inputs!$B$11-Inputs!$B$11),0))))/100+(Inputs!$B$23+0+(IF(ArtifactsInput!$M$15,CHOOSE(ArtifactsInput!$N$15+1,25,30,35,40,45,50)/100*(Inputs!$B$11-Inputs!$B$11),0)))/100)/2</f>
        <v/>
      </c>
      <c r="M2087">
        <f>L2087*(1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7">
        <f>L2087*(1-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2087*(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7">
        <f>(1-Summary!$B$11)*T2087+Summary!$B$11*V2087</f>
        <v/>
      </c>
      <c r="P2087">
        <f>IF(B2120=0,0,O2087/B2120)</f>
        <v/>
      </c>
      <c r="Q2087" t="n">
        <v>0</v>
      </c>
      <c r="R2087" t="n">
        <v>0</v>
      </c>
      <c r="S2087">
        <f>IFERROR(O2087/N2087,0)</f>
        <v/>
      </c>
      <c r="T2087">
        <f>IF(C2087,(Skills!G2*N2087*B2114)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7">
        <f>MAX(0,(Inputs!$B$3-100)*3)+Inputs!$B$28+Inputs!$B$29</f>
        <v/>
      </c>
      <c r="V2087">
        <f>IF(C2087,(Skills!G2*N2087*B2114)*IF(Inputs!$B$38="pvp",1,(1+(Inputs!$B$21+Skills!Q2+(IF(ArtifactsInput!$M$33,CHOOSE(ArtifactsInput!$N$33+1,30,36,42,48,54,60),0))+(IF(AND(ArtifactsInput!$M$35,Inputs!$B$4&lt;&gt;"Chapter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8">
      <c r="A2088">
        <f>Skills!A3</f>
        <v/>
      </c>
      <c r="B2088">
        <f>Skills!B3</f>
        <v/>
      </c>
      <c r="C2088">
        <f>Inputs!$B$3&gt;=35</f>
        <v/>
      </c>
      <c r="D2088">
        <f>IF(Skills!C3=1,60+Inputs!$B$25+Inputs!$B$29,IF(Skills!C3=2,90+Inputs!$B$26+Inputs!$B$29,IF(Skills!C3=3,120+Inputs!$B$27+Inputs!$B$29,MAX(0,(Inputs!$B$3-100)*3)+Inputs!$B$28+Inputs!$B$29)))</f>
        <v/>
      </c>
      <c r="E2088">
        <f>INDEX(FactorTable!$B$2:$Y$301, MATCH(ROUND(MIN(300,MAX(1,D2088)),0), FactorTable!$A$2:$A$301,0), Skills!M3+1)</f>
        <v/>
      </c>
      <c r="F2088">
        <f>IF(Skills!N3=TRUE,(Skills!L3/10)*(E2088/1000),Skills!L3/10)+Skills!O3</f>
        <v/>
      </c>
      <c r="G2088">
        <f>Skills!G3*IF(Skills!H3&gt;0,Skills!I3/Skills!H3,1)</f>
        <v/>
      </c>
      <c r="H2088">
        <f>1-(1-Skills!J3/100)^Skills!K3</f>
        <v/>
      </c>
      <c r="I2088" t="inlineStr">
        <is>
          <t>1</t>
        </is>
      </c>
      <c r="J2088">
        <f>((Inputs!$B$6*(1+Inputs!$B$7/100))+(((Inputs!$B$12*(1+Inputs!$B$13/100))-(Inputs!$B$12*(1+Inputs!$B$13/100)))+0.25*(Inputs!$B$14-Inputs!$B$14))*(1+Inputs!$B$7/100))*(F2088/100)</f>
        <v/>
      </c>
      <c r="K2088">
        <f>J2088*(1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2088)</f>
        <v/>
      </c>
      <c r="L2088">
        <f>K2088*(MIN(Inputs!$B$22+((C2105=TRUE)*(F2105-Calc!F20)),(Inputs!$B$23+0+(IF(ArtifactsInput!$M$15,CHOOSE(ArtifactsInput!$N$15+1,25,30,35,40,45,50)/100*(Inputs!$B$11-Inputs!$B$11),0))))/100+(Inputs!$B$23+0+(IF(ArtifactsInput!$M$15,CHOOSE(ArtifactsInput!$N$15+1,25,30,35,40,45,50)/100*(Inputs!$B$11-Inputs!$B$11),0)))/100)/2</f>
        <v/>
      </c>
      <c r="M2088">
        <f>L2088*(1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8">
        <f>L2088*(1-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2088*(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8">
        <f>(1-Summary!$B$11)*T2088+Summary!$B$11*V2088</f>
        <v/>
      </c>
      <c r="P2088">
        <f>IF(B2120=0,0,O2088/B2120)</f>
        <v/>
      </c>
      <c r="Q2088" t="n">
        <v>0</v>
      </c>
      <c r="R2088" t="n">
        <v>0</v>
      </c>
      <c r="S2088">
        <f>IFERROR(O2088/N2088,0)</f>
        <v/>
      </c>
      <c r="T2088">
        <f>IF(C2088,(Skills!G3*H2088*N2088*B2114)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8">
        <f>INDEX(FactorTable!$B$2:$Y$301, MATCH(ROUND(MIN(300,MAX(1,U2087)),0), FactorTable!$A$2:$A$301,0), 22)</f>
        <v/>
      </c>
      <c r="V2088">
        <f>IF(C2088,(Skills!G3*H2088*N2088*B2114)*IF(Inputs!$B$38="pvp",1,(1+(Inputs!$B$21+Skills!Q3+(IF(ArtifactsInput!$M$33,CHOOSE(ArtifactsInput!$N$33+1,30,36,42,48,54,60),0))+(IF(AND(ArtifactsInput!$M$35,Inputs!$B$4&lt;&gt;"Chapter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9">
      <c r="A2089">
        <f>Skills!A4</f>
        <v/>
      </c>
      <c r="B2089">
        <f>Skills!B4</f>
        <v/>
      </c>
      <c r="C2089">
        <f>Inputs!$B$3&gt;=60</f>
        <v/>
      </c>
      <c r="D2089">
        <f>IF(Skills!C4=1,60+Inputs!$B$25+Inputs!$B$29,IF(Skills!C4=2,90+Inputs!$B$26+Inputs!$B$29,IF(Skills!C4=3,120+Inputs!$B$27+Inputs!$B$29,MAX(0,(Inputs!$B$3-100)*3)+Inputs!$B$28+Inputs!$B$29)))</f>
        <v/>
      </c>
      <c r="E2089">
        <f>INDEX(FactorTable!$B$2:$Y$301, MATCH(ROUND(MIN(300,MAX(1,D2089)),0), FactorTable!$A$2:$A$301,0), Skills!M4+1)</f>
        <v/>
      </c>
      <c r="F2089">
        <f>IF(Skills!N4=TRUE,(Skills!L4/10)*(E2089/1000),Skills!L4/10)+Skills!O4</f>
        <v/>
      </c>
      <c r="G2089">
        <f>Skills!G4*IF(Skills!H4&gt;0,Skills!I4/Skills!H4,1)</f>
        <v/>
      </c>
      <c r="H2089">
        <f>1-(1-Skills!J4/100)^Skills!K4</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2097=TRUE,F2097,0)/100)*(1+(IF(Skills!A4="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2105=TRUE)*(F2105-Calc!F20)),(Inputs!$B$23+0+(IF(ArtifactsInput!$M$15,CHOOSE(ArtifactsInput!$N$15+1,25,30,35,40,45,50)/100*(Inputs!$B$11-Inputs!$B$11),0))))/100+(Inputs!$B$23+0+(IF(ArtifactsInput!$M$15,CHOOSE(ArtifactsInput!$N$15+1,25,30,35,40,45,50)/100*(Inputs!$B$11-Inputs!$B$11),0)))/100)/2</f>
        <v/>
      </c>
      <c r="M2089">
        <f>L2089*(1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IF(B2120=0,0,O2089/B2120)</f>
        <v/>
      </c>
      <c r="Q2089" t="n">
        <v>0</v>
      </c>
      <c r="R2089" t="n">
        <v>0</v>
      </c>
      <c r="S2089">
        <f>IFERROR(O2089/N2089,0)</f>
        <v/>
      </c>
      <c r="T2089">
        <f>IF(C2089,(Skills!G4*H2089*N2089*B2114)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290*U2088/1000</f>
        <v/>
      </c>
      <c r="V2089">
        <f>IF(C2089,(Skills!G4*H2089*N2089*B2114)*IF(Inputs!$B$38="pvp",1,(1+(Inputs!$B$21+Skills!Q4+(IF(ArtifactsInput!$M$33,CHOOSE(ArtifactsInput!$N$33+1,30,36,42,48,54,60),0))+(IF(AND(ArtifactsInput!$M$35,Inputs!$B$4&lt;&gt;"Chapter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Skills!A5</f>
        <v/>
      </c>
      <c r="B2090">
        <f>Skills!B5</f>
        <v/>
      </c>
      <c r="C2090">
        <f>Inputs!$B$3&gt;=60</f>
        <v/>
      </c>
      <c r="D2090">
        <f>IF(Skills!C5=1,60+Inputs!$B$25+Inputs!$B$29,IF(Skills!C5=2,90+Inputs!$B$26+Inputs!$B$29,IF(Skills!C5=3,120+Inputs!$B$27+Inputs!$B$29,MAX(0,(Inputs!$B$3-100)*3)+Inputs!$B$28+Inputs!$B$29)))</f>
        <v/>
      </c>
      <c r="E2090">
        <f>INDEX(FactorTable!$B$2:$Y$301, MATCH(ROUND(MIN(300,MAX(1,D2090)),0), FactorTable!$A$2:$A$301,0), Skills!M5+1)</f>
        <v/>
      </c>
      <c r="F2090">
        <f>IF(Skills!N5=TRUE,(Skills!L5/10)*(E2090/1000),Skills!L5/10)+Skills!O5</f>
        <v/>
      </c>
      <c r="G2090">
        <f>Skills!G5*IF(Skills!H5&gt;0,Skills!I5/Skills!H5,1)</f>
        <v/>
      </c>
      <c r="H2090">
        <f>1-(1-Skills!J5/100)^Skills!K5</f>
        <v/>
      </c>
      <c r="I2090" t="inlineStr">
        <is>
          <t>1</t>
        </is>
      </c>
      <c r="J2090" t="inlineStr"/>
      <c r="K2090" t="inlineStr"/>
      <c r="L2090" t="inlineStr"/>
      <c r="M2090" t="inlineStr"/>
      <c r="N2090" t="inlineStr"/>
      <c r="O2090">
        <f>(1-Summary!$B$11)*T2090+Summary!$B$11*V2090</f>
        <v/>
      </c>
      <c r="P2090">
        <f>IF(B2120=0,0,O2090/B2120)</f>
        <v/>
      </c>
      <c r="Q2090" t="n">
        <v>0</v>
      </c>
      <c r="R2090" t="n">
        <v>0</v>
      </c>
      <c r="S2090">
        <f>IFERROR(O2090/N2090,0)</f>
        <v/>
      </c>
      <c r="T2090" t="n">
        <v>0</v>
      </c>
      <c r="V2090" t="n">
        <v>0</v>
      </c>
    </row>
    <row r="2091">
      <c r="A2091">
        <f>Skills!A6</f>
        <v/>
      </c>
      <c r="B2091">
        <f>Skills!B6</f>
        <v/>
      </c>
      <c r="C2091">
        <f>Inputs!$B$3&gt;=63</f>
        <v/>
      </c>
      <c r="D2091">
        <f>IF(Skills!C6=1,60+Inputs!$B$25+Inputs!$B$29,IF(Skills!C6=2,90+Inputs!$B$26+Inputs!$B$29,IF(Skills!C6=3,120+Inputs!$B$27+Inputs!$B$29,MAX(0,(Inputs!$B$3-100)*3)+Inputs!$B$28+Inputs!$B$29)))</f>
        <v/>
      </c>
      <c r="E2091">
        <f>INDEX(FactorTable!$B$2:$Y$301, MATCH(ROUND(MIN(300,MAX(1,D2091)),0), FactorTable!$A$2:$A$301,0), Skills!M6+1)</f>
        <v/>
      </c>
      <c r="F2091">
        <f>IF(Skills!N6=TRUE,(Skills!L6/10)*(E2091/1000),Skills!L6/10)+Skills!O6</f>
        <v/>
      </c>
      <c r="G2091">
        <f>Skills!G6*IF(Skills!H6&gt;0,Skills!I6/Skills!H6,1)</f>
        <v/>
      </c>
      <c r="H2091">
        <f>1-(1-Skills!J6/100)^Skills!K6</f>
        <v/>
      </c>
      <c r="I2091" t="inlineStr">
        <is>
          <t>1</t>
        </is>
      </c>
      <c r="J2091">
        <f>((Inputs!$B$6*(1+Inputs!$B$7/100))+(((Inputs!$B$12*(1+Inputs!$B$13/100))-(Inputs!$B$12*(1+Inputs!$B$13/100)))+0.25*(Inputs!$B$14-Inputs!$B$14))*(1+Inputs!$B$7/100))*(F2091/100)</f>
        <v/>
      </c>
      <c r="K2091">
        <f>J2091*(1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2105=TRUE)*(F2105-Calc!F20)),(Inputs!$B$23+0+(IF(ArtifactsInput!$M$15,CHOOSE(ArtifactsInput!$N$15+1,25,30,35,40,45,50)/100*(Inputs!$B$11-Inputs!$B$11),0))))/100+(Inputs!$B$23+0+(IF(ArtifactsInput!$M$15,CHOOSE(ArtifactsInput!$N$15+1,25,30,35,40,45,50)/100*(Inputs!$B$11-Inputs!$B$11),0)))/100)/2</f>
        <v/>
      </c>
      <c r="M2091">
        <f>L2091*(1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IF(B2120=0,0,O2091/B2120)</f>
        <v/>
      </c>
      <c r="Q2091">
        <f>IFERROR(1/(IF(Inputs!$B$38="pvp",15,MAX(0.1,Skills!D6-IF(Skills!E6=TRUE,Inputs!$B$32,0)))*(1-IF(AND(ArtifactsInput!$M$27,Inputs!$B$4="Chapter Hunt"),CHOOSE(ArtifactsInput!$N$27+1,20,24,28,32,36,40),0)/100)),0)</f>
        <v/>
      </c>
      <c r="R2091">
        <f>IF(AND(Inputs!$B$38&lt;&gt;"pvp",Inputs!$B$43&gt;0),IF(MAX(0,Inputs!$B$43-B2117)&lt;=0,0,(INT(MAX(0,Inputs!$B$43-B2117)/(IF(Inputs!$B$38="pvp",15,MAX(0.1,Skills!D6-IF(Skills!E6=TRUE,Inputs!$B$32,0)))*(1-IF(AND(ArtifactsInput!$M$27,Inputs!$B$4="Chapter Hunt"),CHOOSE(ArtifactsInput!$N$27+1,20,24,28,32,36,40),0)/100)))+1)),0)</f>
        <v/>
      </c>
      <c r="S2091">
        <f>IFERROR(O2091/N2091,0)</f>
        <v/>
      </c>
      <c r="T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$21+Skills!Q6+(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Skills!A7</f>
        <v/>
      </c>
      <c r="B2092">
        <f>Skills!B7</f>
        <v/>
      </c>
      <c r="C2092">
        <f>Inputs!$B$3&gt;=100</f>
        <v/>
      </c>
      <c r="D2092">
        <f>IF(Skills!C7=1,60+Inputs!$B$25+Inputs!$B$29,IF(Skills!C7=2,90+Inputs!$B$26+Inputs!$B$29,IF(Skills!C7=3,120+Inputs!$B$27+Inputs!$B$29,MAX(0,(Inputs!$B$3-100)*3)+Inputs!$B$28+Inputs!$B$29)))</f>
        <v/>
      </c>
      <c r="E2092">
        <f>INDEX(FactorTable!$B$2:$Y$301, MATCH(ROUND(MIN(300,MAX(1,D2092)),0), FactorTable!$A$2:$A$301,0), Skills!M7+1)</f>
        <v/>
      </c>
      <c r="F2092">
        <f>IF(Skills!N7=TRUE,(Skills!L7/10)*(E2092/1000),Skills!L7/10)+Skills!O7</f>
        <v/>
      </c>
      <c r="G2092">
        <f>Skills!G7*IF(Skills!H7&gt;0,Skills!I7/Skills!H7,1)</f>
        <v/>
      </c>
      <c r="H2092">
        <f>1-(1-Skills!J7/100)^Skills!K7</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2105=TRUE)*(F2105-Calc!F20)),(Inputs!$B$23+0+(IF(ArtifactsInput!$M$15,CHOOSE(ArtifactsInput!$N$15+1,25,30,35,40,45,50)/100*(Inputs!$B$11-Inputs!$B$11),0))))/100+(Inputs!$B$23+0+(IF(ArtifactsInput!$M$15,CHOOSE(ArtifactsInput!$N$15+1,25,30,35,40,45,50)/100*(Inputs!$B$11-Inputs!$B$11),0)))/100)/2</f>
        <v/>
      </c>
      <c r="M2092">
        <f>L2092*(1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IF(B2120=0,0,O2092/B2120)</f>
        <v/>
      </c>
      <c r="Q2092">
        <f>IFERROR(1/(IF(Inputs!$B$38="pvp",15,MAX(0.1,Skills!D7-IF(Skills!E7=TRUE,Inputs!$B$32,0)))*(1-IF(AND(ArtifactsInput!$M$27,Inputs!$B$4="Chapter Hunt"),CHOOSE(ArtifactsInput!$N$27+1,20,24,28,32,36,40),0)/100)),0)</f>
        <v/>
      </c>
      <c r="R2092">
        <f>IF(AND(Inputs!$B$38&lt;&gt;"pvp",Inputs!$B$43&gt;0),IF(MAX(0,Inputs!$B$43-B2117)&lt;=0,0,(INT(MAX(0,Inputs!$B$43-B2117)/(IF(Inputs!$B$38="pvp",15,MAX(0.1,Skills!D7-IF(Skills!E7=TRUE,Inputs!$B$32,0)))*(1-IF(AND(ArtifactsInput!$M$27,Inputs!$B$4="Chapter Hunt"),CHOOSE(ArtifactsInput!$N$27+1,20,24,28,32,36,40),0)/100)))+1)),0)</f>
        <v/>
      </c>
      <c r="S2092">
        <f>IFERROR(O2092/N2092,0)</f>
        <v/>
      </c>
      <c r="T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$21+Skills!Q7+(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Skills!A8</f>
        <v/>
      </c>
      <c r="B2093">
        <f>Skills!B8</f>
        <v/>
      </c>
      <c r="C2093">
        <f>Inputs!$B$3&gt;=110</f>
        <v/>
      </c>
      <c r="D2093">
        <f>IF(Skills!C8=1,60+Inputs!$B$25+Inputs!$B$29,IF(Skills!C8=2,90+Inputs!$B$26+Inputs!$B$29,IF(Skills!C8=3,120+Inputs!$B$27+Inputs!$B$29,MAX(0,(Inputs!$B$3-100)*3)+Inputs!$B$28+Inputs!$B$29)))</f>
        <v/>
      </c>
      <c r="E2093">
        <f>INDEX(FactorTable!$B$2:$Y$301, MATCH(ROUND(MIN(300,MAX(1,D2093)),0), FactorTable!$A$2:$A$301,0), Skills!M8+1)</f>
        <v/>
      </c>
      <c r="F2093">
        <f>IF(Skills!N8=TRUE,(Skills!L8/10)*(E2093/1000),Skills!L8/10)+Skills!O8</f>
        <v/>
      </c>
      <c r="G2093">
        <f>Skills!G8*IF(Skills!H8&gt;0,Skills!I8/Skills!H8,1)</f>
        <v/>
      </c>
      <c r="H2093">
        <f>1-(1-Skills!J8/100)^Skills!K8</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2105=TRUE)*(F2105-Calc!F20)),(Inputs!$B$23+0+(IF(ArtifactsInput!$M$15,CHOOSE(ArtifactsInput!$N$15+1,25,30,35,40,45,50)/100*(Inputs!$B$11-Inputs!$B$11),0))))/100+(Inputs!$B$23+0+(IF(ArtifactsInput!$M$15,CHOOSE(ArtifactsInput!$N$15+1,25,30,35,40,45,50)/100*(Inputs!$B$11-Inputs!$B$11),0)))/100)/2</f>
        <v/>
      </c>
      <c r="M2093">
        <f>L2093*(1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IF(B2120=0,0,O2093/B2120)</f>
        <v/>
      </c>
      <c r="Q2093">
        <f>IFERROR(1/(IF(Inputs!$B$38="pvp",15,MAX(0.1,Skills!D8-IF(Skills!E8=TRUE,Inputs!$B$32,0)))*(1-IF(AND(ArtifactsInput!$M$27,Inputs!$B$4="Chapter Hunt"),CHOOSE(ArtifactsInput!$N$27+1,20,24,28,32,36,40),0)/100)),0)</f>
        <v/>
      </c>
      <c r="R2093">
        <f>IF(AND(Inputs!$B$38&lt;&gt;"pvp",Inputs!$B$43&gt;0),IF(MAX(0,Inputs!$B$43-B2117)&lt;=0,0,(INT(MAX(0,Inputs!$B$43-B2117)/(IF(Inputs!$B$38="pvp",15,MAX(0.1,Skills!D8-IF(Skills!E8=TRUE,Inputs!$B$32,0)))*(1-IF(AND(ArtifactsInput!$M$27,Inputs!$B$4="Chapter Hunt"),CHOOSE(ArtifactsInput!$N$27+1,20,24,28,32,36,40),0)/100)))+1)),0)</f>
        <v/>
      </c>
      <c r="S2093">
        <f>IFERROR(O2093/N2093,0)</f>
        <v/>
      </c>
      <c r="T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$21+Skills!Q8+(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Skills!A9</f>
        <v/>
      </c>
      <c r="B2094">
        <f>Skills!B9</f>
        <v/>
      </c>
      <c r="C2094">
        <f>Inputs!$B$3&gt;=110</f>
        <v/>
      </c>
      <c r="D2094">
        <f>IF(Skills!C9=1,60+Inputs!$B$25+Inputs!$B$29,IF(Skills!C9=2,90+Inputs!$B$26+Inputs!$B$29,IF(Skills!C9=3,120+Inputs!$B$27+Inputs!$B$29,MAX(0,(Inputs!$B$3-100)*3)+Inputs!$B$28+Inputs!$B$29)))</f>
        <v/>
      </c>
      <c r="E2094">
        <f>INDEX(FactorTable!$B$2:$Y$301, MATCH(ROUND(MIN(300,MAX(1,D2094)),0), FactorTable!$A$2:$A$301,0), Skills!M9+1)</f>
        <v/>
      </c>
      <c r="F2094">
        <f>IF(Skills!N9=TRUE,(Skills!L9/10)*(E2094/1000),Skills!L9/10)+Skills!O9</f>
        <v/>
      </c>
      <c r="G2094">
        <f>Skills!G9*IF(Skills!H9&gt;0,Skills!I9/Skills!H9,1)</f>
        <v/>
      </c>
      <c r="H2094">
        <f>1-(1-Skills!J9/100)^Skills!K9</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2105=TRUE)*(F2105-Calc!F20)),(Inputs!$B$23+0+(IF(ArtifactsInput!$M$15,CHOOSE(ArtifactsInput!$N$15+1,25,30,35,40,45,50)/100*(Inputs!$B$11-Inputs!$B$11),0))))/100+(Inputs!$B$23+0+(IF(ArtifactsInput!$M$15,CHOOSE(ArtifactsInput!$N$15+1,25,30,35,40,45,50)/100*(Inputs!$B$11-Inputs!$B$11),0)))/100)/2</f>
        <v/>
      </c>
      <c r="M2094">
        <f>L2094*(1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IF(B2120=0,0,O2094/B2120)</f>
        <v/>
      </c>
      <c r="Q2094">
        <f>IFERROR(1/(IF(Inputs!$B$38="pvp",15,MAX(0.1,Skills!D9-IF(Skills!E9=TRUE,Inputs!$B$32,0)))*(1-IF(AND(ArtifactsInput!$M$27,Inputs!$B$4="Chapter Hunt"),CHOOSE(ArtifactsInput!$N$27+1,20,24,28,32,36,40),0)/100)),0)</f>
        <v/>
      </c>
      <c r="R2094">
        <f>IF(AND(Inputs!$B$38&lt;&gt;"pvp",Inputs!$B$43&gt;0),IF(MAX(0,Inputs!$B$43-B2117)&lt;=0,0,(INT(MAX(0,Inputs!$B$43-B2117)/(IF(Inputs!$B$38="pvp",15,MAX(0.1,Skills!D9-IF(Skills!E9=TRUE,Inputs!$B$32,0)))*(1-IF(AND(ArtifactsInput!$M$27,Inputs!$B$4="Chapter Hunt"),CHOOSE(ArtifactsInput!$N$27+1,20,24,28,32,36,40),0)/100)))+1)),0)</f>
        <v/>
      </c>
      <c r="S2094">
        <f>IFERROR(O2094/N2094,0)</f>
        <v/>
      </c>
      <c r="T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$21+Skills!Q9+(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Skills!A10</f>
        <v/>
      </c>
      <c r="B2095">
        <f>Skills!B10</f>
        <v/>
      </c>
      <c r="C2095">
        <f>Inputs!$B$3&gt;=103</f>
        <v/>
      </c>
      <c r="D2095">
        <f>IF(Skills!C10=1,60+Inputs!$B$25+Inputs!$B$29,IF(Skills!C10=2,90+Inputs!$B$26+Inputs!$B$29,IF(Skills!C10=3,120+Inputs!$B$27+Inputs!$B$29,MAX(0,(Inputs!$B$3-100)*3)+Inputs!$B$28+Inputs!$B$29)))</f>
        <v/>
      </c>
      <c r="E2095">
        <f>INDEX(FactorTable!$B$2:$Y$301, MATCH(ROUND(MIN(300,MAX(1,D2095)),0), FactorTable!$A$2:$A$301,0), Skills!M10+1)</f>
        <v/>
      </c>
      <c r="F2095">
        <f>IF(Skills!N10=TRUE,(Skills!L10/10)*(E2095/1000),Skills!L10/10)+Skills!O10</f>
        <v/>
      </c>
      <c r="G2095">
        <f>Skills!G10*IF(Skills!H10&gt;0,Skills!I10/Skills!H10,1)</f>
        <v/>
      </c>
      <c r="H2095">
        <f>1-(1-Skills!J10/100)^Skills!K10</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2105=TRUE)*(F2105-Calc!F20)),(Inputs!$B$23+0+(IF(ArtifactsInput!$M$15,CHOOSE(ArtifactsInput!$N$15+1,25,30,35,40,45,50)/100*(Inputs!$B$11-Inputs!$B$11),0))))/100+(Inputs!$B$23+0+(IF(ArtifactsInput!$M$15,CHOOSE(ArtifactsInput!$N$15+1,25,30,35,40,45,50)/100*(Inputs!$B$11-Inputs!$B$11),0)))/100)/2</f>
        <v/>
      </c>
      <c r="M2095">
        <f>L2095*(1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IF(B2120=0,0,O2095/B2120)</f>
        <v/>
      </c>
      <c r="Q2095">
        <f>IFERROR(1/(IF(Inputs!$B$38="pvp",15,MAX(0.1,Skills!D10-IF(Skills!E10=TRUE,Inputs!$B$32,0)))*(1-IF(AND(ArtifactsInput!$M$27,Inputs!$B$4="Chapter Hunt"),CHOOSE(ArtifactsInput!$N$27+1,20,24,28,32,36,40),0)/100)),0)</f>
        <v/>
      </c>
      <c r="R2095">
        <f>IF(AND(Inputs!$B$38&lt;&gt;"pvp",Inputs!$B$43&gt;0),IF(MAX(0,Inputs!$B$43-B2117)&lt;=0,0,(INT(MAX(0,Inputs!$B$43-B2117)/(IF(Inputs!$B$38="pvp",15,MAX(0.1,Skills!D10-IF(Skills!E10=TRUE,Inputs!$B$32,0)))*(1-IF(AND(ArtifactsInput!$M$27,Inputs!$B$4="Chapter Hunt"),CHOOSE(ArtifactsInput!$N$27+1,20,24,28,32,36,40),0)/100)))+1)),0)</f>
        <v/>
      </c>
      <c r="S2095">
        <f>IFERROR(O2095/N2095,0)</f>
        <v/>
      </c>
      <c r="T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$21+Skills!Q10+(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Skills!A11</f>
        <v/>
      </c>
      <c r="B2096">
        <f>Skills!B11</f>
        <v/>
      </c>
      <c r="C2096">
        <f>Inputs!$B$3&gt;=113</f>
        <v/>
      </c>
      <c r="D2096">
        <f>IF(Skills!C11=1,60+Inputs!$B$25+Inputs!$B$29,IF(Skills!C11=2,90+Inputs!$B$26+Inputs!$B$29,IF(Skills!C11=3,120+Inputs!$B$27+Inputs!$B$29,MAX(0,(Inputs!$B$3-100)*3)+Inputs!$B$28+Inputs!$B$29)))</f>
        <v/>
      </c>
      <c r="E2096">
        <f>INDEX(FactorTable!$B$2:$Y$301, MATCH(ROUND(MIN(300,MAX(1,D2096)),0), FactorTable!$A$2:$A$301,0), Skills!M11+1)</f>
        <v/>
      </c>
      <c r="F2096">
        <f>IF(Skills!N11=TRUE,(Skills!L11/10)*(E2096/1000),Skills!L11/10)+Skills!O11</f>
        <v/>
      </c>
      <c r="G2096">
        <f>Skills!G11*IF(Skills!H11&gt;0,Skills!I11/Skills!H11,1)</f>
        <v/>
      </c>
      <c r="H2096">
        <f>1-(1-Skills!J11/100)^Skills!K11</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2105=TRUE)*(F2105-Calc!F20)),(Inputs!$B$23+0+(IF(ArtifactsInput!$M$15,CHOOSE(ArtifactsInput!$N$15+1,25,30,35,40,45,50)/100*(Inputs!$B$11-Inputs!$B$11),0))))/100+(Inputs!$B$23+0+(IF(ArtifactsInput!$M$15,CHOOSE(ArtifactsInput!$N$15+1,25,30,35,40,45,50)/100*(Inputs!$B$11-Inputs!$B$11),0)))/100)/2</f>
        <v/>
      </c>
      <c r="M2096">
        <f>L2096*(1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IF(B2120=0,0,O2096/B2120)</f>
        <v/>
      </c>
      <c r="Q2096">
        <f>IFERROR(1/(IF(Inputs!$B$38="pvp",15,MAX(0.1,Skills!D11-IF(Skills!E11=TRUE,Inputs!$B$32,0)))*(1-IF(AND(ArtifactsInput!$M$27,Inputs!$B$4="Chapter Hunt"),CHOOSE(ArtifactsInput!$N$27+1,20,24,28,32,36,40),0)/100)),0)</f>
        <v/>
      </c>
      <c r="R2096">
        <f>IF(AND(Inputs!$B$38&lt;&gt;"pvp",Inputs!$B$43&gt;0),IF(MAX(0,Inputs!$B$43-B2117)&lt;=0,0,(INT(MAX(0,Inputs!$B$43-B2117)/(IF(Inputs!$B$38="pvp",15,MAX(0.1,Skills!D11-IF(Skills!E11=TRUE,Inputs!$B$32,0)))*(1-IF(AND(ArtifactsInput!$M$27,Inputs!$B$4="Chapter Hunt"),CHOOSE(ArtifactsInput!$N$27+1,20,24,28,32,36,40),0)/100)))+1)),0)</f>
        <v/>
      </c>
      <c r="S2096">
        <f>IFERROR(O2096/N2096,0)</f>
        <v/>
      </c>
      <c r="T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$21+Skills!Q11+(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Skills!A12</f>
        <v/>
      </c>
      <c r="B2097">
        <f>Skills!B12</f>
        <v/>
      </c>
      <c r="C2097">
        <f>Inputs!$B$3&gt;=100</f>
        <v/>
      </c>
      <c r="D2097">
        <f>IF(Skills!C12=1,60+Inputs!$B$25+Inputs!$B$29,IF(Skills!C12=2,90+Inputs!$B$26+Inputs!$B$29,IF(Skills!C12=3,120+Inputs!$B$27+Inputs!$B$29,MAX(0,(Inputs!$B$3-100)*3)+Inputs!$B$28+Inputs!$B$29)))</f>
        <v/>
      </c>
      <c r="E2097">
        <f>INDEX(FactorTable!$B$2:$Y$301, MATCH(ROUND(MIN(300,MAX(1,D2097)),0), FactorTable!$A$2:$A$301,0), Skills!M12+1)</f>
        <v/>
      </c>
      <c r="F2097">
        <f>IF(Skills!N12=TRUE,(Skills!L12/10)*(E2097/1000),Skills!L12/10)+Skills!O12</f>
        <v/>
      </c>
      <c r="G2097" t="inlineStr"/>
      <c r="H2097" t="inlineStr"/>
      <c r="I2097" t="inlineStr">
        <is>
          <t>1</t>
        </is>
      </c>
      <c r="J2097" t="inlineStr"/>
      <c r="K2097" t="inlineStr"/>
      <c r="L2097" t="inlineStr"/>
      <c r="M2097" t="inlineStr"/>
      <c r="N2097" t="inlineStr"/>
      <c r="O2097" t="inlineStr"/>
      <c r="P2097" t="inlineStr"/>
      <c r="Q2097" t="inlineStr"/>
      <c r="R2097" t="inlineStr"/>
      <c r="S2097" t="inlineStr"/>
      <c r="T2097" t="inlineStr"/>
      <c r="V2097" t="inlineStr"/>
    </row>
    <row r="2098">
      <c r="A2098">
        <f>Skills!A13</f>
        <v/>
      </c>
      <c r="B2098">
        <f>Skills!B13</f>
        <v/>
      </c>
      <c r="C2098">
        <f>Inputs!$B$3&gt;=66</f>
        <v/>
      </c>
      <c r="D2098">
        <f>IF(Skills!C13=1,60+Inputs!$B$25+Inputs!$B$29,IF(Skills!C13=2,90+Inputs!$B$26+Inputs!$B$29,IF(Skills!C13=3,120+Inputs!$B$27+Inputs!$B$29,MAX(0,(Inputs!$B$3-100)*3)+Inputs!$B$28+Inputs!$B$29)))</f>
        <v/>
      </c>
      <c r="E2098">
        <f>INDEX(FactorTable!$B$2:$Y$301, MATCH(ROUND(MIN(300,MAX(1,D2098)),0), FactorTable!$A$2:$A$301,0), Skills!M13+1)</f>
        <v/>
      </c>
      <c r="F2098">
        <f>IF(Skills!N13=TRUE,(Skills!L13/10)*(E2098/1000),Skills!L13/10)+Skills!O13</f>
        <v/>
      </c>
      <c r="G2098">
        <f>Skills!G13*IF(Skills!H13&gt;0,Skills!I13/Skills!H13,1)</f>
        <v/>
      </c>
      <c r="H2098">
        <f>1-(1-Skills!J13/100)^Skills!K13</f>
        <v/>
      </c>
      <c r="I2098" t="inlineStr">
        <is>
          <t>1</t>
        </is>
      </c>
      <c r="J2098" t="inlineStr"/>
      <c r="K2098" t="inlineStr"/>
      <c r="L2098" t="inlineStr"/>
      <c r="M2098" t="inlineStr"/>
      <c r="N2098" t="inlineStr"/>
      <c r="O2098">
        <f>(1-Summary!$B$11)*T2098+Summary!$B$11*V2098</f>
        <v/>
      </c>
      <c r="P2098">
        <f>IF(B2120=0,0,O2098/B2120)</f>
        <v/>
      </c>
      <c r="Q2098" t="n">
        <v>0</v>
      </c>
      <c r="R2098" t="n">
        <v>0</v>
      </c>
      <c r="S2098">
        <f>IFERROR(O2098/N2098,0)</f>
        <v/>
      </c>
      <c r="T2098" t="n">
        <v>0</v>
      </c>
      <c r="V2098" t="n">
        <v>0</v>
      </c>
    </row>
    <row r="2099">
      <c r="A2099">
        <f>Skills!A14</f>
        <v/>
      </c>
      <c r="B2099">
        <f>Skills!B14</f>
        <v/>
      </c>
      <c r="C2099">
        <f>Inputs!$B$3&gt;=107</f>
        <v/>
      </c>
      <c r="D2099">
        <f>IF(Skills!C14=1,60+Inputs!$B$25+Inputs!$B$29,IF(Skills!C14=2,90+Inputs!$B$26+Inputs!$B$29,IF(Skills!C14=3,120+Inputs!$B$27+Inputs!$B$29,MAX(0,(Inputs!$B$3-100)*3)+Inputs!$B$28+Inputs!$B$29)))</f>
        <v/>
      </c>
      <c r="E2099">
        <f>INDEX(FactorTable!$B$2:$Y$301, MATCH(ROUND(MIN(300,MAX(1,D2099)),0), FactorTable!$A$2:$A$301,0), Skills!M14+1)</f>
        <v/>
      </c>
      <c r="F2099">
        <f>IF(Skills!N14=TRUE,(Skills!L14/10)*(E2099/1000),Skills!L14/10)+Skills!O14</f>
        <v/>
      </c>
      <c r="G2099">
        <f>Skills!G14*IF(Skills!H14&gt;0,Skills!I14/Skills!H14,1)</f>
        <v/>
      </c>
      <c r="H2099">
        <f>1-(1-Skills!J14/100)^Skills!K14</f>
        <v/>
      </c>
      <c r="I2099" t="inlineStr">
        <is>
          <t>1</t>
        </is>
      </c>
      <c r="J2099" t="inlineStr"/>
      <c r="K2099" t="inlineStr"/>
      <c r="L2099" t="inlineStr"/>
      <c r="M2099" t="inlineStr"/>
      <c r="N2099" t="inlineStr"/>
      <c r="O2099">
        <f>(1-Summary!$B$11)*T2099+Summary!$B$11*V2099</f>
        <v/>
      </c>
      <c r="P2099">
        <f>IF(B2120=0,0,O2099/B2120)</f>
        <v/>
      </c>
      <c r="Q2099" t="n">
        <v>0</v>
      </c>
      <c r="R2099" t="n">
        <v>0</v>
      </c>
      <c r="S2099">
        <f>IFERROR(O2099/N2099,0)</f>
        <v/>
      </c>
      <c r="T2099" t="n">
        <v>0</v>
      </c>
      <c r="V2099" t="n">
        <v>0</v>
      </c>
    </row>
    <row r="2100">
      <c r="A2100">
        <f>Skills!A15</f>
        <v/>
      </c>
      <c r="B2100">
        <f>Skills!B15</f>
        <v/>
      </c>
      <c r="C2100">
        <f>Inputs!$B$3&gt;=115</f>
        <v/>
      </c>
      <c r="D2100">
        <f>IF(Skills!C15=1,60+Inputs!$B$25+Inputs!$B$29,IF(Skills!C15=2,90+Inputs!$B$26+Inputs!$B$29,IF(Skills!C15=3,120+Inputs!$B$27+Inputs!$B$29,MAX(0,(Inputs!$B$3-100)*3)+Inputs!$B$28+Inputs!$B$29)))</f>
        <v/>
      </c>
      <c r="E2100">
        <f>INDEX(FactorTable!$B$2:$Y$301, MATCH(ROUND(MIN(300,MAX(1,D2100)),0), FactorTable!$A$2:$A$301,0), Skills!M15+1)</f>
        <v/>
      </c>
      <c r="F2100">
        <f>IF(Skills!N15=TRUE,(Skills!L15/10)*(E2100/1000),Skills!L15/10)+Skills!O15</f>
        <v/>
      </c>
      <c r="G2100">
        <f>Skills!G15*IF(Skills!H15&gt;0,Skills!I15/Skills!H15,1)</f>
        <v/>
      </c>
      <c r="H2100">
        <f>1-(1-Skills!J15/100)^Skills!K15</f>
        <v/>
      </c>
      <c r="I2100" t="inlineStr">
        <is>
          <t>1</t>
        </is>
      </c>
      <c r="J2100" t="inlineStr"/>
      <c r="K2100" t="inlineStr"/>
      <c r="L2100" t="inlineStr"/>
      <c r="M2100" t="inlineStr"/>
      <c r="N2100" t="inlineStr"/>
      <c r="O2100">
        <f>(1-Summary!$B$11)*T2100+Summary!$B$11*V2100</f>
        <v/>
      </c>
      <c r="P2100">
        <f>IF(B2120=0,0,O2100/B2120)</f>
        <v/>
      </c>
      <c r="Q2100" t="n">
        <v>0</v>
      </c>
      <c r="R2100" t="n">
        <v>0</v>
      </c>
      <c r="S2100">
        <f>IFERROR(O2100/N2100,0)</f>
        <v/>
      </c>
      <c r="T2100" t="n">
        <v>0</v>
      </c>
      <c r="V2100" t="n">
        <v>0</v>
      </c>
    </row>
    <row r="2101">
      <c r="A2101">
        <f>Skills!A16</f>
        <v/>
      </c>
      <c r="B2101">
        <f>Skills!B16</f>
        <v/>
      </c>
      <c r="C2101">
        <f>Inputs!$B$3&gt;=15</f>
        <v/>
      </c>
      <c r="D2101">
        <f>IF(Skills!C16=1,60+Inputs!$B$25+Inputs!$B$29,IF(Skills!C16=2,90+Inputs!$B$26+Inputs!$B$29,IF(Skills!C16=3,120+Inputs!$B$27+Inputs!$B$29,MAX(0,(Inputs!$B$3-100)*3)+Inputs!$B$28+Inputs!$B$29)))</f>
        <v/>
      </c>
      <c r="E2101">
        <f>INDEX(FactorTable!$B$2:$Y$301, MATCH(ROUND(MIN(300,MAX(1,D2101)),0), FactorTable!$A$2:$A$301,0), Skills!M16+1)</f>
        <v/>
      </c>
      <c r="F2101">
        <f>IF(Skills!N16=TRUE,(Skills!L16/10)*(E2101/1000),Skills!L16/10)+Skills!O16</f>
        <v/>
      </c>
      <c r="G2101">
        <f>Skills!G16*IF(Skills!H16&gt;0,Skills!I16/Skills!H16,1)</f>
        <v/>
      </c>
      <c r="H2101">
        <f>1-(1-Skills!J16/100)^Skills!K16</f>
        <v/>
      </c>
      <c r="I2101" t="inlineStr">
        <is>
          <t>1</t>
        </is>
      </c>
      <c r="J2101" t="inlineStr"/>
      <c r="K2101" t="inlineStr"/>
      <c r="L2101" t="inlineStr"/>
      <c r="M2101" t="inlineStr"/>
      <c r="N2101" t="inlineStr"/>
      <c r="O2101">
        <f>(1-Summary!$B$11)*T2101+Summary!$B$11*V2101</f>
        <v/>
      </c>
      <c r="P2101">
        <f>IF(B2120=0,0,O2101/B2120)</f>
        <v/>
      </c>
      <c r="Q2101" t="n">
        <v>0</v>
      </c>
      <c r="R2101" t="n">
        <v>0</v>
      </c>
      <c r="S2101">
        <f>IFERROR(O2101/N2101,0)</f>
        <v/>
      </c>
      <c r="T2101" t="n">
        <v>0</v>
      </c>
      <c r="V2101" t="n">
        <v>0</v>
      </c>
    </row>
    <row r="2102">
      <c r="A2102">
        <f>Skills!A17</f>
        <v/>
      </c>
      <c r="B2102">
        <f>Skills!B17</f>
        <v/>
      </c>
      <c r="C2102">
        <f>Inputs!$B$3&gt;=10</f>
        <v/>
      </c>
      <c r="D2102">
        <f>IF(Skills!C17=1,60+Inputs!$B$25+Inputs!$B$29,IF(Skills!C17=2,90+Inputs!$B$26+Inputs!$B$29,IF(Skills!C17=3,120+Inputs!$B$27+Inputs!$B$29,MAX(0,(Inputs!$B$3-100)*3)+Inputs!$B$28+Inputs!$B$29)))</f>
        <v/>
      </c>
      <c r="E2102">
        <f>INDEX(FactorTable!$B$2:$Y$301, MATCH(ROUND(MIN(300,MAX(1,D2102)),0), FactorTable!$A$2:$A$301,0), Skills!M17+1)</f>
        <v/>
      </c>
      <c r="F2102">
        <f>IF(Skills!N17=TRUE,(Skills!L17/10)*(E2102/1000),Skills!L17/10)+Skills!O17</f>
        <v/>
      </c>
      <c r="G2102">
        <f>Skills!G17*IF(Skills!H17&gt;0,Skills!I17/Skills!H17,1)</f>
        <v/>
      </c>
      <c r="H2102">
        <f>1-(1-Skills!J17/100)^Skills!K17</f>
        <v/>
      </c>
      <c r="I2102" t="inlineStr">
        <is>
          <t>1</t>
        </is>
      </c>
      <c r="J2102" t="inlineStr"/>
      <c r="K2102" t="inlineStr"/>
      <c r="L2102" t="inlineStr"/>
      <c r="M2102" t="inlineStr"/>
      <c r="N2102" t="inlineStr"/>
      <c r="O2102">
        <f>(1-Summary!$B$11)*T2102+Summary!$B$11*V2102</f>
        <v/>
      </c>
      <c r="P2102">
        <f>IF(B2120=0,0,O2102/B2120)</f>
        <v/>
      </c>
      <c r="Q2102" t="n">
        <v>0</v>
      </c>
      <c r="R2102" t="n">
        <v>0</v>
      </c>
      <c r="S2102">
        <f>IFERROR(O2102/N2102,0)</f>
        <v/>
      </c>
      <c r="T2102" t="n">
        <v>0</v>
      </c>
      <c r="V2102" t="n">
        <v>0</v>
      </c>
    </row>
    <row r="2103">
      <c r="A2103">
        <f>Skills!A18</f>
        <v/>
      </c>
      <c r="B2103">
        <f>Skills!B18</f>
        <v/>
      </c>
      <c r="C2103">
        <f>Inputs!$B$3&gt;=33</f>
        <v/>
      </c>
      <c r="D2103">
        <f>IF(Skills!C18=1,60+Inputs!$B$25+Inputs!$B$29,IF(Skills!C18=2,90+Inputs!$B$26+Inputs!$B$29,IF(Skills!C18=3,120+Inputs!$B$27+Inputs!$B$29,MAX(0,(Inputs!$B$3-100)*3)+Inputs!$B$28+Inputs!$B$29)))</f>
        <v/>
      </c>
      <c r="E2103">
        <f>INDEX(FactorTable!$B$2:$Y$301, MATCH(ROUND(MIN(300,MAX(1,D2103)),0), FactorTable!$A$2:$A$301,0), Skills!M18+1)</f>
        <v/>
      </c>
      <c r="F2103">
        <f>IF(Skills!N18=TRUE,(Skills!L18/10)*(E2103/1000),Skills!L18/10)+Skills!O18</f>
        <v/>
      </c>
      <c r="G2103">
        <f>Skills!G18*IF(Skills!H18&gt;0,Skills!I18/Skills!H18,1)</f>
        <v/>
      </c>
      <c r="H2103">
        <f>1-(1-Skills!J18/100)^Skills!K18</f>
        <v/>
      </c>
      <c r="I2103" t="inlineStr">
        <is>
          <t>1</t>
        </is>
      </c>
      <c r="J2103" t="inlineStr"/>
      <c r="K2103" t="inlineStr"/>
      <c r="L2103" t="inlineStr"/>
      <c r="M2103" t="inlineStr"/>
      <c r="N2103" t="inlineStr"/>
      <c r="O2103">
        <f>(1-Summary!$B$11)*T2103+Summary!$B$11*V2103</f>
        <v/>
      </c>
      <c r="P2103">
        <f>IF(B2120=0,0,O2103/B2120)</f>
        <v/>
      </c>
      <c r="Q2103" t="n">
        <v>0</v>
      </c>
      <c r="R2103" t="n">
        <v>0</v>
      </c>
      <c r="S2103">
        <f>IFERROR(O2103/N2103,0)</f>
        <v/>
      </c>
      <c r="T2103" t="n">
        <v>0</v>
      </c>
      <c r="V2103" t="n">
        <v>0</v>
      </c>
    </row>
    <row r="2104">
      <c r="A2104">
        <f>Skills!A19</f>
        <v/>
      </c>
      <c r="B2104">
        <f>Skills!B19</f>
        <v/>
      </c>
      <c r="C2104">
        <f>Inputs!$B$3&gt;=40</f>
        <v/>
      </c>
      <c r="D2104">
        <f>IF(Skills!C19=1,60+Inputs!$B$25+Inputs!$B$29,IF(Skills!C19=2,90+Inputs!$B$26+Inputs!$B$29,IF(Skills!C19=3,120+Inputs!$B$27+Inputs!$B$29,MAX(0,(Inputs!$B$3-100)*3)+Inputs!$B$28+Inputs!$B$29)))</f>
        <v/>
      </c>
      <c r="E2104">
        <f>INDEX(FactorTable!$B$2:$Y$301, MATCH(ROUND(MIN(300,MAX(1,D2104)),0), FactorTable!$A$2:$A$301,0), Skills!M19+1)</f>
        <v/>
      </c>
      <c r="F2104">
        <f>IF(Skills!N19=TRUE,(Skills!L19/10)*(E2104/1000),Skills!L19/10)+Skills!O19</f>
        <v/>
      </c>
      <c r="G2104">
        <f>Skills!G19*IF(Skills!H19&gt;0,Skills!I19/Skills!H19,1)</f>
        <v/>
      </c>
      <c r="H2104">
        <f>1-(1-Skills!J19/100)^Skills!K19</f>
        <v/>
      </c>
      <c r="I2104" t="inlineStr">
        <is>
          <t>1</t>
        </is>
      </c>
      <c r="J2104" t="inlineStr"/>
      <c r="K2104" t="inlineStr"/>
      <c r="L2104" t="inlineStr"/>
      <c r="M2104" t="inlineStr"/>
      <c r="N2104" t="inlineStr"/>
      <c r="O2104">
        <f>(1-Summary!$B$11)*T2104+Summary!$B$11*V2104</f>
        <v/>
      </c>
      <c r="P2104">
        <f>IF(B2120=0,0,O2104/B2120)</f>
        <v/>
      </c>
      <c r="Q2104" t="n">
        <v>0</v>
      </c>
      <c r="R2104" t="n">
        <v>0</v>
      </c>
      <c r="S2104">
        <f>IFERROR(O2104/N2104,0)</f>
        <v/>
      </c>
      <c r="T2104" t="n">
        <v>0</v>
      </c>
      <c r="V2104" t="n">
        <v>0</v>
      </c>
    </row>
    <row r="2105">
      <c r="A2105">
        <f>Skills!A20</f>
        <v/>
      </c>
      <c r="B2105">
        <f>Skills!B20</f>
        <v/>
      </c>
      <c r="C2105">
        <f>Inputs!$B$3&gt;=43</f>
        <v/>
      </c>
      <c r="D2105">
        <f>IF(Skills!C20=1,60+Inputs!$B$25+Inputs!$B$29,IF(Skills!C20=2,90+Inputs!$B$26+Inputs!$B$29,IF(Skills!C20=3,120+Inputs!$B$27+Inputs!$B$29,MAX(0,(Inputs!$B$3-100)*3)+Inputs!$B$28+Inputs!$B$29)))</f>
        <v/>
      </c>
      <c r="E2105">
        <f>INDEX(FactorTable!$B$2:$Y$301, MATCH(ROUND(MIN(300,MAX(1,D2105)),0), FactorTable!$A$2:$A$301,0), Skills!M20+1)</f>
        <v/>
      </c>
      <c r="F2105">
        <f>IF(Skills!N20=TRUE,(Skills!L20/10)*(E2105/1000),Skills!L20/10)+Skills!O20</f>
        <v/>
      </c>
      <c r="G2105">
        <f>Skills!G20*IF(Skills!H20&gt;0,Skills!I20/Skills!H20,1)</f>
        <v/>
      </c>
      <c r="H2105">
        <f>1-(1-Skills!J20/100)^Skills!K20</f>
        <v/>
      </c>
      <c r="I2105" t="inlineStr">
        <is>
          <t>1</t>
        </is>
      </c>
      <c r="J2105" t="inlineStr"/>
      <c r="K2105" t="inlineStr"/>
      <c r="L2105" t="inlineStr"/>
      <c r="M2105" t="inlineStr"/>
      <c r="N2105" t="inlineStr"/>
      <c r="O2105">
        <f>(1-Summary!$B$11)*T2105+Summary!$B$11*V2105</f>
        <v/>
      </c>
      <c r="P2105">
        <f>IF(B2120=0,0,O2105/B2120)</f>
        <v/>
      </c>
      <c r="Q2105" t="n">
        <v>0</v>
      </c>
      <c r="R2105" t="n">
        <v>0</v>
      </c>
      <c r="S2105">
        <f>IFERROR(O2105/N2105,0)</f>
        <v/>
      </c>
      <c r="T2105" t="n">
        <v>0</v>
      </c>
      <c r="V2105" t="n">
        <v>0</v>
      </c>
    </row>
    <row r="2106">
      <c r="A2106">
        <f>Skills!A21</f>
        <v/>
      </c>
      <c r="B2106">
        <f>Skills!B21</f>
        <v/>
      </c>
      <c r="C2106">
        <f>Inputs!$B$3&gt;=38</f>
        <v/>
      </c>
      <c r="D2106">
        <f>IF(Skills!C21=1,60+Inputs!$B$25+Inputs!$B$29,IF(Skills!C21=2,90+Inputs!$B$26+Inputs!$B$29,IF(Skills!C21=3,120+Inputs!$B$27+Inputs!$B$29,MAX(0,(Inputs!$B$3-100)*3)+Inputs!$B$28+Inputs!$B$29)))</f>
        <v/>
      </c>
      <c r="E2106">
        <f>INDEX(FactorTable!$B$2:$Y$301, MATCH(ROUND(MIN(300,MAX(1,D2106)),0), FactorTable!$A$2:$A$301,0), Skills!M21+1)</f>
        <v/>
      </c>
      <c r="F2106">
        <f>IF(Skills!N21=TRUE,(Skills!L21/10)*(E2106/1000),Skills!L21/10)+Skills!O21</f>
        <v/>
      </c>
      <c r="G2106">
        <f>Skills!G21*IF(Skills!H21&gt;0,Skills!I21/Skills!H21,1)</f>
        <v/>
      </c>
      <c r="H2106">
        <f>1-(1-Skills!J21/100)^Skills!K21</f>
        <v/>
      </c>
      <c r="I2106" t="inlineStr">
        <is>
          <t>1</t>
        </is>
      </c>
      <c r="J2106" t="inlineStr"/>
      <c r="K2106" t="inlineStr"/>
      <c r="L2106" t="inlineStr"/>
      <c r="M2106" t="inlineStr"/>
      <c r="N2106" t="inlineStr"/>
      <c r="O2106">
        <f>(1-Summary!$B$11)*T2106+Summary!$B$11*V2106</f>
        <v/>
      </c>
      <c r="P2106">
        <f>IF(B2120=0,0,O2106/B2120)</f>
        <v/>
      </c>
      <c r="Q2106" t="n">
        <v>0</v>
      </c>
      <c r="R2106" t="n">
        <v>0</v>
      </c>
      <c r="S2106">
        <f>IFERROR(O2106/N2106,0)</f>
        <v/>
      </c>
      <c r="T2106" t="n">
        <v>0</v>
      </c>
      <c r="V2106" t="n">
        <v>0</v>
      </c>
    </row>
    <row r="2107">
      <c r="A2107">
        <f>Skills!A22</f>
        <v/>
      </c>
      <c r="B2107">
        <f>Skills!B22</f>
        <v/>
      </c>
      <c r="C2107">
        <f>Inputs!$B$3&gt;=75</f>
        <v/>
      </c>
      <c r="D2107">
        <f>IF(Skills!C22=1,60+Inputs!$B$25+Inputs!$B$29,IF(Skills!C22=2,90+Inputs!$B$26+Inputs!$B$29,IF(Skills!C22=3,120+Inputs!$B$27+Inputs!$B$29,MAX(0,(Inputs!$B$3-100)*3)+Inputs!$B$28+Inputs!$B$29)))</f>
        <v/>
      </c>
      <c r="E2107">
        <f>INDEX(FactorTable!$B$2:$Y$301, MATCH(ROUND(MIN(300,MAX(1,D2107)),0), FactorTable!$A$2:$A$301,0), Skills!M22+1)</f>
        <v/>
      </c>
      <c r="F2107">
        <f>IF(Skills!N22=TRUE,(Skills!L22/10)*(E2107/1000),Skills!L22/10)+Skills!O22</f>
        <v/>
      </c>
      <c r="G2107">
        <f>Skills!G22*IF(Skills!H22&gt;0,Skills!I22/Skills!H22,1)</f>
        <v/>
      </c>
      <c r="H2107">
        <f>1-(1-Skills!J22/100)^Skills!K22</f>
        <v/>
      </c>
      <c r="I2107" t="inlineStr">
        <is>
          <t>1</t>
        </is>
      </c>
      <c r="J2107" t="inlineStr"/>
      <c r="K2107" t="inlineStr"/>
      <c r="L2107" t="inlineStr"/>
      <c r="M2107" t="inlineStr"/>
      <c r="N2107" t="inlineStr"/>
      <c r="O2107">
        <f>(1-Summary!$B$11)*T2107+Summary!$B$11*V2107</f>
        <v/>
      </c>
      <c r="P2107">
        <f>IF(B2120=0,0,O2107/B2120)</f>
        <v/>
      </c>
      <c r="Q2107" t="n">
        <v>0</v>
      </c>
      <c r="R2107" t="n">
        <v>0</v>
      </c>
      <c r="S2107">
        <f>IFERROR(O2107/N2107,0)</f>
        <v/>
      </c>
      <c r="T2107" t="n">
        <v>0</v>
      </c>
      <c r="V2107" t="n">
        <v>0</v>
      </c>
    </row>
    <row r="2109">
      <c r="A2109" t="inlineStr">
        <is>
          <t>Attack% Bucket Multiplier</t>
        </is>
      </c>
      <c r="B2109">
        <f>(1+(((C2098=TRUE)*F2098)+((C2104=TRUE)*(F2104-Calc!F19))+(IF(ArtifactsInput!$M$21,CHOOSE(ArtifactsInput!$N$21+1,25,30,35,40,45,50)*(IF(OR(Inputs!$B$4="Chapter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0">
      <c r="A2110" t="inlineStr">
        <is>
          <t>Global Crit Rate Bonus %</t>
        </is>
      </c>
      <c r="B2110" t="n">
        <v>0</v>
      </c>
    </row>
    <row r="2111">
      <c r="A2111" t="inlineStr">
        <is>
          <t>Attack Speed Buff Bonus % (unused)</t>
        </is>
      </c>
      <c r="B2111" t="n">
        <v>0</v>
      </c>
    </row>
    <row r="2112">
      <c r="A2112" t="inlineStr">
        <is>
          <t>Actions Per Second</t>
        </is>
      </c>
      <c r="B2112">
        <f>1+MIN(150,150*(1-(1-(Inputs!$B$11+((C2102=TRUE)*(F2102-Calc!F17))+((C2103=TRUE)*(F2103-Calc!F18)))/150)*(1-B2111/150)))/100</f>
        <v/>
      </c>
    </row>
    <row r="2113">
      <c r="A2113" t="inlineStr">
        <is>
          <t>Skill + Buff Cast Rate</t>
        </is>
      </c>
      <c r="B2113">
        <f>IF(AND(Inputs!$B$38&lt;&gt;"pvp",Inputs!$B$43&gt;0),SUMPRODUCT((Skills!E2:E22=TRUE)*(C2087:C2107=TRUE)*R2087:R2107*Skills!F2:F22)/Inputs!$B$43,SUMPRODUCT((Skills!E2:E22=TRUE)*(C2087:C2107=TRUE)*Q2087:Q2107*Skills!F2:F22))</f>
        <v/>
      </c>
    </row>
    <row r="2114">
      <c r="A2114" t="inlineStr">
        <is>
          <t>Hook Bomber Casts Per Second</t>
        </is>
      </c>
      <c r="B2114">
        <f>MAX(0,B2112-B2113)</f>
        <v/>
      </c>
    </row>
    <row r="2115">
      <c r="A2115" t="inlineStr">
        <is>
          <t>Global Critical Damage Bonus % (unused)</t>
        </is>
      </c>
      <c r="B2115" t="n">
        <v>0</v>
      </c>
    </row>
    <row r="2116">
      <c r="A2116" t="inlineStr">
        <is>
          <t>Global Final Damage Bonus % (Serpent Scale + Crossbones + Time Leap + Speed Infusion)</t>
        </is>
      </c>
      <c r="B2116">
        <f>((C2090=TRUE)*F2090*((10+IF(Inputs!$B$3&gt;=94,5,0))/((10+IF(Inputs!$B$3&gt;=94,5,0))+5/(B2114*(1+IF(Inputs!$B$3&gt;=104,1,0))))))+((C2099=TRUE)*F2099)+((C2100=TRUE)*F2100)+((Inputs!$B$3&gt;=110)*20*(B2112-1))</f>
        <v/>
      </c>
    </row>
    <row r="2117">
      <c r="A2117" t="inlineStr">
        <is>
          <t>Buff-Casting Startup Delay (s, fixed-duration only)</t>
        </is>
      </c>
      <c r="B2117">
        <f>IF(AND(Inputs!$B$38&lt;&gt;"pvp",Inputs!$B$43&gt;0),SUMPRODUCT((Skills!T2:T22&gt;0)*(Skills!E2:E22=TRUE)*(C2087:C2107=TRUE))/B2112,0)</f>
        <v/>
      </c>
    </row>
    <row r="2118">
      <c r="A2118" t="inlineStr">
        <is>
          <t>Boss-Only Total DPS (this block's swept value)</t>
        </is>
      </c>
      <c r="B2118">
        <f>SUM(T2087:T2107)</f>
        <v/>
      </c>
    </row>
    <row r="2119">
      <c r="A2119" t="inlineStr">
        <is>
          <t>Normal-Only Total DPS (this block's swept value)</t>
        </is>
      </c>
      <c r="B2119">
        <f>SUM(V2087:V2107)</f>
        <v/>
      </c>
    </row>
    <row r="2120">
      <c r="A2120" s="6" t="inlineStr">
        <is>
          <t>TOTAL DPS</t>
        </is>
      </c>
      <c r="B2120" s="6">
        <f>SUM(O2087:O2107)</f>
        <v/>
      </c>
    </row>
    <row r="2123">
      <c r="A2123" s="6" t="inlineStr">
        <is>
          <t>Stat: Peach Tree Herb Pouch (Equip)</t>
        </is>
      </c>
    </row>
    <row r="2124">
      <c r="A2124" s="5" t="inlineStr">
        <is>
          <t>Key</t>
        </is>
      </c>
      <c r="B2124" s="5" t="inlineStr">
        <is>
          <t>Name</t>
        </is>
      </c>
      <c r="C2124" s="5" t="inlineStr">
        <is>
          <t>Unlocked</t>
        </is>
      </c>
      <c r="D2124" s="5" t="inlineStr">
        <is>
          <t>InputLevel</t>
        </is>
      </c>
      <c r="E2124" s="5" t="inlineStr">
        <is>
          <t>Factor</t>
        </is>
      </c>
      <c r="F2124" s="5" t="inlineStr">
        <is>
          <t>CoefficientPercent</t>
        </is>
      </c>
      <c r="G2124" s="5" t="inlineStr">
        <is>
          <t>EffectiveHits</t>
        </is>
      </c>
      <c r="H2124" s="5" t="inlineStr">
        <is>
          <t>ProcProbability</t>
        </is>
      </c>
      <c r="I2124" s="5" t="inlineStr">
        <is>
          <t>MapleHeroMultiplier</t>
        </is>
      </c>
      <c r="J2124" s="5" t="inlineStr">
        <is>
          <t>BaseDamage</t>
        </is>
      </c>
      <c r="K2124" s="5" t="inlineStr">
        <is>
          <t>BaseHitDamage</t>
        </is>
      </c>
      <c r="L2124" s="5" t="inlineStr">
        <is>
          <t>NonCritAvg</t>
        </is>
      </c>
      <c r="M2124" s="5" t="inlineStr">
        <is>
          <t>CritAvg</t>
        </is>
      </c>
      <c r="N2124" s="5" t="inlineStr">
        <is>
          <t>ExpectedDamage(perHit)</t>
        </is>
      </c>
      <c r="O2124" s="5" t="inlineStr">
        <is>
          <t>DPS</t>
        </is>
      </c>
      <c r="P2124" s="5" t="inlineStr">
        <is>
          <t>% of Total</t>
        </is>
      </c>
      <c r="Q2124" s="5" t="inlineStr">
        <is>
          <t>InvCooldown</t>
        </is>
      </c>
      <c r="R2124" s="5" t="inlineStr">
        <is>
          <t>CastsInFight</t>
        </is>
      </c>
      <c r="S2124" s="5" t="inlineStr">
        <is>
          <t>HitRate(perSec)</t>
        </is>
      </c>
      <c r="U2124" t="inlineStr">
        <is>
          <t>helpers</t>
        </is>
      </c>
    </row>
    <row r="2125">
      <c r="A2125">
        <f>Skills!A2</f>
        <v/>
      </c>
      <c r="B2125">
        <f>Skills!B2</f>
        <v/>
      </c>
      <c r="C2125">
        <f>Inputs!$B$3&gt;=100</f>
        <v/>
      </c>
      <c r="D2125" t="inlineStr"/>
      <c r="E2125" t="inlineStr"/>
      <c r="F2125">
        <f>U2127+Skills!O2</f>
        <v/>
      </c>
      <c r="G2125">
        <f>Skills!G2*IF(Skills!H2&gt;0,Skills!I2/Skills!H2,1)</f>
        <v/>
      </c>
      <c r="H2125">
        <f>1-(1-Skills!J2/100)^Skills!K2</f>
        <v/>
      </c>
      <c r="I2125" t="inlineStr">
        <is>
          <t>1</t>
        </is>
      </c>
      <c r="J2125">
        <f>((Inputs!$B$6*(1+Inputs!$B$7/100))+(((Inputs!$B$12*(1+Inputs!$B$13/100))-(Inputs!$B$12*(1+Inputs!$B$13/100)))+0.25*(Inputs!$B$14-Inputs!$B$14))*(1+Inputs!$B$7/100))*(F2125/100)</f>
        <v/>
      </c>
      <c r="K2125">
        <f>J2125*(1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2125)</f>
        <v/>
      </c>
      <c r="L2125">
        <f>K2125*(MIN(Inputs!$B$22+((C2143=TRUE)*(F2143-Calc!F20)),(Inputs!$B$23+0+(IF(ArtifactsInput!$M$15,CHOOSE(ArtifactsInput!$N$15+1,25,30,35,40,45,50)/100*(Inputs!$B$11-Inputs!$B$11),0))))/100+(Inputs!$B$23+0+(IF(ArtifactsInput!$M$15,CHOOSE(ArtifactsInput!$N$15+1,25,30,35,40,45,50)/100*(Inputs!$B$11-Inputs!$B$11),0)))/100)/2</f>
        <v/>
      </c>
      <c r="M2125">
        <f>L2125*(1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5">
        <f>L2125*(1-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2125*(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5">
        <f>(1-Summary!$B$11)*T2125+Summary!$B$11*V2125</f>
        <v/>
      </c>
      <c r="P2125">
        <f>IF(B2158=0,0,O2125/B2158)</f>
        <v/>
      </c>
      <c r="Q2125" t="n">
        <v>0</v>
      </c>
      <c r="R2125" t="n">
        <v>0</v>
      </c>
      <c r="S2125">
        <f>IFERROR(O2125/N2125,0)</f>
        <v/>
      </c>
      <c r="T2125">
        <f>IF(C2125,(Skills!G2*N2125*B2152)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5">
        <f>MAX(0,(Inputs!$B$3-100)*3)+Inputs!$B$28+Inputs!$B$29</f>
        <v/>
      </c>
      <c r="V2125">
        <f>IF(C2125,(Skills!G2*N2125*B2152)*IF(Inputs!$B$38="pvp",1,(1+(Inputs!$B$21+Skills!Q2+(IF(ArtifactsInput!$M$33,CHOOSE(ArtifactsInput!$N$33+1,30,36,42,48,54,60),0))+(IF(AND(IF(ArtifactsInput!$M$35,FALSE,TRUE),Inputs!$B$4&lt;&gt;"Chapter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6">
      <c r="A2126">
        <f>Skills!A3</f>
        <v/>
      </c>
      <c r="B2126">
        <f>Skills!B3</f>
        <v/>
      </c>
      <c r="C2126">
        <f>Inputs!$B$3&gt;=35</f>
        <v/>
      </c>
      <c r="D2126">
        <f>IF(Skills!C3=1,60+Inputs!$B$25+Inputs!$B$29,IF(Skills!C3=2,90+Inputs!$B$26+Inputs!$B$29,IF(Skills!C3=3,120+Inputs!$B$27+Inputs!$B$29,MAX(0,(Inputs!$B$3-100)*3)+Inputs!$B$28+Inputs!$B$29)))</f>
        <v/>
      </c>
      <c r="E2126">
        <f>INDEX(FactorTable!$B$2:$Y$301, MATCH(ROUND(MIN(300,MAX(1,D2126)),0), FactorTable!$A$2:$A$301,0), Skills!M3+1)</f>
        <v/>
      </c>
      <c r="F2126">
        <f>IF(Skills!N3=TRUE,(Skills!L3/10)*(E2126/1000),Skills!L3/10)+Skills!O3</f>
        <v/>
      </c>
      <c r="G2126">
        <f>Skills!G3*IF(Skills!H3&gt;0,Skills!I3/Skills!H3,1)</f>
        <v/>
      </c>
      <c r="H2126">
        <f>1-(1-Skills!J3/100)^Skills!K3</f>
        <v/>
      </c>
      <c r="I2126" t="inlineStr">
        <is>
          <t>1</t>
        </is>
      </c>
      <c r="J2126">
        <f>((Inputs!$B$6*(1+Inputs!$B$7/100))+(((Inputs!$B$12*(1+Inputs!$B$13/100))-(Inputs!$B$12*(1+Inputs!$B$13/100)))+0.25*(Inputs!$B$14-Inputs!$B$14))*(1+Inputs!$B$7/100))*(F2126/100)</f>
        <v/>
      </c>
      <c r="K2126">
        <f>J2126*(1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2126)</f>
        <v/>
      </c>
      <c r="L2126">
        <f>K2126*(MIN(Inputs!$B$22+((C2143=TRUE)*(F2143-Calc!F20)),(Inputs!$B$23+0+(IF(ArtifactsInput!$M$15,CHOOSE(ArtifactsInput!$N$15+1,25,30,35,40,45,50)/100*(Inputs!$B$11-Inputs!$B$11),0))))/100+(Inputs!$B$23+0+(IF(ArtifactsInput!$M$15,CHOOSE(ArtifactsInput!$N$15+1,25,30,35,40,45,50)/100*(Inputs!$B$11-Inputs!$B$11),0)))/100)/2</f>
        <v/>
      </c>
      <c r="M2126">
        <f>L2126*(1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6">
        <f>L2126*(1-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2126*(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6">
        <f>(1-Summary!$B$11)*T2126+Summary!$B$11*V2126</f>
        <v/>
      </c>
      <c r="P2126">
        <f>IF(B2158=0,0,O2126/B2158)</f>
        <v/>
      </c>
      <c r="Q2126" t="n">
        <v>0</v>
      </c>
      <c r="R2126" t="n">
        <v>0</v>
      </c>
      <c r="S2126">
        <f>IFERROR(O2126/N2126,0)</f>
        <v/>
      </c>
      <c r="T2126">
        <f>IF(C2126,(Skills!G3*H2126*N2126*B2152)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6">
        <f>INDEX(FactorTable!$B$2:$Y$301, MATCH(ROUND(MIN(300,MAX(1,U2125)),0), FactorTable!$A$2:$A$301,0), 22)</f>
        <v/>
      </c>
      <c r="V2126">
        <f>IF(C2126,(Skills!G3*H2126*N2126*B2152)*IF(Inputs!$B$38="pvp",1,(1+(Inputs!$B$21+Skills!Q3+(IF(ArtifactsInput!$M$33,CHOOSE(ArtifactsInput!$N$33+1,30,36,42,48,54,60),0))+(IF(AND(IF(ArtifactsInput!$M$35,FALSE,TRUE),Inputs!$B$4&lt;&gt;"Chapter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7">
      <c r="A2127">
        <f>Skills!A4</f>
        <v/>
      </c>
      <c r="B2127">
        <f>Skills!B4</f>
        <v/>
      </c>
      <c r="C2127">
        <f>Inputs!$B$3&gt;=60</f>
        <v/>
      </c>
      <c r="D2127">
        <f>IF(Skills!C4=1,60+Inputs!$B$25+Inputs!$B$29,IF(Skills!C4=2,90+Inputs!$B$26+Inputs!$B$29,IF(Skills!C4=3,120+Inputs!$B$27+Inputs!$B$29,MAX(0,(Inputs!$B$3-100)*3)+Inputs!$B$28+Inputs!$B$29)))</f>
        <v/>
      </c>
      <c r="E2127">
        <f>INDEX(FactorTable!$B$2:$Y$301, MATCH(ROUND(MIN(300,MAX(1,D2127)),0), FactorTable!$A$2:$A$301,0), Skills!M4+1)</f>
        <v/>
      </c>
      <c r="F2127">
        <f>IF(Skills!N4=TRUE,(Skills!L4/10)*(E2127/1000),Skills!L4/10)+Skills!O4</f>
        <v/>
      </c>
      <c r="G2127">
        <f>Skills!G4*IF(Skills!H4&gt;0,Skills!I4/Skills!H4,1)</f>
        <v/>
      </c>
      <c r="H2127">
        <f>1-(1-Skills!J4/100)^Skills!K4</f>
        <v/>
      </c>
      <c r="I2127" t="inlineStr">
        <is>
          <t>1</t>
        </is>
      </c>
      <c r="J2127">
        <f>((Inputs!$B$6*(1+Inputs!$B$7/100))+(((Inputs!$B$12*(1+Inputs!$B$13/100))-(Inputs!$B$12*(1+Inputs!$B$13/100)))+0.25*(Inputs!$B$14-Inputs!$B$14))*(1+Inputs!$B$7/100))*(F2127/100)</f>
        <v/>
      </c>
      <c r="K2127">
        <f>J2127*(1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2135=TRUE,F2135,0)/100)*(1+(IF(Skills!A4="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2127)</f>
        <v/>
      </c>
      <c r="L2127">
        <f>K2127*(MIN(Inputs!$B$22+((C2143=TRUE)*(F2143-Calc!F20)),(Inputs!$B$23+0+(IF(ArtifactsInput!$M$15,CHOOSE(ArtifactsInput!$N$15+1,25,30,35,40,45,50)/100*(Inputs!$B$11-Inputs!$B$11),0))))/100+(Inputs!$B$23+0+(IF(ArtifactsInput!$M$15,CHOOSE(ArtifactsInput!$N$15+1,25,30,35,40,45,50)/100*(Inputs!$B$11-Inputs!$B$11),0)))/100)/2</f>
        <v/>
      </c>
      <c r="M2127">
        <f>L2127*(1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7">
        <f>L2127*(1-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2127*(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7">
        <f>(1-Summary!$B$11)*T2127+Summary!$B$11*V2127</f>
        <v/>
      </c>
      <c r="P2127">
        <f>IF(B2158=0,0,O2127/B2158)</f>
        <v/>
      </c>
      <c r="Q2127" t="n">
        <v>0</v>
      </c>
      <c r="R2127" t="n">
        <v>0</v>
      </c>
      <c r="S2127">
        <f>IFERROR(O2127/N2127,0)</f>
        <v/>
      </c>
      <c r="T2127">
        <f>IF(C2127,(Skills!G4*H2127*N2127*B2152)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7">
        <f>290*U2126/1000</f>
        <v/>
      </c>
      <c r="V2127">
        <f>IF(C2127,(Skills!G4*H2127*N2127*B2152)*IF(Inputs!$B$38="pvp",1,(1+(Inputs!$B$21+Skills!Q4+(IF(ArtifactsInput!$M$33,CHOOSE(ArtifactsInput!$N$33+1,30,36,42,48,54,60),0))+(IF(AND(IF(ArtifactsInput!$M$35,FALSE,TRUE),Inputs!$B$4&lt;&gt;"Chapter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8">
      <c r="A2128">
        <f>Skills!A5</f>
        <v/>
      </c>
      <c r="B2128">
        <f>Skills!B5</f>
        <v/>
      </c>
      <c r="C2128">
        <f>Inputs!$B$3&gt;=60</f>
        <v/>
      </c>
      <c r="D2128">
        <f>IF(Skills!C5=1,60+Inputs!$B$25+Inputs!$B$29,IF(Skills!C5=2,90+Inputs!$B$26+Inputs!$B$29,IF(Skills!C5=3,120+Inputs!$B$27+Inputs!$B$29,MAX(0,(Inputs!$B$3-100)*3)+Inputs!$B$28+Inputs!$B$29)))</f>
        <v/>
      </c>
      <c r="E2128">
        <f>INDEX(FactorTable!$B$2:$Y$301, MATCH(ROUND(MIN(300,MAX(1,D2128)),0), FactorTable!$A$2:$A$301,0), Skills!M5+1)</f>
        <v/>
      </c>
      <c r="F2128">
        <f>IF(Skills!N5=TRUE,(Skills!L5/10)*(E2128/1000),Skills!L5/10)+Skills!O5</f>
        <v/>
      </c>
      <c r="G2128">
        <f>Skills!G5*IF(Skills!H5&gt;0,Skills!I5/Skills!H5,1)</f>
        <v/>
      </c>
      <c r="H2128">
        <f>1-(1-Skills!J5/100)^Skills!K5</f>
        <v/>
      </c>
      <c r="I2128" t="inlineStr">
        <is>
          <t>1</t>
        </is>
      </c>
      <c r="J2128" t="inlineStr"/>
      <c r="K2128" t="inlineStr"/>
      <c r="L2128" t="inlineStr"/>
      <c r="M2128" t="inlineStr"/>
      <c r="N2128" t="inlineStr"/>
      <c r="O2128">
        <f>(1-Summary!$B$11)*T2128+Summary!$B$11*V2128</f>
        <v/>
      </c>
      <c r="P2128">
        <f>IF(B2158=0,0,O2128/B2158)</f>
        <v/>
      </c>
      <c r="Q2128" t="n">
        <v>0</v>
      </c>
      <c r="R2128" t="n">
        <v>0</v>
      </c>
      <c r="S2128">
        <f>IFERROR(O2128/N2128,0)</f>
        <v/>
      </c>
      <c r="T2128" t="n">
        <v>0</v>
      </c>
      <c r="V2128" t="n">
        <v>0</v>
      </c>
    </row>
    <row r="2129">
      <c r="A2129">
        <f>Skills!A6</f>
        <v/>
      </c>
      <c r="B2129">
        <f>Skills!B6</f>
        <v/>
      </c>
      <c r="C2129">
        <f>Inputs!$B$3&gt;=63</f>
        <v/>
      </c>
      <c r="D2129">
        <f>IF(Skills!C6=1,60+Inputs!$B$25+Inputs!$B$29,IF(Skills!C6=2,90+Inputs!$B$26+Inputs!$B$29,IF(Skills!C6=3,120+Inputs!$B$27+Inputs!$B$29,MAX(0,(Inputs!$B$3-100)*3)+Inputs!$B$28+Inputs!$B$29)))</f>
        <v/>
      </c>
      <c r="E2129">
        <f>INDEX(FactorTable!$B$2:$Y$301, MATCH(ROUND(MIN(300,MAX(1,D2129)),0), FactorTable!$A$2:$A$301,0), Skills!M6+1)</f>
        <v/>
      </c>
      <c r="F2129">
        <f>IF(Skills!N6=TRUE,(Skills!L6/10)*(E2129/1000),Skills!L6/10)+Skills!O6</f>
        <v/>
      </c>
      <c r="G2129">
        <f>Skills!G6*IF(Skills!H6&gt;0,Skills!I6/Skills!H6,1)</f>
        <v/>
      </c>
      <c r="H2129">
        <f>1-(1-Skills!J6/100)^Skills!K6</f>
        <v/>
      </c>
      <c r="I2129" t="inlineStr">
        <is>
          <t>1</t>
        </is>
      </c>
      <c r="J2129">
        <f>((Inputs!$B$6*(1+Inputs!$B$7/100))+(((Inputs!$B$12*(1+Inputs!$B$13/100))-(Inputs!$B$12*(1+Inputs!$B$13/100)))+0.25*(Inputs!$B$14-Inputs!$B$14))*(1+Inputs!$B$7/100))*(F2129/100)</f>
        <v/>
      </c>
      <c r="K2129">
        <f>J2129*(1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2129)</f>
        <v/>
      </c>
      <c r="L2129">
        <f>K2129*(MIN(Inputs!$B$22+((C2143=TRUE)*(F2143-Calc!F20)),(Inputs!$B$23+0+(IF(ArtifactsInput!$M$15,CHOOSE(ArtifactsInput!$N$15+1,25,30,35,40,45,50)/100*(Inputs!$B$11-Inputs!$B$11),0))))/100+(Inputs!$B$23+0+(IF(ArtifactsInput!$M$15,CHOOSE(ArtifactsInput!$N$15+1,25,30,35,40,45,50)/100*(Inputs!$B$11-Inputs!$B$11),0)))/100)/2</f>
        <v/>
      </c>
      <c r="M2129">
        <f>L2129*(1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9">
        <f>L2129*(1-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2129*(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9">
        <f>(1-Summary!$B$11)*T2129+Summary!$B$11*V2129</f>
        <v/>
      </c>
      <c r="P2129">
        <f>IF(B2158=0,0,O2129/B2158)</f>
        <v/>
      </c>
      <c r="Q2129">
        <f>IFERROR(1/(IF(Inputs!$B$38="pvp",15,MAX(0.1,Skills!D6-IF(Skills!E6=TRUE,Inputs!$B$32,0)))*(1-IF(AND(ArtifactsInput!$M$27,Inputs!$B$4="Chapter Hunt"),CHOOSE(ArtifactsInput!$N$27+1,20,24,28,32,36,40),0)/100)),0)</f>
        <v/>
      </c>
      <c r="R2129">
        <f>IF(AND(Inputs!$B$38&lt;&gt;"pvp",Inputs!$B$43&gt;0),IF(MAX(0,Inputs!$B$43-B2155)&lt;=0,0,(INT(MAX(0,Inputs!$B$43-B2155)/(IF(Inputs!$B$38="pvp",15,MAX(0.1,Skills!D6-IF(Skills!E6=TRUE,Inputs!$B$32,0)))*(1-IF(AND(ArtifactsInput!$M$27,Inputs!$B$4="Chapter Hunt"),CHOOSE(ArtifactsInput!$N$27+1,20,24,28,32,36,40),0)/100)))+1)),0)</f>
        <v/>
      </c>
      <c r="S2129">
        <f>IFERROR(O2129/N2129,0)</f>
        <v/>
      </c>
      <c r="T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$21+Skills!Q6+(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0">
      <c r="A2130">
        <f>Skills!A7</f>
        <v/>
      </c>
      <c r="B2130">
        <f>Skills!B7</f>
        <v/>
      </c>
      <c r="C2130">
        <f>Inputs!$B$3&gt;=100</f>
        <v/>
      </c>
      <c r="D2130">
        <f>IF(Skills!C7=1,60+Inputs!$B$25+Inputs!$B$29,IF(Skills!C7=2,90+Inputs!$B$26+Inputs!$B$29,IF(Skills!C7=3,120+Inputs!$B$27+Inputs!$B$29,MAX(0,(Inputs!$B$3-100)*3)+Inputs!$B$28+Inputs!$B$29)))</f>
        <v/>
      </c>
      <c r="E2130">
        <f>INDEX(FactorTable!$B$2:$Y$301, MATCH(ROUND(MIN(300,MAX(1,D2130)),0), FactorTable!$A$2:$A$301,0), Skills!M7+1)</f>
        <v/>
      </c>
      <c r="F2130">
        <f>IF(Skills!N7=TRUE,(Skills!L7/10)*(E2130/1000),Skills!L7/10)+Skills!O7</f>
        <v/>
      </c>
      <c r="G2130">
        <f>Skills!G7*IF(Skills!H7&gt;0,Skills!I7/Skills!H7,1)</f>
        <v/>
      </c>
      <c r="H2130">
        <f>1-(1-Skills!J7/100)^Skills!K7</f>
        <v/>
      </c>
      <c r="I2130" t="inlineStr">
        <is>
          <t>1</t>
        </is>
      </c>
      <c r="J2130">
        <f>((Inputs!$B$6*(1+Inputs!$B$7/100))+(((Inputs!$B$12*(1+Inputs!$B$13/100))-(Inputs!$B$12*(1+Inputs!$B$13/100)))+0.25*(Inputs!$B$14-Inputs!$B$14))*(1+Inputs!$B$7/100))*(F2130/100)</f>
        <v/>
      </c>
      <c r="K2130">
        <f>J2130*(1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2130)</f>
        <v/>
      </c>
      <c r="L2130">
        <f>K2130*(MIN(Inputs!$B$22+((C2143=TRUE)*(F2143-Calc!F20)),(Inputs!$B$23+0+(IF(ArtifactsInput!$M$15,CHOOSE(ArtifactsInput!$N$15+1,25,30,35,40,45,50)/100*(Inputs!$B$11-Inputs!$B$11),0))))/100+(Inputs!$B$23+0+(IF(ArtifactsInput!$M$15,CHOOSE(ArtifactsInput!$N$15+1,25,30,35,40,45,50)/100*(Inputs!$B$11-Inputs!$B$11),0)))/100)/2</f>
        <v/>
      </c>
      <c r="M2130">
        <f>L2130*(1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0">
        <f>L2130*(1-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2130*(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0">
        <f>(1-Summary!$B$11)*T2130+Summary!$B$11*V2130</f>
        <v/>
      </c>
      <c r="P2130">
        <f>IF(B2158=0,0,O2130/B2158)</f>
        <v/>
      </c>
      <c r="Q2130">
        <f>IFERROR(1/(IF(Inputs!$B$38="pvp",15,MAX(0.1,Skills!D7-IF(Skills!E7=TRUE,Inputs!$B$32,0)))*(1-IF(AND(ArtifactsInput!$M$27,Inputs!$B$4="Chapter Hunt"),CHOOSE(ArtifactsInput!$N$27+1,20,24,28,32,36,40),0)/100)),0)</f>
        <v/>
      </c>
      <c r="R2130">
        <f>IF(AND(Inputs!$B$38&lt;&gt;"pvp",Inputs!$B$43&gt;0),IF(MAX(0,Inputs!$B$43-B2155)&lt;=0,0,(INT(MAX(0,Inputs!$B$43-B2155)/(IF(Inputs!$B$38="pvp",15,MAX(0.1,Skills!D7-IF(Skills!E7=TRUE,Inputs!$B$32,0)))*(1-IF(AND(ArtifactsInput!$M$27,Inputs!$B$4="Chapter Hunt"),CHOOSE(ArtifactsInput!$N$27+1,20,24,28,32,36,40),0)/100)))+1)),0)</f>
        <v/>
      </c>
      <c r="S2130">
        <f>IFERROR(O2130/N2130,0)</f>
        <v/>
      </c>
      <c r="T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$21+Skills!Q7+(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1">
      <c r="A2131">
        <f>Skills!A8</f>
        <v/>
      </c>
      <c r="B2131">
        <f>Skills!B8</f>
        <v/>
      </c>
      <c r="C2131">
        <f>Inputs!$B$3&gt;=110</f>
        <v/>
      </c>
      <c r="D2131">
        <f>IF(Skills!C8=1,60+Inputs!$B$25+Inputs!$B$29,IF(Skills!C8=2,90+Inputs!$B$26+Inputs!$B$29,IF(Skills!C8=3,120+Inputs!$B$27+Inputs!$B$29,MAX(0,(Inputs!$B$3-100)*3)+Inputs!$B$28+Inputs!$B$29)))</f>
        <v/>
      </c>
      <c r="E2131">
        <f>INDEX(FactorTable!$B$2:$Y$301, MATCH(ROUND(MIN(300,MAX(1,D2131)),0), FactorTable!$A$2:$A$301,0), Skills!M8+1)</f>
        <v/>
      </c>
      <c r="F2131">
        <f>IF(Skills!N8=TRUE,(Skills!L8/10)*(E2131/1000),Skills!L8/10)+Skills!O8</f>
        <v/>
      </c>
      <c r="G2131">
        <f>Skills!G8*IF(Skills!H8&gt;0,Skills!I8/Skills!H8,1)</f>
        <v/>
      </c>
      <c r="H2131">
        <f>1-(1-Skills!J8/100)^Skills!K8</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2143=TRUE)*(F2143-Calc!F20)),(Inputs!$B$23+0+(IF(ArtifactsInput!$M$15,CHOOSE(ArtifactsInput!$N$15+1,25,30,35,40,45,50)/100*(Inputs!$B$11-Inputs!$B$11),0))))/100+(Inputs!$B$23+0+(IF(ArtifactsInput!$M$15,CHOOSE(ArtifactsInput!$N$15+1,25,30,35,40,45,50)/100*(Inputs!$B$11-Inputs!$B$11),0)))/100)/2</f>
        <v/>
      </c>
      <c r="M2131">
        <f>L2131*(1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IF(B2158=0,0,O2131/B2158)</f>
        <v/>
      </c>
      <c r="Q2131">
        <f>IFERROR(1/(IF(Inputs!$B$38="pvp",15,MAX(0.1,Skills!D8-IF(Skills!E8=TRUE,Inputs!$B$32,0)))*(1-IF(AND(ArtifactsInput!$M$27,Inputs!$B$4="Chapter Hunt"),CHOOSE(ArtifactsInput!$N$27+1,20,24,28,32,36,40),0)/100)),0)</f>
        <v/>
      </c>
      <c r="R2131">
        <f>IF(AND(Inputs!$B$38&lt;&gt;"pvp",Inputs!$B$43&gt;0),IF(MAX(0,Inputs!$B$43-B2155)&lt;=0,0,(INT(MAX(0,Inputs!$B$43-B2155)/(IF(Inputs!$B$38="pvp",15,MAX(0.1,Skills!D8-IF(Skills!E8=TRUE,Inputs!$B$32,0)))*(1-IF(AND(ArtifactsInput!$M$27,Inputs!$B$4="Chapter Hunt"),CHOOSE(ArtifactsInput!$N$27+1,20,24,28,32,36,40),0)/100)))+1)),0)</f>
        <v/>
      </c>
      <c r="S2131">
        <f>IFERROR(O2131/N2131,0)</f>
        <v/>
      </c>
      <c r="T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$21+Skills!Q8+(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Skills!A9</f>
        <v/>
      </c>
      <c r="B2132">
        <f>Skills!B9</f>
        <v/>
      </c>
      <c r="C2132">
        <f>Inputs!$B$3&gt;=110</f>
        <v/>
      </c>
      <c r="D2132">
        <f>IF(Skills!C9=1,60+Inputs!$B$25+Inputs!$B$29,IF(Skills!C9=2,90+Inputs!$B$26+Inputs!$B$29,IF(Skills!C9=3,120+Inputs!$B$27+Inputs!$B$29,MAX(0,(Inputs!$B$3-100)*3)+Inputs!$B$28+Inputs!$B$29)))</f>
        <v/>
      </c>
      <c r="E2132">
        <f>INDEX(FactorTable!$B$2:$Y$301, MATCH(ROUND(MIN(300,MAX(1,D2132)),0), FactorTable!$A$2:$A$301,0), Skills!M9+1)</f>
        <v/>
      </c>
      <c r="F2132">
        <f>IF(Skills!N9=TRUE,(Skills!L9/10)*(E2132/1000),Skills!L9/10)+Skills!O9</f>
        <v/>
      </c>
      <c r="G2132">
        <f>Skills!G9*IF(Skills!H9&gt;0,Skills!I9/Skills!H9,1)</f>
        <v/>
      </c>
      <c r="H2132">
        <f>1-(1-Skills!J9/100)^Skills!K9</f>
        <v/>
      </c>
      <c r="I2132" t="inlineStr">
        <is>
          <t>1</t>
        </is>
      </c>
      <c r="J2132">
        <f>((Inputs!$B$6*(1+Inputs!$B$7/100))+(((Inputs!$B$12*(1+Inputs!$B$13/100))-(Inputs!$B$12*(1+Inputs!$B$13/100)))+0.25*(Inputs!$B$14-Inputs!$B$14))*(1+Inputs!$B$7/100))*(F2132/100)</f>
        <v/>
      </c>
      <c r="K2132">
        <f>J2132*(1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2132)</f>
        <v/>
      </c>
      <c r="L2132">
        <f>K2132*(MIN(Inputs!$B$22+((C2143=TRUE)*(F2143-Calc!F20)),(Inputs!$B$23+0+(IF(ArtifactsInput!$M$15,CHOOSE(ArtifactsInput!$N$15+1,25,30,35,40,45,50)/100*(Inputs!$B$11-Inputs!$B$11),0))))/100+(Inputs!$B$23+0+(IF(ArtifactsInput!$M$15,CHOOSE(ArtifactsInput!$N$15+1,25,30,35,40,45,50)/100*(Inputs!$B$11-Inputs!$B$11),0)))/100)/2</f>
        <v/>
      </c>
      <c r="M2132">
        <f>L2132*(1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2">
        <f>L2132*(1-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2132*(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2">
        <f>(1-Summary!$B$11)*T2132+Summary!$B$11*V2132</f>
        <v/>
      </c>
      <c r="P2132">
        <f>IF(B2158=0,0,O2132/B2158)</f>
        <v/>
      </c>
      <c r="Q2132">
        <f>IFERROR(1/(IF(Inputs!$B$38="pvp",15,MAX(0.1,Skills!D9-IF(Skills!E9=TRUE,Inputs!$B$32,0)))*(1-IF(AND(ArtifactsInput!$M$27,Inputs!$B$4="Chapter Hunt"),CHOOSE(ArtifactsInput!$N$27+1,20,24,28,32,36,40),0)/100)),0)</f>
        <v/>
      </c>
      <c r="R2132">
        <f>IF(AND(Inputs!$B$38&lt;&gt;"pvp",Inputs!$B$43&gt;0),IF(MAX(0,Inputs!$B$43-B2155)&lt;=0,0,(INT(MAX(0,Inputs!$B$43-B2155)/(IF(Inputs!$B$38="pvp",15,MAX(0.1,Skills!D9-IF(Skills!E9=TRUE,Inputs!$B$32,0)))*(1-IF(AND(ArtifactsInput!$M$27,Inputs!$B$4="Chapter Hunt"),CHOOSE(ArtifactsInput!$N$27+1,20,24,28,32,36,40),0)/100)))+1)),0)</f>
        <v/>
      </c>
      <c r="S2132">
        <f>IFERROR(O2132/N2132,0)</f>
        <v/>
      </c>
      <c r="T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$21+Skills!Q9+(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3">
      <c r="A2133">
        <f>Skills!A10</f>
        <v/>
      </c>
      <c r="B2133">
        <f>Skills!B10</f>
        <v/>
      </c>
      <c r="C2133">
        <f>Inputs!$B$3&gt;=103</f>
        <v/>
      </c>
      <c r="D2133">
        <f>IF(Skills!C10=1,60+Inputs!$B$25+Inputs!$B$29,IF(Skills!C10=2,90+Inputs!$B$26+Inputs!$B$29,IF(Skills!C10=3,120+Inputs!$B$27+Inputs!$B$29,MAX(0,(Inputs!$B$3-100)*3)+Inputs!$B$28+Inputs!$B$29)))</f>
        <v/>
      </c>
      <c r="E2133">
        <f>INDEX(FactorTable!$B$2:$Y$301, MATCH(ROUND(MIN(300,MAX(1,D2133)),0), FactorTable!$A$2:$A$301,0), Skills!M10+1)</f>
        <v/>
      </c>
      <c r="F2133">
        <f>IF(Skills!N10=TRUE,(Skills!L10/10)*(E2133/1000),Skills!L10/10)+Skills!O10</f>
        <v/>
      </c>
      <c r="G2133">
        <f>Skills!G10*IF(Skills!H10&gt;0,Skills!I10/Skills!H10,1)</f>
        <v/>
      </c>
      <c r="H2133">
        <f>1-(1-Skills!J10/100)^Skills!K10</f>
        <v/>
      </c>
      <c r="I2133" t="inlineStr">
        <is>
          <t>1</t>
        </is>
      </c>
      <c r="J2133">
        <f>((Inputs!$B$6*(1+Inputs!$B$7/100))+(((Inputs!$B$12*(1+Inputs!$B$13/100))-(Inputs!$B$12*(1+Inputs!$B$13/100)))+0.25*(Inputs!$B$14-Inputs!$B$14))*(1+Inputs!$B$7/100))*(F2133/100)</f>
        <v/>
      </c>
      <c r="K2133">
        <f>J2133*(1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2143=TRUE)*(F2143-Calc!F20)),(Inputs!$B$23+0+(IF(ArtifactsInput!$M$15,CHOOSE(ArtifactsInput!$N$15+1,25,30,35,40,45,50)/100*(Inputs!$B$11-Inputs!$B$11),0))))/100+(Inputs!$B$23+0+(IF(ArtifactsInput!$M$15,CHOOSE(ArtifactsInput!$N$15+1,25,30,35,40,45,50)/100*(Inputs!$B$11-Inputs!$B$11),0)))/100)/2</f>
        <v/>
      </c>
      <c r="M2133">
        <f>L2133*(1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IF(B2158=0,0,O2133/B2158)</f>
        <v/>
      </c>
      <c r="Q2133">
        <f>IFERROR(1/(IF(Inputs!$B$38="pvp",15,MAX(0.1,Skills!D10-IF(Skills!E10=TRUE,Inputs!$B$32,0)))*(1-IF(AND(ArtifactsInput!$M$27,Inputs!$B$4="Chapter Hunt"),CHOOSE(ArtifactsInput!$N$27+1,20,24,28,32,36,40),0)/100)),0)</f>
        <v/>
      </c>
      <c r="R2133">
        <f>IF(AND(Inputs!$B$38&lt;&gt;"pvp",Inputs!$B$43&gt;0),IF(MAX(0,Inputs!$B$43-B2155)&lt;=0,0,(INT(MAX(0,Inputs!$B$43-B2155)/(IF(Inputs!$B$38="pvp",15,MAX(0.1,Skills!D10-IF(Skills!E10=TRUE,Inputs!$B$32,0)))*(1-IF(AND(ArtifactsInput!$M$27,Inputs!$B$4="Chapter Hunt"),CHOOSE(ArtifactsInput!$N$27+1,20,24,28,32,36,40),0)/100)))+1)),0)</f>
        <v/>
      </c>
      <c r="S2133">
        <f>IFERROR(O2133/N2133,0)</f>
        <v/>
      </c>
      <c r="T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$21+Skills!Q10+(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Skills!A11</f>
        <v/>
      </c>
      <c r="B2134">
        <f>Skills!B11</f>
        <v/>
      </c>
      <c r="C2134">
        <f>Inputs!$B$3&gt;=113</f>
        <v/>
      </c>
      <c r="D2134">
        <f>IF(Skills!C11=1,60+Inputs!$B$25+Inputs!$B$29,IF(Skills!C11=2,90+Inputs!$B$26+Inputs!$B$29,IF(Skills!C11=3,120+Inputs!$B$27+Inputs!$B$29,MAX(0,(Inputs!$B$3-100)*3)+Inputs!$B$28+Inputs!$B$29)))</f>
        <v/>
      </c>
      <c r="E2134">
        <f>INDEX(FactorTable!$B$2:$Y$301, MATCH(ROUND(MIN(300,MAX(1,D2134)),0), FactorTable!$A$2:$A$301,0), Skills!M11+1)</f>
        <v/>
      </c>
      <c r="F2134">
        <f>IF(Skills!N11=TRUE,(Skills!L11/10)*(E2134/1000),Skills!L11/10)+Skills!O11</f>
        <v/>
      </c>
      <c r="G2134">
        <f>Skills!G11*IF(Skills!H11&gt;0,Skills!I11/Skills!H11,1)</f>
        <v/>
      </c>
      <c r="H2134">
        <f>1-(1-Skills!J11/100)^Skills!K11</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2143=TRUE)*(F2143-Calc!F20)),(Inputs!$B$23+0+(IF(ArtifactsInput!$M$15,CHOOSE(ArtifactsInput!$N$15+1,25,30,35,40,45,50)/100*(Inputs!$B$11-Inputs!$B$11),0))))/100+(Inputs!$B$23+0+(IF(ArtifactsInput!$M$15,CHOOSE(ArtifactsInput!$N$15+1,25,30,35,40,45,50)/100*(Inputs!$B$11-Inputs!$B$11),0)))/100)/2</f>
        <v/>
      </c>
      <c r="M2134">
        <f>L2134*(1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IF(B2158=0,0,O2134/B2158)</f>
        <v/>
      </c>
      <c r="Q2134">
        <f>IFERROR(1/(IF(Inputs!$B$38="pvp",15,MAX(0.1,Skills!D11-IF(Skills!E11=TRUE,Inputs!$B$32,0)))*(1-IF(AND(ArtifactsInput!$M$27,Inputs!$B$4="Chapter Hunt"),CHOOSE(ArtifactsInput!$N$27+1,20,24,28,32,36,40),0)/100)),0)</f>
        <v/>
      </c>
      <c r="R2134">
        <f>IF(AND(Inputs!$B$38&lt;&gt;"pvp",Inputs!$B$43&gt;0),IF(MAX(0,Inputs!$B$43-B2155)&lt;=0,0,(INT(MAX(0,Inputs!$B$43-B2155)/(IF(Inputs!$B$38="pvp",15,MAX(0.1,Skills!D11-IF(Skills!E11=TRUE,Inputs!$B$32,0)))*(1-IF(AND(ArtifactsInput!$M$27,Inputs!$B$4="Chapter Hunt"),CHOOSE(ArtifactsInput!$N$27+1,20,24,28,32,36,40),0)/100)))+1)),0)</f>
        <v/>
      </c>
      <c r="S2134">
        <f>IFERROR(O2134/N2134,0)</f>
        <v/>
      </c>
      <c r="T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$21+Skills!Q11+(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Skills!A12</f>
        <v/>
      </c>
      <c r="B2135">
        <f>Skills!B12</f>
        <v/>
      </c>
      <c r="C2135">
        <f>Inputs!$B$3&gt;=100</f>
        <v/>
      </c>
      <c r="D2135">
        <f>IF(Skills!C12=1,60+Inputs!$B$25+Inputs!$B$29,IF(Skills!C12=2,90+Inputs!$B$26+Inputs!$B$29,IF(Skills!C12=3,120+Inputs!$B$27+Inputs!$B$29,MAX(0,(Inputs!$B$3-100)*3)+Inputs!$B$28+Inputs!$B$29)))</f>
        <v/>
      </c>
      <c r="E2135">
        <f>INDEX(FactorTable!$B$2:$Y$301, MATCH(ROUND(MIN(300,MAX(1,D2135)),0), FactorTable!$A$2:$A$301,0), Skills!M12+1)</f>
        <v/>
      </c>
      <c r="F2135">
        <f>IF(Skills!N12=TRUE,(Skills!L12/10)*(E2135/1000),Skills!L12/10)+Skills!O12</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T2135" t="inlineStr"/>
      <c r="V2135" t="inlineStr"/>
    </row>
    <row r="2136">
      <c r="A2136">
        <f>Skills!A13</f>
        <v/>
      </c>
      <c r="B2136">
        <f>Skills!B13</f>
        <v/>
      </c>
      <c r="C2136">
        <f>Inputs!$B$3&gt;=66</f>
        <v/>
      </c>
      <c r="D2136">
        <f>IF(Skills!C13=1,60+Inputs!$B$25+Inputs!$B$29,IF(Skills!C13=2,90+Inputs!$B$26+Inputs!$B$29,IF(Skills!C13=3,120+Inputs!$B$27+Inputs!$B$29,MAX(0,(Inputs!$B$3-100)*3)+Inputs!$B$28+Inputs!$B$29)))</f>
        <v/>
      </c>
      <c r="E2136">
        <f>INDEX(FactorTable!$B$2:$Y$301, MATCH(ROUND(MIN(300,MAX(1,D2136)),0), FactorTable!$A$2:$A$301,0), Skills!M13+1)</f>
        <v/>
      </c>
      <c r="F2136">
        <f>IF(Skills!N13=TRUE,(Skills!L13/10)*(E2136/1000),Skills!L13/10)+Skills!O13</f>
        <v/>
      </c>
      <c r="G2136">
        <f>Skills!G13*IF(Skills!H13&gt;0,Skills!I13/Skills!H13,1)</f>
        <v/>
      </c>
      <c r="H2136">
        <f>1-(1-Skills!J13/100)^Skills!K13</f>
        <v/>
      </c>
      <c r="I2136" t="inlineStr">
        <is>
          <t>1</t>
        </is>
      </c>
      <c r="J2136" t="inlineStr"/>
      <c r="K2136" t="inlineStr"/>
      <c r="L2136" t="inlineStr"/>
      <c r="M2136" t="inlineStr"/>
      <c r="N2136" t="inlineStr"/>
      <c r="O2136">
        <f>(1-Summary!$B$11)*T2136+Summary!$B$11*V2136</f>
        <v/>
      </c>
      <c r="P2136">
        <f>IF(B2158=0,0,O2136/B2158)</f>
        <v/>
      </c>
      <c r="Q2136" t="n">
        <v>0</v>
      </c>
      <c r="R2136" t="n">
        <v>0</v>
      </c>
      <c r="S2136">
        <f>IFERROR(O2136/N2136,0)</f>
        <v/>
      </c>
      <c r="T2136" t="n">
        <v>0</v>
      </c>
      <c r="V2136" t="n">
        <v>0</v>
      </c>
    </row>
    <row r="2137">
      <c r="A2137">
        <f>Skills!A14</f>
        <v/>
      </c>
      <c r="B2137">
        <f>Skills!B14</f>
        <v/>
      </c>
      <c r="C2137">
        <f>Inputs!$B$3&gt;=107</f>
        <v/>
      </c>
      <c r="D2137">
        <f>IF(Skills!C14=1,60+Inputs!$B$25+Inputs!$B$29,IF(Skills!C14=2,90+Inputs!$B$26+Inputs!$B$29,IF(Skills!C14=3,120+Inputs!$B$27+Inputs!$B$29,MAX(0,(Inputs!$B$3-100)*3)+Inputs!$B$28+Inputs!$B$29)))</f>
        <v/>
      </c>
      <c r="E2137">
        <f>INDEX(FactorTable!$B$2:$Y$301, MATCH(ROUND(MIN(300,MAX(1,D2137)),0), FactorTable!$A$2:$A$301,0), Skills!M14+1)</f>
        <v/>
      </c>
      <c r="F2137">
        <f>IF(Skills!N14=TRUE,(Skills!L14/10)*(E2137/1000),Skills!L14/10)+Skills!O14</f>
        <v/>
      </c>
      <c r="G2137">
        <f>Skills!G14*IF(Skills!H14&gt;0,Skills!I14/Skills!H14,1)</f>
        <v/>
      </c>
      <c r="H2137">
        <f>1-(1-Skills!J14/100)^Skills!K14</f>
        <v/>
      </c>
      <c r="I2137" t="inlineStr">
        <is>
          <t>1</t>
        </is>
      </c>
      <c r="J2137" t="inlineStr"/>
      <c r="K2137" t="inlineStr"/>
      <c r="L2137" t="inlineStr"/>
      <c r="M2137" t="inlineStr"/>
      <c r="N2137" t="inlineStr"/>
      <c r="O2137">
        <f>(1-Summary!$B$11)*T2137+Summary!$B$11*V2137</f>
        <v/>
      </c>
      <c r="P2137">
        <f>IF(B2158=0,0,O2137/B2158)</f>
        <v/>
      </c>
      <c r="Q2137" t="n">
        <v>0</v>
      </c>
      <c r="R2137" t="n">
        <v>0</v>
      </c>
      <c r="S2137">
        <f>IFERROR(O2137/N2137,0)</f>
        <v/>
      </c>
      <c r="T2137" t="n">
        <v>0</v>
      </c>
      <c r="V2137" t="n">
        <v>0</v>
      </c>
    </row>
    <row r="2138">
      <c r="A2138">
        <f>Skills!A15</f>
        <v/>
      </c>
      <c r="B2138">
        <f>Skills!B15</f>
        <v/>
      </c>
      <c r="C2138">
        <f>Inputs!$B$3&gt;=115</f>
        <v/>
      </c>
      <c r="D2138">
        <f>IF(Skills!C15=1,60+Inputs!$B$25+Inputs!$B$29,IF(Skills!C15=2,90+Inputs!$B$26+Inputs!$B$29,IF(Skills!C15=3,120+Inputs!$B$27+Inputs!$B$29,MAX(0,(Inputs!$B$3-100)*3)+Inputs!$B$28+Inputs!$B$29)))</f>
        <v/>
      </c>
      <c r="E2138">
        <f>INDEX(FactorTable!$B$2:$Y$301, MATCH(ROUND(MIN(300,MAX(1,D2138)),0), FactorTable!$A$2:$A$301,0), Skills!M15+1)</f>
        <v/>
      </c>
      <c r="F2138">
        <f>IF(Skills!N15=TRUE,(Skills!L15/10)*(E2138/1000),Skills!L15/10)+Skills!O15</f>
        <v/>
      </c>
      <c r="G2138">
        <f>Skills!G15*IF(Skills!H15&gt;0,Skills!I15/Skills!H15,1)</f>
        <v/>
      </c>
      <c r="H2138">
        <f>1-(1-Skills!J15/100)^Skills!K15</f>
        <v/>
      </c>
      <c r="I2138" t="inlineStr">
        <is>
          <t>1</t>
        </is>
      </c>
      <c r="J2138" t="inlineStr"/>
      <c r="K2138" t="inlineStr"/>
      <c r="L2138" t="inlineStr"/>
      <c r="M2138" t="inlineStr"/>
      <c r="N2138" t="inlineStr"/>
      <c r="O2138">
        <f>(1-Summary!$B$11)*T2138+Summary!$B$11*V2138</f>
        <v/>
      </c>
      <c r="P2138">
        <f>IF(B2158=0,0,O2138/B2158)</f>
        <v/>
      </c>
      <c r="Q2138" t="n">
        <v>0</v>
      </c>
      <c r="R2138" t="n">
        <v>0</v>
      </c>
      <c r="S2138">
        <f>IFERROR(O2138/N2138,0)</f>
        <v/>
      </c>
      <c r="T2138" t="n">
        <v>0</v>
      </c>
      <c r="V2138" t="n">
        <v>0</v>
      </c>
    </row>
    <row r="2139">
      <c r="A2139">
        <f>Skills!A16</f>
        <v/>
      </c>
      <c r="B2139">
        <f>Skills!B16</f>
        <v/>
      </c>
      <c r="C2139">
        <f>Inputs!$B$3&gt;=15</f>
        <v/>
      </c>
      <c r="D2139">
        <f>IF(Skills!C16=1,60+Inputs!$B$25+Inputs!$B$29,IF(Skills!C16=2,90+Inputs!$B$26+Inputs!$B$29,IF(Skills!C16=3,120+Inputs!$B$27+Inputs!$B$29,MAX(0,(Inputs!$B$3-100)*3)+Inputs!$B$28+Inputs!$B$29)))</f>
        <v/>
      </c>
      <c r="E2139">
        <f>INDEX(FactorTable!$B$2:$Y$301, MATCH(ROUND(MIN(300,MAX(1,D2139)),0), FactorTable!$A$2:$A$301,0), Skills!M16+1)</f>
        <v/>
      </c>
      <c r="F2139">
        <f>IF(Skills!N16=TRUE,(Skills!L16/10)*(E2139/1000),Skills!L16/10)+Skills!O16</f>
        <v/>
      </c>
      <c r="G2139">
        <f>Skills!G16*IF(Skills!H16&gt;0,Skills!I16/Skills!H16,1)</f>
        <v/>
      </c>
      <c r="H2139">
        <f>1-(1-Skills!J16/100)^Skills!K16</f>
        <v/>
      </c>
      <c r="I2139" t="inlineStr">
        <is>
          <t>1</t>
        </is>
      </c>
      <c r="J2139" t="inlineStr"/>
      <c r="K2139" t="inlineStr"/>
      <c r="L2139" t="inlineStr"/>
      <c r="M2139" t="inlineStr"/>
      <c r="N2139" t="inlineStr"/>
      <c r="O2139">
        <f>(1-Summary!$B$11)*T2139+Summary!$B$11*V2139</f>
        <v/>
      </c>
      <c r="P2139">
        <f>IF(B2158=0,0,O2139/B2158)</f>
        <v/>
      </c>
      <c r="Q2139" t="n">
        <v>0</v>
      </c>
      <c r="R2139" t="n">
        <v>0</v>
      </c>
      <c r="S2139">
        <f>IFERROR(O2139/N2139,0)</f>
        <v/>
      </c>
      <c r="T2139" t="n">
        <v>0</v>
      </c>
      <c r="V2139" t="n">
        <v>0</v>
      </c>
    </row>
    <row r="2140">
      <c r="A2140">
        <f>Skills!A17</f>
        <v/>
      </c>
      <c r="B2140">
        <f>Skills!B17</f>
        <v/>
      </c>
      <c r="C2140">
        <f>Inputs!$B$3&gt;=10</f>
        <v/>
      </c>
      <c r="D2140">
        <f>IF(Skills!C17=1,60+Inputs!$B$25+Inputs!$B$29,IF(Skills!C17=2,90+Inputs!$B$26+Inputs!$B$29,IF(Skills!C17=3,120+Inputs!$B$27+Inputs!$B$29,MAX(0,(Inputs!$B$3-100)*3)+Inputs!$B$28+Inputs!$B$29)))</f>
        <v/>
      </c>
      <c r="E2140">
        <f>INDEX(FactorTable!$B$2:$Y$301, MATCH(ROUND(MIN(300,MAX(1,D2140)),0), FactorTable!$A$2:$A$301,0), Skills!M17+1)</f>
        <v/>
      </c>
      <c r="F2140">
        <f>IF(Skills!N17=TRUE,(Skills!L17/10)*(E2140/1000),Skills!L17/10)+Skills!O17</f>
        <v/>
      </c>
      <c r="G2140">
        <f>Skills!G17*IF(Skills!H17&gt;0,Skills!I17/Skills!H17,1)</f>
        <v/>
      </c>
      <c r="H2140">
        <f>1-(1-Skills!J17/100)^Skills!K17</f>
        <v/>
      </c>
      <c r="I2140" t="inlineStr">
        <is>
          <t>1</t>
        </is>
      </c>
      <c r="J2140" t="inlineStr"/>
      <c r="K2140" t="inlineStr"/>
      <c r="L2140" t="inlineStr"/>
      <c r="M2140" t="inlineStr"/>
      <c r="N2140" t="inlineStr"/>
      <c r="O2140">
        <f>(1-Summary!$B$11)*T2140+Summary!$B$11*V2140</f>
        <v/>
      </c>
      <c r="P2140">
        <f>IF(B2158=0,0,O2140/B2158)</f>
        <v/>
      </c>
      <c r="Q2140" t="n">
        <v>0</v>
      </c>
      <c r="R2140" t="n">
        <v>0</v>
      </c>
      <c r="S2140">
        <f>IFERROR(O2140/N2140,0)</f>
        <v/>
      </c>
      <c r="T2140" t="n">
        <v>0</v>
      </c>
      <c r="V2140" t="n">
        <v>0</v>
      </c>
    </row>
    <row r="2141">
      <c r="A2141">
        <f>Skills!A18</f>
        <v/>
      </c>
      <c r="B2141">
        <f>Skills!B18</f>
        <v/>
      </c>
      <c r="C2141">
        <f>Inputs!$B$3&gt;=33</f>
        <v/>
      </c>
      <c r="D2141">
        <f>IF(Skills!C18=1,60+Inputs!$B$25+Inputs!$B$29,IF(Skills!C18=2,90+Inputs!$B$26+Inputs!$B$29,IF(Skills!C18=3,120+Inputs!$B$27+Inputs!$B$29,MAX(0,(Inputs!$B$3-100)*3)+Inputs!$B$28+Inputs!$B$29)))</f>
        <v/>
      </c>
      <c r="E2141">
        <f>INDEX(FactorTable!$B$2:$Y$301, MATCH(ROUND(MIN(300,MAX(1,D2141)),0), FactorTable!$A$2:$A$301,0), Skills!M18+1)</f>
        <v/>
      </c>
      <c r="F2141">
        <f>IF(Skills!N18=TRUE,(Skills!L18/10)*(E2141/1000),Skills!L18/10)+Skills!O18</f>
        <v/>
      </c>
      <c r="G2141">
        <f>Skills!G18*IF(Skills!H18&gt;0,Skills!I18/Skills!H18,1)</f>
        <v/>
      </c>
      <c r="H2141">
        <f>1-(1-Skills!J18/100)^Skills!K18</f>
        <v/>
      </c>
      <c r="I2141" t="inlineStr">
        <is>
          <t>1</t>
        </is>
      </c>
      <c r="J2141" t="inlineStr"/>
      <c r="K2141" t="inlineStr"/>
      <c r="L2141" t="inlineStr"/>
      <c r="M2141" t="inlineStr"/>
      <c r="N2141" t="inlineStr"/>
      <c r="O2141">
        <f>(1-Summary!$B$11)*T2141+Summary!$B$11*V2141</f>
        <v/>
      </c>
      <c r="P2141">
        <f>IF(B2158=0,0,O2141/B2158)</f>
        <v/>
      </c>
      <c r="Q2141" t="n">
        <v>0</v>
      </c>
      <c r="R2141" t="n">
        <v>0</v>
      </c>
      <c r="S2141">
        <f>IFERROR(O2141/N2141,0)</f>
        <v/>
      </c>
      <c r="T2141" t="n">
        <v>0</v>
      </c>
      <c r="V2141" t="n">
        <v>0</v>
      </c>
    </row>
    <row r="2142">
      <c r="A2142">
        <f>Skills!A19</f>
        <v/>
      </c>
      <c r="B2142">
        <f>Skills!B19</f>
        <v/>
      </c>
      <c r="C2142">
        <f>Inputs!$B$3&gt;=40</f>
        <v/>
      </c>
      <c r="D2142">
        <f>IF(Skills!C19=1,60+Inputs!$B$25+Inputs!$B$29,IF(Skills!C19=2,90+Inputs!$B$26+Inputs!$B$29,IF(Skills!C19=3,120+Inputs!$B$27+Inputs!$B$29,MAX(0,(Inputs!$B$3-100)*3)+Inputs!$B$28+Inputs!$B$29)))</f>
        <v/>
      </c>
      <c r="E2142">
        <f>INDEX(FactorTable!$B$2:$Y$301, MATCH(ROUND(MIN(300,MAX(1,D2142)),0), FactorTable!$A$2:$A$301,0), Skills!M19+1)</f>
        <v/>
      </c>
      <c r="F2142">
        <f>IF(Skills!N19=TRUE,(Skills!L19/10)*(E2142/1000),Skills!L19/10)+Skills!O19</f>
        <v/>
      </c>
      <c r="G2142">
        <f>Skills!G19*IF(Skills!H19&gt;0,Skills!I19/Skills!H19,1)</f>
        <v/>
      </c>
      <c r="H2142">
        <f>1-(1-Skills!J19/100)^Skills!K19</f>
        <v/>
      </c>
      <c r="I2142" t="inlineStr">
        <is>
          <t>1</t>
        </is>
      </c>
      <c r="J2142" t="inlineStr"/>
      <c r="K2142" t="inlineStr"/>
      <c r="L2142" t="inlineStr"/>
      <c r="M2142" t="inlineStr"/>
      <c r="N2142" t="inlineStr"/>
      <c r="O2142">
        <f>(1-Summary!$B$11)*T2142+Summary!$B$11*V2142</f>
        <v/>
      </c>
      <c r="P2142">
        <f>IF(B2158=0,0,O2142/B2158)</f>
        <v/>
      </c>
      <c r="Q2142" t="n">
        <v>0</v>
      </c>
      <c r="R2142" t="n">
        <v>0</v>
      </c>
      <c r="S2142">
        <f>IFERROR(O2142/N2142,0)</f>
        <v/>
      </c>
      <c r="T2142" t="n">
        <v>0</v>
      </c>
      <c r="V2142" t="n">
        <v>0</v>
      </c>
    </row>
    <row r="2143">
      <c r="A2143">
        <f>Skills!A20</f>
        <v/>
      </c>
      <c r="B2143">
        <f>Skills!B20</f>
        <v/>
      </c>
      <c r="C2143">
        <f>Inputs!$B$3&gt;=43</f>
        <v/>
      </c>
      <c r="D2143">
        <f>IF(Skills!C20=1,60+Inputs!$B$25+Inputs!$B$29,IF(Skills!C20=2,90+Inputs!$B$26+Inputs!$B$29,IF(Skills!C20=3,120+Inputs!$B$27+Inputs!$B$29,MAX(0,(Inputs!$B$3-100)*3)+Inputs!$B$28+Inputs!$B$29)))</f>
        <v/>
      </c>
      <c r="E2143">
        <f>INDEX(FactorTable!$B$2:$Y$301, MATCH(ROUND(MIN(300,MAX(1,D2143)),0), FactorTable!$A$2:$A$301,0), Skills!M20+1)</f>
        <v/>
      </c>
      <c r="F2143">
        <f>IF(Skills!N20=TRUE,(Skills!L20/10)*(E2143/1000),Skills!L20/10)+Skills!O20</f>
        <v/>
      </c>
      <c r="G2143">
        <f>Skills!G20*IF(Skills!H20&gt;0,Skills!I20/Skills!H20,1)</f>
        <v/>
      </c>
      <c r="H2143">
        <f>1-(1-Skills!J20/100)^Skills!K20</f>
        <v/>
      </c>
      <c r="I2143" t="inlineStr">
        <is>
          <t>1</t>
        </is>
      </c>
      <c r="J2143" t="inlineStr"/>
      <c r="K2143" t="inlineStr"/>
      <c r="L2143" t="inlineStr"/>
      <c r="M2143" t="inlineStr"/>
      <c r="N2143" t="inlineStr"/>
      <c r="O2143">
        <f>(1-Summary!$B$11)*T2143+Summary!$B$11*V2143</f>
        <v/>
      </c>
      <c r="P2143">
        <f>IF(B2158=0,0,O2143/B2158)</f>
        <v/>
      </c>
      <c r="Q2143" t="n">
        <v>0</v>
      </c>
      <c r="R2143" t="n">
        <v>0</v>
      </c>
      <c r="S2143">
        <f>IFERROR(O2143/N2143,0)</f>
        <v/>
      </c>
      <c r="T2143" t="n">
        <v>0</v>
      </c>
      <c r="V2143" t="n">
        <v>0</v>
      </c>
    </row>
    <row r="2144">
      <c r="A2144">
        <f>Skills!A21</f>
        <v/>
      </c>
      <c r="B2144">
        <f>Skills!B21</f>
        <v/>
      </c>
      <c r="C2144">
        <f>Inputs!$B$3&gt;=38</f>
        <v/>
      </c>
      <c r="D2144">
        <f>IF(Skills!C21=1,60+Inputs!$B$25+Inputs!$B$29,IF(Skills!C21=2,90+Inputs!$B$26+Inputs!$B$29,IF(Skills!C21=3,120+Inputs!$B$27+Inputs!$B$29,MAX(0,(Inputs!$B$3-100)*3)+Inputs!$B$28+Inputs!$B$29)))</f>
        <v/>
      </c>
      <c r="E2144">
        <f>INDEX(FactorTable!$B$2:$Y$301, MATCH(ROUND(MIN(300,MAX(1,D2144)),0), FactorTable!$A$2:$A$301,0), Skills!M21+1)</f>
        <v/>
      </c>
      <c r="F2144">
        <f>IF(Skills!N21=TRUE,(Skills!L21/10)*(E2144/1000),Skills!L21/10)+Skills!O21</f>
        <v/>
      </c>
      <c r="G2144">
        <f>Skills!G21*IF(Skills!H21&gt;0,Skills!I21/Skills!H21,1)</f>
        <v/>
      </c>
      <c r="H2144">
        <f>1-(1-Skills!J21/100)^Skills!K21</f>
        <v/>
      </c>
      <c r="I2144" t="inlineStr">
        <is>
          <t>1</t>
        </is>
      </c>
      <c r="J2144" t="inlineStr"/>
      <c r="K2144" t="inlineStr"/>
      <c r="L2144" t="inlineStr"/>
      <c r="M2144" t="inlineStr"/>
      <c r="N2144" t="inlineStr"/>
      <c r="O2144">
        <f>(1-Summary!$B$11)*T2144+Summary!$B$11*V2144</f>
        <v/>
      </c>
      <c r="P2144">
        <f>IF(B2158=0,0,O2144/B2158)</f>
        <v/>
      </c>
      <c r="Q2144" t="n">
        <v>0</v>
      </c>
      <c r="R2144" t="n">
        <v>0</v>
      </c>
      <c r="S2144">
        <f>IFERROR(O2144/N2144,0)</f>
        <v/>
      </c>
      <c r="T2144" t="n">
        <v>0</v>
      </c>
      <c r="V2144" t="n">
        <v>0</v>
      </c>
    </row>
    <row r="2145">
      <c r="A2145">
        <f>Skills!A22</f>
        <v/>
      </c>
      <c r="B2145">
        <f>Skills!B22</f>
        <v/>
      </c>
      <c r="C2145">
        <f>Inputs!$B$3&gt;=75</f>
        <v/>
      </c>
      <c r="D2145">
        <f>IF(Skills!C22=1,60+Inputs!$B$25+Inputs!$B$29,IF(Skills!C22=2,90+Inputs!$B$26+Inputs!$B$29,IF(Skills!C22=3,120+Inputs!$B$27+Inputs!$B$29,MAX(0,(Inputs!$B$3-100)*3)+Inputs!$B$28+Inputs!$B$29)))</f>
        <v/>
      </c>
      <c r="E2145">
        <f>INDEX(FactorTable!$B$2:$Y$301, MATCH(ROUND(MIN(300,MAX(1,D2145)),0), FactorTable!$A$2:$A$301,0), Skills!M22+1)</f>
        <v/>
      </c>
      <c r="F2145">
        <f>IF(Skills!N22=TRUE,(Skills!L22/10)*(E2145/1000),Skills!L22/10)+Skills!O22</f>
        <v/>
      </c>
      <c r="G2145">
        <f>Skills!G22*IF(Skills!H22&gt;0,Skills!I22/Skills!H22,1)</f>
        <v/>
      </c>
      <c r="H2145">
        <f>1-(1-Skills!J22/100)^Skills!K22</f>
        <v/>
      </c>
      <c r="I2145" t="inlineStr">
        <is>
          <t>1</t>
        </is>
      </c>
      <c r="J2145" t="inlineStr"/>
      <c r="K2145" t="inlineStr"/>
      <c r="L2145" t="inlineStr"/>
      <c r="M2145" t="inlineStr"/>
      <c r="N2145" t="inlineStr"/>
      <c r="O2145">
        <f>(1-Summary!$B$11)*T2145+Summary!$B$11*V2145</f>
        <v/>
      </c>
      <c r="P2145">
        <f>IF(B2158=0,0,O2145/B2158)</f>
        <v/>
      </c>
      <c r="Q2145" t="n">
        <v>0</v>
      </c>
      <c r="R2145" t="n">
        <v>0</v>
      </c>
      <c r="S2145">
        <f>IFERROR(O2145/N2145,0)</f>
        <v/>
      </c>
      <c r="T2145" t="n">
        <v>0</v>
      </c>
      <c r="V2145" t="n">
        <v>0</v>
      </c>
    </row>
    <row r="2147">
      <c r="A2147" t="inlineStr">
        <is>
          <t>Attack% Bucket Multiplier</t>
        </is>
      </c>
      <c r="B2147">
        <f>(1+(((C2136=TRUE)*F2136)+((C2142=TRUE)*(F2142-Calc!F19))+(IF(ArtifactsInput!$M$21,CHOOSE(ArtifactsInput!$N$21+1,25,30,35,40,45,50)*(IF(OR(Inputs!$B$4="Chapter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8">
      <c r="A2148" t="inlineStr">
        <is>
          <t>Global Crit Rate Bonus %</t>
        </is>
      </c>
      <c r="B2148" t="n">
        <v>0</v>
      </c>
    </row>
    <row r="2149">
      <c r="A2149" t="inlineStr">
        <is>
          <t>Attack Speed Buff Bonus % (unused)</t>
        </is>
      </c>
      <c r="B2149" t="n">
        <v>0</v>
      </c>
    </row>
    <row r="2150">
      <c r="A2150" t="inlineStr">
        <is>
          <t>Actions Per Second</t>
        </is>
      </c>
      <c r="B2150">
        <f>1+MIN(150,150*(1-(1-(Inputs!$B$11+((C2140=TRUE)*(F2140-Calc!F17))+((C2141=TRUE)*(F2141-Calc!F18)))/150)*(1-B2149/150)))/100</f>
        <v/>
      </c>
    </row>
    <row r="2151">
      <c r="A2151" t="inlineStr">
        <is>
          <t>Skill + Buff Cast Rate</t>
        </is>
      </c>
      <c r="B2151">
        <f>IF(AND(Inputs!$B$38&lt;&gt;"pvp",Inputs!$B$43&gt;0),SUMPRODUCT((Skills!E2:E22=TRUE)*(C2125:C2145=TRUE)*R2125:R2145*Skills!F2:F22)/Inputs!$B$43,SUMPRODUCT((Skills!E2:E22=TRUE)*(C2125:C2145=TRUE)*Q2125:Q2145*Skills!F2:F22))</f>
        <v/>
      </c>
    </row>
    <row r="2152">
      <c r="A2152" t="inlineStr">
        <is>
          <t>Hook Bomber Casts Per Second</t>
        </is>
      </c>
      <c r="B2152">
        <f>MAX(0,B2150-B2151)</f>
        <v/>
      </c>
    </row>
    <row r="2153">
      <c r="A2153" t="inlineStr">
        <is>
          <t>Global Critical Damage Bonus % (unused)</t>
        </is>
      </c>
      <c r="B2153" t="n">
        <v>0</v>
      </c>
    </row>
    <row r="2154">
      <c r="A2154" t="inlineStr">
        <is>
          <t>Global Final Damage Bonus % (Serpent Scale + Crossbones + Time Leap + Speed Infusion)</t>
        </is>
      </c>
      <c r="B2154">
        <f>((C2128=TRUE)*F2128*((10+IF(Inputs!$B$3&gt;=94,5,0))/((10+IF(Inputs!$B$3&gt;=94,5,0))+5/(B2152*(1+IF(Inputs!$B$3&gt;=104,1,0))))))+((C2137=TRUE)*F2137)+((C2138=TRUE)*F2138)+((Inputs!$B$3&gt;=110)*20*(B2150-1))</f>
        <v/>
      </c>
    </row>
    <row r="2155">
      <c r="A2155" t="inlineStr">
        <is>
          <t>Buff-Casting Startup Delay (s, fixed-duration only)</t>
        </is>
      </c>
      <c r="B2155">
        <f>IF(AND(Inputs!$B$38&lt;&gt;"pvp",Inputs!$B$43&gt;0),SUMPRODUCT((Skills!T2:T22&gt;0)*(Skills!E2:E22=TRUE)*(C2125:C2145=TRUE))/B2150,0)</f>
        <v/>
      </c>
    </row>
    <row r="2156">
      <c r="A2156" t="inlineStr">
        <is>
          <t>Boss-Only Total DPS (this block's swept value)</t>
        </is>
      </c>
      <c r="B2156">
        <f>SUM(T2125:T2145)</f>
        <v/>
      </c>
    </row>
    <row r="2157">
      <c r="A2157" t="inlineStr">
        <is>
          <t>Normal-Only Total DPS (this block's swept value)</t>
        </is>
      </c>
      <c r="B2157">
        <f>SUM(V2125:V2145)</f>
        <v/>
      </c>
    </row>
    <row r="2158">
      <c r="A2158" s="6" t="inlineStr">
        <is>
          <t>TOTAL DPS</t>
        </is>
      </c>
      <c r="B2158" s="6">
        <f>SUM(O2125:O2145)</f>
        <v/>
      </c>
    </row>
    <row r="2161">
      <c r="A2161" s="6" t="inlineStr">
        <is>
          <t>Stat: Candle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Q2162" s="5" t="inlineStr">
        <is>
          <t>InvCooldown</t>
        </is>
      </c>
      <c r="R2162" s="5" t="inlineStr">
        <is>
          <t>CastsInFight</t>
        </is>
      </c>
      <c r="S2162" s="5" t="inlineStr">
        <is>
          <t>HitRate(perSec)</t>
        </is>
      </c>
      <c r="U2162" t="inlineStr">
        <is>
          <t>helpers</t>
        </is>
      </c>
    </row>
    <row r="2163">
      <c r="A2163">
        <f>Skills!A2</f>
        <v/>
      </c>
      <c r="B2163">
        <f>Skills!B2</f>
        <v/>
      </c>
      <c r="C2163">
        <f>Inputs!$B$3&gt;=100</f>
        <v/>
      </c>
      <c r="D2163" t="inlineStr"/>
      <c r="E2163" t="inlineStr"/>
      <c r="F2163">
        <f>U2165+Skills!O2</f>
        <v/>
      </c>
      <c r="G2163">
        <f>Skills!G2*IF(Skills!H2&gt;0,Skills!I2/Skills!H2,1)</f>
        <v/>
      </c>
      <c r="H2163">
        <f>1-(1-Skills!J2/100)^Skills!K2</f>
        <v/>
      </c>
      <c r="I2163" t="inlineStr">
        <is>
          <t>1</t>
        </is>
      </c>
      <c r="J2163">
        <f>((Inputs!$B$6*(1+Inputs!$B$7/100))+(((Inputs!$B$12*(1+Inputs!$B$13/100))-(Inputs!$B$12*(1+Inputs!$B$13/100)))+0.25*(Inputs!$B$14-Inputs!$B$14))*(1+Inputs!$B$7/100))*(F2163/100)</f>
        <v/>
      </c>
      <c r="K2163">
        <f>J2163*(1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2163)</f>
        <v/>
      </c>
      <c r="L2163">
        <f>K2163*(MIN(Inputs!$B$22+((C2181=TRUE)*(F2181-Calc!F20)),(Inputs!$B$23+0+(IF(ArtifactsInput!$M$15,CHOOSE(ArtifactsInput!$N$15+1,25,30,35,40,45,50)/100*(Inputs!$B$11-Inputs!$B$11),0))))/100+(Inputs!$B$23+0+(IF(ArtifactsInput!$M$15,CHOOSE(ArtifactsInput!$N$15+1,25,30,35,40,45,50)/100*(Inputs!$B$11-Inputs!$B$11),0)))/100)/2</f>
        <v/>
      </c>
      <c r="M2163">
        <f>L2163*(1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3">
        <f>L2163*(1-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2163*(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3">
        <f>(1-Summary!$B$11)*T2163+Summary!$B$11*V2163</f>
        <v/>
      </c>
      <c r="P2163">
        <f>IF(B2196=0,0,O2163/B2196)</f>
        <v/>
      </c>
      <c r="Q2163" t="n">
        <v>0</v>
      </c>
      <c r="R2163" t="n">
        <v>0</v>
      </c>
      <c r="S2163">
        <f>IFERROR(O2163/N2163,0)</f>
        <v/>
      </c>
      <c r="T2163">
        <f>IF(C2163,(Skills!G2*N2163*B2190)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3">
        <f>MAX(0,(Inputs!$B$3-100)*3)+Inputs!$B$28+Inputs!$B$29</f>
        <v/>
      </c>
      <c r="V2163">
        <f>IF(C2163,(Skills!G2*N2163*B2190)*IF(Inputs!$B$38="pvp",1,(1+(Inputs!$B$21+Skills!Q2+(IF(ArtifactsInput!$M$33,CHOOSE(ArtifactsInput!$N$33+1,30,36,42,48,54,60),0))+(IF(AND(ArtifactsInput!$M$35,Inputs!$B$4&lt;&gt;"Chapter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4">
      <c r="A2164">
        <f>Skills!A3</f>
        <v/>
      </c>
      <c r="B2164">
        <f>Skills!B3</f>
        <v/>
      </c>
      <c r="C2164">
        <f>Inputs!$B$3&gt;=35</f>
        <v/>
      </c>
      <c r="D2164">
        <f>IF(Skills!C3=1,60+Inputs!$B$25+Inputs!$B$29,IF(Skills!C3=2,90+Inputs!$B$26+Inputs!$B$29,IF(Skills!C3=3,120+Inputs!$B$27+Inputs!$B$29,MAX(0,(Inputs!$B$3-100)*3)+Inputs!$B$28+Inputs!$B$29)))</f>
        <v/>
      </c>
      <c r="E2164">
        <f>INDEX(FactorTable!$B$2:$Y$301, MATCH(ROUND(MIN(300,MAX(1,D2164)),0), FactorTable!$A$2:$A$301,0), Skills!M3+1)</f>
        <v/>
      </c>
      <c r="F2164">
        <f>IF(Skills!N3=TRUE,(Skills!L3/10)*(E2164/1000),Skills!L3/10)+Skills!O3</f>
        <v/>
      </c>
      <c r="G2164">
        <f>Skills!G3*IF(Skills!H3&gt;0,Skills!I3/Skills!H3,1)</f>
        <v/>
      </c>
      <c r="H2164">
        <f>1-(1-Skills!J3/100)^Skills!K3</f>
        <v/>
      </c>
      <c r="I2164" t="inlineStr">
        <is>
          <t>1</t>
        </is>
      </c>
      <c r="J2164">
        <f>((Inputs!$B$6*(1+Inputs!$B$7/100))+(((Inputs!$B$12*(1+Inputs!$B$13/100))-(Inputs!$B$12*(1+Inputs!$B$13/100)))+0.25*(Inputs!$B$14-Inputs!$B$14))*(1+Inputs!$B$7/100))*(F2164/100)</f>
        <v/>
      </c>
      <c r="K2164">
        <f>J2164*(1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2164)</f>
        <v/>
      </c>
      <c r="L2164">
        <f>K2164*(MIN(Inputs!$B$22+((C2181=TRUE)*(F2181-Calc!F20)),(Inputs!$B$23+0+(IF(ArtifactsInput!$M$15,CHOOSE(ArtifactsInput!$N$15+1,25,30,35,40,45,50)/100*(Inputs!$B$11-Inputs!$B$11),0))))/100+(Inputs!$B$23+0+(IF(ArtifactsInput!$M$15,CHOOSE(ArtifactsInput!$N$15+1,25,30,35,40,45,50)/100*(Inputs!$B$11-Inputs!$B$11),0)))/100)/2</f>
        <v/>
      </c>
      <c r="M2164">
        <f>L2164*(1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4">
        <f>L2164*(1-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2164*(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4">
        <f>(1-Summary!$B$11)*T2164+Summary!$B$11*V2164</f>
        <v/>
      </c>
      <c r="P2164">
        <f>IF(B2196=0,0,O2164/B2196)</f>
        <v/>
      </c>
      <c r="Q2164" t="n">
        <v>0</v>
      </c>
      <c r="R2164" t="n">
        <v>0</v>
      </c>
      <c r="S2164">
        <f>IFERROR(O2164/N2164,0)</f>
        <v/>
      </c>
      <c r="T2164">
        <f>IF(C2164,(Skills!G3*H2164*N2164*B2190)*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4">
        <f>INDEX(FactorTable!$B$2:$Y$301, MATCH(ROUND(MIN(300,MAX(1,U2163)),0), FactorTable!$A$2:$A$301,0), 22)</f>
        <v/>
      </c>
      <c r="V2164">
        <f>IF(C2164,(Skills!G3*H2164*N2164*B2190)*IF(Inputs!$B$38="pvp",1,(1+(Inputs!$B$21+Skills!Q3+(IF(ArtifactsInput!$M$33,CHOOSE(ArtifactsInput!$N$33+1,30,36,42,48,54,60),0))+(IF(AND(ArtifactsInput!$M$35,Inputs!$B$4&lt;&gt;"Chapter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5">
      <c r="A2165">
        <f>Skills!A4</f>
        <v/>
      </c>
      <c r="B2165">
        <f>Skills!B4</f>
        <v/>
      </c>
      <c r="C2165">
        <f>Inputs!$B$3&gt;=60</f>
        <v/>
      </c>
      <c r="D2165">
        <f>IF(Skills!C4=1,60+Inputs!$B$25+Inputs!$B$29,IF(Skills!C4=2,90+Inputs!$B$26+Inputs!$B$29,IF(Skills!C4=3,120+Inputs!$B$27+Inputs!$B$29,MAX(0,(Inputs!$B$3-100)*3)+Inputs!$B$28+Inputs!$B$29)))</f>
        <v/>
      </c>
      <c r="E2165">
        <f>INDEX(FactorTable!$B$2:$Y$301, MATCH(ROUND(MIN(300,MAX(1,D2165)),0), FactorTable!$A$2:$A$301,0), Skills!M4+1)</f>
        <v/>
      </c>
      <c r="F2165">
        <f>IF(Skills!N4=TRUE,(Skills!L4/10)*(E2165/1000),Skills!L4/10)+Skills!O4</f>
        <v/>
      </c>
      <c r="G2165">
        <f>Skills!G4*IF(Skills!H4&gt;0,Skills!I4/Skills!H4,1)</f>
        <v/>
      </c>
      <c r="H2165">
        <f>1-(1-Skills!J4/100)^Skills!K4</f>
        <v/>
      </c>
      <c r="I2165" t="inlineStr">
        <is>
          <t>1</t>
        </is>
      </c>
      <c r="J2165">
        <f>((Inputs!$B$6*(1+Inputs!$B$7/100))+(((Inputs!$B$12*(1+Inputs!$B$13/100))-(Inputs!$B$12*(1+Inputs!$B$13/100)))+0.25*(Inputs!$B$14-Inputs!$B$14))*(1+Inputs!$B$7/100))*(F2165/100)</f>
        <v/>
      </c>
      <c r="K2165">
        <f>J2165*(1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2173=TRUE,F2173,0)/100)*(1+(IF(Skills!A4="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2165)</f>
        <v/>
      </c>
      <c r="L2165">
        <f>K2165*(MIN(Inputs!$B$22+((C2181=TRUE)*(F2181-Calc!F20)),(Inputs!$B$23+0+(IF(ArtifactsInput!$M$15,CHOOSE(ArtifactsInput!$N$15+1,25,30,35,40,45,50)/100*(Inputs!$B$11-Inputs!$B$11),0))))/100+(Inputs!$B$23+0+(IF(ArtifactsInput!$M$15,CHOOSE(ArtifactsInput!$N$15+1,25,30,35,40,45,50)/100*(Inputs!$B$11-Inputs!$B$11),0)))/100)/2</f>
        <v/>
      </c>
      <c r="M2165">
        <f>L2165*(1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5">
        <f>L2165*(1-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2165*(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5">
        <f>(1-Summary!$B$11)*T2165+Summary!$B$11*V2165</f>
        <v/>
      </c>
      <c r="P2165">
        <f>IF(B2196=0,0,O2165/B2196)</f>
        <v/>
      </c>
      <c r="Q2165" t="n">
        <v>0</v>
      </c>
      <c r="R2165" t="n">
        <v>0</v>
      </c>
      <c r="S2165">
        <f>IFERROR(O2165/N2165,0)</f>
        <v/>
      </c>
      <c r="T2165">
        <f>IF(C2165,(Skills!G4*H2165*N2165*B2190)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5">
        <f>290*U2164/1000</f>
        <v/>
      </c>
      <c r="V2165">
        <f>IF(C2165,(Skills!G4*H2165*N2165*B2190)*IF(Inputs!$B$38="pvp",1,(1+(Inputs!$B$21+Skills!Q4+(IF(ArtifactsInput!$M$33,CHOOSE(ArtifactsInput!$N$33+1,30,36,42,48,54,60),0))+(IF(AND(ArtifactsInput!$M$35,Inputs!$B$4&lt;&gt;"Chapter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6">
      <c r="A2166">
        <f>Skills!A5</f>
        <v/>
      </c>
      <c r="B2166">
        <f>Skills!B5</f>
        <v/>
      </c>
      <c r="C2166">
        <f>Inputs!$B$3&gt;=60</f>
        <v/>
      </c>
      <c r="D2166">
        <f>IF(Skills!C5=1,60+Inputs!$B$25+Inputs!$B$29,IF(Skills!C5=2,90+Inputs!$B$26+Inputs!$B$29,IF(Skills!C5=3,120+Inputs!$B$27+Inputs!$B$29,MAX(0,(Inputs!$B$3-100)*3)+Inputs!$B$28+Inputs!$B$29)))</f>
        <v/>
      </c>
      <c r="E2166">
        <f>INDEX(FactorTable!$B$2:$Y$301, MATCH(ROUND(MIN(300,MAX(1,D2166)),0), FactorTable!$A$2:$A$301,0), Skills!M5+1)</f>
        <v/>
      </c>
      <c r="F2166">
        <f>IF(Skills!N5=TRUE,(Skills!L5/10)*(E2166/1000),Skills!L5/10)+Skills!O5</f>
        <v/>
      </c>
      <c r="G2166">
        <f>Skills!G5*IF(Skills!H5&gt;0,Skills!I5/Skills!H5,1)</f>
        <v/>
      </c>
      <c r="H2166">
        <f>1-(1-Skills!J5/100)^Skills!K5</f>
        <v/>
      </c>
      <c r="I2166" t="inlineStr">
        <is>
          <t>1</t>
        </is>
      </c>
      <c r="J2166" t="inlineStr"/>
      <c r="K2166" t="inlineStr"/>
      <c r="L2166" t="inlineStr"/>
      <c r="M2166" t="inlineStr"/>
      <c r="N2166" t="inlineStr"/>
      <c r="O2166">
        <f>(1-Summary!$B$11)*T2166+Summary!$B$11*V2166</f>
        <v/>
      </c>
      <c r="P2166">
        <f>IF(B2196=0,0,O2166/B2196)</f>
        <v/>
      </c>
      <c r="Q2166" t="n">
        <v>0</v>
      </c>
      <c r="R2166" t="n">
        <v>0</v>
      </c>
      <c r="S2166">
        <f>IFERROR(O2166/N2166,0)</f>
        <v/>
      </c>
      <c r="T2166" t="n">
        <v>0</v>
      </c>
      <c r="V2166" t="n">
        <v>0</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Skills!M6+1)</f>
        <v/>
      </c>
      <c r="F2167">
        <f>IF(Skills!N6=TRUE,(Skills!L6/10)*(E2167/1000),Skills!L6/10)+Skills!O6</f>
        <v/>
      </c>
      <c r="G2167">
        <f>Skills!G6*IF(Skills!H6&gt;0,Skills!I6/Skills!H6,1)</f>
        <v/>
      </c>
      <c r="H2167">
        <f>1-(1-Skills!J6/100)^Skills!K6</f>
        <v/>
      </c>
      <c r="I2167" t="inlineStr">
        <is>
          <t>1</t>
        </is>
      </c>
      <c r="J2167">
        <f>((Inputs!$B$6*(1+Inputs!$B$7/100))+(((Inputs!$B$12*(1+Inputs!$B$13/100))-(Inputs!$B$12*(1+Inputs!$B$13/100)))+0.25*(Inputs!$B$14-Inputs!$B$14))*(1+Inputs!$B$7/100))*(F2167/100)</f>
        <v/>
      </c>
      <c r="K2167">
        <f>J2167*(1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2167)</f>
        <v/>
      </c>
      <c r="L2167">
        <f>K2167*(MIN(Inputs!$B$22+((C2181=TRUE)*(F2181-Calc!F20)),(Inputs!$B$23+0+(IF(ArtifactsInput!$M$15,CHOOSE(ArtifactsInput!$N$15+1,25,30,35,40,45,50)/100*(Inputs!$B$11-Inputs!$B$11),0))))/100+(Inputs!$B$23+0+(IF(ArtifactsInput!$M$15,CHOOSE(ArtifactsInput!$N$15+1,25,30,35,40,45,50)/100*(Inputs!$B$11-Inputs!$B$11),0)))/100)/2</f>
        <v/>
      </c>
      <c r="M2167">
        <f>L2167*(1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7">
        <f>L2167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2167*(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7">
        <f>(1-Summary!$B$11)*T2167+Summary!$B$11*V2167</f>
        <v/>
      </c>
      <c r="P2167">
        <f>IF(B2196=0,0,O2167/B2196)</f>
        <v/>
      </c>
      <c r="Q2167">
        <f>IFERROR(1/(IF(Inputs!$B$38="pvp",15,MAX(0.1,Skills!D6-IF(Skills!E6=TRUE,Inputs!$B$32,0)))*(1-IF(AND(ArtifactsInput!$M$27,Inputs!$B$4="Chapter Hunt"),CHOOSE(ArtifactsInput!$N$27+1,20,24,28,32,36,40),0)/100)),0)</f>
        <v/>
      </c>
      <c r="R2167">
        <f>IF(AND(Inputs!$B$38&lt;&gt;"pvp",Inputs!$B$43&gt;0),IF(MAX(0,Inputs!$B$43-B2193)&lt;=0,0,(INT(MAX(0,Inputs!$B$43-B2193)/(IF(Inputs!$B$38="pvp",15,MAX(0.1,Skills!D6-IF(Skills!E6=TRUE,Inputs!$B$32,0)))*(1-IF(AND(ArtifactsInput!$M$27,Inputs!$B$4="Chapter Hunt"),CHOOSE(ArtifactsInput!$N$27+1,20,24,28,32,36,40),0)/100)))+1)),0)</f>
        <v/>
      </c>
      <c r="S2167">
        <f>IFERROR(O2167/N2167,0)</f>
        <v/>
      </c>
      <c r="T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$21+Skills!Q6+(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f>Skills!A7</f>
        <v/>
      </c>
      <c r="B2168">
        <f>Skills!B7</f>
        <v/>
      </c>
      <c r="C2168">
        <f>Inputs!$B$3&gt;=100</f>
        <v/>
      </c>
      <c r="D2168">
        <f>IF(Skills!C7=1,60+Inputs!$B$25+Inputs!$B$29,IF(Skills!C7=2,90+Inputs!$B$26+Inputs!$B$29,IF(Skills!C7=3,120+Inputs!$B$27+Inputs!$B$29,MAX(0,(Inputs!$B$3-100)*3)+Inputs!$B$28+Inputs!$B$29)))</f>
        <v/>
      </c>
      <c r="E2168">
        <f>INDEX(FactorTable!$B$2:$Y$301, MATCH(ROUND(MIN(300,MAX(1,D2168)),0), FactorTable!$A$2:$A$301,0), Skills!M7+1)</f>
        <v/>
      </c>
      <c r="F2168">
        <f>IF(Skills!N7=TRUE,(Skills!L7/10)*(E2168/1000),Skills!L7/10)+Skills!O7</f>
        <v/>
      </c>
      <c r="G2168">
        <f>Skills!G7*IF(Skills!H7&gt;0,Skills!I7/Skills!H7,1)</f>
        <v/>
      </c>
      <c r="H2168">
        <f>1-(1-Skills!J7/100)^Skills!K7</f>
        <v/>
      </c>
      <c r="I2168" t="inlineStr">
        <is>
          <t>1</t>
        </is>
      </c>
      <c r="J2168">
        <f>((Inputs!$B$6*(1+Inputs!$B$7/100))+(((Inputs!$B$12*(1+Inputs!$B$13/100))-(Inputs!$B$12*(1+Inputs!$B$13/100)))+0.25*(Inputs!$B$14-Inputs!$B$14))*(1+Inputs!$B$7/100))*(F2168/100)</f>
        <v/>
      </c>
      <c r="K2168">
        <f>J2168*(1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2168)</f>
        <v/>
      </c>
      <c r="L2168">
        <f>K2168*(MIN(Inputs!$B$22+((C2181=TRUE)*(F2181-Calc!F20)),(Inputs!$B$23+0+(IF(ArtifactsInput!$M$15,CHOOSE(ArtifactsInput!$N$15+1,25,30,35,40,45,50)/100*(Inputs!$B$11-Inputs!$B$11),0))))/100+(Inputs!$B$23+0+(IF(ArtifactsInput!$M$15,CHOOSE(ArtifactsInput!$N$15+1,25,30,35,40,45,50)/100*(Inputs!$B$11-Inputs!$B$11),0)))/100)/2</f>
        <v/>
      </c>
      <c r="M2168">
        <f>L2168*(1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8">
        <f>L2168*(1-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2168*(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8">
        <f>(1-Summary!$B$11)*T2168+Summary!$B$11*V2168</f>
        <v/>
      </c>
      <c r="P2168">
        <f>IF(B2196=0,0,O2168/B2196)</f>
        <v/>
      </c>
      <c r="Q2168">
        <f>IFERROR(1/(IF(Inputs!$B$38="pvp",15,MAX(0.1,Skills!D7-IF(Skills!E7=TRUE,Inputs!$B$32,0)))*(1-IF(AND(ArtifactsInput!$M$27,Inputs!$B$4="Chapter Hunt"),CHOOSE(ArtifactsInput!$N$27+1,20,24,28,32,36,40),0)/100)),0)</f>
        <v/>
      </c>
      <c r="R2168">
        <f>IF(AND(Inputs!$B$38&lt;&gt;"pvp",Inputs!$B$43&gt;0),IF(MAX(0,Inputs!$B$43-B2193)&lt;=0,0,(INT(MAX(0,Inputs!$B$43-B2193)/(IF(Inputs!$B$38="pvp",15,MAX(0.1,Skills!D7-IF(Skills!E7=TRUE,Inputs!$B$32,0)))*(1-IF(AND(ArtifactsInput!$M$27,Inputs!$B$4="Chapter Hunt"),CHOOSE(ArtifactsInput!$N$27+1,20,24,28,32,36,40),0)/100)))+1)),0)</f>
        <v/>
      </c>
      <c r="S2168">
        <f>IFERROR(O2168/N2168,0)</f>
        <v/>
      </c>
      <c r="T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$21+Skills!Q7+(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9">
      <c r="A2169">
        <f>Skills!A8</f>
        <v/>
      </c>
      <c r="B2169">
        <f>Skills!B8</f>
        <v/>
      </c>
      <c r="C2169">
        <f>Inputs!$B$3&gt;=110</f>
        <v/>
      </c>
      <c r="D2169">
        <f>IF(Skills!C8=1,60+Inputs!$B$25+Inputs!$B$29,IF(Skills!C8=2,90+Inputs!$B$26+Inputs!$B$29,IF(Skills!C8=3,120+Inputs!$B$27+Inputs!$B$29,MAX(0,(Inputs!$B$3-100)*3)+Inputs!$B$28+Inputs!$B$29)))</f>
        <v/>
      </c>
      <c r="E2169">
        <f>INDEX(FactorTable!$B$2:$Y$301, MATCH(ROUND(MIN(300,MAX(1,D2169)),0), FactorTable!$A$2:$A$301,0), Skills!M8+1)</f>
        <v/>
      </c>
      <c r="F2169">
        <f>IF(Skills!N8=TRUE,(Skills!L8/10)*(E2169/1000),Skills!L8/10)+Skills!O8</f>
        <v/>
      </c>
      <c r="G2169">
        <f>Skills!G8*IF(Skills!H8&gt;0,Skills!I8/Skills!H8,1)</f>
        <v/>
      </c>
      <c r="H2169">
        <f>1-(1-Skills!J8/100)^Skills!K8</f>
        <v/>
      </c>
      <c r="I2169" t="inlineStr">
        <is>
          <t>1</t>
        </is>
      </c>
      <c r="J2169">
        <f>((Inputs!$B$6*(1+Inputs!$B$7/100))+(((Inputs!$B$12*(1+Inputs!$B$13/100))-(Inputs!$B$12*(1+Inputs!$B$13/100)))+0.25*(Inputs!$B$14-Inputs!$B$14))*(1+Inputs!$B$7/100))*(F2169/100)</f>
        <v/>
      </c>
      <c r="K2169">
        <f>J2169*(1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2169)</f>
        <v/>
      </c>
      <c r="L2169">
        <f>K2169*(MIN(Inputs!$B$22+((C2181=TRUE)*(F2181-Calc!F20)),(Inputs!$B$23+0+(IF(ArtifactsInput!$M$15,CHOOSE(ArtifactsInput!$N$15+1,25,30,35,40,45,50)/100*(Inputs!$B$11-Inputs!$B$11),0))))/100+(Inputs!$B$23+0+(IF(ArtifactsInput!$M$15,CHOOSE(ArtifactsInput!$N$15+1,25,30,35,40,45,50)/100*(Inputs!$B$11-Inputs!$B$11),0)))/100)/2</f>
        <v/>
      </c>
      <c r="M2169">
        <f>L2169*(1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9">
        <f>L2169*(1-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2169*(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9">
        <f>(1-Summary!$B$11)*T2169+Summary!$B$11*V2169</f>
        <v/>
      </c>
      <c r="P2169">
        <f>IF(B2196=0,0,O2169/B2196)</f>
        <v/>
      </c>
      <c r="Q2169">
        <f>IFERROR(1/(IF(Inputs!$B$38="pvp",15,MAX(0.1,Skills!D8-IF(Skills!E8=TRUE,Inputs!$B$32,0)))*(1-IF(AND(ArtifactsInput!$M$27,Inputs!$B$4="Chapter Hunt"),CHOOSE(ArtifactsInput!$N$27+1,20,24,28,32,36,40),0)/100)),0)</f>
        <v/>
      </c>
      <c r="R2169">
        <f>IF(AND(Inputs!$B$38&lt;&gt;"pvp",Inputs!$B$43&gt;0),IF(MAX(0,Inputs!$B$43-B2193)&lt;=0,0,(INT(MAX(0,Inputs!$B$43-B2193)/(IF(Inputs!$B$38="pvp",15,MAX(0.1,Skills!D8-IF(Skills!E8=TRUE,Inputs!$B$32,0)))*(1-IF(AND(ArtifactsInput!$M$27,Inputs!$B$4="Chapter Hunt"),CHOOSE(ArtifactsInput!$N$27+1,20,24,28,32,36,40),0)/100)))+1)),0)</f>
        <v/>
      </c>
      <c r="S2169">
        <f>IFERROR(O2169/N2169,0)</f>
        <v/>
      </c>
      <c r="T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$21+Skills!Q8+(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0">
      <c r="A2170">
        <f>Skills!A9</f>
        <v/>
      </c>
      <c r="B2170">
        <f>Skills!B9</f>
        <v/>
      </c>
      <c r="C2170">
        <f>Inputs!$B$3&gt;=110</f>
        <v/>
      </c>
      <c r="D2170">
        <f>IF(Skills!C9=1,60+Inputs!$B$25+Inputs!$B$29,IF(Skills!C9=2,90+Inputs!$B$26+Inputs!$B$29,IF(Skills!C9=3,120+Inputs!$B$27+Inputs!$B$29,MAX(0,(Inputs!$B$3-100)*3)+Inputs!$B$28+Inputs!$B$29)))</f>
        <v/>
      </c>
      <c r="E2170">
        <f>INDEX(FactorTable!$B$2:$Y$301, MATCH(ROUND(MIN(300,MAX(1,D2170)),0), FactorTable!$A$2:$A$301,0), Skills!M9+1)</f>
        <v/>
      </c>
      <c r="F2170">
        <f>IF(Skills!N9=TRUE,(Skills!L9/10)*(E2170/1000),Skills!L9/10)+Skills!O9</f>
        <v/>
      </c>
      <c r="G2170">
        <f>Skills!G9*IF(Skills!H9&gt;0,Skills!I9/Skills!H9,1)</f>
        <v/>
      </c>
      <c r="H2170">
        <f>1-(1-Skills!J9/100)^Skills!K9</f>
        <v/>
      </c>
      <c r="I2170" t="inlineStr">
        <is>
          <t>1</t>
        </is>
      </c>
      <c r="J2170">
        <f>((Inputs!$B$6*(1+Inputs!$B$7/100))+(((Inputs!$B$12*(1+Inputs!$B$13/100))-(Inputs!$B$12*(1+Inputs!$B$13/100)))+0.25*(Inputs!$B$14-Inputs!$B$14))*(1+Inputs!$B$7/100))*(F2170/100)</f>
        <v/>
      </c>
      <c r="K2170">
        <f>J2170*(1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2170)</f>
        <v/>
      </c>
      <c r="L2170">
        <f>K2170*(MIN(Inputs!$B$22+((C2181=TRUE)*(F2181-Calc!F20)),(Inputs!$B$23+0+(IF(ArtifactsInput!$M$15,CHOOSE(ArtifactsInput!$N$15+1,25,30,35,40,45,50)/100*(Inputs!$B$11-Inputs!$B$11),0))))/100+(Inputs!$B$23+0+(IF(ArtifactsInput!$M$15,CHOOSE(ArtifactsInput!$N$15+1,25,30,35,40,45,50)/100*(Inputs!$B$11-Inputs!$B$11),0)))/100)/2</f>
        <v/>
      </c>
      <c r="M2170">
        <f>L2170*(1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0">
        <f>L2170*(1-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2170*(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0">
        <f>(1-Summary!$B$11)*T2170+Summary!$B$11*V2170</f>
        <v/>
      </c>
      <c r="P2170">
        <f>IF(B2196=0,0,O2170/B2196)</f>
        <v/>
      </c>
      <c r="Q2170">
        <f>IFERROR(1/(IF(Inputs!$B$38="pvp",15,MAX(0.1,Skills!D9-IF(Skills!E9=TRUE,Inputs!$B$32,0)))*(1-IF(AND(ArtifactsInput!$M$27,Inputs!$B$4="Chapter Hunt"),CHOOSE(ArtifactsInput!$N$27+1,20,24,28,32,36,40),0)/100)),0)</f>
        <v/>
      </c>
      <c r="R2170">
        <f>IF(AND(Inputs!$B$38&lt;&gt;"pvp",Inputs!$B$43&gt;0),IF(MAX(0,Inputs!$B$43-B2193)&lt;=0,0,(INT(MAX(0,Inputs!$B$43-B2193)/(IF(Inputs!$B$38="pvp",15,MAX(0.1,Skills!D9-IF(Skills!E9=TRUE,Inputs!$B$32,0)))*(1-IF(AND(ArtifactsInput!$M$27,Inputs!$B$4="Chapter Hunt"),CHOOSE(ArtifactsInput!$N$27+1,20,24,28,32,36,40),0)/100)))+1)),0)</f>
        <v/>
      </c>
      <c r="S2170">
        <f>IFERROR(O2170/N2170,0)</f>
        <v/>
      </c>
      <c r="T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$21+Skills!Q9+(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1">
      <c r="A2171">
        <f>Skills!A10</f>
        <v/>
      </c>
      <c r="B2171">
        <f>Skills!B10</f>
        <v/>
      </c>
      <c r="C2171">
        <f>Inputs!$B$3&gt;=103</f>
        <v/>
      </c>
      <c r="D2171">
        <f>IF(Skills!C10=1,60+Inputs!$B$25+Inputs!$B$29,IF(Skills!C10=2,90+Inputs!$B$26+Inputs!$B$29,IF(Skills!C10=3,120+Inputs!$B$27+Inputs!$B$29,MAX(0,(Inputs!$B$3-100)*3)+Inputs!$B$28+Inputs!$B$29)))</f>
        <v/>
      </c>
      <c r="E2171">
        <f>INDEX(FactorTable!$B$2:$Y$301, MATCH(ROUND(MIN(300,MAX(1,D2171)),0), FactorTable!$A$2:$A$301,0), Skills!M10+1)</f>
        <v/>
      </c>
      <c r="F2171">
        <f>IF(Skills!N10=TRUE,(Skills!L10/10)*(E2171/1000),Skills!L10/10)+Skills!O10</f>
        <v/>
      </c>
      <c r="G2171">
        <f>Skills!G10*IF(Skills!H10&gt;0,Skills!I10/Skills!H10,1)</f>
        <v/>
      </c>
      <c r="H2171">
        <f>1-(1-Skills!J10/100)^Skills!K10</f>
        <v/>
      </c>
      <c r="I2171" t="inlineStr">
        <is>
          <t>1</t>
        </is>
      </c>
      <c r="J2171">
        <f>((Inputs!$B$6*(1+Inputs!$B$7/100))+(((Inputs!$B$12*(1+Inputs!$B$13/100))-(Inputs!$B$12*(1+Inputs!$B$13/100)))+0.25*(Inputs!$B$14-Inputs!$B$14))*(1+Inputs!$B$7/100))*(F2171/100)</f>
        <v/>
      </c>
      <c r="K2171">
        <f>J2171*(1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2171)</f>
        <v/>
      </c>
      <c r="L2171">
        <f>K2171*(MIN(Inputs!$B$22+((C2181=TRUE)*(F2181-Calc!F20)),(Inputs!$B$23+0+(IF(ArtifactsInput!$M$15,CHOOSE(ArtifactsInput!$N$15+1,25,30,35,40,45,50)/100*(Inputs!$B$11-Inputs!$B$11),0))))/100+(Inputs!$B$23+0+(IF(ArtifactsInput!$M$15,CHOOSE(ArtifactsInput!$N$15+1,25,30,35,40,45,50)/100*(Inputs!$B$11-Inputs!$B$11),0)))/100)/2</f>
        <v/>
      </c>
      <c r="M2171">
        <f>L2171*(1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1">
        <f>L2171*(1-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1">
        <f>(1-Summary!$B$11)*T2171+Summary!$B$11*V2171</f>
        <v/>
      </c>
      <c r="P2171">
        <f>IF(B2196=0,0,O2171/B2196)</f>
        <v/>
      </c>
      <c r="Q2171">
        <f>IFERROR(1/(IF(Inputs!$B$38="pvp",15,MAX(0.1,Skills!D10-IF(Skills!E10=TRUE,Inputs!$B$32,0)))*(1-IF(AND(ArtifactsInput!$M$27,Inputs!$B$4="Chapter Hunt"),CHOOSE(ArtifactsInput!$N$27+1,20,24,28,32,36,40),0)/100)),0)</f>
        <v/>
      </c>
      <c r="R2171">
        <f>IF(AND(Inputs!$B$38&lt;&gt;"pvp",Inputs!$B$43&gt;0),IF(MAX(0,Inputs!$B$43-B2193)&lt;=0,0,(INT(MAX(0,Inputs!$B$43-B2193)/(IF(Inputs!$B$38="pvp",15,MAX(0.1,Skills!D10-IF(Skills!E10=TRUE,Inputs!$B$32,0)))*(1-IF(AND(ArtifactsInput!$M$27,Inputs!$B$4="Chapter Hunt"),CHOOSE(ArtifactsInput!$N$27+1,20,24,28,32,36,40),0)/100)))+1)),0)</f>
        <v/>
      </c>
      <c r="S2171">
        <f>IFERROR(O2171/N2171,0)</f>
        <v/>
      </c>
      <c r="T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$21+Skills!Q10+(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2">
      <c r="A2172">
        <f>Skills!A11</f>
        <v/>
      </c>
      <c r="B2172">
        <f>Skills!B11</f>
        <v/>
      </c>
      <c r="C2172">
        <f>Inputs!$B$3&gt;=113</f>
        <v/>
      </c>
      <c r="D2172">
        <f>IF(Skills!C11=1,60+Inputs!$B$25+Inputs!$B$29,IF(Skills!C11=2,90+Inputs!$B$26+Inputs!$B$29,IF(Skills!C11=3,120+Inputs!$B$27+Inputs!$B$29,MAX(0,(Inputs!$B$3-100)*3)+Inputs!$B$28+Inputs!$B$29)))</f>
        <v/>
      </c>
      <c r="E2172">
        <f>INDEX(FactorTable!$B$2:$Y$301, MATCH(ROUND(MIN(300,MAX(1,D2172)),0), FactorTable!$A$2:$A$301,0), Skills!M11+1)</f>
        <v/>
      </c>
      <c r="F2172">
        <f>IF(Skills!N11=TRUE,(Skills!L11/10)*(E2172/1000),Skills!L11/10)+Skills!O11</f>
        <v/>
      </c>
      <c r="G2172">
        <f>Skills!G11*IF(Skills!H11&gt;0,Skills!I11/Skills!H11,1)</f>
        <v/>
      </c>
      <c r="H2172">
        <f>1-(1-Skills!J11/100)^Skills!K11</f>
        <v/>
      </c>
      <c r="I2172" t="inlineStr">
        <is>
          <t>1</t>
        </is>
      </c>
      <c r="J2172">
        <f>((Inputs!$B$6*(1+Inputs!$B$7/100))+(((Inputs!$B$12*(1+Inputs!$B$13/100))-(Inputs!$B$12*(1+Inputs!$B$13/100)))+0.25*(Inputs!$B$14-Inputs!$B$14))*(1+Inputs!$B$7/100))*(F2172/100)</f>
        <v/>
      </c>
      <c r="K2172">
        <f>J2172*(1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2172)</f>
        <v/>
      </c>
      <c r="L2172">
        <f>K2172*(MIN(Inputs!$B$22+((C2181=TRUE)*(F2181-Calc!F20)),(Inputs!$B$23+0+(IF(ArtifactsInput!$M$15,CHOOSE(ArtifactsInput!$N$15+1,25,30,35,40,45,50)/100*(Inputs!$B$11-Inputs!$B$11),0))))/100+(Inputs!$B$23+0+(IF(ArtifactsInput!$M$15,CHOOSE(ArtifactsInput!$N$15+1,25,30,35,40,45,50)/100*(Inputs!$B$11-Inputs!$B$11),0)))/100)/2</f>
        <v/>
      </c>
      <c r="M2172">
        <f>L2172*(1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2">
        <f>L2172*(1-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2172*(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2">
        <f>(1-Summary!$B$11)*T2172+Summary!$B$11*V2172</f>
        <v/>
      </c>
      <c r="P2172">
        <f>IF(B2196=0,0,O2172/B2196)</f>
        <v/>
      </c>
      <c r="Q2172">
        <f>IFERROR(1/(IF(Inputs!$B$38="pvp",15,MAX(0.1,Skills!D11-IF(Skills!E11=TRUE,Inputs!$B$32,0)))*(1-IF(AND(ArtifactsInput!$M$27,Inputs!$B$4="Chapter Hunt"),CHOOSE(ArtifactsInput!$N$27+1,20,24,28,32,36,40),0)/100)),0)</f>
        <v/>
      </c>
      <c r="R2172">
        <f>IF(AND(Inputs!$B$38&lt;&gt;"pvp",Inputs!$B$43&gt;0),IF(MAX(0,Inputs!$B$43-B2193)&lt;=0,0,(INT(MAX(0,Inputs!$B$43-B2193)/(IF(Inputs!$B$38="pvp",15,MAX(0.1,Skills!D11-IF(Skills!E11=TRUE,Inputs!$B$32,0)))*(1-IF(AND(ArtifactsInput!$M$27,Inputs!$B$4="Chapter Hunt"),CHOOSE(ArtifactsInput!$N$27+1,20,24,28,32,36,40),0)/100)))+1)),0)</f>
        <v/>
      </c>
      <c r="S2172">
        <f>IFERROR(O2172/N2172,0)</f>
        <v/>
      </c>
      <c r="T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$21+Skills!Q11+(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3">
      <c r="A2173">
        <f>Skills!A12</f>
        <v/>
      </c>
      <c r="B2173">
        <f>Skills!B12</f>
        <v/>
      </c>
      <c r="C2173">
        <f>Inputs!$B$3&gt;=100</f>
        <v/>
      </c>
      <c r="D2173">
        <f>IF(Skills!C12=1,60+Inputs!$B$25+Inputs!$B$29,IF(Skills!C12=2,90+Inputs!$B$26+Inputs!$B$29,IF(Skills!C12=3,120+Inputs!$B$27+Inputs!$B$29,MAX(0,(Inputs!$B$3-100)*3)+Inputs!$B$28+Inputs!$B$29)))</f>
        <v/>
      </c>
      <c r="E2173">
        <f>INDEX(FactorTable!$B$2:$Y$301, MATCH(ROUND(MIN(300,MAX(1,D2173)),0), FactorTable!$A$2:$A$301,0), Skills!M12+1)</f>
        <v/>
      </c>
      <c r="F2173">
        <f>IF(Skills!N12=TRUE,(Skills!L12/10)*(E2173/1000),Skills!L12/10)+Skills!O12</f>
        <v/>
      </c>
      <c r="G2173" t="inlineStr"/>
      <c r="H2173" t="inlineStr"/>
      <c r="I2173" t="inlineStr">
        <is>
          <t>1</t>
        </is>
      </c>
      <c r="J2173" t="inlineStr"/>
      <c r="K2173" t="inlineStr"/>
      <c r="L2173" t="inlineStr"/>
      <c r="M2173" t="inlineStr"/>
      <c r="N2173" t="inlineStr"/>
      <c r="O2173" t="inlineStr"/>
      <c r="P2173" t="inlineStr"/>
      <c r="Q2173" t="inlineStr"/>
      <c r="R2173" t="inlineStr"/>
      <c r="S2173" t="inlineStr"/>
      <c r="T2173" t="inlineStr"/>
      <c r="V2173" t="inlineStr"/>
    </row>
    <row r="2174">
      <c r="A2174">
        <f>Skills!A13</f>
        <v/>
      </c>
      <c r="B2174">
        <f>Skills!B13</f>
        <v/>
      </c>
      <c r="C2174">
        <f>Inputs!$B$3&gt;=66</f>
        <v/>
      </c>
      <c r="D2174">
        <f>IF(Skills!C13=1,60+Inputs!$B$25+Inputs!$B$29,IF(Skills!C13=2,90+Inputs!$B$26+Inputs!$B$29,IF(Skills!C13=3,120+Inputs!$B$27+Inputs!$B$29,MAX(0,(Inputs!$B$3-100)*3)+Inputs!$B$28+Inputs!$B$29)))</f>
        <v/>
      </c>
      <c r="E2174">
        <f>INDEX(FactorTable!$B$2:$Y$301, MATCH(ROUND(MIN(300,MAX(1,D2174)),0), FactorTable!$A$2:$A$301,0), Skills!M13+1)</f>
        <v/>
      </c>
      <c r="F2174">
        <f>IF(Skills!N13=TRUE,(Skills!L13/10)*(E2174/1000),Skills!L13/10)+Skills!O13</f>
        <v/>
      </c>
      <c r="G2174">
        <f>Skills!G13*IF(Skills!H13&gt;0,Skills!I13/Skills!H13,1)</f>
        <v/>
      </c>
      <c r="H2174">
        <f>1-(1-Skills!J13/100)^Skills!K13</f>
        <v/>
      </c>
      <c r="I2174" t="inlineStr">
        <is>
          <t>1</t>
        </is>
      </c>
      <c r="J2174" t="inlineStr"/>
      <c r="K2174" t="inlineStr"/>
      <c r="L2174" t="inlineStr"/>
      <c r="M2174" t="inlineStr"/>
      <c r="N2174" t="inlineStr"/>
      <c r="O2174">
        <f>(1-Summary!$B$11)*T2174+Summary!$B$11*V2174</f>
        <v/>
      </c>
      <c r="P2174">
        <f>IF(B2196=0,0,O2174/B2196)</f>
        <v/>
      </c>
      <c r="Q2174" t="n">
        <v>0</v>
      </c>
      <c r="R2174" t="n">
        <v>0</v>
      </c>
      <c r="S2174">
        <f>IFERROR(O2174/N2174,0)</f>
        <v/>
      </c>
      <c r="T2174" t="n">
        <v>0</v>
      </c>
      <c r="V2174" t="n">
        <v>0</v>
      </c>
    </row>
    <row r="2175">
      <c r="A2175">
        <f>Skills!A14</f>
        <v/>
      </c>
      <c r="B2175">
        <f>Skills!B14</f>
        <v/>
      </c>
      <c r="C2175">
        <f>Inputs!$B$3&gt;=107</f>
        <v/>
      </c>
      <c r="D2175">
        <f>IF(Skills!C14=1,60+Inputs!$B$25+Inputs!$B$29,IF(Skills!C14=2,90+Inputs!$B$26+Inputs!$B$29,IF(Skills!C14=3,120+Inputs!$B$27+Inputs!$B$29,MAX(0,(Inputs!$B$3-100)*3)+Inputs!$B$28+Inputs!$B$29)))</f>
        <v/>
      </c>
      <c r="E2175">
        <f>INDEX(FactorTable!$B$2:$Y$301, MATCH(ROUND(MIN(300,MAX(1,D2175)),0), FactorTable!$A$2:$A$301,0), Skills!M14+1)</f>
        <v/>
      </c>
      <c r="F2175">
        <f>IF(Skills!N14=TRUE,(Skills!L14/10)*(E2175/1000),Skills!L14/10)+Skills!O14</f>
        <v/>
      </c>
      <c r="G2175">
        <f>Skills!G14*IF(Skills!H14&gt;0,Skills!I14/Skills!H14,1)</f>
        <v/>
      </c>
      <c r="H2175">
        <f>1-(1-Skills!J14/100)^Skills!K14</f>
        <v/>
      </c>
      <c r="I2175" t="inlineStr">
        <is>
          <t>1</t>
        </is>
      </c>
      <c r="J2175" t="inlineStr"/>
      <c r="K2175" t="inlineStr"/>
      <c r="L2175" t="inlineStr"/>
      <c r="M2175" t="inlineStr"/>
      <c r="N2175" t="inlineStr"/>
      <c r="O2175">
        <f>(1-Summary!$B$11)*T2175+Summary!$B$11*V2175</f>
        <v/>
      </c>
      <c r="P2175">
        <f>IF(B2196=0,0,O2175/B2196)</f>
        <v/>
      </c>
      <c r="Q2175" t="n">
        <v>0</v>
      </c>
      <c r="R2175" t="n">
        <v>0</v>
      </c>
      <c r="S2175">
        <f>IFERROR(O2175/N2175,0)</f>
        <v/>
      </c>
      <c r="T2175" t="n">
        <v>0</v>
      </c>
      <c r="V2175" t="n">
        <v>0</v>
      </c>
    </row>
    <row r="2176">
      <c r="A2176">
        <f>Skills!A15</f>
        <v/>
      </c>
      <c r="B2176">
        <f>Skills!B15</f>
        <v/>
      </c>
      <c r="C2176">
        <f>Inputs!$B$3&gt;=115</f>
        <v/>
      </c>
      <c r="D2176">
        <f>IF(Skills!C15=1,60+Inputs!$B$25+Inputs!$B$29,IF(Skills!C15=2,90+Inputs!$B$26+Inputs!$B$29,IF(Skills!C15=3,120+Inputs!$B$27+Inputs!$B$29,MAX(0,(Inputs!$B$3-100)*3)+Inputs!$B$28+Inputs!$B$29)))</f>
        <v/>
      </c>
      <c r="E2176">
        <f>INDEX(FactorTable!$B$2:$Y$301, MATCH(ROUND(MIN(300,MAX(1,D2176)),0), FactorTable!$A$2:$A$301,0), Skills!M15+1)</f>
        <v/>
      </c>
      <c r="F2176">
        <f>IF(Skills!N15=TRUE,(Skills!L15/10)*(E2176/1000),Skills!L15/10)+Skills!O15</f>
        <v/>
      </c>
      <c r="G2176">
        <f>Skills!G15*IF(Skills!H15&gt;0,Skills!I15/Skills!H15,1)</f>
        <v/>
      </c>
      <c r="H2176">
        <f>1-(1-Skills!J15/100)^Skills!K15</f>
        <v/>
      </c>
      <c r="I2176" t="inlineStr">
        <is>
          <t>1</t>
        </is>
      </c>
      <c r="J2176" t="inlineStr"/>
      <c r="K2176" t="inlineStr"/>
      <c r="L2176" t="inlineStr"/>
      <c r="M2176" t="inlineStr"/>
      <c r="N2176" t="inlineStr"/>
      <c r="O2176">
        <f>(1-Summary!$B$11)*T2176+Summary!$B$11*V2176</f>
        <v/>
      </c>
      <c r="P2176">
        <f>IF(B2196=0,0,O2176/B2196)</f>
        <v/>
      </c>
      <c r="Q2176" t="n">
        <v>0</v>
      </c>
      <c r="R2176" t="n">
        <v>0</v>
      </c>
      <c r="S2176">
        <f>IFERROR(O2176/N2176,0)</f>
        <v/>
      </c>
      <c r="T2176" t="n">
        <v>0</v>
      </c>
      <c r="V2176" t="n">
        <v>0</v>
      </c>
    </row>
    <row r="2177">
      <c r="A2177">
        <f>Skills!A16</f>
        <v/>
      </c>
      <c r="B2177">
        <f>Skills!B16</f>
        <v/>
      </c>
      <c r="C2177">
        <f>Inputs!$B$3&gt;=15</f>
        <v/>
      </c>
      <c r="D2177">
        <f>IF(Skills!C16=1,60+Inputs!$B$25+Inputs!$B$29,IF(Skills!C16=2,90+Inputs!$B$26+Inputs!$B$29,IF(Skills!C16=3,120+Inputs!$B$27+Inputs!$B$29,MAX(0,(Inputs!$B$3-100)*3)+Inputs!$B$28+Inputs!$B$29)))</f>
        <v/>
      </c>
      <c r="E2177">
        <f>INDEX(FactorTable!$B$2:$Y$301, MATCH(ROUND(MIN(300,MAX(1,D2177)),0), FactorTable!$A$2:$A$301,0), Skills!M16+1)</f>
        <v/>
      </c>
      <c r="F2177">
        <f>IF(Skills!N16=TRUE,(Skills!L16/10)*(E2177/1000),Skills!L16/10)+Skills!O16</f>
        <v/>
      </c>
      <c r="G2177">
        <f>Skills!G16*IF(Skills!H16&gt;0,Skills!I16/Skills!H16,1)</f>
        <v/>
      </c>
      <c r="H2177">
        <f>1-(1-Skills!J16/100)^Skills!K16</f>
        <v/>
      </c>
      <c r="I2177" t="inlineStr">
        <is>
          <t>1</t>
        </is>
      </c>
      <c r="J2177" t="inlineStr"/>
      <c r="K2177" t="inlineStr"/>
      <c r="L2177" t="inlineStr"/>
      <c r="M2177" t="inlineStr"/>
      <c r="N2177" t="inlineStr"/>
      <c r="O2177">
        <f>(1-Summary!$B$11)*T2177+Summary!$B$11*V2177</f>
        <v/>
      </c>
      <c r="P2177">
        <f>IF(B2196=0,0,O2177/B2196)</f>
        <v/>
      </c>
      <c r="Q2177" t="n">
        <v>0</v>
      </c>
      <c r="R2177" t="n">
        <v>0</v>
      </c>
      <c r="S2177">
        <f>IFERROR(O2177/N2177,0)</f>
        <v/>
      </c>
      <c r="T2177" t="n">
        <v>0</v>
      </c>
      <c r="V2177" t="n">
        <v>0</v>
      </c>
    </row>
    <row r="2178">
      <c r="A2178">
        <f>Skills!A17</f>
        <v/>
      </c>
      <c r="B2178">
        <f>Skills!B17</f>
        <v/>
      </c>
      <c r="C2178">
        <f>Inputs!$B$3&gt;=10</f>
        <v/>
      </c>
      <c r="D2178">
        <f>IF(Skills!C17=1,60+Inputs!$B$25+Inputs!$B$29,IF(Skills!C17=2,90+Inputs!$B$26+Inputs!$B$29,IF(Skills!C17=3,120+Inputs!$B$27+Inputs!$B$29,MAX(0,(Inputs!$B$3-100)*3)+Inputs!$B$28+Inputs!$B$29)))</f>
        <v/>
      </c>
      <c r="E2178">
        <f>INDEX(FactorTable!$B$2:$Y$301, MATCH(ROUND(MIN(300,MAX(1,D2178)),0), FactorTable!$A$2:$A$301,0), Skills!M17+1)</f>
        <v/>
      </c>
      <c r="F2178">
        <f>IF(Skills!N17=TRUE,(Skills!L17/10)*(E2178/1000),Skills!L17/10)+Skills!O17</f>
        <v/>
      </c>
      <c r="G2178">
        <f>Skills!G17*IF(Skills!H17&gt;0,Skills!I17/Skills!H17,1)</f>
        <v/>
      </c>
      <c r="H2178">
        <f>1-(1-Skills!J17/100)^Skills!K17</f>
        <v/>
      </c>
      <c r="I2178" t="inlineStr">
        <is>
          <t>1</t>
        </is>
      </c>
      <c r="J2178" t="inlineStr"/>
      <c r="K2178" t="inlineStr"/>
      <c r="L2178" t="inlineStr"/>
      <c r="M2178" t="inlineStr"/>
      <c r="N2178" t="inlineStr"/>
      <c r="O2178">
        <f>(1-Summary!$B$11)*T2178+Summary!$B$11*V2178</f>
        <v/>
      </c>
      <c r="P2178">
        <f>IF(B2196=0,0,O2178/B2196)</f>
        <v/>
      </c>
      <c r="Q2178" t="n">
        <v>0</v>
      </c>
      <c r="R2178" t="n">
        <v>0</v>
      </c>
      <c r="S2178">
        <f>IFERROR(O2178/N2178,0)</f>
        <v/>
      </c>
      <c r="T2178" t="n">
        <v>0</v>
      </c>
      <c r="V2178" t="n">
        <v>0</v>
      </c>
    </row>
    <row r="2179">
      <c r="A2179">
        <f>Skills!A18</f>
        <v/>
      </c>
      <c r="B2179">
        <f>Skills!B18</f>
        <v/>
      </c>
      <c r="C2179">
        <f>Inputs!$B$3&gt;=33</f>
        <v/>
      </c>
      <c r="D2179">
        <f>IF(Skills!C18=1,60+Inputs!$B$25+Inputs!$B$29,IF(Skills!C18=2,90+Inputs!$B$26+Inputs!$B$29,IF(Skills!C18=3,120+Inputs!$B$27+Inputs!$B$29,MAX(0,(Inputs!$B$3-100)*3)+Inputs!$B$28+Inputs!$B$29)))</f>
        <v/>
      </c>
      <c r="E2179">
        <f>INDEX(FactorTable!$B$2:$Y$301, MATCH(ROUND(MIN(300,MAX(1,D2179)),0), FactorTable!$A$2:$A$301,0), Skills!M18+1)</f>
        <v/>
      </c>
      <c r="F2179">
        <f>IF(Skills!N18=TRUE,(Skills!L18/10)*(E2179/1000),Skills!L18/10)+Skills!O18</f>
        <v/>
      </c>
      <c r="G2179">
        <f>Skills!G18*IF(Skills!H18&gt;0,Skills!I18/Skills!H18,1)</f>
        <v/>
      </c>
      <c r="H2179">
        <f>1-(1-Skills!J18/100)^Skills!K18</f>
        <v/>
      </c>
      <c r="I2179" t="inlineStr">
        <is>
          <t>1</t>
        </is>
      </c>
      <c r="J2179" t="inlineStr"/>
      <c r="K2179" t="inlineStr"/>
      <c r="L2179" t="inlineStr"/>
      <c r="M2179" t="inlineStr"/>
      <c r="N2179" t="inlineStr"/>
      <c r="O2179">
        <f>(1-Summary!$B$11)*T2179+Summary!$B$11*V2179</f>
        <v/>
      </c>
      <c r="P2179">
        <f>IF(B2196=0,0,O2179/B2196)</f>
        <v/>
      </c>
      <c r="Q2179" t="n">
        <v>0</v>
      </c>
      <c r="R2179" t="n">
        <v>0</v>
      </c>
      <c r="S2179">
        <f>IFERROR(O2179/N2179,0)</f>
        <v/>
      </c>
      <c r="T2179" t="n">
        <v>0</v>
      </c>
      <c r="V2179" t="n">
        <v>0</v>
      </c>
    </row>
    <row r="2180">
      <c r="A2180">
        <f>Skills!A19</f>
        <v/>
      </c>
      <c r="B2180">
        <f>Skills!B19</f>
        <v/>
      </c>
      <c r="C2180">
        <f>Inputs!$B$3&gt;=40</f>
        <v/>
      </c>
      <c r="D2180">
        <f>IF(Skills!C19=1,60+Inputs!$B$25+Inputs!$B$29,IF(Skills!C19=2,90+Inputs!$B$26+Inputs!$B$29,IF(Skills!C19=3,120+Inputs!$B$27+Inputs!$B$29,MAX(0,(Inputs!$B$3-100)*3)+Inputs!$B$28+Inputs!$B$29)))</f>
        <v/>
      </c>
      <c r="E2180">
        <f>INDEX(FactorTable!$B$2:$Y$301, MATCH(ROUND(MIN(300,MAX(1,D2180)),0), FactorTable!$A$2:$A$301,0), Skills!M19+1)</f>
        <v/>
      </c>
      <c r="F2180">
        <f>IF(Skills!N19=TRUE,(Skills!L19/10)*(E2180/1000),Skills!L19/10)+Skills!O19</f>
        <v/>
      </c>
      <c r="G2180">
        <f>Skills!G19*IF(Skills!H19&gt;0,Skills!I19/Skills!H19,1)</f>
        <v/>
      </c>
      <c r="H2180">
        <f>1-(1-Skills!J19/100)^Skills!K19</f>
        <v/>
      </c>
      <c r="I2180" t="inlineStr">
        <is>
          <t>1</t>
        </is>
      </c>
      <c r="J2180" t="inlineStr"/>
      <c r="K2180" t="inlineStr"/>
      <c r="L2180" t="inlineStr"/>
      <c r="M2180" t="inlineStr"/>
      <c r="N2180" t="inlineStr"/>
      <c r="O2180">
        <f>(1-Summary!$B$11)*T2180+Summary!$B$11*V2180</f>
        <v/>
      </c>
      <c r="P2180">
        <f>IF(B2196=0,0,O2180/B2196)</f>
        <v/>
      </c>
      <c r="Q2180" t="n">
        <v>0</v>
      </c>
      <c r="R2180" t="n">
        <v>0</v>
      </c>
      <c r="S2180">
        <f>IFERROR(O2180/N2180,0)</f>
        <v/>
      </c>
      <c r="T2180" t="n">
        <v>0</v>
      </c>
      <c r="V2180" t="n">
        <v>0</v>
      </c>
    </row>
    <row r="2181">
      <c r="A2181">
        <f>Skills!A20</f>
        <v/>
      </c>
      <c r="B2181">
        <f>Skills!B20</f>
        <v/>
      </c>
      <c r="C2181">
        <f>Inputs!$B$3&gt;=43</f>
        <v/>
      </c>
      <c r="D2181">
        <f>IF(Skills!C20=1,60+Inputs!$B$25+Inputs!$B$29,IF(Skills!C20=2,90+Inputs!$B$26+Inputs!$B$29,IF(Skills!C20=3,120+Inputs!$B$27+Inputs!$B$29,MAX(0,(Inputs!$B$3-100)*3)+Inputs!$B$28+Inputs!$B$29)))</f>
        <v/>
      </c>
      <c r="E2181">
        <f>INDEX(FactorTable!$B$2:$Y$301, MATCH(ROUND(MIN(300,MAX(1,D2181)),0), FactorTable!$A$2:$A$301,0), Skills!M20+1)</f>
        <v/>
      </c>
      <c r="F2181">
        <f>IF(Skills!N20=TRUE,(Skills!L20/10)*(E2181/1000),Skills!L20/10)+Skills!O20</f>
        <v/>
      </c>
      <c r="G2181">
        <f>Skills!G20*IF(Skills!H20&gt;0,Skills!I20/Skills!H20,1)</f>
        <v/>
      </c>
      <c r="H2181">
        <f>1-(1-Skills!J20/100)^Skills!K20</f>
        <v/>
      </c>
      <c r="I2181" t="inlineStr">
        <is>
          <t>1</t>
        </is>
      </c>
      <c r="J2181" t="inlineStr"/>
      <c r="K2181" t="inlineStr"/>
      <c r="L2181" t="inlineStr"/>
      <c r="M2181" t="inlineStr"/>
      <c r="N2181" t="inlineStr"/>
      <c r="O2181">
        <f>(1-Summary!$B$11)*T2181+Summary!$B$11*V2181</f>
        <v/>
      </c>
      <c r="P2181">
        <f>IF(B2196=0,0,O2181/B2196)</f>
        <v/>
      </c>
      <c r="Q2181" t="n">
        <v>0</v>
      </c>
      <c r="R2181" t="n">
        <v>0</v>
      </c>
      <c r="S2181">
        <f>IFERROR(O2181/N2181,0)</f>
        <v/>
      </c>
      <c r="T2181" t="n">
        <v>0</v>
      </c>
      <c r="V2181" t="n">
        <v>0</v>
      </c>
    </row>
    <row r="2182">
      <c r="A2182">
        <f>Skills!A21</f>
        <v/>
      </c>
      <c r="B2182">
        <f>Skills!B21</f>
        <v/>
      </c>
      <c r="C2182">
        <f>Inputs!$B$3&gt;=38</f>
        <v/>
      </c>
      <c r="D2182">
        <f>IF(Skills!C21=1,60+Inputs!$B$25+Inputs!$B$29,IF(Skills!C21=2,90+Inputs!$B$26+Inputs!$B$29,IF(Skills!C21=3,120+Inputs!$B$27+Inputs!$B$29,MAX(0,(Inputs!$B$3-100)*3)+Inputs!$B$28+Inputs!$B$29)))</f>
        <v/>
      </c>
      <c r="E2182">
        <f>INDEX(FactorTable!$B$2:$Y$301, MATCH(ROUND(MIN(300,MAX(1,D2182)),0), FactorTable!$A$2:$A$301,0), Skills!M21+1)</f>
        <v/>
      </c>
      <c r="F2182">
        <f>IF(Skills!N21=TRUE,(Skills!L21/10)*(E2182/1000),Skills!L21/10)+Skills!O21</f>
        <v/>
      </c>
      <c r="G2182">
        <f>Skills!G21*IF(Skills!H21&gt;0,Skills!I21/Skills!H21,1)</f>
        <v/>
      </c>
      <c r="H2182">
        <f>1-(1-Skills!J21/100)^Skills!K21</f>
        <v/>
      </c>
      <c r="I2182" t="inlineStr">
        <is>
          <t>1</t>
        </is>
      </c>
      <c r="J2182" t="inlineStr"/>
      <c r="K2182" t="inlineStr"/>
      <c r="L2182" t="inlineStr"/>
      <c r="M2182" t="inlineStr"/>
      <c r="N2182" t="inlineStr"/>
      <c r="O2182">
        <f>(1-Summary!$B$11)*T2182+Summary!$B$11*V2182</f>
        <v/>
      </c>
      <c r="P2182">
        <f>IF(B2196=0,0,O2182/B2196)</f>
        <v/>
      </c>
      <c r="Q2182" t="n">
        <v>0</v>
      </c>
      <c r="R2182" t="n">
        <v>0</v>
      </c>
      <c r="S2182">
        <f>IFERROR(O2182/N2182,0)</f>
        <v/>
      </c>
      <c r="T2182" t="n">
        <v>0</v>
      </c>
      <c r="V2182" t="n">
        <v>0</v>
      </c>
    </row>
    <row r="2183">
      <c r="A2183">
        <f>Skills!A22</f>
        <v/>
      </c>
      <c r="B2183">
        <f>Skills!B22</f>
        <v/>
      </c>
      <c r="C2183">
        <f>Inputs!$B$3&gt;=75</f>
        <v/>
      </c>
      <c r="D2183">
        <f>IF(Skills!C22=1,60+Inputs!$B$25+Inputs!$B$29,IF(Skills!C22=2,90+Inputs!$B$26+Inputs!$B$29,IF(Skills!C22=3,120+Inputs!$B$27+Inputs!$B$29,MAX(0,(Inputs!$B$3-100)*3)+Inputs!$B$28+Inputs!$B$29)))</f>
        <v/>
      </c>
      <c r="E2183">
        <f>INDEX(FactorTable!$B$2:$Y$301, MATCH(ROUND(MIN(300,MAX(1,D2183)),0), FactorTable!$A$2:$A$301,0), Skills!M22+1)</f>
        <v/>
      </c>
      <c r="F2183">
        <f>IF(Skills!N22=TRUE,(Skills!L22/10)*(E2183/1000),Skills!L22/10)+Skills!O22</f>
        <v/>
      </c>
      <c r="G2183">
        <f>Skills!G22*IF(Skills!H22&gt;0,Skills!I22/Skills!H22,1)</f>
        <v/>
      </c>
      <c r="H2183">
        <f>1-(1-Skills!J22/100)^Skills!K22</f>
        <v/>
      </c>
      <c r="I2183" t="inlineStr">
        <is>
          <t>1</t>
        </is>
      </c>
      <c r="J2183" t="inlineStr"/>
      <c r="K2183" t="inlineStr"/>
      <c r="L2183" t="inlineStr"/>
      <c r="M2183" t="inlineStr"/>
      <c r="N2183" t="inlineStr"/>
      <c r="O2183">
        <f>(1-Summary!$B$11)*T2183+Summary!$B$11*V2183</f>
        <v/>
      </c>
      <c r="P2183">
        <f>IF(B2196=0,0,O2183/B2196)</f>
        <v/>
      </c>
      <c r="Q2183" t="n">
        <v>0</v>
      </c>
      <c r="R2183" t="n">
        <v>0</v>
      </c>
      <c r="S2183">
        <f>IFERROR(O2183/N2183,0)</f>
        <v/>
      </c>
      <c r="T2183" t="n">
        <v>0</v>
      </c>
      <c r="V2183" t="n">
        <v>0</v>
      </c>
    </row>
    <row r="2185">
      <c r="A2185" t="inlineStr">
        <is>
          <t>Attack% Bucket Multiplier</t>
        </is>
      </c>
      <c r="B2185">
        <f>(1+(((C2174=TRUE)*F2174)+((C2180=TRUE)*(F2180-Calc!F19))+(IF(ArtifactsInput!$M$21,CHOOSE(ArtifactsInput!$N$21+1,25,30,35,40,45,50)*(IF(OR(Inputs!$B$4="Chapter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6">
      <c r="A2186" t="inlineStr">
        <is>
          <t>Global Crit Rate Bonus %</t>
        </is>
      </c>
      <c r="B2186" t="n">
        <v>0</v>
      </c>
    </row>
    <row r="2187">
      <c r="A2187" t="inlineStr">
        <is>
          <t>Attack Speed Buff Bonus % (unused)</t>
        </is>
      </c>
      <c r="B2187" t="n">
        <v>0</v>
      </c>
    </row>
    <row r="2188">
      <c r="A2188" t="inlineStr">
        <is>
          <t>Actions Per Second</t>
        </is>
      </c>
      <c r="B2188">
        <f>1+MIN(150,150*(1-(1-(Inputs!$B$11+((C2178=TRUE)*(F2178-Calc!F17))+((C2179=TRUE)*(F2179-Calc!F18)))/150)*(1-B2187/150)))/100</f>
        <v/>
      </c>
    </row>
    <row r="2189">
      <c r="A2189" t="inlineStr">
        <is>
          <t>Skill + Buff Cast Rate</t>
        </is>
      </c>
      <c r="B2189">
        <f>IF(AND(Inputs!$B$38&lt;&gt;"pvp",Inputs!$B$43&gt;0),SUMPRODUCT((Skills!E2:E22=TRUE)*(C2163:C2183=TRUE)*R2163:R2183*Skills!F2:F22)/Inputs!$B$43,SUMPRODUCT((Skills!E2:E22=TRUE)*(C2163:C2183=TRUE)*Q2163:Q2183*Skills!F2:F22))</f>
        <v/>
      </c>
    </row>
    <row r="2190">
      <c r="A2190" t="inlineStr">
        <is>
          <t>Hook Bomber Casts Per Second</t>
        </is>
      </c>
      <c r="B2190">
        <f>MAX(0,B2188-B2189)</f>
        <v/>
      </c>
    </row>
    <row r="2191">
      <c r="A2191" t="inlineStr">
        <is>
          <t>Global Critical Damage Bonus % (unused)</t>
        </is>
      </c>
      <c r="B2191" t="n">
        <v>0</v>
      </c>
    </row>
    <row r="2192">
      <c r="A2192" t="inlineStr">
        <is>
          <t>Global Final Damage Bonus % (Serpent Scale + Crossbones + Time Leap + Speed Infusion)</t>
        </is>
      </c>
      <c r="B2192">
        <f>((C2166=TRUE)*F2166*((10+IF(Inputs!$B$3&gt;=94,5,0))/((10+IF(Inputs!$B$3&gt;=94,5,0))+5/(B2190*(1+IF(Inputs!$B$3&gt;=104,1,0))))))+((C2175=TRUE)*F2175)+((C2176=TRUE)*F2176)+((Inputs!$B$3&gt;=110)*20*(B2188-1))</f>
        <v/>
      </c>
    </row>
    <row r="2193">
      <c r="A2193" t="inlineStr">
        <is>
          <t>Buff-Casting Startup Delay (s, fixed-duration only)</t>
        </is>
      </c>
      <c r="B2193">
        <f>IF(AND(Inputs!$B$38&lt;&gt;"pvp",Inputs!$B$43&gt;0),SUMPRODUCT((Skills!T2:T22&gt;0)*(Skills!E2:E22=TRUE)*(C2163:C2183=TRUE))/B2188,0)</f>
        <v/>
      </c>
    </row>
    <row r="2194">
      <c r="A2194" t="inlineStr">
        <is>
          <t>Boss-Only Total DPS (this block's swept value)</t>
        </is>
      </c>
      <c r="B2194">
        <f>SUM(T2163:T2183)</f>
        <v/>
      </c>
    </row>
    <row r="2195">
      <c r="A2195" t="inlineStr">
        <is>
          <t>Normal-Only Total DPS (this block's swept value)</t>
        </is>
      </c>
      <c r="B2195">
        <f>SUM(V2163:V2183)</f>
        <v/>
      </c>
    </row>
    <row r="2196">
      <c r="A2196" s="6" t="inlineStr">
        <is>
          <t>TOTAL DPS</t>
        </is>
      </c>
      <c r="B2196" s="6">
        <f>SUM(O2163:O2183)</f>
        <v/>
      </c>
    </row>
    <row r="2199">
      <c r="A2199" s="6" t="inlineStr">
        <is>
          <t>Stat: Alliance Badge (Equip)</t>
        </is>
      </c>
    </row>
    <row r="2200">
      <c r="A2200" s="5" t="inlineStr">
        <is>
          <t>Key</t>
        </is>
      </c>
      <c r="B2200" s="5" t="inlineStr">
        <is>
          <t>Name</t>
        </is>
      </c>
      <c r="C2200" s="5" t="inlineStr">
        <is>
          <t>Unlocked</t>
        </is>
      </c>
      <c r="D2200" s="5" t="inlineStr">
        <is>
          <t>InputLevel</t>
        </is>
      </c>
      <c r="E2200" s="5" t="inlineStr">
        <is>
          <t>Factor</t>
        </is>
      </c>
      <c r="F2200" s="5" t="inlineStr">
        <is>
          <t>CoefficientPercent</t>
        </is>
      </c>
      <c r="G2200" s="5" t="inlineStr">
        <is>
          <t>EffectiveHits</t>
        </is>
      </c>
      <c r="H2200" s="5" t="inlineStr">
        <is>
          <t>ProcProbability</t>
        </is>
      </c>
      <c r="I2200" s="5" t="inlineStr">
        <is>
          <t>MapleHeroMultiplier</t>
        </is>
      </c>
      <c r="J2200" s="5" t="inlineStr">
        <is>
          <t>BaseDamage</t>
        </is>
      </c>
      <c r="K2200" s="5" t="inlineStr">
        <is>
          <t>BaseHitDamage</t>
        </is>
      </c>
      <c r="L2200" s="5" t="inlineStr">
        <is>
          <t>NonCritAvg</t>
        </is>
      </c>
      <c r="M2200" s="5" t="inlineStr">
        <is>
          <t>CritAvg</t>
        </is>
      </c>
      <c r="N2200" s="5" t="inlineStr">
        <is>
          <t>ExpectedDamage(perHit)</t>
        </is>
      </c>
      <c r="O2200" s="5" t="inlineStr">
        <is>
          <t>DPS</t>
        </is>
      </c>
      <c r="P2200" s="5" t="inlineStr">
        <is>
          <t>% of Total</t>
        </is>
      </c>
      <c r="Q2200" s="5" t="inlineStr">
        <is>
          <t>InvCooldown</t>
        </is>
      </c>
      <c r="R2200" s="5" t="inlineStr">
        <is>
          <t>CastsInFight</t>
        </is>
      </c>
      <c r="S2200" s="5" t="inlineStr">
        <is>
          <t>HitRate(perSec)</t>
        </is>
      </c>
      <c r="U2200" t="inlineStr">
        <is>
          <t>helpers</t>
        </is>
      </c>
    </row>
    <row r="2201">
      <c r="A2201">
        <f>Skills!A2</f>
        <v/>
      </c>
      <c r="B2201">
        <f>Skills!B2</f>
        <v/>
      </c>
      <c r="C2201">
        <f>Inputs!$B$3&gt;=100</f>
        <v/>
      </c>
      <c r="D2201" t="inlineStr"/>
      <c r="E2201" t="inlineStr"/>
      <c r="F2201">
        <f>U2203+Skills!O2</f>
        <v/>
      </c>
      <c r="G2201">
        <f>Skills!G2*IF(Skills!H2&gt;0,Skills!I2/Skills!H2,1)</f>
        <v/>
      </c>
      <c r="H2201">
        <f>1-(1-Skills!J2/100)^Skills!K2</f>
        <v/>
      </c>
      <c r="I2201" t="inlineStr">
        <is>
          <t>1</t>
        </is>
      </c>
      <c r="J2201">
        <f>((Inputs!$B$6*(1+Inputs!$B$7/100))+(((Inputs!$B$12*(1+Inputs!$B$13/100))-(Inputs!$B$12*(1+Inputs!$B$13/100)))+0.25*(Inputs!$B$14-Inputs!$B$14))*(1+Inputs!$B$7/100))*(F2201/100)</f>
        <v/>
      </c>
      <c r="K2201">
        <f>J2201*(1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2219=TRUE)*(F2219-Calc!F20)),(Inputs!$B$23+0+(IF(ArtifactsInput!$M$15,CHOOSE(ArtifactsInput!$N$15+1,25,30,35,40,45,50)/100*(Inputs!$B$11-Inputs!$B$11),0))))/100+(Inputs!$B$23+0+(IF(ArtifactsInput!$M$15,CHOOSE(ArtifactsInput!$N$15+1,25,30,35,40,45,50)/100*(Inputs!$B$11-Inputs!$B$11),0)))/100)/2</f>
        <v/>
      </c>
      <c r="M2201">
        <f>L2201*(1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IF(B2234=0,0,O2201/B2234)</f>
        <v/>
      </c>
      <c r="Q2201" t="n">
        <v>0</v>
      </c>
      <c r="R2201" t="n">
        <v>0</v>
      </c>
      <c r="S2201">
        <f>IFERROR(O2201/N2201,0)</f>
        <v/>
      </c>
      <c r="T2201">
        <f>IF(C2201,(Skills!G2*N2201*B2228)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MAX(0,(Inputs!$B$3-100)*3)+Inputs!$B$28+Inputs!$B$29</f>
        <v/>
      </c>
      <c r="V2201">
        <f>IF(C2201,(Skills!G2*N2201*B2228)*IF(Inputs!$B$38="pvp",1,(1+(Inputs!$B$21+Skills!Q2+(IF(ArtifactsInput!$M$33,CHOOSE(ArtifactsInput!$N$33+1,30,36,42,48,54,60),0))+(IF(AND(ArtifactsInput!$M$35,Inputs!$B$4&lt;&gt;"Chapter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Skills!A3</f>
        <v/>
      </c>
      <c r="B2202">
        <f>Skills!B3</f>
        <v/>
      </c>
      <c r="C2202">
        <f>Inputs!$B$3&gt;=35</f>
        <v/>
      </c>
      <c r="D2202">
        <f>IF(Skills!C3=1,60+Inputs!$B$25+Inputs!$B$29,IF(Skills!C3=2,90+Inputs!$B$26+Inputs!$B$29,IF(Skills!C3=3,120+Inputs!$B$27+Inputs!$B$29,MAX(0,(Inputs!$B$3-100)*3)+Inputs!$B$28+Inputs!$B$29)))</f>
        <v/>
      </c>
      <c r="E2202">
        <f>INDEX(FactorTable!$B$2:$Y$301, MATCH(ROUND(MIN(300,MAX(1,D2202)),0), FactorTable!$A$2:$A$301,0), Skills!M3+1)</f>
        <v/>
      </c>
      <c r="F2202">
        <f>IF(Skills!N3=TRUE,(Skills!L3/10)*(E2202/1000),Skills!L3/10)+Skills!O3</f>
        <v/>
      </c>
      <c r="G2202">
        <f>Skills!G3*IF(Skills!H3&gt;0,Skills!I3/Skills!H3,1)</f>
        <v/>
      </c>
      <c r="H2202">
        <f>1-(1-Skills!J3/100)^Skills!K3</f>
        <v/>
      </c>
      <c r="I2202" t="inlineStr">
        <is>
          <t>1</t>
        </is>
      </c>
      <c r="J2202">
        <f>((Inputs!$B$6*(1+Inputs!$B$7/100))+(((Inputs!$B$12*(1+Inputs!$B$13/100))-(Inputs!$B$12*(1+Inputs!$B$13/100)))+0.25*(Inputs!$B$14-Inputs!$B$14))*(1+Inputs!$B$7/100))*(F2202/100)</f>
        <v/>
      </c>
      <c r="K2202">
        <f>J2202*(1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2219=TRUE)*(F2219-Calc!F20)),(Inputs!$B$23+0+(IF(ArtifactsInput!$M$15,CHOOSE(ArtifactsInput!$N$15+1,25,30,35,40,45,50)/100*(Inputs!$B$11-Inputs!$B$11),0))))/100+(Inputs!$B$23+0+(IF(ArtifactsInput!$M$15,CHOOSE(ArtifactsInput!$N$15+1,25,30,35,40,45,50)/100*(Inputs!$B$11-Inputs!$B$11),0)))/100)/2</f>
        <v/>
      </c>
      <c r="M2202">
        <f>L2202*(1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IF(B2234=0,0,O2202/B2234)</f>
        <v/>
      </c>
      <c r="Q2202" t="n">
        <v>0</v>
      </c>
      <c r="R2202" t="n">
        <v>0</v>
      </c>
      <c r="S2202">
        <f>IFERROR(O2202/N2202,0)</f>
        <v/>
      </c>
      <c r="T2202">
        <f>IF(C2202,(Skills!G3*H2202*N2202*B2228)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INDEX(FactorTable!$B$2:$Y$301, MATCH(ROUND(MIN(300,MAX(1,U2201)),0), FactorTable!$A$2:$A$301,0), 22)</f>
        <v/>
      </c>
      <c r="V2202">
        <f>IF(C2202,(Skills!G3*H2202*N2202*B2228)*IF(Inputs!$B$38="pvp",1,(1+(Inputs!$B$21+Skills!Q3+(IF(ArtifactsInput!$M$33,CHOOSE(ArtifactsInput!$N$33+1,30,36,42,48,54,60),0))+(IF(AND(ArtifactsInput!$M$35,Inputs!$B$4&lt;&gt;"Chapter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Skills!A4</f>
        <v/>
      </c>
      <c r="B2203">
        <f>Skills!B4</f>
        <v/>
      </c>
      <c r="C2203">
        <f>Inputs!$B$3&gt;=60</f>
        <v/>
      </c>
      <c r="D2203">
        <f>IF(Skills!C4=1,60+Inputs!$B$25+Inputs!$B$29,IF(Skills!C4=2,90+Inputs!$B$26+Inputs!$B$29,IF(Skills!C4=3,120+Inputs!$B$27+Inputs!$B$29,MAX(0,(Inputs!$B$3-100)*3)+Inputs!$B$28+Inputs!$B$29)))</f>
        <v/>
      </c>
      <c r="E2203">
        <f>INDEX(FactorTable!$B$2:$Y$301, MATCH(ROUND(MIN(300,MAX(1,D2203)),0), FactorTable!$A$2:$A$301,0), Skills!M4+1)</f>
        <v/>
      </c>
      <c r="F2203">
        <f>IF(Skills!N4=TRUE,(Skills!L4/10)*(E2203/1000),Skills!L4/10)+Skills!O4</f>
        <v/>
      </c>
      <c r="G2203">
        <f>Skills!G4*IF(Skills!H4&gt;0,Skills!I4/Skills!H4,1)</f>
        <v/>
      </c>
      <c r="H2203">
        <f>1-(1-Skills!J4/100)^Skills!K4</f>
        <v/>
      </c>
      <c r="I2203" t="inlineStr">
        <is>
          <t>1</t>
        </is>
      </c>
      <c r="J2203">
        <f>((Inputs!$B$6*(1+Inputs!$B$7/100))+(((Inputs!$B$12*(1+Inputs!$B$13/100))-(Inputs!$B$12*(1+Inputs!$B$13/100)))+0.25*(Inputs!$B$14-Inputs!$B$14))*(1+Inputs!$B$7/100))*(F2203/100)</f>
        <v/>
      </c>
      <c r="K2203">
        <f>J2203*(1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2211=TRUE,F2211,0)/100)*(1+(IF(Skills!A4="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2203)</f>
        <v/>
      </c>
      <c r="L2203">
        <f>K2203*(MIN(Inputs!$B$22+((C2219=TRUE)*(F2219-Calc!F20)),(Inputs!$B$23+0+(IF(ArtifactsInput!$M$15,CHOOSE(ArtifactsInput!$N$15+1,25,30,35,40,45,50)/100*(Inputs!$B$11-Inputs!$B$11),0))))/100+(Inputs!$B$23+0+(IF(ArtifactsInput!$M$15,CHOOSE(ArtifactsInput!$N$15+1,25,30,35,40,45,50)/100*(Inputs!$B$11-Inputs!$B$11),0)))/100)/2</f>
        <v/>
      </c>
      <c r="M2203">
        <f>L2203*(1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3">
        <f>L2203*(1-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2203*(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3">
        <f>(1-Summary!$B$11)*T2203+Summary!$B$11*V2203</f>
        <v/>
      </c>
      <c r="P2203">
        <f>IF(B2234=0,0,O2203/B2234)</f>
        <v/>
      </c>
      <c r="Q2203" t="n">
        <v>0</v>
      </c>
      <c r="R2203" t="n">
        <v>0</v>
      </c>
      <c r="S2203">
        <f>IFERROR(O2203/N2203,0)</f>
        <v/>
      </c>
      <c r="T2203">
        <f>IF(C2203,(Skills!G4*H2203*N2203*B2228)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3">
        <f>290*U2202/1000</f>
        <v/>
      </c>
      <c r="V2203">
        <f>IF(C2203,(Skills!G4*H2203*N2203*B2228)*IF(Inputs!$B$38="pvp",1,(1+(Inputs!$B$21+Skills!Q4+(IF(ArtifactsInput!$M$33,CHOOSE(ArtifactsInput!$N$33+1,30,36,42,48,54,60),0))+(IF(AND(ArtifactsInput!$M$35,Inputs!$B$4&lt;&gt;"Chapter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4">
      <c r="A2204">
        <f>Skills!A5</f>
        <v/>
      </c>
      <c r="B2204">
        <f>Skills!B5</f>
        <v/>
      </c>
      <c r="C2204">
        <f>Inputs!$B$3&gt;=60</f>
        <v/>
      </c>
      <c r="D2204">
        <f>IF(Skills!C5=1,60+Inputs!$B$25+Inputs!$B$29,IF(Skills!C5=2,90+Inputs!$B$26+Inputs!$B$29,IF(Skills!C5=3,120+Inputs!$B$27+Inputs!$B$29,MAX(0,(Inputs!$B$3-100)*3)+Inputs!$B$28+Inputs!$B$29)))</f>
        <v/>
      </c>
      <c r="E2204">
        <f>INDEX(FactorTable!$B$2:$Y$301, MATCH(ROUND(MIN(300,MAX(1,D2204)),0), FactorTable!$A$2:$A$301,0), Skills!M5+1)</f>
        <v/>
      </c>
      <c r="F2204">
        <f>IF(Skills!N5=TRUE,(Skills!L5/10)*(E2204/1000),Skills!L5/10)+Skills!O5</f>
        <v/>
      </c>
      <c r="G2204">
        <f>Skills!G5*IF(Skills!H5&gt;0,Skills!I5/Skills!H5,1)</f>
        <v/>
      </c>
      <c r="H2204">
        <f>1-(1-Skills!J5/100)^Skills!K5</f>
        <v/>
      </c>
      <c r="I2204" t="inlineStr">
        <is>
          <t>1</t>
        </is>
      </c>
      <c r="J2204" t="inlineStr"/>
      <c r="K2204" t="inlineStr"/>
      <c r="L2204" t="inlineStr"/>
      <c r="M2204" t="inlineStr"/>
      <c r="N2204" t="inlineStr"/>
      <c r="O2204">
        <f>(1-Summary!$B$11)*T2204+Summary!$B$11*V2204</f>
        <v/>
      </c>
      <c r="P2204">
        <f>IF(B2234=0,0,O2204/B2234)</f>
        <v/>
      </c>
      <c r="Q2204" t="n">
        <v>0</v>
      </c>
      <c r="R2204" t="n">
        <v>0</v>
      </c>
      <c r="S2204">
        <f>IFERROR(O2204/N2204,0)</f>
        <v/>
      </c>
      <c r="T2204" t="n">
        <v>0</v>
      </c>
      <c r="V2204" t="n">
        <v>0</v>
      </c>
    </row>
    <row r="2205">
      <c r="A2205">
        <f>Skills!A6</f>
        <v/>
      </c>
      <c r="B2205">
        <f>Skills!B6</f>
        <v/>
      </c>
      <c r="C2205">
        <f>Inputs!$B$3&gt;=63</f>
        <v/>
      </c>
      <c r="D2205">
        <f>IF(Skills!C6=1,60+Inputs!$B$25+Inputs!$B$29,IF(Skills!C6=2,90+Inputs!$B$26+Inputs!$B$29,IF(Skills!C6=3,120+Inputs!$B$27+Inputs!$B$29,MAX(0,(Inputs!$B$3-100)*3)+Inputs!$B$28+Inputs!$B$29)))</f>
        <v/>
      </c>
      <c r="E2205">
        <f>INDEX(FactorTable!$B$2:$Y$301, MATCH(ROUND(MIN(300,MAX(1,D2205)),0), FactorTable!$A$2:$A$301,0), Skills!M6+1)</f>
        <v/>
      </c>
      <c r="F2205">
        <f>IF(Skills!N6=TRUE,(Skills!L6/10)*(E2205/1000),Skills!L6/10)+Skills!O6</f>
        <v/>
      </c>
      <c r="G2205">
        <f>Skills!G6*IF(Skills!H6&gt;0,Skills!I6/Skills!H6,1)</f>
        <v/>
      </c>
      <c r="H2205">
        <f>1-(1-Skills!J6/100)^Skills!K6</f>
        <v/>
      </c>
      <c r="I2205" t="inlineStr">
        <is>
          <t>1</t>
        </is>
      </c>
      <c r="J2205">
        <f>((Inputs!$B$6*(1+Inputs!$B$7/100))+(((Inputs!$B$12*(1+Inputs!$B$13/100))-(Inputs!$B$12*(1+Inputs!$B$13/100)))+0.25*(Inputs!$B$14-Inputs!$B$14))*(1+Inputs!$B$7/100))*(F2205/100)</f>
        <v/>
      </c>
      <c r="K2205">
        <f>J2205*(1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2205)</f>
        <v/>
      </c>
      <c r="L2205">
        <f>K2205*(MIN(Inputs!$B$22+((C2219=TRUE)*(F2219-Calc!F20)),(Inputs!$B$23+0+(IF(ArtifactsInput!$M$15,CHOOSE(ArtifactsInput!$N$15+1,25,30,35,40,45,50)/100*(Inputs!$B$11-Inputs!$B$11),0))))/100+(Inputs!$B$23+0+(IF(ArtifactsInput!$M$15,CHOOSE(ArtifactsInput!$N$15+1,25,30,35,40,45,50)/100*(Inputs!$B$11-Inputs!$B$11),0)))/100)/2</f>
        <v/>
      </c>
      <c r="M2205">
        <f>L2205*(1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5">
        <f>L2205*(1-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2205*(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5">
        <f>(1-Summary!$B$11)*T2205+Summary!$B$11*V2205</f>
        <v/>
      </c>
      <c r="P2205">
        <f>IF(B2234=0,0,O2205/B2234)</f>
        <v/>
      </c>
      <c r="Q2205">
        <f>IFERROR(1/(IF(Inputs!$B$38="pvp",15,MAX(0.1,Skills!D6-IF(Skills!E6=TRUE,Inputs!$B$32,0)))*(1-IF(AND(ArtifactsInput!$M$27,Inputs!$B$4="Chapter Hunt"),CHOOSE(ArtifactsInput!$N$27+1,20,24,28,32,36,40),0)/100)),0)</f>
        <v/>
      </c>
      <c r="R2205">
        <f>IF(AND(Inputs!$B$38&lt;&gt;"pvp",Inputs!$B$43&gt;0),IF(MAX(0,Inputs!$B$43-B2231)&lt;=0,0,(INT(MAX(0,Inputs!$B$43-B2231)/(IF(Inputs!$B$38="pvp",15,MAX(0.1,Skills!D6-IF(Skills!E6=TRUE,Inputs!$B$32,0)))*(1-IF(AND(ArtifactsInput!$M$27,Inputs!$B$4="Chapter Hunt"),CHOOSE(ArtifactsInput!$N$27+1,20,24,28,32,36,40),0)/100)))+1)),0)</f>
        <v/>
      </c>
      <c r="S2205">
        <f>IFERROR(O2205/N2205,0)</f>
        <v/>
      </c>
      <c r="T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$21+Skills!Q6+(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6">
      <c r="A2206">
        <f>Skills!A7</f>
        <v/>
      </c>
      <c r="B2206">
        <f>Skills!B7</f>
        <v/>
      </c>
      <c r="C2206">
        <f>Inputs!$B$3&gt;=100</f>
        <v/>
      </c>
      <c r="D2206">
        <f>IF(Skills!C7=1,60+Inputs!$B$25+Inputs!$B$29,IF(Skills!C7=2,90+Inputs!$B$26+Inputs!$B$29,IF(Skills!C7=3,120+Inputs!$B$27+Inputs!$B$29,MAX(0,(Inputs!$B$3-100)*3)+Inputs!$B$28+Inputs!$B$29)))</f>
        <v/>
      </c>
      <c r="E2206">
        <f>INDEX(FactorTable!$B$2:$Y$301, MATCH(ROUND(MIN(300,MAX(1,D2206)),0), FactorTable!$A$2:$A$301,0), Skills!M7+1)</f>
        <v/>
      </c>
      <c r="F2206">
        <f>IF(Skills!N7=TRUE,(Skills!L7/10)*(E2206/1000),Skills!L7/10)+Skills!O7</f>
        <v/>
      </c>
      <c r="G2206">
        <f>Skills!G7*IF(Skills!H7&gt;0,Skills!I7/Skills!H7,1)</f>
        <v/>
      </c>
      <c r="H2206">
        <f>1-(1-Skills!J7/100)^Skills!K7</f>
        <v/>
      </c>
      <c r="I2206" t="inlineStr">
        <is>
          <t>1</t>
        </is>
      </c>
      <c r="J2206">
        <f>((Inputs!$B$6*(1+Inputs!$B$7/100))+(((Inputs!$B$12*(1+Inputs!$B$13/100))-(Inputs!$B$12*(1+Inputs!$B$13/100)))+0.25*(Inputs!$B$14-Inputs!$B$14))*(1+Inputs!$B$7/100))*(F2206/100)</f>
        <v/>
      </c>
      <c r="K2206">
        <f>J2206*(1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C2219=TRUE)*(F2219-Calc!F20)),(Inputs!$B$23+0+(IF(ArtifactsInput!$M$15,CHOOSE(ArtifactsInput!$N$15+1,25,30,35,40,45,50)/100*(Inputs!$B$11-Inputs!$B$11),0))))/100+(Inputs!$B$23+0+(IF(ArtifactsInput!$M$15,CHOOSE(ArtifactsInput!$N$15+1,25,30,35,40,45,50)/100*(Inputs!$B$11-Inputs!$B$11),0)))/100)/2</f>
        <v/>
      </c>
      <c r="M2206">
        <f>L2206*(1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(1-Summary!$B$11)*T2206+Summary!$B$11*V2206</f>
        <v/>
      </c>
      <c r="P2206">
        <f>IF(B2234=0,0,O2206/B2234)</f>
        <v/>
      </c>
      <c r="Q2206">
        <f>IFERROR(1/(IF(Inputs!$B$38="pvp",15,MAX(0.1,Skills!D7-IF(Skills!E7=TRUE,Inputs!$B$32,0)))*(1-IF(AND(ArtifactsInput!$M$27,Inputs!$B$4="Chapter Hunt"),CHOOSE(ArtifactsInput!$N$27+1,20,24,28,32,36,40),0)/100)),0)</f>
        <v/>
      </c>
      <c r="R2206">
        <f>IF(AND(Inputs!$B$38&lt;&gt;"pvp",Inputs!$B$43&gt;0),IF(MAX(0,Inputs!$B$43-B2231)&lt;=0,0,(INT(MAX(0,Inputs!$B$43-B2231)/(IF(Inputs!$B$38="pvp",15,MAX(0.1,Skills!D7-IF(Skills!E7=TRUE,Inputs!$B$32,0)))*(1-IF(AND(ArtifactsInput!$M$27,Inputs!$B$4="Chapter Hunt"),CHOOSE(ArtifactsInput!$N$27+1,20,24,28,32,36,40),0)/100)))+1)),0)</f>
        <v/>
      </c>
      <c r="S2206">
        <f>IFERROR(O2206/N2206,0)</f>
        <v/>
      </c>
      <c r="T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$21+Skills!Q7+(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Skills!A8</f>
        <v/>
      </c>
      <c r="B2207">
        <f>Skills!B8</f>
        <v/>
      </c>
      <c r="C2207">
        <f>Inputs!$B$3&gt;=110</f>
        <v/>
      </c>
      <c r="D2207">
        <f>IF(Skills!C8=1,60+Inputs!$B$25+Inputs!$B$29,IF(Skills!C8=2,90+Inputs!$B$26+Inputs!$B$29,IF(Skills!C8=3,120+Inputs!$B$27+Inputs!$B$29,MAX(0,(Inputs!$B$3-100)*3)+Inputs!$B$28+Inputs!$B$29)))</f>
        <v/>
      </c>
      <c r="E2207">
        <f>INDEX(FactorTable!$B$2:$Y$301, MATCH(ROUND(MIN(300,MAX(1,D2207)),0), FactorTable!$A$2:$A$301,0), Skills!M8+1)</f>
        <v/>
      </c>
      <c r="F2207">
        <f>IF(Skills!N8=TRUE,(Skills!L8/10)*(E2207/1000),Skills!L8/10)+Skills!O8</f>
        <v/>
      </c>
      <c r="G2207">
        <f>Skills!G8*IF(Skills!H8&gt;0,Skills!I8/Skills!H8,1)</f>
        <v/>
      </c>
      <c r="H2207">
        <f>1-(1-Skills!J8/100)^Skills!K8</f>
        <v/>
      </c>
      <c r="I2207" t="inlineStr">
        <is>
          <t>1</t>
        </is>
      </c>
      <c r="J2207">
        <f>((Inputs!$B$6*(1+Inputs!$B$7/100))+(((Inputs!$B$12*(1+Inputs!$B$13/100))-(Inputs!$B$12*(1+Inputs!$B$13/100)))+0.25*(Inputs!$B$14-Inputs!$B$14))*(1+Inputs!$B$7/100))*(F2207/100)</f>
        <v/>
      </c>
      <c r="K2207">
        <f>J2207*(1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2207)</f>
        <v/>
      </c>
      <c r="L2207">
        <f>K2207*(MIN(Inputs!$B$22+((C2219=TRUE)*(F2219-Calc!F20)),(Inputs!$B$23+0+(IF(ArtifactsInput!$M$15,CHOOSE(ArtifactsInput!$N$15+1,25,30,35,40,45,50)/100*(Inputs!$B$11-Inputs!$B$11),0))))/100+(Inputs!$B$23+0+(IF(ArtifactsInput!$M$15,CHOOSE(ArtifactsInput!$N$15+1,25,30,35,40,45,50)/100*(Inputs!$B$11-Inputs!$B$11),0)))/100)/2</f>
        <v/>
      </c>
      <c r="M2207">
        <f>L2207*(1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7">
        <f>L2207*(1-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2207*(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7">
        <f>(1-Summary!$B$11)*T2207+Summary!$B$11*V2207</f>
        <v/>
      </c>
      <c r="P2207">
        <f>IF(B2234=0,0,O2207/B2234)</f>
        <v/>
      </c>
      <c r="Q2207">
        <f>IFERROR(1/(IF(Inputs!$B$38="pvp",15,MAX(0.1,Skills!D8-IF(Skills!E8=TRUE,Inputs!$B$32,0)))*(1-IF(AND(ArtifactsInput!$M$27,Inputs!$B$4="Chapter Hunt"),CHOOSE(ArtifactsInput!$N$27+1,20,24,28,32,36,40),0)/100)),0)</f>
        <v/>
      </c>
      <c r="R2207">
        <f>IF(AND(Inputs!$B$38&lt;&gt;"pvp",Inputs!$B$43&gt;0),IF(MAX(0,Inputs!$B$43-B2231)&lt;=0,0,(INT(MAX(0,Inputs!$B$43-B2231)/(IF(Inputs!$B$38="pvp",15,MAX(0.1,Skills!D8-IF(Skills!E8=TRUE,Inputs!$B$32,0)))*(1-IF(AND(ArtifactsInput!$M$27,Inputs!$B$4="Chapter Hunt"),CHOOSE(ArtifactsInput!$N$27+1,20,24,28,32,36,40),0)/100)))+1)),0)</f>
        <v/>
      </c>
      <c r="S2207">
        <f>IFERROR(O2207/N2207,0)</f>
        <v/>
      </c>
      <c r="T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$21+Skills!Q8+(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8">
      <c r="A2208">
        <f>Skills!A9</f>
        <v/>
      </c>
      <c r="B2208">
        <f>Skills!B9</f>
        <v/>
      </c>
      <c r="C2208">
        <f>Inputs!$B$3&gt;=110</f>
        <v/>
      </c>
      <c r="D2208">
        <f>IF(Skills!C9=1,60+Inputs!$B$25+Inputs!$B$29,IF(Skills!C9=2,90+Inputs!$B$26+Inputs!$B$29,IF(Skills!C9=3,120+Inputs!$B$27+Inputs!$B$29,MAX(0,(Inputs!$B$3-100)*3)+Inputs!$B$28+Inputs!$B$29)))</f>
        <v/>
      </c>
      <c r="E2208">
        <f>INDEX(FactorTable!$B$2:$Y$301, MATCH(ROUND(MIN(300,MAX(1,D2208)),0), FactorTable!$A$2:$A$301,0), Skills!M9+1)</f>
        <v/>
      </c>
      <c r="F2208">
        <f>IF(Skills!N9=TRUE,(Skills!L9/10)*(E2208/1000),Skills!L9/10)+Skills!O9</f>
        <v/>
      </c>
      <c r="G2208">
        <f>Skills!G9*IF(Skills!H9&gt;0,Skills!I9/Skills!H9,1)</f>
        <v/>
      </c>
      <c r="H2208">
        <f>1-(1-Skills!J9/100)^Skills!K9</f>
        <v/>
      </c>
      <c r="I2208" t="inlineStr">
        <is>
          <t>1</t>
        </is>
      </c>
      <c r="J2208">
        <f>((Inputs!$B$6*(1+Inputs!$B$7/100))+(((Inputs!$B$12*(1+Inputs!$B$13/100))-(Inputs!$B$12*(1+Inputs!$B$13/100)))+0.25*(Inputs!$B$14-Inputs!$B$14))*(1+Inputs!$B$7/100))*(F2208/100)</f>
        <v/>
      </c>
      <c r="K2208">
        <f>J2208*(1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2208)</f>
        <v/>
      </c>
      <c r="L2208">
        <f>K2208*(MIN(Inputs!$B$22+((C2219=TRUE)*(F2219-Calc!F20)),(Inputs!$B$23+0+(IF(ArtifactsInput!$M$15,CHOOSE(ArtifactsInput!$N$15+1,25,30,35,40,45,50)/100*(Inputs!$B$11-Inputs!$B$11),0))))/100+(Inputs!$B$23+0+(IF(ArtifactsInput!$M$15,CHOOSE(ArtifactsInput!$N$15+1,25,30,35,40,45,50)/100*(Inputs!$B$11-Inputs!$B$11),0)))/100)/2</f>
        <v/>
      </c>
      <c r="M2208">
        <f>L2208*(1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8">
        <f>L2208*(1-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2208*(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8">
        <f>(1-Summary!$B$11)*T2208+Summary!$B$11*V2208</f>
        <v/>
      </c>
      <c r="P2208">
        <f>IF(B2234=0,0,O2208/B2234)</f>
        <v/>
      </c>
      <c r="Q2208">
        <f>IFERROR(1/(IF(Inputs!$B$38="pvp",15,MAX(0.1,Skills!D9-IF(Skills!E9=TRUE,Inputs!$B$32,0)))*(1-IF(AND(ArtifactsInput!$M$27,Inputs!$B$4="Chapter Hunt"),CHOOSE(ArtifactsInput!$N$27+1,20,24,28,32,36,40),0)/100)),0)</f>
        <v/>
      </c>
      <c r="R2208">
        <f>IF(AND(Inputs!$B$38&lt;&gt;"pvp",Inputs!$B$43&gt;0),IF(MAX(0,Inputs!$B$43-B2231)&lt;=0,0,(INT(MAX(0,Inputs!$B$43-B2231)/(IF(Inputs!$B$38="pvp",15,MAX(0.1,Skills!D9-IF(Skills!E9=TRUE,Inputs!$B$32,0)))*(1-IF(AND(ArtifactsInput!$M$27,Inputs!$B$4="Chapter Hunt"),CHOOSE(ArtifactsInput!$N$27+1,20,24,28,32,36,40),0)/100)))+1)),0)</f>
        <v/>
      </c>
      <c r="S2208">
        <f>IFERROR(O2208/N2208,0)</f>
        <v/>
      </c>
      <c r="T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$21+Skills!Q9+(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9">
      <c r="A2209">
        <f>Skills!A10</f>
        <v/>
      </c>
      <c r="B2209">
        <f>Skills!B10</f>
        <v/>
      </c>
      <c r="C2209">
        <f>Inputs!$B$3&gt;=103</f>
        <v/>
      </c>
      <c r="D2209">
        <f>IF(Skills!C10=1,60+Inputs!$B$25+Inputs!$B$29,IF(Skills!C10=2,90+Inputs!$B$26+Inputs!$B$29,IF(Skills!C10=3,120+Inputs!$B$27+Inputs!$B$29,MAX(0,(Inputs!$B$3-100)*3)+Inputs!$B$28+Inputs!$B$29)))</f>
        <v/>
      </c>
      <c r="E2209">
        <f>INDEX(FactorTable!$B$2:$Y$301, MATCH(ROUND(MIN(300,MAX(1,D2209)),0), FactorTable!$A$2:$A$301,0), Skills!M10+1)</f>
        <v/>
      </c>
      <c r="F2209">
        <f>IF(Skills!N10=TRUE,(Skills!L10/10)*(E2209/1000),Skills!L10/10)+Skills!O10</f>
        <v/>
      </c>
      <c r="G2209">
        <f>Skills!G10*IF(Skills!H10&gt;0,Skills!I10/Skills!H10,1)</f>
        <v/>
      </c>
      <c r="H2209">
        <f>1-(1-Skills!J10/100)^Skills!K10</f>
        <v/>
      </c>
      <c r="I2209" t="inlineStr">
        <is>
          <t>1</t>
        </is>
      </c>
      <c r="J2209">
        <f>((Inputs!$B$6*(1+Inputs!$B$7/100))+(((Inputs!$B$12*(1+Inputs!$B$13/100))-(Inputs!$B$12*(1+Inputs!$B$13/100)))+0.25*(Inputs!$B$14-Inputs!$B$14))*(1+Inputs!$B$7/100))*(F2209/100)</f>
        <v/>
      </c>
      <c r="K2209">
        <f>J2209*(1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2209)</f>
        <v/>
      </c>
      <c r="L2209">
        <f>K2209*(MIN(Inputs!$B$22+((C2219=TRUE)*(F2219-Calc!F20)),(Inputs!$B$23+0+(IF(ArtifactsInput!$M$15,CHOOSE(ArtifactsInput!$N$15+1,25,30,35,40,45,50)/100*(Inputs!$B$11-Inputs!$B$11),0))))/100+(Inputs!$B$23+0+(IF(ArtifactsInput!$M$15,CHOOSE(ArtifactsInput!$N$15+1,25,30,35,40,45,50)/100*(Inputs!$B$11-Inputs!$B$11),0)))/100)/2</f>
        <v/>
      </c>
      <c r="M2209">
        <f>L2209*(1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9">
        <f>L2209*(1-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2209*(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9">
        <f>(1-Summary!$B$11)*T2209+Summary!$B$11*V2209</f>
        <v/>
      </c>
      <c r="P2209">
        <f>IF(B2234=0,0,O2209/B2234)</f>
        <v/>
      </c>
      <c r="Q2209">
        <f>IFERROR(1/(IF(Inputs!$B$38="pvp",15,MAX(0.1,Skills!D10-IF(Skills!E10=TRUE,Inputs!$B$32,0)))*(1-IF(AND(ArtifactsInput!$M$27,Inputs!$B$4="Chapter Hunt"),CHOOSE(ArtifactsInput!$N$27+1,20,24,28,32,36,40),0)/100)),0)</f>
        <v/>
      </c>
      <c r="R2209">
        <f>IF(AND(Inputs!$B$38&lt;&gt;"pvp",Inputs!$B$43&gt;0),IF(MAX(0,Inputs!$B$43-B2231)&lt;=0,0,(INT(MAX(0,Inputs!$B$43-B2231)/(IF(Inputs!$B$38="pvp",15,MAX(0.1,Skills!D10-IF(Skills!E10=TRUE,Inputs!$B$32,0)))*(1-IF(AND(ArtifactsInput!$M$27,Inputs!$B$4="Chapter Hunt"),CHOOSE(ArtifactsInput!$N$27+1,20,24,28,32,36,40),0)/100)))+1)),0)</f>
        <v/>
      </c>
      <c r="S2209">
        <f>IFERROR(O2209/N2209,0)</f>
        <v/>
      </c>
      <c r="T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$21+Skills!Q10+(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0">
      <c r="A2210">
        <f>Skills!A11</f>
        <v/>
      </c>
      <c r="B2210">
        <f>Skills!B11</f>
        <v/>
      </c>
      <c r="C2210">
        <f>Inputs!$B$3&gt;=113</f>
        <v/>
      </c>
      <c r="D2210">
        <f>IF(Skills!C11=1,60+Inputs!$B$25+Inputs!$B$29,IF(Skills!C11=2,90+Inputs!$B$26+Inputs!$B$29,IF(Skills!C11=3,120+Inputs!$B$27+Inputs!$B$29,MAX(0,(Inputs!$B$3-100)*3)+Inputs!$B$28+Inputs!$B$29)))</f>
        <v/>
      </c>
      <c r="E2210">
        <f>INDEX(FactorTable!$B$2:$Y$301, MATCH(ROUND(MIN(300,MAX(1,D2210)),0), FactorTable!$A$2:$A$301,0), Skills!M11+1)</f>
        <v/>
      </c>
      <c r="F2210">
        <f>IF(Skills!N11=TRUE,(Skills!L11/10)*(E2210/1000),Skills!L11/10)+Skills!O11</f>
        <v/>
      </c>
      <c r="G2210">
        <f>Skills!G11*IF(Skills!H11&gt;0,Skills!I11/Skills!H11,1)</f>
        <v/>
      </c>
      <c r="H2210">
        <f>1-(1-Skills!J11/100)^Skills!K11</f>
        <v/>
      </c>
      <c r="I2210" t="inlineStr">
        <is>
          <t>1</t>
        </is>
      </c>
      <c r="J2210">
        <f>((Inputs!$B$6*(1+Inputs!$B$7/100))+(((Inputs!$B$12*(1+Inputs!$B$13/100))-(Inputs!$B$12*(1+Inputs!$B$13/100)))+0.25*(Inputs!$B$14-Inputs!$B$14))*(1+Inputs!$B$7/100))*(F2210/100)</f>
        <v/>
      </c>
      <c r="K2210">
        <f>J2210*(1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C2219=TRUE)*(F2219-Calc!F20)),(Inputs!$B$23+0+(IF(ArtifactsInput!$M$15,CHOOSE(ArtifactsInput!$N$15+1,25,30,35,40,45,50)/100*(Inputs!$B$11-Inputs!$B$11),0))))/100+(Inputs!$B$23+0+(IF(ArtifactsInput!$M$15,CHOOSE(ArtifactsInput!$N$15+1,25,30,35,40,45,50)/100*(Inputs!$B$11-Inputs!$B$11),0)))/100)/2</f>
        <v/>
      </c>
      <c r="M2210">
        <f>L2210*(1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(1-Summary!$B$11)*T2210+Summary!$B$11*V2210</f>
        <v/>
      </c>
      <c r="P2210">
        <f>IF(B2234=0,0,O2210/B2234)</f>
        <v/>
      </c>
      <c r="Q2210">
        <f>IFERROR(1/(IF(Inputs!$B$38="pvp",15,MAX(0.1,Skills!D11-IF(Skills!E11=TRUE,Inputs!$B$32,0)))*(1-IF(AND(ArtifactsInput!$M$27,Inputs!$B$4="Chapter Hunt"),CHOOSE(ArtifactsInput!$N$27+1,20,24,28,32,36,40),0)/100)),0)</f>
        <v/>
      </c>
      <c r="R2210">
        <f>IF(AND(Inputs!$B$38&lt;&gt;"pvp",Inputs!$B$43&gt;0),IF(MAX(0,Inputs!$B$43-B2231)&lt;=0,0,(INT(MAX(0,Inputs!$B$43-B2231)/(IF(Inputs!$B$38="pvp",15,MAX(0.1,Skills!D11-IF(Skills!E11=TRUE,Inputs!$B$32,0)))*(1-IF(AND(ArtifactsInput!$M$27,Inputs!$B$4="Chapter Hunt"),CHOOSE(ArtifactsInput!$N$27+1,20,24,28,32,36,40),0)/100)))+1)),0)</f>
        <v/>
      </c>
      <c r="S2210">
        <f>IFERROR(O2210/N2210,0)</f>
        <v/>
      </c>
      <c r="T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$21+Skills!Q11+(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1">
      <c r="A2211">
        <f>Skills!A12</f>
        <v/>
      </c>
      <c r="B2211">
        <f>Skills!B12</f>
        <v/>
      </c>
      <c r="C2211">
        <f>Inputs!$B$3&gt;=100</f>
        <v/>
      </c>
      <c r="D2211">
        <f>IF(Skills!C12=1,60+Inputs!$B$25+Inputs!$B$29,IF(Skills!C12=2,90+Inputs!$B$26+Inputs!$B$29,IF(Skills!C12=3,120+Inputs!$B$27+Inputs!$B$29,MAX(0,(Inputs!$B$3-100)*3)+Inputs!$B$28+Inputs!$B$29)))</f>
        <v/>
      </c>
      <c r="E2211">
        <f>INDEX(FactorTable!$B$2:$Y$301, MATCH(ROUND(MIN(300,MAX(1,D2211)),0), FactorTable!$A$2:$A$301,0), Skills!M12+1)</f>
        <v/>
      </c>
      <c r="F2211">
        <f>IF(Skills!N12=TRUE,(Skills!L12/10)*(E2211/1000),Skills!L12/10)+Skills!O12</f>
        <v/>
      </c>
      <c r="G2211" t="inlineStr"/>
      <c r="H2211" t="inlineStr"/>
      <c r="I2211" t="inlineStr">
        <is>
          <t>1</t>
        </is>
      </c>
      <c r="J2211" t="inlineStr"/>
      <c r="K2211" t="inlineStr"/>
      <c r="L2211" t="inlineStr"/>
      <c r="M2211" t="inlineStr"/>
      <c r="N2211" t="inlineStr"/>
      <c r="O2211" t="inlineStr"/>
      <c r="P2211" t="inlineStr"/>
      <c r="Q2211" t="inlineStr"/>
      <c r="R2211" t="inlineStr"/>
      <c r="S2211" t="inlineStr"/>
      <c r="T2211" t="inlineStr"/>
      <c r="V2211" t="inlineStr"/>
    </row>
    <row r="2212">
      <c r="A2212">
        <f>Skills!A13</f>
        <v/>
      </c>
      <c r="B2212">
        <f>Skills!B13</f>
        <v/>
      </c>
      <c r="C2212">
        <f>Inputs!$B$3&gt;=66</f>
        <v/>
      </c>
      <c r="D2212">
        <f>IF(Skills!C13=1,60+Inputs!$B$25+Inputs!$B$29,IF(Skills!C13=2,90+Inputs!$B$26+Inputs!$B$29,IF(Skills!C13=3,120+Inputs!$B$27+Inputs!$B$29,MAX(0,(Inputs!$B$3-100)*3)+Inputs!$B$28+Inputs!$B$29)))</f>
        <v/>
      </c>
      <c r="E2212">
        <f>INDEX(FactorTable!$B$2:$Y$301, MATCH(ROUND(MIN(300,MAX(1,D2212)),0), FactorTable!$A$2:$A$301,0), Skills!M13+1)</f>
        <v/>
      </c>
      <c r="F2212">
        <f>IF(Skills!N13=TRUE,(Skills!L13/10)*(E2212/1000),Skills!L13/10)+Skills!O13</f>
        <v/>
      </c>
      <c r="G2212">
        <f>Skills!G13*IF(Skills!H13&gt;0,Skills!I13/Skills!H13,1)</f>
        <v/>
      </c>
      <c r="H2212">
        <f>1-(1-Skills!J13/100)^Skills!K13</f>
        <v/>
      </c>
      <c r="I2212" t="inlineStr">
        <is>
          <t>1</t>
        </is>
      </c>
      <c r="J2212" t="inlineStr"/>
      <c r="K2212" t="inlineStr"/>
      <c r="L2212" t="inlineStr"/>
      <c r="M2212" t="inlineStr"/>
      <c r="N2212" t="inlineStr"/>
      <c r="O2212">
        <f>(1-Summary!$B$11)*T2212+Summary!$B$11*V2212</f>
        <v/>
      </c>
      <c r="P2212">
        <f>IF(B2234=0,0,O2212/B2234)</f>
        <v/>
      </c>
      <c r="Q2212" t="n">
        <v>0</v>
      </c>
      <c r="R2212" t="n">
        <v>0</v>
      </c>
      <c r="S2212">
        <f>IFERROR(O2212/N2212,0)</f>
        <v/>
      </c>
      <c r="T2212" t="n">
        <v>0</v>
      </c>
      <c r="V2212" t="n">
        <v>0</v>
      </c>
    </row>
    <row r="2213">
      <c r="A2213">
        <f>Skills!A14</f>
        <v/>
      </c>
      <c r="B2213">
        <f>Skills!B14</f>
        <v/>
      </c>
      <c r="C2213">
        <f>Inputs!$B$3&gt;=107</f>
        <v/>
      </c>
      <c r="D2213">
        <f>IF(Skills!C14=1,60+Inputs!$B$25+Inputs!$B$29,IF(Skills!C14=2,90+Inputs!$B$26+Inputs!$B$29,IF(Skills!C14=3,120+Inputs!$B$27+Inputs!$B$29,MAX(0,(Inputs!$B$3-100)*3)+Inputs!$B$28+Inputs!$B$29)))</f>
        <v/>
      </c>
      <c r="E2213">
        <f>INDEX(FactorTable!$B$2:$Y$301, MATCH(ROUND(MIN(300,MAX(1,D2213)),0), FactorTable!$A$2:$A$301,0), Skills!M14+1)</f>
        <v/>
      </c>
      <c r="F2213">
        <f>IF(Skills!N14=TRUE,(Skills!L14/10)*(E2213/1000),Skills!L14/10)+Skills!O14</f>
        <v/>
      </c>
      <c r="G2213">
        <f>Skills!G14*IF(Skills!H14&gt;0,Skills!I14/Skills!H14,1)</f>
        <v/>
      </c>
      <c r="H2213">
        <f>1-(1-Skills!J14/100)^Skills!K14</f>
        <v/>
      </c>
      <c r="I2213" t="inlineStr">
        <is>
          <t>1</t>
        </is>
      </c>
      <c r="J2213" t="inlineStr"/>
      <c r="K2213" t="inlineStr"/>
      <c r="L2213" t="inlineStr"/>
      <c r="M2213" t="inlineStr"/>
      <c r="N2213" t="inlineStr"/>
      <c r="O2213">
        <f>(1-Summary!$B$11)*T2213+Summary!$B$11*V2213</f>
        <v/>
      </c>
      <c r="P2213">
        <f>IF(B2234=0,0,O2213/B2234)</f>
        <v/>
      </c>
      <c r="Q2213" t="n">
        <v>0</v>
      </c>
      <c r="R2213" t="n">
        <v>0</v>
      </c>
      <c r="S2213">
        <f>IFERROR(O2213/N2213,0)</f>
        <v/>
      </c>
      <c r="T2213" t="n">
        <v>0</v>
      </c>
      <c r="V2213" t="n">
        <v>0</v>
      </c>
    </row>
    <row r="2214">
      <c r="A2214">
        <f>Skills!A15</f>
        <v/>
      </c>
      <c r="B2214">
        <f>Skills!B15</f>
        <v/>
      </c>
      <c r="C2214">
        <f>Inputs!$B$3&gt;=115</f>
        <v/>
      </c>
      <c r="D2214">
        <f>IF(Skills!C15=1,60+Inputs!$B$25+Inputs!$B$29,IF(Skills!C15=2,90+Inputs!$B$26+Inputs!$B$29,IF(Skills!C15=3,120+Inputs!$B$27+Inputs!$B$29,MAX(0,(Inputs!$B$3-100)*3)+Inputs!$B$28+Inputs!$B$29)))</f>
        <v/>
      </c>
      <c r="E2214">
        <f>INDEX(FactorTable!$B$2:$Y$301, MATCH(ROUND(MIN(300,MAX(1,D2214)),0), FactorTable!$A$2:$A$301,0), Skills!M15+1)</f>
        <v/>
      </c>
      <c r="F2214">
        <f>IF(Skills!N15=TRUE,(Skills!L15/10)*(E2214/1000),Skills!L15/10)+Skills!O15</f>
        <v/>
      </c>
      <c r="G2214">
        <f>Skills!G15*IF(Skills!H15&gt;0,Skills!I15/Skills!H15,1)</f>
        <v/>
      </c>
      <c r="H2214">
        <f>1-(1-Skills!J15/100)^Skills!K15</f>
        <v/>
      </c>
      <c r="I2214" t="inlineStr">
        <is>
          <t>1</t>
        </is>
      </c>
      <c r="J2214" t="inlineStr"/>
      <c r="K2214" t="inlineStr"/>
      <c r="L2214" t="inlineStr"/>
      <c r="M2214" t="inlineStr"/>
      <c r="N2214" t="inlineStr"/>
      <c r="O2214">
        <f>(1-Summary!$B$11)*T2214+Summary!$B$11*V2214</f>
        <v/>
      </c>
      <c r="P2214">
        <f>IF(B2234=0,0,O2214/B2234)</f>
        <v/>
      </c>
      <c r="Q2214" t="n">
        <v>0</v>
      </c>
      <c r="R2214" t="n">
        <v>0</v>
      </c>
      <c r="S2214">
        <f>IFERROR(O2214/N2214,0)</f>
        <v/>
      </c>
      <c r="T2214" t="n">
        <v>0</v>
      </c>
      <c r="V2214" t="n">
        <v>0</v>
      </c>
    </row>
    <row r="2215">
      <c r="A2215">
        <f>Skills!A16</f>
        <v/>
      </c>
      <c r="B2215">
        <f>Skills!B16</f>
        <v/>
      </c>
      <c r="C2215">
        <f>Inputs!$B$3&gt;=15</f>
        <v/>
      </c>
      <c r="D2215">
        <f>IF(Skills!C16=1,60+Inputs!$B$25+Inputs!$B$29,IF(Skills!C16=2,90+Inputs!$B$26+Inputs!$B$29,IF(Skills!C16=3,120+Inputs!$B$27+Inputs!$B$29,MAX(0,(Inputs!$B$3-100)*3)+Inputs!$B$28+Inputs!$B$29)))</f>
        <v/>
      </c>
      <c r="E2215">
        <f>INDEX(FactorTable!$B$2:$Y$301, MATCH(ROUND(MIN(300,MAX(1,D2215)),0), FactorTable!$A$2:$A$301,0), Skills!M16+1)</f>
        <v/>
      </c>
      <c r="F2215">
        <f>IF(Skills!N16=TRUE,(Skills!L16/10)*(E2215/1000),Skills!L16/10)+Skills!O16</f>
        <v/>
      </c>
      <c r="G2215">
        <f>Skills!G16*IF(Skills!H16&gt;0,Skills!I16/Skills!H16,1)</f>
        <v/>
      </c>
      <c r="H2215">
        <f>1-(1-Skills!J16/100)^Skills!K16</f>
        <v/>
      </c>
      <c r="I2215" t="inlineStr">
        <is>
          <t>1</t>
        </is>
      </c>
      <c r="J2215" t="inlineStr"/>
      <c r="K2215" t="inlineStr"/>
      <c r="L2215" t="inlineStr"/>
      <c r="M2215" t="inlineStr"/>
      <c r="N2215" t="inlineStr"/>
      <c r="O2215">
        <f>(1-Summary!$B$11)*T2215+Summary!$B$11*V2215</f>
        <v/>
      </c>
      <c r="P2215">
        <f>IF(B2234=0,0,O2215/B2234)</f>
        <v/>
      </c>
      <c r="Q2215" t="n">
        <v>0</v>
      </c>
      <c r="R2215" t="n">
        <v>0</v>
      </c>
      <c r="S2215">
        <f>IFERROR(O2215/N2215,0)</f>
        <v/>
      </c>
      <c r="T2215" t="n">
        <v>0</v>
      </c>
      <c r="V2215" t="n">
        <v>0</v>
      </c>
    </row>
    <row r="2216">
      <c r="A2216">
        <f>Skills!A17</f>
        <v/>
      </c>
      <c r="B2216">
        <f>Skills!B17</f>
        <v/>
      </c>
      <c r="C2216">
        <f>Inputs!$B$3&gt;=10</f>
        <v/>
      </c>
      <c r="D2216">
        <f>IF(Skills!C17=1,60+Inputs!$B$25+Inputs!$B$29,IF(Skills!C17=2,90+Inputs!$B$26+Inputs!$B$29,IF(Skills!C17=3,120+Inputs!$B$27+Inputs!$B$29,MAX(0,(Inputs!$B$3-100)*3)+Inputs!$B$28+Inputs!$B$29)))</f>
        <v/>
      </c>
      <c r="E2216">
        <f>INDEX(FactorTable!$B$2:$Y$301, MATCH(ROUND(MIN(300,MAX(1,D2216)),0), FactorTable!$A$2:$A$301,0), Skills!M17+1)</f>
        <v/>
      </c>
      <c r="F2216">
        <f>IF(Skills!N17=TRUE,(Skills!L17/10)*(E2216/1000),Skills!L17/10)+Skills!O17</f>
        <v/>
      </c>
      <c r="G2216">
        <f>Skills!G17*IF(Skills!H17&gt;0,Skills!I17/Skills!H17,1)</f>
        <v/>
      </c>
      <c r="H2216">
        <f>1-(1-Skills!J17/100)^Skills!K17</f>
        <v/>
      </c>
      <c r="I2216" t="inlineStr">
        <is>
          <t>1</t>
        </is>
      </c>
      <c r="J2216" t="inlineStr"/>
      <c r="K2216" t="inlineStr"/>
      <c r="L2216" t="inlineStr"/>
      <c r="M2216" t="inlineStr"/>
      <c r="N2216" t="inlineStr"/>
      <c r="O2216">
        <f>(1-Summary!$B$11)*T2216+Summary!$B$11*V2216</f>
        <v/>
      </c>
      <c r="P2216">
        <f>IF(B2234=0,0,O2216/B2234)</f>
        <v/>
      </c>
      <c r="Q2216" t="n">
        <v>0</v>
      </c>
      <c r="R2216" t="n">
        <v>0</v>
      </c>
      <c r="S2216">
        <f>IFERROR(O2216/N2216,0)</f>
        <v/>
      </c>
      <c r="T2216" t="n">
        <v>0</v>
      </c>
      <c r="V2216" t="n">
        <v>0</v>
      </c>
    </row>
    <row r="2217">
      <c r="A2217">
        <f>Skills!A18</f>
        <v/>
      </c>
      <c r="B2217">
        <f>Skills!B18</f>
        <v/>
      </c>
      <c r="C2217">
        <f>Inputs!$B$3&gt;=33</f>
        <v/>
      </c>
      <c r="D2217">
        <f>IF(Skills!C18=1,60+Inputs!$B$25+Inputs!$B$29,IF(Skills!C18=2,90+Inputs!$B$26+Inputs!$B$29,IF(Skills!C18=3,120+Inputs!$B$27+Inputs!$B$29,MAX(0,(Inputs!$B$3-100)*3)+Inputs!$B$28+Inputs!$B$29)))</f>
        <v/>
      </c>
      <c r="E2217">
        <f>INDEX(FactorTable!$B$2:$Y$301, MATCH(ROUND(MIN(300,MAX(1,D2217)),0), FactorTable!$A$2:$A$301,0), Skills!M18+1)</f>
        <v/>
      </c>
      <c r="F2217">
        <f>IF(Skills!N18=TRUE,(Skills!L18/10)*(E2217/1000),Skills!L18/10)+Skills!O18</f>
        <v/>
      </c>
      <c r="G2217">
        <f>Skills!G18*IF(Skills!H18&gt;0,Skills!I18/Skills!H18,1)</f>
        <v/>
      </c>
      <c r="H2217">
        <f>1-(1-Skills!J18/100)^Skills!K18</f>
        <v/>
      </c>
      <c r="I2217" t="inlineStr">
        <is>
          <t>1</t>
        </is>
      </c>
      <c r="J2217" t="inlineStr"/>
      <c r="K2217" t="inlineStr"/>
      <c r="L2217" t="inlineStr"/>
      <c r="M2217" t="inlineStr"/>
      <c r="N2217" t="inlineStr"/>
      <c r="O2217">
        <f>(1-Summary!$B$11)*T2217+Summary!$B$11*V2217</f>
        <v/>
      </c>
      <c r="P2217">
        <f>IF(B2234=0,0,O2217/B2234)</f>
        <v/>
      </c>
      <c r="Q2217" t="n">
        <v>0</v>
      </c>
      <c r="R2217" t="n">
        <v>0</v>
      </c>
      <c r="S2217">
        <f>IFERROR(O2217/N2217,0)</f>
        <v/>
      </c>
      <c r="T2217" t="n">
        <v>0</v>
      </c>
      <c r="V2217" t="n">
        <v>0</v>
      </c>
    </row>
    <row r="2218">
      <c r="A2218">
        <f>Skills!A19</f>
        <v/>
      </c>
      <c r="B2218">
        <f>Skills!B19</f>
        <v/>
      </c>
      <c r="C2218">
        <f>Inputs!$B$3&gt;=40</f>
        <v/>
      </c>
      <c r="D2218">
        <f>IF(Skills!C19=1,60+Inputs!$B$25+Inputs!$B$29,IF(Skills!C19=2,90+Inputs!$B$26+Inputs!$B$29,IF(Skills!C19=3,120+Inputs!$B$27+Inputs!$B$29,MAX(0,(Inputs!$B$3-100)*3)+Inputs!$B$28+Inputs!$B$29)))</f>
        <v/>
      </c>
      <c r="E2218">
        <f>INDEX(FactorTable!$B$2:$Y$301, MATCH(ROUND(MIN(300,MAX(1,D2218)),0), FactorTable!$A$2:$A$301,0), Skills!M19+1)</f>
        <v/>
      </c>
      <c r="F2218">
        <f>IF(Skills!N19=TRUE,(Skills!L19/10)*(E2218/1000),Skills!L19/10)+Skills!O19</f>
        <v/>
      </c>
      <c r="G2218">
        <f>Skills!G19*IF(Skills!H19&gt;0,Skills!I19/Skills!H19,1)</f>
        <v/>
      </c>
      <c r="H2218">
        <f>1-(1-Skills!J19/100)^Skills!K19</f>
        <v/>
      </c>
      <c r="I2218" t="inlineStr">
        <is>
          <t>1</t>
        </is>
      </c>
      <c r="J2218" t="inlineStr"/>
      <c r="K2218" t="inlineStr"/>
      <c r="L2218" t="inlineStr"/>
      <c r="M2218" t="inlineStr"/>
      <c r="N2218" t="inlineStr"/>
      <c r="O2218">
        <f>(1-Summary!$B$11)*T2218+Summary!$B$11*V2218</f>
        <v/>
      </c>
      <c r="P2218">
        <f>IF(B2234=0,0,O2218/B2234)</f>
        <v/>
      </c>
      <c r="Q2218" t="n">
        <v>0</v>
      </c>
      <c r="R2218" t="n">
        <v>0</v>
      </c>
      <c r="S2218">
        <f>IFERROR(O2218/N2218,0)</f>
        <v/>
      </c>
      <c r="T2218" t="n">
        <v>0</v>
      </c>
      <c r="V2218" t="n">
        <v>0</v>
      </c>
    </row>
    <row r="2219">
      <c r="A2219">
        <f>Skills!A20</f>
        <v/>
      </c>
      <c r="B2219">
        <f>Skills!B20</f>
        <v/>
      </c>
      <c r="C2219">
        <f>Inputs!$B$3&gt;=43</f>
        <v/>
      </c>
      <c r="D2219">
        <f>IF(Skills!C20=1,60+Inputs!$B$25+Inputs!$B$29,IF(Skills!C20=2,90+Inputs!$B$26+Inputs!$B$29,IF(Skills!C20=3,120+Inputs!$B$27+Inputs!$B$29,MAX(0,(Inputs!$B$3-100)*3)+Inputs!$B$28+Inputs!$B$29)))</f>
        <v/>
      </c>
      <c r="E2219">
        <f>INDEX(FactorTable!$B$2:$Y$301, MATCH(ROUND(MIN(300,MAX(1,D2219)),0), FactorTable!$A$2:$A$301,0), Skills!M20+1)</f>
        <v/>
      </c>
      <c r="F2219">
        <f>IF(Skills!N20=TRUE,(Skills!L20/10)*(E2219/1000),Skills!L20/10)+Skills!O20</f>
        <v/>
      </c>
      <c r="G2219">
        <f>Skills!G20*IF(Skills!H20&gt;0,Skills!I20/Skills!H20,1)</f>
        <v/>
      </c>
      <c r="H2219">
        <f>1-(1-Skills!J20/100)^Skills!K20</f>
        <v/>
      </c>
      <c r="I2219" t="inlineStr">
        <is>
          <t>1</t>
        </is>
      </c>
      <c r="J2219" t="inlineStr"/>
      <c r="K2219" t="inlineStr"/>
      <c r="L2219" t="inlineStr"/>
      <c r="M2219" t="inlineStr"/>
      <c r="N2219" t="inlineStr"/>
      <c r="O2219">
        <f>(1-Summary!$B$11)*T2219+Summary!$B$11*V2219</f>
        <v/>
      </c>
      <c r="P2219">
        <f>IF(B2234=0,0,O2219/B2234)</f>
        <v/>
      </c>
      <c r="Q2219" t="n">
        <v>0</v>
      </c>
      <c r="R2219" t="n">
        <v>0</v>
      </c>
      <c r="S2219">
        <f>IFERROR(O2219/N2219,0)</f>
        <v/>
      </c>
      <c r="T2219" t="n">
        <v>0</v>
      </c>
      <c r="V2219" t="n">
        <v>0</v>
      </c>
    </row>
    <row r="2220">
      <c r="A2220">
        <f>Skills!A21</f>
        <v/>
      </c>
      <c r="B2220">
        <f>Skills!B21</f>
        <v/>
      </c>
      <c r="C2220">
        <f>Inputs!$B$3&gt;=38</f>
        <v/>
      </c>
      <c r="D2220">
        <f>IF(Skills!C21=1,60+Inputs!$B$25+Inputs!$B$29,IF(Skills!C21=2,90+Inputs!$B$26+Inputs!$B$29,IF(Skills!C21=3,120+Inputs!$B$27+Inputs!$B$29,MAX(0,(Inputs!$B$3-100)*3)+Inputs!$B$28+Inputs!$B$29)))</f>
        <v/>
      </c>
      <c r="E2220">
        <f>INDEX(FactorTable!$B$2:$Y$301, MATCH(ROUND(MIN(300,MAX(1,D2220)),0), FactorTable!$A$2:$A$301,0), Skills!M21+1)</f>
        <v/>
      </c>
      <c r="F2220">
        <f>IF(Skills!N21=TRUE,(Skills!L21/10)*(E2220/1000),Skills!L21/10)+Skills!O21</f>
        <v/>
      </c>
      <c r="G2220">
        <f>Skills!G21*IF(Skills!H21&gt;0,Skills!I21/Skills!H21,1)</f>
        <v/>
      </c>
      <c r="H2220">
        <f>1-(1-Skills!J21/100)^Skills!K21</f>
        <v/>
      </c>
      <c r="I2220" t="inlineStr">
        <is>
          <t>1</t>
        </is>
      </c>
      <c r="J2220" t="inlineStr"/>
      <c r="K2220" t="inlineStr"/>
      <c r="L2220" t="inlineStr"/>
      <c r="M2220" t="inlineStr"/>
      <c r="N2220" t="inlineStr"/>
      <c r="O2220">
        <f>(1-Summary!$B$11)*T2220+Summary!$B$11*V2220</f>
        <v/>
      </c>
      <c r="P2220">
        <f>IF(B2234=0,0,O2220/B2234)</f>
        <v/>
      </c>
      <c r="Q2220" t="n">
        <v>0</v>
      </c>
      <c r="R2220" t="n">
        <v>0</v>
      </c>
      <c r="S2220">
        <f>IFERROR(O2220/N2220,0)</f>
        <v/>
      </c>
      <c r="T2220" t="n">
        <v>0</v>
      </c>
      <c r="V2220" t="n">
        <v>0</v>
      </c>
    </row>
    <row r="2221">
      <c r="A2221">
        <f>Skills!A22</f>
        <v/>
      </c>
      <c r="B2221">
        <f>Skills!B22</f>
        <v/>
      </c>
      <c r="C2221">
        <f>Inputs!$B$3&gt;=75</f>
        <v/>
      </c>
      <c r="D2221">
        <f>IF(Skills!C22=1,60+Inputs!$B$25+Inputs!$B$29,IF(Skills!C22=2,90+Inputs!$B$26+Inputs!$B$29,IF(Skills!C22=3,120+Inputs!$B$27+Inputs!$B$29,MAX(0,(Inputs!$B$3-100)*3)+Inputs!$B$28+Inputs!$B$29)))</f>
        <v/>
      </c>
      <c r="E2221">
        <f>INDEX(FactorTable!$B$2:$Y$301, MATCH(ROUND(MIN(300,MAX(1,D2221)),0), FactorTable!$A$2:$A$301,0), Skills!M22+1)</f>
        <v/>
      </c>
      <c r="F2221">
        <f>IF(Skills!N22=TRUE,(Skills!L22/10)*(E2221/1000),Skills!L22/10)+Skills!O22</f>
        <v/>
      </c>
      <c r="G2221">
        <f>Skills!G22*IF(Skills!H22&gt;0,Skills!I22/Skills!H22,1)</f>
        <v/>
      </c>
      <c r="H2221">
        <f>1-(1-Skills!J22/100)^Skills!K22</f>
        <v/>
      </c>
      <c r="I2221" t="inlineStr">
        <is>
          <t>1</t>
        </is>
      </c>
      <c r="J2221" t="inlineStr"/>
      <c r="K2221" t="inlineStr"/>
      <c r="L2221" t="inlineStr"/>
      <c r="M2221" t="inlineStr"/>
      <c r="N2221" t="inlineStr"/>
      <c r="O2221">
        <f>(1-Summary!$B$11)*T2221+Summary!$B$11*V2221</f>
        <v/>
      </c>
      <c r="P2221">
        <f>IF(B2234=0,0,O2221/B2234)</f>
        <v/>
      </c>
      <c r="Q2221" t="n">
        <v>0</v>
      </c>
      <c r="R2221" t="n">
        <v>0</v>
      </c>
      <c r="S2221">
        <f>IFERROR(O2221/N2221,0)</f>
        <v/>
      </c>
      <c r="T2221" t="n">
        <v>0</v>
      </c>
      <c r="V2221" t="n">
        <v>0</v>
      </c>
    </row>
    <row r="2223">
      <c r="A2223" t="inlineStr">
        <is>
          <t>Attack% Bucket Multiplier</t>
        </is>
      </c>
      <c r="B2223">
        <f>(1+(((C2212=TRUE)*F2212)+((C2218=TRUE)*(F2218-Calc!F19))+(IF(ArtifactsInput!$M$21,CHOOSE(ArtifactsInput!$N$21+1,25,30,35,40,45,50)*(IF(OR(Inputs!$B$4="Chapter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4">
      <c r="A2224" t="inlineStr">
        <is>
          <t>Global Crit Rate Bonus %</t>
        </is>
      </c>
      <c r="B2224" t="n">
        <v>0</v>
      </c>
    </row>
    <row r="2225">
      <c r="A2225" t="inlineStr">
        <is>
          <t>Attack Speed Buff Bonus % (unused)</t>
        </is>
      </c>
      <c r="B2225" t="n">
        <v>0</v>
      </c>
    </row>
    <row r="2226">
      <c r="A2226" t="inlineStr">
        <is>
          <t>Actions Per Second</t>
        </is>
      </c>
      <c r="B2226">
        <f>1+MIN(150,150*(1-(1-(Inputs!$B$11+((C2216=TRUE)*(F2216-Calc!F17))+((C2217=TRUE)*(F2217-Calc!F18)))/150)*(1-B2225/150)))/100</f>
        <v/>
      </c>
    </row>
    <row r="2227">
      <c r="A2227" t="inlineStr">
        <is>
          <t>Skill + Buff Cast Rate</t>
        </is>
      </c>
      <c r="B2227">
        <f>IF(AND(Inputs!$B$38&lt;&gt;"pvp",Inputs!$B$43&gt;0),SUMPRODUCT((Skills!E2:E22=TRUE)*(C2201:C2221=TRUE)*R2201:R2221*Skills!F2:F22)/Inputs!$B$43,SUMPRODUCT((Skills!E2:E22=TRUE)*(C2201:C2221=TRUE)*Q2201:Q2221*Skills!F2:F22))</f>
        <v/>
      </c>
    </row>
    <row r="2228">
      <c r="A2228" t="inlineStr">
        <is>
          <t>Hook Bomber Casts Per Second</t>
        </is>
      </c>
      <c r="B2228">
        <f>MAX(0,B2226-B2227)</f>
        <v/>
      </c>
    </row>
    <row r="2229">
      <c r="A2229" t="inlineStr">
        <is>
          <t>Global Critical Damage Bonus % (unused)</t>
        </is>
      </c>
      <c r="B2229" t="n">
        <v>0</v>
      </c>
    </row>
    <row r="2230">
      <c r="A2230" t="inlineStr">
        <is>
          <t>Global Final Damage Bonus % (Serpent Scale + Crossbones + Time Leap + Speed Infusion)</t>
        </is>
      </c>
      <c r="B2230">
        <f>((C2204=TRUE)*F2204*((10+IF(Inputs!$B$3&gt;=94,5,0))/((10+IF(Inputs!$B$3&gt;=94,5,0))+5/(B2228*(1+IF(Inputs!$B$3&gt;=104,1,0))))))+((C2213=TRUE)*F2213)+((C2214=TRUE)*F2214)+((Inputs!$B$3&gt;=110)*20*(B2226-1))</f>
        <v/>
      </c>
    </row>
    <row r="2231">
      <c r="A2231" t="inlineStr">
        <is>
          <t>Buff-Casting Startup Delay (s, fixed-duration only)</t>
        </is>
      </c>
      <c r="B2231">
        <f>IF(AND(Inputs!$B$38&lt;&gt;"pvp",Inputs!$B$43&gt;0),SUMPRODUCT((Skills!T2:T22&gt;0)*(Skills!E2:E22=TRUE)*(C2201:C2221=TRUE))/B2226,0)</f>
        <v/>
      </c>
    </row>
    <row r="2232">
      <c r="A2232" t="inlineStr">
        <is>
          <t>Boss-Only Total DPS (this block's swept value)</t>
        </is>
      </c>
      <c r="B2232">
        <f>SUM(T2201:T2221)</f>
        <v/>
      </c>
    </row>
    <row r="2233">
      <c r="A2233" t="inlineStr">
        <is>
          <t>Normal-Only Total DPS (this block's swept value)</t>
        </is>
      </c>
      <c r="B2233">
        <f>SUM(V2201:V2221)</f>
        <v/>
      </c>
    </row>
    <row r="2234">
      <c r="A2234" s="6" t="inlineStr">
        <is>
          <t>TOTAL DPS</t>
        </is>
      </c>
      <c r="B2234" s="6">
        <f>SUM(O2201:O2221)</f>
        <v/>
      </c>
    </row>
    <row r="2237">
      <c r="A2237" s="6" t="inlineStr">
        <is>
          <t>Stat: Horn Flute (Equip)</t>
        </is>
      </c>
    </row>
    <row r="2238">
      <c r="A2238" s="5" t="inlineStr">
        <is>
          <t>Key</t>
        </is>
      </c>
      <c r="B2238" s="5" t="inlineStr">
        <is>
          <t>Name</t>
        </is>
      </c>
      <c r="C2238" s="5" t="inlineStr">
        <is>
          <t>Unlocked</t>
        </is>
      </c>
      <c r="D2238" s="5" t="inlineStr">
        <is>
          <t>InputLevel</t>
        </is>
      </c>
      <c r="E2238" s="5" t="inlineStr">
        <is>
          <t>Factor</t>
        </is>
      </c>
      <c r="F2238" s="5" t="inlineStr">
        <is>
          <t>CoefficientPercent</t>
        </is>
      </c>
      <c r="G2238" s="5" t="inlineStr">
        <is>
          <t>EffectiveHits</t>
        </is>
      </c>
      <c r="H2238" s="5" t="inlineStr">
        <is>
          <t>ProcProbability</t>
        </is>
      </c>
      <c r="I2238" s="5" t="inlineStr">
        <is>
          <t>MapleHeroMultiplier</t>
        </is>
      </c>
      <c r="J2238" s="5" t="inlineStr">
        <is>
          <t>BaseDamage</t>
        </is>
      </c>
      <c r="K2238" s="5" t="inlineStr">
        <is>
          <t>BaseHitDamage</t>
        </is>
      </c>
      <c r="L2238" s="5" t="inlineStr">
        <is>
          <t>NonCritAvg</t>
        </is>
      </c>
      <c r="M2238" s="5" t="inlineStr">
        <is>
          <t>CritAvg</t>
        </is>
      </c>
      <c r="N2238" s="5" t="inlineStr">
        <is>
          <t>ExpectedDamage(perHit)</t>
        </is>
      </c>
      <c r="O2238" s="5" t="inlineStr">
        <is>
          <t>DPS</t>
        </is>
      </c>
      <c r="P2238" s="5" t="inlineStr">
        <is>
          <t>% of Total</t>
        </is>
      </c>
      <c r="Q2238" s="5" t="inlineStr">
        <is>
          <t>InvCooldown</t>
        </is>
      </c>
      <c r="R2238" s="5" t="inlineStr">
        <is>
          <t>CastsInFight</t>
        </is>
      </c>
      <c r="S2238" s="5" t="inlineStr">
        <is>
          <t>HitRate(perSec)</t>
        </is>
      </c>
      <c r="U2238" t="inlineStr">
        <is>
          <t>helpers</t>
        </is>
      </c>
    </row>
    <row r="2239">
      <c r="A2239">
        <f>Skills!A2</f>
        <v/>
      </c>
      <c r="B2239">
        <f>Skills!B2</f>
        <v/>
      </c>
      <c r="C2239">
        <f>Inputs!$B$3&gt;=100</f>
        <v/>
      </c>
      <c r="D2239" t="inlineStr"/>
      <c r="E2239" t="inlineStr"/>
      <c r="F2239">
        <f>U2241+Skills!O2</f>
        <v/>
      </c>
      <c r="G2239">
        <f>Skills!G2*IF(Skills!H2&gt;0,Skills!I2/Skills!H2,1)</f>
        <v/>
      </c>
      <c r="H2239">
        <f>1-(1-Skills!J2/100)^Skills!K2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20)),(Inputs!$B$23+0+(IF(ArtifactsInput!$M$15,CHOOSE(ArtifactsInput!$N$15+1,25,30,35,40,45,50)/100*(Inputs!$B$11-Inputs!$B$11),0))))/100+(Inputs!$B$23+0+(IF(ArtifactsInput!$M$15,CHOOSE(ArtifactsInput!$N$15+1,25,30,35,40,45,50)/100*(Inputs!$B$11-Inputs!$B$11),0)))/100)/2</f>
        <v/>
      </c>
      <c r="M2239">
        <f>L2239*(1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IF(B2272=0,0,O2239/B2272)</f>
        <v/>
      </c>
      <c r="Q2239" t="n">
        <v>0</v>
      </c>
      <c r="R2239" t="n">
        <v>0</v>
      </c>
      <c r="S2239">
        <f>IFERROR(O2239/N2239,0)</f>
        <v/>
      </c>
      <c r="T2239">
        <f>IF(C2239,(Skills!G2*N2239*B2266)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MAX(0,(Inputs!$B$3-100)*3)+Inputs!$B$28+Inputs!$B$29</f>
        <v/>
      </c>
      <c r="V2239">
        <f>IF(C2239,(Skills!G2*N2239*B2266)*IF(Inputs!$B$38="pvp",1,(1+(Inputs!$B$21+Skills!Q2+(IF(ArtifactsInput!$M$33,CHOOSE(ArtifactsInput!$N$33+1,30,36,42,48,54,60),0))+(IF(AND(ArtifactsInput!$M$35,Inputs!$B$4&lt;&gt;"Chapter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Skills!A3</f>
        <v/>
      </c>
      <c r="B2240">
        <f>Skills!B3</f>
        <v/>
      </c>
      <c r="C2240">
        <f>Inputs!$B$3&gt;=35</f>
        <v/>
      </c>
      <c r="D2240">
        <f>IF(Skills!C3=1,60+Inputs!$B$25+Inputs!$B$29,IF(Skills!C3=2,90+Inputs!$B$26+Inputs!$B$29,IF(Skills!C3=3,120+Inputs!$B$27+Inputs!$B$29,MAX(0,(Inputs!$B$3-100)*3)+Inputs!$B$28+Inputs!$B$29)))</f>
        <v/>
      </c>
      <c r="E2240">
        <f>INDEX(FactorTable!$B$2:$Y$301, MATCH(ROUND(MIN(300,MAX(1,D2240)),0), FactorTable!$A$2:$A$301,0), Skills!M3+1)</f>
        <v/>
      </c>
      <c r="F2240">
        <f>IF(Skills!N3=TRUE,(Skills!L3/10)*(E2240/1000),Skills!L3/10)+Skills!O3</f>
        <v/>
      </c>
      <c r="G2240">
        <f>Skills!G3*IF(Skills!H3&gt;0,Skills!I3/Skills!H3,1)</f>
        <v/>
      </c>
      <c r="H2240">
        <f>1-(1-Skills!J3/100)^Skills!K3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20)),(Inputs!$B$23+0+(IF(ArtifactsInput!$M$15,CHOOSE(ArtifactsInput!$N$15+1,25,30,35,40,45,50)/100*(Inputs!$B$11-Inputs!$B$11),0))))/100+(Inputs!$B$23+0+(IF(ArtifactsInput!$M$15,CHOOSE(ArtifactsInput!$N$15+1,25,30,35,40,45,50)/100*(Inputs!$B$11-Inputs!$B$11),0)))/100)/2</f>
        <v/>
      </c>
      <c r="M2240">
        <f>L2240*(1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IF(B2272=0,0,O2240/B2272)</f>
        <v/>
      </c>
      <c r="Q2240" t="n">
        <v>0</v>
      </c>
      <c r="R2240" t="n">
        <v>0</v>
      </c>
      <c r="S2240">
        <f>IFERROR(O2240/N2240,0)</f>
        <v/>
      </c>
      <c r="T2240">
        <f>IF(C2240,(Skills!G3*H2240*N2240*B2266)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INDEX(FactorTable!$B$2:$Y$301, MATCH(ROUND(MIN(300,MAX(1,U2239)),0), FactorTable!$A$2:$A$301,0), 22)</f>
        <v/>
      </c>
      <c r="V2240">
        <f>IF(C2240,(Skills!G3*H2240*N2240*B2266)*IF(Inputs!$B$38="pvp",1,(1+(Inputs!$B$21+Skills!Q3+(IF(ArtifactsInput!$M$33,CHOOSE(ArtifactsInput!$N$33+1,30,36,42,48,54,60),0))+(IF(AND(ArtifactsInput!$M$35,Inputs!$B$4&lt;&gt;"Chapter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Skills!A4</f>
        <v/>
      </c>
      <c r="B2241">
        <f>Skills!B4</f>
        <v/>
      </c>
      <c r="C2241">
        <f>Inputs!$B$3&gt;=60</f>
        <v/>
      </c>
      <c r="D2241">
        <f>IF(Skills!C4=1,60+Inputs!$B$25+Inputs!$B$29,IF(Skills!C4=2,90+Inputs!$B$26+Inputs!$B$29,IF(Skills!C4=3,120+Inputs!$B$27+Inputs!$B$29,MAX(0,(Inputs!$B$3-100)*3)+Inputs!$B$28+Inputs!$B$29)))</f>
        <v/>
      </c>
      <c r="E2241">
        <f>INDEX(FactorTable!$B$2:$Y$301, MATCH(ROUND(MIN(300,MAX(1,D2241)),0), FactorTable!$A$2:$A$301,0), Skills!M4+1)</f>
        <v/>
      </c>
      <c r="F2241">
        <f>IF(Skills!N4=TRUE,(Skills!L4/10)*(E2241/1000),Skills!L4/10)+Skills!O4</f>
        <v/>
      </c>
      <c r="G2241">
        <f>Skills!G4*IF(Skills!H4&gt;0,Skills!I4/Skills!H4,1)</f>
        <v/>
      </c>
      <c r="H2241">
        <f>1-(1-Skills!J4/100)^Skills!K4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2249=TRUE,F2249,0)/100)*(1+(IF(Skills!A4="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20)),(Inputs!$B$23+0+(IF(ArtifactsInput!$M$15,CHOOSE(ArtifactsInput!$N$15+1,25,30,35,40,45,50)/100*(Inputs!$B$11-Inputs!$B$11),0))))/100+(Inputs!$B$23+0+(IF(ArtifactsInput!$M$15,CHOOSE(ArtifactsInput!$N$15+1,25,30,35,40,45,50)/100*(Inputs!$B$11-Inputs!$B$11),0)))/100)/2</f>
        <v/>
      </c>
      <c r="M2241">
        <f>L2241*(1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IF(B2272=0,0,O2241/B2272)</f>
        <v/>
      </c>
      <c r="Q2241" t="n">
        <v>0</v>
      </c>
      <c r="R2241" t="n">
        <v>0</v>
      </c>
      <c r="S2241">
        <f>IFERROR(O2241/N2241,0)</f>
        <v/>
      </c>
      <c r="T2241">
        <f>IF(C2241,(Skills!G4*H2241*N2241*B2266)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290*U2240/1000</f>
        <v/>
      </c>
      <c r="V2241">
        <f>IF(C2241,(Skills!G4*H2241*N2241*B2266)*IF(Inputs!$B$38="pvp",1,(1+(Inputs!$B$21+Skills!Q4+(IF(ArtifactsInput!$M$33,CHOOSE(ArtifactsInput!$N$33+1,30,36,42,48,54,60),0))+(IF(AND(ArtifactsInput!$M$35,Inputs!$B$4&lt;&gt;"Chapter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Skills!A5</f>
        <v/>
      </c>
      <c r="B2242">
        <f>Skills!B5</f>
        <v/>
      </c>
      <c r="C2242">
        <f>Inputs!$B$3&gt;=60</f>
        <v/>
      </c>
      <c r="D2242">
        <f>IF(Skills!C5=1,60+Inputs!$B$25+Inputs!$B$29,IF(Skills!C5=2,90+Inputs!$B$26+Inputs!$B$29,IF(Skills!C5=3,120+Inputs!$B$27+Inputs!$B$29,MAX(0,(Inputs!$B$3-100)*3)+Inputs!$B$28+Inputs!$B$29)))</f>
        <v/>
      </c>
      <c r="E2242">
        <f>INDEX(FactorTable!$B$2:$Y$301, MATCH(ROUND(MIN(300,MAX(1,D2242)),0), FactorTable!$A$2:$A$301,0), Skills!M5+1)</f>
        <v/>
      </c>
      <c r="F2242">
        <f>IF(Skills!N5=TRUE,(Skills!L5/10)*(E2242/1000),Skills!L5/10)+Skills!O5</f>
        <v/>
      </c>
      <c r="G2242">
        <f>Skills!G5*IF(Skills!H5&gt;0,Skills!I5/Skills!H5,1)</f>
        <v/>
      </c>
      <c r="H2242">
        <f>1-(1-Skills!J5/100)^Skills!K5</f>
        <v/>
      </c>
      <c r="I2242" t="inlineStr">
        <is>
          <t>1</t>
        </is>
      </c>
      <c r="J2242" t="inlineStr"/>
      <c r="K2242" t="inlineStr"/>
      <c r="L2242" t="inlineStr"/>
      <c r="M2242" t="inlineStr"/>
      <c r="N2242" t="inlineStr"/>
      <c r="O2242">
        <f>(1-Summary!$B$11)*T2242+Summary!$B$11*V2242</f>
        <v/>
      </c>
      <c r="P2242">
        <f>IF(B2272=0,0,O2242/B2272)</f>
        <v/>
      </c>
      <c r="Q2242" t="n">
        <v>0</v>
      </c>
      <c r="R2242" t="n">
        <v>0</v>
      </c>
      <c r="S2242">
        <f>IFERROR(O2242/N2242,0)</f>
        <v/>
      </c>
      <c r="T2242" t="n">
        <v>0</v>
      </c>
      <c r="V2242" t="n">
        <v>0</v>
      </c>
    </row>
    <row r="2243">
      <c r="A2243">
        <f>Skills!A6</f>
        <v/>
      </c>
      <c r="B2243">
        <f>Skills!B6</f>
        <v/>
      </c>
      <c r="C2243">
        <f>Inputs!$B$3&gt;=63</f>
        <v/>
      </c>
      <c r="D2243">
        <f>IF(Skills!C6=1,60+Inputs!$B$25+Inputs!$B$29,IF(Skills!C6=2,90+Inputs!$B$26+Inputs!$B$29,IF(Skills!C6=3,120+Inputs!$B$27+Inputs!$B$29,MAX(0,(Inputs!$B$3-100)*3)+Inputs!$B$28+Inputs!$B$29)))</f>
        <v/>
      </c>
      <c r="E2243">
        <f>INDEX(FactorTable!$B$2:$Y$301, MATCH(ROUND(MIN(300,MAX(1,D2243)),0), FactorTable!$A$2:$A$301,0), Skills!M6+1)</f>
        <v/>
      </c>
      <c r="F2243">
        <f>IF(Skills!N6=TRUE,(Skills!L6/10)*(E2243/1000),Skills!L6/10)+Skills!O6</f>
        <v/>
      </c>
      <c r="G2243">
        <f>Skills!G6*IF(Skills!H6&gt;0,Skills!I6/Skills!H6,1)</f>
        <v/>
      </c>
      <c r="H2243">
        <f>1-(1-Skills!J6/100)^Skills!K6</f>
        <v/>
      </c>
      <c r="I2243" t="inlineStr">
        <is>
          <t>1</t>
        </is>
      </c>
      <c r="J2243">
        <f>((Inputs!$B$6*(1+Inputs!$B$7/100))+(((Inputs!$B$12*(1+Inputs!$B$13/100))-(Inputs!$B$12*(1+Inputs!$B$13/100)))+0.25*(Inputs!$B$14-Inputs!$B$14))*(1+Inputs!$B$7/100))*(F2243/100)</f>
        <v/>
      </c>
      <c r="K2243">
        <f>J2243*(1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2257=TRUE)*(F2257-Calc!F20)),(Inputs!$B$23+0+(IF(ArtifactsInput!$M$15,CHOOSE(ArtifactsInput!$N$15+1,25,30,35,40,45,50)/100*(Inputs!$B$11-Inputs!$B$11),0))))/100+(Inputs!$B$23+0+(IF(ArtifactsInput!$M$15,CHOOSE(ArtifactsInput!$N$15+1,25,30,35,40,45,50)/100*(Inputs!$B$11-Inputs!$B$11),0)))/100)/2</f>
        <v/>
      </c>
      <c r="M2243">
        <f>L2243*(1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IF(B2272=0,0,O2243/B2272)</f>
        <v/>
      </c>
      <c r="Q2243">
        <f>IFERROR(1/(IF(Inputs!$B$38="pvp",15,MAX(0.1,Skills!D6-IF(Skills!E6=TRUE,Inputs!$B$32,0)))*(1-IF(AND(ArtifactsInput!$M$27,Inputs!$B$4="Chapter Hunt"),CHOOSE(ArtifactsInput!$N$27+1,20,24,28,32,36,40),0)/100)),0)</f>
        <v/>
      </c>
      <c r="R2243">
        <f>IF(AND(Inputs!$B$38&lt;&gt;"pvp",Inputs!$B$43&gt;0),IF(MAX(0,Inputs!$B$43-B2269)&lt;=0,0,(INT(MAX(0,Inputs!$B$43-B2269)/(IF(Inputs!$B$38="pvp",15,MAX(0.1,Skills!D6-IF(Skills!E6=TRUE,Inputs!$B$32,0)))*(1-IF(AND(ArtifactsInput!$M$27,Inputs!$B$4="Chapter Hunt"),CHOOSE(ArtifactsInput!$N$27+1,20,24,28,32,36,40),0)/100)))+1)),0)</f>
        <v/>
      </c>
      <c r="S2243">
        <f>IFERROR(O2243/N2243,0)</f>
        <v/>
      </c>
      <c r="T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$21+Skills!Q6+(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Skills!A7</f>
        <v/>
      </c>
      <c r="B2244">
        <f>Skills!B7</f>
        <v/>
      </c>
      <c r="C2244">
        <f>Inputs!$B$3&gt;=100</f>
        <v/>
      </c>
      <c r="D2244">
        <f>IF(Skills!C7=1,60+Inputs!$B$25+Inputs!$B$29,IF(Skills!C7=2,90+Inputs!$B$26+Inputs!$B$29,IF(Skills!C7=3,120+Inputs!$B$27+Inputs!$B$29,MAX(0,(Inputs!$B$3-100)*3)+Inputs!$B$28+Inputs!$B$29)))</f>
        <v/>
      </c>
      <c r="E2244">
        <f>INDEX(FactorTable!$B$2:$Y$301, MATCH(ROUND(MIN(300,MAX(1,D2244)),0), FactorTable!$A$2:$A$301,0), Skills!M7+1)</f>
        <v/>
      </c>
      <c r="F2244">
        <f>IF(Skills!N7=TRUE,(Skills!L7/10)*(E2244/1000),Skills!L7/10)+Skills!O7</f>
        <v/>
      </c>
      <c r="G2244">
        <f>Skills!G7*IF(Skills!H7&gt;0,Skills!I7/Skills!H7,1)</f>
        <v/>
      </c>
      <c r="H2244">
        <f>1-(1-Skills!J7/100)^Skills!K7</f>
        <v/>
      </c>
      <c r="I2244" t="inlineStr">
        <is>
          <t>1</t>
        </is>
      </c>
      <c r="J2244">
        <f>((Inputs!$B$6*(1+Inputs!$B$7/100))+(((Inputs!$B$12*(1+Inputs!$B$13/100))-(Inputs!$B$12*(1+Inputs!$B$13/100)))+0.25*(Inputs!$B$14-Inputs!$B$14))*(1+Inputs!$B$7/100))*(F2244/100)</f>
        <v/>
      </c>
      <c r="K2244">
        <f>J2244*(1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20)),(Inputs!$B$23+0+(IF(ArtifactsInput!$M$15,CHOOSE(ArtifactsInput!$N$15+1,25,30,35,40,45,50)/100*(Inputs!$B$11-Inputs!$B$11),0))))/100+(Inputs!$B$23+0+(IF(ArtifactsInput!$M$15,CHOOSE(ArtifactsInput!$N$15+1,25,30,35,40,45,50)/100*(Inputs!$B$11-Inputs!$B$11),0)))/100)/2</f>
        <v/>
      </c>
      <c r="M2244">
        <f>L2244*(1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IF(B2272=0,0,O2244/B2272)</f>
        <v/>
      </c>
      <c r="Q2244">
        <f>IFERROR(1/(IF(Inputs!$B$38="pvp",15,MAX(0.1,Skills!D7-IF(Skills!E7=TRUE,Inputs!$B$32,0)))*(1-IF(AND(ArtifactsInput!$M$27,Inputs!$B$4="Chapter Hunt"),CHOOSE(ArtifactsInput!$N$27+1,20,24,28,32,36,40),0)/100)),0)</f>
        <v/>
      </c>
      <c r="R2244">
        <f>IF(AND(Inputs!$B$38&lt;&gt;"pvp",Inputs!$B$43&gt;0),IF(MAX(0,Inputs!$B$43-B2269)&lt;=0,0,(INT(MAX(0,Inputs!$B$43-B2269)/(IF(Inputs!$B$38="pvp",15,MAX(0.1,Skills!D7-IF(Skills!E7=TRUE,Inputs!$B$32,0)))*(1-IF(AND(ArtifactsInput!$M$27,Inputs!$B$4="Chapter Hunt"),CHOOSE(ArtifactsInput!$N$27+1,20,24,28,32,36,40),0)/100)))+1)),0)</f>
        <v/>
      </c>
      <c r="S2244">
        <f>IFERROR(O2244/N2244,0)</f>
        <v/>
      </c>
      <c r="T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$21+Skills!Q7+(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Skills!A8</f>
        <v/>
      </c>
      <c r="B2245">
        <f>Skills!B8</f>
        <v/>
      </c>
      <c r="C2245">
        <f>Inputs!$B$3&gt;=110</f>
        <v/>
      </c>
      <c r="D2245">
        <f>IF(Skills!C8=1,60+Inputs!$B$25+Inputs!$B$29,IF(Skills!C8=2,90+Inputs!$B$26+Inputs!$B$29,IF(Skills!C8=3,120+Inputs!$B$27+Inputs!$B$29,MAX(0,(Inputs!$B$3-100)*3)+Inputs!$B$28+Inputs!$B$29)))</f>
        <v/>
      </c>
      <c r="E2245">
        <f>INDEX(FactorTable!$B$2:$Y$301, MATCH(ROUND(MIN(300,MAX(1,D2245)),0), FactorTable!$A$2:$A$301,0), Skills!M8+1)</f>
        <v/>
      </c>
      <c r="F2245">
        <f>IF(Skills!N8=TRUE,(Skills!L8/10)*(E2245/1000),Skills!L8/10)+Skills!O8</f>
        <v/>
      </c>
      <c r="G2245">
        <f>Skills!G8*IF(Skills!H8&gt;0,Skills!I8/Skills!H8,1)</f>
        <v/>
      </c>
      <c r="H2245">
        <f>1-(1-Skills!J8/100)^Skills!K8</f>
        <v/>
      </c>
      <c r="I2245" t="inlineStr">
        <is>
          <t>1</t>
        </is>
      </c>
      <c r="J2245">
        <f>((Inputs!$B$6*(1+Inputs!$B$7/100))+(((Inputs!$B$12*(1+Inputs!$B$13/100))-(Inputs!$B$12*(1+Inputs!$B$13/100)))+0.25*(Inputs!$B$14-Inputs!$B$14))*(1+Inputs!$B$7/100))*(F2245/100)</f>
        <v/>
      </c>
      <c r="K2245">
        <f>J2245*(1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2257=TRUE)*(F2257-Calc!F20)),(Inputs!$B$23+0+(IF(ArtifactsInput!$M$15,CHOOSE(ArtifactsInput!$N$15+1,25,30,35,40,45,50)/100*(Inputs!$B$11-Inputs!$B$11),0))))/100+(Inputs!$B$23+0+(IF(ArtifactsInput!$M$15,CHOOSE(ArtifactsInput!$N$15+1,25,30,35,40,45,50)/100*(Inputs!$B$11-Inputs!$B$11),0)))/100)/2</f>
        <v/>
      </c>
      <c r="M2245">
        <f>L2245*(1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IF(B2272=0,0,O2245/B2272)</f>
        <v/>
      </c>
      <c r="Q2245">
        <f>IFERROR(1/(IF(Inputs!$B$38="pvp",15,MAX(0.1,Skills!D8-IF(Skills!E8=TRUE,Inputs!$B$32,0)))*(1-IF(AND(ArtifactsInput!$M$27,Inputs!$B$4="Chapter Hunt"),CHOOSE(ArtifactsInput!$N$27+1,20,24,28,32,36,40),0)/100)),0)</f>
        <v/>
      </c>
      <c r="R2245">
        <f>IF(AND(Inputs!$B$38&lt;&gt;"pvp",Inputs!$B$43&gt;0),IF(MAX(0,Inputs!$B$43-B2269)&lt;=0,0,(INT(MAX(0,Inputs!$B$43-B2269)/(IF(Inputs!$B$38="pvp",15,MAX(0.1,Skills!D8-IF(Skills!E8=TRUE,Inputs!$B$32,0)))*(1-IF(AND(ArtifactsInput!$M$27,Inputs!$B$4="Chapter Hunt"),CHOOSE(ArtifactsInput!$N$27+1,20,24,28,32,36,40),0)/100)))+1)),0)</f>
        <v/>
      </c>
      <c r="S2245">
        <f>IFERROR(O2245/N2245,0)</f>
        <v/>
      </c>
      <c r="T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$21+Skills!Q8+(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Skills!A9</f>
        <v/>
      </c>
      <c r="B2246">
        <f>Skills!B9</f>
        <v/>
      </c>
      <c r="C2246">
        <f>Inputs!$B$3&gt;=110</f>
        <v/>
      </c>
      <c r="D2246">
        <f>IF(Skills!C9=1,60+Inputs!$B$25+Inputs!$B$29,IF(Skills!C9=2,90+Inputs!$B$26+Inputs!$B$29,IF(Skills!C9=3,120+Inputs!$B$27+Inputs!$B$29,MAX(0,(Inputs!$B$3-100)*3)+Inputs!$B$28+Inputs!$B$29)))</f>
        <v/>
      </c>
      <c r="E2246">
        <f>INDEX(FactorTable!$B$2:$Y$301, MATCH(ROUND(MIN(300,MAX(1,D2246)),0), FactorTable!$A$2:$A$301,0), Skills!M9+1)</f>
        <v/>
      </c>
      <c r="F2246">
        <f>IF(Skills!N9=TRUE,(Skills!L9/10)*(E2246/1000),Skills!L9/10)+Skills!O9</f>
        <v/>
      </c>
      <c r="G2246">
        <f>Skills!G9*IF(Skills!H9&gt;0,Skills!I9/Skills!H9,1)</f>
        <v/>
      </c>
      <c r="H2246">
        <f>1-(1-Skills!J9/100)^Skills!K9</f>
        <v/>
      </c>
      <c r="I2246" t="inlineStr">
        <is>
          <t>1</t>
        </is>
      </c>
      <c r="J2246">
        <f>((Inputs!$B$6*(1+Inputs!$B$7/100))+(((Inputs!$B$12*(1+Inputs!$B$13/100))-(Inputs!$B$12*(1+Inputs!$B$13/100)))+0.25*(Inputs!$B$14-Inputs!$B$14))*(1+Inputs!$B$7/100))*(F2246/100)</f>
        <v/>
      </c>
      <c r="K2246">
        <f>J2246*(1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2246)</f>
        <v/>
      </c>
      <c r="L2246">
        <f>K2246*(MIN(Inputs!$B$22+((C2257=TRUE)*(F2257-Calc!F20)),(Inputs!$B$23+0+(IF(ArtifactsInput!$M$15,CHOOSE(ArtifactsInput!$N$15+1,25,30,35,40,45,50)/100*(Inputs!$B$11-Inputs!$B$11),0))))/100+(Inputs!$B$23+0+(IF(ArtifactsInput!$M$15,CHOOSE(ArtifactsInput!$N$15+1,25,30,35,40,45,50)/100*(Inputs!$B$11-Inputs!$B$11),0)))/100)/2</f>
        <v/>
      </c>
      <c r="M2246">
        <f>L2246*(1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6">
        <f>L2246*(1-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2246*(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6">
        <f>(1-Summary!$B$11)*T2246+Summary!$B$11*V2246</f>
        <v/>
      </c>
      <c r="P2246">
        <f>IF(B2272=0,0,O2246/B2272)</f>
        <v/>
      </c>
      <c r="Q2246">
        <f>IFERROR(1/(IF(Inputs!$B$38="pvp",15,MAX(0.1,Skills!D9-IF(Skills!E9=TRUE,Inputs!$B$32,0)))*(1-IF(AND(ArtifactsInput!$M$27,Inputs!$B$4="Chapter Hunt"),CHOOSE(ArtifactsInput!$N$27+1,20,24,28,32,36,40),0)/100)),0)</f>
        <v/>
      </c>
      <c r="R2246">
        <f>IF(AND(Inputs!$B$38&lt;&gt;"pvp",Inputs!$B$43&gt;0),IF(MAX(0,Inputs!$B$43-B2269)&lt;=0,0,(INT(MAX(0,Inputs!$B$43-B2269)/(IF(Inputs!$B$38="pvp",15,MAX(0.1,Skills!D9-IF(Skills!E9=TRUE,Inputs!$B$32,0)))*(1-IF(AND(ArtifactsInput!$M$27,Inputs!$B$4="Chapter Hunt"),CHOOSE(ArtifactsInput!$N$27+1,20,24,28,32,36,40),0)/100)))+1)),0)</f>
        <v/>
      </c>
      <c r="S2246">
        <f>IFERROR(O2246/N2246,0)</f>
        <v/>
      </c>
      <c r="T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$21+Skills!Q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7">
      <c r="A2247">
        <f>Skills!A10</f>
        <v/>
      </c>
      <c r="B2247">
        <f>Skills!B10</f>
        <v/>
      </c>
      <c r="C2247">
        <f>Inputs!$B$3&gt;=103</f>
        <v/>
      </c>
      <c r="D2247">
        <f>IF(Skills!C10=1,60+Inputs!$B$25+Inputs!$B$29,IF(Skills!C10=2,90+Inputs!$B$26+Inputs!$B$29,IF(Skills!C10=3,120+Inputs!$B$27+Inputs!$B$29,MAX(0,(Inputs!$B$3-100)*3)+Inputs!$B$28+Inputs!$B$29)))</f>
        <v/>
      </c>
      <c r="E2247">
        <f>INDEX(FactorTable!$B$2:$Y$301, MATCH(ROUND(MIN(300,MAX(1,D2247)),0), FactorTable!$A$2:$A$301,0), Skills!M10+1)</f>
        <v/>
      </c>
      <c r="F2247">
        <f>IF(Skills!N10=TRUE,(Skills!L10/10)*(E2247/1000),Skills!L10/10)+Skills!O10</f>
        <v/>
      </c>
      <c r="G2247">
        <f>Skills!G10*IF(Skills!H10&gt;0,Skills!I10/Skills!H10,1)</f>
        <v/>
      </c>
      <c r="H2247">
        <f>1-(1-Skills!J10/100)^Skills!K10</f>
        <v/>
      </c>
      <c r="I2247" t="inlineStr">
        <is>
          <t>1</t>
        </is>
      </c>
      <c r="J2247">
        <f>((Inputs!$B$6*(1+Inputs!$B$7/100))+(((Inputs!$B$12*(1+Inputs!$B$13/100))-(Inputs!$B$12*(1+Inputs!$B$13/100)))+0.25*(Inputs!$B$14-Inputs!$B$14))*(1+Inputs!$B$7/100))*(F2247/100)</f>
        <v/>
      </c>
      <c r="K2247">
        <f>J2247*(1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2247)</f>
        <v/>
      </c>
      <c r="L2247">
        <f>K2247*(MIN(Inputs!$B$22+((C2257=TRUE)*(F2257-Calc!F20)),(Inputs!$B$23+0+(IF(ArtifactsInput!$M$15,CHOOSE(ArtifactsInput!$N$15+1,25,30,35,40,45,50)/100*(Inputs!$B$11-Inputs!$B$11),0))))/100+(Inputs!$B$23+0+(IF(ArtifactsInput!$M$15,CHOOSE(ArtifactsInput!$N$15+1,25,30,35,40,45,50)/100*(Inputs!$B$11-Inputs!$B$11),0)))/100)/2</f>
        <v/>
      </c>
      <c r="M2247">
        <f>L2247*(1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7">
        <f>L2247*(1-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2247*(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7">
        <f>(1-Summary!$B$11)*T2247+Summary!$B$11*V2247</f>
        <v/>
      </c>
      <c r="P2247">
        <f>IF(B2272=0,0,O2247/B2272)</f>
        <v/>
      </c>
      <c r="Q2247">
        <f>IFERROR(1/(IF(Inputs!$B$38="pvp",15,MAX(0.1,Skills!D10-IF(Skills!E10=TRUE,Inputs!$B$32,0)))*(1-IF(AND(ArtifactsInput!$M$27,Inputs!$B$4="Chapter Hunt"),CHOOSE(ArtifactsInput!$N$27+1,20,24,28,32,36,40),0)/100)),0)</f>
        <v/>
      </c>
      <c r="R2247">
        <f>IF(AND(Inputs!$B$38&lt;&gt;"pvp",Inputs!$B$43&gt;0),IF(MAX(0,Inputs!$B$43-B2269)&lt;=0,0,(INT(MAX(0,Inputs!$B$43-B2269)/(IF(Inputs!$B$38="pvp",15,MAX(0.1,Skills!D10-IF(Skills!E10=TRUE,Inputs!$B$32,0)))*(1-IF(AND(ArtifactsInput!$M$27,Inputs!$B$4="Chapter Hunt"),CHOOSE(ArtifactsInput!$N$27+1,20,24,28,32,36,40),0)/100)))+1)),0)</f>
        <v/>
      </c>
      <c r="S2247">
        <f>IFERROR(O2247/N2247,0)</f>
        <v/>
      </c>
      <c r="T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$21+Skills!Q10+(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8">
      <c r="A2248">
        <f>Skills!A11</f>
        <v/>
      </c>
      <c r="B2248">
        <f>Skills!B11</f>
        <v/>
      </c>
      <c r="C2248">
        <f>Inputs!$B$3&gt;=113</f>
        <v/>
      </c>
      <c r="D2248">
        <f>IF(Skills!C11=1,60+Inputs!$B$25+Inputs!$B$29,IF(Skills!C11=2,90+Inputs!$B$26+Inputs!$B$29,IF(Skills!C11=3,120+Inputs!$B$27+Inputs!$B$29,MAX(0,(Inputs!$B$3-100)*3)+Inputs!$B$28+Inputs!$B$29)))</f>
        <v/>
      </c>
      <c r="E2248">
        <f>INDEX(FactorTable!$B$2:$Y$301, MATCH(ROUND(MIN(300,MAX(1,D2248)),0), FactorTable!$A$2:$A$301,0), Skills!M11+1)</f>
        <v/>
      </c>
      <c r="F2248">
        <f>IF(Skills!N11=TRUE,(Skills!L11/10)*(E2248/1000),Skills!L11/10)+Skills!O11</f>
        <v/>
      </c>
      <c r="G2248">
        <f>Skills!G11*IF(Skills!H11&gt;0,Skills!I11/Skills!H11,1)</f>
        <v/>
      </c>
      <c r="H2248">
        <f>1-(1-Skills!J11/100)^Skills!K11</f>
        <v/>
      </c>
      <c r="I2248" t="inlineStr">
        <is>
          <t>1</t>
        </is>
      </c>
      <c r="J2248">
        <f>((Inputs!$B$6*(1+Inputs!$B$7/100))+(((Inputs!$B$12*(1+Inputs!$B$13/100))-(Inputs!$B$12*(1+Inputs!$B$13/100)))+0.25*(Inputs!$B$14-Inputs!$B$14))*(1+Inputs!$B$7/100))*(F2248/100)</f>
        <v/>
      </c>
      <c r="K2248">
        <f>J2248*(1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2248)</f>
        <v/>
      </c>
      <c r="L2248">
        <f>K2248*(MIN(Inputs!$B$22+((C2257=TRUE)*(F2257-Calc!F20)),(Inputs!$B$23+0+(IF(ArtifactsInput!$M$15,CHOOSE(ArtifactsInput!$N$15+1,25,30,35,40,45,50)/100*(Inputs!$B$11-Inputs!$B$11),0))))/100+(Inputs!$B$23+0+(IF(ArtifactsInput!$M$15,CHOOSE(ArtifactsInput!$N$15+1,25,30,35,40,45,50)/100*(Inputs!$B$11-Inputs!$B$11),0)))/100)/2</f>
        <v/>
      </c>
      <c r="M2248">
        <f>L2248*(1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8">
        <f>L2248*(1-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2248*(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8">
        <f>(1-Summary!$B$11)*T2248+Summary!$B$11*V2248</f>
        <v/>
      </c>
      <c r="P2248">
        <f>IF(B2272=0,0,O2248/B2272)</f>
        <v/>
      </c>
      <c r="Q2248">
        <f>IFERROR(1/(IF(Inputs!$B$38="pvp",15,MAX(0.1,Skills!D11-IF(Skills!E11=TRUE,Inputs!$B$32,0)))*(1-IF(AND(ArtifactsInput!$M$27,Inputs!$B$4="Chapter Hunt"),CHOOSE(ArtifactsInput!$N$27+1,20,24,28,32,36,40),0)/100)),0)</f>
        <v/>
      </c>
      <c r="R2248">
        <f>IF(AND(Inputs!$B$38&lt;&gt;"pvp",Inputs!$B$43&gt;0),IF(MAX(0,Inputs!$B$43-B2269)&lt;=0,0,(INT(MAX(0,Inputs!$B$43-B2269)/(IF(Inputs!$B$38="pvp",15,MAX(0.1,Skills!D11-IF(Skills!E11=TRUE,Inputs!$B$32,0)))*(1-IF(AND(ArtifactsInput!$M$27,Inputs!$B$4="Chapter Hunt"),CHOOSE(ArtifactsInput!$N$27+1,20,24,28,32,36,40),0)/100)))+1)),0)</f>
        <v/>
      </c>
      <c r="S2248">
        <f>IFERROR(O2248/N2248,0)</f>
        <v/>
      </c>
      <c r="T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$21+Skills!Q11+(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9">
      <c r="A2249">
        <f>Skills!A12</f>
        <v/>
      </c>
      <c r="B2249">
        <f>Skills!B12</f>
        <v/>
      </c>
      <c r="C2249">
        <f>Inputs!$B$3&gt;=100</f>
        <v/>
      </c>
      <c r="D2249">
        <f>IF(Skills!C12=1,60+Inputs!$B$25+Inputs!$B$29,IF(Skills!C12=2,90+Inputs!$B$26+Inputs!$B$29,IF(Skills!C12=3,120+Inputs!$B$27+Inputs!$B$29,MAX(0,(Inputs!$B$3-100)*3)+Inputs!$B$28+Inputs!$B$29)))</f>
        <v/>
      </c>
      <c r="E2249">
        <f>INDEX(FactorTable!$B$2:$Y$301, MATCH(ROUND(MIN(300,MAX(1,D2249)),0), FactorTable!$A$2:$A$301,0), Skills!M12+1)</f>
        <v/>
      </c>
      <c r="F2249">
        <f>IF(Skills!N12=TRUE,(Skills!L12/10)*(E2249/1000),Skills!L12/10)+Skills!O12</f>
        <v/>
      </c>
      <c r="G2249" t="inlineStr"/>
      <c r="H2249" t="inlineStr"/>
      <c r="I2249" t="inlineStr">
        <is>
          <t>1</t>
        </is>
      </c>
      <c r="J2249" t="inlineStr"/>
      <c r="K2249" t="inlineStr"/>
      <c r="L2249" t="inlineStr"/>
      <c r="M2249" t="inlineStr"/>
      <c r="N2249" t="inlineStr"/>
      <c r="O2249" t="inlineStr"/>
      <c r="P2249" t="inlineStr"/>
      <c r="Q2249" t="inlineStr"/>
      <c r="R2249" t="inlineStr"/>
      <c r="S2249" t="inlineStr"/>
      <c r="T2249" t="inlineStr"/>
      <c r="V2249" t="inlineStr"/>
    </row>
    <row r="2250">
      <c r="A2250">
        <f>Skills!A13</f>
        <v/>
      </c>
      <c r="B2250">
        <f>Skills!B13</f>
        <v/>
      </c>
      <c r="C2250">
        <f>Inputs!$B$3&gt;=66</f>
        <v/>
      </c>
      <c r="D2250">
        <f>IF(Skills!C13=1,60+Inputs!$B$25+Inputs!$B$29,IF(Skills!C13=2,90+Inputs!$B$26+Inputs!$B$29,IF(Skills!C13=3,120+Inputs!$B$27+Inputs!$B$29,MAX(0,(Inputs!$B$3-100)*3)+Inputs!$B$28+Inputs!$B$29)))</f>
        <v/>
      </c>
      <c r="E2250">
        <f>INDEX(FactorTable!$B$2:$Y$301, MATCH(ROUND(MIN(300,MAX(1,D2250)),0), FactorTable!$A$2:$A$301,0), Skills!M13+1)</f>
        <v/>
      </c>
      <c r="F2250">
        <f>IF(Skills!N13=TRUE,(Skills!L13/10)*(E2250/1000),Skills!L13/10)+Skills!O13</f>
        <v/>
      </c>
      <c r="G2250">
        <f>Skills!G13*IF(Skills!H13&gt;0,Skills!I13/Skills!H13,1)</f>
        <v/>
      </c>
      <c r="H2250">
        <f>1-(1-Skills!J13/100)^Skills!K13</f>
        <v/>
      </c>
      <c r="I2250" t="inlineStr">
        <is>
          <t>1</t>
        </is>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Skills!A14</f>
        <v/>
      </c>
      <c r="B2251">
        <f>Skills!B14</f>
        <v/>
      </c>
      <c r="C2251">
        <f>Inputs!$B$3&gt;=107</f>
        <v/>
      </c>
      <c r="D2251">
        <f>IF(Skills!C14=1,60+Inputs!$B$25+Inputs!$B$29,IF(Skills!C14=2,90+Inputs!$B$26+Inputs!$B$29,IF(Skills!C14=3,120+Inputs!$B$27+Inputs!$B$29,MAX(0,(Inputs!$B$3-100)*3)+Inputs!$B$28+Inputs!$B$29)))</f>
        <v/>
      </c>
      <c r="E2251">
        <f>INDEX(FactorTable!$B$2:$Y$301, MATCH(ROUND(MIN(300,MAX(1,D2251)),0), FactorTable!$A$2:$A$301,0), Skills!M14+1)</f>
        <v/>
      </c>
      <c r="F2251">
        <f>IF(Skills!N14=TRUE,(Skills!L14/10)*(E2251/1000),Skills!L14/10)+Skills!O14</f>
        <v/>
      </c>
      <c r="G2251">
        <f>Skills!G14*IF(Skills!H14&gt;0,Skills!I14/Skills!H14,1)</f>
        <v/>
      </c>
      <c r="H2251">
        <f>1-(1-Skills!J14/100)^Skills!K14</f>
        <v/>
      </c>
      <c r="I2251" t="inlineStr">
        <is>
          <t>1</t>
        </is>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Skills!A15</f>
        <v/>
      </c>
      <c r="B2252">
        <f>Skills!B15</f>
        <v/>
      </c>
      <c r="C2252">
        <f>Inputs!$B$3&gt;=115</f>
        <v/>
      </c>
      <c r="D2252">
        <f>IF(Skills!C15=1,60+Inputs!$B$25+Inputs!$B$29,IF(Skills!C15=2,90+Inputs!$B$26+Inputs!$B$29,IF(Skills!C15=3,120+Inputs!$B$27+Inputs!$B$29,MAX(0,(Inputs!$B$3-100)*3)+Inputs!$B$28+Inputs!$B$29)))</f>
        <v/>
      </c>
      <c r="E2252">
        <f>INDEX(FactorTable!$B$2:$Y$301, MATCH(ROUND(MIN(300,MAX(1,D2252)),0), FactorTable!$A$2:$A$301,0), Skills!M15+1)</f>
        <v/>
      </c>
      <c r="F2252">
        <f>IF(Skills!N15=TRUE,(Skills!L15/10)*(E2252/1000),Skills!L15/10)+Skills!O15</f>
        <v/>
      </c>
      <c r="G2252">
        <f>Skills!G15*IF(Skills!H15&gt;0,Skills!I15/Skills!H15,1)</f>
        <v/>
      </c>
      <c r="H2252">
        <f>1-(1-Skills!J15/100)^Skills!K15</f>
        <v/>
      </c>
      <c r="I2252" t="inlineStr">
        <is>
          <t>1</t>
        </is>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Skills!A16</f>
        <v/>
      </c>
      <c r="B2253">
        <f>Skills!B16</f>
        <v/>
      </c>
      <c r="C2253">
        <f>Inputs!$B$3&gt;=15</f>
        <v/>
      </c>
      <c r="D2253">
        <f>IF(Skills!C16=1,60+Inputs!$B$25+Inputs!$B$29,IF(Skills!C16=2,90+Inputs!$B$26+Inputs!$B$29,IF(Skills!C16=3,120+Inputs!$B$27+Inputs!$B$29,MAX(0,(Inputs!$B$3-100)*3)+Inputs!$B$28+Inputs!$B$29)))</f>
        <v/>
      </c>
      <c r="E2253">
        <f>INDEX(FactorTable!$B$2:$Y$301, MATCH(ROUND(MIN(300,MAX(1,D2253)),0), FactorTable!$A$2:$A$301,0), Skills!M16+1)</f>
        <v/>
      </c>
      <c r="F2253">
        <f>IF(Skills!N16=TRUE,(Skills!L16/10)*(E2253/1000),Skills!L16/10)+Skills!O16</f>
        <v/>
      </c>
      <c r="G2253">
        <f>Skills!G16*IF(Skills!H16&gt;0,Skills!I16/Skills!H16,1)</f>
        <v/>
      </c>
      <c r="H2253">
        <f>1-(1-Skills!J16/100)^Skills!K16</f>
        <v/>
      </c>
      <c r="I2253" t="inlineStr">
        <is>
          <t>1</t>
        </is>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Skills!A17</f>
        <v/>
      </c>
      <c r="B2254">
        <f>Skills!B17</f>
        <v/>
      </c>
      <c r="C2254">
        <f>Inputs!$B$3&gt;=10</f>
        <v/>
      </c>
      <c r="D2254">
        <f>IF(Skills!C17=1,60+Inputs!$B$25+Inputs!$B$29,IF(Skills!C17=2,90+Inputs!$B$26+Inputs!$B$29,IF(Skills!C17=3,120+Inputs!$B$27+Inputs!$B$29,MAX(0,(Inputs!$B$3-100)*3)+Inputs!$B$28+Inputs!$B$29)))</f>
        <v/>
      </c>
      <c r="E2254">
        <f>INDEX(FactorTable!$B$2:$Y$301, MATCH(ROUND(MIN(300,MAX(1,D2254)),0), FactorTable!$A$2:$A$301,0), Skills!M17+1)</f>
        <v/>
      </c>
      <c r="F2254">
        <f>IF(Skills!N17=TRUE,(Skills!L17/10)*(E2254/1000),Skills!L17/10)+Skills!O17</f>
        <v/>
      </c>
      <c r="G2254">
        <f>Skills!G17*IF(Skills!H17&gt;0,Skills!I17/Skills!H17,1)</f>
        <v/>
      </c>
      <c r="H2254">
        <f>1-(1-Skills!J17/100)^Skills!K17</f>
        <v/>
      </c>
      <c r="I2254" t="inlineStr">
        <is>
          <t>1</t>
        </is>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Skills!A18</f>
        <v/>
      </c>
      <c r="B2255">
        <f>Skills!B18</f>
        <v/>
      </c>
      <c r="C2255">
        <f>Inputs!$B$3&gt;=33</f>
        <v/>
      </c>
      <c r="D2255">
        <f>IF(Skills!C18=1,60+Inputs!$B$25+Inputs!$B$29,IF(Skills!C18=2,90+Inputs!$B$26+Inputs!$B$29,IF(Skills!C18=3,120+Inputs!$B$27+Inputs!$B$29,MAX(0,(Inputs!$B$3-100)*3)+Inputs!$B$28+Inputs!$B$29)))</f>
        <v/>
      </c>
      <c r="E2255">
        <f>INDEX(FactorTable!$B$2:$Y$301, MATCH(ROUND(MIN(300,MAX(1,D2255)),0), FactorTable!$A$2:$A$301,0), Skills!M18+1)</f>
        <v/>
      </c>
      <c r="F2255">
        <f>IF(Skills!N18=TRUE,(Skills!L18/10)*(E2255/1000),Skills!L18/10)+Skills!O18</f>
        <v/>
      </c>
      <c r="G2255">
        <f>Skills!G18*IF(Skills!H18&gt;0,Skills!I18/Skills!H18,1)</f>
        <v/>
      </c>
      <c r="H2255">
        <f>1-(1-Skills!J18/100)^Skills!K18</f>
        <v/>
      </c>
      <c r="I2255" t="inlineStr">
        <is>
          <t>1</t>
        </is>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Skills!A19</f>
        <v/>
      </c>
      <c r="B2256">
        <f>Skills!B19</f>
        <v/>
      </c>
      <c r="C2256">
        <f>Inputs!$B$3&gt;=40</f>
        <v/>
      </c>
      <c r="D2256">
        <f>IF(Skills!C19=1,60+Inputs!$B$25+Inputs!$B$29,IF(Skills!C19=2,90+Inputs!$B$26+Inputs!$B$29,IF(Skills!C19=3,120+Inputs!$B$27+Inputs!$B$29,MAX(0,(Inputs!$B$3-100)*3)+Inputs!$B$28+Inputs!$B$29)))</f>
        <v/>
      </c>
      <c r="E2256">
        <f>INDEX(FactorTable!$B$2:$Y$301, MATCH(ROUND(MIN(300,MAX(1,D2256)),0), FactorTable!$A$2:$A$301,0), Skills!M19+1)</f>
        <v/>
      </c>
      <c r="F2256">
        <f>IF(Skills!N19=TRUE,(Skills!L19/10)*(E2256/1000),Skills!L19/10)+Skills!O19</f>
        <v/>
      </c>
      <c r="G2256">
        <f>Skills!G19*IF(Skills!H19&gt;0,Skills!I19/Skills!H19,1)</f>
        <v/>
      </c>
      <c r="H2256">
        <f>1-(1-Skills!J19/100)^Skills!K19</f>
        <v/>
      </c>
      <c r="I2256" t="inlineStr">
        <is>
          <t>1</t>
        </is>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Skills!A20</f>
        <v/>
      </c>
      <c r="B2257">
        <f>Skills!B20</f>
        <v/>
      </c>
      <c r="C2257">
        <f>Inputs!$B$3&gt;=43</f>
        <v/>
      </c>
      <c r="D2257">
        <f>IF(Skills!C20=1,60+Inputs!$B$25+Inputs!$B$29,IF(Skills!C20=2,90+Inputs!$B$26+Inputs!$B$29,IF(Skills!C20=3,120+Inputs!$B$27+Inputs!$B$29,MAX(0,(Inputs!$B$3-100)*3)+Inputs!$B$28+Inputs!$B$29)))</f>
        <v/>
      </c>
      <c r="E2257">
        <f>INDEX(FactorTable!$B$2:$Y$301, MATCH(ROUND(MIN(300,MAX(1,D2257)),0), FactorTable!$A$2:$A$301,0), Skills!M20+1)</f>
        <v/>
      </c>
      <c r="F2257">
        <f>IF(Skills!N20=TRUE,(Skills!L20/10)*(E2257/1000),Skills!L20/10)+Skills!O20</f>
        <v/>
      </c>
      <c r="G2257">
        <f>Skills!G20*IF(Skills!H20&gt;0,Skills!I20/Skills!H20,1)</f>
        <v/>
      </c>
      <c r="H2257">
        <f>1-(1-Skills!J20/100)^Skills!K20</f>
        <v/>
      </c>
      <c r="I2257" t="inlineStr">
        <is>
          <t>1</t>
        </is>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Skills!A21</f>
        <v/>
      </c>
      <c r="B2258">
        <f>Skills!B21</f>
        <v/>
      </c>
      <c r="C2258">
        <f>Inputs!$B$3&gt;=38</f>
        <v/>
      </c>
      <c r="D2258">
        <f>IF(Skills!C21=1,60+Inputs!$B$25+Inputs!$B$29,IF(Skills!C21=2,90+Inputs!$B$26+Inputs!$B$29,IF(Skills!C21=3,120+Inputs!$B$27+Inputs!$B$29,MAX(0,(Inputs!$B$3-100)*3)+Inputs!$B$28+Inputs!$B$29)))</f>
        <v/>
      </c>
      <c r="E2258">
        <f>INDEX(FactorTable!$B$2:$Y$301, MATCH(ROUND(MIN(300,MAX(1,D2258)),0), FactorTable!$A$2:$A$301,0), Skills!M21+1)</f>
        <v/>
      </c>
      <c r="F2258">
        <f>IF(Skills!N21=TRUE,(Skills!L21/10)*(E2258/1000),Skills!L21/10)+Skills!O21</f>
        <v/>
      </c>
      <c r="G2258">
        <f>Skills!G21*IF(Skills!H21&gt;0,Skills!I21/Skills!H21,1)</f>
        <v/>
      </c>
      <c r="H2258">
        <f>1-(1-Skills!J21/100)^Skills!K21</f>
        <v/>
      </c>
      <c r="I2258" t="inlineStr">
        <is>
          <t>1</t>
        </is>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Skills!A22</f>
        <v/>
      </c>
      <c r="B2259">
        <f>Skills!B22</f>
        <v/>
      </c>
      <c r="C2259">
        <f>Inputs!$B$3&gt;=75</f>
        <v/>
      </c>
      <c r="D2259">
        <f>IF(Skills!C22=1,60+Inputs!$B$25+Inputs!$B$29,IF(Skills!C22=2,90+Inputs!$B$26+Inputs!$B$29,IF(Skills!C22=3,120+Inputs!$B$27+Inputs!$B$29,MAX(0,(Inputs!$B$3-100)*3)+Inputs!$B$28+Inputs!$B$29)))</f>
        <v/>
      </c>
      <c r="E2259">
        <f>INDEX(FactorTable!$B$2:$Y$301, MATCH(ROUND(MIN(300,MAX(1,D2259)),0), FactorTable!$A$2:$A$301,0), Skills!M22+1)</f>
        <v/>
      </c>
      <c r="F2259">
        <f>IF(Skills!N22=TRUE,(Skills!L22/10)*(E2259/1000),Skills!L22/10)+Skills!O22</f>
        <v/>
      </c>
      <c r="G2259">
        <f>Skills!G22*IF(Skills!H22&gt;0,Skills!I22/Skills!H22,1)</f>
        <v/>
      </c>
      <c r="H2259">
        <f>1-(1-Skills!J22/100)^Skills!K22</f>
        <v/>
      </c>
      <c r="I2259" t="inlineStr">
        <is>
          <t>1</t>
        </is>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Attack% Bucket Multiplier</t>
        </is>
      </c>
      <c r="B2261">
        <f>(1+(((C2250=TRUE)*F2250)+((C2256=TRUE)*(F2256-Calc!F19))+(IF(ArtifactsInput!$M$21,CHOOSE(ArtifactsInput!$N$21+1,25,30,35,40,45,50)*(IF(OR(Inputs!$B$4="Chapter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2">
      <c r="A2262" t="inlineStr">
        <is>
          <t>Global Crit Rate Bonus %</t>
        </is>
      </c>
      <c r="B2262" t="n">
        <v>0</v>
      </c>
    </row>
    <row r="2263">
      <c r="A2263" t="inlineStr">
        <is>
          <t>Attack Speed Buff Bonus % (unused)</t>
        </is>
      </c>
      <c r="B2263" t="n">
        <v>0</v>
      </c>
    </row>
    <row r="2264">
      <c r="A2264" t="inlineStr">
        <is>
          <t>Actions Per Second</t>
        </is>
      </c>
      <c r="B2264">
        <f>1+MIN(150,150*(1-(1-(Inputs!$B$11+((C2254=TRUE)*(F2254-Calc!F17))+((C2255=TRUE)*(F2255-Calc!F18)))/150)*(1-B2263/150)))/100</f>
        <v/>
      </c>
    </row>
    <row r="2265">
      <c r="A2265" t="inlineStr">
        <is>
          <t>Skill + Buff Cast Rate</t>
        </is>
      </c>
      <c r="B2265">
        <f>IF(AND(Inputs!$B$38&lt;&gt;"pvp",Inputs!$B$43&gt;0),SUMPRODUCT((Skills!E2:E22=TRUE)*(C2239:C2259=TRUE)*R2239:R2259*Skills!F2:F22)/Inputs!$B$43,SUMPRODUCT((Skills!E2:E22=TRUE)*(C2239:C2259=TRUE)*Q2239:Q2259*Skills!F2:F22))</f>
        <v/>
      </c>
    </row>
    <row r="2266">
      <c r="A2266" t="inlineStr">
        <is>
          <t>Hook Bomber Casts Per Second</t>
        </is>
      </c>
      <c r="B2266">
        <f>MAX(0,B2264-B2265)</f>
        <v/>
      </c>
    </row>
    <row r="2267">
      <c r="A2267" t="inlineStr">
        <is>
          <t>Global Critical Damage Bonus % (unused)</t>
        </is>
      </c>
      <c r="B2267" t="n">
        <v>0</v>
      </c>
    </row>
    <row r="2268">
      <c r="A2268" t="inlineStr">
        <is>
          <t>Global Final Damage Bonus % (Serpent Scale + Crossbones + Time Leap + Speed Infusion)</t>
        </is>
      </c>
      <c r="B2268">
        <f>((C2242=TRUE)*F2242*((10+IF(Inputs!$B$3&gt;=94,5,0))/((10+IF(Inputs!$B$3&gt;=94,5,0))+5/(B2266*(1+IF(Inputs!$B$3&gt;=104,1,0))))))+((C2251=TRUE)*F2251)+((C2252=TRUE)*F2252)+((Inputs!$B$3&gt;=110)*20*(B2264-1))</f>
        <v/>
      </c>
    </row>
    <row r="2269">
      <c r="A2269" t="inlineStr">
        <is>
          <t>Buff-Casting Startup Delay (s, fixed-duration only)</t>
        </is>
      </c>
      <c r="B2269">
        <f>IF(AND(Inputs!$B$38&lt;&gt;"pvp",Inputs!$B$43&gt;0),SUMPRODUCT((Skills!T2:T22&gt;0)*(Skills!E2:E22=TRUE)*(C2239:C2259=TRUE))/B2264,0)</f>
        <v/>
      </c>
    </row>
    <row r="2270">
      <c r="A2270" t="inlineStr">
        <is>
          <t>Boss-Only Total DPS (this block's swept value)</t>
        </is>
      </c>
      <c r="B2270">
        <f>SUM(T2239:T2259)</f>
        <v/>
      </c>
    </row>
    <row r="2271">
      <c r="A2271" t="inlineStr">
        <is>
          <t>Normal-Only Total DPS (this block's swept value)</t>
        </is>
      </c>
      <c r="B2271">
        <f>SUM(V2239:V2259)</f>
        <v/>
      </c>
    </row>
    <row r="2272">
      <c r="A2272" s="6" t="inlineStr">
        <is>
          <t>TOTAL DPS</t>
        </is>
      </c>
      <c r="B2272" s="6">
        <f>SUM(O2239:O2259)</f>
        <v/>
      </c>
    </row>
    <row r="2275">
      <c r="A2275" s="6" t="inlineStr">
        <is>
          <t>Stat: Cursed Doll (Equip)</t>
        </is>
      </c>
    </row>
    <row r="2276">
      <c r="A2276" s="5" t="inlineStr">
        <is>
          <t>Key</t>
        </is>
      </c>
      <c r="B2276" s="5" t="inlineStr">
        <is>
          <t>Name</t>
        </is>
      </c>
      <c r="C2276" s="5" t="inlineStr">
        <is>
          <t>Unlocked</t>
        </is>
      </c>
      <c r="D2276" s="5" t="inlineStr">
        <is>
          <t>InputLevel</t>
        </is>
      </c>
      <c r="E2276" s="5" t="inlineStr">
        <is>
          <t>Factor</t>
        </is>
      </c>
      <c r="F2276" s="5" t="inlineStr">
        <is>
          <t>CoefficientPercent</t>
        </is>
      </c>
      <c r="G2276" s="5" t="inlineStr">
        <is>
          <t>EffectiveHits</t>
        </is>
      </c>
      <c r="H2276" s="5" t="inlineStr">
        <is>
          <t>ProcProbability</t>
        </is>
      </c>
      <c r="I2276" s="5" t="inlineStr">
        <is>
          <t>MapleHeroMultiplier</t>
        </is>
      </c>
      <c r="J2276" s="5" t="inlineStr">
        <is>
          <t>BaseDamage</t>
        </is>
      </c>
      <c r="K2276" s="5" t="inlineStr">
        <is>
          <t>BaseHitDamage</t>
        </is>
      </c>
      <c r="L2276" s="5" t="inlineStr">
        <is>
          <t>NonCritAvg</t>
        </is>
      </c>
      <c r="M2276" s="5" t="inlineStr">
        <is>
          <t>CritAvg</t>
        </is>
      </c>
      <c r="N2276" s="5" t="inlineStr">
        <is>
          <t>ExpectedDamage(perHit)</t>
        </is>
      </c>
      <c r="O2276" s="5" t="inlineStr">
        <is>
          <t>DPS</t>
        </is>
      </c>
      <c r="P2276" s="5" t="inlineStr">
        <is>
          <t>% of Total</t>
        </is>
      </c>
      <c r="Q2276" s="5" t="inlineStr">
        <is>
          <t>InvCooldown</t>
        </is>
      </c>
      <c r="R2276" s="5" t="inlineStr">
        <is>
          <t>CastsInFight</t>
        </is>
      </c>
      <c r="S2276" s="5" t="inlineStr">
        <is>
          <t>HitRate(perSec)</t>
        </is>
      </c>
      <c r="U2276" t="inlineStr">
        <is>
          <t>helpers</t>
        </is>
      </c>
    </row>
    <row r="2277">
      <c r="A2277">
        <f>Skills!A2</f>
        <v/>
      </c>
      <c r="B2277">
        <f>Skills!B2</f>
        <v/>
      </c>
      <c r="C2277">
        <f>Inputs!$B$3&gt;=100</f>
        <v/>
      </c>
      <c r="D2277" t="inlineStr"/>
      <c r="E2277" t="inlineStr"/>
      <c r="F2277">
        <f>U2279+Skills!O2</f>
        <v/>
      </c>
      <c r="G2277">
        <f>Skills!G2*IF(Skills!H2&gt;0,Skills!I2/Skills!H2,1)</f>
        <v/>
      </c>
      <c r="H2277">
        <f>1-(1-Skills!J2/100)^Skills!K2</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2295=TRUE)*(F2295-Calc!F20)),(Inputs!$B$23+0+(IF(ArtifactsInput!$M$15,CHOOSE(ArtifactsInput!$N$15+1,25,30,35,40,45,50)/100*(Inputs!$B$11-Inputs!$B$11),0))))/100+(Inputs!$B$23+0+(IF(ArtifactsInput!$M$15,CHOOSE(ArtifactsInput!$N$15+1,25,30,35,40,45,50)/100*(Inputs!$B$11-Inputs!$B$11),0)))/100)/2</f>
        <v/>
      </c>
      <c r="M2277">
        <f>L2277*(1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IF(B2310=0,0,O2277/B2310)</f>
        <v/>
      </c>
      <c r="Q2277" t="n">
        <v>0</v>
      </c>
      <c r="R2277" t="n">
        <v>0</v>
      </c>
      <c r="S2277">
        <f>IFERROR(O2277/N2277,0)</f>
        <v/>
      </c>
      <c r="T2277">
        <f>IF(C2277,(Skills!G2*N2277*B2304)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MAX(0,(Inputs!$B$3-100)*3)+Inputs!$B$28+Inputs!$B$29</f>
        <v/>
      </c>
      <c r="V2277">
        <f>IF(C2277,(Skills!G2*N2277*B2304)*IF(Inputs!$B$38="pvp",1,(1+(Inputs!$B$21+Skills!Q2+(IF(ArtifactsInput!$M$33,CHOOSE(ArtifactsInput!$N$33+1,30,36,42,48,54,60),0))+(IF(AND(ArtifactsInput!$M$35,Inputs!$B$4&lt;&gt;"Chapter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Skills!A3</f>
        <v/>
      </c>
      <c r="B2278">
        <f>Skills!B3</f>
        <v/>
      </c>
      <c r="C2278">
        <f>Inputs!$B$3&gt;=35</f>
        <v/>
      </c>
      <c r="D2278">
        <f>IF(Skills!C3=1,60+Inputs!$B$25+Inputs!$B$29,IF(Skills!C3=2,90+Inputs!$B$26+Inputs!$B$29,IF(Skills!C3=3,120+Inputs!$B$27+Inputs!$B$29,MAX(0,(Inputs!$B$3-100)*3)+Inputs!$B$28+Inputs!$B$29)))</f>
        <v/>
      </c>
      <c r="E2278">
        <f>INDEX(FactorTable!$B$2:$Y$301, MATCH(ROUND(MIN(300,MAX(1,D2278)),0), FactorTable!$A$2:$A$301,0), Skills!M3+1)</f>
        <v/>
      </c>
      <c r="F2278">
        <f>IF(Skills!N3=TRUE,(Skills!L3/10)*(E2278/1000),Skills!L3/10)+Skills!O3</f>
        <v/>
      </c>
      <c r="G2278">
        <f>Skills!G3*IF(Skills!H3&gt;0,Skills!I3/Skills!H3,1)</f>
        <v/>
      </c>
      <c r="H2278">
        <f>1-(1-Skills!J3/100)^Skills!K3</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2295=TRUE)*(F2295-Calc!F20)),(Inputs!$B$23+0+(IF(ArtifactsInput!$M$15,CHOOSE(ArtifactsInput!$N$15+1,25,30,35,40,45,50)/100*(Inputs!$B$11-Inputs!$B$11),0))))/100+(Inputs!$B$23+0+(IF(ArtifactsInput!$M$15,CHOOSE(ArtifactsInput!$N$15+1,25,30,35,40,45,50)/100*(Inputs!$B$11-Inputs!$B$11),0)))/100)/2</f>
        <v/>
      </c>
      <c r="M2278">
        <f>L2278*(1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IF(B2310=0,0,O2278/B2310)</f>
        <v/>
      </c>
      <c r="Q2278" t="n">
        <v>0</v>
      </c>
      <c r="R2278" t="n">
        <v>0</v>
      </c>
      <c r="S2278">
        <f>IFERROR(O2278/N2278,0)</f>
        <v/>
      </c>
      <c r="T2278">
        <f>IF(C2278,(Skills!G3*H2278*N2278*B2304)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INDEX(FactorTable!$B$2:$Y$301, MATCH(ROUND(MIN(300,MAX(1,U2277)),0), FactorTable!$A$2:$A$301,0), 22)</f>
        <v/>
      </c>
      <c r="V2278">
        <f>IF(C2278,(Skills!G3*H2278*N2278*B2304)*IF(Inputs!$B$38="pvp",1,(1+(Inputs!$B$21+Skills!Q3+(IF(ArtifactsInput!$M$33,CHOOSE(ArtifactsInput!$N$33+1,30,36,42,48,54,60),0))+(IF(AND(ArtifactsInput!$M$35,Inputs!$B$4&lt;&gt;"Chapter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Skills!A4</f>
        <v/>
      </c>
      <c r="B2279">
        <f>Skills!B4</f>
        <v/>
      </c>
      <c r="C2279">
        <f>Inputs!$B$3&gt;=60</f>
        <v/>
      </c>
      <c r="D2279">
        <f>IF(Skills!C4=1,60+Inputs!$B$25+Inputs!$B$29,IF(Skills!C4=2,90+Inputs!$B$26+Inputs!$B$29,IF(Skills!C4=3,120+Inputs!$B$27+Inputs!$B$29,MAX(0,(Inputs!$B$3-100)*3)+Inputs!$B$28+Inputs!$B$29)))</f>
        <v/>
      </c>
      <c r="E2279">
        <f>INDEX(FactorTable!$B$2:$Y$301, MATCH(ROUND(MIN(300,MAX(1,D2279)),0), FactorTable!$A$2:$A$301,0), Skills!M4+1)</f>
        <v/>
      </c>
      <c r="F2279">
        <f>IF(Skills!N4=TRUE,(Skills!L4/10)*(E2279/1000),Skills!L4/10)+Skills!O4</f>
        <v/>
      </c>
      <c r="G2279">
        <f>Skills!G4*IF(Skills!H4&gt;0,Skills!I4/Skills!H4,1)</f>
        <v/>
      </c>
      <c r="H2279">
        <f>1-(1-Skills!J4/100)^Skills!K4</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2295=TRUE)*(F2295-Calc!F20)),(Inputs!$B$23+0+(IF(ArtifactsInput!$M$15,CHOOSE(ArtifactsInput!$N$15+1,25,30,35,40,45,50)/100*(Inputs!$B$11-Inputs!$B$11),0))))/100+(Inputs!$B$23+0+(IF(ArtifactsInput!$M$15,CHOOSE(ArtifactsInput!$N$15+1,25,30,35,40,45,50)/100*(Inputs!$B$11-Inputs!$B$11),0)))/100)/2</f>
        <v/>
      </c>
      <c r="M2279">
        <f>L2279*(1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IF(B2310=0,0,O2279/B2310)</f>
        <v/>
      </c>
      <c r="Q2279" t="n">
        <v>0</v>
      </c>
      <c r="R2279" t="n">
        <v>0</v>
      </c>
      <c r="S2279">
        <f>IFERROR(O2279/N2279,0)</f>
        <v/>
      </c>
      <c r="T2279">
        <f>IF(C2279,(Skills!G4*H2279*N2279*B2304)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290*U2278/1000</f>
        <v/>
      </c>
      <c r="V2279">
        <f>IF(C2279,(Skills!G4*H2279*N2279*B2304)*IF(Inputs!$B$38="pvp",1,(1+(Inputs!$B$21+Skills!Q4+(IF(ArtifactsInput!$M$33,CHOOSE(ArtifactsInput!$N$33+1,30,36,42,48,54,60),0))+(IF(AND(ArtifactsInput!$M$35,Inputs!$B$4&lt;&gt;"Chapter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Skills!A5</f>
        <v/>
      </c>
      <c r="B2280">
        <f>Skills!B5</f>
        <v/>
      </c>
      <c r="C2280">
        <f>Inputs!$B$3&gt;=60</f>
        <v/>
      </c>
      <c r="D2280">
        <f>IF(Skills!C5=1,60+Inputs!$B$25+Inputs!$B$29,IF(Skills!C5=2,90+Inputs!$B$26+Inputs!$B$29,IF(Skills!C5=3,120+Inputs!$B$27+Inputs!$B$29,MAX(0,(Inputs!$B$3-100)*3)+Inputs!$B$28+Inputs!$B$29)))</f>
        <v/>
      </c>
      <c r="E2280">
        <f>INDEX(FactorTable!$B$2:$Y$301, MATCH(ROUND(MIN(300,MAX(1,D2280)),0), FactorTable!$A$2:$A$301,0), Skills!M5+1)</f>
        <v/>
      </c>
      <c r="F2280">
        <f>IF(Skills!N5=TRUE,(Skills!L5/10)*(E2280/1000),Skills!L5/10)+Skills!O5</f>
        <v/>
      </c>
      <c r="G2280">
        <f>Skills!G5*IF(Skills!H5&gt;0,Skills!I5/Skills!H5,1)</f>
        <v/>
      </c>
      <c r="H2280">
        <f>1-(1-Skills!J5/100)^Skills!K5</f>
        <v/>
      </c>
      <c r="I2280" t="inlineStr">
        <is>
          <t>1</t>
        </is>
      </c>
      <c r="J2280" t="inlineStr"/>
      <c r="K2280" t="inlineStr"/>
      <c r="L2280" t="inlineStr"/>
      <c r="M2280" t="inlineStr"/>
      <c r="N2280" t="inlineStr"/>
      <c r="O2280">
        <f>(1-Summary!$B$11)*T2280+Summary!$B$11*V2280</f>
        <v/>
      </c>
      <c r="P2280">
        <f>IF(B2310=0,0,O2280/B2310)</f>
        <v/>
      </c>
      <c r="Q2280" t="n">
        <v>0</v>
      </c>
      <c r="R2280" t="n">
        <v>0</v>
      </c>
      <c r="S2280">
        <f>IFERROR(O2280/N2280,0)</f>
        <v/>
      </c>
      <c r="T2280" t="n">
        <v>0</v>
      </c>
      <c r="V2280" t="n">
        <v>0</v>
      </c>
    </row>
    <row r="2281">
      <c r="A2281">
        <f>Skills!A6</f>
        <v/>
      </c>
      <c r="B2281">
        <f>Skills!B6</f>
        <v/>
      </c>
      <c r="C2281">
        <f>Inputs!$B$3&gt;=63</f>
        <v/>
      </c>
      <c r="D2281">
        <f>IF(Skills!C6=1,60+Inputs!$B$25+Inputs!$B$29,IF(Skills!C6=2,90+Inputs!$B$26+Inputs!$B$29,IF(Skills!C6=3,120+Inputs!$B$27+Inputs!$B$29,MAX(0,(Inputs!$B$3-100)*3)+Inputs!$B$28+Inputs!$B$29)))</f>
        <v/>
      </c>
      <c r="E2281">
        <f>INDEX(FactorTable!$B$2:$Y$301, MATCH(ROUND(MIN(300,MAX(1,D2281)),0), FactorTable!$A$2:$A$301,0), Skills!M6+1)</f>
        <v/>
      </c>
      <c r="F2281">
        <f>IF(Skills!N6=TRUE,(Skills!L6/10)*(E2281/1000),Skills!L6/10)+Skills!O6</f>
        <v/>
      </c>
      <c r="G2281">
        <f>Skills!G6*IF(Skills!H6&gt;0,Skills!I6/Skills!H6,1)</f>
        <v/>
      </c>
      <c r="H2281">
        <f>1-(1-Skills!J6/100)^Skills!K6</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2295=TRUE)*(F2295-Calc!F20)),(Inputs!$B$23+0+(IF(ArtifactsInput!$M$15,CHOOSE(ArtifactsInput!$N$15+1,25,30,35,40,45,50)/100*(Inputs!$B$11-Inputs!$B$11),0))))/100+(Inputs!$B$23+0+(IF(ArtifactsInput!$M$15,CHOOSE(ArtifactsInput!$N$15+1,25,30,35,40,45,50)/100*(Inputs!$B$11-Inputs!$B$11),0)))/100)/2</f>
        <v/>
      </c>
      <c r="M2281">
        <f>L2281*(1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IF(B2310=0,0,O2281/B2310)</f>
        <v/>
      </c>
      <c r="Q2281">
        <f>IFERROR(1/(IF(Inputs!$B$38="pvp",15,MAX(0.1,Skills!D6-IF(Skills!E6=TRUE,Inputs!$B$32,0)))*(1-IF(AND(ArtifactsInput!$M$27,Inputs!$B$4="Chapter Hunt"),CHOOSE(ArtifactsInput!$N$27+1,20,24,28,32,36,40),0)/100)),0)</f>
        <v/>
      </c>
      <c r="R2281">
        <f>IF(AND(Inputs!$B$38&lt;&gt;"pvp",Inputs!$B$43&gt;0),IF(MAX(0,Inputs!$B$43-B2307)&lt;=0,0,(INT(MAX(0,Inputs!$B$43-B2307)/(IF(Inputs!$B$38="pvp",15,MAX(0.1,Skills!D6-IF(Skills!E6=TRUE,Inputs!$B$32,0)))*(1-IF(AND(ArtifactsInput!$M$27,Inputs!$B$4="Chapter Hunt"),CHOOSE(ArtifactsInput!$N$27+1,20,24,28,32,36,40),0)/100)))+1)),0)</f>
        <v/>
      </c>
      <c r="S2281">
        <f>IFERROR(O2281/N2281,0)</f>
        <v/>
      </c>
      <c r="T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$21+Skills!Q6+(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Skills!A7</f>
        <v/>
      </c>
      <c r="B2282">
        <f>Skills!B7</f>
        <v/>
      </c>
      <c r="C2282">
        <f>Inputs!$B$3&gt;=100</f>
        <v/>
      </c>
      <c r="D2282">
        <f>IF(Skills!C7=1,60+Inputs!$B$25+Inputs!$B$29,IF(Skills!C7=2,90+Inputs!$B$26+Inputs!$B$29,IF(Skills!C7=3,120+Inputs!$B$27+Inputs!$B$29,MAX(0,(Inputs!$B$3-100)*3)+Inputs!$B$28+Inputs!$B$29)))</f>
        <v/>
      </c>
      <c r="E2282">
        <f>INDEX(FactorTable!$B$2:$Y$301, MATCH(ROUND(MIN(300,MAX(1,D2282)),0), FactorTable!$A$2:$A$301,0), Skills!M7+1)</f>
        <v/>
      </c>
      <c r="F2282">
        <f>IF(Skills!N7=TRUE,(Skills!L7/10)*(E2282/1000),Skills!L7/10)+Skills!O7</f>
        <v/>
      </c>
      <c r="G2282">
        <f>Skills!G7*IF(Skills!H7&gt;0,Skills!I7/Skills!H7,1)</f>
        <v/>
      </c>
      <c r="H2282">
        <f>1-(1-Skills!J7/100)^Skills!K7</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2295=TRUE)*(F2295-Calc!F20)),(Inputs!$B$23+0+(IF(ArtifactsInput!$M$15,CHOOSE(ArtifactsInput!$N$15+1,25,30,35,40,45,50)/100*(Inputs!$B$11-Inputs!$B$11),0))))/100+(Inputs!$B$23+0+(IF(ArtifactsInput!$M$15,CHOOSE(ArtifactsInput!$N$15+1,25,30,35,40,45,50)/100*(Inputs!$B$11-Inputs!$B$11),0)))/100)/2</f>
        <v/>
      </c>
      <c r="M2282">
        <f>L2282*(1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IF(B2310=0,0,O2282/B2310)</f>
        <v/>
      </c>
      <c r="Q2282">
        <f>IFERROR(1/(IF(Inputs!$B$38="pvp",15,MAX(0.1,Skills!D7-IF(Skills!E7=TRUE,Inputs!$B$32,0)))*(1-IF(AND(ArtifactsInput!$M$27,Inputs!$B$4="Chapter Hunt"),CHOOSE(ArtifactsInput!$N$27+1,20,24,28,32,36,40),0)/100)),0)</f>
        <v/>
      </c>
      <c r="R2282">
        <f>IF(AND(Inputs!$B$38&lt;&gt;"pvp",Inputs!$B$43&gt;0),IF(MAX(0,Inputs!$B$43-B2307)&lt;=0,0,(INT(MAX(0,Inputs!$B$43-B2307)/(IF(Inputs!$B$38="pvp",15,MAX(0.1,Skills!D7-IF(Skills!E7=TRUE,Inputs!$B$32,0)))*(1-IF(AND(ArtifactsInput!$M$27,Inputs!$B$4="Chapter Hunt"),CHOOSE(ArtifactsInput!$N$27+1,20,24,28,32,36,40),0)/100)))+1)),0)</f>
        <v/>
      </c>
      <c r="S2282">
        <f>IFERROR(O2282/N2282,0)</f>
        <v/>
      </c>
      <c r="T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$21+Skills!Q7+(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Skills!A8</f>
        <v/>
      </c>
      <c r="B2283">
        <f>Skills!B8</f>
        <v/>
      </c>
      <c r="C2283">
        <f>Inputs!$B$3&gt;=110</f>
        <v/>
      </c>
      <c r="D2283">
        <f>IF(Skills!C8=1,60+Inputs!$B$25+Inputs!$B$29,IF(Skills!C8=2,90+Inputs!$B$26+Inputs!$B$29,IF(Skills!C8=3,120+Inputs!$B$27+Inputs!$B$29,MAX(0,(Inputs!$B$3-100)*3)+Inputs!$B$28+Inputs!$B$29)))</f>
        <v/>
      </c>
      <c r="E2283">
        <f>INDEX(FactorTable!$B$2:$Y$301, MATCH(ROUND(MIN(300,MAX(1,D2283)),0), FactorTable!$A$2:$A$301,0), Skills!M8+1)</f>
        <v/>
      </c>
      <c r="F2283">
        <f>IF(Skills!N8=TRUE,(Skills!L8/10)*(E2283/1000),Skills!L8/10)+Skills!O8</f>
        <v/>
      </c>
      <c r="G2283">
        <f>Skills!G8*IF(Skills!H8&gt;0,Skills!I8/Skills!H8,1)</f>
        <v/>
      </c>
      <c r="H2283">
        <f>1-(1-Skills!J8/100)^Skills!K8</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2295=TRUE)*(F2295-Calc!F20)),(Inputs!$B$23+0+(IF(ArtifactsInput!$M$15,CHOOSE(ArtifactsInput!$N$15+1,25,30,35,40,45,50)/100*(Inputs!$B$11-Inputs!$B$11),0))))/100+(Inputs!$B$23+0+(IF(ArtifactsInput!$M$15,CHOOSE(ArtifactsInput!$N$15+1,25,30,35,40,45,50)/100*(Inputs!$B$11-Inputs!$B$11),0)))/100)/2</f>
        <v/>
      </c>
      <c r="M2283">
        <f>L2283*(1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IF(B2310=0,0,O2283/B2310)</f>
        <v/>
      </c>
      <c r="Q2283">
        <f>IFERROR(1/(IF(Inputs!$B$38="pvp",15,MAX(0.1,Skills!D8-IF(Skills!E8=TRUE,Inputs!$B$32,0)))*(1-IF(AND(ArtifactsInput!$M$27,Inputs!$B$4="Chapter Hunt"),CHOOSE(ArtifactsInput!$N$27+1,20,24,28,32,36,40),0)/100)),0)</f>
        <v/>
      </c>
      <c r="R2283">
        <f>IF(AND(Inputs!$B$38&lt;&gt;"pvp",Inputs!$B$43&gt;0),IF(MAX(0,Inputs!$B$43-B2307)&lt;=0,0,(INT(MAX(0,Inputs!$B$43-B2307)/(IF(Inputs!$B$38="pvp",15,MAX(0.1,Skills!D8-IF(Skills!E8=TRUE,Inputs!$B$32,0)))*(1-IF(AND(ArtifactsInput!$M$27,Inputs!$B$4="Chapter Hunt"),CHOOSE(ArtifactsInput!$N$27+1,20,24,28,32,36,40),0)/100)))+1)),0)</f>
        <v/>
      </c>
      <c r="S2283">
        <f>IFERROR(O2283/N2283,0)</f>
        <v/>
      </c>
      <c r="T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$21+Skills!Q8+(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Skills!A9</f>
        <v/>
      </c>
      <c r="B2284">
        <f>Skills!B9</f>
        <v/>
      </c>
      <c r="C2284">
        <f>Inputs!$B$3&gt;=110</f>
        <v/>
      </c>
      <c r="D2284">
        <f>IF(Skills!C9=1,60+Inputs!$B$25+Inputs!$B$29,IF(Skills!C9=2,90+Inputs!$B$26+Inputs!$B$29,IF(Skills!C9=3,120+Inputs!$B$27+Inputs!$B$29,MAX(0,(Inputs!$B$3-100)*3)+Inputs!$B$28+Inputs!$B$29)))</f>
        <v/>
      </c>
      <c r="E2284">
        <f>INDEX(FactorTable!$B$2:$Y$301, MATCH(ROUND(MIN(300,MAX(1,D2284)),0), FactorTable!$A$2:$A$301,0), Skills!M9+1)</f>
        <v/>
      </c>
      <c r="F2284">
        <f>IF(Skills!N9=TRUE,(Skills!L9/10)*(E2284/1000),Skills!L9/10)+Skills!O9</f>
        <v/>
      </c>
      <c r="G2284">
        <f>Skills!G9*IF(Skills!H9&gt;0,Skills!I9/Skills!H9,1)</f>
        <v/>
      </c>
      <c r="H2284">
        <f>1-(1-Skills!J9/100)^Skills!K9</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2295=TRUE)*(F2295-Calc!F20)),(Inputs!$B$23+0+(IF(ArtifactsInput!$M$15,CHOOSE(ArtifactsInput!$N$15+1,25,30,35,40,45,50)/100*(Inputs!$B$11-Inputs!$B$11),0))))/100+(Inputs!$B$23+0+(IF(ArtifactsInput!$M$15,CHOOSE(ArtifactsInput!$N$15+1,25,30,35,40,45,50)/100*(Inputs!$B$11-Inputs!$B$11),0)))/100)/2</f>
        <v/>
      </c>
      <c r="M2284">
        <f>L2284*(1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IF(B2310=0,0,O2284/B2310)</f>
        <v/>
      </c>
      <c r="Q2284">
        <f>IFERROR(1/(IF(Inputs!$B$38="pvp",15,MAX(0.1,Skills!D9-IF(Skills!E9=TRUE,Inputs!$B$32,0)))*(1-IF(AND(ArtifactsInput!$M$27,Inputs!$B$4="Chapter Hunt"),CHOOSE(ArtifactsInput!$N$27+1,20,24,28,32,36,40),0)/100)),0)</f>
        <v/>
      </c>
      <c r="R2284">
        <f>IF(AND(Inputs!$B$38&lt;&gt;"pvp",Inputs!$B$43&gt;0),IF(MAX(0,Inputs!$B$43-B2307)&lt;=0,0,(INT(MAX(0,Inputs!$B$43-B2307)/(IF(Inputs!$B$38="pvp",15,MAX(0.1,Skills!D9-IF(Skills!E9=TRUE,Inputs!$B$32,0)))*(1-IF(AND(ArtifactsInput!$M$27,Inputs!$B$4="Chapter Hunt"),CHOOSE(ArtifactsInput!$N$27+1,20,24,28,32,36,40),0)/100)))+1)),0)</f>
        <v/>
      </c>
      <c r="S2284">
        <f>IFERROR(O2284/N2284,0)</f>
        <v/>
      </c>
      <c r="T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$21+Skills!Q9+(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Skills!A10</f>
        <v/>
      </c>
      <c r="B2285">
        <f>Skills!B10</f>
        <v/>
      </c>
      <c r="C2285">
        <f>Inputs!$B$3&gt;=103</f>
        <v/>
      </c>
      <c r="D2285">
        <f>IF(Skills!C10=1,60+Inputs!$B$25+Inputs!$B$29,IF(Skills!C10=2,90+Inputs!$B$26+Inputs!$B$29,IF(Skills!C10=3,120+Inputs!$B$27+Inputs!$B$29,MAX(0,(Inputs!$B$3-100)*3)+Inputs!$B$28+Inputs!$B$29)))</f>
        <v/>
      </c>
      <c r="E2285">
        <f>INDEX(FactorTable!$B$2:$Y$301, MATCH(ROUND(MIN(300,MAX(1,D2285)),0), FactorTable!$A$2:$A$301,0), Skills!M10+1)</f>
        <v/>
      </c>
      <c r="F2285">
        <f>IF(Skills!N10=TRUE,(Skills!L10/10)*(E2285/1000),Skills!L10/10)+Skills!O10</f>
        <v/>
      </c>
      <c r="G2285">
        <f>Skills!G10*IF(Skills!H10&gt;0,Skills!I10/Skills!H10,1)</f>
        <v/>
      </c>
      <c r="H2285">
        <f>1-(1-Skills!J10/100)^Skills!K10</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2295=TRUE)*(F2295-Calc!F20)),(Inputs!$B$23+0+(IF(ArtifactsInput!$M$15,CHOOSE(ArtifactsInput!$N$15+1,25,30,35,40,45,50)/100*(Inputs!$B$11-Inputs!$B$11),0))))/100+(Inputs!$B$23+0+(IF(ArtifactsInput!$M$15,CHOOSE(ArtifactsInput!$N$15+1,25,30,35,40,45,50)/100*(Inputs!$B$11-Inputs!$B$11),0)))/100)/2</f>
        <v/>
      </c>
      <c r="M2285">
        <f>L2285*(1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IF(B2310=0,0,O2285/B2310)</f>
        <v/>
      </c>
      <c r="Q2285">
        <f>IFERROR(1/(IF(Inputs!$B$38="pvp",15,MAX(0.1,Skills!D10-IF(Skills!E10=TRUE,Inputs!$B$32,0)))*(1-IF(AND(ArtifactsInput!$M$27,Inputs!$B$4="Chapter Hunt"),CHOOSE(ArtifactsInput!$N$27+1,20,24,28,32,36,40),0)/100)),0)</f>
        <v/>
      </c>
      <c r="R2285">
        <f>IF(AND(Inputs!$B$38&lt;&gt;"pvp",Inputs!$B$43&gt;0),IF(MAX(0,Inputs!$B$43-B2307)&lt;=0,0,(INT(MAX(0,Inputs!$B$43-B2307)/(IF(Inputs!$B$38="pvp",15,MAX(0.1,Skills!D10-IF(Skills!E10=TRUE,Inputs!$B$32,0)))*(1-IF(AND(ArtifactsInput!$M$27,Inputs!$B$4="Chapter Hunt"),CHOOSE(ArtifactsInput!$N$27+1,20,24,28,32,36,40),0)/100)))+1)),0)</f>
        <v/>
      </c>
      <c r="S2285">
        <f>IFERROR(O2285/N2285,0)</f>
        <v/>
      </c>
      <c r="T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$21+Skills!Q10+(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Skills!A11</f>
        <v/>
      </c>
      <c r="B2286">
        <f>Skills!B11</f>
        <v/>
      </c>
      <c r="C2286">
        <f>Inputs!$B$3&gt;=113</f>
        <v/>
      </c>
      <c r="D2286">
        <f>IF(Skills!C11=1,60+Inputs!$B$25+Inputs!$B$29,IF(Skills!C11=2,90+Inputs!$B$26+Inputs!$B$29,IF(Skills!C11=3,120+Inputs!$B$27+Inputs!$B$29,MAX(0,(Inputs!$B$3-100)*3)+Inputs!$B$28+Inputs!$B$29)))</f>
        <v/>
      </c>
      <c r="E2286">
        <f>INDEX(FactorTable!$B$2:$Y$301, MATCH(ROUND(MIN(300,MAX(1,D2286)),0), FactorTable!$A$2:$A$301,0), Skills!M11+1)</f>
        <v/>
      </c>
      <c r="F2286">
        <f>IF(Skills!N11=TRUE,(Skills!L11/10)*(E2286/1000),Skills!L11/10)+Skills!O11</f>
        <v/>
      </c>
      <c r="G2286">
        <f>Skills!G11*IF(Skills!H11&gt;0,Skills!I11/Skills!H11,1)</f>
        <v/>
      </c>
      <c r="H2286">
        <f>1-(1-Skills!J11/100)^Skills!K11</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2295=TRUE)*(F2295-Calc!F20)),(Inputs!$B$23+0+(IF(ArtifactsInput!$M$15,CHOOSE(ArtifactsInput!$N$15+1,25,30,35,40,45,50)/100*(Inputs!$B$11-Inputs!$B$11),0))))/100+(Inputs!$B$23+0+(IF(ArtifactsInput!$M$15,CHOOSE(ArtifactsInput!$N$15+1,25,30,35,40,45,50)/100*(Inputs!$B$11-Inputs!$B$11),0)))/100)/2</f>
        <v/>
      </c>
      <c r="M2286">
        <f>L2286*(1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IF(B2310=0,0,O2286/B2310)</f>
        <v/>
      </c>
      <c r="Q2286">
        <f>IFERROR(1/(IF(Inputs!$B$38="pvp",15,MAX(0.1,Skills!D11-IF(Skills!E11=TRUE,Inputs!$B$32,0)))*(1-IF(AND(ArtifactsInput!$M$27,Inputs!$B$4="Chapter Hunt"),CHOOSE(ArtifactsInput!$N$27+1,20,24,28,32,36,40),0)/100)),0)</f>
        <v/>
      </c>
      <c r="R2286">
        <f>IF(AND(Inputs!$B$38&lt;&gt;"pvp",Inputs!$B$43&gt;0),IF(MAX(0,Inputs!$B$43-B2307)&lt;=0,0,(INT(MAX(0,Inputs!$B$43-B2307)/(IF(Inputs!$B$38="pvp",15,MAX(0.1,Skills!D11-IF(Skills!E11=TRUE,Inputs!$B$32,0)))*(1-IF(AND(ArtifactsInput!$M$27,Inputs!$B$4="Chapter Hunt"),CHOOSE(ArtifactsInput!$N$27+1,20,24,28,32,36,40),0)/100)))+1)),0)</f>
        <v/>
      </c>
      <c r="S2286">
        <f>IFERROR(O2286/N2286,0)</f>
        <v/>
      </c>
      <c r="T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$21+Skills!Q11+(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Skills!A12</f>
        <v/>
      </c>
      <c r="B2287">
        <f>Skills!B12</f>
        <v/>
      </c>
      <c r="C2287">
        <f>Inputs!$B$3&gt;=100</f>
        <v/>
      </c>
      <c r="D2287">
        <f>IF(Skills!C12=1,60+Inputs!$B$25+Inputs!$B$29,IF(Skills!C12=2,90+Inputs!$B$26+Inputs!$B$29,IF(Skills!C12=3,120+Inputs!$B$27+Inputs!$B$29,MAX(0,(Inputs!$B$3-100)*3)+Inputs!$B$28+Inputs!$B$29)))</f>
        <v/>
      </c>
      <c r="E2287">
        <f>INDEX(FactorTable!$B$2:$Y$301, MATCH(ROUND(MIN(300,MAX(1,D2287)),0), FactorTable!$A$2:$A$301,0), Skills!M12+1)</f>
        <v/>
      </c>
      <c r="F2287">
        <f>IF(Skills!N12=TRUE,(Skills!L12/10)*(E2287/1000),Skills!L12/10)+Skills!O12</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Skills!A13</f>
        <v/>
      </c>
      <c r="B2288">
        <f>Skills!B13</f>
        <v/>
      </c>
      <c r="C2288">
        <f>Inputs!$B$3&gt;=66</f>
        <v/>
      </c>
      <c r="D2288">
        <f>IF(Skills!C13=1,60+Inputs!$B$25+Inputs!$B$29,IF(Skills!C13=2,90+Inputs!$B$26+Inputs!$B$29,IF(Skills!C13=3,120+Inputs!$B$27+Inputs!$B$29,MAX(0,(Inputs!$B$3-100)*3)+Inputs!$B$28+Inputs!$B$29)))</f>
        <v/>
      </c>
      <c r="E2288">
        <f>INDEX(FactorTable!$B$2:$Y$301, MATCH(ROUND(MIN(300,MAX(1,D2288)),0), FactorTable!$A$2:$A$301,0), Skills!M13+1)</f>
        <v/>
      </c>
      <c r="F2288">
        <f>IF(Skills!N13=TRUE,(Skills!L13/10)*(E2288/1000),Skills!L13/10)+Skills!O13</f>
        <v/>
      </c>
      <c r="G2288">
        <f>Skills!G13*IF(Skills!H13&gt;0,Skills!I13/Skills!H13,1)</f>
        <v/>
      </c>
      <c r="H2288">
        <f>1-(1-Skills!J13/100)^Skills!K13</f>
        <v/>
      </c>
      <c r="I2288" t="inlineStr">
        <is>
          <t>1</t>
        </is>
      </c>
      <c r="J2288" t="inlineStr"/>
      <c r="K2288" t="inlineStr"/>
      <c r="L2288" t="inlineStr"/>
      <c r="M2288" t="inlineStr"/>
      <c r="N2288" t="inlineStr"/>
      <c r="O2288">
        <f>(1-Summary!$B$11)*T2288+Summary!$B$11*V2288</f>
        <v/>
      </c>
      <c r="P2288">
        <f>IF(B2310=0,0,O2288/B2310)</f>
        <v/>
      </c>
      <c r="Q2288" t="n">
        <v>0</v>
      </c>
      <c r="R2288" t="n">
        <v>0</v>
      </c>
      <c r="S2288">
        <f>IFERROR(O2288/N2288,0)</f>
        <v/>
      </c>
      <c r="T2288" t="n">
        <v>0</v>
      </c>
      <c r="V2288" t="n">
        <v>0</v>
      </c>
    </row>
    <row r="2289">
      <c r="A2289">
        <f>Skills!A14</f>
        <v/>
      </c>
      <c r="B2289">
        <f>Skills!B14</f>
        <v/>
      </c>
      <c r="C2289">
        <f>Inputs!$B$3&gt;=107</f>
        <v/>
      </c>
      <c r="D2289">
        <f>IF(Skills!C14=1,60+Inputs!$B$25+Inputs!$B$29,IF(Skills!C14=2,90+Inputs!$B$26+Inputs!$B$29,IF(Skills!C14=3,120+Inputs!$B$27+Inputs!$B$29,MAX(0,(Inputs!$B$3-100)*3)+Inputs!$B$28+Inputs!$B$29)))</f>
        <v/>
      </c>
      <c r="E2289">
        <f>INDEX(FactorTable!$B$2:$Y$301, MATCH(ROUND(MIN(300,MAX(1,D2289)),0), FactorTable!$A$2:$A$301,0), Skills!M14+1)</f>
        <v/>
      </c>
      <c r="F2289">
        <f>IF(Skills!N14=TRUE,(Skills!L14/10)*(E2289/1000),Skills!L14/10)+Skills!O14</f>
        <v/>
      </c>
      <c r="G2289">
        <f>Skills!G14*IF(Skills!H14&gt;0,Skills!I14/Skills!H14,1)</f>
        <v/>
      </c>
      <c r="H2289">
        <f>1-(1-Skills!J14/100)^Skills!K14</f>
        <v/>
      </c>
      <c r="I2289" t="inlineStr">
        <is>
          <t>1</t>
        </is>
      </c>
      <c r="J2289" t="inlineStr"/>
      <c r="K2289" t="inlineStr"/>
      <c r="L2289" t="inlineStr"/>
      <c r="M2289" t="inlineStr"/>
      <c r="N2289" t="inlineStr"/>
      <c r="O2289">
        <f>(1-Summary!$B$11)*T2289+Summary!$B$11*V2289</f>
        <v/>
      </c>
      <c r="P2289">
        <f>IF(B2310=0,0,O2289/B2310)</f>
        <v/>
      </c>
      <c r="Q2289" t="n">
        <v>0</v>
      </c>
      <c r="R2289" t="n">
        <v>0</v>
      </c>
      <c r="S2289">
        <f>IFERROR(O2289/N2289,0)</f>
        <v/>
      </c>
      <c r="T2289" t="n">
        <v>0</v>
      </c>
      <c r="V2289" t="n">
        <v>0</v>
      </c>
    </row>
    <row r="2290">
      <c r="A2290">
        <f>Skills!A15</f>
        <v/>
      </c>
      <c r="B2290">
        <f>Skills!B15</f>
        <v/>
      </c>
      <c r="C2290">
        <f>Inputs!$B$3&gt;=115</f>
        <v/>
      </c>
      <c r="D2290">
        <f>IF(Skills!C15=1,60+Inputs!$B$25+Inputs!$B$29,IF(Skills!C15=2,90+Inputs!$B$26+Inputs!$B$29,IF(Skills!C15=3,120+Inputs!$B$27+Inputs!$B$29,MAX(0,(Inputs!$B$3-100)*3)+Inputs!$B$28+Inputs!$B$29)))</f>
        <v/>
      </c>
      <c r="E2290">
        <f>INDEX(FactorTable!$B$2:$Y$301, MATCH(ROUND(MIN(300,MAX(1,D2290)),0), FactorTable!$A$2:$A$301,0), Skills!M15+1)</f>
        <v/>
      </c>
      <c r="F2290">
        <f>IF(Skills!N15=TRUE,(Skills!L15/10)*(E2290/1000),Skills!L15/10)+Skills!O15</f>
        <v/>
      </c>
      <c r="G2290">
        <f>Skills!G15*IF(Skills!H15&gt;0,Skills!I15/Skills!H15,1)</f>
        <v/>
      </c>
      <c r="H2290">
        <f>1-(1-Skills!J15/100)^Skills!K15</f>
        <v/>
      </c>
      <c r="I2290" t="inlineStr">
        <is>
          <t>1</t>
        </is>
      </c>
      <c r="J2290" t="inlineStr"/>
      <c r="K2290" t="inlineStr"/>
      <c r="L2290" t="inlineStr"/>
      <c r="M2290" t="inlineStr"/>
      <c r="N2290" t="inlineStr"/>
      <c r="O2290">
        <f>(1-Summary!$B$11)*T2290+Summary!$B$11*V2290</f>
        <v/>
      </c>
      <c r="P2290">
        <f>IF(B2310=0,0,O2290/B2310)</f>
        <v/>
      </c>
      <c r="Q2290" t="n">
        <v>0</v>
      </c>
      <c r="R2290" t="n">
        <v>0</v>
      </c>
      <c r="S2290">
        <f>IFERROR(O2290/N2290,0)</f>
        <v/>
      </c>
      <c r="T2290" t="n">
        <v>0</v>
      </c>
      <c r="V2290" t="n">
        <v>0</v>
      </c>
    </row>
    <row r="2291">
      <c r="A2291">
        <f>Skills!A16</f>
        <v/>
      </c>
      <c r="B2291">
        <f>Skills!B16</f>
        <v/>
      </c>
      <c r="C2291">
        <f>Inputs!$B$3&gt;=15</f>
        <v/>
      </c>
      <c r="D2291">
        <f>IF(Skills!C16=1,60+Inputs!$B$25+Inputs!$B$29,IF(Skills!C16=2,90+Inputs!$B$26+Inputs!$B$29,IF(Skills!C16=3,120+Inputs!$B$27+Inputs!$B$29,MAX(0,(Inputs!$B$3-100)*3)+Inputs!$B$28+Inputs!$B$29)))</f>
        <v/>
      </c>
      <c r="E2291">
        <f>INDEX(FactorTable!$B$2:$Y$301, MATCH(ROUND(MIN(300,MAX(1,D2291)),0), FactorTable!$A$2:$A$301,0), Skills!M16+1)</f>
        <v/>
      </c>
      <c r="F2291">
        <f>IF(Skills!N16=TRUE,(Skills!L16/10)*(E2291/1000),Skills!L16/10)+Skills!O16</f>
        <v/>
      </c>
      <c r="G2291">
        <f>Skills!G16*IF(Skills!H16&gt;0,Skills!I16/Skills!H16,1)</f>
        <v/>
      </c>
      <c r="H2291">
        <f>1-(1-Skills!J16/100)^Skills!K16</f>
        <v/>
      </c>
      <c r="I2291" t="inlineStr">
        <is>
          <t>1</t>
        </is>
      </c>
      <c r="J2291" t="inlineStr"/>
      <c r="K2291" t="inlineStr"/>
      <c r="L2291" t="inlineStr"/>
      <c r="M2291" t="inlineStr"/>
      <c r="N2291" t="inlineStr"/>
      <c r="O2291">
        <f>(1-Summary!$B$11)*T2291+Summary!$B$11*V2291</f>
        <v/>
      </c>
      <c r="P2291">
        <f>IF(B2310=0,0,O2291/B2310)</f>
        <v/>
      </c>
      <c r="Q2291" t="n">
        <v>0</v>
      </c>
      <c r="R2291" t="n">
        <v>0</v>
      </c>
      <c r="S2291">
        <f>IFERROR(O2291/N2291,0)</f>
        <v/>
      </c>
      <c r="T2291" t="n">
        <v>0</v>
      </c>
      <c r="V2291" t="n">
        <v>0</v>
      </c>
    </row>
    <row r="2292">
      <c r="A2292">
        <f>Skills!A17</f>
        <v/>
      </c>
      <c r="B2292">
        <f>Skills!B17</f>
        <v/>
      </c>
      <c r="C2292">
        <f>Inputs!$B$3&gt;=10</f>
        <v/>
      </c>
      <c r="D2292">
        <f>IF(Skills!C17=1,60+Inputs!$B$25+Inputs!$B$29,IF(Skills!C17=2,90+Inputs!$B$26+Inputs!$B$29,IF(Skills!C17=3,120+Inputs!$B$27+Inputs!$B$29,MAX(0,(Inputs!$B$3-100)*3)+Inputs!$B$28+Inputs!$B$29)))</f>
        <v/>
      </c>
      <c r="E2292">
        <f>INDEX(FactorTable!$B$2:$Y$301, MATCH(ROUND(MIN(300,MAX(1,D2292)),0), FactorTable!$A$2:$A$301,0), Skills!M17+1)</f>
        <v/>
      </c>
      <c r="F2292">
        <f>IF(Skills!N17=TRUE,(Skills!L17/10)*(E2292/1000),Skills!L17/10)+Skills!O17</f>
        <v/>
      </c>
      <c r="G2292">
        <f>Skills!G17*IF(Skills!H17&gt;0,Skills!I17/Skills!H17,1)</f>
        <v/>
      </c>
      <c r="H2292">
        <f>1-(1-Skills!J17/100)^Skills!K17</f>
        <v/>
      </c>
      <c r="I2292" t="inlineStr">
        <is>
          <t>1</t>
        </is>
      </c>
      <c r="J2292" t="inlineStr"/>
      <c r="K2292" t="inlineStr"/>
      <c r="L2292" t="inlineStr"/>
      <c r="M2292" t="inlineStr"/>
      <c r="N2292" t="inlineStr"/>
      <c r="O2292">
        <f>(1-Summary!$B$11)*T2292+Summary!$B$11*V2292</f>
        <v/>
      </c>
      <c r="P2292">
        <f>IF(B2310=0,0,O2292/B2310)</f>
        <v/>
      </c>
      <c r="Q2292" t="n">
        <v>0</v>
      </c>
      <c r="R2292" t="n">
        <v>0</v>
      </c>
      <c r="S2292">
        <f>IFERROR(O2292/N2292,0)</f>
        <v/>
      </c>
      <c r="T2292" t="n">
        <v>0</v>
      </c>
      <c r="V2292" t="n">
        <v>0</v>
      </c>
    </row>
    <row r="2293">
      <c r="A2293">
        <f>Skills!A18</f>
        <v/>
      </c>
      <c r="B2293">
        <f>Skills!B18</f>
        <v/>
      </c>
      <c r="C2293">
        <f>Inputs!$B$3&gt;=33</f>
        <v/>
      </c>
      <c r="D2293">
        <f>IF(Skills!C18=1,60+Inputs!$B$25+Inputs!$B$29,IF(Skills!C18=2,90+Inputs!$B$26+Inputs!$B$29,IF(Skills!C18=3,120+Inputs!$B$27+Inputs!$B$29,MAX(0,(Inputs!$B$3-100)*3)+Inputs!$B$28+Inputs!$B$29)))</f>
        <v/>
      </c>
      <c r="E2293">
        <f>INDEX(FactorTable!$B$2:$Y$301, MATCH(ROUND(MIN(300,MAX(1,D2293)),0), FactorTable!$A$2:$A$301,0), Skills!M18+1)</f>
        <v/>
      </c>
      <c r="F2293">
        <f>IF(Skills!N18=TRUE,(Skills!L18/10)*(E2293/1000),Skills!L18/10)+Skills!O18</f>
        <v/>
      </c>
      <c r="G2293">
        <f>Skills!G18*IF(Skills!H18&gt;0,Skills!I18/Skills!H18,1)</f>
        <v/>
      </c>
      <c r="H2293">
        <f>1-(1-Skills!J18/100)^Skills!K18</f>
        <v/>
      </c>
      <c r="I2293" t="inlineStr">
        <is>
          <t>1</t>
        </is>
      </c>
      <c r="J2293" t="inlineStr"/>
      <c r="K2293" t="inlineStr"/>
      <c r="L2293" t="inlineStr"/>
      <c r="M2293" t="inlineStr"/>
      <c r="N2293" t="inlineStr"/>
      <c r="O2293">
        <f>(1-Summary!$B$11)*T2293+Summary!$B$11*V2293</f>
        <v/>
      </c>
      <c r="P2293">
        <f>IF(B2310=0,0,O2293/B2310)</f>
        <v/>
      </c>
      <c r="Q2293" t="n">
        <v>0</v>
      </c>
      <c r="R2293" t="n">
        <v>0</v>
      </c>
      <c r="S2293">
        <f>IFERROR(O2293/N2293,0)</f>
        <v/>
      </c>
      <c r="T2293" t="n">
        <v>0</v>
      </c>
      <c r="V2293" t="n">
        <v>0</v>
      </c>
    </row>
    <row r="2294">
      <c r="A2294">
        <f>Skills!A19</f>
        <v/>
      </c>
      <c r="B2294">
        <f>Skills!B19</f>
        <v/>
      </c>
      <c r="C2294">
        <f>Inputs!$B$3&gt;=40</f>
        <v/>
      </c>
      <c r="D2294">
        <f>IF(Skills!C19=1,60+Inputs!$B$25+Inputs!$B$29,IF(Skills!C19=2,90+Inputs!$B$26+Inputs!$B$29,IF(Skills!C19=3,120+Inputs!$B$27+Inputs!$B$29,MAX(0,(Inputs!$B$3-100)*3)+Inputs!$B$28+Inputs!$B$29)))</f>
        <v/>
      </c>
      <c r="E2294">
        <f>INDEX(FactorTable!$B$2:$Y$301, MATCH(ROUND(MIN(300,MAX(1,D2294)),0), FactorTable!$A$2:$A$301,0), Skills!M19+1)</f>
        <v/>
      </c>
      <c r="F2294">
        <f>IF(Skills!N19=TRUE,(Skills!L19/10)*(E2294/1000),Skills!L19/10)+Skills!O19</f>
        <v/>
      </c>
      <c r="G2294">
        <f>Skills!G19*IF(Skills!H19&gt;0,Skills!I19/Skills!H19,1)</f>
        <v/>
      </c>
      <c r="H2294">
        <f>1-(1-Skills!J19/100)^Skills!K19</f>
        <v/>
      </c>
      <c r="I2294" t="inlineStr">
        <is>
          <t>1</t>
        </is>
      </c>
      <c r="J2294" t="inlineStr"/>
      <c r="K2294" t="inlineStr"/>
      <c r="L2294" t="inlineStr"/>
      <c r="M2294" t="inlineStr"/>
      <c r="N2294" t="inlineStr"/>
      <c r="O2294">
        <f>(1-Summary!$B$11)*T2294+Summary!$B$11*V2294</f>
        <v/>
      </c>
      <c r="P2294">
        <f>IF(B2310=0,0,O2294/B2310)</f>
        <v/>
      </c>
      <c r="Q2294" t="n">
        <v>0</v>
      </c>
      <c r="R2294" t="n">
        <v>0</v>
      </c>
      <c r="S2294">
        <f>IFERROR(O2294/N2294,0)</f>
        <v/>
      </c>
      <c r="T2294" t="n">
        <v>0</v>
      </c>
      <c r="V2294" t="n">
        <v>0</v>
      </c>
    </row>
    <row r="2295">
      <c r="A2295">
        <f>Skills!A20</f>
        <v/>
      </c>
      <c r="B2295">
        <f>Skills!B20</f>
        <v/>
      </c>
      <c r="C2295">
        <f>Inputs!$B$3&gt;=43</f>
        <v/>
      </c>
      <c r="D2295">
        <f>IF(Skills!C20=1,60+Inputs!$B$25+Inputs!$B$29,IF(Skills!C20=2,90+Inputs!$B$26+Inputs!$B$29,IF(Skills!C20=3,120+Inputs!$B$27+Inputs!$B$29,MAX(0,(Inputs!$B$3-100)*3)+Inputs!$B$28+Inputs!$B$29)))</f>
        <v/>
      </c>
      <c r="E2295">
        <f>INDEX(FactorTable!$B$2:$Y$301, MATCH(ROUND(MIN(300,MAX(1,D2295)),0), FactorTable!$A$2:$A$301,0), Skills!M20+1)</f>
        <v/>
      </c>
      <c r="F2295">
        <f>IF(Skills!N20=TRUE,(Skills!L20/10)*(E2295/1000),Skills!L20/10)+Skills!O20</f>
        <v/>
      </c>
      <c r="G2295">
        <f>Skills!G20*IF(Skills!H20&gt;0,Skills!I20/Skills!H20,1)</f>
        <v/>
      </c>
      <c r="H2295">
        <f>1-(1-Skills!J20/100)^Skills!K20</f>
        <v/>
      </c>
      <c r="I2295" t="inlineStr">
        <is>
          <t>1</t>
        </is>
      </c>
      <c r="J2295" t="inlineStr"/>
      <c r="K2295" t="inlineStr"/>
      <c r="L2295" t="inlineStr"/>
      <c r="M2295" t="inlineStr"/>
      <c r="N2295" t="inlineStr"/>
      <c r="O2295">
        <f>(1-Summary!$B$11)*T2295+Summary!$B$11*V2295</f>
        <v/>
      </c>
      <c r="P2295">
        <f>IF(B2310=0,0,O2295/B2310)</f>
        <v/>
      </c>
      <c r="Q2295" t="n">
        <v>0</v>
      </c>
      <c r="R2295" t="n">
        <v>0</v>
      </c>
      <c r="S2295">
        <f>IFERROR(O2295/N2295,0)</f>
        <v/>
      </c>
      <c r="T2295" t="n">
        <v>0</v>
      </c>
      <c r="V2295" t="n">
        <v>0</v>
      </c>
    </row>
    <row r="2296">
      <c r="A2296">
        <f>Skills!A21</f>
        <v/>
      </c>
      <c r="B2296">
        <f>Skills!B21</f>
        <v/>
      </c>
      <c r="C2296">
        <f>Inputs!$B$3&gt;=38</f>
        <v/>
      </c>
      <c r="D2296">
        <f>IF(Skills!C21=1,60+Inputs!$B$25+Inputs!$B$29,IF(Skills!C21=2,90+Inputs!$B$26+Inputs!$B$29,IF(Skills!C21=3,120+Inputs!$B$27+Inputs!$B$29,MAX(0,(Inputs!$B$3-100)*3)+Inputs!$B$28+Inputs!$B$29)))</f>
        <v/>
      </c>
      <c r="E2296">
        <f>INDEX(FactorTable!$B$2:$Y$301, MATCH(ROUND(MIN(300,MAX(1,D2296)),0), FactorTable!$A$2:$A$301,0), Skills!M21+1)</f>
        <v/>
      </c>
      <c r="F2296">
        <f>IF(Skills!N21=TRUE,(Skills!L21/10)*(E2296/1000),Skills!L21/10)+Skills!O21</f>
        <v/>
      </c>
      <c r="G2296">
        <f>Skills!G21*IF(Skills!H21&gt;0,Skills!I21/Skills!H21,1)</f>
        <v/>
      </c>
      <c r="H2296">
        <f>1-(1-Skills!J21/100)^Skills!K21</f>
        <v/>
      </c>
      <c r="I2296" t="inlineStr">
        <is>
          <t>1</t>
        </is>
      </c>
      <c r="J2296" t="inlineStr"/>
      <c r="K2296" t="inlineStr"/>
      <c r="L2296" t="inlineStr"/>
      <c r="M2296" t="inlineStr"/>
      <c r="N2296" t="inlineStr"/>
      <c r="O2296">
        <f>(1-Summary!$B$11)*T2296+Summary!$B$11*V2296</f>
        <v/>
      </c>
      <c r="P2296">
        <f>IF(B2310=0,0,O2296/B2310)</f>
        <v/>
      </c>
      <c r="Q2296" t="n">
        <v>0</v>
      </c>
      <c r="R2296" t="n">
        <v>0</v>
      </c>
      <c r="S2296">
        <f>IFERROR(O2296/N2296,0)</f>
        <v/>
      </c>
      <c r="T2296" t="n">
        <v>0</v>
      </c>
      <c r="V2296" t="n">
        <v>0</v>
      </c>
    </row>
    <row r="2297">
      <c r="A2297">
        <f>Skills!A22</f>
        <v/>
      </c>
      <c r="B2297">
        <f>Skills!B22</f>
        <v/>
      </c>
      <c r="C2297">
        <f>Inputs!$B$3&gt;=75</f>
        <v/>
      </c>
      <c r="D2297">
        <f>IF(Skills!C22=1,60+Inputs!$B$25+Inputs!$B$29,IF(Skills!C22=2,90+Inputs!$B$26+Inputs!$B$29,IF(Skills!C22=3,120+Inputs!$B$27+Inputs!$B$29,MAX(0,(Inputs!$B$3-100)*3)+Inputs!$B$28+Inputs!$B$29)))</f>
        <v/>
      </c>
      <c r="E2297">
        <f>INDEX(FactorTable!$B$2:$Y$301, MATCH(ROUND(MIN(300,MAX(1,D2297)),0), FactorTable!$A$2:$A$301,0), Skills!M22+1)</f>
        <v/>
      </c>
      <c r="F2297">
        <f>IF(Skills!N22=TRUE,(Skills!L22/10)*(E2297/1000),Skills!L22/10)+Skills!O22</f>
        <v/>
      </c>
      <c r="G2297">
        <f>Skills!G22*IF(Skills!H22&gt;0,Skills!I22/Skills!H22,1)</f>
        <v/>
      </c>
      <c r="H2297">
        <f>1-(1-Skills!J22/100)^Skills!K22</f>
        <v/>
      </c>
      <c r="I2297" t="inlineStr">
        <is>
          <t>1</t>
        </is>
      </c>
      <c r="J2297" t="inlineStr"/>
      <c r="K2297" t="inlineStr"/>
      <c r="L2297" t="inlineStr"/>
      <c r="M2297" t="inlineStr"/>
      <c r="N2297" t="inlineStr"/>
      <c r="O2297">
        <f>(1-Summary!$B$11)*T2297+Summary!$B$11*V2297</f>
        <v/>
      </c>
      <c r="P2297">
        <f>IF(B2310=0,0,O2297/B2310)</f>
        <v/>
      </c>
      <c r="Q2297" t="n">
        <v>0</v>
      </c>
      <c r="R2297" t="n">
        <v>0</v>
      </c>
      <c r="S2297">
        <f>IFERROR(O2297/N2297,0)</f>
        <v/>
      </c>
      <c r="T2297" t="n">
        <v>0</v>
      </c>
      <c r="V2297" t="n">
        <v>0</v>
      </c>
    </row>
    <row r="2299">
      <c r="A2299" t="inlineStr">
        <is>
          <t>Attack% Bucket Multiplier</t>
        </is>
      </c>
      <c r="B2299">
        <f>(1+(((C2288=TRUE)*F2288)+((C2294=TRUE)*(F2294-Calc!F19))+(IF(ArtifactsInput!$M$21,CHOOSE(ArtifactsInput!$N$21+1,25,30,35,40,45,50)*(IF(OR(Inputs!$B$4="Chapter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0">
      <c r="A2300" t="inlineStr">
        <is>
          <t>Global Crit Rate Bonus %</t>
        </is>
      </c>
      <c r="B2300" t="n">
        <v>0</v>
      </c>
    </row>
    <row r="2301">
      <c r="A2301" t="inlineStr">
        <is>
          <t>Attack Speed Buff Bonus % (unused)</t>
        </is>
      </c>
      <c r="B2301" t="n">
        <v>0</v>
      </c>
    </row>
    <row r="2302">
      <c r="A2302" t="inlineStr">
        <is>
          <t>Actions Per Second</t>
        </is>
      </c>
      <c r="B2302">
        <f>1+MIN(150,150*(1-(1-(Inputs!$B$11+((C2292=TRUE)*(F2292-Calc!F17))+((C2293=TRUE)*(F2293-Calc!F18)))/150)*(1-B2301/150)))/100</f>
        <v/>
      </c>
    </row>
    <row r="2303">
      <c r="A2303" t="inlineStr">
        <is>
          <t>Skill + Buff Cast Rate</t>
        </is>
      </c>
      <c r="B2303">
        <f>IF(AND(Inputs!$B$38&lt;&gt;"pvp",Inputs!$B$43&gt;0),SUMPRODUCT((Skills!E2:E22=TRUE)*(C2277:C2297=TRUE)*R2277:R2297*Skills!F2:F22)/Inputs!$B$43,SUMPRODUCT((Skills!E2:E22=TRUE)*(C2277:C2297=TRUE)*Q2277:Q2297*Skills!F2:F22))</f>
        <v/>
      </c>
    </row>
    <row r="2304">
      <c r="A2304" t="inlineStr">
        <is>
          <t>Hook Bomber Casts Per Second</t>
        </is>
      </c>
      <c r="B2304">
        <f>MAX(0,B2302-B2303)</f>
        <v/>
      </c>
    </row>
    <row r="2305">
      <c r="A2305" t="inlineStr">
        <is>
          <t>Global Critical Damage Bonus % (unused)</t>
        </is>
      </c>
      <c r="B2305" t="n">
        <v>0</v>
      </c>
    </row>
    <row r="2306">
      <c r="A2306" t="inlineStr">
        <is>
          <t>Global Final Damage Bonus % (Serpent Scale + Crossbones + Time Leap + Speed Infusion)</t>
        </is>
      </c>
      <c r="B2306">
        <f>((C2280=TRUE)*F2280*((10+IF(Inputs!$B$3&gt;=94,5,0))/((10+IF(Inputs!$B$3&gt;=94,5,0))+5/(B2304*(1+IF(Inputs!$B$3&gt;=104,1,0))))))+((C2289=TRUE)*F2289)+((C2290=TRUE)*F2290)+((Inputs!$B$3&gt;=110)*20*(B2302-1))</f>
        <v/>
      </c>
    </row>
    <row r="2307">
      <c r="A2307" t="inlineStr">
        <is>
          <t>Buff-Casting Startup Delay (s, fixed-duration only)</t>
        </is>
      </c>
      <c r="B2307">
        <f>IF(AND(Inputs!$B$38&lt;&gt;"pvp",Inputs!$B$43&gt;0),SUMPRODUCT((Skills!T2:T22&gt;0)*(Skills!E2:E22=TRUE)*(C2277:C2297=TRUE))/B2302,0)</f>
        <v/>
      </c>
    </row>
    <row r="2308">
      <c r="A2308" t="inlineStr">
        <is>
          <t>Boss-Only Total DPS (this block's swept value)</t>
        </is>
      </c>
      <c r="B2308">
        <f>SUM(T2277:T2297)</f>
        <v/>
      </c>
    </row>
    <row r="2309">
      <c r="A2309" t="inlineStr">
        <is>
          <t>Normal-Only Total DPS (this block's swept value)</t>
        </is>
      </c>
      <c r="B2309">
        <f>SUM(V2277:V2297)</f>
        <v/>
      </c>
    </row>
    <row r="2310">
      <c r="A2310" s="6" t="inlineStr">
        <is>
          <t>TOTAL DPS</t>
        </is>
      </c>
      <c r="B2310" s="6">
        <f>SUM(O2277:O2297)</f>
        <v/>
      </c>
    </row>
    <row r="2313">
      <c r="A2313" s="6" t="inlineStr">
        <is>
          <t>Stat: Reindeer's Spear (Equip)</t>
        </is>
      </c>
    </row>
    <row r="2314">
      <c r="A2314" s="5" t="inlineStr">
        <is>
          <t>Key</t>
        </is>
      </c>
      <c r="B2314" s="5" t="inlineStr">
        <is>
          <t>Name</t>
        </is>
      </c>
      <c r="C2314" s="5" t="inlineStr">
        <is>
          <t>Unlocked</t>
        </is>
      </c>
      <c r="D2314" s="5" t="inlineStr">
        <is>
          <t>InputLevel</t>
        </is>
      </c>
      <c r="E2314" s="5" t="inlineStr">
        <is>
          <t>Factor</t>
        </is>
      </c>
      <c r="F2314" s="5" t="inlineStr">
        <is>
          <t>CoefficientPercent</t>
        </is>
      </c>
      <c r="G2314" s="5" t="inlineStr">
        <is>
          <t>EffectiveHits</t>
        </is>
      </c>
      <c r="H2314" s="5" t="inlineStr">
        <is>
          <t>ProcProbability</t>
        </is>
      </c>
      <c r="I2314" s="5" t="inlineStr">
        <is>
          <t>MapleHeroMultiplier</t>
        </is>
      </c>
      <c r="J2314" s="5" t="inlineStr">
        <is>
          <t>BaseDamage</t>
        </is>
      </c>
      <c r="K2314" s="5" t="inlineStr">
        <is>
          <t>BaseHitDamage</t>
        </is>
      </c>
      <c r="L2314" s="5" t="inlineStr">
        <is>
          <t>NonCritAvg</t>
        </is>
      </c>
      <c r="M2314" s="5" t="inlineStr">
        <is>
          <t>CritAvg</t>
        </is>
      </c>
      <c r="N2314" s="5" t="inlineStr">
        <is>
          <t>ExpectedDamage(perHit)</t>
        </is>
      </c>
      <c r="O2314" s="5" t="inlineStr">
        <is>
          <t>DPS</t>
        </is>
      </c>
      <c r="P2314" s="5" t="inlineStr">
        <is>
          <t>% of Total</t>
        </is>
      </c>
      <c r="Q2314" s="5" t="inlineStr">
        <is>
          <t>InvCooldown</t>
        </is>
      </c>
      <c r="R2314" s="5" t="inlineStr">
        <is>
          <t>CastsInFight</t>
        </is>
      </c>
      <c r="S2314" s="5" t="inlineStr">
        <is>
          <t>HitRate(perSec)</t>
        </is>
      </c>
      <c r="U2314" t="inlineStr">
        <is>
          <t>helpers</t>
        </is>
      </c>
    </row>
    <row r="2315">
      <c r="A2315">
        <f>Skills!A2</f>
        <v/>
      </c>
      <c r="B2315">
        <f>Skills!B2</f>
        <v/>
      </c>
      <c r="C2315">
        <f>Inputs!$B$3&gt;=100</f>
        <v/>
      </c>
      <c r="D2315" t="inlineStr"/>
      <c r="E2315" t="inlineStr"/>
      <c r="F2315">
        <f>U2317+Skills!O2</f>
        <v/>
      </c>
      <c r="G2315">
        <f>Skills!G2*IF(Skills!H2&gt;0,Skills!I2/Skills!H2,1)</f>
        <v/>
      </c>
      <c r="H2315">
        <f>1-(1-Skills!J2/100)^Skills!K2</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20)),(Inputs!$B$23+0+(IF(ArtifactsInput!$M$15,CHOOSE(ArtifactsInput!$N$15+1,25,30,35,40,45,50)/100*(Inputs!$B$11-Inputs!$B$11),0))))/100+(Inputs!$B$23+0+(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t="n">
        <v>0</v>
      </c>
      <c r="R2315" t="n">
        <v>0</v>
      </c>
      <c r="S2315">
        <f>IFERROR(O2315/N2315,0)</f>
        <v/>
      </c>
      <c r="T2315">
        <f>IF(C2315,(Skills!G2*N2315*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MAX(0,(Inputs!$B$3-100)*3)+Inputs!$B$28+Inputs!$B$29</f>
        <v/>
      </c>
      <c r="V2315">
        <f>IF(C2315,(Skills!G2*N2315*B2342)*IF(Inputs!$B$38="pvp",1,(1+(Inputs!$B$21+Skills!Q2+(IF(ArtifactsInput!$M$33,CHOOSE(ArtifactsInput!$N$33+1,30,36,42,48,54,60),0))+(IF(AND(ArtifactsInput!$M$35,Inputs!$B$4&lt;&gt;"Chapter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Skills!A3</f>
        <v/>
      </c>
      <c r="B2316">
        <f>Skills!B3</f>
        <v/>
      </c>
      <c r="C2316">
        <f>Inputs!$B$3&gt;=35</f>
        <v/>
      </c>
      <c r="D2316">
        <f>IF(Skills!C3=1,60+Inputs!$B$25+Inputs!$B$29,IF(Skills!C3=2,90+Inputs!$B$26+Inputs!$B$29,IF(Skills!C3=3,120+Inputs!$B$27+Inputs!$B$29,MAX(0,(Inputs!$B$3-100)*3)+Inputs!$B$28+Inputs!$B$29)))</f>
        <v/>
      </c>
      <c r="E2316">
        <f>INDEX(FactorTable!$B$2:$Y$301, MATCH(ROUND(MIN(300,MAX(1,D2316)),0), FactorTable!$A$2:$A$301,0), Skills!M3+1)</f>
        <v/>
      </c>
      <c r="F2316">
        <f>IF(Skills!N3=TRUE,(Skills!L3/10)*(E2316/1000),Skills!L3/10)+Skills!O3</f>
        <v/>
      </c>
      <c r="G2316">
        <f>Skills!G3*IF(Skills!H3&gt;0,Skills!I3/Skills!H3,1)</f>
        <v/>
      </c>
      <c r="H2316">
        <f>1-(1-Skills!J3/100)^Skills!K3</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20)),(Inputs!$B$23+0+(IF(ArtifactsInput!$M$15,CHOOSE(ArtifactsInput!$N$15+1,25,30,35,40,45,50)/100*(Inputs!$B$11-Inputs!$B$11),0))))/100+(Inputs!$B$23+0+(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t="n">
        <v>0</v>
      </c>
      <c r="R2316" t="n">
        <v>0</v>
      </c>
      <c r="S2316">
        <f>IFERROR(O2316/N2316,0)</f>
        <v/>
      </c>
      <c r="T2316">
        <f>IF(C2316,(Skills!G3*H2316*N2316*B2342)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INDEX(FactorTable!$B$2:$Y$301, MATCH(ROUND(MIN(300,MAX(1,U2315)),0), FactorTable!$A$2:$A$301,0), 22)</f>
        <v/>
      </c>
      <c r="V2316">
        <f>IF(C2316,(Skills!G3*H2316*N2316*B2342)*IF(Inputs!$B$38="pvp",1,(1+(Inputs!$B$21+Skills!Q3+(IF(ArtifactsInput!$M$33,CHOOSE(ArtifactsInput!$N$33+1,30,36,42,48,54,60),0))+(IF(AND(ArtifactsInput!$M$35,Inputs!$B$4&lt;&gt;"Chapter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Skills!A4</f>
        <v/>
      </c>
      <c r="B2317">
        <f>Skills!B4</f>
        <v/>
      </c>
      <c r="C2317">
        <f>Inputs!$B$3&gt;=60</f>
        <v/>
      </c>
      <c r="D2317">
        <f>IF(Skills!C4=1,60+Inputs!$B$25+Inputs!$B$29,IF(Skills!C4=2,90+Inputs!$B$26+Inputs!$B$29,IF(Skills!C4=3,120+Inputs!$B$27+Inputs!$B$29,MAX(0,(Inputs!$B$3-100)*3)+Inputs!$B$28+Inputs!$B$29)))</f>
        <v/>
      </c>
      <c r="E2317">
        <f>INDEX(FactorTable!$B$2:$Y$301, MATCH(ROUND(MIN(300,MAX(1,D2317)),0), FactorTable!$A$2:$A$301,0), Skills!M4+1)</f>
        <v/>
      </c>
      <c r="F2317">
        <f>IF(Skills!N4=TRUE,(Skills!L4/10)*(E2317/1000),Skills!L4/10)+Skills!O4</f>
        <v/>
      </c>
      <c r="G2317">
        <f>Skills!G4*IF(Skills!H4&gt;0,Skills!I4/Skills!H4,1)</f>
        <v/>
      </c>
      <c r="H2317">
        <f>1-(1-Skills!J4/100)^Skills!K4</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2325=TRUE,F2325,0)/100)*(1+(IF(Skills!A4="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20)),(Inputs!$B$23+0+(IF(ArtifactsInput!$M$15,CHOOSE(ArtifactsInput!$N$15+1,25,30,35,40,45,50)/100*(Inputs!$B$11-Inputs!$B$11),0))))/100+(Inputs!$B$23+0+(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t="n">
        <v>0</v>
      </c>
      <c r="R2317" t="n">
        <v>0</v>
      </c>
      <c r="S2317">
        <f>IFERROR(O2317/N2317,0)</f>
        <v/>
      </c>
      <c r="T2317">
        <f>IF(C2317,(Skills!G4*H2317*N2317*B2342)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290*U2316/1000</f>
        <v/>
      </c>
      <c r="V2317">
        <f>IF(C2317,(Skills!G4*H2317*N2317*B2342)*IF(Inputs!$B$38="pvp",1,(1+(Inputs!$B$21+Skills!Q4+(IF(ArtifactsInput!$M$33,CHOOSE(ArtifactsInput!$N$33+1,30,36,42,48,54,60),0))+(IF(AND(ArtifactsInput!$M$35,Inputs!$B$4&lt;&gt;"Chapter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Skills!A5</f>
        <v/>
      </c>
      <c r="B2318">
        <f>Skills!B5</f>
        <v/>
      </c>
      <c r="C2318">
        <f>Inputs!$B$3&gt;=60</f>
        <v/>
      </c>
      <c r="D2318">
        <f>IF(Skills!C5=1,60+Inputs!$B$25+Inputs!$B$29,IF(Skills!C5=2,90+Inputs!$B$26+Inputs!$B$29,IF(Skills!C5=3,120+Inputs!$B$27+Inputs!$B$29,MAX(0,(Inputs!$B$3-100)*3)+Inputs!$B$28+Inputs!$B$29)))</f>
        <v/>
      </c>
      <c r="E2318">
        <f>INDEX(FactorTable!$B$2:$Y$301, MATCH(ROUND(MIN(300,MAX(1,D2318)),0), FactorTable!$A$2:$A$301,0), Skills!M5+1)</f>
        <v/>
      </c>
      <c r="F2318">
        <f>IF(Skills!N5=TRUE,(Skills!L5/10)*(E2318/1000),Skills!L5/10)+Skills!O5</f>
        <v/>
      </c>
      <c r="G2318">
        <f>Skills!G5*IF(Skills!H5&gt;0,Skills!I5/Skills!H5,1)</f>
        <v/>
      </c>
      <c r="H2318">
        <f>1-(1-Skills!J5/100)^Skills!K5</f>
        <v/>
      </c>
      <c r="I2318" t="inlineStr">
        <is>
          <t>1</t>
        </is>
      </c>
      <c r="J2318" t="inlineStr"/>
      <c r="K2318" t="inlineStr"/>
      <c r="L2318" t="inlineStr"/>
      <c r="M2318" t="inlineStr"/>
      <c r="N2318" t="inlineStr"/>
      <c r="O2318">
        <f>(1-Summary!$B$11)*T2318+Summary!$B$11*V2318</f>
        <v/>
      </c>
      <c r="P2318">
        <f>IF(B2348=0,0,O2318/B2348)</f>
        <v/>
      </c>
      <c r="Q2318" t="n">
        <v>0</v>
      </c>
      <c r="R2318" t="n">
        <v>0</v>
      </c>
      <c r="S2318">
        <f>IFERROR(O2318/N2318,0)</f>
        <v/>
      </c>
      <c r="T2318" t="n">
        <v>0</v>
      </c>
      <c r="V2318" t="n">
        <v>0</v>
      </c>
    </row>
    <row r="2319">
      <c r="A2319">
        <f>Skills!A6</f>
        <v/>
      </c>
      <c r="B2319">
        <f>Skills!B6</f>
        <v/>
      </c>
      <c r="C2319">
        <f>Inputs!$B$3&gt;=63</f>
        <v/>
      </c>
      <c r="D2319">
        <f>IF(Skills!C6=1,60+Inputs!$B$25+Inputs!$B$29,IF(Skills!C6=2,90+Inputs!$B$26+Inputs!$B$29,IF(Skills!C6=3,120+Inputs!$B$27+Inputs!$B$29,MAX(0,(Inputs!$B$3-100)*3)+Inputs!$B$28+Inputs!$B$29)))</f>
        <v/>
      </c>
      <c r="E2319">
        <f>INDEX(FactorTable!$B$2:$Y$301, MATCH(ROUND(MIN(300,MAX(1,D2319)),0), FactorTable!$A$2:$A$301,0), Skills!M6+1)</f>
        <v/>
      </c>
      <c r="F2319">
        <f>IF(Skills!N6=TRUE,(Skills!L6/10)*(E2319/1000),Skills!L6/10)+Skills!O6</f>
        <v/>
      </c>
      <c r="G2319">
        <f>Skills!G6*IF(Skills!H6&gt;0,Skills!I6/Skills!H6,1)</f>
        <v/>
      </c>
      <c r="H2319">
        <f>1-(1-Skills!J6/100)^Skills!K6</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20)),(Inputs!$B$23+0+(IF(ArtifactsInput!$M$15,CHOOSE(ArtifactsInput!$N$15+1,25,30,35,40,45,50)/100*(Inputs!$B$11-Inputs!$B$11),0))))/100+(Inputs!$B$23+0+(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IFERROR(1/(IF(Inputs!$B$38="pvp",15,MAX(0.1,Skills!D6-IF(Skills!E6=TRUE,Inputs!$B$32,0)))*(1-IF(AND(ArtifactsInput!$M$27,Inputs!$B$4="Chapter Hunt"),CHOOSE(ArtifactsInput!$N$27+1,20,24,28,32,36,40),0)/100)),0)</f>
        <v/>
      </c>
      <c r="R2319">
        <f>IF(AND(Inputs!$B$38&lt;&gt;"pvp",Inputs!$B$43&gt;0),IF(MAX(0,Inputs!$B$43-B2345)&lt;=0,0,(INT(MAX(0,Inputs!$B$43-B2345)/(IF(Inputs!$B$38="pvp",15,MAX(0.1,Skills!D6-IF(Skills!E6=TRUE,Inputs!$B$32,0)))*(1-IF(AND(ArtifactsInput!$M$27,Inputs!$B$4="Chapter Hunt"),CHOOSE(ArtifactsInput!$N$27+1,20,24,28,32,36,40),0)/100)))+1)),0)</f>
        <v/>
      </c>
      <c r="S2319">
        <f>IFERROR(O2319/N2319,0)</f>
        <v/>
      </c>
      <c r="T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Skills!A7</f>
        <v/>
      </c>
      <c r="B2320">
        <f>Skills!B7</f>
        <v/>
      </c>
      <c r="C2320">
        <f>Inputs!$B$3&gt;=100</f>
        <v/>
      </c>
      <c r="D2320">
        <f>IF(Skills!C7=1,60+Inputs!$B$25+Inputs!$B$29,IF(Skills!C7=2,90+Inputs!$B$26+Inputs!$B$29,IF(Skills!C7=3,120+Inputs!$B$27+Inputs!$B$29,MAX(0,(Inputs!$B$3-100)*3)+Inputs!$B$28+Inputs!$B$29)))</f>
        <v/>
      </c>
      <c r="E2320">
        <f>INDEX(FactorTable!$B$2:$Y$301, MATCH(ROUND(MIN(300,MAX(1,D2320)),0), FactorTable!$A$2:$A$301,0), Skills!M7+1)</f>
        <v/>
      </c>
      <c r="F2320">
        <f>IF(Skills!N7=TRUE,(Skills!L7/10)*(E2320/1000),Skills!L7/10)+Skills!O7</f>
        <v/>
      </c>
      <c r="G2320">
        <f>Skills!G7*IF(Skills!H7&gt;0,Skills!I7/Skills!H7,1)</f>
        <v/>
      </c>
      <c r="H2320">
        <f>1-(1-Skills!J7/100)^Skills!K7</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20)),(Inputs!$B$23+0+(IF(ArtifactsInput!$M$15,CHOOSE(ArtifactsInput!$N$15+1,25,30,35,40,45,50)/100*(Inputs!$B$11-Inputs!$B$11),0))))/100+(Inputs!$B$23+0+(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IFERROR(1/(IF(Inputs!$B$38="pvp",15,MAX(0.1,Skills!D7-IF(Skills!E7=TRUE,Inputs!$B$32,0)))*(1-IF(AND(ArtifactsInput!$M$27,Inputs!$B$4="Chapter Hunt"),CHOOSE(ArtifactsInput!$N$27+1,20,24,28,32,36,40),0)/100)),0)</f>
        <v/>
      </c>
      <c r="R2320">
        <f>IF(AND(Inputs!$B$38&lt;&gt;"pvp",Inputs!$B$43&gt;0),IF(MAX(0,Inputs!$B$43-B2345)&lt;=0,0,(INT(MAX(0,Inputs!$B$43-B2345)/(IF(Inputs!$B$38="pvp",15,MAX(0.1,Skills!D7-IF(Skills!E7=TRUE,Inputs!$B$32,0)))*(1-IF(AND(ArtifactsInput!$M$27,Inputs!$B$4="Chapter Hunt"),CHOOSE(ArtifactsInput!$N$27+1,20,24,28,32,36,40),0)/100)))+1)),0)</f>
        <v/>
      </c>
      <c r="S2320">
        <f>IFERROR(O2320/N2320,0)</f>
        <v/>
      </c>
      <c r="T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Skills!A8</f>
        <v/>
      </c>
      <c r="B2321">
        <f>Skills!B8</f>
        <v/>
      </c>
      <c r="C2321">
        <f>Inputs!$B$3&gt;=110</f>
        <v/>
      </c>
      <c r="D2321">
        <f>IF(Skills!C8=1,60+Inputs!$B$25+Inputs!$B$29,IF(Skills!C8=2,90+Inputs!$B$26+Inputs!$B$29,IF(Skills!C8=3,120+Inputs!$B$27+Inputs!$B$29,MAX(0,(Inputs!$B$3-100)*3)+Inputs!$B$28+Inputs!$B$29)))</f>
        <v/>
      </c>
      <c r="E2321">
        <f>INDEX(FactorTable!$B$2:$Y$301, MATCH(ROUND(MIN(300,MAX(1,D2321)),0), FactorTable!$A$2:$A$301,0), Skills!M8+1)</f>
        <v/>
      </c>
      <c r="F2321">
        <f>IF(Skills!N8=TRUE,(Skills!L8/10)*(E2321/1000),Skills!L8/10)+Skills!O8</f>
        <v/>
      </c>
      <c r="G2321">
        <f>Skills!G8*IF(Skills!H8&gt;0,Skills!I8/Skills!H8,1)</f>
        <v/>
      </c>
      <c r="H2321">
        <f>1-(1-Skills!J8/100)^Skills!K8</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20)),(Inputs!$B$23+0+(IF(ArtifactsInput!$M$15,CHOOSE(ArtifactsInput!$N$15+1,25,30,35,40,45,50)/100*(Inputs!$B$11-Inputs!$B$11),0))))/100+(Inputs!$B$23+0+(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IFERROR(1/(IF(Inputs!$B$38="pvp",15,MAX(0.1,Skills!D8-IF(Skills!E8=TRUE,Inputs!$B$32,0)))*(1-IF(AND(ArtifactsInput!$M$27,Inputs!$B$4="Chapter Hunt"),CHOOSE(ArtifactsInput!$N$27+1,20,24,28,32,36,40),0)/100)),0)</f>
        <v/>
      </c>
      <c r="R2321">
        <f>IF(AND(Inputs!$B$38&lt;&gt;"pvp",Inputs!$B$43&gt;0),IF(MAX(0,Inputs!$B$43-B2345)&lt;=0,0,(INT(MAX(0,Inputs!$B$43-B2345)/(IF(Inputs!$B$38="pvp",15,MAX(0.1,Skills!D8-IF(Skills!E8=TRUE,Inputs!$B$32,0)))*(1-IF(AND(ArtifactsInput!$M$27,Inputs!$B$4="Chapter Hunt"),CHOOSE(ArtifactsInput!$N$27+1,20,24,28,32,36,40),0)/100)))+1)),0)</f>
        <v/>
      </c>
      <c r="S2321">
        <f>IFERROR(O2321/N2321,0)</f>
        <v/>
      </c>
      <c r="T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Skills!A9</f>
        <v/>
      </c>
      <c r="B2322">
        <f>Skills!B9</f>
        <v/>
      </c>
      <c r="C2322">
        <f>Inputs!$B$3&gt;=110</f>
        <v/>
      </c>
      <c r="D2322">
        <f>IF(Skills!C9=1,60+Inputs!$B$25+Inputs!$B$29,IF(Skills!C9=2,90+Inputs!$B$26+Inputs!$B$29,IF(Skills!C9=3,120+Inputs!$B$27+Inputs!$B$29,MAX(0,(Inputs!$B$3-100)*3)+Inputs!$B$28+Inputs!$B$29)))</f>
        <v/>
      </c>
      <c r="E2322">
        <f>INDEX(FactorTable!$B$2:$Y$301, MATCH(ROUND(MIN(300,MAX(1,D2322)),0), FactorTable!$A$2:$A$301,0), Skills!M9+1)</f>
        <v/>
      </c>
      <c r="F2322">
        <f>IF(Skills!N9=TRUE,(Skills!L9/10)*(E2322/1000),Skills!L9/10)+Skills!O9</f>
        <v/>
      </c>
      <c r="G2322">
        <f>Skills!G9*IF(Skills!H9&gt;0,Skills!I9/Skills!H9,1)</f>
        <v/>
      </c>
      <c r="H2322">
        <f>1-(1-Skills!J9/100)^Skills!K9</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20)),(Inputs!$B$23+0+(IF(ArtifactsInput!$M$15,CHOOSE(ArtifactsInput!$N$15+1,25,30,35,40,45,50)/100*(Inputs!$B$11-Inputs!$B$11),0))))/100+(Inputs!$B$23+0+(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IFERROR(1/(IF(Inputs!$B$38="pvp",15,MAX(0.1,Skills!D9-IF(Skills!E9=TRUE,Inputs!$B$32,0)))*(1-IF(AND(ArtifactsInput!$M$27,Inputs!$B$4="Chapter Hunt"),CHOOSE(ArtifactsInput!$N$27+1,20,24,28,32,36,40),0)/100)),0)</f>
        <v/>
      </c>
      <c r="R2322">
        <f>IF(AND(Inputs!$B$38&lt;&gt;"pvp",Inputs!$B$43&gt;0),IF(MAX(0,Inputs!$B$43-B2345)&lt;=0,0,(INT(MAX(0,Inputs!$B$43-B2345)/(IF(Inputs!$B$38="pvp",15,MAX(0.1,Skills!D9-IF(Skills!E9=TRUE,Inputs!$B$32,0)))*(1-IF(AND(ArtifactsInput!$M$27,Inputs!$B$4="Chapter Hunt"),CHOOSE(ArtifactsInput!$N$27+1,20,24,28,32,36,40),0)/100)))+1)),0)</f>
        <v/>
      </c>
      <c r="S2322">
        <f>IFERROR(O2322/N2322,0)</f>
        <v/>
      </c>
      <c r="T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Skills!A10</f>
        <v/>
      </c>
      <c r="B2323">
        <f>Skills!B10</f>
        <v/>
      </c>
      <c r="C2323">
        <f>Inputs!$B$3&gt;=103</f>
        <v/>
      </c>
      <c r="D2323">
        <f>IF(Skills!C10=1,60+Inputs!$B$25+Inputs!$B$29,IF(Skills!C10=2,90+Inputs!$B$26+Inputs!$B$29,IF(Skills!C10=3,120+Inputs!$B$27+Inputs!$B$29,MAX(0,(Inputs!$B$3-100)*3)+Inputs!$B$28+Inputs!$B$29)))</f>
        <v/>
      </c>
      <c r="E2323">
        <f>INDEX(FactorTable!$B$2:$Y$301, MATCH(ROUND(MIN(300,MAX(1,D2323)),0), FactorTable!$A$2:$A$301,0), Skills!M10+1)</f>
        <v/>
      </c>
      <c r="F2323">
        <f>IF(Skills!N10=TRUE,(Skills!L10/10)*(E2323/1000),Skills!L10/10)+Skills!O10</f>
        <v/>
      </c>
      <c r="G2323">
        <f>Skills!G10*IF(Skills!H10&gt;0,Skills!I10/Skills!H10,1)</f>
        <v/>
      </c>
      <c r="H2323">
        <f>1-(1-Skills!J10/100)^Skills!K10</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2333=TRUE)*(F2333-Calc!F20)),(Inputs!$B$23+0+(IF(ArtifactsInput!$M$15,CHOOSE(ArtifactsInput!$N$15+1,25,30,35,40,45,50)/100*(Inputs!$B$11-Inputs!$B$11),0))))/100+(Inputs!$B$23+0+(IF(ArtifactsInput!$M$15,CHOOSE(ArtifactsInput!$N$15+1,25,30,35,40,45,50)/100*(Inputs!$B$11-Inputs!$B$11),0)))/100)/2</f>
        <v/>
      </c>
      <c r="M2323">
        <f>L2323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IF(B2348=0,0,O2323/B2348)</f>
        <v/>
      </c>
      <c r="Q2323">
        <f>IFERROR(1/(IF(Inputs!$B$38="pvp",15,MAX(0.1,Skills!D10-IF(Skills!E10=TRUE,Inputs!$B$32,0)))*(1-IF(AND(ArtifactsInput!$M$27,Inputs!$B$4="Chapter Hunt"),CHOOSE(ArtifactsInput!$N$27+1,20,24,28,32,36,40),0)/100)),0)</f>
        <v/>
      </c>
      <c r="R2323">
        <f>IF(AND(Inputs!$B$38&lt;&gt;"pvp",Inputs!$B$43&gt;0),IF(MAX(0,Inputs!$B$43-B2345)&lt;=0,0,(INT(MAX(0,Inputs!$B$43-B2345)/(IF(Inputs!$B$38="pvp",15,MAX(0.1,Skills!D10-IF(Skills!E10=TRUE,Inputs!$B$32,0)))*(1-IF(AND(ArtifactsInput!$M$27,Inputs!$B$4="Chapter Hunt"),CHOOSE(ArtifactsInput!$N$27+1,20,24,28,32,36,40),0)/100)))+1)),0)</f>
        <v/>
      </c>
      <c r="S2323">
        <f>IFERROR(O2323/N2323,0)</f>
        <v/>
      </c>
      <c r="T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Skills!A11</f>
        <v/>
      </c>
      <c r="B2324">
        <f>Skills!B11</f>
        <v/>
      </c>
      <c r="C2324">
        <f>Inputs!$B$3&gt;=113</f>
        <v/>
      </c>
      <c r="D2324">
        <f>IF(Skills!C11=1,60+Inputs!$B$25+Inputs!$B$29,IF(Skills!C11=2,90+Inputs!$B$26+Inputs!$B$29,IF(Skills!C11=3,120+Inputs!$B$27+Inputs!$B$29,MAX(0,(Inputs!$B$3-100)*3)+Inputs!$B$28+Inputs!$B$29)))</f>
        <v/>
      </c>
      <c r="E2324">
        <f>INDEX(FactorTable!$B$2:$Y$301, MATCH(ROUND(MIN(300,MAX(1,D2324)),0), FactorTable!$A$2:$A$301,0), Skills!M11+1)</f>
        <v/>
      </c>
      <c r="F2324">
        <f>IF(Skills!N11=TRUE,(Skills!L11/10)*(E2324/1000),Skills!L11/10)+Skills!O11</f>
        <v/>
      </c>
      <c r="G2324">
        <f>Skills!G11*IF(Skills!H11&gt;0,Skills!I11/Skills!H11,1)</f>
        <v/>
      </c>
      <c r="H2324">
        <f>1-(1-Skills!J11/100)^Skills!K11</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2333=TRUE)*(F2333-Calc!F20)),(Inputs!$B$23+0+(IF(ArtifactsInput!$M$15,CHOOSE(ArtifactsInput!$N$15+1,25,30,35,40,45,50)/100*(Inputs!$B$11-Inputs!$B$11),0))))/100+(Inputs!$B$23+0+(IF(ArtifactsInput!$M$15,CHOOSE(ArtifactsInput!$N$15+1,25,30,35,40,45,50)/100*(Inputs!$B$11-Inputs!$B$11),0)))/100)/2</f>
        <v/>
      </c>
      <c r="M2324">
        <f>L2324*(1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IF(B2348=0,0,O2324/B2348)</f>
        <v/>
      </c>
      <c r="Q2324">
        <f>IFERROR(1/(IF(Inputs!$B$38="pvp",15,MAX(0.1,Skills!D11-IF(Skills!E11=TRUE,Inputs!$B$32,0)))*(1-IF(AND(ArtifactsInput!$M$27,Inputs!$B$4="Chapter Hunt"),CHOOSE(ArtifactsInput!$N$27+1,20,24,28,32,36,40),0)/100)),0)</f>
        <v/>
      </c>
      <c r="R2324">
        <f>IF(AND(Inputs!$B$38&lt;&gt;"pvp",Inputs!$B$43&gt;0),IF(MAX(0,Inputs!$B$43-B2345)&lt;=0,0,(INT(MAX(0,Inputs!$B$43-B2345)/(IF(Inputs!$B$38="pvp",15,MAX(0.1,Skills!D11-IF(Skills!E11=TRUE,Inputs!$B$32,0)))*(1-IF(AND(ArtifactsInput!$M$27,Inputs!$B$4="Chapter Hunt"),CHOOSE(ArtifactsInput!$N$27+1,20,24,28,32,36,40),0)/100)))+1)),0)</f>
        <v/>
      </c>
      <c r="S2324">
        <f>IFERROR(O2324/N2324,0)</f>
        <v/>
      </c>
      <c r="T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Skills!A12</f>
        <v/>
      </c>
      <c r="B2325">
        <f>Skills!B12</f>
        <v/>
      </c>
      <c r="C2325">
        <f>Inputs!$B$3&gt;=100</f>
        <v/>
      </c>
      <c r="D2325">
        <f>IF(Skills!C12=1,60+Inputs!$B$25+Inputs!$B$29,IF(Skills!C12=2,90+Inputs!$B$26+Inputs!$B$29,IF(Skills!C12=3,120+Inputs!$B$27+Inputs!$B$29,MAX(0,(Inputs!$B$3-100)*3)+Inputs!$B$28+Inputs!$B$29)))</f>
        <v/>
      </c>
      <c r="E2325">
        <f>INDEX(FactorTable!$B$2:$Y$301, MATCH(ROUND(MIN(300,MAX(1,D2325)),0), FactorTable!$A$2:$A$301,0), Skills!M12+1)</f>
        <v/>
      </c>
      <c r="F2325">
        <f>IF(Skills!N12=TRUE,(Skills!L12/10)*(E2325/1000),Skills!L12/10)+Skills!O12</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V2325" t="inlineStr"/>
    </row>
    <row r="2326">
      <c r="A2326">
        <f>Skills!A13</f>
        <v/>
      </c>
      <c r="B2326">
        <f>Skills!B13</f>
        <v/>
      </c>
      <c r="C2326">
        <f>Inputs!$B$3&gt;=66</f>
        <v/>
      </c>
      <c r="D2326">
        <f>IF(Skills!C13=1,60+Inputs!$B$25+Inputs!$B$29,IF(Skills!C13=2,90+Inputs!$B$26+Inputs!$B$29,IF(Skills!C13=3,120+Inputs!$B$27+Inputs!$B$29,MAX(0,(Inputs!$B$3-100)*3)+Inputs!$B$28+Inputs!$B$29)))</f>
        <v/>
      </c>
      <c r="E2326">
        <f>INDEX(FactorTable!$B$2:$Y$301, MATCH(ROUND(MIN(300,MAX(1,D2326)),0), FactorTable!$A$2:$A$301,0), Skills!M13+1)</f>
        <v/>
      </c>
      <c r="F2326">
        <f>IF(Skills!N13=TRUE,(Skills!L13/10)*(E2326/1000),Skills!L13/10)+Skills!O13</f>
        <v/>
      </c>
      <c r="G2326">
        <f>Skills!G13*IF(Skills!H13&gt;0,Skills!I13/Skills!H13,1)</f>
        <v/>
      </c>
      <c r="H2326">
        <f>1-(1-Skills!J13/100)^Skills!K13</f>
        <v/>
      </c>
      <c r="I2326" t="inlineStr">
        <is>
          <t>1</t>
        </is>
      </c>
      <c r="J2326" t="inlineStr"/>
      <c r="K2326" t="inlineStr"/>
      <c r="L2326" t="inlineStr"/>
      <c r="M2326" t="inlineStr"/>
      <c r="N2326" t="inlineStr"/>
      <c r="O2326">
        <f>(1-Summary!$B$11)*T2326+Summary!$B$11*V2326</f>
        <v/>
      </c>
      <c r="P2326">
        <f>IF(B2348=0,0,O2326/B2348)</f>
        <v/>
      </c>
      <c r="Q2326" t="n">
        <v>0</v>
      </c>
      <c r="R2326" t="n">
        <v>0</v>
      </c>
      <c r="S2326">
        <f>IFERROR(O2326/N2326,0)</f>
        <v/>
      </c>
      <c r="T2326" t="n">
        <v>0</v>
      </c>
      <c r="V2326" t="n">
        <v>0</v>
      </c>
    </row>
    <row r="2327">
      <c r="A2327">
        <f>Skills!A14</f>
        <v/>
      </c>
      <c r="B2327">
        <f>Skills!B14</f>
        <v/>
      </c>
      <c r="C2327">
        <f>Inputs!$B$3&gt;=107</f>
        <v/>
      </c>
      <c r="D2327">
        <f>IF(Skills!C14=1,60+Inputs!$B$25+Inputs!$B$29,IF(Skills!C14=2,90+Inputs!$B$26+Inputs!$B$29,IF(Skills!C14=3,120+Inputs!$B$27+Inputs!$B$29,MAX(0,(Inputs!$B$3-100)*3)+Inputs!$B$28+Inputs!$B$29)))</f>
        <v/>
      </c>
      <c r="E2327">
        <f>INDEX(FactorTable!$B$2:$Y$301, MATCH(ROUND(MIN(300,MAX(1,D2327)),0), FactorTable!$A$2:$A$301,0), Skills!M14+1)</f>
        <v/>
      </c>
      <c r="F2327">
        <f>IF(Skills!N14=TRUE,(Skills!L14/10)*(E2327/1000),Skills!L14/10)+Skills!O14</f>
        <v/>
      </c>
      <c r="G2327">
        <f>Skills!G14*IF(Skills!H14&gt;0,Skills!I14/Skills!H14,1)</f>
        <v/>
      </c>
      <c r="H2327">
        <f>1-(1-Skills!J14/100)^Skills!K14</f>
        <v/>
      </c>
      <c r="I2327" t="inlineStr">
        <is>
          <t>1</t>
        </is>
      </c>
      <c r="J2327" t="inlineStr"/>
      <c r="K2327" t="inlineStr"/>
      <c r="L2327" t="inlineStr"/>
      <c r="M2327" t="inlineStr"/>
      <c r="N2327" t="inlineStr"/>
      <c r="O2327">
        <f>(1-Summary!$B$11)*T2327+Summary!$B$11*V2327</f>
        <v/>
      </c>
      <c r="P2327">
        <f>IF(B2348=0,0,O2327/B2348)</f>
        <v/>
      </c>
      <c r="Q2327" t="n">
        <v>0</v>
      </c>
      <c r="R2327" t="n">
        <v>0</v>
      </c>
      <c r="S2327">
        <f>IFERROR(O2327/N2327,0)</f>
        <v/>
      </c>
      <c r="T2327" t="n">
        <v>0</v>
      </c>
      <c r="V2327" t="n">
        <v>0</v>
      </c>
    </row>
    <row r="2328">
      <c r="A2328">
        <f>Skills!A15</f>
        <v/>
      </c>
      <c r="B2328">
        <f>Skills!B15</f>
        <v/>
      </c>
      <c r="C2328">
        <f>Inputs!$B$3&gt;=115</f>
        <v/>
      </c>
      <c r="D2328">
        <f>IF(Skills!C15=1,60+Inputs!$B$25+Inputs!$B$29,IF(Skills!C15=2,90+Inputs!$B$26+Inputs!$B$29,IF(Skills!C15=3,120+Inputs!$B$27+Inputs!$B$29,MAX(0,(Inputs!$B$3-100)*3)+Inputs!$B$28+Inputs!$B$29)))</f>
        <v/>
      </c>
      <c r="E2328">
        <f>INDEX(FactorTable!$B$2:$Y$301, MATCH(ROUND(MIN(300,MAX(1,D2328)),0), FactorTable!$A$2:$A$301,0), Skills!M15+1)</f>
        <v/>
      </c>
      <c r="F2328">
        <f>IF(Skills!N15=TRUE,(Skills!L15/10)*(E2328/1000),Skills!L15/10)+Skills!O15</f>
        <v/>
      </c>
      <c r="G2328">
        <f>Skills!G15*IF(Skills!H15&gt;0,Skills!I15/Skills!H15,1)</f>
        <v/>
      </c>
      <c r="H2328">
        <f>1-(1-Skills!J15/100)^Skills!K15</f>
        <v/>
      </c>
      <c r="I2328" t="inlineStr">
        <is>
          <t>1</t>
        </is>
      </c>
      <c r="J2328" t="inlineStr"/>
      <c r="K2328" t="inlineStr"/>
      <c r="L2328" t="inlineStr"/>
      <c r="M2328" t="inlineStr"/>
      <c r="N2328" t="inlineStr"/>
      <c r="O2328">
        <f>(1-Summary!$B$11)*T2328+Summary!$B$11*V2328</f>
        <v/>
      </c>
      <c r="P2328">
        <f>IF(B2348=0,0,O2328/B2348)</f>
        <v/>
      </c>
      <c r="Q2328" t="n">
        <v>0</v>
      </c>
      <c r="R2328" t="n">
        <v>0</v>
      </c>
      <c r="S2328">
        <f>IFERROR(O2328/N2328,0)</f>
        <v/>
      </c>
      <c r="T2328" t="n">
        <v>0</v>
      </c>
      <c r="V2328" t="n">
        <v>0</v>
      </c>
    </row>
    <row r="2329">
      <c r="A2329">
        <f>Skills!A16</f>
        <v/>
      </c>
      <c r="B2329">
        <f>Skills!B16</f>
        <v/>
      </c>
      <c r="C2329">
        <f>Inputs!$B$3&gt;=15</f>
        <v/>
      </c>
      <c r="D2329">
        <f>IF(Skills!C16=1,60+Inputs!$B$25+Inputs!$B$29,IF(Skills!C16=2,90+Inputs!$B$26+Inputs!$B$29,IF(Skills!C16=3,120+Inputs!$B$27+Inputs!$B$29,MAX(0,(Inputs!$B$3-100)*3)+Inputs!$B$28+Inputs!$B$29)))</f>
        <v/>
      </c>
      <c r="E2329">
        <f>INDEX(FactorTable!$B$2:$Y$301, MATCH(ROUND(MIN(300,MAX(1,D2329)),0), FactorTable!$A$2:$A$301,0), Skills!M16+1)</f>
        <v/>
      </c>
      <c r="F2329">
        <f>IF(Skills!N16=TRUE,(Skills!L16/10)*(E2329/1000),Skills!L16/10)+Skills!O16</f>
        <v/>
      </c>
      <c r="G2329">
        <f>Skills!G16*IF(Skills!H16&gt;0,Skills!I16/Skills!H16,1)</f>
        <v/>
      </c>
      <c r="H2329">
        <f>1-(1-Skills!J16/100)^Skills!K16</f>
        <v/>
      </c>
      <c r="I2329" t="inlineStr">
        <is>
          <t>1</t>
        </is>
      </c>
      <c r="J2329" t="inlineStr"/>
      <c r="K2329" t="inlineStr"/>
      <c r="L2329" t="inlineStr"/>
      <c r="M2329" t="inlineStr"/>
      <c r="N2329" t="inlineStr"/>
      <c r="O2329">
        <f>(1-Summary!$B$11)*T2329+Summary!$B$11*V2329</f>
        <v/>
      </c>
      <c r="P2329">
        <f>IF(B2348=0,0,O2329/B2348)</f>
        <v/>
      </c>
      <c r="Q2329" t="n">
        <v>0</v>
      </c>
      <c r="R2329" t="n">
        <v>0</v>
      </c>
      <c r="S2329">
        <f>IFERROR(O2329/N2329,0)</f>
        <v/>
      </c>
      <c r="T2329" t="n">
        <v>0</v>
      </c>
      <c r="V2329" t="n">
        <v>0</v>
      </c>
    </row>
    <row r="2330">
      <c r="A2330">
        <f>Skills!A17</f>
        <v/>
      </c>
      <c r="B2330">
        <f>Skills!B17</f>
        <v/>
      </c>
      <c r="C2330">
        <f>Inputs!$B$3&gt;=10</f>
        <v/>
      </c>
      <c r="D2330">
        <f>IF(Skills!C17=1,60+Inputs!$B$25+Inputs!$B$29,IF(Skills!C17=2,90+Inputs!$B$26+Inputs!$B$29,IF(Skills!C17=3,120+Inputs!$B$27+Inputs!$B$29,MAX(0,(Inputs!$B$3-100)*3)+Inputs!$B$28+Inputs!$B$29)))</f>
        <v/>
      </c>
      <c r="E2330">
        <f>INDEX(FactorTable!$B$2:$Y$301, MATCH(ROUND(MIN(300,MAX(1,D2330)),0), FactorTable!$A$2:$A$301,0), Skills!M17+1)</f>
        <v/>
      </c>
      <c r="F2330">
        <f>IF(Skills!N17=TRUE,(Skills!L17/10)*(E2330/1000),Skills!L17/10)+Skills!O17</f>
        <v/>
      </c>
      <c r="G2330">
        <f>Skills!G17*IF(Skills!H17&gt;0,Skills!I17/Skills!H17,1)</f>
        <v/>
      </c>
      <c r="H2330">
        <f>1-(1-Skills!J17/100)^Skills!K17</f>
        <v/>
      </c>
      <c r="I2330" t="inlineStr">
        <is>
          <t>1</t>
        </is>
      </c>
      <c r="J2330" t="inlineStr"/>
      <c r="K2330" t="inlineStr"/>
      <c r="L2330" t="inlineStr"/>
      <c r="M2330" t="inlineStr"/>
      <c r="N2330" t="inlineStr"/>
      <c r="O2330">
        <f>(1-Summary!$B$11)*T2330+Summary!$B$11*V2330</f>
        <v/>
      </c>
      <c r="P2330">
        <f>IF(B2348=0,0,O2330/B2348)</f>
        <v/>
      </c>
      <c r="Q2330" t="n">
        <v>0</v>
      </c>
      <c r="R2330" t="n">
        <v>0</v>
      </c>
      <c r="S2330">
        <f>IFERROR(O2330/N2330,0)</f>
        <v/>
      </c>
      <c r="T2330" t="n">
        <v>0</v>
      </c>
      <c r="V2330" t="n">
        <v>0</v>
      </c>
    </row>
    <row r="2331">
      <c r="A2331">
        <f>Skills!A18</f>
        <v/>
      </c>
      <c r="B2331">
        <f>Skills!B18</f>
        <v/>
      </c>
      <c r="C2331">
        <f>Inputs!$B$3&gt;=33</f>
        <v/>
      </c>
      <c r="D2331">
        <f>IF(Skills!C18=1,60+Inputs!$B$25+Inputs!$B$29,IF(Skills!C18=2,90+Inputs!$B$26+Inputs!$B$29,IF(Skills!C18=3,120+Inputs!$B$27+Inputs!$B$29,MAX(0,(Inputs!$B$3-100)*3)+Inputs!$B$28+Inputs!$B$29)))</f>
        <v/>
      </c>
      <c r="E2331">
        <f>INDEX(FactorTable!$B$2:$Y$301, MATCH(ROUND(MIN(300,MAX(1,D2331)),0), FactorTable!$A$2:$A$301,0), Skills!M18+1)</f>
        <v/>
      </c>
      <c r="F2331">
        <f>IF(Skills!N18=TRUE,(Skills!L18/10)*(E2331/1000),Skills!L18/10)+Skills!O18</f>
        <v/>
      </c>
      <c r="G2331">
        <f>Skills!G18*IF(Skills!H18&gt;0,Skills!I18/Skills!H18,1)</f>
        <v/>
      </c>
      <c r="H2331">
        <f>1-(1-Skills!J18/100)^Skills!K18</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Skills!A19</f>
        <v/>
      </c>
      <c r="B2332">
        <f>Skills!B19</f>
        <v/>
      </c>
      <c r="C2332">
        <f>Inputs!$B$3&gt;=40</f>
        <v/>
      </c>
      <c r="D2332">
        <f>IF(Skills!C19=1,60+Inputs!$B$25+Inputs!$B$29,IF(Skills!C19=2,90+Inputs!$B$26+Inputs!$B$29,IF(Skills!C19=3,120+Inputs!$B$27+Inputs!$B$29,MAX(0,(Inputs!$B$3-100)*3)+Inputs!$B$28+Inputs!$B$29)))</f>
        <v/>
      </c>
      <c r="E2332">
        <f>INDEX(FactorTable!$B$2:$Y$301, MATCH(ROUND(MIN(300,MAX(1,D2332)),0), FactorTable!$A$2:$A$301,0), Skills!M19+1)</f>
        <v/>
      </c>
      <c r="F2332">
        <f>IF(Skills!N19=TRUE,(Skills!L19/10)*(E2332/1000),Skills!L19/10)+Skills!O19</f>
        <v/>
      </c>
      <c r="G2332">
        <f>Skills!G19*IF(Skills!H19&gt;0,Skills!I19/Skills!H19,1)</f>
        <v/>
      </c>
      <c r="H2332">
        <f>1-(1-Skills!J19/100)^Skills!K19</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Skills!A20</f>
        <v/>
      </c>
      <c r="B2333">
        <f>Skills!B20</f>
        <v/>
      </c>
      <c r="C2333">
        <f>Inputs!$B$3&gt;=43</f>
        <v/>
      </c>
      <c r="D2333">
        <f>IF(Skills!C20=1,60+Inputs!$B$25+Inputs!$B$29,IF(Skills!C20=2,90+Inputs!$B$26+Inputs!$B$29,IF(Skills!C20=3,120+Inputs!$B$27+Inputs!$B$29,MAX(0,(Inputs!$B$3-100)*3)+Inputs!$B$28+Inputs!$B$29)))</f>
        <v/>
      </c>
      <c r="E2333">
        <f>INDEX(FactorTable!$B$2:$Y$301, MATCH(ROUND(MIN(300,MAX(1,D2333)),0), FactorTable!$A$2:$A$301,0), Skills!M20+1)</f>
        <v/>
      </c>
      <c r="F2333">
        <f>IF(Skills!N20=TRUE,(Skills!L20/10)*(E2333/1000),Skills!L20/10)+Skills!O20</f>
        <v/>
      </c>
      <c r="G2333">
        <f>Skills!G20*IF(Skills!H20&gt;0,Skills!I20/Skills!H20,1)</f>
        <v/>
      </c>
      <c r="H2333">
        <f>1-(1-Skills!J20/100)^Skills!K20</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Skills!A21</f>
        <v/>
      </c>
      <c r="B2334">
        <f>Skills!B21</f>
        <v/>
      </c>
      <c r="C2334">
        <f>Inputs!$B$3&gt;=38</f>
        <v/>
      </c>
      <c r="D2334">
        <f>IF(Skills!C21=1,60+Inputs!$B$25+Inputs!$B$29,IF(Skills!C21=2,90+Inputs!$B$26+Inputs!$B$29,IF(Skills!C21=3,120+Inputs!$B$27+Inputs!$B$29,MAX(0,(Inputs!$B$3-100)*3)+Inputs!$B$28+Inputs!$B$29)))</f>
        <v/>
      </c>
      <c r="E2334">
        <f>INDEX(FactorTable!$B$2:$Y$301, MATCH(ROUND(MIN(300,MAX(1,D2334)),0), FactorTable!$A$2:$A$301,0), Skills!M21+1)</f>
        <v/>
      </c>
      <c r="F2334">
        <f>IF(Skills!N21=TRUE,(Skills!L21/10)*(E2334/1000),Skills!L21/10)+Skills!O21</f>
        <v/>
      </c>
      <c r="G2334">
        <f>Skills!G21*IF(Skills!H21&gt;0,Skills!I21/Skills!H21,1)</f>
        <v/>
      </c>
      <c r="H2334">
        <f>1-(1-Skills!J21/100)^Skills!K21</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Skills!A22</f>
        <v/>
      </c>
      <c r="B2335">
        <f>Skills!B22</f>
        <v/>
      </c>
      <c r="C2335">
        <f>Inputs!$B$3&gt;=75</f>
        <v/>
      </c>
      <c r="D2335">
        <f>IF(Skills!C22=1,60+Inputs!$B$25+Inputs!$B$29,IF(Skills!C22=2,90+Inputs!$B$26+Inputs!$B$29,IF(Skills!C22=3,120+Inputs!$B$27+Inputs!$B$29,MAX(0,(Inputs!$B$3-100)*3)+Inputs!$B$28+Inputs!$B$29)))</f>
        <v/>
      </c>
      <c r="E2335">
        <f>INDEX(FactorTable!$B$2:$Y$301, MATCH(ROUND(MIN(300,MAX(1,D2335)),0), FactorTable!$A$2:$A$301,0), Skills!M22+1)</f>
        <v/>
      </c>
      <c r="F2335">
        <f>IF(Skills!N22=TRUE,(Skills!L22/10)*(E2335/1000),Skills!L22/10)+Skills!O22</f>
        <v/>
      </c>
      <c r="G2335">
        <f>Skills!G22*IF(Skills!H22&gt;0,Skills!I22/Skills!H22,1)</f>
        <v/>
      </c>
      <c r="H2335">
        <f>1-(1-Skills!J22/100)^Skills!K22</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 (unused)</t>
        </is>
      </c>
      <c r="B2339" t="n">
        <v>0</v>
      </c>
    </row>
    <row r="2340">
      <c r="A2340" t="inlineStr">
        <is>
          <t>Actions Per Second</t>
        </is>
      </c>
      <c r="B2340">
        <f>1+MIN(150,150*(1-(1-(Inputs!$B$11+((C2330=TRUE)*(F2330-Calc!F17))+((C2331=TRUE)*(F2331-Calc!F18)))/150)*(1-B2339/150)))/100</f>
        <v/>
      </c>
    </row>
    <row r="2341">
      <c r="A2341" t="inlineStr">
        <is>
          <t>Skill + Buff Cast Rate</t>
        </is>
      </c>
      <c r="B2341">
        <f>IF(AND(Inputs!$B$38&lt;&gt;"pvp",Inputs!$B$43&gt;0),SUMPRODUCT((Skills!E2:E22=TRUE)*(C2315:C2335=TRUE)*R2315:R2335*Skills!F2:F22)/Inputs!$B$43,SUMPRODUCT((Skills!E2:E22=TRUE)*(C2315:C2335=TRUE)*Q2315:Q2335*Skills!F2:F22))</f>
        <v/>
      </c>
    </row>
    <row r="2342">
      <c r="A2342" t="inlineStr">
        <is>
          <t>Hook Bomber Casts Per Second</t>
        </is>
      </c>
      <c r="B2342">
        <f>MAX(0,B2340-B2341)</f>
        <v/>
      </c>
    </row>
    <row r="2343">
      <c r="A2343" t="inlineStr">
        <is>
          <t>Global Critical Damage Bonus % (unused)</t>
        </is>
      </c>
      <c r="B2343" t="n">
        <v>0</v>
      </c>
    </row>
    <row r="2344">
      <c r="A2344" t="inlineStr">
        <is>
          <t>Global Final Damage Bonus % (Serpent Scale + Crossbones + Time Leap + Speed Infusion)</t>
        </is>
      </c>
      <c r="B2344">
        <f>((C2318=TRUE)*F2318*((10+IF(Inputs!$B$3&gt;=94,5,0))/((10+IF(Inputs!$B$3&gt;=94,5,0))+5/(B2342*(1+IF(Inputs!$B$3&gt;=104,1,0))))))+((C2327=TRUE)*F2327)+((C2328=TRUE)*F2328)+((Inputs!$B$3&gt;=110)*20*(B2340-1))</f>
        <v/>
      </c>
    </row>
    <row r="2345">
      <c r="A2345" t="inlineStr">
        <is>
          <t>Buff-Casting Startup Delay (s, fixed-duration only)</t>
        </is>
      </c>
      <c r="B2345">
        <f>IF(AND(Inputs!$B$38&lt;&gt;"pvp",Inputs!$B$43&gt;0),SUMPRODUCT((Skills!T2:T22&gt;0)*(Skills!E2:E22=TRUE)*(C2315:C2335=TRUE))/B2340,0)</f>
        <v/>
      </c>
    </row>
    <row r="2346">
      <c r="A2346" t="inlineStr">
        <is>
          <t>Boss-Only Total DPS (this block's swept value)</t>
        </is>
      </c>
      <c r="B2346">
        <f>SUM(T2315:T2335)</f>
        <v/>
      </c>
    </row>
    <row r="2347">
      <c r="A2347" t="inlineStr">
        <is>
          <t>Normal-Only Total DPS (this block's swept value)</t>
        </is>
      </c>
      <c r="B2347">
        <f>SUM(V2315:V2335)</f>
        <v/>
      </c>
    </row>
    <row r="2348">
      <c r="A2348" s="6" t="inlineStr">
        <is>
          <t>TOTAL DPS</t>
        </is>
      </c>
      <c r="B2348" s="6">
        <f>SUM(O2315:O2335)</f>
        <v/>
      </c>
    </row>
    <row r="2351">
      <c r="A2351" s="6" t="inlineStr">
        <is>
          <t>Stat: Secret Map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2371=TRUE)*(F2371-Calc!F20)),(Inputs!$B$23+0+(IF(ArtifactsInput!$M$15,CHOOSE(ArtifactsInput!$N$15+1,25,30,35,40,45,50)/100*(Inputs!$B$11-Inputs!$B$11),0))))/100+(Inputs!$B$23+0+(IF(ArtifactsInput!$M$15,CHOOSE(ArtifactsInput!$N$15+1,25,30,35,40,45,50)/100*(Inputs!$B$11-Inputs!$B$11),0)))/100)/2</f>
        <v/>
      </c>
      <c r="M2353">
        <f>L2353*(1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IF(B2386=0,0,O2353/B2386)</f>
        <v/>
      </c>
      <c r="Q2353" t="n">
        <v>0</v>
      </c>
      <c r="R2353" t="n">
        <v>0</v>
      </c>
      <c r="S2353">
        <f>IFERROR(O2353/N2353,0)</f>
        <v/>
      </c>
      <c r="T2353">
        <f>IF(C2353,(Skills!G2*N2353*B2380)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IF(C2353,(Skills!G2*N2353*B2380)*IF(Inputs!$B$38="pvp",1,(1+(Inputs!$B$21+Skills!Q2+(IF(ArtifactsInput!$M$33,CHOOSE(ArtifactsInput!$N$33+1,30,36,42,48,54,60),0))+(IF(AND(ArtifactsInput!$M$35,Inputs!$B$4&lt;&gt;"Chapter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Inputs!$B$3&gt;=35</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f>Skills!G3*IF(Skills!H3&gt;0,Skills!I3/Skills!H3,1)</f>
        <v/>
      </c>
      <c r="H2354">
        <f>1-(1-Skills!J3/100)^Skills!K3</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2371=TRUE)*(F2371-Calc!F20)),(Inputs!$B$23+0+(IF(ArtifactsInput!$M$15,CHOOSE(ArtifactsInput!$N$15+1,25,30,35,40,45,50)/100*(Inputs!$B$11-Inputs!$B$11),0))))/100+(Inputs!$B$23+0+(IF(ArtifactsInput!$M$15,CHOOSE(ArtifactsInput!$N$15+1,25,30,35,40,45,50)/100*(Inputs!$B$11-Inputs!$B$11),0)))/100)/2</f>
        <v/>
      </c>
      <c r="M2354">
        <f>L2354*(1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IF(B2386=0,0,O2354/B2386)</f>
        <v/>
      </c>
      <c r="Q2354" t="n">
        <v>0</v>
      </c>
      <c r="R2354" t="n">
        <v>0</v>
      </c>
      <c r="S2354">
        <f>IFERROR(O2354/N2354,0)</f>
        <v/>
      </c>
      <c r="T2354">
        <f>IF(C2354,(Skills!G3*H2354*N2354*B2380)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INDEX(FactorTable!$B$2:$Y$301, MATCH(ROUND(MIN(300,MAX(1,U2353)),0), FactorTable!$A$2:$A$301,0), 22)</f>
        <v/>
      </c>
      <c r="V2354">
        <f>IF(C2354,(Skills!G3*H2354*N2354*B2380)*IF(Inputs!$B$38="pvp",1,(1+(Inputs!$B$21+Skills!Q3+(IF(ArtifactsInput!$M$33,CHOOSE(ArtifactsInput!$N$33+1,30,36,42,48,54,60),0))+(IF(AND(ArtifactsInput!$M$35,Inputs!$B$4&lt;&gt;"Chapter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Skills!A4</f>
        <v/>
      </c>
      <c r="B2355">
        <f>Skills!B4</f>
        <v/>
      </c>
      <c r="C2355">
        <f>Inputs!$B$3&gt;=60</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4="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2371=TRUE)*(F2371-Calc!F20)),(Inputs!$B$23+0+(IF(ArtifactsInput!$M$15,CHOOSE(ArtifactsInput!$N$15+1,25,30,35,40,45,50)/100*(Inputs!$B$11-Inputs!$B$11),0))))/100+(Inputs!$B$23+0+(IF(ArtifactsInput!$M$15,CHOOSE(ArtifactsInput!$N$15+1,25,30,35,40,45,50)/100*(Inputs!$B$11-Inputs!$B$11),0)))/100)/2</f>
        <v/>
      </c>
      <c r="M2355">
        <f>L2355*(1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IF(B2386=0,0,O2355/B2386)</f>
        <v/>
      </c>
      <c r="Q2355" t="n">
        <v>0</v>
      </c>
      <c r="R2355" t="n">
        <v>0</v>
      </c>
      <c r="S2355">
        <f>IFERROR(O2355/N2355,0)</f>
        <v/>
      </c>
      <c r="T2355">
        <f>IF(C2355,(Skills!G4*H2355*N2355*B2380)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IF(C2355,(Skills!G4*H2355*N2355*B2380)*IF(Inputs!$B$38="pvp",1,(1+(Inputs!$B$21+Skills!Q4+(IF(ArtifactsInput!$M$33,CHOOSE(ArtifactsInput!$N$33+1,30,36,42,48,54,60),0))+(IF(AND(ArtifactsInput!$M$35,Inputs!$B$4&lt;&gt;"Chapter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Inputs!$B$3&gt;=60</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t="inlineStr"/>
      <c r="K2356" t="inlineStr"/>
      <c r="L2356" t="inlineStr"/>
      <c r="M2356" t="inlineStr"/>
      <c r="N2356" t="inlineStr"/>
      <c r="O2356">
        <f>(1-Summary!$B$11)*T2356+Summary!$B$11*V2356</f>
        <v/>
      </c>
      <c r="P2356">
        <f>IF(B2386=0,0,O2356/B2386)</f>
        <v/>
      </c>
      <c r="Q2356" t="n">
        <v>0</v>
      </c>
      <c r="R2356" t="n">
        <v>0</v>
      </c>
      <c r="S2356">
        <f>IFERROR(O2356/N2356,0)</f>
        <v/>
      </c>
      <c r="T2356" t="n">
        <v>0</v>
      </c>
      <c r="V2356" t="n">
        <v>0</v>
      </c>
    </row>
    <row r="2357">
      <c r="A2357">
        <f>Skills!A6</f>
        <v/>
      </c>
      <c r="B2357">
        <f>Skills!B6</f>
        <v/>
      </c>
      <c r="C2357">
        <f>Inputs!$B$3&gt;=63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2371=TRUE)*(F2371-Calc!F20)),(Inputs!$B$23+0+(IF(ArtifactsInput!$M$15,CHOOSE(ArtifactsInput!$N$15+1,25,30,35,40,45,50)/100*(Inputs!$B$11-Inputs!$B$11),0))))/100+(Inputs!$B$23+0+(IF(ArtifactsInput!$M$15,CHOOSE(ArtifactsInput!$N$15+1,25,30,35,40,45,50)/100*(Inputs!$B$11-Inputs!$B$11),0)))/100)/2</f>
        <v/>
      </c>
      <c r="M2357">
        <f>L2357*(1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IF(B2386=0,0,O2357/B2386)</f>
        <v/>
      </c>
      <c r="Q2357">
        <f>IFERROR(1/(IF(Inputs!$B$38="pvp",15,MAX(0.1,Skills!D6-IF(Skills!E6=TRUE,Inputs!$B$32,0)))*(1-IF(AND(ArtifactsInput!$M$27,Inputs!$B$4="Chapter Hunt"),CHOOSE(ArtifactsInput!$N$27+1,20,24,28,32,36,40),0)/100)),0)</f>
        <v/>
      </c>
      <c r="R2357">
        <f>IF(AND(Inputs!$B$38&lt;&gt;"pvp",Inputs!$B$43&gt;0),IF(MAX(0,Inputs!$B$43-B2383)&lt;=0,0,(INT(MAX(0,Inputs!$B$43-B2383)/(IF(Inputs!$B$38="pvp",15,MAX(0.1,Skills!D6-IF(Skills!E6=TRUE,Inputs!$B$32,0)))*(1-IF(AND(ArtifactsInput!$M$27,Inputs!$B$4="Chapter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Inputs!$B$3&gt;=100</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2371=TRUE)*(F2371-Calc!F20)),(Inputs!$B$23+0+(IF(ArtifactsInput!$M$15,CHOOSE(ArtifactsInput!$N$15+1,25,30,35,40,45,50)/100*(Inputs!$B$11-Inputs!$B$11),0))))/100+(Inputs!$B$23+0+(IF(ArtifactsInput!$M$15,CHOOSE(ArtifactsInput!$N$15+1,25,30,35,40,45,50)/100*(Inputs!$B$11-Inputs!$B$11),0)))/100)/2</f>
        <v/>
      </c>
      <c r="M2358">
        <f>L2358*(1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IF(B2386=0,0,O2358/B2386)</f>
        <v/>
      </c>
      <c r="Q2358">
        <f>IFERROR(1/(IF(Inputs!$B$38="pvp",15,MAX(0.1,Skills!D7-IF(Skills!E7=TRUE,Inputs!$B$32,0)))*(1-IF(AND(ArtifactsInput!$M$27,Inputs!$B$4="Chapter Hunt"),CHOOSE(ArtifactsInput!$N$27+1,20,24,28,32,36,40),0)/100)),0)</f>
        <v/>
      </c>
      <c r="R2358">
        <f>IF(AND(Inputs!$B$38&lt;&gt;"pvp",Inputs!$B$43&gt;0),IF(MAX(0,Inputs!$B$43-B2383)&lt;=0,0,(INT(MAX(0,Inputs!$B$43-B2383)/(IF(Inputs!$B$38="pvp",15,MAX(0.1,Skills!D7-IF(Skills!E7=TRUE,Inputs!$B$32,0)))*(1-IF(AND(ArtifactsInput!$M$27,Inputs!$B$4="Chapter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Inputs!$B$3&gt;=110</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2371=TRUE)*(F2371-Calc!F20)),(Inputs!$B$23+0+(IF(ArtifactsInput!$M$15,CHOOSE(ArtifactsInput!$N$15+1,25,30,35,40,45,50)/100*(Inputs!$B$11-Inputs!$B$11),0))))/100+(Inputs!$B$23+0+(IF(ArtifactsInput!$M$15,CHOOSE(ArtifactsInput!$N$15+1,25,30,35,40,45,50)/100*(Inputs!$B$11-Inputs!$B$11),0)))/100)/2</f>
        <v/>
      </c>
      <c r="M2359">
        <f>L2359*(1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IF(B2386=0,0,O2359/B2386)</f>
        <v/>
      </c>
      <c r="Q2359">
        <f>IFERROR(1/(IF(Inputs!$B$38="pvp",15,MAX(0.1,Skills!D8-IF(Skills!E8=TRUE,Inputs!$B$32,0)))*(1-IF(AND(ArtifactsInput!$M$27,Inputs!$B$4="Chapter Hunt"),CHOOSE(ArtifactsInput!$N$27+1,20,24,28,32,36,40),0)/100)),0)</f>
        <v/>
      </c>
      <c r="R2359">
        <f>IF(AND(Inputs!$B$38&lt;&gt;"pvp",Inputs!$B$43&gt;0),IF(MAX(0,Inputs!$B$43-B2383)&lt;=0,0,(INT(MAX(0,Inputs!$B$43-B2383)/(IF(Inputs!$B$38="pvp",15,MAX(0.1,Skills!D8-IF(Skills!E8=TRUE,Inputs!$B$32,0)))*(1-IF(AND(ArtifactsInput!$M$27,Inputs!$B$4="Chapter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Inputs!$B$3&gt;=110</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2371=TRUE)*(F2371-Calc!F20)),(Inputs!$B$23+0+(IF(ArtifactsInput!$M$15,CHOOSE(ArtifactsInput!$N$15+1,25,30,35,40,45,50)/100*(Inputs!$B$11-Inputs!$B$11),0))))/100+(Inputs!$B$23+0+(IF(ArtifactsInput!$M$15,CHOOSE(ArtifactsInput!$N$15+1,25,30,35,40,45,50)/100*(Inputs!$B$11-Inputs!$B$11),0)))/100)/2</f>
        <v/>
      </c>
      <c r="M2360">
        <f>L2360*(1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IF(B2386=0,0,O2360/B2386)</f>
        <v/>
      </c>
      <c r="Q2360">
        <f>IFERROR(1/(IF(Inputs!$B$38="pvp",15,MAX(0.1,Skills!D9-IF(Skills!E9=TRUE,Inputs!$B$32,0)))*(1-IF(AND(ArtifactsInput!$M$27,Inputs!$B$4="Chapter Hunt"),CHOOSE(ArtifactsInput!$N$27+1,20,24,28,32,36,40),0)/100)),0)</f>
        <v/>
      </c>
      <c r="R2360">
        <f>IF(AND(Inputs!$B$38&lt;&gt;"pvp",Inputs!$B$43&gt;0),IF(MAX(0,Inputs!$B$43-B2383)&lt;=0,0,(INT(MAX(0,Inputs!$B$43-B2383)/(IF(Inputs!$B$38="pvp",15,MAX(0.1,Skills!D9-IF(Skills!E9=TRUE,Inputs!$B$32,0)))*(1-IF(AND(ArtifactsInput!$M$27,Inputs!$B$4="Chapter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Inputs!$B$3&gt;=103</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2371=TRUE)*(F2371-Calc!F20)),(Inputs!$B$23+0+(IF(ArtifactsInput!$M$15,CHOOSE(ArtifactsInput!$N$15+1,25,30,35,40,45,50)/100*(Inputs!$B$11-Inputs!$B$11),0))))/100+(Inputs!$B$23+0+(IF(ArtifactsInput!$M$15,CHOOSE(ArtifactsInput!$N$15+1,25,30,35,40,45,50)/100*(Inputs!$B$11-Inputs!$B$11),0)))/100)/2</f>
        <v/>
      </c>
      <c r="M2361">
        <f>L2361*(1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IF(B2386=0,0,O2361/B2386)</f>
        <v/>
      </c>
      <c r="Q2361">
        <f>IFERROR(1/(IF(Inputs!$B$38="pvp",15,MAX(0.1,Skills!D10-IF(Skills!E10=TRUE,Inputs!$B$32,0)))*(1-IF(AND(ArtifactsInput!$M$27,Inputs!$B$4="Chapter Hunt"),CHOOSE(ArtifactsInput!$N$27+1,20,24,28,32,36,40),0)/100)),0)</f>
        <v/>
      </c>
      <c r="R2361">
        <f>IF(AND(Inputs!$B$38&lt;&gt;"pvp",Inputs!$B$43&gt;0),IF(MAX(0,Inputs!$B$43-B2383)&lt;=0,0,(INT(MAX(0,Inputs!$B$43-B2383)/(IF(Inputs!$B$38="pvp",15,MAX(0.1,Skills!D10-IF(Skills!E10=TRUE,Inputs!$B$32,0)))*(1-IF(AND(ArtifactsInput!$M$27,Inputs!$B$4="Chapter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Inputs!$B$3&gt;=113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2371=TRUE)*(F2371-Calc!F20)),(Inputs!$B$23+0+(IF(ArtifactsInput!$M$15,CHOOSE(ArtifactsInput!$N$15+1,25,30,35,40,45,50)/100*(Inputs!$B$11-Inputs!$B$11),0))))/100+(Inputs!$B$23+0+(IF(ArtifactsInput!$M$15,CHOOSE(ArtifactsInput!$N$15+1,25,30,35,40,45,50)/100*(Inputs!$B$11-Inputs!$B$11),0)))/100)/2</f>
        <v/>
      </c>
      <c r="M2362">
        <f>L2362*(1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IF(B2386=0,0,O2362/B2386)</f>
        <v/>
      </c>
      <c r="Q2362">
        <f>IFERROR(1/(IF(Inputs!$B$38="pvp",15,MAX(0.1,Skills!D11-IF(Skills!E11=TRUE,Inputs!$B$32,0)))*(1-IF(AND(ArtifactsInput!$M$27,Inputs!$B$4="Chapter Hunt"),CHOOSE(ArtifactsInput!$N$27+1,20,24,28,32,36,40),0)/100)),0)</f>
        <v/>
      </c>
      <c r="R2362">
        <f>IF(AND(Inputs!$B$38&lt;&gt;"pvp",Inputs!$B$43&gt;0),IF(MAX(0,Inputs!$B$43-B2383)&lt;=0,0,(INT(MAX(0,Inputs!$B$43-B2383)/(IF(Inputs!$B$38="pvp",15,MAX(0.1,Skills!D11-IF(Skills!E11=TRUE,Inputs!$B$32,0)))*(1-IF(AND(ArtifactsInput!$M$27,Inputs!$B$4="Chapter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c r="T2363" t="inlineStr"/>
      <c r="V2363" t="inlineStr"/>
    </row>
    <row r="2364">
      <c r="A2364">
        <f>Skills!A13</f>
        <v/>
      </c>
      <c r="B2364">
        <f>Skills!B13</f>
        <v/>
      </c>
      <c r="C2364">
        <f>Inputs!$B$3&gt;=66</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IF(B2386=0,0,O2364/B2386)</f>
        <v/>
      </c>
      <c r="Q2364" t="n">
        <v>0</v>
      </c>
      <c r="R2364" t="n">
        <v>0</v>
      </c>
      <c r="S2364">
        <f>IFERROR(O2364/N2364,0)</f>
        <v/>
      </c>
      <c r="T2364" t="n">
        <v>0</v>
      </c>
      <c r="V2364" t="n">
        <v>0</v>
      </c>
    </row>
    <row r="2365">
      <c r="A2365">
        <f>Skills!A14</f>
        <v/>
      </c>
      <c r="B2365">
        <f>Skills!B14</f>
        <v/>
      </c>
      <c r="C2365">
        <f>Inputs!$B$3&gt;=107</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IF(B2386=0,0,O2365/B2386)</f>
        <v/>
      </c>
      <c r="Q2365" t="n">
        <v>0</v>
      </c>
      <c r="R2365" t="n">
        <v>0</v>
      </c>
      <c r="S2365">
        <f>IFERROR(O2365/N2365,0)</f>
        <v/>
      </c>
      <c r="T2365" t="n">
        <v>0</v>
      </c>
      <c r="V2365" t="n">
        <v>0</v>
      </c>
    </row>
    <row r="2366">
      <c r="A2366">
        <f>Skills!A15</f>
        <v/>
      </c>
      <c r="B2366">
        <f>Skills!B15</f>
        <v/>
      </c>
      <c r="C2366">
        <f>Inputs!$B$3&gt;=115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IF(B2386=0,0,O2366/B2386)</f>
        <v/>
      </c>
      <c r="Q2366" t="n">
        <v>0</v>
      </c>
      <c r="R2366" t="n">
        <v>0</v>
      </c>
      <c r="S2366">
        <f>IFERROR(O2366/N2366,0)</f>
        <v/>
      </c>
      <c r="T2366" t="n">
        <v>0</v>
      </c>
      <c r="V2366" t="n">
        <v>0</v>
      </c>
    </row>
    <row r="2367">
      <c r="A2367">
        <f>Skills!A16</f>
        <v/>
      </c>
      <c r="B2367">
        <f>Skills!B16</f>
        <v/>
      </c>
      <c r="C2367">
        <f>Inputs!$B$3&gt;=15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IF(B2386=0,0,O2367/B2386)</f>
        <v/>
      </c>
      <c r="Q2367" t="n">
        <v>0</v>
      </c>
      <c r="R2367" t="n">
        <v>0</v>
      </c>
      <c r="S2367">
        <f>IFERROR(O2367/N2367,0)</f>
        <v/>
      </c>
      <c r="T2367" t="n">
        <v>0</v>
      </c>
      <c r="V2367" t="n">
        <v>0</v>
      </c>
    </row>
    <row r="2368">
      <c r="A2368">
        <f>Skills!A17</f>
        <v/>
      </c>
      <c r="B2368">
        <f>Skills!B17</f>
        <v/>
      </c>
      <c r="C2368">
        <f>Inputs!$B$3&gt;=10</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IF(B2386=0,0,O2368/B2386)</f>
        <v/>
      </c>
      <c r="Q2368" t="n">
        <v>0</v>
      </c>
      <c r="R2368" t="n">
        <v>0</v>
      </c>
      <c r="S2368">
        <f>IFERROR(O2368/N2368,0)</f>
        <v/>
      </c>
      <c r="T2368" t="n">
        <v>0</v>
      </c>
      <c r="V2368" t="n">
        <v>0</v>
      </c>
    </row>
    <row r="2369">
      <c r="A2369">
        <f>Skills!A18</f>
        <v/>
      </c>
      <c r="B2369">
        <f>Skills!B18</f>
        <v/>
      </c>
      <c r="C2369">
        <f>Inputs!$B$3&gt;=33</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IF(B2386=0,0,O2369/B2386)</f>
        <v/>
      </c>
      <c r="Q2369" t="n">
        <v>0</v>
      </c>
      <c r="R2369" t="n">
        <v>0</v>
      </c>
      <c r="S2369">
        <f>IFERROR(O2369/N2369,0)</f>
        <v/>
      </c>
      <c r="T2369" t="n">
        <v>0</v>
      </c>
      <c r="V2369" t="n">
        <v>0</v>
      </c>
    </row>
    <row r="2370">
      <c r="A2370">
        <f>Skills!A19</f>
        <v/>
      </c>
      <c r="B2370">
        <f>Skills!B19</f>
        <v/>
      </c>
      <c r="C2370">
        <f>Inputs!$B$3&gt;=40</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IF(B2386=0,0,O2370/B2386)</f>
        <v/>
      </c>
      <c r="Q2370" t="n">
        <v>0</v>
      </c>
      <c r="R2370" t="n">
        <v>0</v>
      </c>
      <c r="S2370">
        <f>IFERROR(O2370/N2370,0)</f>
        <v/>
      </c>
      <c r="T2370" t="n">
        <v>0</v>
      </c>
      <c r="V2370" t="n">
        <v>0</v>
      </c>
    </row>
    <row r="2371">
      <c r="A2371">
        <f>Skills!A20</f>
        <v/>
      </c>
      <c r="B2371">
        <f>Skills!B20</f>
        <v/>
      </c>
      <c r="C2371">
        <f>Inputs!$B$3&gt;=43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IF(B2386=0,0,O2371/B2386)</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IF(B2386=0,0,O2372/B2386)</f>
        <v/>
      </c>
      <c r="Q2372" t="n">
        <v>0</v>
      </c>
      <c r="R2372" t="n">
        <v>0</v>
      </c>
      <c r="S2372">
        <f>IFERROR(O2372/N2372,0)</f>
        <v/>
      </c>
      <c r="T2372" t="n">
        <v>0</v>
      </c>
      <c r="V2372" t="n">
        <v>0</v>
      </c>
    </row>
    <row r="2373">
      <c r="A2373">
        <f>Skills!A22</f>
        <v/>
      </c>
      <c r="B2373">
        <f>Skills!B22</f>
        <v/>
      </c>
      <c r="C2373">
        <f>Inputs!$B$3&gt;=75</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IF(B2386=0,0,O2373/B2386)</f>
        <v/>
      </c>
      <c r="Q2373" t="n">
        <v>0</v>
      </c>
      <c r="R2373" t="n">
        <v>0</v>
      </c>
      <c r="S2373">
        <f>IFERROR(O2373/N2373,0)</f>
        <v/>
      </c>
      <c r="T2373" t="n">
        <v>0</v>
      </c>
      <c r="V2373" t="n">
        <v>0</v>
      </c>
    </row>
    <row r="2375">
      <c r="A2375" t="inlineStr">
        <is>
          <t>Attack% Bucket Multiplier</t>
        </is>
      </c>
      <c r="B2375">
        <f>(1+(((C2364=TRUE)*F2364)+((C2370=TRUE)*(F2370-Calc!F19))+(IF(ArtifactsInput!$M$21,CHOOSE(ArtifactsInput!$N$21+1,25,30,35,40,45,50)*(IF(OR(Inputs!$B$4="Chapter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6">
      <c r="A2376" t="inlineStr">
        <is>
          <t>Global Crit Rate Bonus %</t>
        </is>
      </c>
      <c r="B2376" t="n">
        <v>0</v>
      </c>
    </row>
    <row r="2377">
      <c r="A2377" t="inlineStr">
        <is>
          <t>Attack Speed Buff Bonus % (unused)</t>
        </is>
      </c>
      <c r="B2377" t="n">
        <v>0</v>
      </c>
    </row>
    <row r="2378">
      <c r="A2378" t="inlineStr">
        <is>
          <t>Actions Per Second</t>
        </is>
      </c>
      <c r="B2378">
        <f>1+MIN(150,150*(1-(1-(Inputs!$B$11+((C2368=TRUE)*(F2368-Calc!F17))+((C2369=TRUE)*(F2369-Calc!F18)))/150)*(1-B2377/150)))/100</f>
        <v/>
      </c>
    </row>
    <row r="2379">
      <c r="A2379" t="inlineStr">
        <is>
          <t>Skill + Buff Cast Rate</t>
        </is>
      </c>
      <c r="B2379">
        <f>IF(AND(Inputs!$B$38&lt;&gt;"pvp",Inputs!$B$43&gt;0),SUMPRODUCT((Skills!E2:E22=TRUE)*(C2353:C2373=TRUE)*R2353:R2373*Skills!F2:F22)/Inputs!$B$43,SUMPRODUCT((Skills!E2:E22=TRUE)*(C2353:C2373=TRUE)*Q2353:Q2373*Skills!F2:F22))</f>
        <v/>
      </c>
    </row>
    <row r="2380">
      <c r="A2380" t="inlineStr">
        <is>
          <t>Hook Bomber Casts Per Second</t>
        </is>
      </c>
      <c r="B2380">
        <f>MAX(0,B2378-B2379)</f>
        <v/>
      </c>
    </row>
    <row r="2381">
      <c r="A2381" t="inlineStr">
        <is>
          <t>Global Critical Damage Bonus % (unused)</t>
        </is>
      </c>
      <c r="B2381" t="n">
        <v>0</v>
      </c>
    </row>
    <row r="2382">
      <c r="A2382" t="inlineStr">
        <is>
          <t>Global Final Damage Bonus % (Serpent Scale + Crossbones + Time Leap + Speed Infusion)</t>
        </is>
      </c>
      <c r="B2382">
        <f>((C2356=TRUE)*F2356*((10+IF(Inputs!$B$3&gt;=94,5,0))/((10+IF(Inputs!$B$3&gt;=94,5,0))+5/(B2380*(1+IF(Inputs!$B$3&gt;=104,1,0))))))+((C2365=TRUE)*F2365)+((C2366=TRUE)*F2366)+((Inputs!$B$3&gt;=110)*20*(B2378-1))</f>
        <v/>
      </c>
    </row>
    <row r="2383">
      <c r="A2383" t="inlineStr">
        <is>
          <t>Buff-Casting Startup Delay (s, fixed-duration only)</t>
        </is>
      </c>
      <c r="B2383">
        <f>IF(AND(Inputs!$B$38&lt;&gt;"pvp",Inputs!$B$43&gt;0),SUMPRODUCT((Skills!T2:T22&gt;0)*(Skills!E2:E22=TRUE)*(C2353:C2373=TRUE))/B2378,0)</f>
        <v/>
      </c>
    </row>
    <row r="2384">
      <c r="A2384" t="inlineStr">
        <is>
          <t>Boss-Only Total DPS (this block's swept value)</t>
        </is>
      </c>
      <c r="B2384">
        <f>SUM(T2353:T2373)</f>
        <v/>
      </c>
    </row>
    <row r="2385">
      <c r="A2385" t="inlineStr">
        <is>
          <t>Normal-Only Total DPS (this block's swept value)</t>
        </is>
      </c>
      <c r="B2385">
        <f>SUM(V2353:V2373)</f>
        <v/>
      </c>
    </row>
    <row r="2386">
      <c r="A2386" s="6" t="inlineStr">
        <is>
          <t>TOTAL DPS</t>
        </is>
      </c>
      <c r="B2386" s="6">
        <f>SUM(O2353:O2373)</f>
        <v/>
      </c>
    </row>
    <row r="2389">
      <c r="A2389" s="6" t="inlineStr">
        <is>
          <t>Stat: Ring of Cycles (Equip)</t>
        </is>
      </c>
    </row>
    <row r="2390">
      <c r="A2390" s="5" t="inlineStr">
        <is>
          <t>Key</t>
        </is>
      </c>
      <c r="B2390" s="5" t="inlineStr">
        <is>
          <t>Name</t>
        </is>
      </c>
      <c r="C2390" s="5" t="inlineStr">
        <is>
          <t>Unlocked</t>
        </is>
      </c>
      <c r="D2390" s="5" t="inlineStr">
        <is>
          <t>InputLevel</t>
        </is>
      </c>
      <c r="E2390" s="5" t="inlineStr">
        <is>
          <t>Factor</t>
        </is>
      </c>
      <c r="F2390" s="5" t="inlineStr">
        <is>
          <t>CoefficientPercent</t>
        </is>
      </c>
      <c r="G2390" s="5" t="inlineStr">
        <is>
          <t>EffectiveHits</t>
        </is>
      </c>
      <c r="H2390" s="5" t="inlineStr">
        <is>
          <t>ProcProbability</t>
        </is>
      </c>
      <c r="I2390" s="5" t="inlineStr">
        <is>
          <t>MapleHeroMultiplier</t>
        </is>
      </c>
      <c r="J2390" s="5" t="inlineStr">
        <is>
          <t>BaseDamage</t>
        </is>
      </c>
      <c r="K2390" s="5" t="inlineStr">
        <is>
          <t>BaseHitDamage</t>
        </is>
      </c>
      <c r="L2390" s="5" t="inlineStr">
        <is>
          <t>NonCritAvg</t>
        </is>
      </c>
      <c r="M2390" s="5" t="inlineStr">
        <is>
          <t>CritAvg</t>
        </is>
      </c>
      <c r="N2390" s="5" t="inlineStr">
        <is>
          <t>ExpectedDamage(perHit)</t>
        </is>
      </c>
      <c r="O2390" s="5" t="inlineStr">
        <is>
          <t>DPS</t>
        </is>
      </c>
      <c r="P2390" s="5" t="inlineStr">
        <is>
          <t>% of Total</t>
        </is>
      </c>
      <c r="Q2390" s="5" t="inlineStr">
        <is>
          <t>InvCooldown</t>
        </is>
      </c>
      <c r="R2390" s="5" t="inlineStr">
        <is>
          <t>CastsInFight</t>
        </is>
      </c>
      <c r="S2390" s="5" t="inlineStr">
        <is>
          <t>HitRate(perSec)</t>
        </is>
      </c>
      <c r="U2390" t="inlineStr">
        <is>
          <t>helpers</t>
        </is>
      </c>
    </row>
    <row r="2391">
      <c r="A2391">
        <f>Skills!A2</f>
        <v/>
      </c>
      <c r="B2391">
        <f>Skills!B2</f>
        <v/>
      </c>
      <c r="C2391">
        <f>Inputs!$B$3&gt;=100</f>
        <v/>
      </c>
      <c r="D2391" t="inlineStr"/>
      <c r="E2391" t="inlineStr"/>
      <c r="F2391">
        <f>U2393+Skills!O2</f>
        <v/>
      </c>
      <c r="G2391">
        <f>Skills!G2*IF(Skills!H2&gt;0,Skills!I2/Skills!H2,1)</f>
        <v/>
      </c>
      <c r="H2391">
        <f>1-(1-Skills!J2/100)^Skills!K2</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2409=TRUE)*(F2409-Calc!F20)),(Inputs!$B$23+0+(IF(ArtifactsInput!$M$15,CHOOSE(ArtifactsInput!$N$15+1,25,30,35,40,45,50)/100*(Inputs!$B$11-Inputs!$B$11),0))))/100+(Inputs!$B$23+0+(IF(ArtifactsInput!$M$15,CHOOSE(ArtifactsInput!$N$15+1,25,30,35,40,45,50)/100*(Inputs!$B$11-Inputs!$B$11),0)))/100)/2</f>
        <v/>
      </c>
      <c r="M2391">
        <f>L2391*(1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IF(B2424=0,0,O2391/B2424)</f>
        <v/>
      </c>
      <c r="Q2391" t="n">
        <v>0</v>
      </c>
      <c r="R2391" t="n">
        <v>0</v>
      </c>
      <c r="S2391">
        <f>IFERROR(O2391/N2391,0)</f>
        <v/>
      </c>
      <c r="T2391">
        <f>IF(C2391,(Skills!G2*N2391*B2418)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1">
        <f>MAX(0,(Inputs!$B$3-100)*3)+Inputs!$B$28+Inputs!$B$29</f>
        <v/>
      </c>
      <c r="V2391">
        <f>IF(C2391,(Skills!G2*N2391*B2418)*IF(Inputs!$B$38="pvp",1,(1+(Inputs!$B$21+Skills!Q2+(IF(ArtifactsInput!$M$33,CHOOSE(ArtifactsInput!$N$33+1,30,36,42,48,54,60),0))+(IF(AND(ArtifactsInput!$M$35,Inputs!$B$4&lt;&gt;"Chapter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Skills!A3</f>
        <v/>
      </c>
      <c r="B2392">
        <f>Skills!B3</f>
        <v/>
      </c>
      <c r="C2392">
        <f>Inputs!$B$3&gt;=35</f>
        <v/>
      </c>
      <c r="D2392">
        <f>IF(Skills!C3=1,60+Inputs!$B$25+Inputs!$B$29,IF(Skills!C3=2,90+Inputs!$B$26+Inputs!$B$29,IF(Skills!C3=3,120+Inputs!$B$27+Inputs!$B$29,MAX(0,(Inputs!$B$3-100)*3)+Inputs!$B$28+Inputs!$B$29)))</f>
        <v/>
      </c>
      <c r="E2392">
        <f>INDEX(FactorTable!$B$2:$Y$301, MATCH(ROUND(MIN(300,MAX(1,D2392)),0), FactorTable!$A$2:$A$301,0), Skills!M3+1)</f>
        <v/>
      </c>
      <c r="F2392">
        <f>IF(Skills!N3=TRUE,(Skills!L3/10)*(E2392/1000),Skills!L3/10)+Skills!O3</f>
        <v/>
      </c>
      <c r="G2392">
        <f>Skills!G3*IF(Skills!H3&gt;0,Skills!I3/Skills!H3,1)</f>
        <v/>
      </c>
      <c r="H2392">
        <f>1-(1-Skills!J3/100)^Skills!K3</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2409=TRUE)*(F2409-Calc!F20)),(Inputs!$B$23+0+(IF(ArtifactsInput!$M$15,CHOOSE(ArtifactsInput!$N$15+1,25,30,35,40,45,50)/100*(Inputs!$B$11-Inputs!$B$11),0))))/100+(Inputs!$B$23+0+(IF(ArtifactsInput!$M$15,CHOOSE(ArtifactsInput!$N$15+1,25,30,35,40,45,50)/100*(Inputs!$B$11-Inputs!$B$11),0)))/100)/2</f>
        <v/>
      </c>
      <c r="M2392">
        <f>L2392*(1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IF(B2424=0,0,O2392/B2424)</f>
        <v/>
      </c>
      <c r="Q2392" t="n">
        <v>0</v>
      </c>
      <c r="R2392" t="n">
        <v>0</v>
      </c>
      <c r="S2392">
        <f>IFERROR(O2392/N2392,0)</f>
        <v/>
      </c>
      <c r="T2392">
        <f>IF(C2392,(Skills!G3*H2392*N2392*B2418)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2">
        <f>INDEX(FactorTable!$B$2:$Y$301, MATCH(ROUND(MIN(300,MAX(1,U2391)),0), FactorTable!$A$2:$A$301,0), 22)</f>
        <v/>
      </c>
      <c r="V2392">
        <f>IF(C2392,(Skills!G3*H2392*N2392*B2418)*IF(Inputs!$B$38="pvp",1,(1+(Inputs!$B$21+Skills!Q3+(IF(ArtifactsInput!$M$33,CHOOSE(ArtifactsInput!$N$33+1,30,36,42,48,54,60),0))+(IF(AND(ArtifactsInput!$M$35,Inputs!$B$4&lt;&gt;"Chapter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Skills!A4</f>
        <v/>
      </c>
      <c r="B2393">
        <f>Skills!B4</f>
        <v/>
      </c>
      <c r="C2393">
        <f>Inputs!$B$3&gt;=60</f>
        <v/>
      </c>
      <c r="D2393">
        <f>IF(Skills!C4=1,60+Inputs!$B$25+Inputs!$B$29,IF(Skills!C4=2,90+Inputs!$B$26+Inputs!$B$29,IF(Skills!C4=3,120+Inputs!$B$27+Inputs!$B$29,MAX(0,(Inputs!$B$3-100)*3)+Inputs!$B$28+Inputs!$B$29)))</f>
        <v/>
      </c>
      <c r="E2393">
        <f>INDEX(FactorTable!$B$2:$Y$301, MATCH(ROUND(MIN(300,MAX(1,D2393)),0), FactorTable!$A$2:$A$301,0), Skills!M4+1)</f>
        <v/>
      </c>
      <c r="F2393">
        <f>IF(Skills!N4=TRUE,(Skills!L4/10)*(E2393/1000),Skills!L4/10)+Skills!O4</f>
        <v/>
      </c>
      <c r="G2393">
        <f>Skills!G4*IF(Skills!H4&gt;0,Skills!I4/Skills!H4,1)</f>
        <v/>
      </c>
      <c r="H2393">
        <f>1-(1-Skills!J4/100)^Skills!K4</f>
        <v/>
      </c>
      <c r="I2393" t="inlineStr">
        <is>
          <t>1</t>
        </is>
      </c>
      <c r="J2393">
        <f>((Inputs!$B$6*(1+Inputs!$B$7/100))+(((Inputs!$B$12*(1+Inputs!$B$13/100))-(Inputs!$B$12*(1+Inputs!$B$13/100)))+0.25*(Inputs!$B$14-Inputs!$B$14))*(1+Inputs!$B$7/100))*(F2393/100)</f>
        <v/>
      </c>
      <c r="K2393">
        <f>J2393*(1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2401=TRUE,F2401,0)/100)*(1+(IF(Skills!A4="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2409=TRUE)*(F2409-Calc!F20)),(Inputs!$B$23+0+(IF(ArtifactsInput!$M$15,CHOOSE(ArtifactsInput!$N$15+1,25,30,35,40,45,50)/100*(Inputs!$B$11-Inputs!$B$11),0))))/100+(Inputs!$B$23+0+(IF(ArtifactsInput!$M$15,CHOOSE(ArtifactsInput!$N$15+1,25,30,35,40,45,50)/100*(Inputs!$B$11-Inputs!$B$11),0)))/100)/2</f>
        <v/>
      </c>
      <c r="M2393">
        <f>L2393*(1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IF(B2424=0,0,O2393/B2424)</f>
        <v/>
      </c>
      <c r="Q2393" t="n">
        <v>0</v>
      </c>
      <c r="R2393" t="n">
        <v>0</v>
      </c>
      <c r="S2393">
        <f>IFERROR(O2393/N2393,0)</f>
        <v/>
      </c>
      <c r="T2393">
        <f>IF(C2393,(Skills!G4*H2393*N2393*B2418)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290*U2392/1000</f>
        <v/>
      </c>
      <c r="V2393">
        <f>IF(C2393,(Skills!G4*H2393*N2393*B2418)*IF(Inputs!$B$38="pvp",1,(1+(Inputs!$B$21+Skills!Q4+(IF(ArtifactsInput!$M$33,CHOOSE(ArtifactsInput!$N$33+1,30,36,42,48,54,60),0))+(IF(AND(ArtifactsInput!$M$35,Inputs!$B$4&lt;&gt;"Chapter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Skills!A5</f>
        <v/>
      </c>
      <c r="B2394">
        <f>Skills!B5</f>
        <v/>
      </c>
      <c r="C2394">
        <f>Inputs!$B$3&gt;=60</f>
        <v/>
      </c>
      <c r="D2394">
        <f>IF(Skills!C5=1,60+Inputs!$B$25+Inputs!$B$29,IF(Skills!C5=2,90+Inputs!$B$26+Inputs!$B$29,IF(Skills!C5=3,120+Inputs!$B$27+Inputs!$B$29,MAX(0,(Inputs!$B$3-100)*3)+Inputs!$B$28+Inputs!$B$29)))</f>
        <v/>
      </c>
      <c r="E2394">
        <f>INDEX(FactorTable!$B$2:$Y$301, MATCH(ROUND(MIN(300,MAX(1,D2394)),0), FactorTable!$A$2:$A$301,0), Skills!M5+1)</f>
        <v/>
      </c>
      <c r="F2394">
        <f>IF(Skills!N5=TRUE,(Skills!L5/10)*(E2394/1000),Skills!L5/10)+Skills!O5</f>
        <v/>
      </c>
      <c r="G2394">
        <f>Skills!G5*IF(Skills!H5&gt;0,Skills!I5/Skills!H5,1)</f>
        <v/>
      </c>
      <c r="H2394">
        <f>1-(1-Skills!J5/100)^Skills!K5</f>
        <v/>
      </c>
      <c r="I2394" t="inlineStr">
        <is>
          <t>1</t>
        </is>
      </c>
      <c r="J2394" t="inlineStr"/>
      <c r="K2394" t="inlineStr"/>
      <c r="L2394" t="inlineStr"/>
      <c r="M2394" t="inlineStr"/>
      <c r="N2394" t="inlineStr"/>
      <c r="O2394">
        <f>(1-Summary!$B$11)*T2394+Summary!$B$11*V2394</f>
        <v/>
      </c>
      <c r="P2394">
        <f>IF(B2424=0,0,O2394/B2424)</f>
        <v/>
      </c>
      <c r="Q2394" t="n">
        <v>0</v>
      </c>
      <c r="R2394" t="n">
        <v>0</v>
      </c>
      <c r="S2394">
        <f>IFERROR(O2394/N2394,0)</f>
        <v/>
      </c>
      <c r="T2394" t="n">
        <v>0</v>
      </c>
      <c r="V2394" t="n">
        <v>0</v>
      </c>
    </row>
    <row r="2395">
      <c r="A2395">
        <f>Skills!A6</f>
        <v/>
      </c>
      <c r="B2395">
        <f>Skills!B6</f>
        <v/>
      </c>
      <c r="C2395">
        <f>Inputs!$B$3&gt;=63</f>
        <v/>
      </c>
      <c r="D2395">
        <f>IF(Skills!C6=1,60+Inputs!$B$25+Inputs!$B$29,IF(Skills!C6=2,90+Inputs!$B$26+Inputs!$B$29,IF(Skills!C6=3,120+Inputs!$B$27+Inputs!$B$29,MAX(0,(Inputs!$B$3-100)*3)+Inputs!$B$28+Inputs!$B$29)))</f>
        <v/>
      </c>
      <c r="E2395">
        <f>INDEX(FactorTable!$B$2:$Y$301, MATCH(ROUND(MIN(300,MAX(1,D2395)),0), FactorTable!$A$2:$A$301,0), Skills!M6+1)</f>
        <v/>
      </c>
      <c r="F2395">
        <f>IF(Skills!N6=TRUE,(Skills!L6/10)*(E2395/1000),Skills!L6/10)+Skills!O6</f>
        <v/>
      </c>
      <c r="G2395">
        <f>Skills!G6*IF(Skills!H6&gt;0,Skills!I6/Skills!H6,1)</f>
        <v/>
      </c>
      <c r="H2395">
        <f>1-(1-Skills!J6/100)^Skills!K6</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2409=TRUE)*(F2409-Calc!F20)),(Inputs!$B$23+0+(IF(ArtifactsInput!$M$15,CHOOSE(ArtifactsInput!$N$15+1,25,30,35,40,45,50)/100*(Inputs!$B$11-Inputs!$B$11),0))))/100+(Inputs!$B$23+0+(IF(ArtifactsInput!$M$15,CHOOSE(ArtifactsInput!$N$15+1,25,30,35,40,45,50)/100*(Inputs!$B$11-Inputs!$B$11),0)))/100)/2</f>
        <v/>
      </c>
      <c r="M2395">
        <f>L2395*(1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IF(B2424=0,0,O2395/B2424)</f>
        <v/>
      </c>
      <c r="Q2395">
        <f>IFERROR(1/(IF(Inputs!$B$38="pvp",15,MAX(0.1,Skills!D6-IF(Skills!E6=TRUE,Inputs!$B$32,0)))*(1-IF(AND(ArtifactsInput!$M$27,Inputs!$B$4="Chapter Hunt"),CHOOSE(ArtifactsInput!$N$27+1,20,24,28,32,36,40),0)/100)),0)</f>
        <v/>
      </c>
      <c r="R2395">
        <f>IF(AND(Inputs!$B$38&lt;&gt;"pvp",Inputs!$B$43&gt;0),IF(MAX(0,Inputs!$B$43-B2421)&lt;=0,0,(INT(MAX(0,Inputs!$B$43-B2421)/(IF(Inputs!$B$38="pvp",15,MAX(0.1,Skills!D6-IF(Skills!E6=TRUE,Inputs!$B$32,0)))*(1-IF(AND(ArtifactsInput!$M$27,Inputs!$B$4="Chapter Hunt"),CHOOSE(ArtifactsInput!$N$27+1,20,24,28,32,36,40),0)/100)))+1)),0)</f>
        <v/>
      </c>
      <c r="S2395">
        <f>IFERROR(O2395/N2395,0)</f>
        <v/>
      </c>
      <c r="T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$21+Skills!Q6+(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Skills!A7</f>
        <v/>
      </c>
      <c r="B2396">
        <f>Skills!B7</f>
        <v/>
      </c>
      <c r="C2396">
        <f>Inputs!$B$3&gt;=100</f>
        <v/>
      </c>
      <c r="D2396">
        <f>IF(Skills!C7=1,60+Inputs!$B$25+Inputs!$B$29,IF(Skills!C7=2,90+Inputs!$B$26+Inputs!$B$29,IF(Skills!C7=3,120+Inputs!$B$27+Inputs!$B$29,MAX(0,(Inputs!$B$3-100)*3)+Inputs!$B$28+Inputs!$B$29)))</f>
        <v/>
      </c>
      <c r="E2396">
        <f>INDEX(FactorTable!$B$2:$Y$301, MATCH(ROUND(MIN(300,MAX(1,D2396)),0), FactorTable!$A$2:$A$301,0), Skills!M7+1)</f>
        <v/>
      </c>
      <c r="F2396">
        <f>IF(Skills!N7=TRUE,(Skills!L7/10)*(E2396/1000),Skills!L7/10)+Skills!O7</f>
        <v/>
      </c>
      <c r="G2396">
        <f>Skills!G7*IF(Skills!H7&gt;0,Skills!I7/Skills!H7,1)</f>
        <v/>
      </c>
      <c r="H2396">
        <f>1-(1-Skills!J7/100)^Skills!K7</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2409=TRUE)*(F2409-Calc!F20)),(Inputs!$B$23+0+(IF(ArtifactsInput!$M$15,CHOOSE(ArtifactsInput!$N$15+1,25,30,35,40,45,50)/100*(Inputs!$B$11-Inputs!$B$11),0))))/100+(Inputs!$B$23+0+(IF(ArtifactsInput!$M$15,CHOOSE(ArtifactsInput!$N$15+1,25,30,35,40,45,50)/100*(Inputs!$B$11-Inputs!$B$11),0)))/100)/2</f>
        <v/>
      </c>
      <c r="M2396">
        <f>L2396*(1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IF(B2424=0,0,O2396/B2424)</f>
        <v/>
      </c>
      <c r="Q2396">
        <f>IFERROR(1/(IF(Inputs!$B$38="pvp",15,MAX(0.1,Skills!D7-IF(Skills!E7=TRUE,Inputs!$B$32,0)))*(1-IF(AND(ArtifactsInput!$M$27,Inputs!$B$4="Chapter Hunt"),CHOOSE(ArtifactsInput!$N$27+1,20,24,28,32,36,40),0)/100)),0)</f>
        <v/>
      </c>
      <c r="R2396">
        <f>IF(AND(Inputs!$B$38&lt;&gt;"pvp",Inputs!$B$43&gt;0),IF(MAX(0,Inputs!$B$43-B2421)&lt;=0,0,(INT(MAX(0,Inputs!$B$43-B2421)/(IF(Inputs!$B$38="pvp",15,MAX(0.1,Skills!D7-IF(Skills!E7=TRUE,Inputs!$B$32,0)))*(1-IF(AND(ArtifactsInput!$M$27,Inputs!$B$4="Chapter Hunt"),CHOOSE(ArtifactsInput!$N$27+1,20,24,28,32,36,40),0)/100)))+1)),0)</f>
        <v/>
      </c>
      <c r="S2396">
        <f>IFERROR(O2396/N2396,0)</f>
        <v/>
      </c>
      <c r="T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$21+Skills!Q7+(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Skills!A8</f>
        <v/>
      </c>
      <c r="B2397">
        <f>Skills!B8</f>
        <v/>
      </c>
      <c r="C2397">
        <f>Inputs!$B$3&gt;=110</f>
        <v/>
      </c>
      <c r="D2397">
        <f>IF(Skills!C8=1,60+Inputs!$B$25+Inputs!$B$29,IF(Skills!C8=2,90+Inputs!$B$26+Inputs!$B$29,IF(Skills!C8=3,120+Inputs!$B$27+Inputs!$B$29,MAX(0,(Inputs!$B$3-100)*3)+Inputs!$B$28+Inputs!$B$29)))</f>
        <v/>
      </c>
      <c r="E2397">
        <f>INDEX(FactorTable!$B$2:$Y$301, MATCH(ROUND(MIN(300,MAX(1,D2397)),0), FactorTable!$A$2:$A$301,0), Skills!M8+1)</f>
        <v/>
      </c>
      <c r="F2397">
        <f>IF(Skills!N8=TRUE,(Skills!L8/10)*(E2397/1000),Skills!L8/10)+Skills!O8</f>
        <v/>
      </c>
      <c r="G2397">
        <f>Skills!G8*IF(Skills!H8&gt;0,Skills!I8/Skills!H8,1)</f>
        <v/>
      </c>
      <c r="H2397">
        <f>1-(1-Skills!J8/100)^Skills!K8</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2409=TRUE)*(F2409-Calc!F20)),(Inputs!$B$23+0+(IF(ArtifactsInput!$M$15,CHOOSE(ArtifactsInput!$N$15+1,25,30,35,40,45,50)/100*(Inputs!$B$11-Inputs!$B$11),0))))/100+(Inputs!$B$23+0+(IF(ArtifactsInput!$M$15,CHOOSE(ArtifactsInput!$N$15+1,25,30,35,40,45,50)/100*(Inputs!$B$11-Inputs!$B$11),0)))/100)/2</f>
        <v/>
      </c>
      <c r="M2397">
        <f>L2397*(1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IF(B2424=0,0,O2397/B2424)</f>
        <v/>
      </c>
      <c r="Q2397">
        <f>IFERROR(1/(IF(Inputs!$B$38="pvp",15,MAX(0.1,Skills!D8-IF(Skills!E8=TRUE,Inputs!$B$32,0)))*(1-IF(AND(ArtifactsInput!$M$27,Inputs!$B$4="Chapter Hunt"),CHOOSE(ArtifactsInput!$N$27+1,20,24,28,32,36,40),0)/100)),0)</f>
        <v/>
      </c>
      <c r="R2397">
        <f>IF(AND(Inputs!$B$38&lt;&gt;"pvp",Inputs!$B$43&gt;0),IF(MAX(0,Inputs!$B$43-B2421)&lt;=0,0,(INT(MAX(0,Inputs!$B$43-B2421)/(IF(Inputs!$B$38="pvp",15,MAX(0.1,Skills!D8-IF(Skills!E8=TRUE,Inputs!$B$32,0)))*(1-IF(AND(ArtifactsInput!$M$27,Inputs!$B$4="Chapter Hunt"),CHOOSE(ArtifactsInput!$N$27+1,20,24,28,32,36,40),0)/100)))+1)),0)</f>
        <v/>
      </c>
      <c r="S2397">
        <f>IFERROR(O2397/N2397,0)</f>
        <v/>
      </c>
      <c r="T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$21+Skills!Q8+(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Skills!A9</f>
        <v/>
      </c>
      <c r="B2398">
        <f>Skills!B9</f>
        <v/>
      </c>
      <c r="C2398">
        <f>Inputs!$B$3&gt;=110</f>
        <v/>
      </c>
      <c r="D2398">
        <f>IF(Skills!C9=1,60+Inputs!$B$25+Inputs!$B$29,IF(Skills!C9=2,90+Inputs!$B$26+Inputs!$B$29,IF(Skills!C9=3,120+Inputs!$B$27+Inputs!$B$29,MAX(0,(Inputs!$B$3-100)*3)+Inputs!$B$28+Inputs!$B$29)))</f>
        <v/>
      </c>
      <c r="E2398">
        <f>INDEX(FactorTable!$B$2:$Y$301, MATCH(ROUND(MIN(300,MAX(1,D2398)),0), FactorTable!$A$2:$A$301,0), Skills!M9+1)</f>
        <v/>
      </c>
      <c r="F2398">
        <f>IF(Skills!N9=TRUE,(Skills!L9/10)*(E2398/1000),Skills!L9/10)+Skills!O9</f>
        <v/>
      </c>
      <c r="G2398">
        <f>Skills!G9*IF(Skills!H9&gt;0,Skills!I9/Skills!H9,1)</f>
        <v/>
      </c>
      <c r="H2398">
        <f>1-(1-Skills!J9/100)^Skills!K9</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2409=TRUE)*(F2409-Calc!F20)),(Inputs!$B$23+0+(IF(ArtifactsInput!$M$15,CHOOSE(ArtifactsInput!$N$15+1,25,30,35,40,45,50)/100*(Inputs!$B$11-Inputs!$B$11),0))))/100+(Inputs!$B$23+0+(IF(ArtifactsInput!$M$15,CHOOSE(ArtifactsInput!$N$15+1,25,30,35,40,45,50)/100*(Inputs!$B$11-Inputs!$B$11),0)))/100)/2</f>
        <v/>
      </c>
      <c r="M2398">
        <f>L2398*(1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IF(B2424=0,0,O2398/B2424)</f>
        <v/>
      </c>
      <c r="Q2398">
        <f>IFERROR(1/(IF(Inputs!$B$38="pvp",15,MAX(0.1,Skills!D9-IF(Skills!E9=TRUE,Inputs!$B$32,0)))*(1-IF(AND(ArtifactsInput!$M$27,Inputs!$B$4="Chapter Hunt"),CHOOSE(ArtifactsInput!$N$27+1,20,24,28,32,36,40),0)/100)),0)</f>
        <v/>
      </c>
      <c r="R2398">
        <f>IF(AND(Inputs!$B$38&lt;&gt;"pvp",Inputs!$B$43&gt;0),IF(MAX(0,Inputs!$B$43-B2421)&lt;=0,0,(INT(MAX(0,Inputs!$B$43-B2421)/(IF(Inputs!$B$38="pvp",15,MAX(0.1,Skills!D9-IF(Skills!E9=TRUE,Inputs!$B$32,0)))*(1-IF(AND(ArtifactsInput!$M$27,Inputs!$B$4="Chapter Hunt"),CHOOSE(ArtifactsInput!$N$27+1,20,24,28,32,36,40),0)/100)))+1)),0)</f>
        <v/>
      </c>
      <c r="S2398">
        <f>IFERROR(O2398/N2398,0)</f>
        <v/>
      </c>
      <c r="T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$21+Skills!Q9+(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Skills!A10</f>
        <v/>
      </c>
      <c r="B2399">
        <f>Skills!B10</f>
        <v/>
      </c>
      <c r="C2399">
        <f>Inputs!$B$3&gt;=103</f>
        <v/>
      </c>
      <c r="D2399">
        <f>IF(Skills!C10=1,60+Inputs!$B$25+Inputs!$B$29,IF(Skills!C10=2,90+Inputs!$B$26+Inputs!$B$29,IF(Skills!C10=3,120+Inputs!$B$27+Inputs!$B$29,MAX(0,(Inputs!$B$3-100)*3)+Inputs!$B$28+Inputs!$B$29)))</f>
        <v/>
      </c>
      <c r="E2399">
        <f>INDEX(FactorTable!$B$2:$Y$301, MATCH(ROUND(MIN(300,MAX(1,D2399)),0), FactorTable!$A$2:$A$301,0), Skills!M10+1)</f>
        <v/>
      </c>
      <c r="F2399">
        <f>IF(Skills!N10=TRUE,(Skills!L10/10)*(E2399/1000),Skills!L10/10)+Skills!O10</f>
        <v/>
      </c>
      <c r="G2399">
        <f>Skills!G10*IF(Skills!H10&gt;0,Skills!I10/Skills!H10,1)</f>
        <v/>
      </c>
      <c r="H2399">
        <f>1-(1-Skills!J10/100)^Skills!K10</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2409=TRUE)*(F2409-Calc!F20)),(Inputs!$B$23+0+(IF(ArtifactsInput!$M$15,CHOOSE(ArtifactsInput!$N$15+1,25,30,35,40,45,50)/100*(Inputs!$B$11-Inputs!$B$11),0))))/100+(Inputs!$B$23+0+(IF(ArtifactsInput!$M$15,CHOOSE(ArtifactsInput!$N$15+1,25,30,35,40,45,50)/100*(Inputs!$B$11-Inputs!$B$11),0)))/100)/2</f>
        <v/>
      </c>
      <c r="M2399">
        <f>L2399*(1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IF(B2424=0,0,O2399/B2424)</f>
        <v/>
      </c>
      <c r="Q2399">
        <f>IFERROR(1/(IF(Inputs!$B$38="pvp",15,MAX(0.1,Skills!D10-IF(Skills!E10=TRUE,Inputs!$B$32,0)))*(1-IF(AND(ArtifactsInput!$M$27,Inputs!$B$4="Chapter Hunt"),CHOOSE(ArtifactsInput!$N$27+1,20,24,28,32,36,40),0)/100)),0)</f>
        <v/>
      </c>
      <c r="R2399">
        <f>IF(AND(Inputs!$B$38&lt;&gt;"pvp",Inputs!$B$43&gt;0),IF(MAX(0,Inputs!$B$43-B2421)&lt;=0,0,(INT(MAX(0,Inputs!$B$43-B2421)/(IF(Inputs!$B$38="pvp",15,MAX(0.1,Skills!D10-IF(Skills!E10=TRUE,Inputs!$B$32,0)))*(1-IF(AND(ArtifactsInput!$M$27,Inputs!$B$4="Chapter Hunt"),CHOOSE(ArtifactsInput!$N$27+1,20,24,28,32,36,40),0)/100)))+1)),0)</f>
        <v/>
      </c>
      <c r="S2399">
        <f>IFERROR(O2399/N2399,0)</f>
        <v/>
      </c>
      <c r="T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$21+Skills!Q10+(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Skills!A11</f>
        <v/>
      </c>
      <c r="B2400">
        <f>Skills!B11</f>
        <v/>
      </c>
      <c r="C2400">
        <f>Inputs!$B$3&gt;=113</f>
        <v/>
      </c>
      <c r="D2400">
        <f>IF(Skills!C11=1,60+Inputs!$B$25+Inputs!$B$29,IF(Skills!C11=2,90+Inputs!$B$26+Inputs!$B$29,IF(Skills!C11=3,120+Inputs!$B$27+Inputs!$B$29,MAX(0,(Inputs!$B$3-100)*3)+Inputs!$B$28+Inputs!$B$29)))</f>
        <v/>
      </c>
      <c r="E2400">
        <f>INDEX(FactorTable!$B$2:$Y$301, MATCH(ROUND(MIN(300,MAX(1,D2400)),0), FactorTable!$A$2:$A$301,0), Skills!M11+1)</f>
        <v/>
      </c>
      <c r="F2400">
        <f>IF(Skills!N11=TRUE,(Skills!L11/10)*(E2400/1000),Skills!L11/10)+Skills!O11</f>
        <v/>
      </c>
      <c r="G2400">
        <f>Skills!G11*IF(Skills!H11&gt;0,Skills!I11/Skills!H11,1)</f>
        <v/>
      </c>
      <c r="H2400">
        <f>1-(1-Skills!J11/100)^Skills!K11</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2409=TRUE)*(F2409-Calc!F20)),(Inputs!$B$23+0+(IF(ArtifactsInput!$M$15,CHOOSE(ArtifactsInput!$N$15+1,25,30,35,40,45,50)/100*(Inputs!$B$11-Inputs!$B$11),0))))/100+(Inputs!$B$23+0+(IF(ArtifactsInput!$M$15,CHOOSE(ArtifactsInput!$N$15+1,25,30,35,40,45,50)/100*(Inputs!$B$11-Inputs!$B$11),0)))/100)/2</f>
        <v/>
      </c>
      <c r="M2400">
        <f>L2400*(1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IF(B2424=0,0,O2400/B2424)</f>
        <v/>
      </c>
      <c r="Q2400">
        <f>IFERROR(1/(IF(Inputs!$B$38="pvp",15,MAX(0.1,Skills!D11-IF(Skills!E11=TRUE,Inputs!$B$32,0)))*(1-IF(AND(ArtifactsInput!$M$27,Inputs!$B$4="Chapter Hunt"),CHOOSE(ArtifactsInput!$N$27+1,20,24,28,32,36,40),0)/100)),0)</f>
        <v/>
      </c>
      <c r="R2400">
        <f>IF(AND(Inputs!$B$38&lt;&gt;"pvp",Inputs!$B$43&gt;0),IF(MAX(0,Inputs!$B$43-B2421)&lt;=0,0,(INT(MAX(0,Inputs!$B$43-B2421)/(IF(Inputs!$B$38="pvp",15,MAX(0.1,Skills!D11-IF(Skills!E11=TRUE,Inputs!$B$32,0)))*(1-IF(AND(ArtifactsInput!$M$27,Inputs!$B$4="Chapter Hunt"),CHOOSE(ArtifactsInput!$N$27+1,20,24,28,32,36,40),0)/100)))+1)),0)</f>
        <v/>
      </c>
      <c r="S2400">
        <f>IFERROR(O2400/N2400,0)</f>
        <v/>
      </c>
      <c r="T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$21+Skills!Q11+(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Skills!A12</f>
        <v/>
      </c>
      <c r="B2401">
        <f>Skills!B12</f>
        <v/>
      </c>
      <c r="C2401">
        <f>Inputs!$B$3&gt;=100</f>
        <v/>
      </c>
      <c r="D2401">
        <f>IF(Skills!C12=1,60+Inputs!$B$25+Inputs!$B$29,IF(Skills!C12=2,90+Inputs!$B$26+Inputs!$B$29,IF(Skills!C12=3,120+Inputs!$B$27+Inputs!$B$29,MAX(0,(Inputs!$B$3-100)*3)+Inputs!$B$28+Inputs!$B$29)))</f>
        <v/>
      </c>
      <c r="E2401">
        <f>INDEX(FactorTable!$B$2:$Y$301, MATCH(ROUND(MIN(300,MAX(1,D2401)),0), FactorTable!$A$2:$A$301,0), Skills!M12+1)</f>
        <v/>
      </c>
      <c r="F2401">
        <f>IF(Skills!N12=TRUE,(Skills!L12/10)*(E2401/1000),Skills!L12/10)+Skills!O12</f>
        <v/>
      </c>
      <c r="G2401" t="inlineStr"/>
      <c r="H2401" t="inlineStr"/>
      <c r="I2401" t="inlineStr">
        <is>
          <t>1</t>
        </is>
      </c>
      <c r="J2401" t="inlineStr"/>
      <c r="K2401" t="inlineStr"/>
      <c r="L2401" t="inlineStr"/>
      <c r="M2401" t="inlineStr"/>
      <c r="N2401" t="inlineStr"/>
      <c r="O2401" t="inlineStr"/>
      <c r="P2401" t="inlineStr"/>
      <c r="Q2401" t="inlineStr"/>
      <c r="R2401" t="inlineStr"/>
      <c r="S2401" t="inlineStr"/>
      <c r="T2401" t="inlineStr"/>
      <c r="V2401" t="inlineStr"/>
    </row>
    <row r="2402">
      <c r="A2402">
        <f>Skills!A13</f>
        <v/>
      </c>
      <c r="B2402">
        <f>Skills!B13</f>
        <v/>
      </c>
      <c r="C2402">
        <f>Inputs!$B$3&gt;=66</f>
        <v/>
      </c>
      <c r="D2402">
        <f>IF(Skills!C13=1,60+Inputs!$B$25+Inputs!$B$29,IF(Skills!C13=2,90+Inputs!$B$26+Inputs!$B$29,IF(Skills!C13=3,120+Inputs!$B$27+Inputs!$B$29,MAX(0,(Inputs!$B$3-100)*3)+Inputs!$B$28+Inputs!$B$29)))</f>
        <v/>
      </c>
      <c r="E2402">
        <f>INDEX(FactorTable!$B$2:$Y$301, MATCH(ROUND(MIN(300,MAX(1,D2402)),0), FactorTable!$A$2:$A$301,0), Skills!M13+1)</f>
        <v/>
      </c>
      <c r="F2402">
        <f>IF(Skills!N13=TRUE,(Skills!L13/10)*(E2402/1000),Skills!L13/10)+Skills!O13</f>
        <v/>
      </c>
      <c r="G2402">
        <f>Skills!G13*IF(Skills!H13&gt;0,Skills!I13/Skills!H13,1)</f>
        <v/>
      </c>
      <c r="H2402">
        <f>1-(1-Skills!J13/100)^Skills!K13</f>
        <v/>
      </c>
      <c r="I2402" t="inlineStr">
        <is>
          <t>1</t>
        </is>
      </c>
      <c r="J2402" t="inlineStr"/>
      <c r="K2402" t="inlineStr"/>
      <c r="L2402" t="inlineStr"/>
      <c r="M2402" t="inlineStr"/>
      <c r="N2402" t="inlineStr"/>
      <c r="O2402">
        <f>(1-Summary!$B$11)*T2402+Summary!$B$11*V2402</f>
        <v/>
      </c>
      <c r="P2402">
        <f>IF(B2424=0,0,O2402/B2424)</f>
        <v/>
      </c>
      <c r="Q2402" t="n">
        <v>0</v>
      </c>
      <c r="R2402" t="n">
        <v>0</v>
      </c>
      <c r="S2402">
        <f>IFERROR(O2402/N2402,0)</f>
        <v/>
      </c>
      <c r="T2402" t="n">
        <v>0</v>
      </c>
      <c r="V2402" t="n">
        <v>0</v>
      </c>
    </row>
    <row r="2403">
      <c r="A2403">
        <f>Skills!A14</f>
        <v/>
      </c>
      <c r="B2403">
        <f>Skills!B14</f>
        <v/>
      </c>
      <c r="C2403">
        <f>Inputs!$B$3&gt;=107</f>
        <v/>
      </c>
      <c r="D2403">
        <f>IF(Skills!C14=1,60+Inputs!$B$25+Inputs!$B$29,IF(Skills!C14=2,90+Inputs!$B$26+Inputs!$B$29,IF(Skills!C14=3,120+Inputs!$B$27+Inputs!$B$29,MAX(0,(Inputs!$B$3-100)*3)+Inputs!$B$28+Inputs!$B$29)))</f>
        <v/>
      </c>
      <c r="E2403">
        <f>INDEX(FactorTable!$B$2:$Y$301, MATCH(ROUND(MIN(300,MAX(1,D2403)),0), FactorTable!$A$2:$A$301,0), Skills!M14+1)</f>
        <v/>
      </c>
      <c r="F2403">
        <f>IF(Skills!N14=TRUE,(Skills!L14/10)*(E2403/1000),Skills!L14/10)+Skills!O14</f>
        <v/>
      </c>
      <c r="G2403">
        <f>Skills!G14*IF(Skills!H14&gt;0,Skills!I14/Skills!H14,1)</f>
        <v/>
      </c>
      <c r="H2403">
        <f>1-(1-Skills!J14/100)^Skills!K14</f>
        <v/>
      </c>
      <c r="I2403" t="inlineStr">
        <is>
          <t>1</t>
        </is>
      </c>
      <c r="J2403" t="inlineStr"/>
      <c r="K2403" t="inlineStr"/>
      <c r="L2403" t="inlineStr"/>
      <c r="M2403" t="inlineStr"/>
      <c r="N2403" t="inlineStr"/>
      <c r="O2403">
        <f>(1-Summary!$B$11)*T2403+Summary!$B$11*V2403</f>
        <v/>
      </c>
      <c r="P2403">
        <f>IF(B2424=0,0,O2403/B2424)</f>
        <v/>
      </c>
      <c r="Q2403" t="n">
        <v>0</v>
      </c>
      <c r="R2403" t="n">
        <v>0</v>
      </c>
      <c r="S2403">
        <f>IFERROR(O2403/N2403,0)</f>
        <v/>
      </c>
      <c r="T2403" t="n">
        <v>0</v>
      </c>
      <c r="V2403" t="n">
        <v>0</v>
      </c>
    </row>
    <row r="2404">
      <c r="A2404">
        <f>Skills!A15</f>
        <v/>
      </c>
      <c r="B2404">
        <f>Skills!B15</f>
        <v/>
      </c>
      <c r="C2404">
        <f>Inputs!$B$3&gt;=115</f>
        <v/>
      </c>
      <c r="D2404">
        <f>IF(Skills!C15=1,60+Inputs!$B$25+Inputs!$B$29,IF(Skills!C15=2,90+Inputs!$B$26+Inputs!$B$29,IF(Skills!C15=3,120+Inputs!$B$27+Inputs!$B$29,MAX(0,(Inputs!$B$3-100)*3)+Inputs!$B$28+Inputs!$B$29)))</f>
        <v/>
      </c>
      <c r="E2404">
        <f>INDEX(FactorTable!$B$2:$Y$301, MATCH(ROUND(MIN(300,MAX(1,D2404)),0), FactorTable!$A$2:$A$301,0), Skills!M15+1)</f>
        <v/>
      </c>
      <c r="F2404">
        <f>IF(Skills!N15=TRUE,(Skills!L15/10)*(E2404/1000),Skills!L15/10)+Skills!O15</f>
        <v/>
      </c>
      <c r="G2404">
        <f>Skills!G15*IF(Skills!H15&gt;0,Skills!I15/Skills!H15,1)</f>
        <v/>
      </c>
      <c r="H2404">
        <f>1-(1-Skills!J15/100)^Skills!K15</f>
        <v/>
      </c>
      <c r="I2404" t="inlineStr">
        <is>
          <t>1</t>
        </is>
      </c>
      <c r="J2404" t="inlineStr"/>
      <c r="K2404" t="inlineStr"/>
      <c r="L2404" t="inlineStr"/>
      <c r="M2404" t="inlineStr"/>
      <c r="N2404" t="inlineStr"/>
      <c r="O2404">
        <f>(1-Summary!$B$11)*T2404+Summary!$B$11*V2404</f>
        <v/>
      </c>
      <c r="P2404">
        <f>IF(B2424=0,0,O2404/B2424)</f>
        <v/>
      </c>
      <c r="Q2404" t="n">
        <v>0</v>
      </c>
      <c r="R2404" t="n">
        <v>0</v>
      </c>
      <c r="S2404">
        <f>IFERROR(O2404/N2404,0)</f>
        <v/>
      </c>
      <c r="T2404" t="n">
        <v>0</v>
      </c>
      <c r="V2404" t="n">
        <v>0</v>
      </c>
    </row>
    <row r="2405">
      <c r="A2405">
        <f>Skills!A16</f>
        <v/>
      </c>
      <c r="B2405">
        <f>Skills!B16</f>
        <v/>
      </c>
      <c r="C2405">
        <f>Inputs!$B$3&gt;=15</f>
        <v/>
      </c>
      <c r="D2405">
        <f>IF(Skills!C16=1,60+Inputs!$B$25+Inputs!$B$29,IF(Skills!C16=2,90+Inputs!$B$26+Inputs!$B$29,IF(Skills!C16=3,120+Inputs!$B$27+Inputs!$B$29,MAX(0,(Inputs!$B$3-100)*3)+Inputs!$B$28+Inputs!$B$29)))</f>
        <v/>
      </c>
      <c r="E2405">
        <f>INDEX(FactorTable!$B$2:$Y$301, MATCH(ROUND(MIN(300,MAX(1,D2405)),0), FactorTable!$A$2:$A$301,0), Skills!M16+1)</f>
        <v/>
      </c>
      <c r="F2405">
        <f>IF(Skills!N16=TRUE,(Skills!L16/10)*(E2405/1000),Skills!L16/10)+Skills!O16</f>
        <v/>
      </c>
      <c r="G2405">
        <f>Skills!G16*IF(Skills!H16&gt;0,Skills!I16/Skills!H16,1)</f>
        <v/>
      </c>
      <c r="H2405">
        <f>1-(1-Skills!J16/100)^Skills!K16</f>
        <v/>
      </c>
      <c r="I2405" t="inlineStr">
        <is>
          <t>1</t>
        </is>
      </c>
      <c r="J2405" t="inlineStr"/>
      <c r="K2405" t="inlineStr"/>
      <c r="L2405" t="inlineStr"/>
      <c r="M2405" t="inlineStr"/>
      <c r="N2405" t="inlineStr"/>
      <c r="O2405">
        <f>(1-Summary!$B$11)*T2405+Summary!$B$11*V2405</f>
        <v/>
      </c>
      <c r="P2405">
        <f>IF(B2424=0,0,O2405/B2424)</f>
        <v/>
      </c>
      <c r="Q2405" t="n">
        <v>0</v>
      </c>
      <c r="R2405" t="n">
        <v>0</v>
      </c>
      <c r="S2405">
        <f>IFERROR(O2405/N2405,0)</f>
        <v/>
      </c>
      <c r="T2405" t="n">
        <v>0</v>
      </c>
      <c r="V2405" t="n">
        <v>0</v>
      </c>
    </row>
    <row r="2406">
      <c r="A2406">
        <f>Skills!A17</f>
        <v/>
      </c>
      <c r="B2406">
        <f>Skills!B17</f>
        <v/>
      </c>
      <c r="C2406">
        <f>Inputs!$B$3&gt;=10</f>
        <v/>
      </c>
      <c r="D2406">
        <f>IF(Skills!C17=1,60+Inputs!$B$25+Inputs!$B$29,IF(Skills!C17=2,90+Inputs!$B$26+Inputs!$B$29,IF(Skills!C17=3,120+Inputs!$B$27+Inputs!$B$29,MAX(0,(Inputs!$B$3-100)*3)+Inputs!$B$28+Inputs!$B$29)))</f>
        <v/>
      </c>
      <c r="E2406">
        <f>INDEX(FactorTable!$B$2:$Y$301, MATCH(ROUND(MIN(300,MAX(1,D2406)),0), FactorTable!$A$2:$A$301,0), Skills!M17+1)</f>
        <v/>
      </c>
      <c r="F2406">
        <f>IF(Skills!N17=TRUE,(Skills!L17/10)*(E2406/1000),Skills!L17/10)+Skills!O17</f>
        <v/>
      </c>
      <c r="G2406">
        <f>Skills!G17*IF(Skills!H17&gt;0,Skills!I17/Skills!H17,1)</f>
        <v/>
      </c>
      <c r="H2406">
        <f>1-(1-Skills!J17/100)^Skills!K17</f>
        <v/>
      </c>
      <c r="I2406" t="inlineStr">
        <is>
          <t>1</t>
        </is>
      </c>
      <c r="J2406" t="inlineStr"/>
      <c r="K2406" t="inlineStr"/>
      <c r="L2406" t="inlineStr"/>
      <c r="M2406" t="inlineStr"/>
      <c r="N2406" t="inlineStr"/>
      <c r="O2406">
        <f>(1-Summary!$B$11)*T2406+Summary!$B$11*V2406</f>
        <v/>
      </c>
      <c r="P2406">
        <f>IF(B2424=0,0,O2406/B2424)</f>
        <v/>
      </c>
      <c r="Q2406" t="n">
        <v>0</v>
      </c>
      <c r="R2406" t="n">
        <v>0</v>
      </c>
      <c r="S2406">
        <f>IFERROR(O2406/N2406,0)</f>
        <v/>
      </c>
      <c r="T2406" t="n">
        <v>0</v>
      </c>
      <c r="V2406" t="n">
        <v>0</v>
      </c>
    </row>
    <row r="2407">
      <c r="A2407">
        <f>Skills!A18</f>
        <v/>
      </c>
      <c r="B2407">
        <f>Skills!B18</f>
        <v/>
      </c>
      <c r="C2407">
        <f>Inputs!$B$3&gt;=33</f>
        <v/>
      </c>
      <c r="D2407">
        <f>IF(Skills!C18=1,60+Inputs!$B$25+Inputs!$B$29,IF(Skills!C18=2,90+Inputs!$B$26+Inputs!$B$29,IF(Skills!C18=3,120+Inputs!$B$27+Inputs!$B$29,MAX(0,(Inputs!$B$3-100)*3)+Inputs!$B$28+Inputs!$B$29)))</f>
        <v/>
      </c>
      <c r="E2407">
        <f>INDEX(FactorTable!$B$2:$Y$301, MATCH(ROUND(MIN(300,MAX(1,D2407)),0), FactorTable!$A$2:$A$301,0), Skills!M18+1)</f>
        <v/>
      </c>
      <c r="F2407">
        <f>IF(Skills!N18=TRUE,(Skills!L18/10)*(E2407/1000),Skills!L18/10)+Skills!O18</f>
        <v/>
      </c>
      <c r="G2407">
        <f>Skills!G18*IF(Skills!H18&gt;0,Skills!I18/Skills!H18,1)</f>
        <v/>
      </c>
      <c r="H2407">
        <f>1-(1-Skills!J18/100)^Skills!K18</f>
        <v/>
      </c>
      <c r="I2407" t="inlineStr">
        <is>
          <t>1</t>
        </is>
      </c>
      <c r="J2407" t="inlineStr"/>
      <c r="K2407" t="inlineStr"/>
      <c r="L2407" t="inlineStr"/>
      <c r="M2407" t="inlineStr"/>
      <c r="N2407" t="inlineStr"/>
      <c r="O2407">
        <f>(1-Summary!$B$11)*T2407+Summary!$B$11*V2407</f>
        <v/>
      </c>
      <c r="P2407">
        <f>IF(B2424=0,0,O2407/B2424)</f>
        <v/>
      </c>
      <c r="Q2407" t="n">
        <v>0</v>
      </c>
      <c r="R2407" t="n">
        <v>0</v>
      </c>
      <c r="S2407">
        <f>IFERROR(O2407/N2407,0)</f>
        <v/>
      </c>
      <c r="T2407" t="n">
        <v>0</v>
      </c>
      <c r="V2407" t="n">
        <v>0</v>
      </c>
    </row>
    <row r="2408">
      <c r="A2408">
        <f>Skills!A19</f>
        <v/>
      </c>
      <c r="B2408">
        <f>Skills!B19</f>
        <v/>
      </c>
      <c r="C2408">
        <f>Inputs!$B$3&gt;=40</f>
        <v/>
      </c>
      <c r="D2408">
        <f>IF(Skills!C19=1,60+Inputs!$B$25+Inputs!$B$29,IF(Skills!C19=2,90+Inputs!$B$26+Inputs!$B$29,IF(Skills!C19=3,120+Inputs!$B$27+Inputs!$B$29,MAX(0,(Inputs!$B$3-100)*3)+Inputs!$B$28+Inputs!$B$29)))</f>
        <v/>
      </c>
      <c r="E2408">
        <f>INDEX(FactorTable!$B$2:$Y$301, MATCH(ROUND(MIN(300,MAX(1,D2408)),0), FactorTable!$A$2:$A$301,0), Skills!M19+1)</f>
        <v/>
      </c>
      <c r="F2408">
        <f>IF(Skills!N19=TRUE,(Skills!L19/10)*(E2408/1000),Skills!L19/10)+Skills!O19</f>
        <v/>
      </c>
      <c r="G2408">
        <f>Skills!G19*IF(Skills!H19&gt;0,Skills!I19/Skills!H19,1)</f>
        <v/>
      </c>
      <c r="H2408">
        <f>1-(1-Skills!J19/100)^Skills!K19</f>
        <v/>
      </c>
      <c r="I2408" t="inlineStr">
        <is>
          <t>1</t>
        </is>
      </c>
      <c r="J2408" t="inlineStr"/>
      <c r="K2408" t="inlineStr"/>
      <c r="L2408" t="inlineStr"/>
      <c r="M2408" t="inlineStr"/>
      <c r="N2408" t="inlineStr"/>
      <c r="O2408">
        <f>(1-Summary!$B$11)*T2408+Summary!$B$11*V2408</f>
        <v/>
      </c>
      <c r="P2408">
        <f>IF(B2424=0,0,O2408/B2424)</f>
        <v/>
      </c>
      <c r="Q2408" t="n">
        <v>0</v>
      </c>
      <c r="R2408" t="n">
        <v>0</v>
      </c>
      <c r="S2408">
        <f>IFERROR(O2408/N2408,0)</f>
        <v/>
      </c>
      <c r="T2408" t="n">
        <v>0</v>
      </c>
      <c r="V2408" t="n">
        <v>0</v>
      </c>
    </row>
    <row r="2409">
      <c r="A2409">
        <f>Skills!A20</f>
        <v/>
      </c>
      <c r="B2409">
        <f>Skills!B20</f>
        <v/>
      </c>
      <c r="C2409">
        <f>Inputs!$B$3&gt;=43</f>
        <v/>
      </c>
      <c r="D2409">
        <f>IF(Skills!C20=1,60+Inputs!$B$25+Inputs!$B$29,IF(Skills!C20=2,90+Inputs!$B$26+Inputs!$B$29,IF(Skills!C20=3,120+Inputs!$B$27+Inputs!$B$29,MAX(0,(Inputs!$B$3-100)*3)+Inputs!$B$28+Inputs!$B$29)))</f>
        <v/>
      </c>
      <c r="E2409">
        <f>INDEX(FactorTable!$B$2:$Y$301, MATCH(ROUND(MIN(300,MAX(1,D2409)),0), FactorTable!$A$2:$A$301,0), Skills!M20+1)</f>
        <v/>
      </c>
      <c r="F2409">
        <f>IF(Skills!N20=TRUE,(Skills!L20/10)*(E2409/1000),Skills!L20/10)+Skills!O20</f>
        <v/>
      </c>
      <c r="G2409">
        <f>Skills!G20*IF(Skills!H20&gt;0,Skills!I20/Skills!H20,1)</f>
        <v/>
      </c>
      <c r="H2409">
        <f>1-(1-Skills!J20/100)^Skills!K20</f>
        <v/>
      </c>
      <c r="I2409" t="inlineStr">
        <is>
          <t>1</t>
        </is>
      </c>
      <c r="J2409" t="inlineStr"/>
      <c r="K2409" t="inlineStr"/>
      <c r="L2409" t="inlineStr"/>
      <c r="M2409" t="inlineStr"/>
      <c r="N2409" t="inlineStr"/>
      <c r="O2409">
        <f>(1-Summary!$B$11)*T2409+Summary!$B$11*V2409</f>
        <v/>
      </c>
      <c r="P2409">
        <f>IF(B2424=0,0,O2409/B2424)</f>
        <v/>
      </c>
      <c r="Q2409" t="n">
        <v>0</v>
      </c>
      <c r="R2409" t="n">
        <v>0</v>
      </c>
      <c r="S2409">
        <f>IFERROR(O2409/N2409,0)</f>
        <v/>
      </c>
      <c r="T2409" t="n">
        <v>0</v>
      </c>
      <c r="V2409" t="n">
        <v>0</v>
      </c>
    </row>
    <row r="2410">
      <c r="A2410">
        <f>Skills!A21</f>
        <v/>
      </c>
      <c r="B2410">
        <f>Skills!B21</f>
        <v/>
      </c>
      <c r="C2410">
        <f>Inputs!$B$3&gt;=38</f>
        <v/>
      </c>
      <c r="D2410">
        <f>IF(Skills!C21=1,60+Inputs!$B$25+Inputs!$B$29,IF(Skills!C21=2,90+Inputs!$B$26+Inputs!$B$29,IF(Skills!C21=3,120+Inputs!$B$27+Inputs!$B$29,MAX(0,(Inputs!$B$3-100)*3)+Inputs!$B$28+Inputs!$B$29)))</f>
        <v/>
      </c>
      <c r="E2410">
        <f>INDEX(FactorTable!$B$2:$Y$301, MATCH(ROUND(MIN(300,MAX(1,D2410)),0), FactorTable!$A$2:$A$301,0), Skills!M21+1)</f>
        <v/>
      </c>
      <c r="F2410">
        <f>IF(Skills!N21=TRUE,(Skills!L21/10)*(E2410/1000),Skills!L21/10)+Skills!O21</f>
        <v/>
      </c>
      <c r="G2410">
        <f>Skills!G21*IF(Skills!H21&gt;0,Skills!I21/Skills!H21,1)</f>
        <v/>
      </c>
      <c r="H2410">
        <f>1-(1-Skills!J21/100)^Skills!K21</f>
        <v/>
      </c>
      <c r="I2410" t="inlineStr">
        <is>
          <t>1</t>
        </is>
      </c>
      <c r="J2410" t="inlineStr"/>
      <c r="K2410" t="inlineStr"/>
      <c r="L2410" t="inlineStr"/>
      <c r="M2410" t="inlineStr"/>
      <c r="N2410" t="inlineStr"/>
      <c r="O2410">
        <f>(1-Summary!$B$11)*T2410+Summary!$B$11*V2410</f>
        <v/>
      </c>
      <c r="P2410">
        <f>IF(B2424=0,0,O2410/B2424)</f>
        <v/>
      </c>
      <c r="Q2410" t="n">
        <v>0</v>
      </c>
      <c r="R2410" t="n">
        <v>0</v>
      </c>
      <c r="S2410">
        <f>IFERROR(O2410/N2410,0)</f>
        <v/>
      </c>
      <c r="T2410" t="n">
        <v>0</v>
      </c>
      <c r="V2410" t="n">
        <v>0</v>
      </c>
    </row>
    <row r="2411">
      <c r="A2411">
        <f>Skills!A22</f>
        <v/>
      </c>
      <c r="B2411">
        <f>Skills!B22</f>
        <v/>
      </c>
      <c r="C2411">
        <f>Inputs!$B$3&gt;=75</f>
        <v/>
      </c>
      <c r="D2411">
        <f>IF(Skills!C22=1,60+Inputs!$B$25+Inputs!$B$29,IF(Skills!C22=2,90+Inputs!$B$26+Inputs!$B$29,IF(Skills!C22=3,120+Inputs!$B$27+Inputs!$B$29,MAX(0,(Inputs!$B$3-100)*3)+Inputs!$B$28+Inputs!$B$29)))</f>
        <v/>
      </c>
      <c r="E2411">
        <f>INDEX(FactorTable!$B$2:$Y$301, MATCH(ROUND(MIN(300,MAX(1,D2411)),0), FactorTable!$A$2:$A$301,0), Skills!M22+1)</f>
        <v/>
      </c>
      <c r="F2411">
        <f>IF(Skills!N22=TRUE,(Skills!L22/10)*(E2411/1000),Skills!L22/10)+Skills!O22</f>
        <v/>
      </c>
      <c r="G2411">
        <f>Skills!G22*IF(Skills!H22&gt;0,Skills!I22/Skills!H22,1)</f>
        <v/>
      </c>
      <c r="H2411">
        <f>1-(1-Skills!J22/100)^Skills!K22</f>
        <v/>
      </c>
      <c r="I2411" t="inlineStr">
        <is>
          <t>1</t>
        </is>
      </c>
      <c r="J2411" t="inlineStr"/>
      <c r="K2411" t="inlineStr"/>
      <c r="L2411" t="inlineStr"/>
      <c r="M2411" t="inlineStr"/>
      <c r="N2411" t="inlineStr"/>
      <c r="O2411">
        <f>(1-Summary!$B$11)*T2411+Summary!$B$11*V2411</f>
        <v/>
      </c>
      <c r="P2411">
        <f>IF(B2424=0,0,O2411/B2424)</f>
        <v/>
      </c>
      <c r="Q2411" t="n">
        <v>0</v>
      </c>
      <c r="R2411" t="n">
        <v>0</v>
      </c>
      <c r="S2411">
        <f>IFERROR(O2411/N2411,0)</f>
        <v/>
      </c>
      <c r="T2411" t="n">
        <v>0</v>
      </c>
      <c r="V2411" t="n">
        <v>0</v>
      </c>
    </row>
    <row r="2413">
      <c r="A2413" t="inlineStr">
        <is>
          <t>Attack% Bucket Multiplier</t>
        </is>
      </c>
      <c r="B2413">
        <f>(1+(((C2402=TRUE)*F2402)+((C2408=TRUE)*(F2408-Calc!F19))+(IF(ArtifactsInput!$M$21,CHOOSE(ArtifactsInput!$N$21+1,25,30,35,40,45,50)*(IF(OR(Inputs!$B$4="Chapter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4">
      <c r="A2414" t="inlineStr">
        <is>
          <t>Global Crit Rate Bonus %</t>
        </is>
      </c>
      <c r="B2414" t="n">
        <v>0</v>
      </c>
    </row>
    <row r="2415">
      <c r="A2415" t="inlineStr">
        <is>
          <t>Attack Speed Buff Bonus % (unused)</t>
        </is>
      </c>
      <c r="B2415" t="n">
        <v>0</v>
      </c>
    </row>
    <row r="2416">
      <c r="A2416" t="inlineStr">
        <is>
          <t>Actions Per Second</t>
        </is>
      </c>
      <c r="B2416">
        <f>1+MIN(150,150*(1-(1-(Inputs!$B$11+((C2406=TRUE)*(F2406-Calc!F17))+((C2407=TRUE)*(F2407-Calc!F18)))/150)*(1-B2415/150)))/100</f>
        <v/>
      </c>
    </row>
    <row r="2417">
      <c r="A2417" t="inlineStr">
        <is>
          <t>Skill + Buff Cast Rate</t>
        </is>
      </c>
      <c r="B2417">
        <f>IF(AND(Inputs!$B$38&lt;&gt;"pvp",Inputs!$B$43&gt;0),SUMPRODUCT((Skills!E2:E22=TRUE)*(C2391:C2411=TRUE)*R2391:R2411*Skills!F2:F22)/Inputs!$B$43,SUMPRODUCT((Skills!E2:E22=TRUE)*(C2391:C2411=TRUE)*Q2391:Q2411*Skills!F2:F22))</f>
        <v/>
      </c>
    </row>
    <row r="2418">
      <c r="A2418" t="inlineStr">
        <is>
          <t>Hook Bomber Casts Per Second</t>
        </is>
      </c>
      <c r="B2418">
        <f>MAX(0,B2416-B2417)</f>
        <v/>
      </c>
    </row>
    <row r="2419">
      <c r="A2419" t="inlineStr">
        <is>
          <t>Global Critical Damage Bonus % (unused)</t>
        </is>
      </c>
      <c r="B2419" t="n">
        <v>0</v>
      </c>
    </row>
    <row r="2420">
      <c r="A2420" t="inlineStr">
        <is>
          <t>Global Final Damage Bonus % (Serpent Scale + Crossbones + Time Leap + Speed Infusion)</t>
        </is>
      </c>
      <c r="B2420">
        <f>((C2394=TRUE)*F2394*((10+IF(Inputs!$B$3&gt;=94,5,0))/((10+IF(Inputs!$B$3&gt;=94,5,0))+5/(B2418*(1+IF(Inputs!$B$3&gt;=104,1,0))))))+((C2403=TRUE)*F2403)+((C2404=TRUE)*F2404)+((Inputs!$B$3&gt;=110)*20*(B2416-1))</f>
        <v/>
      </c>
    </row>
    <row r="2421">
      <c r="A2421" t="inlineStr">
        <is>
          <t>Buff-Casting Startup Delay (s, fixed-duration only)</t>
        </is>
      </c>
      <c r="B2421">
        <f>IF(AND(Inputs!$B$38&lt;&gt;"pvp",Inputs!$B$43&gt;0),SUMPRODUCT((Skills!T2:T22&gt;0)*(Skills!E2:E22=TRUE)*(C2391:C2411=TRUE))/B2416,0)</f>
        <v/>
      </c>
    </row>
    <row r="2422">
      <c r="A2422" t="inlineStr">
        <is>
          <t>Boss-Only Total DPS (this block's swept value)</t>
        </is>
      </c>
      <c r="B2422">
        <f>SUM(T2391:T2411)</f>
        <v/>
      </c>
    </row>
    <row r="2423">
      <c r="A2423" t="inlineStr">
        <is>
          <t>Normal-Only Total DPS (this block's swept value)</t>
        </is>
      </c>
      <c r="B2423">
        <f>SUM(V2391:V2411)</f>
        <v/>
      </c>
    </row>
    <row r="2424">
      <c r="A2424" s="6" t="inlineStr">
        <is>
          <t>TOTAL DPS</t>
        </is>
      </c>
      <c r="B2424" s="6">
        <f>SUM(O2391:O2411)</f>
        <v/>
      </c>
    </row>
    <row r="2427">
      <c r="A2427" s="9" t="inlineStr">
        <is>
          <t>Cooldown Reduction Milestone Sweep (absolute CDR seconds, fixed-duration content only)</t>
        </is>
      </c>
    </row>
    <row r="2428">
      <c r="A2428" s="5" t="inlineStr">
        <is>
          <t>CDR (s)</t>
        </is>
      </c>
      <c r="B2428" s="5" t="inlineStr">
        <is>
          <t>Total DPS</t>
        </is>
      </c>
      <c r="C2428" s="5" t="inlineStr">
        <is>
          <t>DPS Gain (vs prior step)</t>
        </is>
      </c>
      <c r="D2428" s="5" t="inlineStr">
        <is>
          <t>% Gain (vs current CDR)</t>
        </is>
      </c>
    </row>
    <row r="2429">
      <c r="A2429" t="n">
        <v>0.5</v>
      </c>
      <c r="B2429">
        <f>B2476</f>
        <v/>
      </c>
      <c r="C2429" t="n">
        <v>0</v>
      </c>
      <c r="D2429">
        <f>IF(Summary!$B$3=0,0,(B2429-Summary!$B$3)/Summary!$B$3*100)</f>
        <v/>
      </c>
    </row>
    <row r="2430">
      <c r="A2430" t="n">
        <v>1</v>
      </c>
      <c r="B2430">
        <f>B2514</f>
        <v/>
      </c>
      <c r="C2430">
        <f>B2430-B2429</f>
        <v/>
      </c>
      <c r="D2430">
        <f>IF(Summary!$B$3=0,0,(B2430-Summary!$B$3)/Summary!$B$3*100)</f>
        <v/>
      </c>
    </row>
    <row r="2431">
      <c r="A2431" t="n">
        <v>1.5</v>
      </c>
      <c r="B2431">
        <f>B2552</f>
        <v/>
      </c>
      <c r="C2431">
        <f>B2431-B2430</f>
        <v/>
      </c>
      <c r="D2431">
        <f>IF(Summary!$B$3=0,0,(B2431-Summary!$B$3)/Summary!$B$3*100)</f>
        <v/>
      </c>
    </row>
    <row r="2432">
      <c r="A2432" t="n">
        <v>2</v>
      </c>
      <c r="B2432">
        <f>B2590</f>
        <v/>
      </c>
      <c r="C2432">
        <f>B2432-B2431</f>
        <v/>
      </c>
      <c r="D2432">
        <f>IF(Summary!$B$3=0,0,(B2432-Summary!$B$3)/Summary!$B$3*100)</f>
        <v/>
      </c>
    </row>
    <row r="2433">
      <c r="A2433" t="n">
        <v>2.5</v>
      </c>
      <c r="B2433">
        <f>B2628</f>
        <v/>
      </c>
      <c r="C2433">
        <f>B2433-B2432</f>
        <v/>
      </c>
      <c r="D2433">
        <f>IF(Summary!$B$3=0,0,(B2433-Summary!$B$3)/Summary!$B$3*100)</f>
        <v/>
      </c>
    </row>
    <row r="2434">
      <c r="A2434" t="n">
        <v>3</v>
      </c>
      <c r="B2434">
        <f>B2666</f>
        <v/>
      </c>
      <c r="C2434">
        <f>B2434-B2433</f>
        <v/>
      </c>
      <c r="D2434">
        <f>IF(Summary!$B$3=0,0,(B2434-Summary!$B$3)/Summary!$B$3*100)</f>
        <v/>
      </c>
    </row>
    <row r="2435">
      <c r="A2435" t="n">
        <v>3.5</v>
      </c>
      <c r="B2435">
        <f>B2704</f>
        <v/>
      </c>
      <c r="C2435">
        <f>B2435-B2434</f>
        <v/>
      </c>
      <c r="D2435">
        <f>IF(Summary!$B$3=0,0,(B2435-Summary!$B$3)/Summary!$B$3*100)</f>
        <v/>
      </c>
    </row>
    <row r="2436">
      <c r="A2436" t="n">
        <v>4</v>
      </c>
      <c r="B2436">
        <f>B2742</f>
        <v/>
      </c>
      <c r="C2436">
        <f>B2436-B2435</f>
        <v/>
      </c>
      <c r="D2436">
        <f>IF(Summary!$B$3=0,0,(B2436-Summary!$B$3)/Summary!$B$3*100)</f>
        <v/>
      </c>
    </row>
    <row r="2437">
      <c r="A2437" t="n">
        <v>4.5</v>
      </c>
      <c r="B2437">
        <f>B2780</f>
        <v/>
      </c>
      <c r="C2437">
        <f>B2437-B2436</f>
        <v/>
      </c>
      <c r="D2437">
        <f>IF(Summary!$B$3=0,0,(B2437-Summary!$B$3)/Summary!$B$3*100)</f>
        <v/>
      </c>
    </row>
    <row r="2438">
      <c r="A2438" t="n">
        <v>5</v>
      </c>
      <c r="B2438">
        <f>B2818</f>
        <v/>
      </c>
      <c r="C2438">
        <f>B2438-B2437</f>
        <v/>
      </c>
      <c r="D2438">
        <f>IF(Summary!$B$3=0,0,(B2438-Summary!$B$3)/Summary!$B$3*100)</f>
        <v/>
      </c>
    </row>
    <row r="2441">
      <c r="A2441" s="6" t="inlineStr">
        <is>
          <t>Stat: CDR = 0.5s</t>
        </is>
      </c>
    </row>
    <row r="2442">
      <c r="A2442" s="5" t="inlineStr">
        <is>
          <t>Key</t>
        </is>
      </c>
      <c r="B2442" s="5" t="inlineStr">
        <is>
          <t>Name</t>
        </is>
      </c>
      <c r="C2442" s="5" t="inlineStr">
        <is>
          <t>Unlocked</t>
        </is>
      </c>
      <c r="D2442" s="5" t="inlineStr">
        <is>
          <t>InputLevel</t>
        </is>
      </c>
      <c r="E2442" s="5" t="inlineStr">
        <is>
          <t>Factor</t>
        </is>
      </c>
      <c r="F2442" s="5" t="inlineStr">
        <is>
          <t>CoefficientPercent</t>
        </is>
      </c>
      <c r="G2442" s="5" t="inlineStr">
        <is>
          <t>EffectiveHits</t>
        </is>
      </c>
      <c r="H2442" s="5" t="inlineStr">
        <is>
          <t>ProcProbability</t>
        </is>
      </c>
      <c r="I2442" s="5" t="inlineStr">
        <is>
          <t>MapleHeroMultiplier</t>
        </is>
      </c>
      <c r="J2442" s="5" t="inlineStr">
        <is>
          <t>BaseDamage</t>
        </is>
      </c>
      <c r="K2442" s="5" t="inlineStr">
        <is>
          <t>BaseHitDamage</t>
        </is>
      </c>
      <c r="L2442" s="5" t="inlineStr">
        <is>
          <t>NonCritAvg</t>
        </is>
      </c>
      <c r="M2442" s="5" t="inlineStr">
        <is>
          <t>CritAvg</t>
        </is>
      </c>
      <c r="N2442" s="5" t="inlineStr">
        <is>
          <t>ExpectedDamage(perHit)</t>
        </is>
      </c>
      <c r="O2442" s="5" t="inlineStr">
        <is>
          <t>DPS</t>
        </is>
      </c>
      <c r="P2442" s="5" t="inlineStr">
        <is>
          <t>% of Total</t>
        </is>
      </c>
      <c r="Q2442" s="5" t="inlineStr">
        <is>
          <t>InvCooldown</t>
        </is>
      </c>
      <c r="R2442" s="5" t="inlineStr">
        <is>
          <t>CastsInFight</t>
        </is>
      </c>
      <c r="S2442" s="5" t="inlineStr">
        <is>
          <t>HitRate(perSec)</t>
        </is>
      </c>
      <c r="U2442" t="inlineStr">
        <is>
          <t>helpers</t>
        </is>
      </c>
    </row>
    <row r="2443">
      <c r="A2443">
        <f>Skills!A2</f>
        <v/>
      </c>
      <c r="B2443">
        <f>Skills!B2</f>
        <v/>
      </c>
      <c r="C2443">
        <f>Inputs!$B$3&gt;=100</f>
        <v/>
      </c>
      <c r="D2443" t="inlineStr"/>
      <c r="E2443" t="inlineStr"/>
      <c r="F2443">
        <f>U2445+Skills!O2</f>
        <v/>
      </c>
      <c r="G2443">
        <f>Skills!G2*IF(Skills!H2&gt;0,Skills!I2/Skills!H2,1)</f>
        <v/>
      </c>
      <c r="H2443">
        <f>1-(1-Skills!J2/100)^Skills!K2</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2461=TRUE)*(F2461-Calc!F20)),(Inputs!$B$23+0+(IF(ArtifactsInput!$M$15,CHOOSE(ArtifactsInput!$N$15+1,25,30,35,40,45,50)/100*(Inputs!$B$11-Inputs!$B$11),0))))/100+(Inputs!$B$23+0+(IF(ArtifactsInput!$M$15,CHOOSE(ArtifactsInput!$N$15+1,25,30,35,40,45,50)/100*(Inputs!$B$11-Inputs!$B$11),0)))/100)/2</f>
        <v/>
      </c>
      <c r="M2443">
        <f>L2443*(1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t="n">
        <v>0</v>
      </c>
      <c r="R2443" t="n">
        <v>0</v>
      </c>
      <c r="S2443">
        <f>IFERROR(O2443/N2443,0)</f>
        <v/>
      </c>
      <c r="T2443">
        <f>IF(C2443,(Skills!G2*N2443*B2470)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3">
        <f>MAX(0,(Inputs!$B$3-100)*3)+Inputs!$B$28+Inputs!$B$29</f>
        <v/>
      </c>
      <c r="V2443">
        <f>IF(C2443,(Skills!G2*N2443*B2470)*IF(Inputs!$B$38="pvp",1,(1+(Inputs!$B$21+Skills!Q2+(IF(ArtifactsInput!$M$33,CHOOSE(ArtifactsInput!$N$33+1,30,36,42,48,54,60),0))+(IF(AND(ArtifactsInput!$M$35,Inputs!$B$4&lt;&gt;"Chapter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Skills!A3</f>
        <v/>
      </c>
      <c r="B2444">
        <f>Skills!B3</f>
        <v/>
      </c>
      <c r="C2444">
        <f>Inputs!$B$3&gt;=35</f>
        <v/>
      </c>
      <c r="D2444">
        <f>IF(Skills!C3=1,60+Inputs!$B$25+Inputs!$B$29,IF(Skills!C3=2,90+Inputs!$B$26+Inputs!$B$29,IF(Skills!C3=3,120+Inputs!$B$27+Inputs!$B$29,MAX(0,(Inputs!$B$3-100)*3)+Inputs!$B$28+Inputs!$B$29)))</f>
        <v/>
      </c>
      <c r="E2444">
        <f>INDEX(FactorTable!$B$2:$Y$301, MATCH(ROUND(MIN(300,MAX(1,D2444)),0), FactorTable!$A$2:$A$301,0), Skills!M3+1)</f>
        <v/>
      </c>
      <c r="F2444">
        <f>IF(Skills!N3=TRUE,(Skills!L3/10)*(E2444/1000),Skills!L3/10)+Skills!O3</f>
        <v/>
      </c>
      <c r="G2444">
        <f>Skills!G3*IF(Skills!H3&gt;0,Skills!I3/Skills!H3,1)</f>
        <v/>
      </c>
      <c r="H2444">
        <f>1-(1-Skills!J3/100)^Skills!K3</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2461=TRUE)*(F2461-Calc!F20)),(Inputs!$B$23+0+(IF(ArtifactsInput!$M$15,CHOOSE(ArtifactsInput!$N$15+1,25,30,35,40,45,50)/100*(Inputs!$B$11-Inputs!$B$11),0))))/100+(Inputs!$B$23+0+(IF(ArtifactsInput!$M$15,CHOOSE(ArtifactsInput!$N$15+1,25,30,35,40,45,50)/100*(Inputs!$B$11-Inputs!$B$11),0)))/100)/2</f>
        <v/>
      </c>
      <c r="M2444">
        <f>L2444*(1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t="n">
        <v>0</v>
      </c>
      <c r="R2444" t="n">
        <v>0</v>
      </c>
      <c r="S2444">
        <f>IFERROR(O2444/N2444,0)</f>
        <v/>
      </c>
      <c r="T2444">
        <f>IF(C2444,(Skills!G3*H2444*N2444*B2470)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4">
        <f>INDEX(FactorTable!$B$2:$Y$301, MATCH(ROUND(MIN(300,MAX(1,U2443)),0), FactorTable!$A$2:$A$301,0), 22)</f>
        <v/>
      </c>
      <c r="V2444">
        <f>IF(C2444,(Skills!G3*H2444*N2444*B2470)*IF(Inputs!$B$38="pvp",1,(1+(Inputs!$B$21+Skills!Q3+(IF(ArtifactsInput!$M$33,CHOOSE(ArtifactsInput!$N$33+1,30,36,42,48,54,60),0))+(IF(AND(ArtifactsInput!$M$35,Inputs!$B$4&lt;&gt;"Chapter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Skills!A4</f>
        <v/>
      </c>
      <c r="B2445">
        <f>Skills!B4</f>
        <v/>
      </c>
      <c r="C2445">
        <f>Inputs!$B$3&gt;=60</f>
        <v/>
      </c>
      <c r="D2445">
        <f>IF(Skills!C4=1,60+Inputs!$B$25+Inputs!$B$29,IF(Skills!C4=2,90+Inputs!$B$26+Inputs!$B$29,IF(Skills!C4=3,120+Inputs!$B$27+Inputs!$B$29,MAX(0,(Inputs!$B$3-100)*3)+Inputs!$B$28+Inputs!$B$29)))</f>
        <v/>
      </c>
      <c r="E2445">
        <f>INDEX(FactorTable!$B$2:$Y$301, MATCH(ROUND(MIN(300,MAX(1,D2445)),0), FactorTable!$A$2:$A$301,0), Skills!M4+1)</f>
        <v/>
      </c>
      <c r="F2445">
        <f>IF(Skills!N4=TRUE,(Skills!L4/10)*(E2445/1000),Skills!L4/10)+Skills!O4</f>
        <v/>
      </c>
      <c r="G2445">
        <f>Skills!G4*IF(Skills!H4&gt;0,Skills!I4/Skills!H4,1)</f>
        <v/>
      </c>
      <c r="H2445">
        <f>1-(1-Skills!J4/100)^Skills!K4</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2453=TRUE,F2453,0)/100)*(1+(IF(Skills!A4="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2461=TRUE)*(F2461-Calc!F20)),(Inputs!$B$23+0+(IF(ArtifactsInput!$M$15,CHOOSE(ArtifactsInput!$N$15+1,25,30,35,40,45,50)/100*(Inputs!$B$11-Inputs!$B$11),0))))/100+(Inputs!$B$23+0+(IF(ArtifactsInput!$M$15,CHOOSE(ArtifactsInput!$N$15+1,25,30,35,40,45,50)/100*(Inputs!$B$11-Inputs!$B$11),0)))/100)/2</f>
        <v/>
      </c>
      <c r="M2445">
        <f>L2445*(1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t="n">
        <v>0</v>
      </c>
      <c r="R2445" t="n">
        <v>0</v>
      </c>
      <c r="S2445">
        <f>IFERROR(O2445/N2445,0)</f>
        <v/>
      </c>
      <c r="T2445">
        <f>IF(C2445,(Skills!G4*H2445*N2445*B2470)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5">
        <f>290*U2444/1000</f>
        <v/>
      </c>
      <c r="V2445">
        <f>IF(C2445,(Skills!G4*H2445*N2445*B2470)*IF(Inputs!$B$38="pvp",1,(1+(Inputs!$B$21+Skills!Q4+(IF(ArtifactsInput!$M$33,CHOOSE(ArtifactsInput!$N$33+1,30,36,42,48,54,60),0))+(IF(AND(ArtifactsInput!$M$35,Inputs!$B$4&lt;&gt;"Chapter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Skills!A5</f>
        <v/>
      </c>
      <c r="B2446">
        <f>Skills!B5</f>
        <v/>
      </c>
      <c r="C2446">
        <f>Inputs!$B$3&gt;=60</f>
        <v/>
      </c>
      <c r="D2446">
        <f>IF(Skills!C5=1,60+Inputs!$B$25+Inputs!$B$29,IF(Skills!C5=2,90+Inputs!$B$26+Inputs!$B$29,IF(Skills!C5=3,120+Inputs!$B$27+Inputs!$B$29,MAX(0,(Inputs!$B$3-100)*3)+Inputs!$B$28+Inputs!$B$29)))</f>
        <v/>
      </c>
      <c r="E2446">
        <f>INDEX(FactorTable!$B$2:$Y$301, MATCH(ROUND(MIN(300,MAX(1,D2446)),0), FactorTable!$A$2:$A$301,0), Skills!M5+1)</f>
        <v/>
      </c>
      <c r="F2446">
        <f>IF(Skills!N5=TRUE,(Skills!L5/10)*(E2446/1000),Skills!L5/10)+Skills!O5</f>
        <v/>
      </c>
      <c r="G2446">
        <f>Skills!G5*IF(Skills!H5&gt;0,Skills!I5/Skills!H5,1)</f>
        <v/>
      </c>
      <c r="H2446">
        <f>1-(1-Skills!J5/100)^Skills!K5</f>
        <v/>
      </c>
      <c r="I2446" t="inlineStr">
        <is>
          <t>1</t>
        </is>
      </c>
      <c r="J2446" t="inlineStr"/>
      <c r="K2446" t="inlineStr"/>
      <c r="L2446" t="inlineStr"/>
      <c r="M2446" t="inlineStr"/>
      <c r="N2446" t="inlineStr"/>
      <c r="O2446">
        <f>(1-Summary!$B$11)*T2446+Summary!$B$11*V2446</f>
        <v/>
      </c>
      <c r="P2446">
        <f>IF(B2476=0,0,O2446/B2476)</f>
        <v/>
      </c>
      <c r="Q2446" t="n">
        <v>0</v>
      </c>
      <c r="R2446" t="n">
        <v>0</v>
      </c>
      <c r="S2446">
        <f>IFERROR(O2446/N2446,0)</f>
        <v/>
      </c>
      <c r="T2446" t="n">
        <v>0</v>
      </c>
      <c r="V2446" t="n">
        <v>0</v>
      </c>
    </row>
    <row r="2447">
      <c r="A2447">
        <f>Skills!A6</f>
        <v/>
      </c>
      <c r="B2447">
        <f>Skills!B6</f>
        <v/>
      </c>
      <c r="C2447">
        <f>Inputs!$B$3&gt;=63</f>
        <v/>
      </c>
      <c r="D2447">
        <f>IF(Skills!C6=1,60+Inputs!$B$25+Inputs!$B$29,IF(Skills!C6=2,90+Inputs!$B$26+Inputs!$B$29,IF(Skills!C6=3,120+Inputs!$B$27+Inputs!$B$29,MAX(0,(Inputs!$B$3-100)*3)+Inputs!$B$28+Inputs!$B$29)))</f>
        <v/>
      </c>
      <c r="E2447">
        <f>INDEX(FactorTable!$B$2:$Y$301, MATCH(ROUND(MIN(300,MAX(1,D2447)),0), FactorTable!$A$2:$A$301,0), Skills!M6+1)</f>
        <v/>
      </c>
      <c r="F2447">
        <f>IF(Skills!N6=TRUE,(Skills!L6/10)*(E2447/1000),Skills!L6/10)+Skills!O6</f>
        <v/>
      </c>
      <c r="G2447">
        <f>Skills!G6*IF(Skills!H6&gt;0,Skills!I6/Skills!H6,1)</f>
        <v/>
      </c>
      <c r="H2447">
        <f>1-(1-Skills!J6/100)^Skills!K6</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2461=TRUE)*(F2461-Calc!F20)),(Inputs!$B$23+0+(IF(ArtifactsInput!$M$15,CHOOSE(ArtifactsInput!$N$15+1,25,30,35,40,45,50)/100*(Inputs!$B$11-Inputs!$B$11),0))))/100+(Inputs!$B$23+0+(IF(ArtifactsInput!$M$15,CHOOSE(ArtifactsInput!$N$15+1,25,30,35,40,45,50)/100*(Inputs!$B$11-Inputs!$B$11),0)))/100)/2</f>
        <v/>
      </c>
      <c r="M2447">
        <f>L2447*(1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IFERROR(1/(IF(Inputs!$B$38="pvp",15,MAX(0.1,Skills!D6-IF(Skills!E6=TRUE,0.5,0)))*(1-IF(AND(ArtifactsInput!$M$27,Inputs!$B$4="Chapter Hunt"),CHOOSE(ArtifactsInput!$N$27+1,20,24,28,32,36,40),0)/100)),0)</f>
        <v/>
      </c>
      <c r="R2447">
        <f>IF(AND(Inputs!$B$38&lt;&gt;"pvp",Inputs!$B$43&gt;0),IF(MAX(0,Inputs!$B$43-B2473)&lt;=0,0,(INT(MAX(0,Inputs!$B$43-B2473)/(IF(Inputs!$B$38="pvp",15,MAX(0.1,Skills!D6-IF(Skills!E6=TRUE,0.5,0)))*(1-IF(AND(ArtifactsInput!$M$27,Inputs!$B$4="Chapter Hunt"),CHOOSE(ArtifactsInput!$N$27+1,20,24,28,32,36,40),0)/100)))+1)),0)</f>
        <v/>
      </c>
      <c r="S2447">
        <f>IFERROR(O2447/N2447,0)</f>
        <v/>
      </c>
      <c r="T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Skills!A7</f>
        <v/>
      </c>
      <c r="B2448">
        <f>Skills!B7</f>
        <v/>
      </c>
      <c r="C2448">
        <f>Inputs!$B$3&gt;=100</f>
        <v/>
      </c>
      <c r="D2448">
        <f>IF(Skills!C7=1,60+Inputs!$B$25+Inputs!$B$29,IF(Skills!C7=2,90+Inputs!$B$26+Inputs!$B$29,IF(Skills!C7=3,120+Inputs!$B$27+Inputs!$B$29,MAX(0,(Inputs!$B$3-100)*3)+Inputs!$B$28+Inputs!$B$29)))</f>
        <v/>
      </c>
      <c r="E2448">
        <f>INDEX(FactorTable!$B$2:$Y$301, MATCH(ROUND(MIN(300,MAX(1,D2448)),0), FactorTable!$A$2:$A$301,0), Skills!M7+1)</f>
        <v/>
      </c>
      <c r="F2448">
        <f>IF(Skills!N7=TRUE,(Skills!L7/10)*(E2448/1000),Skills!L7/10)+Skills!O7</f>
        <v/>
      </c>
      <c r="G2448">
        <f>Skills!G7*IF(Skills!H7&gt;0,Skills!I7/Skills!H7,1)</f>
        <v/>
      </c>
      <c r="H2448">
        <f>1-(1-Skills!J7/100)^Skills!K7</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2461=TRUE)*(F2461-Calc!F20)),(Inputs!$B$23+0+(IF(ArtifactsInput!$M$15,CHOOSE(ArtifactsInput!$N$15+1,25,30,35,40,45,50)/100*(Inputs!$B$11-Inputs!$B$11),0))))/100+(Inputs!$B$23+0+(IF(ArtifactsInput!$M$15,CHOOSE(ArtifactsInput!$N$15+1,25,30,35,40,45,50)/100*(Inputs!$B$11-Inputs!$B$11),0)))/100)/2</f>
        <v/>
      </c>
      <c r="M2448">
        <f>L2448*(1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IFERROR(1/(IF(Inputs!$B$38="pvp",15,MAX(0.1,Skills!D7-IF(Skills!E7=TRUE,0.5,0)))*(1-IF(AND(ArtifactsInput!$M$27,Inputs!$B$4="Chapter Hunt"),CHOOSE(ArtifactsInput!$N$27+1,20,24,28,32,36,40),0)/100)),0)</f>
        <v/>
      </c>
      <c r="R2448">
        <f>IF(AND(Inputs!$B$38&lt;&gt;"pvp",Inputs!$B$43&gt;0),IF(MAX(0,Inputs!$B$43-B2473)&lt;=0,0,(INT(MAX(0,Inputs!$B$43-B2473)/(IF(Inputs!$B$38="pvp",15,MAX(0.1,Skills!D7-IF(Skills!E7=TRUE,0.5,0)))*(1-IF(AND(ArtifactsInput!$M$27,Inputs!$B$4="Chapter Hunt"),CHOOSE(ArtifactsInput!$N$27+1,20,24,28,32,36,40),0)/100)))+1)),0)</f>
        <v/>
      </c>
      <c r="S2448">
        <f>IFERROR(O2448/N2448,0)</f>
        <v/>
      </c>
      <c r="T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Skills!A8</f>
        <v/>
      </c>
      <c r="B2449">
        <f>Skills!B8</f>
        <v/>
      </c>
      <c r="C2449">
        <f>Inputs!$B$3&gt;=110</f>
        <v/>
      </c>
      <c r="D2449">
        <f>IF(Skills!C8=1,60+Inputs!$B$25+Inputs!$B$29,IF(Skills!C8=2,90+Inputs!$B$26+Inputs!$B$29,IF(Skills!C8=3,120+Inputs!$B$27+Inputs!$B$29,MAX(0,(Inputs!$B$3-100)*3)+Inputs!$B$28+Inputs!$B$29)))</f>
        <v/>
      </c>
      <c r="E2449">
        <f>INDEX(FactorTable!$B$2:$Y$301, MATCH(ROUND(MIN(300,MAX(1,D2449)),0), FactorTable!$A$2:$A$301,0), Skills!M8+1)</f>
        <v/>
      </c>
      <c r="F2449">
        <f>IF(Skills!N8=TRUE,(Skills!L8/10)*(E2449/1000),Skills!L8/10)+Skills!O8</f>
        <v/>
      </c>
      <c r="G2449">
        <f>Skills!G8*IF(Skills!H8&gt;0,Skills!I8/Skills!H8,1)</f>
        <v/>
      </c>
      <c r="H2449">
        <f>1-(1-Skills!J8/100)^Skills!K8</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2461=TRUE)*(F2461-Calc!F20)),(Inputs!$B$23+0+(IF(ArtifactsInput!$M$15,CHOOSE(ArtifactsInput!$N$15+1,25,30,35,40,45,50)/100*(Inputs!$B$11-Inputs!$B$11),0))))/100+(Inputs!$B$23+0+(IF(ArtifactsInput!$M$15,CHOOSE(ArtifactsInput!$N$15+1,25,30,35,40,45,50)/100*(Inputs!$B$11-Inputs!$B$11),0)))/100)/2</f>
        <v/>
      </c>
      <c r="M2449">
        <f>L2449*(1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IFERROR(1/(IF(Inputs!$B$38="pvp",15,MAX(0.1,Skills!D8-IF(Skills!E8=TRUE,0.5,0)))*(1-IF(AND(ArtifactsInput!$M$27,Inputs!$B$4="Chapter Hunt"),CHOOSE(ArtifactsInput!$N$27+1,20,24,28,32,36,40),0)/100)),0)</f>
        <v/>
      </c>
      <c r="R2449">
        <f>IF(AND(Inputs!$B$38&lt;&gt;"pvp",Inputs!$B$43&gt;0),IF(MAX(0,Inputs!$B$43-B2473)&lt;=0,0,(INT(MAX(0,Inputs!$B$43-B2473)/(IF(Inputs!$B$38="pvp",15,MAX(0.1,Skills!D8-IF(Skills!E8=TRUE,0.5,0)))*(1-IF(AND(ArtifactsInput!$M$27,Inputs!$B$4="Chapter Hunt"),CHOOSE(ArtifactsInput!$N$27+1,20,24,28,32,36,40),0)/100)))+1)),0)</f>
        <v/>
      </c>
      <c r="S2449">
        <f>IFERROR(O2449/N2449,0)</f>
        <v/>
      </c>
      <c r="T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Skills!A9</f>
        <v/>
      </c>
      <c r="B2450">
        <f>Skills!B9</f>
        <v/>
      </c>
      <c r="C2450">
        <f>Inputs!$B$3&gt;=110</f>
        <v/>
      </c>
      <c r="D2450">
        <f>IF(Skills!C9=1,60+Inputs!$B$25+Inputs!$B$29,IF(Skills!C9=2,90+Inputs!$B$26+Inputs!$B$29,IF(Skills!C9=3,120+Inputs!$B$27+Inputs!$B$29,MAX(0,(Inputs!$B$3-100)*3)+Inputs!$B$28+Inputs!$B$29)))</f>
        <v/>
      </c>
      <c r="E2450">
        <f>INDEX(FactorTable!$B$2:$Y$301, MATCH(ROUND(MIN(300,MAX(1,D2450)),0), FactorTable!$A$2:$A$301,0), Skills!M9+1)</f>
        <v/>
      </c>
      <c r="F2450">
        <f>IF(Skills!N9=TRUE,(Skills!L9/10)*(E2450/1000),Skills!L9/10)+Skills!O9</f>
        <v/>
      </c>
      <c r="G2450">
        <f>Skills!G9*IF(Skills!H9&gt;0,Skills!I9/Skills!H9,1)</f>
        <v/>
      </c>
      <c r="H2450">
        <f>1-(1-Skills!J9/100)^Skills!K9</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2461=TRUE)*(F2461-Calc!F20)),(Inputs!$B$23+0+(IF(ArtifactsInput!$M$15,CHOOSE(ArtifactsInput!$N$15+1,25,30,35,40,45,50)/100*(Inputs!$B$11-Inputs!$B$11),0))))/100+(Inputs!$B$23+0+(IF(ArtifactsInput!$M$15,CHOOSE(ArtifactsInput!$N$15+1,25,30,35,40,45,50)/100*(Inputs!$B$11-Inputs!$B$11),0)))/100)/2</f>
        <v/>
      </c>
      <c r="M2450">
        <f>L2450*(1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f>IFERROR(1/(IF(Inputs!$B$38="pvp",15,MAX(0.1,Skills!D9-IF(Skills!E9=TRUE,0.5,0)))*(1-IF(AND(ArtifactsInput!$M$27,Inputs!$B$4="Chapter Hunt"),CHOOSE(ArtifactsInput!$N$27+1,20,24,28,32,36,40),0)/100)),0)</f>
        <v/>
      </c>
      <c r="R2450">
        <f>IF(AND(Inputs!$B$38&lt;&gt;"pvp",Inputs!$B$43&gt;0),IF(MAX(0,Inputs!$B$43-B2473)&lt;=0,0,(INT(MAX(0,Inputs!$B$43-B2473)/(IF(Inputs!$B$38="pvp",15,MAX(0.1,Skills!D9-IF(Skills!E9=TRUE,0.5,0)))*(1-IF(AND(ArtifactsInput!$M$27,Inputs!$B$4="Chapter Hunt"),CHOOSE(ArtifactsInput!$N$27+1,20,24,28,32,36,40),0)/100)))+1)),0)</f>
        <v/>
      </c>
      <c r="S2450">
        <f>IFERROR(O2450/N2450,0)</f>
        <v/>
      </c>
      <c r="T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Skills!A10</f>
        <v/>
      </c>
      <c r="B2451">
        <f>Skills!B10</f>
        <v/>
      </c>
      <c r="C2451">
        <f>Inputs!$B$3&gt;=103</f>
        <v/>
      </c>
      <c r="D2451">
        <f>IF(Skills!C10=1,60+Inputs!$B$25+Inputs!$B$29,IF(Skills!C10=2,90+Inputs!$B$26+Inputs!$B$29,IF(Skills!C10=3,120+Inputs!$B$27+Inputs!$B$29,MAX(0,(Inputs!$B$3-100)*3)+Inputs!$B$28+Inputs!$B$29)))</f>
        <v/>
      </c>
      <c r="E2451">
        <f>INDEX(FactorTable!$B$2:$Y$301, MATCH(ROUND(MIN(300,MAX(1,D2451)),0), FactorTable!$A$2:$A$301,0), Skills!M10+1)</f>
        <v/>
      </c>
      <c r="F2451">
        <f>IF(Skills!N10=TRUE,(Skills!L10/10)*(E2451/1000),Skills!L10/10)+Skills!O10</f>
        <v/>
      </c>
      <c r="G2451">
        <f>Skills!G10*IF(Skills!H10&gt;0,Skills!I10/Skills!H10,1)</f>
        <v/>
      </c>
      <c r="H2451">
        <f>1-(1-Skills!J10/100)^Skills!K10</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2461=TRUE)*(F2461-Calc!F20)),(Inputs!$B$23+0+(IF(ArtifactsInput!$M$15,CHOOSE(ArtifactsInput!$N$15+1,25,30,35,40,45,50)/100*(Inputs!$B$11-Inputs!$B$11),0))))/100+(Inputs!$B$23+0+(IF(ArtifactsInput!$M$15,CHOOSE(ArtifactsInput!$N$15+1,25,30,35,40,45,50)/100*(Inputs!$B$11-Inputs!$B$11),0)))/100)/2</f>
        <v/>
      </c>
      <c r="M2451">
        <f>L2451*(1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IF(B2476=0,0,O2451/B2476)</f>
        <v/>
      </c>
      <c r="Q2451">
        <f>IFERROR(1/(IF(Inputs!$B$38="pvp",15,MAX(0.1,Skills!D10-IF(Skills!E10=TRUE,0.5,0)))*(1-IF(AND(ArtifactsInput!$M$27,Inputs!$B$4="Chapter Hunt"),CHOOSE(ArtifactsInput!$N$27+1,20,24,28,32,36,40),0)/100)),0)</f>
        <v/>
      </c>
      <c r="R2451">
        <f>IF(AND(Inputs!$B$38&lt;&gt;"pvp",Inputs!$B$43&gt;0),IF(MAX(0,Inputs!$B$43-B2473)&lt;=0,0,(INT(MAX(0,Inputs!$B$43-B2473)/(IF(Inputs!$B$38="pvp",15,MAX(0.1,Skills!D10-IF(Skills!E10=TRUE,0.5,0)))*(1-IF(AND(ArtifactsInput!$M$27,Inputs!$B$4="Chapter Hunt"),CHOOSE(ArtifactsInput!$N$27+1,20,24,28,32,36,40),0)/100)))+1)),0)</f>
        <v/>
      </c>
      <c r="S2451">
        <f>IFERROR(O2451/N2451,0)</f>
        <v/>
      </c>
      <c r="T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Skills!A11</f>
        <v/>
      </c>
      <c r="B2452">
        <f>Skills!B11</f>
        <v/>
      </c>
      <c r="C2452">
        <f>Inputs!$B$3&gt;=113</f>
        <v/>
      </c>
      <c r="D2452">
        <f>IF(Skills!C11=1,60+Inputs!$B$25+Inputs!$B$29,IF(Skills!C11=2,90+Inputs!$B$26+Inputs!$B$29,IF(Skills!C11=3,120+Inputs!$B$27+Inputs!$B$29,MAX(0,(Inputs!$B$3-100)*3)+Inputs!$B$28+Inputs!$B$29)))</f>
        <v/>
      </c>
      <c r="E2452">
        <f>INDEX(FactorTable!$B$2:$Y$301, MATCH(ROUND(MIN(300,MAX(1,D2452)),0), FactorTable!$A$2:$A$301,0), Skills!M11+1)</f>
        <v/>
      </c>
      <c r="F2452">
        <f>IF(Skills!N11=TRUE,(Skills!L11/10)*(E2452/1000),Skills!L11/10)+Skills!O11</f>
        <v/>
      </c>
      <c r="G2452">
        <f>Skills!G11*IF(Skills!H11&gt;0,Skills!I11/Skills!H11,1)</f>
        <v/>
      </c>
      <c r="H2452">
        <f>1-(1-Skills!J11/100)^Skills!K11</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2461=TRUE)*(F2461-Calc!F20)),(Inputs!$B$23+0+(IF(ArtifactsInput!$M$15,CHOOSE(ArtifactsInput!$N$15+1,25,30,35,40,45,50)/100*(Inputs!$B$11-Inputs!$B$11),0))))/100+(Inputs!$B$23+0+(IF(ArtifactsInput!$M$15,CHOOSE(ArtifactsInput!$N$15+1,25,30,35,40,45,50)/100*(Inputs!$B$11-Inputs!$B$11),0)))/100)/2</f>
        <v/>
      </c>
      <c r="M2452">
        <f>L2452*(1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IF(B2476=0,0,O2452/B2476)</f>
        <v/>
      </c>
      <c r="Q2452">
        <f>IFERROR(1/(IF(Inputs!$B$38="pvp",15,MAX(0.1,Skills!D11-IF(Skills!E11=TRUE,0.5,0)))*(1-IF(AND(ArtifactsInput!$M$27,Inputs!$B$4="Chapter Hunt"),CHOOSE(ArtifactsInput!$N$27+1,20,24,28,32,36,40),0)/100)),0)</f>
        <v/>
      </c>
      <c r="R2452">
        <f>IF(AND(Inputs!$B$38&lt;&gt;"pvp",Inputs!$B$43&gt;0),IF(MAX(0,Inputs!$B$43-B2473)&lt;=0,0,(INT(MAX(0,Inputs!$B$43-B2473)/(IF(Inputs!$B$38="pvp",15,MAX(0.1,Skills!D11-IF(Skills!E11=TRUE,0.5,0)))*(1-IF(AND(ArtifactsInput!$M$27,Inputs!$B$4="Chapter Hunt"),CHOOSE(ArtifactsInput!$N$27+1,20,24,28,32,36,40),0)/100)))+1)),0)</f>
        <v/>
      </c>
      <c r="S2452">
        <f>IFERROR(O2452/N2452,0)</f>
        <v/>
      </c>
      <c r="T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Skills!A12</f>
        <v/>
      </c>
      <c r="B2453">
        <f>Skills!B12</f>
        <v/>
      </c>
      <c r="C2453">
        <f>Inputs!$B$3&gt;=100</f>
        <v/>
      </c>
      <c r="D2453">
        <f>IF(Skills!C12=1,60+Inputs!$B$25+Inputs!$B$29,IF(Skills!C12=2,90+Inputs!$B$26+Inputs!$B$29,IF(Skills!C12=3,120+Inputs!$B$27+Inputs!$B$29,MAX(0,(Inputs!$B$3-100)*3)+Inputs!$B$28+Inputs!$B$29)))</f>
        <v/>
      </c>
      <c r="E2453">
        <f>INDEX(FactorTable!$B$2:$Y$301, MATCH(ROUND(MIN(300,MAX(1,D2453)),0), FactorTable!$A$2:$A$301,0), Skills!M12+1)</f>
        <v/>
      </c>
      <c r="F2453">
        <f>IF(Skills!N12=TRUE,(Skills!L12/10)*(E2453/1000),Skills!L12/10)+Skills!O12</f>
        <v/>
      </c>
      <c r="G2453" t="inlineStr"/>
      <c r="H2453" t="inlineStr"/>
      <c r="I2453" t="inlineStr">
        <is>
          <t>1</t>
        </is>
      </c>
      <c r="J2453" t="inlineStr"/>
      <c r="K2453" t="inlineStr"/>
      <c r="L2453" t="inlineStr"/>
      <c r="M2453" t="inlineStr"/>
      <c r="N2453" t="inlineStr"/>
      <c r="O2453" t="inlineStr"/>
      <c r="P2453" t="inlineStr"/>
      <c r="Q2453" t="inlineStr"/>
      <c r="R2453" t="inlineStr"/>
      <c r="S2453" t="inlineStr"/>
      <c r="T2453" t="inlineStr"/>
      <c r="V2453" t="inlineStr"/>
    </row>
    <row r="2454">
      <c r="A2454">
        <f>Skills!A13</f>
        <v/>
      </c>
      <c r="B2454">
        <f>Skills!B13</f>
        <v/>
      </c>
      <c r="C2454">
        <f>Inputs!$B$3&gt;=66</f>
        <v/>
      </c>
      <c r="D2454">
        <f>IF(Skills!C13=1,60+Inputs!$B$25+Inputs!$B$29,IF(Skills!C13=2,90+Inputs!$B$26+Inputs!$B$29,IF(Skills!C13=3,120+Inputs!$B$27+Inputs!$B$29,MAX(0,(Inputs!$B$3-100)*3)+Inputs!$B$28+Inputs!$B$29)))</f>
        <v/>
      </c>
      <c r="E2454">
        <f>INDEX(FactorTable!$B$2:$Y$301, MATCH(ROUND(MIN(300,MAX(1,D2454)),0), FactorTable!$A$2:$A$301,0), Skills!M13+1)</f>
        <v/>
      </c>
      <c r="F2454">
        <f>IF(Skills!N13=TRUE,(Skills!L13/10)*(E2454/1000),Skills!L13/10)+Skills!O13</f>
        <v/>
      </c>
      <c r="G2454">
        <f>Skills!G13*IF(Skills!H13&gt;0,Skills!I13/Skills!H13,1)</f>
        <v/>
      </c>
      <c r="H2454">
        <f>1-(1-Skills!J13/100)^Skills!K13</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Skills!A14</f>
        <v/>
      </c>
      <c r="B2455">
        <f>Skills!B14</f>
        <v/>
      </c>
      <c r="C2455">
        <f>Inputs!$B$3&gt;=107</f>
        <v/>
      </c>
      <c r="D2455">
        <f>IF(Skills!C14=1,60+Inputs!$B$25+Inputs!$B$29,IF(Skills!C14=2,90+Inputs!$B$26+Inputs!$B$29,IF(Skills!C14=3,120+Inputs!$B$27+Inputs!$B$29,MAX(0,(Inputs!$B$3-100)*3)+Inputs!$B$28+Inputs!$B$29)))</f>
        <v/>
      </c>
      <c r="E2455">
        <f>INDEX(FactorTable!$B$2:$Y$301, MATCH(ROUND(MIN(300,MAX(1,D2455)),0), FactorTable!$A$2:$A$301,0), Skills!M14+1)</f>
        <v/>
      </c>
      <c r="F2455">
        <f>IF(Skills!N14=TRUE,(Skills!L14/10)*(E2455/1000),Skills!L14/10)+Skills!O14</f>
        <v/>
      </c>
      <c r="G2455">
        <f>Skills!G14*IF(Skills!H14&gt;0,Skills!I14/Skills!H14,1)</f>
        <v/>
      </c>
      <c r="H2455">
        <f>1-(1-Skills!J14/100)^Skills!K14</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Skills!A15</f>
        <v/>
      </c>
      <c r="B2456">
        <f>Skills!B15</f>
        <v/>
      </c>
      <c r="C2456">
        <f>Inputs!$B$3&gt;=115</f>
        <v/>
      </c>
      <c r="D2456">
        <f>IF(Skills!C15=1,60+Inputs!$B$25+Inputs!$B$29,IF(Skills!C15=2,90+Inputs!$B$26+Inputs!$B$29,IF(Skills!C15=3,120+Inputs!$B$27+Inputs!$B$29,MAX(0,(Inputs!$B$3-100)*3)+Inputs!$B$28+Inputs!$B$29)))</f>
        <v/>
      </c>
      <c r="E2456">
        <f>INDEX(FactorTable!$B$2:$Y$301, MATCH(ROUND(MIN(300,MAX(1,D2456)),0), FactorTable!$A$2:$A$301,0), Skills!M15+1)</f>
        <v/>
      </c>
      <c r="F2456">
        <f>IF(Skills!N15=TRUE,(Skills!L15/10)*(E2456/1000),Skills!L15/10)+Skills!O15</f>
        <v/>
      </c>
      <c r="G2456">
        <f>Skills!G15*IF(Skills!H15&gt;0,Skills!I15/Skills!H15,1)</f>
        <v/>
      </c>
      <c r="H2456">
        <f>1-(1-Skills!J15/100)^Skills!K15</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Skills!A16</f>
        <v/>
      </c>
      <c r="B2457">
        <f>Skills!B16</f>
        <v/>
      </c>
      <c r="C2457">
        <f>Inputs!$B$3&gt;=15</f>
        <v/>
      </c>
      <c r="D2457">
        <f>IF(Skills!C16=1,60+Inputs!$B$25+Inputs!$B$29,IF(Skills!C16=2,90+Inputs!$B$26+Inputs!$B$29,IF(Skills!C16=3,120+Inputs!$B$27+Inputs!$B$29,MAX(0,(Inputs!$B$3-100)*3)+Inputs!$B$28+Inputs!$B$29)))</f>
        <v/>
      </c>
      <c r="E2457">
        <f>INDEX(FactorTable!$B$2:$Y$301, MATCH(ROUND(MIN(300,MAX(1,D2457)),0), FactorTable!$A$2:$A$301,0), Skills!M16+1)</f>
        <v/>
      </c>
      <c r="F2457">
        <f>IF(Skills!N16=TRUE,(Skills!L16/10)*(E2457/1000),Skills!L16/10)+Skills!O16</f>
        <v/>
      </c>
      <c r="G2457">
        <f>Skills!G16*IF(Skills!H16&gt;0,Skills!I16/Skills!H16,1)</f>
        <v/>
      </c>
      <c r="H2457">
        <f>1-(1-Skills!J16/100)^Skills!K16</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Skills!A17</f>
        <v/>
      </c>
      <c r="B2458">
        <f>Skills!B17</f>
        <v/>
      </c>
      <c r="C2458">
        <f>Inputs!$B$3&gt;=10</f>
        <v/>
      </c>
      <c r="D2458">
        <f>IF(Skills!C17=1,60+Inputs!$B$25+Inputs!$B$29,IF(Skills!C17=2,90+Inputs!$B$26+Inputs!$B$29,IF(Skills!C17=3,120+Inputs!$B$27+Inputs!$B$29,MAX(0,(Inputs!$B$3-100)*3)+Inputs!$B$28+Inputs!$B$29)))</f>
        <v/>
      </c>
      <c r="E2458">
        <f>INDEX(FactorTable!$B$2:$Y$301, MATCH(ROUND(MIN(300,MAX(1,D2458)),0), FactorTable!$A$2:$A$301,0), Skills!M17+1)</f>
        <v/>
      </c>
      <c r="F2458">
        <f>IF(Skills!N17=TRUE,(Skills!L17/10)*(E2458/1000),Skills!L17/10)+Skills!O17</f>
        <v/>
      </c>
      <c r="G2458">
        <f>Skills!G17*IF(Skills!H17&gt;0,Skills!I17/Skills!H17,1)</f>
        <v/>
      </c>
      <c r="H2458">
        <f>1-(1-Skills!J17/100)^Skills!K17</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Skills!A18</f>
        <v/>
      </c>
      <c r="B2459">
        <f>Skills!B18</f>
        <v/>
      </c>
      <c r="C2459">
        <f>Inputs!$B$3&gt;=33</f>
        <v/>
      </c>
      <c r="D2459">
        <f>IF(Skills!C18=1,60+Inputs!$B$25+Inputs!$B$29,IF(Skills!C18=2,90+Inputs!$B$26+Inputs!$B$29,IF(Skills!C18=3,120+Inputs!$B$27+Inputs!$B$29,MAX(0,(Inputs!$B$3-100)*3)+Inputs!$B$28+Inputs!$B$29)))</f>
        <v/>
      </c>
      <c r="E2459">
        <f>INDEX(FactorTable!$B$2:$Y$301, MATCH(ROUND(MIN(300,MAX(1,D2459)),0), FactorTable!$A$2:$A$301,0), Skills!M18+1)</f>
        <v/>
      </c>
      <c r="F2459">
        <f>IF(Skills!N18=TRUE,(Skills!L18/10)*(E2459/1000),Skills!L18/10)+Skills!O18</f>
        <v/>
      </c>
      <c r="G2459">
        <f>Skills!G18*IF(Skills!H18&gt;0,Skills!I18/Skills!H18,1)</f>
        <v/>
      </c>
      <c r="H2459">
        <f>1-(1-Skills!J18/100)^Skills!K18</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Skills!A19</f>
        <v/>
      </c>
      <c r="B2460">
        <f>Skills!B19</f>
        <v/>
      </c>
      <c r="C2460">
        <f>Inputs!$B$3&gt;=40</f>
        <v/>
      </c>
      <c r="D2460">
        <f>IF(Skills!C19=1,60+Inputs!$B$25+Inputs!$B$29,IF(Skills!C19=2,90+Inputs!$B$26+Inputs!$B$29,IF(Skills!C19=3,120+Inputs!$B$27+Inputs!$B$29,MAX(0,(Inputs!$B$3-100)*3)+Inputs!$B$28+Inputs!$B$29)))</f>
        <v/>
      </c>
      <c r="E2460">
        <f>INDEX(FactorTable!$B$2:$Y$301, MATCH(ROUND(MIN(300,MAX(1,D2460)),0), FactorTable!$A$2:$A$301,0), Skills!M19+1)</f>
        <v/>
      </c>
      <c r="F2460">
        <f>IF(Skills!N19=TRUE,(Skills!L19/10)*(E2460/1000),Skills!L19/10)+Skills!O19</f>
        <v/>
      </c>
      <c r="G2460">
        <f>Skills!G19*IF(Skills!H19&gt;0,Skills!I19/Skills!H19,1)</f>
        <v/>
      </c>
      <c r="H2460">
        <f>1-(1-Skills!J19/100)^Skills!K19</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Skills!A20</f>
        <v/>
      </c>
      <c r="B2461">
        <f>Skills!B20</f>
        <v/>
      </c>
      <c r="C2461">
        <f>Inputs!$B$3&gt;=43</f>
        <v/>
      </c>
      <c r="D2461">
        <f>IF(Skills!C20=1,60+Inputs!$B$25+Inputs!$B$29,IF(Skills!C20=2,90+Inputs!$B$26+Inputs!$B$29,IF(Skills!C20=3,120+Inputs!$B$27+Inputs!$B$29,MAX(0,(Inputs!$B$3-100)*3)+Inputs!$B$28+Inputs!$B$29)))</f>
        <v/>
      </c>
      <c r="E2461">
        <f>INDEX(FactorTable!$B$2:$Y$301, MATCH(ROUND(MIN(300,MAX(1,D2461)),0), FactorTable!$A$2:$A$301,0), Skills!M20+1)</f>
        <v/>
      </c>
      <c r="F2461">
        <f>IF(Skills!N20=TRUE,(Skills!L20/10)*(E2461/1000),Skills!L20/10)+Skills!O20</f>
        <v/>
      </c>
      <c r="G2461">
        <f>Skills!G20*IF(Skills!H20&gt;0,Skills!I20/Skills!H20,1)</f>
        <v/>
      </c>
      <c r="H2461">
        <f>1-(1-Skills!J20/100)^Skills!K20</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Skills!A21</f>
        <v/>
      </c>
      <c r="B2462">
        <f>Skills!B21</f>
        <v/>
      </c>
      <c r="C2462">
        <f>Inputs!$B$3&gt;=38</f>
        <v/>
      </c>
      <c r="D2462">
        <f>IF(Skills!C21=1,60+Inputs!$B$25+Inputs!$B$29,IF(Skills!C21=2,90+Inputs!$B$26+Inputs!$B$29,IF(Skills!C21=3,120+Inputs!$B$27+Inputs!$B$29,MAX(0,(Inputs!$B$3-100)*3)+Inputs!$B$28+Inputs!$B$29)))</f>
        <v/>
      </c>
      <c r="E2462">
        <f>INDEX(FactorTable!$B$2:$Y$301, MATCH(ROUND(MIN(300,MAX(1,D2462)),0), FactorTable!$A$2:$A$301,0), Skills!M21+1)</f>
        <v/>
      </c>
      <c r="F2462">
        <f>IF(Skills!N21=TRUE,(Skills!L21/10)*(E2462/1000),Skills!L21/10)+Skills!O21</f>
        <v/>
      </c>
      <c r="G2462">
        <f>Skills!G21*IF(Skills!H21&gt;0,Skills!I21/Skills!H21,1)</f>
        <v/>
      </c>
      <c r="H2462">
        <f>1-(1-Skills!J21/100)^Skills!K21</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Skills!A22</f>
        <v/>
      </c>
      <c r="B2463">
        <f>Skills!B22</f>
        <v/>
      </c>
      <c r="C2463">
        <f>Inputs!$B$3&gt;=75</f>
        <v/>
      </c>
      <c r="D2463">
        <f>IF(Skills!C22=1,60+Inputs!$B$25+Inputs!$B$29,IF(Skills!C22=2,90+Inputs!$B$26+Inputs!$B$29,IF(Skills!C22=3,120+Inputs!$B$27+Inputs!$B$29,MAX(0,(Inputs!$B$3-100)*3)+Inputs!$B$28+Inputs!$B$29)))</f>
        <v/>
      </c>
      <c r="E2463">
        <f>INDEX(FactorTable!$B$2:$Y$301, MATCH(ROUND(MIN(300,MAX(1,D2463)),0), FactorTable!$A$2:$A$301,0), Skills!M22+1)</f>
        <v/>
      </c>
      <c r="F2463">
        <f>IF(Skills!N22=TRUE,(Skills!L22/10)*(E2463/1000),Skills!L22/10)+Skills!O22</f>
        <v/>
      </c>
      <c r="G2463">
        <f>Skills!G22*IF(Skills!H22&gt;0,Skills!I22/Skills!H22,1)</f>
        <v/>
      </c>
      <c r="H2463">
        <f>1-(1-Skills!J22/100)^Skills!K22</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1+MIN(150,150*(1-(1-(Inputs!$B$11+((C2458=TRUE)*(F2458-Calc!F17))+((C2459=TRUE)*(F2459-Calc!F18)))/150)*(1-B2467/150)))/100</f>
        <v/>
      </c>
    </row>
    <row r="2469">
      <c r="A2469" t="inlineStr">
        <is>
          <t>Skill + Buff Cast Rate</t>
        </is>
      </c>
      <c r="B2469">
        <f>IF(AND(Inputs!$B$38&lt;&gt;"pvp",Inputs!$B$43&gt;0),SUMPRODUCT((Skills!E2:E22=TRUE)*(C2443:C2463=TRUE)*R2443:R2463*Skills!F2:F22)/Inputs!$B$43,SUMPRODUCT((Skills!E2:E22=TRUE)*(C2443:C2463=TRUE)*Q2443:Q2463*Skills!F2:F22))</f>
        <v/>
      </c>
    </row>
    <row r="2470">
      <c r="A2470" t="inlineStr">
        <is>
          <t>Hook Bomber Casts Per Second</t>
        </is>
      </c>
      <c r="B2470">
        <f>MAX(0,B2468-B2469)</f>
        <v/>
      </c>
    </row>
    <row r="2471">
      <c r="A2471" t="inlineStr">
        <is>
          <t>Global Critical Damage Bonus % (unused)</t>
        </is>
      </c>
      <c r="B2471" t="n">
        <v>0</v>
      </c>
    </row>
    <row r="2472">
      <c r="A2472" t="inlineStr">
        <is>
          <t>Global Final Damage Bonus % (Serpent Scale + Crossbones + Time Leap + Speed Infusion)</t>
        </is>
      </c>
      <c r="B2472">
        <f>((C2446=TRUE)*F2446*((10+IF(Inputs!$B$3&gt;=94,5,0))/((10+IF(Inputs!$B$3&gt;=94,5,0))+5/(B2470*(1+IF(Inputs!$B$3&gt;=104,1,0))))))+((C2455=TRUE)*F2455)+((C2456=TRUE)*F2456)+((Inputs!$B$3&gt;=110)*20*(B2468-1))</f>
        <v/>
      </c>
    </row>
    <row r="2473">
      <c r="A2473" t="inlineStr">
        <is>
          <t>Buff-Casting Startup Delay (s, fixed-duration only)</t>
        </is>
      </c>
      <c r="B2473">
        <f>IF(AND(Inputs!$B$38&lt;&gt;"pvp",Inputs!$B$43&gt;0),SUMPRODUCT((Skills!T2:T22&gt;0)*(Skills!E2:E22=TRUE)*(C2443:C2463=TRUE))/B2468,0)</f>
        <v/>
      </c>
    </row>
    <row r="2474">
      <c r="A2474" t="inlineStr">
        <is>
          <t>Boss-Only Total DPS (this block's swept value)</t>
        </is>
      </c>
      <c r="B2474">
        <f>SUM(T2443:T2463)</f>
        <v/>
      </c>
    </row>
    <row r="2475">
      <c r="A2475" t="inlineStr">
        <is>
          <t>Normal-Only Total DPS (this block's swept value)</t>
        </is>
      </c>
      <c r="B2475">
        <f>SUM(V2443:V2463)</f>
        <v/>
      </c>
    </row>
    <row r="2476">
      <c r="A2476" s="6" t="inlineStr">
        <is>
          <t>TOTAL DPS</t>
        </is>
      </c>
      <c r="B2476" s="6">
        <f>SUM(O2443:O2463)</f>
        <v/>
      </c>
    </row>
    <row r="2479">
      <c r="A2479" s="6" t="inlineStr">
        <is>
          <t>Stat: CDR = 1.0s</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2499=TRUE)*(F2499-Calc!F20)),(Inputs!$B$23+0+(IF(ArtifactsInput!$M$15,CHOOSE(ArtifactsInput!$N$15+1,25,30,35,40,45,50)/100*(Inputs!$B$11-Inputs!$B$11),0))))/100+(Inputs!$B$23+0+(IF(ArtifactsInput!$M$15,CHOOSE(ArtifactsInput!$N$15+1,25,30,35,40,45,50)/100*(Inputs!$B$11-Inputs!$B$11),0)))/100)/2</f>
        <v/>
      </c>
      <c r="M2481">
        <f>L2481*(1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IF(B2514=0,0,O2481/B2514)</f>
        <v/>
      </c>
      <c r="Q2481" t="n">
        <v>0</v>
      </c>
      <c r="R2481" t="n">
        <v>0</v>
      </c>
      <c r="S2481">
        <f>IFERROR(O2481/N2481,0)</f>
        <v/>
      </c>
      <c r="T2481">
        <f>IF(C2481,(Skills!G2*N2481*B2508)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IF(C2481,(Skills!G2*N2481*B2508)*IF(Inputs!$B$38="pvp",1,(1+(Inputs!$B$21+Skills!Q2+(IF(ArtifactsInput!$M$33,CHOOSE(ArtifactsInput!$N$33+1,30,36,42,48,54,60),0))+(IF(AND(ArtifactsInput!$M$35,Inputs!$B$4&lt;&gt;"Chapter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2499=TRUE)*(F2499-Calc!F20)),(Inputs!$B$23+0+(IF(ArtifactsInput!$M$15,CHOOSE(ArtifactsInput!$N$15+1,25,30,35,40,45,50)/100*(Inputs!$B$11-Inputs!$B$11),0))))/100+(Inputs!$B$23+0+(IF(ArtifactsInput!$M$15,CHOOSE(ArtifactsInput!$N$15+1,25,30,35,40,45,50)/100*(Inputs!$B$11-Inputs!$B$11),0)))/100)/2</f>
        <v/>
      </c>
      <c r="M2482">
        <f>L2482*(1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IF(B2514=0,0,O2482/B2514)</f>
        <v/>
      </c>
      <c r="Q2482" t="n">
        <v>0</v>
      </c>
      <c r="R2482" t="n">
        <v>0</v>
      </c>
      <c r="S2482">
        <f>IFERROR(O2482/N2482,0)</f>
        <v/>
      </c>
      <c r="T2482">
        <f>IF(C2482,(Skills!G3*H2482*N2482*B2508)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IF(C2482,(Skills!G3*H2482*N2482*B2508)*IF(Inputs!$B$38="pvp",1,(1+(Inputs!$B$21+Skills!Q3+(IF(ArtifactsInput!$M$33,CHOOSE(ArtifactsInput!$N$33+1,30,36,42,48,54,60),0))+(IF(AND(ArtifactsInput!$M$35,Inputs!$B$4&lt;&gt;"Chapter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Inputs!$B$3&gt;=60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2491=TRUE,F2491,0)/100)*(1+(IF(Skills!A4="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2499=TRUE)*(F2499-Calc!F20)),(Inputs!$B$23+0+(IF(ArtifactsInput!$M$15,CHOOSE(ArtifactsInput!$N$15+1,25,30,35,40,45,50)/100*(Inputs!$B$11-Inputs!$B$11),0))))/100+(Inputs!$B$23+0+(IF(ArtifactsInput!$M$15,CHOOSE(ArtifactsInput!$N$15+1,25,30,35,40,45,50)/100*(Inputs!$B$11-Inputs!$B$11),0)))/100)/2</f>
        <v/>
      </c>
      <c r="M2483">
        <f>L2483*(1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IF(B2514=0,0,O2483/B2514)</f>
        <v/>
      </c>
      <c r="Q2483" t="n">
        <v>0</v>
      </c>
      <c r="R2483" t="n">
        <v>0</v>
      </c>
      <c r="S2483">
        <f>IFERROR(O2483/N2483,0)</f>
        <v/>
      </c>
      <c r="T2483">
        <f>IF(C2483,(Skills!G4*H2483*N2483*B2508)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IF(C2483,(Skills!G4*H2483*N2483*B2508)*IF(Inputs!$B$38="pvp",1,(1+(Inputs!$B$21+Skills!Q4+(IF(ArtifactsInput!$M$33,CHOOSE(ArtifactsInput!$N$33+1,30,36,42,48,54,60),0))+(IF(AND(ArtifactsInput!$M$35,Inputs!$B$4&lt;&gt;"Chapter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Inputs!$B$3&gt;=60</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t="inlineStr"/>
      <c r="K2484" t="inlineStr"/>
      <c r="L2484" t="inlineStr"/>
      <c r="M2484" t="inlineStr"/>
      <c r="N2484" t="inlineStr"/>
      <c r="O2484">
        <f>(1-Summary!$B$11)*T2484+Summary!$B$11*V2484</f>
        <v/>
      </c>
      <c r="P2484">
        <f>IF(B2514=0,0,O2484/B2514)</f>
        <v/>
      </c>
      <c r="Q2484" t="n">
        <v>0</v>
      </c>
      <c r="R2484" t="n">
        <v>0</v>
      </c>
      <c r="S2484">
        <f>IFERROR(O2484/N2484,0)</f>
        <v/>
      </c>
      <c r="T2484" t="n">
        <v>0</v>
      </c>
      <c r="V2484" t="n">
        <v>0</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2499=TRUE)*(F2499-Calc!F20)),(Inputs!$B$23+0+(IF(ArtifactsInput!$M$15,CHOOSE(ArtifactsInput!$N$15+1,25,30,35,40,45,50)/100*(Inputs!$B$11-Inputs!$B$11),0))))/100+(Inputs!$B$23+0+(IF(ArtifactsInput!$M$15,CHOOSE(ArtifactsInput!$N$15+1,25,30,35,40,45,50)/100*(Inputs!$B$11-Inputs!$B$11),0)))/100)/2</f>
        <v/>
      </c>
      <c r="M2485">
        <f>L2485*(1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IF(B2514=0,0,O2485/B2514)</f>
        <v/>
      </c>
      <c r="Q2485">
        <f>IFERROR(1/(IF(Inputs!$B$38="pvp",15,MAX(0.1,Skills!D6-IF(Skills!E6=TRUE,1.0,0)))*(1-IF(AND(ArtifactsInput!$M$27,Inputs!$B$4="Chapter Hunt"),CHOOSE(ArtifactsInput!$N$27+1,20,24,28,32,36,40),0)/100)),0)</f>
        <v/>
      </c>
      <c r="R2485">
        <f>IF(AND(Inputs!$B$38&lt;&gt;"pvp",Inputs!$B$43&gt;0),IF(MAX(0,Inputs!$B$43-B2511)&lt;=0,0,(INT(MAX(0,Inputs!$B$43-B2511)/(IF(Inputs!$B$38="pvp",15,MAX(0.1,Skills!D6-IF(Skills!E6=TRUE,1.0,0)))*(1-IF(AND(ArtifactsInput!$M$27,Inputs!$B$4="Chapter Hunt"),CHOOSE(ArtifactsInput!$N$27+1,20,24,28,32,36,40),0)/100)))+1)),0)</f>
        <v/>
      </c>
      <c r="S2485">
        <f>IFERROR(O2485/N2485,0)</f>
        <v/>
      </c>
      <c r="T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Inputs!$B$3&gt;=100</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2499=TRUE)*(F2499-Calc!F20)),(Inputs!$B$23+0+(IF(ArtifactsInput!$M$15,CHOOSE(ArtifactsInput!$N$15+1,25,30,35,40,45,50)/100*(Inputs!$B$11-Inputs!$B$11),0))))/100+(Inputs!$B$23+0+(IF(ArtifactsInput!$M$15,CHOOSE(ArtifactsInput!$N$15+1,25,30,35,40,45,50)/100*(Inputs!$B$11-Inputs!$B$11),0)))/100)/2</f>
        <v/>
      </c>
      <c r="M2486">
        <f>L2486*(1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IF(B2514=0,0,O2486/B2514)</f>
        <v/>
      </c>
      <c r="Q2486">
        <f>IFERROR(1/(IF(Inputs!$B$38="pvp",15,MAX(0.1,Skills!D7-IF(Skills!E7=TRUE,1.0,0)))*(1-IF(AND(ArtifactsInput!$M$27,Inputs!$B$4="Chapter Hunt"),CHOOSE(ArtifactsInput!$N$27+1,20,24,28,32,36,40),0)/100)),0)</f>
        <v/>
      </c>
      <c r="R2486">
        <f>IF(AND(Inputs!$B$38&lt;&gt;"pvp",Inputs!$B$43&gt;0),IF(MAX(0,Inputs!$B$43-B2511)&lt;=0,0,(INT(MAX(0,Inputs!$B$43-B2511)/(IF(Inputs!$B$38="pvp",15,MAX(0.1,Skills!D7-IF(Skills!E7=TRUE,1.0,0)))*(1-IF(AND(ArtifactsInput!$M$27,Inputs!$B$4="Chapter Hunt"),CHOOSE(ArtifactsInput!$N$27+1,20,24,28,32,36,40),0)/100)))+1)),0)</f>
        <v/>
      </c>
      <c r="S2486">
        <f>IFERROR(O2486/N2486,0)</f>
        <v/>
      </c>
      <c r="T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Inputs!$B$3&gt;=110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2499=TRUE)*(F2499-Calc!F20)),(Inputs!$B$23+0+(IF(ArtifactsInput!$M$15,CHOOSE(ArtifactsInput!$N$15+1,25,30,35,40,45,50)/100*(Inputs!$B$11-Inputs!$B$11),0))))/100+(Inputs!$B$23+0+(IF(ArtifactsInput!$M$15,CHOOSE(ArtifactsInput!$N$15+1,25,30,35,40,45,50)/100*(Inputs!$B$11-Inputs!$B$11),0)))/100)/2</f>
        <v/>
      </c>
      <c r="M2487">
        <f>L2487*(1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IF(B2514=0,0,O2487/B2514)</f>
        <v/>
      </c>
      <c r="Q2487">
        <f>IFERROR(1/(IF(Inputs!$B$38="pvp",15,MAX(0.1,Skills!D8-IF(Skills!E8=TRUE,1.0,0)))*(1-IF(AND(ArtifactsInput!$M$27,Inputs!$B$4="Chapter Hunt"),CHOOSE(ArtifactsInput!$N$27+1,20,24,28,32,36,40),0)/100)),0)</f>
        <v/>
      </c>
      <c r="R2487">
        <f>IF(AND(Inputs!$B$38&lt;&gt;"pvp",Inputs!$B$43&gt;0),IF(MAX(0,Inputs!$B$43-B2511)&lt;=0,0,(INT(MAX(0,Inputs!$B$43-B2511)/(IF(Inputs!$B$38="pvp",15,MAX(0.1,Skills!D8-IF(Skills!E8=TRUE,1.0,0)))*(1-IF(AND(ArtifactsInput!$M$27,Inputs!$B$4="Chapter Hunt"),CHOOSE(ArtifactsInput!$N$27+1,20,24,28,32,36,40),0)/100)))+1)),0)</f>
        <v/>
      </c>
      <c r="S2487">
        <f>IFERROR(O2487/N2487,0)</f>
        <v/>
      </c>
      <c r="T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Inputs!$B$3&gt;=110</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2499=TRUE)*(F2499-Calc!F20)),(Inputs!$B$23+0+(IF(ArtifactsInput!$M$15,CHOOSE(ArtifactsInput!$N$15+1,25,30,35,40,45,50)/100*(Inputs!$B$11-Inputs!$B$11),0))))/100+(Inputs!$B$23+0+(IF(ArtifactsInput!$M$15,CHOOSE(ArtifactsInput!$N$15+1,25,30,35,40,45,50)/100*(Inputs!$B$11-Inputs!$B$11),0)))/100)/2</f>
        <v/>
      </c>
      <c r="M2488">
        <f>L2488*(1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IF(B2514=0,0,O2488/B2514)</f>
        <v/>
      </c>
      <c r="Q2488">
        <f>IFERROR(1/(IF(Inputs!$B$38="pvp",15,MAX(0.1,Skills!D9-IF(Skills!E9=TRUE,1.0,0)))*(1-IF(AND(ArtifactsInput!$M$27,Inputs!$B$4="Chapter Hunt"),CHOOSE(ArtifactsInput!$N$27+1,20,24,28,32,36,40),0)/100)),0)</f>
        <v/>
      </c>
      <c r="R2488">
        <f>IF(AND(Inputs!$B$38&lt;&gt;"pvp",Inputs!$B$43&gt;0),IF(MAX(0,Inputs!$B$43-B2511)&lt;=0,0,(INT(MAX(0,Inputs!$B$43-B2511)/(IF(Inputs!$B$38="pvp",15,MAX(0.1,Skills!D9-IF(Skills!E9=TRUE,1.0,0)))*(1-IF(AND(ArtifactsInput!$M$27,Inputs!$B$4="Chapter Hunt"),CHOOSE(ArtifactsInput!$N$27+1,20,24,28,32,36,40),0)/100)))+1)),0)</f>
        <v/>
      </c>
      <c r="S2488">
        <f>IFERROR(O2488/N2488,0)</f>
        <v/>
      </c>
      <c r="T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Inputs!$B$3&gt;=103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2499=TRUE)*(F2499-Calc!F20)),(Inputs!$B$23+0+(IF(ArtifactsInput!$M$15,CHOOSE(ArtifactsInput!$N$15+1,25,30,35,40,45,50)/100*(Inputs!$B$11-Inputs!$B$11),0))))/100+(Inputs!$B$23+0+(IF(ArtifactsInput!$M$15,CHOOSE(ArtifactsInput!$N$15+1,25,30,35,40,45,50)/100*(Inputs!$B$11-Inputs!$B$11),0)))/100)/2</f>
        <v/>
      </c>
      <c r="M2489">
        <f>L2489*(1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IF(B2514=0,0,O2489/B2514)</f>
        <v/>
      </c>
      <c r="Q2489">
        <f>IFERROR(1/(IF(Inputs!$B$38="pvp",15,MAX(0.1,Skills!D10-IF(Skills!E10=TRUE,1.0,0)))*(1-IF(AND(ArtifactsInput!$M$27,Inputs!$B$4="Chapter Hunt"),CHOOSE(ArtifactsInput!$N$27+1,20,24,28,32,36,40),0)/100)),0)</f>
        <v/>
      </c>
      <c r="R2489">
        <f>IF(AND(Inputs!$B$38&lt;&gt;"pvp",Inputs!$B$43&gt;0),IF(MAX(0,Inputs!$B$43-B2511)&lt;=0,0,(INT(MAX(0,Inputs!$B$43-B2511)/(IF(Inputs!$B$38="pvp",15,MAX(0.1,Skills!D10-IF(Skills!E10=TRUE,1.0,0)))*(1-IF(AND(ArtifactsInput!$M$27,Inputs!$B$4="Chapter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Inputs!$B$3&gt;=113</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2499=TRUE)*(F2499-Calc!F20)),(Inputs!$B$23+0+(IF(ArtifactsInput!$M$15,CHOOSE(ArtifactsInput!$N$15+1,25,30,35,40,45,50)/100*(Inputs!$B$11-Inputs!$B$11),0))))/100+(Inputs!$B$23+0+(IF(ArtifactsInput!$M$15,CHOOSE(ArtifactsInput!$N$15+1,25,30,35,40,45,50)/100*(Inputs!$B$11-Inputs!$B$11),0)))/100)/2</f>
        <v/>
      </c>
      <c r="M2490">
        <f>L2490*(1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IF(B2514=0,0,O2490/B2514)</f>
        <v/>
      </c>
      <c r="Q2490">
        <f>IFERROR(1/(IF(Inputs!$B$38="pvp",15,MAX(0.1,Skills!D11-IF(Skills!E11=TRUE,1.0,0)))*(1-IF(AND(ArtifactsInput!$M$27,Inputs!$B$4="Chapter Hunt"),CHOOSE(ArtifactsInput!$N$27+1,20,24,28,32,36,40),0)/100)),0)</f>
        <v/>
      </c>
      <c r="R2490">
        <f>IF(AND(Inputs!$B$38&lt;&gt;"pvp",Inputs!$B$43&gt;0),IF(MAX(0,Inputs!$B$43-B2511)&lt;=0,0,(INT(MAX(0,Inputs!$B$43-B2511)/(IF(Inputs!$B$38="pvp",15,MAX(0.1,Skills!D11-IF(Skills!E11=TRUE,1.0,0)))*(1-IF(AND(ArtifactsInput!$M$27,Inputs!$B$4="Chapter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Inputs!$B$3&gt;=100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t="inlineStr"/>
      <c r="H2491" t="inlineStr"/>
      <c r="I2491" t="inlineStr">
        <is>
          <t>1</t>
        </is>
      </c>
      <c r="J2491" t="inlineStr"/>
      <c r="K2491" t="inlineStr"/>
      <c r="L2491" t="inlineStr"/>
      <c r="M2491" t="inlineStr"/>
      <c r="N2491" t="inlineStr"/>
      <c r="O2491" t="inlineStr"/>
      <c r="P2491" t="inlineStr"/>
      <c r="Q2491" t="inlineStr"/>
      <c r="R2491" t="inlineStr"/>
      <c r="S2491" t="inlineStr"/>
      <c r="T2491" t="inlineStr"/>
      <c r="V2491" t="inlineStr"/>
    </row>
    <row r="2492">
      <c r="A2492">
        <f>Skills!A13</f>
        <v/>
      </c>
      <c r="B2492">
        <f>Skills!B13</f>
        <v/>
      </c>
      <c r="C2492">
        <f>Inputs!$B$3&gt;=66</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t="inlineStr"/>
      <c r="K2492" t="inlineStr"/>
      <c r="L2492" t="inlineStr"/>
      <c r="M2492" t="inlineStr"/>
      <c r="N2492" t="inlineStr"/>
      <c r="O2492">
        <f>(1-Summary!$B$11)*T2492+Summary!$B$11*V2492</f>
        <v/>
      </c>
      <c r="P2492">
        <f>IF(B2514=0,0,O2492/B2514)</f>
        <v/>
      </c>
      <c r="Q2492" t="n">
        <v>0</v>
      </c>
      <c r="R2492" t="n">
        <v>0</v>
      </c>
      <c r="S2492">
        <f>IFERROR(O2492/N2492,0)</f>
        <v/>
      </c>
      <c r="T2492" t="n">
        <v>0</v>
      </c>
      <c r="V2492" t="n">
        <v>0</v>
      </c>
    </row>
    <row r="2493">
      <c r="A2493">
        <f>Skills!A14</f>
        <v/>
      </c>
      <c r="B2493">
        <f>Skills!B14</f>
        <v/>
      </c>
      <c r="C2493">
        <f>Inputs!$B$3&gt;=107</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t="inlineStr"/>
      <c r="K2493" t="inlineStr"/>
      <c r="L2493" t="inlineStr"/>
      <c r="M2493" t="inlineStr"/>
      <c r="N2493" t="inlineStr"/>
      <c r="O2493">
        <f>(1-Summary!$B$11)*T2493+Summary!$B$11*V2493</f>
        <v/>
      </c>
      <c r="P2493">
        <f>IF(B2514=0,0,O2493/B2514)</f>
        <v/>
      </c>
      <c r="Q2493" t="n">
        <v>0</v>
      </c>
      <c r="R2493" t="n">
        <v>0</v>
      </c>
      <c r="S2493">
        <f>IFERROR(O2493/N2493,0)</f>
        <v/>
      </c>
      <c r="T2493" t="n">
        <v>0</v>
      </c>
      <c r="V2493" t="n">
        <v>0</v>
      </c>
    </row>
    <row r="2494">
      <c r="A2494">
        <f>Skills!A15</f>
        <v/>
      </c>
      <c r="B2494">
        <f>Skills!B15</f>
        <v/>
      </c>
      <c r="C2494">
        <f>Inputs!$B$3&gt;=115</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f>Skills!G15*IF(Skills!H15&gt;0,Skills!I15/Skills!H15,1)</f>
        <v/>
      </c>
      <c r="H2494">
        <f>1-(1-Skills!J15/100)^Skills!K15</f>
        <v/>
      </c>
      <c r="I2494" t="inlineStr">
        <is>
          <t>1</t>
        </is>
      </c>
      <c r="J2494" t="inlineStr"/>
      <c r="K2494" t="inlineStr"/>
      <c r="L2494" t="inlineStr"/>
      <c r="M2494" t="inlineStr"/>
      <c r="N2494" t="inlineStr"/>
      <c r="O2494">
        <f>(1-Summary!$B$11)*T2494+Summary!$B$11*V2494</f>
        <v/>
      </c>
      <c r="P2494">
        <f>IF(B2514=0,0,O2494/B2514)</f>
        <v/>
      </c>
      <c r="Q2494" t="n">
        <v>0</v>
      </c>
      <c r="R2494" t="n">
        <v>0</v>
      </c>
      <c r="S2494">
        <f>IFERROR(O2494/N2494,0)</f>
        <v/>
      </c>
      <c r="T2494" t="n">
        <v>0</v>
      </c>
      <c r="V2494" t="n">
        <v>0</v>
      </c>
    </row>
    <row r="2495">
      <c r="A2495">
        <f>Skills!A16</f>
        <v/>
      </c>
      <c r="B2495">
        <f>Skills!B16</f>
        <v/>
      </c>
      <c r="C2495">
        <f>Inputs!$B$3&gt;=15</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f>Skills!G16*IF(Skills!H16&gt;0,Skills!I16/Skills!H16,1)</f>
        <v/>
      </c>
      <c r="H2495">
        <f>1-(1-Skills!J16/100)^Skills!K16</f>
        <v/>
      </c>
      <c r="I2495" t="inlineStr">
        <is>
          <t>1</t>
        </is>
      </c>
      <c r="J2495" t="inlineStr"/>
      <c r="K2495" t="inlineStr"/>
      <c r="L2495" t="inlineStr"/>
      <c r="M2495" t="inlineStr"/>
      <c r="N2495" t="inlineStr"/>
      <c r="O2495">
        <f>(1-Summary!$B$11)*T2495+Summary!$B$11*V2495</f>
        <v/>
      </c>
      <c r="P2495">
        <f>IF(B2514=0,0,O2495/B2514)</f>
        <v/>
      </c>
      <c r="Q2495" t="n">
        <v>0</v>
      </c>
      <c r="R2495" t="n">
        <v>0</v>
      </c>
      <c r="S2495">
        <f>IFERROR(O2495/N2495,0)</f>
        <v/>
      </c>
      <c r="T2495" t="n">
        <v>0</v>
      </c>
      <c r="V2495" t="n">
        <v>0</v>
      </c>
    </row>
    <row r="2496">
      <c r="A2496">
        <f>Skills!A17</f>
        <v/>
      </c>
      <c r="B2496">
        <f>Skills!B17</f>
        <v/>
      </c>
      <c r="C2496">
        <f>Inputs!$B$3&gt;=10</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IF(B2514=0,0,O2496/B2514)</f>
        <v/>
      </c>
      <c r="Q2496" t="n">
        <v>0</v>
      </c>
      <c r="R2496" t="n">
        <v>0</v>
      </c>
      <c r="S2496">
        <f>IFERROR(O2496/N2496,0)</f>
        <v/>
      </c>
      <c r="T2496" t="n">
        <v>0</v>
      </c>
      <c r="V2496" t="n">
        <v>0</v>
      </c>
    </row>
    <row r="2497">
      <c r="A2497">
        <f>Skills!A18</f>
        <v/>
      </c>
      <c r="B2497">
        <f>Skills!B18</f>
        <v/>
      </c>
      <c r="C2497">
        <f>Inputs!$B$3&gt;=33</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IF(B2514=0,0,O2497/B2514)</f>
        <v/>
      </c>
      <c r="Q2497" t="n">
        <v>0</v>
      </c>
      <c r="R2497" t="n">
        <v>0</v>
      </c>
      <c r="S2497">
        <f>IFERROR(O2497/N2497,0)</f>
        <v/>
      </c>
      <c r="T2497" t="n">
        <v>0</v>
      </c>
      <c r="V2497" t="n">
        <v>0</v>
      </c>
    </row>
    <row r="2498">
      <c r="A2498">
        <f>Skills!A19</f>
        <v/>
      </c>
      <c r="B2498">
        <f>Skills!B19</f>
        <v/>
      </c>
      <c r="C2498">
        <f>Inputs!$B$3&gt;=40</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IF(B2514=0,0,O2498/B2514)</f>
        <v/>
      </c>
      <c r="Q2498" t="n">
        <v>0</v>
      </c>
      <c r="R2498" t="n">
        <v>0</v>
      </c>
      <c r="S2498">
        <f>IFERROR(O2498/N2498,0)</f>
        <v/>
      </c>
      <c r="T2498" t="n">
        <v>0</v>
      </c>
      <c r="V2498" t="n">
        <v>0</v>
      </c>
    </row>
    <row r="2499">
      <c r="A2499">
        <f>Skills!A20</f>
        <v/>
      </c>
      <c r="B2499">
        <f>Skills!B20</f>
        <v/>
      </c>
      <c r="C2499">
        <f>Inputs!$B$3&gt;=43</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IF(B2514=0,0,O2499/B2514)</f>
        <v/>
      </c>
      <c r="Q2499" t="n">
        <v>0</v>
      </c>
      <c r="R2499" t="n">
        <v>0</v>
      </c>
      <c r="S2499">
        <f>IFERROR(O2499/N2499,0)</f>
        <v/>
      </c>
      <c r="T2499" t="n">
        <v>0</v>
      </c>
      <c r="V2499" t="n">
        <v>0</v>
      </c>
    </row>
    <row r="2500">
      <c r="A2500">
        <f>Skills!A21</f>
        <v/>
      </c>
      <c r="B2500">
        <f>Skills!B21</f>
        <v/>
      </c>
      <c r="C2500">
        <f>Inputs!$B$3&gt;=38</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IF(B2514=0,0,O2500/B2514)</f>
        <v/>
      </c>
      <c r="Q2500" t="n">
        <v>0</v>
      </c>
      <c r="R2500" t="n">
        <v>0</v>
      </c>
      <c r="S2500">
        <f>IFERROR(O2500/N2500,0)</f>
        <v/>
      </c>
      <c r="T2500" t="n">
        <v>0</v>
      </c>
      <c r="V2500" t="n">
        <v>0</v>
      </c>
    </row>
    <row r="2501">
      <c r="A2501">
        <f>Skills!A22</f>
        <v/>
      </c>
      <c r="B2501">
        <f>Skills!B22</f>
        <v/>
      </c>
      <c r="C2501">
        <f>Inputs!$B$3&gt;=75</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IF(B2514=0,0,O2501/B2514)</f>
        <v/>
      </c>
      <c r="Q2501" t="n">
        <v>0</v>
      </c>
      <c r="R2501" t="n">
        <v>0</v>
      </c>
      <c r="S2501">
        <f>IFERROR(O2501/N2501,0)</f>
        <v/>
      </c>
      <c r="T2501" t="n">
        <v>0</v>
      </c>
      <c r="V2501" t="n">
        <v>0</v>
      </c>
    </row>
    <row r="2503">
      <c r="A2503" t="inlineStr">
        <is>
          <t>Attack% Bucket Multiplier</t>
        </is>
      </c>
      <c r="B2503">
        <f>(1+(((C2492=TRUE)*F2492)+((C2498=TRUE)*(F2498-Calc!F19))+(IF(ArtifactsInput!$M$21,CHOOSE(ArtifactsInput!$N$21+1,25,30,35,40,45,50)*(IF(OR(Inputs!$B$4="Chapter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4">
      <c r="A2504" t="inlineStr">
        <is>
          <t>Global Crit Rate Bonus %</t>
        </is>
      </c>
      <c r="B2504" t="n">
        <v>0</v>
      </c>
    </row>
    <row r="2505">
      <c r="A2505" t="inlineStr">
        <is>
          <t>Attack Speed Buff Bonus % (unused)</t>
        </is>
      </c>
      <c r="B2505" t="n">
        <v>0</v>
      </c>
    </row>
    <row r="2506">
      <c r="A2506" t="inlineStr">
        <is>
          <t>Actions Per Second</t>
        </is>
      </c>
      <c r="B2506">
        <f>1+MIN(150,150*(1-(1-(Inputs!$B$11+((C2496=TRUE)*(F2496-Calc!F17))+((C2497=TRUE)*(F2497-Calc!F18)))/150)*(1-B2505/150)))/100</f>
        <v/>
      </c>
    </row>
    <row r="2507">
      <c r="A2507" t="inlineStr">
        <is>
          <t>Skill + Buff Cast Rate</t>
        </is>
      </c>
      <c r="B2507">
        <f>IF(AND(Inputs!$B$38&lt;&gt;"pvp",Inputs!$B$43&gt;0),SUMPRODUCT((Skills!E2:E22=TRUE)*(C2481:C2501=TRUE)*R2481:R2501*Skills!F2:F22)/Inputs!$B$43,SUMPRODUCT((Skills!E2:E22=TRUE)*(C2481:C2501=TRUE)*Q2481:Q2501*Skills!F2:F22))</f>
        <v/>
      </c>
    </row>
    <row r="2508">
      <c r="A2508" t="inlineStr">
        <is>
          <t>Hook Bomber Casts Per Second</t>
        </is>
      </c>
      <c r="B2508">
        <f>MAX(0,B2506-B2507)</f>
        <v/>
      </c>
    </row>
    <row r="2509">
      <c r="A2509" t="inlineStr">
        <is>
          <t>Global Critical Damage Bonus % (unused)</t>
        </is>
      </c>
      <c r="B2509" t="n">
        <v>0</v>
      </c>
    </row>
    <row r="2510">
      <c r="A2510" t="inlineStr">
        <is>
          <t>Global Final Damage Bonus % (Serpent Scale + Crossbones + Time Leap + Speed Infusion)</t>
        </is>
      </c>
      <c r="B2510">
        <f>((C2484=TRUE)*F2484*((10+IF(Inputs!$B$3&gt;=94,5,0))/((10+IF(Inputs!$B$3&gt;=94,5,0))+5/(B2508*(1+IF(Inputs!$B$3&gt;=104,1,0))))))+((C2493=TRUE)*F2493)+((C2494=TRUE)*F2494)+((Inputs!$B$3&gt;=110)*20*(B2506-1))</f>
        <v/>
      </c>
    </row>
    <row r="2511">
      <c r="A2511" t="inlineStr">
        <is>
          <t>Buff-Casting Startup Delay (s, fixed-duration only)</t>
        </is>
      </c>
      <c r="B2511">
        <f>IF(AND(Inputs!$B$38&lt;&gt;"pvp",Inputs!$B$43&gt;0),SUMPRODUCT((Skills!T2:T22&gt;0)*(Skills!E2:E22=TRUE)*(C2481:C2501=TRUE))/B2506,0)</f>
        <v/>
      </c>
    </row>
    <row r="2512">
      <c r="A2512" t="inlineStr">
        <is>
          <t>Boss-Only Total DPS (this block's swept value)</t>
        </is>
      </c>
      <c r="B2512">
        <f>SUM(T2481:T2501)</f>
        <v/>
      </c>
    </row>
    <row r="2513">
      <c r="A2513" t="inlineStr">
        <is>
          <t>Normal-Only Total DPS (this block's swept value)</t>
        </is>
      </c>
      <c r="B2513">
        <f>SUM(V2481:V2501)</f>
        <v/>
      </c>
    </row>
    <row r="2514">
      <c r="A2514" s="6" t="inlineStr">
        <is>
          <t>TOTAL DPS</t>
        </is>
      </c>
      <c r="B2514" s="6">
        <f>SUM(O2481:O2501)</f>
        <v/>
      </c>
    </row>
    <row r="2517">
      <c r="A2517" s="6" t="inlineStr">
        <is>
          <t>Stat: CDR = 1.5s</t>
        </is>
      </c>
    </row>
    <row r="2518">
      <c r="A2518" s="5" t="inlineStr">
        <is>
          <t>Key</t>
        </is>
      </c>
      <c r="B2518" s="5" t="inlineStr">
        <is>
          <t>Name</t>
        </is>
      </c>
      <c r="C2518" s="5" t="inlineStr">
        <is>
          <t>Unlocked</t>
        </is>
      </c>
      <c r="D2518" s="5" t="inlineStr">
        <is>
          <t>InputLevel</t>
        </is>
      </c>
      <c r="E2518" s="5" t="inlineStr">
        <is>
          <t>Factor</t>
        </is>
      </c>
      <c r="F2518" s="5" t="inlineStr">
        <is>
          <t>CoefficientPercent</t>
        </is>
      </c>
      <c r="G2518" s="5" t="inlineStr">
        <is>
          <t>EffectiveHits</t>
        </is>
      </c>
      <c r="H2518" s="5" t="inlineStr">
        <is>
          <t>ProcProbability</t>
        </is>
      </c>
      <c r="I2518" s="5" t="inlineStr">
        <is>
          <t>MapleHeroMultiplier</t>
        </is>
      </c>
      <c r="J2518" s="5" t="inlineStr">
        <is>
          <t>BaseDamage</t>
        </is>
      </c>
      <c r="K2518" s="5" t="inlineStr">
        <is>
          <t>BaseHitDamage</t>
        </is>
      </c>
      <c r="L2518" s="5" t="inlineStr">
        <is>
          <t>NonCritAvg</t>
        </is>
      </c>
      <c r="M2518" s="5" t="inlineStr">
        <is>
          <t>CritAvg</t>
        </is>
      </c>
      <c r="N2518" s="5" t="inlineStr">
        <is>
          <t>ExpectedDamage(perHit)</t>
        </is>
      </c>
      <c r="O2518" s="5" t="inlineStr">
        <is>
          <t>DPS</t>
        </is>
      </c>
      <c r="P2518" s="5" t="inlineStr">
        <is>
          <t>% of Total</t>
        </is>
      </c>
      <c r="Q2518" s="5" t="inlineStr">
        <is>
          <t>InvCooldown</t>
        </is>
      </c>
      <c r="R2518" s="5" t="inlineStr">
        <is>
          <t>CastsInFight</t>
        </is>
      </c>
      <c r="S2518" s="5" t="inlineStr">
        <is>
          <t>HitRate(perSec)</t>
        </is>
      </c>
      <c r="U2518" t="inlineStr">
        <is>
          <t>helpers</t>
        </is>
      </c>
    </row>
    <row r="2519">
      <c r="A2519">
        <f>Skills!A2</f>
        <v/>
      </c>
      <c r="B2519">
        <f>Skills!B2</f>
        <v/>
      </c>
      <c r="C2519">
        <f>Inputs!$B$3&gt;=100</f>
        <v/>
      </c>
      <c r="D2519" t="inlineStr"/>
      <c r="E2519" t="inlineStr"/>
      <c r="F2519">
        <f>U2521+Skills!O2</f>
        <v/>
      </c>
      <c r="G2519">
        <f>Skills!G2*IF(Skills!H2&gt;0,Skills!I2/Skills!H2,1)</f>
        <v/>
      </c>
      <c r="H2519">
        <f>1-(1-Skills!J2/100)^Skills!K2</f>
        <v/>
      </c>
      <c r="I2519" t="inlineStr">
        <is>
          <t>1</t>
        </is>
      </c>
      <c r="J2519">
        <f>((Inputs!$B$6*(1+Inputs!$B$7/100))+(((Inputs!$B$12*(1+Inputs!$B$13/100))-(Inputs!$B$12*(1+Inputs!$B$13/100)))+0.25*(Inputs!$B$14-Inputs!$B$14))*(1+Inputs!$B$7/100))*(F2519/100)</f>
        <v/>
      </c>
      <c r="K2519">
        <f>J2519*(1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2537=TRUE)*(F2537-Calc!F20)),(Inputs!$B$23+0+(IF(ArtifactsInput!$M$15,CHOOSE(ArtifactsInput!$N$15+1,25,30,35,40,45,50)/100*(Inputs!$B$11-Inputs!$B$11),0))))/100+(Inputs!$B$23+0+(IF(ArtifactsInput!$M$15,CHOOSE(ArtifactsInput!$N$15+1,25,30,35,40,45,50)/100*(Inputs!$B$11-Inputs!$B$11),0)))/100)/2</f>
        <v/>
      </c>
      <c r="M2519">
        <f>L2519*(1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IF(B2552=0,0,O2519/B2552)</f>
        <v/>
      </c>
      <c r="Q2519" t="n">
        <v>0</v>
      </c>
      <c r="R2519" t="n">
        <v>0</v>
      </c>
      <c r="S2519">
        <f>IFERROR(O2519/N2519,0)</f>
        <v/>
      </c>
      <c r="T2519">
        <f>IF(C2519,(Skills!G2*N2519*B2546)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9">
        <f>MAX(0,(Inputs!$B$3-100)*3)+Inputs!$B$28+Inputs!$B$29</f>
        <v/>
      </c>
      <c r="V2519">
        <f>IF(C2519,(Skills!G2*N2519*B2546)*IF(Inputs!$B$38="pvp",1,(1+(Inputs!$B$21+Skills!Q2+(IF(ArtifactsInput!$M$33,CHOOSE(ArtifactsInput!$N$33+1,30,36,42,48,54,60),0))+(IF(AND(ArtifactsInput!$M$35,Inputs!$B$4&lt;&gt;"Chapter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Skills!A3</f>
        <v/>
      </c>
      <c r="B2520">
        <f>Skills!B3</f>
        <v/>
      </c>
      <c r="C2520">
        <f>Inputs!$B$3&gt;=35</f>
        <v/>
      </c>
      <c r="D2520">
        <f>IF(Skills!C3=1,60+Inputs!$B$25+Inputs!$B$29,IF(Skills!C3=2,90+Inputs!$B$26+Inputs!$B$29,IF(Skills!C3=3,120+Inputs!$B$27+Inputs!$B$29,MAX(0,(Inputs!$B$3-100)*3)+Inputs!$B$28+Inputs!$B$29)))</f>
        <v/>
      </c>
      <c r="E2520">
        <f>INDEX(FactorTable!$B$2:$Y$301, MATCH(ROUND(MIN(300,MAX(1,D2520)),0), FactorTable!$A$2:$A$301,0), Skills!M3+1)</f>
        <v/>
      </c>
      <c r="F2520">
        <f>IF(Skills!N3=TRUE,(Skills!L3/10)*(E2520/1000),Skills!L3/10)+Skills!O3</f>
        <v/>
      </c>
      <c r="G2520">
        <f>Skills!G3*IF(Skills!H3&gt;0,Skills!I3/Skills!H3,1)</f>
        <v/>
      </c>
      <c r="H2520">
        <f>1-(1-Skills!J3/100)^Skills!K3</f>
        <v/>
      </c>
      <c r="I2520" t="inlineStr">
        <is>
          <t>1</t>
        </is>
      </c>
      <c r="J2520">
        <f>((Inputs!$B$6*(1+Inputs!$B$7/100))+(((Inputs!$B$12*(1+Inputs!$B$13/100))-(Inputs!$B$12*(1+Inputs!$B$13/100)))+0.25*(Inputs!$B$14-Inputs!$B$14))*(1+Inputs!$B$7/100))*(F2520/100)</f>
        <v/>
      </c>
      <c r="K2520">
        <f>J2520*(1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2537=TRUE)*(F2537-Calc!F20)),(Inputs!$B$23+0+(IF(ArtifactsInput!$M$15,CHOOSE(ArtifactsInput!$N$15+1,25,30,35,40,45,50)/100*(Inputs!$B$11-Inputs!$B$11),0))))/100+(Inputs!$B$23+0+(IF(ArtifactsInput!$M$15,CHOOSE(ArtifactsInput!$N$15+1,25,30,35,40,45,50)/100*(Inputs!$B$11-Inputs!$B$11),0)))/100)/2</f>
        <v/>
      </c>
      <c r="M2520">
        <f>L2520*(1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IF(B2552=0,0,O2520/B2552)</f>
        <v/>
      </c>
      <c r="Q2520" t="n">
        <v>0</v>
      </c>
      <c r="R2520" t="n">
        <v>0</v>
      </c>
      <c r="S2520">
        <f>IFERROR(O2520/N2520,0)</f>
        <v/>
      </c>
      <c r="T2520">
        <f>IF(C2520,(Skills!G3*H2520*N2520*B2546)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0">
        <f>INDEX(FactorTable!$B$2:$Y$301, MATCH(ROUND(MIN(300,MAX(1,U2519)),0), FactorTable!$A$2:$A$301,0), 22)</f>
        <v/>
      </c>
      <c r="V2520">
        <f>IF(C2520,(Skills!G3*H2520*N2520*B2546)*IF(Inputs!$B$38="pvp",1,(1+(Inputs!$B$21+Skills!Q3+(IF(ArtifactsInput!$M$33,CHOOSE(ArtifactsInput!$N$33+1,30,36,42,48,54,60),0))+(IF(AND(ArtifactsInput!$M$35,Inputs!$B$4&lt;&gt;"Chapter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Skills!A4</f>
        <v/>
      </c>
      <c r="B2521">
        <f>Skills!B4</f>
        <v/>
      </c>
      <c r="C2521">
        <f>Inputs!$B$3&gt;=60</f>
        <v/>
      </c>
      <c r="D2521">
        <f>IF(Skills!C4=1,60+Inputs!$B$25+Inputs!$B$29,IF(Skills!C4=2,90+Inputs!$B$26+Inputs!$B$29,IF(Skills!C4=3,120+Inputs!$B$27+Inputs!$B$29,MAX(0,(Inputs!$B$3-100)*3)+Inputs!$B$28+Inputs!$B$29)))</f>
        <v/>
      </c>
      <c r="E2521">
        <f>INDEX(FactorTable!$B$2:$Y$301, MATCH(ROUND(MIN(300,MAX(1,D2521)),0), FactorTable!$A$2:$A$301,0), Skills!M4+1)</f>
        <v/>
      </c>
      <c r="F2521">
        <f>IF(Skills!N4=TRUE,(Skills!L4/10)*(E2521/1000),Skills!L4/10)+Skills!O4</f>
        <v/>
      </c>
      <c r="G2521">
        <f>Skills!G4*IF(Skills!H4&gt;0,Skills!I4/Skills!H4,1)</f>
        <v/>
      </c>
      <c r="H2521">
        <f>1-(1-Skills!J4/100)^Skills!K4</f>
        <v/>
      </c>
      <c r="I2521" t="inlineStr">
        <is>
          <t>1</t>
        </is>
      </c>
      <c r="J2521">
        <f>((Inputs!$B$6*(1+Inputs!$B$7/100))+(((Inputs!$B$12*(1+Inputs!$B$13/100))-(Inputs!$B$12*(1+Inputs!$B$13/100)))+0.25*(Inputs!$B$14-Inputs!$B$14))*(1+Inputs!$B$7/100))*(F2521/100)</f>
        <v/>
      </c>
      <c r="K2521">
        <f>J2521*(1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2529=TRUE,F2529,0)/100)*(1+(IF(Skills!A4="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2537=TRUE)*(F2537-Calc!F20)),(Inputs!$B$23+0+(IF(ArtifactsInput!$M$15,CHOOSE(ArtifactsInput!$N$15+1,25,30,35,40,45,50)/100*(Inputs!$B$11-Inputs!$B$11),0))))/100+(Inputs!$B$23+0+(IF(ArtifactsInput!$M$15,CHOOSE(ArtifactsInput!$N$15+1,25,30,35,40,45,50)/100*(Inputs!$B$11-Inputs!$B$11),0)))/100)/2</f>
        <v/>
      </c>
      <c r="M2521">
        <f>L2521*(1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IF(B2552=0,0,O2521/B2552)</f>
        <v/>
      </c>
      <c r="Q2521" t="n">
        <v>0</v>
      </c>
      <c r="R2521" t="n">
        <v>0</v>
      </c>
      <c r="S2521">
        <f>IFERROR(O2521/N2521,0)</f>
        <v/>
      </c>
      <c r="T2521">
        <f>IF(C2521,(Skills!G4*H2521*N2521*B2546)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290*U2520/1000</f>
        <v/>
      </c>
      <c r="V2521">
        <f>IF(C2521,(Skills!G4*H2521*N2521*B2546)*IF(Inputs!$B$38="pvp",1,(1+(Inputs!$B$21+Skills!Q4+(IF(ArtifactsInput!$M$33,CHOOSE(ArtifactsInput!$N$33+1,30,36,42,48,54,60),0))+(IF(AND(ArtifactsInput!$M$35,Inputs!$B$4&lt;&gt;"Chapter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Skills!A5</f>
        <v/>
      </c>
      <c r="B2522">
        <f>Skills!B5</f>
        <v/>
      </c>
      <c r="C2522">
        <f>Inputs!$B$3&gt;=60</f>
        <v/>
      </c>
      <c r="D2522">
        <f>IF(Skills!C5=1,60+Inputs!$B$25+Inputs!$B$29,IF(Skills!C5=2,90+Inputs!$B$26+Inputs!$B$29,IF(Skills!C5=3,120+Inputs!$B$27+Inputs!$B$29,MAX(0,(Inputs!$B$3-100)*3)+Inputs!$B$28+Inputs!$B$29)))</f>
        <v/>
      </c>
      <c r="E2522">
        <f>INDEX(FactorTable!$B$2:$Y$301, MATCH(ROUND(MIN(300,MAX(1,D2522)),0), FactorTable!$A$2:$A$301,0), Skills!M5+1)</f>
        <v/>
      </c>
      <c r="F2522">
        <f>IF(Skills!N5=TRUE,(Skills!L5/10)*(E2522/1000),Skills!L5/10)+Skills!O5</f>
        <v/>
      </c>
      <c r="G2522">
        <f>Skills!G5*IF(Skills!H5&gt;0,Skills!I5/Skills!H5,1)</f>
        <v/>
      </c>
      <c r="H2522">
        <f>1-(1-Skills!J5/100)^Skills!K5</f>
        <v/>
      </c>
      <c r="I2522" t="inlineStr">
        <is>
          <t>1</t>
        </is>
      </c>
      <c r="J2522" t="inlineStr"/>
      <c r="K2522" t="inlineStr"/>
      <c r="L2522" t="inlineStr"/>
      <c r="M2522" t="inlineStr"/>
      <c r="N2522" t="inlineStr"/>
      <c r="O2522">
        <f>(1-Summary!$B$11)*T2522+Summary!$B$11*V2522</f>
        <v/>
      </c>
      <c r="P2522">
        <f>IF(B2552=0,0,O2522/B2552)</f>
        <v/>
      </c>
      <c r="Q2522" t="n">
        <v>0</v>
      </c>
      <c r="R2522" t="n">
        <v>0</v>
      </c>
      <c r="S2522">
        <f>IFERROR(O2522/N2522,0)</f>
        <v/>
      </c>
      <c r="T2522" t="n">
        <v>0</v>
      </c>
      <c r="V2522" t="n">
        <v>0</v>
      </c>
    </row>
    <row r="2523">
      <c r="A2523">
        <f>Skills!A6</f>
        <v/>
      </c>
      <c r="B2523">
        <f>Skills!B6</f>
        <v/>
      </c>
      <c r="C2523">
        <f>Inputs!$B$3&gt;=63</f>
        <v/>
      </c>
      <c r="D2523">
        <f>IF(Skills!C6=1,60+Inputs!$B$25+Inputs!$B$29,IF(Skills!C6=2,90+Inputs!$B$26+Inputs!$B$29,IF(Skills!C6=3,120+Inputs!$B$27+Inputs!$B$29,MAX(0,(Inputs!$B$3-100)*3)+Inputs!$B$28+Inputs!$B$29)))</f>
        <v/>
      </c>
      <c r="E2523">
        <f>INDEX(FactorTable!$B$2:$Y$301, MATCH(ROUND(MIN(300,MAX(1,D2523)),0), FactorTable!$A$2:$A$301,0), Skills!M6+1)</f>
        <v/>
      </c>
      <c r="F2523">
        <f>IF(Skills!N6=TRUE,(Skills!L6/10)*(E2523/1000),Skills!L6/10)+Skills!O6</f>
        <v/>
      </c>
      <c r="G2523">
        <f>Skills!G6*IF(Skills!H6&gt;0,Skills!I6/Skills!H6,1)</f>
        <v/>
      </c>
      <c r="H2523">
        <f>1-(1-Skills!J6/100)^Skills!K6</f>
        <v/>
      </c>
      <c r="I2523" t="inlineStr">
        <is>
          <t>1</t>
        </is>
      </c>
      <c r="J2523">
        <f>((Inputs!$B$6*(1+Inputs!$B$7/100))+(((Inputs!$B$12*(1+Inputs!$B$13/100))-(Inputs!$B$12*(1+Inputs!$B$13/100)))+0.25*(Inputs!$B$14-Inputs!$B$14))*(1+Inputs!$B$7/100))*(F2523/100)</f>
        <v/>
      </c>
      <c r="K2523">
        <f>J2523*(1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2537=TRUE)*(F2537-Calc!F20)),(Inputs!$B$23+0+(IF(ArtifactsInput!$M$15,CHOOSE(ArtifactsInput!$N$15+1,25,30,35,40,45,50)/100*(Inputs!$B$11-Inputs!$B$11),0))))/100+(Inputs!$B$23+0+(IF(ArtifactsInput!$M$15,CHOOSE(ArtifactsInput!$N$15+1,25,30,35,40,45,50)/100*(Inputs!$B$11-Inputs!$B$11),0)))/100)/2</f>
        <v/>
      </c>
      <c r="M2523">
        <f>L2523*(1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IF(B2552=0,0,O2523/B2552)</f>
        <v/>
      </c>
      <c r="Q2523">
        <f>IFERROR(1/(IF(Inputs!$B$38="pvp",15,MAX(0.1,Skills!D6-IF(Skills!E6=TRUE,1.5,0)))*(1-IF(AND(ArtifactsInput!$M$27,Inputs!$B$4="Chapter Hunt"),CHOOSE(ArtifactsInput!$N$27+1,20,24,28,32,36,40),0)/100)),0)</f>
        <v/>
      </c>
      <c r="R2523">
        <f>IF(AND(Inputs!$B$38&lt;&gt;"pvp",Inputs!$B$43&gt;0),IF(MAX(0,Inputs!$B$43-B2549)&lt;=0,0,(INT(MAX(0,Inputs!$B$43-B2549)/(IF(Inputs!$B$38="pvp",15,MAX(0.1,Skills!D6-IF(Skills!E6=TRUE,1.5,0)))*(1-IF(AND(ArtifactsInput!$M$27,Inputs!$B$4="Chapter Hunt"),CHOOSE(ArtifactsInput!$N$27+1,20,24,28,32,36,40),0)/100)))+1)),0)</f>
        <v/>
      </c>
      <c r="S2523">
        <f>IFERROR(O2523/N2523,0)</f>
        <v/>
      </c>
      <c r="T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$21+Skills!Q6+(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Skills!A7</f>
        <v/>
      </c>
      <c r="B2524">
        <f>Skills!B7</f>
        <v/>
      </c>
      <c r="C2524">
        <f>Inputs!$B$3&gt;=100</f>
        <v/>
      </c>
      <c r="D2524">
        <f>IF(Skills!C7=1,60+Inputs!$B$25+Inputs!$B$29,IF(Skills!C7=2,90+Inputs!$B$26+Inputs!$B$29,IF(Skills!C7=3,120+Inputs!$B$27+Inputs!$B$29,MAX(0,(Inputs!$B$3-100)*3)+Inputs!$B$28+Inputs!$B$29)))</f>
        <v/>
      </c>
      <c r="E2524">
        <f>INDEX(FactorTable!$B$2:$Y$301, MATCH(ROUND(MIN(300,MAX(1,D2524)),0), FactorTable!$A$2:$A$301,0), Skills!M7+1)</f>
        <v/>
      </c>
      <c r="F2524">
        <f>IF(Skills!N7=TRUE,(Skills!L7/10)*(E2524/1000),Skills!L7/10)+Skills!O7</f>
        <v/>
      </c>
      <c r="G2524">
        <f>Skills!G7*IF(Skills!H7&gt;0,Skills!I7/Skills!H7,1)</f>
        <v/>
      </c>
      <c r="H2524">
        <f>1-(1-Skills!J7/100)^Skills!K7</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2537=TRUE)*(F2537-Calc!F20)),(Inputs!$B$23+0+(IF(ArtifactsInput!$M$15,CHOOSE(ArtifactsInput!$N$15+1,25,30,35,40,45,50)/100*(Inputs!$B$11-Inputs!$B$11),0))))/100+(Inputs!$B$23+0+(IF(ArtifactsInput!$M$15,CHOOSE(ArtifactsInput!$N$15+1,25,30,35,40,45,50)/100*(Inputs!$B$11-Inputs!$B$11),0)))/100)/2</f>
        <v/>
      </c>
      <c r="M2524">
        <f>L2524*(1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IF(B2552=0,0,O2524/B2552)</f>
        <v/>
      </c>
      <c r="Q2524">
        <f>IFERROR(1/(IF(Inputs!$B$38="pvp",15,MAX(0.1,Skills!D7-IF(Skills!E7=TRUE,1.5,0)))*(1-IF(AND(ArtifactsInput!$M$27,Inputs!$B$4="Chapter Hunt"),CHOOSE(ArtifactsInput!$N$27+1,20,24,28,32,36,40),0)/100)),0)</f>
        <v/>
      </c>
      <c r="R2524">
        <f>IF(AND(Inputs!$B$38&lt;&gt;"pvp",Inputs!$B$43&gt;0),IF(MAX(0,Inputs!$B$43-B2549)&lt;=0,0,(INT(MAX(0,Inputs!$B$43-B2549)/(IF(Inputs!$B$38="pvp",15,MAX(0.1,Skills!D7-IF(Skills!E7=TRUE,1.5,0)))*(1-IF(AND(ArtifactsInput!$M$27,Inputs!$B$4="Chapter Hunt"),CHOOSE(ArtifactsInput!$N$27+1,20,24,28,32,36,40),0)/100)))+1)),0)</f>
        <v/>
      </c>
      <c r="S2524">
        <f>IFERROR(O2524/N2524,0)</f>
        <v/>
      </c>
      <c r="T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$21+Skills!Q7+(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Skills!A8</f>
        <v/>
      </c>
      <c r="B2525">
        <f>Skills!B8</f>
        <v/>
      </c>
      <c r="C2525">
        <f>Inputs!$B$3&gt;=110</f>
        <v/>
      </c>
      <c r="D2525">
        <f>IF(Skills!C8=1,60+Inputs!$B$25+Inputs!$B$29,IF(Skills!C8=2,90+Inputs!$B$26+Inputs!$B$29,IF(Skills!C8=3,120+Inputs!$B$27+Inputs!$B$29,MAX(0,(Inputs!$B$3-100)*3)+Inputs!$B$28+Inputs!$B$29)))</f>
        <v/>
      </c>
      <c r="E2525">
        <f>INDEX(FactorTable!$B$2:$Y$301, MATCH(ROUND(MIN(300,MAX(1,D2525)),0), FactorTable!$A$2:$A$301,0), Skills!M8+1)</f>
        <v/>
      </c>
      <c r="F2525">
        <f>IF(Skills!N8=TRUE,(Skills!L8/10)*(E2525/1000),Skills!L8/10)+Skills!O8</f>
        <v/>
      </c>
      <c r="G2525">
        <f>Skills!G8*IF(Skills!H8&gt;0,Skills!I8/Skills!H8,1)</f>
        <v/>
      </c>
      <c r="H2525">
        <f>1-(1-Skills!J8/100)^Skills!K8</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2537=TRUE)*(F2537-Calc!F20)),(Inputs!$B$23+0+(IF(ArtifactsInput!$M$15,CHOOSE(ArtifactsInput!$N$15+1,25,30,35,40,45,50)/100*(Inputs!$B$11-Inputs!$B$11),0))))/100+(Inputs!$B$23+0+(IF(ArtifactsInput!$M$15,CHOOSE(ArtifactsInput!$N$15+1,25,30,35,40,45,50)/100*(Inputs!$B$11-Inputs!$B$11),0)))/100)/2</f>
        <v/>
      </c>
      <c r="M2525">
        <f>L2525*(1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IF(B2552=0,0,O2525/B2552)</f>
        <v/>
      </c>
      <c r="Q2525">
        <f>IFERROR(1/(IF(Inputs!$B$38="pvp",15,MAX(0.1,Skills!D8-IF(Skills!E8=TRUE,1.5,0)))*(1-IF(AND(ArtifactsInput!$M$27,Inputs!$B$4="Chapter Hunt"),CHOOSE(ArtifactsInput!$N$27+1,20,24,28,32,36,40),0)/100)),0)</f>
        <v/>
      </c>
      <c r="R2525">
        <f>IF(AND(Inputs!$B$38&lt;&gt;"pvp",Inputs!$B$43&gt;0),IF(MAX(0,Inputs!$B$43-B2549)&lt;=0,0,(INT(MAX(0,Inputs!$B$43-B2549)/(IF(Inputs!$B$38="pvp",15,MAX(0.1,Skills!D8-IF(Skills!E8=TRUE,1.5,0)))*(1-IF(AND(ArtifactsInput!$M$27,Inputs!$B$4="Chapter Hunt"),CHOOSE(ArtifactsInput!$N$27+1,20,24,28,32,36,40),0)/100)))+1)),0)</f>
        <v/>
      </c>
      <c r="S2525">
        <f>IFERROR(O2525/N2525,0)</f>
        <v/>
      </c>
      <c r="T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$21+Skills!Q8+(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Skills!A9</f>
        <v/>
      </c>
      <c r="B2526">
        <f>Skills!B9</f>
        <v/>
      </c>
      <c r="C2526">
        <f>Inputs!$B$3&gt;=110</f>
        <v/>
      </c>
      <c r="D2526">
        <f>IF(Skills!C9=1,60+Inputs!$B$25+Inputs!$B$29,IF(Skills!C9=2,90+Inputs!$B$26+Inputs!$B$29,IF(Skills!C9=3,120+Inputs!$B$27+Inputs!$B$29,MAX(0,(Inputs!$B$3-100)*3)+Inputs!$B$28+Inputs!$B$29)))</f>
        <v/>
      </c>
      <c r="E2526">
        <f>INDEX(FactorTable!$B$2:$Y$301, MATCH(ROUND(MIN(300,MAX(1,D2526)),0), FactorTable!$A$2:$A$301,0), Skills!M9+1)</f>
        <v/>
      </c>
      <c r="F2526">
        <f>IF(Skills!N9=TRUE,(Skills!L9/10)*(E2526/1000),Skills!L9/10)+Skills!O9</f>
        <v/>
      </c>
      <c r="G2526">
        <f>Skills!G9*IF(Skills!H9&gt;0,Skills!I9/Skills!H9,1)</f>
        <v/>
      </c>
      <c r="H2526">
        <f>1-(1-Skills!J9/100)^Skills!K9</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2537=TRUE)*(F2537-Calc!F20)),(Inputs!$B$23+0+(IF(ArtifactsInput!$M$15,CHOOSE(ArtifactsInput!$N$15+1,25,30,35,40,45,50)/100*(Inputs!$B$11-Inputs!$B$11),0))))/100+(Inputs!$B$23+0+(IF(ArtifactsInput!$M$15,CHOOSE(ArtifactsInput!$N$15+1,25,30,35,40,45,50)/100*(Inputs!$B$11-Inputs!$B$11),0)))/100)/2</f>
        <v/>
      </c>
      <c r="M2526">
        <f>L2526*(1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IF(B2552=0,0,O2526/B2552)</f>
        <v/>
      </c>
      <c r="Q2526">
        <f>IFERROR(1/(IF(Inputs!$B$38="pvp",15,MAX(0.1,Skills!D9-IF(Skills!E9=TRUE,1.5,0)))*(1-IF(AND(ArtifactsInput!$M$27,Inputs!$B$4="Chapter Hunt"),CHOOSE(ArtifactsInput!$N$27+1,20,24,28,32,36,40),0)/100)),0)</f>
        <v/>
      </c>
      <c r="R2526">
        <f>IF(AND(Inputs!$B$38&lt;&gt;"pvp",Inputs!$B$43&gt;0),IF(MAX(0,Inputs!$B$43-B2549)&lt;=0,0,(INT(MAX(0,Inputs!$B$43-B2549)/(IF(Inputs!$B$38="pvp",15,MAX(0.1,Skills!D9-IF(Skills!E9=TRUE,1.5,0)))*(1-IF(AND(ArtifactsInput!$M$27,Inputs!$B$4="Chapter Hunt"),CHOOSE(ArtifactsInput!$N$27+1,20,24,28,32,36,40),0)/100)))+1)),0)</f>
        <v/>
      </c>
      <c r="S2526">
        <f>IFERROR(O2526/N2526,0)</f>
        <v/>
      </c>
      <c r="T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$21+Skills!Q9+(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Skills!A10</f>
        <v/>
      </c>
      <c r="B2527">
        <f>Skills!B10</f>
        <v/>
      </c>
      <c r="C2527">
        <f>Inputs!$B$3&gt;=103</f>
        <v/>
      </c>
      <c r="D2527">
        <f>IF(Skills!C10=1,60+Inputs!$B$25+Inputs!$B$29,IF(Skills!C10=2,90+Inputs!$B$26+Inputs!$B$29,IF(Skills!C10=3,120+Inputs!$B$27+Inputs!$B$29,MAX(0,(Inputs!$B$3-100)*3)+Inputs!$B$28+Inputs!$B$29)))</f>
        <v/>
      </c>
      <c r="E2527">
        <f>INDEX(FactorTable!$B$2:$Y$301, MATCH(ROUND(MIN(300,MAX(1,D2527)),0), FactorTable!$A$2:$A$301,0), Skills!M10+1)</f>
        <v/>
      </c>
      <c r="F2527">
        <f>IF(Skills!N10=TRUE,(Skills!L10/10)*(E2527/1000),Skills!L10/10)+Skills!O10</f>
        <v/>
      </c>
      <c r="G2527">
        <f>Skills!G10*IF(Skills!H10&gt;0,Skills!I10/Skills!H10,1)</f>
        <v/>
      </c>
      <c r="H2527">
        <f>1-(1-Skills!J10/100)^Skills!K10</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2537=TRUE)*(F2537-Calc!F20)),(Inputs!$B$23+0+(IF(ArtifactsInput!$M$15,CHOOSE(ArtifactsInput!$N$15+1,25,30,35,40,45,50)/100*(Inputs!$B$11-Inputs!$B$11),0))))/100+(Inputs!$B$23+0+(IF(ArtifactsInput!$M$15,CHOOSE(ArtifactsInput!$N$15+1,25,30,35,40,45,50)/100*(Inputs!$B$11-Inputs!$B$11),0)))/100)/2</f>
        <v/>
      </c>
      <c r="M2527">
        <f>L2527*(1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IF(B2552=0,0,O2527/B2552)</f>
        <v/>
      </c>
      <c r="Q2527">
        <f>IFERROR(1/(IF(Inputs!$B$38="pvp",15,MAX(0.1,Skills!D10-IF(Skills!E10=TRUE,1.5,0)))*(1-IF(AND(ArtifactsInput!$M$27,Inputs!$B$4="Chapter Hunt"),CHOOSE(ArtifactsInput!$N$27+1,20,24,28,32,36,40),0)/100)),0)</f>
        <v/>
      </c>
      <c r="R2527">
        <f>IF(AND(Inputs!$B$38&lt;&gt;"pvp",Inputs!$B$43&gt;0),IF(MAX(0,Inputs!$B$43-B2549)&lt;=0,0,(INT(MAX(0,Inputs!$B$43-B2549)/(IF(Inputs!$B$38="pvp",15,MAX(0.1,Skills!D10-IF(Skills!E10=TRUE,1.5,0)))*(1-IF(AND(ArtifactsInput!$M$27,Inputs!$B$4="Chapter Hunt"),CHOOSE(ArtifactsInput!$N$27+1,20,24,28,32,36,40),0)/100)))+1)),0)</f>
        <v/>
      </c>
      <c r="S2527">
        <f>IFERROR(O2527/N2527,0)</f>
        <v/>
      </c>
      <c r="T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$21+Skills!Q10+(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Skills!A11</f>
        <v/>
      </c>
      <c r="B2528">
        <f>Skills!B11</f>
        <v/>
      </c>
      <c r="C2528">
        <f>Inputs!$B$3&gt;=113</f>
        <v/>
      </c>
      <c r="D2528">
        <f>IF(Skills!C11=1,60+Inputs!$B$25+Inputs!$B$29,IF(Skills!C11=2,90+Inputs!$B$26+Inputs!$B$29,IF(Skills!C11=3,120+Inputs!$B$27+Inputs!$B$29,MAX(0,(Inputs!$B$3-100)*3)+Inputs!$B$28+Inputs!$B$29)))</f>
        <v/>
      </c>
      <c r="E2528">
        <f>INDEX(FactorTable!$B$2:$Y$301, MATCH(ROUND(MIN(300,MAX(1,D2528)),0), FactorTable!$A$2:$A$301,0), Skills!M11+1)</f>
        <v/>
      </c>
      <c r="F2528">
        <f>IF(Skills!N11=TRUE,(Skills!L11/10)*(E2528/1000),Skills!L11/10)+Skills!O11</f>
        <v/>
      </c>
      <c r="G2528">
        <f>Skills!G11*IF(Skills!H11&gt;0,Skills!I11/Skills!H11,1)</f>
        <v/>
      </c>
      <c r="H2528">
        <f>1-(1-Skills!J11/100)^Skills!K11</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2537=TRUE)*(F2537-Calc!F20)),(Inputs!$B$23+0+(IF(ArtifactsInput!$M$15,CHOOSE(ArtifactsInput!$N$15+1,25,30,35,40,45,50)/100*(Inputs!$B$11-Inputs!$B$11),0))))/100+(Inputs!$B$23+0+(IF(ArtifactsInput!$M$15,CHOOSE(ArtifactsInput!$N$15+1,25,30,35,40,45,50)/100*(Inputs!$B$11-Inputs!$B$11),0)))/100)/2</f>
        <v/>
      </c>
      <c r="M2528">
        <f>L2528*(1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IF(B2552=0,0,O2528/B2552)</f>
        <v/>
      </c>
      <c r="Q2528">
        <f>IFERROR(1/(IF(Inputs!$B$38="pvp",15,MAX(0.1,Skills!D11-IF(Skills!E11=TRUE,1.5,0)))*(1-IF(AND(ArtifactsInput!$M$27,Inputs!$B$4="Chapter Hunt"),CHOOSE(ArtifactsInput!$N$27+1,20,24,28,32,36,40),0)/100)),0)</f>
        <v/>
      </c>
      <c r="R2528">
        <f>IF(AND(Inputs!$B$38&lt;&gt;"pvp",Inputs!$B$43&gt;0),IF(MAX(0,Inputs!$B$43-B2549)&lt;=0,0,(INT(MAX(0,Inputs!$B$43-B2549)/(IF(Inputs!$B$38="pvp",15,MAX(0.1,Skills!D11-IF(Skills!E11=TRUE,1.5,0)))*(1-IF(AND(ArtifactsInput!$M$27,Inputs!$B$4="Chapter Hunt"),CHOOSE(ArtifactsInput!$N$27+1,20,24,28,32,36,40),0)/100)))+1)),0)</f>
        <v/>
      </c>
      <c r="S2528">
        <f>IFERROR(O2528/N2528,0)</f>
        <v/>
      </c>
      <c r="T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$21+Skills!Q11+(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Skills!A12</f>
        <v/>
      </c>
      <c r="B2529">
        <f>Skills!B12</f>
        <v/>
      </c>
      <c r="C2529">
        <f>Inputs!$B$3&gt;=100</f>
        <v/>
      </c>
      <c r="D2529">
        <f>IF(Skills!C12=1,60+Inputs!$B$25+Inputs!$B$29,IF(Skills!C12=2,90+Inputs!$B$26+Inputs!$B$29,IF(Skills!C12=3,120+Inputs!$B$27+Inputs!$B$29,MAX(0,(Inputs!$B$3-100)*3)+Inputs!$B$28+Inputs!$B$29)))</f>
        <v/>
      </c>
      <c r="E2529">
        <f>INDEX(FactorTable!$B$2:$Y$301, MATCH(ROUND(MIN(300,MAX(1,D2529)),0), FactorTable!$A$2:$A$301,0), Skills!M12+1)</f>
        <v/>
      </c>
      <c r="F2529">
        <f>IF(Skills!N12=TRUE,(Skills!L12/10)*(E2529/1000),Skills!L12/10)+Skills!O12</f>
        <v/>
      </c>
      <c r="G2529" t="inlineStr"/>
      <c r="H2529" t="inlineStr"/>
      <c r="I2529" t="inlineStr">
        <is>
          <t>1</t>
        </is>
      </c>
      <c r="J2529" t="inlineStr"/>
      <c r="K2529" t="inlineStr"/>
      <c r="L2529" t="inlineStr"/>
      <c r="M2529" t="inlineStr"/>
      <c r="N2529" t="inlineStr"/>
      <c r="O2529" t="inlineStr"/>
      <c r="P2529" t="inlineStr"/>
      <c r="Q2529" t="inlineStr"/>
      <c r="R2529" t="inlineStr"/>
      <c r="S2529" t="inlineStr"/>
      <c r="T2529" t="inlineStr"/>
      <c r="V2529" t="inlineStr"/>
    </row>
    <row r="2530">
      <c r="A2530">
        <f>Skills!A13</f>
        <v/>
      </c>
      <c r="B2530">
        <f>Skills!B13</f>
        <v/>
      </c>
      <c r="C2530">
        <f>Inputs!$B$3&gt;=66</f>
        <v/>
      </c>
      <c r="D2530">
        <f>IF(Skills!C13=1,60+Inputs!$B$25+Inputs!$B$29,IF(Skills!C13=2,90+Inputs!$B$26+Inputs!$B$29,IF(Skills!C13=3,120+Inputs!$B$27+Inputs!$B$29,MAX(0,(Inputs!$B$3-100)*3)+Inputs!$B$28+Inputs!$B$29)))</f>
        <v/>
      </c>
      <c r="E2530">
        <f>INDEX(FactorTable!$B$2:$Y$301, MATCH(ROUND(MIN(300,MAX(1,D2530)),0), FactorTable!$A$2:$A$301,0), Skills!M13+1)</f>
        <v/>
      </c>
      <c r="F2530">
        <f>IF(Skills!N13=TRUE,(Skills!L13/10)*(E2530/1000),Skills!L13/10)+Skills!O13</f>
        <v/>
      </c>
      <c r="G2530">
        <f>Skills!G13*IF(Skills!H13&gt;0,Skills!I13/Skills!H13,1)</f>
        <v/>
      </c>
      <c r="H2530">
        <f>1-(1-Skills!J13/100)^Skills!K13</f>
        <v/>
      </c>
      <c r="I2530" t="inlineStr">
        <is>
          <t>1</t>
        </is>
      </c>
      <c r="J2530" t="inlineStr"/>
      <c r="K2530" t="inlineStr"/>
      <c r="L2530" t="inlineStr"/>
      <c r="M2530" t="inlineStr"/>
      <c r="N2530" t="inlineStr"/>
      <c r="O2530">
        <f>(1-Summary!$B$11)*T2530+Summary!$B$11*V2530</f>
        <v/>
      </c>
      <c r="P2530">
        <f>IF(B2552=0,0,O2530/B2552)</f>
        <v/>
      </c>
      <c r="Q2530" t="n">
        <v>0</v>
      </c>
      <c r="R2530" t="n">
        <v>0</v>
      </c>
      <c r="S2530">
        <f>IFERROR(O2530/N2530,0)</f>
        <v/>
      </c>
      <c r="T2530" t="n">
        <v>0</v>
      </c>
      <c r="V2530" t="n">
        <v>0</v>
      </c>
    </row>
    <row r="2531">
      <c r="A2531">
        <f>Skills!A14</f>
        <v/>
      </c>
      <c r="B2531">
        <f>Skills!B14</f>
        <v/>
      </c>
      <c r="C2531">
        <f>Inputs!$B$3&gt;=107</f>
        <v/>
      </c>
      <c r="D2531">
        <f>IF(Skills!C14=1,60+Inputs!$B$25+Inputs!$B$29,IF(Skills!C14=2,90+Inputs!$B$26+Inputs!$B$29,IF(Skills!C14=3,120+Inputs!$B$27+Inputs!$B$29,MAX(0,(Inputs!$B$3-100)*3)+Inputs!$B$28+Inputs!$B$29)))</f>
        <v/>
      </c>
      <c r="E2531">
        <f>INDEX(FactorTable!$B$2:$Y$301, MATCH(ROUND(MIN(300,MAX(1,D2531)),0), FactorTable!$A$2:$A$301,0), Skills!M14+1)</f>
        <v/>
      </c>
      <c r="F2531">
        <f>IF(Skills!N14=TRUE,(Skills!L14/10)*(E2531/1000),Skills!L14/10)+Skills!O14</f>
        <v/>
      </c>
      <c r="G2531">
        <f>Skills!G14*IF(Skills!H14&gt;0,Skills!I14/Skills!H14,1)</f>
        <v/>
      </c>
      <c r="H2531">
        <f>1-(1-Skills!J14/100)^Skills!K14</f>
        <v/>
      </c>
      <c r="I2531" t="inlineStr">
        <is>
          <t>1</t>
        </is>
      </c>
      <c r="J2531" t="inlineStr"/>
      <c r="K2531" t="inlineStr"/>
      <c r="L2531" t="inlineStr"/>
      <c r="M2531" t="inlineStr"/>
      <c r="N2531" t="inlineStr"/>
      <c r="O2531">
        <f>(1-Summary!$B$11)*T2531+Summary!$B$11*V2531</f>
        <v/>
      </c>
      <c r="P2531">
        <f>IF(B2552=0,0,O2531/B2552)</f>
        <v/>
      </c>
      <c r="Q2531" t="n">
        <v>0</v>
      </c>
      <c r="R2531" t="n">
        <v>0</v>
      </c>
      <c r="S2531">
        <f>IFERROR(O2531/N2531,0)</f>
        <v/>
      </c>
      <c r="T2531" t="n">
        <v>0</v>
      </c>
      <c r="V2531" t="n">
        <v>0</v>
      </c>
    </row>
    <row r="2532">
      <c r="A2532">
        <f>Skills!A15</f>
        <v/>
      </c>
      <c r="B2532">
        <f>Skills!B15</f>
        <v/>
      </c>
      <c r="C2532">
        <f>Inputs!$B$3&gt;=115</f>
        <v/>
      </c>
      <c r="D2532">
        <f>IF(Skills!C15=1,60+Inputs!$B$25+Inputs!$B$29,IF(Skills!C15=2,90+Inputs!$B$26+Inputs!$B$29,IF(Skills!C15=3,120+Inputs!$B$27+Inputs!$B$29,MAX(0,(Inputs!$B$3-100)*3)+Inputs!$B$28+Inputs!$B$29)))</f>
        <v/>
      </c>
      <c r="E2532">
        <f>INDEX(FactorTable!$B$2:$Y$301, MATCH(ROUND(MIN(300,MAX(1,D2532)),0), FactorTable!$A$2:$A$301,0), Skills!M15+1)</f>
        <v/>
      </c>
      <c r="F2532">
        <f>IF(Skills!N15=TRUE,(Skills!L15/10)*(E2532/1000),Skills!L15/10)+Skills!O15</f>
        <v/>
      </c>
      <c r="G2532">
        <f>Skills!G15*IF(Skills!H15&gt;0,Skills!I15/Skills!H15,1)</f>
        <v/>
      </c>
      <c r="H2532">
        <f>1-(1-Skills!J15/100)^Skills!K15</f>
        <v/>
      </c>
      <c r="I2532" t="inlineStr">
        <is>
          <t>1</t>
        </is>
      </c>
      <c r="J2532" t="inlineStr"/>
      <c r="K2532" t="inlineStr"/>
      <c r="L2532" t="inlineStr"/>
      <c r="M2532" t="inlineStr"/>
      <c r="N2532" t="inlineStr"/>
      <c r="O2532">
        <f>(1-Summary!$B$11)*T2532+Summary!$B$11*V2532</f>
        <v/>
      </c>
      <c r="P2532">
        <f>IF(B2552=0,0,O2532/B2552)</f>
        <v/>
      </c>
      <c r="Q2532" t="n">
        <v>0</v>
      </c>
      <c r="R2532" t="n">
        <v>0</v>
      </c>
      <c r="S2532">
        <f>IFERROR(O2532/N2532,0)</f>
        <v/>
      </c>
      <c r="T2532" t="n">
        <v>0</v>
      </c>
      <c r="V2532" t="n">
        <v>0</v>
      </c>
    </row>
    <row r="2533">
      <c r="A2533">
        <f>Skills!A16</f>
        <v/>
      </c>
      <c r="B2533">
        <f>Skills!B16</f>
        <v/>
      </c>
      <c r="C2533">
        <f>Inputs!$B$3&gt;=15</f>
        <v/>
      </c>
      <c r="D2533">
        <f>IF(Skills!C16=1,60+Inputs!$B$25+Inputs!$B$29,IF(Skills!C16=2,90+Inputs!$B$26+Inputs!$B$29,IF(Skills!C16=3,120+Inputs!$B$27+Inputs!$B$29,MAX(0,(Inputs!$B$3-100)*3)+Inputs!$B$28+Inputs!$B$29)))</f>
        <v/>
      </c>
      <c r="E2533">
        <f>INDEX(FactorTable!$B$2:$Y$301, MATCH(ROUND(MIN(300,MAX(1,D2533)),0), FactorTable!$A$2:$A$301,0), Skills!M16+1)</f>
        <v/>
      </c>
      <c r="F2533">
        <f>IF(Skills!N16=TRUE,(Skills!L16/10)*(E2533/1000),Skills!L16/10)+Skills!O16</f>
        <v/>
      </c>
      <c r="G2533">
        <f>Skills!G16*IF(Skills!H16&gt;0,Skills!I16/Skills!H16,1)</f>
        <v/>
      </c>
      <c r="H2533">
        <f>1-(1-Skills!J16/100)^Skills!K16</f>
        <v/>
      </c>
      <c r="I2533" t="inlineStr">
        <is>
          <t>1</t>
        </is>
      </c>
      <c r="J2533" t="inlineStr"/>
      <c r="K2533" t="inlineStr"/>
      <c r="L2533" t="inlineStr"/>
      <c r="M2533" t="inlineStr"/>
      <c r="N2533" t="inlineStr"/>
      <c r="O2533">
        <f>(1-Summary!$B$11)*T2533+Summary!$B$11*V2533</f>
        <v/>
      </c>
      <c r="P2533">
        <f>IF(B2552=0,0,O2533/B2552)</f>
        <v/>
      </c>
      <c r="Q2533" t="n">
        <v>0</v>
      </c>
      <c r="R2533" t="n">
        <v>0</v>
      </c>
      <c r="S2533">
        <f>IFERROR(O2533/N2533,0)</f>
        <v/>
      </c>
      <c r="T2533" t="n">
        <v>0</v>
      </c>
      <c r="V2533" t="n">
        <v>0</v>
      </c>
    </row>
    <row r="2534">
      <c r="A2534">
        <f>Skills!A17</f>
        <v/>
      </c>
      <c r="B2534">
        <f>Skills!B17</f>
        <v/>
      </c>
      <c r="C2534">
        <f>Inputs!$B$3&gt;=10</f>
        <v/>
      </c>
      <c r="D2534">
        <f>IF(Skills!C17=1,60+Inputs!$B$25+Inputs!$B$29,IF(Skills!C17=2,90+Inputs!$B$26+Inputs!$B$29,IF(Skills!C17=3,120+Inputs!$B$27+Inputs!$B$29,MAX(0,(Inputs!$B$3-100)*3)+Inputs!$B$28+Inputs!$B$29)))</f>
        <v/>
      </c>
      <c r="E2534">
        <f>INDEX(FactorTable!$B$2:$Y$301, MATCH(ROUND(MIN(300,MAX(1,D2534)),0), FactorTable!$A$2:$A$301,0), Skills!M17+1)</f>
        <v/>
      </c>
      <c r="F2534">
        <f>IF(Skills!N17=TRUE,(Skills!L17/10)*(E2534/1000),Skills!L17/10)+Skills!O17</f>
        <v/>
      </c>
      <c r="G2534">
        <f>Skills!G17*IF(Skills!H17&gt;0,Skills!I17/Skills!H17,1)</f>
        <v/>
      </c>
      <c r="H2534">
        <f>1-(1-Skills!J17/100)^Skills!K17</f>
        <v/>
      </c>
      <c r="I2534" t="inlineStr">
        <is>
          <t>1</t>
        </is>
      </c>
      <c r="J2534" t="inlineStr"/>
      <c r="K2534" t="inlineStr"/>
      <c r="L2534" t="inlineStr"/>
      <c r="M2534" t="inlineStr"/>
      <c r="N2534" t="inlineStr"/>
      <c r="O2534">
        <f>(1-Summary!$B$11)*T2534+Summary!$B$11*V2534</f>
        <v/>
      </c>
      <c r="P2534">
        <f>IF(B2552=0,0,O2534/B2552)</f>
        <v/>
      </c>
      <c r="Q2534" t="n">
        <v>0</v>
      </c>
      <c r="R2534" t="n">
        <v>0</v>
      </c>
      <c r="S2534">
        <f>IFERROR(O2534/N2534,0)</f>
        <v/>
      </c>
      <c r="T2534" t="n">
        <v>0</v>
      </c>
      <c r="V2534" t="n">
        <v>0</v>
      </c>
    </row>
    <row r="2535">
      <c r="A2535">
        <f>Skills!A18</f>
        <v/>
      </c>
      <c r="B2535">
        <f>Skills!B18</f>
        <v/>
      </c>
      <c r="C2535">
        <f>Inputs!$B$3&gt;=33</f>
        <v/>
      </c>
      <c r="D2535">
        <f>IF(Skills!C18=1,60+Inputs!$B$25+Inputs!$B$29,IF(Skills!C18=2,90+Inputs!$B$26+Inputs!$B$29,IF(Skills!C18=3,120+Inputs!$B$27+Inputs!$B$29,MAX(0,(Inputs!$B$3-100)*3)+Inputs!$B$28+Inputs!$B$29)))</f>
        <v/>
      </c>
      <c r="E2535">
        <f>INDEX(FactorTable!$B$2:$Y$301, MATCH(ROUND(MIN(300,MAX(1,D2535)),0), FactorTable!$A$2:$A$301,0), Skills!M18+1)</f>
        <v/>
      </c>
      <c r="F2535">
        <f>IF(Skills!N18=TRUE,(Skills!L18/10)*(E2535/1000),Skills!L18/10)+Skills!O18</f>
        <v/>
      </c>
      <c r="G2535">
        <f>Skills!G18*IF(Skills!H18&gt;0,Skills!I18/Skills!H18,1)</f>
        <v/>
      </c>
      <c r="H2535">
        <f>1-(1-Skills!J18/100)^Skills!K18</f>
        <v/>
      </c>
      <c r="I2535" t="inlineStr">
        <is>
          <t>1</t>
        </is>
      </c>
      <c r="J2535" t="inlineStr"/>
      <c r="K2535" t="inlineStr"/>
      <c r="L2535" t="inlineStr"/>
      <c r="M2535" t="inlineStr"/>
      <c r="N2535" t="inlineStr"/>
      <c r="O2535">
        <f>(1-Summary!$B$11)*T2535+Summary!$B$11*V2535</f>
        <v/>
      </c>
      <c r="P2535">
        <f>IF(B2552=0,0,O2535/B2552)</f>
        <v/>
      </c>
      <c r="Q2535" t="n">
        <v>0</v>
      </c>
      <c r="R2535" t="n">
        <v>0</v>
      </c>
      <c r="S2535">
        <f>IFERROR(O2535/N2535,0)</f>
        <v/>
      </c>
      <c r="T2535" t="n">
        <v>0</v>
      </c>
      <c r="V2535" t="n">
        <v>0</v>
      </c>
    </row>
    <row r="2536">
      <c r="A2536">
        <f>Skills!A19</f>
        <v/>
      </c>
      <c r="B2536">
        <f>Skills!B19</f>
        <v/>
      </c>
      <c r="C2536">
        <f>Inputs!$B$3&gt;=40</f>
        <v/>
      </c>
      <c r="D2536">
        <f>IF(Skills!C19=1,60+Inputs!$B$25+Inputs!$B$29,IF(Skills!C19=2,90+Inputs!$B$26+Inputs!$B$29,IF(Skills!C19=3,120+Inputs!$B$27+Inputs!$B$29,MAX(0,(Inputs!$B$3-100)*3)+Inputs!$B$28+Inputs!$B$29)))</f>
        <v/>
      </c>
      <c r="E2536">
        <f>INDEX(FactorTable!$B$2:$Y$301, MATCH(ROUND(MIN(300,MAX(1,D2536)),0), FactorTable!$A$2:$A$301,0), Skills!M19+1)</f>
        <v/>
      </c>
      <c r="F2536">
        <f>IF(Skills!N19=TRUE,(Skills!L19/10)*(E2536/1000),Skills!L19/10)+Skills!O19</f>
        <v/>
      </c>
      <c r="G2536">
        <f>Skills!G19*IF(Skills!H19&gt;0,Skills!I19/Skills!H19,1)</f>
        <v/>
      </c>
      <c r="H2536">
        <f>1-(1-Skills!J19/100)^Skills!K19</f>
        <v/>
      </c>
      <c r="I2536" t="inlineStr">
        <is>
          <t>1</t>
        </is>
      </c>
      <c r="J2536" t="inlineStr"/>
      <c r="K2536" t="inlineStr"/>
      <c r="L2536" t="inlineStr"/>
      <c r="M2536" t="inlineStr"/>
      <c r="N2536" t="inlineStr"/>
      <c r="O2536">
        <f>(1-Summary!$B$11)*T2536+Summary!$B$11*V2536</f>
        <v/>
      </c>
      <c r="P2536">
        <f>IF(B2552=0,0,O2536/B2552)</f>
        <v/>
      </c>
      <c r="Q2536" t="n">
        <v>0</v>
      </c>
      <c r="R2536" t="n">
        <v>0</v>
      </c>
      <c r="S2536">
        <f>IFERROR(O2536/N2536,0)</f>
        <v/>
      </c>
      <c r="T2536" t="n">
        <v>0</v>
      </c>
      <c r="V2536" t="n">
        <v>0</v>
      </c>
    </row>
    <row r="2537">
      <c r="A2537">
        <f>Skills!A20</f>
        <v/>
      </c>
      <c r="B2537">
        <f>Skills!B20</f>
        <v/>
      </c>
      <c r="C2537">
        <f>Inputs!$B$3&gt;=43</f>
        <v/>
      </c>
      <c r="D2537">
        <f>IF(Skills!C20=1,60+Inputs!$B$25+Inputs!$B$29,IF(Skills!C20=2,90+Inputs!$B$26+Inputs!$B$29,IF(Skills!C20=3,120+Inputs!$B$27+Inputs!$B$29,MAX(0,(Inputs!$B$3-100)*3)+Inputs!$B$28+Inputs!$B$29)))</f>
        <v/>
      </c>
      <c r="E2537">
        <f>INDEX(FactorTable!$B$2:$Y$301, MATCH(ROUND(MIN(300,MAX(1,D2537)),0), FactorTable!$A$2:$A$301,0), Skills!M20+1)</f>
        <v/>
      </c>
      <c r="F2537">
        <f>IF(Skills!N20=TRUE,(Skills!L20/10)*(E2537/1000),Skills!L20/10)+Skills!O20</f>
        <v/>
      </c>
      <c r="G2537">
        <f>Skills!G20*IF(Skills!H20&gt;0,Skills!I20/Skills!H20,1)</f>
        <v/>
      </c>
      <c r="H2537">
        <f>1-(1-Skills!J20/100)^Skills!K20</f>
        <v/>
      </c>
      <c r="I2537" t="inlineStr">
        <is>
          <t>1</t>
        </is>
      </c>
      <c r="J2537" t="inlineStr"/>
      <c r="K2537" t="inlineStr"/>
      <c r="L2537" t="inlineStr"/>
      <c r="M2537" t="inlineStr"/>
      <c r="N2537" t="inlineStr"/>
      <c r="O2537">
        <f>(1-Summary!$B$11)*T2537+Summary!$B$11*V2537</f>
        <v/>
      </c>
      <c r="P2537">
        <f>IF(B2552=0,0,O2537/B2552)</f>
        <v/>
      </c>
      <c r="Q2537" t="n">
        <v>0</v>
      </c>
      <c r="R2537" t="n">
        <v>0</v>
      </c>
      <c r="S2537">
        <f>IFERROR(O2537/N2537,0)</f>
        <v/>
      </c>
      <c r="T2537" t="n">
        <v>0</v>
      </c>
      <c r="V2537" t="n">
        <v>0</v>
      </c>
    </row>
    <row r="2538">
      <c r="A2538">
        <f>Skills!A21</f>
        <v/>
      </c>
      <c r="B2538">
        <f>Skills!B21</f>
        <v/>
      </c>
      <c r="C2538">
        <f>Inputs!$B$3&gt;=38</f>
        <v/>
      </c>
      <c r="D2538">
        <f>IF(Skills!C21=1,60+Inputs!$B$25+Inputs!$B$29,IF(Skills!C21=2,90+Inputs!$B$26+Inputs!$B$29,IF(Skills!C21=3,120+Inputs!$B$27+Inputs!$B$29,MAX(0,(Inputs!$B$3-100)*3)+Inputs!$B$28+Inputs!$B$29)))</f>
        <v/>
      </c>
      <c r="E2538">
        <f>INDEX(FactorTable!$B$2:$Y$301, MATCH(ROUND(MIN(300,MAX(1,D2538)),0), FactorTable!$A$2:$A$301,0), Skills!M21+1)</f>
        <v/>
      </c>
      <c r="F2538">
        <f>IF(Skills!N21=TRUE,(Skills!L21/10)*(E2538/1000),Skills!L21/10)+Skills!O21</f>
        <v/>
      </c>
      <c r="G2538">
        <f>Skills!G21*IF(Skills!H21&gt;0,Skills!I21/Skills!H21,1)</f>
        <v/>
      </c>
      <c r="H2538">
        <f>1-(1-Skills!J21/100)^Skills!K21</f>
        <v/>
      </c>
      <c r="I2538" t="inlineStr">
        <is>
          <t>1</t>
        </is>
      </c>
      <c r="J2538" t="inlineStr"/>
      <c r="K2538" t="inlineStr"/>
      <c r="L2538" t="inlineStr"/>
      <c r="M2538" t="inlineStr"/>
      <c r="N2538" t="inlineStr"/>
      <c r="O2538">
        <f>(1-Summary!$B$11)*T2538+Summary!$B$11*V2538</f>
        <v/>
      </c>
      <c r="P2538">
        <f>IF(B2552=0,0,O2538/B2552)</f>
        <v/>
      </c>
      <c r="Q2538" t="n">
        <v>0</v>
      </c>
      <c r="R2538" t="n">
        <v>0</v>
      </c>
      <c r="S2538">
        <f>IFERROR(O2538/N2538,0)</f>
        <v/>
      </c>
      <c r="T2538" t="n">
        <v>0</v>
      </c>
      <c r="V2538" t="n">
        <v>0</v>
      </c>
    </row>
    <row r="2539">
      <c r="A2539">
        <f>Skills!A22</f>
        <v/>
      </c>
      <c r="B2539">
        <f>Skills!B22</f>
        <v/>
      </c>
      <c r="C2539">
        <f>Inputs!$B$3&gt;=75</f>
        <v/>
      </c>
      <c r="D2539">
        <f>IF(Skills!C22=1,60+Inputs!$B$25+Inputs!$B$29,IF(Skills!C22=2,90+Inputs!$B$26+Inputs!$B$29,IF(Skills!C22=3,120+Inputs!$B$27+Inputs!$B$29,MAX(0,(Inputs!$B$3-100)*3)+Inputs!$B$28+Inputs!$B$29)))</f>
        <v/>
      </c>
      <c r="E2539">
        <f>INDEX(FactorTable!$B$2:$Y$301, MATCH(ROUND(MIN(300,MAX(1,D2539)),0), FactorTable!$A$2:$A$301,0), Skills!M22+1)</f>
        <v/>
      </c>
      <c r="F2539">
        <f>IF(Skills!N22=TRUE,(Skills!L22/10)*(E2539/1000),Skills!L22/10)+Skills!O22</f>
        <v/>
      </c>
      <c r="G2539">
        <f>Skills!G22*IF(Skills!H22&gt;0,Skills!I22/Skills!H22,1)</f>
        <v/>
      </c>
      <c r="H2539">
        <f>1-(1-Skills!J22/100)^Skills!K22</f>
        <v/>
      </c>
      <c r="I2539" t="inlineStr">
        <is>
          <t>1</t>
        </is>
      </c>
      <c r="J2539" t="inlineStr"/>
      <c r="K2539" t="inlineStr"/>
      <c r="L2539" t="inlineStr"/>
      <c r="M2539" t="inlineStr"/>
      <c r="N2539" t="inlineStr"/>
      <c r="O2539">
        <f>(1-Summary!$B$11)*T2539+Summary!$B$11*V2539</f>
        <v/>
      </c>
      <c r="P2539">
        <f>IF(B2552=0,0,O2539/B2552)</f>
        <v/>
      </c>
      <c r="Q2539" t="n">
        <v>0</v>
      </c>
      <c r="R2539" t="n">
        <v>0</v>
      </c>
      <c r="S2539">
        <f>IFERROR(O2539/N2539,0)</f>
        <v/>
      </c>
      <c r="T2539" t="n">
        <v>0</v>
      </c>
      <c r="V2539" t="n">
        <v>0</v>
      </c>
    </row>
    <row r="2541">
      <c r="A2541" t="inlineStr">
        <is>
          <t>Attack% Bucket Multiplier</t>
        </is>
      </c>
      <c r="B2541">
        <f>(1+(((C2530=TRUE)*F2530)+((C2536=TRUE)*(F2536-Calc!F19))+(IF(ArtifactsInput!$M$21,CHOOSE(ArtifactsInput!$N$21+1,25,30,35,40,45,50)*(IF(OR(Inputs!$B$4="Chapter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2">
      <c r="A2542" t="inlineStr">
        <is>
          <t>Global Crit Rate Bonus %</t>
        </is>
      </c>
      <c r="B2542" t="n">
        <v>0</v>
      </c>
    </row>
    <row r="2543">
      <c r="A2543" t="inlineStr">
        <is>
          <t>Attack Speed Buff Bonus % (unused)</t>
        </is>
      </c>
      <c r="B2543" t="n">
        <v>0</v>
      </c>
    </row>
    <row r="2544">
      <c r="A2544" t="inlineStr">
        <is>
          <t>Actions Per Second</t>
        </is>
      </c>
      <c r="B2544">
        <f>1+MIN(150,150*(1-(1-(Inputs!$B$11+((C2534=TRUE)*(F2534-Calc!F17))+((C2535=TRUE)*(F2535-Calc!F18)))/150)*(1-B2543/150)))/100</f>
        <v/>
      </c>
    </row>
    <row r="2545">
      <c r="A2545" t="inlineStr">
        <is>
          <t>Skill + Buff Cast Rate</t>
        </is>
      </c>
      <c r="B2545">
        <f>IF(AND(Inputs!$B$38&lt;&gt;"pvp",Inputs!$B$43&gt;0),SUMPRODUCT((Skills!E2:E22=TRUE)*(C2519:C2539=TRUE)*R2519:R2539*Skills!F2:F22)/Inputs!$B$43,SUMPRODUCT((Skills!E2:E22=TRUE)*(C2519:C2539=TRUE)*Q2519:Q2539*Skills!F2:F22))</f>
        <v/>
      </c>
    </row>
    <row r="2546">
      <c r="A2546" t="inlineStr">
        <is>
          <t>Hook Bomber Casts Per Second</t>
        </is>
      </c>
      <c r="B2546">
        <f>MAX(0,B2544-B2545)</f>
        <v/>
      </c>
    </row>
    <row r="2547">
      <c r="A2547" t="inlineStr">
        <is>
          <t>Global Critical Damage Bonus % (unused)</t>
        </is>
      </c>
      <c r="B2547" t="n">
        <v>0</v>
      </c>
    </row>
    <row r="2548">
      <c r="A2548" t="inlineStr">
        <is>
          <t>Global Final Damage Bonus % (Serpent Scale + Crossbones + Time Leap + Speed Infusion)</t>
        </is>
      </c>
      <c r="B2548">
        <f>((C2522=TRUE)*F2522*((10+IF(Inputs!$B$3&gt;=94,5,0))/((10+IF(Inputs!$B$3&gt;=94,5,0))+5/(B2546*(1+IF(Inputs!$B$3&gt;=104,1,0))))))+((C2531=TRUE)*F2531)+((C2532=TRUE)*F2532)+((Inputs!$B$3&gt;=110)*20*(B2544-1))</f>
        <v/>
      </c>
    </row>
    <row r="2549">
      <c r="A2549" t="inlineStr">
        <is>
          <t>Buff-Casting Startup Delay (s, fixed-duration only)</t>
        </is>
      </c>
      <c r="B2549">
        <f>IF(AND(Inputs!$B$38&lt;&gt;"pvp",Inputs!$B$43&gt;0),SUMPRODUCT((Skills!T2:T22&gt;0)*(Skills!E2:E22=TRUE)*(C2519:C2539=TRUE))/B2544,0)</f>
        <v/>
      </c>
    </row>
    <row r="2550">
      <c r="A2550" t="inlineStr">
        <is>
          <t>Boss-Only Total DPS (this block's swept value)</t>
        </is>
      </c>
      <c r="B2550">
        <f>SUM(T2519:T2539)</f>
        <v/>
      </c>
    </row>
    <row r="2551">
      <c r="A2551" t="inlineStr">
        <is>
          <t>Normal-Only Total DPS (this block's swept value)</t>
        </is>
      </c>
      <c r="B2551">
        <f>SUM(V2519:V2539)</f>
        <v/>
      </c>
    </row>
    <row r="2552">
      <c r="A2552" s="6" t="inlineStr">
        <is>
          <t>TOTAL DPS</t>
        </is>
      </c>
      <c r="B2552" s="6">
        <f>SUM(O2519:O2539)</f>
        <v/>
      </c>
    </row>
    <row r="2555">
      <c r="A2555" s="6" t="inlineStr">
        <is>
          <t>Stat: CDR = 2.0s</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2575=TRUE)*(F2575-Calc!F20)),(Inputs!$B$23+0+(IF(ArtifactsInput!$M$15,CHOOSE(ArtifactsInput!$N$15+1,25,30,35,40,45,50)/100*(Inputs!$B$11-Inputs!$B$11),0))))/100+(Inputs!$B$23+0+(IF(ArtifactsInput!$M$15,CHOOSE(ArtifactsInput!$N$15+1,25,30,35,40,45,50)/100*(Inputs!$B$11-Inputs!$B$11),0)))/100)/2</f>
        <v/>
      </c>
      <c r="M2557">
        <f>L2557*(1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IF(B2590=0,0,O2557/B2590)</f>
        <v/>
      </c>
      <c r="Q2557" t="n">
        <v>0</v>
      </c>
      <c r="R2557" t="n">
        <v>0</v>
      </c>
      <c r="S2557">
        <f>IFERROR(O2557/N2557,0)</f>
        <v/>
      </c>
      <c r="T2557">
        <f>IF(C2557,(Skills!G2*N2557*B2584)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IF(C2557,(Skills!G2*N2557*B2584)*IF(Inputs!$B$38="pvp",1,(1+(Inputs!$B$21+Skills!Q2+(IF(ArtifactsInput!$M$33,CHOOSE(ArtifactsInput!$N$33+1,30,36,42,48,54,60),0))+(IF(AND(ArtifactsInput!$M$35,Inputs!$B$4&lt;&gt;"Chapter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Inputs!$B$3&gt;=35</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f>Skills!G3*IF(Skills!H3&gt;0,Skills!I3/Skills!H3,1)</f>
        <v/>
      </c>
      <c r="H2558">
        <f>1-(1-Skills!J3/100)^Skills!K3</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2575=TRUE)*(F2575-Calc!F20)),(Inputs!$B$23+0+(IF(ArtifactsInput!$M$15,CHOOSE(ArtifactsInput!$N$15+1,25,30,35,40,45,50)/100*(Inputs!$B$11-Inputs!$B$11),0))))/100+(Inputs!$B$23+0+(IF(ArtifactsInput!$M$15,CHOOSE(ArtifactsInput!$N$15+1,25,30,35,40,45,50)/100*(Inputs!$B$11-Inputs!$B$11),0)))/100)/2</f>
        <v/>
      </c>
      <c r="M2558">
        <f>L2558*(1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IF(B2590=0,0,O2558/B2590)</f>
        <v/>
      </c>
      <c r="Q2558" t="n">
        <v>0</v>
      </c>
      <c r="R2558" t="n">
        <v>0</v>
      </c>
      <c r="S2558">
        <f>IFERROR(O2558/N2558,0)</f>
        <v/>
      </c>
      <c r="T2558">
        <f>IF(C2558,(Skills!G3*H2558*N2558*B2584)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INDEX(FactorTable!$B$2:$Y$301, MATCH(ROUND(MIN(300,MAX(1,U2557)),0), FactorTable!$A$2:$A$301,0), 22)</f>
        <v/>
      </c>
      <c r="V2558">
        <f>IF(C2558,(Skills!G3*H2558*N2558*B2584)*IF(Inputs!$B$38="pvp",1,(1+(Inputs!$B$21+Skills!Q3+(IF(ArtifactsInput!$M$33,CHOOSE(ArtifactsInput!$N$33+1,30,36,42,48,54,60),0))+(IF(AND(ArtifactsInput!$M$35,Inputs!$B$4&lt;&gt;"Chapter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Skills!A4</f>
        <v/>
      </c>
      <c r="B2559">
        <f>Skills!B4</f>
        <v/>
      </c>
      <c r="C2559">
        <f>Inputs!$B$3&gt;=60</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f>Skills!G4*IF(Skills!H4&gt;0,Skills!I4/Skills!H4,1)</f>
        <v/>
      </c>
      <c r="H2559">
        <f>1-(1-Skills!J4/100)^Skills!K4</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2567=TRUE,F2567,0)/100)*(1+(IF(Skills!A4="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2575=TRUE)*(F2575-Calc!F20)),(Inputs!$B$23+0+(IF(ArtifactsInput!$M$15,CHOOSE(ArtifactsInput!$N$15+1,25,30,35,40,45,50)/100*(Inputs!$B$11-Inputs!$B$11),0))))/100+(Inputs!$B$23+0+(IF(ArtifactsInput!$M$15,CHOOSE(ArtifactsInput!$N$15+1,25,30,35,40,45,50)/100*(Inputs!$B$11-Inputs!$B$11),0)))/100)/2</f>
        <v/>
      </c>
      <c r="M2559">
        <f>L2559*(1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IF(B2590=0,0,O2559/B2590)</f>
        <v/>
      </c>
      <c r="Q2559" t="n">
        <v>0</v>
      </c>
      <c r="R2559" t="n">
        <v>0</v>
      </c>
      <c r="S2559">
        <f>IFERROR(O2559/N2559,0)</f>
        <v/>
      </c>
      <c r="T2559">
        <f>IF(C2559,(Skills!G4*H2559*N2559*B2584)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9">
        <f>290*U2558/1000</f>
        <v/>
      </c>
      <c r="V2559">
        <f>IF(C2559,(Skills!G4*H2559*N2559*B2584)*IF(Inputs!$B$38="pvp",1,(1+(Inputs!$B$21+Skills!Q4+(IF(ArtifactsInput!$M$33,CHOOSE(ArtifactsInput!$N$33+1,30,36,42,48,54,60),0))+(IF(AND(ArtifactsInput!$M$35,Inputs!$B$4&lt;&gt;"Chapter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Skills!A5</f>
        <v/>
      </c>
      <c r="B2560">
        <f>Skills!B5</f>
        <v/>
      </c>
      <c r="C2560">
        <f>Inputs!$B$3&gt;=60</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Skills!G5*IF(Skills!H5&gt;0,Skills!I5/Skills!H5,1)</f>
        <v/>
      </c>
      <c r="H2560">
        <f>1-(1-Skills!J5/100)^Skills!K5</f>
        <v/>
      </c>
      <c r="I2560" t="inlineStr">
        <is>
          <t>1</t>
        </is>
      </c>
      <c r="J2560" t="inlineStr"/>
      <c r="K2560" t="inlineStr"/>
      <c r="L2560" t="inlineStr"/>
      <c r="M2560" t="inlineStr"/>
      <c r="N2560" t="inlineStr"/>
      <c r="O2560">
        <f>(1-Summary!$B$11)*T2560+Summary!$B$11*V2560</f>
        <v/>
      </c>
      <c r="P2560">
        <f>IF(B2590=0,0,O2560/B2590)</f>
        <v/>
      </c>
      <c r="Q2560" t="n">
        <v>0</v>
      </c>
      <c r="R2560" t="n">
        <v>0</v>
      </c>
      <c r="S2560">
        <f>IFERROR(O2560/N2560,0)</f>
        <v/>
      </c>
      <c r="T2560" t="n">
        <v>0</v>
      </c>
      <c r="V2560" t="n">
        <v>0</v>
      </c>
    </row>
    <row r="2561">
      <c r="A2561">
        <f>Skills!A6</f>
        <v/>
      </c>
      <c r="B2561">
        <f>Skills!B6</f>
        <v/>
      </c>
      <c r="C2561">
        <f>Inputs!$B$3&gt;=63</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2575=TRUE)*(F2575-Calc!F20)),(Inputs!$B$23+0+(IF(ArtifactsInput!$M$15,CHOOSE(ArtifactsInput!$N$15+1,25,30,35,40,45,50)/100*(Inputs!$B$11-Inputs!$B$11),0))))/100+(Inputs!$B$23+0+(IF(ArtifactsInput!$M$15,CHOOSE(ArtifactsInput!$N$15+1,25,30,35,40,45,50)/100*(Inputs!$B$11-Inputs!$B$11),0)))/100)/2</f>
        <v/>
      </c>
      <c r="M2561">
        <f>L2561*(1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IF(B2590=0,0,O2561/B2590)</f>
        <v/>
      </c>
      <c r="Q2561">
        <f>IFERROR(1/(IF(Inputs!$B$38="pvp",15,MAX(0.1,Skills!D6-IF(Skills!E6=TRUE,2.0,0)))*(1-IF(AND(ArtifactsInput!$M$27,Inputs!$B$4="Chapter Hunt"),CHOOSE(ArtifactsInput!$N$27+1,20,24,28,32,36,40),0)/100)),0)</f>
        <v/>
      </c>
      <c r="R2561">
        <f>IF(AND(Inputs!$B$38&lt;&gt;"pvp",Inputs!$B$43&gt;0),IF(MAX(0,Inputs!$B$43-B2587)&lt;=0,0,(INT(MAX(0,Inputs!$B$43-B2587)/(IF(Inputs!$B$38="pvp",15,MAX(0.1,Skills!D6-IF(Skills!E6=TRUE,2.0,0)))*(1-IF(AND(ArtifactsInput!$M$27,Inputs!$B$4="Chapter Hunt"),CHOOSE(ArtifactsInput!$N$27+1,20,24,28,32,36,40),0)/100)))+1)),0)</f>
        <v/>
      </c>
      <c r="S2561">
        <f>IFERROR(O2561/N2561,0)</f>
        <v/>
      </c>
      <c r="T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$21+Skills!Q6+(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Inputs!$B$3&gt;=100</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f>Skills!G7*IF(Skills!H7&gt;0,Skills!I7/Skills!H7,1)</f>
        <v/>
      </c>
      <c r="H2562">
        <f>1-(1-Skills!J7/100)^Skills!K7</f>
        <v/>
      </c>
      <c r="I2562" t="inlineStr">
        <is>
          <t>1</t>
        </is>
      </c>
      <c r="J2562">
        <f>((Inputs!$B$6*(1+Inputs!$B$7/100))+(((Inputs!$B$12*(1+Inputs!$B$13/100))-(Inputs!$B$12*(1+Inputs!$B$13/100)))+0.25*(Inputs!$B$14-Inputs!$B$14))*(1+Inputs!$B$7/100))*(F2562/100)</f>
        <v/>
      </c>
      <c r="K2562">
        <f>J2562*(1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C2575=TRUE)*(F2575-Calc!F20)),(Inputs!$B$23+0+(IF(ArtifactsInput!$M$15,CHOOSE(ArtifactsInput!$N$15+1,25,30,35,40,45,50)/100*(Inputs!$B$11-Inputs!$B$11),0))))/100+(Inputs!$B$23+0+(IF(ArtifactsInput!$M$15,CHOOSE(ArtifactsInput!$N$15+1,25,30,35,40,45,50)/100*(Inputs!$B$11-Inputs!$B$11),0)))/100)/2</f>
        <v/>
      </c>
      <c r="M2562">
        <f>L2562*(1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(1-Summary!$B$11)*T2562+Summary!$B$11*V2562</f>
        <v/>
      </c>
      <c r="P2562">
        <f>IF(B2590=0,0,O2562/B2590)</f>
        <v/>
      </c>
      <c r="Q2562">
        <f>IFERROR(1/(IF(Inputs!$B$38="pvp",15,MAX(0.1,Skills!D7-IF(Skills!E7=TRUE,2.0,0)))*(1-IF(AND(ArtifactsInput!$M$27,Inputs!$B$4="Chapter Hunt"),CHOOSE(ArtifactsInput!$N$27+1,20,24,28,32,36,40),0)/100)),0)</f>
        <v/>
      </c>
      <c r="R2562">
        <f>IF(AND(Inputs!$B$38&lt;&gt;"pvp",Inputs!$B$43&gt;0),IF(MAX(0,Inputs!$B$43-B2587)&lt;=0,0,(INT(MAX(0,Inputs!$B$43-B2587)/(IF(Inputs!$B$38="pvp",15,MAX(0.1,Skills!D7-IF(Skills!E7=TRUE,2.0,0)))*(1-IF(AND(ArtifactsInput!$M$27,Inputs!$B$4="Chapter Hunt"),CHOOSE(ArtifactsInput!$N$27+1,20,24,28,32,36,40),0)/100)))+1)),0)</f>
        <v/>
      </c>
      <c r="S2562">
        <f>IFERROR(O2562/N2562,0)</f>
        <v/>
      </c>
      <c r="T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$21+Skills!Q7+(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3">
      <c r="A2563">
        <f>Skills!A8</f>
        <v/>
      </c>
      <c r="B2563">
        <f>Skills!B8</f>
        <v/>
      </c>
      <c r="C2563">
        <f>Inputs!$B$3&gt;=110</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2575=TRUE)*(F2575-Calc!F20)),(Inputs!$B$23+0+(IF(ArtifactsInput!$M$15,CHOOSE(ArtifactsInput!$N$15+1,25,30,35,40,45,50)/100*(Inputs!$B$11-Inputs!$B$11),0))))/100+(Inputs!$B$23+0+(IF(ArtifactsInput!$M$15,CHOOSE(ArtifactsInput!$N$15+1,25,30,35,40,45,50)/100*(Inputs!$B$11-Inputs!$B$11),0)))/100)/2</f>
        <v/>
      </c>
      <c r="M2563">
        <f>L2563*(1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IF(B2590=0,0,O2563/B2590)</f>
        <v/>
      </c>
      <c r="Q2563">
        <f>IFERROR(1/(IF(Inputs!$B$38="pvp",15,MAX(0.1,Skills!D8-IF(Skills!E8=TRUE,2.0,0)))*(1-IF(AND(ArtifactsInput!$M$27,Inputs!$B$4="Chapter Hunt"),CHOOSE(ArtifactsInput!$N$27+1,20,24,28,32,36,40),0)/100)),0)</f>
        <v/>
      </c>
      <c r="R2563">
        <f>IF(AND(Inputs!$B$38&lt;&gt;"pvp",Inputs!$B$43&gt;0),IF(MAX(0,Inputs!$B$43-B2587)&lt;=0,0,(INT(MAX(0,Inputs!$B$43-B2587)/(IF(Inputs!$B$38="pvp",15,MAX(0.1,Skills!D8-IF(Skills!E8=TRUE,2.0,0)))*(1-IF(AND(ArtifactsInput!$M$27,Inputs!$B$4="Chapter Hunt"),CHOOSE(ArtifactsInput!$N$27+1,20,24,28,32,36,40),0)/100)))+1)),0)</f>
        <v/>
      </c>
      <c r="S2563">
        <f>IFERROR(O2563/N2563,0)</f>
        <v/>
      </c>
      <c r="T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$21+Skills!Q8+(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Inputs!$B$3&gt;=110</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2575=TRUE)*(F2575-Calc!F20)),(Inputs!$B$23+0+(IF(ArtifactsInput!$M$15,CHOOSE(ArtifactsInput!$N$15+1,25,30,35,40,45,50)/100*(Inputs!$B$11-Inputs!$B$11),0))))/100+(Inputs!$B$23+0+(IF(ArtifactsInput!$M$15,CHOOSE(ArtifactsInput!$N$15+1,25,30,35,40,45,50)/100*(Inputs!$B$11-Inputs!$B$11),0)))/100)/2</f>
        <v/>
      </c>
      <c r="M2564">
        <f>L2564*(1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IF(B2590=0,0,O2564/B2590)</f>
        <v/>
      </c>
      <c r="Q2564">
        <f>IFERROR(1/(IF(Inputs!$B$38="pvp",15,MAX(0.1,Skills!D9-IF(Skills!E9=TRUE,2.0,0)))*(1-IF(AND(ArtifactsInput!$M$27,Inputs!$B$4="Chapter Hunt"),CHOOSE(ArtifactsInput!$N$27+1,20,24,28,32,36,40),0)/100)),0)</f>
        <v/>
      </c>
      <c r="R2564">
        <f>IF(AND(Inputs!$B$38&lt;&gt;"pvp",Inputs!$B$43&gt;0),IF(MAX(0,Inputs!$B$43-B2587)&lt;=0,0,(INT(MAX(0,Inputs!$B$43-B2587)/(IF(Inputs!$B$38="pvp",15,MAX(0.1,Skills!D9-IF(Skills!E9=TRUE,2.0,0)))*(1-IF(AND(ArtifactsInput!$M$27,Inputs!$B$4="Chapter Hunt"),CHOOSE(ArtifactsInput!$N$27+1,20,24,28,32,36,40),0)/100)))+1)),0)</f>
        <v/>
      </c>
      <c r="S2564">
        <f>IFERROR(O2564/N2564,0)</f>
        <v/>
      </c>
      <c r="T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$21+Skills!Q9+(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Inputs!$B$3&gt;=103</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f>Skills!G10*IF(Skills!H10&gt;0,Skills!I10/Skills!H10,1)</f>
        <v/>
      </c>
      <c r="H2565">
        <f>1-(1-Skills!J10/100)^Skills!K10</f>
        <v/>
      </c>
      <c r="I2565" t="inlineStr">
        <is>
          <t>1</t>
        </is>
      </c>
      <c r="J2565">
        <f>((Inputs!$B$6*(1+Inputs!$B$7/100))+(((Inputs!$B$12*(1+Inputs!$B$13/100))-(Inputs!$B$12*(1+Inputs!$B$13/100)))+0.25*(Inputs!$B$14-Inputs!$B$14))*(1+Inputs!$B$7/100))*(F2565/100)</f>
        <v/>
      </c>
      <c r="K2565">
        <f>J2565*(1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2575=TRUE)*(F2575-Calc!F20)),(Inputs!$B$23+0+(IF(ArtifactsInput!$M$15,CHOOSE(ArtifactsInput!$N$15+1,25,30,35,40,45,50)/100*(Inputs!$B$11-Inputs!$B$11),0))))/100+(Inputs!$B$23+0+(IF(ArtifactsInput!$M$15,CHOOSE(ArtifactsInput!$N$15+1,25,30,35,40,45,50)/100*(Inputs!$B$11-Inputs!$B$11),0)))/100)/2</f>
        <v/>
      </c>
      <c r="M2565">
        <f>L2565*(1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IF(B2590=0,0,O2565/B2590)</f>
        <v/>
      </c>
      <c r="Q2565">
        <f>IFERROR(1/(IF(Inputs!$B$38="pvp",15,MAX(0.1,Skills!D10-IF(Skills!E10=TRUE,2.0,0)))*(1-IF(AND(ArtifactsInput!$M$27,Inputs!$B$4="Chapter Hunt"),CHOOSE(ArtifactsInput!$N$27+1,20,24,28,32,36,40),0)/100)),0)</f>
        <v/>
      </c>
      <c r="R2565">
        <f>IF(AND(Inputs!$B$38&lt;&gt;"pvp",Inputs!$B$43&gt;0),IF(MAX(0,Inputs!$B$43-B2587)&lt;=0,0,(INT(MAX(0,Inputs!$B$43-B2587)/(IF(Inputs!$B$38="pvp",15,MAX(0.1,Skills!D10-IF(Skills!E10=TRUE,2.0,0)))*(1-IF(AND(ArtifactsInput!$M$27,Inputs!$B$4="Chapter Hunt"),CHOOSE(ArtifactsInput!$N$27+1,20,24,28,32,36,40),0)/100)))+1)),0)</f>
        <v/>
      </c>
      <c r="S2565">
        <f>IFERROR(O2565/N2565,0)</f>
        <v/>
      </c>
      <c r="T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$21+Skills!Q10+(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Skills!A11</f>
        <v/>
      </c>
      <c r="B2566">
        <f>Skills!B11</f>
        <v/>
      </c>
      <c r="C2566">
        <f>Inputs!$B$3&gt;=113</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2575=TRUE)*(F2575-Calc!F20)),(Inputs!$B$23+0+(IF(ArtifactsInput!$M$15,CHOOSE(ArtifactsInput!$N$15+1,25,30,35,40,45,50)/100*(Inputs!$B$11-Inputs!$B$11),0))))/100+(Inputs!$B$23+0+(IF(ArtifactsInput!$M$15,CHOOSE(ArtifactsInput!$N$15+1,25,30,35,40,45,50)/100*(Inputs!$B$11-Inputs!$B$11),0)))/100)/2</f>
        <v/>
      </c>
      <c r="M2566">
        <f>L2566*(1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IF(B2590=0,0,O2566/B2590)</f>
        <v/>
      </c>
      <c r="Q2566">
        <f>IFERROR(1/(IF(Inputs!$B$38="pvp",15,MAX(0.1,Skills!D11-IF(Skills!E11=TRUE,2.0,0)))*(1-IF(AND(ArtifactsInput!$M$27,Inputs!$B$4="Chapter Hunt"),CHOOSE(ArtifactsInput!$N$27+1,20,24,28,32,36,40),0)/100)),0)</f>
        <v/>
      </c>
      <c r="R2566">
        <f>IF(AND(Inputs!$B$38&lt;&gt;"pvp",Inputs!$B$43&gt;0),IF(MAX(0,Inputs!$B$43-B2587)&lt;=0,0,(INT(MAX(0,Inputs!$B$43-B2587)/(IF(Inputs!$B$38="pvp",15,MAX(0.1,Skills!D11-IF(Skills!E11=TRUE,2.0,0)))*(1-IF(AND(ArtifactsInput!$M$27,Inputs!$B$4="Chapter Hunt"),CHOOSE(ArtifactsInput!$N$27+1,20,24,28,32,36,40),0)/100)))+1)),0)</f>
        <v/>
      </c>
      <c r="S2566">
        <f>IFERROR(O2566/N2566,0)</f>
        <v/>
      </c>
      <c r="T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$21+Skills!Q11+(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Inputs!$B$3&gt;=100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t="inlineStr"/>
      <c r="H2567" t="inlineStr"/>
      <c r="I2567" t="inlineStr">
        <is>
          <t>1</t>
        </is>
      </c>
      <c r="J2567" t="inlineStr"/>
      <c r="K2567" t="inlineStr"/>
      <c r="L2567" t="inlineStr"/>
      <c r="M2567" t="inlineStr"/>
      <c r="N2567" t="inlineStr"/>
      <c r="O2567" t="inlineStr"/>
      <c r="P2567" t="inlineStr"/>
      <c r="Q2567" t="inlineStr"/>
      <c r="R2567" t="inlineStr"/>
      <c r="S2567" t="inlineStr"/>
      <c r="T2567" t="inlineStr"/>
      <c r="V2567" t="inlineStr"/>
    </row>
    <row r="2568">
      <c r="A2568">
        <f>Skills!A13</f>
        <v/>
      </c>
      <c r="B2568">
        <f>Skills!B13</f>
        <v/>
      </c>
      <c r="C2568">
        <f>Inputs!$B$3&gt;=66</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t="inlineStr"/>
      <c r="K2568" t="inlineStr"/>
      <c r="L2568" t="inlineStr"/>
      <c r="M2568" t="inlineStr"/>
      <c r="N2568" t="inlineStr"/>
      <c r="O2568">
        <f>(1-Summary!$B$11)*T2568+Summary!$B$11*V2568</f>
        <v/>
      </c>
      <c r="P2568">
        <f>IF(B2590=0,0,O2568/B2590)</f>
        <v/>
      </c>
      <c r="Q2568" t="n">
        <v>0</v>
      </c>
      <c r="R2568" t="n">
        <v>0</v>
      </c>
      <c r="S2568">
        <f>IFERROR(O2568/N2568,0)</f>
        <v/>
      </c>
      <c r="T2568" t="n">
        <v>0</v>
      </c>
      <c r="V2568" t="n">
        <v>0</v>
      </c>
    </row>
    <row r="2569">
      <c r="A2569">
        <f>Skills!A14</f>
        <v/>
      </c>
      <c r="B2569">
        <f>Skills!B14</f>
        <v/>
      </c>
      <c r="C2569">
        <f>Inputs!$B$3&gt;=107</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t="inlineStr"/>
      <c r="K2569" t="inlineStr"/>
      <c r="L2569" t="inlineStr"/>
      <c r="M2569" t="inlineStr"/>
      <c r="N2569" t="inlineStr"/>
      <c r="O2569">
        <f>(1-Summary!$B$11)*T2569+Summary!$B$11*V2569</f>
        <v/>
      </c>
      <c r="P2569">
        <f>IF(B2590=0,0,O2569/B2590)</f>
        <v/>
      </c>
      <c r="Q2569" t="n">
        <v>0</v>
      </c>
      <c r="R2569" t="n">
        <v>0</v>
      </c>
      <c r="S2569">
        <f>IFERROR(O2569/N2569,0)</f>
        <v/>
      </c>
      <c r="T2569" t="n">
        <v>0</v>
      </c>
      <c r="V2569" t="n">
        <v>0</v>
      </c>
    </row>
    <row r="2570">
      <c r="A2570">
        <f>Skills!A15</f>
        <v/>
      </c>
      <c r="B2570">
        <f>Skills!B15</f>
        <v/>
      </c>
      <c r="C2570">
        <f>Inputs!$B$3&gt;=115</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f>Skills!G15*IF(Skills!H15&gt;0,Skills!I15/Skills!H15,1)</f>
        <v/>
      </c>
      <c r="H2570">
        <f>1-(1-Skills!J15/100)^Skills!K15</f>
        <v/>
      </c>
      <c r="I2570" t="inlineStr">
        <is>
          <t>1</t>
        </is>
      </c>
      <c r="J2570" t="inlineStr"/>
      <c r="K2570" t="inlineStr"/>
      <c r="L2570" t="inlineStr"/>
      <c r="M2570" t="inlineStr"/>
      <c r="N2570" t="inlineStr"/>
      <c r="O2570">
        <f>(1-Summary!$B$11)*T2570+Summary!$B$11*V2570</f>
        <v/>
      </c>
      <c r="P2570">
        <f>IF(B2590=0,0,O2570/B2590)</f>
        <v/>
      </c>
      <c r="Q2570" t="n">
        <v>0</v>
      </c>
      <c r="R2570" t="n">
        <v>0</v>
      </c>
      <c r="S2570">
        <f>IFERROR(O2570/N2570,0)</f>
        <v/>
      </c>
      <c r="T2570" t="n">
        <v>0</v>
      </c>
      <c r="V2570" t="n">
        <v>0</v>
      </c>
    </row>
    <row r="2571">
      <c r="A2571">
        <f>Skills!A16</f>
        <v/>
      </c>
      <c r="B2571">
        <f>Skills!B16</f>
        <v/>
      </c>
      <c r="C2571">
        <f>Inputs!$B$3&gt;=15</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f>Skills!G16*IF(Skills!H16&gt;0,Skills!I16/Skills!H16,1)</f>
        <v/>
      </c>
      <c r="H2571">
        <f>1-(1-Skills!J16/100)^Skills!K16</f>
        <v/>
      </c>
      <c r="I2571" t="inlineStr">
        <is>
          <t>1</t>
        </is>
      </c>
      <c r="J2571" t="inlineStr"/>
      <c r="K2571" t="inlineStr"/>
      <c r="L2571" t="inlineStr"/>
      <c r="M2571" t="inlineStr"/>
      <c r="N2571" t="inlineStr"/>
      <c r="O2571">
        <f>(1-Summary!$B$11)*T2571+Summary!$B$11*V2571</f>
        <v/>
      </c>
      <c r="P2571">
        <f>IF(B2590=0,0,O2571/B2590)</f>
        <v/>
      </c>
      <c r="Q2571" t="n">
        <v>0</v>
      </c>
      <c r="R2571" t="n">
        <v>0</v>
      </c>
      <c r="S2571">
        <f>IFERROR(O2571/N2571,0)</f>
        <v/>
      </c>
      <c r="T2571" t="n">
        <v>0</v>
      </c>
      <c r="V2571" t="n">
        <v>0</v>
      </c>
    </row>
    <row r="2572">
      <c r="A2572">
        <f>Skills!A17</f>
        <v/>
      </c>
      <c r="B2572">
        <f>Skills!B17</f>
        <v/>
      </c>
      <c r="C2572">
        <f>Inputs!$B$3&gt;=10</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Skills!A18</f>
        <v/>
      </c>
      <c r="B2573">
        <f>Skills!B18</f>
        <v/>
      </c>
      <c r="C2573">
        <f>Inputs!$B$3&gt;=33</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Skills!A19</f>
        <v/>
      </c>
      <c r="B2574">
        <f>Skills!B19</f>
        <v/>
      </c>
      <c r="C2574">
        <f>Inputs!$B$3&gt;=40</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Skills!A20</f>
        <v/>
      </c>
      <c r="B2575">
        <f>Skills!B20</f>
        <v/>
      </c>
      <c r="C2575">
        <f>Inputs!$B$3&gt;=43</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Skills!A21</f>
        <v/>
      </c>
      <c r="B2576">
        <f>Skills!B21</f>
        <v/>
      </c>
      <c r="C2576">
        <f>Inputs!$B$3&gt;=38</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Skills!A22</f>
        <v/>
      </c>
      <c r="B2577">
        <f>Skills!B22</f>
        <v/>
      </c>
      <c r="C2577">
        <f>Inputs!$B$3&gt;=75</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0">
      <c r="A2580" t="inlineStr">
        <is>
          <t>Global Crit Rate Bonus %</t>
        </is>
      </c>
      <c r="B2580" t="n">
        <v>0</v>
      </c>
    </row>
    <row r="2581">
      <c r="A2581" t="inlineStr">
        <is>
          <t>Attack Speed Buff Bonus % (unused)</t>
        </is>
      </c>
      <c r="B2581" t="n">
        <v>0</v>
      </c>
    </row>
    <row r="2582">
      <c r="A2582" t="inlineStr">
        <is>
          <t>Actions Per Second</t>
        </is>
      </c>
      <c r="B2582">
        <f>1+MIN(150,150*(1-(1-(Inputs!$B$11+((C2572=TRUE)*(F2572-Calc!F17))+((C2573=TRUE)*(F2573-Calc!F18)))/150)*(1-B2581/150)))/100</f>
        <v/>
      </c>
    </row>
    <row r="2583">
      <c r="A2583" t="inlineStr">
        <is>
          <t>Skill + Buff Cast Rate</t>
        </is>
      </c>
      <c r="B2583">
        <f>IF(AND(Inputs!$B$38&lt;&gt;"pvp",Inputs!$B$43&gt;0),SUMPRODUCT((Skills!E2:E22=TRUE)*(C2557:C2577=TRUE)*R2557:R2577*Skills!F2:F22)/Inputs!$B$43,SUMPRODUCT((Skills!E2:E22=TRUE)*(C2557:C2577=TRUE)*Q2557:Q2577*Skills!F2:F22))</f>
        <v/>
      </c>
    </row>
    <row r="2584">
      <c r="A2584" t="inlineStr">
        <is>
          <t>Hook Bomber Casts Per Second</t>
        </is>
      </c>
      <c r="B2584">
        <f>MAX(0,B2582-B2583)</f>
        <v/>
      </c>
    </row>
    <row r="2585">
      <c r="A2585" t="inlineStr">
        <is>
          <t>Global Critical Damage Bonus % (unused)</t>
        </is>
      </c>
      <c r="B2585" t="n">
        <v>0</v>
      </c>
    </row>
    <row r="2586">
      <c r="A2586" t="inlineStr">
        <is>
          <t>Global Final Damage Bonus % (Serpent Scale + Crossbones + Time Leap + Speed Infusion)</t>
        </is>
      </c>
      <c r="B2586">
        <f>((C2560=TRUE)*F2560*((10+IF(Inputs!$B$3&gt;=94,5,0))/((10+IF(Inputs!$B$3&gt;=94,5,0))+5/(B2584*(1+IF(Inputs!$B$3&gt;=104,1,0))))))+((C2569=TRUE)*F2569)+((C2570=TRUE)*F2570)+((Inputs!$B$3&gt;=110)*20*(B2582-1))</f>
        <v/>
      </c>
    </row>
    <row r="2587">
      <c r="A2587" t="inlineStr">
        <is>
          <t>Buff-Casting Startup Delay (s, fixed-duration only)</t>
        </is>
      </c>
      <c r="B2587">
        <f>IF(AND(Inputs!$B$38&lt;&gt;"pvp",Inputs!$B$43&gt;0),SUMPRODUCT((Skills!T2:T22&gt;0)*(Skills!E2:E22=TRUE)*(C2557:C2577=TRUE))/B2582,0)</f>
        <v/>
      </c>
    </row>
    <row r="2588">
      <c r="A2588" t="inlineStr">
        <is>
          <t>Boss-Only Total DPS (this block's swept value)</t>
        </is>
      </c>
      <c r="B2588">
        <f>SUM(T2557:T2577)</f>
        <v/>
      </c>
    </row>
    <row r="2589">
      <c r="A2589" t="inlineStr">
        <is>
          <t>Normal-Only Total DPS (this block's swept value)</t>
        </is>
      </c>
      <c r="B2589">
        <f>SUM(V2557:V2577)</f>
        <v/>
      </c>
    </row>
    <row r="2590">
      <c r="A2590" s="6" t="inlineStr">
        <is>
          <t>TOTAL DPS</t>
        </is>
      </c>
      <c r="B2590" s="6">
        <f>SUM(O2557:O2577)</f>
        <v/>
      </c>
    </row>
    <row r="2593">
      <c r="A2593" s="6" t="inlineStr">
        <is>
          <t>Stat: CDR = 2.5s</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((Inputs!$B$6*(1+Inputs!$B$7/100))+(((Inputs!$B$12*(1+Inputs!$B$13/100))-(Inputs!$B$12*(1+Inputs!$B$13/100)))+0.25*(Inputs!$B$14-Inputs!$B$14))*(1+Inputs!$B$7/100))*(F2595/100)</f>
        <v/>
      </c>
      <c r="K2595">
        <f>J2595*(1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2613=TRUE)*(F2613-Calc!F20)),(Inputs!$B$23+0+(IF(ArtifactsInput!$M$15,CHOOSE(ArtifactsInput!$N$15+1,25,30,35,40,45,50)/100*(Inputs!$B$11-Inputs!$B$11),0))))/100+(Inputs!$B$23+0+(IF(ArtifactsInput!$M$15,CHOOSE(ArtifactsInput!$N$15+1,25,30,35,40,45,50)/100*(Inputs!$B$11-Inputs!$B$11),0)))/100)/2</f>
        <v/>
      </c>
      <c r="M2595">
        <f>L2595*(1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IF(B2628=0,0,O2595/B2628)</f>
        <v/>
      </c>
      <c r="Q2595" t="n">
        <v>0</v>
      </c>
      <c r="R2595" t="n">
        <v>0</v>
      </c>
      <c r="S2595">
        <f>IFERROR(O2595/N2595,0)</f>
        <v/>
      </c>
      <c r="T2595">
        <f>IF(C2595,(Skills!G2*N2595*B2622)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MAX(0,(Inputs!$B$3-100)*3)+Inputs!$B$28+Inputs!$B$29</f>
        <v/>
      </c>
      <c r="V2595">
        <f>IF(C2595,(Skills!G2*N2595*B2622)*IF(Inputs!$B$38="pvp",1,(1+(Inputs!$B$21+Skills!Q2+(IF(ArtifactsInput!$M$33,CHOOSE(ArtifactsInput!$N$33+1,30,36,42,48,54,60),0))+(IF(AND(ArtifactsInput!$M$35,Inputs!$B$4&lt;&gt;"Chapter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Skills!A3</f>
        <v/>
      </c>
      <c r="B2596">
        <f>Skills!B3</f>
        <v/>
      </c>
      <c r="C2596">
        <f>Inputs!$B$3&gt;=35</f>
        <v/>
      </c>
      <c r="D2596">
        <f>IF(Skills!C3=1,60+Inputs!$B$25+Inputs!$B$29,IF(Skills!C3=2,90+Inputs!$B$26+Inputs!$B$29,IF(Skills!C3=3,120+Inputs!$B$27+Inputs!$B$29,MAX(0,(Inputs!$B$3-100)*3)+Inputs!$B$28+Inputs!$B$29)))</f>
        <v/>
      </c>
      <c r="E2596">
        <f>INDEX(FactorTable!$B$2:$Y$301, MATCH(ROUND(MIN(300,MAX(1,D2596)),0), FactorTable!$A$2:$A$301,0), Skills!M3+1)</f>
        <v/>
      </c>
      <c r="F2596">
        <f>IF(Skills!N3=TRUE,(Skills!L3/10)*(E2596/1000),Skills!L3/10)+Skills!O3</f>
        <v/>
      </c>
      <c r="G2596">
        <f>Skills!G3*IF(Skills!H3&gt;0,Skills!I3/Skills!H3,1)</f>
        <v/>
      </c>
      <c r="H2596">
        <f>1-(1-Skills!J3/100)^Skills!K3</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2613=TRUE)*(F2613-Calc!F20)),(Inputs!$B$23+0+(IF(ArtifactsInput!$M$15,CHOOSE(ArtifactsInput!$N$15+1,25,30,35,40,45,50)/100*(Inputs!$B$11-Inputs!$B$11),0))))/100+(Inputs!$B$23+0+(IF(ArtifactsInput!$M$15,CHOOSE(ArtifactsInput!$N$15+1,25,30,35,40,45,50)/100*(Inputs!$B$11-Inputs!$B$11),0)))/100)/2</f>
        <v/>
      </c>
      <c r="M2596">
        <f>L2596*(1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IF(B2628=0,0,O2596/B2628)</f>
        <v/>
      </c>
      <c r="Q2596" t="n">
        <v>0</v>
      </c>
      <c r="R2596" t="n">
        <v>0</v>
      </c>
      <c r="S2596">
        <f>IFERROR(O2596/N2596,0)</f>
        <v/>
      </c>
      <c r="T2596">
        <f>IF(C2596,(Skills!G3*H2596*N2596*B2622)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6">
        <f>INDEX(FactorTable!$B$2:$Y$301, MATCH(ROUND(MIN(300,MAX(1,U2595)),0), FactorTable!$A$2:$A$301,0), 22)</f>
        <v/>
      </c>
      <c r="V2596">
        <f>IF(C2596,(Skills!G3*H2596*N2596*B2622)*IF(Inputs!$B$38="pvp",1,(1+(Inputs!$B$21+Skills!Q3+(IF(ArtifactsInput!$M$33,CHOOSE(ArtifactsInput!$N$33+1,30,36,42,48,54,60),0))+(IF(AND(ArtifactsInput!$M$35,Inputs!$B$4&lt;&gt;"Chapter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Skills!A4</f>
        <v/>
      </c>
      <c r="B2597">
        <f>Skills!B4</f>
        <v/>
      </c>
      <c r="C2597">
        <f>Inputs!$B$3&gt;=60</f>
        <v/>
      </c>
      <c r="D2597">
        <f>IF(Skills!C4=1,60+Inputs!$B$25+Inputs!$B$29,IF(Skills!C4=2,90+Inputs!$B$26+Inputs!$B$29,IF(Skills!C4=3,120+Inputs!$B$27+Inputs!$B$29,MAX(0,(Inputs!$B$3-100)*3)+Inputs!$B$28+Inputs!$B$29)))</f>
        <v/>
      </c>
      <c r="E2597">
        <f>INDEX(FactorTable!$B$2:$Y$301, MATCH(ROUND(MIN(300,MAX(1,D2597)),0), FactorTable!$A$2:$A$301,0), Skills!M4+1)</f>
        <v/>
      </c>
      <c r="F2597">
        <f>IF(Skills!N4=TRUE,(Skills!L4/10)*(E2597/1000),Skills!L4/10)+Skills!O4</f>
        <v/>
      </c>
      <c r="G2597">
        <f>Skills!G4*IF(Skills!H4&gt;0,Skills!I4/Skills!H4,1)</f>
        <v/>
      </c>
      <c r="H2597">
        <f>1-(1-Skills!J4/100)^Skills!K4</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2605=TRUE,F2605,0)/100)*(1+(IF(Skills!A4="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2613=TRUE)*(F2613-Calc!F20)),(Inputs!$B$23+0+(IF(ArtifactsInput!$M$15,CHOOSE(ArtifactsInput!$N$15+1,25,30,35,40,45,50)/100*(Inputs!$B$11-Inputs!$B$11),0))))/100+(Inputs!$B$23+0+(IF(ArtifactsInput!$M$15,CHOOSE(ArtifactsInput!$N$15+1,25,30,35,40,45,50)/100*(Inputs!$B$11-Inputs!$B$11),0)))/100)/2</f>
        <v/>
      </c>
      <c r="M2597">
        <f>L2597*(1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IF(B2628=0,0,O2597/B2628)</f>
        <v/>
      </c>
      <c r="Q2597" t="n">
        <v>0</v>
      </c>
      <c r="R2597" t="n">
        <v>0</v>
      </c>
      <c r="S2597">
        <f>IFERROR(O2597/N2597,0)</f>
        <v/>
      </c>
      <c r="T2597">
        <f>IF(C2597,(Skills!G4*H2597*N2597*B2622)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7">
        <f>290*U2596/1000</f>
        <v/>
      </c>
      <c r="V2597">
        <f>IF(C2597,(Skills!G4*H2597*N2597*B2622)*IF(Inputs!$B$38="pvp",1,(1+(Inputs!$B$21+Skills!Q4+(IF(ArtifactsInput!$M$33,CHOOSE(ArtifactsInput!$N$33+1,30,36,42,48,54,60),0))+(IF(AND(ArtifactsInput!$M$35,Inputs!$B$4&lt;&gt;"Chapter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Skills!A5</f>
        <v/>
      </c>
      <c r="B2598">
        <f>Skills!B5</f>
        <v/>
      </c>
      <c r="C2598">
        <f>Inputs!$B$3&gt;=60</f>
        <v/>
      </c>
      <c r="D2598">
        <f>IF(Skills!C5=1,60+Inputs!$B$25+Inputs!$B$29,IF(Skills!C5=2,90+Inputs!$B$26+Inputs!$B$29,IF(Skills!C5=3,120+Inputs!$B$27+Inputs!$B$29,MAX(0,(Inputs!$B$3-100)*3)+Inputs!$B$28+Inputs!$B$29)))</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t="inlineStr"/>
      <c r="K2598" t="inlineStr"/>
      <c r="L2598" t="inlineStr"/>
      <c r="M2598" t="inlineStr"/>
      <c r="N2598" t="inlineStr"/>
      <c r="O2598">
        <f>(1-Summary!$B$11)*T2598+Summary!$B$11*V2598</f>
        <v/>
      </c>
      <c r="P2598">
        <f>IF(B2628=0,0,O2598/B2628)</f>
        <v/>
      </c>
      <c r="Q2598" t="n">
        <v>0</v>
      </c>
      <c r="R2598" t="n">
        <v>0</v>
      </c>
      <c r="S2598">
        <f>IFERROR(O2598/N2598,0)</f>
        <v/>
      </c>
      <c r="T2598" t="n">
        <v>0</v>
      </c>
      <c r="V2598" t="n">
        <v>0</v>
      </c>
    </row>
    <row r="2599">
      <c r="A2599">
        <f>Skills!A6</f>
        <v/>
      </c>
      <c r="B2599">
        <f>Skills!B6</f>
        <v/>
      </c>
      <c r="C2599">
        <f>Inputs!$B$3&gt;=63</f>
        <v/>
      </c>
      <c r="D2599">
        <f>IF(Skills!C6=1,60+Inputs!$B$25+Inputs!$B$29,IF(Skills!C6=2,90+Inputs!$B$26+Inputs!$B$29,IF(Skills!C6=3,120+Inputs!$B$27+Inputs!$B$29,MAX(0,(Inputs!$B$3-100)*3)+Inputs!$B$28+Inputs!$B$29)))</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2613=TRUE)*(F2613-Calc!F20)),(Inputs!$B$23+0+(IF(ArtifactsInput!$M$15,CHOOSE(ArtifactsInput!$N$15+1,25,30,35,40,45,50)/100*(Inputs!$B$11-Inputs!$B$11),0))))/100+(Inputs!$B$23+0+(IF(ArtifactsInput!$M$15,CHOOSE(ArtifactsInput!$N$15+1,25,30,35,40,45,50)/100*(Inputs!$B$11-Inputs!$B$11),0)))/100)/2</f>
        <v/>
      </c>
      <c r="M2599">
        <f>L2599*(1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IF(B2628=0,0,O2599/B2628)</f>
        <v/>
      </c>
      <c r="Q2599">
        <f>IFERROR(1/(IF(Inputs!$B$38="pvp",15,MAX(0.1,Skills!D6-IF(Skills!E6=TRUE,2.5,0)))*(1-IF(AND(ArtifactsInput!$M$27,Inputs!$B$4="Chapter Hunt"),CHOOSE(ArtifactsInput!$N$27+1,20,24,28,32,36,40),0)/100)),0)</f>
        <v/>
      </c>
      <c r="R2599">
        <f>IF(AND(Inputs!$B$38&lt;&gt;"pvp",Inputs!$B$43&gt;0),IF(MAX(0,Inputs!$B$43-B2625)&lt;=0,0,(INT(MAX(0,Inputs!$B$43-B2625)/(IF(Inputs!$B$38="pvp",15,MAX(0.1,Skills!D6-IF(Skills!E6=TRUE,2.5,0)))*(1-IF(AND(ArtifactsInput!$M$27,Inputs!$B$4="Chapter Hunt"),CHOOSE(ArtifactsInput!$N$27+1,20,24,28,32,36,40),0)/100)))+1)),0)</f>
        <v/>
      </c>
      <c r="S2599">
        <f>IFERROR(O2599/N2599,0)</f>
        <v/>
      </c>
      <c r="T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$21+Skills!Q6+(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Skills!A7</f>
        <v/>
      </c>
      <c r="B2600">
        <f>Skills!B7</f>
        <v/>
      </c>
      <c r="C2600">
        <f>Inputs!$B$3&gt;=100</f>
        <v/>
      </c>
      <c r="D2600">
        <f>IF(Skills!C7=1,60+Inputs!$B$25+Inputs!$B$29,IF(Skills!C7=2,90+Inputs!$B$26+Inputs!$B$29,IF(Skills!C7=3,120+Inputs!$B$27+Inputs!$B$29,MAX(0,(Inputs!$B$3-100)*3)+Inputs!$B$28+Inputs!$B$29)))</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2613=TRUE)*(F2613-Calc!F20)),(Inputs!$B$23+0+(IF(ArtifactsInput!$M$15,CHOOSE(ArtifactsInput!$N$15+1,25,30,35,40,45,50)/100*(Inputs!$B$11-Inputs!$B$11),0))))/100+(Inputs!$B$23+0+(IF(ArtifactsInput!$M$15,CHOOSE(ArtifactsInput!$N$15+1,25,30,35,40,45,50)/100*(Inputs!$B$11-Inputs!$B$11),0)))/100)/2</f>
        <v/>
      </c>
      <c r="M2600">
        <f>L2600*(1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IF(B2628=0,0,O2600/B2628)</f>
        <v/>
      </c>
      <c r="Q2600">
        <f>IFERROR(1/(IF(Inputs!$B$38="pvp",15,MAX(0.1,Skills!D7-IF(Skills!E7=TRUE,2.5,0)))*(1-IF(AND(ArtifactsInput!$M$27,Inputs!$B$4="Chapter Hunt"),CHOOSE(ArtifactsInput!$N$27+1,20,24,28,32,36,40),0)/100)),0)</f>
        <v/>
      </c>
      <c r="R2600">
        <f>IF(AND(Inputs!$B$38&lt;&gt;"pvp",Inputs!$B$43&gt;0),IF(MAX(0,Inputs!$B$43-B2625)&lt;=0,0,(INT(MAX(0,Inputs!$B$43-B2625)/(IF(Inputs!$B$38="pvp",15,MAX(0.1,Skills!D7-IF(Skills!E7=TRUE,2.5,0)))*(1-IF(AND(ArtifactsInput!$M$27,Inputs!$B$4="Chapter Hunt"),CHOOSE(ArtifactsInput!$N$27+1,20,24,28,32,36,40),0)/100)))+1)),0)</f>
        <v/>
      </c>
      <c r="S2600">
        <f>IFERROR(O2600/N2600,0)</f>
        <v/>
      </c>
      <c r="T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$21+Skills!Q7+(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Skills!A8</f>
        <v/>
      </c>
      <c r="B2601">
        <f>Skills!B8</f>
        <v/>
      </c>
      <c r="C2601">
        <f>Inputs!$B$3&gt;=110</f>
        <v/>
      </c>
      <c r="D2601">
        <f>IF(Skills!C8=1,60+Inputs!$B$25+Inputs!$B$29,IF(Skills!C8=2,90+Inputs!$B$26+Inputs!$B$29,IF(Skills!C8=3,120+Inputs!$B$27+Inputs!$B$29,MAX(0,(Inputs!$B$3-100)*3)+Inputs!$B$28+Inputs!$B$29)))</f>
        <v/>
      </c>
      <c r="E2601">
        <f>INDEX(FactorTable!$B$2:$Y$301, MATCH(ROUND(MIN(300,MAX(1,D2601)),0), FactorTable!$A$2:$A$301,0), Skills!M8+1)</f>
        <v/>
      </c>
      <c r="F2601">
        <f>IF(Skills!N8=TRUE,(Skills!L8/10)*(E2601/1000),Skills!L8/10)+Skills!O8</f>
        <v/>
      </c>
      <c r="G2601">
        <f>Skills!G8*IF(Skills!H8&gt;0,Skills!I8/Skills!H8,1)</f>
        <v/>
      </c>
      <c r="H2601">
        <f>1-(1-Skills!J8/100)^Skills!K8</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2613=TRUE)*(F2613-Calc!F20)),(Inputs!$B$23+0+(IF(ArtifactsInput!$M$15,CHOOSE(ArtifactsInput!$N$15+1,25,30,35,40,45,50)/100*(Inputs!$B$11-Inputs!$B$11),0))))/100+(Inputs!$B$23+0+(IF(ArtifactsInput!$M$15,CHOOSE(ArtifactsInput!$N$15+1,25,30,35,40,45,50)/100*(Inputs!$B$11-Inputs!$B$11),0)))/100)/2</f>
        <v/>
      </c>
      <c r="M2601">
        <f>L2601*(1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IF(B2628=0,0,O2601/B2628)</f>
        <v/>
      </c>
      <c r="Q2601">
        <f>IFERROR(1/(IF(Inputs!$B$38="pvp",15,MAX(0.1,Skills!D8-IF(Skills!E8=TRUE,2.5,0)))*(1-IF(AND(ArtifactsInput!$M$27,Inputs!$B$4="Chapter Hunt"),CHOOSE(ArtifactsInput!$N$27+1,20,24,28,32,36,40),0)/100)),0)</f>
        <v/>
      </c>
      <c r="R2601">
        <f>IF(AND(Inputs!$B$38&lt;&gt;"pvp",Inputs!$B$43&gt;0),IF(MAX(0,Inputs!$B$43-B2625)&lt;=0,0,(INT(MAX(0,Inputs!$B$43-B2625)/(IF(Inputs!$B$38="pvp",15,MAX(0.1,Skills!D8-IF(Skills!E8=TRUE,2.5,0)))*(1-IF(AND(ArtifactsInput!$M$27,Inputs!$B$4="Chapter Hunt"),CHOOSE(ArtifactsInput!$N$27+1,20,24,28,32,36,40),0)/100)))+1)),0)</f>
        <v/>
      </c>
      <c r="S2601">
        <f>IFERROR(O2601/N2601,0)</f>
        <v/>
      </c>
      <c r="T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$21+Skills!Q8+(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Skills!A9</f>
        <v/>
      </c>
      <c r="B2602">
        <f>Skills!B9</f>
        <v/>
      </c>
      <c r="C2602">
        <f>Inputs!$B$3&gt;=110</f>
        <v/>
      </c>
      <c r="D2602">
        <f>IF(Skills!C9=1,60+Inputs!$B$25+Inputs!$B$29,IF(Skills!C9=2,90+Inputs!$B$26+Inputs!$B$29,IF(Skills!C9=3,120+Inputs!$B$27+Inputs!$B$29,MAX(0,(Inputs!$B$3-100)*3)+Inputs!$B$28+Inputs!$B$29)))</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2613=TRUE)*(F2613-Calc!F20)),(Inputs!$B$23+0+(IF(ArtifactsInput!$M$15,CHOOSE(ArtifactsInput!$N$15+1,25,30,35,40,45,50)/100*(Inputs!$B$11-Inputs!$B$11),0))))/100+(Inputs!$B$23+0+(IF(ArtifactsInput!$M$15,CHOOSE(ArtifactsInput!$N$15+1,25,30,35,40,45,50)/100*(Inputs!$B$11-Inputs!$B$11),0)))/100)/2</f>
        <v/>
      </c>
      <c r="M2602">
        <f>L2602*(1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IF(B2628=0,0,O2602/B2628)</f>
        <v/>
      </c>
      <c r="Q2602">
        <f>IFERROR(1/(IF(Inputs!$B$38="pvp",15,MAX(0.1,Skills!D9-IF(Skills!E9=TRUE,2.5,0)))*(1-IF(AND(ArtifactsInput!$M$27,Inputs!$B$4="Chapter Hunt"),CHOOSE(ArtifactsInput!$N$27+1,20,24,28,32,36,40),0)/100)),0)</f>
        <v/>
      </c>
      <c r="R2602">
        <f>IF(AND(Inputs!$B$38&lt;&gt;"pvp",Inputs!$B$43&gt;0),IF(MAX(0,Inputs!$B$43-B2625)&lt;=0,0,(INT(MAX(0,Inputs!$B$43-B2625)/(IF(Inputs!$B$38="pvp",15,MAX(0.1,Skills!D9-IF(Skills!E9=TRUE,2.5,0)))*(1-IF(AND(ArtifactsInput!$M$27,Inputs!$B$4="Chapter Hunt"),CHOOSE(ArtifactsInput!$N$27+1,20,24,28,32,36,40),0)/100)))+1)),0)</f>
        <v/>
      </c>
      <c r="S2602">
        <f>IFERROR(O2602/N2602,0)</f>
        <v/>
      </c>
      <c r="T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$21+Skills!Q9+(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Skills!A10</f>
        <v/>
      </c>
      <c r="B2603">
        <f>Skills!B10</f>
        <v/>
      </c>
      <c r="C2603">
        <f>Inputs!$B$3&gt;=103</f>
        <v/>
      </c>
      <c r="D2603">
        <f>IF(Skills!C10=1,60+Inputs!$B$25+Inputs!$B$29,IF(Skills!C10=2,90+Inputs!$B$26+Inputs!$B$29,IF(Skills!C10=3,120+Inputs!$B$27+Inputs!$B$29,MAX(0,(Inputs!$B$3-100)*3)+Inputs!$B$28+Inputs!$B$29)))</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((Inputs!$B$6*(1+Inputs!$B$7/100))+(((Inputs!$B$12*(1+Inputs!$B$13/100))-(Inputs!$B$12*(1+Inputs!$B$13/100)))+0.25*(Inputs!$B$14-Inputs!$B$14))*(1+Inputs!$B$7/100))*(F2603/100)</f>
        <v/>
      </c>
      <c r="K2603">
        <f>J2603*(1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2613=TRUE)*(F2613-Calc!F20)),(Inputs!$B$23+0+(IF(ArtifactsInput!$M$15,CHOOSE(ArtifactsInput!$N$15+1,25,30,35,40,45,50)/100*(Inputs!$B$11-Inputs!$B$11),0))))/100+(Inputs!$B$23+0+(IF(ArtifactsInput!$M$15,CHOOSE(ArtifactsInput!$N$15+1,25,30,35,40,45,50)/100*(Inputs!$B$11-Inputs!$B$11),0)))/100)/2</f>
        <v/>
      </c>
      <c r="M2603">
        <f>L2603*(1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IF(B2628=0,0,O2603/B2628)</f>
        <v/>
      </c>
      <c r="Q2603">
        <f>IFERROR(1/(IF(Inputs!$B$38="pvp",15,MAX(0.1,Skills!D10-IF(Skills!E10=TRUE,2.5,0)))*(1-IF(AND(ArtifactsInput!$M$27,Inputs!$B$4="Chapter Hunt"),CHOOSE(ArtifactsInput!$N$27+1,20,24,28,32,36,40),0)/100)),0)</f>
        <v/>
      </c>
      <c r="R2603">
        <f>IF(AND(Inputs!$B$38&lt;&gt;"pvp",Inputs!$B$43&gt;0),IF(MAX(0,Inputs!$B$43-B2625)&lt;=0,0,(INT(MAX(0,Inputs!$B$43-B2625)/(IF(Inputs!$B$38="pvp",15,MAX(0.1,Skills!D10-IF(Skills!E10=TRUE,2.5,0)))*(1-IF(AND(ArtifactsInput!$M$27,Inputs!$B$4="Chapter Hunt"),CHOOSE(ArtifactsInput!$N$27+1,20,24,28,32,36,40),0)/100)))+1)),0)</f>
        <v/>
      </c>
      <c r="S2603">
        <f>IFERROR(O2603/N2603,0)</f>
        <v/>
      </c>
      <c r="T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$21+Skills!Q10+(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Skills!A11</f>
        <v/>
      </c>
      <c r="B2604">
        <f>Skills!B11</f>
        <v/>
      </c>
      <c r="C2604">
        <f>Inputs!$B$3&gt;=113</f>
        <v/>
      </c>
      <c r="D2604">
        <f>IF(Skills!C11=1,60+Inputs!$B$25+Inputs!$B$29,IF(Skills!C11=2,90+Inputs!$B$26+Inputs!$B$29,IF(Skills!C11=3,120+Inputs!$B$27+Inputs!$B$29,MAX(0,(Inputs!$B$3-100)*3)+Inputs!$B$28+Inputs!$B$29)))</f>
        <v/>
      </c>
      <c r="E2604">
        <f>INDEX(FactorTable!$B$2:$Y$301, MATCH(ROUND(MIN(300,MAX(1,D2604)),0), FactorTable!$A$2:$A$301,0), Skills!M11+1)</f>
        <v/>
      </c>
      <c r="F2604">
        <f>IF(Skills!N11=TRUE,(Skills!L11/10)*(E2604/1000),Skills!L11/10)+Skills!O11</f>
        <v/>
      </c>
      <c r="G2604">
        <f>Skills!G11*IF(Skills!H11&gt;0,Skills!I11/Skills!H11,1)</f>
        <v/>
      </c>
      <c r="H2604">
        <f>1-(1-Skills!J11/100)^Skills!K11</f>
        <v/>
      </c>
      <c r="I2604" t="inlineStr">
        <is>
          <t>1</t>
        </is>
      </c>
      <c r="J2604">
        <f>((Inputs!$B$6*(1+Inputs!$B$7/100))+(((Inputs!$B$12*(1+Inputs!$B$13/100))-(Inputs!$B$12*(1+Inputs!$B$13/100)))+0.25*(Inputs!$B$14-Inputs!$B$14))*(1+Inputs!$B$7/100))*(F2604/100)</f>
        <v/>
      </c>
      <c r="K2604">
        <f>J2604*(1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2604)</f>
        <v/>
      </c>
      <c r="L2604">
        <f>K2604*(MIN(Inputs!$B$22+((C2613=TRUE)*(F2613-Calc!F20)),(Inputs!$B$23+0+(IF(ArtifactsInput!$M$15,CHOOSE(ArtifactsInput!$N$15+1,25,30,35,40,45,50)/100*(Inputs!$B$11-Inputs!$B$11),0))))/100+(Inputs!$B$23+0+(IF(ArtifactsInput!$M$15,CHOOSE(ArtifactsInput!$N$15+1,25,30,35,40,45,50)/100*(Inputs!$B$11-Inputs!$B$11),0)))/100)/2</f>
        <v/>
      </c>
      <c r="M2604">
        <f>L2604*(1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4">
        <f>L2604*(1-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2604*(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4">
        <f>(1-Summary!$B$11)*T2604+Summary!$B$11*V2604</f>
        <v/>
      </c>
      <c r="P2604">
        <f>IF(B2628=0,0,O2604/B2628)</f>
        <v/>
      </c>
      <c r="Q2604">
        <f>IFERROR(1/(IF(Inputs!$B$38="pvp",15,MAX(0.1,Skills!D11-IF(Skills!E11=TRUE,2.5,0)))*(1-IF(AND(ArtifactsInput!$M$27,Inputs!$B$4="Chapter Hunt"),CHOOSE(ArtifactsInput!$N$27+1,20,24,28,32,36,40),0)/100)),0)</f>
        <v/>
      </c>
      <c r="R2604">
        <f>IF(AND(Inputs!$B$38&lt;&gt;"pvp",Inputs!$B$43&gt;0),IF(MAX(0,Inputs!$B$43-B2625)&lt;=0,0,(INT(MAX(0,Inputs!$B$43-B2625)/(IF(Inputs!$B$38="pvp",15,MAX(0.1,Skills!D11-IF(Skills!E11=TRUE,2.5,0)))*(1-IF(AND(ArtifactsInput!$M$27,Inputs!$B$4="Chapter Hunt"),CHOOSE(ArtifactsInput!$N$27+1,20,24,28,32,36,40),0)/100)))+1)),0)</f>
        <v/>
      </c>
      <c r="S2604">
        <f>IFERROR(O2604/N2604,0)</f>
        <v/>
      </c>
      <c r="T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$21+Skills!Q11+(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5">
      <c r="A2605">
        <f>Skills!A12</f>
        <v/>
      </c>
      <c r="B2605">
        <f>Skills!B12</f>
        <v/>
      </c>
      <c r="C2605">
        <f>Inputs!$B$3&gt;=100</f>
        <v/>
      </c>
      <c r="D2605">
        <f>IF(Skills!C12=1,60+Inputs!$B$25+Inputs!$B$29,IF(Skills!C12=2,90+Inputs!$B$26+Inputs!$B$29,IF(Skills!C12=3,120+Inputs!$B$27+Inputs!$B$29,MAX(0,(Inputs!$B$3-100)*3)+Inputs!$B$28+Inputs!$B$29)))</f>
        <v/>
      </c>
      <c r="E2605">
        <f>INDEX(FactorTable!$B$2:$Y$301, MATCH(ROUND(MIN(300,MAX(1,D2605)),0), FactorTable!$A$2:$A$301,0), Skills!M12+1)</f>
        <v/>
      </c>
      <c r="F2605">
        <f>IF(Skills!N12=TRUE,(Skills!L12/10)*(E2605/1000),Skills!L12/10)+Skills!O12</f>
        <v/>
      </c>
      <c r="G2605" t="inlineStr"/>
      <c r="H2605" t="inlineStr"/>
      <c r="I2605" t="inlineStr">
        <is>
          <t>1</t>
        </is>
      </c>
      <c r="J2605" t="inlineStr"/>
      <c r="K2605" t="inlineStr"/>
      <c r="L2605" t="inlineStr"/>
      <c r="M2605" t="inlineStr"/>
      <c r="N2605" t="inlineStr"/>
      <c r="O2605" t="inlineStr"/>
      <c r="P2605" t="inlineStr"/>
      <c r="Q2605" t="inlineStr"/>
      <c r="R2605" t="inlineStr"/>
      <c r="S2605" t="inlineStr"/>
      <c r="T2605" t="inlineStr"/>
      <c r="V2605" t="inlineStr"/>
    </row>
    <row r="2606">
      <c r="A2606">
        <f>Skills!A13</f>
        <v/>
      </c>
      <c r="B2606">
        <f>Skills!B13</f>
        <v/>
      </c>
      <c r="C2606">
        <f>Inputs!$B$3&gt;=66</f>
        <v/>
      </c>
      <c r="D2606">
        <f>IF(Skills!C13=1,60+Inputs!$B$25+Inputs!$B$29,IF(Skills!C13=2,90+Inputs!$B$26+Inputs!$B$29,IF(Skills!C13=3,120+Inputs!$B$27+Inputs!$B$29,MAX(0,(Inputs!$B$3-100)*3)+Inputs!$B$28+Inputs!$B$29)))</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IF(B2628=0,0,O2606/B2628)</f>
        <v/>
      </c>
      <c r="Q2606" t="n">
        <v>0</v>
      </c>
      <c r="R2606" t="n">
        <v>0</v>
      </c>
      <c r="S2606">
        <f>IFERROR(O2606/N2606,0)</f>
        <v/>
      </c>
      <c r="T2606" t="n">
        <v>0</v>
      </c>
      <c r="V2606" t="n">
        <v>0</v>
      </c>
    </row>
    <row r="2607">
      <c r="A2607">
        <f>Skills!A14</f>
        <v/>
      </c>
      <c r="B2607">
        <f>Skills!B14</f>
        <v/>
      </c>
      <c r="C2607">
        <f>Inputs!$B$3&gt;=107</f>
        <v/>
      </c>
      <c r="D2607">
        <f>IF(Skills!C14=1,60+Inputs!$B$25+Inputs!$B$29,IF(Skills!C14=2,90+Inputs!$B$26+Inputs!$B$29,IF(Skills!C14=3,120+Inputs!$B$27+Inputs!$B$29,MAX(0,(Inputs!$B$3-100)*3)+Inputs!$B$28+Inputs!$B$29)))</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IF(B2628=0,0,O2607/B2628)</f>
        <v/>
      </c>
      <c r="Q2607" t="n">
        <v>0</v>
      </c>
      <c r="R2607" t="n">
        <v>0</v>
      </c>
      <c r="S2607">
        <f>IFERROR(O2607/N2607,0)</f>
        <v/>
      </c>
      <c r="T2607" t="n">
        <v>0</v>
      </c>
      <c r="V2607" t="n">
        <v>0</v>
      </c>
    </row>
    <row r="2608">
      <c r="A2608">
        <f>Skills!A15</f>
        <v/>
      </c>
      <c r="B2608">
        <f>Skills!B15</f>
        <v/>
      </c>
      <c r="C2608">
        <f>Inputs!$B$3&gt;=115</f>
        <v/>
      </c>
      <c r="D2608">
        <f>IF(Skills!C15=1,60+Inputs!$B$25+Inputs!$B$29,IF(Skills!C15=2,90+Inputs!$B$26+Inputs!$B$29,IF(Skills!C15=3,120+Inputs!$B$27+Inputs!$B$29,MAX(0,(Inputs!$B$3-100)*3)+Inputs!$B$28+Inputs!$B$29)))</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IF(B2628=0,0,O2608/B2628)</f>
        <v/>
      </c>
      <c r="Q2608" t="n">
        <v>0</v>
      </c>
      <c r="R2608" t="n">
        <v>0</v>
      </c>
      <c r="S2608">
        <f>IFERROR(O2608/N2608,0)</f>
        <v/>
      </c>
      <c r="T2608" t="n">
        <v>0</v>
      </c>
      <c r="V2608" t="n">
        <v>0</v>
      </c>
    </row>
    <row r="2609">
      <c r="A2609">
        <f>Skills!A16</f>
        <v/>
      </c>
      <c r="B2609">
        <f>Skills!B16</f>
        <v/>
      </c>
      <c r="C2609">
        <f>Inputs!$B$3&gt;=15</f>
        <v/>
      </c>
      <c r="D2609">
        <f>IF(Skills!C16=1,60+Inputs!$B$25+Inputs!$B$29,IF(Skills!C16=2,90+Inputs!$B$26+Inputs!$B$29,IF(Skills!C16=3,120+Inputs!$B$27+Inputs!$B$29,MAX(0,(Inputs!$B$3-100)*3)+Inputs!$B$28+Inputs!$B$29)))</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IF(B2628=0,0,O2609/B2628)</f>
        <v/>
      </c>
      <c r="Q2609" t="n">
        <v>0</v>
      </c>
      <c r="R2609" t="n">
        <v>0</v>
      </c>
      <c r="S2609">
        <f>IFERROR(O2609/N2609,0)</f>
        <v/>
      </c>
      <c r="T2609" t="n">
        <v>0</v>
      </c>
      <c r="V2609" t="n">
        <v>0</v>
      </c>
    </row>
    <row r="2610">
      <c r="A2610">
        <f>Skills!A17</f>
        <v/>
      </c>
      <c r="B2610">
        <f>Skills!B17</f>
        <v/>
      </c>
      <c r="C2610">
        <f>Inputs!$B$3&gt;=10</f>
        <v/>
      </c>
      <c r="D2610">
        <f>IF(Skills!C17=1,60+Inputs!$B$25+Inputs!$B$29,IF(Skills!C17=2,90+Inputs!$B$26+Inputs!$B$29,IF(Skills!C17=3,120+Inputs!$B$27+Inputs!$B$29,MAX(0,(Inputs!$B$3-100)*3)+Inputs!$B$28+Inputs!$B$29)))</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IF(B2628=0,0,O2610/B2628)</f>
        <v/>
      </c>
      <c r="Q2610" t="n">
        <v>0</v>
      </c>
      <c r="R2610" t="n">
        <v>0</v>
      </c>
      <c r="S2610">
        <f>IFERROR(O2610/N2610,0)</f>
        <v/>
      </c>
      <c r="T2610" t="n">
        <v>0</v>
      </c>
      <c r="V2610" t="n">
        <v>0</v>
      </c>
    </row>
    <row r="2611">
      <c r="A2611">
        <f>Skills!A18</f>
        <v/>
      </c>
      <c r="B2611">
        <f>Skills!B18</f>
        <v/>
      </c>
      <c r="C2611">
        <f>Inputs!$B$3&gt;=33</f>
        <v/>
      </c>
      <c r="D2611">
        <f>IF(Skills!C18=1,60+Inputs!$B$25+Inputs!$B$29,IF(Skills!C18=2,90+Inputs!$B$26+Inputs!$B$29,IF(Skills!C18=3,120+Inputs!$B$27+Inputs!$B$29,MAX(0,(Inputs!$B$3-100)*3)+Inputs!$B$28+Inputs!$B$29)))</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IF(B2628=0,0,O2611/B2628)</f>
        <v/>
      </c>
      <c r="Q2611" t="n">
        <v>0</v>
      </c>
      <c r="R2611" t="n">
        <v>0</v>
      </c>
      <c r="S2611">
        <f>IFERROR(O2611/N2611,0)</f>
        <v/>
      </c>
      <c r="T2611" t="n">
        <v>0</v>
      </c>
      <c r="V2611" t="n">
        <v>0</v>
      </c>
    </row>
    <row r="2612">
      <c r="A2612">
        <f>Skills!A19</f>
        <v/>
      </c>
      <c r="B2612">
        <f>Skills!B19</f>
        <v/>
      </c>
      <c r="C2612">
        <f>Inputs!$B$3&gt;=40</f>
        <v/>
      </c>
      <c r="D2612">
        <f>IF(Skills!C19=1,60+Inputs!$B$25+Inputs!$B$29,IF(Skills!C19=2,90+Inputs!$B$26+Inputs!$B$29,IF(Skills!C19=3,120+Inputs!$B$27+Inputs!$B$29,MAX(0,(Inputs!$B$3-100)*3)+Inputs!$B$28+Inputs!$B$29)))</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IF(B2628=0,0,O2612/B2628)</f>
        <v/>
      </c>
      <c r="Q2612" t="n">
        <v>0</v>
      </c>
      <c r="R2612" t="n">
        <v>0</v>
      </c>
      <c r="S2612">
        <f>IFERROR(O2612/N2612,0)</f>
        <v/>
      </c>
      <c r="T2612" t="n">
        <v>0</v>
      </c>
      <c r="V2612" t="n">
        <v>0</v>
      </c>
    </row>
    <row r="2613">
      <c r="A2613">
        <f>Skills!A20</f>
        <v/>
      </c>
      <c r="B2613">
        <f>Skills!B20</f>
        <v/>
      </c>
      <c r="C2613">
        <f>Inputs!$B$3&gt;=43</f>
        <v/>
      </c>
      <c r="D2613">
        <f>IF(Skills!C20=1,60+Inputs!$B$25+Inputs!$B$29,IF(Skills!C20=2,90+Inputs!$B$26+Inputs!$B$29,IF(Skills!C20=3,120+Inputs!$B$27+Inputs!$B$29,MAX(0,(Inputs!$B$3-100)*3)+Inputs!$B$28+Inputs!$B$29)))</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IF(B2628=0,0,O2613/B2628)</f>
        <v/>
      </c>
      <c r="Q2613" t="n">
        <v>0</v>
      </c>
      <c r="R2613" t="n">
        <v>0</v>
      </c>
      <c r="S2613">
        <f>IFERROR(O2613/N2613,0)</f>
        <v/>
      </c>
      <c r="T2613" t="n">
        <v>0</v>
      </c>
      <c r="V2613" t="n">
        <v>0</v>
      </c>
    </row>
    <row r="2614">
      <c r="A2614">
        <f>Skills!A21</f>
        <v/>
      </c>
      <c r="B2614">
        <f>Skills!B21</f>
        <v/>
      </c>
      <c r="C2614">
        <f>Inputs!$B$3&gt;=38</f>
        <v/>
      </c>
      <c r="D2614">
        <f>IF(Skills!C21=1,60+Inputs!$B$25+Inputs!$B$29,IF(Skills!C21=2,90+Inputs!$B$26+Inputs!$B$29,IF(Skills!C21=3,120+Inputs!$B$27+Inputs!$B$29,MAX(0,(Inputs!$B$3-100)*3)+Inputs!$B$28+Inputs!$B$29)))</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IF(B2628=0,0,O2614/B2628)</f>
        <v/>
      </c>
      <c r="Q2614" t="n">
        <v>0</v>
      </c>
      <c r="R2614" t="n">
        <v>0</v>
      </c>
      <c r="S2614">
        <f>IFERROR(O2614/N2614,0)</f>
        <v/>
      </c>
      <c r="T2614" t="n">
        <v>0</v>
      </c>
      <c r="V2614" t="n">
        <v>0</v>
      </c>
    </row>
    <row r="2615">
      <c r="A2615">
        <f>Skills!A22</f>
        <v/>
      </c>
      <c r="B2615">
        <f>Skills!B22</f>
        <v/>
      </c>
      <c r="C2615">
        <f>Inputs!$B$3&gt;=75</f>
        <v/>
      </c>
      <c r="D2615">
        <f>IF(Skills!C22=1,60+Inputs!$B$25+Inputs!$B$29,IF(Skills!C22=2,90+Inputs!$B$26+Inputs!$B$29,IF(Skills!C22=3,120+Inputs!$B$27+Inputs!$B$29,MAX(0,(Inputs!$B$3-100)*3)+Inputs!$B$28+Inputs!$B$29)))</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IF(B2628=0,0,O2615/B2628)</f>
        <v/>
      </c>
      <c r="Q2615" t="n">
        <v>0</v>
      </c>
      <c r="R2615" t="n">
        <v>0</v>
      </c>
      <c r="S2615">
        <f>IFERROR(O2615/N2615,0)</f>
        <v/>
      </c>
      <c r="T2615" t="n">
        <v>0</v>
      </c>
      <c r="V2615" t="n">
        <v>0</v>
      </c>
    </row>
    <row r="2617">
      <c r="A2617" t="inlineStr">
        <is>
          <t>Attack% Bucket Multiplier</t>
        </is>
      </c>
      <c r="B2617">
        <f>(1+(((C2606=TRUE)*F2606)+((C2612=TRUE)*(F2612-Calc!F19))+(IF(ArtifactsInput!$M$21,CHOOSE(ArtifactsInput!$N$21+1,25,30,35,40,45,50)*(IF(OR(Inputs!$B$4="Chapter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8">
      <c r="A2618" t="inlineStr">
        <is>
          <t>Global Crit Rate Bonus %</t>
        </is>
      </c>
      <c r="B2618" t="n">
        <v>0</v>
      </c>
    </row>
    <row r="2619">
      <c r="A2619" t="inlineStr">
        <is>
          <t>Attack Speed Buff Bonus % (unused)</t>
        </is>
      </c>
      <c r="B2619" t="n">
        <v>0</v>
      </c>
    </row>
    <row r="2620">
      <c r="A2620" t="inlineStr">
        <is>
          <t>Actions Per Second</t>
        </is>
      </c>
      <c r="B2620">
        <f>1+MIN(150,150*(1-(1-(Inputs!$B$11+((C2610=TRUE)*(F2610-Calc!F17))+((C2611=TRUE)*(F2611-Calc!F18)))/150)*(1-B2619/150)))/100</f>
        <v/>
      </c>
    </row>
    <row r="2621">
      <c r="A2621" t="inlineStr">
        <is>
          <t>Skill + Buff Cast Rate</t>
        </is>
      </c>
      <c r="B2621">
        <f>IF(AND(Inputs!$B$38&lt;&gt;"pvp",Inputs!$B$43&gt;0),SUMPRODUCT((Skills!E2:E22=TRUE)*(C2595:C2615=TRUE)*R2595:R2615*Skills!F2:F22)/Inputs!$B$43,SUMPRODUCT((Skills!E2:E22=TRUE)*(C2595:C2615=TRUE)*Q2595:Q2615*Skills!F2:F22))</f>
        <v/>
      </c>
    </row>
    <row r="2622">
      <c r="A2622" t="inlineStr">
        <is>
          <t>Hook Bomber Casts Per Second</t>
        </is>
      </c>
      <c r="B2622">
        <f>MAX(0,B2620-B2621)</f>
        <v/>
      </c>
    </row>
    <row r="2623">
      <c r="A2623" t="inlineStr">
        <is>
          <t>Global Critical Damage Bonus % (unused)</t>
        </is>
      </c>
      <c r="B2623" t="n">
        <v>0</v>
      </c>
    </row>
    <row r="2624">
      <c r="A2624" t="inlineStr">
        <is>
          <t>Global Final Damage Bonus % (Serpent Scale + Crossbones + Time Leap + Speed Infusion)</t>
        </is>
      </c>
      <c r="B2624">
        <f>((C2598=TRUE)*F2598*((10+IF(Inputs!$B$3&gt;=94,5,0))/((10+IF(Inputs!$B$3&gt;=94,5,0))+5/(B2622*(1+IF(Inputs!$B$3&gt;=104,1,0))))))+((C2607=TRUE)*F2607)+((C2608=TRUE)*F2608)+((Inputs!$B$3&gt;=110)*20*(B2620-1))</f>
        <v/>
      </c>
    </row>
    <row r="2625">
      <c r="A2625" t="inlineStr">
        <is>
          <t>Buff-Casting Startup Delay (s, fixed-duration only)</t>
        </is>
      </c>
      <c r="B2625">
        <f>IF(AND(Inputs!$B$38&lt;&gt;"pvp",Inputs!$B$43&gt;0),SUMPRODUCT((Skills!T2:T22&gt;0)*(Skills!E2:E22=TRUE)*(C2595:C2615=TRUE))/B2620,0)</f>
        <v/>
      </c>
    </row>
    <row r="2626">
      <c r="A2626" t="inlineStr">
        <is>
          <t>Boss-Only Total DPS (this block's swept value)</t>
        </is>
      </c>
      <c r="B2626">
        <f>SUM(T2595:T2615)</f>
        <v/>
      </c>
    </row>
    <row r="2627">
      <c r="A2627" t="inlineStr">
        <is>
          <t>Normal-Only Total DPS (this block's swept value)</t>
        </is>
      </c>
      <c r="B2627">
        <f>SUM(V2595:V2615)</f>
        <v/>
      </c>
    </row>
    <row r="2628">
      <c r="A2628" s="6" t="inlineStr">
        <is>
          <t>TOTAL DPS</t>
        </is>
      </c>
      <c r="B2628" s="6">
        <f>SUM(O2595:O2615)</f>
        <v/>
      </c>
    </row>
    <row r="2631">
      <c r="A2631" s="6" t="inlineStr">
        <is>
          <t>Stat: CDR = 3.0s</t>
        </is>
      </c>
    </row>
    <row r="2632">
      <c r="A2632" s="5" t="inlineStr">
        <is>
          <t>Key</t>
        </is>
      </c>
      <c r="B2632" s="5" t="inlineStr">
        <is>
          <t>Name</t>
        </is>
      </c>
      <c r="C2632" s="5" t="inlineStr">
        <is>
          <t>Unlocked</t>
        </is>
      </c>
      <c r="D2632" s="5" t="inlineStr">
        <is>
          <t>InputLevel</t>
        </is>
      </c>
      <c r="E2632" s="5" t="inlineStr">
        <is>
          <t>Factor</t>
        </is>
      </c>
      <c r="F2632" s="5" t="inlineStr">
        <is>
          <t>CoefficientPercent</t>
        </is>
      </c>
      <c r="G2632" s="5" t="inlineStr">
        <is>
          <t>EffectiveHits</t>
        </is>
      </c>
      <c r="H2632" s="5" t="inlineStr">
        <is>
          <t>ProcProbability</t>
        </is>
      </c>
      <c r="I2632" s="5" t="inlineStr">
        <is>
          <t>MapleHeroMultiplier</t>
        </is>
      </c>
      <c r="J2632" s="5" t="inlineStr">
        <is>
          <t>BaseDamage</t>
        </is>
      </c>
      <c r="K2632" s="5" t="inlineStr">
        <is>
          <t>BaseHitDamage</t>
        </is>
      </c>
      <c r="L2632" s="5" t="inlineStr">
        <is>
          <t>NonCritAvg</t>
        </is>
      </c>
      <c r="M2632" s="5" t="inlineStr">
        <is>
          <t>CritAvg</t>
        </is>
      </c>
      <c r="N2632" s="5" t="inlineStr">
        <is>
          <t>ExpectedDamage(perHit)</t>
        </is>
      </c>
      <c r="O2632" s="5" t="inlineStr">
        <is>
          <t>DPS</t>
        </is>
      </c>
      <c r="P2632" s="5" t="inlineStr">
        <is>
          <t>% of Total</t>
        </is>
      </c>
      <c r="Q2632" s="5" t="inlineStr">
        <is>
          <t>InvCooldown</t>
        </is>
      </c>
      <c r="R2632" s="5" t="inlineStr">
        <is>
          <t>CastsInFight</t>
        </is>
      </c>
      <c r="S2632" s="5" t="inlineStr">
        <is>
          <t>HitRate(perSec)</t>
        </is>
      </c>
      <c r="U2632" t="inlineStr">
        <is>
          <t>helpers</t>
        </is>
      </c>
    </row>
    <row r="2633">
      <c r="A2633">
        <f>Skills!A2</f>
        <v/>
      </c>
      <c r="B2633">
        <f>Skills!B2</f>
        <v/>
      </c>
      <c r="C2633">
        <f>Inputs!$B$3&gt;=100</f>
        <v/>
      </c>
      <c r="D2633" t="inlineStr"/>
      <c r="E2633" t="inlineStr"/>
      <c r="F2633">
        <f>U2635+Skills!O2</f>
        <v/>
      </c>
      <c r="G2633">
        <f>Skills!G2*IF(Skills!H2&gt;0,Skills!I2/Skills!H2,1)</f>
        <v/>
      </c>
      <c r="H2633">
        <f>1-(1-Skills!J2/100)^Skills!K2</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2651=TRUE)*(F2651-Calc!F20)),(Inputs!$B$23+0+(IF(ArtifactsInput!$M$15,CHOOSE(ArtifactsInput!$N$15+1,25,30,35,40,45,50)/100*(Inputs!$B$11-Inputs!$B$11),0))))/100+(Inputs!$B$23+0+(IF(ArtifactsInput!$M$15,CHOOSE(ArtifactsInput!$N$15+1,25,30,35,40,45,50)/100*(Inputs!$B$11-Inputs!$B$11),0)))/100)/2</f>
        <v/>
      </c>
      <c r="M2633">
        <f>L2633*(1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IF(B2666=0,0,O2633/B2666)</f>
        <v/>
      </c>
      <c r="Q2633" t="n">
        <v>0</v>
      </c>
      <c r="R2633" t="n">
        <v>0</v>
      </c>
      <c r="S2633">
        <f>IFERROR(O2633/N2633,0)</f>
        <v/>
      </c>
      <c r="T2633">
        <f>IF(C2633,(Skills!G2*N2633*B2660)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3">
        <f>MAX(0,(Inputs!$B$3-100)*3)+Inputs!$B$28+Inputs!$B$29</f>
        <v/>
      </c>
      <c r="V2633">
        <f>IF(C2633,(Skills!G2*N2633*B2660)*IF(Inputs!$B$38="pvp",1,(1+(Inputs!$B$21+Skills!Q2+(IF(ArtifactsInput!$M$33,CHOOSE(ArtifactsInput!$N$33+1,30,36,42,48,54,60),0))+(IF(AND(ArtifactsInput!$M$35,Inputs!$B$4&lt;&gt;"Chapter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Skills!A3</f>
        <v/>
      </c>
      <c r="B2634">
        <f>Skills!B3</f>
        <v/>
      </c>
      <c r="C2634">
        <f>Inputs!$B$3&gt;=35</f>
        <v/>
      </c>
      <c r="D2634">
        <f>IF(Skills!C3=1,60+Inputs!$B$25+Inputs!$B$29,IF(Skills!C3=2,90+Inputs!$B$26+Inputs!$B$29,IF(Skills!C3=3,120+Inputs!$B$27+Inputs!$B$29,MAX(0,(Inputs!$B$3-100)*3)+Inputs!$B$28+Inputs!$B$29)))</f>
        <v/>
      </c>
      <c r="E2634">
        <f>INDEX(FactorTable!$B$2:$Y$301, MATCH(ROUND(MIN(300,MAX(1,D2634)),0), FactorTable!$A$2:$A$301,0), Skills!M3+1)</f>
        <v/>
      </c>
      <c r="F2634">
        <f>IF(Skills!N3=TRUE,(Skills!L3/10)*(E2634/1000),Skills!L3/10)+Skills!O3</f>
        <v/>
      </c>
      <c r="G2634">
        <f>Skills!G3*IF(Skills!H3&gt;0,Skills!I3/Skills!H3,1)</f>
        <v/>
      </c>
      <c r="H2634">
        <f>1-(1-Skills!J3/100)^Skills!K3</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2651=TRUE)*(F2651-Calc!F20)),(Inputs!$B$23+0+(IF(ArtifactsInput!$M$15,CHOOSE(ArtifactsInput!$N$15+1,25,30,35,40,45,50)/100*(Inputs!$B$11-Inputs!$B$11),0))))/100+(Inputs!$B$23+0+(IF(ArtifactsInput!$M$15,CHOOSE(ArtifactsInput!$N$15+1,25,30,35,40,45,50)/100*(Inputs!$B$11-Inputs!$B$11),0)))/100)/2</f>
        <v/>
      </c>
      <c r="M2634">
        <f>L2634*(1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IF(B2666=0,0,O2634/B2666)</f>
        <v/>
      </c>
      <c r="Q2634" t="n">
        <v>0</v>
      </c>
      <c r="R2634" t="n">
        <v>0</v>
      </c>
      <c r="S2634">
        <f>IFERROR(O2634/N2634,0)</f>
        <v/>
      </c>
      <c r="T2634">
        <f>IF(C2634,(Skills!G3*H2634*N2634*B2660)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4">
        <f>INDEX(FactorTable!$B$2:$Y$301, MATCH(ROUND(MIN(300,MAX(1,U2633)),0), FactorTable!$A$2:$A$301,0), 22)</f>
        <v/>
      </c>
      <c r="V2634">
        <f>IF(C2634,(Skills!G3*H2634*N2634*B2660)*IF(Inputs!$B$38="pvp",1,(1+(Inputs!$B$21+Skills!Q3+(IF(ArtifactsInput!$M$33,CHOOSE(ArtifactsInput!$N$33+1,30,36,42,48,54,60),0))+(IF(AND(ArtifactsInput!$M$35,Inputs!$B$4&lt;&gt;"Chapter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Skills!A4</f>
        <v/>
      </c>
      <c r="B2635">
        <f>Skills!B4</f>
        <v/>
      </c>
      <c r="C2635">
        <f>Inputs!$B$3&gt;=60</f>
        <v/>
      </c>
      <c r="D2635">
        <f>IF(Skills!C4=1,60+Inputs!$B$25+Inputs!$B$29,IF(Skills!C4=2,90+Inputs!$B$26+Inputs!$B$29,IF(Skills!C4=3,120+Inputs!$B$27+Inputs!$B$29,MAX(0,(Inputs!$B$3-100)*3)+Inputs!$B$28+Inputs!$B$29)))</f>
        <v/>
      </c>
      <c r="E2635">
        <f>INDEX(FactorTable!$B$2:$Y$301, MATCH(ROUND(MIN(300,MAX(1,D2635)),0), FactorTable!$A$2:$A$301,0), Skills!M4+1)</f>
        <v/>
      </c>
      <c r="F2635">
        <f>IF(Skills!N4=TRUE,(Skills!L4/10)*(E2635/1000),Skills!L4/10)+Skills!O4</f>
        <v/>
      </c>
      <c r="G2635">
        <f>Skills!G4*IF(Skills!H4&gt;0,Skills!I4/Skills!H4,1)</f>
        <v/>
      </c>
      <c r="H2635">
        <f>1-(1-Skills!J4/100)^Skills!K4</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2643=TRUE,F2643,0)/100)*(1+(IF(Skills!A4="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2651=TRUE)*(F2651-Calc!F20)),(Inputs!$B$23+0+(IF(ArtifactsInput!$M$15,CHOOSE(ArtifactsInput!$N$15+1,25,30,35,40,45,50)/100*(Inputs!$B$11-Inputs!$B$11),0))))/100+(Inputs!$B$23+0+(IF(ArtifactsInput!$M$15,CHOOSE(ArtifactsInput!$N$15+1,25,30,35,40,45,50)/100*(Inputs!$B$11-Inputs!$B$11),0)))/100)/2</f>
        <v/>
      </c>
      <c r="M2635">
        <f>L2635*(1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IF(B2666=0,0,O2635/B2666)</f>
        <v/>
      </c>
      <c r="Q2635" t="n">
        <v>0</v>
      </c>
      <c r="R2635" t="n">
        <v>0</v>
      </c>
      <c r="S2635">
        <f>IFERROR(O2635/N2635,0)</f>
        <v/>
      </c>
      <c r="T2635">
        <f>IF(C2635,(Skills!G4*H2635*N2635*B2660)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290*U2634/1000</f>
        <v/>
      </c>
      <c r="V2635">
        <f>IF(C2635,(Skills!G4*H2635*N2635*B2660)*IF(Inputs!$B$38="pvp",1,(1+(Inputs!$B$21+Skills!Q4+(IF(ArtifactsInput!$M$33,CHOOSE(ArtifactsInput!$N$33+1,30,36,42,48,54,60),0))+(IF(AND(ArtifactsInput!$M$35,Inputs!$B$4&lt;&gt;"Chapter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Skills!A5</f>
        <v/>
      </c>
      <c r="B2636">
        <f>Skills!B5</f>
        <v/>
      </c>
      <c r="C2636">
        <f>Inputs!$B$3&gt;=60</f>
        <v/>
      </c>
      <c r="D2636">
        <f>IF(Skills!C5=1,60+Inputs!$B$25+Inputs!$B$29,IF(Skills!C5=2,90+Inputs!$B$26+Inputs!$B$29,IF(Skills!C5=3,120+Inputs!$B$27+Inputs!$B$29,MAX(0,(Inputs!$B$3-100)*3)+Inputs!$B$28+Inputs!$B$29)))</f>
        <v/>
      </c>
      <c r="E2636">
        <f>INDEX(FactorTable!$B$2:$Y$301, MATCH(ROUND(MIN(300,MAX(1,D2636)),0), FactorTable!$A$2:$A$301,0), Skills!M5+1)</f>
        <v/>
      </c>
      <c r="F2636">
        <f>IF(Skills!N5=TRUE,(Skills!L5/10)*(E2636/1000),Skills!L5/10)+Skills!O5</f>
        <v/>
      </c>
      <c r="G2636">
        <f>Skills!G5*IF(Skills!H5&gt;0,Skills!I5/Skills!H5,1)</f>
        <v/>
      </c>
      <c r="H2636">
        <f>1-(1-Skills!J5/100)^Skills!K5</f>
        <v/>
      </c>
      <c r="I2636" t="inlineStr">
        <is>
          <t>1</t>
        </is>
      </c>
      <c r="J2636" t="inlineStr"/>
      <c r="K2636" t="inlineStr"/>
      <c r="L2636" t="inlineStr"/>
      <c r="M2636" t="inlineStr"/>
      <c r="N2636" t="inlineStr"/>
      <c r="O2636">
        <f>(1-Summary!$B$11)*T2636+Summary!$B$11*V2636</f>
        <v/>
      </c>
      <c r="P2636">
        <f>IF(B2666=0,0,O2636/B2666)</f>
        <v/>
      </c>
      <c r="Q2636" t="n">
        <v>0</v>
      </c>
      <c r="R2636" t="n">
        <v>0</v>
      </c>
      <c r="S2636">
        <f>IFERROR(O2636/N2636,0)</f>
        <v/>
      </c>
      <c r="T2636" t="n">
        <v>0</v>
      </c>
      <c r="V2636" t="n">
        <v>0</v>
      </c>
    </row>
    <row r="2637">
      <c r="A2637">
        <f>Skills!A6</f>
        <v/>
      </c>
      <c r="B2637">
        <f>Skills!B6</f>
        <v/>
      </c>
      <c r="C2637">
        <f>Inputs!$B$3&gt;=63</f>
        <v/>
      </c>
      <c r="D2637">
        <f>IF(Skills!C6=1,60+Inputs!$B$25+Inputs!$B$29,IF(Skills!C6=2,90+Inputs!$B$26+Inputs!$B$29,IF(Skills!C6=3,120+Inputs!$B$27+Inputs!$B$29,MAX(0,(Inputs!$B$3-100)*3)+Inputs!$B$28+Inputs!$B$29)))</f>
        <v/>
      </c>
      <c r="E2637">
        <f>INDEX(FactorTable!$B$2:$Y$301, MATCH(ROUND(MIN(300,MAX(1,D2637)),0), FactorTable!$A$2:$A$301,0), Skills!M6+1)</f>
        <v/>
      </c>
      <c r="F2637">
        <f>IF(Skills!N6=TRUE,(Skills!L6/10)*(E2637/1000),Skills!L6/10)+Skills!O6</f>
        <v/>
      </c>
      <c r="G2637">
        <f>Skills!G6*IF(Skills!H6&gt;0,Skills!I6/Skills!H6,1)</f>
        <v/>
      </c>
      <c r="H2637">
        <f>1-(1-Skills!J6/100)^Skills!K6</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2651=TRUE)*(F2651-Calc!F20)),(Inputs!$B$23+0+(IF(ArtifactsInput!$M$15,CHOOSE(ArtifactsInput!$N$15+1,25,30,35,40,45,50)/100*(Inputs!$B$11-Inputs!$B$11),0))))/100+(Inputs!$B$23+0+(IF(ArtifactsInput!$M$15,CHOOSE(ArtifactsInput!$N$15+1,25,30,35,40,45,50)/100*(Inputs!$B$11-Inputs!$B$11),0)))/100)/2</f>
        <v/>
      </c>
      <c r="M2637">
        <f>L2637*(1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IF(B2666=0,0,O2637/B2666)</f>
        <v/>
      </c>
      <c r="Q2637">
        <f>IFERROR(1/(IF(Inputs!$B$38="pvp",15,MAX(0.1,Skills!D6-IF(Skills!E6=TRUE,3.0,0)))*(1-IF(AND(ArtifactsInput!$M$27,Inputs!$B$4="Chapter Hunt"),CHOOSE(ArtifactsInput!$N$27+1,20,24,28,32,36,40),0)/100)),0)</f>
        <v/>
      </c>
      <c r="R2637">
        <f>IF(AND(Inputs!$B$38&lt;&gt;"pvp",Inputs!$B$43&gt;0),IF(MAX(0,Inputs!$B$43-B2663)&lt;=0,0,(INT(MAX(0,Inputs!$B$43-B2663)/(IF(Inputs!$B$38="pvp",15,MAX(0.1,Skills!D6-IF(Skills!E6=TRUE,3.0,0)))*(1-IF(AND(ArtifactsInput!$M$27,Inputs!$B$4="Chapter Hunt"),CHOOSE(ArtifactsInput!$N$27+1,20,24,28,32,36,40),0)/100)))+1)),0)</f>
        <v/>
      </c>
      <c r="S2637">
        <f>IFERROR(O2637/N2637,0)</f>
        <v/>
      </c>
      <c r="T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$21+Skills!Q6+(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Skills!A7</f>
        <v/>
      </c>
      <c r="B2638">
        <f>Skills!B7</f>
        <v/>
      </c>
      <c r="C2638">
        <f>Inputs!$B$3&gt;=100</f>
        <v/>
      </c>
      <c r="D2638">
        <f>IF(Skills!C7=1,60+Inputs!$B$25+Inputs!$B$29,IF(Skills!C7=2,90+Inputs!$B$26+Inputs!$B$29,IF(Skills!C7=3,120+Inputs!$B$27+Inputs!$B$29,MAX(0,(Inputs!$B$3-100)*3)+Inputs!$B$28+Inputs!$B$29)))</f>
        <v/>
      </c>
      <c r="E2638">
        <f>INDEX(FactorTable!$B$2:$Y$301, MATCH(ROUND(MIN(300,MAX(1,D2638)),0), FactorTable!$A$2:$A$301,0), Skills!M7+1)</f>
        <v/>
      </c>
      <c r="F2638">
        <f>IF(Skills!N7=TRUE,(Skills!L7/10)*(E2638/1000),Skills!L7/10)+Skills!O7</f>
        <v/>
      </c>
      <c r="G2638">
        <f>Skills!G7*IF(Skills!H7&gt;0,Skills!I7/Skills!H7,1)</f>
        <v/>
      </c>
      <c r="H2638">
        <f>1-(1-Skills!J7/100)^Skills!K7</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2651=TRUE)*(F2651-Calc!F20)),(Inputs!$B$23+0+(IF(ArtifactsInput!$M$15,CHOOSE(ArtifactsInput!$N$15+1,25,30,35,40,45,50)/100*(Inputs!$B$11-Inputs!$B$11),0))))/100+(Inputs!$B$23+0+(IF(ArtifactsInput!$M$15,CHOOSE(ArtifactsInput!$N$15+1,25,30,35,40,45,50)/100*(Inputs!$B$11-Inputs!$B$11),0)))/100)/2</f>
        <v/>
      </c>
      <c r="M2638">
        <f>L2638*(1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IF(B2666=0,0,O2638/B2666)</f>
        <v/>
      </c>
      <c r="Q2638">
        <f>IFERROR(1/(IF(Inputs!$B$38="pvp",15,MAX(0.1,Skills!D7-IF(Skills!E7=TRUE,3.0,0)))*(1-IF(AND(ArtifactsInput!$M$27,Inputs!$B$4="Chapter Hunt"),CHOOSE(ArtifactsInput!$N$27+1,20,24,28,32,36,40),0)/100)),0)</f>
        <v/>
      </c>
      <c r="R2638">
        <f>IF(AND(Inputs!$B$38&lt;&gt;"pvp",Inputs!$B$43&gt;0),IF(MAX(0,Inputs!$B$43-B2663)&lt;=0,0,(INT(MAX(0,Inputs!$B$43-B2663)/(IF(Inputs!$B$38="pvp",15,MAX(0.1,Skills!D7-IF(Skills!E7=TRUE,3.0,0)))*(1-IF(AND(ArtifactsInput!$M$27,Inputs!$B$4="Chapter Hunt"),CHOOSE(ArtifactsInput!$N$27+1,20,24,28,32,36,40),0)/100)))+1)),0)</f>
        <v/>
      </c>
      <c r="S2638">
        <f>IFERROR(O2638/N2638,0)</f>
        <v/>
      </c>
      <c r="T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$21+Skills!Q7+(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Skills!A8</f>
        <v/>
      </c>
      <c r="B2639">
        <f>Skills!B8</f>
        <v/>
      </c>
      <c r="C2639">
        <f>Inputs!$B$3&gt;=110</f>
        <v/>
      </c>
      <c r="D2639">
        <f>IF(Skills!C8=1,60+Inputs!$B$25+Inputs!$B$29,IF(Skills!C8=2,90+Inputs!$B$26+Inputs!$B$29,IF(Skills!C8=3,120+Inputs!$B$27+Inputs!$B$29,MAX(0,(Inputs!$B$3-100)*3)+Inputs!$B$28+Inputs!$B$29)))</f>
        <v/>
      </c>
      <c r="E2639">
        <f>INDEX(FactorTable!$B$2:$Y$301, MATCH(ROUND(MIN(300,MAX(1,D2639)),0), FactorTable!$A$2:$A$301,0), Skills!M8+1)</f>
        <v/>
      </c>
      <c r="F2639">
        <f>IF(Skills!N8=TRUE,(Skills!L8/10)*(E2639/1000),Skills!L8/10)+Skills!O8</f>
        <v/>
      </c>
      <c r="G2639">
        <f>Skills!G8*IF(Skills!H8&gt;0,Skills!I8/Skills!H8,1)</f>
        <v/>
      </c>
      <c r="H2639">
        <f>1-(1-Skills!J8/100)^Skills!K8</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2651=TRUE)*(F2651-Calc!F20)),(Inputs!$B$23+0+(IF(ArtifactsInput!$M$15,CHOOSE(ArtifactsInput!$N$15+1,25,30,35,40,45,50)/100*(Inputs!$B$11-Inputs!$B$11),0))))/100+(Inputs!$B$23+0+(IF(ArtifactsInput!$M$15,CHOOSE(ArtifactsInput!$N$15+1,25,30,35,40,45,50)/100*(Inputs!$B$11-Inputs!$B$11),0)))/100)/2</f>
        <v/>
      </c>
      <c r="M2639">
        <f>L2639*(1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IF(B2666=0,0,O2639/B2666)</f>
        <v/>
      </c>
      <c r="Q2639">
        <f>IFERROR(1/(IF(Inputs!$B$38="pvp",15,MAX(0.1,Skills!D8-IF(Skills!E8=TRUE,3.0,0)))*(1-IF(AND(ArtifactsInput!$M$27,Inputs!$B$4="Chapter Hunt"),CHOOSE(ArtifactsInput!$N$27+1,20,24,28,32,36,40),0)/100)),0)</f>
        <v/>
      </c>
      <c r="R2639">
        <f>IF(AND(Inputs!$B$38&lt;&gt;"pvp",Inputs!$B$43&gt;0),IF(MAX(0,Inputs!$B$43-B2663)&lt;=0,0,(INT(MAX(0,Inputs!$B$43-B2663)/(IF(Inputs!$B$38="pvp",15,MAX(0.1,Skills!D8-IF(Skills!E8=TRUE,3.0,0)))*(1-IF(AND(ArtifactsInput!$M$27,Inputs!$B$4="Chapter Hunt"),CHOOSE(ArtifactsInput!$N$27+1,20,24,28,32,36,40),0)/100)))+1)),0)</f>
        <v/>
      </c>
      <c r="S2639">
        <f>IFERROR(O2639/N2639,0)</f>
        <v/>
      </c>
      <c r="T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$21+Skills!Q8+(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Skills!A9</f>
        <v/>
      </c>
      <c r="B2640">
        <f>Skills!B9</f>
        <v/>
      </c>
      <c r="C2640">
        <f>Inputs!$B$3&gt;=110</f>
        <v/>
      </c>
      <c r="D2640">
        <f>IF(Skills!C9=1,60+Inputs!$B$25+Inputs!$B$29,IF(Skills!C9=2,90+Inputs!$B$26+Inputs!$B$29,IF(Skills!C9=3,120+Inputs!$B$27+Inputs!$B$29,MAX(0,(Inputs!$B$3-100)*3)+Inputs!$B$28+Inputs!$B$29)))</f>
        <v/>
      </c>
      <c r="E2640">
        <f>INDEX(FactorTable!$B$2:$Y$301, MATCH(ROUND(MIN(300,MAX(1,D2640)),0), FactorTable!$A$2:$A$301,0), Skills!M9+1)</f>
        <v/>
      </c>
      <c r="F2640">
        <f>IF(Skills!N9=TRUE,(Skills!L9/10)*(E2640/1000),Skills!L9/10)+Skills!O9</f>
        <v/>
      </c>
      <c r="G2640">
        <f>Skills!G9*IF(Skills!H9&gt;0,Skills!I9/Skills!H9,1)</f>
        <v/>
      </c>
      <c r="H2640">
        <f>1-(1-Skills!J9/100)^Skills!K9</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2651=TRUE)*(F2651-Calc!F20)),(Inputs!$B$23+0+(IF(ArtifactsInput!$M$15,CHOOSE(ArtifactsInput!$N$15+1,25,30,35,40,45,50)/100*(Inputs!$B$11-Inputs!$B$11),0))))/100+(Inputs!$B$23+0+(IF(ArtifactsInput!$M$15,CHOOSE(ArtifactsInput!$N$15+1,25,30,35,40,45,50)/100*(Inputs!$B$11-Inputs!$B$11),0)))/100)/2</f>
        <v/>
      </c>
      <c r="M2640">
        <f>L2640*(1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IF(B2666=0,0,O2640/B2666)</f>
        <v/>
      </c>
      <c r="Q2640">
        <f>IFERROR(1/(IF(Inputs!$B$38="pvp",15,MAX(0.1,Skills!D9-IF(Skills!E9=TRUE,3.0,0)))*(1-IF(AND(ArtifactsInput!$M$27,Inputs!$B$4="Chapter Hunt"),CHOOSE(ArtifactsInput!$N$27+1,20,24,28,32,36,40),0)/100)),0)</f>
        <v/>
      </c>
      <c r="R2640">
        <f>IF(AND(Inputs!$B$38&lt;&gt;"pvp",Inputs!$B$43&gt;0),IF(MAX(0,Inputs!$B$43-B2663)&lt;=0,0,(INT(MAX(0,Inputs!$B$43-B2663)/(IF(Inputs!$B$38="pvp",15,MAX(0.1,Skills!D9-IF(Skills!E9=TRUE,3.0,0)))*(1-IF(AND(ArtifactsInput!$M$27,Inputs!$B$4="Chapter Hunt"),CHOOSE(ArtifactsInput!$N$27+1,20,24,28,32,36,40),0)/100)))+1)),0)</f>
        <v/>
      </c>
      <c r="S2640">
        <f>IFERROR(O2640/N2640,0)</f>
        <v/>
      </c>
      <c r="T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$21+Skills!Q9+(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Skills!A10</f>
        <v/>
      </c>
      <c r="B2641">
        <f>Skills!B10</f>
        <v/>
      </c>
      <c r="C2641">
        <f>Inputs!$B$3&gt;=103</f>
        <v/>
      </c>
      <c r="D2641">
        <f>IF(Skills!C10=1,60+Inputs!$B$25+Inputs!$B$29,IF(Skills!C10=2,90+Inputs!$B$26+Inputs!$B$29,IF(Skills!C10=3,120+Inputs!$B$27+Inputs!$B$29,MAX(0,(Inputs!$B$3-100)*3)+Inputs!$B$28+Inputs!$B$29)))</f>
        <v/>
      </c>
      <c r="E2641">
        <f>INDEX(FactorTable!$B$2:$Y$301, MATCH(ROUND(MIN(300,MAX(1,D2641)),0), FactorTable!$A$2:$A$301,0), Skills!M10+1)</f>
        <v/>
      </c>
      <c r="F2641">
        <f>IF(Skills!N10=TRUE,(Skills!L10/10)*(E2641/1000),Skills!L10/10)+Skills!O10</f>
        <v/>
      </c>
      <c r="G2641">
        <f>Skills!G10*IF(Skills!H10&gt;0,Skills!I10/Skills!H10,1)</f>
        <v/>
      </c>
      <c r="H2641">
        <f>1-(1-Skills!J10/100)^Skills!K10</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2651=TRUE)*(F2651-Calc!F20)),(Inputs!$B$23+0+(IF(ArtifactsInput!$M$15,CHOOSE(ArtifactsInput!$N$15+1,25,30,35,40,45,50)/100*(Inputs!$B$11-Inputs!$B$11),0))))/100+(Inputs!$B$23+0+(IF(ArtifactsInput!$M$15,CHOOSE(ArtifactsInput!$N$15+1,25,30,35,40,45,50)/100*(Inputs!$B$11-Inputs!$B$11),0)))/100)/2</f>
        <v/>
      </c>
      <c r="M2641">
        <f>L2641*(1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IF(B2666=0,0,O2641/B2666)</f>
        <v/>
      </c>
      <c r="Q2641">
        <f>IFERROR(1/(IF(Inputs!$B$38="pvp",15,MAX(0.1,Skills!D10-IF(Skills!E10=TRUE,3.0,0)))*(1-IF(AND(ArtifactsInput!$M$27,Inputs!$B$4="Chapter Hunt"),CHOOSE(ArtifactsInput!$N$27+1,20,24,28,32,36,40),0)/100)),0)</f>
        <v/>
      </c>
      <c r="R2641">
        <f>IF(AND(Inputs!$B$38&lt;&gt;"pvp",Inputs!$B$43&gt;0),IF(MAX(0,Inputs!$B$43-B2663)&lt;=0,0,(INT(MAX(0,Inputs!$B$43-B2663)/(IF(Inputs!$B$38="pvp",15,MAX(0.1,Skills!D10-IF(Skills!E10=TRUE,3.0,0)))*(1-IF(AND(ArtifactsInput!$M$27,Inputs!$B$4="Chapter Hunt"),CHOOSE(ArtifactsInput!$N$27+1,20,24,28,32,36,40),0)/100)))+1)),0)</f>
        <v/>
      </c>
      <c r="S2641">
        <f>IFERROR(O2641/N2641,0)</f>
        <v/>
      </c>
      <c r="T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$21+Skills!Q10+(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Skills!A11</f>
        <v/>
      </c>
      <c r="B2642">
        <f>Skills!B11</f>
        <v/>
      </c>
      <c r="C2642">
        <f>Inputs!$B$3&gt;=113</f>
        <v/>
      </c>
      <c r="D2642">
        <f>IF(Skills!C11=1,60+Inputs!$B$25+Inputs!$B$29,IF(Skills!C11=2,90+Inputs!$B$26+Inputs!$B$29,IF(Skills!C11=3,120+Inputs!$B$27+Inputs!$B$29,MAX(0,(Inputs!$B$3-100)*3)+Inputs!$B$28+Inputs!$B$29)))</f>
        <v/>
      </c>
      <c r="E2642">
        <f>INDEX(FactorTable!$B$2:$Y$301, MATCH(ROUND(MIN(300,MAX(1,D2642)),0), FactorTable!$A$2:$A$301,0), Skills!M11+1)</f>
        <v/>
      </c>
      <c r="F2642">
        <f>IF(Skills!N11=TRUE,(Skills!L11/10)*(E2642/1000),Skills!L11/10)+Skills!O11</f>
        <v/>
      </c>
      <c r="G2642">
        <f>Skills!G11*IF(Skills!H11&gt;0,Skills!I11/Skills!H11,1)</f>
        <v/>
      </c>
      <c r="H2642">
        <f>1-(1-Skills!J11/100)^Skills!K11</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2651=TRUE)*(F2651-Calc!F20)),(Inputs!$B$23+0+(IF(ArtifactsInput!$M$15,CHOOSE(ArtifactsInput!$N$15+1,25,30,35,40,45,50)/100*(Inputs!$B$11-Inputs!$B$11),0))))/100+(Inputs!$B$23+0+(IF(ArtifactsInput!$M$15,CHOOSE(ArtifactsInput!$N$15+1,25,30,35,40,45,50)/100*(Inputs!$B$11-Inputs!$B$11),0)))/100)/2</f>
        <v/>
      </c>
      <c r="M2642">
        <f>L2642*(1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IF(B2666=0,0,O2642/B2666)</f>
        <v/>
      </c>
      <c r="Q2642">
        <f>IFERROR(1/(IF(Inputs!$B$38="pvp",15,MAX(0.1,Skills!D11-IF(Skills!E11=TRUE,3.0,0)))*(1-IF(AND(ArtifactsInput!$M$27,Inputs!$B$4="Chapter Hunt"),CHOOSE(ArtifactsInput!$N$27+1,20,24,28,32,36,40),0)/100)),0)</f>
        <v/>
      </c>
      <c r="R2642">
        <f>IF(AND(Inputs!$B$38&lt;&gt;"pvp",Inputs!$B$43&gt;0),IF(MAX(0,Inputs!$B$43-B2663)&lt;=0,0,(INT(MAX(0,Inputs!$B$43-B2663)/(IF(Inputs!$B$38="pvp",15,MAX(0.1,Skills!D11-IF(Skills!E11=TRUE,3.0,0)))*(1-IF(AND(ArtifactsInput!$M$27,Inputs!$B$4="Chapter Hunt"),CHOOSE(ArtifactsInput!$N$27+1,20,24,28,32,36,40),0)/100)))+1)),0)</f>
        <v/>
      </c>
      <c r="S2642">
        <f>IFERROR(O2642/N2642,0)</f>
        <v/>
      </c>
      <c r="T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$21+Skills!Q11+(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Skills!A12</f>
        <v/>
      </c>
      <c r="B2643">
        <f>Skills!B12</f>
        <v/>
      </c>
      <c r="C2643">
        <f>Inputs!$B$3&gt;=100</f>
        <v/>
      </c>
      <c r="D2643">
        <f>IF(Skills!C12=1,60+Inputs!$B$25+Inputs!$B$29,IF(Skills!C12=2,90+Inputs!$B$26+Inputs!$B$29,IF(Skills!C12=3,120+Inputs!$B$27+Inputs!$B$29,MAX(0,(Inputs!$B$3-100)*3)+Inputs!$B$28+Inputs!$B$29)))</f>
        <v/>
      </c>
      <c r="E2643">
        <f>INDEX(FactorTable!$B$2:$Y$301, MATCH(ROUND(MIN(300,MAX(1,D2643)),0), FactorTable!$A$2:$A$301,0), Skills!M12+1)</f>
        <v/>
      </c>
      <c r="F2643">
        <f>IF(Skills!N12=TRUE,(Skills!L12/10)*(E2643/1000),Skills!L12/10)+Skills!O12</f>
        <v/>
      </c>
      <c r="G2643" t="inlineStr"/>
      <c r="H2643" t="inlineStr"/>
      <c r="I2643" t="inlineStr">
        <is>
          <t>1</t>
        </is>
      </c>
      <c r="J2643" t="inlineStr"/>
      <c r="K2643" t="inlineStr"/>
      <c r="L2643" t="inlineStr"/>
      <c r="M2643" t="inlineStr"/>
      <c r="N2643" t="inlineStr"/>
      <c r="O2643" t="inlineStr"/>
      <c r="P2643" t="inlineStr"/>
      <c r="Q2643" t="inlineStr"/>
      <c r="R2643" t="inlineStr"/>
      <c r="S2643" t="inlineStr"/>
      <c r="T2643" t="inlineStr"/>
      <c r="V2643" t="inlineStr"/>
    </row>
    <row r="2644">
      <c r="A2644">
        <f>Skills!A13</f>
        <v/>
      </c>
      <c r="B2644">
        <f>Skills!B13</f>
        <v/>
      </c>
      <c r="C2644">
        <f>Inputs!$B$3&gt;=66</f>
        <v/>
      </c>
      <c r="D2644">
        <f>IF(Skills!C13=1,60+Inputs!$B$25+Inputs!$B$29,IF(Skills!C13=2,90+Inputs!$B$26+Inputs!$B$29,IF(Skills!C13=3,120+Inputs!$B$27+Inputs!$B$29,MAX(0,(Inputs!$B$3-100)*3)+Inputs!$B$28+Inputs!$B$29)))</f>
        <v/>
      </c>
      <c r="E2644">
        <f>INDEX(FactorTable!$B$2:$Y$301, MATCH(ROUND(MIN(300,MAX(1,D2644)),0), FactorTable!$A$2:$A$301,0), Skills!M13+1)</f>
        <v/>
      </c>
      <c r="F2644">
        <f>IF(Skills!N13=TRUE,(Skills!L13/10)*(E2644/1000),Skills!L13/10)+Skills!O13</f>
        <v/>
      </c>
      <c r="G2644">
        <f>Skills!G13*IF(Skills!H13&gt;0,Skills!I13/Skills!H13,1)</f>
        <v/>
      </c>
      <c r="H2644">
        <f>1-(1-Skills!J13/100)^Skills!K13</f>
        <v/>
      </c>
      <c r="I2644" t="inlineStr">
        <is>
          <t>1</t>
        </is>
      </c>
      <c r="J2644" t="inlineStr"/>
      <c r="K2644" t="inlineStr"/>
      <c r="L2644" t="inlineStr"/>
      <c r="M2644" t="inlineStr"/>
      <c r="N2644" t="inlineStr"/>
      <c r="O2644">
        <f>(1-Summary!$B$11)*T2644+Summary!$B$11*V2644</f>
        <v/>
      </c>
      <c r="P2644">
        <f>IF(B2666=0,0,O2644/B2666)</f>
        <v/>
      </c>
      <c r="Q2644" t="n">
        <v>0</v>
      </c>
      <c r="R2644" t="n">
        <v>0</v>
      </c>
      <c r="S2644">
        <f>IFERROR(O2644/N2644,0)</f>
        <v/>
      </c>
      <c r="T2644" t="n">
        <v>0</v>
      </c>
      <c r="V2644" t="n">
        <v>0</v>
      </c>
    </row>
    <row r="2645">
      <c r="A2645">
        <f>Skills!A14</f>
        <v/>
      </c>
      <c r="B2645">
        <f>Skills!B14</f>
        <v/>
      </c>
      <c r="C2645">
        <f>Inputs!$B$3&gt;=107</f>
        <v/>
      </c>
      <c r="D2645">
        <f>IF(Skills!C14=1,60+Inputs!$B$25+Inputs!$B$29,IF(Skills!C14=2,90+Inputs!$B$26+Inputs!$B$29,IF(Skills!C14=3,120+Inputs!$B$27+Inputs!$B$29,MAX(0,(Inputs!$B$3-100)*3)+Inputs!$B$28+Inputs!$B$29)))</f>
        <v/>
      </c>
      <c r="E2645">
        <f>INDEX(FactorTable!$B$2:$Y$301, MATCH(ROUND(MIN(300,MAX(1,D2645)),0), FactorTable!$A$2:$A$301,0), Skills!M14+1)</f>
        <v/>
      </c>
      <c r="F2645">
        <f>IF(Skills!N14=TRUE,(Skills!L14/10)*(E2645/1000),Skills!L14/10)+Skills!O14</f>
        <v/>
      </c>
      <c r="G2645">
        <f>Skills!G14*IF(Skills!H14&gt;0,Skills!I14/Skills!H14,1)</f>
        <v/>
      </c>
      <c r="H2645">
        <f>1-(1-Skills!J14/100)^Skills!K14</f>
        <v/>
      </c>
      <c r="I2645" t="inlineStr">
        <is>
          <t>1</t>
        </is>
      </c>
      <c r="J2645" t="inlineStr"/>
      <c r="K2645" t="inlineStr"/>
      <c r="L2645" t="inlineStr"/>
      <c r="M2645" t="inlineStr"/>
      <c r="N2645" t="inlineStr"/>
      <c r="O2645">
        <f>(1-Summary!$B$11)*T2645+Summary!$B$11*V2645</f>
        <v/>
      </c>
      <c r="P2645">
        <f>IF(B2666=0,0,O2645/B2666)</f>
        <v/>
      </c>
      <c r="Q2645" t="n">
        <v>0</v>
      </c>
      <c r="R2645" t="n">
        <v>0</v>
      </c>
      <c r="S2645">
        <f>IFERROR(O2645/N2645,0)</f>
        <v/>
      </c>
      <c r="T2645" t="n">
        <v>0</v>
      </c>
      <c r="V2645" t="n">
        <v>0</v>
      </c>
    </row>
    <row r="2646">
      <c r="A2646">
        <f>Skills!A15</f>
        <v/>
      </c>
      <c r="B2646">
        <f>Skills!B15</f>
        <v/>
      </c>
      <c r="C2646">
        <f>Inputs!$B$3&gt;=115</f>
        <v/>
      </c>
      <c r="D2646">
        <f>IF(Skills!C15=1,60+Inputs!$B$25+Inputs!$B$29,IF(Skills!C15=2,90+Inputs!$B$26+Inputs!$B$29,IF(Skills!C15=3,120+Inputs!$B$27+Inputs!$B$29,MAX(0,(Inputs!$B$3-100)*3)+Inputs!$B$28+Inputs!$B$29)))</f>
        <v/>
      </c>
      <c r="E2646">
        <f>INDEX(FactorTable!$B$2:$Y$301, MATCH(ROUND(MIN(300,MAX(1,D2646)),0), FactorTable!$A$2:$A$301,0), Skills!M15+1)</f>
        <v/>
      </c>
      <c r="F2646">
        <f>IF(Skills!N15=TRUE,(Skills!L15/10)*(E2646/1000),Skills!L15/10)+Skills!O15</f>
        <v/>
      </c>
      <c r="G2646">
        <f>Skills!G15*IF(Skills!H15&gt;0,Skills!I15/Skills!H15,1)</f>
        <v/>
      </c>
      <c r="H2646">
        <f>1-(1-Skills!J15/100)^Skills!K15</f>
        <v/>
      </c>
      <c r="I2646" t="inlineStr">
        <is>
          <t>1</t>
        </is>
      </c>
      <c r="J2646" t="inlineStr"/>
      <c r="K2646" t="inlineStr"/>
      <c r="L2646" t="inlineStr"/>
      <c r="M2646" t="inlineStr"/>
      <c r="N2646" t="inlineStr"/>
      <c r="O2646">
        <f>(1-Summary!$B$11)*T2646+Summary!$B$11*V2646</f>
        <v/>
      </c>
      <c r="P2646">
        <f>IF(B2666=0,0,O2646/B2666)</f>
        <v/>
      </c>
      <c r="Q2646" t="n">
        <v>0</v>
      </c>
      <c r="R2646" t="n">
        <v>0</v>
      </c>
      <c r="S2646">
        <f>IFERROR(O2646/N2646,0)</f>
        <v/>
      </c>
      <c r="T2646" t="n">
        <v>0</v>
      </c>
      <c r="V2646" t="n">
        <v>0</v>
      </c>
    </row>
    <row r="2647">
      <c r="A2647">
        <f>Skills!A16</f>
        <v/>
      </c>
      <c r="B2647">
        <f>Skills!B16</f>
        <v/>
      </c>
      <c r="C2647">
        <f>Inputs!$B$3&gt;=15</f>
        <v/>
      </c>
      <c r="D2647">
        <f>IF(Skills!C16=1,60+Inputs!$B$25+Inputs!$B$29,IF(Skills!C16=2,90+Inputs!$B$26+Inputs!$B$29,IF(Skills!C16=3,120+Inputs!$B$27+Inputs!$B$29,MAX(0,(Inputs!$B$3-100)*3)+Inputs!$B$28+Inputs!$B$29)))</f>
        <v/>
      </c>
      <c r="E2647">
        <f>INDEX(FactorTable!$B$2:$Y$301, MATCH(ROUND(MIN(300,MAX(1,D2647)),0), FactorTable!$A$2:$A$301,0), Skills!M16+1)</f>
        <v/>
      </c>
      <c r="F2647">
        <f>IF(Skills!N16=TRUE,(Skills!L16/10)*(E2647/1000),Skills!L16/10)+Skills!O16</f>
        <v/>
      </c>
      <c r="G2647">
        <f>Skills!G16*IF(Skills!H16&gt;0,Skills!I16/Skills!H16,1)</f>
        <v/>
      </c>
      <c r="H2647">
        <f>1-(1-Skills!J16/100)^Skills!K16</f>
        <v/>
      </c>
      <c r="I2647" t="inlineStr">
        <is>
          <t>1</t>
        </is>
      </c>
      <c r="J2647" t="inlineStr"/>
      <c r="K2647" t="inlineStr"/>
      <c r="L2647" t="inlineStr"/>
      <c r="M2647" t="inlineStr"/>
      <c r="N2647" t="inlineStr"/>
      <c r="O2647">
        <f>(1-Summary!$B$11)*T2647+Summary!$B$11*V2647</f>
        <v/>
      </c>
      <c r="P2647">
        <f>IF(B2666=0,0,O2647/B2666)</f>
        <v/>
      </c>
      <c r="Q2647" t="n">
        <v>0</v>
      </c>
      <c r="R2647" t="n">
        <v>0</v>
      </c>
      <c r="S2647">
        <f>IFERROR(O2647/N2647,0)</f>
        <v/>
      </c>
      <c r="T2647" t="n">
        <v>0</v>
      </c>
      <c r="V2647" t="n">
        <v>0</v>
      </c>
    </row>
    <row r="2648">
      <c r="A2648">
        <f>Skills!A17</f>
        <v/>
      </c>
      <c r="B2648">
        <f>Skills!B17</f>
        <v/>
      </c>
      <c r="C2648">
        <f>Inputs!$B$3&gt;=10</f>
        <v/>
      </c>
      <c r="D2648">
        <f>IF(Skills!C17=1,60+Inputs!$B$25+Inputs!$B$29,IF(Skills!C17=2,90+Inputs!$B$26+Inputs!$B$29,IF(Skills!C17=3,120+Inputs!$B$27+Inputs!$B$29,MAX(0,(Inputs!$B$3-100)*3)+Inputs!$B$28+Inputs!$B$29)))</f>
        <v/>
      </c>
      <c r="E2648">
        <f>INDEX(FactorTable!$B$2:$Y$301, MATCH(ROUND(MIN(300,MAX(1,D2648)),0), FactorTable!$A$2:$A$301,0), Skills!M17+1)</f>
        <v/>
      </c>
      <c r="F2648">
        <f>IF(Skills!N17=TRUE,(Skills!L17/10)*(E2648/1000),Skills!L17/10)+Skills!O17</f>
        <v/>
      </c>
      <c r="G2648">
        <f>Skills!G17*IF(Skills!H17&gt;0,Skills!I17/Skills!H17,1)</f>
        <v/>
      </c>
      <c r="H2648">
        <f>1-(1-Skills!J17/100)^Skills!K17</f>
        <v/>
      </c>
      <c r="I2648" t="inlineStr">
        <is>
          <t>1</t>
        </is>
      </c>
      <c r="J2648" t="inlineStr"/>
      <c r="K2648" t="inlineStr"/>
      <c r="L2648" t="inlineStr"/>
      <c r="M2648" t="inlineStr"/>
      <c r="N2648" t="inlineStr"/>
      <c r="O2648">
        <f>(1-Summary!$B$11)*T2648+Summary!$B$11*V2648</f>
        <v/>
      </c>
      <c r="P2648">
        <f>IF(B2666=0,0,O2648/B2666)</f>
        <v/>
      </c>
      <c r="Q2648" t="n">
        <v>0</v>
      </c>
      <c r="R2648" t="n">
        <v>0</v>
      </c>
      <c r="S2648">
        <f>IFERROR(O2648/N2648,0)</f>
        <v/>
      </c>
      <c r="T2648" t="n">
        <v>0</v>
      </c>
      <c r="V2648" t="n">
        <v>0</v>
      </c>
    </row>
    <row r="2649">
      <c r="A2649">
        <f>Skills!A18</f>
        <v/>
      </c>
      <c r="B2649">
        <f>Skills!B18</f>
        <v/>
      </c>
      <c r="C2649">
        <f>Inputs!$B$3&gt;=33</f>
        <v/>
      </c>
      <c r="D2649">
        <f>IF(Skills!C18=1,60+Inputs!$B$25+Inputs!$B$29,IF(Skills!C18=2,90+Inputs!$B$26+Inputs!$B$29,IF(Skills!C18=3,120+Inputs!$B$27+Inputs!$B$29,MAX(0,(Inputs!$B$3-100)*3)+Inputs!$B$28+Inputs!$B$29)))</f>
        <v/>
      </c>
      <c r="E2649">
        <f>INDEX(FactorTable!$B$2:$Y$301, MATCH(ROUND(MIN(300,MAX(1,D2649)),0), FactorTable!$A$2:$A$301,0), Skills!M18+1)</f>
        <v/>
      </c>
      <c r="F2649">
        <f>IF(Skills!N18=TRUE,(Skills!L18/10)*(E2649/1000),Skills!L18/10)+Skills!O18</f>
        <v/>
      </c>
      <c r="G2649">
        <f>Skills!G18*IF(Skills!H18&gt;0,Skills!I18/Skills!H18,1)</f>
        <v/>
      </c>
      <c r="H2649">
        <f>1-(1-Skills!J18/100)^Skills!K18</f>
        <v/>
      </c>
      <c r="I2649" t="inlineStr">
        <is>
          <t>1</t>
        </is>
      </c>
      <c r="J2649" t="inlineStr"/>
      <c r="K2649" t="inlineStr"/>
      <c r="L2649" t="inlineStr"/>
      <c r="M2649" t="inlineStr"/>
      <c r="N2649" t="inlineStr"/>
      <c r="O2649">
        <f>(1-Summary!$B$11)*T2649+Summary!$B$11*V2649</f>
        <v/>
      </c>
      <c r="P2649">
        <f>IF(B2666=0,0,O2649/B2666)</f>
        <v/>
      </c>
      <c r="Q2649" t="n">
        <v>0</v>
      </c>
      <c r="R2649" t="n">
        <v>0</v>
      </c>
      <c r="S2649">
        <f>IFERROR(O2649/N2649,0)</f>
        <v/>
      </c>
      <c r="T2649" t="n">
        <v>0</v>
      </c>
      <c r="V2649" t="n">
        <v>0</v>
      </c>
    </row>
    <row r="2650">
      <c r="A2650">
        <f>Skills!A19</f>
        <v/>
      </c>
      <c r="B2650">
        <f>Skills!B19</f>
        <v/>
      </c>
      <c r="C2650">
        <f>Inputs!$B$3&gt;=40</f>
        <v/>
      </c>
      <c r="D2650">
        <f>IF(Skills!C19=1,60+Inputs!$B$25+Inputs!$B$29,IF(Skills!C19=2,90+Inputs!$B$26+Inputs!$B$29,IF(Skills!C19=3,120+Inputs!$B$27+Inputs!$B$29,MAX(0,(Inputs!$B$3-100)*3)+Inputs!$B$28+Inputs!$B$29)))</f>
        <v/>
      </c>
      <c r="E2650">
        <f>INDEX(FactorTable!$B$2:$Y$301, MATCH(ROUND(MIN(300,MAX(1,D2650)),0), FactorTable!$A$2:$A$301,0), Skills!M19+1)</f>
        <v/>
      </c>
      <c r="F2650">
        <f>IF(Skills!N19=TRUE,(Skills!L19/10)*(E2650/1000),Skills!L19/10)+Skills!O19</f>
        <v/>
      </c>
      <c r="G2650">
        <f>Skills!G19*IF(Skills!H19&gt;0,Skills!I19/Skills!H19,1)</f>
        <v/>
      </c>
      <c r="H2650">
        <f>1-(1-Skills!J19/100)^Skills!K19</f>
        <v/>
      </c>
      <c r="I2650" t="inlineStr">
        <is>
          <t>1</t>
        </is>
      </c>
      <c r="J2650" t="inlineStr"/>
      <c r="K2650" t="inlineStr"/>
      <c r="L2650" t="inlineStr"/>
      <c r="M2650" t="inlineStr"/>
      <c r="N2650" t="inlineStr"/>
      <c r="O2650">
        <f>(1-Summary!$B$11)*T2650+Summary!$B$11*V2650</f>
        <v/>
      </c>
      <c r="P2650">
        <f>IF(B2666=0,0,O2650/B2666)</f>
        <v/>
      </c>
      <c r="Q2650" t="n">
        <v>0</v>
      </c>
      <c r="R2650" t="n">
        <v>0</v>
      </c>
      <c r="S2650">
        <f>IFERROR(O2650/N2650,0)</f>
        <v/>
      </c>
      <c r="T2650" t="n">
        <v>0</v>
      </c>
      <c r="V2650" t="n">
        <v>0</v>
      </c>
    </row>
    <row r="2651">
      <c r="A2651">
        <f>Skills!A20</f>
        <v/>
      </c>
      <c r="B2651">
        <f>Skills!B20</f>
        <v/>
      </c>
      <c r="C2651">
        <f>Inputs!$B$3&gt;=43</f>
        <v/>
      </c>
      <c r="D2651">
        <f>IF(Skills!C20=1,60+Inputs!$B$25+Inputs!$B$29,IF(Skills!C20=2,90+Inputs!$B$26+Inputs!$B$29,IF(Skills!C20=3,120+Inputs!$B$27+Inputs!$B$29,MAX(0,(Inputs!$B$3-100)*3)+Inputs!$B$28+Inputs!$B$29)))</f>
        <v/>
      </c>
      <c r="E2651">
        <f>INDEX(FactorTable!$B$2:$Y$301, MATCH(ROUND(MIN(300,MAX(1,D2651)),0), FactorTable!$A$2:$A$301,0), Skills!M20+1)</f>
        <v/>
      </c>
      <c r="F2651">
        <f>IF(Skills!N20=TRUE,(Skills!L20/10)*(E2651/1000),Skills!L20/10)+Skills!O20</f>
        <v/>
      </c>
      <c r="G2651">
        <f>Skills!G20*IF(Skills!H20&gt;0,Skills!I20/Skills!H20,1)</f>
        <v/>
      </c>
      <c r="H2651">
        <f>1-(1-Skills!J20/100)^Skills!K20</f>
        <v/>
      </c>
      <c r="I2651" t="inlineStr">
        <is>
          <t>1</t>
        </is>
      </c>
      <c r="J2651" t="inlineStr"/>
      <c r="K2651" t="inlineStr"/>
      <c r="L2651" t="inlineStr"/>
      <c r="M2651" t="inlineStr"/>
      <c r="N2651" t="inlineStr"/>
      <c r="O2651">
        <f>(1-Summary!$B$11)*T2651+Summary!$B$11*V2651</f>
        <v/>
      </c>
      <c r="P2651">
        <f>IF(B2666=0,0,O2651/B2666)</f>
        <v/>
      </c>
      <c r="Q2651" t="n">
        <v>0</v>
      </c>
      <c r="R2651" t="n">
        <v>0</v>
      </c>
      <c r="S2651">
        <f>IFERROR(O2651/N2651,0)</f>
        <v/>
      </c>
      <c r="T2651" t="n">
        <v>0</v>
      </c>
      <c r="V2651" t="n">
        <v>0</v>
      </c>
    </row>
    <row r="2652">
      <c r="A2652">
        <f>Skills!A21</f>
        <v/>
      </c>
      <c r="B2652">
        <f>Skills!B21</f>
        <v/>
      </c>
      <c r="C2652">
        <f>Inputs!$B$3&gt;=38</f>
        <v/>
      </c>
      <c r="D2652">
        <f>IF(Skills!C21=1,60+Inputs!$B$25+Inputs!$B$29,IF(Skills!C21=2,90+Inputs!$B$26+Inputs!$B$29,IF(Skills!C21=3,120+Inputs!$B$27+Inputs!$B$29,MAX(0,(Inputs!$B$3-100)*3)+Inputs!$B$28+Inputs!$B$29)))</f>
        <v/>
      </c>
      <c r="E2652">
        <f>INDEX(FactorTable!$B$2:$Y$301, MATCH(ROUND(MIN(300,MAX(1,D2652)),0), FactorTable!$A$2:$A$301,0), Skills!M21+1)</f>
        <v/>
      </c>
      <c r="F2652">
        <f>IF(Skills!N21=TRUE,(Skills!L21/10)*(E2652/1000),Skills!L21/10)+Skills!O21</f>
        <v/>
      </c>
      <c r="G2652">
        <f>Skills!G21*IF(Skills!H21&gt;0,Skills!I21/Skills!H21,1)</f>
        <v/>
      </c>
      <c r="H2652">
        <f>1-(1-Skills!J21/100)^Skills!K21</f>
        <v/>
      </c>
      <c r="I2652" t="inlineStr">
        <is>
          <t>1</t>
        </is>
      </c>
      <c r="J2652" t="inlineStr"/>
      <c r="K2652" t="inlineStr"/>
      <c r="L2652" t="inlineStr"/>
      <c r="M2652" t="inlineStr"/>
      <c r="N2652" t="inlineStr"/>
      <c r="O2652">
        <f>(1-Summary!$B$11)*T2652+Summary!$B$11*V2652</f>
        <v/>
      </c>
      <c r="P2652">
        <f>IF(B2666=0,0,O2652/B2666)</f>
        <v/>
      </c>
      <c r="Q2652" t="n">
        <v>0</v>
      </c>
      <c r="R2652" t="n">
        <v>0</v>
      </c>
      <c r="S2652">
        <f>IFERROR(O2652/N2652,0)</f>
        <v/>
      </c>
      <c r="T2652" t="n">
        <v>0</v>
      </c>
      <c r="V2652" t="n">
        <v>0</v>
      </c>
    </row>
    <row r="2653">
      <c r="A2653">
        <f>Skills!A22</f>
        <v/>
      </c>
      <c r="B2653">
        <f>Skills!B22</f>
        <v/>
      </c>
      <c r="C2653">
        <f>Inputs!$B$3&gt;=75</f>
        <v/>
      </c>
      <c r="D2653">
        <f>IF(Skills!C22=1,60+Inputs!$B$25+Inputs!$B$29,IF(Skills!C22=2,90+Inputs!$B$26+Inputs!$B$29,IF(Skills!C22=3,120+Inputs!$B$27+Inputs!$B$29,MAX(0,(Inputs!$B$3-100)*3)+Inputs!$B$28+Inputs!$B$29)))</f>
        <v/>
      </c>
      <c r="E2653">
        <f>INDEX(FactorTable!$B$2:$Y$301, MATCH(ROUND(MIN(300,MAX(1,D2653)),0), FactorTable!$A$2:$A$301,0), Skills!M22+1)</f>
        <v/>
      </c>
      <c r="F2653">
        <f>IF(Skills!N22=TRUE,(Skills!L22/10)*(E2653/1000),Skills!L22/10)+Skills!O22</f>
        <v/>
      </c>
      <c r="G2653">
        <f>Skills!G22*IF(Skills!H22&gt;0,Skills!I22/Skills!H22,1)</f>
        <v/>
      </c>
      <c r="H2653">
        <f>1-(1-Skills!J22/100)^Skills!K22</f>
        <v/>
      </c>
      <c r="I2653" t="inlineStr">
        <is>
          <t>1</t>
        </is>
      </c>
      <c r="J2653" t="inlineStr"/>
      <c r="K2653" t="inlineStr"/>
      <c r="L2653" t="inlineStr"/>
      <c r="M2653" t="inlineStr"/>
      <c r="N2653" t="inlineStr"/>
      <c r="O2653">
        <f>(1-Summary!$B$11)*T2653+Summary!$B$11*V2653</f>
        <v/>
      </c>
      <c r="P2653">
        <f>IF(B2666=0,0,O2653/B2666)</f>
        <v/>
      </c>
      <c r="Q2653" t="n">
        <v>0</v>
      </c>
      <c r="R2653" t="n">
        <v>0</v>
      </c>
      <c r="S2653">
        <f>IFERROR(O2653/N2653,0)</f>
        <v/>
      </c>
      <c r="T2653" t="n">
        <v>0</v>
      </c>
      <c r="V2653" t="n">
        <v>0</v>
      </c>
    </row>
    <row r="2655">
      <c r="A2655" t="inlineStr">
        <is>
          <t>Attack% Bucket Multiplier</t>
        </is>
      </c>
      <c r="B2655">
        <f>(1+(((C2644=TRUE)*F2644)+((C2650=TRUE)*(F2650-Calc!F19))+(IF(ArtifactsInput!$M$21,CHOOSE(ArtifactsInput!$N$21+1,25,30,35,40,45,50)*(IF(OR(Inputs!$B$4="Chapter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6">
      <c r="A2656" t="inlineStr">
        <is>
          <t>Global Crit Rate Bonus %</t>
        </is>
      </c>
      <c r="B2656" t="n">
        <v>0</v>
      </c>
    </row>
    <row r="2657">
      <c r="A2657" t="inlineStr">
        <is>
          <t>Attack Speed Buff Bonus % (unused)</t>
        </is>
      </c>
      <c r="B2657" t="n">
        <v>0</v>
      </c>
    </row>
    <row r="2658">
      <c r="A2658" t="inlineStr">
        <is>
          <t>Actions Per Second</t>
        </is>
      </c>
      <c r="B2658">
        <f>1+MIN(150,150*(1-(1-(Inputs!$B$11+((C2648=TRUE)*(F2648-Calc!F17))+((C2649=TRUE)*(F2649-Calc!F18)))/150)*(1-B2657/150)))/100</f>
        <v/>
      </c>
    </row>
    <row r="2659">
      <c r="A2659" t="inlineStr">
        <is>
          <t>Skill + Buff Cast Rate</t>
        </is>
      </c>
      <c r="B2659">
        <f>IF(AND(Inputs!$B$38&lt;&gt;"pvp",Inputs!$B$43&gt;0),SUMPRODUCT((Skills!E2:E22=TRUE)*(C2633:C2653=TRUE)*R2633:R2653*Skills!F2:F22)/Inputs!$B$43,SUMPRODUCT((Skills!E2:E22=TRUE)*(C2633:C2653=TRUE)*Q2633:Q2653*Skills!F2:F22))</f>
        <v/>
      </c>
    </row>
    <row r="2660">
      <c r="A2660" t="inlineStr">
        <is>
          <t>Hook Bomber Casts Per Second</t>
        </is>
      </c>
      <c r="B2660">
        <f>MAX(0,B2658-B2659)</f>
        <v/>
      </c>
    </row>
    <row r="2661">
      <c r="A2661" t="inlineStr">
        <is>
          <t>Global Critical Damage Bonus % (unused)</t>
        </is>
      </c>
      <c r="B2661" t="n">
        <v>0</v>
      </c>
    </row>
    <row r="2662">
      <c r="A2662" t="inlineStr">
        <is>
          <t>Global Final Damage Bonus % (Serpent Scale + Crossbones + Time Leap + Speed Infusion)</t>
        </is>
      </c>
      <c r="B2662">
        <f>((C2636=TRUE)*F2636*((10+IF(Inputs!$B$3&gt;=94,5,0))/((10+IF(Inputs!$B$3&gt;=94,5,0))+5/(B2660*(1+IF(Inputs!$B$3&gt;=104,1,0))))))+((C2645=TRUE)*F2645)+((C2646=TRUE)*F2646)+((Inputs!$B$3&gt;=110)*20*(B2658-1))</f>
        <v/>
      </c>
    </row>
    <row r="2663">
      <c r="A2663" t="inlineStr">
        <is>
          <t>Buff-Casting Startup Delay (s, fixed-duration only)</t>
        </is>
      </c>
      <c r="B2663">
        <f>IF(AND(Inputs!$B$38&lt;&gt;"pvp",Inputs!$B$43&gt;0),SUMPRODUCT((Skills!T2:T22&gt;0)*(Skills!E2:E22=TRUE)*(C2633:C2653=TRUE))/B2658,0)</f>
        <v/>
      </c>
    </row>
    <row r="2664">
      <c r="A2664" t="inlineStr">
        <is>
          <t>Boss-Only Total DPS (this block's swept value)</t>
        </is>
      </c>
      <c r="B2664">
        <f>SUM(T2633:T2653)</f>
        <v/>
      </c>
    </row>
    <row r="2665">
      <c r="A2665" t="inlineStr">
        <is>
          <t>Normal-Only Total DPS (this block's swept value)</t>
        </is>
      </c>
      <c r="B2665">
        <f>SUM(V2633:V2653)</f>
        <v/>
      </c>
    </row>
    <row r="2666">
      <c r="A2666" s="6" t="inlineStr">
        <is>
          <t>TOTAL DPS</t>
        </is>
      </c>
      <c r="B2666" s="6">
        <f>SUM(O2633:O2653)</f>
        <v/>
      </c>
    </row>
    <row r="2669">
      <c r="A2669" s="6" t="inlineStr">
        <is>
          <t>Stat: CDR = 3.5s</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U2673+Skills!O2</f>
        <v/>
      </c>
      <c r="G2671">
        <f>Skills!G2*IF(Skills!H2&gt;0,Skills!I2/Skills!H2,1)</f>
        <v/>
      </c>
      <c r="H2671">
        <f>1-(1-Skills!J2/100)^Skills!K2</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20)),(Inputs!$B$23+0+(IF(ArtifactsInput!$M$15,CHOOSE(ArtifactsInput!$N$15+1,25,30,35,40,45,50)/100*(Inputs!$B$11-Inputs!$B$11),0))))/100+(Inputs!$B$23+0+(IF(ArtifactsInput!$M$15,CHOOSE(ArtifactsInput!$N$15+1,25,30,35,40,45,50)/100*(Inputs!$B$11-Inputs!$B$11),0)))/100)/2</f>
        <v/>
      </c>
      <c r="M2671">
        <f>L2671*(1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IF(B2704=0,0,O2671/B2704)</f>
        <v/>
      </c>
      <c r="Q2671" t="n">
        <v>0</v>
      </c>
      <c r="R2671" t="n">
        <v>0</v>
      </c>
      <c r="S2671">
        <f>IFERROR(O2671/N2671,0)</f>
        <v/>
      </c>
      <c r="T2671">
        <f>IF(C2671,(Skills!G2*N2671*B2698)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MAX(0,(Inputs!$B$3-100)*3)+Inputs!$B$28+Inputs!$B$29</f>
        <v/>
      </c>
      <c r="V2671">
        <f>IF(C2671,(Skills!G2*N2671*B2698)*IF(Inputs!$B$38="pvp",1,(1+(Inputs!$B$21+Skills!Q2+(IF(ArtifactsInput!$M$33,CHOOSE(ArtifactsInput!$N$33+1,30,36,42,48,54,60),0))+(IF(AND(ArtifactsInput!$M$35,Inputs!$B$4&lt;&gt;"Chapter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Skills!G3*IF(Skills!H3&gt;0,Skills!I3/Skills!H3,1)</f>
        <v/>
      </c>
      <c r="H2672">
        <f>1-(1-Skills!J3/100)^Skills!K3</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20)),(Inputs!$B$23+0+(IF(ArtifactsInput!$M$15,CHOOSE(ArtifactsInput!$N$15+1,25,30,35,40,45,50)/100*(Inputs!$B$11-Inputs!$B$11),0))))/100+(Inputs!$B$23+0+(IF(ArtifactsInput!$M$15,CHOOSE(ArtifactsInput!$N$15+1,25,30,35,40,45,50)/100*(Inputs!$B$11-Inputs!$B$11),0)))/100)/2</f>
        <v/>
      </c>
      <c r="M2672">
        <f>L2672*(1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IF(B2704=0,0,O2672/B2704)</f>
        <v/>
      </c>
      <c r="Q2672" t="n">
        <v>0</v>
      </c>
      <c r="R2672" t="n">
        <v>0</v>
      </c>
      <c r="S2672">
        <f>IFERROR(O2672/N2672,0)</f>
        <v/>
      </c>
      <c r="T2672">
        <f>IF(C2672,(Skills!G3*H2672*N2672*B2698)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2">
        <f>INDEX(FactorTable!$B$2:$Y$301, MATCH(ROUND(MIN(300,MAX(1,U2671)),0), FactorTable!$A$2:$A$301,0), 22)</f>
        <v/>
      </c>
      <c r="V2672">
        <f>IF(C2672,(Skills!G3*H2672*N2672*B2698)*IF(Inputs!$B$38="pvp",1,(1+(Inputs!$B$21+Skills!Q3+(IF(ArtifactsInput!$M$33,CHOOSE(ArtifactsInput!$N$33+1,30,36,42,48,54,60),0))+(IF(AND(ArtifactsInput!$M$35,Inputs!$B$4&lt;&gt;"Chapter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Skills!A4</f>
        <v/>
      </c>
      <c r="B2673">
        <f>Skills!B4</f>
        <v/>
      </c>
      <c r="C2673">
        <f>Inputs!$B$3&gt;=60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Skills!G4*IF(Skills!H4&gt;0,Skills!I4/Skills!H4,1)</f>
        <v/>
      </c>
      <c r="H2673">
        <f>1-(1-Skills!J4/100)^Skills!K4</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2681=TRUE,F2681,0)/100)*(1+(IF(Skills!A4="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20)),(Inputs!$B$23+0+(IF(ArtifactsInput!$M$15,CHOOSE(ArtifactsInput!$N$15+1,25,30,35,40,45,50)/100*(Inputs!$B$11-Inputs!$B$11),0))))/100+(Inputs!$B$23+0+(IF(ArtifactsInput!$M$15,CHOOSE(ArtifactsInput!$N$15+1,25,30,35,40,45,50)/100*(Inputs!$B$11-Inputs!$B$11),0)))/100)/2</f>
        <v/>
      </c>
      <c r="M2673">
        <f>L2673*(1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IF(B2704=0,0,O2673/B2704)</f>
        <v/>
      </c>
      <c r="Q2673" t="n">
        <v>0</v>
      </c>
      <c r="R2673" t="n">
        <v>0</v>
      </c>
      <c r="S2673">
        <f>IFERROR(O2673/N2673,0)</f>
        <v/>
      </c>
      <c r="T2673">
        <f>IF(C2673,(Skills!G4*H2673*N2673*B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290*U2672/1000</f>
        <v/>
      </c>
      <c r="V2673">
        <f>IF(C2673,(Skills!G4*H2673*N2673*B2698)*IF(Inputs!$B$38="pvp",1,(1+(Inputs!$B$21+Skills!Q4+(IF(ArtifactsInput!$M$33,CHOOSE(ArtifactsInput!$N$33+1,30,36,42,48,54,60),0))+(IF(AND(ArtifactsInput!$M$35,Inputs!$B$4&lt;&gt;"Chapter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Skills!A5</f>
        <v/>
      </c>
      <c r="B2674">
        <f>Skills!B5</f>
        <v/>
      </c>
      <c r="C2674">
        <f>Inputs!$B$3&gt;=60</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Skills!G5*IF(Skills!H5&gt;0,Skills!I5/Skills!H5,1)</f>
        <v/>
      </c>
      <c r="H2674">
        <f>1-(1-Skills!J5/100)^Skills!K5</f>
        <v/>
      </c>
      <c r="I2674" t="inlineStr">
        <is>
          <t>1</t>
        </is>
      </c>
      <c r="J2674" t="inlineStr"/>
      <c r="K2674" t="inlineStr"/>
      <c r="L2674" t="inlineStr"/>
      <c r="M2674" t="inlineStr"/>
      <c r="N2674" t="inlineStr"/>
      <c r="O2674">
        <f>(1-Summary!$B$11)*T2674+Summary!$B$11*V2674</f>
        <v/>
      </c>
      <c r="P2674">
        <f>IF(B2704=0,0,O2674/B2704)</f>
        <v/>
      </c>
      <c r="Q2674" t="n">
        <v>0</v>
      </c>
      <c r="R2674" t="n">
        <v>0</v>
      </c>
      <c r="S2674">
        <f>IFERROR(O2674/N2674,0)</f>
        <v/>
      </c>
      <c r="T2674" t="n">
        <v>0</v>
      </c>
      <c r="V2674" t="n">
        <v>0</v>
      </c>
    </row>
    <row r="2675">
      <c r="A2675">
        <f>Skills!A6</f>
        <v/>
      </c>
      <c r="B2675">
        <f>Skills!B6</f>
        <v/>
      </c>
      <c r="C2675">
        <f>Inputs!$B$3&gt;=63</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Skills!G6*IF(Skills!H6&gt;0,Skills!I6/Skills!H6,1)</f>
        <v/>
      </c>
      <c r="H2675">
        <f>1-(1-Skills!J6/100)^Skills!K6</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20)),(Inputs!$B$23+0+(IF(ArtifactsInput!$M$15,CHOOSE(ArtifactsInput!$N$15+1,25,30,35,40,45,50)/100*(Inputs!$B$11-Inputs!$B$11),0))))/100+(Inputs!$B$23+0+(IF(ArtifactsInput!$M$15,CHOOSE(ArtifactsInput!$N$15+1,25,30,35,40,45,50)/100*(Inputs!$B$11-Inputs!$B$11),0)))/100)/2</f>
        <v/>
      </c>
      <c r="M2675">
        <f>L2675*(1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IF(B2704=0,0,O2675/B2704)</f>
        <v/>
      </c>
      <c r="Q2675">
        <f>IFERROR(1/(IF(Inputs!$B$38="pvp",15,MAX(0.1,Skills!D6-IF(Skills!E6=TRUE,3.5,0)))*(1-IF(AND(ArtifactsInput!$M$27,Inputs!$B$4="Chapter Hunt"),CHOOSE(ArtifactsInput!$N$27+1,20,24,28,32,36,40),0)/100)),0)</f>
        <v/>
      </c>
      <c r="R2675">
        <f>IF(AND(Inputs!$B$38&lt;&gt;"pvp",Inputs!$B$43&gt;0),IF(MAX(0,Inputs!$B$43-B2701)&lt;=0,0,(INT(MAX(0,Inputs!$B$43-B2701)/(IF(Inputs!$B$38="pvp",15,MAX(0.1,Skills!D6-IF(Skills!E6=TRUE,3.5,0)))*(1-IF(AND(ArtifactsInput!$M$27,Inputs!$B$4="Chapter Hunt"),CHOOSE(ArtifactsInput!$N$27+1,20,24,28,32,36,40),0)/100)))+1)),0)</f>
        <v/>
      </c>
      <c r="S2675">
        <f>IFERROR(O2675/N2675,0)</f>
        <v/>
      </c>
      <c r="T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$21+Skills!Q6+(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Skills!A7</f>
        <v/>
      </c>
      <c r="B2676">
        <f>Skills!B7</f>
        <v/>
      </c>
      <c r="C2676">
        <f>Inputs!$B$3&gt;=100</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Skills!G7*IF(Skills!H7&gt;0,Skills!I7/Skills!H7,1)</f>
        <v/>
      </c>
      <c r="H2676">
        <f>1-(1-Skills!J7/100)^Skills!K7</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20)),(Inputs!$B$23+0+(IF(ArtifactsInput!$M$15,CHOOSE(ArtifactsInput!$N$15+1,25,30,35,40,45,50)/100*(Inputs!$B$11-Inputs!$B$11),0))))/100+(Inputs!$B$23+0+(IF(ArtifactsInput!$M$15,CHOOSE(ArtifactsInput!$N$15+1,25,30,35,40,45,50)/100*(Inputs!$B$11-Inputs!$B$11),0)))/100)/2</f>
        <v/>
      </c>
      <c r="M2676">
        <f>L2676*(1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IF(B2704=0,0,O2676/B2704)</f>
        <v/>
      </c>
      <c r="Q2676">
        <f>IFERROR(1/(IF(Inputs!$B$38="pvp",15,MAX(0.1,Skills!D7-IF(Skills!E7=TRUE,3.5,0)))*(1-IF(AND(ArtifactsInput!$M$27,Inputs!$B$4="Chapter Hunt"),CHOOSE(ArtifactsInput!$N$27+1,20,24,28,32,36,40),0)/100)),0)</f>
        <v/>
      </c>
      <c r="R2676">
        <f>IF(AND(Inputs!$B$38&lt;&gt;"pvp",Inputs!$B$43&gt;0),IF(MAX(0,Inputs!$B$43-B2701)&lt;=0,0,(INT(MAX(0,Inputs!$B$43-B2701)/(IF(Inputs!$B$38="pvp",15,MAX(0.1,Skills!D7-IF(Skills!E7=TRUE,3.5,0)))*(1-IF(AND(ArtifactsInput!$M$27,Inputs!$B$4="Chapter Hunt"),CHOOSE(ArtifactsInput!$N$27+1,20,24,28,32,36,40),0)/100)))+1)),0)</f>
        <v/>
      </c>
      <c r="S2676">
        <f>IFERROR(O2676/N2676,0)</f>
        <v/>
      </c>
      <c r="T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$21+Skills!Q7+(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Skills!A8</f>
        <v/>
      </c>
      <c r="B2677">
        <f>Skills!B8</f>
        <v/>
      </c>
      <c r="C2677">
        <f>Inputs!$B$3&gt;=110</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Skills!G8*IF(Skills!H8&gt;0,Skills!I8/Skills!H8,1)</f>
        <v/>
      </c>
      <c r="H2677">
        <f>1-(1-Skills!J8/100)^Skills!K8</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20)),(Inputs!$B$23+0+(IF(ArtifactsInput!$M$15,CHOOSE(ArtifactsInput!$N$15+1,25,30,35,40,45,50)/100*(Inputs!$B$11-Inputs!$B$11),0))))/100+(Inputs!$B$23+0+(IF(ArtifactsInput!$M$15,CHOOSE(ArtifactsInput!$N$15+1,25,30,35,40,45,50)/100*(Inputs!$B$11-Inputs!$B$11),0)))/100)/2</f>
        <v/>
      </c>
      <c r="M2677">
        <f>L2677*(1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IF(B2704=0,0,O2677/B2704)</f>
        <v/>
      </c>
      <c r="Q2677">
        <f>IFERROR(1/(IF(Inputs!$B$38="pvp",15,MAX(0.1,Skills!D8-IF(Skills!E8=TRUE,3.5,0)))*(1-IF(AND(ArtifactsInput!$M$27,Inputs!$B$4="Chapter Hunt"),CHOOSE(ArtifactsInput!$N$27+1,20,24,28,32,36,40),0)/100)),0)</f>
        <v/>
      </c>
      <c r="R2677">
        <f>IF(AND(Inputs!$B$38&lt;&gt;"pvp",Inputs!$B$43&gt;0),IF(MAX(0,Inputs!$B$43-B2701)&lt;=0,0,(INT(MAX(0,Inputs!$B$43-B2701)/(IF(Inputs!$B$38="pvp",15,MAX(0.1,Skills!D8-IF(Skills!E8=TRUE,3.5,0)))*(1-IF(AND(ArtifactsInput!$M$27,Inputs!$B$4="Chapter Hunt"),CHOOSE(ArtifactsInput!$N$27+1,20,24,28,32,36,40),0)/100)))+1)),0)</f>
        <v/>
      </c>
      <c r="S2677">
        <f>IFERROR(O2677/N2677,0)</f>
        <v/>
      </c>
      <c r="T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$21+Skills!Q8+(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Skills!A9</f>
        <v/>
      </c>
      <c r="B2678">
        <f>Skills!B9</f>
        <v/>
      </c>
      <c r="C2678">
        <f>Inputs!$B$3&gt;=110</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Skills!G9*IF(Skills!H9&gt;0,Skills!I9/Skills!H9,1)</f>
        <v/>
      </c>
      <c r="H2678">
        <f>1-(1-Skills!J9/100)^Skills!K9</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20)),(Inputs!$B$23+0+(IF(ArtifactsInput!$M$15,CHOOSE(ArtifactsInput!$N$15+1,25,30,35,40,45,50)/100*(Inputs!$B$11-Inputs!$B$11),0))))/100+(Inputs!$B$23+0+(IF(ArtifactsInput!$M$15,CHOOSE(ArtifactsInput!$N$15+1,25,30,35,40,45,50)/100*(Inputs!$B$11-Inputs!$B$11),0)))/100)/2</f>
        <v/>
      </c>
      <c r="M2678">
        <f>L2678*(1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IF(B2704=0,0,O2678/B2704)</f>
        <v/>
      </c>
      <c r="Q2678">
        <f>IFERROR(1/(IF(Inputs!$B$38="pvp",15,MAX(0.1,Skills!D9-IF(Skills!E9=TRUE,3.5,0)))*(1-IF(AND(ArtifactsInput!$M$27,Inputs!$B$4="Chapter Hunt"),CHOOSE(ArtifactsInput!$N$27+1,20,24,28,32,36,40),0)/100)),0)</f>
        <v/>
      </c>
      <c r="R2678">
        <f>IF(AND(Inputs!$B$38&lt;&gt;"pvp",Inputs!$B$43&gt;0),IF(MAX(0,Inputs!$B$43-B2701)&lt;=0,0,(INT(MAX(0,Inputs!$B$43-B2701)/(IF(Inputs!$B$38="pvp",15,MAX(0.1,Skills!D9-IF(Skills!E9=TRUE,3.5,0)))*(1-IF(AND(ArtifactsInput!$M$27,Inputs!$B$4="Chapter Hunt"),CHOOSE(ArtifactsInput!$N$27+1,20,24,28,32,36,40),0)/100)))+1)),0)</f>
        <v/>
      </c>
      <c r="S2678">
        <f>IFERROR(O2678/N2678,0)</f>
        <v/>
      </c>
      <c r="T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$21+Skills!Q9+(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Skills!A10</f>
        <v/>
      </c>
      <c r="B2679">
        <f>Skills!B10</f>
        <v/>
      </c>
      <c r="C2679">
        <f>Inputs!$B$3&gt;=103</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Skills!G10*IF(Skills!H10&gt;0,Skills!I10/Skills!H10,1)</f>
        <v/>
      </c>
      <c r="H2679">
        <f>1-(1-Skills!J10/100)^Skills!K10</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20)),(Inputs!$B$23+0+(IF(ArtifactsInput!$M$15,CHOOSE(ArtifactsInput!$N$15+1,25,30,35,40,45,50)/100*(Inputs!$B$11-Inputs!$B$11),0))))/100+(Inputs!$B$23+0+(IF(ArtifactsInput!$M$15,CHOOSE(ArtifactsInput!$N$15+1,25,30,35,40,45,50)/100*(Inputs!$B$11-Inputs!$B$11),0)))/100)/2</f>
        <v/>
      </c>
      <c r="M2679">
        <f>L2679*(1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IF(B2704=0,0,O2679/B2704)</f>
        <v/>
      </c>
      <c r="Q2679">
        <f>IFERROR(1/(IF(Inputs!$B$38="pvp",15,MAX(0.1,Skills!D10-IF(Skills!E10=TRUE,3.5,0)))*(1-IF(AND(ArtifactsInput!$M$27,Inputs!$B$4="Chapter Hunt"),CHOOSE(ArtifactsInput!$N$27+1,20,24,28,32,36,40),0)/100)),0)</f>
        <v/>
      </c>
      <c r="R2679">
        <f>IF(AND(Inputs!$B$38&lt;&gt;"pvp",Inputs!$B$43&gt;0),IF(MAX(0,Inputs!$B$43-B2701)&lt;=0,0,(INT(MAX(0,Inputs!$B$43-B2701)/(IF(Inputs!$B$38="pvp",15,MAX(0.1,Skills!D10-IF(Skills!E10=TRUE,3.5,0)))*(1-IF(AND(ArtifactsInput!$M$27,Inputs!$B$4="Chapter Hunt"),CHOOSE(ArtifactsInput!$N$27+1,20,24,28,32,36,40),0)/100)))+1)),0)</f>
        <v/>
      </c>
      <c r="S2679">
        <f>IFERROR(O2679/N2679,0)</f>
        <v/>
      </c>
      <c r="T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$21+Skills!Q10+(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Skills!A11</f>
        <v/>
      </c>
      <c r="B2680">
        <f>Skills!B11</f>
        <v/>
      </c>
      <c r="C2680">
        <f>Inputs!$B$3&gt;=113</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Skills!G11*IF(Skills!H11&gt;0,Skills!I11/Skills!H11,1)</f>
        <v/>
      </c>
      <c r="H2680">
        <f>1-(1-Skills!J11/100)^Skills!K11</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20)),(Inputs!$B$23+0+(IF(ArtifactsInput!$M$15,CHOOSE(ArtifactsInput!$N$15+1,25,30,35,40,45,50)/100*(Inputs!$B$11-Inputs!$B$11),0))))/100+(Inputs!$B$23+0+(IF(ArtifactsInput!$M$15,CHOOSE(ArtifactsInput!$N$15+1,25,30,35,40,45,50)/100*(Inputs!$B$11-Inputs!$B$11),0)))/100)/2</f>
        <v/>
      </c>
      <c r="M2680">
        <f>L2680*(1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IF(B2704=0,0,O2680/B2704)</f>
        <v/>
      </c>
      <c r="Q2680">
        <f>IFERROR(1/(IF(Inputs!$B$38="pvp",15,MAX(0.1,Skills!D11-IF(Skills!E11=TRUE,3.5,0)))*(1-IF(AND(ArtifactsInput!$M$27,Inputs!$B$4="Chapter Hunt"),CHOOSE(ArtifactsInput!$N$27+1,20,24,28,32,36,40),0)/100)),0)</f>
        <v/>
      </c>
      <c r="R2680">
        <f>IF(AND(Inputs!$B$38&lt;&gt;"pvp",Inputs!$B$43&gt;0),IF(MAX(0,Inputs!$B$43-B2701)&lt;=0,0,(INT(MAX(0,Inputs!$B$43-B2701)/(IF(Inputs!$B$38="pvp",15,MAX(0.1,Skills!D11-IF(Skills!E11=TRUE,3.5,0)))*(1-IF(AND(ArtifactsInput!$M$27,Inputs!$B$4="Chapter Hunt"),CHOOSE(ArtifactsInput!$N$27+1,20,24,28,32,36,40),0)/100)))+1)),0)</f>
        <v/>
      </c>
      <c r="S2680">
        <f>IFERROR(O2680/N2680,0)</f>
        <v/>
      </c>
      <c r="T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$21+Skills!Q11+(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Skills!A12</f>
        <v/>
      </c>
      <c r="B2681">
        <f>Skills!B12</f>
        <v/>
      </c>
      <c r="C2681">
        <f>Inputs!$B$3&gt;=100</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T2681" t="inlineStr"/>
      <c r="V2681" t="inlineStr"/>
    </row>
    <row r="2682">
      <c r="A2682">
        <f>Skills!A13</f>
        <v/>
      </c>
      <c r="B2682">
        <f>Skills!B13</f>
        <v/>
      </c>
      <c r="C2682">
        <f>Inputs!$B$3&gt;=66</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Skills!G13*IF(Skills!H13&gt;0,Skills!I13/Skills!H13,1)</f>
        <v/>
      </c>
      <c r="H2682">
        <f>1-(1-Skills!J13/100)^Skills!K13</f>
        <v/>
      </c>
      <c r="I2682" t="inlineStr">
        <is>
          <t>1</t>
        </is>
      </c>
      <c r="J2682" t="inlineStr"/>
      <c r="K2682" t="inlineStr"/>
      <c r="L2682" t="inlineStr"/>
      <c r="M2682" t="inlineStr"/>
      <c r="N2682" t="inlineStr"/>
      <c r="O2682">
        <f>(1-Summary!$B$11)*T2682+Summary!$B$11*V2682</f>
        <v/>
      </c>
      <c r="P2682">
        <f>IF(B2704=0,0,O2682/B2704)</f>
        <v/>
      </c>
      <c r="Q2682" t="n">
        <v>0</v>
      </c>
      <c r="R2682" t="n">
        <v>0</v>
      </c>
      <c r="S2682">
        <f>IFERROR(O2682/N2682,0)</f>
        <v/>
      </c>
      <c r="T2682" t="n">
        <v>0</v>
      </c>
      <c r="V2682" t="n">
        <v>0</v>
      </c>
    </row>
    <row r="2683">
      <c r="A2683">
        <f>Skills!A14</f>
        <v/>
      </c>
      <c r="B2683">
        <f>Skills!B14</f>
        <v/>
      </c>
      <c r="C2683">
        <f>Inputs!$B$3&gt;=107</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Skills!G14*IF(Skills!H14&gt;0,Skills!I14/Skills!H14,1)</f>
        <v/>
      </c>
      <c r="H2683">
        <f>1-(1-Skills!J14/100)^Skills!K14</f>
        <v/>
      </c>
      <c r="I2683" t="inlineStr">
        <is>
          <t>1</t>
        </is>
      </c>
      <c r="J2683" t="inlineStr"/>
      <c r="K2683" t="inlineStr"/>
      <c r="L2683" t="inlineStr"/>
      <c r="M2683" t="inlineStr"/>
      <c r="N2683" t="inlineStr"/>
      <c r="O2683">
        <f>(1-Summary!$B$11)*T2683+Summary!$B$11*V2683</f>
        <v/>
      </c>
      <c r="P2683">
        <f>IF(B2704=0,0,O2683/B2704)</f>
        <v/>
      </c>
      <c r="Q2683" t="n">
        <v>0</v>
      </c>
      <c r="R2683" t="n">
        <v>0</v>
      </c>
      <c r="S2683">
        <f>IFERROR(O2683/N2683,0)</f>
        <v/>
      </c>
      <c r="T2683" t="n">
        <v>0</v>
      </c>
      <c r="V2683" t="n">
        <v>0</v>
      </c>
    </row>
    <row r="2684">
      <c r="A2684">
        <f>Skills!A15</f>
        <v/>
      </c>
      <c r="B2684">
        <f>Skills!B15</f>
        <v/>
      </c>
      <c r="C2684">
        <f>Inputs!$B$3&gt;=115</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Skills!G15*IF(Skills!H15&gt;0,Skills!I15/Skills!H15,1)</f>
        <v/>
      </c>
      <c r="H2684">
        <f>1-(1-Skills!J15/100)^Skills!K15</f>
        <v/>
      </c>
      <c r="I2684" t="inlineStr">
        <is>
          <t>1</t>
        </is>
      </c>
      <c r="J2684" t="inlineStr"/>
      <c r="K2684" t="inlineStr"/>
      <c r="L2684" t="inlineStr"/>
      <c r="M2684" t="inlineStr"/>
      <c r="N2684" t="inlineStr"/>
      <c r="O2684">
        <f>(1-Summary!$B$11)*T2684+Summary!$B$11*V2684</f>
        <v/>
      </c>
      <c r="P2684">
        <f>IF(B2704=0,0,O2684/B2704)</f>
        <v/>
      </c>
      <c r="Q2684" t="n">
        <v>0</v>
      </c>
      <c r="R2684" t="n">
        <v>0</v>
      </c>
      <c r="S2684">
        <f>IFERROR(O2684/N2684,0)</f>
        <v/>
      </c>
      <c r="T2684" t="n">
        <v>0</v>
      </c>
      <c r="V2684" t="n">
        <v>0</v>
      </c>
    </row>
    <row r="2685">
      <c r="A2685">
        <f>Skills!A16</f>
        <v/>
      </c>
      <c r="B2685">
        <f>Skills!B16</f>
        <v/>
      </c>
      <c r="C2685">
        <f>Inputs!$B$3&gt;=15</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Skills!G16*IF(Skills!H16&gt;0,Skills!I16/Skills!H16,1)</f>
        <v/>
      </c>
      <c r="H2685">
        <f>1-(1-Skills!J16/100)^Skills!K16</f>
        <v/>
      </c>
      <c r="I2685" t="inlineStr">
        <is>
          <t>1</t>
        </is>
      </c>
      <c r="J2685" t="inlineStr"/>
      <c r="K2685" t="inlineStr"/>
      <c r="L2685" t="inlineStr"/>
      <c r="M2685" t="inlineStr"/>
      <c r="N2685" t="inlineStr"/>
      <c r="O2685">
        <f>(1-Summary!$B$11)*T2685+Summary!$B$11*V2685</f>
        <v/>
      </c>
      <c r="P2685">
        <f>IF(B2704=0,0,O2685/B2704)</f>
        <v/>
      </c>
      <c r="Q2685" t="n">
        <v>0</v>
      </c>
      <c r="R2685" t="n">
        <v>0</v>
      </c>
      <c r="S2685">
        <f>IFERROR(O2685/N2685,0)</f>
        <v/>
      </c>
      <c r="T2685" t="n">
        <v>0</v>
      </c>
      <c r="V2685" t="n">
        <v>0</v>
      </c>
    </row>
    <row r="2686">
      <c r="A2686">
        <f>Skills!A17</f>
        <v/>
      </c>
      <c r="B2686">
        <f>Skills!B17</f>
        <v/>
      </c>
      <c r="C2686">
        <f>Inputs!$B$3&gt;=10</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Skills!G17*IF(Skills!H17&gt;0,Skills!I17/Skills!H17,1)</f>
        <v/>
      </c>
      <c r="H2686">
        <f>1-(1-Skills!J17/100)^Skills!K17</f>
        <v/>
      </c>
      <c r="I2686" t="inlineStr">
        <is>
          <t>1</t>
        </is>
      </c>
      <c r="J2686" t="inlineStr"/>
      <c r="K2686" t="inlineStr"/>
      <c r="L2686" t="inlineStr"/>
      <c r="M2686" t="inlineStr"/>
      <c r="N2686" t="inlineStr"/>
      <c r="O2686">
        <f>(1-Summary!$B$11)*T2686+Summary!$B$11*V2686</f>
        <v/>
      </c>
      <c r="P2686">
        <f>IF(B2704=0,0,O2686/B2704)</f>
        <v/>
      </c>
      <c r="Q2686" t="n">
        <v>0</v>
      </c>
      <c r="R2686" t="n">
        <v>0</v>
      </c>
      <c r="S2686">
        <f>IFERROR(O2686/N2686,0)</f>
        <v/>
      </c>
      <c r="T2686" t="n">
        <v>0</v>
      </c>
      <c r="V2686" t="n">
        <v>0</v>
      </c>
    </row>
    <row r="2687">
      <c r="A2687">
        <f>Skills!A18</f>
        <v/>
      </c>
      <c r="B2687">
        <f>Skills!B18</f>
        <v/>
      </c>
      <c r="C2687">
        <f>Inputs!$B$3&gt;=33</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Skills!G18*IF(Skills!H18&gt;0,Skills!I18/Skills!H18,1)</f>
        <v/>
      </c>
      <c r="H2687">
        <f>1-(1-Skills!J18/100)^Skills!K18</f>
        <v/>
      </c>
      <c r="I2687" t="inlineStr">
        <is>
          <t>1</t>
        </is>
      </c>
      <c r="J2687" t="inlineStr"/>
      <c r="K2687" t="inlineStr"/>
      <c r="L2687" t="inlineStr"/>
      <c r="M2687" t="inlineStr"/>
      <c r="N2687" t="inlineStr"/>
      <c r="O2687">
        <f>(1-Summary!$B$11)*T2687+Summary!$B$11*V2687</f>
        <v/>
      </c>
      <c r="P2687">
        <f>IF(B2704=0,0,O2687/B2704)</f>
        <v/>
      </c>
      <c r="Q2687" t="n">
        <v>0</v>
      </c>
      <c r="R2687" t="n">
        <v>0</v>
      </c>
      <c r="S2687">
        <f>IFERROR(O2687/N2687,0)</f>
        <v/>
      </c>
      <c r="T2687" t="n">
        <v>0</v>
      </c>
      <c r="V2687" t="n">
        <v>0</v>
      </c>
    </row>
    <row r="2688">
      <c r="A2688">
        <f>Skills!A19</f>
        <v/>
      </c>
      <c r="B2688">
        <f>Skills!B19</f>
        <v/>
      </c>
      <c r="C2688">
        <f>Inputs!$B$3&gt;=40</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Skills!G19*IF(Skills!H19&gt;0,Skills!I19/Skills!H19,1)</f>
        <v/>
      </c>
      <c r="H2688">
        <f>1-(1-Skills!J19/100)^Skills!K19</f>
        <v/>
      </c>
      <c r="I2688" t="inlineStr">
        <is>
          <t>1</t>
        </is>
      </c>
      <c r="J2688" t="inlineStr"/>
      <c r="K2688" t="inlineStr"/>
      <c r="L2688" t="inlineStr"/>
      <c r="M2688" t="inlineStr"/>
      <c r="N2688" t="inlineStr"/>
      <c r="O2688">
        <f>(1-Summary!$B$11)*T2688+Summary!$B$11*V2688</f>
        <v/>
      </c>
      <c r="P2688">
        <f>IF(B2704=0,0,O2688/B2704)</f>
        <v/>
      </c>
      <c r="Q2688" t="n">
        <v>0</v>
      </c>
      <c r="R2688" t="n">
        <v>0</v>
      </c>
      <c r="S2688">
        <f>IFERROR(O2688/N2688,0)</f>
        <v/>
      </c>
      <c r="T2688" t="n">
        <v>0</v>
      </c>
      <c r="V2688" t="n">
        <v>0</v>
      </c>
    </row>
    <row r="2689">
      <c r="A2689">
        <f>Skills!A20</f>
        <v/>
      </c>
      <c r="B2689">
        <f>Skills!B20</f>
        <v/>
      </c>
      <c r="C2689">
        <f>Inputs!$B$3&gt;=43</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Skills!G20*IF(Skills!H20&gt;0,Skills!I20/Skills!H20,1)</f>
        <v/>
      </c>
      <c r="H2689">
        <f>1-(1-Skills!J20/100)^Skills!K20</f>
        <v/>
      </c>
      <c r="I2689" t="inlineStr">
        <is>
          <t>1</t>
        </is>
      </c>
      <c r="J2689" t="inlineStr"/>
      <c r="K2689" t="inlineStr"/>
      <c r="L2689" t="inlineStr"/>
      <c r="M2689" t="inlineStr"/>
      <c r="N2689" t="inlineStr"/>
      <c r="O2689">
        <f>(1-Summary!$B$11)*T2689+Summary!$B$11*V2689</f>
        <v/>
      </c>
      <c r="P2689">
        <f>IF(B2704=0,0,O2689/B2704)</f>
        <v/>
      </c>
      <c r="Q2689" t="n">
        <v>0</v>
      </c>
      <c r="R2689" t="n">
        <v>0</v>
      </c>
      <c r="S2689">
        <f>IFERROR(O2689/N2689,0)</f>
        <v/>
      </c>
      <c r="T2689" t="n">
        <v>0</v>
      </c>
      <c r="V2689" t="n">
        <v>0</v>
      </c>
    </row>
    <row r="2690">
      <c r="A2690">
        <f>Skills!A21</f>
        <v/>
      </c>
      <c r="B2690">
        <f>Skills!B21</f>
        <v/>
      </c>
      <c r="C2690">
        <f>Inputs!$B$3&gt;=38</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Skills!G21*IF(Skills!H21&gt;0,Skills!I21/Skills!H21,1)</f>
        <v/>
      </c>
      <c r="H2690">
        <f>1-(1-Skills!J21/100)^Skills!K21</f>
        <v/>
      </c>
      <c r="I2690" t="inlineStr">
        <is>
          <t>1</t>
        </is>
      </c>
      <c r="J2690" t="inlineStr"/>
      <c r="K2690" t="inlineStr"/>
      <c r="L2690" t="inlineStr"/>
      <c r="M2690" t="inlineStr"/>
      <c r="N2690" t="inlineStr"/>
      <c r="O2690">
        <f>(1-Summary!$B$11)*T2690+Summary!$B$11*V2690</f>
        <v/>
      </c>
      <c r="P2690">
        <f>IF(B2704=0,0,O2690/B2704)</f>
        <v/>
      </c>
      <c r="Q2690" t="n">
        <v>0</v>
      </c>
      <c r="R2690" t="n">
        <v>0</v>
      </c>
      <c r="S2690">
        <f>IFERROR(O2690/N2690,0)</f>
        <v/>
      </c>
      <c r="T2690" t="n">
        <v>0</v>
      </c>
      <c r="V2690" t="n">
        <v>0</v>
      </c>
    </row>
    <row r="2691">
      <c r="A2691">
        <f>Skills!A22</f>
        <v/>
      </c>
      <c r="B2691">
        <f>Skills!B22</f>
        <v/>
      </c>
      <c r="C2691">
        <f>Inputs!$B$3&gt;=75</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Skills!G22*IF(Skills!H22&gt;0,Skills!I22/Skills!H22,1)</f>
        <v/>
      </c>
      <c r="H2691">
        <f>1-(1-Skills!J22/100)^Skills!K22</f>
        <v/>
      </c>
      <c r="I2691" t="inlineStr">
        <is>
          <t>1</t>
        </is>
      </c>
      <c r="J2691" t="inlineStr"/>
      <c r="K2691" t="inlineStr"/>
      <c r="L2691" t="inlineStr"/>
      <c r="M2691" t="inlineStr"/>
      <c r="N2691" t="inlineStr"/>
      <c r="O2691">
        <f>(1-Summary!$B$11)*T2691+Summary!$B$11*V2691</f>
        <v/>
      </c>
      <c r="P2691">
        <f>IF(B2704=0,0,O2691/B2704)</f>
        <v/>
      </c>
      <c r="Q2691" t="n">
        <v>0</v>
      </c>
      <c r="R2691" t="n">
        <v>0</v>
      </c>
      <c r="S2691">
        <f>IFERROR(O2691/N2691,0)</f>
        <v/>
      </c>
      <c r="T2691" t="n">
        <v>0</v>
      </c>
      <c r="V2691" t="n">
        <v>0</v>
      </c>
    </row>
    <row r="2693">
      <c r="A2693" t="inlineStr">
        <is>
          <t>Attack% Bucket Multiplier</t>
        </is>
      </c>
      <c r="B2693">
        <f>(1+(((C2682=TRUE)*F2682)+((C2688=TRUE)*(F2688-Calc!F19))+(IF(ArtifactsInput!$M$21,CHOOSE(ArtifactsInput!$N$21+1,25,30,35,40,45,50)*(IF(OR(Inputs!$B$4="Chapter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4">
      <c r="A2694" t="inlineStr">
        <is>
          <t>Global Crit Rate Bonus %</t>
        </is>
      </c>
      <c r="B2694" t="n">
        <v>0</v>
      </c>
    </row>
    <row r="2695">
      <c r="A2695" t="inlineStr">
        <is>
          <t>Attack Speed Buff Bonus % (unused)</t>
        </is>
      </c>
      <c r="B2695" t="n">
        <v>0</v>
      </c>
    </row>
    <row r="2696">
      <c r="A2696" t="inlineStr">
        <is>
          <t>Actions Per Second</t>
        </is>
      </c>
      <c r="B2696">
        <f>1+MIN(150,150*(1-(1-(Inputs!$B$11+((C2686=TRUE)*(F2686-Calc!F17))+((C2687=TRUE)*(F2687-Calc!F18)))/150)*(1-B2695/150)))/100</f>
        <v/>
      </c>
    </row>
    <row r="2697">
      <c r="A2697" t="inlineStr">
        <is>
          <t>Skill + Buff Cast Rate</t>
        </is>
      </c>
      <c r="B2697">
        <f>IF(AND(Inputs!$B$38&lt;&gt;"pvp",Inputs!$B$43&gt;0),SUMPRODUCT((Skills!E2:E22=TRUE)*(C2671:C2691=TRUE)*R2671:R2691*Skills!F2:F22)/Inputs!$B$43,SUMPRODUCT((Skills!E2:E22=TRUE)*(C2671:C2691=TRUE)*Q2671:Q2691*Skills!F2:F22))</f>
        <v/>
      </c>
    </row>
    <row r="2698">
      <c r="A2698" t="inlineStr">
        <is>
          <t>Hook Bomber Casts Per Second</t>
        </is>
      </c>
      <c r="B2698">
        <f>MAX(0,B2696-B2697)</f>
        <v/>
      </c>
    </row>
    <row r="2699">
      <c r="A2699" t="inlineStr">
        <is>
          <t>Global Critical Damage Bonus % (unused)</t>
        </is>
      </c>
      <c r="B2699" t="n">
        <v>0</v>
      </c>
    </row>
    <row r="2700">
      <c r="A2700" t="inlineStr">
        <is>
          <t>Global Final Damage Bonus % (Serpent Scale + Crossbones + Time Leap + Speed Infusion)</t>
        </is>
      </c>
      <c r="B2700">
        <f>((C2674=TRUE)*F2674*((10+IF(Inputs!$B$3&gt;=94,5,0))/((10+IF(Inputs!$B$3&gt;=94,5,0))+5/(B2698*(1+IF(Inputs!$B$3&gt;=104,1,0))))))+((C2683=TRUE)*F2683)+((C2684=TRUE)*F2684)+((Inputs!$B$3&gt;=110)*20*(B2696-1))</f>
        <v/>
      </c>
    </row>
    <row r="2701">
      <c r="A2701" t="inlineStr">
        <is>
          <t>Buff-Casting Startup Delay (s, fixed-duration only)</t>
        </is>
      </c>
      <c r="B2701">
        <f>IF(AND(Inputs!$B$38&lt;&gt;"pvp",Inputs!$B$43&gt;0),SUMPRODUCT((Skills!T2:T22&gt;0)*(Skills!E2:E22=TRUE)*(C2671:C2691=TRUE))/B2696,0)</f>
        <v/>
      </c>
    </row>
    <row r="2702">
      <c r="A2702" t="inlineStr">
        <is>
          <t>Boss-Only Total DPS (this block's swept value)</t>
        </is>
      </c>
      <c r="B2702">
        <f>SUM(T2671:T2691)</f>
        <v/>
      </c>
    </row>
    <row r="2703">
      <c r="A2703" t="inlineStr">
        <is>
          <t>Normal-Only Total DPS (this block's swept value)</t>
        </is>
      </c>
      <c r="B2703">
        <f>SUM(V2671:V2691)</f>
        <v/>
      </c>
    </row>
    <row r="2704">
      <c r="A2704" s="6" t="inlineStr">
        <is>
          <t>TOTAL DPS</t>
        </is>
      </c>
      <c r="B2704" s="6">
        <f>SUM(O2671:O2691)</f>
        <v/>
      </c>
    </row>
    <row r="2707">
      <c r="A2707" s="6" t="inlineStr">
        <is>
          <t>Stat: CDR = 4.0s</t>
        </is>
      </c>
    </row>
    <row r="2708">
      <c r="A2708" s="5" t="inlineStr">
        <is>
          <t>Key</t>
        </is>
      </c>
      <c r="B2708" s="5" t="inlineStr">
        <is>
          <t>Name</t>
        </is>
      </c>
      <c r="C2708" s="5" t="inlineStr">
        <is>
          <t>Unlocked</t>
        </is>
      </c>
      <c r="D2708" s="5" t="inlineStr">
        <is>
          <t>InputLevel</t>
        </is>
      </c>
      <c r="E2708" s="5" t="inlineStr">
        <is>
          <t>Factor</t>
        </is>
      </c>
      <c r="F2708" s="5" t="inlineStr">
        <is>
          <t>CoefficientPercent</t>
        </is>
      </c>
      <c r="G2708" s="5" t="inlineStr">
        <is>
          <t>EffectiveHits</t>
        </is>
      </c>
      <c r="H2708" s="5" t="inlineStr">
        <is>
          <t>ProcProbability</t>
        </is>
      </c>
      <c r="I2708" s="5" t="inlineStr">
        <is>
          <t>MapleHeroMultiplier</t>
        </is>
      </c>
      <c r="J2708" s="5" t="inlineStr">
        <is>
          <t>BaseDamage</t>
        </is>
      </c>
      <c r="K2708" s="5" t="inlineStr">
        <is>
          <t>BaseHitDamage</t>
        </is>
      </c>
      <c r="L2708" s="5" t="inlineStr">
        <is>
          <t>NonCritAvg</t>
        </is>
      </c>
      <c r="M2708" s="5" t="inlineStr">
        <is>
          <t>CritAvg</t>
        </is>
      </c>
      <c r="N2708" s="5" t="inlineStr">
        <is>
          <t>ExpectedDamage(perHit)</t>
        </is>
      </c>
      <c r="O2708" s="5" t="inlineStr">
        <is>
          <t>DPS</t>
        </is>
      </c>
      <c r="P2708" s="5" t="inlineStr">
        <is>
          <t>% of Total</t>
        </is>
      </c>
      <c r="Q2708" s="5" t="inlineStr">
        <is>
          <t>InvCooldown</t>
        </is>
      </c>
      <c r="R2708" s="5" t="inlineStr">
        <is>
          <t>CastsInFight</t>
        </is>
      </c>
      <c r="S2708" s="5" t="inlineStr">
        <is>
          <t>HitRate(perSec)</t>
        </is>
      </c>
      <c r="U2708" t="inlineStr">
        <is>
          <t>helpers</t>
        </is>
      </c>
    </row>
    <row r="2709">
      <c r="A2709">
        <f>Skills!A2</f>
        <v/>
      </c>
      <c r="B2709">
        <f>Skills!B2</f>
        <v/>
      </c>
      <c r="C2709">
        <f>Inputs!$B$3&gt;=100</f>
        <v/>
      </c>
      <c r="D2709" t="inlineStr"/>
      <c r="E2709" t="inlineStr"/>
      <c r="F2709">
        <f>U2711+Skills!O2</f>
        <v/>
      </c>
      <c r="G2709">
        <f>Skills!G2*IF(Skills!H2&gt;0,Skills!I2/Skills!H2,1)</f>
        <v/>
      </c>
      <c r="H2709">
        <f>1-(1-Skills!J2/100)^Skills!K2</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2727=TRUE)*(F2727-Calc!F20)),(Inputs!$B$23+0+(IF(ArtifactsInput!$M$15,CHOOSE(ArtifactsInput!$N$15+1,25,30,35,40,45,50)/100*(Inputs!$B$11-Inputs!$B$11),0))))/100+(Inputs!$B$23+0+(IF(ArtifactsInput!$M$15,CHOOSE(ArtifactsInput!$N$15+1,25,30,35,40,45,50)/100*(Inputs!$B$11-Inputs!$B$11),0)))/100)/2</f>
        <v/>
      </c>
      <c r="M2709">
        <f>L2709*(1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IF(B2742=0,0,O2709/B2742)</f>
        <v/>
      </c>
      <c r="Q2709" t="n">
        <v>0</v>
      </c>
      <c r="R2709" t="n">
        <v>0</v>
      </c>
      <c r="S2709">
        <f>IFERROR(O2709/N2709,0)</f>
        <v/>
      </c>
      <c r="T2709">
        <f>IF(C2709,(Skills!G2*N2709*B2736)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9">
        <f>MAX(0,(Inputs!$B$3-100)*3)+Inputs!$B$28+Inputs!$B$29</f>
        <v/>
      </c>
      <c r="V2709">
        <f>IF(C2709,(Skills!G2*N2709*B2736)*IF(Inputs!$B$38="pvp",1,(1+(Inputs!$B$21+Skills!Q2+(IF(ArtifactsInput!$M$33,CHOOSE(ArtifactsInput!$N$33+1,30,36,42,48,54,60),0))+(IF(AND(ArtifactsInput!$M$35,Inputs!$B$4&lt;&gt;"Chapter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Skills!A3</f>
        <v/>
      </c>
      <c r="B2710">
        <f>Skills!B3</f>
        <v/>
      </c>
      <c r="C2710">
        <f>Inputs!$B$3&gt;=35</f>
        <v/>
      </c>
      <c r="D2710">
        <f>IF(Skills!C3=1,60+Inputs!$B$25+Inputs!$B$29,IF(Skills!C3=2,90+Inputs!$B$26+Inputs!$B$29,IF(Skills!C3=3,120+Inputs!$B$27+Inputs!$B$29,MAX(0,(Inputs!$B$3-100)*3)+Inputs!$B$28+Inputs!$B$29)))</f>
        <v/>
      </c>
      <c r="E2710">
        <f>INDEX(FactorTable!$B$2:$Y$301, MATCH(ROUND(MIN(300,MAX(1,D2710)),0), FactorTable!$A$2:$A$301,0), Skills!M3+1)</f>
        <v/>
      </c>
      <c r="F2710">
        <f>IF(Skills!N3=TRUE,(Skills!L3/10)*(E2710/1000),Skills!L3/10)+Skills!O3</f>
        <v/>
      </c>
      <c r="G2710">
        <f>Skills!G3*IF(Skills!H3&gt;0,Skills!I3/Skills!H3,1)</f>
        <v/>
      </c>
      <c r="H2710">
        <f>1-(1-Skills!J3/100)^Skills!K3</f>
        <v/>
      </c>
      <c r="I2710" t="inlineStr">
        <is>
          <t>1</t>
        </is>
      </c>
      <c r="J2710">
        <f>((Inputs!$B$6*(1+Inputs!$B$7/100))+(((Inputs!$B$12*(1+Inputs!$B$13/100))-(Inputs!$B$12*(1+Inputs!$B$13/100)))+0.25*(Inputs!$B$14-Inputs!$B$14))*(1+Inputs!$B$7/100))*(F2710/100)</f>
        <v/>
      </c>
      <c r="K2710">
        <f>J2710*(1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2710)</f>
        <v/>
      </c>
      <c r="L2710">
        <f>K2710*(MIN(Inputs!$B$22+((C2727=TRUE)*(F2727-Calc!F20)),(Inputs!$B$23+0+(IF(ArtifactsInput!$M$15,CHOOSE(ArtifactsInput!$N$15+1,25,30,35,40,45,50)/100*(Inputs!$B$11-Inputs!$B$11),0))))/100+(Inputs!$B$23+0+(IF(ArtifactsInput!$M$15,CHOOSE(ArtifactsInput!$N$15+1,25,30,35,40,45,50)/100*(Inputs!$B$11-Inputs!$B$11),0)))/100)/2</f>
        <v/>
      </c>
      <c r="M2710">
        <f>L2710*(1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0">
        <f>L2710*(1-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2710*(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0">
        <f>(1-Summary!$B$11)*T2710+Summary!$B$11*V2710</f>
        <v/>
      </c>
      <c r="P2710">
        <f>IF(B2742=0,0,O2710/B2742)</f>
        <v/>
      </c>
      <c r="Q2710" t="n">
        <v>0</v>
      </c>
      <c r="R2710" t="n">
        <v>0</v>
      </c>
      <c r="S2710">
        <f>IFERROR(O2710/N2710,0)</f>
        <v/>
      </c>
      <c r="T2710">
        <f>IF(C2710,(Skills!G3*H2710*N2710*B2736)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0">
        <f>INDEX(FactorTable!$B$2:$Y$301, MATCH(ROUND(MIN(300,MAX(1,U2709)),0), FactorTable!$A$2:$A$301,0), 22)</f>
        <v/>
      </c>
      <c r="V2710">
        <f>IF(C2710,(Skills!G3*H2710*N2710*B2736)*IF(Inputs!$B$38="pvp",1,(1+(Inputs!$B$21+Skills!Q3+(IF(ArtifactsInput!$M$33,CHOOSE(ArtifactsInput!$N$33+1,30,36,42,48,54,60),0))+(IF(AND(ArtifactsInput!$M$35,Inputs!$B$4&lt;&gt;"Chapter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1">
      <c r="A2711">
        <f>Skills!A4</f>
        <v/>
      </c>
      <c r="B2711">
        <f>Skills!B4</f>
        <v/>
      </c>
      <c r="C2711">
        <f>Inputs!$B$3&gt;=60</f>
        <v/>
      </c>
      <c r="D2711">
        <f>IF(Skills!C4=1,60+Inputs!$B$25+Inputs!$B$29,IF(Skills!C4=2,90+Inputs!$B$26+Inputs!$B$29,IF(Skills!C4=3,120+Inputs!$B$27+Inputs!$B$29,MAX(0,(Inputs!$B$3-100)*3)+Inputs!$B$28+Inputs!$B$29)))</f>
        <v/>
      </c>
      <c r="E2711">
        <f>INDEX(FactorTable!$B$2:$Y$301, MATCH(ROUND(MIN(300,MAX(1,D2711)),0), FactorTable!$A$2:$A$301,0), Skills!M4+1)</f>
        <v/>
      </c>
      <c r="F2711">
        <f>IF(Skills!N4=TRUE,(Skills!L4/10)*(E2711/1000),Skills!L4/10)+Skills!O4</f>
        <v/>
      </c>
      <c r="G2711">
        <f>Skills!G4*IF(Skills!H4&gt;0,Skills!I4/Skills!H4,1)</f>
        <v/>
      </c>
      <c r="H2711">
        <f>1-(1-Skills!J4/100)^Skills!K4</f>
        <v/>
      </c>
      <c r="I2711" t="inlineStr">
        <is>
          <t>1</t>
        </is>
      </c>
      <c r="J2711">
        <f>((Inputs!$B$6*(1+Inputs!$B$7/100))+(((Inputs!$B$12*(1+Inputs!$B$13/100))-(Inputs!$B$12*(1+Inputs!$B$13/100)))+0.25*(Inputs!$B$14-Inputs!$B$14))*(1+Inputs!$B$7/100))*(F2711/100)</f>
        <v/>
      </c>
      <c r="K2711">
        <f>J2711*(1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2719=TRUE,F2719,0)/100)*(1+(IF(Skills!A4="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2727=TRUE)*(F2727-Calc!F20)),(Inputs!$B$23+0+(IF(ArtifactsInput!$M$15,CHOOSE(ArtifactsInput!$N$15+1,25,30,35,40,45,50)/100*(Inputs!$B$11-Inputs!$B$11),0))))/100+(Inputs!$B$23+0+(IF(ArtifactsInput!$M$15,CHOOSE(ArtifactsInput!$N$15+1,25,30,35,40,45,50)/100*(Inputs!$B$11-Inputs!$B$11),0)))/100)/2</f>
        <v/>
      </c>
      <c r="M2711">
        <f>L2711*(1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IF(B2742=0,0,O2711/B2742)</f>
        <v/>
      </c>
      <c r="Q2711" t="n">
        <v>0</v>
      </c>
      <c r="R2711" t="n">
        <v>0</v>
      </c>
      <c r="S2711">
        <f>IFERROR(O2711/N2711,0)</f>
        <v/>
      </c>
      <c r="T2711">
        <f>IF(C2711,(Skills!G4*H2711*N2711*B2736)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1">
        <f>290*U2710/1000</f>
        <v/>
      </c>
      <c r="V2711">
        <f>IF(C2711,(Skills!G4*H2711*N2711*B2736)*IF(Inputs!$B$38="pvp",1,(1+(Inputs!$B$21+Skills!Q4+(IF(ArtifactsInput!$M$33,CHOOSE(ArtifactsInput!$N$33+1,30,36,42,48,54,60),0))+(IF(AND(ArtifactsInput!$M$35,Inputs!$B$4&lt;&gt;"Chapter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Skills!A5</f>
        <v/>
      </c>
      <c r="B2712">
        <f>Skills!B5</f>
        <v/>
      </c>
      <c r="C2712">
        <f>Inputs!$B$3&gt;=60</f>
        <v/>
      </c>
      <c r="D2712">
        <f>IF(Skills!C5=1,60+Inputs!$B$25+Inputs!$B$29,IF(Skills!C5=2,90+Inputs!$B$26+Inputs!$B$29,IF(Skills!C5=3,120+Inputs!$B$27+Inputs!$B$29,MAX(0,(Inputs!$B$3-100)*3)+Inputs!$B$28+Inputs!$B$29)))</f>
        <v/>
      </c>
      <c r="E2712">
        <f>INDEX(FactorTable!$B$2:$Y$301, MATCH(ROUND(MIN(300,MAX(1,D2712)),0), FactorTable!$A$2:$A$301,0), Skills!M5+1)</f>
        <v/>
      </c>
      <c r="F2712">
        <f>IF(Skills!N5=TRUE,(Skills!L5/10)*(E2712/1000),Skills!L5/10)+Skills!O5</f>
        <v/>
      </c>
      <c r="G2712">
        <f>Skills!G5*IF(Skills!H5&gt;0,Skills!I5/Skills!H5,1)</f>
        <v/>
      </c>
      <c r="H2712">
        <f>1-(1-Skills!J5/100)^Skills!K5</f>
        <v/>
      </c>
      <c r="I2712" t="inlineStr">
        <is>
          <t>1</t>
        </is>
      </c>
      <c r="J2712" t="inlineStr"/>
      <c r="K2712" t="inlineStr"/>
      <c r="L2712" t="inlineStr"/>
      <c r="M2712" t="inlineStr"/>
      <c r="N2712" t="inlineStr"/>
      <c r="O2712">
        <f>(1-Summary!$B$11)*T2712+Summary!$B$11*V2712</f>
        <v/>
      </c>
      <c r="P2712">
        <f>IF(B2742=0,0,O2712/B2742)</f>
        <v/>
      </c>
      <c r="Q2712" t="n">
        <v>0</v>
      </c>
      <c r="R2712" t="n">
        <v>0</v>
      </c>
      <c r="S2712">
        <f>IFERROR(O2712/N2712,0)</f>
        <v/>
      </c>
      <c r="T2712" t="n">
        <v>0</v>
      </c>
      <c r="V2712" t="n">
        <v>0</v>
      </c>
    </row>
    <row r="2713">
      <c r="A2713">
        <f>Skills!A6</f>
        <v/>
      </c>
      <c r="B2713">
        <f>Skills!B6</f>
        <v/>
      </c>
      <c r="C2713">
        <f>Inputs!$B$3&gt;=63</f>
        <v/>
      </c>
      <c r="D2713">
        <f>IF(Skills!C6=1,60+Inputs!$B$25+Inputs!$B$29,IF(Skills!C6=2,90+Inputs!$B$26+Inputs!$B$29,IF(Skills!C6=3,120+Inputs!$B$27+Inputs!$B$29,MAX(0,(Inputs!$B$3-100)*3)+Inputs!$B$28+Inputs!$B$29)))</f>
        <v/>
      </c>
      <c r="E2713">
        <f>INDEX(FactorTable!$B$2:$Y$301, MATCH(ROUND(MIN(300,MAX(1,D2713)),0), FactorTable!$A$2:$A$301,0), Skills!M6+1)</f>
        <v/>
      </c>
      <c r="F2713">
        <f>IF(Skills!N6=TRUE,(Skills!L6/10)*(E2713/1000),Skills!L6/10)+Skills!O6</f>
        <v/>
      </c>
      <c r="G2713">
        <f>Skills!G6*IF(Skills!H6&gt;0,Skills!I6/Skills!H6,1)</f>
        <v/>
      </c>
      <c r="H2713">
        <f>1-(1-Skills!J6/100)^Skills!K6</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2727=TRUE)*(F2727-Calc!F20)),(Inputs!$B$23+0+(IF(ArtifactsInput!$M$15,CHOOSE(ArtifactsInput!$N$15+1,25,30,35,40,45,50)/100*(Inputs!$B$11-Inputs!$B$11),0))))/100+(Inputs!$B$23+0+(IF(ArtifactsInput!$M$15,CHOOSE(ArtifactsInput!$N$15+1,25,30,35,40,45,50)/100*(Inputs!$B$11-Inputs!$B$11),0)))/100)/2</f>
        <v/>
      </c>
      <c r="M2713">
        <f>L2713*(1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IF(B2742=0,0,O2713/B2742)</f>
        <v/>
      </c>
      <c r="Q2713">
        <f>IFERROR(1/(IF(Inputs!$B$38="pvp",15,MAX(0.1,Skills!D6-IF(Skills!E6=TRUE,4.0,0)))*(1-IF(AND(ArtifactsInput!$M$27,Inputs!$B$4="Chapter Hunt"),CHOOSE(ArtifactsInput!$N$27+1,20,24,28,32,36,40),0)/100)),0)</f>
        <v/>
      </c>
      <c r="R2713">
        <f>IF(AND(Inputs!$B$38&lt;&gt;"pvp",Inputs!$B$43&gt;0),IF(MAX(0,Inputs!$B$43-B2739)&lt;=0,0,(INT(MAX(0,Inputs!$B$43-B2739)/(IF(Inputs!$B$38="pvp",15,MAX(0.1,Skills!D6-IF(Skills!E6=TRUE,4.0,0)))*(1-IF(AND(ArtifactsInput!$M$27,Inputs!$B$4="Chapter Hunt"),CHOOSE(ArtifactsInput!$N$27+1,20,24,28,32,36,40),0)/100)))+1)),0)</f>
        <v/>
      </c>
      <c r="S2713">
        <f>IFERROR(O2713/N2713,0)</f>
        <v/>
      </c>
      <c r="T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$21+Skills!Q6+(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Skills!A7</f>
        <v/>
      </c>
      <c r="B2714">
        <f>Skills!B7</f>
        <v/>
      </c>
      <c r="C2714">
        <f>Inputs!$B$3&gt;=100</f>
        <v/>
      </c>
      <c r="D2714">
        <f>IF(Skills!C7=1,60+Inputs!$B$25+Inputs!$B$29,IF(Skills!C7=2,90+Inputs!$B$26+Inputs!$B$29,IF(Skills!C7=3,120+Inputs!$B$27+Inputs!$B$29,MAX(0,(Inputs!$B$3-100)*3)+Inputs!$B$28+Inputs!$B$29)))</f>
        <v/>
      </c>
      <c r="E2714">
        <f>INDEX(FactorTable!$B$2:$Y$301, MATCH(ROUND(MIN(300,MAX(1,D2714)),0), FactorTable!$A$2:$A$301,0), Skills!M7+1)</f>
        <v/>
      </c>
      <c r="F2714">
        <f>IF(Skills!N7=TRUE,(Skills!L7/10)*(E2714/1000),Skills!L7/10)+Skills!O7</f>
        <v/>
      </c>
      <c r="G2714">
        <f>Skills!G7*IF(Skills!H7&gt;0,Skills!I7/Skills!H7,1)</f>
        <v/>
      </c>
      <c r="H2714">
        <f>1-(1-Skills!J7/100)^Skills!K7</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2727=TRUE)*(F2727-Calc!F20)),(Inputs!$B$23+0+(IF(ArtifactsInput!$M$15,CHOOSE(ArtifactsInput!$N$15+1,25,30,35,40,45,50)/100*(Inputs!$B$11-Inputs!$B$11),0))))/100+(Inputs!$B$23+0+(IF(ArtifactsInput!$M$15,CHOOSE(ArtifactsInput!$N$15+1,25,30,35,40,45,50)/100*(Inputs!$B$11-Inputs!$B$11),0)))/100)/2</f>
        <v/>
      </c>
      <c r="M2714">
        <f>L2714*(1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IF(B2742=0,0,O2714/B2742)</f>
        <v/>
      </c>
      <c r="Q2714">
        <f>IFERROR(1/(IF(Inputs!$B$38="pvp",15,MAX(0.1,Skills!D7-IF(Skills!E7=TRUE,4.0,0)))*(1-IF(AND(ArtifactsInput!$M$27,Inputs!$B$4="Chapter Hunt"),CHOOSE(ArtifactsInput!$N$27+1,20,24,28,32,36,40),0)/100)),0)</f>
        <v/>
      </c>
      <c r="R2714">
        <f>IF(AND(Inputs!$B$38&lt;&gt;"pvp",Inputs!$B$43&gt;0),IF(MAX(0,Inputs!$B$43-B2739)&lt;=0,0,(INT(MAX(0,Inputs!$B$43-B2739)/(IF(Inputs!$B$38="pvp",15,MAX(0.1,Skills!D7-IF(Skills!E7=TRUE,4.0,0)))*(1-IF(AND(ArtifactsInput!$M$27,Inputs!$B$4="Chapter Hunt"),CHOOSE(ArtifactsInput!$N$27+1,20,24,28,32,36,40),0)/100)))+1)),0)</f>
        <v/>
      </c>
      <c r="S2714">
        <f>IFERROR(O2714/N2714,0)</f>
        <v/>
      </c>
      <c r="T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$21+Skills!Q7+(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Skills!A8</f>
        <v/>
      </c>
      <c r="B2715">
        <f>Skills!B8</f>
        <v/>
      </c>
      <c r="C2715">
        <f>Inputs!$B$3&gt;=110</f>
        <v/>
      </c>
      <c r="D2715">
        <f>IF(Skills!C8=1,60+Inputs!$B$25+Inputs!$B$29,IF(Skills!C8=2,90+Inputs!$B$26+Inputs!$B$29,IF(Skills!C8=3,120+Inputs!$B$27+Inputs!$B$29,MAX(0,(Inputs!$B$3-100)*3)+Inputs!$B$28+Inputs!$B$29)))</f>
        <v/>
      </c>
      <c r="E2715">
        <f>INDEX(FactorTable!$B$2:$Y$301, MATCH(ROUND(MIN(300,MAX(1,D2715)),0), FactorTable!$A$2:$A$301,0), Skills!M8+1)</f>
        <v/>
      </c>
      <c r="F2715">
        <f>IF(Skills!N8=TRUE,(Skills!L8/10)*(E2715/1000),Skills!L8/10)+Skills!O8</f>
        <v/>
      </c>
      <c r="G2715">
        <f>Skills!G8*IF(Skills!H8&gt;0,Skills!I8/Skills!H8,1)</f>
        <v/>
      </c>
      <c r="H2715">
        <f>1-(1-Skills!J8/100)^Skills!K8</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2727=TRUE)*(F2727-Calc!F20)),(Inputs!$B$23+0+(IF(ArtifactsInput!$M$15,CHOOSE(ArtifactsInput!$N$15+1,25,30,35,40,45,50)/100*(Inputs!$B$11-Inputs!$B$11),0))))/100+(Inputs!$B$23+0+(IF(ArtifactsInput!$M$15,CHOOSE(ArtifactsInput!$N$15+1,25,30,35,40,45,50)/100*(Inputs!$B$11-Inputs!$B$11),0)))/100)/2</f>
        <v/>
      </c>
      <c r="M2715">
        <f>L2715*(1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IF(B2742=0,0,O2715/B2742)</f>
        <v/>
      </c>
      <c r="Q2715">
        <f>IFERROR(1/(IF(Inputs!$B$38="pvp",15,MAX(0.1,Skills!D8-IF(Skills!E8=TRUE,4.0,0)))*(1-IF(AND(ArtifactsInput!$M$27,Inputs!$B$4="Chapter Hunt"),CHOOSE(ArtifactsInput!$N$27+1,20,24,28,32,36,40),0)/100)),0)</f>
        <v/>
      </c>
      <c r="R2715">
        <f>IF(AND(Inputs!$B$38&lt;&gt;"pvp",Inputs!$B$43&gt;0),IF(MAX(0,Inputs!$B$43-B2739)&lt;=0,0,(INT(MAX(0,Inputs!$B$43-B2739)/(IF(Inputs!$B$38="pvp",15,MAX(0.1,Skills!D8-IF(Skills!E8=TRUE,4.0,0)))*(1-IF(AND(ArtifactsInput!$M$27,Inputs!$B$4="Chapter Hunt"),CHOOSE(ArtifactsInput!$N$27+1,20,24,28,32,36,40),0)/100)))+1)),0)</f>
        <v/>
      </c>
      <c r="S2715">
        <f>IFERROR(O2715/N2715,0)</f>
        <v/>
      </c>
      <c r="T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$21+Skills!Q8+(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Skills!A9</f>
        <v/>
      </c>
      <c r="B2716">
        <f>Skills!B9</f>
        <v/>
      </c>
      <c r="C2716">
        <f>Inputs!$B$3&gt;=110</f>
        <v/>
      </c>
      <c r="D2716">
        <f>IF(Skills!C9=1,60+Inputs!$B$25+Inputs!$B$29,IF(Skills!C9=2,90+Inputs!$B$26+Inputs!$B$29,IF(Skills!C9=3,120+Inputs!$B$27+Inputs!$B$29,MAX(0,(Inputs!$B$3-100)*3)+Inputs!$B$28+Inputs!$B$29)))</f>
        <v/>
      </c>
      <c r="E2716">
        <f>INDEX(FactorTable!$B$2:$Y$301, MATCH(ROUND(MIN(300,MAX(1,D2716)),0), FactorTable!$A$2:$A$301,0), Skills!M9+1)</f>
        <v/>
      </c>
      <c r="F2716">
        <f>IF(Skills!N9=TRUE,(Skills!L9/10)*(E2716/1000),Skills!L9/10)+Skills!O9</f>
        <v/>
      </c>
      <c r="G2716">
        <f>Skills!G9*IF(Skills!H9&gt;0,Skills!I9/Skills!H9,1)</f>
        <v/>
      </c>
      <c r="H2716">
        <f>1-(1-Skills!J9/100)^Skills!K9</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2727=TRUE)*(F2727-Calc!F20)),(Inputs!$B$23+0+(IF(ArtifactsInput!$M$15,CHOOSE(ArtifactsInput!$N$15+1,25,30,35,40,45,50)/100*(Inputs!$B$11-Inputs!$B$11),0))))/100+(Inputs!$B$23+0+(IF(ArtifactsInput!$M$15,CHOOSE(ArtifactsInput!$N$15+1,25,30,35,40,45,50)/100*(Inputs!$B$11-Inputs!$B$11),0)))/100)/2</f>
        <v/>
      </c>
      <c r="M2716">
        <f>L2716*(1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IF(B2742=0,0,O2716/B2742)</f>
        <v/>
      </c>
      <c r="Q2716">
        <f>IFERROR(1/(IF(Inputs!$B$38="pvp",15,MAX(0.1,Skills!D9-IF(Skills!E9=TRUE,4.0,0)))*(1-IF(AND(ArtifactsInput!$M$27,Inputs!$B$4="Chapter Hunt"),CHOOSE(ArtifactsInput!$N$27+1,20,24,28,32,36,40),0)/100)),0)</f>
        <v/>
      </c>
      <c r="R2716">
        <f>IF(AND(Inputs!$B$38&lt;&gt;"pvp",Inputs!$B$43&gt;0),IF(MAX(0,Inputs!$B$43-B2739)&lt;=0,0,(INT(MAX(0,Inputs!$B$43-B2739)/(IF(Inputs!$B$38="pvp",15,MAX(0.1,Skills!D9-IF(Skills!E9=TRUE,4.0,0)))*(1-IF(AND(ArtifactsInput!$M$27,Inputs!$B$4="Chapter Hunt"),CHOOSE(ArtifactsInput!$N$27+1,20,24,28,32,36,40),0)/100)))+1)),0)</f>
        <v/>
      </c>
      <c r="S2716">
        <f>IFERROR(O2716/N2716,0)</f>
        <v/>
      </c>
      <c r="T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$21+Skills!Q9+(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Skills!A10</f>
        <v/>
      </c>
      <c r="B2717">
        <f>Skills!B10</f>
        <v/>
      </c>
      <c r="C2717">
        <f>Inputs!$B$3&gt;=103</f>
        <v/>
      </c>
      <c r="D2717">
        <f>IF(Skills!C10=1,60+Inputs!$B$25+Inputs!$B$29,IF(Skills!C10=2,90+Inputs!$B$26+Inputs!$B$29,IF(Skills!C10=3,120+Inputs!$B$27+Inputs!$B$29,MAX(0,(Inputs!$B$3-100)*3)+Inputs!$B$28+Inputs!$B$29)))</f>
        <v/>
      </c>
      <c r="E2717">
        <f>INDEX(FactorTable!$B$2:$Y$301, MATCH(ROUND(MIN(300,MAX(1,D2717)),0), FactorTable!$A$2:$A$301,0), Skills!M10+1)</f>
        <v/>
      </c>
      <c r="F2717">
        <f>IF(Skills!N10=TRUE,(Skills!L10/10)*(E2717/1000),Skills!L10/10)+Skills!O10</f>
        <v/>
      </c>
      <c r="G2717">
        <f>Skills!G10*IF(Skills!H10&gt;0,Skills!I10/Skills!H10,1)</f>
        <v/>
      </c>
      <c r="H2717">
        <f>1-(1-Skills!J10/100)^Skills!K10</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2727=TRUE)*(F2727-Calc!F20)),(Inputs!$B$23+0+(IF(ArtifactsInput!$M$15,CHOOSE(ArtifactsInput!$N$15+1,25,30,35,40,45,50)/100*(Inputs!$B$11-Inputs!$B$11),0))))/100+(Inputs!$B$23+0+(IF(ArtifactsInput!$M$15,CHOOSE(ArtifactsInput!$N$15+1,25,30,35,40,45,50)/100*(Inputs!$B$11-Inputs!$B$11),0)))/100)/2</f>
        <v/>
      </c>
      <c r="M2717">
        <f>L2717*(1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IF(B2742=0,0,O2717/B2742)</f>
        <v/>
      </c>
      <c r="Q2717">
        <f>IFERROR(1/(IF(Inputs!$B$38="pvp",15,MAX(0.1,Skills!D10-IF(Skills!E10=TRUE,4.0,0)))*(1-IF(AND(ArtifactsInput!$M$27,Inputs!$B$4="Chapter Hunt"),CHOOSE(ArtifactsInput!$N$27+1,20,24,28,32,36,40),0)/100)),0)</f>
        <v/>
      </c>
      <c r="R2717">
        <f>IF(AND(Inputs!$B$38&lt;&gt;"pvp",Inputs!$B$43&gt;0),IF(MAX(0,Inputs!$B$43-B2739)&lt;=0,0,(INT(MAX(0,Inputs!$B$43-B2739)/(IF(Inputs!$B$38="pvp",15,MAX(0.1,Skills!D10-IF(Skills!E10=TRUE,4.0,0)))*(1-IF(AND(ArtifactsInput!$M$27,Inputs!$B$4="Chapter Hunt"),CHOOSE(ArtifactsInput!$N$27+1,20,24,28,32,36,40),0)/100)))+1)),0)</f>
        <v/>
      </c>
      <c r="S2717">
        <f>IFERROR(O2717/N2717,0)</f>
        <v/>
      </c>
      <c r="T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$21+Skills!Q10+(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Skills!A11</f>
        <v/>
      </c>
      <c r="B2718">
        <f>Skills!B11</f>
        <v/>
      </c>
      <c r="C2718">
        <f>Inputs!$B$3&gt;=113</f>
        <v/>
      </c>
      <c r="D2718">
        <f>IF(Skills!C11=1,60+Inputs!$B$25+Inputs!$B$29,IF(Skills!C11=2,90+Inputs!$B$26+Inputs!$B$29,IF(Skills!C11=3,120+Inputs!$B$27+Inputs!$B$29,MAX(0,(Inputs!$B$3-100)*3)+Inputs!$B$28+Inputs!$B$29)))</f>
        <v/>
      </c>
      <c r="E2718">
        <f>INDEX(FactorTable!$B$2:$Y$301, MATCH(ROUND(MIN(300,MAX(1,D2718)),0), FactorTable!$A$2:$A$301,0), Skills!M11+1)</f>
        <v/>
      </c>
      <c r="F2718">
        <f>IF(Skills!N11=TRUE,(Skills!L11/10)*(E2718/1000),Skills!L11/10)+Skills!O11</f>
        <v/>
      </c>
      <c r="G2718">
        <f>Skills!G11*IF(Skills!H11&gt;0,Skills!I11/Skills!H11,1)</f>
        <v/>
      </c>
      <c r="H2718">
        <f>1-(1-Skills!J11/100)^Skills!K11</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2727=TRUE)*(F2727-Calc!F20)),(Inputs!$B$23+0+(IF(ArtifactsInput!$M$15,CHOOSE(ArtifactsInput!$N$15+1,25,30,35,40,45,50)/100*(Inputs!$B$11-Inputs!$B$11),0))))/100+(Inputs!$B$23+0+(IF(ArtifactsInput!$M$15,CHOOSE(ArtifactsInput!$N$15+1,25,30,35,40,45,50)/100*(Inputs!$B$11-Inputs!$B$11),0)))/100)/2</f>
        <v/>
      </c>
      <c r="M2718">
        <f>L2718*(1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IF(B2742=0,0,O2718/B2742)</f>
        <v/>
      </c>
      <c r="Q2718">
        <f>IFERROR(1/(IF(Inputs!$B$38="pvp",15,MAX(0.1,Skills!D11-IF(Skills!E11=TRUE,4.0,0)))*(1-IF(AND(ArtifactsInput!$M$27,Inputs!$B$4="Chapter Hunt"),CHOOSE(ArtifactsInput!$N$27+1,20,24,28,32,36,40),0)/100)),0)</f>
        <v/>
      </c>
      <c r="R2718">
        <f>IF(AND(Inputs!$B$38&lt;&gt;"pvp",Inputs!$B$43&gt;0),IF(MAX(0,Inputs!$B$43-B2739)&lt;=0,0,(INT(MAX(0,Inputs!$B$43-B2739)/(IF(Inputs!$B$38="pvp",15,MAX(0.1,Skills!D11-IF(Skills!E11=TRUE,4.0,0)))*(1-IF(AND(ArtifactsInput!$M$27,Inputs!$B$4="Chapter Hunt"),CHOOSE(ArtifactsInput!$N$27+1,20,24,28,32,36,40),0)/100)))+1)),0)</f>
        <v/>
      </c>
      <c r="S2718">
        <f>IFERROR(O2718/N2718,0)</f>
        <v/>
      </c>
      <c r="T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$21+Skills!Q11+(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Skills!A12</f>
        <v/>
      </c>
      <c r="B2719">
        <f>Skills!B12</f>
        <v/>
      </c>
      <c r="C2719">
        <f>Inputs!$B$3&gt;=100</f>
        <v/>
      </c>
      <c r="D2719">
        <f>IF(Skills!C12=1,60+Inputs!$B$25+Inputs!$B$29,IF(Skills!C12=2,90+Inputs!$B$26+Inputs!$B$29,IF(Skills!C12=3,120+Inputs!$B$27+Inputs!$B$29,MAX(0,(Inputs!$B$3-100)*3)+Inputs!$B$28+Inputs!$B$29)))</f>
        <v/>
      </c>
      <c r="E2719">
        <f>INDEX(FactorTable!$B$2:$Y$301, MATCH(ROUND(MIN(300,MAX(1,D2719)),0), FactorTable!$A$2:$A$301,0), Skills!M12+1)</f>
        <v/>
      </c>
      <c r="F2719">
        <f>IF(Skills!N12=TRUE,(Skills!L12/10)*(E2719/1000),Skills!L12/10)+Skills!O12</f>
        <v/>
      </c>
      <c r="G2719" t="inlineStr"/>
      <c r="H2719" t="inlineStr"/>
      <c r="I2719" t="inlineStr">
        <is>
          <t>1</t>
        </is>
      </c>
      <c r="J2719" t="inlineStr"/>
      <c r="K2719" t="inlineStr"/>
      <c r="L2719" t="inlineStr"/>
      <c r="M2719" t="inlineStr"/>
      <c r="N2719" t="inlineStr"/>
      <c r="O2719" t="inlineStr"/>
      <c r="P2719" t="inlineStr"/>
      <c r="Q2719" t="inlineStr"/>
      <c r="R2719" t="inlineStr"/>
      <c r="S2719" t="inlineStr"/>
      <c r="T2719" t="inlineStr"/>
      <c r="V2719" t="inlineStr"/>
    </row>
    <row r="2720">
      <c r="A2720">
        <f>Skills!A13</f>
        <v/>
      </c>
      <c r="B2720">
        <f>Skills!B13</f>
        <v/>
      </c>
      <c r="C2720">
        <f>Inputs!$B$3&gt;=66</f>
        <v/>
      </c>
      <c r="D2720">
        <f>IF(Skills!C13=1,60+Inputs!$B$25+Inputs!$B$29,IF(Skills!C13=2,90+Inputs!$B$26+Inputs!$B$29,IF(Skills!C13=3,120+Inputs!$B$27+Inputs!$B$29,MAX(0,(Inputs!$B$3-100)*3)+Inputs!$B$28+Inputs!$B$29)))</f>
        <v/>
      </c>
      <c r="E2720">
        <f>INDEX(FactorTable!$B$2:$Y$301, MATCH(ROUND(MIN(300,MAX(1,D2720)),0), FactorTable!$A$2:$A$301,0), Skills!M13+1)</f>
        <v/>
      </c>
      <c r="F2720">
        <f>IF(Skills!N13=TRUE,(Skills!L13/10)*(E2720/1000),Skills!L13/10)+Skills!O13</f>
        <v/>
      </c>
      <c r="G2720">
        <f>Skills!G13*IF(Skills!H13&gt;0,Skills!I13/Skills!H13,1)</f>
        <v/>
      </c>
      <c r="H2720">
        <f>1-(1-Skills!J13/100)^Skills!K13</f>
        <v/>
      </c>
      <c r="I2720" t="inlineStr">
        <is>
          <t>1</t>
        </is>
      </c>
      <c r="J2720" t="inlineStr"/>
      <c r="K2720" t="inlineStr"/>
      <c r="L2720" t="inlineStr"/>
      <c r="M2720" t="inlineStr"/>
      <c r="N2720" t="inlineStr"/>
      <c r="O2720">
        <f>(1-Summary!$B$11)*T2720+Summary!$B$11*V2720</f>
        <v/>
      </c>
      <c r="P2720">
        <f>IF(B2742=0,0,O2720/B2742)</f>
        <v/>
      </c>
      <c r="Q2720" t="n">
        <v>0</v>
      </c>
      <c r="R2720" t="n">
        <v>0</v>
      </c>
      <c r="S2720">
        <f>IFERROR(O2720/N2720,0)</f>
        <v/>
      </c>
      <c r="T2720" t="n">
        <v>0</v>
      </c>
      <c r="V2720" t="n">
        <v>0</v>
      </c>
    </row>
    <row r="2721">
      <c r="A2721">
        <f>Skills!A14</f>
        <v/>
      </c>
      <c r="B2721">
        <f>Skills!B14</f>
        <v/>
      </c>
      <c r="C2721">
        <f>Inputs!$B$3&gt;=107</f>
        <v/>
      </c>
      <c r="D2721">
        <f>IF(Skills!C14=1,60+Inputs!$B$25+Inputs!$B$29,IF(Skills!C14=2,90+Inputs!$B$26+Inputs!$B$29,IF(Skills!C14=3,120+Inputs!$B$27+Inputs!$B$29,MAX(0,(Inputs!$B$3-100)*3)+Inputs!$B$28+Inputs!$B$29)))</f>
        <v/>
      </c>
      <c r="E2721">
        <f>INDEX(FactorTable!$B$2:$Y$301, MATCH(ROUND(MIN(300,MAX(1,D2721)),0), FactorTable!$A$2:$A$301,0), Skills!M14+1)</f>
        <v/>
      </c>
      <c r="F2721">
        <f>IF(Skills!N14=TRUE,(Skills!L14/10)*(E2721/1000),Skills!L14/10)+Skills!O14</f>
        <v/>
      </c>
      <c r="G2721">
        <f>Skills!G14*IF(Skills!H14&gt;0,Skills!I14/Skills!H14,1)</f>
        <v/>
      </c>
      <c r="H2721">
        <f>1-(1-Skills!J14/100)^Skills!K14</f>
        <v/>
      </c>
      <c r="I2721" t="inlineStr">
        <is>
          <t>1</t>
        </is>
      </c>
      <c r="J2721" t="inlineStr"/>
      <c r="K2721" t="inlineStr"/>
      <c r="L2721" t="inlineStr"/>
      <c r="M2721" t="inlineStr"/>
      <c r="N2721" t="inlineStr"/>
      <c r="O2721">
        <f>(1-Summary!$B$11)*T2721+Summary!$B$11*V2721</f>
        <v/>
      </c>
      <c r="P2721">
        <f>IF(B2742=0,0,O2721/B2742)</f>
        <v/>
      </c>
      <c r="Q2721" t="n">
        <v>0</v>
      </c>
      <c r="R2721" t="n">
        <v>0</v>
      </c>
      <c r="S2721">
        <f>IFERROR(O2721/N2721,0)</f>
        <v/>
      </c>
      <c r="T2721" t="n">
        <v>0</v>
      </c>
      <c r="V2721" t="n">
        <v>0</v>
      </c>
    </row>
    <row r="2722">
      <c r="A2722">
        <f>Skills!A15</f>
        <v/>
      </c>
      <c r="B2722">
        <f>Skills!B15</f>
        <v/>
      </c>
      <c r="C2722">
        <f>Inputs!$B$3&gt;=115</f>
        <v/>
      </c>
      <c r="D2722">
        <f>IF(Skills!C15=1,60+Inputs!$B$25+Inputs!$B$29,IF(Skills!C15=2,90+Inputs!$B$26+Inputs!$B$29,IF(Skills!C15=3,120+Inputs!$B$27+Inputs!$B$29,MAX(0,(Inputs!$B$3-100)*3)+Inputs!$B$28+Inputs!$B$29)))</f>
        <v/>
      </c>
      <c r="E2722">
        <f>INDEX(FactorTable!$B$2:$Y$301, MATCH(ROUND(MIN(300,MAX(1,D2722)),0), FactorTable!$A$2:$A$301,0), Skills!M15+1)</f>
        <v/>
      </c>
      <c r="F2722">
        <f>IF(Skills!N15=TRUE,(Skills!L15/10)*(E2722/1000),Skills!L15/10)+Skills!O15</f>
        <v/>
      </c>
      <c r="G2722">
        <f>Skills!G15*IF(Skills!H15&gt;0,Skills!I15/Skills!H15,1)</f>
        <v/>
      </c>
      <c r="H2722">
        <f>1-(1-Skills!J15/100)^Skills!K15</f>
        <v/>
      </c>
      <c r="I2722" t="inlineStr">
        <is>
          <t>1</t>
        </is>
      </c>
      <c r="J2722" t="inlineStr"/>
      <c r="K2722" t="inlineStr"/>
      <c r="L2722" t="inlineStr"/>
      <c r="M2722" t="inlineStr"/>
      <c r="N2722" t="inlineStr"/>
      <c r="O2722">
        <f>(1-Summary!$B$11)*T2722+Summary!$B$11*V2722</f>
        <v/>
      </c>
      <c r="P2722">
        <f>IF(B2742=0,0,O2722/B2742)</f>
        <v/>
      </c>
      <c r="Q2722" t="n">
        <v>0</v>
      </c>
      <c r="R2722" t="n">
        <v>0</v>
      </c>
      <c r="S2722">
        <f>IFERROR(O2722/N2722,0)</f>
        <v/>
      </c>
      <c r="T2722" t="n">
        <v>0</v>
      </c>
      <c r="V2722" t="n">
        <v>0</v>
      </c>
    </row>
    <row r="2723">
      <c r="A2723">
        <f>Skills!A16</f>
        <v/>
      </c>
      <c r="B2723">
        <f>Skills!B16</f>
        <v/>
      </c>
      <c r="C2723">
        <f>Inputs!$B$3&gt;=15</f>
        <v/>
      </c>
      <c r="D2723">
        <f>IF(Skills!C16=1,60+Inputs!$B$25+Inputs!$B$29,IF(Skills!C16=2,90+Inputs!$B$26+Inputs!$B$29,IF(Skills!C16=3,120+Inputs!$B$27+Inputs!$B$29,MAX(0,(Inputs!$B$3-100)*3)+Inputs!$B$28+Inputs!$B$29)))</f>
        <v/>
      </c>
      <c r="E2723">
        <f>INDEX(FactorTable!$B$2:$Y$301, MATCH(ROUND(MIN(300,MAX(1,D2723)),0), FactorTable!$A$2:$A$301,0), Skills!M16+1)</f>
        <v/>
      </c>
      <c r="F2723">
        <f>IF(Skills!N16=TRUE,(Skills!L16/10)*(E2723/1000),Skills!L16/10)+Skills!O16</f>
        <v/>
      </c>
      <c r="G2723">
        <f>Skills!G16*IF(Skills!H16&gt;0,Skills!I16/Skills!H16,1)</f>
        <v/>
      </c>
      <c r="H2723">
        <f>1-(1-Skills!J16/100)^Skills!K16</f>
        <v/>
      </c>
      <c r="I2723" t="inlineStr">
        <is>
          <t>1</t>
        </is>
      </c>
      <c r="J2723" t="inlineStr"/>
      <c r="K2723" t="inlineStr"/>
      <c r="L2723" t="inlineStr"/>
      <c r="M2723" t="inlineStr"/>
      <c r="N2723" t="inlineStr"/>
      <c r="O2723">
        <f>(1-Summary!$B$11)*T2723+Summary!$B$11*V2723</f>
        <v/>
      </c>
      <c r="P2723">
        <f>IF(B2742=0,0,O2723/B2742)</f>
        <v/>
      </c>
      <c r="Q2723" t="n">
        <v>0</v>
      </c>
      <c r="R2723" t="n">
        <v>0</v>
      </c>
      <c r="S2723">
        <f>IFERROR(O2723/N2723,0)</f>
        <v/>
      </c>
      <c r="T2723" t="n">
        <v>0</v>
      </c>
      <c r="V2723" t="n">
        <v>0</v>
      </c>
    </row>
    <row r="2724">
      <c r="A2724">
        <f>Skills!A17</f>
        <v/>
      </c>
      <c r="B2724">
        <f>Skills!B17</f>
        <v/>
      </c>
      <c r="C2724">
        <f>Inputs!$B$3&gt;=10</f>
        <v/>
      </c>
      <c r="D2724">
        <f>IF(Skills!C17=1,60+Inputs!$B$25+Inputs!$B$29,IF(Skills!C17=2,90+Inputs!$B$26+Inputs!$B$29,IF(Skills!C17=3,120+Inputs!$B$27+Inputs!$B$29,MAX(0,(Inputs!$B$3-100)*3)+Inputs!$B$28+Inputs!$B$29)))</f>
        <v/>
      </c>
      <c r="E2724">
        <f>INDEX(FactorTable!$B$2:$Y$301, MATCH(ROUND(MIN(300,MAX(1,D2724)),0), FactorTable!$A$2:$A$301,0), Skills!M17+1)</f>
        <v/>
      </c>
      <c r="F2724">
        <f>IF(Skills!N17=TRUE,(Skills!L17/10)*(E2724/1000),Skills!L17/10)+Skills!O17</f>
        <v/>
      </c>
      <c r="G2724">
        <f>Skills!G17*IF(Skills!H17&gt;0,Skills!I17/Skills!H17,1)</f>
        <v/>
      </c>
      <c r="H2724">
        <f>1-(1-Skills!J17/100)^Skills!K17</f>
        <v/>
      </c>
      <c r="I2724" t="inlineStr">
        <is>
          <t>1</t>
        </is>
      </c>
      <c r="J2724" t="inlineStr"/>
      <c r="K2724" t="inlineStr"/>
      <c r="L2724" t="inlineStr"/>
      <c r="M2724" t="inlineStr"/>
      <c r="N2724" t="inlineStr"/>
      <c r="O2724">
        <f>(1-Summary!$B$11)*T2724+Summary!$B$11*V2724</f>
        <v/>
      </c>
      <c r="P2724">
        <f>IF(B2742=0,0,O2724/B2742)</f>
        <v/>
      </c>
      <c r="Q2724" t="n">
        <v>0</v>
      </c>
      <c r="R2724" t="n">
        <v>0</v>
      </c>
      <c r="S2724">
        <f>IFERROR(O2724/N2724,0)</f>
        <v/>
      </c>
      <c r="T2724" t="n">
        <v>0</v>
      </c>
      <c r="V2724" t="n">
        <v>0</v>
      </c>
    </row>
    <row r="2725">
      <c r="A2725">
        <f>Skills!A18</f>
        <v/>
      </c>
      <c r="B2725">
        <f>Skills!B18</f>
        <v/>
      </c>
      <c r="C2725">
        <f>Inputs!$B$3&gt;=33</f>
        <v/>
      </c>
      <c r="D2725">
        <f>IF(Skills!C18=1,60+Inputs!$B$25+Inputs!$B$29,IF(Skills!C18=2,90+Inputs!$B$26+Inputs!$B$29,IF(Skills!C18=3,120+Inputs!$B$27+Inputs!$B$29,MAX(0,(Inputs!$B$3-100)*3)+Inputs!$B$28+Inputs!$B$29)))</f>
        <v/>
      </c>
      <c r="E2725">
        <f>INDEX(FactorTable!$B$2:$Y$301, MATCH(ROUND(MIN(300,MAX(1,D2725)),0), FactorTable!$A$2:$A$301,0), Skills!M18+1)</f>
        <v/>
      </c>
      <c r="F2725">
        <f>IF(Skills!N18=TRUE,(Skills!L18/10)*(E2725/1000),Skills!L18/10)+Skills!O18</f>
        <v/>
      </c>
      <c r="G2725">
        <f>Skills!G18*IF(Skills!H18&gt;0,Skills!I18/Skills!H18,1)</f>
        <v/>
      </c>
      <c r="H2725">
        <f>1-(1-Skills!J18/100)^Skills!K18</f>
        <v/>
      </c>
      <c r="I2725" t="inlineStr">
        <is>
          <t>1</t>
        </is>
      </c>
      <c r="J2725" t="inlineStr"/>
      <c r="K2725" t="inlineStr"/>
      <c r="L2725" t="inlineStr"/>
      <c r="M2725" t="inlineStr"/>
      <c r="N2725" t="inlineStr"/>
      <c r="O2725">
        <f>(1-Summary!$B$11)*T2725+Summary!$B$11*V2725</f>
        <v/>
      </c>
      <c r="P2725">
        <f>IF(B2742=0,0,O2725/B2742)</f>
        <v/>
      </c>
      <c r="Q2725" t="n">
        <v>0</v>
      </c>
      <c r="R2725" t="n">
        <v>0</v>
      </c>
      <c r="S2725">
        <f>IFERROR(O2725/N2725,0)</f>
        <v/>
      </c>
      <c r="T2725" t="n">
        <v>0</v>
      </c>
      <c r="V2725" t="n">
        <v>0</v>
      </c>
    </row>
    <row r="2726">
      <c r="A2726">
        <f>Skills!A19</f>
        <v/>
      </c>
      <c r="B2726">
        <f>Skills!B19</f>
        <v/>
      </c>
      <c r="C2726">
        <f>Inputs!$B$3&gt;=40</f>
        <v/>
      </c>
      <c r="D2726">
        <f>IF(Skills!C19=1,60+Inputs!$B$25+Inputs!$B$29,IF(Skills!C19=2,90+Inputs!$B$26+Inputs!$B$29,IF(Skills!C19=3,120+Inputs!$B$27+Inputs!$B$29,MAX(0,(Inputs!$B$3-100)*3)+Inputs!$B$28+Inputs!$B$29)))</f>
        <v/>
      </c>
      <c r="E2726">
        <f>INDEX(FactorTable!$B$2:$Y$301, MATCH(ROUND(MIN(300,MAX(1,D2726)),0), FactorTable!$A$2:$A$301,0), Skills!M19+1)</f>
        <v/>
      </c>
      <c r="F2726">
        <f>IF(Skills!N19=TRUE,(Skills!L19/10)*(E2726/1000),Skills!L19/10)+Skills!O19</f>
        <v/>
      </c>
      <c r="G2726">
        <f>Skills!G19*IF(Skills!H19&gt;0,Skills!I19/Skills!H19,1)</f>
        <v/>
      </c>
      <c r="H2726">
        <f>1-(1-Skills!J19/100)^Skills!K19</f>
        <v/>
      </c>
      <c r="I2726" t="inlineStr">
        <is>
          <t>1</t>
        </is>
      </c>
      <c r="J2726" t="inlineStr"/>
      <c r="K2726" t="inlineStr"/>
      <c r="L2726" t="inlineStr"/>
      <c r="M2726" t="inlineStr"/>
      <c r="N2726" t="inlineStr"/>
      <c r="O2726">
        <f>(1-Summary!$B$11)*T2726+Summary!$B$11*V2726</f>
        <v/>
      </c>
      <c r="P2726">
        <f>IF(B2742=0,0,O2726/B2742)</f>
        <v/>
      </c>
      <c r="Q2726" t="n">
        <v>0</v>
      </c>
      <c r="R2726" t="n">
        <v>0</v>
      </c>
      <c r="S2726">
        <f>IFERROR(O2726/N2726,0)</f>
        <v/>
      </c>
      <c r="T2726" t="n">
        <v>0</v>
      </c>
      <c r="V2726" t="n">
        <v>0</v>
      </c>
    </row>
    <row r="2727">
      <c r="A2727">
        <f>Skills!A20</f>
        <v/>
      </c>
      <c r="B2727">
        <f>Skills!B20</f>
        <v/>
      </c>
      <c r="C2727">
        <f>Inputs!$B$3&gt;=43</f>
        <v/>
      </c>
      <c r="D2727">
        <f>IF(Skills!C20=1,60+Inputs!$B$25+Inputs!$B$29,IF(Skills!C20=2,90+Inputs!$B$26+Inputs!$B$29,IF(Skills!C20=3,120+Inputs!$B$27+Inputs!$B$29,MAX(0,(Inputs!$B$3-100)*3)+Inputs!$B$28+Inputs!$B$29)))</f>
        <v/>
      </c>
      <c r="E2727">
        <f>INDEX(FactorTable!$B$2:$Y$301, MATCH(ROUND(MIN(300,MAX(1,D2727)),0), FactorTable!$A$2:$A$301,0), Skills!M20+1)</f>
        <v/>
      </c>
      <c r="F2727">
        <f>IF(Skills!N20=TRUE,(Skills!L20/10)*(E2727/1000),Skills!L20/10)+Skills!O20</f>
        <v/>
      </c>
      <c r="G2727">
        <f>Skills!G20*IF(Skills!H20&gt;0,Skills!I20/Skills!H20,1)</f>
        <v/>
      </c>
      <c r="H2727">
        <f>1-(1-Skills!J20/100)^Skills!K20</f>
        <v/>
      </c>
      <c r="I2727" t="inlineStr">
        <is>
          <t>1</t>
        </is>
      </c>
      <c r="J2727" t="inlineStr"/>
      <c r="K2727" t="inlineStr"/>
      <c r="L2727" t="inlineStr"/>
      <c r="M2727" t="inlineStr"/>
      <c r="N2727" t="inlineStr"/>
      <c r="O2727">
        <f>(1-Summary!$B$11)*T2727+Summary!$B$11*V2727</f>
        <v/>
      </c>
      <c r="P2727">
        <f>IF(B2742=0,0,O2727/B2742)</f>
        <v/>
      </c>
      <c r="Q2727" t="n">
        <v>0</v>
      </c>
      <c r="R2727" t="n">
        <v>0</v>
      </c>
      <c r="S2727">
        <f>IFERROR(O2727/N2727,0)</f>
        <v/>
      </c>
      <c r="T2727" t="n">
        <v>0</v>
      </c>
      <c r="V2727" t="n">
        <v>0</v>
      </c>
    </row>
    <row r="2728">
      <c r="A2728">
        <f>Skills!A21</f>
        <v/>
      </c>
      <c r="B2728">
        <f>Skills!B21</f>
        <v/>
      </c>
      <c r="C2728">
        <f>Inputs!$B$3&gt;=38</f>
        <v/>
      </c>
      <c r="D2728">
        <f>IF(Skills!C21=1,60+Inputs!$B$25+Inputs!$B$29,IF(Skills!C21=2,90+Inputs!$B$26+Inputs!$B$29,IF(Skills!C21=3,120+Inputs!$B$27+Inputs!$B$29,MAX(0,(Inputs!$B$3-100)*3)+Inputs!$B$28+Inputs!$B$29)))</f>
        <v/>
      </c>
      <c r="E2728">
        <f>INDEX(FactorTable!$B$2:$Y$301, MATCH(ROUND(MIN(300,MAX(1,D2728)),0), FactorTable!$A$2:$A$301,0), Skills!M21+1)</f>
        <v/>
      </c>
      <c r="F2728">
        <f>IF(Skills!N21=TRUE,(Skills!L21/10)*(E2728/1000),Skills!L21/10)+Skills!O21</f>
        <v/>
      </c>
      <c r="G2728">
        <f>Skills!G21*IF(Skills!H21&gt;0,Skills!I21/Skills!H21,1)</f>
        <v/>
      </c>
      <c r="H2728">
        <f>1-(1-Skills!J21/100)^Skills!K21</f>
        <v/>
      </c>
      <c r="I2728" t="inlineStr">
        <is>
          <t>1</t>
        </is>
      </c>
      <c r="J2728" t="inlineStr"/>
      <c r="K2728" t="inlineStr"/>
      <c r="L2728" t="inlineStr"/>
      <c r="M2728" t="inlineStr"/>
      <c r="N2728" t="inlineStr"/>
      <c r="O2728">
        <f>(1-Summary!$B$11)*T2728+Summary!$B$11*V2728</f>
        <v/>
      </c>
      <c r="P2728">
        <f>IF(B2742=0,0,O2728/B2742)</f>
        <v/>
      </c>
      <c r="Q2728" t="n">
        <v>0</v>
      </c>
      <c r="R2728" t="n">
        <v>0</v>
      </c>
      <c r="S2728">
        <f>IFERROR(O2728/N2728,0)</f>
        <v/>
      </c>
      <c r="T2728" t="n">
        <v>0</v>
      </c>
      <c r="V2728" t="n">
        <v>0</v>
      </c>
    </row>
    <row r="2729">
      <c r="A2729">
        <f>Skills!A22</f>
        <v/>
      </c>
      <c r="B2729">
        <f>Skills!B22</f>
        <v/>
      </c>
      <c r="C2729">
        <f>Inputs!$B$3&gt;=75</f>
        <v/>
      </c>
      <c r="D2729">
        <f>IF(Skills!C22=1,60+Inputs!$B$25+Inputs!$B$29,IF(Skills!C22=2,90+Inputs!$B$26+Inputs!$B$29,IF(Skills!C22=3,120+Inputs!$B$27+Inputs!$B$29,MAX(0,(Inputs!$B$3-100)*3)+Inputs!$B$28+Inputs!$B$29)))</f>
        <v/>
      </c>
      <c r="E2729">
        <f>INDEX(FactorTable!$B$2:$Y$301, MATCH(ROUND(MIN(300,MAX(1,D2729)),0), FactorTable!$A$2:$A$301,0), Skills!M22+1)</f>
        <v/>
      </c>
      <c r="F2729">
        <f>IF(Skills!N22=TRUE,(Skills!L22/10)*(E2729/1000),Skills!L22/10)+Skills!O22</f>
        <v/>
      </c>
      <c r="G2729">
        <f>Skills!G22*IF(Skills!H22&gt;0,Skills!I22/Skills!H22,1)</f>
        <v/>
      </c>
      <c r="H2729">
        <f>1-(1-Skills!J22/100)^Skills!K22</f>
        <v/>
      </c>
      <c r="I2729" t="inlineStr">
        <is>
          <t>1</t>
        </is>
      </c>
      <c r="J2729" t="inlineStr"/>
      <c r="K2729" t="inlineStr"/>
      <c r="L2729" t="inlineStr"/>
      <c r="M2729" t="inlineStr"/>
      <c r="N2729" t="inlineStr"/>
      <c r="O2729">
        <f>(1-Summary!$B$11)*T2729+Summary!$B$11*V2729</f>
        <v/>
      </c>
      <c r="P2729">
        <f>IF(B2742=0,0,O2729/B2742)</f>
        <v/>
      </c>
      <c r="Q2729" t="n">
        <v>0</v>
      </c>
      <c r="R2729" t="n">
        <v>0</v>
      </c>
      <c r="S2729">
        <f>IFERROR(O2729/N2729,0)</f>
        <v/>
      </c>
      <c r="T2729" t="n">
        <v>0</v>
      </c>
      <c r="V2729" t="n">
        <v>0</v>
      </c>
    </row>
    <row r="2731">
      <c r="A2731" t="inlineStr">
        <is>
          <t>Attack% Bucket Multiplier</t>
        </is>
      </c>
      <c r="B2731">
        <f>(1+(((C2720=TRUE)*F2720)+((C2726=TRUE)*(F2726-Calc!F19))+(IF(ArtifactsInput!$M$21,CHOOSE(ArtifactsInput!$N$21+1,25,30,35,40,45,50)*(IF(OR(Inputs!$B$4="Chapter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2">
      <c r="A2732" t="inlineStr">
        <is>
          <t>Global Crit Rate Bonus %</t>
        </is>
      </c>
      <c r="B2732" t="n">
        <v>0</v>
      </c>
    </row>
    <row r="2733">
      <c r="A2733" t="inlineStr">
        <is>
          <t>Attack Speed Buff Bonus % (unused)</t>
        </is>
      </c>
      <c r="B2733" t="n">
        <v>0</v>
      </c>
    </row>
    <row r="2734">
      <c r="A2734" t="inlineStr">
        <is>
          <t>Actions Per Second</t>
        </is>
      </c>
      <c r="B2734">
        <f>1+MIN(150,150*(1-(1-(Inputs!$B$11+((C2724=TRUE)*(F2724-Calc!F17))+((C2725=TRUE)*(F2725-Calc!F18)))/150)*(1-B2733/150)))/100</f>
        <v/>
      </c>
    </row>
    <row r="2735">
      <c r="A2735" t="inlineStr">
        <is>
          <t>Skill + Buff Cast Rate</t>
        </is>
      </c>
      <c r="B2735">
        <f>IF(AND(Inputs!$B$38&lt;&gt;"pvp",Inputs!$B$43&gt;0),SUMPRODUCT((Skills!E2:E22=TRUE)*(C2709:C2729=TRUE)*R2709:R2729*Skills!F2:F22)/Inputs!$B$43,SUMPRODUCT((Skills!E2:E22=TRUE)*(C2709:C2729=TRUE)*Q2709:Q2729*Skills!F2:F22))</f>
        <v/>
      </c>
    </row>
    <row r="2736">
      <c r="A2736" t="inlineStr">
        <is>
          <t>Hook Bomber Casts Per Second</t>
        </is>
      </c>
      <c r="B2736">
        <f>MAX(0,B2734-B2735)</f>
        <v/>
      </c>
    </row>
    <row r="2737">
      <c r="A2737" t="inlineStr">
        <is>
          <t>Global Critical Damage Bonus % (unused)</t>
        </is>
      </c>
      <c r="B2737" t="n">
        <v>0</v>
      </c>
    </row>
    <row r="2738">
      <c r="A2738" t="inlineStr">
        <is>
          <t>Global Final Damage Bonus % (Serpent Scale + Crossbones + Time Leap + Speed Infusion)</t>
        </is>
      </c>
      <c r="B2738">
        <f>((C2712=TRUE)*F2712*((10+IF(Inputs!$B$3&gt;=94,5,0))/((10+IF(Inputs!$B$3&gt;=94,5,0))+5/(B2736*(1+IF(Inputs!$B$3&gt;=104,1,0))))))+((C2721=TRUE)*F2721)+((C2722=TRUE)*F2722)+((Inputs!$B$3&gt;=110)*20*(B2734-1))</f>
        <v/>
      </c>
    </row>
    <row r="2739">
      <c r="A2739" t="inlineStr">
        <is>
          <t>Buff-Casting Startup Delay (s, fixed-duration only)</t>
        </is>
      </c>
      <c r="B2739">
        <f>IF(AND(Inputs!$B$38&lt;&gt;"pvp",Inputs!$B$43&gt;0),SUMPRODUCT((Skills!T2:T22&gt;0)*(Skills!E2:E22=TRUE)*(C2709:C2729=TRUE))/B2734,0)</f>
        <v/>
      </c>
    </row>
    <row r="2740">
      <c r="A2740" t="inlineStr">
        <is>
          <t>Boss-Only Total DPS (this block's swept value)</t>
        </is>
      </c>
      <c r="B2740">
        <f>SUM(T2709:T2729)</f>
        <v/>
      </c>
    </row>
    <row r="2741">
      <c r="A2741" t="inlineStr">
        <is>
          <t>Normal-Only Total DPS (this block's swept value)</t>
        </is>
      </c>
      <c r="B2741">
        <f>SUM(V2709:V2729)</f>
        <v/>
      </c>
    </row>
    <row r="2742">
      <c r="A2742" s="6" t="inlineStr">
        <is>
          <t>TOTAL DPS</t>
        </is>
      </c>
      <c r="B2742" s="6">
        <f>SUM(O2709:O2729)</f>
        <v/>
      </c>
    </row>
    <row r="2745">
      <c r="A2745" s="6" t="inlineStr">
        <is>
          <t>Stat: CDR = 4.5s</t>
        </is>
      </c>
    </row>
    <row r="2746">
      <c r="A2746" s="5" t="inlineStr">
        <is>
          <t>Key</t>
        </is>
      </c>
      <c r="B2746" s="5" t="inlineStr">
        <is>
          <t>Name</t>
        </is>
      </c>
      <c r="C2746" s="5" t="inlineStr">
        <is>
          <t>Unlocked</t>
        </is>
      </c>
      <c r="D2746" s="5" t="inlineStr">
        <is>
          <t>InputLevel</t>
        </is>
      </c>
      <c r="E2746" s="5" t="inlineStr">
        <is>
          <t>Factor</t>
        </is>
      </c>
      <c r="F2746" s="5" t="inlineStr">
        <is>
          <t>CoefficientPercent</t>
        </is>
      </c>
      <c r="G2746" s="5" t="inlineStr">
        <is>
          <t>EffectiveHits</t>
        </is>
      </c>
      <c r="H2746" s="5" t="inlineStr">
        <is>
          <t>ProcProbability</t>
        </is>
      </c>
      <c r="I2746" s="5" t="inlineStr">
        <is>
          <t>MapleHeroMultiplier</t>
        </is>
      </c>
      <c r="J2746" s="5" t="inlineStr">
        <is>
          <t>BaseDamage</t>
        </is>
      </c>
      <c r="K2746" s="5" t="inlineStr">
        <is>
          <t>BaseHitDamage</t>
        </is>
      </c>
      <c r="L2746" s="5" t="inlineStr">
        <is>
          <t>NonCritAvg</t>
        </is>
      </c>
      <c r="M2746" s="5" t="inlineStr">
        <is>
          <t>CritAvg</t>
        </is>
      </c>
      <c r="N2746" s="5" t="inlineStr">
        <is>
          <t>ExpectedDamage(perHit)</t>
        </is>
      </c>
      <c r="O2746" s="5" t="inlineStr">
        <is>
          <t>DPS</t>
        </is>
      </c>
      <c r="P2746" s="5" t="inlineStr">
        <is>
          <t>% of Total</t>
        </is>
      </c>
      <c r="Q2746" s="5" t="inlineStr">
        <is>
          <t>InvCooldown</t>
        </is>
      </c>
      <c r="R2746" s="5" t="inlineStr">
        <is>
          <t>CastsInFight</t>
        </is>
      </c>
      <c r="S2746" s="5" t="inlineStr">
        <is>
          <t>HitRate(perSec)</t>
        </is>
      </c>
      <c r="U2746" t="inlineStr">
        <is>
          <t>helpers</t>
        </is>
      </c>
    </row>
    <row r="2747">
      <c r="A2747">
        <f>Skills!A2</f>
        <v/>
      </c>
      <c r="B2747">
        <f>Skills!B2</f>
        <v/>
      </c>
      <c r="C2747">
        <f>Inputs!$B$3&gt;=100</f>
        <v/>
      </c>
      <c r="D2747" t="inlineStr"/>
      <c r="E2747" t="inlineStr"/>
      <c r="F2747">
        <f>U2749+Skills!O2</f>
        <v/>
      </c>
      <c r="G2747">
        <f>Skills!G2*IF(Skills!H2&gt;0,Skills!I2/Skills!H2,1)</f>
        <v/>
      </c>
      <c r="H2747">
        <f>1-(1-Skills!J2/100)^Skills!K2</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2765=TRUE)*(F2765-Calc!F20)),(Inputs!$B$23+0+(IF(ArtifactsInput!$M$15,CHOOSE(ArtifactsInput!$N$15+1,25,30,35,40,45,50)/100*(Inputs!$B$11-Inputs!$B$11),0))))/100+(Inputs!$B$23+0+(IF(ArtifactsInput!$M$15,CHOOSE(ArtifactsInput!$N$15+1,25,30,35,40,45,50)/100*(Inputs!$B$11-Inputs!$B$11),0)))/100)/2</f>
        <v/>
      </c>
      <c r="M2747">
        <f>L2747*(1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IF(B2780=0,0,O2747/B2780)</f>
        <v/>
      </c>
      <c r="Q2747" t="n">
        <v>0</v>
      </c>
      <c r="R2747" t="n">
        <v>0</v>
      </c>
      <c r="S2747">
        <f>IFERROR(O2747/N2747,0)</f>
        <v/>
      </c>
      <c r="T2747">
        <f>IF(C2747,(Skills!G2*N2747*B2774)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7">
        <f>MAX(0,(Inputs!$B$3-100)*3)+Inputs!$B$28+Inputs!$B$29</f>
        <v/>
      </c>
      <c r="V2747">
        <f>IF(C2747,(Skills!G2*N2747*B2774)*IF(Inputs!$B$38="pvp",1,(1+(Inputs!$B$21+Skills!Q2+(IF(ArtifactsInput!$M$33,CHOOSE(ArtifactsInput!$N$33+1,30,36,42,48,54,60),0))+(IF(AND(ArtifactsInput!$M$35,Inputs!$B$4&lt;&gt;"Chapter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Skills!A3</f>
        <v/>
      </c>
      <c r="B2748">
        <f>Skills!B3</f>
        <v/>
      </c>
      <c r="C2748">
        <f>Inputs!$B$3&gt;=35</f>
        <v/>
      </c>
      <c r="D2748">
        <f>IF(Skills!C3=1,60+Inputs!$B$25+Inputs!$B$29,IF(Skills!C3=2,90+Inputs!$B$26+Inputs!$B$29,IF(Skills!C3=3,120+Inputs!$B$27+Inputs!$B$29,MAX(0,(Inputs!$B$3-100)*3)+Inputs!$B$28+Inputs!$B$29)))</f>
        <v/>
      </c>
      <c r="E2748">
        <f>INDEX(FactorTable!$B$2:$Y$301, MATCH(ROUND(MIN(300,MAX(1,D2748)),0), FactorTable!$A$2:$A$301,0), Skills!M3+1)</f>
        <v/>
      </c>
      <c r="F2748">
        <f>IF(Skills!N3=TRUE,(Skills!L3/10)*(E2748/1000),Skills!L3/10)+Skills!O3</f>
        <v/>
      </c>
      <c r="G2748">
        <f>Skills!G3*IF(Skills!H3&gt;0,Skills!I3/Skills!H3,1)</f>
        <v/>
      </c>
      <c r="H2748">
        <f>1-(1-Skills!J3/100)^Skills!K3</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2765=TRUE)*(F2765-Calc!F20)),(Inputs!$B$23+0+(IF(ArtifactsInput!$M$15,CHOOSE(ArtifactsInput!$N$15+1,25,30,35,40,45,50)/100*(Inputs!$B$11-Inputs!$B$11),0))))/100+(Inputs!$B$23+0+(IF(ArtifactsInput!$M$15,CHOOSE(ArtifactsInput!$N$15+1,25,30,35,40,45,50)/100*(Inputs!$B$11-Inputs!$B$11),0)))/100)/2</f>
        <v/>
      </c>
      <c r="M2748">
        <f>L2748*(1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IF(B2780=0,0,O2748/B2780)</f>
        <v/>
      </c>
      <c r="Q2748" t="n">
        <v>0</v>
      </c>
      <c r="R2748" t="n">
        <v>0</v>
      </c>
      <c r="S2748">
        <f>IFERROR(O2748/N2748,0)</f>
        <v/>
      </c>
      <c r="T2748">
        <f>IF(C2748,(Skills!G3*H2748*N2748*B2774)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8">
        <f>INDEX(FactorTable!$B$2:$Y$301, MATCH(ROUND(MIN(300,MAX(1,U2747)),0), FactorTable!$A$2:$A$301,0), 22)</f>
        <v/>
      </c>
      <c r="V2748">
        <f>IF(C2748,(Skills!G3*H2748*N2748*B2774)*IF(Inputs!$B$38="pvp",1,(1+(Inputs!$B$21+Skills!Q3+(IF(ArtifactsInput!$M$33,CHOOSE(ArtifactsInput!$N$33+1,30,36,42,48,54,60),0))+(IF(AND(ArtifactsInput!$M$35,Inputs!$B$4&lt;&gt;"Chapter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Skills!A4</f>
        <v/>
      </c>
      <c r="B2749">
        <f>Skills!B4</f>
        <v/>
      </c>
      <c r="C2749">
        <f>Inputs!$B$3&gt;=60</f>
        <v/>
      </c>
      <c r="D2749">
        <f>IF(Skills!C4=1,60+Inputs!$B$25+Inputs!$B$29,IF(Skills!C4=2,90+Inputs!$B$26+Inputs!$B$29,IF(Skills!C4=3,120+Inputs!$B$27+Inputs!$B$29,MAX(0,(Inputs!$B$3-100)*3)+Inputs!$B$28+Inputs!$B$29)))</f>
        <v/>
      </c>
      <c r="E2749">
        <f>INDEX(FactorTable!$B$2:$Y$301, MATCH(ROUND(MIN(300,MAX(1,D2749)),0), FactorTable!$A$2:$A$301,0), Skills!M4+1)</f>
        <v/>
      </c>
      <c r="F2749">
        <f>IF(Skills!N4=TRUE,(Skills!L4/10)*(E2749/1000),Skills!L4/10)+Skills!O4</f>
        <v/>
      </c>
      <c r="G2749">
        <f>Skills!G4*IF(Skills!H4&gt;0,Skills!I4/Skills!H4,1)</f>
        <v/>
      </c>
      <c r="H2749">
        <f>1-(1-Skills!J4/100)^Skills!K4</f>
        <v/>
      </c>
      <c r="I2749" t="inlineStr">
        <is>
          <t>1</t>
        </is>
      </c>
      <c r="J2749">
        <f>((Inputs!$B$6*(1+Inputs!$B$7/100))+(((Inputs!$B$12*(1+Inputs!$B$13/100))-(Inputs!$B$12*(1+Inputs!$B$13/100)))+0.25*(Inputs!$B$14-Inputs!$B$14))*(1+Inputs!$B$7/100))*(F2749/100)</f>
        <v/>
      </c>
      <c r="K2749">
        <f>J2749*(1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2757=TRUE,F2757,0)/100)*(1+(IF(Skills!A4="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2749)</f>
        <v/>
      </c>
      <c r="L2749">
        <f>K2749*(MIN(Inputs!$B$22+((C2765=TRUE)*(F2765-Calc!F20)),(Inputs!$B$23+0+(IF(ArtifactsInput!$M$15,CHOOSE(ArtifactsInput!$N$15+1,25,30,35,40,45,50)/100*(Inputs!$B$11-Inputs!$B$11),0))))/100+(Inputs!$B$23+0+(IF(ArtifactsInput!$M$15,CHOOSE(ArtifactsInput!$N$15+1,25,30,35,40,45,50)/100*(Inputs!$B$11-Inputs!$B$11),0)))/100)/2</f>
        <v/>
      </c>
      <c r="M2749">
        <f>L2749*(1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9">
        <f>L2749*(1-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2749*(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9">
        <f>(1-Summary!$B$11)*T2749+Summary!$B$11*V2749</f>
        <v/>
      </c>
      <c r="P2749">
        <f>IF(B2780=0,0,O2749/B2780)</f>
        <v/>
      </c>
      <c r="Q2749" t="n">
        <v>0</v>
      </c>
      <c r="R2749" t="n">
        <v>0</v>
      </c>
      <c r="S2749">
        <f>IFERROR(O2749/N2749,0)</f>
        <v/>
      </c>
      <c r="T2749">
        <f>IF(C2749,(Skills!G4*H2749*N2749*B2774)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9">
        <f>290*U2748/1000</f>
        <v/>
      </c>
      <c r="V2749">
        <f>IF(C2749,(Skills!G4*H2749*N2749*B2774)*IF(Inputs!$B$38="pvp",1,(1+(Inputs!$B$21+Skills!Q4+(IF(ArtifactsInput!$M$33,CHOOSE(ArtifactsInput!$N$33+1,30,36,42,48,54,60),0))+(IF(AND(ArtifactsInput!$M$35,Inputs!$B$4&lt;&gt;"Chapter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0">
      <c r="A2750">
        <f>Skills!A5</f>
        <v/>
      </c>
      <c r="B2750">
        <f>Skills!B5</f>
        <v/>
      </c>
      <c r="C2750">
        <f>Inputs!$B$3&gt;=60</f>
        <v/>
      </c>
      <c r="D2750">
        <f>IF(Skills!C5=1,60+Inputs!$B$25+Inputs!$B$29,IF(Skills!C5=2,90+Inputs!$B$26+Inputs!$B$29,IF(Skills!C5=3,120+Inputs!$B$27+Inputs!$B$29,MAX(0,(Inputs!$B$3-100)*3)+Inputs!$B$28+Inputs!$B$29)))</f>
        <v/>
      </c>
      <c r="E2750">
        <f>INDEX(FactorTable!$B$2:$Y$301, MATCH(ROUND(MIN(300,MAX(1,D2750)),0), FactorTable!$A$2:$A$301,0), Skills!M5+1)</f>
        <v/>
      </c>
      <c r="F2750">
        <f>IF(Skills!N5=TRUE,(Skills!L5/10)*(E2750/1000),Skills!L5/10)+Skills!O5</f>
        <v/>
      </c>
      <c r="G2750">
        <f>Skills!G5*IF(Skills!H5&gt;0,Skills!I5/Skills!H5,1)</f>
        <v/>
      </c>
      <c r="H2750">
        <f>1-(1-Skills!J5/100)^Skills!K5</f>
        <v/>
      </c>
      <c r="I2750" t="inlineStr">
        <is>
          <t>1</t>
        </is>
      </c>
      <c r="J2750" t="inlineStr"/>
      <c r="K2750" t="inlineStr"/>
      <c r="L2750" t="inlineStr"/>
      <c r="M2750" t="inlineStr"/>
      <c r="N2750" t="inlineStr"/>
      <c r="O2750">
        <f>(1-Summary!$B$11)*T2750+Summary!$B$11*V2750</f>
        <v/>
      </c>
      <c r="P2750">
        <f>IF(B2780=0,0,O2750/B2780)</f>
        <v/>
      </c>
      <c r="Q2750" t="n">
        <v>0</v>
      </c>
      <c r="R2750" t="n">
        <v>0</v>
      </c>
      <c r="S2750">
        <f>IFERROR(O2750/N2750,0)</f>
        <v/>
      </c>
      <c r="T2750" t="n">
        <v>0</v>
      </c>
      <c r="V2750" t="n">
        <v>0</v>
      </c>
    </row>
    <row r="2751">
      <c r="A2751">
        <f>Skills!A6</f>
        <v/>
      </c>
      <c r="B2751">
        <f>Skills!B6</f>
        <v/>
      </c>
      <c r="C2751">
        <f>Inputs!$B$3&gt;=63</f>
        <v/>
      </c>
      <c r="D2751">
        <f>IF(Skills!C6=1,60+Inputs!$B$25+Inputs!$B$29,IF(Skills!C6=2,90+Inputs!$B$26+Inputs!$B$29,IF(Skills!C6=3,120+Inputs!$B$27+Inputs!$B$29,MAX(0,(Inputs!$B$3-100)*3)+Inputs!$B$28+Inputs!$B$29)))</f>
        <v/>
      </c>
      <c r="E2751">
        <f>INDEX(FactorTable!$B$2:$Y$301, MATCH(ROUND(MIN(300,MAX(1,D2751)),0), FactorTable!$A$2:$A$301,0), Skills!M6+1)</f>
        <v/>
      </c>
      <c r="F2751">
        <f>IF(Skills!N6=TRUE,(Skills!L6/10)*(E2751/1000),Skills!L6/10)+Skills!O6</f>
        <v/>
      </c>
      <c r="G2751">
        <f>Skills!G6*IF(Skills!H6&gt;0,Skills!I6/Skills!H6,1)</f>
        <v/>
      </c>
      <c r="H2751">
        <f>1-(1-Skills!J6/100)^Skills!K6</f>
        <v/>
      </c>
      <c r="I2751" t="inlineStr">
        <is>
          <t>1</t>
        </is>
      </c>
      <c r="J2751">
        <f>((Inputs!$B$6*(1+Inputs!$B$7/100))+(((Inputs!$B$12*(1+Inputs!$B$13/100))-(Inputs!$B$12*(1+Inputs!$B$13/100)))+0.25*(Inputs!$B$14-Inputs!$B$14))*(1+Inputs!$B$7/100))*(F2751/100)</f>
        <v/>
      </c>
      <c r="K2751">
        <f>J2751*(1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C2765=TRUE)*(F2765-Calc!F20)),(Inputs!$B$23+0+(IF(ArtifactsInput!$M$15,CHOOSE(ArtifactsInput!$N$15+1,25,30,35,40,45,50)/100*(Inputs!$B$11-Inputs!$B$11),0))))/100+(Inputs!$B$23+0+(IF(ArtifactsInput!$M$15,CHOOSE(ArtifactsInput!$N$15+1,25,30,35,40,45,50)/100*(Inputs!$B$11-Inputs!$B$11),0)))/100)/2</f>
        <v/>
      </c>
      <c r="M2751">
        <f>L2751*(1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(1-Summary!$B$11)*T2751+Summary!$B$11*V2751</f>
        <v/>
      </c>
      <c r="P2751">
        <f>IF(B2780=0,0,O2751/B2780)</f>
        <v/>
      </c>
      <c r="Q2751">
        <f>IFERROR(1/(IF(Inputs!$B$38="pvp",15,MAX(0.1,Skills!D6-IF(Skills!E6=TRUE,4.5,0)))*(1-IF(AND(ArtifactsInput!$M$27,Inputs!$B$4="Chapter Hunt"),CHOOSE(ArtifactsInput!$N$27+1,20,24,28,32,36,40),0)/100)),0)</f>
        <v/>
      </c>
      <c r="R2751">
        <f>IF(AND(Inputs!$B$38&lt;&gt;"pvp",Inputs!$B$43&gt;0),IF(MAX(0,Inputs!$B$43-B2777)&lt;=0,0,(INT(MAX(0,Inputs!$B$43-B2777)/(IF(Inputs!$B$38="pvp",15,MAX(0.1,Skills!D6-IF(Skills!E6=TRUE,4.5,0)))*(1-IF(AND(ArtifactsInput!$M$27,Inputs!$B$4="Chapter Hunt"),CHOOSE(ArtifactsInput!$N$27+1,20,24,28,32,36,40),0)/100)))+1)),0)</f>
        <v/>
      </c>
      <c r="S2751">
        <f>IFERROR(O2751/N2751,0)</f>
        <v/>
      </c>
      <c r="T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$21+Skills!Q6+(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2">
      <c r="A2752">
        <f>Skills!A7</f>
        <v/>
      </c>
      <c r="B2752">
        <f>Skills!B7</f>
        <v/>
      </c>
      <c r="C2752">
        <f>Inputs!$B$3&gt;=100</f>
        <v/>
      </c>
      <c r="D2752">
        <f>IF(Skills!C7=1,60+Inputs!$B$25+Inputs!$B$29,IF(Skills!C7=2,90+Inputs!$B$26+Inputs!$B$29,IF(Skills!C7=3,120+Inputs!$B$27+Inputs!$B$29,MAX(0,(Inputs!$B$3-100)*3)+Inputs!$B$28+Inputs!$B$29)))</f>
        <v/>
      </c>
      <c r="E2752">
        <f>INDEX(FactorTable!$B$2:$Y$301, MATCH(ROUND(MIN(300,MAX(1,D2752)),0), FactorTable!$A$2:$A$301,0), Skills!M7+1)</f>
        <v/>
      </c>
      <c r="F2752">
        <f>IF(Skills!N7=TRUE,(Skills!L7/10)*(E2752/1000),Skills!L7/10)+Skills!O7</f>
        <v/>
      </c>
      <c r="G2752">
        <f>Skills!G7*IF(Skills!H7&gt;0,Skills!I7/Skills!H7,1)</f>
        <v/>
      </c>
      <c r="H2752">
        <f>1-(1-Skills!J7/100)^Skills!K7</f>
        <v/>
      </c>
      <c r="I2752" t="inlineStr">
        <is>
          <t>1</t>
        </is>
      </c>
      <c r="J2752">
        <f>((Inputs!$B$6*(1+Inputs!$B$7/100))+(((Inputs!$B$12*(1+Inputs!$B$13/100))-(Inputs!$B$12*(1+Inputs!$B$13/100)))+0.25*(Inputs!$B$14-Inputs!$B$14))*(1+Inputs!$B$7/100))*(F2752/100)</f>
        <v/>
      </c>
      <c r="K2752">
        <f>J2752*(1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2765=TRUE)*(F2765-Calc!F20)),(Inputs!$B$23+0+(IF(ArtifactsInput!$M$15,CHOOSE(ArtifactsInput!$N$15+1,25,30,35,40,45,50)/100*(Inputs!$B$11-Inputs!$B$11),0))))/100+(Inputs!$B$23+0+(IF(ArtifactsInput!$M$15,CHOOSE(ArtifactsInput!$N$15+1,25,30,35,40,45,50)/100*(Inputs!$B$11-Inputs!$B$11),0)))/100)/2</f>
        <v/>
      </c>
      <c r="M2752">
        <f>L2752*(1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IF(B2780=0,0,O2752/B2780)</f>
        <v/>
      </c>
      <c r="Q2752">
        <f>IFERROR(1/(IF(Inputs!$B$38="pvp",15,MAX(0.1,Skills!D7-IF(Skills!E7=TRUE,4.5,0)))*(1-IF(AND(ArtifactsInput!$M$27,Inputs!$B$4="Chapter Hunt"),CHOOSE(ArtifactsInput!$N$27+1,20,24,28,32,36,40),0)/100)),0)</f>
        <v/>
      </c>
      <c r="R2752">
        <f>IF(AND(Inputs!$B$38&lt;&gt;"pvp",Inputs!$B$43&gt;0),IF(MAX(0,Inputs!$B$43-B2777)&lt;=0,0,(INT(MAX(0,Inputs!$B$43-B2777)/(IF(Inputs!$B$38="pvp",15,MAX(0.1,Skills!D7-IF(Skills!E7=TRUE,4.5,0)))*(1-IF(AND(ArtifactsInput!$M$27,Inputs!$B$4="Chapter Hunt"),CHOOSE(ArtifactsInput!$N$27+1,20,24,28,32,36,40),0)/100)))+1)),0)</f>
        <v/>
      </c>
      <c r="S2752">
        <f>IFERROR(O2752/N2752,0)</f>
        <v/>
      </c>
      <c r="T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$21+Skills!Q7+(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Skills!A8</f>
        <v/>
      </c>
      <c r="B2753">
        <f>Skills!B8</f>
        <v/>
      </c>
      <c r="C2753">
        <f>Inputs!$B$3&gt;=110</f>
        <v/>
      </c>
      <c r="D2753">
        <f>IF(Skills!C8=1,60+Inputs!$B$25+Inputs!$B$29,IF(Skills!C8=2,90+Inputs!$B$26+Inputs!$B$29,IF(Skills!C8=3,120+Inputs!$B$27+Inputs!$B$29,MAX(0,(Inputs!$B$3-100)*3)+Inputs!$B$28+Inputs!$B$29)))</f>
        <v/>
      </c>
      <c r="E2753">
        <f>INDEX(FactorTable!$B$2:$Y$301, MATCH(ROUND(MIN(300,MAX(1,D2753)),0), FactorTable!$A$2:$A$301,0), Skills!M8+1)</f>
        <v/>
      </c>
      <c r="F2753">
        <f>IF(Skills!N8=TRUE,(Skills!L8/10)*(E2753/1000),Skills!L8/10)+Skills!O8</f>
        <v/>
      </c>
      <c r="G2753">
        <f>Skills!G8*IF(Skills!H8&gt;0,Skills!I8/Skills!H8,1)</f>
        <v/>
      </c>
      <c r="H2753">
        <f>1-(1-Skills!J8/100)^Skills!K8</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2765=TRUE)*(F2765-Calc!F20)),(Inputs!$B$23+0+(IF(ArtifactsInput!$M$15,CHOOSE(ArtifactsInput!$N$15+1,25,30,35,40,45,50)/100*(Inputs!$B$11-Inputs!$B$11),0))))/100+(Inputs!$B$23+0+(IF(ArtifactsInput!$M$15,CHOOSE(ArtifactsInput!$N$15+1,25,30,35,40,45,50)/100*(Inputs!$B$11-Inputs!$B$11),0)))/100)/2</f>
        <v/>
      </c>
      <c r="M2753">
        <f>L2753*(1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IF(B2780=0,0,O2753/B2780)</f>
        <v/>
      </c>
      <c r="Q2753">
        <f>IFERROR(1/(IF(Inputs!$B$38="pvp",15,MAX(0.1,Skills!D8-IF(Skills!E8=TRUE,4.5,0)))*(1-IF(AND(ArtifactsInput!$M$27,Inputs!$B$4="Chapter Hunt"),CHOOSE(ArtifactsInput!$N$27+1,20,24,28,32,36,40),0)/100)),0)</f>
        <v/>
      </c>
      <c r="R2753">
        <f>IF(AND(Inputs!$B$38&lt;&gt;"pvp",Inputs!$B$43&gt;0),IF(MAX(0,Inputs!$B$43-B2777)&lt;=0,0,(INT(MAX(0,Inputs!$B$43-B2777)/(IF(Inputs!$B$38="pvp",15,MAX(0.1,Skills!D8-IF(Skills!E8=TRUE,4.5,0)))*(1-IF(AND(ArtifactsInput!$M$27,Inputs!$B$4="Chapter Hunt"),CHOOSE(ArtifactsInput!$N$27+1,20,24,28,32,36,40),0)/100)))+1)),0)</f>
        <v/>
      </c>
      <c r="S2753">
        <f>IFERROR(O2753/N2753,0)</f>
        <v/>
      </c>
      <c r="T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$21+Skills!Q8+(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Skills!A9</f>
        <v/>
      </c>
      <c r="B2754">
        <f>Skills!B9</f>
        <v/>
      </c>
      <c r="C2754">
        <f>Inputs!$B$3&gt;=110</f>
        <v/>
      </c>
      <c r="D2754">
        <f>IF(Skills!C9=1,60+Inputs!$B$25+Inputs!$B$29,IF(Skills!C9=2,90+Inputs!$B$26+Inputs!$B$29,IF(Skills!C9=3,120+Inputs!$B$27+Inputs!$B$29,MAX(0,(Inputs!$B$3-100)*3)+Inputs!$B$28+Inputs!$B$29)))</f>
        <v/>
      </c>
      <c r="E2754">
        <f>INDEX(FactorTable!$B$2:$Y$301, MATCH(ROUND(MIN(300,MAX(1,D2754)),0), FactorTable!$A$2:$A$301,0), Skills!M9+1)</f>
        <v/>
      </c>
      <c r="F2754">
        <f>IF(Skills!N9=TRUE,(Skills!L9/10)*(E2754/1000),Skills!L9/10)+Skills!O9</f>
        <v/>
      </c>
      <c r="G2754">
        <f>Skills!G9*IF(Skills!H9&gt;0,Skills!I9/Skills!H9,1)</f>
        <v/>
      </c>
      <c r="H2754">
        <f>1-(1-Skills!J9/100)^Skills!K9</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2765=TRUE)*(F2765-Calc!F20)),(Inputs!$B$23+0+(IF(ArtifactsInput!$M$15,CHOOSE(ArtifactsInput!$N$15+1,25,30,35,40,45,50)/100*(Inputs!$B$11-Inputs!$B$11),0))))/100+(Inputs!$B$23+0+(IF(ArtifactsInput!$M$15,CHOOSE(ArtifactsInput!$N$15+1,25,30,35,40,45,50)/100*(Inputs!$B$11-Inputs!$B$11),0)))/100)/2</f>
        <v/>
      </c>
      <c r="M2754">
        <f>L2754*(1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IF(B2780=0,0,O2754/B2780)</f>
        <v/>
      </c>
      <c r="Q2754">
        <f>IFERROR(1/(IF(Inputs!$B$38="pvp",15,MAX(0.1,Skills!D9-IF(Skills!E9=TRUE,4.5,0)))*(1-IF(AND(ArtifactsInput!$M$27,Inputs!$B$4="Chapter Hunt"),CHOOSE(ArtifactsInput!$N$27+1,20,24,28,32,36,40),0)/100)),0)</f>
        <v/>
      </c>
      <c r="R2754">
        <f>IF(AND(Inputs!$B$38&lt;&gt;"pvp",Inputs!$B$43&gt;0),IF(MAX(0,Inputs!$B$43-B2777)&lt;=0,0,(INT(MAX(0,Inputs!$B$43-B2777)/(IF(Inputs!$B$38="pvp",15,MAX(0.1,Skills!D9-IF(Skills!E9=TRUE,4.5,0)))*(1-IF(AND(ArtifactsInput!$M$27,Inputs!$B$4="Chapter Hunt"),CHOOSE(ArtifactsInput!$N$27+1,20,24,28,32,36,40),0)/100)))+1)),0)</f>
        <v/>
      </c>
      <c r="S2754">
        <f>IFERROR(O2754/N2754,0)</f>
        <v/>
      </c>
      <c r="T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$21+Skills!Q9+(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Skills!A10</f>
        <v/>
      </c>
      <c r="B2755">
        <f>Skills!B10</f>
        <v/>
      </c>
      <c r="C2755">
        <f>Inputs!$B$3&gt;=103</f>
        <v/>
      </c>
      <c r="D2755">
        <f>IF(Skills!C10=1,60+Inputs!$B$25+Inputs!$B$29,IF(Skills!C10=2,90+Inputs!$B$26+Inputs!$B$29,IF(Skills!C10=3,120+Inputs!$B$27+Inputs!$B$29,MAX(0,(Inputs!$B$3-100)*3)+Inputs!$B$28+Inputs!$B$29)))</f>
        <v/>
      </c>
      <c r="E2755">
        <f>INDEX(FactorTable!$B$2:$Y$301, MATCH(ROUND(MIN(300,MAX(1,D2755)),0), FactorTable!$A$2:$A$301,0), Skills!M10+1)</f>
        <v/>
      </c>
      <c r="F2755">
        <f>IF(Skills!N10=TRUE,(Skills!L10/10)*(E2755/1000),Skills!L10/10)+Skills!O10</f>
        <v/>
      </c>
      <c r="G2755">
        <f>Skills!G10*IF(Skills!H10&gt;0,Skills!I10/Skills!H10,1)</f>
        <v/>
      </c>
      <c r="H2755">
        <f>1-(1-Skills!J10/100)^Skills!K10</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2765=TRUE)*(F2765-Calc!F20)),(Inputs!$B$23+0+(IF(ArtifactsInput!$M$15,CHOOSE(ArtifactsInput!$N$15+1,25,30,35,40,45,50)/100*(Inputs!$B$11-Inputs!$B$11),0))))/100+(Inputs!$B$23+0+(IF(ArtifactsInput!$M$15,CHOOSE(ArtifactsInput!$N$15+1,25,30,35,40,45,50)/100*(Inputs!$B$11-Inputs!$B$11),0)))/100)/2</f>
        <v/>
      </c>
      <c r="M2755">
        <f>L2755*(1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IF(B2780=0,0,O2755/B2780)</f>
        <v/>
      </c>
      <c r="Q2755">
        <f>IFERROR(1/(IF(Inputs!$B$38="pvp",15,MAX(0.1,Skills!D10-IF(Skills!E10=TRUE,4.5,0)))*(1-IF(AND(ArtifactsInput!$M$27,Inputs!$B$4="Chapter Hunt"),CHOOSE(ArtifactsInput!$N$27+1,20,24,28,32,36,40),0)/100)),0)</f>
        <v/>
      </c>
      <c r="R2755">
        <f>IF(AND(Inputs!$B$38&lt;&gt;"pvp",Inputs!$B$43&gt;0),IF(MAX(0,Inputs!$B$43-B2777)&lt;=0,0,(INT(MAX(0,Inputs!$B$43-B2777)/(IF(Inputs!$B$38="pvp",15,MAX(0.1,Skills!D10-IF(Skills!E10=TRUE,4.5,0)))*(1-IF(AND(ArtifactsInput!$M$27,Inputs!$B$4="Chapter Hunt"),CHOOSE(ArtifactsInput!$N$27+1,20,24,28,32,36,40),0)/100)))+1)),0)</f>
        <v/>
      </c>
      <c r="S2755">
        <f>IFERROR(O2755/N2755,0)</f>
        <v/>
      </c>
      <c r="T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$21+Skills!Q10+(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Skills!A11</f>
        <v/>
      </c>
      <c r="B2756">
        <f>Skills!B11</f>
        <v/>
      </c>
      <c r="C2756">
        <f>Inputs!$B$3&gt;=113</f>
        <v/>
      </c>
      <c r="D2756">
        <f>IF(Skills!C11=1,60+Inputs!$B$25+Inputs!$B$29,IF(Skills!C11=2,90+Inputs!$B$26+Inputs!$B$29,IF(Skills!C11=3,120+Inputs!$B$27+Inputs!$B$29,MAX(0,(Inputs!$B$3-100)*3)+Inputs!$B$28+Inputs!$B$29)))</f>
        <v/>
      </c>
      <c r="E2756">
        <f>INDEX(FactorTable!$B$2:$Y$301, MATCH(ROUND(MIN(300,MAX(1,D2756)),0), FactorTable!$A$2:$A$301,0), Skills!M11+1)</f>
        <v/>
      </c>
      <c r="F2756">
        <f>IF(Skills!N11=TRUE,(Skills!L11/10)*(E2756/1000),Skills!L11/10)+Skills!O11</f>
        <v/>
      </c>
      <c r="G2756">
        <f>Skills!G11*IF(Skills!H11&gt;0,Skills!I11/Skills!H11,1)</f>
        <v/>
      </c>
      <c r="H2756">
        <f>1-(1-Skills!J11/100)^Skills!K11</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2765=TRUE)*(F2765-Calc!F20)),(Inputs!$B$23+0+(IF(ArtifactsInput!$M$15,CHOOSE(ArtifactsInput!$N$15+1,25,30,35,40,45,50)/100*(Inputs!$B$11-Inputs!$B$11),0))))/100+(Inputs!$B$23+0+(IF(ArtifactsInput!$M$15,CHOOSE(ArtifactsInput!$N$15+1,25,30,35,40,45,50)/100*(Inputs!$B$11-Inputs!$B$11),0)))/100)/2</f>
        <v/>
      </c>
      <c r="M2756">
        <f>L2756*(1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IF(B2780=0,0,O2756/B2780)</f>
        <v/>
      </c>
      <c r="Q2756">
        <f>IFERROR(1/(IF(Inputs!$B$38="pvp",15,MAX(0.1,Skills!D11-IF(Skills!E11=TRUE,4.5,0)))*(1-IF(AND(ArtifactsInput!$M$27,Inputs!$B$4="Chapter Hunt"),CHOOSE(ArtifactsInput!$N$27+1,20,24,28,32,36,40),0)/100)),0)</f>
        <v/>
      </c>
      <c r="R2756">
        <f>IF(AND(Inputs!$B$38&lt;&gt;"pvp",Inputs!$B$43&gt;0),IF(MAX(0,Inputs!$B$43-B2777)&lt;=0,0,(INT(MAX(0,Inputs!$B$43-B2777)/(IF(Inputs!$B$38="pvp",15,MAX(0.1,Skills!D11-IF(Skills!E11=TRUE,4.5,0)))*(1-IF(AND(ArtifactsInput!$M$27,Inputs!$B$4="Chapter Hunt"),CHOOSE(ArtifactsInput!$N$27+1,20,24,28,32,36,40),0)/100)))+1)),0)</f>
        <v/>
      </c>
      <c r="S2756">
        <f>IFERROR(O2756/N2756,0)</f>
        <v/>
      </c>
      <c r="T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$21+Skills!Q11+(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Skills!A12</f>
        <v/>
      </c>
      <c r="B2757">
        <f>Skills!B12</f>
        <v/>
      </c>
      <c r="C2757">
        <f>Inputs!$B$3&gt;=100</f>
        <v/>
      </c>
      <c r="D2757">
        <f>IF(Skills!C12=1,60+Inputs!$B$25+Inputs!$B$29,IF(Skills!C12=2,90+Inputs!$B$26+Inputs!$B$29,IF(Skills!C12=3,120+Inputs!$B$27+Inputs!$B$29,MAX(0,(Inputs!$B$3-100)*3)+Inputs!$B$28+Inputs!$B$29)))</f>
        <v/>
      </c>
      <c r="E2757">
        <f>INDEX(FactorTable!$B$2:$Y$301, MATCH(ROUND(MIN(300,MAX(1,D2757)),0), FactorTable!$A$2:$A$301,0), Skills!M12+1)</f>
        <v/>
      </c>
      <c r="F2757">
        <f>IF(Skills!N12=TRUE,(Skills!L12/10)*(E2757/1000),Skills!L12/10)+Skills!O12</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Skills!A13</f>
        <v/>
      </c>
      <c r="B2758">
        <f>Skills!B13</f>
        <v/>
      </c>
      <c r="C2758">
        <f>Inputs!$B$3&gt;=66</f>
        <v/>
      </c>
      <c r="D2758">
        <f>IF(Skills!C13=1,60+Inputs!$B$25+Inputs!$B$29,IF(Skills!C13=2,90+Inputs!$B$26+Inputs!$B$29,IF(Skills!C13=3,120+Inputs!$B$27+Inputs!$B$29,MAX(0,(Inputs!$B$3-100)*3)+Inputs!$B$28+Inputs!$B$29)))</f>
        <v/>
      </c>
      <c r="E2758">
        <f>INDEX(FactorTable!$B$2:$Y$301, MATCH(ROUND(MIN(300,MAX(1,D2758)),0), FactorTable!$A$2:$A$301,0), Skills!M13+1)</f>
        <v/>
      </c>
      <c r="F2758">
        <f>IF(Skills!N13=TRUE,(Skills!L13/10)*(E2758/1000),Skills!L13/10)+Skills!O13</f>
        <v/>
      </c>
      <c r="G2758">
        <f>Skills!G13*IF(Skills!H13&gt;0,Skills!I13/Skills!H13,1)</f>
        <v/>
      </c>
      <c r="H2758">
        <f>1-(1-Skills!J13/100)^Skills!K13</f>
        <v/>
      </c>
      <c r="I2758" t="inlineStr">
        <is>
          <t>1</t>
        </is>
      </c>
      <c r="J2758" t="inlineStr"/>
      <c r="K2758" t="inlineStr"/>
      <c r="L2758" t="inlineStr"/>
      <c r="M2758" t="inlineStr"/>
      <c r="N2758" t="inlineStr"/>
      <c r="O2758">
        <f>(1-Summary!$B$11)*T2758+Summary!$B$11*V2758</f>
        <v/>
      </c>
      <c r="P2758">
        <f>IF(B2780=0,0,O2758/B2780)</f>
        <v/>
      </c>
      <c r="Q2758" t="n">
        <v>0</v>
      </c>
      <c r="R2758" t="n">
        <v>0</v>
      </c>
      <c r="S2758">
        <f>IFERROR(O2758/N2758,0)</f>
        <v/>
      </c>
      <c r="T2758" t="n">
        <v>0</v>
      </c>
      <c r="V2758" t="n">
        <v>0</v>
      </c>
    </row>
    <row r="2759">
      <c r="A2759">
        <f>Skills!A14</f>
        <v/>
      </c>
      <c r="B2759">
        <f>Skills!B14</f>
        <v/>
      </c>
      <c r="C2759">
        <f>Inputs!$B$3&gt;=107</f>
        <v/>
      </c>
      <c r="D2759">
        <f>IF(Skills!C14=1,60+Inputs!$B$25+Inputs!$B$29,IF(Skills!C14=2,90+Inputs!$B$26+Inputs!$B$29,IF(Skills!C14=3,120+Inputs!$B$27+Inputs!$B$29,MAX(0,(Inputs!$B$3-100)*3)+Inputs!$B$28+Inputs!$B$29)))</f>
        <v/>
      </c>
      <c r="E2759">
        <f>INDEX(FactorTable!$B$2:$Y$301, MATCH(ROUND(MIN(300,MAX(1,D2759)),0), FactorTable!$A$2:$A$301,0), Skills!M14+1)</f>
        <v/>
      </c>
      <c r="F2759">
        <f>IF(Skills!N14=TRUE,(Skills!L14/10)*(E2759/1000),Skills!L14/10)+Skills!O14</f>
        <v/>
      </c>
      <c r="G2759">
        <f>Skills!G14*IF(Skills!H14&gt;0,Skills!I14/Skills!H14,1)</f>
        <v/>
      </c>
      <c r="H2759">
        <f>1-(1-Skills!J14/100)^Skills!K14</f>
        <v/>
      </c>
      <c r="I2759" t="inlineStr">
        <is>
          <t>1</t>
        </is>
      </c>
      <c r="J2759" t="inlineStr"/>
      <c r="K2759" t="inlineStr"/>
      <c r="L2759" t="inlineStr"/>
      <c r="M2759" t="inlineStr"/>
      <c r="N2759" t="inlineStr"/>
      <c r="O2759">
        <f>(1-Summary!$B$11)*T2759+Summary!$B$11*V2759</f>
        <v/>
      </c>
      <c r="P2759">
        <f>IF(B2780=0,0,O2759/B2780)</f>
        <v/>
      </c>
      <c r="Q2759" t="n">
        <v>0</v>
      </c>
      <c r="R2759" t="n">
        <v>0</v>
      </c>
      <c r="S2759">
        <f>IFERROR(O2759/N2759,0)</f>
        <v/>
      </c>
      <c r="T2759" t="n">
        <v>0</v>
      </c>
      <c r="V2759" t="n">
        <v>0</v>
      </c>
    </row>
    <row r="2760">
      <c r="A2760">
        <f>Skills!A15</f>
        <v/>
      </c>
      <c r="B2760">
        <f>Skills!B15</f>
        <v/>
      </c>
      <c r="C2760">
        <f>Inputs!$B$3&gt;=115</f>
        <v/>
      </c>
      <c r="D2760">
        <f>IF(Skills!C15=1,60+Inputs!$B$25+Inputs!$B$29,IF(Skills!C15=2,90+Inputs!$B$26+Inputs!$B$29,IF(Skills!C15=3,120+Inputs!$B$27+Inputs!$B$29,MAX(0,(Inputs!$B$3-100)*3)+Inputs!$B$28+Inputs!$B$29)))</f>
        <v/>
      </c>
      <c r="E2760">
        <f>INDEX(FactorTable!$B$2:$Y$301, MATCH(ROUND(MIN(300,MAX(1,D2760)),0), FactorTable!$A$2:$A$301,0), Skills!M15+1)</f>
        <v/>
      </c>
      <c r="F2760">
        <f>IF(Skills!N15=TRUE,(Skills!L15/10)*(E2760/1000),Skills!L15/10)+Skills!O15</f>
        <v/>
      </c>
      <c r="G2760">
        <f>Skills!G15*IF(Skills!H15&gt;0,Skills!I15/Skills!H15,1)</f>
        <v/>
      </c>
      <c r="H2760">
        <f>1-(1-Skills!J15/100)^Skills!K15</f>
        <v/>
      </c>
      <c r="I2760" t="inlineStr">
        <is>
          <t>1</t>
        </is>
      </c>
      <c r="J2760" t="inlineStr"/>
      <c r="K2760" t="inlineStr"/>
      <c r="L2760" t="inlineStr"/>
      <c r="M2760" t="inlineStr"/>
      <c r="N2760" t="inlineStr"/>
      <c r="O2760">
        <f>(1-Summary!$B$11)*T2760+Summary!$B$11*V2760</f>
        <v/>
      </c>
      <c r="P2760">
        <f>IF(B2780=0,0,O2760/B2780)</f>
        <v/>
      </c>
      <c r="Q2760" t="n">
        <v>0</v>
      </c>
      <c r="R2760" t="n">
        <v>0</v>
      </c>
      <c r="S2760">
        <f>IFERROR(O2760/N2760,0)</f>
        <v/>
      </c>
      <c r="T2760" t="n">
        <v>0</v>
      </c>
      <c r="V2760" t="n">
        <v>0</v>
      </c>
    </row>
    <row r="2761">
      <c r="A2761">
        <f>Skills!A16</f>
        <v/>
      </c>
      <c r="B2761">
        <f>Skills!B16</f>
        <v/>
      </c>
      <c r="C2761">
        <f>Inputs!$B$3&gt;=15</f>
        <v/>
      </c>
      <c r="D2761">
        <f>IF(Skills!C16=1,60+Inputs!$B$25+Inputs!$B$29,IF(Skills!C16=2,90+Inputs!$B$26+Inputs!$B$29,IF(Skills!C16=3,120+Inputs!$B$27+Inputs!$B$29,MAX(0,(Inputs!$B$3-100)*3)+Inputs!$B$28+Inputs!$B$29)))</f>
        <v/>
      </c>
      <c r="E2761">
        <f>INDEX(FactorTable!$B$2:$Y$301, MATCH(ROUND(MIN(300,MAX(1,D2761)),0), FactorTable!$A$2:$A$301,0), Skills!M16+1)</f>
        <v/>
      </c>
      <c r="F2761">
        <f>IF(Skills!N16=TRUE,(Skills!L16/10)*(E2761/1000),Skills!L16/10)+Skills!O16</f>
        <v/>
      </c>
      <c r="G2761">
        <f>Skills!G16*IF(Skills!H16&gt;0,Skills!I16/Skills!H16,1)</f>
        <v/>
      </c>
      <c r="H2761">
        <f>1-(1-Skills!J16/100)^Skills!K16</f>
        <v/>
      </c>
      <c r="I2761" t="inlineStr">
        <is>
          <t>1</t>
        </is>
      </c>
      <c r="J2761" t="inlineStr"/>
      <c r="K2761" t="inlineStr"/>
      <c r="L2761" t="inlineStr"/>
      <c r="M2761" t="inlineStr"/>
      <c r="N2761" t="inlineStr"/>
      <c r="O2761">
        <f>(1-Summary!$B$11)*T2761+Summary!$B$11*V2761</f>
        <v/>
      </c>
      <c r="P2761">
        <f>IF(B2780=0,0,O2761/B2780)</f>
        <v/>
      </c>
      <c r="Q2761" t="n">
        <v>0</v>
      </c>
      <c r="R2761" t="n">
        <v>0</v>
      </c>
      <c r="S2761">
        <f>IFERROR(O2761/N2761,0)</f>
        <v/>
      </c>
      <c r="T2761" t="n">
        <v>0</v>
      </c>
      <c r="V2761" t="n">
        <v>0</v>
      </c>
    </row>
    <row r="2762">
      <c r="A2762">
        <f>Skills!A17</f>
        <v/>
      </c>
      <c r="B2762">
        <f>Skills!B17</f>
        <v/>
      </c>
      <c r="C2762">
        <f>Inputs!$B$3&gt;=10</f>
        <v/>
      </c>
      <c r="D2762">
        <f>IF(Skills!C17=1,60+Inputs!$B$25+Inputs!$B$29,IF(Skills!C17=2,90+Inputs!$B$26+Inputs!$B$29,IF(Skills!C17=3,120+Inputs!$B$27+Inputs!$B$29,MAX(0,(Inputs!$B$3-100)*3)+Inputs!$B$28+Inputs!$B$29)))</f>
        <v/>
      </c>
      <c r="E2762">
        <f>INDEX(FactorTable!$B$2:$Y$301, MATCH(ROUND(MIN(300,MAX(1,D2762)),0), FactorTable!$A$2:$A$301,0), Skills!M17+1)</f>
        <v/>
      </c>
      <c r="F2762">
        <f>IF(Skills!N17=TRUE,(Skills!L17/10)*(E2762/1000),Skills!L17/10)+Skills!O17</f>
        <v/>
      </c>
      <c r="G2762">
        <f>Skills!G17*IF(Skills!H17&gt;0,Skills!I17/Skills!H17,1)</f>
        <v/>
      </c>
      <c r="H2762">
        <f>1-(1-Skills!J17/100)^Skills!K17</f>
        <v/>
      </c>
      <c r="I2762" t="inlineStr">
        <is>
          <t>1</t>
        </is>
      </c>
      <c r="J2762" t="inlineStr"/>
      <c r="K2762" t="inlineStr"/>
      <c r="L2762" t="inlineStr"/>
      <c r="M2762" t="inlineStr"/>
      <c r="N2762" t="inlineStr"/>
      <c r="O2762">
        <f>(1-Summary!$B$11)*T2762+Summary!$B$11*V2762</f>
        <v/>
      </c>
      <c r="P2762">
        <f>IF(B2780=0,0,O2762/B2780)</f>
        <v/>
      </c>
      <c r="Q2762" t="n">
        <v>0</v>
      </c>
      <c r="R2762" t="n">
        <v>0</v>
      </c>
      <c r="S2762">
        <f>IFERROR(O2762/N2762,0)</f>
        <v/>
      </c>
      <c r="T2762" t="n">
        <v>0</v>
      </c>
      <c r="V2762" t="n">
        <v>0</v>
      </c>
    </row>
    <row r="2763">
      <c r="A2763">
        <f>Skills!A18</f>
        <v/>
      </c>
      <c r="B2763">
        <f>Skills!B18</f>
        <v/>
      </c>
      <c r="C2763">
        <f>Inputs!$B$3&gt;=33</f>
        <v/>
      </c>
      <c r="D2763">
        <f>IF(Skills!C18=1,60+Inputs!$B$25+Inputs!$B$29,IF(Skills!C18=2,90+Inputs!$B$26+Inputs!$B$29,IF(Skills!C18=3,120+Inputs!$B$27+Inputs!$B$29,MAX(0,(Inputs!$B$3-100)*3)+Inputs!$B$28+Inputs!$B$29)))</f>
        <v/>
      </c>
      <c r="E2763">
        <f>INDEX(FactorTable!$B$2:$Y$301, MATCH(ROUND(MIN(300,MAX(1,D2763)),0), FactorTable!$A$2:$A$301,0), Skills!M18+1)</f>
        <v/>
      </c>
      <c r="F2763">
        <f>IF(Skills!N18=TRUE,(Skills!L18/10)*(E2763/1000),Skills!L18/10)+Skills!O18</f>
        <v/>
      </c>
      <c r="G2763">
        <f>Skills!G18*IF(Skills!H18&gt;0,Skills!I18/Skills!H18,1)</f>
        <v/>
      </c>
      <c r="H2763">
        <f>1-(1-Skills!J18/100)^Skills!K18</f>
        <v/>
      </c>
      <c r="I2763" t="inlineStr">
        <is>
          <t>1</t>
        </is>
      </c>
      <c r="J2763" t="inlineStr"/>
      <c r="K2763" t="inlineStr"/>
      <c r="L2763" t="inlineStr"/>
      <c r="M2763" t="inlineStr"/>
      <c r="N2763" t="inlineStr"/>
      <c r="O2763">
        <f>(1-Summary!$B$11)*T2763+Summary!$B$11*V2763</f>
        <v/>
      </c>
      <c r="P2763">
        <f>IF(B2780=0,0,O2763/B2780)</f>
        <v/>
      </c>
      <c r="Q2763" t="n">
        <v>0</v>
      </c>
      <c r="R2763" t="n">
        <v>0</v>
      </c>
      <c r="S2763">
        <f>IFERROR(O2763/N2763,0)</f>
        <v/>
      </c>
      <c r="T2763" t="n">
        <v>0</v>
      </c>
      <c r="V2763" t="n">
        <v>0</v>
      </c>
    </row>
    <row r="2764">
      <c r="A2764">
        <f>Skills!A19</f>
        <v/>
      </c>
      <c r="B2764">
        <f>Skills!B19</f>
        <v/>
      </c>
      <c r="C2764">
        <f>Inputs!$B$3&gt;=40</f>
        <v/>
      </c>
      <c r="D2764">
        <f>IF(Skills!C19=1,60+Inputs!$B$25+Inputs!$B$29,IF(Skills!C19=2,90+Inputs!$B$26+Inputs!$B$29,IF(Skills!C19=3,120+Inputs!$B$27+Inputs!$B$29,MAX(0,(Inputs!$B$3-100)*3)+Inputs!$B$28+Inputs!$B$29)))</f>
        <v/>
      </c>
      <c r="E2764">
        <f>INDEX(FactorTable!$B$2:$Y$301, MATCH(ROUND(MIN(300,MAX(1,D2764)),0), FactorTable!$A$2:$A$301,0), Skills!M19+1)</f>
        <v/>
      </c>
      <c r="F2764">
        <f>IF(Skills!N19=TRUE,(Skills!L19/10)*(E2764/1000),Skills!L19/10)+Skills!O19</f>
        <v/>
      </c>
      <c r="G2764">
        <f>Skills!G19*IF(Skills!H19&gt;0,Skills!I19/Skills!H19,1)</f>
        <v/>
      </c>
      <c r="H2764">
        <f>1-(1-Skills!J19/100)^Skills!K19</f>
        <v/>
      </c>
      <c r="I2764" t="inlineStr">
        <is>
          <t>1</t>
        </is>
      </c>
      <c r="J2764" t="inlineStr"/>
      <c r="K2764" t="inlineStr"/>
      <c r="L2764" t="inlineStr"/>
      <c r="M2764" t="inlineStr"/>
      <c r="N2764" t="inlineStr"/>
      <c r="O2764">
        <f>(1-Summary!$B$11)*T2764+Summary!$B$11*V2764</f>
        <v/>
      </c>
      <c r="P2764">
        <f>IF(B2780=0,0,O2764/B2780)</f>
        <v/>
      </c>
      <c r="Q2764" t="n">
        <v>0</v>
      </c>
      <c r="R2764" t="n">
        <v>0</v>
      </c>
      <c r="S2764">
        <f>IFERROR(O2764/N2764,0)</f>
        <v/>
      </c>
      <c r="T2764" t="n">
        <v>0</v>
      </c>
      <c r="V2764" t="n">
        <v>0</v>
      </c>
    </row>
    <row r="2765">
      <c r="A2765">
        <f>Skills!A20</f>
        <v/>
      </c>
      <c r="B2765">
        <f>Skills!B20</f>
        <v/>
      </c>
      <c r="C2765">
        <f>Inputs!$B$3&gt;=43</f>
        <v/>
      </c>
      <c r="D2765">
        <f>IF(Skills!C20=1,60+Inputs!$B$25+Inputs!$B$29,IF(Skills!C20=2,90+Inputs!$B$26+Inputs!$B$29,IF(Skills!C20=3,120+Inputs!$B$27+Inputs!$B$29,MAX(0,(Inputs!$B$3-100)*3)+Inputs!$B$28+Inputs!$B$29)))</f>
        <v/>
      </c>
      <c r="E2765">
        <f>INDEX(FactorTable!$B$2:$Y$301, MATCH(ROUND(MIN(300,MAX(1,D2765)),0), FactorTable!$A$2:$A$301,0), Skills!M20+1)</f>
        <v/>
      </c>
      <c r="F2765">
        <f>IF(Skills!N20=TRUE,(Skills!L20/10)*(E2765/1000),Skills!L20/10)+Skills!O20</f>
        <v/>
      </c>
      <c r="G2765">
        <f>Skills!G20*IF(Skills!H20&gt;0,Skills!I20/Skills!H20,1)</f>
        <v/>
      </c>
      <c r="H2765">
        <f>1-(1-Skills!J20/100)^Skills!K20</f>
        <v/>
      </c>
      <c r="I2765" t="inlineStr">
        <is>
          <t>1</t>
        </is>
      </c>
      <c r="J2765" t="inlineStr"/>
      <c r="K2765" t="inlineStr"/>
      <c r="L2765" t="inlineStr"/>
      <c r="M2765" t="inlineStr"/>
      <c r="N2765" t="inlineStr"/>
      <c r="O2765">
        <f>(1-Summary!$B$11)*T2765+Summary!$B$11*V2765</f>
        <v/>
      </c>
      <c r="P2765">
        <f>IF(B2780=0,0,O2765/B2780)</f>
        <v/>
      </c>
      <c r="Q2765" t="n">
        <v>0</v>
      </c>
      <c r="R2765" t="n">
        <v>0</v>
      </c>
      <c r="S2765">
        <f>IFERROR(O2765/N2765,0)</f>
        <v/>
      </c>
      <c r="T2765" t="n">
        <v>0</v>
      </c>
      <c r="V2765" t="n">
        <v>0</v>
      </c>
    </row>
    <row r="2766">
      <c r="A2766">
        <f>Skills!A21</f>
        <v/>
      </c>
      <c r="B2766">
        <f>Skills!B21</f>
        <v/>
      </c>
      <c r="C2766">
        <f>Inputs!$B$3&gt;=38</f>
        <v/>
      </c>
      <c r="D2766">
        <f>IF(Skills!C21=1,60+Inputs!$B$25+Inputs!$B$29,IF(Skills!C21=2,90+Inputs!$B$26+Inputs!$B$29,IF(Skills!C21=3,120+Inputs!$B$27+Inputs!$B$29,MAX(0,(Inputs!$B$3-100)*3)+Inputs!$B$28+Inputs!$B$29)))</f>
        <v/>
      </c>
      <c r="E2766">
        <f>INDEX(FactorTable!$B$2:$Y$301, MATCH(ROUND(MIN(300,MAX(1,D2766)),0), FactorTable!$A$2:$A$301,0), Skills!M21+1)</f>
        <v/>
      </c>
      <c r="F2766">
        <f>IF(Skills!N21=TRUE,(Skills!L21/10)*(E2766/1000),Skills!L21/10)+Skills!O21</f>
        <v/>
      </c>
      <c r="G2766">
        <f>Skills!G21*IF(Skills!H21&gt;0,Skills!I21/Skills!H21,1)</f>
        <v/>
      </c>
      <c r="H2766">
        <f>1-(1-Skills!J21/100)^Skills!K21</f>
        <v/>
      </c>
      <c r="I2766" t="inlineStr">
        <is>
          <t>1</t>
        </is>
      </c>
      <c r="J2766" t="inlineStr"/>
      <c r="K2766" t="inlineStr"/>
      <c r="L2766" t="inlineStr"/>
      <c r="M2766" t="inlineStr"/>
      <c r="N2766" t="inlineStr"/>
      <c r="O2766">
        <f>(1-Summary!$B$11)*T2766+Summary!$B$11*V2766</f>
        <v/>
      </c>
      <c r="P2766">
        <f>IF(B2780=0,0,O2766/B2780)</f>
        <v/>
      </c>
      <c r="Q2766" t="n">
        <v>0</v>
      </c>
      <c r="R2766" t="n">
        <v>0</v>
      </c>
      <c r="S2766">
        <f>IFERROR(O2766/N2766,0)</f>
        <v/>
      </c>
      <c r="T2766" t="n">
        <v>0</v>
      </c>
      <c r="V2766" t="n">
        <v>0</v>
      </c>
    </row>
    <row r="2767">
      <c r="A2767">
        <f>Skills!A22</f>
        <v/>
      </c>
      <c r="B2767">
        <f>Skills!B22</f>
        <v/>
      </c>
      <c r="C2767">
        <f>Inputs!$B$3&gt;=75</f>
        <v/>
      </c>
      <c r="D2767">
        <f>IF(Skills!C22=1,60+Inputs!$B$25+Inputs!$B$29,IF(Skills!C22=2,90+Inputs!$B$26+Inputs!$B$29,IF(Skills!C22=3,120+Inputs!$B$27+Inputs!$B$29,MAX(0,(Inputs!$B$3-100)*3)+Inputs!$B$28+Inputs!$B$29)))</f>
        <v/>
      </c>
      <c r="E2767">
        <f>INDEX(FactorTable!$B$2:$Y$301, MATCH(ROUND(MIN(300,MAX(1,D2767)),0), FactorTable!$A$2:$A$301,0), Skills!M22+1)</f>
        <v/>
      </c>
      <c r="F2767">
        <f>IF(Skills!N22=TRUE,(Skills!L22/10)*(E2767/1000),Skills!L22/10)+Skills!O22</f>
        <v/>
      </c>
      <c r="G2767">
        <f>Skills!G22*IF(Skills!H22&gt;0,Skills!I22/Skills!H22,1)</f>
        <v/>
      </c>
      <c r="H2767">
        <f>1-(1-Skills!J22/100)^Skills!K22</f>
        <v/>
      </c>
      <c r="I2767" t="inlineStr">
        <is>
          <t>1</t>
        </is>
      </c>
      <c r="J2767" t="inlineStr"/>
      <c r="K2767" t="inlineStr"/>
      <c r="L2767" t="inlineStr"/>
      <c r="M2767" t="inlineStr"/>
      <c r="N2767" t="inlineStr"/>
      <c r="O2767">
        <f>(1-Summary!$B$11)*T2767+Summary!$B$11*V2767</f>
        <v/>
      </c>
      <c r="P2767">
        <f>IF(B2780=0,0,O2767/B2780)</f>
        <v/>
      </c>
      <c r="Q2767" t="n">
        <v>0</v>
      </c>
      <c r="R2767" t="n">
        <v>0</v>
      </c>
      <c r="S2767">
        <f>IFERROR(O2767/N2767,0)</f>
        <v/>
      </c>
      <c r="T2767" t="n">
        <v>0</v>
      </c>
      <c r="V2767" t="n">
        <v>0</v>
      </c>
    </row>
    <row r="2769">
      <c r="A2769" t="inlineStr">
        <is>
          <t>Attack% Bucket Multiplier</t>
        </is>
      </c>
      <c r="B2769">
        <f>(1+(((C2758=TRUE)*F2758)+((C2764=TRUE)*(F2764-Calc!F19))+(IF(ArtifactsInput!$M$21,CHOOSE(ArtifactsInput!$N$21+1,25,30,35,40,45,50)*(IF(OR(Inputs!$B$4="Chapter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0">
      <c r="A2770" t="inlineStr">
        <is>
          <t>Global Crit Rate Bonus %</t>
        </is>
      </c>
      <c r="B2770" t="n">
        <v>0</v>
      </c>
    </row>
    <row r="2771">
      <c r="A2771" t="inlineStr">
        <is>
          <t>Attack Speed Buff Bonus % (unused)</t>
        </is>
      </c>
      <c r="B2771" t="n">
        <v>0</v>
      </c>
    </row>
    <row r="2772">
      <c r="A2772" t="inlineStr">
        <is>
          <t>Actions Per Second</t>
        </is>
      </c>
      <c r="B2772">
        <f>1+MIN(150,150*(1-(1-(Inputs!$B$11+((C2762=TRUE)*(F2762-Calc!F17))+((C2763=TRUE)*(F2763-Calc!F18)))/150)*(1-B2771/150)))/100</f>
        <v/>
      </c>
    </row>
    <row r="2773">
      <c r="A2773" t="inlineStr">
        <is>
          <t>Skill + Buff Cast Rate</t>
        </is>
      </c>
      <c r="B2773">
        <f>IF(AND(Inputs!$B$38&lt;&gt;"pvp",Inputs!$B$43&gt;0),SUMPRODUCT((Skills!E2:E22=TRUE)*(C2747:C2767=TRUE)*R2747:R2767*Skills!F2:F22)/Inputs!$B$43,SUMPRODUCT((Skills!E2:E22=TRUE)*(C2747:C2767=TRUE)*Q2747:Q2767*Skills!F2:F22))</f>
        <v/>
      </c>
    </row>
    <row r="2774">
      <c r="A2774" t="inlineStr">
        <is>
          <t>Hook Bomber Casts Per Second</t>
        </is>
      </c>
      <c r="B2774">
        <f>MAX(0,B2772-B2773)</f>
        <v/>
      </c>
    </row>
    <row r="2775">
      <c r="A2775" t="inlineStr">
        <is>
          <t>Global Critical Damage Bonus % (unused)</t>
        </is>
      </c>
      <c r="B2775" t="n">
        <v>0</v>
      </c>
    </row>
    <row r="2776">
      <c r="A2776" t="inlineStr">
        <is>
          <t>Global Final Damage Bonus % (Serpent Scale + Crossbones + Time Leap + Speed Infusion)</t>
        </is>
      </c>
      <c r="B2776">
        <f>((C2750=TRUE)*F2750*((10+IF(Inputs!$B$3&gt;=94,5,0))/((10+IF(Inputs!$B$3&gt;=94,5,0))+5/(B2774*(1+IF(Inputs!$B$3&gt;=104,1,0))))))+((C2759=TRUE)*F2759)+((C2760=TRUE)*F2760)+((Inputs!$B$3&gt;=110)*20*(B2772-1))</f>
        <v/>
      </c>
    </row>
    <row r="2777">
      <c r="A2777" t="inlineStr">
        <is>
          <t>Buff-Casting Startup Delay (s, fixed-duration only)</t>
        </is>
      </c>
      <c r="B2777">
        <f>IF(AND(Inputs!$B$38&lt;&gt;"pvp",Inputs!$B$43&gt;0),SUMPRODUCT((Skills!T2:T22&gt;0)*(Skills!E2:E22=TRUE)*(C2747:C2767=TRUE))/B2772,0)</f>
        <v/>
      </c>
    </row>
    <row r="2778">
      <c r="A2778" t="inlineStr">
        <is>
          <t>Boss-Only Total DPS (this block's swept value)</t>
        </is>
      </c>
      <c r="B2778">
        <f>SUM(T2747:T2767)</f>
        <v/>
      </c>
    </row>
    <row r="2779">
      <c r="A2779" t="inlineStr">
        <is>
          <t>Normal-Only Total DPS (this block's swept value)</t>
        </is>
      </c>
      <c r="B2779">
        <f>SUM(V2747:V2767)</f>
        <v/>
      </c>
    </row>
    <row r="2780">
      <c r="A2780" s="6" t="inlineStr">
        <is>
          <t>TOTAL DPS</t>
        </is>
      </c>
      <c r="B2780" s="6">
        <f>SUM(O2747:O2767)</f>
        <v/>
      </c>
    </row>
    <row r="2783">
      <c r="A2783" s="6" t="inlineStr">
        <is>
          <t>Stat: CDR = 5.0s</t>
        </is>
      </c>
    </row>
    <row r="2784">
      <c r="A2784" s="5" t="inlineStr">
        <is>
          <t>Key</t>
        </is>
      </c>
      <c r="B2784" s="5" t="inlineStr">
        <is>
          <t>Name</t>
        </is>
      </c>
      <c r="C2784" s="5" t="inlineStr">
        <is>
          <t>Unlocked</t>
        </is>
      </c>
      <c r="D2784" s="5" t="inlineStr">
        <is>
          <t>InputLevel</t>
        </is>
      </c>
      <c r="E2784" s="5" t="inlineStr">
        <is>
          <t>Factor</t>
        </is>
      </c>
      <c r="F2784" s="5" t="inlineStr">
        <is>
          <t>CoefficientPercent</t>
        </is>
      </c>
      <c r="G2784" s="5" t="inlineStr">
        <is>
          <t>EffectiveHits</t>
        </is>
      </c>
      <c r="H2784" s="5" t="inlineStr">
        <is>
          <t>ProcProbability</t>
        </is>
      </c>
      <c r="I2784" s="5" t="inlineStr">
        <is>
          <t>MapleHeroMultiplier</t>
        </is>
      </c>
      <c r="J2784" s="5" t="inlineStr">
        <is>
          <t>BaseDamage</t>
        </is>
      </c>
      <c r="K2784" s="5" t="inlineStr">
        <is>
          <t>BaseHitDamage</t>
        </is>
      </c>
      <c r="L2784" s="5" t="inlineStr">
        <is>
          <t>NonCritAvg</t>
        </is>
      </c>
      <c r="M2784" s="5" t="inlineStr">
        <is>
          <t>CritAvg</t>
        </is>
      </c>
      <c r="N2784" s="5" t="inlineStr">
        <is>
          <t>ExpectedDamage(perHit)</t>
        </is>
      </c>
      <c r="O2784" s="5" t="inlineStr">
        <is>
          <t>DPS</t>
        </is>
      </c>
      <c r="P2784" s="5" t="inlineStr">
        <is>
          <t>% of Total</t>
        </is>
      </c>
      <c r="Q2784" s="5" t="inlineStr">
        <is>
          <t>InvCooldown</t>
        </is>
      </c>
      <c r="R2784" s="5" t="inlineStr">
        <is>
          <t>CastsInFight</t>
        </is>
      </c>
      <c r="S2784" s="5" t="inlineStr">
        <is>
          <t>HitRate(perSec)</t>
        </is>
      </c>
      <c r="U2784" t="inlineStr">
        <is>
          <t>helpers</t>
        </is>
      </c>
    </row>
    <row r="2785">
      <c r="A2785">
        <f>Skills!A2</f>
        <v/>
      </c>
      <c r="B2785">
        <f>Skills!B2</f>
        <v/>
      </c>
      <c r="C2785">
        <f>Inputs!$B$3&gt;=100</f>
        <v/>
      </c>
      <c r="D2785" t="inlineStr"/>
      <c r="E2785" t="inlineStr"/>
      <c r="F2785">
        <f>U2787+Skills!O2</f>
        <v/>
      </c>
      <c r="G2785">
        <f>Skills!G2*IF(Skills!H2&gt;0,Skills!I2/Skills!H2,1)</f>
        <v/>
      </c>
      <c r="H2785">
        <f>1-(1-Skills!J2/100)^Skills!K2</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2803=TRUE)*(F2803-Calc!F20)),(Inputs!$B$23+0+(IF(ArtifactsInput!$M$15,CHOOSE(ArtifactsInput!$N$15+1,25,30,35,40,45,50)/100*(Inputs!$B$11-Inputs!$B$11),0))))/100+(Inputs!$B$23+0+(IF(ArtifactsInput!$M$15,CHOOSE(ArtifactsInput!$N$15+1,25,30,35,40,45,50)/100*(Inputs!$B$11-Inputs!$B$11),0)))/100)/2</f>
        <v/>
      </c>
      <c r="M2785">
        <f>L2785*(1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IF(B2818=0,0,O2785/B2818)</f>
        <v/>
      </c>
      <c r="Q2785" t="n">
        <v>0</v>
      </c>
      <c r="R2785" t="n">
        <v>0</v>
      </c>
      <c r="S2785">
        <f>IFERROR(O2785/N2785,0)</f>
        <v/>
      </c>
      <c r="T2785">
        <f>IF(C2785,(Skills!G2*N2785*B2812)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5">
        <f>MAX(0,(Inputs!$B$3-100)*3)+Inputs!$B$28+Inputs!$B$29</f>
        <v/>
      </c>
      <c r="V2785">
        <f>IF(C2785,(Skills!G2*N2785*B2812)*IF(Inputs!$B$38="pvp",1,(1+(Inputs!$B$21+Skills!Q2+(IF(ArtifactsInput!$M$33,CHOOSE(ArtifactsInput!$N$33+1,30,36,42,48,54,60),0))+(IF(AND(ArtifactsInput!$M$35,Inputs!$B$4&lt;&gt;"Chapter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Skills!A3</f>
        <v/>
      </c>
      <c r="B2786">
        <f>Skills!B3</f>
        <v/>
      </c>
      <c r="C2786">
        <f>Inputs!$B$3&gt;=35</f>
        <v/>
      </c>
      <c r="D2786">
        <f>IF(Skills!C3=1,60+Inputs!$B$25+Inputs!$B$29,IF(Skills!C3=2,90+Inputs!$B$26+Inputs!$B$29,IF(Skills!C3=3,120+Inputs!$B$27+Inputs!$B$29,MAX(0,(Inputs!$B$3-100)*3)+Inputs!$B$28+Inputs!$B$29)))</f>
        <v/>
      </c>
      <c r="E2786">
        <f>INDEX(FactorTable!$B$2:$Y$301, MATCH(ROUND(MIN(300,MAX(1,D2786)),0), FactorTable!$A$2:$A$301,0), Skills!M3+1)</f>
        <v/>
      </c>
      <c r="F2786">
        <f>IF(Skills!N3=TRUE,(Skills!L3/10)*(E2786/1000),Skills!L3/10)+Skills!O3</f>
        <v/>
      </c>
      <c r="G2786">
        <f>Skills!G3*IF(Skills!H3&gt;0,Skills!I3/Skills!H3,1)</f>
        <v/>
      </c>
      <c r="H2786">
        <f>1-(1-Skills!J3/100)^Skills!K3</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2803=TRUE)*(F2803-Calc!F20)),(Inputs!$B$23+0+(IF(ArtifactsInput!$M$15,CHOOSE(ArtifactsInput!$N$15+1,25,30,35,40,45,50)/100*(Inputs!$B$11-Inputs!$B$11),0))))/100+(Inputs!$B$23+0+(IF(ArtifactsInput!$M$15,CHOOSE(ArtifactsInput!$N$15+1,25,30,35,40,45,50)/100*(Inputs!$B$11-Inputs!$B$11),0)))/100)/2</f>
        <v/>
      </c>
      <c r="M2786">
        <f>L2786*(1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IF(B2818=0,0,O2786/B2818)</f>
        <v/>
      </c>
      <c r="Q2786" t="n">
        <v>0</v>
      </c>
      <c r="R2786" t="n">
        <v>0</v>
      </c>
      <c r="S2786">
        <f>IFERROR(O2786/N2786,0)</f>
        <v/>
      </c>
      <c r="T2786">
        <f>IF(C2786,(Skills!G3*H2786*N2786*B2812)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6">
        <f>INDEX(FactorTable!$B$2:$Y$301, MATCH(ROUND(MIN(300,MAX(1,U2785)),0), FactorTable!$A$2:$A$301,0), 22)</f>
        <v/>
      </c>
      <c r="V2786">
        <f>IF(C2786,(Skills!G3*H2786*N2786*B2812)*IF(Inputs!$B$38="pvp",1,(1+(Inputs!$B$21+Skills!Q3+(IF(ArtifactsInput!$M$33,CHOOSE(ArtifactsInput!$N$33+1,30,36,42,48,54,60),0))+(IF(AND(ArtifactsInput!$M$35,Inputs!$B$4&lt;&gt;"Chapter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Skills!A4</f>
        <v/>
      </c>
      <c r="B2787">
        <f>Skills!B4</f>
        <v/>
      </c>
      <c r="C2787">
        <f>Inputs!$B$3&gt;=60</f>
        <v/>
      </c>
      <c r="D2787">
        <f>IF(Skills!C4=1,60+Inputs!$B$25+Inputs!$B$29,IF(Skills!C4=2,90+Inputs!$B$26+Inputs!$B$29,IF(Skills!C4=3,120+Inputs!$B$27+Inputs!$B$29,MAX(0,(Inputs!$B$3-100)*3)+Inputs!$B$28+Inputs!$B$29)))</f>
        <v/>
      </c>
      <c r="E2787">
        <f>INDEX(FactorTable!$B$2:$Y$301, MATCH(ROUND(MIN(300,MAX(1,D2787)),0), FactorTable!$A$2:$A$301,0), Skills!M4+1)</f>
        <v/>
      </c>
      <c r="F2787">
        <f>IF(Skills!N4=TRUE,(Skills!L4/10)*(E2787/1000),Skills!L4/10)+Skills!O4</f>
        <v/>
      </c>
      <c r="G2787">
        <f>Skills!G4*IF(Skills!H4&gt;0,Skills!I4/Skills!H4,1)</f>
        <v/>
      </c>
      <c r="H2787">
        <f>1-(1-Skills!J4/100)^Skills!K4</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2795=TRUE,F2795,0)/100)*(1+(IF(Skills!A4="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2803=TRUE)*(F2803-Calc!F20)),(Inputs!$B$23+0+(IF(ArtifactsInput!$M$15,CHOOSE(ArtifactsInput!$N$15+1,25,30,35,40,45,50)/100*(Inputs!$B$11-Inputs!$B$11),0))))/100+(Inputs!$B$23+0+(IF(ArtifactsInput!$M$15,CHOOSE(ArtifactsInput!$N$15+1,25,30,35,40,45,50)/100*(Inputs!$B$11-Inputs!$B$11),0)))/100)/2</f>
        <v/>
      </c>
      <c r="M2787">
        <f>L2787*(1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IF(B2818=0,0,O2787/B2818)</f>
        <v/>
      </c>
      <c r="Q2787" t="n">
        <v>0</v>
      </c>
      <c r="R2787" t="n">
        <v>0</v>
      </c>
      <c r="S2787">
        <f>IFERROR(O2787/N2787,0)</f>
        <v/>
      </c>
      <c r="T2787">
        <f>IF(C2787,(Skills!G4*H2787*N2787*B2812)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290*U2786/1000</f>
        <v/>
      </c>
      <c r="V2787">
        <f>IF(C2787,(Skills!G4*H2787*N2787*B2812)*IF(Inputs!$B$38="pvp",1,(1+(Inputs!$B$21+Skills!Q4+(IF(ArtifactsInput!$M$33,CHOOSE(ArtifactsInput!$N$33+1,30,36,42,48,54,60),0))+(IF(AND(ArtifactsInput!$M$35,Inputs!$B$4&lt;&gt;"Chapter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Skills!A5</f>
        <v/>
      </c>
      <c r="B2788">
        <f>Skills!B5</f>
        <v/>
      </c>
      <c r="C2788">
        <f>Inputs!$B$3&gt;=60</f>
        <v/>
      </c>
      <c r="D2788">
        <f>IF(Skills!C5=1,60+Inputs!$B$25+Inputs!$B$29,IF(Skills!C5=2,90+Inputs!$B$26+Inputs!$B$29,IF(Skills!C5=3,120+Inputs!$B$27+Inputs!$B$29,MAX(0,(Inputs!$B$3-100)*3)+Inputs!$B$28+Inputs!$B$29)))</f>
        <v/>
      </c>
      <c r="E2788">
        <f>INDEX(FactorTable!$B$2:$Y$301, MATCH(ROUND(MIN(300,MAX(1,D2788)),0), FactorTable!$A$2:$A$301,0), Skills!M5+1)</f>
        <v/>
      </c>
      <c r="F2788">
        <f>IF(Skills!N5=TRUE,(Skills!L5/10)*(E2788/1000),Skills!L5/10)+Skills!O5</f>
        <v/>
      </c>
      <c r="G2788">
        <f>Skills!G5*IF(Skills!H5&gt;0,Skills!I5/Skills!H5,1)</f>
        <v/>
      </c>
      <c r="H2788">
        <f>1-(1-Skills!J5/100)^Skills!K5</f>
        <v/>
      </c>
      <c r="I2788" t="inlineStr">
        <is>
          <t>1</t>
        </is>
      </c>
      <c r="J2788" t="inlineStr"/>
      <c r="K2788" t="inlineStr"/>
      <c r="L2788" t="inlineStr"/>
      <c r="M2788" t="inlineStr"/>
      <c r="N2788" t="inlineStr"/>
      <c r="O2788">
        <f>(1-Summary!$B$11)*T2788+Summary!$B$11*V2788</f>
        <v/>
      </c>
      <c r="P2788">
        <f>IF(B2818=0,0,O2788/B2818)</f>
        <v/>
      </c>
      <c r="Q2788" t="n">
        <v>0</v>
      </c>
      <c r="R2788" t="n">
        <v>0</v>
      </c>
      <c r="S2788">
        <f>IFERROR(O2788/N2788,0)</f>
        <v/>
      </c>
      <c r="T2788" t="n">
        <v>0</v>
      </c>
      <c r="V2788" t="n">
        <v>0</v>
      </c>
    </row>
    <row r="2789">
      <c r="A2789">
        <f>Skills!A6</f>
        <v/>
      </c>
      <c r="B2789">
        <f>Skills!B6</f>
        <v/>
      </c>
      <c r="C2789">
        <f>Inputs!$B$3&gt;=63</f>
        <v/>
      </c>
      <c r="D2789">
        <f>IF(Skills!C6=1,60+Inputs!$B$25+Inputs!$B$29,IF(Skills!C6=2,90+Inputs!$B$26+Inputs!$B$29,IF(Skills!C6=3,120+Inputs!$B$27+Inputs!$B$29,MAX(0,(Inputs!$B$3-100)*3)+Inputs!$B$28+Inputs!$B$29)))</f>
        <v/>
      </c>
      <c r="E2789">
        <f>INDEX(FactorTable!$B$2:$Y$301, MATCH(ROUND(MIN(300,MAX(1,D2789)),0), FactorTable!$A$2:$A$301,0), Skills!M6+1)</f>
        <v/>
      </c>
      <c r="F2789">
        <f>IF(Skills!N6=TRUE,(Skills!L6/10)*(E2789/1000),Skills!L6/10)+Skills!O6</f>
        <v/>
      </c>
      <c r="G2789">
        <f>Skills!G6*IF(Skills!H6&gt;0,Skills!I6/Skills!H6,1)</f>
        <v/>
      </c>
      <c r="H2789">
        <f>1-(1-Skills!J6/100)^Skills!K6</f>
        <v/>
      </c>
      <c r="I2789" t="inlineStr">
        <is>
          <t>1</t>
        </is>
      </c>
      <c r="J2789">
        <f>((Inputs!$B$6*(1+Inputs!$B$7/100))+(((Inputs!$B$12*(1+Inputs!$B$13/100))-(Inputs!$B$12*(1+Inputs!$B$13/100)))+0.25*(Inputs!$B$14-Inputs!$B$14))*(1+Inputs!$B$7/100))*(F2789/100)</f>
        <v/>
      </c>
      <c r="K2789">
        <f>J2789*(1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2789)</f>
        <v/>
      </c>
      <c r="L2789">
        <f>K2789*(MIN(Inputs!$B$22+((C2803=TRUE)*(F2803-Calc!F20)),(Inputs!$B$23+0+(IF(ArtifactsInput!$M$15,CHOOSE(ArtifactsInput!$N$15+1,25,30,35,40,45,50)/100*(Inputs!$B$11-Inputs!$B$11),0))))/100+(Inputs!$B$23+0+(IF(ArtifactsInput!$M$15,CHOOSE(ArtifactsInput!$N$15+1,25,30,35,40,45,50)/100*(Inputs!$B$11-Inputs!$B$11),0)))/100)/2</f>
        <v/>
      </c>
      <c r="M2789">
        <f>L2789*(1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9">
        <f>L2789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2789*(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9">
        <f>(1-Summary!$B$11)*T2789+Summary!$B$11*V2789</f>
        <v/>
      </c>
      <c r="P2789">
        <f>IF(B2818=0,0,O2789/B2818)</f>
        <v/>
      </c>
      <c r="Q2789">
        <f>IFERROR(1/(IF(Inputs!$B$38="pvp",15,MAX(0.1,Skills!D6-IF(Skills!E6=TRUE,5.0,0)))*(1-IF(AND(ArtifactsInput!$M$27,Inputs!$B$4="Chapter Hunt"),CHOOSE(ArtifactsInput!$N$27+1,20,24,28,32,36,40),0)/100)),0)</f>
        <v/>
      </c>
      <c r="R2789">
        <f>IF(AND(Inputs!$B$38&lt;&gt;"pvp",Inputs!$B$43&gt;0),IF(MAX(0,Inputs!$B$43-B2815)&lt;=0,0,(INT(MAX(0,Inputs!$B$43-B2815)/(IF(Inputs!$B$38="pvp",15,MAX(0.1,Skills!D6-IF(Skills!E6=TRUE,5.0,0)))*(1-IF(AND(ArtifactsInput!$M$27,Inputs!$B$4="Chapter Hunt"),CHOOSE(ArtifactsInput!$N$27+1,20,24,28,32,36,40),0)/100)))+1)),0)</f>
        <v/>
      </c>
      <c r="S2789">
        <f>IFERROR(O2789/N2789,0)</f>
        <v/>
      </c>
      <c r="T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$21+Skills!Q6+(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0">
      <c r="A2790">
        <f>Skills!A7</f>
        <v/>
      </c>
      <c r="B2790">
        <f>Skills!B7</f>
        <v/>
      </c>
      <c r="C2790">
        <f>Inputs!$B$3&gt;=100</f>
        <v/>
      </c>
      <c r="D2790">
        <f>IF(Skills!C7=1,60+Inputs!$B$25+Inputs!$B$29,IF(Skills!C7=2,90+Inputs!$B$26+Inputs!$B$29,IF(Skills!C7=3,120+Inputs!$B$27+Inputs!$B$29,MAX(0,(Inputs!$B$3-100)*3)+Inputs!$B$28+Inputs!$B$29)))</f>
        <v/>
      </c>
      <c r="E2790">
        <f>INDEX(FactorTable!$B$2:$Y$301, MATCH(ROUND(MIN(300,MAX(1,D2790)),0), FactorTable!$A$2:$A$301,0), Skills!M7+1)</f>
        <v/>
      </c>
      <c r="F2790">
        <f>IF(Skills!N7=TRUE,(Skills!L7/10)*(E2790/1000),Skills!L7/10)+Skills!O7</f>
        <v/>
      </c>
      <c r="G2790">
        <f>Skills!G7*IF(Skills!H7&gt;0,Skills!I7/Skills!H7,1)</f>
        <v/>
      </c>
      <c r="H2790">
        <f>1-(1-Skills!J7/100)^Skills!K7</f>
        <v/>
      </c>
      <c r="I2790" t="inlineStr">
        <is>
          <t>1</t>
        </is>
      </c>
      <c r="J2790">
        <f>((Inputs!$B$6*(1+Inputs!$B$7/100))+(((Inputs!$B$12*(1+Inputs!$B$13/100))-(Inputs!$B$12*(1+Inputs!$B$13/100)))+0.25*(Inputs!$B$14-Inputs!$B$14))*(1+Inputs!$B$7/100))*(F2790/100)</f>
        <v/>
      </c>
      <c r="K2790">
        <f>J2790*(1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2803=TRUE)*(F2803-Calc!F20)),(Inputs!$B$23+0+(IF(ArtifactsInput!$M$15,CHOOSE(ArtifactsInput!$N$15+1,25,30,35,40,45,50)/100*(Inputs!$B$11-Inputs!$B$11),0))))/100+(Inputs!$B$23+0+(IF(ArtifactsInput!$M$15,CHOOSE(ArtifactsInput!$N$15+1,25,30,35,40,45,50)/100*(Inputs!$B$11-Inputs!$B$11),0)))/100)/2</f>
        <v/>
      </c>
      <c r="M2790">
        <f>L2790*(1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IF(B2818=0,0,O2790/B2818)</f>
        <v/>
      </c>
      <c r="Q2790">
        <f>IFERROR(1/(IF(Inputs!$B$38="pvp",15,MAX(0.1,Skills!D7-IF(Skills!E7=TRUE,5.0,0)))*(1-IF(AND(ArtifactsInput!$M$27,Inputs!$B$4="Chapter Hunt"),CHOOSE(ArtifactsInput!$N$27+1,20,24,28,32,36,40),0)/100)),0)</f>
        <v/>
      </c>
      <c r="R2790">
        <f>IF(AND(Inputs!$B$38&lt;&gt;"pvp",Inputs!$B$43&gt;0),IF(MAX(0,Inputs!$B$43-B2815)&lt;=0,0,(INT(MAX(0,Inputs!$B$43-B2815)/(IF(Inputs!$B$38="pvp",15,MAX(0.1,Skills!D7-IF(Skills!E7=TRUE,5.0,0)))*(1-IF(AND(ArtifactsInput!$M$27,Inputs!$B$4="Chapter Hunt"),CHOOSE(ArtifactsInput!$N$27+1,20,24,28,32,36,40),0)/100)))+1)),0)</f>
        <v/>
      </c>
      <c r="S2790">
        <f>IFERROR(O2790/N2790,0)</f>
        <v/>
      </c>
      <c r="T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$21+Skills!Q7+(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Skills!A8</f>
        <v/>
      </c>
      <c r="B2791">
        <f>Skills!B8</f>
        <v/>
      </c>
      <c r="C2791">
        <f>Inputs!$B$3&gt;=110</f>
        <v/>
      </c>
      <c r="D2791">
        <f>IF(Skills!C8=1,60+Inputs!$B$25+Inputs!$B$29,IF(Skills!C8=2,90+Inputs!$B$26+Inputs!$B$29,IF(Skills!C8=3,120+Inputs!$B$27+Inputs!$B$29,MAX(0,(Inputs!$B$3-100)*3)+Inputs!$B$28+Inputs!$B$29)))</f>
        <v/>
      </c>
      <c r="E2791">
        <f>INDEX(FactorTable!$B$2:$Y$301, MATCH(ROUND(MIN(300,MAX(1,D2791)),0), FactorTable!$A$2:$A$301,0), Skills!M8+1)</f>
        <v/>
      </c>
      <c r="F2791">
        <f>IF(Skills!N8=TRUE,(Skills!L8/10)*(E2791/1000),Skills!L8/10)+Skills!O8</f>
        <v/>
      </c>
      <c r="G2791">
        <f>Skills!G8*IF(Skills!H8&gt;0,Skills!I8/Skills!H8,1)</f>
        <v/>
      </c>
      <c r="H2791">
        <f>1-(1-Skills!J8/100)^Skills!K8</f>
        <v/>
      </c>
      <c r="I2791" t="inlineStr">
        <is>
          <t>1</t>
        </is>
      </c>
      <c r="J2791">
        <f>((Inputs!$B$6*(1+Inputs!$B$7/100))+(((Inputs!$B$12*(1+Inputs!$B$13/100))-(Inputs!$B$12*(1+Inputs!$B$13/100)))+0.25*(Inputs!$B$14-Inputs!$B$14))*(1+Inputs!$B$7/100))*(F2791/100)</f>
        <v/>
      </c>
      <c r="K2791">
        <f>J2791*(1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2803=TRUE)*(F2803-Calc!F20)),(Inputs!$B$23+0+(IF(ArtifactsInput!$M$15,CHOOSE(ArtifactsInput!$N$15+1,25,30,35,40,45,50)/100*(Inputs!$B$11-Inputs!$B$11),0))))/100+(Inputs!$B$23+0+(IF(ArtifactsInput!$M$15,CHOOSE(ArtifactsInput!$N$15+1,25,30,35,40,45,50)/100*(Inputs!$B$11-Inputs!$B$11),0)))/100)/2</f>
        <v/>
      </c>
      <c r="M2791">
        <f>L2791*(1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IF(B2818=0,0,O2791/B2818)</f>
        <v/>
      </c>
      <c r="Q2791">
        <f>IFERROR(1/(IF(Inputs!$B$38="pvp",15,MAX(0.1,Skills!D8-IF(Skills!E8=TRUE,5.0,0)))*(1-IF(AND(ArtifactsInput!$M$27,Inputs!$B$4="Chapter Hunt"),CHOOSE(ArtifactsInput!$N$27+1,20,24,28,32,36,40),0)/100)),0)</f>
        <v/>
      </c>
      <c r="R2791">
        <f>IF(AND(Inputs!$B$38&lt;&gt;"pvp",Inputs!$B$43&gt;0),IF(MAX(0,Inputs!$B$43-B2815)&lt;=0,0,(INT(MAX(0,Inputs!$B$43-B2815)/(IF(Inputs!$B$38="pvp",15,MAX(0.1,Skills!D8-IF(Skills!E8=TRUE,5.0,0)))*(1-IF(AND(ArtifactsInput!$M$27,Inputs!$B$4="Chapter Hunt"),CHOOSE(ArtifactsInput!$N$27+1,20,24,28,32,36,40),0)/100)))+1)),0)</f>
        <v/>
      </c>
      <c r="S2791">
        <f>IFERROR(O2791/N2791,0)</f>
        <v/>
      </c>
      <c r="T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$21+Skills!Q8+(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Skills!A9</f>
        <v/>
      </c>
      <c r="B2792">
        <f>Skills!B9</f>
        <v/>
      </c>
      <c r="C2792">
        <f>Inputs!$B$3&gt;=110</f>
        <v/>
      </c>
      <c r="D2792">
        <f>IF(Skills!C9=1,60+Inputs!$B$25+Inputs!$B$29,IF(Skills!C9=2,90+Inputs!$B$26+Inputs!$B$29,IF(Skills!C9=3,120+Inputs!$B$27+Inputs!$B$29,MAX(0,(Inputs!$B$3-100)*3)+Inputs!$B$28+Inputs!$B$29)))</f>
        <v/>
      </c>
      <c r="E2792">
        <f>INDEX(FactorTable!$B$2:$Y$301, MATCH(ROUND(MIN(300,MAX(1,D2792)),0), FactorTable!$A$2:$A$301,0), Skills!M9+1)</f>
        <v/>
      </c>
      <c r="F2792">
        <f>IF(Skills!N9=TRUE,(Skills!L9/10)*(E2792/1000),Skills!L9/10)+Skills!O9</f>
        <v/>
      </c>
      <c r="G2792">
        <f>Skills!G9*IF(Skills!H9&gt;0,Skills!I9/Skills!H9,1)</f>
        <v/>
      </c>
      <c r="H2792">
        <f>1-(1-Skills!J9/100)^Skills!K9</f>
        <v/>
      </c>
      <c r="I2792" t="inlineStr">
        <is>
          <t>1</t>
        </is>
      </c>
      <c r="J2792">
        <f>((Inputs!$B$6*(1+Inputs!$B$7/100))+(((Inputs!$B$12*(1+Inputs!$B$13/100))-(Inputs!$B$12*(1+Inputs!$B$13/100)))+0.25*(Inputs!$B$14-Inputs!$B$14))*(1+Inputs!$B$7/100))*(F2792/100)</f>
        <v/>
      </c>
      <c r="K2792">
        <f>J2792*(1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C2803=TRUE)*(F2803-Calc!F20)),(Inputs!$B$23+0+(IF(ArtifactsInput!$M$15,CHOOSE(ArtifactsInput!$N$15+1,25,30,35,40,45,50)/100*(Inputs!$B$11-Inputs!$B$11),0))))/100+(Inputs!$B$23+0+(IF(ArtifactsInput!$M$15,CHOOSE(ArtifactsInput!$N$15+1,25,30,35,40,45,50)/100*(Inputs!$B$11-Inputs!$B$11),0)))/100)/2</f>
        <v/>
      </c>
      <c r="M2792">
        <f>L2792*(1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(1-Summary!$B$11)*T2792+Summary!$B$11*V2792</f>
        <v/>
      </c>
      <c r="P2792">
        <f>IF(B2818=0,0,O2792/B2818)</f>
        <v/>
      </c>
      <c r="Q2792">
        <f>IFERROR(1/(IF(Inputs!$B$38="pvp",15,MAX(0.1,Skills!D9-IF(Skills!E9=TRUE,5.0,0)))*(1-IF(AND(ArtifactsInput!$M$27,Inputs!$B$4="Chapter Hunt"),CHOOSE(ArtifactsInput!$N$27+1,20,24,28,32,36,40),0)/100)),0)</f>
        <v/>
      </c>
      <c r="R2792">
        <f>IF(AND(Inputs!$B$38&lt;&gt;"pvp",Inputs!$B$43&gt;0),IF(MAX(0,Inputs!$B$43-B2815)&lt;=0,0,(INT(MAX(0,Inputs!$B$43-B2815)/(IF(Inputs!$B$38="pvp",15,MAX(0.1,Skills!D9-IF(Skills!E9=TRUE,5.0,0)))*(1-IF(AND(ArtifactsInput!$M$27,Inputs!$B$4="Chapter Hunt"),CHOOSE(ArtifactsInput!$N$27+1,20,24,28,32,36,40),0)/100)))+1)),0)</f>
        <v/>
      </c>
      <c r="S2792">
        <f>IFERROR(O2792/N2792,0)</f>
        <v/>
      </c>
      <c r="T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$21+Skills!Q9+(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Skills!A10</f>
        <v/>
      </c>
      <c r="B2793">
        <f>Skills!B10</f>
        <v/>
      </c>
      <c r="C2793">
        <f>Inputs!$B$3&gt;=103</f>
        <v/>
      </c>
      <c r="D2793">
        <f>IF(Skills!C10=1,60+Inputs!$B$25+Inputs!$B$29,IF(Skills!C10=2,90+Inputs!$B$26+Inputs!$B$29,IF(Skills!C10=3,120+Inputs!$B$27+Inputs!$B$29,MAX(0,(Inputs!$B$3-100)*3)+Inputs!$B$28+Inputs!$B$29)))</f>
        <v/>
      </c>
      <c r="E2793">
        <f>INDEX(FactorTable!$B$2:$Y$301, MATCH(ROUND(MIN(300,MAX(1,D2793)),0), FactorTable!$A$2:$A$301,0), Skills!M10+1)</f>
        <v/>
      </c>
      <c r="F2793">
        <f>IF(Skills!N10=TRUE,(Skills!L10/10)*(E2793/1000),Skills!L10/10)+Skills!O10</f>
        <v/>
      </c>
      <c r="G2793">
        <f>Skills!G10*IF(Skills!H10&gt;0,Skills!I10/Skills!H10,1)</f>
        <v/>
      </c>
      <c r="H2793">
        <f>1-(1-Skills!J10/100)^Skills!K10</f>
        <v/>
      </c>
      <c r="I2793" t="inlineStr">
        <is>
          <t>1</t>
        </is>
      </c>
      <c r="J2793">
        <f>((Inputs!$B$6*(1+Inputs!$B$7/100))+(((Inputs!$B$12*(1+Inputs!$B$13/100))-(Inputs!$B$12*(1+Inputs!$B$13/100)))+0.25*(Inputs!$B$14-Inputs!$B$14))*(1+Inputs!$B$7/100))*(F2793/100)</f>
        <v/>
      </c>
      <c r="K2793">
        <f>J2793*(1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2803=TRUE)*(F2803-Calc!F20)),(Inputs!$B$23+0+(IF(ArtifactsInput!$M$15,CHOOSE(ArtifactsInput!$N$15+1,25,30,35,40,45,50)/100*(Inputs!$B$11-Inputs!$B$11),0))))/100+(Inputs!$B$23+0+(IF(ArtifactsInput!$M$15,CHOOSE(ArtifactsInput!$N$15+1,25,30,35,40,45,50)/100*(Inputs!$B$11-Inputs!$B$11),0)))/100)/2</f>
        <v/>
      </c>
      <c r="M2793">
        <f>L2793*(1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IF(B2818=0,0,O2793/B2818)</f>
        <v/>
      </c>
      <c r="Q2793">
        <f>IFERROR(1/(IF(Inputs!$B$38="pvp",15,MAX(0.1,Skills!D10-IF(Skills!E10=TRUE,5.0,0)))*(1-IF(AND(ArtifactsInput!$M$27,Inputs!$B$4="Chapter Hunt"),CHOOSE(ArtifactsInput!$N$27+1,20,24,28,32,36,40),0)/100)),0)</f>
        <v/>
      </c>
      <c r="R2793">
        <f>IF(AND(Inputs!$B$38&lt;&gt;"pvp",Inputs!$B$43&gt;0),IF(MAX(0,Inputs!$B$43-B2815)&lt;=0,0,(INT(MAX(0,Inputs!$B$43-B2815)/(IF(Inputs!$B$38="pvp",15,MAX(0.1,Skills!D10-IF(Skills!E10=TRUE,5.0,0)))*(1-IF(AND(ArtifactsInput!$M$27,Inputs!$B$4="Chapter Hunt"),CHOOSE(ArtifactsInput!$N$27+1,20,24,28,32,36,40),0)/100)))+1)),0)</f>
        <v/>
      </c>
      <c r="S2793">
        <f>IFERROR(O2793/N2793,0)</f>
        <v/>
      </c>
      <c r="T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$21+Skills!Q10+(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Skills!A11</f>
        <v/>
      </c>
      <c r="B2794">
        <f>Skills!B11</f>
        <v/>
      </c>
      <c r="C2794">
        <f>Inputs!$B$3&gt;=113</f>
        <v/>
      </c>
      <c r="D2794">
        <f>IF(Skills!C11=1,60+Inputs!$B$25+Inputs!$B$29,IF(Skills!C11=2,90+Inputs!$B$26+Inputs!$B$29,IF(Skills!C11=3,120+Inputs!$B$27+Inputs!$B$29,MAX(0,(Inputs!$B$3-100)*3)+Inputs!$B$28+Inputs!$B$29)))</f>
        <v/>
      </c>
      <c r="E2794">
        <f>INDEX(FactorTable!$B$2:$Y$301, MATCH(ROUND(MIN(300,MAX(1,D2794)),0), FactorTable!$A$2:$A$301,0), Skills!M11+1)</f>
        <v/>
      </c>
      <c r="F2794">
        <f>IF(Skills!N11=TRUE,(Skills!L11/10)*(E2794/1000),Skills!L11/10)+Skills!O11</f>
        <v/>
      </c>
      <c r="G2794">
        <f>Skills!G11*IF(Skills!H11&gt;0,Skills!I11/Skills!H11,1)</f>
        <v/>
      </c>
      <c r="H2794">
        <f>1-(1-Skills!J11/100)^Skills!K11</f>
        <v/>
      </c>
      <c r="I2794" t="inlineStr">
        <is>
          <t>1</t>
        </is>
      </c>
      <c r="J2794">
        <f>((Inputs!$B$6*(1+Inputs!$B$7/100))+(((Inputs!$B$12*(1+Inputs!$B$13/100))-(Inputs!$B$12*(1+Inputs!$B$13/100)))+0.25*(Inputs!$B$14-Inputs!$B$14))*(1+Inputs!$B$7/100))*(F2794/100)</f>
        <v/>
      </c>
      <c r="K2794">
        <f>J2794*(1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2803=TRUE)*(F2803-Calc!F20)),(Inputs!$B$23+0+(IF(ArtifactsInput!$M$15,CHOOSE(ArtifactsInput!$N$15+1,25,30,35,40,45,50)/100*(Inputs!$B$11-Inputs!$B$11),0))))/100+(Inputs!$B$23+0+(IF(ArtifactsInput!$M$15,CHOOSE(ArtifactsInput!$N$15+1,25,30,35,40,45,50)/100*(Inputs!$B$11-Inputs!$B$11),0)))/100)/2</f>
        <v/>
      </c>
      <c r="M2794">
        <f>L2794*(1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IF(B2818=0,0,O2794/B2818)</f>
        <v/>
      </c>
      <c r="Q2794">
        <f>IFERROR(1/(IF(Inputs!$B$38="pvp",15,MAX(0.1,Skills!D11-IF(Skills!E11=TRUE,5.0,0)))*(1-IF(AND(ArtifactsInput!$M$27,Inputs!$B$4="Chapter Hunt"),CHOOSE(ArtifactsInput!$N$27+1,20,24,28,32,36,40),0)/100)),0)</f>
        <v/>
      </c>
      <c r="R2794">
        <f>IF(AND(Inputs!$B$38&lt;&gt;"pvp",Inputs!$B$43&gt;0),IF(MAX(0,Inputs!$B$43-B2815)&lt;=0,0,(INT(MAX(0,Inputs!$B$43-B2815)/(IF(Inputs!$B$38="pvp",15,MAX(0.1,Skills!D11-IF(Skills!E11=TRUE,5.0,0)))*(1-IF(AND(ArtifactsInput!$M$27,Inputs!$B$4="Chapter Hunt"),CHOOSE(ArtifactsInput!$N$27+1,20,24,28,32,36,40),0)/100)))+1)),0)</f>
        <v/>
      </c>
      <c r="S2794">
        <f>IFERROR(O2794/N2794,0)</f>
        <v/>
      </c>
      <c r="T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$21+Skills!Q11+(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Skills!A12</f>
        <v/>
      </c>
      <c r="B2795">
        <f>Skills!B12</f>
        <v/>
      </c>
      <c r="C2795">
        <f>Inputs!$B$3&gt;=100</f>
        <v/>
      </c>
      <c r="D2795">
        <f>IF(Skills!C12=1,60+Inputs!$B$25+Inputs!$B$29,IF(Skills!C12=2,90+Inputs!$B$26+Inputs!$B$29,IF(Skills!C12=3,120+Inputs!$B$27+Inputs!$B$29,MAX(0,(Inputs!$B$3-100)*3)+Inputs!$B$28+Inputs!$B$29)))</f>
        <v/>
      </c>
      <c r="E2795">
        <f>INDEX(FactorTable!$B$2:$Y$301, MATCH(ROUND(MIN(300,MAX(1,D2795)),0), FactorTable!$A$2:$A$301,0), Skills!M12+1)</f>
        <v/>
      </c>
      <c r="F2795">
        <f>IF(Skills!N12=TRUE,(Skills!L12/10)*(E2795/1000),Skills!L12/10)+Skills!O12</f>
        <v/>
      </c>
      <c r="G2795" t="inlineStr"/>
      <c r="H2795" t="inlineStr"/>
      <c r="I2795" t="inlineStr">
        <is>
          <t>1</t>
        </is>
      </c>
      <c r="J2795" t="inlineStr"/>
      <c r="K2795" t="inlineStr"/>
      <c r="L2795" t="inlineStr"/>
      <c r="M2795" t="inlineStr"/>
      <c r="N2795" t="inlineStr"/>
      <c r="O2795" t="inlineStr"/>
      <c r="P2795" t="inlineStr"/>
      <c r="Q2795" t="inlineStr"/>
      <c r="R2795" t="inlineStr"/>
      <c r="S2795" t="inlineStr"/>
      <c r="T2795" t="inlineStr"/>
      <c r="V2795" t="inlineStr"/>
    </row>
    <row r="2796">
      <c r="A2796">
        <f>Skills!A13</f>
        <v/>
      </c>
      <c r="B2796">
        <f>Skills!B13</f>
        <v/>
      </c>
      <c r="C2796">
        <f>Inputs!$B$3&gt;=66</f>
        <v/>
      </c>
      <c r="D2796">
        <f>IF(Skills!C13=1,60+Inputs!$B$25+Inputs!$B$29,IF(Skills!C13=2,90+Inputs!$B$26+Inputs!$B$29,IF(Skills!C13=3,120+Inputs!$B$27+Inputs!$B$29,MAX(0,(Inputs!$B$3-100)*3)+Inputs!$B$28+Inputs!$B$29)))</f>
        <v/>
      </c>
      <c r="E2796">
        <f>INDEX(FactorTable!$B$2:$Y$301, MATCH(ROUND(MIN(300,MAX(1,D2796)),0), FactorTable!$A$2:$A$301,0), Skills!M13+1)</f>
        <v/>
      </c>
      <c r="F2796">
        <f>IF(Skills!N13=TRUE,(Skills!L13/10)*(E2796/1000),Skills!L13/10)+Skills!O13</f>
        <v/>
      </c>
      <c r="G2796">
        <f>Skills!G13*IF(Skills!H13&gt;0,Skills!I13/Skills!H13,1)</f>
        <v/>
      </c>
      <c r="H2796">
        <f>1-(1-Skills!J13/100)^Skills!K13</f>
        <v/>
      </c>
      <c r="I2796" t="inlineStr">
        <is>
          <t>1</t>
        </is>
      </c>
      <c r="J2796" t="inlineStr"/>
      <c r="K2796" t="inlineStr"/>
      <c r="L2796" t="inlineStr"/>
      <c r="M2796" t="inlineStr"/>
      <c r="N2796" t="inlineStr"/>
      <c r="O2796">
        <f>(1-Summary!$B$11)*T2796+Summary!$B$11*V2796</f>
        <v/>
      </c>
      <c r="P2796">
        <f>IF(B2818=0,0,O2796/B2818)</f>
        <v/>
      </c>
      <c r="Q2796" t="n">
        <v>0</v>
      </c>
      <c r="R2796" t="n">
        <v>0</v>
      </c>
      <c r="S2796">
        <f>IFERROR(O2796/N2796,0)</f>
        <v/>
      </c>
      <c r="T2796" t="n">
        <v>0</v>
      </c>
      <c r="V2796" t="n">
        <v>0</v>
      </c>
    </row>
    <row r="2797">
      <c r="A2797">
        <f>Skills!A14</f>
        <v/>
      </c>
      <c r="B2797">
        <f>Skills!B14</f>
        <v/>
      </c>
      <c r="C2797">
        <f>Inputs!$B$3&gt;=107</f>
        <v/>
      </c>
      <c r="D2797">
        <f>IF(Skills!C14=1,60+Inputs!$B$25+Inputs!$B$29,IF(Skills!C14=2,90+Inputs!$B$26+Inputs!$B$29,IF(Skills!C14=3,120+Inputs!$B$27+Inputs!$B$29,MAX(0,(Inputs!$B$3-100)*3)+Inputs!$B$28+Inputs!$B$29)))</f>
        <v/>
      </c>
      <c r="E2797">
        <f>INDEX(FactorTable!$B$2:$Y$301, MATCH(ROUND(MIN(300,MAX(1,D2797)),0), FactorTable!$A$2:$A$301,0), Skills!M14+1)</f>
        <v/>
      </c>
      <c r="F2797">
        <f>IF(Skills!N14=TRUE,(Skills!L14/10)*(E2797/1000),Skills!L14/10)+Skills!O14</f>
        <v/>
      </c>
      <c r="G2797">
        <f>Skills!G14*IF(Skills!H14&gt;0,Skills!I14/Skills!H14,1)</f>
        <v/>
      </c>
      <c r="H2797">
        <f>1-(1-Skills!J14/100)^Skills!K14</f>
        <v/>
      </c>
      <c r="I2797" t="inlineStr">
        <is>
          <t>1</t>
        </is>
      </c>
      <c r="J2797" t="inlineStr"/>
      <c r="K2797" t="inlineStr"/>
      <c r="L2797" t="inlineStr"/>
      <c r="M2797" t="inlineStr"/>
      <c r="N2797" t="inlineStr"/>
      <c r="O2797">
        <f>(1-Summary!$B$11)*T2797+Summary!$B$11*V2797</f>
        <v/>
      </c>
      <c r="P2797">
        <f>IF(B2818=0,0,O2797/B2818)</f>
        <v/>
      </c>
      <c r="Q2797" t="n">
        <v>0</v>
      </c>
      <c r="R2797" t="n">
        <v>0</v>
      </c>
      <c r="S2797">
        <f>IFERROR(O2797/N2797,0)</f>
        <v/>
      </c>
      <c r="T2797" t="n">
        <v>0</v>
      </c>
      <c r="V2797" t="n">
        <v>0</v>
      </c>
    </row>
    <row r="2798">
      <c r="A2798">
        <f>Skills!A15</f>
        <v/>
      </c>
      <c r="B2798">
        <f>Skills!B15</f>
        <v/>
      </c>
      <c r="C2798">
        <f>Inputs!$B$3&gt;=115</f>
        <v/>
      </c>
      <c r="D2798">
        <f>IF(Skills!C15=1,60+Inputs!$B$25+Inputs!$B$29,IF(Skills!C15=2,90+Inputs!$B$26+Inputs!$B$29,IF(Skills!C15=3,120+Inputs!$B$27+Inputs!$B$29,MAX(0,(Inputs!$B$3-100)*3)+Inputs!$B$28+Inputs!$B$29)))</f>
        <v/>
      </c>
      <c r="E2798">
        <f>INDEX(FactorTable!$B$2:$Y$301, MATCH(ROUND(MIN(300,MAX(1,D2798)),0), FactorTable!$A$2:$A$301,0), Skills!M15+1)</f>
        <v/>
      </c>
      <c r="F2798">
        <f>IF(Skills!N15=TRUE,(Skills!L15/10)*(E2798/1000),Skills!L15/10)+Skills!O15</f>
        <v/>
      </c>
      <c r="G2798">
        <f>Skills!G15*IF(Skills!H15&gt;0,Skills!I15/Skills!H15,1)</f>
        <v/>
      </c>
      <c r="H2798">
        <f>1-(1-Skills!J15/100)^Skills!K15</f>
        <v/>
      </c>
      <c r="I2798" t="inlineStr">
        <is>
          <t>1</t>
        </is>
      </c>
      <c r="J2798" t="inlineStr"/>
      <c r="K2798" t="inlineStr"/>
      <c r="L2798" t="inlineStr"/>
      <c r="M2798" t="inlineStr"/>
      <c r="N2798" t="inlineStr"/>
      <c r="O2798">
        <f>(1-Summary!$B$11)*T2798+Summary!$B$11*V2798</f>
        <v/>
      </c>
      <c r="P2798">
        <f>IF(B2818=0,0,O2798/B2818)</f>
        <v/>
      </c>
      <c r="Q2798" t="n">
        <v>0</v>
      </c>
      <c r="R2798" t="n">
        <v>0</v>
      </c>
      <c r="S2798">
        <f>IFERROR(O2798/N2798,0)</f>
        <v/>
      </c>
      <c r="T2798" t="n">
        <v>0</v>
      </c>
      <c r="V2798" t="n">
        <v>0</v>
      </c>
    </row>
    <row r="2799">
      <c r="A2799">
        <f>Skills!A16</f>
        <v/>
      </c>
      <c r="B2799">
        <f>Skills!B16</f>
        <v/>
      </c>
      <c r="C2799">
        <f>Inputs!$B$3&gt;=15</f>
        <v/>
      </c>
      <c r="D2799">
        <f>IF(Skills!C16=1,60+Inputs!$B$25+Inputs!$B$29,IF(Skills!C16=2,90+Inputs!$B$26+Inputs!$B$29,IF(Skills!C16=3,120+Inputs!$B$27+Inputs!$B$29,MAX(0,(Inputs!$B$3-100)*3)+Inputs!$B$28+Inputs!$B$29)))</f>
        <v/>
      </c>
      <c r="E2799">
        <f>INDEX(FactorTable!$B$2:$Y$301, MATCH(ROUND(MIN(300,MAX(1,D2799)),0), FactorTable!$A$2:$A$301,0), Skills!M16+1)</f>
        <v/>
      </c>
      <c r="F2799">
        <f>IF(Skills!N16=TRUE,(Skills!L16/10)*(E2799/1000),Skills!L16/10)+Skills!O16</f>
        <v/>
      </c>
      <c r="G2799">
        <f>Skills!G16*IF(Skills!H16&gt;0,Skills!I16/Skills!H16,1)</f>
        <v/>
      </c>
      <c r="H2799">
        <f>1-(1-Skills!J16/100)^Skills!K16</f>
        <v/>
      </c>
      <c r="I2799" t="inlineStr">
        <is>
          <t>1</t>
        </is>
      </c>
      <c r="J2799" t="inlineStr"/>
      <c r="K2799" t="inlineStr"/>
      <c r="L2799" t="inlineStr"/>
      <c r="M2799" t="inlineStr"/>
      <c r="N2799" t="inlineStr"/>
      <c r="O2799">
        <f>(1-Summary!$B$11)*T2799+Summary!$B$11*V2799</f>
        <v/>
      </c>
      <c r="P2799">
        <f>IF(B2818=0,0,O2799/B2818)</f>
        <v/>
      </c>
      <c r="Q2799" t="n">
        <v>0</v>
      </c>
      <c r="R2799" t="n">
        <v>0</v>
      </c>
      <c r="S2799">
        <f>IFERROR(O2799/N2799,0)</f>
        <v/>
      </c>
      <c r="T2799" t="n">
        <v>0</v>
      </c>
      <c r="V2799" t="n">
        <v>0</v>
      </c>
    </row>
    <row r="2800">
      <c r="A2800">
        <f>Skills!A17</f>
        <v/>
      </c>
      <c r="B2800">
        <f>Skills!B17</f>
        <v/>
      </c>
      <c r="C2800">
        <f>Inputs!$B$3&gt;=10</f>
        <v/>
      </c>
      <c r="D2800">
        <f>IF(Skills!C17=1,60+Inputs!$B$25+Inputs!$B$29,IF(Skills!C17=2,90+Inputs!$B$26+Inputs!$B$29,IF(Skills!C17=3,120+Inputs!$B$27+Inputs!$B$29,MAX(0,(Inputs!$B$3-100)*3)+Inputs!$B$28+Inputs!$B$29)))</f>
        <v/>
      </c>
      <c r="E2800">
        <f>INDEX(FactorTable!$B$2:$Y$301, MATCH(ROUND(MIN(300,MAX(1,D2800)),0), FactorTable!$A$2:$A$301,0), Skills!M17+1)</f>
        <v/>
      </c>
      <c r="F2800">
        <f>IF(Skills!N17=TRUE,(Skills!L17/10)*(E2800/1000),Skills!L17/10)+Skills!O17</f>
        <v/>
      </c>
      <c r="G2800">
        <f>Skills!G17*IF(Skills!H17&gt;0,Skills!I17/Skills!H17,1)</f>
        <v/>
      </c>
      <c r="H2800">
        <f>1-(1-Skills!J17/100)^Skills!K17</f>
        <v/>
      </c>
      <c r="I2800" t="inlineStr">
        <is>
          <t>1</t>
        </is>
      </c>
      <c r="J2800" t="inlineStr"/>
      <c r="K2800" t="inlineStr"/>
      <c r="L2800" t="inlineStr"/>
      <c r="M2800" t="inlineStr"/>
      <c r="N2800" t="inlineStr"/>
      <c r="O2800">
        <f>(1-Summary!$B$11)*T2800+Summary!$B$11*V2800</f>
        <v/>
      </c>
      <c r="P2800">
        <f>IF(B2818=0,0,O2800/B2818)</f>
        <v/>
      </c>
      <c r="Q2800" t="n">
        <v>0</v>
      </c>
      <c r="R2800" t="n">
        <v>0</v>
      </c>
      <c r="S2800">
        <f>IFERROR(O2800/N2800,0)</f>
        <v/>
      </c>
      <c r="T2800" t="n">
        <v>0</v>
      </c>
      <c r="V2800" t="n">
        <v>0</v>
      </c>
    </row>
    <row r="2801">
      <c r="A2801">
        <f>Skills!A18</f>
        <v/>
      </c>
      <c r="B2801">
        <f>Skills!B18</f>
        <v/>
      </c>
      <c r="C2801">
        <f>Inputs!$B$3&gt;=33</f>
        <v/>
      </c>
      <c r="D2801">
        <f>IF(Skills!C18=1,60+Inputs!$B$25+Inputs!$B$29,IF(Skills!C18=2,90+Inputs!$B$26+Inputs!$B$29,IF(Skills!C18=3,120+Inputs!$B$27+Inputs!$B$29,MAX(0,(Inputs!$B$3-100)*3)+Inputs!$B$28+Inputs!$B$29)))</f>
        <v/>
      </c>
      <c r="E2801">
        <f>INDEX(FactorTable!$B$2:$Y$301, MATCH(ROUND(MIN(300,MAX(1,D2801)),0), FactorTable!$A$2:$A$301,0), Skills!M18+1)</f>
        <v/>
      </c>
      <c r="F2801">
        <f>IF(Skills!N18=TRUE,(Skills!L18/10)*(E2801/1000),Skills!L18/10)+Skills!O18</f>
        <v/>
      </c>
      <c r="G2801">
        <f>Skills!G18*IF(Skills!H18&gt;0,Skills!I18/Skills!H18,1)</f>
        <v/>
      </c>
      <c r="H2801">
        <f>1-(1-Skills!J18/100)^Skills!K18</f>
        <v/>
      </c>
      <c r="I2801" t="inlineStr">
        <is>
          <t>1</t>
        </is>
      </c>
      <c r="J2801" t="inlineStr"/>
      <c r="K2801" t="inlineStr"/>
      <c r="L2801" t="inlineStr"/>
      <c r="M2801" t="inlineStr"/>
      <c r="N2801" t="inlineStr"/>
      <c r="O2801">
        <f>(1-Summary!$B$11)*T2801+Summary!$B$11*V2801</f>
        <v/>
      </c>
      <c r="P2801">
        <f>IF(B2818=0,0,O2801/B2818)</f>
        <v/>
      </c>
      <c r="Q2801" t="n">
        <v>0</v>
      </c>
      <c r="R2801" t="n">
        <v>0</v>
      </c>
      <c r="S2801">
        <f>IFERROR(O2801/N2801,0)</f>
        <v/>
      </c>
      <c r="T2801" t="n">
        <v>0</v>
      </c>
      <c r="V2801" t="n">
        <v>0</v>
      </c>
    </row>
    <row r="2802">
      <c r="A2802">
        <f>Skills!A19</f>
        <v/>
      </c>
      <c r="B2802">
        <f>Skills!B19</f>
        <v/>
      </c>
      <c r="C2802">
        <f>Inputs!$B$3&gt;=40</f>
        <v/>
      </c>
      <c r="D2802">
        <f>IF(Skills!C19=1,60+Inputs!$B$25+Inputs!$B$29,IF(Skills!C19=2,90+Inputs!$B$26+Inputs!$B$29,IF(Skills!C19=3,120+Inputs!$B$27+Inputs!$B$29,MAX(0,(Inputs!$B$3-100)*3)+Inputs!$B$28+Inputs!$B$29)))</f>
        <v/>
      </c>
      <c r="E2802">
        <f>INDEX(FactorTable!$B$2:$Y$301, MATCH(ROUND(MIN(300,MAX(1,D2802)),0), FactorTable!$A$2:$A$301,0), Skills!M19+1)</f>
        <v/>
      </c>
      <c r="F2802">
        <f>IF(Skills!N19=TRUE,(Skills!L19/10)*(E2802/1000),Skills!L19/10)+Skills!O19</f>
        <v/>
      </c>
      <c r="G2802">
        <f>Skills!G19*IF(Skills!H19&gt;0,Skills!I19/Skills!H19,1)</f>
        <v/>
      </c>
      <c r="H2802">
        <f>1-(1-Skills!J19/100)^Skills!K19</f>
        <v/>
      </c>
      <c r="I2802" t="inlineStr">
        <is>
          <t>1</t>
        </is>
      </c>
      <c r="J2802" t="inlineStr"/>
      <c r="K2802" t="inlineStr"/>
      <c r="L2802" t="inlineStr"/>
      <c r="M2802" t="inlineStr"/>
      <c r="N2802" t="inlineStr"/>
      <c r="O2802">
        <f>(1-Summary!$B$11)*T2802+Summary!$B$11*V2802</f>
        <v/>
      </c>
      <c r="P2802">
        <f>IF(B2818=0,0,O2802/B2818)</f>
        <v/>
      </c>
      <c r="Q2802" t="n">
        <v>0</v>
      </c>
      <c r="R2802" t="n">
        <v>0</v>
      </c>
      <c r="S2802">
        <f>IFERROR(O2802/N2802,0)</f>
        <v/>
      </c>
      <c r="T2802" t="n">
        <v>0</v>
      </c>
      <c r="V2802" t="n">
        <v>0</v>
      </c>
    </row>
    <row r="2803">
      <c r="A2803">
        <f>Skills!A20</f>
        <v/>
      </c>
      <c r="B2803">
        <f>Skills!B20</f>
        <v/>
      </c>
      <c r="C2803">
        <f>Inputs!$B$3&gt;=43</f>
        <v/>
      </c>
      <c r="D2803">
        <f>IF(Skills!C20=1,60+Inputs!$B$25+Inputs!$B$29,IF(Skills!C20=2,90+Inputs!$B$26+Inputs!$B$29,IF(Skills!C20=3,120+Inputs!$B$27+Inputs!$B$29,MAX(0,(Inputs!$B$3-100)*3)+Inputs!$B$28+Inputs!$B$29)))</f>
        <v/>
      </c>
      <c r="E2803">
        <f>INDEX(FactorTable!$B$2:$Y$301, MATCH(ROUND(MIN(300,MAX(1,D2803)),0), FactorTable!$A$2:$A$301,0), Skills!M20+1)</f>
        <v/>
      </c>
      <c r="F2803">
        <f>IF(Skills!N20=TRUE,(Skills!L20/10)*(E2803/1000),Skills!L20/10)+Skills!O20</f>
        <v/>
      </c>
      <c r="G2803">
        <f>Skills!G20*IF(Skills!H20&gt;0,Skills!I20/Skills!H20,1)</f>
        <v/>
      </c>
      <c r="H2803">
        <f>1-(1-Skills!J20/100)^Skills!K20</f>
        <v/>
      </c>
      <c r="I2803" t="inlineStr">
        <is>
          <t>1</t>
        </is>
      </c>
      <c r="J2803" t="inlineStr"/>
      <c r="K2803" t="inlineStr"/>
      <c r="L2803" t="inlineStr"/>
      <c r="M2803" t="inlineStr"/>
      <c r="N2803" t="inlineStr"/>
      <c r="O2803">
        <f>(1-Summary!$B$11)*T2803+Summary!$B$11*V2803</f>
        <v/>
      </c>
      <c r="P2803">
        <f>IF(B2818=0,0,O2803/B2818)</f>
        <v/>
      </c>
      <c r="Q2803" t="n">
        <v>0</v>
      </c>
      <c r="R2803" t="n">
        <v>0</v>
      </c>
      <c r="S2803">
        <f>IFERROR(O2803/N2803,0)</f>
        <v/>
      </c>
      <c r="T2803" t="n">
        <v>0</v>
      </c>
      <c r="V2803" t="n">
        <v>0</v>
      </c>
    </row>
    <row r="2804">
      <c r="A2804">
        <f>Skills!A21</f>
        <v/>
      </c>
      <c r="B2804">
        <f>Skills!B21</f>
        <v/>
      </c>
      <c r="C2804">
        <f>Inputs!$B$3&gt;=38</f>
        <v/>
      </c>
      <c r="D2804">
        <f>IF(Skills!C21=1,60+Inputs!$B$25+Inputs!$B$29,IF(Skills!C21=2,90+Inputs!$B$26+Inputs!$B$29,IF(Skills!C21=3,120+Inputs!$B$27+Inputs!$B$29,MAX(0,(Inputs!$B$3-100)*3)+Inputs!$B$28+Inputs!$B$29)))</f>
        <v/>
      </c>
      <c r="E2804">
        <f>INDEX(FactorTable!$B$2:$Y$301, MATCH(ROUND(MIN(300,MAX(1,D2804)),0), FactorTable!$A$2:$A$301,0), Skills!M21+1)</f>
        <v/>
      </c>
      <c r="F2804">
        <f>IF(Skills!N21=TRUE,(Skills!L21/10)*(E2804/1000),Skills!L21/10)+Skills!O21</f>
        <v/>
      </c>
      <c r="G2804">
        <f>Skills!G21*IF(Skills!H21&gt;0,Skills!I21/Skills!H21,1)</f>
        <v/>
      </c>
      <c r="H2804">
        <f>1-(1-Skills!J21/100)^Skills!K21</f>
        <v/>
      </c>
      <c r="I2804" t="inlineStr">
        <is>
          <t>1</t>
        </is>
      </c>
      <c r="J2804" t="inlineStr"/>
      <c r="K2804" t="inlineStr"/>
      <c r="L2804" t="inlineStr"/>
      <c r="M2804" t="inlineStr"/>
      <c r="N2804" t="inlineStr"/>
      <c r="O2804">
        <f>(1-Summary!$B$11)*T2804+Summary!$B$11*V2804</f>
        <v/>
      </c>
      <c r="P2804">
        <f>IF(B2818=0,0,O2804/B2818)</f>
        <v/>
      </c>
      <c r="Q2804" t="n">
        <v>0</v>
      </c>
      <c r="R2804" t="n">
        <v>0</v>
      </c>
      <c r="S2804">
        <f>IFERROR(O2804/N2804,0)</f>
        <v/>
      </c>
      <c r="T2804" t="n">
        <v>0</v>
      </c>
      <c r="V2804" t="n">
        <v>0</v>
      </c>
    </row>
    <row r="2805">
      <c r="A2805">
        <f>Skills!A22</f>
        <v/>
      </c>
      <c r="B2805">
        <f>Skills!B22</f>
        <v/>
      </c>
      <c r="C2805">
        <f>Inputs!$B$3&gt;=75</f>
        <v/>
      </c>
      <c r="D2805">
        <f>IF(Skills!C22=1,60+Inputs!$B$25+Inputs!$B$29,IF(Skills!C22=2,90+Inputs!$B$26+Inputs!$B$29,IF(Skills!C22=3,120+Inputs!$B$27+Inputs!$B$29,MAX(0,(Inputs!$B$3-100)*3)+Inputs!$B$28+Inputs!$B$29)))</f>
        <v/>
      </c>
      <c r="E2805">
        <f>INDEX(FactorTable!$B$2:$Y$301, MATCH(ROUND(MIN(300,MAX(1,D2805)),0), FactorTable!$A$2:$A$301,0), Skills!M22+1)</f>
        <v/>
      </c>
      <c r="F2805">
        <f>IF(Skills!N22=TRUE,(Skills!L22/10)*(E2805/1000),Skills!L22/10)+Skills!O22</f>
        <v/>
      </c>
      <c r="G2805">
        <f>Skills!G22*IF(Skills!H22&gt;0,Skills!I22/Skills!H22,1)</f>
        <v/>
      </c>
      <c r="H2805">
        <f>1-(1-Skills!J22/100)^Skills!K22</f>
        <v/>
      </c>
      <c r="I2805" t="inlineStr">
        <is>
          <t>1</t>
        </is>
      </c>
      <c r="J2805" t="inlineStr"/>
      <c r="K2805" t="inlineStr"/>
      <c r="L2805" t="inlineStr"/>
      <c r="M2805" t="inlineStr"/>
      <c r="N2805" t="inlineStr"/>
      <c r="O2805">
        <f>(1-Summary!$B$11)*T2805+Summary!$B$11*V2805</f>
        <v/>
      </c>
      <c r="P2805">
        <f>IF(B2818=0,0,O2805/B2818)</f>
        <v/>
      </c>
      <c r="Q2805" t="n">
        <v>0</v>
      </c>
      <c r="R2805" t="n">
        <v>0</v>
      </c>
      <c r="S2805">
        <f>IFERROR(O2805/N2805,0)</f>
        <v/>
      </c>
      <c r="T2805" t="n">
        <v>0</v>
      </c>
      <c r="V2805" t="n">
        <v>0</v>
      </c>
    </row>
    <row r="2807">
      <c r="A2807" t="inlineStr">
        <is>
          <t>Attack% Bucket Multiplier</t>
        </is>
      </c>
      <c r="B2807">
        <f>(1+(((C2796=TRUE)*F2796)+((C2802=TRUE)*(F2802-Calc!F19))+(IF(ArtifactsInput!$M$21,CHOOSE(ArtifactsInput!$N$21+1,25,30,35,40,45,50)*(IF(OR(Inputs!$B$4="Chapter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8">
      <c r="A2808" t="inlineStr">
        <is>
          <t>Global Crit Rate Bonus %</t>
        </is>
      </c>
      <c r="B2808" t="n">
        <v>0</v>
      </c>
    </row>
    <row r="2809">
      <c r="A2809" t="inlineStr">
        <is>
          <t>Attack Speed Buff Bonus % (unused)</t>
        </is>
      </c>
      <c r="B2809" t="n">
        <v>0</v>
      </c>
    </row>
    <row r="2810">
      <c r="A2810" t="inlineStr">
        <is>
          <t>Actions Per Second</t>
        </is>
      </c>
      <c r="B2810">
        <f>1+MIN(150,150*(1-(1-(Inputs!$B$11+((C2800=TRUE)*(F2800-Calc!F17))+((C2801=TRUE)*(F2801-Calc!F18)))/150)*(1-B2809/150)))/100</f>
        <v/>
      </c>
    </row>
    <row r="2811">
      <c r="A2811" t="inlineStr">
        <is>
          <t>Skill + Buff Cast Rate</t>
        </is>
      </c>
      <c r="B2811">
        <f>IF(AND(Inputs!$B$38&lt;&gt;"pvp",Inputs!$B$43&gt;0),SUMPRODUCT((Skills!E2:E22=TRUE)*(C2785:C2805=TRUE)*R2785:R2805*Skills!F2:F22)/Inputs!$B$43,SUMPRODUCT((Skills!E2:E22=TRUE)*(C2785:C2805=TRUE)*Q2785:Q2805*Skills!F2:F22))</f>
        <v/>
      </c>
    </row>
    <row r="2812">
      <c r="A2812" t="inlineStr">
        <is>
          <t>Hook Bomber Casts Per Second</t>
        </is>
      </c>
      <c r="B2812">
        <f>MAX(0,B2810-B2811)</f>
        <v/>
      </c>
    </row>
    <row r="2813">
      <c r="A2813" t="inlineStr">
        <is>
          <t>Global Critical Damage Bonus % (unused)</t>
        </is>
      </c>
      <c r="B2813" t="n">
        <v>0</v>
      </c>
    </row>
    <row r="2814">
      <c r="A2814" t="inlineStr">
        <is>
          <t>Global Final Damage Bonus % (Serpent Scale + Crossbones + Time Leap + Speed Infusion)</t>
        </is>
      </c>
      <c r="B2814">
        <f>((C2788=TRUE)*F2788*((10+IF(Inputs!$B$3&gt;=94,5,0))/((10+IF(Inputs!$B$3&gt;=94,5,0))+5/(B2812*(1+IF(Inputs!$B$3&gt;=104,1,0))))))+((C2797=TRUE)*F2797)+((C2798=TRUE)*F2798)+((Inputs!$B$3&gt;=110)*20*(B2810-1))</f>
        <v/>
      </c>
    </row>
    <row r="2815">
      <c r="A2815" t="inlineStr">
        <is>
          <t>Buff-Casting Startup Delay (s, fixed-duration only)</t>
        </is>
      </c>
      <c r="B2815">
        <f>IF(AND(Inputs!$B$38&lt;&gt;"pvp",Inputs!$B$43&gt;0),SUMPRODUCT((Skills!T2:T22&gt;0)*(Skills!E2:E22=TRUE)*(C2785:C2805=TRUE))/B2810,0)</f>
        <v/>
      </c>
    </row>
    <row r="2816">
      <c r="A2816" t="inlineStr">
        <is>
          <t>Boss-Only Total DPS (this block's swept value)</t>
        </is>
      </c>
      <c r="B2816">
        <f>SUM(T2785:T2805)</f>
        <v/>
      </c>
    </row>
    <row r="2817">
      <c r="A2817" t="inlineStr">
        <is>
          <t>Normal-Only Total DPS (this block's swept value)</t>
        </is>
      </c>
      <c r="B2817">
        <f>SUM(V2785:V2805)</f>
        <v/>
      </c>
    </row>
    <row r="2818">
      <c r="A2818" s="6" t="inlineStr">
        <is>
          <t>TOTAL DPS</t>
        </is>
      </c>
      <c r="B2818" s="6">
        <f>SUM(O2785:O2805)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2026-09-26T23:18:51Z</dcterms:created>
  <dcterms:modified xsi:type="dcterms:W3CDTF">2026-09-26T23:18:51Z</dcterms:modified>
</cp:coreProperties>
</file>