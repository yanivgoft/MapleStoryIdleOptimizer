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This class has NO individual wiki pages at all (worse than Bishop) — every scaling skill's (baseDamage, factorIndex) is a FLAGGED ASSUMPTION derived from its single known level-1 value using the per-skill-type factorIndex convention, not a verified curve. Hook Bomber (basic attack) is the one exception, reusing the universal cross-class 4th-job-basic-attack constant (2900, 21). The Mastery table (Lv.12-138) IS real and confirmed — its discrete level-gated deltas are layered on top of the assumed base curves as genuine SkillMasteryBonus%/MasteryBossDamage% contributions.</t>
        </is>
      </c>
    </row>
    <row r="12">
      <c r="A12" s="2" t="inlineStr">
        <is>
          <t>Sea Serpent Burst / Serpent Assault / Serpent Scale model Buccaneer's 'Assault Mode' resource economy (5 Serpent Scales -&gt; 10s Assault Mode, swapping the basic-attack proc and adding +25% Final Damage) as a steady-state duty cycle, not an exact stack-gain/mode-toggle state machine — a documented approximation, reusing the existing ProcChance% machinery rather than inventing new state tracking. Because Corkscrew Blow (Lv.73+) costs its own action-slot time, unlocking it slightly *reduces* total DPS at that exact level boundary (verified numerically, not a bug) — it eats into Hook Bomber's own cast rate, which lowers Assault Mode uptime, and Serpent Assault loses more DPS from that than Corkscrew Blow itself adds.</t>
        </is>
      </c>
    </row>
    <row r="13">
      <c r="A13" s="2" t="inlineStr">
        <is>
          <t>Octopunch + Sea Serpent's Rage + Raging Serpent Assault: Sea Serpent's Rage triggers unconditionally on every Octopunch cast (folded additively into Octopunch's own coefficient) plus its own extra-hits tick (Raging Serpent Assault) gated by the same Assault-Mode-uptime fraction above, since it only fires while in Assault Mode.</t>
        </is>
      </c>
    </row>
    <row r="14">
      <c r="A14" s="2" t="inlineStr">
        <is>
          <t>Nautilus Strike (1950% dmg/15 targets/5 hits) is confirmed SHARED verbatim with Corsair (byte-identical wiki description) — a FLAGGED ASSUMPTION tuple (no cooldown stated anywhere either, 45s assumed by convention), reused directly by Corsair's own build rather than re-derived. Its own Mastery 'Nautilus Strike - Final Attack' (Lv.113, patched 15%-&gt;30% trigger chance, cooldown set to 1s) procs off basic attacks, modeled as its own row, same machinery as Bowmaster's Flash Mirage.</t>
        </is>
      </c>
    </row>
    <row r="15">
      <c r="A15" s="2" t="inlineStr">
        <is>
          <t>Groggy Mastery's Aug-13 patch is a mechanic-TYPE change, not just a number change — generic 'damage +25%' becomes specifically 'Final Damage +8%'. Modeled as +8% Final Damage per the patch.</t>
        </is>
      </c>
    </row>
    <row r="16">
      <c r="A16" s="2" t="inlineStr">
        <is>
          <t>Maple Hero's own wiki entry is genuinely truncated in the wiki's source (verified via raw wikitext, not a fetch bug): 'Increases Final Damage of the following skills: Serpent Assault 60%, Corkscrew...' cuts off mid-sentence, missing Corkscrew Blow's own %/level and a likely third buffed skill (Corsair's own Maple Hero has exactly 3 entries). Only Serpent Assault's confirmed 60% is modeled; Corkscrew Blow's share and the missing third skill are left unmodeled — flagged as an incomplete gap for a human to fill in later, not guessed.</t>
        </is>
      </c>
    </row>
    <row r="17">
      <c r="A17" s="2" t="inlineStr">
        <is>
          <t>Crossbones, Speed Infusion, Time Leap, and Roll of the Dice have no cooldown data anywhere on the wiki — modeled as always-active once unlocked, flagged as a likely DPS overestimate versus their real (unknown) cooldowns.</t>
        </is>
      </c>
    </row>
    <row r="18">
      <c r="A18"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9">
      <c r="A19" s="2" t="inlineStr">
        <is>
          <t>Not modeled (out of scope): all forms of crowd control (Corkscrew Blow's stun), Accuracy, Evasion, Defense, HP recovery, movement speed, and Companion Summoning Time.</t>
        </is>
      </c>
    </row>
    <row r="20">
      <c r="A20"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Buccaneer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only skills/buffs the character actively casts)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3"/>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SUMPRODUCT((Inputs!$B$3&gt;={102,106,116,120,128,132})*{10,1,1,1,1,1})</f>
        <v/>
      </c>
      <c r="P2">
        <f>SUMPRODUCT((Inputs!$B$3&gt;={111,124})*{10,10})</f>
        <v/>
      </c>
      <c r="Q2" t="n">
        <v>0</v>
      </c>
      <c r="R2">
        <f>6+Inputs!$B$33</f>
        <v/>
      </c>
      <c r="S2" t="inlineStr"/>
      <c r="T2" t="n">
        <v>0</v>
      </c>
      <c r="U2" t="inlineStr"/>
      <c r="V2" t="inlineStr"/>
      <c r="W2" t="inlineStr">
        <is>
          <t>4th-job basic-attack effect (supersedes Somersault Kick/Shotgun Punch/Turning Kick, confirmed identical wiki wording — 290% damage to 6 target(s) in front 5 time(s) — to every other class's own 4th-job basic attack). factorIndex 21, baseDamage 2900 tenths%. HitsPerCast=5, bumping to 6 once Mastery Lv.136 'Hook Bomber - Strike' unlocks. Real Damage mastery chain (102/106/116/120/128/132, DELTAS not cumulative) and Boss Monster Damage chain (111/124, +10% each) — same level breakpoints as Hero's own Hook Bomber chain. No 'Final Attack' skill exists anywhere in Buccaneer's own kit, so unlike Hero/Dark Knight/Bowmaster/Marksman there is no two-stage Final-Attack-folding helper needed here.</t>
        </is>
      </c>
    </row>
    <row r="3">
      <c r="A3" t="inlineStr">
        <is>
          <t>SEA_SERPENT_BURST</t>
        </is>
      </c>
      <c r="B3" t="inlineStr">
        <is>
          <t>Sea Serpent Burst</t>
        </is>
      </c>
      <c r="C3" t="n">
        <v>2</v>
      </c>
      <c r="D3" t="inlineStr"/>
      <c r="E3" t="b">
        <v>0</v>
      </c>
      <c r="F3" t="n">
        <v>1</v>
      </c>
      <c r="G3" t="n">
        <v>2</v>
      </c>
      <c r="H3" t="n">
        <v>0</v>
      </c>
      <c r="I3" t="n">
        <v>0</v>
      </c>
      <c r="J3">
        <f>100*(1-((10+IF(Inputs!$B$3&gt;=94,5,0))/((10+IF(Inputs!$B$3&gt;=94,5,0))+5/(Summary!$B$19*(1+IF(Inputs!$B$3&gt;=104,1,0))))))</f>
        <v/>
      </c>
      <c r="K3" t="n">
        <v>1</v>
      </c>
      <c r="L3" t="n">
        <v>1300</v>
      </c>
      <c r="M3" t="n">
        <v>12</v>
      </c>
      <c r="N3" t="b">
        <v>1</v>
      </c>
      <c r="O3" t="n">
        <v>0</v>
      </c>
      <c r="P3" t="n">
        <v>0</v>
      </c>
      <c r="Q3" t="n">
        <v>0</v>
      </c>
      <c r="R3" t="n">
        <v>5</v>
      </c>
      <c r="S3" t="inlineStr"/>
      <c r="T3" t="n">
        <v>0</v>
      </c>
      <c r="U3" t="inlineStr"/>
      <c r="V3" t="inlineStr"/>
      <c r="W3" t="inlineStr">
        <is>
          <t>FLAGGED ASSUMPTION (no individual wiki page exists — only the level-1 value is known): 'When attacking with Basic Attack, Sea Serpent's waves spread...to deal 130% additional damage to 5 target(s) in front 2 time(s).' factorIndex 12 (burst convention), baseDamage 1300 tenths%. PATCHED: 40% chance -&gt; guaranteed on basic attack. Modeled as the 'out of Assault Mode' half of this project's own Assault-Mode duty-cycle approximation (see assault_uptime_expr) — ProcChance% below is set to 100*(1-uptime), reusing the existing ProcProbability machinery to represent 'fraction of basic attacks NOT spent in Assault Mode' rather than a flat RNG chance. Greater Sea Serpent I (a slottable upgrade skill, not a mastery-table row — assumed always-equipped once unlocked, same convention as every other permanent passive-if-equipped skill in this project) changes targets to 7 and damage to 430% — folded directly into this row's own baseDamage/targets rather than modeled as a separate row, since it's a straight replacement of Sea Serpent Burst's own numbers, not an additive bonus.</t>
        </is>
      </c>
    </row>
    <row r="4">
      <c r="A4" t="inlineStr">
        <is>
          <t>SERPENT_ASSAULT</t>
        </is>
      </c>
      <c r="B4" t="inlineStr">
        <is>
          <t>Serpent Assault</t>
        </is>
      </c>
      <c r="C4" t="n">
        <v>2</v>
      </c>
      <c r="D4" t="inlineStr"/>
      <c r="E4" t="b">
        <v>0</v>
      </c>
      <c r="F4" t="n">
        <v>1</v>
      </c>
      <c r="G4" t="n">
        <v>3</v>
      </c>
      <c r="H4" t="n">
        <v>0</v>
      </c>
      <c r="I4" t="n">
        <v>0</v>
      </c>
      <c r="J4">
        <f>100*((10+IF(Inputs!$B$3&gt;=94,5,0))/((10+IF(Inputs!$B$3&gt;=94,5,0))+5/(Summary!$B$19*(1+IF(Inputs!$B$3&gt;=104,1,0)))))</f>
        <v/>
      </c>
      <c r="K4" t="n">
        <v>1</v>
      </c>
      <c r="L4" t="n">
        <v>4800</v>
      </c>
      <c r="M4" t="n">
        <v>12</v>
      </c>
      <c r="N4" t="b">
        <v>1</v>
      </c>
      <c r="O4" t="n">
        <v>0</v>
      </c>
      <c r="P4" t="n">
        <v>0</v>
      </c>
      <c r="Q4" t="n">
        <v>0</v>
      </c>
      <c r="R4" t="n">
        <v>12</v>
      </c>
      <c r="S4" t="inlineStr"/>
      <c r="T4" t="n">
        <v>0</v>
      </c>
      <c r="U4" t="n">
        <v>600</v>
      </c>
      <c r="V4" t="n">
        <v>23</v>
      </c>
      <c r="W4" t="inlineStr">
        <is>
          <t>FLAGGED ASSUMPTION (no individual wiki page exists): 'When attacking with Basic Attack in Assault Mode, activates instead of Sea Serpent Burst to deal 480% additional damage to 12 nearby target(s) 3 time(s).' factorIndex 12, baseDamage 4800 tenths%. ProcChance% below is set to 100*uptime (see assault_uptime_expr) — the complementary half of Sea Serpent Burst's own duty-cycle split. Greater Sea Serpent II (slottable upgrade, assumed always-equipped once unlocked) adds +100% Final Damage and more targets ('spreads farther', exact new target count not stated anywhere on the wiki) — the +100% FD is folded in as a flat x2 multiplier baked into this row's own baseDamage (4800 already reflects it: raw level-1 value would be 2400, doubled here) since the target-count increase has no stated number to use. Maple Hero target (own confirmed 60% share, ratio 1.0) — see MAPLE_HERO_RATIOS.</t>
        </is>
      </c>
    </row>
    <row r="5">
      <c r="A5" t="inlineStr">
        <is>
          <t>SERPENT_SCALE_FD</t>
        </is>
      </c>
      <c r="B5" t="inlineStr">
        <is>
          <t>Serpent Scale (Assault Mode Final Damage)</t>
        </is>
      </c>
      <c r="C5" t="n">
        <v>2</v>
      </c>
      <c r="D5" t="inlineStr"/>
      <c r="E5" t="b">
        <v>0</v>
      </c>
      <c r="F5" t="n">
        <v>1</v>
      </c>
      <c r="G5" t="n">
        <v>1</v>
      </c>
      <c r="H5" t="n">
        <v>0</v>
      </c>
      <c r="I5" t="n">
        <v>0</v>
      </c>
      <c r="J5" t="n">
        <v>100</v>
      </c>
      <c r="K5" t="n">
        <v>1</v>
      </c>
      <c r="L5" t="n">
        <v>250</v>
      </c>
      <c r="M5" t="n">
        <v>22</v>
      </c>
      <c r="N5" t="b">
        <v>1</v>
      </c>
      <c r="O5" t="n">
        <v>0</v>
      </c>
      <c r="P5" t="n">
        <v>0</v>
      </c>
      <c r="Q5" t="n">
        <v>0</v>
      </c>
      <c r="R5" t="n">
        <v>0</v>
      </c>
      <c r="S5" t="inlineStr">
        <is>
          <t>FINAL_DAMAGE</t>
        </is>
      </c>
      <c r="T5" t="n">
        <v>0</v>
      </c>
      <c r="U5" t="inlineStr"/>
      <c r="V5" t="inlineStr"/>
      <c r="W5" t="inlineStr">
        <is>
          <t>FLAGGED ASSUMPTION (no individual wiki page exists): '[5 Serpent Scales Required] Consumes all Serpent Scales to enter Assault Mode...increases Final Damage by 25%.' factorIndex 22, baseDamage 250 tenths%. Modeled as active for exactly the assault_uptime_expr() fraction of the time (NOT the standard cooldown-driven buff_uptime() helper — this is a resource-stack economy, not a player cooldown, same category of deviation as Bowmaster's own AS-scaled Quiver Cartridge cooldown). The OTHER stated effect ('[Serpent Scale in Slot] when Sea Serpent Burst is activated, obtains Serpent Scale and increases Final Damage by 2%, stacks up to 5 times' — a SEPARATE, smaller FD buff active BEFORE reaching Assault Mode) is NOT modeled — stacking an approximation on top of an already-approximated resource economy was judged out of scope for this session.</t>
        </is>
      </c>
    </row>
    <row r="6">
      <c r="A6" t="inlineStr">
        <is>
          <t>CORKSCREW_BLOW</t>
        </is>
      </c>
      <c r="B6" t="inlineStr">
        <is>
          <t>Corkscrew Blow</t>
        </is>
      </c>
      <c r="C6" t="n">
        <v>3</v>
      </c>
      <c r="D6" t="n">
        <v>21</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'Charges to the front...to deal 340% damage to 7 target(s) 2 time(s) and stun them' (stun not modeled), 21s cooldown — confirmed via maplestoryidle.info cross-reference (corrected from a previously-assumed 20s, since no cooldown existed on the wiki either). factorIndex 12, baseDamage 3400 tenths%. Mastery Lv.73 'Corkscrew Blow - Damage' +80% (real SkillMasteryBonus%). CONFIRMED, EXPLAINED level-boundary DPS DIP at unlock (Lv.63, not a bug): this skill's own CostsActionSlot=True consumes basic-attack action-slot time, lowering Hook Bomber's own cast rate (Summary!$B$R_BAPS) — which the Assault-Mode duty cycle (assault_uptime_expr) is inversely sensitive to, since regen_time=5/(BAPS*scalesPerProc) grows as BAPS shrinks. Because Serpent Assault (riding on that same uptime) deals far more DPS than Corkscrew Blow itself adds, the net effect at Lv.63 is a small TOTAL DPS decrease versus Lv.62 — verified directly (Lv.62: 153242 total, uptime 0.6667; Lv.63: 148737 total, uptime 0.6552, Corkscrew Blow's own +5476 outweighed by Serpent Assault's -9725 and Sea Serpent Burst's -256). A genuine emergent consequence of the resource-economy approximation interacting with the shared action-slot budget, not a coding error — flagged explicitly here rather than silently accepted or hidden, per this project's own level-boundary-sweep rigor bar. Maple Hero target (own confirmed 40% share, ratio 40/60) — see MAPLE_HERO_RATIOS, resolved from the wiki's own previously-truncated Maple Hero text via maplestoryidle.info.</t>
        </is>
      </c>
    </row>
    <row r="7">
      <c r="A7" t="inlineStr">
        <is>
          <t>OCTOPUNCH</t>
        </is>
      </c>
      <c r="B7" t="inlineStr">
        <is>
          <t>Octopunch</t>
        </is>
      </c>
      <c r="C7" t="n">
        <v>4</v>
      </c>
      <c r="D7" t="n">
        <v>16</v>
      </c>
      <c r="E7" t="b">
        <v>1</v>
      </c>
      <c r="F7" t="n">
        <v>1</v>
      </c>
      <c r="G7">
        <f>3+IF(OR(Inputs!$B$38="boss",Inputs!$B$38="pvp"),2,0)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'Throws a series of punches to deal 900% damage to 4 target(s) in front 3 time(s).' 16s cooldown — confirmed via maplestoryidle.info cross-reference (corrected from a previously-assumed 15s, since no cooldown existed on the wiki either). factorIndex 12, baseDamage 9000 tenths%. Mastery Lv.108 'Octopunch - Damage' +50% (real SkillMasteryBonus%). The skill's own 'if the target is a boss, deals the same damage 2 more time(s)' clause is modeled via HitsPerCast (see below), NOT via this row's own NormalMonsterTargets field. Mastery Lv.134 'Octopunch - Reuse' (-30% cooldown) not separately modeled, same treatment as Hero's own Rush cooldown masteries.</t>
        </is>
      </c>
    </row>
    <row r="8">
      <c r="A8" t="inlineStr">
        <is>
          <t>SEA_SERPENTS_RAGE</t>
        </is>
      </c>
      <c r="B8" t="inlineStr">
        <is>
          <t>Sea Serpent's Rage</t>
        </is>
      </c>
      <c r="C8" t="n">
        <v>4</v>
      </c>
      <c r="D8" t="n">
        <v>16</v>
      </c>
      <c r="E8" t="b">
        <v>0</v>
      </c>
      <c r="F8" t="n">
        <v>1</v>
      </c>
      <c r="G8" t="n">
        <v>2</v>
      </c>
      <c r="H8" t="n">
        <v>0</v>
      </c>
      <c r="I8" t="n">
        <v>0</v>
      </c>
      <c r="J8" t="n">
        <v>100</v>
      </c>
      <c r="K8" t="n">
        <v>1</v>
      </c>
      <c r="L8" t="n">
        <v>17000</v>
      </c>
      <c r="M8" t="n">
        <v>12</v>
      </c>
      <c r="N8" t="b">
        <v>1</v>
      </c>
      <c r="O8">
        <f>SUMPRODUCT((Inputs!$B$3&gt;={122})*{100})</f>
        <v/>
      </c>
      <c r="P8" t="n">
        <v>0</v>
      </c>
      <c r="Q8" t="n">
        <v>0</v>
      </c>
      <c r="R8" t="n">
        <v>8</v>
      </c>
      <c r="S8" t="inlineStr"/>
      <c r="T8" t="n">
        <v>0</v>
      </c>
      <c r="U8" t="inlineStr"/>
      <c r="V8" t="inlineStr"/>
      <c r="W8" t="inlineStr">
        <is>
          <t>'When Octopunch is activated, a Sea Serpent appears and deals 1700% additional damage to 8 target(s) in front 2 time(s)' — UNCONDITIONAL on every Octopunch cast (own damage-taken-increase debuff on hit targets, 15% for 5s, not modeled). Modeled as its own row sharing Octopunch's own Cooldown(s) value (16s, kept in manual lockstep — this row has no live formula reference to Octopunch's own cooldown cell, so both must be updated together) with CostsActionSlot=False and effectively guaranteed (ProcChance 100, RollsPerCast 1) — same 'shares parent's cast timing, doesn't double-count in the action economy' pattern as Hero's own PUNCTURE_WOUND sharing PUNCTURE's cooldown, chosen over folding into Octopunch's own coefficient because the two skills' target counts/hit counts differ (4/3 vs 8/2) and coefficient-folding assumes a shared target/hit shape. factorIndex 12, baseDamage 17000 tenths%. Mastery Lv.122 'Sea Serpent's Rage - Damage' +100% (real SkillMasteryBonus%, confirmed via maplestoryidle.info — previously missing entirely).</t>
        </is>
      </c>
    </row>
    <row r="9">
      <c r="A9" t="inlineStr">
        <is>
          <t>RAGING_SERPENT_ASSAULT</t>
        </is>
      </c>
      <c r="B9" t="inlineStr">
        <is>
          <t>Raging Serpent Assault</t>
        </is>
      </c>
      <c r="C9" t="n">
        <v>4</v>
      </c>
      <c r="D9" t="n">
        <v>16</v>
      </c>
      <c r="E9" t="b">
        <v>0</v>
      </c>
      <c r="F9" t="n">
        <v>1</v>
      </c>
      <c r="G9" t="n">
        <v>1</v>
      </c>
      <c r="H9" t="n">
        <v>1</v>
      </c>
      <c r="I9" t="n">
        <v>5</v>
      </c>
      <c r="J9">
        <f>100*((10+IF(Inputs!$B$3&gt;=94,5,0))/((10+IF(Inputs!$B$3&gt;=94,5,0))+5/(Summary!$B$19*(1+IF(Inputs!$B$3&gt;=104,1,0)))))</f>
        <v/>
      </c>
      <c r="K9" t="n">
        <v>1</v>
      </c>
      <c r="L9" t="n">
        <v>13000</v>
      </c>
      <c r="M9" t="n">
        <v>12</v>
      </c>
      <c r="N9" t="b">
        <v>1</v>
      </c>
      <c r="O9">
        <f>SUMPRODUCT((Inputs!$B$3&gt;={130})*{50})</f>
        <v/>
      </c>
      <c r="P9" t="n">
        <v>0</v>
      </c>
      <c r="Q9" t="n">
        <v>0</v>
      </c>
      <c r="R9" t="n">
        <v>9</v>
      </c>
      <c r="S9" t="inlineStr"/>
      <c r="T9" t="n">
        <v>0</v>
      </c>
      <c r="U9" t="inlineStr"/>
      <c r="V9" t="inlineStr"/>
      <c r="W9" t="inlineStr">
        <is>
          <t>'When attacking with Sea Serpent's Rage in Assault Mode, calls upon an enraged Sea Serpent...to deal 1300% damage to 9 nearby target(s) every 1 sec' for 5 sec (EffectiveHits = ActiveWindow/ICD = 5 ticks/cast). Shares SEA_SERPENTS_RAGE's own Cooldown(s) (16s, same cast timing, CostsActionSlot=False, kept in manual lockstep) — gated ADDITIONALLY by the SAME Assault-Mode-uptime fraction as SEA_SERPENT_BURST/SERPENT_ASSAULT (ProcChance% = 100*uptime, see assault_uptime_expr) since this effect only fires while in Assault Mode, on top of Sea Serpent's Rage's own already-guaranteed trigger. factorIndex 12, baseDamage 13000 tenths%. Mastery Lv.130 'Raging Serpent Assault - Damage' +50% (real SkillMasteryBonus%, confirmed via maplestoryidle.info — previously missing entirely).</t>
        </is>
      </c>
    </row>
    <row r="10">
      <c r="A10" t="inlineStr">
        <is>
          <t>NAUTILUS_STRIKE</t>
        </is>
      </c>
      <c r="B10" t="inlineStr">
        <is>
          <t>Nautilus Strike</t>
        </is>
      </c>
      <c r="C10" t="n">
        <v>4</v>
      </c>
      <c r="D10" t="n">
        <v>33</v>
      </c>
      <c r="E10" t="b">
        <v>1</v>
      </c>
      <c r="F10" t="n">
        <v>1</v>
      </c>
      <c r="G10" t="n">
        <v>5</v>
      </c>
      <c r="H10" t="n">
        <v>0</v>
      </c>
      <c r="I10" t="n">
        <v>0</v>
      </c>
      <c r="J10" t="n">
        <v>100</v>
      </c>
      <c r="K10" t="n">
        <v>1</v>
      </c>
      <c r="L10" t="n">
        <v>19500</v>
      </c>
      <c r="M10" t="n">
        <v>12</v>
      </c>
      <c r="N10" t="b">
        <v>1</v>
      </c>
      <c r="O10">
        <f>SUMPRODUCT((Inputs!$B$3&gt;={126})*{50})</f>
        <v/>
      </c>
      <c r="P10" t="n">
        <v>0</v>
      </c>
      <c r="Q10" t="n">
        <v>0</v>
      </c>
      <c r="R10" t="n">
        <v>15</v>
      </c>
      <c r="S10" t="inlineStr"/>
      <c r="T10" t="n">
        <v>0</v>
      </c>
      <c r="U10" t="inlineStr"/>
      <c r="V10" t="inlineStr"/>
      <c r="W10" t="inlineStr">
        <is>
          <t>'Orders the Nautilus to attack to deal 1950% damage to 15 nearby target(s) 5 time(s).' 33s cooldown — confirmed via maplestoryidle.info cross-reference (corrected from a previously-assumed 45s, since no cooldown existed on the wiki either — a real, sizable fix: ~36% faster casts). factorIndex 12, baseDamage 19500 tenths%. Mastery Lv.126 'Nautilus Strike - Damage' +50% (real SkillMasteryBonus%, confirmed via maplestoryidle.info — previously missing entirely). CONFIRMED SHARED VERBATIM WITH CORSAIR (byte-identical wiki description on both classes' overview pages) — Corsair's own build should reuse this exact (19500, 12, 33s cooldown, Lv.126 +50% mastery) tuple directly rather than re-deriving it.</t>
        </is>
      </c>
    </row>
    <row r="11">
      <c r="A11" t="inlineStr">
        <is>
          <t>NAUTILUS_FINAL_ATTACK</t>
        </is>
      </c>
      <c r="B11" t="inlineStr">
        <is>
          <t>Nautilus Strike - Final Attack</t>
        </is>
      </c>
      <c r="C11" t="n">
        <v>4</v>
      </c>
      <c r="D11" t="n">
        <v>1</v>
      </c>
      <c r="E11" t="b">
        <v>0</v>
      </c>
      <c r="F11" t="n">
        <v>1</v>
      </c>
      <c r="G11" t="n">
        <v>1</v>
      </c>
      <c r="H11" t="n">
        <v>0</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not a base skill: '[Nautilus Strike in Slot] When attacking, deals 850% additional damage' — PATCHED: trigger chance 15%-&gt;30%, 'cooldown set to 1s' (both baked in directly: ProcChance%=30, Cooldown(s)=1). Triggers off basic attacks generically (same Cooldown+ProcChance-gated machinery as Bowmaster's own Flash Mirage), CostsActionSlot=False so it doesn't compete with Hook Bomber's own action economy. factorIndex 21 (Final-Attack-style convention, matching every other 'additional damage on attack' proc in this project), baseDamage 8500 tenths%. Gated at Lv.113 (the mastery's own unlock level, not Nautilus Strike's base unlock) since the proc doesn't exist until this specific mastery tier is slotted.</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own Final Damage chain — mirrors every other class's own Maple Hero mechanism. FLAGGED ASSUMPTION: the wiki's own source text for this row is genuinely TRUNCATED mid-sentence ('Serpent Assault 60%, Corkscrew...') and no individual Maple_Hero_(Buccaneer) page exists to confirm a real growth curve — factorIndex 23 assumed by convention (matches the universal Maple Hero 'growth-reduction after Lv.120' shape confirmed on every other class), baseDamage 600 tenths% anchored to the one confirmed level-1 value (60%). Corkscrew Blow's own share and a likely third buffed skill are completely unmodeled — a known incomplete gap, not guessed, per direct user decision. No independent DPS row of its own (Calc columns J-N blank/0, only D/E/F computed, read directly by Serpent Assault's own K-column formula).</t>
        </is>
      </c>
    </row>
    <row r="13">
      <c r="A13" t="inlineStr">
        <is>
          <t>ROLL_OF_THE_DICE_DICE</t>
        </is>
      </c>
      <c r="B13" t="inlineStr">
        <is>
          <t>Roll of the Dice (dice component)</t>
        </is>
      </c>
      <c r="C13" t="n">
        <v>2</v>
      </c>
      <c r="D13" t="inlineStr"/>
      <c r="E13" t="b">
        <v>0</v>
      </c>
      <c r="F13" t="n">
        <v>1</v>
      </c>
      <c r="G13" t="n">
        <v>1</v>
      </c>
      <c r="H13" t="n">
        <v>0</v>
      </c>
      <c r="I13" t="n">
        <v>0</v>
      </c>
      <c r="J13" t="n">
        <v>100</v>
      </c>
      <c r="K13" t="n">
        <v>1</v>
      </c>
      <c r="L13" t="n">
        <v>25</v>
      </c>
      <c r="M13" t="n">
        <v>22</v>
      </c>
      <c r="N13" t="b">
        <v>1</v>
      </c>
      <c r="O13" t="n">
        <v>0</v>
      </c>
      <c r="P13" t="n">
        <v>0</v>
      </c>
      <c r="Q13" t="n">
        <v>0</v>
      </c>
      <c r="R13" t="n">
        <v>0</v>
      </c>
      <c r="S13" t="inlineStr">
        <is>
          <t>ATTACK</t>
        </is>
      </c>
      <c r="T13" t="n">
        <v>0</v>
      </c>
      <c r="U13" t="inlineStr"/>
      <c r="V13" t="inlineStr"/>
      <c r="W13" t="inlineStr">
        <is>
          <t>Confirmed via maplestoryidle.info cross-reference (same wording as the wiki, now with no ambiguity): 'Increases Attack by 20%. Rolls a six-sided die every 7 sec to increase Attack by 0-5% in proportion to the number on the die for 5 sec. A number that has appeared once does not appear again for 30 sec.' The flat, unconditional +20% Attack base effect is Magic-Critical-pattern (assumed already reflected in your own Inputs!ATTACK_PCT, see PASSIVE_DELTA_SLOT) — this row models ONLY the random dice component. The 'no repeat within 30s' rule guarantees a uniform long-run frequency over the 6 faces regardless of draw order, so the time-averaged roll magnitude is exactly the simple mean of 0/1/2/3/4/5% = 2.5% (not an approximation) — baseDamage 25 tenths% is this mean. The 7s-roll/5s-duration timing IS now modeled as a real duty cycle: the buff is only up 5 of every 7 sec, so the row's own use site (the Attack%% bucket multiplier) multiplies this row's coefficient by 5/7, not treated as always-active (previously a FLAGGED ASSUMPTION gap; ProcChance% is left at 100/unused since this row type reads Calc!F directly rather than through the ProcChance-derived column — see the 5/7 factor at its use site instead). factorIndex 22 (matches every other Magic-Critical-pattern flat buff row, e.g. Crossbones/Jolly Roger) — a wiki table showing no per-level growth on THIS component isn't reliable evidence it's truly non-scaling (same lesson as Bowmaster's Hurricane/Flash Mirage/Soul Arrow, all previously mis-flagged factorIndex 0 for the same reason).</t>
        </is>
      </c>
    </row>
    <row r="14">
      <c r="A14" t="inlineStr">
        <is>
          <t>CROSSBONES_FD</t>
        </is>
      </c>
      <c r="B14" t="inlineStr">
        <is>
          <t>Crossbones</t>
        </is>
      </c>
      <c r="C14" t="n">
        <v>4</v>
      </c>
      <c r="D14" t="n">
        <v>28</v>
      </c>
      <c r="E14" t="b">
        <v>1</v>
      </c>
      <c r="F14" t="n">
        <v>1</v>
      </c>
      <c r="G14" t="n">
        <v>1</v>
      </c>
      <c r="H14" t="n">
        <v>0</v>
      </c>
      <c r="I14" t="n">
        <v>0</v>
      </c>
      <c r="J14" t="n">
        <v>100</v>
      </c>
      <c r="K14" t="n">
        <v>1</v>
      </c>
      <c r="L14" t="n">
        <v>100</v>
      </c>
      <c r="M14" t="n">
        <v>22</v>
      </c>
      <c r="N14" t="b">
        <v>1</v>
      </c>
      <c r="O14" t="n">
        <v>0</v>
      </c>
      <c r="P14" t="n">
        <v>0</v>
      </c>
      <c r="Q14" t="n">
        <v>0</v>
      </c>
      <c r="R14" t="n">
        <v>0</v>
      </c>
      <c r="S14" t="inlineStr">
        <is>
          <t>FINAL_DAMAGE</t>
        </is>
      </c>
      <c r="T14" t="n">
        <v>12</v>
      </c>
      <c r="U14" t="inlineStr"/>
      <c r="V14" t="inlineStr"/>
      <c r="W14" t="inlineStr">
        <is>
          <t>Confirmed via maplestoryidle.info cross-reference: a real Type=Active cast (mpCost 90, 28s cooldown), not a passive — CostsActionSlot corrected from False to True and given its real 28s cooldown/12s duration (previously modeled as an always-active, no-cooldown-known passive, which both overstated its uptime to 100% AND wrongly gave it a free action-economy ride). Duty-cycle averaged now via the standard buff_uptime() helper, same treatment as Nimble Feet. 'Increases Final Damage by 10% and Defense Penetration by 5% for 12 sec.' Only the Final Damage component is modeled — this project has no live per-skill Defense-Penetration-bucket mechanism anywhere to reuse (Def Pen is normally a static Inputs field with its own diminishing-returns formula, not something a skill can contribute to live). factorIndex 22, baseDamage 100 tenths%.</t>
        </is>
      </c>
    </row>
    <row r="15">
      <c r="A15" t="inlineStr">
        <is>
          <t>TIME_LEAP_FD</t>
        </is>
      </c>
      <c r="B15" t="inlineStr">
        <is>
          <t>Time Leap</t>
        </is>
      </c>
      <c r="C15" t="n">
        <v>4</v>
      </c>
      <c r="D15" t="n">
        <v>65</v>
      </c>
      <c r="E15" t="b">
        <v>1</v>
      </c>
      <c r="F15" t="n">
        <v>1</v>
      </c>
      <c r="G15" t="n">
        <v>1</v>
      </c>
      <c r="H15" t="n">
        <v>0</v>
      </c>
      <c r="I15" t="n">
        <v>0</v>
      </c>
      <c r="J15" t="n">
        <v>100</v>
      </c>
      <c r="K15" t="n">
        <v>1</v>
      </c>
      <c r="L15" t="n">
        <v>150</v>
      </c>
      <c r="M15" t="n">
        <v>22</v>
      </c>
      <c r="N15" t="b">
        <v>1</v>
      </c>
      <c r="O15" t="n">
        <v>0</v>
      </c>
      <c r="P15" t="n">
        <v>0</v>
      </c>
      <c r="Q15" t="n">
        <v>0</v>
      </c>
      <c r="R15" t="n">
        <v>0</v>
      </c>
      <c r="S15" t="inlineStr">
        <is>
          <t>FINAL_DAMAGE</t>
        </is>
      </c>
      <c r="T15" t="n">
        <v>40</v>
      </c>
      <c r="U15" t="inlineStr"/>
      <c r="V15" t="inlineStr"/>
      <c r="W15" t="inlineStr">
        <is>
          <t>Confirmed via maplestoryidle.info cross-reference: a real Type=Active cast (mpCost 40, 65s cooldown, 40s duration), not a passive — CostsActionSlot corrected from False to True and given its real cooldown/duration (previously modeled as an always-active, no-cooldown-known passive after an assumed initial delay). Duty-cycle averaged now via the standard buff_uptime() helper, same treatment as Nimble Feet/Crossbones. The skill's own 'a 12-sec cooldown is applied at the start of battle when this skill is in slot' quirk (a one-time delayed-first-cast behavior) is NOT modeled — this project has no start-of-battle-delay mechanic beyond the shared buff-casting-startup-delay, and layering a skill-specific one on top was judged out of scope. 'Instantly decreases the cooldown of Active Skills by 50% and increases Final Damage by 30% for 40 sec.' PATCHED: Final Damage 30%-&gt;15% (a nerf) — modeled value already reflects the patch. The cooldown-reduction-for-self/allies effect is not modeled (no mechanic exists in this project for one skill's cooldown to modify another's, nor for other players). factorIndex 22, baseDamage 150 tenths% (already the patched 15%). Mastery Lv.138 'Time Leap - Grant' (+10%p own Final Damage boost, plus an ally-CDR-grant effect) not modeled — no other players exist in this project's model.</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61</v>
      </c>
      <c r="M17" t="n">
        <v>22</v>
      </c>
      <c r="N17" t="b">
        <v>1</v>
      </c>
      <c r="O17">
        <f>SUMPRODUCT((Inputs!$B$3&gt;={24})*{5})</f>
        <v/>
      </c>
      <c r="P17" t="n">
        <v>0</v>
      </c>
      <c r="Q17" t="n">
        <v>0</v>
      </c>
      <c r="R17" t="n">
        <v>0</v>
      </c>
      <c r="S17" t="inlineStr">
        <is>
          <t>ATTACK_SPEED</t>
        </is>
      </c>
      <c r="T17" t="n">
        <v>0</v>
      </c>
      <c r="U17" t="inlineStr"/>
      <c r="V17" t="inlineStr"/>
      <c r="W17" t="inlineStr">
        <is>
          <t>Magic Critical pattern — already baked into Inputs!ATTACK_SPEED%; feeds the 1st-Job Skill Level Bonus delta. Confirmed via maplestoryidle.info cross-reference: 'Increases Attack Speed by 6.1% and Speed by 8.1%' (Speed component not modeled; baseDamage corrected from a previously-rounded 60 tenths% to the real 61 tenths% = 6.1%).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61 tenths%. Mastery Lv.24 'Quick Motion - Speed' +5%p Attack Speed (real SkillMasteryBonus%, confirmed via maplestoryidle.info — previously missing entirely).</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2</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row r="23">
      <c r="A23" t="inlineStr">
        <is>
          <t>NIMBLE_FEET</t>
        </is>
      </c>
      <c r="B23" t="inlineStr">
        <is>
          <t>Nimble Feet</t>
        </is>
      </c>
      <c r="C23" t="n">
        <v>1</v>
      </c>
      <c r="D23" t="n">
        <v>60</v>
      </c>
      <c r="E23" t="b">
        <v>1</v>
      </c>
      <c r="F23" t="n">
        <v>1</v>
      </c>
      <c r="G23" t="n">
        <v>1</v>
      </c>
      <c r="H23" t="n">
        <v>0</v>
      </c>
      <c r="I23" t="n">
        <v>0</v>
      </c>
      <c r="J23" t="n">
        <v>100</v>
      </c>
      <c r="K23" t="n">
        <v>1</v>
      </c>
      <c r="L23" t="n">
        <v>150</v>
      </c>
      <c r="M23" t="n">
        <v>0</v>
      </c>
      <c r="N23" t="b">
        <v>0</v>
      </c>
      <c r="O23" t="n">
        <v>0</v>
      </c>
      <c r="P23" t="n">
        <v>0</v>
      </c>
      <c r="Q23" t="n">
        <v>0</v>
      </c>
      <c r="R23" t="n">
        <v>1</v>
      </c>
      <c r="S23" t="inlineStr">
        <is>
          <t>ATTACK_SPEED</t>
        </is>
      </c>
      <c r="T23" t="n">
        <v>15</v>
      </c>
      <c r="U23" t="inlineStr"/>
      <c r="V23" t="inlineStr"/>
      <c r="W23"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Buccaneer's own Quick Motion is a separate, unrelated flat passive). Flat +15% Attack Speed / +10% Speed for 15s, non-scaling. Speed component not modeled (no Speed stat anywhere in this project). FactorIndex unused placeholder.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Buccaneer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IF(AND(ArtifactsInput!$M$42,B4&lt;100),CHOOSE(ArtifactsInput!$N$42+1,30,36,42,48,54,60),0)</f>
        <v/>
      </c>
    </row>
    <row r="6">
      <c r="A6" t="inlineStr">
        <is>
          <t>Ring of Cycles — Skill Damage (if threshold &gt;= 100%)</t>
        </is>
      </c>
      <c r="B6">
        <f>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Skills!G2*IF(Skills!H2&gt;0,Skills!I2/Skills!H2,1)</f>
        <v/>
      </c>
      <c r="H2">
        <f>1-(1-Skills!J2/100)^Skills!K2</f>
        <v/>
      </c>
      <c r="I2" t="inlineStr">
        <is>
          <t>1</t>
        </is>
      </c>
      <c r="J2">
        <f>Summary!$B$6*(F2/100)</f>
        <v/>
      </c>
      <c r="K2">
        <f>J2*(1+Summary!$B$7/100)*(1+Inputs!$B$15/100)*(1+Inputs!$B$16/100)*(5000/(6000+Inputs!$B$42*(1-Inputs!$B$19/100)))*(1+(Inputs!$B$24+Summary!$B$21)/100)*(1+Artifacts!$B$34/100)*(1+(IF(Skills!A2="HOOK_BOMBER",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f>Summary!$B$6*(F3/100)</f>
        <v/>
      </c>
      <c r="K3">
        <f>J3*(1+Summary!$B$7/100)*(1+Inputs!$B$15/100)*(1+Inputs!$B$16/100)*(5000/(6000+Inputs!$B$42*(1-Inputs!$B$19/100)))*(1+(Inputs!$B$24+Summary!$B$21)/100)*(1+Artifacts!$B$34/100)*(1+(IF(Skills!A3="HOOK_BOMBER",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t="n">
        <v>0</v>
      </c>
      <c r="R3" t="n">
        <v>0</v>
      </c>
      <c r="S3">
        <f>IFERROR(O3/N3,0)</f>
        <v/>
      </c>
      <c r="T3">
        <f>IF(C3,(Skills!G3*H3*N3*Summary!$B$19)*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IF(C3,(Skills!G3*H3*N3*Summary!$B$19)*IF(Inputs!$B$38="pvp",1,(1+(Inputs!$B$21+Skills!Q3+Summary!$B$15+Artifacts!$B$80)/100)*(MIN(Skills!R3,Inputs!$B$37)))*((1+Artifacts!$B$53/100)),0)</f>
        <v/>
      </c>
    </row>
    <row r="4">
      <c r="A4">
        <f>Skills!A4</f>
        <v/>
      </c>
      <c r="B4">
        <f>Skills!B4</f>
        <v/>
      </c>
      <c r="C4">
        <f>Inputs!$B$3&gt;=60</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Summary!$B$6*(F4/100)</f>
        <v/>
      </c>
      <c r="K4">
        <f>J4*(1+Summary!$B$7/100)*(1+Inputs!$B$15/100)*(1+Inputs!$B$16/100)*(5000/(6000+Inputs!$B$42*(1-Inputs!$B$19/100)))*(1+(Inputs!$B$24+Summary!$B$21)/100)*(1+Artifacts!$B$34/100)*(1+1.0*IF(C12=TRUE,F12,0)/100)*(1+(IF(Skills!A4="HOOK_BOMBER",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t="n">
        <v>0</v>
      </c>
      <c r="R4" t="n">
        <v>0</v>
      </c>
      <c r="S4">
        <f>IFERROR(O4/N4,0)</f>
        <v/>
      </c>
      <c r="T4">
        <f>IF(C4,(Skills!G4*H4*N4*Summary!$B$19)*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IF(C4,(Skills!G4*H4*N4*Summary!$B$19)*IF(Inputs!$B$38="pvp",1,(1+(Inputs!$B$21+Skills!Q4+Summary!$B$15+Artifacts!$B$80)/100)*(MIN(Skills!R4,Inputs!$B$37)))*((1+Artifacts!$B$53/100)),0)</f>
        <v/>
      </c>
    </row>
    <row r="5">
      <c r="A5">
        <f>Skills!A5</f>
        <v/>
      </c>
      <c r="B5">
        <f>Skills!B5</f>
        <v/>
      </c>
      <c r="C5">
        <f>Inputs!$B$3&gt;=60</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t="inlineStr"/>
      <c r="K5" t="inlineStr"/>
      <c r="L5" t="inlineStr"/>
      <c r="M5" t="inlineStr"/>
      <c r="N5" t="inlineStr"/>
      <c r="O5">
        <f>(1-Summary!$B$11)*T5+Summary!$B$11*V5</f>
        <v/>
      </c>
      <c r="P5">
        <f>IF(Summary!$B$3=0,0,O5/Summary!$B$3)</f>
        <v/>
      </c>
      <c r="Q5" t="n">
        <v>0</v>
      </c>
      <c r="R5" t="n">
        <v>0</v>
      </c>
      <c r="S5">
        <f>IFERROR(O5/N5,0)</f>
        <v/>
      </c>
      <c r="T5" t="n">
        <v>0</v>
      </c>
      <c r="V5" t="n">
        <v>0</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Summary!$B$6*(F6/100)</f>
        <v/>
      </c>
      <c r="K6">
        <f>J6*(1+Summary!$B$7/100)*(1+Inputs!$B$15/100)*(1+Inputs!$B$16/100)*(5000/(6000+Inputs!$B$42*(1-Inputs!$B$19/100)))*(1+(Inputs!$B$24+Summary!$B$21)/100)*(1+Artifacts!$B$34/100)*(1+0.6666666666666666*IF(C12=TRUE,F12,0)/100)*(1+(IF(Skills!A6="HOOK_BOMBER",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IFERROR(1/(IF(Inputs!$B$38="pvp",15,MAX(0.1,Skills!D6-IF(Skills!E6=TRUE,Inputs!$B$32,0)))*(1-IF(AND(ArtifactsInput!$M$27,Inputs!$B$4="Chapter Hunt"),CHOOSE(ArtifactsInput!$N$27+1,20,24,28,32,36,40),0)/100)),0)</f>
        <v/>
      </c>
      <c r="R6">
        <f>IF(AND(Inputs!$B$38&lt;&gt;"pvp",Inputs!$B$43&gt;0),IF(MAX(0,Inputs!$B$43-Summary!$B$23)&lt;=0,0,(INT(MAX(0,Inputs!$B$43-Summary!$B$23)/(IF(Inputs!$B$38="pvp",15,MAX(0.1,Skills!D6-IF(Skills!E6=TRUE,Inputs!$B$32,0)))*(1-IF(AND(ArtifactsInput!$M$27,Inputs!$B$4="Chapter Hunt"),CHOOSE(ArtifactsInput!$N$27+1,20,24,28,32,36,40),0)/100)))+1)),0)</f>
        <v/>
      </c>
      <c r="S6">
        <f>IFERROR(O6/N6,0)</f>
        <v/>
      </c>
      <c r="T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Skills!I6/Skills!H6,1)+IF(Skills!H6&gt;0,MIN(Skills!I6,MAX(0,MAX(0,Inputs!$B$43-Summary!$B$23)-((R6-1)*(IF(Inputs!$B$38="pvp",15,MAX(0.1,Skills!D6-IF(Skills!E6=TRUE,Inputs!$B$32,0)))*(1-IF(AND(ArtifactsInput!$M$27,Inputs!$B$4="Chapter Hunt"),CHOOSE(ArtifactsInput!$N$27+1,20,24,28,32,36,40),0)/100)))))/Skills!H6,1)))/Inputs!$B$43),G6*Q6))*IF(Inputs!$B$38="pvp",1,(1+(Inputs!$B$21+Skills!Q6+Summary!$B$15+Artifacts!$B$80)/100)*(MIN(Skills!R6,Inputs!$B$37)))*((1+Artifacts!$B$53/100)),0)</f>
        <v/>
      </c>
    </row>
    <row r="7">
      <c r="A7">
        <f>Skills!A7</f>
        <v/>
      </c>
      <c r="B7">
        <f>Skills!B7</f>
        <v/>
      </c>
      <c r="C7">
        <f>Inputs!$B$3&gt;=100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f>Summary!$B$6*(F7/100)</f>
        <v/>
      </c>
      <c r="K7">
        <f>J7*(1+Summary!$B$7/100)*(1+Inputs!$B$15/100)*(1+Inputs!$B$16/100)*(5000/(6000+Inputs!$B$42*(1-Inputs!$B$19/100)))*(1+(Inputs!$B$24+Summary!$B$21)/100)*(1+Artifacts!$B$34/100)*(1+(IF(Skills!A7="HOOK_BOMBER",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IFERROR(1/(IF(Inputs!$B$38="pvp",15,MAX(0.1,Skills!D7-IF(Skills!E7=TRUE,Inputs!$B$32,0)))*(1-IF(AND(ArtifactsInput!$M$27,Inputs!$B$4="Chapter Hunt"),CHOOSE(ArtifactsInput!$N$27+1,20,24,28,32,36,40),0)/100)),0)</f>
        <v/>
      </c>
      <c r="R7">
        <f>IF(AND(Inputs!$B$38&lt;&gt;"pvp",Inputs!$B$43&gt;0),IF(MAX(0,Inputs!$B$43-Summary!$B$23)&lt;=0,0,(INT(MAX(0,Inputs!$B$43-Summary!$B$23)/(IF(Inputs!$B$38="pvp",15,MAX(0.1,Skills!D7-IF(Skills!E7=TRUE,Inputs!$B$32,0)))*(1-IF(AND(ArtifactsInput!$M$27,Inputs!$B$4="Chapter Hunt"),CHOOSE(ArtifactsInput!$N$27+1,20,24,28,32,36,40),0)/100)))+1)),0)</f>
        <v/>
      </c>
      <c r="S7">
        <f>IFERROR(O7/N7,0)</f>
        <v/>
      </c>
      <c r="T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Skills!I7/Skills!H7,1)+IF(Skills!H7&gt;0,MIN(Skills!I7,MAX(0,MAX(0,Inputs!$B$43-Summary!$B$23)-((R7-1)*(IF(Inputs!$B$38="pvp",15,MAX(0.1,Skills!D7-IF(Skills!E7=TRUE,Inputs!$B$32,0)))*(1-IF(AND(ArtifactsInput!$M$27,Inputs!$B$4="Chapter Hunt"),CHOOSE(ArtifactsInput!$N$27+1,20,24,28,32,36,40),0)/100)))))/Skills!H7,1)))/Inputs!$B$43),G7*Q7))*IF(Inputs!$B$38="pvp",1,(1+(Inputs!$B$21+Skills!Q7+Summary!$B$15+Artifacts!$B$80)/100)*(MIN(Skills!R7,Inputs!$B$37)))*((1+Artifacts!$B$53/100)),0)</f>
        <v/>
      </c>
    </row>
    <row r="8">
      <c r="A8">
        <f>Skills!A8</f>
        <v/>
      </c>
      <c r="B8">
        <f>Skills!B8</f>
        <v/>
      </c>
      <c r="C8">
        <f>Inputs!$B$3&gt;=110</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Summary!$B$6*(F8/100)</f>
        <v/>
      </c>
      <c r="K8">
        <f>J8*(1+Summary!$B$7/100)*(1+Inputs!$B$15/100)*(1+Inputs!$B$16/100)*(5000/(6000+Inputs!$B$42*(1-Inputs!$B$19/100)))*(1+(Inputs!$B$24+Summary!$B$21)/100)*(1+Artifacts!$B$34/100)*(1+(IF(Skills!A8="HOOK_BOMBER",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IFERROR(1/(IF(Inputs!$B$38="pvp",15,MAX(0.1,Skills!D8-IF(Skills!E8=TRUE,Inputs!$B$32,0)))*(1-IF(AND(ArtifactsInput!$M$27,Inputs!$B$4="Chapter Hunt"),CHOOSE(ArtifactsInput!$N$27+1,20,24,28,32,36,40),0)/100)),0)</f>
        <v/>
      </c>
      <c r="R8">
        <f>IF(AND(Inputs!$B$38&lt;&gt;"pvp",Inputs!$B$43&gt;0),IF(MAX(0,Inputs!$B$43-Summary!$B$23)&lt;=0,0,(INT(MAX(0,Inputs!$B$43-Summary!$B$23)/(IF(Inputs!$B$38="pvp",15,MAX(0.1,Skills!D8-IF(Skills!E8=TRUE,Inputs!$B$32,0)))*(1-IF(AND(ArtifactsInput!$M$27,Inputs!$B$4="Chapter Hunt"),CHOOSE(ArtifactsInput!$N$27+1,20,24,28,32,36,40),0)/100)))+1)),0)</f>
        <v/>
      </c>
      <c r="S8">
        <f>IFERROR(O8/N8,0)</f>
        <v/>
      </c>
      <c r="T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Skills!I8/Skills!H8,1)+IF(Skills!H8&gt;0,MIN(Skills!I8,MAX(0,MAX(0,Inputs!$B$43-Summary!$B$23)-((R8-1)*(IF(Inputs!$B$38="pvp",15,MAX(0.1,Skills!D8-IF(Skills!E8=TRUE,Inputs!$B$32,0)))*(1-IF(AND(ArtifactsInput!$M$27,Inputs!$B$4="Chapter Hunt"),CHOOSE(ArtifactsInput!$N$27+1,20,24,28,32,36,40),0)/100)))))/Skills!H8,1)))/Inputs!$B$43),G8*Q8))*IF(Inputs!$B$38="pvp",1,(1+(Inputs!$B$21+Skills!Q8+Summary!$B$15+Artifacts!$B$80)/100)*(MIN(Skills!R8,Inputs!$B$37)))*((1+Artifacts!$B$53/100)),0)</f>
        <v/>
      </c>
    </row>
    <row r="9">
      <c r="A9">
        <f>Skills!A9</f>
        <v/>
      </c>
      <c r="B9">
        <f>Skills!B9</f>
        <v/>
      </c>
      <c r="C9">
        <f>Inputs!$B$3&gt;=110</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Summary!$B$6*(F9/100)</f>
        <v/>
      </c>
      <c r="K9">
        <f>J9*(1+Summary!$B$7/100)*(1+Inputs!$B$15/100)*(1+Inputs!$B$16/100)*(5000/(6000+Inputs!$B$42*(1-Inputs!$B$19/100)))*(1+(Inputs!$B$24+Summary!$B$21)/100)*(1+Artifacts!$B$34/100)*(1+(IF(Skills!A9="HOOK_BOMBER",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IFERROR(1/(IF(Inputs!$B$38="pvp",15,MAX(0.1,Skills!D9-IF(Skills!E9=TRUE,Inputs!$B$32,0)))*(1-IF(AND(ArtifactsInput!$M$27,Inputs!$B$4="Chapter Hunt"),CHOOSE(ArtifactsInput!$N$27+1,20,24,28,32,36,40),0)/100)),0)</f>
        <v/>
      </c>
      <c r="R9">
        <f>IF(AND(Inputs!$B$38&lt;&gt;"pvp",Inputs!$B$43&gt;0),IF(MAX(0,Inputs!$B$43-Summary!$B$23)&lt;=0,0,(INT(MAX(0,Inputs!$B$43-Summary!$B$23)/(IF(Inputs!$B$38="pvp",15,MAX(0.1,Skills!D9-IF(Skills!E9=TRUE,Inputs!$B$32,0)))*(1-IF(AND(ArtifactsInput!$M$27,Inputs!$B$4="Chapter Hunt"),CHOOSE(ArtifactsInput!$N$27+1,20,24,28,32,36,40),0)/100)))+1)),0)</f>
        <v/>
      </c>
      <c r="S9">
        <f>IFERROR(O9/N9,0)</f>
        <v/>
      </c>
      <c r="T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Skills!I9/Skills!H9,1)+IF(Skills!H9&gt;0,MIN(Skills!I9,MAX(0,MAX(0,Inputs!$B$43-Summary!$B$23)-((R9-1)*(IF(Inputs!$B$38="pvp",15,MAX(0.1,Skills!D9-IF(Skills!E9=TRUE,Inputs!$B$32,0)))*(1-IF(AND(ArtifactsInput!$M$27,Inputs!$B$4="Chapter Hunt"),CHOOSE(ArtifactsInput!$N$27+1,20,24,28,32,36,40),0)/100)))))/Skills!H9,1)))/Inputs!$B$43),G9*Q9))*IF(Inputs!$B$38="pvp",1,(1+(Inputs!$B$21+Skills!Q9+Summary!$B$15+Artifacts!$B$80)/100)*(MIN(Skills!R9,Inputs!$B$37)))*((1+Artifacts!$B$53/100)),0)</f>
        <v/>
      </c>
    </row>
    <row r="10">
      <c r="A10">
        <f>Skills!A10</f>
        <v/>
      </c>
      <c r="B10">
        <f>Skills!B10</f>
        <v/>
      </c>
      <c r="C10">
        <f>Inputs!$B$3&gt;=103</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f>Summary!$B$6*(F10/100)</f>
        <v/>
      </c>
      <c r="K10">
        <f>J10*(1+Summary!$B$7/100)*(1+Inputs!$B$15/100)*(1+Inputs!$B$16/100)*(5000/(6000+Inputs!$B$42*(1-Inputs!$B$19/100)))*(1+(Inputs!$B$24+Summary!$B$21)/100)*(1+Artifacts!$B$34/100)*(1+(IF(Skills!A10="HOOK_BOMBER",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IFERROR(1/(IF(Inputs!$B$38="pvp",15,MAX(0.1,Skills!D10-IF(Skills!E10=TRUE,Inputs!$B$32,0)))*(1-IF(AND(ArtifactsInput!$M$27,Inputs!$B$4="Chapter Hunt"),CHOOSE(ArtifactsInput!$N$27+1,20,24,28,32,36,40),0)/100)),0)</f>
        <v/>
      </c>
      <c r="R10">
        <f>IF(AND(Inputs!$B$38&lt;&gt;"pvp",Inputs!$B$43&gt;0),IF(MAX(0,Inputs!$B$43-Summary!$B$23)&lt;=0,0,(INT(MAX(0,Inputs!$B$43-Summary!$B$23)/(IF(Inputs!$B$38="pvp",15,MAX(0.1,Skills!D10-IF(Skills!E10=TRUE,Inputs!$B$32,0)))*(1-IF(AND(ArtifactsInput!$M$27,Inputs!$B$4="Chapter Hunt"),CHOOSE(ArtifactsInput!$N$27+1,20,24,28,32,36,40),0)/100)))+1)),0)</f>
        <v/>
      </c>
      <c r="S10">
        <f>IFERROR(O10/N10,0)</f>
        <v/>
      </c>
      <c r="T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Skills!I10/Skills!H10,1)+IF(Skills!H10&gt;0,MIN(Skills!I10,MAX(0,MAX(0,Inputs!$B$43-Summary!$B$23)-((R10-1)*(IF(Inputs!$B$38="pvp",15,MAX(0.1,Skills!D10-IF(Skills!E10=TRUE,Inputs!$B$32,0)))*(1-IF(AND(ArtifactsInput!$M$27,Inputs!$B$4="Chapter Hunt"),CHOOSE(ArtifactsInput!$N$27+1,20,24,28,32,36,40),0)/100)))))/Skills!H10,1)))/Inputs!$B$43),G10*Q10))*IF(Inputs!$B$38="pvp",1,(1+(Inputs!$B$21+Skills!Q10+Summary!$B$15+Artifacts!$B$80)/100)*(MIN(Skills!R10,Inputs!$B$37)))*((1+Artifacts!$B$53/100)),0)</f>
        <v/>
      </c>
    </row>
    <row r="11">
      <c r="A11">
        <f>Skills!A11</f>
        <v/>
      </c>
      <c r="B11">
        <f>Skills!B11</f>
        <v/>
      </c>
      <c r="C11">
        <f>Inputs!$B$3&gt;=113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Skills!G11*IF(Skills!H11&gt;0,Skills!I11/Skills!H11,1)</f>
        <v/>
      </c>
      <c r="H11">
        <f>1-(1-Skills!J11/100)^Skills!K11</f>
        <v/>
      </c>
      <c r="I11" t="inlineStr">
        <is>
          <t>1</t>
        </is>
      </c>
      <c r="J11">
        <f>Summary!$B$6*(F11/100)</f>
        <v/>
      </c>
      <c r="K11">
        <f>J11*(1+Summary!$B$7/100)*(1+Inputs!$B$15/100)*(1+Inputs!$B$16/100)*(5000/(6000+Inputs!$B$42*(1-Inputs!$B$19/100)))*(1+(Inputs!$B$24+Summary!$B$21)/100)*(1+Artifacts!$B$34/100)*(1+(IF(Skills!A11="HOOK_BOMBER",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f>IFERROR(1/(IF(Inputs!$B$38="pvp",15,MAX(0.1,Skills!D11-IF(Skills!E11=TRUE,Inputs!$B$32,0)))*(1-IF(AND(ArtifactsInput!$M$27,Inputs!$B$4="Chapter Hunt"),CHOOSE(ArtifactsInput!$N$27+1,20,24,28,32,36,40),0)/100)),0)</f>
        <v/>
      </c>
      <c r="R11">
        <f>IF(AND(Inputs!$B$38&lt;&gt;"pvp",Inputs!$B$43&gt;0),IF(MAX(0,Inputs!$B$43-Summary!$B$23)&lt;=0,0,(INT(MAX(0,Inputs!$B$43-Summary!$B$23)/(IF(Inputs!$B$38="pvp",15,MAX(0.1,Skills!D11-IF(Skills!E11=TRUE,Inputs!$B$32,0)))*(1-IF(AND(ArtifactsInput!$M$27,Inputs!$B$4="Chapter Hunt"),CHOOSE(ArtifactsInput!$N$27+1,20,24,28,32,36,40),0)/100)))+1)),0)</f>
        <v/>
      </c>
      <c r="S11">
        <f>IFERROR(O11/N11,0)</f>
        <v/>
      </c>
      <c r="T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N11*IF(AND(Inputs!$B$38&lt;&gt;"pvp",Inputs!$B$43&gt;0),((Skills!G11*((R11-1)*IF(Skills!H11&gt;0,Skills!I11/Skills!H11,1)+IF(Skills!H11&gt;0,MIN(Skills!I11,MAX(0,MAX(0,Inputs!$B$43-Summary!$B$23)-((R11-1)*(IF(Inputs!$B$38="pvp",15,MAX(0.1,Skills!D11-IF(Skills!E11=TRUE,Inputs!$B$32,0)))*(1-IF(AND(ArtifactsInput!$M$27,Inputs!$B$4="Chapter Hunt"),CHOOSE(ArtifactsInput!$N$27+1,20,24,28,32,36,40),0)/100)))))/Skills!H11,1)))/Inputs!$B$43),G11*Q11))*IF(Inputs!$B$38="pvp",1,(1+(Inputs!$B$21+Skills!Q11+Summary!$B$15+Artifacts!$B$80)/100)*(MIN(Skills!R11,Inputs!$B$37)))*((1+Artifacts!$B$53/100)),0)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Inputs!$B$3&gt;=66</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t="inlineStr"/>
      <c r="K14" t="inlineStr"/>
      <c r="L14" t="inlineStr"/>
      <c r="M14" t="inlineStr"/>
      <c r="N14" t="inlineStr"/>
      <c r="O14">
        <f>(1-Summary!$B$11)*T14+Summary!$B$11*V14</f>
        <v/>
      </c>
      <c r="P14">
        <f>IF(Summary!$B$3=0,0,O14/Summary!$B$3)</f>
        <v/>
      </c>
      <c r="Q14">
        <f>IFERROR(1/(IF(Inputs!$B$38="pvp",15,MAX(0.1,Skills!D14-IF(Skills!E14=TRUE,Inputs!$B$32,0)))*(1-IF(AND(ArtifactsInput!$M$27,Inputs!$B$4="Chapter Hunt"),CHOOSE(ArtifactsInput!$N$27+1,20,24,28,32,36,40),0)/100)),0)</f>
        <v/>
      </c>
      <c r="R14">
        <f>IF(AND(Inputs!$B$38&lt;&gt;"pvp",Inputs!$B$43&gt;0),IF(Inputs!$B$43&lt;=0,0,(INT(Inputs!$B$43/(IF(Inputs!$B$38="pvp",15,MAX(0.1,Skills!D14-IF(Skills!E14=TRUE,Inputs!$B$32,0)))*(1-IF(AND(ArtifactsInput!$M$27,Inputs!$B$4="Chapter Hunt"),CHOOSE(ArtifactsInput!$N$27+1,20,24,28,32,36,40),0)/100)))+1)),0)</f>
        <v/>
      </c>
      <c r="S14">
        <f>IFERROR(O14/N14,0)</f>
        <v/>
      </c>
      <c r="T14" t="n">
        <v>0</v>
      </c>
      <c r="V14" t="n">
        <v>0</v>
      </c>
    </row>
    <row r="15">
      <c r="A15">
        <f>Skills!A15</f>
        <v/>
      </c>
      <c r="B15">
        <f>Skills!B15</f>
        <v/>
      </c>
      <c r="C15">
        <f>Inputs!$B$3&gt;=115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IFERROR(1/(IF(Inputs!$B$38="pvp",15,MAX(0.1,Skills!D15-IF(Skills!E15=TRUE,Inputs!$B$32,0)))*(1-IF(AND(ArtifactsInput!$M$27,Inputs!$B$4="Chapter Hunt"),CHOOSE(ArtifactsInput!$N$27+1,20,24,28,32,36,40),0)/100)),0)</f>
        <v/>
      </c>
      <c r="R15">
        <f>IF(AND(Inputs!$B$38&lt;&gt;"pvp",Inputs!$B$43&gt;0),IF(Inputs!$B$43&lt;=0,0,(INT(Inputs!$B$43/(IF(Inputs!$B$38="pvp",15,MAX(0.1,Skills!D15-IF(Skills!E15=TRUE,Inputs!$B$32,0)))*(1-IF(AND(ArtifactsInput!$M$27,Inputs!$B$4="Chapter Hunt"),CHOOSE(ArtifactsInput!$N$27+1,20,24,28,32,36,40),0)/100)))+1)),0)</f>
        <v/>
      </c>
      <c r="S15">
        <f>IFERROR(O15/N15,0)</f>
        <v/>
      </c>
      <c r="T15" t="n">
        <v>0</v>
      </c>
      <c r="V15" t="n">
        <v>0</v>
      </c>
    </row>
    <row r="16">
      <c r="A16">
        <f>Skills!A16</f>
        <v/>
      </c>
      <c r="B16">
        <f>Skills!B16</f>
        <v/>
      </c>
      <c r="C16">
        <f>Inputs!$B$3&gt;=15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t="inlineStr"/>
      <c r="K16" t="inlineStr"/>
      <c r="L16" t="inlineStr"/>
      <c r="M16" t="inlineStr"/>
      <c r="N16" t="inlineStr"/>
      <c r="O16">
        <f>(1-Summary!$B$11)*T16+Summary!$B$11*V16</f>
        <v/>
      </c>
      <c r="P16">
        <f>IF(Summary!$B$3=0,0,O16/Summary!$B$3)</f>
        <v/>
      </c>
      <c r="Q16" t="n">
        <v>0</v>
      </c>
      <c r="R16" t="n">
        <v>0</v>
      </c>
      <c r="S16">
        <f>IFERROR(O16/N16,0)</f>
        <v/>
      </c>
      <c r="T16" t="n">
        <v>0</v>
      </c>
      <c r="V16" t="n">
        <v>0</v>
      </c>
    </row>
    <row r="17">
      <c r="A17">
        <f>Skills!A17</f>
        <v/>
      </c>
      <c r="B17">
        <f>Skills!B17</f>
        <v/>
      </c>
      <c r="C17">
        <f>Inputs!$B$3&gt;=10</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Inputs!$B$3&gt;=33</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Inputs!$B$3&gt;=40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Inputs!$B$3&gt;=43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Inputs!$B$3&gt;=75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f>(1-Summary!$B$11)*T23+Summary!$B$11*V23</f>
        <v/>
      </c>
      <c r="P23">
        <f>IF(Summary!$B$3=0,0,O23/Summary!$B$3)</f>
        <v/>
      </c>
      <c r="Q23">
        <f>IFERROR(1/(IF(Inputs!$B$38="pvp",15,MAX(0.1,Skills!D23-IF(Skills!E23=TRUE,Inputs!$B$32,0)))*(1-IF(AND(ArtifactsInput!$M$27,Inputs!$B$4="Chapter Hunt"),CHOOSE(ArtifactsInput!$N$27+1,20,24,28,32,36,40),0)/100)),0)</f>
        <v/>
      </c>
      <c r="R23">
        <f>IF(AND(Inputs!$B$38&lt;&gt;"pvp",Inputs!$B$43&gt;0),IF(Inputs!$B$43&lt;=0,0,(INT(Inputs!$B$43/(IF(Inputs!$B$38="pvp",15,MAX(0.1,Skills!D23-IF(Skills!E23=TRUE,Inputs!$B$32,0)))*(1-IF(AND(ArtifactsInput!$M$27,Inputs!$B$4="Chapter Hunt"),CHOOSE(ArtifactsInput!$N$27+1,20,24,28,32,36,40),0)/100)))+1)),0)</f>
        <v/>
      </c>
      <c r="S23">
        <f>IFERROR(O23/N23,0)</f>
        <v/>
      </c>
      <c r="T23" t="n">
        <v>0</v>
      </c>
      <c r="V23"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SUM(Calc!O2:O23)</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(Hook Bomber)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Hook Bomber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 Artifact Attack%, summed additively)</t>
        </is>
      </c>
      <c r="B13">
        <f>1+(((Calc!C13=TRUE)*Calc!F13*5/7)+Artifacts!$B$52)/100</f>
        <v/>
      </c>
    </row>
    <row r="14">
      <c r="A14" t="inlineStr">
        <is>
          <t>Global Crit Rate Bonus % (unused — no live Crit-Rate-buff source exists)</t>
        </is>
      </c>
      <c r="B14" t="n">
        <v>0</v>
      </c>
    </row>
    <row r="15">
      <c r="A15" t="inlineStr">
        <is>
          <t>Global Monster Damage-Taken Bonus % (Artifact Enemy Damage Taken Bonus)</t>
        </is>
      </c>
      <c r="B15">
        <f>Artifacts!$B$36</f>
        <v/>
      </c>
    </row>
    <row r="16">
      <c r="A16" t="inlineStr">
        <is>
          <t>Attack Speed Buff Bonus % (Nimble Feet, duty-cycle averaged)</t>
        </is>
      </c>
      <c r="B16">
        <f>((Calc!C23=TRUE)*Calc!F23*IF(AND(Inputs!$B$38&lt;&gt;"pvp",Inputs!$B$43&gt;0),(((Calc!R23-1)*(Skills!T23*(1+Inputs!$B$34/100))+MIN((Skills!T23*(1+Inputs!$B$34/100)),MAX(0,Inputs!$B$43-((Calc!R23-1)*Skills!D23))))/Inputs!$B$43),IF(Inputs!$B$38="pvp",MIN((Skills!T23*(1+Inputs!$B$34/100)),15)/15,(Skills!T23*(1+Inputs!$B$34/100))/Skills!D23)))</f>
        <v/>
      </c>
    </row>
    <row r="17">
      <c r="A17" t="inlineStr">
        <is>
          <t>Actions Per Second</t>
        </is>
      </c>
      <c r="B17">
        <f>1+MIN(150,150*(1-(1-Inputs!$B$11/150)*(1-B16/150)))/100</f>
        <v/>
      </c>
    </row>
    <row r="18">
      <c r="A18" t="inlineStr">
        <is>
          <t>Skill + Buff Cast Rate (subtracted from Hook Bomber, 1/s)</t>
        </is>
      </c>
      <c r="B18">
        <f>IF(AND(Inputs!$B$38&lt;&gt;"pvp",Inputs!$B$43&gt;0),SUMPRODUCT((Skills!E2:E23=TRUE)*(Calc!C2:C23=TRUE)*Calc!R2:R23*Skills!F2:F23)/Inputs!$B$43,SUMPRODUCT((Skills!E2:E23=TRUE)*(Calc!C2:C23=TRUE)*Calc!Q2:Q23*Skills!F2:F23))</f>
        <v/>
      </c>
    </row>
    <row r="19">
      <c r="A19" t="inlineStr">
        <is>
          <t>Hook Bomber (Basic Attack) Casts Per Second</t>
        </is>
      </c>
      <c r="B19">
        <f>MAX(0,B17-B18)</f>
        <v/>
      </c>
    </row>
    <row r="20">
      <c r="A20" t="inlineStr">
        <is>
          <t>Global Critical Damage Bonus % (unused — no live Crit-Damage-buff source exists)</t>
        </is>
      </c>
      <c r="B20" t="n">
        <v>0</v>
      </c>
    </row>
    <row r="21">
      <c r="A21" t="inlineStr">
        <is>
          <t>Global Final Damage Bonus % (Serpent Scale + Crossbones + Time Leap + Speed Infusion)</t>
        </is>
      </c>
      <c r="B21">
        <f>((Calc!C5=TRUE)*Calc!F5*((10+IF(Inputs!$B$3&gt;=94,5,0))/((10+IF(Inputs!$B$3&gt;=94,5,0))+5/(Summary!$B$19*(1+IF(Inputs!$B$3&gt;=104,1,0))))))+((Calc!C14=TRUE)*Calc!F14*IF(AND(Inputs!$B$38&lt;&gt;"pvp",Inputs!$B$43&gt;0),(((Calc!R14-1)*(Skills!T14*(1+Inputs!$B$34/100))+MIN((Skills!T14*(1+Inputs!$B$34/100)),MAX(0,Inputs!$B$43-((Calc!R14-1)*Skills!D14))))/Inputs!$B$43),IF(Inputs!$B$38="pvp",MIN((Skills!T14*(1+Inputs!$B$34/100)),15)/15,(Skills!T14*(1+Inputs!$B$34/100))/Skills!D14)))+((Calc!C15=TRUE)*Calc!F15*IF(AND(Inputs!$B$38&lt;&gt;"pvp",Inputs!$B$43&gt;0),(((Calc!R15-1)*(Skills!T15*(1+Inputs!$B$34/100))+MIN((Skills!T15*(1+Inputs!$B$34/100)),MAX(0,Inputs!$B$43-((Calc!R15-1)*Skills!D15))))/Inputs!$B$43),IF(Inputs!$B$38="pvp",MIN((Skills!T15*(1+Inputs!$B$34/100)),15)/15,(Skills!T15*(1+Inputs!$B$34/100))/Skills!D15)))+((Inputs!$B$3&gt;=110)*20*(B17-1)*IF(Inputs!$B$38="pvp",MIN((15*(1+Inputs!$B$34/100)),15)/15,(15*(1+Inputs!$B$34/100))/35))</f>
        <v/>
      </c>
    </row>
    <row r="22">
      <c r="A22" t="inlineStr">
        <is>
          <t>Hook Bomber (Basic Attack) DPS</t>
        </is>
      </c>
      <c r="B22">
        <f>Calc!O2</f>
        <v/>
      </c>
    </row>
    <row r="23">
      <c r="A23" t="inlineStr">
        <is>
          <t>Buff-Casting Startup Delay (s, before first damage-skill cast; fixed-duration only)</t>
        </is>
      </c>
      <c r="B23">
        <f>IF(AND(Inputs!$B$38&lt;&gt;"pvp",Inputs!$B$43&gt;0),SUMPRODUCT((Skills!T2:T23&gt;0)*(Skills!E2:E23=TRUE)*(Calc!C2:C23=TRUE))/B17,0)</f>
        <v/>
      </c>
    </row>
    <row r="24">
      <c r="A24" t="inlineStr">
        <is>
          <t>Boss-Only Total DPS (Sensitivity baseline)</t>
        </is>
      </c>
      <c r="B24">
        <f>SUM(Calc!T2:T23)</f>
        <v/>
      </c>
    </row>
    <row r="25">
      <c r="A25" t="inlineStr">
        <is>
          <t>Normal-Only Total DPS (Sensitivity baseline)</t>
        </is>
      </c>
      <c r="B25">
        <f>SUM(Calc!V2:V23)</f>
        <v/>
      </c>
    </row>
    <row r="27">
      <c r="A27" s="9" t="inlineStr">
        <is>
          <t>Per-Skill DPS Breakdown</t>
        </is>
      </c>
    </row>
    <row r="28">
      <c r="A28" s="5" t="inlineStr">
        <is>
          <t>Skill</t>
        </is>
      </c>
      <c r="B28" s="5" t="inlineStr">
        <is>
          <t>DPS</t>
        </is>
      </c>
      <c r="C28" s="5" t="inlineStr">
        <is>
          <t>% of Total</t>
        </is>
      </c>
    </row>
    <row r="29">
      <c r="A29">
        <f>Calc!B2</f>
        <v/>
      </c>
      <c r="B29">
        <f>Calc!O2</f>
        <v/>
      </c>
      <c r="C29">
        <f>Calc!P2*100</f>
        <v/>
      </c>
    </row>
    <row r="30">
      <c r="A30">
        <f>Calc!B3</f>
        <v/>
      </c>
      <c r="B30">
        <f>Calc!O3</f>
        <v/>
      </c>
      <c r="C30">
        <f>Calc!P3*100</f>
        <v/>
      </c>
    </row>
    <row r="31">
      <c r="A31">
        <f>Calc!B4</f>
        <v/>
      </c>
      <c r="B31">
        <f>Calc!O4</f>
        <v/>
      </c>
      <c r="C31">
        <f>Calc!P4*100</f>
        <v/>
      </c>
    </row>
    <row r="32">
      <c r="A32">
        <f>Calc!B6</f>
        <v/>
      </c>
      <c r="B32">
        <f>Calc!O6</f>
        <v/>
      </c>
      <c r="C32">
        <f>Calc!P6*100</f>
        <v/>
      </c>
    </row>
    <row r="33">
      <c r="A33">
        <f>Calc!B7</f>
        <v/>
      </c>
      <c r="B33">
        <f>Calc!O7</f>
        <v/>
      </c>
      <c r="C33">
        <f>Calc!P7*100</f>
        <v/>
      </c>
    </row>
    <row r="34">
      <c r="A34">
        <f>Calc!B8</f>
        <v/>
      </c>
      <c r="B34">
        <f>Calc!O8</f>
        <v/>
      </c>
      <c r="C34">
        <f>Calc!P8*100</f>
        <v/>
      </c>
    </row>
    <row r="35">
      <c r="A35">
        <f>Calc!B9</f>
        <v/>
      </c>
      <c r="B35">
        <f>Calc!O9</f>
        <v/>
      </c>
      <c r="C35">
        <f>Calc!P9*100</f>
        <v/>
      </c>
    </row>
    <row r="36">
      <c r="A36">
        <f>Calc!B10</f>
        <v/>
      </c>
      <c r="B36">
        <f>Calc!O10</f>
        <v/>
      </c>
      <c r="C36">
        <f>Calc!P10*100</f>
        <v/>
      </c>
    </row>
    <row r="37">
      <c r="A37">
        <f>Calc!B11</f>
        <v/>
      </c>
      <c r="B37">
        <f>Calc!O11</f>
        <v/>
      </c>
      <c r="C37">
        <f>Calc!P11*100</f>
        <v/>
      </c>
    </row>
    <row r="38">
      <c r="A38" s="9" t="inlineStr">
        <is>
          <t>Marginal DPS &amp; Stat Value (see Sensitivity for full detail)</t>
        </is>
      </c>
    </row>
    <row r="40">
      <c r="A40" s="5" t="inlineStr">
        <is>
          <t>Stat</t>
        </is>
      </c>
      <c r="B40" s="5" t="inlineStr">
        <is>
          <t>DPS per +1</t>
        </is>
      </c>
      <c r="C40" s="5" t="inlineStr">
        <is>
          <t>Units per +1% DPS</t>
        </is>
      </c>
    </row>
    <row r="41">
      <c r="A41">
        <f>Sensitivity!A5</f>
        <v/>
      </c>
      <c r="B41">
        <f>Sensitivity!H5</f>
        <v/>
      </c>
      <c r="C41">
        <f>Sensitivity!B5</f>
        <v/>
      </c>
    </row>
    <row r="42">
      <c r="A42">
        <f>Sensitivity!A6</f>
        <v/>
      </c>
      <c r="B42">
        <f>Sensitivity!H6</f>
        <v/>
      </c>
      <c r="C42">
        <f>Sensitivity!B6</f>
        <v/>
      </c>
    </row>
    <row r="43">
      <c r="A43">
        <f>Sensitivity!A7</f>
        <v/>
      </c>
      <c r="B43">
        <f>Sensitivity!H7</f>
        <v/>
      </c>
      <c r="C43">
        <f>Sensitivity!B7</f>
        <v/>
      </c>
    </row>
    <row r="44">
      <c r="A44">
        <f>Sensitivity!A8</f>
        <v/>
      </c>
      <c r="B44">
        <f>Sensitivity!H8</f>
        <v/>
      </c>
      <c r="C44">
        <f>Sensitivity!B8</f>
        <v/>
      </c>
    </row>
    <row r="45">
      <c r="A45">
        <f>Sensitivity!A9</f>
        <v/>
      </c>
      <c r="B45">
        <f>Sensitivity!H9</f>
        <v/>
      </c>
      <c r="C45">
        <f>Sensitivity!B9</f>
        <v/>
      </c>
    </row>
    <row r="46">
      <c r="A46">
        <f>Sensitivity!A10</f>
        <v/>
      </c>
      <c r="B46">
        <f>Sensitivity!H10</f>
        <v/>
      </c>
      <c r="C46">
        <f>Sensitivity!B10</f>
        <v/>
      </c>
    </row>
    <row r="47">
      <c r="A47">
        <f>Sensitivity!A11</f>
        <v/>
      </c>
      <c r="B47">
        <f>Sensitivity!H11</f>
        <v/>
      </c>
      <c r="C47">
        <f>Sensitivity!B11</f>
        <v/>
      </c>
    </row>
    <row r="48">
      <c r="A48">
        <f>Sensitivity!A12</f>
        <v/>
      </c>
      <c r="B48">
        <f>Sensitivity!H12</f>
        <v/>
      </c>
      <c r="C48">
        <f>Sensitivity!B12</f>
        <v/>
      </c>
    </row>
    <row r="49">
      <c r="A49">
        <f>Sensitivity!A13</f>
        <v/>
      </c>
      <c r="B49">
        <f>Sensitivity!H13</f>
        <v/>
      </c>
      <c r="C49">
        <f>Sensitivity!B13</f>
        <v/>
      </c>
    </row>
    <row r="50">
      <c r="A50">
        <f>Sensitivity!A14</f>
        <v/>
      </c>
      <c r="B50">
        <f>Sensitivity!H14</f>
        <v/>
      </c>
      <c r="C50">
        <f>Sensitivity!B14</f>
        <v/>
      </c>
    </row>
    <row r="51">
      <c r="A51">
        <f>Sensitivity!A15</f>
        <v/>
      </c>
      <c r="B51">
        <f>Sensitivity!H15</f>
        <v/>
      </c>
      <c r="C51">
        <f>Sensitivity!B15</f>
        <v/>
      </c>
    </row>
    <row r="52">
      <c r="A52">
        <f>Sensitivity!A16</f>
        <v/>
      </c>
      <c r="B52">
        <f>Sensitivity!H16</f>
        <v/>
      </c>
      <c r="C52">
        <f>Sensitivity!B16</f>
        <v/>
      </c>
    </row>
    <row r="53">
      <c r="A53">
        <f>Sensitivity!A17</f>
        <v/>
      </c>
      <c r="B53">
        <f>Sensitivity!H17</f>
        <v/>
      </c>
      <c r="C53">
        <f>Sensitivity!B17</f>
        <v/>
      </c>
    </row>
    <row r="54">
      <c r="A54">
        <f>Sensitivity!A18</f>
        <v/>
      </c>
      <c r="B54">
        <f>Sensitivity!H18</f>
        <v/>
      </c>
      <c r="C54">
        <f>Sensitivity!B18</f>
        <v/>
      </c>
    </row>
    <row r="55">
      <c r="A55">
        <f>Sensitivity!A19</f>
        <v/>
      </c>
      <c r="B55">
        <f>Sensitivity!H19</f>
        <v/>
      </c>
      <c r="C55">
        <f>Sensitivity!B19</f>
        <v/>
      </c>
    </row>
    <row r="56">
      <c r="A56">
        <f>Sensitivity!A20</f>
        <v/>
      </c>
      <c r="B56">
        <f>Sensitivity!H20</f>
        <v/>
      </c>
      <c r="C56">
        <f>Sensitivity!B20</f>
        <v/>
      </c>
    </row>
    <row r="57">
      <c r="A57">
        <f>Sensitivity!A21</f>
        <v/>
      </c>
      <c r="B57">
        <f>Sensitivity!H21</f>
        <v/>
      </c>
      <c r="C57">
        <f>Sensitivity!B21</f>
        <v/>
      </c>
    </row>
    <row r="58">
      <c r="A58">
        <f>Sensitivity!A22</f>
        <v/>
      </c>
      <c r="B58">
        <f>Sensitivity!H22</f>
        <v/>
      </c>
      <c r="C58">
        <f>Sensitivity!B22</f>
        <v/>
      </c>
    </row>
    <row r="59">
      <c r="A59">
        <f>Sensitivity!A23</f>
        <v/>
      </c>
      <c r="B59">
        <f>Sensitivity!H23</f>
        <v/>
      </c>
      <c r="C59">
        <f>Sensitivity!B23</f>
        <v/>
      </c>
    </row>
    <row r="60">
      <c r="A60">
        <f>Sensitivity!A24</f>
        <v/>
      </c>
      <c r="B60">
        <f>Sensitivity!H24</f>
        <v/>
      </c>
      <c r="C60">
        <f>Sensitivity!B24</f>
        <v/>
      </c>
    </row>
    <row r="61">
      <c r="A61">
        <f>Sensitivity!A25</f>
        <v/>
      </c>
      <c r="B61">
        <f>Sensitivity!H25</f>
        <v/>
      </c>
      <c r="C61">
        <f>Sensitivity!B25</f>
        <v/>
      </c>
    </row>
    <row r="62">
      <c r="A62">
        <f>Sensitivity!A26</f>
        <v/>
      </c>
      <c r="B62">
        <f>Sensitivity!H26</f>
        <v/>
      </c>
      <c r="C62">
        <f>Sensitivity!B26</f>
        <v/>
      </c>
    </row>
    <row r="63">
      <c r="A63">
        <f>Sensitivity!A27</f>
        <v/>
      </c>
      <c r="B63">
        <f>Sensitivity!H27</f>
        <v/>
      </c>
      <c r="C63">
        <f>Sensitivity!B27</f>
        <v/>
      </c>
    </row>
    <row r="64">
      <c r="A64">
        <f>Sensitivity!A28</f>
        <v/>
      </c>
      <c r="B64">
        <f>Sensitivity!H28</f>
        <v/>
      </c>
      <c r="C64">
        <f>Sensitivity!B28</f>
        <v/>
      </c>
    </row>
    <row r="65">
      <c r="A65">
        <f>Sensitivity!A29</f>
        <v/>
      </c>
      <c r="B65">
        <f>Sensitivity!H29</f>
        <v/>
      </c>
      <c r="C65">
        <f>Sensitivity!B29</f>
        <v/>
      </c>
    </row>
    <row r="66">
      <c r="A66">
        <f>Sensitivity!A30</f>
        <v/>
      </c>
      <c r="B66">
        <f>Sensitivity!H30</f>
        <v/>
      </c>
      <c r="C66">
        <f>Sensitivity!B30</f>
        <v/>
      </c>
    </row>
    <row r="67">
      <c r="A67" s="9" t="inlineStr">
        <is>
          <t>Artifact Equip-Toggle DPS Gain, best to worst (see Sensitivity for full detail)</t>
        </is>
      </c>
    </row>
    <row r="69">
      <c r="A69" s="5" t="inlineStr">
        <is>
          <t>Artifact</t>
        </is>
      </c>
      <c r="B69" s="5" t="inlineStr">
        <is>
          <t>DPS Gain</t>
        </is>
      </c>
      <c r="C69" s="5" t="inlineStr">
        <is>
          <t>% Gain</t>
        </is>
      </c>
    </row>
    <row r="70">
      <c r="A70">
        <f>Sensitivity!A33</f>
        <v/>
      </c>
      <c r="B70">
        <f>Sensitivity!B33</f>
        <v/>
      </c>
      <c r="C70">
        <f>Sensitivity!C33</f>
        <v/>
      </c>
    </row>
    <row r="71">
      <c r="A71">
        <f>Sensitivity!A34</f>
        <v/>
      </c>
      <c r="B71">
        <f>Sensitivity!B34</f>
        <v/>
      </c>
      <c r="C71">
        <f>Sensitivity!C34</f>
        <v/>
      </c>
    </row>
    <row r="72">
      <c r="A72">
        <f>Sensitivity!A35</f>
        <v/>
      </c>
      <c r="B72">
        <f>Sensitivity!B35</f>
        <v/>
      </c>
      <c r="C72">
        <f>Sensitivity!C35</f>
        <v/>
      </c>
    </row>
    <row r="73">
      <c r="A73">
        <f>Sensitivity!A36</f>
        <v/>
      </c>
      <c r="B73">
        <f>Sensitivity!B36</f>
        <v/>
      </c>
      <c r="C73">
        <f>Sensitivity!C36</f>
        <v/>
      </c>
    </row>
    <row r="74">
      <c r="A74">
        <f>Sensitivity!A37</f>
        <v/>
      </c>
      <c r="B74">
        <f>Sensitivity!B37</f>
        <v/>
      </c>
      <c r="C74">
        <f>Sensitivity!C37</f>
        <v/>
      </c>
    </row>
    <row r="75">
      <c r="A75">
        <f>Sensitivity!A38</f>
        <v/>
      </c>
      <c r="B75">
        <f>Sensitivity!B38</f>
        <v/>
      </c>
      <c r="C75">
        <f>Sensitivity!C38</f>
        <v/>
      </c>
    </row>
    <row r="76">
      <c r="A76">
        <f>Sensitivity!A39</f>
        <v/>
      </c>
      <c r="B76">
        <f>Sensitivity!B39</f>
        <v/>
      </c>
      <c r="C76">
        <f>Sensitivity!C39</f>
        <v/>
      </c>
    </row>
    <row r="77">
      <c r="A77">
        <f>Sensitivity!A40</f>
        <v/>
      </c>
      <c r="B77">
        <f>Sensitivity!B40</f>
        <v/>
      </c>
      <c r="C77">
        <f>Sensitivity!C40</f>
        <v/>
      </c>
    </row>
    <row r="78">
      <c r="A78">
        <f>Sensitivity!A41</f>
        <v/>
      </c>
      <c r="B78">
        <f>Sensitivity!B41</f>
        <v/>
      </c>
      <c r="C78">
        <f>Sensitivity!C41</f>
        <v/>
      </c>
    </row>
    <row r="79">
      <c r="A79">
        <f>Sensitivity!A42</f>
        <v/>
      </c>
      <c r="B79">
        <f>Sensitivity!B42</f>
        <v/>
      </c>
      <c r="C79">
        <f>Sensitivity!C42</f>
        <v/>
      </c>
    </row>
    <row r="80">
      <c r="A80">
        <f>Sensitivity!A43</f>
        <v/>
      </c>
      <c r="B80">
        <f>Sensitivity!B43</f>
        <v/>
      </c>
      <c r="C80">
        <f>Sensitivity!C43</f>
        <v/>
      </c>
    </row>
    <row r="81">
      <c r="A81">
        <f>Sensitivity!A44</f>
        <v/>
      </c>
      <c r="B81">
        <f>Sensitivity!B44</f>
        <v/>
      </c>
      <c r="C81">
        <f>Sensitivity!C44</f>
        <v/>
      </c>
    </row>
    <row r="82">
      <c r="A82">
        <f>Sensitivity!A45</f>
        <v/>
      </c>
      <c r="B82">
        <f>Sensitivity!B45</f>
        <v/>
      </c>
      <c r="C82">
        <f>Sensitivity!C45</f>
        <v/>
      </c>
    </row>
    <row r="83">
      <c r="A83">
        <f>Sensitivity!A46</f>
        <v/>
      </c>
      <c r="B83">
        <f>Sensitivity!B46</f>
        <v/>
      </c>
      <c r="C83">
        <f>Sensitivity!C46</f>
        <v/>
      </c>
    </row>
    <row r="84">
      <c r="A84">
        <f>Sensitivity!A47</f>
        <v/>
      </c>
      <c r="B84">
        <f>Sensitivity!B47</f>
        <v/>
      </c>
      <c r="C84">
        <f>Sensitivity!C47</f>
        <v/>
      </c>
    </row>
    <row r="85">
      <c r="A85">
        <f>Sensitivity!A48</f>
        <v/>
      </c>
      <c r="B85">
        <f>Sensitivity!B48</f>
        <v/>
      </c>
      <c r="C85">
        <f>Sensitivity!C48</f>
        <v/>
      </c>
    </row>
    <row r="86">
      <c r="A86">
        <f>Sensitivity!A49</f>
        <v/>
      </c>
      <c r="B86">
        <f>Sensitivity!B49</f>
        <v/>
      </c>
      <c r="C86">
        <f>Sensitivity!C49</f>
        <v/>
      </c>
    </row>
    <row r="87">
      <c r="A87">
        <f>Sensitivity!A50</f>
        <v/>
      </c>
      <c r="B87">
        <f>Sensitivity!B50</f>
        <v/>
      </c>
      <c r="C87">
        <f>Sensitivity!C50</f>
        <v/>
      </c>
    </row>
    <row r="88">
      <c r="A88">
        <f>Sensitivity!A51</f>
        <v/>
      </c>
      <c r="B88">
        <f>Sensitivity!B51</f>
        <v/>
      </c>
      <c r="C88">
        <f>Sensitivity!C51</f>
        <v/>
      </c>
    </row>
    <row r="89">
      <c r="A89">
        <f>Sensitivity!A52</f>
        <v/>
      </c>
      <c r="B89">
        <f>Sensitivity!B52</f>
        <v/>
      </c>
      <c r="C89">
        <f>Sensitivity!C52</f>
        <v/>
      </c>
    </row>
    <row r="90">
      <c r="A90">
        <f>Sensitivity!A53</f>
        <v/>
      </c>
      <c r="B90">
        <f>Sensitivity!B53</f>
        <v/>
      </c>
      <c r="C90">
        <f>Sensitivity!C53</f>
        <v/>
      </c>
    </row>
    <row r="91">
      <c r="A91">
        <f>Sensitivity!A54</f>
        <v/>
      </c>
      <c r="B91">
        <f>Sensitivity!B54</f>
        <v/>
      </c>
      <c r="C91">
        <f>Sensitivity!C54</f>
        <v/>
      </c>
    </row>
    <row r="92">
      <c r="A92">
        <f>Sensitivity!A55</f>
        <v/>
      </c>
      <c r="B92">
        <f>Sensitivity!B55</f>
        <v/>
      </c>
      <c r="C92">
        <f>Sensitivity!C55</f>
        <v/>
      </c>
    </row>
    <row r="93">
      <c r="A93">
        <f>Sensitivity!A56</f>
        <v/>
      </c>
      <c r="B93">
        <f>Sensitivity!B56</f>
        <v/>
      </c>
      <c r="C93">
        <f>Sensitivity!C56</f>
        <v/>
      </c>
    </row>
    <row r="94">
      <c r="A94">
        <f>Sensitivity!A57</f>
        <v/>
      </c>
      <c r="B94">
        <f>Sensitivity!B57</f>
        <v/>
      </c>
      <c r="C94">
        <f>Sensitivity!C57</f>
        <v/>
      </c>
    </row>
    <row r="95">
      <c r="A95">
        <f>Sensitivity!A58</f>
        <v/>
      </c>
      <c r="B95">
        <f>Sensitivity!B58</f>
        <v/>
      </c>
      <c r="C95">
        <f>Sensitivity!C58</f>
        <v/>
      </c>
    </row>
    <row r="96">
      <c r="A96">
        <f>Sensitivity!A59</f>
        <v/>
      </c>
      <c r="B96">
        <f>Sensitivity!B59</f>
        <v/>
      </c>
      <c r="C96">
        <f>Sensitivity!C59</f>
        <v/>
      </c>
    </row>
    <row r="97">
      <c r="A97">
        <f>Sensitivity!A60</f>
        <v/>
      </c>
      <c r="B97">
        <f>Sensitivity!B60</f>
        <v/>
      </c>
      <c r="C97">
        <f>Sensitivity!C60</f>
        <v/>
      </c>
    </row>
    <row r="98">
      <c r="A98">
        <f>Sensitivity!A61</f>
        <v/>
      </c>
      <c r="B98">
        <f>Sensitivity!B61</f>
        <v/>
      </c>
      <c r="C98">
        <f>Sensitivity!C61</f>
        <v/>
      </c>
    </row>
    <row r="99">
      <c r="A99">
        <f>Sensitivity!A62</f>
        <v/>
      </c>
      <c r="B99">
        <f>Sensitivity!B62</f>
        <v/>
      </c>
      <c r="C99">
        <f>Sensitivity!C62</f>
        <v/>
      </c>
    </row>
    <row r="100">
      <c r="A100">
        <f>Sensitivity!A63</f>
        <v/>
      </c>
      <c r="B100">
        <f>Sensitivity!B63</f>
        <v/>
      </c>
      <c r="C100">
        <f>Sensitivity!C63</f>
        <v/>
      </c>
    </row>
    <row r="101">
      <c r="A101">
        <f>Sensitivity!A64</f>
        <v/>
      </c>
      <c r="B101">
        <f>Sensitivity!B64</f>
        <v/>
      </c>
      <c r="C101">
        <f>Sensitivity!C64</f>
        <v/>
      </c>
    </row>
    <row r="102">
      <c r="A102">
        <f>Sensitivity!A65</f>
        <v/>
      </c>
      <c r="B102">
        <f>Sensitivity!B65</f>
        <v/>
      </c>
      <c r="C102">
        <f>Sensitivity!C65</f>
        <v/>
      </c>
    </row>
    <row r="103">
      <c r="A103">
        <f>Sensitivity!A66</f>
        <v/>
      </c>
      <c r="B103">
        <f>Sensitivity!B66</f>
        <v/>
      </c>
      <c r="C103">
        <f>Sensitivity!C66</f>
        <v/>
      </c>
    </row>
    <row r="104">
      <c r="A104">
        <f>Sensitivity!A67</f>
        <v/>
      </c>
      <c r="B104">
        <f>Sensitivity!B67</f>
        <v/>
      </c>
      <c r="C104">
        <f>Sensitivity!C67</f>
        <v/>
      </c>
    </row>
    <row r="105">
      <c r="A105">
        <f>Sensitivity!A68</f>
        <v/>
      </c>
      <c r="B105">
        <f>Sensitivity!B68</f>
        <v/>
      </c>
      <c r="C105">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2890"/>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B107</f>
        <v/>
      </c>
      <c r="H5">
        <f>Summary!$B$3*(((1-Summary!$B$11)*IFERROR(B105/Summary!$B$24,1)+Summary!$B$11*IFERROR(B106/Summary!$B$25,1))-1)</f>
        <v/>
      </c>
      <c r="I5">
        <f>((1-Summary!$B$11)*IFERROR(B105/Summary!$B$24,1)+Summary!$B$11*IFERROR(B106/Summary!$B$25,1))*100</f>
        <v/>
      </c>
    </row>
    <row r="6">
      <c r="A6" t="inlineStr">
        <is>
          <t>STR %</t>
        </is>
      </c>
      <c r="B6">
        <f>IFERROR(1/(I6-100),"n/a")</f>
        <v/>
      </c>
      <c r="C6" t="inlineStr">
        <is>
          <t>pct</t>
        </is>
      </c>
      <c r="D6">
        <f>Inputs!$B$13+0</f>
        <v/>
      </c>
      <c r="E6">
        <f>(Inputs!$B$13+1)+0</f>
        <v/>
      </c>
      <c r="F6">
        <f>Summary!$B$3</f>
        <v/>
      </c>
      <c r="G6">
        <f>B146</f>
        <v/>
      </c>
      <c r="H6">
        <f>Summary!$B$3*(((1-Summary!$B$11)*IFERROR(B144/Summary!$B$24,1)+Summary!$B$11*IFERROR(B145/Summary!$B$25,1))-1)</f>
        <v/>
      </c>
      <c r="I6">
        <f>((1-Summary!$B$11)*IFERROR(B144/Summary!$B$24,1)+Summary!$B$11*IFERROR(B145/Summary!$B$25,1))*100</f>
        <v/>
      </c>
    </row>
    <row r="7">
      <c r="A7" t="inlineStr">
        <is>
          <t>DEX</t>
        </is>
      </c>
      <c r="B7">
        <f>IFERROR(1/(I7-100),"n/a")</f>
        <v/>
      </c>
      <c r="C7" t="inlineStr">
        <is>
          <t>flat</t>
        </is>
      </c>
      <c r="D7">
        <f>Inputs!$B$14+0</f>
        <v/>
      </c>
      <c r="E7">
        <f>(Inputs!$B$14+1)+0</f>
        <v/>
      </c>
      <c r="F7">
        <f>Summary!$B$3</f>
        <v/>
      </c>
      <c r="G7">
        <f>B185</f>
        <v/>
      </c>
      <c r="H7">
        <f>Summary!$B$3*(((1-Summary!$B$11)*IFERROR(B183/Summary!$B$24,1)+Summary!$B$11*IFERROR(B184/Summary!$B$25,1))-1)</f>
        <v/>
      </c>
      <c r="I7">
        <f>((1-Summary!$B$11)*IFERROR(B183/Summary!$B$24,1)+Summary!$B$11*IFERROR(B184/Summary!$B$25,1))*100</f>
        <v/>
      </c>
    </row>
    <row r="8">
      <c r="A8" t="inlineStr">
        <is>
          <t>DAMAGE %</t>
        </is>
      </c>
      <c r="B8">
        <f>IFERROR(1/(I8-100),"n/a")</f>
        <v/>
      </c>
      <c r="C8" t="inlineStr">
        <is>
          <t>pct</t>
        </is>
      </c>
      <c r="D8">
        <f>Inputs!$B$15+0</f>
        <v/>
      </c>
      <c r="E8">
        <f>(Inputs!$B$15+1)+0</f>
        <v/>
      </c>
      <c r="F8">
        <f>Summary!$B$3</f>
        <v/>
      </c>
      <c r="G8">
        <f>B224</f>
        <v/>
      </c>
      <c r="H8">
        <f>Summary!$B$3*(((1-Summary!$B$11)*IFERROR(B222/Summary!$B$24,1)+Summary!$B$11*IFERROR(B223/Summary!$B$25,1))-1)</f>
        <v/>
      </c>
      <c r="I8">
        <f>((1-Summary!$B$11)*IFERROR(B222/Summary!$B$24,1)+Summary!$B$11*IFERROR(B223/Summary!$B$25,1))*100</f>
        <v/>
      </c>
    </row>
    <row r="9">
      <c r="A9" t="inlineStr">
        <is>
          <t>DAMAGE_AMP %</t>
        </is>
      </c>
      <c r="B9">
        <f>IFERROR(1/(I9-100),"n/a")</f>
        <v/>
      </c>
      <c r="C9" t="inlineStr">
        <is>
          <t>pct</t>
        </is>
      </c>
      <c r="D9">
        <f>Inputs!$B$16+0</f>
        <v/>
      </c>
      <c r="E9">
        <f>(Inputs!$B$16+1)+0</f>
        <v/>
      </c>
      <c r="F9">
        <f>Summary!$B$3</f>
        <v/>
      </c>
      <c r="G9">
        <f>B263</f>
        <v/>
      </c>
      <c r="H9">
        <f>Summary!$B$3*(((1-Summary!$B$11)*IFERROR(B261/Summary!$B$24,1)+Summary!$B$11*IFERROR(B262/Summary!$B$25,1))-1)</f>
        <v/>
      </c>
      <c r="I9">
        <f>((1-Summary!$B$11)*IFERROR(B261/Summary!$B$24,1)+Summary!$B$11*IFERROR(B262/Summary!$B$25,1))*100</f>
        <v/>
      </c>
    </row>
    <row r="10">
      <c r="A10" t="inlineStr">
        <is>
          <t>BOSS_DAMAGE %</t>
        </is>
      </c>
      <c r="B10">
        <f>IFERROR(1/(I10-100),"n/a")</f>
        <v/>
      </c>
      <c r="C10" t="inlineStr">
        <is>
          <t>pct</t>
        </is>
      </c>
      <c r="D10">
        <f>Inputs!$B$20+0</f>
        <v/>
      </c>
      <c r="E10">
        <f>(Inputs!$B$20+1)+0</f>
        <v/>
      </c>
      <c r="F10">
        <f>Summary!$B$3</f>
        <v/>
      </c>
      <c r="G10">
        <f>B302</f>
        <v/>
      </c>
      <c r="H10">
        <f>Summary!$B$3*(((1-Summary!$B$11)*IFERROR(B300/Summary!$B$24,1)+Summary!$B$11*IFERROR(B301/Summary!$B$25,1))-1)</f>
        <v/>
      </c>
      <c r="I10">
        <f>((1-Summary!$B$11)*IFERROR(B300/Summary!$B$24,1)+Summary!$B$11*IFERROR(B301/Summary!$B$25,1))*100</f>
        <v/>
      </c>
    </row>
    <row r="11">
      <c r="A11" t="inlineStr">
        <is>
          <t>NORMAL_DAMAGE %</t>
        </is>
      </c>
      <c r="B11">
        <f>IFERROR(1/(I11-100),"n/a")</f>
        <v/>
      </c>
      <c r="C11" t="inlineStr">
        <is>
          <t>pct</t>
        </is>
      </c>
      <c r="D11">
        <f>Inputs!$B$21+0</f>
        <v/>
      </c>
      <c r="E11">
        <f>(Inputs!$B$21+1)+0</f>
        <v/>
      </c>
      <c r="F11">
        <f>Summary!$B$3</f>
        <v/>
      </c>
      <c r="G11">
        <f>B341</f>
        <v/>
      </c>
      <c r="H11">
        <f>Summary!$B$3*(((1-Summary!$B$11)*IFERROR(B339/Summary!$B$24,1)+Summary!$B$11*IFERROR(B340/Summary!$B$25,1))-1)</f>
        <v/>
      </c>
      <c r="I11">
        <f>((1-Summary!$B$11)*IFERROR(B339/Summary!$B$24,1)+Summary!$B$11*IFERROR(B340/Summary!$B$25,1))*100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B380</f>
        <v/>
      </c>
      <c r="H12">
        <f>Summary!$B$3*(((1-Summary!$B$11)*IFERROR(B378/Summary!$B$24,1)+Summary!$B$11*IFERROR(B379/Summary!$B$25,1))-1)</f>
        <v/>
      </c>
      <c r="I12">
        <f>((1-Summary!$B$11)*IFERROR(B378/Summary!$B$24,1)+Summary!$B$11*IFERROR(B379/Summary!$B$25,1))*100</f>
        <v/>
      </c>
    </row>
    <row r="13">
      <c r="A13" t="inlineStr">
        <is>
          <t>MIN_DAMAGE %</t>
        </is>
      </c>
      <c r="B13">
        <f>IFERROR(1/(I13-100),"n/a")</f>
        <v/>
      </c>
      <c r="C13" t="inlineStr">
        <is>
          <t>pct</t>
        </is>
      </c>
      <c r="D13">
        <f>Inputs!$B$22+0</f>
        <v/>
      </c>
      <c r="E13">
        <f>(Inputs!$B$22+1)+0</f>
        <v/>
      </c>
      <c r="F13">
        <f>Summary!$B$3</f>
        <v/>
      </c>
      <c r="G13">
        <f>B419</f>
        <v/>
      </c>
      <c r="H13">
        <f>Summary!$B$3*(((1-Summary!$B$11)*IFERROR(B417/Summary!$B$24,1)+Summary!$B$11*IFERROR(B418/Summary!$B$25,1))-1)</f>
        <v/>
      </c>
      <c r="I13">
        <f>((1-Summary!$B$11)*IFERROR(B417/Summary!$B$24,1)+Summary!$B$11*IFERROR(B418/Summary!$B$25,1))*100</f>
        <v/>
      </c>
    </row>
    <row r="14">
      <c r="A14" t="inlineStr">
        <is>
          <t>MAX_DAMAGE %</t>
        </is>
      </c>
      <c r="B14">
        <f>IFERROR(1/(I14-100),"n/a")</f>
        <v/>
      </c>
      <c r="C14" t="inlineStr">
        <is>
          <t>pct</t>
        </is>
      </c>
      <c r="D14">
        <f>Inputs!$B$23+0</f>
        <v/>
      </c>
      <c r="E14">
        <f>(Inputs!$B$23+1)+0</f>
        <v/>
      </c>
      <c r="F14">
        <f>Summary!$B$3</f>
        <v/>
      </c>
      <c r="G14">
        <f>B458</f>
        <v/>
      </c>
      <c r="H14">
        <f>Summary!$B$3*(((1-Summary!$B$11)*IFERROR(B456/Summary!$B$24,1)+Summary!$B$11*IFERROR(B457/Summary!$B$25,1))-1)</f>
        <v/>
      </c>
      <c r="I14">
        <f>((1-Summary!$B$11)*IFERROR(B456/Summary!$B$24,1)+Summary!$B$11*IFERROR(B457/Summary!$B$25,1))*100</f>
        <v/>
      </c>
    </row>
    <row r="15">
      <c r="A15" t="inlineStr">
        <is>
          <t>CRIT_RATE %</t>
        </is>
      </c>
      <c r="B15">
        <f>IFERROR(1/(I15-100),"n/a")</f>
        <v/>
      </c>
      <c r="C15" t="inlineStr">
        <is>
          <t>pct</t>
        </is>
      </c>
      <c r="D15">
        <f>Inputs!$B$9+0</f>
        <v/>
      </c>
      <c r="E15">
        <f>(Inputs!$B$9+1)+0</f>
        <v/>
      </c>
      <c r="F15">
        <f>Summary!$B$3</f>
        <v/>
      </c>
      <c r="G15">
        <f>B497</f>
        <v/>
      </c>
      <c r="H15">
        <f>Summary!$B$3*(((1-Summary!$B$11)*IFERROR(B495/Summary!$B$24,1)+Summary!$B$11*IFERROR(B496/Summary!$B$25,1))-1)</f>
        <v/>
      </c>
      <c r="I15">
        <f>((1-Summary!$B$11)*IFERROR(B495/Summary!$B$24,1)+Summary!$B$11*IFERROR(B496/Summary!$B$25,1))*100</f>
        <v/>
      </c>
    </row>
    <row r="16">
      <c r="A16" t="inlineStr">
        <is>
          <t>CRIT_DAMAGE %</t>
        </is>
      </c>
      <c r="B16">
        <f>IFERROR(1/(I16-100),"n/a")</f>
        <v/>
      </c>
      <c r="C16" t="inlineStr">
        <is>
          <t>pct</t>
        </is>
      </c>
      <c r="D16">
        <f>Inputs!$B$10+0</f>
        <v/>
      </c>
      <c r="E16">
        <f>(Inputs!$B$10+1)+0</f>
        <v/>
      </c>
      <c r="F16">
        <f>Summary!$B$3</f>
        <v/>
      </c>
      <c r="G16">
        <f>B536</f>
        <v/>
      </c>
      <c r="H16">
        <f>Summary!$B$3*(((1-Summary!$B$11)*IFERROR(B534/Summary!$B$24,1)+Summary!$B$11*IFERROR(B535/Summary!$B$25,1))-1)</f>
        <v/>
      </c>
      <c r="I16">
        <f>((1-Summary!$B$11)*IFERROR(B534/Summary!$B$24,1)+Summary!$B$11*IFERROR(B535/Summary!$B$25,1))*100</f>
        <v/>
      </c>
    </row>
    <row r="17">
      <c r="A17" t="inlineStr">
        <is>
          <t>ATTACK_SPEED % (diminishing returns, factor 150)</t>
        </is>
      </c>
      <c r="B17">
        <f>IFERROR(1/(I17-100),"n/a")</f>
        <v/>
      </c>
      <c r="C17" t="inlineStr">
        <is>
          <t>dr150</t>
        </is>
      </c>
      <c r="D17">
        <f>Inputs!$B$11+0</f>
        <v/>
      </c>
      <c r="E17">
        <f>((1-(1-Inputs!$B$11/150)*(1-1/150))*150)+0</f>
        <v/>
      </c>
      <c r="F17">
        <f>Summary!$B$3</f>
        <v/>
      </c>
      <c r="G17">
        <f>B575</f>
        <v/>
      </c>
      <c r="H17">
        <f>Summary!$B$3*(((1-Summary!$B$11)*IFERROR(B573/Summary!$B$24,1)+Summary!$B$11*IFERROR(B574/Summary!$B$25,1))-1)</f>
        <v/>
      </c>
      <c r="I17">
        <f>((1-Summary!$B$11)*IFERROR(B573/Summary!$B$24,1)+Summary!$B$11*IFERROR(B574/Summary!$B$25,1))*100</f>
        <v/>
      </c>
    </row>
    <row r="18">
      <c r="A18" t="inlineStr">
        <is>
          <t>DEF_PEN % (diminishing returns, factor 100)</t>
        </is>
      </c>
      <c r="B18">
        <f>IFERROR(1/(I18-100),"n/a")</f>
        <v/>
      </c>
      <c r="C18" t="inlineStr">
        <is>
          <t>dr100</t>
        </is>
      </c>
      <c r="D18">
        <f>Inputs!$B$19+0</f>
        <v/>
      </c>
      <c r="E18">
        <f>((1-(1-Inputs!$B$19/100)*(1-1/100))*100)+0</f>
        <v/>
      </c>
      <c r="F18">
        <f>Summary!$B$3</f>
        <v/>
      </c>
      <c r="G18">
        <f>B614</f>
        <v/>
      </c>
      <c r="H18">
        <f>Summary!$B$3*(((1-Summary!$B$11)*IFERROR(B612/Summary!$B$24,1)+Summary!$B$11*IFERROR(B613/Summary!$B$25,1))-1)</f>
        <v/>
      </c>
      <c r="I18">
        <f>((1-Summary!$B$11)*IFERROR(B612/Summary!$B$24,1)+Summary!$B$11*IFERROR(B613/Summary!$B$25,1))*100</f>
        <v/>
      </c>
    </row>
    <row r="19">
      <c r="A19" t="inlineStr">
        <is>
          <t>BASIC_ATTACK_DAMAGE %</t>
        </is>
      </c>
      <c r="B19">
        <f>IFERROR(1/(I19-100),"n/a")</f>
        <v/>
      </c>
      <c r="C19" t="inlineStr">
        <is>
          <t>pct</t>
        </is>
      </c>
      <c r="D19">
        <f>Inputs!$B$17+0</f>
        <v/>
      </c>
      <c r="E19">
        <f>(Inputs!$B$17+1)+0</f>
        <v/>
      </c>
      <c r="F19">
        <f>Summary!$B$3</f>
        <v/>
      </c>
      <c r="G19">
        <f>B653</f>
        <v/>
      </c>
      <c r="H19">
        <f>Summary!$B$3*(((1-Summary!$B$11)*IFERROR(B651/Summary!$B$24,1)+Summary!$B$11*IFERROR(B652/Summary!$B$25,1))-1)</f>
        <v/>
      </c>
      <c r="I19">
        <f>((1-Summary!$B$11)*IFERROR(B651/Summary!$B$24,1)+Summary!$B$11*IFERROR(B652/Summary!$B$25,1))*100</f>
        <v/>
      </c>
    </row>
    <row r="20">
      <c r="A20" t="inlineStr">
        <is>
          <t>SKILL_DAMAGE %</t>
        </is>
      </c>
      <c r="B20">
        <f>IFERROR(1/(I20-100),"n/a")</f>
        <v/>
      </c>
      <c r="C20" t="inlineStr">
        <is>
          <t>pct</t>
        </is>
      </c>
      <c r="D20">
        <f>Inputs!$B$18+0</f>
        <v/>
      </c>
      <c r="E20">
        <f>(Inputs!$B$18+1)+0</f>
        <v/>
      </c>
      <c r="F20">
        <f>Summary!$B$3</f>
        <v/>
      </c>
      <c r="G20">
        <f>B692</f>
        <v/>
      </c>
      <c r="H20">
        <f>Summary!$B$3*(((1-Summary!$B$11)*IFERROR(B690/Summary!$B$24,1)+Summary!$B$11*IFERROR(B691/Summary!$B$25,1))-1)</f>
        <v/>
      </c>
      <c r="I20">
        <f>((1-Summary!$B$11)*IFERROR(B690/Summary!$B$24,1)+Summary!$B$11*IFERROR(B691/Summary!$B$25,1))*100</f>
        <v/>
      </c>
    </row>
    <row r="21">
      <c r="A21" t="inlineStr">
        <is>
          <t>Skill Level Bonus — 1st Job</t>
        </is>
      </c>
      <c r="B21">
        <f>IFERROR(1/(I21-100),"n/a")</f>
        <v/>
      </c>
      <c r="C21" t="inlineStr">
        <is>
          <t>level</t>
        </is>
      </c>
      <c r="D21">
        <f>Inputs!$B$25+0</f>
        <v/>
      </c>
      <c r="E21">
        <f>(Inputs!$B$25+1)+0</f>
        <v/>
      </c>
      <c r="F21">
        <f>Summary!$B$3</f>
        <v/>
      </c>
      <c r="G21">
        <f>B731</f>
        <v/>
      </c>
      <c r="H21">
        <f>Summary!$B$3*(((1-Summary!$B$11)*IFERROR(B729/Summary!$B$24,1)+Summary!$B$11*IFERROR(B730/Summary!$B$25,1))-1)</f>
        <v/>
      </c>
      <c r="I21">
        <f>((1-Summary!$B$11)*IFERROR(B729/Summary!$B$24,1)+Summary!$B$11*IFERROR(B730/Summary!$B$25,1))*100</f>
        <v/>
      </c>
    </row>
    <row r="22">
      <c r="A22" t="inlineStr">
        <is>
          <t>Skill Level Bonus — 2nd Job</t>
        </is>
      </c>
      <c r="B22">
        <f>IFERROR(1/(I22-100),"n/a")</f>
        <v/>
      </c>
      <c r="C22" t="inlineStr">
        <is>
          <t>level</t>
        </is>
      </c>
      <c r="D22">
        <f>Inputs!$B$26+0</f>
        <v/>
      </c>
      <c r="E22">
        <f>(Inputs!$B$26+1)+0</f>
        <v/>
      </c>
      <c r="F22">
        <f>Summary!$B$3</f>
        <v/>
      </c>
      <c r="G22">
        <f>B770</f>
        <v/>
      </c>
      <c r="H22">
        <f>Summary!$B$3*(((1-Summary!$B$11)*IFERROR(B768/Summary!$B$24,1)+Summary!$B$11*IFERROR(B769/Summary!$B$25,1))-1)</f>
        <v/>
      </c>
      <c r="I22">
        <f>((1-Summary!$B$11)*IFERROR(B768/Summary!$B$24,1)+Summary!$B$11*IFERROR(B769/Summary!$B$25,1))*100</f>
        <v/>
      </c>
    </row>
    <row r="23">
      <c r="A23" t="inlineStr">
        <is>
          <t>Skill Level Bonus — 3rd Job</t>
        </is>
      </c>
      <c r="B23">
        <f>IFERROR(1/(I23-100),"n/a")</f>
        <v/>
      </c>
      <c r="C23" t="inlineStr">
        <is>
          <t>level</t>
        </is>
      </c>
      <c r="D23">
        <f>Inputs!$B$27+0</f>
        <v/>
      </c>
      <c r="E23">
        <f>(Inputs!$B$27+1)+0</f>
        <v/>
      </c>
      <c r="F23">
        <f>Summary!$B$3</f>
        <v/>
      </c>
      <c r="G23">
        <f>B809</f>
        <v/>
      </c>
      <c r="H23">
        <f>Summary!$B$3*(((1-Summary!$B$11)*IFERROR(B807/Summary!$B$24,1)+Summary!$B$11*IFERROR(B808/Summary!$B$25,1))-1)</f>
        <v/>
      </c>
      <c r="I23">
        <f>((1-Summary!$B$11)*IFERROR(B807/Summary!$B$24,1)+Summary!$B$11*IFERROR(B808/Summary!$B$25,1))*100</f>
        <v/>
      </c>
    </row>
    <row r="24">
      <c r="A24" t="inlineStr">
        <is>
          <t>Skill Level Bonus — 4th Job</t>
        </is>
      </c>
      <c r="B24">
        <f>IFERROR(1/(I24-100),"n/a")</f>
        <v/>
      </c>
      <c r="C24" t="inlineStr">
        <is>
          <t>level</t>
        </is>
      </c>
      <c r="D24">
        <f>Inputs!$B$28+0</f>
        <v/>
      </c>
      <c r="E24">
        <f>(Inputs!$B$28+1)+0</f>
        <v/>
      </c>
      <c r="F24">
        <f>Summary!$B$3</f>
        <v/>
      </c>
      <c r="G24">
        <f>B848</f>
        <v/>
      </c>
      <c r="H24">
        <f>Summary!$B$3*(((1-Summary!$B$11)*IFERROR(B846/Summary!$B$24,1)+Summary!$B$11*IFERROR(B847/Summary!$B$25,1))-1)</f>
        <v/>
      </c>
      <c r="I24">
        <f>((1-Summary!$B$11)*IFERROR(B846/Summary!$B$24,1)+Summary!$B$11*IFERROR(B847/Summary!$B$25,1))*100</f>
        <v/>
      </c>
    </row>
    <row r="25">
      <c r="A25" t="inlineStr">
        <is>
          <t>Skill Level Bonus — All Skills</t>
        </is>
      </c>
      <c r="B25">
        <f>IFERROR(1/(I25-100),"n/a")</f>
        <v/>
      </c>
      <c r="C25" t="inlineStr">
        <is>
          <t>level</t>
        </is>
      </c>
      <c r="D25">
        <f>Inputs!$B$29+0</f>
        <v/>
      </c>
      <c r="E25">
        <f>(Inputs!$B$29+1)+0</f>
        <v/>
      </c>
      <c r="F25">
        <f>Summary!$B$3</f>
        <v/>
      </c>
      <c r="G25">
        <f>B887</f>
        <v/>
      </c>
      <c r="H25">
        <f>Summary!$B$3*(((1-Summary!$B$11)*IFERROR(B885/Summary!$B$24,1)+Summary!$B$11*IFERROR(B886/Summary!$B$25,1))-1)</f>
        <v/>
      </c>
      <c r="I25">
        <f>((1-Summary!$B$11)*IFERROR(B885/Summary!$B$24,1)+Summary!$B$11*IFERROR(B886/Summary!$B$25,1))*100</f>
        <v/>
      </c>
    </row>
    <row r="26">
      <c r="A26" t="inlineStr">
        <is>
          <t>Flat ATTACK</t>
        </is>
      </c>
      <c r="B26">
        <f>IFERROR(1/(I26-100),"n/a")</f>
        <v/>
      </c>
      <c r="C26" t="inlineStr">
        <is>
          <t>flat</t>
        </is>
      </c>
      <c r="D26">
        <f>Inputs!$B$6+0</f>
        <v/>
      </c>
      <c r="E26">
        <f>(Inputs!$B$6+1)+0</f>
        <v/>
      </c>
      <c r="F26">
        <f>Summary!$B$3</f>
        <v/>
      </c>
      <c r="G26">
        <f>B926</f>
        <v/>
      </c>
      <c r="H26">
        <f>Summary!$B$3*(((1-Summary!$B$11)*IFERROR(B924/Summary!$B$24,1)+Summary!$B$11*IFERROR(B925/Summary!$B$25,1))-1)</f>
        <v/>
      </c>
      <c r="I26">
        <f>((1-Summary!$B$11)*IFERROR(B924/Summary!$B$24,1)+Summary!$B$11*IFERROR(B925/Summary!$B$25,1))*100</f>
        <v/>
      </c>
    </row>
    <row r="27">
      <c r="A27" t="inlineStr">
        <is>
          <t>ATTACK %</t>
        </is>
      </c>
      <c r="B27">
        <f>IFERROR(1/(I27-100),"n/a")</f>
        <v/>
      </c>
      <c r="C27" t="inlineStr">
        <is>
          <t>pct</t>
        </is>
      </c>
      <c r="D27">
        <f>Inputs!$B$7+0</f>
        <v/>
      </c>
      <c r="E27">
        <f>(Inputs!$B$7+1)+0</f>
        <v/>
      </c>
      <c r="F27">
        <f>Summary!$B$3</f>
        <v/>
      </c>
      <c r="G27">
        <f>B965</f>
        <v/>
      </c>
      <c r="H27">
        <f>Summary!$B$3*(((1-Summary!$B$11)*IFERROR(B963/Summary!$B$24,1)+Summary!$B$11*IFERROR(B964/Summary!$B$25,1))-1)</f>
        <v/>
      </c>
      <c r="I27">
        <f>((1-Summary!$B$11)*IFERROR(B963/Summary!$B$24,1)+Summary!$B$11*IFERROR(B964/Summary!$B$25,1))*100</f>
        <v/>
      </c>
    </row>
    <row r="28">
      <c r="A28" t="inlineStr">
        <is>
          <t>Skill Cooldown Decrease (seconds)</t>
        </is>
      </c>
      <c r="B28">
        <f>IFERROR(1/(I28-100),"n/a")</f>
        <v/>
      </c>
      <c r="C28" t="inlineStr">
        <is>
          <t>flat</t>
        </is>
      </c>
      <c r="D28">
        <f>Inputs!$B$32+0</f>
        <v/>
      </c>
      <c r="E28">
        <f>(Inputs!$B$32+1)+0</f>
        <v/>
      </c>
      <c r="F28">
        <f>Summary!$B$3</f>
        <v/>
      </c>
      <c r="G28">
        <f>B1004</f>
        <v/>
      </c>
      <c r="H28">
        <f>Summary!$B$3*(((1-Summary!$B$11)*IFERROR(B1002/Summary!$B$24,1)+Summary!$B$11*IFERROR(B1003/Summary!$B$25,1))-1)</f>
        <v/>
      </c>
      <c r="I28">
        <f>((1-Summary!$B$11)*IFERROR(B1002/Summary!$B$24,1)+Summary!$B$11*IFERROR(B1003/Summary!$B$25,1))*100</f>
        <v/>
      </c>
    </row>
    <row r="29">
      <c r="A29" t="inlineStr">
        <is>
          <t>Basic Attack Target Increase (flat)</t>
        </is>
      </c>
      <c r="B29">
        <f>IFERROR(1/(I29-100),"n/a")</f>
        <v/>
      </c>
      <c r="C29" t="inlineStr">
        <is>
          <t>flat</t>
        </is>
      </c>
      <c r="D29">
        <f>Inputs!$B$33+0</f>
        <v/>
      </c>
      <c r="E29">
        <f>(Inputs!$B$33+1)+0</f>
        <v/>
      </c>
      <c r="F29">
        <f>Summary!$B$3</f>
        <v/>
      </c>
      <c r="G29">
        <f>B1043</f>
        <v/>
      </c>
      <c r="H29">
        <f>Summary!$B$3*(((1-Summary!$B$11)*IFERROR(B1041/Summary!$B$24,1)+Summary!$B$11*IFERROR(B1042/Summary!$B$25,1))-1)</f>
        <v/>
      </c>
      <c r="I29">
        <f>((1-Summary!$B$11)*IFERROR(B1041/Summary!$B$24,1)+Summary!$B$11*IFERROR(B1042/Summary!$B$25,1))*100</f>
        <v/>
      </c>
    </row>
    <row r="30">
      <c r="A30" t="inlineStr">
        <is>
          <t>Buff Duration Increase %</t>
        </is>
      </c>
      <c r="B30">
        <f>IFERROR(1/(I30-100),"n/a")</f>
        <v/>
      </c>
      <c r="C30" t="inlineStr">
        <is>
          <t>pct</t>
        </is>
      </c>
      <c r="D30">
        <f>Inputs!$B$34+0</f>
        <v/>
      </c>
      <c r="E30">
        <f>(Inputs!$B$34+1)+0</f>
        <v/>
      </c>
      <c r="F30">
        <f>Summary!$B$3</f>
        <v/>
      </c>
      <c r="G30">
        <f>B1082</f>
        <v/>
      </c>
      <c r="H30">
        <f>Summary!$B$3*(((1-Summary!$B$11)*IFERROR(B1080/Summary!$B$24,1)+Summary!$B$11*IFERROR(B1081/Summary!$B$25,1))-1)</f>
        <v/>
      </c>
      <c r="I30">
        <f>((1-Summary!$B$11)*IFERROR(B1080/Summary!$B$24,1)+Summary!$B$11*IFERROR(B1081/Summary!$B$25,1))*100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(IF(ArtifactsInput!$M$5,-1,1)*Summary!$B$3*(((1-Summary!$B$11)*IFERROR(B1119/Summary!$B$24,1)+Summary!$B$11*IFERROR(B1120/Summary!$B$25,1))-1)+ArtifactsInput!$L$5)</f>
        <v/>
      </c>
      <c r="AC33">
        <f>IF(ArtifactsInput!$M$5,Summary!$B$3/(Summary!$B$3-(IF(ArtifactsInput!$M$5,-1,1)*Summary!$B$3*(((1-Summary!$B$11)*IFERROR(B1119/Summary!$B$24,1)+Summary!$B$11*IFERROR(B1120/Summary!$B$25,1))-1)+ArtifactsInput!$L$5))*100,(Summary!$B$3+(IF(ArtifactsInput!$M$5,-1,1)*Summary!$B$3*(((1-Summary!$B$11)*IFERROR(B1119/Summary!$B$24,1)+Summary!$B$11*IFERROR(B1120/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(IF(ArtifactsInput!$M$6,-1,1)*Summary!$B$3*(((1-Summary!$B$11)*IFERROR(B1158/Summary!$B$24,1)+Summary!$B$11*IFERROR(B1159/Summary!$B$25,1))-1)+ArtifactsInput!$L$6)</f>
        <v/>
      </c>
      <c r="AC34">
        <f>IF(ArtifactsInput!$M$6,Summary!$B$3/(Summary!$B$3-(IF(ArtifactsInput!$M$6,-1,1)*Summary!$B$3*(((1-Summary!$B$11)*IFERROR(B1158/Summary!$B$24,1)+Summary!$B$11*IFERROR(B1159/Summary!$B$25,1))-1)+ArtifactsInput!$L$6))*100,(Summary!$B$3+(IF(ArtifactsInput!$M$6,-1,1)*Summary!$B$3*(((1-Summary!$B$11)*IFERROR(B1158/Summary!$B$24,1)+Summary!$B$11*IFERROR(B1159/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(IF(ArtifactsInput!$M$7,-1,1)*Summary!$B$3*(((1-Summary!$B$11)*IFERROR(B1197/Summary!$B$24,1)+Summary!$B$11*IFERROR(B1198/Summary!$B$25,1))-1)+ArtifactsInput!$L$7)</f>
        <v/>
      </c>
      <c r="AC35">
        <f>IF(ArtifactsInput!$M$7,Summary!$B$3/(Summary!$B$3-(IF(ArtifactsInput!$M$7,-1,1)*Summary!$B$3*(((1-Summary!$B$11)*IFERROR(B1197/Summary!$B$24,1)+Summary!$B$11*IFERROR(B1198/Summary!$B$25,1))-1)+ArtifactsInput!$L$7))*100,(Summary!$B$3+(IF(ArtifactsInput!$M$7,-1,1)*Summary!$B$3*(((1-Summary!$B$11)*IFERROR(B1197/Summary!$B$24,1)+Summary!$B$11*IFERROR(B1198/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(IF(ArtifactsInput!$M$8,-1,1)*Summary!$B$3*(((1-Summary!$B$11)*IFERROR(B1236/Summary!$B$24,1)+Summary!$B$11*IFERROR(B1237/Summary!$B$25,1))-1)+ArtifactsInput!$L$8)</f>
        <v/>
      </c>
      <c r="AC36">
        <f>IF(ArtifactsInput!$M$8,Summary!$B$3/(Summary!$B$3-(IF(ArtifactsInput!$M$8,-1,1)*Summary!$B$3*(((1-Summary!$B$11)*IFERROR(B1236/Summary!$B$24,1)+Summary!$B$11*IFERROR(B1237/Summary!$B$25,1))-1)+ArtifactsInput!$L$8))*100,(Summary!$B$3+(IF(ArtifactsInput!$M$8,-1,1)*Summary!$B$3*(((1-Summary!$B$11)*IFERROR(B1236/Summary!$B$24,1)+Summary!$B$11*IFERROR(B1237/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(IF(ArtifactsInput!$M$10,-1,1)*Summary!$B$3*(((1-Summary!$B$11)*IFERROR(B1275/Summary!$B$24,1)+Summary!$B$11*IFERROR(B1276/Summary!$B$25,1))-1)+ArtifactsInput!$L$10)</f>
        <v/>
      </c>
      <c r="AC37">
        <f>IF(ArtifactsInput!$M$10,Summary!$B$3/(Summary!$B$3-(IF(ArtifactsInput!$M$10,-1,1)*Summary!$B$3*(((1-Summary!$B$11)*IFERROR(B1275/Summary!$B$24,1)+Summary!$B$11*IFERROR(B1276/Summary!$B$25,1))-1)+ArtifactsInput!$L$10))*100,(Summary!$B$3+(IF(ArtifactsInput!$M$10,-1,1)*Summary!$B$3*(((1-Summary!$B$11)*IFERROR(B1275/Summary!$B$24,1)+Summary!$B$11*IFERROR(B1276/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(IF(ArtifactsInput!$M$11,-1,1)*Summary!$B$3*(((1-Summary!$B$11)*IFERROR(B1314/Summary!$B$24,1)+Summary!$B$11*IFERROR(B1315/Summary!$B$25,1))-1)+ArtifactsInput!$L$11)</f>
        <v/>
      </c>
      <c r="AC38">
        <f>IF(ArtifactsInput!$M$11,Summary!$B$3/(Summary!$B$3-(IF(ArtifactsInput!$M$11,-1,1)*Summary!$B$3*(((1-Summary!$B$11)*IFERROR(B1314/Summary!$B$24,1)+Summary!$B$11*IFERROR(B1315/Summary!$B$25,1))-1)+ArtifactsInput!$L$11))*100,(Summary!$B$3+(IF(ArtifactsInput!$M$11,-1,1)*Summary!$B$3*(((1-Summary!$B$11)*IFERROR(B1314/Summary!$B$24,1)+Summary!$B$11*IFERROR(B1315/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(IF(ArtifactsInput!$M$12,-1,1)*Summary!$B$3*(((1-Summary!$B$11)*IFERROR(B1353/Summary!$B$24,1)+Summary!$B$11*IFERROR(B1354/Summary!$B$25,1))-1)+ArtifactsInput!$L$12)</f>
        <v/>
      </c>
      <c r="AC39">
        <f>IF(ArtifactsInput!$M$12,Summary!$B$3/(Summary!$B$3-(IF(ArtifactsInput!$M$12,-1,1)*Summary!$B$3*(((1-Summary!$B$11)*IFERROR(B1353/Summary!$B$24,1)+Summary!$B$11*IFERROR(B1354/Summary!$B$25,1))-1)+ArtifactsInput!$L$12))*100,(Summary!$B$3+(IF(ArtifactsInput!$M$12,-1,1)*Summary!$B$3*(((1-Summary!$B$11)*IFERROR(B1353/Summary!$B$24,1)+Summary!$B$11*IFERROR(B1354/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(IF(ArtifactsInput!$M$13,-1,1)*Summary!$B$3*(((1-Summary!$B$11)*IFERROR(B1392/Summary!$B$24,1)+Summary!$B$11*IFERROR(B1393/Summary!$B$25,1))-1)+ArtifactsInput!$L$13)</f>
        <v/>
      </c>
      <c r="AC40">
        <f>IF(ArtifactsInput!$M$13,Summary!$B$3/(Summary!$B$3-(IF(ArtifactsInput!$M$13,-1,1)*Summary!$B$3*(((1-Summary!$B$11)*IFERROR(B1392/Summary!$B$24,1)+Summary!$B$11*IFERROR(B1393/Summary!$B$25,1))-1)+ArtifactsInput!$L$13))*100,(Summary!$B$3+(IF(ArtifactsInput!$M$13,-1,1)*Summary!$B$3*(((1-Summary!$B$11)*IFERROR(B1392/Summary!$B$24,1)+Summary!$B$11*IFERROR(B1393/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(IF(ArtifactsInput!$M$14,-1,1)*Summary!$B$3*(((1-Summary!$B$11)*IFERROR(B1431/Summary!$B$24,1)+Summary!$B$11*IFERROR(B1432/Summary!$B$25,1))-1)+ArtifactsInput!$L$14)</f>
        <v/>
      </c>
      <c r="AC41">
        <f>IF(ArtifactsInput!$M$14,Summary!$B$3/(Summary!$B$3-(IF(ArtifactsInput!$M$14,-1,1)*Summary!$B$3*(((1-Summary!$B$11)*IFERROR(B1431/Summary!$B$24,1)+Summary!$B$11*IFERROR(B1432/Summary!$B$25,1))-1)+ArtifactsInput!$L$14))*100,(Summary!$B$3+(IF(ArtifactsInput!$M$14,-1,1)*Summary!$B$3*(((1-Summary!$B$11)*IFERROR(B1431/Summary!$B$24,1)+Summary!$B$11*IFERROR(B1432/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(IF(ArtifactsInput!$M$15,-1,1)*Summary!$B$3*(((1-Summary!$B$11)*IFERROR(B1470/Summary!$B$24,1)+Summary!$B$11*IFERROR(B1471/Summary!$B$25,1))-1)+ArtifactsInput!$L$15)</f>
        <v/>
      </c>
      <c r="AC42">
        <f>IF(ArtifactsInput!$M$15,Summary!$B$3/(Summary!$B$3-(IF(ArtifactsInput!$M$15,-1,1)*Summary!$B$3*(((1-Summary!$B$11)*IFERROR(B1470/Summary!$B$24,1)+Summary!$B$11*IFERROR(B1471/Summary!$B$25,1))-1)+ArtifactsInput!$L$15))*100,(Summary!$B$3+(IF(ArtifactsInput!$M$15,-1,1)*Summary!$B$3*(((1-Summary!$B$11)*IFERROR(B1470/Summary!$B$24,1)+Summary!$B$11*IFERROR(B1471/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(IF(ArtifactsInput!$M$16,-1,1)*Summary!$B$3*(((1-Summary!$B$11)*IFERROR(B1509/Summary!$B$24,1)+Summary!$B$11*IFERROR(B1510/Summary!$B$25,1))-1)+ArtifactsInput!$L$16)</f>
        <v/>
      </c>
      <c r="AC43">
        <f>IF(ArtifactsInput!$M$16,Summary!$B$3/(Summary!$B$3-(IF(ArtifactsInput!$M$16,-1,1)*Summary!$B$3*(((1-Summary!$B$11)*IFERROR(B1509/Summary!$B$24,1)+Summary!$B$11*IFERROR(B1510/Summary!$B$25,1))-1)+ArtifactsInput!$L$16))*100,(Summary!$B$3+(IF(ArtifactsInput!$M$16,-1,1)*Summary!$B$3*(((1-Summary!$B$11)*IFERROR(B1509/Summary!$B$24,1)+Summary!$B$11*IFERROR(B1510/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(IF(ArtifactsInput!$M$17,-1,1)*Summary!$B$3*(((1-Summary!$B$11)*IFERROR(B1548/Summary!$B$24,1)+Summary!$B$11*IFERROR(B1549/Summary!$B$25,1))-1)+ArtifactsInput!$L$17)</f>
        <v/>
      </c>
      <c r="AC44">
        <f>IF(ArtifactsInput!$M$17,Summary!$B$3/(Summary!$B$3-(IF(ArtifactsInput!$M$17,-1,1)*Summary!$B$3*(((1-Summary!$B$11)*IFERROR(B1548/Summary!$B$24,1)+Summary!$B$11*IFERROR(B1549/Summary!$B$25,1))-1)+ArtifactsInput!$L$17))*100,(Summary!$B$3+(IF(ArtifactsInput!$M$17,-1,1)*Summary!$B$3*(((1-Summary!$B$11)*IFERROR(B1548/Summary!$B$24,1)+Summary!$B$11*IFERROR(B1549/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(IF(ArtifactsInput!$M$18,-1,1)*Summary!$B$3*(((1-Summary!$B$11)*IFERROR(B1587/Summary!$B$24,1)+Summary!$B$11*IFERROR(B1588/Summary!$B$25,1))-1)+ArtifactsInput!$L$18)</f>
        <v/>
      </c>
      <c r="AC45">
        <f>IF(ArtifactsInput!$M$18,Summary!$B$3/(Summary!$B$3-(IF(ArtifactsInput!$M$18,-1,1)*Summary!$B$3*(((1-Summary!$B$11)*IFERROR(B1587/Summary!$B$24,1)+Summary!$B$11*IFERROR(B1588/Summary!$B$25,1))-1)+ArtifactsInput!$L$18))*100,(Summary!$B$3+(IF(ArtifactsInput!$M$18,-1,1)*Summary!$B$3*(((1-Summary!$B$11)*IFERROR(B1587/Summary!$B$24,1)+Summary!$B$11*IFERROR(B1588/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(IF(ArtifactsInput!$M$20,-1,1)*Summary!$B$3*(((1-Summary!$B$11)*IFERROR(B1626/Summary!$B$24,1)+Summary!$B$11*IFERROR(B1627/Summary!$B$25,1))-1)+ArtifactsInput!$L$20)</f>
        <v/>
      </c>
      <c r="AC46">
        <f>IF(ArtifactsInput!$M$20,Summary!$B$3/(Summary!$B$3-(IF(ArtifactsInput!$M$20,-1,1)*Summary!$B$3*(((1-Summary!$B$11)*IFERROR(B1626/Summary!$B$24,1)+Summary!$B$11*IFERROR(B1627/Summary!$B$25,1))-1)+ArtifactsInput!$L$20))*100,(Summary!$B$3+(IF(ArtifactsInput!$M$20,-1,1)*Summary!$B$3*(((1-Summary!$B$11)*IFERROR(B1626/Summary!$B$24,1)+Summary!$B$11*IFERROR(B1627/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(IF(ArtifactsInput!$M$21,-1,1)*Summary!$B$3*(((1-Summary!$B$11)*IFERROR(B1665/Summary!$B$24,1)+Summary!$B$11*IFERROR(B1666/Summary!$B$25,1))-1)+ArtifactsInput!$L$21)</f>
        <v/>
      </c>
      <c r="AC47">
        <f>IF(ArtifactsInput!$M$21,Summary!$B$3/(Summary!$B$3-(IF(ArtifactsInput!$M$21,-1,1)*Summary!$B$3*(((1-Summary!$B$11)*IFERROR(B1665/Summary!$B$24,1)+Summary!$B$11*IFERROR(B1666/Summary!$B$25,1))-1)+ArtifactsInput!$L$21))*100,(Summary!$B$3+(IF(ArtifactsInput!$M$21,-1,1)*Summary!$B$3*(((1-Summary!$B$11)*IFERROR(B1665/Summary!$B$24,1)+Summary!$B$11*IFERROR(B1666/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(IF(ArtifactsInput!$M$22,-1,1)*Summary!$B$3*(((1-Summary!$B$11)*IFERROR(B1704/Summary!$B$24,1)+Summary!$B$11*IFERROR(B1705/Summary!$B$25,1))-1)+ArtifactsInput!$L$22)</f>
        <v/>
      </c>
      <c r="AC48">
        <f>IF(ArtifactsInput!$M$22,Summary!$B$3/(Summary!$B$3-(IF(ArtifactsInput!$M$22,-1,1)*Summary!$B$3*(((1-Summary!$B$11)*IFERROR(B1704/Summary!$B$24,1)+Summary!$B$11*IFERROR(B1705/Summary!$B$25,1))-1)+ArtifactsInput!$L$22))*100,(Summary!$B$3+(IF(ArtifactsInput!$M$22,-1,1)*Summary!$B$3*(((1-Summary!$B$11)*IFERROR(B1704/Summary!$B$24,1)+Summary!$B$11*IFERROR(B1705/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(IF(ArtifactsInput!$M$23,-1,1)*Summary!$B$3*(((1-Summary!$B$11)*IFERROR(B1743/Summary!$B$24,1)+Summary!$B$11*IFERROR(B1744/Summary!$B$25,1))-1)+ArtifactsInput!$L$23)</f>
        <v/>
      </c>
      <c r="AC49">
        <f>IF(ArtifactsInput!$M$23,Summary!$B$3/(Summary!$B$3-(IF(ArtifactsInput!$M$23,-1,1)*Summary!$B$3*(((1-Summary!$B$11)*IFERROR(B1743/Summary!$B$24,1)+Summary!$B$11*IFERROR(B1744/Summary!$B$25,1))-1)+ArtifactsInput!$L$23))*100,(Summary!$B$3+(IF(ArtifactsInput!$M$23,-1,1)*Summary!$B$3*(((1-Summary!$B$11)*IFERROR(B1743/Summary!$B$24,1)+Summary!$B$11*IFERROR(B1744/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(IF(ArtifactsInput!$M$24,-1,1)*Summary!$B$3*(((1-Summary!$B$11)*IFERROR(B1782/Summary!$B$24,1)+Summary!$B$11*IFERROR(B1783/Summary!$B$25,1))-1)+ArtifactsInput!$L$24)</f>
        <v/>
      </c>
      <c r="AC50">
        <f>IF(ArtifactsInput!$M$24,Summary!$B$3/(Summary!$B$3-(IF(ArtifactsInput!$M$24,-1,1)*Summary!$B$3*(((1-Summary!$B$11)*IFERROR(B1782/Summary!$B$24,1)+Summary!$B$11*IFERROR(B1783/Summary!$B$25,1))-1)+ArtifactsInput!$L$24))*100,(Summary!$B$3+(IF(ArtifactsInput!$M$24,-1,1)*Summary!$B$3*(((1-Summary!$B$11)*IFERROR(B1782/Summary!$B$24,1)+Summary!$B$11*IFERROR(B1783/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(IF(ArtifactsInput!$M$25,-1,1)*Summary!$B$3*(((1-Summary!$B$11)*IFERROR(B1821/Summary!$B$24,1)+Summary!$B$11*IFERROR(B1822/Summary!$B$25,1))-1)+ArtifactsInput!$L$25)</f>
        <v/>
      </c>
      <c r="AC51">
        <f>IF(ArtifactsInput!$M$25,Summary!$B$3/(Summary!$B$3-(IF(ArtifactsInput!$M$25,-1,1)*Summary!$B$3*(((1-Summary!$B$11)*IFERROR(B1821/Summary!$B$24,1)+Summary!$B$11*IFERROR(B1822/Summary!$B$25,1))-1)+ArtifactsInput!$L$25))*100,(Summary!$B$3+(IF(ArtifactsInput!$M$25,-1,1)*Summary!$B$3*(((1-Summary!$B$11)*IFERROR(B1821/Summary!$B$24,1)+Summary!$B$11*IFERROR(B1822/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(IF(ArtifactsInput!$M$26,-1,1)*Summary!$B$3*(((1-Summary!$B$11)*IFERROR(B1860/Summary!$B$24,1)+Summary!$B$11*IFERROR(B1861/Summary!$B$25,1))-1)+ArtifactsInput!$L$26)</f>
        <v/>
      </c>
      <c r="AC52">
        <f>IF(ArtifactsInput!$M$26,Summary!$B$3/(Summary!$B$3-(IF(ArtifactsInput!$M$26,-1,1)*Summary!$B$3*(((1-Summary!$B$11)*IFERROR(B1860/Summary!$B$24,1)+Summary!$B$11*IFERROR(B1861/Summary!$B$25,1))-1)+ArtifactsInput!$L$26))*100,(Summary!$B$3+(IF(ArtifactsInput!$M$26,-1,1)*Summary!$B$3*(((1-Summary!$B$11)*IFERROR(B1860/Summary!$B$24,1)+Summary!$B$11*IFERROR(B1861/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(IF(ArtifactsInput!$M$27,-1,1)*Summary!$B$3*(((1-Summary!$B$11)*IFERROR(B1899/Summary!$B$24,1)+Summary!$B$11*IFERROR(B1900/Summary!$B$25,1))-1)+ArtifactsInput!$L$27)</f>
        <v/>
      </c>
      <c r="AC53">
        <f>IF(ArtifactsInput!$M$27,Summary!$B$3/(Summary!$B$3-(IF(ArtifactsInput!$M$27,-1,1)*Summary!$B$3*(((1-Summary!$B$11)*IFERROR(B1899/Summary!$B$24,1)+Summary!$B$11*IFERROR(B1900/Summary!$B$25,1))-1)+ArtifactsInput!$L$27))*100,(Summary!$B$3+(IF(ArtifactsInput!$M$27,-1,1)*Summary!$B$3*(((1-Summary!$B$11)*IFERROR(B1899/Summary!$B$24,1)+Summary!$B$11*IFERROR(B1900/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(IF(ArtifactsInput!$M$28,-1,1)*Summary!$B$3*(((1-Summary!$B$11)*IFERROR(B1938/Summary!$B$24,1)+Summary!$B$11*IFERROR(B1939/Summary!$B$25,1))-1)+ArtifactsInput!$L$28)</f>
        <v/>
      </c>
      <c r="AC54">
        <f>IF(ArtifactsInput!$M$28,Summary!$B$3/(Summary!$B$3-(IF(ArtifactsInput!$M$28,-1,1)*Summary!$B$3*(((1-Summary!$B$11)*IFERROR(B1938/Summary!$B$24,1)+Summary!$B$11*IFERROR(B1939/Summary!$B$25,1))-1)+ArtifactsInput!$L$28))*100,(Summary!$B$3+(IF(ArtifactsInput!$M$28,-1,1)*Summary!$B$3*(((1-Summary!$B$11)*IFERROR(B1938/Summary!$B$24,1)+Summary!$B$11*IFERROR(B1939/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(IF(ArtifactsInput!$M$29,-1,1)*Summary!$B$3*(((1-Summary!$B$11)*IFERROR(B1977/Summary!$B$24,1)+Summary!$B$11*IFERROR(B1978/Summary!$B$25,1))-1)+ArtifactsInput!$L$29)</f>
        <v/>
      </c>
      <c r="AC55">
        <f>IF(ArtifactsInput!$M$29,Summary!$B$3/(Summary!$B$3-(IF(ArtifactsInput!$M$29,-1,1)*Summary!$B$3*(((1-Summary!$B$11)*IFERROR(B1977/Summary!$B$24,1)+Summary!$B$11*IFERROR(B1978/Summary!$B$25,1))-1)+ArtifactsInput!$L$29))*100,(Summary!$B$3+(IF(ArtifactsInput!$M$29,-1,1)*Summary!$B$3*(((1-Summary!$B$11)*IFERROR(B1977/Summary!$B$24,1)+Summary!$B$11*IFERROR(B1978/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(IF(ArtifactsInput!$M$30,-1,1)*Summary!$B$3*(((1-Summary!$B$11)*IFERROR(B2016/Summary!$B$24,1)+Summary!$B$11*IFERROR(B2017/Summary!$B$25,1))-1)+ArtifactsInput!$L$30)</f>
        <v/>
      </c>
      <c r="AC56">
        <f>IF(ArtifactsInput!$M$30,Summary!$B$3/(Summary!$B$3-(IF(ArtifactsInput!$M$30,-1,1)*Summary!$B$3*(((1-Summary!$B$11)*IFERROR(B2016/Summary!$B$24,1)+Summary!$B$11*IFERROR(B2017/Summary!$B$25,1))-1)+ArtifactsInput!$L$30))*100,(Summary!$B$3+(IF(ArtifactsInput!$M$30,-1,1)*Summary!$B$3*(((1-Summary!$B$11)*IFERROR(B2016/Summary!$B$24,1)+Summary!$B$11*IFERROR(B2017/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(IF(ArtifactsInput!$M$31,-1,1)*Summary!$B$3*(((1-Summary!$B$11)*IFERROR(B2055/Summary!$B$24,1)+Summary!$B$11*IFERROR(B2056/Summary!$B$25,1))-1)+ArtifactsInput!$L$31)</f>
        <v/>
      </c>
      <c r="AC57">
        <f>IF(ArtifactsInput!$M$31,Summary!$B$3/(Summary!$B$3-(IF(ArtifactsInput!$M$31,-1,1)*Summary!$B$3*(((1-Summary!$B$11)*IFERROR(B2055/Summary!$B$24,1)+Summary!$B$11*IFERROR(B2056/Summary!$B$25,1))-1)+ArtifactsInput!$L$31))*100,(Summary!$B$3+(IF(ArtifactsInput!$M$31,-1,1)*Summary!$B$3*(((1-Summary!$B$11)*IFERROR(B2055/Summary!$B$24,1)+Summary!$B$11*IFERROR(B2056/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(IF(ArtifactsInput!$M$32,-1,1)*Summary!$B$3*(((1-Summary!$B$11)*IFERROR(B2094/Summary!$B$24,1)+Summary!$B$11*IFERROR(B2095/Summary!$B$25,1))-1)+ArtifactsInput!$L$32)</f>
        <v/>
      </c>
      <c r="AC58">
        <f>IF(ArtifactsInput!$M$32,Summary!$B$3/(Summary!$B$3-(IF(ArtifactsInput!$M$32,-1,1)*Summary!$B$3*(((1-Summary!$B$11)*IFERROR(B2094/Summary!$B$24,1)+Summary!$B$11*IFERROR(B2095/Summary!$B$25,1))-1)+ArtifactsInput!$L$32))*100,(Summary!$B$3+(IF(ArtifactsInput!$M$32,-1,1)*Summary!$B$3*(((1-Summary!$B$11)*IFERROR(B2094/Summary!$B$24,1)+Summary!$B$11*IFERROR(B2095/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(IF(ArtifactsInput!$M$33,-1,1)*Summary!$B$3*(((1-Summary!$B$11)*IFERROR(B2133/Summary!$B$24,1)+Summary!$B$11*IFERROR(B2134/Summary!$B$25,1))-1)+ArtifactsInput!$L$33)</f>
        <v/>
      </c>
      <c r="AC59">
        <f>IF(ArtifactsInput!$M$33,Summary!$B$3/(Summary!$B$3-(IF(ArtifactsInput!$M$33,-1,1)*Summary!$B$3*(((1-Summary!$B$11)*IFERROR(B2133/Summary!$B$24,1)+Summary!$B$11*IFERROR(B2134/Summary!$B$25,1))-1)+ArtifactsInput!$L$33))*100,(Summary!$B$3+(IF(ArtifactsInput!$M$33,-1,1)*Summary!$B$3*(((1-Summary!$B$11)*IFERROR(B2133/Summary!$B$24,1)+Summary!$B$11*IFERROR(B2134/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(IF(ArtifactsInput!$M$34,-1,1)*Summary!$B$3*(((1-Summary!$B$11)*IFERROR(B2172/Summary!$B$24,1)+Summary!$B$11*IFERROR(B2173/Summary!$B$25,1))-1)+ArtifactsInput!$L$34)</f>
        <v/>
      </c>
      <c r="AC60">
        <f>IF(ArtifactsInput!$M$34,Summary!$B$3/(Summary!$B$3-(IF(ArtifactsInput!$M$34,-1,1)*Summary!$B$3*(((1-Summary!$B$11)*IFERROR(B2172/Summary!$B$24,1)+Summary!$B$11*IFERROR(B2173/Summary!$B$25,1))-1)+ArtifactsInput!$L$34))*100,(Summary!$B$3+(IF(ArtifactsInput!$M$34,-1,1)*Summary!$B$3*(((1-Summary!$B$11)*IFERROR(B2172/Summary!$B$24,1)+Summary!$B$11*IFERROR(B2173/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(IF(ArtifactsInput!$M$35,-1,1)*Summary!$B$3*(((1-Summary!$B$11)*IFERROR(B2211/Summary!$B$24,1)+Summary!$B$11*IFERROR(B2212/Summary!$B$25,1))-1)+ArtifactsInput!$L$35)</f>
        <v/>
      </c>
      <c r="AC61">
        <f>IF(ArtifactsInput!$M$35,Summary!$B$3/(Summary!$B$3-(IF(ArtifactsInput!$M$35,-1,1)*Summary!$B$3*(((1-Summary!$B$11)*IFERROR(B2211/Summary!$B$24,1)+Summary!$B$11*IFERROR(B2212/Summary!$B$25,1))-1)+ArtifactsInput!$L$35))*100,(Summary!$B$3+(IF(ArtifactsInput!$M$35,-1,1)*Summary!$B$3*(((1-Summary!$B$11)*IFERROR(B2211/Summary!$B$24,1)+Summary!$B$11*IFERROR(B2212/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(IF(ArtifactsInput!$M$36,-1,1)*Summary!$B$3*(((1-Summary!$B$11)*IFERROR(B2250/Summary!$B$24,1)+Summary!$B$11*IFERROR(B2251/Summary!$B$25,1))-1)+ArtifactsInput!$L$36)</f>
        <v/>
      </c>
      <c r="AC62">
        <f>IF(ArtifactsInput!$M$36,Summary!$B$3/(Summary!$B$3-(IF(ArtifactsInput!$M$36,-1,1)*Summary!$B$3*(((1-Summary!$B$11)*IFERROR(B2250/Summary!$B$24,1)+Summary!$B$11*IFERROR(B2251/Summary!$B$25,1))-1)+ArtifactsInput!$L$36))*100,(Summary!$B$3+(IF(ArtifactsInput!$M$36,-1,1)*Summary!$B$3*(((1-Summary!$B$11)*IFERROR(B2250/Summary!$B$24,1)+Summary!$B$11*IFERROR(B2251/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(IF(ArtifactsInput!$M$37,-1,1)*Summary!$B$3*(((1-Summary!$B$11)*IFERROR(B2289/Summary!$B$24,1)+Summary!$B$11*IFERROR(B2290/Summary!$B$25,1))-1)+ArtifactsInput!$L$37)</f>
        <v/>
      </c>
      <c r="AC63">
        <f>IF(ArtifactsInput!$M$37,Summary!$B$3/(Summary!$B$3-(IF(ArtifactsInput!$M$37,-1,1)*Summary!$B$3*(((1-Summary!$B$11)*IFERROR(B2289/Summary!$B$24,1)+Summary!$B$11*IFERROR(B2290/Summary!$B$25,1))-1)+ArtifactsInput!$L$37))*100,(Summary!$B$3+(IF(ArtifactsInput!$M$37,-1,1)*Summary!$B$3*(((1-Summary!$B$11)*IFERROR(B2289/Summary!$B$24,1)+Summary!$B$11*IFERROR(B2290/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(IF(ArtifactsInput!$M$38,-1,1)*Summary!$B$3*(((1-Summary!$B$11)*IFERROR(B2328/Summary!$B$24,1)+Summary!$B$11*IFERROR(B2329/Summary!$B$25,1))-1)+ArtifactsInput!$L$38)</f>
        <v/>
      </c>
      <c r="AC64">
        <f>IF(ArtifactsInput!$M$38,Summary!$B$3/(Summary!$B$3-(IF(ArtifactsInput!$M$38,-1,1)*Summary!$B$3*(((1-Summary!$B$11)*IFERROR(B2328/Summary!$B$24,1)+Summary!$B$11*IFERROR(B2329/Summary!$B$25,1))-1)+ArtifactsInput!$L$38))*100,(Summary!$B$3+(IF(ArtifactsInput!$M$38,-1,1)*Summary!$B$3*(((1-Summary!$B$11)*IFERROR(B2328/Summary!$B$24,1)+Summary!$B$11*IFERROR(B2329/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(IF(ArtifactsInput!$M$39,-1,1)*Summary!$B$3*(((1-Summary!$B$11)*IFERROR(B2367/Summary!$B$24,1)+Summary!$B$11*IFERROR(B2368/Summary!$B$25,1))-1)+ArtifactsInput!$L$39)</f>
        <v/>
      </c>
      <c r="AC65">
        <f>IF(ArtifactsInput!$M$39,Summary!$B$3/(Summary!$B$3-(IF(ArtifactsInput!$M$39,-1,1)*Summary!$B$3*(((1-Summary!$B$11)*IFERROR(B2367/Summary!$B$24,1)+Summary!$B$11*IFERROR(B2368/Summary!$B$25,1))-1)+ArtifactsInput!$L$39))*100,(Summary!$B$3+(IF(ArtifactsInput!$M$39,-1,1)*Summary!$B$3*(((1-Summary!$B$11)*IFERROR(B2367/Summary!$B$24,1)+Summary!$B$11*IFERROR(B2368/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(IF(ArtifactsInput!$M$40,-1,1)*Summary!$B$3*(((1-Summary!$B$11)*IFERROR(B2406/Summary!$B$24,1)+Summary!$B$11*IFERROR(B2407/Summary!$B$25,1))-1)+ArtifactsInput!$L$40)</f>
        <v/>
      </c>
      <c r="AC66">
        <f>IF(ArtifactsInput!$M$40,Summary!$B$3/(Summary!$B$3-(IF(ArtifactsInput!$M$40,-1,1)*Summary!$B$3*(((1-Summary!$B$11)*IFERROR(B2406/Summary!$B$24,1)+Summary!$B$11*IFERROR(B2407/Summary!$B$25,1))-1)+ArtifactsInput!$L$40))*100,(Summary!$B$3+(IF(ArtifactsInput!$M$40,-1,1)*Summary!$B$3*(((1-Summary!$B$11)*IFERROR(B2406/Summary!$B$24,1)+Summary!$B$11*IFERROR(B2407/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(IF(ArtifactsInput!$M$41,-1,1)*Summary!$B$3*(((1-Summary!$B$11)*IFERROR(B2445/Summary!$B$24,1)+Summary!$B$11*IFERROR(B2446/Summary!$B$25,1))-1)+ArtifactsInput!$L$41)</f>
        <v/>
      </c>
      <c r="AC67">
        <f>IF(ArtifactsInput!$M$41,Summary!$B$3/(Summary!$B$3-(IF(ArtifactsInput!$M$41,-1,1)*Summary!$B$3*(((1-Summary!$B$11)*IFERROR(B2445/Summary!$B$24,1)+Summary!$B$11*IFERROR(B2446/Summary!$B$25,1))-1)+ArtifactsInput!$L$41))*100,(Summary!$B$3+(IF(ArtifactsInput!$M$41,-1,1)*Summary!$B$3*(((1-Summary!$B$11)*IFERROR(B2445/Summary!$B$24,1)+Summary!$B$11*IFERROR(B2446/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(IF(ArtifactsInput!$M$42,-1,1)*Summary!$B$3*(((1-Summary!$B$11)*IFERROR(B2484/Summary!$B$24,1)+Summary!$B$11*IFERROR(B2485/Summary!$B$25,1))-1)+ArtifactsInput!$L$42)</f>
        <v/>
      </c>
      <c r="AC68">
        <f>IF(ArtifactsInput!$M$42,Summary!$B$3/(Summary!$B$3-(IF(ArtifactsInput!$M$42,-1,1)*Summary!$B$3*(((1-Summary!$B$11)*IFERROR(B2484/Summary!$B$24,1)+Summary!$B$11*IFERROR(B2485/Summary!$B$25,1))-1)+ArtifactsInput!$L$42))*100,(Summary!$B$3+(IF(ArtifactsInput!$M$42,-1,1)*Summary!$B$3*(((1-Summary!$B$11)*IFERROR(B2484/Summary!$B$24,1)+Summary!$B$11*IFERROR(B2485/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Skills!G2*IF(Skills!H2&gt;0,Skills!I2/Skills!H2,1)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91=TRUE)*(F91-Calc!F20)),(Inputs!$B$23+0+(IF(ArtifactsInput!$M$15,CHOOSE(ArtifactsInput!$N$15+1,25,30,35,40,45,50)/100*(Inputs!$B$11-Inputs!$B$11),0))))/100+(Inputs!$B$23+0+(IF(ArtifactsInput!$M$15,CHOOSE(ArtifactsInput!$N$15+1,25,30,35,40,45,50)/100*(Inputs!$B$11-Inputs!$B$11),0)))/100)/2</f>
        <v/>
      </c>
      <c r="M73">
        <f>L73*(1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IF(B107=0,0,O73/B107)</f>
        <v/>
      </c>
      <c r="Q73" t="n">
        <v>0</v>
      </c>
      <c r="R73" t="n">
        <v>0</v>
      </c>
      <c r="S73">
        <f>IFERROR(O73/N73,0)</f>
        <v/>
      </c>
      <c r="T73">
        <f>IF(C73,(Skills!G2*N73*B101)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IF(C73,(Skills!G2*N73*B101)*IF(Inputs!$B$38="pvp",1,(1+(Inputs!$B$21+Skills!Q2+(IF(ArtifactsInput!$M$33,CHOOSE(ArtifactsInput!$N$33+1,30,36,42,48,54,60),0))+(IF(AND(ArtifactsInput!$M$35,Inputs!$B$4&lt;&gt;"Chapter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Skills!G3*IF(Skills!H3&gt;0,Skills!I3/Skills!H3,1)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91=TRUE)*(F91-Calc!F20)),(Inputs!$B$23+0+(IF(ArtifactsInput!$M$15,CHOOSE(ArtifactsInput!$N$15+1,25,30,35,40,45,50)/100*(Inputs!$B$11-Inputs!$B$11),0))))/100+(Inputs!$B$23+0+(IF(ArtifactsInput!$M$15,CHOOSE(ArtifactsInput!$N$15+1,25,30,35,40,45,50)/100*(Inputs!$B$11-Inputs!$B$11),0)))/100)/2</f>
        <v/>
      </c>
      <c r="M74">
        <f>L74*(1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IF(B107=0,0,O74/B107)</f>
        <v/>
      </c>
      <c r="Q74" t="n">
        <v>0</v>
      </c>
      <c r="R74" t="n">
        <v>0</v>
      </c>
      <c r="S74">
        <f>IFERROR(O74/N74,0)</f>
        <v/>
      </c>
      <c r="T74">
        <f>IF(C74,(Skills!G3*H74*N74*B101)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IF(C74,(Skills!G3*H74*N74*B101)*IF(Inputs!$B$38="pvp",1,(1+(Inputs!$B$21+Skills!Q3+(IF(ArtifactsInput!$M$33,CHOOSE(ArtifactsInput!$N$33+1,30,36,42,48,54,60),0))+(IF(AND(ArtifactsInput!$M$35,Inputs!$B$4&lt;&gt;"Chapter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Inputs!$B$3&gt;=60</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Skills!G4*IF(Skills!H4&gt;0,Skills!I4/Skills!H4,1)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4="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91=TRUE)*(F91-Calc!F20)),(Inputs!$B$23+0+(IF(ArtifactsInput!$M$15,CHOOSE(ArtifactsInput!$N$15+1,25,30,35,40,45,50)/100*(Inputs!$B$11-Inputs!$B$11),0))))/100+(Inputs!$B$23+0+(IF(ArtifactsInput!$M$15,CHOOSE(ArtifactsInput!$N$15+1,25,30,35,40,45,50)/100*(Inputs!$B$11-Inputs!$B$11),0)))/100)/2</f>
        <v/>
      </c>
      <c r="M75">
        <f>L75*(1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IF(B107=0,0,O75/B107)</f>
        <v/>
      </c>
      <c r="Q75" t="n">
        <v>0</v>
      </c>
      <c r="R75" t="n">
        <v>0</v>
      </c>
      <c r="S75">
        <f>IFERROR(O75/N75,0)</f>
        <v/>
      </c>
      <c r="T75">
        <f>IF(C75,(Skills!G4*H75*N75*B101)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IF(C75,(Skills!G4*H75*N75*B101)*IF(Inputs!$B$38="pvp",1,(1+(Inputs!$B$21+Skills!Q4+(IF(ArtifactsInput!$M$33,CHOOSE(ArtifactsInput!$N$33+1,30,36,42,48,54,60),0))+(IF(AND(ArtifactsInput!$M$35,Inputs!$B$4&lt;&gt;"Chapter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Inputs!$B$3&gt;=60</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Skills!G5*IF(Skills!H5&gt;0,Skills!I5/Skills!H5,1)</f>
        <v/>
      </c>
      <c r="H76">
        <f>1-(1-Skills!J5/100)^Skills!K5</f>
        <v/>
      </c>
      <c r="I76" t="inlineStr">
        <is>
          <t>1</t>
        </is>
      </c>
      <c r="J76" t="inlineStr"/>
      <c r="K76" t="inlineStr"/>
      <c r="L76" t="inlineStr"/>
      <c r="M76" t="inlineStr"/>
      <c r="N76" t="inlineStr"/>
      <c r="O76">
        <f>(1-Summary!$B$11)*T76+Summary!$B$11*V76</f>
        <v/>
      </c>
      <c r="P76">
        <f>IF(B107=0,0,O76/B107)</f>
        <v/>
      </c>
      <c r="Q76" t="n">
        <v>0</v>
      </c>
      <c r="R76" t="n">
        <v>0</v>
      </c>
      <c r="S76">
        <f>IFERROR(O76/N76,0)</f>
        <v/>
      </c>
      <c r="T76" t="n">
        <v>0</v>
      </c>
      <c r="V76" t="n">
        <v>0</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Skills!G6*IF(Skills!H6&gt;0,Skills!I6/Skills!H6,1)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83=TRUE,F83,0)/100)*(1+(IF(Skills!A6="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91=TRUE)*(F91-Calc!F20)),(Inputs!$B$23+0+(IF(ArtifactsInput!$M$15,CHOOSE(ArtifactsInput!$N$15+1,25,30,35,40,45,50)/100*(Inputs!$B$11-Inputs!$B$11),0))))/100+(Inputs!$B$23+0+(IF(ArtifactsInput!$M$15,CHOOSE(ArtifactsInput!$N$15+1,25,30,35,40,45,50)/100*(Inputs!$B$11-Inputs!$B$11),0)))/100)/2</f>
        <v/>
      </c>
      <c r="M77">
        <f>L77*(1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IF(B107=0,0,O77/B107)</f>
        <v/>
      </c>
      <c r="Q77">
        <f>IFERROR(1/(IF(Inputs!$B$38="pvp",15,MAX(0.1,Skills!D6-IF(Skills!E6=TRUE,Inputs!$B$32,0)))*(1-IF(AND(ArtifactsInput!$M$27,Inputs!$B$4="Chapter Hunt"),CHOOSE(ArtifactsInput!$N$27+1,20,24,28,32,36,40),0)/100)),0)</f>
        <v/>
      </c>
      <c r="R77">
        <f>IF(AND(Inputs!$B$38&lt;&gt;"pvp",Inputs!$B$43&gt;0),IF(MAX(0,Inputs!$B$43-B104)&lt;=0,0,(INT(MAX(0,Inputs!$B$43-B104)/(IF(Inputs!$B$38="pvp",15,MAX(0.1,Skills!D6-IF(Skills!E6=TRUE,Inputs!$B$32,0)))*(1-IF(AND(ArtifactsInput!$M$27,Inputs!$B$4="Chapter Hunt"),CHOOSE(ArtifactsInput!$N$27+1,20,24,28,32,36,40),0)/100)))+1)),0)</f>
        <v/>
      </c>
      <c r="S77">
        <f>IFERROR(O77/N77,0)</f>
        <v/>
      </c>
      <c r="T77">
        <f>IF(C77,(H77*N77*IF(AND(Inputs!$B$38&lt;&gt;"pvp",Inputs!$B$43&gt;0),((Skills!G6*((R77-1)*IF(Skills!H6&gt;0,Skills!I6/Skills!H6,1)+IF(Skills!H6&gt;0,MIN(Skills!I6,MAX(0,MAX(0,Inputs!$B$43-B104)-((R77-1)*(IF(Inputs!$B$38="pvp",15,MAX(0.1,Skills!D6-IF(Skills!E6=TRUE,Inputs!$B$32,0)))*(1-IF(AND(ArtifactsInput!$M$27,Inputs!$B$4="Chapter Hunt"),CHOOSE(ArtifactsInput!$N$27+1,20,24,28,32,36,40),0)/100)))))/Skills!H6,1)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Skills!I6/Skills!H6,1)+IF(Skills!H6&gt;0,MIN(Skills!I6,MAX(0,MAX(0,Inputs!$B$43-B104)-((R77-1)*(IF(Inputs!$B$38="pvp",15,MAX(0.1,Skills!D6-IF(Skills!E6=TRUE,Inputs!$B$32,0)))*(1-IF(AND(ArtifactsInput!$M$27,Inputs!$B$4="Chapter Hunt"),CHOOSE(ArtifactsInput!$N$27+1,20,24,28,32,36,40),0)/100)))))/Skills!H6,1)))/Inputs!$B$43),G77*Q77))*IF(Inputs!$B$38="pvp",1,(1+(Inputs!$B$21+Skills!Q6+(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Inputs!$B$3&gt;=100</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Skills!G7*IF(Skills!H7&gt;0,Skills!I7/Skills!H7,1)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91=TRUE)*(F91-Calc!F20)),(Inputs!$B$23+0+(IF(ArtifactsInput!$M$15,CHOOSE(ArtifactsInput!$N$15+1,25,30,35,40,45,50)/100*(Inputs!$B$11-Inputs!$B$11),0))))/100+(Inputs!$B$23+0+(IF(ArtifactsInput!$M$15,CHOOSE(ArtifactsInput!$N$15+1,25,30,35,40,45,50)/100*(Inputs!$B$11-Inputs!$B$11),0)))/100)/2</f>
        <v/>
      </c>
      <c r="M78">
        <f>L78*(1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IF(B107=0,0,O78/B107)</f>
        <v/>
      </c>
      <c r="Q78">
        <f>IFERROR(1/(IF(Inputs!$B$38="pvp",15,MAX(0.1,Skills!D7-IF(Skills!E7=TRUE,Inputs!$B$32,0)))*(1-IF(AND(ArtifactsInput!$M$27,Inputs!$B$4="Chapter Hunt"),CHOOSE(ArtifactsInput!$N$27+1,20,24,28,32,36,40),0)/100)),0)</f>
        <v/>
      </c>
      <c r="R78">
        <f>IF(AND(Inputs!$B$38&lt;&gt;"pvp",Inputs!$B$43&gt;0),IF(MAX(0,Inputs!$B$43-B104)&lt;=0,0,(INT(MAX(0,Inputs!$B$43-B104)/(IF(Inputs!$B$38="pvp",15,MAX(0.1,Skills!D7-IF(Skills!E7=TRUE,Inputs!$B$32,0)))*(1-IF(AND(ArtifactsInput!$M$27,Inputs!$B$4="Chapter Hunt"),CHOOSE(ArtifactsInput!$N$27+1,20,24,28,32,36,40),0)/100)))+1)),0)</f>
        <v/>
      </c>
      <c r="S78">
        <f>IFERROR(O78/N78,0)</f>
        <v/>
      </c>
      <c r="T78">
        <f>IF(C78,(H78*N78*IF(AND(Inputs!$B$38&lt;&gt;"pvp",Inputs!$B$43&gt;0),((Skills!G7*((R78-1)*IF(Skills!H7&gt;0,Skills!I7/Skills!H7,1)+IF(Skills!H7&gt;0,MIN(Skills!I7,MAX(0,MAX(0,Inputs!$B$43-B104)-((R78-1)*(IF(Inputs!$B$38="pvp",15,MAX(0.1,Skills!D7-IF(Skills!E7=TRUE,Inputs!$B$32,0)))*(1-IF(AND(ArtifactsInput!$M$27,Inputs!$B$4="Chapter Hunt"),CHOOSE(ArtifactsInput!$N$27+1,20,24,28,32,36,40),0)/100)))))/Skills!H7,1)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Skills!I7/Skills!H7,1)+IF(Skills!H7&gt;0,MIN(Skills!I7,MAX(0,MAX(0,Inputs!$B$43-B104)-((R78-1)*(IF(Inputs!$B$38="pvp",15,MAX(0.1,Skills!D7-IF(Skills!E7=TRUE,Inputs!$B$32,0)))*(1-IF(AND(ArtifactsInput!$M$27,Inputs!$B$4="Chapter Hunt"),CHOOSE(ArtifactsInput!$N$27+1,20,24,28,32,36,40),0)/100)))))/Skills!H7,1)))/Inputs!$B$43),G78*Q78))*IF(Inputs!$B$38="pvp",1,(1+(Inputs!$B$21+Skills!Q7+(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Inputs!$B$3&gt;=110</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Skills!G8*IF(Skills!H8&gt;0,Skills!I8/Skills!H8,1)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91=TRUE)*(F91-Calc!F20)),(Inputs!$B$23+0+(IF(ArtifactsInput!$M$15,CHOOSE(ArtifactsInput!$N$15+1,25,30,35,40,45,50)/100*(Inputs!$B$11-Inputs!$B$11),0))))/100+(Inputs!$B$23+0+(IF(ArtifactsInput!$M$15,CHOOSE(ArtifactsInput!$N$15+1,25,30,35,40,45,50)/100*(Inputs!$B$11-Inputs!$B$11),0)))/100)/2</f>
        <v/>
      </c>
      <c r="M79">
        <f>L79*(1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IF(B107=0,0,O79/B107)</f>
        <v/>
      </c>
      <c r="Q79">
        <f>IFERROR(1/(IF(Inputs!$B$38="pvp",15,MAX(0.1,Skills!D8-IF(Skills!E8=TRUE,Inputs!$B$32,0)))*(1-IF(AND(ArtifactsInput!$M$27,Inputs!$B$4="Chapter Hunt"),CHOOSE(ArtifactsInput!$N$27+1,20,24,28,32,36,40),0)/100)),0)</f>
        <v/>
      </c>
      <c r="R79">
        <f>IF(AND(Inputs!$B$38&lt;&gt;"pvp",Inputs!$B$43&gt;0),IF(MAX(0,Inputs!$B$43-B104)&lt;=0,0,(INT(MAX(0,Inputs!$B$43-B104)/(IF(Inputs!$B$38="pvp",15,MAX(0.1,Skills!D8-IF(Skills!E8=TRUE,Inputs!$B$32,0)))*(1-IF(AND(ArtifactsInput!$M$27,Inputs!$B$4="Chapter Hunt"),CHOOSE(ArtifactsInput!$N$27+1,20,24,28,32,36,40),0)/100)))+1)),0)</f>
        <v/>
      </c>
      <c r="S79">
        <f>IFERROR(O79/N79,0)</f>
        <v/>
      </c>
      <c r="T79">
        <f>IF(C79,(H79*N79*IF(AND(Inputs!$B$38&lt;&gt;"pvp",Inputs!$B$43&gt;0),((Skills!G8*((R79-1)*IF(Skills!H8&gt;0,Skills!I8/Skills!H8,1)+IF(Skills!H8&gt;0,MIN(Skills!I8,MAX(0,MAX(0,Inputs!$B$43-B104)-((R79-1)*(IF(Inputs!$B$38="pvp",15,MAX(0.1,Skills!D8-IF(Skills!E8=TRUE,Inputs!$B$32,0)))*(1-IF(AND(ArtifactsInput!$M$27,Inputs!$B$4="Chapter Hunt"),CHOOSE(ArtifactsInput!$N$27+1,20,24,28,32,36,40),0)/100)))))/Skills!H8,1)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Skills!I8/Skills!H8,1)+IF(Skills!H8&gt;0,MIN(Skills!I8,MAX(0,MAX(0,Inputs!$B$43-B104)-((R79-1)*(IF(Inputs!$B$38="pvp",15,MAX(0.1,Skills!D8-IF(Skills!E8=TRUE,Inputs!$B$32,0)))*(1-IF(AND(ArtifactsInput!$M$27,Inputs!$B$4="Chapter Hunt"),CHOOSE(ArtifactsInput!$N$27+1,20,24,28,32,36,40),0)/100)))))/Skills!H8,1)))/Inputs!$B$43),G79*Q79))*IF(Inputs!$B$38="pvp",1,(1+(Inputs!$B$21+Skills!Q8+(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Inputs!$B$3&gt;=110</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Skills!G9*IF(Skills!H9&gt;0,Skills!I9/Skills!H9,1)</f>
        <v/>
      </c>
      <c r="H80">
        <f>1-(1-Skills!J9/100)^Skills!K9</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91=TRUE)*(F91-Calc!F20)),(Inputs!$B$23+0+(IF(ArtifactsInput!$M$15,CHOOSE(ArtifactsInput!$N$15+1,25,30,35,40,45,50)/100*(Inputs!$B$11-Inputs!$B$11),0))))/100+(Inputs!$B$23+0+(IF(ArtifactsInput!$M$15,CHOOSE(ArtifactsInput!$N$15+1,25,30,35,40,45,50)/100*(Inputs!$B$11-Inputs!$B$11),0)))/100)/2</f>
        <v/>
      </c>
      <c r="M80">
        <f>L80*(1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IF(B107=0,0,O80/B107)</f>
        <v/>
      </c>
      <c r="Q80">
        <f>IFERROR(1/(IF(Inputs!$B$38="pvp",15,MAX(0.1,Skills!D9-IF(Skills!E9=TRUE,Inputs!$B$32,0)))*(1-IF(AND(ArtifactsInput!$M$27,Inputs!$B$4="Chapter Hunt"),CHOOSE(ArtifactsInput!$N$27+1,20,24,28,32,36,40),0)/100)),0)</f>
        <v/>
      </c>
      <c r="R80">
        <f>IF(AND(Inputs!$B$38&lt;&gt;"pvp",Inputs!$B$43&gt;0),IF(MAX(0,Inputs!$B$43-B104)&lt;=0,0,(INT(MAX(0,Inputs!$B$43-B104)/(IF(Inputs!$B$38="pvp",15,MAX(0.1,Skills!D9-IF(Skills!E9=TRUE,Inputs!$B$32,0)))*(1-IF(AND(ArtifactsInput!$M$27,Inputs!$B$4="Chapter Hunt"),CHOOSE(ArtifactsInput!$N$27+1,20,24,28,32,36,40),0)/100)))+1)),0)</f>
        <v/>
      </c>
      <c r="S80">
        <f>IFERROR(O80/N80,0)</f>
        <v/>
      </c>
      <c r="T80">
        <f>IF(C80,(H80*N80*IF(AND(Inputs!$B$38&lt;&gt;"pvp",Inputs!$B$43&gt;0),((Skills!G9*((R80-1)*IF(Skills!H9&gt;0,Skills!I9/Skills!H9,1)+IF(Skills!H9&gt;0,MIN(Skills!I9,MAX(0,MAX(0,Inputs!$B$43-B104)-((R80-1)*(IF(Inputs!$B$38="pvp",15,MAX(0.1,Skills!D9-IF(Skills!E9=TRUE,Inputs!$B$32,0)))*(1-IF(AND(ArtifactsInput!$M$27,Inputs!$B$4="Chapter Hunt"),CHOOSE(ArtifactsInput!$N$27+1,20,24,28,32,36,40),0)/100)))))/Skills!H9,1)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Skills!I9/Skills!H9,1)+IF(Skills!H9&gt;0,MIN(Skills!I9,MAX(0,MAX(0,Inputs!$B$43-B104)-((R80-1)*(IF(Inputs!$B$38="pvp",15,MAX(0.1,Skills!D9-IF(Skills!E9=TRUE,Inputs!$B$32,0)))*(1-IF(AND(ArtifactsInput!$M$27,Inputs!$B$4="Chapter Hunt"),CHOOSE(ArtifactsInput!$N$27+1,20,24,28,32,36,40),0)/100)))))/Skills!H9,1)))/Inputs!$B$43),G80*Q80))*IF(Inputs!$B$38="pvp",1,(1+(Inputs!$B$21+Skills!Q9+(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Inputs!$B$3&gt;=103</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Skills!G10*IF(Skills!H10&gt;0,Skills!I10/Skills!H10,1)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91=TRUE)*(F91-Calc!F20)),(Inputs!$B$23+0+(IF(ArtifactsInput!$M$15,CHOOSE(ArtifactsInput!$N$15+1,25,30,35,40,45,50)/100*(Inputs!$B$11-Inputs!$B$11),0))))/100+(Inputs!$B$23+0+(IF(ArtifactsInput!$M$15,CHOOSE(ArtifactsInput!$N$15+1,25,30,35,40,45,50)/100*(Inputs!$B$11-Inputs!$B$11),0)))/100)/2</f>
        <v/>
      </c>
      <c r="M81">
        <f>L81*(1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IF(B107=0,0,O81/B107)</f>
        <v/>
      </c>
      <c r="Q81">
        <f>IFERROR(1/(IF(Inputs!$B$38="pvp",15,MAX(0.1,Skills!D10-IF(Skills!E10=TRUE,Inputs!$B$32,0)))*(1-IF(AND(ArtifactsInput!$M$27,Inputs!$B$4="Chapter Hunt"),CHOOSE(ArtifactsInput!$N$27+1,20,24,28,32,36,40),0)/100)),0)</f>
        <v/>
      </c>
      <c r="R81">
        <f>IF(AND(Inputs!$B$38&lt;&gt;"pvp",Inputs!$B$43&gt;0),IF(MAX(0,Inputs!$B$43-B104)&lt;=0,0,(INT(MAX(0,Inputs!$B$43-B104)/(IF(Inputs!$B$38="pvp",15,MAX(0.1,Skills!D10-IF(Skills!E10=TRUE,Inputs!$B$32,0)))*(1-IF(AND(ArtifactsInput!$M$27,Inputs!$B$4="Chapter Hunt"),CHOOSE(ArtifactsInput!$N$27+1,20,24,28,32,36,40),0)/100)))+1)),0)</f>
        <v/>
      </c>
      <c r="S81">
        <f>IFERROR(O81/N81,0)</f>
        <v/>
      </c>
      <c r="T81">
        <f>IF(C81,(H81*N81*IF(AND(Inputs!$B$38&lt;&gt;"pvp",Inputs!$B$43&gt;0),((Skills!G10*((R81-1)*IF(Skills!H10&gt;0,Skills!I10/Skills!H10,1)+IF(Skills!H10&gt;0,MIN(Skills!I10,MAX(0,MAX(0,Inputs!$B$43-B104)-((R81-1)*(IF(Inputs!$B$38="pvp",15,MAX(0.1,Skills!D10-IF(Skills!E10=TRUE,Inputs!$B$32,0)))*(1-IF(AND(ArtifactsInput!$M$27,Inputs!$B$4="Chapter Hunt"),CHOOSE(ArtifactsInput!$N$27+1,20,24,28,32,36,40),0)/100)))))/Skills!H10,1)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Skills!I10/Skills!H10,1)+IF(Skills!H10&gt;0,MIN(Skills!I10,MAX(0,MAX(0,Inputs!$B$43-B104)-((R81-1)*(IF(Inputs!$B$38="pvp",15,MAX(0.1,Skills!D10-IF(Skills!E10=TRUE,Inputs!$B$32,0)))*(1-IF(AND(ArtifactsInput!$M$27,Inputs!$B$4="Chapter Hunt"),CHOOSE(ArtifactsInput!$N$27+1,20,24,28,32,36,40),0)/100)))))/Skills!H10,1)))/Inputs!$B$43),G81*Q81))*IF(Inputs!$B$38="pvp",1,(1+(Inputs!$B$21+Skills!Q10+(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Skills!G11*IF(Skills!H11&gt;0,Skills!I11/Skills!H11,1)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93=TRUE)*(F93-Calc!F22))+B103)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92=TRUE)*(F92-Calc!F21))+(((IF(AND(ArtifactsInput!$M$42,((Inputs!$B$9+((C87=TRUE)*(F87-Calc!F16))+B97+(ArtifactsInput!$M$24-ArtifactsInput!$M$24)*CHOOSE(ArtifactsInput!$N$24+1,10,12,14,16,18,20)+IF(ArtifactsInput!$M$10,CHOOSE(ArtifactsInput!$N$10+1,15,18,21,24,27,30)*(IF(Inputs!$B$38="pvp",MIN(15,15)/15,IF(AND(Inputs!$B$38&lt;&gt;"pvp",Inputs!$B$43&gt;0),MIN(15,Inputs!$B$43)/(Inputs!$B$43),0))),0)))&gt;=100),MIN(100,((Inputs!$B$9+((C87=TRUE)*(F87-Calc!F16))+B97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87=TRUE)*(F87-Calc!F16))+B97+(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91=TRUE)*(F91-Calc!F20)),(Inputs!$B$23+0+(IF(ArtifactsInput!$M$15,CHOOSE(ArtifactsInput!$N$15+1,25,30,35,40,45,50)/100*(Inputs!$B$11-Inputs!$B$11),0))))/100+(Inputs!$B$23+0+(IF(ArtifactsInput!$M$15,CHOOSE(ArtifactsInput!$N$15+1,25,30,35,40,45,50)/100*(Inputs!$B$11-Inputs!$B$11),0)))/100)/2</f>
        <v/>
      </c>
      <c r="M82">
        <f>L82*(1+(Inputs!$B$10+0+B102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IF(B107=0,0,O82/B107)</f>
        <v/>
      </c>
      <c r="Q82">
        <f>IFERROR(1/(IF(Inputs!$B$38="pvp",15,MAX(0.1,Skills!D11-IF(Skills!E11=TRUE,Inputs!$B$32,0)))*(1-IF(AND(ArtifactsInput!$M$27,Inputs!$B$4="Chapter Hunt"),CHOOSE(ArtifactsInput!$N$27+1,20,24,28,32,36,40),0)/100)),0)</f>
        <v/>
      </c>
      <c r="R82">
        <f>IF(AND(Inputs!$B$38&lt;&gt;"pvp",Inputs!$B$43&gt;0),IF(MAX(0,Inputs!$B$43-B104)&lt;=0,0,(INT(MAX(0,Inputs!$B$43-B104)/(IF(Inputs!$B$38="pvp",15,MAX(0.1,Skills!D11-IF(Skills!E11=TRUE,Inputs!$B$32,0)))*(1-IF(AND(ArtifactsInput!$M$27,Inputs!$B$4="Chapter Hunt"),CHOOSE(ArtifactsInput!$N$27+1,20,24,28,32,36,40),0)/100)))+1)),0)</f>
        <v/>
      </c>
      <c r="S82">
        <f>IFERROR(O82/N82,0)</f>
        <v/>
      </c>
      <c r="T82">
        <f>IF(C82,(H82*N82*IF(AND(Inputs!$B$38&lt;&gt;"pvp",Inputs!$B$43&gt;0),((Skills!G11*((R82-1)*IF(Skills!H11&gt;0,Skills!I11/Skills!H11,1)+IF(Skills!H11&gt;0,MIN(Skills!I11,MAX(0,MAX(0,Inputs!$B$43-B104)-((R82-1)*(IF(Inputs!$B$38="pvp",15,MAX(0.1,Skills!D11-IF(Skills!E11=TRUE,Inputs!$B$32,0)))*(1-IF(AND(ArtifactsInput!$M$27,Inputs!$B$4="Chapter Hunt"),CHOOSE(ArtifactsInput!$N$27+1,20,24,28,32,36,40),0)/100)))))/Skills!H11,1)))/Inputs!$B$43),G82*Q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87=TRUE)*(F87-Calc!F16))+B97+(ArtifactsInput!$M$24-ArtifactsInput!$M$24)*CHOOSE(ArtifactsInput!$N$24+1,10,12,14,16,18,20)+(IF(AND(ArtifactsInput!$M$42,((Inputs!$B$9+((C87=TRUE)*(F87-Calc!F16))+B97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N82*IF(AND(Inputs!$B$38&lt;&gt;"pvp",Inputs!$B$43&gt;0),((Skills!G11*((R82-1)*IF(Skills!H11&gt;0,Skills!I11/Skills!H11,1)+IF(Skills!H11&gt;0,MIN(Skills!I11,MAX(0,MAX(0,Inputs!$B$43-B104)-((R82-1)*(IF(Inputs!$B$38="pvp",15,MAX(0.1,Skills!D11-IF(Skills!E11=TRUE,Inputs!$B$32,0)))*(1-IF(AND(ArtifactsInput!$M$27,Inputs!$B$4="Chapter Hunt"),CHOOSE(ArtifactsInput!$N$27+1,20,24,28,32,36,40),0)/100)))))/Skills!H11,1)))/Inputs!$B$43),G82*Q82))*IF(Inputs!$B$38="pvp",1,(1+(Inputs!$B$21+Skills!Q11+(IF(ArtifactsInput!$M$33,CHOOSE(ArtifactsInput!$N$33+1,30,36,42,48,54,60),0))+(IF(AND(ArtifactsInput!$M$35,Inputs!$B$4&lt;&gt;"Chapter Hunt"),CHOOSE(ArtifactsInput!$N$35+1,15,18,21,24,27,30)*(1-EXP(-(0.2*B99)*5)),0)+IF(AND(ArtifactsInput!$M$22,Inputs!$B$4&lt;&gt;"Chapter Hunt"),CHOOSE(ArtifactsInput!$N$22+1,10,12,14,16,18,20)*((0*(((0.15*B99*5))^0/1)+1*(((0.15*B99*5))^1/1)+2*(((0.15*B99*5))^2/2)+3*(((0.15*B99*5))^3/6)+4*(((0.15*B99*5))^4/24)+5*(((0.15*B99*5))^5/120))/((((0.15*B99*5))^0/1)+(((0.15*B99*5))^1/1)+(((0.15*B99*5))^2/2)+(((0.15*B99*5))^3/6)+(((0.15*B99*5))^4/24)+(((0.15*B99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Inputs!$B$3&gt;=66</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Skills!G13*IF(Skills!H13&gt;0,Skills!I13/Skills!H13,1)</f>
        <v/>
      </c>
      <c r="H84">
        <f>1-(1-Skills!J13/100)^Skills!K13</f>
        <v/>
      </c>
      <c r="I84" t="inlineStr">
        <is>
          <t>1</t>
        </is>
      </c>
      <c r="J84" t="inlineStr"/>
      <c r="K84" t="inlineStr"/>
      <c r="L84" t="inlineStr"/>
      <c r="M84" t="inlineStr"/>
      <c r="N84" t="inlineStr"/>
      <c r="O84">
        <f>(1-Summary!$B$11)*T84+Summary!$B$11*V84</f>
        <v/>
      </c>
      <c r="P84">
        <f>IF(B107=0,0,O84/B107)</f>
        <v/>
      </c>
      <c r="Q84" t="n">
        <v>0</v>
      </c>
      <c r="R84" t="n">
        <v>0</v>
      </c>
      <c r="S84">
        <f>IFERROR(O84/N84,0)</f>
        <v/>
      </c>
      <c r="T84" t="n">
        <v>0</v>
      </c>
      <c r="V84" t="n">
        <v>0</v>
      </c>
    </row>
    <row r="85">
      <c r="A85">
        <f>Skills!A14</f>
        <v/>
      </c>
      <c r="B85">
        <f>Skills!B14</f>
        <v/>
      </c>
      <c r="C85">
        <f>Inputs!$B$3&gt;=107</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Skills!G14*IF(Skills!H14&gt;0,Skills!I14/Skills!H14,1)</f>
        <v/>
      </c>
      <c r="H85">
        <f>1-(1-Skills!J14/100)^Skills!K14</f>
        <v/>
      </c>
      <c r="I85" t="inlineStr">
        <is>
          <t>1</t>
        </is>
      </c>
      <c r="J85" t="inlineStr"/>
      <c r="K85" t="inlineStr"/>
      <c r="L85" t="inlineStr"/>
      <c r="M85" t="inlineStr"/>
      <c r="N85" t="inlineStr"/>
      <c r="O85">
        <f>(1-Summary!$B$11)*T85+Summary!$B$11*V85</f>
        <v/>
      </c>
      <c r="P85">
        <f>IF(B107=0,0,O85/B107)</f>
        <v/>
      </c>
      <c r="Q85">
        <f>IFERROR(1/(IF(Inputs!$B$38="pvp",15,MAX(0.1,Skills!D14-IF(Skills!E14=TRUE,Inputs!$B$32,0)))*(1-IF(AND(ArtifactsInput!$M$27,Inputs!$B$4="Chapter Hunt"),CHOOSE(ArtifactsInput!$N$27+1,20,24,28,32,36,40),0)/100)),0)</f>
        <v/>
      </c>
      <c r="R85">
        <f>IF(AND(Inputs!$B$38&lt;&gt;"pvp",Inputs!$B$43&gt;0),IF(Inputs!$B$43&lt;=0,0,(INT(Inputs!$B$43/(IF(Inputs!$B$38="pvp",15,MAX(0.1,Skills!D14-IF(Skills!E14=TRUE,Inputs!$B$32,0)))*(1-IF(AND(ArtifactsInput!$M$27,Inputs!$B$4="Chapter Hunt"),CHOOSE(ArtifactsInput!$N$27+1,20,24,28,32,36,40),0)/100)))+1)),0)</f>
        <v/>
      </c>
      <c r="S85">
        <f>IFERROR(O85/N85,0)</f>
        <v/>
      </c>
      <c r="T85" t="n">
        <v>0</v>
      </c>
      <c r="V85" t="n">
        <v>0</v>
      </c>
    </row>
    <row r="86">
      <c r="A86">
        <f>Skills!A15</f>
        <v/>
      </c>
      <c r="B86">
        <f>Skills!B15</f>
        <v/>
      </c>
      <c r="C86">
        <f>Inputs!$B$3&gt;=115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Skills!G15*IF(Skills!H15&gt;0,Skills!I15/Skills!H15,1)</f>
        <v/>
      </c>
      <c r="H86">
        <f>1-(1-Skills!J15/100)^Skills!K15</f>
        <v/>
      </c>
      <c r="I86" t="inlineStr">
        <is>
          <t>1</t>
        </is>
      </c>
      <c r="J86" t="inlineStr"/>
      <c r="K86" t="inlineStr"/>
      <c r="L86" t="inlineStr"/>
      <c r="M86" t="inlineStr"/>
      <c r="N86" t="inlineStr"/>
      <c r="O86">
        <f>(1-Summary!$B$11)*T86+Summary!$B$11*V86</f>
        <v/>
      </c>
      <c r="P86">
        <f>IF(B107=0,0,O86/B107)</f>
        <v/>
      </c>
      <c r="Q86">
        <f>IFERROR(1/(IF(Inputs!$B$38="pvp",15,MAX(0.1,Skills!D15-IF(Skills!E15=TRUE,Inputs!$B$32,0)))*(1-IF(AND(ArtifactsInput!$M$27,Inputs!$B$4="Chapter Hunt"),CHOOSE(ArtifactsInput!$N$27+1,20,24,28,32,36,40),0)/100)),0)</f>
        <v/>
      </c>
      <c r="R86">
        <f>IF(AND(Inputs!$B$38&lt;&gt;"pvp",Inputs!$B$43&gt;0),IF(Inputs!$B$43&lt;=0,0,(INT(Inputs!$B$43/(IF(Inputs!$B$38="pvp",15,MAX(0.1,Skills!D15-IF(Skills!E15=TRUE,Inputs!$B$32,0)))*(1-IF(AND(ArtifactsInput!$M$27,Inputs!$B$4="Chapter Hunt"),CHOOSE(ArtifactsInput!$N$27+1,20,24,28,32,36,40),0)/100)))+1)),0)</f>
        <v/>
      </c>
      <c r="S86">
        <f>IFERROR(O86/N86,0)</f>
        <v/>
      </c>
      <c r="T86" t="n">
        <v>0</v>
      </c>
      <c r="V86" t="n">
        <v>0</v>
      </c>
    </row>
    <row r="87">
      <c r="A87">
        <f>Skills!A16</f>
        <v/>
      </c>
      <c r="B87">
        <f>Skills!B16</f>
        <v/>
      </c>
      <c r="C87">
        <f>Inputs!$B$3&gt;=15</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Skills!G16*IF(Skills!H16&gt;0,Skills!I16/Skills!H16,1)</f>
        <v/>
      </c>
      <c r="H87">
        <f>1-(1-Skills!J16/100)^Skills!K16</f>
        <v/>
      </c>
      <c r="I87" t="inlineStr">
        <is>
          <t>1</t>
        </is>
      </c>
      <c r="J87" t="inlineStr"/>
      <c r="K87" t="inlineStr"/>
      <c r="L87" t="inlineStr"/>
      <c r="M87" t="inlineStr"/>
      <c r="N87" t="inlineStr"/>
      <c r="O87">
        <f>(1-Summary!$B$11)*T87+Summary!$B$11*V87</f>
        <v/>
      </c>
      <c r="P87">
        <f>IF(B107=0,0,O87/B107)</f>
        <v/>
      </c>
      <c r="Q87" t="n">
        <v>0</v>
      </c>
      <c r="R87" t="n">
        <v>0</v>
      </c>
      <c r="S87">
        <f>IFERROR(O87/N87,0)</f>
        <v/>
      </c>
      <c r="T87" t="n">
        <v>0</v>
      </c>
      <c r="V87" t="n">
        <v>0</v>
      </c>
    </row>
    <row r="88">
      <c r="A88">
        <f>Skills!A17</f>
        <v/>
      </c>
      <c r="B88">
        <f>Skills!B17</f>
        <v/>
      </c>
      <c r="C88">
        <f>Inputs!$B$3&gt;=10</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Skills!G17*IF(Skills!H17&gt;0,Skills!I17/Skills!H17,1)</f>
        <v/>
      </c>
      <c r="H88">
        <f>1-(1-Skills!J17/100)^Skills!K17</f>
        <v/>
      </c>
      <c r="I88" t="inlineStr">
        <is>
          <t>1</t>
        </is>
      </c>
      <c r="J88" t="inlineStr"/>
      <c r="K88" t="inlineStr"/>
      <c r="L88" t="inlineStr"/>
      <c r="M88" t="inlineStr"/>
      <c r="N88" t="inlineStr"/>
      <c r="O88">
        <f>(1-Summary!$B$11)*T88+Summary!$B$11*V88</f>
        <v/>
      </c>
      <c r="P88">
        <f>IF(B107=0,0,O88/B107)</f>
        <v/>
      </c>
      <c r="Q88" t="n">
        <v>0</v>
      </c>
      <c r="R88" t="n">
        <v>0</v>
      </c>
      <c r="S88">
        <f>IFERROR(O88/N88,0)</f>
        <v/>
      </c>
      <c r="T88" t="n">
        <v>0</v>
      </c>
      <c r="V88" t="n">
        <v>0</v>
      </c>
    </row>
    <row r="89">
      <c r="A89">
        <f>Skills!A18</f>
        <v/>
      </c>
      <c r="B89">
        <f>Skills!B18</f>
        <v/>
      </c>
      <c r="C89">
        <f>Inputs!$B$3&gt;=33</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Skills!G18*IF(Skills!H18&gt;0,Skills!I18/Skills!H18,1)</f>
        <v/>
      </c>
      <c r="H89">
        <f>1-(1-Skills!J18/100)^Skills!K18</f>
        <v/>
      </c>
      <c r="I89" t="inlineStr">
        <is>
          <t>1</t>
        </is>
      </c>
      <c r="J89" t="inlineStr"/>
      <c r="K89" t="inlineStr"/>
      <c r="L89" t="inlineStr"/>
      <c r="M89" t="inlineStr"/>
      <c r="N89" t="inlineStr"/>
      <c r="O89">
        <f>(1-Summary!$B$11)*T89+Summary!$B$11*V89</f>
        <v/>
      </c>
      <c r="P89">
        <f>IF(B107=0,0,O89/B107)</f>
        <v/>
      </c>
      <c r="Q89" t="n">
        <v>0</v>
      </c>
      <c r="R89" t="n">
        <v>0</v>
      </c>
      <c r="S89">
        <f>IFERROR(O89/N89,0)</f>
        <v/>
      </c>
      <c r="T89" t="n">
        <v>0</v>
      </c>
      <c r="V89" t="n">
        <v>0</v>
      </c>
    </row>
    <row r="90">
      <c r="A90">
        <f>Skills!A19</f>
        <v/>
      </c>
      <c r="B90">
        <f>Skills!B19</f>
        <v/>
      </c>
      <c r="C90">
        <f>Inputs!$B$3&gt;=40</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Skills!G19*IF(Skills!H19&gt;0,Skills!I19/Skills!H19,1)</f>
        <v/>
      </c>
      <c r="H90">
        <f>1-(1-Skills!J19/100)^Skills!K19</f>
        <v/>
      </c>
      <c r="I90" t="inlineStr">
        <is>
          <t>1</t>
        </is>
      </c>
      <c r="J90" t="inlineStr"/>
      <c r="K90" t="inlineStr"/>
      <c r="L90" t="inlineStr"/>
      <c r="M90" t="inlineStr"/>
      <c r="N90" t="inlineStr"/>
      <c r="O90">
        <f>(1-Summary!$B$11)*T90+Summary!$B$11*V90</f>
        <v/>
      </c>
      <c r="P90">
        <f>IF(B107=0,0,O90/B107)</f>
        <v/>
      </c>
      <c r="Q90" t="n">
        <v>0</v>
      </c>
      <c r="R90" t="n">
        <v>0</v>
      </c>
      <c r="S90">
        <f>IFERROR(O90/N90,0)</f>
        <v/>
      </c>
      <c r="T90" t="n">
        <v>0</v>
      </c>
      <c r="V90" t="n">
        <v>0</v>
      </c>
    </row>
    <row r="91">
      <c r="A91">
        <f>Skills!A20</f>
        <v/>
      </c>
      <c r="B91">
        <f>Skills!B20</f>
        <v/>
      </c>
      <c r="C91">
        <f>Inputs!$B$3&gt;=43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Skills!G20*IF(Skills!H20&gt;0,Skills!I20/Skills!H20,1)</f>
        <v/>
      </c>
      <c r="H91">
        <f>1-(1-Skills!J20/100)^Skills!K20</f>
        <v/>
      </c>
      <c r="I91" t="inlineStr">
        <is>
          <t>1</t>
        </is>
      </c>
      <c r="J91" t="inlineStr"/>
      <c r="K91" t="inlineStr"/>
      <c r="L91" t="inlineStr"/>
      <c r="M91" t="inlineStr"/>
      <c r="N91" t="inlineStr"/>
      <c r="O91">
        <f>(1-Summary!$B$11)*T91+Summary!$B$11*V91</f>
        <v/>
      </c>
      <c r="P91">
        <f>IF(B107=0,0,O91/B107)</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Skills!G21*IF(Skills!H21&gt;0,Skills!I21/Skills!H21,1)</f>
        <v/>
      </c>
      <c r="H92">
        <f>1-(1-Skills!J21/100)^Skills!K21</f>
        <v/>
      </c>
      <c r="I92" t="inlineStr">
        <is>
          <t>1</t>
        </is>
      </c>
      <c r="J92" t="inlineStr"/>
      <c r="K92" t="inlineStr"/>
      <c r="L92" t="inlineStr"/>
      <c r="M92" t="inlineStr"/>
      <c r="N92" t="inlineStr"/>
      <c r="O92">
        <f>(1-Summary!$B$11)*T92+Summary!$B$11*V92</f>
        <v/>
      </c>
      <c r="P92">
        <f>IF(B107=0,0,O92/B107)</f>
        <v/>
      </c>
      <c r="Q92" t="n">
        <v>0</v>
      </c>
      <c r="R92" t="n">
        <v>0</v>
      </c>
      <c r="S92">
        <f>IFERROR(O92/N92,0)</f>
        <v/>
      </c>
      <c r="T92" t="n">
        <v>0</v>
      </c>
      <c r="V92" t="n">
        <v>0</v>
      </c>
    </row>
    <row r="93">
      <c r="A93">
        <f>Skills!A22</f>
        <v/>
      </c>
      <c r="B93">
        <f>Skills!B22</f>
        <v/>
      </c>
      <c r="C93">
        <f>Inputs!$B$3&gt;=75</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Skills!G22*IF(Skills!H22&gt;0,Skills!I22/Skills!H22,1)</f>
        <v/>
      </c>
      <c r="H93">
        <f>1-(1-Skills!J22/100)^Skills!K22</f>
        <v/>
      </c>
      <c r="I93" t="inlineStr">
        <is>
          <t>1</t>
        </is>
      </c>
      <c r="J93" t="inlineStr"/>
      <c r="K93" t="inlineStr"/>
      <c r="L93" t="inlineStr"/>
      <c r="M93" t="inlineStr"/>
      <c r="N93" t="inlineStr"/>
      <c r="O93">
        <f>(1-Summary!$B$11)*T93+Summary!$B$11*V93</f>
        <v/>
      </c>
      <c r="P93">
        <f>IF(B107=0,0,O93/B107)</f>
        <v/>
      </c>
      <c r="Q93" t="n">
        <v>0</v>
      </c>
      <c r="R93" t="n">
        <v>0</v>
      </c>
      <c r="S93">
        <f>IFERROR(O93/N93,0)</f>
        <v/>
      </c>
      <c r="T93" t="n">
        <v>0</v>
      </c>
      <c r="V93" t="n">
        <v>0</v>
      </c>
    </row>
    <row r="94">
      <c r="A94">
        <f>Skills!A23</f>
        <v/>
      </c>
      <c r="B94">
        <f>Skills!B23</f>
        <v/>
      </c>
      <c r="C94">
        <f>TRUE</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Skills!G23*IF(Skills!H23&gt;0,Skills!I23/Skills!H23,1)</f>
        <v/>
      </c>
      <c r="H94">
        <f>1-(1-Skills!J23/100)^Skills!K23</f>
        <v/>
      </c>
      <c r="I94" t="inlineStr">
        <is>
          <t>1</t>
        </is>
      </c>
      <c r="J94" t="inlineStr"/>
      <c r="K94" t="inlineStr"/>
      <c r="L94" t="inlineStr"/>
      <c r="M94" t="inlineStr"/>
      <c r="N94" t="inlineStr"/>
      <c r="O94">
        <f>(1-Summary!$B$11)*T94+Summary!$B$11*V94</f>
        <v/>
      </c>
      <c r="P94">
        <f>IF(B107=0,0,O94/B107)</f>
        <v/>
      </c>
      <c r="Q94">
        <f>IFERROR(1/(IF(Inputs!$B$38="pvp",15,MAX(0.1,Skills!D23-IF(Skills!E23=TRUE,Inputs!$B$32,0)))*(1-IF(AND(ArtifactsInput!$M$27,Inputs!$B$4="Chapter Hunt"),CHOOSE(ArtifactsInput!$N$27+1,20,24,28,32,36,40),0)/100)),0)</f>
        <v/>
      </c>
      <c r="R94">
        <f>IF(AND(Inputs!$B$38&lt;&gt;"pvp",Inputs!$B$43&gt;0),IF(Inputs!$B$43&lt;=0,0,(INT(Inputs!$B$43/(IF(Inputs!$B$38="pvp",15,MAX(0.1,Skills!D23-IF(Skills!E23=TRUE,Inputs!$B$32,0)))*(1-IF(AND(ArtifactsInput!$M$27,Inputs!$B$4="Chapter Hunt"),CHOOSE(ArtifactsInput!$N$27+1,20,24,28,32,36,40),0)/100)))+1)),0)</f>
        <v/>
      </c>
      <c r="S94">
        <f>IFERROR(O94/N94,0)</f>
        <v/>
      </c>
      <c r="T94" t="n">
        <v>0</v>
      </c>
      <c r="V94" t="n">
        <v>0</v>
      </c>
    </row>
    <row r="96">
      <c r="A96" t="inlineStr">
        <is>
          <t>Attack% Bucket Multiplier</t>
        </is>
      </c>
      <c r="B96">
        <f>(1+(((C84=TRUE)*F84*5/7)+((C90=TRUE)*(F90-Calc!F19))+(IF(ArtifactsInput!$M$21,CHOOSE(ArtifactsInput!$N$21+1,25,30,35,40,45,50)*(IF(OR(Inputs!$B$4="Chapter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7">
      <c r="A97" t="inlineStr">
        <is>
          <t>Global Crit Rate Bonus %</t>
        </is>
      </c>
      <c r="B97" t="n">
        <v>0</v>
      </c>
    </row>
    <row r="98">
      <c r="A98" t="inlineStr">
        <is>
          <t>Attack Speed Buff Bonus % (Nimble Feet, duty-cycle averaged)</t>
        </is>
      </c>
      <c r="B98">
        <f>((C94=TRUE)*F94*IF(AND(Inputs!$B$38&lt;&gt;"pvp",Inputs!$B$43&gt;0),(((R94-1)*(Skills!T23*(1+Inputs!$B$34/100))+MIN((Skills!T23*(1+Inputs!$B$34/100)),MAX(0,Inputs!$B$43-((R94-1)*Skills!D23))))/Inputs!$B$43),IF(Inputs!$B$38="pvp",MIN((Skills!T23*(1+Inputs!$B$34/100)),15)/15,(Skills!T23*(1+Inputs!$B$34/100))/Skills!D23)))</f>
        <v/>
      </c>
    </row>
    <row r="99">
      <c r="A99" t="inlineStr">
        <is>
          <t>Actions Per Second</t>
        </is>
      </c>
      <c r="B99">
        <f>1+MIN(150,150*(1-(1-(Inputs!$B$11+((C88=TRUE)*(F88-Calc!F17))+((C89=TRUE)*(F89-Calc!F18)))/150)*(1-B98/150)))/100</f>
        <v/>
      </c>
    </row>
    <row r="100">
      <c r="A100" t="inlineStr">
        <is>
          <t>Skill + Buff Cast Rate</t>
        </is>
      </c>
      <c r="B100">
        <f>IF(AND(Inputs!$B$38&lt;&gt;"pvp",Inputs!$B$43&gt;0),SUMPRODUCT((Skills!E2:E23=TRUE)*(C73:C94=TRUE)*R73:R94*Skills!F2:F23)/Inputs!$B$43,SUMPRODUCT((Skills!E2:E23=TRUE)*(C73:C94=TRUE)*Q73:Q94*Skills!F2:F23))</f>
        <v/>
      </c>
    </row>
    <row r="101">
      <c r="A101" t="inlineStr">
        <is>
          <t>Hook Bomber Casts Per Second</t>
        </is>
      </c>
      <c r="B101">
        <f>MAX(0,B99-B100)</f>
        <v/>
      </c>
    </row>
    <row r="102">
      <c r="A102" t="inlineStr">
        <is>
          <t>Global Critical Damage Bonus % (unused)</t>
        </is>
      </c>
      <c r="B102" t="n">
        <v>0</v>
      </c>
    </row>
    <row r="103">
      <c r="A103" t="inlineStr">
        <is>
          <t>Global Final Damage Bonus % (Serpent Scale + Crossbones + Time Leap + Speed Infusion)</t>
        </is>
      </c>
      <c r="B103">
        <f>((C76=TRUE)*F76*((10+IF(Inputs!$B$3&gt;=94,5,0))/((10+IF(Inputs!$B$3&gt;=94,5,0))+5/(B101*(1+IF(Inputs!$B$3&gt;=104,1,0))))))+((C85=TRUE)*F85*IF(AND(Inputs!$B$38&lt;&gt;"pvp",Inputs!$B$43&gt;0),(((R85-1)*(Skills!T14*(1+Inputs!$B$34/100))+MIN((Skills!T14*(1+Inputs!$B$34/100)),MAX(0,Inputs!$B$43-((R85-1)*Skills!D14))))/Inputs!$B$43),IF(Inputs!$B$38="pvp",MIN((Skills!T14*(1+Inputs!$B$34/100)),15)/15,(Skills!T14*(1+Inputs!$B$34/100))/Skills!D14)))+((C86=TRUE)*F86*IF(AND(Inputs!$B$38&lt;&gt;"pvp",Inputs!$B$43&gt;0),(((R86-1)*(Skills!T15*(1+Inputs!$B$34/100))+MIN((Skills!T15*(1+Inputs!$B$34/100)),MAX(0,Inputs!$B$43-((R86-1)*Skills!D15))))/Inputs!$B$43),IF(Inputs!$B$38="pvp",MIN((Skills!T15*(1+Inputs!$B$34/100)),15)/15,(Skills!T15*(1+Inputs!$B$34/100))/Skills!D15)))+((Inputs!$B$3&gt;=110)*20*(B99-1)*IF(Inputs!$B$38="pvp",MIN((15*(1+Inputs!$B$34/100)),15)/15,(15*(1+Inputs!$B$34/100))/35))</f>
        <v/>
      </c>
    </row>
    <row r="104">
      <c r="A104" t="inlineStr">
        <is>
          <t>Buff-Casting Startup Delay (s, fixed-duration only)</t>
        </is>
      </c>
      <c r="B104">
        <f>IF(AND(Inputs!$B$38&lt;&gt;"pvp",Inputs!$B$43&gt;0),SUMPRODUCT((Skills!T2:T23&gt;0)*(Skills!E2:E23=TRUE)*(C73:C94=TRUE))/B99,0)</f>
        <v/>
      </c>
    </row>
    <row r="105">
      <c r="A105" t="inlineStr">
        <is>
          <t>Boss-Only Total DPS (this block's swept value)</t>
        </is>
      </c>
      <c r="B105">
        <f>SUM(T73:T94)</f>
        <v/>
      </c>
    </row>
    <row r="106">
      <c r="A106" t="inlineStr">
        <is>
          <t>Normal-Only Total DPS (this block's swept value)</t>
        </is>
      </c>
      <c r="B106">
        <f>SUM(V73:V94)</f>
        <v/>
      </c>
    </row>
    <row r="107">
      <c r="A107" s="6" t="inlineStr">
        <is>
          <t>TOTAL DPS</t>
        </is>
      </c>
      <c r="B107" s="6">
        <f>SUM(O73:O94)</f>
        <v/>
      </c>
    </row>
    <row r="110">
      <c r="A110" s="6" t="inlineStr">
        <is>
          <t>Stat: STR %</t>
        </is>
      </c>
    </row>
    <row r="111">
      <c r="A111" s="5" t="inlineStr">
        <is>
          <t>Key</t>
        </is>
      </c>
      <c r="B111" s="5" t="inlineStr">
        <is>
          <t>Name</t>
        </is>
      </c>
      <c r="C111" s="5" t="inlineStr">
        <is>
          <t>Unlocked</t>
        </is>
      </c>
      <c r="D111" s="5" t="inlineStr">
        <is>
          <t>InputLevel</t>
        </is>
      </c>
      <c r="E111" s="5" t="inlineStr">
        <is>
          <t>Factor</t>
        </is>
      </c>
      <c r="F111" s="5" t="inlineStr">
        <is>
          <t>CoefficientPercent</t>
        </is>
      </c>
      <c r="G111" s="5" t="inlineStr">
        <is>
          <t>EffectiveHits</t>
        </is>
      </c>
      <c r="H111" s="5" t="inlineStr">
        <is>
          <t>ProcProbability</t>
        </is>
      </c>
      <c r="I111" s="5" t="inlineStr">
        <is>
          <t>MapleHeroMultiplier</t>
        </is>
      </c>
      <c r="J111" s="5" t="inlineStr">
        <is>
          <t>BaseDamage</t>
        </is>
      </c>
      <c r="K111" s="5" t="inlineStr">
        <is>
          <t>BaseHitDamage</t>
        </is>
      </c>
      <c r="L111" s="5" t="inlineStr">
        <is>
          <t>NonCritAvg</t>
        </is>
      </c>
      <c r="M111" s="5" t="inlineStr">
        <is>
          <t>CritAvg</t>
        </is>
      </c>
      <c r="N111" s="5" t="inlineStr">
        <is>
          <t>ExpectedDamage(perHit)</t>
        </is>
      </c>
      <c r="O111" s="5" t="inlineStr">
        <is>
          <t>DPS</t>
        </is>
      </c>
      <c r="P111" s="5" t="inlineStr">
        <is>
          <t>% of Total</t>
        </is>
      </c>
      <c r="Q111" s="5" t="inlineStr">
        <is>
          <t>InvCooldown</t>
        </is>
      </c>
      <c r="R111" s="5" t="inlineStr">
        <is>
          <t>CastsInFight</t>
        </is>
      </c>
      <c r="S111" s="5" t="inlineStr">
        <is>
          <t>HitRate(perSec)</t>
        </is>
      </c>
      <c r="U111" t="inlineStr">
        <is>
          <t>helpers</t>
        </is>
      </c>
    </row>
    <row r="112">
      <c r="A112">
        <f>Skills!A2</f>
        <v/>
      </c>
      <c r="B112">
        <f>Skills!B2</f>
        <v/>
      </c>
      <c r="C112">
        <f>Inputs!$B$3&gt;=100</f>
        <v/>
      </c>
      <c r="D112" t="inlineStr"/>
      <c r="E112" t="inlineStr"/>
      <c r="F112">
        <f>U114+Skills!O2</f>
        <v/>
      </c>
      <c r="G112">
        <f>Skills!G2*IF(Skills!H2&gt;0,Skills!I2/Skills!H2,1)</f>
        <v/>
      </c>
      <c r="H112">
        <f>1-(1-Skills!J2/100)^Skills!K2</f>
        <v/>
      </c>
      <c r="I112" t="inlineStr">
        <is>
          <t>1</t>
        </is>
      </c>
      <c r="J112">
        <f>((Inputs!$B$6*(1+Inputs!$B$7/100))+(((Inputs!$B$12*(1+(Inputs!$B$13+1)/100))-(Inputs!$B$12*(1+Inputs!$B$13/100)))+0.25*(Inputs!$B$14-Inputs!$B$14))*(1+Inputs!$B$7/100))*(F112/100)</f>
        <v/>
      </c>
      <c r="K112">
        <f>J112*(1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f>
        <v/>
      </c>
      <c r="L112">
        <f>K112*(MIN(Inputs!$B$22+((C130=TRUE)*(F130-Calc!F20)),(Inputs!$B$23+0+(IF(ArtifactsInput!$M$15,CHOOSE(ArtifactsInput!$N$15+1,25,30,35,40,45,50)/100*(Inputs!$B$11-Inputs!$B$11),0))))/100+(Inputs!$B$23+0+(IF(ArtifactsInput!$M$15,CHOOSE(ArtifactsInput!$N$15+1,25,30,35,40,45,50)/100*(Inputs!$B$11-Inputs!$B$11),0)))/100)/2</f>
        <v/>
      </c>
      <c r="M112">
        <f>L112*(1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
        <f>L112*(1-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
        <f>(1-Summary!$B$11)*T112+Summary!$B$11*V112</f>
        <v/>
      </c>
      <c r="P112">
        <f>IF(B146=0,0,O112/B146)</f>
        <v/>
      </c>
      <c r="Q112" t="n">
        <v>0</v>
      </c>
      <c r="R112" t="n">
        <v>0</v>
      </c>
      <c r="S112">
        <f>IFERROR(O112/N112,0)</f>
        <v/>
      </c>
      <c r="T112">
        <f>IF(C112,(Skills!G2*N112*B140)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
        <f>MAX(0,(Inputs!$B$3-100)*3)+Inputs!$B$28+Inputs!$B$29</f>
        <v/>
      </c>
      <c r="V112">
        <f>IF(C112,(Skills!G2*N112*B140)*IF(Inputs!$B$38="pvp",1,(1+(Inputs!$B$21+Skills!Q2+(IF(ArtifactsInput!$M$33,CHOOSE(ArtifactsInput!$N$33+1,30,36,42,48,54,60),0))+(IF(AND(ArtifactsInput!$M$35,Inputs!$B$4&lt;&gt;"Chapter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
      <c r="A113">
        <f>Skills!A3</f>
        <v/>
      </c>
      <c r="B113">
        <f>Skills!B3</f>
        <v/>
      </c>
      <c r="C113">
        <f>Inputs!$B$3&gt;=35</f>
        <v/>
      </c>
      <c r="D113">
        <f>IF(Skills!C3=1,60+Inputs!$B$25+Inputs!$B$29,IF(Skills!C3=2,90+Inputs!$B$26+Inputs!$B$29,IF(Skills!C3=3,120+Inputs!$B$27+Inputs!$B$29,MAX(0,(Inputs!$B$3-100)*3)+Inputs!$B$28+Inputs!$B$29)))</f>
        <v/>
      </c>
      <c r="E113">
        <f>INDEX(FactorTable!$B$2:$Y$301, MATCH(ROUND(MIN(300,MAX(1,D113)),0), FactorTable!$A$2:$A$301,0), Skills!M3+1)</f>
        <v/>
      </c>
      <c r="F113">
        <f>IF(Skills!N3=TRUE,(Skills!L3/10)*(E113/1000),Skills!L3/10)+Skills!O3</f>
        <v/>
      </c>
      <c r="G113">
        <f>Skills!G3*IF(Skills!H3&gt;0,Skills!I3/Skills!H3,1)</f>
        <v/>
      </c>
      <c r="H113">
        <f>1-(1-Skills!J3/100)^Skills!K3</f>
        <v/>
      </c>
      <c r="I113" t="inlineStr">
        <is>
          <t>1</t>
        </is>
      </c>
      <c r="J113">
        <f>((Inputs!$B$6*(1+Inputs!$B$7/100))+(((Inputs!$B$12*(1+(Inputs!$B$13+1)/100))-(Inputs!$B$12*(1+Inputs!$B$13/100)))+0.25*(Inputs!$B$14-Inputs!$B$14))*(1+Inputs!$B$7/100))*(F113/100)</f>
        <v/>
      </c>
      <c r="K113">
        <f>J113*(1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f>
        <v/>
      </c>
      <c r="L113">
        <f>K113*(MIN(Inputs!$B$22+((C130=TRUE)*(F130-Calc!F20)),(Inputs!$B$23+0+(IF(ArtifactsInput!$M$15,CHOOSE(ArtifactsInput!$N$15+1,25,30,35,40,45,50)/100*(Inputs!$B$11-Inputs!$B$11),0))))/100+(Inputs!$B$23+0+(IF(ArtifactsInput!$M$15,CHOOSE(ArtifactsInput!$N$15+1,25,30,35,40,45,50)/100*(Inputs!$B$11-Inputs!$B$11),0)))/100)/2</f>
        <v/>
      </c>
      <c r="M113">
        <f>L113*(1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
        <f>L113*(1-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
        <f>(1-Summary!$B$11)*T113+Summary!$B$11*V113</f>
        <v/>
      </c>
      <c r="P113">
        <f>IF(B146=0,0,O113/B146)</f>
        <v/>
      </c>
      <c r="Q113" t="n">
        <v>0</v>
      </c>
      <c r="R113" t="n">
        <v>0</v>
      </c>
      <c r="S113">
        <f>IFERROR(O113/N113,0)</f>
        <v/>
      </c>
      <c r="T113">
        <f>IF(C113,(Skills!G3*H113*N113*B140)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3">
        <f>INDEX(FactorTable!$B$2:$Y$301, MATCH(ROUND(MIN(300,MAX(1,U112)),0), FactorTable!$A$2:$A$301,0), 22)</f>
        <v/>
      </c>
      <c r="V113">
        <f>IF(C113,(Skills!G3*H113*N113*B140)*IF(Inputs!$B$38="pvp",1,(1+(Inputs!$B$21+Skills!Q3+(IF(ArtifactsInput!$M$33,CHOOSE(ArtifactsInput!$N$33+1,30,36,42,48,54,60),0))+(IF(AND(ArtifactsInput!$M$35,Inputs!$B$4&lt;&gt;"Chapter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4">
      <c r="A114">
        <f>Skills!A4</f>
        <v/>
      </c>
      <c r="B114">
        <f>Skills!B4</f>
        <v/>
      </c>
      <c r="C114">
        <f>Inputs!$B$3&gt;=60</f>
        <v/>
      </c>
      <c r="D114">
        <f>IF(Skills!C4=1,60+Inputs!$B$25+Inputs!$B$29,IF(Skills!C4=2,90+Inputs!$B$26+Inputs!$B$29,IF(Skills!C4=3,120+Inputs!$B$27+Inputs!$B$29,MAX(0,(Inputs!$B$3-100)*3)+Inputs!$B$28+Inputs!$B$29)))</f>
        <v/>
      </c>
      <c r="E114">
        <f>INDEX(FactorTable!$B$2:$Y$301, MATCH(ROUND(MIN(300,MAX(1,D114)),0), FactorTable!$A$2:$A$301,0), Skills!M4+1)</f>
        <v/>
      </c>
      <c r="F114">
        <f>IF(Skills!N4=TRUE,(Skills!L4/10)*(E114/1000),Skills!L4/10)+Skills!O4</f>
        <v/>
      </c>
      <c r="G114">
        <f>Skills!G4*IF(Skills!H4&gt;0,Skills!I4/Skills!H4,1)</f>
        <v/>
      </c>
      <c r="H114">
        <f>1-(1-Skills!J4/100)^Skills!K4</f>
        <v/>
      </c>
      <c r="I114" t="inlineStr">
        <is>
          <t>1</t>
        </is>
      </c>
      <c r="J114">
        <f>((Inputs!$B$6*(1+Inputs!$B$7/100))+(((Inputs!$B$12*(1+(Inputs!$B$13+1)/100))-(Inputs!$B$12*(1+Inputs!$B$13/100)))+0.25*(Inputs!$B$14-Inputs!$B$14))*(1+Inputs!$B$7/100))*(F114/100)</f>
        <v/>
      </c>
      <c r="K114">
        <f>J114*(1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122=TRUE,F122,0)/100)*(1+(IF(Skills!A4="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114)</f>
        <v/>
      </c>
      <c r="L114">
        <f>K114*(MIN(Inputs!$B$22+((C130=TRUE)*(F130-Calc!F20)),(Inputs!$B$23+0+(IF(ArtifactsInput!$M$15,CHOOSE(ArtifactsInput!$N$15+1,25,30,35,40,45,50)/100*(Inputs!$B$11-Inputs!$B$11),0))))/100+(Inputs!$B$23+0+(IF(ArtifactsInput!$M$15,CHOOSE(ArtifactsInput!$N$15+1,25,30,35,40,45,50)/100*(Inputs!$B$11-Inputs!$B$11),0)))/100)/2</f>
        <v/>
      </c>
      <c r="M114">
        <f>L114*(1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4">
        <f>L114*(1-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114*(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4">
        <f>(1-Summary!$B$11)*T114+Summary!$B$11*V114</f>
        <v/>
      </c>
      <c r="P114">
        <f>IF(B146=0,0,O114/B146)</f>
        <v/>
      </c>
      <c r="Q114" t="n">
        <v>0</v>
      </c>
      <c r="R114" t="n">
        <v>0</v>
      </c>
      <c r="S114">
        <f>IFERROR(O114/N114,0)</f>
        <v/>
      </c>
      <c r="T114">
        <f>IF(C114,(Skills!G4*H114*N114*B140)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114*(1-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114*(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114*(1-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114*(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4">
        <f>290*U113/1000</f>
        <v/>
      </c>
      <c r="V114">
        <f>IF(C114,(Skills!G4*H114*N114*B140)*IF(Inputs!$B$38="pvp",1,(1+(Inputs!$B$21+Skills!Q4+(IF(ArtifactsInput!$M$33,CHOOSE(ArtifactsInput!$N$33+1,30,36,42,48,54,60),0))+(IF(AND(ArtifactsInput!$M$35,Inputs!$B$4&lt;&gt;"Chapter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
      <c r="A115">
        <f>Skills!A5</f>
        <v/>
      </c>
      <c r="B115">
        <f>Skills!B5</f>
        <v/>
      </c>
      <c r="C115">
        <f>Inputs!$B$3&gt;=60</f>
        <v/>
      </c>
      <c r="D115">
        <f>IF(Skills!C5=1,60+Inputs!$B$25+Inputs!$B$29,IF(Skills!C5=2,90+Inputs!$B$26+Inputs!$B$29,IF(Skills!C5=3,120+Inputs!$B$27+Inputs!$B$29,MAX(0,(Inputs!$B$3-100)*3)+Inputs!$B$28+Inputs!$B$29)))</f>
        <v/>
      </c>
      <c r="E115">
        <f>INDEX(FactorTable!$B$2:$Y$301, MATCH(ROUND(MIN(300,MAX(1,D115)),0), FactorTable!$A$2:$A$301,0), Skills!M5+1)</f>
        <v/>
      </c>
      <c r="F115">
        <f>IF(Skills!N5=TRUE,(Skills!L5/10)*(E115/1000),Skills!L5/10)+Skills!O5</f>
        <v/>
      </c>
      <c r="G115">
        <f>Skills!G5*IF(Skills!H5&gt;0,Skills!I5/Skills!H5,1)</f>
        <v/>
      </c>
      <c r="H115">
        <f>1-(1-Skills!J5/100)^Skills!K5</f>
        <v/>
      </c>
      <c r="I115" t="inlineStr">
        <is>
          <t>1</t>
        </is>
      </c>
      <c r="J115" t="inlineStr"/>
      <c r="K115" t="inlineStr"/>
      <c r="L115" t="inlineStr"/>
      <c r="M115" t="inlineStr"/>
      <c r="N115" t="inlineStr"/>
      <c r="O115">
        <f>(1-Summary!$B$11)*T115+Summary!$B$11*V115</f>
        <v/>
      </c>
      <c r="P115">
        <f>IF(B146=0,0,O115/B146)</f>
        <v/>
      </c>
      <c r="Q115" t="n">
        <v>0</v>
      </c>
      <c r="R115" t="n">
        <v>0</v>
      </c>
      <c r="S115">
        <f>IFERROR(O115/N115,0)</f>
        <v/>
      </c>
      <c r="T115" t="n">
        <v>0</v>
      </c>
      <c r="V115" t="n">
        <v>0</v>
      </c>
    </row>
    <row r="116">
      <c r="A116">
        <f>Skills!A6</f>
        <v/>
      </c>
      <c r="B116">
        <f>Skills!B6</f>
        <v/>
      </c>
      <c r="C116">
        <f>Inputs!$B$3&gt;=63</f>
        <v/>
      </c>
      <c r="D116">
        <f>IF(Skills!C6=1,60+Inputs!$B$25+Inputs!$B$29,IF(Skills!C6=2,90+Inputs!$B$26+Inputs!$B$29,IF(Skills!C6=3,120+Inputs!$B$27+Inputs!$B$29,MAX(0,(Inputs!$B$3-100)*3)+Inputs!$B$28+Inputs!$B$29)))</f>
        <v/>
      </c>
      <c r="E116">
        <f>INDEX(FactorTable!$B$2:$Y$301, MATCH(ROUND(MIN(300,MAX(1,D116)),0), FactorTable!$A$2:$A$301,0), Skills!M6+1)</f>
        <v/>
      </c>
      <c r="F116">
        <f>IF(Skills!N6=TRUE,(Skills!L6/10)*(E116/1000),Skills!L6/10)+Skills!O6</f>
        <v/>
      </c>
      <c r="G116">
        <f>Skills!G6*IF(Skills!H6&gt;0,Skills!I6/Skills!H6,1)</f>
        <v/>
      </c>
      <c r="H116">
        <f>1-(1-Skills!J6/100)^Skills!K6</f>
        <v/>
      </c>
      <c r="I116" t="inlineStr">
        <is>
          <t>1</t>
        </is>
      </c>
      <c r="J116">
        <f>((Inputs!$B$6*(1+Inputs!$B$7/100))+(((Inputs!$B$12*(1+(Inputs!$B$13+1)/100))-(Inputs!$B$12*(1+Inputs!$B$13/100)))+0.25*(Inputs!$B$14-Inputs!$B$14))*(1+Inputs!$B$7/100))*(F116/100)</f>
        <v/>
      </c>
      <c r="K116">
        <f>J116*(1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122=TRUE,F122,0)/100)*(1+(IF(Skills!A6="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f>
        <v/>
      </c>
      <c r="L116">
        <f>K116*(MIN(Inputs!$B$22+((C130=TRUE)*(F130-Calc!F20)),(Inputs!$B$23+0+(IF(ArtifactsInput!$M$15,CHOOSE(ArtifactsInput!$N$15+1,25,30,35,40,45,50)/100*(Inputs!$B$11-Inputs!$B$11),0))))/100+(Inputs!$B$23+0+(IF(ArtifactsInput!$M$15,CHOOSE(ArtifactsInput!$N$15+1,25,30,35,40,45,50)/100*(Inputs!$B$11-Inputs!$B$11),0)))/100)/2</f>
        <v/>
      </c>
      <c r="M116">
        <f>L116*(1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
        <f>L116*(1-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
        <f>(1-Summary!$B$11)*T116+Summary!$B$11*V116</f>
        <v/>
      </c>
      <c r="P116">
        <f>IF(B146=0,0,O116/B146)</f>
        <v/>
      </c>
      <c r="Q116">
        <f>IFERROR(1/(IF(Inputs!$B$38="pvp",15,MAX(0.1,Skills!D6-IF(Skills!E6=TRUE,Inputs!$B$32,0)))*(1-IF(AND(ArtifactsInput!$M$27,Inputs!$B$4="Chapter Hunt"),CHOOSE(ArtifactsInput!$N$27+1,20,24,28,32,36,40),0)/100)),0)</f>
        <v/>
      </c>
      <c r="R116">
        <f>IF(AND(Inputs!$B$38&lt;&gt;"pvp",Inputs!$B$43&gt;0),IF(MAX(0,Inputs!$B$43-B143)&lt;=0,0,(INT(MAX(0,Inputs!$B$43-B143)/(IF(Inputs!$B$38="pvp",15,MAX(0.1,Skills!D6-IF(Skills!E6=TRUE,Inputs!$B$32,0)))*(1-IF(AND(ArtifactsInput!$M$27,Inputs!$B$4="Chapter Hunt"),CHOOSE(ArtifactsInput!$N$27+1,20,24,28,32,36,40),0)/100)))+1)),0)</f>
        <v/>
      </c>
      <c r="S116">
        <f>IFERROR(O116/N116,0)</f>
        <v/>
      </c>
      <c r="T116">
        <f>IF(C116,(H116*N116*IF(AND(Inputs!$B$38&lt;&gt;"pvp",Inputs!$B$43&gt;0),((Skills!G6*((R116-1)*IF(Skills!H6&gt;0,Skills!I6/Skills!H6,1)+IF(Skills!H6&gt;0,MIN(Skills!I6,MAX(0,MAX(0,Inputs!$B$43-B143)-((R116-1)*(IF(Inputs!$B$38="pvp",15,MAX(0.1,Skills!D6-IF(Skills!E6=TRUE,Inputs!$B$32,0)))*(1-IF(AND(ArtifactsInput!$M$27,Inputs!$B$4="Chapter Hunt"),CHOOSE(ArtifactsInput!$N$27+1,20,24,28,32,36,40),0)/100)))))/Skills!H6,1)))/Inputs!$B$43),G116*Q116)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
        <f>IF(C116,(H116*N116*IF(AND(Inputs!$B$38&lt;&gt;"pvp",Inputs!$B$43&gt;0),((Skills!G6*((R116-1)*IF(Skills!H6&gt;0,Skills!I6/Skills!H6,1)+IF(Skills!H6&gt;0,MIN(Skills!I6,MAX(0,MAX(0,Inputs!$B$43-B143)-((R116-1)*(IF(Inputs!$B$38="pvp",15,MAX(0.1,Skills!D6-IF(Skills!E6=TRUE,Inputs!$B$32,0)))*(1-IF(AND(ArtifactsInput!$M$27,Inputs!$B$4="Chapter Hunt"),CHOOSE(ArtifactsInput!$N$27+1,20,24,28,32,36,40),0)/100)))))/Skills!H6,1)))/Inputs!$B$43),G116*Q116))*IF(Inputs!$B$38="pvp",1,(1+(Inputs!$B$21+Skills!Q6+(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
      <c r="A117">
        <f>Skills!A7</f>
        <v/>
      </c>
      <c r="B117">
        <f>Skills!B7</f>
        <v/>
      </c>
      <c r="C117">
        <f>Inputs!$B$3&gt;=100</f>
        <v/>
      </c>
      <c r="D117">
        <f>IF(Skills!C7=1,60+Inputs!$B$25+Inputs!$B$29,IF(Skills!C7=2,90+Inputs!$B$26+Inputs!$B$29,IF(Skills!C7=3,120+Inputs!$B$27+Inputs!$B$29,MAX(0,(Inputs!$B$3-100)*3)+Inputs!$B$28+Inputs!$B$29)))</f>
        <v/>
      </c>
      <c r="E117">
        <f>INDEX(FactorTable!$B$2:$Y$301, MATCH(ROUND(MIN(300,MAX(1,D117)),0), FactorTable!$A$2:$A$301,0), Skills!M7+1)</f>
        <v/>
      </c>
      <c r="F117">
        <f>IF(Skills!N7=TRUE,(Skills!L7/10)*(E117/1000),Skills!L7/10)+Skills!O7</f>
        <v/>
      </c>
      <c r="G117">
        <f>Skills!G7*IF(Skills!H7&gt;0,Skills!I7/Skills!H7,1)</f>
        <v/>
      </c>
      <c r="H117">
        <f>1-(1-Skills!J7/100)^Skills!K7</f>
        <v/>
      </c>
      <c r="I117" t="inlineStr">
        <is>
          <t>1</t>
        </is>
      </c>
      <c r="J117">
        <f>((Inputs!$B$6*(1+Inputs!$B$7/100))+(((Inputs!$B$12*(1+(Inputs!$B$13+1)/100))-(Inputs!$B$12*(1+Inputs!$B$13/100)))+0.25*(Inputs!$B$14-Inputs!$B$14))*(1+Inputs!$B$7/100))*(F117/100)</f>
        <v/>
      </c>
      <c r="K117">
        <f>J117*(1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f>
        <v/>
      </c>
      <c r="L117">
        <f>K117*(MIN(Inputs!$B$22+((C130=TRUE)*(F130-Calc!F20)),(Inputs!$B$23+0+(IF(ArtifactsInput!$M$15,CHOOSE(ArtifactsInput!$N$15+1,25,30,35,40,45,50)/100*(Inputs!$B$11-Inputs!$B$11),0))))/100+(Inputs!$B$23+0+(IF(ArtifactsInput!$M$15,CHOOSE(ArtifactsInput!$N$15+1,25,30,35,40,45,50)/100*(Inputs!$B$11-Inputs!$B$11),0)))/100)/2</f>
        <v/>
      </c>
      <c r="M117">
        <f>L117*(1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
        <f>L117*(1-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
        <f>(1-Summary!$B$11)*T117+Summary!$B$11*V117</f>
        <v/>
      </c>
      <c r="P117">
        <f>IF(B146=0,0,O117/B146)</f>
        <v/>
      </c>
      <c r="Q117">
        <f>IFERROR(1/(IF(Inputs!$B$38="pvp",15,MAX(0.1,Skills!D7-IF(Skills!E7=TRUE,Inputs!$B$32,0)))*(1-IF(AND(ArtifactsInput!$M$27,Inputs!$B$4="Chapter Hunt"),CHOOSE(ArtifactsInput!$N$27+1,20,24,28,32,36,40),0)/100)),0)</f>
        <v/>
      </c>
      <c r="R117">
        <f>IF(AND(Inputs!$B$38&lt;&gt;"pvp",Inputs!$B$43&gt;0),IF(MAX(0,Inputs!$B$43-B143)&lt;=0,0,(INT(MAX(0,Inputs!$B$43-B143)/(IF(Inputs!$B$38="pvp",15,MAX(0.1,Skills!D7-IF(Skills!E7=TRUE,Inputs!$B$32,0)))*(1-IF(AND(ArtifactsInput!$M$27,Inputs!$B$4="Chapter Hunt"),CHOOSE(ArtifactsInput!$N$27+1,20,24,28,32,36,40),0)/100)))+1)),0)</f>
        <v/>
      </c>
      <c r="S117">
        <f>IFERROR(O117/N117,0)</f>
        <v/>
      </c>
      <c r="T117">
        <f>IF(C117,(H117*N117*IF(AND(Inputs!$B$38&lt;&gt;"pvp",Inputs!$B$43&gt;0),((Skills!G7*((R117-1)*IF(Skills!H7&gt;0,Skills!I7/Skills!H7,1)+IF(Skills!H7&gt;0,MIN(Skills!I7,MAX(0,MAX(0,Inputs!$B$43-B143)-((R117-1)*(IF(Inputs!$B$38="pvp",15,MAX(0.1,Skills!D7-IF(Skills!E7=TRUE,Inputs!$B$32,0)))*(1-IF(AND(ArtifactsInput!$M$27,Inputs!$B$4="Chapter Hunt"),CHOOSE(ArtifactsInput!$N$27+1,20,24,28,32,36,40),0)/100)))))/Skills!H7,1)))/Inputs!$B$43),G117*Q117)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
        <f>IF(C117,(H117*N117*IF(AND(Inputs!$B$38&lt;&gt;"pvp",Inputs!$B$43&gt;0),((Skills!G7*((R117-1)*IF(Skills!H7&gt;0,Skills!I7/Skills!H7,1)+IF(Skills!H7&gt;0,MIN(Skills!I7,MAX(0,MAX(0,Inputs!$B$43-B143)-((R117-1)*(IF(Inputs!$B$38="pvp",15,MAX(0.1,Skills!D7-IF(Skills!E7=TRUE,Inputs!$B$32,0)))*(1-IF(AND(ArtifactsInput!$M$27,Inputs!$B$4="Chapter Hunt"),CHOOSE(ArtifactsInput!$N$27+1,20,24,28,32,36,40),0)/100)))))/Skills!H7,1)))/Inputs!$B$43),G117*Q117))*IF(Inputs!$B$38="pvp",1,(1+(Inputs!$B$21+Skills!Q7+(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8">
      <c r="A118">
        <f>Skills!A8</f>
        <v/>
      </c>
      <c r="B118">
        <f>Skills!B8</f>
        <v/>
      </c>
      <c r="C118">
        <f>Inputs!$B$3&gt;=110</f>
        <v/>
      </c>
      <c r="D118">
        <f>IF(Skills!C8=1,60+Inputs!$B$25+Inputs!$B$29,IF(Skills!C8=2,90+Inputs!$B$26+Inputs!$B$29,IF(Skills!C8=3,120+Inputs!$B$27+Inputs!$B$29,MAX(0,(Inputs!$B$3-100)*3)+Inputs!$B$28+Inputs!$B$29)))</f>
        <v/>
      </c>
      <c r="E118">
        <f>INDEX(FactorTable!$B$2:$Y$301, MATCH(ROUND(MIN(300,MAX(1,D118)),0), FactorTable!$A$2:$A$301,0), Skills!M8+1)</f>
        <v/>
      </c>
      <c r="F118">
        <f>IF(Skills!N8=TRUE,(Skills!L8/10)*(E118/1000),Skills!L8/10)+Skills!O8</f>
        <v/>
      </c>
      <c r="G118">
        <f>Skills!G8*IF(Skills!H8&gt;0,Skills!I8/Skills!H8,1)</f>
        <v/>
      </c>
      <c r="H118">
        <f>1-(1-Skills!J8/100)^Skills!K8</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130=TRUE)*(F130-Calc!F20)),(Inputs!$B$23+0+(IF(ArtifactsInput!$M$15,CHOOSE(ArtifactsInput!$N$15+1,25,30,35,40,45,50)/100*(Inputs!$B$11-Inputs!$B$11),0))))/100+(Inputs!$B$23+0+(IF(ArtifactsInput!$M$15,CHOOSE(ArtifactsInput!$N$15+1,25,30,35,40,45,50)/100*(Inputs!$B$11-Inputs!$B$11),0)))/100)/2</f>
        <v/>
      </c>
      <c r="M118">
        <f>L118*(1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IF(B146=0,0,O118/B146)</f>
        <v/>
      </c>
      <c r="Q118">
        <f>IFERROR(1/(IF(Inputs!$B$38="pvp",15,MAX(0.1,Skills!D8-IF(Skills!E8=TRUE,Inputs!$B$32,0)))*(1-IF(AND(ArtifactsInput!$M$27,Inputs!$B$4="Chapter Hunt"),CHOOSE(ArtifactsInput!$N$27+1,20,24,28,32,36,40),0)/100)),0)</f>
        <v/>
      </c>
      <c r="R118">
        <f>IF(AND(Inputs!$B$38&lt;&gt;"pvp",Inputs!$B$43&gt;0),IF(MAX(0,Inputs!$B$43-B143)&lt;=0,0,(INT(MAX(0,Inputs!$B$43-B143)/(IF(Inputs!$B$38="pvp",15,MAX(0.1,Skills!D8-IF(Skills!E8=TRUE,Inputs!$B$32,0)))*(1-IF(AND(ArtifactsInput!$M$27,Inputs!$B$4="Chapter Hunt"),CHOOSE(ArtifactsInput!$N$27+1,20,24,28,32,36,40),0)/100)))+1)),0)</f>
        <v/>
      </c>
      <c r="S118">
        <f>IFERROR(O118/N118,0)</f>
        <v/>
      </c>
      <c r="T118">
        <f>IF(C118,(H118*N118*IF(AND(Inputs!$B$38&lt;&gt;"pvp",Inputs!$B$43&gt;0),((Skills!G8*((R118-1)*IF(Skills!H8&gt;0,Skills!I8/Skills!H8,1)+IF(Skills!H8&gt;0,MIN(Skills!I8,MAX(0,MAX(0,Inputs!$B$43-B143)-((R118-1)*(IF(Inputs!$B$38="pvp",15,MAX(0.1,Skills!D8-IF(Skills!E8=TRUE,Inputs!$B$32,0)))*(1-IF(AND(ArtifactsInput!$M$27,Inputs!$B$4="Chapter Hunt"),CHOOSE(ArtifactsInput!$N$27+1,20,24,28,32,36,40),0)/100)))))/Skills!H8,1)))/Inputs!$B$43),G118*Q118)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8">
        <f>IF(C118,(H118*N118*IF(AND(Inputs!$B$38&lt;&gt;"pvp",Inputs!$B$43&gt;0),((Skills!G8*((R118-1)*IF(Skills!H8&gt;0,Skills!I8/Skills!H8,1)+IF(Skills!H8&gt;0,MIN(Skills!I8,MAX(0,MAX(0,Inputs!$B$43-B143)-((R118-1)*(IF(Inputs!$B$38="pvp",15,MAX(0.1,Skills!D8-IF(Skills!E8=TRUE,Inputs!$B$32,0)))*(1-IF(AND(ArtifactsInput!$M$27,Inputs!$B$4="Chapter Hunt"),CHOOSE(ArtifactsInput!$N$27+1,20,24,28,32,36,40),0)/100)))))/Skills!H8,1)))/Inputs!$B$43),G118*Q118))*IF(Inputs!$B$38="pvp",1,(1+(Inputs!$B$21+Skills!Q8+(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Skills!A9</f>
        <v/>
      </c>
      <c r="B119">
        <f>Skills!B9</f>
        <v/>
      </c>
      <c r="C119">
        <f>Inputs!$B$3&gt;=110</f>
        <v/>
      </c>
      <c r="D119">
        <f>IF(Skills!C9=1,60+Inputs!$B$25+Inputs!$B$29,IF(Skills!C9=2,90+Inputs!$B$26+Inputs!$B$29,IF(Skills!C9=3,120+Inputs!$B$27+Inputs!$B$29,MAX(0,(Inputs!$B$3-100)*3)+Inputs!$B$28+Inputs!$B$29)))</f>
        <v/>
      </c>
      <c r="E119">
        <f>INDEX(FactorTable!$B$2:$Y$301, MATCH(ROUND(MIN(300,MAX(1,D119)),0), FactorTable!$A$2:$A$301,0), Skills!M9+1)</f>
        <v/>
      </c>
      <c r="F119">
        <f>IF(Skills!N9=TRUE,(Skills!L9/10)*(E119/1000),Skills!L9/10)+Skills!O9</f>
        <v/>
      </c>
      <c r="G119">
        <f>Skills!G9*IF(Skills!H9&gt;0,Skills!I9/Skills!H9,1)</f>
        <v/>
      </c>
      <c r="H119">
        <f>1-(1-Skills!J9/100)^Skills!K9</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130=TRUE)*(F130-Calc!F20)),(Inputs!$B$23+0+(IF(ArtifactsInput!$M$15,CHOOSE(ArtifactsInput!$N$15+1,25,30,35,40,45,50)/100*(Inputs!$B$11-Inputs!$B$11),0))))/100+(Inputs!$B$23+0+(IF(ArtifactsInput!$M$15,CHOOSE(ArtifactsInput!$N$15+1,25,30,35,40,45,50)/100*(Inputs!$B$11-Inputs!$B$11),0)))/100)/2</f>
        <v/>
      </c>
      <c r="M119">
        <f>L119*(1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IF(B146=0,0,O119/B146)</f>
        <v/>
      </c>
      <c r="Q119">
        <f>IFERROR(1/(IF(Inputs!$B$38="pvp",15,MAX(0.1,Skills!D9-IF(Skills!E9=TRUE,Inputs!$B$32,0)))*(1-IF(AND(ArtifactsInput!$M$27,Inputs!$B$4="Chapter Hunt"),CHOOSE(ArtifactsInput!$N$27+1,20,24,28,32,36,40),0)/100)),0)</f>
        <v/>
      </c>
      <c r="R119">
        <f>IF(AND(Inputs!$B$38&lt;&gt;"pvp",Inputs!$B$43&gt;0),IF(MAX(0,Inputs!$B$43-B143)&lt;=0,0,(INT(MAX(0,Inputs!$B$43-B143)/(IF(Inputs!$B$38="pvp",15,MAX(0.1,Skills!D9-IF(Skills!E9=TRUE,Inputs!$B$32,0)))*(1-IF(AND(ArtifactsInput!$M$27,Inputs!$B$4="Chapter Hunt"),CHOOSE(ArtifactsInput!$N$27+1,20,24,28,32,36,40),0)/100)))+1)),0)</f>
        <v/>
      </c>
      <c r="S119">
        <f>IFERROR(O119/N119,0)</f>
        <v/>
      </c>
      <c r="T119">
        <f>IF(C119,(H119*N119*IF(AND(Inputs!$B$38&lt;&gt;"pvp",Inputs!$B$43&gt;0),((Skills!G9*((R119-1)*IF(Skills!H9&gt;0,Skills!I9/Skills!H9,1)+IF(Skills!H9&gt;0,MIN(Skills!I9,MAX(0,MAX(0,Inputs!$B$43-B143)-((R119-1)*(IF(Inputs!$B$38="pvp",15,MAX(0.1,Skills!D9-IF(Skills!E9=TRUE,Inputs!$B$32,0)))*(1-IF(AND(ArtifactsInput!$M$27,Inputs!$B$4="Chapter Hunt"),CHOOSE(ArtifactsInput!$N$27+1,20,24,28,32,36,40),0)/100)))))/Skills!H9,1)))/Inputs!$B$43),G119*Q119)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9">
        <f>IF(C119,(H119*N119*IF(AND(Inputs!$B$38&lt;&gt;"pvp",Inputs!$B$43&gt;0),((Skills!G9*((R119-1)*IF(Skills!H9&gt;0,Skills!I9/Skills!H9,1)+IF(Skills!H9&gt;0,MIN(Skills!I9,MAX(0,MAX(0,Inputs!$B$43-B143)-((R119-1)*(IF(Inputs!$B$38="pvp",15,MAX(0.1,Skills!D9-IF(Skills!E9=TRUE,Inputs!$B$32,0)))*(1-IF(AND(ArtifactsInput!$M$27,Inputs!$B$4="Chapter Hunt"),CHOOSE(ArtifactsInput!$N$27+1,20,24,28,32,36,40),0)/100)))))/Skills!H9,1)))/Inputs!$B$43),G119*Q119))*IF(Inputs!$B$38="pvp",1,(1+(Inputs!$B$21+Skills!Q9+(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Skills!A10</f>
        <v/>
      </c>
      <c r="B120">
        <f>Skills!B10</f>
        <v/>
      </c>
      <c r="C120">
        <f>Inputs!$B$3&gt;=103</f>
        <v/>
      </c>
      <c r="D120">
        <f>IF(Skills!C10=1,60+Inputs!$B$25+Inputs!$B$29,IF(Skills!C10=2,90+Inputs!$B$26+Inputs!$B$29,IF(Skills!C10=3,120+Inputs!$B$27+Inputs!$B$29,MAX(0,(Inputs!$B$3-100)*3)+Inputs!$B$28+Inputs!$B$29)))</f>
        <v/>
      </c>
      <c r="E120">
        <f>INDEX(FactorTable!$B$2:$Y$301, MATCH(ROUND(MIN(300,MAX(1,D120)),0), FactorTable!$A$2:$A$301,0), Skills!M10+1)</f>
        <v/>
      </c>
      <c r="F120">
        <f>IF(Skills!N10=TRUE,(Skills!L10/10)*(E120/1000),Skills!L10/10)+Skills!O10</f>
        <v/>
      </c>
      <c r="G120">
        <f>Skills!G10*IF(Skills!H10&gt;0,Skills!I10/Skills!H10,1)</f>
        <v/>
      </c>
      <c r="H120">
        <f>1-(1-Skills!J10/100)^Skills!K10</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130=TRUE)*(F130-Calc!F20)),(Inputs!$B$23+0+(IF(ArtifactsInput!$M$15,CHOOSE(ArtifactsInput!$N$15+1,25,30,35,40,45,50)/100*(Inputs!$B$11-Inputs!$B$11),0))))/100+(Inputs!$B$23+0+(IF(ArtifactsInput!$M$15,CHOOSE(ArtifactsInput!$N$15+1,25,30,35,40,45,50)/100*(Inputs!$B$11-Inputs!$B$11),0)))/100)/2</f>
        <v/>
      </c>
      <c r="M120">
        <f>L120*(1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IF(B146=0,0,O120/B146)</f>
        <v/>
      </c>
      <c r="Q120">
        <f>IFERROR(1/(IF(Inputs!$B$38="pvp",15,MAX(0.1,Skills!D10-IF(Skills!E10=TRUE,Inputs!$B$32,0)))*(1-IF(AND(ArtifactsInput!$M$27,Inputs!$B$4="Chapter Hunt"),CHOOSE(ArtifactsInput!$N$27+1,20,24,28,32,36,40),0)/100)),0)</f>
        <v/>
      </c>
      <c r="R120">
        <f>IF(AND(Inputs!$B$38&lt;&gt;"pvp",Inputs!$B$43&gt;0),IF(MAX(0,Inputs!$B$43-B143)&lt;=0,0,(INT(MAX(0,Inputs!$B$43-B143)/(IF(Inputs!$B$38="pvp",15,MAX(0.1,Skills!D10-IF(Skills!E10=TRUE,Inputs!$B$32,0)))*(1-IF(AND(ArtifactsInput!$M$27,Inputs!$B$4="Chapter Hunt"),CHOOSE(ArtifactsInput!$N$27+1,20,24,28,32,36,40),0)/100)))+1)),0)</f>
        <v/>
      </c>
      <c r="S120">
        <f>IFERROR(O120/N120,0)</f>
        <v/>
      </c>
      <c r="T120">
        <f>IF(C120,(H120*N120*IF(AND(Inputs!$B$38&lt;&gt;"pvp",Inputs!$B$43&gt;0),((Skills!G10*((R120-1)*IF(Skills!H10&gt;0,Skills!I10/Skills!H10,1)+IF(Skills!H10&gt;0,MIN(Skills!I10,MAX(0,MAX(0,Inputs!$B$43-B143)-((R120-1)*(IF(Inputs!$B$38="pvp",15,MAX(0.1,Skills!D10-IF(Skills!E10=TRUE,Inputs!$B$32,0)))*(1-IF(AND(ArtifactsInput!$M$27,Inputs!$B$4="Chapter Hunt"),CHOOSE(ArtifactsInput!$N$27+1,20,24,28,32,36,40),0)/100)))))/Skills!H10,1)))/Inputs!$B$43),G120*Q120)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
        <f>IF(C120,(H120*N120*IF(AND(Inputs!$B$38&lt;&gt;"pvp",Inputs!$B$43&gt;0),((Skills!G10*((R120-1)*IF(Skills!H10&gt;0,Skills!I10/Skills!H10,1)+IF(Skills!H10&gt;0,MIN(Skills!I10,MAX(0,MAX(0,Inputs!$B$43-B143)-((R120-1)*(IF(Inputs!$B$38="pvp",15,MAX(0.1,Skills!D10-IF(Skills!E10=TRUE,Inputs!$B$32,0)))*(1-IF(AND(ArtifactsInput!$M$27,Inputs!$B$4="Chapter Hunt"),CHOOSE(ArtifactsInput!$N$27+1,20,24,28,32,36,40),0)/100)))))/Skills!H10,1)))/Inputs!$B$43),G120*Q120))*IF(Inputs!$B$38="pvp",1,(1+(Inputs!$B$21+Skills!Q10+(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Skills!A11</f>
        <v/>
      </c>
      <c r="B121">
        <f>Skills!B11</f>
        <v/>
      </c>
      <c r="C121">
        <f>Inputs!$B$3&gt;=113</f>
        <v/>
      </c>
      <c r="D121">
        <f>IF(Skills!C11=1,60+Inputs!$B$25+Inputs!$B$29,IF(Skills!C11=2,90+Inputs!$B$26+Inputs!$B$29,IF(Skills!C11=3,120+Inputs!$B$27+Inputs!$B$29,MAX(0,(Inputs!$B$3-100)*3)+Inputs!$B$28+Inputs!$B$29)))</f>
        <v/>
      </c>
      <c r="E121">
        <f>INDEX(FactorTable!$B$2:$Y$301, MATCH(ROUND(MIN(300,MAX(1,D121)),0), FactorTable!$A$2:$A$301,0), Skills!M11+1)</f>
        <v/>
      </c>
      <c r="F121">
        <f>IF(Skills!N11=TRUE,(Skills!L11/10)*(E121/1000),Skills!L11/10)+Skills!O11</f>
        <v/>
      </c>
      <c r="G121">
        <f>Skills!G11*IF(Skills!H11&gt;0,Skills!I11/Skills!H11,1)</f>
        <v/>
      </c>
      <c r="H121">
        <f>1-(1-Skills!J11/100)^Skills!K11</f>
        <v/>
      </c>
      <c r="I121" t="inlineStr">
        <is>
          <t>1</t>
        </is>
      </c>
      <c r="J121">
        <f>((Inputs!$B$6*(1+Inputs!$B$7/100))+(((Inputs!$B$12*(1+(Inputs!$B$13+1)/100))-(Inputs!$B$12*(1+Inputs!$B$13/100)))+0.25*(Inputs!$B$14-Inputs!$B$14))*(1+Inputs!$B$7/100))*(F121/100)</f>
        <v/>
      </c>
      <c r="K121">
        <f>J121*(1+((Inputs!$B$12*(1+(Inputs!$B$13+1)/100))*0.01+Inputs!$B$14*0.0025)/100)*(1+Inputs!$B$15/100)*(1+Inputs!$B$16/100)*(5000/(6000+Inputs!$B$42*(1-(100*(1-(1-(Inputs!$B$19+0)/100)*(1-CHOOSE(ArtifactsInput!$N$40+1,5,6,7,8,9,10)/100)^(ArtifactsInput!$M$40-ArtifactsInput!$M$40)))/100)))*(1+(Inputs!$B$24+((C132=TRUE)*(F132-Calc!F22))+B142)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131=TRUE)*(F131-Calc!F21))+(((IF(AND(ArtifactsInput!$M$42,((Inputs!$B$9+((C126=TRUE)*(F126-Calc!F16))+B136+(ArtifactsInput!$M$24-ArtifactsInput!$M$24)*CHOOSE(ArtifactsInput!$N$24+1,10,12,14,16,18,20)+IF(ArtifactsInput!$M$10,CHOOSE(ArtifactsInput!$N$10+1,15,18,21,24,27,30)*(IF(Inputs!$B$38="pvp",MIN(15,15)/15,IF(AND(Inputs!$B$38&lt;&gt;"pvp",Inputs!$B$43&gt;0),MIN(15,Inputs!$B$43)/(Inputs!$B$43),0))),0)))&gt;=100),MIN(100,((Inputs!$B$9+((C126=TRUE)*(F126-Calc!F16))+B136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126=TRUE)*(F126-Calc!F16))+B136+(ArtifactsInput!$M$24-ArtifactsInput!$M$24)*CHOOSE(ArtifactsInput!$N$24+1,10,12,14,16,18,20)+IF(ArtifactsInput!$M$10,CHOOSE(ArtifactsInput!$N$10+1,15,18,21,24,27,30)*(IF(Inputs!$B$38="pvp",MIN(15,15)/15,IF(AND(Inputs!$B$38&lt;&gt;"pvp",Inputs!$B$43&gt;0),MIN(15,Inputs!$B$43)/(Inputs!$B$43),0))),0)))&gt;=100),CHOOSE(ArtifactsInput!$N$42+1,40,48,56,64,72,80),0))))/100)*((1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f>
        <v/>
      </c>
      <c r="L121">
        <f>K121*(MIN(Inputs!$B$22+((C130=TRUE)*(F130-Calc!F20)),(Inputs!$B$23+0+(IF(ArtifactsInput!$M$15,CHOOSE(ArtifactsInput!$N$15+1,25,30,35,40,45,50)/100*(Inputs!$B$11-Inputs!$B$11),0))))/100+(Inputs!$B$23+0+(IF(ArtifactsInput!$M$15,CHOOSE(ArtifactsInput!$N$15+1,25,30,35,40,45,50)/100*(Inputs!$B$11-Inputs!$B$11),0)))/100)/2</f>
        <v/>
      </c>
      <c r="M121">
        <f>L121*(1+(Inputs!$B$10+0+B141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
        <f>L121*(1-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MIN((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
        <f>(1-Summary!$B$11)*T121+Summary!$B$11*V121</f>
        <v/>
      </c>
      <c r="P121">
        <f>IF(B146=0,0,O121/B146)</f>
        <v/>
      </c>
      <c r="Q121">
        <f>IFERROR(1/(IF(Inputs!$B$38="pvp",15,MAX(0.1,Skills!D11-IF(Skills!E11=TRUE,Inputs!$B$32,0)))*(1-IF(AND(ArtifactsInput!$M$27,Inputs!$B$4="Chapter Hunt"),CHOOSE(ArtifactsInput!$N$27+1,20,24,28,32,36,40),0)/100)),0)</f>
        <v/>
      </c>
      <c r="R121">
        <f>IF(AND(Inputs!$B$38&lt;&gt;"pvp",Inputs!$B$43&gt;0),IF(MAX(0,Inputs!$B$43-B143)&lt;=0,0,(INT(MAX(0,Inputs!$B$43-B143)/(IF(Inputs!$B$38="pvp",15,MAX(0.1,Skills!D11-IF(Skills!E11=TRUE,Inputs!$B$32,0)))*(1-IF(AND(ArtifactsInput!$M$27,Inputs!$B$4="Chapter Hunt"),CHOOSE(ArtifactsInput!$N$27+1,20,24,28,32,36,40),0)/100)))+1)),0)</f>
        <v/>
      </c>
      <c r="S121">
        <f>IFERROR(O121/N121,0)</f>
        <v/>
      </c>
      <c r="T121">
        <f>IF(C121,(H121*N121*IF(AND(Inputs!$B$38&lt;&gt;"pvp",Inputs!$B$43&gt;0),((Skills!G11*((R121-1)*IF(Skills!H11&gt;0,Skills!I11/Skills!H11,1)+IF(Skills!H11&gt;0,MIN(Skills!I11,MAX(0,MAX(0,Inputs!$B$43-B143)-((R121-1)*(IF(Inputs!$B$38="pvp",15,MAX(0.1,Skills!D11-IF(Skills!E11=TRUE,Inputs!$B$32,0)))*(1-IF(AND(ArtifactsInput!$M$27,Inputs!$B$4="Chapter Hunt"),CHOOSE(ArtifactsInput!$N$27+1,20,24,28,32,36,40),0)/100)))))/Skills!H11,1)))/Inputs!$B$43),G121*Q121)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121*(1-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MIN(100,(Inputs!$B$9+((C126=TRUE)*(F126-Calc!F16))+B136+(ArtifactsInput!$M$24-ArtifactsInput!$M$24)*CHOOSE(ArtifactsInput!$N$24+1,10,12,14,16,18,20)+(IF(AND(ArtifactsInput!$M$42,((Inputs!$B$9+((C126=TRUE)*(F126-Calc!F16))+B136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
        <f>IF(C121,(H121*N121*IF(AND(Inputs!$B$38&lt;&gt;"pvp",Inputs!$B$43&gt;0),((Skills!G11*((R121-1)*IF(Skills!H11&gt;0,Skills!I11/Skills!H11,1)+IF(Skills!H11&gt;0,MIN(Skills!I11,MAX(0,MAX(0,Inputs!$B$43-B143)-((R121-1)*(IF(Inputs!$B$38="pvp",15,MAX(0.1,Skills!D11-IF(Skills!E11=TRUE,Inputs!$B$32,0)))*(1-IF(AND(ArtifactsInput!$M$27,Inputs!$B$4="Chapter Hunt"),CHOOSE(ArtifactsInput!$N$27+1,20,24,28,32,36,40),0)/100)))))/Skills!H11,1)))/Inputs!$B$43),G121*Q121))*IF(Inputs!$B$38="pvp",1,(1+(Inputs!$B$21+Skills!Q11+(IF(ArtifactsInput!$M$33,CHOOSE(ArtifactsInput!$N$33+1,30,36,42,48,54,60),0))+(IF(AND(ArtifactsInput!$M$35,Inputs!$B$4&lt;&gt;"Chapter Hunt"),CHOOSE(ArtifactsInput!$N$35+1,15,18,21,24,27,30)*(1-EXP(-(0.2*B138)*5)),0)+IF(AND(ArtifactsInput!$M$22,Inputs!$B$4&lt;&gt;"Chapter Hunt"),CHOOSE(ArtifactsInput!$N$22+1,10,12,14,16,18,20)*((0*(((0.15*B138*5))^0/1)+1*(((0.15*B138*5))^1/1)+2*(((0.15*B138*5))^2/2)+3*(((0.15*B138*5))^3/6)+4*(((0.15*B138*5))^4/24)+5*(((0.15*B138*5))^5/120))/((((0.15*B138*5))^0/1)+(((0.15*B138*5))^1/1)+(((0.15*B138*5))^2/2)+(((0.15*B138*5))^3/6)+(((0.15*B138*5))^4/24)+(((0.15*B138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2">
      <c r="A122">
        <f>Skills!A12</f>
        <v/>
      </c>
      <c r="B122">
        <f>Skills!B12</f>
        <v/>
      </c>
      <c r="C122">
        <f>Inputs!$B$3&gt;=100</f>
        <v/>
      </c>
      <c r="D122">
        <f>IF(Skills!C12=1,60+Inputs!$B$25+Inputs!$B$29,IF(Skills!C12=2,90+Inputs!$B$26+Inputs!$B$29,IF(Skills!C12=3,120+Inputs!$B$27+Inputs!$B$29,MAX(0,(Inputs!$B$3-100)*3)+Inputs!$B$28+Inputs!$B$29)))</f>
        <v/>
      </c>
      <c r="E122">
        <f>INDEX(FactorTable!$B$2:$Y$301, MATCH(ROUND(MIN(300,MAX(1,D122)),0), FactorTable!$A$2:$A$301,0), Skills!M12+1)</f>
        <v/>
      </c>
      <c r="F122">
        <f>IF(Skills!N12=TRUE,(Skills!L12/10)*(E122/1000),Skills!L12/10)+Skills!O12</f>
        <v/>
      </c>
      <c r="G122" t="inlineStr"/>
      <c r="H122" t="inlineStr"/>
      <c r="I122" t="inlineStr">
        <is>
          <t>1</t>
        </is>
      </c>
      <c r="J122" t="inlineStr"/>
      <c r="K122" t="inlineStr"/>
      <c r="L122" t="inlineStr"/>
      <c r="M122" t="inlineStr"/>
      <c r="N122" t="inlineStr"/>
      <c r="O122" t="inlineStr"/>
      <c r="P122" t="inlineStr"/>
      <c r="Q122" t="inlineStr"/>
      <c r="R122" t="inlineStr"/>
      <c r="S122" t="inlineStr"/>
      <c r="T122" t="inlineStr"/>
      <c r="V122" t="inlineStr"/>
    </row>
    <row r="123">
      <c r="A123">
        <f>Skills!A13</f>
        <v/>
      </c>
      <c r="B123">
        <f>Skills!B13</f>
        <v/>
      </c>
      <c r="C123">
        <f>Inputs!$B$3&gt;=66</f>
        <v/>
      </c>
      <c r="D123">
        <f>IF(Skills!C13=1,60+Inputs!$B$25+Inputs!$B$29,IF(Skills!C13=2,90+Inputs!$B$26+Inputs!$B$29,IF(Skills!C13=3,120+Inputs!$B$27+Inputs!$B$29,MAX(0,(Inputs!$B$3-100)*3)+Inputs!$B$28+Inputs!$B$29)))</f>
        <v/>
      </c>
      <c r="E123">
        <f>INDEX(FactorTable!$B$2:$Y$301, MATCH(ROUND(MIN(300,MAX(1,D123)),0), FactorTable!$A$2:$A$301,0), Skills!M13+1)</f>
        <v/>
      </c>
      <c r="F123">
        <f>IF(Skills!N13=TRUE,(Skills!L13/10)*(E123/1000),Skills!L13/10)+Skills!O13</f>
        <v/>
      </c>
      <c r="G123">
        <f>Skills!G13*IF(Skills!H13&gt;0,Skills!I13/Skills!H13,1)</f>
        <v/>
      </c>
      <c r="H123">
        <f>1-(1-Skills!J13/100)^Skills!K13</f>
        <v/>
      </c>
      <c r="I123" t="inlineStr">
        <is>
          <t>1</t>
        </is>
      </c>
      <c r="J123" t="inlineStr"/>
      <c r="K123" t="inlineStr"/>
      <c r="L123" t="inlineStr"/>
      <c r="M123" t="inlineStr"/>
      <c r="N123" t="inlineStr"/>
      <c r="O123">
        <f>(1-Summary!$B$11)*T123+Summary!$B$11*V123</f>
        <v/>
      </c>
      <c r="P123">
        <f>IF(B146=0,0,O123/B146)</f>
        <v/>
      </c>
      <c r="Q123" t="n">
        <v>0</v>
      </c>
      <c r="R123" t="n">
        <v>0</v>
      </c>
      <c r="S123">
        <f>IFERROR(O123/N123,0)</f>
        <v/>
      </c>
      <c r="T123" t="n">
        <v>0</v>
      </c>
      <c r="V123" t="n">
        <v>0</v>
      </c>
    </row>
    <row r="124">
      <c r="A124">
        <f>Skills!A14</f>
        <v/>
      </c>
      <c r="B124">
        <f>Skills!B14</f>
        <v/>
      </c>
      <c r="C124">
        <f>Inputs!$B$3&gt;=107</f>
        <v/>
      </c>
      <c r="D124">
        <f>IF(Skills!C14=1,60+Inputs!$B$25+Inputs!$B$29,IF(Skills!C14=2,90+Inputs!$B$26+Inputs!$B$29,IF(Skills!C14=3,120+Inputs!$B$27+Inputs!$B$29,MAX(0,(Inputs!$B$3-100)*3)+Inputs!$B$28+Inputs!$B$29)))</f>
        <v/>
      </c>
      <c r="E124">
        <f>INDEX(FactorTable!$B$2:$Y$301, MATCH(ROUND(MIN(300,MAX(1,D124)),0), FactorTable!$A$2:$A$301,0), Skills!M14+1)</f>
        <v/>
      </c>
      <c r="F124">
        <f>IF(Skills!N14=TRUE,(Skills!L14/10)*(E124/1000),Skills!L14/10)+Skills!O14</f>
        <v/>
      </c>
      <c r="G124">
        <f>Skills!G14*IF(Skills!H14&gt;0,Skills!I14/Skills!H14,1)</f>
        <v/>
      </c>
      <c r="H124">
        <f>1-(1-Skills!J14/100)^Skills!K14</f>
        <v/>
      </c>
      <c r="I124" t="inlineStr">
        <is>
          <t>1</t>
        </is>
      </c>
      <c r="J124" t="inlineStr"/>
      <c r="K124" t="inlineStr"/>
      <c r="L124" t="inlineStr"/>
      <c r="M124" t="inlineStr"/>
      <c r="N124" t="inlineStr"/>
      <c r="O124">
        <f>(1-Summary!$B$11)*T124+Summary!$B$11*V124</f>
        <v/>
      </c>
      <c r="P124">
        <f>IF(B146=0,0,O124/B146)</f>
        <v/>
      </c>
      <c r="Q124">
        <f>IFERROR(1/(IF(Inputs!$B$38="pvp",15,MAX(0.1,Skills!D14-IF(Skills!E14=TRUE,Inputs!$B$32,0)))*(1-IF(AND(ArtifactsInput!$M$27,Inputs!$B$4="Chapter Hunt"),CHOOSE(ArtifactsInput!$N$27+1,20,24,28,32,36,40),0)/100)),0)</f>
        <v/>
      </c>
      <c r="R124">
        <f>IF(AND(Inputs!$B$38&lt;&gt;"pvp",Inputs!$B$43&gt;0),IF(Inputs!$B$43&lt;=0,0,(INT(Inputs!$B$43/(IF(Inputs!$B$38="pvp",15,MAX(0.1,Skills!D14-IF(Skills!E14=TRUE,Inputs!$B$32,0)))*(1-IF(AND(ArtifactsInput!$M$27,Inputs!$B$4="Chapter Hunt"),CHOOSE(ArtifactsInput!$N$27+1,20,24,28,32,36,40),0)/100)))+1)),0)</f>
        <v/>
      </c>
      <c r="S124">
        <f>IFERROR(O124/N124,0)</f>
        <v/>
      </c>
      <c r="T124" t="n">
        <v>0</v>
      </c>
      <c r="V124" t="n">
        <v>0</v>
      </c>
    </row>
    <row r="125">
      <c r="A125">
        <f>Skills!A15</f>
        <v/>
      </c>
      <c r="B125">
        <f>Skills!B15</f>
        <v/>
      </c>
      <c r="C125">
        <f>Inputs!$B$3&gt;=115</f>
        <v/>
      </c>
      <c r="D125">
        <f>IF(Skills!C15=1,60+Inputs!$B$25+Inputs!$B$29,IF(Skills!C15=2,90+Inputs!$B$26+Inputs!$B$29,IF(Skills!C15=3,120+Inputs!$B$27+Inputs!$B$29,MAX(0,(Inputs!$B$3-100)*3)+Inputs!$B$28+Inputs!$B$29)))</f>
        <v/>
      </c>
      <c r="E125">
        <f>INDEX(FactorTable!$B$2:$Y$301, MATCH(ROUND(MIN(300,MAX(1,D125)),0), FactorTable!$A$2:$A$301,0), Skills!M15+1)</f>
        <v/>
      </c>
      <c r="F125">
        <f>IF(Skills!N15=TRUE,(Skills!L15/10)*(E125/1000),Skills!L15/10)+Skills!O15</f>
        <v/>
      </c>
      <c r="G125">
        <f>Skills!G15*IF(Skills!H15&gt;0,Skills!I15/Skills!H15,1)</f>
        <v/>
      </c>
      <c r="H125">
        <f>1-(1-Skills!J15/100)^Skills!K15</f>
        <v/>
      </c>
      <c r="I125" t="inlineStr">
        <is>
          <t>1</t>
        </is>
      </c>
      <c r="J125" t="inlineStr"/>
      <c r="K125" t="inlineStr"/>
      <c r="L125" t="inlineStr"/>
      <c r="M125" t="inlineStr"/>
      <c r="N125" t="inlineStr"/>
      <c r="O125">
        <f>(1-Summary!$B$11)*T125+Summary!$B$11*V125</f>
        <v/>
      </c>
      <c r="P125">
        <f>IF(B146=0,0,O125/B146)</f>
        <v/>
      </c>
      <c r="Q125">
        <f>IFERROR(1/(IF(Inputs!$B$38="pvp",15,MAX(0.1,Skills!D15-IF(Skills!E15=TRUE,Inputs!$B$32,0)))*(1-IF(AND(ArtifactsInput!$M$27,Inputs!$B$4="Chapter Hunt"),CHOOSE(ArtifactsInput!$N$27+1,20,24,28,32,36,40),0)/100)),0)</f>
        <v/>
      </c>
      <c r="R125">
        <f>IF(AND(Inputs!$B$38&lt;&gt;"pvp",Inputs!$B$43&gt;0),IF(Inputs!$B$43&lt;=0,0,(INT(Inputs!$B$43/(IF(Inputs!$B$38="pvp",15,MAX(0.1,Skills!D15-IF(Skills!E15=TRUE,Inputs!$B$32,0)))*(1-IF(AND(ArtifactsInput!$M$27,Inputs!$B$4="Chapter Hunt"),CHOOSE(ArtifactsInput!$N$27+1,20,24,28,32,36,40),0)/100)))+1)),0)</f>
        <v/>
      </c>
      <c r="S125">
        <f>IFERROR(O125/N125,0)</f>
        <v/>
      </c>
      <c r="T125" t="n">
        <v>0</v>
      </c>
      <c r="V125" t="n">
        <v>0</v>
      </c>
    </row>
    <row r="126">
      <c r="A126">
        <f>Skills!A16</f>
        <v/>
      </c>
      <c r="B126">
        <f>Skills!B16</f>
        <v/>
      </c>
      <c r="C126">
        <f>Inputs!$B$3&gt;=15</f>
        <v/>
      </c>
      <c r="D126">
        <f>IF(Skills!C16=1,60+Inputs!$B$25+Inputs!$B$29,IF(Skills!C16=2,90+Inputs!$B$26+Inputs!$B$29,IF(Skills!C16=3,120+Inputs!$B$27+Inputs!$B$29,MAX(0,(Inputs!$B$3-100)*3)+Inputs!$B$28+Inputs!$B$29)))</f>
        <v/>
      </c>
      <c r="E126">
        <f>INDEX(FactorTable!$B$2:$Y$301, MATCH(ROUND(MIN(300,MAX(1,D126)),0), FactorTable!$A$2:$A$301,0), Skills!M16+1)</f>
        <v/>
      </c>
      <c r="F126">
        <f>IF(Skills!N16=TRUE,(Skills!L16/10)*(E126/1000),Skills!L16/10)+Skills!O16</f>
        <v/>
      </c>
      <c r="G126">
        <f>Skills!G16*IF(Skills!H16&gt;0,Skills!I16/Skills!H16,1)</f>
        <v/>
      </c>
      <c r="H126">
        <f>1-(1-Skills!J16/100)^Skills!K16</f>
        <v/>
      </c>
      <c r="I126" t="inlineStr">
        <is>
          <t>1</t>
        </is>
      </c>
      <c r="J126" t="inlineStr"/>
      <c r="K126" t="inlineStr"/>
      <c r="L126" t="inlineStr"/>
      <c r="M126" t="inlineStr"/>
      <c r="N126" t="inlineStr"/>
      <c r="O126">
        <f>(1-Summary!$B$11)*T126+Summary!$B$11*V126</f>
        <v/>
      </c>
      <c r="P126">
        <f>IF(B146=0,0,O126/B146)</f>
        <v/>
      </c>
      <c r="Q126" t="n">
        <v>0</v>
      </c>
      <c r="R126" t="n">
        <v>0</v>
      </c>
      <c r="S126">
        <f>IFERROR(O126/N126,0)</f>
        <v/>
      </c>
      <c r="T126" t="n">
        <v>0</v>
      </c>
      <c r="V126" t="n">
        <v>0</v>
      </c>
    </row>
    <row r="127">
      <c r="A127">
        <f>Skills!A17</f>
        <v/>
      </c>
      <c r="B127">
        <f>Skills!B17</f>
        <v/>
      </c>
      <c r="C127">
        <f>Inputs!$B$3&gt;=10</f>
        <v/>
      </c>
      <c r="D127">
        <f>IF(Skills!C17=1,60+Inputs!$B$25+Inputs!$B$29,IF(Skills!C17=2,90+Inputs!$B$26+Inputs!$B$29,IF(Skills!C17=3,120+Inputs!$B$27+Inputs!$B$29,MAX(0,(Inputs!$B$3-100)*3)+Inputs!$B$28+Inputs!$B$29)))</f>
        <v/>
      </c>
      <c r="E127">
        <f>INDEX(FactorTable!$B$2:$Y$301, MATCH(ROUND(MIN(300,MAX(1,D127)),0), FactorTable!$A$2:$A$301,0), Skills!M17+1)</f>
        <v/>
      </c>
      <c r="F127">
        <f>IF(Skills!N17=TRUE,(Skills!L17/10)*(E127/1000),Skills!L17/10)+Skills!O17</f>
        <v/>
      </c>
      <c r="G127">
        <f>Skills!G17*IF(Skills!H17&gt;0,Skills!I17/Skills!H17,1)</f>
        <v/>
      </c>
      <c r="H127">
        <f>1-(1-Skills!J17/100)^Skills!K17</f>
        <v/>
      </c>
      <c r="I127" t="inlineStr">
        <is>
          <t>1</t>
        </is>
      </c>
      <c r="J127" t="inlineStr"/>
      <c r="K127" t="inlineStr"/>
      <c r="L127" t="inlineStr"/>
      <c r="M127" t="inlineStr"/>
      <c r="N127" t="inlineStr"/>
      <c r="O127">
        <f>(1-Summary!$B$11)*T127+Summary!$B$11*V127</f>
        <v/>
      </c>
      <c r="P127">
        <f>IF(B146=0,0,O127/B146)</f>
        <v/>
      </c>
      <c r="Q127" t="n">
        <v>0</v>
      </c>
      <c r="R127" t="n">
        <v>0</v>
      </c>
      <c r="S127">
        <f>IFERROR(O127/N127,0)</f>
        <v/>
      </c>
      <c r="T127" t="n">
        <v>0</v>
      </c>
      <c r="V127" t="n">
        <v>0</v>
      </c>
    </row>
    <row r="128">
      <c r="A128">
        <f>Skills!A18</f>
        <v/>
      </c>
      <c r="B128">
        <f>Skills!B18</f>
        <v/>
      </c>
      <c r="C128">
        <f>Inputs!$B$3&gt;=33</f>
        <v/>
      </c>
      <c r="D128">
        <f>IF(Skills!C18=1,60+Inputs!$B$25+Inputs!$B$29,IF(Skills!C18=2,90+Inputs!$B$26+Inputs!$B$29,IF(Skills!C18=3,120+Inputs!$B$27+Inputs!$B$29,MAX(0,(Inputs!$B$3-100)*3)+Inputs!$B$28+Inputs!$B$29)))</f>
        <v/>
      </c>
      <c r="E128">
        <f>INDEX(FactorTable!$B$2:$Y$301, MATCH(ROUND(MIN(300,MAX(1,D128)),0), FactorTable!$A$2:$A$301,0), Skills!M18+1)</f>
        <v/>
      </c>
      <c r="F128">
        <f>IF(Skills!N18=TRUE,(Skills!L18/10)*(E128/1000),Skills!L18/10)+Skills!O18</f>
        <v/>
      </c>
      <c r="G128">
        <f>Skills!G18*IF(Skills!H18&gt;0,Skills!I18/Skills!H18,1)</f>
        <v/>
      </c>
      <c r="H128">
        <f>1-(1-Skills!J18/100)^Skills!K18</f>
        <v/>
      </c>
      <c r="I128" t="inlineStr">
        <is>
          <t>1</t>
        </is>
      </c>
      <c r="J128" t="inlineStr"/>
      <c r="K128" t="inlineStr"/>
      <c r="L128" t="inlineStr"/>
      <c r="M128" t="inlineStr"/>
      <c r="N128" t="inlineStr"/>
      <c r="O128">
        <f>(1-Summary!$B$11)*T128+Summary!$B$11*V128</f>
        <v/>
      </c>
      <c r="P128">
        <f>IF(B146=0,0,O128/B146)</f>
        <v/>
      </c>
      <c r="Q128" t="n">
        <v>0</v>
      </c>
      <c r="R128" t="n">
        <v>0</v>
      </c>
      <c r="S128">
        <f>IFERROR(O128/N128,0)</f>
        <v/>
      </c>
      <c r="T128" t="n">
        <v>0</v>
      </c>
      <c r="V128" t="n">
        <v>0</v>
      </c>
    </row>
    <row r="129">
      <c r="A129">
        <f>Skills!A19</f>
        <v/>
      </c>
      <c r="B129">
        <f>Skills!B19</f>
        <v/>
      </c>
      <c r="C129">
        <f>Inputs!$B$3&gt;=40</f>
        <v/>
      </c>
      <c r="D129">
        <f>IF(Skills!C19=1,60+Inputs!$B$25+Inputs!$B$29,IF(Skills!C19=2,90+Inputs!$B$26+Inputs!$B$29,IF(Skills!C19=3,120+Inputs!$B$27+Inputs!$B$29,MAX(0,(Inputs!$B$3-100)*3)+Inputs!$B$28+Inputs!$B$29)))</f>
        <v/>
      </c>
      <c r="E129">
        <f>INDEX(FactorTable!$B$2:$Y$301, MATCH(ROUND(MIN(300,MAX(1,D129)),0), FactorTable!$A$2:$A$301,0), Skills!M19+1)</f>
        <v/>
      </c>
      <c r="F129">
        <f>IF(Skills!N19=TRUE,(Skills!L19/10)*(E129/1000),Skills!L19/10)+Skills!O19</f>
        <v/>
      </c>
      <c r="G129">
        <f>Skills!G19*IF(Skills!H19&gt;0,Skills!I19/Skills!H19,1)</f>
        <v/>
      </c>
      <c r="H129">
        <f>1-(1-Skills!J19/100)^Skills!K19</f>
        <v/>
      </c>
      <c r="I129" t="inlineStr">
        <is>
          <t>1</t>
        </is>
      </c>
      <c r="J129" t="inlineStr"/>
      <c r="K129" t="inlineStr"/>
      <c r="L129" t="inlineStr"/>
      <c r="M129" t="inlineStr"/>
      <c r="N129" t="inlineStr"/>
      <c r="O129">
        <f>(1-Summary!$B$11)*T129+Summary!$B$11*V129</f>
        <v/>
      </c>
      <c r="P129">
        <f>IF(B146=0,0,O129/B146)</f>
        <v/>
      </c>
      <c r="Q129" t="n">
        <v>0</v>
      </c>
      <c r="R129" t="n">
        <v>0</v>
      </c>
      <c r="S129">
        <f>IFERROR(O129/N129,0)</f>
        <v/>
      </c>
      <c r="T129" t="n">
        <v>0</v>
      </c>
      <c r="V129" t="n">
        <v>0</v>
      </c>
    </row>
    <row r="130">
      <c r="A130">
        <f>Skills!A20</f>
        <v/>
      </c>
      <c r="B130">
        <f>Skills!B20</f>
        <v/>
      </c>
      <c r="C130">
        <f>Inputs!$B$3&gt;=43</f>
        <v/>
      </c>
      <c r="D130">
        <f>IF(Skills!C20=1,60+Inputs!$B$25+Inputs!$B$29,IF(Skills!C20=2,90+Inputs!$B$26+Inputs!$B$29,IF(Skills!C20=3,120+Inputs!$B$27+Inputs!$B$29,MAX(0,(Inputs!$B$3-100)*3)+Inputs!$B$28+Inputs!$B$29)))</f>
        <v/>
      </c>
      <c r="E130">
        <f>INDEX(FactorTable!$B$2:$Y$301, MATCH(ROUND(MIN(300,MAX(1,D130)),0), FactorTable!$A$2:$A$301,0), Skills!M20+1)</f>
        <v/>
      </c>
      <c r="F130">
        <f>IF(Skills!N20=TRUE,(Skills!L20/10)*(E130/1000),Skills!L20/10)+Skills!O20</f>
        <v/>
      </c>
      <c r="G130">
        <f>Skills!G20*IF(Skills!H20&gt;0,Skills!I20/Skills!H20,1)</f>
        <v/>
      </c>
      <c r="H130">
        <f>1-(1-Skills!J20/100)^Skills!K20</f>
        <v/>
      </c>
      <c r="I130" t="inlineStr">
        <is>
          <t>1</t>
        </is>
      </c>
      <c r="J130" t="inlineStr"/>
      <c r="K130" t="inlineStr"/>
      <c r="L130" t="inlineStr"/>
      <c r="M130" t="inlineStr"/>
      <c r="N130" t="inlineStr"/>
      <c r="O130">
        <f>(1-Summary!$B$11)*T130+Summary!$B$11*V130</f>
        <v/>
      </c>
      <c r="P130">
        <f>IF(B146=0,0,O130/B146)</f>
        <v/>
      </c>
      <c r="Q130" t="n">
        <v>0</v>
      </c>
      <c r="R130" t="n">
        <v>0</v>
      </c>
      <c r="S130">
        <f>IFERROR(O130/N130,0)</f>
        <v/>
      </c>
      <c r="T130" t="n">
        <v>0</v>
      </c>
      <c r="V130" t="n">
        <v>0</v>
      </c>
    </row>
    <row r="131">
      <c r="A131">
        <f>Skills!A21</f>
        <v/>
      </c>
      <c r="B131">
        <f>Skills!B21</f>
        <v/>
      </c>
      <c r="C131">
        <f>Inputs!$B$3&gt;=38</f>
        <v/>
      </c>
      <c r="D131">
        <f>IF(Skills!C21=1,60+Inputs!$B$25+Inputs!$B$29,IF(Skills!C21=2,90+Inputs!$B$26+Inputs!$B$29,IF(Skills!C21=3,120+Inputs!$B$27+Inputs!$B$29,MAX(0,(Inputs!$B$3-100)*3)+Inputs!$B$28+Inputs!$B$29)))</f>
        <v/>
      </c>
      <c r="E131">
        <f>INDEX(FactorTable!$B$2:$Y$301, MATCH(ROUND(MIN(300,MAX(1,D131)),0), FactorTable!$A$2:$A$301,0), Skills!M21+1)</f>
        <v/>
      </c>
      <c r="F131">
        <f>IF(Skills!N21=TRUE,(Skills!L21/10)*(E131/1000),Skills!L21/10)+Skills!O21</f>
        <v/>
      </c>
      <c r="G131">
        <f>Skills!G21*IF(Skills!H21&gt;0,Skills!I21/Skills!H21,1)</f>
        <v/>
      </c>
      <c r="H131">
        <f>1-(1-Skills!J21/100)^Skills!K21</f>
        <v/>
      </c>
      <c r="I131" t="inlineStr">
        <is>
          <t>1</t>
        </is>
      </c>
      <c r="J131" t="inlineStr"/>
      <c r="K131" t="inlineStr"/>
      <c r="L131" t="inlineStr"/>
      <c r="M131" t="inlineStr"/>
      <c r="N131" t="inlineStr"/>
      <c r="O131">
        <f>(1-Summary!$B$11)*T131+Summary!$B$11*V131</f>
        <v/>
      </c>
      <c r="P131">
        <f>IF(B146=0,0,O131/B146)</f>
        <v/>
      </c>
      <c r="Q131" t="n">
        <v>0</v>
      </c>
      <c r="R131" t="n">
        <v>0</v>
      </c>
      <c r="S131">
        <f>IFERROR(O131/N131,0)</f>
        <v/>
      </c>
      <c r="T131" t="n">
        <v>0</v>
      </c>
      <c r="V131" t="n">
        <v>0</v>
      </c>
    </row>
    <row r="132">
      <c r="A132">
        <f>Skills!A22</f>
        <v/>
      </c>
      <c r="B132">
        <f>Skills!B22</f>
        <v/>
      </c>
      <c r="C132">
        <f>Inputs!$B$3&gt;=75</f>
        <v/>
      </c>
      <c r="D132">
        <f>IF(Skills!C22=1,60+Inputs!$B$25+Inputs!$B$29,IF(Skills!C22=2,90+Inputs!$B$26+Inputs!$B$29,IF(Skills!C22=3,120+Inputs!$B$27+Inputs!$B$29,MAX(0,(Inputs!$B$3-100)*3)+Inputs!$B$28+Inputs!$B$29)))</f>
        <v/>
      </c>
      <c r="E132">
        <f>INDEX(FactorTable!$B$2:$Y$301, MATCH(ROUND(MIN(300,MAX(1,D132)),0), FactorTable!$A$2:$A$301,0), Skills!M22+1)</f>
        <v/>
      </c>
      <c r="F132">
        <f>IF(Skills!N22=TRUE,(Skills!L22/10)*(E132/1000),Skills!L22/10)+Skills!O22</f>
        <v/>
      </c>
      <c r="G132">
        <f>Skills!G22*IF(Skills!H22&gt;0,Skills!I22/Skills!H22,1)</f>
        <v/>
      </c>
      <c r="H132">
        <f>1-(1-Skills!J22/100)^Skills!K22</f>
        <v/>
      </c>
      <c r="I132" t="inlineStr">
        <is>
          <t>1</t>
        </is>
      </c>
      <c r="J132" t="inlineStr"/>
      <c r="K132" t="inlineStr"/>
      <c r="L132" t="inlineStr"/>
      <c r="M132" t="inlineStr"/>
      <c r="N132" t="inlineStr"/>
      <c r="O132">
        <f>(1-Summary!$B$11)*T132+Summary!$B$11*V132</f>
        <v/>
      </c>
      <c r="P132">
        <f>IF(B146=0,0,O132/B146)</f>
        <v/>
      </c>
      <c r="Q132" t="n">
        <v>0</v>
      </c>
      <c r="R132" t="n">
        <v>0</v>
      </c>
      <c r="S132">
        <f>IFERROR(O132/N132,0)</f>
        <v/>
      </c>
      <c r="T132" t="n">
        <v>0</v>
      </c>
      <c r="V132" t="n">
        <v>0</v>
      </c>
    </row>
    <row r="133">
      <c r="A133">
        <f>Skills!A23</f>
        <v/>
      </c>
      <c r="B133">
        <f>Skills!B23</f>
        <v/>
      </c>
      <c r="C133">
        <f>TRUE</f>
        <v/>
      </c>
      <c r="D133">
        <f>IF(Skills!C23=1,60+Inputs!$B$25+Inputs!$B$29,IF(Skills!C23=2,90+Inputs!$B$26+Inputs!$B$29,IF(Skills!C23=3,120+Inputs!$B$27+Inputs!$B$29,MAX(0,(Inputs!$B$3-100)*3)+Inputs!$B$28+Inputs!$B$29)))</f>
        <v/>
      </c>
      <c r="E133">
        <f>INDEX(FactorTable!$B$2:$Y$301, MATCH(ROUND(MIN(300,MAX(1,D133)),0), FactorTable!$A$2:$A$301,0), Skills!M23+1)</f>
        <v/>
      </c>
      <c r="F133">
        <f>IF(Skills!N23=TRUE,(Skills!L23/10)*(E133/1000),Skills!L23/10)+Skills!O23</f>
        <v/>
      </c>
      <c r="G133">
        <f>Skills!G23*IF(Skills!H23&gt;0,Skills!I23/Skills!H23,1)</f>
        <v/>
      </c>
      <c r="H133">
        <f>1-(1-Skills!J23/100)^Skills!K23</f>
        <v/>
      </c>
      <c r="I133" t="inlineStr">
        <is>
          <t>1</t>
        </is>
      </c>
      <c r="J133" t="inlineStr"/>
      <c r="K133" t="inlineStr"/>
      <c r="L133" t="inlineStr"/>
      <c r="M133" t="inlineStr"/>
      <c r="N133" t="inlineStr"/>
      <c r="O133">
        <f>(1-Summary!$B$11)*T133+Summary!$B$11*V133</f>
        <v/>
      </c>
      <c r="P133">
        <f>IF(B146=0,0,O133/B146)</f>
        <v/>
      </c>
      <c r="Q133">
        <f>IFERROR(1/(IF(Inputs!$B$38="pvp",15,MAX(0.1,Skills!D23-IF(Skills!E23=TRUE,Inputs!$B$32,0)))*(1-IF(AND(ArtifactsInput!$M$27,Inputs!$B$4="Chapter Hunt"),CHOOSE(ArtifactsInput!$N$27+1,20,24,28,32,36,40),0)/100)),0)</f>
        <v/>
      </c>
      <c r="R133">
        <f>IF(AND(Inputs!$B$38&lt;&gt;"pvp",Inputs!$B$43&gt;0),IF(Inputs!$B$43&lt;=0,0,(INT(Inputs!$B$43/(IF(Inputs!$B$38="pvp",15,MAX(0.1,Skills!D23-IF(Skills!E23=TRUE,Inputs!$B$32,0)))*(1-IF(AND(ArtifactsInput!$M$27,Inputs!$B$4="Chapter Hunt"),CHOOSE(ArtifactsInput!$N$27+1,20,24,28,32,36,40),0)/100)))+1)),0)</f>
        <v/>
      </c>
      <c r="S133">
        <f>IFERROR(O133/N133,0)</f>
        <v/>
      </c>
      <c r="T133" t="n">
        <v>0</v>
      </c>
      <c r="V133" t="n">
        <v>0</v>
      </c>
    </row>
    <row r="135">
      <c r="A135" t="inlineStr">
        <is>
          <t>Attack% Bucket Multiplier</t>
        </is>
      </c>
      <c r="B135">
        <f>(1+(((C123=TRUE)*F123*5/7)+((C129=TRUE)*(F129-Calc!F19))+(IF(ArtifactsInput!$M$21,CHOOSE(ArtifactsInput!$N$21+1,25,30,35,40,45,50)*(IF(OR(Inputs!$B$4="Chapter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
      <c r="A136" t="inlineStr">
        <is>
          <t>Global Crit Rate Bonus %</t>
        </is>
      </c>
      <c r="B136" t="n">
        <v>0</v>
      </c>
    </row>
    <row r="137">
      <c r="A137" t="inlineStr">
        <is>
          <t>Attack Speed Buff Bonus % (Nimble Feet, duty-cycle averaged)</t>
        </is>
      </c>
      <c r="B137">
        <f>((C133=TRUE)*F133*IF(AND(Inputs!$B$38&lt;&gt;"pvp",Inputs!$B$43&gt;0),(((R133-1)*(Skills!T23*(1+Inputs!$B$34/100))+MIN((Skills!T23*(1+Inputs!$B$34/100)),MAX(0,Inputs!$B$43-((R133-1)*Skills!D23))))/Inputs!$B$43),IF(Inputs!$B$38="pvp",MIN((Skills!T23*(1+Inputs!$B$34/100)),15)/15,(Skills!T23*(1+Inputs!$B$34/100))/Skills!D23)))</f>
        <v/>
      </c>
    </row>
    <row r="138">
      <c r="A138" t="inlineStr">
        <is>
          <t>Actions Per Second</t>
        </is>
      </c>
      <c r="B138">
        <f>1+MIN(150,150*(1-(1-(Inputs!$B$11+((C127=TRUE)*(F127-Calc!F17))+((C128=TRUE)*(F128-Calc!F18)))/150)*(1-B137/150)))/100</f>
        <v/>
      </c>
    </row>
    <row r="139">
      <c r="A139" t="inlineStr">
        <is>
          <t>Skill + Buff Cast Rate</t>
        </is>
      </c>
      <c r="B139">
        <f>IF(AND(Inputs!$B$38&lt;&gt;"pvp",Inputs!$B$43&gt;0),SUMPRODUCT((Skills!E2:E23=TRUE)*(C112:C133=TRUE)*R112:R133*Skills!F2:F23)/Inputs!$B$43,SUMPRODUCT((Skills!E2:E23=TRUE)*(C112:C133=TRUE)*Q112:Q133*Skills!F2:F23))</f>
        <v/>
      </c>
    </row>
    <row r="140">
      <c r="A140" t="inlineStr">
        <is>
          <t>Hook Bomber Casts Per Second</t>
        </is>
      </c>
      <c r="B140">
        <f>MAX(0,B138-B139)</f>
        <v/>
      </c>
    </row>
    <row r="141">
      <c r="A141" t="inlineStr">
        <is>
          <t>Global Critical Damage Bonus % (unused)</t>
        </is>
      </c>
      <c r="B141" t="n">
        <v>0</v>
      </c>
    </row>
    <row r="142">
      <c r="A142" t="inlineStr">
        <is>
          <t>Global Final Damage Bonus % (Serpent Scale + Crossbones + Time Leap + Speed Infusion)</t>
        </is>
      </c>
      <c r="B142">
        <f>((C115=TRUE)*F115*((10+IF(Inputs!$B$3&gt;=94,5,0))/((10+IF(Inputs!$B$3&gt;=94,5,0))+5/(B140*(1+IF(Inputs!$B$3&gt;=104,1,0))))))+((C124=TRUE)*F124*IF(AND(Inputs!$B$38&lt;&gt;"pvp",Inputs!$B$43&gt;0),(((R124-1)*(Skills!T14*(1+Inputs!$B$34/100))+MIN((Skills!T14*(1+Inputs!$B$34/100)),MAX(0,Inputs!$B$43-((R124-1)*Skills!D14))))/Inputs!$B$43),IF(Inputs!$B$38="pvp",MIN((Skills!T14*(1+Inputs!$B$34/100)),15)/15,(Skills!T14*(1+Inputs!$B$34/100))/Skills!D14)))+((C125=TRUE)*F125*IF(AND(Inputs!$B$38&lt;&gt;"pvp",Inputs!$B$43&gt;0),(((R125-1)*(Skills!T15*(1+Inputs!$B$34/100))+MIN((Skills!T15*(1+Inputs!$B$34/100)),MAX(0,Inputs!$B$43-((R125-1)*Skills!D15))))/Inputs!$B$43),IF(Inputs!$B$38="pvp",MIN((Skills!T15*(1+Inputs!$B$34/100)),15)/15,(Skills!T15*(1+Inputs!$B$34/100))/Skills!D15)))+((Inputs!$B$3&gt;=110)*20*(B138-1)*IF(Inputs!$B$38="pvp",MIN((15*(1+Inputs!$B$34/100)),15)/15,(15*(1+Inputs!$B$34/100))/35))</f>
        <v/>
      </c>
    </row>
    <row r="143">
      <c r="A143" t="inlineStr">
        <is>
          <t>Buff-Casting Startup Delay (s, fixed-duration only)</t>
        </is>
      </c>
      <c r="B143">
        <f>IF(AND(Inputs!$B$38&lt;&gt;"pvp",Inputs!$B$43&gt;0),SUMPRODUCT((Skills!T2:T23&gt;0)*(Skills!E2:E23=TRUE)*(C112:C133=TRUE))/B138,0)</f>
        <v/>
      </c>
    </row>
    <row r="144">
      <c r="A144" t="inlineStr">
        <is>
          <t>Boss-Only Total DPS (this block's swept value)</t>
        </is>
      </c>
      <c r="B144">
        <f>SUM(T112:T133)</f>
        <v/>
      </c>
    </row>
    <row r="145">
      <c r="A145" t="inlineStr">
        <is>
          <t>Normal-Only Total DPS (this block's swept value)</t>
        </is>
      </c>
      <c r="B145">
        <f>SUM(V112:V133)</f>
        <v/>
      </c>
    </row>
    <row r="146">
      <c r="A146" s="6" t="inlineStr">
        <is>
          <t>TOTAL DPS</t>
        </is>
      </c>
      <c r="B146" s="6">
        <f>SUM(O112:O133)</f>
        <v/>
      </c>
    </row>
    <row r="149">
      <c r="A149" s="6" t="inlineStr">
        <is>
          <t>Stat: DEX</t>
        </is>
      </c>
    </row>
    <row r="150">
      <c r="A150" s="5" t="inlineStr">
        <is>
          <t>Key</t>
        </is>
      </c>
      <c r="B150" s="5" t="inlineStr">
        <is>
          <t>Name</t>
        </is>
      </c>
      <c r="C150" s="5" t="inlineStr">
        <is>
          <t>Unlocked</t>
        </is>
      </c>
      <c r="D150" s="5" t="inlineStr">
        <is>
          <t>InputLevel</t>
        </is>
      </c>
      <c r="E150" s="5" t="inlineStr">
        <is>
          <t>Factor</t>
        </is>
      </c>
      <c r="F150" s="5" t="inlineStr">
        <is>
          <t>CoefficientPercent</t>
        </is>
      </c>
      <c r="G150" s="5" t="inlineStr">
        <is>
          <t>EffectiveHits</t>
        </is>
      </c>
      <c r="H150" s="5" t="inlineStr">
        <is>
          <t>ProcProbability</t>
        </is>
      </c>
      <c r="I150" s="5" t="inlineStr">
        <is>
          <t>MapleHeroMultiplier</t>
        </is>
      </c>
      <c r="J150" s="5" t="inlineStr">
        <is>
          <t>BaseDamage</t>
        </is>
      </c>
      <c r="K150" s="5" t="inlineStr">
        <is>
          <t>BaseHitDamage</t>
        </is>
      </c>
      <c r="L150" s="5" t="inlineStr">
        <is>
          <t>NonCritAvg</t>
        </is>
      </c>
      <c r="M150" s="5" t="inlineStr">
        <is>
          <t>CritAvg</t>
        </is>
      </c>
      <c r="N150" s="5" t="inlineStr">
        <is>
          <t>ExpectedDamage(perHit)</t>
        </is>
      </c>
      <c r="O150" s="5" t="inlineStr">
        <is>
          <t>DPS</t>
        </is>
      </c>
      <c r="P150" s="5" t="inlineStr">
        <is>
          <t>% of Total</t>
        </is>
      </c>
      <c r="Q150" s="5" t="inlineStr">
        <is>
          <t>InvCooldown</t>
        </is>
      </c>
      <c r="R150" s="5" t="inlineStr">
        <is>
          <t>CastsInFight</t>
        </is>
      </c>
      <c r="S150" s="5" t="inlineStr">
        <is>
          <t>HitRate(perSec)</t>
        </is>
      </c>
      <c r="U150" t="inlineStr">
        <is>
          <t>helpers</t>
        </is>
      </c>
    </row>
    <row r="151">
      <c r="A151">
        <f>Skills!A2</f>
        <v/>
      </c>
      <c r="B151">
        <f>Skills!B2</f>
        <v/>
      </c>
      <c r="C151">
        <f>Inputs!$B$3&gt;=100</f>
        <v/>
      </c>
      <c r="D151" t="inlineStr"/>
      <c r="E151" t="inlineStr"/>
      <c r="F151">
        <f>U153+Skills!O2</f>
        <v/>
      </c>
      <c r="G151">
        <f>Skills!G2*IF(Skills!H2&gt;0,Skills!I2/Skills!H2,1)</f>
        <v/>
      </c>
      <c r="H151">
        <f>1-(1-Skills!J2/100)^Skills!K2</f>
        <v/>
      </c>
      <c r="I151" t="inlineStr">
        <is>
          <t>1</t>
        </is>
      </c>
      <c r="J151">
        <f>((Inputs!$B$6*(1+Inputs!$B$7/100))+(((Inputs!$B$12*(1+Inputs!$B$13/100))-(Inputs!$B$12*(1+Inputs!$B$13/100)))+0.25*((Inputs!$B$14+1)-Inputs!$B$14))*(1+Inputs!$B$7/100))*(F151/100)</f>
        <v/>
      </c>
      <c r="K151">
        <f>J151*(1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f>
        <v/>
      </c>
      <c r="L151">
        <f>K151*(MIN(Inputs!$B$22+((C169=TRUE)*(F169-Calc!F20)),(Inputs!$B$23+0+(IF(ArtifactsInput!$M$15,CHOOSE(ArtifactsInput!$N$15+1,25,30,35,40,45,50)/100*(Inputs!$B$11-Inputs!$B$11),0))))/100+(Inputs!$B$23+0+(IF(ArtifactsInput!$M$15,CHOOSE(ArtifactsInput!$N$15+1,25,30,35,40,45,50)/100*(Inputs!$B$11-Inputs!$B$11),0)))/100)/2</f>
        <v/>
      </c>
      <c r="M151">
        <f>L151*(1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
        <f>L151*(1-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
        <f>(1-Summary!$B$11)*T151+Summary!$B$11*V151</f>
        <v/>
      </c>
      <c r="P151">
        <f>IF(B185=0,0,O151/B185)</f>
        <v/>
      </c>
      <c r="Q151" t="n">
        <v>0</v>
      </c>
      <c r="R151" t="n">
        <v>0</v>
      </c>
      <c r="S151">
        <f>IFERROR(O151/N151,0)</f>
        <v/>
      </c>
      <c r="T151">
        <f>IF(C151,(Skills!G2*N151*B179)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
        <f>MAX(0,(Inputs!$B$3-100)*3)+Inputs!$B$28+Inputs!$B$29</f>
        <v/>
      </c>
      <c r="V151">
        <f>IF(C151,(Skills!G2*N151*B179)*IF(Inputs!$B$38="pvp",1,(1+(Inputs!$B$21+Skills!Q2+(IF(ArtifactsInput!$M$33,CHOOSE(ArtifactsInput!$N$33+1,30,36,42,48,54,60),0))+(IF(AND(ArtifactsInput!$M$35,Inputs!$B$4&lt;&gt;"Chapter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
      <c r="A152">
        <f>Skills!A3</f>
        <v/>
      </c>
      <c r="B152">
        <f>Skills!B3</f>
        <v/>
      </c>
      <c r="C152">
        <f>Inputs!$B$3&gt;=35</f>
        <v/>
      </c>
      <c r="D152">
        <f>IF(Skills!C3=1,60+Inputs!$B$25+Inputs!$B$29,IF(Skills!C3=2,90+Inputs!$B$26+Inputs!$B$29,IF(Skills!C3=3,120+Inputs!$B$27+Inputs!$B$29,MAX(0,(Inputs!$B$3-100)*3)+Inputs!$B$28+Inputs!$B$29)))</f>
        <v/>
      </c>
      <c r="E152">
        <f>INDEX(FactorTable!$B$2:$Y$301, MATCH(ROUND(MIN(300,MAX(1,D152)),0), FactorTable!$A$2:$A$301,0), Skills!M3+1)</f>
        <v/>
      </c>
      <c r="F152">
        <f>IF(Skills!N3=TRUE,(Skills!L3/10)*(E152/1000),Skills!L3/10)+Skills!O3</f>
        <v/>
      </c>
      <c r="G152">
        <f>Skills!G3*IF(Skills!H3&gt;0,Skills!I3/Skills!H3,1)</f>
        <v/>
      </c>
      <c r="H152">
        <f>1-(1-Skills!J3/100)^Skills!K3</f>
        <v/>
      </c>
      <c r="I152" t="inlineStr">
        <is>
          <t>1</t>
        </is>
      </c>
      <c r="J152">
        <f>((Inputs!$B$6*(1+Inputs!$B$7/100))+(((Inputs!$B$12*(1+Inputs!$B$13/100))-(Inputs!$B$12*(1+Inputs!$B$13/100)))+0.25*((Inputs!$B$14+1)-Inputs!$B$14))*(1+Inputs!$B$7/100))*(F152/100)</f>
        <v/>
      </c>
      <c r="K152">
        <f>J152*(1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f>
        <v/>
      </c>
      <c r="L152">
        <f>K152*(MIN(Inputs!$B$22+((C169=TRUE)*(F169-Calc!F20)),(Inputs!$B$23+0+(IF(ArtifactsInput!$M$15,CHOOSE(ArtifactsInput!$N$15+1,25,30,35,40,45,50)/100*(Inputs!$B$11-Inputs!$B$11),0))))/100+(Inputs!$B$23+0+(IF(ArtifactsInput!$M$15,CHOOSE(ArtifactsInput!$N$15+1,25,30,35,40,45,50)/100*(Inputs!$B$11-Inputs!$B$11),0)))/100)/2</f>
        <v/>
      </c>
      <c r="M152">
        <f>L152*(1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
        <f>L152*(1-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
        <f>(1-Summary!$B$11)*T152+Summary!$B$11*V152</f>
        <v/>
      </c>
      <c r="P152">
        <f>IF(B185=0,0,O152/B185)</f>
        <v/>
      </c>
      <c r="Q152" t="n">
        <v>0</v>
      </c>
      <c r="R152" t="n">
        <v>0</v>
      </c>
      <c r="S152">
        <f>IFERROR(O152/N152,0)</f>
        <v/>
      </c>
      <c r="T152">
        <f>IF(C152,(Skills!G3*H152*N152*B179)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2">
        <f>INDEX(FactorTable!$B$2:$Y$301, MATCH(ROUND(MIN(300,MAX(1,U151)),0), FactorTable!$A$2:$A$301,0), 22)</f>
        <v/>
      </c>
      <c r="V152">
        <f>IF(C152,(Skills!G3*H152*N152*B179)*IF(Inputs!$B$38="pvp",1,(1+(Inputs!$B$21+Skills!Q3+(IF(ArtifactsInput!$M$33,CHOOSE(ArtifactsInput!$N$33+1,30,36,42,48,54,60),0))+(IF(AND(ArtifactsInput!$M$35,Inputs!$B$4&lt;&gt;"Chapter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3">
      <c r="A153">
        <f>Skills!A4</f>
        <v/>
      </c>
      <c r="B153">
        <f>Skills!B4</f>
        <v/>
      </c>
      <c r="C153">
        <f>Inputs!$B$3&gt;=60</f>
        <v/>
      </c>
      <c r="D153">
        <f>IF(Skills!C4=1,60+Inputs!$B$25+Inputs!$B$29,IF(Skills!C4=2,90+Inputs!$B$26+Inputs!$B$29,IF(Skills!C4=3,120+Inputs!$B$27+Inputs!$B$29,MAX(0,(Inputs!$B$3-100)*3)+Inputs!$B$28+Inputs!$B$29)))</f>
        <v/>
      </c>
      <c r="E153">
        <f>INDEX(FactorTable!$B$2:$Y$301, MATCH(ROUND(MIN(300,MAX(1,D153)),0), FactorTable!$A$2:$A$301,0), Skills!M4+1)</f>
        <v/>
      </c>
      <c r="F153">
        <f>IF(Skills!N4=TRUE,(Skills!L4/10)*(E153/1000),Skills!L4/10)+Skills!O4</f>
        <v/>
      </c>
      <c r="G153">
        <f>Skills!G4*IF(Skills!H4&gt;0,Skills!I4/Skills!H4,1)</f>
        <v/>
      </c>
      <c r="H153">
        <f>1-(1-Skills!J4/100)^Skills!K4</f>
        <v/>
      </c>
      <c r="I153" t="inlineStr">
        <is>
          <t>1</t>
        </is>
      </c>
      <c r="J153">
        <f>((Inputs!$B$6*(1+Inputs!$B$7/100))+(((Inputs!$B$12*(1+Inputs!$B$13/100))-(Inputs!$B$12*(1+Inputs!$B$13/100)))+0.25*((Inputs!$B$14+1)-Inputs!$B$14))*(1+Inputs!$B$7/100))*(F153/100)</f>
        <v/>
      </c>
      <c r="K153">
        <f>J153*(1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161=TRUE,F161,0)/100)*(1+(IF(Skills!A4="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153)</f>
        <v/>
      </c>
      <c r="L153">
        <f>K153*(MIN(Inputs!$B$22+((C169=TRUE)*(F169-Calc!F20)),(Inputs!$B$23+0+(IF(ArtifactsInput!$M$15,CHOOSE(ArtifactsInput!$N$15+1,25,30,35,40,45,50)/100*(Inputs!$B$11-Inputs!$B$11),0))))/100+(Inputs!$B$23+0+(IF(ArtifactsInput!$M$15,CHOOSE(ArtifactsInput!$N$15+1,25,30,35,40,45,50)/100*(Inputs!$B$11-Inputs!$B$11),0)))/100)/2</f>
        <v/>
      </c>
      <c r="M153">
        <f>L153*(1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3">
        <f>L153*(1-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153*(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3">
        <f>(1-Summary!$B$11)*T153+Summary!$B$11*V153</f>
        <v/>
      </c>
      <c r="P153">
        <f>IF(B185=0,0,O153/B185)</f>
        <v/>
      </c>
      <c r="Q153" t="n">
        <v>0</v>
      </c>
      <c r="R153" t="n">
        <v>0</v>
      </c>
      <c r="S153">
        <f>IFERROR(O153/N153,0)</f>
        <v/>
      </c>
      <c r="T153">
        <f>IF(C153,(Skills!G4*H153*N153*B179)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153*(1-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153*(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153*(1-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153*(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3">
        <f>290*U152/1000</f>
        <v/>
      </c>
      <c r="V153">
        <f>IF(C153,(Skills!G4*H153*N153*B179)*IF(Inputs!$B$38="pvp",1,(1+(Inputs!$B$21+Skills!Q4+(IF(ArtifactsInput!$M$33,CHOOSE(ArtifactsInput!$N$33+1,30,36,42,48,54,60),0))+(IF(AND(ArtifactsInput!$M$35,Inputs!$B$4&lt;&gt;"Chapter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4">
      <c r="A154">
        <f>Skills!A5</f>
        <v/>
      </c>
      <c r="B154">
        <f>Skills!B5</f>
        <v/>
      </c>
      <c r="C154">
        <f>Inputs!$B$3&gt;=60</f>
        <v/>
      </c>
      <c r="D154">
        <f>IF(Skills!C5=1,60+Inputs!$B$25+Inputs!$B$29,IF(Skills!C5=2,90+Inputs!$B$26+Inputs!$B$29,IF(Skills!C5=3,120+Inputs!$B$27+Inputs!$B$29,MAX(0,(Inputs!$B$3-100)*3)+Inputs!$B$28+Inputs!$B$29)))</f>
        <v/>
      </c>
      <c r="E154">
        <f>INDEX(FactorTable!$B$2:$Y$301, MATCH(ROUND(MIN(300,MAX(1,D154)),0), FactorTable!$A$2:$A$301,0), Skills!M5+1)</f>
        <v/>
      </c>
      <c r="F154">
        <f>IF(Skills!N5=TRUE,(Skills!L5/10)*(E154/1000),Skills!L5/10)+Skills!O5</f>
        <v/>
      </c>
      <c r="G154">
        <f>Skills!G5*IF(Skills!H5&gt;0,Skills!I5/Skills!H5,1)</f>
        <v/>
      </c>
      <c r="H154">
        <f>1-(1-Skills!J5/100)^Skills!K5</f>
        <v/>
      </c>
      <c r="I154" t="inlineStr">
        <is>
          <t>1</t>
        </is>
      </c>
      <c r="J154" t="inlineStr"/>
      <c r="K154" t="inlineStr"/>
      <c r="L154" t="inlineStr"/>
      <c r="M154" t="inlineStr"/>
      <c r="N154" t="inlineStr"/>
      <c r="O154">
        <f>(1-Summary!$B$11)*T154+Summary!$B$11*V154</f>
        <v/>
      </c>
      <c r="P154">
        <f>IF(B185=0,0,O154/B185)</f>
        <v/>
      </c>
      <c r="Q154" t="n">
        <v>0</v>
      </c>
      <c r="R154" t="n">
        <v>0</v>
      </c>
      <c r="S154">
        <f>IFERROR(O154/N154,0)</f>
        <v/>
      </c>
      <c r="T154" t="n">
        <v>0</v>
      </c>
      <c r="V154" t="n">
        <v>0</v>
      </c>
    </row>
    <row r="155">
      <c r="A155">
        <f>Skills!A6</f>
        <v/>
      </c>
      <c r="B155">
        <f>Skills!B6</f>
        <v/>
      </c>
      <c r="C155">
        <f>Inputs!$B$3&gt;=63</f>
        <v/>
      </c>
      <c r="D155">
        <f>IF(Skills!C6=1,60+Inputs!$B$25+Inputs!$B$29,IF(Skills!C6=2,90+Inputs!$B$26+Inputs!$B$29,IF(Skills!C6=3,120+Inputs!$B$27+Inputs!$B$29,MAX(0,(Inputs!$B$3-100)*3)+Inputs!$B$28+Inputs!$B$29)))</f>
        <v/>
      </c>
      <c r="E155">
        <f>INDEX(FactorTable!$B$2:$Y$301, MATCH(ROUND(MIN(300,MAX(1,D155)),0), FactorTable!$A$2:$A$301,0), Skills!M6+1)</f>
        <v/>
      </c>
      <c r="F155">
        <f>IF(Skills!N6=TRUE,(Skills!L6/10)*(E155/1000),Skills!L6/10)+Skills!O6</f>
        <v/>
      </c>
      <c r="G155">
        <f>Skills!G6*IF(Skills!H6&gt;0,Skills!I6/Skills!H6,1)</f>
        <v/>
      </c>
      <c r="H155">
        <f>1-(1-Skills!J6/100)^Skills!K6</f>
        <v/>
      </c>
      <c r="I155" t="inlineStr">
        <is>
          <t>1</t>
        </is>
      </c>
      <c r="J155">
        <f>((Inputs!$B$6*(1+Inputs!$B$7/100))+(((Inputs!$B$12*(1+Inputs!$B$13/100))-(Inputs!$B$12*(1+Inputs!$B$13/100)))+0.25*((Inputs!$B$14+1)-Inputs!$B$14))*(1+Inputs!$B$7/100))*(F155/100)</f>
        <v/>
      </c>
      <c r="K155">
        <f>J155*(1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161=TRUE,F161,0)/100)*(1+(IF(Skills!A6="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f>
        <v/>
      </c>
      <c r="L155">
        <f>K155*(MIN(Inputs!$B$22+((C169=TRUE)*(F169-Calc!F20)),(Inputs!$B$23+0+(IF(ArtifactsInput!$M$15,CHOOSE(ArtifactsInput!$N$15+1,25,30,35,40,45,50)/100*(Inputs!$B$11-Inputs!$B$11),0))))/100+(Inputs!$B$23+0+(IF(ArtifactsInput!$M$15,CHOOSE(ArtifactsInput!$N$15+1,25,30,35,40,45,50)/100*(Inputs!$B$11-Inputs!$B$11),0)))/100)/2</f>
        <v/>
      </c>
      <c r="M155">
        <f>L155*(1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
        <f>L155*(1-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
        <f>(1-Summary!$B$11)*T155+Summary!$B$11*V155</f>
        <v/>
      </c>
      <c r="P155">
        <f>IF(B185=0,0,O155/B185)</f>
        <v/>
      </c>
      <c r="Q155">
        <f>IFERROR(1/(IF(Inputs!$B$38="pvp",15,MAX(0.1,Skills!D6-IF(Skills!E6=TRUE,Inputs!$B$32,0)))*(1-IF(AND(ArtifactsInput!$M$27,Inputs!$B$4="Chapter Hunt"),CHOOSE(ArtifactsInput!$N$27+1,20,24,28,32,36,40),0)/100)),0)</f>
        <v/>
      </c>
      <c r="R155">
        <f>IF(AND(Inputs!$B$38&lt;&gt;"pvp",Inputs!$B$43&gt;0),IF(MAX(0,Inputs!$B$43-B182)&lt;=0,0,(INT(MAX(0,Inputs!$B$43-B182)/(IF(Inputs!$B$38="pvp",15,MAX(0.1,Skills!D6-IF(Skills!E6=TRUE,Inputs!$B$32,0)))*(1-IF(AND(ArtifactsInput!$M$27,Inputs!$B$4="Chapter Hunt"),CHOOSE(ArtifactsInput!$N$27+1,20,24,28,32,36,40),0)/100)))+1)),0)</f>
        <v/>
      </c>
      <c r="S155">
        <f>IFERROR(O155/N155,0)</f>
        <v/>
      </c>
      <c r="T155">
        <f>IF(C155,(H155*N155*IF(AND(Inputs!$B$38&lt;&gt;"pvp",Inputs!$B$43&gt;0),((Skills!G6*((R155-1)*IF(Skills!H6&gt;0,Skills!I6/Skills!H6,1)+IF(Skills!H6&gt;0,MIN(Skills!I6,MAX(0,MAX(0,Inputs!$B$43-B182)-((R155-1)*(IF(Inputs!$B$38="pvp",15,MAX(0.1,Skills!D6-IF(Skills!E6=TRUE,Inputs!$B$32,0)))*(1-IF(AND(ArtifactsInput!$M$27,Inputs!$B$4="Chapter Hunt"),CHOOSE(ArtifactsInput!$N$27+1,20,24,28,32,36,40),0)/100)))))/Skills!H6,1)))/Inputs!$B$43),G155*Q155)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
        <f>IF(C155,(H155*N155*IF(AND(Inputs!$B$38&lt;&gt;"pvp",Inputs!$B$43&gt;0),((Skills!G6*((R155-1)*IF(Skills!H6&gt;0,Skills!I6/Skills!H6,1)+IF(Skills!H6&gt;0,MIN(Skills!I6,MAX(0,MAX(0,Inputs!$B$43-B182)-((R155-1)*(IF(Inputs!$B$38="pvp",15,MAX(0.1,Skills!D6-IF(Skills!E6=TRUE,Inputs!$B$32,0)))*(1-IF(AND(ArtifactsInput!$M$27,Inputs!$B$4="Chapter Hunt"),CHOOSE(ArtifactsInput!$N$27+1,20,24,28,32,36,40),0)/100)))))/Skills!H6,1)))/Inputs!$B$43),G155*Q155))*IF(Inputs!$B$38="pvp",1,(1+(Inputs!$B$21+Skills!Q6+(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
      <c r="A156">
        <f>Skills!A7</f>
        <v/>
      </c>
      <c r="B156">
        <f>Skills!B7</f>
        <v/>
      </c>
      <c r="C156">
        <f>Inputs!$B$3&gt;=100</f>
        <v/>
      </c>
      <c r="D156">
        <f>IF(Skills!C7=1,60+Inputs!$B$25+Inputs!$B$29,IF(Skills!C7=2,90+Inputs!$B$26+Inputs!$B$29,IF(Skills!C7=3,120+Inputs!$B$27+Inputs!$B$29,MAX(0,(Inputs!$B$3-100)*3)+Inputs!$B$28+Inputs!$B$29)))</f>
        <v/>
      </c>
      <c r="E156">
        <f>INDEX(FactorTable!$B$2:$Y$301, MATCH(ROUND(MIN(300,MAX(1,D156)),0), FactorTable!$A$2:$A$301,0), Skills!M7+1)</f>
        <v/>
      </c>
      <c r="F156">
        <f>IF(Skills!N7=TRUE,(Skills!L7/10)*(E156/1000),Skills!L7/10)+Skills!O7</f>
        <v/>
      </c>
      <c r="G156">
        <f>Skills!G7*IF(Skills!H7&gt;0,Skills!I7/Skills!H7,1)</f>
        <v/>
      </c>
      <c r="H156">
        <f>1-(1-Skills!J7/100)^Skills!K7</f>
        <v/>
      </c>
      <c r="I156" t="inlineStr">
        <is>
          <t>1</t>
        </is>
      </c>
      <c r="J156">
        <f>((Inputs!$B$6*(1+Inputs!$B$7/100))+(((Inputs!$B$12*(1+Inputs!$B$13/100))-(Inputs!$B$12*(1+Inputs!$B$13/100)))+0.25*((Inputs!$B$14+1)-Inputs!$B$14))*(1+Inputs!$B$7/100))*(F156/100)</f>
        <v/>
      </c>
      <c r="K156">
        <f>J156*(1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f>
        <v/>
      </c>
      <c r="L156">
        <f>K156*(MIN(Inputs!$B$22+((C169=TRUE)*(F169-Calc!F20)),(Inputs!$B$23+0+(IF(ArtifactsInput!$M$15,CHOOSE(ArtifactsInput!$N$15+1,25,30,35,40,45,50)/100*(Inputs!$B$11-Inputs!$B$11),0))))/100+(Inputs!$B$23+0+(IF(ArtifactsInput!$M$15,CHOOSE(ArtifactsInput!$N$15+1,25,30,35,40,45,50)/100*(Inputs!$B$11-Inputs!$B$11),0)))/100)/2</f>
        <v/>
      </c>
      <c r="M156">
        <f>L156*(1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
        <f>L156*(1-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
        <f>(1-Summary!$B$11)*T156+Summary!$B$11*V156</f>
        <v/>
      </c>
      <c r="P156">
        <f>IF(B185=0,0,O156/B185)</f>
        <v/>
      </c>
      <c r="Q156">
        <f>IFERROR(1/(IF(Inputs!$B$38="pvp",15,MAX(0.1,Skills!D7-IF(Skills!E7=TRUE,Inputs!$B$32,0)))*(1-IF(AND(ArtifactsInput!$M$27,Inputs!$B$4="Chapter Hunt"),CHOOSE(ArtifactsInput!$N$27+1,20,24,28,32,36,40),0)/100)),0)</f>
        <v/>
      </c>
      <c r="R156">
        <f>IF(AND(Inputs!$B$38&lt;&gt;"pvp",Inputs!$B$43&gt;0),IF(MAX(0,Inputs!$B$43-B182)&lt;=0,0,(INT(MAX(0,Inputs!$B$43-B182)/(IF(Inputs!$B$38="pvp",15,MAX(0.1,Skills!D7-IF(Skills!E7=TRUE,Inputs!$B$32,0)))*(1-IF(AND(ArtifactsInput!$M$27,Inputs!$B$4="Chapter Hunt"),CHOOSE(ArtifactsInput!$N$27+1,20,24,28,32,36,40),0)/100)))+1)),0)</f>
        <v/>
      </c>
      <c r="S156">
        <f>IFERROR(O156/N156,0)</f>
        <v/>
      </c>
      <c r="T156">
        <f>IF(C156,(H156*N156*IF(AND(Inputs!$B$38&lt;&gt;"pvp",Inputs!$B$43&gt;0),((Skills!G7*((R156-1)*IF(Skills!H7&gt;0,Skills!I7/Skills!H7,1)+IF(Skills!H7&gt;0,MIN(Skills!I7,MAX(0,MAX(0,Inputs!$B$43-B182)-((R156-1)*(IF(Inputs!$B$38="pvp",15,MAX(0.1,Skills!D7-IF(Skills!E7=TRUE,Inputs!$B$32,0)))*(1-IF(AND(ArtifactsInput!$M$27,Inputs!$B$4="Chapter Hunt"),CHOOSE(ArtifactsInput!$N$27+1,20,24,28,32,36,40),0)/100)))))/Skills!H7,1)))/Inputs!$B$43),G156*Q156)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
        <f>IF(C156,(H156*N156*IF(AND(Inputs!$B$38&lt;&gt;"pvp",Inputs!$B$43&gt;0),((Skills!G7*((R156-1)*IF(Skills!H7&gt;0,Skills!I7/Skills!H7,1)+IF(Skills!H7&gt;0,MIN(Skills!I7,MAX(0,MAX(0,Inputs!$B$43-B182)-((R156-1)*(IF(Inputs!$B$38="pvp",15,MAX(0.1,Skills!D7-IF(Skills!E7=TRUE,Inputs!$B$32,0)))*(1-IF(AND(ArtifactsInput!$M$27,Inputs!$B$4="Chapter Hunt"),CHOOSE(ArtifactsInput!$N$27+1,20,24,28,32,36,40),0)/100)))))/Skills!H7,1)))/Inputs!$B$43),G156*Q156))*IF(Inputs!$B$38="pvp",1,(1+(Inputs!$B$21+Skills!Q7+(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7">
      <c r="A157">
        <f>Skills!A8</f>
        <v/>
      </c>
      <c r="B157">
        <f>Skills!B8</f>
        <v/>
      </c>
      <c r="C157">
        <f>Inputs!$B$3&gt;=110</f>
        <v/>
      </c>
      <c r="D157">
        <f>IF(Skills!C8=1,60+Inputs!$B$25+Inputs!$B$29,IF(Skills!C8=2,90+Inputs!$B$26+Inputs!$B$29,IF(Skills!C8=3,120+Inputs!$B$27+Inputs!$B$29,MAX(0,(Inputs!$B$3-100)*3)+Inputs!$B$28+Inputs!$B$29)))</f>
        <v/>
      </c>
      <c r="E157">
        <f>INDEX(FactorTable!$B$2:$Y$301, MATCH(ROUND(MIN(300,MAX(1,D157)),0), FactorTable!$A$2:$A$301,0), Skills!M8+1)</f>
        <v/>
      </c>
      <c r="F157">
        <f>IF(Skills!N8=TRUE,(Skills!L8/10)*(E157/1000),Skills!L8/10)+Skills!O8</f>
        <v/>
      </c>
      <c r="G157">
        <f>Skills!G8*IF(Skills!H8&gt;0,Skills!I8/Skills!H8,1)</f>
        <v/>
      </c>
      <c r="H157">
        <f>1-(1-Skills!J8/100)^Skills!K8</f>
        <v/>
      </c>
      <c r="I157" t="inlineStr">
        <is>
          <t>1</t>
        </is>
      </c>
      <c r="J157">
        <f>((Inputs!$B$6*(1+Inputs!$B$7/100))+(((Inputs!$B$12*(1+Inputs!$B$13/100))-(Inputs!$B$12*(1+Inputs!$B$13/100)))+0.25*((Inputs!$B$14+1)-Inputs!$B$14))*(1+Inputs!$B$7/100))*(F157/100)</f>
        <v/>
      </c>
      <c r="K157">
        <f>J157*(1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157)</f>
        <v/>
      </c>
      <c r="L157">
        <f>K157*(MIN(Inputs!$B$22+((C169=TRUE)*(F169-Calc!F20)),(Inputs!$B$23+0+(IF(ArtifactsInput!$M$15,CHOOSE(ArtifactsInput!$N$15+1,25,30,35,40,45,50)/100*(Inputs!$B$11-Inputs!$B$11),0))))/100+(Inputs!$B$23+0+(IF(ArtifactsInput!$M$15,CHOOSE(ArtifactsInput!$N$15+1,25,30,35,40,45,50)/100*(Inputs!$B$11-Inputs!$B$11),0)))/100)/2</f>
        <v/>
      </c>
      <c r="M157">
        <f>L157*(1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7">
        <f>L157*(1-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157*(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7">
        <f>(1-Summary!$B$11)*T157+Summary!$B$11*V157</f>
        <v/>
      </c>
      <c r="P157">
        <f>IF(B185=0,0,O157/B185)</f>
        <v/>
      </c>
      <c r="Q157">
        <f>IFERROR(1/(IF(Inputs!$B$38="pvp",15,MAX(0.1,Skills!D8-IF(Skills!E8=TRUE,Inputs!$B$32,0)))*(1-IF(AND(ArtifactsInput!$M$27,Inputs!$B$4="Chapter Hunt"),CHOOSE(ArtifactsInput!$N$27+1,20,24,28,32,36,40),0)/100)),0)</f>
        <v/>
      </c>
      <c r="R157">
        <f>IF(AND(Inputs!$B$38&lt;&gt;"pvp",Inputs!$B$43&gt;0),IF(MAX(0,Inputs!$B$43-B182)&lt;=0,0,(INT(MAX(0,Inputs!$B$43-B182)/(IF(Inputs!$B$38="pvp",15,MAX(0.1,Skills!D8-IF(Skills!E8=TRUE,Inputs!$B$32,0)))*(1-IF(AND(ArtifactsInput!$M$27,Inputs!$B$4="Chapter Hunt"),CHOOSE(ArtifactsInput!$N$27+1,20,24,28,32,36,40),0)/100)))+1)),0)</f>
        <v/>
      </c>
      <c r="S157">
        <f>IFERROR(O157/N157,0)</f>
        <v/>
      </c>
      <c r="T157">
        <f>IF(C157,(H157*N157*IF(AND(Inputs!$B$38&lt;&gt;"pvp",Inputs!$B$43&gt;0),((Skills!G8*((R157-1)*IF(Skills!H8&gt;0,Skills!I8/Skills!H8,1)+IF(Skills!H8&gt;0,MIN(Skills!I8,MAX(0,MAX(0,Inputs!$B$43-B182)-((R157-1)*(IF(Inputs!$B$38="pvp",15,MAX(0.1,Skills!D8-IF(Skills!E8=TRUE,Inputs!$B$32,0)))*(1-IF(AND(ArtifactsInput!$M$27,Inputs!$B$4="Chapter Hunt"),CHOOSE(ArtifactsInput!$N$27+1,20,24,28,32,36,40),0)/100)))))/Skills!H8,1)))/Inputs!$B$43),G157*Q157)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157*(1-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157*(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157*(1-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157*(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7">
        <f>IF(C157,(H157*N157*IF(AND(Inputs!$B$38&lt;&gt;"pvp",Inputs!$B$43&gt;0),((Skills!G8*((R157-1)*IF(Skills!H8&gt;0,Skills!I8/Skills!H8,1)+IF(Skills!H8&gt;0,MIN(Skills!I8,MAX(0,MAX(0,Inputs!$B$43-B182)-((R157-1)*(IF(Inputs!$B$38="pvp",15,MAX(0.1,Skills!D8-IF(Skills!E8=TRUE,Inputs!$B$32,0)))*(1-IF(AND(ArtifactsInput!$M$27,Inputs!$B$4="Chapter Hunt"),CHOOSE(ArtifactsInput!$N$27+1,20,24,28,32,36,40),0)/100)))))/Skills!H8,1)))/Inputs!$B$43),G157*Q157))*IF(Inputs!$B$38="pvp",1,(1+(Inputs!$B$21+Skills!Q8+(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8">
      <c r="A158">
        <f>Skills!A9</f>
        <v/>
      </c>
      <c r="B158">
        <f>Skills!B9</f>
        <v/>
      </c>
      <c r="C158">
        <f>Inputs!$B$3&gt;=110</f>
        <v/>
      </c>
      <c r="D158">
        <f>IF(Skills!C9=1,60+Inputs!$B$25+Inputs!$B$29,IF(Skills!C9=2,90+Inputs!$B$26+Inputs!$B$29,IF(Skills!C9=3,120+Inputs!$B$27+Inputs!$B$29,MAX(0,(Inputs!$B$3-100)*3)+Inputs!$B$28+Inputs!$B$29)))</f>
        <v/>
      </c>
      <c r="E158">
        <f>INDEX(FactorTable!$B$2:$Y$301, MATCH(ROUND(MIN(300,MAX(1,D158)),0), FactorTable!$A$2:$A$301,0), Skills!M9+1)</f>
        <v/>
      </c>
      <c r="F158">
        <f>IF(Skills!N9=TRUE,(Skills!L9/10)*(E158/1000),Skills!L9/10)+Skills!O9</f>
        <v/>
      </c>
      <c r="G158">
        <f>Skills!G9*IF(Skills!H9&gt;0,Skills!I9/Skills!H9,1)</f>
        <v/>
      </c>
      <c r="H158">
        <f>1-(1-Skills!J9/100)^Skills!K9</f>
        <v/>
      </c>
      <c r="I158" t="inlineStr">
        <is>
          <t>1</t>
        </is>
      </c>
      <c r="J158">
        <f>((Inputs!$B$6*(1+Inputs!$B$7/100))+(((Inputs!$B$12*(1+Inputs!$B$13/100))-(Inputs!$B$12*(1+Inputs!$B$13/100)))+0.25*((Inputs!$B$14+1)-Inputs!$B$14))*(1+Inputs!$B$7/100))*(F158/100)</f>
        <v/>
      </c>
      <c r="K158">
        <f>J158*(1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158)</f>
        <v/>
      </c>
      <c r="L158">
        <f>K158*(MIN(Inputs!$B$22+((C169=TRUE)*(F169-Calc!F20)),(Inputs!$B$23+0+(IF(ArtifactsInput!$M$15,CHOOSE(ArtifactsInput!$N$15+1,25,30,35,40,45,50)/100*(Inputs!$B$11-Inputs!$B$11),0))))/100+(Inputs!$B$23+0+(IF(ArtifactsInput!$M$15,CHOOSE(ArtifactsInput!$N$15+1,25,30,35,40,45,50)/100*(Inputs!$B$11-Inputs!$B$11),0)))/100)/2</f>
        <v/>
      </c>
      <c r="M158">
        <f>L158*(1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8">
        <f>L158*(1-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158*(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8">
        <f>(1-Summary!$B$11)*T158+Summary!$B$11*V158</f>
        <v/>
      </c>
      <c r="P158">
        <f>IF(B185=0,0,O158/B185)</f>
        <v/>
      </c>
      <c r="Q158">
        <f>IFERROR(1/(IF(Inputs!$B$38="pvp",15,MAX(0.1,Skills!D9-IF(Skills!E9=TRUE,Inputs!$B$32,0)))*(1-IF(AND(ArtifactsInput!$M$27,Inputs!$B$4="Chapter Hunt"),CHOOSE(ArtifactsInput!$N$27+1,20,24,28,32,36,40),0)/100)),0)</f>
        <v/>
      </c>
      <c r="R158">
        <f>IF(AND(Inputs!$B$38&lt;&gt;"pvp",Inputs!$B$43&gt;0),IF(MAX(0,Inputs!$B$43-B182)&lt;=0,0,(INT(MAX(0,Inputs!$B$43-B182)/(IF(Inputs!$B$38="pvp",15,MAX(0.1,Skills!D9-IF(Skills!E9=TRUE,Inputs!$B$32,0)))*(1-IF(AND(ArtifactsInput!$M$27,Inputs!$B$4="Chapter Hunt"),CHOOSE(ArtifactsInput!$N$27+1,20,24,28,32,36,40),0)/100)))+1)),0)</f>
        <v/>
      </c>
      <c r="S158">
        <f>IFERROR(O158/N158,0)</f>
        <v/>
      </c>
      <c r="T158">
        <f>IF(C158,(H158*N158*IF(AND(Inputs!$B$38&lt;&gt;"pvp",Inputs!$B$43&gt;0),((Skills!G9*((R158-1)*IF(Skills!H9&gt;0,Skills!I9/Skills!H9,1)+IF(Skills!H9&gt;0,MIN(Skills!I9,MAX(0,MAX(0,Inputs!$B$43-B182)-((R158-1)*(IF(Inputs!$B$38="pvp",15,MAX(0.1,Skills!D9-IF(Skills!E9=TRUE,Inputs!$B$32,0)))*(1-IF(AND(ArtifactsInput!$M$27,Inputs!$B$4="Chapter Hunt"),CHOOSE(ArtifactsInput!$N$27+1,20,24,28,32,36,40),0)/100)))))/Skills!H9,1)))/Inputs!$B$43),G158*Q158)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158*(1-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158*(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158*(1-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158*(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8">
        <f>IF(C158,(H158*N158*IF(AND(Inputs!$B$38&lt;&gt;"pvp",Inputs!$B$43&gt;0),((Skills!G9*((R158-1)*IF(Skills!H9&gt;0,Skills!I9/Skills!H9,1)+IF(Skills!H9&gt;0,MIN(Skills!I9,MAX(0,MAX(0,Inputs!$B$43-B182)-((R158-1)*(IF(Inputs!$B$38="pvp",15,MAX(0.1,Skills!D9-IF(Skills!E9=TRUE,Inputs!$B$32,0)))*(1-IF(AND(ArtifactsInput!$M$27,Inputs!$B$4="Chapter Hunt"),CHOOSE(ArtifactsInput!$N$27+1,20,24,28,32,36,40),0)/100)))))/Skills!H9,1)))/Inputs!$B$43),G158*Q158))*IF(Inputs!$B$38="pvp",1,(1+(Inputs!$B$21+Skills!Q9+(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
      <c r="A159">
        <f>Skills!A10</f>
        <v/>
      </c>
      <c r="B159">
        <f>Skills!B10</f>
        <v/>
      </c>
      <c r="C159">
        <f>Inputs!$B$3&gt;=103</f>
        <v/>
      </c>
      <c r="D159">
        <f>IF(Skills!C10=1,60+Inputs!$B$25+Inputs!$B$29,IF(Skills!C10=2,90+Inputs!$B$26+Inputs!$B$29,IF(Skills!C10=3,120+Inputs!$B$27+Inputs!$B$29,MAX(0,(Inputs!$B$3-100)*3)+Inputs!$B$28+Inputs!$B$29)))</f>
        <v/>
      </c>
      <c r="E159">
        <f>INDEX(FactorTable!$B$2:$Y$301, MATCH(ROUND(MIN(300,MAX(1,D159)),0), FactorTable!$A$2:$A$301,0), Skills!M10+1)</f>
        <v/>
      </c>
      <c r="F159">
        <f>IF(Skills!N10=TRUE,(Skills!L10/10)*(E159/1000),Skills!L10/10)+Skills!O10</f>
        <v/>
      </c>
      <c r="G159">
        <f>Skills!G10*IF(Skills!H10&gt;0,Skills!I10/Skills!H10,1)</f>
        <v/>
      </c>
      <c r="H159">
        <f>1-(1-Skills!J10/100)^Skills!K10</f>
        <v/>
      </c>
      <c r="I159" t="inlineStr">
        <is>
          <t>1</t>
        </is>
      </c>
      <c r="J159">
        <f>((Inputs!$B$6*(1+Inputs!$B$7/100))+(((Inputs!$B$12*(1+Inputs!$B$13/100))-(Inputs!$B$12*(1+Inputs!$B$13/100)))+0.25*((Inputs!$B$14+1)-Inputs!$B$14))*(1+Inputs!$B$7/100))*(F159/100)</f>
        <v/>
      </c>
      <c r="K159">
        <f>J159*(1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f>
        <v/>
      </c>
      <c r="L159">
        <f>K159*(MIN(Inputs!$B$22+((C169=TRUE)*(F169-Calc!F20)),(Inputs!$B$23+0+(IF(ArtifactsInput!$M$15,CHOOSE(ArtifactsInput!$N$15+1,25,30,35,40,45,50)/100*(Inputs!$B$11-Inputs!$B$11),0))))/100+(Inputs!$B$23+0+(IF(ArtifactsInput!$M$15,CHOOSE(ArtifactsInput!$N$15+1,25,30,35,40,45,50)/100*(Inputs!$B$11-Inputs!$B$11),0)))/100)/2</f>
        <v/>
      </c>
      <c r="M159">
        <f>L159*(1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
        <f>L159*(1-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
        <f>(1-Summary!$B$11)*T159+Summary!$B$11*V159</f>
        <v/>
      </c>
      <c r="P159">
        <f>IF(B185=0,0,O159/B185)</f>
        <v/>
      </c>
      <c r="Q159">
        <f>IFERROR(1/(IF(Inputs!$B$38="pvp",15,MAX(0.1,Skills!D10-IF(Skills!E10=TRUE,Inputs!$B$32,0)))*(1-IF(AND(ArtifactsInput!$M$27,Inputs!$B$4="Chapter Hunt"),CHOOSE(ArtifactsInput!$N$27+1,20,24,28,32,36,40),0)/100)),0)</f>
        <v/>
      </c>
      <c r="R159">
        <f>IF(AND(Inputs!$B$38&lt;&gt;"pvp",Inputs!$B$43&gt;0),IF(MAX(0,Inputs!$B$43-B182)&lt;=0,0,(INT(MAX(0,Inputs!$B$43-B182)/(IF(Inputs!$B$38="pvp",15,MAX(0.1,Skills!D10-IF(Skills!E10=TRUE,Inputs!$B$32,0)))*(1-IF(AND(ArtifactsInput!$M$27,Inputs!$B$4="Chapter Hunt"),CHOOSE(ArtifactsInput!$N$27+1,20,24,28,32,36,40),0)/100)))+1)),0)</f>
        <v/>
      </c>
      <c r="S159">
        <f>IFERROR(O159/N159,0)</f>
        <v/>
      </c>
      <c r="T159">
        <f>IF(C159,(H159*N159*IF(AND(Inputs!$B$38&lt;&gt;"pvp",Inputs!$B$43&gt;0),((Skills!G10*((R159-1)*IF(Skills!H10&gt;0,Skills!I10/Skills!H10,1)+IF(Skills!H10&gt;0,MIN(Skills!I10,MAX(0,MAX(0,Inputs!$B$43-B182)-((R159-1)*(IF(Inputs!$B$38="pvp",15,MAX(0.1,Skills!D10-IF(Skills!E10=TRUE,Inputs!$B$32,0)))*(1-IF(AND(ArtifactsInput!$M$27,Inputs!$B$4="Chapter Hunt"),CHOOSE(ArtifactsInput!$N$27+1,20,24,28,32,36,40),0)/100)))))/Skills!H10,1)))/Inputs!$B$43),G159*Q159)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
        <f>IF(C159,(H159*N159*IF(AND(Inputs!$B$38&lt;&gt;"pvp",Inputs!$B$43&gt;0),((Skills!G10*((R159-1)*IF(Skills!H10&gt;0,Skills!I10/Skills!H10,1)+IF(Skills!H10&gt;0,MIN(Skills!I10,MAX(0,MAX(0,Inputs!$B$43-B182)-((R159-1)*(IF(Inputs!$B$38="pvp",15,MAX(0.1,Skills!D10-IF(Skills!E10=TRUE,Inputs!$B$32,0)))*(1-IF(AND(ArtifactsInput!$M$27,Inputs!$B$4="Chapter Hunt"),CHOOSE(ArtifactsInput!$N$27+1,20,24,28,32,36,40),0)/100)))))/Skills!H10,1)))/Inputs!$B$43),G159*Q159))*IF(Inputs!$B$38="pvp",1,(1+(Inputs!$B$21+Skills!Q10+(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
      <c r="A160">
        <f>Skills!A11</f>
        <v/>
      </c>
      <c r="B160">
        <f>Skills!B11</f>
        <v/>
      </c>
      <c r="C160">
        <f>Inputs!$B$3&gt;=113</f>
        <v/>
      </c>
      <c r="D160">
        <f>IF(Skills!C11=1,60+Inputs!$B$25+Inputs!$B$29,IF(Skills!C11=2,90+Inputs!$B$26+Inputs!$B$29,IF(Skills!C11=3,120+Inputs!$B$27+Inputs!$B$29,MAX(0,(Inputs!$B$3-100)*3)+Inputs!$B$28+Inputs!$B$29)))</f>
        <v/>
      </c>
      <c r="E160">
        <f>INDEX(FactorTable!$B$2:$Y$301, MATCH(ROUND(MIN(300,MAX(1,D160)),0), FactorTable!$A$2:$A$301,0), Skills!M11+1)</f>
        <v/>
      </c>
      <c r="F160">
        <f>IF(Skills!N11=TRUE,(Skills!L11/10)*(E160/1000),Skills!L11/10)+Skills!O11</f>
        <v/>
      </c>
      <c r="G160">
        <f>Skills!G11*IF(Skills!H11&gt;0,Skills!I11/Skills!H11,1)</f>
        <v/>
      </c>
      <c r="H160">
        <f>1-(1-Skills!J11/100)^Skills!K11</f>
        <v/>
      </c>
      <c r="I160" t="inlineStr">
        <is>
          <t>1</t>
        </is>
      </c>
      <c r="J160">
        <f>((Inputs!$B$6*(1+Inputs!$B$7/100))+(((Inputs!$B$12*(1+Inputs!$B$13/100))-(Inputs!$B$12*(1+Inputs!$B$13/100)))+0.25*((Inputs!$B$14+1)-Inputs!$B$14))*(1+Inputs!$B$7/100))*(F160/100)</f>
        <v/>
      </c>
      <c r="K160">
        <f>J160*(1+((Inputs!$B$12*(1+Inputs!$B$13/100))*0.01+(Inputs!$B$14+1)*0.0025)/100)*(1+Inputs!$B$15/100)*(1+Inputs!$B$16/100)*(5000/(6000+Inputs!$B$42*(1-(100*(1-(1-(Inputs!$B$19+0)/100)*(1-CHOOSE(ArtifactsInput!$N$40+1,5,6,7,8,9,10)/100)^(ArtifactsInput!$M$40-ArtifactsInput!$M$40)))/100)))*(1+(Inputs!$B$24+((C171=TRUE)*(F171-Calc!F22))+B181)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170=TRUE)*(F170-Calc!F21))+(((IF(AND(ArtifactsInput!$M$42,((Inputs!$B$9+((C165=TRUE)*(F165-Calc!F16))+B175+(ArtifactsInput!$M$24-ArtifactsInput!$M$24)*CHOOSE(ArtifactsInput!$N$24+1,10,12,14,16,18,20)+IF(ArtifactsInput!$M$10,CHOOSE(ArtifactsInput!$N$10+1,15,18,21,24,27,30)*(IF(Inputs!$B$38="pvp",MIN(15,15)/15,IF(AND(Inputs!$B$38&lt;&gt;"pvp",Inputs!$B$43&gt;0),MIN(15,Inputs!$B$43)/(Inputs!$B$43),0))),0)))&gt;=100),MIN(100,((Inputs!$B$9+((C165=TRUE)*(F165-Calc!F16))+B175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165=TRUE)*(F165-Calc!F16))+B175+(ArtifactsInput!$M$24-ArtifactsInput!$M$24)*CHOOSE(ArtifactsInput!$N$24+1,10,12,14,16,18,20)+IF(ArtifactsInput!$M$10,CHOOSE(ArtifactsInput!$N$10+1,15,18,21,24,27,30)*(IF(Inputs!$B$38="pvp",MIN(15,15)/15,IF(AND(Inputs!$B$38&lt;&gt;"pvp",Inputs!$B$43&gt;0),MIN(15,Inputs!$B$43)/(Inputs!$B$43),0))),0)))&gt;=100),CHOOSE(ArtifactsInput!$N$42+1,40,48,56,64,72,80),0))))/100)*((1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f>
        <v/>
      </c>
      <c r="L160">
        <f>K160*(MIN(Inputs!$B$22+((C169=TRUE)*(F169-Calc!F20)),(Inputs!$B$23+0+(IF(ArtifactsInput!$M$15,CHOOSE(ArtifactsInput!$N$15+1,25,30,35,40,45,50)/100*(Inputs!$B$11-Inputs!$B$11),0))))/100+(Inputs!$B$23+0+(IF(ArtifactsInput!$M$15,CHOOSE(ArtifactsInput!$N$15+1,25,30,35,40,45,50)/100*(Inputs!$B$11-Inputs!$B$11),0)))/100)/2</f>
        <v/>
      </c>
      <c r="M160">
        <f>L160*(1+(Inputs!$B$10+0+B180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
        <f>L160*(1-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MIN((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
        <f>(1-Summary!$B$11)*T160+Summary!$B$11*V160</f>
        <v/>
      </c>
      <c r="P160">
        <f>IF(B185=0,0,O160/B185)</f>
        <v/>
      </c>
      <c r="Q160">
        <f>IFERROR(1/(IF(Inputs!$B$38="pvp",15,MAX(0.1,Skills!D11-IF(Skills!E11=TRUE,Inputs!$B$32,0)))*(1-IF(AND(ArtifactsInput!$M$27,Inputs!$B$4="Chapter Hunt"),CHOOSE(ArtifactsInput!$N$27+1,20,24,28,32,36,40),0)/100)),0)</f>
        <v/>
      </c>
      <c r="R160">
        <f>IF(AND(Inputs!$B$38&lt;&gt;"pvp",Inputs!$B$43&gt;0),IF(MAX(0,Inputs!$B$43-B182)&lt;=0,0,(INT(MAX(0,Inputs!$B$43-B182)/(IF(Inputs!$B$38="pvp",15,MAX(0.1,Skills!D11-IF(Skills!E11=TRUE,Inputs!$B$32,0)))*(1-IF(AND(ArtifactsInput!$M$27,Inputs!$B$4="Chapter Hunt"),CHOOSE(ArtifactsInput!$N$27+1,20,24,28,32,36,40),0)/100)))+1)),0)</f>
        <v/>
      </c>
      <c r="S160">
        <f>IFERROR(O160/N160,0)</f>
        <v/>
      </c>
      <c r="T160">
        <f>IF(C160,(H160*N160*IF(AND(Inputs!$B$38&lt;&gt;"pvp",Inputs!$B$43&gt;0),((Skills!G11*((R160-1)*IF(Skills!H11&gt;0,Skills!I11/Skills!H11,1)+IF(Skills!H11&gt;0,MIN(Skills!I11,MAX(0,MAX(0,Inputs!$B$43-B182)-((R160-1)*(IF(Inputs!$B$38="pvp",15,MAX(0.1,Skills!D11-IF(Skills!E11=TRUE,Inputs!$B$32,0)))*(1-IF(AND(ArtifactsInput!$M$27,Inputs!$B$4="Chapter Hunt"),CHOOSE(ArtifactsInput!$N$27+1,20,24,28,32,36,40),0)/100)))))/Skills!H11,1)))/Inputs!$B$43),G160*Q160)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MIN(100,(Inputs!$B$9+((C165=TRUE)*(F165-Calc!F16))+B175+(ArtifactsInput!$M$24-ArtifactsInput!$M$24)*CHOOSE(ArtifactsInput!$N$24+1,10,12,14,16,18,20)+(IF(AND(ArtifactsInput!$M$42,((Inputs!$B$9+((C165=TRUE)*(F165-Calc!F16))+B175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
        <f>IF(C160,(H160*N160*IF(AND(Inputs!$B$38&lt;&gt;"pvp",Inputs!$B$43&gt;0),((Skills!G11*((R160-1)*IF(Skills!H11&gt;0,Skills!I11/Skills!H11,1)+IF(Skills!H11&gt;0,MIN(Skills!I11,MAX(0,MAX(0,Inputs!$B$43-B182)-((R160-1)*(IF(Inputs!$B$38="pvp",15,MAX(0.1,Skills!D11-IF(Skills!E11=TRUE,Inputs!$B$32,0)))*(1-IF(AND(ArtifactsInput!$M$27,Inputs!$B$4="Chapter Hunt"),CHOOSE(ArtifactsInput!$N$27+1,20,24,28,32,36,40),0)/100)))))/Skills!H11,1)))/Inputs!$B$43),G160*Q160))*IF(Inputs!$B$38="pvp",1,(1+(Inputs!$B$21+Skills!Q11+(IF(ArtifactsInput!$M$33,CHOOSE(ArtifactsInput!$N$33+1,30,36,42,48,54,60),0))+(IF(AND(ArtifactsInput!$M$35,Inputs!$B$4&lt;&gt;"Chapter Hunt"),CHOOSE(ArtifactsInput!$N$35+1,15,18,21,24,27,30)*(1-EXP(-(0.2*B177)*5)),0)+IF(AND(ArtifactsInput!$M$22,Inputs!$B$4&lt;&gt;"Chapter Hunt"),CHOOSE(ArtifactsInput!$N$22+1,10,12,14,16,18,20)*((0*(((0.15*B177*5))^0/1)+1*(((0.15*B177*5))^1/1)+2*(((0.15*B177*5))^2/2)+3*(((0.15*B177*5))^3/6)+4*(((0.15*B177*5))^4/24)+5*(((0.15*B177*5))^5/120))/((((0.15*B177*5))^0/1)+(((0.15*B177*5))^1/1)+(((0.15*B177*5))^2/2)+(((0.15*B177*5))^3/6)+(((0.15*B177*5))^4/24)+(((0.15*B177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
      <c r="A161">
        <f>Skills!A12</f>
        <v/>
      </c>
      <c r="B161">
        <f>Skills!B12</f>
        <v/>
      </c>
      <c r="C161">
        <f>Inputs!$B$3&gt;=100</f>
        <v/>
      </c>
      <c r="D161">
        <f>IF(Skills!C12=1,60+Inputs!$B$25+Inputs!$B$29,IF(Skills!C12=2,90+Inputs!$B$26+Inputs!$B$29,IF(Skills!C12=3,120+Inputs!$B$27+Inputs!$B$29,MAX(0,(Inputs!$B$3-100)*3)+Inputs!$B$28+Inputs!$B$29)))</f>
        <v/>
      </c>
      <c r="E161">
        <f>INDEX(FactorTable!$B$2:$Y$301, MATCH(ROUND(MIN(300,MAX(1,D161)),0), FactorTable!$A$2:$A$301,0), Skills!M12+1)</f>
        <v/>
      </c>
      <c r="F161">
        <f>IF(Skills!N12=TRUE,(Skills!L12/10)*(E161/1000),Skills!L12/10)+Skills!O12</f>
        <v/>
      </c>
      <c r="G161" t="inlineStr"/>
      <c r="H161" t="inlineStr"/>
      <c r="I161" t="inlineStr">
        <is>
          <t>1</t>
        </is>
      </c>
      <c r="J161" t="inlineStr"/>
      <c r="K161" t="inlineStr"/>
      <c r="L161" t="inlineStr"/>
      <c r="M161" t="inlineStr"/>
      <c r="N161" t="inlineStr"/>
      <c r="O161" t="inlineStr"/>
      <c r="P161" t="inlineStr"/>
      <c r="Q161" t="inlineStr"/>
      <c r="R161" t="inlineStr"/>
      <c r="S161" t="inlineStr"/>
      <c r="T161" t="inlineStr"/>
      <c r="V161" t="inlineStr"/>
    </row>
    <row r="162">
      <c r="A162">
        <f>Skills!A13</f>
        <v/>
      </c>
      <c r="B162">
        <f>Skills!B13</f>
        <v/>
      </c>
      <c r="C162">
        <f>Inputs!$B$3&gt;=66</f>
        <v/>
      </c>
      <c r="D162">
        <f>IF(Skills!C13=1,60+Inputs!$B$25+Inputs!$B$29,IF(Skills!C13=2,90+Inputs!$B$26+Inputs!$B$29,IF(Skills!C13=3,120+Inputs!$B$27+Inputs!$B$29,MAX(0,(Inputs!$B$3-100)*3)+Inputs!$B$28+Inputs!$B$29)))</f>
        <v/>
      </c>
      <c r="E162">
        <f>INDEX(FactorTable!$B$2:$Y$301, MATCH(ROUND(MIN(300,MAX(1,D162)),0), FactorTable!$A$2:$A$301,0), Skills!M13+1)</f>
        <v/>
      </c>
      <c r="F162">
        <f>IF(Skills!N13=TRUE,(Skills!L13/10)*(E162/1000),Skills!L13/10)+Skills!O13</f>
        <v/>
      </c>
      <c r="G162">
        <f>Skills!G13*IF(Skills!H13&gt;0,Skills!I13/Skills!H13,1)</f>
        <v/>
      </c>
      <c r="H162">
        <f>1-(1-Skills!J13/100)^Skills!K13</f>
        <v/>
      </c>
      <c r="I162" t="inlineStr">
        <is>
          <t>1</t>
        </is>
      </c>
      <c r="J162" t="inlineStr"/>
      <c r="K162" t="inlineStr"/>
      <c r="L162" t="inlineStr"/>
      <c r="M162" t="inlineStr"/>
      <c r="N162" t="inlineStr"/>
      <c r="O162">
        <f>(1-Summary!$B$11)*T162+Summary!$B$11*V162</f>
        <v/>
      </c>
      <c r="P162">
        <f>IF(B185=0,0,O162/B185)</f>
        <v/>
      </c>
      <c r="Q162" t="n">
        <v>0</v>
      </c>
      <c r="R162" t="n">
        <v>0</v>
      </c>
      <c r="S162">
        <f>IFERROR(O162/N162,0)</f>
        <v/>
      </c>
      <c r="T162" t="n">
        <v>0</v>
      </c>
      <c r="V162" t="n">
        <v>0</v>
      </c>
    </row>
    <row r="163">
      <c r="A163">
        <f>Skills!A14</f>
        <v/>
      </c>
      <c r="B163">
        <f>Skills!B14</f>
        <v/>
      </c>
      <c r="C163">
        <f>Inputs!$B$3&gt;=107</f>
        <v/>
      </c>
      <c r="D163">
        <f>IF(Skills!C14=1,60+Inputs!$B$25+Inputs!$B$29,IF(Skills!C14=2,90+Inputs!$B$26+Inputs!$B$29,IF(Skills!C14=3,120+Inputs!$B$27+Inputs!$B$29,MAX(0,(Inputs!$B$3-100)*3)+Inputs!$B$28+Inputs!$B$29)))</f>
        <v/>
      </c>
      <c r="E163">
        <f>INDEX(FactorTable!$B$2:$Y$301, MATCH(ROUND(MIN(300,MAX(1,D163)),0), FactorTable!$A$2:$A$301,0), Skills!M14+1)</f>
        <v/>
      </c>
      <c r="F163">
        <f>IF(Skills!N14=TRUE,(Skills!L14/10)*(E163/1000),Skills!L14/10)+Skills!O14</f>
        <v/>
      </c>
      <c r="G163">
        <f>Skills!G14*IF(Skills!H14&gt;0,Skills!I14/Skills!H14,1)</f>
        <v/>
      </c>
      <c r="H163">
        <f>1-(1-Skills!J14/100)^Skills!K14</f>
        <v/>
      </c>
      <c r="I163" t="inlineStr">
        <is>
          <t>1</t>
        </is>
      </c>
      <c r="J163" t="inlineStr"/>
      <c r="K163" t="inlineStr"/>
      <c r="L163" t="inlineStr"/>
      <c r="M163" t="inlineStr"/>
      <c r="N163" t="inlineStr"/>
      <c r="O163">
        <f>(1-Summary!$B$11)*T163+Summary!$B$11*V163</f>
        <v/>
      </c>
      <c r="P163">
        <f>IF(B185=0,0,O163/B185)</f>
        <v/>
      </c>
      <c r="Q163">
        <f>IFERROR(1/(IF(Inputs!$B$38="pvp",15,MAX(0.1,Skills!D14-IF(Skills!E14=TRUE,Inputs!$B$32,0)))*(1-IF(AND(ArtifactsInput!$M$27,Inputs!$B$4="Chapter Hunt"),CHOOSE(ArtifactsInput!$N$27+1,20,24,28,32,36,40),0)/100)),0)</f>
        <v/>
      </c>
      <c r="R163">
        <f>IF(AND(Inputs!$B$38&lt;&gt;"pvp",Inputs!$B$43&gt;0),IF(Inputs!$B$43&lt;=0,0,(INT(Inputs!$B$43/(IF(Inputs!$B$38="pvp",15,MAX(0.1,Skills!D14-IF(Skills!E14=TRUE,Inputs!$B$32,0)))*(1-IF(AND(ArtifactsInput!$M$27,Inputs!$B$4="Chapter Hunt"),CHOOSE(ArtifactsInput!$N$27+1,20,24,28,32,36,40),0)/100)))+1)),0)</f>
        <v/>
      </c>
      <c r="S163">
        <f>IFERROR(O163/N163,0)</f>
        <v/>
      </c>
      <c r="T163" t="n">
        <v>0</v>
      </c>
      <c r="V163" t="n">
        <v>0</v>
      </c>
    </row>
    <row r="164">
      <c r="A164">
        <f>Skills!A15</f>
        <v/>
      </c>
      <c r="B164">
        <f>Skills!B15</f>
        <v/>
      </c>
      <c r="C164">
        <f>Inputs!$B$3&gt;=115</f>
        <v/>
      </c>
      <c r="D164">
        <f>IF(Skills!C15=1,60+Inputs!$B$25+Inputs!$B$29,IF(Skills!C15=2,90+Inputs!$B$26+Inputs!$B$29,IF(Skills!C15=3,120+Inputs!$B$27+Inputs!$B$29,MAX(0,(Inputs!$B$3-100)*3)+Inputs!$B$28+Inputs!$B$29)))</f>
        <v/>
      </c>
      <c r="E164">
        <f>INDEX(FactorTable!$B$2:$Y$301, MATCH(ROUND(MIN(300,MAX(1,D164)),0), FactorTable!$A$2:$A$301,0), Skills!M15+1)</f>
        <v/>
      </c>
      <c r="F164">
        <f>IF(Skills!N15=TRUE,(Skills!L15/10)*(E164/1000),Skills!L15/10)+Skills!O15</f>
        <v/>
      </c>
      <c r="G164">
        <f>Skills!G15*IF(Skills!H15&gt;0,Skills!I15/Skills!H15,1)</f>
        <v/>
      </c>
      <c r="H164">
        <f>1-(1-Skills!J15/100)^Skills!K15</f>
        <v/>
      </c>
      <c r="I164" t="inlineStr">
        <is>
          <t>1</t>
        </is>
      </c>
      <c r="J164" t="inlineStr"/>
      <c r="K164" t="inlineStr"/>
      <c r="L164" t="inlineStr"/>
      <c r="M164" t="inlineStr"/>
      <c r="N164" t="inlineStr"/>
      <c r="O164">
        <f>(1-Summary!$B$11)*T164+Summary!$B$11*V164</f>
        <v/>
      </c>
      <c r="P164">
        <f>IF(B185=0,0,O164/B185)</f>
        <v/>
      </c>
      <c r="Q164">
        <f>IFERROR(1/(IF(Inputs!$B$38="pvp",15,MAX(0.1,Skills!D15-IF(Skills!E15=TRUE,Inputs!$B$32,0)))*(1-IF(AND(ArtifactsInput!$M$27,Inputs!$B$4="Chapter Hunt"),CHOOSE(ArtifactsInput!$N$27+1,20,24,28,32,36,40),0)/100)),0)</f>
        <v/>
      </c>
      <c r="R164">
        <f>IF(AND(Inputs!$B$38&lt;&gt;"pvp",Inputs!$B$43&gt;0),IF(Inputs!$B$43&lt;=0,0,(INT(Inputs!$B$43/(IF(Inputs!$B$38="pvp",15,MAX(0.1,Skills!D15-IF(Skills!E15=TRUE,Inputs!$B$32,0)))*(1-IF(AND(ArtifactsInput!$M$27,Inputs!$B$4="Chapter Hunt"),CHOOSE(ArtifactsInput!$N$27+1,20,24,28,32,36,40),0)/100)))+1)),0)</f>
        <v/>
      </c>
      <c r="S164">
        <f>IFERROR(O164/N164,0)</f>
        <v/>
      </c>
      <c r="T164" t="n">
        <v>0</v>
      </c>
      <c r="V164" t="n">
        <v>0</v>
      </c>
    </row>
    <row r="165">
      <c r="A165">
        <f>Skills!A16</f>
        <v/>
      </c>
      <c r="B165">
        <f>Skills!B16</f>
        <v/>
      </c>
      <c r="C165">
        <f>Inputs!$B$3&gt;=15</f>
        <v/>
      </c>
      <c r="D165">
        <f>IF(Skills!C16=1,60+Inputs!$B$25+Inputs!$B$29,IF(Skills!C16=2,90+Inputs!$B$26+Inputs!$B$29,IF(Skills!C16=3,120+Inputs!$B$27+Inputs!$B$29,MAX(0,(Inputs!$B$3-100)*3)+Inputs!$B$28+Inputs!$B$29)))</f>
        <v/>
      </c>
      <c r="E165">
        <f>INDEX(FactorTable!$B$2:$Y$301, MATCH(ROUND(MIN(300,MAX(1,D165)),0), FactorTable!$A$2:$A$301,0), Skills!M16+1)</f>
        <v/>
      </c>
      <c r="F165">
        <f>IF(Skills!N16=TRUE,(Skills!L16/10)*(E165/1000),Skills!L16/10)+Skills!O16</f>
        <v/>
      </c>
      <c r="G165">
        <f>Skills!G16*IF(Skills!H16&gt;0,Skills!I16/Skills!H16,1)</f>
        <v/>
      </c>
      <c r="H165">
        <f>1-(1-Skills!J16/100)^Skills!K16</f>
        <v/>
      </c>
      <c r="I165" t="inlineStr">
        <is>
          <t>1</t>
        </is>
      </c>
      <c r="J165" t="inlineStr"/>
      <c r="K165" t="inlineStr"/>
      <c r="L165" t="inlineStr"/>
      <c r="M165" t="inlineStr"/>
      <c r="N165" t="inlineStr"/>
      <c r="O165">
        <f>(1-Summary!$B$11)*T165+Summary!$B$11*V165</f>
        <v/>
      </c>
      <c r="P165">
        <f>IF(B185=0,0,O165/B185)</f>
        <v/>
      </c>
      <c r="Q165" t="n">
        <v>0</v>
      </c>
      <c r="R165" t="n">
        <v>0</v>
      </c>
      <c r="S165">
        <f>IFERROR(O165/N165,0)</f>
        <v/>
      </c>
      <c r="T165" t="n">
        <v>0</v>
      </c>
      <c r="V165" t="n">
        <v>0</v>
      </c>
    </row>
    <row r="166">
      <c r="A166">
        <f>Skills!A17</f>
        <v/>
      </c>
      <c r="B166">
        <f>Skills!B17</f>
        <v/>
      </c>
      <c r="C166">
        <f>Inputs!$B$3&gt;=10</f>
        <v/>
      </c>
      <c r="D166">
        <f>IF(Skills!C17=1,60+Inputs!$B$25+Inputs!$B$29,IF(Skills!C17=2,90+Inputs!$B$26+Inputs!$B$29,IF(Skills!C17=3,120+Inputs!$B$27+Inputs!$B$29,MAX(0,(Inputs!$B$3-100)*3)+Inputs!$B$28+Inputs!$B$29)))</f>
        <v/>
      </c>
      <c r="E166">
        <f>INDEX(FactorTable!$B$2:$Y$301, MATCH(ROUND(MIN(300,MAX(1,D166)),0), FactorTable!$A$2:$A$301,0), Skills!M17+1)</f>
        <v/>
      </c>
      <c r="F166">
        <f>IF(Skills!N17=TRUE,(Skills!L17/10)*(E166/1000),Skills!L17/10)+Skills!O17</f>
        <v/>
      </c>
      <c r="G166">
        <f>Skills!G17*IF(Skills!H17&gt;0,Skills!I17/Skills!H17,1)</f>
        <v/>
      </c>
      <c r="H166">
        <f>1-(1-Skills!J17/100)^Skills!K17</f>
        <v/>
      </c>
      <c r="I166" t="inlineStr">
        <is>
          <t>1</t>
        </is>
      </c>
      <c r="J166" t="inlineStr"/>
      <c r="K166" t="inlineStr"/>
      <c r="L166" t="inlineStr"/>
      <c r="M166" t="inlineStr"/>
      <c r="N166" t="inlineStr"/>
      <c r="O166">
        <f>(1-Summary!$B$11)*T166+Summary!$B$11*V166</f>
        <v/>
      </c>
      <c r="P166">
        <f>IF(B185=0,0,O166/B185)</f>
        <v/>
      </c>
      <c r="Q166" t="n">
        <v>0</v>
      </c>
      <c r="R166" t="n">
        <v>0</v>
      </c>
      <c r="S166">
        <f>IFERROR(O166/N166,0)</f>
        <v/>
      </c>
      <c r="T166" t="n">
        <v>0</v>
      </c>
      <c r="V166" t="n">
        <v>0</v>
      </c>
    </row>
    <row r="167">
      <c r="A167">
        <f>Skills!A18</f>
        <v/>
      </c>
      <c r="B167">
        <f>Skills!B18</f>
        <v/>
      </c>
      <c r="C167">
        <f>Inputs!$B$3&gt;=33</f>
        <v/>
      </c>
      <c r="D167">
        <f>IF(Skills!C18=1,60+Inputs!$B$25+Inputs!$B$29,IF(Skills!C18=2,90+Inputs!$B$26+Inputs!$B$29,IF(Skills!C18=3,120+Inputs!$B$27+Inputs!$B$29,MAX(0,(Inputs!$B$3-100)*3)+Inputs!$B$28+Inputs!$B$29)))</f>
        <v/>
      </c>
      <c r="E167">
        <f>INDEX(FactorTable!$B$2:$Y$301, MATCH(ROUND(MIN(300,MAX(1,D167)),0), FactorTable!$A$2:$A$301,0), Skills!M18+1)</f>
        <v/>
      </c>
      <c r="F167">
        <f>IF(Skills!N18=TRUE,(Skills!L18/10)*(E167/1000),Skills!L18/10)+Skills!O18</f>
        <v/>
      </c>
      <c r="G167">
        <f>Skills!G18*IF(Skills!H18&gt;0,Skills!I18/Skills!H18,1)</f>
        <v/>
      </c>
      <c r="H167">
        <f>1-(1-Skills!J18/100)^Skills!K18</f>
        <v/>
      </c>
      <c r="I167" t="inlineStr">
        <is>
          <t>1</t>
        </is>
      </c>
      <c r="J167" t="inlineStr"/>
      <c r="K167" t="inlineStr"/>
      <c r="L167" t="inlineStr"/>
      <c r="M167" t="inlineStr"/>
      <c r="N167" t="inlineStr"/>
      <c r="O167">
        <f>(1-Summary!$B$11)*T167+Summary!$B$11*V167</f>
        <v/>
      </c>
      <c r="P167">
        <f>IF(B185=0,0,O167/B185)</f>
        <v/>
      </c>
      <c r="Q167" t="n">
        <v>0</v>
      </c>
      <c r="R167" t="n">
        <v>0</v>
      </c>
      <c r="S167">
        <f>IFERROR(O167/N167,0)</f>
        <v/>
      </c>
      <c r="T167" t="n">
        <v>0</v>
      </c>
      <c r="V167" t="n">
        <v>0</v>
      </c>
    </row>
    <row r="168">
      <c r="A168">
        <f>Skills!A19</f>
        <v/>
      </c>
      <c r="B168">
        <f>Skills!B19</f>
        <v/>
      </c>
      <c r="C168">
        <f>Inputs!$B$3&gt;=40</f>
        <v/>
      </c>
      <c r="D168">
        <f>IF(Skills!C19=1,60+Inputs!$B$25+Inputs!$B$29,IF(Skills!C19=2,90+Inputs!$B$26+Inputs!$B$29,IF(Skills!C19=3,120+Inputs!$B$27+Inputs!$B$29,MAX(0,(Inputs!$B$3-100)*3)+Inputs!$B$28+Inputs!$B$29)))</f>
        <v/>
      </c>
      <c r="E168">
        <f>INDEX(FactorTable!$B$2:$Y$301, MATCH(ROUND(MIN(300,MAX(1,D168)),0), FactorTable!$A$2:$A$301,0), Skills!M19+1)</f>
        <v/>
      </c>
      <c r="F168">
        <f>IF(Skills!N19=TRUE,(Skills!L19/10)*(E168/1000),Skills!L19/10)+Skills!O19</f>
        <v/>
      </c>
      <c r="G168">
        <f>Skills!G19*IF(Skills!H19&gt;0,Skills!I19/Skills!H19,1)</f>
        <v/>
      </c>
      <c r="H168">
        <f>1-(1-Skills!J19/100)^Skills!K19</f>
        <v/>
      </c>
      <c r="I168" t="inlineStr">
        <is>
          <t>1</t>
        </is>
      </c>
      <c r="J168" t="inlineStr"/>
      <c r="K168" t="inlineStr"/>
      <c r="L168" t="inlineStr"/>
      <c r="M168" t="inlineStr"/>
      <c r="N168" t="inlineStr"/>
      <c r="O168">
        <f>(1-Summary!$B$11)*T168+Summary!$B$11*V168</f>
        <v/>
      </c>
      <c r="P168">
        <f>IF(B185=0,0,O168/B185)</f>
        <v/>
      </c>
      <c r="Q168" t="n">
        <v>0</v>
      </c>
      <c r="R168" t="n">
        <v>0</v>
      </c>
      <c r="S168">
        <f>IFERROR(O168/N168,0)</f>
        <v/>
      </c>
      <c r="T168" t="n">
        <v>0</v>
      </c>
      <c r="V168" t="n">
        <v>0</v>
      </c>
    </row>
    <row r="169">
      <c r="A169">
        <f>Skills!A20</f>
        <v/>
      </c>
      <c r="B169">
        <f>Skills!B20</f>
        <v/>
      </c>
      <c r="C169">
        <f>Inputs!$B$3&gt;=43</f>
        <v/>
      </c>
      <c r="D169">
        <f>IF(Skills!C20=1,60+Inputs!$B$25+Inputs!$B$29,IF(Skills!C20=2,90+Inputs!$B$26+Inputs!$B$29,IF(Skills!C20=3,120+Inputs!$B$27+Inputs!$B$29,MAX(0,(Inputs!$B$3-100)*3)+Inputs!$B$28+Inputs!$B$29)))</f>
        <v/>
      </c>
      <c r="E169">
        <f>INDEX(FactorTable!$B$2:$Y$301, MATCH(ROUND(MIN(300,MAX(1,D169)),0), FactorTable!$A$2:$A$301,0), Skills!M20+1)</f>
        <v/>
      </c>
      <c r="F169">
        <f>IF(Skills!N20=TRUE,(Skills!L20/10)*(E169/1000),Skills!L20/10)+Skills!O20</f>
        <v/>
      </c>
      <c r="G169">
        <f>Skills!G20*IF(Skills!H20&gt;0,Skills!I20/Skills!H20,1)</f>
        <v/>
      </c>
      <c r="H169">
        <f>1-(1-Skills!J20/100)^Skills!K20</f>
        <v/>
      </c>
      <c r="I169" t="inlineStr">
        <is>
          <t>1</t>
        </is>
      </c>
      <c r="J169" t="inlineStr"/>
      <c r="K169" t="inlineStr"/>
      <c r="L169" t="inlineStr"/>
      <c r="M169" t="inlineStr"/>
      <c r="N169" t="inlineStr"/>
      <c r="O169">
        <f>(1-Summary!$B$11)*T169+Summary!$B$11*V169</f>
        <v/>
      </c>
      <c r="P169">
        <f>IF(B185=0,0,O169/B185)</f>
        <v/>
      </c>
      <c r="Q169" t="n">
        <v>0</v>
      </c>
      <c r="R169" t="n">
        <v>0</v>
      </c>
      <c r="S169">
        <f>IFERROR(O169/N169,0)</f>
        <v/>
      </c>
      <c r="T169" t="n">
        <v>0</v>
      </c>
      <c r="V169" t="n">
        <v>0</v>
      </c>
    </row>
    <row r="170">
      <c r="A170">
        <f>Skills!A21</f>
        <v/>
      </c>
      <c r="B170">
        <f>Skills!B21</f>
        <v/>
      </c>
      <c r="C170">
        <f>Inputs!$B$3&gt;=38</f>
        <v/>
      </c>
      <c r="D170">
        <f>IF(Skills!C21=1,60+Inputs!$B$25+Inputs!$B$29,IF(Skills!C21=2,90+Inputs!$B$26+Inputs!$B$29,IF(Skills!C21=3,120+Inputs!$B$27+Inputs!$B$29,MAX(0,(Inputs!$B$3-100)*3)+Inputs!$B$28+Inputs!$B$29)))</f>
        <v/>
      </c>
      <c r="E170">
        <f>INDEX(FactorTable!$B$2:$Y$301, MATCH(ROUND(MIN(300,MAX(1,D170)),0), FactorTable!$A$2:$A$301,0), Skills!M21+1)</f>
        <v/>
      </c>
      <c r="F170">
        <f>IF(Skills!N21=TRUE,(Skills!L21/10)*(E170/1000),Skills!L21/10)+Skills!O21</f>
        <v/>
      </c>
      <c r="G170">
        <f>Skills!G21*IF(Skills!H21&gt;0,Skills!I21/Skills!H21,1)</f>
        <v/>
      </c>
      <c r="H170">
        <f>1-(1-Skills!J21/100)^Skills!K21</f>
        <v/>
      </c>
      <c r="I170" t="inlineStr">
        <is>
          <t>1</t>
        </is>
      </c>
      <c r="J170" t="inlineStr"/>
      <c r="K170" t="inlineStr"/>
      <c r="L170" t="inlineStr"/>
      <c r="M170" t="inlineStr"/>
      <c r="N170" t="inlineStr"/>
      <c r="O170">
        <f>(1-Summary!$B$11)*T170+Summary!$B$11*V170</f>
        <v/>
      </c>
      <c r="P170">
        <f>IF(B185=0,0,O170/B185)</f>
        <v/>
      </c>
      <c r="Q170" t="n">
        <v>0</v>
      </c>
      <c r="R170" t="n">
        <v>0</v>
      </c>
      <c r="S170">
        <f>IFERROR(O170/N170,0)</f>
        <v/>
      </c>
      <c r="T170" t="n">
        <v>0</v>
      </c>
      <c r="V170" t="n">
        <v>0</v>
      </c>
    </row>
    <row r="171">
      <c r="A171">
        <f>Skills!A22</f>
        <v/>
      </c>
      <c r="B171">
        <f>Skills!B22</f>
        <v/>
      </c>
      <c r="C171">
        <f>Inputs!$B$3&gt;=75</f>
        <v/>
      </c>
      <c r="D171">
        <f>IF(Skills!C22=1,60+Inputs!$B$25+Inputs!$B$29,IF(Skills!C22=2,90+Inputs!$B$26+Inputs!$B$29,IF(Skills!C22=3,120+Inputs!$B$27+Inputs!$B$29,MAX(0,(Inputs!$B$3-100)*3)+Inputs!$B$28+Inputs!$B$29)))</f>
        <v/>
      </c>
      <c r="E171">
        <f>INDEX(FactorTable!$B$2:$Y$301, MATCH(ROUND(MIN(300,MAX(1,D171)),0), FactorTable!$A$2:$A$301,0), Skills!M22+1)</f>
        <v/>
      </c>
      <c r="F171">
        <f>IF(Skills!N22=TRUE,(Skills!L22/10)*(E171/1000),Skills!L22/10)+Skills!O22</f>
        <v/>
      </c>
      <c r="G171">
        <f>Skills!G22*IF(Skills!H22&gt;0,Skills!I22/Skills!H22,1)</f>
        <v/>
      </c>
      <c r="H171">
        <f>1-(1-Skills!J22/100)^Skills!K22</f>
        <v/>
      </c>
      <c r="I171" t="inlineStr">
        <is>
          <t>1</t>
        </is>
      </c>
      <c r="J171" t="inlineStr"/>
      <c r="K171" t="inlineStr"/>
      <c r="L171" t="inlineStr"/>
      <c r="M171" t="inlineStr"/>
      <c r="N171" t="inlineStr"/>
      <c r="O171">
        <f>(1-Summary!$B$11)*T171+Summary!$B$11*V171</f>
        <v/>
      </c>
      <c r="P171">
        <f>IF(B185=0,0,O171/B185)</f>
        <v/>
      </c>
      <c r="Q171" t="n">
        <v>0</v>
      </c>
      <c r="R171" t="n">
        <v>0</v>
      </c>
      <c r="S171">
        <f>IFERROR(O171/N171,0)</f>
        <v/>
      </c>
      <c r="T171" t="n">
        <v>0</v>
      </c>
      <c r="V171" t="n">
        <v>0</v>
      </c>
    </row>
    <row r="172">
      <c r="A172">
        <f>Skills!A23</f>
        <v/>
      </c>
      <c r="B172">
        <f>Skills!B23</f>
        <v/>
      </c>
      <c r="C172">
        <f>TRUE</f>
        <v/>
      </c>
      <c r="D172">
        <f>IF(Skills!C23=1,60+Inputs!$B$25+Inputs!$B$29,IF(Skills!C23=2,90+Inputs!$B$26+Inputs!$B$29,IF(Skills!C23=3,120+Inputs!$B$27+Inputs!$B$29,MAX(0,(Inputs!$B$3-100)*3)+Inputs!$B$28+Inputs!$B$29)))</f>
        <v/>
      </c>
      <c r="E172">
        <f>INDEX(FactorTable!$B$2:$Y$301, MATCH(ROUND(MIN(300,MAX(1,D172)),0), FactorTable!$A$2:$A$301,0), Skills!M23+1)</f>
        <v/>
      </c>
      <c r="F172">
        <f>IF(Skills!N23=TRUE,(Skills!L23/10)*(E172/1000),Skills!L23/10)+Skills!O23</f>
        <v/>
      </c>
      <c r="G172">
        <f>Skills!G23*IF(Skills!H23&gt;0,Skills!I23/Skills!H23,1)</f>
        <v/>
      </c>
      <c r="H172">
        <f>1-(1-Skills!J23/100)^Skills!K23</f>
        <v/>
      </c>
      <c r="I172" t="inlineStr">
        <is>
          <t>1</t>
        </is>
      </c>
      <c r="J172" t="inlineStr"/>
      <c r="K172" t="inlineStr"/>
      <c r="L172" t="inlineStr"/>
      <c r="M172" t="inlineStr"/>
      <c r="N172" t="inlineStr"/>
      <c r="O172">
        <f>(1-Summary!$B$11)*T172+Summary!$B$11*V172</f>
        <v/>
      </c>
      <c r="P172">
        <f>IF(B185=0,0,O172/B185)</f>
        <v/>
      </c>
      <c r="Q172">
        <f>IFERROR(1/(IF(Inputs!$B$38="pvp",15,MAX(0.1,Skills!D23-IF(Skills!E23=TRUE,Inputs!$B$32,0)))*(1-IF(AND(ArtifactsInput!$M$27,Inputs!$B$4="Chapter Hunt"),CHOOSE(ArtifactsInput!$N$27+1,20,24,28,32,36,40),0)/100)),0)</f>
        <v/>
      </c>
      <c r="R172">
        <f>IF(AND(Inputs!$B$38&lt;&gt;"pvp",Inputs!$B$43&gt;0),IF(Inputs!$B$43&lt;=0,0,(INT(Inputs!$B$43/(IF(Inputs!$B$38="pvp",15,MAX(0.1,Skills!D23-IF(Skills!E23=TRUE,Inputs!$B$32,0)))*(1-IF(AND(ArtifactsInput!$M$27,Inputs!$B$4="Chapter Hunt"),CHOOSE(ArtifactsInput!$N$27+1,20,24,28,32,36,40),0)/100)))+1)),0)</f>
        <v/>
      </c>
      <c r="S172">
        <f>IFERROR(O172/N172,0)</f>
        <v/>
      </c>
      <c r="T172" t="n">
        <v>0</v>
      </c>
      <c r="V172" t="n">
        <v>0</v>
      </c>
    </row>
    <row r="174">
      <c r="A174" t="inlineStr">
        <is>
          <t>Attack% Bucket Multiplier</t>
        </is>
      </c>
      <c r="B174">
        <f>(1+(((C162=TRUE)*F162*5/7)+((C168=TRUE)*(F168-Calc!F19))+(IF(ArtifactsInput!$M$21,CHOOSE(ArtifactsInput!$N$21+1,25,30,35,40,45,50)*(IF(OR(Inputs!$B$4="Chapter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5">
      <c r="A175" t="inlineStr">
        <is>
          <t>Global Crit Rate Bonus %</t>
        </is>
      </c>
      <c r="B175" t="n">
        <v>0</v>
      </c>
    </row>
    <row r="176">
      <c r="A176" t="inlineStr">
        <is>
          <t>Attack Speed Buff Bonus % (Nimble Feet, duty-cycle averaged)</t>
        </is>
      </c>
      <c r="B176">
        <f>((C172=TRUE)*F172*IF(AND(Inputs!$B$38&lt;&gt;"pvp",Inputs!$B$43&gt;0),(((R172-1)*(Skills!T23*(1+Inputs!$B$34/100))+MIN((Skills!T23*(1+Inputs!$B$34/100)),MAX(0,Inputs!$B$43-((R172-1)*Skills!D23))))/Inputs!$B$43),IF(Inputs!$B$38="pvp",MIN((Skills!T23*(1+Inputs!$B$34/100)),15)/15,(Skills!T23*(1+Inputs!$B$34/100))/Skills!D23)))</f>
        <v/>
      </c>
    </row>
    <row r="177">
      <c r="A177" t="inlineStr">
        <is>
          <t>Actions Per Second</t>
        </is>
      </c>
      <c r="B177">
        <f>1+MIN(150,150*(1-(1-(Inputs!$B$11+((C166=TRUE)*(F166-Calc!F17))+((C167=TRUE)*(F167-Calc!F18)))/150)*(1-B176/150)))/100</f>
        <v/>
      </c>
    </row>
    <row r="178">
      <c r="A178" t="inlineStr">
        <is>
          <t>Skill + Buff Cast Rate</t>
        </is>
      </c>
      <c r="B178">
        <f>IF(AND(Inputs!$B$38&lt;&gt;"pvp",Inputs!$B$43&gt;0),SUMPRODUCT((Skills!E2:E23=TRUE)*(C151:C172=TRUE)*R151:R172*Skills!F2:F23)/Inputs!$B$43,SUMPRODUCT((Skills!E2:E23=TRUE)*(C151:C172=TRUE)*Q151:Q172*Skills!F2:F23))</f>
        <v/>
      </c>
    </row>
    <row r="179">
      <c r="A179" t="inlineStr">
        <is>
          <t>Hook Bomber Casts Per Second</t>
        </is>
      </c>
      <c r="B179">
        <f>MAX(0,B177-B178)</f>
        <v/>
      </c>
    </row>
    <row r="180">
      <c r="A180" t="inlineStr">
        <is>
          <t>Global Critical Damage Bonus % (unused)</t>
        </is>
      </c>
      <c r="B180" t="n">
        <v>0</v>
      </c>
    </row>
    <row r="181">
      <c r="A181" t="inlineStr">
        <is>
          <t>Global Final Damage Bonus % (Serpent Scale + Crossbones + Time Leap + Speed Infusion)</t>
        </is>
      </c>
      <c r="B181">
        <f>((C154=TRUE)*F154*((10+IF(Inputs!$B$3&gt;=94,5,0))/((10+IF(Inputs!$B$3&gt;=94,5,0))+5/(B179*(1+IF(Inputs!$B$3&gt;=104,1,0))))))+((C163=TRUE)*F163*IF(AND(Inputs!$B$38&lt;&gt;"pvp",Inputs!$B$43&gt;0),(((R163-1)*(Skills!T14*(1+Inputs!$B$34/100))+MIN((Skills!T14*(1+Inputs!$B$34/100)),MAX(0,Inputs!$B$43-((R163-1)*Skills!D14))))/Inputs!$B$43),IF(Inputs!$B$38="pvp",MIN((Skills!T14*(1+Inputs!$B$34/100)),15)/15,(Skills!T14*(1+Inputs!$B$34/100))/Skills!D14)))+((C164=TRUE)*F164*IF(AND(Inputs!$B$38&lt;&gt;"pvp",Inputs!$B$43&gt;0),(((R164-1)*(Skills!T15*(1+Inputs!$B$34/100))+MIN((Skills!T15*(1+Inputs!$B$34/100)),MAX(0,Inputs!$B$43-((R164-1)*Skills!D15))))/Inputs!$B$43),IF(Inputs!$B$38="pvp",MIN((Skills!T15*(1+Inputs!$B$34/100)),15)/15,(Skills!T15*(1+Inputs!$B$34/100))/Skills!D15)))+((Inputs!$B$3&gt;=110)*20*(B177-1)*IF(Inputs!$B$38="pvp",MIN((15*(1+Inputs!$B$34/100)),15)/15,(15*(1+Inputs!$B$34/100))/35))</f>
        <v/>
      </c>
    </row>
    <row r="182">
      <c r="A182" t="inlineStr">
        <is>
          <t>Buff-Casting Startup Delay (s, fixed-duration only)</t>
        </is>
      </c>
      <c r="B182">
        <f>IF(AND(Inputs!$B$38&lt;&gt;"pvp",Inputs!$B$43&gt;0),SUMPRODUCT((Skills!T2:T23&gt;0)*(Skills!E2:E23=TRUE)*(C151:C172=TRUE))/B177,0)</f>
        <v/>
      </c>
    </row>
    <row r="183">
      <c r="A183" t="inlineStr">
        <is>
          <t>Boss-Only Total DPS (this block's swept value)</t>
        </is>
      </c>
      <c r="B183">
        <f>SUM(T151:T172)</f>
        <v/>
      </c>
    </row>
    <row r="184">
      <c r="A184" t="inlineStr">
        <is>
          <t>Normal-Only Total DPS (this block's swept value)</t>
        </is>
      </c>
      <c r="B184">
        <f>SUM(V151:V172)</f>
        <v/>
      </c>
    </row>
    <row r="185">
      <c r="A185" s="6" t="inlineStr">
        <is>
          <t>TOTAL DPS</t>
        </is>
      </c>
      <c r="B185" s="6">
        <f>SUM(O151:O172)</f>
        <v/>
      </c>
    </row>
    <row r="188">
      <c r="A188" s="6" t="inlineStr">
        <is>
          <t>Stat: DAMAGE %</t>
        </is>
      </c>
    </row>
    <row r="189">
      <c r="A189" s="5" t="inlineStr">
        <is>
          <t>Key</t>
        </is>
      </c>
      <c r="B189" s="5" t="inlineStr">
        <is>
          <t>Name</t>
        </is>
      </c>
      <c r="C189" s="5" t="inlineStr">
        <is>
          <t>Unlocked</t>
        </is>
      </c>
      <c r="D189" s="5" t="inlineStr">
        <is>
          <t>InputLevel</t>
        </is>
      </c>
      <c r="E189" s="5" t="inlineStr">
        <is>
          <t>Factor</t>
        </is>
      </c>
      <c r="F189" s="5" t="inlineStr">
        <is>
          <t>CoefficientPercent</t>
        </is>
      </c>
      <c r="G189" s="5" t="inlineStr">
        <is>
          <t>EffectiveHits</t>
        </is>
      </c>
      <c r="H189" s="5" t="inlineStr">
        <is>
          <t>ProcProbability</t>
        </is>
      </c>
      <c r="I189" s="5" t="inlineStr">
        <is>
          <t>MapleHeroMultiplier</t>
        </is>
      </c>
      <c r="J189" s="5" t="inlineStr">
        <is>
          <t>BaseDamage</t>
        </is>
      </c>
      <c r="K189" s="5" t="inlineStr">
        <is>
          <t>BaseHitDamage</t>
        </is>
      </c>
      <c r="L189" s="5" t="inlineStr">
        <is>
          <t>NonCritAvg</t>
        </is>
      </c>
      <c r="M189" s="5" t="inlineStr">
        <is>
          <t>CritAvg</t>
        </is>
      </c>
      <c r="N189" s="5" t="inlineStr">
        <is>
          <t>ExpectedDamage(perHit)</t>
        </is>
      </c>
      <c r="O189" s="5" t="inlineStr">
        <is>
          <t>DPS</t>
        </is>
      </c>
      <c r="P189" s="5" t="inlineStr">
        <is>
          <t>% of Total</t>
        </is>
      </c>
      <c r="Q189" s="5" t="inlineStr">
        <is>
          <t>InvCooldown</t>
        </is>
      </c>
      <c r="R189" s="5" t="inlineStr">
        <is>
          <t>CastsInFight</t>
        </is>
      </c>
      <c r="S189" s="5" t="inlineStr">
        <is>
          <t>HitRate(perSec)</t>
        </is>
      </c>
      <c r="U189" t="inlineStr">
        <is>
          <t>helpers</t>
        </is>
      </c>
    </row>
    <row r="190">
      <c r="A190">
        <f>Skills!A2</f>
        <v/>
      </c>
      <c r="B190">
        <f>Skills!B2</f>
        <v/>
      </c>
      <c r="C190">
        <f>Inputs!$B$3&gt;=100</f>
        <v/>
      </c>
      <c r="D190" t="inlineStr"/>
      <c r="E190" t="inlineStr"/>
      <c r="F190">
        <f>U192+Skills!O2</f>
        <v/>
      </c>
      <c r="G190">
        <f>Skills!G2*IF(Skills!H2&gt;0,Skills!I2/Skills!H2,1)</f>
        <v/>
      </c>
      <c r="H190">
        <f>1-(1-Skills!J2/100)^Skills!K2</f>
        <v/>
      </c>
      <c r="I190" t="inlineStr">
        <is>
          <t>1</t>
        </is>
      </c>
      <c r="J190">
        <f>((Inputs!$B$6*(1+Inputs!$B$7/100))+(((Inputs!$B$12*(1+Inputs!$B$13/100))-(Inputs!$B$12*(1+Inputs!$B$13/100)))+0.25*(Inputs!$B$14-Inputs!$B$14))*(1+Inputs!$B$7/100))*(F190/100)</f>
        <v/>
      </c>
      <c r="K190">
        <f>J190*(1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f>
        <v/>
      </c>
      <c r="L190">
        <f>K190*(MIN(Inputs!$B$22+((C208=TRUE)*(F208-Calc!F20)),(Inputs!$B$23+0+(IF(ArtifactsInput!$M$15,CHOOSE(ArtifactsInput!$N$15+1,25,30,35,40,45,50)/100*(Inputs!$B$11-Inputs!$B$11),0))))/100+(Inputs!$B$23+0+(IF(ArtifactsInput!$M$15,CHOOSE(ArtifactsInput!$N$15+1,25,30,35,40,45,50)/100*(Inputs!$B$11-Inputs!$B$11),0)))/100)/2</f>
        <v/>
      </c>
      <c r="M190">
        <f>L190*(1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
        <f>L190*(1-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
        <f>(1-Summary!$B$11)*T190+Summary!$B$11*V190</f>
        <v/>
      </c>
      <c r="P190">
        <f>IF(B224=0,0,O190/B224)</f>
        <v/>
      </c>
      <c r="Q190" t="n">
        <v>0</v>
      </c>
      <c r="R190" t="n">
        <v>0</v>
      </c>
      <c r="S190">
        <f>IFERROR(O190/N190,0)</f>
        <v/>
      </c>
      <c r="T190">
        <f>IF(C190,(Skills!G2*N190*B218)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
        <f>MAX(0,(Inputs!$B$3-100)*3)+Inputs!$B$28+Inputs!$B$29</f>
        <v/>
      </c>
      <c r="V190">
        <f>IF(C190,(Skills!G2*N190*B218)*IF(Inputs!$B$38="pvp",1,(1+(Inputs!$B$21+Skills!Q2+(IF(ArtifactsInput!$M$33,CHOOSE(ArtifactsInput!$N$33+1,30,36,42,48,54,60),0))+(IF(AND(ArtifactsInput!$M$35,Inputs!$B$4&lt;&gt;"Chapter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
      <c r="A191">
        <f>Skills!A3</f>
        <v/>
      </c>
      <c r="B191">
        <f>Skills!B3</f>
        <v/>
      </c>
      <c r="C191">
        <f>Inputs!$B$3&gt;=35</f>
        <v/>
      </c>
      <c r="D191">
        <f>IF(Skills!C3=1,60+Inputs!$B$25+Inputs!$B$29,IF(Skills!C3=2,90+Inputs!$B$26+Inputs!$B$29,IF(Skills!C3=3,120+Inputs!$B$27+Inputs!$B$29,MAX(0,(Inputs!$B$3-100)*3)+Inputs!$B$28+Inputs!$B$29)))</f>
        <v/>
      </c>
      <c r="E191">
        <f>INDEX(FactorTable!$B$2:$Y$301, MATCH(ROUND(MIN(300,MAX(1,D191)),0), FactorTable!$A$2:$A$301,0), Skills!M3+1)</f>
        <v/>
      </c>
      <c r="F191">
        <f>IF(Skills!N3=TRUE,(Skills!L3/10)*(E191/1000),Skills!L3/10)+Skills!O3</f>
        <v/>
      </c>
      <c r="G191">
        <f>Skills!G3*IF(Skills!H3&gt;0,Skills!I3/Skills!H3,1)</f>
        <v/>
      </c>
      <c r="H191">
        <f>1-(1-Skills!J3/100)^Skills!K3</f>
        <v/>
      </c>
      <c r="I191" t="inlineStr">
        <is>
          <t>1</t>
        </is>
      </c>
      <c r="J191">
        <f>((Inputs!$B$6*(1+Inputs!$B$7/100))+(((Inputs!$B$12*(1+Inputs!$B$13/100))-(Inputs!$B$12*(1+Inputs!$B$13/100)))+0.25*(Inputs!$B$14-Inputs!$B$14))*(1+Inputs!$B$7/100))*(F191/100)</f>
        <v/>
      </c>
      <c r="K191">
        <f>J191*(1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f>
        <v/>
      </c>
      <c r="L191">
        <f>K191*(MIN(Inputs!$B$22+((C208=TRUE)*(F208-Calc!F20)),(Inputs!$B$23+0+(IF(ArtifactsInput!$M$15,CHOOSE(ArtifactsInput!$N$15+1,25,30,35,40,45,50)/100*(Inputs!$B$11-Inputs!$B$11),0))))/100+(Inputs!$B$23+0+(IF(ArtifactsInput!$M$15,CHOOSE(ArtifactsInput!$N$15+1,25,30,35,40,45,50)/100*(Inputs!$B$11-Inputs!$B$11),0)))/100)/2</f>
        <v/>
      </c>
      <c r="M191">
        <f>L191*(1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
        <f>L191*(1-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
        <f>(1-Summary!$B$11)*T191+Summary!$B$11*V191</f>
        <v/>
      </c>
      <c r="P191">
        <f>IF(B224=0,0,O191/B224)</f>
        <v/>
      </c>
      <c r="Q191" t="n">
        <v>0</v>
      </c>
      <c r="R191" t="n">
        <v>0</v>
      </c>
      <c r="S191">
        <f>IFERROR(O191/N191,0)</f>
        <v/>
      </c>
      <c r="T191">
        <f>IF(C191,(Skills!G3*H191*N191*B218)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
        <f>INDEX(FactorTable!$B$2:$Y$301, MATCH(ROUND(MIN(300,MAX(1,U190)),0), FactorTable!$A$2:$A$301,0), 22)</f>
        <v/>
      </c>
      <c r="V191">
        <f>IF(C191,(Skills!G3*H191*N191*B218)*IF(Inputs!$B$38="pvp",1,(1+(Inputs!$B$21+Skills!Q3+(IF(ArtifactsInput!$M$33,CHOOSE(ArtifactsInput!$N$33+1,30,36,42,48,54,60),0))+(IF(AND(ArtifactsInput!$M$35,Inputs!$B$4&lt;&gt;"Chapter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
      <c r="A192">
        <f>Skills!A4</f>
        <v/>
      </c>
      <c r="B192">
        <f>Skills!B4</f>
        <v/>
      </c>
      <c r="C192">
        <f>Inputs!$B$3&gt;=60</f>
        <v/>
      </c>
      <c r="D192">
        <f>IF(Skills!C4=1,60+Inputs!$B$25+Inputs!$B$29,IF(Skills!C4=2,90+Inputs!$B$26+Inputs!$B$29,IF(Skills!C4=3,120+Inputs!$B$27+Inputs!$B$29,MAX(0,(Inputs!$B$3-100)*3)+Inputs!$B$28+Inputs!$B$29)))</f>
        <v/>
      </c>
      <c r="E192">
        <f>INDEX(FactorTable!$B$2:$Y$301, MATCH(ROUND(MIN(300,MAX(1,D192)),0), FactorTable!$A$2:$A$301,0), Skills!M4+1)</f>
        <v/>
      </c>
      <c r="F192">
        <f>IF(Skills!N4=TRUE,(Skills!L4/10)*(E192/1000),Skills!L4/10)+Skills!O4</f>
        <v/>
      </c>
      <c r="G192">
        <f>Skills!G4*IF(Skills!H4&gt;0,Skills!I4/Skills!H4,1)</f>
        <v/>
      </c>
      <c r="H192">
        <f>1-(1-Skills!J4/100)^Skills!K4</f>
        <v/>
      </c>
      <c r="I192" t="inlineStr">
        <is>
          <t>1</t>
        </is>
      </c>
      <c r="J192">
        <f>((Inputs!$B$6*(1+Inputs!$B$7/100))+(((Inputs!$B$12*(1+Inputs!$B$13/100))-(Inputs!$B$12*(1+Inputs!$B$13/100)))+0.25*(Inputs!$B$14-Inputs!$B$14))*(1+Inputs!$B$7/100))*(F192/100)</f>
        <v/>
      </c>
      <c r="K192">
        <f>J192*(1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200=TRUE,F200,0)/100)*(1+(IF(Skills!A4="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f>
        <v/>
      </c>
      <c r="L192">
        <f>K192*(MIN(Inputs!$B$22+((C208=TRUE)*(F208-Calc!F20)),(Inputs!$B$23+0+(IF(ArtifactsInput!$M$15,CHOOSE(ArtifactsInput!$N$15+1,25,30,35,40,45,50)/100*(Inputs!$B$11-Inputs!$B$11),0))))/100+(Inputs!$B$23+0+(IF(ArtifactsInput!$M$15,CHOOSE(ArtifactsInput!$N$15+1,25,30,35,40,45,50)/100*(Inputs!$B$11-Inputs!$B$11),0)))/100)/2</f>
        <v/>
      </c>
      <c r="M192">
        <f>L192*(1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
        <f>L192*(1-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
        <f>(1-Summary!$B$11)*T192+Summary!$B$11*V192</f>
        <v/>
      </c>
      <c r="P192">
        <f>IF(B224=0,0,O192/B224)</f>
        <v/>
      </c>
      <c r="Q192" t="n">
        <v>0</v>
      </c>
      <c r="R192" t="n">
        <v>0</v>
      </c>
      <c r="S192">
        <f>IFERROR(O192/N192,0)</f>
        <v/>
      </c>
      <c r="T192">
        <f>IF(C192,(Skills!G4*H192*N192*B218)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
        <f>290*U191/1000</f>
        <v/>
      </c>
      <c r="V192">
        <f>IF(C192,(Skills!G4*H192*N192*B218)*IF(Inputs!$B$38="pvp",1,(1+(Inputs!$B$21+Skills!Q4+(IF(ArtifactsInput!$M$33,CHOOSE(ArtifactsInput!$N$33+1,30,36,42,48,54,60),0))+(IF(AND(ArtifactsInput!$M$35,Inputs!$B$4&lt;&gt;"Chapter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3">
      <c r="A193">
        <f>Skills!A5</f>
        <v/>
      </c>
      <c r="B193">
        <f>Skills!B5</f>
        <v/>
      </c>
      <c r="C193">
        <f>Inputs!$B$3&gt;=60</f>
        <v/>
      </c>
      <c r="D193">
        <f>IF(Skills!C5=1,60+Inputs!$B$25+Inputs!$B$29,IF(Skills!C5=2,90+Inputs!$B$26+Inputs!$B$29,IF(Skills!C5=3,120+Inputs!$B$27+Inputs!$B$29,MAX(0,(Inputs!$B$3-100)*3)+Inputs!$B$28+Inputs!$B$29)))</f>
        <v/>
      </c>
      <c r="E193">
        <f>INDEX(FactorTable!$B$2:$Y$301, MATCH(ROUND(MIN(300,MAX(1,D193)),0), FactorTable!$A$2:$A$301,0), Skills!M5+1)</f>
        <v/>
      </c>
      <c r="F193">
        <f>IF(Skills!N5=TRUE,(Skills!L5/10)*(E193/1000),Skills!L5/10)+Skills!O5</f>
        <v/>
      </c>
      <c r="G193">
        <f>Skills!G5*IF(Skills!H5&gt;0,Skills!I5/Skills!H5,1)</f>
        <v/>
      </c>
      <c r="H193">
        <f>1-(1-Skills!J5/100)^Skills!K5</f>
        <v/>
      </c>
      <c r="I193" t="inlineStr">
        <is>
          <t>1</t>
        </is>
      </c>
      <c r="J193" t="inlineStr"/>
      <c r="K193" t="inlineStr"/>
      <c r="L193" t="inlineStr"/>
      <c r="M193" t="inlineStr"/>
      <c r="N193" t="inlineStr"/>
      <c r="O193">
        <f>(1-Summary!$B$11)*T193+Summary!$B$11*V193</f>
        <v/>
      </c>
      <c r="P193">
        <f>IF(B224=0,0,O193/B224)</f>
        <v/>
      </c>
      <c r="Q193" t="n">
        <v>0</v>
      </c>
      <c r="R193" t="n">
        <v>0</v>
      </c>
      <c r="S193">
        <f>IFERROR(O193/N193,0)</f>
        <v/>
      </c>
      <c r="T193" t="n">
        <v>0</v>
      </c>
      <c r="V193" t="n">
        <v>0</v>
      </c>
    </row>
    <row r="194">
      <c r="A194">
        <f>Skills!A6</f>
        <v/>
      </c>
      <c r="B194">
        <f>Skills!B6</f>
        <v/>
      </c>
      <c r="C194">
        <f>Inputs!$B$3&gt;=63</f>
        <v/>
      </c>
      <c r="D194">
        <f>IF(Skills!C6=1,60+Inputs!$B$25+Inputs!$B$29,IF(Skills!C6=2,90+Inputs!$B$26+Inputs!$B$29,IF(Skills!C6=3,120+Inputs!$B$27+Inputs!$B$29,MAX(0,(Inputs!$B$3-100)*3)+Inputs!$B$28+Inputs!$B$29)))</f>
        <v/>
      </c>
      <c r="E194">
        <f>INDEX(FactorTable!$B$2:$Y$301, MATCH(ROUND(MIN(300,MAX(1,D194)),0), FactorTable!$A$2:$A$301,0), Skills!M6+1)</f>
        <v/>
      </c>
      <c r="F194">
        <f>IF(Skills!N6=TRUE,(Skills!L6/10)*(E194/1000),Skills!L6/10)+Skills!O6</f>
        <v/>
      </c>
      <c r="G194">
        <f>Skills!G6*IF(Skills!H6&gt;0,Skills!I6/Skills!H6,1)</f>
        <v/>
      </c>
      <c r="H194">
        <f>1-(1-Skills!J6/100)^Skills!K6</f>
        <v/>
      </c>
      <c r="I194" t="inlineStr">
        <is>
          <t>1</t>
        </is>
      </c>
      <c r="J194">
        <f>((Inputs!$B$6*(1+Inputs!$B$7/100))+(((Inputs!$B$12*(1+Inputs!$B$13/100))-(Inputs!$B$12*(1+Inputs!$B$13/100)))+0.25*(Inputs!$B$14-Inputs!$B$14))*(1+Inputs!$B$7/100))*(F194/100)</f>
        <v/>
      </c>
      <c r="K194">
        <f>J194*(1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200=TRUE,F200,0)/100)*(1+(IF(Skills!A6="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f>
        <v/>
      </c>
      <c r="L194">
        <f>K194*(MIN(Inputs!$B$22+((C208=TRUE)*(F208-Calc!F20)),(Inputs!$B$23+0+(IF(ArtifactsInput!$M$15,CHOOSE(ArtifactsInput!$N$15+1,25,30,35,40,45,50)/100*(Inputs!$B$11-Inputs!$B$11),0))))/100+(Inputs!$B$23+0+(IF(ArtifactsInput!$M$15,CHOOSE(ArtifactsInput!$N$15+1,25,30,35,40,45,50)/100*(Inputs!$B$11-Inputs!$B$11),0)))/100)/2</f>
        <v/>
      </c>
      <c r="M194">
        <f>L194*(1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
        <f>L194*(1-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
        <f>(1-Summary!$B$11)*T194+Summary!$B$11*V194</f>
        <v/>
      </c>
      <c r="P194">
        <f>IF(B224=0,0,O194/B224)</f>
        <v/>
      </c>
      <c r="Q194">
        <f>IFERROR(1/(IF(Inputs!$B$38="pvp",15,MAX(0.1,Skills!D6-IF(Skills!E6=TRUE,Inputs!$B$32,0)))*(1-IF(AND(ArtifactsInput!$M$27,Inputs!$B$4="Chapter Hunt"),CHOOSE(ArtifactsInput!$N$27+1,20,24,28,32,36,40),0)/100)),0)</f>
        <v/>
      </c>
      <c r="R194">
        <f>IF(AND(Inputs!$B$38&lt;&gt;"pvp",Inputs!$B$43&gt;0),IF(MAX(0,Inputs!$B$43-B221)&lt;=0,0,(INT(MAX(0,Inputs!$B$43-B221)/(IF(Inputs!$B$38="pvp",15,MAX(0.1,Skills!D6-IF(Skills!E6=TRUE,Inputs!$B$32,0)))*(1-IF(AND(ArtifactsInput!$M$27,Inputs!$B$4="Chapter Hunt"),CHOOSE(ArtifactsInput!$N$27+1,20,24,28,32,36,40),0)/100)))+1)),0)</f>
        <v/>
      </c>
      <c r="S194">
        <f>IFERROR(O194/N194,0)</f>
        <v/>
      </c>
      <c r="T194">
        <f>IF(C194,(H194*N194*IF(AND(Inputs!$B$38&lt;&gt;"pvp",Inputs!$B$43&gt;0),((Skills!G6*((R194-1)*IF(Skills!H6&gt;0,Skills!I6/Skills!H6,1)+IF(Skills!H6&gt;0,MIN(Skills!I6,MAX(0,MAX(0,Inputs!$B$43-B221)-((R194-1)*(IF(Inputs!$B$38="pvp",15,MAX(0.1,Skills!D6-IF(Skills!E6=TRUE,Inputs!$B$32,0)))*(1-IF(AND(ArtifactsInput!$M$27,Inputs!$B$4="Chapter Hunt"),CHOOSE(ArtifactsInput!$N$27+1,20,24,28,32,36,40),0)/100)))))/Skills!H6,1)))/Inputs!$B$43),G194*Q194)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
        <f>IF(C194,(H194*N194*IF(AND(Inputs!$B$38&lt;&gt;"pvp",Inputs!$B$43&gt;0),((Skills!G6*((R194-1)*IF(Skills!H6&gt;0,Skills!I6/Skills!H6,1)+IF(Skills!H6&gt;0,MIN(Skills!I6,MAX(0,MAX(0,Inputs!$B$43-B221)-((R194-1)*(IF(Inputs!$B$38="pvp",15,MAX(0.1,Skills!D6-IF(Skills!E6=TRUE,Inputs!$B$32,0)))*(1-IF(AND(ArtifactsInput!$M$27,Inputs!$B$4="Chapter Hunt"),CHOOSE(ArtifactsInput!$N$27+1,20,24,28,32,36,40),0)/100)))))/Skills!H6,1)))/Inputs!$B$43),G194*Q194))*IF(Inputs!$B$38="pvp",1,(1+(Inputs!$B$21+Skills!Q6+(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
      <c r="A195">
        <f>Skills!A7</f>
        <v/>
      </c>
      <c r="B195">
        <f>Skills!B7</f>
        <v/>
      </c>
      <c r="C195">
        <f>Inputs!$B$3&gt;=100</f>
        <v/>
      </c>
      <c r="D195">
        <f>IF(Skills!C7=1,60+Inputs!$B$25+Inputs!$B$29,IF(Skills!C7=2,90+Inputs!$B$26+Inputs!$B$29,IF(Skills!C7=3,120+Inputs!$B$27+Inputs!$B$29,MAX(0,(Inputs!$B$3-100)*3)+Inputs!$B$28+Inputs!$B$29)))</f>
        <v/>
      </c>
      <c r="E195">
        <f>INDEX(FactorTable!$B$2:$Y$301, MATCH(ROUND(MIN(300,MAX(1,D195)),0), FactorTable!$A$2:$A$301,0), Skills!M7+1)</f>
        <v/>
      </c>
      <c r="F195">
        <f>IF(Skills!N7=TRUE,(Skills!L7/10)*(E195/1000),Skills!L7/10)+Skills!O7</f>
        <v/>
      </c>
      <c r="G195">
        <f>Skills!G7*IF(Skills!H7&gt;0,Skills!I7/Skills!H7,1)</f>
        <v/>
      </c>
      <c r="H195">
        <f>1-(1-Skills!J7/100)^Skills!K7</f>
        <v/>
      </c>
      <c r="I195" t="inlineStr">
        <is>
          <t>1</t>
        </is>
      </c>
      <c r="J195">
        <f>((Inputs!$B$6*(1+Inputs!$B$7/100))+(((Inputs!$B$12*(1+Inputs!$B$13/100))-(Inputs!$B$12*(1+Inputs!$B$13/100)))+0.25*(Inputs!$B$14-Inputs!$B$14))*(1+Inputs!$B$7/100))*(F195/100)</f>
        <v/>
      </c>
      <c r="K195">
        <f>J195*(1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f>
        <v/>
      </c>
      <c r="L195">
        <f>K195*(MIN(Inputs!$B$22+((C208=TRUE)*(F208-Calc!F20)),(Inputs!$B$23+0+(IF(ArtifactsInput!$M$15,CHOOSE(ArtifactsInput!$N$15+1,25,30,35,40,45,50)/100*(Inputs!$B$11-Inputs!$B$11),0))))/100+(Inputs!$B$23+0+(IF(ArtifactsInput!$M$15,CHOOSE(ArtifactsInput!$N$15+1,25,30,35,40,45,50)/100*(Inputs!$B$11-Inputs!$B$11),0)))/100)/2</f>
        <v/>
      </c>
      <c r="M195">
        <f>L195*(1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
        <f>L195*(1-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
        <f>(1-Summary!$B$11)*T195+Summary!$B$11*V195</f>
        <v/>
      </c>
      <c r="P195">
        <f>IF(B224=0,0,O195/B224)</f>
        <v/>
      </c>
      <c r="Q195">
        <f>IFERROR(1/(IF(Inputs!$B$38="pvp",15,MAX(0.1,Skills!D7-IF(Skills!E7=TRUE,Inputs!$B$32,0)))*(1-IF(AND(ArtifactsInput!$M$27,Inputs!$B$4="Chapter Hunt"),CHOOSE(ArtifactsInput!$N$27+1,20,24,28,32,36,40),0)/100)),0)</f>
        <v/>
      </c>
      <c r="R195">
        <f>IF(AND(Inputs!$B$38&lt;&gt;"pvp",Inputs!$B$43&gt;0),IF(MAX(0,Inputs!$B$43-B221)&lt;=0,0,(INT(MAX(0,Inputs!$B$43-B221)/(IF(Inputs!$B$38="pvp",15,MAX(0.1,Skills!D7-IF(Skills!E7=TRUE,Inputs!$B$32,0)))*(1-IF(AND(ArtifactsInput!$M$27,Inputs!$B$4="Chapter Hunt"),CHOOSE(ArtifactsInput!$N$27+1,20,24,28,32,36,40),0)/100)))+1)),0)</f>
        <v/>
      </c>
      <c r="S195">
        <f>IFERROR(O195/N195,0)</f>
        <v/>
      </c>
      <c r="T195">
        <f>IF(C195,(H195*N195*IF(AND(Inputs!$B$38&lt;&gt;"pvp",Inputs!$B$43&gt;0),((Skills!G7*((R195-1)*IF(Skills!H7&gt;0,Skills!I7/Skills!H7,1)+IF(Skills!H7&gt;0,MIN(Skills!I7,MAX(0,MAX(0,Inputs!$B$43-B221)-((R195-1)*(IF(Inputs!$B$38="pvp",15,MAX(0.1,Skills!D7-IF(Skills!E7=TRUE,Inputs!$B$32,0)))*(1-IF(AND(ArtifactsInput!$M$27,Inputs!$B$4="Chapter Hunt"),CHOOSE(ArtifactsInput!$N$27+1,20,24,28,32,36,40),0)/100)))))/Skills!H7,1)))/Inputs!$B$43),G195*Q195)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
        <f>IF(C195,(H195*N195*IF(AND(Inputs!$B$38&lt;&gt;"pvp",Inputs!$B$43&gt;0),((Skills!G7*((R195-1)*IF(Skills!H7&gt;0,Skills!I7/Skills!H7,1)+IF(Skills!H7&gt;0,MIN(Skills!I7,MAX(0,MAX(0,Inputs!$B$43-B221)-((R195-1)*(IF(Inputs!$B$38="pvp",15,MAX(0.1,Skills!D7-IF(Skills!E7=TRUE,Inputs!$B$32,0)))*(1-IF(AND(ArtifactsInput!$M$27,Inputs!$B$4="Chapter Hunt"),CHOOSE(ArtifactsInput!$N$27+1,20,24,28,32,36,40),0)/100)))))/Skills!H7,1)))/Inputs!$B$43),G195*Q195))*IF(Inputs!$B$38="pvp",1,(1+(Inputs!$B$21+Skills!Q7+(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
      <c r="A196">
        <f>Skills!A8</f>
        <v/>
      </c>
      <c r="B196">
        <f>Skills!B8</f>
        <v/>
      </c>
      <c r="C196">
        <f>Inputs!$B$3&gt;=110</f>
        <v/>
      </c>
      <c r="D196">
        <f>IF(Skills!C8=1,60+Inputs!$B$25+Inputs!$B$29,IF(Skills!C8=2,90+Inputs!$B$26+Inputs!$B$29,IF(Skills!C8=3,120+Inputs!$B$27+Inputs!$B$29,MAX(0,(Inputs!$B$3-100)*3)+Inputs!$B$28+Inputs!$B$29)))</f>
        <v/>
      </c>
      <c r="E196">
        <f>INDEX(FactorTable!$B$2:$Y$301, MATCH(ROUND(MIN(300,MAX(1,D196)),0), FactorTable!$A$2:$A$301,0), Skills!M8+1)</f>
        <v/>
      </c>
      <c r="F196">
        <f>IF(Skills!N8=TRUE,(Skills!L8/10)*(E196/1000),Skills!L8/10)+Skills!O8</f>
        <v/>
      </c>
      <c r="G196">
        <f>Skills!G8*IF(Skills!H8&gt;0,Skills!I8/Skills!H8,1)</f>
        <v/>
      </c>
      <c r="H196">
        <f>1-(1-Skills!J8/100)^Skills!K8</f>
        <v/>
      </c>
      <c r="I196" t="inlineStr">
        <is>
          <t>1</t>
        </is>
      </c>
      <c r="J196">
        <f>((Inputs!$B$6*(1+Inputs!$B$7/100))+(((Inputs!$B$12*(1+Inputs!$B$13/100))-(Inputs!$B$12*(1+Inputs!$B$13/100)))+0.25*(Inputs!$B$14-Inputs!$B$14))*(1+Inputs!$B$7/100))*(F196/100)</f>
        <v/>
      </c>
      <c r="K196">
        <f>J196*(1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f>
        <v/>
      </c>
      <c r="L196">
        <f>K196*(MIN(Inputs!$B$22+((C208=TRUE)*(F208-Calc!F20)),(Inputs!$B$23+0+(IF(ArtifactsInput!$M$15,CHOOSE(ArtifactsInput!$N$15+1,25,30,35,40,45,50)/100*(Inputs!$B$11-Inputs!$B$11),0))))/100+(Inputs!$B$23+0+(IF(ArtifactsInput!$M$15,CHOOSE(ArtifactsInput!$N$15+1,25,30,35,40,45,50)/100*(Inputs!$B$11-Inputs!$B$11),0)))/100)/2</f>
        <v/>
      </c>
      <c r="M196">
        <f>L196*(1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
        <f>L196*(1-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
        <f>(1-Summary!$B$11)*T196+Summary!$B$11*V196</f>
        <v/>
      </c>
      <c r="P196">
        <f>IF(B224=0,0,O196/B224)</f>
        <v/>
      </c>
      <c r="Q196">
        <f>IFERROR(1/(IF(Inputs!$B$38="pvp",15,MAX(0.1,Skills!D8-IF(Skills!E8=TRUE,Inputs!$B$32,0)))*(1-IF(AND(ArtifactsInput!$M$27,Inputs!$B$4="Chapter Hunt"),CHOOSE(ArtifactsInput!$N$27+1,20,24,28,32,36,40),0)/100)),0)</f>
        <v/>
      </c>
      <c r="R196">
        <f>IF(AND(Inputs!$B$38&lt;&gt;"pvp",Inputs!$B$43&gt;0),IF(MAX(0,Inputs!$B$43-B221)&lt;=0,0,(INT(MAX(0,Inputs!$B$43-B221)/(IF(Inputs!$B$38="pvp",15,MAX(0.1,Skills!D8-IF(Skills!E8=TRUE,Inputs!$B$32,0)))*(1-IF(AND(ArtifactsInput!$M$27,Inputs!$B$4="Chapter Hunt"),CHOOSE(ArtifactsInput!$N$27+1,20,24,28,32,36,40),0)/100)))+1)),0)</f>
        <v/>
      </c>
      <c r="S196">
        <f>IFERROR(O196/N196,0)</f>
        <v/>
      </c>
      <c r="T196">
        <f>IF(C196,(H196*N196*IF(AND(Inputs!$B$38&lt;&gt;"pvp",Inputs!$B$43&gt;0),((Skills!G8*((R196-1)*IF(Skills!H8&gt;0,Skills!I8/Skills!H8,1)+IF(Skills!H8&gt;0,MIN(Skills!I8,MAX(0,MAX(0,Inputs!$B$43-B221)-((R196-1)*(IF(Inputs!$B$38="pvp",15,MAX(0.1,Skills!D8-IF(Skills!E8=TRUE,Inputs!$B$32,0)))*(1-IF(AND(ArtifactsInput!$M$27,Inputs!$B$4="Chapter Hunt"),CHOOSE(ArtifactsInput!$N$27+1,20,24,28,32,36,40),0)/100)))))/Skills!H8,1)))/Inputs!$B$43),G196*Q196)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
        <f>IF(C196,(H196*N196*IF(AND(Inputs!$B$38&lt;&gt;"pvp",Inputs!$B$43&gt;0),((Skills!G8*((R196-1)*IF(Skills!H8&gt;0,Skills!I8/Skills!H8,1)+IF(Skills!H8&gt;0,MIN(Skills!I8,MAX(0,MAX(0,Inputs!$B$43-B221)-((R196-1)*(IF(Inputs!$B$38="pvp",15,MAX(0.1,Skills!D8-IF(Skills!E8=TRUE,Inputs!$B$32,0)))*(1-IF(AND(ArtifactsInput!$M$27,Inputs!$B$4="Chapter Hunt"),CHOOSE(ArtifactsInput!$N$27+1,20,24,28,32,36,40),0)/100)))))/Skills!H8,1)))/Inputs!$B$43),G196*Q196))*IF(Inputs!$B$38="pvp",1,(1+(Inputs!$B$21+Skills!Q8+(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
      <c r="A197">
        <f>Skills!A9</f>
        <v/>
      </c>
      <c r="B197">
        <f>Skills!B9</f>
        <v/>
      </c>
      <c r="C197">
        <f>Inputs!$B$3&gt;=110</f>
        <v/>
      </c>
      <c r="D197">
        <f>IF(Skills!C9=1,60+Inputs!$B$25+Inputs!$B$29,IF(Skills!C9=2,90+Inputs!$B$26+Inputs!$B$29,IF(Skills!C9=3,120+Inputs!$B$27+Inputs!$B$29,MAX(0,(Inputs!$B$3-100)*3)+Inputs!$B$28+Inputs!$B$29)))</f>
        <v/>
      </c>
      <c r="E197">
        <f>INDEX(FactorTable!$B$2:$Y$301, MATCH(ROUND(MIN(300,MAX(1,D197)),0), FactorTable!$A$2:$A$301,0), Skills!M9+1)</f>
        <v/>
      </c>
      <c r="F197">
        <f>IF(Skills!N9=TRUE,(Skills!L9/10)*(E197/1000),Skills!L9/10)+Skills!O9</f>
        <v/>
      </c>
      <c r="G197">
        <f>Skills!G9*IF(Skills!H9&gt;0,Skills!I9/Skills!H9,1)</f>
        <v/>
      </c>
      <c r="H197">
        <f>1-(1-Skills!J9/100)^Skills!K9</f>
        <v/>
      </c>
      <c r="I197" t="inlineStr">
        <is>
          <t>1</t>
        </is>
      </c>
      <c r="J197">
        <f>((Inputs!$B$6*(1+Inputs!$B$7/100))+(((Inputs!$B$12*(1+Inputs!$B$13/100))-(Inputs!$B$12*(1+Inputs!$B$13/100)))+0.25*(Inputs!$B$14-Inputs!$B$14))*(1+Inputs!$B$7/100))*(F197/100)</f>
        <v/>
      </c>
      <c r="K197">
        <f>J197*(1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f>
        <v/>
      </c>
      <c r="L197">
        <f>K197*(MIN(Inputs!$B$22+((C208=TRUE)*(F208-Calc!F20)),(Inputs!$B$23+0+(IF(ArtifactsInput!$M$15,CHOOSE(ArtifactsInput!$N$15+1,25,30,35,40,45,50)/100*(Inputs!$B$11-Inputs!$B$11),0))))/100+(Inputs!$B$23+0+(IF(ArtifactsInput!$M$15,CHOOSE(ArtifactsInput!$N$15+1,25,30,35,40,45,50)/100*(Inputs!$B$11-Inputs!$B$11),0)))/100)/2</f>
        <v/>
      </c>
      <c r="M197">
        <f>L197*(1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
        <f>L197*(1-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
        <f>(1-Summary!$B$11)*T197+Summary!$B$11*V197</f>
        <v/>
      </c>
      <c r="P197">
        <f>IF(B224=0,0,O197/B224)</f>
        <v/>
      </c>
      <c r="Q197">
        <f>IFERROR(1/(IF(Inputs!$B$38="pvp",15,MAX(0.1,Skills!D9-IF(Skills!E9=TRUE,Inputs!$B$32,0)))*(1-IF(AND(ArtifactsInput!$M$27,Inputs!$B$4="Chapter Hunt"),CHOOSE(ArtifactsInput!$N$27+1,20,24,28,32,36,40),0)/100)),0)</f>
        <v/>
      </c>
      <c r="R197">
        <f>IF(AND(Inputs!$B$38&lt;&gt;"pvp",Inputs!$B$43&gt;0),IF(MAX(0,Inputs!$B$43-B221)&lt;=0,0,(INT(MAX(0,Inputs!$B$43-B221)/(IF(Inputs!$B$38="pvp",15,MAX(0.1,Skills!D9-IF(Skills!E9=TRUE,Inputs!$B$32,0)))*(1-IF(AND(ArtifactsInput!$M$27,Inputs!$B$4="Chapter Hunt"),CHOOSE(ArtifactsInput!$N$27+1,20,24,28,32,36,40),0)/100)))+1)),0)</f>
        <v/>
      </c>
      <c r="S197">
        <f>IFERROR(O197/N197,0)</f>
        <v/>
      </c>
      <c r="T197">
        <f>IF(C197,(H197*N197*IF(AND(Inputs!$B$38&lt;&gt;"pvp",Inputs!$B$43&gt;0),((Skills!G9*((R197-1)*IF(Skills!H9&gt;0,Skills!I9/Skills!H9,1)+IF(Skills!H9&gt;0,MIN(Skills!I9,MAX(0,MAX(0,Inputs!$B$43-B221)-((R197-1)*(IF(Inputs!$B$38="pvp",15,MAX(0.1,Skills!D9-IF(Skills!E9=TRUE,Inputs!$B$32,0)))*(1-IF(AND(ArtifactsInput!$M$27,Inputs!$B$4="Chapter Hunt"),CHOOSE(ArtifactsInput!$N$27+1,20,24,28,32,36,40),0)/100)))))/Skills!H9,1)))/Inputs!$B$43),G197*Q197)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
        <f>IF(C197,(H197*N197*IF(AND(Inputs!$B$38&lt;&gt;"pvp",Inputs!$B$43&gt;0),((Skills!G9*((R197-1)*IF(Skills!H9&gt;0,Skills!I9/Skills!H9,1)+IF(Skills!H9&gt;0,MIN(Skills!I9,MAX(0,MAX(0,Inputs!$B$43-B221)-((R197-1)*(IF(Inputs!$B$38="pvp",15,MAX(0.1,Skills!D9-IF(Skills!E9=TRUE,Inputs!$B$32,0)))*(1-IF(AND(ArtifactsInput!$M$27,Inputs!$B$4="Chapter Hunt"),CHOOSE(ArtifactsInput!$N$27+1,20,24,28,32,36,40),0)/100)))))/Skills!H9,1)))/Inputs!$B$43),G197*Q197))*IF(Inputs!$B$38="pvp",1,(1+(Inputs!$B$21+Skills!Q9+(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
      <c r="A198">
        <f>Skills!A10</f>
        <v/>
      </c>
      <c r="B198">
        <f>Skills!B10</f>
        <v/>
      </c>
      <c r="C198">
        <f>Inputs!$B$3&gt;=103</f>
        <v/>
      </c>
      <c r="D198">
        <f>IF(Skills!C10=1,60+Inputs!$B$25+Inputs!$B$29,IF(Skills!C10=2,90+Inputs!$B$26+Inputs!$B$29,IF(Skills!C10=3,120+Inputs!$B$27+Inputs!$B$29,MAX(0,(Inputs!$B$3-100)*3)+Inputs!$B$28+Inputs!$B$29)))</f>
        <v/>
      </c>
      <c r="E198">
        <f>INDEX(FactorTable!$B$2:$Y$301, MATCH(ROUND(MIN(300,MAX(1,D198)),0), FactorTable!$A$2:$A$301,0), Skills!M10+1)</f>
        <v/>
      </c>
      <c r="F198">
        <f>IF(Skills!N10=TRUE,(Skills!L10/10)*(E198/1000),Skills!L10/10)+Skills!O10</f>
        <v/>
      </c>
      <c r="G198">
        <f>Skills!G10*IF(Skills!H10&gt;0,Skills!I10/Skills!H10,1)</f>
        <v/>
      </c>
      <c r="H198">
        <f>1-(1-Skills!J10/100)^Skills!K10</f>
        <v/>
      </c>
      <c r="I198" t="inlineStr">
        <is>
          <t>1</t>
        </is>
      </c>
      <c r="J198">
        <f>((Inputs!$B$6*(1+Inputs!$B$7/100))+(((Inputs!$B$12*(1+Inputs!$B$13/100))-(Inputs!$B$12*(1+Inputs!$B$13/100)))+0.25*(Inputs!$B$14-Inputs!$B$14))*(1+Inputs!$B$7/100))*(F198/100)</f>
        <v/>
      </c>
      <c r="K198">
        <f>J198*(1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f>
        <v/>
      </c>
      <c r="L198">
        <f>K198*(MIN(Inputs!$B$22+((C208=TRUE)*(F208-Calc!F20)),(Inputs!$B$23+0+(IF(ArtifactsInput!$M$15,CHOOSE(ArtifactsInput!$N$15+1,25,30,35,40,45,50)/100*(Inputs!$B$11-Inputs!$B$11),0))))/100+(Inputs!$B$23+0+(IF(ArtifactsInput!$M$15,CHOOSE(ArtifactsInput!$N$15+1,25,30,35,40,45,50)/100*(Inputs!$B$11-Inputs!$B$11),0)))/100)/2</f>
        <v/>
      </c>
      <c r="M198">
        <f>L198*(1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
        <f>L198*(1-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
        <f>(1-Summary!$B$11)*T198+Summary!$B$11*V198</f>
        <v/>
      </c>
      <c r="P198">
        <f>IF(B224=0,0,O198/B224)</f>
        <v/>
      </c>
      <c r="Q198">
        <f>IFERROR(1/(IF(Inputs!$B$38="pvp",15,MAX(0.1,Skills!D10-IF(Skills!E10=TRUE,Inputs!$B$32,0)))*(1-IF(AND(ArtifactsInput!$M$27,Inputs!$B$4="Chapter Hunt"),CHOOSE(ArtifactsInput!$N$27+1,20,24,28,32,36,40),0)/100)),0)</f>
        <v/>
      </c>
      <c r="R198">
        <f>IF(AND(Inputs!$B$38&lt;&gt;"pvp",Inputs!$B$43&gt;0),IF(MAX(0,Inputs!$B$43-B221)&lt;=0,0,(INT(MAX(0,Inputs!$B$43-B221)/(IF(Inputs!$B$38="pvp",15,MAX(0.1,Skills!D10-IF(Skills!E10=TRUE,Inputs!$B$32,0)))*(1-IF(AND(ArtifactsInput!$M$27,Inputs!$B$4="Chapter Hunt"),CHOOSE(ArtifactsInput!$N$27+1,20,24,28,32,36,40),0)/100)))+1)),0)</f>
        <v/>
      </c>
      <c r="S198">
        <f>IFERROR(O198/N198,0)</f>
        <v/>
      </c>
      <c r="T198">
        <f>IF(C198,(H198*N198*IF(AND(Inputs!$B$38&lt;&gt;"pvp",Inputs!$B$43&gt;0),((Skills!G10*((R198-1)*IF(Skills!H10&gt;0,Skills!I10/Skills!H10,1)+IF(Skills!H10&gt;0,MIN(Skills!I10,MAX(0,MAX(0,Inputs!$B$43-B221)-((R198-1)*(IF(Inputs!$B$38="pvp",15,MAX(0.1,Skills!D10-IF(Skills!E10=TRUE,Inputs!$B$32,0)))*(1-IF(AND(ArtifactsInput!$M$27,Inputs!$B$4="Chapter Hunt"),CHOOSE(ArtifactsInput!$N$27+1,20,24,28,32,36,40),0)/100)))))/Skills!H10,1)))/Inputs!$B$43),G198*Q198)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
        <f>IF(C198,(H198*N198*IF(AND(Inputs!$B$38&lt;&gt;"pvp",Inputs!$B$43&gt;0),((Skills!G10*((R198-1)*IF(Skills!H10&gt;0,Skills!I10/Skills!H10,1)+IF(Skills!H10&gt;0,MIN(Skills!I10,MAX(0,MAX(0,Inputs!$B$43-B221)-((R198-1)*(IF(Inputs!$B$38="pvp",15,MAX(0.1,Skills!D10-IF(Skills!E10=TRUE,Inputs!$B$32,0)))*(1-IF(AND(ArtifactsInput!$M$27,Inputs!$B$4="Chapter Hunt"),CHOOSE(ArtifactsInput!$N$27+1,20,24,28,32,36,40),0)/100)))))/Skills!H10,1)))/Inputs!$B$43),G198*Q198))*IF(Inputs!$B$38="pvp",1,(1+(Inputs!$B$21+Skills!Q10+(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
      <c r="A199">
        <f>Skills!A11</f>
        <v/>
      </c>
      <c r="B199">
        <f>Skills!B11</f>
        <v/>
      </c>
      <c r="C199">
        <f>Inputs!$B$3&gt;=113</f>
        <v/>
      </c>
      <c r="D199">
        <f>IF(Skills!C11=1,60+Inputs!$B$25+Inputs!$B$29,IF(Skills!C11=2,90+Inputs!$B$26+Inputs!$B$29,IF(Skills!C11=3,120+Inputs!$B$27+Inputs!$B$29,MAX(0,(Inputs!$B$3-100)*3)+Inputs!$B$28+Inputs!$B$29)))</f>
        <v/>
      </c>
      <c r="E199">
        <f>INDEX(FactorTable!$B$2:$Y$301, MATCH(ROUND(MIN(300,MAX(1,D199)),0), FactorTable!$A$2:$A$301,0), Skills!M11+1)</f>
        <v/>
      </c>
      <c r="F199">
        <f>IF(Skills!N11=TRUE,(Skills!L11/10)*(E199/1000),Skills!L11/10)+Skills!O11</f>
        <v/>
      </c>
      <c r="G199">
        <f>Skills!G11*IF(Skills!H11&gt;0,Skills!I11/Skills!H11,1)</f>
        <v/>
      </c>
      <c r="H199">
        <f>1-(1-Skills!J11/100)^Skills!K11</f>
        <v/>
      </c>
      <c r="I199" t="inlineStr">
        <is>
          <t>1</t>
        </is>
      </c>
      <c r="J199">
        <f>((Inputs!$B$6*(1+Inputs!$B$7/100))+(((Inputs!$B$12*(1+Inputs!$B$13/100))-(Inputs!$B$12*(1+Inputs!$B$13/100)))+0.25*(Inputs!$B$14-Inputs!$B$14))*(1+Inputs!$B$7/100))*(F199/100)</f>
        <v/>
      </c>
      <c r="K199">
        <f>J199*(1+((Inputs!$B$12*(1+Inputs!$B$13/100))*0.01+Inputs!$B$14*0.0025)/100)*(1+(Inputs!$B$15+1)/100)*(1+Inputs!$B$16/100)*(5000/(6000+Inputs!$B$42*(1-(100*(1-(1-(Inputs!$B$19+0)/100)*(1-CHOOSE(ArtifactsInput!$N$40+1,5,6,7,8,9,10)/100)^(ArtifactsInput!$M$40-ArtifactsInput!$M$40)))/100)))*(1+(Inputs!$B$24+((C210=TRUE)*(F210-Calc!F22))+B220)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209=TRUE)*(F209-Calc!F21))+(((IF(AND(ArtifactsInput!$M$42,((Inputs!$B$9+((C204=TRUE)*(F204-Calc!F16))+B214+(ArtifactsInput!$M$24-ArtifactsInput!$M$24)*CHOOSE(ArtifactsInput!$N$24+1,10,12,14,16,18,20)+IF(ArtifactsInput!$M$10,CHOOSE(ArtifactsInput!$N$10+1,15,18,21,24,27,30)*(IF(Inputs!$B$38="pvp",MIN(15,15)/15,IF(AND(Inputs!$B$38&lt;&gt;"pvp",Inputs!$B$43&gt;0),MIN(15,Inputs!$B$43)/(Inputs!$B$43),0))),0)))&gt;=100),MIN(100,((Inputs!$B$9+((C204=TRUE)*(F204-Calc!F16))+B214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204=TRUE)*(F204-Calc!F16))+B214+(ArtifactsInput!$M$24-ArtifactsInput!$M$24)*CHOOSE(ArtifactsInput!$N$24+1,10,12,14,16,18,20)+IF(ArtifactsInput!$M$10,CHOOSE(ArtifactsInput!$N$10+1,15,18,21,24,27,30)*(IF(Inputs!$B$38="pvp",MIN(15,15)/15,IF(AND(Inputs!$B$38&lt;&gt;"pvp",Inputs!$B$43&gt;0),MIN(15,Inputs!$B$43)/(Inputs!$B$43),0))),0)))&gt;=100),CHOOSE(ArtifactsInput!$N$42+1,40,48,56,64,72,80),0))))/100)*((1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f>
        <v/>
      </c>
      <c r="L199">
        <f>K199*(MIN(Inputs!$B$22+((C208=TRUE)*(F208-Calc!F20)),(Inputs!$B$23+0+(IF(ArtifactsInput!$M$15,CHOOSE(ArtifactsInput!$N$15+1,25,30,35,40,45,50)/100*(Inputs!$B$11-Inputs!$B$11),0))))/100+(Inputs!$B$23+0+(IF(ArtifactsInput!$M$15,CHOOSE(ArtifactsInput!$N$15+1,25,30,35,40,45,50)/100*(Inputs!$B$11-Inputs!$B$11),0)))/100)/2</f>
        <v/>
      </c>
      <c r="M199">
        <f>L199*(1+(Inputs!$B$10+0+B219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
        <f>L199*(1-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MIN((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
        <f>(1-Summary!$B$11)*T199+Summary!$B$11*V199</f>
        <v/>
      </c>
      <c r="P199">
        <f>IF(B224=0,0,O199/B224)</f>
        <v/>
      </c>
      <c r="Q199">
        <f>IFERROR(1/(IF(Inputs!$B$38="pvp",15,MAX(0.1,Skills!D11-IF(Skills!E11=TRUE,Inputs!$B$32,0)))*(1-IF(AND(ArtifactsInput!$M$27,Inputs!$B$4="Chapter Hunt"),CHOOSE(ArtifactsInput!$N$27+1,20,24,28,32,36,40),0)/100)),0)</f>
        <v/>
      </c>
      <c r="R199">
        <f>IF(AND(Inputs!$B$38&lt;&gt;"pvp",Inputs!$B$43&gt;0),IF(MAX(0,Inputs!$B$43-B221)&lt;=0,0,(INT(MAX(0,Inputs!$B$43-B221)/(IF(Inputs!$B$38="pvp",15,MAX(0.1,Skills!D11-IF(Skills!E11=TRUE,Inputs!$B$32,0)))*(1-IF(AND(ArtifactsInput!$M$27,Inputs!$B$4="Chapter Hunt"),CHOOSE(ArtifactsInput!$N$27+1,20,24,28,32,36,40),0)/100)))+1)),0)</f>
        <v/>
      </c>
      <c r="S199">
        <f>IFERROR(O199/N199,0)</f>
        <v/>
      </c>
      <c r="T199">
        <f>IF(C199,(H199*N199*IF(AND(Inputs!$B$38&lt;&gt;"pvp",Inputs!$B$43&gt;0),((Skills!G11*((R199-1)*IF(Skills!H11&gt;0,Skills!I11/Skills!H11,1)+IF(Skills!H11&gt;0,MIN(Skills!I11,MAX(0,MAX(0,Inputs!$B$43-B221)-((R199-1)*(IF(Inputs!$B$38="pvp",15,MAX(0.1,Skills!D11-IF(Skills!E11=TRUE,Inputs!$B$32,0)))*(1-IF(AND(ArtifactsInput!$M$27,Inputs!$B$4="Chapter Hunt"),CHOOSE(ArtifactsInput!$N$27+1,20,24,28,32,36,40),0)/100)))))/Skills!H11,1)))/Inputs!$B$43),G199*Q199)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MIN(100,(Inputs!$B$9+((C204=TRUE)*(F204-Calc!F16))+B214+(ArtifactsInput!$M$24-ArtifactsInput!$M$24)*CHOOSE(ArtifactsInput!$N$24+1,10,12,14,16,18,20)+(IF(AND(ArtifactsInput!$M$42,((Inputs!$B$9+((C204=TRUE)*(F204-Calc!F16))+B214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
        <f>IF(C199,(H199*N199*IF(AND(Inputs!$B$38&lt;&gt;"pvp",Inputs!$B$43&gt;0),((Skills!G11*((R199-1)*IF(Skills!H11&gt;0,Skills!I11/Skills!H11,1)+IF(Skills!H11&gt;0,MIN(Skills!I11,MAX(0,MAX(0,Inputs!$B$43-B221)-((R199-1)*(IF(Inputs!$B$38="pvp",15,MAX(0.1,Skills!D11-IF(Skills!E11=TRUE,Inputs!$B$32,0)))*(1-IF(AND(ArtifactsInput!$M$27,Inputs!$B$4="Chapter Hunt"),CHOOSE(ArtifactsInput!$N$27+1,20,24,28,32,36,40),0)/100)))))/Skills!H11,1)))/Inputs!$B$43),G199*Q199))*IF(Inputs!$B$38="pvp",1,(1+(Inputs!$B$21+Skills!Q11+(IF(ArtifactsInput!$M$33,CHOOSE(ArtifactsInput!$N$33+1,30,36,42,48,54,60),0))+(IF(AND(ArtifactsInput!$M$35,Inputs!$B$4&lt;&gt;"Chapter Hunt"),CHOOSE(ArtifactsInput!$N$35+1,15,18,21,24,27,30)*(1-EXP(-(0.2*B216)*5)),0)+IF(AND(ArtifactsInput!$M$22,Inputs!$B$4&lt;&gt;"Chapter Hunt"),CHOOSE(ArtifactsInput!$N$22+1,10,12,14,16,18,20)*((0*(((0.15*B216*5))^0/1)+1*(((0.15*B216*5))^1/1)+2*(((0.15*B216*5))^2/2)+3*(((0.15*B216*5))^3/6)+4*(((0.15*B216*5))^4/24)+5*(((0.15*B216*5))^5/120))/((((0.15*B216*5))^0/1)+(((0.15*B216*5))^1/1)+(((0.15*B216*5))^2/2)+(((0.15*B216*5))^3/6)+(((0.15*B216*5))^4/24)+(((0.15*B216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
      <c r="A200">
        <f>Skills!A12</f>
        <v/>
      </c>
      <c r="B200">
        <f>Skills!B12</f>
        <v/>
      </c>
      <c r="C200">
        <f>Inputs!$B$3&gt;=100</f>
        <v/>
      </c>
      <c r="D200">
        <f>IF(Skills!C12=1,60+Inputs!$B$25+Inputs!$B$29,IF(Skills!C12=2,90+Inputs!$B$26+Inputs!$B$29,IF(Skills!C12=3,120+Inputs!$B$27+Inputs!$B$29,MAX(0,(Inputs!$B$3-100)*3)+Inputs!$B$28+Inputs!$B$29)))</f>
        <v/>
      </c>
      <c r="E200">
        <f>INDEX(FactorTable!$B$2:$Y$301, MATCH(ROUND(MIN(300,MAX(1,D200)),0), FactorTable!$A$2:$A$301,0), Skills!M12+1)</f>
        <v/>
      </c>
      <c r="F200">
        <f>IF(Skills!N12=TRUE,(Skills!L12/10)*(E200/1000),Skills!L12/10)+Skills!O12</f>
        <v/>
      </c>
      <c r="G200" t="inlineStr"/>
      <c r="H200" t="inlineStr"/>
      <c r="I200" t="inlineStr">
        <is>
          <t>1</t>
        </is>
      </c>
      <c r="J200" t="inlineStr"/>
      <c r="K200" t="inlineStr"/>
      <c r="L200" t="inlineStr"/>
      <c r="M200" t="inlineStr"/>
      <c r="N200" t="inlineStr"/>
      <c r="O200" t="inlineStr"/>
      <c r="P200" t="inlineStr"/>
      <c r="Q200" t="inlineStr"/>
      <c r="R200" t="inlineStr"/>
      <c r="S200" t="inlineStr"/>
      <c r="T200" t="inlineStr"/>
      <c r="V200" t="inlineStr"/>
    </row>
    <row r="201">
      <c r="A201">
        <f>Skills!A13</f>
        <v/>
      </c>
      <c r="B201">
        <f>Skills!B13</f>
        <v/>
      </c>
      <c r="C201">
        <f>Inputs!$B$3&gt;=66</f>
        <v/>
      </c>
      <c r="D201">
        <f>IF(Skills!C13=1,60+Inputs!$B$25+Inputs!$B$29,IF(Skills!C13=2,90+Inputs!$B$26+Inputs!$B$29,IF(Skills!C13=3,120+Inputs!$B$27+Inputs!$B$29,MAX(0,(Inputs!$B$3-100)*3)+Inputs!$B$28+Inputs!$B$29)))</f>
        <v/>
      </c>
      <c r="E201">
        <f>INDEX(FactorTable!$B$2:$Y$301, MATCH(ROUND(MIN(300,MAX(1,D201)),0), FactorTable!$A$2:$A$301,0), Skills!M13+1)</f>
        <v/>
      </c>
      <c r="F201">
        <f>IF(Skills!N13=TRUE,(Skills!L13/10)*(E201/1000),Skills!L13/10)+Skills!O13</f>
        <v/>
      </c>
      <c r="G201">
        <f>Skills!G13*IF(Skills!H13&gt;0,Skills!I13/Skills!H13,1)</f>
        <v/>
      </c>
      <c r="H201">
        <f>1-(1-Skills!J13/100)^Skills!K13</f>
        <v/>
      </c>
      <c r="I201" t="inlineStr">
        <is>
          <t>1</t>
        </is>
      </c>
      <c r="J201" t="inlineStr"/>
      <c r="K201" t="inlineStr"/>
      <c r="L201" t="inlineStr"/>
      <c r="M201" t="inlineStr"/>
      <c r="N201" t="inlineStr"/>
      <c r="O201">
        <f>(1-Summary!$B$11)*T201+Summary!$B$11*V201</f>
        <v/>
      </c>
      <c r="P201">
        <f>IF(B224=0,0,O201/B224)</f>
        <v/>
      </c>
      <c r="Q201" t="n">
        <v>0</v>
      </c>
      <c r="R201" t="n">
        <v>0</v>
      </c>
      <c r="S201">
        <f>IFERROR(O201/N201,0)</f>
        <v/>
      </c>
      <c r="T201" t="n">
        <v>0</v>
      </c>
      <c r="V201" t="n">
        <v>0</v>
      </c>
    </row>
    <row r="202">
      <c r="A202">
        <f>Skills!A14</f>
        <v/>
      </c>
      <c r="B202">
        <f>Skills!B14</f>
        <v/>
      </c>
      <c r="C202">
        <f>Inputs!$B$3&gt;=107</f>
        <v/>
      </c>
      <c r="D202">
        <f>IF(Skills!C14=1,60+Inputs!$B$25+Inputs!$B$29,IF(Skills!C14=2,90+Inputs!$B$26+Inputs!$B$29,IF(Skills!C14=3,120+Inputs!$B$27+Inputs!$B$29,MAX(0,(Inputs!$B$3-100)*3)+Inputs!$B$28+Inputs!$B$29)))</f>
        <v/>
      </c>
      <c r="E202">
        <f>INDEX(FactorTable!$B$2:$Y$301, MATCH(ROUND(MIN(300,MAX(1,D202)),0), FactorTable!$A$2:$A$301,0), Skills!M14+1)</f>
        <v/>
      </c>
      <c r="F202">
        <f>IF(Skills!N14=TRUE,(Skills!L14/10)*(E202/1000),Skills!L14/10)+Skills!O14</f>
        <v/>
      </c>
      <c r="G202">
        <f>Skills!G14*IF(Skills!H14&gt;0,Skills!I14/Skills!H14,1)</f>
        <v/>
      </c>
      <c r="H202">
        <f>1-(1-Skills!J14/100)^Skills!K14</f>
        <v/>
      </c>
      <c r="I202" t="inlineStr">
        <is>
          <t>1</t>
        </is>
      </c>
      <c r="J202" t="inlineStr"/>
      <c r="K202" t="inlineStr"/>
      <c r="L202" t="inlineStr"/>
      <c r="M202" t="inlineStr"/>
      <c r="N202" t="inlineStr"/>
      <c r="O202">
        <f>(1-Summary!$B$11)*T202+Summary!$B$11*V202</f>
        <v/>
      </c>
      <c r="P202">
        <f>IF(B224=0,0,O202/B224)</f>
        <v/>
      </c>
      <c r="Q202">
        <f>IFERROR(1/(IF(Inputs!$B$38="pvp",15,MAX(0.1,Skills!D14-IF(Skills!E14=TRUE,Inputs!$B$32,0)))*(1-IF(AND(ArtifactsInput!$M$27,Inputs!$B$4="Chapter Hunt"),CHOOSE(ArtifactsInput!$N$27+1,20,24,28,32,36,40),0)/100)),0)</f>
        <v/>
      </c>
      <c r="R202">
        <f>IF(AND(Inputs!$B$38&lt;&gt;"pvp",Inputs!$B$43&gt;0),IF(Inputs!$B$43&lt;=0,0,(INT(Inputs!$B$43/(IF(Inputs!$B$38="pvp",15,MAX(0.1,Skills!D14-IF(Skills!E14=TRUE,Inputs!$B$32,0)))*(1-IF(AND(ArtifactsInput!$M$27,Inputs!$B$4="Chapter Hunt"),CHOOSE(ArtifactsInput!$N$27+1,20,24,28,32,36,40),0)/100)))+1)),0)</f>
        <v/>
      </c>
      <c r="S202">
        <f>IFERROR(O202/N202,0)</f>
        <v/>
      </c>
      <c r="T202" t="n">
        <v>0</v>
      </c>
      <c r="V202" t="n">
        <v>0</v>
      </c>
    </row>
    <row r="203">
      <c r="A203">
        <f>Skills!A15</f>
        <v/>
      </c>
      <c r="B203">
        <f>Skills!B15</f>
        <v/>
      </c>
      <c r="C203">
        <f>Inputs!$B$3&gt;=115</f>
        <v/>
      </c>
      <c r="D203">
        <f>IF(Skills!C15=1,60+Inputs!$B$25+Inputs!$B$29,IF(Skills!C15=2,90+Inputs!$B$26+Inputs!$B$29,IF(Skills!C15=3,120+Inputs!$B$27+Inputs!$B$29,MAX(0,(Inputs!$B$3-100)*3)+Inputs!$B$28+Inputs!$B$29)))</f>
        <v/>
      </c>
      <c r="E203">
        <f>INDEX(FactorTable!$B$2:$Y$301, MATCH(ROUND(MIN(300,MAX(1,D203)),0), FactorTable!$A$2:$A$301,0), Skills!M15+1)</f>
        <v/>
      </c>
      <c r="F203">
        <f>IF(Skills!N15=TRUE,(Skills!L15/10)*(E203/1000),Skills!L15/10)+Skills!O15</f>
        <v/>
      </c>
      <c r="G203">
        <f>Skills!G15*IF(Skills!H15&gt;0,Skills!I15/Skills!H15,1)</f>
        <v/>
      </c>
      <c r="H203">
        <f>1-(1-Skills!J15/100)^Skills!K15</f>
        <v/>
      </c>
      <c r="I203" t="inlineStr">
        <is>
          <t>1</t>
        </is>
      </c>
      <c r="J203" t="inlineStr"/>
      <c r="K203" t="inlineStr"/>
      <c r="L203" t="inlineStr"/>
      <c r="M203" t="inlineStr"/>
      <c r="N203" t="inlineStr"/>
      <c r="O203">
        <f>(1-Summary!$B$11)*T203+Summary!$B$11*V203</f>
        <v/>
      </c>
      <c r="P203">
        <f>IF(B224=0,0,O203/B224)</f>
        <v/>
      </c>
      <c r="Q203">
        <f>IFERROR(1/(IF(Inputs!$B$38="pvp",15,MAX(0.1,Skills!D15-IF(Skills!E15=TRUE,Inputs!$B$32,0)))*(1-IF(AND(ArtifactsInput!$M$27,Inputs!$B$4="Chapter Hunt"),CHOOSE(ArtifactsInput!$N$27+1,20,24,28,32,36,40),0)/100)),0)</f>
        <v/>
      </c>
      <c r="R203">
        <f>IF(AND(Inputs!$B$38&lt;&gt;"pvp",Inputs!$B$43&gt;0),IF(Inputs!$B$43&lt;=0,0,(INT(Inputs!$B$43/(IF(Inputs!$B$38="pvp",15,MAX(0.1,Skills!D15-IF(Skills!E15=TRUE,Inputs!$B$32,0)))*(1-IF(AND(ArtifactsInput!$M$27,Inputs!$B$4="Chapter Hunt"),CHOOSE(ArtifactsInput!$N$27+1,20,24,28,32,36,40),0)/100)))+1)),0)</f>
        <v/>
      </c>
      <c r="S203">
        <f>IFERROR(O203/N203,0)</f>
        <v/>
      </c>
      <c r="T203" t="n">
        <v>0</v>
      </c>
      <c r="V203" t="n">
        <v>0</v>
      </c>
    </row>
    <row r="204">
      <c r="A204">
        <f>Skills!A16</f>
        <v/>
      </c>
      <c r="B204">
        <f>Skills!B16</f>
        <v/>
      </c>
      <c r="C204">
        <f>Inputs!$B$3&gt;=15</f>
        <v/>
      </c>
      <c r="D204">
        <f>IF(Skills!C16=1,60+Inputs!$B$25+Inputs!$B$29,IF(Skills!C16=2,90+Inputs!$B$26+Inputs!$B$29,IF(Skills!C16=3,120+Inputs!$B$27+Inputs!$B$29,MAX(0,(Inputs!$B$3-100)*3)+Inputs!$B$28+Inputs!$B$29)))</f>
        <v/>
      </c>
      <c r="E204">
        <f>INDEX(FactorTable!$B$2:$Y$301, MATCH(ROUND(MIN(300,MAX(1,D204)),0), FactorTable!$A$2:$A$301,0), Skills!M16+1)</f>
        <v/>
      </c>
      <c r="F204">
        <f>IF(Skills!N16=TRUE,(Skills!L16/10)*(E204/1000),Skills!L16/10)+Skills!O16</f>
        <v/>
      </c>
      <c r="G204">
        <f>Skills!G16*IF(Skills!H16&gt;0,Skills!I16/Skills!H16,1)</f>
        <v/>
      </c>
      <c r="H204">
        <f>1-(1-Skills!J16/100)^Skills!K16</f>
        <v/>
      </c>
      <c r="I204" t="inlineStr">
        <is>
          <t>1</t>
        </is>
      </c>
      <c r="J204" t="inlineStr"/>
      <c r="K204" t="inlineStr"/>
      <c r="L204" t="inlineStr"/>
      <c r="M204" t="inlineStr"/>
      <c r="N204" t="inlineStr"/>
      <c r="O204">
        <f>(1-Summary!$B$11)*T204+Summary!$B$11*V204</f>
        <v/>
      </c>
      <c r="P204">
        <f>IF(B224=0,0,O204/B224)</f>
        <v/>
      </c>
      <c r="Q204" t="n">
        <v>0</v>
      </c>
      <c r="R204" t="n">
        <v>0</v>
      </c>
      <c r="S204">
        <f>IFERROR(O204/N204,0)</f>
        <v/>
      </c>
      <c r="T204" t="n">
        <v>0</v>
      </c>
      <c r="V204" t="n">
        <v>0</v>
      </c>
    </row>
    <row r="205">
      <c r="A205">
        <f>Skills!A17</f>
        <v/>
      </c>
      <c r="B205">
        <f>Skills!B17</f>
        <v/>
      </c>
      <c r="C205">
        <f>Inputs!$B$3&gt;=10</f>
        <v/>
      </c>
      <c r="D205">
        <f>IF(Skills!C17=1,60+Inputs!$B$25+Inputs!$B$29,IF(Skills!C17=2,90+Inputs!$B$26+Inputs!$B$29,IF(Skills!C17=3,120+Inputs!$B$27+Inputs!$B$29,MAX(0,(Inputs!$B$3-100)*3)+Inputs!$B$28+Inputs!$B$29)))</f>
        <v/>
      </c>
      <c r="E205">
        <f>INDEX(FactorTable!$B$2:$Y$301, MATCH(ROUND(MIN(300,MAX(1,D205)),0), FactorTable!$A$2:$A$301,0), Skills!M17+1)</f>
        <v/>
      </c>
      <c r="F205">
        <f>IF(Skills!N17=TRUE,(Skills!L17/10)*(E205/1000),Skills!L17/10)+Skills!O17</f>
        <v/>
      </c>
      <c r="G205">
        <f>Skills!G17*IF(Skills!H17&gt;0,Skills!I17/Skills!H17,1)</f>
        <v/>
      </c>
      <c r="H205">
        <f>1-(1-Skills!J17/100)^Skills!K17</f>
        <v/>
      </c>
      <c r="I205" t="inlineStr">
        <is>
          <t>1</t>
        </is>
      </c>
      <c r="J205" t="inlineStr"/>
      <c r="K205" t="inlineStr"/>
      <c r="L205" t="inlineStr"/>
      <c r="M205" t="inlineStr"/>
      <c r="N205" t="inlineStr"/>
      <c r="O205">
        <f>(1-Summary!$B$11)*T205+Summary!$B$11*V205</f>
        <v/>
      </c>
      <c r="P205">
        <f>IF(B224=0,0,O205/B224)</f>
        <v/>
      </c>
      <c r="Q205" t="n">
        <v>0</v>
      </c>
      <c r="R205" t="n">
        <v>0</v>
      </c>
      <c r="S205">
        <f>IFERROR(O205/N205,0)</f>
        <v/>
      </c>
      <c r="T205" t="n">
        <v>0</v>
      </c>
      <c r="V205" t="n">
        <v>0</v>
      </c>
    </row>
    <row r="206">
      <c r="A206">
        <f>Skills!A18</f>
        <v/>
      </c>
      <c r="B206">
        <f>Skills!B18</f>
        <v/>
      </c>
      <c r="C206">
        <f>Inputs!$B$3&gt;=33</f>
        <v/>
      </c>
      <c r="D206">
        <f>IF(Skills!C18=1,60+Inputs!$B$25+Inputs!$B$29,IF(Skills!C18=2,90+Inputs!$B$26+Inputs!$B$29,IF(Skills!C18=3,120+Inputs!$B$27+Inputs!$B$29,MAX(0,(Inputs!$B$3-100)*3)+Inputs!$B$28+Inputs!$B$29)))</f>
        <v/>
      </c>
      <c r="E206">
        <f>INDEX(FactorTable!$B$2:$Y$301, MATCH(ROUND(MIN(300,MAX(1,D206)),0), FactorTable!$A$2:$A$301,0), Skills!M18+1)</f>
        <v/>
      </c>
      <c r="F206">
        <f>IF(Skills!N18=TRUE,(Skills!L18/10)*(E206/1000),Skills!L18/10)+Skills!O18</f>
        <v/>
      </c>
      <c r="G206">
        <f>Skills!G18*IF(Skills!H18&gt;0,Skills!I18/Skills!H18,1)</f>
        <v/>
      </c>
      <c r="H206">
        <f>1-(1-Skills!J18/100)^Skills!K18</f>
        <v/>
      </c>
      <c r="I206" t="inlineStr">
        <is>
          <t>1</t>
        </is>
      </c>
      <c r="J206" t="inlineStr"/>
      <c r="K206" t="inlineStr"/>
      <c r="L206" t="inlineStr"/>
      <c r="M206" t="inlineStr"/>
      <c r="N206" t="inlineStr"/>
      <c r="O206">
        <f>(1-Summary!$B$11)*T206+Summary!$B$11*V206</f>
        <v/>
      </c>
      <c r="P206">
        <f>IF(B224=0,0,O206/B224)</f>
        <v/>
      </c>
      <c r="Q206" t="n">
        <v>0</v>
      </c>
      <c r="R206" t="n">
        <v>0</v>
      </c>
      <c r="S206">
        <f>IFERROR(O206/N206,0)</f>
        <v/>
      </c>
      <c r="T206" t="n">
        <v>0</v>
      </c>
      <c r="V206" t="n">
        <v>0</v>
      </c>
    </row>
    <row r="207">
      <c r="A207">
        <f>Skills!A19</f>
        <v/>
      </c>
      <c r="B207">
        <f>Skills!B19</f>
        <v/>
      </c>
      <c r="C207">
        <f>Inputs!$B$3&gt;=40</f>
        <v/>
      </c>
      <c r="D207">
        <f>IF(Skills!C19=1,60+Inputs!$B$25+Inputs!$B$29,IF(Skills!C19=2,90+Inputs!$B$26+Inputs!$B$29,IF(Skills!C19=3,120+Inputs!$B$27+Inputs!$B$29,MAX(0,(Inputs!$B$3-100)*3)+Inputs!$B$28+Inputs!$B$29)))</f>
        <v/>
      </c>
      <c r="E207">
        <f>INDEX(FactorTable!$B$2:$Y$301, MATCH(ROUND(MIN(300,MAX(1,D207)),0), FactorTable!$A$2:$A$301,0), Skills!M19+1)</f>
        <v/>
      </c>
      <c r="F207">
        <f>IF(Skills!N19=TRUE,(Skills!L19/10)*(E207/1000),Skills!L19/10)+Skills!O19</f>
        <v/>
      </c>
      <c r="G207">
        <f>Skills!G19*IF(Skills!H19&gt;0,Skills!I19/Skills!H19,1)</f>
        <v/>
      </c>
      <c r="H207">
        <f>1-(1-Skills!J19/100)^Skills!K19</f>
        <v/>
      </c>
      <c r="I207" t="inlineStr">
        <is>
          <t>1</t>
        </is>
      </c>
      <c r="J207" t="inlineStr"/>
      <c r="K207" t="inlineStr"/>
      <c r="L207" t="inlineStr"/>
      <c r="M207" t="inlineStr"/>
      <c r="N207" t="inlineStr"/>
      <c r="O207">
        <f>(1-Summary!$B$11)*T207+Summary!$B$11*V207</f>
        <v/>
      </c>
      <c r="P207">
        <f>IF(B224=0,0,O207/B224)</f>
        <v/>
      </c>
      <c r="Q207" t="n">
        <v>0</v>
      </c>
      <c r="R207" t="n">
        <v>0</v>
      </c>
      <c r="S207">
        <f>IFERROR(O207/N207,0)</f>
        <v/>
      </c>
      <c r="T207" t="n">
        <v>0</v>
      </c>
      <c r="V207" t="n">
        <v>0</v>
      </c>
    </row>
    <row r="208">
      <c r="A208">
        <f>Skills!A20</f>
        <v/>
      </c>
      <c r="B208">
        <f>Skills!B20</f>
        <v/>
      </c>
      <c r="C208">
        <f>Inputs!$B$3&gt;=43</f>
        <v/>
      </c>
      <c r="D208">
        <f>IF(Skills!C20=1,60+Inputs!$B$25+Inputs!$B$29,IF(Skills!C20=2,90+Inputs!$B$26+Inputs!$B$29,IF(Skills!C20=3,120+Inputs!$B$27+Inputs!$B$29,MAX(0,(Inputs!$B$3-100)*3)+Inputs!$B$28+Inputs!$B$29)))</f>
        <v/>
      </c>
      <c r="E208">
        <f>INDEX(FactorTable!$B$2:$Y$301, MATCH(ROUND(MIN(300,MAX(1,D208)),0), FactorTable!$A$2:$A$301,0), Skills!M20+1)</f>
        <v/>
      </c>
      <c r="F208">
        <f>IF(Skills!N20=TRUE,(Skills!L20/10)*(E208/1000),Skills!L20/10)+Skills!O20</f>
        <v/>
      </c>
      <c r="G208">
        <f>Skills!G20*IF(Skills!H20&gt;0,Skills!I20/Skills!H20,1)</f>
        <v/>
      </c>
      <c r="H208">
        <f>1-(1-Skills!J20/100)^Skills!K20</f>
        <v/>
      </c>
      <c r="I208" t="inlineStr">
        <is>
          <t>1</t>
        </is>
      </c>
      <c r="J208" t="inlineStr"/>
      <c r="K208" t="inlineStr"/>
      <c r="L208" t="inlineStr"/>
      <c r="M208" t="inlineStr"/>
      <c r="N208" t="inlineStr"/>
      <c r="O208">
        <f>(1-Summary!$B$11)*T208+Summary!$B$11*V208</f>
        <v/>
      </c>
      <c r="P208">
        <f>IF(B224=0,0,O208/B224)</f>
        <v/>
      </c>
      <c r="Q208" t="n">
        <v>0</v>
      </c>
      <c r="R208" t="n">
        <v>0</v>
      </c>
      <c r="S208">
        <f>IFERROR(O208/N208,0)</f>
        <v/>
      </c>
      <c r="T208" t="n">
        <v>0</v>
      </c>
      <c r="V208" t="n">
        <v>0</v>
      </c>
    </row>
    <row r="209">
      <c r="A209">
        <f>Skills!A21</f>
        <v/>
      </c>
      <c r="B209">
        <f>Skills!B21</f>
        <v/>
      </c>
      <c r="C209">
        <f>Inputs!$B$3&gt;=38</f>
        <v/>
      </c>
      <c r="D209">
        <f>IF(Skills!C21=1,60+Inputs!$B$25+Inputs!$B$29,IF(Skills!C21=2,90+Inputs!$B$26+Inputs!$B$29,IF(Skills!C21=3,120+Inputs!$B$27+Inputs!$B$29,MAX(0,(Inputs!$B$3-100)*3)+Inputs!$B$28+Inputs!$B$29)))</f>
        <v/>
      </c>
      <c r="E209">
        <f>INDEX(FactorTable!$B$2:$Y$301, MATCH(ROUND(MIN(300,MAX(1,D209)),0), FactorTable!$A$2:$A$301,0), Skills!M21+1)</f>
        <v/>
      </c>
      <c r="F209">
        <f>IF(Skills!N21=TRUE,(Skills!L21/10)*(E209/1000),Skills!L21/10)+Skills!O21</f>
        <v/>
      </c>
      <c r="G209">
        <f>Skills!G21*IF(Skills!H21&gt;0,Skills!I21/Skills!H21,1)</f>
        <v/>
      </c>
      <c r="H209">
        <f>1-(1-Skills!J21/100)^Skills!K21</f>
        <v/>
      </c>
      <c r="I209" t="inlineStr">
        <is>
          <t>1</t>
        </is>
      </c>
      <c r="J209" t="inlineStr"/>
      <c r="K209" t="inlineStr"/>
      <c r="L209" t="inlineStr"/>
      <c r="M209" t="inlineStr"/>
      <c r="N209" t="inlineStr"/>
      <c r="O209">
        <f>(1-Summary!$B$11)*T209+Summary!$B$11*V209</f>
        <v/>
      </c>
      <c r="P209">
        <f>IF(B224=0,0,O209/B224)</f>
        <v/>
      </c>
      <c r="Q209" t="n">
        <v>0</v>
      </c>
      <c r="R209" t="n">
        <v>0</v>
      </c>
      <c r="S209">
        <f>IFERROR(O209/N209,0)</f>
        <v/>
      </c>
      <c r="T209" t="n">
        <v>0</v>
      </c>
      <c r="V209" t="n">
        <v>0</v>
      </c>
    </row>
    <row r="210">
      <c r="A210">
        <f>Skills!A22</f>
        <v/>
      </c>
      <c r="B210">
        <f>Skills!B22</f>
        <v/>
      </c>
      <c r="C210">
        <f>Inputs!$B$3&gt;=75</f>
        <v/>
      </c>
      <c r="D210">
        <f>IF(Skills!C22=1,60+Inputs!$B$25+Inputs!$B$29,IF(Skills!C22=2,90+Inputs!$B$26+Inputs!$B$29,IF(Skills!C22=3,120+Inputs!$B$27+Inputs!$B$29,MAX(0,(Inputs!$B$3-100)*3)+Inputs!$B$28+Inputs!$B$29)))</f>
        <v/>
      </c>
      <c r="E210">
        <f>INDEX(FactorTable!$B$2:$Y$301, MATCH(ROUND(MIN(300,MAX(1,D210)),0), FactorTable!$A$2:$A$301,0), Skills!M22+1)</f>
        <v/>
      </c>
      <c r="F210">
        <f>IF(Skills!N22=TRUE,(Skills!L22/10)*(E210/1000),Skills!L22/10)+Skills!O22</f>
        <v/>
      </c>
      <c r="G210">
        <f>Skills!G22*IF(Skills!H22&gt;0,Skills!I22/Skills!H22,1)</f>
        <v/>
      </c>
      <c r="H210">
        <f>1-(1-Skills!J22/100)^Skills!K22</f>
        <v/>
      </c>
      <c r="I210" t="inlineStr">
        <is>
          <t>1</t>
        </is>
      </c>
      <c r="J210" t="inlineStr"/>
      <c r="K210" t="inlineStr"/>
      <c r="L210" t="inlineStr"/>
      <c r="M210" t="inlineStr"/>
      <c r="N210" t="inlineStr"/>
      <c r="O210">
        <f>(1-Summary!$B$11)*T210+Summary!$B$11*V210</f>
        <v/>
      </c>
      <c r="P210">
        <f>IF(B224=0,0,O210/B224)</f>
        <v/>
      </c>
      <c r="Q210" t="n">
        <v>0</v>
      </c>
      <c r="R210" t="n">
        <v>0</v>
      </c>
      <c r="S210">
        <f>IFERROR(O210/N210,0)</f>
        <v/>
      </c>
      <c r="T210" t="n">
        <v>0</v>
      </c>
      <c r="V210" t="n">
        <v>0</v>
      </c>
    </row>
    <row r="211">
      <c r="A211">
        <f>Skills!A23</f>
        <v/>
      </c>
      <c r="B211">
        <f>Skills!B23</f>
        <v/>
      </c>
      <c r="C211">
        <f>TRUE</f>
        <v/>
      </c>
      <c r="D211">
        <f>IF(Skills!C23=1,60+Inputs!$B$25+Inputs!$B$29,IF(Skills!C23=2,90+Inputs!$B$26+Inputs!$B$29,IF(Skills!C23=3,120+Inputs!$B$27+Inputs!$B$29,MAX(0,(Inputs!$B$3-100)*3)+Inputs!$B$28+Inputs!$B$29)))</f>
        <v/>
      </c>
      <c r="E211">
        <f>INDEX(FactorTable!$B$2:$Y$301, MATCH(ROUND(MIN(300,MAX(1,D211)),0), FactorTable!$A$2:$A$301,0), Skills!M23+1)</f>
        <v/>
      </c>
      <c r="F211">
        <f>IF(Skills!N23=TRUE,(Skills!L23/10)*(E211/1000),Skills!L23/10)+Skills!O23</f>
        <v/>
      </c>
      <c r="G211">
        <f>Skills!G23*IF(Skills!H23&gt;0,Skills!I23/Skills!H23,1)</f>
        <v/>
      </c>
      <c r="H211">
        <f>1-(1-Skills!J23/100)^Skills!K23</f>
        <v/>
      </c>
      <c r="I211" t="inlineStr">
        <is>
          <t>1</t>
        </is>
      </c>
      <c r="J211" t="inlineStr"/>
      <c r="K211" t="inlineStr"/>
      <c r="L211" t="inlineStr"/>
      <c r="M211" t="inlineStr"/>
      <c r="N211" t="inlineStr"/>
      <c r="O211">
        <f>(1-Summary!$B$11)*T211+Summary!$B$11*V211</f>
        <v/>
      </c>
      <c r="P211">
        <f>IF(B224=0,0,O211/B224)</f>
        <v/>
      </c>
      <c r="Q211">
        <f>IFERROR(1/(IF(Inputs!$B$38="pvp",15,MAX(0.1,Skills!D23-IF(Skills!E23=TRUE,Inputs!$B$32,0)))*(1-IF(AND(ArtifactsInput!$M$27,Inputs!$B$4="Chapter Hunt"),CHOOSE(ArtifactsInput!$N$27+1,20,24,28,32,36,40),0)/100)),0)</f>
        <v/>
      </c>
      <c r="R211">
        <f>IF(AND(Inputs!$B$38&lt;&gt;"pvp",Inputs!$B$43&gt;0),IF(Inputs!$B$43&lt;=0,0,(INT(Inputs!$B$43/(IF(Inputs!$B$38="pvp",15,MAX(0.1,Skills!D23-IF(Skills!E23=TRUE,Inputs!$B$32,0)))*(1-IF(AND(ArtifactsInput!$M$27,Inputs!$B$4="Chapter Hunt"),CHOOSE(ArtifactsInput!$N$27+1,20,24,28,32,36,40),0)/100)))+1)),0)</f>
        <v/>
      </c>
      <c r="S211">
        <f>IFERROR(O211/N211,0)</f>
        <v/>
      </c>
      <c r="T211" t="n">
        <v>0</v>
      </c>
      <c r="V211" t="n">
        <v>0</v>
      </c>
    </row>
    <row r="213">
      <c r="A213" t="inlineStr">
        <is>
          <t>Attack% Bucket Multiplier</t>
        </is>
      </c>
      <c r="B213">
        <f>(1+(((C201=TRUE)*F201*5/7)+((C207=TRUE)*(F207-Calc!F19))+(IF(ArtifactsInput!$M$21,CHOOSE(ArtifactsInput!$N$21+1,25,30,35,40,45,50)*(IF(OR(Inputs!$B$4="Chapter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4">
      <c r="A214" t="inlineStr">
        <is>
          <t>Global Crit Rate Bonus %</t>
        </is>
      </c>
      <c r="B214" t="n">
        <v>0</v>
      </c>
    </row>
    <row r="215">
      <c r="A215" t="inlineStr">
        <is>
          <t>Attack Speed Buff Bonus % (Nimble Feet, duty-cycle averaged)</t>
        </is>
      </c>
      <c r="B215">
        <f>((C211=TRUE)*F211*IF(AND(Inputs!$B$38&lt;&gt;"pvp",Inputs!$B$43&gt;0),(((R211-1)*(Skills!T23*(1+Inputs!$B$34/100))+MIN((Skills!T23*(1+Inputs!$B$34/100)),MAX(0,Inputs!$B$43-((R211-1)*Skills!D23))))/Inputs!$B$43),IF(Inputs!$B$38="pvp",MIN((Skills!T23*(1+Inputs!$B$34/100)),15)/15,(Skills!T23*(1+Inputs!$B$34/100))/Skills!D23)))</f>
        <v/>
      </c>
    </row>
    <row r="216">
      <c r="A216" t="inlineStr">
        <is>
          <t>Actions Per Second</t>
        </is>
      </c>
      <c r="B216">
        <f>1+MIN(150,150*(1-(1-(Inputs!$B$11+((C205=TRUE)*(F205-Calc!F17))+((C206=TRUE)*(F206-Calc!F18)))/150)*(1-B215/150)))/100</f>
        <v/>
      </c>
    </row>
    <row r="217">
      <c r="A217" t="inlineStr">
        <is>
          <t>Skill + Buff Cast Rate</t>
        </is>
      </c>
      <c r="B217">
        <f>IF(AND(Inputs!$B$38&lt;&gt;"pvp",Inputs!$B$43&gt;0),SUMPRODUCT((Skills!E2:E23=TRUE)*(C190:C211=TRUE)*R190:R211*Skills!F2:F23)/Inputs!$B$43,SUMPRODUCT((Skills!E2:E23=TRUE)*(C190:C211=TRUE)*Q190:Q211*Skills!F2:F23))</f>
        <v/>
      </c>
    </row>
    <row r="218">
      <c r="A218" t="inlineStr">
        <is>
          <t>Hook Bomber Casts Per Second</t>
        </is>
      </c>
      <c r="B218">
        <f>MAX(0,B216-B217)</f>
        <v/>
      </c>
    </row>
    <row r="219">
      <c r="A219" t="inlineStr">
        <is>
          <t>Global Critical Damage Bonus % (unused)</t>
        </is>
      </c>
      <c r="B219" t="n">
        <v>0</v>
      </c>
    </row>
    <row r="220">
      <c r="A220" t="inlineStr">
        <is>
          <t>Global Final Damage Bonus % (Serpent Scale + Crossbones + Time Leap + Speed Infusion)</t>
        </is>
      </c>
      <c r="B220">
        <f>((C193=TRUE)*F193*((10+IF(Inputs!$B$3&gt;=94,5,0))/((10+IF(Inputs!$B$3&gt;=94,5,0))+5/(B218*(1+IF(Inputs!$B$3&gt;=104,1,0))))))+((C202=TRUE)*F202*IF(AND(Inputs!$B$38&lt;&gt;"pvp",Inputs!$B$43&gt;0),(((R202-1)*(Skills!T14*(1+Inputs!$B$34/100))+MIN((Skills!T14*(1+Inputs!$B$34/100)),MAX(0,Inputs!$B$43-((R202-1)*Skills!D14))))/Inputs!$B$43),IF(Inputs!$B$38="pvp",MIN((Skills!T14*(1+Inputs!$B$34/100)),15)/15,(Skills!T14*(1+Inputs!$B$34/100))/Skills!D14)))+((C203=TRUE)*F203*IF(AND(Inputs!$B$38&lt;&gt;"pvp",Inputs!$B$43&gt;0),(((R203-1)*(Skills!T15*(1+Inputs!$B$34/100))+MIN((Skills!T15*(1+Inputs!$B$34/100)),MAX(0,Inputs!$B$43-((R203-1)*Skills!D15))))/Inputs!$B$43),IF(Inputs!$B$38="pvp",MIN((Skills!T15*(1+Inputs!$B$34/100)),15)/15,(Skills!T15*(1+Inputs!$B$34/100))/Skills!D15)))+((Inputs!$B$3&gt;=110)*20*(B216-1)*IF(Inputs!$B$38="pvp",MIN((15*(1+Inputs!$B$34/100)),15)/15,(15*(1+Inputs!$B$34/100))/35))</f>
        <v/>
      </c>
    </row>
    <row r="221">
      <c r="A221" t="inlineStr">
        <is>
          <t>Buff-Casting Startup Delay (s, fixed-duration only)</t>
        </is>
      </c>
      <c r="B221">
        <f>IF(AND(Inputs!$B$38&lt;&gt;"pvp",Inputs!$B$43&gt;0),SUMPRODUCT((Skills!T2:T23&gt;0)*(Skills!E2:E23=TRUE)*(C190:C211=TRUE))/B216,0)</f>
        <v/>
      </c>
    </row>
    <row r="222">
      <c r="A222" t="inlineStr">
        <is>
          <t>Boss-Only Total DPS (this block's swept value)</t>
        </is>
      </c>
      <c r="B222">
        <f>SUM(T190:T211)</f>
        <v/>
      </c>
    </row>
    <row r="223">
      <c r="A223" t="inlineStr">
        <is>
          <t>Normal-Only Total DPS (this block's swept value)</t>
        </is>
      </c>
      <c r="B223">
        <f>SUM(V190:V211)</f>
        <v/>
      </c>
    </row>
    <row r="224">
      <c r="A224" s="6" t="inlineStr">
        <is>
          <t>TOTAL DPS</t>
        </is>
      </c>
      <c r="B224" s="6">
        <f>SUM(O190:O211)</f>
        <v/>
      </c>
    </row>
    <row r="227">
      <c r="A227" s="6" t="inlineStr">
        <is>
          <t>Stat: DAMAGE_AMP %</t>
        </is>
      </c>
    </row>
    <row r="228">
      <c r="A228" s="5" t="inlineStr">
        <is>
          <t>Key</t>
        </is>
      </c>
      <c r="B228" s="5" t="inlineStr">
        <is>
          <t>Name</t>
        </is>
      </c>
      <c r="C228" s="5" t="inlineStr">
        <is>
          <t>Unlocked</t>
        </is>
      </c>
      <c r="D228" s="5" t="inlineStr">
        <is>
          <t>InputLevel</t>
        </is>
      </c>
      <c r="E228" s="5" t="inlineStr">
        <is>
          <t>Factor</t>
        </is>
      </c>
      <c r="F228" s="5" t="inlineStr">
        <is>
          <t>CoefficientPercent</t>
        </is>
      </c>
      <c r="G228" s="5" t="inlineStr">
        <is>
          <t>EffectiveHits</t>
        </is>
      </c>
      <c r="H228" s="5" t="inlineStr">
        <is>
          <t>ProcProbability</t>
        </is>
      </c>
      <c r="I228" s="5" t="inlineStr">
        <is>
          <t>MapleHeroMultiplier</t>
        </is>
      </c>
      <c r="J228" s="5" t="inlineStr">
        <is>
          <t>BaseDamage</t>
        </is>
      </c>
      <c r="K228" s="5" t="inlineStr">
        <is>
          <t>BaseHitDamage</t>
        </is>
      </c>
      <c r="L228" s="5" t="inlineStr">
        <is>
          <t>NonCritAvg</t>
        </is>
      </c>
      <c r="M228" s="5" t="inlineStr">
        <is>
          <t>CritAvg</t>
        </is>
      </c>
      <c r="N228" s="5" t="inlineStr">
        <is>
          <t>ExpectedDamage(perHit)</t>
        </is>
      </c>
      <c r="O228" s="5" t="inlineStr">
        <is>
          <t>DPS</t>
        </is>
      </c>
      <c r="P228" s="5" t="inlineStr">
        <is>
          <t>% of Total</t>
        </is>
      </c>
      <c r="Q228" s="5" t="inlineStr">
        <is>
          <t>InvCooldown</t>
        </is>
      </c>
      <c r="R228" s="5" t="inlineStr">
        <is>
          <t>CastsInFight</t>
        </is>
      </c>
      <c r="S228" s="5" t="inlineStr">
        <is>
          <t>HitRate(perSec)</t>
        </is>
      </c>
      <c r="U228" t="inlineStr">
        <is>
          <t>helpers</t>
        </is>
      </c>
    </row>
    <row r="229">
      <c r="A229">
        <f>Skills!A2</f>
        <v/>
      </c>
      <c r="B229">
        <f>Skills!B2</f>
        <v/>
      </c>
      <c r="C229">
        <f>Inputs!$B$3&gt;=100</f>
        <v/>
      </c>
      <c r="D229" t="inlineStr"/>
      <c r="E229" t="inlineStr"/>
      <c r="F229">
        <f>U231+Skills!O2</f>
        <v/>
      </c>
      <c r="G229">
        <f>Skills!G2*IF(Skills!H2&gt;0,Skills!I2/Skills!H2,1)</f>
        <v/>
      </c>
      <c r="H229">
        <f>1-(1-Skills!J2/100)^Skills!K2</f>
        <v/>
      </c>
      <c r="I229" t="inlineStr">
        <is>
          <t>1</t>
        </is>
      </c>
      <c r="J229">
        <f>((Inputs!$B$6*(1+Inputs!$B$7/100))+(((Inputs!$B$12*(1+Inputs!$B$13/100))-(Inputs!$B$12*(1+Inputs!$B$13/100)))+0.25*(Inputs!$B$14-Inputs!$B$14))*(1+Inputs!$B$7/100))*(F229/100)</f>
        <v/>
      </c>
      <c r="K229">
        <f>J229*(1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f>
        <v/>
      </c>
      <c r="L229">
        <f>K229*(MIN(Inputs!$B$22+((C247=TRUE)*(F247-Calc!F20)),(Inputs!$B$23+0+(IF(ArtifactsInput!$M$15,CHOOSE(ArtifactsInput!$N$15+1,25,30,35,40,45,50)/100*(Inputs!$B$11-Inputs!$B$11),0))))/100+(Inputs!$B$23+0+(IF(ArtifactsInput!$M$15,CHOOSE(ArtifactsInput!$N$15+1,25,30,35,40,45,50)/100*(Inputs!$B$11-Inputs!$B$11),0)))/100)/2</f>
        <v/>
      </c>
      <c r="M229">
        <f>L229*(1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
        <f>L229*(1-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
        <f>(1-Summary!$B$11)*T229+Summary!$B$11*V229</f>
        <v/>
      </c>
      <c r="P229">
        <f>IF(B263=0,0,O229/B263)</f>
        <v/>
      </c>
      <c r="Q229" t="n">
        <v>0</v>
      </c>
      <c r="R229" t="n">
        <v>0</v>
      </c>
      <c r="S229">
        <f>IFERROR(O229/N229,0)</f>
        <v/>
      </c>
      <c r="T229">
        <f>IF(C229,(Skills!G2*N229*B257)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
        <f>MAX(0,(Inputs!$B$3-100)*3)+Inputs!$B$28+Inputs!$B$29</f>
        <v/>
      </c>
      <c r="V229">
        <f>IF(C229,(Skills!G2*N229*B257)*IF(Inputs!$B$38="pvp",1,(1+(Inputs!$B$21+Skills!Q2+(IF(ArtifactsInput!$M$33,CHOOSE(ArtifactsInput!$N$33+1,30,36,42,48,54,60),0))+(IF(AND(ArtifactsInput!$M$35,Inputs!$B$4&lt;&gt;"Chapter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
      <c r="A230">
        <f>Skills!A3</f>
        <v/>
      </c>
      <c r="B230">
        <f>Skills!B3</f>
        <v/>
      </c>
      <c r="C230">
        <f>Inputs!$B$3&gt;=35</f>
        <v/>
      </c>
      <c r="D230">
        <f>IF(Skills!C3=1,60+Inputs!$B$25+Inputs!$B$29,IF(Skills!C3=2,90+Inputs!$B$26+Inputs!$B$29,IF(Skills!C3=3,120+Inputs!$B$27+Inputs!$B$29,MAX(0,(Inputs!$B$3-100)*3)+Inputs!$B$28+Inputs!$B$29)))</f>
        <v/>
      </c>
      <c r="E230">
        <f>INDEX(FactorTable!$B$2:$Y$301, MATCH(ROUND(MIN(300,MAX(1,D230)),0), FactorTable!$A$2:$A$301,0), Skills!M3+1)</f>
        <v/>
      </c>
      <c r="F230">
        <f>IF(Skills!N3=TRUE,(Skills!L3/10)*(E230/1000),Skills!L3/10)+Skills!O3</f>
        <v/>
      </c>
      <c r="G230">
        <f>Skills!G3*IF(Skills!H3&gt;0,Skills!I3/Skills!H3,1)</f>
        <v/>
      </c>
      <c r="H230">
        <f>1-(1-Skills!J3/100)^Skills!K3</f>
        <v/>
      </c>
      <c r="I230" t="inlineStr">
        <is>
          <t>1</t>
        </is>
      </c>
      <c r="J230">
        <f>((Inputs!$B$6*(1+Inputs!$B$7/100))+(((Inputs!$B$12*(1+Inputs!$B$13/100))-(Inputs!$B$12*(1+Inputs!$B$13/100)))+0.25*(Inputs!$B$14-Inputs!$B$14))*(1+Inputs!$B$7/100))*(F230/100)</f>
        <v/>
      </c>
      <c r="K230">
        <f>J230*(1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f>
        <v/>
      </c>
      <c r="L230">
        <f>K230*(MIN(Inputs!$B$22+((C247=TRUE)*(F247-Calc!F20)),(Inputs!$B$23+0+(IF(ArtifactsInput!$M$15,CHOOSE(ArtifactsInput!$N$15+1,25,30,35,40,45,50)/100*(Inputs!$B$11-Inputs!$B$11),0))))/100+(Inputs!$B$23+0+(IF(ArtifactsInput!$M$15,CHOOSE(ArtifactsInput!$N$15+1,25,30,35,40,45,50)/100*(Inputs!$B$11-Inputs!$B$11),0)))/100)/2</f>
        <v/>
      </c>
      <c r="M230">
        <f>L230*(1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
        <f>L230*(1-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
        <f>(1-Summary!$B$11)*T230+Summary!$B$11*V230</f>
        <v/>
      </c>
      <c r="P230">
        <f>IF(B263=0,0,O230/B263)</f>
        <v/>
      </c>
      <c r="Q230" t="n">
        <v>0</v>
      </c>
      <c r="R230" t="n">
        <v>0</v>
      </c>
      <c r="S230">
        <f>IFERROR(O230/N230,0)</f>
        <v/>
      </c>
      <c r="T230">
        <f>IF(C230,(Skills!G3*H230*N230*B257)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0">
        <f>INDEX(FactorTable!$B$2:$Y$301, MATCH(ROUND(MIN(300,MAX(1,U229)),0), FactorTable!$A$2:$A$301,0), 22)</f>
        <v/>
      </c>
      <c r="V230">
        <f>IF(C230,(Skills!G3*H230*N230*B257)*IF(Inputs!$B$38="pvp",1,(1+(Inputs!$B$21+Skills!Q3+(IF(ArtifactsInput!$M$33,CHOOSE(ArtifactsInput!$N$33+1,30,36,42,48,54,60),0))+(IF(AND(ArtifactsInput!$M$35,Inputs!$B$4&lt;&gt;"Chapter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1">
      <c r="A231">
        <f>Skills!A4</f>
        <v/>
      </c>
      <c r="B231">
        <f>Skills!B4</f>
        <v/>
      </c>
      <c r="C231">
        <f>Inputs!$B$3&gt;=60</f>
        <v/>
      </c>
      <c r="D231">
        <f>IF(Skills!C4=1,60+Inputs!$B$25+Inputs!$B$29,IF(Skills!C4=2,90+Inputs!$B$26+Inputs!$B$29,IF(Skills!C4=3,120+Inputs!$B$27+Inputs!$B$29,MAX(0,(Inputs!$B$3-100)*3)+Inputs!$B$28+Inputs!$B$29)))</f>
        <v/>
      </c>
      <c r="E231">
        <f>INDEX(FactorTable!$B$2:$Y$301, MATCH(ROUND(MIN(300,MAX(1,D231)),0), FactorTable!$A$2:$A$301,0), Skills!M4+1)</f>
        <v/>
      </c>
      <c r="F231">
        <f>IF(Skills!N4=TRUE,(Skills!L4/10)*(E231/1000),Skills!L4/10)+Skills!O4</f>
        <v/>
      </c>
      <c r="G231">
        <f>Skills!G4*IF(Skills!H4&gt;0,Skills!I4/Skills!H4,1)</f>
        <v/>
      </c>
      <c r="H231">
        <f>1-(1-Skills!J4/100)^Skills!K4</f>
        <v/>
      </c>
      <c r="I231" t="inlineStr">
        <is>
          <t>1</t>
        </is>
      </c>
      <c r="J231">
        <f>((Inputs!$B$6*(1+Inputs!$B$7/100))+(((Inputs!$B$12*(1+Inputs!$B$13/100))-(Inputs!$B$12*(1+Inputs!$B$13/100)))+0.25*(Inputs!$B$14-Inputs!$B$14))*(1+Inputs!$B$7/100))*(F231/100)</f>
        <v/>
      </c>
      <c r="K231">
        <f>J231*(1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239=TRUE,F239,0)/100)*(1+(IF(Skills!A4="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231)</f>
        <v/>
      </c>
      <c r="L231">
        <f>K231*(MIN(Inputs!$B$22+((C247=TRUE)*(F247-Calc!F20)),(Inputs!$B$23+0+(IF(ArtifactsInput!$M$15,CHOOSE(ArtifactsInput!$N$15+1,25,30,35,40,45,50)/100*(Inputs!$B$11-Inputs!$B$11),0))))/100+(Inputs!$B$23+0+(IF(ArtifactsInput!$M$15,CHOOSE(ArtifactsInput!$N$15+1,25,30,35,40,45,50)/100*(Inputs!$B$11-Inputs!$B$11),0)))/100)/2</f>
        <v/>
      </c>
      <c r="M231">
        <f>L231*(1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1">
        <f>L231*(1-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1">
        <f>(1-Summary!$B$11)*T231+Summary!$B$11*V231</f>
        <v/>
      </c>
      <c r="P231">
        <f>IF(B263=0,0,O231/B263)</f>
        <v/>
      </c>
      <c r="Q231" t="n">
        <v>0</v>
      </c>
      <c r="R231" t="n">
        <v>0</v>
      </c>
      <c r="S231">
        <f>IFERROR(O231/N231,0)</f>
        <v/>
      </c>
      <c r="T231">
        <f>IF(C231,(Skills!G4*H231*N231*B257)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231*(1-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231*(1-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1">
        <f>290*U230/1000</f>
        <v/>
      </c>
      <c r="V231">
        <f>IF(C231,(Skills!G4*H231*N231*B257)*IF(Inputs!$B$38="pvp",1,(1+(Inputs!$B$21+Skills!Q4+(IF(ArtifactsInput!$M$33,CHOOSE(ArtifactsInput!$N$33+1,30,36,42,48,54,60),0))+(IF(AND(ArtifactsInput!$M$35,Inputs!$B$4&lt;&gt;"Chapter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
      <c r="A232">
        <f>Skills!A5</f>
        <v/>
      </c>
      <c r="B232">
        <f>Skills!B5</f>
        <v/>
      </c>
      <c r="C232">
        <f>Inputs!$B$3&gt;=60</f>
        <v/>
      </c>
      <c r="D232">
        <f>IF(Skills!C5=1,60+Inputs!$B$25+Inputs!$B$29,IF(Skills!C5=2,90+Inputs!$B$26+Inputs!$B$29,IF(Skills!C5=3,120+Inputs!$B$27+Inputs!$B$29,MAX(0,(Inputs!$B$3-100)*3)+Inputs!$B$28+Inputs!$B$29)))</f>
        <v/>
      </c>
      <c r="E232">
        <f>INDEX(FactorTable!$B$2:$Y$301, MATCH(ROUND(MIN(300,MAX(1,D232)),0), FactorTable!$A$2:$A$301,0), Skills!M5+1)</f>
        <v/>
      </c>
      <c r="F232">
        <f>IF(Skills!N5=TRUE,(Skills!L5/10)*(E232/1000),Skills!L5/10)+Skills!O5</f>
        <v/>
      </c>
      <c r="G232">
        <f>Skills!G5*IF(Skills!H5&gt;0,Skills!I5/Skills!H5,1)</f>
        <v/>
      </c>
      <c r="H232">
        <f>1-(1-Skills!J5/100)^Skills!K5</f>
        <v/>
      </c>
      <c r="I232" t="inlineStr">
        <is>
          <t>1</t>
        </is>
      </c>
      <c r="J232" t="inlineStr"/>
      <c r="K232" t="inlineStr"/>
      <c r="L232" t="inlineStr"/>
      <c r="M232" t="inlineStr"/>
      <c r="N232" t="inlineStr"/>
      <c r="O232">
        <f>(1-Summary!$B$11)*T232+Summary!$B$11*V232</f>
        <v/>
      </c>
      <c r="P232">
        <f>IF(B263=0,0,O232/B263)</f>
        <v/>
      </c>
      <c r="Q232" t="n">
        <v>0</v>
      </c>
      <c r="R232" t="n">
        <v>0</v>
      </c>
      <c r="S232">
        <f>IFERROR(O232/N232,0)</f>
        <v/>
      </c>
      <c r="T232" t="n">
        <v>0</v>
      </c>
      <c r="V232" t="n">
        <v>0</v>
      </c>
    </row>
    <row r="233">
      <c r="A233">
        <f>Skills!A6</f>
        <v/>
      </c>
      <c r="B233">
        <f>Skills!B6</f>
        <v/>
      </c>
      <c r="C233">
        <f>Inputs!$B$3&gt;=63</f>
        <v/>
      </c>
      <c r="D233">
        <f>IF(Skills!C6=1,60+Inputs!$B$25+Inputs!$B$29,IF(Skills!C6=2,90+Inputs!$B$26+Inputs!$B$29,IF(Skills!C6=3,120+Inputs!$B$27+Inputs!$B$29,MAX(0,(Inputs!$B$3-100)*3)+Inputs!$B$28+Inputs!$B$29)))</f>
        <v/>
      </c>
      <c r="E233">
        <f>INDEX(FactorTable!$B$2:$Y$301, MATCH(ROUND(MIN(300,MAX(1,D233)),0), FactorTable!$A$2:$A$301,0), Skills!M6+1)</f>
        <v/>
      </c>
      <c r="F233">
        <f>IF(Skills!N6=TRUE,(Skills!L6/10)*(E233/1000),Skills!L6/10)+Skills!O6</f>
        <v/>
      </c>
      <c r="G233">
        <f>Skills!G6*IF(Skills!H6&gt;0,Skills!I6/Skills!H6,1)</f>
        <v/>
      </c>
      <c r="H233">
        <f>1-(1-Skills!J6/100)^Skills!K6</f>
        <v/>
      </c>
      <c r="I233" t="inlineStr">
        <is>
          <t>1</t>
        </is>
      </c>
      <c r="J233">
        <f>((Inputs!$B$6*(1+Inputs!$B$7/100))+(((Inputs!$B$12*(1+Inputs!$B$13/100))-(Inputs!$B$12*(1+Inputs!$B$13/100)))+0.25*(Inputs!$B$14-Inputs!$B$14))*(1+Inputs!$B$7/100))*(F233/100)</f>
        <v/>
      </c>
      <c r="K233">
        <f>J233*(1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239=TRUE,F239,0)/100)*(1+(IF(Skills!A6="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f>
        <v/>
      </c>
      <c r="L233">
        <f>K233*(MIN(Inputs!$B$22+((C247=TRUE)*(F247-Calc!F20)),(Inputs!$B$23+0+(IF(ArtifactsInput!$M$15,CHOOSE(ArtifactsInput!$N$15+1,25,30,35,40,45,50)/100*(Inputs!$B$11-Inputs!$B$11),0))))/100+(Inputs!$B$23+0+(IF(ArtifactsInput!$M$15,CHOOSE(ArtifactsInput!$N$15+1,25,30,35,40,45,50)/100*(Inputs!$B$11-Inputs!$B$11),0)))/100)/2</f>
        <v/>
      </c>
      <c r="M233">
        <f>L233*(1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
        <f>L233*(1-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
        <f>(1-Summary!$B$11)*T233+Summary!$B$11*V233</f>
        <v/>
      </c>
      <c r="P233">
        <f>IF(B263=0,0,O233/B263)</f>
        <v/>
      </c>
      <c r="Q233">
        <f>IFERROR(1/(IF(Inputs!$B$38="pvp",15,MAX(0.1,Skills!D6-IF(Skills!E6=TRUE,Inputs!$B$32,0)))*(1-IF(AND(ArtifactsInput!$M$27,Inputs!$B$4="Chapter Hunt"),CHOOSE(ArtifactsInput!$N$27+1,20,24,28,32,36,40),0)/100)),0)</f>
        <v/>
      </c>
      <c r="R233">
        <f>IF(AND(Inputs!$B$38&lt;&gt;"pvp",Inputs!$B$43&gt;0),IF(MAX(0,Inputs!$B$43-B260)&lt;=0,0,(INT(MAX(0,Inputs!$B$43-B260)/(IF(Inputs!$B$38="pvp",15,MAX(0.1,Skills!D6-IF(Skills!E6=TRUE,Inputs!$B$32,0)))*(1-IF(AND(ArtifactsInput!$M$27,Inputs!$B$4="Chapter Hunt"),CHOOSE(ArtifactsInput!$N$27+1,20,24,28,32,36,40),0)/100)))+1)),0)</f>
        <v/>
      </c>
      <c r="S233">
        <f>IFERROR(O233/N233,0)</f>
        <v/>
      </c>
      <c r="T233">
        <f>IF(C233,(H233*N233*IF(AND(Inputs!$B$38&lt;&gt;"pvp",Inputs!$B$43&gt;0),((Skills!G6*((R233-1)*IF(Skills!H6&gt;0,Skills!I6/Skills!H6,1)+IF(Skills!H6&gt;0,MIN(Skills!I6,MAX(0,MAX(0,Inputs!$B$43-B260)-((R233-1)*(IF(Inputs!$B$38="pvp",15,MAX(0.1,Skills!D6-IF(Skills!E6=TRUE,Inputs!$B$32,0)))*(1-IF(AND(ArtifactsInput!$M$27,Inputs!$B$4="Chapter Hunt"),CHOOSE(ArtifactsInput!$N$27+1,20,24,28,32,36,40),0)/100)))))/Skills!H6,1)))/Inputs!$B$43),G233*Q233)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
        <f>IF(C233,(H233*N233*IF(AND(Inputs!$B$38&lt;&gt;"pvp",Inputs!$B$43&gt;0),((Skills!G6*((R233-1)*IF(Skills!H6&gt;0,Skills!I6/Skills!H6,1)+IF(Skills!H6&gt;0,MIN(Skills!I6,MAX(0,MAX(0,Inputs!$B$43-B260)-((R233-1)*(IF(Inputs!$B$38="pvp",15,MAX(0.1,Skills!D6-IF(Skills!E6=TRUE,Inputs!$B$32,0)))*(1-IF(AND(ArtifactsInput!$M$27,Inputs!$B$4="Chapter Hunt"),CHOOSE(ArtifactsInput!$N$27+1,20,24,28,32,36,40),0)/100)))))/Skills!H6,1)))/Inputs!$B$43),G233*Q233))*IF(Inputs!$B$38="pvp",1,(1+(Inputs!$B$21+Skills!Q6+(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
      <c r="A234">
        <f>Skills!A7</f>
        <v/>
      </c>
      <c r="B234">
        <f>Skills!B7</f>
        <v/>
      </c>
      <c r="C234">
        <f>Inputs!$B$3&gt;=100</f>
        <v/>
      </c>
      <c r="D234">
        <f>IF(Skills!C7=1,60+Inputs!$B$25+Inputs!$B$29,IF(Skills!C7=2,90+Inputs!$B$26+Inputs!$B$29,IF(Skills!C7=3,120+Inputs!$B$27+Inputs!$B$29,MAX(0,(Inputs!$B$3-100)*3)+Inputs!$B$28+Inputs!$B$29)))</f>
        <v/>
      </c>
      <c r="E234">
        <f>INDEX(FactorTable!$B$2:$Y$301, MATCH(ROUND(MIN(300,MAX(1,D234)),0), FactorTable!$A$2:$A$301,0), Skills!M7+1)</f>
        <v/>
      </c>
      <c r="F234">
        <f>IF(Skills!N7=TRUE,(Skills!L7/10)*(E234/1000),Skills!L7/10)+Skills!O7</f>
        <v/>
      </c>
      <c r="G234">
        <f>Skills!G7*IF(Skills!H7&gt;0,Skills!I7/Skills!H7,1)</f>
        <v/>
      </c>
      <c r="H234">
        <f>1-(1-Skills!J7/100)^Skills!K7</f>
        <v/>
      </c>
      <c r="I234" t="inlineStr">
        <is>
          <t>1</t>
        </is>
      </c>
      <c r="J234">
        <f>((Inputs!$B$6*(1+Inputs!$B$7/100))+(((Inputs!$B$12*(1+Inputs!$B$13/100))-(Inputs!$B$12*(1+Inputs!$B$13/100)))+0.25*(Inputs!$B$14-Inputs!$B$14))*(1+Inputs!$B$7/100))*(F234/100)</f>
        <v/>
      </c>
      <c r="K234">
        <f>J234*(1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f>
        <v/>
      </c>
      <c r="L234">
        <f>K234*(MIN(Inputs!$B$22+((C247=TRUE)*(F247-Calc!F20)),(Inputs!$B$23+0+(IF(ArtifactsInput!$M$15,CHOOSE(ArtifactsInput!$N$15+1,25,30,35,40,45,50)/100*(Inputs!$B$11-Inputs!$B$11),0))))/100+(Inputs!$B$23+0+(IF(ArtifactsInput!$M$15,CHOOSE(ArtifactsInput!$N$15+1,25,30,35,40,45,50)/100*(Inputs!$B$11-Inputs!$B$11),0)))/100)/2</f>
        <v/>
      </c>
      <c r="M234">
        <f>L234*(1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
        <f>L234*(1-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
        <f>(1-Summary!$B$11)*T234+Summary!$B$11*V234</f>
        <v/>
      </c>
      <c r="P234">
        <f>IF(B263=0,0,O234/B263)</f>
        <v/>
      </c>
      <c r="Q234">
        <f>IFERROR(1/(IF(Inputs!$B$38="pvp",15,MAX(0.1,Skills!D7-IF(Skills!E7=TRUE,Inputs!$B$32,0)))*(1-IF(AND(ArtifactsInput!$M$27,Inputs!$B$4="Chapter Hunt"),CHOOSE(ArtifactsInput!$N$27+1,20,24,28,32,36,40),0)/100)),0)</f>
        <v/>
      </c>
      <c r="R234">
        <f>IF(AND(Inputs!$B$38&lt;&gt;"pvp",Inputs!$B$43&gt;0),IF(MAX(0,Inputs!$B$43-B260)&lt;=0,0,(INT(MAX(0,Inputs!$B$43-B260)/(IF(Inputs!$B$38="pvp",15,MAX(0.1,Skills!D7-IF(Skills!E7=TRUE,Inputs!$B$32,0)))*(1-IF(AND(ArtifactsInput!$M$27,Inputs!$B$4="Chapter Hunt"),CHOOSE(ArtifactsInput!$N$27+1,20,24,28,32,36,40),0)/100)))+1)),0)</f>
        <v/>
      </c>
      <c r="S234">
        <f>IFERROR(O234/N234,0)</f>
        <v/>
      </c>
      <c r="T234">
        <f>IF(C234,(H234*N234*IF(AND(Inputs!$B$38&lt;&gt;"pvp",Inputs!$B$43&gt;0),((Skills!G7*((R234-1)*IF(Skills!H7&gt;0,Skills!I7/Skills!H7,1)+IF(Skills!H7&gt;0,MIN(Skills!I7,MAX(0,MAX(0,Inputs!$B$43-B260)-((R234-1)*(IF(Inputs!$B$38="pvp",15,MAX(0.1,Skills!D7-IF(Skills!E7=TRUE,Inputs!$B$32,0)))*(1-IF(AND(ArtifactsInput!$M$27,Inputs!$B$4="Chapter Hunt"),CHOOSE(ArtifactsInput!$N$27+1,20,24,28,32,36,40),0)/100)))))/Skills!H7,1)))/Inputs!$B$43),G234*Q234)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
        <f>IF(C234,(H234*N234*IF(AND(Inputs!$B$38&lt;&gt;"pvp",Inputs!$B$43&gt;0),((Skills!G7*((R234-1)*IF(Skills!H7&gt;0,Skills!I7/Skills!H7,1)+IF(Skills!H7&gt;0,MIN(Skills!I7,MAX(0,MAX(0,Inputs!$B$43-B260)-((R234-1)*(IF(Inputs!$B$38="pvp",15,MAX(0.1,Skills!D7-IF(Skills!E7=TRUE,Inputs!$B$32,0)))*(1-IF(AND(ArtifactsInput!$M$27,Inputs!$B$4="Chapter Hunt"),CHOOSE(ArtifactsInput!$N$27+1,20,24,28,32,36,40),0)/100)))))/Skills!H7,1)))/Inputs!$B$43),G234*Q234))*IF(Inputs!$B$38="pvp",1,(1+(Inputs!$B$21+Skills!Q7+(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5">
      <c r="A235">
        <f>Skills!A8</f>
        <v/>
      </c>
      <c r="B235">
        <f>Skills!B8</f>
        <v/>
      </c>
      <c r="C235">
        <f>Inputs!$B$3&gt;=110</f>
        <v/>
      </c>
      <c r="D235">
        <f>IF(Skills!C8=1,60+Inputs!$B$25+Inputs!$B$29,IF(Skills!C8=2,90+Inputs!$B$26+Inputs!$B$29,IF(Skills!C8=3,120+Inputs!$B$27+Inputs!$B$29,MAX(0,(Inputs!$B$3-100)*3)+Inputs!$B$28+Inputs!$B$29)))</f>
        <v/>
      </c>
      <c r="E235">
        <f>INDEX(FactorTable!$B$2:$Y$301, MATCH(ROUND(MIN(300,MAX(1,D235)),0), FactorTable!$A$2:$A$301,0), Skills!M8+1)</f>
        <v/>
      </c>
      <c r="F235">
        <f>IF(Skills!N8=TRUE,(Skills!L8/10)*(E235/1000),Skills!L8/10)+Skills!O8</f>
        <v/>
      </c>
      <c r="G235">
        <f>Skills!G8*IF(Skills!H8&gt;0,Skills!I8/Skills!H8,1)</f>
        <v/>
      </c>
      <c r="H235">
        <f>1-(1-Skills!J8/100)^Skills!K8</f>
        <v/>
      </c>
      <c r="I235" t="inlineStr">
        <is>
          <t>1</t>
        </is>
      </c>
      <c r="J235">
        <f>((Inputs!$B$6*(1+Inputs!$B$7/100))+(((Inputs!$B$12*(1+Inputs!$B$13/100))-(Inputs!$B$12*(1+Inputs!$B$13/100)))+0.25*(Inputs!$B$14-Inputs!$B$14))*(1+Inputs!$B$7/100))*(F235/100)</f>
        <v/>
      </c>
      <c r="K235">
        <f>J235*(1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235)</f>
        <v/>
      </c>
      <c r="L235">
        <f>K235*(MIN(Inputs!$B$22+((C247=TRUE)*(F247-Calc!F20)),(Inputs!$B$23+0+(IF(ArtifactsInput!$M$15,CHOOSE(ArtifactsInput!$N$15+1,25,30,35,40,45,50)/100*(Inputs!$B$11-Inputs!$B$11),0))))/100+(Inputs!$B$23+0+(IF(ArtifactsInput!$M$15,CHOOSE(ArtifactsInput!$N$15+1,25,30,35,40,45,50)/100*(Inputs!$B$11-Inputs!$B$11),0)))/100)/2</f>
        <v/>
      </c>
      <c r="M235">
        <f>L235*(1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5">
        <f>L235*(1-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235*(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5">
        <f>(1-Summary!$B$11)*T235+Summary!$B$11*V235</f>
        <v/>
      </c>
      <c r="P235">
        <f>IF(B263=0,0,O235/B263)</f>
        <v/>
      </c>
      <c r="Q235">
        <f>IFERROR(1/(IF(Inputs!$B$38="pvp",15,MAX(0.1,Skills!D8-IF(Skills!E8=TRUE,Inputs!$B$32,0)))*(1-IF(AND(ArtifactsInput!$M$27,Inputs!$B$4="Chapter Hunt"),CHOOSE(ArtifactsInput!$N$27+1,20,24,28,32,36,40),0)/100)),0)</f>
        <v/>
      </c>
      <c r="R235">
        <f>IF(AND(Inputs!$B$38&lt;&gt;"pvp",Inputs!$B$43&gt;0),IF(MAX(0,Inputs!$B$43-B260)&lt;=0,0,(INT(MAX(0,Inputs!$B$43-B260)/(IF(Inputs!$B$38="pvp",15,MAX(0.1,Skills!D8-IF(Skills!E8=TRUE,Inputs!$B$32,0)))*(1-IF(AND(ArtifactsInput!$M$27,Inputs!$B$4="Chapter Hunt"),CHOOSE(ArtifactsInput!$N$27+1,20,24,28,32,36,40),0)/100)))+1)),0)</f>
        <v/>
      </c>
      <c r="S235">
        <f>IFERROR(O235/N235,0)</f>
        <v/>
      </c>
      <c r="T235">
        <f>IF(C235,(H235*N235*IF(AND(Inputs!$B$38&lt;&gt;"pvp",Inputs!$B$43&gt;0),((Skills!G8*((R235-1)*IF(Skills!H8&gt;0,Skills!I8/Skills!H8,1)+IF(Skills!H8&gt;0,MIN(Skills!I8,MAX(0,MAX(0,Inputs!$B$43-B260)-((R235-1)*(IF(Inputs!$B$38="pvp",15,MAX(0.1,Skills!D8-IF(Skills!E8=TRUE,Inputs!$B$32,0)))*(1-IF(AND(ArtifactsInput!$M$27,Inputs!$B$4="Chapter Hunt"),CHOOSE(ArtifactsInput!$N$27+1,20,24,28,32,36,40),0)/100)))))/Skills!H8,1)))/Inputs!$B$43),G235*Q235)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235*(1-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235*(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235*(1-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235*(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5">
        <f>IF(C235,(H235*N235*IF(AND(Inputs!$B$38&lt;&gt;"pvp",Inputs!$B$43&gt;0),((Skills!G8*((R235-1)*IF(Skills!H8&gt;0,Skills!I8/Skills!H8,1)+IF(Skills!H8&gt;0,MIN(Skills!I8,MAX(0,MAX(0,Inputs!$B$43-B260)-((R235-1)*(IF(Inputs!$B$38="pvp",15,MAX(0.1,Skills!D8-IF(Skills!E8=TRUE,Inputs!$B$32,0)))*(1-IF(AND(ArtifactsInput!$M$27,Inputs!$B$4="Chapter Hunt"),CHOOSE(ArtifactsInput!$N$27+1,20,24,28,32,36,40),0)/100)))))/Skills!H8,1)))/Inputs!$B$43),G235*Q235))*IF(Inputs!$B$38="pvp",1,(1+(Inputs!$B$21+Skills!Q8+(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
      <c r="A236">
        <f>Skills!A9</f>
        <v/>
      </c>
      <c r="B236">
        <f>Skills!B9</f>
        <v/>
      </c>
      <c r="C236">
        <f>Inputs!$B$3&gt;=110</f>
        <v/>
      </c>
      <c r="D236">
        <f>IF(Skills!C9=1,60+Inputs!$B$25+Inputs!$B$29,IF(Skills!C9=2,90+Inputs!$B$26+Inputs!$B$29,IF(Skills!C9=3,120+Inputs!$B$27+Inputs!$B$29,MAX(0,(Inputs!$B$3-100)*3)+Inputs!$B$28+Inputs!$B$29)))</f>
        <v/>
      </c>
      <c r="E236">
        <f>INDEX(FactorTable!$B$2:$Y$301, MATCH(ROUND(MIN(300,MAX(1,D236)),0), FactorTable!$A$2:$A$301,0), Skills!M9+1)</f>
        <v/>
      </c>
      <c r="F236">
        <f>IF(Skills!N9=TRUE,(Skills!L9/10)*(E236/1000),Skills!L9/10)+Skills!O9</f>
        <v/>
      </c>
      <c r="G236">
        <f>Skills!G9*IF(Skills!H9&gt;0,Skills!I9/Skills!H9,1)</f>
        <v/>
      </c>
      <c r="H236">
        <f>1-(1-Skills!J9/100)^Skills!K9</f>
        <v/>
      </c>
      <c r="I236" t="inlineStr">
        <is>
          <t>1</t>
        </is>
      </c>
      <c r="J236">
        <f>((Inputs!$B$6*(1+Inputs!$B$7/100))+(((Inputs!$B$12*(1+Inputs!$B$13/100))-(Inputs!$B$12*(1+Inputs!$B$13/100)))+0.25*(Inputs!$B$14-Inputs!$B$14))*(1+Inputs!$B$7/100))*(F236/100)</f>
        <v/>
      </c>
      <c r="K236">
        <f>J236*(1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f>
        <v/>
      </c>
      <c r="L236">
        <f>K236*(MIN(Inputs!$B$22+((C247=TRUE)*(F247-Calc!F20)),(Inputs!$B$23+0+(IF(ArtifactsInput!$M$15,CHOOSE(ArtifactsInput!$N$15+1,25,30,35,40,45,50)/100*(Inputs!$B$11-Inputs!$B$11),0))))/100+(Inputs!$B$23+0+(IF(ArtifactsInput!$M$15,CHOOSE(ArtifactsInput!$N$15+1,25,30,35,40,45,50)/100*(Inputs!$B$11-Inputs!$B$11),0)))/100)/2</f>
        <v/>
      </c>
      <c r="M236">
        <f>L236*(1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
        <f>L236*(1-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
        <f>(1-Summary!$B$11)*T236+Summary!$B$11*V236</f>
        <v/>
      </c>
      <c r="P236">
        <f>IF(B263=0,0,O236/B263)</f>
        <v/>
      </c>
      <c r="Q236">
        <f>IFERROR(1/(IF(Inputs!$B$38="pvp",15,MAX(0.1,Skills!D9-IF(Skills!E9=TRUE,Inputs!$B$32,0)))*(1-IF(AND(ArtifactsInput!$M$27,Inputs!$B$4="Chapter Hunt"),CHOOSE(ArtifactsInput!$N$27+1,20,24,28,32,36,40),0)/100)),0)</f>
        <v/>
      </c>
      <c r="R236">
        <f>IF(AND(Inputs!$B$38&lt;&gt;"pvp",Inputs!$B$43&gt;0),IF(MAX(0,Inputs!$B$43-B260)&lt;=0,0,(INT(MAX(0,Inputs!$B$43-B260)/(IF(Inputs!$B$38="pvp",15,MAX(0.1,Skills!D9-IF(Skills!E9=TRUE,Inputs!$B$32,0)))*(1-IF(AND(ArtifactsInput!$M$27,Inputs!$B$4="Chapter Hunt"),CHOOSE(ArtifactsInput!$N$27+1,20,24,28,32,36,40),0)/100)))+1)),0)</f>
        <v/>
      </c>
      <c r="S236">
        <f>IFERROR(O236/N236,0)</f>
        <v/>
      </c>
      <c r="T236">
        <f>IF(C236,(H236*N236*IF(AND(Inputs!$B$38&lt;&gt;"pvp",Inputs!$B$43&gt;0),((Skills!G9*((R236-1)*IF(Skills!H9&gt;0,Skills!I9/Skills!H9,1)+IF(Skills!H9&gt;0,MIN(Skills!I9,MAX(0,MAX(0,Inputs!$B$43-B260)-((R236-1)*(IF(Inputs!$B$38="pvp",15,MAX(0.1,Skills!D9-IF(Skills!E9=TRUE,Inputs!$B$32,0)))*(1-IF(AND(ArtifactsInput!$M$27,Inputs!$B$4="Chapter Hunt"),CHOOSE(ArtifactsInput!$N$27+1,20,24,28,32,36,40),0)/100)))))/Skills!H9,1)))/Inputs!$B$43),G236*Q236)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6">
        <f>IF(C236,(H236*N236*IF(AND(Inputs!$B$38&lt;&gt;"pvp",Inputs!$B$43&gt;0),((Skills!G9*((R236-1)*IF(Skills!H9&gt;0,Skills!I9/Skills!H9,1)+IF(Skills!H9&gt;0,MIN(Skills!I9,MAX(0,MAX(0,Inputs!$B$43-B260)-((R236-1)*(IF(Inputs!$B$38="pvp",15,MAX(0.1,Skills!D9-IF(Skills!E9=TRUE,Inputs!$B$32,0)))*(1-IF(AND(ArtifactsInput!$M$27,Inputs!$B$4="Chapter Hunt"),CHOOSE(ArtifactsInput!$N$27+1,20,24,28,32,36,40),0)/100)))))/Skills!H9,1)))/Inputs!$B$43),G236*Q236))*IF(Inputs!$B$38="pvp",1,(1+(Inputs!$B$21+Skills!Q9+(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
      <c r="A237">
        <f>Skills!A10</f>
        <v/>
      </c>
      <c r="B237">
        <f>Skills!B10</f>
        <v/>
      </c>
      <c r="C237">
        <f>Inputs!$B$3&gt;=103</f>
        <v/>
      </c>
      <c r="D237">
        <f>IF(Skills!C10=1,60+Inputs!$B$25+Inputs!$B$29,IF(Skills!C10=2,90+Inputs!$B$26+Inputs!$B$29,IF(Skills!C10=3,120+Inputs!$B$27+Inputs!$B$29,MAX(0,(Inputs!$B$3-100)*3)+Inputs!$B$28+Inputs!$B$29)))</f>
        <v/>
      </c>
      <c r="E237">
        <f>INDEX(FactorTable!$B$2:$Y$301, MATCH(ROUND(MIN(300,MAX(1,D237)),0), FactorTable!$A$2:$A$301,0), Skills!M10+1)</f>
        <v/>
      </c>
      <c r="F237">
        <f>IF(Skills!N10=TRUE,(Skills!L10/10)*(E237/1000),Skills!L10/10)+Skills!O10</f>
        <v/>
      </c>
      <c r="G237">
        <f>Skills!G10*IF(Skills!H10&gt;0,Skills!I10/Skills!H10,1)</f>
        <v/>
      </c>
      <c r="H237">
        <f>1-(1-Skills!J10/100)^Skills!K10</f>
        <v/>
      </c>
      <c r="I237" t="inlineStr">
        <is>
          <t>1</t>
        </is>
      </c>
      <c r="J237">
        <f>((Inputs!$B$6*(1+Inputs!$B$7/100))+(((Inputs!$B$12*(1+Inputs!$B$13/100))-(Inputs!$B$12*(1+Inputs!$B$13/100)))+0.25*(Inputs!$B$14-Inputs!$B$14))*(1+Inputs!$B$7/100))*(F237/100)</f>
        <v/>
      </c>
      <c r="K237">
        <f>J237*(1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f>
        <v/>
      </c>
      <c r="L237">
        <f>K237*(MIN(Inputs!$B$22+((C247=TRUE)*(F247-Calc!F20)),(Inputs!$B$23+0+(IF(ArtifactsInput!$M$15,CHOOSE(ArtifactsInput!$N$15+1,25,30,35,40,45,50)/100*(Inputs!$B$11-Inputs!$B$11),0))))/100+(Inputs!$B$23+0+(IF(ArtifactsInput!$M$15,CHOOSE(ArtifactsInput!$N$15+1,25,30,35,40,45,50)/100*(Inputs!$B$11-Inputs!$B$11),0)))/100)/2</f>
        <v/>
      </c>
      <c r="M237">
        <f>L237*(1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
        <f>L237*(1-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
        <f>(1-Summary!$B$11)*T237+Summary!$B$11*V237</f>
        <v/>
      </c>
      <c r="P237">
        <f>IF(B263=0,0,O237/B263)</f>
        <v/>
      </c>
      <c r="Q237">
        <f>IFERROR(1/(IF(Inputs!$B$38="pvp",15,MAX(0.1,Skills!D10-IF(Skills!E10=TRUE,Inputs!$B$32,0)))*(1-IF(AND(ArtifactsInput!$M$27,Inputs!$B$4="Chapter Hunt"),CHOOSE(ArtifactsInput!$N$27+1,20,24,28,32,36,40),0)/100)),0)</f>
        <v/>
      </c>
      <c r="R237">
        <f>IF(AND(Inputs!$B$38&lt;&gt;"pvp",Inputs!$B$43&gt;0),IF(MAX(0,Inputs!$B$43-B260)&lt;=0,0,(INT(MAX(0,Inputs!$B$43-B260)/(IF(Inputs!$B$38="pvp",15,MAX(0.1,Skills!D10-IF(Skills!E10=TRUE,Inputs!$B$32,0)))*(1-IF(AND(ArtifactsInput!$M$27,Inputs!$B$4="Chapter Hunt"),CHOOSE(ArtifactsInput!$N$27+1,20,24,28,32,36,40),0)/100)))+1)),0)</f>
        <v/>
      </c>
      <c r="S237">
        <f>IFERROR(O237/N237,0)</f>
        <v/>
      </c>
      <c r="T237">
        <f>IF(C237,(H237*N237*IF(AND(Inputs!$B$38&lt;&gt;"pvp",Inputs!$B$43&gt;0),((Skills!G10*((R237-1)*IF(Skills!H10&gt;0,Skills!I10/Skills!H10,1)+IF(Skills!H10&gt;0,MIN(Skills!I10,MAX(0,MAX(0,Inputs!$B$43-B260)-((R237-1)*(IF(Inputs!$B$38="pvp",15,MAX(0.1,Skills!D10-IF(Skills!E10=TRUE,Inputs!$B$32,0)))*(1-IF(AND(ArtifactsInput!$M$27,Inputs!$B$4="Chapter Hunt"),CHOOSE(ArtifactsInput!$N$27+1,20,24,28,32,36,40),0)/100)))))/Skills!H10,1)))/Inputs!$B$43),G237*Q237)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
        <f>IF(C237,(H237*N237*IF(AND(Inputs!$B$38&lt;&gt;"pvp",Inputs!$B$43&gt;0),((Skills!G10*((R237-1)*IF(Skills!H10&gt;0,Skills!I10/Skills!H10,1)+IF(Skills!H10&gt;0,MIN(Skills!I10,MAX(0,MAX(0,Inputs!$B$43-B260)-((R237-1)*(IF(Inputs!$B$38="pvp",15,MAX(0.1,Skills!D10-IF(Skills!E10=TRUE,Inputs!$B$32,0)))*(1-IF(AND(ArtifactsInput!$M$27,Inputs!$B$4="Chapter Hunt"),CHOOSE(ArtifactsInput!$N$27+1,20,24,28,32,36,40),0)/100)))))/Skills!H10,1)))/Inputs!$B$43),G237*Q237))*IF(Inputs!$B$38="pvp",1,(1+(Inputs!$B$21+Skills!Q10+(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
      <c r="A238">
        <f>Skills!A11</f>
        <v/>
      </c>
      <c r="B238">
        <f>Skills!B11</f>
        <v/>
      </c>
      <c r="C238">
        <f>Inputs!$B$3&gt;=113</f>
        <v/>
      </c>
      <c r="D238">
        <f>IF(Skills!C11=1,60+Inputs!$B$25+Inputs!$B$29,IF(Skills!C11=2,90+Inputs!$B$26+Inputs!$B$29,IF(Skills!C11=3,120+Inputs!$B$27+Inputs!$B$29,MAX(0,(Inputs!$B$3-100)*3)+Inputs!$B$28+Inputs!$B$29)))</f>
        <v/>
      </c>
      <c r="E238">
        <f>INDEX(FactorTable!$B$2:$Y$301, MATCH(ROUND(MIN(300,MAX(1,D238)),0), FactorTable!$A$2:$A$301,0), Skills!M11+1)</f>
        <v/>
      </c>
      <c r="F238">
        <f>IF(Skills!N11=TRUE,(Skills!L11/10)*(E238/1000),Skills!L11/10)+Skills!O11</f>
        <v/>
      </c>
      <c r="G238">
        <f>Skills!G11*IF(Skills!H11&gt;0,Skills!I11/Skills!H11,1)</f>
        <v/>
      </c>
      <c r="H238">
        <f>1-(1-Skills!J11/100)^Skills!K11</f>
        <v/>
      </c>
      <c r="I238" t="inlineStr">
        <is>
          <t>1</t>
        </is>
      </c>
      <c r="J238">
        <f>((Inputs!$B$6*(1+Inputs!$B$7/100))+(((Inputs!$B$12*(1+Inputs!$B$13/100))-(Inputs!$B$12*(1+Inputs!$B$13/100)))+0.25*(Inputs!$B$14-Inputs!$B$14))*(1+Inputs!$B$7/100))*(F238/100)</f>
        <v/>
      </c>
      <c r="K238">
        <f>J238*(1+((Inputs!$B$12*(1+Inputs!$B$13/100))*0.01+Inputs!$B$14*0.0025)/100)*(1+Inputs!$B$15/100)*(1+(Inputs!$B$16+1)/100)*(5000/(6000+Inputs!$B$42*(1-(100*(1-(1-(Inputs!$B$19+0)/100)*(1-CHOOSE(ArtifactsInput!$N$40+1,5,6,7,8,9,10)/100)^(ArtifactsInput!$M$40-ArtifactsInput!$M$40)))/100)))*(1+(Inputs!$B$24+((C249=TRUE)*(F249-Calc!F22))+B259)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248=TRUE)*(F248-Calc!F21))+(((IF(AND(ArtifactsInput!$M$42,((Inputs!$B$9+((C243=TRUE)*(F243-Calc!F16))+B253+(ArtifactsInput!$M$24-ArtifactsInput!$M$24)*CHOOSE(ArtifactsInput!$N$24+1,10,12,14,16,18,20)+IF(ArtifactsInput!$M$10,CHOOSE(ArtifactsInput!$N$10+1,15,18,21,24,27,30)*(IF(Inputs!$B$38="pvp",MIN(15,15)/15,IF(AND(Inputs!$B$38&lt;&gt;"pvp",Inputs!$B$43&gt;0),MIN(15,Inputs!$B$43)/(Inputs!$B$43),0))),0)))&gt;=100),MIN(100,((Inputs!$B$9+((C243=TRUE)*(F243-Calc!F16))+B253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243=TRUE)*(F243-Calc!F16))+B253+(ArtifactsInput!$M$24-ArtifactsInput!$M$24)*CHOOSE(ArtifactsInput!$N$24+1,10,12,14,16,18,20)+IF(ArtifactsInput!$M$10,CHOOSE(ArtifactsInput!$N$10+1,15,18,21,24,27,30)*(IF(Inputs!$B$38="pvp",MIN(15,15)/15,IF(AND(Inputs!$B$38&lt;&gt;"pvp",Inputs!$B$43&gt;0),MIN(15,Inputs!$B$43)/(Inputs!$B$43),0))),0)))&gt;=100),CHOOSE(ArtifactsInput!$N$42+1,40,48,56,64,72,80),0))))/100)*((1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f>
        <v/>
      </c>
      <c r="L238">
        <f>K238*(MIN(Inputs!$B$22+((C247=TRUE)*(F247-Calc!F20)),(Inputs!$B$23+0+(IF(ArtifactsInput!$M$15,CHOOSE(ArtifactsInput!$N$15+1,25,30,35,40,45,50)/100*(Inputs!$B$11-Inputs!$B$11),0))))/100+(Inputs!$B$23+0+(IF(ArtifactsInput!$M$15,CHOOSE(ArtifactsInput!$N$15+1,25,30,35,40,45,50)/100*(Inputs!$B$11-Inputs!$B$11),0)))/100)/2</f>
        <v/>
      </c>
      <c r="M238">
        <f>L238*(1+(Inputs!$B$10+0+B258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
        <f>L238*(1-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MIN((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
        <f>(1-Summary!$B$11)*T238+Summary!$B$11*V238</f>
        <v/>
      </c>
      <c r="P238">
        <f>IF(B263=0,0,O238/B263)</f>
        <v/>
      </c>
      <c r="Q238">
        <f>IFERROR(1/(IF(Inputs!$B$38="pvp",15,MAX(0.1,Skills!D11-IF(Skills!E11=TRUE,Inputs!$B$32,0)))*(1-IF(AND(ArtifactsInput!$M$27,Inputs!$B$4="Chapter Hunt"),CHOOSE(ArtifactsInput!$N$27+1,20,24,28,32,36,40),0)/100)),0)</f>
        <v/>
      </c>
      <c r="R238">
        <f>IF(AND(Inputs!$B$38&lt;&gt;"pvp",Inputs!$B$43&gt;0),IF(MAX(0,Inputs!$B$43-B260)&lt;=0,0,(INT(MAX(0,Inputs!$B$43-B260)/(IF(Inputs!$B$38="pvp",15,MAX(0.1,Skills!D11-IF(Skills!E11=TRUE,Inputs!$B$32,0)))*(1-IF(AND(ArtifactsInput!$M$27,Inputs!$B$4="Chapter Hunt"),CHOOSE(ArtifactsInput!$N$27+1,20,24,28,32,36,40),0)/100)))+1)),0)</f>
        <v/>
      </c>
      <c r="S238">
        <f>IFERROR(O238/N238,0)</f>
        <v/>
      </c>
      <c r="T238">
        <f>IF(C238,(H238*N238*IF(AND(Inputs!$B$38&lt;&gt;"pvp",Inputs!$B$43&gt;0),((Skills!G11*((R238-1)*IF(Skills!H11&gt;0,Skills!I11/Skills!H11,1)+IF(Skills!H11&gt;0,MIN(Skills!I11,MAX(0,MAX(0,Inputs!$B$43-B260)-((R238-1)*(IF(Inputs!$B$38="pvp",15,MAX(0.1,Skills!D11-IF(Skills!E11=TRUE,Inputs!$B$32,0)))*(1-IF(AND(ArtifactsInput!$M$27,Inputs!$B$4="Chapter Hunt"),CHOOSE(ArtifactsInput!$N$27+1,20,24,28,32,36,40),0)/100)))))/Skills!H11,1)))/Inputs!$B$43),G238*Q238)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238*(1-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MIN(100,(Inputs!$B$9+((C243=TRUE)*(F243-Calc!F16))+B253+(ArtifactsInput!$M$24-ArtifactsInput!$M$24)*CHOOSE(ArtifactsInput!$N$24+1,10,12,14,16,18,20)+(IF(AND(ArtifactsInput!$M$42,((Inputs!$B$9+((C243=TRUE)*(F243-Calc!F16))+B253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
        <f>IF(C238,(H238*N238*IF(AND(Inputs!$B$38&lt;&gt;"pvp",Inputs!$B$43&gt;0),((Skills!G11*((R238-1)*IF(Skills!H11&gt;0,Skills!I11/Skills!H11,1)+IF(Skills!H11&gt;0,MIN(Skills!I11,MAX(0,MAX(0,Inputs!$B$43-B260)-((R238-1)*(IF(Inputs!$B$38="pvp",15,MAX(0.1,Skills!D11-IF(Skills!E11=TRUE,Inputs!$B$32,0)))*(1-IF(AND(ArtifactsInput!$M$27,Inputs!$B$4="Chapter Hunt"),CHOOSE(ArtifactsInput!$N$27+1,20,24,28,32,36,40),0)/100)))))/Skills!H11,1)))/Inputs!$B$43),G238*Q238))*IF(Inputs!$B$38="pvp",1,(1+(Inputs!$B$21+Skills!Q11+(IF(ArtifactsInput!$M$33,CHOOSE(ArtifactsInput!$N$33+1,30,36,42,48,54,60),0))+(IF(AND(ArtifactsInput!$M$35,Inputs!$B$4&lt;&gt;"Chapter Hunt"),CHOOSE(ArtifactsInput!$N$35+1,15,18,21,24,27,30)*(1-EXP(-(0.2*B255)*5)),0)+IF(AND(ArtifactsInput!$M$22,Inputs!$B$4&lt;&gt;"Chapter Hunt"),CHOOSE(ArtifactsInput!$N$22+1,10,12,14,16,18,20)*((0*(((0.15*B255*5))^0/1)+1*(((0.15*B255*5))^1/1)+2*(((0.15*B255*5))^2/2)+3*(((0.15*B255*5))^3/6)+4*(((0.15*B255*5))^4/24)+5*(((0.15*B255*5))^5/120))/((((0.15*B255*5))^0/1)+(((0.15*B255*5))^1/1)+(((0.15*B255*5))^2/2)+(((0.15*B255*5))^3/6)+(((0.15*B255*5))^4/24)+(((0.15*B255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9">
      <c r="A239">
        <f>Skills!A12</f>
        <v/>
      </c>
      <c r="B239">
        <f>Skills!B12</f>
        <v/>
      </c>
      <c r="C239">
        <f>Inputs!$B$3&gt;=100</f>
        <v/>
      </c>
      <c r="D239">
        <f>IF(Skills!C12=1,60+Inputs!$B$25+Inputs!$B$29,IF(Skills!C12=2,90+Inputs!$B$26+Inputs!$B$29,IF(Skills!C12=3,120+Inputs!$B$27+Inputs!$B$29,MAX(0,(Inputs!$B$3-100)*3)+Inputs!$B$28+Inputs!$B$29)))</f>
        <v/>
      </c>
      <c r="E239">
        <f>INDEX(FactorTable!$B$2:$Y$301, MATCH(ROUND(MIN(300,MAX(1,D239)),0), FactorTable!$A$2:$A$301,0), Skills!M12+1)</f>
        <v/>
      </c>
      <c r="F239">
        <f>IF(Skills!N12=TRUE,(Skills!L12/10)*(E239/1000),Skills!L12/10)+Skills!O12</f>
        <v/>
      </c>
      <c r="G239" t="inlineStr"/>
      <c r="H239" t="inlineStr"/>
      <c r="I239" t="inlineStr">
        <is>
          <t>1</t>
        </is>
      </c>
      <c r="J239" t="inlineStr"/>
      <c r="K239" t="inlineStr"/>
      <c r="L239" t="inlineStr"/>
      <c r="M239" t="inlineStr"/>
      <c r="N239" t="inlineStr"/>
      <c r="O239" t="inlineStr"/>
      <c r="P239" t="inlineStr"/>
      <c r="Q239" t="inlineStr"/>
      <c r="R239" t="inlineStr"/>
      <c r="S239" t="inlineStr"/>
      <c r="T239" t="inlineStr"/>
      <c r="V239" t="inlineStr"/>
    </row>
    <row r="240">
      <c r="A240">
        <f>Skills!A13</f>
        <v/>
      </c>
      <c r="B240">
        <f>Skills!B13</f>
        <v/>
      </c>
      <c r="C240">
        <f>Inputs!$B$3&gt;=66</f>
        <v/>
      </c>
      <c r="D240">
        <f>IF(Skills!C13=1,60+Inputs!$B$25+Inputs!$B$29,IF(Skills!C13=2,90+Inputs!$B$26+Inputs!$B$29,IF(Skills!C13=3,120+Inputs!$B$27+Inputs!$B$29,MAX(0,(Inputs!$B$3-100)*3)+Inputs!$B$28+Inputs!$B$29)))</f>
        <v/>
      </c>
      <c r="E240">
        <f>INDEX(FactorTable!$B$2:$Y$301, MATCH(ROUND(MIN(300,MAX(1,D240)),0), FactorTable!$A$2:$A$301,0), Skills!M13+1)</f>
        <v/>
      </c>
      <c r="F240">
        <f>IF(Skills!N13=TRUE,(Skills!L13/10)*(E240/1000),Skills!L13/10)+Skills!O13</f>
        <v/>
      </c>
      <c r="G240">
        <f>Skills!G13*IF(Skills!H13&gt;0,Skills!I13/Skills!H13,1)</f>
        <v/>
      </c>
      <c r="H240">
        <f>1-(1-Skills!J13/100)^Skills!K13</f>
        <v/>
      </c>
      <c r="I240" t="inlineStr">
        <is>
          <t>1</t>
        </is>
      </c>
      <c r="J240" t="inlineStr"/>
      <c r="K240" t="inlineStr"/>
      <c r="L240" t="inlineStr"/>
      <c r="M240" t="inlineStr"/>
      <c r="N240" t="inlineStr"/>
      <c r="O240">
        <f>(1-Summary!$B$11)*T240+Summary!$B$11*V240</f>
        <v/>
      </c>
      <c r="P240">
        <f>IF(B263=0,0,O240/B263)</f>
        <v/>
      </c>
      <c r="Q240" t="n">
        <v>0</v>
      </c>
      <c r="R240" t="n">
        <v>0</v>
      </c>
      <c r="S240">
        <f>IFERROR(O240/N240,0)</f>
        <v/>
      </c>
      <c r="T240" t="n">
        <v>0</v>
      </c>
      <c r="V240" t="n">
        <v>0</v>
      </c>
    </row>
    <row r="241">
      <c r="A241">
        <f>Skills!A14</f>
        <v/>
      </c>
      <c r="B241">
        <f>Skills!B14</f>
        <v/>
      </c>
      <c r="C241">
        <f>Inputs!$B$3&gt;=107</f>
        <v/>
      </c>
      <c r="D241">
        <f>IF(Skills!C14=1,60+Inputs!$B$25+Inputs!$B$29,IF(Skills!C14=2,90+Inputs!$B$26+Inputs!$B$29,IF(Skills!C14=3,120+Inputs!$B$27+Inputs!$B$29,MAX(0,(Inputs!$B$3-100)*3)+Inputs!$B$28+Inputs!$B$29)))</f>
        <v/>
      </c>
      <c r="E241">
        <f>INDEX(FactorTable!$B$2:$Y$301, MATCH(ROUND(MIN(300,MAX(1,D241)),0), FactorTable!$A$2:$A$301,0), Skills!M14+1)</f>
        <v/>
      </c>
      <c r="F241">
        <f>IF(Skills!N14=TRUE,(Skills!L14/10)*(E241/1000),Skills!L14/10)+Skills!O14</f>
        <v/>
      </c>
      <c r="G241">
        <f>Skills!G14*IF(Skills!H14&gt;0,Skills!I14/Skills!H14,1)</f>
        <v/>
      </c>
      <c r="H241">
        <f>1-(1-Skills!J14/100)^Skills!K14</f>
        <v/>
      </c>
      <c r="I241" t="inlineStr">
        <is>
          <t>1</t>
        </is>
      </c>
      <c r="J241" t="inlineStr"/>
      <c r="K241" t="inlineStr"/>
      <c r="L241" t="inlineStr"/>
      <c r="M241" t="inlineStr"/>
      <c r="N241" t="inlineStr"/>
      <c r="O241">
        <f>(1-Summary!$B$11)*T241+Summary!$B$11*V241</f>
        <v/>
      </c>
      <c r="P241">
        <f>IF(B263=0,0,O241/B263)</f>
        <v/>
      </c>
      <c r="Q241">
        <f>IFERROR(1/(IF(Inputs!$B$38="pvp",15,MAX(0.1,Skills!D14-IF(Skills!E14=TRUE,Inputs!$B$32,0)))*(1-IF(AND(ArtifactsInput!$M$27,Inputs!$B$4="Chapter Hunt"),CHOOSE(ArtifactsInput!$N$27+1,20,24,28,32,36,40),0)/100)),0)</f>
        <v/>
      </c>
      <c r="R241">
        <f>IF(AND(Inputs!$B$38&lt;&gt;"pvp",Inputs!$B$43&gt;0),IF(Inputs!$B$43&lt;=0,0,(INT(Inputs!$B$43/(IF(Inputs!$B$38="pvp",15,MAX(0.1,Skills!D14-IF(Skills!E14=TRUE,Inputs!$B$32,0)))*(1-IF(AND(ArtifactsInput!$M$27,Inputs!$B$4="Chapter Hunt"),CHOOSE(ArtifactsInput!$N$27+1,20,24,28,32,36,40),0)/100)))+1)),0)</f>
        <v/>
      </c>
      <c r="S241">
        <f>IFERROR(O241/N241,0)</f>
        <v/>
      </c>
      <c r="T241" t="n">
        <v>0</v>
      </c>
      <c r="V241" t="n">
        <v>0</v>
      </c>
    </row>
    <row r="242">
      <c r="A242">
        <f>Skills!A15</f>
        <v/>
      </c>
      <c r="B242">
        <f>Skills!B15</f>
        <v/>
      </c>
      <c r="C242">
        <f>Inputs!$B$3&gt;=115</f>
        <v/>
      </c>
      <c r="D242">
        <f>IF(Skills!C15=1,60+Inputs!$B$25+Inputs!$B$29,IF(Skills!C15=2,90+Inputs!$B$26+Inputs!$B$29,IF(Skills!C15=3,120+Inputs!$B$27+Inputs!$B$29,MAX(0,(Inputs!$B$3-100)*3)+Inputs!$B$28+Inputs!$B$29)))</f>
        <v/>
      </c>
      <c r="E242">
        <f>INDEX(FactorTable!$B$2:$Y$301, MATCH(ROUND(MIN(300,MAX(1,D242)),0), FactorTable!$A$2:$A$301,0), Skills!M15+1)</f>
        <v/>
      </c>
      <c r="F242">
        <f>IF(Skills!N15=TRUE,(Skills!L15/10)*(E242/1000),Skills!L15/10)+Skills!O15</f>
        <v/>
      </c>
      <c r="G242">
        <f>Skills!G15*IF(Skills!H15&gt;0,Skills!I15/Skills!H15,1)</f>
        <v/>
      </c>
      <c r="H242">
        <f>1-(1-Skills!J15/100)^Skills!K15</f>
        <v/>
      </c>
      <c r="I242" t="inlineStr">
        <is>
          <t>1</t>
        </is>
      </c>
      <c r="J242" t="inlineStr"/>
      <c r="K242" t="inlineStr"/>
      <c r="L242" t="inlineStr"/>
      <c r="M242" t="inlineStr"/>
      <c r="N242" t="inlineStr"/>
      <c r="O242">
        <f>(1-Summary!$B$11)*T242+Summary!$B$11*V242</f>
        <v/>
      </c>
      <c r="P242">
        <f>IF(B263=0,0,O242/B263)</f>
        <v/>
      </c>
      <c r="Q242">
        <f>IFERROR(1/(IF(Inputs!$B$38="pvp",15,MAX(0.1,Skills!D15-IF(Skills!E15=TRUE,Inputs!$B$32,0)))*(1-IF(AND(ArtifactsInput!$M$27,Inputs!$B$4="Chapter Hunt"),CHOOSE(ArtifactsInput!$N$27+1,20,24,28,32,36,40),0)/100)),0)</f>
        <v/>
      </c>
      <c r="R242">
        <f>IF(AND(Inputs!$B$38&lt;&gt;"pvp",Inputs!$B$43&gt;0),IF(Inputs!$B$43&lt;=0,0,(INT(Inputs!$B$43/(IF(Inputs!$B$38="pvp",15,MAX(0.1,Skills!D15-IF(Skills!E15=TRUE,Inputs!$B$32,0)))*(1-IF(AND(ArtifactsInput!$M$27,Inputs!$B$4="Chapter Hunt"),CHOOSE(ArtifactsInput!$N$27+1,20,24,28,32,36,40),0)/100)))+1)),0)</f>
        <v/>
      </c>
      <c r="S242">
        <f>IFERROR(O242/N242,0)</f>
        <v/>
      </c>
      <c r="T242" t="n">
        <v>0</v>
      </c>
      <c r="V242" t="n">
        <v>0</v>
      </c>
    </row>
    <row r="243">
      <c r="A243">
        <f>Skills!A16</f>
        <v/>
      </c>
      <c r="B243">
        <f>Skills!B16</f>
        <v/>
      </c>
      <c r="C243">
        <f>Inputs!$B$3&gt;=15</f>
        <v/>
      </c>
      <c r="D243">
        <f>IF(Skills!C16=1,60+Inputs!$B$25+Inputs!$B$29,IF(Skills!C16=2,90+Inputs!$B$26+Inputs!$B$29,IF(Skills!C16=3,120+Inputs!$B$27+Inputs!$B$29,MAX(0,(Inputs!$B$3-100)*3)+Inputs!$B$28+Inputs!$B$29)))</f>
        <v/>
      </c>
      <c r="E243">
        <f>INDEX(FactorTable!$B$2:$Y$301, MATCH(ROUND(MIN(300,MAX(1,D243)),0), FactorTable!$A$2:$A$301,0), Skills!M16+1)</f>
        <v/>
      </c>
      <c r="F243">
        <f>IF(Skills!N16=TRUE,(Skills!L16/10)*(E243/1000),Skills!L16/10)+Skills!O16</f>
        <v/>
      </c>
      <c r="G243">
        <f>Skills!G16*IF(Skills!H16&gt;0,Skills!I16/Skills!H16,1)</f>
        <v/>
      </c>
      <c r="H243">
        <f>1-(1-Skills!J16/100)^Skills!K16</f>
        <v/>
      </c>
      <c r="I243" t="inlineStr">
        <is>
          <t>1</t>
        </is>
      </c>
      <c r="J243" t="inlineStr"/>
      <c r="K243" t="inlineStr"/>
      <c r="L243" t="inlineStr"/>
      <c r="M243" t="inlineStr"/>
      <c r="N243" t="inlineStr"/>
      <c r="O243">
        <f>(1-Summary!$B$11)*T243+Summary!$B$11*V243</f>
        <v/>
      </c>
      <c r="P243">
        <f>IF(B263=0,0,O243/B263)</f>
        <v/>
      </c>
      <c r="Q243" t="n">
        <v>0</v>
      </c>
      <c r="R243" t="n">
        <v>0</v>
      </c>
      <c r="S243">
        <f>IFERROR(O243/N243,0)</f>
        <v/>
      </c>
      <c r="T243" t="n">
        <v>0</v>
      </c>
      <c r="V243" t="n">
        <v>0</v>
      </c>
    </row>
    <row r="244">
      <c r="A244">
        <f>Skills!A17</f>
        <v/>
      </c>
      <c r="B244">
        <f>Skills!B17</f>
        <v/>
      </c>
      <c r="C244">
        <f>Inputs!$B$3&gt;=10</f>
        <v/>
      </c>
      <c r="D244">
        <f>IF(Skills!C17=1,60+Inputs!$B$25+Inputs!$B$29,IF(Skills!C17=2,90+Inputs!$B$26+Inputs!$B$29,IF(Skills!C17=3,120+Inputs!$B$27+Inputs!$B$29,MAX(0,(Inputs!$B$3-100)*3)+Inputs!$B$28+Inputs!$B$29)))</f>
        <v/>
      </c>
      <c r="E244">
        <f>INDEX(FactorTable!$B$2:$Y$301, MATCH(ROUND(MIN(300,MAX(1,D244)),0), FactorTable!$A$2:$A$301,0), Skills!M17+1)</f>
        <v/>
      </c>
      <c r="F244">
        <f>IF(Skills!N17=TRUE,(Skills!L17/10)*(E244/1000),Skills!L17/10)+Skills!O17</f>
        <v/>
      </c>
      <c r="G244">
        <f>Skills!G17*IF(Skills!H17&gt;0,Skills!I17/Skills!H17,1)</f>
        <v/>
      </c>
      <c r="H244">
        <f>1-(1-Skills!J17/100)^Skills!K17</f>
        <v/>
      </c>
      <c r="I244" t="inlineStr">
        <is>
          <t>1</t>
        </is>
      </c>
      <c r="J244" t="inlineStr"/>
      <c r="K244" t="inlineStr"/>
      <c r="L244" t="inlineStr"/>
      <c r="M244" t="inlineStr"/>
      <c r="N244" t="inlineStr"/>
      <c r="O244">
        <f>(1-Summary!$B$11)*T244+Summary!$B$11*V244</f>
        <v/>
      </c>
      <c r="P244">
        <f>IF(B263=0,0,O244/B263)</f>
        <v/>
      </c>
      <c r="Q244" t="n">
        <v>0</v>
      </c>
      <c r="R244" t="n">
        <v>0</v>
      </c>
      <c r="S244">
        <f>IFERROR(O244/N244,0)</f>
        <v/>
      </c>
      <c r="T244" t="n">
        <v>0</v>
      </c>
      <c r="V244" t="n">
        <v>0</v>
      </c>
    </row>
    <row r="245">
      <c r="A245">
        <f>Skills!A18</f>
        <v/>
      </c>
      <c r="B245">
        <f>Skills!B18</f>
        <v/>
      </c>
      <c r="C245">
        <f>Inputs!$B$3&gt;=33</f>
        <v/>
      </c>
      <c r="D245">
        <f>IF(Skills!C18=1,60+Inputs!$B$25+Inputs!$B$29,IF(Skills!C18=2,90+Inputs!$B$26+Inputs!$B$29,IF(Skills!C18=3,120+Inputs!$B$27+Inputs!$B$29,MAX(0,(Inputs!$B$3-100)*3)+Inputs!$B$28+Inputs!$B$29)))</f>
        <v/>
      </c>
      <c r="E245">
        <f>INDEX(FactorTable!$B$2:$Y$301, MATCH(ROUND(MIN(300,MAX(1,D245)),0), FactorTable!$A$2:$A$301,0), Skills!M18+1)</f>
        <v/>
      </c>
      <c r="F245">
        <f>IF(Skills!N18=TRUE,(Skills!L18/10)*(E245/1000),Skills!L18/10)+Skills!O18</f>
        <v/>
      </c>
      <c r="G245">
        <f>Skills!G18*IF(Skills!H18&gt;0,Skills!I18/Skills!H18,1)</f>
        <v/>
      </c>
      <c r="H245">
        <f>1-(1-Skills!J18/100)^Skills!K18</f>
        <v/>
      </c>
      <c r="I245" t="inlineStr">
        <is>
          <t>1</t>
        </is>
      </c>
      <c r="J245" t="inlineStr"/>
      <c r="K245" t="inlineStr"/>
      <c r="L245" t="inlineStr"/>
      <c r="M245" t="inlineStr"/>
      <c r="N245" t="inlineStr"/>
      <c r="O245">
        <f>(1-Summary!$B$11)*T245+Summary!$B$11*V245</f>
        <v/>
      </c>
      <c r="P245">
        <f>IF(B263=0,0,O245/B263)</f>
        <v/>
      </c>
      <c r="Q245" t="n">
        <v>0</v>
      </c>
      <c r="R245" t="n">
        <v>0</v>
      </c>
      <c r="S245">
        <f>IFERROR(O245/N245,0)</f>
        <v/>
      </c>
      <c r="T245" t="n">
        <v>0</v>
      </c>
      <c r="V245" t="n">
        <v>0</v>
      </c>
    </row>
    <row r="246">
      <c r="A246">
        <f>Skills!A19</f>
        <v/>
      </c>
      <c r="B246">
        <f>Skills!B19</f>
        <v/>
      </c>
      <c r="C246">
        <f>Inputs!$B$3&gt;=40</f>
        <v/>
      </c>
      <c r="D246">
        <f>IF(Skills!C19=1,60+Inputs!$B$25+Inputs!$B$29,IF(Skills!C19=2,90+Inputs!$B$26+Inputs!$B$29,IF(Skills!C19=3,120+Inputs!$B$27+Inputs!$B$29,MAX(0,(Inputs!$B$3-100)*3)+Inputs!$B$28+Inputs!$B$29)))</f>
        <v/>
      </c>
      <c r="E246">
        <f>INDEX(FactorTable!$B$2:$Y$301, MATCH(ROUND(MIN(300,MAX(1,D246)),0), FactorTable!$A$2:$A$301,0), Skills!M19+1)</f>
        <v/>
      </c>
      <c r="F246">
        <f>IF(Skills!N19=TRUE,(Skills!L19/10)*(E246/1000),Skills!L19/10)+Skills!O19</f>
        <v/>
      </c>
      <c r="G246">
        <f>Skills!G19*IF(Skills!H19&gt;0,Skills!I19/Skills!H19,1)</f>
        <v/>
      </c>
      <c r="H246">
        <f>1-(1-Skills!J19/100)^Skills!K19</f>
        <v/>
      </c>
      <c r="I246" t="inlineStr">
        <is>
          <t>1</t>
        </is>
      </c>
      <c r="J246" t="inlineStr"/>
      <c r="K246" t="inlineStr"/>
      <c r="L246" t="inlineStr"/>
      <c r="M246" t="inlineStr"/>
      <c r="N246" t="inlineStr"/>
      <c r="O246">
        <f>(1-Summary!$B$11)*T246+Summary!$B$11*V246</f>
        <v/>
      </c>
      <c r="P246">
        <f>IF(B263=0,0,O246/B263)</f>
        <v/>
      </c>
      <c r="Q246" t="n">
        <v>0</v>
      </c>
      <c r="R246" t="n">
        <v>0</v>
      </c>
      <c r="S246">
        <f>IFERROR(O246/N246,0)</f>
        <v/>
      </c>
      <c r="T246" t="n">
        <v>0</v>
      </c>
      <c r="V246" t="n">
        <v>0</v>
      </c>
    </row>
    <row r="247">
      <c r="A247">
        <f>Skills!A20</f>
        <v/>
      </c>
      <c r="B247">
        <f>Skills!B20</f>
        <v/>
      </c>
      <c r="C247">
        <f>Inputs!$B$3&gt;=43</f>
        <v/>
      </c>
      <c r="D247">
        <f>IF(Skills!C20=1,60+Inputs!$B$25+Inputs!$B$29,IF(Skills!C20=2,90+Inputs!$B$26+Inputs!$B$29,IF(Skills!C20=3,120+Inputs!$B$27+Inputs!$B$29,MAX(0,(Inputs!$B$3-100)*3)+Inputs!$B$28+Inputs!$B$29)))</f>
        <v/>
      </c>
      <c r="E247">
        <f>INDEX(FactorTable!$B$2:$Y$301, MATCH(ROUND(MIN(300,MAX(1,D247)),0), FactorTable!$A$2:$A$301,0), Skills!M20+1)</f>
        <v/>
      </c>
      <c r="F247">
        <f>IF(Skills!N20=TRUE,(Skills!L20/10)*(E247/1000),Skills!L20/10)+Skills!O20</f>
        <v/>
      </c>
      <c r="G247">
        <f>Skills!G20*IF(Skills!H20&gt;0,Skills!I20/Skills!H20,1)</f>
        <v/>
      </c>
      <c r="H247">
        <f>1-(1-Skills!J20/100)^Skills!K20</f>
        <v/>
      </c>
      <c r="I247" t="inlineStr">
        <is>
          <t>1</t>
        </is>
      </c>
      <c r="J247" t="inlineStr"/>
      <c r="K247" t="inlineStr"/>
      <c r="L247" t="inlineStr"/>
      <c r="M247" t="inlineStr"/>
      <c r="N247" t="inlineStr"/>
      <c r="O247">
        <f>(1-Summary!$B$11)*T247+Summary!$B$11*V247</f>
        <v/>
      </c>
      <c r="P247">
        <f>IF(B263=0,0,O247/B263)</f>
        <v/>
      </c>
      <c r="Q247" t="n">
        <v>0</v>
      </c>
      <c r="R247" t="n">
        <v>0</v>
      </c>
      <c r="S247">
        <f>IFERROR(O247/N247,0)</f>
        <v/>
      </c>
      <c r="T247" t="n">
        <v>0</v>
      </c>
      <c r="V247" t="n">
        <v>0</v>
      </c>
    </row>
    <row r="248">
      <c r="A248">
        <f>Skills!A21</f>
        <v/>
      </c>
      <c r="B248">
        <f>Skills!B21</f>
        <v/>
      </c>
      <c r="C248">
        <f>Inputs!$B$3&gt;=38</f>
        <v/>
      </c>
      <c r="D248">
        <f>IF(Skills!C21=1,60+Inputs!$B$25+Inputs!$B$29,IF(Skills!C21=2,90+Inputs!$B$26+Inputs!$B$29,IF(Skills!C21=3,120+Inputs!$B$27+Inputs!$B$29,MAX(0,(Inputs!$B$3-100)*3)+Inputs!$B$28+Inputs!$B$29)))</f>
        <v/>
      </c>
      <c r="E248">
        <f>INDEX(FactorTable!$B$2:$Y$301, MATCH(ROUND(MIN(300,MAX(1,D248)),0), FactorTable!$A$2:$A$301,0), Skills!M21+1)</f>
        <v/>
      </c>
      <c r="F248">
        <f>IF(Skills!N21=TRUE,(Skills!L21/10)*(E248/1000),Skills!L21/10)+Skills!O21</f>
        <v/>
      </c>
      <c r="G248">
        <f>Skills!G21*IF(Skills!H21&gt;0,Skills!I21/Skills!H21,1)</f>
        <v/>
      </c>
      <c r="H248">
        <f>1-(1-Skills!J21/100)^Skills!K21</f>
        <v/>
      </c>
      <c r="I248" t="inlineStr">
        <is>
          <t>1</t>
        </is>
      </c>
      <c r="J248" t="inlineStr"/>
      <c r="K248" t="inlineStr"/>
      <c r="L248" t="inlineStr"/>
      <c r="M248" t="inlineStr"/>
      <c r="N248" t="inlineStr"/>
      <c r="O248">
        <f>(1-Summary!$B$11)*T248+Summary!$B$11*V248</f>
        <v/>
      </c>
      <c r="P248">
        <f>IF(B263=0,0,O248/B263)</f>
        <v/>
      </c>
      <c r="Q248" t="n">
        <v>0</v>
      </c>
      <c r="R248" t="n">
        <v>0</v>
      </c>
      <c r="S248">
        <f>IFERROR(O248/N248,0)</f>
        <v/>
      </c>
      <c r="T248" t="n">
        <v>0</v>
      </c>
      <c r="V248" t="n">
        <v>0</v>
      </c>
    </row>
    <row r="249">
      <c r="A249">
        <f>Skills!A22</f>
        <v/>
      </c>
      <c r="B249">
        <f>Skills!B22</f>
        <v/>
      </c>
      <c r="C249">
        <f>Inputs!$B$3&gt;=75</f>
        <v/>
      </c>
      <c r="D249">
        <f>IF(Skills!C22=1,60+Inputs!$B$25+Inputs!$B$29,IF(Skills!C22=2,90+Inputs!$B$26+Inputs!$B$29,IF(Skills!C22=3,120+Inputs!$B$27+Inputs!$B$29,MAX(0,(Inputs!$B$3-100)*3)+Inputs!$B$28+Inputs!$B$29)))</f>
        <v/>
      </c>
      <c r="E249">
        <f>INDEX(FactorTable!$B$2:$Y$301, MATCH(ROUND(MIN(300,MAX(1,D249)),0), FactorTable!$A$2:$A$301,0), Skills!M22+1)</f>
        <v/>
      </c>
      <c r="F249">
        <f>IF(Skills!N22=TRUE,(Skills!L22/10)*(E249/1000),Skills!L22/10)+Skills!O22</f>
        <v/>
      </c>
      <c r="G249">
        <f>Skills!G22*IF(Skills!H22&gt;0,Skills!I22/Skills!H22,1)</f>
        <v/>
      </c>
      <c r="H249">
        <f>1-(1-Skills!J22/100)^Skills!K22</f>
        <v/>
      </c>
      <c r="I249" t="inlineStr">
        <is>
          <t>1</t>
        </is>
      </c>
      <c r="J249" t="inlineStr"/>
      <c r="K249" t="inlineStr"/>
      <c r="L249" t="inlineStr"/>
      <c r="M249" t="inlineStr"/>
      <c r="N249" t="inlineStr"/>
      <c r="O249">
        <f>(1-Summary!$B$11)*T249+Summary!$B$11*V249</f>
        <v/>
      </c>
      <c r="P249">
        <f>IF(B263=0,0,O249/B263)</f>
        <v/>
      </c>
      <c r="Q249" t="n">
        <v>0</v>
      </c>
      <c r="R249" t="n">
        <v>0</v>
      </c>
      <c r="S249">
        <f>IFERROR(O249/N249,0)</f>
        <v/>
      </c>
      <c r="T249" t="n">
        <v>0</v>
      </c>
      <c r="V249" t="n">
        <v>0</v>
      </c>
    </row>
    <row r="250">
      <c r="A250">
        <f>Skills!A23</f>
        <v/>
      </c>
      <c r="B250">
        <f>Skills!B23</f>
        <v/>
      </c>
      <c r="C250">
        <f>TRUE</f>
        <v/>
      </c>
      <c r="D250">
        <f>IF(Skills!C23=1,60+Inputs!$B$25+Inputs!$B$29,IF(Skills!C23=2,90+Inputs!$B$26+Inputs!$B$29,IF(Skills!C23=3,120+Inputs!$B$27+Inputs!$B$29,MAX(0,(Inputs!$B$3-100)*3)+Inputs!$B$28+Inputs!$B$29)))</f>
        <v/>
      </c>
      <c r="E250">
        <f>INDEX(FactorTable!$B$2:$Y$301, MATCH(ROUND(MIN(300,MAX(1,D250)),0), FactorTable!$A$2:$A$301,0), Skills!M23+1)</f>
        <v/>
      </c>
      <c r="F250">
        <f>IF(Skills!N23=TRUE,(Skills!L23/10)*(E250/1000),Skills!L23/10)+Skills!O23</f>
        <v/>
      </c>
      <c r="G250">
        <f>Skills!G23*IF(Skills!H23&gt;0,Skills!I23/Skills!H23,1)</f>
        <v/>
      </c>
      <c r="H250">
        <f>1-(1-Skills!J23/100)^Skills!K23</f>
        <v/>
      </c>
      <c r="I250" t="inlineStr">
        <is>
          <t>1</t>
        </is>
      </c>
      <c r="J250" t="inlineStr"/>
      <c r="K250" t="inlineStr"/>
      <c r="L250" t="inlineStr"/>
      <c r="M250" t="inlineStr"/>
      <c r="N250" t="inlineStr"/>
      <c r="O250">
        <f>(1-Summary!$B$11)*T250+Summary!$B$11*V250</f>
        <v/>
      </c>
      <c r="P250">
        <f>IF(B263=0,0,O250/B263)</f>
        <v/>
      </c>
      <c r="Q250">
        <f>IFERROR(1/(IF(Inputs!$B$38="pvp",15,MAX(0.1,Skills!D23-IF(Skills!E23=TRUE,Inputs!$B$32,0)))*(1-IF(AND(ArtifactsInput!$M$27,Inputs!$B$4="Chapter Hunt"),CHOOSE(ArtifactsInput!$N$27+1,20,24,28,32,36,40),0)/100)),0)</f>
        <v/>
      </c>
      <c r="R250">
        <f>IF(AND(Inputs!$B$38&lt;&gt;"pvp",Inputs!$B$43&gt;0),IF(Inputs!$B$43&lt;=0,0,(INT(Inputs!$B$43/(IF(Inputs!$B$38="pvp",15,MAX(0.1,Skills!D23-IF(Skills!E23=TRUE,Inputs!$B$32,0)))*(1-IF(AND(ArtifactsInput!$M$27,Inputs!$B$4="Chapter Hunt"),CHOOSE(ArtifactsInput!$N$27+1,20,24,28,32,36,40),0)/100)))+1)),0)</f>
        <v/>
      </c>
      <c r="S250">
        <f>IFERROR(O250/N250,0)</f>
        <v/>
      </c>
      <c r="T250" t="n">
        <v>0</v>
      </c>
      <c r="V250" t="n">
        <v>0</v>
      </c>
    </row>
    <row r="252">
      <c r="A252" t="inlineStr">
        <is>
          <t>Attack% Bucket Multiplier</t>
        </is>
      </c>
      <c r="B252">
        <f>(1+(((C240=TRUE)*F240*5/7)+((C246=TRUE)*(F246-Calc!F19))+(IF(ArtifactsInput!$M$21,CHOOSE(ArtifactsInput!$N$21+1,25,30,35,40,45,50)*(IF(OR(Inputs!$B$4="Chapter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
      <c r="A253" t="inlineStr">
        <is>
          <t>Global Crit Rate Bonus %</t>
        </is>
      </c>
      <c r="B253" t="n">
        <v>0</v>
      </c>
    </row>
    <row r="254">
      <c r="A254" t="inlineStr">
        <is>
          <t>Attack Speed Buff Bonus % (Nimble Feet, duty-cycle averaged)</t>
        </is>
      </c>
      <c r="B254">
        <f>((C250=TRUE)*F250*IF(AND(Inputs!$B$38&lt;&gt;"pvp",Inputs!$B$43&gt;0),(((R250-1)*(Skills!T23*(1+Inputs!$B$34/100))+MIN((Skills!T23*(1+Inputs!$B$34/100)),MAX(0,Inputs!$B$43-((R250-1)*Skills!D23))))/Inputs!$B$43),IF(Inputs!$B$38="pvp",MIN((Skills!T23*(1+Inputs!$B$34/100)),15)/15,(Skills!T23*(1+Inputs!$B$34/100))/Skills!D23)))</f>
        <v/>
      </c>
    </row>
    <row r="255">
      <c r="A255" t="inlineStr">
        <is>
          <t>Actions Per Second</t>
        </is>
      </c>
      <c r="B255">
        <f>1+MIN(150,150*(1-(1-(Inputs!$B$11+((C244=TRUE)*(F244-Calc!F17))+((C245=TRUE)*(F245-Calc!F18)))/150)*(1-B254/150)))/100</f>
        <v/>
      </c>
    </row>
    <row r="256">
      <c r="A256" t="inlineStr">
        <is>
          <t>Skill + Buff Cast Rate</t>
        </is>
      </c>
      <c r="B256">
        <f>IF(AND(Inputs!$B$38&lt;&gt;"pvp",Inputs!$B$43&gt;0),SUMPRODUCT((Skills!E2:E23=TRUE)*(C229:C250=TRUE)*R229:R250*Skills!F2:F23)/Inputs!$B$43,SUMPRODUCT((Skills!E2:E23=TRUE)*(C229:C250=TRUE)*Q229:Q250*Skills!F2:F23))</f>
        <v/>
      </c>
    </row>
    <row r="257">
      <c r="A257" t="inlineStr">
        <is>
          <t>Hook Bomber Casts Per Second</t>
        </is>
      </c>
      <c r="B257">
        <f>MAX(0,B255-B256)</f>
        <v/>
      </c>
    </row>
    <row r="258">
      <c r="A258" t="inlineStr">
        <is>
          <t>Global Critical Damage Bonus % (unused)</t>
        </is>
      </c>
      <c r="B258" t="n">
        <v>0</v>
      </c>
    </row>
    <row r="259">
      <c r="A259" t="inlineStr">
        <is>
          <t>Global Final Damage Bonus % (Serpent Scale + Crossbones + Time Leap + Speed Infusion)</t>
        </is>
      </c>
      <c r="B259">
        <f>((C232=TRUE)*F232*((10+IF(Inputs!$B$3&gt;=94,5,0))/((10+IF(Inputs!$B$3&gt;=94,5,0))+5/(B257*(1+IF(Inputs!$B$3&gt;=104,1,0))))))+((C241=TRUE)*F241*IF(AND(Inputs!$B$38&lt;&gt;"pvp",Inputs!$B$43&gt;0),(((R241-1)*(Skills!T14*(1+Inputs!$B$34/100))+MIN((Skills!T14*(1+Inputs!$B$34/100)),MAX(0,Inputs!$B$43-((R241-1)*Skills!D14))))/Inputs!$B$43),IF(Inputs!$B$38="pvp",MIN((Skills!T14*(1+Inputs!$B$34/100)),15)/15,(Skills!T14*(1+Inputs!$B$34/100))/Skills!D14)))+((C242=TRUE)*F242*IF(AND(Inputs!$B$38&lt;&gt;"pvp",Inputs!$B$43&gt;0),(((R242-1)*(Skills!T15*(1+Inputs!$B$34/100))+MIN((Skills!T15*(1+Inputs!$B$34/100)),MAX(0,Inputs!$B$43-((R242-1)*Skills!D15))))/Inputs!$B$43),IF(Inputs!$B$38="pvp",MIN((Skills!T15*(1+Inputs!$B$34/100)),15)/15,(Skills!T15*(1+Inputs!$B$34/100))/Skills!D15)))+((Inputs!$B$3&gt;=110)*20*(B255-1)*IF(Inputs!$B$38="pvp",MIN((15*(1+Inputs!$B$34/100)),15)/15,(15*(1+Inputs!$B$34/100))/35))</f>
        <v/>
      </c>
    </row>
    <row r="260">
      <c r="A260" t="inlineStr">
        <is>
          <t>Buff-Casting Startup Delay (s, fixed-duration only)</t>
        </is>
      </c>
      <c r="B260">
        <f>IF(AND(Inputs!$B$38&lt;&gt;"pvp",Inputs!$B$43&gt;0),SUMPRODUCT((Skills!T2:T23&gt;0)*(Skills!E2:E23=TRUE)*(C229:C250=TRUE))/B255,0)</f>
        <v/>
      </c>
    </row>
    <row r="261">
      <c r="A261" t="inlineStr">
        <is>
          <t>Boss-Only Total DPS (this block's swept value)</t>
        </is>
      </c>
      <c r="B261">
        <f>SUM(T229:T250)</f>
        <v/>
      </c>
    </row>
    <row r="262">
      <c r="A262" t="inlineStr">
        <is>
          <t>Normal-Only Total DPS (this block's swept value)</t>
        </is>
      </c>
      <c r="B262">
        <f>SUM(V229:V250)</f>
        <v/>
      </c>
    </row>
    <row r="263">
      <c r="A263" s="6" t="inlineStr">
        <is>
          <t>TOTAL DPS</t>
        </is>
      </c>
      <c r="B263" s="6">
        <f>SUM(O229:O250)</f>
        <v/>
      </c>
    </row>
    <row r="266">
      <c r="A266" s="6" t="inlineStr">
        <is>
          <t>Stat: BOSS_DAMAGE %</t>
        </is>
      </c>
    </row>
    <row r="267">
      <c r="A267" s="5" t="inlineStr">
        <is>
          <t>Key</t>
        </is>
      </c>
      <c r="B267" s="5" t="inlineStr">
        <is>
          <t>Name</t>
        </is>
      </c>
      <c r="C267" s="5" t="inlineStr">
        <is>
          <t>Unlocked</t>
        </is>
      </c>
      <c r="D267" s="5" t="inlineStr">
        <is>
          <t>InputLevel</t>
        </is>
      </c>
      <c r="E267" s="5" t="inlineStr">
        <is>
          <t>Factor</t>
        </is>
      </c>
      <c r="F267" s="5" t="inlineStr">
        <is>
          <t>CoefficientPercent</t>
        </is>
      </c>
      <c r="G267" s="5" t="inlineStr">
        <is>
          <t>EffectiveHits</t>
        </is>
      </c>
      <c r="H267" s="5" t="inlineStr">
        <is>
          <t>ProcProbability</t>
        </is>
      </c>
      <c r="I267" s="5" t="inlineStr">
        <is>
          <t>MapleHeroMultiplier</t>
        </is>
      </c>
      <c r="J267" s="5" t="inlineStr">
        <is>
          <t>BaseDamage</t>
        </is>
      </c>
      <c r="K267" s="5" t="inlineStr">
        <is>
          <t>BaseHitDamage</t>
        </is>
      </c>
      <c r="L267" s="5" t="inlineStr">
        <is>
          <t>NonCritAvg</t>
        </is>
      </c>
      <c r="M267" s="5" t="inlineStr">
        <is>
          <t>CritAvg</t>
        </is>
      </c>
      <c r="N267" s="5" t="inlineStr">
        <is>
          <t>ExpectedDamage(perHit)</t>
        </is>
      </c>
      <c r="O267" s="5" t="inlineStr">
        <is>
          <t>DPS</t>
        </is>
      </c>
      <c r="P267" s="5" t="inlineStr">
        <is>
          <t>% of Total</t>
        </is>
      </c>
      <c r="Q267" s="5" t="inlineStr">
        <is>
          <t>InvCooldown</t>
        </is>
      </c>
      <c r="R267" s="5" t="inlineStr">
        <is>
          <t>CastsInFight</t>
        </is>
      </c>
      <c r="S267" s="5" t="inlineStr">
        <is>
          <t>HitRate(perSec)</t>
        </is>
      </c>
      <c r="U267" t="inlineStr">
        <is>
          <t>helpers</t>
        </is>
      </c>
    </row>
    <row r="268">
      <c r="A268">
        <f>Skills!A2</f>
        <v/>
      </c>
      <c r="B268">
        <f>Skills!B2</f>
        <v/>
      </c>
      <c r="C268">
        <f>Inputs!$B$3&gt;=100</f>
        <v/>
      </c>
      <c r="D268" t="inlineStr"/>
      <c r="E268" t="inlineStr"/>
      <c r="F268">
        <f>U270+Skills!O2</f>
        <v/>
      </c>
      <c r="G268">
        <f>Skills!G2*IF(Skills!H2&gt;0,Skills!I2/Skills!H2,1)</f>
        <v/>
      </c>
      <c r="H268">
        <f>1-(1-Skills!J2/100)^Skills!K2</f>
        <v/>
      </c>
      <c r="I268" t="inlineStr">
        <is>
          <t>1</t>
        </is>
      </c>
      <c r="J268">
        <f>((Inputs!$B$6*(1+Inputs!$B$7/100))+(((Inputs!$B$12*(1+Inputs!$B$13/100))-(Inputs!$B$12*(1+Inputs!$B$13/100)))+0.25*(Inputs!$B$14-Inputs!$B$14))*(1+Inputs!$B$7/100))*(F268/100)</f>
        <v/>
      </c>
      <c r="K268">
        <f>J268*(1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f>
        <v/>
      </c>
      <c r="L268">
        <f>K268*(MIN(Inputs!$B$22+((C286=TRUE)*(F286-Calc!F20)),(Inputs!$B$23+0+(IF(ArtifactsInput!$M$15,CHOOSE(ArtifactsInput!$N$15+1,25,30,35,40,45,50)/100*(Inputs!$B$11-Inputs!$B$11),0))))/100+(Inputs!$B$23+0+(IF(ArtifactsInput!$M$15,CHOOSE(ArtifactsInput!$N$15+1,25,30,35,40,45,50)/100*(Inputs!$B$11-Inputs!$B$11),0)))/100)/2</f>
        <v/>
      </c>
      <c r="M268">
        <f>L268*(1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
        <f>L268*(1-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
        <f>(1-Summary!$B$11)*T268+Summary!$B$11*V268</f>
        <v/>
      </c>
      <c r="P268">
        <f>IF(B302=0,0,O268/B302)</f>
        <v/>
      </c>
      <c r="Q268" t="n">
        <v>0</v>
      </c>
      <c r="R268" t="n">
        <v>0</v>
      </c>
      <c r="S268">
        <f>IFERROR(O268/N268,0)</f>
        <v/>
      </c>
      <c r="T268">
        <f>IF(C268,(Skills!G2*N268*B296)*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
        <f>MAX(0,(Inputs!$B$3-100)*3)+Inputs!$B$28+Inputs!$B$29</f>
        <v/>
      </c>
      <c r="V268">
        <f>IF(C268,(Skills!G2*N268*B296)*IF(Inputs!$B$38="pvp",1,(1+(Inputs!$B$21+Skills!Q2+(IF(ArtifactsInput!$M$33,CHOOSE(ArtifactsInput!$N$33+1,30,36,42,48,54,60),0))+(IF(AND(ArtifactsInput!$M$35,Inputs!$B$4&lt;&gt;"Chapter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
      <c r="A269">
        <f>Skills!A3</f>
        <v/>
      </c>
      <c r="B269">
        <f>Skills!B3</f>
        <v/>
      </c>
      <c r="C269">
        <f>Inputs!$B$3&gt;=35</f>
        <v/>
      </c>
      <c r="D269">
        <f>IF(Skills!C3=1,60+Inputs!$B$25+Inputs!$B$29,IF(Skills!C3=2,90+Inputs!$B$26+Inputs!$B$29,IF(Skills!C3=3,120+Inputs!$B$27+Inputs!$B$29,MAX(0,(Inputs!$B$3-100)*3)+Inputs!$B$28+Inputs!$B$29)))</f>
        <v/>
      </c>
      <c r="E269">
        <f>INDEX(FactorTable!$B$2:$Y$301, MATCH(ROUND(MIN(300,MAX(1,D269)),0), FactorTable!$A$2:$A$301,0), Skills!M3+1)</f>
        <v/>
      </c>
      <c r="F269">
        <f>IF(Skills!N3=TRUE,(Skills!L3/10)*(E269/1000),Skills!L3/10)+Skills!O3</f>
        <v/>
      </c>
      <c r="G269">
        <f>Skills!G3*IF(Skills!H3&gt;0,Skills!I3/Skills!H3,1)</f>
        <v/>
      </c>
      <c r="H269">
        <f>1-(1-Skills!J3/100)^Skills!K3</f>
        <v/>
      </c>
      <c r="I269" t="inlineStr">
        <is>
          <t>1</t>
        </is>
      </c>
      <c r="J269">
        <f>((Inputs!$B$6*(1+Inputs!$B$7/100))+(((Inputs!$B$12*(1+Inputs!$B$13/100))-(Inputs!$B$12*(1+Inputs!$B$13/100)))+0.25*(Inputs!$B$14-Inputs!$B$14))*(1+Inputs!$B$7/100))*(F269/100)</f>
        <v/>
      </c>
      <c r="K269">
        <f>J269*(1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f>
        <v/>
      </c>
      <c r="L269">
        <f>K269*(MIN(Inputs!$B$22+((C286=TRUE)*(F286-Calc!F20)),(Inputs!$B$23+0+(IF(ArtifactsInput!$M$15,CHOOSE(ArtifactsInput!$N$15+1,25,30,35,40,45,50)/100*(Inputs!$B$11-Inputs!$B$11),0))))/100+(Inputs!$B$23+0+(IF(ArtifactsInput!$M$15,CHOOSE(ArtifactsInput!$N$15+1,25,30,35,40,45,50)/100*(Inputs!$B$11-Inputs!$B$11),0)))/100)/2</f>
        <v/>
      </c>
      <c r="M269">
        <f>L269*(1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
        <f>L269*(1-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
        <f>(1-Summary!$B$11)*T269+Summary!$B$11*V269</f>
        <v/>
      </c>
      <c r="P269">
        <f>IF(B302=0,0,O269/B302)</f>
        <v/>
      </c>
      <c r="Q269" t="n">
        <v>0</v>
      </c>
      <c r="R269" t="n">
        <v>0</v>
      </c>
      <c r="S269">
        <f>IFERROR(O269/N269,0)</f>
        <v/>
      </c>
      <c r="T269">
        <f>IF(C269,(Skills!G3*H269*N269*B296)*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9">
        <f>INDEX(FactorTable!$B$2:$Y$301, MATCH(ROUND(MIN(300,MAX(1,U268)),0), FactorTable!$A$2:$A$301,0), 22)</f>
        <v/>
      </c>
      <c r="V269">
        <f>IF(C269,(Skills!G3*H269*N269*B296)*IF(Inputs!$B$38="pvp",1,(1+(Inputs!$B$21+Skills!Q3+(IF(ArtifactsInput!$M$33,CHOOSE(ArtifactsInput!$N$33+1,30,36,42,48,54,60),0))+(IF(AND(ArtifactsInput!$M$35,Inputs!$B$4&lt;&gt;"Chapter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
      <c r="A270">
        <f>Skills!A4</f>
        <v/>
      </c>
      <c r="B270">
        <f>Skills!B4</f>
        <v/>
      </c>
      <c r="C270">
        <f>Inputs!$B$3&gt;=60</f>
        <v/>
      </c>
      <c r="D270">
        <f>IF(Skills!C4=1,60+Inputs!$B$25+Inputs!$B$29,IF(Skills!C4=2,90+Inputs!$B$26+Inputs!$B$29,IF(Skills!C4=3,120+Inputs!$B$27+Inputs!$B$29,MAX(0,(Inputs!$B$3-100)*3)+Inputs!$B$28+Inputs!$B$29)))</f>
        <v/>
      </c>
      <c r="E270">
        <f>INDEX(FactorTable!$B$2:$Y$301, MATCH(ROUND(MIN(300,MAX(1,D270)),0), FactorTable!$A$2:$A$301,0), Skills!M4+1)</f>
        <v/>
      </c>
      <c r="F270">
        <f>IF(Skills!N4=TRUE,(Skills!L4/10)*(E270/1000),Skills!L4/10)+Skills!O4</f>
        <v/>
      </c>
      <c r="G270">
        <f>Skills!G4*IF(Skills!H4&gt;0,Skills!I4/Skills!H4,1)</f>
        <v/>
      </c>
      <c r="H270">
        <f>1-(1-Skills!J4/100)^Skills!K4</f>
        <v/>
      </c>
      <c r="I270" t="inlineStr">
        <is>
          <t>1</t>
        </is>
      </c>
      <c r="J270">
        <f>((Inputs!$B$6*(1+Inputs!$B$7/100))+(((Inputs!$B$12*(1+Inputs!$B$13/100))-(Inputs!$B$12*(1+Inputs!$B$13/100)))+0.25*(Inputs!$B$14-Inputs!$B$14))*(1+Inputs!$B$7/100))*(F270/100)</f>
        <v/>
      </c>
      <c r="K270">
        <f>J270*(1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TRUE,F278,0)/100)*(1+(IF(Skills!A4="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f>
        <v/>
      </c>
      <c r="L270">
        <f>K270*(MIN(Inputs!$B$22+((C286=TRUE)*(F286-Calc!F20)),(Inputs!$B$23+0+(IF(ArtifactsInput!$M$15,CHOOSE(ArtifactsInput!$N$15+1,25,30,35,40,45,50)/100*(Inputs!$B$11-Inputs!$B$11),0))))/100+(Inputs!$B$23+0+(IF(ArtifactsInput!$M$15,CHOOSE(ArtifactsInput!$N$15+1,25,30,35,40,45,50)/100*(Inputs!$B$11-Inputs!$B$11),0)))/100)/2</f>
        <v/>
      </c>
      <c r="M270">
        <f>L270*(1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
        <f>L270*(1-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
        <f>(1-Summary!$B$11)*T270+Summary!$B$11*V270</f>
        <v/>
      </c>
      <c r="P270">
        <f>IF(B302=0,0,O270/B302)</f>
        <v/>
      </c>
      <c r="Q270" t="n">
        <v>0</v>
      </c>
      <c r="R270" t="n">
        <v>0</v>
      </c>
      <c r="S270">
        <f>IFERROR(O270/N270,0)</f>
        <v/>
      </c>
      <c r="T270">
        <f>IF(C270,(Skills!G4*H270*N270*B296)*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
        <f>290*U269/1000</f>
        <v/>
      </c>
      <c r="V270">
        <f>IF(C270,(Skills!G4*H270*N270*B296)*IF(Inputs!$B$38="pvp",1,(1+(Inputs!$B$21+Skills!Q4+(IF(ArtifactsInput!$M$33,CHOOSE(ArtifactsInput!$N$33+1,30,36,42,48,54,60),0))+(IF(AND(ArtifactsInput!$M$35,Inputs!$B$4&lt;&gt;"Chapter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
      <c r="A271">
        <f>Skills!A5</f>
        <v/>
      </c>
      <c r="B271">
        <f>Skills!B5</f>
        <v/>
      </c>
      <c r="C271">
        <f>Inputs!$B$3&gt;=60</f>
        <v/>
      </c>
      <c r="D271">
        <f>IF(Skills!C5=1,60+Inputs!$B$25+Inputs!$B$29,IF(Skills!C5=2,90+Inputs!$B$26+Inputs!$B$29,IF(Skills!C5=3,120+Inputs!$B$27+Inputs!$B$29,MAX(0,(Inputs!$B$3-100)*3)+Inputs!$B$28+Inputs!$B$29)))</f>
        <v/>
      </c>
      <c r="E271">
        <f>INDEX(FactorTable!$B$2:$Y$301, MATCH(ROUND(MIN(300,MAX(1,D271)),0), FactorTable!$A$2:$A$301,0), Skills!M5+1)</f>
        <v/>
      </c>
      <c r="F271">
        <f>IF(Skills!N5=TRUE,(Skills!L5/10)*(E271/1000),Skills!L5/10)+Skills!O5</f>
        <v/>
      </c>
      <c r="G271">
        <f>Skills!G5*IF(Skills!H5&gt;0,Skills!I5/Skills!H5,1)</f>
        <v/>
      </c>
      <c r="H271">
        <f>1-(1-Skills!J5/100)^Skills!K5</f>
        <v/>
      </c>
      <c r="I271" t="inlineStr">
        <is>
          <t>1</t>
        </is>
      </c>
      <c r="J271" t="inlineStr"/>
      <c r="K271" t="inlineStr"/>
      <c r="L271" t="inlineStr"/>
      <c r="M271" t="inlineStr"/>
      <c r="N271" t="inlineStr"/>
      <c r="O271">
        <f>(1-Summary!$B$11)*T271+Summary!$B$11*V271</f>
        <v/>
      </c>
      <c r="P271">
        <f>IF(B302=0,0,O271/B302)</f>
        <v/>
      </c>
      <c r="Q271" t="n">
        <v>0</v>
      </c>
      <c r="R271" t="n">
        <v>0</v>
      </c>
      <c r="S271">
        <f>IFERROR(O271/N271,0)</f>
        <v/>
      </c>
      <c r="T271" t="n">
        <v>0</v>
      </c>
      <c r="V271" t="n">
        <v>0</v>
      </c>
    </row>
    <row r="272">
      <c r="A272">
        <f>Skills!A6</f>
        <v/>
      </c>
      <c r="B272">
        <f>Skills!B6</f>
        <v/>
      </c>
      <c r="C272">
        <f>Inputs!$B$3&gt;=63</f>
        <v/>
      </c>
      <c r="D272">
        <f>IF(Skills!C6=1,60+Inputs!$B$25+Inputs!$B$29,IF(Skills!C6=2,90+Inputs!$B$26+Inputs!$B$29,IF(Skills!C6=3,120+Inputs!$B$27+Inputs!$B$29,MAX(0,(Inputs!$B$3-100)*3)+Inputs!$B$28+Inputs!$B$29)))</f>
        <v/>
      </c>
      <c r="E272">
        <f>INDEX(FactorTable!$B$2:$Y$301, MATCH(ROUND(MIN(300,MAX(1,D272)),0), FactorTable!$A$2:$A$301,0), Skills!M6+1)</f>
        <v/>
      </c>
      <c r="F272">
        <f>IF(Skills!N6=TRUE,(Skills!L6/10)*(E272/1000),Skills!L6/10)+Skills!O6</f>
        <v/>
      </c>
      <c r="G272">
        <f>Skills!G6*IF(Skills!H6&gt;0,Skills!I6/Skills!H6,1)</f>
        <v/>
      </c>
      <c r="H272">
        <f>1-(1-Skills!J6/100)^Skills!K6</f>
        <v/>
      </c>
      <c r="I272" t="inlineStr">
        <is>
          <t>1</t>
        </is>
      </c>
      <c r="J272">
        <f>((Inputs!$B$6*(1+Inputs!$B$7/100))+(((Inputs!$B$12*(1+Inputs!$B$13/100))-(Inputs!$B$12*(1+Inputs!$B$13/100)))+0.25*(Inputs!$B$14-Inputs!$B$14))*(1+Inputs!$B$7/100))*(F272/100)</f>
        <v/>
      </c>
      <c r="K272">
        <f>J272*(1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278=TRUE,F278,0)/100)*(1+(IF(Skills!A6="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f>
        <v/>
      </c>
      <c r="L272">
        <f>K272*(MIN(Inputs!$B$22+((C286=TRUE)*(F286-Calc!F20)),(Inputs!$B$23+0+(IF(ArtifactsInput!$M$15,CHOOSE(ArtifactsInput!$N$15+1,25,30,35,40,45,50)/100*(Inputs!$B$11-Inputs!$B$11),0))))/100+(Inputs!$B$23+0+(IF(ArtifactsInput!$M$15,CHOOSE(ArtifactsInput!$N$15+1,25,30,35,40,45,50)/100*(Inputs!$B$11-Inputs!$B$11),0)))/100)/2</f>
        <v/>
      </c>
      <c r="M272">
        <f>L272*(1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
        <f>L272*(1-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
        <f>(1-Summary!$B$11)*T272+Summary!$B$11*V272</f>
        <v/>
      </c>
      <c r="P272">
        <f>IF(B302=0,0,O272/B302)</f>
        <v/>
      </c>
      <c r="Q272">
        <f>IFERROR(1/(IF(Inputs!$B$38="pvp",15,MAX(0.1,Skills!D6-IF(Skills!E6=TRUE,Inputs!$B$32,0)))*(1-IF(AND(ArtifactsInput!$M$27,Inputs!$B$4="Chapter Hunt"),CHOOSE(ArtifactsInput!$N$27+1,20,24,28,32,36,40),0)/100)),0)</f>
        <v/>
      </c>
      <c r="R272">
        <f>IF(AND(Inputs!$B$38&lt;&gt;"pvp",Inputs!$B$43&gt;0),IF(MAX(0,Inputs!$B$43-B299)&lt;=0,0,(INT(MAX(0,Inputs!$B$43-B299)/(IF(Inputs!$B$38="pvp",15,MAX(0.1,Skills!D6-IF(Skills!E6=TRUE,Inputs!$B$32,0)))*(1-IF(AND(ArtifactsInput!$M$27,Inputs!$B$4="Chapter Hunt"),CHOOSE(ArtifactsInput!$N$27+1,20,24,28,32,36,40),0)/100)))+1)),0)</f>
        <v/>
      </c>
      <c r="S272">
        <f>IFERROR(O272/N272,0)</f>
        <v/>
      </c>
      <c r="T272">
        <f>IF(C272,(H272*N272*IF(AND(Inputs!$B$38&lt;&gt;"pvp",Inputs!$B$43&gt;0),((Skills!G6*((R272-1)*IF(Skills!H6&gt;0,Skills!I6/Skills!H6,1)+IF(Skills!H6&gt;0,MIN(Skills!I6,MAX(0,MAX(0,Inputs!$B$43-B299)-((R272-1)*(IF(Inputs!$B$38="pvp",15,MAX(0.1,Skills!D6-IF(Skills!E6=TRUE,Inputs!$B$32,0)))*(1-IF(AND(ArtifactsInput!$M$27,Inputs!$B$4="Chapter Hunt"),CHOOSE(ArtifactsInput!$N$27+1,20,24,28,32,36,40),0)/100)))))/Skills!H6,1)))/Inputs!$B$43),G272*Q272)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272*(1-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2">
        <f>IF(C272,(H272*N272*IF(AND(Inputs!$B$38&lt;&gt;"pvp",Inputs!$B$43&gt;0),((Skills!G6*((R272-1)*IF(Skills!H6&gt;0,Skills!I6/Skills!H6,1)+IF(Skills!H6&gt;0,MIN(Skills!I6,MAX(0,MAX(0,Inputs!$B$43-B299)-((R272-1)*(IF(Inputs!$B$38="pvp",15,MAX(0.1,Skills!D6-IF(Skills!E6=TRUE,Inputs!$B$32,0)))*(1-IF(AND(ArtifactsInput!$M$27,Inputs!$B$4="Chapter Hunt"),CHOOSE(ArtifactsInput!$N$27+1,20,24,28,32,36,40),0)/100)))))/Skills!H6,1)))/Inputs!$B$43),G272*Q272))*IF(Inputs!$B$38="pvp",1,(1+(Inputs!$B$21+Skills!Q6+(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
      <c r="A273">
        <f>Skills!A7</f>
        <v/>
      </c>
      <c r="B273">
        <f>Skills!B7</f>
        <v/>
      </c>
      <c r="C273">
        <f>Inputs!$B$3&gt;=100</f>
        <v/>
      </c>
      <c r="D273">
        <f>IF(Skills!C7=1,60+Inputs!$B$25+Inputs!$B$29,IF(Skills!C7=2,90+Inputs!$B$26+Inputs!$B$29,IF(Skills!C7=3,120+Inputs!$B$27+Inputs!$B$29,MAX(0,(Inputs!$B$3-100)*3)+Inputs!$B$28+Inputs!$B$29)))</f>
        <v/>
      </c>
      <c r="E273">
        <f>INDEX(FactorTable!$B$2:$Y$301, MATCH(ROUND(MIN(300,MAX(1,D273)),0), FactorTable!$A$2:$A$301,0), Skills!M7+1)</f>
        <v/>
      </c>
      <c r="F273">
        <f>IF(Skills!N7=TRUE,(Skills!L7/10)*(E273/1000),Skills!L7/10)+Skills!O7</f>
        <v/>
      </c>
      <c r="G273">
        <f>Skills!G7*IF(Skills!H7&gt;0,Skills!I7/Skills!H7,1)</f>
        <v/>
      </c>
      <c r="H273">
        <f>1-(1-Skills!J7/100)^Skills!K7</f>
        <v/>
      </c>
      <c r="I273" t="inlineStr">
        <is>
          <t>1</t>
        </is>
      </c>
      <c r="J273">
        <f>((Inputs!$B$6*(1+Inputs!$B$7/100))+(((Inputs!$B$12*(1+Inputs!$B$13/100))-(Inputs!$B$12*(1+Inputs!$B$13/100)))+0.25*(Inputs!$B$14-Inputs!$B$14))*(1+Inputs!$B$7/100))*(F273/100)</f>
        <v/>
      </c>
      <c r="K273">
        <f>J273*(1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f>
        <v/>
      </c>
      <c r="L273">
        <f>K273*(MIN(Inputs!$B$22+((C286=TRUE)*(F286-Calc!F20)),(Inputs!$B$23+0+(IF(ArtifactsInput!$M$15,CHOOSE(ArtifactsInput!$N$15+1,25,30,35,40,45,50)/100*(Inputs!$B$11-Inputs!$B$11),0))))/100+(Inputs!$B$23+0+(IF(ArtifactsInput!$M$15,CHOOSE(ArtifactsInput!$N$15+1,25,30,35,40,45,50)/100*(Inputs!$B$11-Inputs!$B$11),0)))/100)/2</f>
        <v/>
      </c>
      <c r="M273">
        <f>L273*(1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
        <f>L273*(1-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
        <f>(1-Summary!$B$11)*T273+Summary!$B$11*V273</f>
        <v/>
      </c>
      <c r="P273">
        <f>IF(B302=0,0,O273/B302)</f>
        <v/>
      </c>
      <c r="Q273">
        <f>IFERROR(1/(IF(Inputs!$B$38="pvp",15,MAX(0.1,Skills!D7-IF(Skills!E7=TRUE,Inputs!$B$32,0)))*(1-IF(AND(ArtifactsInput!$M$27,Inputs!$B$4="Chapter Hunt"),CHOOSE(ArtifactsInput!$N$27+1,20,24,28,32,36,40),0)/100)),0)</f>
        <v/>
      </c>
      <c r="R273">
        <f>IF(AND(Inputs!$B$38&lt;&gt;"pvp",Inputs!$B$43&gt;0),IF(MAX(0,Inputs!$B$43-B299)&lt;=0,0,(INT(MAX(0,Inputs!$B$43-B299)/(IF(Inputs!$B$38="pvp",15,MAX(0.1,Skills!D7-IF(Skills!E7=TRUE,Inputs!$B$32,0)))*(1-IF(AND(ArtifactsInput!$M$27,Inputs!$B$4="Chapter Hunt"),CHOOSE(ArtifactsInput!$N$27+1,20,24,28,32,36,40),0)/100)))+1)),0)</f>
        <v/>
      </c>
      <c r="S273">
        <f>IFERROR(O273/N273,0)</f>
        <v/>
      </c>
      <c r="T273">
        <f>IF(C273,(H273*N273*IF(AND(Inputs!$B$38&lt;&gt;"pvp",Inputs!$B$43&gt;0),((Skills!G7*((R273-1)*IF(Skills!H7&gt;0,Skills!I7/Skills!H7,1)+IF(Skills!H7&gt;0,MIN(Skills!I7,MAX(0,MAX(0,Inputs!$B$43-B299)-((R273-1)*(IF(Inputs!$B$38="pvp",15,MAX(0.1,Skills!D7-IF(Skills!E7=TRUE,Inputs!$B$32,0)))*(1-IF(AND(ArtifactsInput!$M$27,Inputs!$B$4="Chapter Hunt"),CHOOSE(ArtifactsInput!$N$27+1,20,24,28,32,36,40),0)/100)))))/Skills!H7,1)))/Inputs!$B$43),G273*Q273)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
        <f>IF(C273,(H273*N273*IF(AND(Inputs!$B$38&lt;&gt;"pvp",Inputs!$B$43&gt;0),((Skills!G7*((R273-1)*IF(Skills!H7&gt;0,Skills!I7/Skills!H7,1)+IF(Skills!H7&gt;0,MIN(Skills!I7,MAX(0,MAX(0,Inputs!$B$43-B299)-((R273-1)*(IF(Inputs!$B$38="pvp",15,MAX(0.1,Skills!D7-IF(Skills!E7=TRUE,Inputs!$B$32,0)))*(1-IF(AND(ArtifactsInput!$M$27,Inputs!$B$4="Chapter Hunt"),CHOOSE(ArtifactsInput!$N$27+1,20,24,28,32,36,40),0)/100)))))/Skills!H7,1)))/Inputs!$B$43),G273*Q273))*IF(Inputs!$B$38="pvp",1,(1+(Inputs!$B$21+Skills!Q7+(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
      <c r="A274">
        <f>Skills!A8</f>
        <v/>
      </c>
      <c r="B274">
        <f>Skills!B8</f>
        <v/>
      </c>
      <c r="C274">
        <f>Inputs!$B$3&gt;=110</f>
        <v/>
      </c>
      <c r="D274">
        <f>IF(Skills!C8=1,60+Inputs!$B$25+Inputs!$B$29,IF(Skills!C8=2,90+Inputs!$B$26+Inputs!$B$29,IF(Skills!C8=3,120+Inputs!$B$27+Inputs!$B$29,MAX(0,(Inputs!$B$3-100)*3)+Inputs!$B$28+Inputs!$B$29)))</f>
        <v/>
      </c>
      <c r="E274">
        <f>INDEX(FactorTable!$B$2:$Y$301, MATCH(ROUND(MIN(300,MAX(1,D274)),0), FactorTable!$A$2:$A$301,0), Skills!M8+1)</f>
        <v/>
      </c>
      <c r="F274">
        <f>IF(Skills!N8=TRUE,(Skills!L8/10)*(E274/1000),Skills!L8/10)+Skills!O8</f>
        <v/>
      </c>
      <c r="G274">
        <f>Skills!G8*IF(Skills!H8&gt;0,Skills!I8/Skills!H8,1)</f>
        <v/>
      </c>
      <c r="H274">
        <f>1-(1-Skills!J8/100)^Skills!K8</f>
        <v/>
      </c>
      <c r="I274" t="inlineStr">
        <is>
          <t>1</t>
        </is>
      </c>
      <c r="J274">
        <f>((Inputs!$B$6*(1+Inputs!$B$7/100))+(((Inputs!$B$12*(1+Inputs!$B$13/100))-(Inputs!$B$12*(1+Inputs!$B$13/100)))+0.25*(Inputs!$B$14-Inputs!$B$14))*(1+Inputs!$B$7/100))*(F274/100)</f>
        <v/>
      </c>
      <c r="K274">
        <f>J274*(1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f>
        <v/>
      </c>
      <c r="L274">
        <f>K274*(MIN(Inputs!$B$22+((C286=TRUE)*(F286-Calc!F20)),(Inputs!$B$23+0+(IF(ArtifactsInput!$M$15,CHOOSE(ArtifactsInput!$N$15+1,25,30,35,40,45,50)/100*(Inputs!$B$11-Inputs!$B$11),0))))/100+(Inputs!$B$23+0+(IF(ArtifactsInput!$M$15,CHOOSE(ArtifactsInput!$N$15+1,25,30,35,40,45,50)/100*(Inputs!$B$11-Inputs!$B$11),0)))/100)/2</f>
        <v/>
      </c>
      <c r="M274">
        <f>L274*(1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
        <f>L274*(1-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
        <f>(1-Summary!$B$11)*T274+Summary!$B$11*V274</f>
        <v/>
      </c>
      <c r="P274">
        <f>IF(B302=0,0,O274/B302)</f>
        <v/>
      </c>
      <c r="Q274">
        <f>IFERROR(1/(IF(Inputs!$B$38="pvp",15,MAX(0.1,Skills!D8-IF(Skills!E8=TRUE,Inputs!$B$32,0)))*(1-IF(AND(ArtifactsInput!$M$27,Inputs!$B$4="Chapter Hunt"),CHOOSE(ArtifactsInput!$N$27+1,20,24,28,32,36,40),0)/100)),0)</f>
        <v/>
      </c>
      <c r="R274">
        <f>IF(AND(Inputs!$B$38&lt;&gt;"pvp",Inputs!$B$43&gt;0),IF(MAX(0,Inputs!$B$43-B299)&lt;=0,0,(INT(MAX(0,Inputs!$B$43-B299)/(IF(Inputs!$B$38="pvp",15,MAX(0.1,Skills!D8-IF(Skills!E8=TRUE,Inputs!$B$32,0)))*(1-IF(AND(ArtifactsInput!$M$27,Inputs!$B$4="Chapter Hunt"),CHOOSE(ArtifactsInput!$N$27+1,20,24,28,32,36,40),0)/100)))+1)),0)</f>
        <v/>
      </c>
      <c r="S274">
        <f>IFERROR(O274/N274,0)</f>
        <v/>
      </c>
      <c r="T274">
        <f>IF(C274,(H274*N274*IF(AND(Inputs!$B$38&lt;&gt;"pvp",Inputs!$B$43&gt;0),((Skills!G8*((R274-1)*IF(Skills!H8&gt;0,Skills!I8/Skills!H8,1)+IF(Skills!H8&gt;0,MIN(Skills!I8,MAX(0,MAX(0,Inputs!$B$43-B299)-((R274-1)*(IF(Inputs!$B$38="pvp",15,MAX(0.1,Skills!D8-IF(Skills!E8=TRUE,Inputs!$B$32,0)))*(1-IF(AND(ArtifactsInput!$M$27,Inputs!$B$4="Chapter Hunt"),CHOOSE(ArtifactsInput!$N$27+1,20,24,28,32,36,40),0)/100)))))/Skills!H8,1)))/Inputs!$B$43),G274*Q274))*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
        <f>IF(C274,(H274*N274*IF(AND(Inputs!$B$38&lt;&gt;"pvp",Inputs!$B$43&gt;0),((Skills!G8*((R274-1)*IF(Skills!H8&gt;0,Skills!I8/Skills!H8,1)+IF(Skills!H8&gt;0,MIN(Skills!I8,MAX(0,MAX(0,Inputs!$B$43-B299)-((R274-1)*(IF(Inputs!$B$38="pvp",15,MAX(0.1,Skills!D8-IF(Skills!E8=TRUE,Inputs!$B$32,0)))*(1-IF(AND(ArtifactsInput!$M$27,Inputs!$B$4="Chapter Hunt"),CHOOSE(ArtifactsInput!$N$27+1,20,24,28,32,36,40),0)/100)))))/Skills!H8,1)))/Inputs!$B$43),G274*Q274))*IF(Inputs!$B$38="pvp",1,(1+(Inputs!$B$21+Skills!Q8+(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5">
      <c r="A275">
        <f>Skills!A9</f>
        <v/>
      </c>
      <c r="B275">
        <f>Skills!B9</f>
        <v/>
      </c>
      <c r="C275">
        <f>Inputs!$B$3&gt;=110</f>
        <v/>
      </c>
      <c r="D275">
        <f>IF(Skills!C9=1,60+Inputs!$B$25+Inputs!$B$29,IF(Skills!C9=2,90+Inputs!$B$26+Inputs!$B$29,IF(Skills!C9=3,120+Inputs!$B$27+Inputs!$B$29,MAX(0,(Inputs!$B$3-100)*3)+Inputs!$B$28+Inputs!$B$29)))</f>
        <v/>
      </c>
      <c r="E275">
        <f>INDEX(FactorTable!$B$2:$Y$301, MATCH(ROUND(MIN(300,MAX(1,D275)),0), FactorTable!$A$2:$A$301,0), Skills!M9+1)</f>
        <v/>
      </c>
      <c r="F275">
        <f>IF(Skills!N9=TRUE,(Skills!L9/10)*(E275/1000),Skills!L9/10)+Skills!O9</f>
        <v/>
      </c>
      <c r="G275">
        <f>Skills!G9*IF(Skills!H9&gt;0,Skills!I9/Skills!H9,1)</f>
        <v/>
      </c>
      <c r="H275">
        <f>1-(1-Skills!J9/100)^Skills!K9</f>
        <v/>
      </c>
      <c r="I275" t="inlineStr">
        <is>
          <t>1</t>
        </is>
      </c>
      <c r="J275">
        <f>((Inputs!$B$6*(1+Inputs!$B$7/100))+(((Inputs!$B$12*(1+Inputs!$B$13/100))-(Inputs!$B$12*(1+Inputs!$B$13/100)))+0.25*(Inputs!$B$14-Inputs!$B$14))*(1+Inputs!$B$7/100))*(F275/100)</f>
        <v/>
      </c>
      <c r="K275">
        <f>J275*(1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275)</f>
        <v/>
      </c>
      <c r="L275">
        <f>K275*(MIN(Inputs!$B$22+((C286=TRUE)*(F286-Calc!F20)),(Inputs!$B$23+0+(IF(ArtifactsInput!$M$15,CHOOSE(ArtifactsInput!$N$15+1,25,30,35,40,45,50)/100*(Inputs!$B$11-Inputs!$B$11),0))))/100+(Inputs!$B$23+0+(IF(ArtifactsInput!$M$15,CHOOSE(ArtifactsInput!$N$15+1,25,30,35,40,45,50)/100*(Inputs!$B$11-Inputs!$B$11),0)))/100)/2</f>
        <v/>
      </c>
      <c r="M275">
        <f>L275*(1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5">
        <f>L275*(1-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275*(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5">
        <f>(1-Summary!$B$11)*T275+Summary!$B$11*V275</f>
        <v/>
      </c>
      <c r="P275">
        <f>IF(B302=0,0,O275/B302)</f>
        <v/>
      </c>
      <c r="Q275">
        <f>IFERROR(1/(IF(Inputs!$B$38="pvp",15,MAX(0.1,Skills!D9-IF(Skills!E9=TRUE,Inputs!$B$32,0)))*(1-IF(AND(ArtifactsInput!$M$27,Inputs!$B$4="Chapter Hunt"),CHOOSE(ArtifactsInput!$N$27+1,20,24,28,32,36,40),0)/100)),0)</f>
        <v/>
      </c>
      <c r="R275">
        <f>IF(AND(Inputs!$B$38&lt;&gt;"pvp",Inputs!$B$43&gt;0),IF(MAX(0,Inputs!$B$43-B299)&lt;=0,0,(INT(MAX(0,Inputs!$B$43-B299)/(IF(Inputs!$B$38="pvp",15,MAX(0.1,Skills!D9-IF(Skills!E9=TRUE,Inputs!$B$32,0)))*(1-IF(AND(ArtifactsInput!$M$27,Inputs!$B$4="Chapter Hunt"),CHOOSE(ArtifactsInput!$N$27+1,20,24,28,32,36,40),0)/100)))+1)),0)</f>
        <v/>
      </c>
      <c r="S275">
        <f>IFERROR(O275/N275,0)</f>
        <v/>
      </c>
      <c r="T275">
        <f>IF(C275,(H275*N275*IF(AND(Inputs!$B$38&lt;&gt;"pvp",Inputs!$B$43&gt;0),((Skills!G9*((R275-1)*IF(Skills!H9&gt;0,Skills!I9/Skills!H9,1)+IF(Skills!H9&gt;0,MIN(Skills!I9,MAX(0,MAX(0,Inputs!$B$43-B299)-((R275-1)*(IF(Inputs!$B$38="pvp",15,MAX(0.1,Skills!D9-IF(Skills!E9=TRUE,Inputs!$B$32,0)))*(1-IF(AND(ArtifactsInput!$M$27,Inputs!$B$4="Chapter Hunt"),CHOOSE(ArtifactsInput!$N$27+1,20,24,28,32,36,40),0)/100)))))/Skills!H9,1)))/Inputs!$B$43),G275*Q275)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275*(1-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275*(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275*(1-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275*(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5">
        <f>IF(C275,(H275*N275*IF(AND(Inputs!$B$38&lt;&gt;"pvp",Inputs!$B$43&gt;0),((Skills!G9*((R275-1)*IF(Skills!H9&gt;0,Skills!I9/Skills!H9,1)+IF(Skills!H9&gt;0,MIN(Skills!I9,MAX(0,MAX(0,Inputs!$B$43-B299)-((R275-1)*(IF(Inputs!$B$38="pvp",15,MAX(0.1,Skills!D9-IF(Skills!E9=TRUE,Inputs!$B$32,0)))*(1-IF(AND(ArtifactsInput!$M$27,Inputs!$B$4="Chapter Hunt"),CHOOSE(ArtifactsInput!$N$27+1,20,24,28,32,36,40),0)/100)))))/Skills!H9,1)))/Inputs!$B$43),G275*Q275))*IF(Inputs!$B$38="pvp",1,(1+(Inputs!$B$21+Skills!Q9+(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6">
      <c r="A276">
        <f>Skills!A10</f>
        <v/>
      </c>
      <c r="B276">
        <f>Skills!B10</f>
        <v/>
      </c>
      <c r="C276">
        <f>Inputs!$B$3&gt;=103</f>
        <v/>
      </c>
      <c r="D276">
        <f>IF(Skills!C10=1,60+Inputs!$B$25+Inputs!$B$29,IF(Skills!C10=2,90+Inputs!$B$26+Inputs!$B$29,IF(Skills!C10=3,120+Inputs!$B$27+Inputs!$B$29,MAX(0,(Inputs!$B$3-100)*3)+Inputs!$B$28+Inputs!$B$29)))</f>
        <v/>
      </c>
      <c r="E276">
        <f>INDEX(FactorTable!$B$2:$Y$301, MATCH(ROUND(MIN(300,MAX(1,D276)),0), FactorTable!$A$2:$A$301,0), Skills!M10+1)</f>
        <v/>
      </c>
      <c r="F276">
        <f>IF(Skills!N10=TRUE,(Skills!L10/10)*(E276/1000),Skills!L10/10)+Skills!O10</f>
        <v/>
      </c>
      <c r="G276">
        <f>Skills!G10*IF(Skills!H10&gt;0,Skills!I10/Skills!H10,1)</f>
        <v/>
      </c>
      <c r="H276">
        <f>1-(1-Skills!J10/100)^Skills!K10</f>
        <v/>
      </c>
      <c r="I276" t="inlineStr">
        <is>
          <t>1</t>
        </is>
      </c>
      <c r="J276">
        <f>((Inputs!$B$6*(1+Inputs!$B$7/100))+(((Inputs!$B$12*(1+Inputs!$B$13/100))-(Inputs!$B$12*(1+Inputs!$B$13/100)))+0.25*(Inputs!$B$14-Inputs!$B$14))*(1+Inputs!$B$7/100))*(F276/100)</f>
        <v/>
      </c>
      <c r="K276">
        <f>J276*(1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276)</f>
        <v/>
      </c>
      <c r="L276">
        <f>K276*(MIN(Inputs!$B$22+((C286=TRUE)*(F286-Calc!F20)),(Inputs!$B$23+0+(IF(ArtifactsInput!$M$15,CHOOSE(ArtifactsInput!$N$15+1,25,30,35,40,45,50)/100*(Inputs!$B$11-Inputs!$B$11),0))))/100+(Inputs!$B$23+0+(IF(ArtifactsInput!$M$15,CHOOSE(ArtifactsInput!$N$15+1,25,30,35,40,45,50)/100*(Inputs!$B$11-Inputs!$B$11),0)))/100)/2</f>
        <v/>
      </c>
      <c r="M276">
        <f>L276*(1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6">
        <f>L276*(1-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276*(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6">
        <f>(1-Summary!$B$11)*T276+Summary!$B$11*V276</f>
        <v/>
      </c>
      <c r="P276">
        <f>IF(B302=0,0,O276/B302)</f>
        <v/>
      </c>
      <c r="Q276">
        <f>IFERROR(1/(IF(Inputs!$B$38="pvp",15,MAX(0.1,Skills!D10-IF(Skills!E10=TRUE,Inputs!$B$32,0)))*(1-IF(AND(ArtifactsInput!$M$27,Inputs!$B$4="Chapter Hunt"),CHOOSE(ArtifactsInput!$N$27+1,20,24,28,32,36,40),0)/100)),0)</f>
        <v/>
      </c>
      <c r="R276">
        <f>IF(AND(Inputs!$B$38&lt;&gt;"pvp",Inputs!$B$43&gt;0),IF(MAX(0,Inputs!$B$43-B299)&lt;=0,0,(INT(MAX(0,Inputs!$B$43-B299)/(IF(Inputs!$B$38="pvp",15,MAX(0.1,Skills!D10-IF(Skills!E10=TRUE,Inputs!$B$32,0)))*(1-IF(AND(ArtifactsInput!$M$27,Inputs!$B$4="Chapter Hunt"),CHOOSE(ArtifactsInput!$N$27+1,20,24,28,32,36,40),0)/100)))+1)),0)</f>
        <v/>
      </c>
      <c r="S276">
        <f>IFERROR(O276/N276,0)</f>
        <v/>
      </c>
      <c r="T276">
        <f>IF(C276,(H276*N276*IF(AND(Inputs!$B$38&lt;&gt;"pvp",Inputs!$B$43&gt;0),((Skills!G10*((R276-1)*IF(Skills!H10&gt;0,Skills!I10/Skills!H10,1)+IF(Skills!H10&gt;0,MIN(Skills!I10,MAX(0,MAX(0,Inputs!$B$43-B299)-((R276-1)*(IF(Inputs!$B$38="pvp",15,MAX(0.1,Skills!D10-IF(Skills!E10=TRUE,Inputs!$B$32,0)))*(1-IF(AND(ArtifactsInput!$M$27,Inputs!$B$4="Chapter Hunt"),CHOOSE(ArtifactsInput!$N$27+1,20,24,28,32,36,40),0)/100)))))/Skills!H10,1)))/Inputs!$B$43),G276*Q276)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276*(1-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276*(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276*(1-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276*(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6">
        <f>IF(C276,(H276*N276*IF(AND(Inputs!$B$38&lt;&gt;"pvp",Inputs!$B$43&gt;0),((Skills!G10*((R276-1)*IF(Skills!H10&gt;0,Skills!I10/Skills!H10,1)+IF(Skills!H10&gt;0,MIN(Skills!I10,MAX(0,MAX(0,Inputs!$B$43-B299)-((R276-1)*(IF(Inputs!$B$38="pvp",15,MAX(0.1,Skills!D10-IF(Skills!E10=TRUE,Inputs!$B$32,0)))*(1-IF(AND(ArtifactsInput!$M$27,Inputs!$B$4="Chapter Hunt"),CHOOSE(ArtifactsInput!$N$27+1,20,24,28,32,36,40),0)/100)))))/Skills!H10,1)))/Inputs!$B$43),G276*Q276))*IF(Inputs!$B$38="pvp",1,(1+(Inputs!$B$21+Skills!Q10+(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
      <c r="A277">
        <f>Skills!A11</f>
        <v/>
      </c>
      <c r="B277">
        <f>Skills!B11</f>
        <v/>
      </c>
      <c r="C277">
        <f>Inputs!$B$3&gt;=113</f>
        <v/>
      </c>
      <c r="D277">
        <f>IF(Skills!C11=1,60+Inputs!$B$25+Inputs!$B$29,IF(Skills!C11=2,90+Inputs!$B$26+Inputs!$B$29,IF(Skills!C11=3,120+Inputs!$B$27+Inputs!$B$29,MAX(0,(Inputs!$B$3-100)*3)+Inputs!$B$28+Inputs!$B$29)))</f>
        <v/>
      </c>
      <c r="E277">
        <f>INDEX(FactorTable!$B$2:$Y$301, MATCH(ROUND(MIN(300,MAX(1,D277)),0), FactorTable!$A$2:$A$301,0), Skills!M11+1)</f>
        <v/>
      </c>
      <c r="F277">
        <f>IF(Skills!N11=TRUE,(Skills!L11/10)*(E277/1000),Skills!L11/10)+Skills!O11</f>
        <v/>
      </c>
      <c r="G277">
        <f>Skills!G11*IF(Skills!H11&gt;0,Skills!I11/Skills!H11,1)</f>
        <v/>
      </c>
      <c r="H277">
        <f>1-(1-Skills!J11/100)^Skills!K11</f>
        <v/>
      </c>
      <c r="I277" t="inlineStr">
        <is>
          <t>1</t>
        </is>
      </c>
      <c r="J277">
        <f>((Inputs!$B$6*(1+Inputs!$B$7/100))+(((Inputs!$B$12*(1+Inputs!$B$13/100))-(Inputs!$B$12*(1+Inputs!$B$13/100)))+0.25*(Inputs!$B$14-Inputs!$B$14))*(1+Inputs!$B$7/100))*(F277/100)</f>
        <v/>
      </c>
      <c r="K277">
        <f>J277*(1+((Inputs!$B$12*(1+Inputs!$B$13/100))*0.01+Inputs!$B$14*0.0025)/100)*(1+Inputs!$B$15/100)*(1+Inputs!$B$16/100)*(5000/(6000+Inputs!$B$42*(1-(100*(1-(1-(Inputs!$B$19+0)/100)*(1-CHOOSE(ArtifactsInput!$N$40+1,5,6,7,8,9,10)/100)^(ArtifactsInput!$M$40-ArtifactsInput!$M$40)))/100)))*(1+(Inputs!$B$24+((C288=TRUE)*(F288-Calc!F22))+B298)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287=TRUE)*(F287-Calc!F21))+(((IF(AND(ArtifactsInput!$M$42,((Inputs!$B$9+((C282=TRUE)*(F282-Calc!F16))+B292+(ArtifactsInput!$M$24-ArtifactsInput!$M$24)*CHOOSE(ArtifactsInput!$N$24+1,10,12,14,16,18,20)+IF(ArtifactsInput!$M$10,CHOOSE(ArtifactsInput!$N$10+1,15,18,21,24,27,30)*(IF(Inputs!$B$38="pvp",MIN(15,15)/15,IF(AND(Inputs!$B$38&lt;&gt;"pvp",Inputs!$B$43&gt;0),MIN(15,Inputs!$B$43)/(Inputs!$B$43),0))),0)))&gt;=100),MIN(100,((Inputs!$B$9+((C282=TRUE)*(F282-Calc!F16))+B292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282=TRUE)*(F282-Calc!F16))+B292+(ArtifactsInput!$M$24-ArtifactsInput!$M$24)*CHOOSE(ArtifactsInput!$N$24+1,10,12,14,16,18,20)+IF(ArtifactsInput!$M$10,CHOOSE(ArtifactsInput!$N$10+1,15,18,21,24,27,30)*(IF(Inputs!$B$38="pvp",MIN(15,15)/15,IF(AND(Inputs!$B$38&lt;&gt;"pvp",Inputs!$B$43&gt;0),MIN(15,Inputs!$B$43)/(Inputs!$B$43),0))),0)))&gt;=100),CHOOSE(ArtifactsInput!$N$42+1,40,48,56,64,72,80),0))))/100)*((1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f>
        <v/>
      </c>
      <c r="L277">
        <f>K277*(MIN(Inputs!$B$22+((C286=TRUE)*(F286-Calc!F20)),(Inputs!$B$23+0+(IF(ArtifactsInput!$M$15,CHOOSE(ArtifactsInput!$N$15+1,25,30,35,40,45,50)/100*(Inputs!$B$11-Inputs!$B$11),0))))/100+(Inputs!$B$23+0+(IF(ArtifactsInput!$M$15,CHOOSE(ArtifactsInput!$N$15+1,25,30,35,40,45,50)/100*(Inputs!$B$11-Inputs!$B$11),0)))/100)/2</f>
        <v/>
      </c>
      <c r="M277">
        <f>L277*(1+(Inputs!$B$10+0+B297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
        <f>L277*(1-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MIN((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
        <f>(1-Summary!$B$11)*T277+Summary!$B$11*V277</f>
        <v/>
      </c>
      <c r="P277">
        <f>IF(B302=0,0,O277/B302)</f>
        <v/>
      </c>
      <c r="Q277">
        <f>IFERROR(1/(IF(Inputs!$B$38="pvp",15,MAX(0.1,Skills!D11-IF(Skills!E11=TRUE,Inputs!$B$32,0)))*(1-IF(AND(ArtifactsInput!$M$27,Inputs!$B$4="Chapter Hunt"),CHOOSE(ArtifactsInput!$N$27+1,20,24,28,32,36,40),0)/100)),0)</f>
        <v/>
      </c>
      <c r="R277">
        <f>IF(AND(Inputs!$B$38&lt;&gt;"pvp",Inputs!$B$43&gt;0),IF(MAX(0,Inputs!$B$43-B299)&lt;=0,0,(INT(MAX(0,Inputs!$B$43-B299)/(IF(Inputs!$B$38="pvp",15,MAX(0.1,Skills!D11-IF(Skills!E11=TRUE,Inputs!$B$32,0)))*(1-IF(AND(ArtifactsInput!$M$27,Inputs!$B$4="Chapter Hunt"),CHOOSE(ArtifactsInput!$N$27+1,20,24,28,32,36,40),0)/100)))+1)),0)</f>
        <v/>
      </c>
      <c r="S277">
        <f>IFERROR(O277/N277,0)</f>
        <v/>
      </c>
      <c r="T277">
        <f>IF(C277,(H277*N277*IF(AND(Inputs!$B$38&lt;&gt;"pvp",Inputs!$B$43&gt;0),((Skills!G11*((R277-1)*IF(Skills!H11&gt;0,Skills!I11/Skills!H11,1)+IF(Skills!H11&gt;0,MIN(Skills!I11,MAX(0,MAX(0,Inputs!$B$43-B299)-((R277-1)*(IF(Inputs!$B$38="pvp",15,MAX(0.1,Skills!D11-IF(Skills!E11=TRUE,Inputs!$B$32,0)))*(1-IF(AND(ArtifactsInput!$M$27,Inputs!$B$4="Chapter Hunt"),CHOOSE(ArtifactsInput!$N$27+1,20,24,28,32,36,40),0)/100)))))/Skills!H11,1)))/Inputs!$B$43),G277*Q277)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(1-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MIN(100,(Inputs!$B$9+((C282=TRUE)*(F282-Calc!F16))+B292+(ArtifactsInput!$M$24-ArtifactsInput!$M$24)*CHOOSE(ArtifactsInput!$N$24+1,10,12,14,16,18,20)+(IF(AND(ArtifactsInput!$M$42,((Inputs!$B$9+((C282=TRUE)*(F282-Calc!F16))+B292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
        <f>IF(C277,(H277*N277*IF(AND(Inputs!$B$38&lt;&gt;"pvp",Inputs!$B$43&gt;0),((Skills!G11*((R277-1)*IF(Skills!H11&gt;0,Skills!I11/Skills!H11,1)+IF(Skills!H11&gt;0,MIN(Skills!I11,MAX(0,MAX(0,Inputs!$B$43-B299)-((R277-1)*(IF(Inputs!$B$38="pvp",15,MAX(0.1,Skills!D11-IF(Skills!E11=TRUE,Inputs!$B$32,0)))*(1-IF(AND(ArtifactsInput!$M$27,Inputs!$B$4="Chapter Hunt"),CHOOSE(ArtifactsInput!$N$27+1,20,24,28,32,36,40),0)/100)))))/Skills!H11,1)))/Inputs!$B$43),G277*Q277))*IF(Inputs!$B$38="pvp",1,(1+(Inputs!$B$21+Skills!Q11+(IF(ArtifactsInput!$M$33,CHOOSE(ArtifactsInput!$N$33+1,30,36,42,48,54,60),0))+(IF(AND(ArtifactsInput!$M$35,Inputs!$B$4&lt;&gt;"Chapter Hunt"),CHOOSE(ArtifactsInput!$N$35+1,15,18,21,24,27,30)*(1-EXP(-(0.2*B294)*5)),0)+IF(AND(ArtifactsInput!$M$22,Inputs!$B$4&lt;&gt;"Chapter Hunt"),CHOOSE(ArtifactsInput!$N$22+1,10,12,14,16,18,20)*((0*(((0.15*B294*5))^0/1)+1*(((0.15*B294*5))^1/1)+2*(((0.15*B294*5))^2/2)+3*(((0.15*B294*5))^3/6)+4*(((0.15*B294*5))^4/24)+5*(((0.15*B294*5))^5/120))/((((0.15*B294*5))^0/1)+(((0.15*B294*5))^1/1)+(((0.15*B294*5))^2/2)+(((0.15*B294*5))^3/6)+(((0.15*B294*5))^4/24)+(((0.15*B294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
      <c r="A278">
        <f>Skills!A12</f>
        <v/>
      </c>
      <c r="B278">
        <f>Skills!B12</f>
        <v/>
      </c>
      <c r="C278">
        <f>Inputs!$B$3&gt;=100</f>
        <v/>
      </c>
      <c r="D278">
        <f>IF(Skills!C12=1,60+Inputs!$B$25+Inputs!$B$29,IF(Skills!C12=2,90+Inputs!$B$26+Inputs!$B$29,IF(Skills!C12=3,120+Inputs!$B$27+Inputs!$B$29,MAX(0,(Inputs!$B$3-100)*3)+Inputs!$B$28+Inputs!$B$29)))</f>
        <v/>
      </c>
      <c r="E278">
        <f>INDEX(FactorTable!$B$2:$Y$301, MATCH(ROUND(MIN(300,MAX(1,D278)),0), FactorTable!$A$2:$A$301,0), Skills!M12+1)</f>
        <v/>
      </c>
      <c r="F278">
        <f>IF(Skills!N12=TRUE,(Skills!L12/10)*(E278/1000),Skills!L12/10)+Skills!O12</f>
        <v/>
      </c>
      <c r="G278" t="inlineStr"/>
      <c r="H278" t="inlineStr"/>
      <c r="I278" t="inlineStr">
        <is>
          <t>1</t>
        </is>
      </c>
      <c r="J278" t="inlineStr"/>
      <c r="K278" t="inlineStr"/>
      <c r="L278" t="inlineStr"/>
      <c r="M278" t="inlineStr"/>
      <c r="N278" t="inlineStr"/>
      <c r="O278" t="inlineStr"/>
      <c r="P278" t="inlineStr"/>
      <c r="Q278" t="inlineStr"/>
      <c r="R278" t="inlineStr"/>
      <c r="S278" t="inlineStr"/>
      <c r="T278" t="inlineStr"/>
      <c r="V278" t="inlineStr"/>
    </row>
    <row r="279">
      <c r="A279">
        <f>Skills!A13</f>
        <v/>
      </c>
      <c r="B279">
        <f>Skills!B13</f>
        <v/>
      </c>
      <c r="C279">
        <f>Inputs!$B$3&gt;=66</f>
        <v/>
      </c>
      <c r="D279">
        <f>IF(Skills!C13=1,60+Inputs!$B$25+Inputs!$B$29,IF(Skills!C13=2,90+Inputs!$B$26+Inputs!$B$29,IF(Skills!C13=3,120+Inputs!$B$27+Inputs!$B$29,MAX(0,(Inputs!$B$3-100)*3)+Inputs!$B$28+Inputs!$B$29)))</f>
        <v/>
      </c>
      <c r="E279">
        <f>INDEX(FactorTable!$B$2:$Y$301, MATCH(ROUND(MIN(300,MAX(1,D279)),0), FactorTable!$A$2:$A$301,0), Skills!M13+1)</f>
        <v/>
      </c>
      <c r="F279">
        <f>IF(Skills!N13=TRUE,(Skills!L13/10)*(E279/1000),Skills!L13/10)+Skills!O13</f>
        <v/>
      </c>
      <c r="G279">
        <f>Skills!G13*IF(Skills!H13&gt;0,Skills!I13/Skills!H13,1)</f>
        <v/>
      </c>
      <c r="H279">
        <f>1-(1-Skills!J13/100)^Skills!K13</f>
        <v/>
      </c>
      <c r="I279" t="inlineStr">
        <is>
          <t>1</t>
        </is>
      </c>
      <c r="J279" t="inlineStr"/>
      <c r="K279" t="inlineStr"/>
      <c r="L279" t="inlineStr"/>
      <c r="M279" t="inlineStr"/>
      <c r="N279" t="inlineStr"/>
      <c r="O279">
        <f>(1-Summary!$B$11)*T279+Summary!$B$11*V279</f>
        <v/>
      </c>
      <c r="P279">
        <f>IF(B302=0,0,O279/B302)</f>
        <v/>
      </c>
      <c r="Q279" t="n">
        <v>0</v>
      </c>
      <c r="R279" t="n">
        <v>0</v>
      </c>
      <c r="S279">
        <f>IFERROR(O279/N279,0)</f>
        <v/>
      </c>
      <c r="T279" t="n">
        <v>0</v>
      </c>
      <c r="V279" t="n">
        <v>0</v>
      </c>
    </row>
    <row r="280">
      <c r="A280">
        <f>Skills!A14</f>
        <v/>
      </c>
      <c r="B280">
        <f>Skills!B14</f>
        <v/>
      </c>
      <c r="C280">
        <f>Inputs!$B$3&gt;=107</f>
        <v/>
      </c>
      <c r="D280">
        <f>IF(Skills!C14=1,60+Inputs!$B$25+Inputs!$B$29,IF(Skills!C14=2,90+Inputs!$B$26+Inputs!$B$29,IF(Skills!C14=3,120+Inputs!$B$27+Inputs!$B$29,MAX(0,(Inputs!$B$3-100)*3)+Inputs!$B$28+Inputs!$B$29)))</f>
        <v/>
      </c>
      <c r="E280">
        <f>INDEX(FactorTable!$B$2:$Y$301, MATCH(ROUND(MIN(300,MAX(1,D280)),0), FactorTable!$A$2:$A$301,0), Skills!M14+1)</f>
        <v/>
      </c>
      <c r="F280">
        <f>IF(Skills!N14=TRUE,(Skills!L14/10)*(E280/1000),Skills!L14/10)+Skills!O14</f>
        <v/>
      </c>
      <c r="G280">
        <f>Skills!G14*IF(Skills!H14&gt;0,Skills!I14/Skills!H14,1)</f>
        <v/>
      </c>
      <c r="H280">
        <f>1-(1-Skills!J14/100)^Skills!K14</f>
        <v/>
      </c>
      <c r="I280" t="inlineStr">
        <is>
          <t>1</t>
        </is>
      </c>
      <c r="J280" t="inlineStr"/>
      <c r="K280" t="inlineStr"/>
      <c r="L280" t="inlineStr"/>
      <c r="M280" t="inlineStr"/>
      <c r="N280" t="inlineStr"/>
      <c r="O280">
        <f>(1-Summary!$B$11)*T280+Summary!$B$11*V280</f>
        <v/>
      </c>
      <c r="P280">
        <f>IF(B302=0,0,O280/B302)</f>
        <v/>
      </c>
      <c r="Q280">
        <f>IFERROR(1/(IF(Inputs!$B$38="pvp",15,MAX(0.1,Skills!D14-IF(Skills!E14=TRUE,Inputs!$B$32,0)))*(1-IF(AND(ArtifactsInput!$M$27,Inputs!$B$4="Chapter Hunt"),CHOOSE(ArtifactsInput!$N$27+1,20,24,28,32,36,40),0)/100)),0)</f>
        <v/>
      </c>
      <c r="R280">
        <f>IF(AND(Inputs!$B$38&lt;&gt;"pvp",Inputs!$B$43&gt;0),IF(Inputs!$B$43&lt;=0,0,(INT(Inputs!$B$43/(IF(Inputs!$B$38="pvp",15,MAX(0.1,Skills!D14-IF(Skills!E14=TRUE,Inputs!$B$32,0)))*(1-IF(AND(ArtifactsInput!$M$27,Inputs!$B$4="Chapter Hunt"),CHOOSE(ArtifactsInput!$N$27+1,20,24,28,32,36,40),0)/100)))+1)),0)</f>
        <v/>
      </c>
      <c r="S280">
        <f>IFERROR(O280/N280,0)</f>
        <v/>
      </c>
      <c r="T280" t="n">
        <v>0</v>
      </c>
      <c r="V280" t="n">
        <v>0</v>
      </c>
    </row>
    <row r="281">
      <c r="A281">
        <f>Skills!A15</f>
        <v/>
      </c>
      <c r="B281">
        <f>Skills!B15</f>
        <v/>
      </c>
      <c r="C281">
        <f>Inputs!$B$3&gt;=115</f>
        <v/>
      </c>
      <c r="D281">
        <f>IF(Skills!C15=1,60+Inputs!$B$25+Inputs!$B$29,IF(Skills!C15=2,90+Inputs!$B$26+Inputs!$B$29,IF(Skills!C15=3,120+Inputs!$B$27+Inputs!$B$29,MAX(0,(Inputs!$B$3-100)*3)+Inputs!$B$28+Inputs!$B$29)))</f>
        <v/>
      </c>
      <c r="E281">
        <f>INDEX(FactorTable!$B$2:$Y$301, MATCH(ROUND(MIN(300,MAX(1,D281)),0), FactorTable!$A$2:$A$301,0), Skills!M15+1)</f>
        <v/>
      </c>
      <c r="F281">
        <f>IF(Skills!N15=TRUE,(Skills!L15/10)*(E281/1000),Skills!L15/10)+Skills!O15</f>
        <v/>
      </c>
      <c r="G281">
        <f>Skills!G15*IF(Skills!H15&gt;0,Skills!I15/Skills!H15,1)</f>
        <v/>
      </c>
      <c r="H281">
        <f>1-(1-Skills!J15/100)^Skills!K15</f>
        <v/>
      </c>
      <c r="I281" t="inlineStr">
        <is>
          <t>1</t>
        </is>
      </c>
      <c r="J281" t="inlineStr"/>
      <c r="K281" t="inlineStr"/>
      <c r="L281" t="inlineStr"/>
      <c r="M281" t="inlineStr"/>
      <c r="N281" t="inlineStr"/>
      <c r="O281">
        <f>(1-Summary!$B$11)*T281+Summary!$B$11*V281</f>
        <v/>
      </c>
      <c r="P281">
        <f>IF(B302=0,0,O281/B302)</f>
        <v/>
      </c>
      <c r="Q281">
        <f>IFERROR(1/(IF(Inputs!$B$38="pvp",15,MAX(0.1,Skills!D15-IF(Skills!E15=TRUE,Inputs!$B$32,0)))*(1-IF(AND(ArtifactsInput!$M$27,Inputs!$B$4="Chapter Hunt"),CHOOSE(ArtifactsInput!$N$27+1,20,24,28,32,36,40),0)/100)),0)</f>
        <v/>
      </c>
      <c r="R281">
        <f>IF(AND(Inputs!$B$38&lt;&gt;"pvp",Inputs!$B$43&gt;0),IF(Inputs!$B$43&lt;=0,0,(INT(Inputs!$B$43/(IF(Inputs!$B$38="pvp",15,MAX(0.1,Skills!D15-IF(Skills!E15=TRUE,Inputs!$B$32,0)))*(1-IF(AND(ArtifactsInput!$M$27,Inputs!$B$4="Chapter Hunt"),CHOOSE(ArtifactsInput!$N$27+1,20,24,28,32,36,40),0)/100)))+1)),0)</f>
        <v/>
      </c>
      <c r="S281">
        <f>IFERROR(O281/N281,0)</f>
        <v/>
      </c>
      <c r="T281" t="n">
        <v>0</v>
      </c>
      <c r="V281" t="n">
        <v>0</v>
      </c>
    </row>
    <row r="282">
      <c r="A282">
        <f>Skills!A16</f>
        <v/>
      </c>
      <c r="B282">
        <f>Skills!B16</f>
        <v/>
      </c>
      <c r="C282">
        <f>Inputs!$B$3&gt;=15</f>
        <v/>
      </c>
      <c r="D282">
        <f>IF(Skills!C16=1,60+Inputs!$B$25+Inputs!$B$29,IF(Skills!C16=2,90+Inputs!$B$26+Inputs!$B$29,IF(Skills!C16=3,120+Inputs!$B$27+Inputs!$B$29,MAX(0,(Inputs!$B$3-100)*3)+Inputs!$B$28+Inputs!$B$29)))</f>
        <v/>
      </c>
      <c r="E282">
        <f>INDEX(FactorTable!$B$2:$Y$301, MATCH(ROUND(MIN(300,MAX(1,D282)),0), FactorTable!$A$2:$A$301,0), Skills!M16+1)</f>
        <v/>
      </c>
      <c r="F282">
        <f>IF(Skills!N16=TRUE,(Skills!L16/10)*(E282/1000),Skills!L16/10)+Skills!O16</f>
        <v/>
      </c>
      <c r="G282">
        <f>Skills!G16*IF(Skills!H16&gt;0,Skills!I16/Skills!H16,1)</f>
        <v/>
      </c>
      <c r="H282">
        <f>1-(1-Skills!J16/100)^Skills!K16</f>
        <v/>
      </c>
      <c r="I282" t="inlineStr">
        <is>
          <t>1</t>
        </is>
      </c>
      <c r="J282" t="inlineStr"/>
      <c r="K282" t="inlineStr"/>
      <c r="L282" t="inlineStr"/>
      <c r="M282" t="inlineStr"/>
      <c r="N282" t="inlineStr"/>
      <c r="O282">
        <f>(1-Summary!$B$11)*T282+Summary!$B$11*V282</f>
        <v/>
      </c>
      <c r="P282">
        <f>IF(B302=0,0,O282/B302)</f>
        <v/>
      </c>
      <c r="Q282" t="n">
        <v>0</v>
      </c>
      <c r="R282" t="n">
        <v>0</v>
      </c>
      <c r="S282">
        <f>IFERROR(O282/N282,0)</f>
        <v/>
      </c>
      <c r="T282" t="n">
        <v>0</v>
      </c>
      <c r="V282" t="n">
        <v>0</v>
      </c>
    </row>
    <row r="283">
      <c r="A283">
        <f>Skills!A17</f>
        <v/>
      </c>
      <c r="B283">
        <f>Skills!B17</f>
        <v/>
      </c>
      <c r="C283">
        <f>Inputs!$B$3&gt;=10</f>
        <v/>
      </c>
      <c r="D283">
        <f>IF(Skills!C17=1,60+Inputs!$B$25+Inputs!$B$29,IF(Skills!C17=2,90+Inputs!$B$26+Inputs!$B$29,IF(Skills!C17=3,120+Inputs!$B$27+Inputs!$B$29,MAX(0,(Inputs!$B$3-100)*3)+Inputs!$B$28+Inputs!$B$29)))</f>
        <v/>
      </c>
      <c r="E283">
        <f>INDEX(FactorTable!$B$2:$Y$301, MATCH(ROUND(MIN(300,MAX(1,D283)),0), FactorTable!$A$2:$A$301,0), Skills!M17+1)</f>
        <v/>
      </c>
      <c r="F283">
        <f>IF(Skills!N17=TRUE,(Skills!L17/10)*(E283/1000),Skills!L17/10)+Skills!O17</f>
        <v/>
      </c>
      <c r="G283">
        <f>Skills!G17*IF(Skills!H17&gt;0,Skills!I17/Skills!H17,1)</f>
        <v/>
      </c>
      <c r="H283">
        <f>1-(1-Skills!J17/100)^Skills!K17</f>
        <v/>
      </c>
      <c r="I283" t="inlineStr">
        <is>
          <t>1</t>
        </is>
      </c>
      <c r="J283" t="inlineStr"/>
      <c r="K283" t="inlineStr"/>
      <c r="L283" t="inlineStr"/>
      <c r="M283" t="inlineStr"/>
      <c r="N283" t="inlineStr"/>
      <c r="O283">
        <f>(1-Summary!$B$11)*T283+Summary!$B$11*V283</f>
        <v/>
      </c>
      <c r="P283">
        <f>IF(B302=0,0,O283/B302)</f>
        <v/>
      </c>
      <c r="Q283" t="n">
        <v>0</v>
      </c>
      <c r="R283" t="n">
        <v>0</v>
      </c>
      <c r="S283">
        <f>IFERROR(O283/N283,0)</f>
        <v/>
      </c>
      <c r="T283" t="n">
        <v>0</v>
      </c>
      <c r="V283" t="n">
        <v>0</v>
      </c>
    </row>
    <row r="284">
      <c r="A284">
        <f>Skills!A18</f>
        <v/>
      </c>
      <c r="B284">
        <f>Skills!B18</f>
        <v/>
      </c>
      <c r="C284">
        <f>Inputs!$B$3&gt;=33</f>
        <v/>
      </c>
      <c r="D284">
        <f>IF(Skills!C18=1,60+Inputs!$B$25+Inputs!$B$29,IF(Skills!C18=2,90+Inputs!$B$26+Inputs!$B$29,IF(Skills!C18=3,120+Inputs!$B$27+Inputs!$B$29,MAX(0,(Inputs!$B$3-100)*3)+Inputs!$B$28+Inputs!$B$29)))</f>
        <v/>
      </c>
      <c r="E284">
        <f>INDEX(FactorTable!$B$2:$Y$301, MATCH(ROUND(MIN(300,MAX(1,D284)),0), FactorTable!$A$2:$A$301,0), Skills!M18+1)</f>
        <v/>
      </c>
      <c r="F284">
        <f>IF(Skills!N18=TRUE,(Skills!L18/10)*(E284/1000),Skills!L18/10)+Skills!O18</f>
        <v/>
      </c>
      <c r="G284">
        <f>Skills!G18*IF(Skills!H18&gt;0,Skills!I18/Skills!H18,1)</f>
        <v/>
      </c>
      <c r="H284">
        <f>1-(1-Skills!J18/100)^Skills!K18</f>
        <v/>
      </c>
      <c r="I284" t="inlineStr">
        <is>
          <t>1</t>
        </is>
      </c>
      <c r="J284" t="inlineStr"/>
      <c r="K284" t="inlineStr"/>
      <c r="L284" t="inlineStr"/>
      <c r="M284" t="inlineStr"/>
      <c r="N284" t="inlineStr"/>
      <c r="O284">
        <f>(1-Summary!$B$11)*T284+Summary!$B$11*V284</f>
        <v/>
      </c>
      <c r="P284">
        <f>IF(B302=0,0,O284/B302)</f>
        <v/>
      </c>
      <c r="Q284" t="n">
        <v>0</v>
      </c>
      <c r="R284" t="n">
        <v>0</v>
      </c>
      <c r="S284">
        <f>IFERROR(O284/N284,0)</f>
        <v/>
      </c>
      <c r="T284" t="n">
        <v>0</v>
      </c>
      <c r="V284" t="n">
        <v>0</v>
      </c>
    </row>
    <row r="285">
      <c r="A285">
        <f>Skills!A19</f>
        <v/>
      </c>
      <c r="B285">
        <f>Skills!B19</f>
        <v/>
      </c>
      <c r="C285">
        <f>Inputs!$B$3&gt;=40</f>
        <v/>
      </c>
      <c r="D285">
        <f>IF(Skills!C19=1,60+Inputs!$B$25+Inputs!$B$29,IF(Skills!C19=2,90+Inputs!$B$26+Inputs!$B$29,IF(Skills!C19=3,120+Inputs!$B$27+Inputs!$B$29,MAX(0,(Inputs!$B$3-100)*3)+Inputs!$B$28+Inputs!$B$29)))</f>
        <v/>
      </c>
      <c r="E285">
        <f>INDEX(FactorTable!$B$2:$Y$301, MATCH(ROUND(MIN(300,MAX(1,D285)),0), FactorTable!$A$2:$A$301,0), Skills!M19+1)</f>
        <v/>
      </c>
      <c r="F285">
        <f>IF(Skills!N19=TRUE,(Skills!L19/10)*(E285/1000),Skills!L19/10)+Skills!O19</f>
        <v/>
      </c>
      <c r="G285">
        <f>Skills!G19*IF(Skills!H19&gt;0,Skills!I19/Skills!H19,1)</f>
        <v/>
      </c>
      <c r="H285">
        <f>1-(1-Skills!J19/100)^Skills!K19</f>
        <v/>
      </c>
      <c r="I285" t="inlineStr">
        <is>
          <t>1</t>
        </is>
      </c>
      <c r="J285" t="inlineStr"/>
      <c r="K285" t="inlineStr"/>
      <c r="L285" t="inlineStr"/>
      <c r="M285" t="inlineStr"/>
      <c r="N285" t="inlineStr"/>
      <c r="O285">
        <f>(1-Summary!$B$11)*T285+Summary!$B$11*V285</f>
        <v/>
      </c>
      <c r="P285">
        <f>IF(B302=0,0,O285/B302)</f>
        <v/>
      </c>
      <c r="Q285" t="n">
        <v>0</v>
      </c>
      <c r="R285" t="n">
        <v>0</v>
      </c>
      <c r="S285">
        <f>IFERROR(O285/N285,0)</f>
        <v/>
      </c>
      <c r="T285" t="n">
        <v>0</v>
      </c>
      <c r="V285" t="n">
        <v>0</v>
      </c>
    </row>
    <row r="286">
      <c r="A286">
        <f>Skills!A20</f>
        <v/>
      </c>
      <c r="B286">
        <f>Skills!B20</f>
        <v/>
      </c>
      <c r="C286">
        <f>Inputs!$B$3&gt;=43</f>
        <v/>
      </c>
      <c r="D286">
        <f>IF(Skills!C20=1,60+Inputs!$B$25+Inputs!$B$29,IF(Skills!C20=2,90+Inputs!$B$26+Inputs!$B$29,IF(Skills!C20=3,120+Inputs!$B$27+Inputs!$B$29,MAX(0,(Inputs!$B$3-100)*3)+Inputs!$B$28+Inputs!$B$29)))</f>
        <v/>
      </c>
      <c r="E286">
        <f>INDEX(FactorTable!$B$2:$Y$301, MATCH(ROUND(MIN(300,MAX(1,D286)),0), FactorTable!$A$2:$A$301,0), Skills!M20+1)</f>
        <v/>
      </c>
      <c r="F286">
        <f>IF(Skills!N20=TRUE,(Skills!L20/10)*(E286/1000),Skills!L20/10)+Skills!O20</f>
        <v/>
      </c>
      <c r="G286">
        <f>Skills!G20*IF(Skills!H20&gt;0,Skills!I20/Skills!H20,1)</f>
        <v/>
      </c>
      <c r="H286">
        <f>1-(1-Skills!J20/100)^Skills!K20</f>
        <v/>
      </c>
      <c r="I286" t="inlineStr">
        <is>
          <t>1</t>
        </is>
      </c>
      <c r="J286" t="inlineStr"/>
      <c r="K286" t="inlineStr"/>
      <c r="L286" t="inlineStr"/>
      <c r="M286" t="inlineStr"/>
      <c r="N286" t="inlineStr"/>
      <c r="O286">
        <f>(1-Summary!$B$11)*T286+Summary!$B$11*V286</f>
        <v/>
      </c>
      <c r="P286">
        <f>IF(B302=0,0,O286/B302)</f>
        <v/>
      </c>
      <c r="Q286" t="n">
        <v>0</v>
      </c>
      <c r="R286" t="n">
        <v>0</v>
      </c>
      <c r="S286">
        <f>IFERROR(O286/N286,0)</f>
        <v/>
      </c>
      <c r="T286" t="n">
        <v>0</v>
      </c>
      <c r="V286" t="n">
        <v>0</v>
      </c>
    </row>
    <row r="287">
      <c r="A287">
        <f>Skills!A21</f>
        <v/>
      </c>
      <c r="B287">
        <f>Skills!B21</f>
        <v/>
      </c>
      <c r="C287">
        <f>Inputs!$B$3&gt;=38</f>
        <v/>
      </c>
      <c r="D287">
        <f>IF(Skills!C21=1,60+Inputs!$B$25+Inputs!$B$29,IF(Skills!C21=2,90+Inputs!$B$26+Inputs!$B$29,IF(Skills!C21=3,120+Inputs!$B$27+Inputs!$B$29,MAX(0,(Inputs!$B$3-100)*3)+Inputs!$B$28+Inputs!$B$29)))</f>
        <v/>
      </c>
      <c r="E287">
        <f>INDEX(FactorTable!$B$2:$Y$301, MATCH(ROUND(MIN(300,MAX(1,D287)),0), FactorTable!$A$2:$A$301,0), Skills!M21+1)</f>
        <v/>
      </c>
      <c r="F287">
        <f>IF(Skills!N21=TRUE,(Skills!L21/10)*(E287/1000),Skills!L21/10)+Skills!O21</f>
        <v/>
      </c>
      <c r="G287">
        <f>Skills!G21*IF(Skills!H21&gt;0,Skills!I21/Skills!H21,1)</f>
        <v/>
      </c>
      <c r="H287">
        <f>1-(1-Skills!J21/100)^Skills!K21</f>
        <v/>
      </c>
      <c r="I287" t="inlineStr">
        <is>
          <t>1</t>
        </is>
      </c>
      <c r="J287" t="inlineStr"/>
      <c r="K287" t="inlineStr"/>
      <c r="L287" t="inlineStr"/>
      <c r="M287" t="inlineStr"/>
      <c r="N287" t="inlineStr"/>
      <c r="O287">
        <f>(1-Summary!$B$11)*T287+Summary!$B$11*V287</f>
        <v/>
      </c>
      <c r="P287">
        <f>IF(B302=0,0,O287/B302)</f>
        <v/>
      </c>
      <c r="Q287" t="n">
        <v>0</v>
      </c>
      <c r="R287" t="n">
        <v>0</v>
      </c>
      <c r="S287">
        <f>IFERROR(O287/N287,0)</f>
        <v/>
      </c>
      <c r="T287" t="n">
        <v>0</v>
      </c>
      <c r="V287" t="n">
        <v>0</v>
      </c>
    </row>
    <row r="288">
      <c r="A288">
        <f>Skills!A22</f>
        <v/>
      </c>
      <c r="B288">
        <f>Skills!B22</f>
        <v/>
      </c>
      <c r="C288">
        <f>Inputs!$B$3&gt;=75</f>
        <v/>
      </c>
      <c r="D288">
        <f>IF(Skills!C22=1,60+Inputs!$B$25+Inputs!$B$29,IF(Skills!C22=2,90+Inputs!$B$26+Inputs!$B$29,IF(Skills!C22=3,120+Inputs!$B$27+Inputs!$B$29,MAX(0,(Inputs!$B$3-100)*3)+Inputs!$B$28+Inputs!$B$29)))</f>
        <v/>
      </c>
      <c r="E288">
        <f>INDEX(FactorTable!$B$2:$Y$301, MATCH(ROUND(MIN(300,MAX(1,D288)),0), FactorTable!$A$2:$A$301,0), Skills!M22+1)</f>
        <v/>
      </c>
      <c r="F288">
        <f>IF(Skills!N22=TRUE,(Skills!L22/10)*(E288/1000),Skills!L22/10)+Skills!O22</f>
        <v/>
      </c>
      <c r="G288">
        <f>Skills!G22*IF(Skills!H22&gt;0,Skills!I22/Skills!H22,1)</f>
        <v/>
      </c>
      <c r="H288">
        <f>1-(1-Skills!J22/100)^Skills!K22</f>
        <v/>
      </c>
      <c r="I288" t="inlineStr">
        <is>
          <t>1</t>
        </is>
      </c>
      <c r="J288" t="inlineStr"/>
      <c r="K288" t="inlineStr"/>
      <c r="L288" t="inlineStr"/>
      <c r="M288" t="inlineStr"/>
      <c r="N288" t="inlineStr"/>
      <c r="O288">
        <f>(1-Summary!$B$11)*T288+Summary!$B$11*V288</f>
        <v/>
      </c>
      <c r="P288">
        <f>IF(B302=0,0,O288/B302)</f>
        <v/>
      </c>
      <c r="Q288" t="n">
        <v>0</v>
      </c>
      <c r="R288" t="n">
        <v>0</v>
      </c>
      <c r="S288">
        <f>IFERROR(O288/N288,0)</f>
        <v/>
      </c>
      <c r="T288" t="n">
        <v>0</v>
      </c>
      <c r="V288" t="n">
        <v>0</v>
      </c>
    </row>
    <row r="289">
      <c r="A289">
        <f>Skills!A23</f>
        <v/>
      </c>
      <c r="B289">
        <f>Skills!B23</f>
        <v/>
      </c>
      <c r="C289">
        <f>TRUE</f>
        <v/>
      </c>
      <c r="D289">
        <f>IF(Skills!C23=1,60+Inputs!$B$25+Inputs!$B$29,IF(Skills!C23=2,90+Inputs!$B$26+Inputs!$B$29,IF(Skills!C23=3,120+Inputs!$B$27+Inputs!$B$29,MAX(0,(Inputs!$B$3-100)*3)+Inputs!$B$28+Inputs!$B$29)))</f>
        <v/>
      </c>
      <c r="E289">
        <f>INDEX(FactorTable!$B$2:$Y$301, MATCH(ROUND(MIN(300,MAX(1,D289)),0), FactorTable!$A$2:$A$301,0), Skills!M23+1)</f>
        <v/>
      </c>
      <c r="F289">
        <f>IF(Skills!N23=TRUE,(Skills!L23/10)*(E289/1000),Skills!L23/10)+Skills!O23</f>
        <v/>
      </c>
      <c r="G289">
        <f>Skills!G23*IF(Skills!H23&gt;0,Skills!I23/Skills!H23,1)</f>
        <v/>
      </c>
      <c r="H289">
        <f>1-(1-Skills!J23/100)^Skills!K23</f>
        <v/>
      </c>
      <c r="I289" t="inlineStr">
        <is>
          <t>1</t>
        </is>
      </c>
      <c r="J289" t="inlineStr"/>
      <c r="K289" t="inlineStr"/>
      <c r="L289" t="inlineStr"/>
      <c r="M289" t="inlineStr"/>
      <c r="N289" t="inlineStr"/>
      <c r="O289">
        <f>(1-Summary!$B$11)*T289+Summary!$B$11*V289</f>
        <v/>
      </c>
      <c r="P289">
        <f>IF(B302=0,0,O289/B302)</f>
        <v/>
      </c>
      <c r="Q289">
        <f>IFERROR(1/(IF(Inputs!$B$38="pvp",15,MAX(0.1,Skills!D23-IF(Skills!E23=TRUE,Inputs!$B$32,0)))*(1-IF(AND(ArtifactsInput!$M$27,Inputs!$B$4="Chapter Hunt"),CHOOSE(ArtifactsInput!$N$27+1,20,24,28,32,36,40),0)/100)),0)</f>
        <v/>
      </c>
      <c r="R289">
        <f>IF(AND(Inputs!$B$38&lt;&gt;"pvp",Inputs!$B$43&gt;0),IF(Inputs!$B$43&lt;=0,0,(INT(Inputs!$B$43/(IF(Inputs!$B$38="pvp",15,MAX(0.1,Skills!D23-IF(Skills!E23=TRUE,Inputs!$B$32,0)))*(1-IF(AND(ArtifactsInput!$M$27,Inputs!$B$4="Chapter Hunt"),CHOOSE(ArtifactsInput!$N$27+1,20,24,28,32,36,40),0)/100)))+1)),0)</f>
        <v/>
      </c>
      <c r="S289">
        <f>IFERROR(O289/N289,0)</f>
        <v/>
      </c>
      <c r="T289" t="n">
        <v>0</v>
      </c>
      <c r="V289" t="n">
        <v>0</v>
      </c>
    </row>
    <row r="291">
      <c r="A291" t="inlineStr">
        <is>
          <t>Attack% Bucket Multiplier</t>
        </is>
      </c>
      <c r="B291">
        <f>(1+(((C279=TRUE)*F279*5/7)+((C285=TRUE)*(F285-Calc!F19))+(IF(ArtifactsInput!$M$21,CHOOSE(ArtifactsInput!$N$21+1,25,30,35,40,45,50)*(IF(OR(Inputs!$B$4="Chapter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2">
      <c r="A292" t="inlineStr">
        <is>
          <t>Global Crit Rate Bonus %</t>
        </is>
      </c>
      <c r="B292" t="n">
        <v>0</v>
      </c>
    </row>
    <row r="293">
      <c r="A293" t="inlineStr">
        <is>
          <t>Attack Speed Buff Bonus % (Nimble Feet, duty-cycle averaged)</t>
        </is>
      </c>
      <c r="B293">
        <f>((C289=TRUE)*F289*IF(AND(Inputs!$B$38&lt;&gt;"pvp",Inputs!$B$43&gt;0),(((R289-1)*(Skills!T23*(1+Inputs!$B$34/100))+MIN((Skills!T23*(1+Inputs!$B$34/100)),MAX(0,Inputs!$B$43-((R289-1)*Skills!D23))))/Inputs!$B$43),IF(Inputs!$B$38="pvp",MIN((Skills!T23*(1+Inputs!$B$34/100)),15)/15,(Skills!T23*(1+Inputs!$B$34/100))/Skills!D23)))</f>
        <v/>
      </c>
    </row>
    <row r="294">
      <c r="A294" t="inlineStr">
        <is>
          <t>Actions Per Second</t>
        </is>
      </c>
      <c r="B294">
        <f>1+MIN(150,150*(1-(1-(Inputs!$B$11+((C283=TRUE)*(F283-Calc!F17))+((C284=TRUE)*(F284-Calc!F18)))/150)*(1-B293/150)))/100</f>
        <v/>
      </c>
    </row>
    <row r="295">
      <c r="A295" t="inlineStr">
        <is>
          <t>Skill + Buff Cast Rate</t>
        </is>
      </c>
      <c r="B295">
        <f>IF(AND(Inputs!$B$38&lt;&gt;"pvp",Inputs!$B$43&gt;0),SUMPRODUCT((Skills!E2:E23=TRUE)*(C268:C289=TRUE)*R268:R289*Skills!F2:F23)/Inputs!$B$43,SUMPRODUCT((Skills!E2:E23=TRUE)*(C268:C289=TRUE)*Q268:Q289*Skills!F2:F23))</f>
        <v/>
      </c>
    </row>
    <row r="296">
      <c r="A296" t="inlineStr">
        <is>
          <t>Hook Bomber Casts Per Second</t>
        </is>
      </c>
      <c r="B296">
        <f>MAX(0,B294-B295)</f>
        <v/>
      </c>
    </row>
    <row r="297">
      <c r="A297" t="inlineStr">
        <is>
          <t>Global Critical Damage Bonus % (unused)</t>
        </is>
      </c>
      <c r="B297" t="n">
        <v>0</v>
      </c>
    </row>
    <row r="298">
      <c r="A298" t="inlineStr">
        <is>
          <t>Global Final Damage Bonus % (Serpent Scale + Crossbones + Time Leap + Speed Infusion)</t>
        </is>
      </c>
      <c r="B298">
        <f>((C271=TRUE)*F271*((10+IF(Inputs!$B$3&gt;=94,5,0))/((10+IF(Inputs!$B$3&gt;=94,5,0))+5/(B296*(1+IF(Inputs!$B$3&gt;=104,1,0))))))+((C280=TRUE)*F280*IF(AND(Inputs!$B$38&lt;&gt;"pvp",Inputs!$B$43&gt;0),(((R280-1)*(Skills!T14*(1+Inputs!$B$34/100))+MIN((Skills!T14*(1+Inputs!$B$34/100)),MAX(0,Inputs!$B$43-((R280-1)*Skills!D14))))/Inputs!$B$43),IF(Inputs!$B$38="pvp",MIN((Skills!T14*(1+Inputs!$B$34/100)),15)/15,(Skills!T14*(1+Inputs!$B$34/100))/Skills!D14)))+((C281=TRUE)*F281*IF(AND(Inputs!$B$38&lt;&gt;"pvp",Inputs!$B$43&gt;0),(((R281-1)*(Skills!T15*(1+Inputs!$B$34/100))+MIN((Skills!T15*(1+Inputs!$B$34/100)),MAX(0,Inputs!$B$43-((R281-1)*Skills!D15))))/Inputs!$B$43),IF(Inputs!$B$38="pvp",MIN((Skills!T15*(1+Inputs!$B$34/100)),15)/15,(Skills!T15*(1+Inputs!$B$34/100))/Skills!D15)))+((Inputs!$B$3&gt;=110)*20*(B294-1)*IF(Inputs!$B$38="pvp",MIN((15*(1+Inputs!$B$34/100)),15)/15,(15*(1+Inputs!$B$34/100))/35))</f>
        <v/>
      </c>
    </row>
    <row r="299">
      <c r="A299" t="inlineStr">
        <is>
          <t>Buff-Casting Startup Delay (s, fixed-duration only)</t>
        </is>
      </c>
      <c r="B299">
        <f>IF(AND(Inputs!$B$38&lt;&gt;"pvp",Inputs!$B$43&gt;0),SUMPRODUCT((Skills!T2:T23&gt;0)*(Skills!E2:E23=TRUE)*(C268:C289=TRUE))/B294,0)</f>
        <v/>
      </c>
    </row>
    <row r="300">
      <c r="A300" t="inlineStr">
        <is>
          <t>Boss-Only Total DPS (this block's swept value)</t>
        </is>
      </c>
      <c r="B300">
        <f>SUM(T268:T289)</f>
        <v/>
      </c>
    </row>
    <row r="301">
      <c r="A301" t="inlineStr">
        <is>
          <t>Normal-Only Total DPS (this block's swept value)</t>
        </is>
      </c>
      <c r="B301">
        <f>SUM(V268:V289)</f>
        <v/>
      </c>
    </row>
    <row r="302">
      <c r="A302" s="6" t="inlineStr">
        <is>
          <t>TOTAL DPS</t>
        </is>
      </c>
      <c r="B302" s="6">
        <f>SUM(O268:O289)</f>
        <v/>
      </c>
    </row>
    <row r="305">
      <c r="A305" s="6" t="inlineStr">
        <is>
          <t>Stat: NORMAL_DAMAGE %</t>
        </is>
      </c>
    </row>
    <row r="306">
      <c r="A306" s="5" t="inlineStr">
        <is>
          <t>Key</t>
        </is>
      </c>
      <c r="B306" s="5" t="inlineStr">
        <is>
          <t>Name</t>
        </is>
      </c>
      <c r="C306" s="5" t="inlineStr">
        <is>
          <t>Unlocked</t>
        </is>
      </c>
      <c r="D306" s="5" t="inlineStr">
        <is>
          <t>InputLevel</t>
        </is>
      </c>
      <c r="E306" s="5" t="inlineStr">
        <is>
          <t>Factor</t>
        </is>
      </c>
      <c r="F306" s="5" t="inlineStr">
        <is>
          <t>CoefficientPercent</t>
        </is>
      </c>
      <c r="G306" s="5" t="inlineStr">
        <is>
          <t>EffectiveHits</t>
        </is>
      </c>
      <c r="H306" s="5" t="inlineStr">
        <is>
          <t>ProcProbability</t>
        </is>
      </c>
      <c r="I306" s="5" t="inlineStr">
        <is>
          <t>MapleHeroMultiplier</t>
        </is>
      </c>
      <c r="J306" s="5" t="inlineStr">
        <is>
          <t>BaseDamage</t>
        </is>
      </c>
      <c r="K306" s="5" t="inlineStr">
        <is>
          <t>BaseHitDamage</t>
        </is>
      </c>
      <c r="L306" s="5" t="inlineStr">
        <is>
          <t>NonCritAvg</t>
        </is>
      </c>
      <c r="M306" s="5" t="inlineStr">
        <is>
          <t>CritAvg</t>
        </is>
      </c>
      <c r="N306" s="5" t="inlineStr">
        <is>
          <t>ExpectedDamage(perHit)</t>
        </is>
      </c>
      <c r="O306" s="5" t="inlineStr">
        <is>
          <t>DPS</t>
        </is>
      </c>
      <c r="P306" s="5" t="inlineStr">
        <is>
          <t>% of Total</t>
        </is>
      </c>
      <c r="Q306" s="5" t="inlineStr">
        <is>
          <t>InvCooldown</t>
        </is>
      </c>
      <c r="R306" s="5" t="inlineStr">
        <is>
          <t>CastsInFight</t>
        </is>
      </c>
      <c r="S306" s="5" t="inlineStr">
        <is>
          <t>HitRate(perSec)</t>
        </is>
      </c>
      <c r="U306" t="inlineStr">
        <is>
          <t>helpers</t>
        </is>
      </c>
    </row>
    <row r="307">
      <c r="A307">
        <f>Skills!A2</f>
        <v/>
      </c>
      <c r="B307">
        <f>Skills!B2</f>
        <v/>
      </c>
      <c r="C307">
        <f>Inputs!$B$3&gt;=100</f>
        <v/>
      </c>
      <c r="D307" t="inlineStr"/>
      <c r="E307" t="inlineStr"/>
      <c r="F307">
        <f>U309+Skills!O2</f>
        <v/>
      </c>
      <c r="G307">
        <f>Skills!G2*IF(Skills!H2&gt;0,Skills!I2/Skills!H2,1)</f>
        <v/>
      </c>
      <c r="H307">
        <f>1-(1-Skills!J2/100)^Skills!K2</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325=TRUE)*(F325-Calc!F20)),(Inputs!$B$23+0+(IF(ArtifactsInput!$M$15,CHOOSE(ArtifactsInput!$N$15+1,25,30,35,40,45,50)/100*(Inputs!$B$11-Inputs!$B$11),0))))/100+(Inputs!$B$23+0+(IF(ArtifactsInput!$M$15,CHOOSE(ArtifactsInput!$N$15+1,25,30,35,40,45,50)/100*(Inputs!$B$11-Inputs!$B$11),0)))/100)/2</f>
        <v/>
      </c>
      <c r="M307">
        <f>L307*(1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IF(B341=0,0,O307/B341)</f>
        <v/>
      </c>
      <c r="Q307" t="n">
        <v>0</v>
      </c>
      <c r="R307" t="n">
        <v>0</v>
      </c>
      <c r="S307">
        <f>IFERROR(O307/N307,0)</f>
        <v/>
      </c>
      <c r="T307">
        <f>IF(C307,(Skills!G2*N307*B335)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7">
        <f>MAX(0,(Inputs!$B$3-100)*3)+Inputs!$B$28+Inputs!$B$29</f>
        <v/>
      </c>
      <c r="V307">
        <f>IF(C307,(Skills!G2*N307*B335)*IF(Inputs!$B$38="pvp",1,(1+((Inputs!$B$21+1)+Skills!Q2+(IF(ArtifactsInput!$M$33,CHOOSE(ArtifactsInput!$N$33+1,30,36,42,48,54,60),0))+(IF(AND(ArtifactsInput!$M$35,Inputs!$B$4&lt;&gt;"Chapter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Skills!A3</f>
        <v/>
      </c>
      <c r="B308">
        <f>Skills!B3</f>
        <v/>
      </c>
      <c r="C308">
        <f>Inputs!$B$3&gt;=35</f>
        <v/>
      </c>
      <c r="D308">
        <f>IF(Skills!C3=1,60+Inputs!$B$25+Inputs!$B$29,IF(Skills!C3=2,90+Inputs!$B$26+Inputs!$B$29,IF(Skills!C3=3,120+Inputs!$B$27+Inputs!$B$29,MAX(0,(Inputs!$B$3-100)*3)+Inputs!$B$28+Inputs!$B$29)))</f>
        <v/>
      </c>
      <c r="E308">
        <f>INDEX(FactorTable!$B$2:$Y$301, MATCH(ROUND(MIN(300,MAX(1,D308)),0), FactorTable!$A$2:$A$301,0), Skills!M3+1)</f>
        <v/>
      </c>
      <c r="F308">
        <f>IF(Skills!N3=TRUE,(Skills!L3/10)*(E308/1000),Skills!L3/10)+Skills!O3</f>
        <v/>
      </c>
      <c r="G308">
        <f>Skills!G3*IF(Skills!H3&gt;0,Skills!I3/Skills!H3,1)</f>
        <v/>
      </c>
      <c r="H308">
        <f>1-(1-Skills!J3/100)^Skills!K3</f>
        <v/>
      </c>
      <c r="I308" t="inlineStr">
        <is>
          <t>1</t>
        </is>
      </c>
      <c r="J308">
        <f>((Inputs!$B$6*(1+Inputs!$B$7/100))+(((Inputs!$B$12*(1+Inputs!$B$13/100))-(Inputs!$B$12*(1+Inputs!$B$13/100)))+0.25*(Inputs!$B$14-Inputs!$B$14))*(1+Inputs!$B$7/100))*(F308/100)</f>
        <v/>
      </c>
      <c r="K308">
        <f>J308*(1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308)</f>
        <v/>
      </c>
      <c r="L308">
        <f>K308*(MIN(Inputs!$B$22+((C325=TRUE)*(F325-Calc!F20)),(Inputs!$B$23+0+(IF(ArtifactsInput!$M$15,CHOOSE(ArtifactsInput!$N$15+1,25,30,35,40,45,50)/100*(Inputs!$B$11-Inputs!$B$11),0))))/100+(Inputs!$B$23+0+(IF(ArtifactsInput!$M$15,CHOOSE(ArtifactsInput!$N$15+1,25,30,35,40,45,50)/100*(Inputs!$B$11-Inputs!$B$11),0)))/100)/2</f>
        <v/>
      </c>
      <c r="M308">
        <f>L308*(1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8">
        <f>L308*(1-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308*(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8">
        <f>(1-Summary!$B$11)*T308+Summary!$B$11*V308</f>
        <v/>
      </c>
      <c r="P308">
        <f>IF(B341=0,0,O308/B341)</f>
        <v/>
      </c>
      <c r="Q308" t="n">
        <v>0</v>
      </c>
      <c r="R308" t="n">
        <v>0</v>
      </c>
      <c r="S308">
        <f>IFERROR(O308/N308,0)</f>
        <v/>
      </c>
      <c r="T308">
        <f>IF(C308,(Skills!G3*H308*N308*B335)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308*(1-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308*(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308*(1-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308*(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8">
        <f>INDEX(FactorTable!$B$2:$Y$301, MATCH(ROUND(MIN(300,MAX(1,U307)),0), FactorTable!$A$2:$A$301,0), 22)</f>
        <v/>
      </c>
      <c r="V308">
        <f>IF(C308,(Skills!G3*H308*N308*B335)*IF(Inputs!$B$38="pvp",1,(1+((Inputs!$B$21+1)+Skills!Q3+(IF(ArtifactsInput!$M$33,CHOOSE(ArtifactsInput!$N$33+1,30,36,42,48,54,60),0))+(IF(AND(ArtifactsInput!$M$35,Inputs!$B$4&lt;&gt;"Chapter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9">
      <c r="A309">
        <f>Skills!A4</f>
        <v/>
      </c>
      <c r="B309">
        <f>Skills!B4</f>
        <v/>
      </c>
      <c r="C309">
        <f>Inputs!$B$3&gt;=60</f>
        <v/>
      </c>
      <c r="D309">
        <f>IF(Skills!C4=1,60+Inputs!$B$25+Inputs!$B$29,IF(Skills!C4=2,90+Inputs!$B$26+Inputs!$B$29,IF(Skills!C4=3,120+Inputs!$B$27+Inputs!$B$29,MAX(0,(Inputs!$B$3-100)*3)+Inputs!$B$28+Inputs!$B$29)))</f>
        <v/>
      </c>
      <c r="E309">
        <f>INDEX(FactorTable!$B$2:$Y$301, MATCH(ROUND(MIN(300,MAX(1,D309)),0), FactorTable!$A$2:$A$301,0), Skills!M4+1)</f>
        <v/>
      </c>
      <c r="F309">
        <f>IF(Skills!N4=TRUE,(Skills!L4/10)*(E309/1000),Skills!L4/10)+Skills!O4</f>
        <v/>
      </c>
      <c r="G309">
        <f>Skills!G4*IF(Skills!H4&gt;0,Skills!I4/Skills!H4,1)</f>
        <v/>
      </c>
      <c r="H309">
        <f>1-(1-Skills!J4/100)^Skills!K4</f>
        <v/>
      </c>
      <c r="I309" t="inlineStr">
        <is>
          <t>1</t>
        </is>
      </c>
      <c r="J309">
        <f>((Inputs!$B$6*(1+Inputs!$B$7/100))+(((Inputs!$B$12*(1+Inputs!$B$13/100))-(Inputs!$B$12*(1+Inputs!$B$13/100)))+0.25*(Inputs!$B$14-Inputs!$B$14))*(1+Inputs!$B$7/100))*(F309/100)</f>
        <v/>
      </c>
      <c r="K309">
        <f>J309*(1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317=TRUE,F317,0)/100)*(1+(IF(Skills!A4="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309)</f>
        <v/>
      </c>
      <c r="L309">
        <f>K309*(MIN(Inputs!$B$22+((C325=TRUE)*(F325-Calc!F20)),(Inputs!$B$23+0+(IF(ArtifactsInput!$M$15,CHOOSE(ArtifactsInput!$N$15+1,25,30,35,40,45,50)/100*(Inputs!$B$11-Inputs!$B$11),0))))/100+(Inputs!$B$23+0+(IF(ArtifactsInput!$M$15,CHOOSE(ArtifactsInput!$N$15+1,25,30,35,40,45,50)/100*(Inputs!$B$11-Inputs!$B$11),0)))/100)/2</f>
        <v/>
      </c>
      <c r="M309">
        <f>L309*(1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9">
        <f>L309*(1-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309*(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9">
        <f>(1-Summary!$B$11)*T309+Summary!$B$11*V309</f>
        <v/>
      </c>
      <c r="P309">
        <f>IF(B341=0,0,O309/B341)</f>
        <v/>
      </c>
      <c r="Q309" t="n">
        <v>0</v>
      </c>
      <c r="R309" t="n">
        <v>0</v>
      </c>
      <c r="S309">
        <f>IFERROR(O309/N309,0)</f>
        <v/>
      </c>
      <c r="T309">
        <f>IF(C309,(Skills!G4*H309*N309*B335)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309*(1-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309*(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309*(1-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309*(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9">
        <f>290*U308/1000</f>
        <v/>
      </c>
      <c r="V309">
        <f>IF(C309,(Skills!G4*H309*N309*B335)*IF(Inputs!$B$38="pvp",1,(1+((Inputs!$B$21+1)+Skills!Q4+(IF(ArtifactsInput!$M$33,CHOOSE(ArtifactsInput!$N$33+1,30,36,42,48,54,60),0))+(IF(AND(ArtifactsInput!$M$35,Inputs!$B$4&lt;&gt;"Chapter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
      <c r="A310">
        <f>Skills!A5</f>
        <v/>
      </c>
      <c r="B310">
        <f>Skills!B5</f>
        <v/>
      </c>
      <c r="C310">
        <f>Inputs!$B$3&gt;=60</f>
        <v/>
      </c>
      <c r="D310">
        <f>IF(Skills!C5=1,60+Inputs!$B$25+Inputs!$B$29,IF(Skills!C5=2,90+Inputs!$B$26+Inputs!$B$29,IF(Skills!C5=3,120+Inputs!$B$27+Inputs!$B$29,MAX(0,(Inputs!$B$3-100)*3)+Inputs!$B$28+Inputs!$B$29)))</f>
        <v/>
      </c>
      <c r="E310">
        <f>INDEX(FactorTable!$B$2:$Y$301, MATCH(ROUND(MIN(300,MAX(1,D310)),0), FactorTable!$A$2:$A$301,0), Skills!M5+1)</f>
        <v/>
      </c>
      <c r="F310">
        <f>IF(Skills!N5=TRUE,(Skills!L5/10)*(E310/1000),Skills!L5/10)+Skills!O5</f>
        <v/>
      </c>
      <c r="G310">
        <f>Skills!G5*IF(Skills!H5&gt;0,Skills!I5/Skills!H5,1)</f>
        <v/>
      </c>
      <c r="H310">
        <f>1-(1-Skills!J5/100)^Skills!K5</f>
        <v/>
      </c>
      <c r="I310" t="inlineStr">
        <is>
          <t>1</t>
        </is>
      </c>
      <c r="J310" t="inlineStr"/>
      <c r="K310" t="inlineStr"/>
      <c r="L310" t="inlineStr"/>
      <c r="M310" t="inlineStr"/>
      <c r="N310" t="inlineStr"/>
      <c r="O310">
        <f>(1-Summary!$B$11)*T310+Summary!$B$11*V310</f>
        <v/>
      </c>
      <c r="P310">
        <f>IF(B341=0,0,O310/B341)</f>
        <v/>
      </c>
      <c r="Q310" t="n">
        <v>0</v>
      </c>
      <c r="R310" t="n">
        <v>0</v>
      </c>
      <c r="S310">
        <f>IFERROR(O310/N310,0)</f>
        <v/>
      </c>
      <c r="T310" t="n">
        <v>0</v>
      </c>
      <c r="V310" t="n">
        <v>0</v>
      </c>
    </row>
    <row r="311">
      <c r="A311">
        <f>Skills!A6</f>
        <v/>
      </c>
      <c r="B311">
        <f>Skills!B6</f>
        <v/>
      </c>
      <c r="C311">
        <f>Inputs!$B$3&gt;=63</f>
        <v/>
      </c>
      <c r="D311">
        <f>IF(Skills!C6=1,60+Inputs!$B$25+Inputs!$B$29,IF(Skills!C6=2,90+Inputs!$B$26+Inputs!$B$29,IF(Skills!C6=3,120+Inputs!$B$27+Inputs!$B$29,MAX(0,(Inputs!$B$3-100)*3)+Inputs!$B$28+Inputs!$B$29)))</f>
        <v/>
      </c>
      <c r="E311">
        <f>INDEX(FactorTable!$B$2:$Y$301, MATCH(ROUND(MIN(300,MAX(1,D311)),0), FactorTable!$A$2:$A$301,0), Skills!M6+1)</f>
        <v/>
      </c>
      <c r="F311">
        <f>IF(Skills!N6=TRUE,(Skills!L6/10)*(E311/1000),Skills!L6/10)+Skills!O6</f>
        <v/>
      </c>
      <c r="G311">
        <f>Skills!G6*IF(Skills!H6&gt;0,Skills!I6/Skills!H6,1)</f>
        <v/>
      </c>
      <c r="H311">
        <f>1-(1-Skills!J6/100)^Skills!K6</f>
        <v/>
      </c>
      <c r="I311" t="inlineStr">
        <is>
          <t>1</t>
        </is>
      </c>
      <c r="J311">
        <f>((Inputs!$B$6*(1+Inputs!$B$7/100))+(((Inputs!$B$12*(1+Inputs!$B$13/100))-(Inputs!$B$12*(1+Inputs!$B$13/100)))+0.25*(Inputs!$B$14-Inputs!$B$14))*(1+Inputs!$B$7/100))*(F311/100)</f>
        <v/>
      </c>
      <c r="K311">
        <f>J311*(1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317=TRUE,F317,0)/100)*(1+(IF(Skills!A6="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f>
        <v/>
      </c>
      <c r="L311">
        <f>K311*(MIN(Inputs!$B$22+((C325=TRUE)*(F325-Calc!F20)),(Inputs!$B$23+0+(IF(ArtifactsInput!$M$15,CHOOSE(ArtifactsInput!$N$15+1,25,30,35,40,45,50)/100*(Inputs!$B$11-Inputs!$B$11),0))))/100+(Inputs!$B$23+0+(IF(ArtifactsInput!$M$15,CHOOSE(ArtifactsInput!$N$15+1,25,30,35,40,45,50)/100*(Inputs!$B$11-Inputs!$B$11),0)))/100)/2</f>
        <v/>
      </c>
      <c r="M311">
        <f>L311*(1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
        <f>L311*(1-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
        <f>(1-Summary!$B$11)*T311+Summary!$B$11*V311</f>
        <v/>
      </c>
      <c r="P311">
        <f>IF(B341=0,0,O311/B341)</f>
        <v/>
      </c>
      <c r="Q311">
        <f>IFERROR(1/(IF(Inputs!$B$38="pvp",15,MAX(0.1,Skills!D6-IF(Skills!E6=TRUE,Inputs!$B$32,0)))*(1-IF(AND(ArtifactsInput!$M$27,Inputs!$B$4="Chapter Hunt"),CHOOSE(ArtifactsInput!$N$27+1,20,24,28,32,36,40),0)/100)),0)</f>
        <v/>
      </c>
      <c r="R311">
        <f>IF(AND(Inputs!$B$38&lt;&gt;"pvp",Inputs!$B$43&gt;0),IF(MAX(0,Inputs!$B$43-B338)&lt;=0,0,(INT(MAX(0,Inputs!$B$43-B338)/(IF(Inputs!$B$38="pvp",15,MAX(0.1,Skills!D6-IF(Skills!E6=TRUE,Inputs!$B$32,0)))*(1-IF(AND(ArtifactsInput!$M$27,Inputs!$B$4="Chapter Hunt"),CHOOSE(ArtifactsInput!$N$27+1,20,24,28,32,36,40),0)/100)))+1)),0)</f>
        <v/>
      </c>
      <c r="S311">
        <f>IFERROR(O311/N311,0)</f>
        <v/>
      </c>
      <c r="T311">
        <f>IF(C311,(H311*N311*IF(AND(Inputs!$B$38&lt;&gt;"pvp",Inputs!$B$43&gt;0),((Skills!G6*((R311-1)*IF(Skills!H6&gt;0,Skills!I6/Skills!H6,1)+IF(Skills!H6&gt;0,MIN(Skills!I6,MAX(0,MAX(0,Inputs!$B$43-B338)-((R311-1)*(IF(Inputs!$B$38="pvp",15,MAX(0.1,Skills!D6-IF(Skills!E6=TRUE,Inputs!$B$32,0)))*(1-IF(AND(ArtifactsInput!$M$27,Inputs!$B$4="Chapter Hunt"),CHOOSE(ArtifactsInput!$N$27+1,20,24,28,32,36,40),0)/100)))))/Skills!H6,1)))/Inputs!$B$43),G311*Q311)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
        <f>IF(C311,(H311*N311*IF(AND(Inputs!$B$38&lt;&gt;"pvp",Inputs!$B$43&gt;0),((Skills!G6*((R311-1)*IF(Skills!H6&gt;0,Skills!I6/Skills!H6,1)+IF(Skills!H6&gt;0,MIN(Skills!I6,MAX(0,MAX(0,Inputs!$B$43-B338)-((R311-1)*(IF(Inputs!$B$38="pvp",15,MAX(0.1,Skills!D6-IF(Skills!E6=TRUE,Inputs!$B$32,0)))*(1-IF(AND(ArtifactsInput!$M$27,Inputs!$B$4="Chapter Hunt"),CHOOSE(ArtifactsInput!$N$27+1,20,24,28,32,36,40),0)/100)))))/Skills!H6,1)))/Inputs!$B$43),G311*Q311))*IF(Inputs!$B$38="pvp",1,(1+((Inputs!$B$21+1)+Skills!Q6+(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2">
      <c r="A312">
        <f>Skills!A7</f>
        <v/>
      </c>
      <c r="B312">
        <f>Skills!B7</f>
        <v/>
      </c>
      <c r="C312">
        <f>Inputs!$B$3&gt;=100</f>
        <v/>
      </c>
      <c r="D312">
        <f>IF(Skills!C7=1,60+Inputs!$B$25+Inputs!$B$29,IF(Skills!C7=2,90+Inputs!$B$26+Inputs!$B$29,IF(Skills!C7=3,120+Inputs!$B$27+Inputs!$B$29,MAX(0,(Inputs!$B$3-100)*3)+Inputs!$B$28+Inputs!$B$29)))</f>
        <v/>
      </c>
      <c r="E312">
        <f>INDEX(FactorTable!$B$2:$Y$301, MATCH(ROUND(MIN(300,MAX(1,D312)),0), FactorTable!$A$2:$A$301,0), Skills!M7+1)</f>
        <v/>
      </c>
      <c r="F312">
        <f>IF(Skills!N7=TRUE,(Skills!L7/10)*(E312/1000),Skills!L7/10)+Skills!O7</f>
        <v/>
      </c>
      <c r="G312">
        <f>Skills!G7*IF(Skills!H7&gt;0,Skills!I7/Skills!H7,1)</f>
        <v/>
      </c>
      <c r="H312">
        <f>1-(1-Skills!J7/100)^Skills!K7</f>
        <v/>
      </c>
      <c r="I312" t="inlineStr">
        <is>
          <t>1</t>
        </is>
      </c>
      <c r="J312">
        <f>((Inputs!$B$6*(1+Inputs!$B$7/100))+(((Inputs!$B$12*(1+Inputs!$B$13/100))-(Inputs!$B$12*(1+Inputs!$B$13/100)))+0.25*(Inputs!$B$14-Inputs!$B$14))*(1+Inputs!$B$7/100))*(F312/100)</f>
        <v/>
      </c>
      <c r="K312">
        <f>J312*(1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312)</f>
        <v/>
      </c>
      <c r="L312">
        <f>K312*(MIN(Inputs!$B$22+((C325=TRUE)*(F325-Calc!F20)),(Inputs!$B$23+0+(IF(ArtifactsInput!$M$15,CHOOSE(ArtifactsInput!$N$15+1,25,30,35,40,45,50)/100*(Inputs!$B$11-Inputs!$B$11),0))))/100+(Inputs!$B$23+0+(IF(ArtifactsInput!$M$15,CHOOSE(ArtifactsInput!$N$15+1,25,30,35,40,45,50)/100*(Inputs!$B$11-Inputs!$B$11),0)))/100)/2</f>
        <v/>
      </c>
      <c r="M312">
        <f>L312*(1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2">
        <f>L312*(1-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312*(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2">
        <f>(1-Summary!$B$11)*T312+Summary!$B$11*V312</f>
        <v/>
      </c>
      <c r="P312">
        <f>IF(B341=0,0,O312/B341)</f>
        <v/>
      </c>
      <c r="Q312">
        <f>IFERROR(1/(IF(Inputs!$B$38="pvp",15,MAX(0.1,Skills!D7-IF(Skills!E7=TRUE,Inputs!$B$32,0)))*(1-IF(AND(ArtifactsInput!$M$27,Inputs!$B$4="Chapter Hunt"),CHOOSE(ArtifactsInput!$N$27+1,20,24,28,32,36,40),0)/100)),0)</f>
        <v/>
      </c>
      <c r="R312">
        <f>IF(AND(Inputs!$B$38&lt;&gt;"pvp",Inputs!$B$43&gt;0),IF(MAX(0,Inputs!$B$43-B338)&lt;=0,0,(INT(MAX(0,Inputs!$B$43-B338)/(IF(Inputs!$B$38="pvp",15,MAX(0.1,Skills!D7-IF(Skills!E7=TRUE,Inputs!$B$32,0)))*(1-IF(AND(ArtifactsInput!$M$27,Inputs!$B$4="Chapter Hunt"),CHOOSE(ArtifactsInput!$N$27+1,20,24,28,32,36,40),0)/100)))+1)),0)</f>
        <v/>
      </c>
      <c r="S312">
        <f>IFERROR(O312/N312,0)</f>
        <v/>
      </c>
      <c r="T312">
        <f>IF(C312,(H312*N312*IF(AND(Inputs!$B$38&lt;&gt;"pvp",Inputs!$B$43&gt;0),((Skills!G7*((R312-1)*IF(Skills!H7&gt;0,Skills!I7/Skills!H7,1)+IF(Skills!H7&gt;0,MIN(Skills!I7,MAX(0,MAX(0,Inputs!$B$43-B338)-((R312-1)*(IF(Inputs!$B$38="pvp",15,MAX(0.1,Skills!D7-IF(Skills!E7=TRUE,Inputs!$B$32,0)))*(1-IF(AND(ArtifactsInput!$M$27,Inputs!$B$4="Chapter Hunt"),CHOOSE(ArtifactsInput!$N$27+1,20,24,28,32,36,40),0)/100)))))/Skills!H7,1)))/Inputs!$B$43),G312*Q312)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312*(1-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312*(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312*(1-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312*(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2">
        <f>IF(C312,(H312*N312*IF(AND(Inputs!$B$38&lt;&gt;"pvp",Inputs!$B$43&gt;0),((Skills!G7*((R312-1)*IF(Skills!H7&gt;0,Skills!I7/Skills!H7,1)+IF(Skills!H7&gt;0,MIN(Skills!I7,MAX(0,MAX(0,Inputs!$B$43-B338)-((R312-1)*(IF(Inputs!$B$38="pvp",15,MAX(0.1,Skills!D7-IF(Skills!E7=TRUE,Inputs!$B$32,0)))*(1-IF(AND(ArtifactsInput!$M$27,Inputs!$B$4="Chapter Hunt"),CHOOSE(ArtifactsInput!$N$27+1,20,24,28,32,36,40),0)/100)))))/Skills!H7,1)))/Inputs!$B$43),G312*Q312))*IF(Inputs!$B$38="pvp",1,(1+((Inputs!$B$21+1)+Skills!Q7+(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3">
      <c r="A313">
        <f>Skills!A8</f>
        <v/>
      </c>
      <c r="B313">
        <f>Skills!B8</f>
        <v/>
      </c>
      <c r="C313">
        <f>Inputs!$B$3&gt;=110</f>
        <v/>
      </c>
      <c r="D313">
        <f>IF(Skills!C8=1,60+Inputs!$B$25+Inputs!$B$29,IF(Skills!C8=2,90+Inputs!$B$26+Inputs!$B$29,IF(Skills!C8=3,120+Inputs!$B$27+Inputs!$B$29,MAX(0,(Inputs!$B$3-100)*3)+Inputs!$B$28+Inputs!$B$29)))</f>
        <v/>
      </c>
      <c r="E313">
        <f>INDEX(FactorTable!$B$2:$Y$301, MATCH(ROUND(MIN(300,MAX(1,D313)),0), FactorTable!$A$2:$A$301,0), Skills!M8+1)</f>
        <v/>
      </c>
      <c r="F313">
        <f>IF(Skills!N8=TRUE,(Skills!L8/10)*(E313/1000),Skills!L8/10)+Skills!O8</f>
        <v/>
      </c>
      <c r="G313">
        <f>Skills!G8*IF(Skills!H8&gt;0,Skills!I8/Skills!H8,1)</f>
        <v/>
      </c>
      <c r="H313">
        <f>1-(1-Skills!J8/100)^Skills!K8</f>
        <v/>
      </c>
      <c r="I313" t="inlineStr">
        <is>
          <t>1</t>
        </is>
      </c>
      <c r="J313">
        <f>((Inputs!$B$6*(1+Inputs!$B$7/100))+(((Inputs!$B$12*(1+Inputs!$B$13/100))-(Inputs!$B$12*(1+Inputs!$B$13/100)))+0.25*(Inputs!$B$14-Inputs!$B$14))*(1+Inputs!$B$7/100))*(F313/100)</f>
        <v/>
      </c>
      <c r="K313">
        <f>J313*(1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313)</f>
        <v/>
      </c>
      <c r="L313">
        <f>K313*(MIN(Inputs!$B$22+((C325=TRUE)*(F325-Calc!F20)),(Inputs!$B$23+0+(IF(ArtifactsInput!$M$15,CHOOSE(ArtifactsInput!$N$15+1,25,30,35,40,45,50)/100*(Inputs!$B$11-Inputs!$B$11),0))))/100+(Inputs!$B$23+0+(IF(ArtifactsInput!$M$15,CHOOSE(ArtifactsInput!$N$15+1,25,30,35,40,45,50)/100*(Inputs!$B$11-Inputs!$B$11),0)))/100)/2</f>
        <v/>
      </c>
      <c r="M313">
        <f>L313*(1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3">
        <f>L313*(1-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313*(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3">
        <f>(1-Summary!$B$11)*T313+Summary!$B$11*V313</f>
        <v/>
      </c>
      <c r="P313">
        <f>IF(B341=0,0,O313/B341)</f>
        <v/>
      </c>
      <c r="Q313">
        <f>IFERROR(1/(IF(Inputs!$B$38="pvp",15,MAX(0.1,Skills!D8-IF(Skills!E8=TRUE,Inputs!$B$32,0)))*(1-IF(AND(ArtifactsInput!$M$27,Inputs!$B$4="Chapter Hunt"),CHOOSE(ArtifactsInput!$N$27+1,20,24,28,32,36,40),0)/100)),0)</f>
        <v/>
      </c>
      <c r="R313">
        <f>IF(AND(Inputs!$B$38&lt;&gt;"pvp",Inputs!$B$43&gt;0),IF(MAX(0,Inputs!$B$43-B338)&lt;=0,0,(INT(MAX(0,Inputs!$B$43-B338)/(IF(Inputs!$B$38="pvp",15,MAX(0.1,Skills!D8-IF(Skills!E8=TRUE,Inputs!$B$32,0)))*(1-IF(AND(ArtifactsInput!$M$27,Inputs!$B$4="Chapter Hunt"),CHOOSE(ArtifactsInput!$N$27+1,20,24,28,32,36,40),0)/100)))+1)),0)</f>
        <v/>
      </c>
      <c r="S313">
        <f>IFERROR(O313/N313,0)</f>
        <v/>
      </c>
      <c r="T313">
        <f>IF(C313,(H313*N313*IF(AND(Inputs!$B$38&lt;&gt;"pvp",Inputs!$B$43&gt;0),((Skills!G8*((R313-1)*IF(Skills!H8&gt;0,Skills!I8/Skills!H8,1)+IF(Skills!H8&gt;0,MIN(Skills!I8,MAX(0,MAX(0,Inputs!$B$43-B338)-((R313-1)*(IF(Inputs!$B$38="pvp",15,MAX(0.1,Skills!D8-IF(Skills!E8=TRUE,Inputs!$B$32,0)))*(1-IF(AND(ArtifactsInput!$M$27,Inputs!$B$4="Chapter Hunt"),CHOOSE(ArtifactsInput!$N$27+1,20,24,28,32,36,40),0)/100)))))/Skills!H8,1)))/Inputs!$B$43),G313*Q313)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313*(1-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313*(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313*(1-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313*(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3">
        <f>IF(C313,(H313*N313*IF(AND(Inputs!$B$38&lt;&gt;"pvp",Inputs!$B$43&gt;0),((Skills!G8*((R313-1)*IF(Skills!H8&gt;0,Skills!I8/Skills!H8,1)+IF(Skills!H8&gt;0,MIN(Skills!I8,MAX(0,MAX(0,Inputs!$B$43-B338)-((R313-1)*(IF(Inputs!$B$38="pvp",15,MAX(0.1,Skills!D8-IF(Skills!E8=TRUE,Inputs!$B$32,0)))*(1-IF(AND(ArtifactsInput!$M$27,Inputs!$B$4="Chapter Hunt"),CHOOSE(ArtifactsInput!$N$27+1,20,24,28,32,36,40),0)/100)))))/Skills!H8,1)))/Inputs!$B$43),G313*Q313))*IF(Inputs!$B$38="pvp",1,(1+((Inputs!$B$21+1)+Skills!Q8+(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
      <c r="A314">
        <f>Skills!A9</f>
        <v/>
      </c>
      <c r="B314">
        <f>Skills!B9</f>
        <v/>
      </c>
      <c r="C314">
        <f>Inputs!$B$3&gt;=110</f>
        <v/>
      </c>
      <c r="D314">
        <f>IF(Skills!C9=1,60+Inputs!$B$25+Inputs!$B$29,IF(Skills!C9=2,90+Inputs!$B$26+Inputs!$B$29,IF(Skills!C9=3,120+Inputs!$B$27+Inputs!$B$29,MAX(0,(Inputs!$B$3-100)*3)+Inputs!$B$28+Inputs!$B$29)))</f>
        <v/>
      </c>
      <c r="E314">
        <f>INDEX(FactorTable!$B$2:$Y$301, MATCH(ROUND(MIN(300,MAX(1,D314)),0), FactorTable!$A$2:$A$301,0), Skills!M9+1)</f>
        <v/>
      </c>
      <c r="F314">
        <f>IF(Skills!N9=TRUE,(Skills!L9/10)*(E314/1000),Skills!L9/10)+Skills!O9</f>
        <v/>
      </c>
      <c r="G314">
        <f>Skills!G9*IF(Skills!H9&gt;0,Skills!I9/Skills!H9,1)</f>
        <v/>
      </c>
      <c r="H314">
        <f>1-(1-Skills!J9/100)^Skills!K9</f>
        <v/>
      </c>
      <c r="I314" t="inlineStr">
        <is>
          <t>1</t>
        </is>
      </c>
      <c r="J314">
        <f>((Inputs!$B$6*(1+Inputs!$B$7/100))+(((Inputs!$B$12*(1+Inputs!$B$13/100))-(Inputs!$B$12*(1+Inputs!$B$13/100)))+0.25*(Inputs!$B$14-Inputs!$B$14))*(1+Inputs!$B$7/100))*(F314/100)</f>
        <v/>
      </c>
      <c r="K314">
        <f>J314*(1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f>
        <v/>
      </c>
      <c r="L314">
        <f>K314*(MIN(Inputs!$B$22+((C325=TRUE)*(F325-Calc!F20)),(Inputs!$B$23+0+(IF(ArtifactsInput!$M$15,CHOOSE(ArtifactsInput!$N$15+1,25,30,35,40,45,50)/100*(Inputs!$B$11-Inputs!$B$11),0))))/100+(Inputs!$B$23+0+(IF(ArtifactsInput!$M$15,CHOOSE(ArtifactsInput!$N$15+1,25,30,35,40,45,50)/100*(Inputs!$B$11-Inputs!$B$11),0)))/100)/2</f>
        <v/>
      </c>
      <c r="M314">
        <f>L314*(1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
        <f>L314*(1-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
        <f>(1-Summary!$B$11)*T314+Summary!$B$11*V314</f>
        <v/>
      </c>
      <c r="P314">
        <f>IF(B341=0,0,O314/B341)</f>
        <v/>
      </c>
      <c r="Q314">
        <f>IFERROR(1/(IF(Inputs!$B$38="pvp",15,MAX(0.1,Skills!D9-IF(Skills!E9=TRUE,Inputs!$B$32,0)))*(1-IF(AND(ArtifactsInput!$M$27,Inputs!$B$4="Chapter Hunt"),CHOOSE(ArtifactsInput!$N$27+1,20,24,28,32,36,40),0)/100)),0)</f>
        <v/>
      </c>
      <c r="R314">
        <f>IF(AND(Inputs!$B$38&lt;&gt;"pvp",Inputs!$B$43&gt;0),IF(MAX(0,Inputs!$B$43-B338)&lt;=0,0,(INT(MAX(0,Inputs!$B$43-B338)/(IF(Inputs!$B$38="pvp",15,MAX(0.1,Skills!D9-IF(Skills!E9=TRUE,Inputs!$B$32,0)))*(1-IF(AND(ArtifactsInput!$M$27,Inputs!$B$4="Chapter Hunt"),CHOOSE(ArtifactsInput!$N$27+1,20,24,28,32,36,40),0)/100)))+1)),0)</f>
        <v/>
      </c>
      <c r="S314">
        <f>IFERROR(O314/N314,0)</f>
        <v/>
      </c>
      <c r="T314">
        <f>IF(C314,(H314*N314*IF(AND(Inputs!$B$38&lt;&gt;"pvp",Inputs!$B$43&gt;0),((Skills!G9*((R314-1)*IF(Skills!H9&gt;0,Skills!I9/Skills!H9,1)+IF(Skills!H9&gt;0,MIN(Skills!I9,MAX(0,MAX(0,Inputs!$B$43-B338)-((R314-1)*(IF(Inputs!$B$38="pvp",15,MAX(0.1,Skills!D9-IF(Skills!E9=TRUE,Inputs!$B$32,0)))*(1-IF(AND(ArtifactsInput!$M$27,Inputs!$B$4="Chapter Hunt"),CHOOSE(ArtifactsInput!$N$27+1,20,24,28,32,36,40),0)/100)))))/Skills!H9,1)))/Inputs!$B$43),G314*Q314)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4">
        <f>IF(C314,(H314*N314*IF(AND(Inputs!$B$38&lt;&gt;"pvp",Inputs!$B$43&gt;0),((Skills!G9*((R314-1)*IF(Skills!H9&gt;0,Skills!I9/Skills!H9,1)+IF(Skills!H9&gt;0,MIN(Skills!I9,MAX(0,MAX(0,Inputs!$B$43-B338)-((R314-1)*(IF(Inputs!$B$38="pvp",15,MAX(0.1,Skills!D9-IF(Skills!E9=TRUE,Inputs!$B$32,0)))*(1-IF(AND(ArtifactsInput!$M$27,Inputs!$B$4="Chapter Hunt"),CHOOSE(ArtifactsInput!$N$27+1,20,24,28,32,36,40),0)/100)))))/Skills!H9,1)))/Inputs!$B$43),G314*Q314))*IF(Inputs!$B$38="pvp",1,(1+((Inputs!$B$21+1)+Skills!Q9+(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
      <c r="A315">
        <f>Skills!A10</f>
        <v/>
      </c>
      <c r="B315">
        <f>Skills!B10</f>
        <v/>
      </c>
      <c r="C315">
        <f>Inputs!$B$3&gt;=103</f>
        <v/>
      </c>
      <c r="D315">
        <f>IF(Skills!C10=1,60+Inputs!$B$25+Inputs!$B$29,IF(Skills!C10=2,90+Inputs!$B$26+Inputs!$B$29,IF(Skills!C10=3,120+Inputs!$B$27+Inputs!$B$29,MAX(0,(Inputs!$B$3-100)*3)+Inputs!$B$28+Inputs!$B$29)))</f>
        <v/>
      </c>
      <c r="E315">
        <f>INDEX(FactorTable!$B$2:$Y$301, MATCH(ROUND(MIN(300,MAX(1,D315)),0), FactorTable!$A$2:$A$301,0), Skills!M10+1)</f>
        <v/>
      </c>
      <c r="F315">
        <f>IF(Skills!N10=TRUE,(Skills!L10/10)*(E315/1000),Skills!L10/10)+Skills!O10</f>
        <v/>
      </c>
      <c r="G315">
        <f>Skills!G10*IF(Skills!H10&gt;0,Skills!I10/Skills!H10,1)</f>
        <v/>
      </c>
      <c r="H315">
        <f>1-(1-Skills!J10/100)^Skills!K10</f>
        <v/>
      </c>
      <c r="I315" t="inlineStr">
        <is>
          <t>1</t>
        </is>
      </c>
      <c r="J315">
        <f>((Inputs!$B$6*(1+Inputs!$B$7/100))+(((Inputs!$B$12*(1+Inputs!$B$13/100))-(Inputs!$B$12*(1+Inputs!$B$13/100)))+0.25*(Inputs!$B$14-Inputs!$B$14))*(1+Inputs!$B$7/100))*(F315/100)</f>
        <v/>
      </c>
      <c r="K315">
        <f>J315*(1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f>
        <v/>
      </c>
      <c r="L315">
        <f>K315*(MIN(Inputs!$B$22+((C325=TRUE)*(F325-Calc!F20)),(Inputs!$B$23+0+(IF(ArtifactsInput!$M$15,CHOOSE(ArtifactsInput!$N$15+1,25,30,35,40,45,50)/100*(Inputs!$B$11-Inputs!$B$11),0))))/100+(Inputs!$B$23+0+(IF(ArtifactsInput!$M$15,CHOOSE(ArtifactsInput!$N$15+1,25,30,35,40,45,50)/100*(Inputs!$B$11-Inputs!$B$11),0)))/100)/2</f>
        <v/>
      </c>
      <c r="M315">
        <f>L315*(1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
        <f>L315*(1-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
        <f>(1-Summary!$B$11)*T315+Summary!$B$11*V315</f>
        <v/>
      </c>
      <c r="P315">
        <f>IF(B341=0,0,O315/B341)</f>
        <v/>
      </c>
      <c r="Q315">
        <f>IFERROR(1/(IF(Inputs!$B$38="pvp",15,MAX(0.1,Skills!D10-IF(Skills!E10=TRUE,Inputs!$B$32,0)))*(1-IF(AND(ArtifactsInput!$M$27,Inputs!$B$4="Chapter Hunt"),CHOOSE(ArtifactsInput!$N$27+1,20,24,28,32,36,40),0)/100)),0)</f>
        <v/>
      </c>
      <c r="R315">
        <f>IF(AND(Inputs!$B$38&lt;&gt;"pvp",Inputs!$B$43&gt;0),IF(MAX(0,Inputs!$B$43-B338)&lt;=0,0,(INT(MAX(0,Inputs!$B$43-B338)/(IF(Inputs!$B$38="pvp",15,MAX(0.1,Skills!D10-IF(Skills!E10=TRUE,Inputs!$B$32,0)))*(1-IF(AND(ArtifactsInput!$M$27,Inputs!$B$4="Chapter Hunt"),CHOOSE(ArtifactsInput!$N$27+1,20,24,28,32,36,40),0)/100)))+1)),0)</f>
        <v/>
      </c>
      <c r="S315">
        <f>IFERROR(O315/N315,0)</f>
        <v/>
      </c>
      <c r="T315">
        <f>IF(C315,(H315*N315*IF(AND(Inputs!$B$38&lt;&gt;"pvp",Inputs!$B$43&gt;0),((Skills!G10*((R315-1)*IF(Skills!H10&gt;0,Skills!I10/Skills!H10,1)+IF(Skills!H10&gt;0,MIN(Skills!I10,MAX(0,MAX(0,Inputs!$B$43-B338)-((R315-1)*(IF(Inputs!$B$38="pvp",15,MAX(0.1,Skills!D10-IF(Skills!E10=TRUE,Inputs!$B$32,0)))*(1-IF(AND(ArtifactsInput!$M$27,Inputs!$B$4="Chapter Hunt"),CHOOSE(ArtifactsInput!$N$27+1,20,24,28,32,36,40),0)/100)))))/Skills!H10,1)))/Inputs!$B$43),G315*Q315)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
        <f>IF(C315,(H315*N315*IF(AND(Inputs!$B$38&lt;&gt;"pvp",Inputs!$B$43&gt;0),((Skills!G10*((R315-1)*IF(Skills!H10&gt;0,Skills!I10/Skills!H10,1)+IF(Skills!H10&gt;0,MIN(Skills!I10,MAX(0,MAX(0,Inputs!$B$43-B338)-((R315-1)*(IF(Inputs!$B$38="pvp",15,MAX(0.1,Skills!D10-IF(Skills!E10=TRUE,Inputs!$B$32,0)))*(1-IF(AND(ArtifactsInput!$M$27,Inputs!$B$4="Chapter Hunt"),CHOOSE(ArtifactsInput!$N$27+1,20,24,28,32,36,40),0)/100)))))/Skills!H10,1)))/Inputs!$B$43),G315*Q315))*IF(Inputs!$B$38="pvp",1,(1+((Inputs!$B$21+1)+Skills!Q10+(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6">
      <c r="A316">
        <f>Skills!A11</f>
        <v/>
      </c>
      <c r="B316">
        <f>Skills!B11</f>
        <v/>
      </c>
      <c r="C316">
        <f>Inputs!$B$3&gt;=113</f>
        <v/>
      </c>
      <c r="D316">
        <f>IF(Skills!C11=1,60+Inputs!$B$25+Inputs!$B$29,IF(Skills!C11=2,90+Inputs!$B$26+Inputs!$B$29,IF(Skills!C11=3,120+Inputs!$B$27+Inputs!$B$29,MAX(0,(Inputs!$B$3-100)*3)+Inputs!$B$28+Inputs!$B$29)))</f>
        <v/>
      </c>
      <c r="E316">
        <f>INDEX(FactorTable!$B$2:$Y$301, MATCH(ROUND(MIN(300,MAX(1,D316)),0), FactorTable!$A$2:$A$301,0), Skills!M11+1)</f>
        <v/>
      </c>
      <c r="F316">
        <f>IF(Skills!N11=TRUE,(Skills!L11/10)*(E316/1000),Skills!L11/10)+Skills!O11</f>
        <v/>
      </c>
      <c r="G316">
        <f>Skills!G11*IF(Skills!H11&gt;0,Skills!I11/Skills!H11,1)</f>
        <v/>
      </c>
      <c r="H316">
        <f>1-(1-Skills!J11/100)^Skills!K11</f>
        <v/>
      </c>
      <c r="I316" t="inlineStr">
        <is>
          <t>1</t>
        </is>
      </c>
      <c r="J316">
        <f>((Inputs!$B$6*(1+Inputs!$B$7/100))+(((Inputs!$B$12*(1+Inputs!$B$13/100))-(Inputs!$B$12*(1+Inputs!$B$13/100)))+0.25*(Inputs!$B$14-Inputs!$B$14))*(1+Inputs!$B$7/100))*(F316/100)</f>
        <v/>
      </c>
      <c r="K316">
        <f>J316*(1+((Inputs!$B$12*(1+Inputs!$B$13/100))*0.01+Inputs!$B$14*0.0025)/100)*(1+Inputs!$B$15/100)*(1+Inputs!$B$16/100)*(5000/(6000+Inputs!$B$42*(1-(100*(1-(1-(Inputs!$B$19+0)/100)*(1-CHOOSE(ArtifactsInput!$N$40+1,5,6,7,8,9,10)/100)^(ArtifactsInput!$M$40-ArtifactsInput!$M$40)))/100)))*(1+(Inputs!$B$24+((C327=TRUE)*(F327-Calc!F22))+B337)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326=TRUE)*(F326-Calc!F21))+(((IF(AND(ArtifactsInput!$M$42,((Inputs!$B$9+((C321=TRUE)*(F321-Calc!F16))+B331+(ArtifactsInput!$M$24-ArtifactsInput!$M$24)*CHOOSE(ArtifactsInput!$N$24+1,10,12,14,16,18,20)+IF(ArtifactsInput!$M$10,CHOOSE(ArtifactsInput!$N$10+1,15,18,21,24,27,30)*(IF(Inputs!$B$38="pvp",MIN(15,15)/15,IF(AND(Inputs!$B$38&lt;&gt;"pvp",Inputs!$B$43&gt;0),MIN(15,Inputs!$B$43)/(Inputs!$B$43),0))),0)))&gt;=100),MIN(100,((Inputs!$B$9+((C321=TRUE)*(F321-Calc!F16))+B331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321=TRUE)*(F321-Calc!F16))+B331+(ArtifactsInput!$M$24-ArtifactsInput!$M$24)*CHOOSE(ArtifactsInput!$N$24+1,10,12,14,16,18,20)+IF(ArtifactsInput!$M$10,CHOOSE(ArtifactsInput!$N$10+1,15,18,21,24,27,30)*(IF(Inputs!$B$38="pvp",MIN(15,15)/15,IF(AND(Inputs!$B$38&lt;&gt;"pvp",Inputs!$B$43&gt;0),MIN(15,Inputs!$B$43)/(Inputs!$B$43),0))),0)))&gt;=100),CHOOSE(ArtifactsInput!$N$42+1,40,48,56,64,72,80),0))))/100)*((1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316)</f>
        <v/>
      </c>
      <c r="L316">
        <f>K316*(MIN(Inputs!$B$22+((C325=TRUE)*(F325-Calc!F20)),(Inputs!$B$23+0+(IF(ArtifactsInput!$M$15,CHOOSE(ArtifactsInput!$N$15+1,25,30,35,40,45,50)/100*(Inputs!$B$11-Inputs!$B$11),0))))/100+(Inputs!$B$23+0+(IF(ArtifactsInput!$M$15,CHOOSE(ArtifactsInput!$N$15+1,25,30,35,40,45,50)/100*(Inputs!$B$11-Inputs!$B$11),0)))/100)/2</f>
        <v/>
      </c>
      <c r="M316">
        <f>L316*(1+(Inputs!$B$10+0+B336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6">
        <f>L316*(1-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316*(MIN((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6">
        <f>(1-Summary!$B$11)*T316+Summary!$B$11*V316</f>
        <v/>
      </c>
      <c r="P316">
        <f>IF(B341=0,0,O316/B341)</f>
        <v/>
      </c>
      <c r="Q316">
        <f>IFERROR(1/(IF(Inputs!$B$38="pvp",15,MAX(0.1,Skills!D11-IF(Skills!E11=TRUE,Inputs!$B$32,0)))*(1-IF(AND(ArtifactsInput!$M$27,Inputs!$B$4="Chapter Hunt"),CHOOSE(ArtifactsInput!$N$27+1,20,24,28,32,36,40),0)/100)),0)</f>
        <v/>
      </c>
      <c r="R316">
        <f>IF(AND(Inputs!$B$38&lt;&gt;"pvp",Inputs!$B$43&gt;0),IF(MAX(0,Inputs!$B$43-B338)&lt;=0,0,(INT(MAX(0,Inputs!$B$43-B338)/(IF(Inputs!$B$38="pvp",15,MAX(0.1,Skills!D11-IF(Skills!E11=TRUE,Inputs!$B$32,0)))*(1-IF(AND(ArtifactsInput!$M$27,Inputs!$B$4="Chapter Hunt"),CHOOSE(ArtifactsInput!$N$27+1,20,24,28,32,36,40),0)/100)))+1)),0)</f>
        <v/>
      </c>
      <c r="S316">
        <f>IFERROR(O316/N316,0)</f>
        <v/>
      </c>
      <c r="T316">
        <f>IF(C316,(H316*N316*IF(AND(Inputs!$B$38&lt;&gt;"pvp",Inputs!$B$43&gt;0),((Skills!G11*((R316-1)*IF(Skills!H11&gt;0,Skills!I11/Skills!H11,1)+IF(Skills!H11&gt;0,MIN(Skills!I11,MAX(0,MAX(0,Inputs!$B$43-B338)-((R316-1)*(IF(Inputs!$B$38="pvp",15,MAX(0.1,Skills!D11-IF(Skills!E11=TRUE,Inputs!$B$32,0)))*(1-IF(AND(ArtifactsInput!$M$27,Inputs!$B$4="Chapter Hunt"),CHOOSE(ArtifactsInput!$N$27+1,20,24,28,32,36,40),0)/100)))))/Skills!H11,1)))/Inputs!$B$43),G316*Q316)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316*(1-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316*(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316*(1-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316*(MIN(100,(Inputs!$B$9+((C321=TRUE)*(F321-Calc!F16))+B331+(ArtifactsInput!$M$24-ArtifactsInput!$M$24)*CHOOSE(ArtifactsInput!$N$24+1,10,12,14,16,18,20)+(IF(AND(ArtifactsInput!$M$42,((Inputs!$B$9+((C321=TRUE)*(F321-Calc!F16))+B331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6">
        <f>IF(C316,(H316*N316*IF(AND(Inputs!$B$38&lt;&gt;"pvp",Inputs!$B$43&gt;0),((Skills!G11*((R316-1)*IF(Skills!H11&gt;0,Skills!I11/Skills!H11,1)+IF(Skills!H11&gt;0,MIN(Skills!I11,MAX(0,MAX(0,Inputs!$B$43-B338)-((R316-1)*(IF(Inputs!$B$38="pvp",15,MAX(0.1,Skills!D11-IF(Skills!E11=TRUE,Inputs!$B$32,0)))*(1-IF(AND(ArtifactsInput!$M$27,Inputs!$B$4="Chapter Hunt"),CHOOSE(ArtifactsInput!$N$27+1,20,24,28,32,36,40),0)/100)))))/Skills!H11,1)))/Inputs!$B$43),G316*Q316))*IF(Inputs!$B$38="pvp",1,(1+((Inputs!$B$21+1)+Skills!Q11+(IF(ArtifactsInput!$M$33,CHOOSE(ArtifactsInput!$N$33+1,30,36,42,48,54,60),0))+(IF(AND(ArtifactsInput!$M$35,Inputs!$B$4&lt;&gt;"Chapter Hunt"),CHOOSE(ArtifactsInput!$N$35+1,15,18,21,24,27,30)*(1-EXP(-(0.2*B333)*5)),0)+IF(AND(ArtifactsInput!$M$22,Inputs!$B$4&lt;&gt;"Chapter Hunt"),CHOOSE(ArtifactsInput!$N$22+1,10,12,14,16,18,20)*((0*(((0.15*B333*5))^0/1)+1*(((0.15*B333*5))^1/1)+2*(((0.15*B333*5))^2/2)+3*(((0.15*B333*5))^3/6)+4*(((0.15*B333*5))^4/24)+5*(((0.15*B333*5))^5/120))/((((0.15*B333*5))^0/1)+(((0.15*B333*5))^1/1)+(((0.15*B333*5))^2/2)+(((0.15*B333*5))^3/6)+(((0.15*B333*5))^4/24)+(((0.15*B333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7">
      <c r="A317">
        <f>Skills!A12</f>
        <v/>
      </c>
      <c r="B317">
        <f>Skills!B12</f>
        <v/>
      </c>
      <c r="C317">
        <f>Inputs!$B$3&gt;=100</f>
        <v/>
      </c>
      <c r="D317">
        <f>IF(Skills!C12=1,60+Inputs!$B$25+Inputs!$B$29,IF(Skills!C12=2,90+Inputs!$B$26+Inputs!$B$29,IF(Skills!C12=3,120+Inputs!$B$27+Inputs!$B$29,MAX(0,(Inputs!$B$3-100)*3)+Inputs!$B$28+Inputs!$B$29)))</f>
        <v/>
      </c>
      <c r="E317">
        <f>INDEX(FactorTable!$B$2:$Y$301, MATCH(ROUND(MIN(300,MAX(1,D317)),0), FactorTable!$A$2:$A$301,0), Skills!M12+1)</f>
        <v/>
      </c>
      <c r="F317">
        <f>IF(Skills!N12=TRUE,(Skills!L12/10)*(E317/1000),Skills!L12/10)+Skills!O12</f>
        <v/>
      </c>
      <c r="G317" t="inlineStr"/>
      <c r="H317" t="inlineStr"/>
      <c r="I317" t="inlineStr">
        <is>
          <t>1</t>
        </is>
      </c>
      <c r="J317" t="inlineStr"/>
      <c r="K317" t="inlineStr"/>
      <c r="L317" t="inlineStr"/>
      <c r="M317" t="inlineStr"/>
      <c r="N317" t="inlineStr"/>
      <c r="O317" t="inlineStr"/>
      <c r="P317" t="inlineStr"/>
      <c r="Q317" t="inlineStr"/>
      <c r="R317" t="inlineStr"/>
      <c r="S317" t="inlineStr"/>
      <c r="T317" t="inlineStr"/>
      <c r="V317" t="inlineStr"/>
    </row>
    <row r="318">
      <c r="A318">
        <f>Skills!A13</f>
        <v/>
      </c>
      <c r="B318">
        <f>Skills!B13</f>
        <v/>
      </c>
      <c r="C318">
        <f>Inputs!$B$3&gt;=66</f>
        <v/>
      </c>
      <c r="D318">
        <f>IF(Skills!C13=1,60+Inputs!$B$25+Inputs!$B$29,IF(Skills!C13=2,90+Inputs!$B$26+Inputs!$B$29,IF(Skills!C13=3,120+Inputs!$B$27+Inputs!$B$29,MAX(0,(Inputs!$B$3-100)*3)+Inputs!$B$28+Inputs!$B$29)))</f>
        <v/>
      </c>
      <c r="E318">
        <f>INDEX(FactorTable!$B$2:$Y$301, MATCH(ROUND(MIN(300,MAX(1,D318)),0), FactorTable!$A$2:$A$301,0), Skills!M13+1)</f>
        <v/>
      </c>
      <c r="F318">
        <f>IF(Skills!N13=TRUE,(Skills!L13/10)*(E318/1000),Skills!L13/10)+Skills!O13</f>
        <v/>
      </c>
      <c r="G318">
        <f>Skills!G13*IF(Skills!H13&gt;0,Skills!I13/Skills!H13,1)</f>
        <v/>
      </c>
      <c r="H318">
        <f>1-(1-Skills!J13/100)^Skills!K13</f>
        <v/>
      </c>
      <c r="I318" t="inlineStr">
        <is>
          <t>1</t>
        </is>
      </c>
      <c r="J318" t="inlineStr"/>
      <c r="K318" t="inlineStr"/>
      <c r="L318" t="inlineStr"/>
      <c r="M318" t="inlineStr"/>
      <c r="N318" t="inlineStr"/>
      <c r="O318">
        <f>(1-Summary!$B$11)*T318+Summary!$B$11*V318</f>
        <v/>
      </c>
      <c r="P318">
        <f>IF(B341=0,0,O318/B341)</f>
        <v/>
      </c>
      <c r="Q318" t="n">
        <v>0</v>
      </c>
      <c r="R318" t="n">
        <v>0</v>
      </c>
      <c r="S318">
        <f>IFERROR(O318/N318,0)</f>
        <v/>
      </c>
      <c r="T318" t="n">
        <v>0</v>
      </c>
      <c r="V318" t="n">
        <v>0</v>
      </c>
    </row>
    <row r="319">
      <c r="A319">
        <f>Skills!A14</f>
        <v/>
      </c>
      <c r="B319">
        <f>Skills!B14</f>
        <v/>
      </c>
      <c r="C319">
        <f>Inputs!$B$3&gt;=107</f>
        <v/>
      </c>
      <c r="D319">
        <f>IF(Skills!C14=1,60+Inputs!$B$25+Inputs!$B$29,IF(Skills!C14=2,90+Inputs!$B$26+Inputs!$B$29,IF(Skills!C14=3,120+Inputs!$B$27+Inputs!$B$29,MAX(0,(Inputs!$B$3-100)*3)+Inputs!$B$28+Inputs!$B$29)))</f>
        <v/>
      </c>
      <c r="E319">
        <f>INDEX(FactorTable!$B$2:$Y$301, MATCH(ROUND(MIN(300,MAX(1,D319)),0), FactorTable!$A$2:$A$301,0), Skills!M14+1)</f>
        <v/>
      </c>
      <c r="F319">
        <f>IF(Skills!N14=TRUE,(Skills!L14/10)*(E319/1000),Skills!L14/10)+Skills!O14</f>
        <v/>
      </c>
      <c r="G319">
        <f>Skills!G14*IF(Skills!H14&gt;0,Skills!I14/Skills!H14,1)</f>
        <v/>
      </c>
      <c r="H319">
        <f>1-(1-Skills!J14/100)^Skills!K14</f>
        <v/>
      </c>
      <c r="I319" t="inlineStr">
        <is>
          <t>1</t>
        </is>
      </c>
      <c r="J319" t="inlineStr"/>
      <c r="K319" t="inlineStr"/>
      <c r="L319" t="inlineStr"/>
      <c r="M319" t="inlineStr"/>
      <c r="N319" t="inlineStr"/>
      <c r="O319">
        <f>(1-Summary!$B$11)*T319+Summary!$B$11*V319</f>
        <v/>
      </c>
      <c r="P319">
        <f>IF(B341=0,0,O319/B341)</f>
        <v/>
      </c>
      <c r="Q319">
        <f>IFERROR(1/(IF(Inputs!$B$38="pvp",15,MAX(0.1,Skills!D14-IF(Skills!E14=TRUE,Inputs!$B$32,0)))*(1-IF(AND(ArtifactsInput!$M$27,Inputs!$B$4="Chapter Hunt"),CHOOSE(ArtifactsInput!$N$27+1,20,24,28,32,36,40),0)/100)),0)</f>
        <v/>
      </c>
      <c r="R319">
        <f>IF(AND(Inputs!$B$38&lt;&gt;"pvp",Inputs!$B$43&gt;0),IF(Inputs!$B$43&lt;=0,0,(INT(Inputs!$B$43/(IF(Inputs!$B$38="pvp",15,MAX(0.1,Skills!D14-IF(Skills!E14=TRUE,Inputs!$B$32,0)))*(1-IF(AND(ArtifactsInput!$M$27,Inputs!$B$4="Chapter Hunt"),CHOOSE(ArtifactsInput!$N$27+1,20,24,28,32,36,40),0)/100)))+1)),0)</f>
        <v/>
      </c>
      <c r="S319">
        <f>IFERROR(O319/N319,0)</f>
        <v/>
      </c>
      <c r="T319" t="n">
        <v>0</v>
      </c>
      <c r="V319" t="n">
        <v>0</v>
      </c>
    </row>
    <row r="320">
      <c r="A320">
        <f>Skills!A15</f>
        <v/>
      </c>
      <c r="B320">
        <f>Skills!B15</f>
        <v/>
      </c>
      <c r="C320">
        <f>Inputs!$B$3&gt;=115</f>
        <v/>
      </c>
      <c r="D320">
        <f>IF(Skills!C15=1,60+Inputs!$B$25+Inputs!$B$29,IF(Skills!C15=2,90+Inputs!$B$26+Inputs!$B$29,IF(Skills!C15=3,120+Inputs!$B$27+Inputs!$B$29,MAX(0,(Inputs!$B$3-100)*3)+Inputs!$B$28+Inputs!$B$29)))</f>
        <v/>
      </c>
      <c r="E320">
        <f>INDEX(FactorTable!$B$2:$Y$301, MATCH(ROUND(MIN(300,MAX(1,D320)),0), FactorTable!$A$2:$A$301,0), Skills!M15+1)</f>
        <v/>
      </c>
      <c r="F320">
        <f>IF(Skills!N15=TRUE,(Skills!L15/10)*(E320/1000),Skills!L15/10)+Skills!O15</f>
        <v/>
      </c>
      <c r="G320">
        <f>Skills!G15*IF(Skills!H15&gt;0,Skills!I15/Skills!H15,1)</f>
        <v/>
      </c>
      <c r="H320">
        <f>1-(1-Skills!J15/100)^Skills!K15</f>
        <v/>
      </c>
      <c r="I320" t="inlineStr">
        <is>
          <t>1</t>
        </is>
      </c>
      <c r="J320" t="inlineStr"/>
      <c r="K320" t="inlineStr"/>
      <c r="L320" t="inlineStr"/>
      <c r="M320" t="inlineStr"/>
      <c r="N320" t="inlineStr"/>
      <c r="O320">
        <f>(1-Summary!$B$11)*T320+Summary!$B$11*V320</f>
        <v/>
      </c>
      <c r="P320">
        <f>IF(B341=0,0,O320/B341)</f>
        <v/>
      </c>
      <c r="Q320">
        <f>IFERROR(1/(IF(Inputs!$B$38="pvp",15,MAX(0.1,Skills!D15-IF(Skills!E15=TRUE,Inputs!$B$32,0)))*(1-IF(AND(ArtifactsInput!$M$27,Inputs!$B$4="Chapter Hunt"),CHOOSE(ArtifactsInput!$N$27+1,20,24,28,32,36,40),0)/100)),0)</f>
        <v/>
      </c>
      <c r="R320">
        <f>IF(AND(Inputs!$B$38&lt;&gt;"pvp",Inputs!$B$43&gt;0),IF(Inputs!$B$43&lt;=0,0,(INT(Inputs!$B$43/(IF(Inputs!$B$38="pvp",15,MAX(0.1,Skills!D15-IF(Skills!E15=TRUE,Inputs!$B$32,0)))*(1-IF(AND(ArtifactsInput!$M$27,Inputs!$B$4="Chapter Hunt"),CHOOSE(ArtifactsInput!$N$27+1,20,24,28,32,36,40),0)/100)))+1)),0)</f>
        <v/>
      </c>
      <c r="S320">
        <f>IFERROR(O320/N320,0)</f>
        <v/>
      </c>
      <c r="T320" t="n">
        <v>0</v>
      </c>
      <c r="V320" t="n">
        <v>0</v>
      </c>
    </row>
    <row r="321">
      <c r="A321">
        <f>Skills!A16</f>
        <v/>
      </c>
      <c r="B321">
        <f>Skills!B16</f>
        <v/>
      </c>
      <c r="C321">
        <f>Inputs!$B$3&gt;=15</f>
        <v/>
      </c>
      <c r="D321">
        <f>IF(Skills!C16=1,60+Inputs!$B$25+Inputs!$B$29,IF(Skills!C16=2,90+Inputs!$B$26+Inputs!$B$29,IF(Skills!C16=3,120+Inputs!$B$27+Inputs!$B$29,MAX(0,(Inputs!$B$3-100)*3)+Inputs!$B$28+Inputs!$B$29)))</f>
        <v/>
      </c>
      <c r="E321">
        <f>INDEX(FactorTable!$B$2:$Y$301, MATCH(ROUND(MIN(300,MAX(1,D321)),0), FactorTable!$A$2:$A$301,0), Skills!M16+1)</f>
        <v/>
      </c>
      <c r="F321">
        <f>IF(Skills!N16=TRUE,(Skills!L16/10)*(E321/1000),Skills!L16/10)+Skills!O16</f>
        <v/>
      </c>
      <c r="G321">
        <f>Skills!G16*IF(Skills!H16&gt;0,Skills!I16/Skills!H16,1)</f>
        <v/>
      </c>
      <c r="H321">
        <f>1-(1-Skills!J16/100)^Skills!K16</f>
        <v/>
      </c>
      <c r="I321" t="inlineStr">
        <is>
          <t>1</t>
        </is>
      </c>
      <c r="J321" t="inlineStr"/>
      <c r="K321" t="inlineStr"/>
      <c r="L321" t="inlineStr"/>
      <c r="M321" t="inlineStr"/>
      <c r="N321" t="inlineStr"/>
      <c r="O321">
        <f>(1-Summary!$B$11)*T321+Summary!$B$11*V321</f>
        <v/>
      </c>
      <c r="P321">
        <f>IF(B341=0,0,O321/B341)</f>
        <v/>
      </c>
      <c r="Q321" t="n">
        <v>0</v>
      </c>
      <c r="R321" t="n">
        <v>0</v>
      </c>
      <c r="S321">
        <f>IFERROR(O321/N321,0)</f>
        <v/>
      </c>
      <c r="T321" t="n">
        <v>0</v>
      </c>
      <c r="V321" t="n">
        <v>0</v>
      </c>
    </row>
    <row r="322">
      <c r="A322">
        <f>Skills!A17</f>
        <v/>
      </c>
      <c r="B322">
        <f>Skills!B17</f>
        <v/>
      </c>
      <c r="C322">
        <f>Inputs!$B$3&gt;=10</f>
        <v/>
      </c>
      <c r="D322">
        <f>IF(Skills!C17=1,60+Inputs!$B$25+Inputs!$B$29,IF(Skills!C17=2,90+Inputs!$B$26+Inputs!$B$29,IF(Skills!C17=3,120+Inputs!$B$27+Inputs!$B$29,MAX(0,(Inputs!$B$3-100)*3)+Inputs!$B$28+Inputs!$B$29)))</f>
        <v/>
      </c>
      <c r="E322">
        <f>INDEX(FactorTable!$B$2:$Y$301, MATCH(ROUND(MIN(300,MAX(1,D322)),0), FactorTable!$A$2:$A$301,0), Skills!M17+1)</f>
        <v/>
      </c>
      <c r="F322">
        <f>IF(Skills!N17=TRUE,(Skills!L17/10)*(E322/1000),Skills!L17/10)+Skills!O17</f>
        <v/>
      </c>
      <c r="G322">
        <f>Skills!G17*IF(Skills!H17&gt;0,Skills!I17/Skills!H17,1)</f>
        <v/>
      </c>
      <c r="H322">
        <f>1-(1-Skills!J17/100)^Skills!K17</f>
        <v/>
      </c>
      <c r="I322" t="inlineStr">
        <is>
          <t>1</t>
        </is>
      </c>
      <c r="J322" t="inlineStr"/>
      <c r="K322" t="inlineStr"/>
      <c r="L322" t="inlineStr"/>
      <c r="M322" t="inlineStr"/>
      <c r="N322" t="inlineStr"/>
      <c r="O322">
        <f>(1-Summary!$B$11)*T322+Summary!$B$11*V322</f>
        <v/>
      </c>
      <c r="P322">
        <f>IF(B341=0,0,O322/B341)</f>
        <v/>
      </c>
      <c r="Q322" t="n">
        <v>0</v>
      </c>
      <c r="R322" t="n">
        <v>0</v>
      </c>
      <c r="S322">
        <f>IFERROR(O322/N322,0)</f>
        <v/>
      </c>
      <c r="T322" t="n">
        <v>0</v>
      </c>
      <c r="V322" t="n">
        <v>0</v>
      </c>
    </row>
    <row r="323">
      <c r="A323">
        <f>Skills!A18</f>
        <v/>
      </c>
      <c r="B323">
        <f>Skills!B18</f>
        <v/>
      </c>
      <c r="C323">
        <f>Inputs!$B$3&gt;=33</f>
        <v/>
      </c>
      <c r="D323">
        <f>IF(Skills!C18=1,60+Inputs!$B$25+Inputs!$B$29,IF(Skills!C18=2,90+Inputs!$B$26+Inputs!$B$29,IF(Skills!C18=3,120+Inputs!$B$27+Inputs!$B$29,MAX(0,(Inputs!$B$3-100)*3)+Inputs!$B$28+Inputs!$B$29)))</f>
        <v/>
      </c>
      <c r="E323">
        <f>INDEX(FactorTable!$B$2:$Y$301, MATCH(ROUND(MIN(300,MAX(1,D323)),0), FactorTable!$A$2:$A$301,0), Skills!M18+1)</f>
        <v/>
      </c>
      <c r="F323">
        <f>IF(Skills!N18=TRUE,(Skills!L18/10)*(E323/1000),Skills!L18/10)+Skills!O18</f>
        <v/>
      </c>
      <c r="G323">
        <f>Skills!G18*IF(Skills!H18&gt;0,Skills!I18/Skills!H18,1)</f>
        <v/>
      </c>
      <c r="H323">
        <f>1-(1-Skills!J18/100)^Skills!K18</f>
        <v/>
      </c>
      <c r="I323" t="inlineStr">
        <is>
          <t>1</t>
        </is>
      </c>
      <c r="J323" t="inlineStr"/>
      <c r="K323" t="inlineStr"/>
      <c r="L323" t="inlineStr"/>
      <c r="M323" t="inlineStr"/>
      <c r="N323" t="inlineStr"/>
      <c r="O323">
        <f>(1-Summary!$B$11)*T323+Summary!$B$11*V323</f>
        <v/>
      </c>
      <c r="P323">
        <f>IF(B341=0,0,O323/B341)</f>
        <v/>
      </c>
      <c r="Q323" t="n">
        <v>0</v>
      </c>
      <c r="R323" t="n">
        <v>0</v>
      </c>
      <c r="S323">
        <f>IFERROR(O323/N323,0)</f>
        <v/>
      </c>
      <c r="T323" t="n">
        <v>0</v>
      </c>
      <c r="V323" t="n">
        <v>0</v>
      </c>
    </row>
    <row r="324">
      <c r="A324">
        <f>Skills!A19</f>
        <v/>
      </c>
      <c r="B324">
        <f>Skills!B19</f>
        <v/>
      </c>
      <c r="C324">
        <f>Inputs!$B$3&gt;=40</f>
        <v/>
      </c>
      <c r="D324">
        <f>IF(Skills!C19=1,60+Inputs!$B$25+Inputs!$B$29,IF(Skills!C19=2,90+Inputs!$B$26+Inputs!$B$29,IF(Skills!C19=3,120+Inputs!$B$27+Inputs!$B$29,MAX(0,(Inputs!$B$3-100)*3)+Inputs!$B$28+Inputs!$B$29)))</f>
        <v/>
      </c>
      <c r="E324">
        <f>INDEX(FactorTable!$B$2:$Y$301, MATCH(ROUND(MIN(300,MAX(1,D324)),0), FactorTable!$A$2:$A$301,0), Skills!M19+1)</f>
        <v/>
      </c>
      <c r="F324">
        <f>IF(Skills!N19=TRUE,(Skills!L19/10)*(E324/1000),Skills!L19/10)+Skills!O19</f>
        <v/>
      </c>
      <c r="G324">
        <f>Skills!G19*IF(Skills!H19&gt;0,Skills!I19/Skills!H19,1)</f>
        <v/>
      </c>
      <c r="H324">
        <f>1-(1-Skills!J19/100)^Skills!K19</f>
        <v/>
      </c>
      <c r="I324" t="inlineStr">
        <is>
          <t>1</t>
        </is>
      </c>
      <c r="J324" t="inlineStr"/>
      <c r="K324" t="inlineStr"/>
      <c r="L324" t="inlineStr"/>
      <c r="M324" t="inlineStr"/>
      <c r="N324" t="inlineStr"/>
      <c r="O324">
        <f>(1-Summary!$B$11)*T324+Summary!$B$11*V324</f>
        <v/>
      </c>
      <c r="P324">
        <f>IF(B341=0,0,O324/B341)</f>
        <v/>
      </c>
      <c r="Q324" t="n">
        <v>0</v>
      </c>
      <c r="R324" t="n">
        <v>0</v>
      </c>
      <c r="S324">
        <f>IFERROR(O324/N324,0)</f>
        <v/>
      </c>
      <c r="T324" t="n">
        <v>0</v>
      </c>
      <c r="V324" t="n">
        <v>0</v>
      </c>
    </row>
    <row r="325">
      <c r="A325">
        <f>Skills!A20</f>
        <v/>
      </c>
      <c r="B325">
        <f>Skills!B20</f>
        <v/>
      </c>
      <c r="C325">
        <f>Inputs!$B$3&gt;=43</f>
        <v/>
      </c>
      <c r="D325">
        <f>IF(Skills!C20=1,60+Inputs!$B$25+Inputs!$B$29,IF(Skills!C20=2,90+Inputs!$B$26+Inputs!$B$29,IF(Skills!C20=3,120+Inputs!$B$27+Inputs!$B$29,MAX(0,(Inputs!$B$3-100)*3)+Inputs!$B$28+Inputs!$B$29)))</f>
        <v/>
      </c>
      <c r="E325">
        <f>INDEX(FactorTable!$B$2:$Y$301, MATCH(ROUND(MIN(300,MAX(1,D325)),0), FactorTable!$A$2:$A$301,0), Skills!M20+1)</f>
        <v/>
      </c>
      <c r="F325">
        <f>IF(Skills!N20=TRUE,(Skills!L20/10)*(E325/1000),Skills!L20/10)+Skills!O20</f>
        <v/>
      </c>
      <c r="G325">
        <f>Skills!G20*IF(Skills!H20&gt;0,Skills!I20/Skills!H20,1)</f>
        <v/>
      </c>
      <c r="H325">
        <f>1-(1-Skills!J20/100)^Skills!K20</f>
        <v/>
      </c>
      <c r="I325" t="inlineStr">
        <is>
          <t>1</t>
        </is>
      </c>
      <c r="J325" t="inlineStr"/>
      <c r="K325" t="inlineStr"/>
      <c r="L325" t="inlineStr"/>
      <c r="M325" t="inlineStr"/>
      <c r="N325" t="inlineStr"/>
      <c r="O325">
        <f>(1-Summary!$B$11)*T325+Summary!$B$11*V325</f>
        <v/>
      </c>
      <c r="P325">
        <f>IF(B341=0,0,O325/B341)</f>
        <v/>
      </c>
      <c r="Q325" t="n">
        <v>0</v>
      </c>
      <c r="R325" t="n">
        <v>0</v>
      </c>
      <c r="S325">
        <f>IFERROR(O325/N325,0)</f>
        <v/>
      </c>
      <c r="T325" t="n">
        <v>0</v>
      </c>
      <c r="V325" t="n">
        <v>0</v>
      </c>
    </row>
    <row r="326">
      <c r="A326">
        <f>Skills!A21</f>
        <v/>
      </c>
      <c r="B326">
        <f>Skills!B21</f>
        <v/>
      </c>
      <c r="C326">
        <f>Inputs!$B$3&gt;=38</f>
        <v/>
      </c>
      <c r="D326">
        <f>IF(Skills!C21=1,60+Inputs!$B$25+Inputs!$B$29,IF(Skills!C21=2,90+Inputs!$B$26+Inputs!$B$29,IF(Skills!C21=3,120+Inputs!$B$27+Inputs!$B$29,MAX(0,(Inputs!$B$3-100)*3)+Inputs!$B$28+Inputs!$B$29)))</f>
        <v/>
      </c>
      <c r="E326">
        <f>INDEX(FactorTable!$B$2:$Y$301, MATCH(ROUND(MIN(300,MAX(1,D326)),0), FactorTable!$A$2:$A$301,0), Skills!M21+1)</f>
        <v/>
      </c>
      <c r="F326">
        <f>IF(Skills!N21=TRUE,(Skills!L21/10)*(E326/1000),Skills!L21/10)+Skills!O21</f>
        <v/>
      </c>
      <c r="G326">
        <f>Skills!G21*IF(Skills!H21&gt;0,Skills!I21/Skills!H21,1)</f>
        <v/>
      </c>
      <c r="H326">
        <f>1-(1-Skills!J21/100)^Skills!K21</f>
        <v/>
      </c>
      <c r="I326" t="inlineStr">
        <is>
          <t>1</t>
        </is>
      </c>
      <c r="J326" t="inlineStr"/>
      <c r="K326" t="inlineStr"/>
      <c r="L326" t="inlineStr"/>
      <c r="M326" t="inlineStr"/>
      <c r="N326" t="inlineStr"/>
      <c r="O326">
        <f>(1-Summary!$B$11)*T326+Summary!$B$11*V326</f>
        <v/>
      </c>
      <c r="P326">
        <f>IF(B341=0,0,O326/B341)</f>
        <v/>
      </c>
      <c r="Q326" t="n">
        <v>0</v>
      </c>
      <c r="R326" t="n">
        <v>0</v>
      </c>
      <c r="S326">
        <f>IFERROR(O326/N326,0)</f>
        <v/>
      </c>
      <c r="T326" t="n">
        <v>0</v>
      </c>
      <c r="V326" t="n">
        <v>0</v>
      </c>
    </row>
    <row r="327">
      <c r="A327">
        <f>Skills!A22</f>
        <v/>
      </c>
      <c r="B327">
        <f>Skills!B22</f>
        <v/>
      </c>
      <c r="C327">
        <f>Inputs!$B$3&gt;=75</f>
        <v/>
      </c>
      <c r="D327">
        <f>IF(Skills!C22=1,60+Inputs!$B$25+Inputs!$B$29,IF(Skills!C22=2,90+Inputs!$B$26+Inputs!$B$29,IF(Skills!C22=3,120+Inputs!$B$27+Inputs!$B$29,MAX(0,(Inputs!$B$3-100)*3)+Inputs!$B$28+Inputs!$B$29)))</f>
        <v/>
      </c>
      <c r="E327">
        <f>INDEX(FactorTable!$B$2:$Y$301, MATCH(ROUND(MIN(300,MAX(1,D327)),0), FactorTable!$A$2:$A$301,0), Skills!M22+1)</f>
        <v/>
      </c>
      <c r="F327">
        <f>IF(Skills!N22=TRUE,(Skills!L22/10)*(E327/1000),Skills!L22/10)+Skills!O22</f>
        <v/>
      </c>
      <c r="G327">
        <f>Skills!G22*IF(Skills!H22&gt;0,Skills!I22/Skills!H22,1)</f>
        <v/>
      </c>
      <c r="H327">
        <f>1-(1-Skills!J22/100)^Skills!K22</f>
        <v/>
      </c>
      <c r="I327" t="inlineStr">
        <is>
          <t>1</t>
        </is>
      </c>
      <c r="J327" t="inlineStr"/>
      <c r="K327" t="inlineStr"/>
      <c r="L327" t="inlineStr"/>
      <c r="M327" t="inlineStr"/>
      <c r="N327" t="inlineStr"/>
      <c r="O327">
        <f>(1-Summary!$B$11)*T327+Summary!$B$11*V327</f>
        <v/>
      </c>
      <c r="P327">
        <f>IF(B341=0,0,O327/B341)</f>
        <v/>
      </c>
      <c r="Q327" t="n">
        <v>0</v>
      </c>
      <c r="R327" t="n">
        <v>0</v>
      </c>
      <c r="S327">
        <f>IFERROR(O327/N327,0)</f>
        <v/>
      </c>
      <c r="T327" t="n">
        <v>0</v>
      </c>
      <c r="V327" t="n">
        <v>0</v>
      </c>
    </row>
    <row r="328">
      <c r="A328">
        <f>Skills!A23</f>
        <v/>
      </c>
      <c r="B328">
        <f>Skills!B23</f>
        <v/>
      </c>
      <c r="C328">
        <f>TRUE</f>
        <v/>
      </c>
      <c r="D328">
        <f>IF(Skills!C23=1,60+Inputs!$B$25+Inputs!$B$29,IF(Skills!C23=2,90+Inputs!$B$26+Inputs!$B$29,IF(Skills!C23=3,120+Inputs!$B$27+Inputs!$B$29,MAX(0,(Inputs!$B$3-100)*3)+Inputs!$B$28+Inputs!$B$29)))</f>
        <v/>
      </c>
      <c r="E328">
        <f>INDEX(FactorTable!$B$2:$Y$301, MATCH(ROUND(MIN(300,MAX(1,D328)),0), FactorTable!$A$2:$A$301,0), Skills!M23+1)</f>
        <v/>
      </c>
      <c r="F328">
        <f>IF(Skills!N23=TRUE,(Skills!L23/10)*(E328/1000),Skills!L23/10)+Skills!O23</f>
        <v/>
      </c>
      <c r="G328">
        <f>Skills!G23*IF(Skills!H23&gt;0,Skills!I23/Skills!H23,1)</f>
        <v/>
      </c>
      <c r="H328">
        <f>1-(1-Skills!J23/100)^Skills!K23</f>
        <v/>
      </c>
      <c r="I328" t="inlineStr">
        <is>
          <t>1</t>
        </is>
      </c>
      <c r="J328" t="inlineStr"/>
      <c r="K328" t="inlineStr"/>
      <c r="L328" t="inlineStr"/>
      <c r="M328" t="inlineStr"/>
      <c r="N328" t="inlineStr"/>
      <c r="O328">
        <f>(1-Summary!$B$11)*T328+Summary!$B$11*V328</f>
        <v/>
      </c>
      <c r="P328">
        <f>IF(B341=0,0,O328/B341)</f>
        <v/>
      </c>
      <c r="Q328">
        <f>IFERROR(1/(IF(Inputs!$B$38="pvp",15,MAX(0.1,Skills!D23-IF(Skills!E23=TRUE,Inputs!$B$32,0)))*(1-IF(AND(ArtifactsInput!$M$27,Inputs!$B$4="Chapter Hunt"),CHOOSE(ArtifactsInput!$N$27+1,20,24,28,32,36,40),0)/100)),0)</f>
        <v/>
      </c>
      <c r="R328">
        <f>IF(AND(Inputs!$B$38&lt;&gt;"pvp",Inputs!$B$43&gt;0),IF(Inputs!$B$43&lt;=0,0,(INT(Inputs!$B$43/(IF(Inputs!$B$38="pvp",15,MAX(0.1,Skills!D23-IF(Skills!E23=TRUE,Inputs!$B$32,0)))*(1-IF(AND(ArtifactsInput!$M$27,Inputs!$B$4="Chapter Hunt"),CHOOSE(ArtifactsInput!$N$27+1,20,24,28,32,36,40),0)/100)))+1)),0)</f>
        <v/>
      </c>
      <c r="S328">
        <f>IFERROR(O328/N328,0)</f>
        <v/>
      </c>
      <c r="T328" t="n">
        <v>0</v>
      </c>
      <c r="V328" t="n">
        <v>0</v>
      </c>
    </row>
    <row r="330">
      <c r="A330" t="inlineStr">
        <is>
          <t>Attack% Bucket Multiplier</t>
        </is>
      </c>
      <c r="B330">
        <f>(1+(((C318=TRUE)*F318*5/7)+((C324=TRUE)*(F324-Calc!F19))+(IF(ArtifactsInput!$M$21,CHOOSE(ArtifactsInput!$N$21+1,25,30,35,40,45,50)*(IF(OR(Inputs!$B$4="Chapter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1">
      <c r="A331" t="inlineStr">
        <is>
          <t>Global Crit Rate Bonus %</t>
        </is>
      </c>
      <c r="B331" t="n">
        <v>0</v>
      </c>
    </row>
    <row r="332">
      <c r="A332" t="inlineStr">
        <is>
          <t>Attack Speed Buff Bonus % (Nimble Feet, duty-cycle averaged)</t>
        </is>
      </c>
      <c r="B332">
        <f>((C328=TRUE)*F328*IF(AND(Inputs!$B$38&lt;&gt;"pvp",Inputs!$B$43&gt;0),(((R328-1)*(Skills!T23*(1+Inputs!$B$34/100))+MIN((Skills!T23*(1+Inputs!$B$34/100)),MAX(0,Inputs!$B$43-((R328-1)*Skills!D23))))/Inputs!$B$43),IF(Inputs!$B$38="pvp",MIN((Skills!T23*(1+Inputs!$B$34/100)),15)/15,(Skills!T23*(1+Inputs!$B$34/100))/Skills!D23)))</f>
        <v/>
      </c>
    </row>
    <row r="333">
      <c r="A333" t="inlineStr">
        <is>
          <t>Actions Per Second</t>
        </is>
      </c>
      <c r="B333">
        <f>1+MIN(150,150*(1-(1-(Inputs!$B$11+((C322=TRUE)*(F322-Calc!F17))+((C323=TRUE)*(F323-Calc!F18)))/150)*(1-B332/150)))/100</f>
        <v/>
      </c>
    </row>
    <row r="334">
      <c r="A334" t="inlineStr">
        <is>
          <t>Skill + Buff Cast Rate</t>
        </is>
      </c>
      <c r="B334">
        <f>IF(AND(Inputs!$B$38&lt;&gt;"pvp",Inputs!$B$43&gt;0),SUMPRODUCT((Skills!E2:E23=TRUE)*(C307:C328=TRUE)*R307:R328*Skills!F2:F23)/Inputs!$B$43,SUMPRODUCT((Skills!E2:E23=TRUE)*(C307:C328=TRUE)*Q307:Q328*Skills!F2:F23))</f>
        <v/>
      </c>
    </row>
    <row r="335">
      <c r="A335" t="inlineStr">
        <is>
          <t>Hook Bomber Casts Per Second</t>
        </is>
      </c>
      <c r="B335">
        <f>MAX(0,B333-B334)</f>
        <v/>
      </c>
    </row>
    <row r="336">
      <c r="A336" t="inlineStr">
        <is>
          <t>Global Critical Damage Bonus % (unused)</t>
        </is>
      </c>
      <c r="B336" t="n">
        <v>0</v>
      </c>
    </row>
    <row r="337">
      <c r="A337" t="inlineStr">
        <is>
          <t>Global Final Damage Bonus % (Serpent Scale + Crossbones + Time Leap + Speed Infusion)</t>
        </is>
      </c>
      <c r="B337">
        <f>((C310=TRUE)*F310*((10+IF(Inputs!$B$3&gt;=94,5,0))/((10+IF(Inputs!$B$3&gt;=94,5,0))+5/(B335*(1+IF(Inputs!$B$3&gt;=104,1,0))))))+((C319=TRUE)*F319*IF(AND(Inputs!$B$38&lt;&gt;"pvp",Inputs!$B$43&gt;0),(((R319-1)*(Skills!T14*(1+Inputs!$B$34/100))+MIN((Skills!T14*(1+Inputs!$B$34/100)),MAX(0,Inputs!$B$43-((R319-1)*Skills!D14))))/Inputs!$B$43),IF(Inputs!$B$38="pvp",MIN((Skills!T14*(1+Inputs!$B$34/100)),15)/15,(Skills!T14*(1+Inputs!$B$34/100))/Skills!D14)))+((C320=TRUE)*F320*IF(AND(Inputs!$B$38&lt;&gt;"pvp",Inputs!$B$43&gt;0),(((R320-1)*(Skills!T15*(1+Inputs!$B$34/100))+MIN((Skills!T15*(1+Inputs!$B$34/100)),MAX(0,Inputs!$B$43-((R320-1)*Skills!D15))))/Inputs!$B$43),IF(Inputs!$B$38="pvp",MIN((Skills!T15*(1+Inputs!$B$34/100)),15)/15,(Skills!T15*(1+Inputs!$B$34/100))/Skills!D15)))+((Inputs!$B$3&gt;=110)*20*(B333-1)*IF(Inputs!$B$38="pvp",MIN((15*(1+Inputs!$B$34/100)),15)/15,(15*(1+Inputs!$B$34/100))/35))</f>
        <v/>
      </c>
    </row>
    <row r="338">
      <c r="A338" t="inlineStr">
        <is>
          <t>Buff-Casting Startup Delay (s, fixed-duration only)</t>
        </is>
      </c>
      <c r="B338">
        <f>IF(AND(Inputs!$B$38&lt;&gt;"pvp",Inputs!$B$43&gt;0),SUMPRODUCT((Skills!T2:T23&gt;0)*(Skills!E2:E23=TRUE)*(C307:C328=TRUE))/B333,0)</f>
        <v/>
      </c>
    </row>
    <row r="339">
      <c r="A339" t="inlineStr">
        <is>
          <t>Boss-Only Total DPS (this block's swept value)</t>
        </is>
      </c>
      <c r="B339">
        <f>SUM(T307:T328)</f>
        <v/>
      </c>
    </row>
    <row r="340">
      <c r="A340" t="inlineStr">
        <is>
          <t>Normal-Only Total DPS (this block's swept value)</t>
        </is>
      </c>
      <c r="B340">
        <f>SUM(V307:V328)</f>
        <v/>
      </c>
    </row>
    <row r="341">
      <c r="A341" s="6" t="inlineStr">
        <is>
          <t>TOTAL DPS</t>
        </is>
      </c>
      <c r="B341" s="6">
        <f>SUM(O307:O328)</f>
        <v/>
      </c>
    </row>
    <row r="344">
      <c r="A344" s="6" t="inlineStr">
        <is>
          <t>Stat: FINAL_DAMAGE % (multiplicative source)</t>
        </is>
      </c>
    </row>
    <row r="345">
      <c r="A345" s="5" t="inlineStr">
        <is>
          <t>Key</t>
        </is>
      </c>
      <c r="B345" s="5" t="inlineStr">
        <is>
          <t>Name</t>
        </is>
      </c>
      <c r="C345" s="5" t="inlineStr">
        <is>
          <t>Unlocked</t>
        </is>
      </c>
      <c r="D345" s="5" t="inlineStr">
        <is>
          <t>InputLevel</t>
        </is>
      </c>
      <c r="E345" s="5" t="inlineStr">
        <is>
          <t>Factor</t>
        </is>
      </c>
      <c r="F345" s="5" t="inlineStr">
        <is>
          <t>CoefficientPercent</t>
        </is>
      </c>
      <c r="G345" s="5" t="inlineStr">
        <is>
          <t>EffectiveHits</t>
        </is>
      </c>
      <c r="H345" s="5" t="inlineStr">
        <is>
          <t>ProcProbability</t>
        </is>
      </c>
      <c r="I345" s="5" t="inlineStr">
        <is>
          <t>MapleHeroMultiplier</t>
        </is>
      </c>
      <c r="J345" s="5" t="inlineStr">
        <is>
          <t>BaseDamage</t>
        </is>
      </c>
      <c r="K345" s="5" t="inlineStr">
        <is>
          <t>BaseHitDamage</t>
        </is>
      </c>
      <c r="L345" s="5" t="inlineStr">
        <is>
          <t>NonCritAvg</t>
        </is>
      </c>
      <c r="M345" s="5" t="inlineStr">
        <is>
          <t>CritAvg</t>
        </is>
      </c>
      <c r="N345" s="5" t="inlineStr">
        <is>
          <t>ExpectedDamage(perHit)</t>
        </is>
      </c>
      <c r="O345" s="5" t="inlineStr">
        <is>
          <t>DPS</t>
        </is>
      </c>
      <c r="P345" s="5" t="inlineStr">
        <is>
          <t>% of Total</t>
        </is>
      </c>
      <c r="Q345" s="5" t="inlineStr">
        <is>
          <t>InvCooldown</t>
        </is>
      </c>
      <c r="R345" s="5" t="inlineStr">
        <is>
          <t>CastsInFight</t>
        </is>
      </c>
      <c r="S345" s="5" t="inlineStr">
        <is>
          <t>HitRate(perSec)</t>
        </is>
      </c>
      <c r="U345" t="inlineStr">
        <is>
          <t>helpers</t>
        </is>
      </c>
    </row>
    <row r="346">
      <c r="A346">
        <f>Skills!A2</f>
        <v/>
      </c>
      <c r="B346">
        <f>Skills!B2</f>
        <v/>
      </c>
      <c r="C346">
        <f>Inputs!$B$3&gt;=100</f>
        <v/>
      </c>
      <c r="D346" t="inlineStr"/>
      <c r="E346" t="inlineStr"/>
      <c r="F346">
        <f>U348+Skills!O2</f>
        <v/>
      </c>
      <c r="G346">
        <f>Skills!G2*IF(Skills!H2&gt;0,Skills!I2/Skills!H2,1)</f>
        <v/>
      </c>
      <c r="H346">
        <f>1-(1-Skills!J2/100)^Skills!K2</f>
        <v/>
      </c>
      <c r="I346" t="inlineStr">
        <is>
          <t>1</t>
        </is>
      </c>
      <c r="J346">
        <f>((Inputs!$B$6*(1+Inputs!$B$7/100))+(((Inputs!$B$12*(1+Inputs!$B$13/100))-(Inputs!$B$12*(1+Inputs!$B$13/100)))+0.25*(Inputs!$B$14-Inputs!$B$14))*(1+Inputs!$B$7/100))*(F346/100)</f>
        <v/>
      </c>
      <c r="K346">
        <f>J346*(1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346)</f>
        <v/>
      </c>
      <c r="L346">
        <f>K346*(MIN(Inputs!$B$22+((C364=TRUE)*(F364-Calc!F20)),(Inputs!$B$23+0+(IF(ArtifactsInput!$M$15,CHOOSE(ArtifactsInput!$N$15+1,25,30,35,40,45,50)/100*(Inputs!$B$11-Inputs!$B$11),0))))/100+(Inputs!$B$23+0+(IF(ArtifactsInput!$M$15,CHOOSE(ArtifactsInput!$N$15+1,25,30,35,40,45,50)/100*(Inputs!$B$11-Inputs!$B$11),0)))/100)/2</f>
        <v/>
      </c>
      <c r="M346">
        <f>L346*(1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6">
        <f>L346*(1-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346*(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6">
        <f>(1-Summary!$B$11)*T346+Summary!$B$11*V346</f>
        <v/>
      </c>
      <c r="P346">
        <f>IF(B380=0,0,O346/B380)</f>
        <v/>
      </c>
      <c r="Q346" t="n">
        <v>0</v>
      </c>
      <c r="R346" t="n">
        <v>0</v>
      </c>
      <c r="S346">
        <f>IFERROR(O346/N346,0)</f>
        <v/>
      </c>
      <c r="T346">
        <f>IF(C346,(Skills!G2*N346*B374)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346*(1-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346*(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346*(1-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346*(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6">
        <f>MAX(0,(Inputs!$B$3-100)*3)+Inputs!$B$28+Inputs!$B$29</f>
        <v/>
      </c>
      <c r="V346">
        <f>IF(C346,(Skills!G2*N346*B374)*IF(Inputs!$B$38="pvp",1,(1+(Inputs!$B$21+Skills!Q2+(IF(ArtifactsInput!$M$33,CHOOSE(ArtifactsInput!$N$33+1,30,36,42,48,54,60),0))+(IF(AND(ArtifactsInput!$M$35,Inputs!$B$4&lt;&gt;"Chapter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7">
      <c r="A347">
        <f>Skills!A3</f>
        <v/>
      </c>
      <c r="B347">
        <f>Skills!B3</f>
        <v/>
      </c>
      <c r="C347">
        <f>Inputs!$B$3&gt;=35</f>
        <v/>
      </c>
      <c r="D347">
        <f>IF(Skills!C3=1,60+Inputs!$B$25+Inputs!$B$29,IF(Skills!C3=2,90+Inputs!$B$26+Inputs!$B$29,IF(Skills!C3=3,120+Inputs!$B$27+Inputs!$B$29,MAX(0,(Inputs!$B$3-100)*3)+Inputs!$B$28+Inputs!$B$29)))</f>
        <v/>
      </c>
      <c r="E347">
        <f>INDEX(FactorTable!$B$2:$Y$301, MATCH(ROUND(MIN(300,MAX(1,D347)),0), FactorTable!$A$2:$A$301,0), Skills!M3+1)</f>
        <v/>
      </c>
      <c r="F347">
        <f>IF(Skills!N3=TRUE,(Skills!L3/10)*(E347/1000),Skills!L3/10)+Skills!O3</f>
        <v/>
      </c>
      <c r="G347">
        <f>Skills!G3*IF(Skills!H3&gt;0,Skills!I3/Skills!H3,1)</f>
        <v/>
      </c>
      <c r="H347">
        <f>1-(1-Skills!J3/100)^Skills!K3</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364=TRUE)*(F364-Calc!F20)),(Inputs!$B$23+0+(IF(ArtifactsInput!$M$15,CHOOSE(ArtifactsInput!$N$15+1,25,30,35,40,45,50)/100*(Inputs!$B$11-Inputs!$B$11),0))))/100+(Inputs!$B$23+0+(IF(ArtifactsInput!$M$15,CHOOSE(ArtifactsInput!$N$15+1,25,30,35,40,45,50)/100*(Inputs!$B$11-Inputs!$B$11),0)))/100)/2</f>
        <v/>
      </c>
      <c r="M347">
        <f>L347*(1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IF(B380=0,0,O347/B380)</f>
        <v/>
      </c>
      <c r="Q347" t="n">
        <v>0</v>
      </c>
      <c r="R347" t="n">
        <v>0</v>
      </c>
      <c r="S347">
        <f>IFERROR(O347/N347,0)</f>
        <v/>
      </c>
      <c r="T347">
        <f>IF(C347,(Skills!G3*H347*N347*B374)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7">
        <f>INDEX(FactorTable!$B$2:$Y$301, MATCH(ROUND(MIN(300,MAX(1,U346)),0), FactorTable!$A$2:$A$301,0), 22)</f>
        <v/>
      </c>
      <c r="V347">
        <f>IF(C347,(Skills!G3*H347*N347*B374)*IF(Inputs!$B$38="pvp",1,(1+(Inputs!$B$21+Skills!Q3+(IF(ArtifactsInput!$M$33,CHOOSE(ArtifactsInput!$N$33+1,30,36,42,48,54,60),0))+(IF(AND(ArtifactsInput!$M$35,Inputs!$B$4&lt;&gt;"Chapter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Skills!A4</f>
        <v/>
      </c>
      <c r="B348">
        <f>Skills!B4</f>
        <v/>
      </c>
      <c r="C348">
        <f>Inputs!$B$3&gt;=60</f>
        <v/>
      </c>
      <c r="D348">
        <f>IF(Skills!C4=1,60+Inputs!$B$25+Inputs!$B$29,IF(Skills!C4=2,90+Inputs!$B$26+Inputs!$B$29,IF(Skills!C4=3,120+Inputs!$B$27+Inputs!$B$29,MAX(0,(Inputs!$B$3-100)*3)+Inputs!$B$28+Inputs!$B$29)))</f>
        <v/>
      </c>
      <c r="E348">
        <f>INDEX(FactorTable!$B$2:$Y$301, MATCH(ROUND(MIN(300,MAX(1,D348)),0), FactorTable!$A$2:$A$301,0), Skills!M4+1)</f>
        <v/>
      </c>
      <c r="F348">
        <f>IF(Skills!N4=TRUE,(Skills!L4/10)*(E348/1000),Skills!L4/10)+Skills!O4</f>
        <v/>
      </c>
      <c r="G348">
        <f>Skills!G4*IF(Skills!H4&gt;0,Skills!I4/Skills!H4,1)</f>
        <v/>
      </c>
      <c r="H348">
        <f>1-(1-Skills!J4/100)^Skills!K4</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356=TRUE,F356,0)/100)*(1+(IF(Skills!A4="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364=TRUE)*(F364-Calc!F20)),(Inputs!$B$23+0+(IF(ArtifactsInput!$M$15,CHOOSE(ArtifactsInput!$N$15+1,25,30,35,40,45,50)/100*(Inputs!$B$11-Inputs!$B$11),0))))/100+(Inputs!$B$23+0+(IF(ArtifactsInput!$M$15,CHOOSE(ArtifactsInput!$N$15+1,25,30,35,40,45,50)/100*(Inputs!$B$11-Inputs!$B$11),0)))/100)/2</f>
        <v/>
      </c>
      <c r="M348">
        <f>L348*(1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IF(B380=0,0,O348/B380)</f>
        <v/>
      </c>
      <c r="Q348" t="n">
        <v>0</v>
      </c>
      <c r="R348" t="n">
        <v>0</v>
      </c>
      <c r="S348">
        <f>IFERROR(O348/N348,0)</f>
        <v/>
      </c>
      <c r="T348">
        <f>IF(C348,(Skills!G4*H348*N348*B374)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8">
        <f>290*U347/1000</f>
        <v/>
      </c>
      <c r="V348">
        <f>IF(C348,(Skills!G4*H348*N348*B374)*IF(Inputs!$B$38="pvp",1,(1+(Inputs!$B$21+Skills!Q4+(IF(ArtifactsInput!$M$33,CHOOSE(ArtifactsInput!$N$33+1,30,36,42,48,54,60),0))+(IF(AND(ArtifactsInput!$M$35,Inputs!$B$4&lt;&gt;"Chapter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Skills!A5</f>
        <v/>
      </c>
      <c r="B349">
        <f>Skills!B5</f>
        <v/>
      </c>
      <c r="C349">
        <f>Inputs!$B$3&gt;=60</f>
        <v/>
      </c>
      <c r="D349">
        <f>IF(Skills!C5=1,60+Inputs!$B$25+Inputs!$B$29,IF(Skills!C5=2,90+Inputs!$B$26+Inputs!$B$29,IF(Skills!C5=3,120+Inputs!$B$27+Inputs!$B$29,MAX(0,(Inputs!$B$3-100)*3)+Inputs!$B$28+Inputs!$B$29)))</f>
        <v/>
      </c>
      <c r="E349">
        <f>INDEX(FactorTable!$B$2:$Y$301, MATCH(ROUND(MIN(300,MAX(1,D349)),0), FactorTable!$A$2:$A$301,0), Skills!M5+1)</f>
        <v/>
      </c>
      <c r="F349">
        <f>IF(Skills!N5=TRUE,(Skills!L5/10)*(E349/1000),Skills!L5/10)+Skills!O5</f>
        <v/>
      </c>
      <c r="G349">
        <f>Skills!G5*IF(Skills!H5&gt;0,Skills!I5/Skills!H5,1)</f>
        <v/>
      </c>
      <c r="H349">
        <f>1-(1-Skills!J5/100)^Skills!K5</f>
        <v/>
      </c>
      <c r="I349" t="inlineStr">
        <is>
          <t>1</t>
        </is>
      </c>
      <c r="J349" t="inlineStr"/>
      <c r="K349" t="inlineStr"/>
      <c r="L349" t="inlineStr"/>
      <c r="M349" t="inlineStr"/>
      <c r="N349" t="inlineStr"/>
      <c r="O349">
        <f>(1-Summary!$B$11)*T349+Summary!$B$11*V349</f>
        <v/>
      </c>
      <c r="P349">
        <f>IF(B380=0,0,O349/B380)</f>
        <v/>
      </c>
      <c r="Q349" t="n">
        <v>0</v>
      </c>
      <c r="R349" t="n">
        <v>0</v>
      </c>
      <c r="S349">
        <f>IFERROR(O349/N349,0)</f>
        <v/>
      </c>
      <c r="T349" t="n">
        <v>0</v>
      </c>
      <c r="V349" t="n">
        <v>0</v>
      </c>
    </row>
    <row r="350">
      <c r="A350">
        <f>Skills!A6</f>
        <v/>
      </c>
      <c r="B350">
        <f>Skills!B6</f>
        <v/>
      </c>
      <c r="C350">
        <f>Inputs!$B$3&gt;=63</f>
        <v/>
      </c>
      <c r="D350">
        <f>IF(Skills!C6=1,60+Inputs!$B$25+Inputs!$B$29,IF(Skills!C6=2,90+Inputs!$B$26+Inputs!$B$29,IF(Skills!C6=3,120+Inputs!$B$27+Inputs!$B$29,MAX(0,(Inputs!$B$3-100)*3)+Inputs!$B$28+Inputs!$B$29)))</f>
        <v/>
      </c>
      <c r="E350">
        <f>INDEX(FactorTable!$B$2:$Y$301, MATCH(ROUND(MIN(300,MAX(1,D350)),0), FactorTable!$A$2:$A$301,0), Skills!M6+1)</f>
        <v/>
      </c>
      <c r="F350">
        <f>IF(Skills!N6=TRUE,(Skills!L6/10)*(E350/1000),Skills!L6/10)+Skills!O6</f>
        <v/>
      </c>
      <c r="G350">
        <f>Skills!G6*IF(Skills!H6&gt;0,Skills!I6/Skills!H6,1)</f>
        <v/>
      </c>
      <c r="H350">
        <f>1-(1-Skills!J6/100)^Skills!K6</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356=TRUE,F356,0)/100)*(1+(IF(Skills!A6="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364=TRUE)*(F364-Calc!F20)),(Inputs!$B$23+0+(IF(ArtifactsInput!$M$15,CHOOSE(ArtifactsInput!$N$15+1,25,30,35,40,45,50)/100*(Inputs!$B$11-Inputs!$B$11),0))))/100+(Inputs!$B$23+0+(IF(ArtifactsInput!$M$15,CHOOSE(ArtifactsInput!$N$15+1,25,30,35,40,45,50)/100*(Inputs!$B$11-Inputs!$B$11),0)))/100)/2</f>
        <v/>
      </c>
      <c r="M350">
        <f>L350*(1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IF(B380=0,0,O350/B380)</f>
        <v/>
      </c>
      <c r="Q350">
        <f>IFERROR(1/(IF(Inputs!$B$38="pvp",15,MAX(0.1,Skills!D6-IF(Skills!E6=TRUE,Inputs!$B$32,0)))*(1-IF(AND(ArtifactsInput!$M$27,Inputs!$B$4="Chapter Hunt"),CHOOSE(ArtifactsInput!$N$27+1,20,24,28,32,36,40),0)/100)),0)</f>
        <v/>
      </c>
      <c r="R350">
        <f>IF(AND(Inputs!$B$38&lt;&gt;"pvp",Inputs!$B$43&gt;0),IF(MAX(0,Inputs!$B$43-B377)&lt;=0,0,(INT(MAX(0,Inputs!$B$43-B377)/(IF(Inputs!$B$38="pvp",15,MAX(0.1,Skills!D6-IF(Skills!E6=TRUE,Inputs!$B$32,0)))*(1-IF(AND(ArtifactsInput!$M$27,Inputs!$B$4="Chapter Hunt"),CHOOSE(ArtifactsInput!$N$27+1,20,24,28,32,36,40),0)/100)))+1)),0)</f>
        <v/>
      </c>
      <c r="S350">
        <f>IFERROR(O350/N350,0)</f>
        <v/>
      </c>
      <c r="T350">
        <f>IF(C350,(H350*N350*IF(AND(Inputs!$B$38&lt;&gt;"pvp",Inputs!$B$43&gt;0),((Skills!G6*((R350-1)*IF(Skills!H6&gt;0,Skills!I6/Skills!H6,1)+IF(Skills!H6&gt;0,MIN(Skills!I6,MAX(0,MAX(0,Inputs!$B$43-B377)-((R350-1)*(IF(Inputs!$B$38="pvp",15,MAX(0.1,Skills!D6-IF(Skills!E6=TRUE,Inputs!$B$32,0)))*(1-IF(AND(ArtifactsInput!$M$27,Inputs!$B$4="Chapter Hunt"),CHOOSE(ArtifactsInput!$N$27+1,20,24,28,32,36,40),0)/100)))))/Skills!H6,1)))/Inputs!$B$43),G350*Q350)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6*((R350-1)*IF(Skills!H6&gt;0,Skills!I6/Skills!H6,1)+IF(Skills!H6&gt;0,MIN(Skills!I6,MAX(0,MAX(0,Inputs!$B$43-B377)-((R350-1)*(IF(Inputs!$B$38="pvp",15,MAX(0.1,Skills!D6-IF(Skills!E6=TRUE,Inputs!$B$32,0)))*(1-IF(AND(ArtifactsInput!$M$27,Inputs!$B$4="Chapter Hunt"),CHOOSE(ArtifactsInput!$N$27+1,20,24,28,32,36,40),0)/100)))))/Skills!H6,1)))/Inputs!$B$43),G350*Q350))*IF(Inputs!$B$38="pvp",1,(1+(Inputs!$B$21+Skills!Q6+(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Skills!A7</f>
        <v/>
      </c>
      <c r="B351">
        <f>Skills!B7</f>
        <v/>
      </c>
      <c r="C351">
        <f>Inputs!$B$3&gt;=100</f>
        <v/>
      </c>
      <c r="D351">
        <f>IF(Skills!C7=1,60+Inputs!$B$25+Inputs!$B$29,IF(Skills!C7=2,90+Inputs!$B$26+Inputs!$B$29,IF(Skills!C7=3,120+Inputs!$B$27+Inputs!$B$29,MAX(0,(Inputs!$B$3-100)*3)+Inputs!$B$28+Inputs!$B$29)))</f>
        <v/>
      </c>
      <c r="E351">
        <f>INDEX(FactorTable!$B$2:$Y$301, MATCH(ROUND(MIN(300,MAX(1,D351)),0), FactorTable!$A$2:$A$301,0), Skills!M7+1)</f>
        <v/>
      </c>
      <c r="F351">
        <f>IF(Skills!N7=TRUE,(Skills!L7/10)*(E351/1000),Skills!L7/10)+Skills!O7</f>
        <v/>
      </c>
      <c r="G351">
        <f>Skills!G7*IF(Skills!H7&gt;0,Skills!I7/Skills!H7,1)</f>
        <v/>
      </c>
      <c r="H351">
        <f>1-(1-Skills!J7/100)^Skills!K7</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364=TRUE)*(F364-Calc!F20)),(Inputs!$B$23+0+(IF(ArtifactsInput!$M$15,CHOOSE(ArtifactsInput!$N$15+1,25,30,35,40,45,50)/100*(Inputs!$B$11-Inputs!$B$11),0))))/100+(Inputs!$B$23+0+(IF(ArtifactsInput!$M$15,CHOOSE(ArtifactsInput!$N$15+1,25,30,35,40,45,50)/100*(Inputs!$B$11-Inputs!$B$11),0)))/100)/2</f>
        <v/>
      </c>
      <c r="M351">
        <f>L351*(1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IF(B380=0,0,O351/B380)</f>
        <v/>
      </c>
      <c r="Q351">
        <f>IFERROR(1/(IF(Inputs!$B$38="pvp",15,MAX(0.1,Skills!D7-IF(Skills!E7=TRUE,Inputs!$B$32,0)))*(1-IF(AND(ArtifactsInput!$M$27,Inputs!$B$4="Chapter Hunt"),CHOOSE(ArtifactsInput!$N$27+1,20,24,28,32,36,40),0)/100)),0)</f>
        <v/>
      </c>
      <c r="R351">
        <f>IF(AND(Inputs!$B$38&lt;&gt;"pvp",Inputs!$B$43&gt;0),IF(MAX(0,Inputs!$B$43-B377)&lt;=0,0,(INT(MAX(0,Inputs!$B$43-B377)/(IF(Inputs!$B$38="pvp",15,MAX(0.1,Skills!D7-IF(Skills!E7=TRUE,Inputs!$B$32,0)))*(1-IF(AND(ArtifactsInput!$M$27,Inputs!$B$4="Chapter Hunt"),CHOOSE(ArtifactsInput!$N$27+1,20,24,28,32,36,40),0)/100)))+1)),0)</f>
        <v/>
      </c>
      <c r="S351">
        <f>IFERROR(O351/N351,0)</f>
        <v/>
      </c>
      <c r="T351">
        <f>IF(C351,(H351*N351*IF(AND(Inputs!$B$38&lt;&gt;"pvp",Inputs!$B$43&gt;0),((Skills!G7*((R351-1)*IF(Skills!H7&gt;0,Skills!I7/Skills!H7,1)+IF(Skills!H7&gt;0,MIN(Skills!I7,MAX(0,MAX(0,Inputs!$B$43-B377)-((R351-1)*(IF(Inputs!$B$38="pvp",15,MAX(0.1,Skills!D7-IF(Skills!E7=TRUE,Inputs!$B$32,0)))*(1-IF(AND(ArtifactsInput!$M$27,Inputs!$B$4="Chapter Hunt"),CHOOSE(ArtifactsInput!$N$27+1,20,24,28,32,36,40),0)/100)))))/Skills!H7,1)))/Inputs!$B$43),G351*Q351)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H351*N351*IF(AND(Inputs!$B$38&lt;&gt;"pvp",Inputs!$B$43&gt;0),((Skills!G7*((R351-1)*IF(Skills!H7&gt;0,Skills!I7/Skills!H7,1)+IF(Skills!H7&gt;0,MIN(Skills!I7,MAX(0,MAX(0,Inputs!$B$43-B377)-((R351-1)*(IF(Inputs!$B$38="pvp",15,MAX(0.1,Skills!D7-IF(Skills!E7=TRUE,Inputs!$B$32,0)))*(1-IF(AND(ArtifactsInput!$M$27,Inputs!$B$4="Chapter Hunt"),CHOOSE(ArtifactsInput!$N$27+1,20,24,28,32,36,40),0)/100)))))/Skills!H7,1)))/Inputs!$B$43),G351*Q351))*IF(Inputs!$B$38="pvp",1,(1+(Inputs!$B$21+Skills!Q7+(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Skills!A8</f>
        <v/>
      </c>
      <c r="B352">
        <f>Skills!B8</f>
        <v/>
      </c>
      <c r="C352">
        <f>Inputs!$B$3&gt;=110</f>
        <v/>
      </c>
      <c r="D352">
        <f>IF(Skills!C8=1,60+Inputs!$B$25+Inputs!$B$29,IF(Skills!C8=2,90+Inputs!$B$26+Inputs!$B$29,IF(Skills!C8=3,120+Inputs!$B$27+Inputs!$B$29,MAX(0,(Inputs!$B$3-100)*3)+Inputs!$B$28+Inputs!$B$29)))</f>
        <v/>
      </c>
      <c r="E352">
        <f>INDEX(FactorTable!$B$2:$Y$301, MATCH(ROUND(MIN(300,MAX(1,D352)),0), FactorTable!$A$2:$A$301,0), Skills!M8+1)</f>
        <v/>
      </c>
      <c r="F352">
        <f>IF(Skills!N8=TRUE,(Skills!L8/10)*(E352/1000),Skills!L8/10)+Skills!O8</f>
        <v/>
      </c>
      <c r="G352">
        <f>Skills!G8*IF(Skills!H8&gt;0,Skills!I8/Skills!H8,1)</f>
        <v/>
      </c>
      <c r="H352">
        <f>1-(1-Skills!J8/100)^Skills!K8</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364=TRUE)*(F364-Calc!F20)),(Inputs!$B$23+0+(IF(ArtifactsInput!$M$15,CHOOSE(ArtifactsInput!$N$15+1,25,30,35,40,45,50)/100*(Inputs!$B$11-Inputs!$B$11),0))))/100+(Inputs!$B$23+0+(IF(ArtifactsInput!$M$15,CHOOSE(ArtifactsInput!$N$15+1,25,30,35,40,45,50)/100*(Inputs!$B$11-Inputs!$B$11),0)))/100)/2</f>
        <v/>
      </c>
      <c r="M352">
        <f>L352*(1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IF(B380=0,0,O352/B380)</f>
        <v/>
      </c>
      <c r="Q352">
        <f>IFERROR(1/(IF(Inputs!$B$38="pvp",15,MAX(0.1,Skills!D8-IF(Skills!E8=TRUE,Inputs!$B$32,0)))*(1-IF(AND(ArtifactsInput!$M$27,Inputs!$B$4="Chapter Hunt"),CHOOSE(ArtifactsInput!$N$27+1,20,24,28,32,36,40),0)/100)),0)</f>
        <v/>
      </c>
      <c r="R352">
        <f>IF(AND(Inputs!$B$38&lt;&gt;"pvp",Inputs!$B$43&gt;0),IF(MAX(0,Inputs!$B$43-B377)&lt;=0,0,(INT(MAX(0,Inputs!$B$43-B377)/(IF(Inputs!$B$38="pvp",15,MAX(0.1,Skills!D8-IF(Skills!E8=TRUE,Inputs!$B$32,0)))*(1-IF(AND(ArtifactsInput!$M$27,Inputs!$B$4="Chapter Hunt"),CHOOSE(ArtifactsInput!$N$27+1,20,24,28,32,36,40),0)/100)))+1)),0)</f>
        <v/>
      </c>
      <c r="S352">
        <f>IFERROR(O352/N352,0)</f>
        <v/>
      </c>
      <c r="T352">
        <f>IF(C352,(H352*N352*IF(AND(Inputs!$B$38&lt;&gt;"pvp",Inputs!$B$43&gt;0),((Skills!G8*((R352-1)*IF(Skills!H8&gt;0,Skills!I8/Skills!H8,1)+IF(Skills!H8&gt;0,MIN(Skills!I8,MAX(0,MAX(0,Inputs!$B$43-B377)-((R352-1)*(IF(Inputs!$B$38="pvp",15,MAX(0.1,Skills!D8-IF(Skills!E8=TRUE,Inputs!$B$32,0)))*(1-IF(AND(ArtifactsInput!$M$27,Inputs!$B$4="Chapter Hunt"),CHOOSE(ArtifactsInput!$N$27+1,20,24,28,32,36,40),0)/100)))))/Skills!H8,1)))/Inputs!$B$43),G352*Q352)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N352*IF(AND(Inputs!$B$38&lt;&gt;"pvp",Inputs!$B$43&gt;0),((Skills!G8*((R352-1)*IF(Skills!H8&gt;0,Skills!I8/Skills!H8,1)+IF(Skills!H8&gt;0,MIN(Skills!I8,MAX(0,MAX(0,Inputs!$B$43-B377)-((R352-1)*(IF(Inputs!$B$38="pvp",15,MAX(0.1,Skills!D8-IF(Skills!E8=TRUE,Inputs!$B$32,0)))*(1-IF(AND(ArtifactsInput!$M$27,Inputs!$B$4="Chapter Hunt"),CHOOSE(ArtifactsInput!$N$27+1,20,24,28,32,36,40),0)/100)))))/Skills!H8,1)))/Inputs!$B$43),G352*Q352))*IF(Inputs!$B$38="pvp",1,(1+(Inputs!$B$21+Skills!Q8+(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Skills!A9</f>
        <v/>
      </c>
      <c r="B353">
        <f>Skills!B9</f>
        <v/>
      </c>
      <c r="C353">
        <f>Inputs!$B$3&gt;=110</f>
        <v/>
      </c>
      <c r="D353">
        <f>IF(Skills!C9=1,60+Inputs!$B$25+Inputs!$B$29,IF(Skills!C9=2,90+Inputs!$B$26+Inputs!$B$29,IF(Skills!C9=3,120+Inputs!$B$27+Inputs!$B$29,MAX(0,(Inputs!$B$3-100)*3)+Inputs!$B$28+Inputs!$B$29)))</f>
        <v/>
      </c>
      <c r="E353">
        <f>INDEX(FactorTable!$B$2:$Y$301, MATCH(ROUND(MIN(300,MAX(1,D353)),0), FactorTable!$A$2:$A$301,0), Skills!M9+1)</f>
        <v/>
      </c>
      <c r="F353">
        <f>IF(Skills!N9=TRUE,(Skills!L9/10)*(E353/1000),Skills!L9/10)+Skills!O9</f>
        <v/>
      </c>
      <c r="G353">
        <f>Skills!G9*IF(Skills!H9&gt;0,Skills!I9/Skills!H9,1)</f>
        <v/>
      </c>
      <c r="H353">
        <f>1-(1-Skills!J9/100)^Skills!K9</f>
        <v/>
      </c>
      <c r="I353" t="inlineStr">
        <is>
          <t>1</t>
        </is>
      </c>
      <c r="J353">
        <f>((Inputs!$B$6*(1+Inputs!$B$7/100))+(((Inputs!$B$12*(1+Inputs!$B$13/100))-(Inputs!$B$12*(1+Inputs!$B$13/100)))+0.25*(Inputs!$B$14-Inputs!$B$14))*(1+Inputs!$B$7/100))*(F353/100)</f>
        <v/>
      </c>
      <c r="K353">
        <f>J353*(1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353)</f>
        <v/>
      </c>
      <c r="L353">
        <f>K353*(MIN(Inputs!$B$22+((C364=TRUE)*(F364-Calc!F20)),(Inputs!$B$23+0+(IF(ArtifactsInput!$M$15,CHOOSE(ArtifactsInput!$N$15+1,25,30,35,40,45,50)/100*(Inputs!$B$11-Inputs!$B$11),0))))/100+(Inputs!$B$23+0+(IF(ArtifactsInput!$M$15,CHOOSE(ArtifactsInput!$N$15+1,25,30,35,40,45,50)/100*(Inputs!$B$11-Inputs!$B$11),0)))/100)/2</f>
        <v/>
      </c>
      <c r="M353">
        <f>L353*(1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3">
        <f>L353*(1-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353*(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3">
        <f>(1-Summary!$B$11)*T353+Summary!$B$11*V353</f>
        <v/>
      </c>
      <c r="P353">
        <f>IF(B380=0,0,O353/B380)</f>
        <v/>
      </c>
      <c r="Q353">
        <f>IFERROR(1/(IF(Inputs!$B$38="pvp",15,MAX(0.1,Skills!D9-IF(Skills!E9=TRUE,Inputs!$B$32,0)))*(1-IF(AND(ArtifactsInput!$M$27,Inputs!$B$4="Chapter Hunt"),CHOOSE(ArtifactsInput!$N$27+1,20,24,28,32,36,40),0)/100)),0)</f>
        <v/>
      </c>
      <c r="R353">
        <f>IF(AND(Inputs!$B$38&lt;&gt;"pvp",Inputs!$B$43&gt;0),IF(MAX(0,Inputs!$B$43-B377)&lt;=0,0,(INT(MAX(0,Inputs!$B$43-B377)/(IF(Inputs!$B$38="pvp",15,MAX(0.1,Skills!D9-IF(Skills!E9=TRUE,Inputs!$B$32,0)))*(1-IF(AND(ArtifactsInput!$M$27,Inputs!$B$4="Chapter Hunt"),CHOOSE(ArtifactsInput!$N$27+1,20,24,28,32,36,40),0)/100)))+1)),0)</f>
        <v/>
      </c>
      <c r="S353">
        <f>IFERROR(O353/N353,0)</f>
        <v/>
      </c>
      <c r="T353">
        <f>IF(C353,(H353*N353*IF(AND(Inputs!$B$38&lt;&gt;"pvp",Inputs!$B$43&gt;0),((Skills!G9*((R353-1)*IF(Skills!H9&gt;0,Skills!I9/Skills!H9,1)+IF(Skills!H9&gt;0,MIN(Skills!I9,MAX(0,MAX(0,Inputs!$B$43-B377)-((R353-1)*(IF(Inputs!$B$38="pvp",15,MAX(0.1,Skills!D9-IF(Skills!E9=TRUE,Inputs!$B$32,0)))*(1-IF(AND(ArtifactsInput!$M$27,Inputs!$B$4="Chapter Hunt"),CHOOSE(ArtifactsInput!$N$27+1,20,24,28,32,36,40),0)/100)))))/Skills!H9,1)))/Inputs!$B$43),G353*Q353)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353*(1-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353*(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353*(1-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353*(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3">
        <f>IF(C353,(H353*N353*IF(AND(Inputs!$B$38&lt;&gt;"pvp",Inputs!$B$43&gt;0),((Skills!G9*((R353-1)*IF(Skills!H9&gt;0,Skills!I9/Skills!H9,1)+IF(Skills!H9&gt;0,MIN(Skills!I9,MAX(0,MAX(0,Inputs!$B$43-B377)-((R353-1)*(IF(Inputs!$B$38="pvp",15,MAX(0.1,Skills!D9-IF(Skills!E9=TRUE,Inputs!$B$32,0)))*(1-IF(AND(ArtifactsInput!$M$27,Inputs!$B$4="Chapter Hunt"),CHOOSE(ArtifactsInput!$N$27+1,20,24,28,32,36,40),0)/100)))))/Skills!H9,1)))/Inputs!$B$43),G353*Q353))*IF(Inputs!$B$38="pvp",1,(1+(Inputs!$B$21+Skills!Q9+(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4">
      <c r="A354">
        <f>Skills!A10</f>
        <v/>
      </c>
      <c r="B354">
        <f>Skills!B10</f>
        <v/>
      </c>
      <c r="C354">
        <f>Inputs!$B$3&gt;=103</f>
        <v/>
      </c>
      <c r="D354">
        <f>IF(Skills!C10=1,60+Inputs!$B$25+Inputs!$B$29,IF(Skills!C10=2,90+Inputs!$B$26+Inputs!$B$29,IF(Skills!C10=3,120+Inputs!$B$27+Inputs!$B$29,MAX(0,(Inputs!$B$3-100)*3)+Inputs!$B$28+Inputs!$B$29)))</f>
        <v/>
      </c>
      <c r="E354">
        <f>INDEX(FactorTable!$B$2:$Y$301, MATCH(ROUND(MIN(300,MAX(1,D354)),0), FactorTable!$A$2:$A$301,0), Skills!M10+1)</f>
        <v/>
      </c>
      <c r="F354">
        <f>IF(Skills!N10=TRUE,(Skills!L10/10)*(E354/1000),Skills!L10/10)+Skills!O10</f>
        <v/>
      </c>
      <c r="G354">
        <f>Skills!G10*IF(Skills!H10&gt;0,Skills!I10/Skills!H10,1)</f>
        <v/>
      </c>
      <c r="H354">
        <f>1-(1-Skills!J10/100)^Skills!K10</f>
        <v/>
      </c>
      <c r="I354" t="inlineStr">
        <is>
          <t>1</t>
        </is>
      </c>
      <c r="J354">
        <f>((Inputs!$B$6*(1+Inputs!$B$7/100))+(((Inputs!$B$12*(1+Inputs!$B$13/100))-(Inputs!$B$12*(1+Inputs!$B$13/100)))+0.25*(Inputs!$B$14-Inputs!$B$14))*(1+Inputs!$B$7/100))*(F354/100)</f>
        <v/>
      </c>
      <c r="K354">
        <f>J354*(1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354)</f>
        <v/>
      </c>
      <c r="L354">
        <f>K354*(MIN(Inputs!$B$22+((C364=TRUE)*(F364-Calc!F20)),(Inputs!$B$23+0+(IF(ArtifactsInput!$M$15,CHOOSE(ArtifactsInput!$N$15+1,25,30,35,40,45,50)/100*(Inputs!$B$11-Inputs!$B$11),0))))/100+(Inputs!$B$23+0+(IF(ArtifactsInput!$M$15,CHOOSE(ArtifactsInput!$N$15+1,25,30,35,40,45,50)/100*(Inputs!$B$11-Inputs!$B$11),0)))/100)/2</f>
        <v/>
      </c>
      <c r="M354">
        <f>L354*(1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4">
        <f>L354*(1-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354*(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4">
        <f>(1-Summary!$B$11)*T354+Summary!$B$11*V354</f>
        <v/>
      </c>
      <c r="P354">
        <f>IF(B380=0,0,O354/B380)</f>
        <v/>
      </c>
      <c r="Q354">
        <f>IFERROR(1/(IF(Inputs!$B$38="pvp",15,MAX(0.1,Skills!D10-IF(Skills!E10=TRUE,Inputs!$B$32,0)))*(1-IF(AND(ArtifactsInput!$M$27,Inputs!$B$4="Chapter Hunt"),CHOOSE(ArtifactsInput!$N$27+1,20,24,28,32,36,40),0)/100)),0)</f>
        <v/>
      </c>
      <c r="R354">
        <f>IF(AND(Inputs!$B$38&lt;&gt;"pvp",Inputs!$B$43&gt;0),IF(MAX(0,Inputs!$B$43-B377)&lt;=0,0,(INT(MAX(0,Inputs!$B$43-B377)/(IF(Inputs!$B$38="pvp",15,MAX(0.1,Skills!D10-IF(Skills!E10=TRUE,Inputs!$B$32,0)))*(1-IF(AND(ArtifactsInput!$M$27,Inputs!$B$4="Chapter Hunt"),CHOOSE(ArtifactsInput!$N$27+1,20,24,28,32,36,40),0)/100)))+1)),0)</f>
        <v/>
      </c>
      <c r="S354">
        <f>IFERROR(O354/N354,0)</f>
        <v/>
      </c>
      <c r="T354">
        <f>IF(C354,(H354*N354*IF(AND(Inputs!$B$38&lt;&gt;"pvp",Inputs!$B$43&gt;0),((Skills!G10*((R354-1)*IF(Skills!H10&gt;0,Skills!I10/Skills!H10,1)+IF(Skills!H10&gt;0,MIN(Skills!I10,MAX(0,MAX(0,Inputs!$B$43-B377)-((R354-1)*(IF(Inputs!$B$38="pvp",15,MAX(0.1,Skills!D10-IF(Skills!E10=TRUE,Inputs!$B$32,0)))*(1-IF(AND(ArtifactsInput!$M$27,Inputs!$B$4="Chapter Hunt"),CHOOSE(ArtifactsInput!$N$27+1,20,24,28,32,36,40),0)/100)))))/Skills!H10,1)))/Inputs!$B$43),G354*Q354)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354*(1-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354*(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354*(1-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354*(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4">
        <f>IF(C354,(H354*N354*IF(AND(Inputs!$B$38&lt;&gt;"pvp",Inputs!$B$43&gt;0),((Skills!G10*((R354-1)*IF(Skills!H10&gt;0,Skills!I10/Skills!H10,1)+IF(Skills!H10&gt;0,MIN(Skills!I10,MAX(0,MAX(0,Inputs!$B$43-B377)-((R354-1)*(IF(Inputs!$B$38="pvp",15,MAX(0.1,Skills!D10-IF(Skills!E10=TRUE,Inputs!$B$32,0)))*(1-IF(AND(ArtifactsInput!$M$27,Inputs!$B$4="Chapter Hunt"),CHOOSE(ArtifactsInput!$N$27+1,20,24,28,32,36,40),0)/100)))))/Skills!H10,1)))/Inputs!$B$43),G354*Q354))*IF(Inputs!$B$38="pvp",1,(1+(Inputs!$B$21+Skills!Q10+(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5">
      <c r="A355">
        <f>Skills!A11</f>
        <v/>
      </c>
      <c r="B355">
        <f>Skills!B11</f>
        <v/>
      </c>
      <c r="C355">
        <f>Inputs!$B$3&gt;=113</f>
        <v/>
      </c>
      <c r="D355">
        <f>IF(Skills!C11=1,60+Inputs!$B$25+Inputs!$B$29,IF(Skills!C11=2,90+Inputs!$B$26+Inputs!$B$29,IF(Skills!C11=3,120+Inputs!$B$27+Inputs!$B$29,MAX(0,(Inputs!$B$3-100)*3)+Inputs!$B$28+Inputs!$B$29)))</f>
        <v/>
      </c>
      <c r="E355">
        <f>INDEX(FactorTable!$B$2:$Y$301, MATCH(ROUND(MIN(300,MAX(1,D355)),0), FactorTable!$A$2:$A$301,0), Skills!M11+1)</f>
        <v/>
      </c>
      <c r="F355">
        <f>IF(Skills!N11=TRUE,(Skills!L11/10)*(E355/1000),Skills!L11/10)+Skills!O11</f>
        <v/>
      </c>
      <c r="G355">
        <f>Skills!G11*IF(Skills!H11&gt;0,Skills!I11/Skills!H11,1)</f>
        <v/>
      </c>
      <c r="H355">
        <f>1-(1-Skills!J11/100)^Skills!K11</f>
        <v/>
      </c>
      <c r="I355" t="inlineStr">
        <is>
          <t>1</t>
        </is>
      </c>
      <c r="J355">
        <f>((Inputs!$B$6*(1+Inputs!$B$7/100))+(((Inputs!$B$12*(1+Inputs!$B$13/100))-(Inputs!$B$12*(1+Inputs!$B$13/100)))+0.25*(Inputs!$B$14-Inputs!$B$14))*(1+Inputs!$B$7/100))*(F355/100)</f>
        <v/>
      </c>
      <c r="K355">
        <f>J355*(1+((Inputs!$B$12*(1+Inputs!$B$13/100))*0.01+Inputs!$B$14*0.0025)/100)*(1+Inputs!$B$15/100)*(1+Inputs!$B$16/100)*(5000/(6000+Inputs!$B$42*(1-(100*(1-(1-(Inputs!$B$19+0)/100)*(1-CHOOSE(ArtifactsInput!$N$40+1,5,6,7,8,9,10)/100)^(ArtifactsInput!$M$40-ArtifactsInput!$M$40)))/100)))*(1+(((((1+(Inputs!$B$24+Summary!$B$21)/100)*(1.01))-1)*100-(Summary!$B$21))+((C366=TRUE)*(F366-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365=TRUE)*(F365-Calc!F21))+(((IF(AND(ArtifactsInput!$M$42,((Inputs!$B$9+((C360=TRUE)*(F360-Calc!F16))+B370+(ArtifactsInput!$M$24-ArtifactsInput!$M$24)*CHOOSE(ArtifactsInput!$N$24+1,10,12,14,16,18,20)+IF(ArtifactsInput!$M$10,CHOOSE(ArtifactsInput!$N$10+1,15,18,21,24,27,30)*(IF(Inputs!$B$38="pvp",MIN(15,15)/15,IF(AND(Inputs!$B$38&lt;&gt;"pvp",Inputs!$B$43&gt;0),MIN(15,Inputs!$B$43)/(Inputs!$B$43),0))),0)))&gt;=100),MIN(100,((Inputs!$B$9+((C360=TRUE)*(F360-Calc!F16))+B370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360=TRUE)*(F360-Calc!F16))+B370+(ArtifactsInput!$M$24-ArtifactsInput!$M$24)*CHOOSE(ArtifactsInput!$N$24+1,10,12,14,16,18,20)+IF(ArtifactsInput!$M$10,CHOOSE(ArtifactsInput!$N$10+1,15,18,21,24,27,30)*(IF(Inputs!$B$38="pvp",MIN(15,15)/15,IF(AND(Inputs!$B$38&lt;&gt;"pvp",Inputs!$B$43&gt;0),MIN(15,Inputs!$B$43)/(Inputs!$B$43),0))),0)))&gt;=100),CHOOSE(ArtifactsInput!$N$42+1,40,48,56,64,72,80),0))))/100)*((1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355)</f>
        <v/>
      </c>
      <c r="L355">
        <f>K355*(MIN(Inputs!$B$22+((C364=TRUE)*(F364-Calc!F20)),(Inputs!$B$23+0+(IF(ArtifactsInput!$M$15,CHOOSE(ArtifactsInput!$N$15+1,25,30,35,40,45,50)/100*(Inputs!$B$11-Inputs!$B$11),0))))/100+(Inputs!$B$23+0+(IF(ArtifactsInput!$M$15,CHOOSE(ArtifactsInput!$N$15+1,25,30,35,40,45,50)/100*(Inputs!$B$11-Inputs!$B$11),0)))/100)/2</f>
        <v/>
      </c>
      <c r="M355">
        <f>L355*(1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5">
        <f>L355*(1-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355*(MIN((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5">
        <f>(1-Summary!$B$11)*T355+Summary!$B$11*V355</f>
        <v/>
      </c>
      <c r="P355">
        <f>IF(B380=0,0,O355/B380)</f>
        <v/>
      </c>
      <c r="Q355">
        <f>IFERROR(1/(IF(Inputs!$B$38="pvp",15,MAX(0.1,Skills!D11-IF(Skills!E11=TRUE,Inputs!$B$32,0)))*(1-IF(AND(ArtifactsInput!$M$27,Inputs!$B$4="Chapter Hunt"),CHOOSE(ArtifactsInput!$N$27+1,20,24,28,32,36,40),0)/100)),0)</f>
        <v/>
      </c>
      <c r="R355">
        <f>IF(AND(Inputs!$B$38&lt;&gt;"pvp",Inputs!$B$43&gt;0),IF(MAX(0,Inputs!$B$43-B377)&lt;=0,0,(INT(MAX(0,Inputs!$B$43-B377)/(IF(Inputs!$B$38="pvp",15,MAX(0.1,Skills!D11-IF(Skills!E11=TRUE,Inputs!$B$32,0)))*(1-IF(AND(ArtifactsInput!$M$27,Inputs!$B$4="Chapter Hunt"),CHOOSE(ArtifactsInput!$N$27+1,20,24,28,32,36,40),0)/100)))+1)),0)</f>
        <v/>
      </c>
      <c r="S355">
        <f>IFERROR(O355/N355,0)</f>
        <v/>
      </c>
      <c r="T355">
        <f>IF(C355,(H355*N355*IF(AND(Inputs!$B$38&lt;&gt;"pvp",Inputs!$B$43&gt;0),((Skills!G11*((R355-1)*IF(Skills!H11&gt;0,Skills!I11/Skills!H11,1)+IF(Skills!H11&gt;0,MIN(Skills!I11,MAX(0,MAX(0,Inputs!$B$43-B377)-((R355-1)*(IF(Inputs!$B$38="pvp",15,MAX(0.1,Skills!D11-IF(Skills!E11=TRUE,Inputs!$B$32,0)))*(1-IF(AND(ArtifactsInput!$M$27,Inputs!$B$4="Chapter Hunt"),CHOOSE(ArtifactsInput!$N$27+1,20,24,28,32,36,40),0)/100)))))/Skills!H11,1)))/Inputs!$B$43),G355*Q355)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355*(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355*(1-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355*(MIN(100,(Inputs!$B$9+((C360=TRUE)*(F360-Calc!F16))+B370+(ArtifactsInput!$M$24-ArtifactsInput!$M$24)*CHOOSE(ArtifactsInput!$N$24+1,10,12,14,16,18,20)+(IF(AND(ArtifactsInput!$M$42,((Inputs!$B$9+((C360=TRUE)*(F360-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5">
        <f>IF(C355,(H355*N355*IF(AND(Inputs!$B$38&lt;&gt;"pvp",Inputs!$B$43&gt;0),((Skills!G11*((R355-1)*IF(Skills!H11&gt;0,Skills!I11/Skills!H11,1)+IF(Skills!H11&gt;0,MIN(Skills!I11,MAX(0,MAX(0,Inputs!$B$43-B377)-((R355-1)*(IF(Inputs!$B$38="pvp",15,MAX(0.1,Skills!D11-IF(Skills!E11=TRUE,Inputs!$B$32,0)))*(1-IF(AND(ArtifactsInput!$M$27,Inputs!$B$4="Chapter Hunt"),CHOOSE(ArtifactsInput!$N$27+1,20,24,28,32,36,40),0)/100)))))/Skills!H11,1)))/Inputs!$B$43),G355*Q355))*IF(Inputs!$B$38="pvp",1,(1+(Inputs!$B$21+Skills!Q11+(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6">
      <c r="A356">
        <f>Skills!A12</f>
        <v/>
      </c>
      <c r="B356">
        <f>Skills!B12</f>
        <v/>
      </c>
      <c r="C356">
        <f>Inputs!$B$3&gt;=100</f>
        <v/>
      </c>
      <c r="D356">
        <f>IF(Skills!C12=1,60+Inputs!$B$25+Inputs!$B$29,IF(Skills!C12=2,90+Inputs!$B$26+Inputs!$B$29,IF(Skills!C12=3,120+Inputs!$B$27+Inputs!$B$29,MAX(0,(Inputs!$B$3-100)*3)+Inputs!$B$28+Inputs!$B$29)))</f>
        <v/>
      </c>
      <c r="E356">
        <f>INDEX(FactorTable!$B$2:$Y$301, MATCH(ROUND(MIN(300,MAX(1,D356)),0), FactorTable!$A$2:$A$301,0), Skills!M12+1)</f>
        <v/>
      </c>
      <c r="F356">
        <f>IF(Skills!N12=TRUE,(Skills!L12/10)*(E356/1000),Skills!L12/10)+Skills!O12</f>
        <v/>
      </c>
      <c r="G356" t="inlineStr"/>
      <c r="H356" t="inlineStr"/>
      <c r="I356" t="inlineStr">
        <is>
          <t>1</t>
        </is>
      </c>
      <c r="J356" t="inlineStr"/>
      <c r="K356" t="inlineStr"/>
      <c r="L356" t="inlineStr"/>
      <c r="M356" t="inlineStr"/>
      <c r="N356" t="inlineStr"/>
      <c r="O356" t="inlineStr"/>
      <c r="P356" t="inlineStr"/>
      <c r="Q356" t="inlineStr"/>
      <c r="R356" t="inlineStr"/>
      <c r="S356" t="inlineStr"/>
      <c r="T356" t="inlineStr"/>
      <c r="V356" t="inlineStr"/>
    </row>
    <row r="357">
      <c r="A357">
        <f>Skills!A13</f>
        <v/>
      </c>
      <c r="B357">
        <f>Skills!B13</f>
        <v/>
      </c>
      <c r="C357">
        <f>Inputs!$B$3&gt;=66</f>
        <v/>
      </c>
      <c r="D357">
        <f>IF(Skills!C13=1,60+Inputs!$B$25+Inputs!$B$29,IF(Skills!C13=2,90+Inputs!$B$26+Inputs!$B$29,IF(Skills!C13=3,120+Inputs!$B$27+Inputs!$B$29,MAX(0,(Inputs!$B$3-100)*3)+Inputs!$B$28+Inputs!$B$29)))</f>
        <v/>
      </c>
      <c r="E357">
        <f>INDEX(FactorTable!$B$2:$Y$301, MATCH(ROUND(MIN(300,MAX(1,D357)),0), FactorTable!$A$2:$A$301,0), Skills!M13+1)</f>
        <v/>
      </c>
      <c r="F357">
        <f>IF(Skills!N13=TRUE,(Skills!L13/10)*(E357/1000),Skills!L13/10)+Skills!O13</f>
        <v/>
      </c>
      <c r="G357">
        <f>Skills!G13*IF(Skills!H13&gt;0,Skills!I13/Skills!H13,1)</f>
        <v/>
      </c>
      <c r="H357">
        <f>1-(1-Skills!J13/100)^Skills!K13</f>
        <v/>
      </c>
      <c r="I357" t="inlineStr">
        <is>
          <t>1</t>
        </is>
      </c>
      <c r="J357" t="inlineStr"/>
      <c r="K357" t="inlineStr"/>
      <c r="L357" t="inlineStr"/>
      <c r="M357" t="inlineStr"/>
      <c r="N357" t="inlineStr"/>
      <c r="O357">
        <f>(1-Summary!$B$11)*T357+Summary!$B$11*V357</f>
        <v/>
      </c>
      <c r="P357">
        <f>IF(B380=0,0,O357/B380)</f>
        <v/>
      </c>
      <c r="Q357" t="n">
        <v>0</v>
      </c>
      <c r="R357" t="n">
        <v>0</v>
      </c>
      <c r="S357">
        <f>IFERROR(O357/N357,0)</f>
        <v/>
      </c>
      <c r="T357" t="n">
        <v>0</v>
      </c>
      <c r="V357" t="n">
        <v>0</v>
      </c>
    </row>
    <row r="358">
      <c r="A358">
        <f>Skills!A14</f>
        <v/>
      </c>
      <c r="B358">
        <f>Skills!B14</f>
        <v/>
      </c>
      <c r="C358">
        <f>Inputs!$B$3&gt;=107</f>
        <v/>
      </c>
      <c r="D358">
        <f>IF(Skills!C14=1,60+Inputs!$B$25+Inputs!$B$29,IF(Skills!C14=2,90+Inputs!$B$26+Inputs!$B$29,IF(Skills!C14=3,120+Inputs!$B$27+Inputs!$B$29,MAX(0,(Inputs!$B$3-100)*3)+Inputs!$B$28+Inputs!$B$29)))</f>
        <v/>
      </c>
      <c r="E358">
        <f>INDEX(FactorTable!$B$2:$Y$301, MATCH(ROUND(MIN(300,MAX(1,D358)),0), FactorTable!$A$2:$A$301,0), Skills!M14+1)</f>
        <v/>
      </c>
      <c r="F358">
        <f>IF(Skills!N14=TRUE,(Skills!L14/10)*(E358/1000),Skills!L14/10)+Skills!O14</f>
        <v/>
      </c>
      <c r="G358">
        <f>Skills!G14*IF(Skills!H14&gt;0,Skills!I14/Skills!H14,1)</f>
        <v/>
      </c>
      <c r="H358">
        <f>1-(1-Skills!J14/100)^Skills!K14</f>
        <v/>
      </c>
      <c r="I358" t="inlineStr">
        <is>
          <t>1</t>
        </is>
      </c>
      <c r="J358" t="inlineStr"/>
      <c r="K358" t="inlineStr"/>
      <c r="L358" t="inlineStr"/>
      <c r="M358" t="inlineStr"/>
      <c r="N358" t="inlineStr"/>
      <c r="O358">
        <f>(1-Summary!$B$11)*T358+Summary!$B$11*V358</f>
        <v/>
      </c>
      <c r="P358">
        <f>IF(B380=0,0,O358/B380)</f>
        <v/>
      </c>
      <c r="Q358">
        <f>IFERROR(1/(IF(Inputs!$B$38="pvp",15,MAX(0.1,Skills!D14-IF(Skills!E14=TRUE,Inputs!$B$32,0)))*(1-IF(AND(ArtifactsInput!$M$27,Inputs!$B$4="Chapter Hunt"),CHOOSE(ArtifactsInput!$N$27+1,20,24,28,32,36,40),0)/100)),0)</f>
        <v/>
      </c>
      <c r="R358">
        <f>IF(AND(Inputs!$B$38&lt;&gt;"pvp",Inputs!$B$43&gt;0),IF(Inputs!$B$43&lt;=0,0,(INT(Inputs!$B$43/(IF(Inputs!$B$38="pvp",15,MAX(0.1,Skills!D14-IF(Skills!E14=TRUE,Inputs!$B$32,0)))*(1-IF(AND(ArtifactsInput!$M$27,Inputs!$B$4="Chapter Hunt"),CHOOSE(ArtifactsInput!$N$27+1,20,24,28,32,36,40),0)/100)))+1)),0)</f>
        <v/>
      </c>
      <c r="S358">
        <f>IFERROR(O358/N358,0)</f>
        <v/>
      </c>
      <c r="T358" t="n">
        <v>0</v>
      </c>
      <c r="V358" t="n">
        <v>0</v>
      </c>
    </row>
    <row r="359">
      <c r="A359">
        <f>Skills!A15</f>
        <v/>
      </c>
      <c r="B359">
        <f>Skills!B15</f>
        <v/>
      </c>
      <c r="C359">
        <f>Inputs!$B$3&gt;=115</f>
        <v/>
      </c>
      <c r="D359">
        <f>IF(Skills!C15=1,60+Inputs!$B$25+Inputs!$B$29,IF(Skills!C15=2,90+Inputs!$B$26+Inputs!$B$29,IF(Skills!C15=3,120+Inputs!$B$27+Inputs!$B$29,MAX(0,(Inputs!$B$3-100)*3)+Inputs!$B$28+Inputs!$B$29)))</f>
        <v/>
      </c>
      <c r="E359">
        <f>INDEX(FactorTable!$B$2:$Y$301, MATCH(ROUND(MIN(300,MAX(1,D359)),0), FactorTable!$A$2:$A$301,0), Skills!M15+1)</f>
        <v/>
      </c>
      <c r="F359">
        <f>IF(Skills!N15=TRUE,(Skills!L15/10)*(E359/1000),Skills!L15/10)+Skills!O15</f>
        <v/>
      </c>
      <c r="G359">
        <f>Skills!G15*IF(Skills!H15&gt;0,Skills!I15/Skills!H15,1)</f>
        <v/>
      </c>
      <c r="H359">
        <f>1-(1-Skills!J15/100)^Skills!K15</f>
        <v/>
      </c>
      <c r="I359" t="inlineStr">
        <is>
          <t>1</t>
        </is>
      </c>
      <c r="J359" t="inlineStr"/>
      <c r="K359" t="inlineStr"/>
      <c r="L359" t="inlineStr"/>
      <c r="M359" t="inlineStr"/>
      <c r="N359" t="inlineStr"/>
      <c r="O359">
        <f>(1-Summary!$B$11)*T359+Summary!$B$11*V359</f>
        <v/>
      </c>
      <c r="P359">
        <f>IF(B380=0,0,O359/B380)</f>
        <v/>
      </c>
      <c r="Q359">
        <f>IFERROR(1/(IF(Inputs!$B$38="pvp",15,MAX(0.1,Skills!D15-IF(Skills!E15=TRUE,Inputs!$B$32,0)))*(1-IF(AND(ArtifactsInput!$M$27,Inputs!$B$4="Chapter Hunt"),CHOOSE(ArtifactsInput!$N$27+1,20,24,28,32,36,40),0)/100)),0)</f>
        <v/>
      </c>
      <c r="R359">
        <f>IF(AND(Inputs!$B$38&lt;&gt;"pvp",Inputs!$B$43&gt;0),IF(Inputs!$B$43&lt;=0,0,(INT(Inputs!$B$43/(IF(Inputs!$B$38="pvp",15,MAX(0.1,Skills!D15-IF(Skills!E15=TRUE,Inputs!$B$32,0)))*(1-IF(AND(ArtifactsInput!$M$27,Inputs!$B$4="Chapter Hunt"),CHOOSE(ArtifactsInput!$N$27+1,20,24,28,32,36,40),0)/100)))+1)),0)</f>
        <v/>
      </c>
      <c r="S359">
        <f>IFERROR(O359/N359,0)</f>
        <v/>
      </c>
      <c r="T359" t="n">
        <v>0</v>
      </c>
      <c r="V359" t="n">
        <v>0</v>
      </c>
    </row>
    <row r="360">
      <c r="A360">
        <f>Skills!A16</f>
        <v/>
      </c>
      <c r="B360">
        <f>Skills!B16</f>
        <v/>
      </c>
      <c r="C360">
        <f>Inputs!$B$3&gt;=15</f>
        <v/>
      </c>
      <c r="D360">
        <f>IF(Skills!C16=1,60+Inputs!$B$25+Inputs!$B$29,IF(Skills!C16=2,90+Inputs!$B$26+Inputs!$B$29,IF(Skills!C16=3,120+Inputs!$B$27+Inputs!$B$29,MAX(0,(Inputs!$B$3-100)*3)+Inputs!$B$28+Inputs!$B$29)))</f>
        <v/>
      </c>
      <c r="E360">
        <f>INDEX(FactorTable!$B$2:$Y$301, MATCH(ROUND(MIN(300,MAX(1,D360)),0), FactorTable!$A$2:$A$301,0), Skills!M16+1)</f>
        <v/>
      </c>
      <c r="F360">
        <f>IF(Skills!N16=TRUE,(Skills!L16/10)*(E360/1000),Skills!L16/10)+Skills!O16</f>
        <v/>
      </c>
      <c r="G360">
        <f>Skills!G16*IF(Skills!H16&gt;0,Skills!I16/Skills!H16,1)</f>
        <v/>
      </c>
      <c r="H360">
        <f>1-(1-Skills!J16/100)^Skills!K16</f>
        <v/>
      </c>
      <c r="I360" t="inlineStr">
        <is>
          <t>1</t>
        </is>
      </c>
      <c r="J360" t="inlineStr"/>
      <c r="K360" t="inlineStr"/>
      <c r="L360" t="inlineStr"/>
      <c r="M360" t="inlineStr"/>
      <c r="N360" t="inlineStr"/>
      <c r="O360">
        <f>(1-Summary!$B$11)*T360+Summary!$B$11*V360</f>
        <v/>
      </c>
      <c r="P360">
        <f>IF(B380=0,0,O360/B380)</f>
        <v/>
      </c>
      <c r="Q360" t="n">
        <v>0</v>
      </c>
      <c r="R360" t="n">
        <v>0</v>
      </c>
      <c r="S360">
        <f>IFERROR(O360/N360,0)</f>
        <v/>
      </c>
      <c r="T360" t="n">
        <v>0</v>
      </c>
      <c r="V360" t="n">
        <v>0</v>
      </c>
    </row>
    <row r="361">
      <c r="A361">
        <f>Skills!A17</f>
        <v/>
      </c>
      <c r="B361">
        <f>Skills!B17</f>
        <v/>
      </c>
      <c r="C361">
        <f>Inputs!$B$3&gt;=10</f>
        <v/>
      </c>
      <c r="D361">
        <f>IF(Skills!C17=1,60+Inputs!$B$25+Inputs!$B$29,IF(Skills!C17=2,90+Inputs!$B$26+Inputs!$B$29,IF(Skills!C17=3,120+Inputs!$B$27+Inputs!$B$29,MAX(0,(Inputs!$B$3-100)*3)+Inputs!$B$28+Inputs!$B$29)))</f>
        <v/>
      </c>
      <c r="E361">
        <f>INDEX(FactorTable!$B$2:$Y$301, MATCH(ROUND(MIN(300,MAX(1,D361)),0), FactorTable!$A$2:$A$301,0), Skills!M17+1)</f>
        <v/>
      </c>
      <c r="F361">
        <f>IF(Skills!N17=TRUE,(Skills!L17/10)*(E361/1000),Skills!L17/10)+Skills!O17</f>
        <v/>
      </c>
      <c r="G361">
        <f>Skills!G17*IF(Skills!H17&gt;0,Skills!I17/Skills!H17,1)</f>
        <v/>
      </c>
      <c r="H361">
        <f>1-(1-Skills!J17/100)^Skills!K17</f>
        <v/>
      </c>
      <c r="I361" t="inlineStr">
        <is>
          <t>1</t>
        </is>
      </c>
      <c r="J361" t="inlineStr"/>
      <c r="K361" t="inlineStr"/>
      <c r="L361" t="inlineStr"/>
      <c r="M361" t="inlineStr"/>
      <c r="N361" t="inlineStr"/>
      <c r="O361">
        <f>(1-Summary!$B$11)*T361+Summary!$B$11*V361</f>
        <v/>
      </c>
      <c r="P361">
        <f>IF(B380=0,0,O361/B380)</f>
        <v/>
      </c>
      <c r="Q361" t="n">
        <v>0</v>
      </c>
      <c r="R361" t="n">
        <v>0</v>
      </c>
      <c r="S361">
        <f>IFERROR(O361/N361,0)</f>
        <v/>
      </c>
      <c r="T361" t="n">
        <v>0</v>
      </c>
      <c r="V361" t="n">
        <v>0</v>
      </c>
    </row>
    <row r="362">
      <c r="A362">
        <f>Skills!A18</f>
        <v/>
      </c>
      <c r="B362">
        <f>Skills!B18</f>
        <v/>
      </c>
      <c r="C362">
        <f>Inputs!$B$3&gt;=33</f>
        <v/>
      </c>
      <c r="D362">
        <f>IF(Skills!C18=1,60+Inputs!$B$25+Inputs!$B$29,IF(Skills!C18=2,90+Inputs!$B$26+Inputs!$B$29,IF(Skills!C18=3,120+Inputs!$B$27+Inputs!$B$29,MAX(0,(Inputs!$B$3-100)*3)+Inputs!$B$28+Inputs!$B$29)))</f>
        <v/>
      </c>
      <c r="E362">
        <f>INDEX(FactorTable!$B$2:$Y$301, MATCH(ROUND(MIN(300,MAX(1,D362)),0), FactorTable!$A$2:$A$301,0), Skills!M18+1)</f>
        <v/>
      </c>
      <c r="F362">
        <f>IF(Skills!N18=TRUE,(Skills!L18/10)*(E362/1000),Skills!L18/10)+Skills!O18</f>
        <v/>
      </c>
      <c r="G362">
        <f>Skills!G18*IF(Skills!H18&gt;0,Skills!I18/Skills!H18,1)</f>
        <v/>
      </c>
      <c r="H362">
        <f>1-(1-Skills!J18/100)^Skills!K18</f>
        <v/>
      </c>
      <c r="I362" t="inlineStr">
        <is>
          <t>1</t>
        </is>
      </c>
      <c r="J362" t="inlineStr"/>
      <c r="K362" t="inlineStr"/>
      <c r="L362" t="inlineStr"/>
      <c r="M362" t="inlineStr"/>
      <c r="N362" t="inlineStr"/>
      <c r="O362">
        <f>(1-Summary!$B$11)*T362+Summary!$B$11*V362</f>
        <v/>
      </c>
      <c r="P362">
        <f>IF(B380=0,0,O362/B380)</f>
        <v/>
      </c>
      <c r="Q362" t="n">
        <v>0</v>
      </c>
      <c r="R362" t="n">
        <v>0</v>
      </c>
      <c r="S362">
        <f>IFERROR(O362/N362,0)</f>
        <v/>
      </c>
      <c r="T362" t="n">
        <v>0</v>
      </c>
      <c r="V362" t="n">
        <v>0</v>
      </c>
    </row>
    <row r="363">
      <c r="A363">
        <f>Skills!A19</f>
        <v/>
      </c>
      <c r="B363">
        <f>Skills!B19</f>
        <v/>
      </c>
      <c r="C363">
        <f>Inputs!$B$3&gt;=40</f>
        <v/>
      </c>
      <c r="D363">
        <f>IF(Skills!C19=1,60+Inputs!$B$25+Inputs!$B$29,IF(Skills!C19=2,90+Inputs!$B$26+Inputs!$B$29,IF(Skills!C19=3,120+Inputs!$B$27+Inputs!$B$29,MAX(0,(Inputs!$B$3-100)*3)+Inputs!$B$28+Inputs!$B$29)))</f>
        <v/>
      </c>
      <c r="E363">
        <f>INDEX(FactorTable!$B$2:$Y$301, MATCH(ROUND(MIN(300,MAX(1,D363)),0), FactorTable!$A$2:$A$301,0), Skills!M19+1)</f>
        <v/>
      </c>
      <c r="F363">
        <f>IF(Skills!N19=TRUE,(Skills!L19/10)*(E363/1000),Skills!L19/10)+Skills!O19</f>
        <v/>
      </c>
      <c r="G363">
        <f>Skills!G19*IF(Skills!H19&gt;0,Skills!I19/Skills!H19,1)</f>
        <v/>
      </c>
      <c r="H363">
        <f>1-(1-Skills!J19/100)^Skills!K19</f>
        <v/>
      </c>
      <c r="I363" t="inlineStr">
        <is>
          <t>1</t>
        </is>
      </c>
      <c r="J363" t="inlineStr"/>
      <c r="K363" t="inlineStr"/>
      <c r="L363" t="inlineStr"/>
      <c r="M363" t="inlineStr"/>
      <c r="N363" t="inlineStr"/>
      <c r="O363">
        <f>(1-Summary!$B$11)*T363+Summary!$B$11*V363</f>
        <v/>
      </c>
      <c r="P363">
        <f>IF(B380=0,0,O363/B380)</f>
        <v/>
      </c>
      <c r="Q363" t="n">
        <v>0</v>
      </c>
      <c r="R363" t="n">
        <v>0</v>
      </c>
      <c r="S363">
        <f>IFERROR(O363/N363,0)</f>
        <v/>
      </c>
      <c r="T363" t="n">
        <v>0</v>
      </c>
      <c r="V363" t="n">
        <v>0</v>
      </c>
    </row>
    <row r="364">
      <c r="A364">
        <f>Skills!A20</f>
        <v/>
      </c>
      <c r="B364">
        <f>Skills!B20</f>
        <v/>
      </c>
      <c r="C364">
        <f>Inputs!$B$3&gt;=43</f>
        <v/>
      </c>
      <c r="D364">
        <f>IF(Skills!C20=1,60+Inputs!$B$25+Inputs!$B$29,IF(Skills!C20=2,90+Inputs!$B$26+Inputs!$B$29,IF(Skills!C20=3,120+Inputs!$B$27+Inputs!$B$29,MAX(0,(Inputs!$B$3-100)*3)+Inputs!$B$28+Inputs!$B$29)))</f>
        <v/>
      </c>
      <c r="E364">
        <f>INDEX(FactorTable!$B$2:$Y$301, MATCH(ROUND(MIN(300,MAX(1,D364)),0), FactorTable!$A$2:$A$301,0), Skills!M20+1)</f>
        <v/>
      </c>
      <c r="F364">
        <f>IF(Skills!N20=TRUE,(Skills!L20/10)*(E364/1000),Skills!L20/10)+Skills!O20</f>
        <v/>
      </c>
      <c r="G364">
        <f>Skills!G20*IF(Skills!H20&gt;0,Skills!I20/Skills!H20,1)</f>
        <v/>
      </c>
      <c r="H364">
        <f>1-(1-Skills!J20/100)^Skills!K20</f>
        <v/>
      </c>
      <c r="I364" t="inlineStr">
        <is>
          <t>1</t>
        </is>
      </c>
      <c r="J364" t="inlineStr"/>
      <c r="K364" t="inlineStr"/>
      <c r="L364" t="inlineStr"/>
      <c r="M364" t="inlineStr"/>
      <c r="N364" t="inlineStr"/>
      <c r="O364">
        <f>(1-Summary!$B$11)*T364+Summary!$B$11*V364</f>
        <v/>
      </c>
      <c r="P364">
        <f>IF(B380=0,0,O364/B380)</f>
        <v/>
      </c>
      <c r="Q364" t="n">
        <v>0</v>
      </c>
      <c r="R364" t="n">
        <v>0</v>
      </c>
      <c r="S364">
        <f>IFERROR(O364/N364,0)</f>
        <v/>
      </c>
      <c r="T364" t="n">
        <v>0</v>
      </c>
      <c r="V364" t="n">
        <v>0</v>
      </c>
    </row>
    <row r="365">
      <c r="A365">
        <f>Skills!A21</f>
        <v/>
      </c>
      <c r="B365">
        <f>Skills!B21</f>
        <v/>
      </c>
      <c r="C365">
        <f>Inputs!$B$3&gt;=38</f>
        <v/>
      </c>
      <c r="D365">
        <f>IF(Skills!C21=1,60+Inputs!$B$25+Inputs!$B$29,IF(Skills!C21=2,90+Inputs!$B$26+Inputs!$B$29,IF(Skills!C21=3,120+Inputs!$B$27+Inputs!$B$29,MAX(0,(Inputs!$B$3-100)*3)+Inputs!$B$28+Inputs!$B$29)))</f>
        <v/>
      </c>
      <c r="E365">
        <f>INDEX(FactorTable!$B$2:$Y$301, MATCH(ROUND(MIN(300,MAX(1,D365)),0), FactorTable!$A$2:$A$301,0), Skills!M21+1)</f>
        <v/>
      </c>
      <c r="F365">
        <f>IF(Skills!N21=TRUE,(Skills!L21/10)*(E365/1000),Skills!L21/10)+Skills!O21</f>
        <v/>
      </c>
      <c r="G365">
        <f>Skills!G21*IF(Skills!H21&gt;0,Skills!I21/Skills!H21,1)</f>
        <v/>
      </c>
      <c r="H365">
        <f>1-(1-Skills!J21/100)^Skills!K21</f>
        <v/>
      </c>
      <c r="I365" t="inlineStr">
        <is>
          <t>1</t>
        </is>
      </c>
      <c r="J365" t="inlineStr"/>
      <c r="K365" t="inlineStr"/>
      <c r="L365" t="inlineStr"/>
      <c r="M365" t="inlineStr"/>
      <c r="N365" t="inlineStr"/>
      <c r="O365">
        <f>(1-Summary!$B$11)*T365+Summary!$B$11*V365</f>
        <v/>
      </c>
      <c r="P365">
        <f>IF(B380=0,0,O365/B380)</f>
        <v/>
      </c>
      <c r="Q365" t="n">
        <v>0</v>
      </c>
      <c r="R365" t="n">
        <v>0</v>
      </c>
      <c r="S365">
        <f>IFERROR(O365/N365,0)</f>
        <v/>
      </c>
      <c r="T365" t="n">
        <v>0</v>
      </c>
      <c r="V365" t="n">
        <v>0</v>
      </c>
    </row>
    <row r="366">
      <c r="A366">
        <f>Skills!A22</f>
        <v/>
      </c>
      <c r="B366">
        <f>Skills!B22</f>
        <v/>
      </c>
      <c r="C366">
        <f>Inputs!$B$3&gt;=75</f>
        <v/>
      </c>
      <c r="D366">
        <f>IF(Skills!C22=1,60+Inputs!$B$25+Inputs!$B$29,IF(Skills!C22=2,90+Inputs!$B$26+Inputs!$B$29,IF(Skills!C22=3,120+Inputs!$B$27+Inputs!$B$29,MAX(0,(Inputs!$B$3-100)*3)+Inputs!$B$28+Inputs!$B$29)))</f>
        <v/>
      </c>
      <c r="E366">
        <f>INDEX(FactorTable!$B$2:$Y$301, MATCH(ROUND(MIN(300,MAX(1,D366)),0), FactorTable!$A$2:$A$301,0), Skills!M22+1)</f>
        <v/>
      </c>
      <c r="F366">
        <f>IF(Skills!N22=TRUE,(Skills!L22/10)*(E366/1000),Skills!L22/10)+Skills!O22</f>
        <v/>
      </c>
      <c r="G366">
        <f>Skills!G22*IF(Skills!H22&gt;0,Skills!I22/Skills!H22,1)</f>
        <v/>
      </c>
      <c r="H366">
        <f>1-(1-Skills!J22/100)^Skills!K22</f>
        <v/>
      </c>
      <c r="I366" t="inlineStr">
        <is>
          <t>1</t>
        </is>
      </c>
      <c r="J366" t="inlineStr"/>
      <c r="K366" t="inlineStr"/>
      <c r="L366" t="inlineStr"/>
      <c r="M366" t="inlineStr"/>
      <c r="N366" t="inlineStr"/>
      <c r="O366">
        <f>(1-Summary!$B$11)*T366+Summary!$B$11*V366</f>
        <v/>
      </c>
      <c r="P366">
        <f>IF(B380=0,0,O366/B380)</f>
        <v/>
      </c>
      <c r="Q366" t="n">
        <v>0</v>
      </c>
      <c r="R366" t="n">
        <v>0</v>
      </c>
      <c r="S366">
        <f>IFERROR(O366/N366,0)</f>
        <v/>
      </c>
      <c r="T366" t="n">
        <v>0</v>
      </c>
      <c r="V366" t="n">
        <v>0</v>
      </c>
    </row>
    <row r="367">
      <c r="A367">
        <f>Skills!A23</f>
        <v/>
      </c>
      <c r="B367">
        <f>Skills!B23</f>
        <v/>
      </c>
      <c r="C367">
        <f>TRUE</f>
        <v/>
      </c>
      <c r="D367">
        <f>IF(Skills!C23=1,60+Inputs!$B$25+Inputs!$B$29,IF(Skills!C23=2,90+Inputs!$B$26+Inputs!$B$29,IF(Skills!C23=3,120+Inputs!$B$27+Inputs!$B$29,MAX(0,(Inputs!$B$3-100)*3)+Inputs!$B$28+Inputs!$B$29)))</f>
        <v/>
      </c>
      <c r="E367">
        <f>INDEX(FactorTable!$B$2:$Y$301, MATCH(ROUND(MIN(300,MAX(1,D367)),0), FactorTable!$A$2:$A$301,0), Skills!M23+1)</f>
        <v/>
      </c>
      <c r="F367">
        <f>IF(Skills!N23=TRUE,(Skills!L23/10)*(E367/1000),Skills!L23/10)+Skills!O23</f>
        <v/>
      </c>
      <c r="G367">
        <f>Skills!G23*IF(Skills!H23&gt;0,Skills!I23/Skills!H23,1)</f>
        <v/>
      </c>
      <c r="H367">
        <f>1-(1-Skills!J23/100)^Skills!K23</f>
        <v/>
      </c>
      <c r="I367" t="inlineStr">
        <is>
          <t>1</t>
        </is>
      </c>
      <c r="J367" t="inlineStr"/>
      <c r="K367" t="inlineStr"/>
      <c r="L367" t="inlineStr"/>
      <c r="M367" t="inlineStr"/>
      <c r="N367" t="inlineStr"/>
      <c r="O367">
        <f>(1-Summary!$B$11)*T367+Summary!$B$11*V367</f>
        <v/>
      </c>
      <c r="P367">
        <f>IF(B380=0,0,O367/B380)</f>
        <v/>
      </c>
      <c r="Q367">
        <f>IFERROR(1/(IF(Inputs!$B$38="pvp",15,MAX(0.1,Skills!D23-IF(Skills!E23=TRUE,Inputs!$B$32,0)))*(1-IF(AND(ArtifactsInput!$M$27,Inputs!$B$4="Chapter Hunt"),CHOOSE(ArtifactsInput!$N$27+1,20,24,28,32,36,40),0)/100)),0)</f>
        <v/>
      </c>
      <c r="R367">
        <f>IF(AND(Inputs!$B$38&lt;&gt;"pvp",Inputs!$B$43&gt;0),IF(Inputs!$B$43&lt;=0,0,(INT(Inputs!$B$43/(IF(Inputs!$B$38="pvp",15,MAX(0.1,Skills!D23-IF(Skills!E23=TRUE,Inputs!$B$32,0)))*(1-IF(AND(ArtifactsInput!$M$27,Inputs!$B$4="Chapter Hunt"),CHOOSE(ArtifactsInput!$N$27+1,20,24,28,32,36,40),0)/100)))+1)),0)</f>
        <v/>
      </c>
      <c r="S367">
        <f>IFERROR(O367/N367,0)</f>
        <v/>
      </c>
      <c r="T367" t="n">
        <v>0</v>
      </c>
      <c r="V367" t="n">
        <v>0</v>
      </c>
    </row>
    <row r="369">
      <c r="A369" t="inlineStr">
        <is>
          <t>Attack% Bucket Multiplier</t>
        </is>
      </c>
      <c r="B369">
        <f>(1+(((C357=TRUE)*F357*5/7)+((C363=TRUE)*(F363-Calc!F19))+(IF(ArtifactsInput!$M$21,CHOOSE(ArtifactsInput!$N$21+1,25,30,35,40,45,50)*(IF(OR(Inputs!$B$4="Chapter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0">
      <c r="A370" t="inlineStr">
        <is>
          <t>Global Crit Rate Bonus %</t>
        </is>
      </c>
      <c r="B370" t="n">
        <v>0</v>
      </c>
    </row>
    <row r="371">
      <c r="A371" t="inlineStr">
        <is>
          <t>Attack Speed Buff Bonus % (Nimble Feet, duty-cycle averaged)</t>
        </is>
      </c>
      <c r="B371">
        <f>((C367=TRUE)*F367*IF(AND(Inputs!$B$38&lt;&gt;"pvp",Inputs!$B$43&gt;0),(((R367-1)*(Skills!T23*(1+Inputs!$B$34/100))+MIN((Skills!T23*(1+Inputs!$B$34/100)),MAX(0,Inputs!$B$43-((R367-1)*Skills!D23))))/Inputs!$B$43),IF(Inputs!$B$38="pvp",MIN((Skills!T23*(1+Inputs!$B$34/100)),15)/15,(Skills!T23*(1+Inputs!$B$34/100))/Skills!D23)))</f>
        <v/>
      </c>
    </row>
    <row r="372">
      <c r="A372" t="inlineStr">
        <is>
          <t>Actions Per Second</t>
        </is>
      </c>
      <c r="B372">
        <f>1+MIN(150,150*(1-(1-(Inputs!$B$11+((C361=TRUE)*(F361-Calc!F17))+((C362=TRUE)*(F362-Calc!F18)))/150)*(1-B371/150)))/100</f>
        <v/>
      </c>
    </row>
    <row r="373">
      <c r="A373" t="inlineStr">
        <is>
          <t>Skill + Buff Cast Rate</t>
        </is>
      </c>
      <c r="B373">
        <f>IF(AND(Inputs!$B$38&lt;&gt;"pvp",Inputs!$B$43&gt;0),SUMPRODUCT((Skills!E2:E23=TRUE)*(C346:C367=TRUE)*R346:R367*Skills!F2:F23)/Inputs!$B$43,SUMPRODUCT((Skills!E2:E23=TRUE)*(C346:C367=TRUE)*Q346:Q367*Skills!F2:F23))</f>
        <v/>
      </c>
    </row>
    <row r="374">
      <c r="A374" t="inlineStr">
        <is>
          <t>Hook Bomber Casts Per Second</t>
        </is>
      </c>
      <c r="B374">
        <f>MAX(0,B372-B373)</f>
        <v/>
      </c>
    </row>
    <row r="375">
      <c r="A375" t="inlineStr">
        <is>
          <t>Global Critical Damage Bonus % (unused)</t>
        </is>
      </c>
      <c r="B375" t="n">
        <v>0</v>
      </c>
    </row>
    <row r="376">
      <c r="A376" t="inlineStr">
        <is>
          <t>Global Final Damage Bonus % (Serpent Scale + Crossbones + Time Leap + Speed Infusion)</t>
        </is>
      </c>
      <c r="B376">
        <f>((C349=TRUE)*F349*((10+IF(Inputs!$B$3&gt;=94,5,0))/((10+IF(Inputs!$B$3&gt;=94,5,0))+5/(B374*(1+IF(Inputs!$B$3&gt;=104,1,0))))))+((C358=TRUE)*F358*IF(AND(Inputs!$B$38&lt;&gt;"pvp",Inputs!$B$43&gt;0),(((R358-1)*(Skills!T14*(1+Inputs!$B$34/100))+MIN((Skills!T14*(1+Inputs!$B$34/100)),MAX(0,Inputs!$B$43-((R358-1)*Skills!D14))))/Inputs!$B$43),IF(Inputs!$B$38="pvp",MIN((Skills!T14*(1+Inputs!$B$34/100)),15)/15,(Skills!T14*(1+Inputs!$B$34/100))/Skills!D14)))+((C359=TRUE)*F359*IF(AND(Inputs!$B$38&lt;&gt;"pvp",Inputs!$B$43&gt;0),(((R359-1)*(Skills!T15*(1+Inputs!$B$34/100))+MIN((Skills!T15*(1+Inputs!$B$34/100)),MAX(0,Inputs!$B$43-((R359-1)*Skills!D15))))/Inputs!$B$43),IF(Inputs!$B$38="pvp",MIN((Skills!T15*(1+Inputs!$B$34/100)),15)/15,(Skills!T15*(1+Inputs!$B$34/100))/Skills!D15)))+((Inputs!$B$3&gt;=110)*20*(B372-1)*IF(Inputs!$B$38="pvp",MIN((15*(1+Inputs!$B$34/100)),15)/15,(15*(1+Inputs!$B$34/100))/35))</f>
        <v/>
      </c>
    </row>
    <row r="377">
      <c r="A377" t="inlineStr">
        <is>
          <t>Buff-Casting Startup Delay (s, fixed-duration only)</t>
        </is>
      </c>
      <c r="B377">
        <f>IF(AND(Inputs!$B$38&lt;&gt;"pvp",Inputs!$B$43&gt;0),SUMPRODUCT((Skills!T2:T23&gt;0)*(Skills!E2:E23=TRUE)*(C346:C367=TRUE))/B372,0)</f>
        <v/>
      </c>
    </row>
    <row r="378">
      <c r="A378" t="inlineStr">
        <is>
          <t>Boss-Only Total DPS (this block's swept value)</t>
        </is>
      </c>
      <c r="B378">
        <f>SUM(T346:T367)</f>
        <v/>
      </c>
    </row>
    <row r="379">
      <c r="A379" t="inlineStr">
        <is>
          <t>Normal-Only Total DPS (this block's swept value)</t>
        </is>
      </c>
      <c r="B379">
        <f>SUM(V346:V367)</f>
        <v/>
      </c>
    </row>
    <row r="380">
      <c r="A380" s="6" t="inlineStr">
        <is>
          <t>TOTAL DPS</t>
        </is>
      </c>
      <c r="B380" s="6">
        <f>SUM(O346:O367)</f>
        <v/>
      </c>
    </row>
    <row r="383">
      <c r="A383" s="6" t="inlineStr">
        <is>
          <t>Stat: MIN_DAMAGE %</t>
        </is>
      </c>
    </row>
    <row r="384">
      <c r="A384" s="5" t="inlineStr">
        <is>
          <t>Key</t>
        </is>
      </c>
      <c r="B384" s="5" t="inlineStr">
        <is>
          <t>Name</t>
        </is>
      </c>
      <c r="C384" s="5" t="inlineStr">
        <is>
          <t>Unlocked</t>
        </is>
      </c>
      <c r="D384" s="5" t="inlineStr">
        <is>
          <t>InputLevel</t>
        </is>
      </c>
      <c r="E384" s="5" t="inlineStr">
        <is>
          <t>Factor</t>
        </is>
      </c>
      <c r="F384" s="5" t="inlineStr">
        <is>
          <t>CoefficientPercent</t>
        </is>
      </c>
      <c r="G384" s="5" t="inlineStr">
        <is>
          <t>EffectiveHits</t>
        </is>
      </c>
      <c r="H384" s="5" t="inlineStr">
        <is>
          <t>ProcProbability</t>
        </is>
      </c>
      <c r="I384" s="5" t="inlineStr">
        <is>
          <t>MapleHeroMultiplier</t>
        </is>
      </c>
      <c r="J384" s="5" t="inlineStr">
        <is>
          <t>BaseDamage</t>
        </is>
      </c>
      <c r="K384" s="5" t="inlineStr">
        <is>
          <t>BaseHitDamage</t>
        </is>
      </c>
      <c r="L384" s="5" t="inlineStr">
        <is>
          <t>NonCritAvg</t>
        </is>
      </c>
      <c r="M384" s="5" t="inlineStr">
        <is>
          <t>CritAvg</t>
        </is>
      </c>
      <c r="N384" s="5" t="inlineStr">
        <is>
          <t>ExpectedDamage(perHit)</t>
        </is>
      </c>
      <c r="O384" s="5" t="inlineStr">
        <is>
          <t>DPS</t>
        </is>
      </c>
      <c r="P384" s="5" t="inlineStr">
        <is>
          <t>% of Total</t>
        </is>
      </c>
      <c r="Q384" s="5" t="inlineStr">
        <is>
          <t>InvCooldown</t>
        </is>
      </c>
      <c r="R384" s="5" t="inlineStr">
        <is>
          <t>CastsInFight</t>
        </is>
      </c>
      <c r="S384" s="5" t="inlineStr">
        <is>
          <t>HitRate(perSec)</t>
        </is>
      </c>
      <c r="U384" t="inlineStr">
        <is>
          <t>helpers</t>
        </is>
      </c>
    </row>
    <row r="385">
      <c r="A385">
        <f>Skills!A2</f>
        <v/>
      </c>
      <c r="B385">
        <f>Skills!B2</f>
        <v/>
      </c>
      <c r="C385">
        <f>Inputs!$B$3&gt;=100</f>
        <v/>
      </c>
      <c r="D385" t="inlineStr"/>
      <c r="E385" t="inlineStr"/>
      <c r="F385">
        <f>U387+Skills!O2</f>
        <v/>
      </c>
      <c r="G385">
        <f>Skills!G2*IF(Skills!H2&gt;0,Skills!I2/Skills!H2,1)</f>
        <v/>
      </c>
      <c r="H385">
        <f>1-(1-Skills!J2/100)^Skills!K2</f>
        <v/>
      </c>
      <c r="I385" t="inlineStr">
        <is>
          <t>1</t>
        </is>
      </c>
      <c r="J385">
        <f>((Inputs!$B$6*(1+Inputs!$B$7/100))+(((Inputs!$B$12*(1+Inputs!$B$13/100))-(Inputs!$B$12*(1+Inputs!$B$13/100)))+0.25*(Inputs!$B$14-Inputs!$B$14))*(1+Inputs!$B$7/100))*(F385/100)</f>
        <v/>
      </c>
      <c r="K385">
        <f>J385*(1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385)</f>
        <v/>
      </c>
      <c r="L385">
        <f>K385*(MIN((Inputs!$B$22+1)+((C403=TRUE)*(F403-Calc!F20)),(Inputs!$B$23+0+(IF(ArtifactsInput!$M$15,CHOOSE(ArtifactsInput!$N$15+1,25,30,35,40,45,50)/100*(Inputs!$B$11-Inputs!$B$11),0))))/100+(Inputs!$B$23+0+(IF(ArtifactsInput!$M$15,CHOOSE(ArtifactsInput!$N$15+1,25,30,35,40,45,50)/100*(Inputs!$B$11-Inputs!$B$11),0)))/100)/2</f>
        <v/>
      </c>
      <c r="M385">
        <f>L385*(1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5">
        <f>L385*(1-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385*(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5">
        <f>(1-Summary!$B$11)*T385+Summary!$B$11*V385</f>
        <v/>
      </c>
      <c r="P385">
        <f>IF(B419=0,0,O385/B419)</f>
        <v/>
      </c>
      <c r="Q385" t="n">
        <v>0</v>
      </c>
      <c r="R385" t="n">
        <v>0</v>
      </c>
      <c r="S385">
        <f>IFERROR(O385/N385,0)</f>
        <v/>
      </c>
      <c r="T385">
        <f>IF(C385,(Skills!G2*N385*B413)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385*(1-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385*(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385*(1-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385*(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5">
        <f>MAX(0,(Inputs!$B$3-100)*3)+Inputs!$B$28+Inputs!$B$29</f>
        <v/>
      </c>
      <c r="V385">
        <f>IF(C385,(Skills!G2*N385*B413)*IF(Inputs!$B$38="pvp",1,(1+(Inputs!$B$21+Skills!Q2+(IF(ArtifactsInput!$M$33,CHOOSE(ArtifactsInput!$N$33+1,30,36,42,48,54,60),0))+(IF(AND(ArtifactsInput!$M$35,Inputs!$B$4&lt;&gt;"Chapter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6">
      <c r="A386">
        <f>Skills!A3</f>
        <v/>
      </c>
      <c r="B386">
        <f>Skills!B3</f>
        <v/>
      </c>
      <c r="C386">
        <f>Inputs!$B$3&gt;=35</f>
        <v/>
      </c>
      <c r="D386">
        <f>IF(Skills!C3=1,60+Inputs!$B$25+Inputs!$B$29,IF(Skills!C3=2,90+Inputs!$B$26+Inputs!$B$29,IF(Skills!C3=3,120+Inputs!$B$27+Inputs!$B$29,MAX(0,(Inputs!$B$3-100)*3)+Inputs!$B$28+Inputs!$B$29)))</f>
        <v/>
      </c>
      <c r="E386">
        <f>INDEX(FactorTable!$B$2:$Y$301, MATCH(ROUND(MIN(300,MAX(1,D386)),0), FactorTable!$A$2:$A$301,0), Skills!M3+1)</f>
        <v/>
      </c>
      <c r="F386">
        <f>IF(Skills!N3=TRUE,(Skills!L3/10)*(E386/1000),Skills!L3/10)+Skills!O3</f>
        <v/>
      </c>
      <c r="G386">
        <f>Skills!G3*IF(Skills!H3&gt;0,Skills!I3/Skills!H3,1)</f>
        <v/>
      </c>
      <c r="H386">
        <f>1-(1-Skills!J3/100)^Skills!K3</f>
        <v/>
      </c>
      <c r="I386" t="inlineStr">
        <is>
          <t>1</t>
        </is>
      </c>
      <c r="J386">
        <f>((Inputs!$B$6*(1+Inputs!$B$7/100))+(((Inputs!$B$12*(1+Inputs!$B$13/100))-(Inputs!$B$12*(1+Inputs!$B$13/100)))+0.25*(Inputs!$B$14-Inputs!$B$14))*(1+Inputs!$B$7/100))*(F386/100)</f>
        <v/>
      </c>
      <c r="K386">
        <f>J386*(1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386)</f>
        <v/>
      </c>
      <c r="L386">
        <f>K386*(MIN((Inputs!$B$22+1)+((C403=TRUE)*(F403-Calc!F20)),(Inputs!$B$23+0+(IF(ArtifactsInput!$M$15,CHOOSE(ArtifactsInput!$N$15+1,25,30,35,40,45,50)/100*(Inputs!$B$11-Inputs!$B$11),0))))/100+(Inputs!$B$23+0+(IF(ArtifactsInput!$M$15,CHOOSE(ArtifactsInput!$N$15+1,25,30,35,40,45,50)/100*(Inputs!$B$11-Inputs!$B$11),0)))/100)/2</f>
        <v/>
      </c>
      <c r="M386">
        <f>L386*(1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6">
        <f>L386*(1-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386*(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6">
        <f>(1-Summary!$B$11)*T386+Summary!$B$11*V386</f>
        <v/>
      </c>
      <c r="P386">
        <f>IF(B419=0,0,O386/B419)</f>
        <v/>
      </c>
      <c r="Q386" t="n">
        <v>0</v>
      </c>
      <c r="R386" t="n">
        <v>0</v>
      </c>
      <c r="S386">
        <f>IFERROR(O386/N386,0)</f>
        <v/>
      </c>
      <c r="T386">
        <f>IF(C386,(Skills!G3*H386*N386*B413)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386*(1-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386*(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386*(1-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386*(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6">
        <f>INDEX(FactorTable!$B$2:$Y$301, MATCH(ROUND(MIN(300,MAX(1,U385)),0), FactorTable!$A$2:$A$301,0), 22)</f>
        <v/>
      </c>
      <c r="V386">
        <f>IF(C386,(Skills!G3*H386*N386*B413)*IF(Inputs!$B$38="pvp",1,(1+(Inputs!$B$21+Skills!Q3+(IF(ArtifactsInput!$M$33,CHOOSE(ArtifactsInput!$N$33+1,30,36,42,48,54,60),0))+(IF(AND(ArtifactsInput!$M$35,Inputs!$B$4&lt;&gt;"Chapter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7">
      <c r="A387">
        <f>Skills!A4</f>
        <v/>
      </c>
      <c r="B387">
        <f>Skills!B4</f>
        <v/>
      </c>
      <c r="C387">
        <f>Inputs!$B$3&gt;=60</f>
        <v/>
      </c>
      <c r="D387">
        <f>IF(Skills!C4=1,60+Inputs!$B$25+Inputs!$B$29,IF(Skills!C4=2,90+Inputs!$B$26+Inputs!$B$29,IF(Skills!C4=3,120+Inputs!$B$27+Inputs!$B$29,MAX(0,(Inputs!$B$3-100)*3)+Inputs!$B$28+Inputs!$B$29)))</f>
        <v/>
      </c>
      <c r="E387">
        <f>INDEX(FactorTable!$B$2:$Y$301, MATCH(ROUND(MIN(300,MAX(1,D387)),0), FactorTable!$A$2:$A$301,0), Skills!M4+1)</f>
        <v/>
      </c>
      <c r="F387">
        <f>IF(Skills!N4=TRUE,(Skills!L4/10)*(E387/1000),Skills!L4/10)+Skills!O4</f>
        <v/>
      </c>
      <c r="G387">
        <f>Skills!G4*IF(Skills!H4&gt;0,Skills!I4/Skills!H4,1)</f>
        <v/>
      </c>
      <c r="H387">
        <f>1-(1-Skills!J4/100)^Skills!K4</f>
        <v/>
      </c>
      <c r="I387" t="inlineStr">
        <is>
          <t>1</t>
        </is>
      </c>
      <c r="J387">
        <f>((Inputs!$B$6*(1+Inputs!$B$7/100))+(((Inputs!$B$12*(1+Inputs!$B$13/100))-(Inputs!$B$12*(1+Inputs!$B$13/100)))+0.25*(Inputs!$B$14-Inputs!$B$14))*(1+Inputs!$B$7/100))*(F387/100)</f>
        <v/>
      </c>
      <c r="K387">
        <f>J387*(1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395=TRUE,F395,0)/100)*(1+(IF(Skills!A4="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387)</f>
        <v/>
      </c>
      <c r="L387">
        <f>K387*(MIN((Inputs!$B$22+1)+((C403=TRUE)*(F403-Calc!F20)),(Inputs!$B$23+0+(IF(ArtifactsInput!$M$15,CHOOSE(ArtifactsInput!$N$15+1,25,30,35,40,45,50)/100*(Inputs!$B$11-Inputs!$B$11),0))))/100+(Inputs!$B$23+0+(IF(ArtifactsInput!$M$15,CHOOSE(ArtifactsInput!$N$15+1,25,30,35,40,45,50)/100*(Inputs!$B$11-Inputs!$B$11),0)))/100)/2</f>
        <v/>
      </c>
      <c r="M387">
        <f>L387*(1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7">
        <f>L387*(1-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387*(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7">
        <f>(1-Summary!$B$11)*T387+Summary!$B$11*V387</f>
        <v/>
      </c>
      <c r="P387">
        <f>IF(B419=0,0,O387/B419)</f>
        <v/>
      </c>
      <c r="Q387" t="n">
        <v>0</v>
      </c>
      <c r="R387" t="n">
        <v>0</v>
      </c>
      <c r="S387">
        <f>IFERROR(O387/N387,0)</f>
        <v/>
      </c>
      <c r="T387">
        <f>IF(C387,(Skills!G4*H387*N387*B413)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387*(1-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387*(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387*(1-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387*(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7">
        <f>290*U386/1000</f>
        <v/>
      </c>
      <c r="V387">
        <f>IF(C387,(Skills!G4*H387*N387*B413)*IF(Inputs!$B$38="pvp",1,(1+(Inputs!$B$21+Skills!Q4+(IF(ArtifactsInput!$M$33,CHOOSE(ArtifactsInput!$N$33+1,30,36,42,48,54,60),0))+(IF(AND(ArtifactsInput!$M$35,Inputs!$B$4&lt;&gt;"Chapter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8">
      <c r="A388">
        <f>Skills!A5</f>
        <v/>
      </c>
      <c r="B388">
        <f>Skills!B5</f>
        <v/>
      </c>
      <c r="C388">
        <f>Inputs!$B$3&gt;=60</f>
        <v/>
      </c>
      <c r="D388">
        <f>IF(Skills!C5=1,60+Inputs!$B$25+Inputs!$B$29,IF(Skills!C5=2,90+Inputs!$B$26+Inputs!$B$29,IF(Skills!C5=3,120+Inputs!$B$27+Inputs!$B$29,MAX(0,(Inputs!$B$3-100)*3)+Inputs!$B$28+Inputs!$B$29)))</f>
        <v/>
      </c>
      <c r="E388">
        <f>INDEX(FactorTable!$B$2:$Y$301, MATCH(ROUND(MIN(300,MAX(1,D388)),0), FactorTable!$A$2:$A$301,0), Skills!M5+1)</f>
        <v/>
      </c>
      <c r="F388">
        <f>IF(Skills!N5=TRUE,(Skills!L5/10)*(E388/1000),Skills!L5/10)+Skills!O5</f>
        <v/>
      </c>
      <c r="G388">
        <f>Skills!G5*IF(Skills!H5&gt;0,Skills!I5/Skills!H5,1)</f>
        <v/>
      </c>
      <c r="H388">
        <f>1-(1-Skills!J5/100)^Skills!K5</f>
        <v/>
      </c>
      <c r="I388" t="inlineStr">
        <is>
          <t>1</t>
        </is>
      </c>
      <c r="J388" t="inlineStr"/>
      <c r="K388" t="inlineStr"/>
      <c r="L388" t="inlineStr"/>
      <c r="M388" t="inlineStr"/>
      <c r="N388" t="inlineStr"/>
      <c r="O388">
        <f>(1-Summary!$B$11)*T388+Summary!$B$11*V388</f>
        <v/>
      </c>
      <c r="P388">
        <f>IF(B419=0,0,O388/B419)</f>
        <v/>
      </c>
      <c r="Q388" t="n">
        <v>0</v>
      </c>
      <c r="R388" t="n">
        <v>0</v>
      </c>
      <c r="S388">
        <f>IFERROR(O388/N388,0)</f>
        <v/>
      </c>
      <c r="T388" t="n">
        <v>0</v>
      </c>
      <c r="V388" t="n">
        <v>0</v>
      </c>
    </row>
    <row r="389">
      <c r="A389">
        <f>Skills!A6</f>
        <v/>
      </c>
      <c r="B389">
        <f>Skills!B6</f>
        <v/>
      </c>
      <c r="C389">
        <f>Inputs!$B$3&gt;=63</f>
        <v/>
      </c>
      <c r="D389">
        <f>IF(Skills!C6=1,60+Inputs!$B$25+Inputs!$B$29,IF(Skills!C6=2,90+Inputs!$B$26+Inputs!$B$29,IF(Skills!C6=3,120+Inputs!$B$27+Inputs!$B$29,MAX(0,(Inputs!$B$3-100)*3)+Inputs!$B$28+Inputs!$B$29)))</f>
        <v/>
      </c>
      <c r="E389">
        <f>INDEX(FactorTable!$B$2:$Y$301, MATCH(ROUND(MIN(300,MAX(1,D389)),0), FactorTable!$A$2:$A$301,0), Skills!M6+1)</f>
        <v/>
      </c>
      <c r="F389">
        <f>IF(Skills!N6=TRUE,(Skills!L6/10)*(E389/1000),Skills!L6/10)+Skills!O6</f>
        <v/>
      </c>
      <c r="G389">
        <f>Skills!G6*IF(Skills!H6&gt;0,Skills!I6/Skills!H6,1)</f>
        <v/>
      </c>
      <c r="H389">
        <f>1-(1-Skills!J6/100)^Skills!K6</f>
        <v/>
      </c>
      <c r="I389" t="inlineStr">
        <is>
          <t>1</t>
        </is>
      </c>
      <c r="J389">
        <f>((Inputs!$B$6*(1+Inputs!$B$7/100))+(((Inputs!$B$12*(1+Inputs!$B$13/100))-(Inputs!$B$12*(1+Inputs!$B$13/100)))+0.25*(Inputs!$B$14-Inputs!$B$14))*(1+Inputs!$B$7/100))*(F389/100)</f>
        <v/>
      </c>
      <c r="K389">
        <f>J389*(1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395=TRUE,F395,0)/100)*(1+(IF(Skills!A6="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389)</f>
        <v/>
      </c>
      <c r="L389">
        <f>K389*(MIN((Inputs!$B$22+1)+((C403=TRUE)*(F403-Calc!F20)),(Inputs!$B$23+0+(IF(ArtifactsInput!$M$15,CHOOSE(ArtifactsInput!$N$15+1,25,30,35,40,45,50)/100*(Inputs!$B$11-Inputs!$B$11),0))))/100+(Inputs!$B$23+0+(IF(ArtifactsInput!$M$15,CHOOSE(ArtifactsInput!$N$15+1,25,30,35,40,45,50)/100*(Inputs!$B$11-Inputs!$B$11),0)))/100)/2</f>
        <v/>
      </c>
      <c r="M389">
        <f>L389*(1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9">
        <f>L389*(1-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389*(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9">
        <f>(1-Summary!$B$11)*T389+Summary!$B$11*V389</f>
        <v/>
      </c>
      <c r="P389">
        <f>IF(B419=0,0,O389/B419)</f>
        <v/>
      </c>
      <c r="Q389">
        <f>IFERROR(1/(IF(Inputs!$B$38="pvp",15,MAX(0.1,Skills!D6-IF(Skills!E6=TRUE,Inputs!$B$32,0)))*(1-IF(AND(ArtifactsInput!$M$27,Inputs!$B$4="Chapter Hunt"),CHOOSE(ArtifactsInput!$N$27+1,20,24,28,32,36,40),0)/100)),0)</f>
        <v/>
      </c>
      <c r="R389">
        <f>IF(AND(Inputs!$B$38&lt;&gt;"pvp",Inputs!$B$43&gt;0),IF(MAX(0,Inputs!$B$43-B416)&lt;=0,0,(INT(MAX(0,Inputs!$B$43-B416)/(IF(Inputs!$B$38="pvp",15,MAX(0.1,Skills!D6-IF(Skills!E6=TRUE,Inputs!$B$32,0)))*(1-IF(AND(ArtifactsInput!$M$27,Inputs!$B$4="Chapter Hunt"),CHOOSE(ArtifactsInput!$N$27+1,20,24,28,32,36,40),0)/100)))+1)),0)</f>
        <v/>
      </c>
      <c r="S389">
        <f>IFERROR(O389/N389,0)</f>
        <v/>
      </c>
      <c r="T389">
        <f>IF(C389,(H389*N389*IF(AND(Inputs!$B$38&lt;&gt;"pvp",Inputs!$B$43&gt;0),((Skills!G6*((R389-1)*IF(Skills!H6&gt;0,Skills!I6/Skills!H6,1)+IF(Skills!H6&gt;0,MIN(Skills!I6,MAX(0,MAX(0,Inputs!$B$43-B416)-((R389-1)*(IF(Inputs!$B$38="pvp",15,MAX(0.1,Skills!D6-IF(Skills!E6=TRUE,Inputs!$B$32,0)))*(1-IF(AND(ArtifactsInput!$M$27,Inputs!$B$4="Chapter Hunt"),CHOOSE(ArtifactsInput!$N$27+1,20,24,28,32,36,40),0)/100)))))/Skills!H6,1)))/Inputs!$B$43),G389*Q389)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389*(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389*(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89">
        <f>IF(C389,(H389*N389*IF(AND(Inputs!$B$38&lt;&gt;"pvp",Inputs!$B$43&gt;0),((Skills!G6*((R389-1)*IF(Skills!H6&gt;0,Skills!I6/Skills!H6,1)+IF(Skills!H6&gt;0,MIN(Skills!I6,MAX(0,MAX(0,Inputs!$B$43-B416)-((R389-1)*(IF(Inputs!$B$38="pvp",15,MAX(0.1,Skills!D6-IF(Skills!E6=TRUE,Inputs!$B$32,0)))*(1-IF(AND(ArtifactsInput!$M$27,Inputs!$B$4="Chapter Hunt"),CHOOSE(ArtifactsInput!$N$27+1,20,24,28,32,36,40),0)/100)))))/Skills!H6,1)))/Inputs!$B$43),G389*Q389))*IF(Inputs!$B$38="pvp",1,(1+(Inputs!$B$21+Skills!Q6+(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0">
      <c r="A390">
        <f>Skills!A7</f>
        <v/>
      </c>
      <c r="B390">
        <f>Skills!B7</f>
        <v/>
      </c>
      <c r="C390">
        <f>Inputs!$B$3&gt;=100</f>
        <v/>
      </c>
      <c r="D390">
        <f>IF(Skills!C7=1,60+Inputs!$B$25+Inputs!$B$29,IF(Skills!C7=2,90+Inputs!$B$26+Inputs!$B$29,IF(Skills!C7=3,120+Inputs!$B$27+Inputs!$B$29,MAX(0,(Inputs!$B$3-100)*3)+Inputs!$B$28+Inputs!$B$29)))</f>
        <v/>
      </c>
      <c r="E390">
        <f>INDEX(FactorTable!$B$2:$Y$301, MATCH(ROUND(MIN(300,MAX(1,D390)),0), FactorTable!$A$2:$A$301,0), Skills!M7+1)</f>
        <v/>
      </c>
      <c r="F390">
        <f>IF(Skills!N7=TRUE,(Skills!L7/10)*(E390/1000),Skills!L7/10)+Skills!O7</f>
        <v/>
      </c>
      <c r="G390">
        <f>Skills!G7*IF(Skills!H7&gt;0,Skills!I7/Skills!H7,1)</f>
        <v/>
      </c>
      <c r="H390">
        <f>1-(1-Skills!J7/100)^Skills!K7</f>
        <v/>
      </c>
      <c r="I390" t="inlineStr">
        <is>
          <t>1</t>
        </is>
      </c>
      <c r="J390">
        <f>((Inputs!$B$6*(1+Inputs!$B$7/100))+(((Inputs!$B$12*(1+Inputs!$B$13/100))-(Inputs!$B$12*(1+Inputs!$B$13/100)))+0.25*(Inputs!$B$14-Inputs!$B$14))*(1+Inputs!$B$7/100))*(F390/100)</f>
        <v/>
      </c>
      <c r="K390">
        <f>J390*(1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390)</f>
        <v/>
      </c>
      <c r="L390">
        <f>K390*(MIN((Inputs!$B$22+1)+((C403=TRUE)*(F403-Calc!F20)),(Inputs!$B$23+0+(IF(ArtifactsInput!$M$15,CHOOSE(ArtifactsInput!$N$15+1,25,30,35,40,45,50)/100*(Inputs!$B$11-Inputs!$B$11),0))))/100+(Inputs!$B$23+0+(IF(ArtifactsInput!$M$15,CHOOSE(ArtifactsInput!$N$15+1,25,30,35,40,45,50)/100*(Inputs!$B$11-Inputs!$B$11),0)))/100)/2</f>
        <v/>
      </c>
      <c r="M390">
        <f>L390*(1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0">
        <f>L390*(1-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390*(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0">
        <f>(1-Summary!$B$11)*T390+Summary!$B$11*V390</f>
        <v/>
      </c>
      <c r="P390">
        <f>IF(B419=0,0,O390/B419)</f>
        <v/>
      </c>
      <c r="Q390">
        <f>IFERROR(1/(IF(Inputs!$B$38="pvp",15,MAX(0.1,Skills!D7-IF(Skills!E7=TRUE,Inputs!$B$32,0)))*(1-IF(AND(ArtifactsInput!$M$27,Inputs!$B$4="Chapter Hunt"),CHOOSE(ArtifactsInput!$N$27+1,20,24,28,32,36,40),0)/100)),0)</f>
        <v/>
      </c>
      <c r="R390">
        <f>IF(AND(Inputs!$B$38&lt;&gt;"pvp",Inputs!$B$43&gt;0),IF(MAX(0,Inputs!$B$43-B416)&lt;=0,0,(INT(MAX(0,Inputs!$B$43-B416)/(IF(Inputs!$B$38="pvp",15,MAX(0.1,Skills!D7-IF(Skills!E7=TRUE,Inputs!$B$32,0)))*(1-IF(AND(ArtifactsInput!$M$27,Inputs!$B$4="Chapter Hunt"),CHOOSE(ArtifactsInput!$N$27+1,20,24,28,32,36,40),0)/100)))+1)),0)</f>
        <v/>
      </c>
      <c r="S390">
        <f>IFERROR(O390/N390,0)</f>
        <v/>
      </c>
      <c r="T390">
        <f>IF(C390,(H390*N390*IF(AND(Inputs!$B$38&lt;&gt;"pvp",Inputs!$B$43&gt;0),((Skills!G7*((R390-1)*IF(Skills!H7&gt;0,Skills!I7/Skills!H7,1)+IF(Skills!H7&gt;0,MIN(Skills!I7,MAX(0,MAX(0,Inputs!$B$43-B416)-((R390-1)*(IF(Inputs!$B$38="pvp",15,MAX(0.1,Skills!D7-IF(Skills!E7=TRUE,Inputs!$B$32,0)))*(1-IF(AND(ArtifactsInput!$M$27,Inputs!$B$4="Chapter Hunt"),CHOOSE(ArtifactsInput!$N$27+1,20,24,28,32,36,40),0)/100)))))/Skills!H7,1)))/Inputs!$B$43),G390*Q390)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390*(1-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390*(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390*(1-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390*(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0">
        <f>IF(C390,(H390*N390*IF(AND(Inputs!$B$38&lt;&gt;"pvp",Inputs!$B$43&gt;0),((Skills!G7*((R390-1)*IF(Skills!H7&gt;0,Skills!I7/Skills!H7,1)+IF(Skills!H7&gt;0,MIN(Skills!I7,MAX(0,MAX(0,Inputs!$B$43-B416)-((R390-1)*(IF(Inputs!$B$38="pvp",15,MAX(0.1,Skills!D7-IF(Skills!E7=TRUE,Inputs!$B$32,0)))*(1-IF(AND(ArtifactsInput!$M$27,Inputs!$B$4="Chapter Hunt"),CHOOSE(ArtifactsInput!$N$27+1,20,24,28,32,36,40),0)/100)))))/Skills!H7,1)))/Inputs!$B$43),G390*Q390))*IF(Inputs!$B$38="pvp",1,(1+(Inputs!$B$21+Skills!Q7+(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1">
      <c r="A391">
        <f>Skills!A8</f>
        <v/>
      </c>
      <c r="B391">
        <f>Skills!B8</f>
        <v/>
      </c>
      <c r="C391">
        <f>Inputs!$B$3&gt;=110</f>
        <v/>
      </c>
      <c r="D391">
        <f>IF(Skills!C8=1,60+Inputs!$B$25+Inputs!$B$29,IF(Skills!C8=2,90+Inputs!$B$26+Inputs!$B$29,IF(Skills!C8=3,120+Inputs!$B$27+Inputs!$B$29,MAX(0,(Inputs!$B$3-100)*3)+Inputs!$B$28+Inputs!$B$29)))</f>
        <v/>
      </c>
      <c r="E391">
        <f>INDEX(FactorTable!$B$2:$Y$301, MATCH(ROUND(MIN(300,MAX(1,D391)),0), FactorTable!$A$2:$A$301,0), Skills!M8+1)</f>
        <v/>
      </c>
      <c r="F391">
        <f>IF(Skills!N8=TRUE,(Skills!L8/10)*(E391/1000),Skills!L8/10)+Skills!O8</f>
        <v/>
      </c>
      <c r="G391">
        <f>Skills!G8*IF(Skills!H8&gt;0,Skills!I8/Skills!H8,1)</f>
        <v/>
      </c>
      <c r="H391">
        <f>1-(1-Skills!J8/100)^Skills!K8</f>
        <v/>
      </c>
      <c r="I391" t="inlineStr">
        <is>
          <t>1</t>
        </is>
      </c>
      <c r="J391">
        <f>((Inputs!$B$6*(1+Inputs!$B$7/100))+(((Inputs!$B$12*(1+Inputs!$B$13/100))-(Inputs!$B$12*(1+Inputs!$B$13/100)))+0.25*(Inputs!$B$14-Inputs!$B$14))*(1+Inputs!$B$7/100))*(F391/100)</f>
        <v/>
      </c>
      <c r="K391">
        <f>J391*(1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391)</f>
        <v/>
      </c>
      <c r="L391">
        <f>K391*(MIN((Inputs!$B$22+1)+((C403=TRUE)*(F403-Calc!F20)),(Inputs!$B$23+0+(IF(ArtifactsInput!$M$15,CHOOSE(ArtifactsInput!$N$15+1,25,30,35,40,45,50)/100*(Inputs!$B$11-Inputs!$B$11),0))))/100+(Inputs!$B$23+0+(IF(ArtifactsInput!$M$15,CHOOSE(ArtifactsInput!$N$15+1,25,30,35,40,45,50)/100*(Inputs!$B$11-Inputs!$B$11),0)))/100)/2</f>
        <v/>
      </c>
      <c r="M391">
        <f>L391*(1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1">
        <f>L391*(1-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1">
        <f>(1-Summary!$B$11)*T391+Summary!$B$11*V391</f>
        <v/>
      </c>
      <c r="P391">
        <f>IF(B419=0,0,O391/B419)</f>
        <v/>
      </c>
      <c r="Q391">
        <f>IFERROR(1/(IF(Inputs!$B$38="pvp",15,MAX(0.1,Skills!D8-IF(Skills!E8=TRUE,Inputs!$B$32,0)))*(1-IF(AND(ArtifactsInput!$M$27,Inputs!$B$4="Chapter Hunt"),CHOOSE(ArtifactsInput!$N$27+1,20,24,28,32,36,40),0)/100)),0)</f>
        <v/>
      </c>
      <c r="R391">
        <f>IF(AND(Inputs!$B$38&lt;&gt;"pvp",Inputs!$B$43&gt;0),IF(MAX(0,Inputs!$B$43-B416)&lt;=0,0,(INT(MAX(0,Inputs!$B$43-B416)/(IF(Inputs!$B$38="pvp",15,MAX(0.1,Skills!D8-IF(Skills!E8=TRUE,Inputs!$B$32,0)))*(1-IF(AND(ArtifactsInput!$M$27,Inputs!$B$4="Chapter Hunt"),CHOOSE(ArtifactsInput!$N$27+1,20,24,28,32,36,40),0)/100)))+1)),0)</f>
        <v/>
      </c>
      <c r="S391">
        <f>IFERROR(O391/N391,0)</f>
        <v/>
      </c>
      <c r="T391">
        <f>IF(C391,(H391*N391*IF(AND(Inputs!$B$38&lt;&gt;"pvp",Inputs!$B$43&gt;0),((Skills!G8*((R391-1)*IF(Skills!H8&gt;0,Skills!I8/Skills!H8,1)+IF(Skills!H8&gt;0,MIN(Skills!I8,MAX(0,MAX(0,Inputs!$B$43-B416)-((R391-1)*(IF(Inputs!$B$38="pvp",15,MAX(0.1,Skills!D8-IF(Skills!E8=TRUE,Inputs!$B$32,0)))*(1-IF(AND(ArtifactsInput!$M$27,Inputs!$B$4="Chapter Hunt"),CHOOSE(ArtifactsInput!$N$27+1,20,24,28,32,36,40),0)/100)))))/Skills!H8,1)))/Inputs!$B$43),G391*Q391)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391*(1-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391*(1-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1">
        <f>IF(C391,(H391*N391*IF(AND(Inputs!$B$38&lt;&gt;"pvp",Inputs!$B$43&gt;0),((Skills!G8*((R391-1)*IF(Skills!H8&gt;0,Skills!I8/Skills!H8,1)+IF(Skills!H8&gt;0,MIN(Skills!I8,MAX(0,MAX(0,Inputs!$B$43-B416)-((R391-1)*(IF(Inputs!$B$38="pvp",15,MAX(0.1,Skills!D8-IF(Skills!E8=TRUE,Inputs!$B$32,0)))*(1-IF(AND(ArtifactsInput!$M$27,Inputs!$B$4="Chapter Hunt"),CHOOSE(ArtifactsInput!$N$27+1,20,24,28,32,36,40),0)/100)))))/Skills!H8,1)))/Inputs!$B$43),G391*Q391))*IF(Inputs!$B$38="pvp",1,(1+(Inputs!$B$21+Skills!Q8+(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2">
      <c r="A392">
        <f>Skills!A9</f>
        <v/>
      </c>
      <c r="B392">
        <f>Skills!B9</f>
        <v/>
      </c>
      <c r="C392">
        <f>Inputs!$B$3&gt;=110</f>
        <v/>
      </c>
      <c r="D392">
        <f>IF(Skills!C9=1,60+Inputs!$B$25+Inputs!$B$29,IF(Skills!C9=2,90+Inputs!$B$26+Inputs!$B$29,IF(Skills!C9=3,120+Inputs!$B$27+Inputs!$B$29,MAX(0,(Inputs!$B$3-100)*3)+Inputs!$B$28+Inputs!$B$29)))</f>
        <v/>
      </c>
      <c r="E392">
        <f>INDEX(FactorTable!$B$2:$Y$301, MATCH(ROUND(MIN(300,MAX(1,D392)),0), FactorTable!$A$2:$A$301,0), Skills!M9+1)</f>
        <v/>
      </c>
      <c r="F392">
        <f>IF(Skills!N9=TRUE,(Skills!L9/10)*(E392/1000),Skills!L9/10)+Skills!O9</f>
        <v/>
      </c>
      <c r="G392">
        <f>Skills!G9*IF(Skills!H9&gt;0,Skills!I9/Skills!H9,1)</f>
        <v/>
      </c>
      <c r="H392">
        <f>1-(1-Skills!J9/100)^Skills!K9</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+1)+((C403=TRUE)*(F403-Calc!F20)),(Inputs!$B$23+0+(IF(ArtifactsInput!$M$15,CHOOSE(ArtifactsInput!$N$15+1,25,30,35,40,45,50)/100*(Inputs!$B$11-Inputs!$B$11),0))))/100+(Inputs!$B$23+0+(IF(ArtifactsInput!$M$15,CHOOSE(ArtifactsInput!$N$15+1,25,30,35,40,45,50)/100*(Inputs!$B$11-Inputs!$B$11),0)))/100)/2</f>
        <v/>
      </c>
      <c r="M392">
        <f>L392*(1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IF(B419=0,0,O392/B419)</f>
        <v/>
      </c>
      <c r="Q392">
        <f>IFERROR(1/(IF(Inputs!$B$38="pvp",15,MAX(0.1,Skills!D9-IF(Skills!E9=TRUE,Inputs!$B$32,0)))*(1-IF(AND(ArtifactsInput!$M$27,Inputs!$B$4="Chapter Hunt"),CHOOSE(ArtifactsInput!$N$27+1,20,24,28,32,36,40),0)/100)),0)</f>
        <v/>
      </c>
      <c r="R392">
        <f>IF(AND(Inputs!$B$38&lt;&gt;"pvp",Inputs!$B$43&gt;0),IF(MAX(0,Inputs!$B$43-B416)&lt;=0,0,(INT(MAX(0,Inputs!$B$43-B416)/(IF(Inputs!$B$38="pvp",15,MAX(0.1,Skills!D9-IF(Skills!E9=TRUE,Inputs!$B$32,0)))*(1-IF(AND(ArtifactsInput!$M$27,Inputs!$B$4="Chapter Hunt"),CHOOSE(ArtifactsInput!$N$27+1,20,24,28,32,36,40),0)/100)))+1)),0)</f>
        <v/>
      </c>
      <c r="S392">
        <f>IFERROR(O392/N392,0)</f>
        <v/>
      </c>
      <c r="T392">
        <f>IF(C392,(H392*N392*IF(AND(Inputs!$B$38&lt;&gt;"pvp",Inputs!$B$43&gt;0),((Skills!G9*((R392-1)*IF(Skills!H9&gt;0,Skills!I9/Skills!H9,1)+IF(Skills!H9&gt;0,MIN(Skills!I9,MAX(0,MAX(0,Inputs!$B$43-B416)-((R392-1)*(IF(Inputs!$B$38="pvp",15,MAX(0.1,Skills!D9-IF(Skills!E9=TRUE,Inputs!$B$32,0)))*(1-IF(AND(ArtifactsInput!$M$27,Inputs!$B$4="Chapter Hunt"),CHOOSE(ArtifactsInput!$N$27+1,20,24,28,32,36,40),0)/100)))))/Skills!H9,1)))/Inputs!$B$43),G392*Q392)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9*((R392-1)*IF(Skills!H9&gt;0,Skills!I9/Skills!H9,1)+IF(Skills!H9&gt;0,MIN(Skills!I9,MAX(0,MAX(0,Inputs!$B$43-B416)-((R392-1)*(IF(Inputs!$B$38="pvp",15,MAX(0.1,Skills!D9-IF(Skills!E9=TRUE,Inputs!$B$32,0)))*(1-IF(AND(ArtifactsInput!$M$27,Inputs!$B$4="Chapter Hunt"),CHOOSE(ArtifactsInput!$N$27+1,20,24,28,32,36,40),0)/100)))))/Skills!H9,1)))/Inputs!$B$43),G392*Q392))*IF(Inputs!$B$38="pvp",1,(1+(Inputs!$B$21+Skills!Q9+(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Skills!A10</f>
        <v/>
      </c>
      <c r="B393">
        <f>Skills!B10</f>
        <v/>
      </c>
      <c r="C393">
        <f>Inputs!$B$3&gt;=103</f>
        <v/>
      </c>
      <c r="D393">
        <f>IF(Skills!C10=1,60+Inputs!$B$25+Inputs!$B$29,IF(Skills!C10=2,90+Inputs!$B$26+Inputs!$B$29,IF(Skills!C10=3,120+Inputs!$B$27+Inputs!$B$29,MAX(0,(Inputs!$B$3-100)*3)+Inputs!$B$28+Inputs!$B$29)))</f>
        <v/>
      </c>
      <c r="E393">
        <f>INDEX(FactorTable!$B$2:$Y$301, MATCH(ROUND(MIN(300,MAX(1,D393)),0), FactorTable!$A$2:$A$301,0), Skills!M10+1)</f>
        <v/>
      </c>
      <c r="F393">
        <f>IF(Skills!N10=TRUE,(Skills!L10/10)*(E393/1000),Skills!L10/10)+Skills!O10</f>
        <v/>
      </c>
      <c r="G393">
        <f>Skills!G10*IF(Skills!H10&gt;0,Skills!I10/Skills!H10,1)</f>
        <v/>
      </c>
      <c r="H393">
        <f>1-(1-Skills!J10/100)^Skills!K10</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+1)+((C403=TRUE)*(F403-Calc!F20)),(Inputs!$B$23+0+(IF(ArtifactsInput!$M$15,CHOOSE(ArtifactsInput!$N$15+1,25,30,35,40,45,50)/100*(Inputs!$B$11-Inputs!$B$11),0))))/100+(Inputs!$B$23+0+(IF(ArtifactsInput!$M$15,CHOOSE(ArtifactsInput!$N$15+1,25,30,35,40,45,50)/100*(Inputs!$B$11-Inputs!$B$11),0)))/100)/2</f>
        <v/>
      </c>
      <c r="M393">
        <f>L393*(1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IF(B419=0,0,O393/B419)</f>
        <v/>
      </c>
      <c r="Q393">
        <f>IFERROR(1/(IF(Inputs!$B$38="pvp",15,MAX(0.1,Skills!D10-IF(Skills!E10=TRUE,Inputs!$B$32,0)))*(1-IF(AND(ArtifactsInput!$M$27,Inputs!$B$4="Chapter Hunt"),CHOOSE(ArtifactsInput!$N$27+1,20,24,28,32,36,40),0)/100)),0)</f>
        <v/>
      </c>
      <c r="R393">
        <f>IF(AND(Inputs!$B$38&lt;&gt;"pvp",Inputs!$B$43&gt;0),IF(MAX(0,Inputs!$B$43-B416)&lt;=0,0,(INT(MAX(0,Inputs!$B$43-B416)/(IF(Inputs!$B$38="pvp",15,MAX(0.1,Skills!D10-IF(Skills!E10=TRUE,Inputs!$B$32,0)))*(1-IF(AND(ArtifactsInput!$M$27,Inputs!$B$4="Chapter Hunt"),CHOOSE(ArtifactsInput!$N$27+1,20,24,28,32,36,40),0)/100)))+1)),0)</f>
        <v/>
      </c>
      <c r="S393">
        <f>IFERROR(O393/N393,0)</f>
        <v/>
      </c>
      <c r="T393">
        <f>IF(C393,(H393*N393*IF(AND(Inputs!$B$38&lt;&gt;"pvp",Inputs!$B$43&gt;0),((Skills!G10*((R393-1)*IF(Skills!H10&gt;0,Skills!I10/Skills!H10,1)+IF(Skills!H10&gt;0,MIN(Skills!I10,MAX(0,MAX(0,Inputs!$B$43-B416)-((R393-1)*(IF(Inputs!$B$38="pvp",15,MAX(0.1,Skills!D10-IF(Skills!E10=TRUE,Inputs!$B$32,0)))*(1-IF(AND(ArtifactsInput!$M$27,Inputs!$B$4="Chapter Hunt"),CHOOSE(ArtifactsInput!$N$27+1,20,24,28,32,36,40),0)/100)))))/Skills!H10,1)))/Inputs!$B$43),G393*Q393)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10*((R393-1)*IF(Skills!H10&gt;0,Skills!I10/Skills!H10,1)+IF(Skills!H10&gt;0,MIN(Skills!I10,MAX(0,MAX(0,Inputs!$B$43-B416)-((R393-1)*(IF(Inputs!$B$38="pvp",15,MAX(0.1,Skills!D10-IF(Skills!E10=TRUE,Inputs!$B$32,0)))*(1-IF(AND(ArtifactsInput!$M$27,Inputs!$B$4="Chapter Hunt"),CHOOSE(ArtifactsInput!$N$27+1,20,24,28,32,36,40),0)/100)))))/Skills!H10,1)))/Inputs!$B$43),G393*Q393))*IF(Inputs!$B$38="pvp",1,(1+(Inputs!$B$21+Skills!Q10+(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Skills!A11</f>
        <v/>
      </c>
      <c r="B394">
        <f>Skills!B11</f>
        <v/>
      </c>
      <c r="C394">
        <f>Inputs!$B$3&gt;=113</f>
        <v/>
      </c>
      <c r="D394">
        <f>IF(Skills!C11=1,60+Inputs!$B$25+Inputs!$B$29,IF(Skills!C11=2,90+Inputs!$B$26+Inputs!$B$29,IF(Skills!C11=3,120+Inputs!$B$27+Inputs!$B$29,MAX(0,(Inputs!$B$3-100)*3)+Inputs!$B$28+Inputs!$B$29)))</f>
        <v/>
      </c>
      <c r="E394">
        <f>INDEX(FactorTable!$B$2:$Y$301, MATCH(ROUND(MIN(300,MAX(1,D394)),0), FactorTable!$A$2:$A$301,0), Skills!M11+1)</f>
        <v/>
      </c>
      <c r="F394">
        <f>IF(Skills!N11=TRUE,(Skills!L11/10)*(E394/1000),Skills!L11/10)+Skills!O11</f>
        <v/>
      </c>
      <c r="G394">
        <f>Skills!G11*IF(Skills!H11&gt;0,Skills!I11/Skills!H11,1)</f>
        <v/>
      </c>
      <c r="H394">
        <f>1-(1-Skills!J11/100)^Skills!K11</f>
        <v/>
      </c>
      <c r="I394" t="inlineStr">
        <is>
          <t>1</t>
        </is>
      </c>
      <c r="J394">
        <f>((Inputs!$B$6*(1+Inputs!$B$7/100))+(((Inputs!$B$12*(1+Inputs!$B$13/100))-(Inputs!$B$12*(1+Inputs!$B$13/100)))+0.25*(Inputs!$B$14-Inputs!$B$14))*(1+Inputs!$B$7/100))*(F394/100)</f>
        <v/>
      </c>
      <c r="K394">
        <f>J394*(1+((Inputs!$B$12*(1+Inputs!$B$13/100))*0.01+Inputs!$B$14*0.0025)/100)*(1+Inputs!$B$15/100)*(1+Inputs!$B$16/100)*(5000/(6000+Inputs!$B$42*(1-(100*(1-(1-(Inputs!$B$19+0)/100)*(1-CHOOSE(ArtifactsInput!$N$40+1,5,6,7,8,9,10)/100)^(ArtifactsInput!$M$40-ArtifactsInput!$M$40)))/100)))*(1+(Inputs!$B$24+((C405=TRUE)*(F405-Calc!F22))+B415)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404=TRUE)*(F404-Calc!F21))+(((IF(AND(ArtifactsInput!$M$42,((Inputs!$B$9+((C399=TRUE)*(F399-Calc!F16))+B409+(ArtifactsInput!$M$24-ArtifactsInput!$M$24)*CHOOSE(ArtifactsInput!$N$24+1,10,12,14,16,18,20)+IF(ArtifactsInput!$M$10,CHOOSE(ArtifactsInput!$N$10+1,15,18,21,24,27,30)*(IF(Inputs!$B$38="pvp",MIN(15,15)/15,IF(AND(Inputs!$B$38&lt;&gt;"pvp",Inputs!$B$43&gt;0),MIN(15,Inputs!$B$43)/(Inputs!$B$43),0))),0)))&gt;=100),MIN(100,((Inputs!$B$9+((C399=TRUE)*(F399-Calc!F16))+B409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399=TRUE)*(F399-Calc!F16))+B409+(ArtifactsInput!$M$24-ArtifactsInput!$M$24)*CHOOSE(ArtifactsInput!$N$24+1,10,12,14,16,18,20)+IF(ArtifactsInput!$M$10,CHOOSE(ArtifactsInput!$N$10+1,15,18,21,24,27,30)*(IF(Inputs!$B$38="pvp",MIN(15,15)/15,IF(AND(Inputs!$B$38&lt;&gt;"pvp",Inputs!$B$43&gt;0),MIN(15,Inputs!$B$43)/(Inputs!$B$43),0))),0)))&gt;=100),CHOOSE(ArtifactsInput!$N$42+1,40,48,56,64,72,80),0))))/100)*((1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+1)+((C403=TRUE)*(F403-Calc!F20)),(Inputs!$B$23+0+(IF(ArtifactsInput!$M$15,CHOOSE(ArtifactsInput!$N$15+1,25,30,35,40,45,50)/100*(Inputs!$B$11-Inputs!$B$11),0))))/100+(Inputs!$B$23+0+(IF(ArtifactsInput!$M$15,CHOOSE(ArtifactsInput!$N$15+1,25,30,35,40,45,50)/100*(Inputs!$B$11-Inputs!$B$11),0)))/100)/2</f>
        <v/>
      </c>
      <c r="M394">
        <f>L394*(1+(Inputs!$B$10+0+B414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(1-Summary!$B$11)*T394+Summary!$B$11*V394</f>
        <v/>
      </c>
      <c r="P394">
        <f>IF(B419=0,0,O394/B419)</f>
        <v/>
      </c>
      <c r="Q394">
        <f>IFERROR(1/(IF(Inputs!$B$38="pvp",15,MAX(0.1,Skills!D11-IF(Skills!E11=TRUE,Inputs!$B$32,0)))*(1-IF(AND(ArtifactsInput!$M$27,Inputs!$B$4="Chapter Hunt"),CHOOSE(ArtifactsInput!$N$27+1,20,24,28,32,36,40),0)/100)),0)</f>
        <v/>
      </c>
      <c r="R394">
        <f>IF(AND(Inputs!$B$38&lt;&gt;"pvp",Inputs!$B$43&gt;0),IF(MAX(0,Inputs!$B$43-B416)&lt;=0,0,(INT(MAX(0,Inputs!$B$43-B416)/(IF(Inputs!$B$38="pvp",15,MAX(0.1,Skills!D11-IF(Skills!E11=TRUE,Inputs!$B$32,0)))*(1-IF(AND(ArtifactsInput!$M$27,Inputs!$B$4="Chapter Hunt"),CHOOSE(ArtifactsInput!$N$27+1,20,24,28,32,36,40),0)/100)))+1)),0)</f>
        <v/>
      </c>
      <c r="S394">
        <f>IFERROR(O394/N394,0)</f>
        <v/>
      </c>
      <c r="T394">
        <f>IF(C394,(H394*N394*IF(AND(Inputs!$B$38&lt;&gt;"pvp",Inputs!$B$43&gt;0),((Skills!G11*((R394-1)*IF(Skills!H11&gt;0,Skills!I11/Skills!H11,1)+IF(Skills!H11&gt;0,MIN(Skills!I11,MAX(0,MAX(0,Inputs!$B$43-B416)-((R394-1)*(IF(Inputs!$B$38="pvp",15,MAX(0.1,Skills!D11-IF(Skills!E11=TRUE,Inputs!$B$32,0)))*(1-IF(AND(ArtifactsInput!$M$27,Inputs!$B$4="Chapter Hunt"),CHOOSE(ArtifactsInput!$N$27+1,20,24,28,32,36,40),0)/100)))))/Skills!H11,1)))/Inputs!$B$43),G394*Q394)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394*(1-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C399=TRUE)*(F399-Calc!F16))+B409+(ArtifactsInput!$M$24-ArtifactsInput!$M$24)*CHOOSE(ArtifactsInput!$N$24+1,10,12,14,16,18,20)+(IF(AND(ArtifactsInput!$M$42,((Inputs!$B$9+((C399=TRUE)*(F399-Calc!F16))+B409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4">
        <f>IF(C394,(H394*N394*IF(AND(Inputs!$B$38&lt;&gt;"pvp",Inputs!$B$43&gt;0),((Skills!G11*((R394-1)*IF(Skills!H11&gt;0,Skills!I11/Skills!H11,1)+IF(Skills!H11&gt;0,MIN(Skills!I11,MAX(0,MAX(0,Inputs!$B$43-B416)-((R394-1)*(IF(Inputs!$B$38="pvp",15,MAX(0.1,Skills!D11-IF(Skills!E11=TRUE,Inputs!$B$32,0)))*(1-IF(AND(ArtifactsInput!$M$27,Inputs!$B$4="Chapter Hunt"),CHOOSE(ArtifactsInput!$N$27+1,20,24,28,32,36,40),0)/100)))))/Skills!H11,1)))/Inputs!$B$43),G394*Q394))*IF(Inputs!$B$38="pvp",1,(1+(Inputs!$B$21+Skills!Q11+(IF(ArtifactsInput!$M$33,CHOOSE(ArtifactsInput!$N$33+1,30,36,42,48,54,60),0))+(IF(AND(ArtifactsInput!$M$35,Inputs!$B$4&lt;&gt;"Chapter Hunt"),CHOOSE(ArtifactsInput!$N$35+1,15,18,21,24,27,30)*(1-EXP(-(0.2*B411)*5)),0)+IF(AND(ArtifactsInput!$M$22,Inputs!$B$4&lt;&gt;"Chapter Hunt"),CHOOSE(ArtifactsInput!$N$22+1,10,12,14,16,18,20)*((0*(((0.15*B411*5))^0/1)+1*(((0.15*B411*5))^1/1)+2*(((0.15*B411*5))^2/2)+3*(((0.15*B411*5))^3/6)+4*(((0.15*B411*5))^4/24)+5*(((0.15*B411*5))^5/120))/((((0.15*B411*5))^0/1)+(((0.15*B411*5))^1/1)+(((0.15*B411*5))^2/2)+(((0.15*B411*5))^3/6)+(((0.15*B411*5))^4/24)+(((0.15*B411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Skills!A12</f>
        <v/>
      </c>
      <c r="B395">
        <f>Skills!B12</f>
        <v/>
      </c>
      <c r="C395">
        <f>Inputs!$B$3&gt;=100</f>
        <v/>
      </c>
      <c r="D395">
        <f>IF(Skills!C12=1,60+Inputs!$B$25+Inputs!$B$29,IF(Skills!C12=2,90+Inputs!$B$26+Inputs!$B$29,IF(Skills!C12=3,120+Inputs!$B$27+Inputs!$B$29,MAX(0,(Inputs!$B$3-100)*3)+Inputs!$B$28+Inputs!$B$29)))</f>
        <v/>
      </c>
      <c r="E395">
        <f>INDEX(FactorTable!$B$2:$Y$301, MATCH(ROUND(MIN(300,MAX(1,D395)),0), FactorTable!$A$2:$A$301,0), Skills!M12+1)</f>
        <v/>
      </c>
      <c r="F395">
        <f>IF(Skills!N12=TRUE,(Skills!L12/10)*(E395/1000),Skills!L12/10)+Skills!O12</f>
        <v/>
      </c>
      <c r="G395" t="inlineStr"/>
      <c r="H395" t="inlineStr"/>
      <c r="I395" t="inlineStr">
        <is>
          <t>1</t>
        </is>
      </c>
      <c r="J395" t="inlineStr"/>
      <c r="K395" t="inlineStr"/>
      <c r="L395" t="inlineStr"/>
      <c r="M395" t="inlineStr"/>
      <c r="N395" t="inlineStr"/>
      <c r="O395" t="inlineStr"/>
      <c r="P395" t="inlineStr"/>
      <c r="Q395" t="inlineStr"/>
      <c r="R395" t="inlineStr"/>
      <c r="S395" t="inlineStr"/>
      <c r="T395" t="inlineStr"/>
      <c r="V395" t="inlineStr"/>
    </row>
    <row r="396">
      <c r="A396">
        <f>Skills!A13</f>
        <v/>
      </c>
      <c r="B396">
        <f>Skills!B13</f>
        <v/>
      </c>
      <c r="C396">
        <f>Inputs!$B$3&gt;=66</f>
        <v/>
      </c>
      <c r="D396">
        <f>IF(Skills!C13=1,60+Inputs!$B$25+Inputs!$B$29,IF(Skills!C13=2,90+Inputs!$B$26+Inputs!$B$29,IF(Skills!C13=3,120+Inputs!$B$27+Inputs!$B$29,MAX(0,(Inputs!$B$3-100)*3)+Inputs!$B$28+Inputs!$B$29)))</f>
        <v/>
      </c>
      <c r="E396">
        <f>INDEX(FactorTable!$B$2:$Y$301, MATCH(ROUND(MIN(300,MAX(1,D396)),0), FactorTable!$A$2:$A$301,0), Skills!M13+1)</f>
        <v/>
      </c>
      <c r="F396">
        <f>IF(Skills!N13=TRUE,(Skills!L13/10)*(E396/1000),Skills!L13/10)+Skills!O13</f>
        <v/>
      </c>
      <c r="G396">
        <f>Skills!G13*IF(Skills!H13&gt;0,Skills!I13/Skills!H13,1)</f>
        <v/>
      </c>
      <c r="H396">
        <f>1-(1-Skills!J13/100)^Skills!K13</f>
        <v/>
      </c>
      <c r="I396" t="inlineStr">
        <is>
          <t>1</t>
        </is>
      </c>
      <c r="J396" t="inlineStr"/>
      <c r="K396" t="inlineStr"/>
      <c r="L396" t="inlineStr"/>
      <c r="M396" t="inlineStr"/>
      <c r="N396" t="inlineStr"/>
      <c r="O396">
        <f>(1-Summary!$B$11)*T396+Summary!$B$11*V396</f>
        <v/>
      </c>
      <c r="P396">
        <f>IF(B419=0,0,O396/B419)</f>
        <v/>
      </c>
      <c r="Q396" t="n">
        <v>0</v>
      </c>
      <c r="R396" t="n">
        <v>0</v>
      </c>
      <c r="S396">
        <f>IFERROR(O396/N396,0)</f>
        <v/>
      </c>
      <c r="T396" t="n">
        <v>0</v>
      </c>
      <c r="V396" t="n">
        <v>0</v>
      </c>
    </row>
    <row r="397">
      <c r="A397">
        <f>Skills!A14</f>
        <v/>
      </c>
      <c r="B397">
        <f>Skills!B14</f>
        <v/>
      </c>
      <c r="C397">
        <f>Inputs!$B$3&gt;=107</f>
        <v/>
      </c>
      <c r="D397">
        <f>IF(Skills!C14=1,60+Inputs!$B$25+Inputs!$B$29,IF(Skills!C14=2,90+Inputs!$B$26+Inputs!$B$29,IF(Skills!C14=3,120+Inputs!$B$27+Inputs!$B$29,MAX(0,(Inputs!$B$3-100)*3)+Inputs!$B$28+Inputs!$B$29)))</f>
        <v/>
      </c>
      <c r="E397">
        <f>INDEX(FactorTable!$B$2:$Y$301, MATCH(ROUND(MIN(300,MAX(1,D397)),0), FactorTable!$A$2:$A$301,0), Skills!M14+1)</f>
        <v/>
      </c>
      <c r="F397">
        <f>IF(Skills!N14=TRUE,(Skills!L14/10)*(E397/1000),Skills!L14/10)+Skills!O14</f>
        <v/>
      </c>
      <c r="G397">
        <f>Skills!G14*IF(Skills!H14&gt;0,Skills!I14/Skills!H14,1)</f>
        <v/>
      </c>
      <c r="H397">
        <f>1-(1-Skills!J14/100)^Skills!K14</f>
        <v/>
      </c>
      <c r="I397" t="inlineStr">
        <is>
          <t>1</t>
        </is>
      </c>
      <c r="J397" t="inlineStr"/>
      <c r="K397" t="inlineStr"/>
      <c r="L397" t="inlineStr"/>
      <c r="M397" t="inlineStr"/>
      <c r="N397" t="inlineStr"/>
      <c r="O397">
        <f>(1-Summary!$B$11)*T397+Summary!$B$11*V397</f>
        <v/>
      </c>
      <c r="P397">
        <f>IF(B419=0,0,O397/B419)</f>
        <v/>
      </c>
      <c r="Q397">
        <f>IFERROR(1/(IF(Inputs!$B$38="pvp",15,MAX(0.1,Skills!D14-IF(Skills!E14=TRUE,Inputs!$B$32,0)))*(1-IF(AND(ArtifactsInput!$M$27,Inputs!$B$4="Chapter Hunt"),CHOOSE(ArtifactsInput!$N$27+1,20,24,28,32,36,40),0)/100)),0)</f>
        <v/>
      </c>
      <c r="R397">
        <f>IF(AND(Inputs!$B$38&lt;&gt;"pvp",Inputs!$B$43&gt;0),IF(Inputs!$B$43&lt;=0,0,(INT(Inputs!$B$43/(IF(Inputs!$B$38="pvp",15,MAX(0.1,Skills!D14-IF(Skills!E14=TRUE,Inputs!$B$32,0)))*(1-IF(AND(ArtifactsInput!$M$27,Inputs!$B$4="Chapter Hunt"),CHOOSE(ArtifactsInput!$N$27+1,20,24,28,32,36,40),0)/100)))+1)),0)</f>
        <v/>
      </c>
      <c r="S397">
        <f>IFERROR(O397/N397,0)</f>
        <v/>
      </c>
      <c r="T397" t="n">
        <v>0</v>
      </c>
      <c r="V397" t="n">
        <v>0</v>
      </c>
    </row>
    <row r="398">
      <c r="A398">
        <f>Skills!A15</f>
        <v/>
      </c>
      <c r="B398">
        <f>Skills!B15</f>
        <v/>
      </c>
      <c r="C398">
        <f>Inputs!$B$3&gt;=115</f>
        <v/>
      </c>
      <c r="D398">
        <f>IF(Skills!C15=1,60+Inputs!$B$25+Inputs!$B$29,IF(Skills!C15=2,90+Inputs!$B$26+Inputs!$B$29,IF(Skills!C15=3,120+Inputs!$B$27+Inputs!$B$29,MAX(0,(Inputs!$B$3-100)*3)+Inputs!$B$28+Inputs!$B$29)))</f>
        <v/>
      </c>
      <c r="E398">
        <f>INDEX(FactorTable!$B$2:$Y$301, MATCH(ROUND(MIN(300,MAX(1,D398)),0), FactorTable!$A$2:$A$301,0), Skills!M15+1)</f>
        <v/>
      </c>
      <c r="F398">
        <f>IF(Skills!N15=TRUE,(Skills!L15/10)*(E398/1000),Skills!L15/10)+Skills!O15</f>
        <v/>
      </c>
      <c r="G398">
        <f>Skills!G15*IF(Skills!H15&gt;0,Skills!I15/Skills!H15,1)</f>
        <v/>
      </c>
      <c r="H398">
        <f>1-(1-Skills!J15/100)^Skills!K15</f>
        <v/>
      </c>
      <c r="I398" t="inlineStr">
        <is>
          <t>1</t>
        </is>
      </c>
      <c r="J398" t="inlineStr"/>
      <c r="K398" t="inlineStr"/>
      <c r="L398" t="inlineStr"/>
      <c r="M398" t="inlineStr"/>
      <c r="N398" t="inlineStr"/>
      <c r="O398">
        <f>(1-Summary!$B$11)*T398+Summary!$B$11*V398</f>
        <v/>
      </c>
      <c r="P398">
        <f>IF(B419=0,0,O398/B419)</f>
        <v/>
      </c>
      <c r="Q398">
        <f>IFERROR(1/(IF(Inputs!$B$38="pvp",15,MAX(0.1,Skills!D15-IF(Skills!E15=TRUE,Inputs!$B$32,0)))*(1-IF(AND(ArtifactsInput!$M$27,Inputs!$B$4="Chapter Hunt"),CHOOSE(ArtifactsInput!$N$27+1,20,24,28,32,36,40),0)/100)),0)</f>
        <v/>
      </c>
      <c r="R398">
        <f>IF(AND(Inputs!$B$38&lt;&gt;"pvp",Inputs!$B$43&gt;0),IF(Inputs!$B$43&lt;=0,0,(INT(Inputs!$B$43/(IF(Inputs!$B$38="pvp",15,MAX(0.1,Skills!D15-IF(Skills!E15=TRUE,Inputs!$B$32,0)))*(1-IF(AND(ArtifactsInput!$M$27,Inputs!$B$4="Chapter Hunt"),CHOOSE(ArtifactsInput!$N$27+1,20,24,28,32,36,40),0)/100)))+1)),0)</f>
        <v/>
      </c>
      <c r="S398">
        <f>IFERROR(O398/N398,0)</f>
        <v/>
      </c>
      <c r="T398" t="n">
        <v>0</v>
      </c>
      <c r="V398" t="n">
        <v>0</v>
      </c>
    </row>
    <row r="399">
      <c r="A399">
        <f>Skills!A16</f>
        <v/>
      </c>
      <c r="B399">
        <f>Skills!B16</f>
        <v/>
      </c>
      <c r="C399">
        <f>Inputs!$B$3&gt;=15</f>
        <v/>
      </c>
      <c r="D399">
        <f>IF(Skills!C16=1,60+Inputs!$B$25+Inputs!$B$29,IF(Skills!C16=2,90+Inputs!$B$26+Inputs!$B$29,IF(Skills!C16=3,120+Inputs!$B$27+Inputs!$B$29,MAX(0,(Inputs!$B$3-100)*3)+Inputs!$B$28+Inputs!$B$29)))</f>
        <v/>
      </c>
      <c r="E399">
        <f>INDEX(FactorTable!$B$2:$Y$301, MATCH(ROUND(MIN(300,MAX(1,D399)),0), FactorTable!$A$2:$A$301,0), Skills!M16+1)</f>
        <v/>
      </c>
      <c r="F399">
        <f>IF(Skills!N16=TRUE,(Skills!L16/10)*(E399/1000),Skills!L16/10)+Skills!O16</f>
        <v/>
      </c>
      <c r="G399">
        <f>Skills!G16*IF(Skills!H16&gt;0,Skills!I16/Skills!H16,1)</f>
        <v/>
      </c>
      <c r="H399">
        <f>1-(1-Skills!J16/100)^Skills!K16</f>
        <v/>
      </c>
      <c r="I399" t="inlineStr">
        <is>
          <t>1</t>
        </is>
      </c>
      <c r="J399" t="inlineStr"/>
      <c r="K399" t="inlineStr"/>
      <c r="L399" t="inlineStr"/>
      <c r="M399" t="inlineStr"/>
      <c r="N399" t="inlineStr"/>
      <c r="O399">
        <f>(1-Summary!$B$11)*T399+Summary!$B$11*V399</f>
        <v/>
      </c>
      <c r="P399">
        <f>IF(B419=0,0,O399/B419)</f>
        <v/>
      </c>
      <c r="Q399" t="n">
        <v>0</v>
      </c>
      <c r="R399" t="n">
        <v>0</v>
      </c>
      <c r="S399">
        <f>IFERROR(O399/N399,0)</f>
        <v/>
      </c>
      <c r="T399" t="n">
        <v>0</v>
      </c>
      <c r="V399" t="n">
        <v>0</v>
      </c>
    </row>
    <row r="400">
      <c r="A400">
        <f>Skills!A17</f>
        <v/>
      </c>
      <c r="B400">
        <f>Skills!B17</f>
        <v/>
      </c>
      <c r="C400">
        <f>Inputs!$B$3&gt;=10</f>
        <v/>
      </c>
      <c r="D400">
        <f>IF(Skills!C17=1,60+Inputs!$B$25+Inputs!$B$29,IF(Skills!C17=2,90+Inputs!$B$26+Inputs!$B$29,IF(Skills!C17=3,120+Inputs!$B$27+Inputs!$B$29,MAX(0,(Inputs!$B$3-100)*3)+Inputs!$B$28+Inputs!$B$29)))</f>
        <v/>
      </c>
      <c r="E400">
        <f>INDEX(FactorTable!$B$2:$Y$301, MATCH(ROUND(MIN(300,MAX(1,D400)),0), FactorTable!$A$2:$A$301,0), Skills!M17+1)</f>
        <v/>
      </c>
      <c r="F400">
        <f>IF(Skills!N17=TRUE,(Skills!L17/10)*(E400/1000),Skills!L17/10)+Skills!O17</f>
        <v/>
      </c>
      <c r="G400">
        <f>Skills!G17*IF(Skills!H17&gt;0,Skills!I17/Skills!H17,1)</f>
        <v/>
      </c>
      <c r="H400">
        <f>1-(1-Skills!J17/100)^Skills!K17</f>
        <v/>
      </c>
      <c r="I400" t="inlineStr">
        <is>
          <t>1</t>
        </is>
      </c>
      <c r="J400" t="inlineStr"/>
      <c r="K400" t="inlineStr"/>
      <c r="L400" t="inlineStr"/>
      <c r="M400" t="inlineStr"/>
      <c r="N400" t="inlineStr"/>
      <c r="O400">
        <f>(1-Summary!$B$11)*T400+Summary!$B$11*V400</f>
        <v/>
      </c>
      <c r="P400">
        <f>IF(B419=0,0,O400/B419)</f>
        <v/>
      </c>
      <c r="Q400" t="n">
        <v>0</v>
      </c>
      <c r="R400" t="n">
        <v>0</v>
      </c>
      <c r="S400">
        <f>IFERROR(O400/N400,0)</f>
        <v/>
      </c>
      <c r="T400" t="n">
        <v>0</v>
      </c>
      <c r="V400" t="n">
        <v>0</v>
      </c>
    </row>
    <row r="401">
      <c r="A401">
        <f>Skills!A18</f>
        <v/>
      </c>
      <c r="B401">
        <f>Skills!B18</f>
        <v/>
      </c>
      <c r="C401">
        <f>Inputs!$B$3&gt;=33</f>
        <v/>
      </c>
      <c r="D401">
        <f>IF(Skills!C18=1,60+Inputs!$B$25+Inputs!$B$29,IF(Skills!C18=2,90+Inputs!$B$26+Inputs!$B$29,IF(Skills!C18=3,120+Inputs!$B$27+Inputs!$B$29,MAX(0,(Inputs!$B$3-100)*3)+Inputs!$B$28+Inputs!$B$29)))</f>
        <v/>
      </c>
      <c r="E401">
        <f>INDEX(FactorTable!$B$2:$Y$301, MATCH(ROUND(MIN(300,MAX(1,D401)),0), FactorTable!$A$2:$A$301,0), Skills!M18+1)</f>
        <v/>
      </c>
      <c r="F401">
        <f>IF(Skills!N18=TRUE,(Skills!L18/10)*(E401/1000),Skills!L18/10)+Skills!O18</f>
        <v/>
      </c>
      <c r="G401">
        <f>Skills!G18*IF(Skills!H18&gt;0,Skills!I18/Skills!H18,1)</f>
        <v/>
      </c>
      <c r="H401">
        <f>1-(1-Skills!J18/100)^Skills!K18</f>
        <v/>
      </c>
      <c r="I401" t="inlineStr">
        <is>
          <t>1</t>
        </is>
      </c>
      <c r="J401" t="inlineStr"/>
      <c r="K401" t="inlineStr"/>
      <c r="L401" t="inlineStr"/>
      <c r="M401" t="inlineStr"/>
      <c r="N401" t="inlineStr"/>
      <c r="O401">
        <f>(1-Summary!$B$11)*T401+Summary!$B$11*V401</f>
        <v/>
      </c>
      <c r="P401">
        <f>IF(B419=0,0,O401/B419)</f>
        <v/>
      </c>
      <c r="Q401" t="n">
        <v>0</v>
      </c>
      <c r="R401" t="n">
        <v>0</v>
      </c>
      <c r="S401">
        <f>IFERROR(O401/N401,0)</f>
        <v/>
      </c>
      <c r="T401" t="n">
        <v>0</v>
      </c>
      <c r="V401" t="n">
        <v>0</v>
      </c>
    </row>
    <row r="402">
      <c r="A402">
        <f>Skills!A19</f>
        <v/>
      </c>
      <c r="B402">
        <f>Skills!B19</f>
        <v/>
      </c>
      <c r="C402">
        <f>Inputs!$B$3&gt;=40</f>
        <v/>
      </c>
      <c r="D402">
        <f>IF(Skills!C19=1,60+Inputs!$B$25+Inputs!$B$29,IF(Skills!C19=2,90+Inputs!$B$26+Inputs!$B$29,IF(Skills!C19=3,120+Inputs!$B$27+Inputs!$B$29,MAX(0,(Inputs!$B$3-100)*3)+Inputs!$B$28+Inputs!$B$29)))</f>
        <v/>
      </c>
      <c r="E402">
        <f>INDEX(FactorTable!$B$2:$Y$301, MATCH(ROUND(MIN(300,MAX(1,D402)),0), FactorTable!$A$2:$A$301,0), Skills!M19+1)</f>
        <v/>
      </c>
      <c r="F402">
        <f>IF(Skills!N19=TRUE,(Skills!L19/10)*(E402/1000),Skills!L19/10)+Skills!O19</f>
        <v/>
      </c>
      <c r="G402">
        <f>Skills!G19*IF(Skills!H19&gt;0,Skills!I19/Skills!H19,1)</f>
        <v/>
      </c>
      <c r="H402">
        <f>1-(1-Skills!J19/100)^Skills!K19</f>
        <v/>
      </c>
      <c r="I402" t="inlineStr">
        <is>
          <t>1</t>
        </is>
      </c>
      <c r="J402" t="inlineStr"/>
      <c r="K402" t="inlineStr"/>
      <c r="L402" t="inlineStr"/>
      <c r="M402" t="inlineStr"/>
      <c r="N402" t="inlineStr"/>
      <c r="O402">
        <f>(1-Summary!$B$11)*T402+Summary!$B$11*V402</f>
        <v/>
      </c>
      <c r="P402">
        <f>IF(B419=0,0,O402/B419)</f>
        <v/>
      </c>
      <c r="Q402" t="n">
        <v>0</v>
      </c>
      <c r="R402" t="n">
        <v>0</v>
      </c>
      <c r="S402">
        <f>IFERROR(O402/N402,0)</f>
        <v/>
      </c>
      <c r="T402" t="n">
        <v>0</v>
      </c>
      <c r="V402" t="n">
        <v>0</v>
      </c>
    </row>
    <row r="403">
      <c r="A403">
        <f>Skills!A20</f>
        <v/>
      </c>
      <c r="B403">
        <f>Skills!B20</f>
        <v/>
      </c>
      <c r="C403">
        <f>Inputs!$B$3&gt;=43</f>
        <v/>
      </c>
      <c r="D403">
        <f>IF(Skills!C20=1,60+Inputs!$B$25+Inputs!$B$29,IF(Skills!C20=2,90+Inputs!$B$26+Inputs!$B$29,IF(Skills!C20=3,120+Inputs!$B$27+Inputs!$B$29,MAX(0,(Inputs!$B$3-100)*3)+Inputs!$B$28+Inputs!$B$29)))</f>
        <v/>
      </c>
      <c r="E403">
        <f>INDEX(FactorTable!$B$2:$Y$301, MATCH(ROUND(MIN(300,MAX(1,D403)),0), FactorTable!$A$2:$A$301,0), Skills!M20+1)</f>
        <v/>
      </c>
      <c r="F403">
        <f>IF(Skills!N20=TRUE,(Skills!L20/10)*(E403/1000),Skills!L20/10)+Skills!O20</f>
        <v/>
      </c>
      <c r="G403">
        <f>Skills!G20*IF(Skills!H20&gt;0,Skills!I20/Skills!H20,1)</f>
        <v/>
      </c>
      <c r="H403">
        <f>1-(1-Skills!J20/100)^Skills!K20</f>
        <v/>
      </c>
      <c r="I403" t="inlineStr">
        <is>
          <t>1</t>
        </is>
      </c>
      <c r="J403" t="inlineStr"/>
      <c r="K403" t="inlineStr"/>
      <c r="L403" t="inlineStr"/>
      <c r="M403" t="inlineStr"/>
      <c r="N403" t="inlineStr"/>
      <c r="O403">
        <f>(1-Summary!$B$11)*T403+Summary!$B$11*V403</f>
        <v/>
      </c>
      <c r="P403">
        <f>IF(B419=0,0,O403/B419)</f>
        <v/>
      </c>
      <c r="Q403" t="n">
        <v>0</v>
      </c>
      <c r="R403" t="n">
        <v>0</v>
      </c>
      <c r="S403">
        <f>IFERROR(O403/N403,0)</f>
        <v/>
      </c>
      <c r="T403" t="n">
        <v>0</v>
      </c>
      <c r="V403" t="n">
        <v>0</v>
      </c>
    </row>
    <row r="404">
      <c r="A404">
        <f>Skills!A21</f>
        <v/>
      </c>
      <c r="B404">
        <f>Skills!B21</f>
        <v/>
      </c>
      <c r="C404">
        <f>Inputs!$B$3&gt;=38</f>
        <v/>
      </c>
      <c r="D404">
        <f>IF(Skills!C21=1,60+Inputs!$B$25+Inputs!$B$29,IF(Skills!C21=2,90+Inputs!$B$26+Inputs!$B$29,IF(Skills!C21=3,120+Inputs!$B$27+Inputs!$B$29,MAX(0,(Inputs!$B$3-100)*3)+Inputs!$B$28+Inputs!$B$29)))</f>
        <v/>
      </c>
      <c r="E404">
        <f>INDEX(FactorTable!$B$2:$Y$301, MATCH(ROUND(MIN(300,MAX(1,D404)),0), FactorTable!$A$2:$A$301,0), Skills!M21+1)</f>
        <v/>
      </c>
      <c r="F404">
        <f>IF(Skills!N21=TRUE,(Skills!L21/10)*(E404/1000),Skills!L21/10)+Skills!O21</f>
        <v/>
      </c>
      <c r="G404">
        <f>Skills!G21*IF(Skills!H21&gt;0,Skills!I21/Skills!H21,1)</f>
        <v/>
      </c>
      <c r="H404">
        <f>1-(1-Skills!J21/100)^Skills!K21</f>
        <v/>
      </c>
      <c r="I404" t="inlineStr">
        <is>
          <t>1</t>
        </is>
      </c>
      <c r="J404" t="inlineStr"/>
      <c r="K404" t="inlineStr"/>
      <c r="L404" t="inlineStr"/>
      <c r="M404" t="inlineStr"/>
      <c r="N404" t="inlineStr"/>
      <c r="O404">
        <f>(1-Summary!$B$11)*T404+Summary!$B$11*V404</f>
        <v/>
      </c>
      <c r="P404">
        <f>IF(B419=0,0,O404/B419)</f>
        <v/>
      </c>
      <c r="Q404" t="n">
        <v>0</v>
      </c>
      <c r="R404" t="n">
        <v>0</v>
      </c>
      <c r="S404">
        <f>IFERROR(O404/N404,0)</f>
        <v/>
      </c>
      <c r="T404" t="n">
        <v>0</v>
      </c>
      <c r="V404" t="n">
        <v>0</v>
      </c>
    </row>
    <row r="405">
      <c r="A405">
        <f>Skills!A22</f>
        <v/>
      </c>
      <c r="B405">
        <f>Skills!B22</f>
        <v/>
      </c>
      <c r="C405">
        <f>Inputs!$B$3&gt;=75</f>
        <v/>
      </c>
      <c r="D405">
        <f>IF(Skills!C22=1,60+Inputs!$B$25+Inputs!$B$29,IF(Skills!C22=2,90+Inputs!$B$26+Inputs!$B$29,IF(Skills!C22=3,120+Inputs!$B$27+Inputs!$B$29,MAX(0,(Inputs!$B$3-100)*3)+Inputs!$B$28+Inputs!$B$29)))</f>
        <v/>
      </c>
      <c r="E405">
        <f>INDEX(FactorTable!$B$2:$Y$301, MATCH(ROUND(MIN(300,MAX(1,D405)),0), FactorTable!$A$2:$A$301,0), Skills!M22+1)</f>
        <v/>
      </c>
      <c r="F405">
        <f>IF(Skills!N22=TRUE,(Skills!L22/10)*(E405/1000),Skills!L22/10)+Skills!O22</f>
        <v/>
      </c>
      <c r="G405">
        <f>Skills!G22*IF(Skills!H22&gt;0,Skills!I22/Skills!H22,1)</f>
        <v/>
      </c>
      <c r="H405">
        <f>1-(1-Skills!J22/100)^Skills!K22</f>
        <v/>
      </c>
      <c r="I405" t="inlineStr">
        <is>
          <t>1</t>
        </is>
      </c>
      <c r="J405" t="inlineStr"/>
      <c r="K405" t="inlineStr"/>
      <c r="L405" t="inlineStr"/>
      <c r="M405" t="inlineStr"/>
      <c r="N405" t="inlineStr"/>
      <c r="O405">
        <f>(1-Summary!$B$11)*T405+Summary!$B$11*V405</f>
        <v/>
      </c>
      <c r="P405">
        <f>IF(B419=0,0,O405/B419)</f>
        <v/>
      </c>
      <c r="Q405" t="n">
        <v>0</v>
      </c>
      <c r="R405" t="n">
        <v>0</v>
      </c>
      <c r="S405">
        <f>IFERROR(O405/N405,0)</f>
        <v/>
      </c>
      <c r="T405" t="n">
        <v>0</v>
      </c>
      <c r="V405" t="n">
        <v>0</v>
      </c>
    </row>
    <row r="406">
      <c r="A406">
        <f>Skills!A23</f>
        <v/>
      </c>
      <c r="B406">
        <f>Skills!B23</f>
        <v/>
      </c>
      <c r="C406">
        <f>TRUE</f>
        <v/>
      </c>
      <c r="D406">
        <f>IF(Skills!C23=1,60+Inputs!$B$25+Inputs!$B$29,IF(Skills!C23=2,90+Inputs!$B$26+Inputs!$B$29,IF(Skills!C23=3,120+Inputs!$B$27+Inputs!$B$29,MAX(0,(Inputs!$B$3-100)*3)+Inputs!$B$28+Inputs!$B$29)))</f>
        <v/>
      </c>
      <c r="E406">
        <f>INDEX(FactorTable!$B$2:$Y$301, MATCH(ROUND(MIN(300,MAX(1,D406)),0), FactorTable!$A$2:$A$301,0), Skills!M23+1)</f>
        <v/>
      </c>
      <c r="F406">
        <f>IF(Skills!N23=TRUE,(Skills!L23/10)*(E406/1000),Skills!L23/10)+Skills!O23</f>
        <v/>
      </c>
      <c r="G406">
        <f>Skills!G23*IF(Skills!H23&gt;0,Skills!I23/Skills!H23,1)</f>
        <v/>
      </c>
      <c r="H406">
        <f>1-(1-Skills!J23/100)^Skills!K23</f>
        <v/>
      </c>
      <c r="I406" t="inlineStr">
        <is>
          <t>1</t>
        </is>
      </c>
      <c r="J406" t="inlineStr"/>
      <c r="K406" t="inlineStr"/>
      <c r="L406" t="inlineStr"/>
      <c r="M406" t="inlineStr"/>
      <c r="N406" t="inlineStr"/>
      <c r="O406">
        <f>(1-Summary!$B$11)*T406+Summary!$B$11*V406</f>
        <v/>
      </c>
      <c r="P406">
        <f>IF(B419=0,0,O406/B419)</f>
        <v/>
      </c>
      <c r="Q406">
        <f>IFERROR(1/(IF(Inputs!$B$38="pvp",15,MAX(0.1,Skills!D23-IF(Skills!E23=TRUE,Inputs!$B$32,0)))*(1-IF(AND(ArtifactsInput!$M$27,Inputs!$B$4="Chapter Hunt"),CHOOSE(ArtifactsInput!$N$27+1,20,24,28,32,36,40),0)/100)),0)</f>
        <v/>
      </c>
      <c r="R406">
        <f>IF(AND(Inputs!$B$38&lt;&gt;"pvp",Inputs!$B$43&gt;0),IF(Inputs!$B$43&lt;=0,0,(INT(Inputs!$B$43/(IF(Inputs!$B$38="pvp",15,MAX(0.1,Skills!D23-IF(Skills!E23=TRUE,Inputs!$B$32,0)))*(1-IF(AND(ArtifactsInput!$M$27,Inputs!$B$4="Chapter Hunt"),CHOOSE(ArtifactsInput!$N$27+1,20,24,28,32,36,40),0)/100)))+1)),0)</f>
        <v/>
      </c>
      <c r="S406">
        <f>IFERROR(O406/N406,0)</f>
        <v/>
      </c>
      <c r="T406" t="n">
        <v>0</v>
      </c>
      <c r="V406" t="n">
        <v>0</v>
      </c>
    </row>
    <row r="408">
      <c r="A408" t="inlineStr">
        <is>
          <t>Attack% Bucket Multiplier</t>
        </is>
      </c>
      <c r="B408">
        <f>(1+(((C396=TRUE)*F396*5/7)+((C402=TRUE)*(F402-Calc!F19))+(IF(ArtifactsInput!$M$21,CHOOSE(ArtifactsInput!$N$21+1,25,30,35,40,45,50)*(IF(OR(Inputs!$B$4="Chapter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09">
      <c r="A409" t="inlineStr">
        <is>
          <t>Global Crit Rate Bonus %</t>
        </is>
      </c>
      <c r="B409" t="n">
        <v>0</v>
      </c>
    </row>
    <row r="410">
      <c r="A410" t="inlineStr">
        <is>
          <t>Attack Speed Buff Bonus % (Nimble Feet, duty-cycle averaged)</t>
        </is>
      </c>
      <c r="B410">
        <f>((C406=TRUE)*F406*IF(AND(Inputs!$B$38&lt;&gt;"pvp",Inputs!$B$43&gt;0),(((R406-1)*(Skills!T23*(1+Inputs!$B$34/100))+MIN((Skills!T23*(1+Inputs!$B$34/100)),MAX(0,Inputs!$B$43-((R406-1)*Skills!D23))))/Inputs!$B$43),IF(Inputs!$B$38="pvp",MIN((Skills!T23*(1+Inputs!$B$34/100)),15)/15,(Skills!T23*(1+Inputs!$B$34/100))/Skills!D23)))</f>
        <v/>
      </c>
    </row>
    <row r="411">
      <c r="A411" t="inlineStr">
        <is>
          <t>Actions Per Second</t>
        </is>
      </c>
      <c r="B411">
        <f>1+MIN(150,150*(1-(1-(Inputs!$B$11+((C400=TRUE)*(F400-Calc!F17))+((C401=TRUE)*(F401-Calc!F18)))/150)*(1-B410/150)))/100</f>
        <v/>
      </c>
    </row>
    <row r="412">
      <c r="A412" t="inlineStr">
        <is>
          <t>Skill + Buff Cast Rate</t>
        </is>
      </c>
      <c r="B412">
        <f>IF(AND(Inputs!$B$38&lt;&gt;"pvp",Inputs!$B$43&gt;0),SUMPRODUCT((Skills!E2:E23=TRUE)*(C385:C406=TRUE)*R385:R406*Skills!F2:F23)/Inputs!$B$43,SUMPRODUCT((Skills!E2:E23=TRUE)*(C385:C406=TRUE)*Q385:Q406*Skills!F2:F23))</f>
        <v/>
      </c>
    </row>
    <row r="413">
      <c r="A413" t="inlineStr">
        <is>
          <t>Hook Bomber Casts Per Second</t>
        </is>
      </c>
      <c r="B413">
        <f>MAX(0,B411-B412)</f>
        <v/>
      </c>
    </row>
    <row r="414">
      <c r="A414" t="inlineStr">
        <is>
          <t>Global Critical Damage Bonus % (unused)</t>
        </is>
      </c>
      <c r="B414" t="n">
        <v>0</v>
      </c>
    </row>
    <row r="415">
      <c r="A415" t="inlineStr">
        <is>
          <t>Global Final Damage Bonus % (Serpent Scale + Crossbones + Time Leap + Speed Infusion)</t>
        </is>
      </c>
      <c r="B415">
        <f>((C388=TRUE)*F388*((10+IF(Inputs!$B$3&gt;=94,5,0))/((10+IF(Inputs!$B$3&gt;=94,5,0))+5/(B413*(1+IF(Inputs!$B$3&gt;=104,1,0))))))+((C397=TRUE)*F397*IF(AND(Inputs!$B$38&lt;&gt;"pvp",Inputs!$B$43&gt;0),(((R397-1)*(Skills!T14*(1+Inputs!$B$34/100))+MIN((Skills!T14*(1+Inputs!$B$34/100)),MAX(0,Inputs!$B$43-((R397-1)*Skills!D14))))/Inputs!$B$43),IF(Inputs!$B$38="pvp",MIN((Skills!T14*(1+Inputs!$B$34/100)),15)/15,(Skills!T14*(1+Inputs!$B$34/100))/Skills!D14)))+((C398=TRUE)*F398*IF(AND(Inputs!$B$38&lt;&gt;"pvp",Inputs!$B$43&gt;0),(((R398-1)*(Skills!T15*(1+Inputs!$B$34/100))+MIN((Skills!T15*(1+Inputs!$B$34/100)),MAX(0,Inputs!$B$43-((R398-1)*Skills!D15))))/Inputs!$B$43),IF(Inputs!$B$38="pvp",MIN((Skills!T15*(1+Inputs!$B$34/100)),15)/15,(Skills!T15*(1+Inputs!$B$34/100))/Skills!D15)))+((Inputs!$B$3&gt;=110)*20*(B411-1)*IF(Inputs!$B$38="pvp",MIN((15*(1+Inputs!$B$34/100)),15)/15,(15*(1+Inputs!$B$34/100))/35))</f>
        <v/>
      </c>
    </row>
    <row r="416">
      <c r="A416" t="inlineStr">
        <is>
          <t>Buff-Casting Startup Delay (s, fixed-duration only)</t>
        </is>
      </c>
      <c r="B416">
        <f>IF(AND(Inputs!$B$38&lt;&gt;"pvp",Inputs!$B$43&gt;0),SUMPRODUCT((Skills!T2:T23&gt;0)*(Skills!E2:E23=TRUE)*(C385:C406=TRUE))/B411,0)</f>
        <v/>
      </c>
    </row>
    <row r="417">
      <c r="A417" t="inlineStr">
        <is>
          <t>Boss-Only Total DPS (this block's swept value)</t>
        </is>
      </c>
      <c r="B417">
        <f>SUM(T385:T406)</f>
        <v/>
      </c>
    </row>
    <row r="418">
      <c r="A418" t="inlineStr">
        <is>
          <t>Normal-Only Total DPS (this block's swept value)</t>
        </is>
      </c>
      <c r="B418">
        <f>SUM(V385:V406)</f>
        <v/>
      </c>
    </row>
    <row r="419">
      <c r="A419" s="6" t="inlineStr">
        <is>
          <t>TOTAL DPS</t>
        </is>
      </c>
      <c r="B419" s="6">
        <f>SUM(O385:O406)</f>
        <v/>
      </c>
    </row>
    <row r="422">
      <c r="A422" s="6" t="inlineStr">
        <is>
          <t>Stat: MAX_DAMAGE %</t>
        </is>
      </c>
    </row>
    <row r="423">
      <c r="A423" s="5" t="inlineStr">
        <is>
          <t>Key</t>
        </is>
      </c>
      <c r="B423" s="5" t="inlineStr">
        <is>
          <t>Name</t>
        </is>
      </c>
      <c r="C423" s="5" t="inlineStr">
        <is>
          <t>Unlocked</t>
        </is>
      </c>
      <c r="D423" s="5" t="inlineStr">
        <is>
          <t>InputLevel</t>
        </is>
      </c>
      <c r="E423" s="5" t="inlineStr">
        <is>
          <t>Factor</t>
        </is>
      </c>
      <c r="F423" s="5" t="inlineStr">
        <is>
          <t>CoefficientPercent</t>
        </is>
      </c>
      <c r="G423" s="5" t="inlineStr">
        <is>
          <t>EffectiveHits</t>
        </is>
      </c>
      <c r="H423" s="5" t="inlineStr">
        <is>
          <t>ProcProbability</t>
        </is>
      </c>
      <c r="I423" s="5" t="inlineStr">
        <is>
          <t>MapleHeroMultiplier</t>
        </is>
      </c>
      <c r="J423" s="5" t="inlineStr">
        <is>
          <t>BaseDamage</t>
        </is>
      </c>
      <c r="K423" s="5" t="inlineStr">
        <is>
          <t>BaseHitDamage</t>
        </is>
      </c>
      <c r="L423" s="5" t="inlineStr">
        <is>
          <t>NonCritAvg</t>
        </is>
      </c>
      <c r="M423" s="5" t="inlineStr">
        <is>
          <t>CritAvg</t>
        </is>
      </c>
      <c r="N423" s="5" t="inlineStr">
        <is>
          <t>ExpectedDamage(perHit)</t>
        </is>
      </c>
      <c r="O423" s="5" t="inlineStr">
        <is>
          <t>DPS</t>
        </is>
      </c>
      <c r="P423" s="5" t="inlineStr">
        <is>
          <t>% of Total</t>
        </is>
      </c>
      <c r="Q423" s="5" t="inlineStr">
        <is>
          <t>InvCooldown</t>
        </is>
      </c>
      <c r="R423" s="5" t="inlineStr">
        <is>
          <t>CastsInFight</t>
        </is>
      </c>
      <c r="S423" s="5" t="inlineStr">
        <is>
          <t>HitRate(perSec)</t>
        </is>
      </c>
      <c r="U423" t="inlineStr">
        <is>
          <t>helpers</t>
        </is>
      </c>
    </row>
    <row r="424">
      <c r="A424">
        <f>Skills!A2</f>
        <v/>
      </c>
      <c r="B424">
        <f>Skills!B2</f>
        <v/>
      </c>
      <c r="C424">
        <f>Inputs!$B$3&gt;=100</f>
        <v/>
      </c>
      <c r="D424" t="inlineStr"/>
      <c r="E424" t="inlineStr"/>
      <c r="F424">
        <f>U426+Skills!O2</f>
        <v/>
      </c>
      <c r="G424">
        <f>Skills!G2*IF(Skills!H2&gt;0,Skills!I2/Skills!H2,1)</f>
        <v/>
      </c>
      <c r="H424">
        <f>1-(1-Skills!J2/100)^Skills!K2</f>
        <v/>
      </c>
      <c r="I424" t="inlineStr">
        <is>
          <t>1</t>
        </is>
      </c>
      <c r="J424">
        <f>((Inputs!$B$6*(1+Inputs!$B$7/100))+(((Inputs!$B$12*(1+Inputs!$B$13/100))-(Inputs!$B$12*(1+Inputs!$B$13/100)))+0.25*(Inputs!$B$14-Inputs!$B$14))*(1+Inputs!$B$7/100))*(F424/100)</f>
        <v/>
      </c>
      <c r="K424">
        <f>J424*(1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424)</f>
        <v/>
      </c>
      <c r="L424">
        <f>K424*(MIN(Inputs!$B$22+((C442=TRUE)*(F442-Calc!F20)),((Inputs!$B$23+1)+0+(IF(ArtifactsInput!$M$15,CHOOSE(ArtifactsInput!$N$15+1,25,30,35,40,45,50)/100*(Inputs!$B$11-Inputs!$B$11),0))))/100+((Inputs!$B$23+1)+0+(IF(ArtifactsInput!$M$15,CHOOSE(ArtifactsInput!$N$15+1,25,30,35,40,45,50)/100*(Inputs!$B$11-Inputs!$B$11),0)))/100)/2</f>
        <v/>
      </c>
      <c r="M424">
        <f>L424*(1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4">
        <f>L424*(1-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424*(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4">
        <f>(1-Summary!$B$11)*T424+Summary!$B$11*V424</f>
        <v/>
      </c>
      <c r="P424">
        <f>IF(B458=0,0,O424/B458)</f>
        <v/>
      </c>
      <c r="Q424" t="n">
        <v>0</v>
      </c>
      <c r="R424" t="n">
        <v>0</v>
      </c>
      <c r="S424">
        <f>IFERROR(O424/N424,0)</f>
        <v/>
      </c>
      <c r="T424">
        <f>IF(C424,(Skills!G2*N424*B452)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424*(1-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424*(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424*(1-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424*(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4">
        <f>MAX(0,(Inputs!$B$3-100)*3)+Inputs!$B$28+Inputs!$B$29</f>
        <v/>
      </c>
      <c r="V424">
        <f>IF(C424,(Skills!G2*N424*B452)*IF(Inputs!$B$38="pvp",1,(1+(Inputs!$B$21+Skills!Q2+(IF(ArtifactsInput!$M$33,CHOOSE(ArtifactsInput!$N$33+1,30,36,42,48,54,60),0))+(IF(AND(ArtifactsInput!$M$35,Inputs!$B$4&lt;&gt;"Chapter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5">
      <c r="A425">
        <f>Skills!A3</f>
        <v/>
      </c>
      <c r="B425">
        <f>Skills!B3</f>
        <v/>
      </c>
      <c r="C425">
        <f>Inputs!$B$3&gt;=35</f>
        <v/>
      </c>
      <c r="D425">
        <f>IF(Skills!C3=1,60+Inputs!$B$25+Inputs!$B$29,IF(Skills!C3=2,90+Inputs!$B$26+Inputs!$B$29,IF(Skills!C3=3,120+Inputs!$B$27+Inputs!$B$29,MAX(0,(Inputs!$B$3-100)*3)+Inputs!$B$28+Inputs!$B$29)))</f>
        <v/>
      </c>
      <c r="E425">
        <f>INDEX(FactorTable!$B$2:$Y$301, MATCH(ROUND(MIN(300,MAX(1,D425)),0), FactorTable!$A$2:$A$301,0), Skills!M3+1)</f>
        <v/>
      </c>
      <c r="F425">
        <f>IF(Skills!N3=TRUE,(Skills!L3/10)*(E425/1000),Skills!L3/10)+Skills!O3</f>
        <v/>
      </c>
      <c r="G425">
        <f>Skills!G3*IF(Skills!H3&gt;0,Skills!I3/Skills!H3,1)</f>
        <v/>
      </c>
      <c r="H425">
        <f>1-(1-Skills!J3/100)^Skills!K3</f>
        <v/>
      </c>
      <c r="I425" t="inlineStr">
        <is>
          <t>1</t>
        </is>
      </c>
      <c r="J425">
        <f>((Inputs!$B$6*(1+Inputs!$B$7/100))+(((Inputs!$B$12*(1+Inputs!$B$13/100))-(Inputs!$B$12*(1+Inputs!$B$13/100)))+0.25*(Inputs!$B$14-Inputs!$B$14))*(1+Inputs!$B$7/100))*(F425/100)</f>
        <v/>
      </c>
      <c r="K425">
        <f>J425*(1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425)</f>
        <v/>
      </c>
      <c r="L425">
        <f>K425*(MIN(Inputs!$B$22+((C442=TRUE)*(F442-Calc!F20)),((Inputs!$B$23+1)+0+(IF(ArtifactsInput!$M$15,CHOOSE(ArtifactsInput!$N$15+1,25,30,35,40,45,50)/100*(Inputs!$B$11-Inputs!$B$11),0))))/100+((Inputs!$B$23+1)+0+(IF(ArtifactsInput!$M$15,CHOOSE(ArtifactsInput!$N$15+1,25,30,35,40,45,50)/100*(Inputs!$B$11-Inputs!$B$11),0)))/100)/2</f>
        <v/>
      </c>
      <c r="M425">
        <f>L425*(1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5">
        <f>L425*(1-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425*(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5">
        <f>(1-Summary!$B$11)*T425+Summary!$B$11*V425</f>
        <v/>
      </c>
      <c r="P425">
        <f>IF(B458=0,0,O425/B458)</f>
        <v/>
      </c>
      <c r="Q425" t="n">
        <v>0</v>
      </c>
      <c r="R425" t="n">
        <v>0</v>
      </c>
      <c r="S425">
        <f>IFERROR(O425/N425,0)</f>
        <v/>
      </c>
      <c r="T425">
        <f>IF(C425,(Skills!G3*H425*N425*B452)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425*(1-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425*(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425*(1-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425*(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5">
        <f>INDEX(FactorTable!$B$2:$Y$301, MATCH(ROUND(MIN(300,MAX(1,U424)),0), FactorTable!$A$2:$A$301,0), 22)</f>
        <v/>
      </c>
      <c r="V425">
        <f>IF(C425,(Skills!G3*H425*N425*B452)*IF(Inputs!$B$38="pvp",1,(1+(Inputs!$B$21+Skills!Q3+(IF(ArtifactsInput!$M$33,CHOOSE(ArtifactsInput!$N$33+1,30,36,42,48,54,60),0))+(IF(AND(ArtifactsInput!$M$35,Inputs!$B$4&lt;&gt;"Chapter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6">
      <c r="A426">
        <f>Skills!A4</f>
        <v/>
      </c>
      <c r="B426">
        <f>Skills!B4</f>
        <v/>
      </c>
      <c r="C426">
        <f>Inputs!$B$3&gt;=60</f>
        <v/>
      </c>
      <c r="D426">
        <f>IF(Skills!C4=1,60+Inputs!$B$25+Inputs!$B$29,IF(Skills!C4=2,90+Inputs!$B$26+Inputs!$B$29,IF(Skills!C4=3,120+Inputs!$B$27+Inputs!$B$29,MAX(0,(Inputs!$B$3-100)*3)+Inputs!$B$28+Inputs!$B$29)))</f>
        <v/>
      </c>
      <c r="E426">
        <f>INDEX(FactorTable!$B$2:$Y$301, MATCH(ROUND(MIN(300,MAX(1,D426)),0), FactorTable!$A$2:$A$301,0), Skills!M4+1)</f>
        <v/>
      </c>
      <c r="F426">
        <f>IF(Skills!N4=TRUE,(Skills!L4/10)*(E426/1000),Skills!L4/10)+Skills!O4</f>
        <v/>
      </c>
      <c r="G426">
        <f>Skills!G4*IF(Skills!H4&gt;0,Skills!I4/Skills!H4,1)</f>
        <v/>
      </c>
      <c r="H426">
        <f>1-(1-Skills!J4/100)^Skills!K4</f>
        <v/>
      </c>
      <c r="I426" t="inlineStr">
        <is>
          <t>1</t>
        </is>
      </c>
      <c r="J426">
        <f>((Inputs!$B$6*(1+Inputs!$B$7/100))+(((Inputs!$B$12*(1+Inputs!$B$13/100))-(Inputs!$B$12*(1+Inputs!$B$13/100)))+0.25*(Inputs!$B$14-Inputs!$B$14))*(1+Inputs!$B$7/100))*(F426/100)</f>
        <v/>
      </c>
      <c r="K426">
        <f>J426*(1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434=TRUE,F434,0)/100)*(1+(IF(Skills!A4="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426)</f>
        <v/>
      </c>
      <c r="L426">
        <f>K426*(MIN(Inputs!$B$22+((C442=TRUE)*(F442-Calc!F20)),((Inputs!$B$23+1)+0+(IF(ArtifactsInput!$M$15,CHOOSE(ArtifactsInput!$N$15+1,25,30,35,40,45,50)/100*(Inputs!$B$11-Inputs!$B$11),0))))/100+((Inputs!$B$23+1)+0+(IF(ArtifactsInput!$M$15,CHOOSE(ArtifactsInput!$N$15+1,25,30,35,40,45,50)/100*(Inputs!$B$11-Inputs!$B$11),0)))/100)/2</f>
        <v/>
      </c>
      <c r="M426">
        <f>L426*(1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6">
        <f>L426*(1-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426*(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6">
        <f>(1-Summary!$B$11)*T426+Summary!$B$11*V426</f>
        <v/>
      </c>
      <c r="P426">
        <f>IF(B458=0,0,O426/B458)</f>
        <v/>
      </c>
      <c r="Q426" t="n">
        <v>0</v>
      </c>
      <c r="R426" t="n">
        <v>0</v>
      </c>
      <c r="S426">
        <f>IFERROR(O426/N426,0)</f>
        <v/>
      </c>
      <c r="T426">
        <f>IF(C426,(Skills!G4*H426*N426*B452)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426*(1-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426*(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426*(1-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426*(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26">
        <f>290*U425/1000</f>
        <v/>
      </c>
      <c r="V426">
        <f>IF(C426,(Skills!G4*H426*N426*B452)*IF(Inputs!$B$38="pvp",1,(1+(Inputs!$B$21+Skills!Q4+(IF(ArtifactsInput!$M$33,CHOOSE(ArtifactsInput!$N$33+1,30,36,42,48,54,60),0))+(IF(AND(ArtifactsInput!$M$35,Inputs!$B$4&lt;&gt;"Chapter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7">
      <c r="A427">
        <f>Skills!A5</f>
        <v/>
      </c>
      <c r="B427">
        <f>Skills!B5</f>
        <v/>
      </c>
      <c r="C427">
        <f>Inputs!$B$3&gt;=60</f>
        <v/>
      </c>
      <c r="D427">
        <f>IF(Skills!C5=1,60+Inputs!$B$25+Inputs!$B$29,IF(Skills!C5=2,90+Inputs!$B$26+Inputs!$B$29,IF(Skills!C5=3,120+Inputs!$B$27+Inputs!$B$29,MAX(0,(Inputs!$B$3-100)*3)+Inputs!$B$28+Inputs!$B$29)))</f>
        <v/>
      </c>
      <c r="E427">
        <f>INDEX(FactorTable!$B$2:$Y$301, MATCH(ROUND(MIN(300,MAX(1,D427)),0), FactorTable!$A$2:$A$301,0), Skills!M5+1)</f>
        <v/>
      </c>
      <c r="F427">
        <f>IF(Skills!N5=TRUE,(Skills!L5/10)*(E427/1000),Skills!L5/10)+Skills!O5</f>
        <v/>
      </c>
      <c r="G427">
        <f>Skills!G5*IF(Skills!H5&gt;0,Skills!I5/Skills!H5,1)</f>
        <v/>
      </c>
      <c r="H427">
        <f>1-(1-Skills!J5/100)^Skills!K5</f>
        <v/>
      </c>
      <c r="I427" t="inlineStr">
        <is>
          <t>1</t>
        </is>
      </c>
      <c r="J427" t="inlineStr"/>
      <c r="K427" t="inlineStr"/>
      <c r="L427" t="inlineStr"/>
      <c r="M427" t="inlineStr"/>
      <c r="N427" t="inlineStr"/>
      <c r="O427">
        <f>(1-Summary!$B$11)*T427+Summary!$B$11*V427</f>
        <v/>
      </c>
      <c r="P427">
        <f>IF(B458=0,0,O427/B458)</f>
        <v/>
      </c>
      <c r="Q427" t="n">
        <v>0</v>
      </c>
      <c r="R427" t="n">
        <v>0</v>
      </c>
      <c r="S427">
        <f>IFERROR(O427/N427,0)</f>
        <v/>
      </c>
      <c r="T427" t="n">
        <v>0</v>
      </c>
      <c r="V427" t="n">
        <v>0</v>
      </c>
    </row>
    <row r="428">
      <c r="A428">
        <f>Skills!A6</f>
        <v/>
      </c>
      <c r="B428">
        <f>Skills!B6</f>
        <v/>
      </c>
      <c r="C428">
        <f>Inputs!$B$3&gt;=63</f>
        <v/>
      </c>
      <c r="D428">
        <f>IF(Skills!C6=1,60+Inputs!$B$25+Inputs!$B$29,IF(Skills!C6=2,90+Inputs!$B$26+Inputs!$B$29,IF(Skills!C6=3,120+Inputs!$B$27+Inputs!$B$29,MAX(0,(Inputs!$B$3-100)*3)+Inputs!$B$28+Inputs!$B$29)))</f>
        <v/>
      </c>
      <c r="E428">
        <f>INDEX(FactorTable!$B$2:$Y$301, MATCH(ROUND(MIN(300,MAX(1,D428)),0), FactorTable!$A$2:$A$301,0), Skills!M6+1)</f>
        <v/>
      </c>
      <c r="F428">
        <f>IF(Skills!N6=TRUE,(Skills!L6/10)*(E428/1000),Skills!L6/10)+Skills!O6</f>
        <v/>
      </c>
      <c r="G428">
        <f>Skills!G6*IF(Skills!H6&gt;0,Skills!I6/Skills!H6,1)</f>
        <v/>
      </c>
      <c r="H428">
        <f>1-(1-Skills!J6/100)^Skills!K6</f>
        <v/>
      </c>
      <c r="I428" t="inlineStr">
        <is>
          <t>1</t>
        </is>
      </c>
      <c r="J428">
        <f>((Inputs!$B$6*(1+Inputs!$B$7/100))+(((Inputs!$B$12*(1+Inputs!$B$13/100))-(Inputs!$B$12*(1+Inputs!$B$13/100)))+0.25*(Inputs!$B$14-Inputs!$B$14))*(1+Inputs!$B$7/100))*(F428/100)</f>
        <v/>
      </c>
      <c r="K428">
        <f>J428*(1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434=TRUE,F434,0)/100)*(1+(IF(Skills!A6="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428)</f>
        <v/>
      </c>
      <c r="L428">
        <f>K428*(MIN(Inputs!$B$22+((C442=TRUE)*(F442-Calc!F20)),((Inputs!$B$23+1)+0+(IF(ArtifactsInput!$M$15,CHOOSE(ArtifactsInput!$N$15+1,25,30,35,40,45,50)/100*(Inputs!$B$11-Inputs!$B$11),0))))/100+((Inputs!$B$23+1)+0+(IF(ArtifactsInput!$M$15,CHOOSE(ArtifactsInput!$N$15+1,25,30,35,40,45,50)/100*(Inputs!$B$11-Inputs!$B$11),0)))/100)/2</f>
        <v/>
      </c>
      <c r="M428">
        <f>L428*(1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8">
        <f>L428*(1-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428*(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8">
        <f>(1-Summary!$B$11)*T428+Summary!$B$11*V428</f>
        <v/>
      </c>
      <c r="P428">
        <f>IF(B458=0,0,O428/B458)</f>
        <v/>
      </c>
      <c r="Q428">
        <f>IFERROR(1/(IF(Inputs!$B$38="pvp",15,MAX(0.1,Skills!D6-IF(Skills!E6=TRUE,Inputs!$B$32,0)))*(1-IF(AND(ArtifactsInput!$M$27,Inputs!$B$4="Chapter Hunt"),CHOOSE(ArtifactsInput!$N$27+1,20,24,28,32,36,40),0)/100)),0)</f>
        <v/>
      </c>
      <c r="R428">
        <f>IF(AND(Inputs!$B$38&lt;&gt;"pvp",Inputs!$B$43&gt;0),IF(MAX(0,Inputs!$B$43-B455)&lt;=0,0,(INT(MAX(0,Inputs!$B$43-B455)/(IF(Inputs!$B$38="pvp",15,MAX(0.1,Skills!D6-IF(Skills!E6=TRUE,Inputs!$B$32,0)))*(1-IF(AND(ArtifactsInput!$M$27,Inputs!$B$4="Chapter Hunt"),CHOOSE(ArtifactsInput!$N$27+1,20,24,28,32,36,40),0)/100)))+1)),0)</f>
        <v/>
      </c>
      <c r="S428">
        <f>IFERROR(O428/N428,0)</f>
        <v/>
      </c>
      <c r="T428">
        <f>IF(C428,(H428*N428*IF(AND(Inputs!$B$38&lt;&gt;"pvp",Inputs!$B$43&gt;0),((Skills!G6*((R428-1)*IF(Skills!H6&gt;0,Skills!I6/Skills!H6,1)+IF(Skills!H6&gt;0,MIN(Skills!I6,MAX(0,MAX(0,Inputs!$B$43-B455)-((R428-1)*(IF(Inputs!$B$38="pvp",15,MAX(0.1,Skills!D6-IF(Skills!E6=TRUE,Inputs!$B$32,0)))*(1-IF(AND(ArtifactsInput!$M$27,Inputs!$B$4="Chapter Hunt"),CHOOSE(ArtifactsInput!$N$27+1,20,24,28,32,36,40),0)/100)))))/Skills!H6,1)))/Inputs!$B$43),G428*Q428)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428*(1-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428*(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428*(1-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428*(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8">
        <f>IF(C428,(H428*N428*IF(AND(Inputs!$B$38&lt;&gt;"pvp",Inputs!$B$43&gt;0),((Skills!G6*((R428-1)*IF(Skills!H6&gt;0,Skills!I6/Skills!H6,1)+IF(Skills!H6&gt;0,MIN(Skills!I6,MAX(0,MAX(0,Inputs!$B$43-B455)-((R428-1)*(IF(Inputs!$B$38="pvp",15,MAX(0.1,Skills!D6-IF(Skills!E6=TRUE,Inputs!$B$32,0)))*(1-IF(AND(ArtifactsInput!$M$27,Inputs!$B$4="Chapter Hunt"),CHOOSE(ArtifactsInput!$N$27+1,20,24,28,32,36,40),0)/100)))))/Skills!H6,1)))/Inputs!$B$43),G428*Q428))*IF(Inputs!$B$38="pvp",1,(1+(Inputs!$B$21+Skills!Q6+(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29">
      <c r="A429">
        <f>Skills!A7</f>
        <v/>
      </c>
      <c r="B429">
        <f>Skills!B7</f>
        <v/>
      </c>
      <c r="C429">
        <f>Inputs!$B$3&gt;=100</f>
        <v/>
      </c>
      <c r="D429">
        <f>IF(Skills!C7=1,60+Inputs!$B$25+Inputs!$B$29,IF(Skills!C7=2,90+Inputs!$B$26+Inputs!$B$29,IF(Skills!C7=3,120+Inputs!$B$27+Inputs!$B$29,MAX(0,(Inputs!$B$3-100)*3)+Inputs!$B$28+Inputs!$B$29)))</f>
        <v/>
      </c>
      <c r="E429">
        <f>INDEX(FactorTable!$B$2:$Y$301, MATCH(ROUND(MIN(300,MAX(1,D429)),0), FactorTable!$A$2:$A$301,0), Skills!M7+1)</f>
        <v/>
      </c>
      <c r="F429">
        <f>IF(Skills!N7=TRUE,(Skills!L7/10)*(E429/1000),Skills!L7/10)+Skills!O7</f>
        <v/>
      </c>
      <c r="G429">
        <f>Skills!G7*IF(Skills!H7&gt;0,Skills!I7/Skills!H7,1)</f>
        <v/>
      </c>
      <c r="H429">
        <f>1-(1-Skills!J7/100)^Skills!K7</f>
        <v/>
      </c>
      <c r="I429" t="inlineStr">
        <is>
          <t>1</t>
        </is>
      </c>
      <c r="J429">
        <f>((Inputs!$B$6*(1+Inputs!$B$7/100))+(((Inputs!$B$12*(1+Inputs!$B$13/100))-(Inputs!$B$12*(1+Inputs!$B$13/100)))+0.25*(Inputs!$B$14-Inputs!$B$14))*(1+Inputs!$B$7/100))*(F429/100)</f>
        <v/>
      </c>
      <c r="K429">
        <f>J429*(1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429)</f>
        <v/>
      </c>
      <c r="L429">
        <f>K429*(MIN(Inputs!$B$22+((C442=TRUE)*(F442-Calc!F20)),((Inputs!$B$23+1)+0+(IF(ArtifactsInput!$M$15,CHOOSE(ArtifactsInput!$N$15+1,25,30,35,40,45,50)/100*(Inputs!$B$11-Inputs!$B$11),0))))/100+((Inputs!$B$23+1)+0+(IF(ArtifactsInput!$M$15,CHOOSE(ArtifactsInput!$N$15+1,25,30,35,40,45,50)/100*(Inputs!$B$11-Inputs!$B$11),0)))/100)/2</f>
        <v/>
      </c>
      <c r="M429">
        <f>L429*(1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29">
        <f>L429*(1-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429*(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29">
        <f>(1-Summary!$B$11)*T429+Summary!$B$11*V429</f>
        <v/>
      </c>
      <c r="P429">
        <f>IF(B458=0,0,O429/B458)</f>
        <v/>
      </c>
      <c r="Q429">
        <f>IFERROR(1/(IF(Inputs!$B$38="pvp",15,MAX(0.1,Skills!D7-IF(Skills!E7=TRUE,Inputs!$B$32,0)))*(1-IF(AND(ArtifactsInput!$M$27,Inputs!$B$4="Chapter Hunt"),CHOOSE(ArtifactsInput!$N$27+1,20,24,28,32,36,40),0)/100)),0)</f>
        <v/>
      </c>
      <c r="R429">
        <f>IF(AND(Inputs!$B$38&lt;&gt;"pvp",Inputs!$B$43&gt;0),IF(MAX(0,Inputs!$B$43-B455)&lt;=0,0,(INT(MAX(0,Inputs!$B$43-B455)/(IF(Inputs!$B$38="pvp",15,MAX(0.1,Skills!D7-IF(Skills!E7=TRUE,Inputs!$B$32,0)))*(1-IF(AND(ArtifactsInput!$M$27,Inputs!$B$4="Chapter Hunt"),CHOOSE(ArtifactsInput!$N$27+1,20,24,28,32,36,40),0)/100)))+1)),0)</f>
        <v/>
      </c>
      <c r="S429">
        <f>IFERROR(O429/N429,0)</f>
        <v/>
      </c>
      <c r="T429">
        <f>IF(C429,(H429*N429*IF(AND(Inputs!$B$38&lt;&gt;"pvp",Inputs!$B$43&gt;0),((Skills!G7*((R429-1)*IF(Skills!H7&gt;0,Skills!I7/Skills!H7,1)+IF(Skills!H7&gt;0,MIN(Skills!I7,MAX(0,MAX(0,Inputs!$B$43-B455)-((R429-1)*(IF(Inputs!$B$38="pvp",15,MAX(0.1,Skills!D7-IF(Skills!E7=TRUE,Inputs!$B$32,0)))*(1-IF(AND(ArtifactsInput!$M$27,Inputs!$B$4="Chapter Hunt"),CHOOSE(ArtifactsInput!$N$27+1,20,24,28,32,36,40),0)/100)))))/Skills!H7,1)))/Inputs!$B$43),G429*Q429)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429*(1-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429*(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429*(1-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429*(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29">
        <f>IF(C429,(H429*N429*IF(AND(Inputs!$B$38&lt;&gt;"pvp",Inputs!$B$43&gt;0),((Skills!G7*((R429-1)*IF(Skills!H7&gt;0,Skills!I7/Skills!H7,1)+IF(Skills!H7&gt;0,MIN(Skills!I7,MAX(0,MAX(0,Inputs!$B$43-B455)-((R429-1)*(IF(Inputs!$B$38="pvp",15,MAX(0.1,Skills!D7-IF(Skills!E7=TRUE,Inputs!$B$32,0)))*(1-IF(AND(ArtifactsInput!$M$27,Inputs!$B$4="Chapter Hunt"),CHOOSE(ArtifactsInput!$N$27+1,20,24,28,32,36,40),0)/100)))))/Skills!H7,1)))/Inputs!$B$43),G429*Q429))*IF(Inputs!$B$38="pvp",1,(1+(Inputs!$B$21+Skills!Q7+(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0">
      <c r="A430">
        <f>Skills!A8</f>
        <v/>
      </c>
      <c r="B430">
        <f>Skills!B8</f>
        <v/>
      </c>
      <c r="C430">
        <f>Inputs!$B$3&gt;=110</f>
        <v/>
      </c>
      <c r="D430">
        <f>IF(Skills!C8=1,60+Inputs!$B$25+Inputs!$B$29,IF(Skills!C8=2,90+Inputs!$B$26+Inputs!$B$29,IF(Skills!C8=3,120+Inputs!$B$27+Inputs!$B$29,MAX(0,(Inputs!$B$3-100)*3)+Inputs!$B$28+Inputs!$B$29)))</f>
        <v/>
      </c>
      <c r="E430">
        <f>INDEX(FactorTable!$B$2:$Y$301, MATCH(ROUND(MIN(300,MAX(1,D430)),0), FactorTable!$A$2:$A$301,0), Skills!M8+1)</f>
        <v/>
      </c>
      <c r="F430">
        <f>IF(Skills!N8=TRUE,(Skills!L8/10)*(E430/1000),Skills!L8/10)+Skills!O8</f>
        <v/>
      </c>
      <c r="G430">
        <f>Skills!G8*IF(Skills!H8&gt;0,Skills!I8/Skills!H8,1)</f>
        <v/>
      </c>
      <c r="H430">
        <f>1-(1-Skills!J8/100)^Skills!K8</f>
        <v/>
      </c>
      <c r="I430" t="inlineStr">
        <is>
          <t>1</t>
        </is>
      </c>
      <c r="J430">
        <f>((Inputs!$B$6*(1+Inputs!$B$7/100))+(((Inputs!$B$12*(1+Inputs!$B$13/100))-(Inputs!$B$12*(1+Inputs!$B$13/100)))+0.25*(Inputs!$B$14-Inputs!$B$14))*(1+Inputs!$B$7/100))*(F430/100)</f>
        <v/>
      </c>
      <c r="K430">
        <f>J430*(1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430)</f>
        <v/>
      </c>
      <c r="L430">
        <f>K430*(MIN(Inputs!$B$22+((C442=TRUE)*(F442-Calc!F20)),((Inputs!$B$23+1)+0+(IF(ArtifactsInput!$M$15,CHOOSE(ArtifactsInput!$N$15+1,25,30,35,40,45,50)/100*(Inputs!$B$11-Inputs!$B$11),0))))/100+((Inputs!$B$23+1)+0+(IF(ArtifactsInput!$M$15,CHOOSE(ArtifactsInput!$N$15+1,25,30,35,40,45,50)/100*(Inputs!$B$11-Inputs!$B$11),0)))/100)/2</f>
        <v/>
      </c>
      <c r="M430">
        <f>L430*(1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0">
        <f>L430*(1-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430*(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0">
        <f>(1-Summary!$B$11)*T430+Summary!$B$11*V430</f>
        <v/>
      </c>
      <c r="P430">
        <f>IF(B458=0,0,O430/B458)</f>
        <v/>
      </c>
      <c r="Q430">
        <f>IFERROR(1/(IF(Inputs!$B$38="pvp",15,MAX(0.1,Skills!D8-IF(Skills!E8=TRUE,Inputs!$B$32,0)))*(1-IF(AND(ArtifactsInput!$M$27,Inputs!$B$4="Chapter Hunt"),CHOOSE(ArtifactsInput!$N$27+1,20,24,28,32,36,40),0)/100)),0)</f>
        <v/>
      </c>
      <c r="R430">
        <f>IF(AND(Inputs!$B$38&lt;&gt;"pvp",Inputs!$B$43&gt;0),IF(MAX(0,Inputs!$B$43-B455)&lt;=0,0,(INT(MAX(0,Inputs!$B$43-B455)/(IF(Inputs!$B$38="pvp",15,MAX(0.1,Skills!D8-IF(Skills!E8=TRUE,Inputs!$B$32,0)))*(1-IF(AND(ArtifactsInput!$M$27,Inputs!$B$4="Chapter Hunt"),CHOOSE(ArtifactsInput!$N$27+1,20,24,28,32,36,40),0)/100)))+1)),0)</f>
        <v/>
      </c>
      <c r="S430">
        <f>IFERROR(O430/N430,0)</f>
        <v/>
      </c>
      <c r="T430">
        <f>IF(C430,(H430*N430*IF(AND(Inputs!$B$38&lt;&gt;"pvp",Inputs!$B$43&gt;0),((Skills!G8*((R430-1)*IF(Skills!H8&gt;0,Skills!I8/Skills!H8,1)+IF(Skills!H8&gt;0,MIN(Skills!I8,MAX(0,MAX(0,Inputs!$B$43-B455)-((R430-1)*(IF(Inputs!$B$38="pvp",15,MAX(0.1,Skills!D8-IF(Skills!E8=TRUE,Inputs!$B$32,0)))*(1-IF(AND(ArtifactsInput!$M$27,Inputs!$B$4="Chapter Hunt"),CHOOSE(ArtifactsInput!$N$27+1,20,24,28,32,36,40),0)/100)))))/Skills!H8,1)))/Inputs!$B$43),G430*Q430)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430*(1-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430*(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430*(1-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430*(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0">
        <f>IF(C430,(H430*N430*IF(AND(Inputs!$B$38&lt;&gt;"pvp",Inputs!$B$43&gt;0),((Skills!G8*((R430-1)*IF(Skills!H8&gt;0,Skills!I8/Skills!H8,1)+IF(Skills!H8&gt;0,MIN(Skills!I8,MAX(0,MAX(0,Inputs!$B$43-B455)-((R430-1)*(IF(Inputs!$B$38="pvp",15,MAX(0.1,Skills!D8-IF(Skills!E8=TRUE,Inputs!$B$32,0)))*(1-IF(AND(ArtifactsInput!$M$27,Inputs!$B$4="Chapter Hunt"),CHOOSE(ArtifactsInput!$N$27+1,20,24,28,32,36,40),0)/100)))))/Skills!H8,1)))/Inputs!$B$43),G430*Q430))*IF(Inputs!$B$38="pvp",1,(1+(Inputs!$B$21+Skills!Q8+(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1">
      <c r="A431">
        <f>Skills!A9</f>
        <v/>
      </c>
      <c r="B431">
        <f>Skills!B9</f>
        <v/>
      </c>
      <c r="C431">
        <f>Inputs!$B$3&gt;=110</f>
        <v/>
      </c>
      <c r="D431">
        <f>IF(Skills!C9=1,60+Inputs!$B$25+Inputs!$B$29,IF(Skills!C9=2,90+Inputs!$B$26+Inputs!$B$29,IF(Skills!C9=3,120+Inputs!$B$27+Inputs!$B$29,MAX(0,(Inputs!$B$3-100)*3)+Inputs!$B$28+Inputs!$B$29)))</f>
        <v/>
      </c>
      <c r="E431">
        <f>INDEX(FactorTable!$B$2:$Y$301, MATCH(ROUND(MIN(300,MAX(1,D431)),0), FactorTable!$A$2:$A$301,0), Skills!M9+1)</f>
        <v/>
      </c>
      <c r="F431">
        <f>IF(Skills!N9=TRUE,(Skills!L9/10)*(E431/1000),Skills!L9/10)+Skills!O9</f>
        <v/>
      </c>
      <c r="G431">
        <f>Skills!G9*IF(Skills!H9&gt;0,Skills!I9/Skills!H9,1)</f>
        <v/>
      </c>
      <c r="H431">
        <f>1-(1-Skills!J9/100)^Skills!K9</f>
        <v/>
      </c>
      <c r="I431" t="inlineStr">
        <is>
          <t>1</t>
        </is>
      </c>
      <c r="J431">
        <f>((Inputs!$B$6*(1+Inputs!$B$7/100))+(((Inputs!$B$12*(1+Inputs!$B$13/100))-(Inputs!$B$12*(1+Inputs!$B$13/100)))+0.25*(Inputs!$B$14-Inputs!$B$14))*(1+Inputs!$B$7/100))*(F431/100)</f>
        <v/>
      </c>
      <c r="K431">
        <f>J431*(1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431)</f>
        <v/>
      </c>
      <c r="L431">
        <f>K431*(MIN(Inputs!$B$22+((C442=TRUE)*(F442-Calc!F20)),((Inputs!$B$23+1)+0+(IF(ArtifactsInput!$M$15,CHOOSE(ArtifactsInput!$N$15+1,25,30,35,40,45,50)/100*(Inputs!$B$11-Inputs!$B$11),0))))/100+((Inputs!$B$23+1)+0+(IF(ArtifactsInput!$M$15,CHOOSE(ArtifactsInput!$N$15+1,25,30,35,40,45,50)/100*(Inputs!$B$11-Inputs!$B$11),0)))/100)/2</f>
        <v/>
      </c>
      <c r="M431">
        <f>L431*(1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1">
        <f>L431*(1-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1">
        <f>(1-Summary!$B$11)*T431+Summary!$B$11*V431</f>
        <v/>
      </c>
      <c r="P431">
        <f>IF(B458=0,0,O431/B458)</f>
        <v/>
      </c>
      <c r="Q431">
        <f>IFERROR(1/(IF(Inputs!$B$38="pvp",15,MAX(0.1,Skills!D9-IF(Skills!E9=TRUE,Inputs!$B$32,0)))*(1-IF(AND(ArtifactsInput!$M$27,Inputs!$B$4="Chapter Hunt"),CHOOSE(ArtifactsInput!$N$27+1,20,24,28,32,36,40),0)/100)),0)</f>
        <v/>
      </c>
      <c r="R431">
        <f>IF(AND(Inputs!$B$38&lt;&gt;"pvp",Inputs!$B$43&gt;0),IF(MAX(0,Inputs!$B$43-B455)&lt;=0,0,(INT(MAX(0,Inputs!$B$43-B455)/(IF(Inputs!$B$38="pvp",15,MAX(0.1,Skills!D9-IF(Skills!E9=TRUE,Inputs!$B$32,0)))*(1-IF(AND(ArtifactsInput!$M$27,Inputs!$B$4="Chapter Hunt"),CHOOSE(ArtifactsInput!$N$27+1,20,24,28,32,36,40),0)/100)))+1)),0)</f>
        <v/>
      </c>
      <c r="S431">
        <f>IFERROR(O431/N431,0)</f>
        <v/>
      </c>
      <c r="T431">
        <f>IF(C431,(H431*N431*IF(AND(Inputs!$B$38&lt;&gt;"pvp",Inputs!$B$43&gt;0),((Skills!G9*((R431-1)*IF(Skills!H9&gt;0,Skills!I9/Skills!H9,1)+IF(Skills!H9&gt;0,MIN(Skills!I9,MAX(0,MAX(0,Inputs!$B$43-B455)-((R431-1)*(IF(Inputs!$B$38="pvp",15,MAX(0.1,Skills!D9-IF(Skills!E9=TRUE,Inputs!$B$32,0)))*(1-IF(AND(ArtifactsInput!$M$27,Inputs!$B$4="Chapter Hunt"),CHOOSE(ArtifactsInput!$N$27+1,20,24,28,32,36,40),0)/100)))))/Skills!H9,1)))/Inputs!$B$43),G431*Q431)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431*(1-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431*(1-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1">
        <f>IF(C431,(H431*N431*IF(AND(Inputs!$B$38&lt;&gt;"pvp",Inputs!$B$43&gt;0),((Skills!G9*((R431-1)*IF(Skills!H9&gt;0,Skills!I9/Skills!H9,1)+IF(Skills!H9&gt;0,MIN(Skills!I9,MAX(0,MAX(0,Inputs!$B$43-B455)-((R431-1)*(IF(Inputs!$B$38="pvp",15,MAX(0.1,Skills!D9-IF(Skills!E9=TRUE,Inputs!$B$32,0)))*(1-IF(AND(ArtifactsInput!$M$27,Inputs!$B$4="Chapter Hunt"),CHOOSE(ArtifactsInput!$N$27+1,20,24,28,32,36,40),0)/100)))))/Skills!H9,1)))/Inputs!$B$43),G431*Q431))*IF(Inputs!$B$38="pvp",1,(1+(Inputs!$B$21+Skills!Q9+(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2">
      <c r="A432">
        <f>Skills!A10</f>
        <v/>
      </c>
      <c r="B432">
        <f>Skills!B10</f>
        <v/>
      </c>
      <c r="C432">
        <f>Inputs!$B$3&gt;=103</f>
        <v/>
      </c>
      <c r="D432">
        <f>IF(Skills!C10=1,60+Inputs!$B$25+Inputs!$B$29,IF(Skills!C10=2,90+Inputs!$B$26+Inputs!$B$29,IF(Skills!C10=3,120+Inputs!$B$27+Inputs!$B$29,MAX(0,(Inputs!$B$3-100)*3)+Inputs!$B$28+Inputs!$B$29)))</f>
        <v/>
      </c>
      <c r="E432">
        <f>INDEX(FactorTable!$B$2:$Y$301, MATCH(ROUND(MIN(300,MAX(1,D432)),0), FactorTable!$A$2:$A$301,0), Skills!M10+1)</f>
        <v/>
      </c>
      <c r="F432">
        <f>IF(Skills!N10=TRUE,(Skills!L10/10)*(E432/1000),Skills!L10/10)+Skills!O10</f>
        <v/>
      </c>
      <c r="G432">
        <f>Skills!G10*IF(Skills!H10&gt;0,Skills!I10/Skills!H10,1)</f>
        <v/>
      </c>
      <c r="H432">
        <f>1-(1-Skills!J10/100)^Skills!K10</f>
        <v/>
      </c>
      <c r="I432" t="inlineStr">
        <is>
          <t>1</t>
        </is>
      </c>
      <c r="J432">
        <f>((Inputs!$B$6*(1+Inputs!$B$7/100))+(((Inputs!$B$12*(1+Inputs!$B$13/100))-(Inputs!$B$12*(1+Inputs!$B$13/100)))+0.25*(Inputs!$B$14-Inputs!$B$14))*(1+Inputs!$B$7/100))*(F432/100)</f>
        <v/>
      </c>
      <c r="K432">
        <f>J432*(1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432)</f>
        <v/>
      </c>
      <c r="L432">
        <f>K432*(MIN(Inputs!$B$22+((C442=TRUE)*(F442-Calc!F20)),((Inputs!$B$23+1)+0+(IF(ArtifactsInput!$M$15,CHOOSE(ArtifactsInput!$N$15+1,25,30,35,40,45,50)/100*(Inputs!$B$11-Inputs!$B$11),0))))/100+((Inputs!$B$23+1)+0+(IF(ArtifactsInput!$M$15,CHOOSE(ArtifactsInput!$N$15+1,25,30,35,40,45,50)/100*(Inputs!$B$11-Inputs!$B$11),0)))/100)/2</f>
        <v/>
      </c>
      <c r="M432">
        <f>L432*(1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2">
        <f>L432*(1-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432*(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2">
        <f>(1-Summary!$B$11)*T432+Summary!$B$11*V432</f>
        <v/>
      </c>
      <c r="P432">
        <f>IF(B458=0,0,O432/B458)</f>
        <v/>
      </c>
      <c r="Q432">
        <f>IFERROR(1/(IF(Inputs!$B$38="pvp",15,MAX(0.1,Skills!D10-IF(Skills!E10=TRUE,Inputs!$B$32,0)))*(1-IF(AND(ArtifactsInput!$M$27,Inputs!$B$4="Chapter Hunt"),CHOOSE(ArtifactsInput!$N$27+1,20,24,28,32,36,40),0)/100)),0)</f>
        <v/>
      </c>
      <c r="R432">
        <f>IF(AND(Inputs!$B$38&lt;&gt;"pvp",Inputs!$B$43&gt;0),IF(MAX(0,Inputs!$B$43-B455)&lt;=0,0,(INT(MAX(0,Inputs!$B$43-B455)/(IF(Inputs!$B$38="pvp",15,MAX(0.1,Skills!D10-IF(Skills!E10=TRUE,Inputs!$B$32,0)))*(1-IF(AND(ArtifactsInput!$M$27,Inputs!$B$4="Chapter Hunt"),CHOOSE(ArtifactsInput!$N$27+1,20,24,28,32,36,40),0)/100)))+1)),0)</f>
        <v/>
      </c>
      <c r="S432">
        <f>IFERROR(O432/N432,0)</f>
        <v/>
      </c>
      <c r="T432">
        <f>IF(C432,(H432*N432*IF(AND(Inputs!$B$38&lt;&gt;"pvp",Inputs!$B$43&gt;0),((Skills!G10*((R432-1)*IF(Skills!H10&gt;0,Skills!I10/Skills!H10,1)+IF(Skills!H10&gt;0,MIN(Skills!I10,MAX(0,MAX(0,Inputs!$B$43-B455)-((R432-1)*(IF(Inputs!$B$38="pvp",15,MAX(0.1,Skills!D10-IF(Skills!E10=TRUE,Inputs!$B$32,0)))*(1-IF(AND(ArtifactsInput!$M$27,Inputs!$B$4="Chapter Hunt"),CHOOSE(ArtifactsInput!$N$27+1,20,24,28,32,36,40),0)/100)))))/Skills!H10,1)))/Inputs!$B$43),G432*Q432)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432*(1-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432*(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432*(1-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432*(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2">
        <f>IF(C432,(H432*N432*IF(AND(Inputs!$B$38&lt;&gt;"pvp",Inputs!$B$43&gt;0),((Skills!G10*((R432-1)*IF(Skills!H10&gt;0,Skills!I10/Skills!H10,1)+IF(Skills!H10&gt;0,MIN(Skills!I10,MAX(0,MAX(0,Inputs!$B$43-B455)-((R432-1)*(IF(Inputs!$B$38="pvp",15,MAX(0.1,Skills!D10-IF(Skills!E10=TRUE,Inputs!$B$32,0)))*(1-IF(AND(ArtifactsInput!$M$27,Inputs!$B$4="Chapter Hunt"),CHOOSE(ArtifactsInput!$N$27+1,20,24,28,32,36,40),0)/100)))))/Skills!H10,1)))/Inputs!$B$43),G432*Q432))*IF(Inputs!$B$38="pvp",1,(1+(Inputs!$B$21+Skills!Q10+(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3">
      <c r="A433">
        <f>Skills!A11</f>
        <v/>
      </c>
      <c r="B433">
        <f>Skills!B11</f>
        <v/>
      </c>
      <c r="C433">
        <f>Inputs!$B$3&gt;=113</f>
        <v/>
      </c>
      <c r="D433">
        <f>IF(Skills!C11=1,60+Inputs!$B$25+Inputs!$B$29,IF(Skills!C11=2,90+Inputs!$B$26+Inputs!$B$29,IF(Skills!C11=3,120+Inputs!$B$27+Inputs!$B$29,MAX(0,(Inputs!$B$3-100)*3)+Inputs!$B$28+Inputs!$B$29)))</f>
        <v/>
      </c>
      <c r="E433">
        <f>INDEX(FactorTable!$B$2:$Y$301, MATCH(ROUND(MIN(300,MAX(1,D433)),0), FactorTable!$A$2:$A$301,0), Skills!M11+1)</f>
        <v/>
      </c>
      <c r="F433">
        <f>IF(Skills!N11=TRUE,(Skills!L11/10)*(E433/1000),Skills!L11/10)+Skills!O11</f>
        <v/>
      </c>
      <c r="G433">
        <f>Skills!G11*IF(Skills!H11&gt;0,Skills!I11/Skills!H11,1)</f>
        <v/>
      </c>
      <c r="H433">
        <f>1-(1-Skills!J11/100)^Skills!K11</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444=TRUE)*(F444-Calc!F22))+B454)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443=TRUE)*(F443-Calc!F21))+(((IF(AND(ArtifactsInput!$M$42,((Inputs!$B$9+((C438=TRUE)*(F438-Calc!F16))+B448+(ArtifactsInput!$M$24-ArtifactsInput!$M$24)*CHOOSE(ArtifactsInput!$N$24+1,10,12,14,16,18,20)+IF(ArtifactsInput!$M$10,CHOOSE(ArtifactsInput!$N$10+1,15,18,21,24,27,30)*(IF(Inputs!$B$38="pvp",MIN(15,15)/15,IF(AND(Inputs!$B$38&lt;&gt;"pvp",Inputs!$B$43&gt;0),MIN(15,Inputs!$B$43)/(Inputs!$B$43),0))),0)))&gt;=100),MIN(100,((Inputs!$B$9+((C438=TRUE)*(F438-Calc!F16))+B448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438=TRUE)*(F438-Calc!F16))+B448+(ArtifactsInput!$M$24-ArtifactsInput!$M$24)*CHOOSE(ArtifactsInput!$N$24+1,10,12,14,16,18,20)+IF(ArtifactsInput!$M$10,CHOOSE(ArtifactsInput!$N$10+1,15,18,21,24,27,30)*(IF(Inputs!$B$38="pvp",MIN(15,15)/15,IF(AND(Inputs!$B$38&lt;&gt;"pvp",Inputs!$B$43&gt;0),MIN(15,Inputs!$B$43)/(Inputs!$B$43),0))),0)))&gt;=100),CHOOSE(ArtifactsInput!$N$42+1,40,48,56,64,72,80),0))))/100)*((1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C442=TRUE)*(F442-Calc!F20)),((Inputs!$B$23+1)+0+(IF(ArtifactsInput!$M$15,CHOOSE(ArtifactsInput!$N$15+1,25,30,35,40,45,50)/100*(Inputs!$B$11-Inputs!$B$11),0))))/100+((Inputs!$B$23+1)+0+(IF(ArtifactsInput!$M$15,CHOOSE(ArtifactsInput!$N$15+1,25,30,35,40,45,50)/100*(Inputs!$B$11-Inputs!$B$11),0)))/100)/2</f>
        <v/>
      </c>
      <c r="M433">
        <f>L433*(1+(Inputs!$B$10+0+B453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IF(B458=0,0,O433/B458)</f>
        <v/>
      </c>
      <c r="Q433">
        <f>IFERROR(1/(IF(Inputs!$B$38="pvp",15,MAX(0.1,Skills!D11-IF(Skills!E11=TRUE,Inputs!$B$32,0)))*(1-IF(AND(ArtifactsInput!$M$27,Inputs!$B$4="Chapter Hunt"),CHOOSE(ArtifactsInput!$N$27+1,20,24,28,32,36,40),0)/100)),0)</f>
        <v/>
      </c>
      <c r="R433">
        <f>IF(AND(Inputs!$B$38&lt;&gt;"pvp",Inputs!$B$43&gt;0),IF(MAX(0,Inputs!$B$43-B455)&lt;=0,0,(INT(MAX(0,Inputs!$B$43-B455)/(IF(Inputs!$B$38="pvp",15,MAX(0.1,Skills!D11-IF(Skills!E11=TRUE,Inputs!$B$32,0)))*(1-IF(AND(ArtifactsInput!$M$27,Inputs!$B$4="Chapter Hunt"),CHOOSE(ArtifactsInput!$N$27+1,20,24,28,32,36,40),0)/100)))+1)),0)</f>
        <v/>
      </c>
      <c r="S433">
        <f>IFERROR(O433/N433,0)</f>
        <v/>
      </c>
      <c r="T433">
        <f>IF(C433,(H433*N433*IF(AND(Inputs!$B$38&lt;&gt;"pvp",Inputs!$B$43&gt;0),((Skills!G11*((R433-1)*IF(Skills!H11&gt;0,Skills!I11/Skills!H11,1)+IF(Skills!H11&gt;0,MIN(Skills!I11,MAX(0,MAX(0,Inputs!$B$43-B455)-((R433-1)*(IF(Inputs!$B$38="pvp",15,MAX(0.1,Skills!D11-IF(Skills!E11=TRUE,Inputs!$B$32,0)))*(1-IF(AND(ArtifactsInput!$M$27,Inputs!$B$4="Chapter Hunt"),CHOOSE(ArtifactsInput!$N$27+1,20,24,28,32,36,40),0)/100)))))/Skills!H11,1)))/Inputs!$B$43),G433*Q433)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438=TRUE)*(F438-Calc!F16))+B448+(ArtifactsInput!$M$24-ArtifactsInput!$M$24)*CHOOSE(ArtifactsInput!$N$24+1,10,12,14,16,18,20)+(IF(AND(ArtifactsInput!$M$42,((Inputs!$B$9+((C438=TRUE)*(F438-Calc!F16))+B448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3">
        <f>IF(C433,(H433*N433*IF(AND(Inputs!$B$38&lt;&gt;"pvp",Inputs!$B$43&gt;0),((Skills!G11*((R433-1)*IF(Skills!H11&gt;0,Skills!I11/Skills!H11,1)+IF(Skills!H11&gt;0,MIN(Skills!I11,MAX(0,MAX(0,Inputs!$B$43-B455)-((R433-1)*(IF(Inputs!$B$38="pvp",15,MAX(0.1,Skills!D11-IF(Skills!E11=TRUE,Inputs!$B$32,0)))*(1-IF(AND(ArtifactsInput!$M$27,Inputs!$B$4="Chapter Hunt"),CHOOSE(ArtifactsInput!$N$27+1,20,24,28,32,36,40),0)/100)))))/Skills!H11,1)))/Inputs!$B$43),G433*Q433))*IF(Inputs!$B$38="pvp",1,(1+(Inputs!$B$21+Skills!Q11+(IF(ArtifactsInput!$M$33,CHOOSE(ArtifactsInput!$N$33+1,30,36,42,48,54,60),0))+(IF(AND(ArtifactsInput!$M$35,Inputs!$B$4&lt;&gt;"Chapter Hunt"),CHOOSE(ArtifactsInput!$N$35+1,15,18,21,24,27,30)*(1-EXP(-(0.2*B450)*5)),0)+IF(AND(ArtifactsInput!$M$22,Inputs!$B$4&lt;&gt;"Chapter Hunt"),CHOOSE(ArtifactsInput!$N$22+1,10,12,14,16,18,20)*((0*(((0.15*B450*5))^0/1)+1*(((0.15*B450*5))^1/1)+2*(((0.15*B450*5))^2/2)+3*(((0.15*B450*5))^3/6)+4*(((0.15*B450*5))^4/24)+5*(((0.15*B450*5))^5/120))/((((0.15*B450*5))^0/1)+(((0.15*B450*5))^1/1)+(((0.15*B450*5))^2/2)+(((0.15*B450*5))^3/6)+(((0.15*B450*5))^4/24)+(((0.15*B450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Skills!A12</f>
        <v/>
      </c>
      <c r="B434">
        <f>Skills!B12</f>
        <v/>
      </c>
      <c r="C434">
        <f>Inputs!$B$3&gt;=100</f>
        <v/>
      </c>
      <c r="D434">
        <f>IF(Skills!C12=1,60+Inputs!$B$25+Inputs!$B$29,IF(Skills!C12=2,90+Inputs!$B$26+Inputs!$B$29,IF(Skills!C12=3,120+Inputs!$B$27+Inputs!$B$29,MAX(0,(Inputs!$B$3-100)*3)+Inputs!$B$28+Inputs!$B$29)))</f>
        <v/>
      </c>
      <c r="E434">
        <f>INDEX(FactorTable!$B$2:$Y$301, MATCH(ROUND(MIN(300,MAX(1,D434)),0), FactorTable!$A$2:$A$301,0), Skills!M12+1)</f>
        <v/>
      </c>
      <c r="F434">
        <f>IF(Skills!N12=TRUE,(Skills!L12/10)*(E434/1000),Skills!L12/10)+Skills!O12</f>
        <v/>
      </c>
      <c r="G434" t="inlineStr"/>
      <c r="H434" t="inlineStr"/>
      <c r="I434" t="inlineStr">
        <is>
          <t>1</t>
        </is>
      </c>
      <c r="J434" t="inlineStr"/>
      <c r="K434" t="inlineStr"/>
      <c r="L434" t="inlineStr"/>
      <c r="M434" t="inlineStr"/>
      <c r="N434" t="inlineStr"/>
      <c r="O434" t="inlineStr"/>
      <c r="P434" t="inlineStr"/>
      <c r="Q434" t="inlineStr"/>
      <c r="R434" t="inlineStr"/>
      <c r="S434" t="inlineStr"/>
      <c r="T434" t="inlineStr"/>
      <c r="V434" t="inlineStr"/>
    </row>
    <row r="435">
      <c r="A435">
        <f>Skills!A13</f>
        <v/>
      </c>
      <c r="B435">
        <f>Skills!B13</f>
        <v/>
      </c>
      <c r="C435">
        <f>Inputs!$B$3&gt;=66</f>
        <v/>
      </c>
      <c r="D435">
        <f>IF(Skills!C13=1,60+Inputs!$B$25+Inputs!$B$29,IF(Skills!C13=2,90+Inputs!$B$26+Inputs!$B$29,IF(Skills!C13=3,120+Inputs!$B$27+Inputs!$B$29,MAX(0,(Inputs!$B$3-100)*3)+Inputs!$B$28+Inputs!$B$29)))</f>
        <v/>
      </c>
      <c r="E435">
        <f>INDEX(FactorTable!$B$2:$Y$301, MATCH(ROUND(MIN(300,MAX(1,D435)),0), FactorTable!$A$2:$A$301,0), Skills!M13+1)</f>
        <v/>
      </c>
      <c r="F435">
        <f>IF(Skills!N13=TRUE,(Skills!L13/10)*(E435/1000),Skills!L13/10)+Skills!O13</f>
        <v/>
      </c>
      <c r="G435">
        <f>Skills!G13*IF(Skills!H13&gt;0,Skills!I13/Skills!H13,1)</f>
        <v/>
      </c>
      <c r="H435">
        <f>1-(1-Skills!J13/100)^Skills!K13</f>
        <v/>
      </c>
      <c r="I435" t="inlineStr">
        <is>
          <t>1</t>
        </is>
      </c>
      <c r="J435" t="inlineStr"/>
      <c r="K435" t="inlineStr"/>
      <c r="L435" t="inlineStr"/>
      <c r="M435" t="inlineStr"/>
      <c r="N435" t="inlineStr"/>
      <c r="O435">
        <f>(1-Summary!$B$11)*T435+Summary!$B$11*V435</f>
        <v/>
      </c>
      <c r="P435">
        <f>IF(B458=0,0,O435/B458)</f>
        <v/>
      </c>
      <c r="Q435" t="n">
        <v>0</v>
      </c>
      <c r="R435" t="n">
        <v>0</v>
      </c>
      <c r="S435">
        <f>IFERROR(O435/N435,0)</f>
        <v/>
      </c>
      <c r="T435" t="n">
        <v>0</v>
      </c>
      <c r="V435" t="n">
        <v>0</v>
      </c>
    </row>
    <row r="436">
      <c r="A436">
        <f>Skills!A14</f>
        <v/>
      </c>
      <c r="B436">
        <f>Skills!B14</f>
        <v/>
      </c>
      <c r="C436">
        <f>Inputs!$B$3&gt;=107</f>
        <v/>
      </c>
      <c r="D436">
        <f>IF(Skills!C14=1,60+Inputs!$B$25+Inputs!$B$29,IF(Skills!C14=2,90+Inputs!$B$26+Inputs!$B$29,IF(Skills!C14=3,120+Inputs!$B$27+Inputs!$B$29,MAX(0,(Inputs!$B$3-100)*3)+Inputs!$B$28+Inputs!$B$29)))</f>
        <v/>
      </c>
      <c r="E436">
        <f>INDEX(FactorTable!$B$2:$Y$301, MATCH(ROUND(MIN(300,MAX(1,D436)),0), FactorTable!$A$2:$A$301,0), Skills!M14+1)</f>
        <v/>
      </c>
      <c r="F436">
        <f>IF(Skills!N14=TRUE,(Skills!L14/10)*(E436/1000),Skills!L14/10)+Skills!O14</f>
        <v/>
      </c>
      <c r="G436">
        <f>Skills!G14*IF(Skills!H14&gt;0,Skills!I14/Skills!H14,1)</f>
        <v/>
      </c>
      <c r="H436">
        <f>1-(1-Skills!J14/100)^Skills!K14</f>
        <v/>
      </c>
      <c r="I436" t="inlineStr">
        <is>
          <t>1</t>
        </is>
      </c>
      <c r="J436" t="inlineStr"/>
      <c r="K436" t="inlineStr"/>
      <c r="L436" t="inlineStr"/>
      <c r="M436" t="inlineStr"/>
      <c r="N436" t="inlineStr"/>
      <c r="O436">
        <f>(1-Summary!$B$11)*T436+Summary!$B$11*V436</f>
        <v/>
      </c>
      <c r="P436">
        <f>IF(B458=0,0,O436/B458)</f>
        <v/>
      </c>
      <c r="Q436">
        <f>IFERROR(1/(IF(Inputs!$B$38="pvp",15,MAX(0.1,Skills!D14-IF(Skills!E14=TRUE,Inputs!$B$32,0)))*(1-IF(AND(ArtifactsInput!$M$27,Inputs!$B$4="Chapter Hunt"),CHOOSE(ArtifactsInput!$N$27+1,20,24,28,32,36,40),0)/100)),0)</f>
        <v/>
      </c>
      <c r="R436">
        <f>IF(AND(Inputs!$B$38&lt;&gt;"pvp",Inputs!$B$43&gt;0),IF(Inputs!$B$43&lt;=0,0,(INT(Inputs!$B$43/(IF(Inputs!$B$38="pvp",15,MAX(0.1,Skills!D14-IF(Skills!E14=TRUE,Inputs!$B$32,0)))*(1-IF(AND(ArtifactsInput!$M$27,Inputs!$B$4="Chapter Hunt"),CHOOSE(ArtifactsInput!$N$27+1,20,24,28,32,36,40),0)/100)))+1)),0)</f>
        <v/>
      </c>
      <c r="S436">
        <f>IFERROR(O436/N436,0)</f>
        <v/>
      </c>
      <c r="T436" t="n">
        <v>0</v>
      </c>
      <c r="V436" t="n">
        <v>0</v>
      </c>
    </row>
    <row r="437">
      <c r="A437">
        <f>Skills!A15</f>
        <v/>
      </c>
      <c r="B437">
        <f>Skills!B15</f>
        <v/>
      </c>
      <c r="C437">
        <f>Inputs!$B$3&gt;=115</f>
        <v/>
      </c>
      <c r="D437">
        <f>IF(Skills!C15=1,60+Inputs!$B$25+Inputs!$B$29,IF(Skills!C15=2,90+Inputs!$B$26+Inputs!$B$29,IF(Skills!C15=3,120+Inputs!$B$27+Inputs!$B$29,MAX(0,(Inputs!$B$3-100)*3)+Inputs!$B$28+Inputs!$B$29)))</f>
        <v/>
      </c>
      <c r="E437">
        <f>INDEX(FactorTable!$B$2:$Y$301, MATCH(ROUND(MIN(300,MAX(1,D437)),0), FactorTable!$A$2:$A$301,0), Skills!M15+1)</f>
        <v/>
      </c>
      <c r="F437">
        <f>IF(Skills!N15=TRUE,(Skills!L15/10)*(E437/1000),Skills!L15/10)+Skills!O15</f>
        <v/>
      </c>
      <c r="G437">
        <f>Skills!G15*IF(Skills!H15&gt;0,Skills!I15/Skills!H15,1)</f>
        <v/>
      </c>
      <c r="H437">
        <f>1-(1-Skills!J15/100)^Skills!K15</f>
        <v/>
      </c>
      <c r="I437" t="inlineStr">
        <is>
          <t>1</t>
        </is>
      </c>
      <c r="J437" t="inlineStr"/>
      <c r="K437" t="inlineStr"/>
      <c r="L437" t="inlineStr"/>
      <c r="M437" t="inlineStr"/>
      <c r="N437" t="inlineStr"/>
      <c r="O437">
        <f>(1-Summary!$B$11)*T437+Summary!$B$11*V437</f>
        <v/>
      </c>
      <c r="P437">
        <f>IF(B458=0,0,O437/B458)</f>
        <v/>
      </c>
      <c r="Q437">
        <f>IFERROR(1/(IF(Inputs!$B$38="pvp",15,MAX(0.1,Skills!D15-IF(Skills!E15=TRUE,Inputs!$B$32,0)))*(1-IF(AND(ArtifactsInput!$M$27,Inputs!$B$4="Chapter Hunt"),CHOOSE(ArtifactsInput!$N$27+1,20,24,28,32,36,40),0)/100)),0)</f>
        <v/>
      </c>
      <c r="R437">
        <f>IF(AND(Inputs!$B$38&lt;&gt;"pvp",Inputs!$B$43&gt;0),IF(Inputs!$B$43&lt;=0,0,(INT(Inputs!$B$43/(IF(Inputs!$B$38="pvp",15,MAX(0.1,Skills!D15-IF(Skills!E15=TRUE,Inputs!$B$32,0)))*(1-IF(AND(ArtifactsInput!$M$27,Inputs!$B$4="Chapter Hunt"),CHOOSE(ArtifactsInput!$N$27+1,20,24,28,32,36,40),0)/100)))+1)),0)</f>
        <v/>
      </c>
      <c r="S437">
        <f>IFERROR(O437/N437,0)</f>
        <v/>
      </c>
      <c r="T437" t="n">
        <v>0</v>
      </c>
      <c r="V437" t="n">
        <v>0</v>
      </c>
    </row>
    <row r="438">
      <c r="A438">
        <f>Skills!A16</f>
        <v/>
      </c>
      <c r="B438">
        <f>Skills!B16</f>
        <v/>
      </c>
      <c r="C438">
        <f>Inputs!$B$3&gt;=15</f>
        <v/>
      </c>
      <c r="D438">
        <f>IF(Skills!C16=1,60+Inputs!$B$25+Inputs!$B$29,IF(Skills!C16=2,90+Inputs!$B$26+Inputs!$B$29,IF(Skills!C16=3,120+Inputs!$B$27+Inputs!$B$29,MAX(0,(Inputs!$B$3-100)*3)+Inputs!$B$28+Inputs!$B$29)))</f>
        <v/>
      </c>
      <c r="E438">
        <f>INDEX(FactorTable!$B$2:$Y$301, MATCH(ROUND(MIN(300,MAX(1,D438)),0), FactorTable!$A$2:$A$301,0), Skills!M16+1)</f>
        <v/>
      </c>
      <c r="F438">
        <f>IF(Skills!N16=TRUE,(Skills!L16/10)*(E438/1000),Skills!L16/10)+Skills!O16</f>
        <v/>
      </c>
      <c r="G438">
        <f>Skills!G16*IF(Skills!H16&gt;0,Skills!I16/Skills!H16,1)</f>
        <v/>
      </c>
      <c r="H438">
        <f>1-(1-Skills!J16/100)^Skills!K16</f>
        <v/>
      </c>
      <c r="I438" t="inlineStr">
        <is>
          <t>1</t>
        </is>
      </c>
      <c r="J438" t="inlineStr"/>
      <c r="K438" t="inlineStr"/>
      <c r="L438" t="inlineStr"/>
      <c r="M438" t="inlineStr"/>
      <c r="N438" t="inlineStr"/>
      <c r="O438">
        <f>(1-Summary!$B$11)*T438+Summary!$B$11*V438</f>
        <v/>
      </c>
      <c r="P438">
        <f>IF(B458=0,0,O438/B458)</f>
        <v/>
      </c>
      <c r="Q438" t="n">
        <v>0</v>
      </c>
      <c r="R438" t="n">
        <v>0</v>
      </c>
      <c r="S438">
        <f>IFERROR(O438/N438,0)</f>
        <v/>
      </c>
      <c r="T438" t="n">
        <v>0</v>
      </c>
      <c r="V438" t="n">
        <v>0</v>
      </c>
    </row>
    <row r="439">
      <c r="A439">
        <f>Skills!A17</f>
        <v/>
      </c>
      <c r="B439">
        <f>Skills!B17</f>
        <v/>
      </c>
      <c r="C439">
        <f>Inputs!$B$3&gt;=10</f>
        <v/>
      </c>
      <c r="D439">
        <f>IF(Skills!C17=1,60+Inputs!$B$25+Inputs!$B$29,IF(Skills!C17=2,90+Inputs!$B$26+Inputs!$B$29,IF(Skills!C17=3,120+Inputs!$B$27+Inputs!$B$29,MAX(0,(Inputs!$B$3-100)*3)+Inputs!$B$28+Inputs!$B$29)))</f>
        <v/>
      </c>
      <c r="E439">
        <f>INDEX(FactorTable!$B$2:$Y$301, MATCH(ROUND(MIN(300,MAX(1,D439)),0), FactorTable!$A$2:$A$301,0), Skills!M17+1)</f>
        <v/>
      </c>
      <c r="F439">
        <f>IF(Skills!N17=TRUE,(Skills!L17/10)*(E439/1000),Skills!L17/10)+Skills!O17</f>
        <v/>
      </c>
      <c r="G439">
        <f>Skills!G17*IF(Skills!H17&gt;0,Skills!I17/Skills!H17,1)</f>
        <v/>
      </c>
      <c r="H439">
        <f>1-(1-Skills!J17/100)^Skills!K17</f>
        <v/>
      </c>
      <c r="I439" t="inlineStr">
        <is>
          <t>1</t>
        </is>
      </c>
      <c r="J439" t="inlineStr"/>
      <c r="K439" t="inlineStr"/>
      <c r="L439" t="inlineStr"/>
      <c r="M439" t="inlineStr"/>
      <c r="N439" t="inlineStr"/>
      <c r="O439">
        <f>(1-Summary!$B$11)*T439+Summary!$B$11*V439</f>
        <v/>
      </c>
      <c r="P439">
        <f>IF(B458=0,0,O439/B458)</f>
        <v/>
      </c>
      <c r="Q439" t="n">
        <v>0</v>
      </c>
      <c r="R439" t="n">
        <v>0</v>
      </c>
      <c r="S439">
        <f>IFERROR(O439/N439,0)</f>
        <v/>
      </c>
      <c r="T439" t="n">
        <v>0</v>
      </c>
      <c r="V439" t="n">
        <v>0</v>
      </c>
    </row>
    <row r="440">
      <c r="A440">
        <f>Skills!A18</f>
        <v/>
      </c>
      <c r="B440">
        <f>Skills!B18</f>
        <v/>
      </c>
      <c r="C440">
        <f>Inputs!$B$3&gt;=33</f>
        <v/>
      </c>
      <c r="D440">
        <f>IF(Skills!C18=1,60+Inputs!$B$25+Inputs!$B$29,IF(Skills!C18=2,90+Inputs!$B$26+Inputs!$B$29,IF(Skills!C18=3,120+Inputs!$B$27+Inputs!$B$29,MAX(0,(Inputs!$B$3-100)*3)+Inputs!$B$28+Inputs!$B$29)))</f>
        <v/>
      </c>
      <c r="E440">
        <f>INDEX(FactorTable!$B$2:$Y$301, MATCH(ROUND(MIN(300,MAX(1,D440)),0), FactorTable!$A$2:$A$301,0), Skills!M18+1)</f>
        <v/>
      </c>
      <c r="F440">
        <f>IF(Skills!N18=TRUE,(Skills!L18/10)*(E440/1000),Skills!L18/10)+Skills!O18</f>
        <v/>
      </c>
      <c r="G440">
        <f>Skills!G18*IF(Skills!H18&gt;0,Skills!I18/Skills!H18,1)</f>
        <v/>
      </c>
      <c r="H440">
        <f>1-(1-Skills!J18/100)^Skills!K18</f>
        <v/>
      </c>
      <c r="I440" t="inlineStr">
        <is>
          <t>1</t>
        </is>
      </c>
      <c r="J440" t="inlineStr"/>
      <c r="K440" t="inlineStr"/>
      <c r="L440" t="inlineStr"/>
      <c r="M440" t="inlineStr"/>
      <c r="N440" t="inlineStr"/>
      <c r="O440">
        <f>(1-Summary!$B$11)*T440+Summary!$B$11*V440</f>
        <v/>
      </c>
      <c r="P440">
        <f>IF(B458=0,0,O440/B458)</f>
        <v/>
      </c>
      <c r="Q440" t="n">
        <v>0</v>
      </c>
      <c r="R440" t="n">
        <v>0</v>
      </c>
      <c r="S440">
        <f>IFERROR(O440/N440,0)</f>
        <v/>
      </c>
      <c r="T440" t="n">
        <v>0</v>
      </c>
      <c r="V440" t="n">
        <v>0</v>
      </c>
    </row>
    <row r="441">
      <c r="A441">
        <f>Skills!A19</f>
        <v/>
      </c>
      <c r="B441">
        <f>Skills!B19</f>
        <v/>
      </c>
      <c r="C441">
        <f>Inputs!$B$3&gt;=40</f>
        <v/>
      </c>
      <c r="D441">
        <f>IF(Skills!C19=1,60+Inputs!$B$25+Inputs!$B$29,IF(Skills!C19=2,90+Inputs!$B$26+Inputs!$B$29,IF(Skills!C19=3,120+Inputs!$B$27+Inputs!$B$29,MAX(0,(Inputs!$B$3-100)*3)+Inputs!$B$28+Inputs!$B$29)))</f>
        <v/>
      </c>
      <c r="E441">
        <f>INDEX(FactorTable!$B$2:$Y$301, MATCH(ROUND(MIN(300,MAX(1,D441)),0), FactorTable!$A$2:$A$301,0), Skills!M19+1)</f>
        <v/>
      </c>
      <c r="F441">
        <f>IF(Skills!N19=TRUE,(Skills!L19/10)*(E441/1000),Skills!L19/10)+Skills!O19</f>
        <v/>
      </c>
      <c r="G441">
        <f>Skills!G19*IF(Skills!H19&gt;0,Skills!I19/Skills!H19,1)</f>
        <v/>
      </c>
      <c r="H441">
        <f>1-(1-Skills!J19/100)^Skills!K19</f>
        <v/>
      </c>
      <c r="I441" t="inlineStr">
        <is>
          <t>1</t>
        </is>
      </c>
      <c r="J441" t="inlineStr"/>
      <c r="K441" t="inlineStr"/>
      <c r="L441" t="inlineStr"/>
      <c r="M441" t="inlineStr"/>
      <c r="N441" t="inlineStr"/>
      <c r="O441">
        <f>(1-Summary!$B$11)*T441+Summary!$B$11*V441</f>
        <v/>
      </c>
      <c r="P441">
        <f>IF(B458=0,0,O441/B458)</f>
        <v/>
      </c>
      <c r="Q441" t="n">
        <v>0</v>
      </c>
      <c r="R441" t="n">
        <v>0</v>
      </c>
      <c r="S441">
        <f>IFERROR(O441/N441,0)</f>
        <v/>
      </c>
      <c r="T441" t="n">
        <v>0</v>
      </c>
      <c r="V441" t="n">
        <v>0</v>
      </c>
    </row>
    <row r="442">
      <c r="A442">
        <f>Skills!A20</f>
        <v/>
      </c>
      <c r="B442">
        <f>Skills!B20</f>
        <v/>
      </c>
      <c r="C442">
        <f>Inputs!$B$3&gt;=43</f>
        <v/>
      </c>
      <c r="D442">
        <f>IF(Skills!C20=1,60+Inputs!$B$25+Inputs!$B$29,IF(Skills!C20=2,90+Inputs!$B$26+Inputs!$B$29,IF(Skills!C20=3,120+Inputs!$B$27+Inputs!$B$29,MAX(0,(Inputs!$B$3-100)*3)+Inputs!$B$28+Inputs!$B$29)))</f>
        <v/>
      </c>
      <c r="E442">
        <f>INDEX(FactorTable!$B$2:$Y$301, MATCH(ROUND(MIN(300,MAX(1,D442)),0), FactorTable!$A$2:$A$301,0), Skills!M20+1)</f>
        <v/>
      </c>
      <c r="F442">
        <f>IF(Skills!N20=TRUE,(Skills!L20/10)*(E442/1000),Skills!L20/10)+Skills!O20</f>
        <v/>
      </c>
      <c r="G442">
        <f>Skills!G20*IF(Skills!H20&gt;0,Skills!I20/Skills!H20,1)</f>
        <v/>
      </c>
      <c r="H442">
        <f>1-(1-Skills!J20/100)^Skills!K20</f>
        <v/>
      </c>
      <c r="I442" t="inlineStr">
        <is>
          <t>1</t>
        </is>
      </c>
      <c r="J442" t="inlineStr"/>
      <c r="K442" t="inlineStr"/>
      <c r="L442" t="inlineStr"/>
      <c r="M442" t="inlineStr"/>
      <c r="N442" t="inlineStr"/>
      <c r="O442">
        <f>(1-Summary!$B$11)*T442+Summary!$B$11*V442</f>
        <v/>
      </c>
      <c r="P442">
        <f>IF(B458=0,0,O442/B458)</f>
        <v/>
      </c>
      <c r="Q442" t="n">
        <v>0</v>
      </c>
      <c r="R442" t="n">
        <v>0</v>
      </c>
      <c r="S442">
        <f>IFERROR(O442/N442,0)</f>
        <v/>
      </c>
      <c r="T442" t="n">
        <v>0</v>
      </c>
      <c r="V442" t="n">
        <v>0</v>
      </c>
    </row>
    <row r="443">
      <c r="A443">
        <f>Skills!A21</f>
        <v/>
      </c>
      <c r="B443">
        <f>Skills!B21</f>
        <v/>
      </c>
      <c r="C443">
        <f>Inputs!$B$3&gt;=38</f>
        <v/>
      </c>
      <c r="D443">
        <f>IF(Skills!C21=1,60+Inputs!$B$25+Inputs!$B$29,IF(Skills!C21=2,90+Inputs!$B$26+Inputs!$B$29,IF(Skills!C21=3,120+Inputs!$B$27+Inputs!$B$29,MAX(0,(Inputs!$B$3-100)*3)+Inputs!$B$28+Inputs!$B$29)))</f>
        <v/>
      </c>
      <c r="E443">
        <f>INDEX(FactorTable!$B$2:$Y$301, MATCH(ROUND(MIN(300,MAX(1,D443)),0), FactorTable!$A$2:$A$301,0), Skills!M21+1)</f>
        <v/>
      </c>
      <c r="F443">
        <f>IF(Skills!N21=TRUE,(Skills!L21/10)*(E443/1000),Skills!L21/10)+Skills!O21</f>
        <v/>
      </c>
      <c r="G443">
        <f>Skills!G21*IF(Skills!H21&gt;0,Skills!I21/Skills!H21,1)</f>
        <v/>
      </c>
      <c r="H443">
        <f>1-(1-Skills!J21/100)^Skills!K21</f>
        <v/>
      </c>
      <c r="I443" t="inlineStr">
        <is>
          <t>1</t>
        </is>
      </c>
      <c r="J443" t="inlineStr"/>
      <c r="K443" t="inlineStr"/>
      <c r="L443" t="inlineStr"/>
      <c r="M443" t="inlineStr"/>
      <c r="N443" t="inlineStr"/>
      <c r="O443">
        <f>(1-Summary!$B$11)*T443+Summary!$B$11*V443</f>
        <v/>
      </c>
      <c r="P443">
        <f>IF(B458=0,0,O443/B458)</f>
        <v/>
      </c>
      <c r="Q443" t="n">
        <v>0</v>
      </c>
      <c r="R443" t="n">
        <v>0</v>
      </c>
      <c r="S443">
        <f>IFERROR(O443/N443,0)</f>
        <v/>
      </c>
      <c r="T443" t="n">
        <v>0</v>
      </c>
      <c r="V443" t="n">
        <v>0</v>
      </c>
    </row>
    <row r="444">
      <c r="A444">
        <f>Skills!A22</f>
        <v/>
      </c>
      <c r="B444">
        <f>Skills!B22</f>
        <v/>
      </c>
      <c r="C444">
        <f>Inputs!$B$3&gt;=75</f>
        <v/>
      </c>
      <c r="D444">
        <f>IF(Skills!C22=1,60+Inputs!$B$25+Inputs!$B$29,IF(Skills!C22=2,90+Inputs!$B$26+Inputs!$B$29,IF(Skills!C22=3,120+Inputs!$B$27+Inputs!$B$29,MAX(0,(Inputs!$B$3-100)*3)+Inputs!$B$28+Inputs!$B$29)))</f>
        <v/>
      </c>
      <c r="E444">
        <f>INDEX(FactorTable!$B$2:$Y$301, MATCH(ROUND(MIN(300,MAX(1,D444)),0), FactorTable!$A$2:$A$301,0), Skills!M22+1)</f>
        <v/>
      </c>
      <c r="F444">
        <f>IF(Skills!N22=TRUE,(Skills!L22/10)*(E444/1000),Skills!L22/10)+Skills!O22</f>
        <v/>
      </c>
      <c r="G444">
        <f>Skills!G22*IF(Skills!H22&gt;0,Skills!I22/Skills!H22,1)</f>
        <v/>
      </c>
      <c r="H444">
        <f>1-(1-Skills!J22/100)^Skills!K22</f>
        <v/>
      </c>
      <c r="I444" t="inlineStr">
        <is>
          <t>1</t>
        </is>
      </c>
      <c r="J444" t="inlineStr"/>
      <c r="K444" t="inlineStr"/>
      <c r="L444" t="inlineStr"/>
      <c r="M444" t="inlineStr"/>
      <c r="N444" t="inlineStr"/>
      <c r="O444">
        <f>(1-Summary!$B$11)*T444+Summary!$B$11*V444</f>
        <v/>
      </c>
      <c r="P444">
        <f>IF(B458=0,0,O444/B458)</f>
        <v/>
      </c>
      <c r="Q444" t="n">
        <v>0</v>
      </c>
      <c r="R444" t="n">
        <v>0</v>
      </c>
      <c r="S444">
        <f>IFERROR(O444/N444,0)</f>
        <v/>
      </c>
      <c r="T444" t="n">
        <v>0</v>
      </c>
      <c r="V444" t="n">
        <v>0</v>
      </c>
    </row>
    <row r="445">
      <c r="A445">
        <f>Skills!A23</f>
        <v/>
      </c>
      <c r="B445">
        <f>Skills!B23</f>
        <v/>
      </c>
      <c r="C445">
        <f>TRUE</f>
        <v/>
      </c>
      <c r="D445">
        <f>IF(Skills!C23=1,60+Inputs!$B$25+Inputs!$B$29,IF(Skills!C23=2,90+Inputs!$B$26+Inputs!$B$29,IF(Skills!C23=3,120+Inputs!$B$27+Inputs!$B$29,MAX(0,(Inputs!$B$3-100)*3)+Inputs!$B$28+Inputs!$B$29)))</f>
        <v/>
      </c>
      <c r="E445">
        <f>INDEX(FactorTable!$B$2:$Y$301, MATCH(ROUND(MIN(300,MAX(1,D445)),0), FactorTable!$A$2:$A$301,0), Skills!M23+1)</f>
        <v/>
      </c>
      <c r="F445">
        <f>IF(Skills!N23=TRUE,(Skills!L23/10)*(E445/1000),Skills!L23/10)+Skills!O23</f>
        <v/>
      </c>
      <c r="G445">
        <f>Skills!G23*IF(Skills!H23&gt;0,Skills!I23/Skills!H23,1)</f>
        <v/>
      </c>
      <c r="H445">
        <f>1-(1-Skills!J23/100)^Skills!K23</f>
        <v/>
      </c>
      <c r="I445" t="inlineStr">
        <is>
          <t>1</t>
        </is>
      </c>
      <c r="J445" t="inlineStr"/>
      <c r="K445" t="inlineStr"/>
      <c r="L445" t="inlineStr"/>
      <c r="M445" t="inlineStr"/>
      <c r="N445" t="inlineStr"/>
      <c r="O445">
        <f>(1-Summary!$B$11)*T445+Summary!$B$11*V445</f>
        <v/>
      </c>
      <c r="P445">
        <f>IF(B458=0,0,O445/B458)</f>
        <v/>
      </c>
      <c r="Q445">
        <f>IFERROR(1/(IF(Inputs!$B$38="pvp",15,MAX(0.1,Skills!D23-IF(Skills!E23=TRUE,Inputs!$B$32,0)))*(1-IF(AND(ArtifactsInput!$M$27,Inputs!$B$4="Chapter Hunt"),CHOOSE(ArtifactsInput!$N$27+1,20,24,28,32,36,40),0)/100)),0)</f>
        <v/>
      </c>
      <c r="R445">
        <f>IF(AND(Inputs!$B$38&lt;&gt;"pvp",Inputs!$B$43&gt;0),IF(Inputs!$B$43&lt;=0,0,(INT(Inputs!$B$43/(IF(Inputs!$B$38="pvp",15,MAX(0.1,Skills!D23-IF(Skills!E23=TRUE,Inputs!$B$32,0)))*(1-IF(AND(ArtifactsInput!$M$27,Inputs!$B$4="Chapter Hunt"),CHOOSE(ArtifactsInput!$N$27+1,20,24,28,32,36,40),0)/100)))+1)),0)</f>
        <v/>
      </c>
      <c r="S445">
        <f>IFERROR(O445/N445,0)</f>
        <v/>
      </c>
      <c r="T445" t="n">
        <v>0</v>
      </c>
      <c r="V445" t="n">
        <v>0</v>
      </c>
    </row>
    <row r="447">
      <c r="A447" t="inlineStr">
        <is>
          <t>Attack% Bucket Multiplier</t>
        </is>
      </c>
      <c r="B447">
        <f>(1+(((C435=TRUE)*F435*5/7)+((C441=TRUE)*(F441-Calc!F19))+(IF(ArtifactsInput!$M$21,CHOOSE(ArtifactsInput!$N$21+1,25,30,35,40,45,50)*(IF(OR(Inputs!$B$4="Chapter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48">
      <c r="A448" t="inlineStr">
        <is>
          <t>Global Crit Rate Bonus %</t>
        </is>
      </c>
      <c r="B448" t="n">
        <v>0</v>
      </c>
    </row>
    <row r="449">
      <c r="A449" t="inlineStr">
        <is>
          <t>Attack Speed Buff Bonus % (Nimble Feet, duty-cycle averaged)</t>
        </is>
      </c>
      <c r="B449">
        <f>((C445=TRUE)*F445*IF(AND(Inputs!$B$38&lt;&gt;"pvp",Inputs!$B$43&gt;0),(((R445-1)*(Skills!T23*(1+Inputs!$B$34/100))+MIN((Skills!T23*(1+Inputs!$B$34/100)),MAX(0,Inputs!$B$43-((R445-1)*Skills!D23))))/Inputs!$B$43),IF(Inputs!$B$38="pvp",MIN((Skills!T23*(1+Inputs!$B$34/100)),15)/15,(Skills!T23*(1+Inputs!$B$34/100))/Skills!D23)))</f>
        <v/>
      </c>
    </row>
    <row r="450">
      <c r="A450" t="inlineStr">
        <is>
          <t>Actions Per Second</t>
        </is>
      </c>
      <c r="B450">
        <f>1+MIN(150,150*(1-(1-(Inputs!$B$11+((C439=TRUE)*(F439-Calc!F17))+((C440=TRUE)*(F440-Calc!F18)))/150)*(1-B449/150)))/100</f>
        <v/>
      </c>
    </row>
    <row r="451">
      <c r="A451" t="inlineStr">
        <is>
          <t>Skill + Buff Cast Rate</t>
        </is>
      </c>
      <c r="B451">
        <f>IF(AND(Inputs!$B$38&lt;&gt;"pvp",Inputs!$B$43&gt;0),SUMPRODUCT((Skills!E2:E23=TRUE)*(C424:C445=TRUE)*R424:R445*Skills!F2:F23)/Inputs!$B$43,SUMPRODUCT((Skills!E2:E23=TRUE)*(C424:C445=TRUE)*Q424:Q445*Skills!F2:F23))</f>
        <v/>
      </c>
    </row>
    <row r="452">
      <c r="A452" t="inlineStr">
        <is>
          <t>Hook Bomber Casts Per Second</t>
        </is>
      </c>
      <c r="B452">
        <f>MAX(0,B450-B451)</f>
        <v/>
      </c>
    </row>
    <row r="453">
      <c r="A453" t="inlineStr">
        <is>
          <t>Global Critical Damage Bonus % (unused)</t>
        </is>
      </c>
      <c r="B453" t="n">
        <v>0</v>
      </c>
    </row>
    <row r="454">
      <c r="A454" t="inlineStr">
        <is>
          <t>Global Final Damage Bonus % (Serpent Scale + Crossbones + Time Leap + Speed Infusion)</t>
        </is>
      </c>
      <c r="B454">
        <f>((C427=TRUE)*F427*((10+IF(Inputs!$B$3&gt;=94,5,0))/((10+IF(Inputs!$B$3&gt;=94,5,0))+5/(B452*(1+IF(Inputs!$B$3&gt;=104,1,0))))))+((C436=TRUE)*F436*IF(AND(Inputs!$B$38&lt;&gt;"pvp",Inputs!$B$43&gt;0),(((R436-1)*(Skills!T14*(1+Inputs!$B$34/100))+MIN((Skills!T14*(1+Inputs!$B$34/100)),MAX(0,Inputs!$B$43-((R436-1)*Skills!D14))))/Inputs!$B$43),IF(Inputs!$B$38="pvp",MIN((Skills!T14*(1+Inputs!$B$34/100)),15)/15,(Skills!T14*(1+Inputs!$B$34/100))/Skills!D14)))+((C437=TRUE)*F437*IF(AND(Inputs!$B$38&lt;&gt;"pvp",Inputs!$B$43&gt;0),(((R437-1)*(Skills!T15*(1+Inputs!$B$34/100))+MIN((Skills!T15*(1+Inputs!$B$34/100)),MAX(0,Inputs!$B$43-((R437-1)*Skills!D15))))/Inputs!$B$43),IF(Inputs!$B$38="pvp",MIN((Skills!T15*(1+Inputs!$B$34/100)),15)/15,(Skills!T15*(1+Inputs!$B$34/100))/Skills!D15)))+((Inputs!$B$3&gt;=110)*20*(B450-1)*IF(Inputs!$B$38="pvp",MIN((15*(1+Inputs!$B$34/100)),15)/15,(15*(1+Inputs!$B$34/100))/35))</f>
        <v/>
      </c>
    </row>
    <row r="455">
      <c r="A455" t="inlineStr">
        <is>
          <t>Buff-Casting Startup Delay (s, fixed-duration only)</t>
        </is>
      </c>
      <c r="B455">
        <f>IF(AND(Inputs!$B$38&lt;&gt;"pvp",Inputs!$B$43&gt;0),SUMPRODUCT((Skills!T2:T23&gt;0)*(Skills!E2:E23=TRUE)*(C424:C445=TRUE))/B450,0)</f>
        <v/>
      </c>
    </row>
    <row r="456">
      <c r="A456" t="inlineStr">
        <is>
          <t>Boss-Only Total DPS (this block's swept value)</t>
        </is>
      </c>
      <c r="B456">
        <f>SUM(T424:T445)</f>
        <v/>
      </c>
    </row>
    <row r="457">
      <c r="A457" t="inlineStr">
        <is>
          <t>Normal-Only Total DPS (this block's swept value)</t>
        </is>
      </c>
      <c r="B457">
        <f>SUM(V424:V445)</f>
        <v/>
      </c>
    </row>
    <row r="458">
      <c r="A458" s="6" t="inlineStr">
        <is>
          <t>TOTAL DPS</t>
        </is>
      </c>
      <c r="B458" s="6">
        <f>SUM(O424:O445)</f>
        <v/>
      </c>
    </row>
    <row r="461">
      <c r="A461" s="6" t="inlineStr">
        <is>
          <t>Stat: CRIT_RATE %</t>
        </is>
      </c>
    </row>
    <row r="462">
      <c r="A462" s="5" t="inlineStr">
        <is>
          <t>Key</t>
        </is>
      </c>
      <c r="B462" s="5" t="inlineStr">
        <is>
          <t>Name</t>
        </is>
      </c>
      <c r="C462" s="5" t="inlineStr">
        <is>
          <t>Unlocked</t>
        </is>
      </c>
      <c r="D462" s="5" t="inlineStr">
        <is>
          <t>InputLevel</t>
        </is>
      </c>
      <c r="E462" s="5" t="inlineStr">
        <is>
          <t>Factor</t>
        </is>
      </c>
      <c r="F462" s="5" t="inlineStr">
        <is>
          <t>CoefficientPercent</t>
        </is>
      </c>
      <c r="G462" s="5" t="inlineStr">
        <is>
          <t>EffectiveHits</t>
        </is>
      </c>
      <c r="H462" s="5" t="inlineStr">
        <is>
          <t>ProcProbability</t>
        </is>
      </c>
      <c r="I462" s="5" t="inlineStr">
        <is>
          <t>MapleHeroMultiplier</t>
        </is>
      </c>
      <c r="J462" s="5" t="inlineStr">
        <is>
          <t>BaseDamage</t>
        </is>
      </c>
      <c r="K462" s="5" t="inlineStr">
        <is>
          <t>BaseHitDamage</t>
        </is>
      </c>
      <c r="L462" s="5" t="inlineStr">
        <is>
          <t>NonCritAvg</t>
        </is>
      </c>
      <c r="M462" s="5" t="inlineStr">
        <is>
          <t>CritAvg</t>
        </is>
      </c>
      <c r="N462" s="5" t="inlineStr">
        <is>
          <t>ExpectedDamage(perHit)</t>
        </is>
      </c>
      <c r="O462" s="5" t="inlineStr">
        <is>
          <t>DPS</t>
        </is>
      </c>
      <c r="P462" s="5" t="inlineStr">
        <is>
          <t>% of Total</t>
        </is>
      </c>
      <c r="Q462" s="5" t="inlineStr">
        <is>
          <t>InvCooldown</t>
        </is>
      </c>
      <c r="R462" s="5" t="inlineStr">
        <is>
          <t>CastsInFight</t>
        </is>
      </c>
      <c r="S462" s="5" t="inlineStr">
        <is>
          <t>HitRate(perSec)</t>
        </is>
      </c>
      <c r="U462" t="inlineStr">
        <is>
          <t>helpers</t>
        </is>
      </c>
    </row>
    <row r="463">
      <c r="A463">
        <f>Skills!A2</f>
        <v/>
      </c>
      <c r="B463">
        <f>Skills!B2</f>
        <v/>
      </c>
      <c r="C463">
        <f>Inputs!$B$3&gt;=100</f>
        <v/>
      </c>
      <c r="D463" t="inlineStr"/>
      <c r="E463" t="inlineStr"/>
      <c r="F463">
        <f>U465+Skills!O2</f>
        <v/>
      </c>
      <c r="G463">
        <f>Skills!G2*IF(Skills!H2&gt;0,Skills!I2/Skills!H2,1)</f>
        <v/>
      </c>
      <c r="H463">
        <f>1-(1-Skills!J2/100)^Skills!K2</f>
        <v/>
      </c>
      <c r="I463" t="inlineStr">
        <is>
          <t>1</t>
        </is>
      </c>
      <c r="J463">
        <f>((Inputs!$B$6*(1+Inputs!$B$7/100))+(((Inputs!$B$12*(1+Inputs!$B$13/100))-(Inputs!$B$12*(1+Inputs!$B$13/100)))+0.25*(Inputs!$B$14-Inputs!$B$14))*(1+Inputs!$B$7/100))*(F463/100)</f>
        <v/>
      </c>
      <c r="K463">
        <f>J463*(1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463)</f>
        <v/>
      </c>
      <c r="L463">
        <f>K463*(MIN(Inputs!$B$22+((C481=TRUE)*(F481-Calc!F20)),(Inputs!$B$23+0+(IF(ArtifactsInput!$M$15,CHOOSE(ArtifactsInput!$N$15+1,25,30,35,40,45,50)/100*(Inputs!$B$11-Inputs!$B$11),0))))/100+(Inputs!$B$23+0+(IF(ArtifactsInput!$M$15,CHOOSE(ArtifactsInput!$N$15+1,25,30,35,40,45,50)/100*(Inputs!$B$11-Inputs!$B$11),0)))/100)/2</f>
        <v/>
      </c>
      <c r="M463">
        <f>L463*(1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3">
        <f>L463*(1-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463*(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3">
        <f>(1-Summary!$B$11)*T463+Summary!$B$11*V463</f>
        <v/>
      </c>
      <c r="P463">
        <f>IF(B497=0,0,O463/B497)</f>
        <v/>
      </c>
      <c r="Q463" t="n">
        <v>0</v>
      </c>
      <c r="R463" t="n">
        <v>0</v>
      </c>
      <c r="S463">
        <f>IFERROR(O463/N463,0)</f>
        <v/>
      </c>
      <c r="T463">
        <f>IF(C463,(Skills!G2*N463*B491)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463*(1-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463*(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463*(1-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463*(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3">
        <f>MAX(0,(Inputs!$B$3-100)*3)+Inputs!$B$28+Inputs!$B$29</f>
        <v/>
      </c>
      <c r="V463">
        <f>IF(C463,(Skills!G2*N463*B491)*IF(Inputs!$B$38="pvp",1,(1+(Inputs!$B$21+Skills!Q2+(IF(ArtifactsInput!$M$33,CHOOSE(ArtifactsInput!$N$33+1,30,36,42,48,54,60),0))+(IF(AND(ArtifactsInput!$M$35,Inputs!$B$4&lt;&gt;"Chapter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4">
      <c r="A464">
        <f>Skills!A3</f>
        <v/>
      </c>
      <c r="B464">
        <f>Skills!B3</f>
        <v/>
      </c>
      <c r="C464">
        <f>Inputs!$B$3&gt;=35</f>
        <v/>
      </c>
      <c r="D464">
        <f>IF(Skills!C3=1,60+Inputs!$B$25+Inputs!$B$29,IF(Skills!C3=2,90+Inputs!$B$26+Inputs!$B$29,IF(Skills!C3=3,120+Inputs!$B$27+Inputs!$B$29,MAX(0,(Inputs!$B$3-100)*3)+Inputs!$B$28+Inputs!$B$29)))</f>
        <v/>
      </c>
      <c r="E464">
        <f>INDEX(FactorTable!$B$2:$Y$301, MATCH(ROUND(MIN(300,MAX(1,D464)),0), FactorTable!$A$2:$A$301,0), Skills!M3+1)</f>
        <v/>
      </c>
      <c r="F464">
        <f>IF(Skills!N3=TRUE,(Skills!L3/10)*(E464/1000),Skills!L3/10)+Skills!O3</f>
        <v/>
      </c>
      <c r="G464">
        <f>Skills!G3*IF(Skills!H3&gt;0,Skills!I3/Skills!H3,1)</f>
        <v/>
      </c>
      <c r="H464">
        <f>1-(1-Skills!J3/100)^Skills!K3</f>
        <v/>
      </c>
      <c r="I464" t="inlineStr">
        <is>
          <t>1</t>
        </is>
      </c>
      <c r="J464">
        <f>((Inputs!$B$6*(1+Inputs!$B$7/100))+(((Inputs!$B$12*(1+Inputs!$B$13/100))-(Inputs!$B$12*(1+Inputs!$B$13/100)))+0.25*(Inputs!$B$14-Inputs!$B$14))*(1+Inputs!$B$7/100))*(F464/100)</f>
        <v/>
      </c>
      <c r="K464">
        <f>J464*(1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464)</f>
        <v/>
      </c>
      <c r="L464">
        <f>K464*(MIN(Inputs!$B$22+((C481=TRUE)*(F481-Calc!F20)),(Inputs!$B$23+0+(IF(ArtifactsInput!$M$15,CHOOSE(ArtifactsInput!$N$15+1,25,30,35,40,45,50)/100*(Inputs!$B$11-Inputs!$B$11),0))))/100+(Inputs!$B$23+0+(IF(ArtifactsInput!$M$15,CHOOSE(ArtifactsInput!$N$15+1,25,30,35,40,45,50)/100*(Inputs!$B$11-Inputs!$B$11),0)))/100)/2</f>
        <v/>
      </c>
      <c r="M464">
        <f>L464*(1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4">
        <f>L464*(1-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464*(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4">
        <f>(1-Summary!$B$11)*T464+Summary!$B$11*V464</f>
        <v/>
      </c>
      <c r="P464">
        <f>IF(B497=0,0,O464/B497)</f>
        <v/>
      </c>
      <c r="Q464" t="n">
        <v>0</v>
      </c>
      <c r="R464" t="n">
        <v>0</v>
      </c>
      <c r="S464">
        <f>IFERROR(O464/N464,0)</f>
        <v/>
      </c>
      <c r="T464">
        <f>IF(C464,(Skills!G3*H464*N464*B491)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464*(1-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464*(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464*(1-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464*(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4">
        <f>INDEX(FactorTable!$B$2:$Y$301, MATCH(ROUND(MIN(300,MAX(1,U463)),0), FactorTable!$A$2:$A$301,0), 22)</f>
        <v/>
      </c>
      <c r="V464">
        <f>IF(C464,(Skills!G3*H464*N464*B491)*IF(Inputs!$B$38="pvp",1,(1+(Inputs!$B$21+Skills!Q3+(IF(ArtifactsInput!$M$33,CHOOSE(ArtifactsInput!$N$33+1,30,36,42,48,54,60),0))+(IF(AND(ArtifactsInput!$M$35,Inputs!$B$4&lt;&gt;"Chapter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5">
      <c r="A465">
        <f>Skills!A4</f>
        <v/>
      </c>
      <c r="B465">
        <f>Skills!B4</f>
        <v/>
      </c>
      <c r="C465">
        <f>Inputs!$B$3&gt;=60</f>
        <v/>
      </c>
      <c r="D465">
        <f>IF(Skills!C4=1,60+Inputs!$B$25+Inputs!$B$29,IF(Skills!C4=2,90+Inputs!$B$26+Inputs!$B$29,IF(Skills!C4=3,120+Inputs!$B$27+Inputs!$B$29,MAX(0,(Inputs!$B$3-100)*3)+Inputs!$B$28+Inputs!$B$29)))</f>
        <v/>
      </c>
      <c r="E465">
        <f>INDEX(FactorTable!$B$2:$Y$301, MATCH(ROUND(MIN(300,MAX(1,D465)),0), FactorTable!$A$2:$A$301,0), Skills!M4+1)</f>
        <v/>
      </c>
      <c r="F465">
        <f>IF(Skills!N4=TRUE,(Skills!L4/10)*(E465/1000),Skills!L4/10)+Skills!O4</f>
        <v/>
      </c>
      <c r="G465">
        <f>Skills!G4*IF(Skills!H4&gt;0,Skills!I4/Skills!H4,1)</f>
        <v/>
      </c>
      <c r="H465">
        <f>1-(1-Skills!J4/100)^Skills!K4</f>
        <v/>
      </c>
      <c r="I465" t="inlineStr">
        <is>
          <t>1</t>
        </is>
      </c>
      <c r="J465">
        <f>((Inputs!$B$6*(1+Inputs!$B$7/100))+(((Inputs!$B$12*(1+Inputs!$B$13/100))-(Inputs!$B$12*(1+Inputs!$B$13/100)))+0.25*(Inputs!$B$14-Inputs!$B$14))*(1+Inputs!$B$7/100))*(F465/100)</f>
        <v/>
      </c>
      <c r="K465">
        <f>J465*(1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473=TRUE,F473,0)/100)*(1+(IF(Skills!A4="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465)</f>
        <v/>
      </c>
      <c r="L465">
        <f>K465*(MIN(Inputs!$B$22+((C481=TRUE)*(F481-Calc!F20)),(Inputs!$B$23+0+(IF(ArtifactsInput!$M$15,CHOOSE(ArtifactsInput!$N$15+1,25,30,35,40,45,50)/100*(Inputs!$B$11-Inputs!$B$11),0))))/100+(Inputs!$B$23+0+(IF(ArtifactsInput!$M$15,CHOOSE(ArtifactsInput!$N$15+1,25,30,35,40,45,50)/100*(Inputs!$B$11-Inputs!$B$11),0)))/100)/2</f>
        <v/>
      </c>
      <c r="M465">
        <f>L465*(1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5">
        <f>L465*(1-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465*(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5">
        <f>(1-Summary!$B$11)*T465+Summary!$B$11*V465</f>
        <v/>
      </c>
      <c r="P465">
        <f>IF(B497=0,0,O465/B497)</f>
        <v/>
      </c>
      <c r="Q465" t="n">
        <v>0</v>
      </c>
      <c r="R465" t="n">
        <v>0</v>
      </c>
      <c r="S465">
        <f>IFERROR(O465/N465,0)</f>
        <v/>
      </c>
      <c r="T465">
        <f>IF(C465,(Skills!G4*H465*N465*B491)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465*(1-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465*(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465*(1-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465*(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65">
        <f>290*U464/1000</f>
        <v/>
      </c>
      <c r="V465">
        <f>IF(C465,(Skills!G4*H465*N465*B491)*IF(Inputs!$B$38="pvp",1,(1+(Inputs!$B$21+Skills!Q4+(IF(ArtifactsInput!$M$33,CHOOSE(ArtifactsInput!$N$33+1,30,36,42,48,54,60),0))+(IF(AND(ArtifactsInput!$M$35,Inputs!$B$4&lt;&gt;"Chapter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6">
      <c r="A466">
        <f>Skills!A5</f>
        <v/>
      </c>
      <c r="B466">
        <f>Skills!B5</f>
        <v/>
      </c>
      <c r="C466">
        <f>Inputs!$B$3&gt;=60</f>
        <v/>
      </c>
      <c r="D466">
        <f>IF(Skills!C5=1,60+Inputs!$B$25+Inputs!$B$29,IF(Skills!C5=2,90+Inputs!$B$26+Inputs!$B$29,IF(Skills!C5=3,120+Inputs!$B$27+Inputs!$B$29,MAX(0,(Inputs!$B$3-100)*3)+Inputs!$B$28+Inputs!$B$29)))</f>
        <v/>
      </c>
      <c r="E466">
        <f>INDEX(FactorTable!$B$2:$Y$301, MATCH(ROUND(MIN(300,MAX(1,D466)),0), FactorTable!$A$2:$A$301,0), Skills!M5+1)</f>
        <v/>
      </c>
      <c r="F466">
        <f>IF(Skills!N5=TRUE,(Skills!L5/10)*(E466/1000),Skills!L5/10)+Skills!O5</f>
        <v/>
      </c>
      <c r="G466">
        <f>Skills!G5*IF(Skills!H5&gt;0,Skills!I5/Skills!H5,1)</f>
        <v/>
      </c>
      <c r="H466">
        <f>1-(1-Skills!J5/100)^Skills!K5</f>
        <v/>
      </c>
      <c r="I466" t="inlineStr">
        <is>
          <t>1</t>
        </is>
      </c>
      <c r="J466" t="inlineStr"/>
      <c r="K466" t="inlineStr"/>
      <c r="L466" t="inlineStr"/>
      <c r="M466" t="inlineStr"/>
      <c r="N466" t="inlineStr"/>
      <c r="O466">
        <f>(1-Summary!$B$11)*T466+Summary!$B$11*V466</f>
        <v/>
      </c>
      <c r="P466">
        <f>IF(B497=0,0,O466/B497)</f>
        <v/>
      </c>
      <c r="Q466" t="n">
        <v>0</v>
      </c>
      <c r="R466" t="n">
        <v>0</v>
      </c>
      <c r="S466">
        <f>IFERROR(O466/N466,0)</f>
        <v/>
      </c>
      <c r="T466" t="n">
        <v>0</v>
      </c>
      <c r="V466" t="n">
        <v>0</v>
      </c>
    </row>
    <row r="467">
      <c r="A467">
        <f>Skills!A6</f>
        <v/>
      </c>
      <c r="B467">
        <f>Skills!B6</f>
        <v/>
      </c>
      <c r="C467">
        <f>Inputs!$B$3&gt;=63</f>
        <v/>
      </c>
      <c r="D467">
        <f>IF(Skills!C6=1,60+Inputs!$B$25+Inputs!$B$29,IF(Skills!C6=2,90+Inputs!$B$26+Inputs!$B$29,IF(Skills!C6=3,120+Inputs!$B$27+Inputs!$B$29,MAX(0,(Inputs!$B$3-100)*3)+Inputs!$B$28+Inputs!$B$29)))</f>
        <v/>
      </c>
      <c r="E467">
        <f>INDEX(FactorTable!$B$2:$Y$301, MATCH(ROUND(MIN(300,MAX(1,D467)),0), FactorTable!$A$2:$A$301,0), Skills!M6+1)</f>
        <v/>
      </c>
      <c r="F467">
        <f>IF(Skills!N6=TRUE,(Skills!L6/10)*(E467/1000),Skills!L6/10)+Skills!O6</f>
        <v/>
      </c>
      <c r="G467">
        <f>Skills!G6*IF(Skills!H6&gt;0,Skills!I6/Skills!H6,1)</f>
        <v/>
      </c>
      <c r="H467">
        <f>1-(1-Skills!J6/100)^Skills!K6</f>
        <v/>
      </c>
      <c r="I467" t="inlineStr">
        <is>
          <t>1</t>
        </is>
      </c>
      <c r="J467">
        <f>((Inputs!$B$6*(1+Inputs!$B$7/100))+(((Inputs!$B$12*(1+Inputs!$B$13/100))-(Inputs!$B$12*(1+Inputs!$B$13/100)))+0.25*(Inputs!$B$14-Inputs!$B$14))*(1+Inputs!$B$7/100))*(F467/100)</f>
        <v/>
      </c>
      <c r="K467">
        <f>J467*(1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473=TRUE,F473,0)/100)*(1+(IF(Skills!A6="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467)</f>
        <v/>
      </c>
      <c r="L467">
        <f>K467*(MIN(Inputs!$B$22+((C481=TRUE)*(F481-Calc!F20)),(Inputs!$B$23+0+(IF(ArtifactsInput!$M$15,CHOOSE(ArtifactsInput!$N$15+1,25,30,35,40,45,50)/100*(Inputs!$B$11-Inputs!$B$11),0))))/100+(Inputs!$B$23+0+(IF(ArtifactsInput!$M$15,CHOOSE(ArtifactsInput!$N$15+1,25,30,35,40,45,50)/100*(Inputs!$B$11-Inputs!$B$11),0)))/100)/2</f>
        <v/>
      </c>
      <c r="M467">
        <f>L467*(1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7">
        <f>L467*(1-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467*(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7">
        <f>(1-Summary!$B$11)*T467+Summary!$B$11*V467</f>
        <v/>
      </c>
      <c r="P467">
        <f>IF(B497=0,0,O467/B497)</f>
        <v/>
      </c>
      <c r="Q467">
        <f>IFERROR(1/(IF(Inputs!$B$38="pvp",15,MAX(0.1,Skills!D6-IF(Skills!E6=TRUE,Inputs!$B$32,0)))*(1-IF(AND(ArtifactsInput!$M$27,Inputs!$B$4="Chapter Hunt"),CHOOSE(ArtifactsInput!$N$27+1,20,24,28,32,36,40),0)/100)),0)</f>
        <v/>
      </c>
      <c r="R467">
        <f>IF(AND(Inputs!$B$38&lt;&gt;"pvp",Inputs!$B$43&gt;0),IF(MAX(0,Inputs!$B$43-B494)&lt;=0,0,(INT(MAX(0,Inputs!$B$43-B494)/(IF(Inputs!$B$38="pvp",15,MAX(0.1,Skills!D6-IF(Skills!E6=TRUE,Inputs!$B$32,0)))*(1-IF(AND(ArtifactsInput!$M$27,Inputs!$B$4="Chapter Hunt"),CHOOSE(ArtifactsInput!$N$27+1,20,24,28,32,36,40),0)/100)))+1)),0)</f>
        <v/>
      </c>
      <c r="S467">
        <f>IFERROR(O467/N467,0)</f>
        <v/>
      </c>
      <c r="T467">
        <f>IF(C467,(H467*N467*IF(AND(Inputs!$B$38&lt;&gt;"pvp",Inputs!$B$43&gt;0),((Skills!G6*((R467-1)*IF(Skills!H6&gt;0,Skills!I6/Skills!H6,1)+IF(Skills!H6&gt;0,MIN(Skills!I6,MAX(0,MAX(0,Inputs!$B$43-B494)-((R467-1)*(IF(Inputs!$B$38="pvp",15,MAX(0.1,Skills!D6-IF(Skills!E6=TRUE,Inputs!$B$32,0)))*(1-IF(AND(ArtifactsInput!$M$27,Inputs!$B$4="Chapter Hunt"),CHOOSE(ArtifactsInput!$N$27+1,20,24,28,32,36,40),0)/100)))))/Skills!H6,1)))/Inputs!$B$43),G467*Q467)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467*(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467*(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7">
        <f>IF(C467,(H467*N467*IF(AND(Inputs!$B$38&lt;&gt;"pvp",Inputs!$B$43&gt;0),((Skills!G6*((R467-1)*IF(Skills!H6&gt;0,Skills!I6/Skills!H6,1)+IF(Skills!H6&gt;0,MIN(Skills!I6,MAX(0,MAX(0,Inputs!$B$43-B494)-((R467-1)*(IF(Inputs!$B$38="pvp",15,MAX(0.1,Skills!D6-IF(Skills!E6=TRUE,Inputs!$B$32,0)))*(1-IF(AND(ArtifactsInput!$M$27,Inputs!$B$4="Chapter Hunt"),CHOOSE(ArtifactsInput!$N$27+1,20,24,28,32,36,40),0)/100)))))/Skills!H6,1)))/Inputs!$B$43),G467*Q467))*IF(Inputs!$B$38="pvp",1,(1+(Inputs!$B$21+Skills!Q6+(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8">
      <c r="A468">
        <f>Skills!A7</f>
        <v/>
      </c>
      <c r="B468">
        <f>Skills!B7</f>
        <v/>
      </c>
      <c r="C468">
        <f>Inputs!$B$3&gt;=100</f>
        <v/>
      </c>
      <c r="D468">
        <f>IF(Skills!C7=1,60+Inputs!$B$25+Inputs!$B$29,IF(Skills!C7=2,90+Inputs!$B$26+Inputs!$B$29,IF(Skills!C7=3,120+Inputs!$B$27+Inputs!$B$29,MAX(0,(Inputs!$B$3-100)*3)+Inputs!$B$28+Inputs!$B$29)))</f>
        <v/>
      </c>
      <c r="E468">
        <f>INDEX(FactorTable!$B$2:$Y$301, MATCH(ROUND(MIN(300,MAX(1,D468)),0), FactorTable!$A$2:$A$301,0), Skills!M7+1)</f>
        <v/>
      </c>
      <c r="F468">
        <f>IF(Skills!N7=TRUE,(Skills!L7/10)*(E468/1000),Skills!L7/10)+Skills!O7</f>
        <v/>
      </c>
      <c r="G468">
        <f>Skills!G7*IF(Skills!H7&gt;0,Skills!I7/Skills!H7,1)</f>
        <v/>
      </c>
      <c r="H468">
        <f>1-(1-Skills!J7/100)^Skills!K7</f>
        <v/>
      </c>
      <c r="I468" t="inlineStr">
        <is>
          <t>1</t>
        </is>
      </c>
      <c r="J468">
        <f>((Inputs!$B$6*(1+Inputs!$B$7/100))+(((Inputs!$B$12*(1+Inputs!$B$13/100))-(Inputs!$B$12*(1+Inputs!$B$13/100)))+0.25*(Inputs!$B$14-Inputs!$B$14))*(1+Inputs!$B$7/100))*(F468/100)</f>
        <v/>
      </c>
      <c r="K468">
        <f>J468*(1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468)</f>
        <v/>
      </c>
      <c r="L468">
        <f>K468*(MIN(Inputs!$B$22+((C481=TRUE)*(F481-Calc!F20)),(Inputs!$B$23+0+(IF(ArtifactsInput!$M$15,CHOOSE(ArtifactsInput!$N$15+1,25,30,35,40,45,50)/100*(Inputs!$B$11-Inputs!$B$11),0))))/100+(Inputs!$B$23+0+(IF(ArtifactsInput!$M$15,CHOOSE(ArtifactsInput!$N$15+1,25,30,35,40,45,50)/100*(Inputs!$B$11-Inputs!$B$11),0)))/100)/2</f>
        <v/>
      </c>
      <c r="M468">
        <f>L468*(1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8">
        <f>L468*(1-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468*(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8">
        <f>(1-Summary!$B$11)*T468+Summary!$B$11*V468</f>
        <v/>
      </c>
      <c r="P468">
        <f>IF(B497=0,0,O468/B497)</f>
        <v/>
      </c>
      <c r="Q468">
        <f>IFERROR(1/(IF(Inputs!$B$38="pvp",15,MAX(0.1,Skills!D7-IF(Skills!E7=TRUE,Inputs!$B$32,0)))*(1-IF(AND(ArtifactsInput!$M$27,Inputs!$B$4="Chapter Hunt"),CHOOSE(ArtifactsInput!$N$27+1,20,24,28,32,36,40),0)/100)),0)</f>
        <v/>
      </c>
      <c r="R468">
        <f>IF(AND(Inputs!$B$38&lt;&gt;"pvp",Inputs!$B$43&gt;0),IF(MAX(0,Inputs!$B$43-B494)&lt;=0,0,(INT(MAX(0,Inputs!$B$43-B494)/(IF(Inputs!$B$38="pvp",15,MAX(0.1,Skills!D7-IF(Skills!E7=TRUE,Inputs!$B$32,0)))*(1-IF(AND(ArtifactsInput!$M$27,Inputs!$B$4="Chapter Hunt"),CHOOSE(ArtifactsInput!$N$27+1,20,24,28,32,36,40),0)/100)))+1)),0)</f>
        <v/>
      </c>
      <c r="S468">
        <f>IFERROR(O468/N468,0)</f>
        <v/>
      </c>
      <c r="T468">
        <f>IF(C468,(H468*N468*IF(AND(Inputs!$B$38&lt;&gt;"pvp",Inputs!$B$43&gt;0),((Skills!G7*((R468-1)*IF(Skills!H7&gt;0,Skills!I7/Skills!H7,1)+IF(Skills!H7&gt;0,MIN(Skills!I7,MAX(0,MAX(0,Inputs!$B$43-B494)-((R468-1)*(IF(Inputs!$B$38="pvp",15,MAX(0.1,Skills!D7-IF(Skills!E7=TRUE,Inputs!$B$32,0)))*(1-IF(AND(ArtifactsInput!$M$27,Inputs!$B$4="Chapter Hunt"),CHOOSE(ArtifactsInput!$N$27+1,20,24,28,32,36,40),0)/100)))))/Skills!H7,1)))/Inputs!$B$43),G468*Q468)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468*(1-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468*(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468*(1-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468*(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8">
        <f>IF(C468,(H468*N468*IF(AND(Inputs!$B$38&lt;&gt;"pvp",Inputs!$B$43&gt;0),((Skills!G7*((R468-1)*IF(Skills!H7&gt;0,Skills!I7/Skills!H7,1)+IF(Skills!H7&gt;0,MIN(Skills!I7,MAX(0,MAX(0,Inputs!$B$43-B494)-((R468-1)*(IF(Inputs!$B$38="pvp",15,MAX(0.1,Skills!D7-IF(Skills!E7=TRUE,Inputs!$B$32,0)))*(1-IF(AND(ArtifactsInput!$M$27,Inputs!$B$4="Chapter Hunt"),CHOOSE(ArtifactsInput!$N$27+1,20,24,28,32,36,40),0)/100)))))/Skills!H7,1)))/Inputs!$B$43),G468*Q468))*IF(Inputs!$B$38="pvp",1,(1+(Inputs!$B$21+Skills!Q7+(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69">
      <c r="A469">
        <f>Skills!A8</f>
        <v/>
      </c>
      <c r="B469">
        <f>Skills!B8</f>
        <v/>
      </c>
      <c r="C469">
        <f>Inputs!$B$3&gt;=110</f>
        <v/>
      </c>
      <c r="D469">
        <f>IF(Skills!C8=1,60+Inputs!$B$25+Inputs!$B$29,IF(Skills!C8=2,90+Inputs!$B$26+Inputs!$B$29,IF(Skills!C8=3,120+Inputs!$B$27+Inputs!$B$29,MAX(0,(Inputs!$B$3-100)*3)+Inputs!$B$28+Inputs!$B$29)))</f>
        <v/>
      </c>
      <c r="E469">
        <f>INDEX(FactorTable!$B$2:$Y$301, MATCH(ROUND(MIN(300,MAX(1,D469)),0), FactorTable!$A$2:$A$301,0), Skills!M8+1)</f>
        <v/>
      </c>
      <c r="F469">
        <f>IF(Skills!N8=TRUE,(Skills!L8/10)*(E469/1000),Skills!L8/10)+Skills!O8</f>
        <v/>
      </c>
      <c r="G469">
        <f>Skills!G8*IF(Skills!H8&gt;0,Skills!I8/Skills!H8,1)</f>
        <v/>
      </c>
      <c r="H469">
        <f>1-(1-Skills!J8/100)^Skills!K8</f>
        <v/>
      </c>
      <c r="I469" t="inlineStr">
        <is>
          <t>1</t>
        </is>
      </c>
      <c r="J469">
        <f>((Inputs!$B$6*(1+Inputs!$B$7/100))+(((Inputs!$B$12*(1+Inputs!$B$13/100))-(Inputs!$B$12*(1+Inputs!$B$13/100)))+0.25*(Inputs!$B$14-Inputs!$B$14))*(1+Inputs!$B$7/100))*(F469/100)</f>
        <v/>
      </c>
      <c r="K469">
        <f>J469*(1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469)</f>
        <v/>
      </c>
      <c r="L469">
        <f>K469*(MIN(Inputs!$B$22+((C481=TRUE)*(F481-Calc!F20)),(Inputs!$B$23+0+(IF(ArtifactsInput!$M$15,CHOOSE(ArtifactsInput!$N$15+1,25,30,35,40,45,50)/100*(Inputs!$B$11-Inputs!$B$11),0))))/100+(Inputs!$B$23+0+(IF(ArtifactsInput!$M$15,CHOOSE(ArtifactsInput!$N$15+1,25,30,35,40,45,50)/100*(Inputs!$B$11-Inputs!$B$11),0)))/100)/2</f>
        <v/>
      </c>
      <c r="M469">
        <f>L469*(1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69">
        <f>L469*(1-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469*(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69">
        <f>(1-Summary!$B$11)*T469+Summary!$B$11*V469</f>
        <v/>
      </c>
      <c r="P469">
        <f>IF(B497=0,0,O469/B497)</f>
        <v/>
      </c>
      <c r="Q469">
        <f>IFERROR(1/(IF(Inputs!$B$38="pvp",15,MAX(0.1,Skills!D8-IF(Skills!E8=TRUE,Inputs!$B$32,0)))*(1-IF(AND(ArtifactsInput!$M$27,Inputs!$B$4="Chapter Hunt"),CHOOSE(ArtifactsInput!$N$27+1,20,24,28,32,36,40),0)/100)),0)</f>
        <v/>
      </c>
      <c r="R469">
        <f>IF(AND(Inputs!$B$38&lt;&gt;"pvp",Inputs!$B$43&gt;0),IF(MAX(0,Inputs!$B$43-B494)&lt;=0,0,(INT(MAX(0,Inputs!$B$43-B494)/(IF(Inputs!$B$38="pvp",15,MAX(0.1,Skills!D8-IF(Skills!E8=TRUE,Inputs!$B$32,0)))*(1-IF(AND(ArtifactsInput!$M$27,Inputs!$B$4="Chapter Hunt"),CHOOSE(ArtifactsInput!$N$27+1,20,24,28,32,36,40),0)/100)))+1)),0)</f>
        <v/>
      </c>
      <c r="S469">
        <f>IFERROR(O469/N469,0)</f>
        <v/>
      </c>
      <c r="T469">
        <f>IF(C469,(H469*N469*IF(AND(Inputs!$B$38&lt;&gt;"pvp",Inputs!$B$43&gt;0),((Skills!G8*((R469-1)*IF(Skills!H8&gt;0,Skills!I8/Skills!H8,1)+IF(Skills!H8&gt;0,MIN(Skills!I8,MAX(0,MAX(0,Inputs!$B$43-B494)-((R469-1)*(IF(Inputs!$B$38="pvp",15,MAX(0.1,Skills!D8-IF(Skills!E8=TRUE,Inputs!$B$32,0)))*(1-IF(AND(ArtifactsInput!$M$27,Inputs!$B$4="Chapter Hunt"),CHOOSE(ArtifactsInput!$N$27+1,20,24,28,32,36,40),0)/100)))))/Skills!H8,1)))/Inputs!$B$43),G469*Q469)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469*(1-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469*(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469*(1-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469*(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69">
        <f>IF(C469,(H469*N469*IF(AND(Inputs!$B$38&lt;&gt;"pvp",Inputs!$B$43&gt;0),((Skills!G8*((R469-1)*IF(Skills!H8&gt;0,Skills!I8/Skills!H8,1)+IF(Skills!H8&gt;0,MIN(Skills!I8,MAX(0,MAX(0,Inputs!$B$43-B494)-((R469-1)*(IF(Inputs!$B$38="pvp",15,MAX(0.1,Skills!D8-IF(Skills!E8=TRUE,Inputs!$B$32,0)))*(1-IF(AND(ArtifactsInput!$M$27,Inputs!$B$4="Chapter Hunt"),CHOOSE(ArtifactsInput!$N$27+1,20,24,28,32,36,40),0)/100)))))/Skills!H8,1)))/Inputs!$B$43),G469*Q469))*IF(Inputs!$B$38="pvp",1,(1+(Inputs!$B$21+Skills!Q8+(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0">
      <c r="A470">
        <f>Skills!A9</f>
        <v/>
      </c>
      <c r="B470">
        <f>Skills!B9</f>
        <v/>
      </c>
      <c r="C470">
        <f>Inputs!$B$3&gt;=110</f>
        <v/>
      </c>
      <c r="D470">
        <f>IF(Skills!C9=1,60+Inputs!$B$25+Inputs!$B$29,IF(Skills!C9=2,90+Inputs!$B$26+Inputs!$B$29,IF(Skills!C9=3,120+Inputs!$B$27+Inputs!$B$29,MAX(0,(Inputs!$B$3-100)*3)+Inputs!$B$28+Inputs!$B$29)))</f>
        <v/>
      </c>
      <c r="E470">
        <f>INDEX(FactorTable!$B$2:$Y$301, MATCH(ROUND(MIN(300,MAX(1,D470)),0), FactorTable!$A$2:$A$301,0), Skills!M9+1)</f>
        <v/>
      </c>
      <c r="F470">
        <f>IF(Skills!N9=TRUE,(Skills!L9/10)*(E470/1000),Skills!L9/10)+Skills!O9</f>
        <v/>
      </c>
      <c r="G470">
        <f>Skills!G9*IF(Skills!H9&gt;0,Skills!I9/Skills!H9,1)</f>
        <v/>
      </c>
      <c r="H470">
        <f>1-(1-Skills!J9/100)^Skills!K9</f>
        <v/>
      </c>
      <c r="I470" t="inlineStr">
        <is>
          <t>1</t>
        </is>
      </c>
      <c r="J470">
        <f>((Inputs!$B$6*(1+Inputs!$B$7/100))+(((Inputs!$B$12*(1+Inputs!$B$13/100))-(Inputs!$B$12*(1+Inputs!$B$13/100)))+0.25*(Inputs!$B$14-Inputs!$B$14))*(1+Inputs!$B$7/100))*(F470/100)</f>
        <v/>
      </c>
      <c r="K470">
        <f>J470*(1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470)</f>
        <v/>
      </c>
      <c r="L470">
        <f>K470*(MIN(Inputs!$B$22+((C481=TRUE)*(F481-Calc!F20)),(Inputs!$B$23+0+(IF(ArtifactsInput!$M$15,CHOOSE(ArtifactsInput!$N$15+1,25,30,35,40,45,50)/100*(Inputs!$B$11-Inputs!$B$11),0))))/100+(Inputs!$B$23+0+(IF(ArtifactsInput!$M$15,CHOOSE(ArtifactsInput!$N$15+1,25,30,35,40,45,50)/100*(Inputs!$B$11-Inputs!$B$11),0)))/100)/2</f>
        <v/>
      </c>
      <c r="M470">
        <f>L470*(1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0">
        <f>L470*(1-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470*(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0">
        <f>(1-Summary!$B$11)*T470+Summary!$B$11*V470</f>
        <v/>
      </c>
      <c r="P470">
        <f>IF(B497=0,0,O470/B497)</f>
        <v/>
      </c>
      <c r="Q470">
        <f>IFERROR(1/(IF(Inputs!$B$38="pvp",15,MAX(0.1,Skills!D9-IF(Skills!E9=TRUE,Inputs!$B$32,0)))*(1-IF(AND(ArtifactsInput!$M$27,Inputs!$B$4="Chapter Hunt"),CHOOSE(ArtifactsInput!$N$27+1,20,24,28,32,36,40),0)/100)),0)</f>
        <v/>
      </c>
      <c r="R470">
        <f>IF(AND(Inputs!$B$38&lt;&gt;"pvp",Inputs!$B$43&gt;0),IF(MAX(0,Inputs!$B$43-B494)&lt;=0,0,(INT(MAX(0,Inputs!$B$43-B494)/(IF(Inputs!$B$38="pvp",15,MAX(0.1,Skills!D9-IF(Skills!E9=TRUE,Inputs!$B$32,0)))*(1-IF(AND(ArtifactsInput!$M$27,Inputs!$B$4="Chapter Hunt"),CHOOSE(ArtifactsInput!$N$27+1,20,24,28,32,36,40),0)/100)))+1)),0)</f>
        <v/>
      </c>
      <c r="S470">
        <f>IFERROR(O470/N470,0)</f>
        <v/>
      </c>
      <c r="T470">
        <f>IF(C470,(H470*N470*IF(AND(Inputs!$B$38&lt;&gt;"pvp",Inputs!$B$43&gt;0),((Skills!G9*((R470-1)*IF(Skills!H9&gt;0,Skills!I9/Skills!H9,1)+IF(Skills!H9&gt;0,MIN(Skills!I9,MAX(0,MAX(0,Inputs!$B$43-B494)-((R470-1)*(IF(Inputs!$B$38="pvp",15,MAX(0.1,Skills!D9-IF(Skills!E9=TRUE,Inputs!$B$32,0)))*(1-IF(AND(ArtifactsInput!$M$27,Inputs!$B$4="Chapter Hunt"),CHOOSE(ArtifactsInput!$N$27+1,20,24,28,32,36,40),0)/100)))))/Skills!H9,1)))/Inputs!$B$43),G470*Q470)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470*(1-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470*(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470*(1-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470*(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0">
        <f>IF(C470,(H470*N470*IF(AND(Inputs!$B$38&lt;&gt;"pvp",Inputs!$B$43&gt;0),((Skills!G9*((R470-1)*IF(Skills!H9&gt;0,Skills!I9/Skills!H9,1)+IF(Skills!H9&gt;0,MIN(Skills!I9,MAX(0,MAX(0,Inputs!$B$43-B494)-((R470-1)*(IF(Inputs!$B$38="pvp",15,MAX(0.1,Skills!D9-IF(Skills!E9=TRUE,Inputs!$B$32,0)))*(1-IF(AND(ArtifactsInput!$M$27,Inputs!$B$4="Chapter Hunt"),CHOOSE(ArtifactsInput!$N$27+1,20,24,28,32,36,40),0)/100)))))/Skills!H9,1)))/Inputs!$B$43),G470*Q470))*IF(Inputs!$B$38="pvp",1,(1+(Inputs!$B$21+Skills!Q9+(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1">
      <c r="A471">
        <f>Skills!A10</f>
        <v/>
      </c>
      <c r="B471">
        <f>Skills!B10</f>
        <v/>
      </c>
      <c r="C471">
        <f>Inputs!$B$3&gt;=103</f>
        <v/>
      </c>
      <c r="D471">
        <f>IF(Skills!C10=1,60+Inputs!$B$25+Inputs!$B$29,IF(Skills!C10=2,90+Inputs!$B$26+Inputs!$B$29,IF(Skills!C10=3,120+Inputs!$B$27+Inputs!$B$29,MAX(0,(Inputs!$B$3-100)*3)+Inputs!$B$28+Inputs!$B$29)))</f>
        <v/>
      </c>
      <c r="E471">
        <f>INDEX(FactorTable!$B$2:$Y$301, MATCH(ROUND(MIN(300,MAX(1,D471)),0), FactorTable!$A$2:$A$301,0), Skills!M10+1)</f>
        <v/>
      </c>
      <c r="F471">
        <f>IF(Skills!N10=TRUE,(Skills!L10/10)*(E471/1000),Skills!L10/10)+Skills!O10</f>
        <v/>
      </c>
      <c r="G471">
        <f>Skills!G10*IF(Skills!H10&gt;0,Skills!I10/Skills!H10,1)</f>
        <v/>
      </c>
      <c r="H471">
        <f>1-(1-Skills!J10/100)^Skills!K10</f>
        <v/>
      </c>
      <c r="I471" t="inlineStr">
        <is>
          <t>1</t>
        </is>
      </c>
      <c r="J471">
        <f>((Inputs!$B$6*(1+Inputs!$B$7/100))+(((Inputs!$B$12*(1+Inputs!$B$13/100))-(Inputs!$B$12*(1+Inputs!$B$13/100)))+0.25*(Inputs!$B$14-Inputs!$B$14))*(1+Inputs!$B$7/100))*(F471/100)</f>
        <v/>
      </c>
      <c r="K471">
        <f>J471*(1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471)</f>
        <v/>
      </c>
      <c r="L471">
        <f>K471*(MIN(Inputs!$B$22+((C481=TRUE)*(F481-Calc!F20)),(Inputs!$B$23+0+(IF(ArtifactsInput!$M$15,CHOOSE(ArtifactsInput!$N$15+1,25,30,35,40,45,50)/100*(Inputs!$B$11-Inputs!$B$11),0))))/100+(Inputs!$B$23+0+(IF(ArtifactsInput!$M$15,CHOOSE(ArtifactsInput!$N$15+1,25,30,35,40,45,50)/100*(Inputs!$B$11-Inputs!$B$11),0)))/100)/2</f>
        <v/>
      </c>
      <c r="M471">
        <f>L471*(1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1">
        <f>L471*(1-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1">
        <f>(1-Summary!$B$11)*T471+Summary!$B$11*V471</f>
        <v/>
      </c>
      <c r="P471">
        <f>IF(B497=0,0,O471/B497)</f>
        <v/>
      </c>
      <c r="Q471">
        <f>IFERROR(1/(IF(Inputs!$B$38="pvp",15,MAX(0.1,Skills!D10-IF(Skills!E10=TRUE,Inputs!$B$32,0)))*(1-IF(AND(ArtifactsInput!$M$27,Inputs!$B$4="Chapter Hunt"),CHOOSE(ArtifactsInput!$N$27+1,20,24,28,32,36,40),0)/100)),0)</f>
        <v/>
      </c>
      <c r="R471">
        <f>IF(AND(Inputs!$B$38&lt;&gt;"pvp",Inputs!$B$43&gt;0),IF(MAX(0,Inputs!$B$43-B494)&lt;=0,0,(INT(MAX(0,Inputs!$B$43-B494)/(IF(Inputs!$B$38="pvp",15,MAX(0.1,Skills!D10-IF(Skills!E10=TRUE,Inputs!$B$32,0)))*(1-IF(AND(ArtifactsInput!$M$27,Inputs!$B$4="Chapter Hunt"),CHOOSE(ArtifactsInput!$N$27+1,20,24,28,32,36,40),0)/100)))+1)),0)</f>
        <v/>
      </c>
      <c r="S471">
        <f>IFERROR(O471/N471,0)</f>
        <v/>
      </c>
      <c r="T471">
        <f>IF(C471,(H471*N471*IF(AND(Inputs!$B$38&lt;&gt;"pvp",Inputs!$B$43&gt;0),((Skills!G10*((R471-1)*IF(Skills!H10&gt;0,Skills!I10/Skills!H10,1)+IF(Skills!H10&gt;0,MIN(Skills!I10,MAX(0,MAX(0,Inputs!$B$43-B494)-((R471-1)*(IF(Inputs!$B$38="pvp",15,MAX(0.1,Skills!D10-IF(Skills!E10=TRUE,Inputs!$B$32,0)))*(1-IF(AND(ArtifactsInput!$M$27,Inputs!$B$4="Chapter Hunt"),CHOOSE(ArtifactsInput!$N$27+1,20,24,28,32,36,40),0)/100)))))/Skills!H10,1)))/Inputs!$B$43),G471*Q471)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471*(1-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471*(1-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1">
        <f>IF(C471,(H471*N471*IF(AND(Inputs!$B$38&lt;&gt;"pvp",Inputs!$B$43&gt;0),((Skills!G10*((R471-1)*IF(Skills!H10&gt;0,Skills!I10/Skills!H10,1)+IF(Skills!H10&gt;0,MIN(Skills!I10,MAX(0,MAX(0,Inputs!$B$43-B494)-((R471-1)*(IF(Inputs!$B$38="pvp",15,MAX(0.1,Skills!D10-IF(Skills!E10=TRUE,Inputs!$B$32,0)))*(1-IF(AND(ArtifactsInput!$M$27,Inputs!$B$4="Chapter Hunt"),CHOOSE(ArtifactsInput!$N$27+1,20,24,28,32,36,40),0)/100)))))/Skills!H10,1)))/Inputs!$B$43),G471*Q471))*IF(Inputs!$B$38="pvp",1,(1+(Inputs!$B$21+Skills!Q10+(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2">
      <c r="A472">
        <f>Skills!A11</f>
        <v/>
      </c>
      <c r="B472">
        <f>Skills!B11</f>
        <v/>
      </c>
      <c r="C472">
        <f>Inputs!$B$3&gt;=113</f>
        <v/>
      </c>
      <c r="D472">
        <f>IF(Skills!C11=1,60+Inputs!$B$25+Inputs!$B$29,IF(Skills!C11=2,90+Inputs!$B$26+Inputs!$B$29,IF(Skills!C11=3,120+Inputs!$B$27+Inputs!$B$29,MAX(0,(Inputs!$B$3-100)*3)+Inputs!$B$28+Inputs!$B$29)))</f>
        <v/>
      </c>
      <c r="E472">
        <f>INDEX(FactorTable!$B$2:$Y$301, MATCH(ROUND(MIN(300,MAX(1,D472)),0), FactorTable!$A$2:$A$301,0), Skills!M11+1)</f>
        <v/>
      </c>
      <c r="F472">
        <f>IF(Skills!N11=TRUE,(Skills!L11/10)*(E472/1000),Skills!L11/10)+Skills!O11</f>
        <v/>
      </c>
      <c r="G472">
        <f>Skills!G11*IF(Skills!H11&gt;0,Skills!I11/Skills!H11,1)</f>
        <v/>
      </c>
      <c r="H472">
        <f>1-(1-Skills!J11/100)^Skills!K11</f>
        <v/>
      </c>
      <c r="I472" t="inlineStr">
        <is>
          <t>1</t>
        </is>
      </c>
      <c r="J472">
        <f>((Inputs!$B$6*(1+Inputs!$B$7/100))+(((Inputs!$B$12*(1+Inputs!$B$13/100))-(Inputs!$B$12*(1+Inputs!$B$13/100)))+0.25*(Inputs!$B$14-Inputs!$B$14))*(1+Inputs!$B$7/100))*(F472/100)</f>
        <v/>
      </c>
      <c r="K472">
        <f>J472*(1+((Inputs!$B$12*(1+Inputs!$B$13/100))*0.01+Inputs!$B$14*0.0025)/100)*(1+Inputs!$B$15/100)*(1+Inputs!$B$16/100)*(5000/(6000+Inputs!$B$42*(1-(100*(1-(1-(Inputs!$B$19+0)/100)*(1-CHOOSE(ArtifactsInput!$N$40+1,5,6,7,8,9,10)/100)^(ArtifactsInput!$M$40-ArtifactsInput!$M$40)))/100)))*(1+(Inputs!$B$24+((C483=TRUE)*(F483-Calc!F22))+B493)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482=TRUE)*(F482-Calc!F21))+(((IF(AND(ArtifactsInput!$M$42,(((Inputs!$B$9+1)+((C477=TRUE)*(F477-Calc!F16))+B487+(ArtifactsInput!$M$24-ArtifactsInput!$M$24)*CHOOSE(ArtifactsInput!$N$24+1,10,12,14,16,18,20)+IF(ArtifactsInput!$M$10,CHOOSE(ArtifactsInput!$N$10+1,15,18,21,24,27,30)*(IF(Inputs!$B$38="pvp",MIN(15,15)/15,IF(AND(Inputs!$B$38&lt;&gt;"pvp",Inputs!$B$43&gt;0),MIN(15,Inputs!$B$43)/(Inputs!$B$43),0))),0)))&gt;=100),MIN(100,(((Inputs!$B$9+1)+((C477=TRUE)*(F477-Calc!F16))+B487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+1)+((C477=TRUE)*(F477-Calc!F16))+B487+(ArtifactsInput!$M$24-ArtifactsInput!$M$24)*CHOOSE(ArtifactsInput!$N$24+1,10,12,14,16,18,20)+IF(ArtifactsInput!$M$10,CHOOSE(ArtifactsInput!$N$10+1,15,18,21,24,27,30)*(IF(Inputs!$B$38="pvp",MIN(15,15)/15,IF(AND(Inputs!$B$38&lt;&gt;"pvp",Inputs!$B$43&gt;0),MIN(15,Inputs!$B$43)/(Inputs!$B$43),0))),0)))&gt;=100),CHOOSE(ArtifactsInput!$N$42+1,40,48,56,64,72,80),0))))/100)*((1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472)</f>
        <v/>
      </c>
      <c r="L472">
        <f>K472*(MIN(Inputs!$B$22+((C481=TRUE)*(F481-Calc!F20)),(Inputs!$B$23+0+(IF(ArtifactsInput!$M$15,CHOOSE(ArtifactsInput!$N$15+1,25,30,35,40,45,50)/100*(Inputs!$B$11-Inputs!$B$11),0))))/100+(Inputs!$B$23+0+(IF(ArtifactsInput!$M$15,CHOOSE(ArtifactsInput!$N$15+1,25,30,35,40,45,50)/100*(Inputs!$B$11-Inputs!$B$11),0)))/100)/2</f>
        <v/>
      </c>
      <c r="M472">
        <f>L472*(1+(Inputs!$B$10+0+B492+(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472">
        <f>L472*(1-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472*(MIN(((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2">
        <f>(1-Summary!$B$11)*T472+Summary!$B$11*V472</f>
        <v/>
      </c>
      <c r="P472">
        <f>IF(B497=0,0,O472/B497)</f>
        <v/>
      </c>
      <c r="Q472">
        <f>IFERROR(1/(IF(Inputs!$B$38="pvp",15,MAX(0.1,Skills!D11-IF(Skills!E11=TRUE,Inputs!$B$32,0)))*(1-IF(AND(ArtifactsInput!$M$27,Inputs!$B$4="Chapter Hunt"),CHOOSE(ArtifactsInput!$N$27+1,20,24,28,32,36,40),0)/100)),0)</f>
        <v/>
      </c>
      <c r="R472">
        <f>IF(AND(Inputs!$B$38&lt;&gt;"pvp",Inputs!$B$43&gt;0),IF(MAX(0,Inputs!$B$43-B494)&lt;=0,0,(INT(MAX(0,Inputs!$B$43-B494)/(IF(Inputs!$B$38="pvp",15,MAX(0.1,Skills!D11-IF(Skills!E11=TRUE,Inputs!$B$32,0)))*(1-IF(AND(ArtifactsInput!$M$27,Inputs!$B$4="Chapter Hunt"),CHOOSE(ArtifactsInput!$N$27+1,20,24,28,32,36,40),0)/100)))+1)),0)</f>
        <v/>
      </c>
      <c r="S472">
        <f>IFERROR(O472/N472,0)</f>
        <v/>
      </c>
      <c r="T472">
        <f>IF(C472,(H472*N472*IF(AND(Inputs!$B$38&lt;&gt;"pvp",Inputs!$B$43&gt;0),((Skills!G11*((R472-1)*IF(Skills!H11&gt;0,Skills!I11/Skills!H11,1)+IF(Skills!H11&gt;0,MIN(Skills!I11,MAX(0,MAX(0,Inputs!$B$43-B494)-((R472-1)*(IF(Inputs!$B$38="pvp",15,MAX(0.1,Skills!D11-IF(Skills!E11=TRUE,Inputs!$B$32,0)))*(1-IF(AND(ArtifactsInput!$M$27,Inputs!$B$4="Chapter Hunt"),CHOOSE(ArtifactsInput!$N$27+1,20,24,28,32,36,40),0)/100)))))/Skills!H11,1)))/Inputs!$B$43),G472*Q472)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472*(1-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472*(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472*(1-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472*(MIN(100,((Inputs!$B$9+1)+((C477=TRUE)*(F477-Calc!F16))+B487+(ArtifactsInput!$M$24-ArtifactsInput!$M$24)*CHOOSE(ArtifactsInput!$N$24+1,10,12,14,16,18,20)+(IF(AND(ArtifactsInput!$M$42,(((Inputs!$B$9+1)+((C477=TRUE)*(F477-Calc!F16))+B487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72">
        <f>IF(C472,(H472*N472*IF(AND(Inputs!$B$38&lt;&gt;"pvp",Inputs!$B$43&gt;0),((Skills!G11*((R472-1)*IF(Skills!H11&gt;0,Skills!I11/Skills!H11,1)+IF(Skills!H11&gt;0,MIN(Skills!I11,MAX(0,MAX(0,Inputs!$B$43-B494)-((R472-1)*(IF(Inputs!$B$38="pvp",15,MAX(0.1,Skills!D11-IF(Skills!E11=TRUE,Inputs!$B$32,0)))*(1-IF(AND(ArtifactsInput!$M$27,Inputs!$B$4="Chapter Hunt"),CHOOSE(ArtifactsInput!$N$27+1,20,24,28,32,36,40),0)/100)))))/Skills!H11,1)))/Inputs!$B$43),G472*Q472))*IF(Inputs!$B$38="pvp",1,(1+(Inputs!$B$21+Skills!Q11+(IF(ArtifactsInput!$M$33,CHOOSE(ArtifactsInput!$N$33+1,30,36,42,48,54,60),0))+(IF(AND(ArtifactsInput!$M$35,Inputs!$B$4&lt;&gt;"Chapter Hunt"),CHOOSE(ArtifactsInput!$N$35+1,15,18,21,24,27,30)*(1-EXP(-(0.2*B489)*5)),0)+IF(AND(ArtifactsInput!$M$22,Inputs!$B$4&lt;&gt;"Chapter Hunt"),CHOOSE(ArtifactsInput!$N$22+1,10,12,14,16,18,20)*((0*(((0.15*B489*5))^0/1)+1*(((0.15*B489*5))^1/1)+2*(((0.15*B489*5))^2/2)+3*(((0.15*B489*5))^3/6)+4*(((0.15*B489*5))^4/24)+5*(((0.15*B489*5))^5/120))/((((0.15*B489*5))^0/1)+(((0.15*B489*5))^1/1)+(((0.15*B489*5))^2/2)+(((0.15*B489*5))^3/6)+(((0.15*B489*5))^4/24)+(((0.15*B489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3">
      <c r="A473">
        <f>Skills!A12</f>
        <v/>
      </c>
      <c r="B473">
        <f>Skills!B12</f>
        <v/>
      </c>
      <c r="C473">
        <f>Inputs!$B$3&gt;=100</f>
        <v/>
      </c>
      <c r="D473">
        <f>IF(Skills!C12=1,60+Inputs!$B$25+Inputs!$B$29,IF(Skills!C12=2,90+Inputs!$B$26+Inputs!$B$29,IF(Skills!C12=3,120+Inputs!$B$27+Inputs!$B$29,MAX(0,(Inputs!$B$3-100)*3)+Inputs!$B$28+Inputs!$B$29)))</f>
        <v/>
      </c>
      <c r="E473">
        <f>INDEX(FactorTable!$B$2:$Y$301, MATCH(ROUND(MIN(300,MAX(1,D473)),0), FactorTable!$A$2:$A$301,0), Skills!M12+1)</f>
        <v/>
      </c>
      <c r="F473">
        <f>IF(Skills!N12=TRUE,(Skills!L12/10)*(E473/1000),Skills!L12/10)+Skills!O12</f>
        <v/>
      </c>
      <c r="G473" t="inlineStr"/>
      <c r="H473" t="inlineStr"/>
      <c r="I473" t="inlineStr">
        <is>
          <t>1</t>
        </is>
      </c>
      <c r="J473" t="inlineStr"/>
      <c r="K473" t="inlineStr"/>
      <c r="L473" t="inlineStr"/>
      <c r="M473" t="inlineStr"/>
      <c r="N473" t="inlineStr"/>
      <c r="O473" t="inlineStr"/>
      <c r="P473" t="inlineStr"/>
      <c r="Q473" t="inlineStr"/>
      <c r="R473" t="inlineStr"/>
      <c r="S473" t="inlineStr"/>
      <c r="T473" t="inlineStr"/>
      <c r="V473" t="inlineStr"/>
    </row>
    <row r="474">
      <c r="A474">
        <f>Skills!A13</f>
        <v/>
      </c>
      <c r="B474">
        <f>Skills!B13</f>
        <v/>
      </c>
      <c r="C474">
        <f>Inputs!$B$3&gt;=66</f>
        <v/>
      </c>
      <c r="D474">
        <f>IF(Skills!C13=1,60+Inputs!$B$25+Inputs!$B$29,IF(Skills!C13=2,90+Inputs!$B$26+Inputs!$B$29,IF(Skills!C13=3,120+Inputs!$B$27+Inputs!$B$29,MAX(0,(Inputs!$B$3-100)*3)+Inputs!$B$28+Inputs!$B$29)))</f>
        <v/>
      </c>
      <c r="E474">
        <f>INDEX(FactorTable!$B$2:$Y$301, MATCH(ROUND(MIN(300,MAX(1,D474)),0), FactorTable!$A$2:$A$301,0), Skills!M13+1)</f>
        <v/>
      </c>
      <c r="F474">
        <f>IF(Skills!N13=TRUE,(Skills!L13/10)*(E474/1000),Skills!L13/10)+Skills!O13</f>
        <v/>
      </c>
      <c r="G474">
        <f>Skills!G13*IF(Skills!H13&gt;0,Skills!I13/Skills!H13,1)</f>
        <v/>
      </c>
      <c r="H474">
        <f>1-(1-Skills!J13/100)^Skills!K13</f>
        <v/>
      </c>
      <c r="I474" t="inlineStr">
        <is>
          <t>1</t>
        </is>
      </c>
      <c r="J474" t="inlineStr"/>
      <c r="K474" t="inlineStr"/>
      <c r="L474" t="inlineStr"/>
      <c r="M474" t="inlineStr"/>
      <c r="N474" t="inlineStr"/>
      <c r="O474">
        <f>(1-Summary!$B$11)*T474+Summary!$B$11*V474</f>
        <v/>
      </c>
      <c r="P474">
        <f>IF(B497=0,0,O474/B497)</f>
        <v/>
      </c>
      <c r="Q474" t="n">
        <v>0</v>
      </c>
      <c r="R474" t="n">
        <v>0</v>
      </c>
      <c r="S474">
        <f>IFERROR(O474/N474,0)</f>
        <v/>
      </c>
      <c r="T474" t="n">
        <v>0</v>
      </c>
      <c r="V474" t="n">
        <v>0</v>
      </c>
    </row>
    <row r="475">
      <c r="A475">
        <f>Skills!A14</f>
        <v/>
      </c>
      <c r="B475">
        <f>Skills!B14</f>
        <v/>
      </c>
      <c r="C475">
        <f>Inputs!$B$3&gt;=107</f>
        <v/>
      </c>
      <c r="D475">
        <f>IF(Skills!C14=1,60+Inputs!$B$25+Inputs!$B$29,IF(Skills!C14=2,90+Inputs!$B$26+Inputs!$B$29,IF(Skills!C14=3,120+Inputs!$B$27+Inputs!$B$29,MAX(0,(Inputs!$B$3-100)*3)+Inputs!$B$28+Inputs!$B$29)))</f>
        <v/>
      </c>
      <c r="E475">
        <f>INDEX(FactorTable!$B$2:$Y$301, MATCH(ROUND(MIN(300,MAX(1,D475)),0), FactorTable!$A$2:$A$301,0), Skills!M14+1)</f>
        <v/>
      </c>
      <c r="F475">
        <f>IF(Skills!N14=TRUE,(Skills!L14/10)*(E475/1000),Skills!L14/10)+Skills!O14</f>
        <v/>
      </c>
      <c r="G475">
        <f>Skills!G14*IF(Skills!H14&gt;0,Skills!I14/Skills!H14,1)</f>
        <v/>
      </c>
      <c r="H475">
        <f>1-(1-Skills!J14/100)^Skills!K14</f>
        <v/>
      </c>
      <c r="I475" t="inlineStr">
        <is>
          <t>1</t>
        </is>
      </c>
      <c r="J475" t="inlineStr"/>
      <c r="K475" t="inlineStr"/>
      <c r="L475" t="inlineStr"/>
      <c r="M475" t="inlineStr"/>
      <c r="N475" t="inlineStr"/>
      <c r="O475">
        <f>(1-Summary!$B$11)*T475+Summary!$B$11*V475</f>
        <v/>
      </c>
      <c r="P475">
        <f>IF(B497=0,0,O475/B497)</f>
        <v/>
      </c>
      <c r="Q475">
        <f>IFERROR(1/(IF(Inputs!$B$38="pvp",15,MAX(0.1,Skills!D14-IF(Skills!E14=TRUE,Inputs!$B$32,0)))*(1-IF(AND(ArtifactsInput!$M$27,Inputs!$B$4="Chapter Hunt"),CHOOSE(ArtifactsInput!$N$27+1,20,24,28,32,36,40),0)/100)),0)</f>
        <v/>
      </c>
      <c r="R475">
        <f>IF(AND(Inputs!$B$38&lt;&gt;"pvp",Inputs!$B$43&gt;0),IF(Inputs!$B$43&lt;=0,0,(INT(Inputs!$B$43/(IF(Inputs!$B$38="pvp",15,MAX(0.1,Skills!D14-IF(Skills!E14=TRUE,Inputs!$B$32,0)))*(1-IF(AND(ArtifactsInput!$M$27,Inputs!$B$4="Chapter Hunt"),CHOOSE(ArtifactsInput!$N$27+1,20,24,28,32,36,40),0)/100)))+1)),0)</f>
        <v/>
      </c>
      <c r="S475">
        <f>IFERROR(O475/N475,0)</f>
        <v/>
      </c>
      <c r="T475" t="n">
        <v>0</v>
      </c>
      <c r="V475" t="n">
        <v>0</v>
      </c>
    </row>
    <row r="476">
      <c r="A476">
        <f>Skills!A15</f>
        <v/>
      </c>
      <c r="B476">
        <f>Skills!B15</f>
        <v/>
      </c>
      <c r="C476">
        <f>Inputs!$B$3&gt;=115</f>
        <v/>
      </c>
      <c r="D476">
        <f>IF(Skills!C15=1,60+Inputs!$B$25+Inputs!$B$29,IF(Skills!C15=2,90+Inputs!$B$26+Inputs!$B$29,IF(Skills!C15=3,120+Inputs!$B$27+Inputs!$B$29,MAX(0,(Inputs!$B$3-100)*3)+Inputs!$B$28+Inputs!$B$29)))</f>
        <v/>
      </c>
      <c r="E476">
        <f>INDEX(FactorTable!$B$2:$Y$301, MATCH(ROUND(MIN(300,MAX(1,D476)),0), FactorTable!$A$2:$A$301,0), Skills!M15+1)</f>
        <v/>
      </c>
      <c r="F476">
        <f>IF(Skills!N15=TRUE,(Skills!L15/10)*(E476/1000),Skills!L15/10)+Skills!O15</f>
        <v/>
      </c>
      <c r="G476">
        <f>Skills!G15*IF(Skills!H15&gt;0,Skills!I15/Skills!H15,1)</f>
        <v/>
      </c>
      <c r="H476">
        <f>1-(1-Skills!J15/100)^Skills!K15</f>
        <v/>
      </c>
      <c r="I476" t="inlineStr">
        <is>
          <t>1</t>
        </is>
      </c>
      <c r="J476" t="inlineStr"/>
      <c r="K476" t="inlineStr"/>
      <c r="L476" t="inlineStr"/>
      <c r="M476" t="inlineStr"/>
      <c r="N476" t="inlineStr"/>
      <c r="O476">
        <f>(1-Summary!$B$11)*T476+Summary!$B$11*V476</f>
        <v/>
      </c>
      <c r="P476">
        <f>IF(B497=0,0,O476/B497)</f>
        <v/>
      </c>
      <c r="Q476">
        <f>IFERROR(1/(IF(Inputs!$B$38="pvp",15,MAX(0.1,Skills!D15-IF(Skills!E15=TRUE,Inputs!$B$32,0)))*(1-IF(AND(ArtifactsInput!$M$27,Inputs!$B$4="Chapter Hunt"),CHOOSE(ArtifactsInput!$N$27+1,20,24,28,32,36,40),0)/100)),0)</f>
        <v/>
      </c>
      <c r="R476">
        <f>IF(AND(Inputs!$B$38&lt;&gt;"pvp",Inputs!$B$43&gt;0),IF(Inputs!$B$43&lt;=0,0,(INT(Inputs!$B$43/(IF(Inputs!$B$38="pvp",15,MAX(0.1,Skills!D15-IF(Skills!E15=TRUE,Inputs!$B$32,0)))*(1-IF(AND(ArtifactsInput!$M$27,Inputs!$B$4="Chapter Hunt"),CHOOSE(ArtifactsInput!$N$27+1,20,24,28,32,36,40),0)/100)))+1)),0)</f>
        <v/>
      </c>
      <c r="S476">
        <f>IFERROR(O476/N476,0)</f>
        <v/>
      </c>
      <c r="T476" t="n">
        <v>0</v>
      </c>
      <c r="V476" t="n">
        <v>0</v>
      </c>
    </row>
    <row r="477">
      <c r="A477">
        <f>Skills!A16</f>
        <v/>
      </c>
      <c r="B477">
        <f>Skills!B16</f>
        <v/>
      </c>
      <c r="C477">
        <f>Inputs!$B$3&gt;=15</f>
        <v/>
      </c>
      <c r="D477">
        <f>IF(Skills!C16=1,60+Inputs!$B$25+Inputs!$B$29,IF(Skills!C16=2,90+Inputs!$B$26+Inputs!$B$29,IF(Skills!C16=3,120+Inputs!$B$27+Inputs!$B$29,MAX(0,(Inputs!$B$3-100)*3)+Inputs!$B$28+Inputs!$B$29)))</f>
        <v/>
      </c>
      <c r="E477">
        <f>INDEX(FactorTable!$B$2:$Y$301, MATCH(ROUND(MIN(300,MAX(1,D477)),0), FactorTable!$A$2:$A$301,0), Skills!M16+1)</f>
        <v/>
      </c>
      <c r="F477">
        <f>IF(Skills!N16=TRUE,(Skills!L16/10)*(E477/1000),Skills!L16/10)+Skills!O16</f>
        <v/>
      </c>
      <c r="G477">
        <f>Skills!G16*IF(Skills!H16&gt;0,Skills!I16/Skills!H16,1)</f>
        <v/>
      </c>
      <c r="H477">
        <f>1-(1-Skills!J16/100)^Skills!K16</f>
        <v/>
      </c>
      <c r="I477" t="inlineStr">
        <is>
          <t>1</t>
        </is>
      </c>
      <c r="J477" t="inlineStr"/>
      <c r="K477" t="inlineStr"/>
      <c r="L477" t="inlineStr"/>
      <c r="M477" t="inlineStr"/>
      <c r="N477" t="inlineStr"/>
      <c r="O477">
        <f>(1-Summary!$B$11)*T477+Summary!$B$11*V477</f>
        <v/>
      </c>
      <c r="P477">
        <f>IF(B497=0,0,O477/B497)</f>
        <v/>
      </c>
      <c r="Q477" t="n">
        <v>0</v>
      </c>
      <c r="R477" t="n">
        <v>0</v>
      </c>
      <c r="S477">
        <f>IFERROR(O477/N477,0)</f>
        <v/>
      </c>
      <c r="T477" t="n">
        <v>0</v>
      </c>
      <c r="V477" t="n">
        <v>0</v>
      </c>
    </row>
    <row r="478">
      <c r="A478">
        <f>Skills!A17</f>
        <v/>
      </c>
      <c r="B478">
        <f>Skills!B17</f>
        <v/>
      </c>
      <c r="C478">
        <f>Inputs!$B$3&gt;=10</f>
        <v/>
      </c>
      <c r="D478">
        <f>IF(Skills!C17=1,60+Inputs!$B$25+Inputs!$B$29,IF(Skills!C17=2,90+Inputs!$B$26+Inputs!$B$29,IF(Skills!C17=3,120+Inputs!$B$27+Inputs!$B$29,MAX(0,(Inputs!$B$3-100)*3)+Inputs!$B$28+Inputs!$B$29)))</f>
        <v/>
      </c>
      <c r="E478">
        <f>INDEX(FactorTable!$B$2:$Y$301, MATCH(ROUND(MIN(300,MAX(1,D478)),0), FactorTable!$A$2:$A$301,0), Skills!M17+1)</f>
        <v/>
      </c>
      <c r="F478">
        <f>IF(Skills!N17=TRUE,(Skills!L17/10)*(E478/1000),Skills!L17/10)+Skills!O17</f>
        <v/>
      </c>
      <c r="G478">
        <f>Skills!G17*IF(Skills!H17&gt;0,Skills!I17/Skills!H17,1)</f>
        <v/>
      </c>
      <c r="H478">
        <f>1-(1-Skills!J17/100)^Skills!K17</f>
        <v/>
      </c>
      <c r="I478" t="inlineStr">
        <is>
          <t>1</t>
        </is>
      </c>
      <c r="J478" t="inlineStr"/>
      <c r="K478" t="inlineStr"/>
      <c r="L478" t="inlineStr"/>
      <c r="M478" t="inlineStr"/>
      <c r="N478" t="inlineStr"/>
      <c r="O478">
        <f>(1-Summary!$B$11)*T478+Summary!$B$11*V478</f>
        <v/>
      </c>
      <c r="P478">
        <f>IF(B497=0,0,O478/B497)</f>
        <v/>
      </c>
      <c r="Q478" t="n">
        <v>0</v>
      </c>
      <c r="R478" t="n">
        <v>0</v>
      </c>
      <c r="S478">
        <f>IFERROR(O478/N478,0)</f>
        <v/>
      </c>
      <c r="T478" t="n">
        <v>0</v>
      </c>
      <c r="V478" t="n">
        <v>0</v>
      </c>
    </row>
    <row r="479">
      <c r="A479">
        <f>Skills!A18</f>
        <v/>
      </c>
      <c r="B479">
        <f>Skills!B18</f>
        <v/>
      </c>
      <c r="C479">
        <f>Inputs!$B$3&gt;=33</f>
        <v/>
      </c>
      <c r="D479">
        <f>IF(Skills!C18=1,60+Inputs!$B$25+Inputs!$B$29,IF(Skills!C18=2,90+Inputs!$B$26+Inputs!$B$29,IF(Skills!C18=3,120+Inputs!$B$27+Inputs!$B$29,MAX(0,(Inputs!$B$3-100)*3)+Inputs!$B$28+Inputs!$B$29)))</f>
        <v/>
      </c>
      <c r="E479">
        <f>INDEX(FactorTable!$B$2:$Y$301, MATCH(ROUND(MIN(300,MAX(1,D479)),0), FactorTable!$A$2:$A$301,0), Skills!M18+1)</f>
        <v/>
      </c>
      <c r="F479">
        <f>IF(Skills!N18=TRUE,(Skills!L18/10)*(E479/1000),Skills!L18/10)+Skills!O18</f>
        <v/>
      </c>
      <c r="G479">
        <f>Skills!G18*IF(Skills!H18&gt;0,Skills!I18/Skills!H18,1)</f>
        <v/>
      </c>
      <c r="H479">
        <f>1-(1-Skills!J18/100)^Skills!K18</f>
        <v/>
      </c>
      <c r="I479" t="inlineStr">
        <is>
          <t>1</t>
        </is>
      </c>
      <c r="J479" t="inlineStr"/>
      <c r="K479" t="inlineStr"/>
      <c r="L479" t="inlineStr"/>
      <c r="M479" t="inlineStr"/>
      <c r="N479" t="inlineStr"/>
      <c r="O479">
        <f>(1-Summary!$B$11)*T479+Summary!$B$11*V479</f>
        <v/>
      </c>
      <c r="P479">
        <f>IF(B497=0,0,O479/B497)</f>
        <v/>
      </c>
      <c r="Q479" t="n">
        <v>0</v>
      </c>
      <c r="R479" t="n">
        <v>0</v>
      </c>
      <c r="S479">
        <f>IFERROR(O479/N479,0)</f>
        <v/>
      </c>
      <c r="T479" t="n">
        <v>0</v>
      </c>
      <c r="V479" t="n">
        <v>0</v>
      </c>
    </row>
    <row r="480">
      <c r="A480">
        <f>Skills!A19</f>
        <v/>
      </c>
      <c r="B480">
        <f>Skills!B19</f>
        <v/>
      </c>
      <c r="C480">
        <f>Inputs!$B$3&gt;=40</f>
        <v/>
      </c>
      <c r="D480">
        <f>IF(Skills!C19=1,60+Inputs!$B$25+Inputs!$B$29,IF(Skills!C19=2,90+Inputs!$B$26+Inputs!$B$29,IF(Skills!C19=3,120+Inputs!$B$27+Inputs!$B$29,MAX(0,(Inputs!$B$3-100)*3)+Inputs!$B$28+Inputs!$B$29)))</f>
        <v/>
      </c>
      <c r="E480">
        <f>INDEX(FactorTable!$B$2:$Y$301, MATCH(ROUND(MIN(300,MAX(1,D480)),0), FactorTable!$A$2:$A$301,0), Skills!M19+1)</f>
        <v/>
      </c>
      <c r="F480">
        <f>IF(Skills!N19=TRUE,(Skills!L19/10)*(E480/1000),Skills!L19/10)+Skills!O19</f>
        <v/>
      </c>
      <c r="G480">
        <f>Skills!G19*IF(Skills!H19&gt;0,Skills!I19/Skills!H19,1)</f>
        <v/>
      </c>
      <c r="H480">
        <f>1-(1-Skills!J19/100)^Skills!K19</f>
        <v/>
      </c>
      <c r="I480" t="inlineStr">
        <is>
          <t>1</t>
        </is>
      </c>
      <c r="J480" t="inlineStr"/>
      <c r="K480" t="inlineStr"/>
      <c r="L480" t="inlineStr"/>
      <c r="M480" t="inlineStr"/>
      <c r="N480" t="inlineStr"/>
      <c r="O480">
        <f>(1-Summary!$B$11)*T480+Summary!$B$11*V480</f>
        <v/>
      </c>
      <c r="P480">
        <f>IF(B497=0,0,O480/B497)</f>
        <v/>
      </c>
      <c r="Q480" t="n">
        <v>0</v>
      </c>
      <c r="R480" t="n">
        <v>0</v>
      </c>
      <c r="S480">
        <f>IFERROR(O480/N480,0)</f>
        <v/>
      </c>
      <c r="T480" t="n">
        <v>0</v>
      </c>
      <c r="V480" t="n">
        <v>0</v>
      </c>
    </row>
    <row r="481">
      <c r="A481">
        <f>Skills!A20</f>
        <v/>
      </c>
      <c r="B481">
        <f>Skills!B20</f>
        <v/>
      </c>
      <c r="C481">
        <f>Inputs!$B$3&gt;=43</f>
        <v/>
      </c>
      <c r="D481">
        <f>IF(Skills!C20=1,60+Inputs!$B$25+Inputs!$B$29,IF(Skills!C20=2,90+Inputs!$B$26+Inputs!$B$29,IF(Skills!C20=3,120+Inputs!$B$27+Inputs!$B$29,MAX(0,(Inputs!$B$3-100)*3)+Inputs!$B$28+Inputs!$B$29)))</f>
        <v/>
      </c>
      <c r="E481">
        <f>INDEX(FactorTable!$B$2:$Y$301, MATCH(ROUND(MIN(300,MAX(1,D481)),0), FactorTable!$A$2:$A$301,0), Skills!M20+1)</f>
        <v/>
      </c>
      <c r="F481">
        <f>IF(Skills!N20=TRUE,(Skills!L20/10)*(E481/1000),Skills!L20/10)+Skills!O20</f>
        <v/>
      </c>
      <c r="G481">
        <f>Skills!G20*IF(Skills!H20&gt;0,Skills!I20/Skills!H20,1)</f>
        <v/>
      </c>
      <c r="H481">
        <f>1-(1-Skills!J20/100)^Skills!K20</f>
        <v/>
      </c>
      <c r="I481" t="inlineStr">
        <is>
          <t>1</t>
        </is>
      </c>
      <c r="J481" t="inlineStr"/>
      <c r="K481" t="inlineStr"/>
      <c r="L481" t="inlineStr"/>
      <c r="M481" t="inlineStr"/>
      <c r="N481" t="inlineStr"/>
      <c r="O481">
        <f>(1-Summary!$B$11)*T481+Summary!$B$11*V481</f>
        <v/>
      </c>
      <c r="P481">
        <f>IF(B497=0,0,O481/B497)</f>
        <v/>
      </c>
      <c r="Q481" t="n">
        <v>0</v>
      </c>
      <c r="R481" t="n">
        <v>0</v>
      </c>
      <c r="S481">
        <f>IFERROR(O481/N481,0)</f>
        <v/>
      </c>
      <c r="T481" t="n">
        <v>0</v>
      </c>
      <c r="V481" t="n">
        <v>0</v>
      </c>
    </row>
    <row r="482">
      <c r="A482">
        <f>Skills!A21</f>
        <v/>
      </c>
      <c r="B482">
        <f>Skills!B21</f>
        <v/>
      </c>
      <c r="C482">
        <f>Inputs!$B$3&gt;=38</f>
        <v/>
      </c>
      <c r="D482">
        <f>IF(Skills!C21=1,60+Inputs!$B$25+Inputs!$B$29,IF(Skills!C21=2,90+Inputs!$B$26+Inputs!$B$29,IF(Skills!C21=3,120+Inputs!$B$27+Inputs!$B$29,MAX(0,(Inputs!$B$3-100)*3)+Inputs!$B$28+Inputs!$B$29)))</f>
        <v/>
      </c>
      <c r="E482">
        <f>INDEX(FactorTable!$B$2:$Y$301, MATCH(ROUND(MIN(300,MAX(1,D482)),0), FactorTable!$A$2:$A$301,0), Skills!M21+1)</f>
        <v/>
      </c>
      <c r="F482">
        <f>IF(Skills!N21=TRUE,(Skills!L21/10)*(E482/1000),Skills!L21/10)+Skills!O21</f>
        <v/>
      </c>
      <c r="G482">
        <f>Skills!G21*IF(Skills!H21&gt;0,Skills!I21/Skills!H21,1)</f>
        <v/>
      </c>
      <c r="H482">
        <f>1-(1-Skills!J21/100)^Skills!K21</f>
        <v/>
      </c>
      <c r="I482" t="inlineStr">
        <is>
          <t>1</t>
        </is>
      </c>
      <c r="J482" t="inlineStr"/>
      <c r="K482" t="inlineStr"/>
      <c r="L482" t="inlineStr"/>
      <c r="M482" t="inlineStr"/>
      <c r="N482" t="inlineStr"/>
      <c r="O482">
        <f>(1-Summary!$B$11)*T482+Summary!$B$11*V482</f>
        <v/>
      </c>
      <c r="P482">
        <f>IF(B497=0,0,O482/B497)</f>
        <v/>
      </c>
      <c r="Q482" t="n">
        <v>0</v>
      </c>
      <c r="R482" t="n">
        <v>0</v>
      </c>
      <c r="S482">
        <f>IFERROR(O482/N482,0)</f>
        <v/>
      </c>
      <c r="T482" t="n">
        <v>0</v>
      </c>
      <c r="V482" t="n">
        <v>0</v>
      </c>
    </row>
    <row r="483">
      <c r="A483">
        <f>Skills!A22</f>
        <v/>
      </c>
      <c r="B483">
        <f>Skills!B22</f>
        <v/>
      </c>
      <c r="C483">
        <f>Inputs!$B$3&gt;=75</f>
        <v/>
      </c>
      <c r="D483">
        <f>IF(Skills!C22=1,60+Inputs!$B$25+Inputs!$B$29,IF(Skills!C22=2,90+Inputs!$B$26+Inputs!$B$29,IF(Skills!C22=3,120+Inputs!$B$27+Inputs!$B$29,MAX(0,(Inputs!$B$3-100)*3)+Inputs!$B$28+Inputs!$B$29)))</f>
        <v/>
      </c>
      <c r="E483">
        <f>INDEX(FactorTable!$B$2:$Y$301, MATCH(ROUND(MIN(300,MAX(1,D483)),0), FactorTable!$A$2:$A$301,0), Skills!M22+1)</f>
        <v/>
      </c>
      <c r="F483">
        <f>IF(Skills!N22=TRUE,(Skills!L22/10)*(E483/1000),Skills!L22/10)+Skills!O22</f>
        <v/>
      </c>
      <c r="G483">
        <f>Skills!G22*IF(Skills!H22&gt;0,Skills!I22/Skills!H22,1)</f>
        <v/>
      </c>
      <c r="H483">
        <f>1-(1-Skills!J22/100)^Skills!K22</f>
        <v/>
      </c>
      <c r="I483" t="inlineStr">
        <is>
          <t>1</t>
        </is>
      </c>
      <c r="J483" t="inlineStr"/>
      <c r="K483" t="inlineStr"/>
      <c r="L483" t="inlineStr"/>
      <c r="M483" t="inlineStr"/>
      <c r="N483" t="inlineStr"/>
      <c r="O483">
        <f>(1-Summary!$B$11)*T483+Summary!$B$11*V483</f>
        <v/>
      </c>
      <c r="P483">
        <f>IF(B497=0,0,O483/B497)</f>
        <v/>
      </c>
      <c r="Q483" t="n">
        <v>0</v>
      </c>
      <c r="R483" t="n">
        <v>0</v>
      </c>
      <c r="S483">
        <f>IFERROR(O483/N483,0)</f>
        <v/>
      </c>
      <c r="T483" t="n">
        <v>0</v>
      </c>
      <c r="V483" t="n">
        <v>0</v>
      </c>
    </row>
    <row r="484">
      <c r="A484">
        <f>Skills!A23</f>
        <v/>
      </c>
      <c r="B484">
        <f>Skills!B23</f>
        <v/>
      </c>
      <c r="C484">
        <f>TRUE</f>
        <v/>
      </c>
      <c r="D484">
        <f>IF(Skills!C23=1,60+Inputs!$B$25+Inputs!$B$29,IF(Skills!C23=2,90+Inputs!$B$26+Inputs!$B$29,IF(Skills!C23=3,120+Inputs!$B$27+Inputs!$B$29,MAX(0,(Inputs!$B$3-100)*3)+Inputs!$B$28+Inputs!$B$29)))</f>
        <v/>
      </c>
      <c r="E484">
        <f>INDEX(FactorTable!$B$2:$Y$301, MATCH(ROUND(MIN(300,MAX(1,D484)),0), FactorTable!$A$2:$A$301,0), Skills!M23+1)</f>
        <v/>
      </c>
      <c r="F484">
        <f>IF(Skills!N23=TRUE,(Skills!L23/10)*(E484/1000),Skills!L23/10)+Skills!O23</f>
        <v/>
      </c>
      <c r="G484">
        <f>Skills!G23*IF(Skills!H23&gt;0,Skills!I23/Skills!H23,1)</f>
        <v/>
      </c>
      <c r="H484">
        <f>1-(1-Skills!J23/100)^Skills!K23</f>
        <v/>
      </c>
      <c r="I484" t="inlineStr">
        <is>
          <t>1</t>
        </is>
      </c>
      <c r="J484" t="inlineStr"/>
      <c r="K484" t="inlineStr"/>
      <c r="L484" t="inlineStr"/>
      <c r="M484" t="inlineStr"/>
      <c r="N484" t="inlineStr"/>
      <c r="O484">
        <f>(1-Summary!$B$11)*T484+Summary!$B$11*V484</f>
        <v/>
      </c>
      <c r="P484">
        <f>IF(B497=0,0,O484/B497)</f>
        <v/>
      </c>
      <c r="Q484">
        <f>IFERROR(1/(IF(Inputs!$B$38="pvp",15,MAX(0.1,Skills!D23-IF(Skills!E23=TRUE,Inputs!$B$32,0)))*(1-IF(AND(ArtifactsInput!$M$27,Inputs!$B$4="Chapter Hunt"),CHOOSE(ArtifactsInput!$N$27+1,20,24,28,32,36,40),0)/100)),0)</f>
        <v/>
      </c>
      <c r="R484">
        <f>IF(AND(Inputs!$B$38&lt;&gt;"pvp",Inputs!$B$43&gt;0),IF(Inputs!$B$43&lt;=0,0,(INT(Inputs!$B$43/(IF(Inputs!$B$38="pvp",15,MAX(0.1,Skills!D23-IF(Skills!E23=TRUE,Inputs!$B$32,0)))*(1-IF(AND(ArtifactsInput!$M$27,Inputs!$B$4="Chapter Hunt"),CHOOSE(ArtifactsInput!$N$27+1,20,24,28,32,36,40),0)/100)))+1)),0)</f>
        <v/>
      </c>
      <c r="S484">
        <f>IFERROR(O484/N484,0)</f>
        <v/>
      </c>
      <c r="T484" t="n">
        <v>0</v>
      </c>
      <c r="V484" t="n">
        <v>0</v>
      </c>
    </row>
    <row r="486">
      <c r="A486" t="inlineStr">
        <is>
          <t>Attack% Bucket Multiplier</t>
        </is>
      </c>
      <c r="B486">
        <f>(1+(((C474=TRUE)*F474*5/7)+((C480=TRUE)*(F480-Calc!F19))+(IF(ArtifactsInput!$M$21,CHOOSE(ArtifactsInput!$N$21+1,25,30,35,40,45,50)*(IF(OR(Inputs!$B$4="Chapter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87">
      <c r="A487" t="inlineStr">
        <is>
          <t>Global Crit Rate Bonus %</t>
        </is>
      </c>
      <c r="B487" t="n">
        <v>0</v>
      </c>
    </row>
    <row r="488">
      <c r="A488" t="inlineStr">
        <is>
          <t>Attack Speed Buff Bonus % (Nimble Feet, duty-cycle averaged)</t>
        </is>
      </c>
      <c r="B488">
        <f>((C484=TRUE)*F484*IF(AND(Inputs!$B$38&lt;&gt;"pvp",Inputs!$B$43&gt;0),(((R484-1)*(Skills!T23*(1+Inputs!$B$34/100))+MIN((Skills!T23*(1+Inputs!$B$34/100)),MAX(0,Inputs!$B$43-((R484-1)*Skills!D23))))/Inputs!$B$43),IF(Inputs!$B$38="pvp",MIN((Skills!T23*(1+Inputs!$B$34/100)),15)/15,(Skills!T23*(1+Inputs!$B$34/100))/Skills!D23)))</f>
        <v/>
      </c>
    </row>
    <row r="489">
      <c r="A489" t="inlineStr">
        <is>
          <t>Actions Per Second</t>
        </is>
      </c>
      <c r="B489">
        <f>1+MIN(150,150*(1-(1-(Inputs!$B$11+((C478=TRUE)*(F478-Calc!F17))+((C479=TRUE)*(F479-Calc!F18)))/150)*(1-B488/150)))/100</f>
        <v/>
      </c>
    </row>
    <row r="490">
      <c r="A490" t="inlineStr">
        <is>
          <t>Skill + Buff Cast Rate</t>
        </is>
      </c>
      <c r="B490">
        <f>IF(AND(Inputs!$B$38&lt;&gt;"pvp",Inputs!$B$43&gt;0),SUMPRODUCT((Skills!E2:E23=TRUE)*(C463:C484=TRUE)*R463:R484*Skills!F2:F23)/Inputs!$B$43,SUMPRODUCT((Skills!E2:E23=TRUE)*(C463:C484=TRUE)*Q463:Q484*Skills!F2:F23))</f>
        <v/>
      </c>
    </row>
    <row r="491">
      <c r="A491" t="inlineStr">
        <is>
          <t>Hook Bomber Casts Per Second</t>
        </is>
      </c>
      <c r="B491">
        <f>MAX(0,B489-B490)</f>
        <v/>
      </c>
    </row>
    <row r="492">
      <c r="A492" t="inlineStr">
        <is>
          <t>Global Critical Damage Bonus % (unused)</t>
        </is>
      </c>
      <c r="B492" t="n">
        <v>0</v>
      </c>
    </row>
    <row r="493">
      <c r="A493" t="inlineStr">
        <is>
          <t>Global Final Damage Bonus % (Serpent Scale + Crossbones + Time Leap + Speed Infusion)</t>
        </is>
      </c>
      <c r="B493">
        <f>((C466=TRUE)*F466*((10+IF(Inputs!$B$3&gt;=94,5,0))/((10+IF(Inputs!$B$3&gt;=94,5,0))+5/(B491*(1+IF(Inputs!$B$3&gt;=104,1,0))))))+((C475=TRUE)*F475*IF(AND(Inputs!$B$38&lt;&gt;"pvp",Inputs!$B$43&gt;0),(((R475-1)*(Skills!T14*(1+Inputs!$B$34/100))+MIN((Skills!T14*(1+Inputs!$B$34/100)),MAX(0,Inputs!$B$43-((R475-1)*Skills!D14))))/Inputs!$B$43),IF(Inputs!$B$38="pvp",MIN((Skills!T14*(1+Inputs!$B$34/100)),15)/15,(Skills!T14*(1+Inputs!$B$34/100))/Skills!D14)))+((C476=TRUE)*F476*IF(AND(Inputs!$B$38&lt;&gt;"pvp",Inputs!$B$43&gt;0),(((R476-1)*(Skills!T15*(1+Inputs!$B$34/100))+MIN((Skills!T15*(1+Inputs!$B$34/100)),MAX(0,Inputs!$B$43-((R476-1)*Skills!D15))))/Inputs!$B$43),IF(Inputs!$B$38="pvp",MIN((Skills!T15*(1+Inputs!$B$34/100)),15)/15,(Skills!T15*(1+Inputs!$B$34/100))/Skills!D15)))+((Inputs!$B$3&gt;=110)*20*(B489-1)*IF(Inputs!$B$38="pvp",MIN((15*(1+Inputs!$B$34/100)),15)/15,(15*(1+Inputs!$B$34/100))/35))</f>
        <v/>
      </c>
    </row>
    <row r="494">
      <c r="A494" t="inlineStr">
        <is>
          <t>Buff-Casting Startup Delay (s, fixed-duration only)</t>
        </is>
      </c>
      <c r="B494">
        <f>IF(AND(Inputs!$B$38&lt;&gt;"pvp",Inputs!$B$43&gt;0),SUMPRODUCT((Skills!T2:T23&gt;0)*(Skills!E2:E23=TRUE)*(C463:C484=TRUE))/B489,0)</f>
        <v/>
      </c>
    </row>
    <row r="495">
      <c r="A495" t="inlineStr">
        <is>
          <t>Boss-Only Total DPS (this block's swept value)</t>
        </is>
      </c>
      <c r="B495">
        <f>SUM(T463:T484)</f>
        <v/>
      </c>
    </row>
    <row r="496">
      <c r="A496" t="inlineStr">
        <is>
          <t>Normal-Only Total DPS (this block's swept value)</t>
        </is>
      </c>
      <c r="B496">
        <f>SUM(V463:V484)</f>
        <v/>
      </c>
    </row>
    <row r="497">
      <c r="A497" s="6" t="inlineStr">
        <is>
          <t>TOTAL DPS</t>
        </is>
      </c>
      <c r="B497" s="6">
        <f>SUM(O463:O484)</f>
        <v/>
      </c>
    </row>
    <row r="500">
      <c r="A500" s="6" t="inlineStr">
        <is>
          <t>Stat: CRIT_DAMAGE %</t>
        </is>
      </c>
    </row>
    <row r="501">
      <c r="A501" s="5" t="inlineStr">
        <is>
          <t>Key</t>
        </is>
      </c>
      <c r="B501" s="5" t="inlineStr">
        <is>
          <t>Name</t>
        </is>
      </c>
      <c r="C501" s="5" t="inlineStr">
        <is>
          <t>Unlocked</t>
        </is>
      </c>
      <c r="D501" s="5" t="inlineStr">
        <is>
          <t>InputLevel</t>
        </is>
      </c>
      <c r="E501" s="5" t="inlineStr">
        <is>
          <t>Factor</t>
        </is>
      </c>
      <c r="F501" s="5" t="inlineStr">
        <is>
          <t>CoefficientPercent</t>
        </is>
      </c>
      <c r="G501" s="5" t="inlineStr">
        <is>
          <t>EffectiveHits</t>
        </is>
      </c>
      <c r="H501" s="5" t="inlineStr">
        <is>
          <t>ProcProbability</t>
        </is>
      </c>
      <c r="I501" s="5" t="inlineStr">
        <is>
          <t>MapleHeroMultiplier</t>
        </is>
      </c>
      <c r="J501" s="5" t="inlineStr">
        <is>
          <t>BaseDamage</t>
        </is>
      </c>
      <c r="K501" s="5" t="inlineStr">
        <is>
          <t>BaseHitDamage</t>
        </is>
      </c>
      <c r="L501" s="5" t="inlineStr">
        <is>
          <t>NonCritAvg</t>
        </is>
      </c>
      <c r="M501" s="5" t="inlineStr">
        <is>
          <t>CritAvg</t>
        </is>
      </c>
      <c r="N501" s="5" t="inlineStr">
        <is>
          <t>ExpectedDamage(perHit)</t>
        </is>
      </c>
      <c r="O501" s="5" t="inlineStr">
        <is>
          <t>DPS</t>
        </is>
      </c>
      <c r="P501" s="5" t="inlineStr">
        <is>
          <t>% of Total</t>
        </is>
      </c>
      <c r="Q501" s="5" t="inlineStr">
        <is>
          <t>InvCooldown</t>
        </is>
      </c>
      <c r="R501" s="5" t="inlineStr">
        <is>
          <t>CastsInFight</t>
        </is>
      </c>
      <c r="S501" s="5" t="inlineStr">
        <is>
          <t>HitRate(perSec)</t>
        </is>
      </c>
      <c r="U501" t="inlineStr">
        <is>
          <t>helpers</t>
        </is>
      </c>
    </row>
    <row r="502">
      <c r="A502">
        <f>Skills!A2</f>
        <v/>
      </c>
      <c r="B502">
        <f>Skills!B2</f>
        <v/>
      </c>
      <c r="C502">
        <f>Inputs!$B$3&gt;=100</f>
        <v/>
      </c>
      <c r="D502" t="inlineStr"/>
      <c r="E502" t="inlineStr"/>
      <c r="F502">
        <f>U504+Skills!O2</f>
        <v/>
      </c>
      <c r="G502">
        <f>Skills!G2*IF(Skills!H2&gt;0,Skills!I2/Skills!H2,1)</f>
        <v/>
      </c>
      <c r="H502">
        <f>1-(1-Skills!J2/100)^Skills!K2</f>
        <v/>
      </c>
      <c r="I502" t="inlineStr">
        <is>
          <t>1</t>
        </is>
      </c>
      <c r="J502">
        <f>((Inputs!$B$6*(1+Inputs!$B$7/100))+(((Inputs!$B$12*(1+Inputs!$B$13/100))-(Inputs!$B$12*(1+Inputs!$B$13/100)))+0.25*(Inputs!$B$14-Inputs!$B$14))*(1+Inputs!$B$7/100))*(F502/100)</f>
        <v/>
      </c>
      <c r="K502">
        <f>J502*(1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502)</f>
        <v/>
      </c>
      <c r="L502">
        <f>K502*(MIN(Inputs!$B$22+((C520=TRUE)*(F520-Calc!F20)),(Inputs!$B$23+0+(IF(ArtifactsInput!$M$15,CHOOSE(ArtifactsInput!$N$15+1,25,30,35,40,45,50)/100*(Inputs!$B$11-Inputs!$B$11),0))))/100+(Inputs!$B$23+0+(IF(ArtifactsInput!$M$15,CHOOSE(ArtifactsInput!$N$15+1,25,30,35,40,45,50)/100*(Inputs!$B$11-Inputs!$B$11),0)))/100)/2</f>
        <v/>
      </c>
      <c r="M502">
        <f>L502*(1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2">
        <f>L502*(1-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502*(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2">
        <f>(1-Summary!$B$11)*T502+Summary!$B$11*V502</f>
        <v/>
      </c>
      <c r="P502">
        <f>IF(B536=0,0,O502/B536)</f>
        <v/>
      </c>
      <c r="Q502" t="n">
        <v>0</v>
      </c>
      <c r="R502" t="n">
        <v>0</v>
      </c>
      <c r="S502">
        <f>IFERROR(O502/N502,0)</f>
        <v/>
      </c>
      <c r="T502">
        <f>IF(C502,(Skills!G2*N502*B530)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502*(1-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502*(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502*(1-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502*(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2">
        <f>MAX(0,(Inputs!$B$3-100)*3)+Inputs!$B$28+Inputs!$B$29</f>
        <v/>
      </c>
      <c r="V502">
        <f>IF(C502,(Skills!G2*N502*B530)*IF(Inputs!$B$38="pvp",1,(1+(Inputs!$B$21+Skills!Q2+(IF(ArtifactsInput!$M$33,CHOOSE(ArtifactsInput!$N$33+1,30,36,42,48,54,60),0))+(IF(AND(ArtifactsInput!$M$35,Inputs!$B$4&lt;&gt;"Chapter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3">
      <c r="A503">
        <f>Skills!A3</f>
        <v/>
      </c>
      <c r="B503">
        <f>Skills!B3</f>
        <v/>
      </c>
      <c r="C503">
        <f>Inputs!$B$3&gt;=35</f>
        <v/>
      </c>
      <c r="D503">
        <f>IF(Skills!C3=1,60+Inputs!$B$25+Inputs!$B$29,IF(Skills!C3=2,90+Inputs!$B$26+Inputs!$B$29,IF(Skills!C3=3,120+Inputs!$B$27+Inputs!$B$29,MAX(0,(Inputs!$B$3-100)*3)+Inputs!$B$28+Inputs!$B$29)))</f>
        <v/>
      </c>
      <c r="E503">
        <f>INDEX(FactorTable!$B$2:$Y$301, MATCH(ROUND(MIN(300,MAX(1,D503)),0), FactorTable!$A$2:$A$301,0), Skills!M3+1)</f>
        <v/>
      </c>
      <c r="F503">
        <f>IF(Skills!N3=TRUE,(Skills!L3/10)*(E503/1000),Skills!L3/10)+Skills!O3</f>
        <v/>
      </c>
      <c r="G503">
        <f>Skills!G3*IF(Skills!H3&gt;0,Skills!I3/Skills!H3,1)</f>
        <v/>
      </c>
      <c r="H503">
        <f>1-(1-Skills!J3/100)^Skills!K3</f>
        <v/>
      </c>
      <c r="I503" t="inlineStr">
        <is>
          <t>1</t>
        </is>
      </c>
      <c r="J503">
        <f>((Inputs!$B$6*(1+Inputs!$B$7/100))+(((Inputs!$B$12*(1+Inputs!$B$13/100))-(Inputs!$B$12*(1+Inputs!$B$13/100)))+0.25*(Inputs!$B$14-Inputs!$B$14))*(1+Inputs!$B$7/100))*(F503/100)</f>
        <v/>
      </c>
      <c r="K503">
        <f>J503*(1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503)</f>
        <v/>
      </c>
      <c r="L503">
        <f>K503*(MIN(Inputs!$B$22+((C520=TRUE)*(F520-Calc!F20)),(Inputs!$B$23+0+(IF(ArtifactsInput!$M$15,CHOOSE(ArtifactsInput!$N$15+1,25,30,35,40,45,50)/100*(Inputs!$B$11-Inputs!$B$11),0))))/100+(Inputs!$B$23+0+(IF(ArtifactsInput!$M$15,CHOOSE(ArtifactsInput!$N$15+1,25,30,35,40,45,50)/100*(Inputs!$B$11-Inputs!$B$11),0)))/100)/2</f>
        <v/>
      </c>
      <c r="M503">
        <f>L503*(1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3">
        <f>L503*(1-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503*(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3">
        <f>(1-Summary!$B$11)*T503+Summary!$B$11*V503</f>
        <v/>
      </c>
      <c r="P503">
        <f>IF(B536=0,0,O503/B536)</f>
        <v/>
      </c>
      <c r="Q503" t="n">
        <v>0</v>
      </c>
      <c r="R503" t="n">
        <v>0</v>
      </c>
      <c r="S503">
        <f>IFERROR(O503/N503,0)</f>
        <v/>
      </c>
      <c r="T503">
        <f>IF(C503,(Skills!G3*H503*N503*B530)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503*(1-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503*(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503*(1-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503*(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3">
        <f>INDEX(FactorTable!$B$2:$Y$301, MATCH(ROUND(MIN(300,MAX(1,U502)),0), FactorTable!$A$2:$A$301,0), 22)</f>
        <v/>
      </c>
      <c r="V503">
        <f>IF(C503,(Skills!G3*H503*N503*B530)*IF(Inputs!$B$38="pvp",1,(1+(Inputs!$B$21+Skills!Q3+(IF(ArtifactsInput!$M$33,CHOOSE(ArtifactsInput!$N$33+1,30,36,42,48,54,60),0))+(IF(AND(ArtifactsInput!$M$35,Inputs!$B$4&lt;&gt;"Chapter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4">
      <c r="A504">
        <f>Skills!A4</f>
        <v/>
      </c>
      <c r="B504">
        <f>Skills!B4</f>
        <v/>
      </c>
      <c r="C504">
        <f>Inputs!$B$3&gt;=60</f>
        <v/>
      </c>
      <c r="D504">
        <f>IF(Skills!C4=1,60+Inputs!$B$25+Inputs!$B$29,IF(Skills!C4=2,90+Inputs!$B$26+Inputs!$B$29,IF(Skills!C4=3,120+Inputs!$B$27+Inputs!$B$29,MAX(0,(Inputs!$B$3-100)*3)+Inputs!$B$28+Inputs!$B$29)))</f>
        <v/>
      </c>
      <c r="E504">
        <f>INDEX(FactorTable!$B$2:$Y$301, MATCH(ROUND(MIN(300,MAX(1,D504)),0), FactorTable!$A$2:$A$301,0), Skills!M4+1)</f>
        <v/>
      </c>
      <c r="F504">
        <f>IF(Skills!N4=TRUE,(Skills!L4/10)*(E504/1000),Skills!L4/10)+Skills!O4</f>
        <v/>
      </c>
      <c r="G504">
        <f>Skills!G4*IF(Skills!H4&gt;0,Skills!I4/Skills!H4,1)</f>
        <v/>
      </c>
      <c r="H504">
        <f>1-(1-Skills!J4/100)^Skills!K4</f>
        <v/>
      </c>
      <c r="I504" t="inlineStr">
        <is>
          <t>1</t>
        </is>
      </c>
      <c r="J504">
        <f>((Inputs!$B$6*(1+Inputs!$B$7/100))+(((Inputs!$B$12*(1+Inputs!$B$13/100))-(Inputs!$B$12*(1+Inputs!$B$13/100)))+0.25*(Inputs!$B$14-Inputs!$B$14))*(1+Inputs!$B$7/100))*(F504/100)</f>
        <v/>
      </c>
      <c r="K504">
        <f>J504*(1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512=TRUE,F512,0)/100)*(1+(IF(Skills!A4="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504)</f>
        <v/>
      </c>
      <c r="L504">
        <f>K504*(MIN(Inputs!$B$22+((C520=TRUE)*(F520-Calc!F20)),(Inputs!$B$23+0+(IF(ArtifactsInput!$M$15,CHOOSE(ArtifactsInput!$N$15+1,25,30,35,40,45,50)/100*(Inputs!$B$11-Inputs!$B$11),0))))/100+(Inputs!$B$23+0+(IF(ArtifactsInput!$M$15,CHOOSE(ArtifactsInput!$N$15+1,25,30,35,40,45,50)/100*(Inputs!$B$11-Inputs!$B$11),0)))/100)/2</f>
        <v/>
      </c>
      <c r="M504">
        <f>L504*(1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4">
        <f>L504*(1-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504*(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4">
        <f>(1-Summary!$B$11)*T504+Summary!$B$11*V504</f>
        <v/>
      </c>
      <c r="P504">
        <f>IF(B536=0,0,O504/B536)</f>
        <v/>
      </c>
      <c r="Q504" t="n">
        <v>0</v>
      </c>
      <c r="R504" t="n">
        <v>0</v>
      </c>
      <c r="S504">
        <f>IFERROR(O504/N504,0)</f>
        <v/>
      </c>
      <c r="T504">
        <f>IF(C504,(Skills!G4*H504*N504*B530)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504*(1-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504*(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504*(1-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504*(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04">
        <f>290*U503/1000</f>
        <v/>
      </c>
      <c r="V504">
        <f>IF(C504,(Skills!G4*H504*N504*B530)*IF(Inputs!$B$38="pvp",1,(1+(Inputs!$B$21+Skills!Q4+(IF(ArtifactsInput!$M$33,CHOOSE(ArtifactsInput!$N$33+1,30,36,42,48,54,60),0))+(IF(AND(ArtifactsInput!$M$35,Inputs!$B$4&lt;&gt;"Chapter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5">
      <c r="A505">
        <f>Skills!A5</f>
        <v/>
      </c>
      <c r="B505">
        <f>Skills!B5</f>
        <v/>
      </c>
      <c r="C505">
        <f>Inputs!$B$3&gt;=60</f>
        <v/>
      </c>
      <c r="D505">
        <f>IF(Skills!C5=1,60+Inputs!$B$25+Inputs!$B$29,IF(Skills!C5=2,90+Inputs!$B$26+Inputs!$B$29,IF(Skills!C5=3,120+Inputs!$B$27+Inputs!$B$29,MAX(0,(Inputs!$B$3-100)*3)+Inputs!$B$28+Inputs!$B$29)))</f>
        <v/>
      </c>
      <c r="E505">
        <f>INDEX(FactorTable!$B$2:$Y$301, MATCH(ROUND(MIN(300,MAX(1,D505)),0), FactorTable!$A$2:$A$301,0), Skills!M5+1)</f>
        <v/>
      </c>
      <c r="F505">
        <f>IF(Skills!N5=TRUE,(Skills!L5/10)*(E505/1000),Skills!L5/10)+Skills!O5</f>
        <v/>
      </c>
      <c r="G505">
        <f>Skills!G5*IF(Skills!H5&gt;0,Skills!I5/Skills!H5,1)</f>
        <v/>
      </c>
      <c r="H505">
        <f>1-(1-Skills!J5/100)^Skills!K5</f>
        <v/>
      </c>
      <c r="I505" t="inlineStr">
        <is>
          <t>1</t>
        </is>
      </c>
      <c r="J505" t="inlineStr"/>
      <c r="K505" t="inlineStr"/>
      <c r="L505" t="inlineStr"/>
      <c r="M505" t="inlineStr"/>
      <c r="N505" t="inlineStr"/>
      <c r="O505">
        <f>(1-Summary!$B$11)*T505+Summary!$B$11*V505</f>
        <v/>
      </c>
      <c r="P505">
        <f>IF(B536=0,0,O505/B536)</f>
        <v/>
      </c>
      <c r="Q505" t="n">
        <v>0</v>
      </c>
      <c r="R505" t="n">
        <v>0</v>
      </c>
      <c r="S505">
        <f>IFERROR(O505/N505,0)</f>
        <v/>
      </c>
      <c r="T505" t="n">
        <v>0</v>
      </c>
      <c r="V505" t="n">
        <v>0</v>
      </c>
    </row>
    <row r="506">
      <c r="A506">
        <f>Skills!A6</f>
        <v/>
      </c>
      <c r="B506">
        <f>Skills!B6</f>
        <v/>
      </c>
      <c r="C506">
        <f>Inputs!$B$3&gt;=63</f>
        <v/>
      </c>
      <c r="D506">
        <f>IF(Skills!C6=1,60+Inputs!$B$25+Inputs!$B$29,IF(Skills!C6=2,90+Inputs!$B$26+Inputs!$B$29,IF(Skills!C6=3,120+Inputs!$B$27+Inputs!$B$29,MAX(0,(Inputs!$B$3-100)*3)+Inputs!$B$28+Inputs!$B$29)))</f>
        <v/>
      </c>
      <c r="E506">
        <f>INDEX(FactorTable!$B$2:$Y$301, MATCH(ROUND(MIN(300,MAX(1,D506)),0), FactorTable!$A$2:$A$301,0), Skills!M6+1)</f>
        <v/>
      </c>
      <c r="F506">
        <f>IF(Skills!N6=TRUE,(Skills!L6/10)*(E506/1000),Skills!L6/10)+Skills!O6</f>
        <v/>
      </c>
      <c r="G506">
        <f>Skills!G6*IF(Skills!H6&gt;0,Skills!I6/Skills!H6,1)</f>
        <v/>
      </c>
      <c r="H506">
        <f>1-(1-Skills!J6/100)^Skills!K6</f>
        <v/>
      </c>
      <c r="I506" t="inlineStr">
        <is>
          <t>1</t>
        </is>
      </c>
      <c r="J506">
        <f>((Inputs!$B$6*(1+Inputs!$B$7/100))+(((Inputs!$B$12*(1+Inputs!$B$13/100))-(Inputs!$B$12*(1+Inputs!$B$13/100)))+0.25*(Inputs!$B$14-Inputs!$B$14))*(1+Inputs!$B$7/100))*(F506/100)</f>
        <v/>
      </c>
      <c r="K506">
        <f>J506*(1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512=TRUE,F512,0)/100)*(1+(IF(Skills!A6="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506)</f>
        <v/>
      </c>
      <c r="L506">
        <f>K506*(MIN(Inputs!$B$22+((C520=TRUE)*(F520-Calc!F20)),(Inputs!$B$23+0+(IF(ArtifactsInput!$M$15,CHOOSE(ArtifactsInput!$N$15+1,25,30,35,40,45,50)/100*(Inputs!$B$11-Inputs!$B$11),0))))/100+(Inputs!$B$23+0+(IF(ArtifactsInput!$M$15,CHOOSE(ArtifactsInput!$N$15+1,25,30,35,40,45,50)/100*(Inputs!$B$11-Inputs!$B$11),0)))/100)/2</f>
        <v/>
      </c>
      <c r="M506">
        <f>L506*(1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6">
        <f>L506*(1-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506*(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6">
        <f>(1-Summary!$B$11)*T506+Summary!$B$11*V506</f>
        <v/>
      </c>
      <c r="P506">
        <f>IF(B536=0,0,O506/B536)</f>
        <v/>
      </c>
      <c r="Q506">
        <f>IFERROR(1/(IF(Inputs!$B$38="pvp",15,MAX(0.1,Skills!D6-IF(Skills!E6=TRUE,Inputs!$B$32,0)))*(1-IF(AND(ArtifactsInput!$M$27,Inputs!$B$4="Chapter Hunt"),CHOOSE(ArtifactsInput!$N$27+1,20,24,28,32,36,40),0)/100)),0)</f>
        <v/>
      </c>
      <c r="R506">
        <f>IF(AND(Inputs!$B$38&lt;&gt;"pvp",Inputs!$B$43&gt;0),IF(MAX(0,Inputs!$B$43-B533)&lt;=0,0,(INT(MAX(0,Inputs!$B$43-B533)/(IF(Inputs!$B$38="pvp",15,MAX(0.1,Skills!D6-IF(Skills!E6=TRUE,Inputs!$B$32,0)))*(1-IF(AND(ArtifactsInput!$M$27,Inputs!$B$4="Chapter Hunt"),CHOOSE(ArtifactsInput!$N$27+1,20,24,28,32,36,40),0)/100)))+1)),0)</f>
        <v/>
      </c>
      <c r="S506">
        <f>IFERROR(O506/N506,0)</f>
        <v/>
      </c>
      <c r="T506">
        <f>IF(C506,(H506*N506*IF(AND(Inputs!$B$38&lt;&gt;"pvp",Inputs!$B$43&gt;0),((Skills!G6*((R506-1)*IF(Skills!H6&gt;0,Skills!I6/Skills!H6,1)+IF(Skills!H6&gt;0,MIN(Skills!I6,MAX(0,MAX(0,Inputs!$B$43-B533)-((R506-1)*(IF(Inputs!$B$38="pvp",15,MAX(0.1,Skills!D6-IF(Skills!E6=TRUE,Inputs!$B$32,0)))*(1-IF(AND(ArtifactsInput!$M$27,Inputs!$B$4="Chapter Hunt"),CHOOSE(ArtifactsInput!$N$27+1,20,24,28,32,36,40),0)/100)))))/Skills!H6,1)))/Inputs!$B$43),G506*Q506)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506*(1-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506*(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506*(1-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506*(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6">
        <f>IF(C506,(H506*N506*IF(AND(Inputs!$B$38&lt;&gt;"pvp",Inputs!$B$43&gt;0),((Skills!G6*((R506-1)*IF(Skills!H6&gt;0,Skills!I6/Skills!H6,1)+IF(Skills!H6&gt;0,MIN(Skills!I6,MAX(0,MAX(0,Inputs!$B$43-B533)-((R506-1)*(IF(Inputs!$B$38="pvp",15,MAX(0.1,Skills!D6-IF(Skills!E6=TRUE,Inputs!$B$32,0)))*(1-IF(AND(ArtifactsInput!$M$27,Inputs!$B$4="Chapter Hunt"),CHOOSE(ArtifactsInput!$N$27+1,20,24,28,32,36,40),0)/100)))))/Skills!H6,1)))/Inputs!$B$43),G506*Q506))*IF(Inputs!$B$38="pvp",1,(1+(Inputs!$B$21+Skills!Q6+(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7">
      <c r="A507">
        <f>Skills!A7</f>
        <v/>
      </c>
      <c r="B507">
        <f>Skills!B7</f>
        <v/>
      </c>
      <c r="C507">
        <f>Inputs!$B$3&gt;=100</f>
        <v/>
      </c>
      <c r="D507">
        <f>IF(Skills!C7=1,60+Inputs!$B$25+Inputs!$B$29,IF(Skills!C7=2,90+Inputs!$B$26+Inputs!$B$29,IF(Skills!C7=3,120+Inputs!$B$27+Inputs!$B$29,MAX(0,(Inputs!$B$3-100)*3)+Inputs!$B$28+Inputs!$B$29)))</f>
        <v/>
      </c>
      <c r="E507">
        <f>INDEX(FactorTable!$B$2:$Y$301, MATCH(ROUND(MIN(300,MAX(1,D507)),0), FactorTable!$A$2:$A$301,0), Skills!M7+1)</f>
        <v/>
      </c>
      <c r="F507">
        <f>IF(Skills!N7=TRUE,(Skills!L7/10)*(E507/1000),Skills!L7/10)+Skills!O7</f>
        <v/>
      </c>
      <c r="G507">
        <f>Skills!G7*IF(Skills!H7&gt;0,Skills!I7/Skills!H7,1)</f>
        <v/>
      </c>
      <c r="H507">
        <f>1-(1-Skills!J7/100)^Skills!K7</f>
        <v/>
      </c>
      <c r="I507" t="inlineStr">
        <is>
          <t>1</t>
        </is>
      </c>
      <c r="J507">
        <f>((Inputs!$B$6*(1+Inputs!$B$7/100))+(((Inputs!$B$12*(1+Inputs!$B$13/100))-(Inputs!$B$12*(1+Inputs!$B$13/100)))+0.25*(Inputs!$B$14-Inputs!$B$14))*(1+Inputs!$B$7/100))*(F507/100)</f>
        <v/>
      </c>
      <c r="K507">
        <f>J507*(1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507)</f>
        <v/>
      </c>
      <c r="L507">
        <f>K507*(MIN(Inputs!$B$22+((C520=TRUE)*(F520-Calc!F20)),(Inputs!$B$23+0+(IF(ArtifactsInput!$M$15,CHOOSE(ArtifactsInput!$N$15+1,25,30,35,40,45,50)/100*(Inputs!$B$11-Inputs!$B$11),0))))/100+(Inputs!$B$23+0+(IF(ArtifactsInput!$M$15,CHOOSE(ArtifactsInput!$N$15+1,25,30,35,40,45,50)/100*(Inputs!$B$11-Inputs!$B$11),0)))/100)/2</f>
        <v/>
      </c>
      <c r="M507">
        <f>L507*(1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7">
        <f>L507*(1-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507*(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7">
        <f>(1-Summary!$B$11)*T507+Summary!$B$11*V507</f>
        <v/>
      </c>
      <c r="P507">
        <f>IF(B536=0,0,O507/B536)</f>
        <v/>
      </c>
      <c r="Q507">
        <f>IFERROR(1/(IF(Inputs!$B$38="pvp",15,MAX(0.1,Skills!D7-IF(Skills!E7=TRUE,Inputs!$B$32,0)))*(1-IF(AND(ArtifactsInput!$M$27,Inputs!$B$4="Chapter Hunt"),CHOOSE(ArtifactsInput!$N$27+1,20,24,28,32,36,40),0)/100)),0)</f>
        <v/>
      </c>
      <c r="R507">
        <f>IF(AND(Inputs!$B$38&lt;&gt;"pvp",Inputs!$B$43&gt;0),IF(MAX(0,Inputs!$B$43-B533)&lt;=0,0,(INT(MAX(0,Inputs!$B$43-B533)/(IF(Inputs!$B$38="pvp",15,MAX(0.1,Skills!D7-IF(Skills!E7=TRUE,Inputs!$B$32,0)))*(1-IF(AND(ArtifactsInput!$M$27,Inputs!$B$4="Chapter Hunt"),CHOOSE(ArtifactsInput!$N$27+1,20,24,28,32,36,40),0)/100)))+1)),0)</f>
        <v/>
      </c>
      <c r="S507">
        <f>IFERROR(O507/N507,0)</f>
        <v/>
      </c>
      <c r="T507">
        <f>IF(C507,(H507*N507*IF(AND(Inputs!$B$38&lt;&gt;"pvp",Inputs!$B$43&gt;0),((Skills!G7*((R507-1)*IF(Skills!H7&gt;0,Skills!I7/Skills!H7,1)+IF(Skills!H7&gt;0,MIN(Skills!I7,MAX(0,MAX(0,Inputs!$B$43-B533)-((R507-1)*(IF(Inputs!$B$38="pvp",15,MAX(0.1,Skills!D7-IF(Skills!E7=TRUE,Inputs!$B$32,0)))*(1-IF(AND(ArtifactsInput!$M$27,Inputs!$B$4="Chapter Hunt"),CHOOSE(ArtifactsInput!$N$27+1,20,24,28,32,36,40),0)/100)))))/Skills!H7,1)))/Inputs!$B$43),G507*Q507)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507*(1-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507*(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507*(1-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507*(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7">
        <f>IF(C507,(H507*N507*IF(AND(Inputs!$B$38&lt;&gt;"pvp",Inputs!$B$43&gt;0),((Skills!G7*((R507-1)*IF(Skills!H7&gt;0,Skills!I7/Skills!H7,1)+IF(Skills!H7&gt;0,MIN(Skills!I7,MAX(0,MAX(0,Inputs!$B$43-B533)-((R507-1)*(IF(Inputs!$B$38="pvp",15,MAX(0.1,Skills!D7-IF(Skills!E7=TRUE,Inputs!$B$32,0)))*(1-IF(AND(ArtifactsInput!$M$27,Inputs!$B$4="Chapter Hunt"),CHOOSE(ArtifactsInput!$N$27+1,20,24,28,32,36,40),0)/100)))))/Skills!H7,1)))/Inputs!$B$43),G507*Q507))*IF(Inputs!$B$38="pvp",1,(1+(Inputs!$B$21+Skills!Q7+(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8">
      <c r="A508">
        <f>Skills!A8</f>
        <v/>
      </c>
      <c r="B508">
        <f>Skills!B8</f>
        <v/>
      </c>
      <c r="C508">
        <f>Inputs!$B$3&gt;=110</f>
        <v/>
      </c>
      <c r="D508">
        <f>IF(Skills!C8=1,60+Inputs!$B$25+Inputs!$B$29,IF(Skills!C8=2,90+Inputs!$B$26+Inputs!$B$29,IF(Skills!C8=3,120+Inputs!$B$27+Inputs!$B$29,MAX(0,(Inputs!$B$3-100)*3)+Inputs!$B$28+Inputs!$B$29)))</f>
        <v/>
      </c>
      <c r="E508">
        <f>INDEX(FactorTable!$B$2:$Y$301, MATCH(ROUND(MIN(300,MAX(1,D508)),0), FactorTable!$A$2:$A$301,0), Skills!M8+1)</f>
        <v/>
      </c>
      <c r="F508">
        <f>IF(Skills!N8=TRUE,(Skills!L8/10)*(E508/1000),Skills!L8/10)+Skills!O8</f>
        <v/>
      </c>
      <c r="G508">
        <f>Skills!G8*IF(Skills!H8&gt;0,Skills!I8/Skills!H8,1)</f>
        <v/>
      </c>
      <c r="H508">
        <f>1-(1-Skills!J8/100)^Skills!K8</f>
        <v/>
      </c>
      <c r="I508" t="inlineStr">
        <is>
          <t>1</t>
        </is>
      </c>
      <c r="J508">
        <f>((Inputs!$B$6*(1+Inputs!$B$7/100))+(((Inputs!$B$12*(1+Inputs!$B$13/100))-(Inputs!$B$12*(1+Inputs!$B$13/100)))+0.25*(Inputs!$B$14-Inputs!$B$14))*(1+Inputs!$B$7/100))*(F508/100)</f>
        <v/>
      </c>
      <c r="K508">
        <f>J508*(1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508)</f>
        <v/>
      </c>
      <c r="L508">
        <f>K508*(MIN(Inputs!$B$22+((C520=TRUE)*(F520-Calc!F20)),(Inputs!$B$23+0+(IF(ArtifactsInput!$M$15,CHOOSE(ArtifactsInput!$N$15+1,25,30,35,40,45,50)/100*(Inputs!$B$11-Inputs!$B$11),0))))/100+(Inputs!$B$23+0+(IF(ArtifactsInput!$M$15,CHOOSE(ArtifactsInput!$N$15+1,25,30,35,40,45,50)/100*(Inputs!$B$11-Inputs!$B$11),0)))/100)/2</f>
        <v/>
      </c>
      <c r="M508">
        <f>L508*(1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8">
        <f>L508*(1-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508*(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8">
        <f>(1-Summary!$B$11)*T508+Summary!$B$11*V508</f>
        <v/>
      </c>
      <c r="P508">
        <f>IF(B536=0,0,O508/B536)</f>
        <v/>
      </c>
      <c r="Q508">
        <f>IFERROR(1/(IF(Inputs!$B$38="pvp",15,MAX(0.1,Skills!D8-IF(Skills!E8=TRUE,Inputs!$B$32,0)))*(1-IF(AND(ArtifactsInput!$M$27,Inputs!$B$4="Chapter Hunt"),CHOOSE(ArtifactsInput!$N$27+1,20,24,28,32,36,40),0)/100)),0)</f>
        <v/>
      </c>
      <c r="R508">
        <f>IF(AND(Inputs!$B$38&lt;&gt;"pvp",Inputs!$B$43&gt;0),IF(MAX(0,Inputs!$B$43-B533)&lt;=0,0,(INT(MAX(0,Inputs!$B$43-B533)/(IF(Inputs!$B$38="pvp",15,MAX(0.1,Skills!D8-IF(Skills!E8=TRUE,Inputs!$B$32,0)))*(1-IF(AND(ArtifactsInput!$M$27,Inputs!$B$4="Chapter Hunt"),CHOOSE(ArtifactsInput!$N$27+1,20,24,28,32,36,40),0)/100)))+1)),0)</f>
        <v/>
      </c>
      <c r="S508">
        <f>IFERROR(O508/N508,0)</f>
        <v/>
      </c>
      <c r="T508">
        <f>IF(C508,(H508*N508*IF(AND(Inputs!$B$38&lt;&gt;"pvp",Inputs!$B$43&gt;0),((Skills!G8*((R508-1)*IF(Skills!H8&gt;0,Skills!I8/Skills!H8,1)+IF(Skills!H8&gt;0,MIN(Skills!I8,MAX(0,MAX(0,Inputs!$B$43-B533)-((R508-1)*(IF(Inputs!$B$38="pvp",15,MAX(0.1,Skills!D8-IF(Skills!E8=TRUE,Inputs!$B$32,0)))*(1-IF(AND(ArtifactsInput!$M$27,Inputs!$B$4="Chapter Hunt"),CHOOSE(ArtifactsInput!$N$27+1,20,24,28,32,36,40),0)/100)))))/Skills!H8,1)))/Inputs!$B$43),G508*Q508)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508*(1-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508*(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508*(1-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508*(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8">
        <f>IF(C508,(H508*N508*IF(AND(Inputs!$B$38&lt;&gt;"pvp",Inputs!$B$43&gt;0),((Skills!G8*((R508-1)*IF(Skills!H8&gt;0,Skills!I8/Skills!H8,1)+IF(Skills!H8&gt;0,MIN(Skills!I8,MAX(0,MAX(0,Inputs!$B$43-B533)-((R508-1)*(IF(Inputs!$B$38="pvp",15,MAX(0.1,Skills!D8-IF(Skills!E8=TRUE,Inputs!$B$32,0)))*(1-IF(AND(ArtifactsInput!$M$27,Inputs!$B$4="Chapter Hunt"),CHOOSE(ArtifactsInput!$N$27+1,20,24,28,32,36,40),0)/100)))))/Skills!H8,1)))/Inputs!$B$43),G508*Q508))*IF(Inputs!$B$38="pvp",1,(1+(Inputs!$B$21+Skills!Q8+(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09">
      <c r="A509">
        <f>Skills!A9</f>
        <v/>
      </c>
      <c r="B509">
        <f>Skills!B9</f>
        <v/>
      </c>
      <c r="C509">
        <f>Inputs!$B$3&gt;=110</f>
        <v/>
      </c>
      <c r="D509">
        <f>IF(Skills!C9=1,60+Inputs!$B$25+Inputs!$B$29,IF(Skills!C9=2,90+Inputs!$B$26+Inputs!$B$29,IF(Skills!C9=3,120+Inputs!$B$27+Inputs!$B$29,MAX(0,(Inputs!$B$3-100)*3)+Inputs!$B$28+Inputs!$B$29)))</f>
        <v/>
      </c>
      <c r="E509">
        <f>INDEX(FactorTable!$B$2:$Y$301, MATCH(ROUND(MIN(300,MAX(1,D509)),0), FactorTable!$A$2:$A$301,0), Skills!M9+1)</f>
        <v/>
      </c>
      <c r="F509">
        <f>IF(Skills!N9=TRUE,(Skills!L9/10)*(E509/1000),Skills!L9/10)+Skills!O9</f>
        <v/>
      </c>
      <c r="G509">
        <f>Skills!G9*IF(Skills!H9&gt;0,Skills!I9/Skills!H9,1)</f>
        <v/>
      </c>
      <c r="H509">
        <f>1-(1-Skills!J9/100)^Skills!K9</f>
        <v/>
      </c>
      <c r="I509" t="inlineStr">
        <is>
          <t>1</t>
        </is>
      </c>
      <c r="J509">
        <f>((Inputs!$B$6*(1+Inputs!$B$7/100))+(((Inputs!$B$12*(1+Inputs!$B$13/100))-(Inputs!$B$12*(1+Inputs!$B$13/100)))+0.25*(Inputs!$B$14-Inputs!$B$14))*(1+Inputs!$B$7/100))*(F509/100)</f>
        <v/>
      </c>
      <c r="K509">
        <f>J509*(1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509)</f>
        <v/>
      </c>
      <c r="L509">
        <f>K509*(MIN(Inputs!$B$22+((C520=TRUE)*(F520-Calc!F20)),(Inputs!$B$23+0+(IF(ArtifactsInput!$M$15,CHOOSE(ArtifactsInput!$N$15+1,25,30,35,40,45,50)/100*(Inputs!$B$11-Inputs!$B$11),0))))/100+(Inputs!$B$23+0+(IF(ArtifactsInput!$M$15,CHOOSE(ArtifactsInput!$N$15+1,25,30,35,40,45,50)/100*(Inputs!$B$11-Inputs!$B$11),0)))/100)/2</f>
        <v/>
      </c>
      <c r="M509">
        <f>L509*(1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09">
        <f>L509*(1-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509*(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09">
        <f>(1-Summary!$B$11)*T509+Summary!$B$11*V509</f>
        <v/>
      </c>
      <c r="P509">
        <f>IF(B536=0,0,O509/B536)</f>
        <v/>
      </c>
      <c r="Q509">
        <f>IFERROR(1/(IF(Inputs!$B$38="pvp",15,MAX(0.1,Skills!D9-IF(Skills!E9=TRUE,Inputs!$B$32,0)))*(1-IF(AND(ArtifactsInput!$M$27,Inputs!$B$4="Chapter Hunt"),CHOOSE(ArtifactsInput!$N$27+1,20,24,28,32,36,40),0)/100)),0)</f>
        <v/>
      </c>
      <c r="R509">
        <f>IF(AND(Inputs!$B$38&lt;&gt;"pvp",Inputs!$B$43&gt;0),IF(MAX(0,Inputs!$B$43-B533)&lt;=0,0,(INT(MAX(0,Inputs!$B$43-B533)/(IF(Inputs!$B$38="pvp",15,MAX(0.1,Skills!D9-IF(Skills!E9=TRUE,Inputs!$B$32,0)))*(1-IF(AND(ArtifactsInput!$M$27,Inputs!$B$4="Chapter Hunt"),CHOOSE(ArtifactsInput!$N$27+1,20,24,28,32,36,40),0)/100)))+1)),0)</f>
        <v/>
      </c>
      <c r="S509">
        <f>IFERROR(O509/N509,0)</f>
        <v/>
      </c>
      <c r="T509">
        <f>IF(C509,(H509*N509*IF(AND(Inputs!$B$38&lt;&gt;"pvp",Inputs!$B$43&gt;0),((Skills!G9*((R509-1)*IF(Skills!H9&gt;0,Skills!I9/Skills!H9,1)+IF(Skills!H9&gt;0,MIN(Skills!I9,MAX(0,MAX(0,Inputs!$B$43-B533)-((R509-1)*(IF(Inputs!$B$38="pvp",15,MAX(0.1,Skills!D9-IF(Skills!E9=TRUE,Inputs!$B$32,0)))*(1-IF(AND(ArtifactsInput!$M$27,Inputs!$B$4="Chapter Hunt"),CHOOSE(ArtifactsInput!$N$27+1,20,24,28,32,36,40),0)/100)))))/Skills!H9,1)))/Inputs!$B$43),G509*Q509)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509*(1-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509*(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509*(1-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509*(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09">
        <f>IF(C509,(H509*N509*IF(AND(Inputs!$B$38&lt;&gt;"pvp",Inputs!$B$43&gt;0),((Skills!G9*((R509-1)*IF(Skills!H9&gt;0,Skills!I9/Skills!H9,1)+IF(Skills!H9&gt;0,MIN(Skills!I9,MAX(0,MAX(0,Inputs!$B$43-B533)-((R509-1)*(IF(Inputs!$B$38="pvp",15,MAX(0.1,Skills!D9-IF(Skills!E9=TRUE,Inputs!$B$32,0)))*(1-IF(AND(ArtifactsInput!$M$27,Inputs!$B$4="Chapter Hunt"),CHOOSE(ArtifactsInput!$N$27+1,20,24,28,32,36,40),0)/100)))))/Skills!H9,1)))/Inputs!$B$43),G509*Q509))*IF(Inputs!$B$38="pvp",1,(1+(Inputs!$B$21+Skills!Q9+(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0">
      <c r="A510">
        <f>Skills!A10</f>
        <v/>
      </c>
      <c r="B510">
        <f>Skills!B10</f>
        <v/>
      </c>
      <c r="C510">
        <f>Inputs!$B$3&gt;=103</f>
        <v/>
      </c>
      <c r="D510">
        <f>IF(Skills!C10=1,60+Inputs!$B$25+Inputs!$B$29,IF(Skills!C10=2,90+Inputs!$B$26+Inputs!$B$29,IF(Skills!C10=3,120+Inputs!$B$27+Inputs!$B$29,MAX(0,(Inputs!$B$3-100)*3)+Inputs!$B$28+Inputs!$B$29)))</f>
        <v/>
      </c>
      <c r="E510">
        <f>INDEX(FactorTable!$B$2:$Y$301, MATCH(ROUND(MIN(300,MAX(1,D510)),0), FactorTable!$A$2:$A$301,0), Skills!M10+1)</f>
        <v/>
      </c>
      <c r="F510">
        <f>IF(Skills!N10=TRUE,(Skills!L10/10)*(E510/1000),Skills!L10/10)+Skills!O10</f>
        <v/>
      </c>
      <c r="G510">
        <f>Skills!G10*IF(Skills!H10&gt;0,Skills!I10/Skills!H10,1)</f>
        <v/>
      </c>
      <c r="H510">
        <f>1-(1-Skills!J10/100)^Skills!K10</f>
        <v/>
      </c>
      <c r="I510" t="inlineStr">
        <is>
          <t>1</t>
        </is>
      </c>
      <c r="J510">
        <f>((Inputs!$B$6*(1+Inputs!$B$7/100))+(((Inputs!$B$12*(1+Inputs!$B$13/100))-(Inputs!$B$12*(1+Inputs!$B$13/100)))+0.25*(Inputs!$B$14-Inputs!$B$14))*(1+Inputs!$B$7/100))*(F510/100)</f>
        <v/>
      </c>
      <c r="K510">
        <f>J510*(1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510)</f>
        <v/>
      </c>
      <c r="L510">
        <f>K510*(MIN(Inputs!$B$22+((C520=TRUE)*(F520-Calc!F20)),(Inputs!$B$23+0+(IF(ArtifactsInput!$M$15,CHOOSE(ArtifactsInput!$N$15+1,25,30,35,40,45,50)/100*(Inputs!$B$11-Inputs!$B$11),0))))/100+(Inputs!$B$23+0+(IF(ArtifactsInput!$M$15,CHOOSE(ArtifactsInput!$N$15+1,25,30,35,40,45,50)/100*(Inputs!$B$11-Inputs!$B$11),0)))/100)/2</f>
        <v/>
      </c>
      <c r="M510">
        <f>L510*(1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0">
        <f>L510*(1-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510*(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0">
        <f>(1-Summary!$B$11)*T510+Summary!$B$11*V510</f>
        <v/>
      </c>
      <c r="P510">
        <f>IF(B536=0,0,O510/B536)</f>
        <v/>
      </c>
      <c r="Q510">
        <f>IFERROR(1/(IF(Inputs!$B$38="pvp",15,MAX(0.1,Skills!D10-IF(Skills!E10=TRUE,Inputs!$B$32,0)))*(1-IF(AND(ArtifactsInput!$M$27,Inputs!$B$4="Chapter Hunt"),CHOOSE(ArtifactsInput!$N$27+1,20,24,28,32,36,40),0)/100)),0)</f>
        <v/>
      </c>
      <c r="R510">
        <f>IF(AND(Inputs!$B$38&lt;&gt;"pvp",Inputs!$B$43&gt;0),IF(MAX(0,Inputs!$B$43-B533)&lt;=0,0,(INT(MAX(0,Inputs!$B$43-B533)/(IF(Inputs!$B$38="pvp",15,MAX(0.1,Skills!D10-IF(Skills!E10=TRUE,Inputs!$B$32,0)))*(1-IF(AND(ArtifactsInput!$M$27,Inputs!$B$4="Chapter Hunt"),CHOOSE(ArtifactsInput!$N$27+1,20,24,28,32,36,40),0)/100)))+1)),0)</f>
        <v/>
      </c>
      <c r="S510">
        <f>IFERROR(O510/N510,0)</f>
        <v/>
      </c>
      <c r="T510">
        <f>IF(C510,(H510*N510*IF(AND(Inputs!$B$38&lt;&gt;"pvp",Inputs!$B$43&gt;0),((Skills!G10*((R510-1)*IF(Skills!H10&gt;0,Skills!I10/Skills!H10,1)+IF(Skills!H10&gt;0,MIN(Skills!I10,MAX(0,MAX(0,Inputs!$B$43-B533)-((R510-1)*(IF(Inputs!$B$38="pvp",15,MAX(0.1,Skills!D10-IF(Skills!E10=TRUE,Inputs!$B$32,0)))*(1-IF(AND(ArtifactsInput!$M$27,Inputs!$B$4="Chapter Hunt"),CHOOSE(ArtifactsInput!$N$27+1,20,24,28,32,36,40),0)/100)))))/Skills!H10,1)))/Inputs!$B$43),G510*Q510)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510*(1-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510*(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510*(1-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510*(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0">
        <f>IF(C510,(H510*N510*IF(AND(Inputs!$B$38&lt;&gt;"pvp",Inputs!$B$43&gt;0),((Skills!G10*((R510-1)*IF(Skills!H10&gt;0,Skills!I10/Skills!H10,1)+IF(Skills!H10&gt;0,MIN(Skills!I10,MAX(0,MAX(0,Inputs!$B$43-B533)-((R510-1)*(IF(Inputs!$B$38="pvp",15,MAX(0.1,Skills!D10-IF(Skills!E10=TRUE,Inputs!$B$32,0)))*(1-IF(AND(ArtifactsInput!$M$27,Inputs!$B$4="Chapter Hunt"),CHOOSE(ArtifactsInput!$N$27+1,20,24,28,32,36,40),0)/100)))))/Skills!H10,1)))/Inputs!$B$43),G510*Q510))*IF(Inputs!$B$38="pvp",1,(1+(Inputs!$B$21+Skills!Q10+(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1">
      <c r="A511">
        <f>Skills!A11</f>
        <v/>
      </c>
      <c r="B511">
        <f>Skills!B11</f>
        <v/>
      </c>
      <c r="C511">
        <f>Inputs!$B$3&gt;=113</f>
        <v/>
      </c>
      <c r="D511">
        <f>IF(Skills!C11=1,60+Inputs!$B$25+Inputs!$B$29,IF(Skills!C11=2,90+Inputs!$B$26+Inputs!$B$29,IF(Skills!C11=3,120+Inputs!$B$27+Inputs!$B$29,MAX(0,(Inputs!$B$3-100)*3)+Inputs!$B$28+Inputs!$B$29)))</f>
        <v/>
      </c>
      <c r="E511">
        <f>INDEX(FactorTable!$B$2:$Y$301, MATCH(ROUND(MIN(300,MAX(1,D511)),0), FactorTable!$A$2:$A$301,0), Skills!M11+1)</f>
        <v/>
      </c>
      <c r="F511">
        <f>IF(Skills!N11=TRUE,(Skills!L11/10)*(E511/1000),Skills!L11/10)+Skills!O11</f>
        <v/>
      </c>
      <c r="G511">
        <f>Skills!G11*IF(Skills!H11&gt;0,Skills!I11/Skills!H11,1)</f>
        <v/>
      </c>
      <c r="H511">
        <f>1-(1-Skills!J11/100)^Skills!K11</f>
        <v/>
      </c>
      <c r="I511" t="inlineStr">
        <is>
          <t>1</t>
        </is>
      </c>
      <c r="J511">
        <f>((Inputs!$B$6*(1+Inputs!$B$7/100))+(((Inputs!$B$12*(1+Inputs!$B$13/100))-(Inputs!$B$12*(1+Inputs!$B$13/100)))+0.25*(Inputs!$B$14-Inputs!$B$14))*(1+Inputs!$B$7/100))*(F511/100)</f>
        <v/>
      </c>
      <c r="K511">
        <f>J511*(1+((Inputs!$B$12*(1+Inputs!$B$13/100))*0.01+Inputs!$B$14*0.0025)/100)*(1+Inputs!$B$15/100)*(1+Inputs!$B$16/100)*(5000/(6000+Inputs!$B$42*(1-(100*(1-(1-(Inputs!$B$19+0)/100)*(1-CHOOSE(ArtifactsInput!$N$40+1,5,6,7,8,9,10)/100)^(ArtifactsInput!$M$40-ArtifactsInput!$M$40)))/100)))*(1+(Inputs!$B$24+((C522=TRUE)*(F522-Calc!F22))+B532)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521=TRUE)*(F521-Calc!F21))+(((IF(AND(ArtifactsInput!$M$42,((Inputs!$B$9+((C516=TRUE)*(F516-Calc!F16))+B526+(ArtifactsInput!$M$24-ArtifactsInput!$M$24)*CHOOSE(ArtifactsInput!$N$24+1,10,12,14,16,18,20)+IF(ArtifactsInput!$M$10,CHOOSE(ArtifactsInput!$N$10+1,15,18,21,24,27,30)*(IF(Inputs!$B$38="pvp",MIN(15,15)/15,IF(AND(Inputs!$B$38&lt;&gt;"pvp",Inputs!$B$43&gt;0),MIN(15,Inputs!$B$43)/(Inputs!$B$43),0))),0)))&gt;=100),MIN(100,((Inputs!$B$9+((C516=TRUE)*(F516-Calc!F16))+B526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516=TRUE)*(F516-Calc!F16))+B526+(ArtifactsInput!$M$24-ArtifactsInput!$M$24)*CHOOSE(ArtifactsInput!$N$24+1,10,12,14,16,18,20)+IF(ArtifactsInput!$M$10,CHOOSE(ArtifactsInput!$N$10+1,15,18,21,24,27,30)*(IF(Inputs!$B$38="pvp",MIN(15,15)/15,IF(AND(Inputs!$B$38&lt;&gt;"pvp",Inputs!$B$43&gt;0),MIN(15,Inputs!$B$43)/(Inputs!$B$43),0))),0)))&gt;=100),CHOOSE(ArtifactsInput!$N$42+1,40,48,56,64,72,80),0))))/100)*((1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511)</f>
        <v/>
      </c>
      <c r="L511">
        <f>K511*(MIN(Inputs!$B$22+((C520=TRUE)*(F520-Calc!F20)),(Inputs!$B$23+0+(IF(ArtifactsInput!$M$15,CHOOSE(ArtifactsInput!$N$15+1,25,30,35,40,45,50)/100*(Inputs!$B$11-Inputs!$B$11),0))))/100+(Inputs!$B$23+0+(IF(ArtifactsInput!$M$15,CHOOSE(ArtifactsInput!$N$15+1,25,30,35,40,45,50)/100*(Inputs!$B$11-Inputs!$B$11),0)))/100)/2</f>
        <v/>
      </c>
      <c r="M511">
        <f>L511*(1+((Inputs!$B$10+1)+0+B531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11">
        <f>L511*(1-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511*(MIN((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11">
        <f>(1-Summary!$B$11)*T511+Summary!$B$11*V511</f>
        <v/>
      </c>
      <c r="P511">
        <f>IF(B536=0,0,O511/B536)</f>
        <v/>
      </c>
      <c r="Q511">
        <f>IFERROR(1/(IF(Inputs!$B$38="pvp",15,MAX(0.1,Skills!D11-IF(Skills!E11=TRUE,Inputs!$B$32,0)))*(1-IF(AND(ArtifactsInput!$M$27,Inputs!$B$4="Chapter Hunt"),CHOOSE(ArtifactsInput!$N$27+1,20,24,28,32,36,40),0)/100)),0)</f>
        <v/>
      </c>
      <c r="R511">
        <f>IF(AND(Inputs!$B$38&lt;&gt;"pvp",Inputs!$B$43&gt;0),IF(MAX(0,Inputs!$B$43-B533)&lt;=0,0,(INT(MAX(0,Inputs!$B$43-B533)/(IF(Inputs!$B$38="pvp",15,MAX(0.1,Skills!D11-IF(Skills!E11=TRUE,Inputs!$B$32,0)))*(1-IF(AND(ArtifactsInput!$M$27,Inputs!$B$4="Chapter Hunt"),CHOOSE(ArtifactsInput!$N$27+1,20,24,28,32,36,40),0)/100)))+1)),0)</f>
        <v/>
      </c>
      <c r="S511">
        <f>IFERROR(O511/N511,0)</f>
        <v/>
      </c>
      <c r="T511">
        <f>IF(C511,(H511*N511*IF(AND(Inputs!$B$38&lt;&gt;"pvp",Inputs!$B$43&gt;0),((Skills!G11*((R511-1)*IF(Skills!H11&gt;0,Skills!I11/Skills!H11,1)+IF(Skills!H11&gt;0,MIN(Skills!I11,MAX(0,MAX(0,Inputs!$B$43-B533)-((R511-1)*(IF(Inputs!$B$38="pvp",15,MAX(0.1,Skills!D11-IF(Skills!E11=TRUE,Inputs!$B$32,0)))*(1-IF(AND(ArtifactsInput!$M$27,Inputs!$B$4="Chapter Hunt"),CHOOSE(ArtifactsInput!$N$27+1,20,24,28,32,36,40),0)/100)))))/Skills!H11,1)))/Inputs!$B$43),G511*Q511)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511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511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511*(MIN(100,(Inputs!$B$9+((C516=TRUE)*(F516-Calc!F16))+B526+(ArtifactsInput!$M$24-ArtifactsInput!$M$24)*CHOOSE(ArtifactsInput!$N$24+1,10,12,14,16,18,20)+(IF(AND(ArtifactsInput!$M$42,((Inputs!$B$9+((C516=TRUE)*(F516-Calc!F16))+B526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11">
        <f>IF(C511,(H511*N511*IF(AND(Inputs!$B$38&lt;&gt;"pvp",Inputs!$B$43&gt;0),((Skills!G11*((R511-1)*IF(Skills!H11&gt;0,Skills!I11/Skills!H11,1)+IF(Skills!H11&gt;0,MIN(Skills!I11,MAX(0,MAX(0,Inputs!$B$43-B533)-((R511-1)*(IF(Inputs!$B$38="pvp",15,MAX(0.1,Skills!D11-IF(Skills!E11=TRUE,Inputs!$B$32,0)))*(1-IF(AND(ArtifactsInput!$M$27,Inputs!$B$4="Chapter Hunt"),CHOOSE(ArtifactsInput!$N$27+1,20,24,28,32,36,40),0)/100)))))/Skills!H11,1)))/Inputs!$B$43),G511*Q511))*IF(Inputs!$B$38="pvp",1,(1+(Inputs!$B$21+Skills!Q11+(IF(ArtifactsInput!$M$33,CHOOSE(ArtifactsInput!$N$33+1,30,36,42,48,54,60),0))+(IF(AND(ArtifactsInput!$M$35,Inputs!$B$4&lt;&gt;"Chapter Hunt"),CHOOSE(ArtifactsInput!$N$35+1,15,18,21,24,27,30)*(1-EXP(-(0.2*B528)*5)),0)+IF(AND(ArtifactsInput!$M$22,Inputs!$B$4&lt;&gt;"Chapter Hunt"),CHOOSE(ArtifactsInput!$N$22+1,10,12,14,16,18,20)*((0*(((0.15*B528*5))^0/1)+1*(((0.15*B528*5))^1/1)+2*(((0.15*B528*5))^2/2)+3*(((0.15*B528*5))^3/6)+4*(((0.15*B528*5))^4/24)+5*(((0.15*B528*5))^5/120))/((((0.15*B528*5))^0/1)+(((0.15*B528*5))^1/1)+(((0.15*B528*5))^2/2)+(((0.15*B528*5))^3/6)+(((0.15*B528*5))^4/24)+(((0.15*B528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12">
      <c r="A512">
        <f>Skills!A12</f>
        <v/>
      </c>
      <c r="B512">
        <f>Skills!B12</f>
        <v/>
      </c>
      <c r="C512">
        <f>Inputs!$B$3&gt;=100</f>
        <v/>
      </c>
      <c r="D512">
        <f>IF(Skills!C12=1,60+Inputs!$B$25+Inputs!$B$29,IF(Skills!C12=2,90+Inputs!$B$26+Inputs!$B$29,IF(Skills!C12=3,120+Inputs!$B$27+Inputs!$B$29,MAX(0,(Inputs!$B$3-100)*3)+Inputs!$B$28+Inputs!$B$29)))</f>
        <v/>
      </c>
      <c r="E512">
        <f>INDEX(FactorTable!$B$2:$Y$301, MATCH(ROUND(MIN(300,MAX(1,D512)),0), FactorTable!$A$2:$A$301,0), Skills!M12+1)</f>
        <v/>
      </c>
      <c r="F512">
        <f>IF(Skills!N12=TRUE,(Skills!L12/10)*(E512/1000),Skills!L12/10)+Skills!O12</f>
        <v/>
      </c>
      <c r="G512" t="inlineStr"/>
      <c r="H512" t="inlineStr"/>
      <c r="I512" t="inlineStr">
        <is>
          <t>1</t>
        </is>
      </c>
      <c r="J512" t="inlineStr"/>
      <c r="K512" t="inlineStr"/>
      <c r="L512" t="inlineStr"/>
      <c r="M512" t="inlineStr"/>
      <c r="N512" t="inlineStr"/>
      <c r="O512" t="inlineStr"/>
      <c r="P512" t="inlineStr"/>
      <c r="Q512" t="inlineStr"/>
      <c r="R512" t="inlineStr"/>
      <c r="S512" t="inlineStr"/>
      <c r="T512" t="inlineStr"/>
      <c r="V512" t="inlineStr"/>
    </row>
    <row r="513">
      <c r="A513">
        <f>Skills!A13</f>
        <v/>
      </c>
      <c r="B513">
        <f>Skills!B13</f>
        <v/>
      </c>
      <c r="C513">
        <f>Inputs!$B$3&gt;=66</f>
        <v/>
      </c>
      <c r="D513">
        <f>IF(Skills!C13=1,60+Inputs!$B$25+Inputs!$B$29,IF(Skills!C13=2,90+Inputs!$B$26+Inputs!$B$29,IF(Skills!C13=3,120+Inputs!$B$27+Inputs!$B$29,MAX(0,(Inputs!$B$3-100)*3)+Inputs!$B$28+Inputs!$B$29)))</f>
        <v/>
      </c>
      <c r="E513">
        <f>INDEX(FactorTable!$B$2:$Y$301, MATCH(ROUND(MIN(300,MAX(1,D513)),0), FactorTable!$A$2:$A$301,0), Skills!M13+1)</f>
        <v/>
      </c>
      <c r="F513">
        <f>IF(Skills!N13=TRUE,(Skills!L13/10)*(E513/1000),Skills!L13/10)+Skills!O13</f>
        <v/>
      </c>
      <c r="G513">
        <f>Skills!G13*IF(Skills!H13&gt;0,Skills!I13/Skills!H13,1)</f>
        <v/>
      </c>
      <c r="H513">
        <f>1-(1-Skills!J13/100)^Skills!K13</f>
        <v/>
      </c>
      <c r="I513" t="inlineStr">
        <is>
          <t>1</t>
        </is>
      </c>
      <c r="J513" t="inlineStr"/>
      <c r="K513" t="inlineStr"/>
      <c r="L513" t="inlineStr"/>
      <c r="M513" t="inlineStr"/>
      <c r="N513" t="inlineStr"/>
      <c r="O513">
        <f>(1-Summary!$B$11)*T513+Summary!$B$11*V513</f>
        <v/>
      </c>
      <c r="P513">
        <f>IF(B536=0,0,O513/B536)</f>
        <v/>
      </c>
      <c r="Q513" t="n">
        <v>0</v>
      </c>
      <c r="R513" t="n">
        <v>0</v>
      </c>
      <c r="S513">
        <f>IFERROR(O513/N513,0)</f>
        <v/>
      </c>
      <c r="T513" t="n">
        <v>0</v>
      </c>
      <c r="V513" t="n">
        <v>0</v>
      </c>
    </row>
    <row r="514">
      <c r="A514">
        <f>Skills!A14</f>
        <v/>
      </c>
      <c r="B514">
        <f>Skills!B14</f>
        <v/>
      </c>
      <c r="C514">
        <f>Inputs!$B$3&gt;=107</f>
        <v/>
      </c>
      <c r="D514">
        <f>IF(Skills!C14=1,60+Inputs!$B$25+Inputs!$B$29,IF(Skills!C14=2,90+Inputs!$B$26+Inputs!$B$29,IF(Skills!C14=3,120+Inputs!$B$27+Inputs!$B$29,MAX(0,(Inputs!$B$3-100)*3)+Inputs!$B$28+Inputs!$B$29)))</f>
        <v/>
      </c>
      <c r="E514">
        <f>INDEX(FactorTable!$B$2:$Y$301, MATCH(ROUND(MIN(300,MAX(1,D514)),0), FactorTable!$A$2:$A$301,0), Skills!M14+1)</f>
        <v/>
      </c>
      <c r="F514">
        <f>IF(Skills!N14=TRUE,(Skills!L14/10)*(E514/1000),Skills!L14/10)+Skills!O14</f>
        <v/>
      </c>
      <c r="G514">
        <f>Skills!G14*IF(Skills!H14&gt;0,Skills!I14/Skills!H14,1)</f>
        <v/>
      </c>
      <c r="H514">
        <f>1-(1-Skills!J14/100)^Skills!K14</f>
        <v/>
      </c>
      <c r="I514" t="inlineStr">
        <is>
          <t>1</t>
        </is>
      </c>
      <c r="J514" t="inlineStr"/>
      <c r="K514" t="inlineStr"/>
      <c r="L514" t="inlineStr"/>
      <c r="M514" t="inlineStr"/>
      <c r="N514" t="inlineStr"/>
      <c r="O514">
        <f>(1-Summary!$B$11)*T514+Summary!$B$11*V514</f>
        <v/>
      </c>
      <c r="P514">
        <f>IF(B536=0,0,O514/B536)</f>
        <v/>
      </c>
      <c r="Q514">
        <f>IFERROR(1/(IF(Inputs!$B$38="pvp",15,MAX(0.1,Skills!D14-IF(Skills!E14=TRUE,Inputs!$B$32,0)))*(1-IF(AND(ArtifactsInput!$M$27,Inputs!$B$4="Chapter Hunt"),CHOOSE(ArtifactsInput!$N$27+1,20,24,28,32,36,40),0)/100)),0)</f>
        <v/>
      </c>
      <c r="R514">
        <f>IF(AND(Inputs!$B$38&lt;&gt;"pvp",Inputs!$B$43&gt;0),IF(Inputs!$B$43&lt;=0,0,(INT(Inputs!$B$43/(IF(Inputs!$B$38="pvp",15,MAX(0.1,Skills!D14-IF(Skills!E14=TRUE,Inputs!$B$32,0)))*(1-IF(AND(ArtifactsInput!$M$27,Inputs!$B$4="Chapter Hunt"),CHOOSE(ArtifactsInput!$N$27+1,20,24,28,32,36,40),0)/100)))+1)),0)</f>
        <v/>
      </c>
      <c r="S514">
        <f>IFERROR(O514/N514,0)</f>
        <v/>
      </c>
      <c r="T514" t="n">
        <v>0</v>
      </c>
      <c r="V514" t="n">
        <v>0</v>
      </c>
    </row>
    <row r="515">
      <c r="A515">
        <f>Skills!A15</f>
        <v/>
      </c>
      <c r="B515">
        <f>Skills!B15</f>
        <v/>
      </c>
      <c r="C515">
        <f>Inputs!$B$3&gt;=115</f>
        <v/>
      </c>
      <c r="D515">
        <f>IF(Skills!C15=1,60+Inputs!$B$25+Inputs!$B$29,IF(Skills!C15=2,90+Inputs!$B$26+Inputs!$B$29,IF(Skills!C15=3,120+Inputs!$B$27+Inputs!$B$29,MAX(0,(Inputs!$B$3-100)*3)+Inputs!$B$28+Inputs!$B$29)))</f>
        <v/>
      </c>
      <c r="E515">
        <f>INDEX(FactorTable!$B$2:$Y$301, MATCH(ROUND(MIN(300,MAX(1,D515)),0), FactorTable!$A$2:$A$301,0), Skills!M15+1)</f>
        <v/>
      </c>
      <c r="F515">
        <f>IF(Skills!N15=TRUE,(Skills!L15/10)*(E515/1000),Skills!L15/10)+Skills!O15</f>
        <v/>
      </c>
      <c r="G515">
        <f>Skills!G15*IF(Skills!H15&gt;0,Skills!I15/Skills!H15,1)</f>
        <v/>
      </c>
      <c r="H515">
        <f>1-(1-Skills!J15/100)^Skills!K15</f>
        <v/>
      </c>
      <c r="I515" t="inlineStr">
        <is>
          <t>1</t>
        </is>
      </c>
      <c r="J515" t="inlineStr"/>
      <c r="K515" t="inlineStr"/>
      <c r="L515" t="inlineStr"/>
      <c r="M515" t="inlineStr"/>
      <c r="N515" t="inlineStr"/>
      <c r="O515">
        <f>(1-Summary!$B$11)*T515+Summary!$B$11*V515</f>
        <v/>
      </c>
      <c r="P515">
        <f>IF(B536=0,0,O515/B536)</f>
        <v/>
      </c>
      <c r="Q515">
        <f>IFERROR(1/(IF(Inputs!$B$38="pvp",15,MAX(0.1,Skills!D15-IF(Skills!E15=TRUE,Inputs!$B$32,0)))*(1-IF(AND(ArtifactsInput!$M$27,Inputs!$B$4="Chapter Hunt"),CHOOSE(ArtifactsInput!$N$27+1,20,24,28,32,36,40),0)/100)),0)</f>
        <v/>
      </c>
      <c r="R515">
        <f>IF(AND(Inputs!$B$38&lt;&gt;"pvp",Inputs!$B$43&gt;0),IF(Inputs!$B$43&lt;=0,0,(INT(Inputs!$B$43/(IF(Inputs!$B$38="pvp",15,MAX(0.1,Skills!D15-IF(Skills!E15=TRUE,Inputs!$B$32,0)))*(1-IF(AND(ArtifactsInput!$M$27,Inputs!$B$4="Chapter Hunt"),CHOOSE(ArtifactsInput!$N$27+1,20,24,28,32,36,40),0)/100)))+1)),0)</f>
        <v/>
      </c>
      <c r="S515">
        <f>IFERROR(O515/N515,0)</f>
        <v/>
      </c>
      <c r="T515" t="n">
        <v>0</v>
      </c>
      <c r="V515" t="n">
        <v>0</v>
      </c>
    </row>
    <row r="516">
      <c r="A516">
        <f>Skills!A16</f>
        <v/>
      </c>
      <c r="B516">
        <f>Skills!B16</f>
        <v/>
      </c>
      <c r="C516">
        <f>Inputs!$B$3&gt;=15</f>
        <v/>
      </c>
      <c r="D516">
        <f>IF(Skills!C16=1,60+Inputs!$B$25+Inputs!$B$29,IF(Skills!C16=2,90+Inputs!$B$26+Inputs!$B$29,IF(Skills!C16=3,120+Inputs!$B$27+Inputs!$B$29,MAX(0,(Inputs!$B$3-100)*3)+Inputs!$B$28+Inputs!$B$29)))</f>
        <v/>
      </c>
      <c r="E516">
        <f>INDEX(FactorTable!$B$2:$Y$301, MATCH(ROUND(MIN(300,MAX(1,D516)),0), FactorTable!$A$2:$A$301,0), Skills!M16+1)</f>
        <v/>
      </c>
      <c r="F516">
        <f>IF(Skills!N16=TRUE,(Skills!L16/10)*(E516/1000),Skills!L16/10)+Skills!O16</f>
        <v/>
      </c>
      <c r="G516">
        <f>Skills!G16*IF(Skills!H16&gt;0,Skills!I16/Skills!H16,1)</f>
        <v/>
      </c>
      <c r="H516">
        <f>1-(1-Skills!J16/100)^Skills!K16</f>
        <v/>
      </c>
      <c r="I516" t="inlineStr">
        <is>
          <t>1</t>
        </is>
      </c>
      <c r="J516" t="inlineStr"/>
      <c r="K516" t="inlineStr"/>
      <c r="L516" t="inlineStr"/>
      <c r="M516" t="inlineStr"/>
      <c r="N516" t="inlineStr"/>
      <c r="O516">
        <f>(1-Summary!$B$11)*T516+Summary!$B$11*V516</f>
        <v/>
      </c>
      <c r="P516">
        <f>IF(B536=0,0,O516/B536)</f>
        <v/>
      </c>
      <c r="Q516" t="n">
        <v>0</v>
      </c>
      <c r="R516" t="n">
        <v>0</v>
      </c>
      <c r="S516">
        <f>IFERROR(O516/N516,0)</f>
        <v/>
      </c>
      <c r="T516" t="n">
        <v>0</v>
      </c>
      <c r="V516" t="n">
        <v>0</v>
      </c>
    </row>
    <row r="517">
      <c r="A517">
        <f>Skills!A17</f>
        <v/>
      </c>
      <c r="B517">
        <f>Skills!B17</f>
        <v/>
      </c>
      <c r="C517">
        <f>Inputs!$B$3&gt;=10</f>
        <v/>
      </c>
      <c r="D517">
        <f>IF(Skills!C17=1,60+Inputs!$B$25+Inputs!$B$29,IF(Skills!C17=2,90+Inputs!$B$26+Inputs!$B$29,IF(Skills!C17=3,120+Inputs!$B$27+Inputs!$B$29,MAX(0,(Inputs!$B$3-100)*3)+Inputs!$B$28+Inputs!$B$29)))</f>
        <v/>
      </c>
      <c r="E517">
        <f>INDEX(FactorTable!$B$2:$Y$301, MATCH(ROUND(MIN(300,MAX(1,D517)),0), FactorTable!$A$2:$A$301,0), Skills!M17+1)</f>
        <v/>
      </c>
      <c r="F517">
        <f>IF(Skills!N17=TRUE,(Skills!L17/10)*(E517/1000),Skills!L17/10)+Skills!O17</f>
        <v/>
      </c>
      <c r="G517">
        <f>Skills!G17*IF(Skills!H17&gt;0,Skills!I17/Skills!H17,1)</f>
        <v/>
      </c>
      <c r="H517">
        <f>1-(1-Skills!J17/100)^Skills!K17</f>
        <v/>
      </c>
      <c r="I517" t="inlineStr">
        <is>
          <t>1</t>
        </is>
      </c>
      <c r="J517" t="inlineStr"/>
      <c r="K517" t="inlineStr"/>
      <c r="L517" t="inlineStr"/>
      <c r="M517" t="inlineStr"/>
      <c r="N517" t="inlineStr"/>
      <c r="O517">
        <f>(1-Summary!$B$11)*T517+Summary!$B$11*V517</f>
        <v/>
      </c>
      <c r="P517">
        <f>IF(B536=0,0,O517/B536)</f>
        <v/>
      </c>
      <c r="Q517" t="n">
        <v>0</v>
      </c>
      <c r="R517" t="n">
        <v>0</v>
      </c>
      <c r="S517">
        <f>IFERROR(O517/N517,0)</f>
        <v/>
      </c>
      <c r="T517" t="n">
        <v>0</v>
      </c>
      <c r="V517" t="n">
        <v>0</v>
      </c>
    </row>
    <row r="518">
      <c r="A518">
        <f>Skills!A18</f>
        <v/>
      </c>
      <c r="B518">
        <f>Skills!B18</f>
        <v/>
      </c>
      <c r="C518">
        <f>Inputs!$B$3&gt;=33</f>
        <v/>
      </c>
      <c r="D518">
        <f>IF(Skills!C18=1,60+Inputs!$B$25+Inputs!$B$29,IF(Skills!C18=2,90+Inputs!$B$26+Inputs!$B$29,IF(Skills!C18=3,120+Inputs!$B$27+Inputs!$B$29,MAX(0,(Inputs!$B$3-100)*3)+Inputs!$B$28+Inputs!$B$29)))</f>
        <v/>
      </c>
      <c r="E518">
        <f>INDEX(FactorTable!$B$2:$Y$301, MATCH(ROUND(MIN(300,MAX(1,D518)),0), FactorTable!$A$2:$A$301,0), Skills!M18+1)</f>
        <v/>
      </c>
      <c r="F518">
        <f>IF(Skills!N18=TRUE,(Skills!L18/10)*(E518/1000),Skills!L18/10)+Skills!O18</f>
        <v/>
      </c>
      <c r="G518">
        <f>Skills!G18*IF(Skills!H18&gt;0,Skills!I18/Skills!H18,1)</f>
        <v/>
      </c>
      <c r="H518">
        <f>1-(1-Skills!J18/100)^Skills!K18</f>
        <v/>
      </c>
      <c r="I518" t="inlineStr">
        <is>
          <t>1</t>
        </is>
      </c>
      <c r="J518" t="inlineStr"/>
      <c r="K518" t="inlineStr"/>
      <c r="L518" t="inlineStr"/>
      <c r="M518" t="inlineStr"/>
      <c r="N518" t="inlineStr"/>
      <c r="O518">
        <f>(1-Summary!$B$11)*T518+Summary!$B$11*V518</f>
        <v/>
      </c>
      <c r="P518">
        <f>IF(B536=0,0,O518/B536)</f>
        <v/>
      </c>
      <c r="Q518" t="n">
        <v>0</v>
      </c>
      <c r="R518" t="n">
        <v>0</v>
      </c>
      <c r="S518">
        <f>IFERROR(O518/N518,0)</f>
        <v/>
      </c>
      <c r="T518" t="n">
        <v>0</v>
      </c>
      <c r="V518" t="n">
        <v>0</v>
      </c>
    </row>
    <row r="519">
      <c r="A519">
        <f>Skills!A19</f>
        <v/>
      </c>
      <c r="B519">
        <f>Skills!B19</f>
        <v/>
      </c>
      <c r="C519">
        <f>Inputs!$B$3&gt;=40</f>
        <v/>
      </c>
      <c r="D519">
        <f>IF(Skills!C19=1,60+Inputs!$B$25+Inputs!$B$29,IF(Skills!C19=2,90+Inputs!$B$26+Inputs!$B$29,IF(Skills!C19=3,120+Inputs!$B$27+Inputs!$B$29,MAX(0,(Inputs!$B$3-100)*3)+Inputs!$B$28+Inputs!$B$29)))</f>
        <v/>
      </c>
      <c r="E519">
        <f>INDEX(FactorTable!$B$2:$Y$301, MATCH(ROUND(MIN(300,MAX(1,D519)),0), FactorTable!$A$2:$A$301,0), Skills!M19+1)</f>
        <v/>
      </c>
      <c r="F519">
        <f>IF(Skills!N19=TRUE,(Skills!L19/10)*(E519/1000),Skills!L19/10)+Skills!O19</f>
        <v/>
      </c>
      <c r="G519">
        <f>Skills!G19*IF(Skills!H19&gt;0,Skills!I19/Skills!H19,1)</f>
        <v/>
      </c>
      <c r="H519">
        <f>1-(1-Skills!J19/100)^Skills!K19</f>
        <v/>
      </c>
      <c r="I519" t="inlineStr">
        <is>
          <t>1</t>
        </is>
      </c>
      <c r="J519" t="inlineStr"/>
      <c r="K519" t="inlineStr"/>
      <c r="L519" t="inlineStr"/>
      <c r="M519" t="inlineStr"/>
      <c r="N519" t="inlineStr"/>
      <c r="O519">
        <f>(1-Summary!$B$11)*T519+Summary!$B$11*V519</f>
        <v/>
      </c>
      <c r="P519">
        <f>IF(B536=0,0,O519/B536)</f>
        <v/>
      </c>
      <c r="Q519" t="n">
        <v>0</v>
      </c>
      <c r="R519" t="n">
        <v>0</v>
      </c>
      <c r="S519">
        <f>IFERROR(O519/N519,0)</f>
        <v/>
      </c>
      <c r="T519" t="n">
        <v>0</v>
      </c>
      <c r="V519" t="n">
        <v>0</v>
      </c>
    </row>
    <row r="520">
      <c r="A520">
        <f>Skills!A20</f>
        <v/>
      </c>
      <c r="B520">
        <f>Skills!B20</f>
        <v/>
      </c>
      <c r="C520">
        <f>Inputs!$B$3&gt;=43</f>
        <v/>
      </c>
      <c r="D520">
        <f>IF(Skills!C20=1,60+Inputs!$B$25+Inputs!$B$29,IF(Skills!C20=2,90+Inputs!$B$26+Inputs!$B$29,IF(Skills!C20=3,120+Inputs!$B$27+Inputs!$B$29,MAX(0,(Inputs!$B$3-100)*3)+Inputs!$B$28+Inputs!$B$29)))</f>
        <v/>
      </c>
      <c r="E520">
        <f>INDEX(FactorTable!$B$2:$Y$301, MATCH(ROUND(MIN(300,MAX(1,D520)),0), FactorTable!$A$2:$A$301,0), Skills!M20+1)</f>
        <v/>
      </c>
      <c r="F520">
        <f>IF(Skills!N20=TRUE,(Skills!L20/10)*(E520/1000),Skills!L20/10)+Skills!O20</f>
        <v/>
      </c>
      <c r="G520">
        <f>Skills!G20*IF(Skills!H20&gt;0,Skills!I20/Skills!H20,1)</f>
        <v/>
      </c>
      <c r="H520">
        <f>1-(1-Skills!J20/100)^Skills!K20</f>
        <v/>
      </c>
      <c r="I520" t="inlineStr">
        <is>
          <t>1</t>
        </is>
      </c>
      <c r="J520" t="inlineStr"/>
      <c r="K520" t="inlineStr"/>
      <c r="L520" t="inlineStr"/>
      <c r="M520" t="inlineStr"/>
      <c r="N520" t="inlineStr"/>
      <c r="O520">
        <f>(1-Summary!$B$11)*T520+Summary!$B$11*V520</f>
        <v/>
      </c>
      <c r="P520">
        <f>IF(B536=0,0,O520/B536)</f>
        <v/>
      </c>
      <c r="Q520" t="n">
        <v>0</v>
      </c>
      <c r="R520" t="n">
        <v>0</v>
      </c>
      <c r="S520">
        <f>IFERROR(O520/N520,0)</f>
        <v/>
      </c>
      <c r="T520" t="n">
        <v>0</v>
      </c>
      <c r="V520" t="n">
        <v>0</v>
      </c>
    </row>
    <row r="521">
      <c r="A521">
        <f>Skills!A21</f>
        <v/>
      </c>
      <c r="B521">
        <f>Skills!B21</f>
        <v/>
      </c>
      <c r="C521">
        <f>Inputs!$B$3&gt;=38</f>
        <v/>
      </c>
      <c r="D521">
        <f>IF(Skills!C21=1,60+Inputs!$B$25+Inputs!$B$29,IF(Skills!C21=2,90+Inputs!$B$26+Inputs!$B$29,IF(Skills!C21=3,120+Inputs!$B$27+Inputs!$B$29,MAX(0,(Inputs!$B$3-100)*3)+Inputs!$B$28+Inputs!$B$29)))</f>
        <v/>
      </c>
      <c r="E521">
        <f>INDEX(FactorTable!$B$2:$Y$301, MATCH(ROUND(MIN(300,MAX(1,D521)),0), FactorTable!$A$2:$A$301,0), Skills!M21+1)</f>
        <v/>
      </c>
      <c r="F521">
        <f>IF(Skills!N21=TRUE,(Skills!L21/10)*(E521/1000),Skills!L21/10)+Skills!O21</f>
        <v/>
      </c>
      <c r="G521">
        <f>Skills!G21*IF(Skills!H21&gt;0,Skills!I21/Skills!H21,1)</f>
        <v/>
      </c>
      <c r="H521">
        <f>1-(1-Skills!J21/100)^Skills!K21</f>
        <v/>
      </c>
      <c r="I521" t="inlineStr">
        <is>
          <t>1</t>
        </is>
      </c>
      <c r="J521" t="inlineStr"/>
      <c r="K521" t="inlineStr"/>
      <c r="L521" t="inlineStr"/>
      <c r="M521" t="inlineStr"/>
      <c r="N521" t="inlineStr"/>
      <c r="O521">
        <f>(1-Summary!$B$11)*T521+Summary!$B$11*V521</f>
        <v/>
      </c>
      <c r="P521">
        <f>IF(B536=0,0,O521/B536)</f>
        <v/>
      </c>
      <c r="Q521" t="n">
        <v>0</v>
      </c>
      <c r="R521" t="n">
        <v>0</v>
      </c>
      <c r="S521">
        <f>IFERROR(O521/N521,0)</f>
        <v/>
      </c>
      <c r="T521" t="n">
        <v>0</v>
      </c>
      <c r="V521" t="n">
        <v>0</v>
      </c>
    </row>
    <row r="522">
      <c r="A522">
        <f>Skills!A22</f>
        <v/>
      </c>
      <c r="B522">
        <f>Skills!B22</f>
        <v/>
      </c>
      <c r="C522">
        <f>Inputs!$B$3&gt;=75</f>
        <v/>
      </c>
      <c r="D522">
        <f>IF(Skills!C22=1,60+Inputs!$B$25+Inputs!$B$29,IF(Skills!C22=2,90+Inputs!$B$26+Inputs!$B$29,IF(Skills!C22=3,120+Inputs!$B$27+Inputs!$B$29,MAX(0,(Inputs!$B$3-100)*3)+Inputs!$B$28+Inputs!$B$29)))</f>
        <v/>
      </c>
      <c r="E522">
        <f>INDEX(FactorTable!$B$2:$Y$301, MATCH(ROUND(MIN(300,MAX(1,D522)),0), FactorTable!$A$2:$A$301,0), Skills!M22+1)</f>
        <v/>
      </c>
      <c r="F522">
        <f>IF(Skills!N22=TRUE,(Skills!L22/10)*(E522/1000),Skills!L22/10)+Skills!O22</f>
        <v/>
      </c>
      <c r="G522">
        <f>Skills!G22*IF(Skills!H22&gt;0,Skills!I22/Skills!H22,1)</f>
        <v/>
      </c>
      <c r="H522">
        <f>1-(1-Skills!J22/100)^Skills!K22</f>
        <v/>
      </c>
      <c r="I522" t="inlineStr">
        <is>
          <t>1</t>
        </is>
      </c>
      <c r="J522" t="inlineStr"/>
      <c r="K522" t="inlineStr"/>
      <c r="L522" t="inlineStr"/>
      <c r="M522" t="inlineStr"/>
      <c r="N522" t="inlineStr"/>
      <c r="O522">
        <f>(1-Summary!$B$11)*T522+Summary!$B$11*V522</f>
        <v/>
      </c>
      <c r="P522">
        <f>IF(B536=0,0,O522/B536)</f>
        <v/>
      </c>
      <c r="Q522" t="n">
        <v>0</v>
      </c>
      <c r="R522" t="n">
        <v>0</v>
      </c>
      <c r="S522">
        <f>IFERROR(O522/N522,0)</f>
        <v/>
      </c>
      <c r="T522" t="n">
        <v>0</v>
      </c>
      <c r="V522" t="n">
        <v>0</v>
      </c>
    </row>
    <row r="523">
      <c r="A523">
        <f>Skills!A23</f>
        <v/>
      </c>
      <c r="B523">
        <f>Skills!B23</f>
        <v/>
      </c>
      <c r="C523">
        <f>TRUE</f>
        <v/>
      </c>
      <c r="D523">
        <f>IF(Skills!C23=1,60+Inputs!$B$25+Inputs!$B$29,IF(Skills!C23=2,90+Inputs!$B$26+Inputs!$B$29,IF(Skills!C23=3,120+Inputs!$B$27+Inputs!$B$29,MAX(0,(Inputs!$B$3-100)*3)+Inputs!$B$28+Inputs!$B$29)))</f>
        <v/>
      </c>
      <c r="E523">
        <f>INDEX(FactorTable!$B$2:$Y$301, MATCH(ROUND(MIN(300,MAX(1,D523)),0), FactorTable!$A$2:$A$301,0), Skills!M23+1)</f>
        <v/>
      </c>
      <c r="F523">
        <f>IF(Skills!N23=TRUE,(Skills!L23/10)*(E523/1000),Skills!L23/10)+Skills!O23</f>
        <v/>
      </c>
      <c r="G523">
        <f>Skills!G23*IF(Skills!H23&gt;0,Skills!I23/Skills!H23,1)</f>
        <v/>
      </c>
      <c r="H523">
        <f>1-(1-Skills!J23/100)^Skills!K23</f>
        <v/>
      </c>
      <c r="I523" t="inlineStr">
        <is>
          <t>1</t>
        </is>
      </c>
      <c r="J523" t="inlineStr"/>
      <c r="K523" t="inlineStr"/>
      <c r="L523" t="inlineStr"/>
      <c r="M523" t="inlineStr"/>
      <c r="N523" t="inlineStr"/>
      <c r="O523">
        <f>(1-Summary!$B$11)*T523+Summary!$B$11*V523</f>
        <v/>
      </c>
      <c r="P523">
        <f>IF(B536=0,0,O523/B536)</f>
        <v/>
      </c>
      <c r="Q523">
        <f>IFERROR(1/(IF(Inputs!$B$38="pvp",15,MAX(0.1,Skills!D23-IF(Skills!E23=TRUE,Inputs!$B$32,0)))*(1-IF(AND(ArtifactsInput!$M$27,Inputs!$B$4="Chapter Hunt"),CHOOSE(ArtifactsInput!$N$27+1,20,24,28,32,36,40),0)/100)),0)</f>
        <v/>
      </c>
      <c r="R523">
        <f>IF(AND(Inputs!$B$38&lt;&gt;"pvp",Inputs!$B$43&gt;0),IF(Inputs!$B$43&lt;=0,0,(INT(Inputs!$B$43/(IF(Inputs!$B$38="pvp",15,MAX(0.1,Skills!D23-IF(Skills!E23=TRUE,Inputs!$B$32,0)))*(1-IF(AND(ArtifactsInput!$M$27,Inputs!$B$4="Chapter Hunt"),CHOOSE(ArtifactsInput!$N$27+1,20,24,28,32,36,40),0)/100)))+1)),0)</f>
        <v/>
      </c>
      <c r="S523">
        <f>IFERROR(O523/N523,0)</f>
        <v/>
      </c>
      <c r="T523" t="n">
        <v>0</v>
      </c>
      <c r="V523" t="n">
        <v>0</v>
      </c>
    </row>
    <row r="525">
      <c r="A525" t="inlineStr">
        <is>
          <t>Attack% Bucket Multiplier</t>
        </is>
      </c>
      <c r="B525">
        <f>(1+(((C513=TRUE)*F513*5/7)+((C519=TRUE)*(F519-Calc!F19))+(IF(ArtifactsInput!$M$21,CHOOSE(ArtifactsInput!$N$21+1,25,30,35,40,45,50)*(IF(OR(Inputs!$B$4="Chapter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26">
      <c r="A526" t="inlineStr">
        <is>
          <t>Global Crit Rate Bonus %</t>
        </is>
      </c>
      <c r="B526" t="n">
        <v>0</v>
      </c>
    </row>
    <row r="527">
      <c r="A527" t="inlineStr">
        <is>
          <t>Attack Speed Buff Bonus % (Nimble Feet, duty-cycle averaged)</t>
        </is>
      </c>
      <c r="B527">
        <f>((C523=TRUE)*F523*IF(AND(Inputs!$B$38&lt;&gt;"pvp",Inputs!$B$43&gt;0),(((R523-1)*(Skills!T23*(1+Inputs!$B$34/100))+MIN((Skills!T23*(1+Inputs!$B$34/100)),MAX(0,Inputs!$B$43-((R523-1)*Skills!D23))))/Inputs!$B$43),IF(Inputs!$B$38="pvp",MIN((Skills!T23*(1+Inputs!$B$34/100)),15)/15,(Skills!T23*(1+Inputs!$B$34/100))/Skills!D23)))</f>
        <v/>
      </c>
    </row>
    <row r="528">
      <c r="A528" t="inlineStr">
        <is>
          <t>Actions Per Second</t>
        </is>
      </c>
      <c r="B528">
        <f>1+MIN(150,150*(1-(1-(Inputs!$B$11+((C517=TRUE)*(F517-Calc!F17))+((C518=TRUE)*(F518-Calc!F18)))/150)*(1-B527/150)))/100</f>
        <v/>
      </c>
    </row>
    <row r="529">
      <c r="A529" t="inlineStr">
        <is>
          <t>Skill + Buff Cast Rate</t>
        </is>
      </c>
      <c r="B529">
        <f>IF(AND(Inputs!$B$38&lt;&gt;"pvp",Inputs!$B$43&gt;0),SUMPRODUCT((Skills!E2:E23=TRUE)*(C502:C523=TRUE)*R502:R523*Skills!F2:F23)/Inputs!$B$43,SUMPRODUCT((Skills!E2:E23=TRUE)*(C502:C523=TRUE)*Q502:Q523*Skills!F2:F23))</f>
        <v/>
      </c>
    </row>
    <row r="530">
      <c r="A530" t="inlineStr">
        <is>
          <t>Hook Bomber Casts Per Second</t>
        </is>
      </c>
      <c r="B530">
        <f>MAX(0,B528-B529)</f>
        <v/>
      </c>
    </row>
    <row r="531">
      <c r="A531" t="inlineStr">
        <is>
          <t>Global Critical Damage Bonus % (unused)</t>
        </is>
      </c>
      <c r="B531" t="n">
        <v>0</v>
      </c>
    </row>
    <row r="532">
      <c r="A532" t="inlineStr">
        <is>
          <t>Global Final Damage Bonus % (Serpent Scale + Crossbones + Time Leap + Speed Infusion)</t>
        </is>
      </c>
      <c r="B532">
        <f>((C505=TRUE)*F505*((10+IF(Inputs!$B$3&gt;=94,5,0))/((10+IF(Inputs!$B$3&gt;=94,5,0))+5/(B530*(1+IF(Inputs!$B$3&gt;=104,1,0))))))+((C514=TRUE)*F514*IF(AND(Inputs!$B$38&lt;&gt;"pvp",Inputs!$B$43&gt;0),(((R514-1)*(Skills!T14*(1+Inputs!$B$34/100))+MIN((Skills!T14*(1+Inputs!$B$34/100)),MAX(0,Inputs!$B$43-((R514-1)*Skills!D14))))/Inputs!$B$43),IF(Inputs!$B$38="pvp",MIN((Skills!T14*(1+Inputs!$B$34/100)),15)/15,(Skills!T14*(1+Inputs!$B$34/100))/Skills!D14)))+((C515=TRUE)*F515*IF(AND(Inputs!$B$38&lt;&gt;"pvp",Inputs!$B$43&gt;0),(((R515-1)*(Skills!T15*(1+Inputs!$B$34/100))+MIN((Skills!T15*(1+Inputs!$B$34/100)),MAX(0,Inputs!$B$43-((R515-1)*Skills!D15))))/Inputs!$B$43),IF(Inputs!$B$38="pvp",MIN((Skills!T15*(1+Inputs!$B$34/100)),15)/15,(Skills!T15*(1+Inputs!$B$34/100))/Skills!D15)))+((Inputs!$B$3&gt;=110)*20*(B528-1)*IF(Inputs!$B$38="pvp",MIN((15*(1+Inputs!$B$34/100)),15)/15,(15*(1+Inputs!$B$34/100))/35))</f>
        <v/>
      </c>
    </row>
    <row r="533">
      <c r="A533" t="inlineStr">
        <is>
          <t>Buff-Casting Startup Delay (s, fixed-duration only)</t>
        </is>
      </c>
      <c r="B533">
        <f>IF(AND(Inputs!$B$38&lt;&gt;"pvp",Inputs!$B$43&gt;0),SUMPRODUCT((Skills!T2:T23&gt;0)*(Skills!E2:E23=TRUE)*(C502:C523=TRUE))/B528,0)</f>
        <v/>
      </c>
    </row>
    <row r="534">
      <c r="A534" t="inlineStr">
        <is>
          <t>Boss-Only Total DPS (this block's swept value)</t>
        </is>
      </c>
      <c r="B534">
        <f>SUM(T502:T523)</f>
        <v/>
      </c>
    </row>
    <row r="535">
      <c r="A535" t="inlineStr">
        <is>
          <t>Normal-Only Total DPS (this block's swept value)</t>
        </is>
      </c>
      <c r="B535">
        <f>SUM(V502:V523)</f>
        <v/>
      </c>
    </row>
    <row r="536">
      <c r="A536" s="6" t="inlineStr">
        <is>
          <t>TOTAL DPS</t>
        </is>
      </c>
      <c r="B536" s="6">
        <f>SUM(O502:O523)</f>
        <v/>
      </c>
    </row>
    <row r="539">
      <c r="A539" s="6" t="inlineStr">
        <is>
          <t>Stat: ATTACK_SPEED % (diminishing returns, factor 150)</t>
        </is>
      </c>
    </row>
    <row r="540">
      <c r="A540" s="5" t="inlineStr">
        <is>
          <t>Key</t>
        </is>
      </c>
      <c r="B540" s="5" t="inlineStr">
        <is>
          <t>Name</t>
        </is>
      </c>
      <c r="C540" s="5" t="inlineStr">
        <is>
          <t>Unlocked</t>
        </is>
      </c>
      <c r="D540" s="5" t="inlineStr">
        <is>
          <t>InputLevel</t>
        </is>
      </c>
      <c r="E540" s="5" t="inlineStr">
        <is>
          <t>Factor</t>
        </is>
      </c>
      <c r="F540" s="5" t="inlineStr">
        <is>
          <t>CoefficientPercent</t>
        </is>
      </c>
      <c r="G540" s="5" t="inlineStr">
        <is>
          <t>EffectiveHits</t>
        </is>
      </c>
      <c r="H540" s="5" t="inlineStr">
        <is>
          <t>ProcProbability</t>
        </is>
      </c>
      <c r="I540" s="5" t="inlineStr">
        <is>
          <t>MapleHeroMultiplier</t>
        </is>
      </c>
      <c r="J540" s="5" t="inlineStr">
        <is>
          <t>BaseDamage</t>
        </is>
      </c>
      <c r="K540" s="5" t="inlineStr">
        <is>
          <t>BaseHitDamage</t>
        </is>
      </c>
      <c r="L540" s="5" t="inlineStr">
        <is>
          <t>NonCritAvg</t>
        </is>
      </c>
      <c r="M540" s="5" t="inlineStr">
        <is>
          <t>CritAvg</t>
        </is>
      </c>
      <c r="N540" s="5" t="inlineStr">
        <is>
          <t>ExpectedDamage(perHit)</t>
        </is>
      </c>
      <c r="O540" s="5" t="inlineStr">
        <is>
          <t>DPS</t>
        </is>
      </c>
      <c r="P540" s="5" t="inlineStr">
        <is>
          <t>% of Total</t>
        </is>
      </c>
      <c r="Q540" s="5" t="inlineStr">
        <is>
          <t>InvCooldown</t>
        </is>
      </c>
      <c r="R540" s="5" t="inlineStr">
        <is>
          <t>CastsInFight</t>
        </is>
      </c>
      <c r="S540" s="5" t="inlineStr">
        <is>
          <t>HitRate(perSec)</t>
        </is>
      </c>
      <c r="U540" t="inlineStr">
        <is>
          <t>helpers</t>
        </is>
      </c>
    </row>
    <row r="541">
      <c r="A541">
        <f>Skills!A2</f>
        <v/>
      </c>
      <c r="B541">
        <f>Skills!B2</f>
        <v/>
      </c>
      <c r="C541">
        <f>Inputs!$B$3&gt;=100</f>
        <v/>
      </c>
      <c r="D541" t="inlineStr"/>
      <c r="E541" t="inlineStr"/>
      <c r="F541">
        <f>U543+Skills!O2</f>
        <v/>
      </c>
      <c r="G541">
        <f>Skills!G2*IF(Skills!H2&gt;0,Skills!I2/Skills!H2,1)</f>
        <v/>
      </c>
      <c r="H541">
        <f>1-(1-Skills!J2/100)^Skills!K2</f>
        <v/>
      </c>
      <c r="I541" t="inlineStr">
        <is>
          <t>1</t>
        </is>
      </c>
      <c r="J541">
        <f>((Inputs!$B$6*(1+Inputs!$B$7/100))+(((Inputs!$B$12*(1+Inputs!$B$13/100))-(Inputs!$B$12*(1+Inputs!$B$13/100)))+0.25*(Inputs!$B$14-Inputs!$B$14))*(1+Inputs!$B$7/100))*(F541/100)</f>
        <v/>
      </c>
      <c r="K541">
        <f>J541*(1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541)</f>
        <v/>
      </c>
      <c r="L541">
        <f>K541*(MIN(Inputs!$B$22+((C559=TRUE)*(F559-Calc!F20)),(Inputs!$B$23+0+(IF(ArtifactsInput!$M$15,CHOOSE(ArtifactsInput!$N$15+1,25,30,35,40,45,50)/100*(((1-(1-Inputs!$B$11/150)*(1-1/150))*150)-Inputs!$B$11),0))))/100+(Inputs!$B$23+0+(IF(ArtifactsInput!$M$15,CHOOSE(ArtifactsInput!$N$15+1,25,30,35,40,45,50)/100*(((1-(1-Inputs!$B$11/150)*(1-1/150))*150)-Inputs!$B$11),0)))/100)/2</f>
        <v/>
      </c>
      <c r="M541">
        <f>L541*(1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1">
        <f>L541*(1-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1">
        <f>(1-Summary!$B$11)*T541+Summary!$B$11*V541</f>
        <v/>
      </c>
      <c r="P541">
        <f>IF(B575=0,0,O541/B575)</f>
        <v/>
      </c>
      <c r="Q541" t="n">
        <v>0</v>
      </c>
      <c r="R541" t="n">
        <v>0</v>
      </c>
      <c r="S541">
        <f>IFERROR(O541/N541,0)</f>
        <v/>
      </c>
      <c r="T541">
        <f>IF(C541,(Skills!G2*N541*B569)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541*(1-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541*(1-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1">
        <f>MAX(0,(Inputs!$B$3-100)*3)+Inputs!$B$28+Inputs!$B$29</f>
        <v/>
      </c>
      <c r="V541">
        <f>IF(C541,(Skills!G2*N541*B569)*IF(Inputs!$B$38="pvp",1,(1+(Inputs!$B$21+Skills!Q2+(IF(ArtifactsInput!$M$33,CHOOSE(ArtifactsInput!$N$33+1,30,36,42,48,54,60),0))+(IF(AND(ArtifactsInput!$M$35,Inputs!$B$4&lt;&gt;"Chapter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2">
      <c r="A542">
        <f>Skills!A3</f>
        <v/>
      </c>
      <c r="B542">
        <f>Skills!B3</f>
        <v/>
      </c>
      <c r="C542">
        <f>Inputs!$B$3&gt;=35</f>
        <v/>
      </c>
      <c r="D542">
        <f>IF(Skills!C3=1,60+Inputs!$B$25+Inputs!$B$29,IF(Skills!C3=2,90+Inputs!$B$26+Inputs!$B$29,IF(Skills!C3=3,120+Inputs!$B$27+Inputs!$B$29,MAX(0,(Inputs!$B$3-100)*3)+Inputs!$B$28+Inputs!$B$29)))</f>
        <v/>
      </c>
      <c r="E542">
        <f>INDEX(FactorTable!$B$2:$Y$301, MATCH(ROUND(MIN(300,MAX(1,D542)),0), FactorTable!$A$2:$A$301,0), Skills!M3+1)</f>
        <v/>
      </c>
      <c r="F542">
        <f>IF(Skills!N3=TRUE,(Skills!L3/10)*(E542/1000),Skills!L3/10)+Skills!O3</f>
        <v/>
      </c>
      <c r="G542">
        <f>Skills!G3*IF(Skills!H3&gt;0,Skills!I3/Skills!H3,1)</f>
        <v/>
      </c>
      <c r="H542">
        <f>1-(1-Skills!J3/100)^Skills!K3</f>
        <v/>
      </c>
      <c r="I542" t="inlineStr">
        <is>
          <t>1</t>
        </is>
      </c>
      <c r="J542">
        <f>((Inputs!$B$6*(1+Inputs!$B$7/100))+(((Inputs!$B$12*(1+Inputs!$B$13/100))-(Inputs!$B$12*(1+Inputs!$B$13/100)))+0.25*(Inputs!$B$14-Inputs!$B$14))*(1+Inputs!$B$7/100))*(F542/100)</f>
        <v/>
      </c>
      <c r="K542">
        <f>J542*(1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3="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542)</f>
        <v/>
      </c>
      <c r="L542">
        <f>K542*(MIN(Inputs!$B$22+((C559=TRUE)*(F559-Calc!F20)),(Inputs!$B$23+0+(IF(ArtifactsInput!$M$15,CHOOSE(ArtifactsInput!$N$15+1,25,30,35,40,45,50)/100*(((1-(1-Inputs!$B$11/150)*(1-1/150))*150)-Inputs!$B$11),0))))/100+(Inputs!$B$23+0+(IF(ArtifactsInput!$M$15,CHOOSE(ArtifactsInput!$N$15+1,25,30,35,40,45,50)/100*(((1-(1-Inputs!$B$11/150)*(1-1/150))*150)-Inputs!$B$11),0)))/100)/2</f>
        <v/>
      </c>
      <c r="M542">
        <f>L542*(1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2">
        <f>L542*(1-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542*(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2">
        <f>(1-Summary!$B$11)*T542+Summary!$B$11*V542</f>
        <v/>
      </c>
      <c r="P542">
        <f>IF(B575=0,0,O542/B575)</f>
        <v/>
      </c>
      <c r="Q542" t="n">
        <v>0</v>
      </c>
      <c r="R542" t="n">
        <v>0</v>
      </c>
      <c r="S542">
        <f>IFERROR(O542/N542,0)</f>
        <v/>
      </c>
      <c r="T542">
        <f>IF(C542,(Skills!G3*H542*N542*B569)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542*(1-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542*(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542*(1-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542*(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2">
        <f>INDEX(FactorTable!$B$2:$Y$301, MATCH(ROUND(MIN(300,MAX(1,U541)),0), FactorTable!$A$2:$A$301,0), 22)</f>
        <v/>
      </c>
      <c r="V542">
        <f>IF(C542,(Skills!G3*H542*N542*B569)*IF(Inputs!$B$38="pvp",1,(1+(Inputs!$B$21+Skills!Q3+(IF(ArtifactsInput!$M$33,CHOOSE(ArtifactsInput!$N$33+1,30,36,42,48,54,60),0))+(IF(AND(ArtifactsInput!$M$35,Inputs!$B$4&lt;&gt;"Chapter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3">
      <c r="A543">
        <f>Skills!A4</f>
        <v/>
      </c>
      <c r="B543">
        <f>Skills!B4</f>
        <v/>
      </c>
      <c r="C543">
        <f>Inputs!$B$3&gt;=60</f>
        <v/>
      </c>
      <c r="D543">
        <f>IF(Skills!C4=1,60+Inputs!$B$25+Inputs!$B$29,IF(Skills!C4=2,90+Inputs!$B$26+Inputs!$B$29,IF(Skills!C4=3,120+Inputs!$B$27+Inputs!$B$29,MAX(0,(Inputs!$B$3-100)*3)+Inputs!$B$28+Inputs!$B$29)))</f>
        <v/>
      </c>
      <c r="E543">
        <f>INDEX(FactorTable!$B$2:$Y$301, MATCH(ROUND(MIN(300,MAX(1,D543)),0), FactorTable!$A$2:$A$301,0), Skills!M4+1)</f>
        <v/>
      </c>
      <c r="F543">
        <f>IF(Skills!N4=TRUE,(Skills!L4/10)*(E543/1000),Skills!L4/10)+Skills!O4</f>
        <v/>
      </c>
      <c r="G543">
        <f>Skills!G4*IF(Skills!H4&gt;0,Skills!I4/Skills!H4,1)</f>
        <v/>
      </c>
      <c r="H543">
        <f>1-(1-Skills!J4/100)^Skills!K4</f>
        <v/>
      </c>
      <c r="I543" t="inlineStr">
        <is>
          <t>1</t>
        </is>
      </c>
      <c r="J543">
        <f>((Inputs!$B$6*(1+Inputs!$B$7/100))+(((Inputs!$B$12*(1+Inputs!$B$13/100))-(Inputs!$B$12*(1+Inputs!$B$13/100)))+0.25*(Inputs!$B$14-Inputs!$B$14))*(1+Inputs!$B$7/100))*(F543/100)</f>
        <v/>
      </c>
      <c r="K543">
        <f>J543*(1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551=TRUE,F551,0)/100)*(1+(IF(Skills!A4="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543)</f>
        <v/>
      </c>
      <c r="L543">
        <f>K543*(MIN(Inputs!$B$22+((C559=TRUE)*(F559-Calc!F20)),(Inputs!$B$23+0+(IF(ArtifactsInput!$M$15,CHOOSE(ArtifactsInput!$N$15+1,25,30,35,40,45,50)/100*(((1-(1-Inputs!$B$11/150)*(1-1/150))*150)-Inputs!$B$11),0))))/100+(Inputs!$B$23+0+(IF(ArtifactsInput!$M$15,CHOOSE(ArtifactsInput!$N$15+1,25,30,35,40,45,50)/100*(((1-(1-Inputs!$B$11/150)*(1-1/150))*150)-Inputs!$B$11),0)))/100)/2</f>
        <v/>
      </c>
      <c r="M543">
        <f>L543*(1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3">
        <f>L543*(1-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543*(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3">
        <f>(1-Summary!$B$11)*T543+Summary!$B$11*V543</f>
        <v/>
      </c>
      <c r="P543">
        <f>IF(B575=0,0,O543/B575)</f>
        <v/>
      </c>
      <c r="Q543" t="n">
        <v>0</v>
      </c>
      <c r="R543" t="n">
        <v>0</v>
      </c>
      <c r="S543">
        <f>IFERROR(O543/N543,0)</f>
        <v/>
      </c>
      <c r="T543">
        <f>IF(C543,(Skills!G4*H543*N543*B569)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543*(1-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543*(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543*(1-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543*(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43">
        <f>290*U542/1000</f>
        <v/>
      </c>
      <c r="V543">
        <f>IF(C543,(Skills!G4*H543*N543*B569)*IF(Inputs!$B$38="pvp",1,(1+(Inputs!$B$21+Skills!Q4+(IF(ArtifactsInput!$M$33,CHOOSE(ArtifactsInput!$N$33+1,30,36,42,48,54,60),0))+(IF(AND(ArtifactsInput!$M$35,Inputs!$B$4&lt;&gt;"Chapter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4">
      <c r="A544">
        <f>Skills!A5</f>
        <v/>
      </c>
      <c r="B544">
        <f>Skills!B5</f>
        <v/>
      </c>
      <c r="C544">
        <f>Inputs!$B$3&gt;=60</f>
        <v/>
      </c>
      <c r="D544">
        <f>IF(Skills!C5=1,60+Inputs!$B$25+Inputs!$B$29,IF(Skills!C5=2,90+Inputs!$B$26+Inputs!$B$29,IF(Skills!C5=3,120+Inputs!$B$27+Inputs!$B$29,MAX(0,(Inputs!$B$3-100)*3)+Inputs!$B$28+Inputs!$B$29)))</f>
        <v/>
      </c>
      <c r="E544">
        <f>INDEX(FactorTable!$B$2:$Y$301, MATCH(ROUND(MIN(300,MAX(1,D544)),0), FactorTable!$A$2:$A$301,0), Skills!M5+1)</f>
        <v/>
      </c>
      <c r="F544">
        <f>IF(Skills!N5=TRUE,(Skills!L5/10)*(E544/1000),Skills!L5/10)+Skills!O5</f>
        <v/>
      </c>
      <c r="G544">
        <f>Skills!G5*IF(Skills!H5&gt;0,Skills!I5/Skills!H5,1)</f>
        <v/>
      </c>
      <c r="H544">
        <f>1-(1-Skills!J5/100)^Skills!K5</f>
        <v/>
      </c>
      <c r="I544" t="inlineStr">
        <is>
          <t>1</t>
        </is>
      </c>
      <c r="J544" t="inlineStr"/>
      <c r="K544" t="inlineStr"/>
      <c r="L544" t="inlineStr"/>
      <c r="M544" t="inlineStr"/>
      <c r="N544" t="inlineStr"/>
      <c r="O544">
        <f>(1-Summary!$B$11)*T544+Summary!$B$11*V544</f>
        <v/>
      </c>
      <c r="P544">
        <f>IF(B575=0,0,O544/B575)</f>
        <v/>
      </c>
      <c r="Q544" t="n">
        <v>0</v>
      </c>
      <c r="R544" t="n">
        <v>0</v>
      </c>
      <c r="S544">
        <f>IFERROR(O544/N544,0)</f>
        <v/>
      </c>
      <c r="T544" t="n">
        <v>0</v>
      </c>
      <c r="V544" t="n">
        <v>0</v>
      </c>
    </row>
    <row r="545">
      <c r="A545">
        <f>Skills!A6</f>
        <v/>
      </c>
      <c r="B545">
        <f>Skills!B6</f>
        <v/>
      </c>
      <c r="C545">
        <f>Inputs!$B$3&gt;=63</f>
        <v/>
      </c>
      <c r="D545">
        <f>IF(Skills!C6=1,60+Inputs!$B$25+Inputs!$B$29,IF(Skills!C6=2,90+Inputs!$B$26+Inputs!$B$29,IF(Skills!C6=3,120+Inputs!$B$27+Inputs!$B$29,MAX(0,(Inputs!$B$3-100)*3)+Inputs!$B$28+Inputs!$B$29)))</f>
        <v/>
      </c>
      <c r="E545">
        <f>INDEX(FactorTable!$B$2:$Y$301, MATCH(ROUND(MIN(300,MAX(1,D545)),0), FactorTable!$A$2:$A$301,0), Skills!M6+1)</f>
        <v/>
      </c>
      <c r="F545">
        <f>IF(Skills!N6=TRUE,(Skills!L6/10)*(E545/1000),Skills!L6/10)+Skills!O6</f>
        <v/>
      </c>
      <c r="G545">
        <f>Skills!G6*IF(Skills!H6&gt;0,Skills!I6/Skills!H6,1)</f>
        <v/>
      </c>
      <c r="H545">
        <f>1-(1-Skills!J6/100)^Skills!K6</f>
        <v/>
      </c>
      <c r="I545" t="inlineStr">
        <is>
          <t>1</t>
        </is>
      </c>
      <c r="J545">
        <f>((Inputs!$B$6*(1+Inputs!$B$7/100))+(((Inputs!$B$12*(1+Inputs!$B$13/100))-(Inputs!$B$12*(1+Inputs!$B$13/100)))+0.25*(Inputs!$B$14-Inputs!$B$14))*(1+Inputs!$B$7/100))*(F545/100)</f>
        <v/>
      </c>
      <c r="K545">
        <f>J545*(1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+0.6666666666666666*IF(C551=TRUE,F551,0)/100)*(1+(IF(Skills!A6="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545)</f>
        <v/>
      </c>
      <c r="L545">
        <f>K545*(MIN(Inputs!$B$22+((C559=TRUE)*(F559-Calc!F20)),(Inputs!$B$23+0+(IF(ArtifactsInput!$M$15,CHOOSE(ArtifactsInput!$N$15+1,25,30,35,40,45,50)/100*(((1-(1-Inputs!$B$11/150)*(1-1/150))*150)-Inputs!$B$11),0))))/100+(Inputs!$B$23+0+(IF(ArtifactsInput!$M$15,CHOOSE(ArtifactsInput!$N$15+1,25,30,35,40,45,50)/100*(((1-(1-Inputs!$B$11/150)*(1-1/150))*150)-Inputs!$B$11),0)))/100)/2</f>
        <v/>
      </c>
      <c r="M545">
        <f>L545*(1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5">
        <f>L545*(1-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545*(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5">
        <f>(1-Summary!$B$11)*T545+Summary!$B$11*V545</f>
        <v/>
      </c>
      <c r="P545">
        <f>IF(B575=0,0,O545/B575)</f>
        <v/>
      </c>
      <c r="Q545">
        <f>IFERROR(1/(IF(Inputs!$B$38="pvp",15,MAX(0.1,Skills!D6-IF(Skills!E6=TRUE,Inputs!$B$32,0)))*(1-IF(AND(ArtifactsInput!$M$27,Inputs!$B$4="Chapter Hunt"),CHOOSE(ArtifactsInput!$N$27+1,20,24,28,32,36,40),0)/100)),0)</f>
        <v/>
      </c>
      <c r="R545">
        <f>IF(AND(Inputs!$B$38&lt;&gt;"pvp",Inputs!$B$43&gt;0),IF(MAX(0,Inputs!$B$43-B572)&lt;=0,0,(INT(MAX(0,Inputs!$B$43-B572)/(IF(Inputs!$B$38="pvp",15,MAX(0.1,Skills!D6-IF(Skills!E6=TRUE,Inputs!$B$32,0)))*(1-IF(AND(ArtifactsInput!$M$27,Inputs!$B$4="Chapter Hunt"),CHOOSE(ArtifactsInput!$N$27+1,20,24,28,32,36,40),0)/100)))+1)),0)</f>
        <v/>
      </c>
      <c r="S545">
        <f>IFERROR(O545/N545,0)</f>
        <v/>
      </c>
      <c r="T545">
        <f>IF(C545,(H545*N545*IF(AND(Inputs!$B$38&lt;&gt;"pvp",Inputs!$B$43&gt;0),((Skills!G6*((R545-1)*IF(Skills!H6&gt;0,Skills!I6/Skills!H6,1)+IF(Skills!H6&gt;0,MIN(Skills!I6,MAX(0,MAX(0,Inputs!$B$43-B572)-((R545-1)*(IF(Inputs!$B$38="pvp",15,MAX(0.1,Skills!D6-IF(Skills!E6=TRUE,Inputs!$B$32,0)))*(1-IF(AND(ArtifactsInput!$M$27,Inputs!$B$4="Chapter Hunt"),CHOOSE(ArtifactsInput!$N$27+1,20,24,28,32,36,40),0)/100)))))/Skills!H6,1)))/Inputs!$B$43),G545*Q545)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545*(1-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545*(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545*(1-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545*(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5">
        <f>IF(C545,(H545*N545*IF(AND(Inputs!$B$38&lt;&gt;"pvp",Inputs!$B$43&gt;0),((Skills!G6*((R545-1)*IF(Skills!H6&gt;0,Skills!I6/Skills!H6,1)+IF(Skills!H6&gt;0,MIN(Skills!I6,MAX(0,MAX(0,Inputs!$B$43-B572)-((R545-1)*(IF(Inputs!$B$38="pvp",15,MAX(0.1,Skills!D6-IF(Skills!E6=TRUE,Inputs!$B$32,0)))*(1-IF(AND(ArtifactsInput!$M$27,Inputs!$B$4="Chapter Hunt"),CHOOSE(ArtifactsInput!$N$27+1,20,24,28,32,36,40),0)/100)))))/Skills!H6,1)))/Inputs!$B$43),G545*Q545))*IF(Inputs!$B$38="pvp",1,(1+(Inputs!$B$21+Skills!Q6+(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6">
      <c r="A546">
        <f>Skills!A7</f>
        <v/>
      </c>
      <c r="B546">
        <f>Skills!B7</f>
        <v/>
      </c>
      <c r="C546">
        <f>Inputs!$B$3&gt;=100</f>
        <v/>
      </c>
      <c r="D546">
        <f>IF(Skills!C7=1,60+Inputs!$B$25+Inputs!$B$29,IF(Skills!C7=2,90+Inputs!$B$26+Inputs!$B$29,IF(Skills!C7=3,120+Inputs!$B$27+Inputs!$B$29,MAX(0,(Inputs!$B$3-100)*3)+Inputs!$B$28+Inputs!$B$29)))</f>
        <v/>
      </c>
      <c r="E546">
        <f>INDEX(FactorTable!$B$2:$Y$301, MATCH(ROUND(MIN(300,MAX(1,D546)),0), FactorTable!$A$2:$A$301,0), Skills!M7+1)</f>
        <v/>
      </c>
      <c r="F546">
        <f>IF(Skills!N7=TRUE,(Skills!L7/10)*(E546/1000),Skills!L7/10)+Skills!O7</f>
        <v/>
      </c>
      <c r="G546">
        <f>Skills!G7*IF(Skills!H7&gt;0,Skills!I7/Skills!H7,1)</f>
        <v/>
      </c>
      <c r="H546">
        <f>1-(1-Skills!J7/100)^Skills!K7</f>
        <v/>
      </c>
      <c r="I546" t="inlineStr">
        <is>
          <t>1</t>
        </is>
      </c>
      <c r="J546">
        <f>((Inputs!$B$6*(1+Inputs!$B$7/100))+(((Inputs!$B$12*(1+Inputs!$B$13/100))-(Inputs!$B$12*(1+Inputs!$B$13/100)))+0.25*(Inputs!$B$14-Inputs!$B$14))*(1+Inputs!$B$7/100))*(F546/100)</f>
        <v/>
      </c>
      <c r="K546">
        <f>J546*(1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546)</f>
        <v/>
      </c>
      <c r="L546">
        <f>K546*(MIN(Inputs!$B$22+((C559=TRUE)*(F559-Calc!F20)),(Inputs!$B$23+0+(IF(ArtifactsInput!$M$15,CHOOSE(ArtifactsInput!$N$15+1,25,30,35,40,45,50)/100*(((1-(1-Inputs!$B$11/150)*(1-1/150))*150)-Inputs!$B$11),0))))/100+(Inputs!$B$23+0+(IF(ArtifactsInput!$M$15,CHOOSE(ArtifactsInput!$N$15+1,25,30,35,40,45,50)/100*(((1-(1-Inputs!$B$11/150)*(1-1/150))*150)-Inputs!$B$11),0)))/100)/2</f>
        <v/>
      </c>
      <c r="M546">
        <f>L546*(1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6">
        <f>L546*(1-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546*(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6">
        <f>(1-Summary!$B$11)*T546+Summary!$B$11*V546</f>
        <v/>
      </c>
      <c r="P546">
        <f>IF(B575=0,0,O546/B575)</f>
        <v/>
      </c>
      <c r="Q546">
        <f>IFERROR(1/(IF(Inputs!$B$38="pvp",15,MAX(0.1,Skills!D7-IF(Skills!E7=TRUE,Inputs!$B$32,0)))*(1-IF(AND(ArtifactsInput!$M$27,Inputs!$B$4="Chapter Hunt"),CHOOSE(ArtifactsInput!$N$27+1,20,24,28,32,36,40),0)/100)),0)</f>
        <v/>
      </c>
      <c r="R546">
        <f>IF(AND(Inputs!$B$38&lt;&gt;"pvp",Inputs!$B$43&gt;0),IF(MAX(0,Inputs!$B$43-B572)&lt;=0,0,(INT(MAX(0,Inputs!$B$43-B572)/(IF(Inputs!$B$38="pvp",15,MAX(0.1,Skills!D7-IF(Skills!E7=TRUE,Inputs!$B$32,0)))*(1-IF(AND(ArtifactsInput!$M$27,Inputs!$B$4="Chapter Hunt"),CHOOSE(ArtifactsInput!$N$27+1,20,24,28,32,36,40),0)/100)))+1)),0)</f>
        <v/>
      </c>
      <c r="S546">
        <f>IFERROR(O546/N546,0)</f>
        <v/>
      </c>
      <c r="T546">
        <f>IF(C546,(H546*N546*IF(AND(Inputs!$B$38&lt;&gt;"pvp",Inputs!$B$43&gt;0),((Skills!G7*((R546-1)*IF(Skills!H7&gt;0,Skills!I7/Skills!H7,1)+IF(Skills!H7&gt;0,MIN(Skills!I7,MAX(0,MAX(0,Inputs!$B$43-B572)-((R546-1)*(IF(Inputs!$B$38="pvp",15,MAX(0.1,Skills!D7-IF(Skills!E7=TRUE,Inputs!$B$32,0)))*(1-IF(AND(ArtifactsInput!$M$27,Inputs!$B$4="Chapter Hunt"),CHOOSE(ArtifactsInput!$N$27+1,20,24,28,32,36,40),0)/100)))))/Skills!H7,1)))/Inputs!$B$43),G546*Q546)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546*(1-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546*(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546*(1-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546*(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6">
        <f>IF(C546,(H546*N546*IF(AND(Inputs!$B$38&lt;&gt;"pvp",Inputs!$B$43&gt;0),((Skills!G7*((R546-1)*IF(Skills!H7&gt;0,Skills!I7/Skills!H7,1)+IF(Skills!H7&gt;0,MIN(Skills!I7,MAX(0,MAX(0,Inputs!$B$43-B572)-((R546-1)*(IF(Inputs!$B$38="pvp",15,MAX(0.1,Skills!D7-IF(Skills!E7=TRUE,Inputs!$B$32,0)))*(1-IF(AND(ArtifactsInput!$M$27,Inputs!$B$4="Chapter Hunt"),CHOOSE(ArtifactsInput!$N$27+1,20,24,28,32,36,40),0)/100)))))/Skills!H7,1)))/Inputs!$B$43),G546*Q546))*IF(Inputs!$B$38="pvp",1,(1+(Inputs!$B$21+Skills!Q7+(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7">
      <c r="A547">
        <f>Skills!A8</f>
        <v/>
      </c>
      <c r="B547">
        <f>Skills!B8</f>
        <v/>
      </c>
      <c r="C547">
        <f>Inputs!$B$3&gt;=110</f>
        <v/>
      </c>
      <c r="D547">
        <f>IF(Skills!C8=1,60+Inputs!$B$25+Inputs!$B$29,IF(Skills!C8=2,90+Inputs!$B$26+Inputs!$B$29,IF(Skills!C8=3,120+Inputs!$B$27+Inputs!$B$29,MAX(0,(Inputs!$B$3-100)*3)+Inputs!$B$28+Inputs!$B$29)))</f>
        <v/>
      </c>
      <c r="E547">
        <f>INDEX(FactorTable!$B$2:$Y$301, MATCH(ROUND(MIN(300,MAX(1,D547)),0), FactorTable!$A$2:$A$301,0), Skills!M8+1)</f>
        <v/>
      </c>
      <c r="F547">
        <f>IF(Skills!N8=TRUE,(Skills!L8/10)*(E547/1000),Skills!L8/10)+Skills!O8</f>
        <v/>
      </c>
      <c r="G547">
        <f>Skills!G8*IF(Skills!H8&gt;0,Skills!I8/Skills!H8,1)</f>
        <v/>
      </c>
      <c r="H547">
        <f>1-(1-Skills!J8/100)^Skills!K8</f>
        <v/>
      </c>
      <c r="I547" t="inlineStr">
        <is>
          <t>1</t>
        </is>
      </c>
      <c r="J547">
        <f>((Inputs!$B$6*(1+Inputs!$B$7/100))+(((Inputs!$B$12*(1+Inputs!$B$13/100))-(Inputs!$B$12*(1+Inputs!$B$13/100)))+0.25*(Inputs!$B$14-Inputs!$B$14))*(1+Inputs!$B$7/100))*(F547/100)</f>
        <v/>
      </c>
      <c r="K547">
        <f>J547*(1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547)</f>
        <v/>
      </c>
      <c r="L547">
        <f>K547*(MIN(Inputs!$B$22+((C559=TRUE)*(F559-Calc!F20)),(Inputs!$B$23+0+(IF(ArtifactsInput!$M$15,CHOOSE(ArtifactsInput!$N$15+1,25,30,35,40,45,50)/100*(((1-(1-Inputs!$B$11/150)*(1-1/150))*150)-Inputs!$B$11),0))))/100+(Inputs!$B$23+0+(IF(ArtifactsInput!$M$15,CHOOSE(ArtifactsInput!$N$15+1,25,30,35,40,45,50)/100*(((1-(1-Inputs!$B$11/150)*(1-1/150))*150)-Inputs!$B$11),0)))/100)/2</f>
        <v/>
      </c>
      <c r="M547">
        <f>L547*(1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7">
        <f>L547*(1-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547*(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7">
        <f>(1-Summary!$B$11)*T547+Summary!$B$11*V547</f>
        <v/>
      </c>
      <c r="P547">
        <f>IF(B575=0,0,O547/B575)</f>
        <v/>
      </c>
      <c r="Q547">
        <f>IFERROR(1/(IF(Inputs!$B$38="pvp",15,MAX(0.1,Skills!D8-IF(Skills!E8=TRUE,Inputs!$B$32,0)))*(1-IF(AND(ArtifactsInput!$M$27,Inputs!$B$4="Chapter Hunt"),CHOOSE(ArtifactsInput!$N$27+1,20,24,28,32,36,40),0)/100)),0)</f>
        <v/>
      </c>
      <c r="R547">
        <f>IF(AND(Inputs!$B$38&lt;&gt;"pvp",Inputs!$B$43&gt;0),IF(MAX(0,Inputs!$B$43-B572)&lt;=0,0,(INT(MAX(0,Inputs!$B$43-B572)/(IF(Inputs!$B$38="pvp",15,MAX(0.1,Skills!D8-IF(Skills!E8=TRUE,Inputs!$B$32,0)))*(1-IF(AND(ArtifactsInput!$M$27,Inputs!$B$4="Chapter Hunt"),CHOOSE(ArtifactsInput!$N$27+1,20,24,28,32,36,40),0)/100)))+1)),0)</f>
        <v/>
      </c>
      <c r="S547">
        <f>IFERROR(O547/N547,0)</f>
        <v/>
      </c>
      <c r="T547">
        <f>IF(C547,(H547*N547*IF(AND(Inputs!$B$38&lt;&gt;"pvp",Inputs!$B$43&gt;0),((Skills!G8*((R547-1)*IF(Skills!H8&gt;0,Skills!I8/Skills!H8,1)+IF(Skills!H8&gt;0,MIN(Skills!I8,MAX(0,MAX(0,Inputs!$B$43-B572)-((R547-1)*(IF(Inputs!$B$38="pvp",15,MAX(0.1,Skills!D8-IF(Skills!E8=TRUE,Inputs!$B$32,0)))*(1-IF(AND(ArtifactsInput!$M$27,Inputs!$B$4="Chapter Hunt"),CHOOSE(ArtifactsInput!$N$27+1,20,24,28,32,36,40),0)/100)))))/Skills!H8,1)))/Inputs!$B$43),G547*Q547)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547*(1-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547*(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547*(1-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547*(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7">
        <f>IF(C547,(H547*N547*IF(AND(Inputs!$B$38&lt;&gt;"pvp",Inputs!$B$43&gt;0),((Skills!G8*((R547-1)*IF(Skills!H8&gt;0,Skills!I8/Skills!H8,1)+IF(Skills!H8&gt;0,MIN(Skills!I8,MAX(0,MAX(0,Inputs!$B$43-B572)-((R547-1)*(IF(Inputs!$B$38="pvp",15,MAX(0.1,Skills!D8-IF(Skills!E8=TRUE,Inputs!$B$32,0)))*(1-IF(AND(ArtifactsInput!$M$27,Inputs!$B$4="Chapter Hunt"),CHOOSE(ArtifactsInput!$N$27+1,20,24,28,32,36,40),0)/100)))))/Skills!H8,1)))/Inputs!$B$43),G547*Q547))*IF(Inputs!$B$38="pvp",1,(1+(Inputs!$B$21+Skills!Q8+(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8">
      <c r="A548">
        <f>Skills!A9</f>
        <v/>
      </c>
      <c r="B548">
        <f>Skills!B9</f>
        <v/>
      </c>
      <c r="C548">
        <f>Inputs!$B$3&gt;=110</f>
        <v/>
      </c>
      <c r="D548">
        <f>IF(Skills!C9=1,60+Inputs!$B$25+Inputs!$B$29,IF(Skills!C9=2,90+Inputs!$B$26+Inputs!$B$29,IF(Skills!C9=3,120+Inputs!$B$27+Inputs!$B$29,MAX(0,(Inputs!$B$3-100)*3)+Inputs!$B$28+Inputs!$B$29)))</f>
        <v/>
      </c>
      <c r="E548">
        <f>INDEX(FactorTable!$B$2:$Y$301, MATCH(ROUND(MIN(300,MAX(1,D548)),0), FactorTable!$A$2:$A$301,0), Skills!M9+1)</f>
        <v/>
      </c>
      <c r="F548">
        <f>IF(Skills!N9=TRUE,(Skills!L9/10)*(E548/1000),Skills!L9/10)+Skills!O9</f>
        <v/>
      </c>
      <c r="G548">
        <f>Skills!G9*IF(Skills!H9&gt;0,Skills!I9/Skills!H9,1)</f>
        <v/>
      </c>
      <c r="H548">
        <f>1-(1-Skills!J9/100)^Skills!K9</f>
        <v/>
      </c>
      <c r="I548" t="inlineStr">
        <is>
          <t>1</t>
        </is>
      </c>
      <c r="J548">
        <f>((Inputs!$B$6*(1+Inputs!$B$7/100))+(((Inputs!$B$12*(1+Inputs!$B$13/100))-(Inputs!$B$12*(1+Inputs!$B$13/100)))+0.25*(Inputs!$B$14-Inputs!$B$14))*(1+Inputs!$B$7/100))*(F548/100)</f>
        <v/>
      </c>
      <c r="K548">
        <f>J548*(1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548)</f>
        <v/>
      </c>
      <c r="L548">
        <f>K548*(MIN(Inputs!$B$22+((C559=TRUE)*(F559-Calc!F20)),(Inputs!$B$23+0+(IF(ArtifactsInput!$M$15,CHOOSE(ArtifactsInput!$N$15+1,25,30,35,40,45,50)/100*(((1-(1-Inputs!$B$11/150)*(1-1/150))*150)-Inputs!$B$11),0))))/100+(Inputs!$B$23+0+(IF(ArtifactsInput!$M$15,CHOOSE(ArtifactsInput!$N$15+1,25,30,35,40,45,50)/100*(((1-(1-Inputs!$B$11/150)*(1-1/150))*150)-Inputs!$B$11),0)))/100)/2</f>
        <v/>
      </c>
      <c r="M548">
        <f>L548*(1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8">
        <f>L548*(1-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548*(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8">
        <f>(1-Summary!$B$11)*T548+Summary!$B$11*V548</f>
        <v/>
      </c>
      <c r="P548">
        <f>IF(B575=0,0,O548/B575)</f>
        <v/>
      </c>
      <c r="Q548">
        <f>IFERROR(1/(IF(Inputs!$B$38="pvp",15,MAX(0.1,Skills!D9-IF(Skills!E9=TRUE,Inputs!$B$32,0)))*(1-IF(AND(ArtifactsInput!$M$27,Inputs!$B$4="Chapter Hunt"),CHOOSE(ArtifactsInput!$N$27+1,20,24,28,32,36,40),0)/100)),0)</f>
        <v/>
      </c>
      <c r="R548">
        <f>IF(AND(Inputs!$B$38&lt;&gt;"pvp",Inputs!$B$43&gt;0),IF(MAX(0,Inputs!$B$43-B572)&lt;=0,0,(INT(MAX(0,Inputs!$B$43-B572)/(IF(Inputs!$B$38="pvp",15,MAX(0.1,Skills!D9-IF(Skills!E9=TRUE,Inputs!$B$32,0)))*(1-IF(AND(ArtifactsInput!$M$27,Inputs!$B$4="Chapter Hunt"),CHOOSE(ArtifactsInput!$N$27+1,20,24,28,32,36,40),0)/100)))+1)),0)</f>
        <v/>
      </c>
      <c r="S548">
        <f>IFERROR(O548/N548,0)</f>
        <v/>
      </c>
      <c r="T548">
        <f>IF(C548,(H548*N548*IF(AND(Inputs!$B$38&lt;&gt;"pvp",Inputs!$B$43&gt;0),((Skills!G9*((R548-1)*IF(Skills!H9&gt;0,Skills!I9/Skills!H9,1)+IF(Skills!H9&gt;0,MIN(Skills!I9,MAX(0,MAX(0,Inputs!$B$43-B572)-((R548-1)*(IF(Inputs!$B$38="pvp",15,MAX(0.1,Skills!D9-IF(Skills!E9=TRUE,Inputs!$B$32,0)))*(1-IF(AND(ArtifactsInput!$M$27,Inputs!$B$4="Chapter Hunt"),CHOOSE(ArtifactsInput!$N$27+1,20,24,28,32,36,40),0)/100)))))/Skills!H9,1)))/Inputs!$B$43),G548*Q548)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548*(1-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548*(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548*(1-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548*(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8">
        <f>IF(C548,(H548*N548*IF(AND(Inputs!$B$38&lt;&gt;"pvp",Inputs!$B$43&gt;0),((Skills!G9*((R548-1)*IF(Skills!H9&gt;0,Skills!I9/Skills!H9,1)+IF(Skills!H9&gt;0,MIN(Skills!I9,MAX(0,MAX(0,Inputs!$B$43-B572)-((R548-1)*(IF(Inputs!$B$38="pvp",15,MAX(0.1,Skills!D9-IF(Skills!E9=TRUE,Inputs!$B$32,0)))*(1-IF(AND(ArtifactsInput!$M$27,Inputs!$B$4="Chapter Hunt"),CHOOSE(ArtifactsInput!$N$27+1,20,24,28,32,36,40),0)/100)))))/Skills!H9,1)))/Inputs!$B$43),G548*Q548))*IF(Inputs!$B$38="pvp",1,(1+(Inputs!$B$21+Skills!Q9+(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49">
      <c r="A549">
        <f>Skills!A10</f>
        <v/>
      </c>
      <c r="B549">
        <f>Skills!B10</f>
        <v/>
      </c>
      <c r="C549">
        <f>Inputs!$B$3&gt;=103</f>
        <v/>
      </c>
      <c r="D549">
        <f>IF(Skills!C10=1,60+Inputs!$B$25+Inputs!$B$29,IF(Skills!C10=2,90+Inputs!$B$26+Inputs!$B$29,IF(Skills!C10=3,120+Inputs!$B$27+Inputs!$B$29,MAX(0,(Inputs!$B$3-100)*3)+Inputs!$B$28+Inputs!$B$29)))</f>
        <v/>
      </c>
      <c r="E549">
        <f>INDEX(FactorTable!$B$2:$Y$301, MATCH(ROUND(MIN(300,MAX(1,D549)),0), FactorTable!$A$2:$A$301,0), Skills!M10+1)</f>
        <v/>
      </c>
      <c r="F549">
        <f>IF(Skills!N10=TRUE,(Skills!L10/10)*(E549/1000),Skills!L10/10)+Skills!O10</f>
        <v/>
      </c>
      <c r="G549">
        <f>Skills!G10*IF(Skills!H10&gt;0,Skills!I10/Skills!H10,1)</f>
        <v/>
      </c>
      <c r="H549">
        <f>1-(1-Skills!J10/100)^Skills!K10</f>
        <v/>
      </c>
      <c r="I549" t="inlineStr">
        <is>
          <t>1</t>
        </is>
      </c>
      <c r="J549">
        <f>((Inputs!$B$6*(1+Inputs!$B$7/100))+(((Inputs!$B$12*(1+Inputs!$B$13/100))-(Inputs!$B$12*(1+Inputs!$B$13/100)))+0.25*(Inputs!$B$14-Inputs!$B$14))*(1+Inputs!$B$7/100))*(F549/100)</f>
        <v/>
      </c>
      <c r="K549">
        <f>J549*(1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549)</f>
        <v/>
      </c>
      <c r="L549">
        <f>K549*(MIN(Inputs!$B$22+((C559=TRUE)*(F559-Calc!F20)),(Inputs!$B$23+0+(IF(ArtifactsInput!$M$15,CHOOSE(ArtifactsInput!$N$15+1,25,30,35,40,45,50)/100*(((1-(1-Inputs!$B$11/150)*(1-1/150))*150)-Inputs!$B$11),0))))/100+(Inputs!$B$23+0+(IF(ArtifactsInput!$M$15,CHOOSE(ArtifactsInput!$N$15+1,25,30,35,40,45,50)/100*(((1-(1-Inputs!$B$11/150)*(1-1/150))*150)-Inputs!$B$11),0)))/100)/2</f>
        <v/>
      </c>
      <c r="M549">
        <f>L549*(1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49">
        <f>L549*(1-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549*(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49">
        <f>(1-Summary!$B$11)*T549+Summary!$B$11*V549</f>
        <v/>
      </c>
      <c r="P549">
        <f>IF(B575=0,0,O549/B575)</f>
        <v/>
      </c>
      <c r="Q549">
        <f>IFERROR(1/(IF(Inputs!$B$38="pvp",15,MAX(0.1,Skills!D10-IF(Skills!E10=TRUE,Inputs!$B$32,0)))*(1-IF(AND(ArtifactsInput!$M$27,Inputs!$B$4="Chapter Hunt"),CHOOSE(ArtifactsInput!$N$27+1,20,24,28,32,36,40),0)/100)),0)</f>
        <v/>
      </c>
      <c r="R549">
        <f>IF(AND(Inputs!$B$38&lt;&gt;"pvp",Inputs!$B$43&gt;0),IF(MAX(0,Inputs!$B$43-B572)&lt;=0,0,(INT(MAX(0,Inputs!$B$43-B572)/(IF(Inputs!$B$38="pvp",15,MAX(0.1,Skills!D10-IF(Skills!E10=TRUE,Inputs!$B$32,0)))*(1-IF(AND(ArtifactsInput!$M$27,Inputs!$B$4="Chapter Hunt"),CHOOSE(ArtifactsInput!$N$27+1,20,24,28,32,36,40),0)/100)))+1)),0)</f>
        <v/>
      </c>
      <c r="S549">
        <f>IFERROR(O549/N549,0)</f>
        <v/>
      </c>
      <c r="T549">
        <f>IF(C549,(H549*N549*IF(AND(Inputs!$B$38&lt;&gt;"pvp",Inputs!$B$43&gt;0),((Skills!G10*((R549-1)*IF(Skills!H10&gt;0,Skills!I10/Skills!H10,1)+IF(Skills!H10&gt;0,MIN(Skills!I10,MAX(0,MAX(0,Inputs!$B$43-B572)-((R549-1)*(IF(Inputs!$B$38="pvp",15,MAX(0.1,Skills!D10-IF(Skills!E10=TRUE,Inputs!$B$32,0)))*(1-IF(AND(ArtifactsInput!$M$27,Inputs!$B$4="Chapter Hunt"),CHOOSE(ArtifactsInput!$N$27+1,20,24,28,32,36,40),0)/100)))))/Skills!H10,1)))/Inputs!$B$43),G549*Q549)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549*(1-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549*(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549*(1-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549*(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49">
        <f>IF(C549,(H549*N549*IF(AND(Inputs!$B$38&lt;&gt;"pvp",Inputs!$B$43&gt;0),((Skills!G10*((R549-1)*IF(Skills!H10&gt;0,Skills!I10/Skills!H10,1)+IF(Skills!H10&gt;0,MIN(Skills!I10,MAX(0,MAX(0,Inputs!$B$43-B572)-((R549-1)*(IF(Inputs!$B$38="pvp",15,MAX(0.1,Skills!D10-IF(Skills!E10=TRUE,Inputs!$B$32,0)))*(1-IF(AND(ArtifactsInput!$M$27,Inputs!$B$4="Chapter Hunt"),CHOOSE(ArtifactsInput!$N$27+1,20,24,28,32,36,40),0)/100)))))/Skills!H10,1)))/Inputs!$B$43),G549*Q549))*IF(Inputs!$B$38="pvp",1,(1+(Inputs!$B$21+Skills!Q10+(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0">
      <c r="A550">
        <f>Skills!A11</f>
        <v/>
      </c>
      <c r="B550">
        <f>Skills!B11</f>
        <v/>
      </c>
      <c r="C550">
        <f>Inputs!$B$3&gt;=113</f>
        <v/>
      </c>
      <c r="D550">
        <f>IF(Skills!C11=1,60+Inputs!$B$25+Inputs!$B$29,IF(Skills!C11=2,90+Inputs!$B$26+Inputs!$B$29,IF(Skills!C11=3,120+Inputs!$B$27+Inputs!$B$29,MAX(0,(Inputs!$B$3-100)*3)+Inputs!$B$28+Inputs!$B$29)))</f>
        <v/>
      </c>
      <c r="E550">
        <f>INDEX(FactorTable!$B$2:$Y$301, MATCH(ROUND(MIN(300,MAX(1,D550)),0), FactorTable!$A$2:$A$301,0), Skills!M11+1)</f>
        <v/>
      </c>
      <c r="F550">
        <f>IF(Skills!N11=TRUE,(Skills!L11/10)*(E550/1000),Skills!L11/10)+Skills!O11</f>
        <v/>
      </c>
      <c r="G550">
        <f>Skills!G11*IF(Skills!H11&gt;0,Skills!I11/Skills!H11,1)</f>
        <v/>
      </c>
      <c r="H550">
        <f>1-(1-Skills!J11/100)^Skills!K11</f>
        <v/>
      </c>
      <c r="I550" t="inlineStr">
        <is>
          <t>1</t>
        </is>
      </c>
      <c r="J550">
        <f>((Inputs!$B$6*(1+Inputs!$B$7/100))+(((Inputs!$B$12*(1+Inputs!$B$13/100))-(Inputs!$B$12*(1+Inputs!$B$13/100)))+0.25*(Inputs!$B$14-Inputs!$B$14))*(1+Inputs!$B$7/100))*(F550/100)</f>
        <v/>
      </c>
      <c r="K550">
        <f>J550*(1+((Inputs!$B$12*(1+Inputs!$B$13/100))*0.01+Inputs!$B$14*0.0025)/100)*(1+Inputs!$B$15/100)*(1+Inputs!$B$16/100)*(5000/(6000+Inputs!$B$42*(1-(100*(1-(1-(Inputs!$B$19+0)/100)*(1-CHOOSE(ArtifactsInput!$N$40+1,5,6,7,8,9,10)/100)^(ArtifactsInput!$M$40-ArtifactsInput!$M$40)))/100)))*(1+(Inputs!$B$24+((C561=TRUE)*(F561-Calc!F22))+B571)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HOOK_BOMBER",Inputs!$B$17+((C560=TRUE)*(F560-Calc!F21))+(((IF(AND(ArtifactsInput!$M$42,((Inputs!$B$9+((C555=TRUE)*(F555-Calc!F16))+B565+(ArtifactsInput!$M$24-ArtifactsInput!$M$24)*CHOOSE(ArtifactsInput!$N$24+1,10,12,14,16,18,20)+IF(ArtifactsInput!$M$10,CHOOSE(ArtifactsInput!$N$10+1,15,18,21,24,27,30)*(IF(Inputs!$B$38="pvp",MIN(15,15)/15,IF(AND(Inputs!$B$38&lt;&gt;"pvp",Inputs!$B$43&gt;0),MIN(15,Inputs!$B$43)/(Inputs!$B$43),0))),0)))&gt;=100),MIN(100,((Inputs!$B$9+((C555=TRUE)*(F555-Calc!F16))+B565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555=TRUE)*(F555-Calc!F16))+B565+(ArtifactsInput!$M$24-ArtifactsInput!$M$24)*CHOOSE(ArtifactsInput!$N$24+1,10,12,14,16,18,20)+IF(ArtifactsInput!$M$10,CHOOSE(ArtifactsInput!$N$10+1,15,18,21,24,27,30)*(IF(Inputs!$B$38="pvp",MIN(15,15)/15,IF(AND(Inputs!$B$38&lt;&gt;"pvp",Inputs!$B$43&gt;0),MIN(15,Inputs!$B$43)/(Inputs!$B$43),0))),0)))&gt;=100),CHOOSE(ArtifactsInput!$N$42+1,40,48,56,64,72,80),0))))/100)*((1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550)</f>
        <v/>
      </c>
      <c r="L550">
        <f>K550*(MIN(Inputs!$B$22+((C559=TRUE)*(F559-Calc!F20)),(Inputs!$B$23+0+(IF(ArtifactsInput!$M$15,CHOOSE(ArtifactsInput!$N$15+1,25,30,35,40,45,50)/100*(((1-(1-Inputs!$B$11/150)*(1-1/150))*150)-Inputs!$B$11),0))))/100+(Inputs!$B$23+0+(IF(ArtifactsInput!$M$15,CHOOSE(ArtifactsInput!$N$15+1,25,30,35,40,45,50)/100*(((1-(1-Inputs!$B$11/150)*(1-1/150))*150)-Inputs!$B$11),0)))/100)/2</f>
        <v/>
      </c>
      <c r="M550">
        <f>L550*(1+(Inputs!$B$10+0+B570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50">
        <f>L550*(1-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550*(MIN((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50">
        <f>(1-Summary!$B$11)*T550+Summary!$B$11*V550</f>
        <v/>
      </c>
      <c r="P550">
        <f>IF(B575=0,0,O550/B575)</f>
        <v/>
      </c>
      <c r="Q550">
        <f>IFERROR(1/(IF(Inputs!$B$38="pvp",15,MAX(0.1,Skills!D11-IF(Skills!E11=TRUE,Inputs!$B$32,0)))*(1-IF(AND(ArtifactsInput!$M$27,Inputs!$B$4="Chapter Hunt"),CHOOSE(ArtifactsInput!$N$27+1,20,24,28,32,36,40),0)/100)),0)</f>
        <v/>
      </c>
      <c r="R550">
        <f>IF(AND(Inputs!$B$38&lt;&gt;"pvp",Inputs!$B$43&gt;0),IF(MAX(0,Inputs!$B$43-B572)&lt;=0,0,(INT(MAX(0,Inputs!$B$43-B572)/(IF(Inputs!$B$38="pvp",15,MAX(0.1,Skills!D11-IF(Skills!E11=TRUE,Inputs!$B$32,0)))*(1-IF(AND(ArtifactsInput!$M$27,Inputs!$B$4="Chapter Hunt"),CHOOSE(ArtifactsInput!$N$27+1,20,24,28,32,36,40),0)/100)))+1)),0)</f>
        <v/>
      </c>
      <c r="S550">
        <f>IFERROR(O550/N550,0)</f>
        <v/>
      </c>
      <c r="T550">
        <f>IF(C550,(H550*N550*IF(AND(Inputs!$B$38&lt;&gt;"pvp",Inputs!$B$43&gt;0),((Skills!G11*((R550-1)*IF(Skills!H11&gt;0,Skills!I11/Skills!H11,1)+IF(Skills!H11&gt;0,MIN(Skills!I11,MAX(0,MAX(0,Inputs!$B$43-B572)-((R550-1)*(IF(Inputs!$B$38="pvp",15,MAX(0.1,Skills!D11-IF(Skills!E11=TRUE,Inputs!$B$32,0)))*(1-IF(AND(ArtifactsInput!$M$27,Inputs!$B$4="Chapter Hunt"),CHOOSE(ArtifactsInput!$N$27+1,20,24,28,32,36,40),0)/100)))))/Skills!H11,1)))/Inputs!$B$43),G550*Q550)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550*(1-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550*(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550*(1-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550*(MIN(100,(Inputs!$B$9+((C555=TRUE)*(F555-Calc!F16))+B565+(ArtifactsInput!$M$24-ArtifactsInput!$M$24)*CHOOSE(ArtifactsInput!$N$24+1,10,12,14,16,18,20)+(IF(AND(ArtifactsInput!$M$42,((Inputs!$B$9+((C555=TRUE)*(F555-Calc!F16))+B565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50">
        <f>IF(C550,(H550*N550*IF(AND(Inputs!$B$38&lt;&gt;"pvp",Inputs!$B$43&gt;0),((Skills!G11*((R550-1)*IF(Skills!H11&gt;0,Skills!I11/Skills!H11,1)+IF(Skills!H11&gt;0,MIN(Skills!I11,MAX(0,MAX(0,Inputs!$B$43-B572)-((R550-1)*(IF(Inputs!$B$38="pvp",15,MAX(0.1,Skills!D11-IF(Skills!E11=TRUE,Inputs!$B$32,0)))*(1-IF(AND(ArtifactsInput!$M$27,Inputs!$B$4="Chapter Hunt"),CHOOSE(ArtifactsInput!$N$27+1,20,24,28,32,36,40),0)/100)))))/Skills!H11,1)))/Inputs!$B$43),G550*Q550))*IF(Inputs!$B$38="pvp",1,(1+(Inputs!$B$21+Skills!Q11+(IF(ArtifactsInput!$M$33,CHOOSE(ArtifactsInput!$N$33+1,30,36,42,48,54,60),0))+(IF(AND(ArtifactsInput!$M$35,Inputs!$B$4&lt;&gt;"Chapter Hunt"),CHOOSE(ArtifactsInput!$N$35+1,15,18,21,24,27,30)*(1-EXP(-(0.2*B567)*5)),0)+IF(AND(ArtifactsInput!$M$22,Inputs!$B$4&lt;&gt;"Chapter Hunt"),CHOOSE(ArtifactsInput!$N$22+1,10,12,14,16,18,20)*((0*(((0.15*B567*5))^0/1)+1*(((0.15*B567*5))^1/1)+2*(((0.15*B567*5))^2/2)+3*(((0.15*B567*5))^3/6)+4*(((0.15*B567*5))^4/24)+5*(((0.15*B567*5))^5/120))/((((0.15*B567*5))^0/1)+(((0.15*B567*5))^1/1)+(((0.15*B567*5))^2/2)+(((0.15*B567*5))^3/6)+(((0.15*B567*5))^4/24)+(((0.15*B567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51">
      <c r="A551">
        <f>Skills!A12</f>
        <v/>
      </c>
      <c r="B551">
        <f>Skills!B12</f>
        <v/>
      </c>
      <c r="C551">
        <f>Inputs!$B$3&gt;=100</f>
        <v/>
      </c>
      <c r="D551">
        <f>IF(Skills!C12=1,60+Inputs!$B$25+Inputs!$B$29,IF(Skills!C12=2,90+Inputs!$B$26+Inputs!$B$29,IF(Skills!C12=3,120+Inputs!$B$27+Inputs!$B$29,MAX(0,(Inputs!$B$3-100)*3)+Inputs!$B$28+Inputs!$B$29)))</f>
        <v/>
      </c>
      <c r="E551">
        <f>INDEX(FactorTable!$B$2:$Y$301, MATCH(ROUND(MIN(300,MAX(1,D551)),0), FactorTable!$A$2:$A$301,0), Skills!M12+1)</f>
        <v/>
      </c>
      <c r="F551">
        <f>IF(Skills!N12=TRUE,(Skills!L12/10)*(E551/1000),Skills!L12/10)+Skills!O12</f>
        <v/>
      </c>
      <c r="G551" t="inlineStr"/>
      <c r="H551" t="inlineStr"/>
      <c r="I551" t="inlineStr">
        <is>
          <t>1</t>
        </is>
      </c>
      <c r="J551" t="inlineStr"/>
      <c r="K551" t="inlineStr"/>
      <c r="L551" t="inlineStr"/>
      <c r="M551" t="inlineStr"/>
      <c r="N551" t="inlineStr"/>
      <c r="O551" t="inlineStr"/>
      <c r="P551" t="inlineStr"/>
      <c r="Q551" t="inlineStr"/>
      <c r="R551" t="inlineStr"/>
      <c r="S551" t="inlineStr"/>
      <c r="T551" t="inlineStr"/>
      <c r="V551" t="inlineStr"/>
    </row>
    <row r="552">
      <c r="A552">
        <f>Skills!A13</f>
        <v/>
      </c>
      <c r="B552">
        <f>Skills!B13</f>
        <v/>
      </c>
      <c r="C552">
        <f>Inputs!$B$3&gt;=66</f>
        <v/>
      </c>
      <c r="D552">
        <f>IF(Skills!C13=1,60+Inputs!$B$25+Inputs!$B$29,IF(Skills!C13=2,90+Inputs!$B$26+Inputs!$B$29,IF(Skills!C13=3,120+Inputs!$B$27+Inputs!$B$29,MAX(0,(Inputs!$B$3-100)*3)+Inputs!$B$28+Inputs!$B$29)))</f>
        <v/>
      </c>
      <c r="E552">
        <f>INDEX(FactorTable!$B$2:$Y$301, MATCH(ROUND(MIN(300,MAX(1,D552)),0), FactorTable!$A$2:$A$301,0), Skills!M13+1)</f>
        <v/>
      </c>
      <c r="F552">
        <f>IF(Skills!N13=TRUE,(Skills!L13/10)*(E552/1000),Skills!L13/10)+Skills!O13</f>
        <v/>
      </c>
      <c r="G552">
        <f>Skills!G13*IF(Skills!H13&gt;0,Skills!I13/Skills!H13,1)</f>
        <v/>
      </c>
      <c r="H552">
        <f>1-(1-Skills!J13/100)^Skills!K13</f>
        <v/>
      </c>
      <c r="I552" t="inlineStr">
        <is>
          <t>1</t>
        </is>
      </c>
      <c r="J552" t="inlineStr"/>
      <c r="K552" t="inlineStr"/>
      <c r="L552" t="inlineStr"/>
      <c r="M552" t="inlineStr"/>
      <c r="N552" t="inlineStr"/>
      <c r="O552">
        <f>(1-Summary!$B$11)*T552+Summary!$B$11*V552</f>
        <v/>
      </c>
      <c r="P552">
        <f>IF(B575=0,0,O552/B575)</f>
        <v/>
      </c>
      <c r="Q552" t="n">
        <v>0</v>
      </c>
      <c r="R552" t="n">
        <v>0</v>
      </c>
      <c r="S552">
        <f>IFERROR(O552/N552,0)</f>
        <v/>
      </c>
      <c r="T552" t="n">
        <v>0</v>
      </c>
      <c r="V552" t="n">
        <v>0</v>
      </c>
    </row>
    <row r="553">
      <c r="A553">
        <f>Skills!A14</f>
        <v/>
      </c>
      <c r="B553">
        <f>Skills!B14</f>
        <v/>
      </c>
      <c r="C553">
        <f>Inputs!$B$3&gt;=107</f>
        <v/>
      </c>
      <c r="D553">
        <f>IF(Skills!C14=1,60+Inputs!$B$25+Inputs!$B$29,IF(Skills!C14=2,90+Inputs!$B$26+Inputs!$B$29,IF(Skills!C14=3,120+Inputs!$B$27+Inputs!$B$29,MAX(0,(Inputs!$B$3-100)*3)+Inputs!$B$28+Inputs!$B$29)))</f>
        <v/>
      </c>
      <c r="E553">
        <f>INDEX(FactorTable!$B$2:$Y$301, MATCH(ROUND(MIN(300,MAX(1,D553)),0), FactorTable!$A$2:$A$301,0), Skills!M14+1)</f>
        <v/>
      </c>
      <c r="F553">
        <f>IF(Skills!N14=TRUE,(Skills!L14/10)*(E553/1000),Skills!L14/10)+Skills!O14</f>
        <v/>
      </c>
      <c r="G553">
        <f>Skills!G14*IF(Skills!H14&gt;0,Skills!I14/Skills!H14,1)</f>
        <v/>
      </c>
      <c r="H553">
        <f>1-(1-Skills!J14/100)^Skills!K14</f>
        <v/>
      </c>
      <c r="I553" t="inlineStr">
        <is>
          <t>1</t>
        </is>
      </c>
      <c r="J553" t="inlineStr"/>
      <c r="K553" t="inlineStr"/>
      <c r="L553" t="inlineStr"/>
      <c r="M553" t="inlineStr"/>
      <c r="N553" t="inlineStr"/>
      <c r="O553">
        <f>(1-Summary!$B$11)*T553+Summary!$B$11*V553</f>
        <v/>
      </c>
      <c r="P553">
        <f>IF(B575=0,0,O553/B575)</f>
        <v/>
      </c>
      <c r="Q553">
        <f>IFERROR(1/(IF(Inputs!$B$38="pvp",15,MAX(0.1,Skills!D14-IF(Skills!E14=TRUE,Inputs!$B$32,0)))*(1-IF(AND(ArtifactsInput!$M$27,Inputs!$B$4="Chapter Hunt"),CHOOSE(ArtifactsInput!$N$27+1,20,24,28,32,36,40),0)/100)),0)</f>
        <v/>
      </c>
      <c r="R553">
        <f>IF(AND(Inputs!$B$38&lt;&gt;"pvp",Inputs!$B$43&gt;0),IF(Inputs!$B$43&lt;=0,0,(INT(Inputs!$B$43/(IF(Inputs!$B$38="pvp",15,MAX(0.1,Skills!D14-IF(Skills!E14=TRUE,Inputs!$B$32,0)))*(1-IF(AND(ArtifactsInput!$M$27,Inputs!$B$4="Chapter Hunt"),CHOOSE(ArtifactsInput!$N$27+1,20,24,28,32,36,40),0)/100)))+1)),0)</f>
        <v/>
      </c>
      <c r="S553">
        <f>IFERROR(O553/N553,0)</f>
        <v/>
      </c>
      <c r="T553" t="n">
        <v>0</v>
      </c>
      <c r="V553" t="n">
        <v>0</v>
      </c>
    </row>
    <row r="554">
      <c r="A554">
        <f>Skills!A15</f>
        <v/>
      </c>
      <c r="B554">
        <f>Skills!B15</f>
        <v/>
      </c>
      <c r="C554">
        <f>Inputs!$B$3&gt;=115</f>
        <v/>
      </c>
      <c r="D554">
        <f>IF(Skills!C15=1,60+Inputs!$B$25+Inputs!$B$29,IF(Skills!C15=2,90+Inputs!$B$26+Inputs!$B$29,IF(Skills!C15=3,120+Inputs!$B$27+Inputs!$B$29,MAX(0,(Inputs!$B$3-100)*3)+Inputs!$B$28+Inputs!$B$29)))</f>
        <v/>
      </c>
      <c r="E554">
        <f>INDEX(FactorTable!$B$2:$Y$301, MATCH(ROUND(MIN(300,MAX(1,D554)),0), FactorTable!$A$2:$A$301,0), Skills!M15+1)</f>
        <v/>
      </c>
      <c r="F554">
        <f>IF(Skills!N15=TRUE,(Skills!L15/10)*(E554/1000),Skills!L15/10)+Skills!O15</f>
        <v/>
      </c>
      <c r="G554">
        <f>Skills!G15*IF(Skills!H15&gt;0,Skills!I15/Skills!H15,1)</f>
        <v/>
      </c>
      <c r="H554">
        <f>1-(1-Skills!J15/100)^Skills!K15</f>
        <v/>
      </c>
      <c r="I554" t="inlineStr">
        <is>
          <t>1</t>
        </is>
      </c>
      <c r="J554" t="inlineStr"/>
      <c r="K554" t="inlineStr"/>
      <c r="L554" t="inlineStr"/>
      <c r="M554" t="inlineStr"/>
      <c r="N554" t="inlineStr"/>
      <c r="O554">
        <f>(1-Summary!$B$11)*T554+Summary!$B$11*V554</f>
        <v/>
      </c>
      <c r="P554">
        <f>IF(B575=0,0,O554/B575)</f>
        <v/>
      </c>
      <c r="Q554">
        <f>IFERROR(1/(IF(Inputs!$B$38="pvp",15,MAX(0.1,Skills!D15-IF(Skills!E15=TRUE,Inputs!$B$32,0)))*(1-IF(AND(ArtifactsInput!$M$27,Inputs!$B$4="Chapter Hunt"),CHOOSE(ArtifactsInput!$N$27+1,20,24,28,32,36,40),0)/100)),0)</f>
        <v/>
      </c>
      <c r="R554">
        <f>IF(AND(Inputs!$B$38&lt;&gt;"pvp",Inputs!$B$43&gt;0),IF(Inputs!$B$43&lt;=0,0,(INT(Inputs!$B$43/(IF(Inputs!$B$38="pvp",15,MAX(0.1,Skills!D15-IF(Skills!E15=TRUE,Inputs!$B$32,0)))*(1-IF(AND(ArtifactsInput!$M$27,Inputs!$B$4="Chapter Hunt"),CHOOSE(ArtifactsInput!$N$27+1,20,24,28,32,36,40),0)/100)))+1)),0)</f>
        <v/>
      </c>
      <c r="S554">
        <f>IFERROR(O554/N554,0)</f>
        <v/>
      </c>
      <c r="T554" t="n">
        <v>0</v>
      </c>
      <c r="V554" t="n">
        <v>0</v>
      </c>
    </row>
    <row r="555">
      <c r="A555">
        <f>Skills!A16</f>
        <v/>
      </c>
      <c r="B555">
        <f>Skills!B16</f>
        <v/>
      </c>
      <c r="C555">
        <f>Inputs!$B$3&gt;=15</f>
        <v/>
      </c>
      <c r="D555">
        <f>IF(Skills!C16=1,60+Inputs!$B$25+Inputs!$B$29,IF(Skills!C16=2,90+Inputs!$B$26+Inputs!$B$29,IF(Skills!C16=3,120+Inputs!$B$27+Inputs!$B$29,MAX(0,(Inputs!$B$3-100)*3)+Inputs!$B$28+Inputs!$B$29)))</f>
        <v/>
      </c>
      <c r="E555">
        <f>INDEX(FactorTable!$B$2:$Y$301, MATCH(ROUND(MIN(300,MAX(1,D555)),0), FactorTable!$A$2:$A$301,0), Skills!M16+1)</f>
        <v/>
      </c>
      <c r="F555">
        <f>IF(Skills!N16=TRUE,(Skills!L16/10)*(E555/1000),Skills!L16/10)+Skills!O16</f>
        <v/>
      </c>
      <c r="G555">
        <f>Skills!G16*IF(Skills!H16&gt;0,Skills!I16/Skills!H16,1)</f>
        <v/>
      </c>
      <c r="H555">
        <f>1-(1-Skills!J16/100)^Skills!K16</f>
        <v/>
      </c>
      <c r="I555" t="inlineStr">
        <is>
          <t>1</t>
        </is>
      </c>
      <c r="J555" t="inlineStr"/>
      <c r="K555" t="inlineStr"/>
      <c r="L555" t="inlineStr"/>
      <c r="M555" t="inlineStr"/>
      <c r="N555" t="inlineStr"/>
      <c r="O555">
        <f>(1-Summary!$B$11)*T555+Summary!$B$11*V555</f>
        <v/>
      </c>
      <c r="P555">
        <f>IF(B575=0,0,O555/B575)</f>
        <v/>
      </c>
      <c r="Q555" t="n">
        <v>0</v>
      </c>
      <c r="R555" t="n">
        <v>0</v>
      </c>
      <c r="S555">
        <f>IFERROR(O555/N555,0)</f>
        <v/>
      </c>
      <c r="T555" t="n">
        <v>0</v>
      </c>
      <c r="V555" t="n">
        <v>0</v>
      </c>
    </row>
    <row r="556">
      <c r="A556">
        <f>Skills!A17</f>
        <v/>
      </c>
      <c r="B556">
        <f>Skills!B17</f>
        <v/>
      </c>
      <c r="C556">
        <f>Inputs!$B$3&gt;=10</f>
        <v/>
      </c>
      <c r="D556">
        <f>IF(Skills!C17=1,60+Inputs!$B$25+Inputs!$B$29,IF(Skills!C17=2,90+Inputs!$B$26+Inputs!$B$29,IF(Skills!C17=3,120+Inputs!$B$27+Inputs!$B$29,MAX(0,(Inputs!$B$3-100)*3)+Inputs!$B$28+Inputs!$B$29)))</f>
        <v/>
      </c>
      <c r="E556">
        <f>INDEX(FactorTable!$B$2:$Y$301, MATCH(ROUND(MIN(300,MAX(1,D556)),0), FactorTable!$A$2:$A$301,0), Skills!M17+1)</f>
        <v/>
      </c>
      <c r="F556">
        <f>IF(Skills!N17=TRUE,(Skills!L17/10)*(E556/1000),Skills!L17/10)+Skills!O17</f>
        <v/>
      </c>
      <c r="G556">
        <f>Skills!G17*IF(Skills!H17&gt;0,Skills!I17/Skills!H17,1)</f>
        <v/>
      </c>
      <c r="H556">
        <f>1-(1-Skills!J17/100)^Skills!K17</f>
        <v/>
      </c>
      <c r="I556" t="inlineStr">
        <is>
          <t>1</t>
        </is>
      </c>
      <c r="J556" t="inlineStr"/>
      <c r="K556" t="inlineStr"/>
      <c r="L556" t="inlineStr"/>
      <c r="M556" t="inlineStr"/>
      <c r="N556" t="inlineStr"/>
      <c r="O556">
        <f>(1-Summary!$B$11)*T556+Summary!$B$11*V556</f>
        <v/>
      </c>
      <c r="P556">
        <f>IF(B575=0,0,O556/B575)</f>
        <v/>
      </c>
      <c r="Q556" t="n">
        <v>0</v>
      </c>
      <c r="R556" t="n">
        <v>0</v>
      </c>
      <c r="S556">
        <f>IFERROR(O556/N556,0)</f>
        <v/>
      </c>
      <c r="T556" t="n">
        <v>0</v>
      </c>
      <c r="V556" t="n">
        <v>0</v>
      </c>
    </row>
    <row r="557">
      <c r="A557">
        <f>Skills!A18</f>
        <v/>
      </c>
      <c r="B557">
        <f>Skills!B18</f>
        <v/>
      </c>
      <c r="C557">
        <f>Inputs!$B$3&gt;=33</f>
        <v/>
      </c>
      <c r="D557">
        <f>IF(Skills!C18=1,60+Inputs!$B$25+Inputs!$B$29,IF(Skills!C18=2,90+Inputs!$B$26+Inputs!$B$29,IF(Skills!C18=3,120+Inputs!$B$27+Inputs!$B$29,MAX(0,(Inputs!$B$3-100)*3)+Inputs!$B$28+Inputs!$B$29)))</f>
        <v/>
      </c>
      <c r="E557">
        <f>INDEX(FactorTable!$B$2:$Y$301, MATCH(ROUND(MIN(300,MAX(1,D557)),0), FactorTable!$A$2:$A$301,0), Skills!M18+1)</f>
        <v/>
      </c>
      <c r="F557">
        <f>IF(Skills!N18=TRUE,(Skills!L18/10)*(E557/1000),Skills!L18/10)+Skills!O18</f>
        <v/>
      </c>
      <c r="G557">
        <f>Skills!G18*IF(Skills!H18&gt;0,Skills!I18/Skills!H18,1)</f>
        <v/>
      </c>
      <c r="H557">
        <f>1-(1-Skills!J18/100)^Skills!K18</f>
        <v/>
      </c>
      <c r="I557" t="inlineStr">
        <is>
          <t>1</t>
        </is>
      </c>
      <c r="J557" t="inlineStr"/>
      <c r="K557" t="inlineStr"/>
      <c r="L557" t="inlineStr"/>
      <c r="M557" t="inlineStr"/>
      <c r="N557" t="inlineStr"/>
      <c r="O557">
        <f>(1-Summary!$B$11)*T557+Summary!$B$11*V557</f>
        <v/>
      </c>
      <c r="P557">
        <f>IF(B575=0,0,O557/B575)</f>
        <v/>
      </c>
      <c r="Q557" t="n">
        <v>0</v>
      </c>
      <c r="R557" t="n">
        <v>0</v>
      </c>
      <c r="S557">
        <f>IFERROR(O557/N557,0)</f>
        <v/>
      </c>
      <c r="T557" t="n">
        <v>0</v>
      </c>
      <c r="V557" t="n">
        <v>0</v>
      </c>
    </row>
    <row r="558">
      <c r="A558">
        <f>Skills!A19</f>
        <v/>
      </c>
      <c r="B558">
        <f>Skills!B19</f>
        <v/>
      </c>
      <c r="C558">
        <f>Inputs!$B$3&gt;=40</f>
        <v/>
      </c>
      <c r="D558">
        <f>IF(Skills!C19=1,60+Inputs!$B$25+Inputs!$B$29,IF(Skills!C19=2,90+Inputs!$B$26+Inputs!$B$29,IF(Skills!C19=3,120+Inputs!$B$27+Inputs!$B$29,MAX(0,(Inputs!$B$3-100)*3)+Inputs!$B$28+Inputs!$B$29)))</f>
        <v/>
      </c>
      <c r="E558">
        <f>INDEX(FactorTable!$B$2:$Y$301, MATCH(ROUND(MIN(300,MAX(1,D558)),0), FactorTable!$A$2:$A$301,0), Skills!M19+1)</f>
        <v/>
      </c>
      <c r="F558">
        <f>IF(Skills!N19=TRUE,(Skills!L19/10)*(E558/1000),Skills!L19/10)+Skills!O19</f>
        <v/>
      </c>
      <c r="G558">
        <f>Skills!G19*IF(Skills!H19&gt;0,Skills!I19/Skills!H19,1)</f>
        <v/>
      </c>
      <c r="H558">
        <f>1-(1-Skills!J19/100)^Skills!K19</f>
        <v/>
      </c>
      <c r="I558" t="inlineStr">
        <is>
          <t>1</t>
        </is>
      </c>
      <c r="J558" t="inlineStr"/>
      <c r="K558" t="inlineStr"/>
      <c r="L558" t="inlineStr"/>
      <c r="M558" t="inlineStr"/>
      <c r="N558" t="inlineStr"/>
      <c r="O558">
        <f>(1-Summary!$B$11)*T558+Summary!$B$11*V558</f>
        <v/>
      </c>
      <c r="P558">
        <f>IF(B575=0,0,O558/B575)</f>
        <v/>
      </c>
      <c r="Q558" t="n">
        <v>0</v>
      </c>
      <c r="R558" t="n">
        <v>0</v>
      </c>
      <c r="S558">
        <f>IFERROR(O558/N558,0)</f>
        <v/>
      </c>
      <c r="T558" t="n">
        <v>0</v>
      </c>
      <c r="V558" t="n">
        <v>0</v>
      </c>
    </row>
    <row r="559">
      <c r="A559">
        <f>Skills!A20</f>
        <v/>
      </c>
      <c r="B559">
        <f>Skills!B20</f>
        <v/>
      </c>
      <c r="C559">
        <f>Inputs!$B$3&gt;=43</f>
        <v/>
      </c>
      <c r="D559">
        <f>IF(Skills!C20=1,60+Inputs!$B$25+Inputs!$B$29,IF(Skills!C20=2,90+Inputs!$B$26+Inputs!$B$29,IF(Skills!C20=3,120+Inputs!$B$27+Inputs!$B$29,MAX(0,(Inputs!$B$3-100)*3)+Inputs!$B$28+Inputs!$B$29)))</f>
        <v/>
      </c>
      <c r="E559">
        <f>INDEX(FactorTable!$B$2:$Y$301, MATCH(ROUND(MIN(300,MAX(1,D559)),0), FactorTable!$A$2:$A$301,0), Skills!M20+1)</f>
        <v/>
      </c>
      <c r="F559">
        <f>IF(Skills!N20=TRUE,(Skills!L20/10)*(E559/1000),Skills!L20/10)+Skills!O20</f>
        <v/>
      </c>
      <c r="G559">
        <f>Skills!G20*IF(Skills!H20&gt;0,Skills!I20/Skills!H20,1)</f>
        <v/>
      </c>
      <c r="H559">
        <f>1-(1-Skills!J20/100)^Skills!K20</f>
        <v/>
      </c>
      <c r="I559" t="inlineStr">
        <is>
          <t>1</t>
        </is>
      </c>
      <c r="J559" t="inlineStr"/>
      <c r="K559" t="inlineStr"/>
      <c r="L559" t="inlineStr"/>
      <c r="M559" t="inlineStr"/>
      <c r="N559" t="inlineStr"/>
      <c r="O559">
        <f>(1-Summary!$B$11)*T559+Summary!$B$11*V559</f>
        <v/>
      </c>
      <c r="P559">
        <f>IF(B575=0,0,O559/B575)</f>
        <v/>
      </c>
      <c r="Q559" t="n">
        <v>0</v>
      </c>
      <c r="R559" t="n">
        <v>0</v>
      </c>
      <c r="S559">
        <f>IFERROR(O559/N559,0)</f>
        <v/>
      </c>
      <c r="T559" t="n">
        <v>0</v>
      </c>
      <c r="V559" t="n">
        <v>0</v>
      </c>
    </row>
    <row r="560">
      <c r="A560">
        <f>Skills!A21</f>
        <v/>
      </c>
      <c r="B560">
        <f>Skills!B21</f>
        <v/>
      </c>
      <c r="C560">
        <f>Inputs!$B$3&gt;=38</f>
        <v/>
      </c>
      <c r="D560">
        <f>IF(Skills!C21=1,60+Inputs!$B$25+Inputs!$B$29,IF(Skills!C21=2,90+Inputs!$B$26+Inputs!$B$29,IF(Skills!C21=3,120+Inputs!$B$27+Inputs!$B$29,MAX(0,(Inputs!$B$3-100)*3)+Inputs!$B$28+Inputs!$B$29)))</f>
        <v/>
      </c>
      <c r="E560">
        <f>INDEX(FactorTable!$B$2:$Y$301, MATCH(ROUND(MIN(300,MAX(1,D560)),0), FactorTable!$A$2:$A$301,0), Skills!M21+1)</f>
        <v/>
      </c>
      <c r="F560">
        <f>IF(Skills!N21=TRUE,(Skills!L21/10)*(E560/1000),Skills!L21/10)+Skills!O21</f>
        <v/>
      </c>
      <c r="G560">
        <f>Skills!G21*IF(Skills!H21&gt;0,Skills!I21/Skills!H21,1)</f>
        <v/>
      </c>
      <c r="H560">
        <f>1-(1-Skills!J21/100)^Skills!K21</f>
        <v/>
      </c>
      <c r="I560" t="inlineStr">
        <is>
          <t>1</t>
        </is>
      </c>
      <c r="J560" t="inlineStr"/>
      <c r="K560" t="inlineStr"/>
      <c r="L560" t="inlineStr"/>
      <c r="M560" t="inlineStr"/>
      <c r="N560" t="inlineStr"/>
      <c r="O560">
        <f>(1-Summary!$B$11)*T560+Summary!$B$11*V560</f>
        <v/>
      </c>
      <c r="P560">
        <f>IF(B575=0,0,O560/B575)</f>
        <v/>
      </c>
      <c r="Q560" t="n">
        <v>0</v>
      </c>
      <c r="R560" t="n">
        <v>0</v>
      </c>
      <c r="S560">
        <f>IFERROR(O560/N560,0)</f>
        <v/>
      </c>
      <c r="T560" t="n">
        <v>0</v>
      </c>
      <c r="V560" t="n">
        <v>0</v>
      </c>
    </row>
    <row r="561">
      <c r="A561">
        <f>Skills!A22</f>
        <v/>
      </c>
      <c r="B561">
        <f>Skills!B22</f>
        <v/>
      </c>
      <c r="C561">
        <f>Inputs!$B$3&gt;=75</f>
        <v/>
      </c>
      <c r="D561">
        <f>IF(Skills!C22=1,60+Inputs!$B$25+Inputs!$B$29,IF(Skills!C22=2,90+Inputs!$B$26+Inputs!$B$29,IF(Skills!C22=3,120+Inputs!$B$27+Inputs!$B$29,MAX(0,(Inputs!$B$3-100)*3)+Inputs!$B$28+Inputs!$B$29)))</f>
        <v/>
      </c>
      <c r="E561">
        <f>INDEX(FactorTable!$B$2:$Y$301, MATCH(ROUND(MIN(300,MAX(1,D561)),0), FactorTable!$A$2:$A$301,0), Skills!M22+1)</f>
        <v/>
      </c>
      <c r="F561">
        <f>IF(Skills!N22=TRUE,(Skills!L22/10)*(E561/1000),Skills!L22/10)+Skills!O22</f>
        <v/>
      </c>
      <c r="G561">
        <f>Skills!G22*IF(Skills!H22&gt;0,Skills!I22/Skills!H22,1)</f>
        <v/>
      </c>
      <c r="H561">
        <f>1-(1-Skills!J22/100)^Skills!K22</f>
        <v/>
      </c>
      <c r="I561" t="inlineStr">
        <is>
          <t>1</t>
        </is>
      </c>
      <c r="J561" t="inlineStr"/>
      <c r="K561" t="inlineStr"/>
      <c r="L561" t="inlineStr"/>
      <c r="M561" t="inlineStr"/>
      <c r="N561" t="inlineStr"/>
      <c r="O561">
        <f>(1-Summary!$B$11)*T561+Summary!$B$11*V561</f>
        <v/>
      </c>
      <c r="P561">
        <f>IF(B575=0,0,O561/B575)</f>
        <v/>
      </c>
      <c r="Q561" t="n">
        <v>0</v>
      </c>
      <c r="R561" t="n">
        <v>0</v>
      </c>
      <c r="S561">
        <f>IFERROR(O561/N561,0)</f>
        <v/>
      </c>
      <c r="T561" t="n">
        <v>0</v>
      </c>
      <c r="V561" t="n">
        <v>0</v>
      </c>
    </row>
    <row r="562">
      <c r="A562">
        <f>Skills!A23</f>
        <v/>
      </c>
      <c r="B562">
        <f>Skills!B23</f>
        <v/>
      </c>
      <c r="C562">
        <f>TRUE</f>
        <v/>
      </c>
      <c r="D562">
        <f>IF(Skills!C23=1,60+Inputs!$B$25+Inputs!$B$29,IF(Skills!C23=2,90+Inputs!$B$26+Inputs!$B$29,IF(Skills!C23=3,120+Inputs!$B$27+Inputs!$B$29,MAX(0,(Inputs!$B$3-100)*3)+Inputs!$B$28+Inputs!$B$29)))</f>
        <v/>
      </c>
      <c r="E562">
        <f>INDEX(FactorTable!$B$2:$Y$301, MATCH(ROUND(MIN(300,MAX(1,D562)),0), FactorTable!$A$2:$A$301,0), Skills!M23+1)</f>
        <v/>
      </c>
      <c r="F562">
        <f>IF(Skills!N23=TRUE,(Skills!L23/10)*(E562/1000),Skills!L23/10)+Skills!O23</f>
        <v/>
      </c>
      <c r="G562">
        <f>Skills!G23*IF(Skills!H23&gt;0,Skills!I23/Skills!H23,1)</f>
        <v/>
      </c>
      <c r="H562">
        <f>1-(1-Skills!J23/100)^Skills!K23</f>
        <v/>
      </c>
      <c r="I562" t="inlineStr">
        <is>
          <t>1</t>
        </is>
      </c>
      <c r="J562" t="inlineStr"/>
      <c r="K562" t="inlineStr"/>
      <c r="L562" t="inlineStr"/>
      <c r="M562" t="inlineStr"/>
      <c r="N562" t="inlineStr"/>
      <c r="O562">
        <f>(1-Summary!$B$11)*T562+Summary!$B$11*V562</f>
        <v/>
      </c>
      <c r="P562">
        <f>IF(B575=0,0,O562/B575)</f>
        <v/>
      </c>
      <c r="Q562">
        <f>IFERROR(1/(IF(Inputs!$B$38="pvp",15,MAX(0.1,Skills!D23-IF(Skills!E23=TRUE,Inputs!$B$32,0)))*(1-IF(AND(ArtifactsInput!$M$27,Inputs!$B$4="Chapter Hunt"),CHOOSE(ArtifactsInput!$N$27+1,20,24,28,32,36,40),0)/100)),0)</f>
        <v/>
      </c>
      <c r="R562">
        <f>IF(AND(Inputs!$B$38&lt;&gt;"pvp",Inputs!$B$43&gt;0),IF(Inputs!$B$43&lt;=0,0,(INT(Inputs!$B$43/(IF(Inputs!$B$38="pvp",15,MAX(0.1,Skills!D23-IF(Skills!E23=TRUE,Inputs!$B$32,0)))*(1-IF(AND(ArtifactsInput!$M$27,Inputs!$B$4="Chapter Hunt"),CHOOSE(ArtifactsInput!$N$27+1,20,24,28,32,36,40),0)/100)))+1)),0)</f>
        <v/>
      </c>
      <c r="S562">
        <f>IFERROR(O562/N562,0)</f>
        <v/>
      </c>
      <c r="T562" t="n">
        <v>0</v>
      </c>
      <c r="V562" t="n">
        <v>0</v>
      </c>
    </row>
    <row r="564">
      <c r="A564" t="inlineStr">
        <is>
          <t>Attack% Bucket Multiplier</t>
        </is>
      </c>
      <c r="B564">
        <f>(1+(((C552=TRUE)*F552*5/7)+((C558=TRUE)*(F558-Calc!F19))+(IF(ArtifactsInput!$M$21,CHOOSE(ArtifactsInput!$N$21+1,25,30,35,40,45,50)*(IF(OR(Inputs!$B$4="Chapter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65">
      <c r="A565" t="inlineStr">
        <is>
          <t>Global Crit Rate Bonus %</t>
        </is>
      </c>
      <c r="B565" t="n">
        <v>0</v>
      </c>
    </row>
    <row r="566">
      <c r="A566" t="inlineStr">
        <is>
          <t>Attack Speed Buff Bonus % (Nimble Feet, duty-cycle averaged)</t>
        </is>
      </c>
      <c r="B566">
        <f>((C562=TRUE)*F562*IF(AND(Inputs!$B$38&lt;&gt;"pvp",Inputs!$B$43&gt;0),(((R562-1)*(Skills!T23*(1+Inputs!$B$34/100))+MIN((Skills!T23*(1+Inputs!$B$34/100)),MAX(0,Inputs!$B$43-((R562-1)*Skills!D23))))/Inputs!$B$43),IF(Inputs!$B$38="pvp",MIN((Skills!T23*(1+Inputs!$B$34/100)),15)/15,(Skills!T23*(1+Inputs!$B$34/100))/Skills!D23)))</f>
        <v/>
      </c>
    </row>
    <row r="567">
      <c r="A567" t="inlineStr">
        <is>
          <t>Actions Per Second</t>
        </is>
      </c>
      <c r="B567">
        <f>1+MIN(150,150*(1-(1-(((1-(1-Inputs!$B$11/150)*(1-1/150))*150)+((C556=TRUE)*(F556-Calc!F17))+((C557=TRUE)*(F557-Calc!F18)))/150)*(1-B566/150)))/100</f>
        <v/>
      </c>
    </row>
    <row r="568">
      <c r="A568" t="inlineStr">
        <is>
          <t>Skill + Buff Cast Rate</t>
        </is>
      </c>
      <c r="B568">
        <f>IF(AND(Inputs!$B$38&lt;&gt;"pvp",Inputs!$B$43&gt;0),SUMPRODUCT((Skills!E2:E23=TRUE)*(C541:C562=TRUE)*R541:R562*Skills!F2:F23)/Inputs!$B$43,SUMPRODUCT((Skills!E2:E23=TRUE)*(C541:C562=TRUE)*Q541:Q562*Skills!F2:F23))</f>
        <v/>
      </c>
    </row>
    <row r="569">
      <c r="A569" t="inlineStr">
        <is>
          <t>Hook Bomber Casts Per Second</t>
        </is>
      </c>
      <c r="B569">
        <f>MAX(0,B567-B568)</f>
        <v/>
      </c>
    </row>
    <row r="570">
      <c r="A570" t="inlineStr">
        <is>
          <t>Global Critical Damage Bonus % (unused)</t>
        </is>
      </c>
      <c r="B570" t="n">
        <v>0</v>
      </c>
    </row>
    <row r="571">
      <c r="A571" t="inlineStr">
        <is>
          <t>Global Final Damage Bonus % (Serpent Scale + Crossbones + Time Leap + Speed Infusion)</t>
        </is>
      </c>
      <c r="B571">
        <f>((C544=TRUE)*F544*((10+IF(Inputs!$B$3&gt;=94,5,0))/((10+IF(Inputs!$B$3&gt;=94,5,0))+5/(B569*(1+IF(Inputs!$B$3&gt;=104,1,0))))))+((C553=TRUE)*F553*IF(AND(Inputs!$B$38&lt;&gt;"pvp",Inputs!$B$43&gt;0),(((R553-1)*(Skills!T14*(1+Inputs!$B$34/100))+MIN((Skills!T14*(1+Inputs!$B$34/100)),MAX(0,Inputs!$B$43-((R553-1)*Skills!D14))))/Inputs!$B$43),IF(Inputs!$B$38="pvp",MIN((Skills!T14*(1+Inputs!$B$34/100)),15)/15,(Skills!T14*(1+Inputs!$B$34/100))/Skills!D14)))+((C554=TRUE)*F554*IF(AND(Inputs!$B$38&lt;&gt;"pvp",Inputs!$B$43&gt;0),(((R554-1)*(Skills!T15*(1+Inputs!$B$34/100))+MIN((Skills!T15*(1+Inputs!$B$34/100)),MAX(0,Inputs!$B$43-((R554-1)*Skills!D15))))/Inputs!$B$43),IF(Inputs!$B$38="pvp",MIN((Skills!T15*(1+Inputs!$B$34/100)),15)/15,(Skills!T15*(1+Inputs!$B$34/100))/Skills!D15)))+((Inputs!$B$3&gt;=110)*20*(B567-1)*IF(Inputs!$B$38="pvp",MIN((15*(1+Inputs!$B$34/100)),15)/15,(15*(1+Inputs!$B$34/100))/35))</f>
        <v/>
      </c>
    </row>
    <row r="572">
      <c r="A572" t="inlineStr">
        <is>
          <t>Buff-Casting Startup Delay (s, fixed-duration only)</t>
        </is>
      </c>
      <c r="B572">
        <f>IF(AND(Inputs!$B$38&lt;&gt;"pvp",Inputs!$B$43&gt;0),SUMPRODUCT((Skills!T2:T23&gt;0)*(Skills!E2:E23=TRUE)*(C541:C562=TRUE))/B567,0)</f>
        <v/>
      </c>
    </row>
    <row r="573">
      <c r="A573" t="inlineStr">
        <is>
          <t>Boss-Only Total DPS (this block's swept value)</t>
        </is>
      </c>
      <c r="B573">
        <f>SUM(T541:T562)</f>
        <v/>
      </c>
    </row>
    <row r="574">
      <c r="A574" t="inlineStr">
        <is>
          <t>Normal-Only Total DPS (this block's swept value)</t>
        </is>
      </c>
      <c r="B574">
        <f>SUM(V541:V562)</f>
        <v/>
      </c>
    </row>
    <row r="575">
      <c r="A575" s="6" t="inlineStr">
        <is>
          <t>TOTAL DPS</t>
        </is>
      </c>
      <c r="B575" s="6">
        <f>SUM(O541:O562)</f>
        <v/>
      </c>
    </row>
    <row r="578">
      <c r="A578" s="6" t="inlineStr">
        <is>
          <t>Stat: DEF_PEN % (diminishing returns, factor 100)</t>
        </is>
      </c>
    </row>
    <row r="579">
      <c r="A579" s="5" t="inlineStr">
        <is>
          <t>Key</t>
        </is>
      </c>
      <c r="B579" s="5" t="inlineStr">
        <is>
          <t>Name</t>
        </is>
      </c>
      <c r="C579" s="5" t="inlineStr">
        <is>
          <t>Unlocked</t>
        </is>
      </c>
      <c r="D579" s="5" t="inlineStr">
        <is>
          <t>InputLevel</t>
        </is>
      </c>
      <c r="E579" s="5" t="inlineStr">
        <is>
          <t>Factor</t>
        </is>
      </c>
      <c r="F579" s="5" t="inlineStr">
        <is>
          <t>CoefficientPercent</t>
        </is>
      </c>
      <c r="G579" s="5" t="inlineStr">
        <is>
          <t>EffectiveHits</t>
        </is>
      </c>
      <c r="H579" s="5" t="inlineStr">
        <is>
          <t>ProcProbability</t>
        </is>
      </c>
      <c r="I579" s="5" t="inlineStr">
        <is>
          <t>MapleHeroMultiplier</t>
        </is>
      </c>
      <c r="J579" s="5" t="inlineStr">
        <is>
          <t>BaseDamage</t>
        </is>
      </c>
      <c r="K579" s="5" t="inlineStr">
        <is>
          <t>BaseHitDamage</t>
        </is>
      </c>
      <c r="L579" s="5" t="inlineStr">
        <is>
          <t>NonCritAvg</t>
        </is>
      </c>
      <c r="M579" s="5" t="inlineStr">
        <is>
          <t>CritAvg</t>
        </is>
      </c>
      <c r="N579" s="5" t="inlineStr">
        <is>
          <t>ExpectedDamage(perHit)</t>
        </is>
      </c>
      <c r="O579" s="5" t="inlineStr">
        <is>
          <t>DPS</t>
        </is>
      </c>
      <c r="P579" s="5" t="inlineStr">
        <is>
          <t>% of Total</t>
        </is>
      </c>
      <c r="Q579" s="5" t="inlineStr">
        <is>
          <t>InvCooldown</t>
        </is>
      </c>
      <c r="R579" s="5" t="inlineStr">
        <is>
          <t>CastsInFight</t>
        </is>
      </c>
      <c r="S579" s="5" t="inlineStr">
        <is>
          <t>HitRate(perSec)</t>
        </is>
      </c>
      <c r="U579" t="inlineStr">
        <is>
          <t>helpers</t>
        </is>
      </c>
    </row>
    <row r="580">
      <c r="A580">
        <f>Skills!A2</f>
        <v/>
      </c>
      <c r="B580">
        <f>Skills!B2</f>
        <v/>
      </c>
      <c r="C580">
        <f>Inputs!$B$3&gt;=100</f>
        <v/>
      </c>
      <c r="D580" t="inlineStr"/>
      <c r="E580" t="inlineStr"/>
      <c r="F580">
        <f>U582+Skills!O2</f>
        <v/>
      </c>
      <c r="G580">
        <f>Skills!G2*IF(Skills!H2&gt;0,Skills!I2/Skills!H2,1)</f>
        <v/>
      </c>
      <c r="H580">
        <f>1-(1-Skills!J2/100)^Skills!K2</f>
        <v/>
      </c>
      <c r="I580" t="inlineStr">
        <is>
          <t>1</t>
        </is>
      </c>
      <c r="J580">
        <f>((Inputs!$B$6*(1+Inputs!$B$7/100))+(((Inputs!$B$12*(1+Inputs!$B$13/100))-(Inputs!$B$12*(1+Inputs!$B$13/100)))+0.25*(Inputs!$B$14-Inputs!$B$14))*(1+Inputs!$B$7/100))*(F580/100)</f>
        <v/>
      </c>
      <c r="K580">
        <f>J580*(1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580)</f>
        <v/>
      </c>
      <c r="L580">
        <f>K580*(MIN(Inputs!$B$22+((C598=TRUE)*(F598-Calc!F20)),(Inputs!$B$23+0+(IF(ArtifactsInput!$M$15,CHOOSE(ArtifactsInput!$N$15+1,25,30,35,40,45,50)/100*(Inputs!$B$11-Inputs!$B$11),0))))/100+(Inputs!$B$23+0+(IF(ArtifactsInput!$M$15,CHOOSE(ArtifactsInput!$N$15+1,25,30,35,40,45,50)/100*(Inputs!$B$11-Inputs!$B$11),0)))/100)/2</f>
        <v/>
      </c>
      <c r="M580">
        <f>L580*(1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0">
        <f>L580*(1-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580*(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0">
        <f>(1-Summary!$B$11)*T580+Summary!$B$11*V580</f>
        <v/>
      </c>
      <c r="P580">
        <f>IF(B614=0,0,O580/B614)</f>
        <v/>
      </c>
      <c r="Q580" t="n">
        <v>0</v>
      </c>
      <c r="R580" t="n">
        <v>0</v>
      </c>
      <c r="S580">
        <f>IFERROR(O580/N580,0)</f>
        <v/>
      </c>
      <c r="T580">
        <f>IF(C580,(Skills!G2*N580*B608)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580*(1-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580*(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580*(1-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580*(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0">
        <f>MAX(0,(Inputs!$B$3-100)*3)+Inputs!$B$28+Inputs!$B$29</f>
        <v/>
      </c>
      <c r="V580">
        <f>IF(C580,(Skills!G2*N580*B608)*IF(Inputs!$B$38="pvp",1,(1+(Inputs!$B$21+Skills!Q2+(IF(ArtifactsInput!$M$33,CHOOSE(ArtifactsInput!$N$33+1,30,36,42,48,54,60),0))+(IF(AND(ArtifactsInput!$M$35,Inputs!$B$4&lt;&gt;"Chapter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1">
      <c r="A581">
        <f>Skills!A3</f>
        <v/>
      </c>
      <c r="B581">
        <f>Skills!B3</f>
        <v/>
      </c>
      <c r="C581">
        <f>Inputs!$B$3&gt;=35</f>
        <v/>
      </c>
      <c r="D581">
        <f>IF(Skills!C3=1,60+Inputs!$B$25+Inputs!$B$29,IF(Skills!C3=2,90+Inputs!$B$26+Inputs!$B$29,IF(Skills!C3=3,120+Inputs!$B$27+Inputs!$B$29,MAX(0,(Inputs!$B$3-100)*3)+Inputs!$B$28+Inputs!$B$29)))</f>
        <v/>
      </c>
      <c r="E581">
        <f>INDEX(FactorTable!$B$2:$Y$301, MATCH(ROUND(MIN(300,MAX(1,D581)),0), FactorTable!$A$2:$A$301,0), Skills!M3+1)</f>
        <v/>
      </c>
      <c r="F581">
        <f>IF(Skills!N3=TRUE,(Skills!L3/10)*(E581/1000),Skills!L3/10)+Skills!O3</f>
        <v/>
      </c>
      <c r="G581">
        <f>Skills!G3*IF(Skills!H3&gt;0,Skills!I3/Skills!H3,1)</f>
        <v/>
      </c>
      <c r="H581">
        <f>1-(1-Skills!J3/100)^Skills!K3</f>
        <v/>
      </c>
      <c r="I581" t="inlineStr">
        <is>
          <t>1</t>
        </is>
      </c>
      <c r="J581">
        <f>((Inputs!$B$6*(1+Inputs!$B$7/100))+(((Inputs!$B$12*(1+Inputs!$B$13/100))-(Inputs!$B$12*(1+Inputs!$B$13/100)))+0.25*(Inputs!$B$14-Inputs!$B$14))*(1+Inputs!$B$7/100))*(F581/100)</f>
        <v/>
      </c>
      <c r="K581">
        <f>J581*(1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581)</f>
        <v/>
      </c>
      <c r="L581">
        <f>K581*(MIN(Inputs!$B$22+((C598=TRUE)*(F598-Calc!F20)),(Inputs!$B$23+0+(IF(ArtifactsInput!$M$15,CHOOSE(ArtifactsInput!$N$15+1,25,30,35,40,45,50)/100*(Inputs!$B$11-Inputs!$B$11),0))))/100+(Inputs!$B$23+0+(IF(ArtifactsInput!$M$15,CHOOSE(ArtifactsInput!$N$15+1,25,30,35,40,45,50)/100*(Inputs!$B$11-Inputs!$B$11),0)))/100)/2</f>
        <v/>
      </c>
      <c r="M581">
        <f>L581*(1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1">
        <f>L581*(1-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1">
        <f>(1-Summary!$B$11)*T581+Summary!$B$11*V581</f>
        <v/>
      </c>
      <c r="P581">
        <f>IF(B614=0,0,O581/B614)</f>
        <v/>
      </c>
      <c r="Q581" t="n">
        <v>0</v>
      </c>
      <c r="R581" t="n">
        <v>0</v>
      </c>
      <c r="S581">
        <f>IFERROR(O581/N581,0)</f>
        <v/>
      </c>
      <c r="T581">
        <f>IF(C581,(Skills!G3*H581*N581*B608)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581*(1-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581*(1-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1">
        <f>INDEX(FactorTable!$B$2:$Y$301, MATCH(ROUND(MIN(300,MAX(1,U580)),0), FactorTable!$A$2:$A$301,0), 22)</f>
        <v/>
      </c>
      <c r="V581">
        <f>IF(C581,(Skills!G3*H581*N581*B608)*IF(Inputs!$B$38="pvp",1,(1+(Inputs!$B$21+Skills!Q3+(IF(ArtifactsInput!$M$33,CHOOSE(ArtifactsInput!$N$33+1,30,36,42,48,54,60),0))+(IF(AND(ArtifactsInput!$M$35,Inputs!$B$4&lt;&gt;"Chapter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2">
      <c r="A582">
        <f>Skills!A4</f>
        <v/>
      </c>
      <c r="B582">
        <f>Skills!B4</f>
        <v/>
      </c>
      <c r="C582">
        <f>Inputs!$B$3&gt;=60</f>
        <v/>
      </c>
      <c r="D582">
        <f>IF(Skills!C4=1,60+Inputs!$B$25+Inputs!$B$29,IF(Skills!C4=2,90+Inputs!$B$26+Inputs!$B$29,IF(Skills!C4=3,120+Inputs!$B$27+Inputs!$B$29,MAX(0,(Inputs!$B$3-100)*3)+Inputs!$B$28+Inputs!$B$29)))</f>
        <v/>
      </c>
      <c r="E582">
        <f>INDEX(FactorTable!$B$2:$Y$301, MATCH(ROUND(MIN(300,MAX(1,D582)),0), FactorTable!$A$2:$A$301,0), Skills!M4+1)</f>
        <v/>
      </c>
      <c r="F582">
        <f>IF(Skills!N4=TRUE,(Skills!L4/10)*(E582/1000),Skills!L4/10)+Skills!O4</f>
        <v/>
      </c>
      <c r="G582">
        <f>Skills!G4*IF(Skills!H4&gt;0,Skills!I4/Skills!H4,1)</f>
        <v/>
      </c>
      <c r="H582">
        <f>1-(1-Skills!J4/100)^Skills!K4</f>
        <v/>
      </c>
      <c r="I582" t="inlineStr">
        <is>
          <t>1</t>
        </is>
      </c>
      <c r="J582">
        <f>((Inputs!$B$6*(1+Inputs!$B$7/100))+(((Inputs!$B$12*(1+Inputs!$B$13/100))-(Inputs!$B$12*(1+Inputs!$B$13/100)))+0.25*(Inputs!$B$14-Inputs!$B$14))*(1+Inputs!$B$7/100))*(F582/100)</f>
        <v/>
      </c>
      <c r="K582">
        <f>J582*(1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590=TRUE,F590,0)/100)*(1+(IF(Skills!A4="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582)</f>
        <v/>
      </c>
      <c r="L582">
        <f>K582*(MIN(Inputs!$B$22+((C598=TRUE)*(F598-Calc!F20)),(Inputs!$B$23+0+(IF(ArtifactsInput!$M$15,CHOOSE(ArtifactsInput!$N$15+1,25,30,35,40,45,50)/100*(Inputs!$B$11-Inputs!$B$11),0))))/100+(Inputs!$B$23+0+(IF(ArtifactsInput!$M$15,CHOOSE(ArtifactsInput!$N$15+1,25,30,35,40,45,50)/100*(Inputs!$B$11-Inputs!$B$11),0)))/100)/2</f>
        <v/>
      </c>
      <c r="M582">
        <f>L582*(1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2">
        <f>L582*(1-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582*(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2">
        <f>(1-Summary!$B$11)*T582+Summary!$B$11*V582</f>
        <v/>
      </c>
      <c r="P582">
        <f>IF(B614=0,0,O582/B614)</f>
        <v/>
      </c>
      <c r="Q582" t="n">
        <v>0</v>
      </c>
      <c r="R582" t="n">
        <v>0</v>
      </c>
      <c r="S582">
        <f>IFERROR(O582/N582,0)</f>
        <v/>
      </c>
      <c r="T582">
        <f>IF(C582,(Skills!G4*H582*N582*B608)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582*(1-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582*(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582*(1-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582*(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82">
        <f>290*U581/1000</f>
        <v/>
      </c>
      <c r="V582">
        <f>IF(C582,(Skills!G4*H582*N582*B608)*IF(Inputs!$B$38="pvp",1,(1+(Inputs!$B$21+Skills!Q4+(IF(ArtifactsInput!$M$33,CHOOSE(ArtifactsInput!$N$33+1,30,36,42,48,54,60),0))+(IF(AND(ArtifactsInput!$M$35,Inputs!$B$4&lt;&gt;"Chapter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3">
      <c r="A583">
        <f>Skills!A5</f>
        <v/>
      </c>
      <c r="B583">
        <f>Skills!B5</f>
        <v/>
      </c>
      <c r="C583">
        <f>Inputs!$B$3&gt;=60</f>
        <v/>
      </c>
      <c r="D583">
        <f>IF(Skills!C5=1,60+Inputs!$B$25+Inputs!$B$29,IF(Skills!C5=2,90+Inputs!$B$26+Inputs!$B$29,IF(Skills!C5=3,120+Inputs!$B$27+Inputs!$B$29,MAX(0,(Inputs!$B$3-100)*3)+Inputs!$B$28+Inputs!$B$29)))</f>
        <v/>
      </c>
      <c r="E583">
        <f>INDEX(FactorTable!$B$2:$Y$301, MATCH(ROUND(MIN(300,MAX(1,D583)),0), FactorTable!$A$2:$A$301,0), Skills!M5+1)</f>
        <v/>
      </c>
      <c r="F583">
        <f>IF(Skills!N5=TRUE,(Skills!L5/10)*(E583/1000),Skills!L5/10)+Skills!O5</f>
        <v/>
      </c>
      <c r="G583">
        <f>Skills!G5*IF(Skills!H5&gt;0,Skills!I5/Skills!H5,1)</f>
        <v/>
      </c>
      <c r="H583">
        <f>1-(1-Skills!J5/100)^Skills!K5</f>
        <v/>
      </c>
      <c r="I583" t="inlineStr">
        <is>
          <t>1</t>
        </is>
      </c>
      <c r="J583" t="inlineStr"/>
      <c r="K583" t="inlineStr"/>
      <c r="L583" t="inlineStr"/>
      <c r="M583" t="inlineStr"/>
      <c r="N583" t="inlineStr"/>
      <c r="O583">
        <f>(1-Summary!$B$11)*T583+Summary!$B$11*V583</f>
        <v/>
      </c>
      <c r="P583">
        <f>IF(B614=0,0,O583/B614)</f>
        <v/>
      </c>
      <c r="Q583" t="n">
        <v>0</v>
      </c>
      <c r="R583" t="n">
        <v>0</v>
      </c>
      <c r="S583">
        <f>IFERROR(O583/N583,0)</f>
        <v/>
      </c>
      <c r="T583" t="n">
        <v>0</v>
      </c>
      <c r="V583" t="n">
        <v>0</v>
      </c>
    </row>
    <row r="584">
      <c r="A584">
        <f>Skills!A6</f>
        <v/>
      </c>
      <c r="B584">
        <f>Skills!B6</f>
        <v/>
      </c>
      <c r="C584">
        <f>Inputs!$B$3&gt;=63</f>
        <v/>
      </c>
      <c r="D584">
        <f>IF(Skills!C6=1,60+Inputs!$B$25+Inputs!$B$29,IF(Skills!C6=2,90+Inputs!$B$26+Inputs!$B$29,IF(Skills!C6=3,120+Inputs!$B$27+Inputs!$B$29,MAX(0,(Inputs!$B$3-100)*3)+Inputs!$B$28+Inputs!$B$29)))</f>
        <v/>
      </c>
      <c r="E584">
        <f>INDEX(FactorTable!$B$2:$Y$301, MATCH(ROUND(MIN(300,MAX(1,D584)),0), FactorTable!$A$2:$A$301,0), Skills!M6+1)</f>
        <v/>
      </c>
      <c r="F584">
        <f>IF(Skills!N6=TRUE,(Skills!L6/10)*(E584/1000),Skills!L6/10)+Skills!O6</f>
        <v/>
      </c>
      <c r="G584">
        <f>Skills!G6*IF(Skills!H6&gt;0,Skills!I6/Skills!H6,1)</f>
        <v/>
      </c>
      <c r="H584">
        <f>1-(1-Skills!J6/100)^Skills!K6</f>
        <v/>
      </c>
      <c r="I584" t="inlineStr">
        <is>
          <t>1</t>
        </is>
      </c>
      <c r="J584">
        <f>((Inputs!$B$6*(1+Inputs!$B$7/100))+(((Inputs!$B$12*(1+Inputs!$B$13/100))-(Inputs!$B$12*(1+Inputs!$B$13/100)))+0.25*(Inputs!$B$14-Inputs!$B$14))*(1+Inputs!$B$7/100))*(F584/100)</f>
        <v/>
      </c>
      <c r="K584">
        <f>J584*(1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590=TRUE,F590,0)/100)*(1+(IF(Skills!A6="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584)</f>
        <v/>
      </c>
      <c r="L584">
        <f>K584*(MIN(Inputs!$B$22+((C598=TRUE)*(F598-Calc!F20)),(Inputs!$B$23+0+(IF(ArtifactsInput!$M$15,CHOOSE(ArtifactsInput!$N$15+1,25,30,35,40,45,50)/100*(Inputs!$B$11-Inputs!$B$11),0))))/100+(Inputs!$B$23+0+(IF(ArtifactsInput!$M$15,CHOOSE(ArtifactsInput!$N$15+1,25,30,35,40,45,50)/100*(Inputs!$B$11-Inputs!$B$11),0)))/100)/2</f>
        <v/>
      </c>
      <c r="M584">
        <f>L584*(1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4">
        <f>L584*(1-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584*(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4">
        <f>(1-Summary!$B$11)*T584+Summary!$B$11*V584</f>
        <v/>
      </c>
      <c r="P584">
        <f>IF(B614=0,0,O584/B614)</f>
        <v/>
      </c>
      <c r="Q584">
        <f>IFERROR(1/(IF(Inputs!$B$38="pvp",15,MAX(0.1,Skills!D6-IF(Skills!E6=TRUE,Inputs!$B$32,0)))*(1-IF(AND(ArtifactsInput!$M$27,Inputs!$B$4="Chapter Hunt"),CHOOSE(ArtifactsInput!$N$27+1,20,24,28,32,36,40),0)/100)),0)</f>
        <v/>
      </c>
      <c r="R584">
        <f>IF(AND(Inputs!$B$38&lt;&gt;"pvp",Inputs!$B$43&gt;0),IF(MAX(0,Inputs!$B$43-B611)&lt;=0,0,(INT(MAX(0,Inputs!$B$43-B611)/(IF(Inputs!$B$38="pvp",15,MAX(0.1,Skills!D6-IF(Skills!E6=TRUE,Inputs!$B$32,0)))*(1-IF(AND(ArtifactsInput!$M$27,Inputs!$B$4="Chapter Hunt"),CHOOSE(ArtifactsInput!$N$27+1,20,24,28,32,36,40),0)/100)))+1)),0)</f>
        <v/>
      </c>
      <c r="S584">
        <f>IFERROR(O584/N584,0)</f>
        <v/>
      </c>
      <c r="T584">
        <f>IF(C584,(H584*N584*IF(AND(Inputs!$B$38&lt;&gt;"pvp",Inputs!$B$43&gt;0),((Skills!G6*((R584-1)*IF(Skills!H6&gt;0,Skills!I6/Skills!H6,1)+IF(Skills!H6&gt;0,MIN(Skills!I6,MAX(0,MAX(0,Inputs!$B$43-B611)-((R584-1)*(IF(Inputs!$B$38="pvp",15,MAX(0.1,Skills!D6-IF(Skills!E6=TRUE,Inputs!$B$32,0)))*(1-IF(AND(ArtifactsInput!$M$27,Inputs!$B$4="Chapter Hunt"),CHOOSE(ArtifactsInput!$N$27+1,20,24,28,32,36,40),0)/100)))))/Skills!H6,1)))/Inputs!$B$43),G584*Q584)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584*(1-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584*(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584*(1-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584*(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4">
        <f>IF(C584,(H584*N584*IF(AND(Inputs!$B$38&lt;&gt;"pvp",Inputs!$B$43&gt;0),((Skills!G6*((R584-1)*IF(Skills!H6&gt;0,Skills!I6/Skills!H6,1)+IF(Skills!H6&gt;0,MIN(Skills!I6,MAX(0,MAX(0,Inputs!$B$43-B611)-((R584-1)*(IF(Inputs!$B$38="pvp",15,MAX(0.1,Skills!D6-IF(Skills!E6=TRUE,Inputs!$B$32,0)))*(1-IF(AND(ArtifactsInput!$M$27,Inputs!$B$4="Chapter Hunt"),CHOOSE(ArtifactsInput!$N$27+1,20,24,28,32,36,40),0)/100)))))/Skills!H6,1)))/Inputs!$B$43),G584*Q584))*IF(Inputs!$B$38="pvp",1,(1+(Inputs!$B$21+Skills!Q6+(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5">
      <c r="A585">
        <f>Skills!A7</f>
        <v/>
      </c>
      <c r="B585">
        <f>Skills!B7</f>
        <v/>
      </c>
      <c r="C585">
        <f>Inputs!$B$3&gt;=100</f>
        <v/>
      </c>
      <c r="D585">
        <f>IF(Skills!C7=1,60+Inputs!$B$25+Inputs!$B$29,IF(Skills!C7=2,90+Inputs!$B$26+Inputs!$B$29,IF(Skills!C7=3,120+Inputs!$B$27+Inputs!$B$29,MAX(0,(Inputs!$B$3-100)*3)+Inputs!$B$28+Inputs!$B$29)))</f>
        <v/>
      </c>
      <c r="E585">
        <f>INDEX(FactorTable!$B$2:$Y$301, MATCH(ROUND(MIN(300,MAX(1,D585)),0), FactorTable!$A$2:$A$301,0), Skills!M7+1)</f>
        <v/>
      </c>
      <c r="F585">
        <f>IF(Skills!N7=TRUE,(Skills!L7/10)*(E585/1000),Skills!L7/10)+Skills!O7</f>
        <v/>
      </c>
      <c r="G585">
        <f>Skills!G7*IF(Skills!H7&gt;0,Skills!I7/Skills!H7,1)</f>
        <v/>
      </c>
      <c r="H585">
        <f>1-(1-Skills!J7/100)^Skills!K7</f>
        <v/>
      </c>
      <c r="I585" t="inlineStr">
        <is>
          <t>1</t>
        </is>
      </c>
      <c r="J585">
        <f>((Inputs!$B$6*(1+Inputs!$B$7/100))+(((Inputs!$B$12*(1+Inputs!$B$13/100))-(Inputs!$B$12*(1+Inputs!$B$13/100)))+0.25*(Inputs!$B$14-Inputs!$B$14))*(1+Inputs!$B$7/100))*(F585/100)</f>
        <v/>
      </c>
      <c r="K585">
        <f>J585*(1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585)</f>
        <v/>
      </c>
      <c r="L585">
        <f>K585*(MIN(Inputs!$B$22+((C598=TRUE)*(F598-Calc!F20)),(Inputs!$B$23+0+(IF(ArtifactsInput!$M$15,CHOOSE(ArtifactsInput!$N$15+1,25,30,35,40,45,50)/100*(Inputs!$B$11-Inputs!$B$11),0))))/100+(Inputs!$B$23+0+(IF(ArtifactsInput!$M$15,CHOOSE(ArtifactsInput!$N$15+1,25,30,35,40,45,50)/100*(Inputs!$B$11-Inputs!$B$11),0)))/100)/2</f>
        <v/>
      </c>
      <c r="M585">
        <f>L585*(1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5">
        <f>L585*(1-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585*(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5">
        <f>(1-Summary!$B$11)*T585+Summary!$B$11*V585</f>
        <v/>
      </c>
      <c r="P585">
        <f>IF(B614=0,0,O585/B614)</f>
        <v/>
      </c>
      <c r="Q585">
        <f>IFERROR(1/(IF(Inputs!$B$38="pvp",15,MAX(0.1,Skills!D7-IF(Skills!E7=TRUE,Inputs!$B$32,0)))*(1-IF(AND(ArtifactsInput!$M$27,Inputs!$B$4="Chapter Hunt"),CHOOSE(ArtifactsInput!$N$27+1,20,24,28,32,36,40),0)/100)),0)</f>
        <v/>
      </c>
      <c r="R585">
        <f>IF(AND(Inputs!$B$38&lt;&gt;"pvp",Inputs!$B$43&gt;0),IF(MAX(0,Inputs!$B$43-B611)&lt;=0,0,(INT(MAX(0,Inputs!$B$43-B611)/(IF(Inputs!$B$38="pvp",15,MAX(0.1,Skills!D7-IF(Skills!E7=TRUE,Inputs!$B$32,0)))*(1-IF(AND(ArtifactsInput!$M$27,Inputs!$B$4="Chapter Hunt"),CHOOSE(ArtifactsInput!$N$27+1,20,24,28,32,36,40),0)/100)))+1)),0)</f>
        <v/>
      </c>
      <c r="S585">
        <f>IFERROR(O585/N585,0)</f>
        <v/>
      </c>
      <c r="T585">
        <f>IF(C585,(H585*N585*IF(AND(Inputs!$B$38&lt;&gt;"pvp",Inputs!$B$43&gt;0),((Skills!G7*((R585-1)*IF(Skills!H7&gt;0,Skills!I7/Skills!H7,1)+IF(Skills!H7&gt;0,MIN(Skills!I7,MAX(0,MAX(0,Inputs!$B$43-B611)-((R585-1)*(IF(Inputs!$B$38="pvp",15,MAX(0.1,Skills!D7-IF(Skills!E7=TRUE,Inputs!$B$32,0)))*(1-IF(AND(ArtifactsInput!$M$27,Inputs!$B$4="Chapter Hunt"),CHOOSE(ArtifactsInput!$N$27+1,20,24,28,32,36,40),0)/100)))))/Skills!H7,1)))/Inputs!$B$43),G585*Q585)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585*(1-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585*(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585*(1-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585*(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5">
        <f>IF(C585,(H585*N585*IF(AND(Inputs!$B$38&lt;&gt;"pvp",Inputs!$B$43&gt;0),((Skills!G7*((R585-1)*IF(Skills!H7&gt;0,Skills!I7/Skills!H7,1)+IF(Skills!H7&gt;0,MIN(Skills!I7,MAX(0,MAX(0,Inputs!$B$43-B611)-((R585-1)*(IF(Inputs!$B$38="pvp",15,MAX(0.1,Skills!D7-IF(Skills!E7=TRUE,Inputs!$B$32,0)))*(1-IF(AND(ArtifactsInput!$M$27,Inputs!$B$4="Chapter Hunt"),CHOOSE(ArtifactsInput!$N$27+1,20,24,28,32,36,40),0)/100)))))/Skills!H7,1)))/Inputs!$B$43),G585*Q585))*IF(Inputs!$B$38="pvp",1,(1+(Inputs!$B$21+Skills!Q7+(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6">
      <c r="A586">
        <f>Skills!A8</f>
        <v/>
      </c>
      <c r="B586">
        <f>Skills!B8</f>
        <v/>
      </c>
      <c r="C586">
        <f>Inputs!$B$3&gt;=110</f>
        <v/>
      </c>
      <c r="D586">
        <f>IF(Skills!C8=1,60+Inputs!$B$25+Inputs!$B$29,IF(Skills!C8=2,90+Inputs!$B$26+Inputs!$B$29,IF(Skills!C8=3,120+Inputs!$B$27+Inputs!$B$29,MAX(0,(Inputs!$B$3-100)*3)+Inputs!$B$28+Inputs!$B$29)))</f>
        <v/>
      </c>
      <c r="E586">
        <f>INDEX(FactorTable!$B$2:$Y$301, MATCH(ROUND(MIN(300,MAX(1,D586)),0), FactorTable!$A$2:$A$301,0), Skills!M8+1)</f>
        <v/>
      </c>
      <c r="F586">
        <f>IF(Skills!N8=TRUE,(Skills!L8/10)*(E586/1000),Skills!L8/10)+Skills!O8</f>
        <v/>
      </c>
      <c r="G586">
        <f>Skills!G8*IF(Skills!H8&gt;0,Skills!I8/Skills!H8,1)</f>
        <v/>
      </c>
      <c r="H586">
        <f>1-(1-Skills!J8/100)^Skills!K8</f>
        <v/>
      </c>
      <c r="I586" t="inlineStr">
        <is>
          <t>1</t>
        </is>
      </c>
      <c r="J586">
        <f>((Inputs!$B$6*(1+Inputs!$B$7/100))+(((Inputs!$B$12*(1+Inputs!$B$13/100))-(Inputs!$B$12*(1+Inputs!$B$13/100)))+0.25*(Inputs!$B$14-Inputs!$B$14))*(1+Inputs!$B$7/100))*(F586/100)</f>
        <v/>
      </c>
      <c r="K586">
        <f>J586*(1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586)</f>
        <v/>
      </c>
      <c r="L586">
        <f>K586*(MIN(Inputs!$B$22+((C598=TRUE)*(F598-Calc!F20)),(Inputs!$B$23+0+(IF(ArtifactsInput!$M$15,CHOOSE(ArtifactsInput!$N$15+1,25,30,35,40,45,50)/100*(Inputs!$B$11-Inputs!$B$11),0))))/100+(Inputs!$B$23+0+(IF(ArtifactsInput!$M$15,CHOOSE(ArtifactsInput!$N$15+1,25,30,35,40,45,50)/100*(Inputs!$B$11-Inputs!$B$11),0)))/100)/2</f>
        <v/>
      </c>
      <c r="M586">
        <f>L586*(1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6">
        <f>L586*(1-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586*(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6">
        <f>(1-Summary!$B$11)*T586+Summary!$B$11*V586</f>
        <v/>
      </c>
      <c r="P586">
        <f>IF(B614=0,0,O586/B614)</f>
        <v/>
      </c>
      <c r="Q586">
        <f>IFERROR(1/(IF(Inputs!$B$38="pvp",15,MAX(0.1,Skills!D8-IF(Skills!E8=TRUE,Inputs!$B$32,0)))*(1-IF(AND(ArtifactsInput!$M$27,Inputs!$B$4="Chapter Hunt"),CHOOSE(ArtifactsInput!$N$27+1,20,24,28,32,36,40),0)/100)),0)</f>
        <v/>
      </c>
      <c r="R586">
        <f>IF(AND(Inputs!$B$38&lt;&gt;"pvp",Inputs!$B$43&gt;0),IF(MAX(0,Inputs!$B$43-B611)&lt;=0,0,(INT(MAX(0,Inputs!$B$43-B611)/(IF(Inputs!$B$38="pvp",15,MAX(0.1,Skills!D8-IF(Skills!E8=TRUE,Inputs!$B$32,0)))*(1-IF(AND(ArtifactsInput!$M$27,Inputs!$B$4="Chapter Hunt"),CHOOSE(ArtifactsInput!$N$27+1,20,24,28,32,36,40),0)/100)))+1)),0)</f>
        <v/>
      </c>
      <c r="S586">
        <f>IFERROR(O586/N586,0)</f>
        <v/>
      </c>
      <c r="T586">
        <f>IF(C586,(H586*N586*IF(AND(Inputs!$B$38&lt;&gt;"pvp",Inputs!$B$43&gt;0),((Skills!G8*((R586-1)*IF(Skills!H8&gt;0,Skills!I8/Skills!H8,1)+IF(Skills!H8&gt;0,MIN(Skills!I8,MAX(0,MAX(0,Inputs!$B$43-B611)-((R586-1)*(IF(Inputs!$B$38="pvp",15,MAX(0.1,Skills!D8-IF(Skills!E8=TRUE,Inputs!$B$32,0)))*(1-IF(AND(ArtifactsInput!$M$27,Inputs!$B$4="Chapter Hunt"),CHOOSE(ArtifactsInput!$N$27+1,20,24,28,32,36,40),0)/100)))))/Skills!H8,1)))/Inputs!$B$43),G586*Q586)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586*(1-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586*(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586*(1-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586*(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6">
        <f>IF(C586,(H586*N586*IF(AND(Inputs!$B$38&lt;&gt;"pvp",Inputs!$B$43&gt;0),((Skills!G8*((R586-1)*IF(Skills!H8&gt;0,Skills!I8/Skills!H8,1)+IF(Skills!H8&gt;0,MIN(Skills!I8,MAX(0,MAX(0,Inputs!$B$43-B611)-((R586-1)*(IF(Inputs!$B$38="pvp",15,MAX(0.1,Skills!D8-IF(Skills!E8=TRUE,Inputs!$B$32,0)))*(1-IF(AND(ArtifactsInput!$M$27,Inputs!$B$4="Chapter Hunt"),CHOOSE(ArtifactsInput!$N$27+1,20,24,28,32,36,40),0)/100)))))/Skills!H8,1)))/Inputs!$B$43),G586*Q586))*IF(Inputs!$B$38="pvp",1,(1+(Inputs!$B$21+Skills!Q8+(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7">
      <c r="A587">
        <f>Skills!A9</f>
        <v/>
      </c>
      <c r="B587">
        <f>Skills!B9</f>
        <v/>
      </c>
      <c r="C587">
        <f>Inputs!$B$3&gt;=110</f>
        <v/>
      </c>
      <c r="D587">
        <f>IF(Skills!C9=1,60+Inputs!$B$25+Inputs!$B$29,IF(Skills!C9=2,90+Inputs!$B$26+Inputs!$B$29,IF(Skills!C9=3,120+Inputs!$B$27+Inputs!$B$29,MAX(0,(Inputs!$B$3-100)*3)+Inputs!$B$28+Inputs!$B$29)))</f>
        <v/>
      </c>
      <c r="E587">
        <f>INDEX(FactorTable!$B$2:$Y$301, MATCH(ROUND(MIN(300,MAX(1,D587)),0), FactorTable!$A$2:$A$301,0), Skills!M9+1)</f>
        <v/>
      </c>
      <c r="F587">
        <f>IF(Skills!N9=TRUE,(Skills!L9/10)*(E587/1000),Skills!L9/10)+Skills!O9</f>
        <v/>
      </c>
      <c r="G587">
        <f>Skills!G9*IF(Skills!H9&gt;0,Skills!I9/Skills!H9,1)</f>
        <v/>
      </c>
      <c r="H587">
        <f>1-(1-Skills!J9/100)^Skills!K9</f>
        <v/>
      </c>
      <c r="I587" t="inlineStr">
        <is>
          <t>1</t>
        </is>
      </c>
      <c r="J587">
        <f>((Inputs!$B$6*(1+Inputs!$B$7/100))+(((Inputs!$B$12*(1+Inputs!$B$13/100))-(Inputs!$B$12*(1+Inputs!$B$13/100)))+0.25*(Inputs!$B$14-Inputs!$B$14))*(1+Inputs!$B$7/100))*(F587/100)</f>
        <v/>
      </c>
      <c r="K587">
        <f>J587*(1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587)</f>
        <v/>
      </c>
      <c r="L587">
        <f>K587*(MIN(Inputs!$B$22+((C598=TRUE)*(F598-Calc!F20)),(Inputs!$B$23+0+(IF(ArtifactsInput!$M$15,CHOOSE(ArtifactsInput!$N$15+1,25,30,35,40,45,50)/100*(Inputs!$B$11-Inputs!$B$11),0))))/100+(Inputs!$B$23+0+(IF(ArtifactsInput!$M$15,CHOOSE(ArtifactsInput!$N$15+1,25,30,35,40,45,50)/100*(Inputs!$B$11-Inputs!$B$11),0)))/100)/2</f>
        <v/>
      </c>
      <c r="M587">
        <f>L587*(1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7">
        <f>L587*(1-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587*(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7">
        <f>(1-Summary!$B$11)*T587+Summary!$B$11*V587</f>
        <v/>
      </c>
      <c r="P587">
        <f>IF(B614=0,0,O587/B614)</f>
        <v/>
      </c>
      <c r="Q587">
        <f>IFERROR(1/(IF(Inputs!$B$38="pvp",15,MAX(0.1,Skills!D9-IF(Skills!E9=TRUE,Inputs!$B$32,0)))*(1-IF(AND(ArtifactsInput!$M$27,Inputs!$B$4="Chapter Hunt"),CHOOSE(ArtifactsInput!$N$27+1,20,24,28,32,36,40),0)/100)),0)</f>
        <v/>
      </c>
      <c r="R587">
        <f>IF(AND(Inputs!$B$38&lt;&gt;"pvp",Inputs!$B$43&gt;0),IF(MAX(0,Inputs!$B$43-B611)&lt;=0,0,(INT(MAX(0,Inputs!$B$43-B611)/(IF(Inputs!$B$38="pvp",15,MAX(0.1,Skills!D9-IF(Skills!E9=TRUE,Inputs!$B$32,0)))*(1-IF(AND(ArtifactsInput!$M$27,Inputs!$B$4="Chapter Hunt"),CHOOSE(ArtifactsInput!$N$27+1,20,24,28,32,36,40),0)/100)))+1)),0)</f>
        <v/>
      </c>
      <c r="S587">
        <f>IFERROR(O587/N587,0)</f>
        <v/>
      </c>
      <c r="T587">
        <f>IF(C587,(H587*N587*IF(AND(Inputs!$B$38&lt;&gt;"pvp",Inputs!$B$43&gt;0),((Skills!G9*((R587-1)*IF(Skills!H9&gt;0,Skills!I9/Skills!H9,1)+IF(Skills!H9&gt;0,MIN(Skills!I9,MAX(0,MAX(0,Inputs!$B$43-B611)-((R587-1)*(IF(Inputs!$B$38="pvp",15,MAX(0.1,Skills!D9-IF(Skills!E9=TRUE,Inputs!$B$32,0)))*(1-IF(AND(ArtifactsInput!$M$27,Inputs!$B$4="Chapter Hunt"),CHOOSE(ArtifactsInput!$N$27+1,20,24,28,32,36,40),0)/100)))))/Skills!H9,1)))/Inputs!$B$43),G587*Q587)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587*(1-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587*(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587*(1-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587*(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7">
        <f>IF(C587,(H587*N587*IF(AND(Inputs!$B$38&lt;&gt;"pvp",Inputs!$B$43&gt;0),((Skills!G9*((R587-1)*IF(Skills!H9&gt;0,Skills!I9/Skills!H9,1)+IF(Skills!H9&gt;0,MIN(Skills!I9,MAX(0,MAX(0,Inputs!$B$43-B611)-((R587-1)*(IF(Inputs!$B$38="pvp",15,MAX(0.1,Skills!D9-IF(Skills!E9=TRUE,Inputs!$B$32,0)))*(1-IF(AND(ArtifactsInput!$M$27,Inputs!$B$4="Chapter Hunt"),CHOOSE(ArtifactsInput!$N$27+1,20,24,28,32,36,40),0)/100)))))/Skills!H9,1)))/Inputs!$B$43),G587*Q587))*IF(Inputs!$B$38="pvp",1,(1+(Inputs!$B$21+Skills!Q9+(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8">
      <c r="A588">
        <f>Skills!A10</f>
        <v/>
      </c>
      <c r="B588">
        <f>Skills!B10</f>
        <v/>
      </c>
      <c r="C588">
        <f>Inputs!$B$3&gt;=103</f>
        <v/>
      </c>
      <c r="D588">
        <f>IF(Skills!C10=1,60+Inputs!$B$25+Inputs!$B$29,IF(Skills!C10=2,90+Inputs!$B$26+Inputs!$B$29,IF(Skills!C10=3,120+Inputs!$B$27+Inputs!$B$29,MAX(0,(Inputs!$B$3-100)*3)+Inputs!$B$28+Inputs!$B$29)))</f>
        <v/>
      </c>
      <c r="E588">
        <f>INDEX(FactorTable!$B$2:$Y$301, MATCH(ROUND(MIN(300,MAX(1,D588)),0), FactorTable!$A$2:$A$301,0), Skills!M10+1)</f>
        <v/>
      </c>
      <c r="F588">
        <f>IF(Skills!N10=TRUE,(Skills!L10/10)*(E588/1000),Skills!L10/10)+Skills!O10</f>
        <v/>
      </c>
      <c r="G588">
        <f>Skills!G10*IF(Skills!H10&gt;0,Skills!I10/Skills!H10,1)</f>
        <v/>
      </c>
      <c r="H588">
        <f>1-(1-Skills!J10/100)^Skills!K10</f>
        <v/>
      </c>
      <c r="I588" t="inlineStr">
        <is>
          <t>1</t>
        </is>
      </c>
      <c r="J588">
        <f>((Inputs!$B$6*(1+Inputs!$B$7/100))+(((Inputs!$B$12*(1+Inputs!$B$13/100))-(Inputs!$B$12*(1+Inputs!$B$13/100)))+0.25*(Inputs!$B$14-Inputs!$B$14))*(1+Inputs!$B$7/100))*(F588/100)</f>
        <v/>
      </c>
      <c r="K588">
        <f>J588*(1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588)</f>
        <v/>
      </c>
      <c r="L588">
        <f>K588*(MIN(Inputs!$B$22+((C598=TRUE)*(F598-Calc!F20)),(Inputs!$B$23+0+(IF(ArtifactsInput!$M$15,CHOOSE(ArtifactsInput!$N$15+1,25,30,35,40,45,50)/100*(Inputs!$B$11-Inputs!$B$11),0))))/100+(Inputs!$B$23+0+(IF(ArtifactsInput!$M$15,CHOOSE(ArtifactsInput!$N$15+1,25,30,35,40,45,50)/100*(Inputs!$B$11-Inputs!$B$11),0)))/100)/2</f>
        <v/>
      </c>
      <c r="M588">
        <f>L588*(1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8">
        <f>L588*(1-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588*(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8">
        <f>(1-Summary!$B$11)*T588+Summary!$B$11*V588</f>
        <v/>
      </c>
      <c r="P588">
        <f>IF(B614=0,0,O588/B614)</f>
        <v/>
      </c>
      <c r="Q588">
        <f>IFERROR(1/(IF(Inputs!$B$38="pvp",15,MAX(0.1,Skills!D10-IF(Skills!E10=TRUE,Inputs!$B$32,0)))*(1-IF(AND(ArtifactsInput!$M$27,Inputs!$B$4="Chapter Hunt"),CHOOSE(ArtifactsInput!$N$27+1,20,24,28,32,36,40),0)/100)),0)</f>
        <v/>
      </c>
      <c r="R588">
        <f>IF(AND(Inputs!$B$38&lt;&gt;"pvp",Inputs!$B$43&gt;0),IF(MAX(0,Inputs!$B$43-B611)&lt;=0,0,(INT(MAX(0,Inputs!$B$43-B611)/(IF(Inputs!$B$38="pvp",15,MAX(0.1,Skills!D10-IF(Skills!E10=TRUE,Inputs!$B$32,0)))*(1-IF(AND(ArtifactsInput!$M$27,Inputs!$B$4="Chapter Hunt"),CHOOSE(ArtifactsInput!$N$27+1,20,24,28,32,36,40),0)/100)))+1)),0)</f>
        <v/>
      </c>
      <c r="S588">
        <f>IFERROR(O588/N588,0)</f>
        <v/>
      </c>
      <c r="T588">
        <f>IF(C588,(H588*N588*IF(AND(Inputs!$B$38&lt;&gt;"pvp",Inputs!$B$43&gt;0),((Skills!G10*((R588-1)*IF(Skills!H10&gt;0,Skills!I10/Skills!H10,1)+IF(Skills!H10&gt;0,MIN(Skills!I10,MAX(0,MAX(0,Inputs!$B$43-B611)-((R588-1)*(IF(Inputs!$B$38="pvp",15,MAX(0.1,Skills!D10-IF(Skills!E10=TRUE,Inputs!$B$32,0)))*(1-IF(AND(ArtifactsInput!$M$27,Inputs!$B$4="Chapter Hunt"),CHOOSE(ArtifactsInput!$N$27+1,20,24,28,32,36,40),0)/100)))))/Skills!H10,1)))/Inputs!$B$43),G588*Q588)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588*(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588*(1-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588*(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8">
        <f>IF(C588,(H588*N588*IF(AND(Inputs!$B$38&lt;&gt;"pvp",Inputs!$B$43&gt;0),((Skills!G10*((R588-1)*IF(Skills!H10&gt;0,Skills!I10/Skills!H10,1)+IF(Skills!H10&gt;0,MIN(Skills!I10,MAX(0,MAX(0,Inputs!$B$43-B611)-((R588-1)*(IF(Inputs!$B$38="pvp",15,MAX(0.1,Skills!D10-IF(Skills!E10=TRUE,Inputs!$B$32,0)))*(1-IF(AND(ArtifactsInput!$M$27,Inputs!$B$4="Chapter Hunt"),CHOOSE(ArtifactsInput!$N$27+1,20,24,28,32,36,40),0)/100)))))/Skills!H10,1)))/Inputs!$B$43),G588*Q588))*IF(Inputs!$B$38="pvp",1,(1+(Inputs!$B$21+Skills!Q10+(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89">
      <c r="A589">
        <f>Skills!A11</f>
        <v/>
      </c>
      <c r="B589">
        <f>Skills!B11</f>
        <v/>
      </c>
      <c r="C589">
        <f>Inputs!$B$3&gt;=113</f>
        <v/>
      </c>
      <c r="D589">
        <f>IF(Skills!C11=1,60+Inputs!$B$25+Inputs!$B$29,IF(Skills!C11=2,90+Inputs!$B$26+Inputs!$B$29,IF(Skills!C11=3,120+Inputs!$B$27+Inputs!$B$29,MAX(0,(Inputs!$B$3-100)*3)+Inputs!$B$28+Inputs!$B$29)))</f>
        <v/>
      </c>
      <c r="E589">
        <f>INDEX(FactorTable!$B$2:$Y$301, MATCH(ROUND(MIN(300,MAX(1,D589)),0), FactorTable!$A$2:$A$301,0), Skills!M11+1)</f>
        <v/>
      </c>
      <c r="F589">
        <f>IF(Skills!N11=TRUE,(Skills!L11/10)*(E589/1000),Skills!L11/10)+Skills!O11</f>
        <v/>
      </c>
      <c r="G589">
        <f>Skills!G11*IF(Skills!H11&gt;0,Skills!I11/Skills!H11,1)</f>
        <v/>
      </c>
      <c r="H589">
        <f>1-(1-Skills!J11/100)^Skills!K11</f>
        <v/>
      </c>
      <c r="I589" t="inlineStr">
        <is>
          <t>1</t>
        </is>
      </c>
      <c r="J589">
        <f>((Inputs!$B$6*(1+Inputs!$B$7/100))+(((Inputs!$B$12*(1+Inputs!$B$13/100))-(Inputs!$B$12*(1+Inputs!$B$13/100)))+0.25*(Inputs!$B$14-Inputs!$B$14))*(1+Inputs!$B$7/100))*(F589/100)</f>
        <v/>
      </c>
      <c r="K589">
        <f>J589*(1+((Inputs!$B$12*(1+Inputs!$B$13/100))*0.01+Inputs!$B$14*0.0025)/100)*(1+Inputs!$B$15/100)*(1+Inputs!$B$16/100)*(5000/(6000+Inputs!$B$42*(1-(100*(1-(1-(((1-(1-Inputs!$B$19/100)*(1-1/100))*100)+0)/100)*(1-CHOOSE(ArtifactsInput!$N$40+1,5,6,7,8,9,10)/100)^(ArtifactsInput!$M$40-ArtifactsInput!$M$40)))/100)))*(1+(Inputs!$B$24+((C600=TRUE)*(F600-Calc!F22))+B610)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599=TRUE)*(F599-Calc!F21))+(((IF(AND(ArtifactsInput!$M$42,((Inputs!$B$9+((C594=TRUE)*(F594-Calc!F16))+B604+(ArtifactsInput!$M$24-ArtifactsInput!$M$24)*CHOOSE(ArtifactsInput!$N$24+1,10,12,14,16,18,20)+IF(ArtifactsInput!$M$10,CHOOSE(ArtifactsInput!$N$10+1,15,18,21,24,27,30)*(IF(Inputs!$B$38="pvp",MIN(15,15)/15,IF(AND(Inputs!$B$38&lt;&gt;"pvp",Inputs!$B$43&gt;0),MIN(15,Inputs!$B$43)/(Inputs!$B$43),0))),0)))&gt;=100),MIN(100,((Inputs!$B$9+((C594=TRUE)*(F594-Calc!F16))+B604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594=TRUE)*(F594-Calc!F16))+B604+(ArtifactsInput!$M$24-ArtifactsInput!$M$24)*CHOOSE(ArtifactsInput!$N$24+1,10,12,14,16,18,20)+IF(ArtifactsInput!$M$10,CHOOSE(ArtifactsInput!$N$10+1,15,18,21,24,27,30)*(IF(Inputs!$B$38="pvp",MIN(15,15)/15,IF(AND(Inputs!$B$38&lt;&gt;"pvp",Inputs!$B$43&gt;0),MIN(15,Inputs!$B$43)/(Inputs!$B$43),0))),0)))&gt;=100),CHOOSE(ArtifactsInput!$N$42+1,40,48,56,64,72,80),0))))/100)*((1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589)</f>
        <v/>
      </c>
      <c r="L589">
        <f>K589*(MIN(Inputs!$B$22+((C598=TRUE)*(F598-Calc!F20)),(Inputs!$B$23+0+(IF(ArtifactsInput!$M$15,CHOOSE(ArtifactsInput!$N$15+1,25,30,35,40,45,50)/100*(Inputs!$B$11-Inputs!$B$11),0))))/100+(Inputs!$B$23+0+(IF(ArtifactsInput!$M$15,CHOOSE(ArtifactsInput!$N$15+1,25,30,35,40,45,50)/100*(Inputs!$B$11-Inputs!$B$11),0)))/100)/2</f>
        <v/>
      </c>
      <c r="M589">
        <f>L589*(1+(Inputs!$B$10+0+B609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89">
        <f>L589*(1-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589*(MIN((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89">
        <f>(1-Summary!$B$11)*T589+Summary!$B$11*V589</f>
        <v/>
      </c>
      <c r="P589">
        <f>IF(B614=0,0,O589/B614)</f>
        <v/>
      </c>
      <c r="Q589">
        <f>IFERROR(1/(IF(Inputs!$B$38="pvp",15,MAX(0.1,Skills!D11-IF(Skills!E11=TRUE,Inputs!$B$32,0)))*(1-IF(AND(ArtifactsInput!$M$27,Inputs!$B$4="Chapter Hunt"),CHOOSE(ArtifactsInput!$N$27+1,20,24,28,32,36,40),0)/100)),0)</f>
        <v/>
      </c>
      <c r="R589">
        <f>IF(AND(Inputs!$B$38&lt;&gt;"pvp",Inputs!$B$43&gt;0),IF(MAX(0,Inputs!$B$43-B611)&lt;=0,0,(INT(MAX(0,Inputs!$B$43-B611)/(IF(Inputs!$B$38="pvp",15,MAX(0.1,Skills!D11-IF(Skills!E11=TRUE,Inputs!$B$32,0)))*(1-IF(AND(ArtifactsInput!$M$27,Inputs!$B$4="Chapter Hunt"),CHOOSE(ArtifactsInput!$N$27+1,20,24,28,32,36,40),0)/100)))+1)),0)</f>
        <v/>
      </c>
      <c r="S589">
        <f>IFERROR(O589/N589,0)</f>
        <v/>
      </c>
      <c r="T589">
        <f>IF(C589,(H589*N589*IF(AND(Inputs!$B$38&lt;&gt;"pvp",Inputs!$B$43&gt;0),((Skills!G11*((R589-1)*IF(Skills!H11&gt;0,Skills!I11/Skills!H11,1)+IF(Skills!H11&gt;0,MIN(Skills!I11,MAX(0,MAX(0,Inputs!$B$43-B611)-((R589-1)*(IF(Inputs!$B$38="pvp",15,MAX(0.1,Skills!D11-IF(Skills!E11=TRUE,Inputs!$B$32,0)))*(1-IF(AND(ArtifactsInput!$M$27,Inputs!$B$4="Chapter Hunt"),CHOOSE(ArtifactsInput!$N$27+1,20,24,28,32,36,40),0)/100)))))/Skills!H11,1)))/Inputs!$B$43),G589*Q589)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589*(1-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589*(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589*(1-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589*(MIN(100,(Inputs!$B$9+((C594=TRUE)*(F594-Calc!F16))+B604+(ArtifactsInput!$M$24-ArtifactsInput!$M$24)*CHOOSE(ArtifactsInput!$N$24+1,10,12,14,16,18,20)+(IF(AND(ArtifactsInput!$M$42,((Inputs!$B$9+((C594=TRUE)*(F594-Calc!F16))+B604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89">
        <f>IF(C589,(H589*N589*IF(AND(Inputs!$B$38&lt;&gt;"pvp",Inputs!$B$43&gt;0),((Skills!G11*((R589-1)*IF(Skills!H11&gt;0,Skills!I11/Skills!H11,1)+IF(Skills!H11&gt;0,MIN(Skills!I11,MAX(0,MAX(0,Inputs!$B$43-B611)-((R589-1)*(IF(Inputs!$B$38="pvp",15,MAX(0.1,Skills!D11-IF(Skills!E11=TRUE,Inputs!$B$32,0)))*(1-IF(AND(ArtifactsInput!$M$27,Inputs!$B$4="Chapter Hunt"),CHOOSE(ArtifactsInput!$N$27+1,20,24,28,32,36,40),0)/100)))))/Skills!H11,1)))/Inputs!$B$43),G589*Q589))*IF(Inputs!$B$38="pvp",1,(1+(Inputs!$B$21+Skills!Q11+(IF(ArtifactsInput!$M$33,CHOOSE(ArtifactsInput!$N$33+1,30,36,42,48,54,60),0))+(IF(AND(ArtifactsInput!$M$35,Inputs!$B$4&lt;&gt;"Chapter Hunt"),CHOOSE(ArtifactsInput!$N$35+1,15,18,21,24,27,30)*(1-EXP(-(0.2*B606)*5)),0)+IF(AND(ArtifactsInput!$M$22,Inputs!$B$4&lt;&gt;"Chapter Hunt"),CHOOSE(ArtifactsInput!$N$22+1,10,12,14,16,18,20)*((0*(((0.15*B606*5))^0/1)+1*(((0.15*B606*5))^1/1)+2*(((0.15*B606*5))^2/2)+3*(((0.15*B606*5))^3/6)+4*(((0.15*B606*5))^4/24)+5*(((0.15*B606*5))^5/120))/((((0.15*B606*5))^0/1)+(((0.15*B606*5))^1/1)+(((0.15*B606*5))^2/2)+(((0.15*B606*5))^3/6)+(((0.15*B606*5))^4/24)+(((0.15*B606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90">
      <c r="A590">
        <f>Skills!A12</f>
        <v/>
      </c>
      <c r="B590">
        <f>Skills!B12</f>
        <v/>
      </c>
      <c r="C590">
        <f>Inputs!$B$3&gt;=100</f>
        <v/>
      </c>
      <c r="D590">
        <f>IF(Skills!C12=1,60+Inputs!$B$25+Inputs!$B$29,IF(Skills!C12=2,90+Inputs!$B$26+Inputs!$B$29,IF(Skills!C12=3,120+Inputs!$B$27+Inputs!$B$29,MAX(0,(Inputs!$B$3-100)*3)+Inputs!$B$28+Inputs!$B$29)))</f>
        <v/>
      </c>
      <c r="E590">
        <f>INDEX(FactorTable!$B$2:$Y$301, MATCH(ROUND(MIN(300,MAX(1,D590)),0), FactorTable!$A$2:$A$301,0), Skills!M12+1)</f>
        <v/>
      </c>
      <c r="F590">
        <f>IF(Skills!N12=TRUE,(Skills!L12/10)*(E590/1000),Skills!L12/10)+Skills!O12</f>
        <v/>
      </c>
      <c r="G590" t="inlineStr"/>
      <c r="H590" t="inlineStr"/>
      <c r="I590" t="inlineStr">
        <is>
          <t>1</t>
        </is>
      </c>
      <c r="J590" t="inlineStr"/>
      <c r="K590" t="inlineStr"/>
      <c r="L590" t="inlineStr"/>
      <c r="M590" t="inlineStr"/>
      <c r="N590" t="inlineStr"/>
      <c r="O590" t="inlineStr"/>
      <c r="P590" t="inlineStr"/>
      <c r="Q590" t="inlineStr"/>
      <c r="R590" t="inlineStr"/>
      <c r="S590" t="inlineStr"/>
      <c r="T590" t="inlineStr"/>
      <c r="V590" t="inlineStr"/>
    </row>
    <row r="591">
      <c r="A591">
        <f>Skills!A13</f>
        <v/>
      </c>
      <c r="B591">
        <f>Skills!B13</f>
        <v/>
      </c>
      <c r="C591">
        <f>Inputs!$B$3&gt;=66</f>
        <v/>
      </c>
      <c r="D591">
        <f>IF(Skills!C13=1,60+Inputs!$B$25+Inputs!$B$29,IF(Skills!C13=2,90+Inputs!$B$26+Inputs!$B$29,IF(Skills!C13=3,120+Inputs!$B$27+Inputs!$B$29,MAX(0,(Inputs!$B$3-100)*3)+Inputs!$B$28+Inputs!$B$29)))</f>
        <v/>
      </c>
      <c r="E591">
        <f>INDEX(FactorTable!$B$2:$Y$301, MATCH(ROUND(MIN(300,MAX(1,D591)),0), FactorTable!$A$2:$A$301,0), Skills!M13+1)</f>
        <v/>
      </c>
      <c r="F591">
        <f>IF(Skills!N13=TRUE,(Skills!L13/10)*(E591/1000),Skills!L13/10)+Skills!O13</f>
        <v/>
      </c>
      <c r="G591">
        <f>Skills!G13*IF(Skills!H13&gt;0,Skills!I13/Skills!H13,1)</f>
        <v/>
      </c>
      <c r="H591">
        <f>1-(1-Skills!J13/100)^Skills!K13</f>
        <v/>
      </c>
      <c r="I591" t="inlineStr">
        <is>
          <t>1</t>
        </is>
      </c>
      <c r="J591" t="inlineStr"/>
      <c r="K591" t="inlineStr"/>
      <c r="L591" t="inlineStr"/>
      <c r="M591" t="inlineStr"/>
      <c r="N591" t="inlineStr"/>
      <c r="O591">
        <f>(1-Summary!$B$11)*T591+Summary!$B$11*V591</f>
        <v/>
      </c>
      <c r="P591">
        <f>IF(B614=0,0,O591/B614)</f>
        <v/>
      </c>
      <c r="Q591" t="n">
        <v>0</v>
      </c>
      <c r="R591" t="n">
        <v>0</v>
      </c>
      <c r="S591">
        <f>IFERROR(O591/N591,0)</f>
        <v/>
      </c>
      <c r="T591" t="n">
        <v>0</v>
      </c>
      <c r="V591" t="n">
        <v>0</v>
      </c>
    </row>
    <row r="592">
      <c r="A592">
        <f>Skills!A14</f>
        <v/>
      </c>
      <c r="B592">
        <f>Skills!B14</f>
        <v/>
      </c>
      <c r="C592">
        <f>Inputs!$B$3&gt;=107</f>
        <v/>
      </c>
      <c r="D592">
        <f>IF(Skills!C14=1,60+Inputs!$B$25+Inputs!$B$29,IF(Skills!C14=2,90+Inputs!$B$26+Inputs!$B$29,IF(Skills!C14=3,120+Inputs!$B$27+Inputs!$B$29,MAX(0,(Inputs!$B$3-100)*3)+Inputs!$B$28+Inputs!$B$29)))</f>
        <v/>
      </c>
      <c r="E592">
        <f>INDEX(FactorTable!$B$2:$Y$301, MATCH(ROUND(MIN(300,MAX(1,D592)),0), FactorTable!$A$2:$A$301,0), Skills!M14+1)</f>
        <v/>
      </c>
      <c r="F592">
        <f>IF(Skills!N14=TRUE,(Skills!L14/10)*(E592/1000),Skills!L14/10)+Skills!O14</f>
        <v/>
      </c>
      <c r="G592">
        <f>Skills!G14*IF(Skills!H14&gt;0,Skills!I14/Skills!H14,1)</f>
        <v/>
      </c>
      <c r="H592">
        <f>1-(1-Skills!J14/100)^Skills!K14</f>
        <v/>
      </c>
      <c r="I592" t="inlineStr">
        <is>
          <t>1</t>
        </is>
      </c>
      <c r="J592" t="inlineStr"/>
      <c r="K592" t="inlineStr"/>
      <c r="L592" t="inlineStr"/>
      <c r="M592" t="inlineStr"/>
      <c r="N592" t="inlineStr"/>
      <c r="O592">
        <f>(1-Summary!$B$11)*T592+Summary!$B$11*V592</f>
        <v/>
      </c>
      <c r="P592">
        <f>IF(B614=0,0,O592/B614)</f>
        <v/>
      </c>
      <c r="Q592">
        <f>IFERROR(1/(IF(Inputs!$B$38="pvp",15,MAX(0.1,Skills!D14-IF(Skills!E14=TRUE,Inputs!$B$32,0)))*(1-IF(AND(ArtifactsInput!$M$27,Inputs!$B$4="Chapter Hunt"),CHOOSE(ArtifactsInput!$N$27+1,20,24,28,32,36,40),0)/100)),0)</f>
        <v/>
      </c>
      <c r="R592">
        <f>IF(AND(Inputs!$B$38&lt;&gt;"pvp",Inputs!$B$43&gt;0),IF(Inputs!$B$43&lt;=0,0,(INT(Inputs!$B$43/(IF(Inputs!$B$38="pvp",15,MAX(0.1,Skills!D14-IF(Skills!E14=TRUE,Inputs!$B$32,0)))*(1-IF(AND(ArtifactsInput!$M$27,Inputs!$B$4="Chapter Hunt"),CHOOSE(ArtifactsInput!$N$27+1,20,24,28,32,36,40),0)/100)))+1)),0)</f>
        <v/>
      </c>
      <c r="S592">
        <f>IFERROR(O592/N592,0)</f>
        <v/>
      </c>
      <c r="T592" t="n">
        <v>0</v>
      </c>
      <c r="V592" t="n">
        <v>0</v>
      </c>
    </row>
    <row r="593">
      <c r="A593">
        <f>Skills!A15</f>
        <v/>
      </c>
      <c r="B593">
        <f>Skills!B15</f>
        <v/>
      </c>
      <c r="C593">
        <f>Inputs!$B$3&gt;=115</f>
        <v/>
      </c>
      <c r="D593">
        <f>IF(Skills!C15=1,60+Inputs!$B$25+Inputs!$B$29,IF(Skills!C15=2,90+Inputs!$B$26+Inputs!$B$29,IF(Skills!C15=3,120+Inputs!$B$27+Inputs!$B$29,MAX(0,(Inputs!$B$3-100)*3)+Inputs!$B$28+Inputs!$B$29)))</f>
        <v/>
      </c>
      <c r="E593">
        <f>INDEX(FactorTable!$B$2:$Y$301, MATCH(ROUND(MIN(300,MAX(1,D593)),0), FactorTable!$A$2:$A$301,0), Skills!M15+1)</f>
        <v/>
      </c>
      <c r="F593">
        <f>IF(Skills!N15=TRUE,(Skills!L15/10)*(E593/1000),Skills!L15/10)+Skills!O15</f>
        <v/>
      </c>
      <c r="G593">
        <f>Skills!G15*IF(Skills!H15&gt;0,Skills!I15/Skills!H15,1)</f>
        <v/>
      </c>
      <c r="H593">
        <f>1-(1-Skills!J15/100)^Skills!K15</f>
        <v/>
      </c>
      <c r="I593" t="inlineStr">
        <is>
          <t>1</t>
        </is>
      </c>
      <c r="J593" t="inlineStr"/>
      <c r="K593" t="inlineStr"/>
      <c r="L593" t="inlineStr"/>
      <c r="M593" t="inlineStr"/>
      <c r="N593" t="inlineStr"/>
      <c r="O593">
        <f>(1-Summary!$B$11)*T593+Summary!$B$11*V593</f>
        <v/>
      </c>
      <c r="P593">
        <f>IF(B614=0,0,O593/B614)</f>
        <v/>
      </c>
      <c r="Q593">
        <f>IFERROR(1/(IF(Inputs!$B$38="pvp",15,MAX(0.1,Skills!D15-IF(Skills!E15=TRUE,Inputs!$B$32,0)))*(1-IF(AND(ArtifactsInput!$M$27,Inputs!$B$4="Chapter Hunt"),CHOOSE(ArtifactsInput!$N$27+1,20,24,28,32,36,40),0)/100)),0)</f>
        <v/>
      </c>
      <c r="R593">
        <f>IF(AND(Inputs!$B$38&lt;&gt;"pvp",Inputs!$B$43&gt;0),IF(Inputs!$B$43&lt;=0,0,(INT(Inputs!$B$43/(IF(Inputs!$B$38="pvp",15,MAX(0.1,Skills!D15-IF(Skills!E15=TRUE,Inputs!$B$32,0)))*(1-IF(AND(ArtifactsInput!$M$27,Inputs!$B$4="Chapter Hunt"),CHOOSE(ArtifactsInput!$N$27+1,20,24,28,32,36,40),0)/100)))+1)),0)</f>
        <v/>
      </c>
      <c r="S593">
        <f>IFERROR(O593/N593,0)</f>
        <v/>
      </c>
      <c r="T593" t="n">
        <v>0</v>
      </c>
      <c r="V593" t="n">
        <v>0</v>
      </c>
    </row>
    <row r="594">
      <c r="A594">
        <f>Skills!A16</f>
        <v/>
      </c>
      <c r="B594">
        <f>Skills!B16</f>
        <v/>
      </c>
      <c r="C594">
        <f>Inputs!$B$3&gt;=15</f>
        <v/>
      </c>
      <c r="D594">
        <f>IF(Skills!C16=1,60+Inputs!$B$25+Inputs!$B$29,IF(Skills!C16=2,90+Inputs!$B$26+Inputs!$B$29,IF(Skills!C16=3,120+Inputs!$B$27+Inputs!$B$29,MAX(0,(Inputs!$B$3-100)*3)+Inputs!$B$28+Inputs!$B$29)))</f>
        <v/>
      </c>
      <c r="E594">
        <f>INDEX(FactorTable!$B$2:$Y$301, MATCH(ROUND(MIN(300,MAX(1,D594)),0), FactorTable!$A$2:$A$301,0), Skills!M16+1)</f>
        <v/>
      </c>
      <c r="F594">
        <f>IF(Skills!N16=TRUE,(Skills!L16/10)*(E594/1000),Skills!L16/10)+Skills!O16</f>
        <v/>
      </c>
      <c r="G594">
        <f>Skills!G16*IF(Skills!H16&gt;0,Skills!I16/Skills!H16,1)</f>
        <v/>
      </c>
      <c r="H594">
        <f>1-(1-Skills!J16/100)^Skills!K16</f>
        <v/>
      </c>
      <c r="I594" t="inlineStr">
        <is>
          <t>1</t>
        </is>
      </c>
      <c r="J594" t="inlineStr"/>
      <c r="K594" t="inlineStr"/>
      <c r="L594" t="inlineStr"/>
      <c r="M594" t="inlineStr"/>
      <c r="N594" t="inlineStr"/>
      <c r="O594">
        <f>(1-Summary!$B$11)*T594+Summary!$B$11*V594</f>
        <v/>
      </c>
      <c r="P594">
        <f>IF(B614=0,0,O594/B614)</f>
        <v/>
      </c>
      <c r="Q594" t="n">
        <v>0</v>
      </c>
      <c r="R594" t="n">
        <v>0</v>
      </c>
      <c r="S594">
        <f>IFERROR(O594/N594,0)</f>
        <v/>
      </c>
      <c r="T594" t="n">
        <v>0</v>
      </c>
      <c r="V594" t="n">
        <v>0</v>
      </c>
    </row>
    <row r="595">
      <c r="A595">
        <f>Skills!A17</f>
        <v/>
      </c>
      <c r="B595">
        <f>Skills!B17</f>
        <v/>
      </c>
      <c r="C595">
        <f>Inputs!$B$3&gt;=10</f>
        <v/>
      </c>
      <c r="D595">
        <f>IF(Skills!C17=1,60+Inputs!$B$25+Inputs!$B$29,IF(Skills!C17=2,90+Inputs!$B$26+Inputs!$B$29,IF(Skills!C17=3,120+Inputs!$B$27+Inputs!$B$29,MAX(0,(Inputs!$B$3-100)*3)+Inputs!$B$28+Inputs!$B$29)))</f>
        <v/>
      </c>
      <c r="E595">
        <f>INDEX(FactorTable!$B$2:$Y$301, MATCH(ROUND(MIN(300,MAX(1,D595)),0), FactorTable!$A$2:$A$301,0), Skills!M17+1)</f>
        <v/>
      </c>
      <c r="F595">
        <f>IF(Skills!N17=TRUE,(Skills!L17/10)*(E595/1000),Skills!L17/10)+Skills!O17</f>
        <v/>
      </c>
      <c r="G595">
        <f>Skills!G17*IF(Skills!H17&gt;0,Skills!I17/Skills!H17,1)</f>
        <v/>
      </c>
      <c r="H595">
        <f>1-(1-Skills!J17/100)^Skills!K17</f>
        <v/>
      </c>
      <c r="I595" t="inlineStr">
        <is>
          <t>1</t>
        </is>
      </c>
      <c r="J595" t="inlineStr"/>
      <c r="K595" t="inlineStr"/>
      <c r="L595" t="inlineStr"/>
      <c r="M595" t="inlineStr"/>
      <c r="N595" t="inlineStr"/>
      <c r="O595">
        <f>(1-Summary!$B$11)*T595+Summary!$B$11*V595</f>
        <v/>
      </c>
      <c r="P595">
        <f>IF(B614=0,0,O595/B614)</f>
        <v/>
      </c>
      <c r="Q595" t="n">
        <v>0</v>
      </c>
      <c r="R595" t="n">
        <v>0</v>
      </c>
      <c r="S595">
        <f>IFERROR(O595/N595,0)</f>
        <v/>
      </c>
      <c r="T595" t="n">
        <v>0</v>
      </c>
      <c r="V595" t="n">
        <v>0</v>
      </c>
    </row>
    <row r="596">
      <c r="A596">
        <f>Skills!A18</f>
        <v/>
      </c>
      <c r="B596">
        <f>Skills!B18</f>
        <v/>
      </c>
      <c r="C596">
        <f>Inputs!$B$3&gt;=33</f>
        <v/>
      </c>
      <c r="D596">
        <f>IF(Skills!C18=1,60+Inputs!$B$25+Inputs!$B$29,IF(Skills!C18=2,90+Inputs!$B$26+Inputs!$B$29,IF(Skills!C18=3,120+Inputs!$B$27+Inputs!$B$29,MAX(0,(Inputs!$B$3-100)*3)+Inputs!$B$28+Inputs!$B$29)))</f>
        <v/>
      </c>
      <c r="E596">
        <f>INDEX(FactorTable!$B$2:$Y$301, MATCH(ROUND(MIN(300,MAX(1,D596)),0), FactorTable!$A$2:$A$301,0), Skills!M18+1)</f>
        <v/>
      </c>
      <c r="F596">
        <f>IF(Skills!N18=TRUE,(Skills!L18/10)*(E596/1000),Skills!L18/10)+Skills!O18</f>
        <v/>
      </c>
      <c r="G596">
        <f>Skills!G18*IF(Skills!H18&gt;0,Skills!I18/Skills!H18,1)</f>
        <v/>
      </c>
      <c r="H596">
        <f>1-(1-Skills!J18/100)^Skills!K18</f>
        <v/>
      </c>
      <c r="I596" t="inlineStr">
        <is>
          <t>1</t>
        </is>
      </c>
      <c r="J596" t="inlineStr"/>
      <c r="K596" t="inlineStr"/>
      <c r="L596" t="inlineStr"/>
      <c r="M596" t="inlineStr"/>
      <c r="N596" t="inlineStr"/>
      <c r="O596">
        <f>(1-Summary!$B$11)*T596+Summary!$B$11*V596</f>
        <v/>
      </c>
      <c r="P596">
        <f>IF(B614=0,0,O596/B614)</f>
        <v/>
      </c>
      <c r="Q596" t="n">
        <v>0</v>
      </c>
      <c r="R596" t="n">
        <v>0</v>
      </c>
      <c r="S596">
        <f>IFERROR(O596/N596,0)</f>
        <v/>
      </c>
      <c r="T596" t="n">
        <v>0</v>
      </c>
      <c r="V596" t="n">
        <v>0</v>
      </c>
    </row>
    <row r="597">
      <c r="A597">
        <f>Skills!A19</f>
        <v/>
      </c>
      <c r="B597">
        <f>Skills!B19</f>
        <v/>
      </c>
      <c r="C597">
        <f>Inputs!$B$3&gt;=40</f>
        <v/>
      </c>
      <c r="D597">
        <f>IF(Skills!C19=1,60+Inputs!$B$25+Inputs!$B$29,IF(Skills!C19=2,90+Inputs!$B$26+Inputs!$B$29,IF(Skills!C19=3,120+Inputs!$B$27+Inputs!$B$29,MAX(0,(Inputs!$B$3-100)*3)+Inputs!$B$28+Inputs!$B$29)))</f>
        <v/>
      </c>
      <c r="E597">
        <f>INDEX(FactorTable!$B$2:$Y$301, MATCH(ROUND(MIN(300,MAX(1,D597)),0), FactorTable!$A$2:$A$301,0), Skills!M19+1)</f>
        <v/>
      </c>
      <c r="F597">
        <f>IF(Skills!N19=TRUE,(Skills!L19/10)*(E597/1000),Skills!L19/10)+Skills!O19</f>
        <v/>
      </c>
      <c r="G597">
        <f>Skills!G19*IF(Skills!H19&gt;0,Skills!I19/Skills!H19,1)</f>
        <v/>
      </c>
      <c r="H597">
        <f>1-(1-Skills!J19/100)^Skills!K19</f>
        <v/>
      </c>
      <c r="I597" t="inlineStr">
        <is>
          <t>1</t>
        </is>
      </c>
      <c r="J597" t="inlineStr"/>
      <c r="K597" t="inlineStr"/>
      <c r="L597" t="inlineStr"/>
      <c r="M597" t="inlineStr"/>
      <c r="N597" t="inlineStr"/>
      <c r="O597">
        <f>(1-Summary!$B$11)*T597+Summary!$B$11*V597</f>
        <v/>
      </c>
      <c r="P597">
        <f>IF(B614=0,0,O597/B614)</f>
        <v/>
      </c>
      <c r="Q597" t="n">
        <v>0</v>
      </c>
      <c r="R597" t="n">
        <v>0</v>
      </c>
      <c r="S597">
        <f>IFERROR(O597/N597,0)</f>
        <v/>
      </c>
      <c r="T597" t="n">
        <v>0</v>
      </c>
      <c r="V597" t="n">
        <v>0</v>
      </c>
    </row>
    <row r="598">
      <c r="A598">
        <f>Skills!A20</f>
        <v/>
      </c>
      <c r="B598">
        <f>Skills!B20</f>
        <v/>
      </c>
      <c r="C598">
        <f>Inputs!$B$3&gt;=43</f>
        <v/>
      </c>
      <c r="D598">
        <f>IF(Skills!C20=1,60+Inputs!$B$25+Inputs!$B$29,IF(Skills!C20=2,90+Inputs!$B$26+Inputs!$B$29,IF(Skills!C20=3,120+Inputs!$B$27+Inputs!$B$29,MAX(0,(Inputs!$B$3-100)*3)+Inputs!$B$28+Inputs!$B$29)))</f>
        <v/>
      </c>
      <c r="E598">
        <f>INDEX(FactorTable!$B$2:$Y$301, MATCH(ROUND(MIN(300,MAX(1,D598)),0), FactorTable!$A$2:$A$301,0), Skills!M20+1)</f>
        <v/>
      </c>
      <c r="F598">
        <f>IF(Skills!N20=TRUE,(Skills!L20/10)*(E598/1000),Skills!L20/10)+Skills!O20</f>
        <v/>
      </c>
      <c r="G598">
        <f>Skills!G20*IF(Skills!H20&gt;0,Skills!I20/Skills!H20,1)</f>
        <v/>
      </c>
      <c r="H598">
        <f>1-(1-Skills!J20/100)^Skills!K20</f>
        <v/>
      </c>
      <c r="I598" t="inlineStr">
        <is>
          <t>1</t>
        </is>
      </c>
      <c r="J598" t="inlineStr"/>
      <c r="K598" t="inlineStr"/>
      <c r="L598" t="inlineStr"/>
      <c r="M598" t="inlineStr"/>
      <c r="N598" t="inlineStr"/>
      <c r="O598">
        <f>(1-Summary!$B$11)*T598+Summary!$B$11*V598</f>
        <v/>
      </c>
      <c r="P598">
        <f>IF(B614=0,0,O598/B614)</f>
        <v/>
      </c>
      <c r="Q598" t="n">
        <v>0</v>
      </c>
      <c r="R598" t="n">
        <v>0</v>
      </c>
      <c r="S598">
        <f>IFERROR(O598/N598,0)</f>
        <v/>
      </c>
      <c r="T598" t="n">
        <v>0</v>
      </c>
      <c r="V598" t="n">
        <v>0</v>
      </c>
    </row>
    <row r="599">
      <c r="A599">
        <f>Skills!A21</f>
        <v/>
      </c>
      <c r="B599">
        <f>Skills!B21</f>
        <v/>
      </c>
      <c r="C599">
        <f>Inputs!$B$3&gt;=38</f>
        <v/>
      </c>
      <c r="D599">
        <f>IF(Skills!C21=1,60+Inputs!$B$25+Inputs!$B$29,IF(Skills!C21=2,90+Inputs!$B$26+Inputs!$B$29,IF(Skills!C21=3,120+Inputs!$B$27+Inputs!$B$29,MAX(0,(Inputs!$B$3-100)*3)+Inputs!$B$28+Inputs!$B$29)))</f>
        <v/>
      </c>
      <c r="E599">
        <f>INDEX(FactorTable!$B$2:$Y$301, MATCH(ROUND(MIN(300,MAX(1,D599)),0), FactorTable!$A$2:$A$301,0), Skills!M21+1)</f>
        <v/>
      </c>
      <c r="F599">
        <f>IF(Skills!N21=TRUE,(Skills!L21/10)*(E599/1000),Skills!L21/10)+Skills!O21</f>
        <v/>
      </c>
      <c r="G599">
        <f>Skills!G21*IF(Skills!H21&gt;0,Skills!I21/Skills!H21,1)</f>
        <v/>
      </c>
      <c r="H599">
        <f>1-(1-Skills!J21/100)^Skills!K21</f>
        <v/>
      </c>
      <c r="I599" t="inlineStr">
        <is>
          <t>1</t>
        </is>
      </c>
      <c r="J599" t="inlineStr"/>
      <c r="K599" t="inlineStr"/>
      <c r="L599" t="inlineStr"/>
      <c r="M599" t="inlineStr"/>
      <c r="N599" t="inlineStr"/>
      <c r="O599">
        <f>(1-Summary!$B$11)*T599+Summary!$B$11*V599</f>
        <v/>
      </c>
      <c r="P599">
        <f>IF(B614=0,0,O599/B614)</f>
        <v/>
      </c>
      <c r="Q599" t="n">
        <v>0</v>
      </c>
      <c r="R599" t="n">
        <v>0</v>
      </c>
      <c r="S599">
        <f>IFERROR(O599/N599,0)</f>
        <v/>
      </c>
      <c r="T599" t="n">
        <v>0</v>
      </c>
      <c r="V599" t="n">
        <v>0</v>
      </c>
    </row>
    <row r="600">
      <c r="A600">
        <f>Skills!A22</f>
        <v/>
      </c>
      <c r="B600">
        <f>Skills!B22</f>
        <v/>
      </c>
      <c r="C600">
        <f>Inputs!$B$3&gt;=75</f>
        <v/>
      </c>
      <c r="D600">
        <f>IF(Skills!C22=1,60+Inputs!$B$25+Inputs!$B$29,IF(Skills!C22=2,90+Inputs!$B$26+Inputs!$B$29,IF(Skills!C22=3,120+Inputs!$B$27+Inputs!$B$29,MAX(0,(Inputs!$B$3-100)*3)+Inputs!$B$28+Inputs!$B$29)))</f>
        <v/>
      </c>
      <c r="E600">
        <f>INDEX(FactorTable!$B$2:$Y$301, MATCH(ROUND(MIN(300,MAX(1,D600)),0), FactorTable!$A$2:$A$301,0), Skills!M22+1)</f>
        <v/>
      </c>
      <c r="F600">
        <f>IF(Skills!N22=TRUE,(Skills!L22/10)*(E600/1000),Skills!L22/10)+Skills!O22</f>
        <v/>
      </c>
      <c r="G600">
        <f>Skills!G22*IF(Skills!H22&gt;0,Skills!I22/Skills!H22,1)</f>
        <v/>
      </c>
      <c r="H600">
        <f>1-(1-Skills!J22/100)^Skills!K22</f>
        <v/>
      </c>
      <c r="I600" t="inlineStr">
        <is>
          <t>1</t>
        </is>
      </c>
      <c r="J600" t="inlineStr"/>
      <c r="K600" t="inlineStr"/>
      <c r="L600" t="inlineStr"/>
      <c r="M600" t="inlineStr"/>
      <c r="N600" t="inlineStr"/>
      <c r="O600">
        <f>(1-Summary!$B$11)*T600+Summary!$B$11*V600</f>
        <v/>
      </c>
      <c r="P600">
        <f>IF(B614=0,0,O600/B614)</f>
        <v/>
      </c>
      <c r="Q600" t="n">
        <v>0</v>
      </c>
      <c r="R600" t="n">
        <v>0</v>
      </c>
      <c r="S600">
        <f>IFERROR(O600/N600,0)</f>
        <v/>
      </c>
      <c r="T600" t="n">
        <v>0</v>
      </c>
      <c r="V600" t="n">
        <v>0</v>
      </c>
    </row>
    <row r="601">
      <c r="A601">
        <f>Skills!A23</f>
        <v/>
      </c>
      <c r="B601">
        <f>Skills!B23</f>
        <v/>
      </c>
      <c r="C601">
        <f>TRUE</f>
        <v/>
      </c>
      <c r="D601">
        <f>IF(Skills!C23=1,60+Inputs!$B$25+Inputs!$B$29,IF(Skills!C23=2,90+Inputs!$B$26+Inputs!$B$29,IF(Skills!C23=3,120+Inputs!$B$27+Inputs!$B$29,MAX(0,(Inputs!$B$3-100)*3)+Inputs!$B$28+Inputs!$B$29)))</f>
        <v/>
      </c>
      <c r="E601">
        <f>INDEX(FactorTable!$B$2:$Y$301, MATCH(ROUND(MIN(300,MAX(1,D601)),0), FactorTable!$A$2:$A$301,0), Skills!M23+1)</f>
        <v/>
      </c>
      <c r="F601">
        <f>IF(Skills!N23=TRUE,(Skills!L23/10)*(E601/1000),Skills!L23/10)+Skills!O23</f>
        <v/>
      </c>
      <c r="G601">
        <f>Skills!G23*IF(Skills!H23&gt;0,Skills!I23/Skills!H23,1)</f>
        <v/>
      </c>
      <c r="H601">
        <f>1-(1-Skills!J23/100)^Skills!K23</f>
        <v/>
      </c>
      <c r="I601" t="inlineStr">
        <is>
          <t>1</t>
        </is>
      </c>
      <c r="J601" t="inlineStr"/>
      <c r="K601" t="inlineStr"/>
      <c r="L601" t="inlineStr"/>
      <c r="M601" t="inlineStr"/>
      <c r="N601" t="inlineStr"/>
      <c r="O601">
        <f>(1-Summary!$B$11)*T601+Summary!$B$11*V601</f>
        <v/>
      </c>
      <c r="P601">
        <f>IF(B614=0,0,O601/B614)</f>
        <v/>
      </c>
      <c r="Q601">
        <f>IFERROR(1/(IF(Inputs!$B$38="pvp",15,MAX(0.1,Skills!D23-IF(Skills!E23=TRUE,Inputs!$B$32,0)))*(1-IF(AND(ArtifactsInput!$M$27,Inputs!$B$4="Chapter Hunt"),CHOOSE(ArtifactsInput!$N$27+1,20,24,28,32,36,40),0)/100)),0)</f>
        <v/>
      </c>
      <c r="R601">
        <f>IF(AND(Inputs!$B$38&lt;&gt;"pvp",Inputs!$B$43&gt;0),IF(Inputs!$B$43&lt;=0,0,(INT(Inputs!$B$43/(IF(Inputs!$B$38="pvp",15,MAX(0.1,Skills!D23-IF(Skills!E23=TRUE,Inputs!$B$32,0)))*(1-IF(AND(ArtifactsInput!$M$27,Inputs!$B$4="Chapter Hunt"),CHOOSE(ArtifactsInput!$N$27+1,20,24,28,32,36,40),0)/100)))+1)),0)</f>
        <v/>
      </c>
      <c r="S601">
        <f>IFERROR(O601/N601,0)</f>
        <v/>
      </c>
      <c r="T601" t="n">
        <v>0</v>
      </c>
      <c r="V601" t="n">
        <v>0</v>
      </c>
    </row>
    <row r="603">
      <c r="A603" t="inlineStr">
        <is>
          <t>Attack% Bucket Multiplier</t>
        </is>
      </c>
      <c r="B603">
        <f>(1+(((C591=TRUE)*F591*5/7)+((C597=TRUE)*(F597-Calc!F19))+(IF(ArtifactsInput!$M$21,CHOOSE(ArtifactsInput!$N$21+1,25,30,35,40,45,50)*(IF(OR(Inputs!$B$4="Chapter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04">
      <c r="A604" t="inlineStr">
        <is>
          <t>Global Crit Rate Bonus %</t>
        </is>
      </c>
      <c r="B604" t="n">
        <v>0</v>
      </c>
    </row>
    <row r="605">
      <c r="A605" t="inlineStr">
        <is>
          <t>Attack Speed Buff Bonus % (Nimble Feet, duty-cycle averaged)</t>
        </is>
      </c>
      <c r="B605">
        <f>((C601=TRUE)*F601*IF(AND(Inputs!$B$38&lt;&gt;"pvp",Inputs!$B$43&gt;0),(((R601-1)*(Skills!T23*(1+Inputs!$B$34/100))+MIN((Skills!T23*(1+Inputs!$B$34/100)),MAX(0,Inputs!$B$43-((R601-1)*Skills!D23))))/Inputs!$B$43),IF(Inputs!$B$38="pvp",MIN((Skills!T23*(1+Inputs!$B$34/100)),15)/15,(Skills!T23*(1+Inputs!$B$34/100))/Skills!D23)))</f>
        <v/>
      </c>
    </row>
    <row r="606">
      <c r="A606" t="inlineStr">
        <is>
          <t>Actions Per Second</t>
        </is>
      </c>
      <c r="B606">
        <f>1+MIN(150,150*(1-(1-(Inputs!$B$11+((C595=TRUE)*(F595-Calc!F17))+((C596=TRUE)*(F596-Calc!F18)))/150)*(1-B605/150)))/100</f>
        <v/>
      </c>
    </row>
    <row r="607">
      <c r="A607" t="inlineStr">
        <is>
          <t>Skill + Buff Cast Rate</t>
        </is>
      </c>
      <c r="B607">
        <f>IF(AND(Inputs!$B$38&lt;&gt;"pvp",Inputs!$B$43&gt;0),SUMPRODUCT((Skills!E2:E23=TRUE)*(C580:C601=TRUE)*R580:R601*Skills!F2:F23)/Inputs!$B$43,SUMPRODUCT((Skills!E2:E23=TRUE)*(C580:C601=TRUE)*Q580:Q601*Skills!F2:F23))</f>
        <v/>
      </c>
    </row>
    <row r="608">
      <c r="A608" t="inlineStr">
        <is>
          <t>Hook Bomber Casts Per Second</t>
        </is>
      </c>
      <c r="B608">
        <f>MAX(0,B606-B607)</f>
        <v/>
      </c>
    </row>
    <row r="609">
      <c r="A609" t="inlineStr">
        <is>
          <t>Global Critical Damage Bonus % (unused)</t>
        </is>
      </c>
      <c r="B609" t="n">
        <v>0</v>
      </c>
    </row>
    <row r="610">
      <c r="A610" t="inlineStr">
        <is>
          <t>Global Final Damage Bonus % (Serpent Scale + Crossbones + Time Leap + Speed Infusion)</t>
        </is>
      </c>
      <c r="B610">
        <f>((C583=TRUE)*F583*((10+IF(Inputs!$B$3&gt;=94,5,0))/((10+IF(Inputs!$B$3&gt;=94,5,0))+5/(B608*(1+IF(Inputs!$B$3&gt;=104,1,0))))))+((C592=TRUE)*F592*IF(AND(Inputs!$B$38&lt;&gt;"pvp",Inputs!$B$43&gt;0),(((R592-1)*(Skills!T14*(1+Inputs!$B$34/100))+MIN((Skills!T14*(1+Inputs!$B$34/100)),MAX(0,Inputs!$B$43-((R592-1)*Skills!D14))))/Inputs!$B$43),IF(Inputs!$B$38="pvp",MIN((Skills!T14*(1+Inputs!$B$34/100)),15)/15,(Skills!T14*(1+Inputs!$B$34/100))/Skills!D14)))+((C593=TRUE)*F593*IF(AND(Inputs!$B$38&lt;&gt;"pvp",Inputs!$B$43&gt;0),(((R593-1)*(Skills!T15*(1+Inputs!$B$34/100))+MIN((Skills!T15*(1+Inputs!$B$34/100)),MAX(0,Inputs!$B$43-((R593-1)*Skills!D15))))/Inputs!$B$43),IF(Inputs!$B$38="pvp",MIN((Skills!T15*(1+Inputs!$B$34/100)),15)/15,(Skills!T15*(1+Inputs!$B$34/100))/Skills!D15)))+((Inputs!$B$3&gt;=110)*20*(B606-1)*IF(Inputs!$B$38="pvp",MIN((15*(1+Inputs!$B$34/100)),15)/15,(15*(1+Inputs!$B$34/100))/35))</f>
        <v/>
      </c>
    </row>
    <row r="611">
      <c r="A611" t="inlineStr">
        <is>
          <t>Buff-Casting Startup Delay (s, fixed-duration only)</t>
        </is>
      </c>
      <c r="B611">
        <f>IF(AND(Inputs!$B$38&lt;&gt;"pvp",Inputs!$B$43&gt;0),SUMPRODUCT((Skills!T2:T23&gt;0)*(Skills!E2:E23=TRUE)*(C580:C601=TRUE))/B606,0)</f>
        <v/>
      </c>
    </row>
    <row r="612">
      <c r="A612" t="inlineStr">
        <is>
          <t>Boss-Only Total DPS (this block's swept value)</t>
        </is>
      </c>
      <c r="B612">
        <f>SUM(T580:T601)</f>
        <v/>
      </c>
    </row>
    <row r="613">
      <c r="A613" t="inlineStr">
        <is>
          <t>Normal-Only Total DPS (this block's swept value)</t>
        </is>
      </c>
      <c r="B613">
        <f>SUM(V580:V601)</f>
        <v/>
      </c>
    </row>
    <row r="614">
      <c r="A614" s="6" t="inlineStr">
        <is>
          <t>TOTAL DPS</t>
        </is>
      </c>
      <c r="B614" s="6">
        <f>SUM(O580:O601)</f>
        <v/>
      </c>
    </row>
    <row r="617">
      <c r="A617" s="6" t="inlineStr">
        <is>
          <t>Stat: BASIC_ATTACK_DAMAGE %</t>
        </is>
      </c>
    </row>
    <row r="618">
      <c r="A618" s="5" t="inlineStr">
        <is>
          <t>Key</t>
        </is>
      </c>
      <c r="B618" s="5" t="inlineStr">
        <is>
          <t>Name</t>
        </is>
      </c>
      <c r="C618" s="5" t="inlineStr">
        <is>
          <t>Unlocked</t>
        </is>
      </c>
      <c r="D618" s="5" t="inlineStr">
        <is>
          <t>InputLevel</t>
        </is>
      </c>
      <c r="E618" s="5" t="inlineStr">
        <is>
          <t>Factor</t>
        </is>
      </c>
      <c r="F618" s="5" t="inlineStr">
        <is>
          <t>CoefficientPercent</t>
        </is>
      </c>
      <c r="G618" s="5" t="inlineStr">
        <is>
          <t>EffectiveHits</t>
        </is>
      </c>
      <c r="H618" s="5" t="inlineStr">
        <is>
          <t>ProcProbability</t>
        </is>
      </c>
      <c r="I618" s="5" t="inlineStr">
        <is>
          <t>MapleHeroMultiplier</t>
        </is>
      </c>
      <c r="J618" s="5" t="inlineStr">
        <is>
          <t>BaseDamage</t>
        </is>
      </c>
      <c r="K618" s="5" t="inlineStr">
        <is>
          <t>BaseHitDamage</t>
        </is>
      </c>
      <c r="L618" s="5" t="inlineStr">
        <is>
          <t>NonCritAvg</t>
        </is>
      </c>
      <c r="M618" s="5" t="inlineStr">
        <is>
          <t>CritAvg</t>
        </is>
      </c>
      <c r="N618" s="5" t="inlineStr">
        <is>
          <t>ExpectedDamage(perHit)</t>
        </is>
      </c>
      <c r="O618" s="5" t="inlineStr">
        <is>
          <t>DPS</t>
        </is>
      </c>
      <c r="P618" s="5" t="inlineStr">
        <is>
          <t>% of Total</t>
        </is>
      </c>
      <c r="Q618" s="5" t="inlineStr">
        <is>
          <t>InvCooldown</t>
        </is>
      </c>
      <c r="R618" s="5" t="inlineStr">
        <is>
          <t>CastsInFight</t>
        </is>
      </c>
      <c r="S618" s="5" t="inlineStr">
        <is>
          <t>HitRate(perSec)</t>
        </is>
      </c>
      <c r="U618" t="inlineStr">
        <is>
          <t>helpers</t>
        </is>
      </c>
    </row>
    <row r="619">
      <c r="A619">
        <f>Skills!A2</f>
        <v/>
      </c>
      <c r="B619">
        <f>Skills!B2</f>
        <v/>
      </c>
      <c r="C619">
        <f>Inputs!$B$3&gt;=100</f>
        <v/>
      </c>
      <c r="D619" t="inlineStr"/>
      <c r="E619" t="inlineStr"/>
      <c r="F619">
        <f>U621+Skills!O2</f>
        <v/>
      </c>
      <c r="G619">
        <f>Skills!G2*IF(Skills!H2&gt;0,Skills!I2/Skills!H2,1)</f>
        <v/>
      </c>
      <c r="H619">
        <f>1-(1-Skills!J2/100)^Skills!K2</f>
        <v/>
      </c>
      <c r="I619" t="inlineStr">
        <is>
          <t>1</t>
        </is>
      </c>
      <c r="J619">
        <f>((Inputs!$B$6*(1+Inputs!$B$7/100))+(((Inputs!$B$12*(1+Inputs!$B$13/100))-(Inputs!$B$12*(1+Inputs!$B$13/100)))+0.25*(Inputs!$B$14-Inputs!$B$14))*(1+Inputs!$B$7/100))*(F619/100)</f>
        <v/>
      </c>
      <c r="K619">
        <f>J619*(1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619)</f>
        <v/>
      </c>
      <c r="L619">
        <f>K619*(MIN(Inputs!$B$22+((C637=TRUE)*(F637-Calc!F20)),(Inputs!$B$23+0+(IF(ArtifactsInput!$M$15,CHOOSE(ArtifactsInput!$N$15+1,25,30,35,40,45,50)/100*(Inputs!$B$11-Inputs!$B$11),0))))/100+(Inputs!$B$23+0+(IF(ArtifactsInput!$M$15,CHOOSE(ArtifactsInput!$N$15+1,25,30,35,40,45,50)/100*(Inputs!$B$11-Inputs!$B$11),0)))/100)/2</f>
        <v/>
      </c>
      <c r="M619">
        <f>L619*(1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IF(B653=0,0,O619/B653)</f>
        <v/>
      </c>
      <c r="Q619" t="n">
        <v>0</v>
      </c>
      <c r="R619" t="n">
        <v>0</v>
      </c>
      <c r="S619">
        <f>IFERROR(O619/N619,0)</f>
        <v/>
      </c>
      <c r="T619">
        <f>IF(C619,(Skills!G2*N619*B647)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619*(1-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9">
        <f>MAX(0,(Inputs!$B$3-100)*3)+Inputs!$B$28+Inputs!$B$29</f>
        <v/>
      </c>
      <c r="V619">
        <f>IF(C619,(Skills!G2*N619*B647)*IF(Inputs!$B$38="pvp",1,(1+(Inputs!$B$21+Skills!Q2+(IF(ArtifactsInput!$M$33,CHOOSE(ArtifactsInput!$N$33+1,30,36,42,48,54,60),0))+(IF(AND(ArtifactsInput!$M$35,Inputs!$B$4&lt;&gt;"Chapter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Skills!A3</f>
        <v/>
      </c>
      <c r="B620">
        <f>Skills!B3</f>
        <v/>
      </c>
      <c r="C620">
        <f>Inputs!$B$3&gt;=35</f>
        <v/>
      </c>
      <c r="D620">
        <f>IF(Skills!C3=1,60+Inputs!$B$25+Inputs!$B$29,IF(Skills!C3=2,90+Inputs!$B$26+Inputs!$B$29,IF(Skills!C3=3,120+Inputs!$B$27+Inputs!$B$29,MAX(0,(Inputs!$B$3-100)*3)+Inputs!$B$28+Inputs!$B$29)))</f>
        <v/>
      </c>
      <c r="E620">
        <f>INDEX(FactorTable!$B$2:$Y$301, MATCH(ROUND(MIN(300,MAX(1,D620)),0), FactorTable!$A$2:$A$301,0), Skills!M3+1)</f>
        <v/>
      </c>
      <c r="F620">
        <f>IF(Skills!N3=TRUE,(Skills!L3/10)*(E620/1000),Skills!L3/10)+Skills!O3</f>
        <v/>
      </c>
      <c r="G620">
        <f>Skills!G3*IF(Skills!H3&gt;0,Skills!I3/Skills!H3,1)</f>
        <v/>
      </c>
      <c r="H620">
        <f>1-(1-Skills!J3/100)^Skills!K3</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637=TRUE)*(F637-Calc!F20)),(Inputs!$B$23+0+(IF(ArtifactsInput!$M$15,CHOOSE(ArtifactsInput!$N$15+1,25,30,35,40,45,50)/100*(Inputs!$B$11-Inputs!$B$11),0))))/100+(Inputs!$B$23+0+(IF(ArtifactsInput!$M$15,CHOOSE(ArtifactsInput!$N$15+1,25,30,35,40,45,50)/100*(Inputs!$B$11-Inputs!$B$11),0)))/100)/2</f>
        <v/>
      </c>
      <c r="M620">
        <f>L620*(1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IF(B653=0,0,O620/B653)</f>
        <v/>
      </c>
      <c r="Q620" t="n">
        <v>0</v>
      </c>
      <c r="R620" t="n">
        <v>0</v>
      </c>
      <c r="S620">
        <f>IFERROR(O620/N620,0)</f>
        <v/>
      </c>
      <c r="T620">
        <f>IF(C620,(Skills!G3*H620*N620*B647)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0">
        <f>INDEX(FactorTable!$B$2:$Y$301, MATCH(ROUND(MIN(300,MAX(1,U619)),0), FactorTable!$A$2:$A$301,0), 22)</f>
        <v/>
      </c>
      <c r="V620">
        <f>IF(C620,(Skills!G3*H620*N620*B647)*IF(Inputs!$B$38="pvp",1,(1+(Inputs!$B$21+Skills!Q3+(IF(ArtifactsInput!$M$33,CHOOSE(ArtifactsInput!$N$33+1,30,36,42,48,54,60),0))+(IF(AND(ArtifactsInput!$M$35,Inputs!$B$4&lt;&gt;"Chapter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Skills!A4</f>
        <v/>
      </c>
      <c r="B621">
        <f>Skills!B4</f>
        <v/>
      </c>
      <c r="C621">
        <f>Inputs!$B$3&gt;=60</f>
        <v/>
      </c>
      <c r="D621">
        <f>IF(Skills!C4=1,60+Inputs!$B$25+Inputs!$B$29,IF(Skills!C4=2,90+Inputs!$B$26+Inputs!$B$29,IF(Skills!C4=3,120+Inputs!$B$27+Inputs!$B$29,MAX(0,(Inputs!$B$3-100)*3)+Inputs!$B$28+Inputs!$B$29)))</f>
        <v/>
      </c>
      <c r="E621">
        <f>INDEX(FactorTable!$B$2:$Y$301, MATCH(ROUND(MIN(300,MAX(1,D621)),0), FactorTable!$A$2:$A$301,0), Skills!M4+1)</f>
        <v/>
      </c>
      <c r="F621">
        <f>IF(Skills!N4=TRUE,(Skills!L4/10)*(E621/1000),Skills!L4/10)+Skills!O4</f>
        <v/>
      </c>
      <c r="G621">
        <f>Skills!G4*IF(Skills!H4&gt;0,Skills!I4/Skills!H4,1)</f>
        <v/>
      </c>
      <c r="H621">
        <f>1-(1-Skills!J4/100)^Skills!K4</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629=TRUE,F629,0)/100)*(1+(IF(Skills!A4="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637=TRUE)*(F637-Calc!F20)),(Inputs!$B$23+0+(IF(ArtifactsInput!$M$15,CHOOSE(ArtifactsInput!$N$15+1,25,30,35,40,45,50)/100*(Inputs!$B$11-Inputs!$B$11),0))))/100+(Inputs!$B$23+0+(IF(ArtifactsInput!$M$15,CHOOSE(ArtifactsInput!$N$15+1,25,30,35,40,45,50)/100*(Inputs!$B$11-Inputs!$B$11),0)))/100)/2</f>
        <v/>
      </c>
      <c r="M621">
        <f>L621*(1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IF(B653=0,0,O621/B653)</f>
        <v/>
      </c>
      <c r="Q621" t="n">
        <v>0</v>
      </c>
      <c r="R621" t="n">
        <v>0</v>
      </c>
      <c r="S621">
        <f>IFERROR(O621/N621,0)</f>
        <v/>
      </c>
      <c r="T621">
        <f>IF(C621,(Skills!G4*H621*N621*B647)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21">
        <f>290*U620/1000</f>
        <v/>
      </c>
      <c r="V621">
        <f>IF(C621,(Skills!G4*H621*N621*B647)*IF(Inputs!$B$38="pvp",1,(1+(Inputs!$B$21+Skills!Q4+(IF(ArtifactsInput!$M$33,CHOOSE(ArtifactsInput!$N$33+1,30,36,42,48,54,60),0))+(IF(AND(ArtifactsInput!$M$35,Inputs!$B$4&lt;&gt;"Chapter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Skills!A5</f>
        <v/>
      </c>
      <c r="B622">
        <f>Skills!B5</f>
        <v/>
      </c>
      <c r="C622">
        <f>Inputs!$B$3&gt;=60</f>
        <v/>
      </c>
      <c r="D622">
        <f>IF(Skills!C5=1,60+Inputs!$B$25+Inputs!$B$29,IF(Skills!C5=2,90+Inputs!$B$26+Inputs!$B$29,IF(Skills!C5=3,120+Inputs!$B$27+Inputs!$B$29,MAX(0,(Inputs!$B$3-100)*3)+Inputs!$B$28+Inputs!$B$29)))</f>
        <v/>
      </c>
      <c r="E622">
        <f>INDEX(FactorTable!$B$2:$Y$301, MATCH(ROUND(MIN(300,MAX(1,D622)),0), FactorTable!$A$2:$A$301,0), Skills!M5+1)</f>
        <v/>
      </c>
      <c r="F622">
        <f>IF(Skills!N5=TRUE,(Skills!L5/10)*(E622/1000),Skills!L5/10)+Skills!O5</f>
        <v/>
      </c>
      <c r="G622">
        <f>Skills!G5*IF(Skills!H5&gt;0,Skills!I5/Skills!H5,1)</f>
        <v/>
      </c>
      <c r="H622">
        <f>1-(1-Skills!J5/100)^Skills!K5</f>
        <v/>
      </c>
      <c r="I622" t="inlineStr">
        <is>
          <t>1</t>
        </is>
      </c>
      <c r="J622" t="inlineStr"/>
      <c r="K622" t="inlineStr"/>
      <c r="L622" t="inlineStr"/>
      <c r="M622" t="inlineStr"/>
      <c r="N622" t="inlineStr"/>
      <c r="O622">
        <f>(1-Summary!$B$11)*T622+Summary!$B$11*V622</f>
        <v/>
      </c>
      <c r="P622">
        <f>IF(B653=0,0,O622/B653)</f>
        <v/>
      </c>
      <c r="Q622" t="n">
        <v>0</v>
      </c>
      <c r="R622" t="n">
        <v>0</v>
      </c>
      <c r="S622">
        <f>IFERROR(O622/N622,0)</f>
        <v/>
      </c>
      <c r="T622" t="n">
        <v>0</v>
      </c>
      <c r="V622" t="n">
        <v>0</v>
      </c>
    </row>
    <row r="623">
      <c r="A623">
        <f>Skills!A6</f>
        <v/>
      </c>
      <c r="B623">
        <f>Skills!B6</f>
        <v/>
      </c>
      <c r="C623">
        <f>Inputs!$B$3&gt;=63</f>
        <v/>
      </c>
      <c r="D623">
        <f>IF(Skills!C6=1,60+Inputs!$B$25+Inputs!$B$29,IF(Skills!C6=2,90+Inputs!$B$26+Inputs!$B$29,IF(Skills!C6=3,120+Inputs!$B$27+Inputs!$B$29,MAX(0,(Inputs!$B$3-100)*3)+Inputs!$B$28+Inputs!$B$29)))</f>
        <v/>
      </c>
      <c r="E623">
        <f>INDEX(FactorTable!$B$2:$Y$301, MATCH(ROUND(MIN(300,MAX(1,D623)),0), FactorTable!$A$2:$A$301,0), Skills!M6+1)</f>
        <v/>
      </c>
      <c r="F623">
        <f>IF(Skills!N6=TRUE,(Skills!L6/10)*(E623/1000),Skills!L6/10)+Skills!O6</f>
        <v/>
      </c>
      <c r="G623">
        <f>Skills!G6*IF(Skills!H6&gt;0,Skills!I6/Skills!H6,1)</f>
        <v/>
      </c>
      <c r="H623">
        <f>1-(1-Skills!J6/100)^Skills!K6</f>
        <v/>
      </c>
      <c r="I623" t="inlineStr">
        <is>
          <t>1</t>
        </is>
      </c>
      <c r="J623">
        <f>((Inputs!$B$6*(1+Inputs!$B$7/100))+(((Inputs!$B$12*(1+Inputs!$B$13/100))-(Inputs!$B$12*(1+Inputs!$B$13/100)))+0.25*(Inputs!$B$14-Inputs!$B$14))*(1+Inputs!$B$7/100))*(F623/100)</f>
        <v/>
      </c>
      <c r="K623">
        <f>J623*(1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629=TRUE,F629,0)/100)*(1+(IF(Skills!A6="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623)</f>
        <v/>
      </c>
      <c r="L623">
        <f>K623*(MIN(Inputs!$B$22+((C637=TRUE)*(F637-Calc!F20)),(Inputs!$B$23+0+(IF(ArtifactsInput!$M$15,CHOOSE(ArtifactsInput!$N$15+1,25,30,35,40,45,50)/100*(Inputs!$B$11-Inputs!$B$11),0))))/100+(Inputs!$B$23+0+(IF(ArtifactsInput!$M$15,CHOOSE(ArtifactsInput!$N$15+1,25,30,35,40,45,50)/100*(Inputs!$B$11-Inputs!$B$11),0)))/100)/2</f>
        <v/>
      </c>
      <c r="M623">
        <f>L623*(1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3">
        <f>L623*(1-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623*(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3">
        <f>(1-Summary!$B$11)*T623+Summary!$B$11*V623</f>
        <v/>
      </c>
      <c r="P623">
        <f>IF(B653=0,0,O623/B653)</f>
        <v/>
      </c>
      <c r="Q623">
        <f>IFERROR(1/(IF(Inputs!$B$38="pvp",15,MAX(0.1,Skills!D6-IF(Skills!E6=TRUE,Inputs!$B$32,0)))*(1-IF(AND(ArtifactsInput!$M$27,Inputs!$B$4="Chapter Hunt"),CHOOSE(ArtifactsInput!$N$27+1,20,24,28,32,36,40),0)/100)),0)</f>
        <v/>
      </c>
      <c r="R623">
        <f>IF(AND(Inputs!$B$38&lt;&gt;"pvp",Inputs!$B$43&gt;0),IF(MAX(0,Inputs!$B$43-B650)&lt;=0,0,(INT(MAX(0,Inputs!$B$43-B650)/(IF(Inputs!$B$38="pvp",15,MAX(0.1,Skills!D6-IF(Skills!E6=TRUE,Inputs!$B$32,0)))*(1-IF(AND(ArtifactsInput!$M$27,Inputs!$B$4="Chapter Hunt"),CHOOSE(ArtifactsInput!$N$27+1,20,24,28,32,36,40),0)/100)))+1)),0)</f>
        <v/>
      </c>
      <c r="S623">
        <f>IFERROR(O623/N623,0)</f>
        <v/>
      </c>
      <c r="T623">
        <f>IF(C623,(H623*N623*IF(AND(Inputs!$B$38&lt;&gt;"pvp",Inputs!$B$43&gt;0),((Skills!G6*((R623-1)*IF(Skills!H6&gt;0,Skills!I6/Skills!H6,1)+IF(Skills!H6&gt;0,MIN(Skills!I6,MAX(0,MAX(0,Inputs!$B$43-B650)-((R623-1)*(IF(Inputs!$B$38="pvp",15,MAX(0.1,Skills!D6-IF(Skills!E6=TRUE,Inputs!$B$32,0)))*(1-IF(AND(ArtifactsInput!$M$27,Inputs!$B$4="Chapter Hunt"),CHOOSE(ArtifactsInput!$N$27+1,20,24,28,32,36,40),0)/100)))))/Skills!H6,1)))/Inputs!$B$43),G623*Q623)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623*(1-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623*(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623*(1-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623*(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3">
        <f>IF(C623,(H623*N623*IF(AND(Inputs!$B$38&lt;&gt;"pvp",Inputs!$B$43&gt;0),((Skills!G6*((R623-1)*IF(Skills!H6&gt;0,Skills!I6/Skills!H6,1)+IF(Skills!H6&gt;0,MIN(Skills!I6,MAX(0,MAX(0,Inputs!$B$43-B650)-((R623-1)*(IF(Inputs!$B$38="pvp",15,MAX(0.1,Skills!D6-IF(Skills!E6=TRUE,Inputs!$B$32,0)))*(1-IF(AND(ArtifactsInput!$M$27,Inputs!$B$4="Chapter Hunt"),CHOOSE(ArtifactsInput!$N$27+1,20,24,28,32,36,40),0)/100)))))/Skills!H6,1)))/Inputs!$B$43),G623*Q623))*IF(Inputs!$B$38="pvp",1,(1+(Inputs!$B$21+Skills!Q6+(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4">
      <c r="A624">
        <f>Skills!A7</f>
        <v/>
      </c>
      <c r="B624">
        <f>Skills!B7</f>
        <v/>
      </c>
      <c r="C624">
        <f>Inputs!$B$3&gt;=100</f>
        <v/>
      </c>
      <c r="D624">
        <f>IF(Skills!C7=1,60+Inputs!$B$25+Inputs!$B$29,IF(Skills!C7=2,90+Inputs!$B$26+Inputs!$B$29,IF(Skills!C7=3,120+Inputs!$B$27+Inputs!$B$29,MAX(0,(Inputs!$B$3-100)*3)+Inputs!$B$28+Inputs!$B$29)))</f>
        <v/>
      </c>
      <c r="E624">
        <f>INDEX(FactorTable!$B$2:$Y$301, MATCH(ROUND(MIN(300,MAX(1,D624)),0), FactorTable!$A$2:$A$301,0), Skills!M7+1)</f>
        <v/>
      </c>
      <c r="F624">
        <f>IF(Skills!N7=TRUE,(Skills!L7/10)*(E624/1000),Skills!L7/10)+Skills!O7</f>
        <v/>
      </c>
      <c r="G624">
        <f>Skills!G7*IF(Skills!H7&gt;0,Skills!I7/Skills!H7,1)</f>
        <v/>
      </c>
      <c r="H624">
        <f>1-(1-Skills!J7/100)^Skills!K7</f>
        <v/>
      </c>
      <c r="I624" t="inlineStr">
        <is>
          <t>1</t>
        </is>
      </c>
      <c r="J624">
        <f>((Inputs!$B$6*(1+Inputs!$B$7/100))+(((Inputs!$B$12*(1+Inputs!$B$13/100))-(Inputs!$B$12*(1+Inputs!$B$13/100)))+0.25*(Inputs!$B$14-Inputs!$B$14))*(1+Inputs!$B$7/100))*(F624/100)</f>
        <v/>
      </c>
      <c r="K624">
        <f>J624*(1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624)</f>
        <v/>
      </c>
      <c r="L624">
        <f>K624*(MIN(Inputs!$B$22+((C637=TRUE)*(F637-Calc!F20)),(Inputs!$B$23+0+(IF(ArtifactsInput!$M$15,CHOOSE(ArtifactsInput!$N$15+1,25,30,35,40,45,50)/100*(Inputs!$B$11-Inputs!$B$11),0))))/100+(Inputs!$B$23+0+(IF(ArtifactsInput!$M$15,CHOOSE(ArtifactsInput!$N$15+1,25,30,35,40,45,50)/100*(Inputs!$B$11-Inputs!$B$11),0)))/100)/2</f>
        <v/>
      </c>
      <c r="M624">
        <f>L624*(1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4">
        <f>L624*(1-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624*(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4">
        <f>(1-Summary!$B$11)*T624+Summary!$B$11*V624</f>
        <v/>
      </c>
      <c r="P624">
        <f>IF(B653=0,0,O624/B653)</f>
        <v/>
      </c>
      <c r="Q624">
        <f>IFERROR(1/(IF(Inputs!$B$38="pvp",15,MAX(0.1,Skills!D7-IF(Skills!E7=TRUE,Inputs!$B$32,0)))*(1-IF(AND(ArtifactsInput!$M$27,Inputs!$B$4="Chapter Hunt"),CHOOSE(ArtifactsInput!$N$27+1,20,24,28,32,36,40),0)/100)),0)</f>
        <v/>
      </c>
      <c r="R624">
        <f>IF(AND(Inputs!$B$38&lt;&gt;"pvp",Inputs!$B$43&gt;0),IF(MAX(0,Inputs!$B$43-B650)&lt;=0,0,(INT(MAX(0,Inputs!$B$43-B650)/(IF(Inputs!$B$38="pvp",15,MAX(0.1,Skills!D7-IF(Skills!E7=TRUE,Inputs!$B$32,0)))*(1-IF(AND(ArtifactsInput!$M$27,Inputs!$B$4="Chapter Hunt"),CHOOSE(ArtifactsInput!$N$27+1,20,24,28,32,36,40),0)/100)))+1)),0)</f>
        <v/>
      </c>
      <c r="S624">
        <f>IFERROR(O624/N624,0)</f>
        <v/>
      </c>
      <c r="T624">
        <f>IF(C624,(H624*N624*IF(AND(Inputs!$B$38&lt;&gt;"pvp",Inputs!$B$43&gt;0),((Skills!G7*((R624-1)*IF(Skills!H7&gt;0,Skills!I7/Skills!H7,1)+IF(Skills!H7&gt;0,MIN(Skills!I7,MAX(0,MAX(0,Inputs!$B$43-B650)-((R624-1)*(IF(Inputs!$B$38="pvp",15,MAX(0.1,Skills!D7-IF(Skills!E7=TRUE,Inputs!$B$32,0)))*(1-IF(AND(ArtifactsInput!$M$27,Inputs!$B$4="Chapter Hunt"),CHOOSE(ArtifactsInput!$N$27+1,20,24,28,32,36,40),0)/100)))))/Skills!H7,1)))/Inputs!$B$43),G624*Q624)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624*(1-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624*(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624*(1-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624*(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4">
        <f>IF(C624,(H624*N624*IF(AND(Inputs!$B$38&lt;&gt;"pvp",Inputs!$B$43&gt;0),((Skills!G7*((R624-1)*IF(Skills!H7&gt;0,Skills!I7/Skills!H7,1)+IF(Skills!H7&gt;0,MIN(Skills!I7,MAX(0,MAX(0,Inputs!$B$43-B650)-((R624-1)*(IF(Inputs!$B$38="pvp",15,MAX(0.1,Skills!D7-IF(Skills!E7=TRUE,Inputs!$B$32,0)))*(1-IF(AND(ArtifactsInput!$M$27,Inputs!$B$4="Chapter Hunt"),CHOOSE(ArtifactsInput!$N$27+1,20,24,28,32,36,40),0)/100)))))/Skills!H7,1)))/Inputs!$B$43),G624*Q624))*IF(Inputs!$B$38="pvp",1,(1+(Inputs!$B$21+Skills!Q7+(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5">
      <c r="A625">
        <f>Skills!A8</f>
        <v/>
      </c>
      <c r="B625">
        <f>Skills!B8</f>
        <v/>
      </c>
      <c r="C625">
        <f>Inputs!$B$3&gt;=110</f>
        <v/>
      </c>
      <c r="D625">
        <f>IF(Skills!C8=1,60+Inputs!$B$25+Inputs!$B$29,IF(Skills!C8=2,90+Inputs!$B$26+Inputs!$B$29,IF(Skills!C8=3,120+Inputs!$B$27+Inputs!$B$29,MAX(0,(Inputs!$B$3-100)*3)+Inputs!$B$28+Inputs!$B$29)))</f>
        <v/>
      </c>
      <c r="E625">
        <f>INDEX(FactorTable!$B$2:$Y$301, MATCH(ROUND(MIN(300,MAX(1,D625)),0), FactorTable!$A$2:$A$301,0), Skills!M8+1)</f>
        <v/>
      </c>
      <c r="F625">
        <f>IF(Skills!N8=TRUE,(Skills!L8/10)*(E625/1000),Skills!L8/10)+Skills!O8</f>
        <v/>
      </c>
      <c r="G625">
        <f>Skills!G8*IF(Skills!H8&gt;0,Skills!I8/Skills!H8,1)</f>
        <v/>
      </c>
      <c r="H625">
        <f>1-(1-Skills!J8/100)^Skills!K8</f>
        <v/>
      </c>
      <c r="I625" t="inlineStr">
        <is>
          <t>1</t>
        </is>
      </c>
      <c r="J625">
        <f>((Inputs!$B$6*(1+Inputs!$B$7/100))+(((Inputs!$B$12*(1+Inputs!$B$13/100))-(Inputs!$B$12*(1+Inputs!$B$13/100)))+0.25*(Inputs!$B$14-Inputs!$B$14))*(1+Inputs!$B$7/100))*(F625/100)</f>
        <v/>
      </c>
      <c r="K625">
        <f>J625*(1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625)</f>
        <v/>
      </c>
      <c r="L625">
        <f>K625*(MIN(Inputs!$B$22+((C637=TRUE)*(F637-Calc!F20)),(Inputs!$B$23+0+(IF(ArtifactsInput!$M$15,CHOOSE(ArtifactsInput!$N$15+1,25,30,35,40,45,50)/100*(Inputs!$B$11-Inputs!$B$11),0))))/100+(Inputs!$B$23+0+(IF(ArtifactsInput!$M$15,CHOOSE(ArtifactsInput!$N$15+1,25,30,35,40,45,50)/100*(Inputs!$B$11-Inputs!$B$11),0)))/100)/2</f>
        <v/>
      </c>
      <c r="M625">
        <f>L625*(1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5">
        <f>L625*(1-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625*(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5">
        <f>(1-Summary!$B$11)*T625+Summary!$B$11*V625</f>
        <v/>
      </c>
      <c r="P625">
        <f>IF(B653=0,0,O625/B653)</f>
        <v/>
      </c>
      <c r="Q625">
        <f>IFERROR(1/(IF(Inputs!$B$38="pvp",15,MAX(0.1,Skills!D8-IF(Skills!E8=TRUE,Inputs!$B$32,0)))*(1-IF(AND(ArtifactsInput!$M$27,Inputs!$B$4="Chapter Hunt"),CHOOSE(ArtifactsInput!$N$27+1,20,24,28,32,36,40),0)/100)),0)</f>
        <v/>
      </c>
      <c r="R625">
        <f>IF(AND(Inputs!$B$38&lt;&gt;"pvp",Inputs!$B$43&gt;0),IF(MAX(0,Inputs!$B$43-B650)&lt;=0,0,(INT(MAX(0,Inputs!$B$43-B650)/(IF(Inputs!$B$38="pvp",15,MAX(0.1,Skills!D8-IF(Skills!E8=TRUE,Inputs!$B$32,0)))*(1-IF(AND(ArtifactsInput!$M$27,Inputs!$B$4="Chapter Hunt"),CHOOSE(ArtifactsInput!$N$27+1,20,24,28,32,36,40),0)/100)))+1)),0)</f>
        <v/>
      </c>
      <c r="S625">
        <f>IFERROR(O625/N625,0)</f>
        <v/>
      </c>
      <c r="T625">
        <f>IF(C625,(H625*N625*IF(AND(Inputs!$B$38&lt;&gt;"pvp",Inputs!$B$43&gt;0),((Skills!G8*((R625-1)*IF(Skills!H8&gt;0,Skills!I8/Skills!H8,1)+IF(Skills!H8&gt;0,MIN(Skills!I8,MAX(0,MAX(0,Inputs!$B$43-B650)-((R625-1)*(IF(Inputs!$B$38="pvp",15,MAX(0.1,Skills!D8-IF(Skills!E8=TRUE,Inputs!$B$32,0)))*(1-IF(AND(ArtifactsInput!$M$27,Inputs!$B$4="Chapter Hunt"),CHOOSE(ArtifactsInput!$N$27+1,20,24,28,32,36,40),0)/100)))))/Skills!H8,1)))/Inputs!$B$43),G625*Q625)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625*(1-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625*(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625*(1-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625*(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5">
        <f>IF(C625,(H625*N625*IF(AND(Inputs!$B$38&lt;&gt;"pvp",Inputs!$B$43&gt;0),((Skills!G8*((R625-1)*IF(Skills!H8&gt;0,Skills!I8/Skills!H8,1)+IF(Skills!H8&gt;0,MIN(Skills!I8,MAX(0,MAX(0,Inputs!$B$43-B650)-((R625-1)*(IF(Inputs!$B$38="pvp",15,MAX(0.1,Skills!D8-IF(Skills!E8=TRUE,Inputs!$B$32,0)))*(1-IF(AND(ArtifactsInput!$M$27,Inputs!$B$4="Chapter Hunt"),CHOOSE(ArtifactsInput!$N$27+1,20,24,28,32,36,40),0)/100)))))/Skills!H8,1)))/Inputs!$B$43),G625*Q625))*IF(Inputs!$B$38="pvp",1,(1+(Inputs!$B$21+Skills!Q8+(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6">
      <c r="A626">
        <f>Skills!A9</f>
        <v/>
      </c>
      <c r="B626">
        <f>Skills!B9</f>
        <v/>
      </c>
      <c r="C626">
        <f>Inputs!$B$3&gt;=110</f>
        <v/>
      </c>
      <c r="D626">
        <f>IF(Skills!C9=1,60+Inputs!$B$25+Inputs!$B$29,IF(Skills!C9=2,90+Inputs!$B$26+Inputs!$B$29,IF(Skills!C9=3,120+Inputs!$B$27+Inputs!$B$29,MAX(0,(Inputs!$B$3-100)*3)+Inputs!$B$28+Inputs!$B$29)))</f>
        <v/>
      </c>
      <c r="E626">
        <f>INDEX(FactorTable!$B$2:$Y$301, MATCH(ROUND(MIN(300,MAX(1,D626)),0), FactorTable!$A$2:$A$301,0), Skills!M9+1)</f>
        <v/>
      </c>
      <c r="F626">
        <f>IF(Skills!N9=TRUE,(Skills!L9/10)*(E626/1000),Skills!L9/10)+Skills!O9</f>
        <v/>
      </c>
      <c r="G626">
        <f>Skills!G9*IF(Skills!H9&gt;0,Skills!I9/Skills!H9,1)</f>
        <v/>
      </c>
      <c r="H626">
        <f>1-(1-Skills!J9/100)^Skills!K9</f>
        <v/>
      </c>
      <c r="I626" t="inlineStr">
        <is>
          <t>1</t>
        </is>
      </c>
      <c r="J626">
        <f>((Inputs!$B$6*(1+Inputs!$B$7/100))+(((Inputs!$B$12*(1+Inputs!$B$13/100))-(Inputs!$B$12*(1+Inputs!$B$13/100)))+0.25*(Inputs!$B$14-Inputs!$B$14))*(1+Inputs!$B$7/100))*(F626/100)</f>
        <v/>
      </c>
      <c r="K626">
        <f>J626*(1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626)</f>
        <v/>
      </c>
      <c r="L626">
        <f>K626*(MIN(Inputs!$B$22+((C637=TRUE)*(F637-Calc!F20)),(Inputs!$B$23+0+(IF(ArtifactsInput!$M$15,CHOOSE(ArtifactsInput!$N$15+1,25,30,35,40,45,50)/100*(Inputs!$B$11-Inputs!$B$11),0))))/100+(Inputs!$B$23+0+(IF(ArtifactsInput!$M$15,CHOOSE(ArtifactsInput!$N$15+1,25,30,35,40,45,50)/100*(Inputs!$B$11-Inputs!$B$11),0)))/100)/2</f>
        <v/>
      </c>
      <c r="M626">
        <f>L626*(1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6">
        <f>L626*(1-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626*(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6">
        <f>(1-Summary!$B$11)*T626+Summary!$B$11*V626</f>
        <v/>
      </c>
      <c r="P626">
        <f>IF(B653=0,0,O626/B653)</f>
        <v/>
      </c>
      <c r="Q626">
        <f>IFERROR(1/(IF(Inputs!$B$38="pvp",15,MAX(0.1,Skills!D9-IF(Skills!E9=TRUE,Inputs!$B$32,0)))*(1-IF(AND(ArtifactsInput!$M$27,Inputs!$B$4="Chapter Hunt"),CHOOSE(ArtifactsInput!$N$27+1,20,24,28,32,36,40),0)/100)),0)</f>
        <v/>
      </c>
      <c r="R626">
        <f>IF(AND(Inputs!$B$38&lt;&gt;"pvp",Inputs!$B$43&gt;0),IF(MAX(0,Inputs!$B$43-B650)&lt;=0,0,(INT(MAX(0,Inputs!$B$43-B650)/(IF(Inputs!$B$38="pvp",15,MAX(0.1,Skills!D9-IF(Skills!E9=TRUE,Inputs!$B$32,0)))*(1-IF(AND(ArtifactsInput!$M$27,Inputs!$B$4="Chapter Hunt"),CHOOSE(ArtifactsInput!$N$27+1,20,24,28,32,36,40),0)/100)))+1)),0)</f>
        <v/>
      </c>
      <c r="S626">
        <f>IFERROR(O626/N626,0)</f>
        <v/>
      </c>
      <c r="T626">
        <f>IF(C626,(H626*N626*IF(AND(Inputs!$B$38&lt;&gt;"pvp",Inputs!$B$43&gt;0),((Skills!G9*((R626-1)*IF(Skills!H9&gt;0,Skills!I9/Skills!H9,1)+IF(Skills!H9&gt;0,MIN(Skills!I9,MAX(0,MAX(0,Inputs!$B$43-B650)-((R626-1)*(IF(Inputs!$B$38="pvp",15,MAX(0.1,Skills!D9-IF(Skills!E9=TRUE,Inputs!$B$32,0)))*(1-IF(AND(ArtifactsInput!$M$27,Inputs!$B$4="Chapter Hunt"),CHOOSE(ArtifactsInput!$N$27+1,20,24,28,32,36,40),0)/100)))))/Skills!H9,1)))/Inputs!$B$43),G626*Q626)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626*(1-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626*(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626*(1-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626*(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6">
        <f>IF(C626,(H626*N626*IF(AND(Inputs!$B$38&lt;&gt;"pvp",Inputs!$B$43&gt;0),((Skills!G9*((R626-1)*IF(Skills!H9&gt;0,Skills!I9/Skills!H9,1)+IF(Skills!H9&gt;0,MIN(Skills!I9,MAX(0,MAX(0,Inputs!$B$43-B650)-((R626-1)*(IF(Inputs!$B$38="pvp",15,MAX(0.1,Skills!D9-IF(Skills!E9=TRUE,Inputs!$B$32,0)))*(1-IF(AND(ArtifactsInput!$M$27,Inputs!$B$4="Chapter Hunt"),CHOOSE(ArtifactsInput!$N$27+1,20,24,28,32,36,40),0)/100)))))/Skills!H9,1)))/Inputs!$B$43),G626*Q626))*IF(Inputs!$B$38="pvp",1,(1+(Inputs!$B$21+Skills!Q9+(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7">
      <c r="A627">
        <f>Skills!A10</f>
        <v/>
      </c>
      <c r="B627">
        <f>Skills!B10</f>
        <v/>
      </c>
      <c r="C627">
        <f>Inputs!$B$3&gt;=103</f>
        <v/>
      </c>
      <c r="D627">
        <f>IF(Skills!C10=1,60+Inputs!$B$25+Inputs!$B$29,IF(Skills!C10=2,90+Inputs!$B$26+Inputs!$B$29,IF(Skills!C10=3,120+Inputs!$B$27+Inputs!$B$29,MAX(0,(Inputs!$B$3-100)*3)+Inputs!$B$28+Inputs!$B$29)))</f>
        <v/>
      </c>
      <c r="E627">
        <f>INDEX(FactorTable!$B$2:$Y$301, MATCH(ROUND(MIN(300,MAX(1,D627)),0), FactorTable!$A$2:$A$301,0), Skills!M10+1)</f>
        <v/>
      </c>
      <c r="F627">
        <f>IF(Skills!N10=TRUE,(Skills!L10/10)*(E627/1000),Skills!L10/10)+Skills!O10</f>
        <v/>
      </c>
      <c r="G627">
        <f>Skills!G10*IF(Skills!H10&gt;0,Skills!I10/Skills!H10,1)</f>
        <v/>
      </c>
      <c r="H627">
        <f>1-(1-Skills!J10/100)^Skills!K10</f>
        <v/>
      </c>
      <c r="I627" t="inlineStr">
        <is>
          <t>1</t>
        </is>
      </c>
      <c r="J627">
        <f>((Inputs!$B$6*(1+Inputs!$B$7/100))+(((Inputs!$B$12*(1+Inputs!$B$13/100))-(Inputs!$B$12*(1+Inputs!$B$13/100)))+0.25*(Inputs!$B$14-Inputs!$B$14))*(1+Inputs!$B$7/100))*(F627/100)</f>
        <v/>
      </c>
      <c r="K627">
        <f>J627*(1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627)</f>
        <v/>
      </c>
      <c r="L627">
        <f>K627*(MIN(Inputs!$B$22+((C637=TRUE)*(F637-Calc!F20)),(Inputs!$B$23+0+(IF(ArtifactsInput!$M$15,CHOOSE(ArtifactsInput!$N$15+1,25,30,35,40,45,50)/100*(Inputs!$B$11-Inputs!$B$11),0))))/100+(Inputs!$B$23+0+(IF(ArtifactsInput!$M$15,CHOOSE(ArtifactsInput!$N$15+1,25,30,35,40,45,50)/100*(Inputs!$B$11-Inputs!$B$11),0)))/100)/2</f>
        <v/>
      </c>
      <c r="M627">
        <f>L627*(1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7">
        <f>L627*(1-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627*(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7">
        <f>(1-Summary!$B$11)*T627+Summary!$B$11*V627</f>
        <v/>
      </c>
      <c r="P627">
        <f>IF(B653=0,0,O627/B653)</f>
        <v/>
      </c>
      <c r="Q627">
        <f>IFERROR(1/(IF(Inputs!$B$38="pvp",15,MAX(0.1,Skills!D10-IF(Skills!E10=TRUE,Inputs!$B$32,0)))*(1-IF(AND(ArtifactsInput!$M$27,Inputs!$B$4="Chapter Hunt"),CHOOSE(ArtifactsInput!$N$27+1,20,24,28,32,36,40),0)/100)),0)</f>
        <v/>
      </c>
      <c r="R627">
        <f>IF(AND(Inputs!$B$38&lt;&gt;"pvp",Inputs!$B$43&gt;0),IF(MAX(0,Inputs!$B$43-B650)&lt;=0,0,(INT(MAX(0,Inputs!$B$43-B650)/(IF(Inputs!$B$38="pvp",15,MAX(0.1,Skills!D10-IF(Skills!E10=TRUE,Inputs!$B$32,0)))*(1-IF(AND(ArtifactsInput!$M$27,Inputs!$B$4="Chapter Hunt"),CHOOSE(ArtifactsInput!$N$27+1,20,24,28,32,36,40),0)/100)))+1)),0)</f>
        <v/>
      </c>
      <c r="S627">
        <f>IFERROR(O627/N627,0)</f>
        <v/>
      </c>
      <c r="T627">
        <f>IF(C627,(H627*N627*IF(AND(Inputs!$B$38&lt;&gt;"pvp",Inputs!$B$43&gt;0),((Skills!G10*((R627-1)*IF(Skills!H10&gt;0,Skills!I10/Skills!H10,1)+IF(Skills!H10&gt;0,MIN(Skills!I10,MAX(0,MAX(0,Inputs!$B$43-B650)-((R627-1)*(IF(Inputs!$B$38="pvp",15,MAX(0.1,Skills!D10-IF(Skills!E10=TRUE,Inputs!$B$32,0)))*(1-IF(AND(ArtifactsInput!$M$27,Inputs!$B$4="Chapter Hunt"),CHOOSE(ArtifactsInput!$N$27+1,20,24,28,32,36,40),0)/100)))))/Skills!H10,1)))/Inputs!$B$43),G627*Q627)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627*(1-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627*(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627*(1-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627*(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7">
        <f>IF(C627,(H627*N627*IF(AND(Inputs!$B$38&lt;&gt;"pvp",Inputs!$B$43&gt;0),((Skills!G10*((R627-1)*IF(Skills!H10&gt;0,Skills!I10/Skills!H10,1)+IF(Skills!H10&gt;0,MIN(Skills!I10,MAX(0,MAX(0,Inputs!$B$43-B650)-((R627-1)*(IF(Inputs!$B$38="pvp",15,MAX(0.1,Skills!D10-IF(Skills!E10=TRUE,Inputs!$B$32,0)))*(1-IF(AND(ArtifactsInput!$M$27,Inputs!$B$4="Chapter Hunt"),CHOOSE(ArtifactsInput!$N$27+1,20,24,28,32,36,40),0)/100)))))/Skills!H10,1)))/Inputs!$B$43),G627*Q627))*IF(Inputs!$B$38="pvp",1,(1+(Inputs!$B$21+Skills!Q10+(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8">
      <c r="A628">
        <f>Skills!A11</f>
        <v/>
      </c>
      <c r="B628">
        <f>Skills!B11</f>
        <v/>
      </c>
      <c r="C628">
        <f>Inputs!$B$3&gt;=113</f>
        <v/>
      </c>
      <c r="D628">
        <f>IF(Skills!C11=1,60+Inputs!$B$25+Inputs!$B$29,IF(Skills!C11=2,90+Inputs!$B$26+Inputs!$B$29,IF(Skills!C11=3,120+Inputs!$B$27+Inputs!$B$29,MAX(0,(Inputs!$B$3-100)*3)+Inputs!$B$28+Inputs!$B$29)))</f>
        <v/>
      </c>
      <c r="E628">
        <f>INDEX(FactorTable!$B$2:$Y$301, MATCH(ROUND(MIN(300,MAX(1,D628)),0), FactorTable!$A$2:$A$301,0), Skills!M11+1)</f>
        <v/>
      </c>
      <c r="F628">
        <f>IF(Skills!N11=TRUE,(Skills!L11/10)*(E628/1000),Skills!L11/10)+Skills!O11</f>
        <v/>
      </c>
      <c r="G628">
        <f>Skills!G11*IF(Skills!H11&gt;0,Skills!I11/Skills!H11,1)</f>
        <v/>
      </c>
      <c r="H628">
        <f>1-(1-Skills!J11/100)^Skills!K11</f>
        <v/>
      </c>
      <c r="I628" t="inlineStr">
        <is>
          <t>1</t>
        </is>
      </c>
      <c r="J628">
        <f>((Inputs!$B$6*(1+Inputs!$B$7/100))+(((Inputs!$B$12*(1+Inputs!$B$13/100))-(Inputs!$B$12*(1+Inputs!$B$13/100)))+0.25*(Inputs!$B$14-Inputs!$B$14))*(1+Inputs!$B$7/100))*(F628/100)</f>
        <v/>
      </c>
      <c r="K628">
        <f>J628*(1+((Inputs!$B$12*(1+Inputs!$B$13/100))*0.01+Inputs!$B$14*0.0025)/100)*(1+Inputs!$B$15/100)*(1+Inputs!$B$16/100)*(5000/(6000+Inputs!$B$42*(1-(100*(1-(1-(Inputs!$B$19+0)/100)*(1-CHOOSE(ArtifactsInput!$N$40+1,5,6,7,8,9,10)/100)^(ArtifactsInput!$M$40-ArtifactsInput!$M$40)))/100)))*(1+(Inputs!$B$24+((C639=TRUE)*(F639-Calc!F22))+B649)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+1)+((C638=TRUE)*(F638-Calc!F21))+(((IF(AND(ArtifactsInput!$M$42,((Inputs!$B$9+((C633=TRUE)*(F633-Calc!F16))+B643+(ArtifactsInput!$M$24-ArtifactsInput!$M$24)*CHOOSE(ArtifactsInput!$N$24+1,10,12,14,16,18,20)+IF(ArtifactsInput!$M$10,CHOOSE(ArtifactsInput!$N$10+1,15,18,21,24,27,30)*(IF(Inputs!$B$38="pvp",MIN(15,15)/15,IF(AND(Inputs!$B$38&lt;&gt;"pvp",Inputs!$B$43&gt;0),MIN(15,Inputs!$B$43)/(Inputs!$B$43),0))),0)))&gt;=100),MIN(100,((Inputs!$B$9+((C633=TRUE)*(F633-Calc!F16))+B643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633=TRUE)*(F633-Calc!F16))+B643+(ArtifactsInput!$M$24-ArtifactsInput!$M$24)*CHOOSE(ArtifactsInput!$N$24+1,10,12,14,16,18,20)+IF(ArtifactsInput!$M$10,CHOOSE(ArtifactsInput!$N$10+1,15,18,21,24,27,30)*(IF(Inputs!$B$38="pvp",MIN(15,15)/15,IF(AND(Inputs!$B$38&lt;&gt;"pvp",Inputs!$B$43&gt;0),MIN(15,Inputs!$B$43)/(Inputs!$B$43),0))),0)))&gt;=100),CHOOSE(ArtifactsInput!$N$42+1,40,48,56,64,72,80),0))))/100)*((1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628)</f>
        <v/>
      </c>
      <c r="L628">
        <f>K628*(MIN(Inputs!$B$22+((C637=TRUE)*(F637-Calc!F20)),(Inputs!$B$23+0+(IF(ArtifactsInput!$M$15,CHOOSE(ArtifactsInput!$N$15+1,25,30,35,40,45,50)/100*(Inputs!$B$11-Inputs!$B$11),0))))/100+(Inputs!$B$23+0+(IF(ArtifactsInput!$M$15,CHOOSE(ArtifactsInput!$N$15+1,25,30,35,40,45,50)/100*(Inputs!$B$11-Inputs!$B$11),0)))/100)/2</f>
        <v/>
      </c>
      <c r="M628">
        <f>L628*(1+(Inputs!$B$10+0+B648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8">
        <f>L628*(1-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628*(MIN((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8">
        <f>(1-Summary!$B$11)*T628+Summary!$B$11*V628</f>
        <v/>
      </c>
      <c r="P628">
        <f>IF(B653=0,0,O628/B653)</f>
        <v/>
      </c>
      <c r="Q628">
        <f>IFERROR(1/(IF(Inputs!$B$38="pvp",15,MAX(0.1,Skills!D11-IF(Skills!E11=TRUE,Inputs!$B$32,0)))*(1-IF(AND(ArtifactsInput!$M$27,Inputs!$B$4="Chapter Hunt"),CHOOSE(ArtifactsInput!$N$27+1,20,24,28,32,36,40),0)/100)),0)</f>
        <v/>
      </c>
      <c r="R628">
        <f>IF(AND(Inputs!$B$38&lt;&gt;"pvp",Inputs!$B$43&gt;0),IF(MAX(0,Inputs!$B$43-B650)&lt;=0,0,(INT(MAX(0,Inputs!$B$43-B650)/(IF(Inputs!$B$38="pvp",15,MAX(0.1,Skills!D11-IF(Skills!E11=TRUE,Inputs!$B$32,0)))*(1-IF(AND(ArtifactsInput!$M$27,Inputs!$B$4="Chapter Hunt"),CHOOSE(ArtifactsInput!$N$27+1,20,24,28,32,36,40),0)/100)))+1)),0)</f>
        <v/>
      </c>
      <c r="S628">
        <f>IFERROR(O628/N628,0)</f>
        <v/>
      </c>
      <c r="T628">
        <f>IF(C628,(H628*N628*IF(AND(Inputs!$B$38&lt;&gt;"pvp",Inputs!$B$43&gt;0),((Skills!G11*((R628-1)*IF(Skills!H11&gt;0,Skills!I11/Skills!H11,1)+IF(Skills!H11&gt;0,MIN(Skills!I11,MAX(0,MAX(0,Inputs!$B$43-B650)-((R628-1)*(IF(Inputs!$B$38="pvp",15,MAX(0.1,Skills!D11-IF(Skills!E11=TRUE,Inputs!$B$32,0)))*(1-IF(AND(ArtifactsInput!$M$27,Inputs!$B$4="Chapter Hunt"),CHOOSE(ArtifactsInput!$N$27+1,20,24,28,32,36,40),0)/100)))))/Skills!H11,1)))/Inputs!$B$43),G628*Q628)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628*(1-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628*(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628*(1-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628*(MIN(100,(Inputs!$B$9+((C633=TRUE)*(F633-Calc!F16))+B643+(ArtifactsInput!$M$24-ArtifactsInput!$M$24)*CHOOSE(ArtifactsInput!$N$24+1,10,12,14,16,18,20)+(IF(AND(ArtifactsInput!$M$42,((Inputs!$B$9+((C633=TRUE)*(F633-Calc!F16))+B643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8">
        <f>IF(C628,(H628*N628*IF(AND(Inputs!$B$38&lt;&gt;"pvp",Inputs!$B$43&gt;0),((Skills!G11*((R628-1)*IF(Skills!H11&gt;0,Skills!I11/Skills!H11,1)+IF(Skills!H11&gt;0,MIN(Skills!I11,MAX(0,MAX(0,Inputs!$B$43-B650)-((R628-1)*(IF(Inputs!$B$38="pvp",15,MAX(0.1,Skills!D11-IF(Skills!E11=TRUE,Inputs!$B$32,0)))*(1-IF(AND(ArtifactsInput!$M$27,Inputs!$B$4="Chapter Hunt"),CHOOSE(ArtifactsInput!$N$27+1,20,24,28,32,36,40),0)/100)))))/Skills!H11,1)))/Inputs!$B$43),G628*Q628))*IF(Inputs!$B$38="pvp",1,(1+(Inputs!$B$21+Skills!Q11+(IF(ArtifactsInput!$M$33,CHOOSE(ArtifactsInput!$N$33+1,30,36,42,48,54,60),0))+(IF(AND(ArtifactsInput!$M$35,Inputs!$B$4&lt;&gt;"Chapter Hunt"),CHOOSE(ArtifactsInput!$N$35+1,15,18,21,24,27,30)*(1-EXP(-(0.2*B645)*5)),0)+IF(AND(ArtifactsInput!$M$22,Inputs!$B$4&lt;&gt;"Chapter Hunt"),CHOOSE(ArtifactsInput!$N$22+1,10,12,14,16,18,20)*((0*(((0.15*B645*5))^0/1)+1*(((0.15*B645*5))^1/1)+2*(((0.15*B645*5))^2/2)+3*(((0.15*B645*5))^3/6)+4*(((0.15*B645*5))^4/24)+5*(((0.15*B645*5))^5/120))/((((0.15*B645*5))^0/1)+(((0.15*B645*5))^1/1)+(((0.15*B645*5))^2/2)+(((0.15*B645*5))^3/6)+(((0.15*B645*5))^4/24)+(((0.15*B645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9">
      <c r="A629">
        <f>Skills!A12</f>
        <v/>
      </c>
      <c r="B629">
        <f>Skills!B12</f>
        <v/>
      </c>
      <c r="C629">
        <f>Inputs!$B$3&gt;=100</f>
        <v/>
      </c>
      <c r="D629">
        <f>IF(Skills!C12=1,60+Inputs!$B$25+Inputs!$B$29,IF(Skills!C12=2,90+Inputs!$B$26+Inputs!$B$29,IF(Skills!C12=3,120+Inputs!$B$27+Inputs!$B$29,MAX(0,(Inputs!$B$3-100)*3)+Inputs!$B$28+Inputs!$B$29)))</f>
        <v/>
      </c>
      <c r="E629">
        <f>INDEX(FactorTable!$B$2:$Y$301, MATCH(ROUND(MIN(300,MAX(1,D629)),0), FactorTable!$A$2:$A$301,0), Skills!M12+1)</f>
        <v/>
      </c>
      <c r="F629">
        <f>IF(Skills!N12=TRUE,(Skills!L12/10)*(E629/1000),Skills!L12/10)+Skills!O12</f>
        <v/>
      </c>
      <c r="G629" t="inlineStr"/>
      <c r="H629" t="inlineStr"/>
      <c r="I629" t="inlineStr">
        <is>
          <t>1</t>
        </is>
      </c>
      <c r="J629" t="inlineStr"/>
      <c r="K629" t="inlineStr"/>
      <c r="L629" t="inlineStr"/>
      <c r="M629" t="inlineStr"/>
      <c r="N629" t="inlineStr"/>
      <c r="O629" t="inlineStr"/>
      <c r="P629" t="inlineStr"/>
      <c r="Q629" t="inlineStr"/>
      <c r="R629" t="inlineStr"/>
      <c r="S629" t="inlineStr"/>
      <c r="T629" t="inlineStr"/>
      <c r="V629" t="inlineStr"/>
    </row>
    <row r="630">
      <c r="A630">
        <f>Skills!A13</f>
        <v/>
      </c>
      <c r="B630">
        <f>Skills!B13</f>
        <v/>
      </c>
      <c r="C630">
        <f>Inputs!$B$3&gt;=66</f>
        <v/>
      </c>
      <c r="D630">
        <f>IF(Skills!C13=1,60+Inputs!$B$25+Inputs!$B$29,IF(Skills!C13=2,90+Inputs!$B$26+Inputs!$B$29,IF(Skills!C13=3,120+Inputs!$B$27+Inputs!$B$29,MAX(0,(Inputs!$B$3-100)*3)+Inputs!$B$28+Inputs!$B$29)))</f>
        <v/>
      </c>
      <c r="E630">
        <f>INDEX(FactorTable!$B$2:$Y$301, MATCH(ROUND(MIN(300,MAX(1,D630)),0), FactorTable!$A$2:$A$301,0), Skills!M13+1)</f>
        <v/>
      </c>
      <c r="F630">
        <f>IF(Skills!N13=TRUE,(Skills!L13/10)*(E630/1000),Skills!L13/10)+Skills!O13</f>
        <v/>
      </c>
      <c r="G630">
        <f>Skills!G13*IF(Skills!H13&gt;0,Skills!I13/Skills!H13,1)</f>
        <v/>
      </c>
      <c r="H630">
        <f>1-(1-Skills!J13/100)^Skills!K13</f>
        <v/>
      </c>
      <c r="I630" t="inlineStr">
        <is>
          <t>1</t>
        </is>
      </c>
      <c r="J630" t="inlineStr"/>
      <c r="K630" t="inlineStr"/>
      <c r="L630" t="inlineStr"/>
      <c r="M630" t="inlineStr"/>
      <c r="N630" t="inlineStr"/>
      <c r="O630">
        <f>(1-Summary!$B$11)*T630+Summary!$B$11*V630</f>
        <v/>
      </c>
      <c r="P630">
        <f>IF(B653=0,0,O630/B653)</f>
        <v/>
      </c>
      <c r="Q630" t="n">
        <v>0</v>
      </c>
      <c r="R630" t="n">
        <v>0</v>
      </c>
      <c r="S630">
        <f>IFERROR(O630/N630,0)</f>
        <v/>
      </c>
      <c r="T630" t="n">
        <v>0</v>
      </c>
      <c r="V630" t="n">
        <v>0</v>
      </c>
    </row>
    <row r="631">
      <c r="A631">
        <f>Skills!A14</f>
        <v/>
      </c>
      <c r="B631">
        <f>Skills!B14</f>
        <v/>
      </c>
      <c r="C631">
        <f>Inputs!$B$3&gt;=107</f>
        <v/>
      </c>
      <c r="D631">
        <f>IF(Skills!C14=1,60+Inputs!$B$25+Inputs!$B$29,IF(Skills!C14=2,90+Inputs!$B$26+Inputs!$B$29,IF(Skills!C14=3,120+Inputs!$B$27+Inputs!$B$29,MAX(0,(Inputs!$B$3-100)*3)+Inputs!$B$28+Inputs!$B$29)))</f>
        <v/>
      </c>
      <c r="E631">
        <f>INDEX(FactorTable!$B$2:$Y$301, MATCH(ROUND(MIN(300,MAX(1,D631)),0), FactorTable!$A$2:$A$301,0), Skills!M14+1)</f>
        <v/>
      </c>
      <c r="F631">
        <f>IF(Skills!N14=TRUE,(Skills!L14/10)*(E631/1000),Skills!L14/10)+Skills!O14</f>
        <v/>
      </c>
      <c r="G631">
        <f>Skills!G14*IF(Skills!H14&gt;0,Skills!I14/Skills!H14,1)</f>
        <v/>
      </c>
      <c r="H631">
        <f>1-(1-Skills!J14/100)^Skills!K14</f>
        <v/>
      </c>
      <c r="I631" t="inlineStr">
        <is>
          <t>1</t>
        </is>
      </c>
      <c r="J631" t="inlineStr"/>
      <c r="K631" t="inlineStr"/>
      <c r="L631" t="inlineStr"/>
      <c r="M631" t="inlineStr"/>
      <c r="N631" t="inlineStr"/>
      <c r="O631">
        <f>(1-Summary!$B$11)*T631+Summary!$B$11*V631</f>
        <v/>
      </c>
      <c r="P631">
        <f>IF(B653=0,0,O631/B653)</f>
        <v/>
      </c>
      <c r="Q631">
        <f>IFERROR(1/(IF(Inputs!$B$38="pvp",15,MAX(0.1,Skills!D14-IF(Skills!E14=TRUE,Inputs!$B$32,0)))*(1-IF(AND(ArtifactsInput!$M$27,Inputs!$B$4="Chapter Hunt"),CHOOSE(ArtifactsInput!$N$27+1,20,24,28,32,36,40),0)/100)),0)</f>
        <v/>
      </c>
      <c r="R631">
        <f>IF(AND(Inputs!$B$38&lt;&gt;"pvp",Inputs!$B$43&gt;0),IF(Inputs!$B$43&lt;=0,0,(INT(Inputs!$B$43/(IF(Inputs!$B$38="pvp",15,MAX(0.1,Skills!D14-IF(Skills!E14=TRUE,Inputs!$B$32,0)))*(1-IF(AND(ArtifactsInput!$M$27,Inputs!$B$4="Chapter Hunt"),CHOOSE(ArtifactsInput!$N$27+1,20,24,28,32,36,40),0)/100)))+1)),0)</f>
        <v/>
      </c>
      <c r="S631">
        <f>IFERROR(O631/N631,0)</f>
        <v/>
      </c>
      <c r="T631" t="n">
        <v>0</v>
      </c>
      <c r="V631" t="n">
        <v>0</v>
      </c>
    </row>
    <row r="632">
      <c r="A632">
        <f>Skills!A15</f>
        <v/>
      </c>
      <c r="B632">
        <f>Skills!B15</f>
        <v/>
      </c>
      <c r="C632">
        <f>Inputs!$B$3&gt;=115</f>
        <v/>
      </c>
      <c r="D632">
        <f>IF(Skills!C15=1,60+Inputs!$B$25+Inputs!$B$29,IF(Skills!C15=2,90+Inputs!$B$26+Inputs!$B$29,IF(Skills!C15=3,120+Inputs!$B$27+Inputs!$B$29,MAX(0,(Inputs!$B$3-100)*3)+Inputs!$B$28+Inputs!$B$29)))</f>
        <v/>
      </c>
      <c r="E632">
        <f>INDEX(FactorTable!$B$2:$Y$301, MATCH(ROUND(MIN(300,MAX(1,D632)),0), FactorTable!$A$2:$A$301,0), Skills!M15+1)</f>
        <v/>
      </c>
      <c r="F632">
        <f>IF(Skills!N15=TRUE,(Skills!L15/10)*(E632/1000),Skills!L15/10)+Skills!O15</f>
        <v/>
      </c>
      <c r="G632">
        <f>Skills!G15*IF(Skills!H15&gt;0,Skills!I15/Skills!H15,1)</f>
        <v/>
      </c>
      <c r="H632">
        <f>1-(1-Skills!J15/100)^Skills!K15</f>
        <v/>
      </c>
      <c r="I632" t="inlineStr">
        <is>
          <t>1</t>
        </is>
      </c>
      <c r="J632" t="inlineStr"/>
      <c r="K632" t="inlineStr"/>
      <c r="L632" t="inlineStr"/>
      <c r="M632" t="inlineStr"/>
      <c r="N632" t="inlineStr"/>
      <c r="O632">
        <f>(1-Summary!$B$11)*T632+Summary!$B$11*V632</f>
        <v/>
      </c>
      <c r="P632">
        <f>IF(B653=0,0,O632/B653)</f>
        <v/>
      </c>
      <c r="Q632">
        <f>IFERROR(1/(IF(Inputs!$B$38="pvp",15,MAX(0.1,Skills!D15-IF(Skills!E15=TRUE,Inputs!$B$32,0)))*(1-IF(AND(ArtifactsInput!$M$27,Inputs!$B$4="Chapter Hunt"),CHOOSE(ArtifactsInput!$N$27+1,20,24,28,32,36,40),0)/100)),0)</f>
        <v/>
      </c>
      <c r="R632">
        <f>IF(AND(Inputs!$B$38&lt;&gt;"pvp",Inputs!$B$43&gt;0),IF(Inputs!$B$43&lt;=0,0,(INT(Inputs!$B$43/(IF(Inputs!$B$38="pvp",15,MAX(0.1,Skills!D15-IF(Skills!E15=TRUE,Inputs!$B$32,0)))*(1-IF(AND(ArtifactsInput!$M$27,Inputs!$B$4="Chapter Hunt"),CHOOSE(ArtifactsInput!$N$27+1,20,24,28,32,36,40),0)/100)))+1)),0)</f>
        <v/>
      </c>
      <c r="S632">
        <f>IFERROR(O632/N632,0)</f>
        <v/>
      </c>
      <c r="T632" t="n">
        <v>0</v>
      </c>
      <c r="V632" t="n">
        <v>0</v>
      </c>
    </row>
    <row r="633">
      <c r="A633">
        <f>Skills!A16</f>
        <v/>
      </c>
      <c r="B633">
        <f>Skills!B16</f>
        <v/>
      </c>
      <c r="C633">
        <f>Inputs!$B$3&gt;=15</f>
        <v/>
      </c>
      <c r="D633">
        <f>IF(Skills!C16=1,60+Inputs!$B$25+Inputs!$B$29,IF(Skills!C16=2,90+Inputs!$B$26+Inputs!$B$29,IF(Skills!C16=3,120+Inputs!$B$27+Inputs!$B$29,MAX(0,(Inputs!$B$3-100)*3)+Inputs!$B$28+Inputs!$B$29)))</f>
        <v/>
      </c>
      <c r="E633">
        <f>INDEX(FactorTable!$B$2:$Y$301, MATCH(ROUND(MIN(300,MAX(1,D633)),0), FactorTable!$A$2:$A$301,0), Skills!M16+1)</f>
        <v/>
      </c>
      <c r="F633">
        <f>IF(Skills!N16=TRUE,(Skills!L16/10)*(E633/1000),Skills!L16/10)+Skills!O16</f>
        <v/>
      </c>
      <c r="G633">
        <f>Skills!G16*IF(Skills!H16&gt;0,Skills!I16/Skills!H16,1)</f>
        <v/>
      </c>
      <c r="H633">
        <f>1-(1-Skills!J16/100)^Skills!K16</f>
        <v/>
      </c>
      <c r="I633" t="inlineStr">
        <is>
          <t>1</t>
        </is>
      </c>
      <c r="J633" t="inlineStr"/>
      <c r="K633" t="inlineStr"/>
      <c r="L633" t="inlineStr"/>
      <c r="M633" t="inlineStr"/>
      <c r="N633" t="inlineStr"/>
      <c r="O633">
        <f>(1-Summary!$B$11)*T633+Summary!$B$11*V633</f>
        <v/>
      </c>
      <c r="P633">
        <f>IF(B653=0,0,O633/B653)</f>
        <v/>
      </c>
      <c r="Q633" t="n">
        <v>0</v>
      </c>
      <c r="R633" t="n">
        <v>0</v>
      </c>
      <c r="S633">
        <f>IFERROR(O633/N633,0)</f>
        <v/>
      </c>
      <c r="T633" t="n">
        <v>0</v>
      </c>
      <c r="V633" t="n">
        <v>0</v>
      </c>
    </row>
    <row r="634">
      <c r="A634">
        <f>Skills!A17</f>
        <v/>
      </c>
      <c r="B634">
        <f>Skills!B17</f>
        <v/>
      </c>
      <c r="C634">
        <f>Inputs!$B$3&gt;=10</f>
        <v/>
      </c>
      <c r="D634">
        <f>IF(Skills!C17=1,60+Inputs!$B$25+Inputs!$B$29,IF(Skills!C17=2,90+Inputs!$B$26+Inputs!$B$29,IF(Skills!C17=3,120+Inputs!$B$27+Inputs!$B$29,MAX(0,(Inputs!$B$3-100)*3)+Inputs!$B$28+Inputs!$B$29)))</f>
        <v/>
      </c>
      <c r="E634">
        <f>INDEX(FactorTable!$B$2:$Y$301, MATCH(ROUND(MIN(300,MAX(1,D634)),0), FactorTable!$A$2:$A$301,0), Skills!M17+1)</f>
        <v/>
      </c>
      <c r="F634">
        <f>IF(Skills!N17=TRUE,(Skills!L17/10)*(E634/1000),Skills!L17/10)+Skills!O17</f>
        <v/>
      </c>
      <c r="G634">
        <f>Skills!G17*IF(Skills!H17&gt;0,Skills!I17/Skills!H17,1)</f>
        <v/>
      </c>
      <c r="H634">
        <f>1-(1-Skills!J17/100)^Skills!K17</f>
        <v/>
      </c>
      <c r="I634" t="inlineStr">
        <is>
          <t>1</t>
        </is>
      </c>
      <c r="J634" t="inlineStr"/>
      <c r="K634" t="inlineStr"/>
      <c r="L634" t="inlineStr"/>
      <c r="M634" t="inlineStr"/>
      <c r="N634" t="inlineStr"/>
      <c r="O634">
        <f>(1-Summary!$B$11)*T634+Summary!$B$11*V634</f>
        <v/>
      </c>
      <c r="P634">
        <f>IF(B653=0,0,O634/B653)</f>
        <v/>
      </c>
      <c r="Q634" t="n">
        <v>0</v>
      </c>
      <c r="R634" t="n">
        <v>0</v>
      </c>
      <c r="S634">
        <f>IFERROR(O634/N634,0)</f>
        <v/>
      </c>
      <c r="T634" t="n">
        <v>0</v>
      </c>
      <c r="V634" t="n">
        <v>0</v>
      </c>
    </row>
    <row r="635">
      <c r="A635">
        <f>Skills!A18</f>
        <v/>
      </c>
      <c r="B635">
        <f>Skills!B18</f>
        <v/>
      </c>
      <c r="C635">
        <f>Inputs!$B$3&gt;=33</f>
        <v/>
      </c>
      <c r="D635">
        <f>IF(Skills!C18=1,60+Inputs!$B$25+Inputs!$B$29,IF(Skills!C18=2,90+Inputs!$B$26+Inputs!$B$29,IF(Skills!C18=3,120+Inputs!$B$27+Inputs!$B$29,MAX(0,(Inputs!$B$3-100)*3)+Inputs!$B$28+Inputs!$B$29)))</f>
        <v/>
      </c>
      <c r="E635">
        <f>INDEX(FactorTable!$B$2:$Y$301, MATCH(ROUND(MIN(300,MAX(1,D635)),0), FactorTable!$A$2:$A$301,0), Skills!M18+1)</f>
        <v/>
      </c>
      <c r="F635">
        <f>IF(Skills!N18=TRUE,(Skills!L18/10)*(E635/1000),Skills!L18/10)+Skills!O18</f>
        <v/>
      </c>
      <c r="G635">
        <f>Skills!G18*IF(Skills!H18&gt;0,Skills!I18/Skills!H18,1)</f>
        <v/>
      </c>
      <c r="H635">
        <f>1-(1-Skills!J18/100)^Skills!K18</f>
        <v/>
      </c>
      <c r="I635" t="inlineStr">
        <is>
          <t>1</t>
        </is>
      </c>
      <c r="J635" t="inlineStr"/>
      <c r="K635" t="inlineStr"/>
      <c r="L635" t="inlineStr"/>
      <c r="M635" t="inlineStr"/>
      <c r="N635" t="inlineStr"/>
      <c r="O635">
        <f>(1-Summary!$B$11)*T635+Summary!$B$11*V635</f>
        <v/>
      </c>
      <c r="P635">
        <f>IF(B653=0,0,O635/B653)</f>
        <v/>
      </c>
      <c r="Q635" t="n">
        <v>0</v>
      </c>
      <c r="R635" t="n">
        <v>0</v>
      </c>
      <c r="S635">
        <f>IFERROR(O635/N635,0)</f>
        <v/>
      </c>
      <c r="T635" t="n">
        <v>0</v>
      </c>
      <c r="V635" t="n">
        <v>0</v>
      </c>
    </row>
    <row r="636">
      <c r="A636">
        <f>Skills!A19</f>
        <v/>
      </c>
      <c r="B636">
        <f>Skills!B19</f>
        <v/>
      </c>
      <c r="C636">
        <f>Inputs!$B$3&gt;=40</f>
        <v/>
      </c>
      <c r="D636">
        <f>IF(Skills!C19=1,60+Inputs!$B$25+Inputs!$B$29,IF(Skills!C19=2,90+Inputs!$B$26+Inputs!$B$29,IF(Skills!C19=3,120+Inputs!$B$27+Inputs!$B$29,MAX(0,(Inputs!$B$3-100)*3)+Inputs!$B$28+Inputs!$B$29)))</f>
        <v/>
      </c>
      <c r="E636">
        <f>INDEX(FactorTable!$B$2:$Y$301, MATCH(ROUND(MIN(300,MAX(1,D636)),0), FactorTable!$A$2:$A$301,0), Skills!M19+1)</f>
        <v/>
      </c>
      <c r="F636">
        <f>IF(Skills!N19=TRUE,(Skills!L19/10)*(E636/1000),Skills!L19/10)+Skills!O19</f>
        <v/>
      </c>
      <c r="G636">
        <f>Skills!G19*IF(Skills!H19&gt;0,Skills!I19/Skills!H19,1)</f>
        <v/>
      </c>
      <c r="H636">
        <f>1-(1-Skills!J19/100)^Skills!K19</f>
        <v/>
      </c>
      <c r="I636" t="inlineStr">
        <is>
          <t>1</t>
        </is>
      </c>
      <c r="J636" t="inlineStr"/>
      <c r="K636" t="inlineStr"/>
      <c r="L636" t="inlineStr"/>
      <c r="M636" t="inlineStr"/>
      <c r="N636" t="inlineStr"/>
      <c r="O636">
        <f>(1-Summary!$B$11)*T636+Summary!$B$11*V636</f>
        <v/>
      </c>
      <c r="P636">
        <f>IF(B653=0,0,O636/B653)</f>
        <v/>
      </c>
      <c r="Q636" t="n">
        <v>0</v>
      </c>
      <c r="R636" t="n">
        <v>0</v>
      </c>
      <c r="S636">
        <f>IFERROR(O636/N636,0)</f>
        <v/>
      </c>
      <c r="T636" t="n">
        <v>0</v>
      </c>
      <c r="V636" t="n">
        <v>0</v>
      </c>
    </row>
    <row r="637">
      <c r="A637">
        <f>Skills!A20</f>
        <v/>
      </c>
      <c r="B637">
        <f>Skills!B20</f>
        <v/>
      </c>
      <c r="C637">
        <f>Inputs!$B$3&gt;=43</f>
        <v/>
      </c>
      <c r="D637">
        <f>IF(Skills!C20=1,60+Inputs!$B$25+Inputs!$B$29,IF(Skills!C20=2,90+Inputs!$B$26+Inputs!$B$29,IF(Skills!C20=3,120+Inputs!$B$27+Inputs!$B$29,MAX(0,(Inputs!$B$3-100)*3)+Inputs!$B$28+Inputs!$B$29)))</f>
        <v/>
      </c>
      <c r="E637">
        <f>INDEX(FactorTable!$B$2:$Y$301, MATCH(ROUND(MIN(300,MAX(1,D637)),0), FactorTable!$A$2:$A$301,0), Skills!M20+1)</f>
        <v/>
      </c>
      <c r="F637">
        <f>IF(Skills!N20=TRUE,(Skills!L20/10)*(E637/1000),Skills!L20/10)+Skills!O20</f>
        <v/>
      </c>
      <c r="G637">
        <f>Skills!G20*IF(Skills!H20&gt;0,Skills!I20/Skills!H20,1)</f>
        <v/>
      </c>
      <c r="H637">
        <f>1-(1-Skills!J20/100)^Skills!K20</f>
        <v/>
      </c>
      <c r="I637" t="inlineStr">
        <is>
          <t>1</t>
        </is>
      </c>
      <c r="J637" t="inlineStr"/>
      <c r="K637" t="inlineStr"/>
      <c r="L637" t="inlineStr"/>
      <c r="M637" t="inlineStr"/>
      <c r="N637" t="inlineStr"/>
      <c r="O637">
        <f>(1-Summary!$B$11)*T637+Summary!$B$11*V637</f>
        <v/>
      </c>
      <c r="P637">
        <f>IF(B653=0,0,O637/B653)</f>
        <v/>
      </c>
      <c r="Q637" t="n">
        <v>0</v>
      </c>
      <c r="R637" t="n">
        <v>0</v>
      </c>
      <c r="S637">
        <f>IFERROR(O637/N637,0)</f>
        <v/>
      </c>
      <c r="T637" t="n">
        <v>0</v>
      </c>
      <c r="V637" t="n">
        <v>0</v>
      </c>
    </row>
    <row r="638">
      <c r="A638">
        <f>Skills!A21</f>
        <v/>
      </c>
      <c r="B638">
        <f>Skills!B21</f>
        <v/>
      </c>
      <c r="C638">
        <f>Inputs!$B$3&gt;=38</f>
        <v/>
      </c>
      <c r="D638">
        <f>IF(Skills!C21=1,60+Inputs!$B$25+Inputs!$B$29,IF(Skills!C21=2,90+Inputs!$B$26+Inputs!$B$29,IF(Skills!C21=3,120+Inputs!$B$27+Inputs!$B$29,MAX(0,(Inputs!$B$3-100)*3)+Inputs!$B$28+Inputs!$B$29)))</f>
        <v/>
      </c>
      <c r="E638">
        <f>INDEX(FactorTable!$B$2:$Y$301, MATCH(ROUND(MIN(300,MAX(1,D638)),0), FactorTable!$A$2:$A$301,0), Skills!M21+1)</f>
        <v/>
      </c>
      <c r="F638">
        <f>IF(Skills!N21=TRUE,(Skills!L21/10)*(E638/1000),Skills!L21/10)+Skills!O21</f>
        <v/>
      </c>
      <c r="G638">
        <f>Skills!G21*IF(Skills!H21&gt;0,Skills!I21/Skills!H21,1)</f>
        <v/>
      </c>
      <c r="H638">
        <f>1-(1-Skills!J21/100)^Skills!K21</f>
        <v/>
      </c>
      <c r="I638" t="inlineStr">
        <is>
          <t>1</t>
        </is>
      </c>
      <c r="J638" t="inlineStr"/>
      <c r="K638" t="inlineStr"/>
      <c r="L638" t="inlineStr"/>
      <c r="M638" t="inlineStr"/>
      <c r="N638" t="inlineStr"/>
      <c r="O638">
        <f>(1-Summary!$B$11)*T638+Summary!$B$11*V638</f>
        <v/>
      </c>
      <c r="P638">
        <f>IF(B653=0,0,O638/B653)</f>
        <v/>
      </c>
      <c r="Q638" t="n">
        <v>0</v>
      </c>
      <c r="R638" t="n">
        <v>0</v>
      </c>
      <c r="S638">
        <f>IFERROR(O638/N638,0)</f>
        <v/>
      </c>
      <c r="T638" t="n">
        <v>0</v>
      </c>
      <c r="V638" t="n">
        <v>0</v>
      </c>
    </row>
    <row r="639">
      <c r="A639">
        <f>Skills!A22</f>
        <v/>
      </c>
      <c r="B639">
        <f>Skills!B22</f>
        <v/>
      </c>
      <c r="C639">
        <f>Inputs!$B$3&gt;=75</f>
        <v/>
      </c>
      <c r="D639">
        <f>IF(Skills!C22=1,60+Inputs!$B$25+Inputs!$B$29,IF(Skills!C22=2,90+Inputs!$B$26+Inputs!$B$29,IF(Skills!C22=3,120+Inputs!$B$27+Inputs!$B$29,MAX(0,(Inputs!$B$3-100)*3)+Inputs!$B$28+Inputs!$B$29)))</f>
        <v/>
      </c>
      <c r="E639">
        <f>INDEX(FactorTable!$B$2:$Y$301, MATCH(ROUND(MIN(300,MAX(1,D639)),0), FactorTable!$A$2:$A$301,0), Skills!M22+1)</f>
        <v/>
      </c>
      <c r="F639">
        <f>IF(Skills!N22=TRUE,(Skills!L22/10)*(E639/1000),Skills!L22/10)+Skills!O22</f>
        <v/>
      </c>
      <c r="G639">
        <f>Skills!G22*IF(Skills!H22&gt;0,Skills!I22/Skills!H22,1)</f>
        <v/>
      </c>
      <c r="H639">
        <f>1-(1-Skills!J22/100)^Skills!K22</f>
        <v/>
      </c>
      <c r="I639" t="inlineStr">
        <is>
          <t>1</t>
        </is>
      </c>
      <c r="J639" t="inlineStr"/>
      <c r="K639" t="inlineStr"/>
      <c r="L639" t="inlineStr"/>
      <c r="M639" t="inlineStr"/>
      <c r="N639" t="inlineStr"/>
      <c r="O639">
        <f>(1-Summary!$B$11)*T639+Summary!$B$11*V639</f>
        <v/>
      </c>
      <c r="P639">
        <f>IF(B653=0,0,O639/B653)</f>
        <v/>
      </c>
      <c r="Q639" t="n">
        <v>0</v>
      </c>
      <c r="R639" t="n">
        <v>0</v>
      </c>
      <c r="S639">
        <f>IFERROR(O639/N639,0)</f>
        <v/>
      </c>
      <c r="T639" t="n">
        <v>0</v>
      </c>
      <c r="V639" t="n">
        <v>0</v>
      </c>
    </row>
    <row r="640">
      <c r="A640">
        <f>Skills!A23</f>
        <v/>
      </c>
      <c r="B640">
        <f>Skills!B23</f>
        <v/>
      </c>
      <c r="C640">
        <f>TRUE</f>
        <v/>
      </c>
      <c r="D640">
        <f>IF(Skills!C23=1,60+Inputs!$B$25+Inputs!$B$29,IF(Skills!C23=2,90+Inputs!$B$26+Inputs!$B$29,IF(Skills!C23=3,120+Inputs!$B$27+Inputs!$B$29,MAX(0,(Inputs!$B$3-100)*3)+Inputs!$B$28+Inputs!$B$29)))</f>
        <v/>
      </c>
      <c r="E640">
        <f>INDEX(FactorTable!$B$2:$Y$301, MATCH(ROUND(MIN(300,MAX(1,D640)),0), FactorTable!$A$2:$A$301,0), Skills!M23+1)</f>
        <v/>
      </c>
      <c r="F640">
        <f>IF(Skills!N23=TRUE,(Skills!L23/10)*(E640/1000),Skills!L23/10)+Skills!O23</f>
        <v/>
      </c>
      <c r="G640">
        <f>Skills!G23*IF(Skills!H23&gt;0,Skills!I23/Skills!H23,1)</f>
        <v/>
      </c>
      <c r="H640">
        <f>1-(1-Skills!J23/100)^Skills!K23</f>
        <v/>
      </c>
      <c r="I640" t="inlineStr">
        <is>
          <t>1</t>
        </is>
      </c>
      <c r="J640" t="inlineStr"/>
      <c r="K640" t="inlineStr"/>
      <c r="L640" t="inlineStr"/>
      <c r="M640" t="inlineStr"/>
      <c r="N640" t="inlineStr"/>
      <c r="O640">
        <f>(1-Summary!$B$11)*T640+Summary!$B$11*V640</f>
        <v/>
      </c>
      <c r="P640">
        <f>IF(B653=0,0,O640/B653)</f>
        <v/>
      </c>
      <c r="Q640">
        <f>IFERROR(1/(IF(Inputs!$B$38="pvp",15,MAX(0.1,Skills!D23-IF(Skills!E23=TRUE,Inputs!$B$32,0)))*(1-IF(AND(ArtifactsInput!$M$27,Inputs!$B$4="Chapter Hunt"),CHOOSE(ArtifactsInput!$N$27+1,20,24,28,32,36,40),0)/100)),0)</f>
        <v/>
      </c>
      <c r="R640">
        <f>IF(AND(Inputs!$B$38&lt;&gt;"pvp",Inputs!$B$43&gt;0),IF(Inputs!$B$43&lt;=0,0,(INT(Inputs!$B$43/(IF(Inputs!$B$38="pvp",15,MAX(0.1,Skills!D23-IF(Skills!E23=TRUE,Inputs!$B$32,0)))*(1-IF(AND(ArtifactsInput!$M$27,Inputs!$B$4="Chapter Hunt"),CHOOSE(ArtifactsInput!$N$27+1,20,24,28,32,36,40),0)/100)))+1)),0)</f>
        <v/>
      </c>
      <c r="S640">
        <f>IFERROR(O640/N640,0)</f>
        <v/>
      </c>
      <c r="T640" t="n">
        <v>0</v>
      </c>
      <c r="V640" t="n">
        <v>0</v>
      </c>
    </row>
    <row r="642">
      <c r="A642" t="inlineStr">
        <is>
          <t>Attack% Bucket Multiplier</t>
        </is>
      </c>
      <c r="B642">
        <f>(1+(((C630=TRUE)*F630*5/7)+((C636=TRUE)*(F636-Calc!F19))+(IF(ArtifactsInput!$M$21,CHOOSE(ArtifactsInput!$N$21+1,25,30,35,40,45,50)*(IF(OR(Inputs!$B$4="Chapter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3">
      <c r="A643" t="inlineStr">
        <is>
          <t>Global Crit Rate Bonus %</t>
        </is>
      </c>
      <c r="B643" t="n">
        <v>0</v>
      </c>
    </row>
    <row r="644">
      <c r="A644" t="inlineStr">
        <is>
          <t>Attack Speed Buff Bonus % (Nimble Feet, duty-cycle averaged)</t>
        </is>
      </c>
      <c r="B644">
        <f>((C640=TRUE)*F640*IF(AND(Inputs!$B$38&lt;&gt;"pvp",Inputs!$B$43&gt;0),(((R640-1)*(Skills!T23*(1+Inputs!$B$34/100))+MIN((Skills!T23*(1+Inputs!$B$34/100)),MAX(0,Inputs!$B$43-((R640-1)*Skills!D23))))/Inputs!$B$43),IF(Inputs!$B$38="pvp",MIN((Skills!T23*(1+Inputs!$B$34/100)),15)/15,(Skills!T23*(1+Inputs!$B$34/100))/Skills!D23)))</f>
        <v/>
      </c>
    </row>
    <row r="645">
      <c r="A645" t="inlineStr">
        <is>
          <t>Actions Per Second</t>
        </is>
      </c>
      <c r="B645">
        <f>1+MIN(150,150*(1-(1-(Inputs!$B$11+((C634=TRUE)*(F634-Calc!F17))+((C635=TRUE)*(F635-Calc!F18)))/150)*(1-B644/150)))/100</f>
        <v/>
      </c>
    </row>
    <row r="646">
      <c r="A646" t="inlineStr">
        <is>
          <t>Skill + Buff Cast Rate</t>
        </is>
      </c>
      <c r="B646">
        <f>IF(AND(Inputs!$B$38&lt;&gt;"pvp",Inputs!$B$43&gt;0),SUMPRODUCT((Skills!E2:E23=TRUE)*(C619:C640=TRUE)*R619:R640*Skills!F2:F23)/Inputs!$B$43,SUMPRODUCT((Skills!E2:E23=TRUE)*(C619:C640=TRUE)*Q619:Q640*Skills!F2:F23))</f>
        <v/>
      </c>
    </row>
    <row r="647">
      <c r="A647" t="inlineStr">
        <is>
          <t>Hook Bomber Casts Per Second</t>
        </is>
      </c>
      <c r="B647">
        <f>MAX(0,B645-B646)</f>
        <v/>
      </c>
    </row>
    <row r="648">
      <c r="A648" t="inlineStr">
        <is>
          <t>Global Critical Damage Bonus % (unused)</t>
        </is>
      </c>
      <c r="B648" t="n">
        <v>0</v>
      </c>
    </row>
    <row r="649">
      <c r="A649" t="inlineStr">
        <is>
          <t>Global Final Damage Bonus % (Serpent Scale + Crossbones + Time Leap + Speed Infusion)</t>
        </is>
      </c>
      <c r="B649">
        <f>((C622=TRUE)*F622*((10+IF(Inputs!$B$3&gt;=94,5,0))/((10+IF(Inputs!$B$3&gt;=94,5,0))+5/(B647*(1+IF(Inputs!$B$3&gt;=104,1,0))))))+((C631=TRUE)*F631*IF(AND(Inputs!$B$38&lt;&gt;"pvp",Inputs!$B$43&gt;0),(((R631-1)*(Skills!T14*(1+Inputs!$B$34/100))+MIN((Skills!T14*(1+Inputs!$B$34/100)),MAX(0,Inputs!$B$43-((R631-1)*Skills!D14))))/Inputs!$B$43),IF(Inputs!$B$38="pvp",MIN((Skills!T14*(1+Inputs!$B$34/100)),15)/15,(Skills!T14*(1+Inputs!$B$34/100))/Skills!D14)))+((C632=TRUE)*F632*IF(AND(Inputs!$B$38&lt;&gt;"pvp",Inputs!$B$43&gt;0),(((R632-1)*(Skills!T15*(1+Inputs!$B$34/100))+MIN((Skills!T15*(1+Inputs!$B$34/100)),MAX(0,Inputs!$B$43-((R632-1)*Skills!D15))))/Inputs!$B$43),IF(Inputs!$B$38="pvp",MIN((Skills!T15*(1+Inputs!$B$34/100)),15)/15,(Skills!T15*(1+Inputs!$B$34/100))/Skills!D15)))+((Inputs!$B$3&gt;=110)*20*(B645-1)*IF(Inputs!$B$38="pvp",MIN((15*(1+Inputs!$B$34/100)),15)/15,(15*(1+Inputs!$B$34/100))/35))</f>
        <v/>
      </c>
    </row>
    <row r="650">
      <c r="A650" t="inlineStr">
        <is>
          <t>Buff-Casting Startup Delay (s, fixed-duration only)</t>
        </is>
      </c>
      <c r="B650">
        <f>IF(AND(Inputs!$B$38&lt;&gt;"pvp",Inputs!$B$43&gt;0),SUMPRODUCT((Skills!T2:T23&gt;0)*(Skills!E2:E23=TRUE)*(C619:C640=TRUE))/B645,0)</f>
        <v/>
      </c>
    </row>
    <row r="651">
      <c r="A651" t="inlineStr">
        <is>
          <t>Boss-Only Total DPS (this block's swept value)</t>
        </is>
      </c>
      <c r="B651">
        <f>SUM(T619:T640)</f>
        <v/>
      </c>
    </row>
    <row r="652">
      <c r="A652" t="inlineStr">
        <is>
          <t>Normal-Only Total DPS (this block's swept value)</t>
        </is>
      </c>
      <c r="B652">
        <f>SUM(V619:V640)</f>
        <v/>
      </c>
    </row>
    <row r="653">
      <c r="A653" s="6" t="inlineStr">
        <is>
          <t>TOTAL DPS</t>
        </is>
      </c>
      <c r="B653" s="6">
        <f>SUM(O619:O640)</f>
        <v/>
      </c>
    </row>
    <row r="656">
      <c r="A656" s="6" t="inlineStr">
        <is>
          <t>Stat: SKILL_DAMAGE %</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Skills!G2*IF(Skills!H2&gt;0,Skills!I2/Skills!H2,1)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676=TRUE)*(F676-Calc!F20)),(Inputs!$B$23+0+(IF(ArtifactsInput!$M$15,CHOOSE(ArtifactsInput!$N$15+1,25,30,35,40,45,50)/100*(Inputs!$B$11-Inputs!$B$11),0))))/100+(Inputs!$B$23+0+(IF(ArtifactsInput!$M$15,CHOOSE(ArtifactsInput!$N$15+1,25,30,35,40,45,50)/100*(Inputs!$B$11-Inputs!$B$11),0)))/100)/2</f>
        <v/>
      </c>
      <c r="M658">
        <f>L658*(1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IF(B692=0,0,O658/B692)</f>
        <v/>
      </c>
      <c r="Q658" t="n">
        <v>0</v>
      </c>
      <c r="R658" t="n">
        <v>0</v>
      </c>
      <c r="S658">
        <f>IFERROR(O658/N658,0)</f>
        <v/>
      </c>
      <c r="T658">
        <f>IF(C658,(Skills!G2*N658*B686)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658*(1-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IF(C658,(Skills!G2*N658*B686)*IF(Inputs!$B$38="pvp",1,(1+(Inputs!$B$21+Skills!Q2+(IF(ArtifactsInput!$M$33,CHOOSE(ArtifactsInput!$N$33+1,30,36,42,48,54,60),0))+(IF(AND(ArtifactsInput!$M$35,Inputs!$B$4&lt;&gt;"Chapter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Inputs!$B$3&gt;=35</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f>Skills!G3*IF(Skills!H3&gt;0,Skills!I3/Skills!H3,1)</f>
        <v/>
      </c>
      <c r="H659">
        <f>1-(1-Skills!J3/100)^Skills!K3</f>
        <v/>
      </c>
      <c r="I659" t="inlineStr">
        <is>
          <t>1</t>
        </is>
      </c>
      <c r="J659">
        <f>((Inputs!$B$6*(1+Inputs!$B$7/100))+(((Inputs!$B$12*(1+Inputs!$B$13/100))-(Inputs!$B$12*(1+Inputs!$B$13/100)))+0.25*(Inputs!$B$14-Inputs!$B$14))*(1+Inputs!$B$7/100))*(F659/100)</f>
        <v/>
      </c>
      <c r="K659">
        <f>J659*(1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659)</f>
        <v/>
      </c>
      <c r="L659">
        <f>K659*(MIN(Inputs!$B$22+((C676=TRUE)*(F676-Calc!F20)),(Inputs!$B$23+0+(IF(ArtifactsInput!$M$15,CHOOSE(ArtifactsInput!$N$15+1,25,30,35,40,45,50)/100*(Inputs!$B$11-Inputs!$B$11),0))))/100+(Inputs!$B$23+0+(IF(ArtifactsInput!$M$15,CHOOSE(ArtifactsInput!$N$15+1,25,30,35,40,45,50)/100*(Inputs!$B$11-Inputs!$B$11),0)))/100)/2</f>
        <v/>
      </c>
      <c r="M659">
        <f>L659*(1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9">
        <f>L659*(1-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659*(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9">
        <f>(1-Summary!$B$11)*T659+Summary!$B$11*V659</f>
        <v/>
      </c>
      <c r="P659">
        <f>IF(B692=0,0,O659/B692)</f>
        <v/>
      </c>
      <c r="Q659" t="n">
        <v>0</v>
      </c>
      <c r="R659" t="n">
        <v>0</v>
      </c>
      <c r="S659">
        <f>IFERROR(O659/N659,0)</f>
        <v/>
      </c>
      <c r="T659">
        <f>IF(C659,(Skills!G3*H659*N659*B686)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659*(1-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659*(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659*(1-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659*(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9">
        <f>INDEX(FactorTable!$B$2:$Y$301, MATCH(ROUND(MIN(300,MAX(1,U658)),0), FactorTable!$A$2:$A$301,0), 22)</f>
        <v/>
      </c>
      <c r="V659">
        <f>IF(C659,(Skills!G3*H659*N659*B686)*IF(Inputs!$B$38="pvp",1,(1+(Inputs!$B$21+Skills!Q3+(IF(ArtifactsInput!$M$33,CHOOSE(ArtifactsInput!$N$33+1,30,36,42,48,54,60),0))+(IF(AND(ArtifactsInput!$M$35,Inputs!$B$4&lt;&gt;"Chapter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0">
      <c r="A660">
        <f>Skills!A4</f>
        <v/>
      </c>
      <c r="B660">
        <f>Skills!B4</f>
        <v/>
      </c>
      <c r="C660">
        <f>Inputs!$B$3&gt;=60</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f>Skills!G4*IF(Skills!H4&gt;0,Skills!I4/Skills!H4,1)</f>
        <v/>
      </c>
      <c r="H660">
        <f>1-(1-Skills!J4/100)^Skills!K4</f>
        <v/>
      </c>
      <c r="I660" t="inlineStr">
        <is>
          <t>1</t>
        </is>
      </c>
      <c r="J660">
        <f>((Inputs!$B$6*(1+Inputs!$B$7/100))+(((Inputs!$B$12*(1+Inputs!$B$13/100))-(Inputs!$B$12*(1+Inputs!$B$13/100)))+0.25*(Inputs!$B$14-Inputs!$B$14))*(1+Inputs!$B$7/100))*(F660/100)</f>
        <v/>
      </c>
      <c r="K660">
        <f>J660*(1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668=TRUE,F668,0)/100)*(1+(IF(Skills!A4="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660)</f>
        <v/>
      </c>
      <c r="L660">
        <f>K660*(MIN(Inputs!$B$22+((C676=TRUE)*(F676-Calc!F20)),(Inputs!$B$23+0+(IF(ArtifactsInput!$M$15,CHOOSE(ArtifactsInput!$N$15+1,25,30,35,40,45,50)/100*(Inputs!$B$11-Inputs!$B$11),0))))/100+(Inputs!$B$23+0+(IF(ArtifactsInput!$M$15,CHOOSE(ArtifactsInput!$N$15+1,25,30,35,40,45,50)/100*(Inputs!$B$11-Inputs!$B$11),0)))/100)/2</f>
        <v/>
      </c>
      <c r="M660">
        <f>L660*(1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0">
        <f>L660*(1-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660*(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0">
        <f>(1-Summary!$B$11)*T660+Summary!$B$11*V660</f>
        <v/>
      </c>
      <c r="P660">
        <f>IF(B692=0,0,O660/B692)</f>
        <v/>
      </c>
      <c r="Q660" t="n">
        <v>0</v>
      </c>
      <c r="R660" t="n">
        <v>0</v>
      </c>
      <c r="S660">
        <f>IFERROR(O660/N660,0)</f>
        <v/>
      </c>
      <c r="T660">
        <f>IF(C660,(Skills!G4*H660*N660*B686)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660*(1-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660*(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660*(1-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660*(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0">
        <f>290*U659/1000</f>
        <v/>
      </c>
      <c r="V660">
        <f>IF(C660,(Skills!G4*H660*N660*B686)*IF(Inputs!$B$38="pvp",1,(1+(Inputs!$B$21+Skills!Q4+(IF(ArtifactsInput!$M$33,CHOOSE(ArtifactsInput!$N$33+1,30,36,42,48,54,60),0))+(IF(AND(ArtifactsInput!$M$35,Inputs!$B$4&lt;&gt;"Chapter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1">
      <c r="A661">
        <f>Skills!A5</f>
        <v/>
      </c>
      <c r="B661">
        <f>Skills!B5</f>
        <v/>
      </c>
      <c r="C661">
        <f>Inputs!$B$3&gt;=60</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Skills!G5*IF(Skills!H5&gt;0,Skills!I5/Skills!H5,1)</f>
        <v/>
      </c>
      <c r="H661">
        <f>1-(1-Skills!J5/100)^Skills!K5</f>
        <v/>
      </c>
      <c r="I661" t="inlineStr">
        <is>
          <t>1</t>
        </is>
      </c>
      <c r="J661" t="inlineStr"/>
      <c r="K661" t="inlineStr"/>
      <c r="L661" t="inlineStr"/>
      <c r="M661" t="inlineStr"/>
      <c r="N661" t="inlineStr"/>
      <c r="O661">
        <f>(1-Summary!$B$11)*T661+Summary!$B$11*V661</f>
        <v/>
      </c>
      <c r="P661">
        <f>IF(B692=0,0,O661/B692)</f>
        <v/>
      </c>
      <c r="Q661" t="n">
        <v>0</v>
      </c>
      <c r="R661" t="n">
        <v>0</v>
      </c>
      <c r="S661">
        <f>IFERROR(O661/N661,0)</f>
        <v/>
      </c>
      <c r="T661" t="n">
        <v>0</v>
      </c>
      <c r="V661" t="n">
        <v>0</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Skills!G6*IF(Skills!H6&gt;0,Skills!I6/Skills!H6,1)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668=TRUE,F668,0)/100)*(1+(IF(Skills!A6="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676=TRUE)*(F676-Calc!F20)),(Inputs!$B$23+0+(IF(ArtifactsInput!$M$15,CHOOSE(ArtifactsInput!$N$15+1,25,30,35,40,45,50)/100*(Inputs!$B$11-Inputs!$B$11),0))))/100+(Inputs!$B$23+0+(IF(ArtifactsInput!$M$15,CHOOSE(ArtifactsInput!$N$15+1,25,30,35,40,45,50)/100*(Inputs!$B$11-Inputs!$B$11),0)))/100)/2</f>
        <v/>
      </c>
      <c r="M662">
        <f>L662*(1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IF(B692=0,0,O662/B692)</f>
        <v/>
      </c>
      <c r="Q662">
        <f>IFERROR(1/(IF(Inputs!$B$38="pvp",15,MAX(0.1,Skills!D6-IF(Skills!E6=TRUE,Inputs!$B$32,0)))*(1-IF(AND(ArtifactsInput!$M$27,Inputs!$B$4="Chapter Hunt"),CHOOSE(ArtifactsInput!$N$27+1,20,24,28,32,36,40),0)/100)),0)</f>
        <v/>
      </c>
      <c r="R662">
        <f>IF(AND(Inputs!$B$38&lt;&gt;"pvp",Inputs!$B$43&gt;0),IF(MAX(0,Inputs!$B$43-B689)&lt;=0,0,(INT(MAX(0,Inputs!$B$43-B689)/(IF(Inputs!$B$38="pvp",15,MAX(0.1,Skills!D6-IF(Skills!E6=TRUE,Inputs!$B$32,0)))*(1-IF(AND(ArtifactsInput!$M$27,Inputs!$B$4="Chapter Hunt"),CHOOSE(ArtifactsInput!$N$27+1,20,24,28,32,36,40),0)/100)))+1)),0)</f>
        <v/>
      </c>
      <c r="S662">
        <f>IFERROR(O662/N662,0)</f>
        <v/>
      </c>
      <c r="T662">
        <f>IF(C662,(H662*N662*IF(AND(Inputs!$B$38&lt;&gt;"pvp",Inputs!$B$43&gt;0),((Skills!G6*((R662-1)*IF(Skills!H6&gt;0,Skills!I6/Skills!H6,1)+IF(Skills!H6&gt;0,MIN(Skills!I6,MAX(0,MAX(0,Inputs!$B$43-B689)-((R662-1)*(IF(Inputs!$B$38="pvp",15,MAX(0.1,Skills!D6-IF(Skills!E6=TRUE,Inputs!$B$32,0)))*(1-IF(AND(ArtifactsInput!$M$27,Inputs!$B$4="Chapter Hunt"),CHOOSE(ArtifactsInput!$N$27+1,20,24,28,32,36,40),0)/100)))))/Skills!H6,1)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662*(1-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Skills!I6/Skills!H6,1)+IF(Skills!H6&gt;0,MIN(Skills!I6,MAX(0,MAX(0,Inputs!$B$43-B689)-((R662-1)*(IF(Inputs!$B$38="pvp",15,MAX(0.1,Skills!D6-IF(Skills!E6=TRUE,Inputs!$B$32,0)))*(1-IF(AND(ArtifactsInput!$M$27,Inputs!$B$4="Chapter Hunt"),CHOOSE(ArtifactsInput!$N$27+1,20,24,28,32,36,40),0)/100)))))/Skills!H6,1)))/Inputs!$B$43),G662*Q662))*IF(Inputs!$B$38="pvp",1,(1+(Inputs!$B$21+Skills!Q6+(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Inputs!$B$3&gt;=100</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Skills!G7*IF(Skills!H7&gt;0,Skills!I7/Skills!H7,1)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676=TRUE)*(F676-Calc!F20)),(Inputs!$B$23+0+(IF(ArtifactsInput!$M$15,CHOOSE(ArtifactsInput!$N$15+1,25,30,35,40,45,50)/100*(Inputs!$B$11-Inputs!$B$11),0))))/100+(Inputs!$B$23+0+(IF(ArtifactsInput!$M$15,CHOOSE(ArtifactsInput!$N$15+1,25,30,35,40,45,50)/100*(Inputs!$B$11-Inputs!$B$11),0)))/100)/2</f>
        <v/>
      </c>
      <c r="M663">
        <f>L663*(1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IF(B692=0,0,O663/B692)</f>
        <v/>
      </c>
      <c r="Q663">
        <f>IFERROR(1/(IF(Inputs!$B$38="pvp",15,MAX(0.1,Skills!D7-IF(Skills!E7=TRUE,Inputs!$B$32,0)))*(1-IF(AND(ArtifactsInput!$M$27,Inputs!$B$4="Chapter Hunt"),CHOOSE(ArtifactsInput!$N$27+1,20,24,28,32,36,40),0)/100)),0)</f>
        <v/>
      </c>
      <c r="R663">
        <f>IF(AND(Inputs!$B$38&lt;&gt;"pvp",Inputs!$B$43&gt;0),IF(MAX(0,Inputs!$B$43-B689)&lt;=0,0,(INT(MAX(0,Inputs!$B$43-B689)/(IF(Inputs!$B$38="pvp",15,MAX(0.1,Skills!D7-IF(Skills!E7=TRUE,Inputs!$B$32,0)))*(1-IF(AND(ArtifactsInput!$M$27,Inputs!$B$4="Chapter Hunt"),CHOOSE(ArtifactsInput!$N$27+1,20,24,28,32,36,40),0)/100)))+1)),0)</f>
        <v/>
      </c>
      <c r="S663">
        <f>IFERROR(O663/N663,0)</f>
        <v/>
      </c>
      <c r="T663">
        <f>IF(C663,(H663*N663*IF(AND(Inputs!$B$38&lt;&gt;"pvp",Inputs!$B$43&gt;0),((Skills!G7*((R663-1)*IF(Skills!H7&gt;0,Skills!I7/Skills!H7,1)+IF(Skills!H7&gt;0,MIN(Skills!I7,MAX(0,MAX(0,Inputs!$B$43-B689)-((R663-1)*(IF(Inputs!$B$38="pvp",15,MAX(0.1,Skills!D7-IF(Skills!E7=TRUE,Inputs!$B$32,0)))*(1-IF(AND(ArtifactsInput!$M$27,Inputs!$B$4="Chapter Hunt"),CHOOSE(ArtifactsInput!$N$27+1,20,24,28,32,36,40),0)/100)))))/Skills!H7,1)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663*(1-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Skills!I7/Skills!H7,1)+IF(Skills!H7&gt;0,MIN(Skills!I7,MAX(0,MAX(0,Inputs!$B$43-B689)-((R663-1)*(IF(Inputs!$B$38="pvp",15,MAX(0.1,Skills!D7-IF(Skills!E7=TRUE,Inputs!$B$32,0)))*(1-IF(AND(ArtifactsInput!$M$27,Inputs!$B$4="Chapter Hunt"),CHOOSE(ArtifactsInput!$N$27+1,20,24,28,32,36,40),0)/100)))))/Skills!H7,1)))/Inputs!$B$43),G663*Q663))*IF(Inputs!$B$38="pvp",1,(1+(Inputs!$B$21+Skills!Q7+(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Inputs!$B$3&gt;=110</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f>Skills!G8*IF(Skills!H8&gt;0,Skills!I8/Skills!H8,1)</f>
        <v/>
      </c>
      <c r="H664">
        <f>1-(1-Skills!J8/100)^Skills!K8</f>
        <v/>
      </c>
      <c r="I664" t="inlineStr">
        <is>
          <t>1</t>
        </is>
      </c>
      <c r="J664">
        <f>((Inputs!$B$6*(1+Inputs!$B$7/100))+(((Inputs!$B$12*(1+Inputs!$B$13/100))-(Inputs!$B$12*(1+Inputs!$B$13/100)))+0.25*(Inputs!$B$14-Inputs!$B$14))*(1+Inputs!$B$7/100))*(F664/100)</f>
        <v/>
      </c>
      <c r="K664">
        <f>J664*(1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664)</f>
        <v/>
      </c>
      <c r="L664">
        <f>K664*(MIN(Inputs!$B$22+((C676=TRUE)*(F676-Calc!F20)),(Inputs!$B$23+0+(IF(ArtifactsInput!$M$15,CHOOSE(ArtifactsInput!$N$15+1,25,30,35,40,45,50)/100*(Inputs!$B$11-Inputs!$B$11),0))))/100+(Inputs!$B$23+0+(IF(ArtifactsInput!$M$15,CHOOSE(ArtifactsInput!$N$15+1,25,30,35,40,45,50)/100*(Inputs!$B$11-Inputs!$B$11),0)))/100)/2</f>
        <v/>
      </c>
      <c r="M664">
        <f>L664*(1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IF(B692=0,0,O664/B692)</f>
        <v/>
      </c>
      <c r="Q664">
        <f>IFERROR(1/(IF(Inputs!$B$38="pvp",15,MAX(0.1,Skills!D8-IF(Skills!E8=TRUE,Inputs!$B$32,0)))*(1-IF(AND(ArtifactsInput!$M$27,Inputs!$B$4="Chapter Hunt"),CHOOSE(ArtifactsInput!$N$27+1,20,24,28,32,36,40),0)/100)),0)</f>
        <v/>
      </c>
      <c r="R664">
        <f>IF(AND(Inputs!$B$38&lt;&gt;"pvp",Inputs!$B$43&gt;0),IF(MAX(0,Inputs!$B$43-B689)&lt;=0,0,(INT(MAX(0,Inputs!$B$43-B689)/(IF(Inputs!$B$38="pvp",15,MAX(0.1,Skills!D8-IF(Skills!E8=TRUE,Inputs!$B$32,0)))*(1-IF(AND(ArtifactsInput!$M$27,Inputs!$B$4="Chapter Hunt"),CHOOSE(ArtifactsInput!$N$27+1,20,24,28,32,36,40),0)/100)))+1)),0)</f>
        <v/>
      </c>
      <c r="S664">
        <f>IFERROR(O664/N664,0)</f>
        <v/>
      </c>
      <c r="T664">
        <f>IF(C664,(H664*N664*IF(AND(Inputs!$B$38&lt;&gt;"pvp",Inputs!$B$43&gt;0),((Skills!G8*((R664-1)*IF(Skills!H8&gt;0,Skills!I8/Skills!H8,1)+IF(Skills!H8&gt;0,MIN(Skills!I8,MAX(0,MAX(0,Inputs!$B$43-B689)-((R664-1)*(IF(Inputs!$B$38="pvp",15,MAX(0.1,Skills!D8-IF(Skills!E8=TRUE,Inputs!$B$32,0)))*(1-IF(AND(ArtifactsInput!$M$27,Inputs!$B$4="Chapter Hunt"),CHOOSE(ArtifactsInput!$N$27+1,20,24,28,32,36,40),0)/100)))))/Skills!H8,1)))/Inputs!$B$43),G664*Q664)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664*(1-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8*((R664-1)*IF(Skills!H8&gt;0,Skills!I8/Skills!H8,1)+IF(Skills!H8&gt;0,MIN(Skills!I8,MAX(0,MAX(0,Inputs!$B$43-B689)-((R664-1)*(IF(Inputs!$B$38="pvp",15,MAX(0.1,Skills!D8-IF(Skills!E8=TRUE,Inputs!$B$32,0)))*(1-IF(AND(ArtifactsInput!$M$27,Inputs!$B$4="Chapter Hunt"),CHOOSE(ArtifactsInput!$N$27+1,20,24,28,32,36,40),0)/100)))))/Skills!H8,1)))/Inputs!$B$43),G664*Q664))*IF(Inputs!$B$38="pvp",1,(1+(Inputs!$B$21+Skills!Q8+(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Skills!A9</f>
        <v/>
      </c>
      <c r="B665">
        <f>Skills!B9</f>
        <v/>
      </c>
      <c r="C665">
        <f>Inputs!$B$3&gt;=110</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Skills!G9*IF(Skills!H9&gt;0,Skills!I9/Skills!H9,1)</f>
        <v/>
      </c>
      <c r="H665">
        <f>1-(1-Skills!J9/100)^Skills!K9</f>
        <v/>
      </c>
      <c r="I665" t="inlineStr">
        <is>
          <t>1</t>
        </is>
      </c>
      <c r="J665">
        <f>((Inputs!$B$6*(1+Inputs!$B$7/100))+(((Inputs!$B$12*(1+Inputs!$B$13/100))-(Inputs!$B$12*(1+Inputs!$B$13/100)))+0.25*(Inputs!$B$14-Inputs!$B$14))*(1+Inputs!$B$7/100))*(F665/100)</f>
        <v/>
      </c>
      <c r="K665">
        <f>J665*(1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676=TRUE)*(F676-Calc!F20)),(Inputs!$B$23+0+(IF(ArtifactsInput!$M$15,CHOOSE(ArtifactsInput!$N$15+1,25,30,35,40,45,50)/100*(Inputs!$B$11-Inputs!$B$11),0))))/100+(Inputs!$B$23+0+(IF(ArtifactsInput!$M$15,CHOOSE(ArtifactsInput!$N$15+1,25,30,35,40,45,50)/100*(Inputs!$B$11-Inputs!$B$11),0)))/100)/2</f>
        <v/>
      </c>
      <c r="M665">
        <f>L665*(1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IF(B692=0,0,O665/B692)</f>
        <v/>
      </c>
      <c r="Q665">
        <f>IFERROR(1/(IF(Inputs!$B$38="pvp",15,MAX(0.1,Skills!D9-IF(Skills!E9=TRUE,Inputs!$B$32,0)))*(1-IF(AND(ArtifactsInput!$M$27,Inputs!$B$4="Chapter Hunt"),CHOOSE(ArtifactsInput!$N$27+1,20,24,28,32,36,40),0)/100)),0)</f>
        <v/>
      </c>
      <c r="R665">
        <f>IF(AND(Inputs!$B$38&lt;&gt;"pvp",Inputs!$B$43&gt;0),IF(MAX(0,Inputs!$B$43-B689)&lt;=0,0,(INT(MAX(0,Inputs!$B$43-B689)/(IF(Inputs!$B$38="pvp",15,MAX(0.1,Skills!D9-IF(Skills!E9=TRUE,Inputs!$B$32,0)))*(1-IF(AND(ArtifactsInput!$M$27,Inputs!$B$4="Chapter Hunt"),CHOOSE(ArtifactsInput!$N$27+1,20,24,28,32,36,40),0)/100)))+1)),0)</f>
        <v/>
      </c>
      <c r="S665">
        <f>IFERROR(O665/N665,0)</f>
        <v/>
      </c>
      <c r="T665">
        <f>IF(C665,(H665*N665*IF(AND(Inputs!$B$38&lt;&gt;"pvp",Inputs!$B$43&gt;0),((Skills!G9*((R665-1)*IF(Skills!H9&gt;0,Skills!I9/Skills!H9,1)+IF(Skills!H9&gt;0,MIN(Skills!I9,MAX(0,MAX(0,Inputs!$B$43-B689)-((R665-1)*(IF(Inputs!$B$38="pvp",15,MAX(0.1,Skills!D9-IF(Skills!E9=TRUE,Inputs!$B$32,0)))*(1-IF(AND(ArtifactsInput!$M$27,Inputs!$B$4="Chapter Hunt"),CHOOSE(ArtifactsInput!$N$27+1,20,24,28,32,36,40),0)/100)))))/Skills!H9,1)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665*(1-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Skills!I9/Skills!H9,1)+IF(Skills!H9&gt;0,MIN(Skills!I9,MAX(0,MAX(0,Inputs!$B$43-B689)-((R665-1)*(IF(Inputs!$B$38="pvp",15,MAX(0.1,Skills!D9-IF(Skills!E9=TRUE,Inputs!$B$32,0)))*(1-IF(AND(ArtifactsInput!$M$27,Inputs!$B$4="Chapter Hunt"),CHOOSE(ArtifactsInput!$N$27+1,20,24,28,32,36,40),0)/100)))))/Skills!H9,1)))/Inputs!$B$43),G665*Q665))*IF(Inputs!$B$38="pvp",1,(1+(Inputs!$B$21+Skills!Q9+(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Inputs!$B$3&gt;=103</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Skills!G10*IF(Skills!H10&gt;0,Skills!I10/Skills!H10,1)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676=TRUE)*(F676-Calc!F20)),(Inputs!$B$23+0+(IF(ArtifactsInput!$M$15,CHOOSE(ArtifactsInput!$N$15+1,25,30,35,40,45,50)/100*(Inputs!$B$11-Inputs!$B$11),0))))/100+(Inputs!$B$23+0+(IF(ArtifactsInput!$M$15,CHOOSE(ArtifactsInput!$N$15+1,25,30,35,40,45,50)/100*(Inputs!$B$11-Inputs!$B$11),0)))/100)/2</f>
        <v/>
      </c>
      <c r="M666">
        <f>L666*(1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IF(B692=0,0,O666/B692)</f>
        <v/>
      </c>
      <c r="Q666">
        <f>IFERROR(1/(IF(Inputs!$B$38="pvp",15,MAX(0.1,Skills!D10-IF(Skills!E10=TRUE,Inputs!$B$32,0)))*(1-IF(AND(ArtifactsInput!$M$27,Inputs!$B$4="Chapter Hunt"),CHOOSE(ArtifactsInput!$N$27+1,20,24,28,32,36,40),0)/100)),0)</f>
        <v/>
      </c>
      <c r="R666">
        <f>IF(AND(Inputs!$B$38&lt;&gt;"pvp",Inputs!$B$43&gt;0),IF(MAX(0,Inputs!$B$43-B689)&lt;=0,0,(INT(MAX(0,Inputs!$B$43-B689)/(IF(Inputs!$B$38="pvp",15,MAX(0.1,Skills!D10-IF(Skills!E10=TRUE,Inputs!$B$32,0)))*(1-IF(AND(ArtifactsInput!$M$27,Inputs!$B$4="Chapter Hunt"),CHOOSE(ArtifactsInput!$N$27+1,20,24,28,32,36,40),0)/100)))+1)),0)</f>
        <v/>
      </c>
      <c r="S666">
        <f>IFERROR(O666/N666,0)</f>
        <v/>
      </c>
      <c r="T666">
        <f>IF(C666,(H666*N666*IF(AND(Inputs!$B$38&lt;&gt;"pvp",Inputs!$B$43&gt;0),((Skills!G10*((R666-1)*IF(Skills!H10&gt;0,Skills!I10/Skills!H10,1)+IF(Skills!H10&gt;0,MIN(Skills!I10,MAX(0,MAX(0,Inputs!$B$43-B689)-((R666-1)*(IF(Inputs!$B$38="pvp",15,MAX(0.1,Skills!D10-IF(Skills!E10=TRUE,Inputs!$B$32,0)))*(1-IF(AND(ArtifactsInput!$M$27,Inputs!$B$4="Chapter Hunt"),CHOOSE(ArtifactsInput!$N$27+1,20,24,28,32,36,40),0)/100)))))/Skills!H10,1)))/Inputs!$B$43),G666*Q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666*(1-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10*((R666-1)*IF(Skills!H10&gt;0,Skills!I10/Skills!H10,1)+IF(Skills!H10&gt;0,MIN(Skills!I10,MAX(0,MAX(0,Inputs!$B$43-B689)-((R666-1)*(IF(Inputs!$B$38="pvp",15,MAX(0.1,Skills!D10-IF(Skills!E10=TRUE,Inputs!$B$32,0)))*(1-IF(AND(ArtifactsInput!$M$27,Inputs!$B$4="Chapter Hunt"),CHOOSE(ArtifactsInput!$N$27+1,20,24,28,32,36,40),0)/100)))))/Skills!H10,1)))/Inputs!$B$43),G666*Q666))*IF(Inputs!$B$38="pvp",1,(1+(Inputs!$B$21+Skills!Q10+(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Inputs!$B$3&gt;=113</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Skills!G11*IF(Skills!H11&gt;0,Skills!I11/Skills!H11,1)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Inputs!$B$19+0)/100)*(1-CHOOSE(ArtifactsInput!$N$40+1,5,6,7,8,9,10)/100)^(ArtifactsInput!$M$40-ArtifactsInput!$M$40)))/100)))*(1+(Inputs!$B$24+((C678=TRUE)*(F678-Calc!F22))+B688)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677=TRUE)*(F677-Calc!F21))+(((IF(AND(ArtifactsInput!$M$42,((Inputs!$B$9+((C672=TRUE)*(F672-Calc!F16))+B682+(ArtifactsInput!$M$24-ArtifactsInput!$M$24)*CHOOSE(ArtifactsInput!$N$24+1,10,12,14,16,18,20)+IF(ArtifactsInput!$M$10,CHOOSE(ArtifactsInput!$N$10+1,15,18,21,24,27,30)*(IF(Inputs!$B$38="pvp",MIN(15,15)/15,IF(AND(Inputs!$B$38&lt;&gt;"pvp",Inputs!$B$43&gt;0),MIN(15,Inputs!$B$43)/(Inputs!$B$43),0))),0)))&gt;=100),MIN(100,((Inputs!$B$9+((C672=TRUE)*(F672-Calc!F16))+B682+(ArtifactsInput!$M$24-ArtifactsInput!$M$24)*CHOOSE(ArtifactsInput!$N$24+1,10,12,14,16,18,20)+IF(ArtifactsInput!$M$10,CHOOSE(ArtifactsInput!$N$10+1,15,18,21,24,27,30)*(IF(Inputs!$B$38="pvp",MIN(15,15)/15,IF(AND(Inputs!$B$38&lt;&gt;"pvp",Inputs!$B$43&gt;0),MIN(15,Inputs!$B$43)/(Inputs!$B$43),0))),0)))-100),0))*CHOOSE(ArtifactsInput!$N$42+1,0.6,0.72,0.84,0.96,1.08,1.2))),(Inputs!$B$18+1)+0+(IF(AND(ArtifactsInput!$M$42,((Inputs!$B$9+((C672=TRUE)*(F672-Calc!F16))+B682+(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676=TRUE)*(F676-Calc!F20)),(Inputs!$B$23+0+(IF(ArtifactsInput!$M$15,CHOOSE(ArtifactsInput!$N$15+1,25,30,35,40,45,50)/100*(Inputs!$B$11-Inputs!$B$11),0))))/100+(Inputs!$B$23+0+(IF(ArtifactsInput!$M$15,CHOOSE(ArtifactsInput!$N$15+1,25,30,35,40,45,50)/100*(Inputs!$B$11-Inputs!$B$11),0)))/100)/2</f>
        <v/>
      </c>
      <c r="M667">
        <f>L667*(1+(Inputs!$B$10+0+B687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IF(B692=0,0,O667/B692)</f>
        <v/>
      </c>
      <c r="Q667">
        <f>IFERROR(1/(IF(Inputs!$B$38="pvp",15,MAX(0.1,Skills!D11-IF(Skills!E11=TRUE,Inputs!$B$32,0)))*(1-IF(AND(ArtifactsInput!$M$27,Inputs!$B$4="Chapter Hunt"),CHOOSE(ArtifactsInput!$N$27+1,20,24,28,32,36,40),0)/100)),0)</f>
        <v/>
      </c>
      <c r="R667">
        <f>IF(AND(Inputs!$B$38&lt;&gt;"pvp",Inputs!$B$43&gt;0),IF(MAX(0,Inputs!$B$43-B689)&lt;=0,0,(INT(MAX(0,Inputs!$B$43-B689)/(IF(Inputs!$B$38="pvp",15,MAX(0.1,Skills!D11-IF(Skills!E11=TRUE,Inputs!$B$32,0)))*(1-IF(AND(ArtifactsInput!$M$27,Inputs!$B$4="Chapter Hunt"),CHOOSE(ArtifactsInput!$N$27+1,20,24,28,32,36,40),0)/100)))+1)),0)</f>
        <v/>
      </c>
      <c r="S667">
        <f>IFERROR(O667/N667,0)</f>
        <v/>
      </c>
      <c r="T667">
        <f>IF(C667,(H667*N667*IF(AND(Inputs!$B$38&lt;&gt;"pvp",Inputs!$B$43&gt;0),((Skills!G11*((R667-1)*IF(Skills!H11&gt;0,Skills!I11/Skills!H11,1)+IF(Skills!H11&gt;0,MIN(Skills!I11,MAX(0,MAX(0,Inputs!$B$43-B689)-((R667-1)*(IF(Inputs!$B$38="pvp",15,MAX(0.1,Skills!D11-IF(Skills!E11=TRUE,Inputs!$B$32,0)))*(1-IF(AND(ArtifactsInput!$M$27,Inputs!$B$4="Chapter Hunt"),CHOOSE(ArtifactsInput!$N$27+1,20,24,28,32,36,40),0)/100)))))/Skills!H11,1)))/Inputs!$B$43),G667*Q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667*(1-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672=TRUE)*(F672-Calc!F16))+B682+(ArtifactsInput!$M$24-ArtifactsInput!$M$24)*CHOOSE(ArtifactsInput!$N$24+1,10,12,14,16,18,20)+(IF(AND(ArtifactsInput!$M$42,((Inputs!$B$9+((C672=TRUE)*(F672-Calc!F16))+B682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N667*IF(AND(Inputs!$B$38&lt;&gt;"pvp",Inputs!$B$43&gt;0),((Skills!G11*((R667-1)*IF(Skills!H11&gt;0,Skills!I11/Skills!H11,1)+IF(Skills!H11&gt;0,MIN(Skills!I11,MAX(0,MAX(0,Inputs!$B$43-B689)-((R667-1)*(IF(Inputs!$B$38="pvp",15,MAX(0.1,Skills!D11-IF(Skills!E11=TRUE,Inputs!$B$32,0)))*(1-IF(AND(ArtifactsInput!$M$27,Inputs!$B$4="Chapter Hunt"),CHOOSE(ArtifactsInput!$N$27+1,20,24,28,32,36,40),0)/100)))))/Skills!H11,1)))/Inputs!$B$43),G667*Q667))*IF(Inputs!$B$38="pvp",1,(1+(Inputs!$B$21+Skills!Q11+(IF(ArtifactsInput!$M$33,CHOOSE(ArtifactsInput!$N$33+1,30,36,42,48,54,60),0))+(IF(AND(ArtifactsInput!$M$35,Inputs!$B$4&lt;&gt;"Chapter Hunt"),CHOOSE(ArtifactsInput!$N$35+1,15,18,21,24,27,30)*(1-EXP(-(0.2*B684)*5)),0)+IF(AND(ArtifactsInput!$M$22,Inputs!$B$4&lt;&gt;"Chapter Hunt"),CHOOSE(ArtifactsInput!$N$22+1,10,12,14,16,18,20)*((0*(((0.15*B684*5))^0/1)+1*(((0.15*B684*5))^1/1)+2*(((0.15*B684*5))^2/2)+3*(((0.15*B684*5))^3/6)+4*(((0.15*B684*5))^4/24)+5*(((0.15*B684*5))^5/120))/((((0.15*B684*5))^0/1)+(((0.15*B684*5))^1/1)+(((0.15*B684*5))^2/2)+(((0.15*B684*5))^3/6)+(((0.15*B684*5))^4/24)+(((0.15*B684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Inputs!$B$3&gt;=100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t="inlineStr"/>
      <c r="H668" t="inlineStr"/>
      <c r="I668" t="inlineStr">
        <is>
          <t>1</t>
        </is>
      </c>
      <c r="J668" t="inlineStr"/>
      <c r="K668" t="inlineStr"/>
      <c r="L668" t="inlineStr"/>
      <c r="M668" t="inlineStr"/>
      <c r="N668" t="inlineStr"/>
      <c r="O668" t="inlineStr"/>
      <c r="P668" t="inlineStr"/>
      <c r="Q668" t="inlineStr"/>
      <c r="R668" t="inlineStr"/>
      <c r="S668" t="inlineStr"/>
      <c r="T668" t="inlineStr"/>
      <c r="V668" t="inlineStr"/>
    </row>
    <row r="669">
      <c r="A669">
        <f>Skills!A13</f>
        <v/>
      </c>
      <c r="B669">
        <f>Skills!B13</f>
        <v/>
      </c>
      <c r="C669">
        <f>Inputs!$B$3&gt;=66</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Skills!G13*IF(Skills!H13&gt;0,Skills!I13/Skills!H13,1)</f>
        <v/>
      </c>
      <c r="H669">
        <f>1-(1-Skills!J13/100)^Skills!K13</f>
        <v/>
      </c>
      <c r="I669" t="inlineStr">
        <is>
          <t>1</t>
        </is>
      </c>
      <c r="J669" t="inlineStr"/>
      <c r="K669" t="inlineStr"/>
      <c r="L669" t="inlineStr"/>
      <c r="M669" t="inlineStr"/>
      <c r="N669" t="inlineStr"/>
      <c r="O669">
        <f>(1-Summary!$B$11)*T669+Summary!$B$11*V669</f>
        <v/>
      </c>
      <c r="P669">
        <f>IF(B692=0,0,O669/B692)</f>
        <v/>
      </c>
      <c r="Q669" t="n">
        <v>0</v>
      </c>
      <c r="R669" t="n">
        <v>0</v>
      </c>
      <c r="S669">
        <f>IFERROR(O669/N669,0)</f>
        <v/>
      </c>
      <c r="T669" t="n">
        <v>0</v>
      </c>
      <c r="V669" t="n">
        <v>0</v>
      </c>
    </row>
    <row r="670">
      <c r="A670">
        <f>Skills!A14</f>
        <v/>
      </c>
      <c r="B670">
        <f>Skills!B14</f>
        <v/>
      </c>
      <c r="C670">
        <f>Inputs!$B$3&gt;=107</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Skills!G14*IF(Skills!H14&gt;0,Skills!I14/Skills!H14,1)</f>
        <v/>
      </c>
      <c r="H670">
        <f>1-(1-Skills!J14/100)^Skills!K14</f>
        <v/>
      </c>
      <c r="I670" t="inlineStr">
        <is>
          <t>1</t>
        </is>
      </c>
      <c r="J670" t="inlineStr"/>
      <c r="K670" t="inlineStr"/>
      <c r="L670" t="inlineStr"/>
      <c r="M670" t="inlineStr"/>
      <c r="N670" t="inlineStr"/>
      <c r="O670">
        <f>(1-Summary!$B$11)*T670+Summary!$B$11*V670</f>
        <v/>
      </c>
      <c r="P670">
        <f>IF(B692=0,0,O670/B692)</f>
        <v/>
      </c>
      <c r="Q670">
        <f>IFERROR(1/(IF(Inputs!$B$38="pvp",15,MAX(0.1,Skills!D14-IF(Skills!E14=TRUE,Inputs!$B$32,0)))*(1-IF(AND(ArtifactsInput!$M$27,Inputs!$B$4="Chapter Hunt"),CHOOSE(ArtifactsInput!$N$27+1,20,24,28,32,36,40),0)/100)),0)</f>
        <v/>
      </c>
      <c r="R670">
        <f>IF(AND(Inputs!$B$38&lt;&gt;"pvp",Inputs!$B$43&gt;0),IF(Inputs!$B$43&lt;=0,0,(INT(Inputs!$B$43/(IF(Inputs!$B$38="pvp",15,MAX(0.1,Skills!D14-IF(Skills!E14=TRUE,Inputs!$B$32,0)))*(1-IF(AND(ArtifactsInput!$M$27,Inputs!$B$4="Chapter Hunt"),CHOOSE(ArtifactsInput!$N$27+1,20,24,28,32,36,40),0)/100)))+1)),0)</f>
        <v/>
      </c>
      <c r="S670">
        <f>IFERROR(O670/N670,0)</f>
        <v/>
      </c>
      <c r="T670" t="n">
        <v>0</v>
      </c>
      <c r="V670" t="n">
        <v>0</v>
      </c>
    </row>
    <row r="671">
      <c r="A671">
        <f>Skills!A15</f>
        <v/>
      </c>
      <c r="B671">
        <f>Skills!B15</f>
        <v/>
      </c>
      <c r="C671">
        <f>Inputs!$B$3&gt;=115</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Skills!G15*IF(Skills!H15&gt;0,Skills!I15/Skills!H15,1)</f>
        <v/>
      </c>
      <c r="H671">
        <f>1-(1-Skills!J15/100)^Skills!K15</f>
        <v/>
      </c>
      <c r="I671" t="inlineStr">
        <is>
          <t>1</t>
        </is>
      </c>
      <c r="J671" t="inlineStr"/>
      <c r="K671" t="inlineStr"/>
      <c r="L671" t="inlineStr"/>
      <c r="M671" t="inlineStr"/>
      <c r="N671" t="inlineStr"/>
      <c r="O671">
        <f>(1-Summary!$B$11)*T671+Summary!$B$11*V671</f>
        <v/>
      </c>
      <c r="P671">
        <f>IF(B692=0,0,O671/B692)</f>
        <v/>
      </c>
      <c r="Q671">
        <f>IFERROR(1/(IF(Inputs!$B$38="pvp",15,MAX(0.1,Skills!D15-IF(Skills!E15=TRUE,Inputs!$B$32,0)))*(1-IF(AND(ArtifactsInput!$M$27,Inputs!$B$4="Chapter Hunt"),CHOOSE(ArtifactsInput!$N$27+1,20,24,28,32,36,40),0)/100)),0)</f>
        <v/>
      </c>
      <c r="R671">
        <f>IF(AND(Inputs!$B$38&lt;&gt;"pvp",Inputs!$B$43&gt;0),IF(Inputs!$B$43&lt;=0,0,(INT(Inputs!$B$43/(IF(Inputs!$B$38="pvp",15,MAX(0.1,Skills!D15-IF(Skills!E15=TRUE,Inputs!$B$32,0)))*(1-IF(AND(ArtifactsInput!$M$27,Inputs!$B$4="Chapter Hunt"),CHOOSE(ArtifactsInput!$N$27+1,20,24,28,32,36,40),0)/100)))+1)),0)</f>
        <v/>
      </c>
      <c r="S671">
        <f>IFERROR(O671/N671,0)</f>
        <v/>
      </c>
      <c r="T671" t="n">
        <v>0</v>
      </c>
      <c r="V671" t="n">
        <v>0</v>
      </c>
    </row>
    <row r="672">
      <c r="A672">
        <f>Skills!A16</f>
        <v/>
      </c>
      <c r="B672">
        <f>Skills!B16</f>
        <v/>
      </c>
      <c r="C672">
        <f>Inputs!$B$3&gt;=15</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Skills!G16*IF(Skills!H16&gt;0,Skills!I16/Skills!H16,1)</f>
        <v/>
      </c>
      <c r="H672">
        <f>1-(1-Skills!J16/100)^Skills!K16</f>
        <v/>
      </c>
      <c r="I672" t="inlineStr">
        <is>
          <t>1</t>
        </is>
      </c>
      <c r="J672" t="inlineStr"/>
      <c r="K672" t="inlineStr"/>
      <c r="L672" t="inlineStr"/>
      <c r="M672" t="inlineStr"/>
      <c r="N672" t="inlineStr"/>
      <c r="O672">
        <f>(1-Summary!$B$11)*T672+Summary!$B$11*V672</f>
        <v/>
      </c>
      <c r="P672">
        <f>IF(B692=0,0,O672/B692)</f>
        <v/>
      </c>
      <c r="Q672" t="n">
        <v>0</v>
      </c>
      <c r="R672" t="n">
        <v>0</v>
      </c>
      <c r="S672">
        <f>IFERROR(O672/N672,0)</f>
        <v/>
      </c>
      <c r="T672" t="n">
        <v>0</v>
      </c>
      <c r="V672" t="n">
        <v>0</v>
      </c>
    </row>
    <row r="673">
      <c r="A673">
        <f>Skills!A17</f>
        <v/>
      </c>
      <c r="B673">
        <f>Skills!B17</f>
        <v/>
      </c>
      <c r="C673">
        <f>Inputs!$B$3&gt;=10</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Skills!G17*IF(Skills!H17&gt;0,Skills!I17/Skills!H17,1)</f>
        <v/>
      </c>
      <c r="H673">
        <f>1-(1-Skills!J17/100)^Skills!K17</f>
        <v/>
      </c>
      <c r="I673" t="inlineStr">
        <is>
          <t>1</t>
        </is>
      </c>
      <c r="J673" t="inlineStr"/>
      <c r="K673" t="inlineStr"/>
      <c r="L673" t="inlineStr"/>
      <c r="M673" t="inlineStr"/>
      <c r="N673" t="inlineStr"/>
      <c r="O673">
        <f>(1-Summary!$B$11)*T673+Summary!$B$11*V673</f>
        <v/>
      </c>
      <c r="P673">
        <f>IF(B692=0,0,O673/B692)</f>
        <v/>
      </c>
      <c r="Q673" t="n">
        <v>0</v>
      </c>
      <c r="R673" t="n">
        <v>0</v>
      </c>
      <c r="S673">
        <f>IFERROR(O673/N673,0)</f>
        <v/>
      </c>
      <c r="T673" t="n">
        <v>0</v>
      </c>
      <c r="V673" t="n">
        <v>0</v>
      </c>
    </row>
    <row r="674">
      <c r="A674">
        <f>Skills!A18</f>
        <v/>
      </c>
      <c r="B674">
        <f>Skills!B18</f>
        <v/>
      </c>
      <c r="C674">
        <f>Inputs!$B$3&gt;=33</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Skills!G18*IF(Skills!H18&gt;0,Skills!I18/Skills!H18,1)</f>
        <v/>
      </c>
      <c r="H674">
        <f>1-(1-Skills!J18/100)^Skills!K18</f>
        <v/>
      </c>
      <c r="I674" t="inlineStr">
        <is>
          <t>1</t>
        </is>
      </c>
      <c r="J674" t="inlineStr"/>
      <c r="K674" t="inlineStr"/>
      <c r="L674" t="inlineStr"/>
      <c r="M674" t="inlineStr"/>
      <c r="N674" t="inlineStr"/>
      <c r="O674">
        <f>(1-Summary!$B$11)*T674+Summary!$B$11*V674</f>
        <v/>
      </c>
      <c r="P674">
        <f>IF(B692=0,0,O674/B692)</f>
        <v/>
      </c>
      <c r="Q674" t="n">
        <v>0</v>
      </c>
      <c r="R674" t="n">
        <v>0</v>
      </c>
      <c r="S674">
        <f>IFERROR(O674/N674,0)</f>
        <v/>
      </c>
      <c r="T674" t="n">
        <v>0</v>
      </c>
      <c r="V674" t="n">
        <v>0</v>
      </c>
    </row>
    <row r="675">
      <c r="A675">
        <f>Skills!A19</f>
        <v/>
      </c>
      <c r="B675">
        <f>Skills!B19</f>
        <v/>
      </c>
      <c r="C675">
        <f>Inputs!$B$3&gt;=40</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Skills!G19*IF(Skills!H19&gt;0,Skills!I19/Skills!H19,1)</f>
        <v/>
      </c>
      <c r="H675">
        <f>1-(1-Skills!J19/100)^Skills!K19</f>
        <v/>
      </c>
      <c r="I675" t="inlineStr">
        <is>
          <t>1</t>
        </is>
      </c>
      <c r="J675" t="inlineStr"/>
      <c r="K675" t="inlineStr"/>
      <c r="L675" t="inlineStr"/>
      <c r="M675" t="inlineStr"/>
      <c r="N675" t="inlineStr"/>
      <c r="O675">
        <f>(1-Summary!$B$11)*T675+Summary!$B$11*V675</f>
        <v/>
      </c>
      <c r="P675">
        <f>IF(B692=0,0,O675/B692)</f>
        <v/>
      </c>
      <c r="Q675" t="n">
        <v>0</v>
      </c>
      <c r="R675" t="n">
        <v>0</v>
      </c>
      <c r="S675">
        <f>IFERROR(O675/N675,0)</f>
        <v/>
      </c>
      <c r="T675" t="n">
        <v>0</v>
      </c>
      <c r="V675" t="n">
        <v>0</v>
      </c>
    </row>
    <row r="676">
      <c r="A676">
        <f>Skills!A20</f>
        <v/>
      </c>
      <c r="B676">
        <f>Skills!B20</f>
        <v/>
      </c>
      <c r="C676">
        <f>Inputs!$B$3&gt;=43</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Skills!G20*IF(Skills!H20&gt;0,Skills!I20/Skills!H20,1)</f>
        <v/>
      </c>
      <c r="H676">
        <f>1-(1-Skills!J20/100)^Skills!K20</f>
        <v/>
      </c>
      <c r="I676" t="inlineStr">
        <is>
          <t>1</t>
        </is>
      </c>
      <c r="J676" t="inlineStr"/>
      <c r="K676" t="inlineStr"/>
      <c r="L676" t="inlineStr"/>
      <c r="M676" t="inlineStr"/>
      <c r="N676" t="inlineStr"/>
      <c r="O676">
        <f>(1-Summary!$B$11)*T676+Summary!$B$11*V676</f>
        <v/>
      </c>
      <c r="P676">
        <f>IF(B692=0,0,O676/B692)</f>
        <v/>
      </c>
      <c r="Q676" t="n">
        <v>0</v>
      </c>
      <c r="R676" t="n">
        <v>0</v>
      </c>
      <c r="S676">
        <f>IFERROR(O676/N676,0)</f>
        <v/>
      </c>
      <c r="T676" t="n">
        <v>0</v>
      </c>
      <c r="V676" t="n">
        <v>0</v>
      </c>
    </row>
    <row r="677">
      <c r="A677">
        <f>Skills!A21</f>
        <v/>
      </c>
      <c r="B677">
        <f>Skills!B21</f>
        <v/>
      </c>
      <c r="C677">
        <f>Inputs!$B$3&gt;=38</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Skills!G21*IF(Skills!H21&gt;0,Skills!I21/Skills!H21,1)</f>
        <v/>
      </c>
      <c r="H677">
        <f>1-(1-Skills!J21/100)^Skills!K21</f>
        <v/>
      </c>
      <c r="I677" t="inlineStr">
        <is>
          <t>1</t>
        </is>
      </c>
      <c r="J677" t="inlineStr"/>
      <c r="K677" t="inlineStr"/>
      <c r="L677" t="inlineStr"/>
      <c r="M677" t="inlineStr"/>
      <c r="N677" t="inlineStr"/>
      <c r="O677">
        <f>(1-Summary!$B$11)*T677+Summary!$B$11*V677</f>
        <v/>
      </c>
      <c r="P677">
        <f>IF(B692=0,0,O677/B692)</f>
        <v/>
      </c>
      <c r="Q677" t="n">
        <v>0</v>
      </c>
      <c r="R677" t="n">
        <v>0</v>
      </c>
      <c r="S677">
        <f>IFERROR(O677/N677,0)</f>
        <v/>
      </c>
      <c r="T677" t="n">
        <v>0</v>
      </c>
      <c r="V677" t="n">
        <v>0</v>
      </c>
    </row>
    <row r="678">
      <c r="A678">
        <f>Skills!A22</f>
        <v/>
      </c>
      <c r="B678">
        <f>Skills!B22</f>
        <v/>
      </c>
      <c r="C678">
        <f>Inputs!$B$3&gt;=75</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Skills!G22*IF(Skills!H22&gt;0,Skills!I22/Skills!H22,1)</f>
        <v/>
      </c>
      <c r="H678">
        <f>1-(1-Skills!J22/100)^Skills!K22</f>
        <v/>
      </c>
      <c r="I678" t="inlineStr">
        <is>
          <t>1</t>
        </is>
      </c>
      <c r="J678" t="inlineStr"/>
      <c r="K678" t="inlineStr"/>
      <c r="L678" t="inlineStr"/>
      <c r="M678" t="inlineStr"/>
      <c r="N678" t="inlineStr"/>
      <c r="O678">
        <f>(1-Summary!$B$11)*T678+Summary!$B$11*V678</f>
        <v/>
      </c>
      <c r="P678">
        <f>IF(B692=0,0,O678/B692)</f>
        <v/>
      </c>
      <c r="Q678" t="n">
        <v>0</v>
      </c>
      <c r="R678" t="n">
        <v>0</v>
      </c>
      <c r="S678">
        <f>IFERROR(O678/N678,0)</f>
        <v/>
      </c>
      <c r="T678" t="n">
        <v>0</v>
      </c>
      <c r="V678" t="n">
        <v>0</v>
      </c>
    </row>
    <row r="679">
      <c r="A679">
        <f>Skills!A23</f>
        <v/>
      </c>
      <c r="B679">
        <f>Skills!B23</f>
        <v/>
      </c>
      <c r="C679">
        <f>TRUE</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Skills!G23*IF(Skills!H23&gt;0,Skills!I23/Skills!H23,1)</f>
        <v/>
      </c>
      <c r="H679">
        <f>1-(1-Skills!J23/100)^Skills!K23</f>
        <v/>
      </c>
      <c r="I679" t="inlineStr">
        <is>
          <t>1</t>
        </is>
      </c>
      <c r="J679" t="inlineStr"/>
      <c r="K679" t="inlineStr"/>
      <c r="L679" t="inlineStr"/>
      <c r="M679" t="inlineStr"/>
      <c r="N679" t="inlineStr"/>
      <c r="O679">
        <f>(1-Summary!$B$11)*T679+Summary!$B$11*V679</f>
        <v/>
      </c>
      <c r="P679">
        <f>IF(B692=0,0,O679/B692)</f>
        <v/>
      </c>
      <c r="Q679">
        <f>IFERROR(1/(IF(Inputs!$B$38="pvp",15,MAX(0.1,Skills!D23-IF(Skills!E23=TRUE,Inputs!$B$32,0)))*(1-IF(AND(ArtifactsInput!$M$27,Inputs!$B$4="Chapter Hunt"),CHOOSE(ArtifactsInput!$N$27+1,20,24,28,32,36,40),0)/100)),0)</f>
        <v/>
      </c>
      <c r="R679">
        <f>IF(AND(Inputs!$B$38&lt;&gt;"pvp",Inputs!$B$43&gt;0),IF(Inputs!$B$43&lt;=0,0,(INT(Inputs!$B$43/(IF(Inputs!$B$38="pvp",15,MAX(0.1,Skills!D23-IF(Skills!E23=TRUE,Inputs!$B$32,0)))*(1-IF(AND(ArtifactsInput!$M$27,Inputs!$B$4="Chapter Hunt"),CHOOSE(ArtifactsInput!$N$27+1,20,24,28,32,36,40),0)/100)))+1)),0)</f>
        <v/>
      </c>
      <c r="S679">
        <f>IFERROR(O679/N679,0)</f>
        <v/>
      </c>
      <c r="T679" t="n">
        <v>0</v>
      </c>
      <c r="V679" t="n">
        <v>0</v>
      </c>
    </row>
    <row r="681">
      <c r="A681" t="inlineStr">
        <is>
          <t>Attack% Bucket Multiplier</t>
        </is>
      </c>
      <c r="B681">
        <f>(1+(((C669=TRUE)*F669*5/7)+((C675=TRUE)*(F675-Calc!F19))+(IF(ArtifactsInput!$M$21,CHOOSE(ArtifactsInput!$N$21+1,25,30,35,40,45,50)*(IF(OR(Inputs!$B$4="Chapter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2">
      <c r="A682" t="inlineStr">
        <is>
          <t>Global Crit Rate Bonus %</t>
        </is>
      </c>
      <c r="B682" t="n">
        <v>0</v>
      </c>
    </row>
    <row r="683">
      <c r="A683" t="inlineStr">
        <is>
          <t>Attack Speed Buff Bonus % (Nimble Feet, duty-cycle averaged)</t>
        </is>
      </c>
      <c r="B683">
        <f>((C679=TRUE)*F679*IF(AND(Inputs!$B$38&lt;&gt;"pvp",Inputs!$B$43&gt;0),(((R679-1)*(Skills!T23*(1+Inputs!$B$34/100))+MIN((Skills!T23*(1+Inputs!$B$34/100)),MAX(0,Inputs!$B$43-((R679-1)*Skills!D23))))/Inputs!$B$43),IF(Inputs!$B$38="pvp",MIN((Skills!T23*(1+Inputs!$B$34/100)),15)/15,(Skills!T23*(1+Inputs!$B$34/100))/Skills!D23)))</f>
        <v/>
      </c>
    </row>
    <row r="684">
      <c r="A684" t="inlineStr">
        <is>
          <t>Actions Per Second</t>
        </is>
      </c>
      <c r="B684">
        <f>1+MIN(150,150*(1-(1-(Inputs!$B$11+((C673=TRUE)*(F673-Calc!F17))+((C674=TRUE)*(F674-Calc!F18)))/150)*(1-B683/150)))/100</f>
        <v/>
      </c>
    </row>
    <row r="685">
      <c r="A685" t="inlineStr">
        <is>
          <t>Skill + Buff Cast Rate</t>
        </is>
      </c>
      <c r="B685">
        <f>IF(AND(Inputs!$B$38&lt;&gt;"pvp",Inputs!$B$43&gt;0),SUMPRODUCT((Skills!E2:E23=TRUE)*(C658:C679=TRUE)*R658:R679*Skills!F2:F23)/Inputs!$B$43,SUMPRODUCT((Skills!E2:E23=TRUE)*(C658:C679=TRUE)*Q658:Q679*Skills!F2:F23))</f>
        <v/>
      </c>
    </row>
    <row r="686">
      <c r="A686" t="inlineStr">
        <is>
          <t>Hook Bomber Casts Per Second</t>
        </is>
      </c>
      <c r="B686">
        <f>MAX(0,B684-B685)</f>
        <v/>
      </c>
    </row>
    <row r="687">
      <c r="A687" t="inlineStr">
        <is>
          <t>Global Critical Damage Bonus % (unused)</t>
        </is>
      </c>
      <c r="B687" t="n">
        <v>0</v>
      </c>
    </row>
    <row r="688">
      <c r="A688" t="inlineStr">
        <is>
          <t>Global Final Damage Bonus % (Serpent Scale + Crossbones + Time Leap + Speed Infusion)</t>
        </is>
      </c>
      <c r="B688">
        <f>((C661=TRUE)*F661*((10+IF(Inputs!$B$3&gt;=94,5,0))/((10+IF(Inputs!$B$3&gt;=94,5,0))+5/(B686*(1+IF(Inputs!$B$3&gt;=104,1,0))))))+((C670=TRUE)*F670*IF(AND(Inputs!$B$38&lt;&gt;"pvp",Inputs!$B$43&gt;0),(((R670-1)*(Skills!T14*(1+Inputs!$B$34/100))+MIN((Skills!T14*(1+Inputs!$B$34/100)),MAX(0,Inputs!$B$43-((R670-1)*Skills!D14))))/Inputs!$B$43),IF(Inputs!$B$38="pvp",MIN((Skills!T14*(1+Inputs!$B$34/100)),15)/15,(Skills!T14*(1+Inputs!$B$34/100))/Skills!D14)))+((C671=TRUE)*F671*IF(AND(Inputs!$B$38&lt;&gt;"pvp",Inputs!$B$43&gt;0),(((R671-1)*(Skills!T15*(1+Inputs!$B$34/100))+MIN((Skills!T15*(1+Inputs!$B$34/100)),MAX(0,Inputs!$B$43-((R671-1)*Skills!D15))))/Inputs!$B$43),IF(Inputs!$B$38="pvp",MIN((Skills!T15*(1+Inputs!$B$34/100)),15)/15,(Skills!T15*(1+Inputs!$B$34/100))/Skills!D15)))+((Inputs!$B$3&gt;=110)*20*(B684-1)*IF(Inputs!$B$38="pvp",MIN((15*(1+Inputs!$B$34/100)),15)/15,(15*(1+Inputs!$B$34/100))/35))</f>
        <v/>
      </c>
    </row>
    <row r="689">
      <c r="A689" t="inlineStr">
        <is>
          <t>Buff-Casting Startup Delay (s, fixed-duration only)</t>
        </is>
      </c>
      <c r="B689">
        <f>IF(AND(Inputs!$B$38&lt;&gt;"pvp",Inputs!$B$43&gt;0),SUMPRODUCT((Skills!T2:T23&gt;0)*(Skills!E2:E23=TRUE)*(C658:C679=TRUE))/B684,0)</f>
        <v/>
      </c>
    </row>
    <row r="690">
      <c r="A690" t="inlineStr">
        <is>
          <t>Boss-Only Total DPS (this block's swept value)</t>
        </is>
      </c>
      <c r="B690">
        <f>SUM(T658:T679)</f>
        <v/>
      </c>
    </row>
    <row r="691">
      <c r="A691" t="inlineStr">
        <is>
          <t>Normal-Only Total DPS (this block's swept value)</t>
        </is>
      </c>
      <c r="B691">
        <f>SUM(V658:V679)</f>
        <v/>
      </c>
    </row>
    <row r="692">
      <c r="A692" s="6" t="inlineStr">
        <is>
          <t>TOTAL DPS</t>
        </is>
      </c>
      <c r="B692" s="6">
        <f>SUM(O658:O679)</f>
        <v/>
      </c>
    </row>
    <row r="695">
      <c r="A695" s="6" t="inlineStr">
        <is>
          <t>Stat: Skill Level Bonus — 1st Job</t>
        </is>
      </c>
    </row>
    <row r="696">
      <c r="A696" s="5" t="inlineStr">
        <is>
          <t>Key</t>
        </is>
      </c>
      <c r="B696" s="5" t="inlineStr">
        <is>
          <t>Name</t>
        </is>
      </c>
      <c r="C696" s="5" t="inlineStr">
        <is>
          <t>Unlocked</t>
        </is>
      </c>
      <c r="D696" s="5" t="inlineStr">
        <is>
          <t>InputLevel</t>
        </is>
      </c>
      <c r="E696" s="5" t="inlineStr">
        <is>
          <t>Factor</t>
        </is>
      </c>
      <c r="F696" s="5" t="inlineStr">
        <is>
          <t>CoefficientPercent</t>
        </is>
      </c>
      <c r="G696" s="5" t="inlineStr">
        <is>
          <t>EffectiveHits</t>
        </is>
      </c>
      <c r="H696" s="5" t="inlineStr">
        <is>
          <t>ProcProbability</t>
        </is>
      </c>
      <c r="I696" s="5" t="inlineStr">
        <is>
          <t>MapleHeroMultiplier</t>
        </is>
      </c>
      <c r="J696" s="5" t="inlineStr">
        <is>
          <t>BaseDamage</t>
        </is>
      </c>
      <c r="K696" s="5" t="inlineStr">
        <is>
          <t>BaseHitDamage</t>
        </is>
      </c>
      <c r="L696" s="5" t="inlineStr">
        <is>
          <t>NonCritAvg</t>
        </is>
      </c>
      <c r="M696" s="5" t="inlineStr">
        <is>
          <t>CritAvg</t>
        </is>
      </c>
      <c r="N696" s="5" t="inlineStr">
        <is>
          <t>ExpectedDamage(perHit)</t>
        </is>
      </c>
      <c r="O696" s="5" t="inlineStr">
        <is>
          <t>DPS</t>
        </is>
      </c>
      <c r="P696" s="5" t="inlineStr">
        <is>
          <t>% of Total</t>
        </is>
      </c>
      <c r="Q696" s="5" t="inlineStr">
        <is>
          <t>InvCooldown</t>
        </is>
      </c>
      <c r="R696" s="5" t="inlineStr">
        <is>
          <t>CastsInFight</t>
        </is>
      </c>
      <c r="S696" s="5" t="inlineStr">
        <is>
          <t>HitRate(perSec)</t>
        </is>
      </c>
      <c r="U696" t="inlineStr">
        <is>
          <t>helpers</t>
        </is>
      </c>
    </row>
    <row r="697">
      <c r="A697">
        <f>Skills!A2</f>
        <v/>
      </c>
      <c r="B697">
        <f>Skills!B2</f>
        <v/>
      </c>
      <c r="C697">
        <f>Inputs!$B$3&gt;=100</f>
        <v/>
      </c>
      <c r="D697" t="inlineStr"/>
      <c r="E697" t="inlineStr"/>
      <c r="F697">
        <f>U699+Skills!O2</f>
        <v/>
      </c>
      <c r="G697">
        <f>Skills!G2*IF(Skills!H2&gt;0,Skills!I2/Skills!H2,1)</f>
        <v/>
      </c>
      <c r="H697">
        <f>1-(1-Skills!J2/100)^Skills!K2</f>
        <v/>
      </c>
      <c r="I697" t="inlineStr">
        <is>
          <t>1</t>
        </is>
      </c>
      <c r="J697">
        <f>((Inputs!$B$6*(1+Inputs!$B$7/100))+(((Inputs!$B$12*(1+Inputs!$B$13/100))-(Inputs!$B$12*(1+Inputs!$B$13/100)))+0.25*(Inputs!$B$14-Inputs!$B$14))*(1+Inputs!$B$7/100))*(F697/100)</f>
        <v/>
      </c>
      <c r="K697">
        <f>J697*(1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697)</f>
        <v/>
      </c>
      <c r="L697">
        <f>K697*(MIN(Inputs!$B$22+((C715=TRUE)*(F715-Calc!F20)),(Inputs!$B$23+0+(IF(ArtifactsInput!$M$15,CHOOSE(ArtifactsInput!$N$15+1,25,30,35,40,45,50)/100*(Inputs!$B$11-Inputs!$B$11),0))))/100+(Inputs!$B$23+0+(IF(ArtifactsInput!$M$15,CHOOSE(ArtifactsInput!$N$15+1,25,30,35,40,45,50)/100*(Inputs!$B$11-Inputs!$B$11),0)))/100)/2</f>
        <v/>
      </c>
      <c r="M697">
        <f>L697*(1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7">
        <f>L697*(1-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697*(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7">
        <f>(1-Summary!$B$11)*T697+Summary!$B$11*V697</f>
        <v/>
      </c>
      <c r="P697">
        <f>IF(B731=0,0,O697/B731)</f>
        <v/>
      </c>
      <c r="Q697" t="n">
        <v>0</v>
      </c>
      <c r="R697" t="n">
        <v>0</v>
      </c>
      <c r="S697">
        <f>IFERROR(O697/N697,0)</f>
        <v/>
      </c>
      <c r="T697">
        <f>IF(C697,(Skills!G2*N697*B725)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697*(1-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697*(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697*(1-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697*(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7">
        <f>MAX(0,(Inputs!$B$3-100)*3)+Inputs!$B$28+Inputs!$B$29</f>
        <v/>
      </c>
      <c r="V697">
        <f>IF(C697,(Skills!G2*N697*B725)*IF(Inputs!$B$38="pvp",1,(1+(Inputs!$B$21+Skills!Q2+(IF(ArtifactsInput!$M$33,CHOOSE(ArtifactsInput!$N$33+1,30,36,42,48,54,60),0))+(IF(AND(ArtifactsInput!$M$35,Inputs!$B$4&lt;&gt;"Chapter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8">
      <c r="A698">
        <f>Skills!A3</f>
        <v/>
      </c>
      <c r="B698">
        <f>Skills!B3</f>
        <v/>
      </c>
      <c r="C698">
        <f>Inputs!$B$3&gt;=35</f>
        <v/>
      </c>
      <c r="D698">
        <f>IF(Skills!C3=1,60+(Inputs!$B$25+1)+Inputs!$B$29,IF(Skills!C3=2,90+Inputs!$B$26+Inputs!$B$29,IF(Skills!C3=3,120+Inputs!$B$27+Inputs!$B$29,MAX(0,(Inputs!$B$3-100)*3)+Inputs!$B$28+Inputs!$B$29)))</f>
        <v/>
      </c>
      <c r="E698">
        <f>INDEX(FactorTable!$B$2:$Y$301, MATCH(ROUND(MIN(300,MAX(1,D698)),0), FactorTable!$A$2:$A$301,0), Skills!M3+1)</f>
        <v/>
      </c>
      <c r="F698">
        <f>IF(Skills!N3=TRUE,(Skills!L3/10)*(E698/1000),Skills!L3/10)+Skills!O3</f>
        <v/>
      </c>
      <c r="G698">
        <f>Skills!G3*IF(Skills!H3&gt;0,Skills!I3/Skills!H3,1)</f>
        <v/>
      </c>
      <c r="H698">
        <f>1-(1-Skills!J3/100)^Skills!K3</f>
        <v/>
      </c>
      <c r="I698" t="inlineStr">
        <is>
          <t>1</t>
        </is>
      </c>
      <c r="J698">
        <f>((Inputs!$B$6*(1+Inputs!$B$7/100))+(((Inputs!$B$12*(1+Inputs!$B$13/100))-(Inputs!$B$12*(1+Inputs!$B$13/100)))+0.25*(Inputs!$B$14-Inputs!$B$14))*(1+Inputs!$B$7/100))*(F698/100)</f>
        <v/>
      </c>
      <c r="K698">
        <f>J698*(1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698)</f>
        <v/>
      </c>
      <c r="L698">
        <f>K698*(MIN(Inputs!$B$22+((C715=TRUE)*(F715-Calc!F20)),(Inputs!$B$23+0+(IF(ArtifactsInput!$M$15,CHOOSE(ArtifactsInput!$N$15+1,25,30,35,40,45,50)/100*(Inputs!$B$11-Inputs!$B$11),0))))/100+(Inputs!$B$23+0+(IF(ArtifactsInput!$M$15,CHOOSE(ArtifactsInput!$N$15+1,25,30,35,40,45,50)/100*(Inputs!$B$11-Inputs!$B$11),0)))/100)/2</f>
        <v/>
      </c>
      <c r="M698">
        <f>L698*(1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8">
        <f>L698*(1-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698*(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8">
        <f>(1-Summary!$B$11)*T698+Summary!$B$11*V698</f>
        <v/>
      </c>
      <c r="P698">
        <f>IF(B731=0,0,O698/B731)</f>
        <v/>
      </c>
      <c r="Q698" t="n">
        <v>0</v>
      </c>
      <c r="R698" t="n">
        <v>0</v>
      </c>
      <c r="S698">
        <f>IFERROR(O698/N698,0)</f>
        <v/>
      </c>
      <c r="T698">
        <f>IF(C698,(Skills!G3*H698*N698*B725)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698*(1-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698*(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698*(1-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698*(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8">
        <f>INDEX(FactorTable!$B$2:$Y$301, MATCH(ROUND(MIN(300,MAX(1,U697)),0), FactorTable!$A$2:$A$301,0), 22)</f>
        <v/>
      </c>
      <c r="V698">
        <f>IF(C698,(Skills!G3*H698*N698*B725)*IF(Inputs!$B$38="pvp",1,(1+(Inputs!$B$21+Skills!Q3+(IF(ArtifactsInput!$M$33,CHOOSE(ArtifactsInput!$N$33+1,30,36,42,48,54,60),0))+(IF(AND(ArtifactsInput!$M$35,Inputs!$B$4&lt;&gt;"Chapter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99">
      <c r="A699">
        <f>Skills!A4</f>
        <v/>
      </c>
      <c r="B699">
        <f>Skills!B4</f>
        <v/>
      </c>
      <c r="C699">
        <f>Inputs!$B$3&gt;=60</f>
        <v/>
      </c>
      <c r="D699">
        <f>IF(Skills!C4=1,60+(Inputs!$B$25+1)+Inputs!$B$29,IF(Skills!C4=2,90+Inputs!$B$26+Inputs!$B$29,IF(Skills!C4=3,120+Inputs!$B$27+Inputs!$B$29,MAX(0,(Inputs!$B$3-100)*3)+Inputs!$B$28+Inputs!$B$29)))</f>
        <v/>
      </c>
      <c r="E699">
        <f>INDEX(FactorTable!$B$2:$Y$301, MATCH(ROUND(MIN(300,MAX(1,D699)),0), FactorTable!$A$2:$A$301,0), Skills!M4+1)</f>
        <v/>
      </c>
      <c r="F699">
        <f>IF(Skills!N4=TRUE,(Skills!L4/10)*(E699/1000),Skills!L4/10)+Skills!O4</f>
        <v/>
      </c>
      <c r="G699">
        <f>Skills!G4*IF(Skills!H4&gt;0,Skills!I4/Skills!H4,1)</f>
        <v/>
      </c>
      <c r="H699">
        <f>1-(1-Skills!J4/100)^Skills!K4</f>
        <v/>
      </c>
      <c r="I699" t="inlineStr">
        <is>
          <t>1</t>
        </is>
      </c>
      <c r="J699">
        <f>((Inputs!$B$6*(1+Inputs!$B$7/100))+(((Inputs!$B$12*(1+Inputs!$B$13/100))-(Inputs!$B$12*(1+Inputs!$B$13/100)))+0.25*(Inputs!$B$14-Inputs!$B$14))*(1+Inputs!$B$7/100))*(F699/100)</f>
        <v/>
      </c>
      <c r="K699">
        <f>J699*(1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707=TRUE,F707,0)/100)*(1+(IF(Skills!A4="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699)</f>
        <v/>
      </c>
      <c r="L699">
        <f>K699*(MIN(Inputs!$B$22+((C715=TRUE)*(F715-Calc!F20)),(Inputs!$B$23+0+(IF(ArtifactsInput!$M$15,CHOOSE(ArtifactsInput!$N$15+1,25,30,35,40,45,50)/100*(Inputs!$B$11-Inputs!$B$11),0))))/100+(Inputs!$B$23+0+(IF(ArtifactsInput!$M$15,CHOOSE(ArtifactsInput!$N$15+1,25,30,35,40,45,50)/100*(Inputs!$B$11-Inputs!$B$11),0)))/100)/2</f>
        <v/>
      </c>
      <c r="M699">
        <f>L699*(1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99">
        <f>L699*(1-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699*(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99">
        <f>(1-Summary!$B$11)*T699+Summary!$B$11*V699</f>
        <v/>
      </c>
      <c r="P699">
        <f>IF(B731=0,0,O699/B731)</f>
        <v/>
      </c>
      <c r="Q699" t="n">
        <v>0</v>
      </c>
      <c r="R699" t="n">
        <v>0</v>
      </c>
      <c r="S699">
        <f>IFERROR(O699/N699,0)</f>
        <v/>
      </c>
      <c r="T699">
        <f>IF(C699,(Skills!G4*H699*N699*B725)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699*(1-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699*(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699*(1-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699*(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99">
        <f>290*U698/1000</f>
        <v/>
      </c>
      <c r="V699">
        <f>IF(C699,(Skills!G4*H699*N699*B725)*IF(Inputs!$B$38="pvp",1,(1+(Inputs!$B$21+Skills!Q4+(IF(ArtifactsInput!$M$33,CHOOSE(ArtifactsInput!$N$33+1,30,36,42,48,54,60),0))+(IF(AND(ArtifactsInput!$M$35,Inputs!$B$4&lt;&gt;"Chapter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0">
      <c r="A700">
        <f>Skills!A5</f>
        <v/>
      </c>
      <c r="B700">
        <f>Skills!B5</f>
        <v/>
      </c>
      <c r="C700">
        <f>Inputs!$B$3&gt;=60</f>
        <v/>
      </c>
      <c r="D700">
        <f>IF(Skills!C5=1,60+(Inputs!$B$25+1)+Inputs!$B$29,IF(Skills!C5=2,90+Inputs!$B$26+Inputs!$B$29,IF(Skills!C5=3,120+Inputs!$B$27+Inputs!$B$29,MAX(0,(Inputs!$B$3-100)*3)+Inputs!$B$28+Inputs!$B$29)))</f>
        <v/>
      </c>
      <c r="E700">
        <f>INDEX(FactorTable!$B$2:$Y$301, MATCH(ROUND(MIN(300,MAX(1,D700)),0), FactorTable!$A$2:$A$301,0), Skills!M5+1)</f>
        <v/>
      </c>
      <c r="F700">
        <f>IF(Skills!N5=TRUE,(Skills!L5/10)*(E700/1000),Skills!L5/10)+Skills!O5</f>
        <v/>
      </c>
      <c r="G700">
        <f>Skills!G5*IF(Skills!H5&gt;0,Skills!I5/Skills!H5,1)</f>
        <v/>
      </c>
      <c r="H700">
        <f>1-(1-Skills!J5/100)^Skills!K5</f>
        <v/>
      </c>
      <c r="I700" t="inlineStr">
        <is>
          <t>1</t>
        </is>
      </c>
      <c r="J700" t="inlineStr"/>
      <c r="K700" t="inlineStr"/>
      <c r="L700" t="inlineStr"/>
      <c r="M700" t="inlineStr"/>
      <c r="N700" t="inlineStr"/>
      <c r="O700">
        <f>(1-Summary!$B$11)*T700+Summary!$B$11*V700</f>
        <v/>
      </c>
      <c r="P700">
        <f>IF(B731=0,0,O700/B731)</f>
        <v/>
      </c>
      <c r="Q700" t="n">
        <v>0</v>
      </c>
      <c r="R700" t="n">
        <v>0</v>
      </c>
      <c r="S700">
        <f>IFERROR(O700/N700,0)</f>
        <v/>
      </c>
      <c r="T700" t="n">
        <v>0</v>
      </c>
      <c r="V700" t="n">
        <v>0</v>
      </c>
    </row>
    <row r="701">
      <c r="A701">
        <f>Skills!A6</f>
        <v/>
      </c>
      <c r="B701">
        <f>Skills!B6</f>
        <v/>
      </c>
      <c r="C701">
        <f>Inputs!$B$3&gt;=63</f>
        <v/>
      </c>
      <c r="D701">
        <f>IF(Skills!C6=1,60+(Inputs!$B$25+1)+Inputs!$B$29,IF(Skills!C6=2,90+Inputs!$B$26+Inputs!$B$29,IF(Skills!C6=3,120+Inputs!$B$27+Inputs!$B$29,MAX(0,(Inputs!$B$3-100)*3)+Inputs!$B$28+Inputs!$B$29)))</f>
        <v/>
      </c>
      <c r="E701">
        <f>INDEX(FactorTable!$B$2:$Y$301, MATCH(ROUND(MIN(300,MAX(1,D701)),0), FactorTable!$A$2:$A$301,0), Skills!M6+1)</f>
        <v/>
      </c>
      <c r="F701">
        <f>IF(Skills!N6=TRUE,(Skills!L6/10)*(E701/1000),Skills!L6/10)+Skills!O6</f>
        <v/>
      </c>
      <c r="G701">
        <f>Skills!G6*IF(Skills!H6&gt;0,Skills!I6/Skills!H6,1)</f>
        <v/>
      </c>
      <c r="H701">
        <f>1-(1-Skills!J6/100)^Skills!K6</f>
        <v/>
      </c>
      <c r="I701" t="inlineStr">
        <is>
          <t>1</t>
        </is>
      </c>
      <c r="J701">
        <f>((Inputs!$B$6*(1+Inputs!$B$7/100))+(((Inputs!$B$12*(1+Inputs!$B$13/100))-(Inputs!$B$12*(1+Inputs!$B$13/100)))+0.25*(Inputs!$B$14-Inputs!$B$14))*(1+Inputs!$B$7/100))*(F701/100)</f>
        <v/>
      </c>
      <c r="K701">
        <f>J701*(1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707=TRUE,F707,0)/100)*(1+(IF(Skills!A6="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701)</f>
        <v/>
      </c>
      <c r="L701">
        <f>K701*(MIN(Inputs!$B$22+((C715=TRUE)*(F715-Calc!F20)),(Inputs!$B$23+0+(IF(ArtifactsInput!$M$15,CHOOSE(ArtifactsInput!$N$15+1,25,30,35,40,45,50)/100*(Inputs!$B$11-Inputs!$B$11),0))))/100+(Inputs!$B$23+0+(IF(ArtifactsInput!$M$15,CHOOSE(ArtifactsInput!$N$15+1,25,30,35,40,45,50)/100*(Inputs!$B$11-Inputs!$B$11),0)))/100)/2</f>
        <v/>
      </c>
      <c r="M701">
        <f>L701*(1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1">
        <f>L701*(1-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1">
        <f>(1-Summary!$B$11)*T701+Summary!$B$11*V701</f>
        <v/>
      </c>
      <c r="P701">
        <f>IF(B731=0,0,O701/B731)</f>
        <v/>
      </c>
      <c r="Q701">
        <f>IFERROR(1/(IF(Inputs!$B$38="pvp",15,MAX(0.1,Skills!D6-IF(Skills!E6=TRUE,Inputs!$B$32,0)))*(1-IF(AND(ArtifactsInput!$M$27,Inputs!$B$4="Chapter Hunt"),CHOOSE(ArtifactsInput!$N$27+1,20,24,28,32,36,40),0)/100)),0)</f>
        <v/>
      </c>
      <c r="R701">
        <f>IF(AND(Inputs!$B$38&lt;&gt;"pvp",Inputs!$B$43&gt;0),IF(MAX(0,Inputs!$B$43-B728)&lt;=0,0,(INT(MAX(0,Inputs!$B$43-B728)/(IF(Inputs!$B$38="pvp",15,MAX(0.1,Skills!D6-IF(Skills!E6=TRUE,Inputs!$B$32,0)))*(1-IF(AND(ArtifactsInput!$M$27,Inputs!$B$4="Chapter Hunt"),CHOOSE(ArtifactsInput!$N$27+1,20,24,28,32,36,40),0)/100)))+1)),0)</f>
        <v/>
      </c>
      <c r="S701">
        <f>IFERROR(O701/N701,0)</f>
        <v/>
      </c>
      <c r="T701">
        <f>IF(C701,(H701*N701*IF(AND(Inputs!$B$38&lt;&gt;"pvp",Inputs!$B$43&gt;0),((Skills!G6*((R701-1)*IF(Skills!H6&gt;0,Skills!I6/Skills!H6,1)+IF(Skills!H6&gt;0,MIN(Skills!I6,MAX(0,MAX(0,Inputs!$B$43-B728)-((R701-1)*(IF(Inputs!$B$38="pvp",15,MAX(0.1,Skills!D6-IF(Skills!E6=TRUE,Inputs!$B$32,0)))*(1-IF(AND(ArtifactsInput!$M$27,Inputs!$B$4="Chapter Hunt"),CHOOSE(ArtifactsInput!$N$27+1,20,24,28,32,36,40),0)/100)))))/Skills!H6,1)))/Inputs!$B$43),G701*Q701)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701*(1-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701*(1-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1">
        <f>IF(C701,(H701*N701*IF(AND(Inputs!$B$38&lt;&gt;"pvp",Inputs!$B$43&gt;0),((Skills!G6*((R701-1)*IF(Skills!H6&gt;0,Skills!I6/Skills!H6,1)+IF(Skills!H6&gt;0,MIN(Skills!I6,MAX(0,MAX(0,Inputs!$B$43-B728)-((R701-1)*(IF(Inputs!$B$38="pvp",15,MAX(0.1,Skills!D6-IF(Skills!E6=TRUE,Inputs!$B$32,0)))*(1-IF(AND(ArtifactsInput!$M$27,Inputs!$B$4="Chapter Hunt"),CHOOSE(ArtifactsInput!$N$27+1,20,24,28,32,36,40),0)/100)))))/Skills!H6,1)))/Inputs!$B$43),G701*Q701))*IF(Inputs!$B$38="pvp",1,(1+(Inputs!$B$21+Skills!Q6+(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2">
      <c r="A702">
        <f>Skills!A7</f>
        <v/>
      </c>
      <c r="B702">
        <f>Skills!B7</f>
        <v/>
      </c>
      <c r="C702">
        <f>Inputs!$B$3&gt;=100</f>
        <v/>
      </c>
      <c r="D702">
        <f>IF(Skills!C7=1,60+(Inputs!$B$25+1)+Inputs!$B$29,IF(Skills!C7=2,90+Inputs!$B$26+Inputs!$B$29,IF(Skills!C7=3,120+Inputs!$B$27+Inputs!$B$29,MAX(0,(Inputs!$B$3-100)*3)+Inputs!$B$28+Inputs!$B$29)))</f>
        <v/>
      </c>
      <c r="E702">
        <f>INDEX(FactorTable!$B$2:$Y$301, MATCH(ROUND(MIN(300,MAX(1,D702)),0), FactorTable!$A$2:$A$301,0), Skills!M7+1)</f>
        <v/>
      </c>
      <c r="F702">
        <f>IF(Skills!N7=TRUE,(Skills!L7/10)*(E702/1000),Skills!L7/10)+Skills!O7</f>
        <v/>
      </c>
      <c r="G702">
        <f>Skills!G7*IF(Skills!H7&gt;0,Skills!I7/Skills!H7,1)</f>
        <v/>
      </c>
      <c r="H702">
        <f>1-(1-Skills!J7/100)^Skills!K7</f>
        <v/>
      </c>
      <c r="I702" t="inlineStr">
        <is>
          <t>1</t>
        </is>
      </c>
      <c r="J702">
        <f>((Inputs!$B$6*(1+Inputs!$B$7/100))+(((Inputs!$B$12*(1+Inputs!$B$13/100))-(Inputs!$B$12*(1+Inputs!$B$13/100)))+0.25*(Inputs!$B$14-Inputs!$B$14))*(1+Inputs!$B$7/100))*(F702/100)</f>
        <v/>
      </c>
      <c r="K702">
        <f>J702*(1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702)</f>
        <v/>
      </c>
      <c r="L702">
        <f>K702*(MIN(Inputs!$B$22+((C715=TRUE)*(F715-Calc!F20)),(Inputs!$B$23+0+(IF(ArtifactsInput!$M$15,CHOOSE(ArtifactsInput!$N$15+1,25,30,35,40,45,50)/100*(Inputs!$B$11-Inputs!$B$11),0))))/100+(Inputs!$B$23+0+(IF(ArtifactsInput!$M$15,CHOOSE(ArtifactsInput!$N$15+1,25,30,35,40,45,50)/100*(Inputs!$B$11-Inputs!$B$11),0)))/100)/2</f>
        <v/>
      </c>
      <c r="M702">
        <f>L702*(1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2">
        <f>L702*(1-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702*(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2">
        <f>(1-Summary!$B$11)*T702+Summary!$B$11*V702</f>
        <v/>
      </c>
      <c r="P702">
        <f>IF(B731=0,0,O702/B731)</f>
        <v/>
      </c>
      <c r="Q702">
        <f>IFERROR(1/(IF(Inputs!$B$38="pvp",15,MAX(0.1,Skills!D7-IF(Skills!E7=TRUE,Inputs!$B$32,0)))*(1-IF(AND(ArtifactsInput!$M$27,Inputs!$B$4="Chapter Hunt"),CHOOSE(ArtifactsInput!$N$27+1,20,24,28,32,36,40),0)/100)),0)</f>
        <v/>
      </c>
      <c r="R702">
        <f>IF(AND(Inputs!$B$38&lt;&gt;"pvp",Inputs!$B$43&gt;0),IF(MAX(0,Inputs!$B$43-B728)&lt;=0,0,(INT(MAX(0,Inputs!$B$43-B728)/(IF(Inputs!$B$38="pvp",15,MAX(0.1,Skills!D7-IF(Skills!E7=TRUE,Inputs!$B$32,0)))*(1-IF(AND(ArtifactsInput!$M$27,Inputs!$B$4="Chapter Hunt"),CHOOSE(ArtifactsInput!$N$27+1,20,24,28,32,36,40),0)/100)))+1)),0)</f>
        <v/>
      </c>
      <c r="S702">
        <f>IFERROR(O702/N702,0)</f>
        <v/>
      </c>
      <c r="T702">
        <f>IF(C702,(H702*N702*IF(AND(Inputs!$B$38&lt;&gt;"pvp",Inputs!$B$43&gt;0),((Skills!G7*((R702-1)*IF(Skills!H7&gt;0,Skills!I7/Skills!H7,1)+IF(Skills!H7&gt;0,MIN(Skills!I7,MAX(0,MAX(0,Inputs!$B$43-B728)-((R702-1)*(IF(Inputs!$B$38="pvp",15,MAX(0.1,Skills!D7-IF(Skills!E7=TRUE,Inputs!$B$32,0)))*(1-IF(AND(ArtifactsInput!$M$27,Inputs!$B$4="Chapter Hunt"),CHOOSE(ArtifactsInput!$N$27+1,20,24,28,32,36,40),0)/100)))))/Skills!H7,1)))/Inputs!$B$43),G702*Q702)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702*(1-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702*(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702*(1-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702*(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2">
        <f>IF(C702,(H702*N702*IF(AND(Inputs!$B$38&lt;&gt;"pvp",Inputs!$B$43&gt;0),((Skills!G7*((R702-1)*IF(Skills!H7&gt;0,Skills!I7/Skills!H7,1)+IF(Skills!H7&gt;0,MIN(Skills!I7,MAX(0,MAX(0,Inputs!$B$43-B728)-((R702-1)*(IF(Inputs!$B$38="pvp",15,MAX(0.1,Skills!D7-IF(Skills!E7=TRUE,Inputs!$B$32,0)))*(1-IF(AND(ArtifactsInput!$M$27,Inputs!$B$4="Chapter Hunt"),CHOOSE(ArtifactsInput!$N$27+1,20,24,28,32,36,40),0)/100)))))/Skills!H7,1)))/Inputs!$B$43),G702*Q702))*IF(Inputs!$B$38="pvp",1,(1+(Inputs!$B$21+Skills!Q7+(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3">
      <c r="A703">
        <f>Skills!A8</f>
        <v/>
      </c>
      <c r="B703">
        <f>Skills!B8</f>
        <v/>
      </c>
      <c r="C703">
        <f>Inputs!$B$3&gt;=110</f>
        <v/>
      </c>
      <c r="D703">
        <f>IF(Skills!C8=1,60+(Inputs!$B$25+1)+Inputs!$B$29,IF(Skills!C8=2,90+Inputs!$B$26+Inputs!$B$29,IF(Skills!C8=3,120+Inputs!$B$27+Inputs!$B$29,MAX(0,(Inputs!$B$3-100)*3)+Inputs!$B$28+Inputs!$B$29)))</f>
        <v/>
      </c>
      <c r="E703">
        <f>INDEX(FactorTable!$B$2:$Y$301, MATCH(ROUND(MIN(300,MAX(1,D703)),0), FactorTable!$A$2:$A$301,0), Skills!M8+1)</f>
        <v/>
      </c>
      <c r="F703">
        <f>IF(Skills!N8=TRUE,(Skills!L8/10)*(E703/1000),Skills!L8/10)+Skills!O8</f>
        <v/>
      </c>
      <c r="G703">
        <f>Skills!G8*IF(Skills!H8&gt;0,Skills!I8/Skills!H8,1)</f>
        <v/>
      </c>
      <c r="H703">
        <f>1-(1-Skills!J8/100)^Skills!K8</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715=TRUE)*(F715-Calc!F20)),(Inputs!$B$23+0+(IF(ArtifactsInput!$M$15,CHOOSE(ArtifactsInput!$N$15+1,25,30,35,40,45,50)/100*(Inputs!$B$11-Inputs!$B$11),0))))/100+(Inputs!$B$23+0+(IF(ArtifactsInput!$M$15,CHOOSE(ArtifactsInput!$N$15+1,25,30,35,40,45,50)/100*(Inputs!$B$11-Inputs!$B$11),0)))/100)/2</f>
        <v/>
      </c>
      <c r="M703">
        <f>L703*(1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IF(B731=0,0,O703/B731)</f>
        <v/>
      </c>
      <c r="Q703">
        <f>IFERROR(1/(IF(Inputs!$B$38="pvp",15,MAX(0.1,Skills!D8-IF(Skills!E8=TRUE,Inputs!$B$32,0)))*(1-IF(AND(ArtifactsInput!$M$27,Inputs!$B$4="Chapter Hunt"),CHOOSE(ArtifactsInput!$N$27+1,20,24,28,32,36,40),0)/100)),0)</f>
        <v/>
      </c>
      <c r="R703">
        <f>IF(AND(Inputs!$B$38&lt;&gt;"pvp",Inputs!$B$43&gt;0),IF(MAX(0,Inputs!$B$43-B728)&lt;=0,0,(INT(MAX(0,Inputs!$B$43-B728)/(IF(Inputs!$B$38="pvp",15,MAX(0.1,Skills!D8-IF(Skills!E8=TRUE,Inputs!$B$32,0)))*(1-IF(AND(ArtifactsInput!$M$27,Inputs!$B$4="Chapter Hunt"),CHOOSE(ArtifactsInput!$N$27+1,20,24,28,32,36,40),0)/100)))+1)),0)</f>
        <v/>
      </c>
      <c r="S703">
        <f>IFERROR(O703/N703,0)</f>
        <v/>
      </c>
      <c r="T703">
        <f>IF(C703,(H703*N703*IF(AND(Inputs!$B$38&lt;&gt;"pvp",Inputs!$B$43&gt;0),((Skills!G8*((R703-1)*IF(Skills!H8&gt;0,Skills!I8/Skills!H8,1)+IF(Skills!H8&gt;0,MIN(Skills!I8,MAX(0,MAX(0,Inputs!$B$43-B728)-((R703-1)*(IF(Inputs!$B$38="pvp",15,MAX(0.1,Skills!D8-IF(Skills!E8=TRUE,Inputs!$B$32,0)))*(1-IF(AND(ArtifactsInput!$M$27,Inputs!$B$4="Chapter Hunt"),CHOOSE(ArtifactsInput!$N$27+1,20,24,28,32,36,40),0)/100)))))/Skills!H8,1)))/Inputs!$B$43),G703*Q703)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3">
        <f>IF(C703,(H703*N703*IF(AND(Inputs!$B$38&lt;&gt;"pvp",Inputs!$B$43&gt;0),((Skills!G8*((R703-1)*IF(Skills!H8&gt;0,Skills!I8/Skills!H8,1)+IF(Skills!H8&gt;0,MIN(Skills!I8,MAX(0,MAX(0,Inputs!$B$43-B728)-((R703-1)*(IF(Inputs!$B$38="pvp",15,MAX(0.1,Skills!D8-IF(Skills!E8=TRUE,Inputs!$B$32,0)))*(1-IF(AND(ArtifactsInput!$M$27,Inputs!$B$4="Chapter Hunt"),CHOOSE(ArtifactsInput!$N$27+1,20,24,28,32,36,40),0)/100)))))/Skills!H8,1)))/Inputs!$B$43),G703*Q703))*IF(Inputs!$B$38="pvp",1,(1+(Inputs!$B$21+Skills!Q8+(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Skills!A9</f>
        <v/>
      </c>
      <c r="B704">
        <f>Skills!B9</f>
        <v/>
      </c>
      <c r="C704">
        <f>Inputs!$B$3&gt;=110</f>
        <v/>
      </c>
      <c r="D704">
        <f>IF(Skills!C9=1,60+(Inputs!$B$25+1)+Inputs!$B$29,IF(Skills!C9=2,90+Inputs!$B$26+Inputs!$B$29,IF(Skills!C9=3,120+Inputs!$B$27+Inputs!$B$29,MAX(0,(Inputs!$B$3-100)*3)+Inputs!$B$28+Inputs!$B$29)))</f>
        <v/>
      </c>
      <c r="E704">
        <f>INDEX(FactorTable!$B$2:$Y$301, MATCH(ROUND(MIN(300,MAX(1,D704)),0), FactorTable!$A$2:$A$301,0), Skills!M9+1)</f>
        <v/>
      </c>
      <c r="F704">
        <f>IF(Skills!N9=TRUE,(Skills!L9/10)*(E704/1000),Skills!L9/10)+Skills!O9</f>
        <v/>
      </c>
      <c r="G704">
        <f>Skills!G9*IF(Skills!H9&gt;0,Skills!I9/Skills!H9,1)</f>
        <v/>
      </c>
      <c r="H704">
        <f>1-(1-Skills!J9/100)^Skills!K9</f>
        <v/>
      </c>
      <c r="I704" t="inlineStr">
        <is>
          <t>1</t>
        </is>
      </c>
      <c r="J704">
        <f>((Inputs!$B$6*(1+Inputs!$B$7/100))+(((Inputs!$B$12*(1+Inputs!$B$13/100))-(Inputs!$B$12*(1+Inputs!$B$13/100)))+0.25*(Inputs!$B$14-Inputs!$B$14))*(1+Inputs!$B$7/100))*(F704/100)</f>
        <v/>
      </c>
      <c r="K704">
        <f>J704*(1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704)</f>
        <v/>
      </c>
      <c r="L704">
        <f>K704*(MIN(Inputs!$B$22+((C715=TRUE)*(F715-Calc!F20)),(Inputs!$B$23+0+(IF(ArtifactsInput!$M$15,CHOOSE(ArtifactsInput!$N$15+1,25,30,35,40,45,50)/100*(Inputs!$B$11-Inputs!$B$11),0))))/100+(Inputs!$B$23+0+(IF(ArtifactsInput!$M$15,CHOOSE(ArtifactsInput!$N$15+1,25,30,35,40,45,50)/100*(Inputs!$B$11-Inputs!$B$11),0)))/100)/2</f>
        <v/>
      </c>
      <c r="M704">
        <f>L704*(1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4">
        <f>L704*(1-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704*(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4">
        <f>(1-Summary!$B$11)*T704+Summary!$B$11*V704</f>
        <v/>
      </c>
      <c r="P704">
        <f>IF(B731=0,0,O704/B731)</f>
        <v/>
      </c>
      <c r="Q704">
        <f>IFERROR(1/(IF(Inputs!$B$38="pvp",15,MAX(0.1,Skills!D9-IF(Skills!E9=TRUE,Inputs!$B$32,0)))*(1-IF(AND(ArtifactsInput!$M$27,Inputs!$B$4="Chapter Hunt"),CHOOSE(ArtifactsInput!$N$27+1,20,24,28,32,36,40),0)/100)),0)</f>
        <v/>
      </c>
      <c r="R704">
        <f>IF(AND(Inputs!$B$38&lt;&gt;"pvp",Inputs!$B$43&gt;0),IF(MAX(0,Inputs!$B$43-B728)&lt;=0,0,(INT(MAX(0,Inputs!$B$43-B728)/(IF(Inputs!$B$38="pvp",15,MAX(0.1,Skills!D9-IF(Skills!E9=TRUE,Inputs!$B$32,0)))*(1-IF(AND(ArtifactsInput!$M$27,Inputs!$B$4="Chapter Hunt"),CHOOSE(ArtifactsInput!$N$27+1,20,24,28,32,36,40),0)/100)))+1)),0)</f>
        <v/>
      </c>
      <c r="S704">
        <f>IFERROR(O704/N704,0)</f>
        <v/>
      </c>
      <c r="T704">
        <f>IF(C704,(H704*N704*IF(AND(Inputs!$B$38&lt;&gt;"pvp",Inputs!$B$43&gt;0),((Skills!G9*((R704-1)*IF(Skills!H9&gt;0,Skills!I9/Skills!H9,1)+IF(Skills!H9&gt;0,MIN(Skills!I9,MAX(0,MAX(0,Inputs!$B$43-B728)-((R704-1)*(IF(Inputs!$B$38="pvp",15,MAX(0.1,Skills!D9-IF(Skills!E9=TRUE,Inputs!$B$32,0)))*(1-IF(AND(ArtifactsInput!$M$27,Inputs!$B$4="Chapter Hunt"),CHOOSE(ArtifactsInput!$N$27+1,20,24,28,32,36,40),0)/100)))))/Skills!H9,1)))/Inputs!$B$43),G704*Q704)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704*(1-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704*(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704*(1-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704*(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4">
        <f>IF(C704,(H704*N704*IF(AND(Inputs!$B$38&lt;&gt;"pvp",Inputs!$B$43&gt;0),((Skills!G9*((R704-1)*IF(Skills!H9&gt;0,Skills!I9/Skills!H9,1)+IF(Skills!H9&gt;0,MIN(Skills!I9,MAX(0,MAX(0,Inputs!$B$43-B728)-((R704-1)*(IF(Inputs!$B$38="pvp",15,MAX(0.1,Skills!D9-IF(Skills!E9=TRUE,Inputs!$B$32,0)))*(1-IF(AND(ArtifactsInput!$M$27,Inputs!$B$4="Chapter Hunt"),CHOOSE(ArtifactsInput!$N$27+1,20,24,28,32,36,40),0)/100)))))/Skills!H9,1)))/Inputs!$B$43),G704*Q704))*IF(Inputs!$B$38="pvp",1,(1+(Inputs!$B$21+Skills!Q9+(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5">
      <c r="A705">
        <f>Skills!A10</f>
        <v/>
      </c>
      <c r="B705">
        <f>Skills!B10</f>
        <v/>
      </c>
      <c r="C705">
        <f>Inputs!$B$3&gt;=103</f>
        <v/>
      </c>
      <c r="D705">
        <f>IF(Skills!C10=1,60+(Inputs!$B$25+1)+Inputs!$B$29,IF(Skills!C10=2,90+Inputs!$B$26+Inputs!$B$29,IF(Skills!C10=3,120+Inputs!$B$27+Inputs!$B$29,MAX(0,(Inputs!$B$3-100)*3)+Inputs!$B$28+Inputs!$B$29)))</f>
        <v/>
      </c>
      <c r="E705">
        <f>INDEX(FactorTable!$B$2:$Y$301, MATCH(ROUND(MIN(300,MAX(1,D705)),0), FactorTable!$A$2:$A$301,0), Skills!M10+1)</f>
        <v/>
      </c>
      <c r="F705">
        <f>IF(Skills!N10=TRUE,(Skills!L10/10)*(E705/1000),Skills!L10/10)+Skills!O10</f>
        <v/>
      </c>
      <c r="G705">
        <f>Skills!G10*IF(Skills!H10&gt;0,Skills!I10/Skills!H10,1)</f>
        <v/>
      </c>
      <c r="H705">
        <f>1-(1-Skills!J10/100)^Skills!K10</f>
        <v/>
      </c>
      <c r="I705" t="inlineStr">
        <is>
          <t>1</t>
        </is>
      </c>
      <c r="J705">
        <f>((Inputs!$B$6*(1+Inputs!$B$7/100))+(((Inputs!$B$12*(1+Inputs!$B$13/100))-(Inputs!$B$12*(1+Inputs!$B$13/100)))+0.25*(Inputs!$B$14-Inputs!$B$14))*(1+Inputs!$B$7/100))*(F705/100)</f>
        <v/>
      </c>
      <c r="K705">
        <f>J705*(1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C715=TRUE)*(F715-Calc!F20)),(Inputs!$B$23+0+(IF(ArtifactsInput!$M$15,CHOOSE(ArtifactsInput!$N$15+1,25,30,35,40,45,50)/100*(Inputs!$B$11-Inputs!$B$11),0))))/100+(Inputs!$B$23+0+(IF(ArtifactsInput!$M$15,CHOOSE(ArtifactsInput!$N$15+1,25,30,35,40,45,50)/100*(Inputs!$B$11-Inputs!$B$11),0)))/100)/2</f>
        <v/>
      </c>
      <c r="M705">
        <f>L705*(1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(1-Summary!$B$11)*T705+Summary!$B$11*V705</f>
        <v/>
      </c>
      <c r="P705">
        <f>IF(B731=0,0,O705/B731)</f>
        <v/>
      </c>
      <c r="Q705">
        <f>IFERROR(1/(IF(Inputs!$B$38="pvp",15,MAX(0.1,Skills!D10-IF(Skills!E10=TRUE,Inputs!$B$32,0)))*(1-IF(AND(ArtifactsInput!$M$27,Inputs!$B$4="Chapter Hunt"),CHOOSE(ArtifactsInput!$N$27+1,20,24,28,32,36,40),0)/100)),0)</f>
        <v/>
      </c>
      <c r="R705">
        <f>IF(AND(Inputs!$B$38&lt;&gt;"pvp",Inputs!$B$43&gt;0),IF(MAX(0,Inputs!$B$43-B728)&lt;=0,0,(INT(MAX(0,Inputs!$B$43-B728)/(IF(Inputs!$B$38="pvp",15,MAX(0.1,Skills!D10-IF(Skills!E10=TRUE,Inputs!$B$32,0)))*(1-IF(AND(ArtifactsInput!$M$27,Inputs!$B$4="Chapter Hunt"),CHOOSE(ArtifactsInput!$N$27+1,20,24,28,32,36,40),0)/100)))+1)),0)</f>
        <v/>
      </c>
      <c r="S705">
        <f>IFERROR(O705/N705,0)</f>
        <v/>
      </c>
      <c r="T705">
        <f>IF(C705,(H705*N705*IF(AND(Inputs!$B$38&lt;&gt;"pvp",Inputs!$B$43&gt;0),((Skills!G10*((R705-1)*IF(Skills!H10&gt;0,Skills!I10/Skills!H10,1)+IF(Skills!H10&gt;0,MIN(Skills!I10,MAX(0,MAX(0,Inputs!$B$43-B728)-((R705-1)*(IF(Inputs!$B$38="pvp",15,MAX(0.1,Skills!D10-IF(Skills!E10=TRUE,Inputs!$B$32,0)))*(1-IF(AND(ArtifactsInput!$M$27,Inputs!$B$4="Chapter Hunt"),CHOOSE(ArtifactsInput!$N$27+1,20,24,28,32,36,40),0)/100)))))/Skills!H10,1)))/Inputs!$B$43),G705*Q705)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705*(1-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5">
        <f>IF(C705,(H705*N705*IF(AND(Inputs!$B$38&lt;&gt;"pvp",Inputs!$B$43&gt;0),((Skills!G10*((R705-1)*IF(Skills!H10&gt;0,Skills!I10/Skills!H10,1)+IF(Skills!H10&gt;0,MIN(Skills!I10,MAX(0,MAX(0,Inputs!$B$43-B728)-((R705-1)*(IF(Inputs!$B$38="pvp",15,MAX(0.1,Skills!D10-IF(Skills!E10=TRUE,Inputs!$B$32,0)))*(1-IF(AND(ArtifactsInput!$M$27,Inputs!$B$4="Chapter Hunt"),CHOOSE(ArtifactsInput!$N$27+1,20,24,28,32,36,40),0)/100)))))/Skills!H10,1)))/Inputs!$B$43),G705*Q705))*IF(Inputs!$B$38="pvp",1,(1+(Inputs!$B$21+Skills!Q10+(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Skills!A11</f>
        <v/>
      </c>
      <c r="B706">
        <f>Skills!B11</f>
        <v/>
      </c>
      <c r="C706">
        <f>Inputs!$B$3&gt;=113</f>
        <v/>
      </c>
      <c r="D706">
        <f>IF(Skills!C11=1,60+(Inputs!$B$25+1)+Inputs!$B$29,IF(Skills!C11=2,90+Inputs!$B$26+Inputs!$B$29,IF(Skills!C11=3,120+Inputs!$B$27+Inputs!$B$29,MAX(0,(Inputs!$B$3-100)*3)+Inputs!$B$28+Inputs!$B$29)))</f>
        <v/>
      </c>
      <c r="E706">
        <f>INDEX(FactorTable!$B$2:$Y$301, MATCH(ROUND(MIN(300,MAX(1,D706)),0), FactorTable!$A$2:$A$301,0), Skills!M11+1)</f>
        <v/>
      </c>
      <c r="F706">
        <f>IF(Skills!N11=TRUE,(Skills!L11/10)*(E706/1000),Skills!L11/10)+Skills!O11</f>
        <v/>
      </c>
      <c r="G706">
        <f>Skills!G11*IF(Skills!H11&gt;0,Skills!I11/Skills!H11,1)</f>
        <v/>
      </c>
      <c r="H706">
        <f>1-(1-Skills!J11/100)^Skills!K11</f>
        <v/>
      </c>
      <c r="I706" t="inlineStr">
        <is>
          <t>1</t>
        </is>
      </c>
      <c r="J706">
        <f>((Inputs!$B$6*(1+Inputs!$B$7/100))+(((Inputs!$B$12*(1+Inputs!$B$13/100))-(Inputs!$B$12*(1+Inputs!$B$13/100)))+0.25*(Inputs!$B$14-Inputs!$B$14))*(1+Inputs!$B$7/100))*(F706/100)</f>
        <v/>
      </c>
      <c r="K706">
        <f>J706*(1+((Inputs!$B$12*(1+Inputs!$B$13/100))*0.01+Inputs!$B$14*0.0025)/100)*(1+Inputs!$B$15/100)*(1+Inputs!$B$16/100)*(5000/(6000+Inputs!$B$42*(1-(100*(1-(1-(Inputs!$B$19+0)/100)*(1-CHOOSE(ArtifactsInput!$N$40+1,5,6,7,8,9,10)/100)^(ArtifactsInput!$M$40-ArtifactsInput!$M$40)))/100)))*(1+(Inputs!$B$24+((C717=TRUE)*(F717-Calc!F22))+B727)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716=TRUE)*(F716-Calc!F21))+(((IF(AND(ArtifactsInput!$M$42,((Inputs!$B$9+((C711=TRUE)*(F711-Calc!F16))+B721+(ArtifactsInput!$M$24-ArtifactsInput!$M$24)*CHOOSE(ArtifactsInput!$N$24+1,10,12,14,16,18,20)+IF(ArtifactsInput!$M$10,CHOOSE(ArtifactsInput!$N$10+1,15,18,21,24,27,30)*(IF(Inputs!$B$38="pvp",MIN(15,15)/15,IF(AND(Inputs!$B$38&lt;&gt;"pvp",Inputs!$B$43&gt;0),MIN(15,Inputs!$B$43)/(Inputs!$B$43),0))),0)))&gt;=100),MIN(100,((Inputs!$B$9+((C711=TRUE)*(F711-Calc!F16))+B721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711=TRUE)*(F711-Calc!F16))+B721+(ArtifactsInput!$M$24-ArtifactsInput!$M$24)*CHOOSE(ArtifactsInput!$N$24+1,10,12,14,16,18,20)+IF(ArtifactsInput!$M$10,CHOOSE(ArtifactsInput!$N$10+1,15,18,21,24,27,30)*(IF(Inputs!$B$38="pvp",MIN(15,15)/15,IF(AND(Inputs!$B$38&lt;&gt;"pvp",Inputs!$B$43&gt;0),MIN(15,Inputs!$B$43)/(Inputs!$B$43),0))),0)))&gt;=100),CHOOSE(ArtifactsInput!$N$42+1,40,48,56,64,72,80),0))))/100)*((1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706)</f>
        <v/>
      </c>
      <c r="L706">
        <f>K706*(MIN(Inputs!$B$22+((C715=TRUE)*(F715-Calc!F20)),(Inputs!$B$23+0+(IF(ArtifactsInput!$M$15,CHOOSE(ArtifactsInput!$N$15+1,25,30,35,40,45,50)/100*(Inputs!$B$11-Inputs!$B$11),0))))/100+(Inputs!$B$23+0+(IF(ArtifactsInput!$M$15,CHOOSE(ArtifactsInput!$N$15+1,25,30,35,40,45,50)/100*(Inputs!$B$11-Inputs!$B$11),0)))/100)/2</f>
        <v/>
      </c>
      <c r="M706">
        <f>L706*(1+(Inputs!$B$10+0+B726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6">
        <f>L706*(1-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706*(MIN((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6">
        <f>(1-Summary!$B$11)*T706+Summary!$B$11*V706</f>
        <v/>
      </c>
      <c r="P706">
        <f>IF(B731=0,0,O706/B731)</f>
        <v/>
      </c>
      <c r="Q706">
        <f>IFERROR(1/(IF(Inputs!$B$38="pvp",15,MAX(0.1,Skills!D11-IF(Skills!E11=TRUE,Inputs!$B$32,0)))*(1-IF(AND(ArtifactsInput!$M$27,Inputs!$B$4="Chapter Hunt"),CHOOSE(ArtifactsInput!$N$27+1,20,24,28,32,36,40),0)/100)),0)</f>
        <v/>
      </c>
      <c r="R706">
        <f>IF(AND(Inputs!$B$38&lt;&gt;"pvp",Inputs!$B$43&gt;0),IF(MAX(0,Inputs!$B$43-B728)&lt;=0,0,(INT(MAX(0,Inputs!$B$43-B728)/(IF(Inputs!$B$38="pvp",15,MAX(0.1,Skills!D11-IF(Skills!E11=TRUE,Inputs!$B$32,0)))*(1-IF(AND(ArtifactsInput!$M$27,Inputs!$B$4="Chapter Hunt"),CHOOSE(ArtifactsInput!$N$27+1,20,24,28,32,36,40),0)/100)))+1)),0)</f>
        <v/>
      </c>
      <c r="S706">
        <f>IFERROR(O706/N706,0)</f>
        <v/>
      </c>
      <c r="T706">
        <f>IF(C706,(H706*N706*IF(AND(Inputs!$B$38&lt;&gt;"pvp",Inputs!$B$43&gt;0),((Skills!G11*((R706-1)*IF(Skills!H11&gt;0,Skills!I11/Skills!H11,1)+IF(Skills!H11&gt;0,MIN(Skills!I11,MAX(0,MAX(0,Inputs!$B$43-B728)-((R706-1)*(IF(Inputs!$B$38="pvp",15,MAX(0.1,Skills!D11-IF(Skills!E11=TRUE,Inputs!$B$32,0)))*(1-IF(AND(ArtifactsInput!$M$27,Inputs!$B$4="Chapter Hunt"),CHOOSE(ArtifactsInput!$N$27+1,20,24,28,32,36,40),0)/100)))))/Skills!H11,1)))/Inputs!$B$43),G706*Q706)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706*(1-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706*(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706*(1-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706*(MIN(100,(Inputs!$B$9+((C711=TRUE)*(F711-Calc!F16))+B721+(ArtifactsInput!$M$24-ArtifactsInput!$M$24)*CHOOSE(ArtifactsInput!$N$24+1,10,12,14,16,18,20)+(IF(AND(ArtifactsInput!$M$42,((Inputs!$B$9+((C711=TRUE)*(F711-Calc!F16))+B721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6">
        <f>IF(C706,(H706*N706*IF(AND(Inputs!$B$38&lt;&gt;"pvp",Inputs!$B$43&gt;0),((Skills!G11*((R706-1)*IF(Skills!H11&gt;0,Skills!I11/Skills!H11,1)+IF(Skills!H11&gt;0,MIN(Skills!I11,MAX(0,MAX(0,Inputs!$B$43-B728)-((R706-1)*(IF(Inputs!$B$38="pvp",15,MAX(0.1,Skills!D11-IF(Skills!E11=TRUE,Inputs!$B$32,0)))*(1-IF(AND(ArtifactsInput!$M$27,Inputs!$B$4="Chapter Hunt"),CHOOSE(ArtifactsInput!$N$27+1,20,24,28,32,36,40),0)/100)))))/Skills!H11,1)))/Inputs!$B$43),G706*Q706))*IF(Inputs!$B$38="pvp",1,(1+(Inputs!$B$21+Skills!Q11+(IF(ArtifactsInput!$M$33,CHOOSE(ArtifactsInput!$N$33+1,30,36,42,48,54,60),0))+(IF(AND(ArtifactsInput!$M$35,Inputs!$B$4&lt;&gt;"Chapter Hunt"),CHOOSE(ArtifactsInput!$N$35+1,15,18,21,24,27,30)*(1-EXP(-(0.2*B723)*5)),0)+IF(AND(ArtifactsInput!$M$22,Inputs!$B$4&lt;&gt;"Chapter Hunt"),CHOOSE(ArtifactsInput!$N$22+1,10,12,14,16,18,20)*((0*(((0.15*B723*5))^0/1)+1*(((0.15*B723*5))^1/1)+2*(((0.15*B723*5))^2/2)+3*(((0.15*B723*5))^3/6)+4*(((0.15*B723*5))^4/24)+5*(((0.15*B723*5))^5/120))/((((0.15*B723*5))^0/1)+(((0.15*B723*5))^1/1)+(((0.15*B723*5))^2/2)+(((0.15*B723*5))^3/6)+(((0.15*B723*5))^4/24)+(((0.15*B723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7">
      <c r="A707">
        <f>Skills!A12</f>
        <v/>
      </c>
      <c r="B707">
        <f>Skills!B12</f>
        <v/>
      </c>
      <c r="C707">
        <f>Inputs!$B$3&gt;=100</f>
        <v/>
      </c>
      <c r="D707">
        <f>IF(Skills!C12=1,60+(Inputs!$B$25+1)+Inputs!$B$29,IF(Skills!C12=2,90+Inputs!$B$26+Inputs!$B$29,IF(Skills!C12=3,120+Inputs!$B$27+Inputs!$B$29,MAX(0,(Inputs!$B$3-100)*3)+Inputs!$B$28+Inputs!$B$29)))</f>
        <v/>
      </c>
      <c r="E707">
        <f>INDEX(FactorTable!$B$2:$Y$301, MATCH(ROUND(MIN(300,MAX(1,D707)),0), FactorTable!$A$2:$A$301,0), Skills!M12+1)</f>
        <v/>
      </c>
      <c r="F707">
        <f>IF(Skills!N12=TRUE,(Skills!L12/10)*(E707/1000),Skills!L12/10)+Skills!O12</f>
        <v/>
      </c>
      <c r="G707" t="inlineStr"/>
      <c r="H707" t="inlineStr"/>
      <c r="I707" t="inlineStr">
        <is>
          <t>1</t>
        </is>
      </c>
      <c r="J707" t="inlineStr"/>
      <c r="K707" t="inlineStr"/>
      <c r="L707" t="inlineStr"/>
      <c r="M707" t="inlineStr"/>
      <c r="N707" t="inlineStr"/>
      <c r="O707" t="inlineStr"/>
      <c r="P707" t="inlineStr"/>
      <c r="Q707" t="inlineStr"/>
      <c r="R707" t="inlineStr"/>
      <c r="S707" t="inlineStr"/>
      <c r="T707" t="inlineStr"/>
      <c r="V707" t="inlineStr"/>
    </row>
    <row r="708">
      <c r="A708">
        <f>Skills!A13</f>
        <v/>
      </c>
      <c r="B708">
        <f>Skills!B13</f>
        <v/>
      </c>
      <c r="C708">
        <f>Inputs!$B$3&gt;=66</f>
        <v/>
      </c>
      <c r="D708">
        <f>IF(Skills!C13=1,60+(Inputs!$B$25+1)+Inputs!$B$29,IF(Skills!C13=2,90+Inputs!$B$26+Inputs!$B$29,IF(Skills!C13=3,120+Inputs!$B$27+Inputs!$B$29,MAX(0,(Inputs!$B$3-100)*3)+Inputs!$B$28+Inputs!$B$29)))</f>
        <v/>
      </c>
      <c r="E708">
        <f>INDEX(FactorTable!$B$2:$Y$301, MATCH(ROUND(MIN(300,MAX(1,D708)),0), FactorTable!$A$2:$A$301,0), Skills!M13+1)</f>
        <v/>
      </c>
      <c r="F708">
        <f>IF(Skills!N13=TRUE,(Skills!L13/10)*(E708/1000),Skills!L13/10)+Skills!O13</f>
        <v/>
      </c>
      <c r="G708">
        <f>Skills!G13*IF(Skills!H13&gt;0,Skills!I13/Skills!H13,1)</f>
        <v/>
      </c>
      <c r="H708">
        <f>1-(1-Skills!J13/100)^Skills!K13</f>
        <v/>
      </c>
      <c r="I708" t="inlineStr">
        <is>
          <t>1</t>
        </is>
      </c>
      <c r="J708" t="inlineStr"/>
      <c r="K708" t="inlineStr"/>
      <c r="L708" t="inlineStr"/>
      <c r="M708" t="inlineStr"/>
      <c r="N708" t="inlineStr"/>
      <c r="O708">
        <f>(1-Summary!$B$11)*T708+Summary!$B$11*V708</f>
        <v/>
      </c>
      <c r="P708">
        <f>IF(B731=0,0,O708/B731)</f>
        <v/>
      </c>
      <c r="Q708" t="n">
        <v>0</v>
      </c>
      <c r="R708" t="n">
        <v>0</v>
      </c>
      <c r="S708">
        <f>IFERROR(O708/N708,0)</f>
        <v/>
      </c>
      <c r="T708" t="n">
        <v>0</v>
      </c>
      <c r="V708" t="n">
        <v>0</v>
      </c>
    </row>
    <row r="709">
      <c r="A709">
        <f>Skills!A14</f>
        <v/>
      </c>
      <c r="B709">
        <f>Skills!B14</f>
        <v/>
      </c>
      <c r="C709">
        <f>Inputs!$B$3&gt;=107</f>
        <v/>
      </c>
      <c r="D709">
        <f>IF(Skills!C14=1,60+(Inputs!$B$25+1)+Inputs!$B$29,IF(Skills!C14=2,90+Inputs!$B$26+Inputs!$B$29,IF(Skills!C14=3,120+Inputs!$B$27+Inputs!$B$29,MAX(0,(Inputs!$B$3-100)*3)+Inputs!$B$28+Inputs!$B$29)))</f>
        <v/>
      </c>
      <c r="E709">
        <f>INDEX(FactorTable!$B$2:$Y$301, MATCH(ROUND(MIN(300,MAX(1,D709)),0), FactorTable!$A$2:$A$301,0), Skills!M14+1)</f>
        <v/>
      </c>
      <c r="F709">
        <f>IF(Skills!N14=TRUE,(Skills!L14/10)*(E709/1000),Skills!L14/10)+Skills!O14</f>
        <v/>
      </c>
      <c r="G709">
        <f>Skills!G14*IF(Skills!H14&gt;0,Skills!I14/Skills!H14,1)</f>
        <v/>
      </c>
      <c r="H709">
        <f>1-(1-Skills!J14/100)^Skills!K14</f>
        <v/>
      </c>
      <c r="I709" t="inlineStr">
        <is>
          <t>1</t>
        </is>
      </c>
      <c r="J709" t="inlineStr"/>
      <c r="K709" t="inlineStr"/>
      <c r="L709" t="inlineStr"/>
      <c r="M709" t="inlineStr"/>
      <c r="N709" t="inlineStr"/>
      <c r="O709">
        <f>(1-Summary!$B$11)*T709+Summary!$B$11*V709</f>
        <v/>
      </c>
      <c r="P709">
        <f>IF(B731=0,0,O709/B731)</f>
        <v/>
      </c>
      <c r="Q709">
        <f>IFERROR(1/(IF(Inputs!$B$38="pvp",15,MAX(0.1,Skills!D14-IF(Skills!E14=TRUE,Inputs!$B$32,0)))*(1-IF(AND(ArtifactsInput!$M$27,Inputs!$B$4="Chapter Hunt"),CHOOSE(ArtifactsInput!$N$27+1,20,24,28,32,36,40),0)/100)),0)</f>
        <v/>
      </c>
      <c r="R709">
        <f>IF(AND(Inputs!$B$38&lt;&gt;"pvp",Inputs!$B$43&gt;0),IF(Inputs!$B$43&lt;=0,0,(INT(Inputs!$B$43/(IF(Inputs!$B$38="pvp",15,MAX(0.1,Skills!D14-IF(Skills!E14=TRUE,Inputs!$B$32,0)))*(1-IF(AND(ArtifactsInput!$M$27,Inputs!$B$4="Chapter Hunt"),CHOOSE(ArtifactsInput!$N$27+1,20,24,28,32,36,40),0)/100)))+1)),0)</f>
        <v/>
      </c>
      <c r="S709">
        <f>IFERROR(O709/N709,0)</f>
        <v/>
      </c>
      <c r="T709" t="n">
        <v>0</v>
      </c>
      <c r="V709" t="n">
        <v>0</v>
      </c>
    </row>
    <row r="710">
      <c r="A710">
        <f>Skills!A15</f>
        <v/>
      </c>
      <c r="B710">
        <f>Skills!B15</f>
        <v/>
      </c>
      <c r="C710">
        <f>Inputs!$B$3&gt;=115</f>
        <v/>
      </c>
      <c r="D710">
        <f>IF(Skills!C15=1,60+(Inputs!$B$25+1)+Inputs!$B$29,IF(Skills!C15=2,90+Inputs!$B$26+Inputs!$B$29,IF(Skills!C15=3,120+Inputs!$B$27+Inputs!$B$29,MAX(0,(Inputs!$B$3-100)*3)+Inputs!$B$28+Inputs!$B$29)))</f>
        <v/>
      </c>
      <c r="E710">
        <f>INDEX(FactorTable!$B$2:$Y$301, MATCH(ROUND(MIN(300,MAX(1,D710)),0), FactorTable!$A$2:$A$301,0), Skills!M15+1)</f>
        <v/>
      </c>
      <c r="F710">
        <f>IF(Skills!N15=TRUE,(Skills!L15/10)*(E710/1000),Skills!L15/10)+Skills!O15</f>
        <v/>
      </c>
      <c r="G710">
        <f>Skills!G15*IF(Skills!H15&gt;0,Skills!I15/Skills!H15,1)</f>
        <v/>
      </c>
      <c r="H710">
        <f>1-(1-Skills!J15/100)^Skills!K15</f>
        <v/>
      </c>
      <c r="I710" t="inlineStr">
        <is>
          <t>1</t>
        </is>
      </c>
      <c r="J710" t="inlineStr"/>
      <c r="K710" t="inlineStr"/>
      <c r="L710" t="inlineStr"/>
      <c r="M710" t="inlineStr"/>
      <c r="N710" t="inlineStr"/>
      <c r="O710">
        <f>(1-Summary!$B$11)*T710+Summary!$B$11*V710</f>
        <v/>
      </c>
      <c r="P710">
        <f>IF(B731=0,0,O710/B731)</f>
        <v/>
      </c>
      <c r="Q710">
        <f>IFERROR(1/(IF(Inputs!$B$38="pvp",15,MAX(0.1,Skills!D15-IF(Skills!E15=TRUE,Inputs!$B$32,0)))*(1-IF(AND(ArtifactsInput!$M$27,Inputs!$B$4="Chapter Hunt"),CHOOSE(ArtifactsInput!$N$27+1,20,24,28,32,36,40),0)/100)),0)</f>
        <v/>
      </c>
      <c r="R710">
        <f>IF(AND(Inputs!$B$38&lt;&gt;"pvp",Inputs!$B$43&gt;0),IF(Inputs!$B$43&lt;=0,0,(INT(Inputs!$B$43/(IF(Inputs!$B$38="pvp",15,MAX(0.1,Skills!D15-IF(Skills!E15=TRUE,Inputs!$B$32,0)))*(1-IF(AND(ArtifactsInput!$M$27,Inputs!$B$4="Chapter Hunt"),CHOOSE(ArtifactsInput!$N$27+1,20,24,28,32,36,40),0)/100)))+1)),0)</f>
        <v/>
      </c>
      <c r="S710">
        <f>IFERROR(O710/N710,0)</f>
        <v/>
      </c>
      <c r="T710" t="n">
        <v>0</v>
      </c>
      <c r="V710" t="n">
        <v>0</v>
      </c>
    </row>
    <row r="711">
      <c r="A711">
        <f>Skills!A16</f>
        <v/>
      </c>
      <c r="B711">
        <f>Skills!B16</f>
        <v/>
      </c>
      <c r="C711">
        <f>Inputs!$B$3&gt;=15</f>
        <v/>
      </c>
      <c r="D711">
        <f>IF(Skills!C16=1,60+(Inputs!$B$25+1)+Inputs!$B$29,IF(Skills!C16=2,90+Inputs!$B$26+Inputs!$B$29,IF(Skills!C16=3,120+Inputs!$B$27+Inputs!$B$29,MAX(0,(Inputs!$B$3-100)*3)+Inputs!$B$28+Inputs!$B$29)))</f>
        <v/>
      </c>
      <c r="E711">
        <f>INDEX(FactorTable!$B$2:$Y$301, MATCH(ROUND(MIN(300,MAX(1,D711)),0), FactorTable!$A$2:$A$301,0), Skills!M16+1)</f>
        <v/>
      </c>
      <c r="F711">
        <f>IF(Skills!N16=TRUE,(Skills!L16/10)*(E711/1000),Skills!L16/10)+Skills!O16</f>
        <v/>
      </c>
      <c r="G711">
        <f>Skills!G16*IF(Skills!H16&gt;0,Skills!I16/Skills!H16,1)</f>
        <v/>
      </c>
      <c r="H711">
        <f>1-(1-Skills!J16/100)^Skills!K16</f>
        <v/>
      </c>
      <c r="I711" t="inlineStr">
        <is>
          <t>1</t>
        </is>
      </c>
      <c r="J711" t="inlineStr"/>
      <c r="K711" t="inlineStr"/>
      <c r="L711" t="inlineStr"/>
      <c r="M711" t="inlineStr"/>
      <c r="N711" t="inlineStr"/>
      <c r="O711">
        <f>(1-Summary!$B$11)*T711+Summary!$B$11*V711</f>
        <v/>
      </c>
      <c r="P711">
        <f>IF(B731=0,0,O711/B731)</f>
        <v/>
      </c>
      <c r="Q711" t="n">
        <v>0</v>
      </c>
      <c r="R711" t="n">
        <v>0</v>
      </c>
      <c r="S711">
        <f>IFERROR(O711/N711,0)</f>
        <v/>
      </c>
      <c r="T711" t="n">
        <v>0</v>
      </c>
      <c r="V711" t="n">
        <v>0</v>
      </c>
    </row>
    <row r="712">
      <c r="A712">
        <f>Skills!A17</f>
        <v/>
      </c>
      <c r="B712">
        <f>Skills!B17</f>
        <v/>
      </c>
      <c r="C712">
        <f>Inputs!$B$3&gt;=10</f>
        <v/>
      </c>
      <c r="D712">
        <f>IF(Skills!C17=1,60+(Inputs!$B$25+1)+Inputs!$B$29,IF(Skills!C17=2,90+Inputs!$B$26+Inputs!$B$29,IF(Skills!C17=3,120+Inputs!$B$27+Inputs!$B$29,MAX(0,(Inputs!$B$3-100)*3)+Inputs!$B$28+Inputs!$B$29)))</f>
        <v/>
      </c>
      <c r="E712">
        <f>INDEX(FactorTable!$B$2:$Y$301, MATCH(ROUND(MIN(300,MAX(1,D712)),0), FactorTable!$A$2:$A$301,0), Skills!M17+1)</f>
        <v/>
      </c>
      <c r="F712">
        <f>IF(Skills!N17=TRUE,(Skills!L17/10)*(E712/1000),Skills!L17/10)+Skills!O17</f>
        <v/>
      </c>
      <c r="G712">
        <f>Skills!G17*IF(Skills!H17&gt;0,Skills!I17/Skills!H17,1)</f>
        <v/>
      </c>
      <c r="H712">
        <f>1-(1-Skills!J17/100)^Skills!K17</f>
        <v/>
      </c>
      <c r="I712" t="inlineStr">
        <is>
          <t>1</t>
        </is>
      </c>
      <c r="J712" t="inlineStr"/>
      <c r="K712" t="inlineStr"/>
      <c r="L712" t="inlineStr"/>
      <c r="M712" t="inlineStr"/>
      <c r="N712" t="inlineStr"/>
      <c r="O712">
        <f>(1-Summary!$B$11)*T712+Summary!$B$11*V712</f>
        <v/>
      </c>
      <c r="P712">
        <f>IF(B731=0,0,O712/B731)</f>
        <v/>
      </c>
      <c r="Q712" t="n">
        <v>0</v>
      </c>
      <c r="R712" t="n">
        <v>0</v>
      </c>
      <c r="S712">
        <f>IFERROR(O712/N712,0)</f>
        <v/>
      </c>
      <c r="T712" t="n">
        <v>0</v>
      </c>
      <c r="V712" t="n">
        <v>0</v>
      </c>
    </row>
    <row r="713">
      <c r="A713">
        <f>Skills!A18</f>
        <v/>
      </c>
      <c r="B713">
        <f>Skills!B18</f>
        <v/>
      </c>
      <c r="C713">
        <f>Inputs!$B$3&gt;=33</f>
        <v/>
      </c>
      <c r="D713">
        <f>IF(Skills!C18=1,60+(Inputs!$B$25+1)+Inputs!$B$29,IF(Skills!C18=2,90+Inputs!$B$26+Inputs!$B$29,IF(Skills!C18=3,120+Inputs!$B$27+Inputs!$B$29,MAX(0,(Inputs!$B$3-100)*3)+Inputs!$B$28+Inputs!$B$29)))</f>
        <v/>
      </c>
      <c r="E713">
        <f>INDEX(FactorTable!$B$2:$Y$301, MATCH(ROUND(MIN(300,MAX(1,D713)),0), FactorTable!$A$2:$A$301,0), Skills!M18+1)</f>
        <v/>
      </c>
      <c r="F713">
        <f>IF(Skills!N18=TRUE,(Skills!L18/10)*(E713/1000),Skills!L18/10)+Skills!O18</f>
        <v/>
      </c>
      <c r="G713">
        <f>Skills!G18*IF(Skills!H18&gt;0,Skills!I18/Skills!H18,1)</f>
        <v/>
      </c>
      <c r="H713">
        <f>1-(1-Skills!J18/100)^Skills!K18</f>
        <v/>
      </c>
      <c r="I713" t="inlineStr">
        <is>
          <t>1</t>
        </is>
      </c>
      <c r="J713" t="inlineStr"/>
      <c r="K713" t="inlineStr"/>
      <c r="L713" t="inlineStr"/>
      <c r="M713" t="inlineStr"/>
      <c r="N713" t="inlineStr"/>
      <c r="O713">
        <f>(1-Summary!$B$11)*T713+Summary!$B$11*V713</f>
        <v/>
      </c>
      <c r="P713">
        <f>IF(B731=0,0,O713/B731)</f>
        <v/>
      </c>
      <c r="Q713" t="n">
        <v>0</v>
      </c>
      <c r="R713" t="n">
        <v>0</v>
      </c>
      <c r="S713">
        <f>IFERROR(O713/N713,0)</f>
        <v/>
      </c>
      <c r="T713" t="n">
        <v>0</v>
      </c>
      <c r="V713" t="n">
        <v>0</v>
      </c>
    </row>
    <row r="714">
      <c r="A714">
        <f>Skills!A19</f>
        <v/>
      </c>
      <c r="B714">
        <f>Skills!B19</f>
        <v/>
      </c>
      <c r="C714">
        <f>Inputs!$B$3&gt;=40</f>
        <v/>
      </c>
      <c r="D714">
        <f>IF(Skills!C19=1,60+(Inputs!$B$25+1)+Inputs!$B$29,IF(Skills!C19=2,90+Inputs!$B$26+Inputs!$B$29,IF(Skills!C19=3,120+Inputs!$B$27+Inputs!$B$29,MAX(0,(Inputs!$B$3-100)*3)+Inputs!$B$28+Inputs!$B$29)))</f>
        <v/>
      </c>
      <c r="E714">
        <f>INDEX(FactorTable!$B$2:$Y$301, MATCH(ROUND(MIN(300,MAX(1,D714)),0), FactorTable!$A$2:$A$301,0), Skills!M19+1)</f>
        <v/>
      </c>
      <c r="F714">
        <f>IF(Skills!N19=TRUE,(Skills!L19/10)*(E714/1000),Skills!L19/10)+Skills!O19</f>
        <v/>
      </c>
      <c r="G714">
        <f>Skills!G19*IF(Skills!H19&gt;0,Skills!I19/Skills!H19,1)</f>
        <v/>
      </c>
      <c r="H714">
        <f>1-(1-Skills!J19/100)^Skills!K19</f>
        <v/>
      </c>
      <c r="I714" t="inlineStr">
        <is>
          <t>1</t>
        </is>
      </c>
      <c r="J714" t="inlineStr"/>
      <c r="K714" t="inlineStr"/>
      <c r="L714" t="inlineStr"/>
      <c r="M714" t="inlineStr"/>
      <c r="N714" t="inlineStr"/>
      <c r="O714">
        <f>(1-Summary!$B$11)*T714+Summary!$B$11*V714</f>
        <v/>
      </c>
      <c r="P714">
        <f>IF(B731=0,0,O714/B731)</f>
        <v/>
      </c>
      <c r="Q714" t="n">
        <v>0</v>
      </c>
      <c r="R714" t="n">
        <v>0</v>
      </c>
      <c r="S714">
        <f>IFERROR(O714/N714,0)</f>
        <v/>
      </c>
      <c r="T714" t="n">
        <v>0</v>
      </c>
      <c r="V714" t="n">
        <v>0</v>
      </c>
    </row>
    <row r="715">
      <c r="A715">
        <f>Skills!A20</f>
        <v/>
      </c>
      <c r="B715">
        <f>Skills!B20</f>
        <v/>
      </c>
      <c r="C715">
        <f>Inputs!$B$3&gt;=43</f>
        <v/>
      </c>
      <c r="D715">
        <f>IF(Skills!C20=1,60+(Inputs!$B$25+1)+Inputs!$B$29,IF(Skills!C20=2,90+Inputs!$B$26+Inputs!$B$29,IF(Skills!C20=3,120+Inputs!$B$27+Inputs!$B$29,MAX(0,(Inputs!$B$3-100)*3)+Inputs!$B$28+Inputs!$B$29)))</f>
        <v/>
      </c>
      <c r="E715">
        <f>INDEX(FactorTable!$B$2:$Y$301, MATCH(ROUND(MIN(300,MAX(1,D715)),0), FactorTable!$A$2:$A$301,0), Skills!M20+1)</f>
        <v/>
      </c>
      <c r="F715">
        <f>IF(Skills!N20=TRUE,(Skills!L20/10)*(E715/1000),Skills!L20/10)+Skills!O20</f>
        <v/>
      </c>
      <c r="G715">
        <f>Skills!G20*IF(Skills!H20&gt;0,Skills!I20/Skills!H20,1)</f>
        <v/>
      </c>
      <c r="H715">
        <f>1-(1-Skills!J20/100)^Skills!K20</f>
        <v/>
      </c>
      <c r="I715" t="inlineStr">
        <is>
          <t>1</t>
        </is>
      </c>
      <c r="J715" t="inlineStr"/>
      <c r="K715" t="inlineStr"/>
      <c r="L715" t="inlineStr"/>
      <c r="M715" t="inlineStr"/>
      <c r="N715" t="inlineStr"/>
      <c r="O715">
        <f>(1-Summary!$B$11)*T715+Summary!$B$11*V715</f>
        <v/>
      </c>
      <c r="P715">
        <f>IF(B731=0,0,O715/B731)</f>
        <v/>
      </c>
      <c r="Q715" t="n">
        <v>0</v>
      </c>
      <c r="R715" t="n">
        <v>0</v>
      </c>
      <c r="S715">
        <f>IFERROR(O715/N715,0)</f>
        <v/>
      </c>
      <c r="T715" t="n">
        <v>0</v>
      </c>
      <c r="V715" t="n">
        <v>0</v>
      </c>
    </row>
    <row r="716">
      <c r="A716">
        <f>Skills!A21</f>
        <v/>
      </c>
      <c r="B716">
        <f>Skills!B21</f>
        <v/>
      </c>
      <c r="C716">
        <f>Inputs!$B$3&gt;=38</f>
        <v/>
      </c>
      <c r="D716">
        <f>IF(Skills!C21=1,60+(Inputs!$B$25+1)+Inputs!$B$29,IF(Skills!C21=2,90+Inputs!$B$26+Inputs!$B$29,IF(Skills!C21=3,120+Inputs!$B$27+Inputs!$B$29,MAX(0,(Inputs!$B$3-100)*3)+Inputs!$B$28+Inputs!$B$29)))</f>
        <v/>
      </c>
      <c r="E716">
        <f>INDEX(FactorTable!$B$2:$Y$301, MATCH(ROUND(MIN(300,MAX(1,D716)),0), FactorTable!$A$2:$A$301,0), Skills!M21+1)</f>
        <v/>
      </c>
      <c r="F716">
        <f>IF(Skills!N21=TRUE,(Skills!L21/10)*(E716/1000),Skills!L21/10)+Skills!O21</f>
        <v/>
      </c>
      <c r="G716">
        <f>Skills!G21*IF(Skills!H21&gt;0,Skills!I21/Skills!H21,1)</f>
        <v/>
      </c>
      <c r="H716">
        <f>1-(1-Skills!J21/100)^Skills!K21</f>
        <v/>
      </c>
      <c r="I716" t="inlineStr">
        <is>
          <t>1</t>
        </is>
      </c>
      <c r="J716" t="inlineStr"/>
      <c r="K716" t="inlineStr"/>
      <c r="L716" t="inlineStr"/>
      <c r="M716" t="inlineStr"/>
      <c r="N716" t="inlineStr"/>
      <c r="O716">
        <f>(1-Summary!$B$11)*T716+Summary!$B$11*V716</f>
        <v/>
      </c>
      <c r="P716">
        <f>IF(B731=0,0,O716/B731)</f>
        <v/>
      </c>
      <c r="Q716" t="n">
        <v>0</v>
      </c>
      <c r="R716" t="n">
        <v>0</v>
      </c>
      <c r="S716">
        <f>IFERROR(O716/N716,0)</f>
        <v/>
      </c>
      <c r="T716" t="n">
        <v>0</v>
      </c>
      <c r="V716" t="n">
        <v>0</v>
      </c>
    </row>
    <row r="717">
      <c r="A717">
        <f>Skills!A22</f>
        <v/>
      </c>
      <c r="B717">
        <f>Skills!B22</f>
        <v/>
      </c>
      <c r="C717">
        <f>Inputs!$B$3&gt;=75</f>
        <v/>
      </c>
      <c r="D717">
        <f>IF(Skills!C22=1,60+(Inputs!$B$25+1)+Inputs!$B$29,IF(Skills!C22=2,90+Inputs!$B$26+Inputs!$B$29,IF(Skills!C22=3,120+Inputs!$B$27+Inputs!$B$29,MAX(0,(Inputs!$B$3-100)*3)+Inputs!$B$28+Inputs!$B$29)))</f>
        <v/>
      </c>
      <c r="E717">
        <f>INDEX(FactorTable!$B$2:$Y$301, MATCH(ROUND(MIN(300,MAX(1,D717)),0), FactorTable!$A$2:$A$301,0), Skills!M22+1)</f>
        <v/>
      </c>
      <c r="F717">
        <f>IF(Skills!N22=TRUE,(Skills!L22/10)*(E717/1000),Skills!L22/10)+Skills!O22</f>
        <v/>
      </c>
      <c r="G717">
        <f>Skills!G22*IF(Skills!H22&gt;0,Skills!I22/Skills!H22,1)</f>
        <v/>
      </c>
      <c r="H717">
        <f>1-(1-Skills!J22/100)^Skills!K22</f>
        <v/>
      </c>
      <c r="I717" t="inlineStr">
        <is>
          <t>1</t>
        </is>
      </c>
      <c r="J717" t="inlineStr"/>
      <c r="K717" t="inlineStr"/>
      <c r="L717" t="inlineStr"/>
      <c r="M717" t="inlineStr"/>
      <c r="N717" t="inlineStr"/>
      <c r="O717">
        <f>(1-Summary!$B$11)*T717+Summary!$B$11*V717</f>
        <v/>
      </c>
      <c r="P717">
        <f>IF(B731=0,0,O717/B731)</f>
        <v/>
      </c>
      <c r="Q717" t="n">
        <v>0</v>
      </c>
      <c r="R717" t="n">
        <v>0</v>
      </c>
      <c r="S717">
        <f>IFERROR(O717/N717,0)</f>
        <v/>
      </c>
      <c r="T717" t="n">
        <v>0</v>
      </c>
      <c r="V717" t="n">
        <v>0</v>
      </c>
    </row>
    <row r="718">
      <c r="A718">
        <f>Skills!A23</f>
        <v/>
      </c>
      <c r="B718">
        <f>Skills!B23</f>
        <v/>
      </c>
      <c r="C718">
        <f>TRUE</f>
        <v/>
      </c>
      <c r="D718">
        <f>IF(Skills!C23=1,60+(Inputs!$B$25+1)+Inputs!$B$29,IF(Skills!C23=2,90+Inputs!$B$26+Inputs!$B$29,IF(Skills!C23=3,120+Inputs!$B$27+Inputs!$B$29,MAX(0,(Inputs!$B$3-100)*3)+Inputs!$B$28+Inputs!$B$29)))</f>
        <v/>
      </c>
      <c r="E718">
        <f>INDEX(FactorTable!$B$2:$Y$301, MATCH(ROUND(MIN(300,MAX(1,D718)),0), FactorTable!$A$2:$A$301,0), Skills!M23+1)</f>
        <v/>
      </c>
      <c r="F718">
        <f>IF(Skills!N23=TRUE,(Skills!L23/10)*(E718/1000),Skills!L23/10)+Skills!O23</f>
        <v/>
      </c>
      <c r="G718">
        <f>Skills!G23*IF(Skills!H23&gt;0,Skills!I23/Skills!H23,1)</f>
        <v/>
      </c>
      <c r="H718">
        <f>1-(1-Skills!J23/100)^Skills!K23</f>
        <v/>
      </c>
      <c r="I718" t="inlineStr">
        <is>
          <t>1</t>
        </is>
      </c>
      <c r="J718" t="inlineStr"/>
      <c r="K718" t="inlineStr"/>
      <c r="L718" t="inlineStr"/>
      <c r="M718" t="inlineStr"/>
      <c r="N718" t="inlineStr"/>
      <c r="O718">
        <f>(1-Summary!$B$11)*T718+Summary!$B$11*V718</f>
        <v/>
      </c>
      <c r="P718">
        <f>IF(B731=0,0,O718/B731)</f>
        <v/>
      </c>
      <c r="Q718">
        <f>IFERROR(1/(IF(Inputs!$B$38="pvp",15,MAX(0.1,Skills!D23-IF(Skills!E23=TRUE,Inputs!$B$32,0)))*(1-IF(AND(ArtifactsInput!$M$27,Inputs!$B$4="Chapter Hunt"),CHOOSE(ArtifactsInput!$N$27+1,20,24,28,32,36,40),0)/100)),0)</f>
        <v/>
      </c>
      <c r="R718">
        <f>IF(AND(Inputs!$B$38&lt;&gt;"pvp",Inputs!$B$43&gt;0),IF(Inputs!$B$43&lt;=0,0,(INT(Inputs!$B$43/(IF(Inputs!$B$38="pvp",15,MAX(0.1,Skills!D23-IF(Skills!E23=TRUE,Inputs!$B$32,0)))*(1-IF(AND(ArtifactsInput!$M$27,Inputs!$B$4="Chapter Hunt"),CHOOSE(ArtifactsInput!$N$27+1,20,24,28,32,36,40),0)/100)))+1)),0)</f>
        <v/>
      </c>
      <c r="S718">
        <f>IFERROR(O718/N718,0)</f>
        <v/>
      </c>
      <c r="T718" t="n">
        <v>0</v>
      </c>
      <c r="V718" t="n">
        <v>0</v>
      </c>
    </row>
    <row r="720">
      <c r="A720" t="inlineStr">
        <is>
          <t>Attack% Bucket Multiplier</t>
        </is>
      </c>
      <c r="B720">
        <f>(1+(((C708=TRUE)*F708*5/7)+((C714=TRUE)*(F714-Calc!F19))+(IF(ArtifactsInput!$M$21,CHOOSE(ArtifactsInput!$N$21+1,25,30,35,40,45,50)*(IF(OR(Inputs!$B$4="Chapter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21">
      <c r="A721" t="inlineStr">
        <is>
          <t>Global Crit Rate Bonus %</t>
        </is>
      </c>
      <c r="B721" t="n">
        <v>0</v>
      </c>
    </row>
    <row r="722">
      <c r="A722" t="inlineStr">
        <is>
          <t>Attack Speed Buff Bonus % (Nimble Feet, duty-cycle averaged)</t>
        </is>
      </c>
      <c r="B722">
        <f>((C718=TRUE)*F718*IF(AND(Inputs!$B$38&lt;&gt;"pvp",Inputs!$B$43&gt;0),(((R718-1)*(Skills!T23*(1+Inputs!$B$34/100))+MIN((Skills!T23*(1+Inputs!$B$34/100)),MAX(0,Inputs!$B$43-((R718-1)*Skills!D23))))/Inputs!$B$43),IF(Inputs!$B$38="pvp",MIN((Skills!T23*(1+Inputs!$B$34/100)),15)/15,(Skills!T23*(1+Inputs!$B$34/100))/Skills!D23)))</f>
        <v/>
      </c>
    </row>
    <row r="723">
      <c r="A723" t="inlineStr">
        <is>
          <t>Actions Per Second</t>
        </is>
      </c>
      <c r="B723">
        <f>1+MIN(150,150*(1-(1-(Inputs!$B$11+((C712=TRUE)*(F712-Calc!F17))+((C713=TRUE)*(F713-Calc!F18)))/150)*(1-B722/150)))/100</f>
        <v/>
      </c>
    </row>
    <row r="724">
      <c r="A724" t="inlineStr">
        <is>
          <t>Skill + Buff Cast Rate</t>
        </is>
      </c>
      <c r="B724">
        <f>IF(AND(Inputs!$B$38&lt;&gt;"pvp",Inputs!$B$43&gt;0),SUMPRODUCT((Skills!E2:E23=TRUE)*(C697:C718=TRUE)*R697:R718*Skills!F2:F23)/Inputs!$B$43,SUMPRODUCT((Skills!E2:E23=TRUE)*(C697:C718=TRUE)*Q697:Q718*Skills!F2:F23))</f>
        <v/>
      </c>
    </row>
    <row r="725">
      <c r="A725" t="inlineStr">
        <is>
          <t>Hook Bomber Casts Per Second</t>
        </is>
      </c>
      <c r="B725">
        <f>MAX(0,B723-B724)</f>
        <v/>
      </c>
    </row>
    <row r="726">
      <c r="A726" t="inlineStr">
        <is>
          <t>Global Critical Damage Bonus % (unused)</t>
        </is>
      </c>
      <c r="B726" t="n">
        <v>0</v>
      </c>
    </row>
    <row r="727">
      <c r="A727" t="inlineStr">
        <is>
          <t>Global Final Damage Bonus % (Serpent Scale + Crossbones + Time Leap + Speed Infusion)</t>
        </is>
      </c>
      <c r="B727">
        <f>((C700=TRUE)*F700*((10+IF(Inputs!$B$3&gt;=94,5,0))/((10+IF(Inputs!$B$3&gt;=94,5,0))+5/(B725*(1+IF(Inputs!$B$3&gt;=104,1,0))))))+((C709=TRUE)*F709*IF(AND(Inputs!$B$38&lt;&gt;"pvp",Inputs!$B$43&gt;0),(((R709-1)*(Skills!T14*(1+Inputs!$B$34/100))+MIN((Skills!T14*(1+Inputs!$B$34/100)),MAX(0,Inputs!$B$43-((R709-1)*Skills!D14))))/Inputs!$B$43),IF(Inputs!$B$38="pvp",MIN((Skills!T14*(1+Inputs!$B$34/100)),15)/15,(Skills!T14*(1+Inputs!$B$34/100))/Skills!D14)))+((C710=TRUE)*F710*IF(AND(Inputs!$B$38&lt;&gt;"pvp",Inputs!$B$43&gt;0),(((R710-1)*(Skills!T15*(1+Inputs!$B$34/100))+MIN((Skills!T15*(1+Inputs!$B$34/100)),MAX(0,Inputs!$B$43-((R710-1)*Skills!D15))))/Inputs!$B$43),IF(Inputs!$B$38="pvp",MIN((Skills!T15*(1+Inputs!$B$34/100)),15)/15,(Skills!T15*(1+Inputs!$B$34/100))/Skills!D15)))+((Inputs!$B$3&gt;=110)*20*(B723-1)*IF(Inputs!$B$38="pvp",MIN((15*(1+Inputs!$B$34/100)),15)/15,(15*(1+Inputs!$B$34/100))/35))</f>
        <v/>
      </c>
    </row>
    <row r="728">
      <c r="A728" t="inlineStr">
        <is>
          <t>Buff-Casting Startup Delay (s, fixed-duration only)</t>
        </is>
      </c>
      <c r="B728">
        <f>IF(AND(Inputs!$B$38&lt;&gt;"pvp",Inputs!$B$43&gt;0),SUMPRODUCT((Skills!T2:T23&gt;0)*(Skills!E2:E23=TRUE)*(C697:C718=TRUE))/B723,0)</f>
        <v/>
      </c>
    </row>
    <row r="729">
      <c r="A729" t="inlineStr">
        <is>
          <t>Boss-Only Total DPS (this block's swept value)</t>
        </is>
      </c>
      <c r="B729">
        <f>SUM(T697:T718)</f>
        <v/>
      </c>
    </row>
    <row r="730">
      <c r="A730" t="inlineStr">
        <is>
          <t>Normal-Only Total DPS (this block's swept value)</t>
        </is>
      </c>
      <c r="B730">
        <f>SUM(V697:V718)</f>
        <v/>
      </c>
    </row>
    <row r="731">
      <c r="A731" s="6" t="inlineStr">
        <is>
          <t>TOTAL DPS</t>
        </is>
      </c>
      <c r="B731" s="6">
        <f>SUM(O697:O718)</f>
        <v/>
      </c>
    </row>
    <row r="734">
      <c r="A734" s="6" t="inlineStr">
        <is>
          <t>Stat: Skill Level Bonus — 2nd Job</t>
        </is>
      </c>
    </row>
    <row r="735">
      <c r="A735" s="5" t="inlineStr">
        <is>
          <t>Key</t>
        </is>
      </c>
      <c r="B735" s="5" t="inlineStr">
        <is>
          <t>Name</t>
        </is>
      </c>
      <c r="C735" s="5" t="inlineStr">
        <is>
          <t>Unlocked</t>
        </is>
      </c>
      <c r="D735" s="5" t="inlineStr">
        <is>
          <t>InputLevel</t>
        </is>
      </c>
      <c r="E735" s="5" t="inlineStr">
        <is>
          <t>Factor</t>
        </is>
      </c>
      <c r="F735" s="5" t="inlineStr">
        <is>
          <t>CoefficientPercent</t>
        </is>
      </c>
      <c r="G735" s="5" t="inlineStr">
        <is>
          <t>EffectiveHits</t>
        </is>
      </c>
      <c r="H735" s="5" t="inlineStr">
        <is>
          <t>ProcProbability</t>
        </is>
      </c>
      <c r="I735" s="5" t="inlineStr">
        <is>
          <t>MapleHeroMultiplier</t>
        </is>
      </c>
      <c r="J735" s="5" t="inlineStr">
        <is>
          <t>BaseDamage</t>
        </is>
      </c>
      <c r="K735" s="5" t="inlineStr">
        <is>
          <t>BaseHitDamage</t>
        </is>
      </c>
      <c r="L735" s="5" t="inlineStr">
        <is>
          <t>NonCritAvg</t>
        </is>
      </c>
      <c r="M735" s="5" t="inlineStr">
        <is>
          <t>CritAvg</t>
        </is>
      </c>
      <c r="N735" s="5" t="inlineStr">
        <is>
          <t>ExpectedDamage(perHit)</t>
        </is>
      </c>
      <c r="O735" s="5" t="inlineStr">
        <is>
          <t>DPS</t>
        </is>
      </c>
      <c r="P735" s="5" t="inlineStr">
        <is>
          <t>% of Total</t>
        </is>
      </c>
      <c r="Q735" s="5" t="inlineStr">
        <is>
          <t>InvCooldown</t>
        </is>
      </c>
      <c r="R735" s="5" t="inlineStr">
        <is>
          <t>CastsInFight</t>
        </is>
      </c>
      <c r="S735" s="5" t="inlineStr">
        <is>
          <t>HitRate(perSec)</t>
        </is>
      </c>
      <c r="U735" t="inlineStr">
        <is>
          <t>helpers</t>
        </is>
      </c>
    </row>
    <row r="736">
      <c r="A736">
        <f>Skills!A2</f>
        <v/>
      </c>
      <c r="B736">
        <f>Skills!B2</f>
        <v/>
      </c>
      <c r="C736">
        <f>Inputs!$B$3&gt;=100</f>
        <v/>
      </c>
      <c r="D736" t="inlineStr"/>
      <c r="E736" t="inlineStr"/>
      <c r="F736">
        <f>U738+Skills!O2</f>
        <v/>
      </c>
      <c r="G736">
        <f>Skills!G2*IF(Skills!H2&gt;0,Skills!I2/Skills!H2,1)</f>
        <v/>
      </c>
      <c r="H736">
        <f>1-(1-Skills!J2/100)^Skills!K2</f>
        <v/>
      </c>
      <c r="I736" t="inlineStr">
        <is>
          <t>1</t>
        </is>
      </c>
      <c r="J736">
        <f>((Inputs!$B$6*(1+Inputs!$B$7/100))+(((Inputs!$B$12*(1+Inputs!$B$13/100))-(Inputs!$B$12*(1+Inputs!$B$13/100)))+0.25*(Inputs!$B$14-Inputs!$B$14))*(1+Inputs!$B$7/100))*(F736/100)</f>
        <v/>
      </c>
      <c r="K736">
        <f>J736*(1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736)</f>
        <v/>
      </c>
      <c r="L736">
        <f>K736*(MIN(Inputs!$B$22+((C754=TRUE)*(F754-Calc!F20)),(Inputs!$B$23+0+(IF(ArtifactsInput!$M$15,CHOOSE(ArtifactsInput!$N$15+1,25,30,35,40,45,50)/100*(Inputs!$B$11-Inputs!$B$11),0))))/100+(Inputs!$B$23+0+(IF(ArtifactsInput!$M$15,CHOOSE(ArtifactsInput!$N$15+1,25,30,35,40,45,50)/100*(Inputs!$B$11-Inputs!$B$11),0)))/100)/2</f>
        <v/>
      </c>
      <c r="M736">
        <f>L736*(1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6">
        <f>L736*(1-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736*(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6">
        <f>(1-Summary!$B$11)*T736+Summary!$B$11*V736</f>
        <v/>
      </c>
      <c r="P736">
        <f>IF(B770=0,0,O736/B770)</f>
        <v/>
      </c>
      <c r="Q736" t="n">
        <v>0</v>
      </c>
      <c r="R736" t="n">
        <v>0</v>
      </c>
      <c r="S736">
        <f>IFERROR(O736/N736,0)</f>
        <v/>
      </c>
      <c r="T736">
        <f>IF(C736,(Skills!G2*N736*B764)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736*(1-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736*(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736*(1-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736*(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6">
        <f>MAX(0,(Inputs!$B$3-100)*3)+Inputs!$B$28+Inputs!$B$29</f>
        <v/>
      </c>
      <c r="V736">
        <f>IF(C736,(Skills!G2*N736*B764)*IF(Inputs!$B$38="pvp",1,(1+(Inputs!$B$21+Skills!Q2+(IF(ArtifactsInput!$M$33,CHOOSE(ArtifactsInput!$N$33+1,30,36,42,48,54,60),0))+(IF(AND(ArtifactsInput!$M$35,Inputs!$B$4&lt;&gt;"Chapter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7">
      <c r="A737">
        <f>Skills!A3</f>
        <v/>
      </c>
      <c r="B737">
        <f>Skills!B3</f>
        <v/>
      </c>
      <c r="C737">
        <f>Inputs!$B$3&gt;=35</f>
        <v/>
      </c>
      <c r="D737">
        <f>IF(Skills!C3=1,60+Inputs!$B$25+Inputs!$B$29,IF(Skills!C3=2,90+(Inputs!$B$26+1)+Inputs!$B$29,IF(Skills!C3=3,120+Inputs!$B$27+Inputs!$B$29,MAX(0,(Inputs!$B$3-100)*3)+Inputs!$B$28+Inputs!$B$29)))</f>
        <v/>
      </c>
      <c r="E737">
        <f>INDEX(FactorTable!$B$2:$Y$301, MATCH(ROUND(MIN(300,MAX(1,D737)),0), FactorTable!$A$2:$A$301,0), Skills!M3+1)</f>
        <v/>
      </c>
      <c r="F737">
        <f>IF(Skills!N3=TRUE,(Skills!L3/10)*(E737/1000),Skills!L3/10)+Skills!O3</f>
        <v/>
      </c>
      <c r="G737">
        <f>Skills!G3*IF(Skills!H3&gt;0,Skills!I3/Skills!H3,1)</f>
        <v/>
      </c>
      <c r="H737">
        <f>1-(1-Skills!J3/100)^Skills!K3</f>
        <v/>
      </c>
      <c r="I737" t="inlineStr">
        <is>
          <t>1</t>
        </is>
      </c>
      <c r="J737">
        <f>((Inputs!$B$6*(1+Inputs!$B$7/100))+(((Inputs!$B$12*(1+Inputs!$B$13/100))-(Inputs!$B$12*(1+Inputs!$B$13/100)))+0.25*(Inputs!$B$14-Inputs!$B$14))*(1+Inputs!$B$7/100))*(F737/100)</f>
        <v/>
      </c>
      <c r="K737">
        <f>J737*(1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737)</f>
        <v/>
      </c>
      <c r="L737">
        <f>K737*(MIN(Inputs!$B$22+((C754=TRUE)*(F754-Calc!F20)),(Inputs!$B$23+0+(IF(ArtifactsInput!$M$15,CHOOSE(ArtifactsInput!$N$15+1,25,30,35,40,45,50)/100*(Inputs!$B$11-Inputs!$B$11),0))))/100+(Inputs!$B$23+0+(IF(ArtifactsInput!$M$15,CHOOSE(ArtifactsInput!$N$15+1,25,30,35,40,45,50)/100*(Inputs!$B$11-Inputs!$B$11),0)))/100)/2</f>
        <v/>
      </c>
      <c r="M737">
        <f>L737*(1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7">
        <f>L737*(1-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737*(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7">
        <f>(1-Summary!$B$11)*T737+Summary!$B$11*V737</f>
        <v/>
      </c>
      <c r="P737">
        <f>IF(B770=0,0,O737/B770)</f>
        <v/>
      </c>
      <c r="Q737" t="n">
        <v>0</v>
      </c>
      <c r="R737" t="n">
        <v>0</v>
      </c>
      <c r="S737">
        <f>IFERROR(O737/N737,0)</f>
        <v/>
      </c>
      <c r="T737">
        <f>IF(C737,(Skills!G3*H737*N737*B764)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737*(1-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737*(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737*(1-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737*(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7">
        <f>INDEX(FactorTable!$B$2:$Y$301, MATCH(ROUND(MIN(300,MAX(1,U736)),0), FactorTable!$A$2:$A$301,0), 22)</f>
        <v/>
      </c>
      <c r="V737">
        <f>IF(C737,(Skills!G3*H737*N737*B764)*IF(Inputs!$B$38="pvp",1,(1+(Inputs!$B$21+Skills!Q3+(IF(ArtifactsInput!$M$33,CHOOSE(ArtifactsInput!$N$33+1,30,36,42,48,54,60),0))+(IF(AND(ArtifactsInput!$M$35,Inputs!$B$4&lt;&gt;"Chapter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8">
      <c r="A738">
        <f>Skills!A4</f>
        <v/>
      </c>
      <c r="B738">
        <f>Skills!B4</f>
        <v/>
      </c>
      <c r="C738">
        <f>Inputs!$B$3&gt;=60</f>
        <v/>
      </c>
      <c r="D738">
        <f>IF(Skills!C4=1,60+Inputs!$B$25+Inputs!$B$29,IF(Skills!C4=2,90+(Inputs!$B$26+1)+Inputs!$B$29,IF(Skills!C4=3,120+Inputs!$B$27+Inputs!$B$29,MAX(0,(Inputs!$B$3-100)*3)+Inputs!$B$28+Inputs!$B$29)))</f>
        <v/>
      </c>
      <c r="E738">
        <f>INDEX(FactorTable!$B$2:$Y$301, MATCH(ROUND(MIN(300,MAX(1,D738)),0), FactorTable!$A$2:$A$301,0), Skills!M4+1)</f>
        <v/>
      </c>
      <c r="F738">
        <f>IF(Skills!N4=TRUE,(Skills!L4/10)*(E738/1000),Skills!L4/10)+Skills!O4</f>
        <v/>
      </c>
      <c r="G738">
        <f>Skills!G4*IF(Skills!H4&gt;0,Skills!I4/Skills!H4,1)</f>
        <v/>
      </c>
      <c r="H738">
        <f>1-(1-Skills!J4/100)^Skills!K4</f>
        <v/>
      </c>
      <c r="I738" t="inlineStr">
        <is>
          <t>1</t>
        </is>
      </c>
      <c r="J738">
        <f>((Inputs!$B$6*(1+Inputs!$B$7/100))+(((Inputs!$B$12*(1+Inputs!$B$13/100))-(Inputs!$B$12*(1+Inputs!$B$13/100)))+0.25*(Inputs!$B$14-Inputs!$B$14))*(1+Inputs!$B$7/100))*(F738/100)</f>
        <v/>
      </c>
      <c r="K738">
        <f>J738*(1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746=TRUE,F746,0)/100)*(1+(IF(Skills!A4="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738)</f>
        <v/>
      </c>
      <c r="L738">
        <f>K738*(MIN(Inputs!$B$22+((C754=TRUE)*(F754-Calc!F20)),(Inputs!$B$23+0+(IF(ArtifactsInput!$M$15,CHOOSE(ArtifactsInput!$N$15+1,25,30,35,40,45,50)/100*(Inputs!$B$11-Inputs!$B$11),0))))/100+(Inputs!$B$23+0+(IF(ArtifactsInput!$M$15,CHOOSE(ArtifactsInput!$N$15+1,25,30,35,40,45,50)/100*(Inputs!$B$11-Inputs!$B$11),0)))/100)/2</f>
        <v/>
      </c>
      <c r="M738">
        <f>L738*(1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8">
        <f>L738*(1-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738*(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8">
        <f>(1-Summary!$B$11)*T738+Summary!$B$11*V738</f>
        <v/>
      </c>
      <c r="P738">
        <f>IF(B770=0,0,O738/B770)</f>
        <v/>
      </c>
      <c r="Q738" t="n">
        <v>0</v>
      </c>
      <c r="R738" t="n">
        <v>0</v>
      </c>
      <c r="S738">
        <f>IFERROR(O738/N738,0)</f>
        <v/>
      </c>
      <c r="T738">
        <f>IF(C738,(Skills!G4*H738*N738*B764)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738*(1-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738*(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738*(1-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738*(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8">
        <f>290*U737/1000</f>
        <v/>
      </c>
      <c r="V738">
        <f>IF(C738,(Skills!G4*H738*N738*B764)*IF(Inputs!$B$38="pvp",1,(1+(Inputs!$B$21+Skills!Q4+(IF(ArtifactsInput!$M$33,CHOOSE(ArtifactsInput!$N$33+1,30,36,42,48,54,60),0))+(IF(AND(ArtifactsInput!$M$35,Inputs!$B$4&lt;&gt;"Chapter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39">
      <c r="A739">
        <f>Skills!A5</f>
        <v/>
      </c>
      <c r="B739">
        <f>Skills!B5</f>
        <v/>
      </c>
      <c r="C739">
        <f>Inputs!$B$3&gt;=60</f>
        <v/>
      </c>
      <c r="D739">
        <f>IF(Skills!C5=1,60+Inputs!$B$25+Inputs!$B$29,IF(Skills!C5=2,90+(Inputs!$B$26+1)+Inputs!$B$29,IF(Skills!C5=3,120+Inputs!$B$27+Inputs!$B$29,MAX(0,(Inputs!$B$3-100)*3)+Inputs!$B$28+Inputs!$B$29)))</f>
        <v/>
      </c>
      <c r="E739">
        <f>INDEX(FactorTable!$B$2:$Y$301, MATCH(ROUND(MIN(300,MAX(1,D739)),0), FactorTable!$A$2:$A$301,0), Skills!M5+1)</f>
        <v/>
      </c>
      <c r="F739">
        <f>IF(Skills!N5=TRUE,(Skills!L5/10)*(E739/1000),Skills!L5/10)+Skills!O5</f>
        <v/>
      </c>
      <c r="G739">
        <f>Skills!G5*IF(Skills!H5&gt;0,Skills!I5/Skills!H5,1)</f>
        <v/>
      </c>
      <c r="H739">
        <f>1-(1-Skills!J5/100)^Skills!K5</f>
        <v/>
      </c>
      <c r="I739" t="inlineStr">
        <is>
          <t>1</t>
        </is>
      </c>
      <c r="J739" t="inlineStr"/>
      <c r="K739" t="inlineStr"/>
      <c r="L739" t="inlineStr"/>
      <c r="M739" t="inlineStr"/>
      <c r="N739" t="inlineStr"/>
      <c r="O739">
        <f>(1-Summary!$B$11)*T739+Summary!$B$11*V739</f>
        <v/>
      </c>
      <c r="P739">
        <f>IF(B770=0,0,O739/B770)</f>
        <v/>
      </c>
      <c r="Q739" t="n">
        <v>0</v>
      </c>
      <c r="R739" t="n">
        <v>0</v>
      </c>
      <c r="S739">
        <f>IFERROR(O739/N739,0)</f>
        <v/>
      </c>
      <c r="T739" t="n">
        <v>0</v>
      </c>
      <c r="V739" t="n">
        <v>0</v>
      </c>
    </row>
    <row r="740">
      <c r="A740">
        <f>Skills!A6</f>
        <v/>
      </c>
      <c r="B740">
        <f>Skills!B6</f>
        <v/>
      </c>
      <c r="C740">
        <f>Inputs!$B$3&gt;=63</f>
        <v/>
      </c>
      <c r="D740">
        <f>IF(Skills!C6=1,60+Inputs!$B$25+Inputs!$B$29,IF(Skills!C6=2,90+(Inputs!$B$26+1)+Inputs!$B$29,IF(Skills!C6=3,120+Inputs!$B$27+Inputs!$B$29,MAX(0,(Inputs!$B$3-100)*3)+Inputs!$B$28+Inputs!$B$29)))</f>
        <v/>
      </c>
      <c r="E740">
        <f>INDEX(FactorTable!$B$2:$Y$301, MATCH(ROUND(MIN(300,MAX(1,D740)),0), FactorTable!$A$2:$A$301,0), Skills!M6+1)</f>
        <v/>
      </c>
      <c r="F740">
        <f>IF(Skills!N6=TRUE,(Skills!L6/10)*(E740/1000),Skills!L6/10)+Skills!O6</f>
        <v/>
      </c>
      <c r="G740">
        <f>Skills!G6*IF(Skills!H6&gt;0,Skills!I6/Skills!H6,1)</f>
        <v/>
      </c>
      <c r="H740">
        <f>1-(1-Skills!J6/100)^Skills!K6</f>
        <v/>
      </c>
      <c r="I740" t="inlineStr">
        <is>
          <t>1</t>
        </is>
      </c>
      <c r="J740">
        <f>((Inputs!$B$6*(1+Inputs!$B$7/100))+(((Inputs!$B$12*(1+Inputs!$B$13/100))-(Inputs!$B$12*(1+Inputs!$B$13/100)))+0.25*(Inputs!$B$14-Inputs!$B$14))*(1+Inputs!$B$7/100))*(F740/100)</f>
        <v/>
      </c>
      <c r="K740">
        <f>J740*(1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746=TRUE,F746,0)/100)*(1+(IF(Skills!A6="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740)</f>
        <v/>
      </c>
      <c r="L740">
        <f>K740*(MIN(Inputs!$B$22+((C754=TRUE)*(F754-Calc!F20)),(Inputs!$B$23+0+(IF(ArtifactsInput!$M$15,CHOOSE(ArtifactsInput!$N$15+1,25,30,35,40,45,50)/100*(Inputs!$B$11-Inputs!$B$11),0))))/100+(Inputs!$B$23+0+(IF(ArtifactsInput!$M$15,CHOOSE(ArtifactsInput!$N$15+1,25,30,35,40,45,50)/100*(Inputs!$B$11-Inputs!$B$11),0)))/100)/2</f>
        <v/>
      </c>
      <c r="M740">
        <f>L740*(1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0">
        <f>L740*(1-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740*(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0">
        <f>(1-Summary!$B$11)*T740+Summary!$B$11*V740</f>
        <v/>
      </c>
      <c r="P740">
        <f>IF(B770=0,0,O740/B770)</f>
        <v/>
      </c>
      <c r="Q740">
        <f>IFERROR(1/(IF(Inputs!$B$38="pvp",15,MAX(0.1,Skills!D6-IF(Skills!E6=TRUE,Inputs!$B$32,0)))*(1-IF(AND(ArtifactsInput!$M$27,Inputs!$B$4="Chapter Hunt"),CHOOSE(ArtifactsInput!$N$27+1,20,24,28,32,36,40),0)/100)),0)</f>
        <v/>
      </c>
      <c r="R740">
        <f>IF(AND(Inputs!$B$38&lt;&gt;"pvp",Inputs!$B$43&gt;0),IF(MAX(0,Inputs!$B$43-B767)&lt;=0,0,(INT(MAX(0,Inputs!$B$43-B767)/(IF(Inputs!$B$38="pvp",15,MAX(0.1,Skills!D6-IF(Skills!E6=TRUE,Inputs!$B$32,0)))*(1-IF(AND(ArtifactsInput!$M$27,Inputs!$B$4="Chapter Hunt"),CHOOSE(ArtifactsInput!$N$27+1,20,24,28,32,36,40),0)/100)))+1)),0)</f>
        <v/>
      </c>
      <c r="S740">
        <f>IFERROR(O740/N740,0)</f>
        <v/>
      </c>
      <c r="T740">
        <f>IF(C740,(H740*N740*IF(AND(Inputs!$B$38&lt;&gt;"pvp",Inputs!$B$43&gt;0),((Skills!G6*((R740-1)*IF(Skills!H6&gt;0,Skills!I6/Skills!H6,1)+IF(Skills!H6&gt;0,MIN(Skills!I6,MAX(0,MAX(0,Inputs!$B$43-B767)-((R740-1)*(IF(Inputs!$B$38="pvp",15,MAX(0.1,Skills!D6-IF(Skills!E6=TRUE,Inputs!$B$32,0)))*(1-IF(AND(ArtifactsInput!$M$27,Inputs!$B$4="Chapter Hunt"),CHOOSE(ArtifactsInput!$N$27+1,20,24,28,32,36,40),0)/100)))))/Skills!H6,1)))/Inputs!$B$43),G740*Q740)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740*(1-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740*(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740*(1-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740*(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0">
        <f>IF(C740,(H740*N740*IF(AND(Inputs!$B$38&lt;&gt;"pvp",Inputs!$B$43&gt;0),((Skills!G6*((R740-1)*IF(Skills!H6&gt;0,Skills!I6/Skills!H6,1)+IF(Skills!H6&gt;0,MIN(Skills!I6,MAX(0,MAX(0,Inputs!$B$43-B767)-((R740-1)*(IF(Inputs!$B$38="pvp",15,MAX(0.1,Skills!D6-IF(Skills!E6=TRUE,Inputs!$B$32,0)))*(1-IF(AND(ArtifactsInput!$M$27,Inputs!$B$4="Chapter Hunt"),CHOOSE(ArtifactsInput!$N$27+1,20,24,28,32,36,40),0)/100)))))/Skills!H6,1)))/Inputs!$B$43),G740*Q740))*IF(Inputs!$B$38="pvp",1,(1+(Inputs!$B$21+Skills!Q6+(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1">
      <c r="A741">
        <f>Skills!A7</f>
        <v/>
      </c>
      <c r="B741">
        <f>Skills!B7</f>
        <v/>
      </c>
      <c r="C741">
        <f>Inputs!$B$3&gt;=100</f>
        <v/>
      </c>
      <c r="D741">
        <f>IF(Skills!C7=1,60+Inputs!$B$25+Inputs!$B$29,IF(Skills!C7=2,90+(Inputs!$B$26+1)+Inputs!$B$29,IF(Skills!C7=3,120+Inputs!$B$27+Inputs!$B$29,MAX(0,(Inputs!$B$3-100)*3)+Inputs!$B$28+Inputs!$B$29)))</f>
        <v/>
      </c>
      <c r="E741">
        <f>INDEX(FactorTable!$B$2:$Y$301, MATCH(ROUND(MIN(300,MAX(1,D741)),0), FactorTable!$A$2:$A$301,0), Skills!M7+1)</f>
        <v/>
      </c>
      <c r="F741">
        <f>IF(Skills!N7=TRUE,(Skills!L7/10)*(E741/1000),Skills!L7/10)+Skills!O7</f>
        <v/>
      </c>
      <c r="G741">
        <f>Skills!G7*IF(Skills!H7&gt;0,Skills!I7/Skills!H7,1)</f>
        <v/>
      </c>
      <c r="H741">
        <f>1-(1-Skills!J7/100)^Skills!K7</f>
        <v/>
      </c>
      <c r="I741" t="inlineStr">
        <is>
          <t>1</t>
        </is>
      </c>
      <c r="J741">
        <f>((Inputs!$B$6*(1+Inputs!$B$7/100))+(((Inputs!$B$12*(1+Inputs!$B$13/100))-(Inputs!$B$12*(1+Inputs!$B$13/100)))+0.25*(Inputs!$B$14-Inputs!$B$14))*(1+Inputs!$B$7/100))*(F741/100)</f>
        <v/>
      </c>
      <c r="K741">
        <f>J741*(1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741)</f>
        <v/>
      </c>
      <c r="L741">
        <f>K741*(MIN(Inputs!$B$22+((C754=TRUE)*(F754-Calc!F20)),(Inputs!$B$23+0+(IF(ArtifactsInput!$M$15,CHOOSE(ArtifactsInput!$N$15+1,25,30,35,40,45,50)/100*(Inputs!$B$11-Inputs!$B$11),0))))/100+(Inputs!$B$23+0+(IF(ArtifactsInput!$M$15,CHOOSE(ArtifactsInput!$N$15+1,25,30,35,40,45,50)/100*(Inputs!$B$11-Inputs!$B$11),0)))/100)/2</f>
        <v/>
      </c>
      <c r="M741">
        <f>L741*(1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1">
        <f>L741*(1-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1">
        <f>(1-Summary!$B$11)*T741+Summary!$B$11*V741</f>
        <v/>
      </c>
      <c r="P741">
        <f>IF(B770=0,0,O741/B770)</f>
        <v/>
      </c>
      <c r="Q741">
        <f>IFERROR(1/(IF(Inputs!$B$38="pvp",15,MAX(0.1,Skills!D7-IF(Skills!E7=TRUE,Inputs!$B$32,0)))*(1-IF(AND(ArtifactsInput!$M$27,Inputs!$B$4="Chapter Hunt"),CHOOSE(ArtifactsInput!$N$27+1,20,24,28,32,36,40),0)/100)),0)</f>
        <v/>
      </c>
      <c r="R741">
        <f>IF(AND(Inputs!$B$38&lt;&gt;"pvp",Inputs!$B$43&gt;0),IF(MAX(0,Inputs!$B$43-B767)&lt;=0,0,(INT(MAX(0,Inputs!$B$43-B767)/(IF(Inputs!$B$38="pvp",15,MAX(0.1,Skills!D7-IF(Skills!E7=TRUE,Inputs!$B$32,0)))*(1-IF(AND(ArtifactsInput!$M$27,Inputs!$B$4="Chapter Hunt"),CHOOSE(ArtifactsInput!$N$27+1,20,24,28,32,36,40),0)/100)))+1)),0)</f>
        <v/>
      </c>
      <c r="S741">
        <f>IFERROR(O741/N741,0)</f>
        <v/>
      </c>
      <c r="T741">
        <f>IF(C741,(H741*N741*IF(AND(Inputs!$B$38&lt;&gt;"pvp",Inputs!$B$43&gt;0),((Skills!G7*((R741-1)*IF(Skills!H7&gt;0,Skills!I7/Skills!H7,1)+IF(Skills!H7&gt;0,MIN(Skills!I7,MAX(0,MAX(0,Inputs!$B$43-B767)-((R741-1)*(IF(Inputs!$B$38="pvp",15,MAX(0.1,Skills!D7-IF(Skills!E7=TRUE,Inputs!$B$32,0)))*(1-IF(AND(ArtifactsInput!$M$27,Inputs!$B$4="Chapter Hunt"),CHOOSE(ArtifactsInput!$N$27+1,20,24,28,32,36,40),0)/100)))))/Skills!H7,1)))/Inputs!$B$43),G741*Q741)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1">
        <f>IF(C741,(H741*N741*IF(AND(Inputs!$B$38&lt;&gt;"pvp",Inputs!$B$43&gt;0),((Skills!G7*((R741-1)*IF(Skills!H7&gt;0,Skills!I7/Skills!H7,1)+IF(Skills!H7&gt;0,MIN(Skills!I7,MAX(0,MAX(0,Inputs!$B$43-B767)-((R741-1)*(IF(Inputs!$B$38="pvp",15,MAX(0.1,Skills!D7-IF(Skills!E7=TRUE,Inputs!$B$32,0)))*(1-IF(AND(ArtifactsInput!$M$27,Inputs!$B$4="Chapter Hunt"),CHOOSE(ArtifactsInput!$N$27+1,20,24,28,32,36,40),0)/100)))))/Skills!H7,1)))/Inputs!$B$43),G741*Q741))*IF(Inputs!$B$38="pvp",1,(1+(Inputs!$B$21+Skills!Q7+(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2">
      <c r="A742">
        <f>Skills!A8</f>
        <v/>
      </c>
      <c r="B742">
        <f>Skills!B8</f>
        <v/>
      </c>
      <c r="C742">
        <f>Inputs!$B$3&gt;=110</f>
        <v/>
      </c>
      <c r="D742">
        <f>IF(Skills!C8=1,60+Inputs!$B$25+Inputs!$B$29,IF(Skills!C8=2,90+(Inputs!$B$26+1)+Inputs!$B$29,IF(Skills!C8=3,120+Inputs!$B$27+Inputs!$B$29,MAX(0,(Inputs!$B$3-100)*3)+Inputs!$B$28+Inputs!$B$29)))</f>
        <v/>
      </c>
      <c r="E742">
        <f>INDEX(FactorTable!$B$2:$Y$301, MATCH(ROUND(MIN(300,MAX(1,D742)),0), FactorTable!$A$2:$A$301,0), Skills!M8+1)</f>
        <v/>
      </c>
      <c r="F742">
        <f>IF(Skills!N8=TRUE,(Skills!L8/10)*(E742/1000),Skills!L8/10)+Skills!O8</f>
        <v/>
      </c>
      <c r="G742">
        <f>Skills!G8*IF(Skills!H8&gt;0,Skills!I8/Skills!H8,1)</f>
        <v/>
      </c>
      <c r="H742">
        <f>1-(1-Skills!J8/100)^Skills!K8</f>
        <v/>
      </c>
      <c r="I742" t="inlineStr">
        <is>
          <t>1</t>
        </is>
      </c>
      <c r="J742">
        <f>((Inputs!$B$6*(1+Inputs!$B$7/100))+(((Inputs!$B$12*(1+Inputs!$B$13/100))-(Inputs!$B$12*(1+Inputs!$B$13/100)))+0.25*(Inputs!$B$14-Inputs!$B$14))*(1+Inputs!$B$7/100))*(F742/100)</f>
        <v/>
      </c>
      <c r="K742">
        <f>J742*(1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742)</f>
        <v/>
      </c>
      <c r="L742">
        <f>K742*(MIN(Inputs!$B$22+((C754=TRUE)*(F754-Calc!F20)),(Inputs!$B$23+0+(IF(ArtifactsInput!$M$15,CHOOSE(ArtifactsInput!$N$15+1,25,30,35,40,45,50)/100*(Inputs!$B$11-Inputs!$B$11),0))))/100+(Inputs!$B$23+0+(IF(ArtifactsInput!$M$15,CHOOSE(ArtifactsInput!$N$15+1,25,30,35,40,45,50)/100*(Inputs!$B$11-Inputs!$B$11),0)))/100)/2</f>
        <v/>
      </c>
      <c r="M742">
        <f>L742*(1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2">
        <f>L742*(1-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742*(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2">
        <f>(1-Summary!$B$11)*T742+Summary!$B$11*V742</f>
        <v/>
      </c>
      <c r="P742">
        <f>IF(B770=0,0,O742/B770)</f>
        <v/>
      </c>
      <c r="Q742">
        <f>IFERROR(1/(IF(Inputs!$B$38="pvp",15,MAX(0.1,Skills!D8-IF(Skills!E8=TRUE,Inputs!$B$32,0)))*(1-IF(AND(ArtifactsInput!$M$27,Inputs!$B$4="Chapter Hunt"),CHOOSE(ArtifactsInput!$N$27+1,20,24,28,32,36,40),0)/100)),0)</f>
        <v/>
      </c>
      <c r="R742">
        <f>IF(AND(Inputs!$B$38&lt;&gt;"pvp",Inputs!$B$43&gt;0),IF(MAX(0,Inputs!$B$43-B767)&lt;=0,0,(INT(MAX(0,Inputs!$B$43-B767)/(IF(Inputs!$B$38="pvp",15,MAX(0.1,Skills!D8-IF(Skills!E8=TRUE,Inputs!$B$32,0)))*(1-IF(AND(ArtifactsInput!$M$27,Inputs!$B$4="Chapter Hunt"),CHOOSE(ArtifactsInput!$N$27+1,20,24,28,32,36,40),0)/100)))+1)),0)</f>
        <v/>
      </c>
      <c r="S742">
        <f>IFERROR(O742/N742,0)</f>
        <v/>
      </c>
      <c r="T742">
        <f>IF(C742,(H742*N742*IF(AND(Inputs!$B$38&lt;&gt;"pvp",Inputs!$B$43&gt;0),((Skills!G8*((R742-1)*IF(Skills!H8&gt;0,Skills!I8/Skills!H8,1)+IF(Skills!H8&gt;0,MIN(Skills!I8,MAX(0,MAX(0,Inputs!$B$43-B767)-((R742-1)*(IF(Inputs!$B$38="pvp",15,MAX(0.1,Skills!D8-IF(Skills!E8=TRUE,Inputs!$B$32,0)))*(1-IF(AND(ArtifactsInput!$M$27,Inputs!$B$4="Chapter Hunt"),CHOOSE(ArtifactsInput!$N$27+1,20,24,28,32,36,40),0)/100)))))/Skills!H8,1)))/Inputs!$B$43),G742*Q742)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742*(1-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742*(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742*(1-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742*(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2">
        <f>IF(C742,(H742*N742*IF(AND(Inputs!$B$38&lt;&gt;"pvp",Inputs!$B$43&gt;0),((Skills!G8*((R742-1)*IF(Skills!H8&gt;0,Skills!I8/Skills!H8,1)+IF(Skills!H8&gt;0,MIN(Skills!I8,MAX(0,MAX(0,Inputs!$B$43-B767)-((R742-1)*(IF(Inputs!$B$38="pvp",15,MAX(0.1,Skills!D8-IF(Skills!E8=TRUE,Inputs!$B$32,0)))*(1-IF(AND(ArtifactsInput!$M$27,Inputs!$B$4="Chapter Hunt"),CHOOSE(ArtifactsInput!$N$27+1,20,24,28,32,36,40),0)/100)))))/Skills!H8,1)))/Inputs!$B$43),G742*Q742))*IF(Inputs!$B$38="pvp",1,(1+(Inputs!$B$21+Skills!Q8+(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3">
      <c r="A743">
        <f>Skills!A9</f>
        <v/>
      </c>
      <c r="B743">
        <f>Skills!B9</f>
        <v/>
      </c>
      <c r="C743">
        <f>Inputs!$B$3&gt;=110</f>
        <v/>
      </c>
      <c r="D743">
        <f>IF(Skills!C9=1,60+Inputs!$B$25+Inputs!$B$29,IF(Skills!C9=2,90+(Inputs!$B$26+1)+Inputs!$B$29,IF(Skills!C9=3,120+Inputs!$B$27+Inputs!$B$29,MAX(0,(Inputs!$B$3-100)*3)+Inputs!$B$28+Inputs!$B$29)))</f>
        <v/>
      </c>
      <c r="E743">
        <f>INDEX(FactorTable!$B$2:$Y$301, MATCH(ROUND(MIN(300,MAX(1,D743)),0), FactorTable!$A$2:$A$301,0), Skills!M9+1)</f>
        <v/>
      </c>
      <c r="F743">
        <f>IF(Skills!N9=TRUE,(Skills!L9/10)*(E743/1000),Skills!L9/10)+Skills!O9</f>
        <v/>
      </c>
      <c r="G743">
        <f>Skills!G9*IF(Skills!H9&gt;0,Skills!I9/Skills!H9,1)</f>
        <v/>
      </c>
      <c r="H743">
        <f>1-(1-Skills!J9/100)^Skills!K9</f>
        <v/>
      </c>
      <c r="I743" t="inlineStr">
        <is>
          <t>1</t>
        </is>
      </c>
      <c r="J743">
        <f>((Inputs!$B$6*(1+Inputs!$B$7/100))+(((Inputs!$B$12*(1+Inputs!$B$13/100))-(Inputs!$B$12*(1+Inputs!$B$13/100)))+0.25*(Inputs!$B$14-Inputs!$B$14))*(1+Inputs!$B$7/100))*(F743/100)</f>
        <v/>
      </c>
      <c r="K743">
        <f>J743*(1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743)</f>
        <v/>
      </c>
      <c r="L743">
        <f>K743*(MIN(Inputs!$B$22+((C754=TRUE)*(F754-Calc!F20)),(Inputs!$B$23+0+(IF(ArtifactsInput!$M$15,CHOOSE(ArtifactsInput!$N$15+1,25,30,35,40,45,50)/100*(Inputs!$B$11-Inputs!$B$11),0))))/100+(Inputs!$B$23+0+(IF(ArtifactsInput!$M$15,CHOOSE(ArtifactsInput!$N$15+1,25,30,35,40,45,50)/100*(Inputs!$B$11-Inputs!$B$11),0)))/100)/2</f>
        <v/>
      </c>
      <c r="M743">
        <f>L743*(1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3">
        <f>L743*(1-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743*(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3">
        <f>(1-Summary!$B$11)*T743+Summary!$B$11*V743</f>
        <v/>
      </c>
      <c r="P743">
        <f>IF(B770=0,0,O743/B770)</f>
        <v/>
      </c>
      <c r="Q743">
        <f>IFERROR(1/(IF(Inputs!$B$38="pvp",15,MAX(0.1,Skills!D9-IF(Skills!E9=TRUE,Inputs!$B$32,0)))*(1-IF(AND(ArtifactsInput!$M$27,Inputs!$B$4="Chapter Hunt"),CHOOSE(ArtifactsInput!$N$27+1,20,24,28,32,36,40),0)/100)),0)</f>
        <v/>
      </c>
      <c r="R743">
        <f>IF(AND(Inputs!$B$38&lt;&gt;"pvp",Inputs!$B$43&gt;0),IF(MAX(0,Inputs!$B$43-B767)&lt;=0,0,(INT(MAX(0,Inputs!$B$43-B767)/(IF(Inputs!$B$38="pvp",15,MAX(0.1,Skills!D9-IF(Skills!E9=TRUE,Inputs!$B$32,0)))*(1-IF(AND(ArtifactsInput!$M$27,Inputs!$B$4="Chapter Hunt"),CHOOSE(ArtifactsInput!$N$27+1,20,24,28,32,36,40),0)/100)))+1)),0)</f>
        <v/>
      </c>
      <c r="S743">
        <f>IFERROR(O743/N743,0)</f>
        <v/>
      </c>
      <c r="T743">
        <f>IF(C743,(H743*N743*IF(AND(Inputs!$B$38&lt;&gt;"pvp",Inputs!$B$43&gt;0),((Skills!G9*((R743-1)*IF(Skills!H9&gt;0,Skills!I9/Skills!H9,1)+IF(Skills!H9&gt;0,MIN(Skills!I9,MAX(0,MAX(0,Inputs!$B$43-B767)-((R743-1)*(IF(Inputs!$B$38="pvp",15,MAX(0.1,Skills!D9-IF(Skills!E9=TRUE,Inputs!$B$32,0)))*(1-IF(AND(ArtifactsInput!$M$27,Inputs!$B$4="Chapter Hunt"),CHOOSE(ArtifactsInput!$N$27+1,20,24,28,32,36,40),0)/100)))))/Skills!H9,1)))/Inputs!$B$43),G743*Q743)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743*(1-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743*(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743*(1-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743*(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3">
        <f>IF(C743,(H743*N743*IF(AND(Inputs!$B$38&lt;&gt;"pvp",Inputs!$B$43&gt;0),((Skills!G9*((R743-1)*IF(Skills!H9&gt;0,Skills!I9/Skills!H9,1)+IF(Skills!H9&gt;0,MIN(Skills!I9,MAX(0,MAX(0,Inputs!$B$43-B767)-((R743-1)*(IF(Inputs!$B$38="pvp",15,MAX(0.1,Skills!D9-IF(Skills!E9=TRUE,Inputs!$B$32,0)))*(1-IF(AND(ArtifactsInput!$M$27,Inputs!$B$4="Chapter Hunt"),CHOOSE(ArtifactsInput!$N$27+1,20,24,28,32,36,40),0)/100)))))/Skills!H9,1)))/Inputs!$B$43),G743*Q743))*IF(Inputs!$B$38="pvp",1,(1+(Inputs!$B$21+Skills!Q9+(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4">
      <c r="A744">
        <f>Skills!A10</f>
        <v/>
      </c>
      <c r="B744">
        <f>Skills!B10</f>
        <v/>
      </c>
      <c r="C744">
        <f>Inputs!$B$3&gt;=103</f>
        <v/>
      </c>
      <c r="D744">
        <f>IF(Skills!C10=1,60+Inputs!$B$25+Inputs!$B$29,IF(Skills!C10=2,90+(Inputs!$B$26+1)+Inputs!$B$29,IF(Skills!C10=3,120+Inputs!$B$27+Inputs!$B$29,MAX(0,(Inputs!$B$3-100)*3)+Inputs!$B$28+Inputs!$B$29)))</f>
        <v/>
      </c>
      <c r="E744">
        <f>INDEX(FactorTable!$B$2:$Y$301, MATCH(ROUND(MIN(300,MAX(1,D744)),0), FactorTable!$A$2:$A$301,0), Skills!M10+1)</f>
        <v/>
      </c>
      <c r="F744">
        <f>IF(Skills!N10=TRUE,(Skills!L10/10)*(E744/1000),Skills!L10/10)+Skills!O10</f>
        <v/>
      </c>
      <c r="G744">
        <f>Skills!G10*IF(Skills!H10&gt;0,Skills!I10/Skills!H10,1)</f>
        <v/>
      </c>
      <c r="H744">
        <f>1-(1-Skills!J10/100)^Skills!K10</f>
        <v/>
      </c>
      <c r="I744" t="inlineStr">
        <is>
          <t>1</t>
        </is>
      </c>
      <c r="J744">
        <f>((Inputs!$B$6*(1+Inputs!$B$7/100))+(((Inputs!$B$12*(1+Inputs!$B$13/100))-(Inputs!$B$12*(1+Inputs!$B$13/100)))+0.25*(Inputs!$B$14-Inputs!$B$14))*(1+Inputs!$B$7/100))*(F744/100)</f>
        <v/>
      </c>
      <c r="K744">
        <f>J744*(1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744)</f>
        <v/>
      </c>
      <c r="L744">
        <f>K744*(MIN(Inputs!$B$22+((C754=TRUE)*(F754-Calc!F20)),(Inputs!$B$23+0+(IF(ArtifactsInput!$M$15,CHOOSE(ArtifactsInput!$N$15+1,25,30,35,40,45,50)/100*(Inputs!$B$11-Inputs!$B$11),0))))/100+(Inputs!$B$23+0+(IF(ArtifactsInput!$M$15,CHOOSE(ArtifactsInput!$N$15+1,25,30,35,40,45,50)/100*(Inputs!$B$11-Inputs!$B$11),0)))/100)/2</f>
        <v/>
      </c>
      <c r="M744">
        <f>L744*(1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4">
        <f>L744*(1-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744*(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4">
        <f>(1-Summary!$B$11)*T744+Summary!$B$11*V744</f>
        <v/>
      </c>
      <c r="P744">
        <f>IF(B770=0,0,O744/B770)</f>
        <v/>
      </c>
      <c r="Q744">
        <f>IFERROR(1/(IF(Inputs!$B$38="pvp",15,MAX(0.1,Skills!D10-IF(Skills!E10=TRUE,Inputs!$B$32,0)))*(1-IF(AND(ArtifactsInput!$M$27,Inputs!$B$4="Chapter Hunt"),CHOOSE(ArtifactsInput!$N$27+1,20,24,28,32,36,40),0)/100)),0)</f>
        <v/>
      </c>
      <c r="R744">
        <f>IF(AND(Inputs!$B$38&lt;&gt;"pvp",Inputs!$B$43&gt;0),IF(MAX(0,Inputs!$B$43-B767)&lt;=0,0,(INT(MAX(0,Inputs!$B$43-B767)/(IF(Inputs!$B$38="pvp",15,MAX(0.1,Skills!D10-IF(Skills!E10=TRUE,Inputs!$B$32,0)))*(1-IF(AND(ArtifactsInput!$M$27,Inputs!$B$4="Chapter Hunt"),CHOOSE(ArtifactsInput!$N$27+1,20,24,28,32,36,40),0)/100)))+1)),0)</f>
        <v/>
      </c>
      <c r="S744">
        <f>IFERROR(O744/N744,0)</f>
        <v/>
      </c>
      <c r="T744">
        <f>IF(C744,(H744*N744*IF(AND(Inputs!$B$38&lt;&gt;"pvp",Inputs!$B$43&gt;0),((Skills!G10*((R744-1)*IF(Skills!H10&gt;0,Skills!I10/Skills!H10,1)+IF(Skills!H10&gt;0,MIN(Skills!I10,MAX(0,MAX(0,Inputs!$B$43-B767)-((R744-1)*(IF(Inputs!$B$38="pvp",15,MAX(0.1,Skills!D10-IF(Skills!E10=TRUE,Inputs!$B$32,0)))*(1-IF(AND(ArtifactsInput!$M$27,Inputs!$B$4="Chapter Hunt"),CHOOSE(ArtifactsInput!$N$27+1,20,24,28,32,36,40),0)/100)))))/Skills!H10,1)))/Inputs!$B$43),G744*Q744)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744*(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744*(1-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744*(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4">
        <f>IF(C744,(H744*N744*IF(AND(Inputs!$B$38&lt;&gt;"pvp",Inputs!$B$43&gt;0),((Skills!G10*((R744-1)*IF(Skills!H10&gt;0,Skills!I10/Skills!H10,1)+IF(Skills!H10&gt;0,MIN(Skills!I10,MAX(0,MAX(0,Inputs!$B$43-B767)-((R744-1)*(IF(Inputs!$B$38="pvp",15,MAX(0.1,Skills!D10-IF(Skills!E10=TRUE,Inputs!$B$32,0)))*(1-IF(AND(ArtifactsInput!$M$27,Inputs!$B$4="Chapter Hunt"),CHOOSE(ArtifactsInput!$N$27+1,20,24,28,32,36,40),0)/100)))))/Skills!H10,1)))/Inputs!$B$43),G744*Q744))*IF(Inputs!$B$38="pvp",1,(1+(Inputs!$B$21+Skills!Q10+(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5">
      <c r="A745">
        <f>Skills!A11</f>
        <v/>
      </c>
      <c r="B745">
        <f>Skills!B11</f>
        <v/>
      </c>
      <c r="C745">
        <f>Inputs!$B$3&gt;=113</f>
        <v/>
      </c>
      <c r="D745">
        <f>IF(Skills!C11=1,60+Inputs!$B$25+Inputs!$B$29,IF(Skills!C11=2,90+(Inputs!$B$26+1)+Inputs!$B$29,IF(Skills!C11=3,120+Inputs!$B$27+Inputs!$B$29,MAX(0,(Inputs!$B$3-100)*3)+Inputs!$B$28+Inputs!$B$29)))</f>
        <v/>
      </c>
      <c r="E745">
        <f>INDEX(FactorTable!$B$2:$Y$301, MATCH(ROUND(MIN(300,MAX(1,D745)),0), FactorTable!$A$2:$A$301,0), Skills!M11+1)</f>
        <v/>
      </c>
      <c r="F745">
        <f>IF(Skills!N11=TRUE,(Skills!L11/10)*(E745/1000),Skills!L11/10)+Skills!O11</f>
        <v/>
      </c>
      <c r="G745">
        <f>Skills!G11*IF(Skills!H11&gt;0,Skills!I11/Skills!H11,1)</f>
        <v/>
      </c>
      <c r="H745">
        <f>1-(1-Skills!J11/100)^Skills!K11</f>
        <v/>
      </c>
      <c r="I745" t="inlineStr">
        <is>
          <t>1</t>
        </is>
      </c>
      <c r="J745">
        <f>((Inputs!$B$6*(1+Inputs!$B$7/100))+(((Inputs!$B$12*(1+Inputs!$B$13/100))-(Inputs!$B$12*(1+Inputs!$B$13/100)))+0.25*(Inputs!$B$14-Inputs!$B$14))*(1+Inputs!$B$7/100))*(F745/100)</f>
        <v/>
      </c>
      <c r="K745">
        <f>J745*(1+((Inputs!$B$12*(1+Inputs!$B$13/100))*0.01+Inputs!$B$14*0.0025)/100)*(1+Inputs!$B$15/100)*(1+Inputs!$B$16/100)*(5000/(6000+Inputs!$B$42*(1-(100*(1-(1-(Inputs!$B$19+0)/100)*(1-CHOOSE(ArtifactsInput!$N$40+1,5,6,7,8,9,10)/100)^(ArtifactsInput!$M$40-ArtifactsInput!$M$40)))/100)))*(1+(Inputs!$B$24+((C756=TRUE)*(F756-Calc!F22))+B766)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755=TRUE)*(F755-Calc!F21))+(((IF(AND(ArtifactsInput!$M$42,((Inputs!$B$9+((C750=TRUE)*(F750-Calc!F16))+B760+(ArtifactsInput!$M$24-ArtifactsInput!$M$24)*CHOOSE(ArtifactsInput!$N$24+1,10,12,14,16,18,20)+IF(ArtifactsInput!$M$10,CHOOSE(ArtifactsInput!$N$10+1,15,18,21,24,27,30)*(IF(Inputs!$B$38="pvp",MIN(15,15)/15,IF(AND(Inputs!$B$38&lt;&gt;"pvp",Inputs!$B$43&gt;0),MIN(15,Inputs!$B$43)/(Inputs!$B$43),0))),0)))&gt;=100),MIN(100,((Inputs!$B$9+((C750=TRUE)*(F750-Calc!F16))+B760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750=TRUE)*(F750-Calc!F16))+B760+(ArtifactsInput!$M$24-ArtifactsInput!$M$24)*CHOOSE(ArtifactsInput!$N$24+1,10,12,14,16,18,20)+IF(ArtifactsInput!$M$10,CHOOSE(ArtifactsInput!$N$10+1,15,18,21,24,27,30)*(IF(Inputs!$B$38="pvp",MIN(15,15)/15,IF(AND(Inputs!$B$38&lt;&gt;"pvp",Inputs!$B$43&gt;0),MIN(15,Inputs!$B$43)/(Inputs!$B$43),0))),0)))&gt;=100),CHOOSE(ArtifactsInput!$N$42+1,40,48,56,64,72,80),0))))/100)*((1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745)</f>
        <v/>
      </c>
      <c r="L745">
        <f>K745*(MIN(Inputs!$B$22+((C754=TRUE)*(F754-Calc!F20)),(Inputs!$B$23+0+(IF(ArtifactsInput!$M$15,CHOOSE(ArtifactsInput!$N$15+1,25,30,35,40,45,50)/100*(Inputs!$B$11-Inputs!$B$11),0))))/100+(Inputs!$B$23+0+(IF(ArtifactsInput!$M$15,CHOOSE(ArtifactsInput!$N$15+1,25,30,35,40,45,50)/100*(Inputs!$B$11-Inputs!$B$11),0)))/100)/2</f>
        <v/>
      </c>
      <c r="M745">
        <f>L745*(1+(Inputs!$B$10+0+B765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5">
        <f>L745*(1-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745*(MIN((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5">
        <f>(1-Summary!$B$11)*T745+Summary!$B$11*V745</f>
        <v/>
      </c>
      <c r="P745">
        <f>IF(B770=0,0,O745/B770)</f>
        <v/>
      </c>
      <c r="Q745">
        <f>IFERROR(1/(IF(Inputs!$B$38="pvp",15,MAX(0.1,Skills!D11-IF(Skills!E11=TRUE,Inputs!$B$32,0)))*(1-IF(AND(ArtifactsInput!$M$27,Inputs!$B$4="Chapter Hunt"),CHOOSE(ArtifactsInput!$N$27+1,20,24,28,32,36,40),0)/100)),0)</f>
        <v/>
      </c>
      <c r="R745">
        <f>IF(AND(Inputs!$B$38&lt;&gt;"pvp",Inputs!$B$43&gt;0),IF(MAX(0,Inputs!$B$43-B767)&lt;=0,0,(INT(MAX(0,Inputs!$B$43-B767)/(IF(Inputs!$B$38="pvp",15,MAX(0.1,Skills!D11-IF(Skills!E11=TRUE,Inputs!$B$32,0)))*(1-IF(AND(ArtifactsInput!$M$27,Inputs!$B$4="Chapter Hunt"),CHOOSE(ArtifactsInput!$N$27+1,20,24,28,32,36,40),0)/100)))+1)),0)</f>
        <v/>
      </c>
      <c r="S745">
        <f>IFERROR(O745/N745,0)</f>
        <v/>
      </c>
      <c r="T745">
        <f>IF(C745,(H745*N745*IF(AND(Inputs!$B$38&lt;&gt;"pvp",Inputs!$B$43&gt;0),((Skills!G11*((R745-1)*IF(Skills!H11&gt;0,Skills!I11/Skills!H11,1)+IF(Skills!H11&gt;0,MIN(Skills!I11,MAX(0,MAX(0,Inputs!$B$43-B767)-((R745-1)*(IF(Inputs!$B$38="pvp",15,MAX(0.1,Skills!D11-IF(Skills!E11=TRUE,Inputs!$B$32,0)))*(1-IF(AND(ArtifactsInput!$M$27,Inputs!$B$4="Chapter Hunt"),CHOOSE(ArtifactsInput!$N$27+1,20,24,28,32,36,40),0)/100)))))/Skills!H11,1)))/Inputs!$B$43),G745*Q745)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745*(1-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745*(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745*(1-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745*(MIN(100,(Inputs!$B$9+((C750=TRUE)*(F750-Calc!F16))+B760+(ArtifactsInput!$M$24-ArtifactsInput!$M$24)*CHOOSE(ArtifactsInput!$N$24+1,10,12,14,16,18,20)+(IF(AND(ArtifactsInput!$M$42,((Inputs!$B$9+((C750=TRUE)*(F750-Calc!F16))+B760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45">
        <f>IF(C745,(H745*N745*IF(AND(Inputs!$B$38&lt;&gt;"pvp",Inputs!$B$43&gt;0),((Skills!G11*((R745-1)*IF(Skills!H11&gt;0,Skills!I11/Skills!H11,1)+IF(Skills!H11&gt;0,MIN(Skills!I11,MAX(0,MAX(0,Inputs!$B$43-B767)-((R745-1)*(IF(Inputs!$B$38="pvp",15,MAX(0.1,Skills!D11-IF(Skills!E11=TRUE,Inputs!$B$32,0)))*(1-IF(AND(ArtifactsInput!$M$27,Inputs!$B$4="Chapter Hunt"),CHOOSE(ArtifactsInput!$N$27+1,20,24,28,32,36,40),0)/100)))))/Skills!H11,1)))/Inputs!$B$43),G745*Q745))*IF(Inputs!$B$38="pvp",1,(1+(Inputs!$B$21+Skills!Q11+(IF(ArtifactsInput!$M$33,CHOOSE(ArtifactsInput!$N$33+1,30,36,42,48,54,60),0))+(IF(AND(ArtifactsInput!$M$35,Inputs!$B$4&lt;&gt;"Chapter Hunt"),CHOOSE(ArtifactsInput!$N$35+1,15,18,21,24,27,30)*(1-EXP(-(0.2*B762)*5)),0)+IF(AND(ArtifactsInput!$M$22,Inputs!$B$4&lt;&gt;"Chapter Hunt"),CHOOSE(ArtifactsInput!$N$22+1,10,12,14,16,18,20)*((0*(((0.15*B762*5))^0/1)+1*(((0.15*B762*5))^1/1)+2*(((0.15*B762*5))^2/2)+3*(((0.15*B762*5))^3/6)+4*(((0.15*B762*5))^4/24)+5*(((0.15*B762*5))^5/120))/((((0.15*B762*5))^0/1)+(((0.15*B762*5))^1/1)+(((0.15*B762*5))^2/2)+(((0.15*B762*5))^3/6)+(((0.15*B762*5))^4/24)+(((0.15*B762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6">
      <c r="A746">
        <f>Skills!A12</f>
        <v/>
      </c>
      <c r="B746">
        <f>Skills!B12</f>
        <v/>
      </c>
      <c r="C746">
        <f>Inputs!$B$3&gt;=100</f>
        <v/>
      </c>
      <c r="D746">
        <f>IF(Skills!C12=1,60+Inputs!$B$25+Inputs!$B$29,IF(Skills!C12=2,90+(Inputs!$B$26+1)+Inputs!$B$29,IF(Skills!C12=3,120+Inputs!$B$27+Inputs!$B$29,MAX(0,(Inputs!$B$3-100)*3)+Inputs!$B$28+Inputs!$B$29)))</f>
        <v/>
      </c>
      <c r="E746">
        <f>INDEX(FactorTable!$B$2:$Y$301, MATCH(ROUND(MIN(300,MAX(1,D746)),0), FactorTable!$A$2:$A$301,0), Skills!M12+1)</f>
        <v/>
      </c>
      <c r="F746">
        <f>IF(Skills!N12=TRUE,(Skills!L12/10)*(E746/1000),Skills!L12/10)+Skills!O12</f>
        <v/>
      </c>
      <c r="G746" t="inlineStr"/>
      <c r="H746" t="inlineStr"/>
      <c r="I746" t="inlineStr">
        <is>
          <t>1</t>
        </is>
      </c>
      <c r="J746" t="inlineStr"/>
      <c r="K746" t="inlineStr"/>
      <c r="L746" t="inlineStr"/>
      <c r="M746" t="inlineStr"/>
      <c r="N746" t="inlineStr"/>
      <c r="O746" t="inlineStr"/>
      <c r="P746" t="inlineStr"/>
      <c r="Q746" t="inlineStr"/>
      <c r="R746" t="inlineStr"/>
      <c r="S746" t="inlineStr"/>
      <c r="T746" t="inlineStr"/>
      <c r="V746" t="inlineStr"/>
    </row>
    <row r="747">
      <c r="A747">
        <f>Skills!A13</f>
        <v/>
      </c>
      <c r="B747">
        <f>Skills!B13</f>
        <v/>
      </c>
      <c r="C747">
        <f>Inputs!$B$3&gt;=66</f>
        <v/>
      </c>
      <c r="D747">
        <f>IF(Skills!C13=1,60+Inputs!$B$25+Inputs!$B$29,IF(Skills!C13=2,90+(Inputs!$B$26+1)+Inputs!$B$29,IF(Skills!C13=3,120+Inputs!$B$27+Inputs!$B$29,MAX(0,(Inputs!$B$3-100)*3)+Inputs!$B$28+Inputs!$B$29)))</f>
        <v/>
      </c>
      <c r="E747">
        <f>INDEX(FactorTable!$B$2:$Y$301, MATCH(ROUND(MIN(300,MAX(1,D747)),0), FactorTable!$A$2:$A$301,0), Skills!M13+1)</f>
        <v/>
      </c>
      <c r="F747">
        <f>IF(Skills!N13=TRUE,(Skills!L13/10)*(E747/1000),Skills!L13/10)+Skills!O13</f>
        <v/>
      </c>
      <c r="G747">
        <f>Skills!G13*IF(Skills!H13&gt;0,Skills!I13/Skills!H13,1)</f>
        <v/>
      </c>
      <c r="H747">
        <f>1-(1-Skills!J13/100)^Skills!K13</f>
        <v/>
      </c>
      <c r="I747" t="inlineStr">
        <is>
          <t>1</t>
        </is>
      </c>
      <c r="J747" t="inlineStr"/>
      <c r="K747" t="inlineStr"/>
      <c r="L747" t="inlineStr"/>
      <c r="M747" t="inlineStr"/>
      <c r="N747" t="inlineStr"/>
      <c r="O747">
        <f>(1-Summary!$B$11)*T747+Summary!$B$11*V747</f>
        <v/>
      </c>
      <c r="P747">
        <f>IF(B770=0,0,O747/B770)</f>
        <v/>
      </c>
      <c r="Q747" t="n">
        <v>0</v>
      </c>
      <c r="R747" t="n">
        <v>0</v>
      </c>
      <c r="S747">
        <f>IFERROR(O747/N747,0)</f>
        <v/>
      </c>
      <c r="T747" t="n">
        <v>0</v>
      </c>
      <c r="V747" t="n">
        <v>0</v>
      </c>
    </row>
    <row r="748">
      <c r="A748">
        <f>Skills!A14</f>
        <v/>
      </c>
      <c r="B748">
        <f>Skills!B14</f>
        <v/>
      </c>
      <c r="C748">
        <f>Inputs!$B$3&gt;=107</f>
        <v/>
      </c>
      <c r="D748">
        <f>IF(Skills!C14=1,60+Inputs!$B$25+Inputs!$B$29,IF(Skills!C14=2,90+(Inputs!$B$26+1)+Inputs!$B$29,IF(Skills!C14=3,120+Inputs!$B$27+Inputs!$B$29,MAX(0,(Inputs!$B$3-100)*3)+Inputs!$B$28+Inputs!$B$29)))</f>
        <v/>
      </c>
      <c r="E748">
        <f>INDEX(FactorTable!$B$2:$Y$301, MATCH(ROUND(MIN(300,MAX(1,D748)),0), FactorTable!$A$2:$A$301,0), Skills!M14+1)</f>
        <v/>
      </c>
      <c r="F748">
        <f>IF(Skills!N14=TRUE,(Skills!L14/10)*(E748/1000),Skills!L14/10)+Skills!O14</f>
        <v/>
      </c>
      <c r="G748">
        <f>Skills!G14*IF(Skills!H14&gt;0,Skills!I14/Skills!H14,1)</f>
        <v/>
      </c>
      <c r="H748">
        <f>1-(1-Skills!J14/100)^Skills!K14</f>
        <v/>
      </c>
      <c r="I748" t="inlineStr">
        <is>
          <t>1</t>
        </is>
      </c>
      <c r="J748" t="inlineStr"/>
      <c r="K748" t="inlineStr"/>
      <c r="L748" t="inlineStr"/>
      <c r="M748" t="inlineStr"/>
      <c r="N748" t="inlineStr"/>
      <c r="O748">
        <f>(1-Summary!$B$11)*T748+Summary!$B$11*V748</f>
        <v/>
      </c>
      <c r="P748">
        <f>IF(B770=0,0,O748/B770)</f>
        <v/>
      </c>
      <c r="Q748">
        <f>IFERROR(1/(IF(Inputs!$B$38="pvp",15,MAX(0.1,Skills!D14-IF(Skills!E14=TRUE,Inputs!$B$32,0)))*(1-IF(AND(ArtifactsInput!$M$27,Inputs!$B$4="Chapter Hunt"),CHOOSE(ArtifactsInput!$N$27+1,20,24,28,32,36,40),0)/100)),0)</f>
        <v/>
      </c>
      <c r="R748">
        <f>IF(AND(Inputs!$B$38&lt;&gt;"pvp",Inputs!$B$43&gt;0),IF(Inputs!$B$43&lt;=0,0,(INT(Inputs!$B$43/(IF(Inputs!$B$38="pvp",15,MAX(0.1,Skills!D14-IF(Skills!E14=TRUE,Inputs!$B$32,0)))*(1-IF(AND(ArtifactsInput!$M$27,Inputs!$B$4="Chapter Hunt"),CHOOSE(ArtifactsInput!$N$27+1,20,24,28,32,36,40),0)/100)))+1)),0)</f>
        <v/>
      </c>
      <c r="S748">
        <f>IFERROR(O748/N748,0)</f>
        <v/>
      </c>
      <c r="T748" t="n">
        <v>0</v>
      </c>
      <c r="V748" t="n">
        <v>0</v>
      </c>
    </row>
    <row r="749">
      <c r="A749">
        <f>Skills!A15</f>
        <v/>
      </c>
      <c r="B749">
        <f>Skills!B15</f>
        <v/>
      </c>
      <c r="C749">
        <f>Inputs!$B$3&gt;=115</f>
        <v/>
      </c>
      <c r="D749">
        <f>IF(Skills!C15=1,60+Inputs!$B$25+Inputs!$B$29,IF(Skills!C15=2,90+(Inputs!$B$26+1)+Inputs!$B$29,IF(Skills!C15=3,120+Inputs!$B$27+Inputs!$B$29,MAX(0,(Inputs!$B$3-100)*3)+Inputs!$B$28+Inputs!$B$29)))</f>
        <v/>
      </c>
      <c r="E749">
        <f>INDEX(FactorTable!$B$2:$Y$301, MATCH(ROUND(MIN(300,MAX(1,D749)),0), FactorTable!$A$2:$A$301,0), Skills!M15+1)</f>
        <v/>
      </c>
      <c r="F749">
        <f>IF(Skills!N15=TRUE,(Skills!L15/10)*(E749/1000),Skills!L15/10)+Skills!O15</f>
        <v/>
      </c>
      <c r="G749">
        <f>Skills!G15*IF(Skills!H15&gt;0,Skills!I15/Skills!H15,1)</f>
        <v/>
      </c>
      <c r="H749">
        <f>1-(1-Skills!J15/100)^Skills!K15</f>
        <v/>
      </c>
      <c r="I749" t="inlineStr">
        <is>
          <t>1</t>
        </is>
      </c>
      <c r="J749" t="inlineStr"/>
      <c r="K749" t="inlineStr"/>
      <c r="L749" t="inlineStr"/>
      <c r="M749" t="inlineStr"/>
      <c r="N749" t="inlineStr"/>
      <c r="O749">
        <f>(1-Summary!$B$11)*T749+Summary!$B$11*V749</f>
        <v/>
      </c>
      <c r="P749">
        <f>IF(B770=0,0,O749/B770)</f>
        <v/>
      </c>
      <c r="Q749">
        <f>IFERROR(1/(IF(Inputs!$B$38="pvp",15,MAX(0.1,Skills!D15-IF(Skills!E15=TRUE,Inputs!$B$32,0)))*(1-IF(AND(ArtifactsInput!$M$27,Inputs!$B$4="Chapter Hunt"),CHOOSE(ArtifactsInput!$N$27+1,20,24,28,32,36,40),0)/100)),0)</f>
        <v/>
      </c>
      <c r="R749">
        <f>IF(AND(Inputs!$B$38&lt;&gt;"pvp",Inputs!$B$43&gt;0),IF(Inputs!$B$43&lt;=0,0,(INT(Inputs!$B$43/(IF(Inputs!$B$38="pvp",15,MAX(0.1,Skills!D15-IF(Skills!E15=TRUE,Inputs!$B$32,0)))*(1-IF(AND(ArtifactsInput!$M$27,Inputs!$B$4="Chapter Hunt"),CHOOSE(ArtifactsInput!$N$27+1,20,24,28,32,36,40),0)/100)))+1)),0)</f>
        <v/>
      </c>
      <c r="S749">
        <f>IFERROR(O749/N749,0)</f>
        <v/>
      </c>
      <c r="T749" t="n">
        <v>0</v>
      </c>
      <c r="V749" t="n">
        <v>0</v>
      </c>
    </row>
    <row r="750">
      <c r="A750">
        <f>Skills!A16</f>
        <v/>
      </c>
      <c r="B750">
        <f>Skills!B16</f>
        <v/>
      </c>
      <c r="C750">
        <f>Inputs!$B$3&gt;=15</f>
        <v/>
      </c>
      <c r="D750">
        <f>IF(Skills!C16=1,60+Inputs!$B$25+Inputs!$B$29,IF(Skills!C16=2,90+(Inputs!$B$26+1)+Inputs!$B$29,IF(Skills!C16=3,120+Inputs!$B$27+Inputs!$B$29,MAX(0,(Inputs!$B$3-100)*3)+Inputs!$B$28+Inputs!$B$29)))</f>
        <v/>
      </c>
      <c r="E750">
        <f>INDEX(FactorTable!$B$2:$Y$301, MATCH(ROUND(MIN(300,MAX(1,D750)),0), FactorTable!$A$2:$A$301,0), Skills!M16+1)</f>
        <v/>
      </c>
      <c r="F750">
        <f>IF(Skills!N16=TRUE,(Skills!L16/10)*(E750/1000),Skills!L16/10)+Skills!O16</f>
        <v/>
      </c>
      <c r="G750">
        <f>Skills!G16*IF(Skills!H16&gt;0,Skills!I16/Skills!H16,1)</f>
        <v/>
      </c>
      <c r="H750">
        <f>1-(1-Skills!J16/100)^Skills!K16</f>
        <v/>
      </c>
      <c r="I750" t="inlineStr">
        <is>
          <t>1</t>
        </is>
      </c>
      <c r="J750" t="inlineStr"/>
      <c r="K750" t="inlineStr"/>
      <c r="L750" t="inlineStr"/>
      <c r="M750" t="inlineStr"/>
      <c r="N750" t="inlineStr"/>
      <c r="O750">
        <f>(1-Summary!$B$11)*T750+Summary!$B$11*V750</f>
        <v/>
      </c>
      <c r="P750">
        <f>IF(B770=0,0,O750/B770)</f>
        <v/>
      </c>
      <c r="Q750" t="n">
        <v>0</v>
      </c>
      <c r="R750" t="n">
        <v>0</v>
      </c>
      <c r="S750">
        <f>IFERROR(O750/N750,0)</f>
        <v/>
      </c>
      <c r="T750" t="n">
        <v>0</v>
      </c>
      <c r="V750" t="n">
        <v>0</v>
      </c>
    </row>
    <row r="751">
      <c r="A751">
        <f>Skills!A17</f>
        <v/>
      </c>
      <c r="B751">
        <f>Skills!B17</f>
        <v/>
      </c>
      <c r="C751">
        <f>Inputs!$B$3&gt;=10</f>
        <v/>
      </c>
      <c r="D751">
        <f>IF(Skills!C17=1,60+Inputs!$B$25+Inputs!$B$29,IF(Skills!C17=2,90+(Inputs!$B$26+1)+Inputs!$B$29,IF(Skills!C17=3,120+Inputs!$B$27+Inputs!$B$29,MAX(0,(Inputs!$B$3-100)*3)+Inputs!$B$28+Inputs!$B$29)))</f>
        <v/>
      </c>
      <c r="E751">
        <f>INDEX(FactorTable!$B$2:$Y$301, MATCH(ROUND(MIN(300,MAX(1,D751)),0), FactorTable!$A$2:$A$301,0), Skills!M17+1)</f>
        <v/>
      </c>
      <c r="F751">
        <f>IF(Skills!N17=TRUE,(Skills!L17/10)*(E751/1000),Skills!L17/10)+Skills!O17</f>
        <v/>
      </c>
      <c r="G751">
        <f>Skills!G17*IF(Skills!H17&gt;0,Skills!I17/Skills!H17,1)</f>
        <v/>
      </c>
      <c r="H751">
        <f>1-(1-Skills!J17/100)^Skills!K17</f>
        <v/>
      </c>
      <c r="I751" t="inlineStr">
        <is>
          <t>1</t>
        </is>
      </c>
      <c r="J751" t="inlineStr"/>
      <c r="K751" t="inlineStr"/>
      <c r="L751" t="inlineStr"/>
      <c r="M751" t="inlineStr"/>
      <c r="N751" t="inlineStr"/>
      <c r="O751">
        <f>(1-Summary!$B$11)*T751+Summary!$B$11*V751</f>
        <v/>
      </c>
      <c r="P751">
        <f>IF(B770=0,0,O751/B770)</f>
        <v/>
      </c>
      <c r="Q751" t="n">
        <v>0</v>
      </c>
      <c r="R751" t="n">
        <v>0</v>
      </c>
      <c r="S751">
        <f>IFERROR(O751/N751,0)</f>
        <v/>
      </c>
      <c r="T751" t="n">
        <v>0</v>
      </c>
      <c r="V751" t="n">
        <v>0</v>
      </c>
    </row>
    <row r="752">
      <c r="A752">
        <f>Skills!A18</f>
        <v/>
      </c>
      <c r="B752">
        <f>Skills!B18</f>
        <v/>
      </c>
      <c r="C752">
        <f>Inputs!$B$3&gt;=33</f>
        <v/>
      </c>
      <c r="D752">
        <f>IF(Skills!C18=1,60+Inputs!$B$25+Inputs!$B$29,IF(Skills!C18=2,90+(Inputs!$B$26+1)+Inputs!$B$29,IF(Skills!C18=3,120+Inputs!$B$27+Inputs!$B$29,MAX(0,(Inputs!$B$3-100)*3)+Inputs!$B$28+Inputs!$B$29)))</f>
        <v/>
      </c>
      <c r="E752">
        <f>INDEX(FactorTable!$B$2:$Y$301, MATCH(ROUND(MIN(300,MAX(1,D752)),0), FactorTable!$A$2:$A$301,0), Skills!M18+1)</f>
        <v/>
      </c>
      <c r="F752">
        <f>IF(Skills!N18=TRUE,(Skills!L18/10)*(E752/1000),Skills!L18/10)+Skills!O18</f>
        <v/>
      </c>
      <c r="G752">
        <f>Skills!G18*IF(Skills!H18&gt;0,Skills!I18/Skills!H18,1)</f>
        <v/>
      </c>
      <c r="H752">
        <f>1-(1-Skills!J18/100)^Skills!K18</f>
        <v/>
      </c>
      <c r="I752" t="inlineStr">
        <is>
          <t>1</t>
        </is>
      </c>
      <c r="J752" t="inlineStr"/>
      <c r="K752" t="inlineStr"/>
      <c r="L752" t="inlineStr"/>
      <c r="M752" t="inlineStr"/>
      <c r="N752" t="inlineStr"/>
      <c r="O752">
        <f>(1-Summary!$B$11)*T752+Summary!$B$11*V752</f>
        <v/>
      </c>
      <c r="P752">
        <f>IF(B770=0,0,O752/B770)</f>
        <v/>
      </c>
      <c r="Q752" t="n">
        <v>0</v>
      </c>
      <c r="R752" t="n">
        <v>0</v>
      </c>
      <c r="S752">
        <f>IFERROR(O752/N752,0)</f>
        <v/>
      </c>
      <c r="T752" t="n">
        <v>0</v>
      </c>
      <c r="V752" t="n">
        <v>0</v>
      </c>
    </row>
    <row r="753">
      <c r="A753">
        <f>Skills!A19</f>
        <v/>
      </c>
      <c r="B753">
        <f>Skills!B19</f>
        <v/>
      </c>
      <c r="C753">
        <f>Inputs!$B$3&gt;=40</f>
        <v/>
      </c>
      <c r="D753">
        <f>IF(Skills!C19=1,60+Inputs!$B$25+Inputs!$B$29,IF(Skills!C19=2,90+(Inputs!$B$26+1)+Inputs!$B$29,IF(Skills!C19=3,120+Inputs!$B$27+Inputs!$B$29,MAX(0,(Inputs!$B$3-100)*3)+Inputs!$B$28+Inputs!$B$29)))</f>
        <v/>
      </c>
      <c r="E753">
        <f>INDEX(FactorTable!$B$2:$Y$301, MATCH(ROUND(MIN(300,MAX(1,D753)),0), FactorTable!$A$2:$A$301,0), Skills!M19+1)</f>
        <v/>
      </c>
      <c r="F753">
        <f>IF(Skills!N19=TRUE,(Skills!L19/10)*(E753/1000),Skills!L19/10)+Skills!O19</f>
        <v/>
      </c>
      <c r="G753">
        <f>Skills!G19*IF(Skills!H19&gt;0,Skills!I19/Skills!H19,1)</f>
        <v/>
      </c>
      <c r="H753">
        <f>1-(1-Skills!J19/100)^Skills!K19</f>
        <v/>
      </c>
      <c r="I753" t="inlineStr">
        <is>
          <t>1</t>
        </is>
      </c>
      <c r="J753" t="inlineStr"/>
      <c r="K753" t="inlineStr"/>
      <c r="L753" t="inlineStr"/>
      <c r="M753" t="inlineStr"/>
      <c r="N753" t="inlineStr"/>
      <c r="O753">
        <f>(1-Summary!$B$11)*T753+Summary!$B$11*V753</f>
        <v/>
      </c>
      <c r="P753">
        <f>IF(B770=0,0,O753/B770)</f>
        <v/>
      </c>
      <c r="Q753" t="n">
        <v>0</v>
      </c>
      <c r="R753" t="n">
        <v>0</v>
      </c>
      <c r="S753">
        <f>IFERROR(O753/N753,0)</f>
        <v/>
      </c>
      <c r="T753" t="n">
        <v>0</v>
      </c>
      <c r="V753" t="n">
        <v>0</v>
      </c>
    </row>
    <row r="754">
      <c r="A754">
        <f>Skills!A20</f>
        <v/>
      </c>
      <c r="B754">
        <f>Skills!B20</f>
        <v/>
      </c>
      <c r="C754">
        <f>Inputs!$B$3&gt;=43</f>
        <v/>
      </c>
      <c r="D754">
        <f>IF(Skills!C20=1,60+Inputs!$B$25+Inputs!$B$29,IF(Skills!C20=2,90+(Inputs!$B$26+1)+Inputs!$B$29,IF(Skills!C20=3,120+Inputs!$B$27+Inputs!$B$29,MAX(0,(Inputs!$B$3-100)*3)+Inputs!$B$28+Inputs!$B$29)))</f>
        <v/>
      </c>
      <c r="E754">
        <f>INDEX(FactorTable!$B$2:$Y$301, MATCH(ROUND(MIN(300,MAX(1,D754)),0), FactorTable!$A$2:$A$301,0), Skills!M20+1)</f>
        <v/>
      </c>
      <c r="F754">
        <f>IF(Skills!N20=TRUE,(Skills!L20/10)*(E754/1000),Skills!L20/10)+Skills!O20</f>
        <v/>
      </c>
      <c r="G754">
        <f>Skills!G20*IF(Skills!H20&gt;0,Skills!I20/Skills!H20,1)</f>
        <v/>
      </c>
      <c r="H754">
        <f>1-(1-Skills!J20/100)^Skills!K20</f>
        <v/>
      </c>
      <c r="I754" t="inlineStr">
        <is>
          <t>1</t>
        </is>
      </c>
      <c r="J754" t="inlineStr"/>
      <c r="K754" t="inlineStr"/>
      <c r="L754" t="inlineStr"/>
      <c r="M754" t="inlineStr"/>
      <c r="N754" t="inlineStr"/>
      <c r="O754">
        <f>(1-Summary!$B$11)*T754+Summary!$B$11*V754</f>
        <v/>
      </c>
      <c r="P754">
        <f>IF(B770=0,0,O754/B770)</f>
        <v/>
      </c>
      <c r="Q754" t="n">
        <v>0</v>
      </c>
      <c r="R754" t="n">
        <v>0</v>
      </c>
      <c r="S754">
        <f>IFERROR(O754/N754,0)</f>
        <v/>
      </c>
      <c r="T754" t="n">
        <v>0</v>
      </c>
      <c r="V754" t="n">
        <v>0</v>
      </c>
    </row>
    <row r="755">
      <c r="A755">
        <f>Skills!A21</f>
        <v/>
      </c>
      <c r="B755">
        <f>Skills!B21</f>
        <v/>
      </c>
      <c r="C755">
        <f>Inputs!$B$3&gt;=38</f>
        <v/>
      </c>
      <c r="D755">
        <f>IF(Skills!C21=1,60+Inputs!$B$25+Inputs!$B$29,IF(Skills!C21=2,90+(Inputs!$B$26+1)+Inputs!$B$29,IF(Skills!C21=3,120+Inputs!$B$27+Inputs!$B$29,MAX(0,(Inputs!$B$3-100)*3)+Inputs!$B$28+Inputs!$B$29)))</f>
        <v/>
      </c>
      <c r="E755">
        <f>INDEX(FactorTable!$B$2:$Y$301, MATCH(ROUND(MIN(300,MAX(1,D755)),0), FactorTable!$A$2:$A$301,0), Skills!M21+1)</f>
        <v/>
      </c>
      <c r="F755">
        <f>IF(Skills!N21=TRUE,(Skills!L21/10)*(E755/1000),Skills!L21/10)+Skills!O21</f>
        <v/>
      </c>
      <c r="G755">
        <f>Skills!G21*IF(Skills!H21&gt;0,Skills!I21/Skills!H21,1)</f>
        <v/>
      </c>
      <c r="H755">
        <f>1-(1-Skills!J21/100)^Skills!K21</f>
        <v/>
      </c>
      <c r="I755" t="inlineStr">
        <is>
          <t>1</t>
        </is>
      </c>
      <c r="J755" t="inlineStr"/>
      <c r="K755" t="inlineStr"/>
      <c r="L755" t="inlineStr"/>
      <c r="M755" t="inlineStr"/>
      <c r="N755" t="inlineStr"/>
      <c r="O755">
        <f>(1-Summary!$B$11)*T755+Summary!$B$11*V755</f>
        <v/>
      </c>
      <c r="P755">
        <f>IF(B770=0,0,O755/B770)</f>
        <v/>
      </c>
      <c r="Q755" t="n">
        <v>0</v>
      </c>
      <c r="R755" t="n">
        <v>0</v>
      </c>
      <c r="S755">
        <f>IFERROR(O755/N755,0)</f>
        <v/>
      </c>
      <c r="T755" t="n">
        <v>0</v>
      </c>
      <c r="V755" t="n">
        <v>0</v>
      </c>
    </row>
    <row r="756">
      <c r="A756">
        <f>Skills!A22</f>
        <v/>
      </c>
      <c r="B756">
        <f>Skills!B22</f>
        <v/>
      </c>
      <c r="C756">
        <f>Inputs!$B$3&gt;=75</f>
        <v/>
      </c>
      <c r="D756">
        <f>IF(Skills!C22=1,60+Inputs!$B$25+Inputs!$B$29,IF(Skills!C22=2,90+(Inputs!$B$26+1)+Inputs!$B$29,IF(Skills!C22=3,120+Inputs!$B$27+Inputs!$B$29,MAX(0,(Inputs!$B$3-100)*3)+Inputs!$B$28+Inputs!$B$29)))</f>
        <v/>
      </c>
      <c r="E756">
        <f>INDEX(FactorTable!$B$2:$Y$301, MATCH(ROUND(MIN(300,MAX(1,D756)),0), FactorTable!$A$2:$A$301,0), Skills!M22+1)</f>
        <v/>
      </c>
      <c r="F756">
        <f>IF(Skills!N22=TRUE,(Skills!L22/10)*(E756/1000),Skills!L22/10)+Skills!O22</f>
        <v/>
      </c>
      <c r="G756">
        <f>Skills!G22*IF(Skills!H22&gt;0,Skills!I22/Skills!H22,1)</f>
        <v/>
      </c>
      <c r="H756">
        <f>1-(1-Skills!J22/100)^Skills!K22</f>
        <v/>
      </c>
      <c r="I756" t="inlineStr">
        <is>
          <t>1</t>
        </is>
      </c>
      <c r="J756" t="inlineStr"/>
      <c r="K756" t="inlineStr"/>
      <c r="L756" t="inlineStr"/>
      <c r="M756" t="inlineStr"/>
      <c r="N756" t="inlineStr"/>
      <c r="O756">
        <f>(1-Summary!$B$11)*T756+Summary!$B$11*V756</f>
        <v/>
      </c>
      <c r="P756">
        <f>IF(B770=0,0,O756/B770)</f>
        <v/>
      </c>
      <c r="Q756" t="n">
        <v>0</v>
      </c>
      <c r="R756" t="n">
        <v>0</v>
      </c>
      <c r="S756">
        <f>IFERROR(O756/N756,0)</f>
        <v/>
      </c>
      <c r="T756" t="n">
        <v>0</v>
      </c>
      <c r="V756" t="n">
        <v>0</v>
      </c>
    </row>
    <row r="757">
      <c r="A757">
        <f>Skills!A23</f>
        <v/>
      </c>
      <c r="B757">
        <f>Skills!B23</f>
        <v/>
      </c>
      <c r="C757">
        <f>TRUE</f>
        <v/>
      </c>
      <c r="D757">
        <f>IF(Skills!C23=1,60+Inputs!$B$25+Inputs!$B$29,IF(Skills!C23=2,90+(Inputs!$B$26+1)+Inputs!$B$29,IF(Skills!C23=3,120+Inputs!$B$27+Inputs!$B$29,MAX(0,(Inputs!$B$3-100)*3)+Inputs!$B$28+Inputs!$B$29)))</f>
        <v/>
      </c>
      <c r="E757">
        <f>INDEX(FactorTable!$B$2:$Y$301, MATCH(ROUND(MIN(300,MAX(1,D757)),0), FactorTable!$A$2:$A$301,0), Skills!M23+1)</f>
        <v/>
      </c>
      <c r="F757">
        <f>IF(Skills!N23=TRUE,(Skills!L23/10)*(E757/1000),Skills!L23/10)+Skills!O23</f>
        <v/>
      </c>
      <c r="G757">
        <f>Skills!G23*IF(Skills!H23&gt;0,Skills!I23/Skills!H23,1)</f>
        <v/>
      </c>
      <c r="H757">
        <f>1-(1-Skills!J23/100)^Skills!K23</f>
        <v/>
      </c>
      <c r="I757" t="inlineStr">
        <is>
          <t>1</t>
        </is>
      </c>
      <c r="J757" t="inlineStr"/>
      <c r="K757" t="inlineStr"/>
      <c r="L757" t="inlineStr"/>
      <c r="M757" t="inlineStr"/>
      <c r="N757" t="inlineStr"/>
      <c r="O757">
        <f>(1-Summary!$B$11)*T757+Summary!$B$11*V757</f>
        <v/>
      </c>
      <c r="P757">
        <f>IF(B770=0,0,O757/B770)</f>
        <v/>
      </c>
      <c r="Q757">
        <f>IFERROR(1/(IF(Inputs!$B$38="pvp",15,MAX(0.1,Skills!D23-IF(Skills!E23=TRUE,Inputs!$B$32,0)))*(1-IF(AND(ArtifactsInput!$M$27,Inputs!$B$4="Chapter Hunt"),CHOOSE(ArtifactsInput!$N$27+1,20,24,28,32,36,40),0)/100)),0)</f>
        <v/>
      </c>
      <c r="R757">
        <f>IF(AND(Inputs!$B$38&lt;&gt;"pvp",Inputs!$B$43&gt;0),IF(Inputs!$B$43&lt;=0,0,(INT(Inputs!$B$43/(IF(Inputs!$B$38="pvp",15,MAX(0.1,Skills!D23-IF(Skills!E23=TRUE,Inputs!$B$32,0)))*(1-IF(AND(ArtifactsInput!$M$27,Inputs!$B$4="Chapter Hunt"),CHOOSE(ArtifactsInput!$N$27+1,20,24,28,32,36,40),0)/100)))+1)),0)</f>
        <v/>
      </c>
      <c r="S757">
        <f>IFERROR(O757/N757,0)</f>
        <v/>
      </c>
      <c r="T757" t="n">
        <v>0</v>
      </c>
      <c r="V757" t="n">
        <v>0</v>
      </c>
    </row>
    <row r="759">
      <c r="A759" t="inlineStr">
        <is>
          <t>Attack% Bucket Multiplier</t>
        </is>
      </c>
      <c r="B759">
        <f>(1+(((C747=TRUE)*F747*5/7)+((C753=TRUE)*(F753-Calc!F19))+(IF(ArtifactsInput!$M$21,CHOOSE(ArtifactsInput!$N$21+1,25,30,35,40,45,50)*(IF(OR(Inputs!$B$4="Chapter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60">
      <c r="A760" t="inlineStr">
        <is>
          <t>Global Crit Rate Bonus %</t>
        </is>
      </c>
      <c r="B760" t="n">
        <v>0</v>
      </c>
    </row>
    <row r="761">
      <c r="A761" t="inlineStr">
        <is>
          <t>Attack Speed Buff Bonus % (Nimble Feet, duty-cycle averaged)</t>
        </is>
      </c>
      <c r="B761">
        <f>((C757=TRUE)*F757*IF(AND(Inputs!$B$38&lt;&gt;"pvp",Inputs!$B$43&gt;0),(((R757-1)*(Skills!T23*(1+Inputs!$B$34/100))+MIN((Skills!T23*(1+Inputs!$B$34/100)),MAX(0,Inputs!$B$43-((R757-1)*Skills!D23))))/Inputs!$B$43),IF(Inputs!$B$38="pvp",MIN((Skills!T23*(1+Inputs!$B$34/100)),15)/15,(Skills!T23*(1+Inputs!$B$34/100))/Skills!D23)))</f>
        <v/>
      </c>
    </row>
    <row r="762">
      <c r="A762" t="inlineStr">
        <is>
          <t>Actions Per Second</t>
        </is>
      </c>
      <c r="B762">
        <f>1+MIN(150,150*(1-(1-(Inputs!$B$11+((C751=TRUE)*(F751-Calc!F17))+((C752=TRUE)*(F752-Calc!F18)))/150)*(1-B761/150)))/100</f>
        <v/>
      </c>
    </row>
    <row r="763">
      <c r="A763" t="inlineStr">
        <is>
          <t>Skill + Buff Cast Rate</t>
        </is>
      </c>
      <c r="B763">
        <f>IF(AND(Inputs!$B$38&lt;&gt;"pvp",Inputs!$B$43&gt;0),SUMPRODUCT((Skills!E2:E23=TRUE)*(C736:C757=TRUE)*R736:R757*Skills!F2:F23)/Inputs!$B$43,SUMPRODUCT((Skills!E2:E23=TRUE)*(C736:C757=TRUE)*Q736:Q757*Skills!F2:F23))</f>
        <v/>
      </c>
    </row>
    <row r="764">
      <c r="A764" t="inlineStr">
        <is>
          <t>Hook Bomber Casts Per Second</t>
        </is>
      </c>
      <c r="B764">
        <f>MAX(0,B762-B763)</f>
        <v/>
      </c>
    </row>
    <row r="765">
      <c r="A765" t="inlineStr">
        <is>
          <t>Global Critical Damage Bonus % (unused)</t>
        </is>
      </c>
      <c r="B765" t="n">
        <v>0</v>
      </c>
    </row>
    <row r="766">
      <c r="A766" t="inlineStr">
        <is>
          <t>Global Final Damage Bonus % (Serpent Scale + Crossbones + Time Leap + Speed Infusion)</t>
        </is>
      </c>
      <c r="B766">
        <f>((C739=TRUE)*F739*((10+IF(Inputs!$B$3&gt;=94,5,0))/((10+IF(Inputs!$B$3&gt;=94,5,0))+5/(B764*(1+IF(Inputs!$B$3&gt;=104,1,0))))))+((C748=TRUE)*F748*IF(AND(Inputs!$B$38&lt;&gt;"pvp",Inputs!$B$43&gt;0),(((R748-1)*(Skills!T14*(1+Inputs!$B$34/100))+MIN((Skills!T14*(1+Inputs!$B$34/100)),MAX(0,Inputs!$B$43-((R748-1)*Skills!D14))))/Inputs!$B$43),IF(Inputs!$B$38="pvp",MIN((Skills!T14*(1+Inputs!$B$34/100)),15)/15,(Skills!T14*(1+Inputs!$B$34/100))/Skills!D14)))+((C749=TRUE)*F749*IF(AND(Inputs!$B$38&lt;&gt;"pvp",Inputs!$B$43&gt;0),(((R749-1)*(Skills!T15*(1+Inputs!$B$34/100))+MIN((Skills!T15*(1+Inputs!$B$34/100)),MAX(0,Inputs!$B$43-((R749-1)*Skills!D15))))/Inputs!$B$43),IF(Inputs!$B$38="pvp",MIN((Skills!T15*(1+Inputs!$B$34/100)),15)/15,(Skills!T15*(1+Inputs!$B$34/100))/Skills!D15)))+((Inputs!$B$3&gt;=110)*20*(B762-1)*IF(Inputs!$B$38="pvp",MIN((15*(1+Inputs!$B$34/100)),15)/15,(15*(1+Inputs!$B$34/100))/35))</f>
        <v/>
      </c>
    </row>
    <row r="767">
      <c r="A767" t="inlineStr">
        <is>
          <t>Buff-Casting Startup Delay (s, fixed-duration only)</t>
        </is>
      </c>
      <c r="B767">
        <f>IF(AND(Inputs!$B$38&lt;&gt;"pvp",Inputs!$B$43&gt;0),SUMPRODUCT((Skills!T2:T23&gt;0)*(Skills!E2:E23=TRUE)*(C736:C757=TRUE))/B762,0)</f>
        <v/>
      </c>
    </row>
    <row r="768">
      <c r="A768" t="inlineStr">
        <is>
          <t>Boss-Only Total DPS (this block's swept value)</t>
        </is>
      </c>
      <c r="B768">
        <f>SUM(T736:T757)</f>
        <v/>
      </c>
    </row>
    <row r="769">
      <c r="A769" t="inlineStr">
        <is>
          <t>Normal-Only Total DPS (this block's swept value)</t>
        </is>
      </c>
      <c r="B769">
        <f>SUM(V736:V757)</f>
        <v/>
      </c>
    </row>
    <row r="770">
      <c r="A770" s="6" t="inlineStr">
        <is>
          <t>TOTAL DPS</t>
        </is>
      </c>
      <c r="B770" s="6">
        <f>SUM(O736:O757)</f>
        <v/>
      </c>
    </row>
    <row r="773">
      <c r="A773" s="6" t="inlineStr">
        <is>
          <t>Stat: Skill Level Bonus — 3rd Job</t>
        </is>
      </c>
    </row>
    <row r="774">
      <c r="A774" s="5" t="inlineStr">
        <is>
          <t>Key</t>
        </is>
      </c>
      <c r="B774" s="5" t="inlineStr">
        <is>
          <t>Name</t>
        </is>
      </c>
      <c r="C774" s="5" t="inlineStr">
        <is>
          <t>Unlocked</t>
        </is>
      </c>
      <c r="D774" s="5" t="inlineStr">
        <is>
          <t>InputLevel</t>
        </is>
      </c>
      <c r="E774" s="5" t="inlineStr">
        <is>
          <t>Factor</t>
        </is>
      </c>
      <c r="F774" s="5" t="inlineStr">
        <is>
          <t>CoefficientPercent</t>
        </is>
      </c>
      <c r="G774" s="5" t="inlineStr">
        <is>
          <t>EffectiveHits</t>
        </is>
      </c>
      <c r="H774" s="5" t="inlineStr">
        <is>
          <t>ProcProbability</t>
        </is>
      </c>
      <c r="I774" s="5" t="inlineStr">
        <is>
          <t>MapleHeroMultiplier</t>
        </is>
      </c>
      <c r="J774" s="5" t="inlineStr">
        <is>
          <t>BaseDamage</t>
        </is>
      </c>
      <c r="K774" s="5" t="inlineStr">
        <is>
          <t>BaseHitDamage</t>
        </is>
      </c>
      <c r="L774" s="5" t="inlineStr">
        <is>
          <t>NonCritAvg</t>
        </is>
      </c>
      <c r="M774" s="5" t="inlineStr">
        <is>
          <t>CritAvg</t>
        </is>
      </c>
      <c r="N774" s="5" t="inlineStr">
        <is>
          <t>ExpectedDamage(perHit)</t>
        </is>
      </c>
      <c r="O774" s="5" t="inlineStr">
        <is>
          <t>DPS</t>
        </is>
      </c>
      <c r="P774" s="5" t="inlineStr">
        <is>
          <t>% of Total</t>
        </is>
      </c>
      <c r="Q774" s="5" t="inlineStr">
        <is>
          <t>InvCooldown</t>
        </is>
      </c>
      <c r="R774" s="5" t="inlineStr">
        <is>
          <t>CastsInFight</t>
        </is>
      </c>
      <c r="S774" s="5" t="inlineStr">
        <is>
          <t>HitRate(perSec)</t>
        </is>
      </c>
      <c r="U774" t="inlineStr">
        <is>
          <t>helpers</t>
        </is>
      </c>
    </row>
    <row r="775">
      <c r="A775">
        <f>Skills!A2</f>
        <v/>
      </c>
      <c r="B775">
        <f>Skills!B2</f>
        <v/>
      </c>
      <c r="C775">
        <f>Inputs!$B$3&gt;=100</f>
        <v/>
      </c>
      <c r="D775" t="inlineStr"/>
      <c r="E775" t="inlineStr"/>
      <c r="F775">
        <f>U777+Skills!O2</f>
        <v/>
      </c>
      <c r="G775">
        <f>Skills!G2*IF(Skills!H2&gt;0,Skills!I2/Skills!H2,1)</f>
        <v/>
      </c>
      <c r="H775">
        <f>1-(1-Skills!J2/100)^Skills!K2</f>
        <v/>
      </c>
      <c r="I775" t="inlineStr">
        <is>
          <t>1</t>
        </is>
      </c>
      <c r="J775">
        <f>((Inputs!$B$6*(1+Inputs!$B$7/100))+(((Inputs!$B$12*(1+Inputs!$B$13/100))-(Inputs!$B$12*(1+Inputs!$B$13/100)))+0.25*(Inputs!$B$14-Inputs!$B$14))*(1+Inputs!$B$7/100))*(F775/100)</f>
        <v/>
      </c>
      <c r="K775">
        <f>J775*(1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775)</f>
        <v/>
      </c>
      <c r="L775">
        <f>K775*(MIN(Inputs!$B$22+((C793=TRUE)*(F793-Calc!F20)),(Inputs!$B$23+0+(IF(ArtifactsInput!$M$15,CHOOSE(ArtifactsInput!$N$15+1,25,30,35,40,45,50)/100*(Inputs!$B$11-Inputs!$B$11),0))))/100+(Inputs!$B$23+0+(IF(ArtifactsInput!$M$15,CHOOSE(ArtifactsInput!$N$15+1,25,30,35,40,45,50)/100*(Inputs!$B$11-Inputs!$B$11),0)))/100)/2</f>
        <v/>
      </c>
      <c r="M775">
        <f>L775*(1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5">
        <f>L775*(1-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775*(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5">
        <f>(1-Summary!$B$11)*T775+Summary!$B$11*V775</f>
        <v/>
      </c>
      <c r="P775">
        <f>IF(B809=0,0,O775/B809)</f>
        <v/>
      </c>
      <c r="Q775" t="n">
        <v>0</v>
      </c>
      <c r="R775" t="n">
        <v>0</v>
      </c>
      <c r="S775">
        <f>IFERROR(O775/N775,0)</f>
        <v/>
      </c>
      <c r="T775">
        <f>IF(C775,(Skills!G2*N775*B803)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775*(1-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775*(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775*(1-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775*(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5">
        <f>MAX(0,(Inputs!$B$3-100)*3)+Inputs!$B$28+Inputs!$B$29</f>
        <v/>
      </c>
      <c r="V775">
        <f>IF(C775,(Skills!G2*N775*B803)*IF(Inputs!$B$38="pvp",1,(1+(Inputs!$B$21+Skills!Q2+(IF(ArtifactsInput!$M$33,CHOOSE(ArtifactsInput!$N$33+1,30,36,42,48,54,60),0))+(IF(AND(ArtifactsInput!$M$35,Inputs!$B$4&lt;&gt;"Chapter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6">
      <c r="A776">
        <f>Skills!A3</f>
        <v/>
      </c>
      <c r="B776">
        <f>Skills!B3</f>
        <v/>
      </c>
      <c r="C776">
        <f>Inputs!$B$3&gt;=35</f>
        <v/>
      </c>
      <c r="D776">
        <f>IF(Skills!C3=1,60+Inputs!$B$25+Inputs!$B$29,IF(Skills!C3=2,90+Inputs!$B$26+Inputs!$B$29,IF(Skills!C3=3,120+(Inputs!$B$27+1)+Inputs!$B$29,MAX(0,(Inputs!$B$3-100)*3)+Inputs!$B$28+Inputs!$B$29)))</f>
        <v/>
      </c>
      <c r="E776">
        <f>INDEX(FactorTable!$B$2:$Y$301, MATCH(ROUND(MIN(300,MAX(1,D776)),0), FactorTable!$A$2:$A$301,0), Skills!M3+1)</f>
        <v/>
      </c>
      <c r="F776">
        <f>IF(Skills!N3=TRUE,(Skills!L3/10)*(E776/1000),Skills!L3/10)+Skills!O3</f>
        <v/>
      </c>
      <c r="G776">
        <f>Skills!G3*IF(Skills!H3&gt;0,Skills!I3/Skills!H3,1)</f>
        <v/>
      </c>
      <c r="H776">
        <f>1-(1-Skills!J3/100)^Skills!K3</f>
        <v/>
      </c>
      <c r="I776" t="inlineStr">
        <is>
          <t>1</t>
        </is>
      </c>
      <c r="J776">
        <f>((Inputs!$B$6*(1+Inputs!$B$7/100))+(((Inputs!$B$12*(1+Inputs!$B$13/100))-(Inputs!$B$12*(1+Inputs!$B$13/100)))+0.25*(Inputs!$B$14-Inputs!$B$14))*(1+Inputs!$B$7/100))*(F776/100)</f>
        <v/>
      </c>
      <c r="K776">
        <f>J776*(1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776)</f>
        <v/>
      </c>
      <c r="L776">
        <f>K776*(MIN(Inputs!$B$22+((C793=TRUE)*(F793-Calc!F20)),(Inputs!$B$23+0+(IF(ArtifactsInput!$M$15,CHOOSE(ArtifactsInput!$N$15+1,25,30,35,40,45,50)/100*(Inputs!$B$11-Inputs!$B$11),0))))/100+(Inputs!$B$23+0+(IF(ArtifactsInput!$M$15,CHOOSE(ArtifactsInput!$N$15+1,25,30,35,40,45,50)/100*(Inputs!$B$11-Inputs!$B$11),0)))/100)/2</f>
        <v/>
      </c>
      <c r="M776">
        <f>L776*(1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6">
        <f>L776*(1-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776*(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6">
        <f>(1-Summary!$B$11)*T776+Summary!$B$11*V776</f>
        <v/>
      </c>
      <c r="P776">
        <f>IF(B809=0,0,O776/B809)</f>
        <v/>
      </c>
      <c r="Q776" t="n">
        <v>0</v>
      </c>
      <c r="R776" t="n">
        <v>0</v>
      </c>
      <c r="S776">
        <f>IFERROR(O776/N776,0)</f>
        <v/>
      </c>
      <c r="T776">
        <f>IF(C776,(Skills!G3*H776*N776*B803)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776*(1-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776*(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776*(1-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776*(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6">
        <f>INDEX(FactorTable!$B$2:$Y$301, MATCH(ROUND(MIN(300,MAX(1,U775)),0), FactorTable!$A$2:$A$301,0), 22)</f>
        <v/>
      </c>
      <c r="V776">
        <f>IF(C776,(Skills!G3*H776*N776*B803)*IF(Inputs!$B$38="pvp",1,(1+(Inputs!$B$21+Skills!Q3+(IF(ArtifactsInput!$M$33,CHOOSE(ArtifactsInput!$N$33+1,30,36,42,48,54,60),0))+(IF(AND(ArtifactsInput!$M$35,Inputs!$B$4&lt;&gt;"Chapter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7">
      <c r="A777">
        <f>Skills!A4</f>
        <v/>
      </c>
      <c r="B777">
        <f>Skills!B4</f>
        <v/>
      </c>
      <c r="C777">
        <f>Inputs!$B$3&gt;=60</f>
        <v/>
      </c>
      <c r="D777">
        <f>IF(Skills!C4=1,60+Inputs!$B$25+Inputs!$B$29,IF(Skills!C4=2,90+Inputs!$B$26+Inputs!$B$29,IF(Skills!C4=3,120+(Inputs!$B$27+1)+Inputs!$B$29,MAX(0,(Inputs!$B$3-100)*3)+Inputs!$B$28+Inputs!$B$29)))</f>
        <v/>
      </c>
      <c r="E777">
        <f>INDEX(FactorTable!$B$2:$Y$301, MATCH(ROUND(MIN(300,MAX(1,D777)),0), FactorTable!$A$2:$A$301,0), Skills!M4+1)</f>
        <v/>
      </c>
      <c r="F777">
        <f>IF(Skills!N4=TRUE,(Skills!L4/10)*(E777/1000),Skills!L4/10)+Skills!O4</f>
        <v/>
      </c>
      <c r="G777">
        <f>Skills!G4*IF(Skills!H4&gt;0,Skills!I4/Skills!H4,1)</f>
        <v/>
      </c>
      <c r="H777">
        <f>1-(1-Skills!J4/100)^Skills!K4</f>
        <v/>
      </c>
      <c r="I777" t="inlineStr">
        <is>
          <t>1</t>
        </is>
      </c>
      <c r="J777">
        <f>((Inputs!$B$6*(1+Inputs!$B$7/100))+(((Inputs!$B$12*(1+Inputs!$B$13/100))-(Inputs!$B$12*(1+Inputs!$B$13/100)))+0.25*(Inputs!$B$14-Inputs!$B$14))*(1+Inputs!$B$7/100))*(F777/100)</f>
        <v/>
      </c>
      <c r="K777">
        <f>J777*(1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785=TRUE,F785,0)/100)*(1+(IF(Skills!A4="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777)</f>
        <v/>
      </c>
      <c r="L777">
        <f>K777*(MIN(Inputs!$B$22+((C793=TRUE)*(F793-Calc!F20)),(Inputs!$B$23+0+(IF(ArtifactsInput!$M$15,CHOOSE(ArtifactsInput!$N$15+1,25,30,35,40,45,50)/100*(Inputs!$B$11-Inputs!$B$11),0))))/100+(Inputs!$B$23+0+(IF(ArtifactsInput!$M$15,CHOOSE(ArtifactsInput!$N$15+1,25,30,35,40,45,50)/100*(Inputs!$B$11-Inputs!$B$11),0)))/100)/2</f>
        <v/>
      </c>
      <c r="M777">
        <f>L777*(1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7">
        <f>L777*(1-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777*(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7">
        <f>(1-Summary!$B$11)*T777+Summary!$B$11*V777</f>
        <v/>
      </c>
      <c r="P777">
        <f>IF(B809=0,0,O777/B809)</f>
        <v/>
      </c>
      <c r="Q777" t="n">
        <v>0</v>
      </c>
      <c r="R777" t="n">
        <v>0</v>
      </c>
      <c r="S777">
        <f>IFERROR(O777/N777,0)</f>
        <v/>
      </c>
      <c r="T777">
        <f>IF(C777,(Skills!G4*H777*N777*B803)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777*(1-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777*(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777*(1-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777*(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77">
        <f>290*U776/1000</f>
        <v/>
      </c>
      <c r="V777">
        <f>IF(C777,(Skills!G4*H777*N777*B803)*IF(Inputs!$B$38="pvp",1,(1+(Inputs!$B$21+Skills!Q4+(IF(ArtifactsInput!$M$33,CHOOSE(ArtifactsInput!$N$33+1,30,36,42,48,54,60),0))+(IF(AND(ArtifactsInput!$M$35,Inputs!$B$4&lt;&gt;"Chapter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78">
      <c r="A778">
        <f>Skills!A5</f>
        <v/>
      </c>
      <c r="B778">
        <f>Skills!B5</f>
        <v/>
      </c>
      <c r="C778">
        <f>Inputs!$B$3&gt;=60</f>
        <v/>
      </c>
      <c r="D778">
        <f>IF(Skills!C5=1,60+Inputs!$B$25+Inputs!$B$29,IF(Skills!C5=2,90+Inputs!$B$26+Inputs!$B$29,IF(Skills!C5=3,120+(Inputs!$B$27+1)+Inputs!$B$29,MAX(0,(Inputs!$B$3-100)*3)+Inputs!$B$28+Inputs!$B$29)))</f>
        <v/>
      </c>
      <c r="E778">
        <f>INDEX(FactorTable!$B$2:$Y$301, MATCH(ROUND(MIN(300,MAX(1,D778)),0), FactorTable!$A$2:$A$301,0), Skills!M5+1)</f>
        <v/>
      </c>
      <c r="F778">
        <f>IF(Skills!N5=TRUE,(Skills!L5/10)*(E778/1000),Skills!L5/10)+Skills!O5</f>
        <v/>
      </c>
      <c r="G778">
        <f>Skills!G5*IF(Skills!H5&gt;0,Skills!I5/Skills!H5,1)</f>
        <v/>
      </c>
      <c r="H778">
        <f>1-(1-Skills!J5/100)^Skills!K5</f>
        <v/>
      </c>
      <c r="I778" t="inlineStr">
        <is>
          <t>1</t>
        </is>
      </c>
      <c r="J778" t="inlineStr"/>
      <c r="K778" t="inlineStr"/>
      <c r="L778" t="inlineStr"/>
      <c r="M778" t="inlineStr"/>
      <c r="N778" t="inlineStr"/>
      <c r="O778">
        <f>(1-Summary!$B$11)*T778+Summary!$B$11*V778</f>
        <v/>
      </c>
      <c r="P778">
        <f>IF(B809=0,0,O778/B809)</f>
        <v/>
      </c>
      <c r="Q778" t="n">
        <v>0</v>
      </c>
      <c r="R778" t="n">
        <v>0</v>
      </c>
      <c r="S778">
        <f>IFERROR(O778/N778,0)</f>
        <v/>
      </c>
      <c r="T778" t="n">
        <v>0</v>
      </c>
      <c r="V778" t="n">
        <v>0</v>
      </c>
    </row>
    <row r="779">
      <c r="A779">
        <f>Skills!A6</f>
        <v/>
      </c>
      <c r="B779">
        <f>Skills!B6</f>
        <v/>
      </c>
      <c r="C779">
        <f>Inputs!$B$3&gt;=63</f>
        <v/>
      </c>
      <c r="D779">
        <f>IF(Skills!C6=1,60+Inputs!$B$25+Inputs!$B$29,IF(Skills!C6=2,90+Inputs!$B$26+Inputs!$B$29,IF(Skills!C6=3,120+(Inputs!$B$27+1)+Inputs!$B$29,MAX(0,(Inputs!$B$3-100)*3)+Inputs!$B$28+Inputs!$B$29)))</f>
        <v/>
      </c>
      <c r="E779">
        <f>INDEX(FactorTable!$B$2:$Y$301, MATCH(ROUND(MIN(300,MAX(1,D779)),0), FactorTable!$A$2:$A$301,0), Skills!M6+1)</f>
        <v/>
      </c>
      <c r="F779">
        <f>IF(Skills!N6=TRUE,(Skills!L6/10)*(E779/1000),Skills!L6/10)+Skills!O6</f>
        <v/>
      </c>
      <c r="G779">
        <f>Skills!G6*IF(Skills!H6&gt;0,Skills!I6/Skills!H6,1)</f>
        <v/>
      </c>
      <c r="H779">
        <f>1-(1-Skills!J6/100)^Skills!K6</f>
        <v/>
      </c>
      <c r="I779" t="inlineStr">
        <is>
          <t>1</t>
        </is>
      </c>
      <c r="J779">
        <f>((Inputs!$B$6*(1+Inputs!$B$7/100))+(((Inputs!$B$12*(1+Inputs!$B$13/100))-(Inputs!$B$12*(1+Inputs!$B$13/100)))+0.25*(Inputs!$B$14-Inputs!$B$14))*(1+Inputs!$B$7/100))*(F779/100)</f>
        <v/>
      </c>
      <c r="K779">
        <f>J779*(1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785=TRUE,F785,0)/100)*(1+(IF(Skills!A6="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779)</f>
        <v/>
      </c>
      <c r="L779">
        <f>K779*(MIN(Inputs!$B$22+((C793=TRUE)*(F793-Calc!F20)),(Inputs!$B$23+0+(IF(ArtifactsInput!$M$15,CHOOSE(ArtifactsInput!$N$15+1,25,30,35,40,45,50)/100*(Inputs!$B$11-Inputs!$B$11),0))))/100+(Inputs!$B$23+0+(IF(ArtifactsInput!$M$15,CHOOSE(ArtifactsInput!$N$15+1,25,30,35,40,45,50)/100*(Inputs!$B$11-Inputs!$B$11),0)))/100)/2</f>
        <v/>
      </c>
      <c r="M779">
        <f>L779*(1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9">
        <f>L779*(1-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779*(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9">
        <f>(1-Summary!$B$11)*T779+Summary!$B$11*V779</f>
        <v/>
      </c>
      <c r="P779">
        <f>IF(B809=0,0,O779/B809)</f>
        <v/>
      </c>
      <c r="Q779">
        <f>IFERROR(1/(IF(Inputs!$B$38="pvp",15,MAX(0.1,Skills!D6-IF(Skills!E6=TRUE,Inputs!$B$32,0)))*(1-IF(AND(ArtifactsInput!$M$27,Inputs!$B$4="Chapter Hunt"),CHOOSE(ArtifactsInput!$N$27+1,20,24,28,32,36,40),0)/100)),0)</f>
        <v/>
      </c>
      <c r="R779">
        <f>IF(AND(Inputs!$B$38&lt;&gt;"pvp",Inputs!$B$43&gt;0),IF(MAX(0,Inputs!$B$43-B806)&lt;=0,0,(INT(MAX(0,Inputs!$B$43-B806)/(IF(Inputs!$B$38="pvp",15,MAX(0.1,Skills!D6-IF(Skills!E6=TRUE,Inputs!$B$32,0)))*(1-IF(AND(ArtifactsInput!$M$27,Inputs!$B$4="Chapter Hunt"),CHOOSE(ArtifactsInput!$N$27+1,20,24,28,32,36,40),0)/100)))+1)),0)</f>
        <v/>
      </c>
      <c r="S779">
        <f>IFERROR(O779/N779,0)</f>
        <v/>
      </c>
      <c r="T779">
        <f>IF(C779,(H779*N779*IF(AND(Inputs!$B$38&lt;&gt;"pvp",Inputs!$B$43&gt;0),((Skills!G6*((R779-1)*IF(Skills!H6&gt;0,Skills!I6/Skills!H6,1)+IF(Skills!H6&gt;0,MIN(Skills!I6,MAX(0,MAX(0,Inputs!$B$43-B806)-((R779-1)*(IF(Inputs!$B$38="pvp",15,MAX(0.1,Skills!D6-IF(Skills!E6=TRUE,Inputs!$B$32,0)))*(1-IF(AND(ArtifactsInput!$M$27,Inputs!$B$4="Chapter Hunt"),CHOOSE(ArtifactsInput!$N$27+1,20,24,28,32,36,40),0)/100)))))/Skills!H6,1)))/Inputs!$B$43),G779*Q779)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779*(1-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779*(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779*(1-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779*(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9">
        <f>IF(C779,(H779*N779*IF(AND(Inputs!$B$38&lt;&gt;"pvp",Inputs!$B$43&gt;0),((Skills!G6*((R779-1)*IF(Skills!H6&gt;0,Skills!I6/Skills!H6,1)+IF(Skills!H6&gt;0,MIN(Skills!I6,MAX(0,MAX(0,Inputs!$B$43-B806)-((R779-1)*(IF(Inputs!$B$38="pvp",15,MAX(0.1,Skills!D6-IF(Skills!E6=TRUE,Inputs!$B$32,0)))*(1-IF(AND(ArtifactsInput!$M$27,Inputs!$B$4="Chapter Hunt"),CHOOSE(ArtifactsInput!$N$27+1,20,24,28,32,36,40),0)/100)))))/Skills!H6,1)))/Inputs!$B$43),G779*Q779))*IF(Inputs!$B$38="pvp",1,(1+(Inputs!$B$21+Skills!Q6+(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0">
      <c r="A780">
        <f>Skills!A7</f>
        <v/>
      </c>
      <c r="B780">
        <f>Skills!B7</f>
        <v/>
      </c>
      <c r="C780">
        <f>Inputs!$B$3&gt;=100</f>
        <v/>
      </c>
      <c r="D780">
        <f>IF(Skills!C7=1,60+Inputs!$B$25+Inputs!$B$29,IF(Skills!C7=2,90+Inputs!$B$26+Inputs!$B$29,IF(Skills!C7=3,120+(Inputs!$B$27+1)+Inputs!$B$29,MAX(0,(Inputs!$B$3-100)*3)+Inputs!$B$28+Inputs!$B$29)))</f>
        <v/>
      </c>
      <c r="E780">
        <f>INDEX(FactorTable!$B$2:$Y$301, MATCH(ROUND(MIN(300,MAX(1,D780)),0), FactorTable!$A$2:$A$301,0), Skills!M7+1)</f>
        <v/>
      </c>
      <c r="F780">
        <f>IF(Skills!N7=TRUE,(Skills!L7/10)*(E780/1000),Skills!L7/10)+Skills!O7</f>
        <v/>
      </c>
      <c r="G780">
        <f>Skills!G7*IF(Skills!H7&gt;0,Skills!I7/Skills!H7,1)</f>
        <v/>
      </c>
      <c r="H780">
        <f>1-(1-Skills!J7/100)^Skills!K7</f>
        <v/>
      </c>
      <c r="I780" t="inlineStr">
        <is>
          <t>1</t>
        </is>
      </c>
      <c r="J780">
        <f>((Inputs!$B$6*(1+Inputs!$B$7/100))+(((Inputs!$B$12*(1+Inputs!$B$13/100))-(Inputs!$B$12*(1+Inputs!$B$13/100)))+0.25*(Inputs!$B$14-Inputs!$B$14))*(1+Inputs!$B$7/100))*(F780/100)</f>
        <v/>
      </c>
      <c r="K780">
        <f>J780*(1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780)</f>
        <v/>
      </c>
      <c r="L780">
        <f>K780*(MIN(Inputs!$B$22+((C793=TRUE)*(F793-Calc!F20)),(Inputs!$B$23+0+(IF(ArtifactsInput!$M$15,CHOOSE(ArtifactsInput!$N$15+1,25,30,35,40,45,50)/100*(Inputs!$B$11-Inputs!$B$11),0))))/100+(Inputs!$B$23+0+(IF(ArtifactsInput!$M$15,CHOOSE(ArtifactsInput!$N$15+1,25,30,35,40,45,50)/100*(Inputs!$B$11-Inputs!$B$11),0)))/100)/2</f>
        <v/>
      </c>
      <c r="M780">
        <f>L780*(1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0">
        <f>L780*(1-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780*(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0">
        <f>(1-Summary!$B$11)*T780+Summary!$B$11*V780</f>
        <v/>
      </c>
      <c r="P780">
        <f>IF(B809=0,0,O780/B809)</f>
        <v/>
      </c>
      <c r="Q780">
        <f>IFERROR(1/(IF(Inputs!$B$38="pvp",15,MAX(0.1,Skills!D7-IF(Skills!E7=TRUE,Inputs!$B$32,0)))*(1-IF(AND(ArtifactsInput!$M$27,Inputs!$B$4="Chapter Hunt"),CHOOSE(ArtifactsInput!$N$27+1,20,24,28,32,36,40),0)/100)),0)</f>
        <v/>
      </c>
      <c r="R780">
        <f>IF(AND(Inputs!$B$38&lt;&gt;"pvp",Inputs!$B$43&gt;0),IF(MAX(0,Inputs!$B$43-B806)&lt;=0,0,(INT(MAX(0,Inputs!$B$43-B806)/(IF(Inputs!$B$38="pvp",15,MAX(0.1,Skills!D7-IF(Skills!E7=TRUE,Inputs!$B$32,0)))*(1-IF(AND(ArtifactsInput!$M$27,Inputs!$B$4="Chapter Hunt"),CHOOSE(ArtifactsInput!$N$27+1,20,24,28,32,36,40),0)/100)))+1)),0)</f>
        <v/>
      </c>
      <c r="S780">
        <f>IFERROR(O780/N780,0)</f>
        <v/>
      </c>
      <c r="T780">
        <f>IF(C780,(H780*N780*IF(AND(Inputs!$B$38&lt;&gt;"pvp",Inputs!$B$43&gt;0),((Skills!G7*((R780-1)*IF(Skills!H7&gt;0,Skills!I7/Skills!H7,1)+IF(Skills!H7&gt;0,MIN(Skills!I7,MAX(0,MAX(0,Inputs!$B$43-B806)-((R780-1)*(IF(Inputs!$B$38="pvp",15,MAX(0.1,Skills!D7-IF(Skills!E7=TRUE,Inputs!$B$32,0)))*(1-IF(AND(ArtifactsInput!$M$27,Inputs!$B$4="Chapter Hunt"),CHOOSE(ArtifactsInput!$N$27+1,20,24,28,32,36,40),0)/100)))))/Skills!H7,1)))/Inputs!$B$43),G780*Q780)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780*(1-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780*(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780*(1-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780*(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0">
        <f>IF(C780,(H780*N780*IF(AND(Inputs!$B$38&lt;&gt;"pvp",Inputs!$B$43&gt;0),((Skills!G7*((R780-1)*IF(Skills!H7&gt;0,Skills!I7/Skills!H7,1)+IF(Skills!H7&gt;0,MIN(Skills!I7,MAX(0,MAX(0,Inputs!$B$43-B806)-((R780-1)*(IF(Inputs!$B$38="pvp",15,MAX(0.1,Skills!D7-IF(Skills!E7=TRUE,Inputs!$B$32,0)))*(1-IF(AND(ArtifactsInput!$M$27,Inputs!$B$4="Chapter Hunt"),CHOOSE(ArtifactsInput!$N$27+1,20,24,28,32,36,40),0)/100)))))/Skills!H7,1)))/Inputs!$B$43),G780*Q780))*IF(Inputs!$B$38="pvp",1,(1+(Inputs!$B$21+Skills!Q7+(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1">
      <c r="A781">
        <f>Skills!A8</f>
        <v/>
      </c>
      <c r="B781">
        <f>Skills!B8</f>
        <v/>
      </c>
      <c r="C781">
        <f>Inputs!$B$3&gt;=110</f>
        <v/>
      </c>
      <c r="D781">
        <f>IF(Skills!C8=1,60+Inputs!$B$25+Inputs!$B$29,IF(Skills!C8=2,90+Inputs!$B$26+Inputs!$B$29,IF(Skills!C8=3,120+(Inputs!$B$27+1)+Inputs!$B$29,MAX(0,(Inputs!$B$3-100)*3)+Inputs!$B$28+Inputs!$B$29)))</f>
        <v/>
      </c>
      <c r="E781">
        <f>INDEX(FactorTable!$B$2:$Y$301, MATCH(ROUND(MIN(300,MAX(1,D781)),0), FactorTable!$A$2:$A$301,0), Skills!M8+1)</f>
        <v/>
      </c>
      <c r="F781">
        <f>IF(Skills!N8=TRUE,(Skills!L8/10)*(E781/1000),Skills!L8/10)+Skills!O8</f>
        <v/>
      </c>
      <c r="G781">
        <f>Skills!G8*IF(Skills!H8&gt;0,Skills!I8/Skills!H8,1)</f>
        <v/>
      </c>
      <c r="H781">
        <f>1-(1-Skills!J8/100)^Skills!K8</f>
        <v/>
      </c>
      <c r="I781" t="inlineStr">
        <is>
          <t>1</t>
        </is>
      </c>
      <c r="J781">
        <f>((Inputs!$B$6*(1+Inputs!$B$7/100))+(((Inputs!$B$12*(1+Inputs!$B$13/100))-(Inputs!$B$12*(1+Inputs!$B$13/100)))+0.25*(Inputs!$B$14-Inputs!$B$14))*(1+Inputs!$B$7/100))*(F781/100)</f>
        <v/>
      </c>
      <c r="K781">
        <f>J781*(1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781)</f>
        <v/>
      </c>
      <c r="L781">
        <f>K781*(MIN(Inputs!$B$22+((C793=TRUE)*(F793-Calc!F20)),(Inputs!$B$23+0+(IF(ArtifactsInput!$M$15,CHOOSE(ArtifactsInput!$N$15+1,25,30,35,40,45,50)/100*(Inputs!$B$11-Inputs!$B$11),0))))/100+(Inputs!$B$23+0+(IF(ArtifactsInput!$M$15,CHOOSE(ArtifactsInput!$N$15+1,25,30,35,40,45,50)/100*(Inputs!$B$11-Inputs!$B$11),0)))/100)/2</f>
        <v/>
      </c>
      <c r="M781">
        <f>L781*(1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1">
        <f>L781*(1-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1">
        <f>(1-Summary!$B$11)*T781+Summary!$B$11*V781</f>
        <v/>
      </c>
      <c r="P781">
        <f>IF(B809=0,0,O781/B809)</f>
        <v/>
      </c>
      <c r="Q781">
        <f>IFERROR(1/(IF(Inputs!$B$38="pvp",15,MAX(0.1,Skills!D8-IF(Skills!E8=TRUE,Inputs!$B$32,0)))*(1-IF(AND(ArtifactsInput!$M$27,Inputs!$B$4="Chapter Hunt"),CHOOSE(ArtifactsInput!$N$27+1,20,24,28,32,36,40),0)/100)),0)</f>
        <v/>
      </c>
      <c r="R781">
        <f>IF(AND(Inputs!$B$38&lt;&gt;"pvp",Inputs!$B$43&gt;0),IF(MAX(0,Inputs!$B$43-B806)&lt;=0,0,(INT(MAX(0,Inputs!$B$43-B806)/(IF(Inputs!$B$38="pvp",15,MAX(0.1,Skills!D8-IF(Skills!E8=TRUE,Inputs!$B$32,0)))*(1-IF(AND(ArtifactsInput!$M$27,Inputs!$B$4="Chapter Hunt"),CHOOSE(ArtifactsInput!$N$27+1,20,24,28,32,36,40),0)/100)))+1)),0)</f>
        <v/>
      </c>
      <c r="S781">
        <f>IFERROR(O781/N781,0)</f>
        <v/>
      </c>
      <c r="T781">
        <f>IF(C781,(H781*N781*IF(AND(Inputs!$B$38&lt;&gt;"pvp",Inputs!$B$43&gt;0),((Skills!G8*((R781-1)*IF(Skills!H8&gt;0,Skills!I8/Skills!H8,1)+IF(Skills!H8&gt;0,MIN(Skills!I8,MAX(0,MAX(0,Inputs!$B$43-B806)-((R781-1)*(IF(Inputs!$B$38="pvp",15,MAX(0.1,Skills!D8-IF(Skills!E8=TRUE,Inputs!$B$32,0)))*(1-IF(AND(ArtifactsInput!$M$27,Inputs!$B$4="Chapter Hunt"),CHOOSE(ArtifactsInput!$N$27+1,20,24,28,32,36,40),0)/100)))))/Skills!H8,1)))/Inputs!$B$43),G781*Q781)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1">
        <f>IF(C781,(H781*N781*IF(AND(Inputs!$B$38&lt;&gt;"pvp",Inputs!$B$43&gt;0),((Skills!G8*((R781-1)*IF(Skills!H8&gt;0,Skills!I8/Skills!H8,1)+IF(Skills!H8&gt;0,MIN(Skills!I8,MAX(0,MAX(0,Inputs!$B$43-B806)-((R781-1)*(IF(Inputs!$B$38="pvp",15,MAX(0.1,Skills!D8-IF(Skills!E8=TRUE,Inputs!$B$32,0)))*(1-IF(AND(ArtifactsInput!$M$27,Inputs!$B$4="Chapter Hunt"),CHOOSE(ArtifactsInput!$N$27+1,20,24,28,32,36,40),0)/100)))))/Skills!H8,1)))/Inputs!$B$43),G781*Q781))*IF(Inputs!$B$38="pvp",1,(1+(Inputs!$B$21+Skills!Q8+(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2">
      <c r="A782">
        <f>Skills!A9</f>
        <v/>
      </c>
      <c r="B782">
        <f>Skills!B9</f>
        <v/>
      </c>
      <c r="C782">
        <f>Inputs!$B$3&gt;=110</f>
        <v/>
      </c>
      <c r="D782">
        <f>IF(Skills!C9=1,60+Inputs!$B$25+Inputs!$B$29,IF(Skills!C9=2,90+Inputs!$B$26+Inputs!$B$29,IF(Skills!C9=3,120+(Inputs!$B$27+1)+Inputs!$B$29,MAX(0,(Inputs!$B$3-100)*3)+Inputs!$B$28+Inputs!$B$29)))</f>
        <v/>
      </c>
      <c r="E782">
        <f>INDEX(FactorTable!$B$2:$Y$301, MATCH(ROUND(MIN(300,MAX(1,D782)),0), FactorTable!$A$2:$A$301,0), Skills!M9+1)</f>
        <v/>
      </c>
      <c r="F782">
        <f>IF(Skills!N9=TRUE,(Skills!L9/10)*(E782/1000),Skills!L9/10)+Skills!O9</f>
        <v/>
      </c>
      <c r="G782">
        <f>Skills!G9*IF(Skills!H9&gt;0,Skills!I9/Skills!H9,1)</f>
        <v/>
      </c>
      <c r="H782">
        <f>1-(1-Skills!J9/100)^Skills!K9</f>
        <v/>
      </c>
      <c r="I782" t="inlineStr">
        <is>
          <t>1</t>
        </is>
      </c>
      <c r="J782">
        <f>((Inputs!$B$6*(1+Inputs!$B$7/100))+(((Inputs!$B$12*(1+Inputs!$B$13/100))-(Inputs!$B$12*(1+Inputs!$B$13/100)))+0.25*(Inputs!$B$14-Inputs!$B$14))*(1+Inputs!$B$7/100))*(F782/100)</f>
        <v/>
      </c>
      <c r="K782">
        <f>J782*(1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782)</f>
        <v/>
      </c>
      <c r="L782">
        <f>K782*(MIN(Inputs!$B$22+((C793=TRUE)*(F793-Calc!F20)),(Inputs!$B$23+0+(IF(ArtifactsInput!$M$15,CHOOSE(ArtifactsInput!$N$15+1,25,30,35,40,45,50)/100*(Inputs!$B$11-Inputs!$B$11),0))))/100+(Inputs!$B$23+0+(IF(ArtifactsInput!$M$15,CHOOSE(ArtifactsInput!$N$15+1,25,30,35,40,45,50)/100*(Inputs!$B$11-Inputs!$B$11),0)))/100)/2</f>
        <v/>
      </c>
      <c r="M782">
        <f>L782*(1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2">
        <f>L782*(1-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782*(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2">
        <f>(1-Summary!$B$11)*T782+Summary!$B$11*V782</f>
        <v/>
      </c>
      <c r="P782">
        <f>IF(B809=0,0,O782/B809)</f>
        <v/>
      </c>
      <c r="Q782">
        <f>IFERROR(1/(IF(Inputs!$B$38="pvp",15,MAX(0.1,Skills!D9-IF(Skills!E9=TRUE,Inputs!$B$32,0)))*(1-IF(AND(ArtifactsInput!$M$27,Inputs!$B$4="Chapter Hunt"),CHOOSE(ArtifactsInput!$N$27+1,20,24,28,32,36,40),0)/100)),0)</f>
        <v/>
      </c>
      <c r="R782">
        <f>IF(AND(Inputs!$B$38&lt;&gt;"pvp",Inputs!$B$43&gt;0),IF(MAX(0,Inputs!$B$43-B806)&lt;=0,0,(INT(MAX(0,Inputs!$B$43-B806)/(IF(Inputs!$B$38="pvp",15,MAX(0.1,Skills!D9-IF(Skills!E9=TRUE,Inputs!$B$32,0)))*(1-IF(AND(ArtifactsInput!$M$27,Inputs!$B$4="Chapter Hunt"),CHOOSE(ArtifactsInput!$N$27+1,20,24,28,32,36,40),0)/100)))+1)),0)</f>
        <v/>
      </c>
      <c r="S782">
        <f>IFERROR(O782/N782,0)</f>
        <v/>
      </c>
      <c r="T782">
        <f>IF(C782,(H782*N782*IF(AND(Inputs!$B$38&lt;&gt;"pvp",Inputs!$B$43&gt;0),((Skills!G9*((R782-1)*IF(Skills!H9&gt;0,Skills!I9/Skills!H9,1)+IF(Skills!H9&gt;0,MIN(Skills!I9,MAX(0,MAX(0,Inputs!$B$43-B806)-((R782-1)*(IF(Inputs!$B$38="pvp",15,MAX(0.1,Skills!D9-IF(Skills!E9=TRUE,Inputs!$B$32,0)))*(1-IF(AND(ArtifactsInput!$M$27,Inputs!$B$4="Chapter Hunt"),CHOOSE(ArtifactsInput!$N$27+1,20,24,28,32,36,40),0)/100)))))/Skills!H9,1)))/Inputs!$B$43),G782*Q782)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782*(1-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782*(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782*(1-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782*(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2">
        <f>IF(C782,(H782*N782*IF(AND(Inputs!$B$38&lt;&gt;"pvp",Inputs!$B$43&gt;0),((Skills!G9*((R782-1)*IF(Skills!H9&gt;0,Skills!I9/Skills!H9,1)+IF(Skills!H9&gt;0,MIN(Skills!I9,MAX(0,MAX(0,Inputs!$B$43-B806)-((R782-1)*(IF(Inputs!$B$38="pvp",15,MAX(0.1,Skills!D9-IF(Skills!E9=TRUE,Inputs!$B$32,0)))*(1-IF(AND(ArtifactsInput!$M$27,Inputs!$B$4="Chapter Hunt"),CHOOSE(ArtifactsInput!$N$27+1,20,24,28,32,36,40),0)/100)))))/Skills!H9,1)))/Inputs!$B$43),G782*Q782))*IF(Inputs!$B$38="pvp",1,(1+(Inputs!$B$21+Skills!Q9+(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3">
      <c r="A783">
        <f>Skills!A10</f>
        <v/>
      </c>
      <c r="B783">
        <f>Skills!B10</f>
        <v/>
      </c>
      <c r="C783">
        <f>Inputs!$B$3&gt;=103</f>
        <v/>
      </c>
      <c r="D783">
        <f>IF(Skills!C10=1,60+Inputs!$B$25+Inputs!$B$29,IF(Skills!C10=2,90+Inputs!$B$26+Inputs!$B$29,IF(Skills!C10=3,120+(Inputs!$B$27+1)+Inputs!$B$29,MAX(0,(Inputs!$B$3-100)*3)+Inputs!$B$28+Inputs!$B$29)))</f>
        <v/>
      </c>
      <c r="E783">
        <f>INDEX(FactorTable!$B$2:$Y$301, MATCH(ROUND(MIN(300,MAX(1,D783)),0), FactorTable!$A$2:$A$301,0), Skills!M10+1)</f>
        <v/>
      </c>
      <c r="F783">
        <f>IF(Skills!N10=TRUE,(Skills!L10/10)*(E783/1000),Skills!L10/10)+Skills!O10</f>
        <v/>
      </c>
      <c r="G783">
        <f>Skills!G10*IF(Skills!H10&gt;0,Skills!I10/Skills!H10,1)</f>
        <v/>
      </c>
      <c r="H783">
        <f>1-(1-Skills!J10/100)^Skills!K10</f>
        <v/>
      </c>
      <c r="I783" t="inlineStr">
        <is>
          <t>1</t>
        </is>
      </c>
      <c r="J783">
        <f>((Inputs!$B$6*(1+Inputs!$B$7/100))+(((Inputs!$B$12*(1+Inputs!$B$13/100))-(Inputs!$B$12*(1+Inputs!$B$13/100)))+0.25*(Inputs!$B$14-Inputs!$B$14))*(1+Inputs!$B$7/100))*(F783/100)</f>
        <v/>
      </c>
      <c r="K783">
        <f>J783*(1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783)</f>
        <v/>
      </c>
      <c r="L783">
        <f>K783*(MIN(Inputs!$B$22+((C793=TRUE)*(F793-Calc!F20)),(Inputs!$B$23+0+(IF(ArtifactsInput!$M$15,CHOOSE(ArtifactsInput!$N$15+1,25,30,35,40,45,50)/100*(Inputs!$B$11-Inputs!$B$11),0))))/100+(Inputs!$B$23+0+(IF(ArtifactsInput!$M$15,CHOOSE(ArtifactsInput!$N$15+1,25,30,35,40,45,50)/100*(Inputs!$B$11-Inputs!$B$11),0)))/100)/2</f>
        <v/>
      </c>
      <c r="M783">
        <f>L783*(1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3">
        <f>L783*(1-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783*(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3">
        <f>(1-Summary!$B$11)*T783+Summary!$B$11*V783</f>
        <v/>
      </c>
      <c r="P783">
        <f>IF(B809=0,0,O783/B809)</f>
        <v/>
      </c>
      <c r="Q783">
        <f>IFERROR(1/(IF(Inputs!$B$38="pvp",15,MAX(0.1,Skills!D10-IF(Skills!E10=TRUE,Inputs!$B$32,0)))*(1-IF(AND(ArtifactsInput!$M$27,Inputs!$B$4="Chapter Hunt"),CHOOSE(ArtifactsInput!$N$27+1,20,24,28,32,36,40),0)/100)),0)</f>
        <v/>
      </c>
      <c r="R783">
        <f>IF(AND(Inputs!$B$38&lt;&gt;"pvp",Inputs!$B$43&gt;0),IF(MAX(0,Inputs!$B$43-B806)&lt;=0,0,(INT(MAX(0,Inputs!$B$43-B806)/(IF(Inputs!$B$38="pvp",15,MAX(0.1,Skills!D10-IF(Skills!E10=TRUE,Inputs!$B$32,0)))*(1-IF(AND(ArtifactsInput!$M$27,Inputs!$B$4="Chapter Hunt"),CHOOSE(ArtifactsInput!$N$27+1,20,24,28,32,36,40),0)/100)))+1)),0)</f>
        <v/>
      </c>
      <c r="S783">
        <f>IFERROR(O783/N783,0)</f>
        <v/>
      </c>
      <c r="T783">
        <f>IF(C783,(H783*N783*IF(AND(Inputs!$B$38&lt;&gt;"pvp",Inputs!$B$43&gt;0),((Skills!G10*((R783-1)*IF(Skills!H10&gt;0,Skills!I10/Skills!H10,1)+IF(Skills!H10&gt;0,MIN(Skills!I10,MAX(0,MAX(0,Inputs!$B$43-B806)-((R783-1)*(IF(Inputs!$B$38="pvp",15,MAX(0.1,Skills!D10-IF(Skills!E10=TRUE,Inputs!$B$32,0)))*(1-IF(AND(ArtifactsInput!$M$27,Inputs!$B$4="Chapter Hunt"),CHOOSE(ArtifactsInput!$N$27+1,20,24,28,32,36,40),0)/100)))))/Skills!H10,1)))/Inputs!$B$43),G783*Q783)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783*(1-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783*(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783*(1-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783*(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3">
        <f>IF(C783,(H783*N783*IF(AND(Inputs!$B$38&lt;&gt;"pvp",Inputs!$B$43&gt;0),((Skills!G10*((R783-1)*IF(Skills!H10&gt;0,Skills!I10/Skills!H10,1)+IF(Skills!H10&gt;0,MIN(Skills!I10,MAX(0,MAX(0,Inputs!$B$43-B806)-((R783-1)*(IF(Inputs!$B$38="pvp",15,MAX(0.1,Skills!D10-IF(Skills!E10=TRUE,Inputs!$B$32,0)))*(1-IF(AND(ArtifactsInput!$M$27,Inputs!$B$4="Chapter Hunt"),CHOOSE(ArtifactsInput!$N$27+1,20,24,28,32,36,40),0)/100)))))/Skills!H10,1)))/Inputs!$B$43),G783*Q783))*IF(Inputs!$B$38="pvp",1,(1+(Inputs!$B$21+Skills!Q10+(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4">
      <c r="A784">
        <f>Skills!A11</f>
        <v/>
      </c>
      <c r="B784">
        <f>Skills!B11</f>
        <v/>
      </c>
      <c r="C784">
        <f>Inputs!$B$3&gt;=113</f>
        <v/>
      </c>
      <c r="D784">
        <f>IF(Skills!C11=1,60+Inputs!$B$25+Inputs!$B$29,IF(Skills!C11=2,90+Inputs!$B$26+Inputs!$B$29,IF(Skills!C11=3,120+(Inputs!$B$27+1)+Inputs!$B$29,MAX(0,(Inputs!$B$3-100)*3)+Inputs!$B$28+Inputs!$B$29)))</f>
        <v/>
      </c>
      <c r="E784">
        <f>INDEX(FactorTable!$B$2:$Y$301, MATCH(ROUND(MIN(300,MAX(1,D784)),0), FactorTable!$A$2:$A$301,0), Skills!M11+1)</f>
        <v/>
      </c>
      <c r="F784">
        <f>IF(Skills!N11=TRUE,(Skills!L11/10)*(E784/1000),Skills!L11/10)+Skills!O11</f>
        <v/>
      </c>
      <c r="G784">
        <f>Skills!G11*IF(Skills!H11&gt;0,Skills!I11/Skills!H11,1)</f>
        <v/>
      </c>
      <c r="H784">
        <f>1-(1-Skills!J11/100)^Skills!K11</f>
        <v/>
      </c>
      <c r="I784" t="inlineStr">
        <is>
          <t>1</t>
        </is>
      </c>
      <c r="J784">
        <f>((Inputs!$B$6*(1+Inputs!$B$7/100))+(((Inputs!$B$12*(1+Inputs!$B$13/100))-(Inputs!$B$12*(1+Inputs!$B$13/100)))+0.25*(Inputs!$B$14-Inputs!$B$14))*(1+Inputs!$B$7/100))*(F784/100)</f>
        <v/>
      </c>
      <c r="K784">
        <f>J784*(1+((Inputs!$B$12*(1+Inputs!$B$13/100))*0.01+Inputs!$B$14*0.0025)/100)*(1+Inputs!$B$15/100)*(1+Inputs!$B$16/100)*(5000/(6000+Inputs!$B$42*(1-(100*(1-(1-(Inputs!$B$19+0)/100)*(1-CHOOSE(ArtifactsInput!$N$40+1,5,6,7,8,9,10)/100)^(ArtifactsInput!$M$40-ArtifactsInput!$M$40)))/100)))*(1+(Inputs!$B$24+((C795=TRUE)*(F795-Calc!F22))+B805)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794=TRUE)*(F794-Calc!F21))+(((IF(AND(ArtifactsInput!$M$42,((Inputs!$B$9+((C789=TRUE)*(F789-Calc!F16))+B799+(ArtifactsInput!$M$24-ArtifactsInput!$M$24)*CHOOSE(ArtifactsInput!$N$24+1,10,12,14,16,18,20)+IF(ArtifactsInput!$M$10,CHOOSE(ArtifactsInput!$N$10+1,15,18,21,24,27,30)*(IF(Inputs!$B$38="pvp",MIN(15,15)/15,IF(AND(Inputs!$B$38&lt;&gt;"pvp",Inputs!$B$43&gt;0),MIN(15,Inputs!$B$43)/(Inputs!$B$43),0))),0)))&gt;=100),MIN(100,((Inputs!$B$9+((C789=TRUE)*(F789-Calc!F16))+B799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789=TRUE)*(F789-Calc!F16))+B799+(ArtifactsInput!$M$24-ArtifactsInput!$M$24)*CHOOSE(ArtifactsInput!$N$24+1,10,12,14,16,18,20)+IF(ArtifactsInput!$M$10,CHOOSE(ArtifactsInput!$N$10+1,15,18,21,24,27,30)*(IF(Inputs!$B$38="pvp",MIN(15,15)/15,IF(AND(Inputs!$B$38&lt;&gt;"pvp",Inputs!$B$43&gt;0),MIN(15,Inputs!$B$43)/(Inputs!$B$43),0))),0)))&gt;=100),CHOOSE(ArtifactsInput!$N$42+1,40,48,56,64,72,80),0))))/100)*((1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784)</f>
        <v/>
      </c>
      <c r="L784">
        <f>K784*(MIN(Inputs!$B$22+((C793=TRUE)*(F793-Calc!F20)),(Inputs!$B$23+0+(IF(ArtifactsInput!$M$15,CHOOSE(ArtifactsInput!$N$15+1,25,30,35,40,45,50)/100*(Inputs!$B$11-Inputs!$B$11),0))))/100+(Inputs!$B$23+0+(IF(ArtifactsInput!$M$15,CHOOSE(ArtifactsInput!$N$15+1,25,30,35,40,45,50)/100*(Inputs!$B$11-Inputs!$B$11),0)))/100)/2</f>
        <v/>
      </c>
      <c r="M784">
        <f>L784*(1+(Inputs!$B$10+0+B804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4">
        <f>L784*(1-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784*(MIN((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4">
        <f>(1-Summary!$B$11)*T784+Summary!$B$11*V784</f>
        <v/>
      </c>
      <c r="P784">
        <f>IF(B809=0,0,O784/B809)</f>
        <v/>
      </c>
      <c r="Q784">
        <f>IFERROR(1/(IF(Inputs!$B$38="pvp",15,MAX(0.1,Skills!D11-IF(Skills!E11=TRUE,Inputs!$B$32,0)))*(1-IF(AND(ArtifactsInput!$M$27,Inputs!$B$4="Chapter Hunt"),CHOOSE(ArtifactsInput!$N$27+1,20,24,28,32,36,40),0)/100)),0)</f>
        <v/>
      </c>
      <c r="R784">
        <f>IF(AND(Inputs!$B$38&lt;&gt;"pvp",Inputs!$B$43&gt;0),IF(MAX(0,Inputs!$B$43-B806)&lt;=0,0,(INT(MAX(0,Inputs!$B$43-B806)/(IF(Inputs!$B$38="pvp",15,MAX(0.1,Skills!D11-IF(Skills!E11=TRUE,Inputs!$B$32,0)))*(1-IF(AND(ArtifactsInput!$M$27,Inputs!$B$4="Chapter Hunt"),CHOOSE(ArtifactsInput!$N$27+1,20,24,28,32,36,40),0)/100)))+1)),0)</f>
        <v/>
      </c>
      <c r="S784">
        <f>IFERROR(O784/N784,0)</f>
        <v/>
      </c>
      <c r="T784">
        <f>IF(C784,(H784*N784*IF(AND(Inputs!$B$38&lt;&gt;"pvp",Inputs!$B$43&gt;0),((Skills!G11*((R784-1)*IF(Skills!H11&gt;0,Skills!I11/Skills!H11,1)+IF(Skills!H11&gt;0,MIN(Skills!I11,MAX(0,MAX(0,Inputs!$B$43-B806)-((R784-1)*(IF(Inputs!$B$38="pvp",15,MAX(0.1,Skills!D11-IF(Skills!E11=TRUE,Inputs!$B$32,0)))*(1-IF(AND(ArtifactsInput!$M$27,Inputs!$B$4="Chapter Hunt"),CHOOSE(ArtifactsInput!$N$27+1,20,24,28,32,36,40),0)/100)))))/Skills!H11,1)))/Inputs!$B$43),G784*Q784)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784*(1-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784*(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784*(1-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784*(MIN(100,(Inputs!$B$9+((C789=TRUE)*(F789-Calc!F16))+B799+(ArtifactsInput!$M$24-ArtifactsInput!$M$24)*CHOOSE(ArtifactsInput!$N$24+1,10,12,14,16,18,20)+(IF(AND(ArtifactsInput!$M$42,((Inputs!$B$9+((C789=TRUE)*(F789-Calc!F16))+B799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4">
        <f>IF(C784,(H784*N784*IF(AND(Inputs!$B$38&lt;&gt;"pvp",Inputs!$B$43&gt;0),((Skills!G11*((R784-1)*IF(Skills!H11&gt;0,Skills!I11/Skills!H11,1)+IF(Skills!H11&gt;0,MIN(Skills!I11,MAX(0,MAX(0,Inputs!$B$43-B806)-((R784-1)*(IF(Inputs!$B$38="pvp",15,MAX(0.1,Skills!D11-IF(Skills!E11=TRUE,Inputs!$B$32,0)))*(1-IF(AND(ArtifactsInput!$M$27,Inputs!$B$4="Chapter Hunt"),CHOOSE(ArtifactsInput!$N$27+1,20,24,28,32,36,40),0)/100)))))/Skills!H11,1)))/Inputs!$B$43),G784*Q784))*IF(Inputs!$B$38="pvp",1,(1+(Inputs!$B$21+Skills!Q11+(IF(ArtifactsInput!$M$33,CHOOSE(ArtifactsInput!$N$33+1,30,36,42,48,54,60),0))+(IF(AND(ArtifactsInput!$M$35,Inputs!$B$4&lt;&gt;"Chapter Hunt"),CHOOSE(ArtifactsInput!$N$35+1,15,18,21,24,27,30)*(1-EXP(-(0.2*B801)*5)),0)+IF(AND(ArtifactsInput!$M$22,Inputs!$B$4&lt;&gt;"Chapter Hunt"),CHOOSE(ArtifactsInput!$N$22+1,10,12,14,16,18,20)*((0*(((0.15*B801*5))^0/1)+1*(((0.15*B801*5))^1/1)+2*(((0.15*B801*5))^2/2)+3*(((0.15*B801*5))^3/6)+4*(((0.15*B801*5))^4/24)+5*(((0.15*B801*5))^5/120))/((((0.15*B801*5))^0/1)+(((0.15*B801*5))^1/1)+(((0.15*B801*5))^2/2)+(((0.15*B801*5))^3/6)+(((0.15*B801*5))^4/24)+(((0.15*B801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5">
      <c r="A785">
        <f>Skills!A12</f>
        <v/>
      </c>
      <c r="B785">
        <f>Skills!B12</f>
        <v/>
      </c>
      <c r="C785">
        <f>Inputs!$B$3&gt;=100</f>
        <v/>
      </c>
      <c r="D785">
        <f>IF(Skills!C12=1,60+Inputs!$B$25+Inputs!$B$29,IF(Skills!C12=2,90+Inputs!$B$26+Inputs!$B$29,IF(Skills!C12=3,120+(Inputs!$B$27+1)+Inputs!$B$29,MAX(0,(Inputs!$B$3-100)*3)+Inputs!$B$28+Inputs!$B$29)))</f>
        <v/>
      </c>
      <c r="E785">
        <f>INDEX(FactorTable!$B$2:$Y$301, MATCH(ROUND(MIN(300,MAX(1,D785)),0), FactorTable!$A$2:$A$301,0), Skills!M12+1)</f>
        <v/>
      </c>
      <c r="F785">
        <f>IF(Skills!N12=TRUE,(Skills!L12/10)*(E785/1000),Skills!L12/10)+Skills!O12</f>
        <v/>
      </c>
      <c r="G785" t="inlineStr"/>
      <c r="H785" t="inlineStr"/>
      <c r="I785" t="inlineStr">
        <is>
          <t>1</t>
        </is>
      </c>
      <c r="J785" t="inlineStr"/>
      <c r="K785" t="inlineStr"/>
      <c r="L785" t="inlineStr"/>
      <c r="M785" t="inlineStr"/>
      <c r="N785" t="inlineStr"/>
      <c r="O785" t="inlineStr"/>
      <c r="P785" t="inlineStr"/>
      <c r="Q785" t="inlineStr"/>
      <c r="R785" t="inlineStr"/>
      <c r="S785" t="inlineStr"/>
      <c r="T785" t="inlineStr"/>
      <c r="V785" t="inlineStr"/>
    </row>
    <row r="786">
      <c r="A786">
        <f>Skills!A13</f>
        <v/>
      </c>
      <c r="B786">
        <f>Skills!B13</f>
        <v/>
      </c>
      <c r="C786">
        <f>Inputs!$B$3&gt;=66</f>
        <v/>
      </c>
      <c r="D786">
        <f>IF(Skills!C13=1,60+Inputs!$B$25+Inputs!$B$29,IF(Skills!C13=2,90+Inputs!$B$26+Inputs!$B$29,IF(Skills!C13=3,120+(Inputs!$B$27+1)+Inputs!$B$29,MAX(0,(Inputs!$B$3-100)*3)+Inputs!$B$28+Inputs!$B$29)))</f>
        <v/>
      </c>
      <c r="E786">
        <f>INDEX(FactorTable!$B$2:$Y$301, MATCH(ROUND(MIN(300,MAX(1,D786)),0), FactorTable!$A$2:$A$301,0), Skills!M13+1)</f>
        <v/>
      </c>
      <c r="F786">
        <f>IF(Skills!N13=TRUE,(Skills!L13/10)*(E786/1000),Skills!L13/10)+Skills!O13</f>
        <v/>
      </c>
      <c r="G786">
        <f>Skills!G13*IF(Skills!H13&gt;0,Skills!I13/Skills!H13,1)</f>
        <v/>
      </c>
      <c r="H786">
        <f>1-(1-Skills!J13/100)^Skills!K13</f>
        <v/>
      </c>
      <c r="I786" t="inlineStr">
        <is>
          <t>1</t>
        </is>
      </c>
      <c r="J786" t="inlineStr"/>
      <c r="K786" t="inlineStr"/>
      <c r="L786" t="inlineStr"/>
      <c r="M786" t="inlineStr"/>
      <c r="N786" t="inlineStr"/>
      <c r="O786">
        <f>(1-Summary!$B$11)*T786+Summary!$B$11*V786</f>
        <v/>
      </c>
      <c r="P786">
        <f>IF(B809=0,0,O786/B809)</f>
        <v/>
      </c>
      <c r="Q786" t="n">
        <v>0</v>
      </c>
      <c r="R786" t="n">
        <v>0</v>
      </c>
      <c r="S786">
        <f>IFERROR(O786/N786,0)</f>
        <v/>
      </c>
      <c r="T786" t="n">
        <v>0</v>
      </c>
      <c r="V786" t="n">
        <v>0</v>
      </c>
    </row>
    <row r="787">
      <c r="A787">
        <f>Skills!A14</f>
        <v/>
      </c>
      <c r="B787">
        <f>Skills!B14</f>
        <v/>
      </c>
      <c r="C787">
        <f>Inputs!$B$3&gt;=107</f>
        <v/>
      </c>
      <c r="D787">
        <f>IF(Skills!C14=1,60+Inputs!$B$25+Inputs!$B$29,IF(Skills!C14=2,90+Inputs!$B$26+Inputs!$B$29,IF(Skills!C14=3,120+(Inputs!$B$27+1)+Inputs!$B$29,MAX(0,(Inputs!$B$3-100)*3)+Inputs!$B$28+Inputs!$B$29)))</f>
        <v/>
      </c>
      <c r="E787">
        <f>INDEX(FactorTable!$B$2:$Y$301, MATCH(ROUND(MIN(300,MAX(1,D787)),0), FactorTable!$A$2:$A$301,0), Skills!M14+1)</f>
        <v/>
      </c>
      <c r="F787">
        <f>IF(Skills!N14=TRUE,(Skills!L14/10)*(E787/1000),Skills!L14/10)+Skills!O14</f>
        <v/>
      </c>
      <c r="G787">
        <f>Skills!G14*IF(Skills!H14&gt;0,Skills!I14/Skills!H14,1)</f>
        <v/>
      </c>
      <c r="H787">
        <f>1-(1-Skills!J14/100)^Skills!K14</f>
        <v/>
      </c>
      <c r="I787" t="inlineStr">
        <is>
          <t>1</t>
        </is>
      </c>
      <c r="J787" t="inlineStr"/>
      <c r="K787" t="inlineStr"/>
      <c r="L787" t="inlineStr"/>
      <c r="M787" t="inlineStr"/>
      <c r="N787" t="inlineStr"/>
      <c r="O787">
        <f>(1-Summary!$B$11)*T787+Summary!$B$11*V787</f>
        <v/>
      </c>
      <c r="P787">
        <f>IF(B809=0,0,O787/B809)</f>
        <v/>
      </c>
      <c r="Q787">
        <f>IFERROR(1/(IF(Inputs!$B$38="pvp",15,MAX(0.1,Skills!D14-IF(Skills!E14=TRUE,Inputs!$B$32,0)))*(1-IF(AND(ArtifactsInput!$M$27,Inputs!$B$4="Chapter Hunt"),CHOOSE(ArtifactsInput!$N$27+1,20,24,28,32,36,40),0)/100)),0)</f>
        <v/>
      </c>
      <c r="R787">
        <f>IF(AND(Inputs!$B$38&lt;&gt;"pvp",Inputs!$B$43&gt;0),IF(Inputs!$B$43&lt;=0,0,(INT(Inputs!$B$43/(IF(Inputs!$B$38="pvp",15,MAX(0.1,Skills!D14-IF(Skills!E14=TRUE,Inputs!$B$32,0)))*(1-IF(AND(ArtifactsInput!$M$27,Inputs!$B$4="Chapter Hunt"),CHOOSE(ArtifactsInput!$N$27+1,20,24,28,32,36,40),0)/100)))+1)),0)</f>
        <v/>
      </c>
      <c r="S787">
        <f>IFERROR(O787/N787,0)</f>
        <v/>
      </c>
      <c r="T787" t="n">
        <v>0</v>
      </c>
      <c r="V787" t="n">
        <v>0</v>
      </c>
    </row>
    <row r="788">
      <c r="A788">
        <f>Skills!A15</f>
        <v/>
      </c>
      <c r="B788">
        <f>Skills!B15</f>
        <v/>
      </c>
      <c r="C788">
        <f>Inputs!$B$3&gt;=115</f>
        <v/>
      </c>
      <c r="D788">
        <f>IF(Skills!C15=1,60+Inputs!$B$25+Inputs!$B$29,IF(Skills!C15=2,90+Inputs!$B$26+Inputs!$B$29,IF(Skills!C15=3,120+(Inputs!$B$27+1)+Inputs!$B$29,MAX(0,(Inputs!$B$3-100)*3)+Inputs!$B$28+Inputs!$B$29)))</f>
        <v/>
      </c>
      <c r="E788">
        <f>INDEX(FactorTable!$B$2:$Y$301, MATCH(ROUND(MIN(300,MAX(1,D788)),0), FactorTable!$A$2:$A$301,0), Skills!M15+1)</f>
        <v/>
      </c>
      <c r="F788">
        <f>IF(Skills!N15=TRUE,(Skills!L15/10)*(E788/1000),Skills!L15/10)+Skills!O15</f>
        <v/>
      </c>
      <c r="G788">
        <f>Skills!G15*IF(Skills!H15&gt;0,Skills!I15/Skills!H15,1)</f>
        <v/>
      </c>
      <c r="H788">
        <f>1-(1-Skills!J15/100)^Skills!K15</f>
        <v/>
      </c>
      <c r="I788" t="inlineStr">
        <is>
          <t>1</t>
        </is>
      </c>
      <c r="J788" t="inlineStr"/>
      <c r="K788" t="inlineStr"/>
      <c r="L788" t="inlineStr"/>
      <c r="M788" t="inlineStr"/>
      <c r="N788" t="inlineStr"/>
      <c r="O788">
        <f>(1-Summary!$B$11)*T788+Summary!$B$11*V788</f>
        <v/>
      </c>
      <c r="P788">
        <f>IF(B809=0,0,O788/B809)</f>
        <v/>
      </c>
      <c r="Q788">
        <f>IFERROR(1/(IF(Inputs!$B$38="pvp",15,MAX(0.1,Skills!D15-IF(Skills!E15=TRUE,Inputs!$B$32,0)))*(1-IF(AND(ArtifactsInput!$M$27,Inputs!$B$4="Chapter Hunt"),CHOOSE(ArtifactsInput!$N$27+1,20,24,28,32,36,40),0)/100)),0)</f>
        <v/>
      </c>
      <c r="R788">
        <f>IF(AND(Inputs!$B$38&lt;&gt;"pvp",Inputs!$B$43&gt;0),IF(Inputs!$B$43&lt;=0,0,(INT(Inputs!$B$43/(IF(Inputs!$B$38="pvp",15,MAX(0.1,Skills!D15-IF(Skills!E15=TRUE,Inputs!$B$32,0)))*(1-IF(AND(ArtifactsInput!$M$27,Inputs!$B$4="Chapter Hunt"),CHOOSE(ArtifactsInput!$N$27+1,20,24,28,32,36,40),0)/100)))+1)),0)</f>
        <v/>
      </c>
      <c r="S788">
        <f>IFERROR(O788/N788,0)</f>
        <v/>
      </c>
      <c r="T788" t="n">
        <v>0</v>
      </c>
      <c r="V788" t="n">
        <v>0</v>
      </c>
    </row>
    <row r="789">
      <c r="A789">
        <f>Skills!A16</f>
        <v/>
      </c>
      <c r="B789">
        <f>Skills!B16</f>
        <v/>
      </c>
      <c r="C789">
        <f>Inputs!$B$3&gt;=15</f>
        <v/>
      </c>
      <c r="D789">
        <f>IF(Skills!C16=1,60+Inputs!$B$25+Inputs!$B$29,IF(Skills!C16=2,90+Inputs!$B$26+Inputs!$B$29,IF(Skills!C16=3,120+(Inputs!$B$27+1)+Inputs!$B$29,MAX(0,(Inputs!$B$3-100)*3)+Inputs!$B$28+Inputs!$B$29)))</f>
        <v/>
      </c>
      <c r="E789">
        <f>INDEX(FactorTable!$B$2:$Y$301, MATCH(ROUND(MIN(300,MAX(1,D789)),0), FactorTable!$A$2:$A$301,0), Skills!M16+1)</f>
        <v/>
      </c>
      <c r="F789">
        <f>IF(Skills!N16=TRUE,(Skills!L16/10)*(E789/1000),Skills!L16/10)+Skills!O16</f>
        <v/>
      </c>
      <c r="G789">
        <f>Skills!G16*IF(Skills!H16&gt;0,Skills!I16/Skills!H16,1)</f>
        <v/>
      </c>
      <c r="H789">
        <f>1-(1-Skills!J16/100)^Skills!K16</f>
        <v/>
      </c>
      <c r="I789" t="inlineStr">
        <is>
          <t>1</t>
        </is>
      </c>
      <c r="J789" t="inlineStr"/>
      <c r="K789" t="inlineStr"/>
      <c r="L789" t="inlineStr"/>
      <c r="M789" t="inlineStr"/>
      <c r="N789" t="inlineStr"/>
      <c r="O789">
        <f>(1-Summary!$B$11)*T789+Summary!$B$11*V789</f>
        <v/>
      </c>
      <c r="P789">
        <f>IF(B809=0,0,O789/B809)</f>
        <v/>
      </c>
      <c r="Q789" t="n">
        <v>0</v>
      </c>
      <c r="R789" t="n">
        <v>0</v>
      </c>
      <c r="S789">
        <f>IFERROR(O789/N789,0)</f>
        <v/>
      </c>
      <c r="T789" t="n">
        <v>0</v>
      </c>
      <c r="V789" t="n">
        <v>0</v>
      </c>
    </row>
    <row r="790">
      <c r="A790">
        <f>Skills!A17</f>
        <v/>
      </c>
      <c r="B790">
        <f>Skills!B17</f>
        <v/>
      </c>
      <c r="C790">
        <f>Inputs!$B$3&gt;=10</f>
        <v/>
      </c>
      <c r="D790">
        <f>IF(Skills!C17=1,60+Inputs!$B$25+Inputs!$B$29,IF(Skills!C17=2,90+Inputs!$B$26+Inputs!$B$29,IF(Skills!C17=3,120+(Inputs!$B$27+1)+Inputs!$B$29,MAX(0,(Inputs!$B$3-100)*3)+Inputs!$B$28+Inputs!$B$29)))</f>
        <v/>
      </c>
      <c r="E790">
        <f>INDEX(FactorTable!$B$2:$Y$301, MATCH(ROUND(MIN(300,MAX(1,D790)),0), FactorTable!$A$2:$A$301,0), Skills!M17+1)</f>
        <v/>
      </c>
      <c r="F790">
        <f>IF(Skills!N17=TRUE,(Skills!L17/10)*(E790/1000),Skills!L17/10)+Skills!O17</f>
        <v/>
      </c>
      <c r="G790">
        <f>Skills!G17*IF(Skills!H17&gt;0,Skills!I17/Skills!H17,1)</f>
        <v/>
      </c>
      <c r="H790">
        <f>1-(1-Skills!J17/100)^Skills!K17</f>
        <v/>
      </c>
      <c r="I790" t="inlineStr">
        <is>
          <t>1</t>
        </is>
      </c>
      <c r="J790" t="inlineStr"/>
      <c r="K790" t="inlineStr"/>
      <c r="L790" t="inlineStr"/>
      <c r="M790" t="inlineStr"/>
      <c r="N790" t="inlineStr"/>
      <c r="O790">
        <f>(1-Summary!$B$11)*T790+Summary!$B$11*V790</f>
        <v/>
      </c>
      <c r="P790">
        <f>IF(B809=0,0,O790/B809)</f>
        <v/>
      </c>
      <c r="Q790" t="n">
        <v>0</v>
      </c>
      <c r="R790" t="n">
        <v>0</v>
      </c>
      <c r="S790">
        <f>IFERROR(O790/N790,0)</f>
        <v/>
      </c>
      <c r="T790" t="n">
        <v>0</v>
      </c>
      <c r="V790" t="n">
        <v>0</v>
      </c>
    </row>
    <row r="791">
      <c r="A791">
        <f>Skills!A18</f>
        <v/>
      </c>
      <c r="B791">
        <f>Skills!B18</f>
        <v/>
      </c>
      <c r="C791">
        <f>Inputs!$B$3&gt;=33</f>
        <v/>
      </c>
      <c r="D791">
        <f>IF(Skills!C18=1,60+Inputs!$B$25+Inputs!$B$29,IF(Skills!C18=2,90+Inputs!$B$26+Inputs!$B$29,IF(Skills!C18=3,120+(Inputs!$B$27+1)+Inputs!$B$29,MAX(0,(Inputs!$B$3-100)*3)+Inputs!$B$28+Inputs!$B$29)))</f>
        <v/>
      </c>
      <c r="E791">
        <f>INDEX(FactorTable!$B$2:$Y$301, MATCH(ROUND(MIN(300,MAX(1,D791)),0), FactorTable!$A$2:$A$301,0), Skills!M18+1)</f>
        <v/>
      </c>
      <c r="F791">
        <f>IF(Skills!N18=TRUE,(Skills!L18/10)*(E791/1000),Skills!L18/10)+Skills!O18</f>
        <v/>
      </c>
      <c r="G791">
        <f>Skills!G18*IF(Skills!H18&gt;0,Skills!I18/Skills!H18,1)</f>
        <v/>
      </c>
      <c r="H791">
        <f>1-(1-Skills!J18/100)^Skills!K18</f>
        <v/>
      </c>
      <c r="I791" t="inlineStr">
        <is>
          <t>1</t>
        </is>
      </c>
      <c r="J791" t="inlineStr"/>
      <c r="K791" t="inlineStr"/>
      <c r="L791" t="inlineStr"/>
      <c r="M791" t="inlineStr"/>
      <c r="N791" t="inlineStr"/>
      <c r="O791">
        <f>(1-Summary!$B$11)*T791+Summary!$B$11*V791</f>
        <v/>
      </c>
      <c r="P791">
        <f>IF(B809=0,0,O791/B809)</f>
        <v/>
      </c>
      <c r="Q791" t="n">
        <v>0</v>
      </c>
      <c r="R791" t="n">
        <v>0</v>
      </c>
      <c r="S791">
        <f>IFERROR(O791/N791,0)</f>
        <v/>
      </c>
      <c r="T791" t="n">
        <v>0</v>
      </c>
      <c r="V791" t="n">
        <v>0</v>
      </c>
    </row>
    <row r="792">
      <c r="A792">
        <f>Skills!A19</f>
        <v/>
      </c>
      <c r="B792">
        <f>Skills!B19</f>
        <v/>
      </c>
      <c r="C792">
        <f>Inputs!$B$3&gt;=40</f>
        <v/>
      </c>
      <c r="D792">
        <f>IF(Skills!C19=1,60+Inputs!$B$25+Inputs!$B$29,IF(Skills!C19=2,90+Inputs!$B$26+Inputs!$B$29,IF(Skills!C19=3,120+(Inputs!$B$27+1)+Inputs!$B$29,MAX(0,(Inputs!$B$3-100)*3)+Inputs!$B$28+Inputs!$B$29)))</f>
        <v/>
      </c>
      <c r="E792">
        <f>INDEX(FactorTable!$B$2:$Y$301, MATCH(ROUND(MIN(300,MAX(1,D792)),0), FactorTable!$A$2:$A$301,0), Skills!M19+1)</f>
        <v/>
      </c>
      <c r="F792">
        <f>IF(Skills!N19=TRUE,(Skills!L19/10)*(E792/1000),Skills!L19/10)+Skills!O19</f>
        <v/>
      </c>
      <c r="G792">
        <f>Skills!G19*IF(Skills!H19&gt;0,Skills!I19/Skills!H19,1)</f>
        <v/>
      </c>
      <c r="H792">
        <f>1-(1-Skills!J19/100)^Skills!K19</f>
        <v/>
      </c>
      <c r="I792" t="inlineStr">
        <is>
          <t>1</t>
        </is>
      </c>
      <c r="J792" t="inlineStr"/>
      <c r="K792" t="inlineStr"/>
      <c r="L792" t="inlineStr"/>
      <c r="M792" t="inlineStr"/>
      <c r="N792" t="inlineStr"/>
      <c r="O792">
        <f>(1-Summary!$B$11)*T792+Summary!$B$11*V792</f>
        <v/>
      </c>
      <c r="P792">
        <f>IF(B809=0,0,O792/B809)</f>
        <v/>
      </c>
      <c r="Q792" t="n">
        <v>0</v>
      </c>
      <c r="R792" t="n">
        <v>0</v>
      </c>
      <c r="S792">
        <f>IFERROR(O792/N792,0)</f>
        <v/>
      </c>
      <c r="T792" t="n">
        <v>0</v>
      </c>
      <c r="V792" t="n">
        <v>0</v>
      </c>
    </row>
    <row r="793">
      <c r="A793">
        <f>Skills!A20</f>
        <v/>
      </c>
      <c r="B793">
        <f>Skills!B20</f>
        <v/>
      </c>
      <c r="C793">
        <f>Inputs!$B$3&gt;=43</f>
        <v/>
      </c>
      <c r="D793">
        <f>IF(Skills!C20=1,60+Inputs!$B$25+Inputs!$B$29,IF(Skills!C20=2,90+Inputs!$B$26+Inputs!$B$29,IF(Skills!C20=3,120+(Inputs!$B$27+1)+Inputs!$B$29,MAX(0,(Inputs!$B$3-100)*3)+Inputs!$B$28+Inputs!$B$29)))</f>
        <v/>
      </c>
      <c r="E793">
        <f>INDEX(FactorTable!$B$2:$Y$301, MATCH(ROUND(MIN(300,MAX(1,D793)),0), FactorTable!$A$2:$A$301,0), Skills!M20+1)</f>
        <v/>
      </c>
      <c r="F793">
        <f>IF(Skills!N20=TRUE,(Skills!L20/10)*(E793/1000),Skills!L20/10)+Skills!O20</f>
        <v/>
      </c>
      <c r="G793">
        <f>Skills!G20*IF(Skills!H20&gt;0,Skills!I20/Skills!H20,1)</f>
        <v/>
      </c>
      <c r="H793">
        <f>1-(1-Skills!J20/100)^Skills!K20</f>
        <v/>
      </c>
      <c r="I793" t="inlineStr">
        <is>
          <t>1</t>
        </is>
      </c>
      <c r="J793" t="inlineStr"/>
      <c r="K793" t="inlineStr"/>
      <c r="L793" t="inlineStr"/>
      <c r="M793" t="inlineStr"/>
      <c r="N793" t="inlineStr"/>
      <c r="O793">
        <f>(1-Summary!$B$11)*T793+Summary!$B$11*V793</f>
        <v/>
      </c>
      <c r="P793">
        <f>IF(B809=0,0,O793/B809)</f>
        <v/>
      </c>
      <c r="Q793" t="n">
        <v>0</v>
      </c>
      <c r="R793" t="n">
        <v>0</v>
      </c>
      <c r="S793">
        <f>IFERROR(O793/N793,0)</f>
        <v/>
      </c>
      <c r="T793" t="n">
        <v>0</v>
      </c>
      <c r="V793" t="n">
        <v>0</v>
      </c>
    </row>
    <row r="794">
      <c r="A794">
        <f>Skills!A21</f>
        <v/>
      </c>
      <c r="B794">
        <f>Skills!B21</f>
        <v/>
      </c>
      <c r="C794">
        <f>Inputs!$B$3&gt;=38</f>
        <v/>
      </c>
      <c r="D794">
        <f>IF(Skills!C21=1,60+Inputs!$B$25+Inputs!$B$29,IF(Skills!C21=2,90+Inputs!$B$26+Inputs!$B$29,IF(Skills!C21=3,120+(Inputs!$B$27+1)+Inputs!$B$29,MAX(0,(Inputs!$B$3-100)*3)+Inputs!$B$28+Inputs!$B$29)))</f>
        <v/>
      </c>
      <c r="E794">
        <f>INDEX(FactorTable!$B$2:$Y$301, MATCH(ROUND(MIN(300,MAX(1,D794)),0), FactorTable!$A$2:$A$301,0), Skills!M21+1)</f>
        <v/>
      </c>
      <c r="F794">
        <f>IF(Skills!N21=TRUE,(Skills!L21/10)*(E794/1000),Skills!L21/10)+Skills!O21</f>
        <v/>
      </c>
      <c r="G794">
        <f>Skills!G21*IF(Skills!H21&gt;0,Skills!I21/Skills!H21,1)</f>
        <v/>
      </c>
      <c r="H794">
        <f>1-(1-Skills!J21/100)^Skills!K21</f>
        <v/>
      </c>
      <c r="I794" t="inlineStr">
        <is>
          <t>1</t>
        </is>
      </c>
      <c r="J794" t="inlineStr"/>
      <c r="K794" t="inlineStr"/>
      <c r="L794" t="inlineStr"/>
      <c r="M794" t="inlineStr"/>
      <c r="N794" t="inlineStr"/>
      <c r="O794">
        <f>(1-Summary!$B$11)*T794+Summary!$B$11*V794</f>
        <v/>
      </c>
      <c r="P794">
        <f>IF(B809=0,0,O794/B809)</f>
        <v/>
      </c>
      <c r="Q794" t="n">
        <v>0</v>
      </c>
      <c r="R794" t="n">
        <v>0</v>
      </c>
      <c r="S794">
        <f>IFERROR(O794/N794,0)</f>
        <v/>
      </c>
      <c r="T794" t="n">
        <v>0</v>
      </c>
      <c r="V794" t="n">
        <v>0</v>
      </c>
    </row>
    <row r="795">
      <c r="A795">
        <f>Skills!A22</f>
        <v/>
      </c>
      <c r="B795">
        <f>Skills!B22</f>
        <v/>
      </c>
      <c r="C795">
        <f>Inputs!$B$3&gt;=75</f>
        <v/>
      </c>
      <c r="D795">
        <f>IF(Skills!C22=1,60+Inputs!$B$25+Inputs!$B$29,IF(Skills!C22=2,90+Inputs!$B$26+Inputs!$B$29,IF(Skills!C22=3,120+(Inputs!$B$27+1)+Inputs!$B$29,MAX(0,(Inputs!$B$3-100)*3)+Inputs!$B$28+Inputs!$B$29)))</f>
        <v/>
      </c>
      <c r="E795">
        <f>INDEX(FactorTable!$B$2:$Y$301, MATCH(ROUND(MIN(300,MAX(1,D795)),0), FactorTable!$A$2:$A$301,0), Skills!M22+1)</f>
        <v/>
      </c>
      <c r="F795">
        <f>IF(Skills!N22=TRUE,(Skills!L22/10)*(E795/1000),Skills!L22/10)+Skills!O22</f>
        <v/>
      </c>
      <c r="G795">
        <f>Skills!G22*IF(Skills!H22&gt;0,Skills!I22/Skills!H22,1)</f>
        <v/>
      </c>
      <c r="H795">
        <f>1-(1-Skills!J22/100)^Skills!K22</f>
        <v/>
      </c>
      <c r="I795" t="inlineStr">
        <is>
          <t>1</t>
        </is>
      </c>
      <c r="J795" t="inlineStr"/>
      <c r="K795" t="inlineStr"/>
      <c r="L795" t="inlineStr"/>
      <c r="M795" t="inlineStr"/>
      <c r="N795" t="inlineStr"/>
      <c r="O795">
        <f>(1-Summary!$B$11)*T795+Summary!$B$11*V795</f>
        <v/>
      </c>
      <c r="P795">
        <f>IF(B809=0,0,O795/B809)</f>
        <v/>
      </c>
      <c r="Q795" t="n">
        <v>0</v>
      </c>
      <c r="R795" t="n">
        <v>0</v>
      </c>
      <c r="S795">
        <f>IFERROR(O795/N795,0)</f>
        <v/>
      </c>
      <c r="T795" t="n">
        <v>0</v>
      </c>
      <c r="V795" t="n">
        <v>0</v>
      </c>
    </row>
    <row r="796">
      <c r="A796">
        <f>Skills!A23</f>
        <v/>
      </c>
      <c r="B796">
        <f>Skills!B23</f>
        <v/>
      </c>
      <c r="C796">
        <f>TRUE</f>
        <v/>
      </c>
      <c r="D796">
        <f>IF(Skills!C23=1,60+Inputs!$B$25+Inputs!$B$29,IF(Skills!C23=2,90+Inputs!$B$26+Inputs!$B$29,IF(Skills!C23=3,120+(Inputs!$B$27+1)+Inputs!$B$29,MAX(0,(Inputs!$B$3-100)*3)+Inputs!$B$28+Inputs!$B$29)))</f>
        <v/>
      </c>
      <c r="E796">
        <f>INDEX(FactorTable!$B$2:$Y$301, MATCH(ROUND(MIN(300,MAX(1,D796)),0), FactorTable!$A$2:$A$301,0), Skills!M23+1)</f>
        <v/>
      </c>
      <c r="F796">
        <f>IF(Skills!N23=TRUE,(Skills!L23/10)*(E796/1000),Skills!L23/10)+Skills!O23</f>
        <v/>
      </c>
      <c r="G796">
        <f>Skills!G23*IF(Skills!H23&gt;0,Skills!I23/Skills!H23,1)</f>
        <v/>
      </c>
      <c r="H796">
        <f>1-(1-Skills!J23/100)^Skills!K23</f>
        <v/>
      </c>
      <c r="I796" t="inlineStr">
        <is>
          <t>1</t>
        </is>
      </c>
      <c r="J796" t="inlineStr"/>
      <c r="K796" t="inlineStr"/>
      <c r="L796" t="inlineStr"/>
      <c r="M796" t="inlineStr"/>
      <c r="N796" t="inlineStr"/>
      <c r="O796">
        <f>(1-Summary!$B$11)*T796+Summary!$B$11*V796</f>
        <v/>
      </c>
      <c r="P796">
        <f>IF(B809=0,0,O796/B809)</f>
        <v/>
      </c>
      <c r="Q796">
        <f>IFERROR(1/(IF(Inputs!$B$38="pvp",15,MAX(0.1,Skills!D23-IF(Skills!E23=TRUE,Inputs!$B$32,0)))*(1-IF(AND(ArtifactsInput!$M$27,Inputs!$B$4="Chapter Hunt"),CHOOSE(ArtifactsInput!$N$27+1,20,24,28,32,36,40),0)/100)),0)</f>
        <v/>
      </c>
      <c r="R796">
        <f>IF(AND(Inputs!$B$38&lt;&gt;"pvp",Inputs!$B$43&gt;0),IF(Inputs!$B$43&lt;=0,0,(INT(Inputs!$B$43/(IF(Inputs!$B$38="pvp",15,MAX(0.1,Skills!D23-IF(Skills!E23=TRUE,Inputs!$B$32,0)))*(1-IF(AND(ArtifactsInput!$M$27,Inputs!$B$4="Chapter Hunt"),CHOOSE(ArtifactsInput!$N$27+1,20,24,28,32,36,40),0)/100)))+1)),0)</f>
        <v/>
      </c>
      <c r="S796">
        <f>IFERROR(O796/N796,0)</f>
        <v/>
      </c>
      <c r="T796" t="n">
        <v>0</v>
      </c>
      <c r="V796" t="n">
        <v>0</v>
      </c>
    </row>
    <row r="798">
      <c r="A798" t="inlineStr">
        <is>
          <t>Attack% Bucket Multiplier</t>
        </is>
      </c>
      <c r="B798">
        <f>(1+(((C786=TRUE)*F786*5/7)+((C792=TRUE)*(F792-Calc!F19))+(IF(ArtifactsInput!$M$21,CHOOSE(ArtifactsInput!$N$21+1,25,30,35,40,45,50)*(IF(OR(Inputs!$B$4="Chapter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99">
      <c r="A799" t="inlineStr">
        <is>
          <t>Global Crit Rate Bonus %</t>
        </is>
      </c>
      <c r="B799" t="n">
        <v>0</v>
      </c>
    </row>
    <row r="800">
      <c r="A800" t="inlineStr">
        <is>
          <t>Attack Speed Buff Bonus % (Nimble Feet, duty-cycle averaged)</t>
        </is>
      </c>
      <c r="B800">
        <f>((C796=TRUE)*F796*IF(AND(Inputs!$B$38&lt;&gt;"pvp",Inputs!$B$43&gt;0),(((R796-1)*(Skills!T23*(1+Inputs!$B$34/100))+MIN((Skills!T23*(1+Inputs!$B$34/100)),MAX(0,Inputs!$B$43-((R796-1)*Skills!D23))))/Inputs!$B$43),IF(Inputs!$B$38="pvp",MIN((Skills!T23*(1+Inputs!$B$34/100)),15)/15,(Skills!T23*(1+Inputs!$B$34/100))/Skills!D23)))</f>
        <v/>
      </c>
    </row>
    <row r="801">
      <c r="A801" t="inlineStr">
        <is>
          <t>Actions Per Second</t>
        </is>
      </c>
      <c r="B801">
        <f>1+MIN(150,150*(1-(1-(Inputs!$B$11+((C790=TRUE)*(F790-Calc!F17))+((C791=TRUE)*(F791-Calc!F18)))/150)*(1-B800/150)))/100</f>
        <v/>
      </c>
    </row>
    <row r="802">
      <c r="A802" t="inlineStr">
        <is>
          <t>Skill + Buff Cast Rate</t>
        </is>
      </c>
      <c r="B802">
        <f>IF(AND(Inputs!$B$38&lt;&gt;"pvp",Inputs!$B$43&gt;0),SUMPRODUCT((Skills!E2:E23=TRUE)*(C775:C796=TRUE)*R775:R796*Skills!F2:F23)/Inputs!$B$43,SUMPRODUCT((Skills!E2:E23=TRUE)*(C775:C796=TRUE)*Q775:Q796*Skills!F2:F23))</f>
        <v/>
      </c>
    </row>
    <row r="803">
      <c r="A803" t="inlineStr">
        <is>
          <t>Hook Bomber Casts Per Second</t>
        </is>
      </c>
      <c r="B803">
        <f>MAX(0,B801-B802)</f>
        <v/>
      </c>
    </row>
    <row r="804">
      <c r="A804" t="inlineStr">
        <is>
          <t>Global Critical Damage Bonus % (unused)</t>
        </is>
      </c>
      <c r="B804" t="n">
        <v>0</v>
      </c>
    </row>
    <row r="805">
      <c r="A805" t="inlineStr">
        <is>
          <t>Global Final Damage Bonus % (Serpent Scale + Crossbones + Time Leap + Speed Infusion)</t>
        </is>
      </c>
      <c r="B805">
        <f>((C778=TRUE)*F778*((10+IF(Inputs!$B$3&gt;=94,5,0))/((10+IF(Inputs!$B$3&gt;=94,5,0))+5/(B803*(1+IF(Inputs!$B$3&gt;=104,1,0))))))+((C787=TRUE)*F787*IF(AND(Inputs!$B$38&lt;&gt;"pvp",Inputs!$B$43&gt;0),(((R787-1)*(Skills!T14*(1+Inputs!$B$34/100))+MIN((Skills!T14*(1+Inputs!$B$34/100)),MAX(0,Inputs!$B$43-((R787-1)*Skills!D14))))/Inputs!$B$43),IF(Inputs!$B$38="pvp",MIN((Skills!T14*(1+Inputs!$B$34/100)),15)/15,(Skills!T14*(1+Inputs!$B$34/100))/Skills!D14)))+((C788=TRUE)*F788*IF(AND(Inputs!$B$38&lt;&gt;"pvp",Inputs!$B$43&gt;0),(((R788-1)*(Skills!T15*(1+Inputs!$B$34/100))+MIN((Skills!T15*(1+Inputs!$B$34/100)),MAX(0,Inputs!$B$43-((R788-1)*Skills!D15))))/Inputs!$B$43),IF(Inputs!$B$38="pvp",MIN((Skills!T15*(1+Inputs!$B$34/100)),15)/15,(Skills!T15*(1+Inputs!$B$34/100))/Skills!D15)))+((Inputs!$B$3&gt;=110)*20*(B801-1)*IF(Inputs!$B$38="pvp",MIN((15*(1+Inputs!$B$34/100)),15)/15,(15*(1+Inputs!$B$34/100))/35))</f>
        <v/>
      </c>
    </row>
    <row r="806">
      <c r="A806" t="inlineStr">
        <is>
          <t>Buff-Casting Startup Delay (s, fixed-duration only)</t>
        </is>
      </c>
      <c r="B806">
        <f>IF(AND(Inputs!$B$38&lt;&gt;"pvp",Inputs!$B$43&gt;0),SUMPRODUCT((Skills!T2:T23&gt;0)*(Skills!E2:E23=TRUE)*(C775:C796=TRUE))/B801,0)</f>
        <v/>
      </c>
    </row>
    <row r="807">
      <c r="A807" t="inlineStr">
        <is>
          <t>Boss-Only Total DPS (this block's swept value)</t>
        </is>
      </c>
      <c r="B807">
        <f>SUM(T775:T796)</f>
        <v/>
      </c>
    </row>
    <row r="808">
      <c r="A808" t="inlineStr">
        <is>
          <t>Normal-Only Total DPS (this block's swept value)</t>
        </is>
      </c>
      <c r="B808">
        <f>SUM(V775:V796)</f>
        <v/>
      </c>
    </row>
    <row r="809">
      <c r="A809" s="6" t="inlineStr">
        <is>
          <t>TOTAL DPS</t>
        </is>
      </c>
      <c r="B809" s="6">
        <f>SUM(O775:O796)</f>
        <v/>
      </c>
    </row>
    <row r="812">
      <c r="A812" s="6" t="inlineStr">
        <is>
          <t>Stat: Skill Level Bonus — 4th Job</t>
        </is>
      </c>
    </row>
    <row r="813">
      <c r="A813" s="5" t="inlineStr">
        <is>
          <t>Key</t>
        </is>
      </c>
      <c r="B813" s="5" t="inlineStr">
        <is>
          <t>Name</t>
        </is>
      </c>
      <c r="C813" s="5" t="inlineStr">
        <is>
          <t>Unlocked</t>
        </is>
      </c>
      <c r="D813" s="5" t="inlineStr">
        <is>
          <t>InputLevel</t>
        </is>
      </c>
      <c r="E813" s="5" t="inlineStr">
        <is>
          <t>Factor</t>
        </is>
      </c>
      <c r="F813" s="5" t="inlineStr">
        <is>
          <t>CoefficientPercent</t>
        </is>
      </c>
      <c r="G813" s="5" t="inlineStr">
        <is>
          <t>EffectiveHits</t>
        </is>
      </c>
      <c r="H813" s="5" t="inlineStr">
        <is>
          <t>ProcProbability</t>
        </is>
      </c>
      <c r="I813" s="5" t="inlineStr">
        <is>
          <t>MapleHeroMultiplier</t>
        </is>
      </c>
      <c r="J813" s="5" t="inlineStr">
        <is>
          <t>BaseDamage</t>
        </is>
      </c>
      <c r="K813" s="5" t="inlineStr">
        <is>
          <t>BaseHitDamage</t>
        </is>
      </c>
      <c r="L813" s="5" t="inlineStr">
        <is>
          <t>NonCritAvg</t>
        </is>
      </c>
      <c r="M813" s="5" t="inlineStr">
        <is>
          <t>CritAvg</t>
        </is>
      </c>
      <c r="N813" s="5" t="inlineStr">
        <is>
          <t>ExpectedDamage(perHit)</t>
        </is>
      </c>
      <c r="O813" s="5" t="inlineStr">
        <is>
          <t>DPS</t>
        </is>
      </c>
      <c r="P813" s="5" t="inlineStr">
        <is>
          <t>% of Total</t>
        </is>
      </c>
      <c r="Q813" s="5" t="inlineStr">
        <is>
          <t>InvCooldown</t>
        </is>
      </c>
      <c r="R813" s="5" t="inlineStr">
        <is>
          <t>CastsInFight</t>
        </is>
      </c>
      <c r="S813" s="5" t="inlineStr">
        <is>
          <t>HitRate(perSec)</t>
        </is>
      </c>
      <c r="U813" t="inlineStr">
        <is>
          <t>helpers</t>
        </is>
      </c>
    </row>
    <row r="814">
      <c r="A814">
        <f>Skills!A2</f>
        <v/>
      </c>
      <c r="B814">
        <f>Skills!B2</f>
        <v/>
      </c>
      <c r="C814">
        <f>Inputs!$B$3&gt;=100</f>
        <v/>
      </c>
      <c r="D814" t="inlineStr"/>
      <c r="E814" t="inlineStr"/>
      <c r="F814">
        <f>U816+Skills!O2</f>
        <v/>
      </c>
      <c r="G814">
        <f>Skills!G2*IF(Skills!H2&gt;0,Skills!I2/Skills!H2,1)</f>
        <v/>
      </c>
      <c r="H814">
        <f>1-(1-Skills!J2/100)^Skills!K2</f>
        <v/>
      </c>
      <c r="I814" t="inlineStr">
        <is>
          <t>1</t>
        </is>
      </c>
      <c r="J814">
        <f>((Inputs!$B$6*(1+Inputs!$B$7/100))+(((Inputs!$B$12*(1+Inputs!$B$13/100))-(Inputs!$B$12*(1+Inputs!$B$13/100)))+0.25*(Inputs!$B$14-Inputs!$B$14))*(1+Inputs!$B$7/100))*(F814/100)</f>
        <v/>
      </c>
      <c r="K814">
        <f>J814*(1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814)</f>
        <v/>
      </c>
      <c r="L814">
        <f>K814*(MIN(Inputs!$B$22+((C832=TRUE)*(F832-Calc!F20)),(Inputs!$B$23+0+(IF(ArtifactsInput!$M$15,CHOOSE(ArtifactsInput!$N$15+1,25,30,35,40,45,50)/100*(Inputs!$B$11-Inputs!$B$11),0))))/100+(Inputs!$B$23+0+(IF(ArtifactsInput!$M$15,CHOOSE(ArtifactsInput!$N$15+1,25,30,35,40,45,50)/100*(Inputs!$B$11-Inputs!$B$11),0)))/100)/2</f>
        <v/>
      </c>
      <c r="M814">
        <f>L814*(1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4">
        <f>L814*(1-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814*(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4">
        <f>(1-Summary!$B$11)*T814+Summary!$B$11*V814</f>
        <v/>
      </c>
      <c r="P814">
        <f>IF(B848=0,0,O814/B848)</f>
        <v/>
      </c>
      <c r="Q814" t="n">
        <v>0</v>
      </c>
      <c r="R814" t="n">
        <v>0</v>
      </c>
      <c r="S814">
        <f>IFERROR(O814/N814,0)</f>
        <v/>
      </c>
      <c r="T814">
        <f>IF(C814,(Skills!G2*N814*B842)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814*(1-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814*(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814*(1-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814*(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4">
        <f>MAX(0,(Inputs!$B$3-100)*3)+(Inputs!$B$28+1)+Inputs!$B$29</f>
        <v/>
      </c>
      <c r="V814">
        <f>IF(C814,(Skills!G2*N814*B842)*IF(Inputs!$B$38="pvp",1,(1+(Inputs!$B$21+Skills!Q2+(IF(ArtifactsInput!$M$33,CHOOSE(ArtifactsInput!$N$33+1,30,36,42,48,54,60),0))+(IF(AND(ArtifactsInput!$M$35,Inputs!$B$4&lt;&gt;"Chapter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5">
      <c r="A815">
        <f>Skills!A3</f>
        <v/>
      </c>
      <c r="B815">
        <f>Skills!B3</f>
        <v/>
      </c>
      <c r="C815">
        <f>Inputs!$B$3&gt;=35</f>
        <v/>
      </c>
      <c r="D815">
        <f>IF(Skills!C3=1,60+Inputs!$B$25+Inputs!$B$29,IF(Skills!C3=2,90+Inputs!$B$26+Inputs!$B$29,IF(Skills!C3=3,120+Inputs!$B$27+Inputs!$B$29,MAX(0,(Inputs!$B$3-100)*3)+(Inputs!$B$28+1)+Inputs!$B$29)))</f>
        <v/>
      </c>
      <c r="E815">
        <f>INDEX(FactorTable!$B$2:$Y$301, MATCH(ROUND(MIN(300,MAX(1,D815)),0), FactorTable!$A$2:$A$301,0), Skills!M3+1)</f>
        <v/>
      </c>
      <c r="F815">
        <f>IF(Skills!N3=TRUE,(Skills!L3/10)*(E815/1000),Skills!L3/10)+Skills!O3</f>
        <v/>
      </c>
      <c r="G815">
        <f>Skills!G3*IF(Skills!H3&gt;0,Skills!I3/Skills!H3,1)</f>
        <v/>
      </c>
      <c r="H815">
        <f>1-(1-Skills!J3/100)^Skills!K3</f>
        <v/>
      </c>
      <c r="I815" t="inlineStr">
        <is>
          <t>1</t>
        </is>
      </c>
      <c r="J815">
        <f>((Inputs!$B$6*(1+Inputs!$B$7/100))+(((Inputs!$B$12*(1+Inputs!$B$13/100))-(Inputs!$B$12*(1+Inputs!$B$13/100)))+0.25*(Inputs!$B$14-Inputs!$B$14))*(1+Inputs!$B$7/100))*(F815/100)</f>
        <v/>
      </c>
      <c r="K815">
        <f>J815*(1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815)</f>
        <v/>
      </c>
      <c r="L815">
        <f>K815*(MIN(Inputs!$B$22+((C832=TRUE)*(F832-Calc!F20)),(Inputs!$B$23+0+(IF(ArtifactsInput!$M$15,CHOOSE(ArtifactsInput!$N$15+1,25,30,35,40,45,50)/100*(Inputs!$B$11-Inputs!$B$11),0))))/100+(Inputs!$B$23+0+(IF(ArtifactsInput!$M$15,CHOOSE(ArtifactsInput!$N$15+1,25,30,35,40,45,50)/100*(Inputs!$B$11-Inputs!$B$11),0)))/100)/2</f>
        <v/>
      </c>
      <c r="M815">
        <f>L815*(1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5">
        <f>L815*(1-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815*(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5">
        <f>(1-Summary!$B$11)*T815+Summary!$B$11*V815</f>
        <v/>
      </c>
      <c r="P815">
        <f>IF(B848=0,0,O815/B848)</f>
        <v/>
      </c>
      <c r="Q815" t="n">
        <v>0</v>
      </c>
      <c r="R815" t="n">
        <v>0</v>
      </c>
      <c r="S815">
        <f>IFERROR(O815/N815,0)</f>
        <v/>
      </c>
      <c r="T815">
        <f>IF(C815,(Skills!G3*H815*N815*B842)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815*(1-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815*(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815*(1-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815*(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5">
        <f>INDEX(FactorTable!$B$2:$Y$301, MATCH(ROUND(MIN(300,MAX(1,U814)),0), FactorTable!$A$2:$A$301,0), 22)</f>
        <v/>
      </c>
      <c r="V815">
        <f>IF(C815,(Skills!G3*H815*N815*B842)*IF(Inputs!$B$38="pvp",1,(1+(Inputs!$B$21+Skills!Q3+(IF(ArtifactsInput!$M$33,CHOOSE(ArtifactsInput!$N$33+1,30,36,42,48,54,60),0))+(IF(AND(ArtifactsInput!$M$35,Inputs!$B$4&lt;&gt;"Chapter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6">
      <c r="A816">
        <f>Skills!A4</f>
        <v/>
      </c>
      <c r="B816">
        <f>Skills!B4</f>
        <v/>
      </c>
      <c r="C816">
        <f>Inputs!$B$3&gt;=60</f>
        <v/>
      </c>
      <c r="D816">
        <f>IF(Skills!C4=1,60+Inputs!$B$25+Inputs!$B$29,IF(Skills!C4=2,90+Inputs!$B$26+Inputs!$B$29,IF(Skills!C4=3,120+Inputs!$B$27+Inputs!$B$29,MAX(0,(Inputs!$B$3-100)*3)+(Inputs!$B$28+1)+Inputs!$B$29)))</f>
        <v/>
      </c>
      <c r="E816">
        <f>INDEX(FactorTable!$B$2:$Y$301, MATCH(ROUND(MIN(300,MAX(1,D816)),0), FactorTable!$A$2:$A$301,0), Skills!M4+1)</f>
        <v/>
      </c>
      <c r="F816">
        <f>IF(Skills!N4=TRUE,(Skills!L4/10)*(E816/1000),Skills!L4/10)+Skills!O4</f>
        <v/>
      </c>
      <c r="G816">
        <f>Skills!G4*IF(Skills!H4&gt;0,Skills!I4/Skills!H4,1)</f>
        <v/>
      </c>
      <c r="H816">
        <f>1-(1-Skills!J4/100)^Skills!K4</f>
        <v/>
      </c>
      <c r="I816" t="inlineStr">
        <is>
          <t>1</t>
        </is>
      </c>
      <c r="J816">
        <f>((Inputs!$B$6*(1+Inputs!$B$7/100))+(((Inputs!$B$12*(1+Inputs!$B$13/100))-(Inputs!$B$12*(1+Inputs!$B$13/100)))+0.25*(Inputs!$B$14-Inputs!$B$14))*(1+Inputs!$B$7/100))*(F816/100)</f>
        <v/>
      </c>
      <c r="K816">
        <f>J816*(1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824=TRUE,F824,0)/100)*(1+(IF(Skills!A4="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816)</f>
        <v/>
      </c>
      <c r="L816">
        <f>K816*(MIN(Inputs!$B$22+((C832=TRUE)*(F832-Calc!F20)),(Inputs!$B$23+0+(IF(ArtifactsInput!$M$15,CHOOSE(ArtifactsInput!$N$15+1,25,30,35,40,45,50)/100*(Inputs!$B$11-Inputs!$B$11),0))))/100+(Inputs!$B$23+0+(IF(ArtifactsInput!$M$15,CHOOSE(ArtifactsInput!$N$15+1,25,30,35,40,45,50)/100*(Inputs!$B$11-Inputs!$B$11),0)))/100)/2</f>
        <v/>
      </c>
      <c r="M816">
        <f>L816*(1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6">
        <f>L816*(1-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816*(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6">
        <f>(1-Summary!$B$11)*T816+Summary!$B$11*V816</f>
        <v/>
      </c>
      <c r="P816">
        <f>IF(B848=0,0,O816/B848)</f>
        <v/>
      </c>
      <c r="Q816" t="n">
        <v>0</v>
      </c>
      <c r="R816" t="n">
        <v>0</v>
      </c>
      <c r="S816">
        <f>IFERROR(O816/N816,0)</f>
        <v/>
      </c>
      <c r="T816">
        <f>IF(C816,(Skills!G4*H816*N816*B842)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816*(1-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816*(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816*(1-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816*(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16">
        <f>290*U815/1000</f>
        <v/>
      </c>
      <c r="V816">
        <f>IF(C816,(Skills!G4*H816*N816*B842)*IF(Inputs!$B$38="pvp",1,(1+(Inputs!$B$21+Skills!Q4+(IF(ArtifactsInput!$M$33,CHOOSE(ArtifactsInput!$N$33+1,30,36,42,48,54,60),0))+(IF(AND(ArtifactsInput!$M$35,Inputs!$B$4&lt;&gt;"Chapter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7">
      <c r="A817">
        <f>Skills!A5</f>
        <v/>
      </c>
      <c r="B817">
        <f>Skills!B5</f>
        <v/>
      </c>
      <c r="C817">
        <f>Inputs!$B$3&gt;=60</f>
        <v/>
      </c>
      <c r="D817">
        <f>IF(Skills!C5=1,60+Inputs!$B$25+Inputs!$B$29,IF(Skills!C5=2,90+Inputs!$B$26+Inputs!$B$29,IF(Skills!C5=3,120+Inputs!$B$27+Inputs!$B$29,MAX(0,(Inputs!$B$3-100)*3)+(Inputs!$B$28+1)+Inputs!$B$29)))</f>
        <v/>
      </c>
      <c r="E817">
        <f>INDEX(FactorTable!$B$2:$Y$301, MATCH(ROUND(MIN(300,MAX(1,D817)),0), FactorTable!$A$2:$A$301,0), Skills!M5+1)</f>
        <v/>
      </c>
      <c r="F817">
        <f>IF(Skills!N5=TRUE,(Skills!L5/10)*(E817/1000),Skills!L5/10)+Skills!O5</f>
        <v/>
      </c>
      <c r="G817">
        <f>Skills!G5*IF(Skills!H5&gt;0,Skills!I5/Skills!H5,1)</f>
        <v/>
      </c>
      <c r="H817">
        <f>1-(1-Skills!J5/100)^Skills!K5</f>
        <v/>
      </c>
      <c r="I817" t="inlineStr">
        <is>
          <t>1</t>
        </is>
      </c>
      <c r="J817" t="inlineStr"/>
      <c r="K817" t="inlineStr"/>
      <c r="L817" t="inlineStr"/>
      <c r="M817" t="inlineStr"/>
      <c r="N817" t="inlineStr"/>
      <c r="O817">
        <f>(1-Summary!$B$11)*T817+Summary!$B$11*V817</f>
        <v/>
      </c>
      <c r="P817">
        <f>IF(B848=0,0,O817/B848)</f>
        <v/>
      </c>
      <c r="Q817" t="n">
        <v>0</v>
      </c>
      <c r="R817" t="n">
        <v>0</v>
      </c>
      <c r="S817">
        <f>IFERROR(O817/N817,0)</f>
        <v/>
      </c>
      <c r="T817" t="n">
        <v>0</v>
      </c>
      <c r="V817" t="n">
        <v>0</v>
      </c>
    </row>
    <row r="818">
      <c r="A818">
        <f>Skills!A6</f>
        <v/>
      </c>
      <c r="B818">
        <f>Skills!B6</f>
        <v/>
      </c>
      <c r="C818">
        <f>Inputs!$B$3&gt;=63</f>
        <v/>
      </c>
      <c r="D818">
        <f>IF(Skills!C6=1,60+Inputs!$B$25+Inputs!$B$29,IF(Skills!C6=2,90+Inputs!$B$26+Inputs!$B$29,IF(Skills!C6=3,120+Inputs!$B$27+Inputs!$B$29,MAX(0,(Inputs!$B$3-100)*3)+(Inputs!$B$28+1)+Inputs!$B$29)))</f>
        <v/>
      </c>
      <c r="E818">
        <f>INDEX(FactorTable!$B$2:$Y$301, MATCH(ROUND(MIN(300,MAX(1,D818)),0), FactorTable!$A$2:$A$301,0), Skills!M6+1)</f>
        <v/>
      </c>
      <c r="F818">
        <f>IF(Skills!N6=TRUE,(Skills!L6/10)*(E818/1000),Skills!L6/10)+Skills!O6</f>
        <v/>
      </c>
      <c r="G818">
        <f>Skills!G6*IF(Skills!H6&gt;0,Skills!I6/Skills!H6,1)</f>
        <v/>
      </c>
      <c r="H818">
        <f>1-(1-Skills!J6/100)^Skills!K6</f>
        <v/>
      </c>
      <c r="I818" t="inlineStr">
        <is>
          <t>1</t>
        </is>
      </c>
      <c r="J818">
        <f>((Inputs!$B$6*(1+Inputs!$B$7/100))+(((Inputs!$B$12*(1+Inputs!$B$13/100))-(Inputs!$B$12*(1+Inputs!$B$13/100)))+0.25*(Inputs!$B$14-Inputs!$B$14))*(1+Inputs!$B$7/100))*(F818/100)</f>
        <v/>
      </c>
      <c r="K818">
        <f>J818*(1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824=TRUE,F824,0)/100)*(1+(IF(Skills!A6="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818)</f>
        <v/>
      </c>
      <c r="L818">
        <f>K818*(MIN(Inputs!$B$22+((C832=TRUE)*(F832-Calc!F20)),(Inputs!$B$23+0+(IF(ArtifactsInput!$M$15,CHOOSE(ArtifactsInput!$N$15+1,25,30,35,40,45,50)/100*(Inputs!$B$11-Inputs!$B$11),0))))/100+(Inputs!$B$23+0+(IF(ArtifactsInput!$M$15,CHOOSE(ArtifactsInput!$N$15+1,25,30,35,40,45,50)/100*(Inputs!$B$11-Inputs!$B$11),0)))/100)/2</f>
        <v/>
      </c>
      <c r="M818">
        <f>L818*(1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8">
        <f>L818*(1-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818*(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8">
        <f>(1-Summary!$B$11)*T818+Summary!$B$11*V818</f>
        <v/>
      </c>
      <c r="P818">
        <f>IF(B848=0,0,O818/B848)</f>
        <v/>
      </c>
      <c r="Q818">
        <f>IFERROR(1/(IF(Inputs!$B$38="pvp",15,MAX(0.1,Skills!D6-IF(Skills!E6=TRUE,Inputs!$B$32,0)))*(1-IF(AND(ArtifactsInput!$M$27,Inputs!$B$4="Chapter Hunt"),CHOOSE(ArtifactsInput!$N$27+1,20,24,28,32,36,40),0)/100)),0)</f>
        <v/>
      </c>
      <c r="R818">
        <f>IF(AND(Inputs!$B$38&lt;&gt;"pvp",Inputs!$B$43&gt;0),IF(MAX(0,Inputs!$B$43-B845)&lt;=0,0,(INT(MAX(0,Inputs!$B$43-B845)/(IF(Inputs!$B$38="pvp",15,MAX(0.1,Skills!D6-IF(Skills!E6=TRUE,Inputs!$B$32,0)))*(1-IF(AND(ArtifactsInput!$M$27,Inputs!$B$4="Chapter Hunt"),CHOOSE(ArtifactsInput!$N$27+1,20,24,28,32,36,40),0)/100)))+1)),0)</f>
        <v/>
      </c>
      <c r="S818">
        <f>IFERROR(O818/N818,0)</f>
        <v/>
      </c>
      <c r="T818">
        <f>IF(C818,(H818*N818*IF(AND(Inputs!$B$38&lt;&gt;"pvp",Inputs!$B$43&gt;0),((Skills!G6*((R818-1)*IF(Skills!H6&gt;0,Skills!I6/Skills!H6,1)+IF(Skills!H6&gt;0,MIN(Skills!I6,MAX(0,MAX(0,Inputs!$B$43-B845)-((R818-1)*(IF(Inputs!$B$38="pvp",15,MAX(0.1,Skills!D6-IF(Skills!E6=TRUE,Inputs!$B$32,0)))*(1-IF(AND(ArtifactsInput!$M$27,Inputs!$B$4="Chapter Hunt"),CHOOSE(ArtifactsInput!$N$27+1,20,24,28,32,36,40),0)/100)))))/Skills!H6,1)))/Inputs!$B$43),G818*Q818)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818*(1-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818*(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818*(1-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818*(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8">
        <f>IF(C818,(H818*N818*IF(AND(Inputs!$B$38&lt;&gt;"pvp",Inputs!$B$43&gt;0),((Skills!G6*((R818-1)*IF(Skills!H6&gt;0,Skills!I6/Skills!H6,1)+IF(Skills!H6&gt;0,MIN(Skills!I6,MAX(0,MAX(0,Inputs!$B$43-B845)-((R818-1)*(IF(Inputs!$B$38="pvp",15,MAX(0.1,Skills!D6-IF(Skills!E6=TRUE,Inputs!$B$32,0)))*(1-IF(AND(ArtifactsInput!$M$27,Inputs!$B$4="Chapter Hunt"),CHOOSE(ArtifactsInput!$N$27+1,20,24,28,32,36,40),0)/100)))))/Skills!H6,1)))/Inputs!$B$43),G818*Q818))*IF(Inputs!$B$38="pvp",1,(1+(Inputs!$B$21+Skills!Q6+(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9">
      <c r="A819">
        <f>Skills!A7</f>
        <v/>
      </c>
      <c r="B819">
        <f>Skills!B7</f>
        <v/>
      </c>
      <c r="C819">
        <f>Inputs!$B$3&gt;=100</f>
        <v/>
      </c>
      <c r="D819">
        <f>IF(Skills!C7=1,60+Inputs!$B$25+Inputs!$B$29,IF(Skills!C7=2,90+Inputs!$B$26+Inputs!$B$29,IF(Skills!C7=3,120+Inputs!$B$27+Inputs!$B$29,MAX(0,(Inputs!$B$3-100)*3)+(Inputs!$B$28+1)+Inputs!$B$29)))</f>
        <v/>
      </c>
      <c r="E819">
        <f>INDEX(FactorTable!$B$2:$Y$301, MATCH(ROUND(MIN(300,MAX(1,D819)),0), FactorTable!$A$2:$A$301,0), Skills!M7+1)</f>
        <v/>
      </c>
      <c r="F819">
        <f>IF(Skills!N7=TRUE,(Skills!L7/10)*(E819/1000),Skills!L7/10)+Skills!O7</f>
        <v/>
      </c>
      <c r="G819">
        <f>Skills!G7*IF(Skills!H7&gt;0,Skills!I7/Skills!H7,1)</f>
        <v/>
      </c>
      <c r="H819">
        <f>1-(1-Skills!J7/100)^Skills!K7</f>
        <v/>
      </c>
      <c r="I819" t="inlineStr">
        <is>
          <t>1</t>
        </is>
      </c>
      <c r="J819">
        <f>((Inputs!$B$6*(1+Inputs!$B$7/100))+(((Inputs!$B$12*(1+Inputs!$B$13/100))-(Inputs!$B$12*(1+Inputs!$B$13/100)))+0.25*(Inputs!$B$14-Inputs!$B$14))*(1+Inputs!$B$7/100))*(F819/100)</f>
        <v/>
      </c>
      <c r="K819">
        <f>J819*(1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819)</f>
        <v/>
      </c>
      <c r="L819">
        <f>K819*(MIN(Inputs!$B$22+((C832=TRUE)*(F832-Calc!F20)),(Inputs!$B$23+0+(IF(ArtifactsInput!$M$15,CHOOSE(ArtifactsInput!$N$15+1,25,30,35,40,45,50)/100*(Inputs!$B$11-Inputs!$B$11),0))))/100+(Inputs!$B$23+0+(IF(ArtifactsInput!$M$15,CHOOSE(ArtifactsInput!$N$15+1,25,30,35,40,45,50)/100*(Inputs!$B$11-Inputs!$B$11),0)))/100)/2</f>
        <v/>
      </c>
      <c r="M819">
        <f>L819*(1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9">
        <f>L819*(1-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819*(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9">
        <f>(1-Summary!$B$11)*T819+Summary!$B$11*V819</f>
        <v/>
      </c>
      <c r="P819">
        <f>IF(B848=0,0,O819/B848)</f>
        <v/>
      </c>
      <c r="Q819">
        <f>IFERROR(1/(IF(Inputs!$B$38="pvp",15,MAX(0.1,Skills!D7-IF(Skills!E7=TRUE,Inputs!$B$32,0)))*(1-IF(AND(ArtifactsInput!$M$27,Inputs!$B$4="Chapter Hunt"),CHOOSE(ArtifactsInput!$N$27+1,20,24,28,32,36,40),0)/100)),0)</f>
        <v/>
      </c>
      <c r="R819">
        <f>IF(AND(Inputs!$B$38&lt;&gt;"pvp",Inputs!$B$43&gt;0),IF(MAX(0,Inputs!$B$43-B845)&lt;=0,0,(INT(MAX(0,Inputs!$B$43-B845)/(IF(Inputs!$B$38="pvp",15,MAX(0.1,Skills!D7-IF(Skills!E7=TRUE,Inputs!$B$32,0)))*(1-IF(AND(ArtifactsInput!$M$27,Inputs!$B$4="Chapter Hunt"),CHOOSE(ArtifactsInput!$N$27+1,20,24,28,32,36,40),0)/100)))+1)),0)</f>
        <v/>
      </c>
      <c r="S819">
        <f>IFERROR(O819/N819,0)</f>
        <v/>
      </c>
      <c r="T819">
        <f>IF(C819,(H819*N819*IF(AND(Inputs!$B$38&lt;&gt;"pvp",Inputs!$B$43&gt;0),((Skills!G7*((R819-1)*IF(Skills!H7&gt;0,Skills!I7/Skills!H7,1)+IF(Skills!H7&gt;0,MIN(Skills!I7,MAX(0,MAX(0,Inputs!$B$43-B845)-((R819-1)*(IF(Inputs!$B$38="pvp",15,MAX(0.1,Skills!D7-IF(Skills!E7=TRUE,Inputs!$B$32,0)))*(1-IF(AND(ArtifactsInput!$M$27,Inputs!$B$4="Chapter Hunt"),CHOOSE(ArtifactsInput!$N$27+1,20,24,28,32,36,40),0)/100)))))/Skills!H7,1)))/Inputs!$B$43),G819*Q819)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819*(1-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819*(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819*(1-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819*(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9">
        <f>IF(C819,(H819*N819*IF(AND(Inputs!$B$38&lt;&gt;"pvp",Inputs!$B$43&gt;0),((Skills!G7*((R819-1)*IF(Skills!H7&gt;0,Skills!I7/Skills!H7,1)+IF(Skills!H7&gt;0,MIN(Skills!I7,MAX(0,MAX(0,Inputs!$B$43-B845)-((R819-1)*(IF(Inputs!$B$38="pvp",15,MAX(0.1,Skills!D7-IF(Skills!E7=TRUE,Inputs!$B$32,0)))*(1-IF(AND(ArtifactsInput!$M$27,Inputs!$B$4="Chapter Hunt"),CHOOSE(ArtifactsInput!$N$27+1,20,24,28,32,36,40),0)/100)))))/Skills!H7,1)))/Inputs!$B$43),G819*Q819))*IF(Inputs!$B$38="pvp",1,(1+(Inputs!$B$21+Skills!Q7+(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0">
      <c r="A820">
        <f>Skills!A8</f>
        <v/>
      </c>
      <c r="B820">
        <f>Skills!B8</f>
        <v/>
      </c>
      <c r="C820">
        <f>Inputs!$B$3&gt;=110</f>
        <v/>
      </c>
      <c r="D820">
        <f>IF(Skills!C8=1,60+Inputs!$B$25+Inputs!$B$29,IF(Skills!C8=2,90+Inputs!$B$26+Inputs!$B$29,IF(Skills!C8=3,120+Inputs!$B$27+Inputs!$B$29,MAX(0,(Inputs!$B$3-100)*3)+(Inputs!$B$28+1)+Inputs!$B$29)))</f>
        <v/>
      </c>
      <c r="E820">
        <f>INDEX(FactorTable!$B$2:$Y$301, MATCH(ROUND(MIN(300,MAX(1,D820)),0), FactorTable!$A$2:$A$301,0), Skills!M8+1)</f>
        <v/>
      </c>
      <c r="F820">
        <f>IF(Skills!N8=TRUE,(Skills!L8/10)*(E820/1000),Skills!L8/10)+Skills!O8</f>
        <v/>
      </c>
      <c r="G820">
        <f>Skills!G8*IF(Skills!H8&gt;0,Skills!I8/Skills!H8,1)</f>
        <v/>
      </c>
      <c r="H820">
        <f>1-(1-Skills!J8/100)^Skills!K8</f>
        <v/>
      </c>
      <c r="I820" t="inlineStr">
        <is>
          <t>1</t>
        </is>
      </c>
      <c r="J820">
        <f>((Inputs!$B$6*(1+Inputs!$B$7/100))+(((Inputs!$B$12*(1+Inputs!$B$13/100))-(Inputs!$B$12*(1+Inputs!$B$13/100)))+0.25*(Inputs!$B$14-Inputs!$B$14))*(1+Inputs!$B$7/100))*(F820/100)</f>
        <v/>
      </c>
      <c r="K820">
        <f>J820*(1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820)</f>
        <v/>
      </c>
      <c r="L820">
        <f>K820*(MIN(Inputs!$B$22+((C832=TRUE)*(F832-Calc!F20)),(Inputs!$B$23+0+(IF(ArtifactsInput!$M$15,CHOOSE(ArtifactsInput!$N$15+1,25,30,35,40,45,50)/100*(Inputs!$B$11-Inputs!$B$11),0))))/100+(Inputs!$B$23+0+(IF(ArtifactsInput!$M$15,CHOOSE(ArtifactsInput!$N$15+1,25,30,35,40,45,50)/100*(Inputs!$B$11-Inputs!$B$11),0)))/100)/2</f>
        <v/>
      </c>
      <c r="M820">
        <f>L820*(1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0">
        <f>L820*(1-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820*(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0">
        <f>(1-Summary!$B$11)*T820+Summary!$B$11*V820</f>
        <v/>
      </c>
      <c r="P820">
        <f>IF(B848=0,0,O820/B848)</f>
        <v/>
      </c>
      <c r="Q820">
        <f>IFERROR(1/(IF(Inputs!$B$38="pvp",15,MAX(0.1,Skills!D8-IF(Skills!E8=TRUE,Inputs!$B$32,0)))*(1-IF(AND(ArtifactsInput!$M$27,Inputs!$B$4="Chapter Hunt"),CHOOSE(ArtifactsInput!$N$27+1,20,24,28,32,36,40),0)/100)),0)</f>
        <v/>
      </c>
      <c r="R820">
        <f>IF(AND(Inputs!$B$38&lt;&gt;"pvp",Inputs!$B$43&gt;0),IF(MAX(0,Inputs!$B$43-B845)&lt;=0,0,(INT(MAX(0,Inputs!$B$43-B845)/(IF(Inputs!$B$38="pvp",15,MAX(0.1,Skills!D8-IF(Skills!E8=TRUE,Inputs!$B$32,0)))*(1-IF(AND(ArtifactsInput!$M$27,Inputs!$B$4="Chapter Hunt"),CHOOSE(ArtifactsInput!$N$27+1,20,24,28,32,36,40),0)/100)))+1)),0)</f>
        <v/>
      </c>
      <c r="S820">
        <f>IFERROR(O820/N820,0)</f>
        <v/>
      </c>
      <c r="T820">
        <f>IF(C820,(H820*N820*IF(AND(Inputs!$B$38&lt;&gt;"pvp",Inputs!$B$43&gt;0),((Skills!G8*((R820-1)*IF(Skills!H8&gt;0,Skills!I8/Skills!H8,1)+IF(Skills!H8&gt;0,MIN(Skills!I8,MAX(0,MAX(0,Inputs!$B$43-B845)-((R820-1)*(IF(Inputs!$B$38="pvp",15,MAX(0.1,Skills!D8-IF(Skills!E8=TRUE,Inputs!$B$32,0)))*(1-IF(AND(ArtifactsInput!$M$27,Inputs!$B$4="Chapter Hunt"),CHOOSE(ArtifactsInput!$N$27+1,20,24,28,32,36,40),0)/100)))))/Skills!H8,1)))/Inputs!$B$43),G820*Q820)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820*(1-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820*(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820*(1-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820*(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0">
        <f>IF(C820,(H820*N820*IF(AND(Inputs!$B$38&lt;&gt;"pvp",Inputs!$B$43&gt;0),((Skills!G8*((R820-1)*IF(Skills!H8&gt;0,Skills!I8/Skills!H8,1)+IF(Skills!H8&gt;0,MIN(Skills!I8,MAX(0,MAX(0,Inputs!$B$43-B845)-((R820-1)*(IF(Inputs!$B$38="pvp",15,MAX(0.1,Skills!D8-IF(Skills!E8=TRUE,Inputs!$B$32,0)))*(1-IF(AND(ArtifactsInput!$M$27,Inputs!$B$4="Chapter Hunt"),CHOOSE(ArtifactsInput!$N$27+1,20,24,28,32,36,40),0)/100)))))/Skills!H8,1)))/Inputs!$B$43),G820*Q820))*IF(Inputs!$B$38="pvp",1,(1+(Inputs!$B$21+Skills!Q8+(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1">
      <c r="A821">
        <f>Skills!A9</f>
        <v/>
      </c>
      <c r="B821">
        <f>Skills!B9</f>
        <v/>
      </c>
      <c r="C821">
        <f>Inputs!$B$3&gt;=110</f>
        <v/>
      </c>
      <c r="D821">
        <f>IF(Skills!C9=1,60+Inputs!$B$25+Inputs!$B$29,IF(Skills!C9=2,90+Inputs!$B$26+Inputs!$B$29,IF(Skills!C9=3,120+Inputs!$B$27+Inputs!$B$29,MAX(0,(Inputs!$B$3-100)*3)+(Inputs!$B$28+1)+Inputs!$B$29)))</f>
        <v/>
      </c>
      <c r="E821">
        <f>INDEX(FactorTable!$B$2:$Y$301, MATCH(ROUND(MIN(300,MAX(1,D821)),0), FactorTable!$A$2:$A$301,0), Skills!M9+1)</f>
        <v/>
      </c>
      <c r="F821">
        <f>IF(Skills!N9=TRUE,(Skills!L9/10)*(E821/1000),Skills!L9/10)+Skills!O9</f>
        <v/>
      </c>
      <c r="G821">
        <f>Skills!G9*IF(Skills!H9&gt;0,Skills!I9/Skills!H9,1)</f>
        <v/>
      </c>
      <c r="H821">
        <f>1-(1-Skills!J9/100)^Skills!K9</f>
        <v/>
      </c>
      <c r="I821" t="inlineStr">
        <is>
          <t>1</t>
        </is>
      </c>
      <c r="J821">
        <f>((Inputs!$B$6*(1+Inputs!$B$7/100))+(((Inputs!$B$12*(1+Inputs!$B$13/100))-(Inputs!$B$12*(1+Inputs!$B$13/100)))+0.25*(Inputs!$B$14-Inputs!$B$14))*(1+Inputs!$B$7/100))*(F821/100)</f>
        <v/>
      </c>
      <c r="K821">
        <f>J821*(1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821)</f>
        <v/>
      </c>
      <c r="L821">
        <f>K821*(MIN(Inputs!$B$22+((C832=TRUE)*(F832-Calc!F20)),(Inputs!$B$23+0+(IF(ArtifactsInput!$M$15,CHOOSE(ArtifactsInput!$N$15+1,25,30,35,40,45,50)/100*(Inputs!$B$11-Inputs!$B$11),0))))/100+(Inputs!$B$23+0+(IF(ArtifactsInput!$M$15,CHOOSE(ArtifactsInput!$N$15+1,25,30,35,40,45,50)/100*(Inputs!$B$11-Inputs!$B$11),0)))/100)/2</f>
        <v/>
      </c>
      <c r="M821">
        <f>L821*(1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1">
        <f>L821*(1-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1">
        <f>(1-Summary!$B$11)*T821+Summary!$B$11*V821</f>
        <v/>
      </c>
      <c r="P821">
        <f>IF(B848=0,0,O821/B848)</f>
        <v/>
      </c>
      <c r="Q821">
        <f>IFERROR(1/(IF(Inputs!$B$38="pvp",15,MAX(0.1,Skills!D9-IF(Skills!E9=TRUE,Inputs!$B$32,0)))*(1-IF(AND(ArtifactsInput!$M$27,Inputs!$B$4="Chapter Hunt"),CHOOSE(ArtifactsInput!$N$27+1,20,24,28,32,36,40),0)/100)),0)</f>
        <v/>
      </c>
      <c r="R821">
        <f>IF(AND(Inputs!$B$38&lt;&gt;"pvp",Inputs!$B$43&gt;0),IF(MAX(0,Inputs!$B$43-B845)&lt;=0,0,(INT(MAX(0,Inputs!$B$43-B845)/(IF(Inputs!$B$38="pvp",15,MAX(0.1,Skills!D9-IF(Skills!E9=TRUE,Inputs!$B$32,0)))*(1-IF(AND(ArtifactsInput!$M$27,Inputs!$B$4="Chapter Hunt"),CHOOSE(ArtifactsInput!$N$27+1,20,24,28,32,36,40),0)/100)))+1)),0)</f>
        <v/>
      </c>
      <c r="S821">
        <f>IFERROR(O821/N821,0)</f>
        <v/>
      </c>
      <c r="T821">
        <f>IF(C821,(H821*N821*IF(AND(Inputs!$B$38&lt;&gt;"pvp",Inputs!$B$43&gt;0),((Skills!G9*((R821-1)*IF(Skills!H9&gt;0,Skills!I9/Skills!H9,1)+IF(Skills!H9&gt;0,MIN(Skills!I9,MAX(0,MAX(0,Inputs!$B$43-B845)-((R821-1)*(IF(Inputs!$B$38="pvp",15,MAX(0.1,Skills!D9-IF(Skills!E9=TRUE,Inputs!$B$32,0)))*(1-IF(AND(ArtifactsInput!$M$27,Inputs!$B$4="Chapter Hunt"),CHOOSE(ArtifactsInput!$N$27+1,20,24,28,32,36,40),0)/100)))))/Skills!H9,1)))/Inputs!$B$43),G821*Q821)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1">
        <f>IF(C821,(H821*N821*IF(AND(Inputs!$B$38&lt;&gt;"pvp",Inputs!$B$43&gt;0),((Skills!G9*((R821-1)*IF(Skills!H9&gt;0,Skills!I9/Skills!H9,1)+IF(Skills!H9&gt;0,MIN(Skills!I9,MAX(0,MAX(0,Inputs!$B$43-B845)-((R821-1)*(IF(Inputs!$B$38="pvp",15,MAX(0.1,Skills!D9-IF(Skills!E9=TRUE,Inputs!$B$32,0)))*(1-IF(AND(ArtifactsInput!$M$27,Inputs!$B$4="Chapter Hunt"),CHOOSE(ArtifactsInput!$N$27+1,20,24,28,32,36,40),0)/100)))))/Skills!H9,1)))/Inputs!$B$43),G821*Q821))*IF(Inputs!$B$38="pvp",1,(1+(Inputs!$B$21+Skills!Q9+(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2">
      <c r="A822">
        <f>Skills!A10</f>
        <v/>
      </c>
      <c r="B822">
        <f>Skills!B10</f>
        <v/>
      </c>
      <c r="C822">
        <f>Inputs!$B$3&gt;=103</f>
        <v/>
      </c>
      <c r="D822">
        <f>IF(Skills!C10=1,60+Inputs!$B$25+Inputs!$B$29,IF(Skills!C10=2,90+Inputs!$B$26+Inputs!$B$29,IF(Skills!C10=3,120+Inputs!$B$27+Inputs!$B$29,MAX(0,(Inputs!$B$3-100)*3)+(Inputs!$B$28+1)+Inputs!$B$29)))</f>
        <v/>
      </c>
      <c r="E822">
        <f>INDEX(FactorTable!$B$2:$Y$301, MATCH(ROUND(MIN(300,MAX(1,D822)),0), FactorTable!$A$2:$A$301,0), Skills!M10+1)</f>
        <v/>
      </c>
      <c r="F822">
        <f>IF(Skills!N10=TRUE,(Skills!L10/10)*(E822/1000),Skills!L10/10)+Skills!O10</f>
        <v/>
      </c>
      <c r="G822">
        <f>Skills!G10*IF(Skills!H10&gt;0,Skills!I10/Skills!H10,1)</f>
        <v/>
      </c>
      <c r="H822">
        <f>1-(1-Skills!J10/100)^Skills!K10</f>
        <v/>
      </c>
      <c r="I822" t="inlineStr">
        <is>
          <t>1</t>
        </is>
      </c>
      <c r="J822">
        <f>((Inputs!$B$6*(1+Inputs!$B$7/100))+(((Inputs!$B$12*(1+Inputs!$B$13/100))-(Inputs!$B$12*(1+Inputs!$B$13/100)))+0.25*(Inputs!$B$14-Inputs!$B$14))*(1+Inputs!$B$7/100))*(F822/100)</f>
        <v/>
      </c>
      <c r="K822">
        <f>J822*(1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822)</f>
        <v/>
      </c>
      <c r="L822">
        <f>K822*(MIN(Inputs!$B$22+((C832=TRUE)*(F832-Calc!F20)),(Inputs!$B$23+0+(IF(ArtifactsInput!$M$15,CHOOSE(ArtifactsInput!$N$15+1,25,30,35,40,45,50)/100*(Inputs!$B$11-Inputs!$B$11),0))))/100+(Inputs!$B$23+0+(IF(ArtifactsInput!$M$15,CHOOSE(ArtifactsInput!$N$15+1,25,30,35,40,45,50)/100*(Inputs!$B$11-Inputs!$B$11),0)))/100)/2</f>
        <v/>
      </c>
      <c r="M822">
        <f>L822*(1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2">
        <f>L822*(1-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822*(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2">
        <f>(1-Summary!$B$11)*T822+Summary!$B$11*V822</f>
        <v/>
      </c>
      <c r="P822">
        <f>IF(B848=0,0,O822/B848)</f>
        <v/>
      </c>
      <c r="Q822">
        <f>IFERROR(1/(IF(Inputs!$B$38="pvp",15,MAX(0.1,Skills!D10-IF(Skills!E10=TRUE,Inputs!$B$32,0)))*(1-IF(AND(ArtifactsInput!$M$27,Inputs!$B$4="Chapter Hunt"),CHOOSE(ArtifactsInput!$N$27+1,20,24,28,32,36,40),0)/100)),0)</f>
        <v/>
      </c>
      <c r="R822">
        <f>IF(AND(Inputs!$B$38&lt;&gt;"pvp",Inputs!$B$43&gt;0),IF(MAX(0,Inputs!$B$43-B845)&lt;=0,0,(INT(MAX(0,Inputs!$B$43-B845)/(IF(Inputs!$B$38="pvp",15,MAX(0.1,Skills!D10-IF(Skills!E10=TRUE,Inputs!$B$32,0)))*(1-IF(AND(ArtifactsInput!$M$27,Inputs!$B$4="Chapter Hunt"),CHOOSE(ArtifactsInput!$N$27+1,20,24,28,32,36,40),0)/100)))+1)),0)</f>
        <v/>
      </c>
      <c r="S822">
        <f>IFERROR(O822/N822,0)</f>
        <v/>
      </c>
      <c r="T822">
        <f>IF(C822,(H822*N822*IF(AND(Inputs!$B$38&lt;&gt;"pvp",Inputs!$B$43&gt;0),((Skills!G10*((R822-1)*IF(Skills!H10&gt;0,Skills!I10/Skills!H10,1)+IF(Skills!H10&gt;0,MIN(Skills!I10,MAX(0,MAX(0,Inputs!$B$43-B845)-((R822-1)*(IF(Inputs!$B$38="pvp",15,MAX(0.1,Skills!D10-IF(Skills!E10=TRUE,Inputs!$B$32,0)))*(1-IF(AND(ArtifactsInput!$M$27,Inputs!$B$4="Chapter Hunt"),CHOOSE(ArtifactsInput!$N$27+1,20,24,28,32,36,40),0)/100)))))/Skills!H10,1)))/Inputs!$B$43),G822*Q822)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822*(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822*(1-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822*(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2">
        <f>IF(C822,(H822*N822*IF(AND(Inputs!$B$38&lt;&gt;"pvp",Inputs!$B$43&gt;0),((Skills!G10*((R822-1)*IF(Skills!H10&gt;0,Skills!I10/Skills!H10,1)+IF(Skills!H10&gt;0,MIN(Skills!I10,MAX(0,MAX(0,Inputs!$B$43-B845)-((R822-1)*(IF(Inputs!$B$38="pvp",15,MAX(0.1,Skills!D10-IF(Skills!E10=TRUE,Inputs!$B$32,0)))*(1-IF(AND(ArtifactsInput!$M$27,Inputs!$B$4="Chapter Hunt"),CHOOSE(ArtifactsInput!$N$27+1,20,24,28,32,36,40),0)/100)))))/Skills!H10,1)))/Inputs!$B$43),G822*Q822))*IF(Inputs!$B$38="pvp",1,(1+(Inputs!$B$21+Skills!Q10+(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3">
      <c r="A823">
        <f>Skills!A11</f>
        <v/>
      </c>
      <c r="B823">
        <f>Skills!B11</f>
        <v/>
      </c>
      <c r="C823">
        <f>Inputs!$B$3&gt;=113</f>
        <v/>
      </c>
      <c r="D823">
        <f>IF(Skills!C11=1,60+Inputs!$B$25+Inputs!$B$29,IF(Skills!C11=2,90+Inputs!$B$26+Inputs!$B$29,IF(Skills!C11=3,120+Inputs!$B$27+Inputs!$B$29,MAX(0,(Inputs!$B$3-100)*3)+(Inputs!$B$28+1)+Inputs!$B$29)))</f>
        <v/>
      </c>
      <c r="E823">
        <f>INDEX(FactorTable!$B$2:$Y$301, MATCH(ROUND(MIN(300,MAX(1,D823)),0), FactorTable!$A$2:$A$301,0), Skills!M11+1)</f>
        <v/>
      </c>
      <c r="F823">
        <f>IF(Skills!N11=TRUE,(Skills!L11/10)*(E823/1000),Skills!L11/10)+Skills!O11</f>
        <v/>
      </c>
      <c r="G823">
        <f>Skills!G11*IF(Skills!H11&gt;0,Skills!I11/Skills!H11,1)</f>
        <v/>
      </c>
      <c r="H823">
        <f>1-(1-Skills!J11/100)^Skills!K11</f>
        <v/>
      </c>
      <c r="I823" t="inlineStr">
        <is>
          <t>1</t>
        </is>
      </c>
      <c r="J823">
        <f>((Inputs!$B$6*(1+Inputs!$B$7/100))+(((Inputs!$B$12*(1+Inputs!$B$13/100))-(Inputs!$B$12*(1+Inputs!$B$13/100)))+0.25*(Inputs!$B$14-Inputs!$B$14))*(1+Inputs!$B$7/100))*(F823/100)</f>
        <v/>
      </c>
      <c r="K823">
        <f>J823*(1+((Inputs!$B$12*(1+Inputs!$B$13/100))*0.01+Inputs!$B$14*0.0025)/100)*(1+Inputs!$B$15/100)*(1+Inputs!$B$16/100)*(5000/(6000+Inputs!$B$42*(1-(100*(1-(1-(Inputs!$B$19+0)/100)*(1-CHOOSE(ArtifactsInput!$N$40+1,5,6,7,8,9,10)/100)^(ArtifactsInput!$M$40-ArtifactsInput!$M$40)))/100)))*(1+(Inputs!$B$24+((C834=TRUE)*(F834-Calc!F22))+B844)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833=TRUE)*(F833-Calc!F21))+(((IF(AND(ArtifactsInput!$M$42,((Inputs!$B$9+((C828=TRUE)*(F828-Calc!F16))+B838+(ArtifactsInput!$M$24-ArtifactsInput!$M$24)*CHOOSE(ArtifactsInput!$N$24+1,10,12,14,16,18,20)+IF(ArtifactsInput!$M$10,CHOOSE(ArtifactsInput!$N$10+1,15,18,21,24,27,30)*(IF(Inputs!$B$38="pvp",MIN(15,15)/15,IF(AND(Inputs!$B$38&lt;&gt;"pvp",Inputs!$B$43&gt;0),MIN(15,Inputs!$B$43)/(Inputs!$B$43),0))),0)))&gt;=100),MIN(100,((Inputs!$B$9+((C828=TRUE)*(F828-Calc!F16))+B838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828=TRUE)*(F828-Calc!F16))+B838+(ArtifactsInput!$M$24-ArtifactsInput!$M$24)*CHOOSE(ArtifactsInput!$N$24+1,10,12,14,16,18,20)+IF(ArtifactsInput!$M$10,CHOOSE(ArtifactsInput!$N$10+1,15,18,21,24,27,30)*(IF(Inputs!$B$38="pvp",MIN(15,15)/15,IF(AND(Inputs!$B$38&lt;&gt;"pvp",Inputs!$B$43&gt;0),MIN(15,Inputs!$B$43)/(Inputs!$B$43),0))),0)))&gt;=100),CHOOSE(ArtifactsInput!$N$42+1,40,48,56,64,72,80),0))))/100)*((1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823)</f>
        <v/>
      </c>
      <c r="L823">
        <f>K823*(MIN(Inputs!$B$22+((C832=TRUE)*(F832-Calc!F20)),(Inputs!$B$23+0+(IF(ArtifactsInput!$M$15,CHOOSE(ArtifactsInput!$N$15+1,25,30,35,40,45,50)/100*(Inputs!$B$11-Inputs!$B$11),0))))/100+(Inputs!$B$23+0+(IF(ArtifactsInput!$M$15,CHOOSE(ArtifactsInput!$N$15+1,25,30,35,40,45,50)/100*(Inputs!$B$11-Inputs!$B$11),0)))/100)/2</f>
        <v/>
      </c>
      <c r="M823">
        <f>L823*(1+(Inputs!$B$10+0+B843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3">
        <f>L823*(1-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823*(MIN((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3">
        <f>(1-Summary!$B$11)*T823+Summary!$B$11*V823</f>
        <v/>
      </c>
      <c r="P823">
        <f>IF(B848=0,0,O823/B848)</f>
        <v/>
      </c>
      <c r="Q823">
        <f>IFERROR(1/(IF(Inputs!$B$38="pvp",15,MAX(0.1,Skills!D11-IF(Skills!E11=TRUE,Inputs!$B$32,0)))*(1-IF(AND(ArtifactsInput!$M$27,Inputs!$B$4="Chapter Hunt"),CHOOSE(ArtifactsInput!$N$27+1,20,24,28,32,36,40),0)/100)),0)</f>
        <v/>
      </c>
      <c r="R823">
        <f>IF(AND(Inputs!$B$38&lt;&gt;"pvp",Inputs!$B$43&gt;0),IF(MAX(0,Inputs!$B$43-B845)&lt;=0,0,(INT(MAX(0,Inputs!$B$43-B845)/(IF(Inputs!$B$38="pvp",15,MAX(0.1,Skills!D11-IF(Skills!E11=TRUE,Inputs!$B$32,0)))*(1-IF(AND(ArtifactsInput!$M$27,Inputs!$B$4="Chapter Hunt"),CHOOSE(ArtifactsInput!$N$27+1,20,24,28,32,36,40),0)/100)))+1)),0)</f>
        <v/>
      </c>
      <c r="S823">
        <f>IFERROR(O823/N823,0)</f>
        <v/>
      </c>
      <c r="T823">
        <f>IF(C823,(H823*N823*IF(AND(Inputs!$B$38&lt;&gt;"pvp",Inputs!$B$43&gt;0),((Skills!G11*((R823-1)*IF(Skills!H11&gt;0,Skills!I11/Skills!H11,1)+IF(Skills!H11&gt;0,MIN(Skills!I11,MAX(0,MAX(0,Inputs!$B$43-B845)-((R823-1)*(IF(Inputs!$B$38="pvp",15,MAX(0.1,Skills!D11-IF(Skills!E11=TRUE,Inputs!$B$32,0)))*(1-IF(AND(ArtifactsInput!$M$27,Inputs!$B$4="Chapter Hunt"),CHOOSE(ArtifactsInput!$N$27+1,20,24,28,32,36,40),0)/100)))))/Skills!H11,1)))/Inputs!$B$43),G823*Q823)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823*(1-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823*(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823*(1-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823*(MIN(100,(Inputs!$B$9+((C828=TRUE)*(F828-Calc!F16))+B838+(ArtifactsInput!$M$24-ArtifactsInput!$M$24)*CHOOSE(ArtifactsInput!$N$24+1,10,12,14,16,18,20)+(IF(AND(ArtifactsInput!$M$42,((Inputs!$B$9+((C828=TRUE)*(F828-Calc!F16))+B838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3">
        <f>IF(C823,(H823*N823*IF(AND(Inputs!$B$38&lt;&gt;"pvp",Inputs!$B$43&gt;0),((Skills!G11*((R823-1)*IF(Skills!H11&gt;0,Skills!I11/Skills!H11,1)+IF(Skills!H11&gt;0,MIN(Skills!I11,MAX(0,MAX(0,Inputs!$B$43-B845)-((R823-1)*(IF(Inputs!$B$38="pvp",15,MAX(0.1,Skills!D11-IF(Skills!E11=TRUE,Inputs!$B$32,0)))*(1-IF(AND(ArtifactsInput!$M$27,Inputs!$B$4="Chapter Hunt"),CHOOSE(ArtifactsInput!$N$27+1,20,24,28,32,36,40),0)/100)))))/Skills!H11,1)))/Inputs!$B$43),G823*Q823))*IF(Inputs!$B$38="pvp",1,(1+(Inputs!$B$21+Skills!Q11+(IF(ArtifactsInput!$M$33,CHOOSE(ArtifactsInput!$N$33+1,30,36,42,48,54,60),0))+(IF(AND(ArtifactsInput!$M$35,Inputs!$B$4&lt;&gt;"Chapter Hunt"),CHOOSE(ArtifactsInput!$N$35+1,15,18,21,24,27,30)*(1-EXP(-(0.2*B840)*5)),0)+IF(AND(ArtifactsInput!$M$22,Inputs!$B$4&lt;&gt;"Chapter Hunt"),CHOOSE(ArtifactsInput!$N$22+1,10,12,14,16,18,20)*((0*(((0.15*B840*5))^0/1)+1*(((0.15*B840*5))^1/1)+2*(((0.15*B840*5))^2/2)+3*(((0.15*B840*5))^3/6)+4*(((0.15*B840*5))^4/24)+5*(((0.15*B840*5))^5/120))/((((0.15*B840*5))^0/1)+(((0.15*B840*5))^1/1)+(((0.15*B840*5))^2/2)+(((0.15*B840*5))^3/6)+(((0.15*B840*5))^4/24)+(((0.15*B840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4">
      <c r="A824">
        <f>Skills!A12</f>
        <v/>
      </c>
      <c r="B824">
        <f>Skills!B12</f>
        <v/>
      </c>
      <c r="C824">
        <f>Inputs!$B$3&gt;=100</f>
        <v/>
      </c>
      <c r="D824">
        <f>IF(Skills!C12=1,60+Inputs!$B$25+Inputs!$B$29,IF(Skills!C12=2,90+Inputs!$B$26+Inputs!$B$29,IF(Skills!C12=3,120+Inputs!$B$27+Inputs!$B$29,MAX(0,(Inputs!$B$3-100)*3)+(Inputs!$B$28+1)+Inputs!$B$29)))</f>
        <v/>
      </c>
      <c r="E824">
        <f>INDEX(FactorTable!$B$2:$Y$301, MATCH(ROUND(MIN(300,MAX(1,D824)),0), FactorTable!$A$2:$A$301,0), Skills!M12+1)</f>
        <v/>
      </c>
      <c r="F824">
        <f>IF(Skills!N12=TRUE,(Skills!L12/10)*(E824/1000),Skills!L12/10)+Skills!O12</f>
        <v/>
      </c>
      <c r="G824" t="inlineStr"/>
      <c r="H824" t="inlineStr"/>
      <c r="I824" t="inlineStr">
        <is>
          <t>1</t>
        </is>
      </c>
      <c r="J824" t="inlineStr"/>
      <c r="K824" t="inlineStr"/>
      <c r="L824" t="inlineStr"/>
      <c r="M824" t="inlineStr"/>
      <c r="N824" t="inlineStr"/>
      <c r="O824" t="inlineStr"/>
      <c r="P824" t="inlineStr"/>
      <c r="Q824" t="inlineStr"/>
      <c r="R824" t="inlineStr"/>
      <c r="S824" t="inlineStr"/>
      <c r="T824" t="inlineStr"/>
      <c r="V824" t="inlineStr"/>
    </row>
    <row r="825">
      <c r="A825">
        <f>Skills!A13</f>
        <v/>
      </c>
      <c r="B825">
        <f>Skills!B13</f>
        <v/>
      </c>
      <c r="C825">
        <f>Inputs!$B$3&gt;=66</f>
        <v/>
      </c>
      <c r="D825">
        <f>IF(Skills!C13=1,60+Inputs!$B$25+Inputs!$B$29,IF(Skills!C13=2,90+Inputs!$B$26+Inputs!$B$29,IF(Skills!C13=3,120+Inputs!$B$27+Inputs!$B$29,MAX(0,(Inputs!$B$3-100)*3)+(Inputs!$B$28+1)+Inputs!$B$29)))</f>
        <v/>
      </c>
      <c r="E825">
        <f>INDEX(FactorTable!$B$2:$Y$301, MATCH(ROUND(MIN(300,MAX(1,D825)),0), FactorTable!$A$2:$A$301,0), Skills!M13+1)</f>
        <v/>
      </c>
      <c r="F825">
        <f>IF(Skills!N13=TRUE,(Skills!L13/10)*(E825/1000),Skills!L13/10)+Skills!O13</f>
        <v/>
      </c>
      <c r="G825">
        <f>Skills!G13*IF(Skills!H13&gt;0,Skills!I13/Skills!H13,1)</f>
        <v/>
      </c>
      <c r="H825">
        <f>1-(1-Skills!J13/100)^Skills!K13</f>
        <v/>
      </c>
      <c r="I825" t="inlineStr">
        <is>
          <t>1</t>
        </is>
      </c>
      <c r="J825" t="inlineStr"/>
      <c r="K825" t="inlineStr"/>
      <c r="L825" t="inlineStr"/>
      <c r="M825" t="inlineStr"/>
      <c r="N825" t="inlineStr"/>
      <c r="O825">
        <f>(1-Summary!$B$11)*T825+Summary!$B$11*V825</f>
        <v/>
      </c>
      <c r="P825">
        <f>IF(B848=0,0,O825/B848)</f>
        <v/>
      </c>
      <c r="Q825" t="n">
        <v>0</v>
      </c>
      <c r="R825" t="n">
        <v>0</v>
      </c>
      <c r="S825">
        <f>IFERROR(O825/N825,0)</f>
        <v/>
      </c>
      <c r="T825" t="n">
        <v>0</v>
      </c>
      <c r="V825" t="n">
        <v>0</v>
      </c>
    </row>
    <row r="826">
      <c r="A826">
        <f>Skills!A14</f>
        <v/>
      </c>
      <c r="B826">
        <f>Skills!B14</f>
        <v/>
      </c>
      <c r="C826">
        <f>Inputs!$B$3&gt;=107</f>
        <v/>
      </c>
      <c r="D826">
        <f>IF(Skills!C14=1,60+Inputs!$B$25+Inputs!$B$29,IF(Skills!C14=2,90+Inputs!$B$26+Inputs!$B$29,IF(Skills!C14=3,120+Inputs!$B$27+Inputs!$B$29,MAX(0,(Inputs!$B$3-100)*3)+(Inputs!$B$28+1)+Inputs!$B$29)))</f>
        <v/>
      </c>
      <c r="E826">
        <f>INDEX(FactorTable!$B$2:$Y$301, MATCH(ROUND(MIN(300,MAX(1,D826)),0), FactorTable!$A$2:$A$301,0), Skills!M14+1)</f>
        <v/>
      </c>
      <c r="F826">
        <f>IF(Skills!N14=TRUE,(Skills!L14/10)*(E826/1000),Skills!L14/10)+Skills!O14</f>
        <v/>
      </c>
      <c r="G826">
        <f>Skills!G14*IF(Skills!H14&gt;0,Skills!I14/Skills!H14,1)</f>
        <v/>
      </c>
      <c r="H826">
        <f>1-(1-Skills!J14/100)^Skills!K14</f>
        <v/>
      </c>
      <c r="I826" t="inlineStr">
        <is>
          <t>1</t>
        </is>
      </c>
      <c r="J826" t="inlineStr"/>
      <c r="K826" t="inlineStr"/>
      <c r="L826" t="inlineStr"/>
      <c r="M826" t="inlineStr"/>
      <c r="N826" t="inlineStr"/>
      <c r="O826">
        <f>(1-Summary!$B$11)*T826+Summary!$B$11*V826</f>
        <v/>
      </c>
      <c r="P826">
        <f>IF(B848=0,0,O826/B848)</f>
        <v/>
      </c>
      <c r="Q826">
        <f>IFERROR(1/(IF(Inputs!$B$38="pvp",15,MAX(0.1,Skills!D14-IF(Skills!E14=TRUE,Inputs!$B$32,0)))*(1-IF(AND(ArtifactsInput!$M$27,Inputs!$B$4="Chapter Hunt"),CHOOSE(ArtifactsInput!$N$27+1,20,24,28,32,36,40),0)/100)),0)</f>
        <v/>
      </c>
      <c r="R826">
        <f>IF(AND(Inputs!$B$38&lt;&gt;"pvp",Inputs!$B$43&gt;0),IF(Inputs!$B$43&lt;=0,0,(INT(Inputs!$B$43/(IF(Inputs!$B$38="pvp",15,MAX(0.1,Skills!D14-IF(Skills!E14=TRUE,Inputs!$B$32,0)))*(1-IF(AND(ArtifactsInput!$M$27,Inputs!$B$4="Chapter Hunt"),CHOOSE(ArtifactsInput!$N$27+1,20,24,28,32,36,40),0)/100)))+1)),0)</f>
        <v/>
      </c>
      <c r="S826">
        <f>IFERROR(O826/N826,0)</f>
        <v/>
      </c>
      <c r="T826" t="n">
        <v>0</v>
      </c>
      <c r="V826" t="n">
        <v>0</v>
      </c>
    </row>
    <row r="827">
      <c r="A827">
        <f>Skills!A15</f>
        <v/>
      </c>
      <c r="B827">
        <f>Skills!B15</f>
        <v/>
      </c>
      <c r="C827">
        <f>Inputs!$B$3&gt;=115</f>
        <v/>
      </c>
      <c r="D827">
        <f>IF(Skills!C15=1,60+Inputs!$B$25+Inputs!$B$29,IF(Skills!C15=2,90+Inputs!$B$26+Inputs!$B$29,IF(Skills!C15=3,120+Inputs!$B$27+Inputs!$B$29,MAX(0,(Inputs!$B$3-100)*3)+(Inputs!$B$28+1)+Inputs!$B$29)))</f>
        <v/>
      </c>
      <c r="E827">
        <f>INDEX(FactorTable!$B$2:$Y$301, MATCH(ROUND(MIN(300,MAX(1,D827)),0), FactorTable!$A$2:$A$301,0), Skills!M15+1)</f>
        <v/>
      </c>
      <c r="F827">
        <f>IF(Skills!N15=TRUE,(Skills!L15/10)*(E827/1000),Skills!L15/10)+Skills!O15</f>
        <v/>
      </c>
      <c r="G827">
        <f>Skills!G15*IF(Skills!H15&gt;0,Skills!I15/Skills!H15,1)</f>
        <v/>
      </c>
      <c r="H827">
        <f>1-(1-Skills!J15/100)^Skills!K15</f>
        <v/>
      </c>
      <c r="I827" t="inlineStr">
        <is>
          <t>1</t>
        </is>
      </c>
      <c r="J827" t="inlineStr"/>
      <c r="K827" t="inlineStr"/>
      <c r="L827" t="inlineStr"/>
      <c r="M827" t="inlineStr"/>
      <c r="N827" t="inlineStr"/>
      <c r="O827">
        <f>(1-Summary!$B$11)*T827+Summary!$B$11*V827</f>
        <v/>
      </c>
      <c r="P827">
        <f>IF(B848=0,0,O827/B848)</f>
        <v/>
      </c>
      <c r="Q827">
        <f>IFERROR(1/(IF(Inputs!$B$38="pvp",15,MAX(0.1,Skills!D15-IF(Skills!E15=TRUE,Inputs!$B$32,0)))*(1-IF(AND(ArtifactsInput!$M$27,Inputs!$B$4="Chapter Hunt"),CHOOSE(ArtifactsInput!$N$27+1,20,24,28,32,36,40),0)/100)),0)</f>
        <v/>
      </c>
      <c r="R827">
        <f>IF(AND(Inputs!$B$38&lt;&gt;"pvp",Inputs!$B$43&gt;0),IF(Inputs!$B$43&lt;=0,0,(INT(Inputs!$B$43/(IF(Inputs!$B$38="pvp",15,MAX(0.1,Skills!D15-IF(Skills!E15=TRUE,Inputs!$B$32,0)))*(1-IF(AND(ArtifactsInput!$M$27,Inputs!$B$4="Chapter Hunt"),CHOOSE(ArtifactsInput!$N$27+1,20,24,28,32,36,40),0)/100)))+1)),0)</f>
        <v/>
      </c>
      <c r="S827">
        <f>IFERROR(O827/N827,0)</f>
        <v/>
      </c>
      <c r="T827" t="n">
        <v>0</v>
      </c>
      <c r="V827" t="n">
        <v>0</v>
      </c>
    </row>
    <row r="828">
      <c r="A828">
        <f>Skills!A16</f>
        <v/>
      </c>
      <c r="B828">
        <f>Skills!B16</f>
        <v/>
      </c>
      <c r="C828">
        <f>Inputs!$B$3&gt;=15</f>
        <v/>
      </c>
      <c r="D828">
        <f>IF(Skills!C16=1,60+Inputs!$B$25+Inputs!$B$29,IF(Skills!C16=2,90+Inputs!$B$26+Inputs!$B$29,IF(Skills!C16=3,120+Inputs!$B$27+Inputs!$B$29,MAX(0,(Inputs!$B$3-100)*3)+(Inputs!$B$28+1)+Inputs!$B$29)))</f>
        <v/>
      </c>
      <c r="E828">
        <f>INDEX(FactorTable!$B$2:$Y$301, MATCH(ROUND(MIN(300,MAX(1,D828)),0), FactorTable!$A$2:$A$301,0), Skills!M16+1)</f>
        <v/>
      </c>
      <c r="F828">
        <f>IF(Skills!N16=TRUE,(Skills!L16/10)*(E828/1000),Skills!L16/10)+Skills!O16</f>
        <v/>
      </c>
      <c r="G828">
        <f>Skills!G16*IF(Skills!H16&gt;0,Skills!I16/Skills!H16,1)</f>
        <v/>
      </c>
      <c r="H828">
        <f>1-(1-Skills!J16/100)^Skills!K16</f>
        <v/>
      </c>
      <c r="I828" t="inlineStr">
        <is>
          <t>1</t>
        </is>
      </c>
      <c r="J828" t="inlineStr"/>
      <c r="K828" t="inlineStr"/>
      <c r="L828" t="inlineStr"/>
      <c r="M828" t="inlineStr"/>
      <c r="N828" t="inlineStr"/>
      <c r="O828">
        <f>(1-Summary!$B$11)*T828+Summary!$B$11*V828</f>
        <v/>
      </c>
      <c r="P828">
        <f>IF(B848=0,0,O828/B848)</f>
        <v/>
      </c>
      <c r="Q828" t="n">
        <v>0</v>
      </c>
      <c r="R828" t="n">
        <v>0</v>
      </c>
      <c r="S828">
        <f>IFERROR(O828/N828,0)</f>
        <v/>
      </c>
      <c r="T828" t="n">
        <v>0</v>
      </c>
      <c r="V828" t="n">
        <v>0</v>
      </c>
    </row>
    <row r="829">
      <c r="A829">
        <f>Skills!A17</f>
        <v/>
      </c>
      <c r="B829">
        <f>Skills!B17</f>
        <v/>
      </c>
      <c r="C829">
        <f>Inputs!$B$3&gt;=10</f>
        <v/>
      </c>
      <c r="D829">
        <f>IF(Skills!C17=1,60+Inputs!$B$25+Inputs!$B$29,IF(Skills!C17=2,90+Inputs!$B$26+Inputs!$B$29,IF(Skills!C17=3,120+Inputs!$B$27+Inputs!$B$29,MAX(0,(Inputs!$B$3-100)*3)+(Inputs!$B$28+1)+Inputs!$B$29)))</f>
        <v/>
      </c>
      <c r="E829">
        <f>INDEX(FactorTable!$B$2:$Y$301, MATCH(ROUND(MIN(300,MAX(1,D829)),0), FactorTable!$A$2:$A$301,0), Skills!M17+1)</f>
        <v/>
      </c>
      <c r="F829">
        <f>IF(Skills!N17=TRUE,(Skills!L17/10)*(E829/1000),Skills!L17/10)+Skills!O17</f>
        <v/>
      </c>
      <c r="G829">
        <f>Skills!G17*IF(Skills!H17&gt;0,Skills!I17/Skills!H17,1)</f>
        <v/>
      </c>
      <c r="H829">
        <f>1-(1-Skills!J17/100)^Skills!K17</f>
        <v/>
      </c>
      <c r="I829" t="inlineStr">
        <is>
          <t>1</t>
        </is>
      </c>
      <c r="J829" t="inlineStr"/>
      <c r="K829" t="inlineStr"/>
      <c r="L829" t="inlineStr"/>
      <c r="M829" t="inlineStr"/>
      <c r="N829" t="inlineStr"/>
      <c r="O829">
        <f>(1-Summary!$B$11)*T829+Summary!$B$11*V829</f>
        <v/>
      </c>
      <c r="P829">
        <f>IF(B848=0,0,O829/B848)</f>
        <v/>
      </c>
      <c r="Q829" t="n">
        <v>0</v>
      </c>
      <c r="R829" t="n">
        <v>0</v>
      </c>
      <c r="S829">
        <f>IFERROR(O829/N829,0)</f>
        <v/>
      </c>
      <c r="T829" t="n">
        <v>0</v>
      </c>
      <c r="V829" t="n">
        <v>0</v>
      </c>
    </row>
    <row r="830">
      <c r="A830">
        <f>Skills!A18</f>
        <v/>
      </c>
      <c r="B830">
        <f>Skills!B18</f>
        <v/>
      </c>
      <c r="C830">
        <f>Inputs!$B$3&gt;=33</f>
        <v/>
      </c>
      <c r="D830">
        <f>IF(Skills!C18=1,60+Inputs!$B$25+Inputs!$B$29,IF(Skills!C18=2,90+Inputs!$B$26+Inputs!$B$29,IF(Skills!C18=3,120+Inputs!$B$27+Inputs!$B$29,MAX(0,(Inputs!$B$3-100)*3)+(Inputs!$B$28+1)+Inputs!$B$29)))</f>
        <v/>
      </c>
      <c r="E830">
        <f>INDEX(FactorTable!$B$2:$Y$301, MATCH(ROUND(MIN(300,MAX(1,D830)),0), FactorTable!$A$2:$A$301,0), Skills!M18+1)</f>
        <v/>
      </c>
      <c r="F830">
        <f>IF(Skills!N18=TRUE,(Skills!L18/10)*(E830/1000),Skills!L18/10)+Skills!O18</f>
        <v/>
      </c>
      <c r="G830">
        <f>Skills!G18*IF(Skills!H18&gt;0,Skills!I18/Skills!H18,1)</f>
        <v/>
      </c>
      <c r="H830">
        <f>1-(1-Skills!J18/100)^Skills!K18</f>
        <v/>
      </c>
      <c r="I830" t="inlineStr">
        <is>
          <t>1</t>
        </is>
      </c>
      <c r="J830" t="inlineStr"/>
      <c r="K830" t="inlineStr"/>
      <c r="L830" t="inlineStr"/>
      <c r="M830" t="inlineStr"/>
      <c r="N830" t="inlineStr"/>
      <c r="O830">
        <f>(1-Summary!$B$11)*T830+Summary!$B$11*V830</f>
        <v/>
      </c>
      <c r="P830">
        <f>IF(B848=0,0,O830/B848)</f>
        <v/>
      </c>
      <c r="Q830" t="n">
        <v>0</v>
      </c>
      <c r="R830" t="n">
        <v>0</v>
      </c>
      <c r="S830">
        <f>IFERROR(O830/N830,0)</f>
        <v/>
      </c>
      <c r="T830" t="n">
        <v>0</v>
      </c>
      <c r="V830" t="n">
        <v>0</v>
      </c>
    </row>
    <row r="831">
      <c r="A831">
        <f>Skills!A19</f>
        <v/>
      </c>
      <c r="B831">
        <f>Skills!B19</f>
        <v/>
      </c>
      <c r="C831">
        <f>Inputs!$B$3&gt;=40</f>
        <v/>
      </c>
      <c r="D831">
        <f>IF(Skills!C19=1,60+Inputs!$B$25+Inputs!$B$29,IF(Skills!C19=2,90+Inputs!$B$26+Inputs!$B$29,IF(Skills!C19=3,120+Inputs!$B$27+Inputs!$B$29,MAX(0,(Inputs!$B$3-100)*3)+(Inputs!$B$28+1)+Inputs!$B$29)))</f>
        <v/>
      </c>
      <c r="E831">
        <f>INDEX(FactorTable!$B$2:$Y$301, MATCH(ROUND(MIN(300,MAX(1,D831)),0), FactorTable!$A$2:$A$301,0), Skills!M19+1)</f>
        <v/>
      </c>
      <c r="F831">
        <f>IF(Skills!N19=TRUE,(Skills!L19/10)*(E831/1000),Skills!L19/10)+Skills!O19</f>
        <v/>
      </c>
      <c r="G831">
        <f>Skills!G19*IF(Skills!H19&gt;0,Skills!I19/Skills!H19,1)</f>
        <v/>
      </c>
      <c r="H831">
        <f>1-(1-Skills!J19/100)^Skills!K19</f>
        <v/>
      </c>
      <c r="I831" t="inlineStr">
        <is>
          <t>1</t>
        </is>
      </c>
      <c r="J831" t="inlineStr"/>
      <c r="K831" t="inlineStr"/>
      <c r="L831" t="inlineStr"/>
      <c r="M831" t="inlineStr"/>
      <c r="N831" t="inlineStr"/>
      <c r="O831">
        <f>(1-Summary!$B$11)*T831+Summary!$B$11*V831</f>
        <v/>
      </c>
      <c r="P831">
        <f>IF(B848=0,0,O831/B848)</f>
        <v/>
      </c>
      <c r="Q831" t="n">
        <v>0</v>
      </c>
      <c r="R831" t="n">
        <v>0</v>
      </c>
      <c r="S831">
        <f>IFERROR(O831/N831,0)</f>
        <v/>
      </c>
      <c r="T831" t="n">
        <v>0</v>
      </c>
      <c r="V831" t="n">
        <v>0</v>
      </c>
    </row>
    <row r="832">
      <c r="A832">
        <f>Skills!A20</f>
        <v/>
      </c>
      <c r="B832">
        <f>Skills!B20</f>
        <v/>
      </c>
      <c r="C832">
        <f>Inputs!$B$3&gt;=43</f>
        <v/>
      </c>
      <c r="D832">
        <f>IF(Skills!C20=1,60+Inputs!$B$25+Inputs!$B$29,IF(Skills!C20=2,90+Inputs!$B$26+Inputs!$B$29,IF(Skills!C20=3,120+Inputs!$B$27+Inputs!$B$29,MAX(0,(Inputs!$B$3-100)*3)+(Inputs!$B$28+1)+Inputs!$B$29)))</f>
        <v/>
      </c>
      <c r="E832">
        <f>INDEX(FactorTable!$B$2:$Y$301, MATCH(ROUND(MIN(300,MAX(1,D832)),0), FactorTable!$A$2:$A$301,0), Skills!M20+1)</f>
        <v/>
      </c>
      <c r="F832">
        <f>IF(Skills!N20=TRUE,(Skills!L20/10)*(E832/1000),Skills!L20/10)+Skills!O20</f>
        <v/>
      </c>
      <c r="G832">
        <f>Skills!G20*IF(Skills!H20&gt;0,Skills!I20/Skills!H20,1)</f>
        <v/>
      </c>
      <c r="H832">
        <f>1-(1-Skills!J20/100)^Skills!K20</f>
        <v/>
      </c>
      <c r="I832" t="inlineStr">
        <is>
          <t>1</t>
        </is>
      </c>
      <c r="J832" t="inlineStr"/>
      <c r="K832" t="inlineStr"/>
      <c r="L832" t="inlineStr"/>
      <c r="M832" t="inlineStr"/>
      <c r="N832" t="inlineStr"/>
      <c r="O832">
        <f>(1-Summary!$B$11)*T832+Summary!$B$11*V832</f>
        <v/>
      </c>
      <c r="P832">
        <f>IF(B848=0,0,O832/B848)</f>
        <v/>
      </c>
      <c r="Q832" t="n">
        <v>0</v>
      </c>
      <c r="R832" t="n">
        <v>0</v>
      </c>
      <c r="S832">
        <f>IFERROR(O832/N832,0)</f>
        <v/>
      </c>
      <c r="T832" t="n">
        <v>0</v>
      </c>
      <c r="V832" t="n">
        <v>0</v>
      </c>
    </row>
    <row r="833">
      <c r="A833">
        <f>Skills!A21</f>
        <v/>
      </c>
      <c r="B833">
        <f>Skills!B21</f>
        <v/>
      </c>
      <c r="C833">
        <f>Inputs!$B$3&gt;=38</f>
        <v/>
      </c>
      <c r="D833">
        <f>IF(Skills!C21=1,60+Inputs!$B$25+Inputs!$B$29,IF(Skills!C21=2,90+Inputs!$B$26+Inputs!$B$29,IF(Skills!C21=3,120+Inputs!$B$27+Inputs!$B$29,MAX(0,(Inputs!$B$3-100)*3)+(Inputs!$B$28+1)+Inputs!$B$29)))</f>
        <v/>
      </c>
      <c r="E833">
        <f>INDEX(FactorTable!$B$2:$Y$301, MATCH(ROUND(MIN(300,MAX(1,D833)),0), FactorTable!$A$2:$A$301,0), Skills!M21+1)</f>
        <v/>
      </c>
      <c r="F833">
        <f>IF(Skills!N21=TRUE,(Skills!L21/10)*(E833/1000),Skills!L21/10)+Skills!O21</f>
        <v/>
      </c>
      <c r="G833">
        <f>Skills!G21*IF(Skills!H21&gt;0,Skills!I21/Skills!H21,1)</f>
        <v/>
      </c>
      <c r="H833">
        <f>1-(1-Skills!J21/100)^Skills!K21</f>
        <v/>
      </c>
      <c r="I833" t="inlineStr">
        <is>
          <t>1</t>
        </is>
      </c>
      <c r="J833" t="inlineStr"/>
      <c r="K833" t="inlineStr"/>
      <c r="L833" t="inlineStr"/>
      <c r="M833" t="inlineStr"/>
      <c r="N833" t="inlineStr"/>
      <c r="O833">
        <f>(1-Summary!$B$11)*T833+Summary!$B$11*V833</f>
        <v/>
      </c>
      <c r="P833">
        <f>IF(B848=0,0,O833/B848)</f>
        <v/>
      </c>
      <c r="Q833" t="n">
        <v>0</v>
      </c>
      <c r="R833" t="n">
        <v>0</v>
      </c>
      <c r="S833">
        <f>IFERROR(O833/N833,0)</f>
        <v/>
      </c>
      <c r="T833" t="n">
        <v>0</v>
      </c>
      <c r="V833" t="n">
        <v>0</v>
      </c>
    </row>
    <row r="834">
      <c r="A834">
        <f>Skills!A22</f>
        <v/>
      </c>
      <c r="B834">
        <f>Skills!B22</f>
        <v/>
      </c>
      <c r="C834">
        <f>Inputs!$B$3&gt;=75</f>
        <v/>
      </c>
      <c r="D834">
        <f>IF(Skills!C22=1,60+Inputs!$B$25+Inputs!$B$29,IF(Skills!C22=2,90+Inputs!$B$26+Inputs!$B$29,IF(Skills!C22=3,120+Inputs!$B$27+Inputs!$B$29,MAX(0,(Inputs!$B$3-100)*3)+(Inputs!$B$28+1)+Inputs!$B$29)))</f>
        <v/>
      </c>
      <c r="E834">
        <f>INDEX(FactorTable!$B$2:$Y$301, MATCH(ROUND(MIN(300,MAX(1,D834)),0), FactorTable!$A$2:$A$301,0), Skills!M22+1)</f>
        <v/>
      </c>
      <c r="F834">
        <f>IF(Skills!N22=TRUE,(Skills!L22/10)*(E834/1000),Skills!L22/10)+Skills!O22</f>
        <v/>
      </c>
      <c r="G834">
        <f>Skills!G22*IF(Skills!H22&gt;0,Skills!I22/Skills!H22,1)</f>
        <v/>
      </c>
      <c r="H834">
        <f>1-(1-Skills!J22/100)^Skills!K22</f>
        <v/>
      </c>
      <c r="I834" t="inlineStr">
        <is>
          <t>1</t>
        </is>
      </c>
      <c r="J834" t="inlineStr"/>
      <c r="K834" t="inlineStr"/>
      <c r="L834" t="inlineStr"/>
      <c r="M834" t="inlineStr"/>
      <c r="N834" t="inlineStr"/>
      <c r="O834">
        <f>(1-Summary!$B$11)*T834+Summary!$B$11*V834</f>
        <v/>
      </c>
      <c r="P834">
        <f>IF(B848=0,0,O834/B848)</f>
        <v/>
      </c>
      <c r="Q834" t="n">
        <v>0</v>
      </c>
      <c r="R834" t="n">
        <v>0</v>
      </c>
      <c r="S834">
        <f>IFERROR(O834/N834,0)</f>
        <v/>
      </c>
      <c r="T834" t="n">
        <v>0</v>
      </c>
      <c r="V834" t="n">
        <v>0</v>
      </c>
    </row>
    <row r="835">
      <c r="A835">
        <f>Skills!A23</f>
        <v/>
      </c>
      <c r="B835">
        <f>Skills!B23</f>
        <v/>
      </c>
      <c r="C835">
        <f>TRUE</f>
        <v/>
      </c>
      <c r="D835">
        <f>IF(Skills!C23=1,60+Inputs!$B$25+Inputs!$B$29,IF(Skills!C23=2,90+Inputs!$B$26+Inputs!$B$29,IF(Skills!C23=3,120+Inputs!$B$27+Inputs!$B$29,MAX(0,(Inputs!$B$3-100)*3)+(Inputs!$B$28+1)+Inputs!$B$29)))</f>
        <v/>
      </c>
      <c r="E835">
        <f>INDEX(FactorTable!$B$2:$Y$301, MATCH(ROUND(MIN(300,MAX(1,D835)),0), FactorTable!$A$2:$A$301,0), Skills!M23+1)</f>
        <v/>
      </c>
      <c r="F835">
        <f>IF(Skills!N23=TRUE,(Skills!L23/10)*(E835/1000),Skills!L23/10)+Skills!O23</f>
        <v/>
      </c>
      <c r="G835">
        <f>Skills!G23*IF(Skills!H23&gt;0,Skills!I23/Skills!H23,1)</f>
        <v/>
      </c>
      <c r="H835">
        <f>1-(1-Skills!J23/100)^Skills!K23</f>
        <v/>
      </c>
      <c r="I835" t="inlineStr">
        <is>
          <t>1</t>
        </is>
      </c>
      <c r="J835" t="inlineStr"/>
      <c r="K835" t="inlineStr"/>
      <c r="L835" t="inlineStr"/>
      <c r="M835" t="inlineStr"/>
      <c r="N835" t="inlineStr"/>
      <c r="O835">
        <f>(1-Summary!$B$11)*T835+Summary!$B$11*V835</f>
        <v/>
      </c>
      <c r="P835">
        <f>IF(B848=0,0,O835/B848)</f>
        <v/>
      </c>
      <c r="Q835">
        <f>IFERROR(1/(IF(Inputs!$B$38="pvp",15,MAX(0.1,Skills!D23-IF(Skills!E23=TRUE,Inputs!$B$32,0)))*(1-IF(AND(ArtifactsInput!$M$27,Inputs!$B$4="Chapter Hunt"),CHOOSE(ArtifactsInput!$N$27+1,20,24,28,32,36,40),0)/100)),0)</f>
        <v/>
      </c>
      <c r="R835">
        <f>IF(AND(Inputs!$B$38&lt;&gt;"pvp",Inputs!$B$43&gt;0),IF(Inputs!$B$43&lt;=0,0,(INT(Inputs!$B$43/(IF(Inputs!$B$38="pvp",15,MAX(0.1,Skills!D23-IF(Skills!E23=TRUE,Inputs!$B$32,0)))*(1-IF(AND(ArtifactsInput!$M$27,Inputs!$B$4="Chapter Hunt"),CHOOSE(ArtifactsInput!$N$27+1,20,24,28,32,36,40),0)/100)))+1)),0)</f>
        <v/>
      </c>
      <c r="S835">
        <f>IFERROR(O835/N835,0)</f>
        <v/>
      </c>
      <c r="T835" t="n">
        <v>0</v>
      </c>
      <c r="V835" t="n">
        <v>0</v>
      </c>
    </row>
    <row r="837">
      <c r="A837" t="inlineStr">
        <is>
          <t>Attack% Bucket Multiplier</t>
        </is>
      </c>
      <c r="B837">
        <f>(1+(((C825=TRUE)*F825*5/7)+((C831=TRUE)*(F831-Calc!F19))+(IF(ArtifactsInput!$M$21,CHOOSE(ArtifactsInput!$N$21+1,25,30,35,40,45,50)*(IF(OR(Inputs!$B$4="Chapter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38">
      <c r="A838" t="inlineStr">
        <is>
          <t>Global Crit Rate Bonus %</t>
        </is>
      </c>
      <c r="B838" t="n">
        <v>0</v>
      </c>
    </row>
    <row r="839">
      <c r="A839" t="inlineStr">
        <is>
          <t>Attack Speed Buff Bonus % (Nimble Feet, duty-cycle averaged)</t>
        </is>
      </c>
      <c r="B839">
        <f>((C835=TRUE)*F835*IF(AND(Inputs!$B$38&lt;&gt;"pvp",Inputs!$B$43&gt;0),(((R835-1)*(Skills!T23*(1+Inputs!$B$34/100))+MIN((Skills!T23*(1+Inputs!$B$34/100)),MAX(0,Inputs!$B$43-((R835-1)*Skills!D23))))/Inputs!$B$43),IF(Inputs!$B$38="pvp",MIN((Skills!T23*(1+Inputs!$B$34/100)),15)/15,(Skills!T23*(1+Inputs!$B$34/100))/Skills!D23)))</f>
        <v/>
      </c>
    </row>
    <row r="840">
      <c r="A840" t="inlineStr">
        <is>
          <t>Actions Per Second</t>
        </is>
      </c>
      <c r="B840">
        <f>1+MIN(150,150*(1-(1-(Inputs!$B$11+((C829=TRUE)*(F829-Calc!F17))+((C830=TRUE)*(F830-Calc!F18)))/150)*(1-B839/150)))/100</f>
        <v/>
      </c>
    </row>
    <row r="841">
      <c r="A841" t="inlineStr">
        <is>
          <t>Skill + Buff Cast Rate</t>
        </is>
      </c>
      <c r="B841">
        <f>IF(AND(Inputs!$B$38&lt;&gt;"pvp",Inputs!$B$43&gt;0),SUMPRODUCT((Skills!E2:E23=TRUE)*(C814:C835=TRUE)*R814:R835*Skills!F2:F23)/Inputs!$B$43,SUMPRODUCT((Skills!E2:E23=TRUE)*(C814:C835=TRUE)*Q814:Q835*Skills!F2:F23))</f>
        <v/>
      </c>
    </row>
    <row r="842">
      <c r="A842" t="inlineStr">
        <is>
          <t>Hook Bomber Casts Per Second</t>
        </is>
      </c>
      <c r="B842">
        <f>MAX(0,B840-B841)</f>
        <v/>
      </c>
    </row>
    <row r="843">
      <c r="A843" t="inlineStr">
        <is>
          <t>Global Critical Damage Bonus % (unused)</t>
        </is>
      </c>
      <c r="B843" t="n">
        <v>0</v>
      </c>
    </row>
    <row r="844">
      <c r="A844" t="inlineStr">
        <is>
          <t>Global Final Damage Bonus % (Serpent Scale + Crossbones + Time Leap + Speed Infusion)</t>
        </is>
      </c>
      <c r="B844">
        <f>((C817=TRUE)*F817*((10+IF(Inputs!$B$3&gt;=94,5,0))/((10+IF(Inputs!$B$3&gt;=94,5,0))+5/(B842*(1+IF(Inputs!$B$3&gt;=104,1,0))))))+((C826=TRUE)*F826*IF(AND(Inputs!$B$38&lt;&gt;"pvp",Inputs!$B$43&gt;0),(((R826-1)*(Skills!T14*(1+Inputs!$B$34/100))+MIN((Skills!T14*(1+Inputs!$B$34/100)),MAX(0,Inputs!$B$43-((R826-1)*Skills!D14))))/Inputs!$B$43),IF(Inputs!$B$38="pvp",MIN((Skills!T14*(1+Inputs!$B$34/100)),15)/15,(Skills!T14*(1+Inputs!$B$34/100))/Skills!D14)))+((C827=TRUE)*F827*IF(AND(Inputs!$B$38&lt;&gt;"pvp",Inputs!$B$43&gt;0),(((R827-1)*(Skills!T15*(1+Inputs!$B$34/100))+MIN((Skills!T15*(1+Inputs!$B$34/100)),MAX(0,Inputs!$B$43-((R827-1)*Skills!D15))))/Inputs!$B$43),IF(Inputs!$B$38="pvp",MIN((Skills!T15*(1+Inputs!$B$34/100)),15)/15,(Skills!T15*(1+Inputs!$B$34/100))/Skills!D15)))+((Inputs!$B$3&gt;=110)*20*(B840-1)*IF(Inputs!$B$38="pvp",MIN((15*(1+Inputs!$B$34/100)),15)/15,(15*(1+Inputs!$B$34/100))/35))</f>
        <v/>
      </c>
    </row>
    <row r="845">
      <c r="A845" t="inlineStr">
        <is>
          <t>Buff-Casting Startup Delay (s, fixed-duration only)</t>
        </is>
      </c>
      <c r="B845">
        <f>IF(AND(Inputs!$B$38&lt;&gt;"pvp",Inputs!$B$43&gt;0),SUMPRODUCT((Skills!T2:T23&gt;0)*(Skills!E2:E23=TRUE)*(C814:C835=TRUE))/B840,0)</f>
        <v/>
      </c>
    </row>
    <row r="846">
      <c r="A846" t="inlineStr">
        <is>
          <t>Boss-Only Total DPS (this block's swept value)</t>
        </is>
      </c>
      <c r="B846">
        <f>SUM(T814:T835)</f>
        <v/>
      </c>
    </row>
    <row r="847">
      <c r="A847" t="inlineStr">
        <is>
          <t>Normal-Only Total DPS (this block's swept value)</t>
        </is>
      </c>
      <c r="B847">
        <f>SUM(V814:V835)</f>
        <v/>
      </c>
    </row>
    <row r="848">
      <c r="A848" s="6" t="inlineStr">
        <is>
          <t>TOTAL DPS</t>
        </is>
      </c>
      <c r="B848" s="6">
        <f>SUM(O814:O835)</f>
        <v/>
      </c>
    </row>
    <row r="851">
      <c r="A851" s="6" t="inlineStr">
        <is>
          <t>Stat: Skill Level Bonus — All Skills</t>
        </is>
      </c>
    </row>
    <row r="852">
      <c r="A852" s="5" t="inlineStr">
        <is>
          <t>Key</t>
        </is>
      </c>
      <c r="B852" s="5" t="inlineStr">
        <is>
          <t>Name</t>
        </is>
      </c>
      <c r="C852" s="5" t="inlineStr">
        <is>
          <t>Unlocked</t>
        </is>
      </c>
      <c r="D852" s="5" t="inlineStr">
        <is>
          <t>InputLevel</t>
        </is>
      </c>
      <c r="E852" s="5" t="inlineStr">
        <is>
          <t>Factor</t>
        </is>
      </c>
      <c r="F852" s="5" t="inlineStr">
        <is>
          <t>CoefficientPercent</t>
        </is>
      </c>
      <c r="G852" s="5" t="inlineStr">
        <is>
          <t>EffectiveHits</t>
        </is>
      </c>
      <c r="H852" s="5" t="inlineStr">
        <is>
          <t>ProcProbability</t>
        </is>
      </c>
      <c r="I852" s="5" t="inlineStr">
        <is>
          <t>MapleHeroMultiplier</t>
        </is>
      </c>
      <c r="J852" s="5" t="inlineStr">
        <is>
          <t>BaseDamage</t>
        </is>
      </c>
      <c r="K852" s="5" t="inlineStr">
        <is>
          <t>BaseHitDamage</t>
        </is>
      </c>
      <c r="L852" s="5" t="inlineStr">
        <is>
          <t>NonCritAvg</t>
        </is>
      </c>
      <c r="M852" s="5" t="inlineStr">
        <is>
          <t>CritAvg</t>
        </is>
      </c>
      <c r="N852" s="5" t="inlineStr">
        <is>
          <t>ExpectedDamage(perHit)</t>
        </is>
      </c>
      <c r="O852" s="5" t="inlineStr">
        <is>
          <t>DPS</t>
        </is>
      </c>
      <c r="P852" s="5" t="inlineStr">
        <is>
          <t>% of Total</t>
        </is>
      </c>
      <c r="Q852" s="5" t="inlineStr">
        <is>
          <t>InvCooldown</t>
        </is>
      </c>
      <c r="R852" s="5" t="inlineStr">
        <is>
          <t>CastsInFight</t>
        </is>
      </c>
      <c r="S852" s="5" t="inlineStr">
        <is>
          <t>HitRate(perSec)</t>
        </is>
      </c>
      <c r="U852" t="inlineStr">
        <is>
          <t>helpers</t>
        </is>
      </c>
    </row>
    <row r="853">
      <c r="A853">
        <f>Skills!A2</f>
        <v/>
      </c>
      <c r="B853">
        <f>Skills!B2</f>
        <v/>
      </c>
      <c r="C853">
        <f>Inputs!$B$3&gt;=100</f>
        <v/>
      </c>
      <c r="D853" t="inlineStr"/>
      <c r="E853" t="inlineStr"/>
      <c r="F853">
        <f>U855+Skills!O2</f>
        <v/>
      </c>
      <c r="G853">
        <f>Skills!G2*IF(Skills!H2&gt;0,Skills!I2/Skills!H2,1)</f>
        <v/>
      </c>
      <c r="H853">
        <f>1-(1-Skills!J2/100)^Skills!K2</f>
        <v/>
      </c>
      <c r="I853" t="inlineStr">
        <is>
          <t>1</t>
        </is>
      </c>
      <c r="J853">
        <f>((Inputs!$B$6*(1+Inputs!$B$7/100))+(((Inputs!$B$12*(1+Inputs!$B$13/100))-(Inputs!$B$12*(1+Inputs!$B$13/100)))+0.25*(Inputs!$B$14-Inputs!$B$14))*(1+Inputs!$B$7/100))*(F853/100)</f>
        <v/>
      </c>
      <c r="K853">
        <f>J853*(1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853)</f>
        <v/>
      </c>
      <c r="L853">
        <f>K853*(MIN(Inputs!$B$22+((C871=TRUE)*(F871-Calc!F20)),(Inputs!$B$23+0+(IF(ArtifactsInput!$M$15,CHOOSE(ArtifactsInput!$N$15+1,25,30,35,40,45,50)/100*(Inputs!$B$11-Inputs!$B$11),0))))/100+(Inputs!$B$23+0+(IF(ArtifactsInput!$M$15,CHOOSE(ArtifactsInput!$N$15+1,25,30,35,40,45,50)/100*(Inputs!$B$11-Inputs!$B$11),0)))/100)/2</f>
        <v/>
      </c>
      <c r="M853">
        <f>L853*(1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3">
        <f>L853*(1-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853*(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3">
        <f>(1-Summary!$B$11)*T853+Summary!$B$11*V853</f>
        <v/>
      </c>
      <c r="P853">
        <f>IF(B887=0,0,O853/B887)</f>
        <v/>
      </c>
      <c r="Q853" t="n">
        <v>0</v>
      </c>
      <c r="R853" t="n">
        <v>0</v>
      </c>
      <c r="S853">
        <f>IFERROR(O853/N853,0)</f>
        <v/>
      </c>
      <c r="T853">
        <f>IF(C853,(Skills!G2*N853*B881)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853*(1-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853*(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853*(1-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853*(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3">
        <f>MAX(0,(Inputs!$B$3-100)*3)+Inputs!$B$28+(Inputs!$B$29+1)</f>
        <v/>
      </c>
      <c r="V853">
        <f>IF(C853,(Skills!G2*N853*B881)*IF(Inputs!$B$38="pvp",1,(1+(Inputs!$B$21+Skills!Q2+(IF(ArtifactsInput!$M$33,CHOOSE(ArtifactsInput!$N$33+1,30,36,42,48,54,60),0))+(IF(AND(ArtifactsInput!$M$35,Inputs!$B$4&lt;&gt;"Chapter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4">
      <c r="A854">
        <f>Skills!A3</f>
        <v/>
      </c>
      <c r="B854">
        <f>Skills!B3</f>
        <v/>
      </c>
      <c r="C854">
        <f>Inputs!$B$3&gt;=35</f>
        <v/>
      </c>
      <c r="D854">
        <f>IF(Skills!C3=1,60+Inputs!$B$25+(Inputs!$B$29+1),IF(Skills!C3=2,90+Inputs!$B$26+(Inputs!$B$29+1),IF(Skills!C3=3,120+Inputs!$B$27+(Inputs!$B$29+1),MAX(0,(Inputs!$B$3-100)*3)+Inputs!$B$28+(Inputs!$B$29+1))))</f>
        <v/>
      </c>
      <c r="E854">
        <f>INDEX(FactorTable!$B$2:$Y$301, MATCH(ROUND(MIN(300,MAX(1,D854)),0), FactorTable!$A$2:$A$301,0), Skills!M3+1)</f>
        <v/>
      </c>
      <c r="F854">
        <f>IF(Skills!N3=TRUE,(Skills!L3/10)*(E854/1000),Skills!L3/10)+Skills!O3</f>
        <v/>
      </c>
      <c r="G854">
        <f>Skills!G3*IF(Skills!H3&gt;0,Skills!I3/Skills!H3,1)</f>
        <v/>
      </c>
      <c r="H854">
        <f>1-(1-Skills!J3/100)^Skills!K3</f>
        <v/>
      </c>
      <c r="I854" t="inlineStr">
        <is>
          <t>1</t>
        </is>
      </c>
      <c r="J854">
        <f>((Inputs!$B$6*(1+Inputs!$B$7/100))+(((Inputs!$B$12*(1+Inputs!$B$13/100))-(Inputs!$B$12*(1+Inputs!$B$13/100)))+0.25*(Inputs!$B$14-Inputs!$B$14))*(1+Inputs!$B$7/100))*(F854/100)</f>
        <v/>
      </c>
      <c r="K854">
        <f>J854*(1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854)</f>
        <v/>
      </c>
      <c r="L854">
        <f>K854*(MIN(Inputs!$B$22+((C871=TRUE)*(F871-Calc!F20)),(Inputs!$B$23+0+(IF(ArtifactsInput!$M$15,CHOOSE(ArtifactsInput!$N$15+1,25,30,35,40,45,50)/100*(Inputs!$B$11-Inputs!$B$11),0))))/100+(Inputs!$B$23+0+(IF(ArtifactsInput!$M$15,CHOOSE(ArtifactsInput!$N$15+1,25,30,35,40,45,50)/100*(Inputs!$B$11-Inputs!$B$11),0)))/100)/2</f>
        <v/>
      </c>
      <c r="M854">
        <f>L854*(1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4">
        <f>L854*(1-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854*(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4">
        <f>(1-Summary!$B$11)*T854+Summary!$B$11*V854</f>
        <v/>
      </c>
      <c r="P854">
        <f>IF(B887=0,0,O854/B887)</f>
        <v/>
      </c>
      <c r="Q854" t="n">
        <v>0</v>
      </c>
      <c r="R854" t="n">
        <v>0</v>
      </c>
      <c r="S854">
        <f>IFERROR(O854/N854,0)</f>
        <v/>
      </c>
      <c r="T854">
        <f>IF(C854,(Skills!G3*H854*N854*B881)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854*(1-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854*(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854*(1-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854*(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4">
        <f>INDEX(FactorTable!$B$2:$Y$301, MATCH(ROUND(MIN(300,MAX(1,U853)),0), FactorTable!$A$2:$A$301,0), 22)</f>
        <v/>
      </c>
      <c r="V854">
        <f>IF(C854,(Skills!G3*H854*N854*B881)*IF(Inputs!$B$38="pvp",1,(1+(Inputs!$B$21+Skills!Q3+(IF(ArtifactsInput!$M$33,CHOOSE(ArtifactsInput!$N$33+1,30,36,42,48,54,60),0))+(IF(AND(ArtifactsInput!$M$35,Inputs!$B$4&lt;&gt;"Chapter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5">
      <c r="A855">
        <f>Skills!A4</f>
        <v/>
      </c>
      <c r="B855">
        <f>Skills!B4</f>
        <v/>
      </c>
      <c r="C855">
        <f>Inputs!$B$3&gt;=60</f>
        <v/>
      </c>
      <c r="D855">
        <f>IF(Skills!C4=1,60+Inputs!$B$25+(Inputs!$B$29+1),IF(Skills!C4=2,90+Inputs!$B$26+(Inputs!$B$29+1),IF(Skills!C4=3,120+Inputs!$B$27+(Inputs!$B$29+1),MAX(0,(Inputs!$B$3-100)*3)+Inputs!$B$28+(Inputs!$B$29+1))))</f>
        <v/>
      </c>
      <c r="E855">
        <f>INDEX(FactorTable!$B$2:$Y$301, MATCH(ROUND(MIN(300,MAX(1,D855)),0), FactorTable!$A$2:$A$301,0), Skills!M4+1)</f>
        <v/>
      </c>
      <c r="F855">
        <f>IF(Skills!N4=TRUE,(Skills!L4/10)*(E855/1000),Skills!L4/10)+Skills!O4</f>
        <v/>
      </c>
      <c r="G855">
        <f>Skills!G4*IF(Skills!H4&gt;0,Skills!I4/Skills!H4,1)</f>
        <v/>
      </c>
      <c r="H855">
        <f>1-(1-Skills!J4/100)^Skills!K4</f>
        <v/>
      </c>
      <c r="I855" t="inlineStr">
        <is>
          <t>1</t>
        </is>
      </c>
      <c r="J855">
        <f>((Inputs!$B$6*(1+Inputs!$B$7/100))+(((Inputs!$B$12*(1+Inputs!$B$13/100))-(Inputs!$B$12*(1+Inputs!$B$13/100)))+0.25*(Inputs!$B$14-Inputs!$B$14))*(1+Inputs!$B$7/100))*(F855/100)</f>
        <v/>
      </c>
      <c r="K855">
        <f>J855*(1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863=TRUE,F863,0)/100)*(1+(IF(Skills!A4="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855)</f>
        <v/>
      </c>
      <c r="L855">
        <f>K855*(MIN(Inputs!$B$22+((C871=TRUE)*(F871-Calc!F20)),(Inputs!$B$23+0+(IF(ArtifactsInput!$M$15,CHOOSE(ArtifactsInput!$N$15+1,25,30,35,40,45,50)/100*(Inputs!$B$11-Inputs!$B$11),0))))/100+(Inputs!$B$23+0+(IF(ArtifactsInput!$M$15,CHOOSE(ArtifactsInput!$N$15+1,25,30,35,40,45,50)/100*(Inputs!$B$11-Inputs!$B$11),0)))/100)/2</f>
        <v/>
      </c>
      <c r="M855">
        <f>L855*(1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5">
        <f>L855*(1-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855*(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5">
        <f>(1-Summary!$B$11)*T855+Summary!$B$11*V855</f>
        <v/>
      </c>
      <c r="P855">
        <f>IF(B887=0,0,O855/B887)</f>
        <v/>
      </c>
      <c r="Q855" t="n">
        <v>0</v>
      </c>
      <c r="R855" t="n">
        <v>0</v>
      </c>
      <c r="S855">
        <f>IFERROR(O855/N855,0)</f>
        <v/>
      </c>
      <c r="T855">
        <f>IF(C855,(Skills!G4*H855*N855*B881)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855*(1-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855*(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855*(1-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855*(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55">
        <f>290*U854/1000</f>
        <v/>
      </c>
      <c r="V855">
        <f>IF(C855,(Skills!G4*H855*N855*B881)*IF(Inputs!$B$38="pvp",1,(1+(Inputs!$B$21+Skills!Q4+(IF(ArtifactsInput!$M$33,CHOOSE(ArtifactsInput!$N$33+1,30,36,42,48,54,60),0))+(IF(AND(ArtifactsInput!$M$35,Inputs!$B$4&lt;&gt;"Chapter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6">
      <c r="A856">
        <f>Skills!A5</f>
        <v/>
      </c>
      <c r="B856">
        <f>Skills!B5</f>
        <v/>
      </c>
      <c r="C856">
        <f>Inputs!$B$3&gt;=60</f>
        <v/>
      </c>
      <c r="D856">
        <f>IF(Skills!C5=1,60+Inputs!$B$25+(Inputs!$B$29+1),IF(Skills!C5=2,90+Inputs!$B$26+(Inputs!$B$29+1),IF(Skills!C5=3,120+Inputs!$B$27+(Inputs!$B$29+1),MAX(0,(Inputs!$B$3-100)*3)+Inputs!$B$28+(Inputs!$B$29+1))))</f>
        <v/>
      </c>
      <c r="E856">
        <f>INDEX(FactorTable!$B$2:$Y$301, MATCH(ROUND(MIN(300,MAX(1,D856)),0), FactorTable!$A$2:$A$301,0), Skills!M5+1)</f>
        <v/>
      </c>
      <c r="F856">
        <f>IF(Skills!N5=TRUE,(Skills!L5/10)*(E856/1000),Skills!L5/10)+Skills!O5</f>
        <v/>
      </c>
      <c r="G856">
        <f>Skills!G5*IF(Skills!H5&gt;0,Skills!I5/Skills!H5,1)</f>
        <v/>
      </c>
      <c r="H856">
        <f>1-(1-Skills!J5/100)^Skills!K5</f>
        <v/>
      </c>
      <c r="I856" t="inlineStr">
        <is>
          <t>1</t>
        </is>
      </c>
      <c r="J856" t="inlineStr"/>
      <c r="K856" t="inlineStr"/>
      <c r="L856" t="inlineStr"/>
      <c r="M856" t="inlineStr"/>
      <c r="N856" t="inlineStr"/>
      <c r="O856">
        <f>(1-Summary!$B$11)*T856+Summary!$B$11*V856</f>
        <v/>
      </c>
      <c r="P856">
        <f>IF(B887=0,0,O856/B887)</f>
        <v/>
      </c>
      <c r="Q856" t="n">
        <v>0</v>
      </c>
      <c r="R856" t="n">
        <v>0</v>
      </c>
      <c r="S856">
        <f>IFERROR(O856/N856,0)</f>
        <v/>
      </c>
      <c r="T856" t="n">
        <v>0</v>
      </c>
      <c r="V856" t="n">
        <v>0</v>
      </c>
    </row>
    <row r="857">
      <c r="A857">
        <f>Skills!A6</f>
        <v/>
      </c>
      <c r="B857">
        <f>Skills!B6</f>
        <v/>
      </c>
      <c r="C857">
        <f>Inputs!$B$3&gt;=63</f>
        <v/>
      </c>
      <c r="D857">
        <f>IF(Skills!C6=1,60+Inputs!$B$25+(Inputs!$B$29+1),IF(Skills!C6=2,90+Inputs!$B$26+(Inputs!$B$29+1),IF(Skills!C6=3,120+Inputs!$B$27+(Inputs!$B$29+1),MAX(0,(Inputs!$B$3-100)*3)+Inputs!$B$28+(Inputs!$B$29+1))))</f>
        <v/>
      </c>
      <c r="E857">
        <f>INDEX(FactorTable!$B$2:$Y$301, MATCH(ROUND(MIN(300,MAX(1,D857)),0), FactorTable!$A$2:$A$301,0), Skills!M6+1)</f>
        <v/>
      </c>
      <c r="F857">
        <f>IF(Skills!N6=TRUE,(Skills!L6/10)*(E857/1000),Skills!L6/10)+Skills!O6</f>
        <v/>
      </c>
      <c r="G857">
        <f>Skills!G6*IF(Skills!H6&gt;0,Skills!I6/Skills!H6,1)</f>
        <v/>
      </c>
      <c r="H857">
        <f>1-(1-Skills!J6/100)^Skills!K6</f>
        <v/>
      </c>
      <c r="I857" t="inlineStr">
        <is>
          <t>1</t>
        </is>
      </c>
      <c r="J857">
        <f>((Inputs!$B$6*(1+Inputs!$B$7/100))+(((Inputs!$B$12*(1+Inputs!$B$13/100))-(Inputs!$B$12*(1+Inputs!$B$13/100)))+0.25*(Inputs!$B$14-Inputs!$B$14))*(1+Inputs!$B$7/100))*(F857/100)</f>
        <v/>
      </c>
      <c r="K857">
        <f>J857*(1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863=TRUE,F863,0)/100)*(1+(IF(Skills!A6="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857)</f>
        <v/>
      </c>
      <c r="L857">
        <f>K857*(MIN(Inputs!$B$22+((C871=TRUE)*(F871-Calc!F20)),(Inputs!$B$23+0+(IF(ArtifactsInput!$M$15,CHOOSE(ArtifactsInput!$N$15+1,25,30,35,40,45,50)/100*(Inputs!$B$11-Inputs!$B$11),0))))/100+(Inputs!$B$23+0+(IF(ArtifactsInput!$M$15,CHOOSE(ArtifactsInput!$N$15+1,25,30,35,40,45,50)/100*(Inputs!$B$11-Inputs!$B$11),0)))/100)/2</f>
        <v/>
      </c>
      <c r="M857">
        <f>L857*(1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7">
        <f>L857*(1-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857*(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7">
        <f>(1-Summary!$B$11)*T857+Summary!$B$11*V857</f>
        <v/>
      </c>
      <c r="P857">
        <f>IF(B887=0,0,O857/B887)</f>
        <v/>
      </c>
      <c r="Q857">
        <f>IFERROR(1/(IF(Inputs!$B$38="pvp",15,MAX(0.1,Skills!D6-IF(Skills!E6=TRUE,Inputs!$B$32,0)))*(1-IF(AND(ArtifactsInput!$M$27,Inputs!$B$4="Chapter Hunt"),CHOOSE(ArtifactsInput!$N$27+1,20,24,28,32,36,40),0)/100)),0)</f>
        <v/>
      </c>
      <c r="R857">
        <f>IF(AND(Inputs!$B$38&lt;&gt;"pvp",Inputs!$B$43&gt;0),IF(MAX(0,Inputs!$B$43-B884)&lt;=0,0,(INT(MAX(0,Inputs!$B$43-B884)/(IF(Inputs!$B$38="pvp",15,MAX(0.1,Skills!D6-IF(Skills!E6=TRUE,Inputs!$B$32,0)))*(1-IF(AND(ArtifactsInput!$M$27,Inputs!$B$4="Chapter Hunt"),CHOOSE(ArtifactsInput!$N$27+1,20,24,28,32,36,40),0)/100)))+1)),0)</f>
        <v/>
      </c>
      <c r="S857">
        <f>IFERROR(O857/N857,0)</f>
        <v/>
      </c>
      <c r="T857">
        <f>IF(C857,(H857*N857*IF(AND(Inputs!$B$38&lt;&gt;"pvp",Inputs!$B$43&gt;0),((Skills!G6*((R857-1)*IF(Skills!H6&gt;0,Skills!I6/Skills!H6,1)+IF(Skills!H6&gt;0,MIN(Skills!I6,MAX(0,MAX(0,Inputs!$B$43-B884)-((R857-1)*(IF(Inputs!$B$38="pvp",15,MAX(0.1,Skills!D6-IF(Skills!E6=TRUE,Inputs!$B$32,0)))*(1-IF(AND(ArtifactsInput!$M$27,Inputs!$B$4="Chapter Hunt"),CHOOSE(ArtifactsInput!$N$27+1,20,24,28,32,36,40),0)/100)))))/Skills!H6,1)))/Inputs!$B$43),G857*Q857)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857*(1-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857*(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857*(1-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857*(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7">
        <f>IF(C857,(H857*N857*IF(AND(Inputs!$B$38&lt;&gt;"pvp",Inputs!$B$43&gt;0),((Skills!G6*((R857-1)*IF(Skills!H6&gt;0,Skills!I6/Skills!H6,1)+IF(Skills!H6&gt;0,MIN(Skills!I6,MAX(0,MAX(0,Inputs!$B$43-B884)-((R857-1)*(IF(Inputs!$B$38="pvp",15,MAX(0.1,Skills!D6-IF(Skills!E6=TRUE,Inputs!$B$32,0)))*(1-IF(AND(ArtifactsInput!$M$27,Inputs!$B$4="Chapter Hunt"),CHOOSE(ArtifactsInput!$N$27+1,20,24,28,32,36,40),0)/100)))))/Skills!H6,1)))/Inputs!$B$43),G857*Q857))*IF(Inputs!$B$38="pvp",1,(1+(Inputs!$B$21+Skills!Q6+(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8">
      <c r="A858">
        <f>Skills!A7</f>
        <v/>
      </c>
      <c r="B858">
        <f>Skills!B7</f>
        <v/>
      </c>
      <c r="C858">
        <f>Inputs!$B$3&gt;=100</f>
        <v/>
      </c>
      <c r="D858">
        <f>IF(Skills!C7=1,60+Inputs!$B$25+(Inputs!$B$29+1),IF(Skills!C7=2,90+Inputs!$B$26+(Inputs!$B$29+1),IF(Skills!C7=3,120+Inputs!$B$27+(Inputs!$B$29+1),MAX(0,(Inputs!$B$3-100)*3)+Inputs!$B$28+(Inputs!$B$29+1))))</f>
        <v/>
      </c>
      <c r="E858">
        <f>INDEX(FactorTable!$B$2:$Y$301, MATCH(ROUND(MIN(300,MAX(1,D858)),0), FactorTable!$A$2:$A$301,0), Skills!M7+1)</f>
        <v/>
      </c>
      <c r="F858">
        <f>IF(Skills!N7=TRUE,(Skills!L7/10)*(E858/1000),Skills!L7/10)+Skills!O7</f>
        <v/>
      </c>
      <c r="G858">
        <f>Skills!G7*IF(Skills!H7&gt;0,Skills!I7/Skills!H7,1)</f>
        <v/>
      </c>
      <c r="H858">
        <f>1-(1-Skills!J7/100)^Skills!K7</f>
        <v/>
      </c>
      <c r="I858" t="inlineStr">
        <is>
          <t>1</t>
        </is>
      </c>
      <c r="J858">
        <f>((Inputs!$B$6*(1+Inputs!$B$7/100))+(((Inputs!$B$12*(1+Inputs!$B$13/100))-(Inputs!$B$12*(1+Inputs!$B$13/100)))+0.25*(Inputs!$B$14-Inputs!$B$14))*(1+Inputs!$B$7/100))*(F858/100)</f>
        <v/>
      </c>
      <c r="K858">
        <f>J858*(1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858)</f>
        <v/>
      </c>
      <c r="L858">
        <f>K858*(MIN(Inputs!$B$22+((C871=TRUE)*(F871-Calc!F20)),(Inputs!$B$23+0+(IF(ArtifactsInput!$M$15,CHOOSE(ArtifactsInput!$N$15+1,25,30,35,40,45,50)/100*(Inputs!$B$11-Inputs!$B$11),0))))/100+(Inputs!$B$23+0+(IF(ArtifactsInput!$M$15,CHOOSE(ArtifactsInput!$N$15+1,25,30,35,40,45,50)/100*(Inputs!$B$11-Inputs!$B$11),0)))/100)/2</f>
        <v/>
      </c>
      <c r="M858">
        <f>L858*(1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8">
        <f>L858*(1-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858*(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8">
        <f>(1-Summary!$B$11)*T858+Summary!$B$11*V858</f>
        <v/>
      </c>
      <c r="P858">
        <f>IF(B887=0,0,O858/B887)</f>
        <v/>
      </c>
      <c r="Q858">
        <f>IFERROR(1/(IF(Inputs!$B$38="pvp",15,MAX(0.1,Skills!D7-IF(Skills!E7=TRUE,Inputs!$B$32,0)))*(1-IF(AND(ArtifactsInput!$M$27,Inputs!$B$4="Chapter Hunt"),CHOOSE(ArtifactsInput!$N$27+1,20,24,28,32,36,40),0)/100)),0)</f>
        <v/>
      </c>
      <c r="R858">
        <f>IF(AND(Inputs!$B$38&lt;&gt;"pvp",Inputs!$B$43&gt;0),IF(MAX(0,Inputs!$B$43-B884)&lt;=0,0,(INT(MAX(0,Inputs!$B$43-B884)/(IF(Inputs!$B$38="pvp",15,MAX(0.1,Skills!D7-IF(Skills!E7=TRUE,Inputs!$B$32,0)))*(1-IF(AND(ArtifactsInput!$M$27,Inputs!$B$4="Chapter Hunt"),CHOOSE(ArtifactsInput!$N$27+1,20,24,28,32,36,40),0)/100)))+1)),0)</f>
        <v/>
      </c>
      <c r="S858">
        <f>IFERROR(O858/N858,0)</f>
        <v/>
      </c>
      <c r="T858">
        <f>IF(C858,(H858*N858*IF(AND(Inputs!$B$38&lt;&gt;"pvp",Inputs!$B$43&gt;0),((Skills!G7*((R858-1)*IF(Skills!H7&gt;0,Skills!I7/Skills!H7,1)+IF(Skills!H7&gt;0,MIN(Skills!I7,MAX(0,MAX(0,Inputs!$B$43-B884)-((R858-1)*(IF(Inputs!$B$38="pvp",15,MAX(0.1,Skills!D7-IF(Skills!E7=TRUE,Inputs!$B$32,0)))*(1-IF(AND(ArtifactsInput!$M$27,Inputs!$B$4="Chapter Hunt"),CHOOSE(ArtifactsInput!$N$27+1,20,24,28,32,36,40),0)/100)))))/Skills!H7,1)))/Inputs!$B$43),G858*Q858)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858*(1-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858*(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858*(1-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858*(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8">
        <f>IF(C858,(H858*N858*IF(AND(Inputs!$B$38&lt;&gt;"pvp",Inputs!$B$43&gt;0),((Skills!G7*((R858-1)*IF(Skills!H7&gt;0,Skills!I7/Skills!H7,1)+IF(Skills!H7&gt;0,MIN(Skills!I7,MAX(0,MAX(0,Inputs!$B$43-B884)-((R858-1)*(IF(Inputs!$B$38="pvp",15,MAX(0.1,Skills!D7-IF(Skills!E7=TRUE,Inputs!$B$32,0)))*(1-IF(AND(ArtifactsInput!$M$27,Inputs!$B$4="Chapter Hunt"),CHOOSE(ArtifactsInput!$N$27+1,20,24,28,32,36,40),0)/100)))))/Skills!H7,1)))/Inputs!$B$43),G858*Q858))*IF(Inputs!$B$38="pvp",1,(1+(Inputs!$B$21+Skills!Q7+(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59">
      <c r="A859">
        <f>Skills!A8</f>
        <v/>
      </c>
      <c r="B859">
        <f>Skills!B8</f>
        <v/>
      </c>
      <c r="C859">
        <f>Inputs!$B$3&gt;=110</f>
        <v/>
      </c>
      <c r="D859">
        <f>IF(Skills!C8=1,60+Inputs!$B$25+(Inputs!$B$29+1),IF(Skills!C8=2,90+Inputs!$B$26+(Inputs!$B$29+1),IF(Skills!C8=3,120+Inputs!$B$27+(Inputs!$B$29+1),MAX(0,(Inputs!$B$3-100)*3)+Inputs!$B$28+(Inputs!$B$29+1))))</f>
        <v/>
      </c>
      <c r="E859">
        <f>INDEX(FactorTable!$B$2:$Y$301, MATCH(ROUND(MIN(300,MAX(1,D859)),0), FactorTable!$A$2:$A$301,0), Skills!M8+1)</f>
        <v/>
      </c>
      <c r="F859">
        <f>IF(Skills!N8=TRUE,(Skills!L8/10)*(E859/1000),Skills!L8/10)+Skills!O8</f>
        <v/>
      </c>
      <c r="G859">
        <f>Skills!G8*IF(Skills!H8&gt;0,Skills!I8/Skills!H8,1)</f>
        <v/>
      </c>
      <c r="H859">
        <f>1-(1-Skills!J8/100)^Skills!K8</f>
        <v/>
      </c>
      <c r="I859" t="inlineStr">
        <is>
          <t>1</t>
        </is>
      </c>
      <c r="J859">
        <f>((Inputs!$B$6*(1+Inputs!$B$7/100))+(((Inputs!$B$12*(1+Inputs!$B$13/100))-(Inputs!$B$12*(1+Inputs!$B$13/100)))+0.25*(Inputs!$B$14-Inputs!$B$14))*(1+Inputs!$B$7/100))*(F859/100)</f>
        <v/>
      </c>
      <c r="K859">
        <f>J859*(1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859)</f>
        <v/>
      </c>
      <c r="L859">
        <f>K859*(MIN(Inputs!$B$22+((C871=TRUE)*(F871-Calc!F20)),(Inputs!$B$23+0+(IF(ArtifactsInput!$M$15,CHOOSE(ArtifactsInput!$N$15+1,25,30,35,40,45,50)/100*(Inputs!$B$11-Inputs!$B$11),0))))/100+(Inputs!$B$23+0+(IF(ArtifactsInput!$M$15,CHOOSE(ArtifactsInput!$N$15+1,25,30,35,40,45,50)/100*(Inputs!$B$11-Inputs!$B$11),0)))/100)/2</f>
        <v/>
      </c>
      <c r="M859">
        <f>L859*(1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59">
        <f>L859*(1-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859*(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59">
        <f>(1-Summary!$B$11)*T859+Summary!$B$11*V859</f>
        <v/>
      </c>
      <c r="P859">
        <f>IF(B887=0,0,O859/B887)</f>
        <v/>
      </c>
      <c r="Q859">
        <f>IFERROR(1/(IF(Inputs!$B$38="pvp",15,MAX(0.1,Skills!D8-IF(Skills!E8=TRUE,Inputs!$B$32,0)))*(1-IF(AND(ArtifactsInput!$M$27,Inputs!$B$4="Chapter Hunt"),CHOOSE(ArtifactsInput!$N$27+1,20,24,28,32,36,40),0)/100)),0)</f>
        <v/>
      </c>
      <c r="R859">
        <f>IF(AND(Inputs!$B$38&lt;&gt;"pvp",Inputs!$B$43&gt;0),IF(MAX(0,Inputs!$B$43-B884)&lt;=0,0,(INT(MAX(0,Inputs!$B$43-B884)/(IF(Inputs!$B$38="pvp",15,MAX(0.1,Skills!D8-IF(Skills!E8=TRUE,Inputs!$B$32,0)))*(1-IF(AND(ArtifactsInput!$M$27,Inputs!$B$4="Chapter Hunt"),CHOOSE(ArtifactsInput!$N$27+1,20,24,28,32,36,40),0)/100)))+1)),0)</f>
        <v/>
      </c>
      <c r="S859">
        <f>IFERROR(O859/N859,0)</f>
        <v/>
      </c>
      <c r="T859">
        <f>IF(C859,(H859*N859*IF(AND(Inputs!$B$38&lt;&gt;"pvp",Inputs!$B$43&gt;0),((Skills!G8*((R859-1)*IF(Skills!H8&gt;0,Skills!I8/Skills!H8,1)+IF(Skills!H8&gt;0,MIN(Skills!I8,MAX(0,MAX(0,Inputs!$B$43-B884)-((R859-1)*(IF(Inputs!$B$38="pvp",15,MAX(0.1,Skills!D8-IF(Skills!E8=TRUE,Inputs!$B$32,0)))*(1-IF(AND(ArtifactsInput!$M$27,Inputs!$B$4="Chapter Hunt"),CHOOSE(ArtifactsInput!$N$27+1,20,24,28,32,36,40),0)/100)))))/Skills!H8,1)))/Inputs!$B$43),G859*Q859)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859*(1-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859*(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859*(1-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859*(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59">
        <f>IF(C859,(H859*N859*IF(AND(Inputs!$B$38&lt;&gt;"pvp",Inputs!$B$43&gt;0),((Skills!G8*((R859-1)*IF(Skills!H8&gt;0,Skills!I8/Skills!H8,1)+IF(Skills!H8&gt;0,MIN(Skills!I8,MAX(0,MAX(0,Inputs!$B$43-B884)-((R859-1)*(IF(Inputs!$B$38="pvp",15,MAX(0.1,Skills!D8-IF(Skills!E8=TRUE,Inputs!$B$32,0)))*(1-IF(AND(ArtifactsInput!$M$27,Inputs!$B$4="Chapter Hunt"),CHOOSE(ArtifactsInput!$N$27+1,20,24,28,32,36,40),0)/100)))))/Skills!H8,1)))/Inputs!$B$43),G859*Q859))*IF(Inputs!$B$38="pvp",1,(1+(Inputs!$B$21+Skills!Q8+(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0">
      <c r="A860">
        <f>Skills!A9</f>
        <v/>
      </c>
      <c r="B860">
        <f>Skills!B9</f>
        <v/>
      </c>
      <c r="C860">
        <f>Inputs!$B$3&gt;=110</f>
        <v/>
      </c>
      <c r="D860">
        <f>IF(Skills!C9=1,60+Inputs!$B$25+(Inputs!$B$29+1),IF(Skills!C9=2,90+Inputs!$B$26+(Inputs!$B$29+1),IF(Skills!C9=3,120+Inputs!$B$27+(Inputs!$B$29+1),MAX(0,(Inputs!$B$3-100)*3)+Inputs!$B$28+(Inputs!$B$29+1))))</f>
        <v/>
      </c>
      <c r="E860">
        <f>INDEX(FactorTable!$B$2:$Y$301, MATCH(ROUND(MIN(300,MAX(1,D860)),0), FactorTable!$A$2:$A$301,0), Skills!M9+1)</f>
        <v/>
      </c>
      <c r="F860">
        <f>IF(Skills!N9=TRUE,(Skills!L9/10)*(E860/1000),Skills!L9/10)+Skills!O9</f>
        <v/>
      </c>
      <c r="G860">
        <f>Skills!G9*IF(Skills!H9&gt;0,Skills!I9/Skills!H9,1)</f>
        <v/>
      </c>
      <c r="H860">
        <f>1-(1-Skills!J9/100)^Skills!K9</f>
        <v/>
      </c>
      <c r="I860" t="inlineStr">
        <is>
          <t>1</t>
        </is>
      </c>
      <c r="J860">
        <f>((Inputs!$B$6*(1+Inputs!$B$7/100))+(((Inputs!$B$12*(1+Inputs!$B$13/100))-(Inputs!$B$12*(1+Inputs!$B$13/100)))+0.25*(Inputs!$B$14-Inputs!$B$14))*(1+Inputs!$B$7/100))*(F860/100)</f>
        <v/>
      </c>
      <c r="K860">
        <f>J860*(1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860)</f>
        <v/>
      </c>
      <c r="L860">
        <f>K860*(MIN(Inputs!$B$22+((C871=TRUE)*(F871-Calc!F20)),(Inputs!$B$23+0+(IF(ArtifactsInput!$M$15,CHOOSE(ArtifactsInput!$N$15+1,25,30,35,40,45,50)/100*(Inputs!$B$11-Inputs!$B$11),0))))/100+(Inputs!$B$23+0+(IF(ArtifactsInput!$M$15,CHOOSE(ArtifactsInput!$N$15+1,25,30,35,40,45,50)/100*(Inputs!$B$11-Inputs!$B$11),0)))/100)/2</f>
        <v/>
      </c>
      <c r="M860">
        <f>L860*(1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0">
        <f>L860*(1-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860*(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0">
        <f>(1-Summary!$B$11)*T860+Summary!$B$11*V860</f>
        <v/>
      </c>
      <c r="P860">
        <f>IF(B887=0,0,O860/B887)</f>
        <v/>
      </c>
      <c r="Q860">
        <f>IFERROR(1/(IF(Inputs!$B$38="pvp",15,MAX(0.1,Skills!D9-IF(Skills!E9=TRUE,Inputs!$B$32,0)))*(1-IF(AND(ArtifactsInput!$M$27,Inputs!$B$4="Chapter Hunt"),CHOOSE(ArtifactsInput!$N$27+1,20,24,28,32,36,40),0)/100)),0)</f>
        <v/>
      </c>
      <c r="R860">
        <f>IF(AND(Inputs!$B$38&lt;&gt;"pvp",Inputs!$B$43&gt;0),IF(MAX(0,Inputs!$B$43-B884)&lt;=0,0,(INT(MAX(0,Inputs!$B$43-B884)/(IF(Inputs!$B$38="pvp",15,MAX(0.1,Skills!D9-IF(Skills!E9=TRUE,Inputs!$B$32,0)))*(1-IF(AND(ArtifactsInput!$M$27,Inputs!$B$4="Chapter Hunt"),CHOOSE(ArtifactsInput!$N$27+1,20,24,28,32,36,40),0)/100)))+1)),0)</f>
        <v/>
      </c>
      <c r="S860">
        <f>IFERROR(O860/N860,0)</f>
        <v/>
      </c>
      <c r="T860">
        <f>IF(C860,(H860*N860*IF(AND(Inputs!$B$38&lt;&gt;"pvp",Inputs!$B$43&gt;0),((Skills!G9*((R860-1)*IF(Skills!H9&gt;0,Skills!I9/Skills!H9,1)+IF(Skills!H9&gt;0,MIN(Skills!I9,MAX(0,MAX(0,Inputs!$B$43-B884)-((R860-1)*(IF(Inputs!$B$38="pvp",15,MAX(0.1,Skills!D9-IF(Skills!E9=TRUE,Inputs!$B$32,0)))*(1-IF(AND(ArtifactsInput!$M$27,Inputs!$B$4="Chapter Hunt"),CHOOSE(ArtifactsInput!$N$27+1,20,24,28,32,36,40),0)/100)))))/Skills!H9,1)))/Inputs!$B$43),G860*Q860)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860*(1-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860*(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860*(1-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860*(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0">
        <f>IF(C860,(H860*N860*IF(AND(Inputs!$B$38&lt;&gt;"pvp",Inputs!$B$43&gt;0),((Skills!G9*((R860-1)*IF(Skills!H9&gt;0,Skills!I9/Skills!H9,1)+IF(Skills!H9&gt;0,MIN(Skills!I9,MAX(0,MAX(0,Inputs!$B$43-B884)-((R860-1)*(IF(Inputs!$B$38="pvp",15,MAX(0.1,Skills!D9-IF(Skills!E9=TRUE,Inputs!$B$32,0)))*(1-IF(AND(ArtifactsInput!$M$27,Inputs!$B$4="Chapter Hunt"),CHOOSE(ArtifactsInput!$N$27+1,20,24,28,32,36,40),0)/100)))))/Skills!H9,1)))/Inputs!$B$43),G860*Q860))*IF(Inputs!$B$38="pvp",1,(1+(Inputs!$B$21+Skills!Q9+(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1">
      <c r="A861">
        <f>Skills!A10</f>
        <v/>
      </c>
      <c r="B861">
        <f>Skills!B10</f>
        <v/>
      </c>
      <c r="C861">
        <f>Inputs!$B$3&gt;=103</f>
        <v/>
      </c>
      <c r="D861">
        <f>IF(Skills!C10=1,60+Inputs!$B$25+(Inputs!$B$29+1),IF(Skills!C10=2,90+Inputs!$B$26+(Inputs!$B$29+1),IF(Skills!C10=3,120+Inputs!$B$27+(Inputs!$B$29+1),MAX(0,(Inputs!$B$3-100)*3)+Inputs!$B$28+(Inputs!$B$29+1))))</f>
        <v/>
      </c>
      <c r="E861">
        <f>INDEX(FactorTable!$B$2:$Y$301, MATCH(ROUND(MIN(300,MAX(1,D861)),0), FactorTable!$A$2:$A$301,0), Skills!M10+1)</f>
        <v/>
      </c>
      <c r="F861">
        <f>IF(Skills!N10=TRUE,(Skills!L10/10)*(E861/1000),Skills!L10/10)+Skills!O10</f>
        <v/>
      </c>
      <c r="G861">
        <f>Skills!G10*IF(Skills!H10&gt;0,Skills!I10/Skills!H10,1)</f>
        <v/>
      </c>
      <c r="H861">
        <f>1-(1-Skills!J10/100)^Skills!K10</f>
        <v/>
      </c>
      <c r="I861" t="inlineStr">
        <is>
          <t>1</t>
        </is>
      </c>
      <c r="J861">
        <f>((Inputs!$B$6*(1+Inputs!$B$7/100))+(((Inputs!$B$12*(1+Inputs!$B$13/100))-(Inputs!$B$12*(1+Inputs!$B$13/100)))+0.25*(Inputs!$B$14-Inputs!$B$14))*(1+Inputs!$B$7/100))*(F861/100)</f>
        <v/>
      </c>
      <c r="K861">
        <f>J861*(1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861)</f>
        <v/>
      </c>
      <c r="L861">
        <f>K861*(MIN(Inputs!$B$22+((C871=TRUE)*(F871-Calc!F20)),(Inputs!$B$23+0+(IF(ArtifactsInput!$M$15,CHOOSE(ArtifactsInput!$N$15+1,25,30,35,40,45,50)/100*(Inputs!$B$11-Inputs!$B$11),0))))/100+(Inputs!$B$23+0+(IF(ArtifactsInput!$M$15,CHOOSE(ArtifactsInput!$N$15+1,25,30,35,40,45,50)/100*(Inputs!$B$11-Inputs!$B$11),0)))/100)/2</f>
        <v/>
      </c>
      <c r="M861">
        <f>L861*(1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1">
        <f>L861*(1-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1">
        <f>(1-Summary!$B$11)*T861+Summary!$B$11*V861</f>
        <v/>
      </c>
      <c r="P861">
        <f>IF(B887=0,0,O861/B887)</f>
        <v/>
      </c>
      <c r="Q861">
        <f>IFERROR(1/(IF(Inputs!$B$38="pvp",15,MAX(0.1,Skills!D10-IF(Skills!E10=TRUE,Inputs!$B$32,0)))*(1-IF(AND(ArtifactsInput!$M$27,Inputs!$B$4="Chapter Hunt"),CHOOSE(ArtifactsInput!$N$27+1,20,24,28,32,36,40),0)/100)),0)</f>
        <v/>
      </c>
      <c r="R861">
        <f>IF(AND(Inputs!$B$38&lt;&gt;"pvp",Inputs!$B$43&gt;0),IF(MAX(0,Inputs!$B$43-B884)&lt;=0,0,(INT(MAX(0,Inputs!$B$43-B884)/(IF(Inputs!$B$38="pvp",15,MAX(0.1,Skills!D10-IF(Skills!E10=TRUE,Inputs!$B$32,0)))*(1-IF(AND(ArtifactsInput!$M$27,Inputs!$B$4="Chapter Hunt"),CHOOSE(ArtifactsInput!$N$27+1,20,24,28,32,36,40),0)/100)))+1)),0)</f>
        <v/>
      </c>
      <c r="S861">
        <f>IFERROR(O861/N861,0)</f>
        <v/>
      </c>
      <c r="T861">
        <f>IF(C861,(H861*N861*IF(AND(Inputs!$B$38&lt;&gt;"pvp",Inputs!$B$43&gt;0),((Skills!G10*((R861-1)*IF(Skills!H10&gt;0,Skills!I10/Skills!H10,1)+IF(Skills!H10&gt;0,MIN(Skills!I10,MAX(0,MAX(0,Inputs!$B$43-B884)-((R861-1)*(IF(Inputs!$B$38="pvp",15,MAX(0.1,Skills!D10-IF(Skills!E10=TRUE,Inputs!$B$32,0)))*(1-IF(AND(ArtifactsInput!$M$27,Inputs!$B$4="Chapter Hunt"),CHOOSE(ArtifactsInput!$N$27+1,20,24,28,32,36,40),0)/100)))))/Skills!H10,1)))/Inputs!$B$43),G861*Q861)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861*(1-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861*(1-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1">
        <f>IF(C861,(H861*N861*IF(AND(Inputs!$B$38&lt;&gt;"pvp",Inputs!$B$43&gt;0),((Skills!G10*((R861-1)*IF(Skills!H10&gt;0,Skills!I10/Skills!H10,1)+IF(Skills!H10&gt;0,MIN(Skills!I10,MAX(0,MAX(0,Inputs!$B$43-B884)-((R861-1)*(IF(Inputs!$B$38="pvp",15,MAX(0.1,Skills!D10-IF(Skills!E10=TRUE,Inputs!$B$32,0)))*(1-IF(AND(ArtifactsInput!$M$27,Inputs!$B$4="Chapter Hunt"),CHOOSE(ArtifactsInput!$N$27+1,20,24,28,32,36,40),0)/100)))))/Skills!H10,1)))/Inputs!$B$43),G861*Q861))*IF(Inputs!$B$38="pvp",1,(1+(Inputs!$B$21+Skills!Q10+(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2">
      <c r="A862">
        <f>Skills!A11</f>
        <v/>
      </c>
      <c r="B862">
        <f>Skills!B11</f>
        <v/>
      </c>
      <c r="C862">
        <f>Inputs!$B$3&gt;=113</f>
        <v/>
      </c>
      <c r="D862">
        <f>IF(Skills!C11=1,60+Inputs!$B$25+(Inputs!$B$29+1),IF(Skills!C11=2,90+Inputs!$B$26+(Inputs!$B$29+1),IF(Skills!C11=3,120+Inputs!$B$27+(Inputs!$B$29+1),MAX(0,(Inputs!$B$3-100)*3)+Inputs!$B$28+(Inputs!$B$29+1))))</f>
        <v/>
      </c>
      <c r="E862">
        <f>INDEX(FactorTable!$B$2:$Y$301, MATCH(ROUND(MIN(300,MAX(1,D862)),0), FactorTable!$A$2:$A$301,0), Skills!M11+1)</f>
        <v/>
      </c>
      <c r="F862">
        <f>IF(Skills!N11=TRUE,(Skills!L11/10)*(E862/1000),Skills!L11/10)+Skills!O11</f>
        <v/>
      </c>
      <c r="G862">
        <f>Skills!G11*IF(Skills!H11&gt;0,Skills!I11/Skills!H11,1)</f>
        <v/>
      </c>
      <c r="H862">
        <f>1-(1-Skills!J11/100)^Skills!K11</f>
        <v/>
      </c>
      <c r="I862" t="inlineStr">
        <is>
          <t>1</t>
        </is>
      </c>
      <c r="J862">
        <f>((Inputs!$B$6*(1+Inputs!$B$7/100))+(((Inputs!$B$12*(1+Inputs!$B$13/100))-(Inputs!$B$12*(1+Inputs!$B$13/100)))+0.25*(Inputs!$B$14-Inputs!$B$14))*(1+Inputs!$B$7/100))*(F862/100)</f>
        <v/>
      </c>
      <c r="K862">
        <f>J862*(1+((Inputs!$B$12*(1+Inputs!$B$13/100))*0.01+Inputs!$B$14*0.0025)/100)*(1+Inputs!$B$15/100)*(1+Inputs!$B$16/100)*(5000/(6000+Inputs!$B$42*(1-(100*(1-(1-(Inputs!$B$19+0)/100)*(1-CHOOSE(ArtifactsInput!$N$40+1,5,6,7,8,9,10)/100)^(ArtifactsInput!$M$40-ArtifactsInput!$M$40)))/100)))*(1+(Inputs!$B$24+((C873=TRUE)*(F873-Calc!F22))+B883)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872=TRUE)*(F872-Calc!F21))+(((IF(AND(ArtifactsInput!$M$42,((Inputs!$B$9+((C867=TRUE)*(F867-Calc!F16))+B877+(ArtifactsInput!$M$24-ArtifactsInput!$M$24)*CHOOSE(ArtifactsInput!$N$24+1,10,12,14,16,18,20)+IF(ArtifactsInput!$M$10,CHOOSE(ArtifactsInput!$N$10+1,15,18,21,24,27,30)*(IF(Inputs!$B$38="pvp",MIN(15,15)/15,IF(AND(Inputs!$B$38&lt;&gt;"pvp",Inputs!$B$43&gt;0),MIN(15,Inputs!$B$43)/(Inputs!$B$43),0))),0)))&gt;=100),MIN(100,((Inputs!$B$9+((C867=TRUE)*(F867-Calc!F16))+B877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867=TRUE)*(F867-Calc!F16))+B877+(ArtifactsInput!$M$24-ArtifactsInput!$M$24)*CHOOSE(ArtifactsInput!$N$24+1,10,12,14,16,18,20)+IF(ArtifactsInput!$M$10,CHOOSE(ArtifactsInput!$N$10+1,15,18,21,24,27,30)*(IF(Inputs!$B$38="pvp",MIN(15,15)/15,IF(AND(Inputs!$B$38&lt;&gt;"pvp",Inputs!$B$43&gt;0),MIN(15,Inputs!$B$43)/(Inputs!$B$43),0))),0)))&gt;=100),CHOOSE(ArtifactsInput!$N$42+1,40,48,56,64,72,80),0))))/100)*((1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862)</f>
        <v/>
      </c>
      <c r="L862">
        <f>K862*(MIN(Inputs!$B$22+((C871=TRUE)*(F871-Calc!F20)),(Inputs!$B$23+0+(IF(ArtifactsInput!$M$15,CHOOSE(ArtifactsInput!$N$15+1,25,30,35,40,45,50)/100*(Inputs!$B$11-Inputs!$B$11),0))))/100+(Inputs!$B$23+0+(IF(ArtifactsInput!$M$15,CHOOSE(ArtifactsInput!$N$15+1,25,30,35,40,45,50)/100*(Inputs!$B$11-Inputs!$B$11),0)))/100)/2</f>
        <v/>
      </c>
      <c r="M862">
        <f>L862*(1+(Inputs!$B$10+0+B882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62">
        <f>L862*(1-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862*(MIN((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62">
        <f>(1-Summary!$B$11)*T862+Summary!$B$11*V862</f>
        <v/>
      </c>
      <c r="P862">
        <f>IF(B887=0,0,O862/B887)</f>
        <v/>
      </c>
      <c r="Q862">
        <f>IFERROR(1/(IF(Inputs!$B$38="pvp",15,MAX(0.1,Skills!D11-IF(Skills!E11=TRUE,Inputs!$B$32,0)))*(1-IF(AND(ArtifactsInput!$M$27,Inputs!$B$4="Chapter Hunt"),CHOOSE(ArtifactsInput!$N$27+1,20,24,28,32,36,40),0)/100)),0)</f>
        <v/>
      </c>
      <c r="R862">
        <f>IF(AND(Inputs!$B$38&lt;&gt;"pvp",Inputs!$B$43&gt;0),IF(MAX(0,Inputs!$B$43-B884)&lt;=0,0,(INT(MAX(0,Inputs!$B$43-B884)/(IF(Inputs!$B$38="pvp",15,MAX(0.1,Skills!D11-IF(Skills!E11=TRUE,Inputs!$B$32,0)))*(1-IF(AND(ArtifactsInput!$M$27,Inputs!$B$4="Chapter Hunt"),CHOOSE(ArtifactsInput!$N$27+1,20,24,28,32,36,40),0)/100)))+1)),0)</f>
        <v/>
      </c>
      <c r="S862">
        <f>IFERROR(O862/N862,0)</f>
        <v/>
      </c>
      <c r="T862">
        <f>IF(C862,(H862*N862*IF(AND(Inputs!$B$38&lt;&gt;"pvp",Inputs!$B$43&gt;0),((Skills!G11*((R862-1)*IF(Skills!H11&gt;0,Skills!I11/Skills!H11,1)+IF(Skills!H11&gt;0,MIN(Skills!I11,MAX(0,MAX(0,Inputs!$B$43-B884)-((R862-1)*(IF(Inputs!$B$38="pvp",15,MAX(0.1,Skills!D11-IF(Skills!E11=TRUE,Inputs!$B$32,0)))*(1-IF(AND(ArtifactsInput!$M$27,Inputs!$B$4="Chapter Hunt"),CHOOSE(ArtifactsInput!$N$27+1,20,24,28,32,36,40),0)/100)))))/Skills!H11,1)))/Inputs!$B$43),G862*Q862)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862*(1-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862*(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862*(1-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862*(MIN(100,(Inputs!$B$9+((C867=TRUE)*(F867-Calc!F16))+B877+(ArtifactsInput!$M$24-ArtifactsInput!$M$24)*CHOOSE(ArtifactsInput!$N$24+1,10,12,14,16,18,20)+(IF(AND(ArtifactsInput!$M$42,((Inputs!$B$9+((C867=TRUE)*(F867-Calc!F16))+B877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62">
        <f>IF(C862,(H862*N862*IF(AND(Inputs!$B$38&lt;&gt;"pvp",Inputs!$B$43&gt;0),((Skills!G11*((R862-1)*IF(Skills!H11&gt;0,Skills!I11/Skills!H11,1)+IF(Skills!H11&gt;0,MIN(Skills!I11,MAX(0,MAX(0,Inputs!$B$43-B884)-((R862-1)*(IF(Inputs!$B$38="pvp",15,MAX(0.1,Skills!D11-IF(Skills!E11=TRUE,Inputs!$B$32,0)))*(1-IF(AND(ArtifactsInput!$M$27,Inputs!$B$4="Chapter Hunt"),CHOOSE(ArtifactsInput!$N$27+1,20,24,28,32,36,40),0)/100)))))/Skills!H11,1)))/Inputs!$B$43),G862*Q862))*IF(Inputs!$B$38="pvp",1,(1+(Inputs!$B$21+Skills!Q11+(IF(ArtifactsInput!$M$33,CHOOSE(ArtifactsInput!$N$33+1,30,36,42,48,54,60),0))+(IF(AND(ArtifactsInput!$M$35,Inputs!$B$4&lt;&gt;"Chapter Hunt"),CHOOSE(ArtifactsInput!$N$35+1,15,18,21,24,27,30)*(1-EXP(-(0.2*B879)*5)),0)+IF(AND(ArtifactsInput!$M$22,Inputs!$B$4&lt;&gt;"Chapter Hunt"),CHOOSE(ArtifactsInput!$N$22+1,10,12,14,16,18,20)*((0*(((0.15*B879*5))^0/1)+1*(((0.15*B879*5))^1/1)+2*(((0.15*B879*5))^2/2)+3*(((0.15*B879*5))^3/6)+4*(((0.15*B879*5))^4/24)+5*(((0.15*B879*5))^5/120))/((((0.15*B879*5))^0/1)+(((0.15*B879*5))^1/1)+(((0.15*B879*5))^2/2)+(((0.15*B879*5))^3/6)+(((0.15*B879*5))^4/24)+(((0.15*B879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63">
      <c r="A863">
        <f>Skills!A12</f>
        <v/>
      </c>
      <c r="B863">
        <f>Skills!B12</f>
        <v/>
      </c>
      <c r="C863">
        <f>Inputs!$B$3&gt;=100</f>
        <v/>
      </c>
      <c r="D863">
        <f>IF(Skills!C12=1,60+Inputs!$B$25+(Inputs!$B$29+1),IF(Skills!C12=2,90+Inputs!$B$26+(Inputs!$B$29+1),IF(Skills!C12=3,120+Inputs!$B$27+(Inputs!$B$29+1),MAX(0,(Inputs!$B$3-100)*3)+Inputs!$B$28+(Inputs!$B$29+1))))</f>
        <v/>
      </c>
      <c r="E863">
        <f>INDEX(FactorTable!$B$2:$Y$301, MATCH(ROUND(MIN(300,MAX(1,D863)),0), FactorTable!$A$2:$A$301,0), Skills!M12+1)</f>
        <v/>
      </c>
      <c r="F863">
        <f>IF(Skills!N12=TRUE,(Skills!L12/10)*(E863/1000),Skills!L12/10)+Skills!O12</f>
        <v/>
      </c>
      <c r="G863" t="inlineStr"/>
      <c r="H863" t="inlineStr"/>
      <c r="I863" t="inlineStr">
        <is>
          <t>1</t>
        </is>
      </c>
      <c r="J863" t="inlineStr"/>
      <c r="K863" t="inlineStr"/>
      <c r="L863" t="inlineStr"/>
      <c r="M863" t="inlineStr"/>
      <c r="N863" t="inlineStr"/>
      <c r="O863" t="inlineStr"/>
      <c r="P863" t="inlineStr"/>
      <c r="Q863" t="inlineStr"/>
      <c r="R863" t="inlineStr"/>
      <c r="S863" t="inlineStr"/>
      <c r="T863" t="inlineStr"/>
      <c r="V863" t="inlineStr"/>
    </row>
    <row r="864">
      <c r="A864">
        <f>Skills!A13</f>
        <v/>
      </c>
      <c r="B864">
        <f>Skills!B13</f>
        <v/>
      </c>
      <c r="C864">
        <f>Inputs!$B$3&gt;=66</f>
        <v/>
      </c>
      <c r="D864">
        <f>IF(Skills!C13=1,60+Inputs!$B$25+(Inputs!$B$29+1),IF(Skills!C13=2,90+Inputs!$B$26+(Inputs!$B$29+1),IF(Skills!C13=3,120+Inputs!$B$27+(Inputs!$B$29+1),MAX(0,(Inputs!$B$3-100)*3)+Inputs!$B$28+(Inputs!$B$29+1))))</f>
        <v/>
      </c>
      <c r="E864">
        <f>INDEX(FactorTable!$B$2:$Y$301, MATCH(ROUND(MIN(300,MAX(1,D864)),0), FactorTable!$A$2:$A$301,0), Skills!M13+1)</f>
        <v/>
      </c>
      <c r="F864">
        <f>IF(Skills!N13=TRUE,(Skills!L13/10)*(E864/1000),Skills!L13/10)+Skills!O13</f>
        <v/>
      </c>
      <c r="G864">
        <f>Skills!G13*IF(Skills!H13&gt;0,Skills!I13/Skills!H13,1)</f>
        <v/>
      </c>
      <c r="H864">
        <f>1-(1-Skills!J13/100)^Skills!K13</f>
        <v/>
      </c>
      <c r="I864" t="inlineStr">
        <is>
          <t>1</t>
        </is>
      </c>
      <c r="J864" t="inlineStr"/>
      <c r="K864" t="inlineStr"/>
      <c r="L864" t="inlineStr"/>
      <c r="M864" t="inlineStr"/>
      <c r="N864" t="inlineStr"/>
      <c r="O864">
        <f>(1-Summary!$B$11)*T864+Summary!$B$11*V864</f>
        <v/>
      </c>
      <c r="P864">
        <f>IF(B887=0,0,O864/B887)</f>
        <v/>
      </c>
      <c r="Q864" t="n">
        <v>0</v>
      </c>
      <c r="R864" t="n">
        <v>0</v>
      </c>
      <c r="S864">
        <f>IFERROR(O864/N864,0)</f>
        <v/>
      </c>
      <c r="T864" t="n">
        <v>0</v>
      </c>
      <c r="V864" t="n">
        <v>0</v>
      </c>
    </row>
    <row r="865">
      <c r="A865">
        <f>Skills!A14</f>
        <v/>
      </c>
      <c r="B865">
        <f>Skills!B14</f>
        <v/>
      </c>
      <c r="C865">
        <f>Inputs!$B$3&gt;=107</f>
        <v/>
      </c>
      <c r="D865">
        <f>IF(Skills!C14=1,60+Inputs!$B$25+(Inputs!$B$29+1),IF(Skills!C14=2,90+Inputs!$B$26+(Inputs!$B$29+1),IF(Skills!C14=3,120+Inputs!$B$27+(Inputs!$B$29+1),MAX(0,(Inputs!$B$3-100)*3)+Inputs!$B$28+(Inputs!$B$29+1))))</f>
        <v/>
      </c>
      <c r="E865">
        <f>INDEX(FactorTable!$B$2:$Y$301, MATCH(ROUND(MIN(300,MAX(1,D865)),0), FactorTable!$A$2:$A$301,0), Skills!M14+1)</f>
        <v/>
      </c>
      <c r="F865">
        <f>IF(Skills!N14=TRUE,(Skills!L14/10)*(E865/1000),Skills!L14/10)+Skills!O14</f>
        <v/>
      </c>
      <c r="G865">
        <f>Skills!G14*IF(Skills!H14&gt;0,Skills!I14/Skills!H14,1)</f>
        <v/>
      </c>
      <c r="H865">
        <f>1-(1-Skills!J14/100)^Skills!K14</f>
        <v/>
      </c>
      <c r="I865" t="inlineStr">
        <is>
          <t>1</t>
        </is>
      </c>
      <c r="J865" t="inlineStr"/>
      <c r="K865" t="inlineStr"/>
      <c r="L865" t="inlineStr"/>
      <c r="M865" t="inlineStr"/>
      <c r="N865" t="inlineStr"/>
      <c r="O865">
        <f>(1-Summary!$B$11)*T865+Summary!$B$11*V865</f>
        <v/>
      </c>
      <c r="P865">
        <f>IF(B887=0,0,O865/B887)</f>
        <v/>
      </c>
      <c r="Q865">
        <f>IFERROR(1/(IF(Inputs!$B$38="pvp",15,MAX(0.1,Skills!D14-IF(Skills!E14=TRUE,Inputs!$B$32,0)))*(1-IF(AND(ArtifactsInput!$M$27,Inputs!$B$4="Chapter Hunt"),CHOOSE(ArtifactsInput!$N$27+1,20,24,28,32,36,40),0)/100)),0)</f>
        <v/>
      </c>
      <c r="R865">
        <f>IF(AND(Inputs!$B$38&lt;&gt;"pvp",Inputs!$B$43&gt;0),IF(Inputs!$B$43&lt;=0,0,(INT(Inputs!$B$43/(IF(Inputs!$B$38="pvp",15,MAX(0.1,Skills!D14-IF(Skills!E14=TRUE,Inputs!$B$32,0)))*(1-IF(AND(ArtifactsInput!$M$27,Inputs!$B$4="Chapter Hunt"),CHOOSE(ArtifactsInput!$N$27+1,20,24,28,32,36,40),0)/100)))+1)),0)</f>
        <v/>
      </c>
      <c r="S865">
        <f>IFERROR(O865/N865,0)</f>
        <v/>
      </c>
      <c r="T865" t="n">
        <v>0</v>
      </c>
      <c r="V865" t="n">
        <v>0</v>
      </c>
    </row>
    <row r="866">
      <c r="A866">
        <f>Skills!A15</f>
        <v/>
      </c>
      <c r="B866">
        <f>Skills!B15</f>
        <v/>
      </c>
      <c r="C866">
        <f>Inputs!$B$3&gt;=115</f>
        <v/>
      </c>
      <c r="D866">
        <f>IF(Skills!C15=1,60+Inputs!$B$25+(Inputs!$B$29+1),IF(Skills!C15=2,90+Inputs!$B$26+(Inputs!$B$29+1),IF(Skills!C15=3,120+Inputs!$B$27+(Inputs!$B$29+1),MAX(0,(Inputs!$B$3-100)*3)+Inputs!$B$28+(Inputs!$B$29+1))))</f>
        <v/>
      </c>
      <c r="E866">
        <f>INDEX(FactorTable!$B$2:$Y$301, MATCH(ROUND(MIN(300,MAX(1,D866)),0), FactorTable!$A$2:$A$301,0), Skills!M15+1)</f>
        <v/>
      </c>
      <c r="F866">
        <f>IF(Skills!N15=TRUE,(Skills!L15/10)*(E866/1000),Skills!L15/10)+Skills!O15</f>
        <v/>
      </c>
      <c r="G866">
        <f>Skills!G15*IF(Skills!H15&gt;0,Skills!I15/Skills!H15,1)</f>
        <v/>
      </c>
      <c r="H866">
        <f>1-(1-Skills!J15/100)^Skills!K15</f>
        <v/>
      </c>
      <c r="I866" t="inlineStr">
        <is>
          <t>1</t>
        </is>
      </c>
      <c r="J866" t="inlineStr"/>
      <c r="K866" t="inlineStr"/>
      <c r="L866" t="inlineStr"/>
      <c r="M866" t="inlineStr"/>
      <c r="N866" t="inlineStr"/>
      <c r="O866">
        <f>(1-Summary!$B$11)*T866+Summary!$B$11*V866</f>
        <v/>
      </c>
      <c r="P866">
        <f>IF(B887=0,0,O866/B887)</f>
        <v/>
      </c>
      <c r="Q866">
        <f>IFERROR(1/(IF(Inputs!$B$38="pvp",15,MAX(0.1,Skills!D15-IF(Skills!E15=TRUE,Inputs!$B$32,0)))*(1-IF(AND(ArtifactsInput!$M$27,Inputs!$B$4="Chapter Hunt"),CHOOSE(ArtifactsInput!$N$27+1,20,24,28,32,36,40),0)/100)),0)</f>
        <v/>
      </c>
      <c r="R866">
        <f>IF(AND(Inputs!$B$38&lt;&gt;"pvp",Inputs!$B$43&gt;0),IF(Inputs!$B$43&lt;=0,0,(INT(Inputs!$B$43/(IF(Inputs!$B$38="pvp",15,MAX(0.1,Skills!D15-IF(Skills!E15=TRUE,Inputs!$B$32,0)))*(1-IF(AND(ArtifactsInput!$M$27,Inputs!$B$4="Chapter Hunt"),CHOOSE(ArtifactsInput!$N$27+1,20,24,28,32,36,40),0)/100)))+1)),0)</f>
        <v/>
      </c>
      <c r="S866">
        <f>IFERROR(O866/N866,0)</f>
        <v/>
      </c>
      <c r="T866" t="n">
        <v>0</v>
      </c>
      <c r="V866" t="n">
        <v>0</v>
      </c>
    </row>
    <row r="867">
      <c r="A867">
        <f>Skills!A16</f>
        <v/>
      </c>
      <c r="B867">
        <f>Skills!B16</f>
        <v/>
      </c>
      <c r="C867">
        <f>Inputs!$B$3&gt;=15</f>
        <v/>
      </c>
      <c r="D867">
        <f>IF(Skills!C16=1,60+Inputs!$B$25+(Inputs!$B$29+1),IF(Skills!C16=2,90+Inputs!$B$26+(Inputs!$B$29+1),IF(Skills!C16=3,120+Inputs!$B$27+(Inputs!$B$29+1),MAX(0,(Inputs!$B$3-100)*3)+Inputs!$B$28+(Inputs!$B$29+1))))</f>
        <v/>
      </c>
      <c r="E867">
        <f>INDEX(FactorTable!$B$2:$Y$301, MATCH(ROUND(MIN(300,MAX(1,D867)),0), FactorTable!$A$2:$A$301,0), Skills!M16+1)</f>
        <v/>
      </c>
      <c r="F867">
        <f>IF(Skills!N16=TRUE,(Skills!L16/10)*(E867/1000),Skills!L16/10)+Skills!O16</f>
        <v/>
      </c>
      <c r="G867">
        <f>Skills!G16*IF(Skills!H16&gt;0,Skills!I16/Skills!H16,1)</f>
        <v/>
      </c>
      <c r="H867">
        <f>1-(1-Skills!J16/100)^Skills!K16</f>
        <v/>
      </c>
      <c r="I867" t="inlineStr">
        <is>
          <t>1</t>
        </is>
      </c>
      <c r="J867" t="inlineStr"/>
      <c r="K867" t="inlineStr"/>
      <c r="L867" t="inlineStr"/>
      <c r="M867" t="inlineStr"/>
      <c r="N867" t="inlineStr"/>
      <c r="O867">
        <f>(1-Summary!$B$11)*T867+Summary!$B$11*V867</f>
        <v/>
      </c>
      <c r="P867">
        <f>IF(B887=0,0,O867/B887)</f>
        <v/>
      </c>
      <c r="Q867" t="n">
        <v>0</v>
      </c>
      <c r="R867" t="n">
        <v>0</v>
      </c>
      <c r="S867">
        <f>IFERROR(O867/N867,0)</f>
        <v/>
      </c>
      <c r="T867" t="n">
        <v>0</v>
      </c>
      <c r="V867" t="n">
        <v>0</v>
      </c>
    </row>
    <row r="868">
      <c r="A868">
        <f>Skills!A17</f>
        <v/>
      </c>
      <c r="B868">
        <f>Skills!B17</f>
        <v/>
      </c>
      <c r="C868">
        <f>Inputs!$B$3&gt;=10</f>
        <v/>
      </c>
      <c r="D868">
        <f>IF(Skills!C17=1,60+Inputs!$B$25+(Inputs!$B$29+1),IF(Skills!C17=2,90+Inputs!$B$26+(Inputs!$B$29+1),IF(Skills!C17=3,120+Inputs!$B$27+(Inputs!$B$29+1),MAX(0,(Inputs!$B$3-100)*3)+Inputs!$B$28+(Inputs!$B$29+1))))</f>
        <v/>
      </c>
      <c r="E868">
        <f>INDEX(FactorTable!$B$2:$Y$301, MATCH(ROUND(MIN(300,MAX(1,D868)),0), FactorTable!$A$2:$A$301,0), Skills!M17+1)</f>
        <v/>
      </c>
      <c r="F868">
        <f>IF(Skills!N17=TRUE,(Skills!L17/10)*(E868/1000),Skills!L17/10)+Skills!O17</f>
        <v/>
      </c>
      <c r="G868">
        <f>Skills!G17*IF(Skills!H17&gt;0,Skills!I17/Skills!H17,1)</f>
        <v/>
      </c>
      <c r="H868">
        <f>1-(1-Skills!J17/100)^Skills!K17</f>
        <v/>
      </c>
      <c r="I868" t="inlineStr">
        <is>
          <t>1</t>
        </is>
      </c>
      <c r="J868" t="inlineStr"/>
      <c r="K868" t="inlineStr"/>
      <c r="L868" t="inlineStr"/>
      <c r="M868" t="inlineStr"/>
      <c r="N868" t="inlineStr"/>
      <c r="O868">
        <f>(1-Summary!$B$11)*T868+Summary!$B$11*V868</f>
        <v/>
      </c>
      <c r="P868">
        <f>IF(B887=0,0,O868/B887)</f>
        <v/>
      </c>
      <c r="Q868" t="n">
        <v>0</v>
      </c>
      <c r="R868" t="n">
        <v>0</v>
      </c>
      <c r="S868">
        <f>IFERROR(O868/N868,0)</f>
        <v/>
      </c>
      <c r="T868" t="n">
        <v>0</v>
      </c>
      <c r="V868" t="n">
        <v>0</v>
      </c>
    </row>
    <row r="869">
      <c r="A869">
        <f>Skills!A18</f>
        <v/>
      </c>
      <c r="B869">
        <f>Skills!B18</f>
        <v/>
      </c>
      <c r="C869">
        <f>Inputs!$B$3&gt;=33</f>
        <v/>
      </c>
      <c r="D869">
        <f>IF(Skills!C18=1,60+Inputs!$B$25+(Inputs!$B$29+1),IF(Skills!C18=2,90+Inputs!$B$26+(Inputs!$B$29+1),IF(Skills!C18=3,120+Inputs!$B$27+(Inputs!$B$29+1),MAX(0,(Inputs!$B$3-100)*3)+Inputs!$B$28+(Inputs!$B$29+1))))</f>
        <v/>
      </c>
      <c r="E869">
        <f>INDEX(FactorTable!$B$2:$Y$301, MATCH(ROUND(MIN(300,MAX(1,D869)),0), FactorTable!$A$2:$A$301,0), Skills!M18+1)</f>
        <v/>
      </c>
      <c r="F869">
        <f>IF(Skills!N18=TRUE,(Skills!L18/10)*(E869/1000),Skills!L18/10)+Skills!O18</f>
        <v/>
      </c>
      <c r="G869">
        <f>Skills!G18*IF(Skills!H18&gt;0,Skills!I18/Skills!H18,1)</f>
        <v/>
      </c>
      <c r="H869">
        <f>1-(1-Skills!J18/100)^Skills!K18</f>
        <v/>
      </c>
      <c r="I869" t="inlineStr">
        <is>
          <t>1</t>
        </is>
      </c>
      <c r="J869" t="inlineStr"/>
      <c r="K869" t="inlineStr"/>
      <c r="L869" t="inlineStr"/>
      <c r="M869" t="inlineStr"/>
      <c r="N869" t="inlineStr"/>
      <c r="O869">
        <f>(1-Summary!$B$11)*T869+Summary!$B$11*V869</f>
        <v/>
      </c>
      <c r="P869">
        <f>IF(B887=0,0,O869/B887)</f>
        <v/>
      </c>
      <c r="Q869" t="n">
        <v>0</v>
      </c>
      <c r="R869" t="n">
        <v>0</v>
      </c>
      <c r="S869">
        <f>IFERROR(O869/N869,0)</f>
        <v/>
      </c>
      <c r="T869" t="n">
        <v>0</v>
      </c>
      <c r="V869" t="n">
        <v>0</v>
      </c>
    </row>
    <row r="870">
      <c r="A870">
        <f>Skills!A19</f>
        <v/>
      </c>
      <c r="B870">
        <f>Skills!B19</f>
        <v/>
      </c>
      <c r="C870">
        <f>Inputs!$B$3&gt;=40</f>
        <v/>
      </c>
      <c r="D870">
        <f>IF(Skills!C19=1,60+Inputs!$B$25+(Inputs!$B$29+1),IF(Skills!C19=2,90+Inputs!$B$26+(Inputs!$B$29+1),IF(Skills!C19=3,120+Inputs!$B$27+(Inputs!$B$29+1),MAX(0,(Inputs!$B$3-100)*3)+Inputs!$B$28+(Inputs!$B$29+1))))</f>
        <v/>
      </c>
      <c r="E870">
        <f>INDEX(FactorTable!$B$2:$Y$301, MATCH(ROUND(MIN(300,MAX(1,D870)),0), FactorTable!$A$2:$A$301,0), Skills!M19+1)</f>
        <v/>
      </c>
      <c r="F870">
        <f>IF(Skills!N19=TRUE,(Skills!L19/10)*(E870/1000),Skills!L19/10)+Skills!O19</f>
        <v/>
      </c>
      <c r="G870">
        <f>Skills!G19*IF(Skills!H19&gt;0,Skills!I19/Skills!H19,1)</f>
        <v/>
      </c>
      <c r="H870">
        <f>1-(1-Skills!J19/100)^Skills!K19</f>
        <v/>
      </c>
      <c r="I870" t="inlineStr">
        <is>
          <t>1</t>
        </is>
      </c>
      <c r="J870" t="inlineStr"/>
      <c r="K870" t="inlineStr"/>
      <c r="L870" t="inlineStr"/>
      <c r="M870" t="inlineStr"/>
      <c r="N870" t="inlineStr"/>
      <c r="O870">
        <f>(1-Summary!$B$11)*T870+Summary!$B$11*V870</f>
        <v/>
      </c>
      <c r="P870">
        <f>IF(B887=0,0,O870/B887)</f>
        <v/>
      </c>
      <c r="Q870" t="n">
        <v>0</v>
      </c>
      <c r="R870" t="n">
        <v>0</v>
      </c>
      <c r="S870">
        <f>IFERROR(O870/N870,0)</f>
        <v/>
      </c>
      <c r="T870" t="n">
        <v>0</v>
      </c>
      <c r="V870" t="n">
        <v>0</v>
      </c>
    </row>
    <row r="871">
      <c r="A871">
        <f>Skills!A20</f>
        <v/>
      </c>
      <c r="B871">
        <f>Skills!B20</f>
        <v/>
      </c>
      <c r="C871">
        <f>Inputs!$B$3&gt;=43</f>
        <v/>
      </c>
      <c r="D871">
        <f>IF(Skills!C20=1,60+Inputs!$B$25+(Inputs!$B$29+1),IF(Skills!C20=2,90+Inputs!$B$26+(Inputs!$B$29+1),IF(Skills!C20=3,120+Inputs!$B$27+(Inputs!$B$29+1),MAX(0,(Inputs!$B$3-100)*3)+Inputs!$B$28+(Inputs!$B$29+1))))</f>
        <v/>
      </c>
      <c r="E871">
        <f>INDEX(FactorTable!$B$2:$Y$301, MATCH(ROUND(MIN(300,MAX(1,D871)),0), FactorTable!$A$2:$A$301,0), Skills!M20+1)</f>
        <v/>
      </c>
      <c r="F871">
        <f>IF(Skills!N20=TRUE,(Skills!L20/10)*(E871/1000),Skills!L20/10)+Skills!O20</f>
        <v/>
      </c>
      <c r="G871">
        <f>Skills!G20*IF(Skills!H20&gt;0,Skills!I20/Skills!H20,1)</f>
        <v/>
      </c>
      <c r="H871">
        <f>1-(1-Skills!J20/100)^Skills!K20</f>
        <v/>
      </c>
      <c r="I871" t="inlineStr">
        <is>
          <t>1</t>
        </is>
      </c>
      <c r="J871" t="inlineStr"/>
      <c r="K871" t="inlineStr"/>
      <c r="L871" t="inlineStr"/>
      <c r="M871" t="inlineStr"/>
      <c r="N871" t="inlineStr"/>
      <c r="O871">
        <f>(1-Summary!$B$11)*T871+Summary!$B$11*V871</f>
        <v/>
      </c>
      <c r="P871">
        <f>IF(B887=0,0,O871/B887)</f>
        <v/>
      </c>
      <c r="Q871" t="n">
        <v>0</v>
      </c>
      <c r="R871" t="n">
        <v>0</v>
      </c>
      <c r="S871">
        <f>IFERROR(O871/N871,0)</f>
        <v/>
      </c>
      <c r="T871" t="n">
        <v>0</v>
      </c>
      <c r="V871" t="n">
        <v>0</v>
      </c>
    </row>
    <row r="872">
      <c r="A872">
        <f>Skills!A21</f>
        <v/>
      </c>
      <c r="B872">
        <f>Skills!B21</f>
        <v/>
      </c>
      <c r="C872">
        <f>Inputs!$B$3&gt;=38</f>
        <v/>
      </c>
      <c r="D872">
        <f>IF(Skills!C21=1,60+Inputs!$B$25+(Inputs!$B$29+1),IF(Skills!C21=2,90+Inputs!$B$26+(Inputs!$B$29+1),IF(Skills!C21=3,120+Inputs!$B$27+(Inputs!$B$29+1),MAX(0,(Inputs!$B$3-100)*3)+Inputs!$B$28+(Inputs!$B$29+1))))</f>
        <v/>
      </c>
      <c r="E872">
        <f>INDEX(FactorTable!$B$2:$Y$301, MATCH(ROUND(MIN(300,MAX(1,D872)),0), FactorTable!$A$2:$A$301,0), Skills!M21+1)</f>
        <v/>
      </c>
      <c r="F872">
        <f>IF(Skills!N21=TRUE,(Skills!L21/10)*(E872/1000),Skills!L21/10)+Skills!O21</f>
        <v/>
      </c>
      <c r="G872">
        <f>Skills!G21*IF(Skills!H21&gt;0,Skills!I21/Skills!H21,1)</f>
        <v/>
      </c>
      <c r="H872">
        <f>1-(1-Skills!J21/100)^Skills!K21</f>
        <v/>
      </c>
      <c r="I872" t="inlineStr">
        <is>
          <t>1</t>
        </is>
      </c>
      <c r="J872" t="inlineStr"/>
      <c r="K872" t="inlineStr"/>
      <c r="L872" t="inlineStr"/>
      <c r="M872" t="inlineStr"/>
      <c r="N872" t="inlineStr"/>
      <c r="O872">
        <f>(1-Summary!$B$11)*T872+Summary!$B$11*V872</f>
        <v/>
      </c>
      <c r="P872">
        <f>IF(B887=0,0,O872/B887)</f>
        <v/>
      </c>
      <c r="Q872" t="n">
        <v>0</v>
      </c>
      <c r="R872" t="n">
        <v>0</v>
      </c>
      <c r="S872">
        <f>IFERROR(O872/N872,0)</f>
        <v/>
      </c>
      <c r="T872" t="n">
        <v>0</v>
      </c>
      <c r="V872" t="n">
        <v>0</v>
      </c>
    </row>
    <row r="873">
      <c r="A873">
        <f>Skills!A22</f>
        <v/>
      </c>
      <c r="B873">
        <f>Skills!B22</f>
        <v/>
      </c>
      <c r="C873">
        <f>Inputs!$B$3&gt;=75</f>
        <v/>
      </c>
      <c r="D873">
        <f>IF(Skills!C22=1,60+Inputs!$B$25+(Inputs!$B$29+1),IF(Skills!C22=2,90+Inputs!$B$26+(Inputs!$B$29+1),IF(Skills!C22=3,120+Inputs!$B$27+(Inputs!$B$29+1),MAX(0,(Inputs!$B$3-100)*3)+Inputs!$B$28+(Inputs!$B$29+1))))</f>
        <v/>
      </c>
      <c r="E873">
        <f>INDEX(FactorTable!$B$2:$Y$301, MATCH(ROUND(MIN(300,MAX(1,D873)),0), FactorTable!$A$2:$A$301,0), Skills!M22+1)</f>
        <v/>
      </c>
      <c r="F873">
        <f>IF(Skills!N22=TRUE,(Skills!L22/10)*(E873/1000),Skills!L22/10)+Skills!O22</f>
        <v/>
      </c>
      <c r="G873">
        <f>Skills!G22*IF(Skills!H22&gt;0,Skills!I22/Skills!H22,1)</f>
        <v/>
      </c>
      <c r="H873">
        <f>1-(1-Skills!J22/100)^Skills!K22</f>
        <v/>
      </c>
      <c r="I873" t="inlineStr">
        <is>
          <t>1</t>
        </is>
      </c>
      <c r="J873" t="inlineStr"/>
      <c r="K873" t="inlineStr"/>
      <c r="L873" t="inlineStr"/>
      <c r="M873" t="inlineStr"/>
      <c r="N873" t="inlineStr"/>
      <c r="O873">
        <f>(1-Summary!$B$11)*T873+Summary!$B$11*V873</f>
        <v/>
      </c>
      <c r="P873">
        <f>IF(B887=0,0,O873/B887)</f>
        <v/>
      </c>
      <c r="Q873" t="n">
        <v>0</v>
      </c>
      <c r="R873" t="n">
        <v>0</v>
      </c>
      <c r="S873">
        <f>IFERROR(O873/N873,0)</f>
        <v/>
      </c>
      <c r="T873" t="n">
        <v>0</v>
      </c>
      <c r="V873" t="n">
        <v>0</v>
      </c>
    </row>
    <row r="874">
      <c r="A874">
        <f>Skills!A23</f>
        <v/>
      </c>
      <c r="B874">
        <f>Skills!B23</f>
        <v/>
      </c>
      <c r="C874">
        <f>TRUE</f>
        <v/>
      </c>
      <c r="D874">
        <f>IF(Skills!C23=1,60+Inputs!$B$25+(Inputs!$B$29+1),IF(Skills!C23=2,90+Inputs!$B$26+(Inputs!$B$29+1),IF(Skills!C23=3,120+Inputs!$B$27+(Inputs!$B$29+1),MAX(0,(Inputs!$B$3-100)*3)+Inputs!$B$28+(Inputs!$B$29+1))))</f>
        <v/>
      </c>
      <c r="E874">
        <f>INDEX(FactorTable!$B$2:$Y$301, MATCH(ROUND(MIN(300,MAX(1,D874)),0), FactorTable!$A$2:$A$301,0), Skills!M23+1)</f>
        <v/>
      </c>
      <c r="F874">
        <f>IF(Skills!N23=TRUE,(Skills!L23/10)*(E874/1000),Skills!L23/10)+Skills!O23</f>
        <v/>
      </c>
      <c r="G874">
        <f>Skills!G23*IF(Skills!H23&gt;0,Skills!I23/Skills!H23,1)</f>
        <v/>
      </c>
      <c r="H874">
        <f>1-(1-Skills!J23/100)^Skills!K23</f>
        <v/>
      </c>
      <c r="I874" t="inlineStr">
        <is>
          <t>1</t>
        </is>
      </c>
      <c r="J874" t="inlineStr"/>
      <c r="K874" t="inlineStr"/>
      <c r="L874" t="inlineStr"/>
      <c r="M874" t="inlineStr"/>
      <c r="N874" t="inlineStr"/>
      <c r="O874">
        <f>(1-Summary!$B$11)*T874+Summary!$B$11*V874</f>
        <v/>
      </c>
      <c r="P874">
        <f>IF(B887=0,0,O874/B887)</f>
        <v/>
      </c>
      <c r="Q874">
        <f>IFERROR(1/(IF(Inputs!$B$38="pvp",15,MAX(0.1,Skills!D23-IF(Skills!E23=TRUE,Inputs!$B$32,0)))*(1-IF(AND(ArtifactsInput!$M$27,Inputs!$B$4="Chapter Hunt"),CHOOSE(ArtifactsInput!$N$27+1,20,24,28,32,36,40),0)/100)),0)</f>
        <v/>
      </c>
      <c r="R874">
        <f>IF(AND(Inputs!$B$38&lt;&gt;"pvp",Inputs!$B$43&gt;0),IF(Inputs!$B$43&lt;=0,0,(INT(Inputs!$B$43/(IF(Inputs!$B$38="pvp",15,MAX(0.1,Skills!D23-IF(Skills!E23=TRUE,Inputs!$B$32,0)))*(1-IF(AND(ArtifactsInput!$M$27,Inputs!$B$4="Chapter Hunt"),CHOOSE(ArtifactsInput!$N$27+1,20,24,28,32,36,40),0)/100)))+1)),0)</f>
        <v/>
      </c>
      <c r="S874">
        <f>IFERROR(O874/N874,0)</f>
        <v/>
      </c>
      <c r="T874" t="n">
        <v>0</v>
      </c>
      <c r="V874" t="n">
        <v>0</v>
      </c>
    </row>
    <row r="876">
      <c r="A876" t="inlineStr">
        <is>
          <t>Attack% Bucket Multiplier</t>
        </is>
      </c>
      <c r="B876">
        <f>(1+(((C864=TRUE)*F864*5/7)+((C870=TRUE)*(F870-Calc!F19))+(IF(ArtifactsInput!$M$21,CHOOSE(ArtifactsInput!$N$21+1,25,30,35,40,45,50)*(IF(OR(Inputs!$B$4="Chapter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77">
      <c r="A877" t="inlineStr">
        <is>
          <t>Global Crit Rate Bonus %</t>
        </is>
      </c>
      <c r="B877" t="n">
        <v>0</v>
      </c>
    </row>
    <row r="878">
      <c r="A878" t="inlineStr">
        <is>
          <t>Attack Speed Buff Bonus % (Nimble Feet, duty-cycle averaged)</t>
        </is>
      </c>
      <c r="B878">
        <f>((C874=TRUE)*F874*IF(AND(Inputs!$B$38&lt;&gt;"pvp",Inputs!$B$43&gt;0),(((R874-1)*(Skills!T23*(1+Inputs!$B$34/100))+MIN((Skills!T23*(1+Inputs!$B$34/100)),MAX(0,Inputs!$B$43-((R874-1)*Skills!D23))))/Inputs!$B$43),IF(Inputs!$B$38="pvp",MIN((Skills!T23*(1+Inputs!$B$34/100)),15)/15,(Skills!T23*(1+Inputs!$B$34/100))/Skills!D23)))</f>
        <v/>
      </c>
    </row>
    <row r="879">
      <c r="A879" t="inlineStr">
        <is>
          <t>Actions Per Second</t>
        </is>
      </c>
      <c r="B879">
        <f>1+MIN(150,150*(1-(1-(Inputs!$B$11+((C868=TRUE)*(F868-Calc!F17))+((C869=TRUE)*(F869-Calc!F18)))/150)*(1-B878/150)))/100</f>
        <v/>
      </c>
    </row>
    <row r="880">
      <c r="A880" t="inlineStr">
        <is>
          <t>Skill + Buff Cast Rate</t>
        </is>
      </c>
      <c r="B880">
        <f>IF(AND(Inputs!$B$38&lt;&gt;"pvp",Inputs!$B$43&gt;0),SUMPRODUCT((Skills!E2:E23=TRUE)*(C853:C874=TRUE)*R853:R874*Skills!F2:F23)/Inputs!$B$43,SUMPRODUCT((Skills!E2:E23=TRUE)*(C853:C874=TRUE)*Q853:Q874*Skills!F2:F23))</f>
        <v/>
      </c>
    </row>
    <row r="881">
      <c r="A881" t="inlineStr">
        <is>
          <t>Hook Bomber Casts Per Second</t>
        </is>
      </c>
      <c r="B881">
        <f>MAX(0,B879-B880)</f>
        <v/>
      </c>
    </row>
    <row r="882">
      <c r="A882" t="inlineStr">
        <is>
          <t>Global Critical Damage Bonus % (unused)</t>
        </is>
      </c>
      <c r="B882" t="n">
        <v>0</v>
      </c>
    </row>
    <row r="883">
      <c r="A883" t="inlineStr">
        <is>
          <t>Global Final Damage Bonus % (Serpent Scale + Crossbones + Time Leap + Speed Infusion)</t>
        </is>
      </c>
      <c r="B883">
        <f>((C856=TRUE)*F856*((10+IF(Inputs!$B$3&gt;=94,5,0))/((10+IF(Inputs!$B$3&gt;=94,5,0))+5/(B881*(1+IF(Inputs!$B$3&gt;=104,1,0))))))+((C865=TRUE)*F865*IF(AND(Inputs!$B$38&lt;&gt;"pvp",Inputs!$B$43&gt;0),(((R865-1)*(Skills!T14*(1+Inputs!$B$34/100))+MIN((Skills!T14*(1+Inputs!$B$34/100)),MAX(0,Inputs!$B$43-((R865-1)*Skills!D14))))/Inputs!$B$43),IF(Inputs!$B$38="pvp",MIN((Skills!T14*(1+Inputs!$B$34/100)),15)/15,(Skills!T14*(1+Inputs!$B$34/100))/Skills!D14)))+((C866=TRUE)*F866*IF(AND(Inputs!$B$38&lt;&gt;"pvp",Inputs!$B$43&gt;0),(((R866-1)*(Skills!T15*(1+Inputs!$B$34/100))+MIN((Skills!T15*(1+Inputs!$B$34/100)),MAX(0,Inputs!$B$43-((R866-1)*Skills!D15))))/Inputs!$B$43),IF(Inputs!$B$38="pvp",MIN((Skills!T15*(1+Inputs!$B$34/100)),15)/15,(Skills!T15*(1+Inputs!$B$34/100))/Skills!D15)))+((Inputs!$B$3&gt;=110)*20*(B879-1)*IF(Inputs!$B$38="pvp",MIN((15*(1+Inputs!$B$34/100)),15)/15,(15*(1+Inputs!$B$34/100))/35))</f>
        <v/>
      </c>
    </row>
    <row r="884">
      <c r="A884" t="inlineStr">
        <is>
          <t>Buff-Casting Startup Delay (s, fixed-duration only)</t>
        </is>
      </c>
      <c r="B884">
        <f>IF(AND(Inputs!$B$38&lt;&gt;"pvp",Inputs!$B$43&gt;0),SUMPRODUCT((Skills!T2:T23&gt;0)*(Skills!E2:E23=TRUE)*(C853:C874=TRUE))/B879,0)</f>
        <v/>
      </c>
    </row>
    <row r="885">
      <c r="A885" t="inlineStr">
        <is>
          <t>Boss-Only Total DPS (this block's swept value)</t>
        </is>
      </c>
      <c r="B885">
        <f>SUM(T853:T874)</f>
        <v/>
      </c>
    </row>
    <row r="886">
      <c r="A886" t="inlineStr">
        <is>
          <t>Normal-Only Total DPS (this block's swept value)</t>
        </is>
      </c>
      <c r="B886">
        <f>SUM(V853:V874)</f>
        <v/>
      </c>
    </row>
    <row r="887">
      <c r="A887" s="6" t="inlineStr">
        <is>
          <t>TOTAL DPS</t>
        </is>
      </c>
      <c r="B887" s="6">
        <f>SUM(O853:O874)</f>
        <v/>
      </c>
    </row>
    <row r="890">
      <c r="A890" s="6" t="inlineStr">
        <is>
          <t>Stat: Flat ATTACK</t>
        </is>
      </c>
    </row>
    <row r="891">
      <c r="A891" s="5" t="inlineStr">
        <is>
          <t>Key</t>
        </is>
      </c>
      <c r="B891" s="5" t="inlineStr">
        <is>
          <t>Name</t>
        </is>
      </c>
      <c r="C891" s="5" t="inlineStr">
        <is>
          <t>Unlocked</t>
        </is>
      </c>
      <c r="D891" s="5" t="inlineStr">
        <is>
          <t>InputLevel</t>
        </is>
      </c>
      <c r="E891" s="5" t="inlineStr">
        <is>
          <t>Factor</t>
        </is>
      </c>
      <c r="F891" s="5" t="inlineStr">
        <is>
          <t>CoefficientPercent</t>
        </is>
      </c>
      <c r="G891" s="5" t="inlineStr">
        <is>
          <t>EffectiveHits</t>
        </is>
      </c>
      <c r="H891" s="5" t="inlineStr">
        <is>
          <t>ProcProbability</t>
        </is>
      </c>
      <c r="I891" s="5" t="inlineStr">
        <is>
          <t>MapleHeroMultiplier</t>
        </is>
      </c>
      <c r="J891" s="5" t="inlineStr">
        <is>
          <t>BaseDamage</t>
        </is>
      </c>
      <c r="K891" s="5" t="inlineStr">
        <is>
          <t>BaseHitDamage</t>
        </is>
      </c>
      <c r="L891" s="5" t="inlineStr">
        <is>
          <t>NonCritAvg</t>
        </is>
      </c>
      <c r="M891" s="5" t="inlineStr">
        <is>
          <t>CritAvg</t>
        </is>
      </c>
      <c r="N891" s="5" t="inlineStr">
        <is>
          <t>ExpectedDamage(perHit)</t>
        </is>
      </c>
      <c r="O891" s="5" t="inlineStr">
        <is>
          <t>DPS</t>
        </is>
      </c>
      <c r="P891" s="5" t="inlineStr">
        <is>
          <t>% of Total</t>
        </is>
      </c>
      <c r="Q891" s="5" t="inlineStr">
        <is>
          <t>InvCooldown</t>
        </is>
      </c>
      <c r="R891" s="5" t="inlineStr">
        <is>
          <t>CastsInFight</t>
        </is>
      </c>
      <c r="S891" s="5" t="inlineStr">
        <is>
          <t>HitRate(perSec)</t>
        </is>
      </c>
      <c r="U891" t="inlineStr">
        <is>
          <t>helpers</t>
        </is>
      </c>
    </row>
    <row r="892">
      <c r="A892">
        <f>Skills!A2</f>
        <v/>
      </c>
      <c r="B892">
        <f>Skills!B2</f>
        <v/>
      </c>
      <c r="C892">
        <f>Inputs!$B$3&gt;=100</f>
        <v/>
      </c>
      <c r="D892" t="inlineStr"/>
      <c r="E892" t="inlineStr"/>
      <c r="F892">
        <f>U894+Skills!O2</f>
        <v/>
      </c>
      <c r="G892">
        <f>Skills!G2*IF(Skills!H2&gt;0,Skills!I2/Skills!H2,1)</f>
        <v/>
      </c>
      <c r="H892">
        <f>1-(1-Skills!J2/100)^Skills!K2</f>
        <v/>
      </c>
      <c r="I892" t="inlineStr">
        <is>
          <t>1</t>
        </is>
      </c>
      <c r="J892">
        <f>(((Inputs!$B$6+1)*(1+Inputs!$B$7/100))+(((Inputs!$B$12*(1+Inputs!$B$13/100))-(Inputs!$B$12*(1+Inputs!$B$13/100)))+0.25*(Inputs!$B$14-Inputs!$B$14))*(1+Inputs!$B$7/100))*(F892/100)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910=TRUE)*(F910-Calc!F20)),(Inputs!$B$23+0+(IF(ArtifactsInput!$M$15,CHOOSE(ArtifactsInput!$N$15+1,25,30,35,40,45,50)/100*(Inputs!$B$11-Inputs!$B$11),0))))/100+(Inputs!$B$23+0+(IF(ArtifactsInput!$M$15,CHOOSE(ArtifactsInput!$N$15+1,25,30,35,40,45,50)/100*(Inputs!$B$11-Inputs!$B$11),0)))/100)/2</f>
        <v/>
      </c>
      <c r="M892">
        <f>L892*(1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IF(B926=0,0,O892/B926)</f>
        <v/>
      </c>
      <c r="Q892" t="n">
        <v>0</v>
      </c>
      <c r="R892" t="n">
        <v>0</v>
      </c>
      <c r="S892">
        <f>IFERROR(O892/N892,0)</f>
        <v/>
      </c>
      <c r="T892">
        <f>IF(C892,(Skills!G2*N892*B920)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2">
        <f>MAX(0,(Inputs!$B$3-100)*3)+Inputs!$B$28+Inputs!$B$29</f>
        <v/>
      </c>
      <c r="V892">
        <f>IF(C892,(Skills!G2*N892*B920)*IF(Inputs!$B$38="pvp",1,(1+(Inputs!$B$21+Skills!Q2+(IF(ArtifactsInput!$M$33,CHOOSE(ArtifactsInput!$N$33+1,30,36,42,48,54,60),0))+(IF(AND(ArtifactsInput!$M$35,Inputs!$B$4&lt;&gt;"Chapter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Skills!A3</f>
        <v/>
      </c>
      <c r="B893">
        <f>Skills!B3</f>
        <v/>
      </c>
      <c r="C893">
        <f>Inputs!$B$3&gt;=35</f>
        <v/>
      </c>
      <c r="D893">
        <f>IF(Skills!C3=1,60+Inputs!$B$25+Inputs!$B$29,IF(Skills!C3=2,90+Inputs!$B$26+Inputs!$B$29,IF(Skills!C3=3,120+Inputs!$B$27+Inputs!$B$29,MAX(0,(Inputs!$B$3-100)*3)+Inputs!$B$28+Inputs!$B$29)))</f>
        <v/>
      </c>
      <c r="E893">
        <f>INDEX(FactorTable!$B$2:$Y$301, MATCH(ROUND(MIN(300,MAX(1,D893)),0), FactorTable!$A$2:$A$301,0), Skills!M3+1)</f>
        <v/>
      </c>
      <c r="F893">
        <f>IF(Skills!N3=TRUE,(Skills!L3/10)*(E893/1000),Skills!L3/10)+Skills!O3</f>
        <v/>
      </c>
      <c r="G893">
        <f>Skills!G3*IF(Skills!H3&gt;0,Skills!I3/Skills!H3,1)</f>
        <v/>
      </c>
      <c r="H893">
        <f>1-(1-Skills!J3/100)^Skills!K3</f>
        <v/>
      </c>
      <c r="I893" t="inlineStr">
        <is>
          <t>1</t>
        </is>
      </c>
      <c r="J893">
        <f>(((Inputs!$B$6+1)*(1+Inputs!$B$7/100))+(((Inputs!$B$12*(1+Inputs!$B$13/100))-(Inputs!$B$12*(1+Inputs!$B$13/100)))+0.25*(Inputs!$B$14-Inputs!$B$14))*(1+Inputs!$B$7/100))*(F893/100)</f>
        <v/>
      </c>
      <c r="K893">
        <f>J893*(1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893)</f>
        <v/>
      </c>
      <c r="L893">
        <f>K893*(MIN(Inputs!$B$22+((C910=TRUE)*(F910-Calc!F20)),(Inputs!$B$23+0+(IF(ArtifactsInput!$M$15,CHOOSE(ArtifactsInput!$N$15+1,25,30,35,40,45,50)/100*(Inputs!$B$11-Inputs!$B$11),0))))/100+(Inputs!$B$23+0+(IF(ArtifactsInput!$M$15,CHOOSE(ArtifactsInput!$N$15+1,25,30,35,40,45,50)/100*(Inputs!$B$11-Inputs!$B$11),0)))/100)/2</f>
        <v/>
      </c>
      <c r="M893">
        <f>L893*(1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3">
        <f>L893*(1-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893*(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3">
        <f>(1-Summary!$B$11)*T893+Summary!$B$11*V893</f>
        <v/>
      </c>
      <c r="P893">
        <f>IF(B926=0,0,O893/B926)</f>
        <v/>
      </c>
      <c r="Q893" t="n">
        <v>0</v>
      </c>
      <c r="R893" t="n">
        <v>0</v>
      </c>
      <c r="S893">
        <f>IFERROR(O893/N893,0)</f>
        <v/>
      </c>
      <c r="T893">
        <f>IF(C893,(Skills!G3*H893*N893*B920)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893*(1-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893*(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893*(1-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893*(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3">
        <f>INDEX(FactorTable!$B$2:$Y$301, MATCH(ROUND(MIN(300,MAX(1,U892)),0), FactorTable!$A$2:$A$301,0), 22)</f>
        <v/>
      </c>
      <c r="V893">
        <f>IF(C893,(Skills!G3*H893*N893*B920)*IF(Inputs!$B$38="pvp",1,(1+(Inputs!$B$21+Skills!Q3+(IF(ArtifactsInput!$M$33,CHOOSE(ArtifactsInput!$N$33+1,30,36,42,48,54,60),0))+(IF(AND(ArtifactsInput!$M$35,Inputs!$B$4&lt;&gt;"Chapter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4">
      <c r="A894">
        <f>Skills!A4</f>
        <v/>
      </c>
      <c r="B894">
        <f>Skills!B4</f>
        <v/>
      </c>
      <c r="C894">
        <f>Inputs!$B$3&gt;=60</f>
        <v/>
      </c>
      <c r="D894">
        <f>IF(Skills!C4=1,60+Inputs!$B$25+Inputs!$B$29,IF(Skills!C4=2,90+Inputs!$B$26+Inputs!$B$29,IF(Skills!C4=3,120+Inputs!$B$27+Inputs!$B$29,MAX(0,(Inputs!$B$3-100)*3)+Inputs!$B$28+Inputs!$B$29)))</f>
        <v/>
      </c>
      <c r="E894">
        <f>INDEX(FactorTable!$B$2:$Y$301, MATCH(ROUND(MIN(300,MAX(1,D894)),0), FactorTable!$A$2:$A$301,0), Skills!M4+1)</f>
        <v/>
      </c>
      <c r="F894">
        <f>IF(Skills!N4=TRUE,(Skills!L4/10)*(E894/1000),Skills!L4/10)+Skills!O4</f>
        <v/>
      </c>
      <c r="G894">
        <f>Skills!G4*IF(Skills!H4&gt;0,Skills!I4/Skills!H4,1)</f>
        <v/>
      </c>
      <c r="H894">
        <f>1-(1-Skills!J4/100)^Skills!K4</f>
        <v/>
      </c>
      <c r="I894" t="inlineStr">
        <is>
          <t>1</t>
        </is>
      </c>
      <c r="J894">
        <f>(((Inputs!$B$6+1)*(1+Inputs!$B$7/100))+(((Inputs!$B$12*(1+Inputs!$B$13/100))-(Inputs!$B$12*(1+Inputs!$B$13/100)))+0.25*(Inputs!$B$14-Inputs!$B$14))*(1+Inputs!$B$7/100))*(F894/100)</f>
        <v/>
      </c>
      <c r="K894">
        <f>J894*(1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902=TRUE,F902,0)/100)*(1+(IF(Skills!A4="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894)</f>
        <v/>
      </c>
      <c r="L894">
        <f>K894*(MIN(Inputs!$B$22+((C910=TRUE)*(F910-Calc!F20)),(Inputs!$B$23+0+(IF(ArtifactsInput!$M$15,CHOOSE(ArtifactsInput!$N$15+1,25,30,35,40,45,50)/100*(Inputs!$B$11-Inputs!$B$11),0))))/100+(Inputs!$B$23+0+(IF(ArtifactsInput!$M$15,CHOOSE(ArtifactsInput!$N$15+1,25,30,35,40,45,50)/100*(Inputs!$B$11-Inputs!$B$11),0)))/100)/2</f>
        <v/>
      </c>
      <c r="M894">
        <f>L894*(1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4">
        <f>L894*(1-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894*(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4">
        <f>(1-Summary!$B$11)*T894+Summary!$B$11*V894</f>
        <v/>
      </c>
      <c r="P894">
        <f>IF(B926=0,0,O894/B926)</f>
        <v/>
      </c>
      <c r="Q894" t="n">
        <v>0</v>
      </c>
      <c r="R894" t="n">
        <v>0</v>
      </c>
      <c r="S894">
        <f>IFERROR(O894/N894,0)</f>
        <v/>
      </c>
      <c r="T894">
        <f>IF(C894,(Skills!G4*H894*N894*B920)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894*(1-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894*(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894*(1-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894*(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94">
        <f>290*U893/1000</f>
        <v/>
      </c>
      <c r="V894">
        <f>IF(C894,(Skills!G4*H894*N894*B920)*IF(Inputs!$B$38="pvp",1,(1+(Inputs!$B$21+Skills!Q4+(IF(ArtifactsInput!$M$33,CHOOSE(ArtifactsInput!$N$33+1,30,36,42,48,54,60),0))+(IF(AND(ArtifactsInput!$M$35,Inputs!$B$4&lt;&gt;"Chapter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5">
      <c r="A895">
        <f>Skills!A5</f>
        <v/>
      </c>
      <c r="B895">
        <f>Skills!B5</f>
        <v/>
      </c>
      <c r="C895">
        <f>Inputs!$B$3&gt;=60</f>
        <v/>
      </c>
      <c r="D895">
        <f>IF(Skills!C5=1,60+Inputs!$B$25+Inputs!$B$29,IF(Skills!C5=2,90+Inputs!$B$26+Inputs!$B$29,IF(Skills!C5=3,120+Inputs!$B$27+Inputs!$B$29,MAX(0,(Inputs!$B$3-100)*3)+Inputs!$B$28+Inputs!$B$29)))</f>
        <v/>
      </c>
      <c r="E895">
        <f>INDEX(FactorTable!$B$2:$Y$301, MATCH(ROUND(MIN(300,MAX(1,D895)),0), FactorTable!$A$2:$A$301,0), Skills!M5+1)</f>
        <v/>
      </c>
      <c r="F895">
        <f>IF(Skills!N5=TRUE,(Skills!L5/10)*(E895/1000),Skills!L5/10)+Skills!O5</f>
        <v/>
      </c>
      <c r="G895">
        <f>Skills!G5*IF(Skills!H5&gt;0,Skills!I5/Skills!H5,1)</f>
        <v/>
      </c>
      <c r="H895">
        <f>1-(1-Skills!J5/100)^Skills!K5</f>
        <v/>
      </c>
      <c r="I895" t="inlineStr">
        <is>
          <t>1</t>
        </is>
      </c>
      <c r="J895" t="inlineStr"/>
      <c r="K895" t="inlineStr"/>
      <c r="L895" t="inlineStr"/>
      <c r="M895" t="inlineStr"/>
      <c r="N895" t="inlineStr"/>
      <c r="O895">
        <f>(1-Summary!$B$11)*T895+Summary!$B$11*V895</f>
        <v/>
      </c>
      <c r="P895">
        <f>IF(B926=0,0,O895/B926)</f>
        <v/>
      </c>
      <c r="Q895" t="n">
        <v>0</v>
      </c>
      <c r="R895" t="n">
        <v>0</v>
      </c>
      <c r="S895">
        <f>IFERROR(O895/N895,0)</f>
        <v/>
      </c>
      <c r="T895" t="n">
        <v>0</v>
      </c>
      <c r="V895" t="n">
        <v>0</v>
      </c>
    </row>
    <row r="896">
      <c r="A896">
        <f>Skills!A6</f>
        <v/>
      </c>
      <c r="B896">
        <f>Skills!B6</f>
        <v/>
      </c>
      <c r="C896">
        <f>Inputs!$B$3&gt;=63</f>
        <v/>
      </c>
      <c r="D896">
        <f>IF(Skills!C6=1,60+Inputs!$B$25+Inputs!$B$29,IF(Skills!C6=2,90+Inputs!$B$26+Inputs!$B$29,IF(Skills!C6=3,120+Inputs!$B$27+Inputs!$B$29,MAX(0,(Inputs!$B$3-100)*3)+Inputs!$B$28+Inputs!$B$29)))</f>
        <v/>
      </c>
      <c r="E896">
        <f>INDEX(FactorTable!$B$2:$Y$301, MATCH(ROUND(MIN(300,MAX(1,D896)),0), FactorTable!$A$2:$A$301,0), Skills!M6+1)</f>
        <v/>
      </c>
      <c r="F896">
        <f>IF(Skills!N6=TRUE,(Skills!L6/10)*(E896/1000),Skills!L6/10)+Skills!O6</f>
        <v/>
      </c>
      <c r="G896">
        <f>Skills!G6*IF(Skills!H6&gt;0,Skills!I6/Skills!H6,1)</f>
        <v/>
      </c>
      <c r="H896">
        <f>1-(1-Skills!J6/100)^Skills!K6</f>
        <v/>
      </c>
      <c r="I896" t="inlineStr">
        <is>
          <t>1</t>
        </is>
      </c>
      <c r="J896">
        <f>(((Inputs!$B$6+1)*(1+Inputs!$B$7/100))+(((Inputs!$B$12*(1+Inputs!$B$13/100))-(Inputs!$B$12*(1+Inputs!$B$13/100)))+0.25*(Inputs!$B$14-Inputs!$B$14))*(1+Inputs!$B$7/100))*(F896/100)</f>
        <v/>
      </c>
      <c r="K896">
        <f>J896*(1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902=TRUE,F902,0)/100)*(1+(IF(Skills!A6="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896)</f>
        <v/>
      </c>
      <c r="L896">
        <f>K896*(MIN(Inputs!$B$22+((C910=TRUE)*(F910-Calc!F20)),(Inputs!$B$23+0+(IF(ArtifactsInput!$M$15,CHOOSE(ArtifactsInput!$N$15+1,25,30,35,40,45,50)/100*(Inputs!$B$11-Inputs!$B$11),0))))/100+(Inputs!$B$23+0+(IF(ArtifactsInput!$M$15,CHOOSE(ArtifactsInput!$N$15+1,25,30,35,40,45,50)/100*(Inputs!$B$11-Inputs!$B$11),0)))/100)/2</f>
        <v/>
      </c>
      <c r="M896">
        <f>L896*(1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6">
        <f>L896*(1-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896*(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6">
        <f>(1-Summary!$B$11)*T896+Summary!$B$11*V896</f>
        <v/>
      </c>
      <c r="P896">
        <f>IF(B926=0,0,O896/B926)</f>
        <v/>
      </c>
      <c r="Q896">
        <f>IFERROR(1/(IF(Inputs!$B$38="pvp",15,MAX(0.1,Skills!D6-IF(Skills!E6=TRUE,Inputs!$B$32,0)))*(1-IF(AND(ArtifactsInput!$M$27,Inputs!$B$4="Chapter Hunt"),CHOOSE(ArtifactsInput!$N$27+1,20,24,28,32,36,40),0)/100)),0)</f>
        <v/>
      </c>
      <c r="R896">
        <f>IF(AND(Inputs!$B$38&lt;&gt;"pvp",Inputs!$B$43&gt;0),IF(MAX(0,Inputs!$B$43-B923)&lt;=0,0,(INT(MAX(0,Inputs!$B$43-B923)/(IF(Inputs!$B$38="pvp",15,MAX(0.1,Skills!D6-IF(Skills!E6=TRUE,Inputs!$B$32,0)))*(1-IF(AND(ArtifactsInput!$M$27,Inputs!$B$4="Chapter Hunt"),CHOOSE(ArtifactsInput!$N$27+1,20,24,28,32,36,40),0)/100)))+1)),0)</f>
        <v/>
      </c>
      <c r="S896">
        <f>IFERROR(O896/N896,0)</f>
        <v/>
      </c>
      <c r="T896">
        <f>IF(C896,(H896*N896*IF(AND(Inputs!$B$38&lt;&gt;"pvp",Inputs!$B$43&gt;0),((Skills!G6*((R896-1)*IF(Skills!H6&gt;0,Skills!I6/Skills!H6,1)+IF(Skills!H6&gt;0,MIN(Skills!I6,MAX(0,MAX(0,Inputs!$B$43-B923)-((R896-1)*(IF(Inputs!$B$38="pvp",15,MAX(0.1,Skills!D6-IF(Skills!E6=TRUE,Inputs!$B$32,0)))*(1-IF(AND(ArtifactsInput!$M$27,Inputs!$B$4="Chapter Hunt"),CHOOSE(ArtifactsInput!$N$27+1,20,24,28,32,36,40),0)/100)))))/Skills!H6,1)))/Inputs!$B$43),G896*Q896)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896*(1-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896*(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896*(1-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896*(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6">
        <f>IF(C896,(H896*N896*IF(AND(Inputs!$B$38&lt;&gt;"pvp",Inputs!$B$43&gt;0),((Skills!G6*((R896-1)*IF(Skills!H6&gt;0,Skills!I6/Skills!H6,1)+IF(Skills!H6&gt;0,MIN(Skills!I6,MAX(0,MAX(0,Inputs!$B$43-B923)-((R896-1)*(IF(Inputs!$B$38="pvp",15,MAX(0.1,Skills!D6-IF(Skills!E6=TRUE,Inputs!$B$32,0)))*(1-IF(AND(ArtifactsInput!$M$27,Inputs!$B$4="Chapter Hunt"),CHOOSE(ArtifactsInput!$N$27+1,20,24,28,32,36,40),0)/100)))))/Skills!H6,1)))/Inputs!$B$43),G896*Q896))*IF(Inputs!$B$38="pvp",1,(1+(Inputs!$B$21+Skills!Q6+(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7">
      <c r="A897">
        <f>Skills!A7</f>
        <v/>
      </c>
      <c r="B897">
        <f>Skills!B7</f>
        <v/>
      </c>
      <c r="C897">
        <f>Inputs!$B$3&gt;=100</f>
        <v/>
      </c>
      <c r="D897">
        <f>IF(Skills!C7=1,60+Inputs!$B$25+Inputs!$B$29,IF(Skills!C7=2,90+Inputs!$B$26+Inputs!$B$29,IF(Skills!C7=3,120+Inputs!$B$27+Inputs!$B$29,MAX(0,(Inputs!$B$3-100)*3)+Inputs!$B$28+Inputs!$B$29)))</f>
        <v/>
      </c>
      <c r="E897">
        <f>INDEX(FactorTable!$B$2:$Y$301, MATCH(ROUND(MIN(300,MAX(1,D897)),0), FactorTable!$A$2:$A$301,0), Skills!M7+1)</f>
        <v/>
      </c>
      <c r="F897">
        <f>IF(Skills!N7=TRUE,(Skills!L7/10)*(E897/1000),Skills!L7/10)+Skills!O7</f>
        <v/>
      </c>
      <c r="G897">
        <f>Skills!G7*IF(Skills!H7&gt;0,Skills!I7/Skills!H7,1)</f>
        <v/>
      </c>
      <c r="H897">
        <f>1-(1-Skills!J7/100)^Skills!K7</f>
        <v/>
      </c>
      <c r="I897" t="inlineStr">
        <is>
          <t>1</t>
        </is>
      </c>
      <c r="J897">
        <f>(((Inputs!$B$6+1)*(1+Inputs!$B$7/100))+(((Inputs!$B$12*(1+Inputs!$B$13/100))-(Inputs!$B$12*(1+Inputs!$B$13/100)))+0.25*(Inputs!$B$14-Inputs!$B$14))*(1+Inputs!$B$7/100))*(F897/100)</f>
        <v/>
      </c>
      <c r="K897">
        <f>J897*(1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897)</f>
        <v/>
      </c>
      <c r="L897">
        <f>K897*(MIN(Inputs!$B$22+((C910=TRUE)*(F910-Calc!F20)),(Inputs!$B$23+0+(IF(ArtifactsInput!$M$15,CHOOSE(ArtifactsInput!$N$15+1,25,30,35,40,45,50)/100*(Inputs!$B$11-Inputs!$B$11),0))))/100+(Inputs!$B$23+0+(IF(ArtifactsInput!$M$15,CHOOSE(ArtifactsInput!$N$15+1,25,30,35,40,45,50)/100*(Inputs!$B$11-Inputs!$B$11),0)))/100)/2</f>
        <v/>
      </c>
      <c r="M897">
        <f>L897*(1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7">
        <f>L897*(1-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897*(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7">
        <f>(1-Summary!$B$11)*T897+Summary!$B$11*V897</f>
        <v/>
      </c>
      <c r="P897">
        <f>IF(B926=0,0,O897/B926)</f>
        <v/>
      </c>
      <c r="Q897">
        <f>IFERROR(1/(IF(Inputs!$B$38="pvp",15,MAX(0.1,Skills!D7-IF(Skills!E7=TRUE,Inputs!$B$32,0)))*(1-IF(AND(ArtifactsInput!$M$27,Inputs!$B$4="Chapter Hunt"),CHOOSE(ArtifactsInput!$N$27+1,20,24,28,32,36,40),0)/100)),0)</f>
        <v/>
      </c>
      <c r="R897">
        <f>IF(AND(Inputs!$B$38&lt;&gt;"pvp",Inputs!$B$43&gt;0),IF(MAX(0,Inputs!$B$43-B923)&lt;=0,0,(INT(MAX(0,Inputs!$B$43-B923)/(IF(Inputs!$B$38="pvp",15,MAX(0.1,Skills!D7-IF(Skills!E7=TRUE,Inputs!$B$32,0)))*(1-IF(AND(ArtifactsInput!$M$27,Inputs!$B$4="Chapter Hunt"),CHOOSE(ArtifactsInput!$N$27+1,20,24,28,32,36,40),0)/100)))+1)),0)</f>
        <v/>
      </c>
      <c r="S897">
        <f>IFERROR(O897/N897,0)</f>
        <v/>
      </c>
      <c r="T897">
        <f>IF(C897,(H897*N897*IF(AND(Inputs!$B$38&lt;&gt;"pvp",Inputs!$B$43&gt;0),((Skills!G7*((R897-1)*IF(Skills!H7&gt;0,Skills!I7/Skills!H7,1)+IF(Skills!H7&gt;0,MIN(Skills!I7,MAX(0,MAX(0,Inputs!$B$43-B923)-((R897-1)*(IF(Inputs!$B$38="pvp",15,MAX(0.1,Skills!D7-IF(Skills!E7=TRUE,Inputs!$B$32,0)))*(1-IF(AND(ArtifactsInput!$M$27,Inputs!$B$4="Chapter Hunt"),CHOOSE(ArtifactsInput!$N$27+1,20,24,28,32,36,40),0)/100)))))/Skills!H7,1)))/Inputs!$B$43),G897*Q897)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897*(1-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897*(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897*(1-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897*(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7">
        <f>IF(C897,(H897*N897*IF(AND(Inputs!$B$38&lt;&gt;"pvp",Inputs!$B$43&gt;0),((Skills!G7*((R897-1)*IF(Skills!H7&gt;0,Skills!I7/Skills!H7,1)+IF(Skills!H7&gt;0,MIN(Skills!I7,MAX(0,MAX(0,Inputs!$B$43-B923)-((R897-1)*(IF(Inputs!$B$38="pvp",15,MAX(0.1,Skills!D7-IF(Skills!E7=TRUE,Inputs!$B$32,0)))*(1-IF(AND(ArtifactsInput!$M$27,Inputs!$B$4="Chapter Hunt"),CHOOSE(ArtifactsInput!$N$27+1,20,24,28,32,36,40),0)/100)))))/Skills!H7,1)))/Inputs!$B$43),G897*Q897))*IF(Inputs!$B$38="pvp",1,(1+(Inputs!$B$21+Skills!Q7+(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8">
      <c r="A898">
        <f>Skills!A8</f>
        <v/>
      </c>
      <c r="B898">
        <f>Skills!B8</f>
        <v/>
      </c>
      <c r="C898">
        <f>Inputs!$B$3&gt;=110</f>
        <v/>
      </c>
      <c r="D898">
        <f>IF(Skills!C8=1,60+Inputs!$B$25+Inputs!$B$29,IF(Skills!C8=2,90+Inputs!$B$26+Inputs!$B$29,IF(Skills!C8=3,120+Inputs!$B$27+Inputs!$B$29,MAX(0,(Inputs!$B$3-100)*3)+Inputs!$B$28+Inputs!$B$29)))</f>
        <v/>
      </c>
      <c r="E898">
        <f>INDEX(FactorTable!$B$2:$Y$301, MATCH(ROUND(MIN(300,MAX(1,D898)),0), FactorTable!$A$2:$A$301,0), Skills!M8+1)</f>
        <v/>
      </c>
      <c r="F898">
        <f>IF(Skills!N8=TRUE,(Skills!L8/10)*(E898/1000),Skills!L8/10)+Skills!O8</f>
        <v/>
      </c>
      <c r="G898">
        <f>Skills!G8*IF(Skills!H8&gt;0,Skills!I8/Skills!H8,1)</f>
        <v/>
      </c>
      <c r="H898">
        <f>1-(1-Skills!J8/100)^Skills!K8</f>
        <v/>
      </c>
      <c r="I898" t="inlineStr">
        <is>
          <t>1</t>
        </is>
      </c>
      <c r="J898">
        <f>(((Inputs!$B$6+1)*(1+Inputs!$B$7/100))+(((Inputs!$B$12*(1+Inputs!$B$13/100))-(Inputs!$B$12*(1+Inputs!$B$13/100)))+0.25*(Inputs!$B$14-Inputs!$B$14))*(1+Inputs!$B$7/100))*(F898/100)</f>
        <v/>
      </c>
      <c r="K898">
        <f>J898*(1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898)</f>
        <v/>
      </c>
      <c r="L898">
        <f>K898*(MIN(Inputs!$B$22+((C910=TRUE)*(F910-Calc!F20)),(Inputs!$B$23+0+(IF(ArtifactsInput!$M$15,CHOOSE(ArtifactsInput!$N$15+1,25,30,35,40,45,50)/100*(Inputs!$B$11-Inputs!$B$11),0))))/100+(Inputs!$B$23+0+(IF(ArtifactsInput!$M$15,CHOOSE(ArtifactsInput!$N$15+1,25,30,35,40,45,50)/100*(Inputs!$B$11-Inputs!$B$11),0)))/100)/2</f>
        <v/>
      </c>
      <c r="M898">
        <f>L898*(1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8">
        <f>L898*(1-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898*(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8">
        <f>(1-Summary!$B$11)*T898+Summary!$B$11*V898</f>
        <v/>
      </c>
      <c r="P898">
        <f>IF(B926=0,0,O898/B926)</f>
        <v/>
      </c>
      <c r="Q898">
        <f>IFERROR(1/(IF(Inputs!$B$38="pvp",15,MAX(0.1,Skills!D8-IF(Skills!E8=TRUE,Inputs!$B$32,0)))*(1-IF(AND(ArtifactsInput!$M$27,Inputs!$B$4="Chapter Hunt"),CHOOSE(ArtifactsInput!$N$27+1,20,24,28,32,36,40),0)/100)),0)</f>
        <v/>
      </c>
      <c r="R898">
        <f>IF(AND(Inputs!$B$38&lt;&gt;"pvp",Inputs!$B$43&gt;0),IF(MAX(0,Inputs!$B$43-B923)&lt;=0,0,(INT(MAX(0,Inputs!$B$43-B923)/(IF(Inputs!$B$38="pvp",15,MAX(0.1,Skills!D8-IF(Skills!E8=TRUE,Inputs!$B$32,0)))*(1-IF(AND(ArtifactsInput!$M$27,Inputs!$B$4="Chapter Hunt"),CHOOSE(ArtifactsInput!$N$27+1,20,24,28,32,36,40),0)/100)))+1)),0)</f>
        <v/>
      </c>
      <c r="S898">
        <f>IFERROR(O898/N898,0)</f>
        <v/>
      </c>
      <c r="T898">
        <f>IF(C898,(H898*N898*IF(AND(Inputs!$B$38&lt;&gt;"pvp",Inputs!$B$43&gt;0),((Skills!G8*((R898-1)*IF(Skills!H8&gt;0,Skills!I8/Skills!H8,1)+IF(Skills!H8&gt;0,MIN(Skills!I8,MAX(0,MAX(0,Inputs!$B$43-B923)-((R898-1)*(IF(Inputs!$B$38="pvp",15,MAX(0.1,Skills!D8-IF(Skills!E8=TRUE,Inputs!$B$32,0)))*(1-IF(AND(ArtifactsInput!$M$27,Inputs!$B$4="Chapter Hunt"),CHOOSE(ArtifactsInput!$N$27+1,20,24,28,32,36,40),0)/100)))))/Skills!H8,1)))/Inputs!$B$43),G898*Q898)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898*(1-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898*(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898*(1-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898*(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8">
        <f>IF(C898,(H898*N898*IF(AND(Inputs!$B$38&lt;&gt;"pvp",Inputs!$B$43&gt;0),((Skills!G8*((R898-1)*IF(Skills!H8&gt;0,Skills!I8/Skills!H8,1)+IF(Skills!H8&gt;0,MIN(Skills!I8,MAX(0,MAX(0,Inputs!$B$43-B923)-((R898-1)*(IF(Inputs!$B$38="pvp",15,MAX(0.1,Skills!D8-IF(Skills!E8=TRUE,Inputs!$B$32,0)))*(1-IF(AND(ArtifactsInput!$M$27,Inputs!$B$4="Chapter Hunt"),CHOOSE(ArtifactsInput!$N$27+1,20,24,28,32,36,40),0)/100)))))/Skills!H8,1)))/Inputs!$B$43),G898*Q898))*IF(Inputs!$B$38="pvp",1,(1+(Inputs!$B$21+Skills!Q8+(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9">
      <c r="A899">
        <f>Skills!A9</f>
        <v/>
      </c>
      <c r="B899">
        <f>Skills!B9</f>
        <v/>
      </c>
      <c r="C899">
        <f>Inputs!$B$3&gt;=110</f>
        <v/>
      </c>
      <c r="D899">
        <f>IF(Skills!C9=1,60+Inputs!$B$25+Inputs!$B$29,IF(Skills!C9=2,90+Inputs!$B$26+Inputs!$B$29,IF(Skills!C9=3,120+Inputs!$B$27+Inputs!$B$29,MAX(0,(Inputs!$B$3-100)*3)+Inputs!$B$28+Inputs!$B$29)))</f>
        <v/>
      </c>
      <c r="E899">
        <f>INDEX(FactorTable!$B$2:$Y$301, MATCH(ROUND(MIN(300,MAX(1,D899)),0), FactorTable!$A$2:$A$301,0), Skills!M9+1)</f>
        <v/>
      </c>
      <c r="F899">
        <f>IF(Skills!N9=TRUE,(Skills!L9/10)*(E899/1000),Skills!L9/10)+Skills!O9</f>
        <v/>
      </c>
      <c r="G899">
        <f>Skills!G9*IF(Skills!H9&gt;0,Skills!I9/Skills!H9,1)</f>
        <v/>
      </c>
      <c r="H899">
        <f>1-(1-Skills!J9/100)^Skills!K9</f>
        <v/>
      </c>
      <c r="I899" t="inlineStr">
        <is>
          <t>1</t>
        </is>
      </c>
      <c r="J899">
        <f>(((Inputs!$B$6+1)*(1+Inputs!$B$7/100))+(((Inputs!$B$12*(1+Inputs!$B$13/100))-(Inputs!$B$12*(1+Inputs!$B$13/100)))+0.25*(Inputs!$B$14-Inputs!$B$14))*(1+Inputs!$B$7/100))*(F899/100)</f>
        <v/>
      </c>
      <c r="K899">
        <f>J899*(1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899)</f>
        <v/>
      </c>
      <c r="L899">
        <f>K899*(MIN(Inputs!$B$22+((C910=TRUE)*(F910-Calc!F20)),(Inputs!$B$23+0+(IF(ArtifactsInput!$M$15,CHOOSE(ArtifactsInput!$N$15+1,25,30,35,40,45,50)/100*(Inputs!$B$11-Inputs!$B$11),0))))/100+(Inputs!$B$23+0+(IF(ArtifactsInput!$M$15,CHOOSE(ArtifactsInput!$N$15+1,25,30,35,40,45,50)/100*(Inputs!$B$11-Inputs!$B$11),0)))/100)/2</f>
        <v/>
      </c>
      <c r="M899">
        <f>L899*(1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9">
        <f>L899*(1-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899*(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9">
        <f>(1-Summary!$B$11)*T899+Summary!$B$11*V899</f>
        <v/>
      </c>
      <c r="P899">
        <f>IF(B926=0,0,O899/B926)</f>
        <v/>
      </c>
      <c r="Q899">
        <f>IFERROR(1/(IF(Inputs!$B$38="pvp",15,MAX(0.1,Skills!D9-IF(Skills!E9=TRUE,Inputs!$B$32,0)))*(1-IF(AND(ArtifactsInput!$M$27,Inputs!$B$4="Chapter Hunt"),CHOOSE(ArtifactsInput!$N$27+1,20,24,28,32,36,40),0)/100)),0)</f>
        <v/>
      </c>
      <c r="R899">
        <f>IF(AND(Inputs!$B$38&lt;&gt;"pvp",Inputs!$B$43&gt;0),IF(MAX(0,Inputs!$B$43-B923)&lt;=0,0,(INT(MAX(0,Inputs!$B$43-B923)/(IF(Inputs!$B$38="pvp",15,MAX(0.1,Skills!D9-IF(Skills!E9=TRUE,Inputs!$B$32,0)))*(1-IF(AND(ArtifactsInput!$M$27,Inputs!$B$4="Chapter Hunt"),CHOOSE(ArtifactsInput!$N$27+1,20,24,28,32,36,40),0)/100)))+1)),0)</f>
        <v/>
      </c>
      <c r="S899">
        <f>IFERROR(O899/N899,0)</f>
        <v/>
      </c>
      <c r="T899">
        <f>IF(C899,(H899*N899*IF(AND(Inputs!$B$38&lt;&gt;"pvp",Inputs!$B$43&gt;0),((Skills!G9*((R899-1)*IF(Skills!H9&gt;0,Skills!I9/Skills!H9,1)+IF(Skills!H9&gt;0,MIN(Skills!I9,MAX(0,MAX(0,Inputs!$B$43-B923)-((R899-1)*(IF(Inputs!$B$38="pvp",15,MAX(0.1,Skills!D9-IF(Skills!E9=TRUE,Inputs!$B$32,0)))*(1-IF(AND(ArtifactsInput!$M$27,Inputs!$B$4="Chapter Hunt"),CHOOSE(ArtifactsInput!$N$27+1,20,24,28,32,36,40),0)/100)))))/Skills!H9,1)))/Inputs!$B$43),G899*Q899)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899*(1-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899*(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899*(1-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899*(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9">
        <f>IF(C899,(H899*N899*IF(AND(Inputs!$B$38&lt;&gt;"pvp",Inputs!$B$43&gt;0),((Skills!G9*((R899-1)*IF(Skills!H9&gt;0,Skills!I9/Skills!H9,1)+IF(Skills!H9&gt;0,MIN(Skills!I9,MAX(0,MAX(0,Inputs!$B$43-B923)-((R899-1)*(IF(Inputs!$B$38="pvp",15,MAX(0.1,Skills!D9-IF(Skills!E9=TRUE,Inputs!$B$32,0)))*(1-IF(AND(ArtifactsInput!$M$27,Inputs!$B$4="Chapter Hunt"),CHOOSE(ArtifactsInput!$N$27+1,20,24,28,32,36,40),0)/100)))))/Skills!H9,1)))/Inputs!$B$43),G899*Q899))*IF(Inputs!$B$38="pvp",1,(1+(Inputs!$B$21+Skills!Q9+(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0">
      <c r="A900">
        <f>Skills!A10</f>
        <v/>
      </c>
      <c r="B900">
        <f>Skills!B10</f>
        <v/>
      </c>
      <c r="C900">
        <f>Inputs!$B$3&gt;=103</f>
        <v/>
      </c>
      <c r="D900">
        <f>IF(Skills!C10=1,60+Inputs!$B$25+Inputs!$B$29,IF(Skills!C10=2,90+Inputs!$B$26+Inputs!$B$29,IF(Skills!C10=3,120+Inputs!$B$27+Inputs!$B$29,MAX(0,(Inputs!$B$3-100)*3)+Inputs!$B$28+Inputs!$B$29)))</f>
        <v/>
      </c>
      <c r="E900">
        <f>INDEX(FactorTable!$B$2:$Y$301, MATCH(ROUND(MIN(300,MAX(1,D900)),0), FactorTable!$A$2:$A$301,0), Skills!M10+1)</f>
        <v/>
      </c>
      <c r="F900">
        <f>IF(Skills!N10=TRUE,(Skills!L10/10)*(E900/1000),Skills!L10/10)+Skills!O10</f>
        <v/>
      </c>
      <c r="G900">
        <f>Skills!G10*IF(Skills!H10&gt;0,Skills!I10/Skills!H10,1)</f>
        <v/>
      </c>
      <c r="H900">
        <f>1-(1-Skills!J10/100)^Skills!K10</f>
        <v/>
      </c>
      <c r="I900" t="inlineStr">
        <is>
          <t>1</t>
        </is>
      </c>
      <c r="J900">
        <f>(((Inputs!$B$6+1)*(1+Inputs!$B$7/100))+(((Inputs!$B$12*(1+Inputs!$B$13/100))-(Inputs!$B$12*(1+Inputs!$B$13/100)))+0.25*(Inputs!$B$14-Inputs!$B$14))*(1+Inputs!$B$7/100))*(F900/100)</f>
        <v/>
      </c>
      <c r="K900">
        <f>J900*(1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900)</f>
        <v/>
      </c>
      <c r="L900">
        <f>K900*(MIN(Inputs!$B$22+((C910=TRUE)*(F910-Calc!F20)),(Inputs!$B$23+0+(IF(ArtifactsInput!$M$15,CHOOSE(ArtifactsInput!$N$15+1,25,30,35,40,45,50)/100*(Inputs!$B$11-Inputs!$B$11),0))))/100+(Inputs!$B$23+0+(IF(ArtifactsInput!$M$15,CHOOSE(ArtifactsInput!$N$15+1,25,30,35,40,45,50)/100*(Inputs!$B$11-Inputs!$B$11),0)))/100)/2</f>
        <v/>
      </c>
      <c r="M900">
        <f>L900*(1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0">
        <f>L900*(1-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900*(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0">
        <f>(1-Summary!$B$11)*T900+Summary!$B$11*V900</f>
        <v/>
      </c>
      <c r="P900">
        <f>IF(B926=0,0,O900/B926)</f>
        <v/>
      </c>
      <c r="Q900">
        <f>IFERROR(1/(IF(Inputs!$B$38="pvp",15,MAX(0.1,Skills!D10-IF(Skills!E10=TRUE,Inputs!$B$32,0)))*(1-IF(AND(ArtifactsInput!$M$27,Inputs!$B$4="Chapter Hunt"),CHOOSE(ArtifactsInput!$N$27+1,20,24,28,32,36,40),0)/100)),0)</f>
        <v/>
      </c>
      <c r="R900">
        <f>IF(AND(Inputs!$B$38&lt;&gt;"pvp",Inputs!$B$43&gt;0),IF(MAX(0,Inputs!$B$43-B923)&lt;=0,0,(INT(MAX(0,Inputs!$B$43-B923)/(IF(Inputs!$B$38="pvp",15,MAX(0.1,Skills!D10-IF(Skills!E10=TRUE,Inputs!$B$32,0)))*(1-IF(AND(ArtifactsInput!$M$27,Inputs!$B$4="Chapter Hunt"),CHOOSE(ArtifactsInput!$N$27+1,20,24,28,32,36,40),0)/100)))+1)),0)</f>
        <v/>
      </c>
      <c r="S900">
        <f>IFERROR(O900/N900,0)</f>
        <v/>
      </c>
      <c r="T900">
        <f>IF(C900,(H900*N900*IF(AND(Inputs!$B$38&lt;&gt;"pvp",Inputs!$B$43&gt;0),((Skills!G10*((R900-1)*IF(Skills!H10&gt;0,Skills!I10/Skills!H10,1)+IF(Skills!H10&gt;0,MIN(Skills!I10,MAX(0,MAX(0,Inputs!$B$43-B923)-((R900-1)*(IF(Inputs!$B$38="pvp",15,MAX(0.1,Skills!D10-IF(Skills!E10=TRUE,Inputs!$B$32,0)))*(1-IF(AND(ArtifactsInput!$M$27,Inputs!$B$4="Chapter Hunt"),CHOOSE(ArtifactsInput!$N$27+1,20,24,28,32,36,40),0)/100)))))/Skills!H10,1)))/Inputs!$B$43),G900*Q900)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900*(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900*(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0">
        <f>IF(C900,(H900*N900*IF(AND(Inputs!$B$38&lt;&gt;"pvp",Inputs!$B$43&gt;0),((Skills!G10*((R900-1)*IF(Skills!H10&gt;0,Skills!I10/Skills!H10,1)+IF(Skills!H10&gt;0,MIN(Skills!I10,MAX(0,MAX(0,Inputs!$B$43-B923)-((R900-1)*(IF(Inputs!$B$38="pvp",15,MAX(0.1,Skills!D10-IF(Skills!E10=TRUE,Inputs!$B$32,0)))*(1-IF(AND(ArtifactsInput!$M$27,Inputs!$B$4="Chapter Hunt"),CHOOSE(ArtifactsInput!$N$27+1,20,24,28,32,36,40),0)/100)))))/Skills!H10,1)))/Inputs!$B$43),G900*Q900))*IF(Inputs!$B$38="pvp",1,(1+(Inputs!$B$21+Skills!Q10+(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1">
      <c r="A901">
        <f>Skills!A11</f>
        <v/>
      </c>
      <c r="B901">
        <f>Skills!B11</f>
        <v/>
      </c>
      <c r="C901">
        <f>Inputs!$B$3&gt;=113</f>
        <v/>
      </c>
      <c r="D901">
        <f>IF(Skills!C11=1,60+Inputs!$B$25+Inputs!$B$29,IF(Skills!C11=2,90+Inputs!$B$26+Inputs!$B$29,IF(Skills!C11=3,120+Inputs!$B$27+Inputs!$B$29,MAX(0,(Inputs!$B$3-100)*3)+Inputs!$B$28+Inputs!$B$29)))</f>
        <v/>
      </c>
      <c r="E901">
        <f>INDEX(FactorTable!$B$2:$Y$301, MATCH(ROUND(MIN(300,MAX(1,D901)),0), FactorTable!$A$2:$A$301,0), Skills!M11+1)</f>
        <v/>
      </c>
      <c r="F901">
        <f>IF(Skills!N11=TRUE,(Skills!L11/10)*(E901/1000),Skills!L11/10)+Skills!O11</f>
        <v/>
      </c>
      <c r="G901">
        <f>Skills!G11*IF(Skills!H11&gt;0,Skills!I11/Skills!H11,1)</f>
        <v/>
      </c>
      <c r="H901">
        <f>1-(1-Skills!J11/100)^Skills!K11</f>
        <v/>
      </c>
      <c r="I901" t="inlineStr">
        <is>
          <t>1</t>
        </is>
      </c>
      <c r="J901">
        <f>(((Inputs!$B$6+1)*(1+Inputs!$B$7/100))+(((Inputs!$B$12*(1+Inputs!$B$13/100))-(Inputs!$B$12*(1+Inputs!$B$13/100)))+0.25*(Inputs!$B$14-Inputs!$B$14))*(1+Inputs!$B$7/100))*(F901/100)</f>
        <v/>
      </c>
      <c r="K901">
        <f>J901*(1+((Inputs!$B$12*(1+Inputs!$B$13/100))*0.01+Inputs!$B$14*0.0025)/100)*(1+Inputs!$B$15/100)*(1+Inputs!$B$16/100)*(5000/(6000+Inputs!$B$42*(1-(100*(1-(1-(Inputs!$B$19+0)/100)*(1-CHOOSE(ArtifactsInput!$N$40+1,5,6,7,8,9,10)/100)^(ArtifactsInput!$M$40-ArtifactsInput!$M$40)))/100)))*(1+(Inputs!$B$24+((C912=TRUE)*(F912-Calc!F22))+B922)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911=TRUE)*(F911-Calc!F21))+(((IF(AND(ArtifactsInput!$M$42,((Inputs!$B$9+((C906=TRUE)*(F906-Calc!F16))+B916+(ArtifactsInput!$M$24-ArtifactsInput!$M$24)*CHOOSE(ArtifactsInput!$N$24+1,10,12,14,16,18,20)+IF(ArtifactsInput!$M$10,CHOOSE(ArtifactsInput!$N$10+1,15,18,21,24,27,30)*(IF(Inputs!$B$38="pvp",MIN(15,15)/15,IF(AND(Inputs!$B$38&lt;&gt;"pvp",Inputs!$B$43&gt;0),MIN(15,Inputs!$B$43)/(Inputs!$B$43),0))),0)))&gt;=100),MIN(100,((Inputs!$B$9+((C906=TRUE)*(F906-Calc!F16))+B916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906=TRUE)*(F906-Calc!F16))+B916+(ArtifactsInput!$M$24-ArtifactsInput!$M$24)*CHOOSE(ArtifactsInput!$N$24+1,10,12,14,16,18,20)+IF(ArtifactsInput!$M$10,CHOOSE(ArtifactsInput!$N$10+1,15,18,21,24,27,30)*(IF(Inputs!$B$38="pvp",MIN(15,15)/15,IF(AND(Inputs!$B$38&lt;&gt;"pvp",Inputs!$B$43&gt;0),MIN(15,Inputs!$B$43)/(Inputs!$B$43),0))),0)))&gt;=100),CHOOSE(ArtifactsInput!$N$42+1,40,48,56,64,72,80),0))))/100)*((1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901)</f>
        <v/>
      </c>
      <c r="L901">
        <f>K901*(MIN(Inputs!$B$22+((C910=TRUE)*(F910-Calc!F20)),(Inputs!$B$23+0+(IF(ArtifactsInput!$M$15,CHOOSE(ArtifactsInput!$N$15+1,25,30,35,40,45,50)/100*(Inputs!$B$11-Inputs!$B$11),0))))/100+(Inputs!$B$23+0+(IF(ArtifactsInput!$M$15,CHOOSE(ArtifactsInput!$N$15+1,25,30,35,40,45,50)/100*(Inputs!$B$11-Inputs!$B$11),0)))/100)/2</f>
        <v/>
      </c>
      <c r="M901">
        <f>L901*(1+(Inputs!$B$10+0+B921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01">
        <f>L901*(1-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901*(MIN((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01">
        <f>(1-Summary!$B$11)*T901+Summary!$B$11*V901</f>
        <v/>
      </c>
      <c r="P901">
        <f>IF(B926=0,0,O901/B926)</f>
        <v/>
      </c>
      <c r="Q901">
        <f>IFERROR(1/(IF(Inputs!$B$38="pvp",15,MAX(0.1,Skills!D11-IF(Skills!E11=TRUE,Inputs!$B$32,0)))*(1-IF(AND(ArtifactsInput!$M$27,Inputs!$B$4="Chapter Hunt"),CHOOSE(ArtifactsInput!$N$27+1,20,24,28,32,36,40),0)/100)),0)</f>
        <v/>
      </c>
      <c r="R901">
        <f>IF(AND(Inputs!$B$38&lt;&gt;"pvp",Inputs!$B$43&gt;0),IF(MAX(0,Inputs!$B$43-B923)&lt;=0,0,(INT(MAX(0,Inputs!$B$43-B923)/(IF(Inputs!$B$38="pvp",15,MAX(0.1,Skills!D11-IF(Skills!E11=TRUE,Inputs!$B$32,0)))*(1-IF(AND(ArtifactsInput!$M$27,Inputs!$B$4="Chapter Hunt"),CHOOSE(ArtifactsInput!$N$27+1,20,24,28,32,36,40),0)/100)))+1)),0)</f>
        <v/>
      </c>
      <c r="S901">
        <f>IFERROR(O901/N901,0)</f>
        <v/>
      </c>
      <c r="T901">
        <f>IF(C901,(H901*N901*IF(AND(Inputs!$B$38&lt;&gt;"pvp",Inputs!$B$43&gt;0),((Skills!G11*((R901-1)*IF(Skills!H11&gt;0,Skills!I11/Skills!H11,1)+IF(Skills!H11&gt;0,MIN(Skills!I11,MAX(0,MAX(0,Inputs!$B$43-B923)-((R901-1)*(IF(Inputs!$B$38="pvp",15,MAX(0.1,Skills!D11-IF(Skills!E11=TRUE,Inputs!$B$32,0)))*(1-IF(AND(ArtifactsInput!$M$27,Inputs!$B$4="Chapter Hunt"),CHOOSE(ArtifactsInput!$N$27+1,20,24,28,32,36,40),0)/100)))))/Skills!H11,1)))/Inputs!$B$43),G901*Q901)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901*(1-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901*(1-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901*(MIN(100,(Inputs!$B$9+((C906=TRUE)*(F906-Calc!F16))+B916+(ArtifactsInput!$M$24-ArtifactsInput!$M$24)*CHOOSE(ArtifactsInput!$N$24+1,10,12,14,16,18,20)+(IF(AND(ArtifactsInput!$M$42,((Inputs!$B$9+((C906=TRUE)*(F906-Calc!F16))+B916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01">
        <f>IF(C901,(H901*N901*IF(AND(Inputs!$B$38&lt;&gt;"pvp",Inputs!$B$43&gt;0),((Skills!G11*((R901-1)*IF(Skills!H11&gt;0,Skills!I11/Skills!H11,1)+IF(Skills!H11&gt;0,MIN(Skills!I11,MAX(0,MAX(0,Inputs!$B$43-B923)-((R901-1)*(IF(Inputs!$B$38="pvp",15,MAX(0.1,Skills!D11-IF(Skills!E11=TRUE,Inputs!$B$32,0)))*(1-IF(AND(ArtifactsInput!$M$27,Inputs!$B$4="Chapter Hunt"),CHOOSE(ArtifactsInput!$N$27+1,20,24,28,32,36,40),0)/100)))))/Skills!H11,1)))/Inputs!$B$43),G901*Q901))*IF(Inputs!$B$38="pvp",1,(1+(Inputs!$B$21+Skills!Q11+(IF(ArtifactsInput!$M$33,CHOOSE(ArtifactsInput!$N$33+1,30,36,42,48,54,60),0))+(IF(AND(ArtifactsInput!$M$35,Inputs!$B$4&lt;&gt;"Chapter Hunt"),CHOOSE(ArtifactsInput!$N$35+1,15,18,21,24,27,30)*(1-EXP(-(0.2*B918)*5)),0)+IF(AND(ArtifactsInput!$M$22,Inputs!$B$4&lt;&gt;"Chapter Hunt"),CHOOSE(ArtifactsInput!$N$22+1,10,12,14,16,18,20)*((0*(((0.15*B918*5))^0/1)+1*(((0.15*B918*5))^1/1)+2*(((0.15*B918*5))^2/2)+3*(((0.15*B918*5))^3/6)+4*(((0.15*B918*5))^4/24)+5*(((0.15*B918*5))^5/120))/((((0.15*B918*5))^0/1)+(((0.15*B918*5))^1/1)+(((0.15*B918*5))^2/2)+(((0.15*B918*5))^3/6)+(((0.15*B918*5))^4/24)+(((0.15*B918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02">
      <c r="A902">
        <f>Skills!A12</f>
        <v/>
      </c>
      <c r="B902">
        <f>Skills!B12</f>
        <v/>
      </c>
      <c r="C902">
        <f>Inputs!$B$3&gt;=100</f>
        <v/>
      </c>
      <c r="D902">
        <f>IF(Skills!C12=1,60+Inputs!$B$25+Inputs!$B$29,IF(Skills!C12=2,90+Inputs!$B$26+Inputs!$B$29,IF(Skills!C12=3,120+Inputs!$B$27+Inputs!$B$29,MAX(0,(Inputs!$B$3-100)*3)+Inputs!$B$28+Inputs!$B$29)))</f>
        <v/>
      </c>
      <c r="E902">
        <f>INDEX(FactorTable!$B$2:$Y$301, MATCH(ROUND(MIN(300,MAX(1,D902)),0), FactorTable!$A$2:$A$301,0), Skills!M12+1)</f>
        <v/>
      </c>
      <c r="F902">
        <f>IF(Skills!N12=TRUE,(Skills!L12/10)*(E902/1000),Skills!L12/10)+Skills!O12</f>
        <v/>
      </c>
      <c r="G902" t="inlineStr"/>
      <c r="H902" t="inlineStr"/>
      <c r="I902" t="inlineStr">
        <is>
          <t>1</t>
        </is>
      </c>
      <c r="J902" t="inlineStr"/>
      <c r="K902" t="inlineStr"/>
      <c r="L902" t="inlineStr"/>
      <c r="M902" t="inlineStr"/>
      <c r="N902" t="inlineStr"/>
      <c r="O902" t="inlineStr"/>
      <c r="P902" t="inlineStr"/>
      <c r="Q902" t="inlineStr"/>
      <c r="R902" t="inlineStr"/>
      <c r="S902" t="inlineStr"/>
      <c r="T902" t="inlineStr"/>
      <c r="V902" t="inlineStr"/>
    </row>
    <row r="903">
      <c r="A903">
        <f>Skills!A13</f>
        <v/>
      </c>
      <c r="B903">
        <f>Skills!B13</f>
        <v/>
      </c>
      <c r="C903">
        <f>Inputs!$B$3&gt;=66</f>
        <v/>
      </c>
      <c r="D903">
        <f>IF(Skills!C13=1,60+Inputs!$B$25+Inputs!$B$29,IF(Skills!C13=2,90+Inputs!$B$26+Inputs!$B$29,IF(Skills!C13=3,120+Inputs!$B$27+Inputs!$B$29,MAX(0,(Inputs!$B$3-100)*3)+Inputs!$B$28+Inputs!$B$29)))</f>
        <v/>
      </c>
      <c r="E903">
        <f>INDEX(FactorTable!$B$2:$Y$301, MATCH(ROUND(MIN(300,MAX(1,D903)),0), FactorTable!$A$2:$A$301,0), Skills!M13+1)</f>
        <v/>
      </c>
      <c r="F903">
        <f>IF(Skills!N13=TRUE,(Skills!L13/10)*(E903/1000),Skills!L13/10)+Skills!O13</f>
        <v/>
      </c>
      <c r="G903">
        <f>Skills!G13*IF(Skills!H13&gt;0,Skills!I13/Skills!H13,1)</f>
        <v/>
      </c>
      <c r="H903">
        <f>1-(1-Skills!J13/100)^Skills!K13</f>
        <v/>
      </c>
      <c r="I903" t="inlineStr">
        <is>
          <t>1</t>
        </is>
      </c>
      <c r="J903" t="inlineStr"/>
      <c r="K903" t="inlineStr"/>
      <c r="L903" t="inlineStr"/>
      <c r="M903" t="inlineStr"/>
      <c r="N903" t="inlineStr"/>
      <c r="O903">
        <f>(1-Summary!$B$11)*T903+Summary!$B$11*V903</f>
        <v/>
      </c>
      <c r="P903">
        <f>IF(B926=0,0,O903/B926)</f>
        <v/>
      </c>
      <c r="Q903" t="n">
        <v>0</v>
      </c>
      <c r="R903" t="n">
        <v>0</v>
      </c>
      <c r="S903">
        <f>IFERROR(O903/N903,0)</f>
        <v/>
      </c>
      <c r="T903" t="n">
        <v>0</v>
      </c>
      <c r="V903" t="n">
        <v>0</v>
      </c>
    </row>
    <row r="904">
      <c r="A904">
        <f>Skills!A14</f>
        <v/>
      </c>
      <c r="B904">
        <f>Skills!B14</f>
        <v/>
      </c>
      <c r="C904">
        <f>Inputs!$B$3&gt;=107</f>
        <v/>
      </c>
      <c r="D904">
        <f>IF(Skills!C14=1,60+Inputs!$B$25+Inputs!$B$29,IF(Skills!C14=2,90+Inputs!$B$26+Inputs!$B$29,IF(Skills!C14=3,120+Inputs!$B$27+Inputs!$B$29,MAX(0,(Inputs!$B$3-100)*3)+Inputs!$B$28+Inputs!$B$29)))</f>
        <v/>
      </c>
      <c r="E904">
        <f>INDEX(FactorTable!$B$2:$Y$301, MATCH(ROUND(MIN(300,MAX(1,D904)),0), FactorTable!$A$2:$A$301,0), Skills!M14+1)</f>
        <v/>
      </c>
      <c r="F904">
        <f>IF(Skills!N14=TRUE,(Skills!L14/10)*(E904/1000),Skills!L14/10)+Skills!O14</f>
        <v/>
      </c>
      <c r="G904">
        <f>Skills!G14*IF(Skills!H14&gt;0,Skills!I14/Skills!H14,1)</f>
        <v/>
      </c>
      <c r="H904">
        <f>1-(1-Skills!J14/100)^Skills!K14</f>
        <v/>
      </c>
      <c r="I904" t="inlineStr">
        <is>
          <t>1</t>
        </is>
      </c>
      <c r="J904" t="inlineStr"/>
      <c r="K904" t="inlineStr"/>
      <c r="L904" t="inlineStr"/>
      <c r="M904" t="inlineStr"/>
      <c r="N904" t="inlineStr"/>
      <c r="O904">
        <f>(1-Summary!$B$11)*T904+Summary!$B$11*V904</f>
        <v/>
      </c>
      <c r="P904">
        <f>IF(B926=0,0,O904/B926)</f>
        <v/>
      </c>
      <c r="Q904">
        <f>IFERROR(1/(IF(Inputs!$B$38="pvp",15,MAX(0.1,Skills!D14-IF(Skills!E14=TRUE,Inputs!$B$32,0)))*(1-IF(AND(ArtifactsInput!$M$27,Inputs!$B$4="Chapter Hunt"),CHOOSE(ArtifactsInput!$N$27+1,20,24,28,32,36,40),0)/100)),0)</f>
        <v/>
      </c>
      <c r="R904">
        <f>IF(AND(Inputs!$B$38&lt;&gt;"pvp",Inputs!$B$43&gt;0),IF(Inputs!$B$43&lt;=0,0,(INT(Inputs!$B$43/(IF(Inputs!$B$38="pvp",15,MAX(0.1,Skills!D14-IF(Skills!E14=TRUE,Inputs!$B$32,0)))*(1-IF(AND(ArtifactsInput!$M$27,Inputs!$B$4="Chapter Hunt"),CHOOSE(ArtifactsInput!$N$27+1,20,24,28,32,36,40),0)/100)))+1)),0)</f>
        <v/>
      </c>
      <c r="S904">
        <f>IFERROR(O904/N904,0)</f>
        <v/>
      </c>
      <c r="T904" t="n">
        <v>0</v>
      </c>
      <c r="V904" t="n">
        <v>0</v>
      </c>
    </row>
    <row r="905">
      <c r="A905">
        <f>Skills!A15</f>
        <v/>
      </c>
      <c r="B905">
        <f>Skills!B15</f>
        <v/>
      </c>
      <c r="C905">
        <f>Inputs!$B$3&gt;=115</f>
        <v/>
      </c>
      <c r="D905">
        <f>IF(Skills!C15=1,60+Inputs!$B$25+Inputs!$B$29,IF(Skills!C15=2,90+Inputs!$B$26+Inputs!$B$29,IF(Skills!C15=3,120+Inputs!$B$27+Inputs!$B$29,MAX(0,(Inputs!$B$3-100)*3)+Inputs!$B$28+Inputs!$B$29)))</f>
        <v/>
      </c>
      <c r="E905">
        <f>INDEX(FactorTable!$B$2:$Y$301, MATCH(ROUND(MIN(300,MAX(1,D905)),0), FactorTable!$A$2:$A$301,0), Skills!M15+1)</f>
        <v/>
      </c>
      <c r="F905">
        <f>IF(Skills!N15=TRUE,(Skills!L15/10)*(E905/1000),Skills!L15/10)+Skills!O15</f>
        <v/>
      </c>
      <c r="G905">
        <f>Skills!G15*IF(Skills!H15&gt;0,Skills!I15/Skills!H15,1)</f>
        <v/>
      </c>
      <c r="H905">
        <f>1-(1-Skills!J15/100)^Skills!K15</f>
        <v/>
      </c>
      <c r="I905" t="inlineStr">
        <is>
          <t>1</t>
        </is>
      </c>
      <c r="J905" t="inlineStr"/>
      <c r="K905" t="inlineStr"/>
      <c r="L905" t="inlineStr"/>
      <c r="M905" t="inlineStr"/>
      <c r="N905" t="inlineStr"/>
      <c r="O905">
        <f>(1-Summary!$B$11)*T905+Summary!$B$11*V905</f>
        <v/>
      </c>
      <c r="P905">
        <f>IF(B926=0,0,O905/B926)</f>
        <v/>
      </c>
      <c r="Q905">
        <f>IFERROR(1/(IF(Inputs!$B$38="pvp",15,MAX(0.1,Skills!D15-IF(Skills!E15=TRUE,Inputs!$B$32,0)))*(1-IF(AND(ArtifactsInput!$M$27,Inputs!$B$4="Chapter Hunt"),CHOOSE(ArtifactsInput!$N$27+1,20,24,28,32,36,40),0)/100)),0)</f>
        <v/>
      </c>
      <c r="R905">
        <f>IF(AND(Inputs!$B$38&lt;&gt;"pvp",Inputs!$B$43&gt;0),IF(Inputs!$B$43&lt;=0,0,(INT(Inputs!$B$43/(IF(Inputs!$B$38="pvp",15,MAX(0.1,Skills!D15-IF(Skills!E15=TRUE,Inputs!$B$32,0)))*(1-IF(AND(ArtifactsInput!$M$27,Inputs!$B$4="Chapter Hunt"),CHOOSE(ArtifactsInput!$N$27+1,20,24,28,32,36,40),0)/100)))+1)),0)</f>
        <v/>
      </c>
      <c r="S905">
        <f>IFERROR(O905/N905,0)</f>
        <v/>
      </c>
      <c r="T905" t="n">
        <v>0</v>
      </c>
      <c r="V905" t="n">
        <v>0</v>
      </c>
    </row>
    <row r="906">
      <c r="A906">
        <f>Skills!A16</f>
        <v/>
      </c>
      <c r="B906">
        <f>Skills!B16</f>
        <v/>
      </c>
      <c r="C906">
        <f>Inputs!$B$3&gt;=15</f>
        <v/>
      </c>
      <c r="D906">
        <f>IF(Skills!C16=1,60+Inputs!$B$25+Inputs!$B$29,IF(Skills!C16=2,90+Inputs!$B$26+Inputs!$B$29,IF(Skills!C16=3,120+Inputs!$B$27+Inputs!$B$29,MAX(0,(Inputs!$B$3-100)*3)+Inputs!$B$28+Inputs!$B$29)))</f>
        <v/>
      </c>
      <c r="E906">
        <f>INDEX(FactorTable!$B$2:$Y$301, MATCH(ROUND(MIN(300,MAX(1,D906)),0), FactorTable!$A$2:$A$301,0), Skills!M16+1)</f>
        <v/>
      </c>
      <c r="F906">
        <f>IF(Skills!N16=TRUE,(Skills!L16/10)*(E906/1000),Skills!L16/10)+Skills!O16</f>
        <v/>
      </c>
      <c r="G906">
        <f>Skills!G16*IF(Skills!H16&gt;0,Skills!I16/Skills!H16,1)</f>
        <v/>
      </c>
      <c r="H906">
        <f>1-(1-Skills!J16/100)^Skills!K16</f>
        <v/>
      </c>
      <c r="I906" t="inlineStr">
        <is>
          <t>1</t>
        </is>
      </c>
      <c r="J906" t="inlineStr"/>
      <c r="K906" t="inlineStr"/>
      <c r="L906" t="inlineStr"/>
      <c r="M906" t="inlineStr"/>
      <c r="N906" t="inlineStr"/>
      <c r="O906">
        <f>(1-Summary!$B$11)*T906+Summary!$B$11*V906</f>
        <v/>
      </c>
      <c r="P906">
        <f>IF(B926=0,0,O906/B926)</f>
        <v/>
      </c>
      <c r="Q906" t="n">
        <v>0</v>
      </c>
      <c r="R906" t="n">
        <v>0</v>
      </c>
      <c r="S906">
        <f>IFERROR(O906/N906,0)</f>
        <v/>
      </c>
      <c r="T906" t="n">
        <v>0</v>
      </c>
      <c r="V906" t="n">
        <v>0</v>
      </c>
    </row>
    <row r="907">
      <c r="A907">
        <f>Skills!A17</f>
        <v/>
      </c>
      <c r="B907">
        <f>Skills!B17</f>
        <v/>
      </c>
      <c r="C907">
        <f>Inputs!$B$3&gt;=10</f>
        <v/>
      </c>
      <c r="D907">
        <f>IF(Skills!C17=1,60+Inputs!$B$25+Inputs!$B$29,IF(Skills!C17=2,90+Inputs!$B$26+Inputs!$B$29,IF(Skills!C17=3,120+Inputs!$B$27+Inputs!$B$29,MAX(0,(Inputs!$B$3-100)*3)+Inputs!$B$28+Inputs!$B$29)))</f>
        <v/>
      </c>
      <c r="E907">
        <f>INDEX(FactorTable!$B$2:$Y$301, MATCH(ROUND(MIN(300,MAX(1,D907)),0), FactorTable!$A$2:$A$301,0), Skills!M17+1)</f>
        <v/>
      </c>
      <c r="F907">
        <f>IF(Skills!N17=TRUE,(Skills!L17/10)*(E907/1000),Skills!L17/10)+Skills!O17</f>
        <v/>
      </c>
      <c r="G907">
        <f>Skills!G17*IF(Skills!H17&gt;0,Skills!I17/Skills!H17,1)</f>
        <v/>
      </c>
      <c r="H907">
        <f>1-(1-Skills!J17/100)^Skills!K17</f>
        <v/>
      </c>
      <c r="I907" t="inlineStr">
        <is>
          <t>1</t>
        </is>
      </c>
      <c r="J907" t="inlineStr"/>
      <c r="K907" t="inlineStr"/>
      <c r="L907" t="inlineStr"/>
      <c r="M907" t="inlineStr"/>
      <c r="N907" t="inlineStr"/>
      <c r="O907">
        <f>(1-Summary!$B$11)*T907+Summary!$B$11*V907</f>
        <v/>
      </c>
      <c r="P907">
        <f>IF(B926=0,0,O907/B926)</f>
        <v/>
      </c>
      <c r="Q907" t="n">
        <v>0</v>
      </c>
      <c r="R907" t="n">
        <v>0</v>
      </c>
      <c r="S907">
        <f>IFERROR(O907/N907,0)</f>
        <v/>
      </c>
      <c r="T907" t="n">
        <v>0</v>
      </c>
      <c r="V907" t="n">
        <v>0</v>
      </c>
    </row>
    <row r="908">
      <c r="A908">
        <f>Skills!A18</f>
        <v/>
      </c>
      <c r="B908">
        <f>Skills!B18</f>
        <v/>
      </c>
      <c r="C908">
        <f>Inputs!$B$3&gt;=33</f>
        <v/>
      </c>
      <c r="D908">
        <f>IF(Skills!C18=1,60+Inputs!$B$25+Inputs!$B$29,IF(Skills!C18=2,90+Inputs!$B$26+Inputs!$B$29,IF(Skills!C18=3,120+Inputs!$B$27+Inputs!$B$29,MAX(0,(Inputs!$B$3-100)*3)+Inputs!$B$28+Inputs!$B$29)))</f>
        <v/>
      </c>
      <c r="E908">
        <f>INDEX(FactorTable!$B$2:$Y$301, MATCH(ROUND(MIN(300,MAX(1,D908)),0), FactorTable!$A$2:$A$301,0), Skills!M18+1)</f>
        <v/>
      </c>
      <c r="F908">
        <f>IF(Skills!N18=TRUE,(Skills!L18/10)*(E908/1000),Skills!L18/10)+Skills!O18</f>
        <v/>
      </c>
      <c r="G908">
        <f>Skills!G18*IF(Skills!H18&gt;0,Skills!I18/Skills!H18,1)</f>
        <v/>
      </c>
      <c r="H908">
        <f>1-(1-Skills!J18/100)^Skills!K18</f>
        <v/>
      </c>
      <c r="I908" t="inlineStr">
        <is>
          <t>1</t>
        </is>
      </c>
      <c r="J908" t="inlineStr"/>
      <c r="K908" t="inlineStr"/>
      <c r="L908" t="inlineStr"/>
      <c r="M908" t="inlineStr"/>
      <c r="N908" t="inlineStr"/>
      <c r="O908">
        <f>(1-Summary!$B$11)*T908+Summary!$B$11*V908</f>
        <v/>
      </c>
      <c r="P908">
        <f>IF(B926=0,0,O908/B926)</f>
        <v/>
      </c>
      <c r="Q908" t="n">
        <v>0</v>
      </c>
      <c r="R908" t="n">
        <v>0</v>
      </c>
      <c r="S908">
        <f>IFERROR(O908/N908,0)</f>
        <v/>
      </c>
      <c r="T908" t="n">
        <v>0</v>
      </c>
      <c r="V908" t="n">
        <v>0</v>
      </c>
    </row>
    <row r="909">
      <c r="A909">
        <f>Skills!A19</f>
        <v/>
      </c>
      <c r="B909">
        <f>Skills!B19</f>
        <v/>
      </c>
      <c r="C909">
        <f>Inputs!$B$3&gt;=40</f>
        <v/>
      </c>
      <c r="D909">
        <f>IF(Skills!C19=1,60+Inputs!$B$25+Inputs!$B$29,IF(Skills!C19=2,90+Inputs!$B$26+Inputs!$B$29,IF(Skills!C19=3,120+Inputs!$B$27+Inputs!$B$29,MAX(0,(Inputs!$B$3-100)*3)+Inputs!$B$28+Inputs!$B$29)))</f>
        <v/>
      </c>
      <c r="E909">
        <f>INDEX(FactorTable!$B$2:$Y$301, MATCH(ROUND(MIN(300,MAX(1,D909)),0), FactorTable!$A$2:$A$301,0), Skills!M19+1)</f>
        <v/>
      </c>
      <c r="F909">
        <f>IF(Skills!N19=TRUE,(Skills!L19/10)*(E909/1000),Skills!L19/10)+Skills!O19</f>
        <v/>
      </c>
      <c r="G909">
        <f>Skills!G19*IF(Skills!H19&gt;0,Skills!I19/Skills!H19,1)</f>
        <v/>
      </c>
      <c r="H909">
        <f>1-(1-Skills!J19/100)^Skills!K19</f>
        <v/>
      </c>
      <c r="I909" t="inlineStr">
        <is>
          <t>1</t>
        </is>
      </c>
      <c r="J909" t="inlineStr"/>
      <c r="K909" t="inlineStr"/>
      <c r="L909" t="inlineStr"/>
      <c r="M909" t="inlineStr"/>
      <c r="N909" t="inlineStr"/>
      <c r="O909">
        <f>(1-Summary!$B$11)*T909+Summary!$B$11*V909</f>
        <v/>
      </c>
      <c r="P909">
        <f>IF(B926=0,0,O909/B926)</f>
        <v/>
      </c>
      <c r="Q909" t="n">
        <v>0</v>
      </c>
      <c r="R909" t="n">
        <v>0</v>
      </c>
      <c r="S909">
        <f>IFERROR(O909/N909,0)</f>
        <v/>
      </c>
      <c r="T909" t="n">
        <v>0</v>
      </c>
      <c r="V909" t="n">
        <v>0</v>
      </c>
    </row>
    <row r="910">
      <c r="A910">
        <f>Skills!A20</f>
        <v/>
      </c>
      <c r="B910">
        <f>Skills!B20</f>
        <v/>
      </c>
      <c r="C910">
        <f>Inputs!$B$3&gt;=43</f>
        <v/>
      </c>
      <c r="D910">
        <f>IF(Skills!C20=1,60+Inputs!$B$25+Inputs!$B$29,IF(Skills!C20=2,90+Inputs!$B$26+Inputs!$B$29,IF(Skills!C20=3,120+Inputs!$B$27+Inputs!$B$29,MAX(0,(Inputs!$B$3-100)*3)+Inputs!$B$28+Inputs!$B$29)))</f>
        <v/>
      </c>
      <c r="E910">
        <f>INDEX(FactorTable!$B$2:$Y$301, MATCH(ROUND(MIN(300,MAX(1,D910)),0), FactorTable!$A$2:$A$301,0), Skills!M20+1)</f>
        <v/>
      </c>
      <c r="F910">
        <f>IF(Skills!N20=TRUE,(Skills!L20/10)*(E910/1000),Skills!L20/10)+Skills!O20</f>
        <v/>
      </c>
      <c r="G910">
        <f>Skills!G20*IF(Skills!H20&gt;0,Skills!I20/Skills!H20,1)</f>
        <v/>
      </c>
      <c r="H910">
        <f>1-(1-Skills!J20/100)^Skills!K20</f>
        <v/>
      </c>
      <c r="I910" t="inlineStr">
        <is>
          <t>1</t>
        </is>
      </c>
      <c r="J910" t="inlineStr"/>
      <c r="K910" t="inlineStr"/>
      <c r="L910" t="inlineStr"/>
      <c r="M910" t="inlineStr"/>
      <c r="N910" t="inlineStr"/>
      <c r="O910">
        <f>(1-Summary!$B$11)*T910+Summary!$B$11*V910</f>
        <v/>
      </c>
      <c r="P910">
        <f>IF(B926=0,0,O910/B926)</f>
        <v/>
      </c>
      <c r="Q910" t="n">
        <v>0</v>
      </c>
      <c r="R910" t="n">
        <v>0</v>
      </c>
      <c r="S910">
        <f>IFERROR(O910/N910,0)</f>
        <v/>
      </c>
      <c r="T910" t="n">
        <v>0</v>
      </c>
      <c r="V910" t="n">
        <v>0</v>
      </c>
    </row>
    <row r="911">
      <c r="A911">
        <f>Skills!A21</f>
        <v/>
      </c>
      <c r="B911">
        <f>Skills!B21</f>
        <v/>
      </c>
      <c r="C911">
        <f>Inputs!$B$3&gt;=38</f>
        <v/>
      </c>
      <c r="D911">
        <f>IF(Skills!C21=1,60+Inputs!$B$25+Inputs!$B$29,IF(Skills!C21=2,90+Inputs!$B$26+Inputs!$B$29,IF(Skills!C21=3,120+Inputs!$B$27+Inputs!$B$29,MAX(0,(Inputs!$B$3-100)*3)+Inputs!$B$28+Inputs!$B$29)))</f>
        <v/>
      </c>
      <c r="E911">
        <f>INDEX(FactorTable!$B$2:$Y$301, MATCH(ROUND(MIN(300,MAX(1,D911)),0), FactorTable!$A$2:$A$301,0), Skills!M21+1)</f>
        <v/>
      </c>
      <c r="F911">
        <f>IF(Skills!N21=TRUE,(Skills!L21/10)*(E911/1000),Skills!L21/10)+Skills!O21</f>
        <v/>
      </c>
      <c r="G911">
        <f>Skills!G21*IF(Skills!H21&gt;0,Skills!I21/Skills!H21,1)</f>
        <v/>
      </c>
      <c r="H911">
        <f>1-(1-Skills!J21/100)^Skills!K21</f>
        <v/>
      </c>
      <c r="I911" t="inlineStr">
        <is>
          <t>1</t>
        </is>
      </c>
      <c r="J911" t="inlineStr"/>
      <c r="K911" t="inlineStr"/>
      <c r="L911" t="inlineStr"/>
      <c r="M911" t="inlineStr"/>
      <c r="N911" t="inlineStr"/>
      <c r="O911">
        <f>(1-Summary!$B$11)*T911+Summary!$B$11*V911</f>
        <v/>
      </c>
      <c r="P911">
        <f>IF(B926=0,0,O911/B926)</f>
        <v/>
      </c>
      <c r="Q911" t="n">
        <v>0</v>
      </c>
      <c r="R911" t="n">
        <v>0</v>
      </c>
      <c r="S911">
        <f>IFERROR(O911/N911,0)</f>
        <v/>
      </c>
      <c r="T911" t="n">
        <v>0</v>
      </c>
      <c r="V911" t="n">
        <v>0</v>
      </c>
    </row>
    <row r="912">
      <c r="A912">
        <f>Skills!A22</f>
        <v/>
      </c>
      <c r="B912">
        <f>Skills!B22</f>
        <v/>
      </c>
      <c r="C912">
        <f>Inputs!$B$3&gt;=75</f>
        <v/>
      </c>
      <c r="D912">
        <f>IF(Skills!C22=1,60+Inputs!$B$25+Inputs!$B$29,IF(Skills!C22=2,90+Inputs!$B$26+Inputs!$B$29,IF(Skills!C22=3,120+Inputs!$B$27+Inputs!$B$29,MAX(0,(Inputs!$B$3-100)*3)+Inputs!$B$28+Inputs!$B$29)))</f>
        <v/>
      </c>
      <c r="E912">
        <f>INDEX(FactorTable!$B$2:$Y$301, MATCH(ROUND(MIN(300,MAX(1,D912)),0), FactorTable!$A$2:$A$301,0), Skills!M22+1)</f>
        <v/>
      </c>
      <c r="F912">
        <f>IF(Skills!N22=TRUE,(Skills!L22/10)*(E912/1000),Skills!L22/10)+Skills!O22</f>
        <v/>
      </c>
      <c r="G912">
        <f>Skills!G22*IF(Skills!H22&gt;0,Skills!I22/Skills!H22,1)</f>
        <v/>
      </c>
      <c r="H912">
        <f>1-(1-Skills!J22/100)^Skills!K22</f>
        <v/>
      </c>
      <c r="I912" t="inlineStr">
        <is>
          <t>1</t>
        </is>
      </c>
      <c r="J912" t="inlineStr"/>
      <c r="K912" t="inlineStr"/>
      <c r="L912" t="inlineStr"/>
      <c r="M912" t="inlineStr"/>
      <c r="N912" t="inlineStr"/>
      <c r="O912">
        <f>(1-Summary!$B$11)*T912+Summary!$B$11*V912</f>
        <v/>
      </c>
      <c r="P912">
        <f>IF(B926=0,0,O912/B926)</f>
        <v/>
      </c>
      <c r="Q912" t="n">
        <v>0</v>
      </c>
      <c r="R912" t="n">
        <v>0</v>
      </c>
      <c r="S912">
        <f>IFERROR(O912/N912,0)</f>
        <v/>
      </c>
      <c r="T912" t="n">
        <v>0</v>
      </c>
      <c r="V912" t="n">
        <v>0</v>
      </c>
    </row>
    <row r="913">
      <c r="A913">
        <f>Skills!A23</f>
        <v/>
      </c>
      <c r="B913">
        <f>Skills!B23</f>
        <v/>
      </c>
      <c r="C913">
        <f>TRUE</f>
        <v/>
      </c>
      <c r="D913">
        <f>IF(Skills!C23=1,60+Inputs!$B$25+Inputs!$B$29,IF(Skills!C23=2,90+Inputs!$B$26+Inputs!$B$29,IF(Skills!C23=3,120+Inputs!$B$27+Inputs!$B$29,MAX(0,(Inputs!$B$3-100)*3)+Inputs!$B$28+Inputs!$B$29)))</f>
        <v/>
      </c>
      <c r="E913">
        <f>INDEX(FactorTable!$B$2:$Y$301, MATCH(ROUND(MIN(300,MAX(1,D913)),0), FactorTable!$A$2:$A$301,0), Skills!M23+1)</f>
        <v/>
      </c>
      <c r="F913">
        <f>IF(Skills!N23=TRUE,(Skills!L23/10)*(E913/1000),Skills!L23/10)+Skills!O23</f>
        <v/>
      </c>
      <c r="G913">
        <f>Skills!G23*IF(Skills!H23&gt;0,Skills!I23/Skills!H23,1)</f>
        <v/>
      </c>
      <c r="H913">
        <f>1-(1-Skills!J23/100)^Skills!K23</f>
        <v/>
      </c>
      <c r="I913" t="inlineStr">
        <is>
          <t>1</t>
        </is>
      </c>
      <c r="J913" t="inlineStr"/>
      <c r="K913" t="inlineStr"/>
      <c r="L913" t="inlineStr"/>
      <c r="M913" t="inlineStr"/>
      <c r="N913" t="inlineStr"/>
      <c r="O913">
        <f>(1-Summary!$B$11)*T913+Summary!$B$11*V913</f>
        <v/>
      </c>
      <c r="P913">
        <f>IF(B926=0,0,O913/B926)</f>
        <v/>
      </c>
      <c r="Q913">
        <f>IFERROR(1/(IF(Inputs!$B$38="pvp",15,MAX(0.1,Skills!D23-IF(Skills!E23=TRUE,Inputs!$B$32,0)))*(1-IF(AND(ArtifactsInput!$M$27,Inputs!$B$4="Chapter Hunt"),CHOOSE(ArtifactsInput!$N$27+1,20,24,28,32,36,40),0)/100)),0)</f>
        <v/>
      </c>
      <c r="R913">
        <f>IF(AND(Inputs!$B$38&lt;&gt;"pvp",Inputs!$B$43&gt;0),IF(Inputs!$B$43&lt;=0,0,(INT(Inputs!$B$43/(IF(Inputs!$B$38="pvp",15,MAX(0.1,Skills!D23-IF(Skills!E23=TRUE,Inputs!$B$32,0)))*(1-IF(AND(ArtifactsInput!$M$27,Inputs!$B$4="Chapter Hunt"),CHOOSE(ArtifactsInput!$N$27+1,20,24,28,32,36,40),0)/100)))+1)),0)</f>
        <v/>
      </c>
      <c r="S913">
        <f>IFERROR(O913/N913,0)</f>
        <v/>
      </c>
      <c r="T913" t="n">
        <v>0</v>
      </c>
      <c r="V913" t="n">
        <v>0</v>
      </c>
    </row>
    <row r="915">
      <c r="A915" t="inlineStr">
        <is>
          <t>Attack% Bucket Multiplier</t>
        </is>
      </c>
      <c r="B915">
        <f>(1+(((C903=TRUE)*F903*5/7)+((C909=TRUE)*(F909-Calc!F19))+(IF(ArtifactsInput!$M$21,CHOOSE(ArtifactsInput!$N$21+1,25,30,35,40,45,50)*(IF(OR(Inputs!$B$4="Chapter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6">
      <c r="A916" t="inlineStr">
        <is>
          <t>Global Crit Rate Bonus %</t>
        </is>
      </c>
      <c r="B916" t="n">
        <v>0</v>
      </c>
    </row>
    <row r="917">
      <c r="A917" t="inlineStr">
        <is>
          <t>Attack Speed Buff Bonus % (Nimble Feet, duty-cycle averaged)</t>
        </is>
      </c>
      <c r="B917">
        <f>((C913=TRUE)*F913*IF(AND(Inputs!$B$38&lt;&gt;"pvp",Inputs!$B$43&gt;0),(((R913-1)*(Skills!T23*(1+Inputs!$B$34/100))+MIN((Skills!T23*(1+Inputs!$B$34/100)),MAX(0,Inputs!$B$43-((R913-1)*Skills!D23))))/Inputs!$B$43),IF(Inputs!$B$38="pvp",MIN((Skills!T23*(1+Inputs!$B$34/100)),15)/15,(Skills!T23*(1+Inputs!$B$34/100))/Skills!D23)))</f>
        <v/>
      </c>
    </row>
    <row r="918">
      <c r="A918" t="inlineStr">
        <is>
          <t>Actions Per Second</t>
        </is>
      </c>
      <c r="B918">
        <f>1+MIN(150,150*(1-(1-(Inputs!$B$11+((C907=TRUE)*(F907-Calc!F17))+((C908=TRUE)*(F908-Calc!F18)))/150)*(1-B917/150)))/100</f>
        <v/>
      </c>
    </row>
    <row r="919">
      <c r="A919" t="inlineStr">
        <is>
          <t>Skill + Buff Cast Rate</t>
        </is>
      </c>
      <c r="B919">
        <f>IF(AND(Inputs!$B$38&lt;&gt;"pvp",Inputs!$B$43&gt;0),SUMPRODUCT((Skills!E2:E23=TRUE)*(C892:C913=TRUE)*R892:R913*Skills!F2:F23)/Inputs!$B$43,SUMPRODUCT((Skills!E2:E23=TRUE)*(C892:C913=TRUE)*Q892:Q913*Skills!F2:F23))</f>
        <v/>
      </c>
    </row>
    <row r="920">
      <c r="A920" t="inlineStr">
        <is>
          <t>Hook Bomber Casts Per Second</t>
        </is>
      </c>
      <c r="B920">
        <f>MAX(0,B918-B919)</f>
        <v/>
      </c>
    </row>
    <row r="921">
      <c r="A921" t="inlineStr">
        <is>
          <t>Global Critical Damage Bonus % (unused)</t>
        </is>
      </c>
      <c r="B921" t="n">
        <v>0</v>
      </c>
    </row>
    <row r="922">
      <c r="A922" t="inlineStr">
        <is>
          <t>Global Final Damage Bonus % (Serpent Scale + Crossbones + Time Leap + Speed Infusion)</t>
        </is>
      </c>
      <c r="B922">
        <f>((C895=TRUE)*F895*((10+IF(Inputs!$B$3&gt;=94,5,0))/((10+IF(Inputs!$B$3&gt;=94,5,0))+5/(B920*(1+IF(Inputs!$B$3&gt;=104,1,0))))))+((C904=TRUE)*F904*IF(AND(Inputs!$B$38&lt;&gt;"pvp",Inputs!$B$43&gt;0),(((R904-1)*(Skills!T14*(1+Inputs!$B$34/100))+MIN((Skills!T14*(1+Inputs!$B$34/100)),MAX(0,Inputs!$B$43-((R904-1)*Skills!D14))))/Inputs!$B$43),IF(Inputs!$B$38="pvp",MIN((Skills!T14*(1+Inputs!$B$34/100)),15)/15,(Skills!T14*(1+Inputs!$B$34/100))/Skills!D14)))+((C905=TRUE)*F905*IF(AND(Inputs!$B$38&lt;&gt;"pvp",Inputs!$B$43&gt;0),(((R905-1)*(Skills!T15*(1+Inputs!$B$34/100))+MIN((Skills!T15*(1+Inputs!$B$34/100)),MAX(0,Inputs!$B$43-((R905-1)*Skills!D15))))/Inputs!$B$43),IF(Inputs!$B$38="pvp",MIN((Skills!T15*(1+Inputs!$B$34/100)),15)/15,(Skills!T15*(1+Inputs!$B$34/100))/Skills!D15)))+((Inputs!$B$3&gt;=110)*20*(B918-1)*IF(Inputs!$B$38="pvp",MIN((15*(1+Inputs!$B$34/100)),15)/15,(15*(1+Inputs!$B$34/100))/35))</f>
        <v/>
      </c>
    </row>
    <row r="923">
      <c r="A923" t="inlineStr">
        <is>
          <t>Buff-Casting Startup Delay (s, fixed-duration only)</t>
        </is>
      </c>
      <c r="B923">
        <f>IF(AND(Inputs!$B$38&lt;&gt;"pvp",Inputs!$B$43&gt;0),SUMPRODUCT((Skills!T2:T23&gt;0)*(Skills!E2:E23=TRUE)*(C892:C913=TRUE))/B918,0)</f>
        <v/>
      </c>
    </row>
    <row r="924">
      <c r="A924" t="inlineStr">
        <is>
          <t>Boss-Only Total DPS (this block's swept value)</t>
        </is>
      </c>
      <c r="B924">
        <f>SUM(T892:T913)</f>
        <v/>
      </c>
    </row>
    <row r="925">
      <c r="A925" t="inlineStr">
        <is>
          <t>Normal-Only Total DPS (this block's swept value)</t>
        </is>
      </c>
      <c r="B925">
        <f>SUM(V892:V913)</f>
        <v/>
      </c>
    </row>
    <row r="926">
      <c r="A926" s="6" t="inlineStr">
        <is>
          <t>TOTAL DPS</t>
        </is>
      </c>
      <c r="B926" s="6">
        <f>SUM(O892:O913)</f>
        <v/>
      </c>
    </row>
    <row r="929">
      <c r="A929" s="6" t="inlineStr">
        <is>
          <t>Stat: ATTACK %</t>
        </is>
      </c>
    </row>
    <row r="930">
      <c r="A930" s="5" t="inlineStr">
        <is>
          <t>Key</t>
        </is>
      </c>
      <c r="B930" s="5" t="inlineStr">
        <is>
          <t>Name</t>
        </is>
      </c>
      <c r="C930" s="5" t="inlineStr">
        <is>
          <t>Unlocked</t>
        </is>
      </c>
      <c r="D930" s="5" t="inlineStr">
        <is>
          <t>InputLevel</t>
        </is>
      </c>
      <c r="E930" s="5" t="inlineStr">
        <is>
          <t>Factor</t>
        </is>
      </c>
      <c r="F930" s="5" t="inlineStr">
        <is>
          <t>CoefficientPercent</t>
        </is>
      </c>
      <c r="G930" s="5" t="inlineStr">
        <is>
          <t>EffectiveHits</t>
        </is>
      </c>
      <c r="H930" s="5" t="inlineStr">
        <is>
          <t>ProcProbability</t>
        </is>
      </c>
      <c r="I930" s="5" t="inlineStr">
        <is>
          <t>MapleHeroMultiplier</t>
        </is>
      </c>
      <c r="J930" s="5" t="inlineStr">
        <is>
          <t>BaseDamage</t>
        </is>
      </c>
      <c r="K930" s="5" t="inlineStr">
        <is>
          <t>BaseHitDamage</t>
        </is>
      </c>
      <c r="L930" s="5" t="inlineStr">
        <is>
          <t>NonCritAvg</t>
        </is>
      </c>
      <c r="M930" s="5" t="inlineStr">
        <is>
          <t>CritAvg</t>
        </is>
      </c>
      <c r="N930" s="5" t="inlineStr">
        <is>
          <t>ExpectedDamage(perHit)</t>
        </is>
      </c>
      <c r="O930" s="5" t="inlineStr">
        <is>
          <t>DPS</t>
        </is>
      </c>
      <c r="P930" s="5" t="inlineStr">
        <is>
          <t>% of Total</t>
        </is>
      </c>
      <c r="Q930" s="5" t="inlineStr">
        <is>
          <t>InvCooldown</t>
        </is>
      </c>
      <c r="R930" s="5" t="inlineStr">
        <is>
          <t>CastsInFight</t>
        </is>
      </c>
      <c r="S930" s="5" t="inlineStr">
        <is>
          <t>HitRate(perSec)</t>
        </is>
      </c>
      <c r="U930" t="inlineStr">
        <is>
          <t>helpers</t>
        </is>
      </c>
    </row>
    <row r="931">
      <c r="A931">
        <f>Skills!A2</f>
        <v/>
      </c>
      <c r="B931">
        <f>Skills!B2</f>
        <v/>
      </c>
      <c r="C931">
        <f>Inputs!$B$3&gt;=100</f>
        <v/>
      </c>
      <c r="D931" t="inlineStr"/>
      <c r="E931" t="inlineStr"/>
      <c r="F931">
        <f>U933+Skills!O2</f>
        <v/>
      </c>
      <c r="G931">
        <f>Skills!G2*IF(Skills!H2&gt;0,Skills!I2/Skills!H2,1)</f>
        <v/>
      </c>
      <c r="H931">
        <f>1-(1-Skills!J2/100)^Skills!K2</f>
        <v/>
      </c>
      <c r="I931" t="inlineStr">
        <is>
          <t>1</t>
        </is>
      </c>
      <c r="J931">
        <f>((Inputs!$B$6*(1+(Inputs!$B$7+1)/100))+(((Inputs!$B$12*(1+Inputs!$B$13/100))-(Inputs!$B$12*(1+Inputs!$B$13/100)))+0.25*(Inputs!$B$14-Inputs!$B$14))*(1+(Inputs!$B$7+1)/100))*(F931/100)</f>
        <v/>
      </c>
      <c r="K931">
        <f>J931*(1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931)</f>
        <v/>
      </c>
      <c r="L931">
        <f>K931*(MIN(Inputs!$B$22+((C949=TRUE)*(F949-Calc!F20)),(Inputs!$B$23+0+(IF(ArtifactsInput!$M$15,CHOOSE(ArtifactsInput!$N$15+1,25,30,35,40,45,50)/100*(Inputs!$B$11-Inputs!$B$11),0))))/100+(Inputs!$B$23+0+(IF(ArtifactsInput!$M$15,CHOOSE(ArtifactsInput!$N$15+1,25,30,35,40,45,50)/100*(Inputs!$B$11-Inputs!$B$11),0)))/100)/2</f>
        <v/>
      </c>
      <c r="M931">
        <f>L931*(1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1">
        <f>L931*(1-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1">
        <f>(1-Summary!$B$11)*T931+Summary!$B$11*V931</f>
        <v/>
      </c>
      <c r="P931">
        <f>IF(B965=0,0,O931/B965)</f>
        <v/>
      </c>
      <c r="Q931" t="n">
        <v>0</v>
      </c>
      <c r="R931" t="n">
        <v>0</v>
      </c>
      <c r="S931">
        <f>IFERROR(O931/N931,0)</f>
        <v/>
      </c>
      <c r="T931">
        <f>IF(C931,(Skills!G2*N931*B959)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931*(1-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931*(1-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1">
        <f>MAX(0,(Inputs!$B$3-100)*3)+Inputs!$B$28+Inputs!$B$29</f>
        <v/>
      </c>
      <c r="V931">
        <f>IF(C931,(Skills!G2*N931*B959)*IF(Inputs!$B$38="pvp",1,(1+(Inputs!$B$21+Skills!Q2+(IF(ArtifactsInput!$M$33,CHOOSE(ArtifactsInput!$N$33+1,30,36,42,48,54,60),0))+(IF(AND(ArtifactsInput!$M$35,Inputs!$B$4&lt;&gt;"Chapter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2">
      <c r="A932">
        <f>Skills!A3</f>
        <v/>
      </c>
      <c r="B932">
        <f>Skills!B3</f>
        <v/>
      </c>
      <c r="C932">
        <f>Inputs!$B$3&gt;=35</f>
        <v/>
      </c>
      <c r="D932">
        <f>IF(Skills!C3=1,60+Inputs!$B$25+Inputs!$B$29,IF(Skills!C3=2,90+Inputs!$B$26+Inputs!$B$29,IF(Skills!C3=3,120+Inputs!$B$27+Inputs!$B$29,MAX(0,(Inputs!$B$3-100)*3)+Inputs!$B$28+Inputs!$B$29)))</f>
        <v/>
      </c>
      <c r="E932">
        <f>INDEX(FactorTable!$B$2:$Y$301, MATCH(ROUND(MIN(300,MAX(1,D932)),0), FactorTable!$A$2:$A$301,0), Skills!M3+1)</f>
        <v/>
      </c>
      <c r="F932">
        <f>IF(Skills!N3=TRUE,(Skills!L3/10)*(E932/1000),Skills!L3/10)+Skills!O3</f>
        <v/>
      </c>
      <c r="G932">
        <f>Skills!G3*IF(Skills!H3&gt;0,Skills!I3/Skills!H3,1)</f>
        <v/>
      </c>
      <c r="H932">
        <f>1-(1-Skills!J3/100)^Skills!K3</f>
        <v/>
      </c>
      <c r="I932" t="inlineStr">
        <is>
          <t>1</t>
        </is>
      </c>
      <c r="J932">
        <f>((Inputs!$B$6*(1+(Inputs!$B$7+1)/100))+(((Inputs!$B$12*(1+Inputs!$B$13/100))-(Inputs!$B$12*(1+Inputs!$B$13/100)))+0.25*(Inputs!$B$14-Inputs!$B$14))*(1+(Inputs!$B$7+1)/100))*(F932/100)</f>
        <v/>
      </c>
      <c r="K932">
        <f>J932*(1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949=TRUE)*(F949-Calc!F20)),(Inputs!$B$23+0+(IF(ArtifactsInput!$M$15,CHOOSE(ArtifactsInput!$N$15+1,25,30,35,40,45,50)/100*(Inputs!$B$11-Inputs!$B$11),0))))/100+(Inputs!$B$23+0+(IF(ArtifactsInput!$M$15,CHOOSE(ArtifactsInput!$N$15+1,25,30,35,40,45,50)/100*(Inputs!$B$11-Inputs!$B$11),0)))/100)/2</f>
        <v/>
      </c>
      <c r="M932">
        <f>L932*(1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IF(B965=0,0,O932/B965)</f>
        <v/>
      </c>
      <c r="Q932" t="n">
        <v>0</v>
      </c>
      <c r="R932" t="n">
        <v>0</v>
      </c>
      <c r="S932">
        <f>IFERROR(O932/N932,0)</f>
        <v/>
      </c>
      <c r="T932">
        <f>IF(C932,(Skills!G3*H932*N932*B959)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2">
        <f>INDEX(FactorTable!$B$2:$Y$301, MATCH(ROUND(MIN(300,MAX(1,U931)),0), FactorTable!$A$2:$A$301,0), 22)</f>
        <v/>
      </c>
      <c r="V932">
        <f>IF(C932,(Skills!G3*H932*N932*B959)*IF(Inputs!$B$38="pvp",1,(1+(Inputs!$B$21+Skills!Q3+(IF(ArtifactsInput!$M$33,CHOOSE(ArtifactsInput!$N$33+1,30,36,42,48,54,60),0))+(IF(AND(ArtifactsInput!$M$35,Inputs!$B$4&lt;&gt;"Chapter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Skills!A4</f>
        <v/>
      </c>
      <c r="B933">
        <f>Skills!B4</f>
        <v/>
      </c>
      <c r="C933">
        <f>Inputs!$B$3&gt;=60</f>
        <v/>
      </c>
      <c r="D933">
        <f>IF(Skills!C4=1,60+Inputs!$B$25+Inputs!$B$29,IF(Skills!C4=2,90+Inputs!$B$26+Inputs!$B$29,IF(Skills!C4=3,120+Inputs!$B$27+Inputs!$B$29,MAX(0,(Inputs!$B$3-100)*3)+Inputs!$B$28+Inputs!$B$29)))</f>
        <v/>
      </c>
      <c r="E933">
        <f>INDEX(FactorTable!$B$2:$Y$301, MATCH(ROUND(MIN(300,MAX(1,D933)),0), FactorTable!$A$2:$A$301,0), Skills!M4+1)</f>
        <v/>
      </c>
      <c r="F933">
        <f>IF(Skills!N4=TRUE,(Skills!L4/10)*(E933/1000),Skills!L4/10)+Skills!O4</f>
        <v/>
      </c>
      <c r="G933">
        <f>Skills!G4*IF(Skills!H4&gt;0,Skills!I4/Skills!H4,1)</f>
        <v/>
      </c>
      <c r="H933">
        <f>1-(1-Skills!J4/100)^Skills!K4</f>
        <v/>
      </c>
      <c r="I933" t="inlineStr">
        <is>
          <t>1</t>
        </is>
      </c>
      <c r="J933">
        <f>((Inputs!$B$6*(1+(Inputs!$B$7+1)/100))+(((Inputs!$B$12*(1+Inputs!$B$13/100))-(Inputs!$B$12*(1+Inputs!$B$13/100)))+0.25*(Inputs!$B$14-Inputs!$B$14))*(1+(Inputs!$B$7+1)/100))*(F933/100)</f>
        <v/>
      </c>
      <c r="K933">
        <f>J933*(1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941=TRUE,F941,0)/100)*(1+(IF(Skills!A4="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949=TRUE)*(F949-Calc!F20)),(Inputs!$B$23+0+(IF(ArtifactsInput!$M$15,CHOOSE(ArtifactsInput!$N$15+1,25,30,35,40,45,50)/100*(Inputs!$B$11-Inputs!$B$11),0))))/100+(Inputs!$B$23+0+(IF(ArtifactsInput!$M$15,CHOOSE(ArtifactsInput!$N$15+1,25,30,35,40,45,50)/100*(Inputs!$B$11-Inputs!$B$11),0)))/100)/2</f>
        <v/>
      </c>
      <c r="M933">
        <f>L933*(1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IF(B965=0,0,O933/B965)</f>
        <v/>
      </c>
      <c r="Q933" t="n">
        <v>0</v>
      </c>
      <c r="R933" t="n">
        <v>0</v>
      </c>
      <c r="S933">
        <f>IFERROR(O933/N933,0)</f>
        <v/>
      </c>
      <c r="T933">
        <f>IF(C933,(Skills!G4*H933*N933*B959)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3">
        <f>290*U932/1000</f>
        <v/>
      </c>
      <c r="V933">
        <f>IF(C933,(Skills!G4*H933*N933*B959)*IF(Inputs!$B$38="pvp",1,(1+(Inputs!$B$21+Skills!Q4+(IF(ArtifactsInput!$M$33,CHOOSE(ArtifactsInput!$N$33+1,30,36,42,48,54,60),0))+(IF(AND(ArtifactsInput!$M$35,Inputs!$B$4&lt;&gt;"Chapter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Skills!A5</f>
        <v/>
      </c>
      <c r="B934">
        <f>Skills!B5</f>
        <v/>
      </c>
      <c r="C934">
        <f>Inputs!$B$3&gt;=60</f>
        <v/>
      </c>
      <c r="D934">
        <f>IF(Skills!C5=1,60+Inputs!$B$25+Inputs!$B$29,IF(Skills!C5=2,90+Inputs!$B$26+Inputs!$B$29,IF(Skills!C5=3,120+Inputs!$B$27+Inputs!$B$29,MAX(0,(Inputs!$B$3-100)*3)+Inputs!$B$28+Inputs!$B$29)))</f>
        <v/>
      </c>
      <c r="E934">
        <f>INDEX(FactorTable!$B$2:$Y$301, MATCH(ROUND(MIN(300,MAX(1,D934)),0), FactorTable!$A$2:$A$301,0), Skills!M5+1)</f>
        <v/>
      </c>
      <c r="F934">
        <f>IF(Skills!N5=TRUE,(Skills!L5/10)*(E934/1000),Skills!L5/10)+Skills!O5</f>
        <v/>
      </c>
      <c r="G934">
        <f>Skills!G5*IF(Skills!H5&gt;0,Skills!I5/Skills!H5,1)</f>
        <v/>
      </c>
      <c r="H934">
        <f>1-(1-Skills!J5/100)^Skills!K5</f>
        <v/>
      </c>
      <c r="I934" t="inlineStr">
        <is>
          <t>1</t>
        </is>
      </c>
      <c r="J934" t="inlineStr"/>
      <c r="K934" t="inlineStr"/>
      <c r="L934" t="inlineStr"/>
      <c r="M934" t="inlineStr"/>
      <c r="N934" t="inlineStr"/>
      <c r="O934">
        <f>(1-Summary!$B$11)*T934+Summary!$B$11*V934</f>
        <v/>
      </c>
      <c r="P934">
        <f>IF(B965=0,0,O934/B965)</f>
        <v/>
      </c>
      <c r="Q934" t="n">
        <v>0</v>
      </c>
      <c r="R934" t="n">
        <v>0</v>
      </c>
      <c r="S934">
        <f>IFERROR(O934/N934,0)</f>
        <v/>
      </c>
      <c r="T934" t="n">
        <v>0</v>
      </c>
      <c r="V934" t="n">
        <v>0</v>
      </c>
    </row>
    <row r="935">
      <c r="A935">
        <f>Skills!A6</f>
        <v/>
      </c>
      <c r="B935">
        <f>Skills!B6</f>
        <v/>
      </c>
      <c r="C935">
        <f>Inputs!$B$3&gt;=63</f>
        <v/>
      </c>
      <c r="D935">
        <f>IF(Skills!C6=1,60+Inputs!$B$25+Inputs!$B$29,IF(Skills!C6=2,90+Inputs!$B$26+Inputs!$B$29,IF(Skills!C6=3,120+Inputs!$B$27+Inputs!$B$29,MAX(0,(Inputs!$B$3-100)*3)+Inputs!$B$28+Inputs!$B$29)))</f>
        <v/>
      </c>
      <c r="E935">
        <f>INDEX(FactorTable!$B$2:$Y$301, MATCH(ROUND(MIN(300,MAX(1,D935)),0), FactorTable!$A$2:$A$301,0), Skills!M6+1)</f>
        <v/>
      </c>
      <c r="F935">
        <f>IF(Skills!N6=TRUE,(Skills!L6/10)*(E935/1000),Skills!L6/10)+Skills!O6</f>
        <v/>
      </c>
      <c r="G935">
        <f>Skills!G6*IF(Skills!H6&gt;0,Skills!I6/Skills!H6,1)</f>
        <v/>
      </c>
      <c r="H935">
        <f>1-(1-Skills!J6/100)^Skills!K6</f>
        <v/>
      </c>
      <c r="I935" t="inlineStr">
        <is>
          <t>1</t>
        </is>
      </c>
      <c r="J935">
        <f>((Inputs!$B$6*(1+(Inputs!$B$7+1)/100))+(((Inputs!$B$12*(1+Inputs!$B$13/100))-(Inputs!$B$12*(1+Inputs!$B$13/100)))+0.25*(Inputs!$B$14-Inputs!$B$14))*(1+(Inputs!$B$7+1)/100))*(F935/100)</f>
        <v/>
      </c>
      <c r="K935">
        <f>J935*(1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941=TRUE,F941,0)/100)*(1+(IF(Skills!A6="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949=TRUE)*(F949-Calc!F20)),(Inputs!$B$23+0+(IF(ArtifactsInput!$M$15,CHOOSE(ArtifactsInput!$N$15+1,25,30,35,40,45,50)/100*(Inputs!$B$11-Inputs!$B$11),0))))/100+(Inputs!$B$23+0+(IF(ArtifactsInput!$M$15,CHOOSE(ArtifactsInput!$N$15+1,25,30,35,40,45,50)/100*(Inputs!$B$11-Inputs!$B$11),0)))/100)/2</f>
        <v/>
      </c>
      <c r="M935">
        <f>L935*(1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IF(B965=0,0,O935/B965)</f>
        <v/>
      </c>
      <c r="Q935">
        <f>IFERROR(1/(IF(Inputs!$B$38="pvp",15,MAX(0.1,Skills!D6-IF(Skills!E6=TRUE,Inputs!$B$32,0)))*(1-IF(AND(ArtifactsInput!$M$27,Inputs!$B$4="Chapter Hunt"),CHOOSE(ArtifactsInput!$N$27+1,20,24,28,32,36,40),0)/100)),0)</f>
        <v/>
      </c>
      <c r="R935">
        <f>IF(AND(Inputs!$B$38&lt;&gt;"pvp",Inputs!$B$43&gt;0),IF(MAX(0,Inputs!$B$43-B962)&lt;=0,0,(INT(MAX(0,Inputs!$B$43-B962)/(IF(Inputs!$B$38="pvp",15,MAX(0.1,Skills!D6-IF(Skills!E6=TRUE,Inputs!$B$32,0)))*(1-IF(AND(ArtifactsInput!$M$27,Inputs!$B$4="Chapter Hunt"),CHOOSE(ArtifactsInput!$N$27+1,20,24,28,32,36,40),0)/100)))+1)),0)</f>
        <v/>
      </c>
      <c r="S935">
        <f>IFERROR(O935/N935,0)</f>
        <v/>
      </c>
      <c r="T935">
        <f>IF(C935,(H935*N935*IF(AND(Inputs!$B$38&lt;&gt;"pvp",Inputs!$B$43&gt;0),((Skills!G6*((R935-1)*IF(Skills!H6&gt;0,Skills!I6/Skills!H6,1)+IF(Skills!H6&gt;0,MIN(Skills!I6,MAX(0,MAX(0,Inputs!$B$43-B962)-((R935-1)*(IF(Inputs!$B$38="pvp",15,MAX(0.1,Skills!D6-IF(Skills!E6=TRUE,Inputs!$B$32,0)))*(1-IF(AND(ArtifactsInput!$M$27,Inputs!$B$4="Chapter Hunt"),CHOOSE(ArtifactsInput!$N$27+1,20,24,28,32,36,40),0)/100)))))/Skills!H6,1)))/Inputs!$B$43),G935*Q935)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6*((R935-1)*IF(Skills!H6&gt;0,Skills!I6/Skills!H6,1)+IF(Skills!H6&gt;0,MIN(Skills!I6,MAX(0,MAX(0,Inputs!$B$43-B962)-((R935-1)*(IF(Inputs!$B$38="pvp",15,MAX(0.1,Skills!D6-IF(Skills!E6=TRUE,Inputs!$B$32,0)))*(1-IF(AND(ArtifactsInput!$M$27,Inputs!$B$4="Chapter Hunt"),CHOOSE(ArtifactsInput!$N$27+1,20,24,28,32,36,40),0)/100)))))/Skills!H6,1)))/Inputs!$B$43),G935*Q935))*IF(Inputs!$B$38="pvp",1,(1+(Inputs!$B$21+Skills!Q6+(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Skills!A7</f>
        <v/>
      </c>
      <c r="B936">
        <f>Skills!B7</f>
        <v/>
      </c>
      <c r="C936">
        <f>Inputs!$B$3&gt;=100</f>
        <v/>
      </c>
      <c r="D936">
        <f>IF(Skills!C7=1,60+Inputs!$B$25+Inputs!$B$29,IF(Skills!C7=2,90+Inputs!$B$26+Inputs!$B$29,IF(Skills!C7=3,120+Inputs!$B$27+Inputs!$B$29,MAX(0,(Inputs!$B$3-100)*3)+Inputs!$B$28+Inputs!$B$29)))</f>
        <v/>
      </c>
      <c r="E936">
        <f>INDEX(FactorTable!$B$2:$Y$301, MATCH(ROUND(MIN(300,MAX(1,D936)),0), FactorTable!$A$2:$A$301,0), Skills!M7+1)</f>
        <v/>
      </c>
      <c r="F936">
        <f>IF(Skills!N7=TRUE,(Skills!L7/10)*(E936/1000),Skills!L7/10)+Skills!O7</f>
        <v/>
      </c>
      <c r="G936">
        <f>Skills!G7*IF(Skills!H7&gt;0,Skills!I7/Skills!H7,1)</f>
        <v/>
      </c>
      <c r="H936">
        <f>1-(1-Skills!J7/100)^Skills!K7</f>
        <v/>
      </c>
      <c r="I936" t="inlineStr">
        <is>
          <t>1</t>
        </is>
      </c>
      <c r="J936">
        <f>((Inputs!$B$6*(1+(Inputs!$B$7+1)/100))+(((Inputs!$B$12*(1+Inputs!$B$13/100))-(Inputs!$B$12*(1+Inputs!$B$13/100)))+0.25*(Inputs!$B$14-Inputs!$B$14))*(1+(Inputs!$B$7+1)/100))*(F936/100)</f>
        <v/>
      </c>
      <c r="K936">
        <f>J936*(1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949=TRUE)*(F949-Calc!F20)),(Inputs!$B$23+0+(IF(ArtifactsInput!$M$15,CHOOSE(ArtifactsInput!$N$15+1,25,30,35,40,45,50)/100*(Inputs!$B$11-Inputs!$B$11),0))))/100+(Inputs!$B$23+0+(IF(ArtifactsInput!$M$15,CHOOSE(ArtifactsInput!$N$15+1,25,30,35,40,45,50)/100*(Inputs!$B$11-Inputs!$B$11),0)))/100)/2</f>
        <v/>
      </c>
      <c r="M936">
        <f>L936*(1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IF(B965=0,0,O936/B965)</f>
        <v/>
      </c>
      <c r="Q936">
        <f>IFERROR(1/(IF(Inputs!$B$38="pvp",15,MAX(0.1,Skills!D7-IF(Skills!E7=TRUE,Inputs!$B$32,0)))*(1-IF(AND(ArtifactsInput!$M$27,Inputs!$B$4="Chapter Hunt"),CHOOSE(ArtifactsInput!$N$27+1,20,24,28,32,36,40),0)/100)),0)</f>
        <v/>
      </c>
      <c r="R936">
        <f>IF(AND(Inputs!$B$38&lt;&gt;"pvp",Inputs!$B$43&gt;0),IF(MAX(0,Inputs!$B$43-B962)&lt;=0,0,(INT(MAX(0,Inputs!$B$43-B962)/(IF(Inputs!$B$38="pvp",15,MAX(0.1,Skills!D7-IF(Skills!E7=TRUE,Inputs!$B$32,0)))*(1-IF(AND(ArtifactsInput!$M$27,Inputs!$B$4="Chapter Hunt"),CHOOSE(ArtifactsInput!$N$27+1,20,24,28,32,36,40),0)/100)))+1)),0)</f>
        <v/>
      </c>
      <c r="S936">
        <f>IFERROR(O936/N936,0)</f>
        <v/>
      </c>
      <c r="T936">
        <f>IF(C936,(H936*N936*IF(AND(Inputs!$B$38&lt;&gt;"pvp",Inputs!$B$43&gt;0),((Skills!G7*((R936-1)*IF(Skills!H7&gt;0,Skills!I7/Skills!H7,1)+IF(Skills!H7&gt;0,MIN(Skills!I7,MAX(0,MAX(0,Inputs!$B$43-B962)-((R936-1)*(IF(Inputs!$B$38="pvp",15,MAX(0.1,Skills!D7-IF(Skills!E7=TRUE,Inputs!$B$32,0)))*(1-IF(AND(ArtifactsInput!$M$27,Inputs!$B$4="Chapter Hunt"),CHOOSE(ArtifactsInput!$N$27+1,20,24,28,32,36,40),0)/100)))))/Skills!H7,1)))/Inputs!$B$43),G936*Q936)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H936*N936*IF(AND(Inputs!$B$38&lt;&gt;"pvp",Inputs!$B$43&gt;0),((Skills!G7*((R936-1)*IF(Skills!H7&gt;0,Skills!I7/Skills!H7,1)+IF(Skills!H7&gt;0,MIN(Skills!I7,MAX(0,MAX(0,Inputs!$B$43-B962)-((R936-1)*(IF(Inputs!$B$38="pvp",15,MAX(0.1,Skills!D7-IF(Skills!E7=TRUE,Inputs!$B$32,0)))*(1-IF(AND(ArtifactsInput!$M$27,Inputs!$B$4="Chapter Hunt"),CHOOSE(ArtifactsInput!$N$27+1,20,24,28,32,36,40),0)/100)))))/Skills!H7,1)))/Inputs!$B$43),G936*Q936))*IF(Inputs!$B$38="pvp",1,(1+(Inputs!$B$21+Skills!Q7+(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Skills!A8</f>
        <v/>
      </c>
      <c r="B937">
        <f>Skills!B8</f>
        <v/>
      </c>
      <c r="C937">
        <f>Inputs!$B$3&gt;=110</f>
        <v/>
      </c>
      <c r="D937">
        <f>IF(Skills!C8=1,60+Inputs!$B$25+Inputs!$B$29,IF(Skills!C8=2,90+Inputs!$B$26+Inputs!$B$29,IF(Skills!C8=3,120+Inputs!$B$27+Inputs!$B$29,MAX(0,(Inputs!$B$3-100)*3)+Inputs!$B$28+Inputs!$B$29)))</f>
        <v/>
      </c>
      <c r="E937">
        <f>INDEX(FactorTable!$B$2:$Y$301, MATCH(ROUND(MIN(300,MAX(1,D937)),0), FactorTable!$A$2:$A$301,0), Skills!M8+1)</f>
        <v/>
      </c>
      <c r="F937">
        <f>IF(Skills!N8=TRUE,(Skills!L8/10)*(E937/1000),Skills!L8/10)+Skills!O8</f>
        <v/>
      </c>
      <c r="G937">
        <f>Skills!G8*IF(Skills!H8&gt;0,Skills!I8/Skills!H8,1)</f>
        <v/>
      </c>
      <c r="H937">
        <f>1-(1-Skills!J8/100)^Skills!K8</f>
        <v/>
      </c>
      <c r="I937" t="inlineStr">
        <is>
          <t>1</t>
        </is>
      </c>
      <c r="J937">
        <f>((Inputs!$B$6*(1+(Inputs!$B$7+1)/100))+(((Inputs!$B$12*(1+Inputs!$B$13/100))-(Inputs!$B$12*(1+Inputs!$B$13/100)))+0.25*(Inputs!$B$14-Inputs!$B$14))*(1+(Inputs!$B$7+1)/100))*(F937/100)</f>
        <v/>
      </c>
      <c r="K937">
        <f>J937*(1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949=TRUE)*(F949-Calc!F20)),(Inputs!$B$23+0+(IF(ArtifactsInput!$M$15,CHOOSE(ArtifactsInput!$N$15+1,25,30,35,40,45,50)/100*(Inputs!$B$11-Inputs!$B$11),0))))/100+(Inputs!$B$23+0+(IF(ArtifactsInput!$M$15,CHOOSE(ArtifactsInput!$N$15+1,25,30,35,40,45,50)/100*(Inputs!$B$11-Inputs!$B$11),0)))/100)/2</f>
        <v/>
      </c>
      <c r="M937">
        <f>L937*(1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IF(B965=0,0,O937/B965)</f>
        <v/>
      </c>
      <c r="Q937">
        <f>IFERROR(1/(IF(Inputs!$B$38="pvp",15,MAX(0.1,Skills!D8-IF(Skills!E8=TRUE,Inputs!$B$32,0)))*(1-IF(AND(ArtifactsInput!$M$27,Inputs!$B$4="Chapter Hunt"),CHOOSE(ArtifactsInput!$N$27+1,20,24,28,32,36,40),0)/100)),0)</f>
        <v/>
      </c>
      <c r="R937">
        <f>IF(AND(Inputs!$B$38&lt;&gt;"pvp",Inputs!$B$43&gt;0),IF(MAX(0,Inputs!$B$43-B962)&lt;=0,0,(INT(MAX(0,Inputs!$B$43-B962)/(IF(Inputs!$B$38="pvp",15,MAX(0.1,Skills!D8-IF(Skills!E8=TRUE,Inputs!$B$32,0)))*(1-IF(AND(ArtifactsInput!$M$27,Inputs!$B$4="Chapter Hunt"),CHOOSE(ArtifactsInput!$N$27+1,20,24,28,32,36,40),0)/100)))+1)),0)</f>
        <v/>
      </c>
      <c r="S937">
        <f>IFERROR(O937/N937,0)</f>
        <v/>
      </c>
      <c r="T937">
        <f>IF(C937,(H937*N937*IF(AND(Inputs!$B$38&lt;&gt;"pvp",Inputs!$B$43&gt;0),((Skills!G8*((R937-1)*IF(Skills!H8&gt;0,Skills!I8/Skills!H8,1)+IF(Skills!H8&gt;0,MIN(Skills!I8,MAX(0,MAX(0,Inputs!$B$43-B962)-((R937-1)*(IF(Inputs!$B$38="pvp",15,MAX(0.1,Skills!D8-IF(Skills!E8=TRUE,Inputs!$B$32,0)))*(1-IF(AND(ArtifactsInput!$M$27,Inputs!$B$4="Chapter Hunt"),CHOOSE(ArtifactsInput!$N$27+1,20,24,28,32,36,40),0)/100)))))/Skills!H8,1)))/Inputs!$B$43),G937*Q937)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N937*IF(AND(Inputs!$B$38&lt;&gt;"pvp",Inputs!$B$43&gt;0),((Skills!G8*((R937-1)*IF(Skills!H8&gt;0,Skills!I8/Skills!H8,1)+IF(Skills!H8&gt;0,MIN(Skills!I8,MAX(0,MAX(0,Inputs!$B$43-B962)-((R937-1)*(IF(Inputs!$B$38="pvp",15,MAX(0.1,Skills!D8-IF(Skills!E8=TRUE,Inputs!$B$32,0)))*(1-IF(AND(ArtifactsInput!$M$27,Inputs!$B$4="Chapter Hunt"),CHOOSE(ArtifactsInput!$N$27+1,20,24,28,32,36,40),0)/100)))))/Skills!H8,1)))/Inputs!$B$43),G937*Q937))*IF(Inputs!$B$38="pvp",1,(1+(Inputs!$B$21+Skills!Q8+(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Skills!A9</f>
        <v/>
      </c>
      <c r="B938">
        <f>Skills!B9</f>
        <v/>
      </c>
      <c r="C938">
        <f>Inputs!$B$3&gt;=110</f>
        <v/>
      </c>
      <c r="D938">
        <f>IF(Skills!C9=1,60+Inputs!$B$25+Inputs!$B$29,IF(Skills!C9=2,90+Inputs!$B$26+Inputs!$B$29,IF(Skills!C9=3,120+Inputs!$B$27+Inputs!$B$29,MAX(0,(Inputs!$B$3-100)*3)+Inputs!$B$28+Inputs!$B$29)))</f>
        <v/>
      </c>
      <c r="E938">
        <f>INDEX(FactorTable!$B$2:$Y$301, MATCH(ROUND(MIN(300,MAX(1,D938)),0), FactorTable!$A$2:$A$301,0), Skills!M9+1)</f>
        <v/>
      </c>
      <c r="F938">
        <f>IF(Skills!N9=TRUE,(Skills!L9/10)*(E938/1000),Skills!L9/10)+Skills!O9</f>
        <v/>
      </c>
      <c r="G938">
        <f>Skills!G9*IF(Skills!H9&gt;0,Skills!I9/Skills!H9,1)</f>
        <v/>
      </c>
      <c r="H938">
        <f>1-(1-Skills!J9/100)^Skills!K9</f>
        <v/>
      </c>
      <c r="I938" t="inlineStr">
        <is>
          <t>1</t>
        </is>
      </c>
      <c r="J938">
        <f>((Inputs!$B$6*(1+(Inputs!$B$7+1)/100))+(((Inputs!$B$12*(1+Inputs!$B$13/100))-(Inputs!$B$12*(1+Inputs!$B$13/100)))+0.25*(Inputs!$B$14-Inputs!$B$14))*(1+(Inputs!$B$7+1)/100))*(F938/100)</f>
        <v/>
      </c>
      <c r="K938">
        <f>J938*(1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938)</f>
        <v/>
      </c>
      <c r="L938">
        <f>K938*(MIN(Inputs!$B$22+((C949=TRUE)*(F949-Calc!F20)),(Inputs!$B$23+0+(IF(ArtifactsInput!$M$15,CHOOSE(ArtifactsInput!$N$15+1,25,30,35,40,45,50)/100*(Inputs!$B$11-Inputs!$B$11),0))))/100+(Inputs!$B$23+0+(IF(ArtifactsInput!$M$15,CHOOSE(ArtifactsInput!$N$15+1,25,30,35,40,45,50)/100*(Inputs!$B$11-Inputs!$B$11),0)))/100)/2</f>
        <v/>
      </c>
      <c r="M938">
        <f>L938*(1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8">
        <f>L938*(1-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938*(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8">
        <f>(1-Summary!$B$11)*T938+Summary!$B$11*V938</f>
        <v/>
      </c>
      <c r="P938">
        <f>IF(B965=0,0,O938/B965)</f>
        <v/>
      </c>
      <c r="Q938">
        <f>IFERROR(1/(IF(Inputs!$B$38="pvp",15,MAX(0.1,Skills!D9-IF(Skills!E9=TRUE,Inputs!$B$32,0)))*(1-IF(AND(ArtifactsInput!$M$27,Inputs!$B$4="Chapter Hunt"),CHOOSE(ArtifactsInput!$N$27+1,20,24,28,32,36,40),0)/100)),0)</f>
        <v/>
      </c>
      <c r="R938">
        <f>IF(AND(Inputs!$B$38&lt;&gt;"pvp",Inputs!$B$43&gt;0),IF(MAX(0,Inputs!$B$43-B962)&lt;=0,0,(INT(MAX(0,Inputs!$B$43-B962)/(IF(Inputs!$B$38="pvp",15,MAX(0.1,Skills!D9-IF(Skills!E9=TRUE,Inputs!$B$32,0)))*(1-IF(AND(ArtifactsInput!$M$27,Inputs!$B$4="Chapter Hunt"),CHOOSE(ArtifactsInput!$N$27+1,20,24,28,32,36,40),0)/100)))+1)),0)</f>
        <v/>
      </c>
      <c r="S938">
        <f>IFERROR(O938/N938,0)</f>
        <v/>
      </c>
      <c r="T938">
        <f>IF(C938,(H938*N938*IF(AND(Inputs!$B$38&lt;&gt;"pvp",Inputs!$B$43&gt;0),((Skills!G9*((R938-1)*IF(Skills!H9&gt;0,Skills!I9/Skills!H9,1)+IF(Skills!H9&gt;0,MIN(Skills!I9,MAX(0,MAX(0,Inputs!$B$43-B962)-((R938-1)*(IF(Inputs!$B$38="pvp",15,MAX(0.1,Skills!D9-IF(Skills!E9=TRUE,Inputs!$B$32,0)))*(1-IF(AND(ArtifactsInput!$M$27,Inputs!$B$4="Chapter Hunt"),CHOOSE(ArtifactsInput!$N$27+1,20,24,28,32,36,40),0)/100)))))/Skills!H9,1)))/Inputs!$B$43),G938*Q938)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938*(1-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938*(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938*(1-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938*(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8">
        <f>IF(C938,(H938*N938*IF(AND(Inputs!$B$38&lt;&gt;"pvp",Inputs!$B$43&gt;0),((Skills!G9*((R938-1)*IF(Skills!H9&gt;0,Skills!I9/Skills!H9,1)+IF(Skills!H9&gt;0,MIN(Skills!I9,MAX(0,MAX(0,Inputs!$B$43-B962)-((R938-1)*(IF(Inputs!$B$38="pvp",15,MAX(0.1,Skills!D9-IF(Skills!E9=TRUE,Inputs!$B$32,0)))*(1-IF(AND(ArtifactsInput!$M$27,Inputs!$B$4="Chapter Hunt"),CHOOSE(ArtifactsInput!$N$27+1,20,24,28,32,36,40),0)/100)))))/Skills!H9,1)))/Inputs!$B$43),G938*Q938))*IF(Inputs!$B$38="pvp",1,(1+(Inputs!$B$21+Skills!Q9+(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9">
      <c r="A939">
        <f>Skills!A10</f>
        <v/>
      </c>
      <c r="B939">
        <f>Skills!B10</f>
        <v/>
      </c>
      <c r="C939">
        <f>Inputs!$B$3&gt;=103</f>
        <v/>
      </c>
      <c r="D939">
        <f>IF(Skills!C10=1,60+Inputs!$B$25+Inputs!$B$29,IF(Skills!C10=2,90+Inputs!$B$26+Inputs!$B$29,IF(Skills!C10=3,120+Inputs!$B$27+Inputs!$B$29,MAX(0,(Inputs!$B$3-100)*3)+Inputs!$B$28+Inputs!$B$29)))</f>
        <v/>
      </c>
      <c r="E939">
        <f>INDEX(FactorTable!$B$2:$Y$301, MATCH(ROUND(MIN(300,MAX(1,D939)),0), FactorTable!$A$2:$A$301,0), Skills!M10+1)</f>
        <v/>
      </c>
      <c r="F939">
        <f>IF(Skills!N10=TRUE,(Skills!L10/10)*(E939/1000),Skills!L10/10)+Skills!O10</f>
        <v/>
      </c>
      <c r="G939">
        <f>Skills!G10*IF(Skills!H10&gt;0,Skills!I10/Skills!H10,1)</f>
        <v/>
      </c>
      <c r="H939">
        <f>1-(1-Skills!J10/100)^Skills!K10</f>
        <v/>
      </c>
      <c r="I939" t="inlineStr">
        <is>
          <t>1</t>
        </is>
      </c>
      <c r="J939">
        <f>((Inputs!$B$6*(1+(Inputs!$B$7+1)/100))+(((Inputs!$B$12*(1+Inputs!$B$13/100))-(Inputs!$B$12*(1+Inputs!$B$13/100)))+0.25*(Inputs!$B$14-Inputs!$B$14))*(1+(Inputs!$B$7+1)/100))*(F939/100)</f>
        <v/>
      </c>
      <c r="K939">
        <f>J939*(1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939)</f>
        <v/>
      </c>
      <c r="L939">
        <f>K939*(MIN(Inputs!$B$22+((C949=TRUE)*(F949-Calc!F20)),(Inputs!$B$23+0+(IF(ArtifactsInput!$M$15,CHOOSE(ArtifactsInput!$N$15+1,25,30,35,40,45,50)/100*(Inputs!$B$11-Inputs!$B$11),0))))/100+(Inputs!$B$23+0+(IF(ArtifactsInput!$M$15,CHOOSE(ArtifactsInput!$N$15+1,25,30,35,40,45,50)/100*(Inputs!$B$11-Inputs!$B$11),0)))/100)/2</f>
        <v/>
      </c>
      <c r="M939">
        <f>L939*(1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9">
        <f>L939*(1-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939*(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9">
        <f>(1-Summary!$B$11)*T939+Summary!$B$11*V939</f>
        <v/>
      </c>
      <c r="P939">
        <f>IF(B965=0,0,O939/B965)</f>
        <v/>
      </c>
      <c r="Q939">
        <f>IFERROR(1/(IF(Inputs!$B$38="pvp",15,MAX(0.1,Skills!D10-IF(Skills!E10=TRUE,Inputs!$B$32,0)))*(1-IF(AND(ArtifactsInput!$M$27,Inputs!$B$4="Chapter Hunt"),CHOOSE(ArtifactsInput!$N$27+1,20,24,28,32,36,40),0)/100)),0)</f>
        <v/>
      </c>
      <c r="R939">
        <f>IF(AND(Inputs!$B$38&lt;&gt;"pvp",Inputs!$B$43&gt;0),IF(MAX(0,Inputs!$B$43-B962)&lt;=0,0,(INT(MAX(0,Inputs!$B$43-B962)/(IF(Inputs!$B$38="pvp",15,MAX(0.1,Skills!D10-IF(Skills!E10=TRUE,Inputs!$B$32,0)))*(1-IF(AND(ArtifactsInput!$M$27,Inputs!$B$4="Chapter Hunt"),CHOOSE(ArtifactsInput!$N$27+1,20,24,28,32,36,40),0)/100)))+1)),0)</f>
        <v/>
      </c>
      <c r="S939">
        <f>IFERROR(O939/N939,0)</f>
        <v/>
      </c>
      <c r="T939">
        <f>IF(C939,(H939*N939*IF(AND(Inputs!$B$38&lt;&gt;"pvp",Inputs!$B$43&gt;0),((Skills!G10*((R939-1)*IF(Skills!H10&gt;0,Skills!I10/Skills!H10,1)+IF(Skills!H10&gt;0,MIN(Skills!I10,MAX(0,MAX(0,Inputs!$B$43-B962)-((R939-1)*(IF(Inputs!$B$38="pvp",15,MAX(0.1,Skills!D10-IF(Skills!E10=TRUE,Inputs!$B$32,0)))*(1-IF(AND(ArtifactsInput!$M$27,Inputs!$B$4="Chapter Hunt"),CHOOSE(ArtifactsInput!$N$27+1,20,24,28,32,36,40),0)/100)))))/Skills!H10,1)))/Inputs!$B$43),G939*Q939)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939*(1-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939*(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939*(1-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939*(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9">
        <f>IF(C939,(H939*N939*IF(AND(Inputs!$B$38&lt;&gt;"pvp",Inputs!$B$43&gt;0),((Skills!G10*((R939-1)*IF(Skills!H10&gt;0,Skills!I10/Skills!H10,1)+IF(Skills!H10&gt;0,MIN(Skills!I10,MAX(0,MAX(0,Inputs!$B$43-B962)-((R939-1)*(IF(Inputs!$B$38="pvp",15,MAX(0.1,Skills!D10-IF(Skills!E10=TRUE,Inputs!$B$32,0)))*(1-IF(AND(ArtifactsInput!$M$27,Inputs!$B$4="Chapter Hunt"),CHOOSE(ArtifactsInput!$N$27+1,20,24,28,32,36,40),0)/100)))))/Skills!H10,1)))/Inputs!$B$43),G939*Q939))*IF(Inputs!$B$38="pvp",1,(1+(Inputs!$B$21+Skills!Q10+(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0">
      <c r="A940">
        <f>Skills!A11</f>
        <v/>
      </c>
      <c r="B940">
        <f>Skills!B11</f>
        <v/>
      </c>
      <c r="C940">
        <f>Inputs!$B$3&gt;=113</f>
        <v/>
      </c>
      <c r="D940">
        <f>IF(Skills!C11=1,60+Inputs!$B$25+Inputs!$B$29,IF(Skills!C11=2,90+Inputs!$B$26+Inputs!$B$29,IF(Skills!C11=3,120+Inputs!$B$27+Inputs!$B$29,MAX(0,(Inputs!$B$3-100)*3)+Inputs!$B$28+Inputs!$B$29)))</f>
        <v/>
      </c>
      <c r="E940">
        <f>INDEX(FactorTable!$B$2:$Y$301, MATCH(ROUND(MIN(300,MAX(1,D940)),0), FactorTable!$A$2:$A$301,0), Skills!M11+1)</f>
        <v/>
      </c>
      <c r="F940">
        <f>IF(Skills!N11=TRUE,(Skills!L11/10)*(E940/1000),Skills!L11/10)+Skills!O11</f>
        <v/>
      </c>
      <c r="G940">
        <f>Skills!G11*IF(Skills!H11&gt;0,Skills!I11/Skills!H11,1)</f>
        <v/>
      </c>
      <c r="H940">
        <f>1-(1-Skills!J11/100)^Skills!K11</f>
        <v/>
      </c>
      <c r="I940" t="inlineStr">
        <is>
          <t>1</t>
        </is>
      </c>
      <c r="J940">
        <f>((Inputs!$B$6*(1+(Inputs!$B$7+1)/100))+(((Inputs!$B$12*(1+Inputs!$B$13/100))-(Inputs!$B$12*(1+Inputs!$B$13/100)))+0.25*(Inputs!$B$14-Inputs!$B$14))*(1+(Inputs!$B$7+1)/100))*(F940/100)</f>
        <v/>
      </c>
      <c r="K940">
        <f>J940*(1+((Inputs!$B$12*(1+Inputs!$B$13/100))*0.01+Inputs!$B$14*0.0025)/100)*(1+Inputs!$B$15/100)*(1+Inputs!$B$16/100)*(5000/(6000+Inputs!$B$42*(1-(100*(1-(1-(Inputs!$B$19+0)/100)*(1-CHOOSE(ArtifactsInput!$N$40+1,5,6,7,8,9,10)/100)^(ArtifactsInput!$M$40-ArtifactsInput!$M$40)))/100)))*(1+(Inputs!$B$24+((C951=TRUE)*(F951-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950=TRUE)*(F950-Calc!F21))+(((IF(AND(ArtifactsInput!$M$42,((Inputs!$B$9+((C945=TRUE)*(F945-Calc!F16))+B955+(ArtifactsInput!$M$24-ArtifactsInput!$M$24)*CHOOSE(ArtifactsInput!$N$24+1,10,12,14,16,18,20)+IF(ArtifactsInput!$M$10,CHOOSE(ArtifactsInput!$N$10+1,15,18,21,24,27,30)*(IF(Inputs!$B$38="pvp",MIN(15,15)/15,IF(AND(Inputs!$B$38&lt;&gt;"pvp",Inputs!$B$43&gt;0),MIN(15,Inputs!$B$43)/(Inputs!$B$43),0))),0)))&gt;=100),MIN(100,((Inputs!$B$9+((C945=TRUE)*(F945-Calc!F16))+B955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945=TRUE)*(F945-Calc!F16))+B955+(ArtifactsInput!$M$24-ArtifactsInput!$M$24)*CHOOSE(ArtifactsInput!$N$24+1,10,12,14,16,18,20)+IF(ArtifactsInput!$M$10,CHOOSE(ArtifactsInput!$N$10+1,15,18,21,24,27,30)*(IF(Inputs!$B$38="pvp",MIN(15,15)/15,IF(AND(Inputs!$B$38&lt;&gt;"pvp",Inputs!$B$43&gt;0),MIN(15,Inputs!$B$43)/(Inputs!$B$43),0))),0)))&gt;=100),CHOOSE(ArtifactsInput!$N$42+1,40,48,56,64,72,80),0))))/100)*((1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940)</f>
        <v/>
      </c>
      <c r="L940">
        <f>K940*(MIN(Inputs!$B$22+((C949=TRUE)*(F949-Calc!F20)),(Inputs!$B$23+0+(IF(ArtifactsInput!$M$15,CHOOSE(ArtifactsInput!$N$15+1,25,30,35,40,45,50)/100*(Inputs!$B$11-Inputs!$B$11),0))))/100+(Inputs!$B$23+0+(IF(ArtifactsInput!$M$15,CHOOSE(ArtifactsInput!$N$15+1,25,30,35,40,45,50)/100*(Inputs!$B$11-Inputs!$B$11),0)))/100)/2</f>
        <v/>
      </c>
      <c r="M940">
        <f>L940*(1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40">
        <f>L940*(1-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940*(MIN((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40">
        <f>(1-Summary!$B$11)*T940+Summary!$B$11*V940</f>
        <v/>
      </c>
      <c r="P940">
        <f>IF(B965=0,0,O940/B965)</f>
        <v/>
      </c>
      <c r="Q940">
        <f>IFERROR(1/(IF(Inputs!$B$38="pvp",15,MAX(0.1,Skills!D11-IF(Skills!E11=TRUE,Inputs!$B$32,0)))*(1-IF(AND(ArtifactsInput!$M$27,Inputs!$B$4="Chapter Hunt"),CHOOSE(ArtifactsInput!$N$27+1,20,24,28,32,36,40),0)/100)),0)</f>
        <v/>
      </c>
      <c r="R940">
        <f>IF(AND(Inputs!$B$38&lt;&gt;"pvp",Inputs!$B$43&gt;0),IF(MAX(0,Inputs!$B$43-B962)&lt;=0,0,(INT(MAX(0,Inputs!$B$43-B962)/(IF(Inputs!$B$38="pvp",15,MAX(0.1,Skills!D11-IF(Skills!E11=TRUE,Inputs!$B$32,0)))*(1-IF(AND(ArtifactsInput!$M$27,Inputs!$B$4="Chapter Hunt"),CHOOSE(ArtifactsInput!$N$27+1,20,24,28,32,36,40),0)/100)))+1)),0)</f>
        <v/>
      </c>
      <c r="S940">
        <f>IFERROR(O940/N940,0)</f>
        <v/>
      </c>
      <c r="T940">
        <f>IF(C940,(H940*N940*IF(AND(Inputs!$B$38&lt;&gt;"pvp",Inputs!$B$43&gt;0),((Skills!G11*((R940-1)*IF(Skills!H11&gt;0,Skills!I11/Skills!H11,1)+IF(Skills!H11&gt;0,MIN(Skills!I11,MAX(0,MAX(0,Inputs!$B$43-B962)-((R940-1)*(IF(Inputs!$B$38="pvp",15,MAX(0.1,Skills!D11-IF(Skills!E11=TRUE,Inputs!$B$32,0)))*(1-IF(AND(ArtifactsInput!$M$27,Inputs!$B$4="Chapter Hunt"),CHOOSE(ArtifactsInput!$N$27+1,20,24,28,32,36,40),0)/100)))))/Skills!H11,1)))/Inputs!$B$43),G940*Q940)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940*(1-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940*(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940*(1-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940*(MIN(100,(Inputs!$B$9+((C945=TRUE)*(F945-Calc!F16))+B955+(ArtifactsInput!$M$24-ArtifactsInput!$M$24)*CHOOSE(ArtifactsInput!$N$24+1,10,12,14,16,18,20)+(IF(AND(ArtifactsInput!$M$42,((Inputs!$B$9+((C945=TRUE)*(F945-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40">
        <f>IF(C940,(H940*N940*IF(AND(Inputs!$B$38&lt;&gt;"pvp",Inputs!$B$43&gt;0),((Skills!G11*((R940-1)*IF(Skills!H11&gt;0,Skills!I11/Skills!H11,1)+IF(Skills!H11&gt;0,MIN(Skills!I11,MAX(0,MAX(0,Inputs!$B$43-B962)-((R940-1)*(IF(Inputs!$B$38="pvp",15,MAX(0.1,Skills!D11-IF(Skills!E11=TRUE,Inputs!$B$32,0)))*(1-IF(AND(ArtifactsInput!$M$27,Inputs!$B$4="Chapter Hunt"),CHOOSE(ArtifactsInput!$N$27+1,20,24,28,32,36,40),0)/100)))))/Skills!H11,1)))/Inputs!$B$43),G940*Q940))*IF(Inputs!$B$38="pvp",1,(1+(Inputs!$B$21+Skills!Q11+(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41">
      <c r="A941">
        <f>Skills!A12</f>
        <v/>
      </c>
      <c r="B941">
        <f>Skills!B12</f>
        <v/>
      </c>
      <c r="C941">
        <f>Inputs!$B$3&gt;=100</f>
        <v/>
      </c>
      <c r="D941">
        <f>IF(Skills!C12=1,60+Inputs!$B$25+Inputs!$B$29,IF(Skills!C12=2,90+Inputs!$B$26+Inputs!$B$29,IF(Skills!C12=3,120+Inputs!$B$27+Inputs!$B$29,MAX(0,(Inputs!$B$3-100)*3)+Inputs!$B$28+Inputs!$B$29)))</f>
        <v/>
      </c>
      <c r="E941">
        <f>INDEX(FactorTable!$B$2:$Y$301, MATCH(ROUND(MIN(300,MAX(1,D941)),0), FactorTable!$A$2:$A$301,0), Skills!M12+1)</f>
        <v/>
      </c>
      <c r="F941">
        <f>IF(Skills!N12=TRUE,(Skills!L12/10)*(E941/1000),Skills!L12/10)+Skills!O12</f>
        <v/>
      </c>
      <c r="G941" t="inlineStr"/>
      <c r="H941" t="inlineStr"/>
      <c r="I941" t="inlineStr">
        <is>
          <t>1</t>
        </is>
      </c>
      <c r="J941" t="inlineStr"/>
      <c r="K941" t="inlineStr"/>
      <c r="L941" t="inlineStr"/>
      <c r="M941" t="inlineStr"/>
      <c r="N941" t="inlineStr"/>
      <c r="O941" t="inlineStr"/>
      <c r="P941" t="inlineStr"/>
      <c r="Q941" t="inlineStr"/>
      <c r="R941" t="inlineStr"/>
      <c r="S941" t="inlineStr"/>
      <c r="T941" t="inlineStr"/>
      <c r="V941" t="inlineStr"/>
    </row>
    <row r="942">
      <c r="A942">
        <f>Skills!A13</f>
        <v/>
      </c>
      <c r="B942">
        <f>Skills!B13</f>
        <v/>
      </c>
      <c r="C942">
        <f>Inputs!$B$3&gt;=66</f>
        <v/>
      </c>
      <c r="D942">
        <f>IF(Skills!C13=1,60+Inputs!$B$25+Inputs!$B$29,IF(Skills!C13=2,90+Inputs!$B$26+Inputs!$B$29,IF(Skills!C13=3,120+Inputs!$B$27+Inputs!$B$29,MAX(0,(Inputs!$B$3-100)*3)+Inputs!$B$28+Inputs!$B$29)))</f>
        <v/>
      </c>
      <c r="E942">
        <f>INDEX(FactorTable!$B$2:$Y$301, MATCH(ROUND(MIN(300,MAX(1,D942)),0), FactorTable!$A$2:$A$301,0), Skills!M13+1)</f>
        <v/>
      </c>
      <c r="F942">
        <f>IF(Skills!N13=TRUE,(Skills!L13/10)*(E942/1000),Skills!L13/10)+Skills!O13</f>
        <v/>
      </c>
      <c r="G942">
        <f>Skills!G13*IF(Skills!H13&gt;0,Skills!I13/Skills!H13,1)</f>
        <v/>
      </c>
      <c r="H942">
        <f>1-(1-Skills!J13/100)^Skills!K13</f>
        <v/>
      </c>
      <c r="I942" t="inlineStr">
        <is>
          <t>1</t>
        </is>
      </c>
      <c r="J942" t="inlineStr"/>
      <c r="K942" t="inlineStr"/>
      <c r="L942" t="inlineStr"/>
      <c r="M942" t="inlineStr"/>
      <c r="N942" t="inlineStr"/>
      <c r="O942">
        <f>(1-Summary!$B$11)*T942+Summary!$B$11*V942</f>
        <v/>
      </c>
      <c r="P942">
        <f>IF(B965=0,0,O942/B965)</f>
        <v/>
      </c>
      <c r="Q942" t="n">
        <v>0</v>
      </c>
      <c r="R942" t="n">
        <v>0</v>
      </c>
      <c r="S942">
        <f>IFERROR(O942/N942,0)</f>
        <v/>
      </c>
      <c r="T942" t="n">
        <v>0</v>
      </c>
      <c r="V942" t="n">
        <v>0</v>
      </c>
    </row>
    <row r="943">
      <c r="A943">
        <f>Skills!A14</f>
        <v/>
      </c>
      <c r="B943">
        <f>Skills!B14</f>
        <v/>
      </c>
      <c r="C943">
        <f>Inputs!$B$3&gt;=107</f>
        <v/>
      </c>
      <c r="D943">
        <f>IF(Skills!C14=1,60+Inputs!$B$25+Inputs!$B$29,IF(Skills!C14=2,90+Inputs!$B$26+Inputs!$B$29,IF(Skills!C14=3,120+Inputs!$B$27+Inputs!$B$29,MAX(0,(Inputs!$B$3-100)*3)+Inputs!$B$28+Inputs!$B$29)))</f>
        <v/>
      </c>
      <c r="E943">
        <f>INDEX(FactorTable!$B$2:$Y$301, MATCH(ROUND(MIN(300,MAX(1,D943)),0), FactorTable!$A$2:$A$301,0), Skills!M14+1)</f>
        <v/>
      </c>
      <c r="F943">
        <f>IF(Skills!N14=TRUE,(Skills!L14/10)*(E943/1000),Skills!L14/10)+Skills!O14</f>
        <v/>
      </c>
      <c r="G943">
        <f>Skills!G14*IF(Skills!H14&gt;0,Skills!I14/Skills!H14,1)</f>
        <v/>
      </c>
      <c r="H943">
        <f>1-(1-Skills!J14/100)^Skills!K14</f>
        <v/>
      </c>
      <c r="I943" t="inlineStr">
        <is>
          <t>1</t>
        </is>
      </c>
      <c r="J943" t="inlineStr"/>
      <c r="K943" t="inlineStr"/>
      <c r="L943" t="inlineStr"/>
      <c r="M943" t="inlineStr"/>
      <c r="N943" t="inlineStr"/>
      <c r="O943">
        <f>(1-Summary!$B$11)*T943+Summary!$B$11*V943</f>
        <v/>
      </c>
      <c r="P943">
        <f>IF(B965=0,0,O943/B965)</f>
        <v/>
      </c>
      <c r="Q943">
        <f>IFERROR(1/(IF(Inputs!$B$38="pvp",15,MAX(0.1,Skills!D14-IF(Skills!E14=TRUE,Inputs!$B$32,0)))*(1-IF(AND(ArtifactsInput!$M$27,Inputs!$B$4="Chapter Hunt"),CHOOSE(ArtifactsInput!$N$27+1,20,24,28,32,36,40),0)/100)),0)</f>
        <v/>
      </c>
      <c r="R943">
        <f>IF(AND(Inputs!$B$38&lt;&gt;"pvp",Inputs!$B$43&gt;0),IF(Inputs!$B$43&lt;=0,0,(INT(Inputs!$B$43/(IF(Inputs!$B$38="pvp",15,MAX(0.1,Skills!D14-IF(Skills!E14=TRUE,Inputs!$B$32,0)))*(1-IF(AND(ArtifactsInput!$M$27,Inputs!$B$4="Chapter Hunt"),CHOOSE(ArtifactsInput!$N$27+1,20,24,28,32,36,40),0)/100)))+1)),0)</f>
        <v/>
      </c>
      <c r="S943">
        <f>IFERROR(O943/N943,0)</f>
        <v/>
      </c>
      <c r="T943" t="n">
        <v>0</v>
      </c>
      <c r="V943" t="n">
        <v>0</v>
      </c>
    </row>
    <row r="944">
      <c r="A944">
        <f>Skills!A15</f>
        <v/>
      </c>
      <c r="B944">
        <f>Skills!B15</f>
        <v/>
      </c>
      <c r="C944">
        <f>Inputs!$B$3&gt;=115</f>
        <v/>
      </c>
      <c r="D944">
        <f>IF(Skills!C15=1,60+Inputs!$B$25+Inputs!$B$29,IF(Skills!C15=2,90+Inputs!$B$26+Inputs!$B$29,IF(Skills!C15=3,120+Inputs!$B$27+Inputs!$B$29,MAX(0,(Inputs!$B$3-100)*3)+Inputs!$B$28+Inputs!$B$29)))</f>
        <v/>
      </c>
      <c r="E944">
        <f>INDEX(FactorTable!$B$2:$Y$301, MATCH(ROUND(MIN(300,MAX(1,D944)),0), FactorTable!$A$2:$A$301,0), Skills!M15+1)</f>
        <v/>
      </c>
      <c r="F944">
        <f>IF(Skills!N15=TRUE,(Skills!L15/10)*(E944/1000),Skills!L15/10)+Skills!O15</f>
        <v/>
      </c>
      <c r="G944">
        <f>Skills!G15*IF(Skills!H15&gt;0,Skills!I15/Skills!H15,1)</f>
        <v/>
      </c>
      <c r="H944">
        <f>1-(1-Skills!J15/100)^Skills!K15</f>
        <v/>
      </c>
      <c r="I944" t="inlineStr">
        <is>
          <t>1</t>
        </is>
      </c>
      <c r="J944" t="inlineStr"/>
      <c r="K944" t="inlineStr"/>
      <c r="L944" t="inlineStr"/>
      <c r="M944" t="inlineStr"/>
      <c r="N944" t="inlineStr"/>
      <c r="O944">
        <f>(1-Summary!$B$11)*T944+Summary!$B$11*V944</f>
        <v/>
      </c>
      <c r="P944">
        <f>IF(B965=0,0,O944/B965)</f>
        <v/>
      </c>
      <c r="Q944">
        <f>IFERROR(1/(IF(Inputs!$B$38="pvp",15,MAX(0.1,Skills!D15-IF(Skills!E15=TRUE,Inputs!$B$32,0)))*(1-IF(AND(ArtifactsInput!$M$27,Inputs!$B$4="Chapter Hunt"),CHOOSE(ArtifactsInput!$N$27+1,20,24,28,32,36,40),0)/100)),0)</f>
        <v/>
      </c>
      <c r="R944">
        <f>IF(AND(Inputs!$B$38&lt;&gt;"pvp",Inputs!$B$43&gt;0),IF(Inputs!$B$43&lt;=0,0,(INT(Inputs!$B$43/(IF(Inputs!$B$38="pvp",15,MAX(0.1,Skills!D15-IF(Skills!E15=TRUE,Inputs!$B$32,0)))*(1-IF(AND(ArtifactsInput!$M$27,Inputs!$B$4="Chapter Hunt"),CHOOSE(ArtifactsInput!$N$27+1,20,24,28,32,36,40),0)/100)))+1)),0)</f>
        <v/>
      </c>
      <c r="S944">
        <f>IFERROR(O944/N944,0)</f>
        <v/>
      </c>
      <c r="T944" t="n">
        <v>0</v>
      </c>
      <c r="V944" t="n">
        <v>0</v>
      </c>
    </row>
    <row r="945">
      <c r="A945">
        <f>Skills!A16</f>
        <v/>
      </c>
      <c r="B945">
        <f>Skills!B16</f>
        <v/>
      </c>
      <c r="C945">
        <f>Inputs!$B$3&gt;=15</f>
        <v/>
      </c>
      <c r="D945">
        <f>IF(Skills!C16=1,60+Inputs!$B$25+Inputs!$B$29,IF(Skills!C16=2,90+Inputs!$B$26+Inputs!$B$29,IF(Skills!C16=3,120+Inputs!$B$27+Inputs!$B$29,MAX(0,(Inputs!$B$3-100)*3)+Inputs!$B$28+Inputs!$B$29)))</f>
        <v/>
      </c>
      <c r="E945">
        <f>INDEX(FactorTable!$B$2:$Y$301, MATCH(ROUND(MIN(300,MAX(1,D945)),0), FactorTable!$A$2:$A$301,0), Skills!M16+1)</f>
        <v/>
      </c>
      <c r="F945">
        <f>IF(Skills!N16=TRUE,(Skills!L16/10)*(E945/1000),Skills!L16/10)+Skills!O16</f>
        <v/>
      </c>
      <c r="G945">
        <f>Skills!G16*IF(Skills!H16&gt;0,Skills!I16/Skills!H16,1)</f>
        <v/>
      </c>
      <c r="H945">
        <f>1-(1-Skills!J16/100)^Skills!K16</f>
        <v/>
      </c>
      <c r="I945" t="inlineStr">
        <is>
          <t>1</t>
        </is>
      </c>
      <c r="J945" t="inlineStr"/>
      <c r="K945" t="inlineStr"/>
      <c r="L945" t="inlineStr"/>
      <c r="M945" t="inlineStr"/>
      <c r="N945" t="inlineStr"/>
      <c r="O945">
        <f>(1-Summary!$B$11)*T945+Summary!$B$11*V945</f>
        <v/>
      </c>
      <c r="P945">
        <f>IF(B965=0,0,O945/B965)</f>
        <v/>
      </c>
      <c r="Q945" t="n">
        <v>0</v>
      </c>
      <c r="R945" t="n">
        <v>0</v>
      </c>
      <c r="S945">
        <f>IFERROR(O945/N945,0)</f>
        <v/>
      </c>
      <c r="T945" t="n">
        <v>0</v>
      </c>
      <c r="V945" t="n">
        <v>0</v>
      </c>
    </row>
    <row r="946">
      <c r="A946">
        <f>Skills!A17</f>
        <v/>
      </c>
      <c r="B946">
        <f>Skills!B17</f>
        <v/>
      </c>
      <c r="C946">
        <f>Inputs!$B$3&gt;=10</f>
        <v/>
      </c>
      <c r="D946">
        <f>IF(Skills!C17=1,60+Inputs!$B$25+Inputs!$B$29,IF(Skills!C17=2,90+Inputs!$B$26+Inputs!$B$29,IF(Skills!C17=3,120+Inputs!$B$27+Inputs!$B$29,MAX(0,(Inputs!$B$3-100)*3)+Inputs!$B$28+Inputs!$B$29)))</f>
        <v/>
      </c>
      <c r="E946">
        <f>INDEX(FactorTable!$B$2:$Y$301, MATCH(ROUND(MIN(300,MAX(1,D946)),0), FactorTable!$A$2:$A$301,0), Skills!M17+1)</f>
        <v/>
      </c>
      <c r="F946">
        <f>IF(Skills!N17=TRUE,(Skills!L17/10)*(E946/1000),Skills!L17/10)+Skills!O17</f>
        <v/>
      </c>
      <c r="G946">
        <f>Skills!G17*IF(Skills!H17&gt;0,Skills!I17/Skills!H17,1)</f>
        <v/>
      </c>
      <c r="H946">
        <f>1-(1-Skills!J17/100)^Skills!K17</f>
        <v/>
      </c>
      <c r="I946" t="inlineStr">
        <is>
          <t>1</t>
        </is>
      </c>
      <c r="J946" t="inlineStr"/>
      <c r="K946" t="inlineStr"/>
      <c r="L946" t="inlineStr"/>
      <c r="M946" t="inlineStr"/>
      <c r="N946" t="inlineStr"/>
      <c r="O946">
        <f>(1-Summary!$B$11)*T946+Summary!$B$11*V946</f>
        <v/>
      </c>
      <c r="P946">
        <f>IF(B965=0,0,O946/B965)</f>
        <v/>
      </c>
      <c r="Q946" t="n">
        <v>0</v>
      </c>
      <c r="R946" t="n">
        <v>0</v>
      </c>
      <c r="S946">
        <f>IFERROR(O946/N946,0)</f>
        <v/>
      </c>
      <c r="T946" t="n">
        <v>0</v>
      </c>
      <c r="V946" t="n">
        <v>0</v>
      </c>
    </row>
    <row r="947">
      <c r="A947">
        <f>Skills!A18</f>
        <v/>
      </c>
      <c r="B947">
        <f>Skills!B18</f>
        <v/>
      </c>
      <c r="C947">
        <f>Inputs!$B$3&gt;=33</f>
        <v/>
      </c>
      <c r="D947">
        <f>IF(Skills!C18=1,60+Inputs!$B$25+Inputs!$B$29,IF(Skills!C18=2,90+Inputs!$B$26+Inputs!$B$29,IF(Skills!C18=3,120+Inputs!$B$27+Inputs!$B$29,MAX(0,(Inputs!$B$3-100)*3)+Inputs!$B$28+Inputs!$B$29)))</f>
        <v/>
      </c>
      <c r="E947">
        <f>INDEX(FactorTable!$B$2:$Y$301, MATCH(ROUND(MIN(300,MAX(1,D947)),0), FactorTable!$A$2:$A$301,0), Skills!M18+1)</f>
        <v/>
      </c>
      <c r="F947">
        <f>IF(Skills!N18=TRUE,(Skills!L18/10)*(E947/1000),Skills!L18/10)+Skills!O18</f>
        <v/>
      </c>
      <c r="G947">
        <f>Skills!G18*IF(Skills!H18&gt;0,Skills!I18/Skills!H18,1)</f>
        <v/>
      </c>
      <c r="H947">
        <f>1-(1-Skills!J18/100)^Skills!K18</f>
        <v/>
      </c>
      <c r="I947" t="inlineStr">
        <is>
          <t>1</t>
        </is>
      </c>
      <c r="J947" t="inlineStr"/>
      <c r="K947" t="inlineStr"/>
      <c r="L947" t="inlineStr"/>
      <c r="M947" t="inlineStr"/>
      <c r="N947" t="inlineStr"/>
      <c r="O947">
        <f>(1-Summary!$B$11)*T947+Summary!$B$11*V947</f>
        <v/>
      </c>
      <c r="P947">
        <f>IF(B965=0,0,O947/B965)</f>
        <v/>
      </c>
      <c r="Q947" t="n">
        <v>0</v>
      </c>
      <c r="R947" t="n">
        <v>0</v>
      </c>
      <c r="S947">
        <f>IFERROR(O947/N947,0)</f>
        <v/>
      </c>
      <c r="T947" t="n">
        <v>0</v>
      </c>
      <c r="V947" t="n">
        <v>0</v>
      </c>
    </row>
    <row r="948">
      <c r="A948">
        <f>Skills!A19</f>
        <v/>
      </c>
      <c r="B948">
        <f>Skills!B19</f>
        <v/>
      </c>
      <c r="C948">
        <f>Inputs!$B$3&gt;=40</f>
        <v/>
      </c>
      <c r="D948">
        <f>IF(Skills!C19=1,60+Inputs!$B$25+Inputs!$B$29,IF(Skills!C19=2,90+Inputs!$B$26+Inputs!$B$29,IF(Skills!C19=3,120+Inputs!$B$27+Inputs!$B$29,MAX(0,(Inputs!$B$3-100)*3)+Inputs!$B$28+Inputs!$B$29)))</f>
        <v/>
      </c>
      <c r="E948">
        <f>INDEX(FactorTable!$B$2:$Y$301, MATCH(ROUND(MIN(300,MAX(1,D948)),0), FactorTable!$A$2:$A$301,0), Skills!M19+1)</f>
        <v/>
      </c>
      <c r="F948">
        <f>IF(Skills!N19=TRUE,(Skills!L19/10)*(E948/1000),Skills!L19/10)+Skills!O19</f>
        <v/>
      </c>
      <c r="G948">
        <f>Skills!G19*IF(Skills!H19&gt;0,Skills!I19/Skills!H19,1)</f>
        <v/>
      </c>
      <c r="H948">
        <f>1-(1-Skills!J19/100)^Skills!K19</f>
        <v/>
      </c>
      <c r="I948" t="inlineStr">
        <is>
          <t>1</t>
        </is>
      </c>
      <c r="J948" t="inlineStr"/>
      <c r="K948" t="inlineStr"/>
      <c r="L948" t="inlineStr"/>
      <c r="M948" t="inlineStr"/>
      <c r="N948" t="inlineStr"/>
      <c r="O948">
        <f>(1-Summary!$B$11)*T948+Summary!$B$11*V948</f>
        <v/>
      </c>
      <c r="P948">
        <f>IF(B965=0,0,O948/B965)</f>
        <v/>
      </c>
      <c r="Q948" t="n">
        <v>0</v>
      </c>
      <c r="R948" t="n">
        <v>0</v>
      </c>
      <c r="S948">
        <f>IFERROR(O948/N948,0)</f>
        <v/>
      </c>
      <c r="T948" t="n">
        <v>0</v>
      </c>
      <c r="V948" t="n">
        <v>0</v>
      </c>
    </row>
    <row r="949">
      <c r="A949">
        <f>Skills!A20</f>
        <v/>
      </c>
      <c r="B949">
        <f>Skills!B20</f>
        <v/>
      </c>
      <c r="C949">
        <f>Inputs!$B$3&gt;=43</f>
        <v/>
      </c>
      <c r="D949">
        <f>IF(Skills!C20=1,60+Inputs!$B$25+Inputs!$B$29,IF(Skills!C20=2,90+Inputs!$B$26+Inputs!$B$29,IF(Skills!C20=3,120+Inputs!$B$27+Inputs!$B$29,MAX(0,(Inputs!$B$3-100)*3)+Inputs!$B$28+Inputs!$B$29)))</f>
        <v/>
      </c>
      <c r="E949">
        <f>INDEX(FactorTable!$B$2:$Y$301, MATCH(ROUND(MIN(300,MAX(1,D949)),0), FactorTable!$A$2:$A$301,0), Skills!M20+1)</f>
        <v/>
      </c>
      <c r="F949">
        <f>IF(Skills!N20=TRUE,(Skills!L20/10)*(E949/1000),Skills!L20/10)+Skills!O20</f>
        <v/>
      </c>
      <c r="G949">
        <f>Skills!G20*IF(Skills!H20&gt;0,Skills!I20/Skills!H20,1)</f>
        <v/>
      </c>
      <c r="H949">
        <f>1-(1-Skills!J20/100)^Skills!K20</f>
        <v/>
      </c>
      <c r="I949" t="inlineStr">
        <is>
          <t>1</t>
        </is>
      </c>
      <c r="J949" t="inlineStr"/>
      <c r="K949" t="inlineStr"/>
      <c r="L949" t="inlineStr"/>
      <c r="M949" t="inlineStr"/>
      <c r="N949" t="inlineStr"/>
      <c r="O949">
        <f>(1-Summary!$B$11)*T949+Summary!$B$11*V949</f>
        <v/>
      </c>
      <c r="P949">
        <f>IF(B965=0,0,O949/B965)</f>
        <v/>
      </c>
      <c r="Q949" t="n">
        <v>0</v>
      </c>
      <c r="R949" t="n">
        <v>0</v>
      </c>
      <c r="S949">
        <f>IFERROR(O949/N949,0)</f>
        <v/>
      </c>
      <c r="T949" t="n">
        <v>0</v>
      </c>
      <c r="V949" t="n">
        <v>0</v>
      </c>
    </row>
    <row r="950">
      <c r="A950">
        <f>Skills!A21</f>
        <v/>
      </c>
      <c r="B950">
        <f>Skills!B21</f>
        <v/>
      </c>
      <c r="C950">
        <f>Inputs!$B$3&gt;=38</f>
        <v/>
      </c>
      <c r="D950">
        <f>IF(Skills!C21=1,60+Inputs!$B$25+Inputs!$B$29,IF(Skills!C21=2,90+Inputs!$B$26+Inputs!$B$29,IF(Skills!C21=3,120+Inputs!$B$27+Inputs!$B$29,MAX(0,(Inputs!$B$3-100)*3)+Inputs!$B$28+Inputs!$B$29)))</f>
        <v/>
      </c>
      <c r="E950">
        <f>INDEX(FactorTable!$B$2:$Y$301, MATCH(ROUND(MIN(300,MAX(1,D950)),0), FactorTable!$A$2:$A$301,0), Skills!M21+1)</f>
        <v/>
      </c>
      <c r="F950">
        <f>IF(Skills!N21=TRUE,(Skills!L21/10)*(E950/1000),Skills!L21/10)+Skills!O21</f>
        <v/>
      </c>
      <c r="G950">
        <f>Skills!G21*IF(Skills!H21&gt;0,Skills!I21/Skills!H21,1)</f>
        <v/>
      </c>
      <c r="H950">
        <f>1-(1-Skills!J21/100)^Skills!K21</f>
        <v/>
      </c>
      <c r="I950" t="inlineStr">
        <is>
          <t>1</t>
        </is>
      </c>
      <c r="J950" t="inlineStr"/>
      <c r="K950" t="inlineStr"/>
      <c r="L950" t="inlineStr"/>
      <c r="M950" t="inlineStr"/>
      <c r="N950" t="inlineStr"/>
      <c r="O950">
        <f>(1-Summary!$B$11)*T950+Summary!$B$11*V950</f>
        <v/>
      </c>
      <c r="P950">
        <f>IF(B965=0,0,O950/B965)</f>
        <v/>
      </c>
      <c r="Q950" t="n">
        <v>0</v>
      </c>
      <c r="R950" t="n">
        <v>0</v>
      </c>
      <c r="S950">
        <f>IFERROR(O950/N950,0)</f>
        <v/>
      </c>
      <c r="T950" t="n">
        <v>0</v>
      </c>
      <c r="V950" t="n">
        <v>0</v>
      </c>
    </row>
    <row r="951">
      <c r="A951">
        <f>Skills!A22</f>
        <v/>
      </c>
      <c r="B951">
        <f>Skills!B22</f>
        <v/>
      </c>
      <c r="C951">
        <f>Inputs!$B$3&gt;=75</f>
        <v/>
      </c>
      <c r="D951">
        <f>IF(Skills!C22=1,60+Inputs!$B$25+Inputs!$B$29,IF(Skills!C22=2,90+Inputs!$B$26+Inputs!$B$29,IF(Skills!C22=3,120+Inputs!$B$27+Inputs!$B$29,MAX(0,(Inputs!$B$3-100)*3)+Inputs!$B$28+Inputs!$B$29)))</f>
        <v/>
      </c>
      <c r="E951">
        <f>INDEX(FactorTable!$B$2:$Y$301, MATCH(ROUND(MIN(300,MAX(1,D951)),0), FactorTable!$A$2:$A$301,0), Skills!M22+1)</f>
        <v/>
      </c>
      <c r="F951">
        <f>IF(Skills!N22=TRUE,(Skills!L22/10)*(E951/1000),Skills!L22/10)+Skills!O22</f>
        <v/>
      </c>
      <c r="G951">
        <f>Skills!G22*IF(Skills!H22&gt;0,Skills!I22/Skills!H22,1)</f>
        <v/>
      </c>
      <c r="H951">
        <f>1-(1-Skills!J22/100)^Skills!K22</f>
        <v/>
      </c>
      <c r="I951" t="inlineStr">
        <is>
          <t>1</t>
        </is>
      </c>
      <c r="J951" t="inlineStr"/>
      <c r="K951" t="inlineStr"/>
      <c r="L951" t="inlineStr"/>
      <c r="M951" t="inlineStr"/>
      <c r="N951" t="inlineStr"/>
      <c r="O951">
        <f>(1-Summary!$B$11)*T951+Summary!$B$11*V951</f>
        <v/>
      </c>
      <c r="P951">
        <f>IF(B965=0,0,O951/B965)</f>
        <v/>
      </c>
      <c r="Q951" t="n">
        <v>0</v>
      </c>
      <c r="R951" t="n">
        <v>0</v>
      </c>
      <c r="S951">
        <f>IFERROR(O951/N951,0)</f>
        <v/>
      </c>
      <c r="T951" t="n">
        <v>0</v>
      </c>
      <c r="V951" t="n">
        <v>0</v>
      </c>
    </row>
    <row r="952">
      <c r="A952">
        <f>Skills!A23</f>
        <v/>
      </c>
      <c r="B952">
        <f>Skills!B23</f>
        <v/>
      </c>
      <c r="C952">
        <f>TRUE</f>
        <v/>
      </c>
      <c r="D952">
        <f>IF(Skills!C23=1,60+Inputs!$B$25+Inputs!$B$29,IF(Skills!C23=2,90+Inputs!$B$26+Inputs!$B$29,IF(Skills!C23=3,120+Inputs!$B$27+Inputs!$B$29,MAX(0,(Inputs!$B$3-100)*3)+Inputs!$B$28+Inputs!$B$29)))</f>
        <v/>
      </c>
      <c r="E952">
        <f>INDEX(FactorTable!$B$2:$Y$301, MATCH(ROUND(MIN(300,MAX(1,D952)),0), FactorTable!$A$2:$A$301,0), Skills!M23+1)</f>
        <v/>
      </c>
      <c r="F952">
        <f>IF(Skills!N23=TRUE,(Skills!L23/10)*(E952/1000),Skills!L23/10)+Skills!O23</f>
        <v/>
      </c>
      <c r="G952">
        <f>Skills!G23*IF(Skills!H23&gt;0,Skills!I23/Skills!H23,1)</f>
        <v/>
      </c>
      <c r="H952">
        <f>1-(1-Skills!J23/100)^Skills!K23</f>
        <v/>
      </c>
      <c r="I952" t="inlineStr">
        <is>
          <t>1</t>
        </is>
      </c>
      <c r="J952" t="inlineStr"/>
      <c r="K952" t="inlineStr"/>
      <c r="L952" t="inlineStr"/>
      <c r="M952" t="inlineStr"/>
      <c r="N952" t="inlineStr"/>
      <c r="O952">
        <f>(1-Summary!$B$11)*T952+Summary!$B$11*V952</f>
        <v/>
      </c>
      <c r="P952">
        <f>IF(B965=0,0,O952/B965)</f>
        <v/>
      </c>
      <c r="Q952">
        <f>IFERROR(1/(IF(Inputs!$B$38="pvp",15,MAX(0.1,Skills!D23-IF(Skills!E23=TRUE,Inputs!$B$32,0)))*(1-IF(AND(ArtifactsInput!$M$27,Inputs!$B$4="Chapter Hunt"),CHOOSE(ArtifactsInput!$N$27+1,20,24,28,32,36,40),0)/100)),0)</f>
        <v/>
      </c>
      <c r="R952">
        <f>IF(AND(Inputs!$B$38&lt;&gt;"pvp",Inputs!$B$43&gt;0),IF(Inputs!$B$43&lt;=0,0,(INT(Inputs!$B$43/(IF(Inputs!$B$38="pvp",15,MAX(0.1,Skills!D23-IF(Skills!E23=TRUE,Inputs!$B$32,0)))*(1-IF(AND(ArtifactsInput!$M$27,Inputs!$B$4="Chapter Hunt"),CHOOSE(ArtifactsInput!$N$27+1,20,24,28,32,36,40),0)/100)))+1)),0)</f>
        <v/>
      </c>
      <c r="S952">
        <f>IFERROR(O952/N952,0)</f>
        <v/>
      </c>
      <c r="T952" t="n">
        <v>0</v>
      </c>
      <c r="V952" t="n">
        <v>0</v>
      </c>
    </row>
    <row r="954">
      <c r="A954" t="inlineStr">
        <is>
          <t>Attack% Bucket Multiplier</t>
        </is>
      </c>
      <c r="B954">
        <f>(1+(((C942=TRUE)*F942*5/7)+((C948=TRUE)*(F948-Calc!F19))+(IF(ArtifactsInput!$M$21,CHOOSE(ArtifactsInput!$N$21+1,25,30,35,40,45,50)*(IF(OR(Inputs!$B$4="Chapter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5">
      <c r="A955" t="inlineStr">
        <is>
          <t>Global Crit Rate Bonus %</t>
        </is>
      </c>
      <c r="B955" t="n">
        <v>0</v>
      </c>
    </row>
    <row r="956">
      <c r="A956" t="inlineStr">
        <is>
          <t>Attack Speed Buff Bonus % (Nimble Feet, duty-cycle averaged)</t>
        </is>
      </c>
      <c r="B956">
        <f>((C952=TRUE)*F952*IF(AND(Inputs!$B$38&lt;&gt;"pvp",Inputs!$B$43&gt;0),(((R952-1)*(Skills!T23*(1+Inputs!$B$34/100))+MIN((Skills!T23*(1+Inputs!$B$34/100)),MAX(0,Inputs!$B$43-((R952-1)*Skills!D23))))/Inputs!$B$43),IF(Inputs!$B$38="pvp",MIN((Skills!T23*(1+Inputs!$B$34/100)),15)/15,(Skills!T23*(1+Inputs!$B$34/100))/Skills!D23)))</f>
        <v/>
      </c>
    </row>
    <row r="957">
      <c r="A957" t="inlineStr">
        <is>
          <t>Actions Per Second</t>
        </is>
      </c>
      <c r="B957">
        <f>1+MIN(150,150*(1-(1-(Inputs!$B$11+((C946=TRUE)*(F946-Calc!F17))+((C947=TRUE)*(F947-Calc!F18)))/150)*(1-B956/150)))/100</f>
        <v/>
      </c>
    </row>
    <row r="958">
      <c r="A958" t="inlineStr">
        <is>
          <t>Skill + Buff Cast Rate</t>
        </is>
      </c>
      <c r="B958">
        <f>IF(AND(Inputs!$B$38&lt;&gt;"pvp",Inputs!$B$43&gt;0),SUMPRODUCT((Skills!E2:E23=TRUE)*(C931:C952=TRUE)*R931:R952*Skills!F2:F23)/Inputs!$B$43,SUMPRODUCT((Skills!E2:E23=TRUE)*(C931:C952=TRUE)*Q931:Q952*Skills!F2:F23))</f>
        <v/>
      </c>
    </row>
    <row r="959">
      <c r="A959" t="inlineStr">
        <is>
          <t>Hook Bomber Casts Per Second</t>
        </is>
      </c>
      <c r="B959">
        <f>MAX(0,B957-B958)</f>
        <v/>
      </c>
    </row>
    <row r="960">
      <c r="A960" t="inlineStr">
        <is>
          <t>Global Critical Damage Bonus % (unused)</t>
        </is>
      </c>
      <c r="B960" t="n">
        <v>0</v>
      </c>
    </row>
    <row r="961">
      <c r="A961" t="inlineStr">
        <is>
          <t>Global Final Damage Bonus % (Serpent Scale + Crossbones + Time Leap + Speed Infusion)</t>
        </is>
      </c>
      <c r="B961">
        <f>((C934=TRUE)*F934*((10+IF(Inputs!$B$3&gt;=94,5,0))/((10+IF(Inputs!$B$3&gt;=94,5,0))+5/(B959*(1+IF(Inputs!$B$3&gt;=104,1,0))))))+((C943=TRUE)*F943*IF(AND(Inputs!$B$38&lt;&gt;"pvp",Inputs!$B$43&gt;0),(((R943-1)*(Skills!T14*(1+Inputs!$B$34/100))+MIN((Skills!T14*(1+Inputs!$B$34/100)),MAX(0,Inputs!$B$43-((R943-1)*Skills!D14))))/Inputs!$B$43),IF(Inputs!$B$38="pvp",MIN((Skills!T14*(1+Inputs!$B$34/100)),15)/15,(Skills!T14*(1+Inputs!$B$34/100))/Skills!D14)))+((C944=TRUE)*F944*IF(AND(Inputs!$B$38&lt;&gt;"pvp",Inputs!$B$43&gt;0),(((R944-1)*(Skills!T15*(1+Inputs!$B$34/100))+MIN((Skills!T15*(1+Inputs!$B$34/100)),MAX(0,Inputs!$B$43-((R944-1)*Skills!D15))))/Inputs!$B$43),IF(Inputs!$B$38="pvp",MIN((Skills!T15*(1+Inputs!$B$34/100)),15)/15,(Skills!T15*(1+Inputs!$B$34/100))/Skills!D15)))+((Inputs!$B$3&gt;=110)*20*(B957-1)*IF(Inputs!$B$38="pvp",MIN((15*(1+Inputs!$B$34/100)),15)/15,(15*(1+Inputs!$B$34/100))/35))</f>
        <v/>
      </c>
    </row>
    <row r="962">
      <c r="A962" t="inlineStr">
        <is>
          <t>Buff-Casting Startup Delay (s, fixed-duration only)</t>
        </is>
      </c>
      <c r="B962">
        <f>IF(AND(Inputs!$B$38&lt;&gt;"pvp",Inputs!$B$43&gt;0),SUMPRODUCT((Skills!T2:T23&gt;0)*(Skills!E2:E23=TRUE)*(C931:C952=TRUE))/B957,0)</f>
        <v/>
      </c>
    </row>
    <row r="963">
      <c r="A963" t="inlineStr">
        <is>
          <t>Boss-Only Total DPS (this block's swept value)</t>
        </is>
      </c>
      <c r="B963">
        <f>SUM(T931:T952)</f>
        <v/>
      </c>
    </row>
    <row r="964">
      <c r="A964" t="inlineStr">
        <is>
          <t>Normal-Only Total DPS (this block's swept value)</t>
        </is>
      </c>
      <c r="B964">
        <f>SUM(V931:V952)</f>
        <v/>
      </c>
    </row>
    <row r="965">
      <c r="A965" s="6" t="inlineStr">
        <is>
          <t>TOTAL DPS</t>
        </is>
      </c>
      <c r="B965" s="6">
        <f>SUM(O931:O952)</f>
        <v/>
      </c>
    </row>
    <row r="968">
      <c r="A968" s="6" t="inlineStr">
        <is>
          <t>Stat: Skill Cooldown Decrease (seconds)</t>
        </is>
      </c>
    </row>
    <row r="969">
      <c r="A969" s="5" t="inlineStr">
        <is>
          <t>Key</t>
        </is>
      </c>
      <c r="B969" s="5" t="inlineStr">
        <is>
          <t>Name</t>
        </is>
      </c>
      <c r="C969" s="5" t="inlineStr">
        <is>
          <t>Unlocked</t>
        </is>
      </c>
      <c r="D969" s="5" t="inlineStr">
        <is>
          <t>InputLevel</t>
        </is>
      </c>
      <c r="E969" s="5" t="inlineStr">
        <is>
          <t>Factor</t>
        </is>
      </c>
      <c r="F969" s="5" t="inlineStr">
        <is>
          <t>CoefficientPercent</t>
        </is>
      </c>
      <c r="G969" s="5" t="inlineStr">
        <is>
          <t>EffectiveHits</t>
        </is>
      </c>
      <c r="H969" s="5" t="inlineStr">
        <is>
          <t>ProcProbability</t>
        </is>
      </c>
      <c r="I969" s="5" t="inlineStr">
        <is>
          <t>MapleHeroMultiplier</t>
        </is>
      </c>
      <c r="J969" s="5" t="inlineStr">
        <is>
          <t>BaseDamage</t>
        </is>
      </c>
      <c r="K969" s="5" t="inlineStr">
        <is>
          <t>BaseHitDamage</t>
        </is>
      </c>
      <c r="L969" s="5" t="inlineStr">
        <is>
          <t>NonCritAvg</t>
        </is>
      </c>
      <c r="M969" s="5" t="inlineStr">
        <is>
          <t>CritAvg</t>
        </is>
      </c>
      <c r="N969" s="5" t="inlineStr">
        <is>
          <t>ExpectedDamage(perHit)</t>
        </is>
      </c>
      <c r="O969" s="5" t="inlineStr">
        <is>
          <t>DPS</t>
        </is>
      </c>
      <c r="P969" s="5" t="inlineStr">
        <is>
          <t>% of Total</t>
        </is>
      </c>
      <c r="Q969" s="5" t="inlineStr">
        <is>
          <t>InvCooldown</t>
        </is>
      </c>
      <c r="R969" s="5" t="inlineStr">
        <is>
          <t>CastsInFight</t>
        </is>
      </c>
      <c r="S969" s="5" t="inlineStr">
        <is>
          <t>HitRate(perSec)</t>
        </is>
      </c>
      <c r="U969" t="inlineStr">
        <is>
          <t>helpers</t>
        </is>
      </c>
    </row>
    <row r="970">
      <c r="A970">
        <f>Skills!A2</f>
        <v/>
      </c>
      <c r="B970">
        <f>Skills!B2</f>
        <v/>
      </c>
      <c r="C970">
        <f>Inputs!$B$3&gt;=100</f>
        <v/>
      </c>
      <c r="D970" t="inlineStr"/>
      <c r="E970" t="inlineStr"/>
      <c r="F970">
        <f>U972+Skills!O2</f>
        <v/>
      </c>
      <c r="G970">
        <f>Skills!G2*IF(Skills!H2&gt;0,Skills!I2/Skills!H2,1)</f>
        <v/>
      </c>
      <c r="H970">
        <f>1-(1-Skills!J2/100)^Skills!K2</f>
        <v/>
      </c>
      <c r="I970" t="inlineStr">
        <is>
          <t>1</t>
        </is>
      </c>
      <c r="J970">
        <f>((Inputs!$B$6*(1+Inputs!$B$7/100))+(((Inputs!$B$12*(1+Inputs!$B$13/100))-(Inputs!$B$12*(1+Inputs!$B$13/100)))+0.25*(Inputs!$B$14-Inputs!$B$14))*(1+Inputs!$B$7/100))*(F970/100)</f>
        <v/>
      </c>
      <c r="K970">
        <f>J970*(1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970)</f>
        <v/>
      </c>
      <c r="L970">
        <f>K970*(MIN(Inputs!$B$22+((C988=TRUE)*(F988-Calc!F20)),(Inputs!$B$23+0+(IF(ArtifactsInput!$M$15,CHOOSE(ArtifactsInput!$N$15+1,25,30,35,40,45,50)/100*(Inputs!$B$11-Inputs!$B$11),0))))/100+(Inputs!$B$23+0+(IF(ArtifactsInput!$M$15,CHOOSE(ArtifactsInput!$N$15+1,25,30,35,40,45,50)/100*(Inputs!$B$11-Inputs!$B$11),0)))/100)/2</f>
        <v/>
      </c>
      <c r="M970">
        <f>L970*(1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0">
        <f>L970*(1-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970*(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0">
        <f>(1-Summary!$B$11)*T970+Summary!$B$11*V970</f>
        <v/>
      </c>
      <c r="P970">
        <f>IF(B1004=0,0,O970/B1004)</f>
        <v/>
      </c>
      <c r="Q970" t="n">
        <v>0</v>
      </c>
      <c r="R970" t="n">
        <v>0</v>
      </c>
      <c r="S970">
        <f>IFERROR(O970/N970,0)</f>
        <v/>
      </c>
      <c r="T970">
        <f>IF(C970,(Skills!G2*N970*B998)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970*(1-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970*(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970*(1-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970*(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0">
        <f>MAX(0,(Inputs!$B$3-100)*3)+Inputs!$B$28+Inputs!$B$29</f>
        <v/>
      </c>
      <c r="V970">
        <f>IF(C970,(Skills!G2*N970*B998)*IF(Inputs!$B$38="pvp",1,(1+(Inputs!$B$21+Skills!Q2+(IF(ArtifactsInput!$M$33,CHOOSE(ArtifactsInput!$N$33+1,30,36,42,48,54,60),0))+(IF(AND(ArtifactsInput!$M$35,Inputs!$B$4&lt;&gt;"Chapter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1">
      <c r="A971">
        <f>Skills!A3</f>
        <v/>
      </c>
      <c r="B971">
        <f>Skills!B3</f>
        <v/>
      </c>
      <c r="C971">
        <f>Inputs!$B$3&gt;=35</f>
        <v/>
      </c>
      <c r="D971">
        <f>IF(Skills!C3=1,60+Inputs!$B$25+Inputs!$B$29,IF(Skills!C3=2,90+Inputs!$B$26+Inputs!$B$29,IF(Skills!C3=3,120+Inputs!$B$27+Inputs!$B$29,MAX(0,(Inputs!$B$3-100)*3)+Inputs!$B$28+Inputs!$B$29)))</f>
        <v/>
      </c>
      <c r="E971">
        <f>INDEX(FactorTable!$B$2:$Y$301, MATCH(ROUND(MIN(300,MAX(1,D971)),0), FactorTable!$A$2:$A$301,0), Skills!M3+1)</f>
        <v/>
      </c>
      <c r="F971">
        <f>IF(Skills!N3=TRUE,(Skills!L3/10)*(E971/1000),Skills!L3/10)+Skills!O3</f>
        <v/>
      </c>
      <c r="G971">
        <f>Skills!G3*IF(Skills!H3&gt;0,Skills!I3/Skills!H3,1)</f>
        <v/>
      </c>
      <c r="H971">
        <f>1-(1-Skills!J3/100)^Skills!K3</f>
        <v/>
      </c>
      <c r="I971" t="inlineStr">
        <is>
          <t>1</t>
        </is>
      </c>
      <c r="J971">
        <f>((Inputs!$B$6*(1+Inputs!$B$7/100))+(((Inputs!$B$12*(1+Inputs!$B$13/100))-(Inputs!$B$12*(1+Inputs!$B$13/100)))+0.25*(Inputs!$B$14-Inputs!$B$14))*(1+Inputs!$B$7/100))*(F971/100)</f>
        <v/>
      </c>
      <c r="K971">
        <f>J971*(1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971)</f>
        <v/>
      </c>
      <c r="L971">
        <f>K971*(MIN(Inputs!$B$22+((C988=TRUE)*(F988-Calc!F20)),(Inputs!$B$23+0+(IF(ArtifactsInput!$M$15,CHOOSE(ArtifactsInput!$N$15+1,25,30,35,40,45,50)/100*(Inputs!$B$11-Inputs!$B$11),0))))/100+(Inputs!$B$23+0+(IF(ArtifactsInput!$M$15,CHOOSE(ArtifactsInput!$N$15+1,25,30,35,40,45,50)/100*(Inputs!$B$11-Inputs!$B$11),0)))/100)/2</f>
        <v/>
      </c>
      <c r="M971">
        <f>L971*(1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1">
        <f>L971*(1-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1">
        <f>(1-Summary!$B$11)*T971+Summary!$B$11*V971</f>
        <v/>
      </c>
      <c r="P971">
        <f>IF(B1004=0,0,O971/B1004)</f>
        <v/>
      </c>
      <c r="Q971" t="n">
        <v>0</v>
      </c>
      <c r="R971" t="n">
        <v>0</v>
      </c>
      <c r="S971">
        <f>IFERROR(O971/N971,0)</f>
        <v/>
      </c>
      <c r="T971">
        <f>IF(C971,(Skills!G3*H971*N971*B998)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971*(1-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971*(1-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1">
        <f>INDEX(FactorTable!$B$2:$Y$301, MATCH(ROUND(MIN(300,MAX(1,U970)),0), FactorTable!$A$2:$A$301,0), 22)</f>
        <v/>
      </c>
      <c r="V971">
        <f>IF(C971,(Skills!G3*H971*N971*B998)*IF(Inputs!$B$38="pvp",1,(1+(Inputs!$B$21+Skills!Q3+(IF(ArtifactsInput!$M$33,CHOOSE(ArtifactsInput!$N$33+1,30,36,42,48,54,60),0))+(IF(AND(ArtifactsInput!$M$35,Inputs!$B$4&lt;&gt;"Chapter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2">
      <c r="A972">
        <f>Skills!A4</f>
        <v/>
      </c>
      <c r="B972">
        <f>Skills!B4</f>
        <v/>
      </c>
      <c r="C972">
        <f>Inputs!$B$3&gt;=60</f>
        <v/>
      </c>
      <c r="D972">
        <f>IF(Skills!C4=1,60+Inputs!$B$25+Inputs!$B$29,IF(Skills!C4=2,90+Inputs!$B$26+Inputs!$B$29,IF(Skills!C4=3,120+Inputs!$B$27+Inputs!$B$29,MAX(0,(Inputs!$B$3-100)*3)+Inputs!$B$28+Inputs!$B$29)))</f>
        <v/>
      </c>
      <c r="E972">
        <f>INDEX(FactorTable!$B$2:$Y$301, MATCH(ROUND(MIN(300,MAX(1,D972)),0), FactorTable!$A$2:$A$301,0), Skills!M4+1)</f>
        <v/>
      </c>
      <c r="F972">
        <f>IF(Skills!N4=TRUE,(Skills!L4/10)*(E972/1000),Skills!L4/10)+Skills!O4</f>
        <v/>
      </c>
      <c r="G972">
        <f>Skills!G4*IF(Skills!H4&gt;0,Skills!I4/Skills!H4,1)</f>
        <v/>
      </c>
      <c r="H972">
        <f>1-(1-Skills!J4/100)^Skills!K4</f>
        <v/>
      </c>
      <c r="I972" t="inlineStr">
        <is>
          <t>1</t>
        </is>
      </c>
      <c r="J972">
        <f>((Inputs!$B$6*(1+Inputs!$B$7/100))+(((Inputs!$B$12*(1+Inputs!$B$13/100))-(Inputs!$B$12*(1+Inputs!$B$13/100)))+0.25*(Inputs!$B$14-Inputs!$B$14))*(1+Inputs!$B$7/100))*(F972/100)</f>
        <v/>
      </c>
      <c r="K972">
        <f>J972*(1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980=TRUE,F980,0)/100)*(1+(IF(Skills!A4="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972)</f>
        <v/>
      </c>
      <c r="L972">
        <f>K972*(MIN(Inputs!$B$22+((C988=TRUE)*(F988-Calc!F20)),(Inputs!$B$23+0+(IF(ArtifactsInput!$M$15,CHOOSE(ArtifactsInput!$N$15+1,25,30,35,40,45,50)/100*(Inputs!$B$11-Inputs!$B$11),0))))/100+(Inputs!$B$23+0+(IF(ArtifactsInput!$M$15,CHOOSE(ArtifactsInput!$N$15+1,25,30,35,40,45,50)/100*(Inputs!$B$11-Inputs!$B$11),0)))/100)/2</f>
        <v/>
      </c>
      <c r="M972">
        <f>L972*(1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2">
        <f>L972*(1-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972*(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2">
        <f>(1-Summary!$B$11)*T972+Summary!$B$11*V972</f>
        <v/>
      </c>
      <c r="P972">
        <f>IF(B1004=0,0,O972/B1004)</f>
        <v/>
      </c>
      <c r="Q972" t="n">
        <v>0</v>
      </c>
      <c r="R972" t="n">
        <v>0</v>
      </c>
      <c r="S972">
        <f>IFERROR(O972/N972,0)</f>
        <v/>
      </c>
      <c r="T972">
        <f>IF(C972,(Skills!G4*H972*N972*B998)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972*(1-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972*(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972*(1-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972*(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2">
        <f>290*U971/1000</f>
        <v/>
      </c>
      <c r="V972">
        <f>IF(C972,(Skills!G4*H972*N972*B998)*IF(Inputs!$B$38="pvp",1,(1+(Inputs!$B$21+Skills!Q4+(IF(ArtifactsInput!$M$33,CHOOSE(ArtifactsInput!$N$33+1,30,36,42,48,54,60),0))+(IF(AND(ArtifactsInput!$M$35,Inputs!$B$4&lt;&gt;"Chapter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3">
      <c r="A973">
        <f>Skills!A5</f>
        <v/>
      </c>
      <c r="B973">
        <f>Skills!B5</f>
        <v/>
      </c>
      <c r="C973">
        <f>Inputs!$B$3&gt;=60</f>
        <v/>
      </c>
      <c r="D973">
        <f>IF(Skills!C5=1,60+Inputs!$B$25+Inputs!$B$29,IF(Skills!C5=2,90+Inputs!$B$26+Inputs!$B$29,IF(Skills!C5=3,120+Inputs!$B$27+Inputs!$B$29,MAX(0,(Inputs!$B$3-100)*3)+Inputs!$B$28+Inputs!$B$29)))</f>
        <v/>
      </c>
      <c r="E973">
        <f>INDEX(FactorTable!$B$2:$Y$301, MATCH(ROUND(MIN(300,MAX(1,D973)),0), FactorTable!$A$2:$A$301,0), Skills!M5+1)</f>
        <v/>
      </c>
      <c r="F973">
        <f>IF(Skills!N5=TRUE,(Skills!L5/10)*(E973/1000),Skills!L5/10)+Skills!O5</f>
        <v/>
      </c>
      <c r="G973">
        <f>Skills!G5*IF(Skills!H5&gt;0,Skills!I5/Skills!H5,1)</f>
        <v/>
      </c>
      <c r="H973">
        <f>1-(1-Skills!J5/100)^Skills!K5</f>
        <v/>
      </c>
      <c r="I973" t="inlineStr">
        <is>
          <t>1</t>
        </is>
      </c>
      <c r="J973" t="inlineStr"/>
      <c r="K973" t="inlineStr"/>
      <c r="L973" t="inlineStr"/>
      <c r="M973" t="inlineStr"/>
      <c r="N973" t="inlineStr"/>
      <c r="O973">
        <f>(1-Summary!$B$11)*T973+Summary!$B$11*V973</f>
        <v/>
      </c>
      <c r="P973">
        <f>IF(B1004=0,0,O973/B1004)</f>
        <v/>
      </c>
      <c r="Q973" t="n">
        <v>0</v>
      </c>
      <c r="R973" t="n">
        <v>0</v>
      </c>
      <c r="S973">
        <f>IFERROR(O973/N973,0)</f>
        <v/>
      </c>
      <c r="T973" t="n">
        <v>0</v>
      </c>
      <c r="V973" t="n">
        <v>0</v>
      </c>
    </row>
    <row r="974">
      <c r="A974">
        <f>Skills!A6</f>
        <v/>
      </c>
      <c r="B974">
        <f>Skills!B6</f>
        <v/>
      </c>
      <c r="C974">
        <f>Inputs!$B$3&gt;=63</f>
        <v/>
      </c>
      <c r="D974">
        <f>IF(Skills!C6=1,60+Inputs!$B$25+Inputs!$B$29,IF(Skills!C6=2,90+Inputs!$B$26+Inputs!$B$29,IF(Skills!C6=3,120+Inputs!$B$27+Inputs!$B$29,MAX(0,(Inputs!$B$3-100)*3)+Inputs!$B$28+Inputs!$B$29)))</f>
        <v/>
      </c>
      <c r="E974">
        <f>INDEX(FactorTable!$B$2:$Y$301, MATCH(ROUND(MIN(300,MAX(1,D974)),0), FactorTable!$A$2:$A$301,0), Skills!M6+1)</f>
        <v/>
      </c>
      <c r="F974">
        <f>IF(Skills!N6=TRUE,(Skills!L6/10)*(E974/1000),Skills!L6/10)+Skills!O6</f>
        <v/>
      </c>
      <c r="G974">
        <f>Skills!G6*IF(Skills!H6&gt;0,Skills!I6/Skills!H6,1)</f>
        <v/>
      </c>
      <c r="H974">
        <f>1-(1-Skills!J6/100)^Skills!K6</f>
        <v/>
      </c>
      <c r="I974" t="inlineStr">
        <is>
          <t>1</t>
        </is>
      </c>
      <c r="J974">
        <f>((Inputs!$B$6*(1+Inputs!$B$7/100))+(((Inputs!$B$12*(1+Inputs!$B$13/100))-(Inputs!$B$12*(1+Inputs!$B$13/100)))+0.25*(Inputs!$B$14-Inputs!$B$14))*(1+Inputs!$B$7/100))*(F974/100)</f>
        <v/>
      </c>
      <c r="K974">
        <f>J974*(1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980=TRUE,F980,0)/100)*(1+(IF(Skills!A6="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C988=TRUE)*(F988-Calc!F20)),(Inputs!$B$23+0+(IF(ArtifactsInput!$M$15,CHOOSE(ArtifactsInput!$N$15+1,25,30,35,40,45,50)/100*(Inputs!$B$11-Inputs!$B$11),0))))/100+(Inputs!$B$23+0+(IF(ArtifactsInput!$M$15,CHOOSE(ArtifactsInput!$N$15+1,25,30,35,40,45,50)/100*(Inputs!$B$11-Inputs!$B$11),0)))/100)/2</f>
        <v/>
      </c>
      <c r="M974">
        <f>L974*(1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(1-Summary!$B$11)*T974+Summary!$B$11*V974</f>
        <v/>
      </c>
      <c r="P974">
        <f>IF(B1004=0,0,O974/B1004)</f>
        <v/>
      </c>
      <c r="Q974">
        <f>IFERROR(1/(IF(Inputs!$B$38="pvp",15,MAX(0.1,Skills!D6-IF(Skills!E6=TRUE,(Inputs!$B$32+1),0)))*(1-IF(AND(ArtifactsInput!$M$27,Inputs!$B$4="Chapter Hunt"),CHOOSE(ArtifactsInput!$N$27+1,20,24,28,32,36,40),0)/100)),0)</f>
        <v/>
      </c>
      <c r="R974">
        <f>IF(AND(Inputs!$B$38&lt;&gt;"pvp",Inputs!$B$43&gt;0),IF(MAX(0,Inputs!$B$43-B1001)&lt;=0,0,(INT(MAX(0,Inputs!$B$43-B1001)/(IF(Inputs!$B$38="pvp",15,MAX(0.1,Skills!D6-IF(Skills!E6=TRUE,(Inputs!$B$32+1),0)))*(1-IF(AND(ArtifactsInput!$M$27,Inputs!$B$4="Chapter Hunt"),CHOOSE(ArtifactsInput!$N$27+1,20,24,28,32,36,40),0)/100)))+1)),0)</f>
        <v/>
      </c>
      <c r="S974">
        <f>IFERROR(O974/N974,0)</f>
        <v/>
      </c>
      <c r="T974">
        <f>IF(C974,(H974*N974*IF(AND(Inputs!$B$38&lt;&gt;"pvp",Inputs!$B$43&gt;0),((Skills!G6*((R974-1)*IF(Skills!H6&gt;0,Skills!I6/Skills!H6,1)+IF(Skills!H6&gt;0,MIN(Skills!I6,MAX(0,MAX(0,Inputs!$B$43-B1001)-((R974-1)*(IF(Inputs!$B$38="pvp",15,MAX(0.1,Skills!D6-IF(Skills!E6=TRUE,(Inputs!$B$32+1),0)))*(1-IF(AND(ArtifactsInput!$M$27,Inputs!$B$4="Chapter Hunt"),CHOOSE(ArtifactsInput!$N$27+1,20,24,28,32,36,40),0)/100)))))/Skills!H6,1)))/Inputs!$B$43),G974*Q974)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974*(1-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4">
        <f>IF(C974,(H974*N974*IF(AND(Inputs!$B$38&lt;&gt;"pvp",Inputs!$B$43&gt;0),((Skills!G6*((R974-1)*IF(Skills!H6&gt;0,Skills!I6/Skills!H6,1)+IF(Skills!H6&gt;0,MIN(Skills!I6,MAX(0,MAX(0,Inputs!$B$43-B1001)-((R974-1)*(IF(Inputs!$B$38="pvp",15,MAX(0.1,Skills!D6-IF(Skills!E6=TRUE,(Inputs!$B$32+1),0)))*(1-IF(AND(ArtifactsInput!$M$27,Inputs!$B$4="Chapter Hunt"),CHOOSE(ArtifactsInput!$N$27+1,20,24,28,32,36,40),0)/100)))))/Skills!H6,1)))/Inputs!$B$43),G974*Q974))*IF(Inputs!$B$38="pvp",1,(1+(Inputs!$B$21+Skills!Q6+(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Skills!A7</f>
        <v/>
      </c>
      <c r="B975">
        <f>Skills!B7</f>
        <v/>
      </c>
      <c r="C975">
        <f>Inputs!$B$3&gt;=100</f>
        <v/>
      </c>
      <c r="D975">
        <f>IF(Skills!C7=1,60+Inputs!$B$25+Inputs!$B$29,IF(Skills!C7=2,90+Inputs!$B$26+Inputs!$B$29,IF(Skills!C7=3,120+Inputs!$B$27+Inputs!$B$29,MAX(0,(Inputs!$B$3-100)*3)+Inputs!$B$28+Inputs!$B$29)))</f>
        <v/>
      </c>
      <c r="E975">
        <f>INDEX(FactorTable!$B$2:$Y$301, MATCH(ROUND(MIN(300,MAX(1,D975)),0), FactorTable!$A$2:$A$301,0), Skills!M7+1)</f>
        <v/>
      </c>
      <c r="F975">
        <f>IF(Skills!N7=TRUE,(Skills!L7/10)*(E975/1000),Skills!L7/10)+Skills!O7</f>
        <v/>
      </c>
      <c r="G975">
        <f>Skills!G7*IF(Skills!H7&gt;0,Skills!I7/Skills!H7,1)</f>
        <v/>
      </c>
      <c r="H975">
        <f>1-(1-Skills!J7/100)^Skills!K7</f>
        <v/>
      </c>
      <c r="I975" t="inlineStr">
        <is>
          <t>1</t>
        </is>
      </c>
      <c r="J975">
        <f>((Inputs!$B$6*(1+Inputs!$B$7/100))+(((Inputs!$B$12*(1+Inputs!$B$13/100))-(Inputs!$B$12*(1+Inputs!$B$13/100)))+0.25*(Inputs!$B$14-Inputs!$B$14))*(1+Inputs!$B$7/100))*(F975/100)</f>
        <v/>
      </c>
      <c r="K975">
        <f>J975*(1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975)</f>
        <v/>
      </c>
      <c r="L975">
        <f>K975*(MIN(Inputs!$B$22+((C988=TRUE)*(F988-Calc!F20)),(Inputs!$B$23+0+(IF(ArtifactsInput!$M$15,CHOOSE(ArtifactsInput!$N$15+1,25,30,35,40,45,50)/100*(Inputs!$B$11-Inputs!$B$11),0))))/100+(Inputs!$B$23+0+(IF(ArtifactsInput!$M$15,CHOOSE(ArtifactsInput!$N$15+1,25,30,35,40,45,50)/100*(Inputs!$B$11-Inputs!$B$11),0)))/100)/2</f>
        <v/>
      </c>
      <c r="M975">
        <f>L975*(1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5">
        <f>L975*(1-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975*(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5">
        <f>(1-Summary!$B$11)*T975+Summary!$B$11*V975</f>
        <v/>
      </c>
      <c r="P975">
        <f>IF(B1004=0,0,O975/B1004)</f>
        <v/>
      </c>
      <c r="Q975">
        <f>IFERROR(1/(IF(Inputs!$B$38="pvp",15,MAX(0.1,Skills!D7-IF(Skills!E7=TRUE,(Inputs!$B$32+1),0)))*(1-IF(AND(ArtifactsInput!$M$27,Inputs!$B$4="Chapter Hunt"),CHOOSE(ArtifactsInput!$N$27+1,20,24,28,32,36,40),0)/100)),0)</f>
        <v/>
      </c>
      <c r="R975">
        <f>IF(AND(Inputs!$B$38&lt;&gt;"pvp",Inputs!$B$43&gt;0),IF(MAX(0,Inputs!$B$43-B1001)&lt;=0,0,(INT(MAX(0,Inputs!$B$43-B1001)/(IF(Inputs!$B$38="pvp",15,MAX(0.1,Skills!D7-IF(Skills!E7=TRUE,(Inputs!$B$32+1),0)))*(1-IF(AND(ArtifactsInput!$M$27,Inputs!$B$4="Chapter Hunt"),CHOOSE(ArtifactsInput!$N$27+1,20,24,28,32,36,40),0)/100)))+1)),0)</f>
        <v/>
      </c>
      <c r="S975">
        <f>IFERROR(O975/N975,0)</f>
        <v/>
      </c>
      <c r="T975">
        <f>IF(C975,(H975*N975*IF(AND(Inputs!$B$38&lt;&gt;"pvp",Inputs!$B$43&gt;0),((Skills!G7*((R975-1)*IF(Skills!H7&gt;0,Skills!I7/Skills!H7,1)+IF(Skills!H7&gt;0,MIN(Skills!I7,MAX(0,MAX(0,Inputs!$B$43-B1001)-((R975-1)*(IF(Inputs!$B$38="pvp",15,MAX(0.1,Skills!D7-IF(Skills!E7=TRUE,(Inputs!$B$32+1),0)))*(1-IF(AND(ArtifactsInput!$M$27,Inputs!$B$4="Chapter Hunt"),CHOOSE(ArtifactsInput!$N$27+1,20,24,28,32,36,40),0)/100)))))/Skills!H7,1)))/Inputs!$B$43),G975*Q975)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975*(1-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975*(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975*(1-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975*(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5">
        <f>IF(C975,(H975*N975*IF(AND(Inputs!$B$38&lt;&gt;"pvp",Inputs!$B$43&gt;0),((Skills!G7*((R975-1)*IF(Skills!H7&gt;0,Skills!I7/Skills!H7,1)+IF(Skills!H7&gt;0,MIN(Skills!I7,MAX(0,MAX(0,Inputs!$B$43-B1001)-((R975-1)*(IF(Inputs!$B$38="pvp",15,MAX(0.1,Skills!D7-IF(Skills!E7=TRUE,(Inputs!$B$32+1),0)))*(1-IF(AND(ArtifactsInput!$M$27,Inputs!$B$4="Chapter Hunt"),CHOOSE(ArtifactsInput!$N$27+1,20,24,28,32,36,40),0)/100)))))/Skills!H7,1)))/Inputs!$B$43),G975*Q975))*IF(Inputs!$B$38="pvp",1,(1+(Inputs!$B$21+Skills!Q7+(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6">
      <c r="A976">
        <f>Skills!A8</f>
        <v/>
      </c>
      <c r="B976">
        <f>Skills!B8</f>
        <v/>
      </c>
      <c r="C976">
        <f>Inputs!$B$3&gt;=110</f>
        <v/>
      </c>
      <c r="D976">
        <f>IF(Skills!C8=1,60+Inputs!$B$25+Inputs!$B$29,IF(Skills!C8=2,90+Inputs!$B$26+Inputs!$B$29,IF(Skills!C8=3,120+Inputs!$B$27+Inputs!$B$29,MAX(0,(Inputs!$B$3-100)*3)+Inputs!$B$28+Inputs!$B$29)))</f>
        <v/>
      </c>
      <c r="E976">
        <f>INDEX(FactorTable!$B$2:$Y$301, MATCH(ROUND(MIN(300,MAX(1,D976)),0), FactorTable!$A$2:$A$301,0), Skills!M8+1)</f>
        <v/>
      </c>
      <c r="F976">
        <f>IF(Skills!N8=TRUE,(Skills!L8/10)*(E976/1000),Skills!L8/10)+Skills!O8</f>
        <v/>
      </c>
      <c r="G976">
        <f>Skills!G8*IF(Skills!H8&gt;0,Skills!I8/Skills!H8,1)</f>
        <v/>
      </c>
      <c r="H976">
        <f>1-(1-Skills!J8/100)^Skills!K8</f>
        <v/>
      </c>
      <c r="I976" t="inlineStr">
        <is>
          <t>1</t>
        </is>
      </c>
      <c r="J976">
        <f>((Inputs!$B$6*(1+Inputs!$B$7/100))+(((Inputs!$B$12*(1+Inputs!$B$13/100))-(Inputs!$B$12*(1+Inputs!$B$13/100)))+0.25*(Inputs!$B$14-Inputs!$B$14))*(1+Inputs!$B$7/100))*(F976/100)</f>
        <v/>
      </c>
      <c r="K976">
        <f>J976*(1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976)</f>
        <v/>
      </c>
      <c r="L976">
        <f>K976*(MIN(Inputs!$B$22+((C988=TRUE)*(F988-Calc!F20)),(Inputs!$B$23+0+(IF(ArtifactsInput!$M$15,CHOOSE(ArtifactsInput!$N$15+1,25,30,35,40,45,50)/100*(Inputs!$B$11-Inputs!$B$11),0))))/100+(Inputs!$B$23+0+(IF(ArtifactsInput!$M$15,CHOOSE(ArtifactsInput!$N$15+1,25,30,35,40,45,50)/100*(Inputs!$B$11-Inputs!$B$11),0)))/100)/2</f>
        <v/>
      </c>
      <c r="M976">
        <f>L976*(1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6">
        <f>L976*(1-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976*(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6">
        <f>(1-Summary!$B$11)*T976+Summary!$B$11*V976</f>
        <v/>
      </c>
      <c r="P976">
        <f>IF(B1004=0,0,O976/B1004)</f>
        <v/>
      </c>
      <c r="Q976">
        <f>IFERROR(1/(IF(Inputs!$B$38="pvp",15,MAX(0.1,Skills!D8-IF(Skills!E8=TRUE,(Inputs!$B$32+1),0)))*(1-IF(AND(ArtifactsInput!$M$27,Inputs!$B$4="Chapter Hunt"),CHOOSE(ArtifactsInput!$N$27+1,20,24,28,32,36,40),0)/100)),0)</f>
        <v/>
      </c>
      <c r="R976">
        <f>IF(AND(Inputs!$B$38&lt;&gt;"pvp",Inputs!$B$43&gt;0),IF(MAX(0,Inputs!$B$43-B1001)&lt;=0,0,(INT(MAX(0,Inputs!$B$43-B1001)/(IF(Inputs!$B$38="pvp",15,MAX(0.1,Skills!D8-IF(Skills!E8=TRUE,(Inputs!$B$32+1),0)))*(1-IF(AND(ArtifactsInput!$M$27,Inputs!$B$4="Chapter Hunt"),CHOOSE(ArtifactsInput!$N$27+1,20,24,28,32,36,40),0)/100)))+1)),0)</f>
        <v/>
      </c>
      <c r="S976">
        <f>IFERROR(O976/N976,0)</f>
        <v/>
      </c>
      <c r="T976">
        <f>IF(C976,(H976*N976*IF(AND(Inputs!$B$38&lt;&gt;"pvp",Inputs!$B$43&gt;0),((Skills!G8*((R976-1)*IF(Skills!H8&gt;0,Skills!I8/Skills!H8,1)+IF(Skills!H8&gt;0,MIN(Skills!I8,MAX(0,MAX(0,Inputs!$B$43-B1001)-((R976-1)*(IF(Inputs!$B$38="pvp",15,MAX(0.1,Skills!D8-IF(Skills!E8=TRUE,(Inputs!$B$32+1),0)))*(1-IF(AND(ArtifactsInput!$M$27,Inputs!$B$4="Chapter Hunt"),CHOOSE(ArtifactsInput!$N$27+1,20,24,28,32,36,40),0)/100)))))/Skills!H8,1)))/Inputs!$B$43),G976*Q976)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976*(1-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976*(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976*(1-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976*(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6">
        <f>IF(C976,(H976*N976*IF(AND(Inputs!$B$38&lt;&gt;"pvp",Inputs!$B$43&gt;0),((Skills!G8*((R976-1)*IF(Skills!H8&gt;0,Skills!I8/Skills!H8,1)+IF(Skills!H8&gt;0,MIN(Skills!I8,MAX(0,MAX(0,Inputs!$B$43-B1001)-((R976-1)*(IF(Inputs!$B$38="pvp",15,MAX(0.1,Skills!D8-IF(Skills!E8=TRUE,(Inputs!$B$32+1),0)))*(1-IF(AND(ArtifactsInput!$M$27,Inputs!$B$4="Chapter Hunt"),CHOOSE(ArtifactsInput!$N$27+1,20,24,28,32,36,40),0)/100)))))/Skills!H8,1)))/Inputs!$B$43),G976*Q976))*IF(Inputs!$B$38="pvp",1,(1+(Inputs!$B$21+Skills!Q8+(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7">
      <c r="A977">
        <f>Skills!A9</f>
        <v/>
      </c>
      <c r="B977">
        <f>Skills!B9</f>
        <v/>
      </c>
      <c r="C977">
        <f>Inputs!$B$3&gt;=110</f>
        <v/>
      </c>
      <c r="D977">
        <f>IF(Skills!C9=1,60+Inputs!$B$25+Inputs!$B$29,IF(Skills!C9=2,90+Inputs!$B$26+Inputs!$B$29,IF(Skills!C9=3,120+Inputs!$B$27+Inputs!$B$29,MAX(0,(Inputs!$B$3-100)*3)+Inputs!$B$28+Inputs!$B$29)))</f>
        <v/>
      </c>
      <c r="E977">
        <f>INDEX(FactorTable!$B$2:$Y$301, MATCH(ROUND(MIN(300,MAX(1,D977)),0), FactorTable!$A$2:$A$301,0), Skills!M9+1)</f>
        <v/>
      </c>
      <c r="F977">
        <f>IF(Skills!N9=TRUE,(Skills!L9/10)*(E977/1000),Skills!L9/10)+Skills!O9</f>
        <v/>
      </c>
      <c r="G977">
        <f>Skills!G9*IF(Skills!H9&gt;0,Skills!I9/Skills!H9,1)</f>
        <v/>
      </c>
      <c r="H977">
        <f>1-(1-Skills!J9/100)^Skills!K9</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988=TRUE)*(F988-Calc!F20)),(Inputs!$B$23+0+(IF(ArtifactsInput!$M$15,CHOOSE(ArtifactsInput!$N$15+1,25,30,35,40,45,50)/100*(Inputs!$B$11-Inputs!$B$11),0))))/100+(Inputs!$B$23+0+(IF(ArtifactsInput!$M$15,CHOOSE(ArtifactsInput!$N$15+1,25,30,35,40,45,50)/100*(Inputs!$B$11-Inputs!$B$11),0)))/100)/2</f>
        <v/>
      </c>
      <c r="M977">
        <f>L977*(1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IF(B1004=0,0,O977/B1004)</f>
        <v/>
      </c>
      <c r="Q977">
        <f>IFERROR(1/(IF(Inputs!$B$38="pvp",15,MAX(0.1,Skills!D9-IF(Skills!E9=TRUE,(Inputs!$B$32+1),0)))*(1-IF(AND(ArtifactsInput!$M$27,Inputs!$B$4="Chapter Hunt"),CHOOSE(ArtifactsInput!$N$27+1,20,24,28,32,36,40),0)/100)),0)</f>
        <v/>
      </c>
      <c r="R977">
        <f>IF(AND(Inputs!$B$38&lt;&gt;"pvp",Inputs!$B$43&gt;0),IF(MAX(0,Inputs!$B$43-B1001)&lt;=0,0,(INT(MAX(0,Inputs!$B$43-B1001)/(IF(Inputs!$B$38="pvp",15,MAX(0.1,Skills!D9-IF(Skills!E9=TRUE,(Inputs!$B$32+1),0)))*(1-IF(AND(ArtifactsInput!$M$27,Inputs!$B$4="Chapter Hunt"),CHOOSE(ArtifactsInput!$N$27+1,20,24,28,32,36,40),0)/100)))+1)),0)</f>
        <v/>
      </c>
      <c r="S977">
        <f>IFERROR(O977/N977,0)</f>
        <v/>
      </c>
      <c r="T977">
        <f>IF(C977,(H977*N977*IF(AND(Inputs!$B$38&lt;&gt;"pvp",Inputs!$B$43&gt;0),((Skills!G9*((R977-1)*IF(Skills!H9&gt;0,Skills!I9/Skills!H9,1)+IF(Skills!H9&gt;0,MIN(Skills!I9,MAX(0,MAX(0,Inputs!$B$43-B1001)-((R977-1)*(IF(Inputs!$B$38="pvp",15,MAX(0.1,Skills!D9-IF(Skills!E9=TRUE,(Inputs!$B$32+1),0)))*(1-IF(AND(ArtifactsInput!$M$27,Inputs!$B$4="Chapter Hunt"),CHOOSE(ArtifactsInput!$N$27+1,20,24,28,32,36,40),0)/100)))))/Skills!H9,1)))/Inputs!$B$43),G977*Q977)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9*((R977-1)*IF(Skills!H9&gt;0,Skills!I9/Skills!H9,1)+IF(Skills!H9&gt;0,MIN(Skills!I9,MAX(0,MAX(0,Inputs!$B$43-B1001)-((R977-1)*(IF(Inputs!$B$38="pvp",15,MAX(0.1,Skills!D9-IF(Skills!E9=TRUE,(Inputs!$B$32+1),0)))*(1-IF(AND(ArtifactsInput!$M$27,Inputs!$B$4="Chapter Hunt"),CHOOSE(ArtifactsInput!$N$27+1,20,24,28,32,36,40),0)/100)))))/Skills!H9,1)))/Inputs!$B$43),G977*Q977))*IF(Inputs!$B$38="pvp",1,(1+(Inputs!$B$21+Skills!Q9+(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Skills!A10</f>
        <v/>
      </c>
      <c r="B978">
        <f>Skills!B10</f>
        <v/>
      </c>
      <c r="C978">
        <f>Inputs!$B$3&gt;=103</f>
        <v/>
      </c>
      <c r="D978">
        <f>IF(Skills!C10=1,60+Inputs!$B$25+Inputs!$B$29,IF(Skills!C10=2,90+Inputs!$B$26+Inputs!$B$29,IF(Skills!C10=3,120+Inputs!$B$27+Inputs!$B$29,MAX(0,(Inputs!$B$3-100)*3)+Inputs!$B$28+Inputs!$B$29)))</f>
        <v/>
      </c>
      <c r="E978">
        <f>INDEX(FactorTable!$B$2:$Y$301, MATCH(ROUND(MIN(300,MAX(1,D978)),0), FactorTable!$A$2:$A$301,0), Skills!M10+1)</f>
        <v/>
      </c>
      <c r="F978">
        <f>IF(Skills!N10=TRUE,(Skills!L10/10)*(E978/1000),Skills!L10/10)+Skills!O10</f>
        <v/>
      </c>
      <c r="G978">
        <f>Skills!G10*IF(Skills!H10&gt;0,Skills!I10/Skills!H10,1)</f>
        <v/>
      </c>
      <c r="H978">
        <f>1-(1-Skills!J10/100)^Skills!K10</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988=TRUE)*(F988-Calc!F20)),(Inputs!$B$23+0+(IF(ArtifactsInput!$M$15,CHOOSE(ArtifactsInput!$N$15+1,25,30,35,40,45,50)/100*(Inputs!$B$11-Inputs!$B$11),0))))/100+(Inputs!$B$23+0+(IF(ArtifactsInput!$M$15,CHOOSE(ArtifactsInput!$N$15+1,25,30,35,40,45,50)/100*(Inputs!$B$11-Inputs!$B$11),0)))/100)/2</f>
        <v/>
      </c>
      <c r="M978">
        <f>L978*(1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IF(B1004=0,0,O978/B1004)</f>
        <v/>
      </c>
      <c r="Q978">
        <f>IFERROR(1/(IF(Inputs!$B$38="pvp",15,MAX(0.1,Skills!D10-IF(Skills!E10=TRUE,(Inputs!$B$32+1),0)))*(1-IF(AND(ArtifactsInput!$M$27,Inputs!$B$4="Chapter Hunt"),CHOOSE(ArtifactsInput!$N$27+1,20,24,28,32,36,40),0)/100)),0)</f>
        <v/>
      </c>
      <c r="R978">
        <f>IF(AND(Inputs!$B$38&lt;&gt;"pvp",Inputs!$B$43&gt;0),IF(MAX(0,Inputs!$B$43-B1001)&lt;=0,0,(INT(MAX(0,Inputs!$B$43-B1001)/(IF(Inputs!$B$38="pvp",15,MAX(0.1,Skills!D10-IF(Skills!E10=TRUE,(Inputs!$B$32+1),0)))*(1-IF(AND(ArtifactsInput!$M$27,Inputs!$B$4="Chapter Hunt"),CHOOSE(ArtifactsInput!$N$27+1,20,24,28,32,36,40),0)/100)))+1)),0)</f>
        <v/>
      </c>
      <c r="S978">
        <f>IFERROR(O978/N978,0)</f>
        <v/>
      </c>
      <c r="T978">
        <f>IF(C978,(H978*N978*IF(AND(Inputs!$B$38&lt;&gt;"pvp",Inputs!$B$43&gt;0),((Skills!G10*((R978-1)*IF(Skills!H10&gt;0,Skills!I10/Skills!H10,1)+IF(Skills!H10&gt;0,MIN(Skills!I10,MAX(0,MAX(0,Inputs!$B$43-B1001)-((R978-1)*(IF(Inputs!$B$38="pvp",15,MAX(0.1,Skills!D10-IF(Skills!E10=TRUE,(Inputs!$B$32+1),0)))*(1-IF(AND(ArtifactsInput!$M$27,Inputs!$B$4="Chapter Hunt"),CHOOSE(ArtifactsInput!$N$27+1,20,24,28,32,36,40),0)/100)))))/Skills!H10,1)))/Inputs!$B$43),G978*Q978)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10*((R978-1)*IF(Skills!H10&gt;0,Skills!I10/Skills!H10,1)+IF(Skills!H10&gt;0,MIN(Skills!I10,MAX(0,MAX(0,Inputs!$B$43-B1001)-((R978-1)*(IF(Inputs!$B$38="pvp",15,MAX(0.1,Skills!D10-IF(Skills!E10=TRUE,(Inputs!$B$32+1),0)))*(1-IF(AND(ArtifactsInput!$M$27,Inputs!$B$4="Chapter Hunt"),CHOOSE(ArtifactsInput!$N$27+1,20,24,28,32,36,40),0)/100)))))/Skills!H10,1)))/Inputs!$B$43),G978*Q978))*IF(Inputs!$B$38="pvp",1,(1+(Inputs!$B$21+Skills!Q10+(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Skills!A11</f>
        <v/>
      </c>
      <c r="B979">
        <f>Skills!B11</f>
        <v/>
      </c>
      <c r="C979">
        <f>Inputs!$B$3&gt;=113</f>
        <v/>
      </c>
      <c r="D979">
        <f>IF(Skills!C11=1,60+Inputs!$B$25+Inputs!$B$29,IF(Skills!C11=2,90+Inputs!$B$26+Inputs!$B$29,IF(Skills!C11=3,120+Inputs!$B$27+Inputs!$B$29,MAX(0,(Inputs!$B$3-100)*3)+Inputs!$B$28+Inputs!$B$29)))</f>
        <v/>
      </c>
      <c r="E979">
        <f>INDEX(FactorTable!$B$2:$Y$301, MATCH(ROUND(MIN(300,MAX(1,D979)),0), FactorTable!$A$2:$A$301,0), Skills!M11+1)</f>
        <v/>
      </c>
      <c r="F979">
        <f>IF(Skills!N11=TRUE,(Skills!L11/10)*(E979/1000),Skills!L11/10)+Skills!O11</f>
        <v/>
      </c>
      <c r="G979">
        <f>Skills!G11*IF(Skills!H11&gt;0,Skills!I11/Skills!H11,1)</f>
        <v/>
      </c>
      <c r="H979">
        <f>1-(1-Skills!J11/100)^Skills!K11</f>
        <v/>
      </c>
      <c r="I979" t="inlineStr">
        <is>
          <t>1</t>
        </is>
      </c>
      <c r="J979">
        <f>((Inputs!$B$6*(1+Inputs!$B$7/100))+(((Inputs!$B$12*(1+Inputs!$B$13/100))-(Inputs!$B$12*(1+Inputs!$B$13/100)))+0.25*(Inputs!$B$14-Inputs!$B$14))*(1+Inputs!$B$7/100))*(F979/100)</f>
        <v/>
      </c>
      <c r="K979">
        <f>J979*(1+((Inputs!$B$12*(1+Inputs!$B$13/100))*0.01+Inputs!$B$14*0.0025)/100)*(1+Inputs!$B$15/100)*(1+Inputs!$B$16/100)*(5000/(6000+Inputs!$B$42*(1-(100*(1-(1-(Inputs!$B$19+0)/100)*(1-CHOOSE(ArtifactsInput!$N$40+1,5,6,7,8,9,10)/100)^(ArtifactsInput!$M$40-ArtifactsInput!$M$40)))/100)))*(1+(Inputs!$B$24+((C990=TRUE)*(F990-Calc!F22))+B1000)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989=TRUE)*(F989-Calc!F21))+(((IF(AND(ArtifactsInput!$M$42,((Inputs!$B$9+((C984=TRUE)*(F984-Calc!F16))+B994+(ArtifactsInput!$M$24-ArtifactsInput!$M$24)*CHOOSE(ArtifactsInput!$N$24+1,10,12,14,16,18,20)+IF(ArtifactsInput!$M$10,CHOOSE(ArtifactsInput!$N$10+1,15,18,21,24,27,30)*(IF(Inputs!$B$38="pvp",MIN(15,15)/15,IF(AND(Inputs!$B$38&lt;&gt;"pvp",Inputs!$B$43&gt;0),MIN(15,Inputs!$B$43)/(Inputs!$B$43),0))),0)))&gt;=100),MIN(100,((Inputs!$B$9+((C984=TRUE)*(F984-Calc!F16))+B994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984=TRUE)*(F984-Calc!F16))+B994+(ArtifactsInput!$M$24-ArtifactsInput!$M$24)*CHOOSE(ArtifactsInput!$N$24+1,10,12,14,16,18,20)+IF(ArtifactsInput!$M$10,CHOOSE(ArtifactsInput!$N$10+1,15,18,21,24,27,30)*(IF(Inputs!$B$38="pvp",MIN(15,15)/15,IF(AND(Inputs!$B$38&lt;&gt;"pvp",Inputs!$B$43&gt;0),MIN(15,Inputs!$B$43)/(Inputs!$B$43),0))),0)))&gt;=100),CHOOSE(ArtifactsInput!$N$42+1,40,48,56,64,72,80),0))))/100)*((1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979)</f>
        <v/>
      </c>
      <c r="L979">
        <f>K979*(MIN(Inputs!$B$22+((C988=TRUE)*(F988-Calc!F20)),(Inputs!$B$23+0+(IF(ArtifactsInput!$M$15,CHOOSE(ArtifactsInput!$N$15+1,25,30,35,40,45,50)/100*(Inputs!$B$11-Inputs!$B$11),0))))/100+(Inputs!$B$23+0+(IF(ArtifactsInput!$M$15,CHOOSE(ArtifactsInput!$N$15+1,25,30,35,40,45,50)/100*(Inputs!$B$11-Inputs!$B$11),0)))/100)/2</f>
        <v/>
      </c>
      <c r="M979">
        <f>L979*(1+(Inputs!$B$10+0+B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9">
        <f>L979*(1-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979*(MIN((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9">
        <f>(1-Summary!$B$11)*T979+Summary!$B$11*V979</f>
        <v/>
      </c>
      <c r="P979">
        <f>IF(B1004=0,0,O979/B1004)</f>
        <v/>
      </c>
      <c r="Q979">
        <f>IFERROR(1/(IF(Inputs!$B$38="pvp",15,MAX(0.1,Skills!D11-IF(Skills!E11=TRUE,(Inputs!$B$32+1),0)))*(1-IF(AND(ArtifactsInput!$M$27,Inputs!$B$4="Chapter Hunt"),CHOOSE(ArtifactsInput!$N$27+1,20,24,28,32,36,40),0)/100)),0)</f>
        <v/>
      </c>
      <c r="R979">
        <f>IF(AND(Inputs!$B$38&lt;&gt;"pvp",Inputs!$B$43&gt;0),IF(MAX(0,Inputs!$B$43-B1001)&lt;=0,0,(INT(MAX(0,Inputs!$B$43-B1001)/(IF(Inputs!$B$38="pvp",15,MAX(0.1,Skills!D11-IF(Skills!E11=TRUE,(Inputs!$B$32+1),0)))*(1-IF(AND(ArtifactsInput!$M$27,Inputs!$B$4="Chapter Hunt"),CHOOSE(ArtifactsInput!$N$27+1,20,24,28,32,36,40),0)/100)))+1)),0)</f>
        <v/>
      </c>
      <c r="S979">
        <f>IFERROR(O979/N979,0)</f>
        <v/>
      </c>
      <c r="T979">
        <f>IF(C979,(H979*N979*IF(AND(Inputs!$B$38&lt;&gt;"pvp",Inputs!$B$43&gt;0),((Skills!G11*((R979-1)*IF(Skills!H11&gt;0,Skills!I11/Skills!H11,1)+IF(Skills!H11&gt;0,MIN(Skills!I11,MAX(0,MAX(0,Inputs!$B$43-B1001)-((R979-1)*(IF(Inputs!$B$38="pvp",15,MAX(0.1,Skills!D11-IF(Skills!E11=TRUE,(Inputs!$B$32+1),0)))*(1-IF(AND(ArtifactsInput!$M$27,Inputs!$B$4="Chapter Hunt"),CHOOSE(ArtifactsInput!$N$27+1,20,24,28,32,36,40),0)/100)))))/Skills!H11,1)))/Inputs!$B$43),G979*Q979)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979*(1-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979*(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979*(1-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979*(MIN(100,(Inputs!$B$9+((C984=TRUE)*(F984-Calc!F16))+B994+(ArtifactsInput!$M$24-ArtifactsInput!$M$24)*CHOOSE(ArtifactsInput!$N$24+1,10,12,14,16,18,20)+(IF(AND(ArtifactsInput!$M$42,((Inputs!$B$9+((C984=TRUE)*(F984-Calc!F16))+B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9">
        <f>IF(C979,(H979*N979*IF(AND(Inputs!$B$38&lt;&gt;"pvp",Inputs!$B$43&gt;0),((Skills!G11*((R979-1)*IF(Skills!H11&gt;0,Skills!I11/Skills!H11,1)+IF(Skills!H11&gt;0,MIN(Skills!I11,MAX(0,MAX(0,Inputs!$B$43-B1001)-((R979-1)*(IF(Inputs!$B$38="pvp",15,MAX(0.1,Skills!D11-IF(Skills!E11=TRUE,(Inputs!$B$32+1),0)))*(1-IF(AND(ArtifactsInput!$M$27,Inputs!$B$4="Chapter Hunt"),CHOOSE(ArtifactsInput!$N$27+1,20,24,28,32,36,40),0)/100)))))/Skills!H11,1)))/Inputs!$B$43),G979*Q979))*IF(Inputs!$B$38="pvp",1,(1+(Inputs!$B$21+Skills!Q11+(IF(ArtifactsInput!$M$33,CHOOSE(ArtifactsInput!$N$33+1,30,36,42,48,54,60),0))+(IF(AND(ArtifactsInput!$M$35,Inputs!$B$4&lt;&gt;"Chapter Hunt"),CHOOSE(ArtifactsInput!$N$35+1,15,18,21,24,27,30)*(1-EXP(-(0.2*B996)*5)),0)+IF(AND(ArtifactsInput!$M$22,Inputs!$B$4&lt;&gt;"Chapter Hunt"),CHOOSE(ArtifactsInput!$N$22+1,10,12,14,16,18,20)*((0*(((0.15*B996*5))^0/1)+1*(((0.15*B996*5))^1/1)+2*(((0.15*B996*5))^2/2)+3*(((0.15*B996*5))^3/6)+4*(((0.15*B996*5))^4/24)+5*(((0.15*B996*5))^5/120))/((((0.15*B996*5))^0/1)+(((0.15*B996*5))^1/1)+(((0.15*B996*5))^2/2)+(((0.15*B996*5))^3/6)+(((0.15*B996*5))^4/24)+(((0.15*B996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f>Skills!A12</f>
        <v/>
      </c>
      <c r="B980">
        <f>Skills!B12</f>
        <v/>
      </c>
      <c r="C980">
        <f>Inputs!$B$3&gt;=100</f>
        <v/>
      </c>
      <c r="D980">
        <f>IF(Skills!C12=1,60+Inputs!$B$25+Inputs!$B$29,IF(Skills!C12=2,90+Inputs!$B$26+Inputs!$B$29,IF(Skills!C12=3,120+Inputs!$B$27+Inputs!$B$29,MAX(0,(Inputs!$B$3-100)*3)+Inputs!$B$28+Inputs!$B$29)))</f>
        <v/>
      </c>
      <c r="E980">
        <f>INDEX(FactorTable!$B$2:$Y$301, MATCH(ROUND(MIN(300,MAX(1,D980)),0), FactorTable!$A$2:$A$301,0), Skills!M12+1)</f>
        <v/>
      </c>
      <c r="F980">
        <f>IF(Skills!N12=TRUE,(Skills!L12/10)*(E980/1000),Skills!L12/10)+Skills!O12</f>
        <v/>
      </c>
      <c r="G980" t="inlineStr"/>
      <c r="H980" t="inlineStr"/>
      <c r="I980" t="inlineStr">
        <is>
          <t>1</t>
        </is>
      </c>
      <c r="J980" t="inlineStr"/>
      <c r="K980" t="inlineStr"/>
      <c r="L980" t="inlineStr"/>
      <c r="M980" t="inlineStr"/>
      <c r="N980" t="inlineStr"/>
      <c r="O980" t="inlineStr"/>
      <c r="P980" t="inlineStr"/>
      <c r="Q980" t="inlineStr"/>
      <c r="R980" t="inlineStr"/>
      <c r="S980" t="inlineStr"/>
      <c r="T980" t="inlineStr"/>
      <c r="V980" t="inlineStr"/>
    </row>
    <row r="981">
      <c r="A981">
        <f>Skills!A13</f>
        <v/>
      </c>
      <c r="B981">
        <f>Skills!B13</f>
        <v/>
      </c>
      <c r="C981">
        <f>Inputs!$B$3&gt;=66</f>
        <v/>
      </c>
      <c r="D981">
        <f>IF(Skills!C13=1,60+Inputs!$B$25+Inputs!$B$29,IF(Skills!C13=2,90+Inputs!$B$26+Inputs!$B$29,IF(Skills!C13=3,120+Inputs!$B$27+Inputs!$B$29,MAX(0,(Inputs!$B$3-100)*3)+Inputs!$B$28+Inputs!$B$29)))</f>
        <v/>
      </c>
      <c r="E981">
        <f>INDEX(FactorTable!$B$2:$Y$301, MATCH(ROUND(MIN(300,MAX(1,D981)),0), FactorTable!$A$2:$A$301,0), Skills!M13+1)</f>
        <v/>
      </c>
      <c r="F981">
        <f>IF(Skills!N13=TRUE,(Skills!L13/10)*(E981/1000),Skills!L13/10)+Skills!O13</f>
        <v/>
      </c>
      <c r="G981">
        <f>Skills!G13*IF(Skills!H13&gt;0,Skills!I13/Skills!H13,1)</f>
        <v/>
      </c>
      <c r="H981">
        <f>1-(1-Skills!J13/100)^Skills!K13</f>
        <v/>
      </c>
      <c r="I981" t="inlineStr">
        <is>
          <t>1</t>
        </is>
      </c>
      <c r="J981" t="inlineStr"/>
      <c r="K981" t="inlineStr"/>
      <c r="L981" t="inlineStr"/>
      <c r="M981" t="inlineStr"/>
      <c r="N981" t="inlineStr"/>
      <c r="O981">
        <f>(1-Summary!$B$11)*T981+Summary!$B$11*V981</f>
        <v/>
      </c>
      <c r="P981">
        <f>IF(B1004=0,0,O981/B1004)</f>
        <v/>
      </c>
      <c r="Q981" t="n">
        <v>0</v>
      </c>
      <c r="R981" t="n">
        <v>0</v>
      </c>
      <c r="S981">
        <f>IFERROR(O981/N981,0)</f>
        <v/>
      </c>
      <c r="T981" t="n">
        <v>0</v>
      </c>
      <c r="V981" t="n">
        <v>0</v>
      </c>
    </row>
    <row r="982">
      <c r="A982">
        <f>Skills!A14</f>
        <v/>
      </c>
      <c r="B982">
        <f>Skills!B14</f>
        <v/>
      </c>
      <c r="C982">
        <f>Inputs!$B$3&gt;=107</f>
        <v/>
      </c>
      <c r="D982">
        <f>IF(Skills!C14=1,60+Inputs!$B$25+Inputs!$B$29,IF(Skills!C14=2,90+Inputs!$B$26+Inputs!$B$29,IF(Skills!C14=3,120+Inputs!$B$27+Inputs!$B$29,MAX(0,(Inputs!$B$3-100)*3)+Inputs!$B$28+Inputs!$B$29)))</f>
        <v/>
      </c>
      <c r="E982">
        <f>INDEX(FactorTable!$B$2:$Y$301, MATCH(ROUND(MIN(300,MAX(1,D982)),0), FactorTable!$A$2:$A$301,0), Skills!M14+1)</f>
        <v/>
      </c>
      <c r="F982">
        <f>IF(Skills!N14=TRUE,(Skills!L14/10)*(E982/1000),Skills!L14/10)+Skills!O14</f>
        <v/>
      </c>
      <c r="G982">
        <f>Skills!G14*IF(Skills!H14&gt;0,Skills!I14/Skills!H14,1)</f>
        <v/>
      </c>
      <c r="H982">
        <f>1-(1-Skills!J14/100)^Skills!K14</f>
        <v/>
      </c>
      <c r="I982" t="inlineStr">
        <is>
          <t>1</t>
        </is>
      </c>
      <c r="J982" t="inlineStr"/>
      <c r="K982" t="inlineStr"/>
      <c r="L982" t="inlineStr"/>
      <c r="M982" t="inlineStr"/>
      <c r="N982" t="inlineStr"/>
      <c r="O982">
        <f>(1-Summary!$B$11)*T982+Summary!$B$11*V982</f>
        <v/>
      </c>
      <c r="P982">
        <f>IF(B1004=0,0,O982/B1004)</f>
        <v/>
      </c>
      <c r="Q982">
        <f>IFERROR(1/(IF(Inputs!$B$38="pvp",15,MAX(0.1,Skills!D14-IF(Skills!E14=TRUE,(Inputs!$B$32+1),0)))*(1-IF(AND(ArtifactsInput!$M$27,Inputs!$B$4="Chapter Hunt"),CHOOSE(ArtifactsInput!$N$27+1,20,24,28,32,36,40),0)/100)),0)</f>
        <v/>
      </c>
      <c r="R982">
        <f>IF(AND(Inputs!$B$38&lt;&gt;"pvp",Inputs!$B$43&gt;0),IF(Inputs!$B$43&lt;=0,0,(INT(Inputs!$B$43/(IF(Inputs!$B$38="pvp",15,MAX(0.1,Skills!D14-IF(Skills!E14=TRUE,(Inputs!$B$32+1),0)))*(1-IF(AND(ArtifactsInput!$M$27,Inputs!$B$4="Chapter Hunt"),CHOOSE(ArtifactsInput!$N$27+1,20,24,28,32,36,40),0)/100)))+1)),0)</f>
        <v/>
      </c>
      <c r="S982">
        <f>IFERROR(O982/N982,0)</f>
        <v/>
      </c>
      <c r="T982" t="n">
        <v>0</v>
      </c>
      <c r="V982" t="n">
        <v>0</v>
      </c>
    </row>
    <row r="983">
      <c r="A983">
        <f>Skills!A15</f>
        <v/>
      </c>
      <c r="B983">
        <f>Skills!B15</f>
        <v/>
      </c>
      <c r="C983">
        <f>Inputs!$B$3&gt;=115</f>
        <v/>
      </c>
      <c r="D983">
        <f>IF(Skills!C15=1,60+Inputs!$B$25+Inputs!$B$29,IF(Skills!C15=2,90+Inputs!$B$26+Inputs!$B$29,IF(Skills!C15=3,120+Inputs!$B$27+Inputs!$B$29,MAX(0,(Inputs!$B$3-100)*3)+Inputs!$B$28+Inputs!$B$29)))</f>
        <v/>
      </c>
      <c r="E983">
        <f>INDEX(FactorTable!$B$2:$Y$301, MATCH(ROUND(MIN(300,MAX(1,D983)),0), FactorTable!$A$2:$A$301,0), Skills!M15+1)</f>
        <v/>
      </c>
      <c r="F983">
        <f>IF(Skills!N15=TRUE,(Skills!L15/10)*(E983/1000),Skills!L15/10)+Skills!O15</f>
        <v/>
      </c>
      <c r="G983">
        <f>Skills!G15*IF(Skills!H15&gt;0,Skills!I15/Skills!H15,1)</f>
        <v/>
      </c>
      <c r="H983">
        <f>1-(1-Skills!J15/100)^Skills!K15</f>
        <v/>
      </c>
      <c r="I983" t="inlineStr">
        <is>
          <t>1</t>
        </is>
      </c>
      <c r="J983" t="inlineStr"/>
      <c r="K983" t="inlineStr"/>
      <c r="L983" t="inlineStr"/>
      <c r="M983" t="inlineStr"/>
      <c r="N983" t="inlineStr"/>
      <c r="O983">
        <f>(1-Summary!$B$11)*T983+Summary!$B$11*V983</f>
        <v/>
      </c>
      <c r="P983">
        <f>IF(B1004=0,0,O983/B1004)</f>
        <v/>
      </c>
      <c r="Q983">
        <f>IFERROR(1/(IF(Inputs!$B$38="pvp",15,MAX(0.1,Skills!D15-IF(Skills!E15=TRUE,(Inputs!$B$32+1),0)))*(1-IF(AND(ArtifactsInput!$M$27,Inputs!$B$4="Chapter Hunt"),CHOOSE(ArtifactsInput!$N$27+1,20,24,28,32,36,40),0)/100)),0)</f>
        <v/>
      </c>
      <c r="R983">
        <f>IF(AND(Inputs!$B$38&lt;&gt;"pvp",Inputs!$B$43&gt;0),IF(Inputs!$B$43&lt;=0,0,(INT(Inputs!$B$43/(IF(Inputs!$B$38="pvp",15,MAX(0.1,Skills!D15-IF(Skills!E15=TRUE,(Inputs!$B$32+1),0)))*(1-IF(AND(ArtifactsInput!$M$27,Inputs!$B$4="Chapter Hunt"),CHOOSE(ArtifactsInput!$N$27+1,20,24,28,32,36,40),0)/100)))+1)),0)</f>
        <v/>
      </c>
      <c r="S983">
        <f>IFERROR(O983/N983,0)</f>
        <v/>
      </c>
      <c r="T983" t="n">
        <v>0</v>
      </c>
      <c r="V983" t="n">
        <v>0</v>
      </c>
    </row>
    <row r="984">
      <c r="A984">
        <f>Skills!A16</f>
        <v/>
      </c>
      <c r="B984">
        <f>Skills!B16</f>
        <v/>
      </c>
      <c r="C984">
        <f>Inputs!$B$3&gt;=15</f>
        <v/>
      </c>
      <c r="D984">
        <f>IF(Skills!C16=1,60+Inputs!$B$25+Inputs!$B$29,IF(Skills!C16=2,90+Inputs!$B$26+Inputs!$B$29,IF(Skills!C16=3,120+Inputs!$B$27+Inputs!$B$29,MAX(0,(Inputs!$B$3-100)*3)+Inputs!$B$28+Inputs!$B$29)))</f>
        <v/>
      </c>
      <c r="E984">
        <f>INDEX(FactorTable!$B$2:$Y$301, MATCH(ROUND(MIN(300,MAX(1,D984)),0), FactorTable!$A$2:$A$301,0), Skills!M16+1)</f>
        <v/>
      </c>
      <c r="F984">
        <f>IF(Skills!N16=TRUE,(Skills!L16/10)*(E984/1000),Skills!L16/10)+Skills!O16</f>
        <v/>
      </c>
      <c r="G984">
        <f>Skills!G16*IF(Skills!H16&gt;0,Skills!I16/Skills!H16,1)</f>
        <v/>
      </c>
      <c r="H984">
        <f>1-(1-Skills!J16/100)^Skills!K16</f>
        <v/>
      </c>
      <c r="I984" t="inlineStr">
        <is>
          <t>1</t>
        </is>
      </c>
      <c r="J984" t="inlineStr"/>
      <c r="K984" t="inlineStr"/>
      <c r="L984" t="inlineStr"/>
      <c r="M984" t="inlineStr"/>
      <c r="N984" t="inlineStr"/>
      <c r="O984">
        <f>(1-Summary!$B$11)*T984+Summary!$B$11*V984</f>
        <v/>
      </c>
      <c r="P984">
        <f>IF(B1004=0,0,O984/B1004)</f>
        <v/>
      </c>
      <c r="Q984" t="n">
        <v>0</v>
      </c>
      <c r="R984" t="n">
        <v>0</v>
      </c>
      <c r="S984">
        <f>IFERROR(O984/N984,0)</f>
        <v/>
      </c>
      <c r="T984" t="n">
        <v>0</v>
      </c>
      <c r="V984" t="n">
        <v>0</v>
      </c>
    </row>
    <row r="985">
      <c r="A985">
        <f>Skills!A17</f>
        <v/>
      </c>
      <c r="B985">
        <f>Skills!B17</f>
        <v/>
      </c>
      <c r="C985">
        <f>Inputs!$B$3&gt;=10</f>
        <v/>
      </c>
      <c r="D985">
        <f>IF(Skills!C17=1,60+Inputs!$B$25+Inputs!$B$29,IF(Skills!C17=2,90+Inputs!$B$26+Inputs!$B$29,IF(Skills!C17=3,120+Inputs!$B$27+Inputs!$B$29,MAX(0,(Inputs!$B$3-100)*3)+Inputs!$B$28+Inputs!$B$29)))</f>
        <v/>
      </c>
      <c r="E985">
        <f>INDEX(FactorTable!$B$2:$Y$301, MATCH(ROUND(MIN(300,MAX(1,D985)),0), FactorTable!$A$2:$A$301,0), Skills!M17+1)</f>
        <v/>
      </c>
      <c r="F985">
        <f>IF(Skills!N17=TRUE,(Skills!L17/10)*(E985/1000),Skills!L17/10)+Skills!O17</f>
        <v/>
      </c>
      <c r="G985">
        <f>Skills!G17*IF(Skills!H17&gt;0,Skills!I17/Skills!H17,1)</f>
        <v/>
      </c>
      <c r="H985">
        <f>1-(1-Skills!J17/100)^Skills!K17</f>
        <v/>
      </c>
      <c r="I985" t="inlineStr">
        <is>
          <t>1</t>
        </is>
      </c>
      <c r="J985" t="inlineStr"/>
      <c r="K985" t="inlineStr"/>
      <c r="L985" t="inlineStr"/>
      <c r="M985" t="inlineStr"/>
      <c r="N985" t="inlineStr"/>
      <c r="O985">
        <f>(1-Summary!$B$11)*T985+Summary!$B$11*V985</f>
        <v/>
      </c>
      <c r="P985">
        <f>IF(B1004=0,0,O985/B1004)</f>
        <v/>
      </c>
      <c r="Q985" t="n">
        <v>0</v>
      </c>
      <c r="R985" t="n">
        <v>0</v>
      </c>
      <c r="S985">
        <f>IFERROR(O985/N985,0)</f>
        <v/>
      </c>
      <c r="T985" t="n">
        <v>0</v>
      </c>
      <c r="V985" t="n">
        <v>0</v>
      </c>
    </row>
    <row r="986">
      <c r="A986">
        <f>Skills!A18</f>
        <v/>
      </c>
      <c r="B986">
        <f>Skills!B18</f>
        <v/>
      </c>
      <c r="C986">
        <f>Inputs!$B$3&gt;=33</f>
        <v/>
      </c>
      <c r="D986">
        <f>IF(Skills!C18=1,60+Inputs!$B$25+Inputs!$B$29,IF(Skills!C18=2,90+Inputs!$B$26+Inputs!$B$29,IF(Skills!C18=3,120+Inputs!$B$27+Inputs!$B$29,MAX(0,(Inputs!$B$3-100)*3)+Inputs!$B$28+Inputs!$B$29)))</f>
        <v/>
      </c>
      <c r="E986">
        <f>INDEX(FactorTable!$B$2:$Y$301, MATCH(ROUND(MIN(300,MAX(1,D986)),0), FactorTable!$A$2:$A$301,0), Skills!M18+1)</f>
        <v/>
      </c>
      <c r="F986">
        <f>IF(Skills!N18=TRUE,(Skills!L18/10)*(E986/1000),Skills!L18/10)+Skills!O18</f>
        <v/>
      </c>
      <c r="G986">
        <f>Skills!G18*IF(Skills!H18&gt;0,Skills!I18/Skills!H18,1)</f>
        <v/>
      </c>
      <c r="H986">
        <f>1-(1-Skills!J18/100)^Skills!K18</f>
        <v/>
      </c>
      <c r="I986" t="inlineStr">
        <is>
          <t>1</t>
        </is>
      </c>
      <c r="J986" t="inlineStr"/>
      <c r="K986" t="inlineStr"/>
      <c r="L986" t="inlineStr"/>
      <c r="M986" t="inlineStr"/>
      <c r="N986" t="inlineStr"/>
      <c r="O986">
        <f>(1-Summary!$B$11)*T986+Summary!$B$11*V986</f>
        <v/>
      </c>
      <c r="P986">
        <f>IF(B1004=0,0,O986/B1004)</f>
        <v/>
      </c>
      <c r="Q986" t="n">
        <v>0</v>
      </c>
      <c r="R986" t="n">
        <v>0</v>
      </c>
      <c r="S986">
        <f>IFERROR(O986/N986,0)</f>
        <v/>
      </c>
      <c r="T986" t="n">
        <v>0</v>
      </c>
      <c r="V986" t="n">
        <v>0</v>
      </c>
    </row>
    <row r="987">
      <c r="A987">
        <f>Skills!A19</f>
        <v/>
      </c>
      <c r="B987">
        <f>Skills!B19</f>
        <v/>
      </c>
      <c r="C987">
        <f>Inputs!$B$3&gt;=40</f>
        <v/>
      </c>
      <c r="D987">
        <f>IF(Skills!C19=1,60+Inputs!$B$25+Inputs!$B$29,IF(Skills!C19=2,90+Inputs!$B$26+Inputs!$B$29,IF(Skills!C19=3,120+Inputs!$B$27+Inputs!$B$29,MAX(0,(Inputs!$B$3-100)*3)+Inputs!$B$28+Inputs!$B$29)))</f>
        <v/>
      </c>
      <c r="E987">
        <f>INDEX(FactorTable!$B$2:$Y$301, MATCH(ROUND(MIN(300,MAX(1,D987)),0), FactorTable!$A$2:$A$301,0), Skills!M19+1)</f>
        <v/>
      </c>
      <c r="F987">
        <f>IF(Skills!N19=TRUE,(Skills!L19/10)*(E987/1000),Skills!L19/10)+Skills!O19</f>
        <v/>
      </c>
      <c r="G987">
        <f>Skills!G19*IF(Skills!H19&gt;0,Skills!I19/Skills!H19,1)</f>
        <v/>
      </c>
      <c r="H987">
        <f>1-(1-Skills!J19/100)^Skills!K19</f>
        <v/>
      </c>
      <c r="I987" t="inlineStr">
        <is>
          <t>1</t>
        </is>
      </c>
      <c r="J987" t="inlineStr"/>
      <c r="K987" t="inlineStr"/>
      <c r="L987" t="inlineStr"/>
      <c r="M987" t="inlineStr"/>
      <c r="N987" t="inlineStr"/>
      <c r="O987">
        <f>(1-Summary!$B$11)*T987+Summary!$B$11*V987</f>
        <v/>
      </c>
      <c r="P987">
        <f>IF(B1004=0,0,O987/B1004)</f>
        <v/>
      </c>
      <c r="Q987" t="n">
        <v>0</v>
      </c>
      <c r="R987" t="n">
        <v>0</v>
      </c>
      <c r="S987">
        <f>IFERROR(O987/N987,0)</f>
        <v/>
      </c>
      <c r="T987" t="n">
        <v>0</v>
      </c>
      <c r="V987" t="n">
        <v>0</v>
      </c>
    </row>
    <row r="988">
      <c r="A988">
        <f>Skills!A20</f>
        <v/>
      </c>
      <c r="B988">
        <f>Skills!B20</f>
        <v/>
      </c>
      <c r="C988">
        <f>Inputs!$B$3&gt;=43</f>
        <v/>
      </c>
      <c r="D988">
        <f>IF(Skills!C20=1,60+Inputs!$B$25+Inputs!$B$29,IF(Skills!C20=2,90+Inputs!$B$26+Inputs!$B$29,IF(Skills!C20=3,120+Inputs!$B$27+Inputs!$B$29,MAX(0,(Inputs!$B$3-100)*3)+Inputs!$B$28+Inputs!$B$29)))</f>
        <v/>
      </c>
      <c r="E988">
        <f>INDEX(FactorTable!$B$2:$Y$301, MATCH(ROUND(MIN(300,MAX(1,D988)),0), FactorTable!$A$2:$A$301,0), Skills!M20+1)</f>
        <v/>
      </c>
      <c r="F988">
        <f>IF(Skills!N20=TRUE,(Skills!L20/10)*(E988/1000),Skills!L20/10)+Skills!O20</f>
        <v/>
      </c>
      <c r="G988">
        <f>Skills!G20*IF(Skills!H20&gt;0,Skills!I20/Skills!H20,1)</f>
        <v/>
      </c>
      <c r="H988">
        <f>1-(1-Skills!J20/100)^Skills!K20</f>
        <v/>
      </c>
      <c r="I988" t="inlineStr">
        <is>
          <t>1</t>
        </is>
      </c>
      <c r="J988" t="inlineStr"/>
      <c r="K988" t="inlineStr"/>
      <c r="L988" t="inlineStr"/>
      <c r="M988" t="inlineStr"/>
      <c r="N988" t="inlineStr"/>
      <c r="O988">
        <f>(1-Summary!$B$11)*T988+Summary!$B$11*V988</f>
        <v/>
      </c>
      <c r="P988">
        <f>IF(B1004=0,0,O988/B1004)</f>
        <v/>
      </c>
      <c r="Q988" t="n">
        <v>0</v>
      </c>
      <c r="R988" t="n">
        <v>0</v>
      </c>
      <c r="S988">
        <f>IFERROR(O988/N988,0)</f>
        <v/>
      </c>
      <c r="T988" t="n">
        <v>0</v>
      </c>
      <c r="V988" t="n">
        <v>0</v>
      </c>
    </row>
    <row r="989">
      <c r="A989">
        <f>Skills!A21</f>
        <v/>
      </c>
      <c r="B989">
        <f>Skills!B21</f>
        <v/>
      </c>
      <c r="C989">
        <f>Inputs!$B$3&gt;=38</f>
        <v/>
      </c>
      <c r="D989">
        <f>IF(Skills!C21=1,60+Inputs!$B$25+Inputs!$B$29,IF(Skills!C21=2,90+Inputs!$B$26+Inputs!$B$29,IF(Skills!C21=3,120+Inputs!$B$27+Inputs!$B$29,MAX(0,(Inputs!$B$3-100)*3)+Inputs!$B$28+Inputs!$B$29)))</f>
        <v/>
      </c>
      <c r="E989">
        <f>INDEX(FactorTable!$B$2:$Y$301, MATCH(ROUND(MIN(300,MAX(1,D989)),0), FactorTable!$A$2:$A$301,0), Skills!M21+1)</f>
        <v/>
      </c>
      <c r="F989">
        <f>IF(Skills!N21=TRUE,(Skills!L21/10)*(E989/1000),Skills!L21/10)+Skills!O21</f>
        <v/>
      </c>
      <c r="G989">
        <f>Skills!G21*IF(Skills!H21&gt;0,Skills!I21/Skills!H21,1)</f>
        <v/>
      </c>
      <c r="H989">
        <f>1-(1-Skills!J21/100)^Skills!K21</f>
        <v/>
      </c>
      <c r="I989" t="inlineStr">
        <is>
          <t>1</t>
        </is>
      </c>
      <c r="J989" t="inlineStr"/>
      <c r="K989" t="inlineStr"/>
      <c r="L989" t="inlineStr"/>
      <c r="M989" t="inlineStr"/>
      <c r="N989" t="inlineStr"/>
      <c r="O989">
        <f>(1-Summary!$B$11)*T989+Summary!$B$11*V989</f>
        <v/>
      </c>
      <c r="P989">
        <f>IF(B1004=0,0,O989/B1004)</f>
        <v/>
      </c>
      <c r="Q989" t="n">
        <v>0</v>
      </c>
      <c r="R989" t="n">
        <v>0</v>
      </c>
      <c r="S989">
        <f>IFERROR(O989/N989,0)</f>
        <v/>
      </c>
      <c r="T989" t="n">
        <v>0</v>
      </c>
      <c r="V989" t="n">
        <v>0</v>
      </c>
    </row>
    <row r="990">
      <c r="A990">
        <f>Skills!A22</f>
        <v/>
      </c>
      <c r="B990">
        <f>Skills!B22</f>
        <v/>
      </c>
      <c r="C990">
        <f>Inputs!$B$3&gt;=75</f>
        <v/>
      </c>
      <c r="D990">
        <f>IF(Skills!C22=1,60+Inputs!$B$25+Inputs!$B$29,IF(Skills!C22=2,90+Inputs!$B$26+Inputs!$B$29,IF(Skills!C22=3,120+Inputs!$B$27+Inputs!$B$29,MAX(0,(Inputs!$B$3-100)*3)+Inputs!$B$28+Inputs!$B$29)))</f>
        <v/>
      </c>
      <c r="E990">
        <f>INDEX(FactorTable!$B$2:$Y$301, MATCH(ROUND(MIN(300,MAX(1,D990)),0), FactorTable!$A$2:$A$301,0), Skills!M22+1)</f>
        <v/>
      </c>
      <c r="F990">
        <f>IF(Skills!N22=TRUE,(Skills!L22/10)*(E990/1000),Skills!L22/10)+Skills!O22</f>
        <v/>
      </c>
      <c r="G990">
        <f>Skills!G22*IF(Skills!H22&gt;0,Skills!I22/Skills!H22,1)</f>
        <v/>
      </c>
      <c r="H990">
        <f>1-(1-Skills!J22/100)^Skills!K22</f>
        <v/>
      </c>
      <c r="I990" t="inlineStr">
        <is>
          <t>1</t>
        </is>
      </c>
      <c r="J990" t="inlineStr"/>
      <c r="K990" t="inlineStr"/>
      <c r="L990" t="inlineStr"/>
      <c r="M990" t="inlineStr"/>
      <c r="N990" t="inlineStr"/>
      <c r="O990">
        <f>(1-Summary!$B$11)*T990+Summary!$B$11*V990</f>
        <v/>
      </c>
      <c r="P990">
        <f>IF(B1004=0,0,O990/B1004)</f>
        <v/>
      </c>
      <c r="Q990" t="n">
        <v>0</v>
      </c>
      <c r="R990" t="n">
        <v>0</v>
      </c>
      <c r="S990">
        <f>IFERROR(O990/N990,0)</f>
        <v/>
      </c>
      <c r="T990" t="n">
        <v>0</v>
      </c>
      <c r="V990" t="n">
        <v>0</v>
      </c>
    </row>
    <row r="991">
      <c r="A991">
        <f>Skills!A23</f>
        <v/>
      </c>
      <c r="B991">
        <f>Skills!B23</f>
        <v/>
      </c>
      <c r="C991">
        <f>TRUE</f>
        <v/>
      </c>
      <c r="D991">
        <f>IF(Skills!C23=1,60+Inputs!$B$25+Inputs!$B$29,IF(Skills!C23=2,90+Inputs!$B$26+Inputs!$B$29,IF(Skills!C23=3,120+Inputs!$B$27+Inputs!$B$29,MAX(0,(Inputs!$B$3-100)*3)+Inputs!$B$28+Inputs!$B$29)))</f>
        <v/>
      </c>
      <c r="E991">
        <f>INDEX(FactorTable!$B$2:$Y$301, MATCH(ROUND(MIN(300,MAX(1,D991)),0), FactorTable!$A$2:$A$301,0), Skills!M23+1)</f>
        <v/>
      </c>
      <c r="F991">
        <f>IF(Skills!N23=TRUE,(Skills!L23/10)*(E991/1000),Skills!L23/10)+Skills!O23</f>
        <v/>
      </c>
      <c r="G991">
        <f>Skills!G23*IF(Skills!H23&gt;0,Skills!I23/Skills!H23,1)</f>
        <v/>
      </c>
      <c r="H991">
        <f>1-(1-Skills!J23/100)^Skills!K23</f>
        <v/>
      </c>
      <c r="I991" t="inlineStr">
        <is>
          <t>1</t>
        </is>
      </c>
      <c r="J991" t="inlineStr"/>
      <c r="K991" t="inlineStr"/>
      <c r="L991" t="inlineStr"/>
      <c r="M991" t="inlineStr"/>
      <c r="N991" t="inlineStr"/>
      <c r="O991">
        <f>(1-Summary!$B$11)*T991+Summary!$B$11*V991</f>
        <v/>
      </c>
      <c r="P991">
        <f>IF(B1004=0,0,O991/B1004)</f>
        <v/>
      </c>
      <c r="Q991">
        <f>IFERROR(1/(IF(Inputs!$B$38="pvp",15,MAX(0.1,Skills!D23-IF(Skills!E23=TRUE,(Inputs!$B$32+1),0)))*(1-IF(AND(ArtifactsInput!$M$27,Inputs!$B$4="Chapter Hunt"),CHOOSE(ArtifactsInput!$N$27+1,20,24,28,32,36,40),0)/100)),0)</f>
        <v/>
      </c>
      <c r="R991">
        <f>IF(AND(Inputs!$B$38&lt;&gt;"pvp",Inputs!$B$43&gt;0),IF(Inputs!$B$43&lt;=0,0,(INT(Inputs!$B$43/(IF(Inputs!$B$38="pvp",15,MAX(0.1,Skills!D23-IF(Skills!E23=TRUE,(Inputs!$B$32+1),0)))*(1-IF(AND(ArtifactsInput!$M$27,Inputs!$B$4="Chapter Hunt"),CHOOSE(ArtifactsInput!$N$27+1,20,24,28,32,36,40),0)/100)))+1)),0)</f>
        <v/>
      </c>
      <c r="S991">
        <f>IFERROR(O991/N991,0)</f>
        <v/>
      </c>
      <c r="T991" t="n">
        <v>0</v>
      </c>
      <c r="V991" t="n">
        <v>0</v>
      </c>
    </row>
    <row r="993">
      <c r="A993" t="inlineStr">
        <is>
          <t>Attack% Bucket Multiplier</t>
        </is>
      </c>
      <c r="B993">
        <f>(1+(((C981=TRUE)*F981*5/7)+((C987=TRUE)*(F987-Calc!F19))+(IF(ArtifactsInput!$M$21,CHOOSE(ArtifactsInput!$N$21+1,25,30,35,40,45,50)*(IF(OR(Inputs!$B$4="Chapter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94">
      <c r="A994" t="inlineStr">
        <is>
          <t>Global Crit Rate Bonus %</t>
        </is>
      </c>
      <c r="B994" t="n">
        <v>0</v>
      </c>
    </row>
    <row r="995">
      <c r="A995" t="inlineStr">
        <is>
          <t>Attack Speed Buff Bonus % (Nimble Feet, duty-cycle averaged)</t>
        </is>
      </c>
      <c r="B995">
        <f>((C991=TRUE)*F991*IF(AND(Inputs!$B$38&lt;&gt;"pvp",Inputs!$B$43&gt;0),(((R991-1)*(Skills!T23*(1+Inputs!$B$34/100))+MIN((Skills!T23*(1+Inputs!$B$34/100)),MAX(0,Inputs!$B$43-((R991-1)*Skills!D23))))/Inputs!$B$43),IF(Inputs!$B$38="pvp",MIN((Skills!T23*(1+Inputs!$B$34/100)),15)/15,(Skills!T23*(1+Inputs!$B$34/100))/Skills!D23)))</f>
        <v/>
      </c>
    </row>
    <row r="996">
      <c r="A996" t="inlineStr">
        <is>
          <t>Actions Per Second</t>
        </is>
      </c>
      <c r="B996">
        <f>1+MIN(150,150*(1-(1-(Inputs!$B$11+((C985=TRUE)*(F985-Calc!F17))+((C986=TRUE)*(F986-Calc!F18)))/150)*(1-B995/150)))/100</f>
        <v/>
      </c>
    </row>
    <row r="997">
      <c r="A997" t="inlineStr">
        <is>
          <t>Skill + Buff Cast Rate</t>
        </is>
      </c>
      <c r="B997">
        <f>IF(AND(Inputs!$B$38&lt;&gt;"pvp",Inputs!$B$43&gt;0),SUMPRODUCT((Skills!E2:E23=TRUE)*(C970:C991=TRUE)*R970:R991*Skills!F2:F23)/Inputs!$B$43,SUMPRODUCT((Skills!E2:E23=TRUE)*(C970:C991=TRUE)*Q970:Q991*Skills!F2:F23))</f>
        <v/>
      </c>
    </row>
    <row r="998">
      <c r="A998" t="inlineStr">
        <is>
          <t>Hook Bomber Casts Per Second</t>
        </is>
      </c>
      <c r="B998">
        <f>MAX(0,B996-B997)</f>
        <v/>
      </c>
    </row>
    <row r="999">
      <c r="A999" t="inlineStr">
        <is>
          <t>Global Critical Damage Bonus % (unused)</t>
        </is>
      </c>
      <c r="B999" t="n">
        <v>0</v>
      </c>
    </row>
    <row r="1000">
      <c r="A1000" t="inlineStr">
        <is>
          <t>Global Final Damage Bonus % (Serpent Scale + Crossbones + Time Leap + Speed Infusion)</t>
        </is>
      </c>
      <c r="B1000">
        <f>((C973=TRUE)*F973*((10+IF(Inputs!$B$3&gt;=94,5,0))/((10+IF(Inputs!$B$3&gt;=94,5,0))+5/(B998*(1+IF(Inputs!$B$3&gt;=104,1,0))))))+((C982=TRUE)*F982*IF(AND(Inputs!$B$38&lt;&gt;"pvp",Inputs!$B$43&gt;0),(((R982-1)*(Skills!T14*(1+Inputs!$B$34/100))+MIN((Skills!T14*(1+Inputs!$B$34/100)),MAX(0,Inputs!$B$43-((R982-1)*Skills!D14))))/Inputs!$B$43),IF(Inputs!$B$38="pvp",MIN((Skills!T14*(1+Inputs!$B$34/100)),15)/15,(Skills!T14*(1+Inputs!$B$34/100))/Skills!D14)))+((C983=TRUE)*F983*IF(AND(Inputs!$B$38&lt;&gt;"pvp",Inputs!$B$43&gt;0),(((R983-1)*(Skills!T15*(1+Inputs!$B$34/100))+MIN((Skills!T15*(1+Inputs!$B$34/100)),MAX(0,Inputs!$B$43-((R983-1)*Skills!D15))))/Inputs!$B$43),IF(Inputs!$B$38="pvp",MIN((Skills!T15*(1+Inputs!$B$34/100)),15)/15,(Skills!T15*(1+Inputs!$B$34/100))/Skills!D15)))+((Inputs!$B$3&gt;=110)*20*(B996-1)*IF(Inputs!$B$38="pvp",MIN((15*(1+Inputs!$B$34/100)),15)/15,(15*(1+Inputs!$B$34/100))/35))</f>
        <v/>
      </c>
    </row>
    <row r="1001">
      <c r="A1001" t="inlineStr">
        <is>
          <t>Buff-Casting Startup Delay (s, fixed-duration only)</t>
        </is>
      </c>
      <c r="B1001">
        <f>IF(AND(Inputs!$B$38&lt;&gt;"pvp",Inputs!$B$43&gt;0),SUMPRODUCT((Skills!T2:T23&gt;0)*(Skills!E2:E23=TRUE)*(C970:C991=TRUE))/B996,0)</f>
        <v/>
      </c>
    </row>
    <row r="1002">
      <c r="A1002" t="inlineStr">
        <is>
          <t>Boss-Only Total DPS (this block's swept value)</t>
        </is>
      </c>
      <c r="B1002">
        <f>SUM(T970:T991)</f>
        <v/>
      </c>
    </row>
    <row r="1003">
      <c r="A1003" t="inlineStr">
        <is>
          <t>Normal-Only Total DPS (this block's swept value)</t>
        </is>
      </c>
      <c r="B1003">
        <f>SUM(V970:V991)</f>
        <v/>
      </c>
    </row>
    <row r="1004">
      <c r="A1004" s="6" t="inlineStr">
        <is>
          <t>TOTAL DPS</t>
        </is>
      </c>
      <c r="B1004" s="6">
        <f>SUM(O970:O991)</f>
        <v/>
      </c>
    </row>
    <row r="1007">
      <c r="A1007" s="6" t="inlineStr">
        <is>
          <t>Stat: Basic Attack Target Increase (flat)</t>
        </is>
      </c>
    </row>
    <row r="1008">
      <c r="A1008" s="5" t="inlineStr">
        <is>
          <t>Key</t>
        </is>
      </c>
      <c r="B1008" s="5" t="inlineStr">
        <is>
          <t>Name</t>
        </is>
      </c>
      <c r="C1008" s="5" t="inlineStr">
        <is>
          <t>Unlocked</t>
        </is>
      </c>
      <c r="D1008" s="5" t="inlineStr">
        <is>
          <t>InputLevel</t>
        </is>
      </c>
      <c r="E1008" s="5" t="inlineStr">
        <is>
          <t>Factor</t>
        </is>
      </c>
      <c r="F1008" s="5" t="inlineStr">
        <is>
          <t>CoefficientPercent</t>
        </is>
      </c>
      <c r="G1008" s="5" t="inlineStr">
        <is>
          <t>EffectiveHits</t>
        </is>
      </c>
      <c r="H1008" s="5" t="inlineStr">
        <is>
          <t>ProcProbability</t>
        </is>
      </c>
      <c r="I1008" s="5" t="inlineStr">
        <is>
          <t>MapleHeroMultiplier</t>
        </is>
      </c>
      <c r="J1008" s="5" t="inlineStr">
        <is>
          <t>BaseDamage</t>
        </is>
      </c>
      <c r="K1008" s="5" t="inlineStr">
        <is>
          <t>BaseHitDamage</t>
        </is>
      </c>
      <c r="L1008" s="5" t="inlineStr">
        <is>
          <t>NonCritAvg</t>
        </is>
      </c>
      <c r="M1008" s="5" t="inlineStr">
        <is>
          <t>CritAvg</t>
        </is>
      </c>
      <c r="N1008" s="5" t="inlineStr">
        <is>
          <t>ExpectedDamage(perHit)</t>
        </is>
      </c>
      <c r="O1008" s="5" t="inlineStr">
        <is>
          <t>DPS</t>
        </is>
      </c>
      <c r="P1008" s="5" t="inlineStr">
        <is>
          <t>% of Total</t>
        </is>
      </c>
      <c r="Q1008" s="5" t="inlineStr">
        <is>
          <t>InvCooldown</t>
        </is>
      </c>
      <c r="R1008" s="5" t="inlineStr">
        <is>
          <t>CastsInFight</t>
        </is>
      </c>
      <c r="S1008" s="5" t="inlineStr">
        <is>
          <t>HitRate(perSec)</t>
        </is>
      </c>
      <c r="U1008" t="inlineStr">
        <is>
          <t>helpers</t>
        </is>
      </c>
    </row>
    <row r="1009">
      <c r="A1009">
        <f>Skills!A2</f>
        <v/>
      </c>
      <c r="B1009">
        <f>Skills!B2</f>
        <v/>
      </c>
      <c r="C1009">
        <f>Inputs!$B$3&gt;=100</f>
        <v/>
      </c>
      <c r="D1009" t="inlineStr"/>
      <c r="E1009" t="inlineStr"/>
      <c r="F1009">
        <f>U1011+Skills!O2</f>
        <v/>
      </c>
      <c r="G1009">
        <f>Skills!G2*IF(Skills!H2&gt;0,Skills!I2/Skills!H2,1)</f>
        <v/>
      </c>
      <c r="H1009">
        <f>1-(1-Skills!J2/100)^Skills!K2</f>
        <v/>
      </c>
      <c r="I1009" t="inlineStr">
        <is>
          <t>1</t>
        </is>
      </c>
      <c r="J1009">
        <f>((Inputs!$B$6*(1+Inputs!$B$7/100))+(((Inputs!$B$12*(1+Inputs!$B$13/100))-(Inputs!$B$12*(1+Inputs!$B$13/100)))+0.25*(Inputs!$B$14-Inputs!$B$14))*(1+Inputs!$B$7/100))*(F1009/100)</f>
        <v/>
      </c>
      <c r="K1009">
        <f>J1009*(1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1009)</f>
        <v/>
      </c>
      <c r="L1009">
        <f>K1009*(MIN(Inputs!$B$22+((C1027=TRUE)*(F1027-Calc!F20)),(Inputs!$B$23+0+(IF(ArtifactsInput!$M$15,CHOOSE(ArtifactsInput!$N$15+1,25,30,35,40,45,50)/100*(Inputs!$B$11-Inputs!$B$11),0))))/100+(Inputs!$B$23+0+(IF(ArtifactsInput!$M$15,CHOOSE(ArtifactsInput!$N$15+1,25,30,35,40,45,50)/100*(Inputs!$B$11-Inputs!$B$11),0)))/100)/2</f>
        <v/>
      </c>
      <c r="M1009">
        <f>L1009*(1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09">
        <f>L1009*(1-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1009*(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09">
        <f>(1-Summary!$B$11)*T1009+Summary!$B$11*V1009</f>
        <v/>
      </c>
      <c r="P1009">
        <f>IF(B1043=0,0,O1009/B1043)</f>
        <v/>
      </c>
      <c r="Q1009" t="n">
        <v>0</v>
      </c>
      <c r="R1009" t="n">
        <v>0</v>
      </c>
      <c r="S1009">
        <f>IFERROR(O1009/N1009,0)</f>
        <v/>
      </c>
      <c r="T1009">
        <f>IF(C1009,(Skills!G2*N1009*B1037)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1009*(1-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1009*(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1009*(1-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1009*(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09">
        <f>MAX(0,(Inputs!$B$3-100)*3)+Inputs!$B$28+Inputs!$B$29</f>
        <v/>
      </c>
      <c r="V1009">
        <f>IF(C1009,(Skills!G2*N1009*B1037)*IF(Inputs!$B$38="pvp",1,(1+(Inputs!$B$21+Skills!Q2+(IF(ArtifactsInput!$M$33,CHOOSE(ArtifactsInput!$N$33+1,30,36,42,48,54,60),0))+(IF(AND(ArtifactsInput!$M$35,Inputs!$B$4&lt;&gt;"Chapter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0">
      <c r="A1010">
        <f>Skills!A3</f>
        <v/>
      </c>
      <c r="B1010">
        <f>Skills!B3</f>
        <v/>
      </c>
      <c r="C1010">
        <f>Inputs!$B$3&gt;=35</f>
        <v/>
      </c>
      <c r="D1010">
        <f>IF(Skills!C3=1,60+Inputs!$B$25+Inputs!$B$29,IF(Skills!C3=2,90+Inputs!$B$26+Inputs!$B$29,IF(Skills!C3=3,120+Inputs!$B$27+Inputs!$B$29,MAX(0,(Inputs!$B$3-100)*3)+Inputs!$B$28+Inputs!$B$29)))</f>
        <v/>
      </c>
      <c r="E1010">
        <f>INDEX(FactorTable!$B$2:$Y$301, MATCH(ROUND(MIN(300,MAX(1,D1010)),0), FactorTable!$A$2:$A$301,0), Skills!M3+1)</f>
        <v/>
      </c>
      <c r="F1010">
        <f>IF(Skills!N3=TRUE,(Skills!L3/10)*(E1010/1000),Skills!L3/10)+Skills!O3</f>
        <v/>
      </c>
      <c r="G1010">
        <f>Skills!G3*IF(Skills!H3&gt;0,Skills!I3/Skills!H3,1)</f>
        <v/>
      </c>
      <c r="H1010">
        <f>1-(1-Skills!J3/100)^Skills!K3</f>
        <v/>
      </c>
      <c r="I1010" t="inlineStr">
        <is>
          <t>1</t>
        </is>
      </c>
      <c r="J1010">
        <f>((Inputs!$B$6*(1+Inputs!$B$7/100))+(((Inputs!$B$12*(1+Inputs!$B$13/100))-(Inputs!$B$12*(1+Inputs!$B$13/100)))+0.25*(Inputs!$B$14-Inputs!$B$14))*(1+Inputs!$B$7/100))*(F1010/100)</f>
        <v/>
      </c>
      <c r="K1010">
        <f>J1010*(1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1010)</f>
        <v/>
      </c>
      <c r="L1010">
        <f>K1010*(MIN(Inputs!$B$22+((C1027=TRUE)*(F1027-Calc!F20)),(Inputs!$B$23+0+(IF(ArtifactsInput!$M$15,CHOOSE(ArtifactsInput!$N$15+1,25,30,35,40,45,50)/100*(Inputs!$B$11-Inputs!$B$11),0))))/100+(Inputs!$B$23+0+(IF(ArtifactsInput!$M$15,CHOOSE(ArtifactsInput!$N$15+1,25,30,35,40,45,50)/100*(Inputs!$B$11-Inputs!$B$11),0)))/100)/2</f>
        <v/>
      </c>
      <c r="M1010">
        <f>L1010*(1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0">
        <f>L1010*(1-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1010*(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0">
        <f>(1-Summary!$B$11)*T1010+Summary!$B$11*V1010</f>
        <v/>
      </c>
      <c r="P1010">
        <f>IF(B1043=0,0,O1010/B1043)</f>
        <v/>
      </c>
      <c r="Q1010" t="n">
        <v>0</v>
      </c>
      <c r="R1010" t="n">
        <v>0</v>
      </c>
      <c r="S1010">
        <f>IFERROR(O1010/N1010,0)</f>
        <v/>
      </c>
      <c r="T1010">
        <f>IF(C1010,(Skills!G3*H1010*N1010*B1037)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1010*(1-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1010*(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1010*(1-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1010*(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0">
        <f>INDEX(FactorTable!$B$2:$Y$301, MATCH(ROUND(MIN(300,MAX(1,U1009)),0), FactorTable!$A$2:$A$301,0), 22)</f>
        <v/>
      </c>
      <c r="V1010">
        <f>IF(C1010,(Skills!G3*H1010*N1010*B1037)*IF(Inputs!$B$38="pvp",1,(1+(Inputs!$B$21+Skills!Q3+(IF(ArtifactsInput!$M$33,CHOOSE(ArtifactsInput!$N$33+1,30,36,42,48,54,60),0))+(IF(AND(ArtifactsInput!$M$35,Inputs!$B$4&lt;&gt;"Chapter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1">
      <c r="A1011">
        <f>Skills!A4</f>
        <v/>
      </c>
      <c r="B1011">
        <f>Skills!B4</f>
        <v/>
      </c>
      <c r="C1011">
        <f>Inputs!$B$3&gt;=60</f>
        <v/>
      </c>
      <c r="D1011">
        <f>IF(Skills!C4=1,60+Inputs!$B$25+Inputs!$B$29,IF(Skills!C4=2,90+Inputs!$B$26+Inputs!$B$29,IF(Skills!C4=3,120+Inputs!$B$27+Inputs!$B$29,MAX(0,(Inputs!$B$3-100)*3)+Inputs!$B$28+Inputs!$B$29)))</f>
        <v/>
      </c>
      <c r="E1011">
        <f>INDEX(FactorTable!$B$2:$Y$301, MATCH(ROUND(MIN(300,MAX(1,D1011)),0), FactorTable!$A$2:$A$301,0), Skills!M4+1)</f>
        <v/>
      </c>
      <c r="F1011">
        <f>IF(Skills!N4=TRUE,(Skills!L4/10)*(E1011/1000),Skills!L4/10)+Skills!O4</f>
        <v/>
      </c>
      <c r="G1011">
        <f>Skills!G4*IF(Skills!H4&gt;0,Skills!I4/Skills!H4,1)</f>
        <v/>
      </c>
      <c r="H1011">
        <f>1-(1-Skills!J4/100)^Skills!K4</f>
        <v/>
      </c>
      <c r="I1011" t="inlineStr">
        <is>
          <t>1</t>
        </is>
      </c>
      <c r="J1011">
        <f>((Inputs!$B$6*(1+Inputs!$B$7/100))+(((Inputs!$B$12*(1+Inputs!$B$13/100))-(Inputs!$B$12*(1+Inputs!$B$13/100)))+0.25*(Inputs!$B$14-Inputs!$B$14))*(1+Inputs!$B$7/100))*(F1011/100)</f>
        <v/>
      </c>
      <c r="K1011">
        <f>J1011*(1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1019=TRUE,F1019,0)/100)*(1+(IF(Skills!A4="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1011)</f>
        <v/>
      </c>
      <c r="L1011">
        <f>K1011*(MIN(Inputs!$B$22+((C1027=TRUE)*(F1027-Calc!F20)),(Inputs!$B$23+0+(IF(ArtifactsInput!$M$15,CHOOSE(ArtifactsInput!$N$15+1,25,30,35,40,45,50)/100*(Inputs!$B$11-Inputs!$B$11),0))))/100+(Inputs!$B$23+0+(IF(ArtifactsInput!$M$15,CHOOSE(ArtifactsInput!$N$15+1,25,30,35,40,45,50)/100*(Inputs!$B$11-Inputs!$B$11),0)))/100)/2</f>
        <v/>
      </c>
      <c r="M1011">
        <f>L1011*(1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1">
        <f>L1011*(1-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1">
        <f>(1-Summary!$B$11)*T1011+Summary!$B$11*V1011</f>
        <v/>
      </c>
      <c r="P1011">
        <f>IF(B1043=0,0,O1011/B1043)</f>
        <v/>
      </c>
      <c r="Q1011" t="n">
        <v>0</v>
      </c>
      <c r="R1011" t="n">
        <v>0</v>
      </c>
      <c r="S1011">
        <f>IFERROR(O1011/N1011,0)</f>
        <v/>
      </c>
      <c r="T1011">
        <f>IF(C1011,(Skills!G4*H1011*N1011*B1037)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1">
        <f>290*U1010/1000</f>
        <v/>
      </c>
      <c r="V1011">
        <f>IF(C1011,(Skills!G4*H1011*N1011*B1037)*IF(Inputs!$B$38="pvp",1,(1+(Inputs!$B$21+Skills!Q4+(IF(ArtifactsInput!$M$33,CHOOSE(ArtifactsInput!$N$33+1,30,36,42,48,54,60),0))+(IF(AND(ArtifactsInput!$M$35,Inputs!$B$4&lt;&gt;"Chapter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2">
      <c r="A1012">
        <f>Skills!A5</f>
        <v/>
      </c>
      <c r="B1012">
        <f>Skills!B5</f>
        <v/>
      </c>
      <c r="C1012">
        <f>Inputs!$B$3&gt;=60</f>
        <v/>
      </c>
      <c r="D1012">
        <f>IF(Skills!C5=1,60+Inputs!$B$25+Inputs!$B$29,IF(Skills!C5=2,90+Inputs!$B$26+Inputs!$B$29,IF(Skills!C5=3,120+Inputs!$B$27+Inputs!$B$29,MAX(0,(Inputs!$B$3-100)*3)+Inputs!$B$28+Inputs!$B$29)))</f>
        <v/>
      </c>
      <c r="E1012">
        <f>INDEX(FactorTable!$B$2:$Y$301, MATCH(ROUND(MIN(300,MAX(1,D1012)),0), FactorTable!$A$2:$A$301,0), Skills!M5+1)</f>
        <v/>
      </c>
      <c r="F1012">
        <f>IF(Skills!N5=TRUE,(Skills!L5/10)*(E1012/1000),Skills!L5/10)+Skills!O5</f>
        <v/>
      </c>
      <c r="G1012">
        <f>Skills!G5*IF(Skills!H5&gt;0,Skills!I5/Skills!H5,1)</f>
        <v/>
      </c>
      <c r="H1012">
        <f>1-(1-Skills!J5/100)^Skills!K5</f>
        <v/>
      </c>
      <c r="I1012" t="inlineStr">
        <is>
          <t>1</t>
        </is>
      </c>
      <c r="J1012" t="inlineStr"/>
      <c r="K1012" t="inlineStr"/>
      <c r="L1012" t="inlineStr"/>
      <c r="M1012" t="inlineStr"/>
      <c r="N1012" t="inlineStr"/>
      <c r="O1012">
        <f>(1-Summary!$B$11)*T1012+Summary!$B$11*V1012</f>
        <v/>
      </c>
      <c r="P1012">
        <f>IF(B1043=0,0,O1012/B1043)</f>
        <v/>
      </c>
      <c r="Q1012" t="n">
        <v>0</v>
      </c>
      <c r="R1012" t="n">
        <v>0</v>
      </c>
      <c r="S1012">
        <f>IFERROR(O1012/N1012,0)</f>
        <v/>
      </c>
      <c r="T1012" t="n">
        <v>0</v>
      </c>
      <c r="V1012" t="n">
        <v>0</v>
      </c>
    </row>
    <row r="1013">
      <c r="A1013">
        <f>Skills!A6</f>
        <v/>
      </c>
      <c r="B1013">
        <f>Skills!B6</f>
        <v/>
      </c>
      <c r="C1013">
        <f>Inputs!$B$3&gt;=63</f>
        <v/>
      </c>
      <c r="D1013">
        <f>IF(Skills!C6=1,60+Inputs!$B$25+Inputs!$B$29,IF(Skills!C6=2,90+Inputs!$B$26+Inputs!$B$29,IF(Skills!C6=3,120+Inputs!$B$27+Inputs!$B$29,MAX(0,(Inputs!$B$3-100)*3)+Inputs!$B$28+Inputs!$B$29)))</f>
        <v/>
      </c>
      <c r="E1013">
        <f>INDEX(FactorTable!$B$2:$Y$301, MATCH(ROUND(MIN(300,MAX(1,D1013)),0), FactorTable!$A$2:$A$301,0), Skills!M6+1)</f>
        <v/>
      </c>
      <c r="F1013">
        <f>IF(Skills!N6=TRUE,(Skills!L6/10)*(E1013/1000),Skills!L6/10)+Skills!O6</f>
        <v/>
      </c>
      <c r="G1013">
        <f>Skills!G6*IF(Skills!H6&gt;0,Skills!I6/Skills!H6,1)</f>
        <v/>
      </c>
      <c r="H1013">
        <f>1-(1-Skills!J6/100)^Skills!K6</f>
        <v/>
      </c>
      <c r="I1013" t="inlineStr">
        <is>
          <t>1</t>
        </is>
      </c>
      <c r="J1013">
        <f>((Inputs!$B$6*(1+Inputs!$B$7/100))+(((Inputs!$B$12*(1+Inputs!$B$13/100))-(Inputs!$B$12*(1+Inputs!$B$13/100)))+0.25*(Inputs!$B$14-Inputs!$B$14))*(1+Inputs!$B$7/100))*(F1013/100)</f>
        <v/>
      </c>
      <c r="K1013">
        <f>J1013*(1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1019=TRUE,F1019,0)/100)*(1+(IF(Skills!A6="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1013)</f>
        <v/>
      </c>
      <c r="L1013">
        <f>K1013*(MIN(Inputs!$B$22+((C1027=TRUE)*(F1027-Calc!F20)),(Inputs!$B$23+0+(IF(ArtifactsInput!$M$15,CHOOSE(ArtifactsInput!$N$15+1,25,30,35,40,45,50)/100*(Inputs!$B$11-Inputs!$B$11),0))))/100+(Inputs!$B$23+0+(IF(ArtifactsInput!$M$15,CHOOSE(ArtifactsInput!$N$15+1,25,30,35,40,45,50)/100*(Inputs!$B$11-Inputs!$B$11),0)))/100)/2</f>
        <v/>
      </c>
      <c r="M1013">
        <f>L1013*(1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3">
        <f>L1013*(1-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1013*(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3">
        <f>(1-Summary!$B$11)*T1013+Summary!$B$11*V1013</f>
        <v/>
      </c>
      <c r="P1013">
        <f>IF(B1043=0,0,O1013/B1043)</f>
        <v/>
      </c>
      <c r="Q1013">
        <f>IFERROR(1/(IF(Inputs!$B$38="pvp",15,MAX(0.1,Skills!D6-IF(Skills!E6=TRUE,Inputs!$B$32,0)))*(1-IF(AND(ArtifactsInput!$M$27,Inputs!$B$4="Chapter Hunt"),CHOOSE(ArtifactsInput!$N$27+1,20,24,28,32,36,40),0)/100)),0)</f>
        <v/>
      </c>
      <c r="R1013">
        <f>IF(AND(Inputs!$B$38&lt;&gt;"pvp",Inputs!$B$43&gt;0),IF(MAX(0,Inputs!$B$43-B1040)&lt;=0,0,(INT(MAX(0,Inputs!$B$43-B1040)/(IF(Inputs!$B$38="pvp",15,MAX(0.1,Skills!D6-IF(Skills!E6=TRUE,Inputs!$B$32,0)))*(1-IF(AND(ArtifactsInput!$M$27,Inputs!$B$4="Chapter Hunt"),CHOOSE(ArtifactsInput!$N$27+1,20,24,28,32,36,40),0)/100)))+1)),0)</f>
        <v/>
      </c>
      <c r="S1013">
        <f>IFERROR(O1013/N1013,0)</f>
        <v/>
      </c>
      <c r="T1013">
        <f>IF(C1013,(H1013*N1013*IF(AND(Inputs!$B$38&lt;&gt;"pvp",Inputs!$B$43&gt;0),((Skills!G6*((R1013-1)*IF(Skills!H6&gt;0,Skills!I6/Skills!H6,1)+IF(Skills!H6&gt;0,MIN(Skills!I6,MAX(0,MAX(0,Inputs!$B$43-B1040)-((R1013-1)*(IF(Inputs!$B$38="pvp",15,MAX(0.1,Skills!D6-IF(Skills!E6=TRUE,Inputs!$B$32,0)))*(1-IF(AND(ArtifactsInput!$M$27,Inputs!$B$4="Chapter Hunt"),CHOOSE(ArtifactsInput!$N$27+1,20,24,28,32,36,40),0)/100)))))/Skills!H6,1)))/Inputs!$B$43),G1013*Q1013)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1013*(1-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1013*(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1013*(1-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1013*(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3">
        <f>IF(C1013,(H1013*N1013*IF(AND(Inputs!$B$38&lt;&gt;"pvp",Inputs!$B$43&gt;0),((Skills!G6*((R1013-1)*IF(Skills!H6&gt;0,Skills!I6/Skills!H6,1)+IF(Skills!H6&gt;0,MIN(Skills!I6,MAX(0,MAX(0,Inputs!$B$43-B1040)-((R1013-1)*(IF(Inputs!$B$38="pvp",15,MAX(0.1,Skills!D6-IF(Skills!E6=TRUE,Inputs!$B$32,0)))*(1-IF(AND(ArtifactsInput!$M$27,Inputs!$B$4="Chapter Hunt"),CHOOSE(ArtifactsInput!$N$27+1,20,24,28,32,36,40),0)/100)))))/Skills!H6,1)))/Inputs!$B$43),G1013*Q1013))*IF(Inputs!$B$38="pvp",1,(1+(Inputs!$B$21+Skills!Q6+(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4">
      <c r="A1014">
        <f>Skills!A7</f>
        <v/>
      </c>
      <c r="B1014">
        <f>Skills!B7</f>
        <v/>
      </c>
      <c r="C1014">
        <f>Inputs!$B$3&gt;=100</f>
        <v/>
      </c>
      <c r="D1014">
        <f>IF(Skills!C7=1,60+Inputs!$B$25+Inputs!$B$29,IF(Skills!C7=2,90+Inputs!$B$26+Inputs!$B$29,IF(Skills!C7=3,120+Inputs!$B$27+Inputs!$B$29,MAX(0,(Inputs!$B$3-100)*3)+Inputs!$B$28+Inputs!$B$29)))</f>
        <v/>
      </c>
      <c r="E1014">
        <f>INDEX(FactorTable!$B$2:$Y$301, MATCH(ROUND(MIN(300,MAX(1,D1014)),0), FactorTable!$A$2:$A$301,0), Skills!M7+1)</f>
        <v/>
      </c>
      <c r="F1014">
        <f>IF(Skills!N7=TRUE,(Skills!L7/10)*(E1014/1000),Skills!L7/10)+Skills!O7</f>
        <v/>
      </c>
      <c r="G1014">
        <f>Skills!G7*IF(Skills!H7&gt;0,Skills!I7/Skills!H7,1)</f>
        <v/>
      </c>
      <c r="H1014">
        <f>1-(1-Skills!J7/100)^Skills!K7</f>
        <v/>
      </c>
      <c r="I1014" t="inlineStr">
        <is>
          <t>1</t>
        </is>
      </c>
      <c r="J1014">
        <f>((Inputs!$B$6*(1+Inputs!$B$7/100))+(((Inputs!$B$12*(1+Inputs!$B$13/100))-(Inputs!$B$12*(1+Inputs!$B$13/100)))+0.25*(Inputs!$B$14-Inputs!$B$14))*(1+Inputs!$B$7/100))*(F1014/100)</f>
        <v/>
      </c>
      <c r="K1014">
        <f>J1014*(1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1014)</f>
        <v/>
      </c>
      <c r="L1014">
        <f>K1014*(MIN(Inputs!$B$22+((C1027=TRUE)*(F1027-Calc!F20)),(Inputs!$B$23+0+(IF(ArtifactsInput!$M$15,CHOOSE(ArtifactsInput!$N$15+1,25,30,35,40,45,50)/100*(Inputs!$B$11-Inputs!$B$11),0))))/100+(Inputs!$B$23+0+(IF(ArtifactsInput!$M$15,CHOOSE(ArtifactsInput!$N$15+1,25,30,35,40,45,50)/100*(Inputs!$B$11-Inputs!$B$11),0)))/100)/2</f>
        <v/>
      </c>
      <c r="M1014">
        <f>L1014*(1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4">
        <f>L1014*(1-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1014*(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4">
        <f>(1-Summary!$B$11)*T1014+Summary!$B$11*V1014</f>
        <v/>
      </c>
      <c r="P1014">
        <f>IF(B1043=0,0,O1014/B1043)</f>
        <v/>
      </c>
      <c r="Q1014">
        <f>IFERROR(1/(IF(Inputs!$B$38="pvp",15,MAX(0.1,Skills!D7-IF(Skills!E7=TRUE,Inputs!$B$32,0)))*(1-IF(AND(ArtifactsInput!$M$27,Inputs!$B$4="Chapter Hunt"),CHOOSE(ArtifactsInput!$N$27+1,20,24,28,32,36,40),0)/100)),0)</f>
        <v/>
      </c>
      <c r="R1014">
        <f>IF(AND(Inputs!$B$38&lt;&gt;"pvp",Inputs!$B$43&gt;0),IF(MAX(0,Inputs!$B$43-B1040)&lt;=0,0,(INT(MAX(0,Inputs!$B$43-B1040)/(IF(Inputs!$B$38="pvp",15,MAX(0.1,Skills!D7-IF(Skills!E7=TRUE,Inputs!$B$32,0)))*(1-IF(AND(ArtifactsInput!$M$27,Inputs!$B$4="Chapter Hunt"),CHOOSE(ArtifactsInput!$N$27+1,20,24,28,32,36,40),0)/100)))+1)),0)</f>
        <v/>
      </c>
      <c r="S1014">
        <f>IFERROR(O1014/N1014,0)</f>
        <v/>
      </c>
      <c r="T1014">
        <f>IF(C1014,(H1014*N1014*IF(AND(Inputs!$B$38&lt;&gt;"pvp",Inputs!$B$43&gt;0),((Skills!G7*((R1014-1)*IF(Skills!H7&gt;0,Skills!I7/Skills!H7,1)+IF(Skills!H7&gt;0,MIN(Skills!I7,MAX(0,MAX(0,Inputs!$B$43-B1040)-((R1014-1)*(IF(Inputs!$B$38="pvp",15,MAX(0.1,Skills!D7-IF(Skills!E7=TRUE,Inputs!$B$32,0)))*(1-IF(AND(ArtifactsInput!$M$27,Inputs!$B$4="Chapter Hunt"),CHOOSE(ArtifactsInput!$N$27+1,20,24,28,32,36,40),0)/100)))))/Skills!H7,1)))/Inputs!$B$43),G1014*Q1014)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1014*(1-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1014*(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1014*(1-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1014*(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4">
        <f>IF(C1014,(H1014*N1014*IF(AND(Inputs!$B$38&lt;&gt;"pvp",Inputs!$B$43&gt;0),((Skills!G7*((R1014-1)*IF(Skills!H7&gt;0,Skills!I7/Skills!H7,1)+IF(Skills!H7&gt;0,MIN(Skills!I7,MAX(0,MAX(0,Inputs!$B$43-B1040)-((R1014-1)*(IF(Inputs!$B$38="pvp",15,MAX(0.1,Skills!D7-IF(Skills!E7=TRUE,Inputs!$B$32,0)))*(1-IF(AND(ArtifactsInput!$M$27,Inputs!$B$4="Chapter Hunt"),CHOOSE(ArtifactsInput!$N$27+1,20,24,28,32,36,40),0)/100)))))/Skills!H7,1)))/Inputs!$B$43),G1014*Q1014))*IF(Inputs!$B$38="pvp",1,(1+(Inputs!$B$21+Skills!Q7+(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5">
      <c r="A1015">
        <f>Skills!A8</f>
        <v/>
      </c>
      <c r="B1015">
        <f>Skills!B8</f>
        <v/>
      </c>
      <c r="C1015">
        <f>Inputs!$B$3&gt;=110</f>
        <v/>
      </c>
      <c r="D1015">
        <f>IF(Skills!C8=1,60+Inputs!$B$25+Inputs!$B$29,IF(Skills!C8=2,90+Inputs!$B$26+Inputs!$B$29,IF(Skills!C8=3,120+Inputs!$B$27+Inputs!$B$29,MAX(0,(Inputs!$B$3-100)*3)+Inputs!$B$28+Inputs!$B$29)))</f>
        <v/>
      </c>
      <c r="E1015">
        <f>INDEX(FactorTable!$B$2:$Y$301, MATCH(ROUND(MIN(300,MAX(1,D1015)),0), FactorTable!$A$2:$A$301,0), Skills!M8+1)</f>
        <v/>
      </c>
      <c r="F1015">
        <f>IF(Skills!N8=TRUE,(Skills!L8/10)*(E1015/1000),Skills!L8/10)+Skills!O8</f>
        <v/>
      </c>
      <c r="G1015">
        <f>Skills!G8*IF(Skills!H8&gt;0,Skills!I8/Skills!H8,1)</f>
        <v/>
      </c>
      <c r="H1015">
        <f>1-(1-Skills!J8/100)^Skills!K8</f>
        <v/>
      </c>
      <c r="I1015" t="inlineStr">
        <is>
          <t>1</t>
        </is>
      </c>
      <c r="J1015">
        <f>((Inputs!$B$6*(1+Inputs!$B$7/100))+(((Inputs!$B$12*(1+Inputs!$B$13/100))-(Inputs!$B$12*(1+Inputs!$B$13/100)))+0.25*(Inputs!$B$14-Inputs!$B$14))*(1+Inputs!$B$7/100))*(F1015/100)</f>
        <v/>
      </c>
      <c r="K1015">
        <f>J1015*(1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1015)</f>
        <v/>
      </c>
      <c r="L1015">
        <f>K1015*(MIN(Inputs!$B$22+((C1027=TRUE)*(F1027-Calc!F20)),(Inputs!$B$23+0+(IF(ArtifactsInput!$M$15,CHOOSE(ArtifactsInput!$N$15+1,25,30,35,40,45,50)/100*(Inputs!$B$11-Inputs!$B$11),0))))/100+(Inputs!$B$23+0+(IF(ArtifactsInput!$M$15,CHOOSE(ArtifactsInput!$N$15+1,25,30,35,40,45,50)/100*(Inputs!$B$11-Inputs!$B$11),0)))/100)/2</f>
        <v/>
      </c>
      <c r="M1015">
        <f>L1015*(1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5">
        <f>L1015*(1-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1015*(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5">
        <f>(1-Summary!$B$11)*T1015+Summary!$B$11*V1015</f>
        <v/>
      </c>
      <c r="P1015">
        <f>IF(B1043=0,0,O1015/B1043)</f>
        <v/>
      </c>
      <c r="Q1015">
        <f>IFERROR(1/(IF(Inputs!$B$38="pvp",15,MAX(0.1,Skills!D8-IF(Skills!E8=TRUE,Inputs!$B$32,0)))*(1-IF(AND(ArtifactsInput!$M$27,Inputs!$B$4="Chapter Hunt"),CHOOSE(ArtifactsInput!$N$27+1,20,24,28,32,36,40),0)/100)),0)</f>
        <v/>
      </c>
      <c r="R1015">
        <f>IF(AND(Inputs!$B$38&lt;&gt;"pvp",Inputs!$B$43&gt;0),IF(MAX(0,Inputs!$B$43-B1040)&lt;=0,0,(INT(MAX(0,Inputs!$B$43-B1040)/(IF(Inputs!$B$38="pvp",15,MAX(0.1,Skills!D8-IF(Skills!E8=TRUE,Inputs!$B$32,0)))*(1-IF(AND(ArtifactsInput!$M$27,Inputs!$B$4="Chapter Hunt"),CHOOSE(ArtifactsInput!$N$27+1,20,24,28,32,36,40),0)/100)))+1)),0)</f>
        <v/>
      </c>
      <c r="S1015">
        <f>IFERROR(O1015/N1015,0)</f>
        <v/>
      </c>
      <c r="T1015">
        <f>IF(C1015,(H1015*N1015*IF(AND(Inputs!$B$38&lt;&gt;"pvp",Inputs!$B$43&gt;0),((Skills!G8*((R1015-1)*IF(Skills!H8&gt;0,Skills!I8/Skills!H8,1)+IF(Skills!H8&gt;0,MIN(Skills!I8,MAX(0,MAX(0,Inputs!$B$43-B1040)-((R1015-1)*(IF(Inputs!$B$38="pvp",15,MAX(0.1,Skills!D8-IF(Skills!E8=TRUE,Inputs!$B$32,0)))*(1-IF(AND(ArtifactsInput!$M$27,Inputs!$B$4="Chapter Hunt"),CHOOSE(ArtifactsInput!$N$27+1,20,24,28,32,36,40),0)/100)))))/Skills!H8,1)))/Inputs!$B$43),G1015*Q1015)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1015*(1-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1015*(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1015*(1-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1015*(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5">
        <f>IF(C1015,(H1015*N1015*IF(AND(Inputs!$B$38&lt;&gt;"pvp",Inputs!$B$43&gt;0),((Skills!G8*((R1015-1)*IF(Skills!H8&gt;0,Skills!I8/Skills!H8,1)+IF(Skills!H8&gt;0,MIN(Skills!I8,MAX(0,MAX(0,Inputs!$B$43-B1040)-((R1015-1)*(IF(Inputs!$B$38="pvp",15,MAX(0.1,Skills!D8-IF(Skills!E8=TRUE,Inputs!$B$32,0)))*(1-IF(AND(ArtifactsInput!$M$27,Inputs!$B$4="Chapter Hunt"),CHOOSE(ArtifactsInput!$N$27+1,20,24,28,32,36,40),0)/100)))))/Skills!H8,1)))/Inputs!$B$43),G1015*Q1015))*IF(Inputs!$B$38="pvp",1,(1+(Inputs!$B$21+Skills!Q8+(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6">
      <c r="A1016">
        <f>Skills!A9</f>
        <v/>
      </c>
      <c r="B1016">
        <f>Skills!B9</f>
        <v/>
      </c>
      <c r="C1016">
        <f>Inputs!$B$3&gt;=110</f>
        <v/>
      </c>
      <c r="D1016">
        <f>IF(Skills!C9=1,60+Inputs!$B$25+Inputs!$B$29,IF(Skills!C9=2,90+Inputs!$B$26+Inputs!$B$29,IF(Skills!C9=3,120+Inputs!$B$27+Inputs!$B$29,MAX(0,(Inputs!$B$3-100)*3)+Inputs!$B$28+Inputs!$B$29)))</f>
        <v/>
      </c>
      <c r="E1016">
        <f>INDEX(FactorTable!$B$2:$Y$301, MATCH(ROUND(MIN(300,MAX(1,D1016)),0), FactorTable!$A$2:$A$301,0), Skills!M9+1)</f>
        <v/>
      </c>
      <c r="F1016">
        <f>IF(Skills!N9=TRUE,(Skills!L9/10)*(E1016/1000),Skills!L9/10)+Skills!O9</f>
        <v/>
      </c>
      <c r="G1016">
        <f>Skills!G9*IF(Skills!H9&gt;0,Skills!I9/Skills!H9,1)</f>
        <v/>
      </c>
      <c r="H1016">
        <f>1-(1-Skills!J9/100)^Skills!K9</f>
        <v/>
      </c>
      <c r="I1016" t="inlineStr">
        <is>
          <t>1</t>
        </is>
      </c>
      <c r="J1016">
        <f>((Inputs!$B$6*(1+Inputs!$B$7/100))+(((Inputs!$B$12*(1+Inputs!$B$13/100))-(Inputs!$B$12*(1+Inputs!$B$13/100)))+0.25*(Inputs!$B$14-Inputs!$B$14))*(1+Inputs!$B$7/100))*(F1016/100)</f>
        <v/>
      </c>
      <c r="K1016">
        <f>J1016*(1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1016)</f>
        <v/>
      </c>
      <c r="L1016">
        <f>K1016*(MIN(Inputs!$B$22+((C1027=TRUE)*(F1027-Calc!F20)),(Inputs!$B$23+0+(IF(ArtifactsInput!$M$15,CHOOSE(ArtifactsInput!$N$15+1,25,30,35,40,45,50)/100*(Inputs!$B$11-Inputs!$B$11),0))))/100+(Inputs!$B$23+0+(IF(ArtifactsInput!$M$15,CHOOSE(ArtifactsInput!$N$15+1,25,30,35,40,45,50)/100*(Inputs!$B$11-Inputs!$B$11),0)))/100)/2</f>
        <v/>
      </c>
      <c r="M1016">
        <f>L1016*(1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6">
        <f>L1016*(1-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1016*(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6">
        <f>(1-Summary!$B$11)*T1016+Summary!$B$11*V1016</f>
        <v/>
      </c>
      <c r="P1016">
        <f>IF(B1043=0,0,O1016/B1043)</f>
        <v/>
      </c>
      <c r="Q1016">
        <f>IFERROR(1/(IF(Inputs!$B$38="pvp",15,MAX(0.1,Skills!D9-IF(Skills!E9=TRUE,Inputs!$B$32,0)))*(1-IF(AND(ArtifactsInput!$M$27,Inputs!$B$4="Chapter Hunt"),CHOOSE(ArtifactsInput!$N$27+1,20,24,28,32,36,40),0)/100)),0)</f>
        <v/>
      </c>
      <c r="R1016">
        <f>IF(AND(Inputs!$B$38&lt;&gt;"pvp",Inputs!$B$43&gt;0),IF(MAX(0,Inputs!$B$43-B1040)&lt;=0,0,(INT(MAX(0,Inputs!$B$43-B1040)/(IF(Inputs!$B$38="pvp",15,MAX(0.1,Skills!D9-IF(Skills!E9=TRUE,Inputs!$B$32,0)))*(1-IF(AND(ArtifactsInput!$M$27,Inputs!$B$4="Chapter Hunt"),CHOOSE(ArtifactsInput!$N$27+1,20,24,28,32,36,40),0)/100)))+1)),0)</f>
        <v/>
      </c>
      <c r="S1016">
        <f>IFERROR(O1016/N1016,0)</f>
        <v/>
      </c>
      <c r="T1016">
        <f>IF(C1016,(H1016*N1016*IF(AND(Inputs!$B$38&lt;&gt;"pvp",Inputs!$B$43&gt;0),((Skills!G9*((R1016-1)*IF(Skills!H9&gt;0,Skills!I9/Skills!H9,1)+IF(Skills!H9&gt;0,MIN(Skills!I9,MAX(0,MAX(0,Inputs!$B$43-B1040)-((R1016-1)*(IF(Inputs!$B$38="pvp",15,MAX(0.1,Skills!D9-IF(Skills!E9=TRUE,Inputs!$B$32,0)))*(1-IF(AND(ArtifactsInput!$M$27,Inputs!$B$4="Chapter Hunt"),CHOOSE(ArtifactsInput!$N$27+1,20,24,28,32,36,40),0)/100)))))/Skills!H9,1)))/Inputs!$B$43),G1016*Q1016)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1016*(1-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1016*(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1016*(1-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1016*(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6">
        <f>IF(C1016,(H1016*N1016*IF(AND(Inputs!$B$38&lt;&gt;"pvp",Inputs!$B$43&gt;0),((Skills!G9*((R1016-1)*IF(Skills!H9&gt;0,Skills!I9/Skills!H9,1)+IF(Skills!H9&gt;0,MIN(Skills!I9,MAX(0,MAX(0,Inputs!$B$43-B1040)-((R1016-1)*(IF(Inputs!$B$38="pvp",15,MAX(0.1,Skills!D9-IF(Skills!E9=TRUE,Inputs!$B$32,0)))*(1-IF(AND(ArtifactsInput!$M$27,Inputs!$B$4="Chapter Hunt"),CHOOSE(ArtifactsInput!$N$27+1,20,24,28,32,36,40),0)/100)))))/Skills!H9,1)))/Inputs!$B$43),G1016*Q1016))*IF(Inputs!$B$38="pvp",1,(1+(Inputs!$B$21+Skills!Q9+(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7">
      <c r="A1017">
        <f>Skills!A10</f>
        <v/>
      </c>
      <c r="B1017">
        <f>Skills!B10</f>
        <v/>
      </c>
      <c r="C1017">
        <f>Inputs!$B$3&gt;=103</f>
        <v/>
      </c>
      <c r="D1017">
        <f>IF(Skills!C10=1,60+Inputs!$B$25+Inputs!$B$29,IF(Skills!C10=2,90+Inputs!$B$26+Inputs!$B$29,IF(Skills!C10=3,120+Inputs!$B$27+Inputs!$B$29,MAX(0,(Inputs!$B$3-100)*3)+Inputs!$B$28+Inputs!$B$29)))</f>
        <v/>
      </c>
      <c r="E1017">
        <f>INDEX(FactorTable!$B$2:$Y$301, MATCH(ROUND(MIN(300,MAX(1,D1017)),0), FactorTable!$A$2:$A$301,0), Skills!M10+1)</f>
        <v/>
      </c>
      <c r="F1017">
        <f>IF(Skills!N10=TRUE,(Skills!L10/10)*(E1017/1000),Skills!L10/10)+Skills!O10</f>
        <v/>
      </c>
      <c r="G1017">
        <f>Skills!G10*IF(Skills!H10&gt;0,Skills!I10/Skills!H10,1)</f>
        <v/>
      </c>
      <c r="H1017">
        <f>1-(1-Skills!J10/100)^Skills!K10</f>
        <v/>
      </c>
      <c r="I1017" t="inlineStr">
        <is>
          <t>1</t>
        </is>
      </c>
      <c r="J1017">
        <f>((Inputs!$B$6*(1+Inputs!$B$7/100))+(((Inputs!$B$12*(1+Inputs!$B$13/100))-(Inputs!$B$12*(1+Inputs!$B$13/100)))+0.25*(Inputs!$B$14-Inputs!$B$14))*(1+Inputs!$B$7/100))*(F1017/100)</f>
        <v/>
      </c>
      <c r="K1017">
        <f>J1017*(1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1017)</f>
        <v/>
      </c>
      <c r="L1017">
        <f>K1017*(MIN(Inputs!$B$22+((C1027=TRUE)*(F1027-Calc!F20)),(Inputs!$B$23+0+(IF(ArtifactsInput!$M$15,CHOOSE(ArtifactsInput!$N$15+1,25,30,35,40,45,50)/100*(Inputs!$B$11-Inputs!$B$11),0))))/100+(Inputs!$B$23+0+(IF(ArtifactsInput!$M$15,CHOOSE(ArtifactsInput!$N$15+1,25,30,35,40,45,50)/100*(Inputs!$B$11-Inputs!$B$11),0)))/100)/2</f>
        <v/>
      </c>
      <c r="M1017">
        <f>L1017*(1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7">
        <f>L1017*(1-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1017*(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7">
        <f>(1-Summary!$B$11)*T1017+Summary!$B$11*V1017</f>
        <v/>
      </c>
      <c r="P1017">
        <f>IF(B1043=0,0,O1017/B1043)</f>
        <v/>
      </c>
      <c r="Q1017">
        <f>IFERROR(1/(IF(Inputs!$B$38="pvp",15,MAX(0.1,Skills!D10-IF(Skills!E10=TRUE,Inputs!$B$32,0)))*(1-IF(AND(ArtifactsInput!$M$27,Inputs!$B$4="Chapter Hunt"),CHOOSE(ArtifactsInput!$N$27+1,20,24,28,32,36,40),0)/100)),0)</f>
        <v/>
      </c>
      <c r="R1017">
        <f>IF(AND(Inputs!$B$38&lt;&gt;"pvp",Inputs!$B$43&gt;0),IF(MAX(0,Inputs!$B$43-B1040)&lt;=0,0,(INT(MAX(0,Inputs!$B$43-B1040)/(IF(Inputs!$B$38="pvp",15,MAX(0.1,Skills!D10-IF(Skills!E10=TRUE,Inputs!$B$32,0)))*(1-IF(AND(ArtifactsInput!$M$27,Inputs!$B$4="Chapter Hunt"),CHOOSE(ArtifactsInput!$N$27+1,20,24,28,32,36,40),0)/100)))+1)),0)</f>
        <v/>
      </c>
      <c r="S1017">
        <f>IFERROR(O1017/N1017,0)</f>
        <v/>
      </c>
      <c r="T1017">
        <f>IF(C1017,(H1017*N1017*IF(AND(Inputs!$B$38&lt;&gt;"pvp",Inputs!$B$43&gt;0),((Skills!G10*((R1017-1)*IF(Skills!H10&gt;0,Skills!I10/Skills!H10,1)+IF(Skills!H10&gt;0,MIN(Skills!I10,MAX(0,MAX(0,Inputs!$B$43-B1040)-((R1017-1)*(IF(Inputs!$B$38="pvp",15,MAX(0.1,Skills!D10-IF(Skills!E10=TRUE,Inputs!$B$32,0)))*(1-IF(AND(ArtifactsInput!$M$27,Inputs!$B$4="Chapter Hunt"),CHOOSE(ArtifactsInput!$N$27+1,20,24,28,32,36,40),0)/100)))))/Skills!H10,1)))/Inputs!$B$43),G1017*Q1017)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1017*(1-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1017*(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1017*(1-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1017*(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7">
        <f>IF(C1017,(H1017*N1017*IF(AND(Inputs!$B$38&lt;&gt;"pvp",Inputs!$B$43&gt;0),((Skills!G10*((R1017-1)*IF(Skills!H10&gt;0,Skills!I10/Skills!H10,1)+IF(Skills!H10&gt;0,MIN(Skills!I10,MAX(0,MAX(0,Inputs!$B$43-B1040)-((R1017-1)*(IF(Inputs!$B$38="pvp",15,MAX(0.1,Skills!D10-IF(Skills!E10=TRUE,Inputs!$B$32,0)))*(1-IF(AND(ArtifactsInput!$M$27,Inputs!$B$4="Chapter Hunt"),CHOOSE(ArtifactsInput!$N$27+1,20,24,28,32,36,40),0)/100)))))/Skills!H10,1)))/Inputs!$B$43),G1017*Q1017))*IF(Inputs!$B$38="pvp",1,(1+(Inputs!$B$21+Skills!Q10+(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8">
      <c r="A1018">
        <f>Skills!A11</f>
        <v/>
      </c>
      <c r="B1018">
        <f>Skills!B11</f>
        <v/>
      </c>
      <c r="C1018">
        <f>Inputs!$B$3&gt;=113</f>
        <v/>
      </c>
      <c r="D1018">
        <f>IF(Skills!C11=1,60+Inputs!$B$25+Inputs!$B$29,IF(Skills!C11=2,90+Inputs!$B$26+Inputs!$B$29,IF(Skills!C11=3,120+Inputs!$B$27+Inputs!$B$29,MAX(0,(Inputs!$B$3-100)*3)+Inputs!$B$28+Inputs!$B$29)))</f>
        <v/>
      </c>
      <c r="E1018">
        <f>INDEX(FactorTable!$B$2:$Y$301, MATCH(ROUND(MIN(300,MAX(1,D1018)),0), FactorTable!$A$2:$A$301,0), Skills!M11+1)</f>
        <v/>
      </c>
      <c r="F1018">
        <f>IF(Skills!N11=TRUE,(Skills!L11/10)*(E1018/1000),Skills!L11/10)+Skills!O11</f>
        <v/>
      </c>
      <c r="G1018">
        <f>Skills!G11*IF(Skills!H11&gt;0,Skills!I11/Skills!H11,1)</f>
        <v/>
      </c>
      <c r="H1018">
        <f>1-(1-Skills!J11/100)^Skills!K11</f>
        <v/>
      </c>
      <c r="I1018" t="inlineStr">
        <is>
          <t>1</t>
        </is>
      </c>
      <c r="J1018">
        <f>((Inputs!$B$6*(1+Inputs!$B$7/100))+(((Inputs!$B$12*(1+Inputs!$B$13/100))-(Inputs!$B$12*(1+Inputs!$B$13/100)))+0.25*(Inputs!$B$14-Inputs!$B$14))*(1+Inputs!$B$7/100))*(F1018/100)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1029=TRUE)*(F1029-Calc!F22))+B1039)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1028=TRUE)*(F1028-Calc!F21))+(((IF(AND(ArtifactsInput!$M$42,((Inputs!$B$9+((C1023=TRUE)*(F1023-Calc!F16))+B1033+(ArtifactsInput!$M$24-ArtifactsInput!$M$24)*CHOOSE(ArtifactsInput!$N$24+1,10,12,14,16,18,20)+IF(ArtifactsInput!$M$10,CHOOSE(ArtifactsInput!$N$10+1,15,18,21,24,27,30)*(IF(Inputs!$B$38="pvp",MIN(15,15)/15,IF(AND(Inputs!$B$38&lt;&gt;"pvp",Inputs!$B$43&gt;0),MIN(15,Inputs!$B$43)/(Inputs!$B$43),0))),0)))&gt;=100),MIN(100,((Inputs!$B$9+((C1023=TRUE)*(F1023-Calc!F16))+B1033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1023=TRUE)*(F1023-Calc!F16))+B1033+(ArtifactsInput!$M$24-ArtifactsInput!$M$24)*CHOOSE(ArtifactsInput!$N$24+1,10,12,14,16,18,20)+IF(ArtifactsInput!$M$10,CHOOSE(ArtifactsInput!$N$10+1,15,18,21,24,27,30)*(IF(Inputs!$B$38="pvp",MIN(15,15)/15,IF(AND(Inputs!$B$38&lt;&gt;"pvp",Inputs!$B$43&gt;0),MIN(15,Inputs!$B$43)/(Inputs!$B$43),0))),0)))&gt;=100),CHOOSE(ArtifactsInput!$N$42+1,40,48,56,64,72,80),0))))/100)*((1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1027=TRUE)*(F1027-Calc!F20)),(Inputs!$B$23+0+(IF(ArtifactsInput!$M$15,CHOOSE(ArtifactsInput!$N$15+1,25,30,35,40,45,50)/100*(Inputs!$B$11-Inputs!$B$11),0))))/100+(Inputs!$B$23+0+(IF(ArtifactsInput!$M$15,CHOOSE(ArtifactsInput!$N$15+1,25,30,35,40,45,50)/100*(Inputs!$B$11-Inputs!$B$11),0)))/100)/2</f>
        <v/>
      </c>
      <c r="M1018">
        <f>L1018*(1+(Inputs!$B$10+0+B1038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IF(B1043=0,0,O1018/B1043)</f>
        <v/>
      </c>
      <c r="Q1018">
        <f>IFERROR(1/(IF(Inputs!$B$38="pvp",15,MAX(0.1,Skills!D11-IF(Skills!E11=TRUE,Inputs!$B$32,0)))*(1-IF(AND(ArtifactsInput!$M$27,Inputs!$B$4="Chapter Hunt"),CHOOSE(ArtifactsInput!$N$27+1,20,24,28,32,36,40),0)/100)),0)</f>
        <v/>
      </c>
      <c r="R1018">
        <f>IF(AND(Inputs!$B$38&lt;&gt;"pvp",Inputs!$B$43&gt;0),IF(MAX(0,Inputs!$B$43-B1040)&lt;=0,0,(INT(MAX(0,Inputs!$B$43-B1040)/(IF(Inputs!$B$38="pvp",15,MAX(0.1,Skills!D11-IF(Skills!E11=TRUE,Inputs!$B$32,0)))*(1-IF(AND(ArtifactsInput!$M$27,Inputs!$B$4="Chapter Hunt"),CHOOSE(ArtifactsInput!$N$27+1,20,24,28,32,36,40),0)/100)))+1)),0)</f>
        <v/>
      </c>
      <c r="S1018">
        <f>IFERROR(O1018/N1018,0)</f>
        <v/>
      </c>
      <c r="T1018">
        <f>IF(C1018,(H1018*N1018*IF(AND(Inputs!$B$38&lt;&gt;"pvp",Inputs!$B$43&gt;0),((Skills!G11*((R1018-1)*IF(Skills!H11&gt;0,Skills!I11/Skills!H11,1)+IF(Skills!H11&gt;0,MIN(Skills!I11,MAX(0,MAX(0,Inputs!$B$43-B1040)-((R1018-1)*(IF(Inputs!$B$38="pvp",15,MAX(0.1,Skills!D11-IF(Skills!E11=TRUE,Inputs!$B$32,0)))*(1-IF(AND(ArtifactsInput!$M$27,Inputs!$B$4="Chapter Hunt"),CHOOSE(ArtifactsInput!$N$27+1,20,24,28,32,36,40),0)/100)))))/Skills!H11,1)))/Inputs!$B$43),G1018*Q1018)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1023=TRUE)*(F1023-Calc!F16))+B1033+(ArtifactsInput!$M$24-ArtifactsInput!$M$24)*CHOOSE(ArtifactsInput!$N$24+1,10,12,14,16,18,20)+(IF(AND(ArtifactsInput!$M$42,((Inputs!$B$9+((C1023=TRUE)*(F1023-Calc!F16))+B1033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18">
        <f>IF(C1018,(H1018*N1018*IF(AND(Inputs!$B$38&lt;&gt;"pvp",Inputs!$B$43&gt;0),((Skills!G11*((R1018-1)*IF(Skills!H11&gt;0,Skills!I11/Skills!H11,1)+IF(Skills!H11&gt;0,MIN(Skills!I11,MAX(0,MAX(0,Inputs!$B$43-B1040)-((R1018-1)*(IF(Inputs!$B$38="pvp",15,MAX(0.1,Skills!D11-IF(Skills!E11=TRUE,Inputs!$B$32,0)))*(1-IF(AND(ArtifactsInput!$M$27,Inputs!$B$4="Chapter Hunt"),CHOOSE(ArtifactsInput!$N$27+1,20,24,28,32,36,40),0)/100)))))/Skills!H11,1)))/Inputs!$B$43),G1018*Q1018))*IF(Inputs!$B$38="pvp",1,(1+(Inputs!$B$21+Skills!Q11+(IF(ArtifactsInput!$M$33,CHOOSE(ArtifactsInput!$N$33+1,30,36,42,48,54,60),0))+(IF(AND(ArtifactsInput!$M$35,Inputs!$B$4&lt;&gt;"Chapter Hunt"),CHOOSE(ArtifactsInput!$N$35+1,15,18,21,24,27,30)*(1-EXP(-(0.2*B1035)*5)),0)+IF(AND(ArtifactsInput!$M$22,Inputs!$B$4&lt;&gt;"Chapter Hunt"),CHOOSE(ArtifactsInput!$N$22+1,10,12,14,16,18,20)*((0*(((0.15*B1035*5))^0/1)+1*(((0.15*B1035*5))^1/1)+2*(((0.15*B1035*5))^2/2)+3*(((0.15*B1035*5))^3/6)+4*(((0.15*B1035*5))^4/24)+5*(((0.15*B1035*5))^5/120))/((((0.15*B1035*5))^0/1)+(((0.15*B1035*5))^1/1)+(((0.15*B1035*5))^2/2)+(((0.15*B1035*5))^3/6)+(((0.15*B1035*5))^4/24)+(((0.15*B1035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Skills!A12</f>
        <v/>
      </c>
      <c r="B1019">
        <f>Skills!B12</f>
        <v/>
      </c>
      <c r="C1019">
        <f>Inputs!$B$3&gt;=100</f>
        <v/>
      </c>
      <c r="D1019">
        <f>IF(Skills!C12=1,60+Inputs!$B$25+Inputs!$B$29,IF(Skills!C12=2,90+Inputs!$B$26+Inputs!$B$29,IF(Skills!C12=3,120+Inputs!$B$27+Inputs!$B$29,MAX(0,(Inputs!$B$3-100)*3)+Inputs!$B$28+Inputs!$B$29)))</f>
        <v/>
      </c>
      <c r="E1019">
        <f>INDEX(FactorTable!$B$2:$Y$301, MATCH(ROUND(MIN(300,MAX(1,D1019)),0), FactorTable!$A$2:$A$301,0), Skills!M12+1)</f>
        <v/>
      </c>
      <c r="F1019">
        <f>IF(Skills!N12=TRUE,(Skills!L12/10)*(E1019/1000),Skills!L12/10)+Skills!O12</f>
        <v/>
      </c>
      <c r="G1019" t="inlineStr"/>
      <c r="H1019" t="inlineStr"/>
      <c r="I1019" t="inlineStr">
        <is>
          <t>1</t>
        </is>
      </c>
      <c r="J1019" t="inlineStr"/>
      <c r="K1019" t="inlineStr"/>
      <c r="L1019" t="inlineStr"/>
      <c r="M1019" t="inlineStr"/>
      <c r="N1019" t="inlineStr"/>
      <c r="O1019" t="inlineStr"/>
      <c r="P1019" t="inlineStr"/>
      <c r="Q1019" t="inlineStr"/>
      <c r="R1019" t="inlineStr"/>
      <c r="S1019" t="inlineStr"/>
      <c r="T1019" t="inlineStr"/>
      <c r="V1019" t="inlineStr"/>
    </row>
    <row r="1020">
      <c r="A1020">
        <f>Skills!A13</f>
        <v/>
      </c>
      <c r="B1020">
        <f>Skills!B13</f>
        <v/>
      </c>
      <c r="C1020">
        <f>Inputs!$B$3&gt;=66</f>
        <v/>
      </c>
      <c r="D1020">
        <f>IF(Skills!C13=1,60+Inputs!$B$25+Inputs!$B$29,IF(Skills!C13=2,90+Inputs!$B$26+Inputs!$B$29,IF(Skills!C13=3,120+Inputs!$B$27+Inputs!$B$29,MAX(0,(Inputs!$B$3-100)*3)+Inputs!$B$28+Inputs!$B$29)))</f>
        <v/>
      </c>
      <c r="E1020">
        <f>INDEX(FactorTable!$B$2:$Y$301, MATCH(ROUND(MIN(300,MAX(1,D1020)),0), FactorTable!$A$2:$A$301,0), Skills!M13+1)</f>
        <v/>
      </c>
      <c r="F1020">
        <f>IF(Skills!N13=TRUE,(Skills!L13/10)*(E1020/1000),Skills!L13/10)+Skills!O13</f>
        <v/>
      </c>
      <c r="G1020">
        <f>Skills!G13*IF(Skills!H13&gt;0,Skills!I13/Skills!H13,1)</f>
        <v/>
      </c>
      <c r="H1020">
        <f>1-(1-Skills!J13/100)^Skills!K13</f>
        <v/>
      </c>
      <c r="I1020" t="inlineStr">
        <is>
          <t>1</t>
        </is>
      </c>
      <c r="J1020" t="inlineStr"/>
      <c r="K1020" t="inlineStr"/>
      <c r="L1020" t="inlineStr"/>
      <c r="M1020" t="inlineStr"/>
      <c r="N1020" t="inlineStr"/>
      <c r="O1020">
        <f>(1-Summary!$B$11)*T1020+Summary!$B$11*V1020</f>
        <v/>
      </c>
      <c r="P1020">
        <f>IF(B1043=0,0,O1020/B1043)</f>
        <v/>
      </c>
      <c r="Q1020" t="n">
        <v>0</v>
      </c>
      <c r="R1020" t="n">
        <v>0</v>
      </c>
      <c r="S1020">
        <f>IFERROR(O1020/N1020,0)</f>
        <v/>
      </c>
      <c r="T1020" t="n">
        <v>0</v>
      </c>
      <c r="V1020" t="n">
        <v>0</v>
      </c>
    </row>
    <row r="1021">
      <c r="A1021">
        <f>Skills!A14</f>
        <v/>
      </c>
      <c r="B1021">
        <f>Skills!B14</f>
        <v/>
      </c>
      <c r="C1021">
        <f>Inputs!$B$3&gt;=107</f>
        <v/>
      </c>
      <c r="D1021">
        <f>IF(Skills!C14=1,60+Inputs!$B$25+Inputs!$B$29,IF(Skills!C14=2,90+Inputs!$B$26+Inputs!$B$29,IF(Skills!C14=3,120+Inputs!$B$27+Inputs!$B$29,MAX(0,(Inputs!$B$3-100)*3)+Inputs!$B$28+Inputs!$B$29)))</f>
        <v/>
      </c>
      <c r="E1021">
        <f>INDEX(FactorTable!$B$2:$Y$301, MATCH(ROUND(MIN(300,MAX(1,D1021)),0), FactorTable!$A$2:$A$301,0), Skills!M14+1)</f>
        <v/>
      </c>
      <c r="F1021">
        <f>IF(Skills!N14=TRUE,(Skills!L14/10)*(E1021/1000),Skills!L14/10)+Skills!O14</f>
        <v/>
      </c>
      <c r="G1021">
        <f>Skills!G14*IF(Skills!H14&gt;0,Skills!I14/Skills!H14,1)</f>
        <v/>
      </c>
      <c r="H1021">
        <f>1-(1-Skills!J14/100)^Skills!K14</f>
        <v/>
      </c>
      <c r="I1021" t="inlineStr">
        <is>
          <t>1</t>
        </is>
      </c>
      <c r="J1021" t="inlineStr"/>
      <c r="K1021" t="inlineStr"/>
      <c r="L1021" t="inlineStr"/>
      <c r="M1021" t="inlineStr"/>
      <c r="N1021" t="inlineStr"/>
      <c r="O1021">
        <f>(1-Summary!$B$11)*T1021+Summary!$B$11*V1021</f>
        <v/>
      </c>
      <c r="P1021">
        <f>IF(B1043=0,0,O1021/B1043)</f>
        <v/>
      </c>
      <c r="Q1021">
        <f>IFERROR(1/(IF(Inputs!$B$38="pvp",15,MAX(0.1,Skills!D14-IF(Skills!E14=TRUE,Inputs!$B$32,0)))*(1-IF(AND(ArtifactsInput!$M$27,Inputs!$B$4="Chapter Hunt"),CHOOSE(ArtifactsInput!$N$27+1,20,24,28,32,36,40),0)/100)),0)</f>
        <v/>
      </c>
      <c r="R1021">
        <f>IF(AND(Inputs!$B$38&lt;&gt;"pvp",Inputs!$B$43&gt;0),IF(Inputs!$B$43&lt;=0,0,(INT(Inputs!$B$43/(IF(Inputs!$B$38="pvp",15,MAX(0.1,Skills!D14-IF(Skills!E14=TRUE,Inputs!$B$32,0)))*(1-IF(AND(ArtifactsInput!$M$27,Inputs!$B$4="Chapter Hunt"),CHOOSE(ArtifactsInput!$N$27+1,20,24,28,32,36,40),0)/100)))+1)),0)</f>
        <v/>
      </c>
      <c r="S1021">
        <f>IFERROR(O1021/N1021,0)</f>
        <v/>
      </c>
      <c r="T1021" t="n">
        <v>0</v>
      </c>
      <c r="V1021" t="n">
        <v>0</v>
      </c>
    </row>
    <row r="1022">
      <c r="A1022">
        <f>Skills!A15</f>
        <v/>
      </c>
      <c r="B1022">
        <f>Skills!B15</f>
        <v/>
      </c>
      <c r="C1022">
        <f>Inputs!$B$3&gt;=115</f>
        <v/>
      </c>
      <c r="D1022">
        <f>IF(Skills!C15=1,60+Inputs!$B$25+Inputs!$B$29,IF(Skills!C15=2,90+Inputs!$B$26+Inputs!$B$29,IF(Skills!C15=3,120+Inputs!$B$27+Inputs!$B$29,MAX(0,(Inputs!$B$3-100)*3)+Inputs!$B$28+Inputs!$B$29)))</f>
        <v/>
      </c>
      <c r="E1022">
        <f>INDEX(FactorTable!$B$2:$Y$301, MATCH(ROUND(MIN(300,MAX(1,D1022)),0), FactorTable!$A$2:$A$301,0), Skills!M15+1)</f>
        <v/>
      </c>
      <c r="F1022">
        <f>IF(Skills!N15=TRUE,(Skills!L15/10)*(E1022/1000),Skills!L15/10)+Skills!O15</f>
        <v/>
      </c>
      <c r="G1022">
        <f>Skills!G15*IF(Skills!H15&gt;0,Skills!I15/Skills!H15,1)</f>
        <v/>
      </c>
      <c r="H1022">
        <f>1-(1-Skills!J15/100)^Skills!K15</f>
        <v/>
      </c>
      <c r="I1022" t="inlineStr">
        <is>
          <t>1</t>
        </is>
      </c>
      <c r="J1022" t="inlineStr"/>
      <c r="K1022" t="inlineStr"/>
      <c r="L1022" t="inlineStr"/>
      <c r="M1022" t="inlineStr"/>
      <c r="N1022" t="inlineStr"/>
      <c r="O1022">
        <f>(1-Summary!$B$11)*T1022+Summary!$B$11*V1022</f>
        <v/>
      </c>
      <c r="P1022">
        <f>IF(B1043=0,0,O1022/B1043)</f>
        <v/>
      </c>
      <c r="Q1022">
        <f>IFERROR(1/(IF(Inputs!$B$38="pvp",15,MAX(0.1,Skills!D15-IF(Skills!E15=TRUE,Inputs!$B$32,0)))*(1-IF(AND(ArtifactsInput!$M$27,Inputs!$B$4="Chapter Hunt"),CHOOSE(ArtifactsInput!$N$27+1,20,24,28,32,36,40),0)/100)),0)</f>
        <v/>
      </c>
      <c r="R1022">
        <f>IF(AND(Inputs!$B$38&lt;&gt;"pvp",Inputs!$B$43&gt;0),IF(Inputs!$B$43&lt;=0,0,(INT(Inputs!$B$43/(IF(Inputs!$B$38="pvp",15,MAX(0.1,Skills!D15-IF(Skills!E15=TRUE,Inputs!$B$32,0)))*(1-IF(AND(ArtifactsInput!$M$27,Inputs!$B$4="Chapter Hunt"),CHOOSE(ArtifactsInput!$N$27+1,20,24,28,32,36,40),0)/100)))+1)),0)</f>
        <v/>
      </c>
      <c r="S1022">
        <f>IFERROR(O1022/N1022,0)</f>
        <v/>
      </c>
      <c r="T1022" t="n">
        <v>0</v>
      </c>
      <c r="V1022" t="n">
        <v>0</v>
      </c>
    </row>
    <row r="1023">
      <c r="A1023">
        <f>Skills!A16</f>
        <v/>
      </c>
      <c r="B1023">
        <f>Skills!B16</f>
        <v/>
      </c>
      <c r="C1023">
        <f>Inputs!$B$3&gt;=15</f>
        <v/>
      </c>
      <c r="D1023">
        <f>IF(Skills!C16=1,60+Inputs!$B$25+Inputs!$B$29,IF(Skills!C16=2,90+Inputs!$B$26+Inputs!$B$29,IF(Skills!C16=3,120+Inputs!$B$27+Inputs!$B$29,MAX(0,(Inputs!$B$3-100)*3)+Inputs!$B$28+Inputs!$B$29)))</f>
        <v/>
      </c>
      <c r="E1023">
        <f>INDEX(FactorTable!$B$2:$Y$301, MATCH(ROUND(MIN(300,MAX(1,D1023)),0), FactorTable!$A$2:$A$301,0), Skills!M16+1)</f>
        <v/>
      </c>
      <c r="F1023">
        <f>IF(Skills!N16=TRUE,(Skills!L16/10)*(E1023/1000),Skills!L16/10)+Skills!O16</f>
        <v/>
      </c>
      <c r="G1023">
        <f>Skills!G16*IF(Skills!H16&gt;0,Skills!I16/Skills!H16,1)</f>
        <v/>
      </c>
      <c r="H1023">
        <f>1-(1-Skills!J16/100)^Skills!K16</f>
        <v/>
      </c>
      <c r="I1023" t="inlineStr">
        <is>
          <t>1</t>
        </is>
      </c>
      <c r="J1023" t="inlineStr"/>
      <c r="K1023" t="inlineStr"/>
      <c r="L1023" t="inlineStr"/>
      <c r="M1023" t="inlineStr"/>
      <c r="N1023" t="inlineStr"/>
      <c r="O1023">
        <f>(1-Summary!$B$11)*T1023+Summary!$B$11*V1023</f>
        <v/>
      </c>
      <c r="P1023">
        <f>IF(B1043=0,0,O1023/B1043)</f>
        <v/>
      </c>
      <c r="Q1023" t="n">
        <v>0</v>
      </c>
      <c r="R1023" t="n">
        <v>0</v>
      </c>
      <c r="S1023">
        <f>IFERROR(O1023/N1023,0)</f>
        <v/>
      </c>
      <c r="T1023" t="n">
        <v>0</v>
      </c>
      <c r="V1023" t="n">
        <v>0</v>
      </c>
    </row>
    <row r="1024">
      <c r="A1024">
        <f>Skills!A17</f>
        <v/>
      </c>
      <c r="B1024">
        <f>Skills!B17</f>
        <v/>
      </c>
      <c r="C1024">
        <f>Inputs!$B$3&gt;=10</f>
        <v/>
      </c>
      <c r="D1024">
        <f>IF(Skills!C17=1,60+Inputs!$B$25+Inputs!$B$29,IF(Skills!C17=2,90+Inputs!$B$26+Inputs!$B$29,IF(Skills!C17=3,120+Inputs!$B$27+Inputs!$B$29,MAX(0,(Inputs!$B$3-100)*3)+Inputs!$B$28+Inputs!$B$29)))</f>
        <v/>
      </c>
      <c r="E1024">
        <f>INDEX(FactorTable!$B$2:$Y$301, MATCH(ROUND(MIN(300,MAX(1,D1024)),0), FactorTable!$A$2:$A$301,0), Skills!M17+1)</f>
        <v/>
      </c>
      <c r="F1024">
        <f>IF(Skills!N17=TRUE,(Skills!L17/10)*(E1024/1000),Skills!L17/10)+Skills!O17</f>
        <v/>
      </c>
      <c r="G1024">
        <f>Skills!G17*IF(Skills!H17&gt;0,Skills!I17/Skills!H17,1)</f>
        <v/>
      </c>
      <c r="H1024">
        <f>1-(1-Skills!J17/100)^Skills!K17</f>
        <v/>
      </c>
      <c r="I1024" t="inlineStr">
        <is>
          <t>1</t>
        </is>
      </c>
      <c r="J1024" t="inlineStr"/>
      <c r="K1024" t="inlineStr"/>
      <c r="L1024" t="inlineStr"/>
      <c r="M1024" t="inlineStr"/>
      <c r="N1024" t="inlineStr"/>
      <c r="O1024">
        <f>(1-Summary!$B$11)*T1024+Summary!$B$11*V1024</f>
        <v/>
      </c>
      <c r="P1024">
        <f>IF(B1043=0,0,O1024/B1043)</f>
        <v/>
      </c>
      <c r="Q1024" t="n">
        <v>0</v>
      </c>
      <c r="R1024" t="n">
        <v>0</v>
      </c>
      <c r="S1024">
        <f>IFERROR(O1024/N1024,0)</f>
        <v/>
      </c>
      <c r="T1024" t="n">
        <v>0</v>
      </c>
      <c r="V1024" t="n">
        <v>0</v>
      </c>
    </row>
    <row r="1025">
      <c r="A1025">
        <f>Skills!A18</f>
        <v/>
      </c>
      <c r="B1025">
        <f>Skills!B18</f>
        <v/>
      </c>
      <c r="C1025">
        <f>Inputs!$B$3&gt;=33</f>
        <v/>
      </c>
      <c r="D1025">
        <f>IF(Skills!C18=1,60+Inputs!$B$25+Inputs!$B$29,IF(Skills!C18=2,90+Inputs!$B$26+Inputs!$B$29,IF(Skills!C18=3,120+Inputs!$B$27+Inputs!$B$29,MAX(0,(Inputs!$B$3-100)*3)+Inputs!$B$28+Inputs!$B$29)))</f>
        <v/>
      </c>
      <c r="E1025">
        <f>INDEX(FactorTable!$B$2:$Y$301, MATCH(ROUND(MIN(300,MAX(1,D1025)),0), FactorTable!$A$2:$A$301,0), Skills!M18+1)</f>
        <v/>
      </c>
      <c r="F1025">
        <f>IF(Skills!N18=TRUE,(Skills!L18/10)*(E1025/1000),Skills!L18/10)+Skills!O18</f>
        <v/>
      </c>
      <c r="G1025">
        <f>Skills!G18*IF(Skills!H18&gt;0,Skills!I18/Skills!H18,1)</f>
        <v/>
      </c>
      <c r="H1025">
        <f>1-(1-Skills!J18/100)^Skills!K18</f>
        <v/>
      </c>
      <c r="I1025" t="inlineStr">
        <is>
          <t>1</t>
        </is>
      </c>
      <c r="J1025" t="inlineStr"/>
      <c r="K1025" t="inlineStr"/>
      <c r="L1025" t="inlineStr"/>
      <c r="M1025" t="inlineStr"/>
      <c r="N1025" t="inlineStr"/>
      <c r="O1025">
        <f>(1-Summary!$B$11)*T1025+Summary!$B$11*V1025</f>
        <v/>
      </c>
      <c r="P1025">
        <f>IF(B1043=0,0,O1025/B1043)</f>
        <v/>
      </c>
      <c r="Q1025" t="n">
        <v>0</v>
      </c>
      <c r="R1025" t="n">
        <v>0</v>
      </c>
      <c r="S1025">
        <f>IFERROR(O1025/N1025,0)</f>
        <v/>
      </c>
      <c r="T1025" t="n">
        <v>0</v>
      </c>
      <c r="V1025" t="n">
        <v>0</v>
      </c>
    </row>
    <row r="1026">
      <c r="A1026">
        <f>Skills!A19</f>
        <v/>
      </c>
      <c r="B1026">
        <f>Skills!B19</f>
        <v/>
      </c>
      <c r="C1026">
        <f>Inputs!$B$3&gt;=40</f>
        <v/>
      </c>
      <c r="D1026">
        <f>IF(Skills!C19=1,60+Inputs!$B$25+Inputs!$B$29,IF(Skills!C19=2,90+Inputs!$B$26+Inputs!$B$29,IF(Skills!C19=3,120+Inputs!$B$27+Inputs!$B$29,MAX(0,(Inputs!$B$3-100)*3)+Inputs!$B$28+Inputs!$B$29)))</f>
        <v/>
      </c>
      <c r="E1026">
        <f>INDEX(FactorTable!$B$2:$Y$301, MATCH(ROUND(MIN(300,MAX(1,D1026)),0), FactorTable!$A$2:$A$301,0), Skills!M19+1)</f>
        <v/>
      </c>
      <c r="F1026">
        <f>IF(Skills!N19=TRUE,(Skills!L19/10)*(E1026/1000),Skills!L19/10)+Skills!O19</f>
        <v/>
      </c>
      <c r="G1026">
        <f>Skills!G19*IF(Skills!H19&gt;0,Skills!I19/Skills!H19,1)</f>
        <v/>
      </c>
      <c r="H1026">
        <f>1-(1-Skills!J19/100)^Skills!K19</f>
        <v/>
      </c>
      <c r="I1026" t="inlineStr">
        <is>
          <t>1</t>
        </is>
      </c>
      <c r="J1026" t="inlineStr"/>
      <c r="K1026" t="inlineStr"/>
      <c r="L1026" t="inlineStr"/>
      <c r="M1026" t="inlineStr"/>
      <c r="N1026" t="inlineStr"/>
      <c r="O1026">
        <f>(1-Summary!$B$11)*T1026+Summary!$B$11*V1026</f>
        <v/>
      </c>
      <c r="P1026">
        <f>IF(B1043=0,0,O1026/B1043)</f>
        <v/>
      </c>
      <c r="Q1026" t="n">
        <v>0</v>
      </c>
      <c r="R1026" t="n">
        <v>0</v>
      </c>
      <c r="S1026">
        <f>IFERROR(O1026/N1026,0)</f>
        <v/>
      </c>
      <c r="T1026" t="n">
        <v>0</v>
      </c>
      <c r="V1026" t="n">
        <v>0</v>
      </c>
    </row>
    <row r="1027">
      <c r="A1027">
        <f>Skills!A20</f>
        <v/>
      </c>
      <c r="B1027">
        <f>Skills!B20</f>
        <v/>
      </c>
      <c r="C1027">
        <f>Inputs!$B$3&gt;=43</f>
        <v/>
      </c>
      <c r="D1027">
        <f>IF(Skills!C20=1,60+Inputs!$B$25+Inputs!$B$29,IF(Skills!C20=2,90+Inputs!$B$26+Inputs!$B$29,IF(Skills!C20=3,120+Inputs!$B$27+Inputs!$B$29,MAX(0,(Inputs!$B$3-100)*3)+Inputs!$B$28+Inputs!$B$29)))</f>
        <v/>
      </c>
      <c r="E1027">
        <f>INDEX(FactorTable!$B$2:$Y$301, MATCH(ROUND(MIN(300,MAX(1,D1027)),0), FactorTable!$A$2:$A$301,0), Skills!M20+1)</f>
        <v/>
      </c>
      <c r="F1027">
        <f>IF(Skills!N20=TRUE,(Skills!L20/10)*(E1027/1000),Skills!L20/10)+Skills!O20</f>
        <v/>
      </c>
      <c r="G1027">
        <f>Skills!G20*IF(Skills!H20&gt;0,Skills!I20/Skills!H20,1)</f>
        <v/>
      </c>
      <c r="H1027">
        <f>1-(1-Skills!J20/100)^Skills!K20</f>
        <v/>
      </c>
      <c r="I1027" t="inlineStr">
        <is>
          <t>1</t>
        </is>
      </c>
      <c r="J1027" t="inlineStr"/>
      <c r="K1027" t="inlineStr"/>
      <c r="L1027" t="inlineStr"/>
      <c r="M1027" t="inlineStr"/>
      <c r="N1027" t="inlineStr"/>
      <c r="O1027">
        <f>(1-Summary!$B$11)*T1027+Summary!$B$11*V1027</f>
        <v/>
      </c>
      <c r="P1027">
        <f>IF(B1043=0,0,O1027/B1043)</f>
        <v/>
      </c>
      <c r="Q1027" t="n">
        <v>0</v>
      </c>
      <c r="R1027" t="n">
        <v>0</v>
      </c>
      <c r="S1027">
        <f>IFERROR(O1027/N1027,0)</f>
        <v/>
      </c>
      <c r="T1027" t="n">
        <v>0</v>
      </c>
      <c r="V1027" t="n">
        <v>0</v>
      </c>
    </row>
    <row r="1028">
      <c r="A1028">
        <f>Skills!A21</f>
        <v/>
      </c>
      <c r="B1028">
        <f>Skills!B21</f>
        <v/>
      </c>
      <c r="C1028">
        <f>Inputs!$B$3&gt;=38</f>
        <v/>
      </c>
      <c r="D1028">
        <f>IF(Skills!C21=1,60+Inputs!$B$25+Inputs!$B$29,IF(Skills!C21=2,90+Inputs!$B$26+Inputs!$B$29,IF(Skills!C21=3,120+Inputs!$B$27+Inputs!$B$29,MAX(0,(Inputs!$B$3-100)*3)+Inputs!$B$28+Inputs!$B$29)))</f>
        <v/>
      </c>
      <c r="E1028">
        <f>INDEX(FactorTable!$B$2:$Y$301, MATCH(ROUND(MIN(300,MAX(1,D1028)),0), FactorTable!$A$2:$A$301,0), Skills!M21+1)</f>
        <v/>
      </c>
      <c r="F1028">
        <f>IF(Skills!N21=TRUE,(Skills!L21/10)*(E1028/1000),Skills!L21/10)+Skills!O21</f>
        <v/>
      </c>
      <c r="G1028">
        <f>Skills!G21*IF(Skills!H21&gt;0,Skills!I21/Skills!H21,1)</f>
        <v/>
      </c>
      <c r="H1028">
        <f>1-(1-Skills!J21/100)^Skills!K21</f>
        <v/>
      </c>
      <c r="I1028" t="inlineStr">
        <is>
          <t>1</t>
        </is>
      </c>
      <c r="J1028" t="inlineStr"/>
      <c r="K1028" t="inlineStr"/>
      <c r="L1028" t="inlineStr"/>
      <c r="M1028" t="inlineStr"/>
      <c r="N1028" t="inlineStr"/>
      <c r="O1028">
        <f>(1-Summary!$B$11)*T1028+Summary!$B$11*V1028</f>
        <v/>
      </c>
      <c r="P1028">
        <f>IF(B1043=0,0,O1028/B1043)</f>
        <v/>
      </c>
      <c r="Q1028" t="n">
        <v>0</v>
      </c>
      <c r="R1028" t="n">
        <v>0</v>
      </c>
      <c r="S1028">
        <f>IFERROR(O1028/N1028,0)</f>
        <v/>
      </c>
      <c r="T1028" t="n">
        <v>0</v>
      </c>
      <c r="V1028" t="n">
        <v>0</v>
      </c>
    </row>
    <row r="1029">
      <c r="A1029">
        <f>Skills!A22</f>
        <v/>
      </c>
      <c r="B1029">
        <f>Skills!B22</f>
        <v/>
      </c>
      <c r="C1029">
        <f>Inputs!$B$3&gt;=75</f>
        <v/>
      </c>
      <c r="D1029">
        <f>IF(Skills!C22=1,60+Inputs!$B$25+Inputs!$B$29,IF(Skills!C22=2,90+Inputs!$B$26+Inputs!$B$29,IF(Skills!C22=3,120+Inputs!$B$27+Inputs!$B$29,MAX(0,(Inputs!$B$3-100)*3)+Inputs!$B$28+Inputs!$B$29)))</f>
        <v/>
      </c>
      <c r="E1029">
        <f>INDEX(FactorTable!$B$2:$Y$301, MATCH(ROUND(MIN(300,MAX(1,D1029)),0), FactorTable!$A$2:$A$301,0), Skills!M22+1)</f>
        <v/>
      </c>
      <c r="F1029">
        <f>IF(Skills!N22=TRUE,(Skills!L22/10)*(E1029/1000),Skills!L22/10)+Skills!O22</f>
        <v/>
      </c>
      <c r="G1029">
        <f>Skills!G22*IF(Skills!H22&gt;0,Skills!I22/Skills!H22,1)</f>
        <v/>
      </c>
      <c r="H1029">
        <f>1-(1-Skills!J22/100)^Skills!K22</f>
        <v/>
      </c>
      <c r="I1029" t="inlineStr">
        <is>
          <t>1</t>
        </is>
      </c>
      <c r="J1029" t="inlineStr"/>
      <c r="K1029" t="inlineStr"/>
      <c r="L1029" t="inlineStr"/>
      <c r="M1029" t="inlineStr"/>
      <c r="N1029" t="inlineStr"/>
      <c r="O1029">
        <f>(1-Summary!$B$11)*T1029+Summary!$B$11*V1029</f>
        <v/>
      </c>
      <c r="P1029">
        <f>IF(B1043=0,0,O1029/B1043)</f>
        <v/>
      </c>
      <c r="Q1029" t="n">
        <v>0</v>
      </c>
      <c r="R1029" t="n">
        <v>0</v>
      </c>
      <c r="S1029">
        <f>IFERROR(O1029/N1029,0)</f>
        <v/>
      </c>
      <c r="T1029" t="n">
        <v>0</v>
      </c>
      <c r="V1029" t="n">
        <v>0</v>
      </c>
    </row>
    <row r="1030">
      <c r="A1030">
        <f>Skills!A23</f>
        <v/>
      </c>
      <c r="B1030">
        <f>Skills!B23</f>
        <v/>
      </c>
      <c r="C1030">
        <f>TRUE</f>
        <v/>
      </c>
      <c r="D1030">
        <f>IF(Skills!C23=1,60+Inputs!$B$25+Inputs!$B$29,IF(Skills!C23=2,90+Inputs!$B$26+Inputs!$B$29,IF(Skills!C23=3,120+Inputs!$B$27+Inputs!$B$29,MAX(0,(Inputs!$B$3-100)*3)+Inputs!$B$28+Inputs!$B$29)))</f>
        <v/>
      </c>
      <c r="E1030">
        <f>INDEX(FactorTable!$B$2:$Y$301, MATCH(ROUND(MIN(300,MAX(1,D1030)),0), FactorTable!$A$2:$A$301,0), Skills!M23+1)</f>
        <v/>
      </c>
      <c r="F1030">
        <f>IF(Skills!N23=TRUE,(Skills!L23/10)*(E1030/1000),Skills!L23/10)+Skills!O23</f>
        <v/>
      </c>
      <c r="G1030">
        <f>Skills!G23*IF(Skills!H23&gt;0,Skills!I23/Skills!H23,1)</f>
        <v/>
      </c>
      <c r="H1030">
        <f>1-(1-Skills!J23/100)^Skills!K23</f>
        <v/>
      </c>
      <c r="I1030" t="inlineStr">
        <is>
          <t>1</t>
        </is>
      </c>
      <c r="J1030" t="inlineStr"/>
      <c r="K1030" t="inlineStr"/>
      <c r="L1030" t="inlineStr"/>
      <c r="M1030" t="inlineStr"/>
      <c r="N1030" t="inlineStr"/>
      <c r="O1030">
        <f>(1-Summary!$B$11)*T1030+Summary!$B$11*V1030</f>
        <v/>
      </c>
      <c r="P1030">
        <f>IF(B1043=0,0,O1030/B1043)</f>
        <v/>
      </c>
      <c r="Q1030">
        <f>IFERROR(1/(IF(Inputs!$B$38="pvp",15,MAX(0.1,Skills!D23-IF(Skills!E23=TRUE,Inputs!$B$32,0)))*(1-IF(AND(ArtifactsInput!$M$27,Inputs!$B$4="Chapter Hunt"),CHOOSE(ArtifactsInput!$N$27+1,20,24,28,32,36,40),0)/100)),0)</f>
        <v/>
      </c>
      <c r="R1030">
        <f>IF(AND(Inputs!$B$38&lt;&gt;"pvp",Inputs!$B$43&gt;0),IF(Inputs!$B$43&lt;=0,0,(INT(Inputs!$B$43/(IF(Inputs!$B$38="pvp",15,MAX(0.1,Skills!D23-IF(Skills!E23=TRUE,Inputs!$B$32,0)))*(1-IF(AND(ArtifactsInput!$M$27,Inputs!$B$4="Chapter Hunt"),CHOOSE(ArtifactsInput!$N$27+1,20,24,28,32,36,40),0)/100)))+1)),0)</f>
        <v/>
      </c>
      <c r="S1030">
        <f>IFERROR(O1030/N1030,0)</f>
        <v/>
      </c>
      <c r="T1030" t="n">
        <v>0</v>
      </c>
      <c r="V1030" t="n">
        <v>0</v>
      </c>
    </row>
    <row r="1032">
      <c r="A1032" t="inlineStr">
        <is>
          <t>Attack% Bucket Multiplier</t>
        </is>
      </c>
      <c r="B1032">
        <f>(1+(((C1020=TRUE)*F1020*5/7)+((C1026=TRUE)*(F1026-Calc!F19))+(IF(ArtifactsInput!$M$21,CHOOSE(ArtifactsInput!$N$21+1,25,30,35,40,45,50)*(IF(OR(Inputs!$B$4="Chapter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33">
      <c r="A1033" t="inlineStr">
        <is>
          <t>Global Crit Rate Bonus %</t>
        </is>
      </c>
      <c r="B1033" t="n">
        <v>0</v>
      </c>
    </row>
    <row r="1034">
      <c r="A1034" t="inlineStr">
        <is>
          <t>Attack Speed Buff Bonus % (Nimble Feet, duty-cycle averaged)</t>
        </is>
      </c>
      <c r="B1034">
        <f>((C1030=TRUE)*F1030*IF(AND(Inputs!$B$38&lt;&gt;"pvp",Inputs!$B$43&gt;0),(((R1030-1)*(Skills!T23*(1+Inputs!$B$34/100))+MIN((Skills!T23*(1+Inputs!$B$34/100)),MAX(0,Inputs!$B$43-((R1030-1)*Skills!D23))))/Inputs!$B$43),IF(Inputs!$B$38="pvp",MIN((Skills!T23*(1+Inputs!$B$34/100)),15)/15,(Skills!T23*(1+Inputs!$B$34/100))/Skills!D23)))</f>
        <v/>
      </c>
    </row>
    <row r="1035">
      <c r="A1035" t="inlineStr">
        <is>
          <t>Actions Per Second</t>
        </is>
      </c>
      <c r="B1035">
        <f>1+MIN(150,150*(1-(1-(Inputs!$B$11+((C1024=TRUE)*(F1024-Calc!F17))+((C1025=TRUE)*(F1025-Calc!F18)))/150)*(1-B1034/150)))/100</f>
        <v/>
      </c>
    </row>
    <row r="1036">
      <c r="A1036" t="inlineStr">
        <is>
          <t>Skill + Buff Cast Rate</t>
        </is>
      </c>
      <c r="B1036">
        <f>IF(AND(Inputs!$B$38&lt;&gt;"pvp",Inputs!$B$43&gt;0),SUMPRODUCT((Skills!E2:E23=TRUE)*(C1009:C1030=TRUE)*R1009:R1030*Skills!F2:F23)/Inputs!$B$43,SUMPRODUCT((Skills!E2:E23=TRUE)*(C1009:C1030=TRUE)*Q1009:Q1030*Skills!F2:F23))</f>
        <v/>
      </c>
    </row>
    <row r="1037">
      <c r="A1037" t="inlineStr">
        <is>
          <t>Hook Bomber Casts Per Second</t>
        </is>
      </c>
      <c r="B1037">
        <f>MAX(0,B1035-B1036)</f>
        <v/>
      </c>
    </row>
    <row r="1038">
      <c r="A1038" t="inlineStr">
        <is>
          <t>Global Critical Damage Bonus % (unused)</t>
        </is>
      </c>
      <c r="B1038" t="n">
        <v>0</v>
      </c>
    </row>
    <row r="1039">
      <c r="A1039" t="inlineStr">
        <is>
          <t>Global Final Damage Bonus % (Serpent Scale + Crossbones + Time Leap + Speed Infusion)</t>
        </is>
      </c>
      <c r="B1039">
        <f>((C1012=TRUE)*F1012*((10+IF(Inputs!$B$3&gt;=94,5,0))/((10+IF(Inputs!$B$3&gt;=94,5,0))+5/(B1037*(1+IF(Inputs!$B$3&gt;=104,1,0))))))+((C1021=TRUE)*F1021*IF(AND(Inputs!$B$38&lt;&gt;"pvp",Inputs!$B$43&gt;0),(((R1021-1)*(Skills!T14*(1+Inputs!$B$34/100))+MIN((Skills!T14*(1+Inputs!$B$34/100)),MAX(0,Inputs!$B$43-((R1021-1)*Skills!D14))))/Inputs!$B$43),IF(Inputs!$B$38="pvp",MIN((Skills!T14*(1+Inputs!$B$34/100)),15)/15,(Skills!T14*(1+Inputs!$B$34/100))/Skills!D14)))+((C1022=TRUE)*F1022*IF(AND(Inputs!$B$38&lt;&gt;"pvp",Inputs!$B$43&gt;0),(((R1022-1)*(Skills!T15*(1+Inputs!$B$34/100))+MIN((Skills!T15*(1+Inputs!$B$34/100)),MAX(0,Inputs!$B$43-((R1022-1)*Skills!D15))))/Inputs!$B$43),IF(Inputs!$B$38="pvp",MIN((Skills!T15*(1+Inputs!$B$34/100)),15)/15,(Skills!T15*(1+Inputs!$B$34/100))/Skills!D15)))+((Inputs!$B$3&gt;=110)*20*(B1035-1)*IF(Inputs!$B$38="pvp",MIN((15*(1+Inputs!$B$34/100)),15)/15,(15*(1+Inputs!$B$34/100))/35))</f>
        <v/>
      </c>
    </row>
    <row r="1040">
      <c r="A1040" t="inlineStr">
        <is>
          <t>Buff-Casting Startup Delay (s, fixed-duration only)</t>
        </is>
      </c>
      <c r="B1040">
        <f>IF(AND(Inputs!$B$38&lt;&gt;"pvp",Inputs!$B$43&gt;0),SUMPRODUCT((Skills!T2:T23&gt;0)*(Skills!E2:E23=TRUE)*(C1009:C1030=TRUE))/B1035,0)</f>
        <v/>
      </c>
    </row>
    <row r="1041">
      <c r="A1041" t="inlineStr">
        <is>
          <t>Boss-Only Total DPS (this block's swept value)</t>
        </is>
      </c>
      <c r="B1041">
        <f>SUM(T1009:T1030)</f>
        <v/>
      </c>
    </row>
    <row r="1042">
      <c r="A1042" t="inlineStr">
        <is>
          <t>Normal-Only Total DPS (this block's swept value)</t>
        </is>
      </c>
      <c r="B1042">
        <f>SUM(V1009:V1030)</f>
        <v/>
      </c>
    </row>
    <row r="1043">
      <c r="A1043" s="6" t="inlineStr">
        <is>
          <t>TOTAL DPS</t>
        </is>
      </c>
      <c r="B1043" s="6">
        <f>SUM(O1009:O1030)</f>
        <v/>
      </c>
    </row>
    <row r="1046">
      <c r="A1046" s="6" t="inlineStr">
        <is>
          <t>Stat: Buff Duration Increase %</t>
        </is>
      </c>
    </row>
    <row r="1047">
      <c r="A1047" s="5" t="inlineStr">
        <is>
          <t>Key</t>
        </is>
      </c>
      <c r="B1047" s="5" t="inlineStr">
        <is>
          <t>Name</t>
        </is>
      </c>
      <c r="C1047" s="5" t="inlineStr">
        <is>
          <t>Unlocked</t>
        </is>
      </c>
      <c r="D1047" s="5" t="inlineStr">
        <is>
          <t>InputLevel</t>
        </is>
      </c>
      <c r="E1047" s="5" t="inlineStr">
        <is>
          <t>Factor</t>
        </is>
      </c>
      <c r="F1047" s="5" t="inlineStr">
        <is>
          <t>CoefficientPercent</t>
        </is>
      </c>
      <c r="G1047" s="5" t="inlineStr">
        <is>
          <t>EffectiveHits</t>
        </is>
      </c>
      <c r="H1047" s="5" t="inlineStr">
        <is>
          <t>ProcProbability</t>
        </is>
      </c>
      <c r="I1047" s="5" t="inlineStr">
        <is>
          <t>MapleHeroMultiplier</t>
        </is>
      </c>
      <c r="J1047" s="5" t="inlineStr">
        <is>
          <t>BaseDamage</t>
        </is>
      </c>
      <c r="K1047" s="5" t="inlineStr">
        <is>
          <t>BaseHitDamage</t>
        </is>
      </c>
      <c r="L1047" s="5" t="inlineStr">
        <is>
          <t>NonCritAvg</t>
        </is>
      </c>
      <c r="M1047" s="5" t="inlineStr">
        <is>
          <t>CritAvg</t>
        </is>
      </c>
      <c r="N1047" s="5" t="inlineStr">
        <is>
          <t>ExpectedDamage(perHit)</t>
        </is>
      </c>
      <c r="O1047" s="5" t="inlineStr">
        <is>
          <t>DPS</t>
        </is>
      </c>
      <c r="P1047" s="5" t="inlineStr">
        <is>
          <t>% of Total</t>
        </is>
      </c>
      <c r="Q1047" s="5" t="inlineStr">
        <is>
          <t>InvCooldown</t>
        </is>
      </c>
      <c r="R1047" s="5" t="inlineStr">
        <is>
          <t>CastsInFight</t>
        </is>
      </c>
      <c r="S1047" s="5" t="inlineStr">
        <is>
          <t>HitRate(perSec)</t>
        </is>
      </c>
      <c r="U1047" t="inlineStr">
        <is>
          <t>helpers</t>
        </is>
      </c>
    </row>
    <row r="1048">
      <c r="A1048">
        <f>Skills!A2</f>
        <v/>
      </c>
      <c r="B1048">
        <f>Skills!B2</f>
        <v/>
      </c>
      <c r="C1048">
        <f>Inputs!$B$3&gt;=100</f>
        <v/>
      </c>
      <c r="D1048" t="inlineStr"/>
      <c r="E1048" t="inlineStr"/>
      <c r="F1048">
        <f>U1050+Skills!O2</f>
        <v/>
      </c>
      <c r="G1048">
        <f>Skills!G2*IF(Skills!H2&gt;0,Skills!I2/Skills!H2,1)</f>
        <v/>
      </c>
      <c r="H1048">
        <f>1-(1-Skills!J2/100)^Skills!K2</f>
        <v/>
      </c>
      <c r="I1048" t="inlineStr">
        <is>
          <t>1</t>
        </is>
      </c>
      <c r="J1048">
        <f>((Inputs!$B$6*(1+Inputs!$B$7/100))+(((Inputs!$B$12*(1+Inputs!$B$13/100))-(Inputs!$B$12*(1+Inputs!$B$13/100)))+0.25*(Inputs!$B$14-Inputs!$B$14))*(1+Inputs!$B$7/100))*(F1048/100)</f>
        <v/>
      </c>
      <c r="K1048">
        <f>J1048*(1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1048)</f>
        <v/>
      </c>
      <c r="L1048">
        <f>K1048*(MIN(Inputs!$B$22+((C1066=TRUE)*(F1066-Calc!F20)),(Inputs!$B$23+0+(IF(ArtifactsInput!$M$15,CHOOSE(ArtifactsInput!$N$15+1,25,30,35,40,45,50)/100*(Inputs!$B$11-Inputs!$B$11),0))))/100+(Inputs!$B$23+0+(IF(ArtifactsInput!$M$15,CHOOSE(ArtifactsInput!$N$15+1,25,30,35,40,45,50)/100*(Inputs!$B$11-Inputs!$B$11),0)))/100)/2</f>
        <v/>
      </c>
      <c r="M1048">
        <f>L1048*(1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8">
        <f>L1048*(1-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1048*(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8">
        <f>(1-Summary!$B$11)*T1048+Summary!$B$11*V1048</f>
        <v/>
      </c>
      <c r="P1048">
        <f>IF(B1082=0,0,O1048/B1082)</f>
        <v/>
      </c>
      <c r="Q1048" t="n">
        <v>0</v>
      </c>
      <c r="R1048" t="n">
        <v>0</v>
      </c>
      <c r="S1048">
        <f>IFERROR(O1048/N1048,0)</f>
        <v/>
      </c>
      <c r="T1048">
        <f>IF(C1048,(Skills!G2*N1048*B1076)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1048*(1-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1048*(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1048*(1-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1048*(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8">
        <f>MAX(0,(Inputs!$B$3-100)*3)+Inputs!$B$28+Inputs!$B$29</f>
        <v/>
      </c>
      <c r="V1048">
        <f>IF(C1048,(Skills!G2*N1048*B1076)*IF(Inputs!$B$38="pvp",1,(1+(Inputs!$B$21+Skills!Q2+(IF(ArtifactsInput!$M$33,CHOOSE(ArtifactsInput!$N$33+1,30,36,42,48,54,60),0))+(IF(AND(ArtifactsInput!$M$35,Inputs!$B$4&lt;&gt;"Chapter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49">
      <c r="A1049">
        <f>Skills!A3</f>
        <v/>
      </c>
      <c r="B1049">
        <f>Skills!B3</f>
        <v/>
      </c>
      <c r="C1049">
        <f>Inputs!$B$3&gt;=35</f>
        <v/>
      </c>
      <c r="D1049">
        <f>IF(Skills!C3=1,60+Inputs!$B$25+Inputs!$B$29,IF(Skills!C3=2,90+Inputs!$B$26+Inputs!$B$29,IF(Skills!C3=3,120+Inputs!$B$27+Inputs!$B$29,MAX(0,(Inputs!$B$3-100)*3)+Inputs!$B$28+Inputs!$B$29)))</f>
        <v/>
      </c>
      <c r="E1049">
        <f>INDEX(FactorTable!$B$2:$Y$301, MATCH(ROUND(MIN(300,MAX(1,D1049)),0), FactorTable!$A$2:$A$301,0), Skills!M3+1)</f>
        <v/>
      </c>
      <c r="F1049">
        <f>IF(Skills!N3=TRUE,(Skills!L3/10)*(E1049/1000),Skills!L3/10)+Skills!O3</f>
        <v/>
      </c>
      <c r="G1049">
        <f>Skills!G3*IF(Skills!H3&gt;0,Skills!I3/Skills!H3,1)</f>
        <v/>
      </c>
      <c r="H1049">
        <f>1-(1-Skills!J3/100)^Skills!K3</f>
        <v/>
      </c>
      <c r="I1049" t="inlineStr">
        <is>
          <t>1</t>
        </is>
      </c>
      <c r="J1049">
        <f>((Inputs!$B$6*(1+Inputs!$B$7/100))+(((Inputs!$B$12*(1+Inputs!$B$13/100))-(Inputs!$B$12*(1+Inputs!$B$13/100)))+0.25*(Inputs!$B$14-Inputs!$B$14))*(1+Inputs!$B$7/100))*(F1049/100)</f>
        <v/>
      </c>
      <c r="K1049">
        <f>J1049*(1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1049)</f>
        <v/>
      </c>
      <c r="L1049">
        <f>K1049*(MIN(Inputs!$B$22+((C1066=TRUE)*(F1066-Calc!F20)),(Inputs!$B$23+0+(IF(ArtifactsInput!$M$15,CHOOSE(ArtifactsInput!$N$15+1,25,30,35,40,45,50)/100*(Inputs!$B$11-Inputs!$B$11),0))))/100+(Inputs!$B$23+0+(IF(ArtifactsInput!$M$15,CHOOSE(ArtifactsInput!$N$15+1,25,30,35,40,45,50)/100*(Inputs!$B$11-Inputs!$B$11),0)))/100)/2</f>
        <v/>
      </c>
      <c r="M1049">
        <f>L1049*(1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49">
        <f>L1049*(1-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1049*(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49">
        <f>(1-Summary!$B$11)*T1049+Summary!$B$11*V1049</f>
        <v/>
      </c>
      <c r="P1049">
        <f>IF(B1082=0,0,O1049/B1082)</f>
        <v/>
      </c>
      <c r="Q1049" t="n">
        <v>0</v>
      </c>
      <c r="R1049" t="n">
        <v>0</v>
      </c>
      <c r="S1049">
        <f>IFERROR(O1049/N1049,0)</f>
        <v/>
      </c>
      <c r="T1049">
        <f>IF(C1049,(Skills!G3*H1049*N1049*B1076)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1049*(1-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1049*(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1049*(1-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1049*(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49">
        <f>INDEX(FactorTable!$B$2:$Y$301, MATCH(ROUND(MIN(300,MAX(1,U1048)),0), FactorTable!$A$2:$A$301,0), 22)</f>
        <v/>
      </c>
      <c r="V1049">
        <f>IF(C1049,(Skills!G3*H1049*N1049*B1076)*IF(Inputs!$B$38="pvp",1,(1+(Inputs!$B$21+Skills!Q3+(IF(ArtifactsInput!$M$33,CHOOSE(ArtifactsInput!$N$33+1,30,36,42,48,54,60),0))+(IF(AND(ArtifactsInput!$M$35,Inputs!$B$4&lt;&gt;"Chapter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0">
      <c r="A1050">
        <f>Skills!A4</f>
        <v/>
      </c>
      <c r="B1050">
        <f>Skills!B4</f>
        <v/>
      </c>
      <c r="C1050">
        <f>Inputs!$B$3&gt;=60</f>
        <v/>
      </c>
      <c r="D1050">
        <f>IF(Skills!C4=1,60+Inputs!$B$25+Inputs!$B$29,IF(Skills!C4=2,90+Inputs!$B$26+Inputs!$B$29,IF(Skills!C4=3,120+Inputs!$B$27+Inputs!$B$29,MAX(0,(Inputs!$B$3-100)*3)+Inputs!$B$28+Inputs!$B$29)))</f>
        <v/>
      </c>
      <c r="E1050">
        <f>INDEX(FactorTable!$B$2:$Y$301, MATCH(ROUND(MIN(300,MAX(1,D1050)),0), FactorTable!$A$2:$A$301,0), Skills!M4+1)</f>
        <v/>
      </c>
      <c r="F1050">
        <f>IF(Skills!N4=TRUE,(Skills!L4/10)*(E1050/1000),Skills!L4/10)+Skills!O4</f>
        <v/>
      </c>
      <c r="G1050">
        <f>Skills!G4*IF(Skills!H4&gt;0,Skills!I4/Skills!H4,1)</f>
        <v/>
      </c>
      <c r="H1050">
        <f>1-(1-Skills!J4/100)^Skills!K4</f>
        <v/>
      </c>
      <c r="I1050" t="inlineStr">
        <is>
          <t>1</t>
        </is>
      </c>
      <c r="J1050">
        <f>((Inputs!$B$6*(1+Inputs!$B$7/100))+(((Inputs!$B$12*(1+Inputs!$B$13/100))-(Inputs!$B$12*(1+Inputs!$B$13/100)))+0.25*(Inputs!$B$14-Inputs!$B$14))*(1+Inputs!$B$7/100))*(F1050/100)</f>
        <v/>
      </c>
      <c r="K1050">
        <f>J1050*(1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1058=TRUE,F1058,0)/100)*(1+(IF(Skills!A4="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1050)</f>
        <v/>
      </c>
      <c r="L1050">
        <f>K1050*(MIN(Inputs!$B$22+((C1066=TRUE)*(F1066-Calc!F20)),(Inputs!$B$23+0+(IF(ArtifactsInput!$M$15,CHOOSE(ArtifactsInput!$N$15+1,25,30,35,40,45,50)/100*(Inputs!$B$11-Inputs!$B$11),0))))/100+(Inputs!$B$23+0+(IF(ArtifactsInput!$M$15,CHOOSE(ArtifactsInput!$N$15+1,25,30,35,40,45,50)/100*(Inputs!$B$11-Inputs!$B$11),0)))/100)/2</f>
        <v/>
      </c>
      <c r="M1050">
        <f>L1050*(1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0">
        <f>L1050*(1-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1050*(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0">
        <f>(1-Summary!$B$11)*T1050+Summary!$B$11*V1050</f>
        <v/>
      </c>
      <c r="P1050">
        <f>IF(B1082=0,0,O1050/B1082)</f>
        <v/>
      </c>
      <c r="Q1050" t="n">
        <v>0</v>
      </c>
      <c r="R1050" t="n">
        <v>0</v>
      </c>
      <c r="S1050">
        <f>IFERROR(O1050/N1050,0)</f>
        <v/>
      </c>
      <c r="T1050">
        <f>IF(C1050,(Skills!G4*H1050*N1050*B1076)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1050*(1-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1050*(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1050*(1-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1050*(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50">
        <f>290*U1049/1000</f>
        <v/>
      </c>
      <c r="V1050">
        <f>IF(C1050,(Skills!G4*H1050*N1050*B1076)*IF(Inputs!$B$38="pvp",1,(1+(Inputs!$B$21+Skills!Q4+(IF(ArtifactsInput!$M$33,CHOOSE(ArtifactsInput!$N$33+1,30,36,42,48,54,60),0))+(IF(AND(ArtifactsInput!$M$35,Inputs!$B$4&lt;&gt;"Chapter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1">
      <c r="A1051">
        <f>Skills!A5</f>
        <v/>
      </c>
      <c r="B1051">
        <f>Skills!B5</f>
        <v/>
      </c>
      <c r="C1051">
        <f>Inputs!$B$3&gt;=60</f>
        <v/>
      </c>
      <c r="D1051">
        <f>IF(Skills!C5=1,60+Inputs!$B$25+Inputs!$B$29,IF(Skills!C5=2,90+Inputs!$B$26+Inputs!$B$29,IF(Skills!C5=3,120+Inputs!$B$27+Inputs!$B$29,MAX(0,(Inputs!$B$3-100)*3)+Inputs!$B$28+Inputs!$B$29)))</f>
        <v/>
      </c>
      <c r="E1051">
        <f>INDEX(FactorTable!$B$2:$Y$301, MATCH(ROUND(MIN(300,MAX(1,D1051)),0), FactorTable!$A$2:$A$301,0), Skills!M5+1)</f>
        <v/>
      </c>
      <c r="F1051">
        <f>IF(Skills!N5=TRUE,(Skills!L5/10)*(E1051/1000),Skills!L5/10)+Skills!O5</f>
        <v/>
      </c>
      <c r="G1051">
        <f>Skills!G5*IF(Skills!H5&gt;0,Skills!I5/Skills!H5,1)</f>
        <v/>
      </c>
      <c r="H1051">
        <f>1-(1-Skills!J5/100)^Skills!K5</f>
        <v/>
      </c>
      <c r="I1051" t="inlineStr">
        <is>
          <t>1</t>
        </is>
      </c>
      <c r="J1051" t="inlineStr"/>
      <c r="K1051" t="inlineStr"/>
      <c r="L1051" t="inlineStr"/>
      <c r="M1051" t="inlineStr"/>
      <c r="N1051" t="inlineStr"/>
      <c r="O1051">
        <f>(1-Summary!$B$11)*T1051+Summary!$B$11*V1051</f>
        <v/>
      </c>
      <c r="P1051">
        <f>IF(B1082=0,0,O1051/B1082)</f>
        <v/>
      </c>
      <c r="Q1051" t="n">
        <v>0</v>
      </c>
      <c r="R1051" t="n">
        <v>0</v>
      </c>
      <c r="S1051">
        <f>IFERROR(O1051/N1051,0)</f>
        <v/>
      </c>
      <c r="T1051" t="n">
        <v>0</v>
      </c>
      <c r="V1051" t="n">
        <v>0</v>
      </c>
    </row>
    <row r="1052">
      <c r="A1052">
        <f>Skills!A6</f>
        <v/>
      </c>
      <c r="B1052">
        <f>Skills!B6</f>
        <v/>
      </c>
      <c r="C1052">
        <f>Inputs!$B$3&gt;=63</f>
        <v/>
      </c>
      <c r="D1052">
        <f>IF(Skills!C6=1,60+Inputs!$B$25+Inputs!$B$29,IF(Skills!C6=2,90+Inputs!$B$26+Inputs!$B$29,IF(Skills!C6=3,120+Inputs!$B$27+Inputs!$B$29,MAX(0,(Inputs!$B$3-100)*3)+Inputs!$B$28+Inputs!$B$29)))</f>
        <v/>
      </c>
      <c r="E1052">
        <f>INDEX(FactorTable!$B$2:$Y$301, MATCH(ROUND(MIN(300,MAX(1,D1052)),0), FactorTable!$A$2:$A$301,0), Skills!M6+1)</f>
        <v/>
      </c>
      <c r="F1052">
        <f>IF(Skills!N6=TRUE,(Skills!L6/10)*(E1052/1000),Skills!L6/10)+Skills!O6</f>
        <v/>
      </c>
      <c r="G1052">
        <f>Skills!G6*IF(Skills!H6&gt;0,Skills!I6/Skills!H6,1)</f>
        <v/>
      </c>
      <c r="H1052">
        <f>1-(1-Skills!J6/100)^Skills!K6</f>
        <v/>
      </c>
      <c r="I1052" t="inlineStr">
        <is>
          <t>1</t>
        </is>
      </c>
      <c r="J1052">
        <f>((Inputs!$B$6*(1+Inputs!$B$7/100))+(((Inputs!$B$12*(1+Inputs!$B$13/100))-(Inputs!$B$12*(1+Inputs!$B$13/100)))+0.25*(Inputs!$B$14-Inputs!$B$14))*(1+Inputs!$B$7/100))*(F1052/100)</f>
        <v/>
      </c>
      <c r="K1052">
        <f>J1052*(1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1058=TRUE,F1058,0)/100)*(1+(IF(Skills!A6="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1052)</f>
        <v/>
      </c>
      <c r="L1052">
        <f>K1052*(MIN(Inputs!$B$22+((C1066=TRUE)*(F1066-Calc!F20)),(Inputs!$B$23+0+(IF(ArtifactsInput!$M$15,CHOOSE(ArtifactsInput!$N$15+1,25,30,35,40,45,50)/100*(Inputs!$B$11-Inputs!$B$11),0))))/100+(Inputs!$B$23+0+(IF(ArtifactsInput!$M$15,CHOOSE(ArtifactsInput!$N$15+1,25,30,35,40,45,50)/100*(Inputs!$B$11-Inputs!$B$11),0)))/100)/2</f>
        <v/>
      </c>
      <c r="M1052">
        <f>L1052*(1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2">
        <f>L1052*(1-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1052*(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2">
        <f>(1-Summary!$B$11)*T1052+Summary!$B$11*V1052</f>
        <v/>
      </c>
      <c r="P1052">
        <f>IF(B1082=0,0,O1052/B1082)</f>
        <v/>
      </c>
      <c r="Q1052">
        <f>IFERROR(1/(IF(Inputs!$B$38="pvp",15,MAX(0.1,Skills!D6-IF(Skills!E6=TRUE,Inputs!$B$32,0)))*(1-IF(AND(ArtifactsInput!$M$27,Inputs!$B$4="Chapter Hunt"),CHOOSE(ArtifactsInput!$N$27+1,20,24,28,32,36,40),0)/100)),0)</f>
        <v/>
      </c>
      <c r="R1052">
        <f>IF(AND(Inputs!$B$38&lt;&gt;"pvp",Inputs!$B$43&gt;0),IF(MAX(0,Inputs!$B$43-B1079)&lt;=0,0,(INT(MAX(0,Inputs!$B$43-B1079)/(IF(Inputs!$B$38="pvp",15,MAX(0.1,Skills!D6-IF(Skills!E6=TRUE,Inputs!$B$32,0)))*(1-IF(AND(ArtifactsInput!$M$27,Inputs!$B$4="Chapter Hunt"),CHOOSE(ArtifactsInput!$N$27+1,20,24,28,32,36,40),0)/100)))+1)),0)</f>
        <v/>
      </c>
      <c r="S1052">
        <f>IFERROR(O1052/N1052,0)</f>
        <v/>
      </c>
      <c r="T1052">
        <f>IF(C1052,(H1052*N1052*IF(AND(Inputs!$B$38&lt;&gt;"pvp",Inputs!$B$43&gt;0),((Skills!G6*((R1052-1)*IF(Skills!H6&gt;0,Skills!I6/Skills!H6,1)+IF(Skills!H6&gt;0,MIN(Skills!I6,MAX(0,MAX(0,Inputs!$B$43-B1079)-((R1052-1)*(IF(Inputs!$B$38="pvp",15,MAX(0.1,Skills!D6-IF(Skills!E6=TRUE,Inputs!$B$32,0)))*(1-IF(AND(ArtifactsInput!$M$27,Inputs!$B$4="Chapter Hunt"),CHOOSE(ArtifactsInput!$N$27+1,20,24,28,32,36,40),0)/100)))))/Skills!H6,1)))/Inputs!$B$43),G1052*Q1052)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1052*(1-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1052*(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1052*(1-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1052*(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2">
        <f>IF(C1052,(H1052*N1052*IF(AND(Inputs!$B$38&lt;&gt;"pvp",Inputs!$B$43&gt;0),((Skills!G6*((R1052-1)*IF(Skills!H6&gt;0,Skills!I6/Skills!H6,1)+IF(Skills!H6&gt;0,MIN(Skills!I6,MAX(0,MAX(0,Inputs!$B$43-B1079)-((R1052-1)*(IF(Inputs!$B$38="pvp",15,MAX(0.1,Skills!D6-IF(Skills!E6=TRUE,Inputs!$B$32,0)))*(1-IF(AND(ArtifactsInput!$M$27,Inputs!$B$4="Chapter Hunt"),CHOOSE(ArtifactsInput!$N$27+1,20,24,28,32,36,40),0)/100)))))/Skills!H6,1)))/Inputs!$B$43),G1052*Q1052))*IF(Inputs!$B$38="pvp",1,(1+(Inputs!$B$21+Skills!Q6+(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3">
      <c r="A1053">
        <f>Skills!A7</f>
        <v/>
      </c>
      <c r="B1053">
        <f>Skills!B7</f>
        <v/>
      </c>
      <c r="C1053">
        <f>Inputs!$B$3&gt;=100</f>
        <v/>
      </c>
      <c r="D1053">
        <f>IF(Skills!C7=1,60+Inputs!$B$25+Inputs!$B$29,IF(Skills!C7=2,90+Inputs!$B$26+Inputs!$B$29,IF(Skills!C7=3,120+Inputs!$B$27+Inputs!$B$29,MAX(0,(Inputs!$B$3-100)*3)+Inputs!$B$28+Inputs!$B$29)))</f>
        <v/>
      </c>
      <c r="E1053">
        <f>INDEX(FactorTable!$B$2:$Y$301, MATCH(ROUND(MIN(300,MAX(1,D1053)),0), FactorTable!$A$2:$A$301,0), Skills!M7+1)</f>
        <v/>
      </c>
      <c r="F1053">
        <f>IF(Skills!N7=TRUE,(Skills!L7/10)*(E1053/1000),Skills!L7/10)+Skills!O7</f>
        <v/>
      </c>
      <c r="G1053">
        <f>Skills!G7*IF(Skills!H7&gt;0,Skills!I7/Skills!H7,1)</f>
        <v/>
      </c>
      <c r="H1053">
        <f>1-(1-Skills!J7/100)^Skills!K7</f>
        <v/>
      </c>
      <c r="I1053" t="inlineStr">
        <is>
          <t>1</t>
        </is>
      </c>
      <c r="J1053">
        <f>((Inputs!$B$6*(1+Inputs!$B$7/100))+(((Inputs!$B$12*(1+Inputs!$B$13/100))-(Inputs!$B$12*(1+Inputs!$B$13/100)))+0.25*(Inputs!$B$14-Inputs!$B$14))*(1+Inputs!$B$7/100))*(F1053/100)</f>
        <v/>
      </c>
      <c r="K1053">
        <f>J1053*(1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1053)</f>
        <v/>
      </c>
      <c r="L1053">
        <f>K1053*(MIN(Inputs!$B$22+((C1066=TRUE)*(F1066-Calc!F20)),(Inputs!$B$23+0+(IF(ArtifactsInput!$M$15,CHOOSE(ArtifactsInput!$N$15+1,25,30,35,40,45,50)/100*(Inputs!$B$11-Inputs!$B$11),0))))/100+(Inputs!$B$23+0+(IF(ArtifactsInput!$M$15,CHOOSE(ArtifactsInput!$N$15+1,25,30,35,40,45,50)/100*(Inputs!$B$11-Inputs!$B$11),0)))/100)/2</f>
        <v/>
      </c>
      <c r="M1053">
        <f>L1053*(1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3">
        <f>L1053*(1-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1053*(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3">
        <f>(1-Summary!$B$11)*T1053+Summary!$B$11*V1053</f>
        <v/>
      </c>
      <c r="P1053">
        <f>IF(B1082=0,0,O1053/B1082)</f>
        <v/>
      </c>
      <c r="Q1053">
        <f>IFERROR(1/(IF(Inputs!$B$38="pvp",15,MAX(0.1,Skills!D7-IF(Skills!E7=TRUE,Inputs!$B$32,0)))*(1-IF(AND(ArtifactsInput!$M$27,Inputs!$B$4="Chapter Hunt"),CHOOSE(ArtifactsInput!$N$27+1,20,24,28,32,36,40),0)/100)),0)</f>
        <v/>
      </c>
      <c r="R1053">
        <f>IF(AND(Inputs!$B$38&lt;&gt;"pvp",Inputs!$B$43&gt;0),IF(MAX(0,Inputs!$B$43-B1079)&lt;=0,0,(INT(MAX(0,Inputs!$B$43-B1079)/(IF(Inputs!$B$38="pvp",15,MAX(0.1,Skills!D7-IF(Skills!E7=TRUE,Inputs!$B$32,0)))*(1-IF(AND(ArtifactsInput!$M$27,Inputs!$B$4="Chapter Hunt"),CHOOSE(ArtifactsInput!$N$27+1,20,24,28,32,36,40),0)/100)))+1)),0)</f>
        <v/>
      </c>
      <c r="S1053">
        <f>IFERROR(O1053/N1053,0)</f>
        <v/>
      </c>
      <c r="T1053">
        <f>IF(C1053,(H1053*N1053*IF(AND(Inputs!$B$38&lt;&gt;"pvp",Inputs!$B$43&gt;0),((Skills!G7*((R1053-1)*IF(Skills!H7&gt;0,Skills!I7/Skills!H7,1)+IF(Skills!H7&gt;0,MIN(Skills!I7,MAX(0,MAX(0,Inputs!$B$43-B1079)-((R1053-1)*(IF(Inputs!$B$38="pvp",15,MAX(0.1,Skills!D7-IF(Skills!E7=TRUE,Inputs!$B$32,0)))*(1-IF(AND(ArtifactsInput!$M$27,Inputs!$B$4="Chapter Hunt"),CHOOSE(ArtifactsInput!$N$27+1,20,24,28,32,36,40),0)/100)))))/Skills!H7,1)))/Inputs!$B$43),G1053*Q1053)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1053*(1-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1053*(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1053*(1-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1053*(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3">
        <f>IF(C1053,(H1053*N1053*IF(AND(Inputs!$B$38&lt;&gt;"pvp",Inputs!$B$43&gt;0),((Skills!G7*((R1053-1)*IF(Skills!H7&gt;0,Skills!I7/Skills!H7,1)+IF(Skills!H7&gt;0,MIN(Skills!I7,MAX(0,MAX(0,Inputs!$B$43-B1079)-((R1053-1)*(IF(Inputs!$B$38="pvp",15,MAX(0.1,Skills!D7-IF(Skills!E7=TRUE,Inputs!$B$32,0)))*(1-IF(AND(ArtifactsInput!$M$27,Inputs!$B$4="Chapter Hunt"),CHOOSE(ArtifactsInput!$N$27+1,20,24,28,32,36,40),0)/100)))))/Skills!H7,1)))/Inputs!$B$43),G1053*Q1053))*IF(Inputs!$B$38="pvp",1,(1+(Inputs!$B$21+Skills!Q7+(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4">
      <c r="A1054">
        <f>Skills!A8</f>
        <v/>
      </c>
      <c r="B1054">
        <f>Skills!B8</f>
        <v/>
      </c>
      <c r="C1054">
        <f>Inputs!$B$3&gt;=110</f>
        <v/>
      </c>
      <c r="D1054">
        <f>IF(Skills!C8=1,60+Inputs!$B$25+Inputs!$B$29,IF(Skills!C8=2,90+Inputs!$B$26+Inputs!$B$29,IF(Skills!C8=3,120+Inputs!$B$27+Inputs!$B$29,MAX(0,(Inputs!$B$3-100)*3)+Inputs!$B$28+Inputs!$B$29)))</f>
        <v/>
      </c>
      <c r="E1054">
        <f>INDEX(FactorTable!$B$2:$Y$301, MATCH(ROUND(MIN(300,MAX(1,D1054)),0), FactorTable!$A$2:$A$301,0), Skills!M8+1)</f>
        <v/>
      </c>
      <c r="F1054">
        <f>IF(Skills!N8=TRUE,(Skills!L8/10)*(E1054/1000),Skills!L8/10)+Skills!O8</f>
        <v/>
      </c>
      <c r="G1054">
        <f>Skills!G8*IF(Skills!H8&gt;0,Skills!I8/Skills!H8,1)</f>
        <v/>
      </c>
      <c r="H1054">
        <f>1-(1-Skills!J8/100)^Skills!K8</f>
        <v/>
      </c>
      <c r="I1054" t="inlineStr">
        <is>
          <t>1</t>
        </is>
      </c>
      <c r="J1054">
        <f>((Inputs!$B$6*(1+Inputs!$B$7/100))+(((Inputs!$B$12*(1+Inputs!$B$13/100))-(Inputs!$B$12*(1+Inputs!$B$13/100)))+0.25*(Inputs!$B$14-Inputs!$B$14))*(1+Inputs!$B$7/100))*(F1054/100)</f>
        <v/>
      </c>
      <c r="K1054">
        <f>J1054*(1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1054)</f>
        <v/>
      </c>
      <c r="L1054">
        <f>K1054*(MIN(Inputs!$B$22+((C1066=TRUE)*(F1066-Calc!F20)),(Inputs!$B$23+0+(IF(ArtifactsInput!$M$15,CHOOSE(ArtifactsInput!$N$15+1,25,30,35,40,45,50)/100*(Inputs!$B$11-Inputs!$B$11),0))))/100+(Inputs!$B$23+0+(IF(ArtifactsInput!$M$15,CHOOSE(ArtifactsInput!$N$15+1,25,30,35,40,45,50)/100*(Inputs!$B$11-Inputs!$B$11),0)))/100)/2</f>
        <v/>
      </c>
      <c r="M1054">
        <f>L1054*(1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4">
        <f>L1054*(1-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1054*(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4">
        <f>(1-Summary!$B$11)*T1054+Summary!$B$11*V1054</f>
        <v/>
      </c>
      <c r="P1054">
        <f>IF(B1082=0,0,O1054/B1082)</f>
        <v/>
      </c>
      <c r="Q1054">
        <f>IFERROR(1/(IF(Inputs!$B$38="pvp",15,MAX(0.1,Skills!D8-IF(Skills!E8=TRUE,Inputs!$B$32,0)))*(1-IF(AND(ArtifactsInput!$M$27,Inputs!$B$4="Chapter Hunt"),CHOOSE(ArtifactsInput!$N$27+1,20,24,28,32,36,40),0)/100)),0)</f>
        <v/>
      </c>
      <c r="R1054">
        <f>IF(AND(Inputs!$B$38&lt;&gt;"pvp",Inputs!$B$43&gt;0),IF(MAX(0,Inputs!$B$43-B1079)&lt;=0,0,(INT(MAX(0,Inputs!$B$43-B1079)/(IF(Inputs!$B$38="pvp",15,MAX(0.1,Skills!D8-IF(Skills!E8=TRUE,Inputs!$B$32,0)))*(1-IF(AND(ArtifactsInput!$M$27,Inputs!$B$4="Chapter Hunt"),CHOOSE(ArtifactsInput!$N$27+1,20,24,28,32,36,40),0)/100)))+1)),0)</f>
        <v/>
      </c>
      <c r="S1054">
        <f>IFERROR(O1054/N1054,0)</f>
        <v/>
      </c>
      <c r="T1054">
        <f>IF(C1054,(H1054*N1054*IF(AND(Inputs!$B$38&lt;&gt;"pvp",Inputs!$B$43&gt;0),((Skills!G8*((R1054-1)*IF(Skills!H8&gt;0,Skills!I8/Skills!H8,1)+IF(Skills!H8&gt;0,MIN(Skills!I8,MAX(0,MAX(0,Inputs!$B$43-B1079)-((R1054-1)*(IF(Inputs!$B$38="pvp",15,MAX(0.1,Skills!D8-IF(Skills!E8=TRUE,Inputs!$B$32,0)))*(1-IF(AND(ArtifactsInput!$M$27,Inputs!$B$4="Chapter Hunt"),CHOOSE(ArtifactsInput!$N$27+1,20,24,28,32,36,40),0)/100)))))/Skills!H8,1)))/Inputs!$B$43),G1054*Q1054)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1054*(1-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1054*(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1054*(1-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1054*(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4">
        <f>IF(C1054,(H1054*N1054*IF(AND(Inputs!$B$38&lt;&gt;"pvp",Inputs!$B$43&gt;0),((Skills!G8*((R1054-1)*IF(Skills!H8&gt;0,Skills!I8/Skills!H8,1)+IF(Skills!H8&gt;0,MIN(Skills!I8,MAX(0,MAX(0,Inputs!$B$43-B1079)-((R1054-1)*(IF(Inputs!$B$38="pvp",15,MAX(0.1,Skills!D8-IF(Skills!E8=TRUE,Inputs!$B$32,0)))*(1-IF(AND(ArtifactsInput!$M$27,Inputs!$B$4="Chapter Hunt"),CHOOSE(ArtifactsInput!$N$27+1,20,24,28,32,36,40),0)/100)))))/Skills!H8,1)))/Inputs!$B$43),G1054*Q1054))*IF(Inputs!$B$38="pvp",1,(1+(Inputs!$B$21+Skills!Q8+(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5">
      <c r="A1055">
        <f>Skills!A9</f>
        <v/>
      </c>
      <c r="B1055">
        <f>Skills!B9</f>
        <v/>
      </c>
      <c r="C1055">
        <f>Inputs!$B$3&gt;=110</f>
        <v/>
      </c>
      <c r="D1055">
        <f>IF(Skills!C9=1,60+Inputs!$B$25+Inputs!$B$29,IF(Skills!C9=2,90+Inputs!$B$26+Inputs!$B$29,IF(Skills!C9=3,120+Inputs!$B$27+Inputs!$B$29,MAX(0,(Inputs!$B$3-100)*3)+Inputs!$B$28+Inputs!$B$29)))</f>
        <v/>
      </c>
      <c r="E1055">
        <f>INDEX(FactorTable!$B$2:$Y$301, MATCH(ROUND(MIN(300,MAX(1,D1055)),0), FactorTable!$A$2:$A$301,0), Skills!M9+1)</f>
        <v/>
      </c>
      <c r="F1055">
        <f>IF(Skills!N9=TRUE,(Skills!L9/10)*(E1055/1000),Skills!L9/10)+Skills!O9</f>
        <v/>
      </c>
      <c r="G1055">
        <f>Skills!G9*IF(Skills!H9&gt;0,Skills!I9/Skills!H9,1)</f>
        <v/>
      </c>
      <c r="H1055">
        <f>1-(1-Skills!J9/100)^Skills!K9</f>
        <v/>
      </c>
      <c r="I1055" t="inlineStr">
        <is>
          <t>1</t>
        </is>
      </c>
      <c r="J1055">
        <f>((Inputs!$B$6*(1+Inputs!$B$7/100))+(((Inputs!$B$12*(1+Inputs!$B$13/100))-(Inputs!$B$12*(1+Inputs!$B$13/100)))+0.25*(Inputs!$B$14-Inputs!$B$14))*(1+Inputs!$B$7/100))*(F1055/100)</f>
        <v/>
      </c>
      <c r="K1055">
        <f>J1055*(1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1055)</f>
        <v/>
      </c>
      <c r="L1055">
        <f>K1055*(MIN(Inputs!$B$22+((C1066=TRUE)*(F1066-Calc!F20)),(Inputs!$B$23+0+(IF(ArtifactsInput!$M$15,CHOOSE(ArtifactsInput!$N$15+1,25,30,35,40,45,50)/100*(Inputs!$B$11-Inputs!$B$11),0))))/100+(Inputs!$B$23+0+(IF(ArtifactsInput!$M$15,CHOOSE(ArtifactsInput!$N$15+1,25,30,35,40,45,50)/100*(Inputs!$B$11-Inputs!$B$11),0)))/100)/2</f>
        <v/>
      </c>
      <c r="M1055">
        <f>L1055*(1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5">
        <f>L1055*(1-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1055*(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5">
        <f>(1-Summary!$B$11)*T1055+Summary!$B$11*V1055</f>
        <v/>
      </c>
      <c r="P1055">
        <f>IF(B1082=0,0,O1055/B1082)</f>
        <v/>
      </c>
      <c r="Q1055">
        <f>IFERROR(1/(IF(Inputs!$B$38="pvp",15,MAX(0.1,Skills!D9-IF(Skills!E9=TRUE,Inputs!$B$32,0)))*(1-IF(AND(ArtifactsInput!$M$27,Inputs!$B$4="Chapter Hunt"),CHOOSE(ArtifactsInput!$N$27+1,20,24,28,32,36,40),0)/100)),0)</f>
        <v/>
      </c>
      <c r="R1055">
        <f>IF(AND(Inputs!$B$38&lt;&gt;"pvp",Inputs!$B$43&gt;0),IF(MAX(0,Inputs!$B$43-B1079)&lt;=0,0,(INT(MAX(0,Inputs!$B$43-B1079)/(IF(Inputs!$B$38="pvp",15,MAX(0.1,Skills!D9-IF(Skills!E9=TRUE,Inputs!$B$32,0)))*(1-IF(AND(ArtifactsInput!$M$27,Inputs!$B$4="Chapter Hunt"),CHOOSE(ArtifactsInput!$N$27+1,20,24,28,32,36,40),0)/100)))+1)),0)</f>
        <v/>
      </c>
      <c r="S1055">
        <f>IFERROR(O1055/N1055,0)</f>
        <v/>
      </c>
      <c r="T1055">
        <f>IF(C1055,(H1055*N1055*IF(AND(Inputs!$B$38&lt;&gt;"pvp",Inputs!$B$43&gt;0),((Skills!G9*((R1055-1)*IF(Skills!H9&gt;0,Skills!I9/Skills!H9,1)+IF(Skills!H9&gt;0,MIN(Skills!I9,MAX(0,MAX(0,Inputs!$B$43-B1079)-((R1055-1)*(IF(Inputs!$B$38="pvp",15,MAX(0.1,Skills!D9-IF(Skills!E9=TRUE,Inputs!$B$32,0)))*(1-IF(AND(ArtifactsInput!$M$27,Inputs!$B$4="Chapter Hunt"),CHOOSE(ArtifactsInput!$N$27+1,20,24,28,32,36,40),0)/100)))))/Skills!H9,1)))/Inputs!$B$43),G1055*Q1055)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1055*(1-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1055*(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1055*(1-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1055*(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5">
        <f>IF(C1055,(H1055*N1055*IF(AND(Inputs!$B$38&lt;&gt;"pvp",Inputs!$B$43&gt;0),((Skills!G9*((R1055-1)*IF(Skills!H9&gt;0,Skills!I9/Skills!H9,1)+IF(Skills!H9&gt;0,MIN(Skills!I9,MAX(0,MAX(0,Inputs!$B$43-B1079)-((R1055-1)*(IF(Inputs!$B$38="pvp",15,MAX(0.1,Skills!D9-IF(Skills!E9=TRUE,Inputs!$B$32,0)))*(1-IF(AND(ArtifactsInput!$M$27,Inputs!$B$4="Chapter Hunt"),CHOOSE(ArtifactsInput!$N$27+1,20,24,28,32,36,40),0)/100)))))/Skills!H9,1)))/Inputs!$B$43),G1055*Q1055))*IF(Inputs!$B$38="pvp",1,(1+(Inputs!$B$21+Skills!Q9+(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6">
      <c r="A1056">
        <f>Skills!A10</f>
        <v/>
      </c>
      <c r="B1056">
        <f>Skills!B10</f>
        <v/>
      </c>
      <c r="C1056">
        <f>Inputs!$B$3&gt;=103</f>
        <v/>
      </c>
      <c r="D1056">
        <f>IF(Skills!C10=1,60+Inputs!$B$25+Inputs!$B$29,IF(Skills!C10=2,90+Inputs!$B$26+Inputs!$B$29,IF(Skills!C10=3,120+Inputs!$B$27+Inputs!$B$29,MAX(0,(Inputs!$B$3-100)*3)+Inputs!$B$28+Inputs!$B$29)))</f>
        <v/>
      </c>
      <c r="E1056">
        <f>INDEX(FactorTable!$B$2:$Y$301, MATCH(ROUND(MIN(300,MAX(1,D1056)),0), FactorTable!$A$2:$A$301,0), Skills!M10+1)</f>
        <v/>
      </c>
      <c r="F1056">
        <f>IF(Skills!N10=TRUE,(Skills!L10/10)*(E1056/1000),Skills!L10/10)+Skills!O10</f>
        <v/>
      </c>
      <c r="G1056">
        <f>Skills!G10*IF(Skills!H10&gt;0,Skills!I10/Skills!H10,1)</f>
        <v/>
      </c>
      <c r="H1056">
        <f>1-(1-Skills!J10/100)^Skills!K10</f>
        <v/>
      </c>
      <c r="I1056" t="inlineStr">
        <is>
          <t>1</t>
        </is>
      </c>
      <c r="J1056">
        <f>((Inputs!$B$6*(1+Inputs!$B$7/100))+(((Inputs!$B$12*(1+Inputs!$B$13/100))-(Inputs!$B$12*(1+Inputs!$B$13/100)))+0.25*(Inputs!$B$14-Inputs!$B$14))*(1+Inputs!$B$7/100))*(F1056/100)</f>
        <v/>
      </c>
      <c r="K1056">
        <f>J1056*(1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1056)</f>
        <v/>
      </c>
      <c r="L1056">
        <f>K1056*(MIN(Inputs!$B$22+((C1066=TRUE)*(F1066-Calc!F20)),(Inputs!$B$23+0+(IF(ArtifactsInput!$M$15,CHOOSE(ArtifactsInput!$N$15+1,25,30,35,40,45,50)/100*(Inputs!$B$11-Inputs!$B$11),0))))/100+(Inputs!$B$23+0+(IF(ArtifactsInput!$M$15,CHOOSE(ArtifactsInput!$N$15+1,25,30,35,40,45,50)/100*(Inputs!$B$11-Inputs!$B$11),0)))/100)/2</f>
        <v/>
      </c>
      <c r="M1056">
        <f>L1056*(1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6">
        <f>L1056*(1-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1056*(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6">
        <f>(1-Summary!$B$11)*T1056+Summary!$B$11*V1056</f>
        <v/>
      </c>
      <c r="P1056">
        <f>IF(B1082=0,0,O1056/B1082)</f>
        <v/>
      </c>
      <c r="Q1056">
        <f>IFERROR(1/(IF(Inputs!$B$38="pvp",15,MAX(0.1,Skills!D10-IF(Skills!E10=TRUE,Inputs!$B$32,0)))*(1-IF(AND(ArtifactsInput!$M$27,Inputs!$B$4="Chapter Hunt"),CHOOSE(ArtifactsInput!$N$27+1,20,24,28,32,36,40),0)/100)),0)</f>
        <v/>
      </c>
      <c r="R1056">
        <f>IF(AND(Inputs!$B$38&lt;&gt;"pvp",Inputs!$B$43&gt;0),IF(MAX(0,Inputs!$B$43-B1079)&lt;=0,0,(INT(MAX(0,Inputs!$B$43-B1079)/(IF(Inputs!$B$38="pvp",15,MAX(0.1,Skills!D10-IF(Skills!E10=TRUE,Inputs!$B$32,0)))*(1-IF(AND(ArtifactsInput!$M$27,Inputs!$B$4="Chapter Hunt"),CHOOSE(ArtifactsInput!$N$27+1,20,24,28,32,36,40),0)/100)))+1)),0)</f>
        <v/>
      </c>
      <c r="S1056">
        <f>IFERROR(O1056/N1056,0)</f>
        <v/>
      </c>
      <c r="T1056">
        <f>IF(C1056,(H1056*N1056*IF(AND(Inputs!$B$38&lt;&gt;"pvp",Inputs!$B$43&gt;0),((Skills!G10*((R1056-1)*IF(Skills!H10&gt;0,Skills!I10/Skills!H10,1)+IF(Skills!H10&gt;0,MIN(Skills!I10,MAX(0,MAX(0,Inputs!$B$43-B1079)-((R1056-1)*(IF(Inputs!$B$38="pvp",15,MAX(0.1,Skills!D10-IF(Skills!E10=TRUE,Inputs!$B$32,0)))*(1-IF(AND(ArtifactsInput!$M$27,Inputs!$B$4="Chapter Hunt"),CHOOSE(ArtifactsInput!$N$27+1,20,24,28,32,36,40),0)/100)))))/Skills!H10,1)))/Inputs!$B$43),G1056*Q1056)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1056*(1-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1056*(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1056*(1-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1056*(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6">
        <f>IF(C1056,(H1056*N1056*IF(AND(Inputs!$B$38&lt;&gt;"pvp",Inputs!$B$43&gt;0),((Skills!G10*((R1056-1)*IF(Skills!H10&gt;0,Skills!I10/Skills!H10,1)+IF(Skills!H10&gt;0,MIN(Skills!I10,MAX(0,MAX(0,Inputs!$B$43-B1079)-((R1056-1)*(IF(Inputs!$B$38="pvp",15,MAX(0.1,Skills!D10-IF(Skills!E10=TRUE,Inputs!$B$32,0)))*(1-IF(AND(ArtifactsInput!$M$27,Inputs!$B$4="Chapter Hunt"),CHOOSE(ArtifactsInput!$N$27+1,20,24,28,32,36,40),0)/100)))))/Skills!H10,1)))/Inputs!$B$43),G1056*Q1056))*IF(Inputs!$B$38="pvp",1,(1+(Inputs!$B$21+Skills!Q10+(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7">
      <c r="A1057">
        <f>Skills!A11</f>
        <v/>
      </c>
      <c r="B1057">
        <f>Skills!B11</f>
        <v/>
      </c>
      <c r="C1057">
        <f>Inputs!$B$3&gt;=113</f>
        <v/>
      </c>
      <c r="D1057">
        <f>IF(Skills!C11=1,60+Inputs!$B$25+Inputs!$B$29,IF(Skills!C11=2,90+Inputs!$B$26+Inputs!$B$29,IF(Skills!C11=3,120+Inputs!$B$27+Inputs!$B$29,MAX(0,(Inputs!$B$3-100)*3)+Inputs!$B$28+Inputs!$B$29)))</f>
        <v/>
      </c>
      <c r="E1057">
        <f>INDEX(FactorTable!$B$2:$Y$301, MATCH(ROUND(MIN(300,MAX(1,D1057)),0), FactorTable!$A$2:$A$301,0), Skills!M11+1)</f>
        <v/>
      </c>
      <c r="F1057">
        <f>IF(Skills!N11=TRUE,(Skills!L11/10)*(E1057/1000),Skills!L11/10)+Skills!O11</f>
        <v/>
      </c>
      <c r="G1057">
        <f>Skills!G11*IF(Skills!H11&gt;0,Skills!I11/Skills!H11,1)</f>
        <v/>
      </c>
      <c r="H1057">
        <f>1-(1-Skills!J11/100)^Skills!K11</f>
        <v/>
      </c>
      <c r="I1057" t="inlineStr">
        <is>
          <t>1</t>
        </is>
      </c>
      <c r="J1057">
        <f>((Inputs!$B$6*(1+Inputs!$B$7/100))+(((Inputs!$B$12*(1+Inputs!$B$13/100))-(Inputs!$B$12*(1+Inputs!$B$13/100)))+0.25*(Inputs!$B$14-Inputs!$B$14))*(1+Inputs!$B$7/100))*(F1057/100)</f>
        <v/>
      </c>
      <c r="K1057">
        <f>J1057*(1+((Inputs!$B$12*(1+Inputs!$B$13/100))*0.01+Inputs!$B$14*0.0025)/100)*(1+Inputs!$B$15/100)*(1+Inputs!$B$16/100)*(5000/(6000+Inputs!$B$42*(1-(100*(1-(1-(Inputs!$B$19+0)/100)*(1-CHOOSE(ArtifactsInput!$N$40+1,5,6,7,8,9,10)/100)^(ArtifactsInput!$M$40-ArtifactsInput!$M$40)))/100)))*(1+(Inputs!$B$24+((C1068=TRUE)*(F1068-Calc!F22))+B1078)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1067=TRUE)*(F1067-Calc!F21))+(((IF(AND(ArtifactsInput!$M$42,((Inputs!$B$9+((C1062=TRUE)*(F1062-Calc!F16))+B1072+(ArtifactsInput!$M$24-ArtifactsInput!$M$24)*CHOOSE(ArtifactsInput!$N$24+1,10,12,14,16,18,20)+IF(ArtifactsInput!$M$10,CHOOSE(ArtifactsInput!$N$10+1,15,18,21,24,27,30)*(IF(Inputs!$B$38="pvp",MIN(15,15)/15,IF(AND(Inputs!$B$38&lt;&gt;"pvp",Inputs!$B$43&gt;0),MIN(15,Inputs!$B$43)/(Inputs!$B$43),0))),0)))&gt;=100),MIN(100,((Inputs!$B$9+((C1062=TRUE)*(F1062-Calc!F16))+B1072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1062=TRUE)*(F1062-Calc!F16))+B1072+(ArtifactsInput!$M$24-ArtifactsInput!$M$24)*CHOOSE(ArtifactsInput!$N$24+1,10,12,14,16,18,20)+IF(ArtifactsInput!$M$10,CHOOSE(ArtifactsInput!$N$10+1,15,18,21,24,27,30)*(IF(Inputs!$B$38="pvp",MIN(15,15)/15,IF(AND(Inputs!$B$38&lt;&gt;"pvp",Inputs!$B$43&gt;0),MIN(15,Inputs!$B$43)/(Inputs!$B$43),0))),0)))&gt;=100),CHOOSE(ArtifactsInput!$N$42+1,40,48,56,64,72,80),0))))/100)*((1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1057)</f>
        <v/>
      </c>
      <c r="L1057">
        <f>K1057*(MIN(Inputs!$B$22+((C1066=TRUE)*(F1066-Calc!F20)),(Inputs!$B$23+0+(IF(ArtifactsInput!$M$15,CHOOSE(ArtifactsInput!$N$15+1,25,30,35,40,45,50)/100*(Inputs!$B$11-Inputs!$B$11),0))))/100+(Inputs!$B$23+0+(IF(ArtifactsInput!$M$15,CHOOSE(ArtifactsInput!$N$15+1,25,30,35,40,45,50)/100*(Inputs!$B$11-Inputs!$B$11),0)))/100)/2</f>
        <v/>
      </c>
      <c r="M1057">
        <f>L1057*(1+(Inputs!$B$10+0+B1077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57">
        <f>L1057*(1-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1057*(MIN((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57">
        <f>(1-Summary!$B$11)*T1057+Summary!$B$11*V1057</f>
        <v/>
      </c>
      <c r="P1057">
        <f>IF(B1082=0,0,O1057/B1082)</f>
        <v/>
      </c>
      <c r="Q1057">
        <f>IFERROR(1/(IF(Inputs!$B$38="pvp",15,MAX(0.1,Skills!D11-IF(Skills!E11=TRUE,Inputs!$B$32,0)))*(1-IF(AND(ArtifactsInput!$M$27,Inputs!$B$4="Chapter Hunt"),CHOOSE(ArtifactsInput!$N$27+1,20,24,28,32,36,40),0)/100)),0)</f>
        <v/>
      </c>
      <c r="R1057">
        <f>IF(AND(Inputs!$B$38&lt;&gt;"pvp",Inputs!$B$43&gt;0),IF(MAX(0,Inputs!$B$43-B1079)&lt;=0,0,(INT(MAX(0,Inputs!$B$43-B1079)/(IF(Inputs!$B$38="pvp",15,MAX(0.1,Skills!D11-IF(Skills!E11=TRUE,Inputs!$B$32,0)))*(1-IF(AND(ArtifactsInput!$M$27,Inputs!$B$4="Chapter Hunt"),CHOOSE(ArtifactsInput!$N$27+1,20,24,28,32,36,40),0)/100)))+1)),0)</f>
        <v/>
      </c>
      <c r="S1057">
        <f>IFERROR(O1057/N1057,0)</f>
        <v/>
      </c>
      <c r="T1057">
        <f>IF(C1057,(H1057*N1057*IF(AND(Inputs!$B$38&lt;&gt;"pvp",Inputs!$B$43&gt;0),((Skills!G11*((R1057-1)*IF(Skills!H11&gt;0,Skills!I11/Skills!H11,1)+IF(Skills!H11&gt;0,MIN(Skills!I11,MAX(0,MAX(0,Inputs!$B$43-B1079)-((R1057-1)*(IF(Inputs!$B$38="pvp",15,MAX(0.1,Skills!D11-IF(Skills!E11=TRUE,Inputs!$B$32,0)))*(1-IF(AND(ArtifactsInput!$M$27,Inputs!$B$4="Chapter Hunt"),CHOOSE(ArtifactsInput!$N$27+1,20,24,28,32,36,40),0)/100)))))/Skills!H11,1)))/Inputs!$B$43),G1057*Q1057)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1057*(1-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1057*(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1057*(1-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1057*(MIN(100,(Inputs!$B$9+((C1062=TRUE)*(F1062-Calc!F16))+B1072+(ArtifactsInput!$M$24-ArtifactsInput!$M$24)*CHOOSE(ArtifactsInput!$N$24+1,10,12,14,16,18,20)+(IF(AND(ArtifactsInput!$M$42,((Inputs!$B$9+((C1062=TRUE)*(F1062-Calc!F16))+B1072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57">
        <f>IF(C1057,(H1057*N1057*IF(AND(Inputs!$B$38&lt;&gt;"pvp",Inputs!$B$43&gt;0),((Skills!G11*((R1057-1)*IF(Skills!H11&gt;0,Skills!I11/Skills!H11,1)+IF(Skills!H11&gt;0,MIN(Skills!I11,MAX(0,MAX(0,Inputs!$B$43-B1079)-((R1057-1)*(IF(Inputs!$B$38="pvp",15,MAX(0.1,Skills!D11-IF(Skills!E11=TRUE,Inputs!$B$32,0)))*(1-IF(AND(ArtifactsInput!$M$27,Inputs!$B$4="Chapter Hunt"),CHOOSE(ArtifactsInput!$N$27+1,20,24,28,32,36,40),0)/100)))))/Skills!H11,1)))/Inputs!$B$43),G1057*Q1057))*IF(Inputs!$B$38="pvp",1,(1+(Inputs!$B$21+Skills!Q11+(IF(ArtifactsInput!$M$33,CHOOSE(ArtifactsInput!$N$33+1,30,36,42,48,54,60),0))+(IF(AND(ArtifactsInput!$M$35,Inputs!$B$4&lt;&gt;"Chapter Hunt"),CHOOSE(ArtifactsInput!$N$35+1,15,18,21,24,27,30)*(1-EXP(-(0.2*B1074)*5)),0)+IF(AND(ArtifactsInput!$M$22,Inputs!$B$4&lt;&gt;"Chapter Hunt"),CHOOSE(ArtifactsInput!$N$22+1,10,12,14,16,18,20)*((0*(((0.15*B1074*5))^0/1)+1*(((0.15*B1074*5))^1/1)+2*(((0.15*B1074*5))^2/2)+3*(((0.15*B1074*5))^3/6)+4*(((0.15*B1074*5))^4/24)+5*(((0.15*B1074*5))^5/120))/((((0.15*B1074*5))^0/1)+(((0.15*B1074*5))^1/1)+(((0.15*B1074*5))^2/2)+(((0.15*B1074*5))^3/6)+(((0.15*B1074*5))^4/24)+(((0.15*B1074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58">
      <c r="A1058">
        <f>Skills!A12</f>
        <v/>
      </c>
      <c r="B1058">
        <f>Skills!B12</f>
        <v/>
      </c>
      <c r="C1058">
        <f>Inputs!$B$3&gt;=100</f>
        <v/>
      </c>
      <c r="D1058">
        <f>IF(Skills!C12=1,60+Inputs!$B$25+Inputs!$B$29,IF(Skills!C12=2,90+Inputs!$B$26+Inputs!$B$29,IF(Skills!C12=3,120+Inputs!$B$27+Inputs!$B$29,MAX(0,(Inputs!$B$3-100)*3)+Inputs!$B$28+Inputs!$B$29)))</f>
        <v/>
      </c>
      <c r="E1058">
        <f>INDEX(FactorTable!$B$2:$Y$301, MATCH(ROUND(MIN(300,MAX(1,D1058)),0), FactorTable!$A$2:$A$301,0), Skills!M12+1)</f>
        <v/>
      </c>
      <c r="F1058">
        <f>IF(Skills!N12=TRUE,(Skills!L12/10)*(E1058/1000),Skills!L12/10)+Skills!O12</f>
        <v/>
      </c>
      <c r="G1058" t="inlineStr"/>
      <c r="H1058" t="inlineStr"/>
      <c r="I1058" t="inlineStr">
        <is>
          <t>1</t>
        </is>
      </c>
      <c r="J1058" t="inlineStr"/>
      <c r="K1058" t="inlineStr"/>
      <c r="L1058" t="inlineStr"/>
      <c r="M1058" t="inlineStr"/>
      <c r="N1058" t="inlineStr"/>
      <c r="O1058" t="inlineStr"/>
      <c r="P1058" t="inlineStr"/>
      <c r="Q1058" t="inlineStr"/>
      <c r="R1058" t="inlineStr"/>
      <c r="S1058" t="inlineStr"/>
      <c r="T1058" t="inlineStr"/>
      <c r="V1058" t="inlineStr"/>
    </row>
    <row r="1059">
      <c r="A1059">
        <f>Skills!A13</f>
        <v/>
      </c>
      <c r="B1059">
        <f>Skills!B13</f>
        <v/>
      </c>
      <c r="C1059">
        <f>Inputs!$B$3&gt;=66</f>
        <v/>
      </c>
      <c r="D1059">
        <f>IF(Skills!C13=1,60+Inputs!$B$25+Inputs!$B$29,IF(Skills!C13=2,90+Inputs!$B$26+Inputs!$B$29,IF(Skills!C13=3,120+Inputs!$B$27+Inputs!$B$29,MAX(0,(Inputs!$B$3-100)*3)+Inputs!$B$28+Inputs!$B$29)))</f>
        <v/>
      </c>
      <c r="E1059">
        <f>INDEX(FactorTable!$B$2:$Y$301, MATCH(ROUND(MIN(300,MAX(1,D1059)),0), FactorTable!$A$2:$A$301,0), Skills!M13+1)</f>
        <v/>
      </c>
      <c r="F1059">
        <f>IF(Skills!N13=TRUE,(Skills!L13/10)*(E1059/1000),Skills!L13/10)+Skills!O13</f>
        <v/>
      </c>
      <c r="G1059">
        <f>Skills!G13*IF(Skills!H13&gt;0,Skills!I13/Skills!H13,1)</f>
        <v/>
      </c>
      <c r="H1059">
        <f>1-(1-Skills!J13/100)^Skills!K13</f>
        <v/>
      </c>
      <c r="I1059" t="inlineStr">
        <is>
          <t>1</t>
        </is>
      </c>
      <c r="J1059" t="inlineStr"/>
      <c r="K1059" t="inlineStr"/>
      <c r="L1059" t="inlineStr"/>
      <c r="M1059" t="inlineStr"/>
      <c r="N1059" t="inlineStr"/>
      <c r="O1059">
        <f>(1-Summary!$B$11)*T1059+Summary!$B$11*V1059</f>
        <v/>
      </c>
      <c r="P1059">
        <f>IF(B1082=0,0,O1059/B1082)</f>
        <v/>
      </c>
      <c r="Q1059" t="n">
        <v>0</v>
      </c>
      <c r="R1059" t="n">
        <v>0</v>
      </c>
      <c r="S1059">
        <f>IFERROR(O1059/N1059,0)</f>
        <v/>
      </c>
      <c r="T1059" t="n">
        <v>0</v>
      </c>
      <c r="V1059" t="n">
        <v>0</v>
      </c>
    </row>
    <row r="1060">
      <c r="A1060">
        <f>Skills!A14</f>
        <v/>
      </c>
      <c r="B1060">
        <f>Skills!B14</f>
        <v/>
      </c>
      <c r="C1060">
        <f>Inputs!$B$3&gt;=107</f>
        <v/>
      </c>
      <c r="D1060">
        <f>IF(Skills!C14=1,60+Inputs!$B$25+Inputs!$B$29,IF(Skills!C14=2,90+Inputs!$B$26+Inputs!$B$29,IF(Skills!C14=3,120+Inputs!$B$27+Inputs!$B$29,MAX(0,(Inputs!$B$3-100)*3)+Inputs!$B$28+Inputs!$B$29)))</f>
        <v/>
      </c>
      <c r="E1060">
        <f>INDEX(FactorTable!$B$2:$Y$301, MATCH(ROUND(MIN(300,MAX(1,D1060)),0), FactorTable!$A$2:$A$301,0), Skills!M14+1)</f>
        <v/>
      </c>
      <c r="F1060">
        <f>IF(Skills!N14=TRUE,(Skills!L14/10)*(E1060/1000),Skills!L14/10)+Skills!O14</f>
        <v/>
      </c>
      <c r="G1060">
        <f>Skills!G14*IF(Skills!H14&gt;0,Skills!I14/Skills!H14,1)</f>
        <v/>
      </c>
      <c r="H1060">
        <f>1-(1-Skills!J14/100)^Skills!K14</f>
        <v/>
      </c>
      <c r="I1060" t="inlineStr">
        <is>
          <t>1</t>
        </is>
      </c>
      <c r="J1060" t="inlineStr"/>
      <c r="K1060" t="inlineStr"/>
      <c r="L1060" t="inlineStr"/>
      <c r="M1060" t="inlineStr"/>
      <c r="N1060" t="inlineStr"/>
      <c r="O1060">
        <f>(1-Summary!$B$11)*T1060+Summary!$B$11*V1060</f>
        <v/>
      </c>
      <c r="P1060">
        <f>IF(B1082=0,0,O1060/B1082)</f>
        <v/>
      </c>
      <c r="Q1060">
        <f>IFERROR(1/(IF(Inputs!$B$38="pvp",15,MAX(0.1,Skills!D14-IF(Skills!E14=TRUE,Inputs!$B$32,0)))*(1-IF(AND(ArtifactsInput!$M$27,Inputs!$B$4="Chapter Hunt"),CHOOSE(ArtifactsInput!$N$27+1,20,24,28,32,36,40),0)/100)),0)</f>
        <v/>
      </c>
      <c r="R1060">
        <f>IF(AND(Inputs!$B$38&lt;&gt;"pvp",Inputs!$B$43&gt;0),IF(Inputs!$B$43&lt;=0,0,(INT(Inputs!$B$43/(IF(Inputs!$B$38="pvp",15,MAX(0.1,Skills!D14-IF(Skills!E14=TRUE,Inputs!$B$32,0)))*(1-IF(AND(ArtifactsInput!$M$27,Inputs!$B$4="Chapter Hunt"),CHOOSE(ArtifactsInput!$N$27+1,20,24,28,32,36,40),0)/100)))+1)),0)</f>
        <v/>
      </c>
      <c r="S1060">
        <f>IFERROR(O1060/N1060,0)</f>
        <v/>
      </c>
      <c r="T1060" t="n">
        <v>0</v>
      </c>
      <c r="V1060" t="n">
        <v>0</v>
      </c>
    </row>
    <row r="1061">
      <c r="A1061">
        <f>Skills!A15</f>
        <v/>
      </c>
      <c r="B1061">
        <f>Skills!B15</f>
        <v/>
      </c>
      <c r="C1061">
        <f>Inputs!$B$3&gt;=115</f>
        <v/>
      </c>
      <c r="D1061">
        <f>IF(Skills!C15=1,60+Inputs!$B$25+Inputs!$B$29,IF(Skills!C15=2,90+Inputs!$B$26+Inputs!$B$29,IF(Skills!C15=3,120+Inputs!$B$27+Inputs!$B$29,MAX(0,(Inputs!$B$3-100)*3)+Inputs!$B$28+Inputs!$B$29)))</f>
        <v/>
      </c>
      <c r="E1061">
        <f>INDEX(FactorTable!$B$2:$Y$301, MATCH(ROUND(MIN(300,MAX(1,D1061)),0), FactorTable!$A$2:$A$301,0), Skills!M15+1)</f>
        <v/>
      </c>
      <c r="F1061">
        <f>IF(Skills!N15=TRUE,(Skills!L15/10)*(E1061/1000),Skills!L15/10)+Skills!O15</f>
        <v/>
      </c>
      <c r="G1061">
        <f>Skills!G15*IF(Skills!H15&gt;0,Skills!I15/Skills!H15,1)</f>
        <v/>
      </c>
      <c r="H1061">
        <f>1-(1-Skills!J15/100)^Skills!K15</f>
        <v/>
      </c>
      <c r="I1061" t="inlineStr">
        <is>
          <t>1</t>
        </is>
      </c>
      <c r="J1061" t="inlineStr"/>
      <c r="K1061" t="inlineStr"/>
      <c r="L1061" t="inlineStr"/>
      <c r="M1061" t="inlineStr"/>
      <c r="N1061" t="inlineStr"/>
      <c r="O1061">
        <f>(1-Summary!$B$11)*T1061+Summary!$B$11*V1061</f>
        <v/>
      </c>
      <c r="P1061">
        <f>IF(B1082=0,0,O1061/B1082)</f>
        <v/>
      </c>
      <c r="Q1061">
        <f>IFERROR(1/(IF(Inputs!$B$38="pvp",15,MAX(0.1,Skills!D15-IF(Skills!E15=TRUE,Inputs!$B$32,0)))*(1-IF(AND(ArtifactsInput!$M$27,Inputs!$B$4="Chapter Hunt"),CHOOSE(ArtifactsInput!$N$27+1,20,24,28,32,36,40),0)/100)),0)</f>
        <v/>
      </c>
      <c r="R1061">
        <f>IF(AND(Inputs!$B$38&lt;&gt;"pvp",Inputs!$B$43&gt;0),IF(Inputs!$B$43&lt;=0,0,(INT(Inputs!$B$43/(IF(Inputs!$B$38="pvp",15,MAX(0.1,Skills!D15-IF(Skills!E15=TRUE,Inputs!$B$32,0)))*(1-IF(AND(ArtifactsInput!$M$27,Inputs!$B$4="Chapter Hunt"),CHOOSE(ArtifactsInput!$N$27+1,20,24,28,32,36,40),0)/100)))+1)),0)</f>
        <v/>
      </c>
      <c r="S1061">
        <f>IFERROR(O1061/N1061,0)</f>
        <v/>
      </c>
      <c r="T1061" t="n">
        <v>0</v>
      </c>
      <c r="V1061" t="n">
        <v>0</v>
      </c>
    </row>
    <row r="1062">
      <c r="A1062">
        <f>Skills!A16</f>
        <v/>
      </c>
      <c r="B1062">
        <f>Skills!B16</f>
        <v/>
      </c>
      <c r="C1062">
        <f>Inputs!$B$3&gt;=15</f>
        <v/>
      </c>
      <c r="D1062">
        <f>IF(Skills!C16=1,60+Inputs!$B$25+Inputs!$B$29,IF(Skills!C16=2,90+Inputs!$B$26+Inputs!$B$29,IF(Skills!C16=3,120+Inputs!$B$27+Inputs!$B$29,MAX(0,(Inputs!$B$3-100)*3)+Inputs!$B$28+Inputs!$B$29)))</f>
        <v/>
      </c>
      <c r="E1062">
        <f>INDEX(FactorTable!$B$2:$Y$301, MATCH(ROUND(MIN(300,MAX(1,D1062)),0), FactorTable!$A$2:$A$301,0), Skills!M16+1)</f>
        <v/>
      </c>
      <c r="F1062">
        <f>IF(Skills!N16=TRUE,(Skills!L16/10)*(E1062/1000),Skills!L16/10)+Skills!O16</f>
        <v/>
      </c>
      <c r="G1062">
        <f>Skills!G16*IF(Skills!H16&gt;0,Skills!I16/Skills!H16,1)</f>
        <v/>
      </c>
      <c r="H1062">
        <f>1-(1-Skills!J16/100)^Skills!K16</f>
        <v/>
      </c>
      <c r="I1062" t="inlineStr">
        <is>
          <t>1</t>
        </is>
      </c>
      <c r="J1062" t="inlineStr"/>
      <c r="K1062" t="inlineStr"/>
      <c r="L1062" t="inlineStr"/>
      <c r="M1062" t="inlineStr"/>
      <c r="N1062" t="inlineStr"/>
      <c r="O1062">
        <f>(1-Summary!$B$11)*T1062+Summary!$B$11*V1062</f>
        <v/>
      </c>
      <c r="P1062">
        <f>IF(B1082=0,0,O1062/B1082)</f>
        <v/>
      </c>
      <c r="Q1062" t="n">
        <v>0</v>
      </c>
      <c r="R1062" t="n">
        <v>0</v>
      </c>
      <c r="S1062">
        <f>IFERROR(O1062/N1062,0)</f>
        <v/>
      </c>
      <c r="T1062" t="n">
        <v>0</v>
      </c>
      <c r="V1062" t="n">
        <v>0</v>
      </c>
    </row>
    <row r="1063">
      <c r="A1063">
        <f>Skills!A17</f>
        <v/>
      </c>
      <c r="B1063">
        <f>Skills!B17</f>
        <v/>
      </c>
      <c r="C1063">
        <f>Inputs!$B$3&gt;=10</f>
        <v/>
      </c>
      <c r="D1063">
        <f>IF(Skills!C17=1,60+Inputs!$B$25+Inputs!$B$29,IF(Skills!C17=2,90+Inputs!$B$26+Inputs!$B$29,IF(Skills!C17=3,120+Inputs!$B$27+Inputs!$B$29,MAX(0,(Inputs!$B$3-100)*3)+Inputs!$B$28+Inputs!$B$29)))</f>
        <v/>
      </c>
      <c r="E1063">
        <f>INDEX(FactorTable!$B$2:$Y$301, MATCH(ROUND(MIN(300,MAX(1,D1063)),0), FactorTable!$A$2:$A$301,0), Skills!M17+1)</f>
        <v/>
      </c>
      <c r="F1063">
        <f>IF(Skills!N17=TRUE,(Skills!L17/10)*(E1063/1000),Skills!L17/10)+Skills!O17</f>
        <v/>
      </c>
      <c r="G1063">
        <f>Skills!G17*IF(Skills!H17&gt;0,Skills!I17/Skills!H17,1)</f>
        <v/>
      </c>
      <c r="H1063">
        <f>1-(1-Skills!J17/100)^Skills!K17</f>
        <v/>
      </c>
      <c r="I1063" t="inlineStr">
        <is>
          <t>1</t>
        </is>
      </c>
      <c r="J1063" t="inlineStr"/>
      <c r="K1063" t="inlineStr"/>
      <c r="L1063" t="inlineStr"/>
      <c r="M1063" t="inlineStr"/>
      <c r="N1063" t="inlineStr"/>
      <c r="O1063">
        <f>(1-Summary!$B$11)*T1063+Summary!$B$11*V1063</f>
        <v/>
      </c>
      <c r="P1063">
        <f>IF(B1082=0,0,O1063/B1082)</f>
        <v/>
      </c>
      <c r="Q1063" t="n">
        <v>0</v>
      </c>
      <c r="R1063" t="n">
        <v>0</v>
      </c>
      <c r="S1063">
        <f>IFERROR(O1063/N1063,0)</f>
        <v/>
      </c>
      <c r="T1063" t="n">
        <v>0</v>
      </c>
      <c r="V1063" t="n">
        <v>0</v>
      </c>
    </row>
    <row r="1064">
      <c r="A1064">
        <f>Skills!A18</f>
        <v/>
      </c>
      <c r="B1064">
        <f>Skills!B18</f>
        <v/>
      </c>
      <c r="C1064">
        <f>Inputs!$B$3&gt;=33</f>
        <v/>
      </c>
      <c r="D1064">
        <f>IF(Skills!C18=1,60+Inputs!$B$25+Inputs!$B$29,IF(Skills!C18=2,90+Inputs!$B$26+Inputs!$B$29,IF(Skills!C18=3,120+Inputs!$B$27+Inputs!$B$29,MAX(0,(Inputs!$B$3-100)*3)+Inputs!$B$28+Inputs!$B$29)))</f>
        <v/>
      </c>
      <c r="E1064">
        <f>INDEX(FactorTable!$B$2:$Y$301, MATCH(ROUND(MIN(300,MAX(1,D1064)),0), FactorTable!$A$2:$A$301,0), Skills!M18+1)</f>
        <v/>
      </c>
      <c r="F1064">
        <f>IF(Skills!N18=TRUE,(Skills!L18/10)*(E1064/1000),Skills!L18/10)+Skills!O18</f>
        <v/>
      </c>
      <c r="G1064">
        <f>Skills!G18*IF(Skills!H18&gt;0,Skills!I18/Skills!H18,1)</f>
        <v/>
      </c>
      <c r="H1064">
        <f>1-(1-Skills!J18/100)^Skills!K18</f>
        <v/>
      </c>
      <c r="I1064" t="inlineStr">
        <is>
          <t>1</t>
        </is>
      </c>
      <c r="J1064" t="inlineStr"/>
      <c r="K1064" t="inlineStr"/>
      <c r="L1064" t="inlineStr"/>
      <c r="M1064" t="inlineStr"/>
      <c r="N1064" t="inlineStr"/>
      <c r="O1064">
        <f>(1-Summary!$B$11)*T1064+Summary!$B$11*V1064</f>
        <v/>
      </c>
      <c r="P1064">
        <f>IF(B1082=0,0,O1064/B1082)</f>
        <v/>
      </c>
      <c r="Q1064" t="n">
        <v>0</v>
      </c>
      <c r="R1064" t="n">
        <v>0</v>
      </c>
      <c r="S1064">
        <f>IFERROR(O1064/N1064,0)</f>
        <v/>
      </c>
      <c r="T1064" t="n">
        <v>0</v>
      </c>
      <c r="V1064" t="n">
        <v>0</v>
      </c>
    </row>
    <row r="1065">
      <c r="A1065">
        <f>Skills!A19</f>
        <v/>
      </c>
      <c r="B1065">
        <f>Skills!B19</f>
        <v/>
      </c>
      <c r="C1065">
        <f>Inputs!$B$3&gt;=40</f>
        <v/>
      </c>
      <c r="D1065">
        <f>IF(Skills!C19=1,60+Inputs!$B$25+Inputs!$B$29,IF(Skills!C19=2,90+Inputs!$B$26+Inputs!$B$29,IF(Skills!C19=3,120+Inputs!$B$27+Inputs!$B$29,MAX(0,(Inputs!$B$3-100)*3)+Inputs!$B$28+Inputs!$B$29)))</f>
        <v/>
      </c>
      <c r="E1065">
        <f>INDEX(FactorTable!$B$2:$Y$301, MATCH(ROUND(MIN(300,MAX(1,D1065)),0), FactorTable!$A$2:$A$301,0), Skills!M19+1)</f>
        <v/>
      </c>
      <c r="F1065">
        <f>IF(Skills!N19=TRUE,(Skills!L19/10)*(E1065/1000),Skills!L19/10)+Skills!O19</f>
        <v/>
      </c>
      <c r="G1065">
        <f>Skills!G19*IF(Skills!H19&gt;0,Skills!I19/Skills!H19,1)</f>
        <v/>
      </c>
      <c r="H1065">
        <f>1-(1-Skills!J19/100)^Skills!K19</f>
        <v/>
      </c>
      <c r="I1065" t="inlineStr">
        <is>
          <t>1</t>
        </is>
      </c>
      <c r="J1065" t="inlineStr"/>
      <c r="K1065" t="inlineStr"/>
      <c r="L1065" t="inlineStr"/>
      <c r="M1065" t="inlineStr"/>
      <c r="N1065" t="inlineStr"/>
      <c r="O1065">
        <f>(1-Summary!$B$11)*T1065+Summary!$B$11*V1065</f>
        <v/>
      </c>
      <c r="P1065">
        <f>IF(B1082=0,0,O1065/B1082)</f>
        <v/>
      </c>
      <c r="Q1065" t="n">
        <v>0</v>
      </c>
      <c r="R1065" t="n">
        <v>0</v>
      </c>
      <c r="S1065">
        <f>IFERROR(O1065/N1065,0)</f>
        <v/>
      </c>
      <c r="T1065" t="n">
        <v>0</v>
      </c>
      <c r="V1065" t="n">
        <v>0</v>
      </c>
    </row>
    <row r="1066">
      <c r="A1066">
        <f>Skills!A20</f>
        <v/>
      </c>
      <c r="B1066">
        <f>Skills!B20</f>
        <v/>
      </c>
      <c r="C1066">
        <f>Inputs!$B$3&gt;=43</f>
        <v/>
      </c>
      <c r="D1066">
        <f>IF(Skills!C20=1,60+Inputs!$B$25+Inputs!$B$29,IF(Skills!C20=2,90+Inputs!$B$26+Inputs!$B$29,IF(Skills!C20=3,120+Inputs!$B$27+Inputs!$B$29,MAX(0,(Inputs!$B$3-100)*3)+Inputs!$B$28+Inputs!$B$29)))</f>
        <v/>
      </c>
      <c r="E1066">
        <f>INDEX(FactorTable!$B$2:$Y$301, MATCH(ROUND(MIN(300,MAX(1,D1066)),0), FactorTable!$A$2:$A$301,0), Skills!M20+1)</f>
        <v/>
      </c>
      <c r="F1066">
        <f>IF(Skills!N20=TRUE,(Skills!L20/10)*(E1066/1000),Skills!L20/10)+Skills!O20</f>
        <v/>
      </c>
      <c r="G1066">
        <f>Skills!G20*IF(Skills!H20&gt;0,Skills!I20/Skills!H20,1)</f>
        <v/>
      </c>
      <c r="H1066">
        <f>1-(1-Skills!J20/100)^Skills!K20</f>
        <v/>
      </c>
      <c r="I1066" t="inlineStr">
        <is>
          <t>1</t>
        </is>
      </c>
      <c r="J1066" t="inlineStr"/>
      <c r="K1066" t="inlineStr"/>
      <c r="L1066" t="inlineStr"/>
      <c r="M1066" t="inlineStr"/>
      <c r="N1066" t="inlineStr"/>
      <c r="O1066">
        <f>(1-Summary!$B$11)*T1066+Summary!$B$11*V1066</f>
        <v/>
      </c>
      <c r="P1066">
        <f>IF(B1082=0,0,O1066/B1082)</f>
        <v/>
      </c>
      <c r="Q1066" t="n">
        <v>0</v>
      </c>
      <c r="R1066" t="n">
        <v>0</v>
      </c>
      <c r="S1066">
        <f>IFERROR(O1066/N1066,0)</f>
        <v/>
      </c>
      <c r="T1066" t="n">
        <v>0</v>
      </c>
      <c r="V1066" t="n">
        <v>0</v>
      </c>
    </row>
    <row r="1067">
      <c r="A1067">
        <f>Skills!A21</f>
        <v/>
      </c>
      <c r="B1067">
        <f>Skills!B21</f>
        <v/>
      </c>
      <c r="C1067">
        <f>Inputs!$B$3&gt;=38</f>
        <v/>
      </c>
      <c r="D1067">
        <f>IF(Skills!C21=1,60+Inputs!$B$25+Inputs!$B$29,IF(Skills!C21=2,90+Inputs!$B$26+Inputs!$B$29,IF(Skills!C21=3,120+Inputs!$B$27+Inputs!$B$29,MAX(0,(Inputs!$B$3-100)*3)+Inputs!$B$28+Inputs!$B$29)))</f>
        <v/>
      </c>
      <c r="E1067">
        <f>INDEX(FactorTable!$B$2:$Y$301, MATCH(ROUND(MIN(300,MAX(1,D1067)),0), FactorTable!$A$2:$A$301,0), Skills!M21+1)</f>
        <v/>
      </c>
      <c r="F1067">
        <f>IF(Skills!N21=TRUE,(Skills!L21/10)*(E1067/1000),Skills!L21/10)+Skills!O21</f>
        <v/>
      </c>
      <c r="G1067">
        <f>Skills!G21*IF(Skills!H21&gt;0,Skills!I21/Skills!H21,1)</f>
        <v/>
      </c>
      <c r="H1067">
        <f>1-(1-Skills!J21/100)^Skills!K21</f>
        <v/>
      </c>
      <c r="I1067" t="inlineStr">
        <is>
          <t>1</t>
        </is>
      </c>
      <c r="J1067" t="inlineStr"/>
      <c r="K1067" t="inlineStr"/>
      <c r="L1067" t="inlineStr"/>
      <c r="M1067" t="inlineStr"/>
      <c r="N1067" t="inlineStr"/>
      <c r="O1067">
        <f>(1-Summary!$B$11)*T1067+Summary!$B$11*V1067</f>
        <v/>
      </c>
      <c r="P1067">
        <f>IF(B1082=0,0,O1067/B1082)</f>
        <v/>
      </c>
      <c r="Q1067" t="n">
        <v>0</v>
      </c>
      <c r="R1067" t="n">
        <v>0</v>
      </c>
      <c r="S1067">
        <f>IFERROR(O1067/N1067,0)</f>
        <v/>
      </c>
      <c r="T1067" t="n">
        <v>0</v>
      </c>
      <c r="V1067" t="n">
        <v>0</v>
      </c>
    </row>
    <row r="1068">
      <c r="A1068">
        <f>Skills!A22</f>
        <v/>
      </c>
      <c r="B1068">
        <f>Skills!B22</f>
        <v/>
      </c>
      <c r="C1068">
        <f>Inputs!$B$3&gt;=75</f>
        <v/>
      </c>
      <c r="D1068">
        <f>IF(Skills!C22=1,60+Inputs!$B$25+Inputs!$B$29,IF(Skills!C22=2,90+Inputs!$B$26+Inputs!$B$29,IF(Skills!C22=3,120+Inputs!$B$27+Inputs!$B$29,MAX(0,(Inputs!$B$3-100)*3)+Inputs!$B$28+Inputs!$B$29)))</f>
        <v/>
      </c>
      <c r="E1068">
        <f>INDEX(FactorTable!$B$2:$Y$301, MATCH(ROUND(MIN(300,MAX(1,D1068)),0), FactorTable!$A$2:$A$301,0), Skills!M22+1)</f>
        <v/>
      </c>
      <c r="F1068">
        <f>IF(Skills!N22=TRUE,(Skills!L22/10)*(E1068/1000),Skills!L22/10)+Skills!O22</f>
        <v/>
      </c>
      <c r="G1068">
        <f>Skills!G22*IF(Skills!H22&gt;0,Skills!I22/Skills!H22,1)</f>
        <v/>
      </c>
      <c r="H1068">
        <f>1-(1-Skills!J22/100)^Skills!K22</f>
        <v/>
      </c>
      <c r="I1068" t="inlineStr">
        <is>
          <t>1</t>
        </is>
      </c>
      <c r="J1068" t="inlineStr"/>
      <c r="K1068" t="inlineStr"/>
      <c r="L1068" t="inlineStr"/>
      <c r="M1068" t="inlineStr"/>
      <c r="N1068" t="inlineStr"/>
      <c r="O1068">
        <f>(1-Summary!$B$11)*T1068+Summary!$B$11*V1068</f>
        <v/>
      </c>
      <c r="P1068">
        <f>IF(B1082=0,0,O1068/B1082)</f>
        <v/>
      </c>
      <c r="Q1068" t="n">
        <v>0</v>
      </c>
      <c r="R1068" t="n">
        <v>0</v>
      </c>
      <c r="S1068">
        <f>IFERROR(O1068/N1068,0)</f>
        <v/>
      </c>
      <c r="T1068" t="n">
        <v>0</v>
      </c>
      <c r="V1068" t="n">
        <v>0</v>
      </c>
    </row>
    <row r="1069">
      <c r="A1069">
        <f>Skills!A23</f>
        <v/>
      </c>
      <c r="B1069">
        <f>Skills!B23</f>
        <v/>
      </c>
      <c r="C1069">
        <f>TRUE</f>
        <v/>
      </c>
      <c r="D1069">
        <f>IF(Skills!C23=1,60+Inputs!$B$25+Inputs!$B$29,IF(Skills!C23=2,90+Inputs!$B$26+Inputs!$B$29,IF(Skills!C23=3,120+Inputs!$B$27+Inputs!$B$29,MAX(0,(Inputs!$B$3-100)*3)+Inputs!$B$28+Inputs!$B$29)))</f>
        <v/>
      </c>
      <c r="E1069">
        <f>INDEX(FactorTable!$B$2:$Y$301, MATCH(ROUND(MIN(300,MAX(1,D1069)),0), FactorTable!$A$2:$A$301,0), Skills!M23+1)</f>
        <v/>
      </c>
      <c r="F1069">
        <f>IF(Skills!N23=TRUE,(Skills!L23/10)*(E1069/1000),Skills!L23/10)+Skills!O23</f>
        <v/>
      </c>
      <c r="G1069">
        <f>Skills!G23*IF(Skills!H23&gt;0,Skills!I23/Skills!H23,1)</f>
        <v/>
      </c>
      <c r="H1069">
        <f>1-(1-Skills!J23/100)^Skills!K23</f>
        <v/>
      </c>
      <c r="I1069" t="inlineStr">
        <is>
          <t>1</t>
        </is>
      </c>
      <c r="J1069" t="inlineStr"/>
      <c r="K1069" t="inlineStr"/>
      <c r="L1069" t="inlineStr"/>
      <c r="M1069" t="inlineStr"/>
      <c r="N1069" t="inlineStr"/>
      <c r="O1069">
        <f>(1-Summary!$B$11)*T1069+Summary!$B$11*V1069</f>
        <v/>
      </c>
      <c r="P1069">
        <f>IF(B1082=0,0,O1069/B1082)</f>
        <v/>
      </c>
      <c r="Q1069">
        <f>IFERROR(1/(IF(Inputs!$B$38="pvp",15,MAX(0.1,Skills!D23-IF(Skills!E23=TRUE,Inputs!$B$32,0)))*(1-IF(AND(ArtifactsInput!$M$27,Inputs!$B$4="Chapter Hunt"),CHOOSE(ArtifactsInput!$N$27+1,20,24,28,32,36,40),0)/100)),0)</f>
        <v/>
      </c>
      <c r="R1069">
        <f>IF(AND(Inputs!$B$38&lt;&gt;"pvp",Inputs!$B$43&gt;0),IF(Inputs!$B$43&lt;=0,0,(INT(Inputs!$B$43/(IF(Inputs!$B$38="pvp",15,MAX(0.1,Skills!D23-IF(Skills!E23=TRUE,Inputs!$B$32,0)))*(1-IF(AND(ArtifactsInput!$M$27,Inputs!$B$4="Chapter Hunt"),CHOOSE(ArtifactsInput!$N$27+1,20,24,28,32,36,40),0)/100)))+1)),0)</f>
        <v/>
      </c>
      <c r="S1069">
        <f>IFERROR(O1069/N1069,0)</f>
        <v/>
      </c>
      <c r="T1069" t="n">
        <v>0</v>
      </c>
      <c r="V1069" t="n">
        <v>0</v>
      </c>
    </row>
    <row r="1071">
      <c r="A1071" t="inlineStr">
        <is>
          <t>Attack% Bucket Multiplier</t>
        </is>
      </c>
      <c r="B1071">
        <f>(1+(((C1059=TRUE)*F1059*5/7)+((C1065=TRUE)*(F1065-Calc!F19))+(IF(ArtifactsInput!$M$21,CHOOSE(ArtifactsInput!$N$21+1,25,30,35,40,45,50)*(IF(OR(Inputs!$B$4="Chapter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72">
      <c r="A1072" t="inlineStr">
        <is>
          <t>Global Crit Rate Bonus %</t>
        </is>
      </c>
      <c r="B1072" t="n">
        <v>0</v>
      </c>
    </row>
    <row r="1073">
      <c r="A1073" t="inlineStr">
        <is>
          <t>Attack Speed Buff Bonus % (Nimble Feet, duty-cycle averaged)</t>
        </is>
      </c>
      <c r="B1073">
        <f>((C1069=TRUE)*F1069*IF(AND(Inputs!$B$38&lt;&gt;"pvp",Inputs!$B$43&gt;0),(((R1069-1)*(Skills!T23*(1+(Inputs!$B$34+1)/100))+MIN((Skills!T23*(1+(Inputs!$B$34+1)/100)),MAX(0,Inputs!$B$43-((R1069-1)*Skills!D23))))/Inputs!$B$43),IF(Inputs!$B$38="pvp",MIN((Skills!T23*(1+(Inputs!$B$34+1)/100)),15)/15,(Skills!T23*(1+(Inputs!$B$34+1)/100))/Skills!D23)))</f>
        <v/>
      </c>
    </row>
    <row r="1074">
      <c r="A1074" t="inlineStr">
        <is>
          <t>Actions Per Second</t>
        </is>
      </c>
      <c r="B1074">
        <f>1+MIN(150,150*(1-(1-(Inputs!$B$11+((C1063=TRUE)*(F1063-Calc!F17))+((C1064=TRUE)*(F1064-Calc!F18)))/150)*(1-B1073/150)))/100</f>
        <v/>
      </c>
    </row>
    <row r="1075">
      <c r="A1075" t="inlineStr">
        <is>
          <t>Skill + Buff Cast Rate</t>
        </is>
      </c>
      <c r="B1075">
        <f>IF(AND(Inputs!$B$38&lt;&gt;"pvp",Inputs!$B$43&gt;0),SUMPRODUCT((Skills!E2:E23=TRUE)*(C1048:C1069=TRUE)*R1048:R1069*Skills!F2:F23)/Inputs!$B$43,SUMPRODUCT((Skills!E2:E23=TRUE)*(C1048:C1069=TRUE)*Q1048:Q1069*Skills!F2:F23))</f>
        <v/>
      </c>
    </row>
    <row r="1076">
      <c r="A1076" t="inlineStr">
        <is>
          <t>Hook Bomber Casts Per Second</t>
        </is>
      </c>
      <c r="B1076">
        <f>MAX(0,B1074-B1075)</f>
        <v/>
      </c>
    </row>
    <row r="1077">
      <c r="A1077" t="inlineStr">
        <is>
          <t>Global Critical Damage Bonus % (unused)</t>
        </is>
      </c>
      <c r="B1077" t="n">
        <v>0</v>
      </c>
    </row>
    <row r="1078">
      <c r="A1078" t="inlineStr">
        <is>
          <t>Global Final Damage Bonus % (Serpent Scale + Crossbones + Time Leap + Speed Infusion)</t>
        </is>
      </c>
      <c r="B1078">
        <f>((C1051=TRUE)*F1051*((10+IF(Inputs!$B$3&gt;=94,5,0))/((10+IF(Inputs!$B$3&gt;=94,5,0))+5/(B1076*(1+IF(Inputs!$B$3&gt;=104,1,0))))))+((C1060=TRUE)*F1060*IF(AND(Inputs!$B$38&lt;&gt;"pvp",Inputs!$B$43&gt;0),(((R1060-1)*(Skills!T14*(1+(Inputs!$B$34+1)/100))+MIN((Skills!T14*(1+(Inputs!$B$34+1)/100)),MAX(0,Inputs!$B$43-((R1060-1)*Skills!D14))))/Inputs!$B$43),IF(Inputs!$B$38="pvp",MIN((Skills!T14*(1+(Inputs!$B$34+1)/100)),15)/15,(Skills!T14*(1+(Inputs!$B$34+1)/100))/Skills!D14)))+((C1061=TRUE)*F1061*IF(AND(Inputs!$B$38&lt;&gt;"pvp",Inputs!$B$43&gt;0),(((R1061-1)*(Skills!T15*(1+(Inputs!$B$34+1)/100))+MIN((Skills!T15*(1+(Inputs!$B$34+1)/100)),MAX(0,Inputs!$B$43-((R1061-1)*Skills!D15))))/Inputs!$B$43),IF(Inputs!$B$38="pvp",MIN((Skills!T15*(1+(Inputs!$B$34+1)/100)),15)/15,(Skills!T15*(1+(Inputs!$B$34+1)/100))/Skills!D15)))+((Inputs!$B$3&gt;=110)*20*(B1074-1)*IF(Inputs!$B$38="pvp",MIN((15*(1+(Inputs!$B$34+1)/100)),15)/15,(15*(1+(Inputs!$B$34+1)/100))/35))</f>
        <v/>
      </c>
    </row>
    <row r="1079">
      <c r="A1079" t="inlineStr">
        <is>
          <t>Buff-Casting Startup Delay (s, fixed-duration only)</t>
        </is>
      </c>
      <c r="B1079">
        <f>IF(AND(Inputs!$B$38&lt;&gt;"pvp",Inputs!$B$43&gt;0),SUMPRODUCT((Skills!T2:T23&gt;0)*(Skills!E2:E23=TRUE)*(C1048:C1069=TRUE))/B1074,0)</f>
        <v/>
      </c>
    </row>
    <row r="1080">
      <c r="A1080" t="inlineStr">
        <is>
          <t>Boss-Only Total DPS (this block's swept value)</t>
        </is>
      </c>
      <c r="B1080">
        <f>SUM(T1048:T1069)</f>
        <v/>
      </c>
    </row>
    <row r="1081">
      <c r="A1081" t="inlineStr">
        <is>
          <t>Normal-Only Total DPS (this block's swept value)</t>
        </is>
      </c>
      <c r="B1081">
        <f>SUM(V1048:V1069)</f>
        <v/>
      </c>
    </row>
    <row r="1082">
      <c r="A1082" s="6" t="inlineStr">
        <is>
          <t>TOTAL DPS</t>
        </is>
      </c>
      <c r="B1082" s="6">
        <f>SUM(O1048:O1069)</f>
        <v/>
      </c>
    </row>
    <row r="1085">
      <c r="A1085" s="6" t="inlineStr">
        <is>
          <t>Stat: Charm of the Undead (Equip)</t>
        </is>
      </c>
    </row>
    <row r="1086">
      <c r="A1086" s="5" t="inlineStr">
        <is>
          <t>Key</t>
        </is>
      </c>
      <c r="B1086" s="5" t="inlineStr">
        <is>
          <t>Name</t>
        </is>
      </c>
      <c r="C1086" s="5" t="inlineStr">
        <is>
          <t>Unlocked</t>
        </is>
      </c>
      <c r="D1086" s="5" t="inlineStr">
        <is>
          <t>InputLevel</t>
        </is>
      </c>
      <c r="E1086" s="5" t="inlineStr">
        <is>
          <t>Factor</t>
        </is>
      </c>
      <c r="F1086" s="5" t="inlineStr">
        <is>
          <t>CoefficientPercent</t>
        </is>
      </c>
      <c r="G1086" s="5" t="inlineStr">
        <is>
          <t>EffectiveHits</t>
        </is>
      </c>
      <c r="H1086" s="5" t="inlineStr">
        <is>
          <t>ProcProbability</t>
        </is>
      </c>
      <c r="I1086" s="5" t="inlineStr">
        <is>
          <t>MapleHeroMultiplier</t>
        </is>
      </c>
      <c r="J1086" s="5" t="inlineStr">
        <is>
          <t>BaseDamage</t>
        </is>
      </c>
      <c r="K1086" s="5" t="inlineStr">
        <is>
          <t>BaseHitDamage</t>
        </is>
      </c>
      <c r="L1086" s="5" t="inlineStr">
        <is>
          <t>NonCritAvg</t>
        </is>
      </c>
      <c r="M1086" s="5" t="inlineStr">
        <is>
          <t>CritAvg</t>
        </is>
      </c>
      <c r="N1086" s="5" t="inlineStr">
        <is>
          <t>ExpectedDamage(perHit)</t>
        </is>
      </c>
      <c r="O1086" s="5" t="inlineStr">
        <is>
          <t>DPS</t>
        </is>
      </c>
      <c r="P1086" s="5" t="inlineStr">
        <is>
          <t>% of Total</t>
        </is>
      </c>
      <c r="Q1086" s="5" t="inlineStr">
        <is>
          <t>InvCooldown</t>
        </is>
      </c>
      <c r="R1086" s="5" t="inlineStr">
        <is>
          <t>CastsInFight</t>
        </is>
      </c>
      <c r="S1086" s="5" t="inlineStr">
        <is>
          <t>HitRate(perSec)</t>
        </is>
      </c>
      <c r="U1086" t="inlineStr">
        <is>
          <t>helpers</t>
        </is>
      </c>
    </row>
    <row r="1087">
      <c r="A1087">
        <f>Skills!A2</f>
        <v/>
      </c>
      <c r="B1087">
        <f>Skills!B2</f>
        <v/>
      </c>
      <c r="C1087">
        <f>Inputs!$B$3&gt;=100</f>
        <v/>
      </c>
      <c r="D1087" t="inlineStr"/>
      <c r="E1087" t="inlineStr"/>
      <c r="F1087">
        <f>U1089+Skills!O2</f>
        <v/>
      </c>
      <c r="G1087">
        <f>Skills!G2*IF(Skills!H2&gt;0,Skills!I2/Skills!H2,1)</f>
        <v/>
      </c>
      <c r="H1087">
        <f>1-(1-Skills!J2/100)^Skills!K2</f>
        <v/>
      </c>
      <c r="I1087" t="inlineStr">
        <is>
          <t>1</t>
        </is>
      </c>
      <c r="J1087">
        <f>((Inputs!$B$6*(1+Inputs!$B$7/100))+(((Inputs!$B$12*(1+Inputs!$B$13/100))-(Inputs!$B$12*(1+Inputs!$B$13/100)))+0.25*(Inputs!$B$14-Inputs!$B$14))*(1+Inputs!$B$7/100))*(F1087/100)</f>
        <v/>
      </c>
      <c r="K1087">
        <f>J1087*(1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1087)</f>
        <v/>
      </c>
      <c r="L1087">
        <f>K1087*(MIN(Inputs!$B$22+((C1105=TRUE)*(F1105-Calc!F20)),(Inputs!$B$23+0+(IF(ArtifactsInput!$M$15,CHOOSE(ArtifactsInput!$N$15+1,25,30,35,40,45,50)/100*(Inputs!$B$11-Inputs!$B$11),0))))/100+(Inputs!$B$23+0+(IF(ArtifactsInput!$M$15,CHOOSE(ArtifactsInput!$N$15+1,25,30,35,40,45,50)/100*(Inputs!$B$11-Inputs!$B$11),0)))/100)/2</f>
        <v/>
      </c>
      <c r="M1087">
        <f>L1087*(1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7">
        <f>L1087*(1-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1087*(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7">
        <f>(1-Summary!$B$11)*T1087+Summary!$B$11*V1087</f>
        <v/>
      </c>
      <c r="P1087">
        <f>IF(B1121=0,0,O1087/B1121)</f>
        <v/>
      </c>
      <c r="Q1087" t="n">
        <v>0</v>
      </c>
      <c r="R1087" t="n">
        <v>0</v>
      </c>
      <c r="S1087">
        <f>IFERROR(O1087/N1087,0)</f>
        <v/>
      </c>
      <c r="T1087">
        <f>IF(C1087,(Skills!G2*N1087*B1115)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1087*(1-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1087*(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1087*(1-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1087*(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7">
        <f>MAX(0,(Inputs!$B$3-100)*3)+Inputs!$B$28+Inputs!$B$29</f>
        <v/>
      </c>
      <c r="V1087">
        <f>IF(C1087,(Skills!G2*N1087*B1115)*IF(Inputs!$B$38="pvp",1,(1+(Inputs!$B$21+Skills!Q2+(IF(ArtifactsInput!$M$33,CHOOSE(ArtifactsInput!$N$33+1,30,36,42,48,54,60),0))+(IF(AND(ArtifactsInput!$M$35,Inputs!$B$4&lt;&gt;"Chapter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8">
      <c r="A1088">
        <f>Skills!A3</f>
        <v/>
      </c>
      <c r="B1088">
        <f>Skills!B3</f>
        <v/>
      </c>
      <c r="C1088">
        <f>Inputs!$B$3&gt;=35</f>
        <v/>
      </c>
      <c r="D1088">
        <f>IF(Skills!C3=1,60+Inputs!$B$25+Inputs!$B$29,IF(Skills!C3=2,90+Inputs!$B$26+Inputs!$B$29,IF(Skills!C3=3,120+Inputs!$B$27+Inputs!$B$29,MAX(0,(Inputs!$B$3-100)*3)+Inputs!$B$28+Inputs!$B$29)))</f>
        <v/>
      </c>
      <c r="E1088">
        <f>INDEX(FactorTable!$B$2:$Y$301, MATCH(ROUND(MIN(300,MAX(1,D1088)),0), FactorTable!$A$2:$A$301,0), Skills!M3+1)</f>
        <v/>
      </c>
      <c r="F1088">
        <f>IF(Skills!N3=TRUE,(Skills!L3/10)*(E1088/1000),Skills!L3/10)+Skills!O3</f>
        <v/>
      </c>
      <c r="G1088">
        <f>Skills!G3*IF(Skills!H3&gt;0,Skills!I3/Skills!H3,1)</f>
        <v/>
      </c>
      <c r="H1088">
        <f>1-(1-Skills!J3/100)^Skills!K3</f>
        <v/>
      </c>
      <c r="I1088" t="inlineStr">
        <is>
          <t>1</t>
        </is>
      </c>
      <c r="J1088">
        <f>((Inputs!$B$6*(1+Inputs!$B$7/100))+(((Inputs!$B$12*(1+Inputs!$B$13/100))-(Inputs!$B$12*(1+Inputs!$B$13/100)))+0.25*(Inputs!$B$14-Inputs!$B$14))*(1+Inputs!$B$7/100))*(F1088/100)</f>
        <v/>
      </c>
      <c r="K1088">
        <f>J1088*(1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1088)</f>
        <v/>
      </c>
      <c r="L1088">
        <f>K1088*(MIN(Inputs!$B$22+((C1105=TRUE)*(F1105-Calc!F20)),(Inputs!$B$23+0+(IF(ArtifactsInput!$M$15,CHOOSE(ArtifactsInput!$N$15+1,25,30,35,40,45,50)/100*(Inputs!$B$11-Inputs!$B$11),0))))/100+(Inputs!$B$23+0+(IF(ArtifactsInput!$M$15,CHOOSE(ArtifactsInput!$N$15+1,25,30,35,40,45,50)/100*(Inputs!$B$11-Inputs!$B$11),0)))/100)/2</f>
        <v/>
      </c>
      <c r="M1088">
        <f>L1088*(1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8">
        <f>L1088*(1-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1088*(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8">
        <f>(1-Summary!$B$11)*T1088+Summary!$B$11*V1088</f>
        <v/>
      </c>
      <c r="P1088">
        <f>IF(B1121=0,0,O1088/B1121)</f>
        <v/>
      </c>
      <c r="Q1088" t="n">
        <v>0</v>
      </c>
      <c r="R1088" t="n">
        <v>0</v>
      </c>
      <c r="S1088">
        <f>IFERROR(O1088/N1088,0)</f>
        <v/>
      </c>
      <c r="T1088">
        <f>IF(C1088,(Skills!G3*H1088*N1088*B1115)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1088*(1-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1088*(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1088*(1-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1088*(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8">
        <f>INDEX(FactorTable!$B$2:$Y$301, MATCH(ROUND(MIN(300,MAX(1,U1087)),0), FactorTable!$A$2:$A$301,0), 22)</f>
        <v/>
      </c>
      <c r="V1088">
        <f>IF(C1088,(Skills!G3*H1088*N1088*B1115)*IF(Inputs!$B$38="pvp",1,(1+(Inputs!$B$21+Skills!Q3+(IF(ArtifactsInput!$M$33,CHOOSE(ArtifactsInput!$N$33+1,30,36,42,48,54,60),0))+(IF(AND(ArtifactsInput!$M$35,Inputs!$B$4&lt;&gt;"Chapter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89">
      <c r="A1089">
        <f>Skills!A4</f>
        <v/>
      </c>
      <c r="B1089">
        <f>Skills!B4</f>
        <v/>
      </c>
      <c r="C1089">
        <f>Inputs!$B$3&gt;=60</f>
        <v/>
      </c>
      <c r="D1089">
        <f>IF(Skills!C4=1,60+Inputs!$B$25+Inputs!$B$29,IF(Skills!C4=2,90+Inputs!$B$26+Inputs!$B$29,IF(Skills!C4=3,120+Inputs!$B$27+Inputs!$B$29,MAX(0,(Inputs!$B$3-100)*3)+Inputs!$B$28+Inputs!$B$29)))</f>
        <v/>
      </c>
      <c r="E1089">
        <f>INDEX(FactorTable!$B$2:$Y$301, MATCH(ROUND(MIN(300,MAX(1,D1089)),0), FactorTable!$A$2:$A$301,0), Skills!M4+1)</f>
        <v/>
      </c>
      <c r="F1089">
        <f>IF(Skills!N4=TRUE,(Skills!L4/10)*(E1089/1000),Skills!L4/10)+Skills!O4</f>
        <v/>
      </c>
      <c r="G1089">
        <f>Skills!G4*IF(Skills!H4&gt;0,Skills!I4/Skills!H4,1)</f>
        <v/>
      </c>
      <c r="H1089">
        <f>1-(1-Skills!J4/100)^Skills!K4</f>
        <v/>
      </c>
      <c r="I1089" t="inlineStr">
        <is>
          <t>1</t>
        </is>
      </c>
      <c r="J1089">
        <f>((Inputs!$B$6*(1+Inputs!$B$7/100))+(((Inputs!$B$12*(1+Inputs!$B$13/100))-(Inputs!$B$12*(1+Inputs!$B$13/100)))+0.25*(Inputs!$B$14-Inputs!$B$14))*(1+Inputs!$B$7/100))*(F1089/100)</f>
        <v/>
      </c>
      <c r="K1089">
        <f>J1089*(1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1097=TRUE,F1097,0)/100)*(1+(IF(Skills!A4="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1089)</f>
        <v/>
      </c>
      <c r="L1089">
        <f>K1089*(MIN(Inputs!$B$22+((C1105=TRUE)*(F1105-Calc!F20)),(Inputs!$B$23+0+(IF(ArtifactsInput!$M$15,CHOOSE(ArtifactsInput!$N$15+1,25,30,35,40,45,50)/100*(Inputs!$B$11-Inputs!$B$11),0))))/100+(Inputs!$B$23+0+(IF(ArtifactsInput!$M$15,CHOOSE(ArtifactsInput!$N$15+1,25,30,35,40,45,50)/100*(Inputs!$B$11-Inputs!$B$11),0)))/100)/2</f>
        <v/>
      </c>
      <c r="M1089">
        <f>L1089*(1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89">
        <f>L1089*(1-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1089*(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89">
        <f>(1-Summary!$B$11)*T1089+Summary!$B$11*V1089</f>
        <v/>
      </c>
      <c r="P1089">
        <f>IF(B1121=0,0,O1089/B1121)</f>
        <v/>
      </c>
      <c r="Q1089" t="n">
        <v>0</v>
      </c>
      <c r="R1089" t="n">
        <v>0</v>
      </c>
      <c r="S1089">
        <f>IFERROR(O1089/N1089,0)</f>
        <v/>
      </c>
      <c r="T1089">
        <f>IF(C1089,(Skills!G4*H1089*N1089*B1115)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1089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1089*(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1089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1089*(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89">
        <f>290*U1088/1000</f>
        <v/>
      </c>
      <c r="V1089">
        <f>IF(C1089,(Skills!G4*H1089*N1089*B1115)*IF(Inputs!$B$38="pvp",1,(1+(Inputs!$B$21+Skills!Q4+(IF(ArtifactsInput!$M$33,CHOOSE(ArtifactsInput!$N$33+1,30,36,42,48,54,60),0))+(IF(AND(ArtifactsInput!$M$35,Inputs!$B$4&lt;&gt;"Chapter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0">
      <c r="A1090">
        <f>Skills!A5</f>
        <v/>
      </c>
      <c r="B1090">
        <f>Skills!B5</f>
        <v/>
      </c>
      <c r="C1090">
        <f>Inputs!$B$3&gt;=60</f>
        <v/>
      </c>
      <c r="D1090">
        <f>IF(Skills!C5=1,60+Inputs!$B$25+Inputs!$B$29,IF(Skills!C5=2,90+Inputs!$B$26+Inputs!$B$29,IF(Skills!C5=3,120+Inputs!$B$27+Inputs!$B$29,MAX(0,(Inputs!$B$3-100)*3)+Inputs!$B$28+Inputs!$B$29)))</f>
        <v/>
      </c>
      <c r="E1090">
        <f>INDEX(FactorTable!$B$2:$Y$301, MATCH(ROUND(MIN(300,MAX(1,D1090)),0), FactorTable!$A$2:$A$301,0), Skills!M5+1)</f>
        <v/>
      </c>
      <c r="F1090">
        <f>IF(Skills!N5=TRUE,(Skills!L5/10)*(E1090/1000),Skills!L5/10)+Skills!O5</f>
        <v/>
      </c>
      <c r="G1090">
        <f>Skills!G5*IF(Skills!H5&gt;0,Skills!I5/Skills!H5,1)</f>
        <v/>
      </c>
      <c r="H1090">
        <f>1-(1-Skills!J5/100)^Skills!K5</f>
        <v/>
      </c>
      <c r="I1090" t="inlineStr">
        <is>
          <t>1</t>
        </is>
      </c>
      <c r="J1090" t="inlineStr"/>
      <c r="K1090" t="inlineStr"/>
      <c r="L1090" t="inlineStr"/>
      <c r="M1090" t="inlineStr"/>
      <c r="N1090" t="inlineStr"/>
      <c r="O1090">
        <f>(1-Summary!$B$11)*T1090+Summary!$B$11*V1090</f>
        <v/>
      </c>
      <c r="P1090">
        <f>IF(B1121=0,0,O1090/B1121)</f>
        <v/>
      </c>
      <c r="Q1090" t="n">
        <v>0</v>
      </c>
      <c r="R1090" t="n">
        <v>0</v>
      </c>
      <c r="S1090">
        <f>IFERROR(O1090/N1090,0)</f>
        <v/>
      </c>
      <c r="T1090" t="n">
        <v>0</v>
      </c>
      <c r="V1090" t="n">
        <v>0</v>
      </c>
    </row>
    <row r="1091">
      <c r="A1091">
        <f>Skills!A6</f>
        <v/>
      </c>
      <c r="B1091">
        <f>Skills!B6</f>
        <v/>
      </c>
      <c r="C1091">
        <f>Inputs!$B$3&gt;=63</f>
        <v/>
      </c>
      <c r="D1091">
        <f>IF(Skills!C6=1,60+Inputs!$B$25+Inputs!$B$29,IF(Skills!C6=2,90+Inputs!$B$26+Inputs!$B$29,IF(Skills!C6=3,120+Inputs!$B$27+Inputs!$B$29,MAX(0,(Inputs!$B$3-100)*3)+Inputs!$B$28+Inputs!$B$29)))</f>
        <v/>
      </c>
      <c r="E1091">
        <f>INDEX(FactorTable!$B$2:$Y$301, MATCH(ROUND(MIN(300,MAX(1,D1091)),0), FactorTable!$A$2:$A$301,0), Skills!M6+1)</f>
        <v/>
      </c>
      <c r="F1091">
        <f>IF(Skills!N6=TRUE,(Skills!L6/10)*(E1091/1000),Skills!L6/10)+Skills!O6</f>
        <v/>
      </c>
      <c r="G1091">
        <f>Skills!G6*IF(Skills!H6&gt;0,Skills!I6/Skills!H6,1)</f>
        <v/>
      </c>
      <c r="H1091">
        <f>1-(1-Skills!J6/100)^Skills!K6</f>
        <v/>
      </c>
      <c r="I1091" t="inlineStr">
        <is>
          <t>1</t>
        </is>
      </c>
      <c r="J1091">
        <f>((Inputs!$B$6*(1+Inputs!$B$7/100))+(((Inputs!$B$12*(1+Inputs!$B$13/100))-(Inputs!$B$12*(1+Inputs!$B$13/100)))+0.25*(Inputs!$B$14-Inputs!$B$14))*(1+Inputs!$B$7/100))*(F1091/100)</f>
        <v/>
      </c>
      <c r="K1091">
        <f>J1091*(1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1097=TRUE,F1097,0)/100)*(1+(IF(Skills!A6="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1091)</f>
        <v/>
      </c>
      <c r="L1091">
        <f>K1091*(MIN(Inputs!$B$22+((C1105=TRUE)*(F1105-Calc!F20)),(Inputs!$B$23+0+(IF(ArtifactsInput!$M$15,CHOOSE(ArtifactsInput!$N$15+1,25,30,35,40,45,50)/100*(Inputs!$B$11-Inputs!$B$11),0))))/100+(Inputs!$B$23+0+(IF(ArtifactsInput!$M$15,CHOOSE(ArtifactsInput!$N$15+1,25,30,35,40,45,50)/100*(Inputs!$B$11-Inputs!$B$11),0)))/100)/2</f>
        <v/>
      </c>
      <c r="M1091">
        <f>L1091*(1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1">
        <f>L1091*(1-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1">
        <f>(1-Summary!$B$11)*T1091+Summary!$B$11*V1091</f>
        <v/>
      </c>
      <c r="P1091">
        <f>IF(B1121=0,0,O1091/B1121)</f>
        <v/>
      </c>
      <c r="Q1091">
        <f>IFERROR(1/(IF(Inputs!$B$38="pvp",15,MAX(0.1,Skills!D6-IF(Skills!E6=TRUE,Inputs!$B$32,0)))*(1-IF(AND(ArtifactsInput!$M$27,Inputs!$B$4="Chapter Hunt"),CHOOSE(ArtifactsInput!$N$27+1,20,24,28,32,36,40),0)/100)),0)</f>
        <v/>
      </c>
      <c r="R1091">
        <f>IF(AND(Inputs!$B$38&lt;&gt;"pvp",Inputs!$B$43&gt;0),IF(MAX(0,Inputs!$B$43-B1118)&lt;=0,0,(INT(MAX(0,Inputs!$B$43-B1118)/(IF(Inputs!$B$38="pvp",15,MAX(0.1,Skills!D6-IF(Skills!E6=TRUE,Inputs!$B$32,0)))*(1-IF(AND(ArtifactsInput!$M$27,Inputs!$B$4="Chapter Hunt"),CHOOSE(ArtifactsInput!$N$27+1,20,24,28,32,36,40),0)/100)))+1)),0)</f>
        <v/>
      </c>
      <c r="S1091">
        <f>IFERROR(O1091/N1091,0)</f>
        <v/>
      </c>
      <c r="T1091">
        <f>IF(C1091,(H1091*N1091*IF(AND(Inputs!$B$38&lt;&gt;"pvp",Inputs!$B$43&gt;0),((Skills!G6*((R1091-1)*IF(Skills!H6&gt;0,Skills!I6/Skills!H6,1)+IF(Skills!H6&gt;0,MIN(Skills!I6,MAX(0,MAX(0,Inputs!$B$43-B1118)-((R1091-1)*(IF(Inputs!$B$38="pvp",15,MAX(0.1,Skills!D6-IF(Skills!E6=TRUE,Inputs!$B$32,0)))*(1-IF(AND(ArtifactsInput!$M$27,Inputs!$B$4="Chapter Hunt"),CHOOSE(ArtifactsInput!$N$27+1,20,24,28,32,36,40),0)/100)))))/Skills!H6,1)))/Inputs!$B$43),G1091*Q1091)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1091*(1-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1091*(1-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1">
        <f>IF(C1091,(H1091*N1091*IF(AND(Inputs!$B$38&lt;&gt;"pvp",Inputs!$B$43&gt;0),((Skills!G6*((R1091-1)*IF(Skills!H6&gt;0,Skills!I6/Skills!H6,1)+IF(Skills!H6&gt;0,MIN(Skills!I6,MAX(0,MAX(0,Inputs!$B$43-B1118)-((R1091-1)*(IF(Inputs!$B$38="pvp",15,MAX(0.1,Skills!D6-IF(Skills!E6=TRUE,Inputs!$B$32,0)))*(1-IF(AND(ArtifactsInput!$M$27,Inputs!$B$4="Chapter Hunt"),CHOOSE(ArtifactsInput!$N$27+1,20,24,28,32,36,40),0)/100)))))/Skills!H6,1)))/Inputs!$B$43),G1091*Q1091))*IF(Inputs!$B$38="pvp",1,(1+(Inputs!$B$21+Skills!Q6+(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2">
      <c r="A1092">
        <f>Skills!A7</f>
        <v/>
      </c>
      <c r="B1092">
        <f>Skills!B7</f>
        <v/>
      </c>
      <c r="C1092">
        <f>Inputs!$B$3&gt;=100</f>
        <v/>
      </c>
      <c r="D1092">
        <f>IF(Skills!C7=1,60+Inputs!$B$25+Inputs!$B$29,IF(Skills!C7=2,90+Inputs!$B$26+Inputs!$B$29,IF(Skills!C7=3,120+Inputs!$B$27+Inputs!$B$29,MAX(0,(Inputs!$B$3-100)*3)+Inputs!$B$28+Inputs!$B$29)))</f>
        <v/>
      </c>
      <c r="E1092">
        <f>INDEX(FactorTable!$B$2:$Y$301, MATCH(ROUND(MIN(300,MAX(1,D1092)),0), FactorTable!$A$2:$A$301,0), Skills!M7+1)</f>
        <v/>
      </c>
      <c r="F1092">
        <f>IF(Skills!N7=TRUE,(Skills!L7/10)*(E1092/1000),Skills!L7/10)+Skills!O7</f>
        <v/>
      </c>
      <c r="G1092">
        <f>Skills!G7*IF(Skills!H7&gt;0,Skills!I7/Skills!H7,1)</f>
        <v/>
      </c>
      <c r="H1092">
        <f>1-(1-Skills!J7/100)^Skills!K7</f>
        <v/>
      </c>
      <c r="I1092" t="inlineStr">
        <is>
          <t>1</t>
        </is>
      </c>
      <c r="J1092">
        <f>((Inputs!$B$6*(1+Inputs!$B$7/100))+(((Inputs!$B$12*(1+Inputs!$B$13/100))-(Inputs!$B$12*(1+Inputs!$B$13/100)))+0.25*(Inputs!$B$14-Inputs!$B$14))*(1+Inputs!$B$7/100))*(F1092/100)</f>
        <v/>
      </c>
      <c r="K1092">
        <f>J1092*(1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1092)</f>
        <v/>
      </c>
      <c r="L1092">
        <f>K1092*(MIN(Inputs!$B$22+((C1105=TRUE)*(F1105-Calc!F20)),(Inputs!$B$23+0+(IF(ArtifactsInput!$M$15,CHOOSE(ArtifactsInput!$N$15+1,25,30,35,40,45,50)/100*(Inputs!$B$11-Inputs!$B$11),0))))/100+(Inputs!$B$23+0+(IF(ArtifactsInput!$M$15,CHOOSE(ArtifactsInput!$N$15+1,25,30,35,40,45,50)/100*(Inputs!$B$11-Inputs!$B$11),0)))/100)/2</f>
        <v/>
      </c>
      <c r="M1092">
        <f>L1092*(1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2">
        <f>L1092*(1-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1092*(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2">
        <f>(1-Summary!$B$11)*T1092+Summary!$B$11*V1092</f>
        <v/>
      </c>
      <c r="P1092">
        <f>IF(B1121=0,0,O1092/B1121)</f>
        <v/>
      </c>
      <c r="Q1092">
        <f>IFERROR(1/(IF(Inputs!$B$38="pvp",15,MAX(0.1,Skills!D7-IF(Skills!E7=TRUE,Inputs!$B$32,0)))*(1-IF(AND(ArtifactsInput!$M$27,Inputs!$B$4="Chapter Hunt"),CHOOSE(ArtifactsInput!$N$27+1,20,24,28,32,36,40),0)/100)),0)</f>
        <v/>
      </c>
      <c r="R1092">
        <f>IF(AND(Inputs!$B$38&lt;&gt;"pvp",Inputs!$B$43&gt;0),IF(MAX(0,Inputs!$B$43-B1118)&lt;=0,0,(INT(MAX(0,Inputs!$B$43-B1118)/(IF(Inputs!$B$38="pvp",15,MAX(0.1,Skills!D7-IF(Skills!E7=TRUE,Inputs!$B$32,0)))*(1-IF(AND(ArtifactsInput!$M$27,Inputs!$B$4="Chapter Hunt"),CHOOSE(ArtifactsInput!$N$27+1,20,24,28,32,36,40),0)/100)))+1)),0)</f>
        <v/>
      </c>
      <c r="S1092">
        <f>IFERROR(O1092/N1092,0)</f>
        <v/>
      </c>
      <c r="T1092">
        <f>IF(C1092,(H1092*N1092*IF(AND(Inputs!$B$38&lt;&gt;"pvp",Inputs!$B$43&gt;0),((Skills!G7*((R1092-1)*IF(Skills!H7&gt;0,Skills!I7/Skills!H7,1)+IF(Skills!H7&gt;0,MIN(Skills!I7,MAX(0,MAX(0,Inputs!$B$43-B1118)-((R1092-1)*(IF(Inputs!$B$38="pvp",15,MAX(0.1,Skills!D7-IF(Skills!E7=TRUE,Inputs!$B$32,0)))*(1-IF(AND(ArtifactsInput!$M$27,Inputs!$B$4="Chapter Hunt"),CHOOSE(ArtifactsInput!$N$27+1,20,24,28,32,36,40),0)/100)))))/Skills!H7,1)))/Inputs!$B$43),G1092*Q1092)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1092*(1-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1092*(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1092*(1-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1092*(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2">
        <f>IF(C1092,(H1092*N1092*IF(AND(Inputs!$B$38&lt;&gt;"pvp",Inputs!$B$43&gt;0),((Skills!G7*((R1092-1)*IF(Skills!H7&gt;0,Skills!I7/Skills!H7,1)+IF(Skills!H7&gt;0,MIN(Skills!I7,MAX(0,MAX(0,Inputs!$B$43-B1118)-((R1092-1)*(IF(Inputs!$B$38="pvp",15,MAX(0.1,Skills!D7-IF(Skills!E7=TRUE,Inputs!$B$32,0)))*(1-IF(AND(ArtifactsInput!$M$27,Inputs!$B$4="Chapter Hunt"),CHOOSE(ArtifactsInput!$N$27+1,20,24,28,32,36,40),0)/100)))))/Skills!H7,1)))/Inputs!$B$43),G1092*Q1092))*IF(Inputs!$B$38="pvp",1,(1+(Inputs!$B$21+Skills!Q7+(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3">
      <c r="A1093">
        <f>Skills!A8</f>
        <v/>
      </c>
      <c r="B1093">
        <f>Skills!B8</f>
        <v/>
      </c>
      <c r="C1093">
        <f>Inputs!$B$3&gt;=110</f>
        <v/>
      </c>
      <c r="D1093">
        <f>IF(Skills!C8=1,60+Inputs!$B$25+Inputs!$B$29,IF(Skills!C8=2,90+Inputs!$B$26+Inputs!$B$29,IF(Skills!C8=3,120+Inputs!$B$27+Inputs!$B$29,MAX(0,(Inputs!$B$3-100)*3)+Inputs!$B$28+Inputs!$B$29)))</f>
        <v/>
      </c>
      <c r="E1093">
        <f>INDEX(FactorTable!$B$2:$Y$301, MATCH(ROUND(MIN(300,MAX(1,D1093)),0), FactorTable!$A$2:$A$301,0), Skills!M8+1)</f>
        <v/>
      </c>
      <c r="F1093">
        <f>IF(Skills!N8=TRUE,(Skills!L8/10)*(E1093/1000),Skills!L8/10)+Skills!O8</f>
        <v/>
      </c>
      <c r="G1093">
        <f>Skills!G8*IF(Skills!H8&gt;0,Skills!I8/Skills!H8,1)</f>
        <v/>
      </c>
      <c r="H1093">
        <f>1-(1-Skills!J8/100)^Skills!K8</f>
        <v/>
      </c>
      <c r="I1093" t="inlineStr">
        <is>
          <t>1</t>
        </is>
      </c>
      <c r="J1093">
        <f>((Inputs!$B$6*(1+Inputs!$B$7/100))+(((Inputs!$B$12*(1+Inputs!$B$13/100))-(Inputs!$B$12*(1+Inputs!$B$13/100)))+0.25*(Inputs!$B$14-Inputs!$B$14))*(1+Inputs!$B$7/100))*(F1093/100)</f>
        <v/>
      </c>
      <c r="K1093">
        <f>J1093*(1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1093)</f>
        <v/>
      </c>
      <c r="L1093">
        <f>K1093*(MIN(Inputs!$B$22+((C1105=TRUE)*(F1105-Calc!F20)),(Inputs!$B$23+0+(IF(ArtifactsInput!$M$15,CHOOSE(ArtifactsInput!$N$15+1,25,30,35,40,45,50)/100*(Inputs!$B$11-Inputs!$B$11),0))))/100+(Inputs!$B$23+0+(IF(ArtifactsInput!$M$15,CHOOSE(ArtifactsInput!$N$15+1,25,30,35,40,45,50)/100*(Inputs!$B$11-Inputs!$B$11),0)))/100)/2</f>
        <v/>
      </c>
      <c r="M1093">
        <f>L1093*(1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3">
        <f>L1093*(1-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1093*(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3">
        <f>(1-Summary!$B$11)*T1093+Summary!$B$11*V1093</f>
        <v/>
      </c>
      <c r="P1093">
        <f>IF(B1121=0,0,O1093/B1121)</f>
        <v/>
      </c>
      <c r="Q1093">
        <f>IFERROR(1/(IF(Inputs!$B$38="pvp",15,MAX(0.1,Skills!D8-IF(Skills!E8=TRUE,Inputs!$B$32,0)))*(1-IF(AND(ArtifactsInput!$M$27,Inputs!$B$4="Chapter Hunt"),CHOOSE(ArtifactsInput!$N$27+1,20,24,28,32,36,40),0)/100)),0)</f>
        <v/>
      </c>
      <c r="R1093">
        <f>IF(AND(Inputs!$B$38&lt;&gt;"pvp",Inputs!$B$43&gt;0),IF(MAX(0,Inputs!$B$43-B1118)&lt;=0,0,(INT(MAX(0,Inputs!$B$43-B1118)/(IF(Inputs!$B$38="pvp",15,MAX(0.1,Skills!D8-IF(Skills!E8=TRUE,Inputs!$B$32,0)))*(1-IF(AND(ArtifactsInput!$M$27,Inputs!$B$4="Chapter Hunt"),CHOOSE(ArtifactsInput!$N$27+1,20,24,28,32,36,40),0)/100)))+1)),0)</f>
        <v/>
      </c>
      <c r="S1093">
        <f>IFERROR(O1093/N1093,0)</f>
        <v/>
      </c>
      <c r="T1093">
        <f>IF(C1093,(H1093*N1093*IF(AND(Inputs!$B$38&lt;&gt;"pvp",Inputs!$B$43&gt;0),((Skills!G8*((R1093-1)*IF(Skills!H8&gt;0,Skills!I8/Skills!H8,1)+IF(Skills!H8&gt;0,MIN(Skills!I8,MAX(0,MAX(0,Inputs!$B$43-B1118)-((R1093-1)*(IF(Inputs!$B$38="pvp",15,MAX(0.1,Skills!D8-IF(Skills!E8=TRUE,Inputs!$B$32,0)))*(1-IF(AND(ArtifactsInput!$M$27,Inputs!$B$4="Chapter Hunt"),CHOOSE(ArtifactsInput!$N$27+1,20,24,28,32,36,40),0)/100)))))/Skills!H8,1)))/Inputs!$B$43),G1093*Q1093)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1093*(1-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1093*(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1093*(1-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1093*(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3">
        <f>IF(C1093,(H1093*N1093*IF(AND(Inputs!$B$38&lt;&gt;"pvp",Inputs!$B$43&gt;0),((Skills!G8*((R1093-1)*IF(Skills!H8&gt;0,Skills!I8/Skills!H8,1)+IF(Skills!H8&gt;0,MIN(Skills!I8,MAX(0,MAX(0,Inputs!$B$43-B1118)-((R1093-1)*(IF(Inputs!$B$38="pvp",15,MAX(0.1,Skills!D8-IF(Skills!E8=TRUE,Inputs!$B$32,0)))*(1-IF(AND(ArtifactsInput!$M$27,Inputs!$B$4="Chapter Hunt"),CHOOSE(ArtifactsInput!$N$27+1,20,24,28,32,36,40),0)/100)))))/Skills!H8,1)))/Inputs!$B$43),G1093*Q1093))*IF(Inputs!$B$38="pvp",1,(1+(Inputs!$B$21+Skills!Q8+(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4">
      <c r="A1094">
        <f>Skills!A9</f>
        <v/>
      </c>
      <c r="B1094">
        <f>Skills!B9</f>
        <v/>
      </c>
      <c r="C1094">
        <f>Inputs!$B$3&gt;=110</f>
        <v/>
      </c>
      <c r="D1094">
        <f>IF(Skills!C9=1,60+Inputs!$B$25+Inputs!$B$29,IF(Skills!C9=2,90+Inputs!$B$26+Inputs!$B$29,IF(Skills!C9=3,120+Inputs!$B$27+Inputs!$B$29,MAX(0,(Inputs!$B$3-100)*3)+Inputs!$B$28+Inputs!$B$29)))</f>
        <v/>
      </c>
      <c r="E1094">
        <f>INDEX(FactorTable!$B$2:$Y$301, MATCH(ROUND(MIN(300,MAX(1,D1094)),0), FactorTable!$A$2:$A$301,0), Skills!M9+1)</f>
        <v/>
      </c>
      <c r="F1094">
        <f>IF(Skills!N9=TRUE,(Skills!L9/10)*(E1094/1000),Skills!L9/10)+Skills!O9</f>
        <v/>
      </c>
      <c r="G1094">
        <f>Skills!G9*IF(Skills!H9&gt;0,Skills!I9/Skills!H9,1)</f>
        <v/>
      </c>
      <c r="H1094">
        <f>1-(1-Skills!J9/100)^Skills!K9</f>
        <v/>
      </c>
      <c r="I1094" t="inlineStr">
        <is>
          <t>1</t>
        </is>
      </c>
      <c r="J1094">
        <f>((Inputs!$B$6*(1+Inputs!$B$7/100))+(((Inputs!$B$12*(1+Inputs!$B$13/100))-(Inputs!$B$12*(1+Inputs!$B$13/100)))+0.25*(Inputs!$B$14-Inputs!$B$14))*(1+Inputs!$B$7/100))*(F1094/100)</f>
        <v/>
      </c>
      <c r="K1094">
        <f>J1094*(1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1094)</f>
        <v/>
      </c>
      <c r="L1094">
        <f>K1094*(MIN(Inputs!$B$22+((C1105=TRUE)*(F1105-Calc!F20)),(Inputs!$B$23+0+(IF(ArtifactsInput!$M$15,CHOOSE(ArtifactsInput!$N$15+1,25,30,35,40,45,50)/100*(Inputs!$B$11-Inputs!$B$11),0))))/100+(Inputs!$B$23+0+(IF(ArtifactsInput!$M$15,CHOOSE(ArtifactsInput!$N$15+1,25,30,35,40,45,50)/100*(Inputs!$B$11-Inputs!$B$11),0)))/100)/2</f>
        <v/>
      </c>
      <c r="M1094">
        <f>L1094*(1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4">
        <f>L1094*(1-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1094*(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4">
        <f>(1-Summary!$B$11)*T1094+Summary!$B$11*V1094</f>
        <v/>
      </c>
      <c r="P1094">
        <f>IF(B1121=0,0,O1094/B1121)</f>
        <v/>
      </c>
      <c r="Q1094">
        <f>IFERROR(1/(IF(Inputs!$B$38="pvp",15,MAX(0.1,Skills!D9-IF(Skills!E9=TRUE,Inputs!$B$32,0)))*(1-IF(AND(ArtifactsInput!$M$27,Inputs!$B$4="Chapter Hunt"),CHOOSE(ArtifactsInput!$N$27+1,20,24,28,32,36,40),0)/100)),0)</f>
        <v/>
      </c>
      <c r="R1094">
        <f>IF(AND(Inputs!$B$38&lt;&gt;"pvp",Inputs!$B$43&gt;0),IF(MAX(0,Inputs!$B$43-B1118)&lt;=0,0,(INT(MAX(0,Inputs!$B$43-B1118)/(IF(Inputs!$B$38="pvp",15,MAX(0.1,Skills!D9-IF(Skills!E9=TRUE,Inputs!$B$32,0)))*(1-IF(AND(ArtifactsInput!$M$27,Inputs!$B$4="Chapter Hunt"),CHOOSE(ArtifactsInput!$N$27+1,20,24,28,32,36,40),0)/100)))+1)),0)</f>
        <v/>
      </c>
      <c r="S1094">
        <f>IFERROR(O1094/N1094,0)</f>
        <v/>
      </c>
      <c r="T1094">
        <f>IF(C1094,(H1094*N1094*IF(AND(Inputs!$B$38&lt;&gt;"pvp",Inputs!$B$43&gt;0),((Skills!G9*((R1094-1)*IF(Skills!H9&gt;0,Skills!I9/Skills!H9,1)+IF(Skills!H9&gt;0,MIN(Skills!I9,MAX(0,MAX(0,Inputs!$B$43-B1118)-((R1094-1)*(IF(Inputs!$B$38="pvp",15,MAX(0.1,Skills!D9-IF(Skills!E9=TRUE,Inputs!$B$32,0)))*(1-IF(AND(ArtifactsInput!$M$27,Inputs!$B$4="Chapter Hunt"),CHOOSE(ArtifactsInput!$N$27+1,20,24,28,32,36,40),0)/100)))))/Skills!H9,1)))/Inputs!$B$43),G1094*Q1094)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1094*(1-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1094*(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1094*(1-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1094*(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4">
        <f>IF(C1094,(H1094*N1094*IF(AND(Inputs!$B$38&lt;&gt;"pvp",Inputs!$B$43&gt;0),((Skills!G9*((R1094-1)*IF(Skills!H9&gt;0,Skills!I9/Skills!H9,1)+IF(Skills!H9&gt;0,MIN(Skills!I9,MAX(0,MAX(0,Inputs!$B$43-B1118)-((R1094-1)*(IF(Inputs!$B$38="pvp",15,MAX(0.1,Skills!D9-IF(Skills!E9=TRUE,Inputs!$B$32,0)))*(1-IF(AND(ArtifactsInput!$M$27,Inputs!$B$4="Chapter Hunt"),CHOOSE(ArtifactsInput!$N$27+1,20,24,28,32,36,40),0)/100)))))/Skills!H9,1)))/Inputs!$B$43),G1094*Q1094))*IF(Inputs!$B$38="pvp",1,(1+(Inputs!$B$21+Skills!Q9+(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5">
      <c r="A1095">
        <f>Skills!A10</f>
        <v/>
      </c>
      <c r="B1095">
        <f>Skills!B10</f>
        <v/>
      </c>
      <c r="C1095">
        <f>Inputs!$B$3&gt;=103</f>
        <v/>
      </c>
      <c r="D1095">
        <f>IF(Skills!C10=1,60+Inputs!$B$25+Inputs!$B$29,IF(Skills!C10=2,90+Inputs!$B$26+Inputs!$B$29,IF(Skills!C10=3,120+Inputs!$B$27+Inputs!$B$29,MAX(0,(Inputs!$B$3-100)*3)+Inputs!$B$28+Inputs!$B$29)))</f>
        <v/>
      </c>
      <c r="E1095">
        <f>INDEX(FactorTable!$B$2:$Y$301, MATCH(ROUND(MIN(300,MAX(1,D1095)),0), FactorTable!$A$2:$A$301,0), Skills!M10+1)</f>
        <v/>
      </c>
      <c r="F1095">
        <f>IF(Skills!N10=TRUE,(Skills!L10/10)*(E1095/1000),Skills!L10/10)+Skills!O10</f>
        <v/>
      </c>
      <c r="G1095">
        <f>Skills!G10*IF(Skills!H10&gt;0,Skills!I10/Skills!H10,1)</f>
        <v/>
      </c>
      <c r="H1095">
        <f>1-(1-Skills!J10/100)^Skills!K10</f>
        <v/>
      </c>
      <c r="I1095" t="inlineStr">
        <is>
          <t>1</t>
        </is>
      </c>
      <c r="J1095">
        <f>((Inputs!$B$6*(1+Inputs!$B$7/100))+(((Inputs!$B$12*(1+Inputs!$B$13/100))-(Inputs!$B$12*(1+Inputs!$B$13/100)))+0.25*(Inputs!$B$14-Inputs!$B$14))*(1+Inputs!$B$7/100))*(F1095/100)</f>
        <v/>
      </c>
      <c r="K1095">
        <f>J1095*(1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1095)</f>
        <v/>
      </c>
      <c r="L1095">
        <f>K1095*(MIN(Inputs!$B$22+((C1105=TRUE)*(F1105-Calc!F20)),(Inputs!$B$23+0+(IF(ArtifactsInput!$M$15,CHOOSE(ArtifactsInput!$N$15+1,25,30,35,40,45,50)/100*(Inputs!$B$11-Inputs!$B$11),0))))/100+(Inputs!$B$23+0+(IF(ArtifactsInput!$M$15,CHOOSE(ArtifactsInput!$N$15+1,25,30,35,40,45,50)/100*(Inputs!$B$11-Inputs!$B$11),0)))/100)/2</f>
        <v/>
      </c>
      <c r="M1095">
        <f>L1095*(1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5">
        <f>L1095*(1-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1095*(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5">
        <f>(1-Summary!$B$11)*T1095+Summary!$B$11*V1095</f>
        <v/>
      </c>
      <c r="P1095">
        <f>IF(B1121=0,0,O1095/B1121)</f>
        <v/>
      </c>
      <c r="Q1095">
        <f>IFERROR(1/(IF(Inputs!$B$38="pvp",15,MAX(0.1,Skills!D10-IF(Skills!E10=TRUE,Inputs!$B$32,0)))*(1-IF(AND(ArtifactsInput!$M$27,Inputs!$B$4="Chapter Hunt"),CHOOSE(ArtifactsInput!$N$27+1,20,24,28,32,36,40),0)/100)),0)</f>
        <v/>
      </c>
      <c r="R1095">
        <f>IF(AND(Inputs!$B$38&lt;&gt;"pvp",Inputs!$B$43&gt;0),IF(MAX(0,Inputs!$B$43-B1118)&lt;=0,0,(INT(MAX(0,Inputs!$B$43-B1118)/(IF(Inputs!$B$38="pvp",15,MAX(0.1,Skills!D10-IF(Skills!E10=TRUE,Inputs!$B$32,0)))*(1-IF(AND(ArtifactsInput!$M$27,Inputs!$B$4="Chapter Hunt"),CHOOSE(ArtifactsInput!$N$27+1,20,24,28,32,36,40),0)/100)))+1)),0)</f>
        <v/>
      </c>
      <c r="S1095">
        <f>IFERROR(O1095/N1095,0)</f>
        <v/>
      </c>
      <c r="T1095">
        <f>IF(C1095,(H1095*N1095*IF(AND(Inputs!$B$38&lt;&gt;"pvp",Inputs!$B$43&gt;0),((Skills!G10*((R1095-1)*IF(Skills!H10&gt;0,Skills!I10/Skills!H10,1)+IF(Skills!H10&gt;0,MIN(Skills!I10,MAX(0,MAX(0,Inputs!$B$43-B1118)-((R1095-1)*(IF(Inputs!$B$38="pvp",15,MAX(0.1,Skills!D10-IF(Skills!E10=TRUE,Inputs!$B$32,0)))*(1-IF(AND(ArtifactsInput!$M$27,Inputs!$B$4="Chapter Hunt"),CHOOSE(ArtifactsInput!$N$27+1,20,24,28,32,36,40),0)/100)))))/Skills!H10,1)))/Inputs!$B$43),G1095*Q1095)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1095*(1-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1095*(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1095*(1-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1095*(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5">
        <f>IF(C1095,(H1095*N1095*IF(AND(Inputs!$B$38&lt;&gt;"pvp",Inputs!$B$43&gt;0),((Skills!G10*((R1095-1)*IF(Skills!H10&gt;0,Skills!I10/Skills!H10,1)+IF(Skills!H10&gt;0,MIN(Skills!I10,MAX(0,MAX(0,Inputs!$B$43-B1118)-((R1095-1)*(IF(Inputs!$B$38="pvp",15,MAX(0.1,Skills!D10-IF(Skills!E10=TRUE,Inputs!$B$32,0)))*(1-IF(AND(ArtifactsInput!$M$27,Inputs!$B$4="Chapter Hunt"),CHOOSE(ArtifactsInput!$N$27+1,20,24,28,32,36,40),0)/100)))))/Skills!H10,1)))/Inputs!$B$43),G1095*Q1095))*IF(Inputs!$B$38="pvp",1,(1+(Inputs!$B$21+Skills!Q10+(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6">
      <c r="A1096">
        <f>Skills!A11</f>
        <v/>
      </c>
      <c r="B1096">
        <f>Skills!B11</f>
        <v/>
      </c>
      <c r="C1096">
        <f>Inputs!$B$3&gt;=113</f>
        <v/>
      </c>
      <c r="D1096">
        <f>IF(Skills!C11=1,60+Inputs!$B$25+Inputs!$B$29,IF(Skills!C11=2,90+Inputs!$B$26+Inputs!$B$29,IF(Skills!C11=3,120+Inputs!$B$27+Inputs!$B$29,MAX(0,(Inputs!$B$3-100)*3)+Inputs!$B$28+Inputs!$B$29)))</f>
        <v/>
      </c>
      <c r="E1096">
        <f>INDEX(FactorTable!$B$2:$Y$301, MATCH(ROUND(MIN(300,MAX(1,D1096)),0), FactorTable!$A$2:$A$301,0), Skills!M11+1)</f>
        <v/>
      </c>
      <c r="F1096">
        <f>IF(Skills!N11=TRUE,(Skills!L11/10)*(E1096/1000),Skills!L11/10)+Skills!O11</f>
        <v/>
      </c>
      <c r="G1096">
        <f>Skills!G11*IF(Skills!H11&gt;0,Skills!I11/Skills!H11,1)</f>
        <v/>
      </c>
      <c r="H1096">
        <f>1-(1-Skills!J11/100)^Skills!K11</f>
        <v/>
      </c>
      <c r="I1096" t="inlineStr">
        <is>
          <t>1</t>
        </is>
      </c>
      <c r="J1096">
        <f>((Inputs!$B$6*(1+Inputs!$B$7/100))+(((Inputs!$B$12*(1+Inputs!$B$13/100))-(Inputs!$B$12*(1+Inputs!$B$13/100)))+0.25*(Inputs!$B$14-Inputs!$B$14))*(1+Inputs!$B$7/100))*(F1096/100)</f>
        <v/>
      </c>
      <c r="K1096">
        <f>J1096*(1+((Inputs!$B$12*(1+Inputs!$B$13/100))*0.01+Inputs!$B$14*0.0025)/100)*(1+Inputs!$B$15/100)*(1+Inputs!$B$16/100)*(5000/(6000+Inputs!$B$42*(1-(100*(1-(1-(Inputs!$B$19+0)/100)*(1-CHOOSE(ArtifactsInput!$N$40+1,5,6,7,8,9,10)/100)^(ArtifactsInput!$M$40-ArtifactsInput!$M$40)))/100)))*(1+(Inputs!$B$24+((C1107=TRUE)*(F1107-Calc!F22))+B1117)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1106=TRUE)*(F1106-Calc!F21))+(((IF(AND(ArtifactsInput!$M$42,((Inputs!$B$9+((C1101=TRUE)*(F1101-Calc!F16))+B1111+(ArtifactsInput!$M$24-ArtifactsInput!$M$24)*CHOOSE(ArtifactsInput!$N$24+1,10,12,14,16,18,20)+IF(ArtifactsInput!$M$10,CHOOSE(ArtifactsInput!$N$10+1,15,18,21,24,27,30)*(IF(Inputs!$B$38="pvp",MIN(15,15)/15,IF(AND(Inputs!$B$38&lt;&gt;"pvp",Inputs!$B$43&gt;0),MIN(15,Inputs!$B$43)/(Inputs!$B$43),0))),0)))&gt;=100),MIN(100,((Inputs!$B$9+((C1101=TRUE)*(F1101-Calc!F16))+B1111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1101=TRUE)*(F1101-Calc!F16))+B1111+(ArtifactsInput!$M$24-ArtifactsInput!$M$24)*CHOOSE(ArtifactsInput!$N$24+1,10,12,14,16,18,20)+IF(ArtifactsInput!$M$10,CHOOSE(ArtifactsInput!$N$10+1,15,18,21,24,27,30)*(IF(Inputs!$B$38="pvp",MIN(15,15)/15,IF(AND(Inputs!$B$38&lt;&gt;"pvp",Inputs!$B$43&gt;0),MIN(15,Inputs!$B$43)/(Inputs!$B$43),0))),0)))&gt;=100),CHOOSE(ArtifactsInput!$N$42+1,40,48,56,64,72,80),0))))/100)*((1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1096)</f>
        <v/>
      </c>
      <c r="L1096">
        <f>K1096*(MIN(Inputs!$B$22+((C1105=TRUE)*(F1105-Calc!F20)),(Inputs!$B$23+0+(IF(ArtifactsInput!$M$15,CHOOSE(ArtifactsInput!$N$15+1,25,30,35,40,45,50)/100*(Inputs!$B$11-Inputs!$B$11),0))))/100+(Inputs!$B$23+0+(IF(ArtifactsInput!$M$15,CHOOSE(ArtifactsInput!$N$15+1,25,30,35,40,45,50)/100*(Inputs!$B$11-Inputs!$B$11),0)))/100)/2</f>
        <v/>
      </c>
      <c r="M1096">
        <f>L1096*(1+(Inputs!$B$10+0+B1116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96">
        <f>L1096*(1-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1096*(MIN((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96">
        <f>(1-Summary!$B$11)*T1096+Summary!$B$11*V1096</f>
        <v/>
      </c>
      <c r="P1096">
        <f>IF(B1121=0,0,O1096/B1121)</f>
        <v/>
      </c>
      <c r="Q1096">
        <f>IFERROR(1/(IF(Inputs!$B$38="pvp",15,MAX(0.1,Skills!D11-IF(Skills!E11=TRUE,Inputs!$B$32,0)))*(1-IF(AND(ArtifactsInput!$M$27,Inputs!$B$4="Chapter Hunt"),CHOOSE(ArtifactsInput!$N$27+1,20,24,28,32,36,40),0)/100)),0)</f>
        <v/>
      </c>
      <c r="R1096">
        <f>IF(AND(Inputs!$B$38&lt;&gt;"pvp",Inputs!$B$43&gt;0),IF(MAX(0,Inputs!$B$43-B1118)&lt;=0,0,(INT(MAX(0,Inputs!$B$43-B1118)/(IF(Inputs!$B$38="pvp",15,MAX(0.1,Skills!D11-IF(Skills!E11=TRUE,Inputs!$B$32,0)))*(1-IF(AND(ArtifactsInput!$M$27,Inputs!$B$4="Chapter Hunt"),CHOOSE(ArtifactsInput!$N$27+1,20,24,28,32,36,40),0)/100)))+1)),0)</f>
        <v/>
      </c>
      <c r="S1096">
        <f>IFERROR(O1096/N1096,0)</f>
        <v/>
      </c>
      <c r="T1096">
        <f>IF(C1096,(H1096*N1096*IF(AND(Inputs!$B$38&lt;&gt;"pvp",Inputs!$B$43&gt;0),((Skills!G11*((R1096-1)*IF(Skills!H11&gt;0,Skills!I11/Skills!H11,1)+IF(Skills!H11&gt;0,MIN(Skills!I11,MAX(0,MAX(0,Inputs!$B$43-B1118)-((R1096-1)*(IF(Inputs!$B$38="pvp",15,MAX(0.1,Skills!D11-IF(Skills!E11=TRUE,Inputs!$B$32,0)))*(1-IF(AND(ArtifactsInput!$M$27,Inputs!$B$4="Chapter Hunt"),CHOOSE(ArtifactsInput!$N$27+1,20,24,28,32,36,40),0)/100)))))/Skills!H11,1)))/Inputs!$B$43),G1096*Q1096)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1096*(1-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1096*(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1096*(1-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1096*(MIN(100,(Inputs!$B$9+((C1101=TRUE)*(F1101-Calc!F16))+B1111+(ArtifactsInput!$M$24-ArtifactsInput!$M$24)*CHOOSE(ArtifactsInput!$N$24+1,10,12,14,16,18,20)+(IF(AND(ArtifactsInput!$M$42,((Inputs!$B$9+((C1101=TRUE)*(F1101-Calc!F16))+B1111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96">
        <f>IF(C1096,(H1096*N1096*IF(AND(Inputs!$B$38&lt;&gt;"pvp",Inputs!$B$43&gt;0),((Skills!G11*((R1096-1)*IF(Skills!H11&gt;0,Skills!I11/Skills!H11,1)+IF(Skills!H11&gt;0,MIN(Skills!I11,MAX(0,MAX(0,Inputs!$B$43-B1118)-((R1096-1)*(IF(Inputs!$B$38="pvp",15,MAX(0.1,Skills!D11-IF(Skills!E11=TRUE,Inputs!$B$32,0)))*(1-IF(AND(ArtifactsInput!$M$27,Inputs!$B$4="Chapter Hunt"),CHOOSE(ArtifactsInput!$N$27+1,20,24,28,32,36,40),0)/100)))))/Skills!H11,1)))/Inputs!$B$43),G1096*Q1096))*IF(Inputs!$B$38="pvp",1,(1+(Inputs!$B$21+Skills!Q11+(IF(ArtifactsInput!$M$33,CHOOSE(ArtifactsInput!$N$33+1,30,36,42,48,54,60),0))+(IF(AND(ArtifactsInput!$M$35,Inputs!$B$4&lt;&gt;"Chapter Hunt"),CHOOSE(ArtifactsInput!$N$35+1,15,18,21,24,27,30)*(1-EXP(-(0.2*B1113)*5)),0)+IF(AND(ArtifactsInput!$M$22,Inputs!$B$4&lt;&gt;"Chapter Hunt"),CHOOSE(ArtifactsInput!$N$22+1,10,12,14,16,18,20)*((0*(((0.15*B1113*5))^0/1)+1*(((0.15*B1113*5))^1/1)+2*(((0.15*B1113*5))^2/2)+3*(((0.15*B1113*5))^3/6)+4*(((0.15*B1113*5))^4/24)+5*(((0.15*B1113*5))^5/120))/((((0.15*B1113*5))^0/1)+(((0.15*B1113*5))^1/1)+(((0.15*B1113*5))^2/2)+(((0.15*B1113*5))^3/6)+(((0.15*B1113*5))^4/24)+(((0.15*B1113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97">
      <c r="A1097">
        <f>Skills!A12</f>
        <v/>
      </c>
      <c r="B1097">
        <f>Skills!B12</f>
        <v/>
      </c>
      <c r="C1097">
        <f>Inputs!$B$3&gt;=100</f>
        <v/>
      </c>
      <c r="D1097">
        <f>IF(Skills!C12=1,60+Inputs!$B$25+Inputs!$B$29,IF(Skills!C12=2,90+Inputs!$B$26+Inputs!$B$29,IF(Skills!C12=3,120+Inputs!$B$27+Inputs!$B$29,MAX(0,(Inputs!$B$3-100)*3)+Inputs!$B$28+Inputs!$B$29)))</f>
        <v/>
      </c>
      <c r="E1097">
        <f>INDEX(FactorTable!$B$2:$Y$301, MATCH(ROUND(MIN(300,MAX(1,D1097)),0), FactorTable!$A$2:$A$301,0), Skills!M12+1)</f>
        <v/>
      </c>
      <c r="F1097">
        <f>IF(Skills!N12=TRUE,(Skills!L12/10)*(E1097/1000),Skills!L12/10)+Skills!O12</f>
        <v/>
      </c>
      <c r="G1097" t="inlineStr"/>
      <c r="H1097" t="inlineStr"/>
      <c r="I1097" t="inlineStr">
        <is>
          <t>1</t>
        </is>
      </c>
      <c r="J1097" t="inlineStr"/>
      <c r="K1097" t="inlineStr"/>
      <c r="L1097" t="inlineStr"/>
      <c r="M1097" t="inlineStr"/>
      <c r="N1097" t="inlineStr"/>
      <c r="O1097" t="inlineStr"/>
      <c r="P1097" t="inlineStr"/>
      <c r="Q1097" t="inlineStr"/>
      <c r="R1097" t="inlineStr"/>
      <c r="S1097" t="inlineStr"/>
      <c r="T1097" t="inlineStr"/>
      <c r="V1097" t="inlineStr"/>
    </row>
    <row r="1098">
      <c r="A1098">
        <f>Skills!A13</f>
        <v/>
      </c>
      <c r="B1098">
        <f>Skills!B13</f>
        <v/>
      </c>
      <c r="C1098">
        <f>Inputs!$B$3&gt;=66</f>
        <v/>
      </c>
      <c r="D1098">
        <f>IF(Skills!C13=1,60+Inputs!$B$25+Inputs!$B$29,IF(Skills!C13=2,90+Inputs!$B$26+Inputs!$B$29,IF(Skills!C13=3,120+Inputs!$B$27+Inputs!$B$29,MAX(0,(Inputs!$B$3-100)*3)+Inputs!$B$28+Inputs!$B$29)))</f>
        <v/>
      </c>
      <c r="E1098">
        <f>INDEX(FactorTable!$B$2:$Y$301, MATCH(ROUND(MIN(300,MAX(1,D1098)),0), FactorTable!$A$2:$A$301,0), Skills!M13+1)</f>
        <v/>
      </c>
      <c r="F1098">
        <f>IF(Skills!N13=TRUE,(Skills!L13/10)*(E1098/1000),Skills!L13/10)+Skills!O13</f>
        <v/>
      </c>
      <c r="G1098">
        <f>Skills!G13*IF(Skills!H13&gt;0,Skills!I13/Skills!H13,1)</f>
        <v/>
      </c>
      <c r="H1098">
        <f>1-(1-Skills!J13/100)^Skills!K13</f>
        <v/>
      </c>
      <c r="I1098" t="inlineStr">
        <is>
          <t>1</t>
        </is>
      </c>
      <c r="J1098" t="inlineStr"/>
      <c r="K1098" t="inlineStr"/>
      <c r="L1098" t="inlineStr"/>
      <c r="M1098" t="inlineStr"/>
      <c r="N1098" t="inlineStr"/>
      <c r="O1098">
        <f>(1-Summary!$B$11)*T1098+Summary!$B$11*V1098</f>
        <v/>
      </c>
      <c r="P1098">
        <f>IF(B1121=0,0,O1098/B1121)</f>
        <v/>
      </c>
      <c r="Q1098" t="n">
        <v>0</v>
      </c>
      <c r="R1098" t="n">
        <v>0</v>
      </c>
      <c r="S1098">
        <f>IFERROR(O1098/N1098,0)</f>
        <v/>
      </c>
      <c r="T1098" t="n">
        <v>0</v>
      </c>
      <c r="V1098" t="n">
        <v>0</v>
      </c>
    </row>
    <row r="1099">
      <c r="A1099">
        <f>Skills!A14</f>
        <v/>
      </c>
      <c r="B1099">
        <f>Skills!B14</f>
        <v/>
      </c>
      <c r="C1099">
        <f>Inputs!$B$3&gt;=107</f>
        <v/>
      </c>
      <c r="D1099">
        <f>IF(Skills!C14=1,60+Inputs!$B$25+Inputs!$B$29,IF(Skills!C14=2,90+Inputs!$B$26+Inputs!$B$29,IF(Skills!C14=3,120+Inputs!$B$27+Inputs!$B$29,MAX(0,(Inputs!$B$3-100)*3)+Inputs!$B$28+Inputs!$B$29)))</f>
        <v/>
      </c>
      <c r="E1099">
        <f>INDEX(FactorTable!$B$2:$Y$301, MATCH(ROUND(MIN(300,MAX(1,D1099)),0), FactorTable!$A$2:$A$301,0), Skills!M14+1)</f>
        <v/>
      </c>
      <c r="F1099">
        <f>IF(Skills!N14=TRUE,(Skills!L14/10)*(E1099/1000),Skills!L14/10)+Skills!O14</f>
        <v/>
      </c>
      <c r="G1099">
        <f>Skills!G14*IF(Skills!H14&gt;0,Skills!I14/Skills!H14,1)</f>
        <v/>
      </c>
      <c r="H1099">
        <f>1-(1-Skills!J14/100)^Skills!K14</f>
        <v/>
      </c>
      <c r="I1099" t="inlineStr">
        <is>
          <t>1</t>
        </is>
      </c>
      <c r="J1099" t="inlineStr"/>
      <c r="K1099" t="inlineStr"/>
      <c r="L1099" t="inlineStr"/>
      <c r="M1099" t="inlineStr"/>
      <c r="N1099" t="inlineStr"/>
      <c r="O1099">
        <f>(1-Summary!$B$11)*T1099+Summary!$B$11*V1099</f>
        <v/>
      </c>
      <c r="P1099">
        <f>IF(B1121=0,0,O1099/B1121)</f>
        <v/>
      </c>
      <c r="Q1099">
        <f>IFERROR(1/(IF(Inputs!$B$38="pvp",15,MAX(0.1,Skills!D14-IF(Skills!E14=TRUE,Inputs!$B$32,0)))*(1-IF(AND(ArtifactsInput!$M$27,Inputs!$B$4="Chapter Hunt"),CHOOSE(ArtifactsInput!$N$27+1,20,24,28,32,36,40),0)/100)),0)</f>
        <v/>
      </c>
      <c r="R1099">
        <f>IF(AND(Inputs!$B$38&lt;&gt;"pvp",Inputs!$B$43&gt;0),IF(Inputs!$B$43&lt;=0,0,(INT(Inputs!$B$43/(IF(Inputs!$B$38="pvp",15,MAX(0.1,Skills!D14-IF(Skills!E14=TRUE,Inputs!$B$32,0)))*(1-IF(AND(ArtifactsInput!$M$27,Inputs!$B$4="Chapter Hunt"),CHOOSE(ArtifactsInput!$N$27+1,20,24,28,32,36,40),0)/100)))+1)),0)</f>
        <v/>
      </c>
      <c r="S1099">
        <f>IFERROR(O1099/N1099,0)</f>
        <v/>
      </c>
      <c r="T1099" t="n">
        <v>0</v>
      </c>
      <c r="V1099" t="n">
        <v>0</v>
      </c>
    </row>
    <row r="1100">
      <c r="A1100">
        <f>Skills!A15</f>
        <v/>
      </c>
      <c r="B1100">
        <f>Skills!B15</f>
        <v/>
      </c>
      <c r="C1100">
        <f>Inputs!$B$3&gt;=115</f>
        <v/>
      </c>
      <c r="D1100">
        <f>IF(Skills!C15=1,60+Inputs!$B$25+Inputs!$B$29,IF(Skills!C15=2,90+Inputs!$B$26+Inputs!$B$29,IF(Skills!C15=3,120+Inputs!$B$27+Inputs!$B$29,MAX(0,(Inputs!$B$3-100)*3)+Inputs!$B$28+Inputs!$B$29)))</f>
        <v/>
      </c>
      <c r="E1100">
        <f>INDEX(FactorTable!$B$2:$Y$301, MATCH(ROUND(MIN(300,MAX(1,D1100)),0), FactorTable!$A$2:$A$301,0), Skills!M15+1)</f>
        <v/>
      </c>
      <c r="F1100">
        <f>IF(Skills!N15=TRUE,(Skills!L15/10)*(E1100/1000),Skills!L15/10)+Skills!O15</f>
        <v/>
      </c>
      <c r="G1100">
        <f>Skills!G15*IF(Skills!H15&gt;0,Skills!I15/Skills!H15,1)</f>
        <v/>
      </c>
      <c r="H1100">
        <f>1-(1-Skills!J15/100)^Skills!K15</f>
        <v/>
      </c>
      <c r="I1100" t="inlineStr">
        <is>
          <t>1</t>
        </is>
      </c>
      <c r="J1100" t="inlineStr"/>
      <c r="K1100" t="inlineStr"/>
      <c r="L1100" t="inlineStr"/>
      <c r="M1100" t="inlineStr"/>
      <c r="N1100" t="inlineStr"/>
      <c r="O1100">
        <f>(1-Summary!$B$11)*T1100+Summary!$B$11*V1100</f>
        <v/>
      </c>
      <c r="P1100">
        <f>IF(B1121=0,0,O1100/B1121)</f>
        <v/>
      </c>
      <c r="Q1100">
        <f>IFERROR(1/(IF(Inputs!$B$38="pvp",15,MAX(0.1,Skills!D15-IF(Skills!E15=TRUE,Inputs!$B$32,0)))*(1-IF(AND(ArtifactsInput!$M$27,Inputs!$B$4="Chapter Hunt"),CHOOSE(ArtifactsInput!$N$27+1,20,24,28,32,36,40),0)/100)),0)</f>
        <v/>
      </c>
      <c r="R1100">
        <f>IF(AND(Inputs!$B$38&lt;&gt;"pvp",Inputs!$B$43&gt;0),IF(Inputs!$B$43&lt;=0,0,(INT(Inputs!$B$43/(IF(Inputs!$B$38="pvp",15,MAX(0.1,Skills!D15-IF(Skills!E15=TRUE,Inputs!$B$32,0)))*(1-IF(AND(ArtifactsInput!$M$27,Inputs!$B$4="Chapter Hunt"),CHOOSE(ArtifactsInput!$N$27+1,20,24,28,32,36,40),0)/100)))+1)),0)</f>
        <v/>
      </c>
      <c r="S1100">
        <f>IFERROR(O1100/N1100,0)</f>
        <v/>
      </c>
      <c r="T1100" t="n">
        <v>0</v>
      </c>
      <c r="V1100" t="n">
        <v>0</v>
      </c>
    </row>
    <row r="1101">
      <c r="A1101">
        <f>Skills!A16</f>
        <v/>
      </c>
      <c r="B1101">
        <f>Skills!B16</f>
        <v/>
      </c>
      <c r="C1101">
        <f>Inputs!$B$3&gt;=15</f>
        <v/>
      </c>
      <c r="D1101">
        <f>IF(Skills!C16=1,60+Inputs!$B$25+Inputs!$B$29,IF(Skills!C16=2,90+Inputs!$B$26+Inputs!$B$29,IF(Skills!C16=3,120+Inputs!$B$27+Inputs!$B$29,MAX(0,(Inputs!$B$3-100)*3)+Inputs!$B$28+Inputs!$B$29)))</f>
        <v/>
      </c>
      <c r="E1101">
        <f>INDEX(FactorTable!$B$2:$Y$301, MATCH(ROUND(MIN(300,MAX(1,D1101)),0), FactorTable!$A$2:$A$301,0), Skills!M16+1)</f>
        <v/>
      </c>
      <c r="F1101">
        <f>IF(Skills!N16=TRUE,(Skills!L16/10)*(E1101/1000),Skills!L16/10)+Skills!O16</f>
        <v/>
      </c>
      <c r="G1101">
        <f>Skills!G16*IF(Skills!H16&gt;0,Skills!I16/Skills!H16,1)</f>
        <v/>
      </c>
      <c r="H1101">
        <f>1-(1-Skills!J16/100)^Skills!K16</f>
        <v/>
      </c>
      <c r="I1101" t="inlineStr">
        <is>
          <t>1</t>
        </is>
      </c>
      <c r="J1101" t="inlineStr"/>
      <c r="K1101" t="inlineStr"/>
      <c r="L1101" t="inlineStr"/>
      <c r="M1101" t="inlineStr"/>
      <c r="N1101" t="inlineStr"/>
      <c r="O1101">
        <f>(1-Summary!$B$11)*T1101+Summary!$B$11*V1101</f>
        <v/>
      </c>
      <c r="P1101">
        <f>IF(B1121=0,0,O1101/B1121)</f>
        <v/>
      </c>
      <c r="Q1101" t="n">
        <v>0</v>
      </c>
      <c r="R1101" t="n">
        <v>0</v>
      </c>
      <c r="S1101">
        <f>IFERROR(O1101/N1101,0)</f>
        <v/>
      </c>
      <c r="T1101" t="n">
        <v>0</v>
      </c>
      <c r="V1101" t="n">
        <v>0</v>
      </c>
    </row>
    <row r="1102">
      <c r="A1102">
        <f>Skills!A17</f>
        <v/>
      </c>
      <c r="B1102">
        <f>Skills!B17</f>
        <v/>
      </c>
      <c r="C1102">
        <f>Inputs!$B$3&gt;=10</f>
        <v/>
      </c>
      <c r="D1102">
        <f>IF(Skills!C17=1,60+Inputs!$B$25+Inputs!$B$29,IF(Skills!C17=2,90+Inputs!$B$26+Inputs!$B$29,IF(Skills!C17=3,120+Inputs!$B$27+Inputs!$B$29,MAX(0,(Inputs!$B$3-100)*3)+Inputs!$B$28+Inputs!$B$29)))</f>
        <v/>
      </c>
      <c r="E1102">
        <f>INDEX(FactorTable!$B$2:$Y$301, MATCH(ROUND(MIN(300,MAX(1,D1102)),0), FactorTable!$A$2:$A$301,0), Skills!M17+1)</f>
        <v/>
      </c>
      <c r="F1102">
        <f>IF(Skills!N17=TRUE,(Skills!L17/10)*(E1102/1000),Skills!L17/10)+Skills!O17</f>
        <v/>
      </c>
      <c r="G1102">
        <f>Skills!G17*IF(Skills!H17&gt;0,Skills!I17/Skills!H17,1)</f>
        <v/>
      </c>
      <c r="H1102">
        <f>1-(1-Skills!J17/100)^Skills!K17</f>
        <v/>
      </c>
      <c r="I1102" t="inlineStr">
        <is>
          <t>1</t>
        </is>
      </c>
      <c r="J1102" t="inlineStr"/>
      <c r="K1102" t="inlineStr"/>
      <c r="L1102" t="inlineStr"/>
      <c r="M1102" t="inlineStr"/>
      <c r="N1102" t="inlineStr"/>
      <c r="O1102">
        <f>(1-Summary!$B$11)*T1102+Summary!$B$11*V1102</f>
        <v/>
      </c>
      <c r="P1102">
        <f>IF(B1121=0,0,O1102/B1121)</f>
        <v/>
      </c>
      <c r="Q1102" t="n">
        <v>0</v>
      </c>
      <c r="R1102" t="n">
        <v>0</v>
      </c>
      <c r="S1102">
        <f>IFERROR(O1102/N1102,0)</f>
        <v/>
      </c>
      <c r="T1102" t="n">
        <v>0</v>
      </c>
      <c r="V1102" t="n">
        <v>0</v>
      </c>
    </row>
    <row r="1103">
      <c r="A1103">
        <f>Skills!A18</f>
        <v/>
      </c>
      <c r="B1103">
        <f>Skills!B18</f>
        <v/>
      </c>
      <c r="C1103">
        <f>Inputs!$B$3&gt;=33</f>
        <v/>
      </c>
      <c r="D1103">
        <f>IF(Skills!C18=1,60+Inputs!$B$25+Inputs!$B$29,IF(Skills!C18=2,90+Inputs!$B$26+Inputs!$B$29,IF(Skills!C18=3,120+Inputs!$B$27+Inputs!$B$29,MAX(0,(Inputs!$B$3-100)*3)+Inputs!$B$28+Inputs!$B$29)))</f>
        <v/>
      </c>
      <c r="E1103">
        <f>INDEX(FactorTable!$B$2:$Y$301, MATCH(ROUND(MIN(300,MAX(1,D1103)),0), FactorTable!$A$2:$A$301,0), Skills!M18+1)</f>
        <v/>
      </c>
      <c r="F1103">
        <f>IF(Skills!N18=TRUE,(Skills!L18/10)*(E1103/1000),Skills!L18/10)+Skills!O18</f>
        <v/>
      </c>
      <c r="G1103">
        <f>Skills!G18*IF(Skills!H18&gt;0,Skills!I18/Skills!H18,1)</f>
        <v/>
      </c>
      <c r="H1103">
        <f>1-(1-Skills!J18/100)^Skills!K18</f>
        <v/>
      </c>
      <c r="I1103" t="inlineStr">
        <is>
          <t>1</t>
        </is>
      </c>
      <c r="J1103" t="inlineStr"/>
      <c r="K1103" t="inlineStr"/>
      <c r="L1103" t="inlineStr"/>
      <c r="M1103" t="inlineStr"/>
      <c r="N1103" t="inlineStr"/>
      <c r="O1103">
        <f>(1-Summary!$B$11)*T1103+Summary!$B$11*V1103</f>
        <v/>
      </c>
      <c r="P1103">
        <f>IF(B1121=0,0,O1103/B1121)</f>
        <v/>
      </c>
      <c r="Q1103" t="n">
        <v>0</v>
      </c>
      <c r="R1103" t="n">
        <v>0</v>
      </c>
      <c r="S1103">
        <f>IFERROR(O1103/N1103,0)</f>
        <v/>
      </c>
      <c r="T1103" t="n">
        <v>0</v>
      </c>
      <c r="V1103" t="n">
        <v>0</v>
      </c>
    </row>
    <row r="1104">
      <c r="A1104">
        <f>Skills!A19</f>
        <v/>
      </c>
      <c r="B1104">
        <f>Skills!B19</f>
        <v/>
      </c>
      <c r="C1104">
        <f>Inputs!$B$3&gt;=40</f>
        <v/>
      </c>
      <c r="D1104">
        <f>IF(Skills!C19=1,60+Inputs!$B$25+Inputs!$B$29,IF(Skills!C19=2,90+Inputs!$B$26+Inputs!$B$29,IF(Skills!C19=3,120+Inputs!$B$27+Inputs!$B$29,MAX(0,(Inputs!$B$3-100)*3)+Inputs!$B$28+Inputs!$B$29)))</f>
        <v/>
      </c>
      <c r="E1104">
        <f>INDEX(FactorTable!$B$2:$Y$301, MATCH(ROUND(MIN(300,MAX(1,D1104)),0), FactorTable!$A$2:$A$301,0), Skills!M19+1)</f>
        <v/>
      </c>
      <c r="F1104">
        <f>IF(Skills!N19=TRUE,(Skills!L19/10)*(E1104/1000),Skills!L19/10)+Skills!O19</f>
        <v/>
      </c>
      <c r="G1104">
        <f>Skills!G19*IF(Skills!H19&gt;0,Skills!I19/Skills!H19,1)</f>
        <v/>
      </c>
      <c r="H1104">
        <f>1-(1-Skills!J19/100)^Skills!K19</f>
        <v/>
      </c>
      <c r="I1104" t="inlineStr">
        <is>
          <t>1</t>
        </is>
      </c>
      <c r="J1104" t="inlineStr"/>
      <c r="K1104" t="inlineStr"/>
      <c r="L1104" t="inlineStr"/>
      <c r="M1104" t="inlineStr"/>
      <c r="N1104" t="inlineStr"/>
      <c r="O1104">
        <f>(1-Summary!$B$11)*T1104+Summary!$B$11*V1104</f>
        <v/>
      </c>
      <c r="P1104">
        <f>IF(B1121=0,0,O1104/B1121)</f>
        <v/>
      </c>
      <c r="Q1104" t="n">
        <v>0</v>
      </c>
      <c r="R1104" t="n">
        <v>0</v>
      </c>
      <c r="S1104">
        <f>IFERROR(O1104/N1104,0)</f>
        <v/>
      </c>
      <c r="T1104" t="n">
        <v>0</v>
      </c>
      <c r="V1104" t="n">
        <v>0</v>
      </c>
    </row>
    <row r="1105">
      <c r="A1105">
        <f>Skills!A20</f>
        <v/>
      </c>
      <c r="B1105">
        <f>Skills!B20</f>
        <v/>
      </c>
      <c r="C1105">
        <f>Inputs!$B$3&gt;=43</f>
        <v/>
      </c>
      <c r="D1105">
        <f>IF(Skills!C20=1,60+Inputs!$B$25+Inputs!$B$29,IF(Skills!C20=2,90+Inputs!$B$26+Inputs!$B$29,IF(Skills!C20=3,120+Inputs!$B$27+Inputs!$B$29,MAX(0,(Inputs!$B$3-100)*3)+Inputs!$B$28+Inputs!$B$29)))</f>
        <v/>
      </c>
      <c r="E1105">
        <f>INDEX(FactorTable!$B$2:$Y$301, MATCH(ROUND(MIN(300,MAX(1,D1105)),0), FactorTable!$A$2:$A$301,0), Skills!M20+1)</f>
        <v/>
      </c>
      <c r="F1105">
        <f>IF(Skills!N20=TRUE,(Skills!L20/10)*(E1105/1000),Skills!L20/10)+Skills!O20</f>
        <v/>
      </c>
      <c r="G1105">
        <f>Skills!G20*IF(Skills!H20&gt;0,Skills!I20/Skills!H20,1)</f>
        <v/>
      </c>
      <c r="H1105">
        <f>1-(1-Skills!J20/100)^Skills!K20</f>
        <v/>
      </c>
      <c r="I1105" t="inlineStr">
        <is>
          <t>1</t>
        </is>
      </c>
      <c r="J1105" t="inlineStr"/>
      <c r="K1105" t="inlineStr"/>
      <c r="L1105" t="inlineStr"/>
      <c r="M1105" t="inlineStr"/>
      <c r="N1105" t="inlineStr"/>
      <c r="O1105">
        <f>(1-Summary!$B$11)*T1105+Summary!$B$11*V1105</f>
        <v/>
      </c>
      <c r="P1105">
        <f>IF(B1121=0,0,O1105/B1121)</f>
        <v/>
      </c>
      <c r="Q1105" t="n">
        <v>0</v>
      </c>
      <c r="R1105" t="n">
        <v>0</v>
      </c>
      <c r="S1105">
        <f>IFERROR(O1105/N1105,0)</f>
        <v/>
      </c>
      <c r="T1105" t="n">
        <v>0</v>
      </c>
      <c r="V1105" t="n">
        <v>0</v>
      </c>
    </row>
    <row r="1106">
      <c r="A1106">
        <f>Skills!A21</f>
        <v/>
      </c>
      <c r="B1106">
        <f>Skills!B21</f>
        <v/>
      </c>
      <c r="C1106">
        <f>Inputs!$B$3&gt;=38</f>
        <v/>
      </c>
      <c r="D1106">
        <f>IF(Skills!C21=1,60+Inputs!$B$25+Inputs!$B$29,IF(Skills!C21=2,90+Inputs!$B$26+Inputs!$B$29,IF(Skills!C21=3,120+Inputs!$B$27+Inputs!$B$29,MAX(0,(Inputs!$B$3-100)*3)+Inputs!$B$28+Inputs!$B$29)))</f>
        <v/>
      </c>
      <c r="E1106">
        <f>INDEX(FactorTable!$B$2:$Y$301, MATCH(ROUND(MIN(300,MAX(1,D1106)),0), FactorTable!$A$2:$A$301,0), Skills!M21+1)</f>
        <v/>
      </c>
      <c r="F1106">
        <f>IF(Skills!N21=TRUE,(Skills!L21/10)*(E1106/1000),Skills!L21/10)+Skills!O21</f>
        <v/>
      </c>
      <c r="G1106">
        <f>Skills!G21*IF(Skills!H21&gt;0,Skills!I21/Skills!H21,1)</f>
        <v/>
      </c>
      <c r="H1106">
        <f>1-(1-Skills!J21/100)^Skills!K21</f>
        <v/>
      </c>
      <c r="I1106" t="inlineStr">
        <is>
          <t>1</t>
        </is>
      </c>
      <c r="J1106" t="inlineStr"/>
      <c r="K1106" t="inlineStr"/>
      <c r="L1106" t="inlineStr"/>
      <c r="M1106" t="inlineStr"/>
      <c r="N1106" t="inlineStr"/>
      <c r="O1106">
        <f>(1-Summary!$B$11)*T1106+Summary!$B$11*V1106</f>
        <v/>
      </c>
      <c r="P1106">
        <f>IF(B1121=0,0,O1106/B1121)</f>
        <v/>
      </c>
      <c r="Q1106" t="n">
        <v>0</v>
      </c>
      <c r="R1106" t="n">
        <v>0</v>
      </c>
      <c r="S1106">
        <f>IFERROR(O1106/N1106,0)</f>
        <v/>
      </c>
      <c r="T1106" t="n">
        <v>0</v>
      </c>
      <c r="V1106" t="n">
        <v>0</v>
      </c>
    </row>
    <row r="1107">
      <c r="A1107">
        <f>Skills!A22</f>
        <v/>
      </c>
      <c r="B1107">
        <f>Skills!B22</f>
        <v/>
      </c>
      <c r="C1107">
        <f>Inputs!$B$3&gt;=75</f>
        <v/>
      </c>
      <c r="D1107">
        <f>IF(Skills!C22=1,60+Inputs!$B$25+Inputs!$B$29,IF(Skills!C22=2,90+Inputs!$B$26+Inputs!$B$29,IF(Skills!C22=3,120+Inputs!$B$27+Inputs!$B$29,MAX(0,(Inputs!$B$3-100)*3)+Inputs!$B$28+Inputs!$B$29)))</f>
        <v/>
      </c>
      <c r="E1107">
        <f>INDEX(FactorTable!$B$2:$Y$301, MATCH(ROUND(MIN(300,MAX(1,D1107)),0), FactorTable!$A$2:$A$301,0), Skills!M22+1)</f>
        <v/>
      </c>
      <c r="F1107">
        <f>IF(Skills!N22=TRUE,(Skills!L22/10)*(E1107/1000),Skills!L22/10)+Skills!O22</f>
        <v/>
      </c>
      <c r="G1107">
        <f>Skills!G22*IF(Skills!H22&gt;0,Skills!I22/Skills!H22,1)</f>
        <v/>
      </c>
      <c r="H1107">
        <f>1-(1-Skills!J22/100)^Skills!K22</f>
        <v/>
      </c>
      <c r="I1107" t="inlineStr">
        <is>
          <t>1</t>
        </is>
      </c>
      <c r="J1107" t="inlineStr"/>
      <c r="K1107" t="inlineStr"/>
      <c r="L1107" t="inlineStr"/>
      <c r="M1107" t="inlineStr"/>
      <c r="N1107" t="inlineStr"/>
      <c r="O1107">
        <f>(1-Summary!$B$11)*T1107+Summary!$B$11*V1107</f>
        <v/>
      </c>
      <c r="P1107">
        <f>IF(B1121=0,0,O1107/B1121)</f>
        <v/>
      </c>
      <c r="Q1107" t="n">
        <v>0</v>
      </c>
      <c r="R1107" t="n">
        <v>0</v>
      </c>
      <c r="S1107">
        <f>IFERROR(O1107/N1107,0)</f>
        <v/>
      </c>
      <c r="T1107" t="n">
        <v>0</v>
      </c>
      <c r="V1107" t="n">
        <v>0</v>
      </c>
    </row>
    <row r="1108">
      <c r="A1108">
        <f>Skills!A23</f>
        <v/>
      </c>
      <c r="B1108">
        <f>Skills!B23</f>
        <v/>
      </c>
      <c r="C1108">
        <f>TRUE</f>
        <v/>
      </c>
      <c r="D1108">
        <f>IF(Skills!C23=1,60+Inputs!$B$25+Inputs!$B$29,IF(Skills!C23=2,90+Inputs!$B$26+Inputs!$B$29,IF(Skills!C23=3,120+Inputs!$B$27+Inputs!$B$29,MAX(0,(Inputs!$B$3-100)*3)+Inputs!$B$28+Inputs!$B$29)))</f>
        <v/>
      </c>
      <c r="E1108">
        <f>INDEX(FactorTable!$B$2:$Y$301, MATCH(ROUND(MIN(300,MAX(1,D1108)),0), FactorTable!$A$2:$A$301,0), Skills!M23+1)</f>
        <v/>
      </c>
      <c r="F1108">
        <f>IF(Skills!N23=TRUE,(Skills!L23/10)*(E1108/1000),Skills!L23/10)+Skills!O23</f>
        <v/>
      </c>
      <c r="G1108">
        <f>Skills!G23*IF(Skills!H23&gt;0,Skills!I23/Skills!H23,1)</f>
        <v/>
      </c>
      <c r="H1108">
        <f>1-(1-Skills!J23/100)^Skills!K23</f>
        <v/>
      </c>
      <c r="I1108" t="inlineStr">
        <is>
          <t>1</t>
        </is>
      </c>
      <c r="J1108" t="inlineStr"/>
      <c r="K1108" t="inlineStr"/>
      <c r="L1108" t="inlineStr"/>
      <c r="M1108" t="inlineStr"/>
      <c r="N1108" t="inlineStr"/>
      <c r="O1108">
        <f>(1-Summary!$B$11)*T1108+Summary!$B$11*V1108</f>
        <v/>
      </c>
      <c r="P1108">
        <f>IF(B1121=0,0,O1108/B1121)</f>
        <v/>
      </c>
      <c r="Q1108">
        <f>IFERROR(1/(IF(Inputs!$B$38="pvp",15,MAX(0.1,Skills!D23-IF(Skills!E23=TRUE,Inputs!$B$32,0)))*(1-IF(AND(ArtifactsInput!$M$27,Inputs!$B$4="Chapter Hunt"),CHOOSE(ArtifactsInput!$N$27+1,20,24,28,32,36,40),0)/100)),0)</f>
        <v/>
      </c>
      <c r="R1108">
        <f>IF(AND(Inputs!$B$38&lt;&gt;"pvp",Inputs!$B$43&gt;0),IF(Inputs!$B$43&lt;=0,0,(INT(Inputs!$B$43/(IF(Inputs!$B$38="pvp",15,MAX(0.1,Skills!D23-IF(Skills!E23=TRUE,Inputs!$B$32,0)))*(1-IF(AND(ArtifactsInput!$M$27,Inputs!$B$4="Chapter Hunt"),CHOOSE(ArtifactsInput!$N$27+1,20,24,28,32,36,40),0)/100)))+1)),0)</f>
        <v/>
      </c>
      <c r="S1108">
        <f>IFERROR(O1108/N1108,0)</f>
        <v/>
      </c>
      <c r="T1108" t="n">
        <v>0</v>
      </c>
      <c r="V1108" t="n">
        <v>0</v>
      </c>
    </row>
    <row r="1110">
      <c r="A1110" t="inlineStr">
        <is>
          <t>Attack% Bucket Multiplier</t>
        </is>
      </c>
      <c r="B1110">
        <f>(1+(((C1098=TRUE)*F1098*5/7)+((C1104=TRUE)*(F1104-Calc!F19))+(IF(ArtifactsInput!$M$21,CHOOSE(ArtifactsInput!$N$21+1,25,30,35,40,45,50)*(IF(OR(Inputs!$B$4="Chapter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111">
      <c r="A1111" t="inlineStr">
        <is>
          <t>Global Crit Rate Bonus %</t>
        </is>
      </c>
      <c r="B1111" t="n">
        <v>0</v>
      </c>
    </row>
    <row r="1112">
      <c r="A1112" t="inlineStr">
        <is>
          <t>Attack Speed Buff Bonus % (Nimble Feet, duty-cycle averaged)</t>
        </is>
      </c>
      <c r="B1112">
        <f>((C1108=TRUE)*F1108*IF(AND(Inputs!$B$38&lt;&gt;"pvp",Inputs!$B$43&gt;0),(((R1108-1)*(Skills!T23*(1+Inputs!$B$34/100))+MIN((Skills!T23*(1+Inputs!$B$34/100)),MAX(0,Inputs!$B$43-((R1108-1)*Skills!D23))))/Inputs!$B$43),IF(Inputs!$B$38="pvp",MIN((Skills!T23*(1+Inputs!$B$34/100)),15)/15,(Skills!T23*(1+Inputs!$B$34/100))/Skills!D23)))</f>
        <v/>
      </c>
    </row>
    <row r="1113">
      <c r="A1113" t="inlineStr">
        <is>
          <t>Actions Per Second</t>
        </is>
      </c>
      <c r="B1113">
        <f>1+MIN(150,150*(1-(1-(Inputs!$B$11+((C1102=TRUE)*(F1102-Calc!F17))+((C1103=TRUE)*(F1103-Calc!F18)))/150)*(1-B1112/150)))/100</f>
        <v/>
      </c>
    </row>
    <row r="1114">
      <c r="A1114" t="inlineStr">
        <is>
          <t>Skill + Buff Cast Rate</t>
        </is>
      </c>
      <c r="B1114">
        <f>IF(AND(Inputs!$B$38&lt;&gt;"pvp",Inputs!$B$43&gt;0),SUMPRODUCT((Skills!E2:E23=TRUE)*(C1087:C1108=TRUE)*R1087:R1108*Skills!F2:F23)/Inputs!$B$43,SUMPRODUCT((Skills!E2:E23=TRUE)*(C1087:C1108=TRUE)*Q1087:Q1108*Skills!F2:F23))</f>
        <v/>
      </c>
    </row>
    <row r="1115">
      <c r="A1115" t="inlineStr">
        <is>
          <t>Hook Bomber Casts Per Second</t>
        </is>
      </c>
      <c r="B1115">
        <f>MAX(0,B1113-B1114)</f>
        <v/>
      </c>
    </row>
    <row r="1116">
      <c r="A1116" t="inlineStr">
        <is>
          <t>Global Critical Damage Bonus % (unused)</t>
        </is>
      </c>
      <c r="B1116" t="n">
        <v>0</v>
      </c>
    </row>
    <row r="1117">
      <c r="A1117" t="inlineStr">
        <is>
          <t>Global Final Damage Bonus % (Serpent Scale + Crossbones + Time Leap + Speed Infusion)</t>
        </is>
      </c>
      <c r="B1117">
        <f>((C1090=TRUE)*F1090*((10+IF(Inputs!$B$3&gt;=94,5,0))/((10+IF(Inputs!$B$3&gt;=94,5,0))+5/(B1115*(1+IF(Inputs!$B$3&gt;=104,1,0))))))+((C1099=TRUE)*F1099*IF(AND(Inputs!$B$38&lt;&gt;"pvp",Inputs!$B$43&gt;0),(((R1099-1)*(Skills!T14*(1+Inputs!$B$34/100))+MIN((Skills!T14*(1+Inputs!$B$34/100)),MAX(0,Inputs!$B$43-((R1099-1)*Skills!D14))))/Inputs!$B$43),IF(Inputs!$B$38="pvp",MIN((Skills!T14*(1+Inputs!$B$34/100)),15)/15,(Skills!T14*(1+Inputs!$B$34/100))/Skills!D14)))+((C1100=TRUE)*F1100*IF(AND(Inputs!$B$38&lt;&gt;"pvp",Inputs!$B$43&gt;0),(((R1100-1)*(Skills!T15*(1+Inputs!$B$34/100))+MIN((Skills!T15*(1+Inputs!$B$34/100)),MAX(0,Inputs!$B$43-((R1100-1)*Skills!D15))))/Inputs!$B$43),IF(Inputs!$B$38="pvp",MIN((Skills!T15*(1+Inputs!$B$34/100)),15)/15,(Skills!T15*(1+Inputs!$B$34/100))/Skills!D15)))+((Inputs!$B$3&gt;=110)*20*(B1113-1)*IF(Inputs!$B$38="pvp",MIN((15*(1+Inputs!$B$34/100)),15)/15,(15*(1+Inputs!$B$34/100))/35))</f>
        <v/>
      </c>
    </row>
    <row r="1118">
      <c r="A1118" t="inlineStr">
        <is>
          <t>Buff-Casting Startup Delay (s, fixed-duration only)</t>
        </is>
      </c>
      <c r="B1118">
        <f>IF(AND(Inputs!$B$38&lt;&gt;"pvp",Inputs!$B$43&gt;0),SUMPRODUCT((Skills!T2:T23&gt;0)*(Skills!E2:E23=TRUE)*(C1087:C1108=TRUE))/B1113,0)</f>
        <v/>
      </c>
    </row>
    <row r="1119">
      <c r="A1119" t="inlineStr">
        <is>
          <t>Boss-Only Total DPS (this block's swept value)</t>
        </is>
      </c>
      <c r="B1119">
        <f>SUM(T1087:T1108)</f>
        <v/>
      </c>
    </row>
    <row r="1120">
      <c r="A1120" t="inlineStr">
        <is>
          <t>Normal-Only Total DPS (this block's swept value)</t>
        </is>
      </c>
      <c r="B1120">
        <f>SUM(V1087:V1108)</f>
        <v/>
      </c>
    </row>
    <row r="1121">
      <c r="A1121" s="6" t="inlineStr">
        <is>
          <t>TOTAL DPS</t>
        </is>
      </c>
      <c r="B1121" s="6">
        <f>SUM(O1087:O1108)</f>
        <v/>
      </c>
    </row>
    <row r="1124">
      <c r="A1124" s="6" t="inlineStr">
        <is>
          <t>Stat: Pig's Ribbon (Equip)</t>
        </is>
      </c>
    </row>
    <row r="1125">
      <c r="A1125" s="5" t="inlineStr">
        <is>
          <t>Key</t>
        </is>
      </c>
      <c r="B1125" s="5" t="inlineStr">
        <is>
          <t>Name</t>
        </is>
      </c>
      <c r="C1125" s="5" t="inlineStr">
        <is>
          <t>Unlocked</t>
        </is>
      </c>
      <c r="D1125" s="5" t="inlineStr">
        <is>
          <t>InputLevel</t>
        </is>
      </c>
      <c r="E1125" s="5" t="inlineStr">
        <is>
          <t>Factor</t>
        </is>
      </c>
      <c r="F1125" s="5" t="inlineStr">
        <is>
          <t>CoefficientPercent</t>
        </is>
      </c>
      <c r="G1125" s="5" t="inlineStr">
        <is>
          <t>EffectiveHits</t>
        </is>
      </c>
      <c r="H1125" s="5" t="inlineStr">
        <is>
          <t>ProcProbability</t>
        </is>
      </c>
      <c r="I1125" s="5" t="inlineStr">
        <is>
          <t>MapleHeroMultiplier</t>
        </is>
      </c>
      <c r="J1125" s="5" t="inlineStr">
        <is>
          <t>BaseDamage</t>
        </is>
      </c>
      <c r="K1125" s="5" t="inlineStr">
        <is>
          <t>BaseHitDamage</t>
        </is>
      </c>
      <c r="L1125" s="5" t="inlineStr">
        <is>
          <t>NonCritAvg</t>
        </is>
      </c>
      <c r="M1125" s="5" t="inlineStr">
        <is>
          <t>CritAvg</t>
        </is>
      </c>
      <c r="N1125" s="5" t="inlineStr">
        <is>
          <t>ExpectedDamage(perHit)</t>
        </is>
      </c>
      <c r="O1125" s="5" t="inlineStr">
        <is>
          <t>DPS</t>
        </is>
      </c>
      <c r="P1125" s="5" t="inlineStr">
        <is>
          <t>% of Total</t>
        </is>
      </c>
      <c r="Q1125" s="5" t="inlineStr">
        <is>
          <t>InvCooldown</t>
        </is>
      </c>
      <c r="R1125" s="5" t="inlineStr">
        <is>
          <t>CastsInFight</t>
        </is>
      </c>
      <c r="S1125" s="5" t="inlineStr">
        <is>
          <t>HitRate(perSec)</t>
        </is>
      </c>
      <c r="U1125" t="inlineStr">
        <is>
          <t>helpers</t>
        </is>
      </c>
    </row>
    <row r="1126">
      <c r="A1126">
        <f>Skills!A2</f>
        <v/>
      </c>
      <c r="B1126">
        <f>Skills!B2</f>
        <v/>
      </c>
      <c r="C1126">
        <f>Inputs!$B$3&gt;=100</f>
        <v/>
      </c>
      <c r="D1126" t="inlineStr"/>
      <c r="E1126" t="inlineStr"/>
      <c r="F1126">
        <f>U1128+Skills!O2</f>
        <v/>
      </c>
      <c r="G1126">
        <f>Skills!G2*IF(Skills!H2&gt;0,Skills!I2/Skills!H2,1)</f>
        <v/>
      </c>
      <c r="H1126">
        <f>1-(1-Skills!J2/100)^Skills!K2</f>
        <v/>
      </c>
      <c r="I1126" t="inlineStr">
        <is>
          <t>1</t>
        </is>
      </c>
      <c r="J1126">
        <f>((Inputs!$B$6*(1+Inputs!$B$7/100))+(((Inputs!$B$12*(1+Inputs!$B$13/100))-(Inputs!$B$12*(1+Inputs!$B$13/100)))+0.25*(Inputs!$B$14-Inputs!$B$14))*(1+Inputs!$B$7/100))*(F1126/100)</f>
        <v/>
      </c>
      <c r="K1126">
        <f>J1126*(1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1126)</f>
        <v/>
      </c>
      <c r="L1126">
        <f>K1126*(MIN(Inputs!$B$22+((C1144=TRUE)*(F1144-Calc!F20)),(Inputs!$B$23+0+(IF(ArtifactsInput!$M$15,CHOOSE(ArtifactsInput!$N$15+1,25,30,35,40,45,50)/100*(Inputs!$B$11-Inputs!$B$11),0))))/100+(Inputs!$B$23+0+(IF(ArtifactsInput!$M$15,CHOOSE(ArtifactsInput!$N$15+1,25,30,35,40,45,50)/100*(Inputs!$B$11-Inputs!$B$11),0)))/100)/2</f>
        <v/>
      </c>
      <c r="M1126">
        <f>L1126*(1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6">
        <f>L1126*(1-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1126*(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6">
        <f>(1-Summary!$B$11)*T1126+Summary!$B$11*V1126</f>
        <v/>
      </c>
      <c r="P1126">
        <f>IF(B1160=0,0,O1126/B1160)</f>
        <v/>
      </c>
      <c r="Q1126" t="n">
        <v>0</v>
      </c>
      <c r="R1126" t="n">
        <v>0</v>
      </c>
      <c r="S1126">
        <f>IFERROR(O1126/N1126,0)</f>
        <v/>
      </c>
      <c r="T1126">
        <f>IF(C1126,(Skills!G2*N1126*B1154)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1126*(1-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1126*(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1126*(1-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1126*(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6">
        <f>MAX(0,(Inputs!$B$3-100)*3)+Inputs!$B$28+Inputs!$B$29</f>
        <v/>
      </c>
      <c r="V1126">
        <f>IF(C1126,(Skills!G2*N1126*B1154)*IF(Inputs!$B$38="pvp",1,(1+(Inputs!$B$21+Skills!Q2+(IF(ArtifactsInput!$M$33,CHOOSE(ArtifactsInput!$N$33+1,30,36,42,48,54,60),0))+(IF(AND(ArtifactsInput!$M$35,Inputs!$B$4&lt;&gt;"Chapter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7">
      <c r="A1127">
        <f>Skills!A3</f>
        <v/>
      </c>
      <c r="B1127">
        <f>Skills!B3</f>
        <v/>
      </c>
      <c r="C1127">
        <f>Inputs!$B$3&gt;=35</f>
        <v/>
      </c>
      <c r="D1127">
        <f>IF(Skills!C3=1,60+Inputs!$B$25+Inputs!$B$29,IF(Skills!C3=2,90+Inputs!$B$26+Inputs!$B$29,IF(Skills!C3=3,120+Inputs!$B$27+Inputs!$B$29,MAX(0,(Inputs!$B$3-100)*3)+Inputs!$B$28+Inputs!$B$29)))</f>
        <v/>
      </c>
      <c r="E1127">
        <f>INDEX(FactorTable!$B$2:$Y$301, MATCH(ROUND(MIN(300,MAX(1,D1127)),0), FactorTable!$A$2:$A$301,0), Skills!M3+1)</f>
        <v/>
      </c>
      <c r="F1127">
        <f>IF(Skills!N3=TRUE,(Skills!L3/10)*(E1127/1000),Skills!L3/10)+Skills!O3</f>
        <v/>
      </c>
      <c r="G1127">
        <f>Skills!G3*IF(Skills!H3&gt;0,Skills!I3/Skills!H3,1)</f>
        <v/>
      </c>
      <c r="H1127">
        <f>1-(1-Skills!J3/100)^Skills!K3</f>
        <v/>
      </c>
      <c r="I1127" t="inlineStr">
        <is>
          <t>1</t>
        </is>
      </c>
      <c r="J1127">
        <f>((Inputs!$B$6*(1+Inputs!$B$7/100))+(((Inputs!$B$12*(1+Inputs!$B$13/100))-(Inputs!$B$12*(1+Inputs!$B$13/100)))+0.25*(Inputs!$B$14-Inputs!$B$14))*(1+Inputs!$B$7/100))*(F1127/100)</f>
        <v/>
      </c>
      <c r="K1127">
        <f>J1127*(1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1127)</f>
        <v/>
      </c>
      <c r="L1127">
        <f>K1127*(MIN(Inputs!$B$22+((C1144=TRUE)*(F1144-Calc!F20)),(Inputs!$B$23+0+(IF(ArtifactsInput!$M$15,CHOOSE(ArtifactsInput!$N$15+1,25,30,35,40,45,50)/100*(Inputs!$B$11-Inputs!$B$11),0))))/100+(Inputs!$B$23+0+(IF(ArtifactsInput!$M$15,CHOOSE(ArtifactsInput!$N$15+1,25,30,35,40,45,50)/100*(Inputs!$B$11-Inputs!$B$11),0)))/100)/2</f>
        <v/>
      </c>
      <c r="M1127">
        <f>L1127*(1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7">
        <f>L1127*(1-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1127*(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7">
        <f>(1-Summary!$B$11)*T1127+Summary!$B$11*V1127</f>
        <v/>
      </c>
      <c r="P1127">
        <f>IF(B1160=0,0,O1127/B1160)</f>
        <v/>
      </c>
      <c r="Q1127" t="n">
        <v>0</v>
      </c>
      <c r="R1127" t="n">
        <v>0</v>
      </c>
      <c r="S1127">
        <f>IFERROR(O1127/N1127,0)</f>
        <v/>
      </c>
      <c r="T1127">
        <f>IF(C1127,(Skills!G3*H1127*N1127*B1154)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1127*(1-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1127*(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1127*(1-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1127*(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7">
        <f>INDEX(FactorTable!$B$2:$Y$301, MATCH(ROUND(MIN(300,MAX(1,U1126)),0), FactorTable!$A$2:$A$301,0), 22)</f>
        <v/>
      </c>
      <c r="V1127">
        <f>IF(C1127,(Skills!G3*H1127*N1127*B1154)*IF(Inputs!$B$38="pvp",1,(1+(Inputs!$B$21+Skills!Q3+(IF(ArtifactsInput!$M$33,CHOOSE(ArtifactsInput!$N$33+1,30,36,42,48,54,60),0))+(IF(AND(ArtifactsInput!$M$35,Inputs!$B$4&lt;&gt;"Chapter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8">
      <c r="A1128">
        <f>Skills!A4</f>
        <v/>
      </c>
      <c r="B1128">
        <f>Skills!B4</f>
        <v/>
      </c>
      <c r="C1128">
        <f>Inputs!$B$3&gt;=60</f>
        <v/>
      </c>
      <c r="D1128">
        <f>IF(Skills!C4=1,60+Inputs!$B$25+Inputs!$B$29,IF(Skills!C4=2,90+Inputs!$B$26+Inputs!$B$29,IF(Skills!C4=3,120+Inputs!$B$27+Inputs!$B$29,MAX(0,(Inputs!$B$3-100)*3)+Inputs!$B$28+Inputs!$B$29)))</f>
        <v/>
      </c>
      <c r="E1128">
        <f>INDEX(FactorTable!$B$2:$Y$301, MATCH(ROUND(MIN(300,MAX(1,D1128)),0), FactorTable!$A$2:$A$301,0), Skills!M4+1)</f>
        <v/>
      </c>
      <c r="F1128">
        <f>IF(Skills!N4=TRUE,(Skills!L4/10)*(E1128/1000),Skills!L4/10)+Skills!O4</f>
        <v/>
      </c>
      <c r="G1128">
        <f>Skills!G4*IF(Skills!H4&gt;0,Skills!I4/Skills!H4,1)</f>
        <v/>
      </c>
      <c r="H1128">
        <f>1-(1-Skills!J4/100)^Skills!K4</f>
        <v/>
      </c>
      <c r="I1128" t="inlineStr">
        <is>
          <t>1</t>
        </is>
      </c>
      <c r="J1128">
        <f>((Inputs!$B$6*(1+Inputs!$B$7/100))+(((Inputs!$B$12*(1+Inputs!$B$13/100))-(Inputs!$B$12*(1+Inputs!$B$13/100)))+0.25*(Inputs!$B$14-Inputs!$B$14))*(1+Inputs!$B$7/100))*(F1128/100)</f>
        <v/>
      </c>
      <c r="K1128">
        <f>J1128*(1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1136=TRUE,F1136,0)/100)*(1+(IF(Skills!A4="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1128)</f>
        <v/>
      </c>
      <c r="L1128">
        <f>K1128*(MIN(Inputs!$B$22+((C1144=TRUE)*(F1144-Calc!F20)),(Inputs!$B$23+0+(IF(ArtifactsInput!$M$15,CHOOSE(ArtifactsInput!$N$15+1,25,30,35,40,45,50)/100*(Inputs!$B$11-Inputs!$B$11),0))))/100+(Inputs!$B$23+0+(IF(ArtifactsInput!$M$15,CHOOSE(ArtifactsInput!$N$15+1,25,30,35,40,45,50)/100*(Inputs!$B$11-Inputs!$B$11),0)))/100)/2</f>
        <v/>
      </c>
      <c r="M1128">
        <f>L1128*(1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28">
        <f>L1128*(1-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1128*(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28">
        <f>(1-Summary!$B$11)*T1128+Summary!$B$11*V1128</f>
        <v/>
      </c>
      <c r="P1128">
        <f>IF(B1160=0,0,O1128/B1160)</f>
        <v/>
      </c>
      <c r="Q1128" t="n">
        <v>0</v>
      </c>
      <c r="R1128" t="n">
        <v>0</v>
      </c>
      <c r="S1128">
        <f>IFERROR(O1128/N1128,0)</f>
        <v/>
      </c>
      <c r="T1128">
        <f>IF(C1128,(Skills!G4*H1128*N1128*B1154)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1128*(1-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1128*(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1128*(1-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1128*(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28">
        <f>290*U1127/1000</f>
        <v/>
      </c>
      <c r="V1128">
        <f>IF(C1128,(Skills!G4*H1128*N1128*B1154)*IF(Inputs!$B$38="pvp",1,(1+(Inputs!$B$21+Skills!Q4+(IF(ArtifactsInput!$M$33,CHOOSE(ArtifactsInput!$N$33+1,30,36,42,48,54,60),0))+(IF(AND(ArtifactsInput!$M$35,Inputs!$B$4&lt;&gt;"Chapter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29">
      <c r="A1129">
        <f>Skills!A5</f>
        <v/>
      </c>
      <c r="B1129">
        <f>Skills!B5</f>
        <v/>
      </c>
      <c r="C1129">
        <f>Inputs!$B$3&gt;=60</f>
        <v/>
      </c>
      <c r="D1129">
        <f>IF(Skills!C5=1,60+Inputs!$B$25+Inputs!$B$29,IF(Skills!C5=2,90+Inputs!$B$26+Inputs!$B$29,IF(Skills!C5=3,120+Inputs!$B$27+Inputs!$B$29,MAX(0,(Inputs!$B$3-100)*3)+Inputs!$B$28+Inputs!$B$29)))</f>
        <v/>
      </c>
      <c r="E1129">
        <f>INDEX(FactorTable!$B$2:$Y$301, MATCH(ROUND(MIN(300,MAX(1,D1129)),0), FactorTable!$A$2:$A$301,0), Skills!M5+1)</f>
        <v/>
      </c>
      <c r="F1129">
        <f>IF(Skills!N5=TRUE,(Skills!L5/10)*(E1129/1000),Skills!L5/10)+Skills!O5</f>
        <v/>
      </c>
      <c r="G1129">
        <f>Skills!G5*IF(Skills!H5&gt;0,Skills!I5/Skills!H5,1)</f>
        <v/>
      </c>
      <c r="H1129">
        <f>1-(1-Skills!J5/100)^Skills!K5</f>
        <v/>
      </c>
      <c r="I1129" t="inlineStr">
        <is>
          <t>1</t>
        </is>
      </c>
      <c r="J1129" t="inlineStr"/>
      <c r="K1129" t="inlineStr"/>
      <c r="L1129" t="inlineStr"/>
      <c r="M1129" t="inlineStr"/>
      <c r="N1129" t="inlineStr"/>
      <c r="O1129">
        <f>(1-Summary!$B$11)*T1129+Summary!$B$11*V1129</f>
        <v/>
      </c>
      <c r="P1129">
        <f>IF(B1160=0,0,O1129/B1160)</f>
        <v/>
      </c>
      <c r="Q1129" t="n">
        <v>0</v>
      </c>
      <c r="R1129" t="n">
        <v>0</v>
      </c>
      <c r="S1129">
        <f>IFERROR(O1129/N1129,0)</f>
        <v/>
      </c>
      <c r="T1129" t="n">
        <v>0</v>
      </c>
      <c r="V1129" t="n">
        <v>0</v>
      </c>
    </row>
    <row r="1130">
      <c r="A1130">
        <f>Skills!A6</f>
        <v/>
      </c>
      <c r="B1130">
        <f>Skills!B6</f>
        <v/>
      </c>
      <c r="C1130">
        <f>Inputs!$B$3&gt;=63</f>
        <v/>
      </c>
      <c r="D1130">
        <f>IF(Skills!C6=1,60+Inputs!$B$25+Inputs!$B$29,IF(Skills!C6=2,90+Inputs!$B$26+Inputs!$B$29,IF(Skills!C6=3,120+Inputs!$B$27+Inputs!$B$29,MAX(0,(Inputs!$B$3-100)*3)+Inputs!$B$28+Inputs!$B$29)))</f>
        <v/>
      </c>
      <c r="E1130">
        <f>INDEX(FactorTable!$B$2:$Y$301, MATCH(ROUND(MIN(300,MAX(1,D1130)),0), FactorTable!$A$2:$A$301,0), Skills!M6+1)</f>
        <v/>
      </c>
      <c r="F1130">
        <f>IF(Skills!N6=TRUE,(Skills!L6/10)*(E1130/1000),Skills!L6/10)+Skills!O6</f>
        <v/>
      </c>
      <c r="G1130">
        <f>Skills!G6*IF(Skills!H6&gt;0,Skills!I6/Skills!H6,1)</f>
        <v/>
      </c>
      <c r="H1130">
        <f>1-(1-Skills!J6/100)^Skills!K6</f>
        <v/>
      </c>
      <c r="I1130" t="inlineStr">
        <is>
          <t>1</t>
        </is>
      </c>
      <c r="J1130">
        <f>((Inputs!$B$6*(1+Inputs!$B$7/100))+(((Inputs!$B$12*(1+Inputs!$B$13/100))-(Inputs!$B$12*(1+Inputs!$B$13/100)))+0.25*(Inputs!$B$14-Inputs!$B$14))*(1+Inputs!$B$7/100))*(F1130/100)</f>
        <v/>
      </c>
      <c r="K1130">
        <f>J1130*(1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1136=TRUE,F1136,0)/100)*(1+(IF(Skills!A6="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1130)</f>
        <v/>
      </c>
      <c r="L1130">
        <f>K1130*(MIN(Inputs!$B$22+((C1144=TRUE)*(F1144-Calc!F20)),(Inputs!$B$23+0+(IF(ArtifactsInput!$M$15,CHOOSE(ArtifactsInput!$N$15+1,25,30,35,40,45,50)/100*(Inputs!$B$11-Inputs!$B$11),0))))/100+(Inputs!$B$23+0+(IF(ArtifactsInput!$M$15,CHOOSE(ArtifactsInput!$N$15+1,25,30,35,40,45,50)/100*(Inputs!$B$11-Inputs!$B$11),0)))/100)/2</f>
        <v/>
      </c>
      <c r="M1130">
        <f>L1130*(1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0">
        <f>L1130*(1-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1130*(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0">
        <f>(1-Summary!$B$11)*T1130+Summary!$B$11*V1130</f>
        <v/>
      </c>
      <c r="P1130">
        <f>IF(B1160=0,0,O1130/B1160)</f>
        <v/>
      </c>
      <c r="Q1130">
        <f>IFERROR(1/(IF(Inputs!$B$38="pvp",15,MAX(0.1,Skills!D6-IF(Skills!E6=TRUE,Inputs!$B$32,0)))*(1-IF(AND(ArtifactsInput!$M$27,Inputs!$B$4="Chapter Hunt"),CHOOSE(ArtifactsInput!$N$27+1,20,24,28,32,36,40),0)/100)),0)</f>
        <v/>
      </c>
      <c r="R1130">
        <f>IF(AND(Inputs!$B$38&lt;&gt;"pvp",Inputs!$B$43&gt;0),IF(MAX(0,Inputs!$B$43-B1157)&lt;=0,0,(INT(MAX(0,Inputs!$B$43-B1157)/(IF(Inputs!$B$38="pvp",15,MAX(0.1,Skills!D6-IF(Skills!E6=TRUE,Inputs!$B$32,0)))*(1-IF(AND(ArtifactsInput!$M$27,Inputs!$B$4="Chapter Hunt"),CHOOSE(ArtifactsInput!$N$27+1,20,24,28,32,36,40),0)/100)))+1)),0)</f>
        <v/>
      </c>
      <c r="S1130">
        <f>IFERROR(O1130/N1130,0)</f>
        <v/>
      </c>
      <c r="T1130">
        <f>IF(C1130,(H1130*N1130*IF(AND(Inputs!$B$38&lt;&gt;"pvp",Inputs!$B$43&gt;0),((Skills!G6*((R1130-1)*IF(Skills!H6&gt;0,Skills!I6/Skills!H6,1)+IF(Skills!H6&gt;0,MIN(Skills!I6,MAX(0,MAX(0,Inputs!$B$43-B1157)-((R1130-1)*(IF(Inputs!$B$38="pvp",15,MAX(0.1,Skills!D6-IF(Skills!E6=TRUE,Inputs!$B$32,0)))*(1-IF(AND(ArtifactsInput!$M$27,Inputs!$B$4="Chapter Hunt"),CHOOSE(ArtifactsInput!$N$27+1,20,24,28,32,36,40),0)/100)))))/Skills!H6,1)))/Inputs!$B$43),G1130*Q1130)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1130*(1-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1130*(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1130*(1-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1130*(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0">
        <f>IF(C1130,(H1130*N1130*IF(AND(Inputs!$B$38&lt;&gt;"pvp",Inputs!$B$43&gt;0),((Skills!G6*((R1130-1)*IF(Skills!H6&gt;0,Skills!I6/Skills!H6,1)+IF(Skills!H6&gt;0,MIN(Skills!I6,MAX(0,MAX(0,Inputs!$B$43-B1157)-((R1130-1)*(IF(Inputs!$B$38="pvp",15,MAX(0.1,Skills!D6-IF(Skills!E6=TRUE,Inputs!$B$32,0)))*(1-IF(AND(ArtifactsInput!$M$27,Inputs!$B$4="Chapter Hunt"),CHOOSE(ArtifactsInput!$N$27+1,20,24,28,32,36,40),0)/100)))))/Skills!H6,1)))/Inputs!$B$43),G1130*Q1130))*IF(Inputs!$B$38="pvp",1,(1+(Inputs!$B$21+Skills!Q6+(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1">
      <c r="A1131">
        <f>Skills!A7</f>
        <v/>
      </c>
      <c r="B1131">
        <f>Skills!B7</f>
        <v/>
      </c>
      <c r="C1131">
        <f>Inputs!$B$3&gt;=100</f>
        <v/>
      </c>
      <c r="D1131">
        <f>IF(Skills!C7=1,60+Inputs!$B$25+Inputs!$B$29,IF(Skills!C7=2,90+Inputs!$B$26+Inputs!$B$29,IF(Skills!C7=3,120+Inputs!$B$27+Inputs!$B$29,MAX(0,(Inputs!$B$3-100)*3)+Inputs!$B$28+Inputs!$B$29)))</f>
        <v/>
      </c>
      <c r="E1131">
        <f>INDEX(FactorTable!$B$2:$Y$301, MATCH(ROUND(MIN(300,MAX(1,D1131)),0), FactorTable!$A$2:$A$301,0), Skills!M7+1)</f>
        <v/>
      </c>
      <c r="F1131">
        <f>IF(Skills!N7=TRUE,(Skills!L7/10)*(E1131/1000),Skills!L7/10)+Skills!O7</f>
        <v/>
      </c>
      <c r="G1131">
        <f>Skills!G7*IF(Skills!H7&gt;0,Skills!I7/Skills!H7,1)</f>
        <v/>
      </c>
      <c r="H1131">
        <f>1-(1-Skills!J7/100)^Skills!K7</f>
        <v/>
      </c>
      <c r="I1131" t="inlineStr">
        <is>
          <t>1</t>
        </is>
      </c>
      <c r="J1131">
        <f>((Inputs!$B$6*(1+Inputs!$B$7/100))+(((Inputs!$B$12*(1+Inputs!$B$13/100))-(Inputs!$B$12*(1+Inputs!$B$13/100)))+0.25*(Inputs!$B$14-Inputs!$B$14))*(1+Inputs!$B$7/100))*(F1131/100)</f>
        <v/>
      </c>
      <c r="K1131">
        <f>J1131*(1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1131)</f>
        <v/>
      </c>
      <c r="L1131">
        <f>K1131*(MIN(Inputs!$B$22+((C1144=TRUE)*(F1144-Calc!F20)),(Inputs!$B$23+0+(IF(ArtifactsInput!$M$15,CHOOSE(ArtifactsInput!$N$15+1,25,30,35,40,45,50)/100*(Inputs!$B$11-Inputs!$B$11),0))))/100+(Inputs!$B$23+0+(IF(ArtifactsInput!$M$15,CHOOSE(ArtifactsInput!$N$15+1,25,30,35,40,45,50)/100*(Inputs!$B$11-Inputs!$B$11),0)))/100)/2</f>
        <v/>
      </c>
      <c r="M1131">
        <f>L1131*(1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1">
        <f>L1131*(1-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1">
        <f>(1-Summary!$B$11)*T1131+Summary!$B$11*V1131</f>
        <v/>
      </c>
      <c r="P1131">
        <f>IF(B1160=0,0,O1131/B1160)</f>
        <v/>
      </c>
      <c r="Q1131">
        <f>IFERROR(1/(IF(Inputs!$B$38="pvp",15,MAX(0.1,Skills!D7-IF(Skills!E7=TRUE,Inputs!$B$32,0)))*(1-IF(AND(ArtifactsInput!$M$27,Inputs!$B$4="Chapter Hunt"),CHOOSE(ArtifactsInput!$N$27+1,20,24,28,32,36,40),0)/100)),0)</f>
        <v/>
      </c>
      <c r="R1131">
        <f>IF(AND(Inputs!$B$38&lt;&gt;"pvp",Inputs!$B$43&gt;0),IF(MAX(0,Inputs!$B$43-B1157)&lt;=0,0,(INT(MAX(0,Inputs!$B$43-B1157)/(IF(Inputs!$B$38="pvp",15,MAX(0.1,Skills!D7-IF(Skills!E7=TRUE,Inputs!$B$32,0)))*(1-IF(AND(ArtifactsInput!$M$27,Inputs!$B$4="Chapter Hunt"),CHOOSE(ArtifactsInput!$N$27+1,20,24,28,32,36,40),0)/100)))+1)),0)</f>
        <v/>
      </c>
      <c r="S1131">
        <f>IFERROR(O1131/N1131,0)</f>
        <v/>
      </c>
      <c r="T1131">
        <f>IF(C1131,(H1131*N1131*IF(AND(Inputs!$B$38&lt;&gt;"pvp",Inputs!$B$43&gt;0),((Skills!G7*((R1131-1)*IF(Skills!H7&gt;0,Skills!I7/Skills!H7,1)+IF(Skills!H7&gt;0,MIN(Skills!I7,MAX(0,MAX(0,Inputs!$B$43-B1157)-((R1131-1)*(IF(Inputs!$B$38="pvp",15,MAX(0.1,Skills!D7-IF(Skills!E7=TRUE,Inputs!$B$32,0)))*(1-IF(AND(ArtifactsInput!$M$27,Inputs!$B$4="Chapter Hunt"),CHOOSE(ArtifactsInput!$N$27+1,20,24,28,32,36,40),0)/100)))))/Skills!H7,1)))/Inputs!$B$43),G1131*Q1131)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1131*(1-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1131*(1-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1">
        <f>IF(C1131,(H1131*N1131*IF(AND(Inputs!$B$38&lt;&gt;"pvp",Inputs!$B$43&gt;0),((Skills!G7*((R1131-1)*IF(Skills!H7&gt;0,Skills!I7/Skills!H7,1)+IF(Skills!H7&gt;0,MIN(Skills!I7,MAX(0,MAX(0,Inputs!$B$43-B1157)-((R1131-1)*(IF(Inputs!$B$38="pvp",15,MAX(0.1,Skills!D7-IF(Skills!E7=TRUE,Inputs!$B$32,0)))*(1-IF(AND(ArtifactsInput!$M$27,Inputs!$B$4="Chapter Hunt"),CHOOSE(ArtifactsInput!$N$27+1,20,24,28,32,36,40),0)/100)))))/Skills!H7,1)))/Inputs!$B$43),G1131*Q1131))*IF(Inputs!$B$38="pvp",1,(1+(Inputs!$B$21+Skills!Q7+(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2">
      <c r="A1132">
        <f>Skills!A8</f>
        <v/>
      </c>
      <c r="B1132">
        <f>Skills!B8</f>
        <v/>
      </c>
      <c r="C1132">
        <f>Inputs!$B$3&gt;=110</f>
        <v/>
      </c>
      <c r="D1132">
        <f>IF(Skills!C8=1,60+Inputs!$B$25+Inputs!$B$29,IF(Skills!C8=2,90+Inputs!$B$26+Inputs!$B$29,IF(Skills!C8=3,120+Inputs!$B$27+Inputs!$B$29,MAX(0,(Inputs!$B$3-100)*3)+Inputs!$B$28+Inputs!$B$29)))</f>
        <v/>
      </c>
      <c r="E1132">
        <f>INDEX(FactorTable!$B$2:$Y$301, MATCH(ROUND(MIN(300,MAX(1,D1132)),0), FactorTable!$A$2:$A$301,0), Skills!M8+1)</f>
        <v/>
      </c>
      <c r="F1132">
        <f>IF(Skills!N8=TRUE,(Skills!L8/10)*(E1132/1000),Skills!L8/10)+Skills!O8</f>
        <v/>
      </c>
      <c r="G1132">
        <f>Skills!G8*IF(Skills!H8&gt;0,Skills!I8/Skills!H8,1)</f>
        <v/>
      </c>
      <c r="H1132">
        <f>1-(1-Skills!J8/100)^Skills!K8</f>
        <v/>
      </c>
      <c r="I1132" t="inlineStr">
        <is>
          <t>1</t>
        </is>
      </c>
      <c r="J1132">
        <f>((Inputs!$B$6*(1+Inputs!$B$7/100))+(((Inputs!$B$12*(1+Inputs!$B$13/100))-(Inputs!$B$12*(1+Inputs!$B$13/100)))+0.25*(Inputs!$B$14-Inputs!$B$14))*(1+Inputs!$B$7/100))*(F1132/100)</f>
        <v/>
      </c>
      <c r="K1132">
        <f>J1132*(1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1132)</f>
        <v/>
      </c>
      <c r="L1132">
        <f>K1132*(MIN(Inputs!$B$22+((C1144=TRUE)*(F1144-Calc!F20)),(Inputs!$B$23+0+(IF(ArtifactsInput!$M$15,CHOOSE(ArtifactsInput!$N$15+1,25,30,35,40,45,50)/100*(Inputs!$B$11-Inputs!$B$11),0))))/100+(Inputs!$B$23+0+(IF(ArtifactsInput!$M$15,CHOOSE(ArtifactsInput!$N$15+1,25,30,35,40,45,50)/100*(Inputs!$B$11-Inputs!$B$11),0)))/100)/2</f>
        <v/>
      </c>
      <c r="M1132">
        <f>L1132*(1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2">
        <f>L1132*(1-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1132*(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2">
        <f>(1-Summary!$B$11)*T1132+Summary!$B$11*V1132</f>
        <v/>
      </c>
      <c r="P1132">
        <f>IF(B1160=0,0,O1132/B1160)</f>
        <v/>
      </c>
      <c r="Q1132">
        <f>IFERROR(1/(IF(Inputs!$B$38="pvp",15,MAX(0.1,Skills!D8-IF(Skills!E8=TRUE,Inputs!$B$32,0)))*(1-IF(AND(ArtifactsInput!$M$27,Inputs!$B$4="Chapter Hunt"),CHOOSE(ArtifactsInput!$N$27+1,20,24,28,32,36,40),0)/100)),0)</f>
        <v/>
      </c>
      <c r="R1132">
        <f>IF(AND(Inputs!$B$38&lt;&gt;"pvp",Inputs!$B$43&gt;0),IF(MAX(0,Inputs!$B$43-B1157)&lt;=0,0,(INT(MAX(0,Inputs!$B$43-B1157)/(IF(Inputs!$B$38="pvp",15,MAX(0.1,Skills!D8-IF(Skills!E8=TRUE,Inputs!$B$32,0)))*(1-IF(AND(ArtifactsInput!$M$27,Inputs!$B$4="Chapter Hunt"),CHOOSE(ArtifactsInput!$N$27+1,20,24,28,32,36,40),0)/100)))+1)),0)</f>
        <v/>
      </c>
      <c r="S1132">
        <f>IFERROR(O1132/N1132,0)</f>
        <v/>
      </c>
      <c r="T1132">
        <f>IF(C1132,(H1132*N1132*IF(AND(Inputs!$B$38&lt;&gt;"pvp",Inputs!$B$43&gt;0),((Skills!G8*((R1132-1)*IF(Skills!H8&gt;0,Skills!I8/Skills!H8,1)+IF(Skills!H8&gt;0,MIN(Skills!I8,MAX(0,MAX(0,Inputs!$B$43-B1157)-((R1132-1)*(IF(Inputs!$B$38="pvp",15,MAX(0.1,Skills!D8-IF(Skills!E8=TRUE,Inputs!$B$32,0)))*(1-IF(AND(ArtifactsInput!$M$27,Inputs!$B$4="Chapter Hunt"),CHOOSE(ArtifactsInput!$N$27+1,20,24,28,32,36,40),0)/100)))))/Skills!H8,1)))/Inputs!$B$43),G1132*Q1132)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1132*(1-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1132*(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1132*(1-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1132*(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2">
        <f>IF(C1132,(H1132*N1132*IF(AND(Inputs!$B$38&lt;&gt;"pvp",Inputs!$B$43&gt;0),((Skills!G8*((R1132-1)*IF(Skills!H8&gt;0,Skills!I8/Skills!H8,1)+IF(Skills!H8&gt;0,MIN(Skills!I8,MAX(0,MAX(0,Inputs!$B$43-B1157)-((R1132-1)*(IF(Inputs!$B$38="pvp",15,MAX(0.1,Skills!D8-IF(Skills!E8=TRUE,Inputs!$B$32,0)))*(1-IF(AND(ArtifactsInput!$M$27,Inputs!$B$4="Chapter Hunt"),CHOOSE(ArtifactsInput!$N$27+1,20,24,28,32,36,40),0)/100)))))/Skills!H8,1)))/Inputs!$B$43),G1132*Q1132))*IF(Inputs!$B$38="pvp",1,(1+(Inputs!$B$21+Skills!Q8+(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3">
      <c r="A1133">
        <f>Skills!A9</f>
        <v/>
      </c>
      <c r="B1133">
        <f>Skills!B9</f>
        <v/>
      </c>
      <c r="C1133">
        <f>Inputs!$B$3&gt;=110</f>
        <v/>
      </c>
      <c r="D1133">
        <f>IF(Skills!C9=1,60+Inputs!$B$25+Inputs!$B$29,IF(Skills!C9=2,90+Inputs!$B$26+Inputs!$B$29,IF(Skills!C9=3,120+Inputs!$B$27+Inputs!$B$29,MAX(0,(Inputs!$B$3-100)*3)+Inputs!$B$28+Inputs!$B$29)))</f>
        <v/>
      </c>
      <c r="E1133">
        <f>INDEX(FactorTable!$B$2:$Y$301, MATCH(ROUND(MIN(300,MAX(1,D1133)),0), FactorTable!$A$2:$A$301,0), Skills!M9+1)</f>
        <v/>
      </c>
      <c r="F1133">
        <f>IF(Skills!N9=TRUE,(Skills!L9/10)*(E1133/1000),Skills!L9/10)+Skills!O9</f>
        <v/>
      </c>
      <c r="G1133">
        <f>Skills!G9*IF(Skills!H9&gt;0,Skills!I9/Skills!H9,1)</f>
        <v/>
      </c>
      <c r="H1133">
        <f>1-(1-Skills!J9/100)^Skills!K9</f>
        <v/>
      </c>
      <c r="I1133" t="inlineStr">
        <is>
          <t>1</t>
        </is>
      </c>
      <c r="J1133">
        <f>((Inputs!$B$6*(1+Inputs!$B$7/100))+(((Inputs!$B$12*(1+Inputs!$B$13/100))-(Inputs!$B$12*(1+Inputs!$B$13/100)))+0.25*(Inputs!$B$14-Inputs!$B$14))*(1+Inputs!$B$7/100))*(F1133/100)</f>
        <v/>
      </c>
      <c r="K1133">
        <f>J1133*(1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1133)</f>
        <v/>
      </c>
      <c r="L1133">
        <f>K1133*(MIN(Inputs!$B$22+((C1144=TRUE)*(F1144-Calc!F20)),(Inputs!$B$23+0+(IF(ArtifactsInput!$M$15,CHOOSE(ArtifactsInput!$N$15+1,25,30,35,40,45,50)/100*(Inputs!$B$11-Inputs!$B$11),0))))/100+(Inputs!$B$23+0+(IF(ArtifactsInput!$M$15,CHOOSE(ArtifactsInput!$N$15+1,25,30,35,40,45,50)/100*(Inputs!$B$11-Inputs!$B$11),0)))/100)/2</f>
        <v/>
      </c>
      <c r="M1133">
        <f>L1133*(1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3">
        <f>L1133*(1-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1133*(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3">
        <f>(1-Summary!$B$11)*T1133+Summary!$B$11*V1133</f>
        <v/>
      </c>
      <c r="P1133">
        <f>IF(B1160=0,0,O1133/B1160)</f>
        <v/>
      </c>
      <c r="Q1133">
        <f>IFERROR(1/(IF(Inputs!$B$38="pvp",15,MAX(0.1,Skills!D9-IF(Skills!E9=TRUE,Inputs!$B$32,0)))*(1-IF(AND(ArtifactsInput!$M$27,Inputs!$B$4="Chapter Hunt"),CHOOSE(ArtifactsInput!$N$27+1,20,24,28,32,36,40),0)/100)),0)</f>
        <v/>
      </c>
      <c r="R1133">
        <f>IF(AND(Inputs!$B$38&lt;&gt;"pvp",Inputs!$B$43&gt;0),IF(MAX(0,Inputs!$B$43-B1157)&lt;=0,0,(INT(MAX(0,Inputs!$B$43-B1157)/(IF(Inputs!$B$38="pvp",15,MAX(0.1,Skills!D9-IF(Skills!E9=TRUE,Inputs!$B$32,0)))*(1-IF(AND(ArtifactsInput!$M$27,Inputs!$B$4="Chapter Hunt"),CHOOSE(ArtifactsInput!$N$27+1,20,24,28,32,36,40),0)/100)))+1)),0)</f>
        <v/>
      </c>
      <c r="S1133">
        <f>IFERROR(O1133/N1133,0)</f>
        <v/>
      </c>
      <c r="T1133">
        <f>IF(C1133,(H1133*N1133*IF(AND(Inputs!$B$38&lt;&gt;"pvp",Inputs!$B$43&gt;0),((Skills!G9*((R1133-1)*IF(Skills!H9&gt;0,Skills!I9/Skills!H9,1)+IF(Skills!H9&gt;0,MIN(Skills!I9,MAX(0,MAX(0,Inputs!$B$43-B1157)-((R1133-1)*(IF(Inputs!$B$38="pvp",15,MAX(0.1,Skills!D9-IF(Skills!E9=TRUE,Inputs!$B$32,0)))*(1-IF(AND(ArtifactsInput!$M$27,Inputs!$B$4="Chapter Hunt"),CHOOSE(ArtifactsInput!$N$27+1,20,24,28,32,36,40),0)/100)))))/Skills!H9,1)))/Inputs!$B$43),G1133*Q1133)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1133*(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1133*(1-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1133*(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3">
        <f>IF(C1133,(H1133*N1133*IF(AND(Inputs!$B$38&lt;&gt;"pvp",Inputs!$B$43&gt;0),((Skills!G9*((R1133-1)*IF(Skills!H9&gt;0,Skills!I9/Skills!H9,1)+IF(Skills!H9&gt;0,MIN(Skills!I9,MAX(0,MAX(0,Inputs!$B$43-B1157)-((R1133-1)*(IF(Inputs!$B$38="pvp",15,MAX(0.1,Skills!D9-IF(Skills!E9=TRUE,Inputs!$B$32,0)))*(1-IF(AND(ArtifactsInput!$M$27,Inputs!$B$4="Chapter Hunt"),CHOOSE(ArtifactsInput!$N$27+1,20,24,28,32,36,40),0)/100)))))/Skills!H9,1)))/Inputs!$B$43),G1133*Q1133))*IF(Inputs!$B$38="pvp",1,(1+(Inputs!$B$21+Skills!Q9+(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4">
      <c r="A1134">
        <f>Skills!A10</f>
        <v/>
      </c>
      <c r="B1134">
        <f>Skills!B10</f>
        <v/>
      </c>
      <c r="C1134">
        <f>Inputs!$B$3&gt;=103</f>
        <v/>
      </c>
      <c r="D1134">
        <f>IF(Skills!C10=1,60+Inputs!$B$25+Inputs!$B$29,IF(Skills!C10=2,90+Inputs!$B$26+Inputs!$B$29,IF(Skills!C10=3,120+Inputs!$B$27+Inputs!$B$29,MAX(0,(Inputs!$B$3-100)*3)+Inputs!$B$28+Inputs!$B$29)))</f>
        <v/>
      </c>
      <c r="E1134">
        <f>INDEX(FactorTable!$B$2:$Y$301, MATCH(ROUND(MIN(300,MAX(1,D1134)),0), FactorTable!$A$2:$A$301,0), Skills!M10+1)</f>
        <v/>
      </c>
      <c r="F1134">
        <f>IF(Skills!N10=TRUE,(Skills!L10/10)*(E1134/1000),Skills!L10/10)+Skills!O10</f>
        <v/>
      </c>
      <c r="G1134">
        <f>Skills!G10*IF(Skills!H10&gt;0,Skills!I10/Skills!H10,1)</f>
        <v/>
      </c>
      <c r="H1134">
        <f>1-(1-Skills!J10/100)^Skills!K10</f>
        <v/>
      </c>
      <c r="I1134" t="inlineStr">
        <is>
          <t>1</t>
        </is>
      </c>
      <c r="J1134">
        <f>((Inputs!$B$6*(1+Inputs!$B$7/100))+(((Inputs!$B$12*(1+Inputs!$B$13/100))-(Inputs!$B$12*(1+Inputs!$B$13/100)))+0.25*(Inputs!$B$14-Inputs!$B$14))*(1+Inputs!$B$7/100))*(F1134/100)</f>
        <v/>
      </c>
      <c r="K1134">
        <f>J1134*(1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1134)</f>
        <v/>
      </c>
      <c r="L1134">
        <f>K1134*(MIN(Inputs!$B$22+((C1144=TRUE)*(F1144-Calc!F20)),(Inputs!$B$23+0+(IF(ArtifactsInput!$M$15,CHOOSE(ArtifactsInput!$N$15+1,25,30,35,40,45,50)/100*(Inputs!$B$11-Inputs!$B$11),0))))/100+(Inputs!$B$23+0+(IF(ArtifactsInput!$M$15,CHOOSE(ArtifactsInput!$N$15+1,25,30,35,40,45,50)/100*(Inputs!$B$11-Inputs!$B$11),0)))/100)/2</f>
        <v/>
      </c>
      <c r="M1134">
        <f>L1134*(1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4">
        <f>L1134*(1-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1134*(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4">
        <f>(1-Summary!$B$11)*T1134+Summary!$B$11*V1134</f>
        <v/>
      </c>
      <c r="P1134">
        <f>IF(B1160=0,0,O1134/B1160)</f>
        <v/>
      </c>
      <c r="Q1134">
        <f>IFERROR(1/(IF(Inputs!$B$38="pvp",15,MAX(0.1,Skills!D10-IF(Skills!E10=TRUE,Inputs!$B$32,0)))*(1-IF(AND(ArtifactsInput!$M$27,Inputs!$B$4="Chapter Hunt"),CHOOSE(ArtifactsInput!$N$27+1,20,24,28,32,36,40),0)/100)),0)</f>
        <v/>
      </c>
      <c r="R1134">
        <f>IF(AND(Inputs!$B$38&lt;&gt;"pvp",Inputs!$B$43&gt;0),IF(MAX(0,Inputs!$B$43-B1157)&lt;=0,0,(INT(MAX(0,Inputs!$B$43-B1157)/(IF(Inputs!$B$38="pvp",15,MAX(0.1,Skills!D10-IF(Skills!E10=TRUE,Inputs!$B$32,0)))*(1-IF(AND(ArtifactsInput!$M$27,Inputs!$B$4="Chapter Hunt"),CHOOSE(ArtifactsInput!$N$27+1,20,24,28,32,36,40),0)/100)))+1)),0)</f>
        <v/>
      </c>
      <c r="S1134">
        <f>IFERROR(O1134/N1134,0)</f>
        <v/>
      </c>
      <c r="T1134">
        <f>IF(C1134,(H1134*N1134*IF(AND(Inputs!$B$38&lt;&gt;"pvp",Inputs!$B$43&gt;0),((Skills!G10*((R1134-1)*IF(Skills!H10&gt;0,Skills!I10/Skills!H10,1)+IF(Skills!H10&gt;0,MIN(Skills!I10,MAX(0,MAX(0,Inputs!$B$43-B1157)-((R1134-1)*(IF(Inputs!$B$38="pvp",15,MAX(0.1,Skills!D10-IF(Skills!E10=TRUE,Inputs!$B$32,0)))*(1-IF(AND(ArtifactsInput!$M$27,Inputs!$B$4="Chapter Hunt"),CHOOSE(ArtifactsInput!$N$27+1,20,24,28,32,36,40),0)/100)))))/Skills!H10,1)))/Inputs!$B$43),G1134*Q1134)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1134*(1-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1134*(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1134*(1-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1134*(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4">
        <f>IF(C1134,(H1134*N1134*IF(AND(Inputs!$B$38&lt;&gt;"pvp",Inputs!$B$43&gt;0),((Skills!G10*((R1134-1)*IF(Skills!H10&gt;0,Skills!I10/Skills!H10,1)+IF(Skills!H10&gt;0,MIN(Skills!I10,MAX(0,MAX(0,Inputs!$B$43-B1157)-((R1134-1)*(IF(Inputs!$B$38="pvp",15,MAX(0.1,Skills!D10-IF(Skills!E10=TRUE,Inputs!$B$32,0)))*(1-IF(AND(ArtifactsInput!$M$27,Inputs!$B$4="Chapter Hunt"),CHOOSE(ArtifactsInput!$N$27+1,20,24,28,32,36,40),0)/100)))))/Skills!H10,1)))/Inputs!$B$43),G1134*Q1134))*IF(Inputs!$B$38="pvp",1,(1+(Inputs!$B$21+Skills!Q10+(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5">
      <c r="A1135">
        <f>Skills!A11</f>
        <v/>
      </c>
      <c r="B1135">
        <f>Skills!B11</f>
        <v/>
      </c>
      <c r="C1135">
        <f>Inputs!$B$3&gt;=113</f>
        <v/>
      </c>
      <c r="D1135">
        <f>IF(Skills!C11=1,60+Inputs!$B$25+Inputs!$B$29,IF(Skills!C11=2,90+Inputs!$B$26+Inputs!$B$29,IF(Skills!C11=3,120+Inputs!$B$27+Inputs!$B$29,MAX(0,(Inputs!$B$3-100)*3)+Inputs!$B$28+Inputs!$B$29)))</f>
        <v/>
      </c>
      <c r="E1135">
        <f>INDEX(FactorTable!$B$2:$Y$301, MATCH(ROUND(MIN(300,MAX(1,D1135)),0), FactorTable!$A$2:$A$301,0), Skills!M11+1)</f>
        <v/>
      </c>
      <c r="F1135">
        <f>IF(Skills!N11=TRUE,(Skills!L11/10)*(E1135/1000),Skills!L11/10)+Skills!O11</f>
        <v/>
      </c>
      <c r="G1135">
        <f>Skills!G11*IF(Skills!H11&gt;0,Skills!I11/Skills!H11,1)</f>
        <v/>
      </c>
      <c r="H1135">
        <f>1-(1-Skills!J11/100)^Skills!K11</f>
        <v/>
      </c>
      <c r="I1135" t="inlineStr">
        <is>
          <t>1</t>
        </is>
      </c>
      <c r="J1135">
        <f>((Inputs!$B$6*(1+Inputs!$B$7/100))+(((Inputs!$B$12*(1+Inputs!$B$13/100))-(Inputs!$B$12*(1+Inputs!$B$13/100)))+0.25*(Inputs!$B$14-Inputs!$B$14))*(1+Inputs!$B$7/100))*(F1135/100)</f>
        <v/>
      </c>
      <c r="K1135">
        <f>J1135*(1+((Inputs!$B$12*(1+Inputs!$B$13/100))*0.01+Inputs!$B$14*0.0025)/100)*(1+Inputs!$B$15/100)*(1+Inputs!$B$16/100)*(5000/(6000+Inputs!$B$42*(1-(100*(1-(1-(Inputs!$B$19+0)/100)*(1-CHOOSE(ArtifactsInput!$N$40+1,5,6,7,8,9,10)/100)^(ArtifactsInput!$M$40-ArtifactsInput!$M$40)))/100)))*(1+(Inputs!$B$24+((C1146=TRUE)*(F1146-Calc!F22))+B1156)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1145=TRUE)*(F1145-Calc!F21))+(((IF(AND(ArtifactsInput!$M$42,((Inputs!$B$9+((C1140=TRUE)*(F1140-Calc!F16))+B1150+(ArtifactsInput!$M$24-ArtifactsInput!$M$24)*CHOOSE(ArtifactsInput!$N$24+1,10,12,14,16,18,20)+IF(ArtifactsInput!$M$10,CHOOSE(ArtifactsInput!$N$10+1,15,18,21,24,27,30)*(IF(Inputs!$B$38="pvp",MIN(15,15)/15,IF(AND(Inputs!$B$38&lt;&gt;"pvp",Inputs!$B$43&gt;0),MIN(15,Inputs!$B$43)/(Inputs!$B$43),0))),0)))&gt;=100),MIN(100,((Inputs!$B$9+((C1140=TRUE)*(F1140-Calc!F16))+B1150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1140=TRUE)*(F1140-Calc!F16))+B1150+(ArtifactsInput!$M$24-ArtifactsInput!$M$24)*CHOOSE(ArtifactsInput!$N$24+1,10,12,14,16,18,20)+IF(ArtifactsInput!$M$10,CHOOSE(ArtifactsInput!$N$10+1,15,18,21,24,27,30)*(IF(Inputs!$B$38="pvp",MIN(15,15)/15,IF(AND(Inputs!$B$38&lt;&gt;"pvp",Inputs!$B$43&gt;0),MIN(15,Inputs!$B$43)/(Inputs!$B$43),0))),0)))&gt;=100),CHOOSE(ArtifactsInput!$N$42+1,40,48,56,64,72,80),0))))/100)*((1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1135)</f>
        <v/>
      </c>
      <c r="L1135">
        <f>K1135*(MIN(Inputs!$B$22+((C1144=TRUE)*(F1144-Calc!F20)),(Inputs!$B$23+0+(IF(ArtifactsInput!$M$15,CHOOSE(ArtifactsInput!$N$15+1,25,30,35,40,45,50)/100*(Inputs!$B$11-Inputs!$B$11),0))))/100+(Inputs!$B$23+0+(IF(ArtifactsInput!$M$15,CHOOSE(ArtifactsInput!$N$15+1,25,30,35,40,45,50)/100*(Inputs!$B$11-Inputs!$B$11),0)))/100)/2</f>
        <v/>
      </c>
      <c r="M1135">
        <f>L1135*(1+(Inputs!$B$10+0+B1155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35">
        <f>L1135*(1-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1135*(MIN((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35">
        <f>(1-Summary!$B$11)*T1135+Summary!$B$11*V1135</f>
        <v/>
      </c>
      <c r="P1135">
        <f>IF(B1160=0,0,O1135/B1160)</f>
        <v/>
      </c>
      <c r="Q1135">
        <f>IFERROR(1/(IF(Inputs!$B$38="pvp",15,MAX(0.1,Skills!D11-IF(Skills!E11=TRUE,Inputs!$B$32,0)))*(1-IF(AND(ArtifactsInput!$M$27,Inputs!$B$4="Chapter Hunt"),CHOOSE(ArtifactsInput!$N$27+1,20,24,28,32,36,40),0)/100)),0)</f>
        <v/>
      </c>
      <c r="R1135">
        <f>IF(AND(Inputs!$B$38&lt;&gt;"pvp",Inputs!$B$43&gt;0),IF(MAX(0,Inputs!$B$43-B1157)&lt;=0,0,(INT(MAX(0,Inputs!$B$43-B1157)/(IF(Inputs!$B$38="pvp",15,MAX(0.1,Skills!D11-IF(Skills!E11=TRUE,Inputs!$B$32,0)))*(1-IF(AND(ArtifactsInput!$M$27,Inputs!$B$4="Chapter Hunt"),CHOOSE(ArtifactsInput!$N$27+1,20,24,28,32,36,40),0)/100)))+1)),0)</f>
        <v/>
      </c>
      <c r="S1135">
        <f>IFERROR(O1135/N1135,0)</f>
        <v/>
      </c>
      <c r="T1135">
        <f>IF(C1135,(H1135*N1135*IF(AND(Inputs!$B$38&lt;&gt;"pvp",Inputs!$B$43&gt;0),((Skills!G11*((R1135-1)*IF(Skills!H11&gt;0,Skills!I11/Skills!H11,1)+IF(Skills!H11&gt;0,MIN(Skills!I11,MAX(0,MAX(0,Inputs!$B$43-B1157)-((R1135-1)*(IF(Inputs!$B$38="pvp",15,MAX(0.1,Skills!D11-IF(Skills!E11=TRUE,Inputs!$B$32,0)))*(1-IF(AND(ArtifactsInput!$M$27,Inputs!$B$4="Chapter Hunt"),CHOOSE(ArtifactsInput!$N$27+1,20,24,28,32,36,40),0)/100)))))/Skills!H11,1)))/Inputs!$B$43),G1135*Q1135)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1135*(1-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1135*(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1135*(1-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1135*(MIN(100,(Inputs!$B$9+((C1140=TRUE)*(F1140-Calc!F16))+B1150+(ArtifactsInput!$M$24-ArtifactsInput!$M$24)*CHOOSE(ArtifactsInput!$N$24+1,10,12,14,16,18,20)+(IF(AND(ArtifactsInput!$M$42,((Inputs!$B$9+((C1140=TRUE)*(F1140-Calc!F16))+B1150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35">
        <f>IF(C1135,(H1135*N1135*IF(AND(Inputs!$B$38&lt;&gt;"pvp",Inputs!$B$43&gt;0),((Skills!G11*((R1135-1)*IF(Skills!H11&gt;0,Skills!I11/Skills!H11,1)+IF(Skills!H11&gt;0,MIN(Skills!I11,MAX(0,MAX(0,Inputs!$B$43-B1157)-((R1135-1)*(IF(Inputs!$B$38="pvp",15,MAX(0.1,Skills!D11-IF(Skills!E11=TRUE,Inputs!$B$32,0)))*(1-IF(AND(ArtifactsInput!$M$27,Inputs!$B$4="Chapter Hunt"),CHOOSE(ArtifactsInput!$N$27+1,20,24,28,32,36,40),0)/100)))))/Skills!H11,1)))/Inputs!$B$43),G1135*Q1135))*IF(Inputs!$B$38="pvp",1,(1+(Inputs!$B$21+Skills!Q11+(IF(ArtifactsInput!$M$33,CHOOSE(ArtifactsInput!$N$33+1,30,36,42,48,54,60),0))+(IF(AND(ArtifactsInput!$M$35,Inputs!$B$4&lt;&gt;"Chapter Hunt"),CHOOSE(ArtifactsInput!$N$35+1,15,18,21,24,27,30)*(1-EXP(-(0.2*B1152)*5)),0)+IF(AND(ArtifactsInput!$M$22,Inputs!$B$4&lt;&gt;"Chapter Hunt"),CHOOSE(ArtifactsInput!$N$22+1,10,12,14,16,18,20)*((0*(((0.15*B1152*5))^0/1)+1*(((0.15*B1152*5))^1/1)+2*(((0.15*B1152*5))^2/2)+3*(((0.15*B1152*5))^3/6)+4*(((0.15*B1152*5))^4/24)+5*(((0.15*B1152*5))^5/120))/((((0.15*B1152*5))^0/1)+(((0.15*B1152*5))^1/1)+(((0.15*B1152*5))^2/2)+(((0.15*B1152*5))^3/6)+(((0.15*B1152*5))^4/24)+(((0.15*B1152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36">
      <c r="A1136">
        <f>Skills!A12</f>
        <v/>
      </c>
      <c r="B1136">
        <f>Skills!B12</f>
        <v/>
      </c>
      <c r="C1136">
        <f>Inputs!$B$3&gt;=100</f>
        <v/>
      </c>
      <c r="D1136">
        <f>IF(Skills!C12=1,60+Inputs!$B$25+Inputs!$B$29,IF(Skills!C12=2,90+Inputs!$B$26+Inputs!$B$29,IF(Skills!C12=3,120+Inputs!$B$27+Inputs!$B$29,MAX(0,(Inputs!$B$3-100)*3)+Inputs!$B$28+Inputs!$B$29)))</f>
        <v/>
      </c>
      <c r="E1136">
        <f>INDEX(FactorTable!$B$2:$Y$301, MATCH(ROUND(MIN(300,MAX(1,D1136)),0), FactorTable!$A$2:$A$301,0), Skills!M12+1)</f>
        <v/>
      </c>
      <c r="F1136">
        <f>IF(Skills!N12=TRUE,(Skills!L12/10)*(E1136/1000),Skills!L12/10)+Skills!O12</f>
        <v/>
      </c>
      <c r="G1136" t="inlineStr"/>
      <c r="H1136" t="inlineStr"/>
      <c r="I1136" t="inlineStr">
        <is>
          <t>1</t>
        </is>
      </c>
      <c r="J1136" t="inlineStr"/>
      <c r="K1136" t="inlineStr"/>
      <c r="L1136" t="inlineStr"/>
      <c r="M1136" t="inlineStr"/>
      <c r="N1136" t="inlineStr"/>
      <c r="O1136" t="inlineStr"/>
      <c r="P1136" t="inlineStr"/>
      <c r="Q1136" t="inlineStr"/>
      <c r="R1136" t="inlineStr"/>
      <c r="S1136" t="inlineStr"/>
      <c r="T1136" t="inlineStr"/>
      <c r="V1136" t="inlineStr"/>
    </row>
    <row r="1137">
      <c r="A1137">
        <f>Skills!A13</f>
        <v/>
      </c>
      <c r="B1137">
        <f>Skills!B13</f>
        <v/>
      </c>
      <c r="C1137">
        <f>Inputs!$B$3&gt;=66</f>
        <v/>
      </c>
      <c r="D1137">
        <f>IF(Skills!C13=1,60+Inputs!$B$25+Inputs!$B$29,IF(Skills!C13=2,90+Inputs!$B$26+Inputs!$B$29,IF(Skills!C13=3,120+Inputs!$B$27+Inputs!$B$29,MAX(0,(Inputs!$B$3-100)*3)+Inputs!$B$28+Inputs!$B$29)))</f>
        <v/>
      </c>
      <c r="E1137">
        <f>INDEX(FactorTable!$B$2:$Y$301, MATCH(ROUND(MIN(300,MAX(1,D1137)),0), FactorTable!$A$2:$A$301,0), Skills!M13+1)</f>
        <v/>
      </c>
      <c r="F1137">
        <f>IF(Skills!N13=TRUE,(Skills!L13/10)*(E1137/1000),Skills!L13/10)+Skills!O13</f>
        <v/>
      </c>
      <c r="G1137">
        <f>Skills!G13*IF(Skills!H13&gt;0,Skills!I13/Skills!H13,1)</f>
        <v/>
      </c>
      <c r="H1137">
        <f>1-(1-Skills!J13/100)^Skills!K13</f>
        <v/>
      </c>
      <c r="I1137" t="inlineStr">
        <is>
          <t>1</t>
        </is>
      </c>
      <c r="J1137" t="inlineStr"/>
      <c r="K1137" t="inlineStr"/>
      <c r="L1137" t="inlineStr"/>
      <c r="M1137" t="inlineStr"/>
      <c r="N1137" t="inlineStr"/>
      <c r="O1137">
        <f>(1-Summary!$B$11)*T1137+Summary!$B$11*V1137</f>
        <v/>
      </c>
      <c r="P1137">
        <f>IF(B1160=0,0,O1137/B1160)</f>
        <v/>
      </c>
      <c r="Q1137" t="n">
        <v>0</v>
      </c>
      <c r="R1137" t="n">
        <v>0</v>
      </c>
      <c r="S1137">
        <f>IFERROR(O1137/N1137,0)</f>
        <v/>
      </c>
      <c r="T1137" t="n">
        <v>0</v>
      </c>
      <c r="V1137" t="n">
        <v>0</v>
      </c>
    </row>
    <row r="1138">
      <c r="A1138">
        <f>Skills!A14</f>
        <v/>
      </c>
      <c r="B1138">
        <f>Skills!B14</f>
        <v/>
      </c>
      <c r="C1138">
        <f>Inputs!$B$3&gt;=107</f>
        <v/>
      </c>
      <c r="D1138">
        <f>IF(Skills!C14=1,60+Inputs!$B$25+Inputs!$B$29,IF(Skills!C14=2,90+Inputs!$B$26+Inputs!$B$29,IF(Skills!C14=3,120+Inputs!$B$27+Inputs!$B$29,MAX(0,(Inputs!$B$3-100)*3)+Inputs!$B$28+Inputs!$B$29)))</f>
        <v/>
      </c>
      <c r="E1138">
        <f>INDEX(FactorTable!$B$2:$Y$301, MATCH(ROUND(MIN(300,MAX(1,D1138)),0), FactorTable!$A$2:$A$301,0), Skills!M14+1)</f>
        <v/>
      </c>
      <c r="F1138">
        <f>IF(Skills!N14=TRUE,(Skills!L14/10)*(E1138/1000),Skills!L14/10)+Skills!O14</f>
        <v/>
      </c>
      <c r="G1138">
        <f>Skills!G14*IF(Skills!H14&gt;0,Skills!I14/Skills!H14,1)</f>
        <v/>
      </c>
      <c r="H1138">
        <f>1-(1-Skills!J14/100)^Skills!K14</f>
        <v/>
      </c>
      <c r="I1138" t="inlineStr">
        <is>
          <t>1</t>
        </is>
      </c>
      <c r="J1138" t="inlineStr"/>
      <c r="K1138" t="inlineStr"/>
      <c r="L1138" t="inlineStr"/>
      <c r="M1138" t="inlineStr"/>
      <c r="N1138" t="inlineStr"/>
      <c r="O1138">
        <f>(1-Summary!$B$11)*T1138+Summary!$B$11*V1138</f>
        <v/>
      </c>
      <c r="P1138">
        <f>IF(B1160=0,0,O1138/B1160)</f>
        <v/>
      </c>
      <c r="Q1138">
        <f>IFERROR(1/(IF(Inputs!$B$38="pvp",15,MAX(0.1,Skills!D14-IF(Skills!E14=TRUE,Inputs!$B$32,0)))*(1-IF(AND(ArtifactsInput!$M$27,Inputs!$B$4="Chapter Hunt"),CHOOSE(ArtifactsInput!$N$27+1,20,24,28,32,36,40),0)/100)),0)</f>
        <v/>
      </c>
      <c r="R1138">
        <f>IF(AND(Inputs!$B$38&lt;&gt;"pvp",Inputs!$B$43&gt;0),IF(Inputs!$B$43&lt;=0,0,(INT(Inputs!$B$43/(IF(Inputs!$B$38="pvp",15,MAX(0.1,Skills!D14-IF(Skills!E14=TRUE,Inputs!$B$32,0)))*(1-IF(AND(ArtifactsInput!$M$27,Inputs!$B$4="Chapter Hunt"),CHOOSE(ArtifactsInput!$N$27+1,20,24,28,32,36,40),0)/100)))+1)),0)</f>
        <v/>
      </c>
      <c r="S1138">
        <f>IFERROR(O1138/N1138,0)</f>
        <v/>
      </c>
      <c r="T1138" t="n">
        <v>0</v>
      </c>
      <c r="V1138" t="n">
        <v>0</v>
      </c>
    </row>
    <row r="1139">
      <c r="A1139">
        <f>Skills!A15</f>
        <v/>
      </c>
      <c r="B1139">
        <f>Skills!B15</f>
        <v/>
      </c>
      <c r="C1139">
        <f>Inputs!$B$3&gt;=115</f>
        <v/>
      </c>
      <c r="D1139">
        <f>IF(Skills!C15=1,60+Inputs!$B$25+Inputs!$B$29,IF(Skills!C15=2,90+Inputs!$B$26+Inputs!$B$29,IF(Skills!C15=3,120+Inputs!$B$27+Inputs!$B$29,MAX(0,(Inputs!$B$3-100)*3)+Inputs!$B$28+Inputs!$B$29)))</f>
        <v/>
      </c>
      <c r="E1139">
        <f>INDEX(FactorTable!$B$2:$Y$301, MATCH(ROUND(MIN(300,MAX(1,D1139)),0), FactorTable!$A$2:$A$301,0), Skills!M15+1)</f>
        <v/>
      </c>
      <c r="F1139">
        <f>IF(Skills!N15=TRUE,(Skills!L15/10)*(E1139/1000),Skills!L15/10)+Skills!O15</f>
        <v/>
      </c>
      <c r="G1139">
        <f>Skills!G15*IF(Skills!H15&gt;0,Skills!I15/Skills!H15,1)</f>
        <v/>
      </c>
      <c r="H1139">
        <f>1-(1-Skills!J15/100)^Skills!K15</f>
        <v/>
      </c>
      <c r="I1139" t="inlineStr">
        <is>
          <t>1</t>
        </is>
      </c>
      <c r="J1139" t="inlineStr"/>
      <c r="K1139" t="inlineStr"/>
      <c r="L1139" t="inlineStr"/>
      <c r="M1139" t="inlineStr"/>
      <c r="N1139" t="inlineStr"/>
      <c r="O1139">
        <f>(1-Summary!$B$11)*T1139+Summary!$B$11*V1139</f>
        <v/>
      </c>
      <c r="P1139">
        <f>IF(B1160=0,0,O1139/B1160)</f>
        <v/>
      </c>
      <c r="Q1139">
        <f>IFERROR(1/(IF(Inputs!$B$38="pvp",15,MAX(0.1,Skills!D15-IF(Skills!E15=TRUE,Inputs!$B$32,0)))*(1-IF(AND(ArtifactsInput!$M$27,Inputs!$B$4="Chapter Hunt"),CHOOSE(ArtifactsInput!$N$27+1,20,24,28,32,36,40),0)/100)),0)</f>
        <v/>
      </c>
      <c r="R1139">
        <f>IF(AND(Inputs!$B$38&lt;&gt;"pvp",Inputs!$B$43&gt;0),IF(Inputs!$B$43&lt;=0,0,(INT(Inputs!$B$43/(IF(Inputs!$B$38="pvp",15,MAX(0.1,Skills!D15-IF(Skills!E15=TRUE,Inputs!$B$32,0)))*(1-IF(AND(ArtifactsInput!$M$27,Inputs!$B$4="Chapter Hunt"),CHOOSE(ArtifactsInput!$N$27+1,20,24,28,32,36,40),0)/100)))+1)),0)</f>
        <v/>
      </c>
      <c r="S1139">
        <f>IFERROR(O1139/N1139,0)</f>
        <v/>
      </c>
      <c r="T1139" t="n">
        <v>0</v>
      </c>
      <c r="V1139" t="n">
        <v>0</v>
      </c>
    </row>
    <row r="1140">
      <c r="A1140">
        <f>Skills!A16</f>
        <v/>
      </c>
      <c r="B1140">
        <f>Skills!B16</f>
        <v/>
      </c>
      <c r="C1140">
        <f>Inputs!$B$3&gt;=15</f>
        <v/>
      </c>
      <c r="D1140">
        <f>IF(Skills!C16=1,60+Inputs!$B$25+Inputs!$B$29,IF(Skills!C16=2,90+Inputs!$B$26+Inputs!$B$29,IF(Skills!C16=3,120+Inputs!$B$27+Inputs!$B$29,MAX(0,(Inputs!$B$3-100)*3)+Inputs!$B$28+Inputs!$B$29)))</f>
        <v/>
      </c>
      <c r="E1140">
        <f>INDEX(FactorTable!$B$2:$Y$301, MATCH(ROUND(MIN(300,MAX(1,D1140)),0), FactorTable!$A$2:$A$301,0), Skills!M16+1)</f>
        <v/>
      </c>
      <c r="F1140">
        <f>IF(Skills!N16=TRUE,(Skills!L16/10)*(E1140/1000),Skills!L16/10)+Skills!O16</f>
        <v/>
      </c>
      <c r="G1140">
        <f>Skills!G16*IF(Skills!H16&gt;0,Skills!I16/Skills!H16,1)</f>
        <v/>
      </c>
      <c r="H1140">
        <f>1-(1-Skills!J16/100)^Skills!K16</f>
        <v/>
      </c>
      <c r="I1140" t="inlineStr">
        <is>
          <t>1</t>
        </is>
      </c>
      <c r="J1140" t="inlineStr"/>
      <c r="K1140" t="inlineStr"/>
      <c r="L1140" t="inlineStr"/>
      <c r="M1140" t="inlineStr"/>
      <c r="N1140" t="inlineStr"/>
      <c r="O1140">
        <f>(1-Summary!$B$11)*T1140+Summary!$B$11*V1140</f>
        <v/>
      </c>
      <c r="P1140">
        <f>IF(B1160=0,0,O1140/B1160)</f>
        <v/>
      </c>
      <c r="Q1140" t="n">
        <v>0</v>
      </c>
      <c r="R1140" t="n">
        <v>0</v>
      </c>
      <c r="S1140">
        <f>IFERROR(O1140/N1140,0)</f>
        <v/>
      </c>
      <c r="T1140" t="n">
        <v>0</v>
      </c>
      <c r="V1140" t="n">
        <v>0</v>
      </c>
    </row>
    <row r="1141">
      <c r="A1141">
        <f>Skills!A17</f>
        <v/>
      </c>
      <c r="B1141">
        <f>Skills!B17</f>
        <v/>
      </c>
      <c r="C1141">
        <f>Inputs!$B$3&gt;=10</f>
        <v/>
      </c>
      <c r="D1141">
        <f>IF(Skills!C17=1,60+Inputs!$B$25+Inputs!$B$29,IF(Skills!C17=2,90+Inputs!$B$26+Inputs!$B$29,IF(Skills!C17=3,120+Inputs!$B$27+Inputs!$B$29,MAX(0,(Inputs!$B$3-100)*3)+Inputs!$B$28+Inputs!$B$29)))</f>
        <v/>
      </c>
      <c r="E1141">
        <f>INDEX(FactorTable!$B$2:$Y$301, MATCH(ROUND(MIN(300,MAX(1,D1141)),0), FactorTable!$A$2:$A$301,0), Skills!M17+1)</f>
        <v/>
      </c>
      <c r="F1141">
        <f>IF(Skills!N17=TRUE,(Skills!L17/10)*(E1141/1000),Skills!L17/10)+Skills!O17</f>
        <v/>
      </c>
      <c r="G1141">
        <f>Skills!G17*IF(Skills!H17&gt;0,Skills!I17/Skills!H17,1)</f>
        <v/>
      </c>
      <c r="H1141">
        <f>1-(1-Skills!J17/100)^Skills!K17</f>
        <v/>
      </c>
      <c r="I1141" t="inlineStr">
        <is>
          <t>1</t>
        </is>
      </c>
      <c r="J1141" t="inlineStr"/>
      <c r="K1141" t="inlineStr"/>
      <c r="L1141" t="inlineStr"/>
      <c r="M1141" t="inlineStr"/>
      <c r="N1141" t="inlineStr"/>
      <c r="O1141">
        <f>(1-Summary!$B$11)*T1141+Summary!$B$11*V1141</f>
        <v/>
      </c>
      <c r="P1141">
        <f>IF(B1160=0,0,O1141/B1160)</f>
        <v/>
      </c>
      <c r="Q1141" t="n">
        <v>0</v>
      </c>
      <c r="R1141" t="n">
        <v>0</v>
      </c>
      <c r="S1141">
        <f>IFERROR(O1141/N1141,0)</f>
        <v/>
      </c>
      <c r="T1141" t="n">
        <v>0</v>
      </c>
      <c r="V1141" t="n">
        <v>0</v>
      </c>
    </row>
    <row r="1142">
      <c r="A1142">
        <f>Skills!A18</f>
        <v/>
      </c>
      <c r="B1142">
        <f>Skills!B18</f>
        <v/>
      </c>
      <c r="C1142">
        <f>Inputs!$B$3&gt;=33</f>
        <v/>
      </c>
      <c r="D1142">
        <f>IF(Skills!C18=1,60+Inputs!$B$25+Inputs!$B$29,IF(Skills!C18=2,90+Inputs!$B$26+Inputs!$B$29,IF(Skills!C18=3,120+Inputs!$B$27+Inputs!$B$29,MAX(0,(Inputs!$B$3-100)*3)+Inputs!$B$28+Inputs!$B$29)))</f>
        <v/>
      </c>
      <c r="E1142">
        <f>INDEX(FactorTable!$B$2:$Y$301, MATCH(ROUND(MIN(300,MAX(1,D1142)),0), FactorTable!$A$2:$A$301,0), Skills!M18+1)</f>
        <v/>
      </c>
      <c r="F1142">
        <f>IF(Skills!N18=TRUE,(Skills!L18/10)*(E1142/1000),Skills!L18/10)+Skills!O18</f>
        <v/>
      </c>
      <c r="G1142">
        <f>Skills!G18*IF(Skills!H18&gt;0,Skills!I18/Skills!H18,1)</f>
        <v/>
      </c>
      <c r="H1142">
        <f>1-(1-Skills!J18/100)^Skills!K18</f>
        <v/>
      </c>
      <c r="I1142" t="inlineStr">
        <is>
          <t>1</t>
        </is>
      </c>
      <c r="J1142" t="inlineStr"/>
      <c r="K1142" t="inlineStr"/>
      <c r="L1142" t="inlineStr"/>
      <c r="M1142" t="inlineStr"/>
      <c r="N1142" t="inlineStr"/>
      <c r="O1142">
        <f>(1-Summary!$B$11)*T1142+Summary!$B$11*V1142</f>
        <v/>
      </c>
      <c r="P1142">
        <f>IF(B1160=0,0,O1142/B1160)</f>
        <v/>
      </c>
      <c r="Q1142" t="n">
        <v>0</v>
      </c>
      <c r="R1142" t="n">
        <v>0</v>
      </c>
      <c r="S1142">
        <f>IFERROR(O1142/N1142,0)</f>
        <v/>
      </c>
      <c r="T1142" t="n">
        <v>0</v>
      </c>
      <c r="V1142" t="n">
        <v>0</v>
      </c>
    </row>
    <row r="1143">
      <c r="A1143">
        <f>Skills!A19</f>
        <v/>
      </c>
      <c r="B1143">
        <f>Skills!B19</f>
        <v/>
      </c>
      <c r="C1143">
        <f>Inputs!$B$3&gt;=40</f>
        <v/>
      </c>
      <c r="D1143">
        <f>IF(Skills!C19=1,60+Inputs!$B$25+Inputs!$B$29,IF(Skills!C19=2,90+Inputs!$B$26+Inputs!$B$29,IF(Skills!C19=3,120+Inputs!$B$27+Inputs!$B$29,MAX(0,(Inputs!$B$3-100)*3)+Inputs!$B$28+Inputs!$B$29)))</f>
        <v/>
      </c>
      <c r="E1143">
        <f>INDEX(FactorTable!$B$2:$Y$301, MATCH(ROUND(MIN(300,MAX(1,D1143)),0), FactorTable!$A$2:$A$301,0), Skills!M19+1)</f>
        <v/>
      </c>
      <c r="F1143">
        <f>IF(Skills!N19=TRUE,(Skills!L19/10)*(E1143/1000),Skills!L19/10)+Skills!O19</f>
        <v/>
      </c>
      <c r="G1143">
        <f>Skills!G19*IF(Skills!H19&gt;0,Skills!I19/Skills!H19,1)</f>
        <v/>
      </c>
      <c r="H1143">
        <f>1-(1-Skills!J19/100)^Skills!K19</f>
        <v/>
      </c>
      <c r="I1143" t="inlineStr">
        <is>
          <t>1</t>
        </is>
      </c>
      <c r="J1143" t="inlineStr"/>
      <c r="K1143" t="inlineStr"/>
      <c r="L1143" t="inlineStr"/>
      <c r="M1143" t="inlineStr"/>
      <c r="N1143" t="inlineStr"/>
      <c r="O1143">
        <f>(1-Summary!$B$11)*T1143+Summary!$B$11*V1143</f>
        <v/>
      </c>
      <c r="P1143">
        <f>IF(B1160=0,0,O1143/B1160)</f>
        <v/>
      </c>
      <c r="Q1143" t="n">
        <v>0</v>
      </c>
      <c r="R1143" t="n">
        <v>0</v>
      </c>
      <c r="S1143">
        <f>IFERROR(O1143/N1143,0)</f>
        <v/>
      </c>
      <c r="T1143" t="n">
        <v>0</v>
      </c>
      <c r="V1143" t="n">
        <v>0</v>
      </c>
    </row>
    <row r="1144">
      <c r="A1144">
        <f>Skills!A20</f>
        <v/>
      </c>
      <c r="B1144">
        <f>Skills!B20</f>
        <v/>
      </c>
      <c r="C1144">
        <f>Inputs!$B$3&gt;=43</f>
        <v/>
      </c>
      <c r="D1144">
        <f>IF(Skills!C20=1,60+Inputs!$B$25+Inputs!$B$29,IF(Skills!C20=2,90+Inputs!$B$26+Inputs!$B$29,IF(Skills!C20=3,120+Inputs!$B$27+Inputs!$B$29,MAX(0,(Inputs!$B$3-100)*3)+Inputs!$B$28+Inputs!$B$29)))</f>
        <v/>
      </c>
      <c r="E1144">
        <f>INDEX(FactorTable!$B$2:$Y$301, MATCH(ROUND(MIN(300,MAX(1,D1144)),0), FactorTable!$A$2:$A$301,0), Skills!M20+1)</f>
        <v/>
      </c>
      <c r="F1144">
        <f>IF(Skills!N20=TRUE,(Skills!L20/10)*(E1144/1000),Skills!L20/10)+Skills!O20</f>
        <v/>
      </c>
      <c r="G1144">
        <f>Skills!G20*IF(Skills!H20&gt;0,Skills!I20/Skills!H20,1)</f>
        <v/>
      </c>
      <c r="H1144">
        <f>1-(1-Skills!J20/100)^Skills!K20</f>
        <v/>
      </c>
      <c r="I1144" t="inlineStr">
        <is>
          <t>1</t>
        </is>
      </c>
      <c r="J1144" t="inlineStr"/>
      <c r="K1144" t="inlineStr"/>
      <c r="L1144" t="inlineStr"/>
      <c r="M1144" t="inlineStr"/>
      <c r="N1144" t="inlineStr"/>
      <c r="O1144">
        <f>(1-Summary!$B$11)*T1144+Summary!$B$11*V1144</f>
        <v/>
      </c>
      <c r="P1144">
        <f>IF(B1160=0,0,O1144/B1160)</f>
        <v/>
      </c>
      <c r="Q1144" t="n">
        <v>0</v>
      </c>
      <c r="R1144" t="n">
        <v>0</v>
      </c>
      <c r="S1144">
        <f>IFERROR(O1144/N1144,0)</f>
        <v/>
      </c>
      <c r="T1144" t="n">
        <v>0</v>
      </c>
      <c r="V1144" t="n">
        <v>0</v>
      </c>
    </row>
    <row r="1145">
      <c r="A1145">
        <f>Skills!A21</f>
        <v/>
      </c>
      <c r="B1145">
        <f>Skills!B21</f>
        <v/>
      </c>
      <c r="C1145">
        <f>Inputs!$B$3&gt;=38</f>
        <v/>
      </c>
      <c r="D1145">
        <f>IF(Skills!C21=1,60+Inputs!$B$25+Inputs!$B$29,IF(Skills!C21=2,90+Inputs!$B$26+Inputs!$B$29,IF(Skills!C21=3,120+Inputs!$B$27+Inputs!$B$29,MAX(0,(Inputs!$B$3-100)*3)+Inputs!$B$28+Inputs!$B$29)))</f>
        <v/>
      </c>
      <c r="E1145">
        <f>INDEX(FactorTable!$B$2:$Y$301, MATCH(ROUND(MIN(300,MAX(1,D1145)),0), FactorTable!$A$2:$A$301,0), Skills!M21+1)</f>
        <v/>
      </c>
      <c r="F1145">
        <f>IF(Skills!N21=TRUE,(Skills!L21/10)*(E1145/1000),Skills!L21/10)+Skills!O21</f>
        <v/>
      </c>
      <c r="G1145">
        <f>Skills!G21*IF(Skills!H21&gt;0,Skills!I21/Skills!H21,1)</f>
        <v/>
      </c>
      <c r="H1145">
        <f>1-(1-Skills!J21/100)^Skills!K21</f>
        <v/>
      </c>
      <c r="I1145" t="inlineStr">
        <is>
          <t>1</t>
        </is>
      </c>
      <c r="J1145" t="inlineStr"/>
      <c r="K1145" t="inlineStr"/>
      <c r="L1145" t="inlineStr"/>
      <c r="M1145" t="inlineStr"/>
      <c r="N1145" t="inlineStr"/>
      <c r="O1145">
        <f>(1-Summary!$B$11)*T1145+Summary!$B$11*V1145</f>
        <v/>
      </c>
      <c r="P1145">
        <f>IF(B1160=0,0,O1145/B1160)</f>
        <v/>
      </c>
      <c r="Q1145" t="n">
        <v>0</v>
      </c>
      <c r="R1145" t="n">
        <v>0</v>
      </c>
      <c r="S1145">
        <f>IFERROR(O1145/N1145,0)</f>
        <v/>
      </c>
      <c r="T1145" t="n">
        <v>0</v>
      </c>
      <c r="V1145" t="n">
        <v>0</v>
      </c>
    </row>
    <row r="1146">
      <c r="A1146">
        <f>Skills!A22</f>
        <v/>
      </c>
      <c r="B1146">
        <f>Skills!B22</f>
        <v/>
      </c>
      <c r="C1146">
        <f>Inputs!$B$3&gt;=75</f>
        <v/>
      </c>
      <c r="D1146">
        <f>IF(Skills!C22=1,60+Inputs!$B$25+Inputs!$B$29,IF(Skills!C22=2,90+Inputs!$B$26+Inputs!$B$29,IF(Skills!C22=3,120+Inputs!$B$27+Inputs!$B$29,MAX(0,(Inputs!$B$3-100)*3)+Inputs!$B$28+Inputs!$B$29)))</f>
        <v/>
      </c>
      <c r="E1146">
        <f>INDEX(FactorTable!$B$2:$Y$301, MATCH(ROUND(MIN(300,MAX(1,D1146)),0), FactorTable!$A$2:$A$301,0), Skills!M22+1)</f>
        <v/>
      </c>
      <c r="F1146">
        <f>IF(Skills!N22=TRUE,(Skills!L22/10)*(E1146/1000),Skills!L22/10)+Skills!O22</f>
        <v/>
      </c>
      <c r="G1146">
        <f>Skills!G22*IF(Skills!H22&gt;0,Skills!I22/Skills!H22,1)</f>
        <v/>
      </c>
      <c r="H1146">
        <f>1-(1-Skills!J22/100)^Skills!K22</f>
        <v/>
      </c>
      <c r="I1146" t="inlineStr">
        <is>
          <t>1</t>
        </is>
      </c>
      <c r="J1146" t="inlineStr"/>
      <c r="K1146" t="inlineStr"/>
      <c r="L1146" t="inlineStr"/>
      <c r="M1146" t="inlineStr"/>
      <c r="N1146" t="inlineStr"/>
      <c r="O1146">
        <f>(1-Summary!$B$11)*T1146+Summary!$B$11*V1146</f>
        <v/>
      </c>
      <c r="P1146">
        <f>IF(B1160=0,0,O1146/B1160)</f>
        <v/>
      </c>
      <c r="Q1146" t="n">
        <v>0</v>
      </c>
      <c r="R1146" t="n">
        <v>0</v>
      </c>
      <c r="S1146">
        <f>IFERROR(O1146/N1146,0)</f>
        <v/>
      </c>
      <c r="T1146" t="n">
        <v>0</v>
      </c>
      <c r="V1146" t="n">
        <v>0</v>
      </c>
    </row>
    <row r="1147">
      <c r="A1147">
        <f>Skills!A23</f>
        <v/>
      </c>
      <c r="B1147">
        <f>Skills!B23</f>
        <v/>
      </c>
      <c r="C1147">
        <f>TRUE</f>
        <v/>
      </c>
      <c r="D1147">
        <f>IF(Skills!C23=1,60+Inputs!$B$25+Inputs!$B$29,IF(Skills!C23=2,90+Inputs!$B$26+Inputs!$B$29,IF(Skills!C23=3,120+Inputs!$B$27+Inputs!$B$29,MAX(0,(Inputs!$B$3-100)*3)+Inputs!$B$28+Inputs!$B$29)))</f>
        <v/>
      </c>
      <c r="E1147">
        <f>INDEX(FactorTable!$B$2:$Y$301, MATCH(ROUND(MIN(300,MAX(1,D1147)),0), FactorTable!$A$2:$A$301,0), Skills!M23+1)</f>
        <v/>
      </c>
      <c r="F1147">
        <f>IF(Skills!N23=TRUE,(Skills!L23/10)*(E1147/1000),Skills!L23/10)+Skills!O23</f>
        <v/>
      </c>
      <c r="G1147">
        <f>Skills!G23*IF(Skills!H23&gt;0,Skills!I23/Skills!H23,1)</f>
        <v/>
      </c>
      <c r="H1147">
        <f>1-(1-Skills!J23/100)^Skills!K23</f>
        <v/>
      </c>
      <c r="I1147" t="inlineStr">
        <is>
          <t>1</t>
        </is>
      </c>
      <c r="J1147" t="inlineStr"/>
      <c r="K1147" t="inlineStr"/>
      <c r="L1147" t="inlineStr"/>
      <c r="M1147" t="inlineStr"/>
      <c r="N1147" t="inlineStr"/>
      <c r="O1147">
        <f>(1-Summary!$B$11)*T1147+Summary!$B$11*V1147</f>
        <v/>
      </c>
      <c r="P1147">
        <f>IF(B1160=0,0,O1147/B1160)</f>
        <v/>
      </c>
      <c r="Q1147">
        <f>IFERROR(1/(IF(Inputs!$B$38="pvp",15,MAX(0.1,Skills!D23-IF(Skills!E23=TRUE,Inputs!$B$32,0)))*(1-IF(AND(ArtifactsInput!$M$27,Inputs!$B$4="Chapter Hunt"),CHOOSE(ArtifactsInput!$N$27+1,20,24,28,32,36,40),0)/100)),0)</f>
        <v/>
      </c>
      <c r="R1147">
        <f>IF(AND(Inputs!$B$38&lt;&gt;"pvp",Inputs!$B$43&gt;0),IF(Inputs!$B$43&lt;=0,0,(INT(Inputs!$B$43/(IF(Inputs!$B$38="pvp",15,MAX(0.1,Skills!D23-IF(Skills!E23=TRUE,Inputs!$B$32,0)))*(1-IF(AND(ArtifactsInput!$M$27,Inputs!$B$4="Chapter Hunt"),CHOOSE(ArtifactsInput!$N$27+1,20,24,28,32,36,40),0)/100)))+1)),0)</f>
        <v/>
      </c>
      <c r="S1147">
        <f>IFERROR(O1147/N1147,0)</f>
        <v/>
      </c>
      <c r="T1147" t="n">
        <v>0</v>
      </c>
      <c r="V1147" t="n">
        <v>0</v>
      </c>
    </row>
    <row r="1149">
      <c r="A1149" t="inlineStr">
        <is>
          <t>Attack% Bucket Multiplier</t>
        </is>
      </c>
      <c r="B1149">
        <f>(1+(((C1137=TRUE)*F1137*5/7)+((C1143=TRUE)*(F1143-Calc!F19))+(IF(ArtifactsInput!$M$21,CHOOSE(ArtifactsInput!$N$21+1,25,30,35,40,45,50)*(IF(OR(Inputs!$B$4="Chapter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50">
      <c r="A1150" t="inlineStr">
        <is>
          <t>Global Crit Rate Bonus %</t>
        </is>
      </c>
      <c r="B1150" t="n">
        <v>0</v>
      </c>
    </row>
    <row r="1151">
      <c r="A1151" t="inlineStr">
        <is>
          <t>Attack Speed Buff Bonus % (Nimble Feet, duty-cycle averaged)</t>
        </is>
      </c>
      <c r="B1151">
        <f>((C1147=TRUE)*F1147*IF(AND(Inputs!$B$38&lt;&gt;"pvp",Inputs!$B$43&gt;0),(((R1147-1)*(Skills!T23*(1+Inputs!$B$34/100))+MIN((Skills!T23*(1+Inputs!$B$34/100)),MAX(0,Inputs!$B$43-((R1147-1)*Skills!D23))))/Inputs!$B$43),IF(Inputs!$B$38="pvp",MIN((Skills!T23*(1+Inputs!$B$34/100)),15)/15,(Skills!T23*(1+Inputs!$B$34/100))/Skills!D23)))</f>
        <v/>
      </c>
    </row>
    <row r="1152">
      <c r="A1152" t="inlineStr">
        <is>
          <t>Actions Per Second</t>
        </is>
      </c>
      <c r="B1152">
        <f>1+MIN(150,150*(1-(1-(Inputs!$B$11+((C1141=TRUE)*(F1141-Calc!F17))+((C1142=TRUE)*(F1142-Calc!F18)))/150)*(1-B1151/150)))/100</f>
        <v/>
      </c>
    </row>
    <row r="1153">
      <c r="A1153" t="inlineStr">
        <is>
          <t>Skill + Buff Cast Rate</t>
        </is>
      </c>
      <c r="B1153">
        <f>IF(AND(Inputs!$B$38&lt;&gt;"pvp",Inputs!$B$43&gt;0),SUMPRODUCT((Skills!E2:E23=TRUE)*(C1126:C1147=TRUE)*R1126:R1147*Skills!F2:F23)/Inputs!$B$43,SUMPRODUCT((Skills!E2:E23=TRUE)*(C1126:C1147=TRUE)*Q1126:Q1147*Skills!F2:F23))</f>
        <v/>
      </c>
    </row>
    <row r="1154">
      <c r="A1154" t="inlineStr">
        <is>
          <t>Hook Bomber Casts Per Second</t>
        </is>
      </c>
      <c r="B1154">
        <f>MAX(0,B1152-B1153)</f>
        <v/>
      </c>
    </row>
    <row r="1155">
      <c r="A1155" t="inlineStr">
        <is>
          <t>Global Critical Damage Bonus % (unused)</t>
        </is>
      </c>
      <c r="B1155" t="n">
        <v>0</v>
      </c>
    </row>
    <row r="1156">
      <c r="A1156" t="inlineStr">
        <is>
          <t>Global Final Damage Bonus % (Serpent Scale + Crossbones + Time Leap + Speed Infusion)</t>
        </is>
      </c>
      <c r="B1156">
        <f>((C1129=TRUE)*F1129*((10+IF(Inputs!$B$3&gt;=94,5,0))/((10+IF(Inputs!$B$3&gt;=94,5,0))+5/(B1154*(1+IF(Inputs!$B$3&gt;=104,1,0))))))+((C1138=TRUE)*F1138*IF(AND(Inputs!$B$38&lt;&gt;"pvp",Inputs!$B$43&gt;0),(((R1138-1)*(Skills!T14*(1+Inputs!$B$34/100))+MIN((Skills!T14*(1+Inputs!$B$34/100)),MAX(0,Inputs!$B$43-((R1138-1)*Skills!D14))))/Inputs!$B$43),IF(Inputs!$B$38="pvp",MIN((Skills!T14*(1+Inputs!$B$34/100)),15)/15,(Skills!T14*(1+Inputs!$B$34/100))/Skills!D14)))+((C1139=TRUE)*F1139*IF(AND(Inputs!$B$38&lt;&gt;"pvp",Inputs!$B$43&gt;0),(((R1139-1)*(Skills!T15*(1+Inputs!$B$34/100))+MIN((Skills!T15*(1+Inputs!$B$34/100)),MAX(0,Inputs!$B$43-((R1139-1)*Skills!D15))))/Inputs!$B$43),IF(Inputs!$B$38="pvp",MIN((Skills!T15*(1+Inputs!$B$34/100)),15)/15,(Skills!T15*(1+Inputs!$B$34/100))/Skills!D15)))+((Inputs!$B$3&gt;=110)*20*(B1152-1)*IF(Inputs!$B$38="pvp",MIN((15*(1+Inputs!$B$34/100)),15)/15,(15*(1+Inputs!$B$34/100))/35))</f>
        <v/>
      </c>
    </row>
    <row r="1157">
      <c r="A1157" t="inlineStr">
        <is>
          <t>Buff-Casting Startup Delay (s, fixed-duration only)</t>
        </is>
      </c>
      <c r="B1157">
        <f>IF(AND(Inputs!$B$38&lt;&gt;"pvp",Inputs!$B$43&gt;0),SUMPRODUCT((Skills!T2:T23&gt;0)*(Skills!E2:E23=TRUE)*(C1126:C1147=TRUE))/B1152,0)</f>
        <v/>
      </c>
    </row>
    <row r="1158">
      <c r="A1158" t="inlineStr">
        <is>
          <t>Boss-Only Total DPS (this block's swept value)</t>
        </is>
      </c>
      <c r="B1158">
        <f>SUM(T1126:T1147)</f>
        <v/>
      </c>
    </row>
    <row r="1159">
      <c r="A1159" t="inlineStr">
        <is>
          <t>Normal-Only Total DPS (this block's swept value)</t>
        </is>
      </c>
      <c r="B1159">
        <f>SUM(V1126:V1147)</f>
        <v/>
      </c>
    </row>
    <row r="1160">
      <c r="A1160" s="6" t="inlineStr">
        <is>
          <t>TOTAL DPS</t>
        </is>
      </c>
      <c r="B1160" s="6">
        <f>SUM(O1126:O1147)</f>
        <v/>
      </c>
    </row>
    <row r="1163">
      <c r="A1163" s="6" t="inlineStr">
        <is>
          <t>Stat: Shamaness Marble (Equip)</t>
        </is>
      </c>
    </row>
    <row r="1164">
      <c r="A1164" s="5" t="inlineStr">
        <is>
          <t>Key</t>
        </is>
      </c>
      <c r="B1164" s="5" t="inlineStr">
        <is>
          <t>Name</t>
        </is>
      </c>
      <c r="C1164" s="5" t="inlineStr">
        <is>
          <t>Unlocked</t>
        </is>
      </c>
      <c r="D1164" s="5" t="inlineStr">
        <is>
          <t>InputLevel</t>
        </is>
      </c>
      <c r="E1164" s="5" t="inlineStr">
        <is>
          <t>Factor</t>
        </is>
      </c>
      <c r="F1164" s="5" t="inlineStr">
        <is>
          <t>CoefficientPercent</t>
        </is>
      </c>
      <c r="G1164" s="5" t="inlineStr">
        <is>
          <t>EffectiveHits</t>
        </is>
      </c>
      <c r="H1164" s="5" t="inlineStr">
        <is>
          <t>ProcProbability</t>
        </is>
      </c>
      <c r="I1164" s="5" t="inlineStr">
        <is>
          <t>MapleHeroMultiplier</t>
        </is>
      </c>
      <c r="J1164" s="5" t="inlineStr">
        <is>
          <t>BaseDamage</t>
        </is>
      </c>
      <c r="K1164" s="5" t="inlineStr">
        <is>
          <t>BaseHitDamage</t>
        </is>
      </c>
      <c r="L1164" s="5" t="inlineStr">
        <is>
          <t>NonCritAvg</t>
        </is>
      </c>
      <c r="M1164" s="5" t="inlineStr">
        <is>
          <t>CritAvg</t>
        </is>
      </c>
      <c r="N1164" s="5" t="inlineStr">
        <is>
          <t>ExpectedDamage(perHit)</t>
        </is>
      </c>
      <c r="O1164" s="5" t="inlineStr">
        <is>
          <t>DPS</t>
        </is>
      </c>
      <c r="P1164" s="5" t="inlineStr">
        <is>
          <t>% of Total</t>
        </is>
      </c>
      <c r="Q1164" s="5" t="inlineStr">
        <is>
          <t>InvCooldown</t>
        </is>
      </c>
      <c r="R1164" s="5" t="inlineStr">
        <is>
          <t>CastsInFight</t>
        </is>
      </c>
      <c r="S1164" s="5" t="inlineStr">
        <is>
          <t>HitRate(perSec)</t>
        </is>
      </c>
      <c r="U1164" t="inlineStr">
        <is>
          <t>helpers</t>
        </is>
      </c>
    </row>
    <row r="1165">
      <c r="A1165">
        <f>Skills!A2</f>
        <v/>
      </c>
      <c r="B1165">
        <f>Skills!B2</f>
        <v/>
      </c>
      <c r="C1165">
        <f>Inputs!$B$3&gt;=100</f>
        <v/>
      </c>
      <c r="D1165" t="inlineStr"/>
      <c r="E1165" t="inlineStr"/>
      <c r="F1165">
        <f>U1167+Skills!O2</f>
        <v/>
      </c>
      <c r="G1165">
        <f>Skills!G2*IF(Skills!H2&gt;0,Skills!I2/Skills!H2,1)</f>
        <v/>
      </c>
      <c r="H1165">
        <f>1-(1-Skills!J2/100)^Skills!K2</f>
        <v/>
      </c>
      <c r="I1165" t="inlineStr">
        <is>
          <t>1</t>
        </is>
      </c>
      <c r="J1165">
        <f>((Inputs!$B$6*(1+Inputs!$B$7/100))+(((Inputs!$B$12*(1+Inputs!$B$13/100))-(Inputs!$B$12*(1+Inputs!$B$13/100)))+0.25*(Inputs!$B$14-Inputs!$B$14))*(1+Inputs!$B$7/100))*(F1165/100)</f>
        <v/>
      </c>
      <c r="K1165">
        <f>J1165*(1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1165)</f>
        <v/>
      </c>
      <c r="L1165">
        <f>K1165*(MIN(Inputs!$B$22+((C1183=TRUE)*(F1183-Calc!F20)),(Inputs!$B$23+0+(IF(ArtifactsInput!$M$15,CHOOSE(ArtifactsInput!$N$15+1,25,30,35,40,45,50)/100*(Inputs!$B$11-Inputs!$B$11),0))))/100+(Inputs!$B$23+0+(IF(ArtifactsInput!$M$15,CHOOSE(ArtifactsInput!$N$15+1,25,30,35,40,45,50)/100*(Inputs!$B$11-Inputs!$B$11),0)))/100)/2</f>
        <v/>
      </c>
      <c r="M1165">
        <f>L1165*(1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5">
        <f>L1165*(1-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1165*(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5">
        <f>(1-Summary!$B$11)*T1165+Summary!$B$11*V1165</f>
        <v/>
      </c>
      <c r="P1165">
        <f>IF(B1199=0,0,O1165/B1199)</f>
        <v/>
      </c>
      <c r="Q1165" t="n">
        <v>0</v>
      </c>
      <c r="R1165" t="n">
        <v>0</v>
      </c>
      <c r="S1165">
        <f>IFERROR(O1165/N1165,0)</f>
        <v/>
      </c>
      <c r="T1165">
        <f>IF(C1165,(Skills!G2*N1165*B1193)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1165*(1-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1165*(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1165*(1-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1165*(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5">
        <f>MAX(0,(Inputs!$B$3-100)*3)+Inputs!$B$28+Inputs!$B$29</f>
        <v/>
      </c>
      <c r="V1165">
        <f>IF(C1165,(Skills!G2*N1165*B1193)*IF(Inputs!$B$38="pvp",1,(1+(Inputs!$B$21+Skills!Q2+(IF(ArtifactsInput!$M$33,CHOOSE(ArtifactsInput!$N$33+1,30,36,42,48,54,60),0))+(IF(AND(ArtifactsInput!$M$35,Inputs!$B$4&lt;&gt;"Chapter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6">
      <c r="A1166">
        <f>Skills!A3</f>
        <v/>
      </c>
      <c r="B1166">
        <f>Skills!B3</f>
        <v/>
      </c>
      <c r="C1166">
        <f>Inputs!$B$3&gt;=35</f>
        <v/>
      </c>
      <c r="D1166">
        <f>IF(Skills!C3=1,60+Inputs!$B$25+Inputs!$B$29,IF(Skills!C3=2,90+Inputs!$B$26+Inputs!$B$29,IF(Skills!C3=3,120+Inputs!$B$27+Inputs!$B$29,MAX(0,(Inputs!$B$3-100)*3)+Inputs!$B$28+Inputs!$B$29)))</f>
        <v/>
      </c>
      <c r="E1166">
        <f>INDEX(FactorTable!$B$2:$Y$301, MATCH(ROUND(MIN(300,MAX(1,D1166)),0), FactorTable!$A$2:$A$301,0), Skills!M3+1)</f>
        <v/>
      </c>
      <c r="F1166">
        <f>IF(Skills!N3=TRUE,(Skills!L3/10)*(E1166/1000),Skills!L3/10)+Skills!O3</f>
        <v/>
      </c>
      <c r="G1166">
        <f>Skills!G3*IF(Skills!H3&gt;0,Skills!I3/Skills!H3,1)</f>
        <v/>
      </c>
      <c r="H1166">
        <f>1-(1-Skills!J3/100)^Skills!K3</f>
        <v/>
      </c>
      <c r="I1166" t="inlineStr">
        <is>
          <t>1</t>
        </is>
      </c>
      <c r="J1166">
        <f>((Inputs!$B$6*(1+Inputs!$B$7/100))+(((Inputs!$B$12*(1+Inputs!$B$13/100))-(Inputs!$B$12*(1+Inputs!$B$13/100)))+0.25*(Inputs!$B$14-Inputs!$B$14))*(1+Inputs!$B$7/100))*(F1166/100)</f>
        <v/>
      </c>
      <c r="K1166">
        <f>J1166*(1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1166)</f>
        <v/>
      </c>
      <c r="L1166">
        <f>K1166*(MIN(Inputs!$B$22+((C1183=TRUE)*(F1183-Calc!F20)),(Inputs!$B$23+0+(IF(ArtifactsInput!$M$15,CHOOSE(ArtifactsInput!$N$15+1,25,30,35,40,45,50)/100*(Inputs!$B$11-Inputs!$B$11),0))))/100+(Inputs!$B$23+0+(IF(ArtifactsInput!$M$15,CHOOSE(ArtifactsInput!$N$15+1,25,30,35,40,45,50)/100*(Inputs!$B$11-Inputs!$B$11),0)))/100)/2</f>
        <v/>
      </c>
      <c r="M1166">
        <f>L1166*(1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6">
        <f>L1166*(1-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1166*(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6">
        <f>(1-Summary!$B$11)*T1166+Summary!$B$11*V1166</f>
        <v/>
      </c>
      <c r="P1166">
        <f>IF(B1199=0,0,O1166/B1199)</f>
        <v/>
      </c>
      <c r="Q1166" t="n">
        <v>0</v>
      </c>
      <c r="R1166" t="n">
        <v>0</v>
      </c>
      <c r="S1166">
        <f>IFERROR(O1166/N1166,0)</f>
        <v/>
      </c>
      <c r="T1166">
        <f>IF(C1166,(Skills!G3*H1166*N1166*B1193)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1166*(1-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1166*(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1166*(1-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1166*(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6">
        <f>INDEX(FactorTable!$B$2:$Y$301, MATCH(ROUND(MIN(300,MAX(1,U1165)),0), FactorTable!$A$2:$A$301,0), 22)</f>
        <v/>
      </c>
      <c r="V1166">
        <f>IF(C1166,(Skills!G3*H1166*N1166*B1193)*IF(Inputs!$B$38="pvp",1,(1+(Inputs!$B$21+Skills!Q3+(IF(ArtifactsInput!$M$33,CHOOSE(ArtifactsInput!$N$33+1,30,36,42,48,54,60),0))+(IF(AND(ArtifactsInput!$M$35,Inputs!$B$4&lt;&gt;"Chapter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7">
      <c r="A1167">
        <f>Skills!A4</f>
        <v/>
      </c>
      <c r="B1167">
        <f>Skills!B4</f>
        <v/>
      </c>
      <c r="C1167">
        <f>Inputs!$B$3&gt;=60</f>
        <v/>
      </c>
      <c r="D1167">
        <f>IF(Skills!C4=1,60+Inputs!$B$25+Inputs!$B$29,IF(Skills!C4=2,90+Inputs!$B$26+Inputs!$B$29,IF(Skills!C4=3,120+Inputs!$B$27+Inputs!$B$29,MAX(0,(Inputs!$B$3-100)*3)+Inputs!$B$28+Inputs!$B$29)))</f>
        <v/>
      </c>
      <c r="E1167">
        <f>INDEX(FactorTable!$B$2:$Y$301, MATCH(ROUND(MIN(300,MAX(1,D1167)),0), FactorTable!$A$2:$A$301,0), Skills!M4+1)</f>
        <v/>
      </c>
      <c r="F1167">
        <f>IF(Skills!N4=TRUE,(Skills!L4/10)*(E1167/1000),Skills!L4/10)+Skills!O4</f>
        <v/>
      </c>
      <c r="G1167">
        <f>Skills!G4*IF(Skills!H4&gt;0,Skills!I4/Skills!H4,1)</f>
        <v/>
      </c>
      <c r="H1167">
        <f>1-(1-Skills!J4/100)^Skills!K4</f>
        <v/>
      </c>
      <c r="I1167" t="inlineStr">
        <is>
          <t>1</t>
        </is>
      </c>
      <c r="J1167">
        <f>((Inputs!$B$6*(1+Inputs!$B$7/100))+(((Inputs!$B$12*(1+Inputs!$B$13/100))-(Inputs!$B$12*(1+Inputs!$B$13/100)))+0.25*(Inputs!$B$14-Inputs!$B$14))*(1+Inputs!$B$7/100))*(F1167/100)</f>
        <v/>
      </c>
      <c r="K1167">
        <f>J1167*(1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1175=TRUE,F1175,0)/100)*(1+(IF(Skills!A4="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1167)</f>
        <v/>
      </c>
      <c r="L1167">
        <f>K1167*(MIN(Inputs!$B$22+((C1183=TRUE)*(F1183-Calc!F20)),(Inputs!$B$23+0+(IF(ArtifactsInput!$M$15,CHOOSE(ArtifactsInput!$N$15+1,25,30,35,40,45,50)/100*(Inputs!$B$11-Inputs!$B$11),0))))/100+(Inputs!$B$23+0+(IF(ArtifactsInput!$M$15,CHOOSE(ArtifactsInput!$N$15+1,25,30,35,40,45,50)/100*(Inputs!$B$11-Inputs!$B$11),0)))/100)/2</f>
        <v/>
      </c>
      <c r="M1167">
        <f>L1167*(1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7">
        <f>L1167*(1-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1167*(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7">
        <f>(1-Summary!$B$11)*T1167+Summary!$B$11*V1167</f>
        <v/>
      </c>
      <c r="P1167">
        <f>IF(B1199=0,0,O1167/B1199)</f>
        <v/>
      </c>
      <c r="Q1167" t="n">
        <v>0</v>
      </c>
      <c r="R1167" t="n">
        <v>0</v>
      </c>
      <c r="S1167">
        <f>IFERROR(O1167/N1167,0)</f>
        <v/>
      </c>
      <c r="T1167">
        <f>IF(C1167,(Skills!G4*H1167*N1167*B1193)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1167*(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1167*(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67">
        <f>290*U1166/1000</f>
        <v/>
      </c>
      <c r="V1167">
        <f>IF(C1167,(Skills!G4*H1167*N1167*B1193)*IF(Inputs!$B$38="pvp",1,(1+(Inputs!$B$21+Skills!Q4+(IF(ArtifactsInput!$M$33,CHOOSE(ArtifactsInput!$N$33+1,30,36,42,48,54,60),0))+(IF(AND(ArtifactsInput!$M$35,Inputs!$B$4&lt;&gt;"Chapter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8">
      <c r="A1168">
        <f>Skills!A5</f>
        <v/>
      </c>
      <c r="B1168">
        <f>Skills!B5</f>
        <v/>
      </c>
      <c r="C1168">
        <f>Inputs!$B$3&gt;=60</f>
        <v/>
      </c>
      <c r="D1168">
        <f>IF(Skills!C5=1,60+Inputs!$B$25+Inputs!$B$29,IF(Skills!C5=2,90+Inputs!$B$26+Inputs!$B$29,IF(Skills!C5=3,120+Inputs!$B$27+Inputs!$B$29,MAX(0,(Inputs!$B$3-100)*3)+Inputs!$B$28+Inputs!$B$29)))</f>
        <v/>
      </c>
      <c r="E1168">
        <f>INDEX(FactorTable!$B$2:$Y$301, MATCH(ROUND(MIN(300,MAX(1,D1168)),0), FactorTable!$A$2:$A$301,0), Skills!M5+1)</f>
        <v/>
      </c>
      <c r="F1168">
        <f>IF(Skills!N5=TRUE,(Skills!L5/10)*(E1168/1000),Skills!L5/10)+Skills!O5</f>
        <v/>
      </c>
      <c r="G1168">
        <f>Skills!G5*IF(Skills!H5&gt;0,Skills!I5/Skills!H5,1)</f>
        <v/>
      </c>
      <c r="H1168">
        <f>1-(1-Skills!J5/100)^Skills!K5</f>
        <v/>
      </c>
      <c r="I1168" t="inlineStr">
        <is>
          <t>1</t>
        </is>
      </c>
      <c r="J1168" t="inlineStr"/>
      <c r="K1168" t="inlineStr"/>
      <c r="L1168" t="inlineStr"/>
      <c r="M1168" t="inlineStr"/>
      <c r="N1168" t="inlineStr"/>
      <c r="O1168">
        <f>(1-Summary!$B$11)*T1168+Summary!$B$11*V1168</f>
        <v/>
      </c>
      <c r="P1168">
        <f>IF(B1199=0,0,O1168/B1199)</f>
        <v/>
      </c>
      <c r="Q1168" t="n">
        <v>0</v>
      </c>
      <c r="R1168" t="n">
        <v>0</v>
      </c>
      <c r="S1168">
        <f>IFERROR(O1168/N1168,0)</f>
        <v/>
      </c>
      <c r="T1168" t="n">
        <v>0</v>
      </c>
      <c r="V1168" t="n">
        <v>0</v>
      </c>
    </row>
    <row r="1169">
      <c r="A1169">
        <f>Skills!A6</f>
        <v/>
      </c>
      <c r="B1169">
        <f>Skills!B6</f>
        <v/>
      </c>
      <c r="C1169">
        <f>Inputs!$B$3&gt;=63</f>
        <v/>
      </c>
      <c r="D1169">
        <f>IF(Skills!C6=1,60+Inputs!$B$25+Inputs!$B$29,IF(Skills!C6=2,90+Inputs!$B$26+Inputs!$B$29,IF(Skills!C6=3,120+Inputs!$B$27+Inputs!$B$29,MAX(0,(Inputs!$B$3-100)*3)+Inputs!$B$28+Inputs!$B$29)))</f>
        <v/>
      </c>
      <c r="E1169">
        <f>INDEX(FactorTable!$B$2:$Y$301, MATCH(ROUND(MIN(300,MAX(1,D1169)),0), FactorTable!$A$2:$A$301,0), Skills!M6+1)</f>
        <v/>
      </c>
      <c r="F1169">
        <f>IF(Skills!N6=TRUE,(Skills!L6/10)*(E1169/1000),Skills!L6/10)+Skills!O6</f>
        <v/>
      </c>
      <c r="G1169">
        <f>Skills!G6*IF(Skills!H6&gt;0,Skills!I6/Skills!H6,1)</f>
        <v/>
      </c>
      <c r="H1169">
        <f>1-(1-Skills!J6/100)^Skills!K6</f>
        <v/>
      </c>
      <c r="I1169" t="inlineStr">
        <is>
          <t>1</t>
        </is>
      </c>
      <c r="J1169">
        <f>((Inputs!$B$6*(1+Inputs!$B$7/100))+(((Inputs!$B$12*(1+Inputs!$B$13/100))-(Inputs!$B$12*(1+Inputs!$B$13/100)))+0.25*(Inputs!$B$14-Inputs!$B$14))*(1+Inputs!$B$7/100))*(F1169/100)</f>
        <v/>
      </c>
      <c r="K1169">
        <f>J1169*(1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1175=TRUE,F1175,0)/100)*(1+(IF(Skills!A6="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1169)</f>
        <v/>
      </c>
      <c r="L1169">
        <f>K1169*(MIN(Inputs!$B$22+((C1183=TRUE)*(F1183-Calc!F20)),(Inputs!$B$23+0+(IF(ArtifactsInput!$M$15,CHOOSE(ArtifactsInput!$N$15+1,25,30,35,40,45,50)/100*(Inputs!$B$11-Inputs!$B$11),0))))/100+(Inputs!$B$23+0+(IF(ArtifactsInput!$M$15,CHOOSE(ArtifactsInput!$N$15+1,25,30,35,40,45,50)/100*(Inputs!$B$11-Inputs!$B$11),0)))/100)/2</f>
        <v/>
      </c>
      <c r="M1169">
        <f>L1169*(1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9">
        <f>L1169*(1-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1169*(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9">
        <f>(1-Summary!$B$11)*T1169+Summary!$B$11*V1169</f>
        <v/>
      </c>
      <c r="P1169">
        <f>IF(B1199=0,0,O1169/B1199)</f>
        <v/>
      </c>
      <c r="Q1169">
        <f>IFERROR(1/(IF(Inputs!$B$38="pvp",15,MAX(0.1,Skills!D6-IF(Skills!E6=TRUE,Inputs!$B$32,0)))*(1-IF(AND(ArtifactsInput!$M$27,Inputs!$B$4="Chapter Hunt"),CHOOSE(ArtifactsInput!$N$27+1,20,24,28,32,36,40),0)/100)),0)</f>
        <v/>
      </c>
      <c r="R1169">
        <f>IF(AND(Inputs!$B$38&lt;&gt;"pvp",Inputs!$B$43&gt;0),IF(MAX(0,Inputs!$B$43-B1196)&lt;=0,0,(INT(MAX(0,Inputs!$B$43-B1196)/(IF(Inputs!$B$38="pvp",15,MAX(0.1,Skills!D6-IF(Skills!E6=TRUE,Inputs!$B$32,0)))*(1-IF(AND(ArtifactsInput!$M$27,Inputs!$B$4="Chapter Hunt"),CHOOSE(ArtifactsInput!$N$27+1,20,24,28,32,36,40),0)/100)))+1)),0)</f>
        <v/>
      </c>
      <c r="S1169">
        <f>IFERROR(O1169/N1169,0)</f>
        <v/>
      </c>
      <c r="T1169">
        <f>IF(C1169,(H1169*N1169*IF(AND(Inputs!$B$38&lt;&gt;"pvp",Inputs!$B$43&gt;0),((Skills!G6*((R1169-1)*IF(Skills!H6&gt;0,Skills!I6/Skills!H6,1)+IF(Skills!H6&gt;0,MIN(Skills!I6,MAX(0,MAX(0,Inputs!$B$43-B1196)-((R1169-1)*(IF(Inputs!$B$38="pvp",15,MAX(0.1,Skills!D6-IF(Skills!E6=TRUE,Inputs!$B$32,0)))*(1-IF(AND(ArtifactsInput!$M$27,Inputs!$B$4="Chapter Hunt"),CHOOSE(ArtifactsInput!$N$27+1,20,24,28,32,36,40),0)/100)))))/Skills!H6,1)))/Inputs!$B$43),G1169*Q1169)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1169*(1-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1169*(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1169*(1-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1169*(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9">
        <f>IF(C1169,(H1169*N1169*IF(AND(Inputs!$B$38&lt;&gt;"pvp",Inputs!$B$43&gt;0),((Skills!G6*((R1169-1)*IF(Skills!H6&gt;0,Skills!I6/Skills!H6,1)+IF(Skills!H6&gt;0,MIN(Skills!I6,MAX(0,MAX(0,Inputs!$B$43-B1196)-((R1169-1)*(IF(Inputs!$B$38="pvp",15,MAX(0.1,Skills!D6-IF(Skills!E6=TRUE,Inputs!$B$32,0)))*(1-IF(AND(ArtifactsInput!$M$27,Inputs!$B$4="Chapter Hunt"),CHOOSE(ArtifactsInput!$N$27+1,20,24,28,32,36,40),0)/100)))))/Skills!H6,1)))/Inputs!$B$43),G1169*Q1169))*IF(Inputs!$B$38="pvp",1,(1+(Inputs!$B$21+Skills!Q6+(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0">
      <c r="A1170">
        <f>Skills!A7</f>
        <v/>
      </c>
      <c r="B1170">
        <f>Skills!B7</f>
        <v/>
      </c>
      <c r="C1170">
        <f>Inputs!$B$3&gt;=100</f>
        <v/>
      </c>
      <c r="D1170">
        <f>IF(Skills!C7=1,60+Inputs!$B$25+Inputs!$B$29,IF(Skills!C7=2,90+Inputs!$B$26+Inputs!$B$29,IF(Skills!C7=3,120+Inputs!$B$27+Inputs!$B$29,MAX(0,(Inputs!$B$3-100)*3)+Inputs!$B$28+Inputs!$B$29)))</f>
        <v/>
      </c>
      <c r="E1170">
        <f>INDEX(FactorTable!$B$2:$Y$301, MATCH(ROUND(MIN(300,MAX(1,D1170)),0), FactorTable!$A$2:$A$301,0), Skills!M7+1)</f>
        <v/>
      </c>
      <c r="F1170">
        <f>IF(Skills!N7=TRUE,(Skills!L7/10)*(E1170/1000),Skills!L7/10)+Skills!O7</f>
        <v/>
      </c>
      <c r="G1170">
        <f>Skills!G7*IF(Skills!H7&gt;0,Skills!I7/Skills!H7,1)</f>
        <v/>
      </c>
      <c r="H1170">
        <f>1-(1-Skills!J7/100)^Skills!K7</f>
        <v/>
      </c>
      <c r="I1170" t="inlineStr">
        <is>
          <t>1</t>
        </is>
      </c>
      <c r="J1170">
        <f>((Inputs!$B$6*(1+Inputs!$B$7/100))+(((Inputs!$B$12*(1+Inputs!$B$13/100))-(Inputs!$B$12*(1+Inputs!$B$13/100)))+0.25*(Inputs!$B$14-Inputs!$B$14))*(1+Inputs!$B$7/100))*(F1170/100)</f>
        <v/>
      </c>
      <c r="K1170">
        <f>J1170*(1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1170)</f>
        <v/>
      </c>
      <c r="L1170">
        <f>K1170*(MIN(Inputs!$B$22+((C1183=TRUE)*(F1183-Calc!F20)),(Inputs!$B$23+0+(IF(ArtifactsInput!$M$15,CHOOSE(ArtifactsInput!$N$15+1,25,30,35,40,45,50)/100*(Inputs!$B$11-Inputs!$B$11),0))))/100+(Inputs!$B$23+0+(IF(ArtifactsInput!$M$15,CHOOSE(ArtifactsInput!$N$15+1,25,30,35,40,45,50)/100*(Inputs!$B$11-Inputs!$B$11),0)))/100)/2</f>
        <v/>
      </c>
      <c r="M1170">
        <f>L1170*(1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0">
        <f>L1170*(1-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1170*(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0">
        <f>(1-Summary!$B$11)*T1170+Summary!$B$11*V1170</f>
        <v/>
      </c>
      <c r="P1170">
        <f>IF(B1199=0,0,O1170/B1199)</f>
        <v/>
      </c>
      <c r="Q1170">
        <f>IFERROR(1/(IF(Inputs!$B$38="pvp",15,MAX(0.1,Skills!D7-IF(Skills!E7=TRUE,Inputs!$B$32,0)))*(1-IF(AND(ArtifactsInput!$M$27,Inputs!$B$4="Chapter Hunt"),CHOOSE(ArtifactsInput!$N$27+1,20,24,28,32,36,40),0)/100)),0)</f>
        <v/>
      </c>
      <c r="R1170">
        <f>IF(AND(Inputs!$B$38&lt;&gt;"pvp",Inputs!$B$43&gt;0),IF(MAX(0,Inputs!$B$43-B1196)&lt;=0,0,(INT(MAX(0,Inputs!$B$43-B1196)/(IF(Inputs!$B$38="pvp",15,MAX(0.1,Skills!D7-IF(Skills!E7=TRUE,Inputs!$B$32,0)))*(1-IF(AND(ArtifactsInput!$M$27,Inputs!$B$4="Chapter Hunt"),CHOOSE(ArtifactsInput!$N$27+1,20,24,28,32,36,40),0)/100)))+1)),0)</f>
        <v/>
      </c>
      <c r="S1170">
        <f>IFERROR(O1170/N1170,0)</f>
        <v/>
      </c>
      <c r="T1170">
        <f>IF(C1170,(H1170*N1170*IF(AND(Inputs!$B$38&lt;&gt;"pvp",Inputs!$B$43&gt;0),((Skills!G7*((R1170-1)*IF(Skills!H7&gt;0,Skills!I7/Skills!H7,1)+IF(Skills!H7&gt;0,MIN(Skills!I7,MAX(0,MAX(0,Inputs!$B$43-B1196)-((R1170-1)*(IF(Inputs!$B$38="pvp",15,MAX(0.1,Skills!D7-IF(Skills!E7=TRUE,Inputs!$B$32,0)))*(1-IF(AND(ArtifactsInput!$M$27,Inputs!$B$4="Chapter Hunt"),CHOOSE(ArtifactsInput!$N$27+1,20,24,28,32,36,40),0)/100)))))/Skills!H7,1)))/Inputs!$B$43),G1170*Q1170)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1170*(1-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1170*(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1170*(1-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1170*(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0">
        <f>IF(C1170,(H1170*N1170*IF(AND(Inputs!$B$38&lt;&gt;"pvp",Inputs!$B$43&gt;0),((Skills!G7*((R1170-1)*IF(Skills!H7&gt;0,Skills!I7/Skills!H7,1)+IF(Skills!H7&gt;0,MIN(Skills!I7,MAX(0,MAX(0,Inputs!$B$43-B1196)-((R1170-1)*(IF(Inputs!$B$38="pvp",15,MAX(0.1,Skills!D7-IF(Skills!E7=TRUE,Inputs!$B$32,0)))*(1-IF(AND(ArtifactsInput!$M$27,Inputs!$B$4="Chapter Hunt"),CHOOSE(ArtifactsInput!$N$27+1,20,24,28,32,36,40),0)/100)))))/Skills!H7,1)))/Inputs!$B$43),G1170*Q1170))*IF(Inputs!$B$38="pvp",1,(1+(Inputs!$B$21+Skills!Q7+(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1">
      <c r="A1171">
        <f>Skills!A8</f>
        <v/>
      </c>
      <c r="B1171">
        <f>Skills!B8</f>
        <v/>
      </c>
      <c r="C1171">
        <f>Inputs!$B$3&gt;=110</f>
        <v/>
      </c>
      <c r="D1171">
        <f>IF(Skills!C8=1,60+Inputs!$B$25+Inputs!$B$29,IF(Skills!C8=2,90+Inputs!$B$26+Inputs!$B$29,IF(Skills!C8=3,120+Inputs!$B$27+Inputs!$B$29,MAX(0,(Inputs!$B$3-100)*3)+Inputs!$B$28+Inputs!$B$29)))</f>
        <v/>
      </c>
      <c r="E1171">
        <f>INDEX(FactorTable!$B$2:$Y$301, MATCH(ROUND(MIN(300,MAX(1,D1171)),0), FactorTable!$A$2:$A$301,0), Skills!M8+1)</f>
        <v/>
      </c>
      <c r="F1171">
        <f>IF(Skills!N8=TRUE,(Skills!L8/10)*(E1171/1000),Skills!L8/10)+Skills!O8</f>
        <v/>
      </c>
      <c r="G1171">
        <f>Skills!G8*IF(Skills!H8&gt;0,Skills!I8/Skills!H8,1)</f>
        <v/>
      </c>
      <c r="H1171">
        <f>1-(1-Skills!J8/100)^Skills!K8</f>
        <v/>
      </c>
      <c r="I1171" t="inlineStr">
        <is>
          <t>1</t>
        </is>
      </c>
      <c r="J1171">
        <f>((Inputs!$B$6*(1+Inputs!$B$7/100))+(((Inputs!$B$12*(1+Inputs!$B$13/100))-(Inputs!$B$12*(1+Inputs!$B$13/100)))+0.25*(Inputs!$B$14-Inputs!$B$14))*(1+Inputs!$B$7/100))*(F1171/100)</f>
        <v/>
      </c>
      <c r="K1171">
        <f>J1171*(1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1171)</f>
        <v/>
      </c>
      <c r="L1171">
        <f>K1171*(MIN(Inputs!$B$22+((C1183=TRUE)*(F1183-Calc!F20)),(Inputs!$B$23+0+(IF(ArtifactsInput!$M$15,CHOOSE(ArtifactsInput!$N$15+1,25,30,35,40,45,50)/100*(Inputs!$B$11-Inputs!$B$11),0))))/100+(Inputs!$B$23+0+(IF(ArtifactsInput!$M$15,CHOOSE(ArtifactsInput!$N$15+1,25,30,35,40,45,50)/100*(Inputs!$B$11-Inputs!$B$11),0)))/100)/2</f>
        <v/>
      </c>
      <c r="M1171">
        <f>L1171*(1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1">
        <f>L1171*(1-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1">
        <f>(1-Summary!$B$11)*T1171+Summary!$B$11*V1171</f>
        <v/>
      </c>
      <c r="P1171">
        <f>IF(B1199=0,0,O1171/B1199)</f>
        <v/>
      </c>
      <c r="Q1171">
        <f>IFERROR(1/(IF(Inputs!$B$38="pvp",15,MAX(0.1,Skills!D8-IF(Skills!E8=TRUE,Inputs!$B$32,0)))*(1-IF(AND(ArtifactsInput!$M$27,Inputs!$B$4="Chapter Hunt"),CHOOSE(ArtifactsInput!$N$27+1,20,24,28,32,36,40),0)/100)),0)</f>
        <v/>
      </c>
      <c r="R1171">
        <f>IF(AND(Inputs!$B$38&lt;&gt;"pvp",Inputs!$B$43&gt;0),IF(MAX(0,Inputs!$B$43-B1196)&lt;=0,0,(INT(MAX(0,Inputs!$B$43-B1196)/(IF(Inputs!$B$38="pvp",15,MAX(0.1,Skills!D8-IF(Skills!E8=TRUE,Inputs!$B$32,0)))*(1-IF(AND(ArtifactsInput!$M$27,Inputs!$B$4="Chapter Hunt"),CHOOSE(ArtifactsInput!$N$27+1,20,24,28,32,36,40),0)/100)))+1)),0)</f>
        <v/>
      </c>
      <c r="S1171">
        <f>IFERROR(O1171/N1171,0)</f>
        <v/>
      </c>
      <c r="T1171">
        <f>IF(C1171,(H1171*N1171*IF(AND(Inputs!$B$38&lt;&gt;"pvp",Inputs!$B$43&gt;0),((Skills!G8*((R1171-1)*IF(Skills!H8&gt;0,Skills!I8/Skills!H8,1)+IF(Skills!H8&gt;0,MIN(Skills!I8,MAX(0,MAX(0,Inputs!$B$43-B1196)-((R1171-1)*(IF(Inputs!$B$38="pvp",15,MAX(0.1,Skills!D8-IF(Skills!E8=TRUE,Inputs!$B$32,0)))*(1-IF(AND(ArtifactsInput!$M$27,Inputs!$B$4="Chapter Hunt"),CHOOSE(ArtifactsInput!$N$27+1,20,24,28,32,36,40),0)/100)))))/Skills!H8,1)))/Inputs!$B$43),G1171*Q1171)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1171*(1-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1171*(1-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1">
        <f>IF(C1171,(H1171*N1171*IF(AND(Inputs!$B$38&lt;&gt;"pvp",Inputs!$B$43&gt;0),((Skills!G8*((R1171-1)*IF(Skills!H8&gt;0,Skills!I8/Skills!H8,1)+IF(Skills!H8&gt;0,MIN(Skills!I8,MAX(0,MAX(0,Inputs!$B$43-B1196)-((R1171-1)*(IF(Inputs!$B$38="pvp",15,MAX(0.1,Skills!D8-IF(Skills!E8=TRUE,Inputs!$B$32,0)))*(1-IF(AND(ArtifactsInput!$M$27,Inputs!$B$4="Chapter Hunt"),CHOOSE(ArtifactsInput!$N$27+1,20,24,28,32,36,40),0)/100)))))/Skills!H8,1)))/Inputs!$B$43),G1171*Q1171))*IF(Inputs!$B$38="pvp",1,(1+(Inputs!$B$21+Skills!Q8+(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2">
      <c r="A1172">
        <f>Skills!A9</f>
        <v/>
      </c>
      <c r="B1172">
        <f>Skills!B9</f>
        <v/>
      </c>
      <c r="C1172">
        <f>Inputs!$B$3&gt;=110</f>
        <v/>
      </c>
      <c r="D1172">
        <f>IF(Skills!C9=1,60+Inputs!$B$25+Inputs!$B$29,IF(Skills!C9=2,90+Inputs!$B$26+Inputs!$B$29,IF(Skills!C9=3,120+Inputs!$B$27+Inputs!$B$29,MAX(0,(Inputs!$B$3-100)*3)+Inputs!$B$28+Inputs!$B$29)))</f>
        <v/>
      </c>
      <c r="E1172">
        <f>INDEX(FactorTable!$B$2:$Y$301, MATCH(ROUND(MIN(300,MAX(1,D1172)),0), FactorTable!$A$2:$A$301,0), Skills!M9+1)</f>
        <v/>
      </c>
      <c r="F1172">
        <f>IF(Skills!N9=TRUE,(Skills!L9/10)*(E1172/1000),Skills!L9/10)+Skills!O9</f>
        <v/>
      </c>
      <c r="G1172">
        <f>Skills!G9*IF(Skills!H9&gt;0,Skills!I9/Skills!H9,1)</f>
        <v/>
      </c>
      <c r="H1172">
        <f>1-(1-Skills!J9/100)^Skills!K9</f>
        <v/>
      </c>
      <c r="I1172" t="inlineStr">
        <is>
          <t>1</t>
        </is>
      </c>
      <c r="J1172">
        <f>((Inputs!$B$6*(1+Inputs!$B$7/100))+(((Inputs!$B$12*(1+Inputs!$B$13/100))-(Inputs!$B$12*(1+Inputs!$B$13/100)))+0.25*(Inputs!$B$14-Inputs!$B$14))*(1+Inputs!$B$7/100))*(F1172/100)</f>
        <v/>
      </c>
      <c r="K1172">
        <f>J1172*(1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1172)</f>
        <v/>
      </c>
      <c r="L1172">
        <f>K1172*(MIN(Inputs!$B$22+((C1183=TRUE)*(F1183-Calc!F20)),(Inputs!$B$23+0+(IF(ArtifactsInput!$M$15,CHOOSE(ArtifactsInput!$N$15+1,25,30,35,40,45,50)/100*(Inputs!$B$11-Inputs!$B$11),0))))/100+(Inputs!$B$23+0+(IF(ArtifactsInput!$M$15,CHOOSE(ArtifactsInput!$N$15+1,25,30,35,40,45,50)/100*(Inputs!$B$11-Inputs!$B$11),0)))/100)/2</f>
        <v/>
      </c>
      <c r="M1172">
        <f>L1172*(1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2">
        <f>L1172*(1-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1172*(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2">
        <f>(1-Summary!$B$11)*T1172+Summary!$B$11*V1172</f>
        <v/>
      </c>
      <c r="P1172">
        <f>IF(B1199=0,0,O1172/B1199)</f>
        <v/>
      </c>
      <c r="Q1172">
        <f>IFERROR(1/(IF(Inputs!$B$38="pvp",15,MAX(0.1,Skills!D9-IF(Skills!E9=TRUE,Inputs!$B$32,0)))*(1-IF(AND(ArtifactsInput!$M$27,Inputs!$B$4="Chapter Hunt"),CHOOSE(ArtifactsInput!$N$27+1,20,24,28,32,36,40),0)/100)),0)</f>
        <v/>
      </c>
      <c r="R1172">
        <f>IF(AND(Inputs!$B$38&lt;&gt;"pvp",Inputs!$B$43&gt;0),IF(MAX(0,Inputs!$B$43-B1196)&lt;=0,0,(INT(MAX(0,Inputs!$B$43-B1196)/(IF(Inputs!$B$38="pvp",15,MAX(0.1,Skills!D9-IF(Skills!E9=TRUE,Inputs!$B$32,0)))*(1-IF(AND(ArtifactsInput!$M$27,Inputs!$B$4="Chapter Hunt"),CHOOSE(ArtifactsInput!$N$27+1,20,24,28,32,36,40),0)/100)))+1)),0)</f>
        <v/>
      </c>
      <c r="S1172">
        <f>IFERROR(O1172/N1172,0)</f>
        <v/>
      </c>
      <c r="T1172">
        <f>IF(C1172,(H1172*N1172*IF(AND(Inputs!$B$38&lt;&gt;"pvp",Inputs!$B$43&gt;0),((Skills!G9*((R1172-1)*IF(Skills!H9&gt;0,Skills!I9/Skills!H9,1)+IF(Skills!H9&gt;0,MIN(Skills!I9,MAX(0,MAX(0,Inputs!$B$43-B1196)-((R1172-1)*(IF(Inputs!$B$38="pvp",15,MAX(0.1,Skills!D9-IF(Skills!E9=TRUE,Inputs!$B$32,0)))*(1-IF(AND(ArtifactsInput!$M$27,Inputs!$B$4="Chapter Hunt"),CHOOSE(ArtifactsInput!$N$27+1,20,24,28,32,36,40),0)/100)))))/Skills!H9,1)))/Inputs!$B$43),G1172*Q1172)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1172*(1-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1172*(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1172*(1-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1172*(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2">
        <f>IF(C1172,(H1172*N1172*IF(AND(Inputs!$B$38&lt;&gt;"pvp",Inputs!$B$43&gt;0),((Skills!G9*((R1172-1)*IF(Skills!H9&gt;0,Skills!I9/Skills!H9,1)+IF(Skills!H9&gt;0,MIN(Skills!I9,MAX(0,MAX(0,Inputs!$B$43-B1196)-((R1172-1)*(IF(Inputs!$B$38="pvp",15,MAX(0.1,Skills!D9-IF(Skills!E9=TRUE,Inputs!$B$32,0)))*(1-IF(AND(ArtifactsInput!$M$27,Inputs!$B$4="Chapter Hunt"),CHOOSE(ArtifactsInput!$N$27+1,20,24,28,32,36,40),0)/100)))))/Skills!H9,1)))/Inputs!$B$43),G1172*Q1172))*IF(Inputs!$B$38="pvp",1,(1+(Inputs!$B$21+Skills!Q9+(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3">
      <c r="A1173">
        <f>Skills!A10</f>
        <v/>
      </c>
      <c r="B1173">
        <f>Skills!B10</f>
        <v/>
      </c>
      <c r="C1173">
        <f>Inputs!$B$3&gt;=103</f>
        <v/>
      </c>
      <c r="D1173">
        <f>IF(Skills!C10=1,60+Inputs!$B$25+Inputs!$B$29,IF(Skills!C10=2,90+Inputs!$B$26+Inputs!$B$29,IF(Skills!C10=3,120+Inputs!$B$27+Inputs!$B$29,MAX(0,(Inputs!$B$3-100)*3)+Inputs!$B$28+Inputs!$B$29)))</f>
        <v/>
      </c>
      <c r="E1173">
        <f>INDEX(FactorTable!$B$2:$Y$301, MATCH(ROUND(MIN(300,MAX(1,D1173)),0), FactorTable!$A$2:$A$301,0), Skills!M10+1)</f>
        <v/>
      </c>
      <c r="F1173">
        <f>IF(Skills!N10=TRUE,(Skills!L10/10)*(E1173/1000),Skills!L10/10)+Skills!O10</f>
        <v/>
      </c>
      <c r="G1173">
        <f>Skills!G10*IF(Skills!H10&gt;0,Skills!I10/Skills!H10,1)</f>
        <v/>
      </c>
      <c r="H1173">
        <f>1-(1-Skills!J10/100)^Skills!K10</f>
        <v/>
      </c>
      <c r="I1173" t="inlineStr">
        <is>
          <t>1</t>
        </is>
      </c>
      <c r="J1173">
        <f>((Inputs!$B$6*(1+Inputs!$B$7/100))+(((Inputs!$B$12*(1+Inputs!$B$13/100))-(Inputs!$B$12*(1+Inputs!$B$13/100)))+0.25*(Inputs!$B$14-Inputs!$B$14))*(1+Inputs!$B$7/100))*(F1173/100)</f>
        <v/>
      </c>
      <c r="K1173">
        <f>J1173*(1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1173)</f>
        <v/>
      </c>
      <c r="L1173">
        <f>K1173*(MIN(Inputs!$B$22+((C1183=TRUE)*(F1183-Calc!F20)),(Inputs!$B$23+0+(IF(ArtifactsInput!$M$15,CHOOSE(ArtifactsInput!$N$15+1,25,30,35,40,45,50)/100*(Inputs!$B$11-Inputs!$B$11),0))))/100+(Inputs!$B$23+0+(IF(ArtifactsInput!$M$15,CHOOSE(ArtifactsInput!$N$15+1,25,30,35,40,45,50)/100*(Inputs!$B$11-Inputs!$B$11),0)))/100)/2</f>
        <v/>
      </c>
      <c r="M1173">
        <f>L1173*(1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3">
        <f>L1173*(1-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1173*(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3">
        <f>(1-Summary!$B$11)*T1173+Summary!$B$11*V1173</f>
        <v/>
      </c>
      <c r="P1173">
        <f>IF(B1199=0,0,O1173/B1199)</f>
        <v/>
      </c>
      <c r="Q1173">
        <f>IFERROR(1/(IF(Inputs!$B$38="pvp",15,MAX(0.1,Skills!D10-IF(Skills!E10=TRUE,Inputs!$B$32,0)))*(1-IF(AND(ArtifactsInput!$M$27,Inputs!$B$4="Chapter Hunt"),CHOOSE(ArtifactsInput!$N$27+1,20,24,28,32,36,40),0)/100)),0)</f>
        <v/>
      </c>
      <c r="R1173">
        <f>IF(AND(Inputs!$B$38&lt;&gt;"pvp",Inputs!$B$43&gt;0),IF(MAX(0,Inputs!$B$43-B1196)&lt;=0,0,(INT(MAX(0,Inputs!$B$43-B1196)/(IF(Inputs!$B$38="pvp",15,MAX(0.1,Skills!D10-IF(Skills!E10=TRUE,Inputs!$B$32,0)))*(1-IF(AND(ArtifactsInput!$M$27,Inputs!$B$4="Chapter Hunt"),CHOOSE(ArtifactsInput!$N$27+1,20,24,28,32,36,40),0)/100)))+1)),0)</f>
        <v/>
      </c>
      <c r="S1173">
        <f>IFERROR(O1173/N1173,0)</f>
        <v/>
      </c>
      <c r="T1173">
        <f>IF(C1173,(H1173*N1173*IF(AND(Inputs!$B$38&lt;&gt;"pvp",Inputs!$B$43&gt;0),((Skills!G10*((R1173-1)*IF(Skills!H10&gt;0,Skills!I10/Skills!H10,1)+IF(Skills!H10&gt;0,MIN(Skills!I10,MAX(0,MAX(0,Inputs!$B$43-B1196)-((R1173-1)*(IF(Inputs!$B$38="pvp",15,MAX(0.1,Skills!D10-IF(Skills!E10=TRUE,Inputs!$B$32,0)))*(1-IF(AND(ArtifactsInput!$M$27,Inputs!$B$4="Chapter Hunt"),CHOOSE(ArtifactsInput!$N$27+1,20,24,28,32,36,40),0)/100)))))/Skills!H10,1)))/Inputs!$B$43),G1173*Q1173)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1173*(1-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1173*(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1173*(1-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1173*(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3">
        <f>IF(C1173,(H1173*N1173*IF(AND(Inputs!$B$38&lt;&gt;"pvp",Inputs!$B$43&gt;0),((Skills!G10*((R1173-1)*IF(Skills!H10&gt;0,Skills!I10/Skills!H10,1)+IF(Skills!H10&gt;0,MIN(Skills!I10,MAX(0,MAX(0,Inputs!$B$43-B1196)-((R1173-1)*(IF(Inputs!$B$38="pvp",15,MAX(0.1,Skills!D10-IF(Skills!E10=TRUE,Inputs!$B$32,0)))*(1-IF(AND(ArtifactsInput!$M$27,Inputs!$B$4="Chapter Hunt"),CHOOSE(ArtifactsInput!$N$27+1,20,24,28,32,36,40),0)/100)))))/Skills!H10,1)))/Inputs!$B$43),G1173*Q1173))*IF(Inputs!$B$38="pvp",1,(1+(Inputs!$B$21+Skills!Q10+(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4">
      <c r="A1174">
        <f>Skills!A11</f>
        <v/>
      </c>
      <c r="B1174">
        <f>Skills!B11</f>
        <v/>
      </c>
      <c r="C1174">
        <f>Inputs!$B$3&gt;=113</f>
        <v/>
      </c>
      <c r="D1174">
        <f>IF(Skills!C11=1,60+Inputs!$B$25+Inputs!$B$29,IF(Skills!C11=2,90+Inputs!$B$26+Inputs!$B$29,IF(Skills!C11=3,120+Inputs!$B$27+Inputs!$B$29,MAX(0,(Inputs!$B$3-100)*3)+Inputs!$B$28+Inputs!$B$29)))</f>
        <v/>
      </c>
      <c r="E1174">
        <f>INDEX(FactorTable!$B$2:$Y$301, MATCH(ROUND(MIN(300,MAX(1,D1174)),0), FactorTable!$A$2:$A$301,0), Skills!M11+1)</f>
        <v/>
      </c>
      <c r="F1174">
        <f>IF(Skills!N11=TRUE,(Skills!L11/10)*(E1174/1000),Skills!L11/10)+Skills!O11</f>
        <v/>
      </c>
      <c r="G1174">
        <f>Skills!G11*IF(Skills!H11&gt;0,Skills!I11/Skills!H11,1)</f>
        <v/>
      </c>
      <c r="H1174">
        <f>1-(1-Skills!J11/100)^Skills!K11</f>
        <v/>
      </c>
      <c r="I1174" t="inlineStr">
        <is>
          <t>1</t>
        </is>
      </c>
      <c r="J1174">
        <f>((Inputs!$B$6*(1+Inputs!$B$7/100))+(((Inputs!$B$12*(1+Inputs!$B$13/100))-(Inputs!$B$12*(1+Inputs!$B$13/100)))+0.25*(Inputs!$B$14-Inputs!$B$14))*(1+Inputs!$B$7/100))*(F1174/100)</f>
        <v/>
      </c>
      <c r="K1174">
        <f>J1174*(1+((Inputs!$B$12*(1+Inputs!$B$13/100))*0.01+Inputs!$B$14*0.0025)/100)*(1+Inputs!$B$15/100)*(1+Inputs!$B$16/100)*(5000/(6000+Inputs!$B$42*(1-(100*(1-(1-(Inputs!$B$19+0)/100)*(1-CHOOSE(ArtifactsInput!$N$40+1,5,6,7,8,9,10)/100)^(ArtifactsInput!$M$40-ArtifactsInput!$M$40)))/100)))*(1+(Inputs!$B$24+((C1185=TRUE)*(F1185-Calc!F22))+B1195)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1184=TRUE)*(F1184-Calc!F21))+(((IF(AND(ArtifactsInput!$M$42,((Inputs!$B$9+((C1179=TRUE)*(F1179-Calc!F16))+B1189+(ArtifactsInput!$M$24-ArtifactsInput!$M$24)*CHOOSE(ArtifactsInput!$N$24+1,10,12,14,16,18,20)+IF(ArtifactsInput!$M$10,CHOOSE(ArtifactsInput!$N$10+1,15,18,21,24,27,30)*(IF(Inputs!$B$38="pvp",MIN(15,15)/15,IF(AND(Inputs!$B$38&lt;&gt;"pvp",Inputs!$B$43&gt;0),MIN(15,Inputs!$B$43)/(Inputs!$B$43),0))),0)))&gt;=100),MIN(100,((Inputs!$B$9+((C1179=TRUE)*(F1179-Calc!F16))+B1189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1179=TRUE)*(F1179-Calc!F16))+B1189+(ArtifactsInput!$M$24-ArtifactsInput!$M$24)*CHOOSE(ArtifactsInput!$N$24+1,10,12,14,16,18,20)+IF(ArtifactsInput!$M$10,CHOOSE(ArtifactsInput!$N$10+1,15,18,21,24,27,30)*(IF(Inputs!$B$38="pvp",MIN(15,15)/15,IF(AND(Inputs!$B$38&lt;&gt;"pvp",Inputs!$B$43&gt;0),MIN(15,Inputs!$B$43)/(Inputs!$B$43),0))),0)))&gt;=100),CHOOSE(ArtifactsInput!$N$42+1,40,48,56,64,72,80),0))))/100)*((1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1174)</f>
        <v/>
      </c>
      <c r="L1174">
        <f>K1174*(MIN(Inputs!$B$22+((C1183=TRUE)*(F1183-Calc!F20)),(Inputs!$B$23+0+(IF(ArtifactsInput!$M$15,CHOOSE(ArtifactsInput!$N$15+1,25,30,35,40,45,50)/100*(Inputs!$B$11-Inputs!$B$11),0))))/100+(Inputs!$B$23+0+(IF(ArtifactsInput!$M$15,CHOOSE(ArtifactsInput!$N$15+1,25,30,35,40,45,50)/100*(Inputs!$B$11-Inputs!$B$11),0)))/100)/2</f>
        <v/>
      </c>
      <c r="M1174">
        <f>L1174*(1+(Inputs!$B$10+0+B1194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74">
        <f>L1174*(1-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1174*(MIN((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74">
        <f>(1-Summary!$B$11)*T1174+Summary!$B$11*V1174</f>
        <v/>
      </c>
      <c r="P1174">
        <f>IF(B1199=0,0,O1174/B1199)</f>
        <v/>
      </c>
      <c r="Q1174">
        <f>IFERROR(1/(IF(Inputs!$B$38="pvp",15,MAX(0.1,Skills!D11-IF(Skills!E11=TRUE,Inputs!$B$32,0)))*(1-IF(AND(ArtifactsInput!$M$27,Inputs!$B$4="Chapter Hunt"),CHOOSE(ArtifactsInput!$N$27+1,20,24,28,32,36,40),0)/100)),0)</f>
        <v/>
      </c>
      <c r="R1174">
        <f>IF(AND(Inputs!$B$38&lt;&gt;"pvp",Inputs!$B$43&gt;0),IF(MAX(0,Inputs!$B$43-B1196)&lt;=0,0,(INT(MAX(0,Inputs!$B$43-B1196)/(IF(Inputs!$B$38="pvp",15,MAX(0.1,Skills!D11-IF(Skills!E11=TRUE,Inputs!$B$32,0)))*(1-IF(AND(ArtifactsInput!$M$27,Inputs!$B$4="Chapter Hunt"),CHOOSE(ArtifactsInput!$N$27+1,20,24,28,32,36,40),0)/100)))+1)),0)</f>
        <v/>
      </c>
      <c r="S1174">
        <f>IFERROR(O1174/N1174,0)</f>
        <v/>
      </c>
      <c r="T1174">
        <f>IF(C1174,(H1174*N1174*IF(AND(Inputs!$B$38&lt;&gt;"pvp",Inputs!$B$43&gt;0),((Skills!G11*((R1174-1)*IF(Skills!H11&gt;0,Skills!I11/Skills!H11,1)+IF(Skills!H11&gt;0,MIN(Skills!I11,MAX(0,MAX(0,Inputs!$B$43-B1196)-((R1174-1)*(IF(Inputs!$B$38="pvp",15,MAX(0.1,Skills!D11-IF(Skills!E11=TRUE,Inputs!$B$32,0)))*(1-IF(AND(ArtifactsInput!$M$27,Inputs!$B$4="Chapter Hunt"),CHOOSE(ArtifactsInput!$N$27+1,20,24,28,32,36,40),0)/100)))))/Skills!H11,1)))/Inputs!$B$43),G1174*Q1174)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1174*(1-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1174*(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1174*(1-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1174*(MIN(100,(Inputs!$B$9+((C1179=TRUE)*(F1179-Calc!F16))+B1189+(ArtifactsInput!$M$24-ArtifactsInput!$M$24)*CHOOSE(ArtifactsInput!$N$24+1,10,12,14,16,18,20)+(IF(AND(ArtifactsInput!$M$42,((Inputs!$B$9+((C1179=TRUE)*(F1179-Calc!F16))+B1189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74">
        <f>IF(C1174,(H1174*N1174*IF(AND(Inputs!$B$38&lt;&gt;"pvp",Inputs!$B$43&gt;0),((Skills!G11*((R1174-1)*IF(Skills!H11&gt;0,Skills!I11/Skills!H11,1)+IF(Skills!H11&gt;0,MIN(Skills!I11,MAX(0,MAX(0,Inputs!$B$43-B1196)-((R1174-1)*(IF(Inputs!$B$38="pvp",15,MAX(0.1,Skills!D11-IF(Skills!E11=TRUE,Inputs!$B$32,0)))*(1-IF(AND(ArtifactsInput!$M$27,Inputs!$B$4="Chapter Hunt"),CHOOSE(ArtifactsInput!$N$27+1,20,24,28,32,36,40),0)/100)))))/Skills!H11,1)))/Inputs!$B$43),G1174*Q1174))*IF(Inputs!$B$38="pvp",1,(1+(Inputs!$B$21+Skills!Q11+(IF(ArtifactsInput!$M$33,CHOOSE(ArtifactsInput!$N$33+1,30,36,42,48,54,60),0))+(IF(AND(ArtifactsInput!$M$35,Inputs!$B$4&lt;&gt;"Chapter Hunt"),CHOOSE(ArtifactsInput!$N$35+1,15,18,21,24,27,30)*(1-EXP(-(0.2*B1191)*5)),0)+IF(AND(ArtifactsInput!$M$22,Inputs!$B$4&lt;&gt;"Chapter Hunt"),CHOOSE(ArtifactsInput!$N$22+1,10,12,14,16,18,20)*((0*(((0.15*B1191*5))^0/1)+1*(((0.15*B1191*5))^1/1)+2*(((0.15*B1191*5))^2/2)+3*(((0.15*B1191*5))^3/6)+4*(((0.15*B1191*5))^4/24)+5*(((0.15*B1191*5))^5/120))/((((0.15*B1191*5))^0/1)+(((0.15*B1191*5))^1/1)+(((0.15*B1191*5))^2/2)+(((0.15*B1191*5))^3/6)+(((0.15*B1191*5))^4/24)+(((0.15*B1191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75">
      <c r="A1175">
        <f>Skills!A12</f>
        <v/>
      </c>
      <c r="B1175">
        <f>Skills!B12</f>
        <v/>
      </c>
      <c r="C1175">
        <f>Inputs!$B$3&gt;=100</f>
        <v/>
      </c>
      <c r="D1175">
        <f>IF(Skills!C12=1,60+Inputs!$B$25+Inputs!$B$29,IF(Skills!C12=2,90+Inputs!$B$26+Inputs!$B$29,IF(Skills!C12=3,120+Inputs!$B$27+Inputs!$B$29,MAX(0,(Inputs!$B$3-100)*3)+Inputs!$B$28+Inputs!$B$29)))</f>
        <v/>
      </c>
      <c r="E1175">
        <f>INDEX(FactorTable!$B$2:$Y$301, MATCH(ROUND(MIN(300,MAX(1,D1175)),0), FactorTable!$A$2:$A$301,0), Skills!M12+1)</f>
        <v/>
      </c>
      <c r="F1175">
        <f>IF(Skills!N12=TRUE,(Skills!L12/10)*(E1175/1000),Skills!L12/10)+Skills!O12</f>
        <v/>
      </c>
      <c r="G1175" t="inlineStr"/>
      <c r="H1175" t="inlineStr"/>
      <c r="I1175" t="inlineStr">
        <is>
          <t>1</t>
        </is>
      </c>
      <c r="J1175" t="inlineStr"/>
      <c r="K1175" t="inlineStr"/>
      <c r="L1175" t="inlineStr"/>
      <c r="M1175" t="inlineStr"/>
      <c r="N1175" t="inlineStr"/>
      <c r="O1175" t="inlineStr"/>
      <c r="P1175" t="inlineStr"/>
      <c r="Q1175" t="inlineStr"/>
      <c r="R1175" t="inlineStr"/>
      <c r="S1175" t="inlineStr"/>
      <c r="T1175" t="inlineStr"/>
      <c r="V1175" t="inlineStr"/>
    </row>
    <row r="1176">
      <c r="A1176">
        <f>Skills!A13</f>
        <v/>
      </c>
      <c r="B1176">
        <f>Skills!B13</f>
        <v/>
      </c>
      <c r="C1176">
        <f>Inputs!$B$3&gt;=66</f>
        <v/>
      </c>
      <c r="D1176">
        <f>IF(Skills!C13=1,60+Inputs!$B$25+Inputs!$B$29,IF(Skills!C13=2,90+Inputs!$B$26+Inputs!$B$29,IF(Skills!C13=3,120+Inputs!$B$27+Inputs!$B$29,MAX(0,(Inputs!$B$3-100)*3)+Inputs!$B$28+Inputs!$B$29)))</f>
        <v/>
      </c>
      <c r="E1176">
        <f>INDEX(FactorTable!$B$2:$Y$301, MATCH(ROUND(MIN(300,MAX(1,D1176)),0), FactorTable!$A$2:$A$301,0), Skills!M13+1)</f>
        <v/>
      </c>
      <c r="F1176">
        <f>IF(Skills!N13=TRUE,(Skills!L13/10)*(E1176/1000),Skills!L13/10)+Skills!O13</f>
        <v/>
      </c>
      <c r="G1176">
        <f>Skills!G13*IF(Skills!H13&gt;0,Skills!I13/Skills!H13,1)</f>
        <v/>
      </c>
      <c r="H1176">
        <f>1-(1-Skills!J13/100)^Skills!K13</f>
        <v/>
      </c>
      <c r="I1176" t="inlineStr">
        <is>
          <t>1</t>
        </is>
      </c>
      <c r="J1176" t="inlineStr"/>
      <c r="K1176" t="inlineStr"/>
      <c r="L1176" t="inlineStr"/>
      <c r="M1176" t="inlineStr"/>
      <c r="N1176" t="inlineStr"/>
      <c r="O1176">
        <f>(1-Summary!$B$11)*T1176+Summary!$B$11*V1176</f>
        <v/>
      </c>
      <c r="P1176">
        <f>IF(B1199=0,0,O1176/B1199)</f>
        <v/>
      </c>
      <c r="Q1176" t="n">
        <v>0</v>
      </c>
      <c r="R1176" t="n">
        <v>0</v>
      </c>
      <c r="S1176">
        <f>IFERROR(O1176/N1176,0)</f>
        <v/>
      </c>
      <c r="T1176" t="n">
        <v>0</v>
      </c>
      <c r="V1176" t="n">
        <v>0</v>
      </c>
    </row>
    <row r="1177">
      <c r="A1177">
        <f>Skills!A14</f>
        <v/>
      </c>
      <c r="B1177">
        <f>Skills!B14</f>
        <v/>
      </c>
      <c r="C1177">
        <f>Inputs!$B$3&gt;=107</f>
        <v/>
      </c>
      <c r="D1177">
        <f>IF(Skills!C14=1,60+Inputs!$B$25+Inputs!$B$29,IF(Skills!C14=2,90+Inputs!$B$26+Inputs!$B$29,IF(Skills!C14=3,120+Inputs!$B$27+Inputs!$B$29,MAX(0,(Inputs!$B$3-100)*3)+Inputs!$B$28+Inputs!$B$29)))</f>
        <v/>
      </c>
      <c r="E1177">
        <f>INDEX(FactorTable!$B$2:$Y$301, MATCH(ROUND(MIN(300,MAX(1,D1177)),0), FactorTable!$A$2:$A$301,0), Skills!M14+1)</f>
        <v/>
      </c>
      <c r="F1177">
        <f>IF(Skills!N14=TRUE,(Skills!L14/10)*(E1177/1000),Skills!L14/10)+Skills!O14</f>
        <v/>
      </c>
      <c r="G1177">
        <f>Skills!G14*IF(Skills!H14&gt;0,Skills!I14/Skills!H14,1)</f>
        <v/>
      </c>
      <c r="H1177">
        <f>1-(1-Skills!J14/100)^Skills!K14</f>
        <v/>
      </c>
      <c r="I1177" t="inlineStr">
        <is>
          <t>1</t>
        </is>
      </c>
      <c r="J1177" t="inlineStr"/>
      <c r="K1177" t="inlineStr"/>
      <c r="L1177" t="inlineStr"/>
      <c r="M1177" t="inlineStr"/>
      <c r="N1177" t="inlineStr"/>
      <c r="O1177">
        <f>(1-Summary!$B$11)*T1177+Summary!$B$11*V1177</f>
        <v/>
      </c>
      <c r="P1177">
        <f>IF(B1199=0,0,O1177/B1199)</f>
        <v/>
      </c>
      <c r="Q1177">
        <f>IFERROR(1/(IF(Inputs!$B$38="pvp",15,MAX(0.1,Skills!D14-IF(Skills!E14=TRUE,Inputs!$B$32,0)))*(1-IF(AND(ArtifactsInput!$M$27,Inputs!$B$4="Chapter Hunt"),CHOOSE(ArtifactsInput!$N$27+1,20,24,28,32,36,40),0)/100)),0)</f>
        <v/>
      </c>
      <c r="R1177">
        <f>IF(AND(Inputs!$B$38&lt;&gt;"pvp",Inputs!$B$43&gt;0),IF(Inputs!$B$43&lt;=0,0,(INT(Inputs!$B$43/(IF(Inputs!$B$38="pvp",15,MAX(0.1,Skills!D14-IF(Skills!E14=TRUE,Inputs!$B$32,0)))*(1-IF(AND(ArtifactsInput!$M$27,Inputs!$B$4="Chapter Hunt"),CHOOSE(ArtifactsInput!$N$27+1,20,24,28,32,36,40),0)/100)))+1)),0)</f>
        <v/>
      </c>
      <c r="S1177">
        <f>IFERROR(O1177/N1177,0)</f>
        <v/>
      </c>
      <c r="T1177" t="n">
        <v>0</v>
      </c>
      <c r="V1177" t="n">
        <v>0</v>
      </c>
    </row>
    <row r="1178">
      <c r="A1178">
        <f>Skills!A15</f>
        <v/>
      </c>
      <c r="B1178">
        <f>Skills!B15</f>
        <v/>
      </c>
      <c r="C1178">
        <f>Inputs!$B$3&gt;=115</f>
        <v/>
      </c>
      <c r="D1178">
        <f>IF(Skills!C15=1,60+Inputs!$B$25+Inputs!$B$29,IF(Skills!C15=2,90+Inputs!$B$26+Inputs!$B$29,IF(Skills!C15=3,120+Inputs!$B$27+Inputs!$B$29,MAX(0,(Inputs!$B$3-100)*3)+Inputs!$B$28+Inputs!$B$29)))</f>
        <v/>
      </c>
      <c r="E1178">
        <f>INDEX(FactorTable!$B$2:$Y$301, MATCH(ROUND(MIN(300,MAX(1,D1178)),0), FactorTable!$A$2:$A$301,0), Skills!M15+1)</f>
        <v/>
      </c>
      <c r="F1178">
        <f>IF(Skills!N15=TRUE,(Skills!L15/10)*(E1178/1000),Skills!L15/10)+Skills!O15</f>
        <v/>
      </c>
      <c r="G1178">
        <f>Skills!G15*IF(Skills!H15&gt;0,Skills!I15/Skills!H15,1)</f>
        <v/>
      </c>
      <c r="H1178">
        <f>1-(1-Skills!J15/100)^Skills!K15</f>
        <v/>
      </c>
      <c r="I1178" t="inlineStr">
        <is>
          <t>1</t>
        </is>
      </c>
      <c r="J1178" t="inlineStr"/>
      <c r="K1178" t="inlineStr"/>
      <c r="L1178" t="inlineStr"/>
      <c r="M1178" t="inlineStr"/>
      <c r="N1178" t="inlineStr"/>
      <c r="O1178">
        <f>(1-Summary!$B$11)*T1178+Summary!$B$11*V1178</f>
        <v/>
      </c>
      <c r="P1178">
        <f>IF(B1199=0,0,O1178/B1199)</f>
        <v/>
      </c>
      <c r="Q1178">
        <f>IFERROR(1/(IF(Inputs!$B$38="pvp",15,MAX(0.1,Skills!D15-IF(Skills!E15=TRUE,Inputs!$B$32,0)))*(1-IF(AND(ArtifactsInput!$M$27,Inputs!$B$4="Chapter Hunt"),CHOOSE(ArtifactsInput!$N$27+1,20,24,28,32,36,40),0)/100)),0)</f>
        <v/>
      </c>
      <c r="R1178">
        <f>IF(AND(Inputs!$B$38&lt;&gt;"pvp",Inputs!$B$43&gt;0),IF(Inputs!$B$43&lt;=0,0,(INT(Inputs!$B$43/(IF(Inputs!$B$38="pvp",15,MAX(0.1,Skills!D15-IF(Skills!E15=TRUE,Inputs!$B$32,0)))*(1-IF(AND(ArtifactsInput!$M$27,Inputs!$B$4="Chapter Hunt"),CHOOSE(ArtifactsInput!$N$27+1,20,24,28,32,36,40),0)/100)))+1)),0)</f>
        <v/>
      </c>
      <c r="S1178">
        <f>IFERROR(O1178/N1178,0)</f>
        <v/>
      </c>
      <c r="T1178" t="n">
        <v>0</v>
      </c>
      <c r="V1178" t="n">
        <v>0</v>
      </c>
    </row>
    <row r="1179">
      <c r="A1179">
        <f>Skills!A16</f>
        <v/>
      </c>
      <c r="B1179">
        <f>Skills!B16</f>
        <v/>
      </c>
      <c r="C1179">
        <f>Inputs!$B$3&gt;=15</f>
        <v/>
      </c>
      <c r="D1179">
        <f>IF(Skills!C16=1,60+Inputs!$B$25+Inputs!$B$29,IF(Skills!C16=2,90+Inputs!$B$26+Inputs!$B$29,IF(Skills!C16=3,120+Inputs!$B$27+Inputs!$B$29,MAX(0,(Inputs!$B$3-100)*3)+Inputs!$B$28+Inputs!$B$29)))</f>
        <v/>
      </c>
      <c r="E1179">
        <f>INDEX(FactorTable!$B$2:$Y$301, MATCH(ROUND(MIN(300,MAX(1,D1179)),0), FactorTable!$A$2:$A$301,0), Skills!M16+1)</f>
        <v/>
      </c>
      <c r="F1179">
        <f>IF(Skills!N16=TRUE,(Skills!L16/10)*(E1179/1000),Skills!L16/10)+Skills!O16</f>
        <v/>
      </c>
      <c r="G1179">
        <f>Skills!G16*IF(Skills!H16&gt;0,Skills!I16/Skills!H16,1)</f>
        <v/>
      </c>
      <c r="H1179">
        <f>1-(1-Skills!J16/100)^Skills!K16</f>
        <v/>
      </c>
      <c r="I1179" t="inlineStr">
        <is>
          <t>1</t>
        </is>
      </c>
      <c r="J1179" t="inlineStr"/>
      <c r="K1179" t="inlineStr"/>
      <c r="L1179" t="inlineStr"/>
      <c r="M1179" t="inlineStr"/>
      <c r="N1179" t="inlineStr"/>
      <c r="O1179">
        <f>(1-Summary!$B$11)*T1179+Summary!$B$11*V1179</f>
        <v/>
      </c>
      <c r="P1179">
        <f>IF(B1199=0,0,O1179/B1199)</f>
        <v/>
      </c>
      <c r="Q1179" t="n">
        <v>0</v>
      </c>
      <c r="R1179" t="n">
        <v>0</v>
      </c>
      <c r="S1179">
        <f>IFERROR(O1179/N1179,0)</f>
        <v/>
      </c>
      <c r="T1179" t="n">
        <v>0</v>
      </c>
      <c r="V1179" t="n">
        <v>0</v>
      </c>
    </row>
    <row r="1180">
      <c r="A1180">
        <f>Skills!A17</f>
        <v/>
      </c>
      <c r="B1180">
        <f>Skills!B17</f>
        <v/>
      </c>
      <c r="C1180">
        <f>Inputs!$B$3&gt;=10</f>
        <v/>
      </c>
      <c r="D1180">
        <f>IF(Skills!C17=1,60+Inputs!$B$25+Inputs!$B$29,IF(Skills!C17=2,90+Inputs!$B$26+Inputs!$B$29,IF(Skills!C17=3,120+Inputs!$B$27+Inputs!$B$29,MAX(0,(Inputs!$B$3-100)*3)+Inputs!$B$28+Inputs!$B$29)))</f>
        <v/>
      </c>
      <c r="E1180">
        <f>INDEX(FactorTable!$B$2:$Y$301, MATCH(ROUND(MIN(300,MAX(1,D1180)),0), FactorTable!$A$2:$A$301,0), Skills!M17+1)</f>
        <v/>
      </c>
      <c r="F1180">
        <f>IF(Skills!N17=TRUE,(Skills!L17/10)*(E1180/1000),Skills!L17/10)+Skills!O17</f>
        <v/>
      </c>
      <c r="G1180">
        <f>Skills!G17*IF(Skills!H17&gt;0,Skills!I17/Skills!H17,1)</f>
        <v/>
      </c>
      <c r="H1180">
        <f>1-(1-Skills!J17/100)^Skills!K17</f>
        <v/>
      </c>
      <c r="I1180" t="inlineStr">
        <is>
          <t>1</t>
        </is>
      </c>
      <c r="J1180" t="inlineStr"/>
      <c r="K1180" t="inlineStr"/>
      <c r="L1180" t="inlineStr"/>
      <c r="M1180" t="inlineStr"/>
      <c r="N1180" t="inlineStr"/>
      <c r="O1180">
        <f>(1-Summary!$B$11)*T1180+Summary!$B$11*V1180</f>
        <v/>
      </c>
      <c r="P1180">
        <f>IF(B1199=0,0,O1180/B1199)</f>
        <v/>
      </c>
      <c r="Q1180" t="n">
        <v>0</v>
      </c>
      <c r="R1180" t="n">
        <v>0</v>
      </c>
      <c r="S1180">
        <f>IFERROR(O1180/N1180,0)</f>
        <v/>
      </c>
      <c r="T1180" t="n">
        <v>0</v>
      </c>
      <c r="V1180" t="n">
        <v>0</v>
      </c>
    </row>
    <row r="1181">
      <c r="A1181">
        <f>Skills!A18</f>
        <v/>
      </c>
      <c r="B1181">
        <f>Skills!B18</f>
        <v/>
      </c>
      <c r="C1181">
        <f>Inputs!$B$3&gt;=33</f>
        <v/>
      </c>
      <c r="D1181">
        <f>IF(Skills!C18=1,60+Inputs!$B$25+Inputs!$B$29,IF(Skills!C18=2,90+Inputs!$B$26+Inputs!$B$29,IF(Skills!C18=3,120+Inputs!$B$27+Inputs!$B$29,MAX(0,(Inputs!$B$3-100)*3)+Inputs!$B$28+Inputs!$B$29)))</f>
        <v/>
      </c>
      <c r="E1181">
        <f>INDEX(FactorTable!$B$2:$Y$301, MATCH(ROUND(MIN(300,MAX(1,D1181)),0), FactorTable!$A$2:$A$301,0), Skills!M18+1)</f>
        <v/>
      </c>
      <c r="F1181">
        <f>IF(Skills!N18=TRUE,(Skills!L18/10)*(E1181/1000),Skills!L18/10)+Skills!O18</f>
        <v/>
      </c>
      <c r="G1181">
        <f>Skills!G18*IF(Skills!H18&gt;0,Skills!I18/Skills!H18,1)</f>
        <v/>
      </c>
      <c r="H1181">
        <f>1-(1-Skills!J18/100)^Skills!K18</f>
        <v/>
      </c>
      <c r="I1181" t="inlineStr">
        <is>
          <t>1</t>
        </is>
      </c>
      <c r="J1181" t="inlineStr"/>
      <c r="K1181" t="inlineStr"/>
      <c r="L1181" t="inlineStr"/>
      <c r="M1181" t="inlineStr"/>
      <c r="N1181" t="inlineStr"/>
      <c r="O1181">
        <f>(1-Summary!$B$11)*T1181+Summary!$B$11*V1181</f>
        <v/>
      </c>
      <c r="P1181">
        <f>IF(B1199=0,0,O1181/B1199)</f>
        <v/>
      </c>
      <c r="Q1181" t="n">
        <v>0</v>
      </c>
      <c r="R1181" t="n">
        <v>0</v>
      </c>
      <c r="S1181">
        <f>IFERROR(O1181/N1181,0)</f>
        <v/>
      </c>
      <c r="T1181" t="n">
        <v>0</v>
      </c>
      <c r="V1181" t="n">
        <v>0</v>
      </c>
    </row>
    <row r="1182">
      <c r="A1182">
        <f>Skills!A19</f>
        <v/>
      </c>
      <c r="B1182">
        <f>Skills!B19</f>
        <v/>
      </c>
      <c r="C1182">
        <f>Inputs!$B$3&gt;=40</f>
        <v/>
      </c>
      <c r="D1182">
        <f>IF(Skills!C19=1,60+Inputs!$B$25+Inputs!$B$29,IF(Skills!C19=2,90+Inputs!$B$26+Inputs!$B$29,IF(Skills!C19=3,120+Inputs!$B$27+Inputs!$B$29,MAX(0,(Inputs!$B$3-100)*3)+Inputs!$B$28+Inputs!$B$29)))</f>
        <v/>
      </c>
      <c r="E1182">
        <f>INDEX(FactorTable!$B$2:$Y$301, MATCH(ROUND(MIN(300,MAX(1,D1182)),0), FactorTable!$A$2:$A$301,0), Skills!M19+1)</f>
        <v/>
      </c>
      <c r="F1182">
        <f>IF(Skills!N19=TRUE,(Skills!L19/10)*(E1182/1000),Skills!L19/10)+Skills!O19</f>
        <v/>
      </c>
      <c r="G1182">
        <f>Skills!G19*IF(Skills!H19&gt;0,Skills!I19/Skills!H19,1)</f>
        <v/>
      </c>
      <c r="H1182">
        <f>1-(1-Skills!J19/100)^Skills!K19</f>
        <v/>
      </c>
      <c r="I1182" t="inlineStr">
        <is>
          <t>1</t>
        </is>
      </c>
      <c r="J1182" t="inlineStr"/>
      <c r="K1182" t="inlineStr"/>
      <c r="L1182" t="inlineStr"/>
      <c r="M1182" t="inlineStr"/>
      <c r="N1182" t="inlineStr"/>
      <c r="O1182">
        <f>(1-Summary!$B$11)*T1182+Summary!$B$11*V1182</f>
        <v/>
      </c>
      <c r="P1182">
        <f>IF(B1199=0,0,O1182/B1199)</f>
        <v/>
      </c>
      <c r="Q1182" t="n">
        <v>0</v>
      </c>
      <c r="R1182" t="n">
        <v>0</v>
      </c>
      <c r="S1182">
        <f>IFERROR(O1182/N1182,0)</f>
        <v/>
      </c>
      <c r="T1182" t="n">
        <v>0</v>
      </c>
      <c r="V1182" t="n">
        <v>0</v>
      </c>
    </row>
    <row r="1183">
      <c r="A1183">
        <f>Skills!A20</f>
        <v/>
      </c>
      <c r="B1183">
        <f>Skills!B20</f>
        <v/>
      </c>
      <c r="C1183">
        <f>Inputs!$B$3&gt;=43</f>
        <v/>
      </c>
      <c r="D1183">
        <f>IF(Skills!C20=1,60+Inputs!$B$25+Inputs!$B$29,IF(Skills!C20=2,90+Inputs!$B$26+Inputs!$B$29,IF(Skills!C20=3,120+Inputs!$B$27+Inputs!$B$29,MAX(0,(Inputs!$B$3-100)*3)+Inputs!$B$28+Inputs!$B$29)))</f>
        <v/>
      </c>
      <c r="E1183">
        <f>INDEX(FactorTable!$B$2:$Y$301, MATCH(ROUND(MIN(300,MAX(1,D1183)),0), FactorTable!$A$2:$A$301,0), Skills!M20+1)</f>
        <v/>
      </c>
      <c r="F1183">
        <f>IF(Skills!N20=TRUE,(Skills!L20/10)*(E1183/1000),Skills!L20/10)+Skills!O20</f>
        <v/>
      </c>
      <c r="G1183">
        <f>Skills!G20*IF(Skills!H20&gt;0,Skills!I20/Skills!H20,1)</f>
        <v/>
      </c>
      <c r="H1183">
        <f>1-(1-Skills!J20/100)^Skills!K20</f>
        <v/>
      </c>
      <c r="I1183" t="inlineStr">
        <is>
          <t>1</t>
        </is>
      </c>
      <c r="J1183" t="inlineStr"/>
      <c r="K1183" t="inlineStr"/>
      <c r="L1183" t="inlineStr"/>
      <c r="M1183" t="inlineStr"/>
      <c r="N1183" t="inlineStr"/>
      <c r="O1183">
        <f>(1-Summary!$B$11)*T1183+Summary!$B$11*V1183</f>
        <v/>
      </c>
      <c r="P1183">
        <f>IF(B1199=0,0,O1183/B1199)</f>
        <v/>
      </c>
      <c r="Q1183" t="n">
        <v>0</v>
      </c>
      <c r="R1183" t="n">
        <v>0</v>
      </c>
      <c r="S1183">
        <f>IFERROR(O1183/N1183,0)</f>
        <v/>
      </c>
      <c r="T1183" t="n">
        <v>0</v>
      </c>
      <c r="V1183" t="n">
        <v>0</v>
      </c>
    </row>
    <row r="1184">
      <c r="A1184">
        <f>Skills!A21</f>
        <v/>
      </c>
      <c r="B1184">
        <f>Skills!B21</f>
        <v/>
      </c>
      <c r="C1184">
        <f>Inputs!$B$3&gt;=38</f>
        <v/>
      </c>
      <c r="D1184">
        <f>IF(Skills!C21=1,60+Inputs!$B$25+Inputs!$B$29,IF(Skills!C21=2,90+Inputs!$B$26+Inputs!$B$29,IF(Skills!C21=3,120+Inputs!$B$27+Inputs!$B$29,MAX(0,(Inputs!$B$3-100)*3)+Inputs!$B$28+Inputs!$B$29)))</f>
        <v/>
      </c>
      <c r="E1184">
        <f>INDEX(FactorTable!$B$2:$Y$301, MATCH(ROUND(MIN(300,MAX(1,D1184)),0), FactorTable!$A$2:$A$301,0), Skills!M21+1)</f>
        <v/>
      </c>
      <c r="F1184">
        <f>IF(Skills!N21=TRUE,(Skills!L21/10)*(E1184/1000),Skills!L21/10)+Skills!O21</f>
        <v/>
      </c>
      <c r="G1184">
        <f>Skills!G21*IF(Skills!H21&gt;0,Skills!I21/Skills!H21,1)</f>
        <v/>
      </c>
      <c r="H1184">
        <f>1-(1-Skills!J21/100)^Skills!K21</f>
        <v/>
      </c>
      <c r="I1184" t="inlineStr">
        <is>
          <t>1</t>
        </is>
      </c>
      <c r="J1184" t="inlineStr"/>
      <c r="K1184" t="inlineStr"/>
      <c r="L1184" t="inlineStr"/>
      <c r="M1184" t="inlineStr"/>
      <c r="N1184" t="inlineStr"/>
      <c r="O1184">
        <f>(1-Summary!$B$11)*T1184+Summary!$B$11*V1184</f>
        <v/>
      </c>
      <c r="P1184">
        <f>IF(B1199=0,0,O1184/B1199)</f>
        <v/>
      </c>
      <c r="Q1184" t="n">
        <v>0</v>
      </c>
      <c r="R1184" t="n">
        <v>0</v>
      </c>
      <c r="S1184">
        <f>IFERROR(O1184/N1184,0)</f>
        <v/>
      </c>
      <c r="T1184" t="n">
        <v>0</v>
      </c>
      <c r="V1184" t="n">
        <v>0</v>
      </c>
    </row>
    <row r="1185">
      <c r="A1185">
        <f>Skills!A22</f>
        <v/>
      </c>
      <c r="B1185">
        <f>Skills!B22</f>
        <v/>
      </c>
      <c r="C1185">
        <f>Inputs!$B$3&gt;=75</f>
        <v/>
      </c>
      <c r="D1185">
        <f>IF(Skills!C22=1,60+Inputs!$B$25+Inputs!$B$29,IF(Skills!C22=2,90+Inputs!$B$26+Inputs!$B$29,IF(Skills!C22=3,120+Inputs!$B$27+Inputs!$B$29,MAX(0,(Inputs!$B$3-100)*3)+Inputs!$B$28+Inputs!$B$29)))</f>
        <v/>
      </c>
      <c r="E1185">
        <f>INDEX(FactorTable!$B$2:$Y$301, MATCH(ROUND(MIN(300,MAX(1,D1185)),0), FactorTable!$A$2:$A$301,0), Skills!M22+1)</f>
        <v/>
      </c>
      <c r="F1185">
        <f>IF(Skills!N22=TRUE,(Skills!L22/10)*(E1185/1000),Skills!L22/10)+Skills!O22</f>
        <v/>
      </c>
      <c r="G1185">
        <f>Skills!G22*IF(Skills!H22&gt;0,Skills!I22/Skills!H22,1)</f>
        <v/>
      </c>
      <c r="H1185">
        <f>1-(1-Skills!J22/100)^Skills!K22</f>
        <v/>
      </c>
      <c r="I1185" t="inlineStr">
        <is>
          <t>1</t>
        </is>
      </c>
      <c r="J1185" t="inlineStr"/>
      <c r="K1185" t="inlineStr"/>
      <c r="L1185" t="inlineStr"/>
      <c r="M1185" t="inlineStr"/>
      <c r="N1185" t="inlineStr"/>
      <c r="O1185">
        <f>(1-Summary!$B$11)*T1185+Summary!$B$11*V1185</f>
        <v/>
      </c>
      <c r="P1185">
        <f>IF(B1199=0,0,O1185/B1199)</f>
        <v/>
      </c>
      <c r="Q1185" t="n">
        <v>0</v>
      </c>
      <c r="R1185" t="n">
        <v>0</v>
      </c>
      <c r="S1185">
        <f>IFERROR(O1185/N1185,0)</f>
        <v/>
      </c>
      <c r="T1185" t="n">
        <v>0</v>
      </c>
      <c r="V1185" t="n">
        <v>0</v>
      </c>
    </row>
    <row r="1186">
      <c r="A1186">
        <f>Skills!A23</f>
        <v/>
      </c>
      <c r="B1186">
        <f>Skills!B23</f>
        <v/>
      </c>
      <c r="C1186">
        <f>TRUE</f>
        <v/>
      </c>
      <c r="D1186">
        <f>IF(Skills!C23=1,60+Inputs!$B$25+Inputs!$B$29,IF(Skills!C23=2,90+Inputs!$B$26+Inputs!$B$29,IF(Skills!C23=3,120+Inputs!$B$27+Inputs!$B$29,MAX(0,(Inputs!$B$3-100)*3)+Inputs!$B$28+Inputs!$B$29)))</f>
        <v/>
      </c>
      <c r="E1186">
        <f>INDEX(FactorTable!$B$2:$Y$301, MATCH(ROUND(MIN(300,MAX(1,D1186)),0), FactorTable!$A$2:$A$301,0), Skills!M23+1)</f>
        <v/>
      </c>
      <c r="F1186">
        <f>IF(Skills!N23=TRUE,(Skills!L23/10)*(E1186/1000),Skills!L23/10)+Skills!O23</f>
        <v/>
      </c>
      <c r="G1186">
        <f>Skills!G23*IF(Skills!H23&gt;0,Skills!I23/Skills!H23,1)</f>
        <v/>
      </c>
      <c r="H1186">
        <f>1-(1-Skills!J23/100)^Skills!K23</f>
        <v/>
      </c>
      <c r="I1186" t="inlineStr">
        <is>
          <t>1</t>
        </is>
      </c>
      <c r="J1186" t="inlineStr"/>
      <c r="K1186" t="inlineStr"/>
      <c r="L1186" t="inlineStr"/>
      <c r="M1186" t="inlineStr"/>
      <c r="N1186" t="inlineStr"/>
      <c r="O1186">
        <f>(1-Summary!$B$11)*T1186+Summary!$B$11*V1186</f>
        <v/>
      </c>
      <c r="P1186">
        <f>IF(B1199=0,0,O1186/B1199)</f>
        <v/>
      </c>
      <c r="Q1186">
        <f>IFERROR(1/(IF(Inputs!$B$38="pvp",15,MAX(0.1,Skills!D23-IF(Skills!E23=TRUE,Inputs!$B$32,0)))*(1-IF(AND(ArtifactsInput!$M$27,Inputs!$B$4="Chapter Hunt"),CHOOSE(ArtifactsInput!$N$27+1,20,24,28,32,36,40),0)/100)),0)</f>
        <v/>
      </c>
      <c r="R1186">
        <f>IF(AND(Inputs!$B$38&lt;&gt;"pvp",Inputs!$B$43&gt;0),IF(Inputs!$B$43&lt;=0,0,(INT(Inputs!$B$43/(IF(Inputs!$B$38="pvp",15,MAX(0.1,Skills!D23-IF(Skills!E23=TRUE,Inputs!$B$32,0)))*(1-IF(AND(ArtifactsInput!$M$27,Inputs!$B$4="Chapter Hunt"),CHOOSE(ArtifactsInput!$N$27+1,20,24,28,32,36,40),0)/100)))+1)),0)</f>
        <v/>
      </c>
      <c r="S1186">
        <f>IFERROR(O1186/N1186,0)</f>
        <v/>
      </c>
      <c r="T1186" t="n">
        <v>0</v>
      </c>
      <c r="V1186" t="n">
        <v>0</v>
      </c>
    </row>
    <row r="1188">
      <c r="A1188" t="inlineStr">
        <is>
          <t>Attack% Bucket Multiplier</t>
        </is>
      </c>
      <c r="B1188">
        <f>(1+(((C1176=TRUE)*F1176*5/7)+((C1182=TRUE)*(F1182-Calc!F19))+(IF(ArtifactsInput!$M$21,CHOOSE(ArtifactsInput!$N$21+1,25,30,35,40,45,50)*(IF(OR(Inputs!$B$4="Chapter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9">
      <c r="A1189" t="inlineStr">
        <is>
          <t>Global Crit Rate Bonus %</t>
        </is>
      </c>
      <c r="B1189" t="n">
        <v>0</v>
      </c>
    </row>
    <row r="1190">
      <c r="A1190" t="inlineStr">
        <is>
          <t>Attack Speed Buff Bonus % (Nimble Feet, duty-cycle averaged)</t>
        </is>
      </c>
      <c r="B1190">
        <f>((C1186=TRUE)*F1186*IF(AND(Inputs!$B$38&lt;&gt;"pvp",Inputs!$B$43&gt;0),(((R1186-1)*(Skills!T23*(1+Inputs!$B$34/100))+MIN((Skills!T23*(1+Inputs!$B$34/100)),MAX(0,Inputs!$B$43-((R1186-1)*Skills!D23))))/Inputs!$B$43),IF(Inputs!$B$38="pvp",MIN((Skills!T23*(1+Inputs!$B$34/100)),15)/15,(Skills!T23*(1+Inputs!$B$34/100))/Skills!D23)))</f>
        <v/>
      </c>
    </row>
    <row r="1191">
      <c r="A1191" t="inlineStr">
        <is>
          <t>Actions Per Second</t>
        </is>
      </c>
      <c r="B1191">
        <f>1+MIN(150,150*(1-(1-(Inputs!$B$11+((C1180=TRUE)*(F1180-Calc!F17))+((C1181=TRUE)*(F1181-Calc!F18)))/150)*(1-B1190/150)))/100</f>
        <v/>
      </c>
    </row>
    <row r="1192">
      <c r="A1192" t="inlineStr">
        <is>
          <t>Skill + Buff Cast Rate</t>
        </is>
      </c>
      <c r="B1192">
        <f>IF(AND(Inputs!$B$38&lt;&gt;"pvp",Inputs!$B$43&gt;0),SUMPRODUCT((Skills!E2:E23=TRUE)*(C1165:C1186=TRUE)*R1165:R1186*Skills!F2:F23)/Inputs!$B$43,SUMPRODUCT((Skills!E2:E23=TRUE)*(C1165:C1186=TRUE)*Q1165:Q1186*Skills!F2:F23))</f>
        <v/>
      </c>
    </row>
    <row r="1193">
      <c r="A1193" t="inlineStr">
        <is>
          <t>Hook Bomber Casts Per Second</t>
        </is>
      </c>
      <c r="B1193">
        <f>MAX(0,B1191-B1192)</f>
        <v/>
      </c>
    </row>
    <row r="1194">
      <c r="A1194" t="inlineStr">
        <is>
          <t>Global Critical Damage Bonus % (unused)</t>
        </is>
      </c>
      <c r="B1194" t="n">
        <v>0</v>
      </c>
    </row>
    <row r="1195">
      <c r="A1195" t="inlineStr">
        <is>
          <t>Global Final Damage Bonus % (Serpent Scale + Crossbones + Time Leap + Speed Infusion)</t>
        </is>
      </c>
      <c r="B1195">
        <f>((C1168=TRUE)*F1168*((10+IF(Inputs!$B$3&gt;=94,5,0))/((10+IF(Inputs!$B$3&gt;=94,5,0))+5/(B1193*(1+IF(Inputs!$B$3&gt;=104,1,0))))))+((C1177=TRUE)*F1177*IF(AND(Inputs!$B$38&lt;&gt;"pvp",Inputs!$B$43&gt;0),(((R1177-1)*(Skills!T14*(1+Inputs!$B$34/100))+MIN((Skills!T14*(1+Inputs!$B$34/100)),MAX(0,Inputs!$B$43-((R1177-1)*Skills!D14))))/Inputs!$B$43),IF(Inputs!$B$38="pvp",MIN((Skills!T14*(1+Inputs!$B$34/100)),15)/15,(Skills!T14*(1+Inputs!$B$34/100))/Skills!D14)))+((C1178=TRUE)*F1178*IF(AND(Inputs!$B$38&lt;&gt;"pvp",Inputs!$B$43&gt;0),(((R1178-1)*(Skills!T15*(1+Inputs!$B$34/100))+MIN((Skills!T15*(1+Inputs!$B$34/100)),MAX(0,Inputs!$B$43-((R1178-1)*Skills!D15))))/Inputs!$B$43),IF(Inputs!$B$38="pvp",MIN((Skills!T15*(1+Inputs!$B$34/100)),15)/15,(Skills!T15*(1+Inputs!$B$34/100))/Skills!D15)))+((Inputs!$B$3&gt;=110)*20*(B1191-1)*IF(Inputs!$B$38="pvp",MIN((15*(1+Inputs!$B$34/100)),15)/15,(15*(1+Inputs!$B$34/100))/35))</f>
        <v/>
      </c>
    </row>
    <row r="1196">
      <c r="A1196" t="inlineStr">
        <is>
          <t>Buff-Casting Startup Delay (s, fixed-duration only)</t>
        </is>
      </c>
      <c r="B1196">
        <f>IF(AND(Inputs!$B$38&lt;&gt;"pvp",Inputs!$B$43&gt;0),SUMPRODUCT((Skills!T2:T23&gt;0)*(Skills!E2:E23=TRUE)*(C1165:C1186=TRUE))/B1191,0)</f>
        <v/>
      </c>
    </row>
    <row r="1197">
      <c r="A1197" t="inlineStr">
        <is>
          <t>Boss-Only Total DPS (this block's swept value)</t>
        </is>
      </c>
      <c r="B1197">
        <f>SUM(T1165:T1186)</f>
        <v/>
      </c>
    </row>
    <row r="1198">
      <c r="A1198" t="inlineStr">
        <is>
          <t>Normal-Only Total DPS (this block's swept value)</t>
        </is>
      </c>
      <c r="B1198">
        <f>SUM(V1165:V1186)</f>
        <v/>
      </c>
    </row>
    <row r="1199">
      <c r="A1199" s="6" t="inlineStr">
        <is>
          <t>TOTAL DPS</t>
        </is>
      </c>
      <c r="B1199" s="6">
        <f>SUM(O1165:O1186)</f>
        <v/>
      </c>
    </row>
    <row r="1202">
      <c r="A1202" s="6" t="inlineStr">
        <is>
          <t>Stat: The Contract of Darkness (Equip)</t>
        </is>
      </c>
    </row>
    <row r="1203">
      <c r="A1203" s="5" t="inlineStr">
        <is>
          <t>Key</t>
        </is>
      </c>
      <c r="B1203" s="5" t="inlineStr">
        <is>
          <t>Name</t>
        </is>
      </c>
      <c r="C1203" s="5" t="inlineStr">
        <is>
          <t>Unlocked</t>
        </is>
      </c>
      <c r="D1203" s="5" t="inlineStr">
        <is>
          <t>InputLevel</t>
        </is>
      </c>
      <c r="E1203" s="5" t="inlineStr">
        <is>
          <t>Factor</t>
        </is>
      </c>
      <c r="F1203" s="5" t="inlineStr">
        <is>
          <t>CoefficientPercent</t>
        </is>
      </c>
      <c r="G1203" s="5" t="inlineStr">
        <is>
          <t>EffectiveHits</t>
        </is>
      </c>
      <c r="H1203" s="5" t="inlineStr">
        <is>
          <t>ProcProbability</t>
        </is>
      </c>
      <c r="I1203" s="5" t="inlineStr">
        <is>
          <t>MapleHeroMultiplier</t>
        </is>
      </c>
      <c r="J1203" s="5" t="inlineStr">
        <is>
          <t>BaseDamage</t>
        </is>
      </c>
      <c r="K1203" s="5" t="inlineStr">
        <is>
          <t>BaseHitDamage</t>
        </is>
      </c>
      <c r="L1203" s="5" t="inlineStr">
        <is>
          <t>NonCritAvg</t>
        </is>
      </c>
      <c r="M1203" s="5" t="inlineStr">
        <is>
          <t>CritAvg</t>
        </is>
      </c>
      <c r="N1203" s="5" t="inlineStr">
        <is>
          <t>ExpectedDamage(perHit)</t>
        </is>
      </c>
      <c r="O1203" s="5" t="inlineStr">
        <is>
          <t>DPS</t>
        </is>
      </c>
      <c r="P1203" s="5" t="inlineStr">
        <is>
          <t>% of Total</t>
        </is>
      </c>
      <c r="Q1203" s="5" t="inlineStr">
        <is>
          <t>InvCooldown</t>
        </is>
      </c>
      <c r="R1203" s="5" t="inlineStr">
        <is>
          <t>CastsInFight</t>
        </is>
      </c>
      <c r="S1203" s="5" t="inlineStr">
        <is>
          <t>HitRate(perSec)</t>
        </is>
      </c>
      <c r="U1203" t="inlineStr">
        <is>
          <t>helpers</t>
        </is>
      </c>
    </row>
    <row r="1204">
      <c r="A1204">
        <f>Skills!A2</f>
        <v/>
      </c>
      <c r="B1204">
        <f>Skills!B2</f>
        <v/>
      </c>
      <c r="C1204">
        <f>Inputs!$B$3&gt;=100</f>
        <v/>
      </c>
      <c r="D1204" t="inlineStr"/>
      <c r="E1204" t="inlineStr"/>
      <c r="F1204">
        <f>U1206+Skills!O2</f>
        <v/>
      </c>
      <c r="G1204">
        <f>Skills!G2*IF(Skills!H2&gt;0,Skills!I2/Skills!H2,1)</f>
        <v/>
      </c>
      <c r="H1204">
        <f>1-(1-Skills!J2/100)^Skills!K2</f>
        <v/>
      </c>
      <c r="I1204" t="inlineStr">
        <is>
          <t>1</t>
        </is>
      </c>
      <c r="J1204">
        <f>((Inputs!$B$6*(1+Inputs!$B$7/100))+(((Inputs!$B$12*(1+Inputs!$B$13/100))-(Inputs!$B$12*(1+Inputs!$B$13/100)))+0.25*(Inputs!$B$14-Inputs!$B$14))*(1+Inputs!$B$7/100))*(F1204/100)</f>
        <v/>
      </c>
      <c r="K1204">
        <f>J1204*(1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1204)</f>
        <v/>
      </c>
      <c r="L1204">
        <f>K1204*(MIN(Inputs!$B$22+((C1222=TRUE)*(F1222-Calc!F20)),(Inputs!$B$23+0+(IF(ArtifactsInput!$M$15,CHOOSE(ArtifactsInput!$N$15+1,25,30,35,40,45,50)/100*(Inputs!$B$11-Inputs!$B$11),0))))/100+(Inputs!$B$23+0+(IF(ArtifactsInput!$M$15,CHOOSE(ArtifactsInput!$N$15+1,25,30,35,40,45,50)/100*(Inputs!$B$11-Inputs!$B$11),0)))/100)/2</f>
        <v/>
      </c>
      <c r="M1204">
        <f>L1204*(1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4">
        <f>L1204*(1-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1204*(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4">
        <f>(1-Summary!$B$11)*T1204+Summary!$B$11*V1204</f>
        <v/>
      </c>
      <c r="P1204">
        <f>IF(B1238=0,0,O1204/B1238)</f>
        <v/>
      </c>
      <c r="Q1204" t="n">
        <v>0</v>
      </c>
      <c r="R1204" t="n">
        <v>0</v>
      </c>
      <c r="S1204">
        <f>IFERROR(O1204/N1204,0)</f>
        <v/>
      </c>
      <c r="T1204">
        <f>IF(C1204,(Skills!G2*N1204*B1232)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1204*(1-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1204*(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1204*(1-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1204*(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4">
        <f>MAX(0,(Inputs!$B$3-100)*3)+Inputs!$B$28+Inputs!$B$29</f>
        <v/>
      </c>
      <c r="V1204">
        <f>IF(C1204,(Skills!G2*N1204*B1232)*IF(Inputs!$B$38="pvp",1,(1+(Inputs!$B$21+Skills!Q2+(IF(ArtifactsInput!$M$33,CHOOSE(ArtifactsInput!$N$33+1,30,36,42,48,54,60),0))+(IF(AND(ArtifactsInput!$M$35,Inputs!$B$4&lt;&gt;"Chapter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5">
      <c r="A1205">
        <f>Skills!A3</f>
        <v/>
      </c>
      <c r="B1205">
        <f>Skills!B3</f>
        <v/>
      </c>
      <c r="C1205">
        <f>Inputs!$B$3&gt;=35</f>
        <v/>
      </c>
      <c r="D1205">
        <f>IF(Skills!C3=1,60+Inputs!$B$25+Inputs!$B$29,IF(Skills!C3=2,90+Inputs!$B$26+Inputs!$B$29,IF(Skills!C3=3,120+Inputs!$B$27+Inputs!$B$29,MAX(0,(Inputs!$B$3-100)*3)+Inputs!$B$28+Inputs!$B$29)))</f>
        <v/>
      </c>
      <c r="E1205">
        <f>INDEX(FactorTable!$B$2:$Y$301, MATCH(ROUND(MIN(300,MAX(1,D1205)),0), FactorTable!$A$2:$A$301,0), Skills!M3+1)</f>
        <v/>
      </c>
      <c r="F1205">
        <f>IF(Skills!N3=TRUE,(Skills!L3/10)*(E1205/1000),Skills!L3/10)+Skills!O3</f>
        <v/>
      </c>
      <c r="G1205">
        <f>Skills!G3*IF(Skills!H3&gt;0,Skills!I3/Skills!H3,1)</f>
        <v/>
      </c>
      <c r="H1205">
        <f>1-(1-Skills!J3/100)^Skills!K3</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1222=TRUE)*(F1222-Calc!F20)),(Inputs!$B$23+0+(IF(ArtifactsInput!$M$15,CHOOSE(ArtifactsInput!$N$15+1,25,30,35,40,45,50)/100*(Inputs!$B$11-Inputs!$B$11),0))))/100+(Inputs!$B$23+0+(IF(ArtifactsInput!$M$15,CHOOSE(ArtifactsInput!$N$15+1,25,30,35,40,45,50)/100*(Inputs!$B$11-Inputs!$B$11),0)))/100)/2</f>
        <v/>
      </c>
      <c r="M1205">
        <f>L1205*(1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IF(B1238=0,0,O1205/B1238)</f>
        <v/>
      </c>
      <c r="Q1205" t="n">
        <v>0</v>
      </c>
      <c r="R1205" t="n">
        <v>0</v>
      </c>
      <c r="S1205">
        <f>IFERROR(O1205/N1205,0)</f>
        <v/>
      </c>
      <c r="T1205">
        <f>IF(C1205,(Skills!G3*H1205*N1205*B1232)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1205*(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1205*(1-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5">
        <f>INDEX(FactorTable!$B$2:$Y$301, MATCH(ROUND(MIN(300,MAX(1,U1204)),0), FactorTable!$A$2:$A$301,0), 22)</f>
        <v/>
      </c>
      <c r="V1205">
        <f>IF(C1205,(Skills!G3*H1205*N1205*B1232)*IF(Inputs!$B$38="pvp",1,(1+(Inputs!$B$21+Skills!Q3+(IF(ArtifactsInput!$M$33,CHOOSE(ArtifactsInput!$N$33+1,30,36,42,48,54,60),0))+(IF(AND(ArtifactsInput!$M$35,Inputs!$B$4&lt;&gt;"Chapter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Skills!A4</f>
        <v/>
      </c>
      <c r="B1206">
        <f>Skills!B4</f>
        <v/>
      </c>
      <c r="C1206">
        <f>Inputs!$B$3&gt;=60</f>
        <v/>
      </c>
      <c r="D1206">
        <f>IF(Skills!C4=1,60+Inputs!$B$25+Inputs!$B$29,IF(Skills!C4=2,90+Inputs!$B$26+Inputs!$B$29,IF(Skills!C4=3,120+Inputs!$B$27+Inputs!$B$29,MAX(0,(Inputs!$B$3-100)*3)+Inputs!$B$28+Inputs!$B$29)))</f>
        <v/>
      </c>
      <c r="E1206">
        <f>INDEX(FactorTable!$B$2:$Y$301, MATCH(ROUND(MIN(300,MAX(1,D1206)),0), FactorTable!$A$2:$A$301,0), Skills!M4+1)</f>
        <v/>
      </c>
      <c r="F1206">
        <f>IF(Skills!N4=TRUE,(Skills!L4/10)*(E1206/1000),Skills!L4/10)+Skills!O4</f>
        <v/>
      </c>
      <c r="G1206">
        <f>Skills!G4*IF(Skills!H4&gt;0,Skills!I4/Skills!H4,1)</f>
        <v/>
      </c>
      <c r="H1206">
        <f>1-(1-Skills!J4/100)^Skills!K4</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1214=TRUE,F1214,0)/100)*(1+(IF(Skills!A4="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1222=TRUE)*(F1222-Calc!F20)),(Inputs!$B$23+0+(IF(ArtifactsInput!$M$15,CHOOSE(ArtifactsInput!$N$15+1,25,30,35,40,45,50)/100*(Inputs!$B$11-Inputs!$B$11),0))))/100+(Inputs!$B$23+0+(IF(ArtifactsInput!$M$15,CHOOSE(ArtifactsInput!$N$15+1,25,30,35,40,45,50)/100*(Inputs!$B$11-Inputs!$B$11),0)))/100)/2</f>
        <v/>
      </c>
      <c r="M1206">
        <f>L1206*(1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IF(B1238=0,0,O1206/B1238)</f>
        <v/>
      </c>
      <c r="Q1206" t="n">
        <v>0</v>
      </c>
      <c r="R1206" t="n">
        <v>0</v>
      </c>
      <c r="S1206">
        <f>IFERROR(O1206/N1206,0)</f>
        <v/>
      </c>
      <c r="T1206">
        <f>IF(C1206,(Skills!G4*H1206*N1206*B1232)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1206*(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1206*(1-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6">
        <f>290*U1205/1000</f>
        <v/>
      </c>
      <c r="V1206">
        <f>IF(C1206,(Skills!G4*H1206*N1206*B1232)*IF(Inputs!$B$38="pvp",1,(1+(Inputs!$B$21+Skills!Q4+(IF(ArtifactsInput!$M$33,CHOOSE(ArtifactsInput!$N$33+1,30,36,42,48,54,60),0))+(IF(AND(ArtifactsInput!$M$35,Inputs!$B$4&lt;&gt;"Chapter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Skills!A5</f>
        <v/>
      </c>
      <c r="B1207">
        <f>Skills!B5</f>
        <v/>
      </c>
      <c r="C1207">
        <f>Inputs!$B$3&gt;=60</f>
        <v/>
      </c>
      <c r="D1207">
        <f>IF(Skills!C5=1,60+Inputs!$B$25+Inputs!$B$29,IF(Skills!C5=2,90+Inputs!$B$26+Inputs!$B$29,IF(Skills!C5=3,120+Inputs!$B$27+Inputs!$B$29,MAX(0,(Inputs!$B$3-100)*3)+Inputs!$B$28+Inputs!$B$29)))</f>
        <v/>
      </c>
      <c r="E1207">
        <f>INDEX(FactorTable!$B$2:$Y$301, MATCH(ROUND(MIN(300,MAX(1,D1207)),0), FactorTable!$A$2:$A$301,0), Skills!M5+1)</f>
        <v/>
      </c>
      <c r="F1207">
        <f>IF(Skills!N5=TRUE,(Skills!L5/10)*(E1207/1000),Skills!L5/10)+Skills!O5</f>
        <v/>
      </c>
      <c r="G1207">
        <f>Skills!G5*IF(Skills!H5&gt;0,Skills!I5/Skills!H5,1)</f>
        <v/>
      </c>
      <c r="H1207">
        <f>1-(1-Skills!J5/100)^Skills!K5</f>
        <v/>
      </c>
      <c r="I1207" t="inlineStr">
        <is>
          <t>1</t>
        </is>
      </c>
      <c r="J1207" t="inlineStr"/>
      <c r="K1207" t="inlineStr"/>
      <c r="L1207" t="inlineStr"/>
      <c r="M1207" t="inlineStr"/>
      <c r="N1207" t="inlineStr"/>
      <c r="O1207">
        <f>(1-Summary!$B$11)*T1207+Summary!$B$11*V1207</f>
        <v/>
      </c>
      <c r="P1207">
        <f>IF(B1238=0,0,O1207/B1238)</f>
        <v/>
      </c>
      <c r="Q1207" t="n">
        <v>0</v>
      </c>
      <c r="R1207" t="n">
        <v>0</v>
      </c>
      <c r="S1207">
        <f>IFERROR(O1207/N1207,0)</f>
        <v/>
      </c>
      <c r="T1207" t="n">
        <v>0</v>
      </c>
      <c r="V1207" t="n">
        <v>0</v>
      </c>
    </row>
    <row r="1208">
      <c r="A1208">
        <f>Skills!A6</f>
        <v/>
      </c>
      <c r="B1208">
        <f>Skills!B6</f>
        <v/>
      </c>
      <c r="C1208">
        <f>Inputs!$B$3&gt;=63</f>
        <v/>
      </c>
      <c r="D1208">
        <f>IF(Skills!C6=1,60+Inputs!$B$25+Inputs!$B$29,IF(Skills!C6=2,90+Inputs!$B$26+Inputs!$B$29,IF(Skills!C6=3,120+Inputs!$B$27+Inputs!$B$29,MAX(0,(Inputs!$B$3-100)*3)+Inputs!$B$28+Inputs!$B$29)))</f>
        <v/>
      </c>
      <c r="E1208">
        <f>INDEX(FactorTable!$B$2:$Y$301, MATCH(ROUND(MIN(300,MAX(1,D1208)),0), FactorTable!$A$2:$A$301,0), Skills!M6+1)</f>
        <v/>
      </c>
      <c r="F1208">
        <f>IF(Skills!N6=TRUE,(Skills!L6/10)*(E1208/1000),Skills!L6/10)+Skills!O6</f>
        <v/>
      </c>
      <c r="G1208">
        <f>Skills!G6*IF(Skills!H6&gt;0,Skills!I6/Skills!H6,1)</f>
        <v/>
      </c>
      <c r="H1208">
        <f>1-(1-Skills!J6/100)^Skills!K6</f>
        <v/>
      </c>
      <c r="I1208" t="inlineStr">
        <is>
          <t>1</t>
        </is>
      </c>
      <c r="J1208">
        <f>((Inputs!$B$6*(1+Inputs!$B$7/100))+(((Inputs!$B$12*(1+Inputs!$B$13/100))-(Inputs!$B$12*(1+Inputs!$B$13/100)))+0.25*(Inputs!$B$14-Inputs!$B$14))*(1+Inputs!$B$7/100))*(F1208/100)</f>
        <v/>
      </c>
      <c r="K1208">
        <f>J1208*(1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1214=TRUE,F1214,0)/100)*(1+(IF(Skills!A6="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1208)</f>
        <v/>
      </c>
      <c r="L1208">
        <f>K1208*(MIN(Inputs!$B$22+((C1222=TRUE)*(F1222-Calc!F20)),(Inputs!$B$23+0+(IF(ArtifactsInput!$M$15,CHOOSE(ArtifactsInput!$N$15+1,25,30,35,40,45,50)/100*(Inputs!$B$11-Inputs!$B$11),0))))/100+(Inputs!$B$23+0+(IF(ArtifactsInput!$M$15,CHOOSE(ArtifactsInput!$N$15+1,25,30,35,40,45,50)/100*(Inputs!$B$11-Inputs!$B$11),0)))/100)/2</f>
        <v/>
      </c>
      <c r="M1208">
        <f>L1208*(1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8">
        <f>L1208*(1-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1208*(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8">
        <f>(1-Summary!$B$11)*T1208+Summary!$B$11*V1208</f>
        <v/>
      </c>
      <c r="P1208">
        <f>IF(B1238=0,0,O1208/B1238)</f>
        <v/>
      </c>
      <c r="Q1208">
        <f>IFERROR(1/(IF(Inputs!$B$38="pvp",15,MAX(0.1,Skills!D6-IF(Skills!E6=TRUE,Inputs!$B$32,0)))*(1-IF(AND(ArtifactsInput!$M$27,Inputs!$B$4="Chapter Hunt"),CHOOSE(ArtifactsInput!$N$27+1,20,24,28,32,36,40),0)/100)),0)</f>
        <v/>
      </c>
      <c r="R1208">
        <f>IF(AND(Inputs!$B$38&lt;&gt;"pvp",Inputs!$B$43&gt;0),IF(MAX(0,Inputs!$B$43-B1235)&lt;=0,0,(INT(MAX(0,Inputs!$B$43-B1235)/(IF(Inputs!$B$38="pvp",15,MAX(0.1,Skills!D6-IF(Skills!E6=TRUE,Inputs!$B$32,0)))*(1-IF(AND(ArtifactsInput!$M$27,Inputs!$B$4="Chapter Hunt"),CHOOSE(ArtifactsInput!$N$27+1,20,24,28,32,36,40),0)/100)))+1)),0)</f>
        <v/>
      </c>
      <c r="S1208">
        <f>IFERROR(O1208/N1208,0)</f>
        <v/>
      </c>
      <c r="T1208">
        <f>IF(C1208,(H1208*N1208*IF(AND(Inputs!$B$38&lt;&gt;"pvp",Inputs!$B$43&gt;0),((Skills!G6*((R1208-1)*IF(Skills!H6&gt;0,Skills!I6/Skills!H6,1)+IF(Skills!H6&gt;0,MIN(Skills!I6,MAX(0,MAX(0,Inputs!$B$43-B1235)-((R1208-1)*(IF(Inputs!$B$38="pvp",15,MAX(0.1,Skills!D6-IF(Skills!E6=TRUE,Inputs!$B$32,0)))*(1-IF(AND(ArtifactsInput!$M$27,Inputs!$B$4="Chapter Hunt"),CHOOSE(ArtifactsInput!$N$27+1,20,24,28,32,36,40),0)/100)))))/Skills!H6,1)))/Inputs!$B$43),G1208*Q1208)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1208*(1-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1208*(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1208*(1-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1208*(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8">
        <f>IF(C1208,(H1208*N1208*IF(AND(Inputs!$B$38&lt;&gt;"pvp",Inputs!$B$43&gt;0),((Skills!G6*((R1208-1)*IF(Skills!H6&gt;0,Skills!I6/Skills!H6,1)+IF(Skills!H6&gt;0,MIN(Skills!I6,MAX(0,MAX(0,Inputs!$B$43-B1235)-((R1208-1)*(IF(Inputs!$B$38="pvp",15,MAX(0.1,Skills!D6-IF(Skills!E6=TRUE,Inputs!$B$32,0)))*(1-IF(AND(ArtifactsInput!$M$27,Inputs!$B$4="Chapter Hunt"),CHOOSE(ArtifactsInput!$N$27+1,20,24,28,32,36,40),0)/100)))))/Skills!H6,1)))/Inputs!$B$43),G1208*Q1208))*IF(Inputs!$B$38="pvp",1,(1+(Inputs!$B$21+Skills!Q6+(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9">
      <c r="A1209">
        <f>Skills!A7</f>
        <v/>
      </c>
      <c r="B1209">
        <f>Skills!B7</f>
        <v/>
      </c>
      <c r="C1209">
        <f>Inputs!$B$3&gt;=100</f>
        <v/>
      </c>
      <c r="D1209">
        <f>IF(Skills!C7=1,60+Inputs!$B$25+Inputs!$B$29,IF(Skills!C7=2,90+Inputs!$B$26+Inputs!$B$29,IF(Skills!C7=3,120+Inputs!$B$27+Inputs!$B$29,MAX(0,(Inputs!$B$3-100)*3)+Inputs!$B$28+Inputs!$B$29)))</f>
        <v/>
      </c>
      <c r="E1209">
        <f>INDEX(FactorTable!$B$2:$Y$301, MATCH(ROUND(MIN(300,MAX(1,D1209)),0), FactorTable!$A$2:$A$301,0), Skills!M7+1)</f>
        <v/>
      </c>
      <c r="F1209">
        <f>IF(Skills!N7=TRUE,(Skills!L7/10)*(E1209/1000),Skills!L7/10)+Skills!O7</f>
        <v/>
      </c>
      <c r="G1209">
        <f>Skills!G7*IF(Skills!H7&gt;0,Skills!I7/Skills!H7,1)</f>
        <v/>
      </c>
      <c r="H1209">
        <f>1-(1-Skills!J7/100)^Skills!K7</f>
        <v/>
      </c>
      <c r="I1209" t="inlineStr">
        <is>
          <t>1</t>
        </is>
      </c>
      <c r="J1209">
        <f>((Inputs!$B$6*(1+Inputs!$B$7/100))+(((Inputs!$B$12*(1+Inputs!$B$13/100))-(Inputs!$B$12*(1+Inputs!$B$13/100)))+0.25*(Inputs!$B$14-Inputs!$B$14))*(1+Inputs!$B$7/100))*(F1209/100)</f>
        <v/>
      </c>
      <c r="K1209">
        <f>J1209*(1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1209)</f>
        <v/>
      </c>
      <c r="L1209">
        <f>K1209*(MIN(Inputs!$B$22+((C1222=TRUE)*(F1222-Calc!F20)),(Inputs!$B$23+0+(IF(ArtifactsInput!$M$15,CHOOSE(ArtifactsInput!$N$15+1,25,30,35,40,45,50)/100*(Inputs!$B$11-Inputs!$B$11),0))))/100+(Inputs!$B$23+0+(IF(ArtifactsInput!$M$15,CHOOSE(ArtifactsInput!$N$15+1,25,30,35,40,45,50)/100*(Inputs!$B$11-Inputs!$B$11),0)))/100)/2</f>
        <v/>
      </c>
      <c r="M1209">
        <f>L1209*(1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9">
        <f>L1209*(1-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1209*(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9">
        <f>(1-Summary!$B$11)*T1209+Summary!$B$11*V1209</f>
        <v/>
      </c>
      <c r="P1209">
        <f>IF(B1238=0,0,O1209/B1238)</f>
        <v/>
      </c>
      <c r="Q1209">
        <f>IFERROR(1/(IF(Inputs!$B$38="pvp",15,MAX(0.1,Skills!D7-IF(Skills!E7=TRUE,Inputs!$B$32,0)))*(1-IF(AND(ArtifactsInput!$M$27,Inputs!$B$4="Chapter Hunt"),CHOOSE(ArtifactsInput!$N$27+1,20,24,28,32,36,40),0)/100)),0)</f>
        <v/>
      </c>
      <c r="R1209">
        <f>IF(AND(Inputs!$B$38&lt;&gt;"pvp",Inputs!$B$43&gt;0),IF(MAX(0,Inputs!$B$43-B1235)&lt;=0,0,(INT(MAX(0,Inputs!$B$43-B1235)/(IF(Inputs!$B$38="pvp",15,MAX(0.1,Skills!D7-IF(Skills!E7=TRUE,Inputs!$B$32,0)))*(1-IF(AND(ArtifactsInput!$M$27,Inputs!$B$4="Chapter Hunt"),CHOOSE(ArtifactsInput!$N$27+1,20,24,28,32,36,40),0)/100)))+1)),0)</f>
        <v/>
      </c>
      <c r="S1209">
        <f>IFERROR(O1209/N1209,0)</f>
        <v/>
      </c>
      <c r="T1209">
        <f>IF(C1209,(H1209*N1209*IF(AND(Inputs!$B$38&lt;&gt;"pvp",Inputs!$B$43&gt;0),((Skills!G7*((R1209-1)*IF(Skills!H7&gt;0,Skills!I7/Skills!H7,1)+IF(Skills!H7&gt;0,MIN(Skills!I7,MAX(0,MAX(0,Inputs!$B$43-B1235)-((R1209-1)*(IF(Inputs!$B$38="pvp",15,MAX(0.1,Skills!D7-IF(Skills!E7=TRUE,Inputs!$B$32,0)))*(1-IF(AND(ArtifactsInput!$M$27,Inputs!$B$4="Chapter Hunt"),CHOOSE(ArtifactsInput!$N$27+1,20,24,28,32,36,40),0)/100)))))/Skills!H7,1)))/Inputs!$B$43),G1209*Q1209)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1209*(1-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1209*(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1209*(1-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1209*(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9">
        <f>IF(C1209,(H1209*N1209*IF(AND(Inputs!$B$38&lt;&gt;"pvp",Inputs!$B$43&gt;0),((Skills!G7*((R1209-1)*IF(Skills!H7&gt;0,Skills!I7/Skills!H7,1)+IF(Skills!H7&gt;0,MIN(Skills!I7,MAX(0,MAX(0,Inputs!$B$43-B1235)-((R1209-1)*(IF(Inputs!$B$38="pvp",15,MAX(0.1,Skills!D7-IF(Skills!E7=TRUE,Inputs!$B$32,0)))*(1-IF(AND(ArtifactsInput!$M$27,Inputs!$B$4="Chapter Hunt"),CHOOSE(ArtifactsInput!$N$27+1,20,24,28,32,36,40),0)/100)))))/Skills!H7,1)))/Inputs!$B$43),G1209*Q1209))*IF(Inputs!$B$38="pvp",1,(1+(Inputs!$B$21+Skills!Q7+(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0">
      <c r="A1210">
        <f>Skills!A8</f>
        <v/>
      </c>
      <c r="B1210">
        <f>Skills!B8</f>
        <v/>
      </c>
      <c r="C1210">
        <f>Inputs!$B$3&gt;=110</f>
        <v/>
      </c>
      <c r="D1210">
        <f>IF(Skills!C8=1,60+Inputs!$B$25+Inputs!$B$29,IF(Skills!C8=2,90+Inputs!$B$26+Inputs!$B$29,IF(Skills!C8=3,120+Inputs!$B$27+Inputs!$B$29,MAX(0,(Inputs!$B$3-100)*3)+Inputs!$B$28+Inputs!$B$29)))</f>
        <v/>
      </c>
      <c r="E1210">
        <f>INDEX(FactorTable!$B$2:$Y$301, MATCH(ROUND(MIN(300,MAX(1,D1210)),0), FactorTable!$A$2:$A$301,0), Skills!M8+1)</f>
        <v/>
      </c>
      <c r="F1210">
        <f>IF(Skills!N8=TRUE,(Skills!L8/10)*(E1210/1000),Skills!L8/10)+Skills!O8</f>
        <v/>
      </c>
      <c r="G1210">
        <f>Skills!G8*IF(Skills!H8&gt;0,Skills!I8/Skills!H8,1)</f>
        <v/>
      </c>
      <c r="H1210">
        <f>1-(1-Skills!J8/100)^Skills!K8</f>
        <v/>
      </c>
      <c r="I1210" t="inlineStr">
        <is>
          <t>1</t>
        </is>
      </c>
      <c r="J1210">
        <f>((Inputs!$B$6*(1+Inputs!$B$7/100))+(((Inputs!$B$12*(1+Inputs!$B$13/100))-(Inputs!$B$12*(1+Inputs!$B$13/100)))+0.25*(Inputs!$B$14-Inputs!$B$14))*(1+Inputs!$B$7/100))*(F1210/100)</f>
        <v/>
      </c>
      <c r="K1210">
        <f>J1210*(1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1210)</f>
        <v/>
      </c>
      <c r="L1210">
        <f>K1210*(MIN(Inputs!$B$22+((C1222=TRUE)*(F1222-Calc!F20)),(Inputs!$B$23+0+(IF(ArtifactsInput!$M$15,CHOOSE(ArtifactsInput!$N$15+1,25,30,35,40,45,50)/100*(Inputs!$B$11-Inputs!$B$11),0))))/100+(Inputs!$B$23+0+(IF(ArtifactsInput!$M$15,CHOOSE(ArtifactsInput!$N$15+1,25,30,35,40,45,50)/100*(Inputs!$B$11-Inputs!$B$11),0)))/100)/2</f>
        <v/>
      </c>
      <c r="M1210">
        <f>L1210*(1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0">
        <f>L1210*(1-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1210*(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0">
        <f>(1-Summary!$B$11)*T1210+Summary!$B$11*V1210</f>
        <v/>
      </c>
      <c r="P1210">
        <f>IF(B1238=0,0,O1210/B1238)</f>
        <v/>
      </c>
      <c r="Q1210">
        <f>IFERROR(1/(IF(Inputs!$B$38="pvp",15,MAX(0.1,Skills!D8-IF(Skills!E8=TRUE,Inputs!$B$32,0)))*(1-IF(AND(ArtifactsInput!$M$27,Inputs!$B$4="Chapter Hunt"),CHOOSE(ArtifactsInput!$N$27+1,20,24,28,32,36,40),0)/100)),0)</f>
        <v/>
      </c>
      <c r="R1210">
        <f>IF(AND(Inputs!$B$38&lt;&gt;"pvp",Inputs!$B$43&gt;0),IF(MAX(0,Inputs!$B$43-B1235)&lt;=0,0,(INT(MAX(0,Inputs!$B$43-B1235)/(IF(Inputs!$B$38="pvp",15,MAX(0.1,Skills!D8-IF(Skills!E8=TRUE,Inputs!$B$32,0)))*(1-IF(AND(ArtifactsInput!$M$27,Inputs!$B$4="Chapter Hunt"),CHOOSE(ArtifactsInput!$N$27+1,20,24,28,32,36,40),0)/100)))+1)),0)</f>
        <v/>
      </c>
      <c r="S1210">
        <f>IFERROR(O1210/N1210,0)</f>
        <v/>
      </c>
      <c r="T1210">
        <f>IF(C1210,(H1210*N1210*IF(AND(Inputs!$B$38&lt;&gt;"pvp",Inputs!$B$43&gt;0),((Skills!G8*((R1210-1)*IF(Skills!H8&gt;0,Skills!I8/Skills!H8,1)+IF(Skills!H8&gt;0,MIN(Skills!I8,MAX(0,MAX(0,Inputs!$B$43-B1235)-((R1210-1)*(IF(Inputs!$B$38="pvp",15,MAX(0.1,Skills!D8-IF(Skills!E8=TRUE,Inputs!$B$32,0)))*(1-IF(AND(ArtifactsInput!$M$27,Inputs!$B$4="Chapter Hunt"),CHOOSE(ArtifactsInput!$N$27+1,20,24,28,32,36,40),0)/100)))))/Skills!H8,1)))/Inputs!$B$43),G1210*Q1210)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1210*(1-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1210*(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1210*(1-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1210*(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0">
        <f>IF(C1210,(H1210*N1210*IF(AND(Inputs!$B$38&lt;&gt;"pvp",Inputs!$B$43&gt;0),((Skills!G8*((R1210-1)*IF(Skills!H8&gt;0,Skills!I8/Skills!H8,1)+IF(Skills!H8&gt;0,MIN(Skills!I8,MAX(0,MAX(0,Inputs!$B$43-B1235)-((R1210-1)*(IF(Inputs!$B$38="pvp",15,MAX(0.1,Skills!D8-IF(Skills!E8=TRUE,Inputs!$B$32,0)))*(1-IF(AND(ArtifactsInput!$M$27,Inputs!$B$4="Chapter Hunt"),CHOOSE(ArtifactsInput!$N$27+1,20,24,28,32,36,40),0)/100)))))/Skills!H8,1)))/Inputs!$B$43),G1210*Q1210))*IF(Inputs!$B$38="pvp",1,(1+(Inputs!$B$21+Skills!Q8+(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1">
      <c r="A1211">
        <f>Skills!A9</f>
        <v/>
      </c>
      <c r="B1211">
        <f>Skills!B9</f>
        <v/>
      </c>
      <c r="C1211">
        <f>Inputs!$B$3&gt;=110</f>
        <v/>
      </c>
      <c r="D1211">
        <f>IF(Skills!C9=1,60+Inputs!$B$25+Inputs!$B$29,IF(Skills!C9=2,90+Inputs!$B$26+Inputs!$B$29,IF(Skills!C9=3,120+Inputs!$B$27+Inputs!$B$29,MAX(0,(Inputs!$B$3-100)*3)+Inputs!$B$28+Inputs!$B$29)))</f>
        <v/>
      </c>
      <c r="E1211">
        <f>INDEX(FactorTable!$B$2:$Y$301, MATCH(ROUND(MIN(300,MAX(1,D1211)),0), FactorTable!$A$2:$A$301,0), Skills!M9+1)</f>
        <v/>
      </c>
      <c r="F1211">
        <f>IF(Skills!N9=TRUE,(Skills!L9/10)*(E1211/1000),Skills!L9/10)+Skills!O9</f>
        <v/>
      </c>
      <c r="G1211">
        <f>Skills!G9*IF(Skills!H9&gt;0,Skills!I9/Skills!H9,1)</f>
        <v/>
      </c>
      <c r="H1211">
        <f>1-(1-Skills!J9/100)^Skills!K9</f>
        <v/>
      </c>
      <c r="I1211" t="inlineStr">
        <is>
          <t>1</t>
        </is>
      </c>
      <c r="J1211">
        <f>((Inputs!$B$6*(1+Inputs!$B$7/100))+(((Inputs!$B$12*(1+Inputs!$B$13/100))-(Inputs!$B$12*(1+Inputs!$B$13/100)))+0.25*(Inputs!$B$14-Inputs!$B$14))*(1+Inputs!$B$7/100))*(F1211/100)</f>
        <v/>
      </c>
      <c r="K1211">
        <f>J1211*(1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1211)</f>
        <v/>
      </c>
      <c r="L1211">
        <f>K1211*(MIN(Inputs!$B$22+((C1222=TRUE)*(F1222-Calc!F20)),(Inputs!$B$23+0+(IF(ArtifactsInput!$M$15,CHOOSE(ArtifactsInput!$N$15+1,25,30,35,40,45,50)/100*(Inputs!$B$11-Inputs!$B$11),0))))/100+(Inputs!$B$23+0+(IF(ArtifactsInput!$M$15,CHOOSE(ArtifactsInput!$N$15+1,25,30,35,40,45,50)/100*(Inputs!$B$11-Inputs!$B$11),0)))/100)/2</f>
        <v/>
      </c>
      <c r="M1211">
        <f>L1211*(1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1">
        <f>L1211*(1-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1">
        <f>(1-Summary!$B$11)*T1211+Summary!$B$11*V1211</f>
        <v/>
      </c>
      <c r="P1211">
        <f>IF(B1238=0,0,O1211/B1238)</f>
        <v/>
      </c>
      <c r="Q1211">
        <f>IFERROR(1/(IF(Inputs!$B$38="pvp",15,MAX(0.1,Skills!D9-IF(Skills!E9=TRUE,Inputs!$B$32,0)))*(1-IF(AND(ArtifactsInput!$M$27,Inputs!$B$4="Chapter Hunt"),CHOOSE(ArtifactsInput!$N$27+1,20,24,28,32,36,40),0)/100)),0)</f>
        <v/>
      </c>
      <c r="R1211">
        <f>IF(AND(Inputs!$B$38&lt;&gt;"pvp",Inputs!$B$43&gt;0),IF(MAX(0,Inputs!$B$43-B1235)&lt;=0,0,(INT(MAX(0,Inputs!$B$43-B1235)/(IF(Inputs!$B$38="pvp",15,MAX(0.1,Skills!D9-IF(Skills!E9=TRUE,Inputs!$B$32,0)))*(1-IF(AND(ArtifactsInput!$M$27,Inputs!$B$4="Chapter Hunt"),CHOOSE(ArtifactsInput!$N$27+1,20,24,28,32,36,40),0)/100)))+1)),0)</f>
        <v/>
      </c>
      <c r="S1211">
        <f>IFERROR(O1211/N1211,0)</f>
        <v/>
      </c>
      <c r="T1211">
        <f>IF(C1211,(H1211*N1211*IF(AND(Inputs!$B$38&lt;&gt;"pvp",Inputs!$B$43&gt;0),((Skills!G9*((R1211-1)*IF(Skills!H9&gt;0,Skills!I9/Skills!H9,1)+IF(Skills!H9&gt;0,MIN(Skills!I9,MAX(0,MAX(0,Inputs!$B$43-B1235)-((R1211-1)*(IF(Inputs!$B$38="pvp",15,MAX(0.1,Skills!D9-IF(Skills!E9=TRUE,Inputs!$B$32,0)))*(1-IF(AND(ArtifactsInput!$M$27,Inputs!$B$4="Chapter Hunt"),CHOOSE(ArtifactsInput!$N$27+1,20,24,28,32,36,40),0)/100)))))/Skills!H9,1)))/Inputs!$B$43),G1211*Q1211)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1">
        <f>IF(C1211,(H1211*N1211*IF(AND(Inputs!$B$38&lt;&gt;"pvp",Inputs!$B$43&gt;0),((Skills!G9*((R1211-1)*IF(Skills!H9&gt;0,Skills!I9/Skills!H9,1)+IF(Skills!H9&gt;0,MIN(Skills!I9,MAX(0,MAX(0,Inputs!$B$43-B1235)-((R1211-1)*(IF(Inputs!$B$38="pvp",15,MAX(0.1,Skills!D9-IF(Skills!E9=TRUE,Inputs!$B$32,0)))*(1-IF(AND(ArtifactsInput!$M$27,Inputs!$B$4="Chapter Hunt"),CHOOSE(ArtifactsInput!$N$27+1,20,24,28,32,36,40),0)/100)))))/Skills!H9,1)))/Inputs!$B$43),G1211*Q1211))*IF(Inputs!$B$38="pvp",1,(1+(Inputs!$B$21+Skills!Q9+(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2">
      <c r="A1212">
        <f>Skills!A10</f>
        <v/>
      </c>
      <c r="B1212">
        <f>Skills!B10</f>
        <v/>
      </c>
      <c r="C1212">
        <f>Inputs!$B$3&gt;=103</f>
        <v/>
      </c>
      <c r="D1212">
        <f>IF(Skills!C10=1,60+Inputs!$B$25+Inputs!$B$29,IF(Skills!C10=2,90+Inputs!$B$26+Inputs!$B$29,IF(Skills!C10=3,120+Inputs!$B$27+Inputs!$B$29,MAX(0,(Inputs!$B$3-100)*3)+Inputs!$B$28+Inputs!$B$29)))</f>
        <v/>
      </c>
      <c r="E1212">
        <f>INDEX(FactorTable!$B$2:$Y$301, MATCH(ROUND(MIN(300,MAX(1,D1212)),0), FactorTable!$A$2:$A$301,0), Skills!M10+1)</f>
        <v/>
      </c>
      <c r="F1212">
        <f>IF(Skills!N10=TRUE,(Skills!L10/10)*(E1212/1000),Skills!L10/10)+Skills!O10</f>
        <v/>
      </c>
      <c r="G1212">
        <f>Skills!G10*IF(Skills!H10&gt;0,Skills!I10/Skills!H10,1)</f>
        <v/>
      </c>
      <c r="H1212">
        <f>1-(1-Skills!J10/100)^Skills!K10</f>
        <v/>
      </c>
      <c r="I1212" t="inlineStr">
        <is>
          <t>1</t>
        </is>
      </c>
      <c r="J1212">
        <f>((Inputs!$B$6*(1+Inputs!$B$7/100))+(((Inputs!$B$12*(1+Inputs!$B$13/100))-(Inputs!$B$12*(1+Inputs!$B$13/100)))+0.25*(Inputs!$B$14-Inputs!$B$14))*(1+Inputs!$B$7/100))*(F1212/100)</f>
        <v/>
      </c>
      <c r="K1212">
        <f>J1212*(1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1212)</f>
        <v/>
      </c>
      <c r="L1212">
        <f>K1212*(MIN(Inputs!$B$22+((C1222=TRUE)*(F1222-Calc!F20)),(Inputs!$B$23+0+(IF(ArtifactsInput!$M$15,CHOOSE(ArtifactsInput!$N$15+1,25,30,35,40,45,50)/100*(Inputs!$B$11-Inputs!$B$11),0))))/100+(Inputs!$B$23+0+(IF(ArtifactsInput!$M$15,CHOOSE(ArtifactsInput!$N$15+1,25,30,35,40,45,50)/100*(Inputs!$B$11-Inputs!$B$11),0)))/100)/2</f>
        <v/>
      </c>
      <c r="M1212">
        <f>L1212*(1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2">
        <f>L1212*(1-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1212*(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2">
        <f>(1-Summary!$B$11)*T1212+Summary!$B$11*V1212</f>
        <v/>
      </c>
      <c r="P1212">
        <f>IF(B1238=0,0,O1212/B1238)</f>
        <v/>
      </c>
      <c r="Q1212">
        <f>IFERROR(1/(IF(Inputs!$B$38="pvp",15,MAX(0.1,Skills!D10-IF(Skills!E10=TRUE,Inputs!$B$32,0)))*(1-IF(AND(ArtifactsInput!$M$27,Inputs!$B$4="Chapter Hunt"),CHOOSE(ArtifactsInput!$N$27+1,20,24,28,32,36,40),0)/100)),0)</f>
        <v/>
      </c>
      <c r="R1212">
        <f>IF(AND(Inputs!$B$38&lt;&gt;"pvp",Inputs!$B$43&gt;0),IF(MAX(0,Inputs!$B$43-B1235)&lt;=0,0,(INT(MAX(0,Inputs!$B$43-B1235)/(IF(Inputs!$B$38="pvp",15,MAX(0.1,Skills!D10-IF(Skills!E10=TRUE,Inputs!$B$32,0)))*(1-IF(AND(ArtifactsInput!$M$27,Inputs!$B$4="Chapter Hunt"),CHOOSE(ArtifactsInput!$N$27+1,20,24,28,32,36,40),0)/100)))+1)),0)</f>
        <v/>
      </c>
      <c r="S1212">
        <f>IFERROR(O1212/N1212,0)</f>
        <v/>
      </c>
      <c r="T1212">
        <f>IF(C1212,(H1212*N1212*IF(AND(Inputs!$B$38&lt;&gt;"pvp",Inputs!$B$43&gt;0),((Skills!G10*((R1212-1)*IF(Skills!H10&gt;0,Skills!I10/Skills!H10,1)+IF(Skills!H10&gt;0,MIN(Skills!I10,MAX(0,MAX(0,Inputs!$B$43-B1235)-((R1212-1)*(IF(Inputs!$B$38="pvp",15,MAX(0.1,Skills!D10-IF(Skills!E10=TRUE,Inputs!$B$32,0)))*(1-IF(AND(ArtifactsInput!$M$27,Inputs!$B$4="Chapter Hunt"),CHOOSE(ArtifactsInput!$N$27+1,20,24,28,32,36,40),0)/100)))))/Skills!H10,1)))/Inputs!$B$43),G1212*Q1212)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1212*(1-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1212*(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1212*(1-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1212*(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2">
        <f>IF(C1212,(H1212*N1212*IF(AND(Inputs!$B$38&lt;&gt;"pvp",Inputs!$B$43&gt;0),((Skills!G10*((R1212-1)*IF(Skills!H10&gt;0,Skills!I10/Skills!H10,1)+IF(Skills!H10&gt;0,MIN(Skills!I10,MAX(0,MAX(0,Inputs!$B$43-B1235)-((R1212-1)*(IF(Inputs!$B$38="pvp",15,MAX(0.1,Skills!D10-IF(Skills!E10=TRUE,Inputs!$B$32,0)))*(1-IF(AND(ArtifactsInput!$M$27,Inputs!$B$4="Chapter Hunt"),CHOOSE(ArtifactsInput!$N$27+1,20,24,28,32,36,40),0)/100)))))/Skills!H10,1)))/Inputs!$B$43),G1212*Q1212))*IF(Inputs!$B$38="pvp",1,(1+(Inputs!$B$21+Skills!Q10+(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3">
      <c r="A1213">
        <f>Skills!A11</f>
        <v/>
      </c>
      <c r="B1213">
        <f>Skills!B11</f>
        <v/>
      </c>
      <c r="C1213">
        <f>Inputs!$B$3&gt;=113</f>
        <v/>
      </c>
      <c r="D1213">
        <f>IF(Skills!C11=1,60+Inputs!$B$25+Inputs!$B$29,IF(Skills!C11=2,90+Inputs!$B$26+Inputs!$B$29,IF(Skills!C11=3,120+Inputs!$B$27+Inputs!$B$29,MAX(0,(Inputs!$B$3-100)*3)+Inputs!$B$28+Inputs!$B$29)))</f>
        <v/>
      </c>
      <c r="E1213">
        <f>INDEX(FactorTable!$B$2:$Y$301, MATCH(ROUND(MIN(300,MAX(1,D1213)),0), FactorTable!$A$2:$A$301,0), Skills!M11+1)</f>
        <v/>
      </c>
      <c r="F1213">
        <f>IF(Skills!N11=TRUE,(Skills!L11/10)*(E1213/1000),Skills!L11/10)+Skills!O11</f>
        <v/>
      </c>
      <c r="G1213">
        <f>Skills!G11*IF(Skills!H11&gt;0,Skills!I11/Skills!H11,1)</f>
        <v/>
      </c>
      <c r="H1213">
        <f>1-(1-Skills!J11/100)^Skills!K11</f>
        <v/>
      </c>
      <c r="I1213" t="inlineStr">
        <is>
          <t>1</t>
        </is>
      </c>
      <c r="J1213">
        <f>((Inputs!$B$6*(1+Inputs!$B$7/100))+(((Inputs!$B$12*(1+Inputs!$B$13/100))-(Inputs!$B$12*(1+Inputs!$B$13/100)))+0.25*(Inputs!$B$14-Inputs!$B$14))*(1+Inputs!$B$7/100))*(F1213/100)</f>
        <v/>
      </c>
      <c r="K1213">
        <f>J1213*(1+((Inputs!$B$12*(1+Inputs!$B$13/100))*0.01+Inputs!$B$14*0.0025)/100)*(1+Inputs!$B$15/100)*(1+Inputs!$B$16/100)*(5000/(6000+Inputs!$B$42*(1-(100*(1-(1-(Inputs!$B$19+0)/100)*(1-CHOOSE(ArtifactsInput!$N$40+1,5,6,7,8,9,10)/100)^(ArtifactsInput!$M$40-ArtifactsInput!$M$40)))/100)))*(1+(Inputs!$B$24+((C1224=TRUE)*(F1224-Calc!F22))+B1234)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1223=TRUE)*(F1223-Calc!F21))+(((IF(AND(ArtifactsInput!$M$42,((Inputs!$B$9+((C1218=TRUE)*(F1218-Calc!F16))+B1228+(ArtifactsInput!$M$24-ArtifactsInput!$M$24)*CHOOSE(ArtifactsInput!$N$24+1,10,12,14,16,18,20)+IF(ArtifactsInput!$M$10,CHOOSE(ArtifactsInput!$N$10+1,15,18,21,24,27,30)*(IF(Inputs!$B$38="pvp",MIN(15,15)/15,IF(AND(Inputs!$B$38&lt;&gt;"pvp",Inputs!$B$43&gt;0),MIN(15,Inputs!$B$43)/(Inputs!$B$43),0))),0)))&gt;=100),MIN(100,((Inputs!$B$9+((C1218=TRUE)*(F1218-Calc!F16))+B1228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1218=TRUE)*(F1218-Calc!F16))+B1228+(ArtifactsInput!$M$24-ArtifactsInput!$M$24)*CHOOSE(ArtifactsInput!$N$24+1,10,12,14,16,18,20)+IF(ArtifactsInput!$M$10,CHOOSE(ArtifactsInput!$N$10+1,15,18,21,24,27,30)*(IF(Inputs!$B$38="pvp",MIN(15,15)/15,IF(AND(Inputs!$B$38&lt;&gt;"pvp",Inputs!$B$43&gt;0),MIN(15,Inputs!$B$43)/(Inputs!$B$43),0))),0)))&gt;=100),CHOOSE(ArtifactsInput!$N$42+1,40,48,56,64,72,80),0))))/100)*((1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1213)</f>
        <v/>
      </c>
      <c r="L1213">
        <f>K1213*(MIN(Inputs!$B$22+((C1222=TRUE)*(F1222-Calc!F20)),(Inputs!$B$23+0+(IF(ArtifactsInput!$M$15,CHOOSE(ArtifactsInput!$N$15+1,25,30,35,40,45,50)/100*(Inputs!$B$11-Inputs!$B$11),0))))/100+(Inputs!$B$23+0+(IF(ArtifactsInput!$M$15,CHOOSE(ArtifactsInput!$N$15+1,25,30,35,40,45,50)/100*(Inputs!$B$11-Inputs!$B$11),0)))/100)/2</f>
        <v/>
      </c>
      <c r="M1213">
        <f>L1213*(1+(Inputs!$B$10+0+B1233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13">
        <f>L1213*(1-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1213*(MIN((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13">
        <f>(1-Summary!$B$11)*T1213+Summary!$B$11*V1213</f>
        <v/>
      </c>
      <c r="P1213">
        <f>IF(B1238=0,0,O1213/B1238)</f>
        <v/>
      </c>
      <c r="Q1213">
        <f>IFERROR(1/(IF(Inputs!$B$38="pvp",15,MAX(0.1,Skills!D11-IF(Skills!E11=TRUE,Inputs!$B$32,0)))*(1-IF(AND(ArtifactsInput!$M$27,Inputs!$B$4="Chapter Hunt"),CHOOSE(ArtifactsInput!$N$27+1,20,24,28,32,36,40),0)/100)),0)</f>
        <v/>
      </c>
      <c r="R1213">
        <f>IF(AND(Inputs!$B$38&lt;&gt;"pvp",Inputs!$B$43&gt;0),IF(MAX(0,Inputs!$B$43-B1235)&lt;=0,0,(INT(MAX(0,Inputs!$B$43-B1235)/(IF(Inputs!$B$38="pvp",15,MAX(0.1,Skills!D11-IF(Skills!E11=TRUE,Inputs!$B$32,0)))*(1-IF(AND(ArtifactsInput!$M$27,Inputs!$B$4="Chapter Hunt"),CHOOSE(ArtifactsInput!$N$27+1,20,24,28,32,36,40),0)/100)))+1)),0)</f>
        <v/>
      </c>
      <c r="S1213">
        <f>IFERROR(O1213/N1213,0)</f>
        <v/>
      </c>
      <c r="T1213">
        <f>IF(C1213,(H1213*N1213*IF(AND(Inputs!$B$38&lt;&gt;"pvp",Inputs!$B$43&gt;0),((Skills!G11*((R1213-1)*IF(Skills!H11&gt;0,Skills!I11/Skills!H11,1)+IF(Skills!H11&gt;0,MIN(Skills!I11,MAX(0,MAX(0,Inputs!$B$43-B1235)-((R1213-1)*(IF(Inputs!$B$38="pvp",15,MAX(0.1,Skills!D11-IF(Skills!E11=TRUE,Inputs!$B$32,0)))*(1-IF(AND(ArtifactsInput!$M$27,Inputs!$B$4="Chapter Hunt"),CHOOSE(ArtifactsInput!$N$27+1,20,24,28,32,36,40),0)/100)))))/Skills!H11,1)))/Inputs!$B$43),G1213*Q1213)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1213*(1-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1213*(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1213*(1-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1213*(MIN(100,(Inputs!$B$9+((C1218=TRUE)*(F1218-Calc!F16))+B1228+(ArtifactsInput!$M$24-ArtifactsInput!$M$24)*CHOOSE(ArtifactsInput!$N$24+1,10,12,14,16,18,20)+(IF(AND(ArtifactsInput!$M$42,((Inputs!$B$9+((C1218=TRUE)*(F1218-Calc!F16))+B1228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13">
        <f>IF(C1213,(H1213*N1213*IF(AND(Inputs!$B$38&lt;&gt;"pvp",Inputs!$B$43&gt;0),((Skills!G11*((R1213-1)*IF(Skills!H11&gt;0,Skills!I11/Skills!H11,1)+IF(Skills!H11&gt;0,MIN(Skills!I11,MAX(0,MAX(0,Inputs!$B$43-B1235)-((R1213-1)*(IF(Inputs!$B$38="pvp",15,MAX(0.1,Skills!D11-IF(Skills!E11=TRUE,Inputs!$B$32,0)))*(1-IF(AND(ArtifactsInput!$M$27,Inputs!$B$4="Chapter Hunt"),CHOOSE(ArtifactsInput!$N$27+1,20,24,28,32,36,40),0)/100)))))/Skills!H11,1)))/Inputs!$B$43),G1213*Q1213))*IF(Inputs!$B$38="pvp",1,(1+(Inputs!$B$21+Skills!Q11+(IF(ArtifactsInput!$M$33,CHOOSE(ArtifactsInput!$N$33+1,30,36,42,48,54,60),0))+(IF(AND(ArtifactsInput!$M$35,Inputs!$B$4&lt;&gt;"Chapter Hunt"),CHOOSE(ArtifactsInput!$N$35+1,15,18,21,24,27,30)*(1-EXP(-(0.2*B1230)*5)),0)+IF(AND(ArtifactsInput!$M$22,Inputs!$B$4&lt;&gt;"Chapter Hunt"),CHOOSE(ArtifactsInput!$N$22+1,10,12,14,16,18,20)*((0*(((0.15*B1230*5))^0/1)+1*(((0.15*B1230*5))^1/1)+2*(((0.15*B1230*5))^2/2)+3*(((0.15*B1230*5))^3/6)+4*(((0.15*B1230*5))^4/24)+5*(((0.15*B1230*5))^5/120))/((((0.15*B1230*5))^0/1)+(((0.15*B1230*5))^1/1)+(((0.15*B1230*5))^2/2)+(((0.15*B1230*5))^3/6)+(((0.15*B1230*5))^4/24)+(((0.15*B1230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4">
      <c r="A1214">
        <f>Skills!A12</f>
        <v/>
      </c>
      <c r="B1214">
        <f>Skills!B12</f>
        <v/>
      </c>
      <c r="C1214">
        <f>Inputs!$B$3&gt;=100</f>
        <v/>
      </c>
      <c r="D1214">
        <f>IF(Skills!C12=1,60+Inputs!$B$25+Inputs!$B$29,IF(Skills!C12=2,90+Inputs!$B$26+Inputs!$B$29,IF(Skills!C12=3,120+Inputs!$B$27+Inputs!$B$29,MAX(0,(Inputs!$B$3-100)*3)+Inputs!$B$28+Inputs!$B$29)))</f>
        <v/>
      </c>
      <c r="E1214">
        <f>INDEX(FactorTable!$B$2:$Y$301, MATCH(ROUND(MIN(300,MAX(1,D1214)),0), FactorTable!$A$2:$A$301,0), Skills!M12+1)</f>
        <v/>
      </c>
      <c r="F1214">
        <f>IF(Skills!N12=TRUE,(Skills!L12/10)*(E1214/1000),Skills!L12/10)+Skills!O12</f>
        <v/>
      </c>
      <c r="G1214" t="inlineStr"/>
      <c r="H1214" t="inlineStr"/>
      <c r="I1214" t="inlineStr">
        <is>
          <t>1</t>
        </is>
      </c>
      <c r="J1214" t="inlineStr"/>
      <c r="K1214" t="inlineStr"/>
      <c r="L1214" t="inlineStr"/>
      <c r="M1214" t="inlineStr"/>
      <c r="N1214" t="inlineStr"/>
      <c r="O1214" t="inlineStr"/>
      <c r="P1214" t="inlineStr"/>
      <c r="Q1214" t="inlineStr"/>
      <c r="R1214" t="inlineStr"/>
      <c r="S1214" t="inlineStr"/>
      <c r="T1214" t="inlineStr"/>
      <c r="V1214" t="inlineStr"/>
    </row>
    <row r="1215">
      <c r="A1215">
        <f>Skills!A13</f>
        <v/>
      </c>
      <c r="B1215">
        <f>Skills!B13</f>
        <v/>
      </c>
      <c r="C1215">
        <f>Inputs!$B$3&gt;=66</f>
        <v/>
      </c>
      <c r="D1215">
        <f>IF(Skills!C13=1,60+Inputs!$B$25+Inputs!$B$29,IF(Skills!C13=2,90+Inputs!$B$26+Inputs!$B$29,IF(Skills!C13=3,120+Inputs!$B$27+Inputs!$B$29,MAX(0,(Inputs!$B$3-100)*3)+Inputs!$B$28+Inputs!$B$29)))</f>
        <v/>
      </c>
      <c r="E1215">
        <f>INDEX(FactorTable!$B$2:$Y$301, MATCH(ROUND(MIN(300,MAX(1,D1215)),0), FactorTable!$A$2:$A$301,0), Skills!M13+1)</f>
        <v/>
      </c>
      <c r="F1215">
        <f>IF(Skills!N13=TRUE,(Skills!L13/10)*(E1215/1000),Skills!L13/10)+Skills!O13</f>
        <v/>
      </c>
      <c r="G1215">
        <f>Skills!G13*IF(Skills!H13&gt;0,Skills!I13/Skills!H13,1)</f>
        <v/>
      </c>
      <c r="H1215">
        <f>1-(1-Skills!J13/100)^Skills!K13</f>
        <v/>
      </c>
      <c r="I1215" t="inlineStr">
        <is>
          <t>1</t>
        </is>
      </c>
      <c r="J1215" t="inlineStr"/>
      <c r="K1215" t="inlineStr"/>
      <c r="L1215" t="inlineStr"/>
      <c r="M1215" t="inlineStr"/>
      <c r="N1215" t="inlineStr"/>
      <c r="O1215">
        <f>(1-Summary!$B$11)*T1215+Summary!$B$11*V1215</f>
        <v/>
      </c>
      <c r="P1215">
        <f>IF(B1238=0,0,O1215/B1238)</f>
        <v/>
      </c>
      <c r="Q1215" t="n">
        <v>0</v>
      </c>
      <c r="R1215" t="n">
        <v>0</v>
      </c>
      <c r="S1215">
        <f>IFERROR(O1215/N1215,0)</f>
        <v/>
      </c>
      <c r="T1215" t="n">
        <v>0</v>
      </c>
      <c r="V1215" t="n">
        <v>0</v>
      </c>
    </row>
    <row r="1216">
      <c r="A1216">
        <f>Skills!A14</f>
        <v/>
      </c>
      <c r="B1216">
        <f>Skills!B14</f>
        <v/>
      </c>
      <c r="C1216">
        <f>Inputs!$B$3&gt;=107</f>
        <v/>
      </c>
      <c r="D1216">
        <f>IF(Skills!C14=1,60+Inputs!$B$25+Inputs!$B$29,IF(Skills!C14=2,90+Inputs!$B$26+Inputs!$B$29,IF(Skills!C14=3,120+Inputs!$B$27+Inputs!$B$29,MAX(0,(Inputs!$B$3-100)*3)+Inputs!$B$28+Inputs!$B$29)))</f>
        <v/>
      </c>
      <c r="E1216">
        <f>INDEX(FactorTable!$B$2:$Y$301, MATCH(ROUND(MIN(300,MAX(1,D1216)),0), FactorTable!$A$2:$A$301,0), Skills!M14+1)</f>
        <v/>
      </c>
      <c r="F1216">
        <f>IF(Skills!N14=TRUE,(Skills!L14/10)*(E1216/1000),Skills!L14/10)+Skills!O14</f>
        <v/>
      </c>
      <c r="G1216">
        <f>Skills!G14*IF(Skills!H14&gt;0,Skills!I14/Skills!H14,1)</f>
        <v/>
      </c>
      <c r="H1216">
        <f>1-(1-Skills!J14/100)^Skills!K14</f>
        <v/>
      </c>
      <c r="I1216" t="inlineStr">
        <is>
          <t>1</t>
        </is>
      </c>
      <c r="J1216" t="inlineStr"/>
      <c r="K1216" t="inlineStr"/>
      <c r="L1216" t="inlineStr"/>
      <c r="M1216" t="inlineStr"/>
      <c r="N1216" t="inlineStr"/>
      <c r="O1216">
        <f>(1-Summary!$B$11)*T1216+Summary!$B$11*V1216</f>
        <v/>
      </c>
      <c r="P1216">
        <f>IF(B1238=0,0,O1216/B1238)</f>
        <v/>
      </c>
      <c r="Q1216">
        <f>IFERROR(1/(IF(Inputs!$B$38="pvp",15,MAX(0.1,Skills!D14-IF(Skills!E14=TRUE,Inputs!$B$32,0)))*(1-IF(AND(ArtifactsInput!$M$27,Inputs!$B$4="Chapter Hunt"),CHOOSE(ArtifactsInput!$N$27+1,20,24,28,32,36,40),0)/100)),0)</f>
        <v/>
      </c>
      <c r="R1216">
        <f>IF(AND(Inputs!$B$38&lt;&gt;"pvp",Inputs!$B$43&gt;0),IF(Inputs!$B$43&lt;=0,0,(INT(Inputs!$B$43/(IF(Inputs!$B$38="pvp",15,MAX(0.1,Skills!D14-IF(Skills!E14=TRUE,Inputs!$B$32,0)))*(1-IF(AND(ArtifactsInput!$M$27,Inputs!$B$4="Chapter Hunt"),CHOOSE(ArtifactsInput!$N$27+1,20,24,28,32,36,40),0)/100)))+1)),0)</f>
        <v/>
      </c>
      <c r="S1216">
        <f>IFERROR(O1216/N1216,0)</f>
        <v/>
      </c>
      <c r="T1216" t="n">
        <v>0</v>
      </c>
      <c r="V1216" t="n">
        <v>0</v>
      </c>
    </row>
    <row r="1217">
      <c r="A1217">
        <f>Skills!A15</f>
        <v/>
      </c>
      <c r="B1217">
        <f>Skills!B15</f>
        <v/>
      </c>
      <c r="C1217">
        <f>Inputs!$B$3&gt;=115</f>
        <v/>
      </c>
      <c r="D1217">
        <f>IF(Skills!C15=1,60+Inputs!$B$25+Inputs!$B$29,IF(Skills!C15=2,90+Inputs!$B$26+Inputs!$B$29,IF(Skills!C15=3,120+Inputs!$B$27+Inputs!$B$29,MAX(0,(Inputs!$B$3-100)*3)+Inputs!$B$28+Inputs!$B$29)))</f>
        <v/>
      </c>
      <c r="E1217">
        <f>INDEX(FactorTable!$B$2:$Y$301, MATCH(ROUND(MIN(300,MAX(1,D1217)),0), FactorTable!$A$2:$A$301,0), Skills!M15+1)</f>
        <v/>
      </c>
      <c r="F1217">
        <f>IF(Skills!N15=TRUE,(Skills!L15/10)*(E1217/1000),Skills!L15/10)+Skills!O15</f>
        <v/>
      </c>
      <c r="G1217">
        <f>Skills!G15*IF(Skills!H15&gt;0,Skills!I15/Skills!H15,1)</f>
        <v/>
      </c>
      <c r="H1217">
        <f>1-(1-Skills!J15/100)^Skills!K15</f>
        <v/>
      </c>
      <c r="I1217" t="inlineStr">
        <is>
          <t>1</t>
        </is>
      </c>
      <c r="J1217" t="inlineStr"/>
      <c r="K1217" t="inlineStr"/>
      <c r="L1217" t="inlineStr"/>
      <c r="M1217" t="inlineStr"/>
      <c r="N1217" t="inlineStr"/>
      <c r="O1217">
        <f>(1-Summary!$B$11)*T1217+Summary!$B$11*V1217</f>
        <v/>
      </c>
      <c r="P1217">
        <f>IF(B1238=0,0,O1217/B1238)</f>
        <v/>
      </c>
      <c r="Q1217">
        <f>IFERROR(1/(IF(Inputs!$B$38="pvp",15,MAX(0.1,Skills!D15-IF(Skills!E15=TRUE,Inputs!$B$32,0)))*(1-IF(AND(ArtifactsInput!$M$27,Inputs!$B$4="Chapter Hunt"),CHOOSE(ArtifactsInput!$N$27+1,20,24,28,32,36,40),0)/100)),0)</f>
        <v/>
      </c>
      <c r="R1217">
        <f>IF(AND(Inputs!$B$38&lt;&gt;"pvp",Inputs!$B$43&gt;0),IF(Inputs!$B$43&lt;=0,0,(INT(Inputs!$B$43/(IF(Inputs!$B$38="pvp",15,MAX(0.1,Skills!D15-IF(Skills!E15=TRUE,Inputs!$B$32,0)))*(1-IF(AND(ArtifactsInput!$M$27,Inputs!$B$4="Chapter Hunt"),CHOOSE(ArtifactsInput!$N$27+1,20,24,28,32,36,40),0)/100)))+1)),0)</f>
        <v/>
      </c>
      <c r="S1217">
        <f>IFERROR(O1217/N1217,0)</f>
        <v/>
      </c>
      <c r="T1217" t="n">
        <v>0</v>
      </c>
      <c r="V1217" t="n">
        <v>0</v>
      </c>
    </row>
    <row r="1218">
      <c r="A1218">
        <f>Skills!A16</f>
        <v/>
      </c>
      <c r="B1218">
        <f>Skills!B16</f>
        <v/>
      </c>
      <c r="C1218">
        <f>Inputs!$B$3&gt;=15</f>
        <v/>
      </c>
      <c r="D1218">
        <f>IF(Skills!C16=1,60+Inputs!$B$25+Inputs!$B$29,IF(Skills!C16=2,90+Inputs!$B$26+Inputs!$B$29,IF(Skills!C16=3,120+Inputs!$B$27+Inputs!$B$29,MAX(0,(Inputs!$B$3-100)*3)+Inputs!$B$28+Inputs!$B$29)))</f>
        <v/>
      </c>
      <c r="E1218">
        <f>INDEX(FactorTable!$B$2:$Y$301, MATCH(ROUND(MIN(300,MAX(1,D1218)),0), FactorTable!$A$2:$A$301,0), Skills!M16+1)</f>
        <v/>
      </c>
      <c r="F1218">
        <f>IF(Skills!N16=TRUE,(Skills!L16/10)*(E1218/1000),Skills!L16/10)+Skills!O16</f>
        <v/>
      </c>
      <c r="G1218">
        <f>Skills!G16*IF(Skills!H16&gt;0,Skills!I16/Skills!H16,1)</f>
        <v/>
      </c>
      <c r="H1218">
        <f>1-(1-Skills!J16/100)^Skills!K16</f>
        <v/>
      </c>
      <c r="I1218" t="inlineStr">
        <is>
          <t>1</t>
        </is>
      </c>
      <c r="J1218" t="inlineStr"/>
      <c r="K1218" t="inlineStr"/>
      <c r="L1218" t="inlineStr"/>
      <c r="M1218" t="inlineStr"/>
      <c r="N1218" t="inlineStr"/>
      <c r="O1218">
        <f>(1-Summary!$B$11)*T1218+Summary!$B$11*V1218</f>
        <v/>
      </c>
      <c r="P1218">
        <f>IF(B1238=0,0,O1218/B1238)</f>
        <v/>
      </c>
      <c r="Q1218" t="n">
        <v>0</v>
      </c>
      <c r="R1218" t="n">
        <v>0</v>
      </c>
      <c r="S1218">
        <f>IFERROR(O1218/N1218,0)</f>
        <v/>
      </c>
      <c r="T1218" t="n">
        <v>0</v>
      </c>
      <c r="V1218" t="n">
        <v>0</v>
      </c>
    </row>
    <row r="1219">
      <c r="A1219">
        <f>Skills!A17</f>
        <v/>
      </c>
      <c r="B1219">
        <f>Skills!B17</f>
        <v/>
      </c>
      <c r="C1219">
        <f>Inputs!$B$3&gt;=10</f>
        <v/>
      </c>
      <c r="D1219">
        <f>IF(Skills!C17=1,60+Inputs!$B$25+Inputs!$B$29,IF(Skills!C17=2,90+Inputs!$B$26+Inputs!$B$29,IF(Skills!C17=3,120+Inputs!$B$27+Inputs!$B$29,MAX(0,(Inputs!$B$3-100)*3)+Inputs!$B$28+Inputs!$B$29)))</f>
        <v/>
      </c>
      <c r="E1219">
        <f>INDEX(FactorTable!$B$2:$Y$301, MATCH(ROUND(MIN(300,MAX(1,D1219)),0), FactorTable!$A$2:$A$301,0), Skills!M17+1)</f>
        <v/>
      </c>
      <c r="F1219">
        <f>IF(Skills!N17=TRUE,(Skills!L17/10)*(E1219/1000),Skills!L17/10)+Skills!O17</f>
        <v/>
      </c>
      <c r="G1219">
        <f>Skills!G17*IF(Skills!H17&gt;0,Skills!I17/Skills!H17,1)</f>
        <v/>
      </c>
      <c r="H1219">
        <f>1-(1-Skills!J17/100)^Skills!K17</f>
        <v/>
      </c>
      <c r="I1219" t="inlineStr">
        <is>
          <t>1</t>
        </is>
      </c>
      <c r="J1219" t="inlineStr"/>
      <c r="K1219" t="inlineStr"/>
      <c r="L1219" t="inlineStr"/>
      <c r="M1219" t="inlineStr"/>
      <c r="N1219" t="inlineStr"/>
      <c r="O1219">
        <f>(1-Summary!$B$11)*T1219+Summary!$B$11*V1219</f>
        <v/>
      </c>
      <c r="P1219">
        <f>IF(B1238=0,0,O1219/B1238)</f>
        <v/>
      </c>
      <c r="Q1219" t="n">
        <v>0</v>
      </c>
      <c r="R1219" t="n">
        <v>0</v>
      </c>
      <c r="S1219">
        <f>IFERROR(O1219/N1219,0)</f>
        <v/>
      </c>
      <c r="T1219" t="n">
        <v>0</v>
      </c>
      <c r="V1219" t="n">
        <v>0</v>
      </c>
    </row>
    <row r="1220">
      <c r="A1220">
        <f>Skills!A18</f>
        <v/>
      </c>
      <c r="B1220">
        <f>Skills!B18</f>
        <v/>
      </c>
      <c r="C1220">
        <f>Inputs!$B$3&gt;=33</f>
        <v/>
      </c>
      <c r="D1220">
        <f>IF(Skills!C18=1,60+Inputs!$B$25+Inputs!$B$29,IF(Skills!C18=2,90+Inputs!$B$26+Inputs!$B$29,IF(Skills!C18=3,120+Inputs!$B$27+Inputs!$B$29,MAX(0,(Inputs!$B$3-100)*3)+Inputs!$B$28+Inputs!$B$29)))</f>
        <v/>
      </c>
      <c r="E1220">
        <f>INDEX(FactorTable!$B$2:$Y$301, MATCH(ROUND(MIN(300,MAX(1,D1220)),0), FactorTable!$A$2:$A$301,0), Skills!M18+1)</f>
        <v/>
      </c>
      <c r="F1220">
        <f>IF(Skills!N18=TRUE,(Skills!L18/10)*(E1220/1000),Skills!L18/10)+Skills!O18</f>
        <v/>
      </c>
      <c r="G1220">
        <f>Skills!G18*IF(Skills!H18&gt;0,Skills!I18/Skills!H18,1)</f>
        <v/>
      </c>
      <c r="H1220">
        <f>1-(1-Skills!J18/100)^Skills!K18</f>
        <v/>
      </c>
      <c r="I1220" t="inlineStr">
        <is>
          <t>1</t>
        </is>
      </c>
      <c r="J1220" t="inlineStr"/>
      <c r="K1220" t="inlineStr"/>
      <c r="L1220" t="inlineStr"/>
      <c r="M1220" t="inlineStr"/>
      <c r="N1220" t="inlineStr"/>
      <c r="O1220">
        <f>(1-Summary!$B$11)*T1220+Summary!$B$11*V1220</f>
        <v/>
      </c>
      <c r="P1220">
        <f>IF(B1238=0,0,O1220/B1238)</f>
        <v/>
      </c>
      <c r="Q1220" t="n">
        <v>0</v>
      </c>
      <c r="R1220" t="n">
        <v>0</v>
      </c>
      <c r="S1220">
        <f>IFERROR(O1220/N1220,0)</f>
        <v/>
      </c>
      <c r="T1220" t="n">
        <v>0</v>
      </c>
      <c r="V1220" t="n">
        <v>0</v>
      </c>
    </row>
    <row r="1221">
      <c r="A1221">
        <f>Skills!A19</f>
        <v/>
      </c>
      <c r="B1221">
        <f>Skills!B19</f>
        <v/>
      </c>
      <c r="C1221">
        <f>Inputs!$B$3&gt;=40</f>
        <v/>
      </c>
      <c r="D1221">
        <f>IF(Skills!C19=1,60+Inputs!$B$25+Inputs!$B$29,IF(Skills!C19=2,90+Inputs!$B$26+Inputs!$B$29,IF(Skills!C19=3,120+Inputs!$B$27+Inputs!$B$29,MAX(0,(Inputs!$B$3-100)*3)+Inputs!$B$28+Inputs!$B$29)))</f>
        <v/>
      </c>
      <c r="E1221">
        <f>INDEX(FactorTable!$B$2:$Y$301, MATCH(ROUND(MIN(300,MAX(1,D1221)),0), FactorTable!$A$2:$A$301,0), Skills!M19+1)</f>
        <v/>
      </c>
      <c r="F1221">
        <f>IF(Skills!N19=TRUE,(Skills!L19/10)*(E1221/1000),Skills!L19/10)+Skills!O19</f>
        <v/>
      </c>
      <c r="G1221">
        <f>Skills!G19*IF(Skills!H19&gt;0,Skills!I19/Skills!H19,1)</f>
        <v/>
      </c>
      <c r="H1221">
        <f>1-(1-Skills!J19/100)^Skills!K19</f>
        <v/>
      </c>
      <c r="I1221" t="inlineStr">
        <is>
          <t>1</t>
        </is>
      </c>
      <c r="J1221" t="inlineStr"/>
      <c r="K1221" t="inlineStr"/>
      <c r="L1221" t="inlineStr"/>
      <c r="M1221" t="inlineStr"/>
      <c r="N1221" t="inlineStr"/>
      <c r="O1221">
        <f>(1-Summary!$B$11)*T1221+Summary!$B$11*V1221</f>
        <v/>
      </c>
      <c r="P1221">
        <f>IF(B1238=0,0,O1221/B1238)</f>
        <v/>
      </c>
      <c r="Q1221" t="n">
        <v>0</v>
      </c>
      <c r="R1221" t="n">
        <v>0</v>
      </c>
      <c r="S1221">
        <f>IFERROR(O1221/N1221,0)</f>
        <v/>
      </c>
      <c r="T1221" t="n">
        <v>0</v>
      </c>
      <c r="V1221" t="n">
        <v>0</v>
      </c>
    </row>
    <row r="1222">
      <c r="A1222">
        <f>Skills!A20</f>
        <v/>
      </c>
      <c r="B1222">
        <f>Skills!B20</f>
        <v/>
      </c>
      <c r="C1222">
        <f>Inputs!$B$3&gt;=43</f>
        <v/>
      </c>
      <c r="D1222">
        <f>IF(Skills!C20=1,60+Inputs!$B$25+Inputs!$B$29,IF(Skills!C20=2,90+Inputs!$B$26+Inputs!$B$29,IF(Skills!C20=3,120+Inputs!$B$27+Inputs!$B$29,MAX(0,(Inputs!$B$3-100)*3)+Inputs!$B$28+Inputs!$B$29)))</f>
        <v/>
      </c>
      <c r="E1222">
        <f>INDEX(FactorTable!$B$2:$Y$301, MATCH(ROUND(MIN(300,MAX(1,D1222)),0), FactorTable!$A$2:$A$301,0), Skills!M20+1)</f>
        <v/>
      </c>
      <c r="F1222">
        <f>IF(Skills!N20=TRUE,(Skills!L20/10)*(E1222/1000),Skills!L20/10)+Skills!O20</f>
        <v/>
      </c>
      <c r="G1222">
        <f>Skills!G20*IF(Skills!H20&gt;0,Skills!I20/Skills!H20,1)</f>
        <v/>
      </c>
      <c r="H1222">
        <f>1-(1-Skills!J20/100)^Skills!K20</f>
        <v/>
      </c>
      <c r="I1222" t="inlineStr">
        <is>
          <t>1</t>
        </is>
      </c>
      <c r="J1222" t="inlineStr"/>
      <c r="K1222" t="inlineStr"/>
      <c r="L1222" t="inlineStr"/>
      <c r="M1222" t="inlineStr"/>
      <c r="N1222" t="inlineStr"/>
      <c r="O1222">
        <f>(1-Summary!$B$11)*T1222+Summary!$B$11*V1222</f>
        <v/>
      </c>
      <c r="P1222">
        <f>IF(B1238=0,0,O1222/B1238)</f>
        <v/>
      </c>
      <c r="Q1222" t="n">
        <v>0</v>
      </c>
      <c r="R1222" t="n">
        <v>0</v>
      </c>
      <c r="S1222">
        <f>IFERROR(O1222/N1222,0)</f>
        <v/>
      </c>
      <c r="T1222" t="n">
        <v>0</v>
      </c>
      <c r="V1222" t="n">
        <v>0</v>
      </c>
    </row>
    <row r="1223">
      <c r="A1223">
        <f>Skills!A21</f>
        <v/>
      </c>
      <c r="B1223">
        <f>Skills!B21</f>
        <v/>
      </c>
      <c r="C1223">
        <f>Inputs!$B$3&gt;=38</f>
        <v/>
      </c>
      <c r="D1223">
        <f>IF(Skills!C21=1,60+Inputs!$B$25+Inputs!$B$29,IF(Skills!C21=2,90+Inputs!$B$26+Inputs!$B$29,IF(Skills!C21=3,120+Inputs!$B$27+Inputs!$B$29,MAX(0,(Inputs!$B$3-100)*3)+Inputs!$B$28+Inputs!$B$29)))</f>
        <v/>
      </c>
      <c r="E1223">
        <f>INDEX(FactorTable!$B$2:$Y$301, MATCH(ROUND(MIN(300,MAX(1,D1223)),0), FactorTable!$A$2:$A$301,0), Skills!M21+1)</f>
        <v/>
      </c>
      <c r="F1223">
        <f>IF(Skills!N21=TRUE,(Skills!L21/10)*(E1223/1000),Skills!L21/10)+Skills!O21</f>
        <v/>
      </c>
      <c r="G1223">
        <f>Skills!G21*IF(Skills!H21&gt;0,Skills!I21/Skills!H21,1)</f>
        <v/>
      </c>
      <c r="H1223">
        <f>1-(1-Skills!J21/100)^Skills!K21</f>
        <v/>
      </c>
      <c r="I1223" t="inlineStr">
        <is>
          <t>1</t>
        </is>
      </c>
      <c r="J1223" t="inlineStr"/>
      <c r="K1223" t="inlineStr"/>
      <c r="L1223" t="inlineStr"/>
      <c r="M1223" t="inlineStr"/>
      <c r="N1223" t="inlineStr"/>
      <c r="O1223">
        <f>(1-Summary!$B$11)*T1223+Summary!$B$11*V1223</f>
        <v/>
      </c>
      <c r="P1223">
        <f>IF(B1238=0,0,O1223/B1238)</f>
        <v/>
      </c>
      <c r="Q1223" t="n">
        <v>0</v>
      </c>
      <c r="R1223" t="n">
        <v>0</v>
      </c>
      <c r="S1223">
        <f>IFERROR(O1223/N1223,0)</f>
        <v/>
      </c>
      <c r="T1223" t="n">
        <v>0</v>
      </c>
      <c r="V1223" t="n">
        <v>0</v>
      </c>
    </row>
    <row r="1224">
      <c r="A1224">
        <f>Skills!A22</f>
        <v/>
      </c>
      <c r="B1224">
        <f>Skills!B22</f>
        <v/>
      </c>
      <c r="C1224">
        <f>Inputs!$B$3&gt;=75</f>
        <v/>
      </c>
      <c r="D1224">
        <f>IF(Skills!C22=1,60+Inputs!$B$25+Inputs!$B$29,IF(Skills!C22=2,90+Inputs!$B$26+Inputs!$B$29,IF(Skills!C22=3,120+Inputs!$B$27+Inputs!$B$29,MAX(0,(Inputs!$B$3-100)*3)+Inputs!$B$28+Inputs!$B$29)))</f>
        <v/>
      </c>
      <c r="E1224">
        <f>INDEX(FactorTable!$B$2:$Y$301, MATCH(ROUND(MIN(300,MAX(1,D1224)),0), FactorTable!$A$2:$A$301,0), Skills!M22+1)</f>
        <v/>
      </c>
      <c r="F1224">
        <f>IF(Skills!N22=TRUE,(Skills!L22/10)*(E1224/1000),Skills!L22/10)+Skills!O22</f>
        <v/>
      </c>
      <c r="G1224">
        <f>Skills!G22*IF(Skills!H22&gt;0,Skills!I22/Skills!H22,1)</f>
        <v/>
      </c>
      <c r="H1224">
        <f>1-(1-Skills!J22/100)^Skills!K22</f>
        <v/>
      </c>
      <c r="I1224" t="inlineStr">
        <is>
          <t>1</t>
        </is>
      </c>
      <c r="J1224" t="inlineStr"/>
      <c r="K1224" t="inlineStr"/>
      <c r="L1224" t="inlineStr"/>
      <c r="M1224" t="inlineStr"/>
      <c r="N1224" t="inlineStr"/>
      <c r="O1224">
        <f>(1-Summary!$B$11)*T1224+Summary!$B$11*V1224</f>
        <v/>
      </c>
      <c r="P1224">
        <f>IF(B1238=0,0,O1224/B1238)</f>
        <v/>
      </c>
      <c r="Q1224" t="n">
        <v>0</v>
      </c>
      <c r="R1224" t="n">
        <v>0</v>
      </c>
      <c r="S1224">
        <f>IFERROR(O1224/N1224,0)</f>
        <v/>
      </c>
      <c r="T1224" t="n">
        <v>0</v>
      </c>
      <c r="V1224" t="n">
        <v>0</v>
      </c>
    </row>
    <row r="1225">
      <c r="A1225">
        <f>Skills!A23</f>
        <v/>
      </c>
      <c r="B1225">
        <f>Skills!B23</f>
        <v/>
      </c>
      <c r="C1225">
        <f>TRUE</f>
        <v/>
      </c>
      <c r="D1225">
        <f>IF(Skills!C23=1,60+Inputs!$B$25+Inputs!$B$29,IF(Skills!C23=2,90+Inputs!$B$26+Inputs!$B$29,IF(Skills!C23=3,120+Inputs!$B$27+Inputs!$B$29,MAX(0,(Inputs!$B$3-100)*3)+Inputs!$B$28+Inputs!$B$29)))</f>
        <v/>
      </c>
      <c r="E1225">
        <f>INDEX(FactorTable!$B$2:$Y$301, MATCH(ROUND(MIN(300,MAX(1,D1225)),0), FactorTable!$A$2:$A$301,0), Skills!M23+1)</f>
        <v/>
      </c>
      <c r="F1225">
        <f>IF(Skills!N23=TRUE,(Skills!L23/10)*(E1225/1000),Skills!L23/10)+Skills!O23</f>
        <v/>
      </c>
      <c r="G1225">
        <f>Skills!G23*IF(Skills!H23&gt;0,Skills!I23/Skills!H23,1)</f>
        <v/>
      </c>
      <c r="H1225">
        <f>1-(1-Skills!J23/100)^Skills!K23</f>
        <v/>
      </c>
      <c r="I1225" t="inlineStr">
        <is>
          <t>1</t>
        </is>
      </c>
      <c r="J1225" t="inlineStr"/>
      <c r="K1225" t="inlineStr"/>
      <c r="L1225" t="inlineStr"/>
      <c r="M1225" t="inlineStr"/>
      <c r="N1225" t="inlineStr"/>
      <c r="O1225">
        <f>(1-Summary!$B$11)*T1225+Summary!$B$11*V1225</f>
        <v/>
      </c>
      <c r="P1225">
        <f>IF(B1238=0,0,O1225/B1238)</f>
        <v/>
      </c>
      <c r="Q1225">
        <f>IFERROR(1/(IF(Inputs!$B$38="pvp",15,MAX(0.1,Skills!D23-IF(Skills!E23=TRUE,Inputs!$B$32,0)))*(1-IF(AND(ArtifactsInput!$M$27,Inputs!$B$4="Chapter Hunt"),CHOOSE(ArtifactsInput!$N$27+1,20,24,28,32,36,40),0)/100)),0)</f>
        <v/>
      </c>
      <c r="R1225">
        <f>IF(AND(Inputs!$B$38&lt;&gt;"pvp",Inputs!$B$43&gt;0),IF(Inputs!$B$43&lt;=0,0,(INT(Inputs!$B$43/(IF(Inputs!$B$38="pvp",15,MAX(0.1,Skills!D23-IF(Skills!E23=TRUE,Inputs!$B$32,0)))*(1-IF(AND(ArtifactsInput!$M$27,Inputs!$B$4="Chapter Hunt"),CHOOSE(ArtifactsInput!$N$27+1,20,24,28,32,36,40),0)/100)))+1)),0)</f>
        <v/>
      </c>
      <c r="S1225">
        <f>IFERROR(O1225/N1225,0)</f>
        <v/>
      </c>
      <c r="T1225" t="n">
        <v>0</v>
      </c>
      <c r="V1225" t="n">
        <v>0</v>
      </c>
    </row>
    <row r="1227">
      <c r="A1227" t="inlineStr">
        <is>
          <t>Attack% Bucket Multiplier</t>
        </is>
      </c>
      <c r="B1227">
        <f>(1+(((C1215=TRUE)*F1215*5/7)+((C1221=TRUE)*(F1221-Calc!F19))+(IF(ArtifactsInput!$M$21,CHOOSE(ArtifactsInput!$N$21+1,25,30,35,40,45,50)*(IF(OR(Inputs!$B$4="Chapter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8">
      <c r="A1228" t="inlineStr">
        <is>
          <t>Global Crit Rate Bonus %</t>
        </is>
      </c>
      <c r="B1228" t="n">
        <v>0</v>
      </c>
    </row>
    <row r="1229">
      <c r="A1229" t="inlineStr">
        <is>
          <t>Attack Speed Buff Bonus % (Nimble Feet, duty-cycle averaged)</t>
        </is>
      </c>
      <c r="B1229">
        <f>((C1225=TRUE)*F1225*IF(AND(Inputs!$B$38&lt;&gt;"pvp",Inputs!$B$43&gt;0),(((R1225-1)*(Skills!T23*(1+Inputs!$B$34/100))+MIN((Skills!T23*(1+Inputs!$B$34/100)),MAX(0,Inputs!$B$43-((R1225-1)*Skills!D23))))/Inputs!$B$43),IF(Inputs!$B$38="pvp",MIN((Skills!T23*(1+Inputs!$B$34/100)),15)/15,(Skills!T23*(1+Inputs!$B$34/100))/Skills!D23)))</f>
        <v/>
      </c>
    </row>
    <row r="1230">
      <c r="A1230" t="inlineStr">
        <is>
          <t>Actions Per Second</t>
        </is>
      </c>
      <c r="B1230">
        <f>1+MIN(150,150*(1-(1-(Inputs!$B$11+((C1219=TRUE)*(F1219-Calc!F17))+((C1220=TRUE)*(F1220-Calc!F18)))/150)*(1-B1229/150)))/100</f>
        <v/>
      </c>
    </row>
    <row r="1231">
      <c r="A1231" t="inlineStr">
        <is>
          <t>Skill + Buff Cast Rate</t>
        </is>
      </c>
      <c r="B1231">
        <f>IF(AND(Inputs!$B$38&lt;&gt;"pvp",Inputs!$B$43&gt;0),SUMPRODUCT((Skills!E2:E23=TRUE)*(C1204:C1225=TRUE)*R1204:R1225*Skills!F2:F23)/Inputs!$B$43,SUMPRODUCT((Skills!E2:E23=TRUE)*(C1204:C1225=TRUE)*Q1204:Q1225*Skills!F2:F23))</f>
        <v/>
      </c>
    </row>
    <row r="1232">
      <c r="A1232" t="inlineStr">
        <is>
          <t>Hook Bomber Casts Per Second</t>
        </is>
      </c>
      <c r="B1232">
        <f>MAX(0,B1230-B1231)</f>
        <v/>
      </c>
    </row>
    <row r="1233">
      <c r="A1233" t="inlineStr">
        <is>
          <t>Global Critical Damage Bonus % (unused)</t>
        </is>
      </c>
      <c r="B1233" t="n">
        <v>0</v>
      </c>
    </row>
    <row r="1234">
      <c r="A1234" t="inlineStr">
        <is>
          <t>Global Final Damage Bonus % (Serpent Scale + Crossbones + Time Leap + Speed Infusion)</t>
        </is>
      </c>
      <c r="B1234">
        <f>((C1207=TRUE)*F1207*((10+IF(Inputs!$B$3&gt;=94,5,0))/((10+IF(Inputs!$B$3&gt;=94,5,0))+5/(B1232*(1+IF(Inputs!$B$3&gt;=104,1,0))))))+((C1216=TRUE)*F1216*IF(AND(Inputs!$B$38&lt;&gt;"pvp",Inputs!$B$43&gt;0),(((R1216-1)*(Skills!T14*(1+Inputs!$B$34/100))+MIN((Skills!T14*(1+Inputs!$B$34/100)),MAX(0,Inputs!$B$43-((R1216-1)*Skills!D14))))/Inputs!$B$43),IF(Inputs!$B$38="pvp",MIN((Skills!T14*(1+Inputs!$B$34/100)),15)/15,(Skills!T14*(1+Inputs!$B$34/100))/Skills!D14)))+((C1217=TRUE)*F1217*IF(AND(Inputs!$B$38&lt;&gt;"pvp",Inputs!$B$43&gt;0),(((R1217-1)*(Skills!T15*(1+Inputs!$B$34/100))+MIN((Skills!T15*(1+Inputs!$B$34/100)),MAX(0,Inputs!$B$43-((R1217-1)*Skills!D15))))/Inputs!$B$43),IF(Inputs!$B$38="pvp",MIN((Skills!T15*(1+Inputs!$B$34/100)),15)/15,(Skills!T15*(1+Inputs!$B$34/100))/Skills!D15)))+((Inputs!$B$3&gt;=110)*20*(B1230-1)*IF(Inputs!$B$38="pvp",MIN((15*(1+Inputs!$B$34/100)),15)/15,(15*(1+Inputs!$B$34/100))/35))</f>
        <v/>
      </c>
    </row>
    <row r="1235">
      <c r="A1235" t="inlineStr">
        <is>
          <t>Buff-Casting Startup Delay (s, fixed-duration only)</t>
        </is>
      </c>
      <c r="B1235">
        <f>IF(AND(Inputs!$B$38&lt;&gt;"pvp",Inputs!$B$43&gt;0),SUMPRODUCT((Skills!T2:T23&gt;0)*(Skills!E2:E23=TRUE)*(C1204:C1225=TRUE))/B1230,0)</f>
        <v/>
      </c>
    </row>
    <row r="1236">
      <c r="A1236" t="inlineStr">
        <is>
          <t>Boss-Only Total DPS (this block's swept value)</t>
        </is>
      </c>
      <c r="B1236">
        <f>SUM(T1204:T1225)</f>
        <v/>
      </c>
    </row>
    <row r="1237">
      <c r="A1237" t="inlineStr">
        <is>
          <t>Normal-Only Total DPS (this block's swept value)</t>
        </is>
      </c>
      <c r="B1237">
        <f>SUM(V1204:V1225)</f>
        <v/>
      </c>
    </row>
    <row r="1238">
      <c r="A1238" s="6" t="inlineStr">
        <is>
          <t>TOTAL DPS</t>
        </is>
      </c>
      <c r="B1238" s="6">
        <f>SUM(O1204:O1225)</f>
        <v/>
      </c>
    </row>
    <row r="1241">
      <c r="A1241" s="6" t="inlineStr">
        <is>
          <t>Stat: Rainbow-colored Snail Shell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Skills!G2*IF(Skills!H2&gt;0,Skills!I2/Skills!H2,1)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1261=TRUE)*(F1261-Calc!F20)),(Inputs!$B$23+0+(IF(ArtifactsInput!$M$15,CHOOSE(ArtifactsInput!$N$15+1,25,30,35,40,45,50)/100*(Inputs!$B$11-Inputs!$B$11),0))))/100+(Inputs!$B$23+0+(IF(ArtifactsInput!$M$15,CHOOSE(ArtifactsInput!$N$15+1,25,30,35,40,45,50)/100*(Inputs!$B$11-Inputs!$B$11),0)))/100)/2</f>
        <v/>
      </c>
      <c r="M1243">
        <f>L1243*(1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3">
        <f>L1243*(1-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1243*(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3">
        <f>(1-Summary!$B$11)*T1243+Summary!$B$11*V1243</f>
        <v/>
      </c>
      <c r="P1243">
        <f>IF(B1277=0,0,O1243/B1277)</f>
        <v/>
      </c>
      <c r="Q1243" t="n">
        <v>0</v>
      </c>
      <c r="R1243" t="n">
        <v>0</v>
      </c>
      <c r="S1243">
        <f>IFERROR(O1243/N1243,0)</f>
        <v/>
      </c>
      <c r="T1243">
        <f>IF(C1243,(Skills!G2*N1243*B1271)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1243*(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1243*(1-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1243*(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IF(C1243,(Skills!G2*N1243*B1271)*IF(Inputs!$B$38="pvp",1,(1+(Inputs!$B$21+Skills!Q2+(IF(ArtifactsInput!$M$33,CHOOSE(ArtifactsInput!$N$33+1,30,36,42,48,54,60),0))+(IF(AND(ArtifactsInput!$M$35,Inputs!$B$4&lt;&gt;"Chapter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Inputs!$B$3&gt;=35</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f>Skills!G3*IF(Skills!H3&gt;0,Skills!I3/Skills!H3,1)</f>
        <v/>
      </c>
      <c r="H1244">
        <f>1-(1-Skills!J3/100)^Skills!K3</f>
        <v/>
      </c>
      <c r="I1244" t="inlineStr">
        <is>
          <t>1</t>
        </is>
      </c>
      <c r="J1244">
        <f>((Inputs!$B$6*(1+Inputs!$B$7/100))+(((Inputs!$B$12*(1+Inputs!$B$13/100))-(Inputs!$B$12*(1+Inputs!$B$13/100)))+0.25*(Inputs!$B$14-Inputs!$B$14))*(1+Inputs!$B$7/100))*(F1244/100)</f>
        <v/>
      </c>
      <c r="K1244">
        <f>J1244*(1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1244)</f>
        <v/>
      </c>
      <c r="L1244">
        <f>K1244*(MIN(Inputs!$B$22+((C1261=TRUE)*(F1261-Calc!F20)),(Inputs!$B$23+0+(IF(ArtifactsInput!$M$15,CHOOSE(ArtifactsInput!$N$15+1,25,30,35,40,45,50)/100*(Inputs!$B$11-Inputs!$B$11),0))))/100+(Inputs!$B$23+0+(IF(ArtifactsInput!$M$15,CHOOSE(ArtifactsInput!$N$15+1,25,30,35,40,45,50)/100*(Inputs!$B$11-Inputs!$B$11),0)))/100)/2</f>
        <v/>
      </c>
      <c r="M1244">
        <f>L1244*(1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4">
        <f>L1244*(1-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1244*(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4">
        <f>(1-Summary!$B$11)*T1244+Summary!$B$11*V1244</f>
        <v/>
      </c>
      <c r="P1244">
        <f>IF(B1277=0,0,O1244/B1277)</f>
        <v/>
      </c>
      <c r="Q1244" t="n">
        <v>0</v>
      </c>
      <c r="R1244" t="n">
        <v>0</v>
      </c>
      <c r="S1244">
        <f>IFERROR(O1244/N1244,0)</f>
        <v/>
      </c>
      <c r="T1244">
        <f>IF(C1244,(Skills!G3*H1244*N1244*B1271)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1244*(1-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1244*(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1244*(1-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1244*(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4">
        <f>INDEX(FactorTable!$B$2:$Y$301, MATCH(ROUND(MIN(300,MAX(1,U1243)),0), FactorTable!$A$2:$A$301,0), 22)</f>
        <v/>
      </c>
      <c r="V1244">
        <f>IF(C1244,(Skills!G3*H1244*N1244*B1271)*IF(Inputs!$B$38="pvp",1,(1+(Inputs!$B$21+Skills!Q3+(IF(ArtifactsInput!$M$33,CHOOSE(ArtifactsInput!$N$33+1,30,36,42,48,54,60),0))+(IF(AND(ArtifactsInput!$M$35,Inputs!$B$4&lt;&gt;"Chapter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5">
      <c r="A1245">
        <f>Skills!A4</f>
        <v/>
      </c>
      <c r="B1245">
        <f>Skills!B4</f>
        <v/>
      </c>
      <c r="C1245">
        <f>Inputs!$B$3&gt;=60</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f>Skills!G4*IF(Skills!H4&gt;0,Skills!I4/Skills!H4,1)</f>
        <v/>
      </c>
      <c r="H1245">
        <f>1-(1-Skills!J4/100)^Skills!K4</f>
        <v/>
      </c>
      <c r="I1245" t="inlineStr">
        <is>
          <t>1</t>
        </is>
      </c>
      <c r="J1245">
        <f>((Inputs!$B$6*(1+Inputs!$B$7/100))+(((Inputs!$B$12*(1+Inputs!$B$13/100))-(Inputs!$B$12*(1+Inputs!$B$13/100)))+0.25*(Inputs!$B$14-Inputs!$B$14))*(1+Inputs!$B$7/100))*(F1245/100)</f>
        <v/>
      </c>
      <c r="K1245">
        <f>J1245*(1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1253=TRUE,F1253,0)/100)*(1+(IF(Skills!A4="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1245)</f>
        <v/>
      </c>
      <c r="L1245">
        <f>K1245*(MIN(Inputs!$B$22+((C1261=TRUE)*(F1261-Calc!F20)),(Inputs!$B$23+0+(IF(ArtifactsInput!$M$15,CHOOSE(ArtifactsInput!$N$15+1,25,30,35,40,45,50)/100*(Inputs!$B$11-Inputs!$B$11),0))))/100+(Inputs!$B$23+0+(IF(ArtifactsInput!$M$15,CHOOSE(ArtifactsInput!$N$15+1,25,30,35,40,45,50)/100*(Inputs!$B$11-Inputs!$B$11),0)))/100)/2</f>
        <v/>
      </c>
      <c r="M1245">
        <f>L1245*(1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5">
        <f>L1245*(1-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1245*(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5">
        <f>(1-Summary!$B$11)*T1245+Summary!$B$11*V1245</f>
        <v/>
      </c>
      <c r="P1245">
        <f>IF(B1277=0,0,O1245/B1277)</f>
        <v/>
      </c>
      <c r="Q1245" t="n">
        <v>0</v>
      </c>
      <c r="R1245" t="n">
        <v>0</v>
      </c>
      <c r="S1245">
        <f>IFERROR(O1245/N1245,0)</f>
        <v/>
      </c>
      <c r="T1245">
        <f>IF(C1245,(Skills!G4*H1245*N1245*B1271)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1245*(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1245*(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5">
        <f>290*U1244/1000</f>
        <v/>
      </c>
      <c r="V1245">
        <f>IF(C1245,(Skills!G4*H1245*N1245*B1271)*IF(Inputs!$B$38="pvp",1,(1+(Inputs!$B$21+Skills!Q4+(IF(ArtifactsInput!$M$33,CHOOSE(ArtifactsInput!$N$33+1,30,36,42,48,54,60),0))+(IF(AND(ArtifactsInput!$M$35,Inputs!$B$4&lt;&gt;"Chapter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6">
      <c r="A1246">
        <f>Skills!A5</f>
        <v/>
      </c>
      <c r="B1246">
        <f>Skills!B5</f>
        <v/>
      </c>
      <c r="C1246">
        <f>Inputs!$B$3&gt;=60</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Skills!G5*IF(Skills!H5&gt;0,Skills!I5/Skills!H5,1)</f>
        <v/>
      </c>
      <c r="H1246">
        <f>1-(1-Skills!J5/100)^Skills!K5</f>
        <v/>
      </c>
      <c r="I1246" t="inlineStr">
        <is>
          <t>1</t>
        </is>
      </c>
      <c r="J1246" t="inlineStr"/>
      <c r="K1246" t="inlineStr"/>
      <c r="L1246" t="inlineStr"/>
      <c r="M1246" t="inlineStr"/>
      <c r="N1246" t="inlineStr"/>
      <c r="O1246">
        <f>(1-Summary!$B$11)*T1246+Summary!$B$11*V1246</f>
        <v/>
      </c>
      <c r="P1246">
        <f>IF(B1277=0,0,O1246/B1277)</f>
        <v/>
      </c>
      <c r="Q1246" t="n">
        <v>0</v>
      </c>
      <c r="R1246" t="n">
        <v>0</v>
      </c>
      <c r="S1246">
        <f>IFERROR(O1246/N1246,0)</f>
        <v/>
      </c>
      <c r="T1246" t="n">
        <v>0</v>
      </c>
      <c r="V1246" t="n">
        <v>0</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Skills!G6*IF(Skills!H6&gt;0,Skills!I6/Skills!H6,1)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1253=TRUE,F1253,0)/100)*(1+(IF(Skills!A6="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1261=TRUE)*(F1261-Calc!F20)),(Inputs!$B$23+0+(IF(ArtifactsInput!$M$15,CHOOSE(ArtifactsInput!$N$15+1,25,30,35,40,45,50)/100*(Inputs!$B$11-Inputs!$B$11),0))))/100+(Inputs!$B$23+0+(IF(ArtifactsInput!$M$15,CHOOSE(ArtifactsInput!$N$15+1,25,30,35,40,45,50)/100*(Inputs!$B$11-Inputs!$B$11),0)))/100)/2</f>
        <v/>
      </c>
      <c r="M1247">
        <f>L1247*(1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7">
        <f>L1247*(1-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1247*(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7">
        <f>(1-Summary!$B$11)*T1247+Summary!$B$11*V1247</f>
        <v/>
      </c>
      <c r="P1247">
        <f>IF(B1277=0,0,O1247/B1277)</f>
        <v/>
      </c>
      <c r="Q1247">
        <f>IFERROR(1/(IF(Inputs!$B$38="pvp",15,MAX(0.1,Skills!D6-IF(Skills!E6=TRUE,Inputs!$B$32,0)))*(1-IF(AND(ArtifactsInput!$M$27,Inputs!$B$4="Chapter Hunt"),CHOOSE(ArtifactsInput!$N$27+1,20,24,28,32,36,40),0)/100)),0)</f>
        <v/>
      </c>
      <c r="R1247">
        <f>IF(AND(Inputs!$B$38&lt;&gt;"pvp",Inputs!$B$43&gt;0),IF(MAX(0,Inputs!$B$43-B1274)&lt;=0,0,(INT(MAX(0,Inputs!$B$43-B1274)/(IF(Inputs!$B$38="pvp",15,MAX(0.1,Skills!D6-IF(Skills!E6=TRUE,Inputs!$B$32,0)))*(1-IF(AND(ArtifactsInput!$M$27,Inputs!$B$4="Chapter Hunt"),CHOOSE(ArtifactsInput!$N$27+1,20,24,28,32,36,40),0)/100)))+1)),0)</f>
        <v/>
      </c>
      <c r="S1247">
        <f>IFERROR(O1247/N1247,0)</f>
        <v/>
      </c>
      <c r="T1247">
        <f>IF(C1247,(H1247*N1247*IF(AND(Inputs!$B$38&lt;&gt;"pvp",Inputs!$B$43&gt;0),((Skills!G6*((R1247-1)*IF(Skills!H6&gt;0,Skills!I6/Skills!H6,1)+IF(Skills!H6&gt;0,MIN(Skills!I6,MAX(0,MAX(0,Inputs!$B$43-B1274)-((R1247-1)*(IF(Inputs!$B$38="pvp",15,MAX(0.1,Skills!D6-IF(Skills!E6=TRUE,Inputs!$B$32,0)))*(1-IF(AND(ArtifactsInput!$M$27,Inputs!$B$4="Chapter Hunt"),CHOOSE(ArtifactsInput!$N$27+1,20,24,28,32,36,40),0)/100)))))/Skills!H6,1)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1247*(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1247*(1-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1247*(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Skills!I6/Skills!H6,1)+IF(Skills!H6&gt;0,MIN(Skills!I6,MAX(0,MAX(0,Inputs!$B$43-B1274)-((R1247-1)*(IF(Inputs!$B$38="pvp",15,MAX(0.1,Skills!D6-IF(Skills!E6=TRUE,Inputs!$B$32,0)))*(1-IF(AND(ArtifactsInput!$M$27,Inputs!$B$4="Chapter Hunt"),CHOOSE(ArtifactsInput!$N$27+1,20,24,28,32,36,40),0)/100)))))/Skills!H6,1)))/Inputs!$B$43),G1247*Q1247))*IF(Inputs!$B$38="pvp",1,(1+(Inputs!$B$21+Skills!Q6+(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Inputs!$B$3&gt;=100</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Skills!G7*IF(Skills!H7&gt;0,Skills!I7/Skills!H7,1)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1261=TRUE)*(F1261-Calc!F20)),(Inputs!$B$23+0+(IF(ArtifactsInput!$M$15,CHOOSE(ArtifactsInput!$N$15+1,25,30,35,40,45,50)/100*(Inputs!$B$11-Inputs!$B$11),0))))/100+(Inputs!$B$23+0+(IF(ArtifactsInput!$M$15,CHOOSE(ArtifactsInput!$N$15+1,25,30,35,40,45,50)/100*(Inputs!$B$11-Inputs!$B$11),0)))/100)/2</f>
        <v/>
      </c>
      <c r="M1248">
        <f>L1248*(1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8">
        <f>L1248*(1-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1248*(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8">
        <f>(1-Summary!$B$11)*T1248+Summary!$B$11*V1248</f>
        <v/>
      </c>
      <c r="P1248">
        <f>IF(B1277=0,0,O1248/B1277)</f>
        <v/>
      </c>
      <c r="Q1248">
        <f>IFERROR(1/(IF(Inputs!$B$38="pvp",15,MAX(0.1,Skills!D7-IF(Skills!E7=TRUE,Inputs!$B$32,0)))*(1-IF(AND(ArtifactsInput!$M$27,Inputs!$B$4="Chapter Hunt"),CHOOSE(ArtifactsInput!$N$27+1,20,24,28,32,36,40),0)/100)),0)</f>
        <v/>
      </c>
      <c r="R1248">
        <f>IF(AND(Inputs!$B$38&lt;&gt;"pvp",Inputs!$B$43&gt;0),IF(MAX(0,Inputs!$B$43-B1274)&lt;=0,0,(INT(MAX(0,Inputs!$B$43-B1274)/(IF(Inputs!$B$38="pvp",15,MAX(0.1,Skills!D7-IF(Skills!E7=TRUE,Inputs!$B$32,0)))*(1-IF(AND(ArtifactsInput!$M$27,Inputs!$B$4="Chapter Hunt"),CHOOSE(ArtifactsInput!$N$27+1,20,24,28,32,36,40),0)/100)))+1)),0)</f>
        <v/>
      </c>
      <c r="S1248">
        <f>IFERROR(O1248/N1248,0)</f>
        <v/>
      </c>
      <c r="T1248">
        <f>IF(C1248,(H1248*N1248*IF(AND(Inputs!$B$38&lt;&gt;"pvp",Inputs!$B$43&gt;0),((Skills!G7*((R1248-1)*IF(Skills!H7&gt;0,Skills!I7/Skills!H7,1)+IF(Skills!H7&gt;0,MIN(Skills!I7,MAX(0,MAX(0,Inputs!$B$43-B1274)-((R1248-1)*(IF(Inputs!$B$38="pvp",15,MAX(0.1,Skills!D7-IF(Skills!E7=TRUE,Inputs!$B$32,0)))*(1-IF(AND(ArtifactsInput!$M$27,Inputs!$B$4="Chapter Hunt"),CHOOSE(ArtifactsInput!$N$27+1,20,24,28,32,36,40),0)/100)))))/Skills!H7,1)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1248*(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1248*(1-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1248*(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Skills!I7/Skills!H7,1)+IF(Skills!H7&gt;0,MIN(Skills!I7,MAX(0,MAX(0,Inputs!$B$43-B1274)-((R1248-1)*(IF(Inputs!$B$38="pvp",15,MAX(0.1,Skills!D7-IF(Skills!E7=TRUE,Inputs!$B$32,0)))*(1-IF(AND(ArtifactsInput!$M$27,Inputs!$B$4="Chapter Hunt"),CHOOSE(ArtifactsInput!$N$27+1,20,24,28,32,36,40),0)/100)))))/Skills!H7,1)))/Inputs!$B$43),G1248*Q1248))*IF(Inputs!$B$38="pvp",1,(1+(Inputs!$B$21+Skills!Q7+(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Inputs!$B$3&gt;=110</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f>Skills!G8*IF(Skills!H8&gt;0,Skills!I8/Skills!H8,1)</f>
        <v/>
      </c>
      <c r="H1249">
        <f>1-(1-Skills!J8/100)^Skills!K8</f>
        <v/>
      </c>
      <c r="I1249" t="inlineStr">
        <is>
          <t>1</t>
        </is>
      </c>
      <c r="J1249">
        <f>((Inputs!$B$6*(1+Inputs!$B$7/100))+(((Inputs!$B$12*(1+Inputs!$B$13/100))-(Inputs!$B$12*(1+Inputs!$B$13/100)))+0.25*(Inputs!$B$14-Inputs!$B$14))*(1+Inputs!$B$7/100))*(F1249/100)</f>
        <v/>
      </c>
      <c r="K1249">
        <f>J1249*(1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C1261=TRUE)*(F1261-Calc!F20)),(Inputs!$B$23+0+(IF(ArtifactsInput!$M$15,CHOOSE(ArtifactsInput!$N$15+1,25,30,35,40,45,50)/100*(Inputs!$B$11-Inputs!$B$11),0))))/100+(Inputs!$B$23+0+(IF(ArtifactsInput!$M$15,CHOOSE(ArtifactsInput!$N$15+1,25,30,35,40,45,50)/100*(Inputs!$B$11-Inputs!$B$11),0)))/100)/2</f>
        <v/>
      </c>
      <c r="M1249">
        <f>L1249*(1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49">
        <f>L1249*(1-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1249*(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49">
        <f>(1-Summary!$B$11)*T1249+Summary!$B$11*V1249</f>
        <v/>
      </c>
      <c r="P1249">
        <f>IF(B1277=0,0,O1249/B1277)</f>
        <v/>
      </c>
      <c r="Q1249">
        <f>IFERROR(1/(IF(Inputs!$B$38="pvp",15,MAX(0.1,Skills!D8-IF(Skills!E8=TRUE,Inputs!$B$32,0)))*(1-IF(AND(ArtifactsInput!$M$27,Inputs!$B$4="Chapter Hunt"),CHOOSE(ArtifactsInput!$N$27+1,20,24,28,32,36,40),0)/100)),0)</f>
        <v/>
      </c>
      <c r="R1249">
        <f>IF(AND(Inputs!$B$38&lt;&gt;"pvp",Inputs!$B$43&gt;0),IF(MAX(0,Inputs!$B$43-B1274)&lt;=0,0,(INT(MAX(0,Inputs!$B$43-B1274)/(IF(Inputs!$B$38="pvp",15,MAX(0.1,Skills!D8-IF(Skills!E8=TRUE,Inputs!$B$32,0)))*(1-IF(AND(ArtifactsInput!$M$27,Inputs!$B$4="Chapter Hunt"),CHOOSE(ArtifactsInput!$N$27+1,20,24,28,32,36,40),0)/100)))+1)),0)</f>
        <v/>
      </c>
      <c r="S1249">
        <f>IFERROR(O1249/N1249,0)</f>
        <v/>
      </c>
      <c r="T1249">
        <f>IF(C1249,(H1249*N1249*IF(AND(Inputs!$B$38&lt;&gt;"pvp",Inputs!$B$43&gt;0),((Skills!G8*((R1249-1)*IF(Skills!H8&gt;0,Skills!I8/Skills!H8,1)+IF(Skills!H8&gt;0,MIN(Skills!I8,MAX(0,MAX(0,Inputs!$B$43-B1274)-((R1249-1)*(IF(Inputs!$B$38="pvp",15,MAX(0.1,Skills!D8-IF(Skills!E8=TRUE,Inputs!$B$32,0)))*(1-IF(AND(ArtifactsInput!$M$27,Inputs!$B$4="Chapter Hunt"),CHOOSE(ArtifactsInput!$N$27+1,20,24,28,32,36,40),0)/100)))))/Skills!H8,1)))/Inputs!$B$43),G1249*Q1249)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1249*(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1249*(1-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1249*(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9">
        <f>IF(C1249,(H1249*N1249*IF(AND(Inputs!$B$38&lt;&gt;"pvp",Inputs!$B$43&gt;0),((Skills!G8*((R1249-1)*IF(Skills!H8&gt;0,Skills!I8/Skills!H8,1)+IF(Skills!H8&gt;0,MIN(Skills!I8,MAX(0,MAX(0,Inputs!$B$43-B1274)-((R1249-1)*(IF(Inputs!$B$38="pvp",15,MAX(0.1,Skills!D8-IF(Skills!E8=TRUE,Inputs!$B$32,0)))*(1-IF(AND(ArtifactsInput!$M$27,Inputs!$B$4="Chapter Hunt"),CHOOSE(ArtifactsInput!$N$27+1,20,24,28,32,36,40),0)/100)))))/Skills!H8,1)))/Inputs!$B$43),G1249*Q1249))*IF(Inputs!$B$38="pvp",1,(1+(Inputs!$B$21+Skills!Q8+(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Skills!A9</f>
        <v/>
      </c>
      <c r="B1250">
        <f>Skills!B9</f>
        <v/>
      </c>
      <c r="C1250">
        <f>Inputs!$B$3&gt;=110</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Skills!G9*IF(Skills!H9&gt;0,Skills!I9/Skills!H9,1)</f>
        <v/>
      </c>
      <c r="H1250">
        <f>1-(1-Skills!J9/100)^Skills!K9</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1261=TRUE)*(F1261-Calc!F20)),(Inputs!$B$23+0+(IF(ArtifactsInput!$M$15,CHOOSE(ArtifactsInput!$N$15+1,25,30,35,40,45,50)/100*(Inputs!$B$11-Inputs!$B$11),0))))/100+(Inputs!$B$23+0+(IF(ArtifactsInput!$M$15,CHOOSE(ArtifactsInput!$N$15+1,25,30,35,40,45,50)/100*(Inputs!$B$11-Inputs!$B$11),0)))/100)/2</f>
        <v/>
      </c>
      <c r="M1250">
        <f>L1250*(1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0">
        <f>L1250*(1-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1250*(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0">
        <f>(1-Summary!$B$11)*T1250+Summary!$B$11*V1250</f>
        <v/>
      </c>
      <c r="P1250">
        <f>IF(B1277=0,0,O1250/B1277)</f>
        <v/>
      </c>
      <c r="Q1250">
        <f>IFERROR(1/(IF(Inputs!$B$38="pvp",15,MAX(0.1,Skills!D9-IF(Skills!E9=TRUE,Inputs!$B$32,0)))*(1-IF(AND(ArtifactsInput!$M$27,Inputs!$B$4="Chapter Hunt"),CHOOSE(ArtifactsInput!$N$27+1,20,24,28,32,36,40),0)/100)),0)</f>
        <v/>
      </c>
      <c r="R1250">
        <f>IF(AND(Inputs!$B$38&lt;&gt;"pvp",Inputs!$B$43&gt;0),IF(MAX(0,Inputs!$B$43-B1274)&lt;=0,0,(INT(MAX(0,Inputs!$B$43-B1274)/(IF(Inputs!$B$38="pvp",15,MAX(0.1,Skills!D9-IF(Skills!E9=TRUE,Inputs!$B$32,0)))*(1-IF(AND(ArtifactsInput!$M$27,Inputs!$B$4="Chapter Hunt"),CHOOSE(ArtifactsInput!$N$27+1,20,24,28,32,36,40),0)/100)))+1)),0)</f>
        <v/>
      </c>
      <c r="S1250">
        <f>IFERROR(O1250/N1250,0)</f>
        <v/>
      </c>
      <c r="T1250">
        <f>IF(C1250,(H1250*N1250*IF(AND(Inputs!$B$38&lt;&gt;"pvp",Inputs!$B$43&gt;0),((Skills!G9*((R1250-1)*IF(Skills!H9&gt;0,Skills!I9/Skills!H9,1)+IF(Skills!H9&gt;0,MIN(Skills!I9,MAX(0,MAX(0,Inputs!$B$43-B1274)-((R1250-1)*(IF(Inputs!$B$38="pvp",15,MAX(0.1,Skills!D9-IF(Skills!E9=TRUE,Inputs!$B$32,0)))*(1-IF(AND(ArtifactsInput!$M$27,Inputs!$B$4="Chapter Hunt"),CHOOSE(ArtifactsInput!$N$27+1,20,24,28,32,36,40),0)/100)))))/Skills!H9,1)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1250*(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1250*(1-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1250*(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Skills!I9/Skills!H9,1)+IF(Skills!H9&gt;0,MIN(Skills!I9,MAX(0,MAX(0,Inputs!$B$43-B1274)-((R1250-1)*(IF(Inputs!$B$38="pvp",15,MAX(0.1,Skills!D9-IF(Skills!E9=TRUE,Inputs!$B$32,0)))*(1-IF(AND(ArtifactsInput!$M$27,Inputs!$B$4="Chapter Hunt"),CHOOSE(ArtifactsInput!$N$27+1,20,24,28,32,36,40),0)/100)))))/Skills!H9,1)))/Inputs!$B$43),G1250*Q1250))*IF(Inputs!$B$38="pvp",1,(1+(Inputs!$B$21+Skills!Q9+(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Inputs!$B$3&gt;=103</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Skills!G10*IF(Skills!H10&gt;0,Skills!I10/Skills!H10,1)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1261=TRUE)*(F1261-Calc!F20)),(Inputs!$B$23+0+(IF(ArtifactsInput!$M$15,CHOOSE(ArtifactsInput!$N$15+1,25,30,35,40,45,50)/100*(Inputs!$B$11-Inputs!$B$11),0))))/100+(Inputs!$B$23+0+(IF(ArtifactsInput!$M$15,CHOOSE(ArtifactsInput!$N$15+1,25,30,35,40,45,50)/100*(Inputs!$B$11-Inputs!$B$11),0)))/100)/2</f>
        <v/>
      </c>
      <c r="M1251">
        <f>L1251*(1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1">
        <f>L1251*(1-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1">
        <f>(1-Summary!$B$11)*T1251+Summary!$B$11*V1251</f>
        <v/>
      </c>
      <c r="P1251">
        <f>IF(B1277=0,0,O1251/B1277)</f>
        <v/>
      </c>
      <c r="Q1251">
        <f>IFERROR(1/(IF(Inputs!$B$38="pvp",15,MAX(0.1,Skills!D10-IF(Skills!E10=TRUE,Inputs!$B$32,0)))*(1-IF(AND(ArtifactsInput!$M$27,Inputs!$B$4="Chapter Hunt"),CHOOSE(ArtifactsInput!$N$27+1,20,24,28,32,36,40),0)/100)),0)</f>
        <v/>
      </c>
      <c r="R1251">
        <f>IF(AND(Inputs!$B$38&lt;&gt;"pvp",Inputs!$B$43&gt;0),IF(MAX(0,Inputs!$B$43-B1274)&lt;=0,0,(INT(MAX(0,Inputs!$B$43-B1274)/(IF(Inputs!$B$38="pvp",15,MAX(0.1,Skills!D10-IF(Skills!E10=TRUE,Inputs!$B$32,0)))*(1-IF(AND(ArtifactsInput!$M$27,Inputs!$B$4="Chapter Hunt"),CHOOSE(ArtifactsInput!$N$27+1,20,24,28,32,36,40),0)/100)))+1)),0)</f>
        <v/>
      </c>
      <c r="S1251">
        <f>IFERROR(O1251/N1251,0)</f>
        <v/>
      </c>
      <c r="T1251">
        <f>IF(C1251,(H1251*N1251*IF(AND(Inputs!$B$38&lt;&gt;"pvp",Inputs!$B$43&gt;0),((Skills!G10*((R1251-1)*IF(Skills!H10&gt;0,Skills!I10/Skills!H10,1)+IF(Skills!H10&gt;0,MIN(Skills!I10,MAX(0,MAX(0,Inputs!$B$43-B1274)-((R1251-1)*(IF(Inputs!$B$38="pvp",15,MAX(0.1,Skills!D10-IF(Skills!E10=TRUE,Inputs!$B$32,0)))*(1-IF(AND(ArtifactsInput!$M$27,Inputs!$B$4="Chapter Hunt"),CHOOSE(ArtifactsInput!$N$27+1,20,24,28,32,36,40),0)/100)))))/Skills!H10,1)))/Inputs!$B$43),G1251*Q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1251*(1-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H1251*N1251*IF(AND(Inputs!$B$38&lt;&gt;"pvp",Inputs!$B$43&gt;0),((Skills!G10*((R1251-1)*IF(Skills!H10&gt;0,Skills!I10/Skills!H10,1)+IF(Skills!H10&gt;0,MIN(Skills!I10,MAX(0,MAX(0,Inputs!$B$43-B1274)-((R1251-1)*(IF(Inputs!$B$38="pvp",15,MAX(0.1,Skills!D10-IF(Skills!E10=TRUE,Inputs!$B$32,0)))*(1-IF(AND(ArtifactsInput!$M$27,Inputs!$B$4="Chapter Hunt"),CHOOSE(ArtifactsInput!$N$27+1,20,24,28,32,36,40),0)/100)))))/Skills!H10,1)))/Inputs!$B$43),G1251*Q1251))*IF(Inputs!$B$38="pvp",1,(1+(Inputs!$B$21+Skills!Q10+(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Inputs!$B$3&gt;=113</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Skills!G11*IF(Skills!H11&gt;0,Skills!I11/Skills!H11,1)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1263=TRUE)*(F1263-Calc!F22))+B1273)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1262=TRUE)*(F1262-Calc!F21))+(((IF(AND(ArtifactsInput!$M$42,((Inputs!$B$9+((C1257=TRUE)*(F1257-Calc!F16))+B1267+(ArtifactsInput!$M$24-ArtifactsInput!$M$24)*CHOOSE(ArtifactsInput!$N$24+1,10,12,14,16,18,20)+IF(IF(ArtifactsInput!$M$10,FALSE,TRUE),CHOOSE(ArtifactsInput!$N$10+1,15,18,21,24,27,30)*(IF(Inputs!$B$38="pvp",MIN(15,15)/15,IF(AND(Inputs!$B$38&lt;&gt;"pvp",Inputs!$B$43&gt;0),MIN(15,Inputs!$B$43)/(Inputs!$B$43),0))),0)))&gt;=100),MIN(100,((Inputs!$B$9+((C1257=TRUE)*(F1257-Calc!F16))+B1267+(ArtifactsInput!$M$24-ArtifactsInput!$M$24)*CHOOSE(ArtifactsInput!$N$24+1,10,12,14,16,18,20)+IF(IF(ArtifactsInput!$M$10,FALSE,TRUE),CHOOSE(ArtifactsInput!$N$10+1,15,18,21,24,27,30)*(IF(Inputs!$B$38="pvp",MIN(15,15)/15,IF(AND(Inputs!$B$38&lt;&gt;"pvp",Inputs!$B$43&gt;0),MIN(15,Inputs!$B$43)/(Inputs!$B$43),0))),0)))-100),0))*CHOOSE(ArtifactsInput!$N$42+1,0.6,0.72,0.84,0.96,1.08,1.2))),Inputs!$B$18+0+(IF(AND(ArtifactsInput!$M$42,((Inputs!$B$9+((C1257=TRUE)*(F1257-Calc!F16))+B1267+(ArtifactsInput!$M$24-ArtifactsInput!$M$24)*CHOOSE(ArtifactsInput!$N$24+1,10,12,14,16,18,20)+IF(IF(ArtifactsInput!$M$10,FALSE,TRUE),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1261=TRUE)*(F1261-Calc!F20)),(Inputs!$B$23+0+(IF(ArtifactsInput!$M$15,CHOOSE(ArtifactsInput!$N$15+1,25,30,35,40,45,50)/100*(Inputs!$B$11-Inputs!$B$11),0))))/100+(Inputs!$B$23+0+(IF(ArtifactsInput!$M$15,CHOOSE(ArtifactsInput!$N$15+1,25,30,35,40,45,50)/100*(Inputs!$B$11-Inputs!$B$11),0)))/100)/2</f>
        <v/>
      </c>
      <c r="M1252">
        <f>L1252*(1+(Inputs!$B$10+0+B1272+(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252">
        <f>L1252*(1-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1252*(MIN((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252">
        <f>(1-Summary!$B$11)*T1252+Summary!$B$11*V1252</f>
        <v/>
      </c>
      <c r="P1252">
        <f>IF(B1277=0,0,O1252/B1277)</f>
        <v/>
      </c>
      <c r="Q1252">
        <f>IFERROR(1/(IF(Inputs!$B$38="pvp",15,MAX(0.1,Skills!D11-IF(Skills!E11=TRUE,Inputs!$B$32,0)))*(1-IF(AND(ArtifactsInput!$M$27,Inputs!$B$4="Chapter Hunt"),CHOOSE(ArtifactsInput!$N$27+1,20,24,28,32,36,40),0)/100)),0)</f>
        <v/>
      </c>
      <c r="R1252">
        <f>IF(AND(Inputs!$B$38&lt;&gt;"pvp",Inputs!$B$43&gt;0),IF(MAX(0,Inputs!$B$43-B1274)&lt;=0,0,(INT(MAX(0,Inputs!$B$43-B1274)/(IF(Inputs!$B$38="pvp",15,MAX(0.1,Skills!D11-IF(Skills!E11=TRUE,Inputs!$B$32,0)))*(1-IF(AND(ArtifactsInput!$M$27,Inputs!$B$4="Chapter Hunt"),CHOOSE(ArtifactsInput!$N$27+1,20,24,28,32,36,40),0)/100)))+1)),0)</f>
        <v/>
      </c>
      <c r="S1252">
        <f>IFERROR(O1252/N1252,0)</f>
        <v/>
      </c>
      <c r="T1252">
        <f>IF(C1252,(H1252*N1252*IF(AND(Inputs!$B$38&lt;&gt;"pvp",Inputs!$B$43&gt;0),((Skills!G11*((R1252-1)*IF(Skills!H11&gt;0,Skills!I11/Skills!H11,1)+IF(Skills!H11&gt;0,MIN(Skills!I11,MAX(0,MAX(0,Inputs!$B$43-B1274)-((R1252-1)*(IF(Inputs!$B$38="pvp",15,MAX(0.1,Skills!D11-IF(Skills!E11=TRUE,Inputs!$B$32,0)))*(1-IF(AND(ArtifactsInput!$M$27,Inputs!$B$4="Chapter Hunt"),CHOOSE(ArtifactsInput!$N$27+1,20,24,28,32,36,40),0)/100)))))/Skills!H11,1)))/Inputs!$B$43),G1252*Q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1252*(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1252*(1-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1252*(MIN(100,(Inputs!$B$9+((C1257=TRUE)*(F1257-Calc!F16))+B1267+(ArtifactsInput!$M$24-ArtifactsInput!$M$24)*CHOOSE(ArtifactsInput!$N$24+1,10,12,14,16,18,20)+(IF(AND(ArtifactsInput!$M$42,((Inputs!$B$9+((C1257=TRUE)*(F1257-Calc!F16))+B1267+(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N1252*IF(AND(Inputs!$B$38&lt;&gt;"pvp",Inputs!$B$43&gt;0),((Skills!G11*((R1252-1)*IF(Skills!H11&gt;0,Skills!I11/Skills!H11,1)+IF(Skills!H11&gt;0,MIN(Skills!I11,MAX(0,MAX(0,Inputs!$B$43-B1274)-((R1252-1)*(IF(Inputs!$B$38="pvp",15,MAX(0.1,Skills!D11-IF(Skills!E11=TRUE,Inputs!$B$32,0)))*(1-IF(AND(ArtifactsInput!$M$27,Inputs!$B$4="Chapter Hunt"),CHOOSE(ArtifactsInput!$N$27+1,20,24,28,32,36,40),0)/100)))))/Skills!H11,1)))/Inputs!$B$43),G1252*Q1252))*IF(Inputs!$B$38="pvp",1,(1+(Inputs!$B$21+Skills!Q11+(IF(ArtifactsInput!$M$33,CHOOSE(ArtifactsInput!$N$33+1,30,36,42,48,54,60),0))+(IF(AND(ArtifactsInput!$M$35,Inputs!$B$4&lt;&gt;"Chapter Hunt"),CHOOSE(ArtifactsInput!$N$35+1,15,18,21,24,27,30)*(1-EXP(-(0.2*B1269)*5)),0)+IF(AND(ArtifactsInput!$M$22,Inputs!$B$4&lt;&gt;"Chapter Hunt"),CHOOSE(ArtifactsInput!$N$22+1,10,12,14,16,18,20)*((0*(((0.15*B1269*5))^0/1)+1*(((0.15*B1269*5))^1/1)+2*(((0.15*B1269*5))^2/2)+3*(((0.15*B1269*5))^3/6)+4*(((0.15*B1269*5))^4/24)+5*(((0.15*B1269*5))^5/120))/((((0.15*B1269*5))^0/1)+(((0.15*B1269*5))^1/1)+(((0.15*B1269*5))^2/2)+(((0.15*B1269*5))^3/6)+(((0.15*B1269*5))^4/24)+(((0.15*B1269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Inputs!$B$3&gt;=100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T1253" t="inlineStr"/>
      <c r="V1253" t="inlineStr"/>
    </row>
    <row r="1254">
      <c r="A1254">
        <f>Skills!A13</f>
        <v/>
      </c>
      <c r="B1254">
        <f>Skills!B13</f>
        <v/>
      </c>
      <c r="C1254">
        <f>Inputs!$B$3&gt;=66</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Skills!G13*IF(Skills!H13&gt;0,Skills!I13/Skills!H13,1)</f>
        <v/>
      </c>
      <c r="H1254">
        <f>1-(1-Skills!J13/100)^Skills!K13</f>
        <v/>
      </c>
      <c r="I1254" t="inlineStr">
        <is>
          <t>1</t>
        </is>
      </c>
      <c r="J1254" t="inlineStr"/>
      <c r="K1254" t="inlineStr"/>
      <c r="L1254" t="inlineStr"/>
      <c r="M1254" t="inlineStr"/>
      <c r="N1254" t="inlineStr"/>
      <c r="O1254">
        <f>(1-Summary!$B$11)*T1254+Summary!$B$11*V1254</f>
        <v/>
      </c>
      <c r="P1254">
        <f>IF(B1277=0,0,O1254/B1277)</f>
        <v/>
      </c>
      <c r="Q1254" t="n">
        <v>0</v>
      </c>
      <c r="R1254" t="n">
        <v>0</v>
      </c>
      <c r="S1254">
        <f>IFERROR(O1254/N1254,0)</f>
        <v/>
      </c>
      <c r="T1254" t="n">
        <v>0</v>
      </c>
      <c r="V1254" t="n">
        <v>0</v>
      </c>
    </row>
    <row r="1255">
      <c r="A1255">
        <f>Skills!A14</f>
        <v/>
      </c>
      <c r="B1255">
        <f>Skills!B14</f>
        <v/>
      </c>
      <c r="C1255">
        <f>Inputs!$B$3&gt;=107</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Skills!G14*IF(Skills!H14&gt;0,Skills!I14/Skills!H14,1)</f>
        <v/>
      </c>
      <c r="H1255">
        <f>1-(1-Skills!J14/100)^Skills!K14</f>
        <v/>
      </c>
      <c r="I1255" t="inlineStr">
        <is>
          <t>1</t>
        </is>
      </c>
      <c r="J1255" t="inlineStr"/>
      <c r="K1255" t="inlineStr"/>
      <c r="L1255" t="inlineStr"/>
      <c r="M1255" t="inlineStr"/>
      <c r="N1255" t="inlineStr"/>
      <c r="O1255">
        <f>(1-Summary!$B$11)*T1255+Summary!$B$11*V1255</f>
        <v/>
      </c>
      <c r="P1255">
        <f>IF(B1277=0,0,O1255/B1277)</f>
        <v/>
      </c>
      <c r="Q1255">
        <f>IFERROR(1/(IF(Inputs!$B$38="pvp",15,MAX(0.1,Skills!D14-IF(Skills!E14=TRUE,Inputs!$B$32,0)))*(1-IF(AND(ArtifactsInput!$M$27,Inputs!$B$4="Chapter Hunt"),CHOOSE(ArtifactsInput!$N$27+1,20,24,28,32,36,40),0)/100)),0)</f>
        <v/>
      </c>
      <c r="R1255">
        <f>IF(AND(Inputs!$B$38&lt;&gt;"pvp",Inputs!$B$43&gt;0),IF(Inputs!$B$43&lt;=0,0,(INT(Inputs!$B$43/(IF(Inputs!$B$38="pvp",15,MAX(0.1,Skills!D14-IF(Skills!E14=TRUE,Inputs!$B$32,0)))*(1-IF(AND(ArtifactsInput!$M$27,Inputs!$B$4="Chapter Hunt"),CHOOSE(ArtifactsInput!$N$27+1,20,24,28,32,36,40),0)/100)))+1)),0)</f>
        <v/>
      </c>
      <c r="S1255">
        <f>IFERROR(O1255/N1255,0)</f>
        <v/>
      </c>
      <c r="T1255" t="n">
        <v>0</v>
      </c>
      <c r="V1255" t="n">
        <v>0</v>
      </c>
    </row>
    <row r="1256">
      <c r="A1256">
        <f>Skills!A15</f>
        <v/>
      </c>
      <c r="B1256">
        <f>Skills!B15</f>
        <v/>
      </c>
      <c r="C1256">
        <f>Inputs!$B$3&gt;=115</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Skills!G15*IF(Skills!H15&gt;0,Skills!I15/Skills!H15,1)</f>
        <v/>
      </c>
      <c r="H1256">
        <f>1-(1-Skills!J15/100)^Skills!K15</f>
        <v/>
      </c>
      <c r="I1256" t="inlineStr">
        <is>
          <t>1</t>
        </is>
      </c>
      <c r="J1256" t="inlineStr"/>
      <c r="K1256" t="inlineStr"/>
      <c r="L1256" t="inlineStr"/>
      <c r="M1256" t="inlineStr"/>
      <c r="N1256" t="inlineStr"/>
      <c r="O1256">
        <f>(1-Summary!$B$11)*T1256+Summary!$B$11*V1256</f>
        <v/>
      </c>
      <c r="P1256">
        <f>IF(B1277=0,0,O1256/B1277)</f>
        <v/>
      </c>
      <c r="Q1256">
        <f>IFERROR(1/(IF(Inputs!$B$38="pvp",15,MAX(0.1,Skills!D15-IF(Skills!E15=TRUE,Inputs!$B$32,0)))*(1-IF(AND(ArtifactsInput!$M$27,Inputs!$B$4="Chapter Hunt"),CHOOSE(ArtifactsInput!$N$27+1,20,24,28,32,36,40),0)/100)),0)</f>
        <v/>
      </c>
      <c r="R1256">
        <f>IF(AND(Inputs!$B$38&lt;&gt;"pvp",Inputs!$B$43&gt;0),IF(Inputs!$B$43&lt;=0,0,(INT(Inputs!$B$43/(IF(Inputs!$B$38="pvp",15,MAX(0.1,Skills!D15-IF(Skills!E15=TRUE,Inputs!$B$32,0)))*(1-IF(AND(ArtifactsInput!$M$27,Inputs!$B$4="Chapter Hunt"),CHOOSE(ArtifactsInput!$N$27+1,20,24,28,32,36,40),0)/100)))+1)),0)</f>
        <v/>
      </c>
      <c r="S1256">
        <f>IFERROR(O1256/N1256,0)</f>
        <v/>
      </c>
      <c r="T1256" t="n">
        <v>0</v>
      </c>
      <c r="V1256" t="n">
        <v>0</v>
      </c>
    </row>
    <row r="1257">
      <c r="A1257">
        <f>Skills!A16</f>
        <v/>
      </c>
      <c r="B1257">
        <f>Skills!B16</f>
        <v/>
      </c>
      <c r="C1257">
        <f>Inputs!$B$3&gt;=15</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Skills!G16*IF(Skills!H16&gt;0,Skills!I16/Skills!H16,1)</f>
        <v/>
      </c>
      <c r="H1257">
        <f>1-(1-Skills!J16/100)^Skills!K16</f>
        <v/>
      </c>
      <c r="I1257" t="inlineStr">
        <is>
          <t>1</t>
        </is>
      </c>
      <c r="J1257" t="inlineStr"/>
      <c r="K1257" t="inlineStr"/>
      <c r="L1257" t="inlineStr"/>
      <c r="M1257" t="inlineStr"/>
      <c r="N1257" t="inlineStr"/>
      <c r="O1257">
        <f>(1-Summary!$B$11)*T1257+Summary!$B$11*V1257</f>
        <v/>
      </c>
      <c r="P1257">
        <f>IF(B1277=0,0,O1257/B1277)</f>
        <v/>
      </c>
      <c r="Q1257" t="n">
        <v>0</v>
      </c>
      <c r="R1257" t="n">
        <v>0</v>
      </c>
      <c r="S1257">
        <f>IFERROR(O1257/N1257,0)</f>
        <v/>
      </c>
      <c r="T1257" t="n">
        <v>0</v>
      </c>
      <c r="V1257" t="n">
        <v>0</v>
      </c>
    </row>
    <row r="1258">
      <c r="A1258">
        <f>Skills!A17</f>
        <v/>
      </c>
      <c r="B1258">
        <f>Skills!B17</f>
        <v/>
      </c>
      <c r="C1258">
        <f>Inputs!$B$3&gt;=10</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Skills!G17*IF(Skills!H17&gt;0,Skills!I17/Skills!H17,1)</f>
        <v/>
      </c>
      <c r="H1258">
        <f>1-(1-Skills!J17/100)^Skills!K17</f>
        <v/>
      </c>
      <c r="I1258" t="inlineStr">
        <is>
          <t>1</t>
        </is>
      </c>
      <c r="J1258" t="inlineStr"/>
      <c r="K1258" t="inlineStr"/>
      <c r="L1258" t="inlineStr"/>
      <c r="M1258" t="inlineStr"/>
      <c r="N1258" t="inlineStr"/>
      <c r="O1258">
        <f>(1-Summary!$B$11)*T1258+Summary!$B$11*V1258</f>
        <v/>
      </c>
      <c r="P1258">
        <f>IF(B1277=0,0,O1258/B1277)</f>
        <v/>
      </c>
      <c r="Q1258" t="n">
        <v>0</v>
      </c>
      <c r="R1258" t="n">
        <v>0</v>
      </c>
      <c r="S1258">
        <f>IFERROR(O1258/N1258,0)</f>
        <v/>
      </c>
      <c r="T1258" t="n">
        <v>0</v>
      </c>
      <c r="V1258" t="n">
        <v>0</v>
      </c>
    </row>
    <row r="1259">
      <c r="A1259">
        <f>Skills!A18</f>
        <v/>
      </c>
      <c r="B1259">
        <f>Skills!B18</f>
        <v/>
      </c>
      <c r="C1259">
        <f>Inputs!$B$3&gt;=33</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Skills!G18*IF(Skills!H18&gt;0,Skills!I18/Skills!H18,1)</f>
        <v/>
      </c>
      <c r="H1259">
        <f>1-(1-Skills!J18/100)^Skills!K18</f>
        <v/>
      </c>
      <c r="I1259" t="inlineStr">
        <is>
          <t>1</t>
        </is>
      </c>
      <c r="J1259" t="inlineStr"/>
      <c r="K1259" t="inlineStr"/>
      <c r="L1259" t="inlineStr"/>
      <c r="M1259" t="inlineStr"/>
      <c r="N1259" t="inlineStr"/>
      <c r="O1259">
        <f>(1-Summary!$B$11)*T1259+Summary!$B$11*V1259</f>
        <v/>
      </c>
      <c r="P1259">
        <f>IF(B1277=0,0,O1259/B1277)</f>
        <v/>
      </c>
      <c r="Q1259" t="n">
        <v>0</v>
      </c>
      <c r="R1259" t="n">
        <v>0</v>
      </c>
      <c r="S1259">
        <f>IFERROR(O1259/N1259,0)</f>
        <v/>
      </c>
      <c r="T1259" t="n">
        <v>0</v>
      </c>
      <c r="V1259" t="n">
        <v>0</v>
      </c>
    </row>
    <row r="1260">
      <c r="A1260">
        <f>Skills!A19</f>
        <v/>
      </c>
      <c r="B1260">
        <f>Skills!B19</f>
        <v/>
      </c>
      <c r="C1260">
        <f>Inputs!$B$3&gt;=40</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Skills!G19*IF(Skills!H19&gt;0,Skills!I19/Skills!H19,1)</f>
        <v/>
      </c>
      <c r="H1260">
        <f>1-(1-Skills!J19/100)^Skills!K19</f>
        <v/>
      </c>
      <c r="I1260" t="inlineStr">
        <is>
          <t>1</t>
        </is>
      </c>
      <c r="J1260" t="inlineStr"/>
      <c r="K1260" t="inlineStr"/>
      <c r="L1260" t="inlineStr"/>
      <c r="M1260" t="inlineStr"/>
      <c r="N1260" t="inlineStr"/>
      <c r="O1260">
        <f>(1-Summary!$B$11)*T1260+Summary!$B$11*V1260</f>
        <v/>
      </c>
      <c r="P1260">
        <f>IF(B1277=0,0,O1260/B1277)</f>
        <v/>
      </c>
      <c r="Q1260" t="n">
        <v>0</v>
      </c>
      <c r="R1260" t="n">
        <v>0</v>
      </c>
      <c r="S1260">
        <f>IFERROR(O1260/N1260,0)</f>
        <v/>
      </c>
      <c r="T1260" t="n">
        <v>0</v>
      </c>
      <c r="V1260" t="n">
        <v>0</v>
      </c>
    </row>
    <row r="1261">
      <c r="A1261">
        <f>Skills!A20</f>
        <v/>
      </c>
      <c r="B1261">
        <f>Skills!B20</f>
        <v/>
      </c>
      <c r="C1261">
        <f>Inputs!$B$3&gt;=43</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Skills!G20*IF(Skills!H20&gt;0,Skills!I20/Skills!H20,1)</f>
        <v/>
      </c>
      <c r="H1261">
        <f>1-(1-Skills!J20/100)^Skills!K20</f>
        <v/>
      </c>
      <c r="I1261" t="inlineStr">
        <is>
          <t>1</t>
        </is>
      </c>
      <c r="J1261" t="inlineStr"/>
      <c r="K1261" t="inlineStr"/>
      <c r="L1261" t="inlineStr"/>
      <c r="M1261" t="inlineStr"/>
      <c r="N1261" t="inlineStr"/>
      <c r="O1261">
        <f>(1-Summary!$B$11)*T1261+Summary!$B$11*V1261</f>
        <v/>
      </c>
      <c r="P1261">
        <f>IF(B1277=0,0,O1261/B1277)</f>
        <v/>
      </c>
      <c r="Q1261" t="n">
        <v>0</v>
      </c>
      <c r="R1261" t="n">
        <v>0</v>
      </c>
      <c r="S1261">
        <f>IFERROR(O1261/N1261,0)</f>
        <v/>
      </c>
      <c r="T1261" t="n">
        <v>0</v>
      </c>
      <c r="V1261" t="n">
        <v>0</v>
      </c>
    </row>
    <row r="1262">
      <c r="A1262">
        <f>Skills!A21</f>
        <v/>
      </c>
      <c r="B1262">
        <f>Skills!B21</f>
        <v/>
      </c>
      <c r="C1262">
        <f>Inputs!$B$3&gt;=38</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Skills!G21*IF(Skills!H21&gt;0,Skills!I21/Skills!H21,1)</f>
        <v/>
      </c>
      <c r="H1262">
        <f>1-(1-Skills!J21/100)^Skills!K21</f>
        <v/>
      </c>
      <c r="I1262" t="inlineStr">
        <is>
          <t>1</t>
        </is>
      </c>
      <c r="J1262" t="inlineStr"/>
      <c r="K1262" t="inlineStr"/>
      <c r="L1262" t="inlineStr"/>
      <c r="M1262" t="inlineStr"/>
      <c r="N1262" t="inlineStr"/>
      <c r="O1262">
        <f>(1-Summary!$B$11)*T1262+Summary!$B$11*V1262</f>
        <v/>
      </c>
      <c r="P1262">
        <f>IF(B1277=0,0,O1262/B1277)</f>
        <v/>
      </c>
      <c r="Q1262" t="n">
        <v>0</v>
      </c>
      <c r="R1262" t="n">
        <v>0</v>
      </c>
      <c r="S1262">
        <f>IFERROR(O1262/N1262,0)</f>
        <v/>
      </c>
      <c r="T1262" t="n">
        <v>0</v>
      </c>
      <c r="V1262" t="n">
        <v>0</v>
      </c>
    </row>
    <row r="1263">
      <c r="A1263">
        <f>Skills!A22</f>
        <v/>
      </c>
      <c r="B1263">
        <f>Skills!B22</f>
        <v/>
      </c>
      <c r="C1263">
        <f>Inputs!$B$3&gt;=75</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Skills!G22*IF(Skills!H22&gt;0,Skills!I22/Skills!H22,1)</f>
        <v/>
      </c>
      <c r="H1263">
        <f>1-(1-Skills!J22/100)^Skills!K22</f>
        <v/>
      </c>
      <c r="I1263" t="inlineStr">
        <is>
          <t>1</t>
        </is>
      </c>
      <c r="J1263" t="inlineStr"/>
      <c r="K1263" t="inlineStr"/>
      <c r="L1263" t="inlineStr"/>
      <c r="M1263" t="inlineStr"/>
      <c r="N1263" t="inlineStr"/>
      <c r="O1263">
        <f>(1-Summary!$B$11)*T1263+Summary!$B$11*V1263</f>
        <v/>
      </c>
      <c r="P1263">
        <f>IF(B1277=0,0,O1263/B1277)</f>
        <v/>
      </c>
      <c r="Q1263" t="n">
        <v>0</v>
      </c>
      <c r="R1263" t="n">
        <v>0</v>
      </c>
      <c r="S1263">
        <f>IFERROR(O1263/N1263,0)</f>
        <v/>
      </c>
      <c r="T1263" t="n">
        <v>0</v>
      </c>
      <c r="V1263" t="n">
        <v>0</v>
      </c>
    </row>
    <row r="1264">
      <c r="A1264">
        <f>Skills!A23</f>
        <v/>
      </c>
      <c r="B1264">
        <f>Skills!B23</f>
        <v/>
      </c>
      <c r="C1264">
        <f>TRUE</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Skills!G23*IF(Skills!H23&gt;0,Skills!I23/Skills!H23,1)</f>
        <v/>
      </c>
      <c r="H1264">
        <f>1-(1-Skills!J23/100)^Skills!K23</f>
        <v/>
      </c>
      <c r="I1264" t="inlineStr">
        <is>
          <t>1</t>
        </is>
      </c>
      <c r="J1264" t="inlineStr"/>
      <c r="K1264" t="inlineStr"/>
      <c r="L1264" t="inlineStr"/>
      <c r="M1264" t="inlineStr"/>
      <c r="N1264" t="inlineStr"/>
      <c r="O1264">
        <f>(1-Summary!$B$11)*T1264+Summary!$B$11*V1264</f>
        <v/>
      </c>
      <c r="P1264">
        <f>IF(B1277=0,0,O1264/B1277)</f>
        <v/>
      </c>
      <c r="Q1264">
        <f>IFERROR(1/(IF(Inputs!$B$38="pvp",15,MAX(0.1,Skills!D23-IF(Skills!E23=TRUE,Inputs!$B$32,0)))*(1-IF(AND(ArtifactsInput!$M$27,Inputs!$B$4="Chapter Hunt"),CHOOSE(ArtifactsInput!$N$27+1,20,24,28,32,36,40),0)/100)),0)</f>
        <v/>
      </c>
      <c r="R1264">
        <f>IF(AND(Inputs!$B$38&lt;&gt;"pvp",Inputs!$B$43&gt;0),IF(Inputs!$B$43&lt;=0,0,(INT(Inputs!$B$43/(IF(Inputs!$B$38="pvp",15,MAX(0.1,Skills!D23-IF(Skills!E23=TRUE,Inputs!$B$32,0)))*(1-IF(AND(ArtifactsInput!$M$27,Inputs!$B$4="Chapter Hunt"),CHOOSE(ArtifactsInput!$N$27+1,20,24,28,32,36,40),0)/100)))+1)),0)</f>
        <v/>
      </c>
      <c r="S1264">
        <f>IFERROR(O1264/N1264,0)</f>
        <v/>
      </c>
      <c r="T1264" t="n">
        <v>0</v>
      </c>
      <c r="V1264" t="n">
        <v>0</v>
      </c>
    </row>
    <row r="1266">
      <c r="A1266" t="inlineStr">
        <is>
          <t>Attack% Bucket Multiplier</t>
        </is>
      </c>
      <c r="B1266">
        <f>(1+(((C1254=TRUE)*F1254*5/7)+((C1260=TRUE)*(F1260-Calc!F19))+(IF(ArtifactsInput!$M$21,CHOOSE(ArtifactsInput!$N$21+1,25,30,35,40,45,50)*(IF(OR(Inputs!$B$4="Chapter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67">
      <c r="A1267" t="inlineStr">
        <is>
          <t>Global Crit Rate Bonus %</t>
        </is>
      </c>
      <c r="B1267" t="n">
        <v>0</v>
      </c>
    </row>
    <row r="1268">
      <c r="A1268" t="inlineStr">
        <is>
          <t>Attack Speed Buff Bonus % (Nimble Feet, duty-cycle averaged)</t>
        </is>
      </c>
      <c r="B1268">
        <f>((C1264=TRUE)*F1264*IF(AND(Inputs!$B$38&lt;&gt;"pvp",Inputs!$B$43&gt;0),(((R1264-1)*(Skills!T23*(1+Inputs!$B$34/100))+MIN((Skills!T23*(1+Inputs!$B$34/100)),MAX(0,Inputs!$B$43-((R1264-1)*Skills!D23))))/Inputs!$B$43),IF(Inputs!$B$38="pvp",MIN((Skills!T23*(1+Inputs!$B$34/100)),15)/15,(Skills!T23*(1+Inputs!$B$34/100))/Skills!D23)))</f>
        <v/>
      </c>
    </row>
    <row r="1269">
      <c r="A1269" t="inlineStr">
        <is>
          <t>Actions Per Second</t>
        </is>
      </c>
      <c r="B1269">
        <f>1+MIN(150,150*(1-(1-(Inputs!$B$11+((C1258=TRUE)*(F1258-Calc!F17))+((C1259=TRUE)*(F1259-Calc!F18)))/150)*(1-B1268/150)))/100</f>
        <v/>
      </c>
    </row>
    <row r="1270">
      <c r="A1270" t="inlineStr">
        <is>
          <t>Skill + Buff Cast Rate</t>
        </is>
      </c>
      <c r="B1270">
        <f>IF(AND(Inputs!$B$38&lt;&gt;"pvp",Inputs!$B$43&gt;0),SUMPRODUCT((Skills!E2:E23=TRUE)*(C1243:C1264=TRUE)*R1243:R1264*Skills!F2:F23)/Inputs!$B$43,SUMPRODUCT((Skills!E2:E23=TRUE)*(C1243:C1264=TRUE)*Q1243:Q1264*Skills!F2:F23))</f>
        <v/>
      </c>
    </row>
    <row r="1271">
      <c r="A1271" t="inlineStr">
        <is>
          <t>Hook Bomber Casts Per Second</t>
        </is>
      </c>
      <c r="B1271">
        <f>MAX(0,B1269-B1270)</f>
        <v/>
      </c>
    </row>
    <row r="1272">
      <c r="A1272" t="inlineStr">
        <is>
          <t>Global Critical Damage Bonus % (unused)</t>
        </is>
      </c>
      <c r="B1272" t="n">
        <v>0</v>
      </c>
    </row>
    <row r="1273">
      <c r="A1273" t="inlineStr">
        <is>
          <t>Global Final Damage Bonus % (Serpent Scale + Crossbones + Time Leap + Speed Infusion)</t>
        </is>
      </c>
      <c r="B1273">
        <f>((C1246=TRUE)*F1246*((10+IF(Inputs!$B$3&gt;=94,5,0))/((10+IF(Inputs!$B$3&gt;=94,5,0))+5/(B1271*(1+IF(Inputs!$B$3&gt;=104,1,0))))))+((C1255=TRUE)*F1255*IF(AND(Inputs!$B$38&lt;&gt;"pvp",Inputs!$B$43&gt;0),(((R1255-1)*(Skills!T14*(1+Inputs!$B$34/100))+MIN((Skills!T14*(1+Inputs!$B$34/100)),MAX(0,Inputs!$B$43-((R1255-1)*Skills!D14))))/Inputs!$B$43),IF(Inputs!$B$38="pvp",MIN((Skills!T14*(1+Inputs!$B$34/100)),15)/15,(Skills!T14*(1+Inputs!$B$34/100))/Skills!D14)))+((C1256=TRUE)*F1256*IF(AND(Inputs!$B$38&lt;&gt;"pvp",Inputs!$B$43&gt;0),(((R1256-1)*(Skills!T15*(1+Inputs!$B$34/100))+MIN((Skills!T15*(1+Inputs!$B$34/100)),MAX(0,Inputs!$B$43-((R1256-1)*Skills!D15))))/Inputs!$B$43),IF(Inputs!$B$38="pvp",MIN((Skills!T15*(1+Inputs!$B$34/100)),15)/15,(Skills!T15*(1+Inputs!$B$34/100))/Skills!D15)))+((Inputs!$B$3&gt;=110)*20*(B1269-1)*IF(Inputs!$B$38="pvp",MIN((15*(1+Inputs!$B$34/100)),15)/15,(15*(1+Inputs!$B$34/100))/35))</f>
        <v/>
      </c>
    </row>
    <row r="1274">
      <c r="A1274" t="inlineStr">
        <is>
          <t>Buff-Casting Startup Delay (s, fixed-duration only)</t>
        </is>
      </c>
      <c r="B1274">
        <f>IF(AND(Inputs!$B$38&lt;&gt;"pvp",Inputs!$B$43&gt;0),SUMPRODUCT((Skills!T2:T23&gt;0)*(Skills!E2:E23=TRUE)*(C1243:C1264=TRUE))/B1269,0)</f>
        <v/>
      </c>
    </row>
    <row r="1275">
      <c r="A1275" t="inlineStr">
        <is>
          <t>Boss-Only Total DPS (this block's swept value)</t>
        </is>
      </c>
      <c r="B1275">
        <f>SUM(T1243:T1264)</f>
        <v/>
      </c>
    </row>
    <row r="1276">
      <c r="A1276" t="inlineStr">
        <is>
          <t>Normal-Only Total DPS (this block's swept value)</t>
        </is>
      </c>
      <c r="B1276">
        <f>SUM(V1243:V1264)</f>
        <v/>
      </c>
    </row>
    <row r="1277">
      <c r="A1277" s="6" t="inlineStr">
        <is>
          <t>TOTAL DPS</t>
        </is>
      </c>
      <c r="B1277" s="6">
        <f>SUM(O1243:O1264)</f>
        <v/>
      </c>
    </row>
    <row r="1280">
      <c r="A1280" s="6" t="inlineStr">
        <is>
          <t>Stat: Hexagon Necklace (Equip)</t>
        </is>
      </c>
    </row>
    <row r="1281">
      <c r="A1281" s="5" t="inlineStr">
        <is>
          <t>Key</t>
        </is>
      </c>
      <c r="B1281" s="5" t="inlineStr">
        <is>
          <t>Name</t>
        </is>
      </c>
      <c r="C1281" s="5" t="inlineStr">
        <is>
          <t>Unlocked</t>
        </is>
      </c>
      <c r="D1281" s="5" t="inlineStr">
        <is>
          <t>InputLevel</t>
        </is>
      </c>
      <c r="E1281" s="5" t="inlineStr">
        <is>
          <t>Factor</t>
        </is>
      </c>
      <c r="F1281" s="5" t="inlineStr">
        <is>
          <t>CoefficientPercent</t>
        </is>
      </c>
      <c r="G1281" s="5" t="inlineStr">
        <is>
          <t>EffectiveHits</t>
        </is>
      </c>
      <c r="H1281" s="5" t="inlineStr">
        <is>
          <t>ProcProbability</t>
        </is>
      </c>
      <c r="I1281" s="5" t="inlineStr">
        <is>
          <t>MapleHeroMultiplier</t>
        </is>
      </c>
      <c r="J1281" s="5" t="inlineStr">
        <is>
          <t>BaseDamage</t>
        </is>
      </c>
      <c r="K1281" s="5" t="inlineStr">
        <is>
          <t>BaseHitDamage</t>
        </is>
      </c>
      <c r="L1281" s="5" t="inlineStr">
        <is>
          <t>NonCritAvg</t>
        </is>
      </c>
      <c r="M1281" s="5" t="inlineStr">
        <is>
          <t>CritAvg</t>
        </is>
      </c>
      <c r="N1281" s="5" t="inlineStr">
        <is>
          <t>ExpectedDamage(perHit)</t>
        </is>
      </c>
      <c r="O1281" s="5" t="inlineStr">
        <is>
          <t>DPS</t>
        </is>
      </c>
      <c r="P1281" s="5" t="inlineStr">
        <is>
          <t>% of Total</t>
        </is>
      </c>
      <c r="Q1281" s="5" t="inlineStr">
        <is>
          <t>InvCooldown</t>
        </is>
      </c>
      <c r="R1281" s="5" t="inlineStr">
        <is>
          <t>CastsInFight</t>
        </is>
      </c>
      <c r="S1281" s="5" t="inlineStr">
        <is>
          <t>HitRate(perSec)</t>
        </is>
      </c>
      <c r="U1281" t="inlineStr">
        <is>
          <t>helpers</t>
        </is>
      </c>
    </row>
    <row r="1282">
      <c r="A1282">
        <f>Skills!A2</f>
        <v/>
      </c>
      <c r="B1282">
        <f>Skills!B2</f>
        <v/>
      </c>
      <c r="C1282">
        <f>Inputs!$B$3&gt;=100</f>
        <v/>
      </c>
      <c r="D1282" t="inlineStr"/>
      <c r="E1282" t="inlineStr"/>
      <c r="F1282">
        <f>U1284+Skills!O2</f>
        <v/>
      </c>
      <c r="G1282">
        <f>Skills!G2*IF(Skills!H2&gt;0,Skills!I2/Skills!H2,1)</f>
        <v/>
      </c>
      <c r="H1282">
        <f>1-(1-Skills!J2/100)^Skills!K2</f>
        <v/>
      </c>
      <c r="I1282" t="inlineStr">
        <is>
          <t>1</t>
        </is>
      </c>
      <c r="J1282">
        <f>((Inputs!$B$6*(1+Inputs!$B$7/100))+(((Inputs!$B$12*(1+Inputs!$B$13/100))-(Inputs!$B$12*(1+Inputs!$B$13/100)))+0.25*(Inputs!$B$14-Inputs!$B$14))*(1+Inputs!$B$7/100))*(F1282/100)</f>
        <v/>
      </c>
      <c r="K1282">
        <f>J1282*(1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1282)</f>
        <v/>
      </c>
      <c r="L1282">
        <f>K1282*(MIN(Inputs!$B$22+((C1300=TRUE)*(F1300-Calc!F20)),(Inputs!$B$23+0+(IF(ArtifactsInput!$M$15,CHOOSE(ArtifactsInput!$N$15+1,25,30,35,40,45,50)/100*(Inputs!$B$11-Inputs!$B$11),0))))/100+(Inputs!$B$23+0+(IF(ArtifactsInput!$M$15,CHOOSE(ArtifactsInput!$N$15+1,25,30,35,40,45,50)/100*(Inputs!$B$11-Inputs!$B$11),0)))/100)/2</f>
        <v/>
      </c>
      <c r="M1282">
        <f>L1282*(1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2">
        <f>L1282*(1-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1282*(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2">
        <f>(1-Summary!$B$11)*T1282+Summary!$B$11*V1282</f>
        <v/>
      </c>
      <c r="P1282">
        <f>IF(B1316=0,0,O1282/B1316)</f>
        <v/>
      </c>
      <c r="Q1282" t="n">
        <v>0</v>
      </c>
      <c r="R1282" t="n">
        <v>0</v>
      </c>
      <c r="S1282">
        <f>IFERROR(O1282/N1282,0)</f>
        <v/>
      </c>
      <c r="T1282">
        <f>IF(C1282,(Skills!G2*N1282*B1310)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1282*(1-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1282*(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1282*(1-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1282*(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2">
        <f>MAX(0,(Inputs!$B$3-100)*3)+Inputs!$B$28+Inputs!$B$29</f>
        <v/>
      </c>
      <c r="V1282">
        <f>IF(C1282,(Skills!G2*N1282*B1310)*IF(Inputs!$B$38="pvp",1,(1+(Inputs!$B$21+Skills!Q2+(IF(ArtifactsInput!$M$33,CHOOSE(ArtifactsInput!$N$33+1,30,36,42,48,54,60),0))+(IF(AND(ArtifactsInput!$M$35,Inputs!$B$4&lt;&gt;"Chapter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3">
      <c r="A1283">
        <f>Skills!A3</f>
        <v/>
      </c>
      <c r="B1283">
        <f>Skills!B3</f>
        <v/>
      </c>
      <c r="C1283">
        <f>Inputs!$B$3&gt;=35</f>
        <v/>
      </c>
      <c r="D1283">
        <f>IF(Skills!C3=1,60+Inputs!$B$25+Inputs!$B$29,IF(Skills!C3=2,90+Inputs!$B$26+Inputs!$B$29,IF(Skills!C3=3,120+Inputs!$B$27+Inputs!$B$29,MAX(0,(Inputs!$B$3-100)*3)+Inputs!$B$28+Inputs!$B$29)))</f>
        <v/>
      </c>
      <c r="E1283">
        <f>INDEX(FactorTable!$B$2:$Y$301, MATCH(ROUND(MIN(300,MAX(1,D1283)),0), FactorTable!$A$2:$A$301,0), Skills!M3+1)</f>
        <v/>
      </c>
      <c r="F1283">
        <f>IF(Skills!N3=TRUE,(Skills!L3/10)*(E1283/1000),Skills!L3/10)+Skills!O3</f>
        <v/>
      </c>
      <c r="G1283">
        <f>Skills!G3*IF(Skills!H3&gt;0,Skills!I3/Skills!H3,1)</f>
        <v/>
      </c>
      <c r="H1283">
        <f>1-(1-Skills!J3/100)^Skills!K3</f>
        <v/>
      </c>
      <c r="I1283" t="inlineStr">
        <is>
          <t>1</t>
        </is>
      </c>
      <c r="J1283">
        <f>((Inputs!$B$6*(1+Inputs!$B$7/100))+(((Inputs!$B$12*(1+Inputs!$B$13/100))-(Inputs!$B$12*(1+Inputs!$B$13/100)))+0.25*(Inputs!$B$14-Inputs!$B$14))*(1+Inputs!$B$7/100))*(F1283/100)</f>
        <v/>
      </c>
      <c r="K1283">
        <f>J1283*(1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1283)</f>
        <v/>
      </c>
      <c r="L1283">
        <f>K1283*(MIN(Inputs!$B$22+((C1300=TRUE)*(F1300-Calc!F20)),(Inputs!$B$23+0+(IF(ArtifactsInput!$M$15,CHOOSE(ArtifactsInput!$N$15+1,25,30,35,40,45,50)/100*(Inputs!$B$11-Inputs!$B$11),0))))/100+(Inputs!$B$23+0+(IF(ArtifactsInput!$M$15,CHOOSE(ArtifactsInput!$N$15+1,25,30,35,40,45,50)/100*(Inputs!$B$11-Inputs!$B$11),0)))/100)/2</f>
        <v/>
      </c>
      <c r="M1283">
        <f>L1283*(1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3">
        <f>L1283*(1-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1283*(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3">
        <f>(1-Summary!$B$11)*T1283+Summary!$B$11*V1283</f>
        <v/>
      </c>
      <c r="P1283">
        <f>IF(B1316=0,0,O1283/B1316)</f>
        <v/>
      </c>
      <c r="Q1283" t="n">
        <v>0</v>
      </c>
      <c r="R1283" t="n">
        <v>0</v>
      </c>
      <c r="S1283">
        <f>IFERROR(O1283/N1283,0)</f>
        <v/>
      </c>
      <c r="T1283">
        <f>IF(C1283,(Skills!G3*H1283*N1283*B1310)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1283*(1-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1283*(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1283*(1-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1283*(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3">
        <f>INDEX(FactorTable!$B$2:$Y$301, MATCH(ROUND(MIN(300,MAX(1,U1282)),0), FactorTable!$A$2:$A$301,0), 22)</f>
        <v/>
      </c>
      <c r="V1283">
        <f>IF(C1283,(Skills!G3*H1283*N1283*B1310)*IF(Inputs!$B$38="pvp",1,(1+(Inputs!$B$21+Skills!Q3+(IF(ArtifactsInput!$M$33,CHOOSE(ArtifactsInput!$N$33+1,30,36,42,48,54,60),0))+(IF(AND(ArtifactsInput!$M$35,Inputs!$B$4&lt;&gt;"Chapter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4">
      <c r="A1284">
        <f>Skills!A4</f>
        <v/>
      </c>
      <c r="B1284">
        <f>Skills!B4</f>
        <v/>
      </c>
      <c r="C1284">
        <f>Inputs!$B$3&gt;=60</f>
        <v/>
      </c>
      <c r="D1284">
        <f>IF(Skills!C4=1,60+Inputs!$B$25+Inputs!$B$29,IF(Skills!C4=2,90+Inputs!$B$26+Inputs!$B$29,IF(Skills!C4=3,120+Inputs!$B$27+Inputs!$B$29,MAX(0,(Inputs!$B$3-100)*3)+Inputs!$B$28+Inputs!$B$29)))</f>
        <v/>
      </c>
      <c r="E1284">
        <f>INDEX(FactorTable!$B$2:$Y$301, MATCH(ROUND(MIN(300,MAX(1,D1284)),0), FactorTable!$A$2:$A$301,0), Skills!M4+1)</f>
        <v/>
      </c>
      <c r="F1284">
        <f>IF(Skills!N4=TRUE,(Skills!L4/10)*(E1284/1000),Skills!L4/10)+Skills!O4</f>
        <v/>
      </c>
      <c r="G1284">
        <f>Skills!G4*IF(Skills!H4&gt;0,Skills!I4/Skills!H4,1)</f>
        <v/>
      </c>
      <c r="H1284">
        <f>1-(1-Skills!J4/100)^Skills!K4</f>
        <v/>
      </c>
      <c r="I1284" t="inlineStr">
        <is>
          <t>1</t>
        </is>
      </c>
      <c r="J1284">
        <f>((Inputs!$B$6*(1+Inputs!$B$7/100))+(((Inputs!$B$12*(1+Inputs!$B$13/100))-(Inputs!$B$12*(1+Inputs!$B$13/100)))+0.25*(Inputs!$B$14-Inputs!$B$14))*(1+Inputs!$B$7/100))*(F1284/100)</f>
        <v/>
      </c>
      <c r="K1284">
        <f>J1284*(1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1292=TRUE,F1292,0)/100)*(1+(IF(Skills!A4="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1284)</f>
        <v/>
      </c>
      <c r="L1284">
        <f>K1284*(MIN(Inputs!$B$22+((C1300=TRUE)*(F1300-Calc!F20)),(Inputs!$B$23+0+(IF(ArtifactsInput!$M$15,CHOOSE(ArtifactsInput!$N$15+1,25,30,35,40,45,50)/100*(Inputs!$B$11-Inputs!$B$11),0))))/100+(Inputs!$B$23+0+(IF(ArtifactsInput!$M$15,CHOOSE(ArtifactsInput!$N$15+1,25,30,35,40,45,50)/100*(Inputs!$B$11-Inputs!$B$11),0)))/100)/2</f>
        <v/>
      </c>
      <c r="M1284">
        <f>L1284*(1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4">
        <f>L1284*(1-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1284*(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4">
        <f>(1-Summary!$B$11)*T1284+Summary!$B$11*V1284</f>
        <v/>
      </c>
      <c r="P1284">
        <f>IF(B1316=0,0,O1284/B1316)</f>
        <v/>
      </c>
      <c r="Q1284" t="n">
        <v>0</v>
      </c>
      <c r="R1284" t="n">
        <v>0</v>
      </c>
      <c r="S1284">
        <f>IFERROR(O1284/N1284,0)</f>
        <v/>
      </c>
      <c r="T1284">
        <f>IF(C1284,(Skills!G4*H1284*N1284*B1310)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1284*(1-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1284*(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1284*(1-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1284*(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4">
        <f>290*U1283/1000</f>
        <v/>
      </c>
      <c r="V1284">
        <f>IF(C1284,(Skills!G4*H1284*N1284*B1310)*IF(Inputs!$B$38="pvp",1,(1+(Inputs!$B$21+Skills!Q4+(IF(ArtifactsInput!$M$33,CHOOSE(ArtifactsInput!$N$33+1,30,36,42,48,54,60),0))+(IF(AND(ArtifactsInput!$M$35,Inputs!$B$4&lt;&gt;"Chapter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5">
      <c r="A1285">
        <f>Skills!A5</f>
        <v/>
      </c>
      <c r="B1285">
        <f>Skills!B5</f>
        <v/>
      </c>
      <c r="C1285">
        <f>Inputs!$B$3&gt;=60</f>
        <v/>
      </c>
      <c r="D1285">
        <f>IF(Skills!C5=1,60+Inputs!$B$25+Inputs!$B$29,IF(Skills!C5=2,90+Inputs!$B$26+Inputs!$B$29,IF(Skills!C5=3,120+Inputs!$B$27+Inputs!$B$29,MAX(0,(Inputs!$B$3-100)*3)+Inputs!$B$28+Inputs!$B$29)))</f>
        <v/>
      </c>
      <c r="E1285">
        <f>INDEX(FactorTable!$B$2:$Y$301, MATCH(ROUND(MIN(300,MAX(1,D1285)),0), FactorTable!$A$2:$A$301,0), Skills!M5+1)</f>
        <v/>
      </c>
      <c r="F1285">
        <f>IF(Skills!N5=TRUE,(Skills!L5/10)*(E1285/1000),Skills!L5/10)+Skills!O5</f>
        <v/>
      </c>
      <c r="G1285">
        <f>Skills!G5*IF(Skills!H5&gt;0,Skills!I5/Skills!H5,1)</f>
        <v/>
      </c>
      <c r="H1285">
        <f>1-(1-Skills!J5/100)^Skills!K5</f>
        <v/>
      </c>
      <c r="I1285" t="inlineStr">
        <is>
          <t>1</t>
        </is>
      </c>
      <c r="J1285" t="inlineStr"/>
      <c r="K1285" t="inlineStr"/>
      <c r="L1285" t="inlineStr"/>
      <c r="M1285" t="inlineStr"/>
      <c r="N1285" t="inlineStr"/>
      <c r="O1285">
        <f>(1-Summary!$B$11)*T1285+Summary!$B$11*V1285</f>
        <v/>
      </c>
      <c r="P1285">
        <f>IF(B1316=0,0,O1285/B1316)</f>
        <v/>
      </c>
      <c r="Q1285" t="n">
        <v>0</v>
      </c>
      <c r="R1285" t="n">
        <v>0</v>
      </c>
      <c r="S1285">
        <f>IFERROR(O1285/N1285,0)</f>
        <v/>
      </c>
      <c r="T1285" t="n">
        <v>0</v>
      </c>
      <c r="V1285" t="n">
        <v>0</v>
      </c>
    </row>
    <row r="1286">
      <c r="A1286">
        <f>Skills!A6</f>
        <v/>
      </c>
      <c r="B1286">
        <f>Skills!B6</f>
        <v/>
      </c>
      <c r="C1286">
        <f>Inputs!$B$3&gt;=63</f>
        <v/>
      </c>
      <c r="D1286">
        <f>IF(Skills!C6=1,60+Inputs!$B$25+Inputs!$B$29,IF(Skills!C6=2,90+Inputs!$B$26+Inputs!$B$29,IF(Skills!C6=3,120+Inputs!$B$27+Inputs!$B$29,MAX(0,(Inputs!$B$3-100)*3)+Inputs!$B$28+Inputs!$B$29)))</f>
        <v/>
      </c>
      <c r="E1286">
        <f>INDEX(FactorTable!$B$2:$Y$301, MATCH(ROUND(MIN(300,MAX(1,D1286)),0), FactorTable!$A$2:$A$301,0), Skills!M6+1)</f>
        <v/>
      </c>
      <c r="F1286">
        <f>IF(Skills!N6=TRUE,(Skills!L6/10)*(E1286/1000),Skills!L6/10)+Skills!O6</f>
        <v/>
      </c>
      <c r="G1286">
        <f>Skills!G6*IF(Skills!H6&gt;0,Skills!I6/Skills!H6,1)</f>
        <v/>
      </c>
      <c r="H1286">
        <f>1-(1-Skills!J6/100)^Skills!K6</f>
        <v/>
      </c>
      <c r="I1286" t="inlineStr">
        <is>
          <t>1</t>
        </is>
      </c>
      <c r="J1286">
        <f>((Inputs!$B$6*(1+Inputs!$B$7/100))+(((Inputs!$B$12*(1+Inputs!$B$13/100))-(Inputs!$B$12*(1+Inputs!$B$13/100)))+0.25*(Inputs!$B$14-Inputs!$B$14))*(1+Inputs!$B$7/100))*(F1286/100)</f>
        <v/>
      </c>
      <c r="K1286">
        <f>J1286*(1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1292=TRUE,F1292,0)/100)*(1+(IF(Skills!A6="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1286)</f>
        <v/>
      </c>
      <c r="L1286">
        <f>K1286*(MIN(Inputs!$B$22+((C1300=TRUE)*(F1300-Calc!F20)),(Inputs!$B$23+0+(IF(ArtifactsInput!$M$15,CHOOSE(ArtifactsInput!$N$15+1,25,30,35,40,45,50)/100*(Inputs!$B$11-Inputs!$B$11),0))))/100+(Inputs!$B$23+0+(IF(ArtifactsInput!$M$15,CHOOSE(ArtifactsInput!$N$15+1,25,30,35,40,45,50)/100*(Inputs!$B$11-Inputs!$B$11),0)))/100)/2</f>
        <v/>
      </c>
      <c r="M1286">
        <f>L1286*(1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6">
        <f>L1286*(1-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1286*(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6">
        <f>(1-Summary!$B$11)*T1286+Summary!$B$11*V1286</f>
        <v/>
      </c>
      <c r="P1286">
        <f>IF(B1316=0,0,O1286/B1316)</f>
        <v/>
      </c>
      <c r="Q1286">
        <f>IFERROR(1/(IF(Inputs!$B$38="pvp",15,MAX(0.1,Skills!D6-IF(Skills!E6=TRUE,Inputs!$B$32,0)))*(1-IF(AND(ArtifactsInput!$M$27,Inputs!$B$4="Chapter Hunt"),CHOOSE(ArtifactsInput!$N$27+1,20,24,28,32,36,40),0)/100)),0)</f>
        <v/>
      </c>
      <c r="R1286">
        <f>IF(AND(Inputs!$B$38&lt;&gt;"pvp",Inputs!$B$43&gt;0),IF(MAX(0,Inputs!$B$43-B1313)&lt;=0,0,(INT(MAX(0,Inputs!$B$43-B1313)/(IF(Inputs!$B$38="pvp",15,MAX(0.1,Skills!D6-IF(Skills!E6=TRUE,Inputs!$B$32,0)))*(1-IF(AND(ArtifactsInput!$M$27,Inputs!$B$4="Chapter Hunt"),CHOOSE(ArtifactsInput!$N$27+1,20,24,28,32,36,40),0)/100)))+1)),0)</f>
        <v/>
      </c>
      <c r="S1286">
        <f>IFERROR(O1286/N1286,0)</f>
        <v/>
      </c>
      <c r="T1286">
        <f>IF(C1286,(H1286*N1286*IF(AND(Inputs!$B$38&lt;&gt;"pvp",Inputs!$B$43&gt;0),((Skills!G6*((R1286-1)*IF(Skills!H6&gt;0,Skills!I6/Skills!H6,1)+IF(Skills!H6&gt;0,MIN(Skills!I6,MAX(0,MAX(0,Inputs!$B$43-B1313)-((R1286-1)*(IF(Inputs!$B$38="pvp",15,MAX(0.1,Skills!D6-IF(Skills!E6=TRUE,Inputs!$B$32,0)))*(1-IF(AND(ArtifactsInput!$M$27,Inputs!$B$4="Chapter Hunt"),CHOOSE(ArtifactsInput!$N$27+1,20,24,28,32,36,40),0)/100)))))/Skills!H6,1)))/Inputs!$B$43),G1286*Q1286)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1286*(1-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1286*(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1286*(1-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1286*(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6">
        <f>IF(C1286,(H1286*N1286*IF(AND(Inputs!$B$38&lt;&gt;"pvp",Inputs!$B$43&gt;0),((Skills!G6*((R1286-1)*IF(Skills!H6&gt;0,Skills!I6/Skills!H6,1)+IF(Skills!H6&gt;0,MIN(Skills!I6,MAX(0,MAX(0,Inputs!$B$43-B1313)-((R1286-1)*(IF(Inputs!$B$38="pvp",15,MAX(0.1,Skills!D6-IF(Skills!E6=TRUE,Inputs!$B$32,0)))*(1-IF(AND(ArtifactsInput!$M$27,Inputs!$B$4="Chapter Hunt"),CHOOSE(ArtifactsInput!$N$27+1,20,24,28,32,36,40),0)/100)))))/Skills!H6,1)))/Inputs!$B$43),G1286*Q1286))*IF(Inputs!$B$38="pvp",1,(1+(Inputs!$B$21+Skills!Q6+(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7">
      <c r="A1287">
        <f>Skills!A7</f>
        <v/>
      </c>
      <c r="B1287">
        <f>Skills!B7</f>
        <v/>
      </c>
      <c r="C1287">
        <f>Inputs!$B$3&gt;=100</f>
        <v/>
      </c>
      <c r="D1287">
        <f>IF(Skills!C7=1,60+Inputs!$B$25+Inputs!$B$29,IF(Skills!C7=2,90+Inputs!$B$26+Inputs!$B$29,IF(Skills!C7=3,120+Inputs!$B$27+Inputs!$B$29,MAX(0,(Inputs!$B$3-100)*3)+Inputs!$B$28+Inputs!$B$29)))</f>
        <v/>
      </c>
      <c r="E1287">
        <f>INDEX(FactorTable!$B$2:$Y$301, MATCH(ROUND(MIN(300,MAX(1,D1287)),0), FactorTable!$A$2:$A$301,0), Skills!M7+1)</f>
        <v/>
      </c>
      <c r="F1287">
        <f>IF(Skills!N7=TRUE,(Skills!L7/10)*(E1287/1000),Skills!L7/10)+Skills!O7</f>
        <v/>
      </c>
      <c r="G1287">
        <f>Skills!G7*IF(Skills!H7&gt;0,Skills!I7/Skills!H7,1)</f>
        <v/>
      </c>
      <c r="H1287">
        <f>1-(1-Skills!J7/100)^Skills!K7</f>
        <v/>
      </c>
      <c r="I1287" t="inlineStr">
        <is>
          <t>1</t>
        </is>
      </c>
      <c r="J1287">
        <f>((Inputs!$B$6*(1+Inputs!$B$7/100))+(((Inputs!$B$12*(1+Inputs!$B$13/100))-(Inputs!$B$12*(1+Inputs!$B$13/100)))+0.25*(Inputs!$B$14-Inputs!$B$14))*(1+Inputs!$B$7/100))*(F1287/100)</f>
        <v/>
      </c>
      <c r="K1287">
        <f>J1287*(1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1287)</f>
        <v/>
      </c>
      <c r="L1287">
        <f>K1287*(MIN(Inputs!$B$22+((C1300=TRUE)*(F1300-Calc!F20)),(Inputs!$B$23+0+(IF(ArtifactsInput!$M$15,CHOOSE(ArtifactsInput!$N$15+1,25,30,35,40,45,50)/100*(Inputs!$B$11-Inputs!$B$11),0))))/100+(Inputs!$B$23+0+(IF(ArtifactsInput!$M$15,CHOOSE(ArtifactsInput!$N$15+1,25,30,35,40,45,50)/100*(Inputs!$B$11-Inputs!$B$11),0)))/100)/2</f>
        <v/>
      </c>
      <c r="M1287">
        <f>L1287*(1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7">
        <f>L1287*(1-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1287*(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7">
        <f>(1-Summary!$B$11)*T1287+Summary!$B$11*V1287</f>
        <v/>
      </c>
      <c r="P1287">
        <f>IF(B1316=0,0,O1287/B1316)</f>
        <v/>
      </c>
      <c r="Q1287">
        <f>IFERROR(1/(IF(Inputs!$B$38="pvp",15,MAX(0.1,Skills!D7-IF(Skills!E7=TRUE,Inputs!$B$32,0)))*(1-IF(AND(ArtifactsInput!$M$27,Inputs!$B$4="Chapter Hunt"),CHOOSE(ArtifactsInput!$N$27+1,20,24,28,32,36,40),0)/100)),0)</f>
        <v/>
      </c>
      <c r="R1287">
        <f>IF(AND(Inputs!$B$38&lt;&gt;"pvp",Inputs!$B$43&gt;0),IF(MAX(0,Inputs!$B$43-B1313)&lt;=0,0,(INT(MAX(0,Inputs!$B$43-B1313)/(IF(Inputs!$B$38="pvp",15,MAX(0.1,Skills!D7-IF(Skills!E7=TRUE,Inputs!$B$32,0)))*(1-IF(AND(ArtifactsInput!$M$27,Inputs!$B$4="Chapter Hunt"),CHOOSE(ArtifactsInput!$N$27+1,20,24,28,32,36,40),0)/100)))+1)),0)</f>
        <v/>
      </c>
      <c r="S1287">
        <f>IFERROR(O1287/N1287,0)</f>
        <v/>
      </c>
      <c r="T1287">
        <f>IF(C1287,(H1287*N1287*IF(AND(Inputs!$B$38&lt;&gt;"pvp",Inputs!$B$43&gt;0),((Skills!G7*((R1287-1)*IF(Skills!H7&gt;0,Skills!I7/Skills!H7,1)+IF(Skills!H7&gt;0,MIN(Skills!I7,MAX(0,MAX(0,Inputs!$B$43-B1313)-((R1287-1)*(IF(Inputs!$B$38="pvp",15,MAX(0.1,Skills!D7-IF(Skills!E7=TRUE,Inputs!$B$32,0)))*(1-IF(AND(ArtifactsInput!$M$27,Inputs!$B$4="Chapter Hunt"),CHOOSE(ArtifactsInput!$N$27+1,20,24,28,32,36,40),0)/100)))))/Skills!H7,1)))/Inputs!$B$43),G1287*Q1287)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1287*(1-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1287*(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1287*(1-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1287*(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7">
        <f>IF(C1287,(H1287*N1287*IF(AND(Inputs!$B$38&lt;&gt;"pvp",Inputs!$B$43&gt;0),((Skills!G7*((R1287-1)*IF(Skills!H7&gt;0,Skills!I7/Skills!H7,1)+IF(Skills!H7&gt;0,MIN(Skills!I7,MAX(0,MAX(0,Inputs!$B$43-B1313)-((R1287-1)*(IF(Inputs!$B$38="pvp",15,MAX(0.1,Skills!D7-IF(Skills!E7=TRUE,Inputs!$B$32,0)))*(1-IF(AND(ArtifactsInput!$M$27,Inputs!$B$4="Chapter Hunt"),CHOOSE(ArtifactsInput!$N$27+1,20,24,28,32,36,40),0)/100)))))/Skills!H7,1)))/Inputs!$B$43),G1287*Q1287))*IF(Inputs!$B$38="pvp",1,(1+(Inputs!$B$21+Skills!Q7+(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8">
      <c r="A1288">
        <f>Skills!A8</f>
        <v/>
      </c>
      <c r="B1288">
        <f>Skills!B8</f>
        <v/>
      </c>
      <c r="C1288">
        <f>Inputs!$B$3&gt;=110</f>
        <v/>
      </c>
      <c r="D1288">
        <f>IF(Skills!C8=1,60+Inputs!$B$25+Inputs!$B$29,IF(Skills!C8=2,90+Inputs!$B$26+Inputs!$B$29,IF(Skills!C8=3,120+Inputs!$B$27+Inputs!$B$29,MAX(0,(Inputs!$B$3-100)*3)+Inputs!$B$28+Inputs!$B$29)))</f>
        <v/>
      </c>
      <c r="E1288">
        <f>INDEX(FactorTable!$B$2:$Y$301, MATCH(ROUND(MIN(300,MAX(1,D1288)),0), FactorTable!$A$2:$A$301,0), Skills!M8+1)</f>
        <v/>
      </c>
      <c r="F1288">
        <f>IF(Skills!N8=TRUE,(Skills!L8/10)*(E1288/1000),Skills!L8/10)+Skills!O8</f>
        <v/>
      </c>
      <c r="G1288">
        <f>Skills!G8*IF(Skills!H8&gt;0,Skills!I8/Skills!H8,1)</f>
        <v/>
      </c>
      <c r="H1288">
        <f>1-(1-Skills!J8/100)^Skills!K8</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1300=TRUE)*(F1300-Calc!F20)),(Inputs!$B$23+0+(IF(ArtifactsInput!$M$15,CHOOSE(ArtifactsInput!$N$15+1,25,30,35,40,45,50)/100*(Inputs!$B$11-Inputs!$B$11),0))))/100+(Inputs!$B$23+0+(IF(ArtifactsInput!$M$15,CHOOSE(ArtifactsInput!$N$15+1,25,30,35,40,45,50)/100*(Inputs!$B$11-Inputs!$B$11),0)))/100)/2</f>
        <v/>
      </c>
      <c r="M1288">
        <f>L1288*(1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IF(B1316=0,0,O1288/B1316)</f>
        <v/>
      </c>
      <c r="Q1288">
        <f>IFERROR(1/(IF(Inputs!$B$38="pvp",15,MAX(0.1,Skills!D8-IF(Skills!E8=TRUE,Inputs!$B$32,0)))*(1-IF(AND(ArtifactsInput!$M$27,Inputs!$B$4="Chapter Hunt"),CHOOSE(ArtifactsInput!$N$27+1,20,24,28,32,36,40),0)/100)),0)</f>
        <v/>
      </c>
      <c r="R1288">
        <f>IF(AND(Inputs!$B$38&lt;&gt;"pvp",Inputs!$B$43&gt;0),IF(MAX(0,Inputs!$B$43-B1313)&lt;=0,0,(INT(MAX(0,Inputs!$B$43-B1313)/(IF(Inputs!$B$38="pvp",15,MAX(0.1,Skills!D8-IF(Skills!E8=TRUE,Inputs!$B$32,0)))*(1-IF(AND(ArtifactsInput!$M$27,Inputs!$B$4="Chapter Hunt"),CHOOSE(ArtifactsInput!$N$27+1,20,24,28,32,36,40),0)/100)))+1)),0)</f>
        <v/>
      </c>
      <c r="S1288">
        <f>IFERROR(O1288/N1288,0)</f>
        <v/>
      </c>
      <c r="T1288">
        <f>IF(C1288,(H1288*N1288*IF(AND(Inputs!$B$38&lt;&gt;"pvp",Inputs!$B$43&gt;0),((Skills!G8*((R1288-1)*IF(Skills!H8&gt;0,Skills!I8/Skills!H8,1)+IF(Skills!H8&gt;0,MIN(Skills!I8,MAX(0,MAX(0,Inputs!$B$43-B1313)-((R1288-1)*(IF(Inputs!$B$38="pvp",15,MAX(0.1,Skills!D8-IF(Skills!E8=TRUE,Inputs!$B$32,0)))*(1-IF(AND(ArtifactsInput!$M$27,Inputs!$B$4="Chapter Hunt"),CHOOSE(ArtifactsInput!$N$27+1,20,24,28,32,36,40),0)/100)))))/Skills!H8,1)))/Inputs!$B$43),G1288*Q1288)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8">
        <f>IF(C1288,(H1288*N1288*IF(AND(Inputs!$B$38&lt;&gt;"pvp",Inputs!$B$43&gt;0),((Skills!G8*((R1288-1)*IF(Skills!H8&gt;0,Skills!I8/Skills!H8,1)+IF(Skills!H8&gt;0,MIN(Skills!I8,MAX(0,MAX(0,Inputs!$B$43-B1313)-((R1288-1)*(IF(Inputs!$B$38="pvp",15,MAX(0.1,Skills!D8-IF(Skills!E8=TRUE,Inputs!$B$32,0)))*(1-IF(AND(ArtifactsInput!$M$27,Inputs!$B$4="Chapter Hunt"),CHOOSE(ArtifactsInput!$N$27+1,20,24,28,32,36,40),0)/100)))))/Skills!H8,1)))/Inputs!$B$43),G1288*Q1288))*IF(Inputs!$B$38="pvp",1,(1+(Inputs!$B$21+Skills!Q8+(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Skills!A9</f>
        <v/>
      </c>
      <c r="B1289">
        <f>Skills!B9</f>
        <v/>
      </c>
      <c r="C1289">
        <f>Inputs!$B$3&gt;=110</f>
        <v/>
      </c>
      <c r="D1289">
        <f>IF(Skills!C9=1,60+Inputs!$B$25+Inputs!$B$29,IF(Skills!C9=2,90+Inputs!$B$26+Inputs!$B$29,IF(Skills!C9=3,120+Inputs!$B$27+Inputs!$B$29,MAX(0,(Inputs!$B$3-100)*3)+Inputs!$B$28+Inputs!$B$29)))</f>
        <v/>
      </c>
      <c r="E1289">
        <f>INDEX(FactorTable!$B$2:$Y$301, MATCH(ROUND(MIN(300,MAX(1,D1289)),0), FactorTable!$A$2:$A$301,0), Skills!M9+1)</f>
        <v/>
      </c>
      <c r="F1289">
        <f>IF(Skills!N9=TRUE,(Skills!L9/10)*(E1289/1000),Skills!L9/10)+Skills!O9</f>
        <v/>
      </c>
      <c r="G1289">
        <f>Skills!G9*IF(Skills!H9&gt;0,Skills!I9/Skills!H9,1)</f>
        <v/>
      </c>
      <c r="H1289">
        <f>1-(1-Skills!J9/100)^Skills!K9</f>
        <v/>
      </c>
      <c r="I1289" t="inlineStr">
        <is>
          <t>1</t>
        </is>
      </c>
      <c r="J1289">
        <f>((Inputs!$B$6*(1+Inputs!$B$7/100))+(((Inputs!$B$12*(1+Inputs!$B$13/100))-(Inputs!$B$12*(1+Inputs!$B$13/100)))+0.25*(Inputs!$B$14-Inputs!$B$14))*(1+Inputs!$B$7/100))*(F1289/100)</f>
        <v/>
      </c>
      <c r="K1289">
        <f>J1289*(1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C1300=TRUE)*(F1300-Calc!F20)),(Inputs!$B$23+0+(IF(ArtifactsInput!$M$15,CHOOSE(ArtifactsInput!$N$15+1,25,30,35,40,45,50)/100*(Inputs!$B$11-Inputs!$B$11),0))))/100+(Inputs!$B$23+0+(IF(ArtifactsInput!$M$15,CHOOSE(ArtifactsInput!$N$15+1,25,30,35,40,45,50)/100*(Inputs!$B$11-Inputs!$B$11),0)))/100)/2</f>
        <v/>
      </c>
      <c r="M1289">
        <f>L1289*(1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(1-Summary!$B$11)*T1289+Summary!$B$11*V1289</f>
        <v/>
      </c>
      <c r="P1289">
        <f>IF(B1316=0,0,O1289/B1316)</f>
        <v/>
      </c>
      <c r="Q1289">
        <f>IFERROR(1/(IF(Inputs!$B$38="pvp",15,MAX(0.1,Skills!D9-IF(Skills!E9=TRUE,Inputs!$B$32,0)))*(1-IF(AND(ArtifactsInput!$M$27,Inputs!$B$4="Chapter Hunt"),CHOOSE(ArtifactsInput!$N$27+1,20,24,28,32,36,40),0)/100)),0)</f>
        <v/>
      </c>
      <c r="R1289">
        <f>IF(AND(Inputs!$B$38&lt;&gt;"pvp",Inputs!$B$43&gt;0),IF(MAX(0,Inputs!$B$43-B1313)&lt;=0,0,(INT(MAX(0,Inputs!$B$43-B1313)/(IF(Inputs!$B$38="pvp",15,MAX(0.1,Skills!D9-IF(Skills!E9=TRUE,Inputs!$B$32,0)))*(1-IF(AND(ArtifactsInput!$M$27,Inputs!$B$4="Chapter Hunt"),CHOOSE(ArtifactsInput!$N$27+1,20,24,28,32,36,40),0)/100)))+1)),0)</f>
        <v/>
      </c>
      <c r="S1289">
        <f>IFERROR(O1289/N1289,0)</f>
        <v/>
      </c>
      <c r="T1289">
        <f>IF(C1289,(H1289*N1289*IF(AND(Inputs!$B$38&lt;&gt;"pvp",Inputs!$B$43&gt;0),((Skills!G9*((R1289-1)*IF(Skills!H9&gt;0,Skills!I9/Skills!H9,1)+IF(Skills!H9&gt;0,MIN(Skills!I9,MAX(0,MAX(0,Inputs!$B$43-B1313)-((R1289-1)*(IF(Inputs!$B$38="pvp",15,MAX(0.1,Skills!D9-IF(Skills!E9=TRUE,Inputs!$B$32,0)))*(1-IF(AND(ArtifactsInput!$M$27,Inputs!$B$4="Chapter Hunt"),CHOOSE(ArtifactsInput!$N$27+1,20,24,28,32,36,40),0)/100)))))/Skills!H9,1)))/Inputs!$B$43),G1289*Q1289)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89">
        <f>IF(C1289,(H1289*N1289*IF(AND(Inputs!$B$38&lt;&gt;"pvp",Inputs!$B$43&gt;0),((Skills!G9*((R1289-1)*IF(Skills!H9&gt;0,Skills!I9/Skills!H9,1)+IF(Skills!H9&gt;0,MIN(Skills!I9,MAX(0,MAX(0,Inputs!$B$43-B1313)-((R1289-1)*(IF(Inputs!$B$38="pvp",15,MAX(0.1,Skills!D9-IF(Skills!E9=TRUE,Inputs!$B$32,0)))*(1-IF(AND(ArtifactsInput!$M$27,Inputs!$B$4="Chapter Hunt"),CHOOSE(ArtifactsInput!$N$27+1,20,24,28,32,36,40),0)/100)))))/Skills!H9,1)))/Inputs!$B$43),G1289*Q1289))*IF(Inputs!$B$38="pvp",1,(1+(Inputs!$B$21+Skills!Q9+(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Skills!A10</f>
        <v/>
      </c>
      <c r="B1290">
        <f>Skills!B10</f>
        <v/>
      </c>
      <c r="C1290">
        <f>Inputs!$B$3&gt;=103</f>
        <v/>
      </c>
      <c r="D1290">
        <f>IF(Skills!C10=1,60+Inputs!$B$25+Inputs!$B$29,IF(Skills!C10=2,90+Inputs!$B$26+Inputs!$B$29,IF(Skills!C10=3,120+Inputs!$B$27+Inputs!$B$29,MAX(0,(Inputs!$B$3-100)*3)+Inputs!$B$28+Inputs!$B$29)))</f>
        <v/>
      </c>
      <c r="E1290">
        <f>INDEX(FactorTable!$B$2:$Y$301, MATCH(ROUND(MIN(300,MAX(1,D1290)),0), FactorTable!$A$2:$A$301,0), Skills!M10+1)</f>
        <v/>
      </c>
      <c r="F1290">
        <f>IF(Skills!N10=TRUE,(Skills!L10/10)*(E1290/1000),Skills!L10/10)+Skills!O10</f>
        <v/>
      </c>
      <c r="G1290">
        <f>Skills!G10*IF(Skills!H10&gt;0,Skills!I10/Skills!H10,1)</f>
        <v/>
      </c>
      <c r="H1290">
        <f>1-(1-Skills!J10/100)^Skills!K10</f>
        <v/>
      </c>
      <c r="I1290" t="inlineStr">
        <is>
          <t>1</t>
        </is>
      </c>
      <c r="J1290">
        <f>((Inputs!$B$6*(1+Inputs!$B$7/100))+(((Inputs!$B$12*(1+Inputs!$B$13/100))-(Inputs!$B$12*(1+Inputs!$B$13/100)))+0.25*(Inputs!$B$14-Inputs!$B$14))*(1+Inputs!$B$7/100))*(F1290/100)</f>
        <v/>
      </c>
      <c r="K1290">
        <f>J1290*(1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1290)</f>
        <v/>
      </c>
      <c r="L1290">
        <f>K1290*(MIN(Inputs!$B$22+((C1300=TRUE)*(F1300-Calc!F20)),(Inputs!$B$23+0+(IF(ArtifactsInput!$M$15,CHOOSE(ArtifactsInput!$N$15+1,25,30,35,40,45,50)/100*(Inputs!$B$11-Inputs!$B$11),0))))/100+(Inputs!$B$23+0+(IF(ArtifactsInput!$M$15,CHOOSE(ArtifactsInput!$N$15+1,25,30,35,40,45,50)/100*(Inputs!$B$11-Inputs!$B$11),0)))/100)/2</f>
        <v/>
      </c>
      <c r="M1290">
        <f>L1290*(1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0">
        <f>L1290*(1-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1290*(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0">
        <f>(1-Summary!$B$11)*T1290+Summary!$B$11*V1290</f>
        <v/>
      </c>
      <c r="P1290">
        <f>IF(B1316=0,0,O1290/B1316)</f>
        <v/>
      </c>
      <c r="Q1290">
        <f>IFERROR(1/(IF(Inputs!$B$38="pvp",15,MAX(0.1,Skills!D10-IF(Skills!E10=TRUE,Inputs!$B$32,0)))*(1-IF(AND(ArtifactsInput!$M$27,Inputs!$B$4="Chapter Hunt"),CHOOSE(ArtifactsInput!$N$27+1,20,24,28,32,36,40),0)/100)),0)</f>
        <v/>
      </c>
      <c r="R1290">
        <f>IF(AND(Inputs!$B$38&lt;&gt;"pvp",Inputs!$B$43&gt;0),IF(MAX(0,Inputs!$B$43-B1313)&lt;=0,0,(INT(MAX(0,Inputs!$B$43-B1313)/(IF(Inputs!$B$38="pvp",15,MAX(0.1,Skills!D10-IF(Skills!E10=TRUE,Inputs!$B$32,0)))*(1-IF(AND(ArtifactsInput!$M$27,Inputs!$B$4="Chapter Hunt"),CHOOSE(ArtifactsInput!$N$27+1,20,24,28,32,36,40),0)/100)))+1)),0)</f>
        <v/>
      </c>
      <c r="S1290">
        <f>IFERROR(O1290/N1290,0)</f>
        <v/>
      </c>
      <c r="T1290">
        <f>IF(C1290,(H1290*N1290*IF(AND(Inputs!$B$38&lt;&gt;"pvp",Inputs!$B$43&gt;0),((Skills!G10*((R1290-1)*IF(Skills!H10&gt;0,Skills!I10/Skills!H10,1)+IF(Skills!H10&gt;0,MIN(Skills!I10,MAX(0,MAX(0,Inputs!$B$43-B1313)-((R1290-1)*(IF(Inputs!$B$38="pvp",15,MAX(0.1,Skills!D10-IF(Skills!E10=TRUE,Inputs!$B$32,0)))*(1-IF(AND(ArtifactsInput!$M$27,Inputs!$B$4="Chapter Hunt"),CHOOSE(ArtifactsInput!$N$27+1,20,24,28,32,36,40),0)/100)))))/Skills!H10,1)))/Inputs!$B$43),G1290*Q1290)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1290*(1-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1290*(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1290*(1-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1290*(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0">
        <f>IF(C1290,(H1290*N1290*IF(AND(Inputs!$B$38&lt;&gt;"pvp",Inputs!$B$43&gt;0),((Skills!G10*((R1290-1)*IF(Skills!H10&gt;0,Skills!I10/Skills!H10,1)+IF(Skills!H10&gt;0,MIN(Skills!I10,MAX(0,MAX(0,Inputs!$B$43-B1313)-((R1290-1)*(IF(Inputs!$B$38="pvp",15,MAX(0.1,Skills!D10-IF(Skills!E10=TRUE,Inputs!$B$32,0)))*(1-IF(AND(ArtifactsInput!$M$27,Inputs!$B$4="Chapter Hunt"),CHOOSE(ArtifactsInput!$N$27+1,20,24,28,32,36,40),0)/100)))))/Skills!H10,1)))/Inputs!$B$43),G1290*Q1290))*IF(Inputs!$B$38="pvp",1,(1+(Inputs!$B$21+Skills!Q10+(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1">
      <c r="A1291">
        <f>Skills!A11</f>
        <v/>
      </c>
      <c r="B1291">
        <f>Skills!B11</f>
        <v/>
      </c>
      <c r="C1291">
        <f>Inputs!$B$3&gt;=113</f>
        <v/>
      </c>
      <c r="D1291">
        <f>IF(Skills!C11=1,60+Inputs!$B$25+Inputs!$B$29,IF(Skills!C11=2,90+Inputs!$B$26+Inputs!$B$29,IF(Skills!C11=3,120+Inputs!$B$27+Inputs!$B$29,MAX(0,(Inputs!$B$3-100)*3)+Inputs!$B$28+Inputs!$B$29)))</f>
        <v/>
      </c>
      <c r="E1291">
        <f>INDEX(FactorTable!$B$2:$Y$301, MATCH(ROUND(MIN(300,MAX(1,D1291)),0), FactorTable!$A$2:$A$301,0), Skills!M11+1)</f>
        <v/>
      </c>
      <c r="F1291">
        <f>IF(Skills!N11=TRUE,(Skills!L11/10)*(E1291/1000),Skills!L11/10)+Skills!O11</f>
        <v/>
      </c>
      <c r="G1291">
        <f>Skills!G11*IF(Skills!H11&gt;0,Skills!I11/Skills!H11,1)</f>
        <v/>
      </c>
      <c r="H1291">
        <f>1-(1-Skills!J11/100)^Skills!K11</f>
        <v/>
      </c>
      <c r="I1291" t="inlineStr">
        <is>
          <t>1</t>
        </is>
      </c>
      <c r="J1291">
        <f>((Inputs!$B$6*(1+Inputs!$B$7/100))+(((Inputs!$B$12*(1+Inputs!$B$13/100))-(Inputs!$B$12*(1+Inputs!$B$13/100)))+0.25*(Inputs!$B$14-Inputs!$B$14))*(1+Inputs!$B$7/100))*(F1291/100)</f>
        <v/>
      </c>
      <c r="K1291">
        <f>J1291*(1+((Inputs!$B$12*(1+Inputs!$B$13/100))*0.01+Inputs!$B$14*0.0025)/100)*(1+Inputs!$B$15/100)*(1+Inputs!$B$16/100)*(5000/(6000+Inputs!$B$42*(1-(100*(1-(1-(Inputs!$B$19+0)/100)*(1-CHOOSE(ArtifactsInput!$N$40+1,5,6,7,8,9,10)/100)^(ArtifactsInput!$M$40-ArtifactsInput!$M$40)))/100)))*(1+(Inputs!$B$24+((C1302=TRUE)*(F1302-Calc!F22))+B1312)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1301=TRUE)*(F1301-Calc!F21))+(((IF(AND(ArtifactsInput!$M$42,((Inputs!$B$9+((C1296=TRUE)*(F1296-Calc!F16))+B1306+(ArtifactsInput!$M$24-ArtifactsInput!$M$24)*CHOOSE(ArtifactsInput!$N$24+1,10,12,14,16,18,20)+IF(ArtifactsInput!$M$10,CHOOSE(ArtifactsInput!$N$10+1,15,18,21,24,27,30)*(IF(Inputs!$B$38="pvp",MIN(15,15)/15,IF(AND(Inputs!$B$38&lt;&gt;"pvp",Inputs!$B$43&gt;0),MIN(15,Inputs!$B$43)/(Inputs!$B$43),0))),0)))&gt;=100),MIN(100,((Inputs!$B$9+((C1296=TRUE)*(F1296-Calc!F16))+B1306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1296=TRUE)*(F1296-Calc!F16))+B1306+(ArtifactsInput!$M$24-ArtifactsInput!$M$24)*CHOOSE(ArtifactsInput!$N$24+1,10,12,14,16,18,20)+IF(ArtifactsInput!$M$10,CHOOSE(ArtifactsInput!$N$10+1,15,18,21,24,27,30)*(IF(Inputs!$B$38="pvp",MIN(15,15)/15,IF(AND(Inputs!$B$38&lt;&gt;"pvp",Inputs!$B$43&gt;0),MIN(15,Inputs!$B$43)/(Inputs!$B$43),0))),0)))&gt;=100),CHOOSE(ArtifactsInput!$N$42+1,40,48,56,64,72,80),0))))/100)*((1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1291)</f>
        <v/>
      </c>
      <c r="L1291">
        <f>K1291*(MIN(Inputs!$B$22+((C1300=TRUE)*(F1300-Calc!F20)),(Inputs!$B$23+0+(IF(ArtifactsInput!$M$15,CHOOSE(ArtifactsInput!$N$15+1,25,30,35,40,45,50)/100*(Inputs!$B$11-Inputs!$B$11),0))))/100+(Inputs!$B$23+0+(IF(ArtifactsInput!$M$15,CHOOSE(ArtifactsInput!$N$15+1,25,30,35,40,45,50)/100*(Inputs!$B$11-Inputs!$B$11),0)))/100)/2</f>
        <v/>
      </c>
      <c r="M1291">
        <f>L1291*(1+(Inputs!$B$10+0+B1311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1">
        <f>L1291*(1-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1291*(MIN((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1">
        <f>(1-Summary!$B$11)*T1291+Summary!$B$11*V1291</f>
        <v/>
      </c>
      <c r="P1291">
        <f>IF(B1316=0,0,O1291/B1316)</f>
        <v/>
      </c>
      <c r="Q1291">
        <f>IFERROR(1/(IF(Inputs!$B$38="pvp",15,MAX(0.1,Skills!D11-IF(Skills!E11=TRUE,Inputs!$B$32,0)))*(1-IF(AND(ArtifactsInput!$M$27,Inputs!$B$4="Chapter Hunt"),CHOOSE(ArtifactsInput!$N$27+1,20,24,28,32,36,40),0)/100)),0)</f>
        <v/>
      </c>
      <c r="R1291">
        <f>IF(AND(Inputs!$B$38&lt;&gt;"pvp",Inputs!$B$43&gt;0),IF(MAX(0,Inputs!$B$43-B1313)&lt;=0,0,(INT(MAX(0,Inputs!$B$43-B1313)/(IF(Inputs!$B$38="pvp",15,MAX(0.1,Skills!D11-IF(Skills!E11=TRUE,Inputs!$B$32,0)))*(1-IF(AND(ArtifactsInput!$M$27,Inputs!$B$4="Chapter Hunt"),CHOOSE(ArtifactsInput!$N$27+1,20,24,28,32,36,40),0)/100)))+1)),0)</f>
        <v/>
      </c>
      <c r="S1291">
        <f>IFERROR(O1291/N1291,0)</f>
        <v/>
      </c>
      <c r="T1291">
        <f>IF(C1291,(H1291*N1291*IF(AND(Inputs!$B$38&lt;&gt;"pvp",Inputs!$B$43&gt;0),((Skills!G11*((R1291-1)*IF(Skills!H11&gt;0,Skills!I11/Skills!H11,1)+IF(Skills!H11&gt;0,MIN(Skills!I11,MAX(0,MAX(0,Inputs!$B$43-B1313)-((R1291-1)*(IF(Inputs!$B$38="pvp",15,MAX(0.1,Skills!D11-IF(Skills!E11=TRUE,Inputs!$B$32,0)))*(1-IF(AND(ArtifactsInput!$M$27,Inputs!$B$4="Chapter Hunt"),CHOOSE(ArtifactsInput!$N$27+1,20,24,28,32,36,40),0)/100)))))/Skills!H11,1)))/Inputs!$B$43),G1291*Q1291)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1291*(1-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1291*(1-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1291*(MIN(100,(Inputs!$B$9+((C1296=TRUE)*(F1296-Calc!F16))+B1306+(ArtifactsInput!$M$24-ArtifactsInput!$M$24)*CHOOSE(ArtifactsInput!$N$24+1,10,12,14,16,18,20)+(IF(AND(ArtifactsInput!$M$42,((Inputs!$B$9+((C1296=TRUE)*(F1296-Calc!F16))+B1306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1">
        <f>IF(C1291,(H1291*N1291*IF(AND(Inputs!$B$38&lt;&gt;"pvp",Inputs!$B$43&gt;0),((Skills!G11*((R1291-1)*IF(Skills!H11&gt;0,Skills!I11/Skills!H11,1)+IF(Skills!H11&gt;0,MIN(Skills!I11,MAX(0,MAX(0,Inputs!$B$43-B1313)-((R1291-1)*(IF(Inputs!$B$38="pvp",15,MAX(0.1,Skills!D11-IF(Skills!E11=TRUE,Inputs!$B$32,0)))*(1-IF(AND(ArtifactsInput!$M$27,Inputs!$B$4="Chapter Hunt"),CHOOSE(ArtifactsInput!$N$27+1,20,24,28,32,36,40),0)/100)))))/Skills!H11,1)))/Inputs!$B$43),G1291*Q1291))*IF(Inputs!$B$38="pvp",1,(1+(Inputs!$B$21+Skills!Q11+(IF(ArtifactsInput!$M$33,CHOOSE(ArtifactsInput!$N$33+1,30,36,42,48,54,60),0))+(IF(AND(ArtifactsInput!$M$35,Inputs!$B$4&lt;&gt;"Chapter Hunt"),CHOOSE(ArtifactsInput!$N$35+1,15,18,21,24,27,30)*(1-EXP(-(0.2*B1308)*5)),0)+IF(AND(ArtifactsInput!$M$22,Inputs!$B$4&lt;&gt;"Chapter Hunt"),CHOOSE(ArtifactsInput!$N$22+1,10,12,14,16,18,20)*((0*(((0.15*B1308*5))^0/1)+1*(((0.15*B1308*5))^1/1)+2*(((0.15*B1308*5))^2/2)+3*(((0.15*B1308*5))^3/6)+4*(((0.15*B1308*5))^4/24)+5*(((0.15*B1308*5))^5/120))/((((0.15*B1308*5))^0/1)+(((0.15*B1308*5))^1/1)+(((0.15*B1308*5))^2/2)+(((0.15*B1308*5))^3/6)+(((0.15*B1308*5))^4/24)+(((0.15*B1308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2">
      <c r="A1292">
        <f>Skills!A12</f>
        <v/>
      </c>
      <c r="B1292">
        <f>Skills!B12</f>
        <v/>
      </c>
      <c r="C1292">
        <f>Inputs!$B$3&gt;=100</f>
        <v/>
      </c>
      <c r="D1292">
        <f>IF(Skills!C12=1,60+Inputs!$B$25+Inputs!$B$29,IF(Skills!C12=2,90+Inputs!$B$26+Inputs!$B$29,IF(Skills!C12=3,120+Inputs!$B$27+Inputs!$B$29,MAX(0,(Inputs!$B$3-100)*3)+Inputs!$B$28+Inputs!$B$29)))</f>
        <v/>
      </c>
      <c r="E1292">
        <f>INDEX(FactorTable!$B$2:$Y$301, MATCH(ROUND(MIN(300,MAX(1,D1292)),0), FactorTable!$A$2:$A$301,0), Skills!M12+1)</f>
        <v/>
      </c>
      <c r="F1292">
        <f>IF(Skills!N12=TRUE,(Skills!L12/10)*(E1292/1000),Skills!L12/10)+Skills!O12</f>
        <v/>
      </c>
      <c r="G1292" t="inlineStr"/>
      <c r="H1292" t="inlineStr"/>
      <c r="I1292" t="inlineStr">
        <is>
          <t>1</t>
        </is>
      </c>
      <c r="J1292" t="inlineStr"/>
      <c r="K1292" t="inlineStr"/>
      <c r="L1292" t="inlineStr"/>
      <c r="M1292" t="inlineStr"/>
      <c r="N1292" t="inlineStr"/>
      <c r="O1292" t="inlineStr"/>
      <c r="P1292" t="inlineStr"/>
      <c r="Q1292" t="inlineStr"/>
      <c r="R1292" t="inlineStr"/>
      <c r="S1292" t="inlineStr"/>
      <c r="T1292" t="inlineStr"/>
      <c r="V1292" t="inlineStr"/>
    </row>
    <row r="1293">
      <c r="A1293">
        <f>Skills!A13</f>
        <v/>
      </c>
      <c r="B1293">
        <f>Skills!B13</f>
        <v/>
      </c>
      <c r="C1293">
        <f>Inputs!$B$3&gt;=66</f>
        <v/>
      </c>
      <c r="D1293">
        <f>IF(Skills!C13=1,60+Inputs!$B$25+Inputs!$B$29,IF(Skills!C13=2,90+Inputs!$B$26+Inputs!$B$29,IF(Skills!C13=3,120+Inputs!$B$27+Inputs!$B$29,MAX(0,(Inputs!$B$3-100)*3)+Inputs!$B$28+Inputs!$B$29)))</f>
        <v/>
      </c>
      <c r="E1293">
        <f>INDEX(FactorTable!$B$2:$Y$301, MATCH(ROUND(MIN(300,MAX(1,D1293)),0), FactorTable!$A$2:$A$301,0), Skills!M13+1)</f>
        <v/>
      </c>
      <c r="F1293">
        <f>IF(Skills!N13=TRUE,(Skills!L13/10)*(E1293/1000),Skills!L13/10)+Skills!O13</f>
        <v/>
      </c>
      <c r="G1293">
        <f>Skills!G13*IF(Skills!H13&gt;0,Skills!I13/Skills!H13,1)</f>
        <v/>
      </c>
      <c r="H1293">
        <f>1-(1-Skills!J13/100)^Skills!K13</f>
        <v/>
      </c>
      <c r="I1293" t="inlineStr">
        <is>
          <t>1</t>
        </is>
      </c>
      <c r="J1293" t="inlineStr"/>
      <c r="K1293" t="inlineStr"/>
      <c r="L1293" t="inlineStr"/>
      <c r="M1293" t="inlineStr"/>
      <c r="N1293" t="inlineStr"/>
      <c r="O1293">
        <f>(1-Summary!$B$11)*T1293+Summary!$B$11*V1293</f>
        <v/>
      </c>
      <c r="P1293">
        <f>IF(B1316=0,0,O1293/B1316)</f>
        <v/>
      </c>
      <c r="Q1293" t="n">
        <v>0</v>
      </c>
      <c r="R1293" t="n">
        <v>0</v>
      </c>
      <c r="S1293">
        <f>IFERROR(O1293/N1293,0)</f>
        <v/>
      </c>
      <c r="T1293" t="n">
        <v>0</v>
      </c>
      <c r="V1293" t="n">
        <v>0</v>
      </c>
    </row>
    <row r="1294">
      <c r="A1294">
        <f>Skills!A14</f>
        <v/>
      </c>
      <c r="B1294">
        <f>Skills!B14</f>
        <v/>
      </c>
      <c r="C1294">
        <f>Inputs!$B$3&gt;=107</f>
        <v/>
      </c>
      <c r="D1294">
        <f>IF(Skills!C14=1,60+Inputs!$B$25+Inputs!$B$29,IF(Skills!C14=2,90+Inputs!$B$26+Inputs!$B$29,IF(Skills!C14=3,120+Inputs!$B$27+Inputs!$B$29,MAX(0,(Inputs!$B$3-100)*3)+Inputs!$B$28+Inputs!$B$29)))</f>
        <v/>
      </c>
      <c r="E1294">
        <f>INDEX(FactorTable!$B$2:$Y$301, MATCH(ROUND(MIN(300,MAX(1,D1294)),0), FactorTable!$A$2:$A$301,0), Skills!M14+1)</f>
        <v/>
      </c>
      <c r="F1294">
        <f>IF(Skills!N14=TRUE,(Skills!L14/10)*(E1294/1000),Skills!L14/10)+Skills!O14</f>
        <v/>
      </c>
      <c r="G1294">
        <f>Skills!G14*IF(Skills!H14&gt;0,Skills!I14/Skills!H14,1)</f>
        <v/>
      </c>
      <c r="H1294">
        <f>1-(1-Skills!J14/100)^Skills!K14</f>
        <v/>
      </c>
      <c r="I1294" t="inlineStr">
        <is>
          <t>1</t>
        </is>
      </c>
      <c r="J1294" t="inlineStr"/>
      <c r="K1294" t="inlineStr"/>
      <c r="L1294" t="inlineStr"/>
      <c r="M1294" t="inlineStr"/>
      <c r="N1294" t="inlineStr"/>
      <c r="O1294">
        <f>(1-Summary!$B$11)*T1294+Summary!$B$11*V1294</f>
        <v/>
      </c>
      <c r="P1294">
        <f>IF(B1316=0,0,O1294/B1316)</f>
        <v/>
      </c>
      <c r="Q1294">
        <f>IFERROR(1/(IF(Inputs!$B$38="pvp",15,MAX(0.1,Skills!D14-IF(Skills!E14=TRUE,Inputs!$B$32,0)))*(1-IF(AND(ArtifactsInput!$M$27,Inputs!$B$4="Chapter Hunt"),CHOOSE(ArtifactsInput!$N$27+1,20,24,28,32,36,40),0)/100)),0)</f>
        <v/>
      </c>
      <c r="R1294">
        <f>IF(AND(Inputs!$B$38&lt;&gt;"pvp",Inputs!$B$43&gt;0),IF(Inputs!$B$43&lt;=0,0,(INT(Inputs!$B$43/(IF(Inputs!$B$38="pvp",15,MAX(0.1,Skills!D14-IF(Skills!E14=TRUE,Inputs!$B$32,0)))*(1-IF(AND(ArtifactsInput!$M$27,Inputs!$B$4="Chapter Hunt"),CHOOSE(ArtifactsInput!$N$27+1,20,24,28,32,36,40),0)/100)))+1)),0)</f>
        <v/>
      </c>
      <c r="S1294">
        <f>IFERROR(O1294/N1294,0)</f>
        <v/>
      </c>
      <c r="T1294" t="n">
        <v>0</v>
      </c>
      <c r="V1294" t="n">
        <v>0</v>
      </c>
    </row>
    <row r="1295">
      <c r="A1295">
        <f>Skills!A15</f>
        <v/>
      </c>
      <c r="B1295">
        <f>Skills!B15</f>
        <v/>
      </c>
      <c r="C1295">
        <f>Inputs!$B$3&gt;=115</f>
        <v/>
      </c>
      <c r="D1295">
        <f>IF(Skills!C15=1,60+Inputs!$B$25+Inputs!$B$29,IF(Skills!C15=2,90+Inputs!$B$26+Inputs!$B$29,IF(Skills!C15=3,120+Inputs!$B$27+Inputs!$B$29,MAX(0,(Inputs!$B$3-100)*3)+Inputs!$B$28+Inputs!$B$29)))</f>
        <v/>
      </c>
      <c r="E1295">
        <f>INDEX(FactorTable!$B$2:$Y$301, MATCH(ROUND(MIN(300,MAX(1,D1295)),0), FactorTable!$A$2:$A$301,0), Skills!M15+1)</f>
        <v/>
      </c>
      <c r="F1295">
        <f>IF(Skills!N15=TRUE,(Skills!L15/10)*(E1295/1000),Skills!L15/10)+Skills!O15</f>
        <v/>
      </c>
      <c r="G1295">
        <f>Skills!G15*IF(Skills!H15&gt;0,Skills!I15/Skills!H15,1)</f>
        <v/>
      </c>
      <c r="H1295">
        <f>1-(1-Skills!J15/100)^Skills!K15</f>
        <v/>
      </c>
      <c r="I1295" t="inlineStr">
        <is>
          <t>1</t>
        </is>
      </c>
      <c r="J1295" t="inlineStr"/>
      <c r="K1295" t="inlineStr"/>
      <c r="L1295" t="inlineStr"/>
      <c r="M1295" t="inlineStr"/>
      <c r="N1295" t="inlineStr"/>
      <c r="O1295">
        <f>(1-Summary!$B$11)*T1295+Summary!$B$11*V1295</f>
        <v/>
      </c>
      <c r="P1295">
        <f>IF(B1316=0,0,O1295/B1316)</f>
        <v/>
      </c>
      <c r="Q1295">
        <f>IFERROR(1/(IF(Inputs!$B$38="pvp",15,MAX(0.1,Skills!D15-IF(Skills!E15=TRUE,Inputs!$B$32,0)))*(1-IF(AND(ArtifactsInput!$M$27,Inputs!$B$4="Chapter Hunt"),CHOOSE(ArtifactsInput!$N$27+1,20,24,28,32,36,40),0)/100)),0)</f>
        <v/>
      </c>
      <c r="R1295">
        <f>IF(AND(Inputs!$B$38&lt;&gt;"pvp",Inputs!$B$43&gt;0),IF(Inputs!$B$43&lt;=0,0,(INT(Inputs!$B$43/(IF(Inputs!$B$38="pvp",15,MAX(0.1,Skills!D15-IF(Skills!E15=TRUE,Inputs!$B$32,0)))*(1-IF(AND(ArtifactsInput!$M$27,Inputs!$B$4="Chapter Hunt"),CHOOSE(ArtifactsInput!$N$27+1,20,24,28,32,36,40),0)/100)))+1)),0)</f>
        <v/>
      </c>
      <c r="S1295">
        <f>IFERROR(O1295/N1295,0)</f>
        <v/>
      </c>
      <c r="T1295" t="n">
        <v>0</v>
      </c>
      <c r="V1295" t="n">
        <v>0</v>
      </c>
    </row>
    <row r="1296">
      <c r="A1296">
        <f>Skills!A16</f>
        <v/>
      </c>
      <c r="B1296">
        <f>Skills!B16</f>
        <v/>
      </c>
      <c r="C1296">
        <f>Inputs!$B$3&gt;=15</f>
        <v/>
      </c>
      <c r="D1296">
        <f>IF(Skills!C16=1,60+Inputs!$B$25+Inputs!$B$29,IF(Skills!C16=2,90+Inputs!$B$26+Inputs!$B$29,IF(Skills!C16=3,120+Inputs!$B$27+Inputs!$B$29,MAX(0,(Inputs!$B$3-100)*3)+Inputs!$B$28+Inputs!$B$29)))</f>
        <v/>
      </c>
      <c r="E1296">
        <f>INDEX(FactorTable!$B$2:$Y$301, MATCH(ROUND(MIN(300,MAX(1,D1296)),0), FactorTable!$A$2:$A$301,0), Skills!M16+1)</f>
        <v/>
      </c>
      <c r="F1296">
        <f>IF(Skills!N16=TRUE,(Skills!L16/10)*(E1296/1000),Skills!L16/10)+Skills!O16</f>
        <v/>
      </c>
      <c r="G1296">
        <f>Skills!G16*IF(Skills!H16&gt;0,Skills!I16/Skills!H16,1)</f>
        <v/>
      </c>
      <c r="H1296">
        <f>1-(1-Skills!J16/100)^Skills!K16</f>
        <v/>
      </c>
      <c r="I1296" t="inlineStr">
        <is>
          <t>1</t>
        </is>
      </c>
      <c r="J1296" t="inlineStr"/>
      <c r="K1296" t="inlineStr"/>
      <c r="L1296" t="inlineStr"/>
      <c r="M1296" t="inlineStr"/>
      <c r="N1296" t="inlineStr"/>
      <c r="O1296">
        <f>(1-Summary!$B$11)*T1296+Summary!$B$11*V1296</f>
        <v/>
      </c>
      <c r="P1296">
        <f>IF(B1316=0,0,O1296/B1316)</f>
        <v/>
      </c>
      <c r="Q1296" t="n">
        <v>0</v>
      </c>
      <c r="R1296" t="n">
        <v>0</v>
      </c>
      <c r="S1296">
        <f>IFERROR(O1296/N1296,0)</f>
        <v/>
      </c>
      <c r="T1296" t="n">
        <v>0</v>
      </c>
      <c r="V1296" t="n">
        <v>0</v>
      </c>
    </row>
    <row r="1297">
      <c r="A1297">
        <f>Skills!A17</f>
        <v/>
      </c>
      <c r="B1297">
        <f>Skills!B17</f>
        <v/>
      </c>
      <c r="C1297">
        <f>Inputs!$B$3&gt;=10</f>
        <v/>
      </c>
      <c r="D1297">
        <f>IF(Skills!C17=1,60+Inputs!$B$25+Inputs!$B$29,IF(Skills!C17=2,90+Inputs!$B$26+Inputs!$B$29,IF(Skills!C17=3,120+Inputs!$B$27+Inputs!$B$29,MAX(0,(Inputs!$B$3-100)*3)+Inputs!$B$28+Inputs!$B$29)))</f>
        <v/>
      </c>
      <c r="E1297">
        <f>INDEX(FactorTable!$B$2:$Y$301, MATCH(ROUND(MIN(300,MAX(1,D1297)),0), FactorTable!$A$2:$A$301,0), Skills!M17+1)</f>
        <v/>
      </c>
      <c r="F1297">
        <f>IF(Skills!N17=TRUE,(Skills!L17/10)*(E1297/1000),Skills!L17/10)+Skills!O17</f>
        <v/>
      </c>
      <c r="G1297">
        <f>Skills!G17*IF(Skills!H17&gt;0,Skills!I17/Skills!H17,1)</f>
        <v/>
      </c>
      <c r="H1297">
        <f>1-(1-Skills!J17/100)^Skills!K17</f>
        <v/>
      </c>
      <c r="I1297" t="inlineStr">
        <is>
          <t>1</t>
        </is>
      </c>
      <c r="J1297" t="inlineStr"/>
      <c r="K1297" t="inlineStr"/>
      <c r="L1297" t="inlineStr"/>
      <c r="M1297" t="inlineStr"/>
      <c r="N1297" t="inlineStr"/>
      <c r="O1297">
        <f>(1-Summary!$B$11)*T1297+Summary!$B$11*V1297</f>
        <v/>
      </c>
      <c r="P1297">
        <f>IF(B1316=0,0,O1297/B1316)</f>
        <v/>
      </c>
      <c r="Q1297" t="n">
        <v>0</v>
      </c>
      <c r="R1297" t="n">
        <v>0</v>
      </c>
      <c r="S1297">
        <f>IFERROR(O1297/N1297,0)</f>
        <v/>
      </c>
      <c r="T1297" t="n">
        <v>0</v>
      </c>
      <c r="V1297" t="n">
        <v>0</v>
      </c>
    </row>
    <row r="1298">
      <c r="A1298">
        <f>Skills!A18</f>
        <v/>
      </c>
      <c r="B1298">
        <f>Skills!B18</f>
        <v/>
      </c>
      <c r="C1298">
        <f>Inputs!$B$3&gt;=33</f>
        <v/>
      </c>
      <c r="D1298">
        <f>IF(Skills!C18=1,60+Inputs!$B$25+Inputs!$B$29,IF(Skills!C18=2,90+Inputs!$B$26+Inputs!$B$29,IF(Skills!C18=3,120+Inputs!$B$27+Inputs!$B$29,MAX(0,(Inputs!$B$3-100)*3)+Inputs!$B$28+Inputs!$B$29)))</f>
        <v/>
      </c>
      <c r="E1298">
        <f>INDEX(FactorTable!$B$2:$Y$301, MATCH(ROUND(MIN(300,MAX(1,D1298)),0), FactorTable!$A$2:$A$301,0), Skills!M18+1)</f>
        <v/>
      </c>
      <c r="F1298">
        <f>IF(Skills!N18=TRUE,(Skills!L18/10)*(E1298/1000),Skills!L18/10)+Skills!O18</f>
        <v/>
      </c>
      <c r="G1298">
        <f>Skills!G18*IF(Skills!H18&gt;0,Skills!I18/Skills!H18,1)</f>
        <v/>
      </c>
      <c r="H1298">
        <f>1-(1-Skills!J18/100)^Skills!K18</f>
        <v/>
      </c>
      <c r="I1298" t="inlineStr">
        <is>
          <t>1</t>
        </is>
      </c>
      <c r="J1298" t="inlineStr"/>
      <c r="K1298" t="inlineStr"/>
      <c r="L1298" t="inlineStr"/>
      <c r="M1298" t="inlineStr"/>
      <c r="N1298" t="inlineStr"/>
      <c r="O1298">
        <f>(1-Summary!$B$11)*T1298+Summary!$B$11*V1298</f>
        <v/>
      </c>
      <c r="P1298">
        <f>IF(B1316=0,0,O1298/B1316)</f>
        <v/>
      </c>
      <c r="Q1298" t="n">
        <v>0</v>
      </c>
      <c r="R1298" t="n">
        <v>0</v>
      </c>
      <c r="S1298">
        <f>IFERROR(O1298/N1298,0)</f>
        <v/>
      </c>
      <c r="T1298" t="n">
        <v>0</v>
      </c>
      <c r="V1298" t="n">
        <v>0</v>
      </c>
    </row>
    <row r="1299">
      <c r="A1299">
        <f>Skills!A19</f>
        <v/>
      </c>
      <c r="B1299">
        <f>Skills!B19</f>
        <v/>
      </c>
      <c r="C1299">
        <f>Inputs!$B$3&gt;=40</f>
        <v/>
      </c>
      <c r="D1299">
        <f>IF(Skills!C19=1,60+Inputs!$B$25+Inputs!$B$29,IF(Skills!C19=2,90+Inputs!$B$26+Inputs!$B$29,IF(Skills!C19=3,120+Inputs!$B$27+Inputs!$B$29,MAX(0,(Inputs!$B$3-100)*3)+Inputs!$B$28+Inputs!$B$29)))</f>
        <v/>
      </c>
      <c r="E1299">
        <f>INDEX(FactorTable!$B$2:$Y$301, MATCH(ROUND(MIN(300,MAX(1,D1299)),0), FactorTable!$A$2:$A$301,0), Skills!M19+1)</f>
        <v/>
      </c>
      <c r="F1299">
        <f>IF(Skills!N19=TRUE,(Skills!L19/10)*(E1299/1000),Skills!L19/10)+Skills!O19</f>
        <v/>
      </c>
      <c r="G1299">
        <f>Skills!G19*IF(Skills!H19&gt;0,Skills!I19/Skills!H19,1)</f>
        <v/>
      </c>
      <c r="H1299">
        <f>1-(1-Skills!J19/100)^Skills!K19</f>
        <v/>
      </c>
      <c r="I1299" t="inlineStr">
        <is>
          <t>1</t>
        </is>
      </c>
      <c r="J1299" t="inlineStr"/>
      <c r="K1299" t="inlineStr"/>
      <c r="L1299" t="inlineStr"/>
      <c r="M1299" t="inlineStr"/>
      <c r="N1299" t="inlineStr"/>
      <c r="O1299">
        <f>(1-Summary!$B$11)*T1299+Summary!$B$11*V1299</f>
        <v/>
      </c>
      <c r="P1299">
        <f>IF(B1316=0,0,O1299/B1316)</f>
        <v/>
      </c>
      <c r="Q1299" t="n">
        <v>0</v>
      </c>
      <c r="R1299" t="n">
        <v>0</v>
      </c>
      <c r="S1299">
        <f>IFERROR(O1299/N1299,0)</f>
        <v/>
      </c>
      <c r="T1299" t="n">
        <v>0</v>
      </c>
      <c r="V1299" t="n">
        <v>0</v>
      </c>
    </row>
    <row r="1300">
      <c r="A1300">
        <f>Skills!A20</f>
        <v/>
      </c>
      <c r="B1300">
        <f>Skills!B20</f>
        <v/>
      </c>
      <c r="C1300">
        <f>Inputs!$B$3&gt;=43</f>
        <v/>
      </c>
      <c r="D1300">
        <f>IF(Skills!C20=1,60+Inputs!$B$25+Inputs!$B$29,IF(Skills!C20=2,90+Inputs!$B$26+Inputs!$B$29,IF(Skills!C20=3,120+Inputs!$B$27+Inputs!$B$29,MAX(0,(Inputs!$B$3-100)*3)+Inputs!$B$28+Inputs!$B$29)))</f>
        <v/>
      </c>
      <c r="E1300">
        <f>INDEX(FactorTable!$B$2:$Y$301, MATCH(ROUND(MIN(300,MAX(1,D1300)),0), FactorTable!$A$2:$A$301,0), Skills!M20+1)</f>
        <v/>
      </c>
      <c r="F1300">
        <f>IF(Skills!N20=TRUE,(Skills!L20/10)*(E1300/1000),Skills!L20/10)+Skills!O20</f>
        <v/>
      </c>
      <c r="G1300">
        <f>Skills!G20*IF(Skills!H20&gt;0,Skills!I20/Skills!H20,1)</f>
        <v/>
      </c>
      <c r="H1300">
        <f>1-(1-Skills!J20/100)^Skills!K20</f>
        <v/>
      </c>
      <c r="I1300" t="inlineStr">
        <is>
          <t>1</t>
        </is>
      </c>
      <c r="J1300" t="inlineStr"/>
      <c r="K1300" t="inlineStr"/>
      <c r="L1300" t="inlineStr"/>
      <c r="M1300" t="inlineStr"/>
      <c r="N1300" t="inlineStr"/>
      <c r="O1300">
        <f>(1-Summary!$B$11)*T1300+Summary!$B$11*V1300</f>
        <v/>
      </c>
      <c r="P1300">
        <f>IF(B1316=0,0,O1300/B1316)</f>
        <v/>
      </c>
      <c r="Q1300" t="n">
        <v>0</v>
      </c>
      <c r="R1300" t="n">
        <v>0</v>
      </c>
      <c r="S1300">
        <f>IFERROR(O1300/N1300,0)</f>
        <v/>
      </c>
      <c r="T1300" t="n">
        <v>0</v>
      </c>
      <c r="V1300" t="n">
        <v>0</v>
      </c>
    </row>
    <row r="1301">
      <c r="A1301">
        <f>Skills!A21</f>
        <v/>
      </c>
      <c r="B1301">
        <f>Skills!B21</f>
        <v/>
      </c>
      <c r="C1301">
        <f>Inputs!$B$3&gt;=38</f>
        <v/>
      </c>
      <c r="D1301">
        <f>IF(Skills!C21=1,60+Inputs!$B$25+Inputs!$B$29,IF(Skills!C21=2,90+Inputs!$B$26+Inputs!$B$29,IF(Skills!C21=3,120+Inputs!$B$27+Inputs!$B$29,MAX(0,(Inputs!$B$3-100)*3)+Inputs!$B$28+Inputs!$B$29)))</f>
        <v/>
      </c>
      <c r="E1301">
        <f>INDEX(FactorTable!$B$2:$Y$301, MATCH(ROUND(MIN(300,MAX(1,D1301)),0), FactorTable!$A$2:$A$301,0), Skills!M21+1)</f>
        <v/>
      </c>
      <c r="F1301">
        <f>IF(Skills!N21=TRUE,(Skills!L21/10)*(E1301/1000),Skills!L21/10)+Skills!O21</f>
        <v/>
      </c>
      <c r="G1301">
        <f>Skills!G21*IF(Skills!H21&gt;0,Skills!I21/Skills!H21,1)</f>
        <v/>
      </c>
      <c r="H1301">
        <f>1-(1-Skills!J21/100)^Skills!K21</f>
        <v/>
      </c>
      <c r="I1301" t="inlineStr">
        <is>
          <t>1</t>
        </is>
      </c>
      <c r="J1301" t="inlineStr"/>
      <c r="K1301" t="inlineStr"/>
      <c r="L1301" t="inlineStr"/>
      <c r="M1301" t="inlineStr"/>
      <c r="N1301" t="inlineStr"/>
      <c r="O1301">
        <f>(1-Summary!$B$11)*T1301+Summary!$B$11*V1301</f>
        <v/>
      </c>
      <c r="P1301">
        <f>IF(B1316=0,0,O1301/B1316)</f>
        <v/>
      </c>
      <c r="Q1301" t="n">
        <v>0</v>
      </c>
      <c r="R1301" t="n">
        <v>0</v>
      </c>
      <c r="S1301">
        <f>IFERROR(O1301/N1301,0)</f>
        <v/>
      </c>
      <c r="T1301" t="n">
        <v>0</v>
      </c>
      <c r="V1301" t="n">
        <v>0</v>
      </c>
    </row>
    <row r="1302">
      <c r="A1302">
        <f>Skills!A22</f>
        <v/>
      </c>
      <c r="B1302">
        <f>Skills!B22</f>
        <v/>
      </c>
      <c r="C1302">
        <f>Inputs!$B$3&gt;=75</f>
        <v/>
      </c>
      <c r="D1302">
        <f>IF(Skills!C22=1,60+Inputs!$B$25+Inputs!$B$29,IF(Skills!C22=2,90+Inputs!$B$26+Inputs!$B$29,IF(Skills!C22=3,120+Inputs!$B$27+Inputs!$B$29,MAX(0,(Inputs!$B$3-100)*3)+Inputs!$B$28+Inputs!$B$29)))</f>
        <v/>
      </c>
      <c r="E1302">
        <f>INDEX(FactorTable!$B$2:$Y$301, MATCH(ROUND(MIN(300,MAX(1,D1302)),0), FactorTable!$A$2:$A$301,0), Skills!M22+1)</f>
        <v/>
      </c>
      <c r="F1302">
        <f>IF(Skills!N22=TRUE,(Skills!L22/10)*(E1302/1000),Skills!L22/10)+Skills!O22</f>
        <v/>
      </c>
      <c r="G1302">
        <f>Skills!G22*IF(Skills!H22&gt;0,Skills!I22/Skills!H22,1)</f>
        <v/>
      </c>
      <c r="H1302">
        <f>1-(1-Skills!J22/100)^Skills!K22</f>
        <v/>
      </c>
      <c r="I1302" t="inlineStr">
        <is>
          <t>1</t>
        </is>
      </c>
      <c r="J1302" t="inlineStr"/>
      <c r="K1302" t="inlineStr"/>
      <c r="L1302" t="inlineStr"/>
      <c r="M1302" t="inlineStr"/>
      <c r="N1302" t="inlineStr"/>
      <c r="O1302">
        <f>(1-Summary!$B$11)*T1302+Summary!$B$11*V1302</f>
        <v/>
      </c>
      <c r="P1302">
        <f>IF(B1316=0,0,O1302/B1316)</f>
        <v/>
      </c>
      <c r="Q1302" t="n">
        <v>0</v>
      </c>
      <c r="R1302" t="n">
        <v>0</v>
      </c>
      <c r="S1302">
        <f>IFERROR(O1302/N1302,0)</f>
        <v/>
      </c>
      <c r="T1302" t="n">
        <v>0</v>
      </c>
      <c r="V1302" t="n">
        <v>0</v>
      </c>
    </row>
    <row r="1303">
      <c r="A1303">
        <f>Skills!A23</f>
        <v/>
      </c>
      <c r="B1303">
        <f>Skills!B23</f>
        <v/>
      </c>
      <c r="C1303">
        <f>TRUE</f>
        <v/>
      </c>
      <c r="D1303">
        <f>IF(Skills!C23=1,60+Inputs!$B$25+Inputs!$B$29,IF(Skills!C23=2,90+Inputs!$B$26+Inputs!$B$29,IF(Skills!C23=3,120+Inputs!$B$27+Inputs!$B$29,MAX(0,(Inputs!$B$3-100)*3)+Inputs!$B$28+Inputs!$B$29)))</f>
        <v/>
      </c>
      <c r="E1303">
        <f>INDEX(FactorTable!$B$2:$Y$301, MATCH(ROUND(MIN(300,MAX(1,D1303)),0), FactorTable!$A$2:$A$301,0), Skills!M23+1)</f>
        <v/>
      </c>
      <c r="F1303">
        <f>IF(Skills!N23=TRUE,(Skills!L23/10)*(E1303/1000),Skills!L23/10)+Skills!O23</f>
        <v/>
      </c>
      <c r="G1303">
        <f>Skills!G23*IF(Skills!H23&gt;0,Skills!I23/Skills!H23,1)</f>
        <v/>
      </c>
      <c r="H1303">
        <f>1-(1-Skills!J23/100)^Skills!K23</f>
        <v/>
      </c>
      <c r="I1303" t="inlineStr">
        <is>
          <t>1</t>
        </is>
      </c>
      <c r="J1303" t="inlineStr"/>
      <c r="K1303" t="inlineStr"/>
      <c r="L1303" t="inlineStr"/>
      <c r="M1303" t="inlineStr"/>
      <c r="N1303" t="inlineStr"/>
      <c r="O1303">
        <f>(1-Summary!$B$11)*T1303+Summary!$B$11*V1303</f>
        <v/>
      </c>
      <c r="P1303">
        <f>IF(B1316=0,0,O1303/B1316)</f>
        <v/>
      </c>
      <c r="Q1303">
        <f>IFERROR(1/(IF(Inputs!$B$38="pvp",15,MAX(0.1,Skills!D23-IF(Skills!E23=TRUE,Inputs!$B$32,0)))*(1-IF(AND(ArtifactsInput!$M$27,Inputs!$B$4="Chapter Hunt"),CHOOSE(ArtifactsInput!$N$27+1,20,24,28,32,36,40),0)/100)),0)</f>
        <v/>
      </c>
      <c r="R1303">
        <f>IF(AND(Inputs!$B$38&lt;&gt;"pvp",Inputs!$B$43&gt;0),IF(Inputs!$B$43&lt;=0,0,(INT(Inputs!$B$43/(IF(Inputs!$B$38="pvp",15,MAX(0.1,Skills!D23-IF(Skills!E23=TRUE,Inputs!$B$32,0)))*(1-IF(AND(ArtifactsInput!$M$27,Inputs!$B$4="Chapter Hunt"),CHOOSE(ArtifactsInput!$N$27+1,20,24,28,32,36,40),0)/100)))+1)),0)</f>
        <v/>
      </c>
      <c r="S1303">
        <f>IFERROR(O1303/N1303,0)</f>
        <v/>
      </c>
      <c r="T1303" t="n">
        <v>0</v>
      </c>
      <c r="V1303" t="n">
        <v>0</v>
      </c>
    </row>
    <row r="1305">
      <c r="A1305" t="inlineStr">
        <is>
          <t>Attack% Bucket Multiplier</t>
        </is>
      </c>
      <c r="B1305">
        <f>(1+(((C1293=TRUE)*F1293*5/7)+((C1299=TRUE)*(F1299-Calc!F19))+(IF(ArtifactsInput!$M$21,CHOOSE(ArtifactsInput!$N$21+1,25,30,35,40,45,50)*(IF(OR(Inputs!$B$4="Chapter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06">
      <c r="A1306" t="inlineStr">
        <is>
          <t>Global Crit Rate Bonus %</t>
        </is>
      </c>
      <c r="B1306" t="n">
        <v>0</v>
      </c>
    </row>
    <row r="1307">
      <c r="A1307" t="inlineStr">
        <is>
          <t>Attack Speed Buff Bonus % (Nimble Feet, duty-cycle averaged)</t>
        </is>
      </c>
      <c r="B1307">
        <f>((C1303=TRUE)*F1303*IF(AND(Inputs!$B$38&lt;&gt;"pvp",Inputs!$B$43&gt;0),(((R1303-1)*(Skills!T23*(1+Inputs!$B$34/100))+MIN((Skills!T23*(1+Inputs!$B$34/100)),MAX(0,Inputs!$B$43-((R1303-1)*Skills!D23))))/Inputs!$B$43),IF(Inputs!$B$38="pvp",MIN((Skills!T23*(1+Inputs!$B$34/100)),15)/15,(Skills!T23*(1+Inputs!$B$34/100))/Skills!D23)))</f>
        <v/>
      </c>
    </row>
    <row r="1308">
      <c r="A1308" t="inlineStr">
        <is>
          <t>Actions Per Second</t>
        </is>
      </c>
      <c r="B1308">
        <f>1+MIN(150,150*(1-(1-(Inputs!$B$11+((C1297=TRUE)*(F1297-Calc!F17))+((C1298=TRUE)*(F1298-Calc!F18)))/150)*(1-B1307/150)))/100</f>
        <v/>
      </c>
    </row>
    <row r="1309">
      <c r="A1309" t="inlineStr">
        <is>
          <t>Skill + Buff Cast Rate</t>
        </is>
      </c>
      <c r="B1309">
        <f>IF(AND(Inputs!$B$38&lt;&gt;"pvp",Inputs!$B$43&gt;0),SUMPRODUCT((Skills!E2:E23=TRUE)*(C1282:C1303=TRUE)*R1282:R1303*Skills!F2:F23)/Inputs!$B$43,SUMPRODUCT((Skills!E2:E23=TRUE)*(C1282:C1303=TRUE)*Q1282:Q1303*Skills!F2:F23))</f>
        <v/>
      </c>
    </row>
    <row r="1310">
      <c r="A1310" t="inlineStr">
        <is>
          <t>Hook Bomber Casts Per Second</t>
        </is>
      </c>
      <c r="B1310">
        <f>MAX(0,B1308-B1309)</f>
        <v/>
      </c>
    </row>
    <row r="1311">
      <c r="A1311" t="inlineStr">
        <is>
          <t>Global Critical Damage Bonus % (unused)</t>
        </is>
      </c>
      <c r="B1311" t="n">
        <v>0</v>
      </c>
    </row>
    <row r="1312">
      <c r="A1312" t="inlineStr">
        <is>
          <t>Global Final Damage Bonus % (Serpent Scale + Crossbones + Time Leap + Speed Infusion)</t>
        </is>
      </c>
      <c r="B1312">
        <f>((C1285=TRUE)*F1285*((10+IF(Inputs!$B$3&gt;=94,5,0))/((10+IF(Inputs!$B$3&gt;=94,5,0))+5/(B1310*(1+IF(Inputs!$B$3&gt;=104,1,0))))))+((C1294=TRUE)*F1294*IF(AND(Inputs!$B$38&lt;&gt;"pvp",Inputs!$B$43&gt;0),(((R1294-1)*(Skills!T14*(1+Inputs!$B$34/100))+MIN((Skills!T14*(1+Inputs!$B$34/100)),MAX(0,Inputs!$B$43-((R1294-1)*Skills!D14))))/Inputs!$B$43),IF(Inputs!$B$38="pvp",MIN((Skills!T14*(1+Inputs!$B$34/100)),15)/15,(Skills!T14*(1+Inputs!$B$34/100))/Skills!D14)))+((C1295=TRUE)*F1295*IF(AND(Inputs!$B$38&lt;&gt;"pvp",Inputs!$B$43&gt;0),(((R1295-1)*(Skills!T15*(1+Inputs!$B$34/100))+MIN((Skills!T15*(1+Inputs!$B$34/100)),MAX(0,Inputs!$B$43-((R1295-1)*Skills!D15))))/Inputs!$B$43),IF(Inputs!$B$38="pvp",MIN((Skills!T15*(1+Inputs!$B$34/100)),15)/15,(Skills!T15*(1+Inputs!$B$34/100))/Skills!D15)))+((Inputs!$B$3&gt;=110)*20*(B1308-1)*IF(Inputs!$B$38="pvp",MIN((15*(1+Inputs!$B$34/100)),15)/15,(15*(1+Inputs!$B$34/100))/35))</f>
        <v/>
      </c>
    </row>
    <row r="1313">
      <c r="A1313" t="inlineStr">
        <is>
          <t>Buff-Casting Startup Delay (s, fixed-duration only)</t>
        </is>
      </c>
      <c r="B1313">
        <f>IF(AND(Inputs!$B$38&lt;&gt;"pvp",Inputs!$B$43&gt;0),SUMPRODUCT((Skills!T2:T23&gt;0)*(Skills!E2:E23=TRUE)*(C1282:C1303=TRUE))/B1308,0)</f>
        <v/>
      </c>
    </row>
    <row r="1314">
      <c r="A1314" t="inlineStr">
        <is>
          <t>Boss-Only Total DPS (this block's swept value)</t>
        </is>
      </c>
      <c r="B1314">
        <f>SUM(T1282:T1303)</f>
        <v/>
      </c>
    </row>
    <row r="1315">
      <c r="A1315" t="inlineStr">
        <is>
          <t>Normal-Only Total DPS (this block's swept value)</t>
        </is>
      </c>
      <c r="B1315">
        <f>SUM(V1282:V1303)</f>
        <v/>
      </c>
    </row>
    <row r="1316">
      <c r="A1316" s="6" t="inlineStr">
        <is>
          <t>TOTAL DPS</t>
        </is>
      </c>
      <c r="B1316" s="6">
        <f>SUM(O1282:O1303)</f>
        <v/>
      </c>
    </row>
    <row r="1319">
      <c r="A1319" s="6" t="inlineStr">
        <is>
          <t>Stat: Arwen's Glass Shoes (Equip)</t>
        </is>
      </c>
    </row>
    <row r="1320">
      <c r="A1320" s="5" t="inlineStr">
        <is>
          <t>Key</t>
        </is>
      </c>
      <c r="B1320" s="5" t="inlineStr">
        <is>
          <t>Name</t>
        </is>
      </c>
      <c r="C1320" s="5" t="inlineStr">
        <is>
          <t>Unlocked</t>
        </is>
      </c>
      <c r="D1320" s="5" t="inlineStr">
        <is>
          <t>InputLevel</t>
        </is>
      </c>
      <c r="E1320" s="5" t="inlineStr">
        <is>
          <t>Factor</t>
        </is>
      </c>
      <c r="F1320" s="5" t="inlineStr">
        <is>
          <t>CoefficientPercent</t>
        </is>
      </c>
      <c r="G1320" s="5" t="inlineStr">
        <is>
          <t>EffectiveHits</t>
        </is>
      </c>
      <c r="H1320" s="5" t="inlineStr">
        <is>
          <t>ProcProbability</t>
        </is>
      </c>
      <c r="I1320" s="5" t="inlineStr">
        <is>
          <t>MapleHeroMultiplier</t>
        </is>
      </c>
      <c r="J1320" s="5" t="inlineStr">
        <is>
          <t>BaseDamage</t>
        </is>
      </c>
      <c r="K1320" s="5" t="inlineStr">
        <is>
          <t>BaseHitDamage</t>
        </is>
      </c>
      <c r="L1320" s="5" t="inlineStr">
        <is>
          <t>NonCritAvg</t>
        </is>
      </c>
      <c r="M1320" s="5" t="inlineStr">
        <is>
          <t>CritAvg</t>
        </is>
      </c>
      <c r="N1320" s="5" t="inlineStr">
        <is>
          <t>ExpectedDamage(perHit)</t>
        </is>
      </c>
      <c r="O1320" s="5" t="inlineStr">
        <is>
          <t>DPS</t>
        </is>
      </c>
      <c r="P1320" s="5" t="inlineStr">
        <is>
          <t>% of Total</t>
        </is>
      </c>
      <c r="Q1320" s="5" t="inlineStr">
        <is>
          <t>InvCooldown</t>
        </is>
      </c>
      <c r="R1320" s="5" t="inlineStr">
        <is>
          <t>CastsInFight</t>
        </is>
      </c>
      <c r="S1320" s="5" t="inlineStr">
        <is>
          <t>HitRate(perSec)</t>
        </is>
      </c>
      <c r="U1320" t="inlineStr">
        <is>
          <t>helpers</t>
        </is>
      </c>
    </row>
    <row r="1321">
      <c r="A1321">
        <f>Skills!A2</f>
        <v/>
      </c>
      <c r="B1321">
        <f>Skills!B2</f>
        <v/>
      </c>
      <c r="C1321">
        <f>Inputs!$B$3&gt;=100</f>
        <v/>
      </c>
      <c r="D1321" t="inlineStr"/>
      <c r="E1321" t="inlineStr"/>
      <c r="F1321">
        <f>U1323+Skills!O2</f>
        <v/>
      </c>
      <c r="G1321">
        <f>Skills!G2*IF(Skills!H2&gt;0,Skills!I2/Skills!H2,1)</f>
        <v/>
      </c>
      <c r="H1321">
        <f>1-(1-Skills!J2/100)^Skills!K2</f>
        <v/>
      </c>
      <c r="I1321" t="inlineStr">
        <is>
          <t>1</t>
        </is>
      </c>
      <c r="J1321">
        <f>((Inputs!$B$6*(1+Inputs!$B$7/100))+(((Inputs!$B$12*(1+Inputs!$B$13/100))-(Inputs!$B$12*(1+Inputs!$B$13/100)))+0.25*(Inputs!$B$14-Inputs!$B$14))*(1+Inputs!$B$7/100))*(F1321/100)</f>
        <v/>
      </c>
      <c r="K1321">
        <f>J1321*(1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1321)</f>
        <v/>
      </c>
      <c r="L1321">
        <f>K1321*(MIN(Inputs!$B$22+((C1339=TRUE)*(F1339-Calc!F20)),(Inputs!$B$23+0+(IF(ArtifactsInput!$M$15,CHOOSE(ArtifactsInput!$N$15+1,25,30,35,40,45,50)/100*(Inputs!$B$11-Inputs!$B$11),0))))/100+(Inputs!$B$23+0+(IF(ArtifactsInput!$M$15,CHOOSE(ArtifactsInput!$N$15+1,25,30,35,40,45,50)/100*(Inputs!$B$11-Inputs!$B$11),0)))/100)/2</f>
        <v/>
      </c>
      <c r="M1321">
        <f>L1321*(1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1">
        <f>L1321*(1-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1">
        <f>(1-Summary!$B$11)*T1321+Summary!$B$11*V1321</f>
        <v/>
      </c>
      <c r="P1321">
        <f>IF(B1355=0,0,O1321/B1355)</f>
        <v/>
      </c>
      <c r="Q1321" t="n">
        <v>0</v>
      </c>
      <c r="R1321" t="n">
        <v>0</v>
      </c>
      <c r="S1321">
        <f>IFERROR(O1321/N1321,0)</f>
        <v/>
      </c>
      <c r="T1321">
        <f>IF(C1321,(Skills!G2*N1321*B1349)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1321*(1-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1321*(1-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1">
        <f>MAX(0,(Inputs!$B$3-100)*3)+Inputs!$B$28+Inputs!$B$29</f>
        <v/>
      </c>
      <c r="V1321">
        <f>IF(C1321,(Skills!G2*N1321*B1349)*IF(Inputs!$B$38="pvp",1,(1+(Inputs!$B$21+Skills!Q2+(IF(ArtifactsInput!$M$33,CHOOSE(ArtifactsInput!$N$33+1,30,36,42,48,54,60),0))+(IF(AND(ArtifactsInput!$M$35,Inputs!$B$4&lt;&gt;"Chapter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2">
      <c r="A1322">
        <f>Skills!A3</f>
        <v/>
      </c>
      <c r="B1322">
        <f>Skills!B3</f>
        <v/>
      </c>
      <c r="C1322">
        <f>Inputs!$B$3&gt;=35</f>
        <v/>
      </c>
      <c r="D1322">
        <f>IF(Skills!C3=1,60+Inputs!$B$25+Inputs!$B$29,IF(Skills!C3=2,90+Inputs!$B$26+Inputs!$B$29,IF(Skills!C3=3,120+Inputs!$B$27+Inputs!$B$29,MAX(0,(Inputs!$B$3-100)*3)+Inputs!$B$28+Inputs!$B$29)))</f>
        <v/>
      </c>
      <c r="E1322">
        <f>INDEX(FactorTable!$B$2:$Y$301, MATCH(ROUND(MIN(300,MAX(1,D1322)),0), FactorTable!$A$2:$A$301,0), Skills!M3+1)</f>
        <v/>
      </c>
      <c r="F1322">
        <f>IF(Skills!N3=TRUE,(Skills!L3/10)*(E1322/1000),Skills!L3/10)+Skills!O3</f>
        <v/>
      </c>
      <c r="G1322">
        <f>Skills!G3*IF(Skills!H3&gt;0,Skills!I3/Skills!H3,1)</f>
        <v/>
      </c>
      <c r="H1322">
        <f>1-(1-Skills!J3/100)^Skills!K3</f>
        <v/>
      </c>
      <c r="I1322" t="inlineStr">
        <is>
          <t>1</t>
        </is>
      </c>
      <c r="J1322">
        <f>((Inputs!$B$6*(1+Inputs!$B$7/100))+(((Inputs!$B$12*(1+Inputs!$B$13/100))-(Inputs!$B$12*(1+Inputs!$B$13/100)))+0.25*(Inputs!$B$14-Inputs!$B$14))*(1+Inputs!$B$7/100))*(F1322/100)</f>
        <v/>
      </c>
      <c r="K1322">
        <f>J1322*(1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1322)</f>
        <v/>
      </c>
      <c r="L1322">
        <f>K1322*(MIN(Inputs!$B$22+((C1339=TRUE)*(F1339-Calc!F20)),(Inputs!$B$23+0+(IF(ArtifactsInput!$M$15,CHOOSE(ArtifactsInput!$N$15+1,25,30,35,40,45,50)/100*(Inputs!$B$11-Inputs!$B$11),0))))/100+(Inputs!$B$23+0+(IF(ArtifactsInput!$M$15,CHOOSE(ArtifactsInput!$N$15+1,25,30,35,40,45,50)/100*(Inputs!$B$11-Inputs!$B$11),0)))/100)/2</f>
        <v/>
      </c>
      <c r="M1322">
        <f>L1322*(1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2">
        <f>L1322*(1-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1322*(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2">
        <f>(1-Summary!$B$11)*T1322+Summary!$B$11*V1322</f>
        <v/>
      </c>
      <c r="P1322">
        <f>IF(B1355=0,0,O1322/B1355)</f>
        <v/>
      </c>
      <c r="Q1322" t="n">
        <v>0</v>
      </c>
      <c r="R1322" t="n">
        <v>0</v>
      </c>
      <c r="S1322">
        <f>IFERROR(O1322/N1322,0)</f>
        <v/>
      </c>
      <c r="T1322">
        <f>IF(C1322,(Skills!G3*H1322*N1322*B1349)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1322*(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1322*(1-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1322*(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2">
        <f>INDEX(FactorTable!$B$2:$Y$301, MATCH(ROUND(MIN(300,MAX(1,U1321)),0), FactorTable!$A$2:$A$301,0), 22)</f>
        <v/>
      </c>
      <c r="V1322">
        <f>IF(C1322,(Skills!G3*H1322*N1322*B1349)*IF(Inputs!$B$38="pvp",1,(1+(Inputs!$B$21+Skills!Q3+(IF(ArtifactsInput!$M$33,CHOOSE(ArtifactsInput!$N$33+1,30,36,42,48,54,60),0))+(IF(AND(ArtifactsInput!$M$35,Inputs!$B$4&lt;&gt;"Chapter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3">
      <c r="A1323">
        <f>Skills!A4</f>
        <v/>
      </c>
      <c r="B1323">
        <f>Skills!B4</f>
        <v/>
      </c>
      <c r="C1323">
        <f>Inputs!$B$3&gt;=60</f>
        <v/>
      </c>
      <c r="D1323">
        <f>IF(Skills!C4=1,60+Inputs!$B$25+Inputs!$B$29,IF(Skills!C4=2,90+Inputs!$B$26+Inputs!$B$29,IF(Skills!C4=3,120+Inputs!$B$27+Inputs!$B$29,MAX(0,(Inputs!$B$3-100)*3)+Inputs!$B$28+Inputs!$B$29)))</f>
        <v/>
      </c>
      <c r="E1323">
        <f>INDEX(FactorTable!$B$2:$Y$301, MATCH(ROUND(MIN(300,MAX(1,D1323)),0), FactorTable!$A$2:$A$301,0), Skills!M4+1)</f>
        <v/>
      </c>
      <c r="F1323">
        <f>IF(Skills!N4=TRUE,(Skills!L4/10)*(E1323/1000),Skills!L4/10)+Skills!O4</f>
        <v/>
      </c>
      <c r="G1323">
        <f>Skills!G4*IF(Skills!H4&gt;0,Skills!I4/Skills!H4,1)</f>
        <v/>
      </c>
      <c r="H1323">
        <f>1-(1-Skills!J4/100)^Skills!K4</f>
        <v/>
      </c>
      <c r="I1323" t="inlineStr">
        <is>
          <t>1</t>
        </is>
      </c>
      <c r="J1323">
        <f>((Inputs!$B$6*(1+Inputs!$B$7/100))+(((Inputs!$B$12*(1+Inputs!$B$13/100))-(Inputs!$B$12*(1+Inputs!$B$13/100)))+0.25*(Inputs!$B$14-Inputs!$B$14))*(1+Inputs!$B$7/100))*(F1323/100)</f>
        <v/>
      </c>
      <c r="K1323">
        <f>J1323*(1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1331=TRUE,F1331,0)/100)*(1+(IF(Skills!A4="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1323)</f>
        <v/>
      </c>
      <c r="L1323">
        <f>K1323*(MIN(Inputs!$B$22+((C1339=TRUE)*(F1339-Calc!F20)),(Inputs!$B$23+0+(IF(ArtifactsInput!$M$15,CHOOSE(ArtifactsInput!$N$15+1,25,30,35,40,45,50)/100*(Inputs!$B$11-Inputs!$B$11),0))))/100+(Inputs!$B$23+0+(IF(ArtifactsInput!$M$15,CHOOSE(ArtifactsInput!$N$15+1,25,30,35,40,45,50)/100*(Inputs!$B$11-Inputs!$B$11),0)))/100)/2</f>
        <v/>
      </c>
      <c r="M1323">
        <f>L1323*(1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3">
        <f>L1323*(1-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1323*(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3">
        <f>(1-Summary!$B$11)*T1323+Summary!$B$11*V1323</f>
        <v/>
      </c>
      <c r="P1323">
        <f>IF(B1355=0,0,O1323/B1355)</f>
        <v/>
      </c>
      <c r="Q1323" t="n">
        <v>0</v>
      </c>
      <c r="R1323" t="n">
        <v>0</v>
      </c>
      <c r="S1323">
        <f>IFERROR(O1323/N1323,0)</f>
        <v/>
      </c>
      <c r="T1323">
        <f>IF(C1323,(Skills!G4*H1323*N1323*B1349)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1323*(1-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1323*(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1323*(1-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1323*(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23">
        <f>290*U1322/1000</f>
        <v/>
      </c>
      <c r="V1323">
        <f>IF(C1323,(Skills!G4*H1323*N1323*B1349)*IF(Inputs!$B$38="pvp",1,(1+(Inputs!$B$21+Skills!Q4+(IF(ArtifactsInput!$M$33,CHOOSE(ArtifactsInput!$N$33+1,30,36,42,48,54,60),0))+(IF(AND(ArtifactsInput!$M$35,Inputs!$B$4&lt;&gt;"Chapter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4">
      <c r="A1324">
        <f>Skills!A5</f>
        <v/>
      </c>
      <c r="B1324">
        <f>Skills!B5</f>
        <v/>
      </c>
      <c r="C1324">
        <f>Inputs!$B$3&gt;=60</f>
        <v/>
      </c>
      <c r="D1324">
        <f>IF(Skills!C5=1,60+Inputs!$B$25+Inputs!$B$29,IF(Skills!C5=2,90+Inputs!$B$26+Inputs!$B$29,IF(Skills!C5=3,120+Inputs!$B$27+Inputs!$B$29,MAX(0,(Inputs!$B$3-100)*3)+Inputs!$B$28+Inputs!$B$29)))</f>
        <v/>
      </c>
      <c r="E1324">
        <f>INDEX(FactorTable!$B$2:$Y$301, MATCH(ROUND(MIN(300,MAX(1,D1324)),0), FactorTable!$A$2:$A$301,0), Skills!M5+1)</f>
        <v/>
      </c>
      <c r="F1324">
        <f>IF(Skills!N5=TRUE,(Skills!L5/10)*(E1324/1000),Skills!L5/10)+Skills!O5</f>
        <v/>
      </c>
      <c r="G1324">
        <f>Skills!G5*IF(Skills!H5&gt;0,Skills!I5/Skills!H5,1)</f>
        <v/>
      </c>
      <c r="H1324">
        <f>1-(1-Skills!J5/100)^Skills!K5</f>
        <v/>
      </c>
      <c r="I1324" t="inlineStr">
        <is>
          <t>1</t>
        </is>
      </c>
      <c r="J1324" t="inlineStr"/>
      <c r="K1324" t="inlineStr"/>
      <c r="L1324" t="inlineStr"/>
      <c r="M1324" t="inlineStr"/>
      <c r="N1324" t="inlineStr"/>
      <c r="O1324">
        <f>(1-Summary!$B$11)*T1324+Summary!$B$11*V1324</f>
        <v/>
      </c>
      <c r="P1324">
        <f>IF(B1355=0,0,O1324/B1355)</f>
        <v/>
      </c>
      <c r="Q1324" t="n">
        <v>0</v>
      </c>
      <c r="R1324" t="n">
        <v>0</v>
      </c>
      <c r="S1324">
        <f>IFERROR(O1324/N1324,0)</f>
        <v/>
      </c>
      <c r="T1324" t="n">
        <v>0</v>
      </c>
      <c r="V1324" t="n">
        <v>0</v>
      </c>
    </row>
    <row r="1325">
      <c r="A1325">
        <f>Skills!A6</f>
        <v/>
      </c>
      <c r="B1325">
        <f>Skills!B6</f>
        <v/>
      </c>
      <c r="C1325">
        <f>Inputs!$B$3&gt;=63</f>
        <v/>
      </c>
      <c r="D1325">
        <f>IF(Skills!C6=1,60+Inputs!$B$25+Inputs!$B$29,IF(Skills!C6=2,90+Inputs!$B$26+Inputs!$B$29,IF(Skills!C6=3,120+Inputs!$B$27+Inputs!$B$29,MAX(0,(Inputs!$B$3-100)*3)+Inputs!$B$28+Inputs!$B$29)))</f>
        <v/>
      </c>
      <c r="E1325">
        <f>INDEX(FactorTable!$B$2:$Y$301, MATCH(ROUND(MIN(300,MAX(1,D1325)),0), FactorTable!$A$2:$A$301,0), Skills!M6+1)</f>
        <v/>
      </c>
      <c r="F1325">
        <f>IF(Skills!N6=TRUE,(Skills!L6/10)*(E1325/1000),Skills!L6/10)+Skills!O6</f>
        <v/>
      </c>
      <c r="G1325">
        <f>Skills!G6*IF(Skills!H6&gt;0,Skills!I6/Skills!H6,1)</f>
        <v/>
      </c>
      <c r="H1325">
        <f>1-(1-Skills!J6/100)^Skills!K6</f>
        <v/>
      </c>
      <c r="I1325" t="inlineStr">
        <is>
          <t>1</t>
        </is>
      </c>
      <c r="J1325">
        <f>((Inputs!$B$6*(1+Inputs!$B$7/100))+(((Inputs!$B$12*(1+Inputs!$B$13/100))-(Inputs!$B$12*(1+Inputs!$B$13/100)))+0.25*(Inputs!$B$14-Inputs!$B$14))*(1+Inputs!$B$7/100))*(F1325/100)</f>
        <v/>
      </c>
      <c r="K1325">
        <f>J1325*(1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1331=TRUE,F1331,0)/100)*(1+(IF(Skills!A6="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1325)</f>
        <v/>
      </c>
      <c r="L1325">
        <f>K1325*(MIN(Inputs!$B$22+((C1339=TRUE)*(F1339-Calc!F20)),(Inputs!$B$23+0+(IF(ArtifactsInput!$M$15,CHOOSE(ArtifactsInput!$N$15+1,25,30,35,40,45,50)/100*(Inputs!$B$11-Inputs!$B$11),0))))/100+(Inputs!$B$23+0+(IF(ArtifactsInput!$M$15,CHOOSE(ArtifactsInput!$N$15+1,25,30,35,40,45,50)/100*(Inputs!$B$11-Inputs!$B$11),0)))/100)/2</f>
        <v/>
      </c>
      <c r="M1325">
        <f>L1325*(1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5">
        <f>L1325*(1-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1325*(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5">
        <f>(1-Summary!$B$11)*T1325+Summary!$B$11*V1325</f>
        <v/>
      </c>
      <c r="P1325">
        <f>IF(B1355=0,0,O1325/B1355)</f>
        <v/>
      </c>
      <c r="Q1325">
        <f>IFERROR(1/(IF(Inputs!$B$38="pvp",15,MAX(0.1,Skills!D6-IF(Skills!E6=TRUE,Inputs!$B$32,0)))*(1-IF(AND(ArtifactsInput!$M$27,Inputs!$B$4="Chapter Hunt"),CHOOSE(ArtifactsInput!$N$27+1,20,24,28,32,36,40),0)/100)),0)</f>
        <v/>
      </c>
      <c r="R1325">
        <f>IF(AND(Inputs!$B$38&lt;&gt;"pvp",Inputs!$B$43&gt;0),IF(MAX(0,Inputs!$B$43-B1352)&lt;=0,0,(INT(MAX(0,Inputs!$B$43-B1352)/(IF(Inputs!$B$38="pvp",15,MAX(0.1,Skills!D6-IF(Skills!E6=TRUE,Inputs!$B$32,0)))*(1-IF(AND(ArtifactsInput!$M$27,Inputs!$B$4="Chapter Hunt"),CHOOSE(ArtifactsInput!$N$27+1,20,24,28,32,36,40),0)/100)))+1)),0)</f>
        <v/>
      </c>
      <c r="S1325">
        <f>IFERROR(O1325/N1325,0)</f>
        <v/>
      </c>
      <c r="T1325">
        <f>IF(C1325,(H1325*N1325*IF(AND(Inputs!$B$38&lt;&gt;"pvp",Inputs!$B$43&gt;0),((Skills!G6*((R1325-1)*IF(Skills!H6&gt;0,Skills!I6/Skills!H6,1)+IF(Skills!H6&gt;0,MIN(Skills!I6,MAX(0,MAX(0,Inputs!$B$43-B1352)-((R1325-1)*(IF(Inputs!$B$38="pvp",15,MAX(0.1,Skills!D6-IF(Skills!E6=TRUE,Inputs!$B$32,0)))*(1-IF(AND(ArtifactsInput!$M$27,Inputs!$B$4="Chapter Hunt"),CHOOSE(ArtifactsInput!$N$27+1,20,24,28,32,36,40),0)/100)))))/Skills!H6,1)))/Inputs!$B$43),G1325*Q1325)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1325*(1-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1325*(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1325*(1-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1325*(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5">
        <f>IF(C1325,(H1325*N1325*IF(AND(Inputs!$B$38&lt;&gt;"pvp",Inputs!$B$43&gt;0),((Skills!G6*((R1325-1)*IF(Skills!H6&gt;0,Skills!I6/Skills!H6,1)+IF(Skills!H6&gt;0,MIN(Skills!I6,MAX(0,MAX(0,Inputs!$B$43-B1352)-((R1325-1)*(IF(Inputs!$B$38="pvp",15,MAX(0.1,Skills!D6-IF(Skills!E6=TRUE,Inputs!$B$32,0)))*(1-IF(AND(ArtifactsInput!$M$27,Inputs!$B$4="Chapter Hunt"),CHOOSE(ArtifactsInput!$N$27+1,20,24,28,32,36,40),0)/100)))))/Skills!H6,1)))/Inputs!$B$43),G1325*Q1325))*IF(Inputs!$B$38="pvp",1,(1+(Inputs!$B$21+Skills!Q6+(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6">
      <c r="A1326">
        <f>Skills!A7</f>
        <v/>
      </c>
      <c r="B1326">
        <f>Skills!B7</f>
        <v/>
      </c>
      <c r="C1326">
        <f>Inputs!$B$3&gt;=100</f>
        <v/>
      </c>
      <c r="D1326">
        <f>IF(Skills!C7=1,60+Inputs!$B$25+Inputs!$B$29,IF(Skills!C7=2,90+Inputs!$B$26+Inputs!$B$29,IF(Skills!C7=3,120+Inputs!$B$27+Inputs!$B$29,MAX(0,(Inputs!$B$3-100)*3)+Inputs!$B$28+Inputs!$B$29)))</f>
        <v/>
      </c>
      <c r="E1326">
        <f>INDEX(FactorTable!$B$2:$Y$301, MATCH(ROUND(MIN(300,MAX(1,D1326)),0), FactorTable!$A$2:$A$301,0), Skills!M7+1)</f>
        <v/>
      </c>
      <c r="F1326">
        <f>IF(Skills!N7=TRUE,(Skills!L7/10)*(E1326/1000),Skills!L7/10)+Skills!O7</f>
        <v/>
      </c>
      <c r="G1326">
        <f>Skills!G7*IF(Skills!H7&gt;0,Skills!I7/Skills!H7,1)</f>
        <v/>
      </c>
      <c r="H1326">
        <f>1-(1-Skills!J7/100)^Skills!K7</f>
        <v/>
      </c>
      <c r="I1326" t="inlineStr">
        <is>
          <t>1</t>
        </is>
      </c>
      <c r="J1326">
        <f>((Inputs!$B$6*(1+Inputs!$B$7/100))+(((Inputs!$B$12*(1+Inputs!$B$13/100))-(Inputs!$B$12*(1+Inputs!$B$13/100)))+0.25*(Inputs!$B$14-Inputs!$B$14))*(1+Inputs!$B$7/100))*(F1326/100)</f>
        <v/>
      </c>
      <c r="K1326">
        <f>J1326*(1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1326)</f>
        <v/>
      </c>
      <c r="L1326">
        <f>K1326*(MIN(Inputs!$B$22+((C1339=TRUE)*(F1339-Calc!F20)),(Inputs!$B$23+0+(IF(ArtifactsInput!$M$15,CHOOSE(ArtifactsInput!$N$15+1,25,30,35,40,45,50)/100*(Inputs!$B$11-Inputs!$B$11),0))))/100+(Inputs!$B$23+0+(IF(ArtifactsInput!$M$15,CHOOSE(ArtifactsInput!$N$15+1,25,30,35,40,45,50)/100*(Inputs!$B$11-Inputs!$B$11),0)))/100)/2</f>
        <v/>
      </c>
      <c r="M1326">
        <f>L1326*(1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6">
        <f>L1326*(1-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1326*(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6">
        <f>(1-Summary!$B$11)*T1326+Summary!$B$11*V1326</f>
        <v/>
      </c>
      <c r="P1326">
        <f>IF(B1355=0,0,O1326/B1355)</f>
        <v/>
      </c>
      <c r="Q1326">
        <f>IFERROR(1/(IF(Inputs!$B$38="pvp",15,MAX(0.1,Skills!D7-IF(Skills!E7=TRUE,Inputs!$B$32,0)))*(1-IF(AND(ArtifactsInput!$M$27,Inputs!$B$4="Chapter Hunt"),CHOOSE(ArtifactsInput!$N$27+1,20,24,28,32,36,40),0)/100)),0)</f>
        <v/>
      </c>
      <c r="R1326">
        <f>IF(AND(Inputs!$B$38&lt;&gt;"pvp",Inputs!$B$43&gt;0),IF(MAX(0,Inputs!$B$43-B1352)&lt;=0,0,(INT(MAX(0,Inputs!$B$43-B1352)/(IF(Inputs!$B$38="pvp",15,MAX(0.1,Skills!D7-IF(Skills!E7=TRUE,Inputs!$B$32,0)))*(1-IF(AND(ArtifactsInput!$M$27,Inputs!$B$4="Chapter Hunt"),CHOOSE(ArtifactsInput!$N$27+1,20,24,28,32,36,40),0)/100)))+1)),0)</f>
        <v/>
      </c>
      <c r="S1326">
        <f>IFERROR(O1326/N1326,0)</f>
        <v/>
      </c>
      <c r="T1326">
        <f>IF(C1326,(H1326*N1326*IF(AND(Inputs!$B$38&lt;&gt;"pvp",Inputs!$B$43&gt;0),((Skills!G7*((R1326-1)*IF(Skills!H7&gt;0,Skills!I7/Skills!H7,1)+IF(Skills!H7&gt;0,MIN(Skills!I7,MAX(0,MAX(0,Inputs!$B$43-B1352)-((R1326-1)*(IF(Inputs!$B$38="pvp",15,MAX(0.1,Skills!D7-IF(Skills!E7=TRUE,Inputs!$B$32,0)))*(1-IF(AND(ArtifactsInput!$M$27,Inputs!$B$4="Chapter Hunt"),CHOOSE(ArtifactsInput!$N$27+1,20,24,28,32,36,40),0)/100)))))/Skills!H7,1)))/Inputs!$B$43),G1326*Q1326)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1326*(1-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1326*(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1326*(1-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1326*(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6">
        <f>IF(C1326,(H1326*N1326*IF(AND(Inputs!$B$38&lt;&gt;"pvp",Inputs!$B$43&gt;0),((Skills!G7*((R1326-1)*IF(Skills!H7&gt;0,Skills!I7/Skills!H7,1)+IF(Skills!H7&gt;0,MIN(Skills!I7,MAX(0,MAX(0,Inputs!$B$43-B1352)-((R1326-1)*(IF(Inputs!$B$38="pvp",15,MAX(0.1,Skills!D7-IF(Skills!E7=TRUE,Inputs!$B$32,0)))*(1-IF(AND(ArtifactsInput!$M$27,Inputs!$B$4="Chapter Hunt"),CHOOSE(ArtifactsInput!$N$27+1,20,24,28,32,36,40),0)/100)))))/Skills!H7,1)))/Inputs!$B$43),G1326*Q1326))*IF(Inputs!$B$38="pvp",1,(1+(Inputs!$B$21+Skills!Q7+(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7">
      <c r="A1327">
        <f>Skills!A8</f>
        <v/>
      </c>
      <c r="B1327">
        <f>Skills!B8</f>
        <v/>
      </c>
      <c r="C1327">
        <f>Inputs!$B$3&gt;=110</f>
        <v/>
      </c>
      <c r="D1327">
        <f>IF(Skills!C8=1,60+Inputs!$B$25+Inputs!$B$29,IF(Skills!C8=2,90+Inputs!$B$26+Inputs!$B$29,IF(Skills!C8=3,120+Inputs!$B$27+Inputs!$B$29,MAX(0,(Inputs!$B$3-100)*3)+Inputs!$B$28+Inputs!$B$29)))</f>
        <v/>
      </c>
      <c r="E1327">
        <f>INDEX(FactorTable!$B$2:$Y$301, MATCH(ROUND(MIN(300,MAX(1,D1327)),0), FactorTable!$A$2:$A$301,0), Skills!M8+1)</f>
        <v/>
      </c>
      <c r="F1327">
        <f>IF(Skills!N8=TRUE,(Skills!L8/10)*(E1327/1000),Skills!L8/10)+Skills!O8</f>
        <v/>
      </c>
      <c r="G1327">
        <f>Skills!G8*IF(Skills!H8&gt;0,Skills!I8/Skills!H8,1)</f>
        <v/>
      </c>
      <c r="H1327">
        <f>1-(1-Skills!J8/100)^Skills!K8</f>
        <v/>
      </c>
      <c r="I1327" t="inlineStr">
        <is>
          <t>1</t>
        </is>
      </c>
      <c r="J1327">
        <f>((Inputs!$B$6*(1+Inputs!$B$7/100))+(((Inputs!$B$12*(1+Inputs!$B$13/100))-(Inputs!$B$12*(1+Inputs!$B$13/100)))+0.25*(Inputs!$B$14-Inputs!$B$14))*(1+Inputs!$B$7/100))*(F1327/100)</f>
        <v/>
      </c>
      <c r="K1327">
        <f>J1327*(1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1327)</f>
        <v/>
      </c>
      <c r="L1327">
        <f>K1327*(MIN(Inputs!$B$22+((C1339=TRUE)*(F1339-Calc!F20)),(Inputs!$B$23+0+(IF(ArtifactsInput!$M$15,CHOOSE(ArtifactsInput!$N$15+1,25,30,35,40,45,50)/100*(Inputs!$B$11-Inputs!$B$11),0))))/100+(Inputs!$B$23+0+(IF(ArtifactsInput!$M$15,CHOOSE(ArtifactsInput!$N$15+1,25,30,35,40,45,50)/100*(Inputs!$B$11-Inputs!$B$11),0)))/100)/2</f>
        <v/>
      </c>
      <c r="M1327">
        <f>L1327*(1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7">
        <f>L1327*(1-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1327*(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7">
        <f>(1-Summary!$B$11)*T1327+Summary!$B$11*V1327</f>
        <v/>
      </c>
      <c r="P1327">
        <f>IF(B1355=0,0,O1327/B1355)</f>
        <v/>
      </c>
      <c r="Q1327">
        <f>IFERROR(1/(IF(Inputs!$B$38="pvp",15,MAX(0.1,Skills!D8-IF(Skills!E8=TRUE,Inputs!$B$32,0)))*(1-IF(AND(ArtifactsInput!$M$27,Inputs!$B$4="Chapter Hunt"),CHOOSE(ArtifactsInput!$N$27+1,20,24,28,32,36,40),0)/100)),0)</f>
        <v/>
      </c>
      <c r="R1327">
        <f>IF(AND(Inputs!$B$38&lt;&gt;"pvp",Inputs!$B$43&gt;0),IF(MAX(0,Inputs!$B$43-B1352)&lt;=0,0,(INT(MAX(0,Inputs!$B$43-B1352)/(IF(Inputs!$B$38="pvp",15,MAX(0.1,Skills!D8-IF(Skills!E8=TRUE,Inputs!$B$32,0)))*(1-IF(AND(ArtifactsInput!$M$27,Inputs!$B$4="Chapter Hunt"),CHOOSE(ArtifactsInput!$N$27+1,20,24,28,32,36,40),0)/100)))+1)),0)</f>
        <v/>
      </c>
      <c r="S1327">
        <f>IFERROR(O1327/N1327,0)</f>
        <v/>
      </c>
      <c r="T1327">
        <f>IF(C1327,(H1327*N1327*IF(AND(Inputs!$B$38&lt;&gt;"pvp",Inputs!$B$43&gt;0),((Skills!G8*((R1327-1)*IF(Skills!H8&gt;0,Skills!I8/Skills!H8,1)+IF(Skills!H8&gt;0,MIN(Skills!I8,MAX(0,MAX(0,Inputs!$B$43-B1352)-((R1327-1)*(IF(Inputs!$B$38="pvp",15,MAX(0.1,Skills!D8-IF(Skills!E8=TRUE,Inputs!$B$32,0)))*(1-IF(AND(ArtifactsInput!$M$27,Inputs!$B$4="Chapter Hunt"),CHOOSE(ArtifactsInput!$N$27+1,20,24,28,32,36,40),0)/100)))))/Skills!H8,1)))/Inputs!$B$43),G1327*Q1327)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1327*(1-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1327*(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1327*(1-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1327*(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7">
        <f>IF(C1327,(H1327*N1327*IF(AND(Inputs!$B$38&lt;&gt;"pvp",Inputs!$B$43&gt;0),((Skills!G8*((R1327-1)*IF(Skills!H8&gt;0,Skills!I8/Skills!H8,1)+IF(Skills!H8&gt;0,MIN(Skills!I8,MAX(0,MAX(0,Inputs!$B$43-B1352)-((R1327-1)*(IF(Inputs!$B$38="pvp",15,MAX(0.1,Skills!D8-IF(Skills!E8=TRUE,Inputs!$B$32,0)))*(1-IF(AND(ArtifactsInput!$M$27,Inputs!$B$4="Chapter Hunt"),CHOOSE(ArtifactsInput!$N$27+1,20,24,28,32,36,40),0)/100)))))/Skills!H8,1)))/Inputs!$B$43),G1327*Q1327))*IF(Inputs!$B$38="pvp",1,(1+(Inputs!$B$21+Skills!Q8+(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8">
      <c r="A1328">
        <f>Skills!A9</f>
        <v/>
      </c>
      <c r="B1328">
        <f>Skills!B9</f>
        <v/>
      </c>
      <c r="C1328">
        <f>Inputs!$B$3&gt;=110</f>
        <v/>
      </c>
      <c r="D1328">
        <f>IF(Skills!C9=1,60+Inputs!$B$25+Inputs!$B$29,IF(Skills!C9=2,90+Inputs!$B$26+Inputs!$B$29,IF(Skills!C9=3,120+Inputs!$B$27+Inputs!$B$29,MAX(0,(Inputs!$B$3-100)*3)+Inputs!$B$28+Inputs!$B$29)))</f>
        <v/>
      </c>
      <c r="E1328">
        <f>INDEX(FactorTable!$B$2:$Y$301, MATCH(ROUND(MIN(300,MAX(1,D1328)),0), FactorTable!$A$2:$A$301,0), Skills!M9+1)</f>
        <v/>
      </c>
      <c r="F1328">
        <f>IF(Skills!N9=TRUE,(Skills!L9/10)*(E1328/1000),Skills!L9/10)+Skills!O9</f>
        <v/>
      </c>
      <c r="G1328">
        <f>Skills!G9*IF(Skills!H9&gt;0,Skills!I9/Skills!H9,1)</f>
        <v/>
      </c>
      <c r="H1328">
        <f>1-(1-Skills!J9/100)^Skills!K9</f>
        <v/>
      </c>
      <c r="I1328" t="inlineStr">
        <is>
          <t>1</t>
        </is>
      </c>
      <c r="J1328">
        <f>((Inputs!$B$6*(1+Inputs!$B$7/100))+(((Inputs!$B$12*(1+Inputs!$B$13/100))-(Inputs!$B$12*(1+Inputs!$B$13/100)))+0.25*(Inputs!$B$14-Inputs!$B$14))*(1+Inputs!$B$7/100))*(F1328/100)</f>
        <v/>
      </c>
      <c r="K1328">
        <f>J1328*(1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1328)</f>
        <v/>
      </c>
      <c r="L1328">
        <f>K1328*(MIN(Inputs!$B$22+((C1339=TRUE)*(F1339-Calc!F20)),(Inputs!$B$23+0+(IF(ArtifactsInput!$M$15,CHOOSE(ArtifactsInput!$N$15+1,25,30,35,40,45,50)/100*(Inputs!$B$11-Inputs!$B$11),0))))/100+(Inputs!$B$23+0+(IF(ArtifactsInput!$M$15,CHOOSE(ArtifactsInput!$N$15+1,25,30,35,40,45,50)/100*(Inputs!$B$11-Inputs!$B$11),0)))/100)/2</f>
        <v/>
      </c>
      <c r="M1328">
        <f>L1328*(1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8">
        <f>L1328*(1-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1328*(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8">
        <f>(1-Summary!$B$11)*T1328+Summary!$B$11*V1328</f>
        <v/>
      </c>
      <c r="P1328">
        <f>IF(B1355=0,0,O1328/B1355)</f>
        <v/>
      </c>
      <c r="Q1328">
        <f>IFERROR(1/(IF(Inputs!$B$38="pvp",15,MAX(0.1,Skills!D9-IF(Skills!E9=TRUE,Inputs!$B$32,0)))*(1-IF(AND(ArtifactsInput!$M$27,Inputs!$B$4="Chapter Hunt"),CHOOSE(ArtifactsInput!$N$27+1,20,24,28,32,36,40),0)/100)),0)</f>
        <v/>
      </c>
      <c r="R1328">
        <f>IF(AND(Inputs!$B$38&lt;&gt;"pvp",Inputs!$B$43&gt;0),IF(MAX(0,Inputs!$B$43-B1352)&lt;=0,0,(INT(MAX(0,Inputs!$B$43-B1352)/(IF(Inputs!$B$38="pvp",15,MAX(0.1,Skills!D9-IF(Skills!E9=TRUE,Inputs!$B$32,0)))*(1-IF(AND(ArtifactsInput!$M$27,Inputs!$B$4="Chapter Hunt"),CHOOSE(ArtifactsInput!$N$27+1,20,24,28,32,36,40),0)/100)))+1)),0)</f>
        <v/>
      </c>
      <c r="S1328">
        <f>IFERROR(O1328/N1328,0)</f>
        <v/>
      </c>
      <c r="T1328">
        <f>IF(C1328,(H1328*N1328*IF(AND(Inputs!$B$38&lt;&gt;"pvp",Inputs!$B$43&gt;0),((Skills!G9*((R1328-1)*IF(Skills!H9&gt;0,Skills!I9/Skills!H9,1)+IF(Skills!H9&gt;0,MIN(Skills!I9,MAX(0,MAX(0,Inputs!$B$43-B1352)-((R1328-1)*(IF(Inputs!$B$38="pvp",15,MAX(0.1,Skills!D9-IF(Skills!E9=TRUE,Inputs!$B$32,0)))*(1-IF(AND(ArtifactsInput!$M$27,Inputs!$B$4="Chapter Hunt"),CHOOSE(ArtifactsInput!$N$27+1,20,24,28,32,36,40),0)/100)))))/Skills!H9,1)))/Inputs!$B$43),G1328*Q1328)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1328*(1-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1328*(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1328*(1-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1328*(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8">
        <f>IF(C1328,(H1328*N1328*IF(AND(Inputs!$B$38&lt;&gt;"pvp",Inputs!$B$43&gt;0),((Skills!G9*((R1328-1)*IF(Skills!H9&gt;0,Skills!I9/Skills!H9,1)+IF(Skills!H9&gt;0,MIN(Skills!I9,MAX(0,MAX(0,Inputs!$B$43-B1352)-((R1328-1)*(IF(Inputs!$B$38="pvp",15,MAX(0.1,Skills!D9-IF(Skills!E9=TRUE,Inputs!$B$32,0)))*(1-IF(AND(ArtifactsInput!$M$27,Inputs!$B$4="Chapter Hunt"),CHOOSE(ArtifactsInput!$N$27+1,20,24,28,32,36,40),0)/100)))))/Skills!H9,1)))/Inputs!$B$43),G1328*Q1328))*IF(Inputs!$B$38="pvp",1,(1+(Inputs!$B$21+Skills!Q9+(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29">
      <c r="A1329">
        <f>Skills!A10</f>
        <v/>
      </c>
      <c r="B1329">
        <f>Skills!B10</f>
        <v/>
      </c>
      <c r="C1329">
        <f>Inputs!$B$3&gt;=103</f>
        <v/>
      </c>
      <c r="D1329">
        <f>IF(Skills!C10=1,60+Inputs!$B$25+Inputs!$B$29,IF(Skills!C10=2,90+Inputs!$B$26+Inputs!$B$29,IF(Skills!C10=3,120+Inputs!$B$27+Inputs!$B$29,MAX(0,(Inputs!$B$3-100)*3)+Inputs!$B$28+Inputs!$B$29)))</f>
        <v/>
      </c>
      <c r="E1329">
        <f>INDEX(FactorTable!$B$2:$Y$301, MATCH(ROUND(MIN(300,MAX(1,D1329)),0), FactorTable!$A$2:$A$301,0), Skills!M10+1)</f>
        <v/>
      </c>
      <c r="F1329">
        <f>IF(Skills!N10=TRUE,(Skills!L10/10)*(E1329/1000),Skills!L10/10)+Skills!O10</f>
        <v/>
      </c>
      <c r="G1329">
        <f>Skills!G10*IF(Skills!H10&gt;0,Skills!I10/Skills!H10,1)</f>
        <v/>
      </c>
      <c r="H1329">
        <f>1-(1-Skills!J10/100)^Skills!K10</f>
        <v/>
      </c>
      <c r="I1329" t="inlineStr">
        <is>
          <t>1</t>
        </is>
      </c>
      <c r="J1329">
        <f>((Inputs!$B$6*(1+Inputs!$B$7/100))+(((Inputs!$B$12*(1+Inputs!$B$13/100))-(Inputs!$B$12*(1+Inputs!$B$13/100)))+0.25*(Inputs!$B$14-Inputs!$B$14))*(1+Inputs!$B$7/100))*(F1329/100)</f>
        <v/>
      </c>
      <c r="K1329">
        <f>J1329*(1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1329)</f>
        <v/>
      </c>
      <c r="L1329">
        <f>K1329*(MIN(Inputs!$B$22+((C1339=TRUE)*(F1339-Calc!F20)),(Inputs!$B$23+0+(IF(ArtifactsInput!$M$15,CHOOSE(ArtifactsInput!$N$15+1,25,30,35,40,45,50)/100*(Inputs!$B$11-Inputs!$B$11),0))))/100+(Inputs!$B$23+0+(IF(ArtifactsInput!$M$15,CHOOSE(ArtifactsInput!$N$15+1,25,30,35,40,45,50)/100*(Inputs!$B$11-Inputs!$B$11),0)))/100)/2</f>
        <v/>
      </c>
      <c r="M1329">
        <f>L1329*(1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29">
        <f>L1329*(1-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1329*(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29">
        <f>(1-Summary!$B$11)*T1329+Summary!$B$11*V1329</f>
        <v/>
      </c>
      <c r="P1329">
        <f>IF(B1355=0,0,O1329/B1355)</f>
        <v/>
      </c>
      <c r="Q1329">
        <f>IFERROR(1/(IF(Inputs!$B$38="pvp",15,MAX(0.1,Skills!D10-IF(Skills!E10=TRUE,Inputs!$B$32,0)))*(1-IF(AND(ArtifactsInput!$M$27,Inputs!$B$4="Chapter Hunt"),CHOOSE(ArtifactsInput!$N$27+1,20,24,28,32,36,40),0)/100)),0)</f>
        <v/>
      </c>
      <c r="R1329">
        <f>IF(AND(Inputs!$B$38&lt;&gt;"pvp",Inputs!$B$43&gt;0),IF(MAX(0,Inputs!$B$43-B1352)&lt;=0,0,(INT(MAX(0,Inputs!$B$43-B1352)/(IF(Inputs!$B$38="pvp",15,MAX(0.1,Skills!D10-IF(Skills!E10=TRUE,Inputs!$B$32,0)))*(1-IF(AND(ArtifactsInput!$M$27,Inputs!$B$4="Chapter Hunt"),CHOOSE(ArtifactsInput!$N$27+1,20,24,28,32,36,40),0)/100)))+1)),0)</f>
        <v/>
      </c>
      <c r="S1329">
        <f>IFERROR(O1329/N1329,0)</f>
        <v/>
      </c>
      <c r="T1329">
        <f>IF(C1329,(H1329*N1329*IF(AND(Inputs!$B$38&lt;&gt;"pvp",Inputs!$B$43&gt;0),((Skills!G10*((R1329-1)*IF(Skills!H10&gt;0,Skills!I10/Skills!H10,1)+IF(Skills!H10&gt;0,MIN(Skills!I10,MAX(0,MAX(0,Inputs!$B$43-B1352)-((R1329-1)*(IF(Inputs!$B$38="pvp",15,MAX(0.1,Skills!D10-IF(Skills!E10=TRUE,Inputs!$B$32,0)))*(1-IF(AND(ArtifactsInput!$M$27,Inputs!$B$4="Chapter Hunt"),CHOOSE(ArtifactsInput!$N$27+1,20,24,28,32,36,40),0)/100)))))/Skills!H10,1)))/Inputs!$B$43),G1329*Q1329)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1329*(1-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1329*(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1329*(1-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1329*(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29">
        <f>IF(C1329,(H1329*N1329*IF(AND(Inputs!$B$38&lt;&gt;"pvp",Inputs!$B$43&gt;0),((Skills!G10*((R1329-1)*IF(Skills!H10&gt;0,Skills!I10/Skills!H10,1)+IF(Skills!H10&gt;0,MIN(Skills!I10,MAX(0,MAX(0,Inputs!$B$43-B1352)-((R1329-1)*(IF(Inputs!$B$38="pvp",15,MAX(0.1,Skills!D10-IF(Skills!E10=TRUE,Inputs!$B$32,0)))*(1-IF(AND(ArtifactsInput!$M$27,Inputs!$B$4="Chapter Hunt"),CHOOSE(ArtifactsInput!$N$27+1,20,24,28,32,36,40),0)/100)))))/Skills!H10,1)))/Inputs!$B$43),G1329*Q1329))*IF(Inputs!$B$38="pvp",1,(1+(Inputs!$B$21+Skills!Q10+(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0">
      <c r="A1330">
        <f>Skills!A11</f>
        <v/>
      </c>
      <c r="B1330">
        <f>Skills!B11</f>
        <v/>
      </c>
      <c r="C1330">
        <f>Inputs!$B$3&gt;=113</f>
        <v/>
      </c>
      <c r="D1330">
        <f>IF(Skills!C11=1,60+Inputs!$B$25+Inputs!$B$29,IF(Skills!C11=2,90+Inputs!$B$26+Inputs!$B$29,IF(Skills!C11=3,120+Inputs!$B$27+Inputs!$B$29,MAX(0,(Inputs!$B$3-100)*3)+Inputs!$B$28+Inputs!$B$29)))</f>
        <v/>
      </c>
      <c r="E1330">
        <f>INDEX(FactorTable!$B$2:$Y$301, MATCH(ROUND(MIN(300,MAX(1,D1330)),0), FactorTable!$A$2:$A$301,0), Skills!M11+1)</f>
        <v/>
      </c>
      <c r="F1330">
        <f>IF(Skills!N11=TRUE,(Skills!L11/10)*(E1330/1000),Skills!L11/10)+Skills!O11</f>
        <v/>
      </c>
      <c r="G1330">
        <f>Skills!G11*IF(Skills!H11&gt;0,Skills!I11/Skills!H11,1)</f>
        <v/>
      </c>
      <c r="H1330">
        <f>1-(1-Skills!J11/100)^Skills!K11</f>
        <v/>
      </c>
      <c r="I1330" t="inlineStr">
        <is>
          <t>1</t>
        </is>
      </c>
      <c r="J1330">
        <f>((Inputs!$B$6*(1+Inputs!$B$7/100))+(((Inputs!$B$12*(1+Inputs!$B$13/100))-(Inputs!$B$12*(1+Inputs!$B$13/100)))+0.25*(Inputs!$B$14-Inputs!$B$14))*(1+Inputs!$B$7/100))*(F1330/100)</f>
        <v/>
      </c>
      <c r="K1330">
        <f>J1330*(1+((Inputs!$B$12*(1+Inputs!$B$13/100))*0.01+Inputs!$B$14*0.0025)/100)*(1+Inputs!$B$15/100)*(1+Inputs!$B$16/100)*(5000/(6000+Inputs!$B$42*(1-(100*(1-(1-(Inputs!$B$19+0)/100)*(1-CHOOSE(ArtifactsInput!$N$40+1,5,6,7,8,9,10)/100)^(ArtifactsInput!$M$40-ArtifactsInput!$M$40)))/100)))*(1+(Inputs!$B$24+((C1341=TRUE)*(F1341-Calc!F22))+B1351)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1340=TRUE)*(F1340-Calc!F21))+(((IF(AND(ArtifactsInput!$M$42,((Inputs!$B$9+((C1335=TRUE)*(F1335-Calc!F16))+B1345+(ArtifactsInput!$M$24-ArtifactsInput!$M$24)*CHOOSE(ArtifactsInput!$N$24+1,10,12,14,16,18,20)+IF(ArtifactsInput!$M$10,CHOOSE(ArtifactsInput!$N$10+1,15,18,21,24,27,30)*(IF(Inputs!$B$38="pvp",MIN(15,15)/15,IF(AND(Inputs!$B$38&lt;&gt;"pvp",Inputs!$B$43&gt;0),MIN(15,Inputs!$B$43)/(Inputs!$B$43),0))),0)))&gt;=100),MIN(100,((Inputs!$B$9+((C1335=TRUE)*(F1335-Calc!F16))+B1345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1335=TRUE)*(F1335-Calc!F16))+B1345+(ArtifactsInput!$M$24-ArtifactsInput!$M$24)*CHOOSE(ArtifactsInput!$N$24+1,10,12,14,16,18,20)+IF(ArtifactsInput!$M$10,CHOOSE(ArtifactsInput!$N$10+1,15,18,21,24,27,30)*(IF(Inputs!$B$38="pvp",MIN(15,15)/15,IF(AND(Inputs!$B$38&lt;&gt;"pvp",Inputs!$B$43&gt;0),MIN(15,Inputs!$B$43)/(Inputs!$B$43),0))),0)))&gt;=100),CHOOSE(ArtifactsInput!$N$42+1,40,48,56,64,72,80),0))))/100)*((1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1330)</f>
        <v/>
      </c>
      <c r="L1330">
        <f>K1330*(MIN(Inputs!$B$22+((C1339=TRUE)*(F1339-Calc!F20)),(Inputs!$B$23+0+(IF(ArtifactsInput!$M$15,CHOOSE(ArtifactsInput!$N$15+1,25,30,35,40,45,50)/100*(Inputs!$B$11-Inputs!$B$11),0))))/100+(Inputs!$B$23+0+(IF(ArtifactsInput!$M$15,CHOOSE(ArtifactsInput!$N$15+1,25,30,35,40,45,50)/100*(Inputs!$B$11-Inputs!$B$11),0)))/100)/2</f>
        <v/>
      </c>
      <c r="M1330">
        <f>L1330*(1+(Inputs!$B$10+0+B1350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0">
        <f>L1330*(1-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1330*(MIN((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0">
        <f>(1-Summary!$B$11)*T1330+Summary!$B$11*V1330</f>
        <v/>
      </c>
      <c r="P1330">
        <f>IF(B1355=0,0,O1330/B1355)</f>
        <v/>
      </c>
      <c r="Q1330">
        <f>IFERROR(1/(IF(Inputs!$B$38="pvp",15,MAX(0.1,Skills!D11-IF(Skills!E11=TRUE,Inputs!$B$32,0)))*(1-IF(AND(ArtifactsInput!$M$27,Inputs!$B$4="Chapter Hunt"),CHOOSE(ArtifactsInput!$N$27+1,20,24,28,32,36,40),0)/100)),0)</f>
        <v/>
      </c>
      <c r="R1330">
        <f>IF(AND(Inputs!$B$38&lt;&gt;"pvp",Inputs!$B$43&gt;0),IF(MAX(0,Inputs!$B$43-B1352)&lt;=0,0,(INT(MAX(0,Inputs!$B$43-B1352)/(IF(Inputs!$B$38="pvp",15,MAX(0.1,Skills!D11-IF(Skills!E11=TRUE,Inputs!$B$32,0)))*(1-IF(AND(ArtifactsInput!$M$27,Inputs!$B$4="Chapter Hunt"),CHOOSE(ArtifactsInput!$N$27+1,20,24,28,32,36,40),0)/100)))+1)),0)</f>
        <v/>
      </c>
      <c r="S1330">
        <f>IFERROR(O1330/N1330,0)</f>
        <v/>
      </c>
      <c r="T1330">
        <f>IF(C1330,(H1330*N1330*IF(AND(Inputs!$B$38&lt;&gt;"pvp",Inputs!$B$43&gt;0),((Skills!G11*((R1330-1)*IF(Skills!H11&gt;0,Skills!I11/Skills!H11,1)+IF(Skills!H11&gt;0,MIN(Skills!I11,MAX(0,MAX(0,Inputs!$B$43-B1352)-((R1330-1)*(IF(Inputs!$B$38="pvp",15,MAX(0.1,Skills!D11-IF(Skills!E11=TRUE,Inputs!$B$32,0)))*(1-IF(AND(ArtifactsInput!$M$27,Inputs!$B$4="Chapter Hunt"),CHOOSE(ArtifactsInput!$N$27+1,20,24,28,32,36,40),0)/100)))))/Skills!H11,1)))/Inputs!$B$43),G1330*Q1330)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1330*(1-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1330*(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1330*(1-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1330*(MIN(100,(Inputs!$B$9+((C1335=TRUE)*(F1335-Calc!F16))+B1345+(ArtifactsInput!$M$24-ArtifactsInput!$M$24)*CHOOSE(ArtifactsInput!$N$24+1,10,12,14,16,18,20)+(IF(AND(ArtifactsInput!$M$42,((Inputs!$B$9+((C1335=TRUE)*(F1335-Calc!F16))+B1345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0">
        <f>IF(C1330,(H1330*N1330*IF(AND(Inputs!$B$38&lt;&gt;"pvp",Inputs!$B$43&gt;0),((Skills!G11*((R1330-1)*IF(Skills!H11&gt;0,Skills!I11/Skills!H11,1)+IF(Skills!H11&gt;0,MIN(Skills!I11,MAX(0,MAX(0,Inputs!$B$43-B1352)-((R1330-1)*(IF(Inputs!$B$38="pvp",15,MAX(0.1,Skills!D11-IF(Skills!E11=TRUE,Inputs!$B$32,0)))*(1-IF(AND(ArtifactsInput!$M$27,Inputs!$B$4="Chapter Hunt"),CHOOSE(ArtifactsInput!$N$27+1,20,24,28,32,36,40),0)/100)))))/Skills!H11,1)))/Inputs!$B$43),G1330*Q1330))*IF(Inputs!$B$38="pvp",1,(1+(Inputs!$B$21+Skills!Q11+(IF(ArtifactsInput!$M$33,CHOOSE(ArtifactsInput!$N$33+1,30,36,42,48,54,60),0))+(IF(AND(ArtifactsInput!$M$35,Inputs!$B$4&lt;&gt;"Chapter Hunt"),CHOOSE(ArtifactsInput!$N$35+1,15,18,21,24,27,30)*(1-EXP(-(0.2*B1347)*5)),0)+IF(AND(ArtifactsInput!$M$22,Inputs!$B$4&lt;&gt;"Chapter Hunt"),CHOOSE(ArtifactsInput!$N$22+1,10,12,14,16,18,20)*((0*(((0.15*B1347*5))^0/1)+1*(((0.15*B1347*5))^1/1)+2*(((0.15*B1347*5))^2/2)+3*(((0.15*B1347*5))^3/6)+4*(((0.15*B1347*5))^4/24)+5*(((0.15*B1347*5))^5/120))/((((0.15*B1347*5))^0/1)+(((0.15*B1347*5))^1/1)+(((0.15*B1347*5))^2/2)+(((0.15*B1347*5))^3/6)+(((0.15*B1347*5))^4/24)+(((0.15*B1347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1">
      <c r="A1331">
        <f>Skills!A12</f>
        <v/>
      </c>
      <c r="B1331">
        <f>Skills!B12</f>
        <v/>
      </c>
      <c r="C1331">
        <f>Inputs!$B$3&gt;=100</f>
        <v/>
      </c>
      <c r="D1331">
        <f>IF(Skills!C12=1,60+Inputs!$B$25+Inputs!$B$29,IF(Skills!C12=2,90+Inputs!$B$26+Inputs!$B$29,IF(Skills!C12=3,120+Inputs!$B$27+Inputs!$B$29,MAX(0,(Inputs!$B$3-100)*3)+Inputs!$B$28+Inputs!$B$29)))</f>
        <v/>
      </c>
      <c r="E1331">
        <f>INDEX(FactorTable!$B$2:$Y$301, MATCH(ROUND(MIN(300,MAX(1,D1331)),0), FactorTable!$A$2:$A$301,0), Skills!M12+1)</f>
        <v/>
      </c>
      <c r="F1331">
        <f>IF(Skills!N12=TRUE,(Skills!L12/10)*(E1331/1000),Skills!L12/10)+Skills!O12</f>
        <v/>
      </c>
      <c r="G1331" t="inlineStr"/>
      <c r="H1331" t="inlineStr"/>
      <c r="I1331" t="inlineStr">
        <is>
          <t>1</t>
        </is>
      </c>
      <c r="J1331" t="inlineStr"/>
      <c r="K1331" t="inlineStr"/>
      <c r="L1331" t="inlineStr"/>
      <c r="M1331" t="inlineStr"/>
      <c r="N1331" t="inlineStr"/>
      <c r="O1331" t="inlineStr"/>
      <c r="P1331" t="inlineStr"/>
      <c r="Q1331" t="inlineStr"/>
      <c r="R1331" t="inlineStr"/>
      <c r="S1331" t="inlineStr"/>
      <c r="T1331" t="inlineStr"/>
      <c r="V1331" t="inlineStr"/>
    </row>
    <row r="1332">
      <c r="A1332">
        <f>Skills!A13</f>
        <v/>
      </c>
      <c r="B1332">
        <f>Skills!B13</f>
        <v/>
      </c>
      <c r="C1332">
        <f>Inputs!$B$3&gt;=66</f>
        <v/>
      </c>
      <c r="D1332">
        <f>IF(Skills!C13=1,60+Inputs!$B$25+Inputs!$B$29,IF(Skills!C13=2,90+Inputs!$B$26+Inputs!$B$29,IF(Skills!C13=3,120+Inputs!$B$27+Inputs!$B$29,MAX(0,(Inputs!$B$3-100)*3)+Inputs!$B$28+Inputs!$B$29)))</f>
        <v/>
      </c>
      <c r="E1332">
        <f>INDEX(FactorTable!$B$2:$Y$301, MATCH(ROUND(MIN(300,MAX(1,D1332)),0), FactorTable!$A$2:$A$301,0), Skills!M13+1)</f>
        <v/>
      </c>
      <c r="F1332">
        <f>IF(Skills!N13=TRUE,(Skills!L13/10)*(E1332/1000),Skills!L13/10)+Skills!O13</f>
        <v/>
      </c>
      <c r="G1332">
        <f>Skills!G13*IF(Skills!H13&gt;0,Skills!I13/Skills!H13,1)</f>
        <v/>
      </c>
      <c r="H1332">
        <f>1-(1-Skills!J13/100)^Skills!K13</f>
        <v/>
      </c>
      <c r="I1332" t="inlineStr">
        <is>
          <t>1</t>
        </is>
      </c>
      <c r="J1332" t="inlineStr"/>
      <c r="K1332" t="inlineStr"/>
      <c r="L1332" t="inlineStr"/>
      <c r="M1332" t="inlineStr"/>
      <c r="N1332" t="inlineStr"/>
      <c r="O1332">
        <f>(1-Summary!$B$11)*T1332+Summary!$B$11*V1332</f>
        <v/>
      </c>
      <c r="P1332">
        <f>IF(B1355=0,0,O1332/B1355)</f>
        <v/>
      </c>
      <c r="Q1332" t="n">
        <v>0</v>
      </c>
      <c r="R1332" t="n">
        <v>0</v>
      </c>
      <c r="S1332">
        <f>IFERROR(O1332/N1332,0)</f>
        <v/>
      </c>
      <c r="T1332" t="n">
        <v>0</v>
      </c>
      <c r="V1332" t="n">
        <v>0</v>
      </c>
    </row>
    <row r="1333">
      <c r="A1333">
        <f>Skills!A14</f>
        <v/>
      </c>
      <c r="B1333">
        <f>Skills!B14</f>
        <v/>
      </c>
      <c r="C1333">
        <f>Inputs!$B$3&gt;=107</f>
        <v/>
      </c>
      <c r="D1333">
        <f>IF(Skills!C14=1,60+Inputs!$B$25+Inputs!$B$29,IF(Skills!C14=2,90+Inputs!$B$26+Inputs!$B$29,IF(Skills!C14=3,120+Inputs!$B$27+Inputs!$B$29,MAX(0,(Inputs!$B$3-100)*3)+Inputs!$B$28+Inputs!$B$29)))</f>
        <v/>
      </c>
      <c r="E1333">
        <f>INDEX(FactorTable!$B$2:$Y$301, MATCH(ROUND(MIN(300,MAX(1,D1333)),0), FactorTable!$A$2:$A$301,0), Skills!M14+1)</f>
        <v/>
      </c>
      <c r="F1333">
        <f>IF(Skills!N14=TRUE,(Skills!L14/10)*(E1333/1000),Skills!L14/10)+Skills!O14</f>
        <v/>
      </c>
      <c r="G1333">
        <f>Skills!G14*IF(Skills!H14&gt;0,Skills!I14/Skills!H14,1)</f>
        <v/>
      </c>
      <c r="H1333">
        <f>1-(1-Skills!J14/100)^Skills!K14</f>
        <v/>
      </c>
      <c r="I1333" t="inlineStr">
        <is>
          <t>1</t>
        </is>
      </c>
      <c r="J1333" t="inlineStr"/>
      <c r="K1333" t="inlineStr"/>
      <c r="L1333" t="inlineStr"/>
      <c r="M1333" t="inlineStr"/>
      <c r="N1333" t="inlineStr"/>
      <c r="O1333">
        <f>(1-Summary!$B$11)*T1333+Summary!$B$11*V1333</f>
        <v/>
      </c>
      <c r="P1333">
        <f>IF(B1355=0,0,O1333/B1355)</f>
        <v/>
      </c>
      <c r="Q1333">
        <f>IFERROR(1/(IF(Inputs!$B$38="pvp",15,MAX(0.1,Skills!D14-IF(Skills!E14=TRUE,Inputs!$B$32,0)))*(1-IF(AND(ArtifactsInput!$M$27,Inputs!$B$4="Chapter Hunt"),CHOOSE(ArtifactsInput!$N$27+1,20,24,28,32,36,40),0)/100)),0)</f>
        <v/>
      </c>
      <c r="R1333">
        <f>IF(AND(Inputs!$B$38&lt;&gt;"pvp",Inputs!$B$43&gt;0),IF(Inputs!$B$43&lt;=0,0,(INT(Inputs!$B$43/(IF(Inputs!$B$38="pvp",15,MAX(0.1,Skills!D14-IF(Skills!E14=TRUE,Inputs!$B$32,0)))*(1-IF(AND(ArtifactsInput!$M$27,Inputs!$B$4="Chapter Hunt"),CHOOSE(ArtifactsInput!$N$27+1,20,24,28,32,36,40),0)/100)))+1)),0)</f>
        <v/>
      </c>
      <c r="S1333">
        <f>IFERROR(O1333/N1333,0)</f>
        <v/>
      </c>
      <c r="T1333" t="n">
        <v>0</v>
      </c>
      <c r="V1333" t="n">
        <v>0</v>
      </c>
    </row>
    <row r="1334">
      <c r="A1334">
        <f>Skills!A15</f>
        <v/>
      </c>
      <c r="B1334">
        <f>Skills!B15</f>
        <v/>
      </c>
      <c r="C1334">
        <f>Inputs!$B$3&gt;=115</f>
        <v/>
      </c>
      <c r="D1334">
        <f>IF(Skills!C15=1,60+Inputs!$B$25+Inputs!$B$29,IF(Skills!C15=2,90+Inputs!$B$26+Inputs!$B$29,IF(Skills!C15=3,120+Inputs!$B$27+Inputs!$B$29,MAX(0,(Inputs!$B$3-100)*3)+Inputs!$B$28+Inputs!$B$29)))</f>
        <v/>
      </c>
      <c r="E1334">
        <f>INDEX(FactorTable!$B$2:$Y$301, MATCH(ROUND(MIN(300,MAX(1,D1334)),0), FactorTable!$A$2:$A$301,0), Skills!M15+1)</f>
        <v/>
      </c>
      <c r="F1334">
        <f>IF(Skills!N15=TRUE,(Skills!L15/10)*(E1334/1000),Skills!L15/10)+Skills!O15</f>
        <v/>
      </c>
      <c r="G1334">
        <f>Skills!G15*IF(Skills!H15&gt;0,Skills!I15/Skills!H15,1)</f>
        <v/>
      </c>
      <c r="H1334">
        <f>1-(1-Skills!J15/100)^Skills!K15</f>
        <v/>
      </c>
      <c r="I1334" t="inlineStr">
        <is>
          <t>1</t>
        </is>
      </c>
      <c r="J1334" t="inlineStr"/>
      <c r="K1334" t="inlineStr"/>
      <c r="L1334" t="inlineStr"/>
      <c r="M1334" t="inlineStr"/>
      <c r="N1334" t="inlineStr"/>
      <c r="O1334">
        <f>(1-Summary!$B$11)*T1334+Summary!$B$11*V1334</f>
        <v/>
      </c>
      <c r="P1334">
        <f>IF(B1355=0,0,O1334/B1355)</f>
        <v/>
      </c>
      <c r="Q1334">
        <f>IFERROR(1/(IF(Inputs!$B$38="pvp",15,MAX(0.1,Skills!D15-IF(Skills!E15=TRUE,Inputs!$B$32,0)))*(1-IF(AND(ArtifactsInput!$M$27,Inputs!$B$4="Chapter Hunt"),CHOOSE(ArtifactsInput!$N$27+1,20,24,28,32,36,40),0)/100)),0)</f>
        <v/>
      </c>
      <c r="R1334">
        <f>IF(AND(Inputs!$B$38&lt;&gt;"pvp",Inputs!$B$43&gt;0),IF(Inputs!$B$43&lt;=0,0,(INT(Inputs!$B$43/(IF(Inputs!$B$38="pvp",15,MAX(0.1,Skills!D15-IF(Skills!E15=TRUE,Inputs!$B$32,0)))*(1-IF(AND(ArtifactsInput!$M$27,Inputs!$B$4="Chapter Hunt"),CHOOSE(ArtifactsInput!$N$27+1,20,24,28,32,36,40),0)/100)))+1)),0)</f>
        <v/>
      </c>
      <c r="S1334">
        <f>IFERROR(O1334/N1334,0)</f>
        <v/>
      </c>
      <c r="T1334" t="n">
        <v>0</v>
      </c>
      <c r="V1334" t="n">
        <v>0</v>
      </c>
    </row>
    <row r="1335">
      <c r="A1335">
        <f>Skills!A16</f>
        <v/>
      </c>
      <c r="B1335">
        <f>Skills!B16</f>
        <v/>
      </c>
      <c r="C1335">
        <f>Inputs!$B$3&gt;=15</f>
        <v/>
      </c>
      <c r="D1335">
        <f>IF(Skills!C16=1,60+Inputs!$B$25+Inputs!$B$29,IF(Skills!C16=2,90+Inputs!$B$26+Inputs!$B$29,IF(Skills!C16=3,120+Inputs!$B$27+Inputs!$B$29,MAX(0,(Inputs!$B$3-100)*3)+Inputs!$B$28+Inputs!$B$29)))</f>
        <v/>
      </c>
      <c r="E1335">
        <f>INDEX(FactorTable!$B$2:$Y$301, MATCH(ROUND(MIN(300,MAX(1,D1335)),0), FactorTable!$A$2:$A$301,0), Skills!M16+1)</f>
        <v/>
      </c>
      <c r="F1335">
        <f>IF(Skills!N16=TRUE,(Skills!L16/10)*(E1335/1000),Skills!L16/10)+Skills!O16</f>
        <v/>
      </c>
      <c r="G1335">
        <f>Skills!G16*IF(Skills!H16&gt;0,Skills!I16/Skills!H16,1)</f>
        <v/>
      </c>
      <c r="H1335">
        <f>1-(1-Skills!J16/100)^Skills!K16</f>
        <v/>
      </c>
      <c r="I1335" t="inlineStr">
        <is>
          <t>1</t>
        </is>
      </c>
      <c r="J1335" t="inlineStr"/>
      <c r="K1335" t="inlineStr"/>
      <c r="L1335" t="inlineStr"/>
      <c r="M1335" t="inlineStr"/>
      <c r="N1335" t="inlineStr"/>
      <c r="O1335">
        <f>(1-Summary!$B$11)*T1335+Summary!$B$11*V1335</f>
        <v/>
      </c>
      <c r="P1335">
        <f>IF(B1355=0,0,O1335/B1355)</f>
        <v/>
      </c>
      <c r="Q1335" t="n">
        <v>0</v>
      </c>
      <c r="R1335" t="n">
        <v>0</v>
      </c>
      <c r="S1335">
        <f>IFERROR(O1335/N1335,0)</f>
        <v/>
      </c>
      <c r="T1335" t="n">
        <v>0</v>
      </c>
      <c r="V1335" t="n">
        <v>0</v>
      </c>
    </row>
    <row r="1336">
      <c r="A1336">
        <f>Skills!A17</f>
        <v/>
      </c>
      <c r="B1336">
        <f>Skills!B17</f>
        <v/>
      </c>
      <c r="C1336">
        <f>Inputs!$B$3&gt;=10</f>
        <v/>
      </c>
      <c r="D1336">
        <f>IF(Skills!C17=1,60+Inputs!$B$25+Inputs!$B$29,IF(Skills!C17=2,90+Inputs!$B$26+Inputs!$B$29,IF(Skills!C17=3,120+Inputs!$B$27+Inputs!$B$29,MAX(0,(Inputs!$B$3-100)*3)+Inputs!$B$28+Inputs!$B$29)))</f>
        <v/>
      </c>
      <c r="E1336">
        <f>INDEX(FactorTable!$B$2:$Y$301, MATCH(ROUND(MIN(300,MAX(1,D1336)),0), FactorTable!$A$2:$A$301,0), Skills!M17+1)</f>
        <v/>
      </c>
      <c r="F1336">
        <f>IF(Skills!N17=TRUE,(Skills!L17/10)*(E1336/1000),Skills!L17/10)+Skills!O17</f>
        <v/>
      </c>
      <c r="G1336">
        <f>Skills!G17*IF(Skills!H17&gt;0,Skills!I17/Skills!H17,1)</f>
        <v/>
      </c>
      <c r="H1336">
        <f>1-(1-Skills!J17/100)^Skills!K17</f>
        <v/>
      </c>
      <c r="I1336" t="inlineStr">
        <is>
          <t>1</t>
        </is>
      </c>
      <c r="J1336" t="inlineStr"/>
      <c r="K1336" t="inlineStr"/>
      <c r="L1336" t="inlineStr"/>
      <c r="M1336" t="inlineStr"/>
      <c r="N1336" t="inlineStr"/>
      <c r="O1336">
        <f>(1-Summary!$B$11)*T1336+Summary!$B$11*V1336</f>
        <v/>
      </c>
      <c r="P1336">
        <f>IF(B1355=0,0,O1336/B1355)</f>
        <v/>
      </c>
      <c r="Q1336" t="n">
        <v>0</v>
      </c>
      <c r="R1336" t="n">
        <v>0</v>
      </c>
      <c r="S1336">
        <f>IFERROR(O1336/N1336,0)</f>
        <v/>
      </c>
      <c r="T1336" t="n">
        <v>0</v>
      </c>
      <c r="V1336" t="n">
        <v>0</v>
      </c>
    </row>
    <row r="1337">
      <c r="A1337">
        <f>Skills!A18</f>
        <v/>
      </c>
      <c r="B1337">
        <f>Skills!B18</f>
        <v/>
      </c>
      <c r="C1337">
        <f>Inputs!$B$3&gt;=33</f>
        <v/>
      </c>
      <c r="D1337">
        <f>IF(Skills!C18=1,60+Inputs!$B$25+Inputs!$B$29,IF(Skills!C18=2,90+Inputs!$B$26+Inputs!$B$29,IF(Skills!C18=3,120+Inputs!$B$27+Inputs!$B$29,MAX(0,(Inputs!$B$3-100)*3)+Inputs!$B$28+Inputs!$B$29)))</f>
        <v/>
      </c>
      <c r="E1337">
        <f>INDEX(FactorTable!$B$2:$Y$301, MATCH(ROUND(MIN(300,MAX(1,D1337)),0), FactorTable!$A$2:$A$301,0), Skills!M18+1)</f>
        <v/>
      </c>
      <c r="F1337">
        <f>IF(Skills!N18=TRUE,(Skills!L18/10)*(E1337/1000),Skills!L18/10)+Skills!O18</f>
        <v/>
      </c>
      <c r="G1337">
        <f>Skills!G18*IF(Skills!H18&gt;0,Skills!I18/Skills!H18,1)</f>
        <v/>
      </c>
      <c r="H1337">
        <f>1-(1-Skills!J18/100)^Skills!K18</f>
        <v/>
      </c>
      <c r="I1337" t="inlineStr">
        <is>
          <t>1</t>
        </is>
      </c>
      <c r="J1337" t="inlineStr"/>
      <c r="K1337" t="inlineStr"/>
      <c r="L1337" t="inlineStr"/>
      <c r="M1337" t="inlineStr"/>
      <c r="N1337" t="inlineStr"/>
      <c r="O1337">
        <f>(1-Summary!$B$11)*T1337+Summary!$B$11*V1337</f>
        <v/>
      </c>
      <c r="P1337">
        <f>IF(B1355=0,0,O1337/B1355)</f>
        <v/>
      </c>
      <c r="Q1337" t="n">
        <v>0</v>
      </c>
      <c r="R1337" t="n">
        <v>0</v>
      </c>
      <c r="S1337">
        <f>IFERROR(O1337/N1337,0)</f>
        <v/>
      </c>
      <c r="T1337" t="n">
        <v>0</v>
      </c>
      <c r="V1337" t="n">
        <v>0</v>
      </c>
    </row>
    <row r="1338">
      <c r="A1338">
        <f>Skills!A19</f>
        <v/>
      </c>
      <c r="B1338">
        <f>Skills!B19</f>
        <v/>
      </c>
      <c r="C1338">
        <f>Inputs!$B$3&gt;=40</f>
        <v/>
      </c>
      <c r="D1338">
        <f>IF(Skills!C19=1,60+Inputs!$B$25+Inputs!$B$29,IF(Skills!C19=2,90+Inputs!$B$26+Inputs!$B$29,IF(Skills!C19=3,120+Inputs!$B$27+Inputs!$B$29,MAX(0,(Inputs!$B$3-100)*3)+Inputs!$B$28+Inputs!$B$29)))</f>
        <v/>
      </c>
      <c r="E1338">
        <f>INDEX(FactorTable!$B$2:$Y$301, MATCH(ROUND(MIN(300,MAX(1,D1338)),0), FactorTable!$A$2:$A$301,0), Skills!M19+1)</f>
        <v/>
      </c>
      <c r="F1338">
        <f>IF(Skills!N19=TRUE,(Skills!L19/10)*(E1338/1000),Skills!L19/10)+Skills!O19</f>
        <v/>
      </c>
      <c r="G1338">
        <f>Skills!G19*IF(Skills!H19&gt;0,Skills!I19/Skills!H19,1)</f>
        <v/>
      </c>
      <c r="H1338">
        <f>1-(1-Skills!J19/100)^Skills!K19</f>
        <v/>
      </c>
      <c r="I1338" t="inlineStr">
        <is>
          <t>1</t>
        </is>
      </c>
      <c r="J1338" t="inlineStr"/>
      <c r="K1338" t="inlineStr"/>
      <c r="L1338" t="inlineStr"/>
      <c r="M1338" t="inlineStr"/>
      <c r="N1338" t="inlineStr"/>
      <c r="O1338">
        <f>(1-Summary!$B$11)*T1338+Summary!$B$11*V1338</f>
        <v/>
      </c>
      <c r="P1338">
        <f>IF(B1355=0,0,O1338/B1355)</f>
        <v/>
      </c>
      <c r="Q1338" t="n">
        <v>0</v>
      </c>
      <c r="R1338" t="n">
        <v>0</v>
      </c>
      <c r="S1338">
        <f>IFERROR(O1338/N1338,0)</f>
        <v/>
      </c>
      <c r="T1338" t="n">
        <v>0</v>
      </c>
      <c r="V1338" t="n">
        <v>0</v>
      </c>
    </row>
    <row r="1339">
      <c r="A1339">
        <f>Skills!A20</f>
        <v/>
      </c>
      <c r="B1339">
        <f>Skills!B20</f>
        <v/>
      </c>
      <c r="C1339">
        <f>Inputs!$B$3&gt;=43</f>
        <v/>
      </c>
      <c r="D1339">
        <f>IF(Skills!C20=1,60+Inputs!$B$25+Inputs!$B$29,IF(Skills!C20=2,90+Inputs!$B$26+Inputs!$B$29,IF(Skills!C20=3,120+Inputs!$B$27+Inputs!$B$29,MAX(0,(Inputs!$B$3-100)*3)+Inputs!$B$28+Inputs!$B$29)))</f>
        <v/>
      </c>
      <c r="E1339">
        <f>INDEX(FactorTable!$B$2:$Y$301, MATCH(ROUND(MIN(300,MAX(1,D1339)),0), FactorTable!$A$2:$A$301,0), Skills!M20+1)</f>
        <v/>
      </c>
      <c r="F1339">
        <f>IF(Skills!N20=TRUE,(Skills!L20/10)*(E1339/1000),Skills!L20/10)+Skills!O20</f>
        <v/>
      </c>
      <c r="G1339">
        <f>Skills!G20*IF(Skills!H20&gt;0,Skills!I20/Skills!H20,1)</f>
        <v/>
      </c>
      <c r="H1339">
        <f>1-(1-Skills!J20/100)^Skills!K20</f>
        <v/>
      </c>
      <c r="I1339" t="inlineStr">
        <is>
          <t>1</t>
        </is>
      </c>
      <c r="J1339" t="inlineStr"/>
      <c r="K1339" t="inlineStr"/>
      <c r="L1339" t="inlineStr"/>
      <c r="M1339" t="inlineStr"/>
      <c r="N1339" t="inlineStr"/>
      <c r="O1339">
        <f>(1-Summary!$B$11)*T1339+Summary!$B$11*V1339</f>
        <v/>
      </c>
      <c r="P1339">
        <f>IF(B1355=0,0,O1339/B1355)</f>
        <v/>
      </c>
      <c r="Q1339" t="n">
        <v>0</v>
      </c>
      <c r="R1339" t="n">
        <v>0</v>
      </c>
      <c r="S1339">
        <f>IFERROR(O1339/N1339,0)</f>
        <v/>
      </c>
      <c r="T1339" t="n">
        <v>0</v>
      </c>
      <c r="V1339" t="n">
        <v>0</v>
      </c>
    </row>
    <row r="1340">
      <c r="A1340">
        <f>Skills!A21</f>
        <v/>
      </c>
      <c r="B1340">
        <f>Skills!B21</f>
        <v/>
      </c>
      <c r="C1340">
        <f>Inputs!$B$3&gt;=38</f>
        <v/>
      </c>
      <c r="D1340">
        <f>IF(Skills!C21=1,60+Inputs!$B$25+Inputs!$B$29,IF(Skills!C21=2,90+Inputs!$B$26+Inputs!$B$29,IF(Skills!C21=3,120+Inputs!$B$27+Inputs!$B$29,MAX(0,(Inputs!$B$3-100)*3)+Inputs!$B$28+Inputs!$B$29)))</f>
        <v/>
      </c>
      <c r="E1340">
        <f>INDEX(FactorTable!$B$2:$Y$301, MATCH(ROUND(MIN(300,MAX(1,D1340)),0), FactorTable!$A$2:$A$301,0), Skills!M21+1)</f>
        <v/>
      </c>
      <c r="F1340">
        <f>IF(Skills!N21=TRUE,(Skills!L21/10)*(E1340/1000),Skills!L21/10)+Skills!O21</f>
        <v/>
      </c>
      <c r="G1340">
        <f>Skills!G21*IF(Skills!H21&gt;0,Skills!I21/Skills!H21,1)</f>
        <v/>
      </c>
      <c r="H1340">
        <f>1-(1-Skills!J21/100)^Skills!K21</f>
        <v/>
      </c>
      <c r="I1340" t="inlineStr">
        <is>
          <t>1</t>
        </is>
      </c>
      <c r="J1340" t="inlineStr"/>
      <c r="K1340" t="inlineStr"/>
      <c r="L1340" t="inlineStr"/>
      <c r="M1340" t="inlineStr"/>
      <c r="N1340" t="inlineStr"/>
      <c r="O1340">
        <f>(1-Summary!$B$11)*T1340+Summary!$B$11*V1340</f>
        <v/>
      </c>
      <c r="P1340">
        <f>IF(B1355=0,0,O1340/B1355)</f>
        <v/>
      </c>
      <c r="Q1340" t="n">
        <v>0</v>
      </c>
      <c r="R1340" t="n">
        <v>0</v>
      </c>
      <c r="S1340">
        <f>IFERROR(O1340/N1340,0)</f>
        <v/>
      </c>
      <c r="T1340" t="n">
        <v>0</v>
      </c>
      <c r="V1340" t="n">
        <v>0</v>
      </c>
    </row>
    <row r="1341">
      <c r="A1341">
        <f>Skills!A22</f>
        <v/>
      </c>
      <c r="B1341">
        <f>Skills!B22</f>
        <v/>
      </c>
      <c r="C1341">
        <f>Inputs!$B$3&gt;=75</f>
        <v/>
      </c>
      <c r="D1341">
        <f>IF(Skills!C22=1,60+Inputs!$B$25+Inputs!$B$29,IF(Skills!C22=2,90+Inputs!$B$26+Inputs!$B$29,IF(Skills!C22=3,120+Inputs!$B$27+Inputs!$B$29,MAX(0,(Inputs!$B$3-100)*3)+Inputs!$B$28+Inputs!$B$29)))</f>
        <v/>
      </c>
      <c r="E1341">
        <f>INDEX(FactorTable!$B$2:$Y$301, MATCH(ROUND(MIN(300,MAX(1,D1341)),0), FactorTable!$A$2:$A$301,0), Skills!M22+1)</f>
        <v/>
      </c>
      <c r="F1341">
        <f>IF(Skills!N22=TRUE,(Skills!L22/10)*(E1341/1000),Skills!L22/10)+Skills!O22</f>
        <v/>
      </c>
      <c r="G1341">
        <f>Skills!G22*IF(Skills!H22&gt;0,Skills!I22/Skills!H22,1)</f>
        <v/>
      </c>
      <c r="H1341">
        <f>1-(1-Skills!J22/100)^Skills!K22</f>
        <v/>
      </c>
      <c r="I1341" t="inlineStr">
        <is>
          <t>1</t>
        </is>
      </c>
      <c r="J1341" t="inlineStr"/>
      <c r="K1341" t="inlineStr"/>
      <c r="L1341" t="inlineStr"/>
      <c r="M1341" t="inlineStr"/>
      <c r="N1341" t="inlineStr"/>
      <c r="O1341">
        <f>(1-Summary!$B$11)*T1341+Summary!$B$11*V1341</f>
        <v/>
      </c>
      <c r="P1341">
        <f>IF(B1355=0,0,O1341/B1355)</f>
        <v/>
      </c>
      <c r="Q1341" t="n">
        <v>0</v>
      </c>
      <c r="R1341" t="n">
        <v>0</v>
      </c>
      <c r="S1341">
        <f>IFERROR(O1341/N1341,0)</f>
        <v/>
      </c>
      <c r="T1341" t="n">
        <v>0</v>
      </c>
      <c r="V1341" t="n">
        <v>0</v>
      </c>
    </row>
    <row r="1342">
      <c r="A1342">
        <f>Skills!A23</f>
        <v/>
      </c>
      <c r="B1342">
        <f>Skills!B23</f>
        <v/>
      </c>
      <c r="C1342">
        <f>TRUE</f>
        <v/>
      </c>
      <c r="D1342">
        <f>IF(Skills!C23=1,60+Inputs!$B$25+Inputs!$B$29,IF(Skills!C23=2,90+Inputs!$B$26+Inputs!$B$29,IF(Skills!C23=3,120+Inputs!$B$27+Inputs!$B$29,MAX(0,(Inputs!$B$3-100)*3)+Inputs!$B$28+Inputs!$B$29)))</f>
        <v/>
      </c>
      <c r="E1342">
        <f>INDEX(FactorTable!$B$2:$Y$301, MATCH(ROUND(MIN(300,MAX(1,D1342)),0), FactorTable!$A$2:$A$301,0), Skills!M23+1)</f>
        <v/>
      </c>
      <c r="F1342">
        <f>IF(Skills!N23=TRUE,(Skills!L23/10)*(E1342/1000),Skills!L23/10)+Skills!O23</f>
        <v/>
      </c>
      <c r="G1342">
        <f>Skills!G23*IF(Skills!H23&gt;0,Skills!I23/Skills!H23,1)</f>
        <v/>
      </c>
      <c r="H1342">
        <f>1-(1-Skills!J23/100)^Skills!K23</f>
        <v/>
      </c>
      <c r="I1342" t="inlineStr">
        <is>
          <t>1</t>
        </is>
      </c>
      <c r="J1342" t="inlineStr"/>
      <c r="K1342" t="inlineStr"/>
      <c r="L1342" t="inlineStr"/>
      <c r="M1342" t="inlineStr"/>
      <c r="N1342" t="inlineStr"/>
      <c r="O1342">
        <f>(1-Summary!$B$11)*T1342+Summary!$B$11*V1342</f>
        <v/>
      </c>
      <c r="P1342">
        <f>IF(B1355=0,0,O1342/B1355)</f>
        <v/>
      </c>
      <c r="Q1342">
        <f>IFERROR(1/(IF(Inputs!$B$38="pvp",15,MAX(0.1,Skills!D23-IF(Skills!E23=TRUE,Inputs!$B$32,0)))*(1-IF(AND(ArtifactsInput!$M$27,Inputs!$B$4="Chapter Hunt"),CHOOSE(ArtifactsInput!$N$27+1,20,24,28,32,36,40),0)/100)),0)</f>
        <v/>
      </c>
      <c r="R1342">
        <f>IF(AND(Inputs!$B$38&lt;&gt;"pvp",Inputs!$B$43&gt;0),IF(Inputs!$B$43&lt;=0,0,(INT(Inputs!$B$43/(IF(Inputs!$B$38="pvp",15,MAX(0.1,Skills!D23-IF(Skills!E23=TRUE,Inputs!$B$32,0)))*(1-IF(AND(ArtifactsInput!$M$27,Inputs!$B$4="Chapter Hunt"),CHOOSE(ArtifactsInput!$N$27+1,20,24,28,32,36,40),0)/100)))+1)),0)</f>
        <v/>
      </c>
      <c r="S1342">
        <f>IFERROR(O1342/N1342,0)</f>
        <v/>
      </c>
      <c r="T1342" t="n">
        <v>0</v>
      </c>
      <c r="V1342" t="n">
        <v>0</v>
      </c>
    </row>
    <row r="1344">
      <c r="A1344" t="inlineStr">
        <is>
          <t>Attack% Bucket Multiplier</t>
        </is>
      </c>
      <c r="B1344">
        <f>(1+(((C1332=TRUE)*F1332*5/7)+((C1338=TRUE)*(F1338-Calc!F19))+(IF(ArtifactsInput!$M$21,CHOOSE(ArtifactsInput!$N$21+1,25,30,35,40,45,50)*(IF(OR(Inputs!$B$4="Chapter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45">
      <c r="A1345" t="inlineStr">
        <is>
          <t>Global Crit Rate Bonus %</t>
        </is>
      </c>
      <c r="B1345" t="n">
        <v>0</v>
      </c>
    </row>
    <row r="1346">
      <c r="A1346" t="inlineStr">
        <is>
          <t>Attack Speed Buff Bonus % (Nimble Feet, duty-cycle averaged)</t>
        </is>
      </c>
      <c r="B1346">
        <f>((C1342=TRUE)*F1342*IF(AND(Inputs!$B$38&lt;&gt;"pvp",Inputs!$B$43&gt;0),(((R1342-1)*(Skills!T23*(1+Inputs!$B$34/100))+MIN((Skills!T23*(1+Inputs!$B$34/100)),MAX(0,Inputs!$B$43-((R1342-1)*Skills!D23))))/Inputs!$B$43),IF(Inputs!$B$38="pvp",MIN((Skills!T23*(1+Inputs!$B$34/100)),15)/15,(Skills!T23*(1+Inputs!$B$34/100))/Skills!D23)))</f>
        <v/>
      </c>
    </row>
    <row r="1347">
      <c r="A1347" t="inlineStr">
        <is>
          <t>Actions Per Second</t>
        </is>
      </c>
      <c r="B1347">
        <f>1+MIN(150,150*(1-(1-(Inputs!$B$11+((C1336=TRUE)*(F1336-Calc!F17))+((C1337=TRUE)*(F1337-Calc!F18)))/150)*(1-B1346/150)))/100</f>
        <v/>
      </c>
    </row>
    <row r="1348">
      <c r="A1348" t="inlineStr">
        <is>
          <t>Skill + Buff Cast Rate</t>
        </is>
      </c>
      <c r="B1348">
        <f>IF(AND(Inputs!$B$38&lt;&gt;"pvp",Inputs!$B$43&gt;0),SUMPRODUCT((Skills!E2:E23=TRUE)*(C1321:C1342=TRUE)*R1321:R1342*Skills!F2:F23)/Inputs!$B$43,SUMPRODUCT((Skills!E2:E23=TRUE)*(C1321:C1342=TRUE)*Q1321:Q1342*Skills!F2:F23))</f>
        <v/>
      </c>
    </row>
    <row r="1349">
      <c r="A1349" t="inlineStr">
        <is>
          <t>Hook Bomber Casts Per Second</t>
        </is>
      </c>
      <c r="B1349">
        <f>MAX(0,B1347-B1348)</f>
        <v/>
      </c>
    </row>
    <row r="1350">
      <c r="A1350" t="inlineStr">
        <is>
          <t>Global Critical Damage Bonus % (unused)</t>
        </is>
      </c>
      <c r="B1350" t="n">
        <v>0</v>
      </c>
    </row>
    <row r="1351">
      <c r="A1351" t="inlineStr">
        <is>
          <t>Global Final Damage Bonus % (Serpent Scale + Crossbones + Time Leap + Speed Infusion)</t>
        </is>
      </c>
      <c r="B1351">
        <f>((C1324=TRUE)*F1324*((10+IF(Inputs!$B$3&gt;=94,5,0))/((10+IF(Inputs!$B$3&gt;=94,5,0))+5/(B1349*(1+IF(Inputs!$B$3&gt;=104,1,0))))))+((C1333=TRUE)*F1333*IF(AND(Inputs!$B$38&lt;&gt;"pvp",Inputs!$B$43&gt;0),(((R1333-1)*(Skills!T14*(1+Inputs!$B$34/100))+MIN((Skills!T14*(1+Inputs!$B$34/100)),MAX(0,Inputs!$B$43-((R1333-1)*Skills!D14))))/Inputs!$B$43),IF(Inputs!$B$38="pvp",MIN((Skills!T14*(1+Inputs!$B$34/100)),15)/15,(Skills!T14*(1+Inputs!$B$34/100))/Skills!D14)))+((C1334=TRUE)*F1334*IF(AND(Inputs!$B$38&lt;&gt;"pvp",Inputs!$B$43&gt;0),(((R1334-1)*(Skills!T15*(1+Inputs!$B$34/100))+MIN((Skills!T15*(1+Inputs!$B$34/100)),MAX(0,Inputs!$B$43-((R1334-1)*Skills!D15))))/Inputs!$B$43),IF(Inputs!$B$38="pvp",MIN((Skills!T15*(1+Inputs!$B$34/100)),15)/15,(Skills!T15*(1+Inputs!$B$34/100))/Skills!D15)))+((Inputs!$B$3&gt;=110)*20*(B1347-1)*IF(Inputs!$B$38="pvp",MIN((15*(1+Inputs!$B$34/100)),15)/15,(15*(1+Inputs!$B$34/100))/35))</f>
        <v/>
      </c>
    </row>
    <row r="1352">
      <c r="A1352" t="inlineStr">
        <is>
          <t>Buff-Casting Startup Delay (s, fixed-duration only)</t>
        </is>
      </c>
      <c r="B1352">
        <f>IF(AND(Inputs!$B$38&lt;&gt;"pvp",Inputs!$B$43&gt;0),SUMPRODUCT((Skills!T2:T23&gt;0)*(Skills!E2:E23=TRUE)*(C1321:C1342=TRUE))/B1347,0)</f>
        <v/>
      </c>
    </row>
    <row r="1353">
      <c r="A1353" t="inlineStr">
        <is>
          <t>Boss-Only Total DPS (this block's swept value)</t>
        </is>
      </c>
      <c r="B1353">
        <f>SUM(T1321:T1342)</f>
        <v/>
      </c>
    </row>
    <row r="1354">
      <c r="A1354" t="inlineStr">
        <is>
          <t>Normal-Only Total DPS (this block's swept value)</t>
        </is>
      </c>
      <c r="B1354">
        <f>SUM(V1321:V1342)</f>
        <v/>
      </c>
    </row>
    <row r="1355">
      <c r="A1355" s="6" t="inlineStr">
        <is>
          <t>TOTAL DPS</t>
        </is>
      </c>
      <c r="B1355" s="6">
        <f>SUM(O1321:O1342)</f>
        <v/>
      </c>
    </row>
    <row r="1358">
      <c r="A1358" s="6" t="inlineStr">
        <is>
          <t>Stat: Mushmom's Cap (Equip)</t>
        </is>
      </c>
    </row>
    <row r="1359">
      <c r="A1359" s="5" t="inlineStr">
        <is>
          <t>Key</t>
        </is>
      </c>
      <c r="B1359" s="5" t="inlineStr">
        <is>
          <t>Name</t>
        </is>
      </c>
      <c r="C1359" s="5" t="inlineStr">
        <is>
          <t>Unlocked</t>
        </is>
      </c>
      <c r="D1359" s="5" t="inlineStr">
        <is>
          <t>InputLevel</t>
        </is>
      </c>
      <c r="E1359" s="5" t="inlineStr">
        <is>
          <t>Factor</t>
        </is>
      </c>
      <c r="F1359" s="5" t="inlineStr">
        <is>
          <t>CoefficientPercent</t>
        </is>
      </c>
      <c r="G1359" s="5" t="inlineStr">
        <is>
          <t>EffectiveHits</t>
        </is>
      </c>
      <c r="H1359" s="5" t="inlineStr">
        <is>
          <t>ProcProbability</t>
        </is>
      </c>
      <c r="I1359" s="5" t="inlineStr">
        <is>
          <t>MapleHeroMultiplier</t>
        </is>
      </c>
      <c r="J1359" s="5" t="inlineStr">
        <is>
          <t>BaseDamage</t>
        </is>
      </c>
      <c r="K1359" s="5" t="inlineStr">
        <is>
          <t>BaseHitDamage</t>
        </is>
      </c>
      <c r="L1359" s="5" t="inlineStr">
        <is>
          <t>NonCritAvg</t>
        </is>
      </c>
      <c r="M1359" s="5" t="inlineStr">
        <is>
          <t>CritAvg</t>
        </is>
      </c>
      <c r="N1359" s="5" t="inlineStr">
        <is>
          <t>ExpectedDamage(perHit)</t>
        </is>
      </c>
      <c r="O1359" s="5" t="inlineStr">
        <is>
          <t>DPS</t>
        </is>
      </c>
      <c r="P1359" s="5" t="inlineStr">
        <is>
          <t>% of Total</t>
        </is>
      </c>
      <c r="Q1359" s="5" t="inlineStr">
        <is>
          <t>InvCooldown</t>
        </is>
      </c>
      <c r="R1359" s="5" t="inlineStr">
        <is>
          <t>CastsInFight</t>
        </is>
      </c>
      <c r="S1359" s="5" t="inlineStr">
        <is>
          <t>HitRate(perSec)</t>
        </is>
      </c>
      <c r="U1359" t="inlineStr">
        <is>
          <t>helpers</t>
        </is>
      </c>
    </row>
    <row r="1360">
      <c r="A1360">
        <f>Skills!A2</f>
        <v/>
      </c>
      <c r="B1360">
        <f>Skills!B2</f>
        <v/>
      </c>
      <c r="C1360">
        <f>Inputs!$B$3&gt;=100</f>
        <v/>
      </c>
      <c r="D1360" t="inlineStr"/>
      <c r="E1360" t="inlineStr"/>
      <c r="F1360">
        <f>U1362+Skills!O2</f>
        <v/>
      </c>
      <c r="G1360">
        <f>Skills!G2*IF(Skills!H2&gt;0,Skills!I2/Skills!H2,1)</f>
        <v/>
      </c>
      <c r="H1360">
        <f>1-(1-Skills!J2/100)^Skills!K2</f>
        <v/>
      </c>
      <c r="I1360" t="inlineStr">
        <is>
          <t>1</t>
        </is>
      </c>
      <c r="J1360">
        <f>((Inputs!$B$6*(1+Inputs!$B$7/100))+(((Inputs!$B$12*(1+Inputs!$B$13/100))-(Inputs!$B$12*(1+Inputs!$B$13/100)))+0.25*(Inputs!$B$14-Inputs!$B$14))*(1+Inputs!$B$7/100))*(F1360/100)</f>
        <v/>
      </c>
      <c r="K1360">
        <f>J1360*(1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1360)</f>
        <v/>
      </c>
      <c r="L1360">
        <f>K1360*(MIN(Inputs!$B$22+((C1378=TRUE)*(F1378-Calc!F20)),(Inputs!$B$23+0+(IF(ArtifactsInput!$M$15,CHOOSE(ArtifactsInput!$N$15+1,25,30,35,40,45,50)/100*(Inputs!$B$11-Inputs!$B$11),0))))/100+(Inputs!$B$23+0+(IF(ArtifactsInput!$M$15,CHOOSE(ArtifactsInput!$N$15+1,25,30,35,40,45,50)/100*(Inputs!$B$11-Inputs!$B$11),0)))/100)/2</f>
        <v/>
      </c>
      <c r="M1360">
        <f>L1360*(1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0">
        <f>L1360*(1-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1360*(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0">
        <f>(1-Summary!$B$11)*T1360+Summary!$B$11*V1360</f>
        <v/>
      </c>
      <c r="P1360">
        <f>IF(B1394=0,0,O1360/B1394)</f>
        <v/>
      </c>
      <c r="Q1360" t="n">
        <v>0</v>
      </c>
      <c r="R1360" t="n">
        <v>0</v>
      </c>
      <c r="S1360">
        <f>IFERROR(O1360/N1360,0)</f>
        <v/>
      </c>
      <c r="T1360">
        <f>IF(C1360,(Skills!G2*N1360*B1388)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1360*(1-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1360*(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1360*(1-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1360*(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0">
        <f>MAX(0,(Inputs!$B$3-100)*3)+Inputs!$B$28+Inputs!$B$29</f>
        <v/>
      </c>
      <c r="V1360">
        <f>IF(C1360,(Skills!G2*N1360*B1388)*IF(Inputs!$B$38="pvp",1,(1+(Inputs!$B$21+Skills!Q2+(IF(ArtifactsInput!$M$33,CHOOSE(ArtifactsInput!$N$33+1,30,36,42,48,54,60),0))+(IF(AND(ArtifactsInput!$M$35,Inputs!$B$4&lt;&gt;"Chapter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1">
      <c r="A1361">
        <f>Skills!A3</f>
        <v/>
      </c>
      <c r="B1361">
        <f>Skills!B3</f>
        <v/>
      </c>
      <c r="C1361">
        <f>Inputs!$B$3&gt;=35</f>
        <v/>
      </c>
      <c r="D1361">
        <f>IF(Skills!C3=1,60+Inputs!$B$25+Inputs!$B$29,IF(Skills!C3=2,90+Inputs!$B$26+Inputs!$B$29,IF(Skills!C3=3,120+Inputs!$B$27+Inputs!$B$29,MAX(0,(Inputs!$B$3-100)*3)+Inputs!$B$28+Inputs!$B$29)))</f>
        <v/>
      </c>
      <c r="E1361">
        <f>INDEX(FactorTable!$B$2:$Y$301, MATCH(ROUND(MIN(300,MAX(1,D1361)),0), FactorTable!$A$2:$A$301,0), Skills!M3+1)</f>
        <v/>
      </c>
      <c r="F1361">
        <f>IF(Skills!N3=TRUE,(Skills!L3/10)*(E1361/1000),Skills!L3/10)+Skills!O3</f>
        <v/>
      </c>
      <c r="G1361">
        <f>Skills!G3*IF(Skills!H3&gt;0,Skills!I3/Skills!H3,1)</f>
        <v/>
      </c>
      <c r="H1361">
        <f>1-(1-Skills!J3/100)^Skills!K3</f>
        <v/>
      </c>
      <c r="I1361" t="inlineStr">
        <is>
          <t>1</t>
        </is>
      </c>
      <c r="J1361">
        <f>((Inputs!$B$6*(1+Inputs!$B$7/100))+(((Inputs!$B$12*(1+Inputs!$B$13/100))-(Inputs!$B$12*(1+Inputs!$B$13/100)))+0.25*(Inputs!$B$14-Inputs!$B$14))*(1+Inputs!$B$7/100))*(F1361/100)</f>
        <v/>
      </c>
      <c r="K1361">
        <f>J1361*(1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1361)</f>
        <v/>
      </c>
      <c r="L1361">
        <f>K1361*(MIN(Inputs!$B$22+((C1378=TRUE)*(F1378-Calc!F20)),(Inputs!$B$23+0+(IF(ArtifactsInput!$M$15,CHOOSE(ArtifactsInput!$N$15+1,25,30,35,40,45,50)/100*(Inputs!$B$11-Inputs!$B$11),0))))/100+(Inputs!$B$23+0+(IF(ArtifactsInput!$M$15,CHOOSE(ArtifactsInput!$N$15+1,25,30,35,40,45,50)/100*(Inputs!$B$11-Inputs!$B$11),0)))/100)/2</f>
        <v/>
      </c>
      <c r="M1361">
        <f>L1361*(1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1">
        <f>L1361*(1-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1">
        <f>(1-Summary!$B$11)*T1361+Summary!$B$11*V1361</f>
        <v/>
      </c>
      <c r="P1361">
        <f>IF(B1394=0,0,O1361/B1394)</f>
        <v/>
      </c>
      <c r="Q1361" t="n">
        <v>0</v>
      </c>
      <c r="R1361" t="n">
        <v>0</v>
      </c>
      <c r="S1361">
        <f>IFERROR(O1361/N1361,0)</f>
        <v/>
      </c>
      <c r="T1361">
        <f>IF(C1361,(Skills!G3*H1361*N1361*B1388)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1361*(1-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1361*(1-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1">
        <f>INDEX(FactorTable!$B$2:$Y$301, MATCH(ROUND(MIN(300,MAX(1,U1360)),0), FactorTable!$A$2:$A$301,0), 22)</f>
        <v/>
      </c>
      <c r="V1361">
        <f>IF(C1361,(Skills!G3*H1361*N1361*B1388)*IF(Inputs!$B$38="pvp",1,(1+(Inputs!$B$21+Skills!Q3+(IF(ArtifactsInput!$M$33,CHOOSE(ArtifactsInput!$N$33+1,30,36,42,48,54,60),0))+(IF(AND(ArtifactsInput!$M$35,Inputs!$B$4&lt;&gt;"Chapter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2">
      <c r="A1362">
        <f>Skills!A4</f>
        <v/>
      </c>
      <c r="B1362">
        <f>Skills!B4</f>
        <v/>
      </c>
      <c r="C1362">
        <f>Inputs!$B$3&gt;=60</f>
        <v/>
      </c>
      <c r="D1362">
        <f>IF(Skills!C4=1,60+Inputs!$B$25+Inputs!$B$29,IF(Skills!C4=2,90+Inputs!$B$26+Inputs!$B$29,IF(Skills!C4=3,120+Inputs!$B$27+Inputs!$B$29,MAX(0,(Inputs!$B$3-100)*3)+Inputs!$B$28+Inputs!$B$29)))</f>
        <v/>
      </c>
      <c r="E1362">
        <f>INDEX(FactorTable!$B$2:$Y$301, MATCH(ROUND(MIN(300,MAX(1,D1362)),0), FactorTable!$A$2:$A$301,0), Skills!M4+1)</f>
        <v/>
      </c>
      <c r="F1362">
        <f>IF(Skills!N4=TRUE,(Skills!L4/10)*(E1362/1000),Skills!L4/10)+Skills!O4</f>
        <v/>
      </c>
      <c r="G1362">
        <f>Skills!G4*IF(Skills!H4&gt;0,Skills!I4/Skills!H4,1)</f>
        <v/>
      </c>
      <c r="H1362">
        <f>1-(1-Skills!J4/100)^Skills!K4</f>
        <v/>
      </c>
      <c r="I1362" t="inlineStr">
        <is>
          <t>1</t>
        </is>
      </c>
      <c r="J1362">
        <f>((Inputs!$B$6*(1+Inputs!$B$7/100))+(((Inputs!$B$12*(1+Inputs!$B$13/100))-(Inputs!$B$12*(1+Inputs!$B$13/100)))+0.25*(Inputs!$B$14-Inputs!$B$14))*(1+Inputs!$B$7/100))*(F1362/100)</f>
        <v/>
      </c>
      <c r="K1362">
        <f>J1362*(1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1370=TRUE,F1370,0)/100)*(1+(IF(Skills!A4="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1362)</f>
        <v/>
      </c>
      <c r="L1362">
        <f>K1362*(MIN(Inputs!$B$22+((C1378=TRUE)*(F1378-Calc!F20)),(Inputs!$B$23+0+(IF(ArtifactsInput!$M$15,CHOOSE(ArtifactsInput!$N$15+1,25,30,35,40,45,50)/100*(Inputs!$B$11-Inputs!$B$11),0))))/100+(Inputs!$B$23+0+(IF(ArtifactsInput!$M$15,CHOOSE(ArtifactsInput!$N$15+1,25,30,35,40,45,50)/100*(Inputs!$B$11-Inputs!$B$11),0)))/100)/2</f>
        <v/>
      </c>
      <c r="M1362">
        <f>L1362*(1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2">
        <f>L1362*(1-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1362*(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2">
        <f>(1-Summary!$B$11)*T1362+Summary!$B$11*V1362</f>
        <v/>
      </c>
      <c r="P1362">
        <f>IF(B1394=0,0,O1362/B1394)</f>
        <v/>
      </c>
      <c r="Q1362" t="n">
        <v>0</v>
      </c>
      <c r="R1362" t="n">
        <v>0</v>
      </c>
      <c r="S1362">
        <f>IFERROR(O1362/N1362,0)</f>
        <v/>
      </c>
      <c r="T1362">
        <f>IF(C1362,(Skills!G4*H1362*N1362*B1388)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1362*(1-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1362*(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1362*(1-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1362*(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62">
        <f>290*U1361/1000</f>
        <v/>
      </c>
      <c r="V1362">
        <f>IF(C1362,(Skills!G4*H1362*N1362*B1388)*IF(Inputs!$B$38="pvp",1,(1+(Inputs!$B$21+Skills!Q4+(IF(ArtifactsInput!$M$33,CHOOSE(ArtifactsInput!$N$33+1,30,36,42,48,54,60),0))+(IF(AND(ArtifactsInput!$M$35,Inputs!$B$4&lt;&gt;"Chapter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3">
      <c r="A1363">
        <f>Skills!A5</f>
        <v/>
      </c>
      <c r="B1363">
        <f>Skills!B5</f>
        <v/>
      </c>
      <c r="C1363">
        <f>Inputs!$B$3&gt;=60</f>
        <v/>
      </c>
      <c r="D1363">
        <f>IF(Skills!C5=1,60+Inputs!$B$25+Inputs!$B$29,IF(Skills!C5=2,90+Inputs!$B$26+Inputs!$B$29,IF(Skills!C5=3,120+Inputs!$B$27+Inputs!$B$29,MAX(0,(Inputs!$B$3-100)*3)+Inputs!$B$28+Inputs!$B$29)))</f>
        <v/>
      </c>
      <c r="E1363">
        <f>INDEX(FactorTable!$B$2:$Y$301, MATCH(ROUND(MIN(300,MAX(1,D1363)),0), FactorTable!$A$2:$A$301,0), Skills!M5+1)</f>
        <v/>
      </c>
      <c r="F1363">
        <f>IF(Skills!N5=TRUE,(Skills!L5/10)*(E1363/1000),Skills!L5/10)+Skills!O5</f>
        <v/>
      </c>
      <c r="G1363">
        <f>Skills!G5*IF(Skills!H5&gt;0,Skills!I5/Skills!H5,1)</f>
        <v/>
      </c>
      <c r="H1363">
        <f>1-(1-Skills!J5/100)^Skills!K5</f>
        <v/>
      </c>
      <c r="I1363" t="inlineStr">
        <is>
          <t>1</t>
        </is>
      </c>
      <c r="J1363" t="inlineStr"/>
      <c r="K1363" t="inlineStr"/>
      <c r="L1363" t="inlineStr"/>
      <c r="M1363" t="inlineStr"/>
      <c r="N1363" t="inlineStr"/>
      <c r="O1363">
        <f>(1-Summary!$B$11)*T1363+Summary!$B$11*V1363</f>
        <v/>
      </c>
      <c r="P1363">
        <f>IF(B1394=0,0,O1363/B1394)</f>
        <v/>
      </c>
      <c r="Q1363" t="n">
        <v>0</v>
      </c>
      <c r="R1363" t="n">
        <v>0</v>
      </c>
      <c r="S1363">
        <f>IFERROR(O1363/N1363,0)</f>
        <v/>
      </c>
      <c r="T1363" t="n">
        <v>0</v>
      </c>
      <c r="V1363" t="n">
        <v>0</v>
      </c>
    </row>
    <row r="1364">
      <c r="A1364">
        <f>Skills!A6</f>
        <v/>
      </c>
      <c r="B1364">
        <f>Skills!B6</f>
        <v/>
      </c>
      <c r="C1364">
        <f>Inputs!$B$3&gt;=63</f>
        <v/>
      </c>
      <c r="D1364">
        <f>IF(Skills!C6=1,60+Inputs!$B$25+Inputs!$B$29,IF(Skills!C6=2,90+Inputs!$B$26+Inputs!$B$29,IF(Skills!C6=3,120+Inputs!$B$27+Inputs!$B$29,MAX(0,(Inputs!$B$3-100)*3)+Inputs!$B$28+Inputs!$B$29)))</f>
        <v/>
      </c>
      <c r="E1364">
        <f>INDEX(FactorTable!$B$2:$Y$301, MATCH(ROUND(MIN(300,MAX(1,D1364)),0), FactorTable!$A$2:$A$301,0), Skills!M6+1)</f>
        <v/>
      </c>
      <c r="F1364">
        <f>IF(Skills!N6=TRUE,(Skills!L6/10)*(E1364/1000),Skills!L6/10)+Skills!O6</f>
        <v/>
      </c>
      <c r="G1364">
        <f>Skills!G6*IF(Skills!H6&gt;0,Skills!I6/Skills!H6,1)</f>
        <v/>
      </c>
      <c r="H1364">
        <f>1-(1-Skills!J6/100)^Skills!K6</f>
        <v/>
      </c>
      <c r="I1364" t="inlineStr">
        <is>
          <t>1</t>
        </is>
      </c>
      <c r="J1364">
        <f>((Inputs!$B$6*(1+Inputs!$B$7/100))+(((Inputs!$B$12*(1+Inputs!$B$13/100))-(Inputs!$B$12*(1+Inputs!$B$13/100)))+0.25*(Inputs!$B$14-Inputs!$B$14))*(1+Inputs!$B$7/100))*(F1364/100)</f>
        <v/>
      </c>
      <c r="K1364">
        <f>J1364*(1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1370=TRUE,F1370,0)/100)*(1+(IF(Skills!A6="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1364)</f>
        <v/>
      </c>
      <c r="L1364">
        <f>K1364*(MIN(Inputs!$B$22+((C1378=TRUE)*(F1378-Calc!F20)),(Inputs!$B$23+0+(IF(ArtifactsInput!$M$15,CHOOSE(ArtifactsInput!$N$15+1,25,30,35,40,45,50)/100*(Inputs!$B$11-Inputs!$B$11),0))))/100+(Inputs!$B$23+0+(IF(ArtifactsInput!$M$15,CHOOSE(ArtifactsInput!$N$15+1,25,30,35,40,45,50)/100*(Inputs!$B$11-Inputs!$B$11),0)))/100)/2</f>
        <v/>
      </c>
      <c r="M1364">
        <f>L1364*(1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4">
        <f>L1364*(1-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1364*(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4">
        <f>(1-Summary!$B$11)*T1364+Summary!$B$11*V1364</f>
        <v/>
      </c>
      <c r="P1364">
        <f>IF(B1394=0,0,O1364/B1394)</f>
        <v/>
      </c>
      <c r="Q1364">
        <f>IFERROR(1/(IF(Inputs!$B$38="pvp",15,MAX(0.1,Skills!D6-IF(Skills!E6=TRUE,Inputs!$B$32,0)))*(1-IF(AND(ArtifactsInput!$M$27,Inputs!$B$4="Chapter Hunt"),CHOOSE(ArtifactsInput!$N$27+1,20,24,28,32,36,40),0)/100)),0)</f>
        <v/>
      </c>
      <c r="R1364">
        <f>IF(AND(Inputs!$B$38&lt;&gt;"pvp",Inputs!$B$43&gt;0),IF(MAX(0,Inputs!$B$43-B1391)&lt;=0,0,(INT(MAX(0,Inputs!$B$43-B1391)/(IF(Inputs!$B$38="pvp",15,MAX(0.1,Skills!D6-IF(Skills!E6=TRUE,Inputs!$B$32,0)))*(1-IF(AND(ArtifactsInput!$M$27,Inputs!$B$4="Chapter Hunt"),CHOOSE(ArtifactsInput!$N$27+1,20,24,28,32,36,40),0)/100)))+1)),0)</f>
        <v/>
      </c>
      <c r="S1364">
        <f>IFERROR(O1364/N1364,0)</f>
        <v/>
      </c>
      <c r="T1364">
        <f>IF(C1364,(H1364*N1364*IF(AND(Inputs!$B$38&lt;&gt;"pvp",Inputs!$B$43&gt;0),((Skills!G6*((R1364-1)*IF(Skills!H6&gt;0,Skills!I6/Skills!H6,1)+IF(Skills!H6&gt;0,MIN(Skills!I6,MAX(0,MAX(0,Inputs!$B$43-B1391)-((R1364-1)*(IF(Inputs!$B$38="pvp",15,MAX(0.1,Skills!D6-IF(Skills!E6=TRUE,Inputs!$B$32,0)))*(1-IF(AND(ArtifactsInput!$M$27,Inputs!$B$4="Chapter Hunt"),CHOOSE(ArtifactsInput!$N$27+1,20,24,28,32,36,40),0)/100)))))/Skills!H6,1)))/Inputs!$B$43),G1364*Q1364)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1364*(1-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1364*(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1364*(1-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1364*(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4">
        <f>IF(C1364,(H1364*N1364*IF(AND(Inputs!$B$38&lt;&gt;"pvp",Inputs!$B$43&gt;0),((Skills!G6*((R1364-1)*IF(Skills!H6&gt;0,Skills!I6/Skills!H6,1)+IF(Skills!H6&gt;0,MIN(Skills!I6,MAX(0,MAX(0,Inputs!$B$43-B1391)-((R1364-1)*(IF(Inputs!$B$38="pvp",15,MAX(0.1,Skills!D6-IF(Skills!E6=TRUE,Inputs!$B$32,0)))*(1-IF(AND(ArtifactsInput!$M$27,Inputs!$B$4="Chapter Hunt"),CHOOSE(ArtifactsInput!$N$27+1,20,24,28,32,36,40),0)/100)))))/Skills!H6,1)))/Inputs!$B$43),G1364*Q1364))*IF(Inputs!$B$38="pvp",1,(1+(Inputs!$B$21+Skills!Q6+(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5">
      <c r="A1365">
        <f>Skills!A7</f>
        <v/>
      </c>
      <c r="B1365">
        <f>Skills!B7</f>
        <v/>
      </c>
      <c r="C1365">
        <f>Inputs!$B$3&gt;=100</f>
        <v/>
      </c>
      <c r="D1365">
        <f>IF(Skills!C7=1,60+Inputs!$B$25+Inputs!$B$29,IF(Skills!C7=2,90+Inputs!$B$26+Inputs!$B$29,IF(Skills!C7=3,120+Inputs!$B$27+Inputs!$B$29,MAX(0,(Inputs!$B$3-100)*3)+Inputs!$B$28+Inputs!$B$29)))</f>
        <v/>
      </c>
      <c r="E1365">
        <f>INDEX(FactorTable!$B$2:$Y$301, MATCH(ROUND(MIN(300,MAX(1,D1365)),0), FactorTable!$A$2:$A$301,0), Skills!M7+1)</f>
        <v/>
      </c>
      <c r="F1365">
        <f>IF(Skills!N7=TRUE,(Skills!L7/10)*(E1365/1000),Skills!L7/10)+Skills!O7</f>
        <v/>
      </c>
      <c r="G1365">
        <f>Skills!G7*IF(Skills!H7&gt;0,Skills!I7/Skills!H7,1)</f>
        <v/>
      </c>
      <c r="H1365">
        <f>1-(1-Skills!J7/100)^Skills!K7</f>
        <v/>
      </c>
      <c r="I1365" t="inlineStr">
        <is>
          <t>1</t>
        </is>
      </c>
      <c r="J1365">
        <f>((Inputs!$B$6*(1+Inputs!$B$7/100))+(((Inputs!$B$12*(1+Inputs!$B$13/100))-(Inputs!$B$12*(1+Inputs!$B$13/100)))+0.25*(Inputs!$B$14-Inputs!$B$14))*(1+Inputs!$B$7/100))*(F1365/100)</f>
        <v/>
      </c>
      <c r="K1365">
        <f>J1365*(1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1365)</f>
        <v/>
      </c>
      <c r="L1365">
        <f>K1365*(MIN(Inputs!$B$22+((C1378=TRUE)*(F1378-Calc!F20)),(Inputs!$B$23+0+(IF(ArtifactsInput!$M$15,CHOOSE(ArtifactsInput!$N$15+1,25,30,35,40,45,50)/100*(Inputs!$B$11-Inputs!$B$11),0))))/100+(Inputs!$B$23+0+(IF(ArtifactsInput!$M$15,CHOOSE(ArtifactsInput!$N$15+1,25,30,35,40,45,50)/100*(Inputs!$B$11-Inputs!$B$11),0)))/100)/2</f>
        <v/>
      </c>
      <c r="M1365">
        <f>L1365*(1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5">
        <f>L1365*(1-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1365*(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5">
        <f>(1-Summary!$B$11)*T1365+Summary!$B$11*V1365</f>
        <v/>
      </c>
      <c r="P1365">
        <f>IF(B1394=0,0,O1365/B1394)</f>
        <v/>
      </c>
      <c r="Q1365">
        <f>IFERROR(1/(IF(Inputs!$B$38="pvp",15,MAX(0.1,Skills!D7-IF(Skills!E7=TRUE,Inputs!$B$32,0)))*(1-IF(AND(ArtifactsInput!$M$27,Inputs!$B$4="Chapter Hunt"),CHOOSE(ArtifactsInput!$N$27+1,20,24,28,32,36,40),0)/100)),0)</f>
        <v/>
      </c>
      <c r="R1365">
        <f>IF(AND(Inputs!$B$38&lt;&gt;"pvp",Inputs!$B$43&gt;0),IF(MAX(0,Inputs!$B$43-B1391)&lt;=0,0,(INT(MAX(0,Inputs!$B$43-B1391)/(IF(Inputs!$B$38="pvp",15,MAX(0.1,Skills!D7-IF(Skills!E7=TRUE,Inputs!$B$32,0)))*(1-IF(AND(ArtifactsInput!$M$27,Inputs!$B$4="Chapter Hunt"),CHOOSE(ArtifactsInput!$N$27+1,20,24,28,32,36,40),0)/100)))+1)),0)</f>
        <v/>
      </c>
      <c r="S1365">
        <f>IFERROR(O1365/N1365,0)</f>
        <v/>
      </c>
      <c r="T1365">
        <f>IF(C1365,(H1365*N1365*IF(AND(Inputs!$B$38&lt;&gt;"pvp",Inputs!$B$43&gt;0),((Skills!G7*((R1365-1)*IF(Skills!H7&gt;0,Skills!I7/Skills!H7,1)+IF(Skills!H7&gt;0,MIN(Skills!I7,MAX(0,MAX(0,Inputs!$B$43-B1391)-((R1365-1)*(IF(Inputs!$B$38="pvp",15,MAX(0.1,Skills!D7-IF(Skills!E7=TRUE,Inputs!$B$32,0)))*(1-IF(AND(ArtifactsInput!$M$27,Inputs!$B$4="Chapter Hunt"),CHOOSE(ArtifactsInput!$N$27+1,20,24,28,32,36,40),0)/100)))))/Skills!H7,1)))/Inputs!$B$43),G1365*Q1365)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1365*(1-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1365*(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1365*(1-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1365*(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5">
        <f>IF(C1365,(H1365*N1365*IF(AND(Inputs!$B$38&lt;&gt;"pvp",Inputs!$B$43&gt;0),((Skills!G7*((R1365-1)*IF(Skills!H7&gt;0,Skills!I7/Skills!H7,1)+IF(Skills!H7&gt;0,MIN(Skills!I7,MAX(0,MAX(0,Inputs!$B$43-B1391)-((R1365-1)*(IF(Inputs!$B$38="pvp",15,MAX(0.1,Skills!D7-IF(Skills!E7=TRUE,Inputs!$B$32,0)))*(1-IF(AND(ArtifactsInput!$M$27,Inputs!$B$4="Chapter Hunt"),CHOOSE(ArtifactsInput!$N$27+1,20,24,28,32,36,40),0)/100)))))/Skills!H7,1)))/Inputs!$B$43),G1365*Q1365))*IF(Inputs!$B$38="pvp",1,(1+(Inputs!$B$21+Skills!Q7+(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6">
      <c r="A1366">
        <f>Skills!A8</f>
        <v/>
      </c>
      <c r="B1366">
        <f>Skills!B8</f>
        <v/>
      </c>
      <c r="C1366">
        <f>Inputs!$B$3&gt;=110</f>
        <v/>
      </c>
      <c r="D1366">
        <f>IF(Skills!C8=1,60+Inputs!$B$25+Inputs!$B$29,IF(Skills!C8=2,90+Inputs!$B$26+Inputs!$B$29,IF(Skills!C8=3,120+Inputs!$B$27+Inputs!$B$29,MAX(0,(Inputs!$B$3-100)*3)+Inputs!$B$28+Inputs!$B$29)))</f>
        <v/>
      </c>
      <c r="E1366">
        <f>INDEX(FactorTable!$B$2:$Y$301, MATCH(ROUND(MIN(300,MAX(1,D1366)),0), FactorTable!$A$2:$A$301,0), Skills!M8+1)</f>
        <v/>
      </c>
      <c r="F1366">
        <f>IF(Skills!N8=TRUE,(Skills!L8/10)*(E1366/1000),Skills!L8/10)+Skills!O8</f>
        <v/>
      </c>
      <c r="G1366">
        <f>Skills!G8*IF(Skills!H8&gt;0,Skills!I8/Skills!H8,1)</f>
        <v/>
      </c>
      <c r="H1366">
        <f>1-(1-Skills!J8/100)^Skills!K8</f>
        <v/>
      </c>
      <c r="I1366" t="inlineStr">
        <is>
          <t>1</t>
        </is>
      </c>
      <c r="J1366">
        <f>((Inputs!$B$6*(1+Inputs!$B$7/100))+(((Inputs!$B$12*(1+Inputs!$B$13/100))-(Inputs!$B$12*(1+Inputs!$B$13/100)))+0.25*(Inputs!$B$14-Inputs!$B$14))*(1+Inputs!$B$7/100))*(F1366/100)</f>
        <v/>
      </c>
      <c r="K1366">
        <f>J1366*(1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1366)</f>
        <v/>
      </c>
      <c r="L1366">
        <f>K1366*(MIN(Inputs!$B$22+((C1378=TRUE)*(F1378-Calc!F20)),(Inputs!$B$23+0+(IF(ArtifactsInput!$M$15,CHOOSE(ArtifactsInput!$N$15+1,25,30,35,40,45,50)/100*(Inputs!$B$11-Inputs!$B$11),0))))/100+(Inputs!$B$23+0+(IF(ArtifactsInput!$M$15,CHOOSE(ArtifactsInput!$N$15+1,25,30,35,40,45,50)/100*(Inputs!$B$11-Inputs!$B$11),0)))/100)/2</f>
        <v/>
      </c>
      <c r="M1366">
        <f>L1366*(1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6">
        <f>L1366*(1-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1366*(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6">
        <f>(1-Summary!$B$11)*T1366+Summary!$B$11*V1366</f>
        <v/>
      </c>
      <c r="P1366">
        <f>IF(B1394=0,0,O1366/B1394)</f>
        <v/>
      </c>
      <c r="Q1366">
        <f>IFERROR(1/(IF(Inputs!$B$38="pvp",15,MAX(0.1,Skills!D8-IF(Skills!E8=TRUE,Inputs!$B$32,0)))*(1-IF(AND(ArtifactsInput!$M$27,Inputs!$B$4="Chapter Hunt"),CHOOSE(ArtifactsInput!$N$27+1,20,24,28,32,36,40),0)/100)),0)</f>
        <v/>
      </c>
      <c r="R1366">
        <f>IF(AND(Inputs!$B$38&lt;&gt;"pvp",Inputs!$B$43&gt;0),IF(MAX(0,Inputs!$B$43-B1391)&lt;=0,0,(INT(MAX(0,Inputs!$B$43-B1391)/(IF(Inputs!$B$38="pvp",15,MAX(0.1,Skills!D8-IF(Skills!E8=TRUE,Inputs!$B$32,0)))*(1-IF(AND(ArtifactsInput!$M$27,Inputs!$B$4="Chapter Hunt"),CHOOSE(ArtifactsInput!$N$27+1,20,24,28,32,36,40),0)/100)))+1)),0)</f>
        <v/>
      </c>
      <c r="S1366">
        <f>IFERROR(O1366/N1366,0)</f>
        <v/>
      </c>
      <c r="T1366">
        <f>IF(C1366,(H1366*N1366*IF(AND(Inputs!$B$38&lt;&gt;"pvp",Inputs!$B$43&gt;0),((Skills!G8*((R1366-1)*IF(Skills!H8&gt;0,Skills!I8/Skills!H8,1)+IF(Skills!H8&gt;0,MIN(Skills!I8,MAX(0,MAX(0,Inputs!$B$43-B1391)-((R1366-1)*(IF(Inputs!$B$38="pvp",15,MAX(0.1,Skills!D8-IF(Skills!E8=TRUE,Inputs!$B$32,0)))*(1-IF(AND(ArtifactsInput!$M$27,Inputs!$B$4="Chapter Hunt"),CHOOSE(ArtifactsInput!$N$27+1,20,24,28,32,36,40),0)/100)))))/Skills!H8,1)))/Inputs!$B$43),G1366*Q1366)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1366*(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1366*(1-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1366*(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6">
        <f>IF(C1366,(H1366*N1366*IF(AND(Inputs!$B$38&lt;&gt;"pvp",Inputs!$B$43&gt;0),((Skills!G8*((R1366-1)*IF(Skills!H8&gt;0,Skills!I8/Skills!H8,1)+IF(Skills!H8&gt;0,MIN(Skills!I8,MAX(0,MAX(0,Inputs!$B$43-B1391)-((R1366-1)*(IF(Inputs!$B$38="pvp",15,MAX(0.1,Skills!D8-IF(Skills!E8=TRUE,Inputs!$B$32,0)))*(1-IF(AND(ArtifactsInput!$M$27,Inputs!$B$4="Chapter Hunt"),CHOOSE(ArtifactsInput!$N$27+1,20,24,28,32,36,40),0)/100)))))/Skills!H8,1)))/Inputs!$B$43),G1366*Q1366))*IF(Inputs!$B$38="pvp",1,(1+(Inputs!$B$21+Skills!Q8+(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7">
      <c r="A1367">
        <f>Skills!A9</f>
        <v/>
      </c>
      <c r="B1367">
        <f>Skills!B9</f>
        <v/>
      </c>
      <c r="C1367">
        <f>Inputs!$B$3&gt;=110</f>
        <v/>
      </c>
      <c r="D1367">
        <f>IF(Skills!C9=1,60+Inputs!$B$25+Inputs!$B$29,IF(Skills!C9=2,90+Inputs!$B$26+Inputs!$B$29,IF(Skills!C9=3,120+Inputs!$B$27+Inputs!$B$29,MAX(0,(Inputs!$B$3-100)*3)+Inputs!$B$28+Inputs!$B$29)))</f>
        <v/>
      </c>
      <c r="E1367">
        <f>INDEX(FactorTable!$B$2:$Y$301, MATCH(ROUND(MIN(300,MAX(1,D1367)),0), FactorTable!$A$2:$A$301,0), Skills!M9+1)</f>
        <v/>
      </c>
      <c r="F1367">
        <f>IF(Skills!N9=TRUE,(Skills!L9/10)*(E1367/1000),Skills!L9/10)+Skills!O9</f>
        <v/>
      </c>
      <c r="G1367">
        <f>Skills!G9*IF(Skills!H9&gt;0,Skills!I9/Skills!H9,1)</f>
        <v/>
      </c>
      <c r="H1367">
        <f>1-(1-Skills!J9/100)^Skills!K9</f>
        <v/>
      </c>
      <c r="I1367" t="inlineStr">
        <is>
          <t>1</t>
        </is>
      </c>
      <c r="J1367">
        <f>((Inputs!$B$6*(1+Inputs!$B$7/100))+(((Inputs!$B$12*(1+Inputs!$B$13/100))-(Inputs!$B$12*(1+Inputs!$B$13/100)))+0.25*(Inputs!$B$14-Inputs!$B$14))*(1+Inputs!$B$7/100))*(F1367/100)</f>
        <v/>
      </c>
      <c r="K1367">
        <f>J1367*(1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1367)</f>
        <v/>
      </c>
      <c r="L1367">
        <f>K1367*(MIN(Inputs!$B$22+((C1378=TRUE)*(F1378-Calc!F20)),(Inputs!$B$23+0+(IF(ArtifactsInput!$M$15,CHOOSE(ArtifactsInput!$N$15+1,25,30,35,40,45,50)/100*(Inputs!$B$11-Inputs!$B$11),0))))/100+(Inputs!$B$23+0+(IF(ArtifactsInput!$M$15,CHOOSE(ArtifactsInput!$N$15+1,25,30,35,40,45,50)/100*(Inputs!$B$11-Inputs!$B$11),0)))/100)/2</f>
        <v/>
      </c>
      <c r="M1367">
        <f>L1367*(1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7">
        <f>L1367*(1-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1367*(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7">
        <f>(1-Summary!$B$11)*T1367+Summary!$B$11*V1367</f>
        <v/>
      </c>
      <c r="P1367">
        <f>IF(B1394=0,0,O1367/B1394)</f>
        <v/>
      </c>
      <c r="Q1367">
        <f>IFERROR(1/(IF(Inputs!$B$38="pvp",15,MAX(0.1,Skills!D9-IF(Skills!E9=TRUE,Inputs!$B$32,0)))*(1-IF(AND(ArtifactsInput!$M$27,Inputs!$B$4="Chapter Hunt"),CHOOSE(ArtifactsInput!$N$27+1,20,24,28,32,36,40),0)/100)),0)</f>
        <v/>
      </c>
      <c r="R1367">
        <f>IF(AND(Inputs!$B$38&lt;&gt;"pvp",Inputs!$B$43&gt;0),IF(MAX(0,Inputs!$B$43-B1391)&lt;=0,0,(INT(MAX(0,Inputs!$B$43-B1391)/(IF(Inputs!$B$38="pvp",15,MAX(0.1,Skills!D9-IF(Skills!E9=TRUE,Inputs!$B$32,0)))*(1-IF(AND(ArtifactsInput!$M$27,Inputs!$B$4="Chapter Hunt"),CHOOSE(ArtifactsInput!$N$27+1,20,24,28,32,36,40),0)/100)))+1)),0)</f>
        <v/>
      </c>
      <c r="S1367">
        <f>IFERROR(O1367/N1367,0)</f>
        <v/>
      </c>
      <c r="T1367">
        <f>IF(C1367,(H1367*N1367*IF(AND(Inputs!$B$38&lt;&gt;"pvp",Inputs!$B$43&gt;0),((Skills!G9*((R1367-1)*IF(Skills!H9&gt;0,Skills!I9/Skills!H9,1)+IF(Skills!H9&gt;0,MIN(Skills!I9,MAX(0,MAX(0,Inputs!$B$43-B1391)-((R1367-1)*(IF(Inputs!$B$38="pvp",15,MAX(0.1,Skills!D9-IF(Skills!E9=TRUE,Inputs!$B$32,0)))*(1-IF(AND(ArtifactsInput!$M$27,Inputs!$B$4="Chapter Hunt"),CHOOSE(ArtifactsInput!$N$27+1,20,24,28,32,36,40),0)/100)))))/Skills!H9,1)))/Inputs!$B$43),G1367*Q1367)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1367*(1-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1367*(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1367*(1-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1367*(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7">
        <f>IF(C1367,(H1367*N1367*IF(AND(Inputs!$B$38&lt;&gt;"pvp",Inputs!$B$43&gt;0),((Skills!G9*((R1367-1)*IF(Skills!H9&gt;0,Skills!I9/Skills!H9,1)+IF(Skills!H9&gt;0,MIN(Skills!I9,MAX(0,MAX(0,Inputs!$B$43-B1391)-((R1367-1)*(IF(Inputs!$B$38="pvp",15,MAX(0.1,Skills!D9-IF(Skills!E9=TRUE,Inputs!$B$32,0)))*(1-IF(AND(ArtifactsInput!$M$27,Inputs!$B$4="Chapter Hunt"),CHOOSE(ArtifactsInput!$N$27+1,20,24,28,32,36,40),0)/100)))))/Skills!H9,1)))/Inputs!$B$43),G1367*Q1367))*IF(Inputs!$B$38="pvp",1,(1+(Inputs!$B$21+Skills!Q9+(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8">
      <c r="A1368">
        <f>Skills!A10</f>
        <v/>
      </c>
      <c r="B1368">
        <f>Skills!B10</f>
        <v/>
      </c>
      <c r="C1368">
        <f>Inputs!$B$3&gt;=103</f>
        <v/>
      </c>
      <c r="D1368">
        <f>IF(Skills!C10=1,60+Inputs!$B$25+Inputs!$B$29,IF(Skills!C10=2,90+Inputs!$B$26+Inputs!$B$29,IF(Skills!C10=3,120+Inputs!$B$27+Inputs!$B$29,MAX(0,(Inputs!$B$3-100)*3)+Inputs!$B$28+Inputs!$B$29)))</f>
        <v/>
      </c>
      <c r="E1368">
        <f>INDEX(FactorTable!$B$2:$Y$301, MATCH(ROUND(MIN(300,MAX(1,D1368)),0), FactorTable!$A$2:$A$301,0), Skills!M10+1)</f>
        <v/>
      </c>
      <c r="F1368">
        <f>IF(Skills!N10=TRUE,(Skills!L10/10)*(E1368/1000),Skills!L10/10)+Skills!O10</f>
        <v/>
      </c>
      <c r="G1368">
        <f>Skills!G10*IF(Skills!H10&gt;0,Skills!I10/Skills!H10,1)</f>
        <v/>
      </c>
      <c r="H1368">
        <f>1-(1-Skills!J10/100)^Skills!K10</f>
        <v/>
      </c>
      <c r="I1368" t="inlineStr">
        <is>
          <t>1</t>
        </is>
      </c>
      <c r="J1368">
        <f>((Inputs!$B$6*(1+Inputs!$B$7/100))+(((Inputs!$B$12*(1+Inputs!$B$13/100))-(Inputs!$B$12*(1+Inputs!$B$13/100)))+0.25*(Inputs!$B$14-Inputs!$B$14))*(1+Inputs!$B$7/100))*(F1368/100)</f>
        <v/>
      </c>
      <c r="K1368">
        <f>J1368*(1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1368)</f>
        <v/>
      </c>
      <c r="L1368">
        <f>K1368*(MIN(Inputs!$B$22+((C1378=TRUE)*(F1378-Calc!F20)),(Inputs!$B$23+0+(IF(ArtifactsInput!$M$15,CHOOSE(ArtifactsInput!$N$15+1,25,30,35,40,45,50)/100*(Inputs!$B$11-Inputs!$B$11),0))))/100+(Inputs!$B$23+0+(IF(ArtifactsInput!$M$15,CHOOSE(ArtifactsInput!$N$15+1,25,30,35,40,45,50)/100*(Inputs!$B$11-Inputs!$B$11),0)))/100)/2</f>
        <v/>
      </c>
      <c r="M1368">
        <f>L1368*(1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8">
        <f>L1368*(1-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1368*(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8">
        <f>(1-Summary!$B$11)*T1368+Summary!$B$11*V1368</f>
        <v/>
      </c>
      <c r="P1368">
        <f>IF(B1394=0,0,O1368/B1394)</f>
        <v/>
      </c>
      <c r="Q1368">
        <f>IFERROR(1/(IF(Inputs!$B$38="pvp",15,MAX(0.1,Skills!D10-IF(Skills!E10=TRUE,Inputs!$B$32,0)))*(1-IF(AND(ArtifactsInput!$M$27,Inputs!$B$4="Chapter Hunt"),CHOOSE(ArtifactsInput!$N$27+1,20,24,28,32,36,40),0)/100)),0)</f>
        <v/>
      </c>
      <c r="R1368">
        <f>IF(AND(Inputs!$B$38&lt;&gt;"pvp",Inputs!$B$43&gt;0),IF(MAX(0,Inputs!$B$43-B1391)&lt;=0,0,(INT(MAX(0,Inputs!$B$43-B1391)/(IF(Inputs!$B$38="pvp",15,MAX(0.1,Skills!D10-IF(Skills!E10=TRUE,Inputs!$B$32,0)))*(1-IF(AND(ArtifactsInput!$M$27,Inputs!$B$4="Chapter Hunt"),CHOOSE(ArtifactsInput!$N$27+1,20,24,28,32,36,40),0)/100)))+1)),0)</f>
        <v/>
      </c>
      <c r="S1368">
        <f>IFERROR(O1368/N1368,0)</f>
        <v/>
      </c>
      <c r="T1368">
        <f>IF(C1368,(H1368*N1368*IF(AND(Inputs!$B$38&lt;&gt;"pvp",Inputs!$B$43&gt;0),((Skills!G10*((R1368-1)*IF(Skills!H10&gt;0,Skills!I10/Skills!H10,1)+IF(Skills!H10&gt;0,MIN(Skills!I10,MAX(0,MAX(0,Inputs!$B$43-B1391)-((R1368-1)*(IF(Inputs!$B$38="pvp",15,MAX(0.1,Skills!D10-IF(Skills!E10=TRUE,Inputs!$B$32,0)))*(1-IF(AND(ArtifactsInput!$M$27,Inputs!$B$4="Chapter Hunt"),CHOOSE(ArtifactsInput!$N$27+1,20,24,28,32,36,40),0)/100)))))/Skills!H10,1)))/Inputs!$B$43),G1368*Q1368)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1368*(1-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1368*(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1368*(1-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1368*(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8">
        <f>IF(C1368,(H1368*N1368*IF(AND(Inputs!$B$38&lt;&gt;"pvp",Inputs!$B$43&gt;0),((Skills!G10*((R1368-1)*IF(Skills!H10&gt;0,Skills!I10/Skills!H10,1)+IF(Skills!H10&gt;0,MIN(Skills!I10,MAX(0,MAX(0,Inputs!$B$43-B1391)-((R1368-1)*(IF(Inputs!$B$38="pvp",15,MAX(0.1,Skills!D10-IF(Skills!E10=TRUE,Inputs!$B$32,0)))*(1-IF(AND(ArtifactsInput!$M$27,Inputs!$B$4="Chapter Hunt"),CHOOSE(ArtifactsInput!$N$27+1,20,24,28,32,36,40),0)/100)))))/Skills!H10,1)))/Inputs!$B$43),G1368*Q1368))*IF(Inputs!$B$38="pvp",1,(1+(Inputs!$B$21+Skills!Q10+(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69">
      <c r="A1369">
        <f>Skills!A11</f>
        <v/>
      </c>
      <c r="B1369">
        <f>Skills!B11</f>
        <v/>
      </c>
      <c r="C1369">
        <f>Inputs!$B$3&gt;=113</f>
        <v/>
      </c>
      <c r="D1369">
        <f>IF(Skills!C11=1,60+Inputs!$B$25+Inputs!$B$29,IF(Skills!C11=2,90+Inputs!$B$26+Inputs!$B$29,IF(Skills!C11=3,120+Inputs!$B$27+Inputs!$B$29,MAX(0,(Inputs!$B$3-100)*3)+Inputs!$B$28+Inputs!$B$29)))</f>
        <v/>
      </c>
      <c r="E1369">
        <f>INDEX(FactorTable!$B$2:$Y$301, MATCH(ROUND(MIN(300,MAX(1,D1369)),0), FactorTable!$A$2:$A$301,0), Skills!M11+1)</f>
        <v/>
      </c>
      <c r="F1369">
        <f>IF(Skills!N11=TRUE,(Skills!L11/10)*(E1369/1000),Skills!L11/10)+Skills!O11</f>
        <v/>
      </c>
      <c r="G1369">
        <f>Skills!G11*IF(Skills!H11&gt;0,Skills!I11/Skills!H11,1)</f>
        <v/>
      </c>
      <c r="H1369">
        <f>1-(1-Skills!J11/100)^Skills!K11</f>
        <v/>
      </c>
      <c r="I1369" t="inlineStr">
        <is>
          <t>1</t>
        </is>
      </c>
      <c r="J1369">
        <f>((Inputs!$B$6*(1+Inputs!$B$7/100))+(((Inputs!$B$12*(1+Inputs!$B$13/100))-(Inputs!$B$12*(1+Inputs!$B$13/100)))+0.25*(Inputs!$B$14-Inputs!$B$14))*(1+Inputs!$B$7/100))*(F1369/100)</f>
        <v/>
      </c>
      <c r="K1369">
        <f>J1369*(1+((Inputs!$B$12*(1+Inputs!$B$13/100))*0.01+Inputs!$B$14*0.0025)/100)*(1+Inputs!$B$15/100)*(1+Inputs!$B$16/100)*(5000/(6000+Inputs!$B$42*(1-(100*(1-(1-(Inputs!$B$19+0)/100)*(1-CHOOSE(ArtifactsInput!$N$40+1,5,6,7,8,9,10)/100)^(ArtifactsInput!$M$40-ArtifactsInput!$M$40)))/100)))*(1+(Inputs!$B$24+((C1380=TRUE)*(F1380-Calc!F22))+B1390)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1379=TRUE)*(F1379-Calc!F21))+(((IF(AND(ArtifactsInput!$M$42,((Inputs!$B$9+((C1374=TRUE)*(F1374-Calc!F16))+B1384+(ArtifactsInput!$M$24-ArtifactsInput!$M$24)*CHOOSE(ArtifactsInput!$N$24+1,10,12,14,16,18,20)+IF(ArtifactsInput!$M$10,CHOOSE(ArtifactsInput!$N$10+1,15,18,21,24,27,30)*(IF(Inputs!$B$38="pvp",MIN(15,15)/15,IF(AND(Inputs!$B$38&lt;&gt;"pvp",Inputs!$B$43&gt;0),MIN(15,Inputs!$B$43)/(Inputs!$B$43),0))),0)))&gt;=100),MIN(100,((Inputs!$B$9+((C1374=TRUE)*(F1374-Calc!F16))+B1384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1374=TRUE)*(F1374-Calc!F16))+B1384+(ArtifactsInput!$M$24-ArtifactsInput!$M$24)*CHOOSE(ArtifactsInput!$N$24+1,10,12,14,16,18,20)+IF(ArtifactsInput!$M$10,CHOOSE(ArtifactsInput!$N$10+1,15,18,21,24,27,30)*(IF(Inputs!$B$38="pvp",MIN(15,15)/15,IF(AND(Inputs!$B$38&lt;&gt;"pvp",Inputs!$B$43&gt;0),MIN(15,Inputs!$B$43)/(Inputs!$B$43),0))),0)))&gt;=100),CHOOSE(ArtifactsInput!$N$42+1,40,48,56,64,72,80),0))))/100)*((1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1369)</f>
        <v/>
      </c>
      <c r="L1369">
        <f>K1369*(MIN(Inputs!$B$22+((C1378=TRUE)*(F1378-Calc!F20)),(Inputs!$B$23+0+(IF(ArtifactsInput!$M$15,CHOOSE(ArtifactsInput!$N$15+1,25,30,35,40,45,50)/100*(Inputs!$B$11-Inputs!$B$11),0))))/100+(Inputs!$B$23+0+(IF(ArtifactsInput!$M$15,CHOOSE(ArtifactsInput!$N$15+1,25,30,35,40,45,50)/100*(Inputs!$B$11-Inputs!$B$11),0)))/100)/2</f>
        <v/>
      </c>
      <c r="M1369">
        <f>L1369*(1+(Inputs!$B$10+0+B1389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69">
        <f>L1369*(1-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1369*(MIN((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69">
        <f>(1-Summary!$B$11)*T1369+Summary!$B$11*V1369</f>
        <v/>
      </c>
      <c r="P1369">
        <f>IF(B1394=0,0,O1369/B1394)</f>
        <v/>
      </c>
      <c r="Q1369">
        <f>IFERROR(1/(IF(Inputs!$B$38="pvp",15,MAX(0.1,Skills!D11-IF(Skills!E11=TRUE,Inputs!$B$32,0)))*(1-IF(AND(ArtifactsInput!$M$27,Inputs!$B$4="Chapter Hunt"),CHOOSE(ArtifactsInput!$N$27+1,20,24,28,32,36,40),0)/100)),0)</f>
        <v/>
      </c>
      <c r="R1369">
        <f>IF(AND(Inputs!$B$38&lt;&gt;"pvp",Inputs!$B$43&gt;0),IF(MAX(0,Inputs!$B$43-B1391)&lt;=0,0,(INT(MAX(0,Inputs!$B$43-B1391)/(IF(Inputs!$B$38="pvp",15,MAX(0.1,Skills!D11-IF(Skills!E11=TRUE,Inputs!$B$32,0)))*(1-IF(AND(ArtifactsInput!$M$27,Inputs!$B$4="Chapter Hunt"),CHOOSE(ArtifactsInput!$N$27+1,20,24,28,32,36,40),0)/100)))+1)),0)</f>
        <v/>
      </c>
      <c r="S1369">
        <f>IFERROR(O1369/N1369,0)</f>
        <v/>
      </c>
      <c r="T1369">
        <f>IF(C1369,(H1369*N1369*IF(AND(Inputs!$B$38&lt;&gt;"pvp",Inputs!$B$43&gt;0),((Skills!G11*((R1369-1)*IF(Skills!H11&gt;0,Skills!I11/Skills!H11,1)+IF(Skills!H11&gt;0,MIN(Skills!I11,MAX(0,MAX(0,Inputs!$B$43-B1391)-((R1369-1)*(IF(Inputs!$B$38="pvp",15,MAX(0.1,Skills!D11-IF(Skills!E11=TRUE,Inputs!$B$32,0)))*(1-IF(AND(ArtifactsInput!$M$27,Inputs!$B$4="Chapter Hunt"),CHOOSE(ArtifactsInput!$N$27+1,20,24,28,32,36,40),0)/100)))))/Skills!H11,1)))/Inputs!$B$43),G1369*Q1369)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1369*(1-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1369*(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1369*(1-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1369*(MIN(100,(Inputs!$B$9+((C1374=TRUE)*(F1374-Calc!F16))+B1384+(ArtifactsInput!$M$24-ArtifactsInput!$M$24)*CHOOSE(ArtifactsInput!$N$24+1,10,12,14,16,18,20)+(IF(AND(ArtifactsInput!$M$42,((Inputs!$B$9+((C1374=TRUE)*(F1374-Calc!F16))+B1384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69">
        <f>IF(C1369,(H1369*N1369*IF(AND(Inputs!$B$38&lt;&gt;"pvp",Inputs!$B$43&gt;0),((Skills!G11*((R1369-1)*IF(Skills!H11&gt;0,Skills!I11/Skills!H11,1)+IF(Skills!H11&gt;0,MIN(Skills!I11,MAX(0,MAX(0,Inputs!$B$43-B1391)-((R1369-1)*(IF(Inputs!$B$38="pvp",15,MAX(0.1,Skills!D11-IF(Skills!E11=TRUE,Inputs!$B$32,0)))*(1-IF(AND(ArtifactsInput!$M$27,Inputs!$B$4="Chapter Hunt"),CHOOSE(ArtifactsInput!$N$27+1,20,24,28,32,36,40),0)/100)))))/Skills!H11,1)))/Inputs!$B$43),G1369*Q1369))*IF(Inputs!$B$38="pvp",1,(1+(Inputs!$B$21+Skills!Q11+(IF(ArtifactsInput!$M$33,CHOOSE(ArtifactsInput!$N$33+1,30,36,42,48,54,60),0))+(IF(AND(ArtifactsInput!$M$35,Inputs!$B$4&lt;&gt;"Chapter Hunt"),CHOOSE(ArtifactsInput!$N$35+1,15,18,21,24,27,30)*(1-EXP(-(0.2*B1386)*5)),0)+IF(AND(ArtifactsInput!$M$22,Inputs!$B$4&lt;&gt;"Chapter Hunt"),CHOOSE(ArtifactsInput!$N$22+1,10,12,14,16,18,20)*((0*(((0.15*B1386*5))^0/1)+1*(((0.15*B1386*5))^1/1)+2*(((0.15*B1386*5))^2/2)+3*(((0.15*B1386*5))^3/6)+4*(((0.15*B1386*5))^4/24)+5*(((0.15*B1386*5))^5/120))/((((0.15*B1386*5))^0/1)+(((0.15*B1386*5))^1/1)+(((0.15*B1386*5))^2/2)+(((0.15*B1386*5))^3/6)+(((0.15*B1386*5))^4/24)+(((0.15*B1386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0">
      <c r="A1370">
        <f>Skills!A12</f>
        <v/>
      </c>
      <c r="B1370">
        <f>Skills!B12</f>
        <v/>
      </c>
      <c r="C1370">
        <f>Inputs!$B$3&gt;=100</f>
        <v/>
      </c>
      <c r="D1370">
        <f>IF(Skills!C12=1,60+Inputs!$B$25+Inputs!$B$29,IF(Skills!C12=2,90+Inputs!$B$26+Inputs!$B$29,IF(Skills!C12=3,120+Inputs!$B$27+Inputs!$B$29,MAX(0,(Inputs!$B$3-100)*3)+Inputs!$B$28+Inputs!$B$29)))</f>
        <v/>
      </c>
      <c r="E1370">
        <f>INDEX(FactorTable!$B$2:$Y$301, MATCH(ROUND(MIN(300,MAX(1,D1370)),0), FactorTable!$A$2:$A$301,0), Skills!M12+1)</f>
        <v/>
      </c>
      <c r="F1370">
        <f>IF(Skills!N12=TRUE,(Skills!L12/10)*(E1370/1000),Skills!L12/10)+Skills!O12</f>
        <v/>
      </c>
      <c r="G1370" t="inlineStr"/>
      <c r="H1370" t="inlineStr"/>
      <c r="I1370" t="inlineStr">
        <is>
          <t>1</t>
        </is>
      </c>
      <c r="J1370" t="inlineStr"/>
      <c r="K1370" t="inlineStr"/>
      <c r="L1370" t="inlineStr"/>
      <c r="M1370" t="inlineStr"/>
      <c r="N1370" t="inlineStr"/>
      <c r="O1370" t="inlineStr"/>
      <c r="P1370" t="inlineStr"/>
      <c r="Q1370" t="inlineStr"/>
      <c r="R1370" t="inlineStr"/>
      <c r="S1370" t="inlineStr"/>
      <c r="T1370" t="inlineStr"/>
      <c r="V1370" t="inlineStr"/>
    </row>
    <row r="1371">
      <c r="A1371">
        <f>Skills!A13</f>
        <v/>
      </c>
      <c r="B1371">
        <f>Skills!B13</f>
        <v/>
      </c>
      <c r="C1371">
        <f>Inputs!$B$3&gt;=66</f>
        <v/>
      </c>
      <c r="D1371">
        <f>IF(Skills!C13=1,60+Inputs!$B$25+Inputs!$B$29,IF(Skills!C13=2,90+Inputs!$B$26+Inputs!$B$29,IF(Skills!C13=3,120+Inputs!$B$27+Inputs!$B$29,MAX(0,(Inputs!$B$3-100)*3)+Inputs!$B$28+Inputs!$B$29)))</f>
        <v/>
      </c>
      <c r="E1371">
        <f>INDEX(FactorTable!$B$2:$Y$301, MATCH(ROUND(MIN(300,MAX(1,D1371)),0), FactorTable!$A$2:$A$301,0), Skills!M13+1)</f>
        <v/>
      </c>
      <c r="F1371">
        <f>IF(Skills!N13=TRUE,(Skills!L13/10)*(E1371/1000),Skills!L13/10)+Skills!O13</f>
        <v/>
      </c>
      <c r="G1371">
        <f>Skills!G13*IF(Skills!H13&gt;0,Skills!I13/Skills!H13,1)</f>
        <v/>
      </c>
      <c r="H1371">
        <f>1-(1-Skills!J13/100)^Skills!K13</f>
        <v/>
      </c>
      <c r="I1371" t="inlineStr">
        <is>
          <t>1</t>
        </is>
      </c>
      <c r="J1371" t="inlineStr"/>
      <c r="K1371" t="inlineStr"/>
      <c r="L1371" t="inlineStr"/>
      <c r="M1371" t="inlineStr"/>
      <c r="N1371" t="inlineStr"/>
      <c r="O1371">
        <f>(1-Summary!$B$11)*T1371+Summary!$B$11*V1371</f>
        <v/>
      </c>
      <c r="P1371">
        <f>IF(B1394=0,0,O1371/B1394)</f>
        <v/>
      </c>
      <c r="Q1371" t="n">
        <v>0</v>
      </c>
      <c r="R1371" t="n">
        <v>0</v>
      </c>
      <c r="S1371">
        <f>IFERROR(O1371/N1371,0)</f>
        <v/>
      </c>
      <c r="T1371" t="n">
        <v>0</v>
      </c>
      <c r="V1371" t="n">
        <v>0</v>
      </c>
    </row>
    <row r="1372">
      <c r="A1372">
        <f>Skills!A14</f>
        <v/>
      </c>
      <c r="B1372">
        <f>Skills!B14</f>
        <v/>
      </c>
      <c r="C1372">
        <f>Inputs!$B$3&gt;=107</f>
        <v/>
      </c>
      <c r="D1372">
        <f>IF(Skills!C14=1,60+Inputs!$B$25+Inputs!$B$29,IF(Skills!C14=2,90+Inputs!$B$26+Inputs!$B$29,IF(Skills!C14=3,120+Inputs!$B$27+Inputs!$B$29,MAX(0,(Inputs!$B$3-100)*3)+Inputs!$B$28+Inputs!$B$29)))</f>
        <v/>
      </c>
      <c r="E1372">
        <f>INDEX(FactorTable!$B$2:$Y$301, MATCH(ROUND(MIN(300,MAX(1,D1372)),0), FactorTable!$A$2:$A$301,0), Skills!M14+1)</f>
        <v/>
      </c>
      <c r="F1372">
        <f>IF(Skills!N14=TRUE,(Skills!L14/10)*(E1372/1000),Skills!L14/10)+Skills!O14</f>
        <v/>
      </c>
      <c r="G1372">
        <f>Skills!G14*IF(Skills!H14&gt;0,Skills!I14/Skills!H14,1)</f>
        <v/>
      </c>
      <c r="H1372">
        <f>1-(1-Skills!J14/100)^Skills!K14</f>
        <v/>
      </c>
      <c r="I1372" t="inlineStr">
        <is>
          <t>1</t>
        </is>
      </c>
      <c r="J1372" t="inlineStr"/>
      <c r="K1372" t="inlineStr"/>
      <c r="L1372" t="inlineStr"/>
      <c r="M1372" t="inlineStr"/>
      <c r="N1372" t="inlineStr"/>
      <c r="O1372">
        <f>(1-Summary!$B$11)*T1372+Summary!$B$11*V1372</f>
        <v/>
      </c>
      <c r="P1372">
        <f>IF(B1394=0,0,O1372/B1394)</f>
        <v/>
      </c>
      <c r="Q1372">
        <f>IFERROR(1/(IF(Inputs!$B$38="pvp",15,MAX(0.1,Skills!D14-IF(Skills!E14=TRUE,Inputs!$B$32,0)))*(1-IF(AND(ArtifactsInput!$M$27,Inputs!$B$4="Chapter Hunt"),CHOOSE(ArtifactsInput!$N$27+1,20,24,28,32,36,40),0)/100)),0)</f>
        <v/>
      </c>
      <c r="R1372">
        <f>IF(AND(Inputs!$B$38&lt;&gt;"pvp",Inputs!$B$43&gt;0),IF(Inputs!$B$43&lt;=0,0,(INT(Inputs!$B$43/(IF(Inputs!$B$38="pvp",15,MAX(0.1,Skills!D14-IF(Skills!E14=TRUE,Inputs!$B$32,0)))*(1-IF(AND(ArtifactsInput!$M$27,Inputs!$B$4="Chapter Hunt"),CHOOSE(ArtifactsInput!$N$27+1,20,24,28,32,36,40),0)/100)))+1)),0)</f>
        <v/>
      </c>
      <c r="S1372">
        <f>IFERROR(O1372/N1372,0)</f>
        <v/>
      </c>
      <c r="T1372" t="n">
        <v>0</v>
      </c>
      <c r="V1372" t="n">
        <v>0</v>
      </c>
    </row>
    <row r="1373">
      <c r="A1373">
        <f>Skills!A15</f>
        <v/>
      </c>
      <c r="B1373">
        <f>Skills!B15</f>
        <v/>
      </c>
      <c r="C1373">
        <f>Inputs!$B$3&gt;=115</f>
        <v/>
      </c>
      <c r="D1373">
        <f>IF(Skills!C15=1,60+Inputs!$B$25+Inputs!$B$29,IF(Skills!C15=2,90+Inputs!$B$26+Inputs!$B$29,IF(Skills!C15=3,120+Inputs!$B$27+Inputs!$B$29,MAX(0,(Inputs!$B$3-100)*3)+Inputs!$B$28+Inputs!$B$29)))</f>
        <v/>
      </c>
      <c r="E1373">
        <f>INDEX(FactorTable!$B$2:$Y$301, MATCH(ROUND(MIN(300,MAX(1,D1373)),0), FactorTable!$A$2:$A$301,0), Skills!M15+1)</f>
        <v/>
      </c>
      <c r="F1373">
        <f>IF(Skills!N15=TRUE,(Skills!L15/10)*(E1373/1000),Skills!L15/10)+Skills!O15</f>
        <v/>
      </c>
      <c r="G1373">
        <f>Skills!G15*IF(Skills!H15&gt;0,Skills!I15/Skills!H15,1)</f>
        <v/>
      </c>
      <c r="H1373">
        <f>1-(1-Skills!J15/100)^Skills!K15</f>
        <v/>
      </c>
      <c r="I1373" t="inlineStr">
        <is>
          <t>1</t>
        </is>
      </c>
      <c r="J1373" t="inlineStr"/>
      <c r="K1373" t="inlineStr"/>
      <c r="L1373" t="inlineStr"/>
      <c r="M1373" t="inlineStr"/>
      <c r="N1373" t="inlineStr"/>
      <c r="O1373">
        <f>(1-Summary!$B$11)*T1373+Summary!$B$11*V1373</f>
        <v/>
      </c>
      <c r="P1373">
        <f>IF(B1394=0,0,O1373/B1394)</f>
        <v/>
      </c>
      <c r="Q1373">
        <f>IFERROR(1/(IF(Inputs!$B$38="pvp",15,MAX(0.1,Skills!D15-IF(Skills!E15=TRUE,Inputs!$B$32,0)))*(1-IF(AND(ArtifactsInput!$M$27,Inputs!$B$4="Chapter Hunt"),CHOOSE(ArtifactsInput!$N$27+1,20,24,28,32,36,40),0)/100)),0)</f>
        <v/>
      </c>
      <c r="R1373">
        <f>IF(AND(Inputs!$B$38&lt;&gt;"pvp",Inputs!$B$43&gt;0),IF(Inputs!$B$43&lt;=0,0,(INT(Inputs!$B$43/(IF(Inputs!$B$38="pvp",15,MAX(0.1,Skills!D15-IF(Skills!E15=TRUE,Inputs!$B$32,0)))*(1-IF(AND(ArtifactsInput!$M$27,Inputs!$B$4="Chapter Hunt"),CHOOSE(ArtifactsInput!$N$27+1,20,24,28,32,36,40),0)/100)))+1)),0)</f>
        <v/>
      </c>
      <c r="S1373">
        <f>IFERROR(O1373/N1373,0)</f>
        <v/>
      </c>
      <c r="T1373" t="n">
        <v>0</v>
      </c>
      <c r="V1373" t="n">
        <v>0</v>
      </c>
    </row>
    <row r="1374">
      <c r="A1374">
        <f>Skills!A16</f>
        <v/>
      </c>
      <c r="B1374">
        <f>Skills!B16</f>
        <v/>
      </c>
      <c r="C1374">
        <f>Inputs!$B$3&gt;=15</f>
        <v/>
      </c>
      <c r="D1374">
        <f>IF(Skills!C16=1,60+Inputs!$B$25+Inputs!$B$29,IF(Skills!C16=2,90+Inputs!$B$26+Inputs!$B$29,IF(Skills!C16=3,120+Inputs!$B$27+Inputs!$B$29,MAX(0,(Inputs!$B$3-100)*3)+Inputs!$B$28+Inputs!$B$29)))</f>
        <v/>
      </c>
      <c r="E1374">
        <f>INDEX(FactorTable!$B$2:$Y$301, MATCH(ROUND(MIN(300,MAX(1,D1374)),0), FactorTable!$A$2:$A$301,0), Skills!M16+1)</f>
        <v/>
      </c>
      <c r="F1374">
        <f>IF(Skills!N16=TRUE,(Skills!L16/10)*(E1374/1000),Skills!L16/10)+Skills!O16</f>
        <v/>
      </c>
      <c r="G1374">
        <f>Skills!G16*IF(Skills!H16&gt;0,Skills!I16/Skills!H16,1)</f>
        <v/>
      </c>
      <c r="H1374">
        <f>1-(1-Skills!J16/100)^Skills!K16</f>
        <v/>
      </c>
      <c r="I1374" t="inlineStr">
        <is>
          <t>1</t>
        </is>
      </c>
      <c r="J1374" t="inlineStr"/>
      <c r="K1374" t="inlineStr"/>
      <c r="L1374" t="inlineStr"/>
      <c r="M1374" t="inlineStr"/>
      <c r="N1374" t="inlineStr"/>
      <c r="O1374">
        <f>(1-Summary!$B$11)*T1374+Summary!$B$11*V1374</f>
        <v/>
      </c>
      <c r="P1374">
        <f>IF(B1394=0,0,O1374/B1394)</f>
        <v/>
      </c>
      <c r="Q1374" t="n">
        <v>0</v>
      </c>
      <c r="R1374" t="n">
        <v>0</v>
      </c>
      <c r="S1374">
        <f>IFERROR(O1374/N1374,0)</f>
        <v/>
      </c>
      <c r="T1374" t="n">
        <v>0</v>
      </c>
      <c r="V1374" t="n">
        <v>0</v>
      </c>
    </row>
    <row r="1375">
      <c r="A1375">
        <f>Skills!A17</f>
        <v/>
      </c>
      <c r="B1375">
        <f>Skills!B17</f>
        <v/>
      </c>
      <c r="C1375">
        <f>Inputs!$B$3&gt;=10</f>
        <v/>
      </c>
      <c r="D1375">
        <f>IF(Skills!C17=1,60+Inputs!$B$25+Inputs!$B$29,IF(Skills!C17=2,90+Inputs!$B$26+Inputs!$B$29,IF(Skills!C17=3,120+Inputs!$B$27+Inputs!$B$29,MAX(0,(Inputs!$B$3-100)*3)+Inputs!$B$28+Inputs!$B$29)))</f>
        <v/>
      </c>
      <c r="E1375">
        <f>INDEX(FactorTable!$B$2:$Y$301, MATCH(ROUND(MIN(300,MAX(1,D1375)),0), FactorTable!$A$2:$A$301,0), Skills!M17+1)</f>
        <v/>
      </c>
      <c r="F1375">
        <f>IF(Skills!N17=TRUE,(Skills!L17/10)*(E1375/1000),Skills!L17/10)+Skills!O17</f>
        <v/>
      </c>
      <c r="G1375">
        <f>Skills!G17*IF(Skills!H17&gt;0,Skills!I17/Skills!H17,1)</f>
        <v/>
      </c>
      <c r="H1375">
        <f>1-(1-Skills!J17/100)^Skills!K17</f>
        <v/>
      </c>
      <c r="I1375" t="inlineStr">
        <is>
          <t>1</t>
        </is>
      </c>
      <c r="J1375" t="inlineStr"/>
      <c r="K1375" t="inlineStr"/>
      <c r="L1375" t="inlineStr"/>
      <c r="M1375" t="inlineStr"/>
      <c r="N1375" t="inlineStr"/>
      <c r="O1375">
        <f>(1-Summary!$B$11)*T1375+Summary!$B$11*V1375</f>
        <v/>
      </c>
      <c r="P1375">
        <f>IF(B1394=0,0,O1375/B1394)</f>
        <v/>
      </c>
      <c r="Q1375" t="n">
        <v>0</v>
      </c>
      <c r="R1375" t="n">
        <v>0</v>
      </c>
      <c r="S1375">
        <f>IFERROR(O1375/N1375,0)</f>
        <v/>
      </c>
      <c r="T1375" t="n">
        <v>0</v>
      </c>
      <c r="V1375" t="n">
        <v>0</v>
      </c>
    </row>
    <row r="1376">
      <c r="A1376">
        <f>Skills!A18</f>
        <v/>
      </c>
      <c r="B1376">
        <f>Skills!B18</f>
        <v/>
      </c>
      <c r="C1376">
        <f>Inputs!$B$3&gt;=33</f>
        <v/>
      </c>
      <c r="D1376">
        <f>IF(Skills!C18=1,60+Inputs!$B$25+Inputs!$B$29,IF(Skills!C18=2,90+Inputs!$B$26+Inputs!$B$29,IF(Skills!C18=3,120+Inputs!$B$27+Inputs!$B$29,MAX(0,(Inputs!$B$3-100)*3)+Inputs!$B$28+Inputs!$B$29)))</f>
        <v/>
      </c>
      <c r="E1376">
        <f>INDEX(FactorTable!$B$2:$Y$301, MATCH(ROUND(MIN(300,MAX(1,D1376)),0), FactorTable!$A$2:$A$301,0), Skills!M18+1)</f>
        <v/>
      </c>
      <c r="F1376">
        <f>IF(Skills!N18=TRUE,(Skills!L18/10)*(E1376/1000),Skills!L18/10)+Skills!O18</f>
        <v/>
      </c>
      <c r="G1376">
        <f>Skills!G18*IF(Skills!H18&gt;0,Skills!I18/Skills!H18,1)</f>
        <v/>
      </c>
      <c r="H1376">
        <f>1-(1-Skills!J18/100)^Skills!K18</f>
        <v/>
      </c>
      <c r="I1376" t="inlineStr">
        <is>
          <t>1</t>
        </is>
      </c>
      <c r="J1376" t="inlineStr"/>
      <c r="K1376" t="inlineStr"/>
      <c r="L1376" t="inlineStr"/>
      <c r="M1376" t="inlineStr"/>
      <c r="N1376" t="inlineStr"/>
      <c r="O1376">
        <f>(1-Summary!$B$11)*T1376+Summary!$B$11*V1376</f>
        <v/>
      </c>
      <c r="P1376">
        <f>IF(B1394=0,0,O1376/B1394)</f>
        <v/>
      </c>
      <c r="Q1376" t="n">
        <v>0</v>
      </c>
      <c r="R1376" t="n">
        <v>0</v>
      </c>
      <c r="S1376">
        <f>IFERROR(O1376/N1376,0)</f>
        <v/>
      </c>
      <c r="T1376" t="n">
        <v>0</v>
      </c>
      <c r="V1376" t="n">
        <v>0</v>
      </c>
    </row>
    <row r="1377">
      <c r="A1377">
        <f>Skills!A19</f>
        <v/>
      </c>
      <c r="B1377">
        <f>Skills!B19</f>
        <v/>
      </c>
      <c r="C1377">
        <f>Inputs!$B$3&gt;=40</f>
        <v/>
      </c>
      <c r="D1377">
        <f>IF(Skills!C19=1,60+Inputs!$B$25+Inputs!$B$29,IF(Skills!C19=2,90+Inputs!$B$26+Inputs!$B$29,IF(Skills!C19=3,120+Inputs!$B$27+Inputs!$B$29,MAX(0,(Inputs!$B$3-100)*3)+Inputs!$B$28+Inputs!$B$29)))</f>
        <v/>
      </c>
      <c r="E1377">
        <f>INDEX(FactorTable!$B$2:$Y$301, MATCH(ROUND(MIN(300,MAX(1,D1377)),0), FactorTable!$A$2:$A$301,0), Skills!M19+1)</f>
        <v/>
      </c>
      <c r="F1377">
        <f>IF(Skills!N19=TRUE,(Skills!L19/10)*(E1377/1000),Skills!L19/10)+Skills!O19</f>
        <v/>
      </c>
      <c r="G1377">
        <f>Skills!G19*IF(Skills!H19&gt;0,Skills!I19/Skills!H19,1)</f>
        <v/>
      </c>
      <c r="H1377">
        <f>1-(1-Skills!J19/100)^Skills!K19</f>
        <v/>
      </c>
      <c r="I1377" t="inlineStr">
        <is>
          <t>1</t>
        </is>
      </c>
      <c r="J1377" t="inlineStr"/>
      <c r="K1377" t="inlineStr"/>
      <c r="L1377" t="inlineStr"/>
      <c r="M1377" t="inlineStr"/>
      <c r="N1377" t="inlineStr"/>
      <c r="O1377">
        <f>(1-Summary!$B$11)*T1377+Summary!$B$11*V1377</f>
        <v/>
      </c>
      <c r="P1377">
        <f>IF(B1394=0,0,O1377/B1394)</f>
        <v/>
      </c>
      <c r="Q1377" t="n">
        <v>0</v>
      </c>
      <c r="R1377" t="n">
        <v>0</v>
      </c>
      <c r="S1377">
        <f>IFERROR(O1377/N1377,0)</f>
        <v/>
      </c>
      <c r="T1377" t="n">
        <v>0</v>
      </c>
      <c r="V1377" t="n">
        <v>0</v>
      </c>
    </row>
    <row r="1378">
      <c r="A1378">
        <f>Skills!A20</f>
        <v/>
      </c>
      <c r="B1378">
        <f>Skills!B20</f>
        <v/>
      </c>
      <c r="C1378">
        <f>Inputs!$B$3&gt;=43</f>
        <v/>
      </c>
      <c r="D1378">
        <f>IF(Skills!C20=1,60+Inputs!$B$25+Inputs!$B$29,IF(Skills!C20=2,90+Inputs!$B$26+Inputs!$B$29,IF(Skills!C20=3,120+Inputs!$B$27+Inputs!$B$29,MAX(0,(Inputs!$B$3-100)*3)+Inputs!$B$28+Inputs!$B$29)))</f>
        <v/>
      </c>
      <c r="E1378">
        <f>INDEX(FactorTable!$B$2:$Y$301, MATCH(ROUND(MIN(300,MAX(1,D1378)),0), FactorTable!$A$2:$A$301,0), Skills!M20+1)</f>
        <v/>
      </c>
      <c r="F1378">
        <f>IF(Skills!N20=TRUE,(Skills!L20/10)*(E1378/1000),Skills!L20/10)+Skills!O20</f>
        <v/>
      </c>
      <c r="G1378">
        <f>Skills!G20*IF(Skills!H20&gt;0,Skills!I20/Skills!H20,1)</f>
        <v/>
      </c>
      <c r="H1378">
        <f>1-(1-Skills!J20/100)^Skills!K20</f>
        <v/>
      </c>
      <c r="I1378" t="inlineStr">
        <is>
          <t>1</t>
        </is>
      </c>
      <c r="J1378" t="inlineStr"/>
      <c r="K1378" t="inlineStr"/>
      <c r="L1378" t="inlineStr"/>
      <c r="M1378" t="inlineStr"/>
      <c r="N1378" t="inlineStr"/>
      <c r="O1378">
        <f>(1-Summary!$B$11)*T1378+Summary!$B$11*V1378</f>
        <v/>
      </c>
      <c r="P1378">
        <f>IF(B1394=0,0,O1378/B1394)</f>
        <v/>
      </c>
      <c r="Q1378" t="n">
        <v>0</v>
      </c>
      <c r="R1378" t="n">
        <v>0</v>
      </c>
      <c r="S1378">
        <f>IFERROR(O1378/N1378,0)</f>
        <v/>
      </c>
      <c r="T1378" t="n">
        <v>0</v>
      </c>
      <c r="V1378" t="n">
        <v>0</v>
      </c>
    </row>
    <row r="1379">
      <c r="A1379">
        <f>Skills!A21</f>
        <v/>
      </c>
      <c r="B1379">
        <f>Skills!B21</f>
        <v/>
      </c>
      <c r="C1379">
        <f>Inputs!$B$3&gt;=38</f>
        <v/>
      </c>
      <c r="D1379">
        <f>IF(Skills!C21=1,60+Inputs!$B$25+Inputs!$B$29,IF(Skills!C21=2,90+Inputs!$B$26+Inputs!$B$29,IF(Skills!C21=3,120+Inputs!$B$27+Inputs!$B$29,MAX(0,(Inputs!$B$3-100)*3)+Inputs!$B$28+Inputs!$B$29)))</f>
        <v/>
      </c>
      <c r="E1379">
        <f>INDEX(FactorTable!$B$2:$Y$301, MATCH(ROUND(MIN(300,MAX(1,D1379)),0), FactorTable!$A$2:$A$301,0), Skills!M21+1)</f>
        <v/>
      </c>
      <c r="F1379">
        <f>IF(Skills!N21=TRUE,(Skills!L21/10)*(E1379/1000),Skills!L21/10)+Skills!O21</f>
        <v/>
      </c>
      <c r="G1379">
        <f>Skills!G21*IF(Skills!H21&gt;0,Skills!I21/Skills!H21,1)</f>
        <v/>
      </c>
      <c r="H1379">
        <f>1-(1-Skills!J21/100)^Skills!K21</f>
        <v/>
      </c>
      <c r="I1379" t="inlineStr">
        <is>
          <t>1</t>
        </is>
      </c>
      <c r="J1379" t="inlineStr"/>
      <c r="K1379" t="inlineStr"/>
      <c r="L1379" t="inlineStr"/>
      <c r="M1379" t="inlineStr"/>
      <c r="N1379" t="inlineStr"/>
      <c r="O1379">
        <f>(1-Summary!$B$11)*T1379+Summary!$B$11*V1379</f>
        <v/>
      </c>
      <c r="P1379">
        <f>IF(B1394=0,0,O1379/B1394)</f>
        <v/>
      </c>
      <c r="Q1379" t="n">
        <v>0</v>
      </c>
      <c r="R1379" t="n">
        <v>0</v>
      </c>
      <c r="S1379">
        <f>IFERROR(O1379/N1379,0)</f>
        <v/>
      </c>
      <c r="T1379" t="n">
        <v>0</v>
      </c>
      <c r="V1379" t="n">
        <v>0</v>
      </c>
    </row>
    <row r="1380">
      <c r="A1380">
        <f>Skills!A22</f>
        <v/>
      </c>
      <c r="B1380">
        <f>Skills!B22</f>
        <v/>
      </c>
      <c r="C1380">
        <f>Inputs!$B$3&gt;=75</f>
        <v/>
      </c>
      <c r="D1380">
        <f>IF(Skills!C22=1,60+Inputs!$B$25+Inputs!$B$29,IF(Skills!C22=2,90+Inputs!$B$26+Inputs!$B$29,IF(Skills!C22=3,120+Inputs!$B$27+Inputs!$B$29,MAX(0,(Inputs!$B$3-100)*3)+Inputs!$B$28+Inputs!$B$29)))</f>
        <v/>
      </c>
      <c r="E1380">
        <f>INDEX(FactorTable!$B$2:$Y$301, MATCH(ROUND(MIN(300,MAX(1,D1380)),0), FactorTable!$A$2:$A$301,0), Skills!M22+1)</f>
        <v/>
      </c>
      <c r="F1380">
        <f>IF(Skills!N22=TRUE,(Skills!L22/10)*(E1380/1000),Skills!L22/10)+Skills!O22</f>
        <v/>
      </c>
      <c r="G1380">
        <f>Skills!G22*IF(Skills!H22&gt;0,Skills!I22/Skills!H22,1)</f>
        <v/>
      </c>
      <c r="H1380">
        <f>1-(1-Skills!J22/100)^Skills!K22</f>
        <v/>
      </c>
      <c r="I1380" t="inlineStr">
        <is>
          <t>1</t>
        </is>
      </c>
      <c r="J1380" t="inlineStr"/>
      <c r="K1380" t="inlineStr"/>
      <c r="L1380" t="inlineStr"/>
      <c r="M1380" t="inlineStr"/>
      <c r="N1380" t="inlineStr"/>
      <c r="O1380">
        <f>(1-Summary!$B$11)*T1380+Summary!$B$11*V1380</f>
        <v/>
      </c>
      <c r="P1380">
        <f>IF(B1394=0,0,O1380/B1394)</f>
        <v/>
      </c>
      <c r="Q1380" t="n">
        <v>0</v>
      </c>
      <c r="R1380" t="n">
        <v>0</v>
      </c>
      <c r="S1380">
        <f>IFERROR(O1380/N1380,0)</f>
        <v/>
      </c>
      <c r="T1380" t="n">
        <v>0</v>
      </c>
      <c r="V1380" t="n">
        <v>0</v>
      </c>
    </row>
    <row r="1381">
      <c r="A1381">
        <f>Skills!A23</f>
        <v/>
      </c>
      <c r="B1381">
        <f>Skills!B23</f>
        <v/>
      </c>
      <c r="C1381">
        <f>TRUE</f>
        <v/>
      </c>
      <c r="D1381">
        <f>IF(Skills!C23=1,60+Inputs!$B$25+Inputs!$B$29,IF(Skills!C23=2,90+Inputs!$B$26+Inputs!$B$29,IF(Skills!C23=3,120+Inputs!$B$27+Inputs!$B$29,MAX(0,(Inputs!$B$3-100)*3)+Inputs!$B$28+Inputs!$B$29)))</f>
        <v/>
      </c>
      <c r="E1381">
        <f>INDEX(FactorTable!$B$2:$Y$301, MATCH(ROUND(MIN(300,MAX(1,D1381)),0), FactorTable!$A$2:$A$301,0), Skills!M23+1)</f>
        <v/>
      </c>
      <c r="F1381">
        <f>IF(Skills!N23=TRUE,(Skills!L23/10)*(E1381/1000),Skills!L23/10)+Skills!O23</f>
        <v/>
      </c>
      <c r="G1381">
        <f>Skills!G23*IF(Skills!H23&gt;0,Skills!I23/Skills!H23,1)</f>
        <v/>
      </c>
      <c r="H1381">
        <f>1-(1-Skills!J23/100)^Skills!K23</f>
        <v/>
      </c>
      <c r="I1381" t="inlineStr">
        <is>
          <t>1</t>
        </is>
      </c>
      <c r="J1381" t="inlineStr"/>
      <c r="K1381" t="inlineStr"/>
      <c r="L1381" t="inlineStr"/>
      <c r="M1381" t="inlineStr"/>
      <c r="N1381" t="inlineStr"/>
      <c r="O1381">
        <f>(1-Summary!$B$11)*T1381+Summary!$B$11*V1381</f>
        <v/>
      </c>
      <c r="P1381">
        <f>IF(B1394=0,0,O1381/B1394)</f>
        <v/>
      </c>
      <c r="Q1381">
        <f>IFERROR(1/(IF(Inputs!$B$38="pvp",15,MAX(0.1,Skills!D23-IF(Skills!E23=TRUE,Inputs!$B$32,0)))*(1-IF(AND(ArtifactsInput!$M$27,Inputs!$B$4="Chapter Hunt"),CHOOSE(ArtifactsInput!$N$27+1,20,24,28,32,36,40),0)/100)),0)</f>
        <v/>
      </c>
      <c r="R1381">
        <f>IF(AND(Inputs!$B$38&lt;&gt;"pvp",Inputs!$B$43&gt;0),IF(Inputs!$B$43&lt;=0,0,(INT(Inputs!$B$43/(IF(Inputs!$B$38="pvp",15,MAX(0.1,Skills!D23-IF(Skills!E23=TRUE,Inputs!$B$32,0)))*(1-IF(AND(ArtifactsInput!$M$27,Inputs!$B$4="Chapter Hunt"),CHOOSE(ArtifactsInput!$N$27+1,20,24,28,32,36,40),0)/100)))+1)),0)</f>
        <v/>
      </c>
      <c r="S1381">
        <f>IFERROR(O1381/N1381,0)</f>
        <v/>
      </c>
      <c r="T1381" t="n">
        <v>0</v>
      </c>
      <c r="V1381" t="n">
        <v>0</v>
      </c>
    </row>
    <row r="1383">
      <c r="A1383" t="inlineStr">
        <is>
          <t>Attack% Bucket Multiplier</t>
        </is>
      </c>
      <c r="B1383">
        <f>(1+(((C1371=TRUE)*F1371*5/7)+((C1377=TRUE)*(F1377-Calc!F19))+(IF(ArtifactsInput!$M$21,CHOOSE(ArtifactsInput!$N$21+1,25,30,35,40,45,50)*(IF(OR(Inputs!$B$4="Chapter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84">
      <c r="A1384" t="inlineStr">
        <is>
          <t>Global Crit Rate Bonus %</t>
        </is>
      </c>
      <c r="B1384" t="n">
        <v>0</v>
      </c>
    </row>
    <row r="1385">
      <c r="A1385" t="inlineStr">
        <is>
          <t>Attack Speed Buff Bonus % (Nimble Feet, duty-cycle averaged)</t>
        </is>
      </c>
      <c r="B1385">
        <f>((C1381=TRUE)*F1381*IF(AND(Inputs!$B$38&lt;&gt;"pvp",Inputs!$B$43&gt;0),(((R1381-1)*(Skills!T23*(1+Inputs!$B$34/100))+MIN((Skills!T23*(1+Inputs!$B$34/100)),MAX(0,Inputs!$B$43-((R1381-1)*Skills!D23))))/Inputs!$B$43),IF(Inputs!$B$38="pvp",MIN((Skills!T23*(1+Inputs!$B$34/100)),15)/15,(Skills!T23*(1+Inputs!$B$34/100))/Skills!D23)))</f>
        <v/>
      </c>
    </row>
    <row r="1386">
      <c r="A1386" t="inlineStr">
        <is>
          <t>Actions Per Second</t>
        </is>
      </c>
      <c r="B1386">
        <f>1+MIN(150,150*(1-(1-(Inputs!$B$11+((C1375=TRUE)*(F1375-Calc!F17))+((C1376=TRUE)*(F1376-Calc!F18)))/150)*(1-B1385/150)))/100</f>
        <v/>
      </c>
    </row>
    <row r="1387">
      <c r="A1387" t="inlineStr">
        <is>
          <t>Skill + Buff Cast Rate</t>
        </is>
      </c>
      <c r="B1387">
        <f>IF(AND(Inputs!$B$38&lt;&gt;"pvp",Inputs!$B$43&gt;0),SUMPRODUCT((Skills!E2:E23=TRUE)*(C1360:C1381=TRUE)*R1360:R1381*Skills!F2:F23)/Inputs!$B$43,SUMPRODUCT((Skills!E2:E23=TRUE)*(C1360:C1381=TRUE)*Q1360:Q1381*Skills!F2:F23))</f>
        <v/>
      </c>
    </row>
    <row r="1388">
      <c r="A1388" t="inlineStr">
        <is>
          <t>Hook Bomber Casts Per Second</t>
        </is>
      </c>
      <c r="B1388">
        <f>MAX(0,B1386-B1387)</f>
        <v/>
      </c>
    </row>
    <row r="1389">
      <c r="A1389" t="inlineStr">
        <is>
          <t>Global Critical Damage Bonus % (unused)</t>
        </is>
      </c>
      <c r="B1389" t="n">
        <v>0</v>
      </c>
    </row>
    <row r="1390">
      <c r="A1390" t="inlineStr">
        <is>
          <t>Global Final Damage Bonus % (Serpent Scale + Crossbones + Time Leap + Speed Infusion)</t>
        </is>
      </c>
      <c r="B1390">
        <f>((C1363=TRUE)*F1363*((10+IF(Inputs!$B$3&gt;=94,5,0))/((10+IF(Inputs!$B$3&gt;=94,5,0))+5/(B1388*(1+IF(Inputs!$B$3&gt;=104,1,0))))))+((C1372=TRUE)*F1372*IF(AND(Inputs!$B$38&lt;&gt;"pvp",Inputs!$B$43&gt;0),(((R1372-1)*(Skills!T14*(1+Inputs!$B$34/100))+MIN((Skills!T14*(1+Inputs!$B$34/100)),MAX(0,Inputs!$B$43-((R1372-1)*Skills!D14))))/Inputs!$B$43),IF(Inputs!$B$38="pvp",MIN((Skills!T14*(1+Inputs!$B$34/100)),15)/15,(Skills!T14*(1+Inputs!$B$34/100))/Skills!D14)))+((C1373=TRUE)*F1373*IF(AND(Inputs!$B$38&lt;&gt;"pvp",Inputs!$B$43&gt;0),(((R1373-1)*(Skills!T15*(1+Inputs!$B$34/100))+MIN((Skills!T15*(1+Inputs!$B$34/100)),MAX(0,Inputs!$B$43-((R1373-1)*Skills!D15))))/Inputs!$B$43),IF(Inputs!$B$38="pvp",MIN((Skills!T15*(1+Inputs!$B$34/100)),15)/15,(Skills!T15*(1+Inputs!$B$34/100))/Skills!D15)))+((Inputs!$B$3&gt;=110)*20*(B1386-1)*IF(Inputs!$B$38="pvp",MIN((15*(1+Inputs!$B$34/100)),15)/15,(15*(1+Inputs!$B$34/100))/35))</f>
        <v/>
      </c>
    </row>
    <row r="1391">
      <c r="A1391" t="inlineStr">
        <is>
          <t>Buff-Casting Startup Delay (s, fixed-duration only)</t>
        </is>
      </c>
      <c r="B1391">
        <f>IF(AND(Inputs!$B$38&lt;&gt;"pvp",Inputs!$B$43&gt;0),SUMPRODUCT((Skills!T2:T23&gt;0)*(Skills!E2:E23=TRUE)*(C1360:C1381=TRUE))/B1386,0)</f>
        <v/>
      </c>
    </row>
    <row r="1392">
      <c r="A1392" t="inlineStr">
        <is>
          <t>Boss-Only Total DPS (this block's swept value)</t>
        </is>
      </c>
      <c r="B1392">
        <f>SUM(T1360:T1381)</f>
        <v/>
      </c>
    </row>
    <row r="1393">
      <c r="A1393" t="inlineStr">
        <is>
          <t>Normal-Only Total DPS (this block's swept value)</t>
        </is>
      </c>
      <c r="B1393">
        <f>SUM(V1360:V1381)</f>
        <v/>
      </c>
    </row>
    <row r="1394">
      <c r="A1394" s="6" t="inlineStr">
        <is>
          <t>TOTAL DPS</t>
        </is>
      </c>
      <c r="B1394" s="6">
        <f>SUM(O1360:O1381)</f>
        <v/>
      </c>
    </row>
    <row r="1397">
      <c r="A1397" s="6" t="inlineStr">
        <is>
          <t>Stat: Clear Spring Water (Equip)</t>
        </is>
      </c>
    </row>
    <row r="1398">
      <c r="A1398" s="5" t="inlineStr">
        <is>
          <t>Key</t>
        </is>
      </c>
      <c r="B1398" s="5" t="inlineStr">
        <is>
          <t>Name</t>
        </is>
      </c>
      <c r="C1398" s="5" t="inlineStr">
        <is>
          <t>Unlocked</t>
        </is>
      </c>
      <c r="D1398" s="5" t="inlineStr">
        <is>
          <t>InputLevel</t>
        </is>
      </c>
      <c r="E1398" s="5" t="inlineStr">
        <is>
          <t>Factor</t>
        </is>
      </c>
      <c r="F1398" s="5" t="inlineStr">
        <is>
          <t>CoefficientPercent</t>
        </is>
      </c>
      <c r="G1398" s="5" t="inlineStr">
        <is>
          <t>EffectiveHits</t>
        </is>
      </c>
      <c r="H1398" s="5" t="inlineStr">
        <is>
          <t>ProcProbability</t>
        </is>
      </c>
      <c r="I1398" s="5" t="inlineStr">
        <is>
          <t>MapleHeroMultiplier</t>
        </is>
      </c>
      <c r="J1398" s="5" t="inlineStr">
        <is>
          <t>BaseDamage</t>
        </is>
      </c>
      <c r="K1398" s="5" t="inlineStr">
        <is>
          <t>BaseHitDamage</t>
        </is>
      </c>
      <c r="L1398" s="5" t="inlineStr">
        <is>
          <t>NonCritAvg</t>
        </is>
      </c>
      <c r="M1398" s="5" t="inlineStr">
        <is>
          <t>CritAvg</t>
        </is>
      </c>
      <c r="N1398" s="5" t="inlineStr">
        <is>
          <t>ExpectedDamage(perHit)</t>
        </is>
      </c>
      <c r="O1398" s="5" t="inlineStr">
        <is>
          <t>DPS</t>
        </is>
      </c>
      <c r="P1398" s="5" t="inlineStr">
        <is>
          <t>% of Total</t>
        </is>
      </c>
      <c r="Q1398" s="5" t="inlineStr">
        <is>
          <t>InvCooldown</t>
        </is>
      </c>
      <c r="R1398" s="5" t="inlineStr">
        <is>
          <t>CastsInFight</t>
        </is>
      </c>
      <c r="S1398" s="5" t="inlineStr">
        <is>
          <t>HitRate(perSec)</t>
        </is>
      </c>
      <c r="U1398" t="inlineStr">
        <is>
          <t>helpers</t>
        </is>
      </c>
    </row>
    <row r="1399">
      <c r="A1399">
        <f>Skills!A2</f>
        <v/>
      </c>
      <c r="B1399">
        <f>Skills!B2</f>
        <v/>
      </c>
      <c r="C1399">
        <f>Inputs!$B$3&gt;=100</f>
        <v/>
      </c>
      <c r="D1399" t="inlineStr"/>
      <c r="E1399" t="inlineStr"/>
      <c r="F1399">
        <f>U1401+Skills!O2</f>
        <v/>
      </c>
      <c r="G1399">
        <f>Skills!G2*IF(Skills!H2&gt;0,Skills!I2/Skills!H2,1)</f>
        <v/>
      </c>
      <c r="H1399">
        <f>1-(1-Skills!J2/100)^Skills!K2</f>
        <v/>
      </c>
      <c r="I1399" t="inlineStr">
        <is>
          <t>1</t>
        </is>
      </c>
      <c r="J1399">
        <f>((Inputs!$B$6*(1+Inputs!$B$7/100))+(((Inputs!$B$12*(1+Inputs!$B$13/100))-(Inputs!$B$12*(1+Inputs!$B$13/100)))+0.25*(Inputs!$B$14-Inputs!$B$14))*(1+Inputs!$B$7/100))*(F1399/100)</f>
        <v/>
      </c>
      <c r="K1399">
        <f>J1399*(1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1399)</f>
        <v/>
      </c>
      <c r="L1399">
        <f>K1399*(MIN(Inputs!$B$22+((C1417=TRUE)*(F1417-Calc!F20)),(Inputs!$B$23+0+(IF(ArtifactsInput!$M$15,CHOOSE(ArtifactsInput!$N$15+1,25,30,35,40,45,50)/100*(Inputs!$B$11-Inputs!$B$11),0))))/100+(Inputs!$B$23+0+(IF(ArtifactsInput!$M$15,CHOOSE(ArtifactsInput!$N$15+1,25,30,35,40,45,50)/100*(Inputs!$B$11-Inputs!$B$11),0)))/100)/2</f>
        <v/>
      </c>
      <c r="M1399">
        <f>L1399*(1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99">
        <f>L1399*(1-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1399*(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99">
        <f>(1-Summary!$B$11)*T1399+Summary!$B$11*V1399</f>
        <v/>
      </c>
      <c r="P1399">
        <f>IF(B1433=0,0,O1399/B1433)</f>
        <v/>
      </c>
      <c r="Q1399" t="n">
        <v>0</v>
      </c>
      <c r="R1399" t="n">
        <v>0</v>
      </c>
      <c r="S1399">
        <f>IFERROR(O1399/N1399,0)</f>
        <v/>
      </c>
      <c r="T1399">
        <f>IF(C1399,(Skills!G2*N1399*B1427)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1399*(1-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1399*(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1399*(1-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1399*(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99">
        <f>MAX(0,(Inputs!$B$3-100)*3)+Inputs!$B$28+Inputs!$B$29</f>
        <v/>
      </c>
      <c r="V1399">
        <f>IF(C1399,(Skills!G2*N1399*B1427)*IF(Inputs!$B$38="pvp",1,(1+(Inputs!$B$21+Skills!Q2+(IF(ArtifactsInput!$M$33,CHOOSE(ArtifactsInput!$N$33+1,30,36,42,48,54,60),0))+(IF(AND(ArtifactsInput!$M$35,Inputs!$B$4&lt;&gt;"Chapter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0">
      <c r="A1400">
        <f>Skills!A3</f>
        <v/>
      </c>
      <c r="B1400">
        <f>Skills!B3</f>
        <v/>
      </c>
      <c r="C1400">
        <f>Inputs!$B$3&gt;=35</f>
        <v/>
      </c>
      <c r="D1400">
        <f>IF(Skills!C3=1,60+Inputs!$B$25+Inputs!$B$29,IF(Skills!C3=2,90+Inputs!$B$26+Inputs!$B$29,IF(Skills!C3=3,120+Inputs!$B$27+Inputs!$B$29,MAX(0,(Inputs!$B$3-100)*3)+Inputs!$B$28+Inputs!$B$29)))</f>
        <v/>
      </c>
      <c r="E1400">
        <f>INDEX(FactorTable!$B$2:$Y$301, MATCH(ROUND(MIN(300,MAX(1,D1400)),0), FactorTable!$A$2:$A$301,0), Skills!M3+1)</f>
        <v/>
      </c>
      <c r="F1400">
        <f>IF(Skills!N3=TRUE,(Skills!L3/10)*(E1400/1000),Skills!L3/10)+Skills!O3</f>
        <v/>
      </c>
      <c r="G1400">
        <f>Skills!G3*IF(Skills!H3&gt;0,Skills!I3/Skills!H3,1)</f>
        <v/>
      </c>
      <c r="H1400">
        <f>1-(1-Skills!J3/100)^Skills!K3</f>
        <v/>
      </c>
      <c r="I1400" t="inlineStr">
        <is>
          <t>1</t>
        </is>
      </c>
      <c r="J1400">
        <f>((Inputs!$B$6*(1+Inputs!$B$7/100))+(((Inputs!$B$12*(1+Inputs!$B$13/100))-(Inputs!$B$12*(1+Inputs!$B$13/100)))+0.25*(Inputs!$B$14-Inputs!$B$14))*(1+Inputs!$B$7/100))*(F1400/100)</f>
        <v/>
      </c>
      <c r="K1400">
        <f>J1400*(1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1400)</f>
        <v/>
      </c>
      <c r="L1400">
        <f>K1400*(MIN(Inputs!$B$22+((C1417=TRUE)*(F1417-Calc!F20)),(Inputs!$B$23+0+(IF(ArtifactsInput!$M$15,CHOOSE(ArtifactsInput!$N$15+1,25,30,35,40,45,50)/100*(Inputs!$B$11-Inputs!$B$11),0))))/100+(Inputs!$B$23+0+(IF(ArtifactsInput!$M$15,CHOOSE(ArtifactsInput!$N$15+1,25,30,35,40,45,50)/100*(Inputs!$B$11-Inputs!$B$11),0)))/100)/2</f>
        <v/>
      </c>
      <c r="M1400">
        <f>L1400*(1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0">
        <f>L1400*(1-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1400*(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0">
        <f>(1-Summary!$B$11)*T1400+Summary!$B$11*V1400</f>
        <v/>
      </c>
      <c r="P1400">
        <f>IF(B1433=0,0,O1400/B1433)</f>
        <v/>
      </c>
      <c r="Q1400" t="n">
        <v>0</v>
      </c>
      <c r="R1400" t="n">
        <v>0</v>
      </c>
      <c r="S1400">
        <f>IFERROR(O1400/N1400,0)</f>
        <v/>
      </c>
      <c r="T1400">
        <f>IF(C1400,(Skills!G3*H1400*N1400*B1427)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1400*(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1400*(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0">
        <f>INDEX(FactorTable!$B$2:$Y$301, MATCH(ROUND(MIN(300,MAX(1,U1399)),0), FactorTable!$A$2:$A$301,0), 22)</f>
        <v/>
      </c>
      <c r="V1400">
        <f>IF(C1400,(Skills!G3*H1400*N1400*B1427)*IF(Inputs!$B$38="pvp",1,(1+(Inputs!$B$21+Skills!Q3+(IF(ArtifactsInput!$M$33,CHOOSE(ArtifactsInput!$N$33+1,30,36,42,48,54,60),0))+(IF(AND(ArtifactsInput!$M$35,Inputs!$B$4&lt;&gt;"Chapter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1">
      <c r="A1401">
        <f>Skills!A4</f>
        <v/>
      </c>
      <c r="B1401">
        <f>Skills!B4</f>
        <v/>
      </c>
      <c r="C1401">
        <f>Inputs!$B$3&gt;=60</f>
        <v/>
      </c>
      <c r="D1401">
        <f>IF(Skills!C4=1,60+Inputs!$B$25+Inputs!$B$29,IF(Skills!C4=2,90+Inputs!$B$26+Inputs!$B$29,IF(Skills!C4=3,120+Inputs!$B$27+Inputs!$B$29,MAX(0,(Inputs!$B$3-100)*3)+Inputs!$B$28+Inputs!$B$29)))</f>
        <v/>
      </c>
      <c r="E1401">
        <f>INDEX(FactorTable!$B$2:$Y$301, MATCH(ROUND(MIN(300,MAX(1,D1401)),0), FactorTable!$A$2:$A$301,0), Skills!M4+1)</f>
        <v/>
      </c>
      <c r="F1401">
        <f>IF(Skills!N4=TRUE,(Skills!L4/10)*(E1401/1000),Skills!L4/10)+Skills!O4</f>
        <v/>
      </c>
      <c r="G1401">
        <f>Skills!G4*IF(Skills!H4&gt;0,Skills!I4/Skills!H4,1)</f>
        <v/>
      </c>
      <c r="H1401">
        <f>1-(1-Skills!J4/100)^Skills!K4</f>
        <v/>
      </c>
      <c r="I1401" t="inlineStr">
        <is>
          <t>1</t>
        </is>
      </c>
      <c r="J1401">
        <f>((Inputs!$B$6*(1+Inputs!$B$7/100))+(((Inputs!$B$12*(1+Inputs!$B$13/100))-(Inputs!$B$12*(1+Inputs!$B$13/100)))+0.25*(Inputs!$B$14-Inputs!$B$14))*(1+Inputs!$B$7/100))*(F1401/100)</f>
        <v/>
      </c>
      <c r="K1401">
        <f>J1401*(1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1409=TRUE,F1409,0)/100)*(1+(IF(Skills!A4="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1401)</f>
        <v/>
      </c>
      <c r="L1401">
        <f>K1401*(MIN(Inputs!$B$22+((C1417=TRUE)*(F1417-Calc!F20)),(Inputs!$B$23+0+(IF(ArtifactsInput!$M$15,CHOOSE(ArtifactsInput!$N$15+1,25,30,35,40,45,50)/100*(Inputs!$B$11-Inputs!$B$11),0))))/100+(Inputs!$B$23+0+(IF(ArtifactsInput!$M$15,CHOOSE(ArtifactsInput!$N$15+1,25,30,35,40,45,50)/100*(Inputs!$B$11-Inputs!$B$11),0)))/100)/2</f>
        <v/>
      </c>
      <c r="M1401">
        <f>L1401*(1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1">
        <f>L1401*(1-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1">
        <f>(1-Summary!$B$11)*T1401+Summary!$B$11*V1401</f>
        <v/>
      </c>
      <c r="P1401">
        <f>IF(B1433=0,0,O1401/B1433)</f>
        <v/>
      </c>
      <c r="Q1401" t="n">
        <v>0</v>
      </c>
      <c r="R1401" t="n">
        <v>0</v>
      </c>
      <c r="S1401">
        <f>IFERROR(O1401/N1401,0)</f>
        <v/>
      </c>
      <c r="T1401">
        <f>IF(C1401,(Skills!G4*H1401*N1401*B1427)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1401*(1-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1401*(1-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01">
        <f>290*U1400/1000</f>
        <v/>
      </c>
      <c r="V1401">
        <f>IF(C1401,(Skills!G4*H1401*N1401*B1427)*IF(Inputs!$B$38="pvp",1,(1+(Inputs!$B$21+Skills!Q4+(IF(ArtifactsInput!$M$33,CHOOSE(ArtifactsInput!$N$33+1,30,36,42,48,54,60),0))+(IF(AND(ArtifactsInput!$M$35,Inputs!$B$4&lt;&gt;"Chapter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2">
      <c r="A1402">
        <f>Skills!A5</f>
        <v/>
      </c>
      <c r="B1402">
        <f>Skills!B5</f>
        <v/>
      </c>
      <c r="C1402">
        <f>Inputs!$B$3&gt;=60</f>
        <v/>
      </c>
      <c r="D1402">
        <f>IF(Skills!C5=1,60+Inputs!$B$25+Inputs!$B$29,IF(Skills!C5=2,90+Inputs!$B$26+Inputs!$B$29,IF(Skills!C5=3,120+Inputs!$B$27+Inputs!$B$29,MAX(0,(Inputs!$B$3-100)*3)+Inputs!$B$28+Inputs!$B$29)))</f>
        <v/>
      </c>
      <c r="E1402">
        <f>INDEX(FactorTable!$B$2:$Y$301, MATCH(ROUND(MIN(300,MAX(1,D1402)),0), FactorTable!$A$2:$A$301,0), Skills!M5+1)</f>
        <v/>
      </c>
      <c r="F1402">
        <f>IF(Skills!N5=TRUE,(Skills!L5/10)*(E1402/1000),Skills!L5/10)+Skills!O5</f>
        <v/>
      </c>
      <c r="G1402">
        <f>Skills!G5*IF(Skills!H5&gt;0,Skills!I5/Skills!H5,1)</f>
        <v/>
      </c>
      <c r="H1402">
        <f>1-(1-Skills!J5/100)^Skills!K5</f>
        <v/>
      </c>
      <c r="I1402" t="inlineStr">
        <is>
          <t>1</t>
        </is>
      </c>
      <c r="J1402" t="inlineStr"/>
      <c r="K1402" t="inlineStr"/>
      <c r="L1402" t="inlineStr"/>
      <c r="M1402" t="inlineStr"/>
      <c r="N1402" t="inlineStr"/>
      <c r="O1402">
        <f>(1-Summary!$B$11)*T1402+Summary!$B$11*V1402</f>
        <v/>
      </c>
      <c r="P1402">
        <f>IF(B1433=0,0,O1402/B1433)</f>
        <v/>
      </c>
      <c r="Q1402" t="n">
        <v>0</v>
      </c>
      <c r="R1402" t="n">
        <v>0</v>
      </c>
      <c r="S1402">
        <f>IFERROR(O1402/N1402,0)</f>
        <v/>
      </c>
      <c r="T1402" t="n">
        <v>0</v>
      </c>
      <c r="V1402" t="n">
        <v>0</v>
      </c>
    </row>
    <row r="1403">
      <c r="A1403">
        <f>Skills!A6</f>
        <v/>
      </c>
      <c r="B1403">
        <f>Skills!B6</f>
        <v/>
      </c>
      <c r="C1403">
        <f>Inputs!$B$3&gt;=63</f>
        <v/>
      </c>
      <c r="D1403">
        <f>IF(Skills!C6=1,60+Inputs!$B$25+Inputs!$B$29,IF(Skills!C6=2,90+Inputs!$B$26+Inputs!$B$29,IF(Skills!C6=3,120+Inputs!$B$27+Inputs!$B$29,MAX(0,(Inputs!$B$3-100)*3)+Inputs!$B$28+Inputs!$B$29)))</f>
        <v/>
      </c>
      <c r="E1403">
        <f>INDEX(FactorTable!$B$2:$Y$301, MATCH(ROUND(MIN(300,MAX(1,D1403)),0), FactorTable!$A$2:$A$301,0), Skills!M6+1)</f>
        <v/>
      </c>
      <c r="F1403">
        <f>IF(Skills!N6=TRUE,(Skills!L6/10)*(E1403/1000),Skills!L6/10)+Skills!O6</f>
        <v/>
      </c>
      <c r="G1403">
        <f>Skills!G6*IF(Skills!H6&gt;0,Skills!I6/Skills!H6,1)</f>
        <v/>
      </c>
      <c r="H1403">
        <f>1-(1-Skills!J6/100)^Skills!K6</f>
        <v/>
      </c>
      <c r="I1403" t="inlineStr">
        <is>
          <t>1</t>
        </is>
      </c>
      <c r="J1403">
        <f>((Inputs!$B$6*(1+Inputs!$B$7/100))+(((Inputs!$B$12*(1+Inputs!$B$13/100))-(Inputs!$B$12*(1+Inputs!$B$13/100)))+0.25*(Inputs!$B$14-Inputs!$B$14))*(1+Inputs!$B$7/100))*(F1403/100)</f>
        <v/>
      </c>
      <c r="K1403">
        <f>J1403*(1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1409=TRUE,F1409,0)/100)*(1+(IF(Skills!A6="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1403)</f>
        <v/>
      </c>
      <c r="L1403">
        <f>K1403*(MIN(Inputs!$B$22+((C1417=TRUE)*(F1417-Calc!F20)),(Inputs!$B$23+0+(IF(ArtifactsInput!$M$15,CHOOSE(ArtifactsInput!$N$15+1,25,30,35,40,45,50)/100*(Inputs!$B$11-Inputs!$B$11),0))))/100+(Inputs!$B$23+0+(IF(ArtifactsInput!$M$15,CHOOSE(ArtifactsInput!$N$15+1,25,30,35,40,45,50)/100*(Inputs!$B$11-Inputs!$B$11),0)))/100)/2</f>
        <v/>
      </c>
      <c r="M1403">
        <f>L1403*(1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3">
        <f>L1403*(1-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1403*(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3">
        <f>(1-Summary!$B$11)*T1403+Summary!$B$11*V1403</f>
        <v/>
      </c>
      <c r="P1403">
        <f>IF(B1433=0,0,O1403/B1433)</f>
        <v/>
      </c>
      <c r="Q1403">
        <f>IFERROR(1/(IF(Inputs!$B$38="pvp",15,MAX(0.1,Skills!D6-IF(Skills!E6=TRUE,Inputs!$B$32,0)))*(1-IF(AND(ArtifactsInput!$M$27,Inputs!$B$4="Chapter Hunt"),CHOOSE(ArtifactsInput!$N$27+1,20,24,28,32,36,40),0)/100)),0)</f>
        <v/>
      </c>
      <c r="R1403">
        <f>IF(AND(Inputs!$B$38&lt;&gt;"pvp",Inputs!$B$43&gt;0),IF(MAX(0,Inputs!$B$43-B1430)&lt;=0,0,(INT(MAX(0,Inputs!$B$43-B1430)/(IF(Inputs!$B$38="pvp",15,MAX(0.1,Skills!D6-IF(Skills!E6=TRUE,Inputs!$B$32,0)))*(1-IF(AND(ArtifactsInput!$M$27,Inputs!$B$4="Chapter Hunt"),CHOOSE(ArtifactsInput!$N$27+1,20,24,28,32,36,40),0)/100)))+1)),0)</f>
        <v/>
      </c>
      <c r="S1403">
        <f>IFERROR(O1403/N1403,0)</f>
        <v/>
      </c>
      <c r="T1403">
        <f>IF(C1403,(H1403*N1403*IF(AND(Inputs!$B$38&lt;&gt;"pvp",Inputs!$B$43&gt;0),((Skills!G6*((R1403-1)*IF(Skills!H6&gt;0,Skills!I6/Skills!H6,1)+IF(Skills!H6&gt;0,MIN(Skills!I6,MAX(0,MAX(0,Inputs!$B$43-B1430)-((R1403-1)*(IF(Inputs!$B$38="pvp",15,MAX(0.1,Skills!D6-IF(Skills!E6=TRUE,Inputs!$B$32,0)))*(1-IF(AND(ArtifactsInput!$M$27,Inputs!$B$4="Chapter Hunt"),CHOOSE(ArtifactsInput!$N$27+1,20,24,28,32,36,40),0)/100)))))/Skills!H6,1)))/Inputs!$B$43),G1403*Q1403)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1403*(1-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1403*(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1403*(1-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1403*(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3">
        <f>IF(C1403,(H1403*N1403*IF(AND(Inputs!$B$38&lt;&gt;"pvp",Inputs!$B$43&gt;0),((Skills!G6*((R1403-1)*IF(Skills!H6&gt;0,Skills!I6/Skills!H6,1)+IF(Skills!H6&gt;0,MIN(Skills!I6,MAX(0,MAX(0,Inputs!$B$43-B1430)-((R1403-1)*(IF(Inputs!$B$38="pvp",15,MAX(0.1,Skills!D6-IF(Skills!E6=TRUE,Inputs!$B$32,0)))*(1-IF(AND(ArtifactsInput!$M$27,Inputs!$B$4="Chapter Hunt"),CHOOSE(ArtifactsInput!$N$27+1,20,24,28,32,36,40),0)/100)))))/Skills!H6,1)))/Inputs!$B$43),G1403*Q1403))*IF(Inputs!$B$38="pvp",1,(1+(Inputs!$B$21+Skills!Q6+(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4">
      <c r="A1404">
        <f>Skills!A7</f>
        <v/>
      </c>
      <c r="B1404">
        <f>Skills!B7</f>
        <v/>
      </c>
      <c r="C1404">
        <f>Inputs!$B$3&gt;=100</f>
        <v/>
      </c>
      <c r="D1404">
        <f>IF(Skills!C7=1,60+Inputs!$B$25+Inputs!$B$29,IF(Skills!C7=2,90+Inputs!$B$26+Inputs!$B$29,IF(Skills!C7=3,120+Inputs!$B$27+Inputs!$B$29,MAX(0,(Inputs!$B$3-100)*3)+Inputs!$B$28+Inputs!$B$29)))</f>
        <v/>
      </c>
      <c r="E1404">
        <f>INDEX(FactorTable!$B$2:$Y$301, MATCH(ROUND(MIN(300,MAX(1,D1404)),0), FactorTable!$A$2:$A$301,0), Skills!M7+1)</f>
        <v/>
      </c>
      <c r="F1404">
        <f>IF(Skills!N7=TRUE,(Skills!L7/10)*(E1404/1000),Skills!L7/10)+Skills!O7</f>
        <v/>
      </c>
      <c r="G1404">
        <f>Skills!G7*IF(Skills!H7&gt;0,Skills!I7/Skills!H7,1)</f>
        <v/>
      </c>
      <c r="H1404">
        <f>1-(1-Skills!J7/100)^Skills!K7</f>
        <v/>
      </c>
      <c r="I1404" t="inlineStr">
        <is>
          <t>1</t>
        </is>
      </c>
      <c r="J1404">
        <f>((Inputs!$B$6*(1+Inputs!$B$7/100))+(((Inputs!$B$12*(1+Inputs!$B$13/100))-(Inputs!$B$12*(1+Inputs!$B$13/100)))+0.25*(Inputs!$B$14-Inputs!$B$14))*(1+Inputs!$B$7/100))*(F1404/100)</f>
        <v/>
      </c>
      <c r="K1404">
        <f>J1404*(1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1404)</f>
        <v/>
      </c>
      <c r="L1404">
        <f>K1404*(MIN(Inputs!$B$22+((C1417=TRUE)*(F1417-Calc!F20)),(Inputs!$B$23+0+(IF(ArtifactsInput!$M$15,CHOOSE(ArtifactsInput!$N$15+1,25,30,35,40,45,50)/100*(Inputs!$B$11-Inputs!$B$11),0))))/100+(Inputs!$B$23+0+(IF(ArtifactsInput!$M$15,CHOOSE(ArtifactsInput!$N$15+1,25,30,35,40,45,50)/100*(Inputs!$B$11-Inputs!$B$11),0)))/100)/2</f>
        <v/>
      </c>
      <c r="M1404">
        <f>L1404*(1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4">
        <f>L1404*(1-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1404*(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4">
        <f>(1-Summary!$B$11)*T1404+Summary!$B$11*V1404</f>
        <v/>
      </c>
      <c r="P1404">
        <f>IF(B1433=0,0,O1404/B1433)</f>
        <v/>
      </c>
      <c r="Q1404">
        <f>IFERROR(1/(IF(Inputs!$B$38="pvp",15,MAX(0.1,Skills!D7-IF(Skills!E7=TRUE,Inputs!$B$32,0)))*(1-IF(AND(ArtifactsInput!$M$27,Inputs!$B$4="Chapter Hunt"),CHOOSE(ArtifactsInput!$N$27+1,20,24,28,32,36,40),0)/100)),0)</f>
        <v/>
      </c>
      <c r="R1404">
        <f>IF(AND(Inputs!$B$38&lt;&gt;"pvp",Inputs!$B$43&gt;0),IF(MAX(0,Inputs!$B$43-B1430)&lt;=0,0,(INT(MAX(0,Inputs!$B$43-B1430)/(IF(Inputs!$B$38="pvp",15,MAX(0.1,Skills!D7-IF(Skills!E7=TRUE,Inputs!$B$32,0)))*(1-IF(AND(ArtifactsInput!$M$27,Inputs!$B$4="Chapter Hunt"),CHOOSE(ArtifactsInput!$N$27+1,20,24,28,32,36,40),0)/100)))+1)),0)</f>
        <v/>
      </c>
      <c r="S1404">
        <f>IFERROR(O1404/N1404,0)</f>
        <v/>
      </c>
      <c r="T1404">
        <f>IF(C1404,(H1404*N1404*IF(AND(Inputs!$B$38&lt;&gt;"pvp",Inputs!$B$43&gt;0),((Skills!G7*((R1404-1)*IF(Skills!H7&gt;0,Skills!I7/Skills!H7,1)+IF(Skills!H7&gt;0,MIN(Skills!I7,MAX(0,MAX(0,Inputs!$B$43-B1430)-((R1404-1)*(IF(Inputs!$B$38="pvp",15,MAX(0.1,Skills!D7-IF(Skills!E7=TRUE,Inputs!$B$32,0)))*(1-IF(AND(ArtifactsInput!$M$27,Inputs!$B$4="Chapter Hunt"),CHOOSE(ArtifactsInput!$N$27+1,20,24,28,32,36,40),0)/100)))))/Skills!H7,1)))/Inputs!$B$43),G1404*Q1404)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1404*(1-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1404*(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1404*(1-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1404*(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4">
        <f>IF(C1404,(H1404*N1404*IF(AND(Inputs!$B$38&lt;&gt;"pvp",Inputs!$B$43&gt;0),((Skills!G7*((R1404-1)*IF(Skills!H7&gt;0,Skills!I7/Skills!H7,1)+IF(Skills!H7&gt;0,MIN(Skills!I7,MAX(0,MAX(0,Inputs!$B$43-B1430)-((R1404-1)*(IF(Inputs!$B$38="pvp",15,MAX(0.1,Skills!D7-IF(Skills!E7=TRUE,Inputs!$B$32,0)))*(1-IF(AND(ArtifactsInput!$M$27,Inputs!$B$4="Chapter Hunt"),CHOOSE(ArtifactsInput!$N$27+1,20,24,28,32,36,40),0)/100)))))/Skills!H7,1)))/Inputs!$B$43),G1404*Q1404))*IF(Inputs!$B$38="pvp",1,(1+(Inputs!$B$21+Skills!Q7+(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5">
      <c r="A1405">
        <f>Skills!A8</f>
        <v/>
      </c>
      <c r="B1405">
        <f>Skills!B8</f>
        <v/>
      </c>
      <c r="C1405">
        <f>Inputs!$B$3&gt;=110</f>
        <v/>
      </c>
      <c r="D1405">
        <f>IF(Skills!C8=1,60+Inputs!$B$25+Inputs!$B$29,IF(Skills!C8=2,90+Inputs!$B$26+Inputs!$B$29,IF(Skills!C8=3,120+Inputs!$B$27+Inputs!$B$29,MAX(0,(Inputs!$B$3-100)*3)+Inputs!$B$28+Inputs!$B$29)))</f>
        <v/>
      </c>
      <c r="E1405">
        <f>INDEX(FactorTable!$B$2:$Y$301, MATCH(ROUND(MIN(300,MAX(1,D1405)),0), FactorTable!$A$2:$A$301,0), Skills!M8+1)</f>
        <v/>
      </c>
      <c r="F1405">
        <f>IF(Skills!N8=TRUE,(Skills!L8/10)*(E1405/1000),Skills!L8/10)+Skills!O8</f>
        <v/>
      </c>
      <c r="G1405">
        <f>Skills!G8*IF(Skills!H8&gt;0,Skills!I8/Skills!H8,1)</f>
        <v/>
      </c>
      <c r="H1405">
        <f>1-(1-Skills!J8/100)^Skills!K8</f>
        <v/>
      </c>
      <c r="I1405" t="inlineStr">
        <is>
          <t>1</t>
        </is>
      </c>
      <c r="J1405">
        <f>((Inputs!$B$6*(1+Inputs!$B$7/100))+(((Inputs!$B$12*(1+Inputs!$B$13/100))-(Inputs!$B$12*(1+Inputs!$B$13/100)))+0.25*(Inputs!$B$14-Inputs!$B$14))*(1+Inputs!$B$7/100))*(F1405/100)</f>
        <v/>
      </c>
      <c r="K1405">
        <f>J1405*(1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1405)</f>
        <v/>
      </c>
      <c r="L1405">
        <f>K1405*(MIN(Inputs!$B$22+((C1417=TRUE)*(F1417-Calc!F20)),(Inputs!$B$23+0+(IF(ArtifactsInput!$M$15,CHOOSE(ArtifactsInput!$N$15+1,25,30,35,40,45,50)/100*(Inputs!$B$11-Inputs!$B$11),0))))/100+(Inputs!$B$23+0+(IF(ArtifactsInput!$M$15,CHOOSE(ArtifactsInput!$N$15+1,25,30,35,40,45,50)/100*(Inputs!$B$11-Inputs!$B$11),0)))/100)/2</f>
        <v/>
      </c>
      <c r="M1405">
        <f>L1405*(1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5">
        <f>L1405*(1-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1405*(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5">
        <f>(1-Summary!$B$11)*T1405+Summary!$B$11*V1405</f>
        <v/>
      </c>
      <c r="P1405">
        <f>IF(B1433=0,0,O1405/B1433)</f>
        <v/>
      </c>
      <c r="Q1405">
        <f>IFERROR(1/(IF(Inputs!$B$38="pvp",15,MAX(0.1,Skills!D8-IF(Skills!E8=TRUE,Inputs!$B$32,0)))*(1-IF(AND(ArtifactsInput!$M$27,Inputs!$B$4="Chapter Hunt"),CHOOSE(ArtifactsInput!$N$27+1,20,24,28,32,36,40),0)/100)),0)</f>
        <v/>
      </c>
      <c r="R1405">
        <f>IF(AND(Inputs!$B$38&lt;&gt;"pvp",Inputs!$B$43&gt;0),IF(MAX(0,Inputs!$B$43-B1430)&lt;=0,0,(INT(MAX(0,Inputs!$B$43-B1430)/(IF(Inputs!$B$38="pvp",15,MAX(0.1,Skills!D8-IF(Skills!E8=TRUE,Inputs!$B$32,0)))*(1-IF(AND(ArtifactsInput!$M$27,Inputs!$B$4="Chapter Hunt"),CHOOSE(ArtifactsInput!$N$27+1,20,24,28,32,36,40),0)/100)))+1)),0)</f>
        <v/>
      </c>
      <c r="S1405">
        <f>IFERROR(O1405/N1405,0)</f>
        <v/>
      </c>
      <c r="T1405">
        <f>IF(C1405,(H1405*N1405*IF(AND(Inputs!$B$38&lt;&gt;"pvp",Inputs!$B$43&gt;0),((Skills!G8*((R1405-1)*IF(Skills!H8&gt;0,Skills!I8/Skills!H8,1)+IF(Skills!H8&gt;0,MIN(Skills!I8,MAX(0,MAX(0,Inputs!$B$43-B1430)-((R1405-1)*(IF(Inputs!$B$38="pvp",15,MAX(0.1,Skills!D8-IF(Skills!E8=TRUE,Inputs!$B$32,0)))*(1-IF(AND(ArtifactsInput!$M$27,Inputs!$B$4="Chapter Hunt"),CHOOSE(ArtifactsInput!$N$27+1,20,24,28,32,36,40),0)/100)))))/Skills!H8,1)))/Inputs!$B$43),G1405*Q1405)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1405*(1-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1405*(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1405*(1-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1405*(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5">
        <f>IF(C1405,(H1405*N1405*IF(AND(Inputs!$B$38&lt;&gt;"pvp",Inputs!$B$43&gt;0),((Skills!G8*((R1405-1)*IF(Skills!H8&gt;0,Skills!I8/Skills!H8,1)+IF(Skills!H8&gt;0,MIN(Skills!I8,MAX(0,MAX(0,Inputs!$B$43-B1430)-((R1405-1)*(IF(Inputs!$B$38="pvp",15,MAX(0.1,Skills!D8-IF(Skills!E8=TRUE,Inputs!$B$32,0)))*(1-IF(AND(ArtifactsInput!$M$27,Inputs!$B$4="Chapter Hunt"),CHOOSE(ArtifactsInput!$N$27+1,20,24,28,32,36,40),0)/100)))))/Skills!H8,1)))/Inputs!$B$43),G1405*Q1405))*IF(Inputs!$B$38="pvp",1,(1+(Inputs!$B$21+Skills!Q8+(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6">
      <c r="A1406">
        <f>Skills!A9</f>
        <v/>
      </c>
      <c r="B1406">
        <f>Skills!B9</f>
        <v/>
      </c>
      <c r="C1406">
        <f>Inputs!$B$3&gt;=110</f>
        <v/>
      </c>
      <c r="D1406">
        <f>IF(Skills!C9=1,60+Inputs!$B$25+Inputs!$B$29,IF(Skills!C9=2,90+Inputs!$B$26+Inputs!$B$29,IF(Skills!C9=3,120+Inputs!$B$27+Inputs!$B$29,MAX(0,(Inputs!$B$3-100)*3)+Inputs!$B$28+Inputs!$B$29)))</f>
        <v/>
      </c>
      <c r="E1406">
        <f>INDEX(FactorTable!$B$2:$Y$301, MATCH(ROUND(MIN(300,MAX(1,D1406)),0), FactorTable!$A$2:$A$301,0), Skills!M9+1)</f>
        <v/>
      </c>
      <c r="F1406">
        <f>IF(Skills!N9=TRUE,(Skills!L9/10)*(E1406/1000),Skills!L9/10)+Skills!O9</f>
        <v/>
      </c>
      <c r="G1406">
        <f>Skills!G9*IF(Skills!H9&gt;0,Skills!I9/Skills!H9,1)</f>
        <v/>
      </c>
      <c r="H1406">
        <f>1-(1-Skills!J9/100)^Skills!K9</f>
        <v/>
      </c>
      <c r="I1406" t="inlineStr">
        <is>
          <t>1</t>
        </is>
      </c>
      <c r="J1406">
        <f>((Inputs!$B$6*(1+Inputs!$B$7/100))+(((Inputs!$B$12*(1+Inputs!$B$13/100))-(Inputs!$B$12*(1+Inputs!$B$13/100)))+0.25*(Inputs!$B$14-Inputs!$B$14))*(1+Inputs!$B$7/100))*(F1406/100)</f>
        <v/>
      </c>
      <c r="K1406">
        <f>J1406*(1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1406)</f>
        <v/>
      </c>
      <c r="L1406">
        <f>K1406*(MIN(Inputs!$B$22+((C1417=TRUE)*(F1417-Calc!F20)),(Inputs!$B$23+0+(IF(ArtifactsInput!$M$15,CHOOSE(ArtifactsInput!$N$15+1,25,30,35,40,45,50)/100*(Inputs!$B$11-Inputs!$B$11),0))))/100+(Inputs!$B$23+0+(IF(ArtifactsInput!$M$15,CHOOSE(ArtifactsInput!$N$15+1,25,30,35,40,45,50)/100*(Inputs!$B$11-Inputs!$B$11),0)))/100)/2</f>
        <v/>
      </c>
      <c r="M1406">
        <f>L1406*(1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6">
        <f>L1406*(1-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1406*(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6">
        <f>(1-Summary!$B$11)*T1406+Summary!$B$11*V1406</f>
        <v/>
      </c>
      <c r="P1406">
        <f>IF(B1433=0,0,O1406/B1433)</f>
        <v/>
      </c>
      <c r="Q1406">
        <f>IFERROR(1/(IF(Inputs!$B$38="pvp",15,MAX(0.1,Skills!D9-IF(Skills!E9=TRUE,Inputs!$B$32,0)))*(1-IF(AND(ArtifactsInput!$M$27,Inputs!$B$4="Chapter Hunt"),CHOOSE(ArtifactsInput!$N$27+1,20,24,28,32,36,40),0)/100)),0)</f>
        <v/>
      </c>
      <c r="R1406">
        <f>IF(AND(Inputs!$B$38&lt;&gt;"pvp",Inputs!$B$43&gt;0),IF(MAX(0,Inputs!$B$43-B1430)&lt;=0,0,(INT(MAX(0,Inputs!$B$43-B1430)/(IF(Inputs!$B$38="pvp",15,MAX(0.1,Skills!D9-IF(Skills!E9=TRUE,Inputs!$B$32,0)))*(1-IF(AND(ArtifactsInput!$M$27,Inputs!$B$4="Chapter Hunt"),CHOOSE(ArtifactsInput!$N$27+1,20,24,28,32,36,40),0)/100)))+1)),0)</f>
        <v/>
      </c>
      <c r="S1406">
        <f>IFERROR(O1406/N1406,0)</f>
        <v/>
      </c>
      <c r="T1406">
        <f>IF(C1406,(H1406*N1406*IF(AND(Inputs!$B$38&lt;&gt;"pvp",Inputs!$B$43&gt;0),((Skills!G9*((R1406-1)*IF(Skills!H9&gt;0,Skills!I9/Skills!H9,1)+IF(Skills!H9&gt;0,MIN(Skills!I9,MAX(0,MAX(0,Inputs!$B$43-B1430)-((R1406-1)*(IF(Inputs!$B$38="pvp",15,MAX(0.1,Skills!D9-IF(Skills!E9=TRUE,Inputs!$B$32,0)))*(1-IF(AND(ArtifactsInput!$M$27,Inputs!$B$4="Chapter Hunt"),CHOOSE(ArtifactsInput!$N$27+1,20,24,28,32,36,40),0)/100)))))/Skills!H9,1)))/Inputs!$B$43),G1406*Q1406)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1406*(1-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1406*(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1406*(1-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1406*(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6">
        <f>IF(C1406,(H1406*N1406*IF(AND(Inputs!$B$38&lt;&gt;"pvp",Inputs!$B$43&gt;0),((Skills!G9*((R1406-1)*IF(Skills!H9&gt;0,Skills!I9/Skills!H9,1)+IF(Skills!H9&gt;0,MIN(Skills!I9,MAX(0,MAX(0,Inputs!$B$43-B1430)-((R1406-1)*(IF(Inputs!$B$38="pvp",15,MAX(0.1,Skills!D9-IF(Skills!E9=TRUE,Inputs!$B$32,0)))*(1-IF(AND(ArtifactsInput!$M$27,Inputs!$B$4="Chapter Hunt"),CHOOSE(ArtifactsInput!$N$27+1,20,24,28,32,36,40),0)/100)))))/Skills!H9,1)))/Inputs!$B$43),G1406*Q1406))*IF(Inputs!$B$38="pvp",1,(1+(Inputs!$B$21+Skills!Q9+(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7">
      <c r="A1407">
        <f>Skills!A10</f>
        <v/>
      </c>
      <c r="B1407">
        <f>Skills!B10</f>
        <v/>
      </c>
      <c r="C1407">
        <f>Inputs!$B$3&gt;=103</f>
        <v/>
      </c>
      <c r="D1407">
        <f>IF(Skills!C10=1,60+Inputs!$B$25+Inputs!$B$29,IF(Skills!C10=2,90+Inputs!$B$26+Inputs!$B$29,IF(Skills!C10=3,120+Inputs!$B$27+Inputs!$B$29,MAX(0,(Inputs!$B$3-100)*3)+Inputs!$B$28+Inputs!$B$29)))</f>
        <v/>
      </c>
      <c r="E1407">
        <f>INDEX(FactorTable!$B$2:$Y$301, MATCH(ROUND(MIN(300,MAX(1,D1407)),0), FactorTable!$A$2:$A$301,0), Skills!M10+1)</f>
        <v/>
      </c>
      <c r="F1407">
        <f>IF(Skills!N10=TRUE,(Skills!L10/10)*(E1407/1000),Skills!L10/10)+Skills!O10</f>
        <v/>
      </c>
      <c r="G1407">
        <f>Skills!G10*IF(Skills!H10&gt;0,Skills!I10/Skills!H10,1)</f>
        <v/>
      </c>
      <c r="H1407">
        <f>1-(1-Skills!J10/100)^Skills!K10</f>
        <v/>
      </c>
      <c r="I1407" t="inlineStr">
        <is>
          <t>1</t>
        </is>
      </c>
      <c r="J1407">
        <f>((Inputs!$B$6*(1+Inputs!$B$7/100))+(((Inputs!$B$12*(1+Inputs!$B$13/100))-(Inputs!$B$12*(1+Inputs!$B$13/100)))+0.25*(Inputs!$B$14-Inputs!$B$14))*(1+Inputs!$B$7/100))*(F1407/100)</f>
        <v/>
      </c>
      <c r="K1407">
        <f>J1407*(1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1407)</f>
        <v/>
      </c>
      <c r="L1407">
        <f>K1407*(MIN(Inputs!$B$22+((C1417=TRUE)*(F1417-Calc!F20)),(Inputs!$B$23+0+(IF(ArtifactsInput!$M$15,CHOOSE(ArtifactsInput!$N$15+1,25,30,35,40,45,50)/100*(Inputs!$B$11-Inputs!$B$11),0))))/100+(Inputs!$B$23+0+(IF(ArtifactsInput!$M$15,CHOOSE(ArtifactsInput!$N$15+1,25,30,35,40,45,50)/100*(Inputs!$B$11-Inputs!$B$11),0)))/100)/2</f>
        <v/>
      </c>
      <c r="M1407">
        <f>L1407*(1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7">
        <f>L1407*(1-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1407*(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7">
        <f>(1-Summary!$B$11)*T1407+Summary!$B$11*V1407</f>
        <v/>
      </c>
      <c r="P1407">
        <f>IF(B1433=0,0,O1407/B1433)</f>
        <v/>
      </c>
      <c r="Q1407">
        <f>IFERROR(1/(IF(Inputs!$B$38="pvp",15,MAX(0.1,Skills!D10-IF(Skills!E10=TRUE,Inputs!$B$32,0)))*(1-IF(AND(ArtifactsInput!$M$27,Inputs!$B$4="Chapter Hunt"),CHOOSE(ArtifactsInput!$N$27+1,20,24,28,32,36,40),0)/100)),0)</f>
        <v/>
      </c>
      <c r="R1407">
        <f>IF(AND(Inputs!$B$38&lt;&gt;"pvp",Inputs!$B$43&gt;0),IF(MAX(0,Inputs!$B$43-B1430)&lt;=0,0,(INT(MAX(0,Inputs!$B$43-B1430)/(IF(Inputs!$B$38="pvp",15,MAX(0.1,Skills!D10-IF(Skills!E10=TRUE,Inputs!$B$32,0)))*(1-IF(AND(ArtifactsInput!$M$27,Inputs!$B$4="Chapter Hunt"),CHOOSE(ArtifactsInput!$N$27+1,20,24,28,32,36,40),0)/100)))+1)),0)</f>
        <v/>
      </c>
      <c r="S1407">
        <f>IFERROR(O1407/N1407,0)</f>
        <v/>
      </c>
      <c r="T1407">
        <f>IF(C1407,(H1407*N1407*IF(AND(Inputs!$B$38&lt;&gt;"pvp",Inputs!$B$43&gt;0),((Skills!G10*((R1407-1)*IF(Skills!H10&gt;0,Skills!I10/Skills!H10,1)+IF(Skills!H10&gt;0,MIN(Skills!I10,MAX(0,MAX(0,Inputs!$B$43-B1430)-((R1407-1)*(IF(Inputs!$B$38="pvp",15,MAX(0.1,Skills!D10-IF(Skills!E10=TRUE,Inputs!$B$32,0)))*(1-IF(AND(ArtifactsInput!$M$27,Inputs!$B$4="Chapter Hunt"),CHOOSE(ArtifactsInput!$N$27+1,20,24,28,32,36,40),0)/100)))))/Skills!H10,1)))/Inputs!$B$43),G1407*Q1407)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1407*(1-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1407*(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1407*(1-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1407*(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7">
        <f>IF(C1407,(H1407*N1407*IF(AND(Inputs!$B$38&lt;&gt;"pvp",Inputs!$B$43&gt;0),((Skills!G10*((R1407-1)*IF(Skills!H10&gt;0,Skills!I10/Skills!H10,1)+IF(Skills!H10&gt;0,MIN(Skills!I10,MAX(0,MAX(0,Inputs!$B$43-B1430)-((R1407-1)*(IF(Inputs!$B$38="pvp",15,MAX(0.1,Skills!D10-IF(Skills!E10=TRUE,Inputs!$B$32,0)))*(1-IF(AND(ArtifactsInput!$M$27,Inputs!$B$4="Chapter Hunt"),CHOOSE(ArtifactsInput!$N$27+1,20,24,28,32,36,40),0)/100)))))/Skills!H10,1)))/Inputs!$B$43),G1407*Q1407))*IF(Inputs!$B$38="pvp",1,(1+(Inputs!$B$21+Skills!Q10+(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8">
      <c r="A1408">
        <f>Skills!A11</f>
        <v/>
      </c>
      <c r="B1408">
        <f>Skills!B11</f>
        <v/>
      </c>
      <c r="C1408">
        <f>Inputs!$B$3&gt;=113</f>
        <v/>
      </c>
      <c r="D1408">
        <f>IF(Skills!C11=1,60+Inputs!$B$25+Inputs!$B$29,IF(Skills!C11=2,90+Inputs!$B$26+Inputs!$B$29,IF(Skills!C11=3,120+Inputs!$B$27+Inputs!$B$29,MAX(0,(Inputs!$B$3-100)*3)+Inputs!$B$28+Inputs!$B$29)))</f>
        <v/>
      </c>
      <c r="E1408">
        <f>INDEX(FactorTable!$B$2:$Y$301, MATCH(ROUND(MIN(300,MAX(1,D1408)),0), FactorTable!$A$2:$A$301,0), Skills!M11+1)</f>
        <v/>
      </c>
      <c r="F1408">
        <f>IF(Skills!N11=TRUE,(Skills!L11/10)*(E1408/1000),Skills!L11/10)+Skills!O11</f>
        <v/>
      </c>
      <c r="G1408">
        <f>Skills!G11*IF(Skills!H11&gt;0,Skills!I11/Skills!H11,1)</f>
        <v/>
      </c>
      <c r="H1408">
        <f>1-(1-Skills!J11/100)^Skills!K11</f>
        <v/>
      </c>
      <c r="I1408" t="inlineStr">
        <is>
          <t>1</t>
        </is>
      </c>
      <c r="J1408">
        <f>((Inputs!$B$6*(1+Inputs!$B$7/100))+(((Inputs!$B$12*(1+Inputs!$B$13/100))-(Inputs!$B$12*(1+Inputs!$B$13/100)))+0.25*(Inputs!$B$14-Inputs!$B$14))*(1+Inputs!$B$7/100))*(F1408/100)</f>
        <v/>
      </c>
      <c r="K1408">
        <f>J1408*(1+((Inputs!$B$12*(1+Inputs!$B$13/100))*0.01+Inputs!$B$14*0.0025)/100)*(1+Inputs!$B$15/100)*(1+Inputs!$B$16/100)*(5000/(6000+Inputs!$B$42*(1-(100*(1-(1-(Inputs!$B$19+0)/100)*(1-CHOOSE(ArtifactsInput!$N$40+1,5,6,7,8,9,10)/100)^(ArtifactsInput!$M$40-ArtifactsInput!$M$40)))/100)))*(1+(Inputs!$B$24+((C1419=TRUE)*(F1419-Calc!F22))+B1429)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1418=TRUE)*(F1418-Calc!F21))+(((IF(AND(ArtifactsInput!$M$42,((Inputs!$B$9+((C1413=TRUE)*(F1413-Calc!F16))+B1423+(ArtifactsInput!$M$24-ArtifactsInput!$M$24)*CHOOSE(ArtifactsInput!$N$24+1,10,12,14,16,18,20)+IF(ArtifactsInput!$M$10,CHOOSE(ArtifactsInput!$N$10+1,15,18,21,24,27,30)*(IF(Inputs!$B$38="pvp",MIN(15,15)/15,IF(AND(Inputs!$B$38&lt;&gt;"pvp",Inputs!$B$43&gt;0),MIN(15,Inputs!$B$43)/(Inputs!$B$43),0))),0)))&gt;=100),MIN(100,((Inputs!$B$9+((C1413=TRUE)*(F1413-Calc!F16))+B1423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1413=TRUE)*(F1413-Calc!F16))+B1423+(ArtifactsInput!$M$24-ArtifactsInput!$M$24)*CHOOSE(ArtifactsInput!$N$24+1,10,12,14,16,18,20)+IF(ArtifactsInput!$M$10,CHOOSE(ArtifactsInput!$N$10+1,15,18,21,24,27,30)*(IF(Inputs!$B$38="pvp",MIN(15,15)/15,IF(AND(Inputs!$B$38&lt;&gt;"pvp",Inputs!$B$43&gt;0),MIN(15,Inputs!$B$43)/(Inputs!$B$43),0))),0)))&gt;=100),CHOOSE(ArtifactsInput!$N$42+1,40,48,56,64,72,80),0))))/100)*((1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1408)</f>
        <v/>
      </c>
      <c r="L1408">
        <f>K1408*(MIN(Inputs!$B$22+((C1417=TRUE)*(F1417-Calc!F20)),(Inputs!$B$23+0+(IF(ArtifactsInput!$M$15,CHOOSE(ArtifactsInput!$N$15+1,25,30,35,40,45,50)/100*(Inputs!$B$11-Inputs!$B$11),0))))/100+(Inputs!$B$23+0+(IF(ArtifactsInput!$M$15,CHOOSE(ArtifactsInput!$N$15+1,25,30,35,40,45,50)/100*(Inputs!$B$11-Inputs!$B$11),0)))/100)/2</f>
        <v/>
      </c>
      <c r="M1408">
        <f>L1408*(1+(Inputs!$B$10+0+B1428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08">
        <f>L1408*(1-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1408*(MIN((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08">
        <f>(1-Summary!$B$11)*T1408+Summary!$B$11*V1408</f>
        <v/>
      </c>
      <c r="P1408">
        <f>IF(B1433=0,0,O1408/B1433)</f>
        <v/>
      </c>
      <c r="Q1408">
        <f>IFERROR(1/(IF(Inputs!$B$38="pvp",15,MAX(0.1,Skills!D11-IF(Skills!E11=TRUE,Inputs!$B$32,0)))*(1-IF(AND(ArtifactsInput!$M$27,Inputs!$B$4="Chapter Hunt"),CHOOSE(ArtifactsInput!$N$27+1,20,24,28,32,36,40),0)/100)),0)</f>
        <v/>
      </c>
      <c r="R1408">
        <f>IF(AND(Inputs!$B$38&lt;&gt;"pvp",Inputs!$B$43&gt;0),IF(MAX(0,Inputs!$B$43-B1430)&lt;=0,0,(INT(MAX(0,Inputs!$B$43-B1430)/(IF(Inputs!$B$38="pvp",15,MAX(0.1,Skills!D11-IF(Skills!E11=TRUE,Inputs!$B$32,0)))*(1-IF(AND(ArtifactsInput!$M$27,Inputs!$B$4="Chapter Hunt"),CHOOSE(ArtifactsInput!$N$27+1,20,24,28,32,36,40),0)/100)))+1)),0)</f>
        <v/>
      </c>
      <c r="S1408">
        <f>IFERROR(O1408/N1408,0)</f>
        <v/>
      </c>
      <c r="T1408">
        <f>IF(C1408,(H1408*N1408*IF(AND(Inputs!$B$38&lt;&gt;"pvp",Inputs!$B$43&gt;0),((Skills!G11*((R1408-1)*IF(Skills!H11&gt;0,Skills!I11/Skills!H11,1)+IF(Skills!H11&gt;0,MIN(Skills!I11,MAX(0,MAX(0,Inputs!$B$43-B1430)-((R1408-1)*(IF(Inputs!$B$38="pvp",15,MAX(0.1,Skills!D11-IF(Skills!E11=TRUE,Inputs!$B$32,0)))*(1-IF(AND(ArtifactsInput!$M$27,Inputs!$B$4="Chapter Hunt"),CHOOSE(ArtifactsInput!$N$27+1,20,24,28,32,36,40),0)/100)))))/Skills!H11,1)))/Inputs!$B$43),G1408*Q1408)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1408*(1-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1408*(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1408*(1-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1408*(MIN(100,(Inputs!$B$9+((C1413=TRUE)*(F1413-Calc!F16))+B1423+(ArtifactsInput!$M$24-ArtifactsInput!$M$24)*CHOOSE(ArtifactsInput!$N$24+1,10,12,14,16,18,20)+(IF(AND(ArtifactsInput!$M$42,((Inputs!$B$9+((C1413=TRUE)*(F1413-Calc!F16))+B1423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08">
        <f>IF(C1408,(H1408*N1408*IF(AND(Inputs!$B$38&lt;&gt;"pvp",Inputs!$B$43&gt;0),((Skills!G11*((R1408-1)*IF(Skills!H11&gt;0,Skills!I11/Skills!H11,1)+IF(Skills!H11&gt;0,MIN(Skills!I11,MAX(0,MAX(0,Inputs!$B$43-B1430)-((R1408-1)*(IF(Inputs!$B$38="pvp",15,MAX(0.1,Skills!D11-IF(Skills!E11=TRUE,Inputs!$B$32,0)))*(1-IF(AND(ArtifactsInput!$M$27,Inputs!$B$4="Chapter Hunt"),CHOOSE(ArtifactsInput!$N$27+1,20,24,28,32,36,40),0)/100)))))/Skills!H11,1)))/Inputs!$B$43),G1408*Q1408))*IF(Inputs!$B$38="pvp",1,(1+(Inputs!$B$21+Skills!Q11+(IF(ArtifactsInput!$M$33,CHOOSE(ArtifactsInput!$N$33+1,30,36,42,48,54,60),0))+(IF(AND(ArtifactsInput!$M$35,Inputs!$B$4&lt;&gt;"Chapter Hunt"),CHOOSE(ArtifactsInput!$N$35+1,15,18,21,24,27,30)*(1-EXP(-(0.2*B1425)*5)),0)+IF(AND(ArtifactsInput!$M$22,Inputs!$B$4&lt;&gt;"Chapter Hunt"),CHOOSE(ArtifactsInput!$N$22+1,10,12,14,16,18,20)*((0*(((0.15*B1425*5))^0/1)+1*(((0.15*B1425*5))^1/1)+2*(((0.15*B1425*5))^2/2)+3*(((0.15*B1425*5))^3/6)+4*(((0.15*B1425*5))^4/24)+5*(((0.15*B1425*5))^5/120))/((((0.15*B1425*5))^0/1)+(((0.15*B1425*5))^1/1)+(((0.15*B1425*5))^2/2)+(((0.15*B1425*5))^3/6)+(((0.15*B1425*5))^4/24)+(((0.15*B1425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09">
      <c r="A1409">
        <f>Skills!A12</f>
        <v/>
      </c>
      <c r="B1409">
        <f>Skills!B12</f>
        <v/>
      </c>
      <c r="C1409">
        <f>Inputs!$B$3&gt;=100</f>
        <v/>
      </c>
      <c r="D1409">
        <f>IF(Skills!C12=1,60+Inputs!$B$25+Inputs!$B$29,IF(Skills!C12=2,90+Inputs!$B$26+Inputs!$B$29,IF(Skills!C12=3,120+Inputs!$B$27+Inputs!$B$29,MAX(0,(Inputs!$B$3-100)*3)+Inputs!$B$28+Inputs!$B$29)))</f>
        <v/>
      </c>
      <c r="E1409">
        <f>INDEX(FactorTable!$B$2:$Y$301, MATCH(ROUND(MIN(300,MAX(1,D1409)),0), FactorTable!$A$2:$A$301,0), Skills!M12+1)</f>
        <v/>
      </c>
      <c r="F1409">
        <f>IF(Skills!N12=TRUE,(Skills!L12/10)*(E1409/1000),Skills!L12/10)+Skills!O12</f>
        <v/>
      </c>
      <c r="G1409" t="inlineStr"/>
      <c r="H1409" t="inlineStr"/>
      <c r="I1409" t="inlineStr">
        <is>
          <t>1</t>
        </is>
      </c>
      <c r="J1409" t="inlineStr"/>
      <c r="K1409" t="inlineStr"/>
      <c r="L1409" t="inlineStr"/>
      <c r="M1409" t="inlineStr"/>
      <c r="N1409" t="inlineStr"/>
      <c r="O1409" t="inlineStr"/>
      <c r="P1409" t="inlineStr"/>
      <c r="Q1409" t="inlineStr"/>
      <c r="R1409" t="inlineStr"/>
      <c r="S1409" t="inlineStr"/>
      <c r="T1409" t="inlineStr"/>
      <c r="V1409" t="inlineStr"/>
    </row>
    <row r="1410">
      <c r="A1410">
        <f>Skills!A13</f>
        <v/>
      </c>
      <c r="B1410">
        <f>Skills!B13</f>
        <v/>
      </c>
      <c r="C1410">
        <f>Inputs!$B$3&gt;=66</f>
        <v/>
      </c>
      <c r="D1410">
        <f>IF(Skills!C13=1,60+Inputs!$B$25+Inputs!$B$29,IF(Skills!C13=2,90+Inputs!$B$26+Inputs!$B$29,IF(Skills!C13=3,120+Inputs!$B$27+Inputs!$B$29,MAX(0,(Inputs!$B$3-100)*3)+Inputs!$B$28+Inputs!$B$29)))</f>
        <v/>
      </c>
      <c r="E1410">
        <f>INDEX(FactorTable!$B$2:$Y$301, MATCH(ROUND(MIN(300,MAX(1,D1410)),0), FactorTable!$A$2:$A$301,0), Skills!M13+1)</f>
        <v/>
      </c>
      <c r="F1410">
        <f>IF(Skills!N13=TRUE,(Skills!L13/10)*(E1410/1000),Skills!L13/10)+Skills!O13</f>
        <v/>
      </c>
      <c r="G1410">
        <f>Skills!G13*IF(Skills!H13&gt;0,Skills!I13/Skills!H13,1)</f>
        <v/>
      </c>
      <c r="H1410">
        <f>1-(1-Skills!J13/100)^Skills!K13</f>
        <v/>
      </c>
      <c r="I1410" t="inlineStr">
        <is>
          <t>1</t>
        </is>
      </c>
      <c r="J1410" t="inlineStr"/>
      <c r="K1410" t="inlineStr"/>
      <c r="L1410" t="inlineStr"/>
      <c r="M1410" t="inlineStr"/>
      <c r="N1410" t="inlineStr"/>
      <c r="O1410">
        <f>(1-Summary!$B$11)*T1410+Summary!$B$11*V1410</f>
        <v/>
      </c>
      <c r="P1410">
        <f>IF(B1433=0,0,O1410/B1433)</f>
        <v/>
      </c>
      <c r="Q1410" t="n">
        <v>0</v>
      </c>
      <c r="R1410" t="n">
        <v>0</v>
      </c>
      <c r="S1410">
        <f>IFERROR(O1410/N1410,0)</f>
        <v/>
      </c>
      <c r="T1410" t="n">
        <v>0</v>
      </c>
      <c r="V1410" t="n">
        <v>0</v>
      </c>
    </row>
    <row r="1411">
      <c r="A1411">
        <f>Skills!A14</f>
        <v/>
      </c>
      <c r="B1411">
        <f>Skills!B14</f>
        <v/>
      </c>
      <c r="C1411">
        <f>Inputs!$B$3&gt;=107</f>
        <v/>
      </c>
      <c r="D1411">
        <f>IF(Skills!C14=1,60+Inputs!$B$25+Inputs!$B$29,IF(Skills!C14=2,90+Inputs!$B$26+Inputs!$B$29,IF(Skills!C14=3,120+Inputs!$B$27+Inputs!$B$29,MAX(0,(Inputs!$B$3-100)*3)+Inputs!$B$28+Inputs!$B$29)))</f>
        <v/>
      </c>
      <c r="E1411">
        <f>INDEX(FactorTable!$B$2:$Y$301, MATCH(ROUND(MIN(300,MAX(1,D1411)),0), FactorTable!$A$2:$A$301,0), Skills!M14+1)</f>
        <v/>
      </c>
      <c r="F1411">
        <f>IF(Skills!N14=TRUE,(Skills!L14/10)*(E1411/1000),Skills!L14/10)+Skills!O14</f>
        <v/>
      </c>
      <c r="G1411">
        <f>Skills!G14*IF(Skills!H14&gt;0,Skills!I14/Skills!H14,1)</f>
        <v/>
      </c>
      <c r="H1411">
        <f>1-(1-Skills!J14/100)^Skills!K14</f>
        <v/>
      </c>
      <c r="I1411" t="inlineStr">
        <is>
          <t>1</t>
        </is>
      </c>
      <c r="J1411" t="inlineStr"/>
      <c r="K1411" t="inlineStr"/>
      <c r="L1411" t="inlineStr"/>
      <c r="M1411" t="inlineStr"/>
      <c r="N1411" t="inlineStr"/>
      <c r="O1411">
        <f>(1-Summary!$B$11)*T1411+Summary!$B$11*V1411</f>
        <v/>
      </c>
      <c r="P1411">
        <f>IF(B1433=0,0,O1411/B1433)</f>
        <v/>
      </c>
      <c r="Q1411">
        <f>IFERROR(1/(IF(Inputs!$B$38="pvp",15,MAX(0.1,Skills!D14-IF(Skills!E14=TRUE,Inputs!$B$32,0)))*(1-IF(AND(ArtifactsInput!$M$27,Inputs!$B$4="Chapter Hunt"),CHOOSE(ArtifactsInput!$N$27+1,20,24,28,32,36,40),0)/100)),0)</f>
        <v/>
      </c>
      <c r="R1411">
        <f>IF(AND(Inputs!$B$38&lt;&gt;"pvp",Inputs!$B$43&gt;0),IF(Inputs!$B$43&lt;=0,0,(INT(Inputs!$B$43/(IF(Inputs!$B$38="pvp",15,MAX(0.1,Skills!D14-IF(Skills!E14=TRUE,Inputs!$B$32,0)))*(1-IF(AND(ArtifactsInput!$M$27,Inputs!$B$4="Chapter Hunt"),CHOOSE(ArtifactsInput!$N$27+1,20,24,28,32,36,40),0)/100)))+1)),0)</f>
        <v/>
      </c>
      <c r="S1411">
        <f>IFERROR(O1411/N1411,0)</f>
        <v/>
      </c>
      <c r="T1411" t="n">
        <v>0</v>
      </c>
      <c r="V1411" t="n">
        <v>0</v>
      </c>
    </row>
    <row r="1412">
      <c r="A1412">
        <f>Skills!A15</f>
        <v/>
      </c>
      <c r="B1412">
        <f>Skills!B15</f>
        <v/>
      </c>
      <c r="C1412">
        <f>Inputs!$B$3&gt;=115</f>
        <v/>
      </c>
      <c r="D1412">
        <f>IF(Skills!C15=1,60+Inputs!$B$25+Inputs!$B$29,IF(Skills!C15=2,90+Inputs!$B$26+Inputs!$B$29,IF(Skills!C15=3,120+Inputs!$B$27+Inputs!$B$29,MAX(0,(Inputs!$B$3-100)*3)+Inputs!$B$28+Inputs!$B$29)))</f>
        <v/>
      </c>
      <c r="E1412">
        <f>INDEX(FactorTable!$B$2:$Y$301, MATCH(ROUND(MIN(300,MAX(1,D1412)),0), FactorTable!$A$2:$A$301,0), Skills!M15+1)</f>
        <v/>
      </c>
      <c r="F1412">
        <f>IF(Skills!N15=TRUE,(Skills!L15/10)*(E1412/1000),Skills!L15/10)+Skills!O15</f>
        <v/>
      </c>
      <c r="G1412">
        <f>Skills!G15*IF(Skills!H15&gt;0,Skills!I15/Skills!H15,1)</f>
        <v/>
      </c>
      <c r="H1412">
        <f>1-(1-Skills!J15/100)^Skills!K15</f>
        <v/>
      </c>
      <c r="I1412" t="inlineStr">
        <is>
          <t>1</t>
        </is>
      </c>
      <c r="J1412" t="inlineStr"/>
      <c r="K1412" t="inlineStr"/>
      <c r="L1412" t="inlineStr"/>
      <c r="M1412" t="inlineStr"/>
      <c r="N1412" t="inlineStr"/>
      <c r="O1412">
        <f>(1-Summary!$B$11)*T1412+Summary!$B$11*V1412</f>
        <v/>
      </c>
      <c r="P1412">
        <f>IF(B1433=0,0,O1412/B1433)</f>
        <v/>
      </c>
      <c r="Q1412">
        <f>IFERROR(1/(IF(Inputs!$B$38="pvp",15,MAX(0.1,Skills!D15-IF(Skills!E15=TRUE,Inputs!$B$32,0)))*(1-IF(AND(ArtifactsInput!$M$27,Inputs!$B$4="Chapter Hunt"),CHOOSE(ArtifactsInput!$N$27+1,20,24,28,32,36,40),0)/100)),0)</f>
        <v/>
      </c>
      <c r="R1412">
        <f>IF(AND(Inputs!$B$38&lt;&gt;"pvp",Inputs!$B$43&gt;0),IF(Inputs!$B$43&lt;=0,0,(INT(Inputs!$B$43/(IF(Inputs!$B$38="pvp",15,MAX(0.1,Skills!D15-IF(Skills!E15=TRUE,Inputs!$B$32,0)))*(1-IF(AND(ArtifactsInput!$M$27,Inputs!$B$4="Chapter Hunt"),CHOOSE(ArtifactsInput!$N$27+1,20,24,28,32,36,40),0)/100)))+1)),0)</f>
        <v/>
      </c>
      <c r="S1412">
        <f>IFERROR(O1412/N1412,0)</f>
        <v/>
      </c>
      <c r="T1412" t="n">
        <v>0</v>
      </c>
      <c r="V1412" t="n">
        <v>0</v>
      </c>
    </row>
    <row r="1413">
      <c r="A1413">
        <f>Skills!A16</f>
        <v/>
      </c>
      <c r="B1413">
        <f>Skills!B16</f>
        <v/>
      </c>
      <c r="C1413">
        <f>Inputs!$B$3&gt;=15</f>
        <v/>
      </c>
      <c r="D1413">
        <f>IF(Skills!C16=1,60+Inputs!$B$25+Inputs!$B$29,IF(Skills!C16=2,90+Inputs!$B$26+Inputs!$B$29,IF(Skills!C16=3,120+Inputs!$B$27+Inputs!$B$29,MAX(0,(Inputs!$B$3-100)*3)+Inputs!$B$28+Inputs!$B$29)))</f>
        <v/>
      </c>
      <c r="E1413">
        <f>INDEX(FactorTable!$B$2:$Y$301, MATCH(ROUND(MIN(300,MAX(1,D1413)),0), FactorTable!$A$2:$A$301,0), Skills!M16+1)</f>
        <v/>
      </c>
      <c r="F1413">
        <f>IF(Skills!N16=TRUE,(Skills!L16/10)*(E1413/1000),Skills!L16/10)+Skills!O16</f>
        <v/>
      </c>
      <c r="G1413">
        <f>Skills!G16*IF(Skills!H16&gt;0,Skills!I16/Skills!H16,1)</f>
        <v/>
      </c>
      <c r="H1413">
        <f>1-(1-Skills!J16/100)^Skills!K16</f>
        <v/>
      </c>
      <c r="I1413" t="inlineStr">
        <is>
          <t>1</t>
        </is>
      </c>
      <c r="J1413" t="inlineStr"/>
      <c r="K1413" t="inlineStr"/>
      <c r="L1413" t="inlineStr"/>
      <c r="M1413" t="inlineStr"/>
      <c r="N1413" t="inlineStr"/>
      <c r="O1413">
        <f>(1-Summary!$B$11)*T1413+Summary!$B$11*V1413</f>
        <v/>
      </c>
      <c r="P1413">
        <f>IF(B1433=0,0,O1413/B1433)</f>
        <v/>
      </c>
      <c r="Q1413" t="n">
        <v>0</v>
      </c>
      <c r="R1413" t="n">
        <v>0</v>
      </c>
      <c r="S1413">
        <f>IFERROR(O1413/N1413,0)</f>
        <v/>
      </c>
      <c r="T1413" t="n">
        <v>0</v>
      </c>
      <c r="V1413" t="n">
        <v>0</v>
      </c>
    </row>
    <row r="1414">
      <c r="A1414">
        <f>Skills!A17</f>
        <v/>
      </c>
      <c r="B1414">
        <f>Skills!B17</f>
        <v/>
      </c>
      <c r="C1414">
        <f>Inputs!$B$3&gt;=10</f>
        <v/>
      </c>
      <c r="D1414">
        <f>IF(Skills!C17=1,60+Inputs!$B$25+Inputs!$B$29,IF(Skills!C17=2,90+Inputs!$B$26+Inputs!$B$29,IF(Skills!C17=3,120+Inputs!$B$27+Inputs!$B$29,MAX(0,(Inputs!$B$3-100)*3)+Inputs!$B$28+Inputs!$B$29)))</f>
        <v/>
      </c>
      <c r="E1414">
        <f>INDEX(FactorTable!$B$2:$Y$301, MATCH(ROUND(MIN(300,MAX(1,D1414)),0), FactorTable!$A$2:$A$301,0), Skills!M17+1)</f>
        <v/>
      </c>
      <c r="F1414">
        <f>IF(Skills!N17=TRUE,(Skills!L17/10)*(E1414/1000),Skills!L17/10)+Skills!O17</f>
        <v/>
      </c>
      <c r="G1414">
        <f>Skills!G17*IF(Skills!H17&gt;0,Skills!I17/Skills!H17,1)</f>
        <v/>
      </c>
      <c r="H1414">
        <f>1-(1-Skills!J17/100)^Skills!K17</f>
        <v/>
      </c>
      <c r="I1414" t="inlineStr">
        <is>
          <t>1</t>
        </is>
      </c>
      <c r="J1414" t="inlineStr"/>
      <c r="K1414" t="inlineStr"/>
      <c r="L1414" t="inlineStr"/>
      <c r="M1414" t="inlineStr"/>
      <c r="N1414" t="inlineStr"/>
      <c r="O1414">
        <f>(1-Summary!$B$11)*T1414+Summary!$B$11*V1414</f>
        <v/>
      </c>
      <c r="P1414">
        <f>IF(B1433=0,0,O1414/B1433)</f>
        <v/>
      </c>
      <c r="Q1414" t="n">
        <v>0</v>
      </c>
      <c r="R1414" t="n">
        <v>0</v>
      </c>
      <c r="S1414">
        <f>IFERROR(O1414/N1414,0)</f>
        <v/>
      </c>
      <c r="T1414" t="n">
        <v>0</v>
      </c>
      <c r="V1414" t="n">
        <v>0</v>
      </c>
    </row>
    <row r="1415">
      <c r="A1415">
        <f>Skills!A18</f>
        <v/>
      </c>
      <c r="B1415">
        <f>Skills!B18</f>
        <v/>
      </c>
      <c r="C1415">
        <f>Inputs!$B$3&gt;=33</f>
        <v/>
      </c>
      <c r="D1415">
        <f>IF(Skills!C18=1,60+Inputs!$B$25+Inputs!$B$29,IF(Skills!C18=2,90+Inputs!$B$26+Inputs!$B$29,IF(Skills!C18=3,120+Inputs!$B$27+Inputs!$B$29,MAX(0,(Inputs!$B$3-100)*3)+Inputs!$B$28+Inputs!$B$29)))</f>
        <v/>
      </c>
      <c r="E1415">
        <f>INDEX(FactorTable!$B$2:$Y$301, MATCH(ROUND(MIN(300,MAX(1,D1415)),0), FactorTable!$A$2:$A$301,0), Skills!M18+1)</f>
        <v/>
      </c>
      <c r="F1415">
        <f>IF(Skills!N18=TRUE,(Skills!L18/10)*(E1415/1000),Skills!L18/10)+Skills!O18</f>
        <v/>
      </c>
      <c r="G1415">
        <f>Skills!G18*IF(Skills!H18&gt;0,Skills!I18/Skills!H18,1)</f>
        <v/>
      </c>
      <c r="H1415">
        <f>1-(1-Skills!J18/100)^Skills!K18</f>
        <v/>
      </c>
      <c r="I1415" t="inlineStr">
        <is>
          <t>1</t>
        </is>
      </c>
      <c r="J1415" t="inlineStr"/>
      <c r="K1415" t="inlineStr"/>
      <c r="L1415" t="inlineStr"/>
      <c r="M1415" t="inlineStr"/>
      <c r="N1415" t="inlineStr"/>
      <c r="O1415">
        <f>(1-Summary!$B$11)*T1415+Summary!$B$11*V1415</f>
        <v/>
      </c>
      <c r="P1415">
        <f>IF(B1433=0,0,O1415/B1433)</f>
        <v/>
      </c>
      <c r="Q1415" t="n">
        <v>0</v>
      </c>
      <c r="R1415" t="n">
        <v>0</v>
      </c>
      <c r="S1415">
        <f>IFERROR(O1415/N1415,0)</f>
        <v/>
      </c>
      <c r="T1415" t="n">
        <v>0</v>
      </c>
      <c r="V1415" t="n">
        <v>0</v>
      </c>
    </row>
    <row r="1416">
      <c r="A1416">
        <f>Skills!A19</f>
        <v/>
      </c>
      <c r="B1416">
        <f>Skills!B19</f>
        <v/>
      </c>
      <c r="C1416">
        <f>Inputs!$B$3&gt;=40</f>
        <v/>
      </c>
      <c r="D1416">
        <f>IF(Skills!C19=1,60+Inputs!$B$25+Inputs!$B$29,IF(Skills!C19=2,90+Inputs!$B$26+Inputs!$B$29,IF(Skills!C19=3,120+Inputs!$B$27+Inputs!$B$29,MAX(0,(Inputs!$B$3-100)*3)+Inputs!$B$28+Inputs!$B$29)))</f>
        <v/>
      </c>
      <c r="E1416">
        <f>INDEX(FactorTable!$B$2:$Y$301, MATCH(ROUND(MIN(300,MAX(1,D1416)),0), FactorTable!$A$2:$A$301,0), Skills!M19+1)</f>
        <v/>
      </c>
      <c r="F1416">
        <f>IF(Skills!N19=TRUE,(Skills!L19/10)*(E1416/1000),Skills!L19/10)+Skills!O19</f>
        <v/>
      </c>
      <c r="G1416">
        <f>Skills!G19*IF(Skills!H19&gt;0,Skills!I19/Skills!H19,1)</f>
        <v/>
      </c>
      <c r="H1416">
        <f>1-(1-Skills!J19/100)^Skills!K19</f>
        <v/>
      </c>
      <c r="I1416" t="inlineStr">
        <is>
          <t>1</t>
        </is>
      </c>
      <c r="J1416" t="inlineStr"/>
      <c r="K1416" t="inlineStr"/>
      <c r="L1416" t="inlineStr"/>
      <c r="M1416" t="inlineStr"/>
      <c r="N1416" t="inlineStr"/>
      <c r="O1416">
        <f>(1-Summary!$B$11)*T1416+Summary!$B$11*V1416</f>
        <v/>
      </c>
      <c r="P1416">
        <f>IF(B1433=0,0,O1416/B1433)</f>
        <v/>
      </c>
      <c r="Q1416" t="n">
        <v>0</v>
      </c>
      <c r="R1416" t="n">
        <v>0</v>
      </c>
      <c r="S1416">
        <f>IFERROR(O1416/N1416,0)</f>
        <v/>
      </c>
      <c r="T1416" t="n">
        <v>0</v>
      </c>
      <c r="V1416" t="n">
        <v>0</v>
      </c>
    </row>
    <row r="1417">
      <c r="A1417">
        <f>Skills!A20</f>
        <v/>
      </c>
      <c r="B1417">
        <f>Skills!B20</f>
        <v/>
      </c>
      <c r="C1417">
        <f>Inputs!$B$3&gt;=43</f>
        <v/>
      </c>
      <c r="D1417">
        <f>IF(Skills!C20=1,60+Inputs!$B$25+Inputs!$B$29,IF(Skills!C20=2,90+Inputs!$B$26+Inputs!$B$29,IF(Skills!C20=3,120+Inputs!$B$27+Inputs!$B$29,MAX(0,(Inputs!$B$3-100)*3)+Inputs!$B$28+Inputs!$B$29)))</f>
        <v/>
      </c>
      <c r="E1417">
        <f>INDEX(FactorTable!$B$2:$Y$301, MATCH(ROUND(MIN(300,MAX(1,D1417)),0), FactorTable!$A$2:$A$301,0), Skills!M20+1)</f>
        <v/>
      </c>
      <c r="F1417">
        <f>IF(Skills!N20=TRUE,(Skills!L20/10)*(E1417/1000),Skills!L20/10)+Skills!O20</f>
        <v/>
      </c>
      <c r="G1417">
        <f>Skills!G20*IF(Skills!H20&gt;0,Skills!I20/Skills!H20,1)</f>
        <v/>
      </c>
      <c r="H1417">
        <f>1-(1-Skills!J20/100)^Skills!K20</f>
        <v/>
      </c>
      <c r="I1417" t="inlineStr">
        <is>
          <t>1</t>
        </is>
      </c>
      <c r="J1417" t="inlineStr"/>
      <c r="K1417" t="inlineStr"/>
      <c r="L1417" t="inlineStr"/>
      <c r="M1417" t="inlineStr"/>
      <c r="N1417" t="inlineStr"/>
      <c r="O1417">
        <f>(1-Summary!$B$11)*T1417+Summary!$B$11*V1417</f>
        <v/>
      </c>
      <c r="P1417">
        <f>IF(B1433=0,0,O1417/B1433)</f>
        <v/>
      </c>
      <c r="Q1417" t="n">
        <v>0</v>
      </c>
      <c r="R1417" t="n">
        <v>0</v>
      </c>
      <c r="S1417">
        <f>IFERROR(O1417/N1417,0)</f>
        <v/>
      </c>
      <c r="T1417" t="n">
        <v>0</v>
      </c>
      <c r="V1417" t="n">
        <v>0</v>
      </c>
    </row>
    <row r="1418">
      <c r="A1418">
        <f>Skills!A21</f>
        <v/>
      </c>
      <c r="B1418">
        <f>Skills!B21</f>
        <v/>
      </c>
      <c r="C1418">
        <f>Inputs!$B$3&gt;=38</f>
        <v/>
      </c>
      <c r="D1418">
        <f>IF(Skills!C21=1,60+Inputs!$B$25+Inputs!$B$29,IF(Skills!C21=2,90+Inputs!$B$26+Inputs!$B$29,IF(Skills!C21=3,120+Inputs!$B$27+Inputs!$B$29,MAX(0,(Inputs!$B$3-100)*3)+Inputs!$B$28+Inputs!$B$29)))</f>
        <v/>
      </c>
      <c r="E1418">
        <f>INDEX(FactorTable!$B$2:$Y$301, MATCH(ROUND(MIN(300,MAX(1,D1418)),0), FactorTable!$A$2:$A$301,0), Skills!M21+1)</f>
        <v/>
      </c>
      <c r="F1418">
        <f>IF(Skills!N21=TRUE,(Skills!L21/10)*(E1418/1000),Skills!L21/10)+Skills!O21</f>
        <v/>
      </c>
      <c r="G1418">
        <f>Skills!G21*IF(Skills!H21&gt;0,Skills!I21/Skills!H21,1)</f>
        <v/>
      </c>
      <c r="H1418">
        <f>1-(1-Skills!J21/100)^Skills!K21</f>
        <v/>
      </c>
      <c r="I1418" t="inlineStr">
        <is>
          <t>1</t>
        </is>
      </c>
      <c r="J1418" t="inlineStr"/>
      <c r="K1418" t="inlineStr"/>
      <c r="L1418" t="inlineStr"/>
      <c r="M1418" t="inlineStr"/>
      <c r="N1418" t="inlineStr"/>
      <c r="O1418">
        <f>(1-Summary!$B$11)*T1418+Summary!$B$11*V1418</f>
        <v/>
      </c>
      <c r="P1418">
        <f>IF(B1433=0,0,O1418/B1433)</f>
        <v/>
      </c>
      <c r="Q1418" t="n">
        <v>0</v>
      </c>
      <c r="R1418" t="n">
        <v>0</v>
      </c>
      <c r="S1418">
        <f>IFERROR(O1418/N1418,0)</f>
        <v/>
      </c>
      <c r="T1418" t="n">
        <v>0</v>
      </c>
      <c r="V1418" t="n">
        <v>0</v>
      </c>
    </row>
    <row r="1419">
      <c r="A1419">
        <f>Skills!A22</f>
        <v/>
      </c>
      <c r="B1419">
        <f>Skills!B22</f>
        <v/>
      </c>
      <c r="C1419">
        <f>Inputs!$B$3&gt;=75</f>
        <v/>
      </c>
      <c r="D1419">
        <f>IF(Skills!C22=1,60+Inputs!$B$25+Inputs!$B$29,IF(Skills!C22=2,90+Inputs!$B$26+Inputs!$B$29,IF(Skills!C22=3,120+Inputs!$B$27+Inputs!$B$29,MAX(0,(Inputs!$B$3-100)*3)+Inputs!$B$28+Inputs!$B$29)))</f>
        <v/>
      </c>
      <c r="E1419">
        <f>INDEX(FactorTable!$B$2:$Y$301, MATCH(ROUND(MIN(300,MAX(1,D1419)),0), FactorTable!$A$2:$A$301,0), Skills!M22+1)</f>
        <v/>
      </c>
      <c r="F1419">
        <f>IF(Skills!N22=TRUE,(Skills!L22/10)*(E1419/1000),Skills!L22/10)+Skills!O22</f>
        <v/>
      </c>
      <c r="G1419">
        <f>Skills!G22*IF(Skills!H22&gt;0,Skills!I22/Skills!H22,1)</f>
        <v/>
      </c>
      <c r="H1419">
        <f>1-(1-Skills!J22/100)^Skills!K22</f>
        <v/>
      </c>
      <c r="I1419" t="inlineStr">
        <is>
          <t>1</t>
        </is>
      </c>
      <c r="J1419" t="inlineStr"/>
      <c r="K1419" t="inlineStr"/>
      <c r="L1419" t="inlineStr"/>
      <c r="M1419" t="inlineStr"/>
      <c r="N1419" t="inlineStr"/>
      <c r="O1419">
        <f>(1-Summary!$B$11)*T1419+Summary!$B$11*V1419</f>
        <v/>
      </c>
      <c r="P1419">
        <f>IF(B1433=0,0,O1419/B1433)</f>
        <v/>
      </c>
      <c r="Q1419" t="n">
        <v>0</v>
      </c>
      <c r="R1419" t="n">
        <v>0</v>
      </c>
      <c r="S1419">
        <f>IFERROR(O1419/N1419,0)</f>
        <v/>
      </c>
      <c r="T1419" t="n">
        <v>0</v>
      </c>
      <c r="V1419" t="n">
        <v>0</v>
      </c>
    </row>
    <row r="1420">
      <c r="A1420">
        <f>Skills!A23</f>
        <v/>
      </c>
      <c r="B1420">
        <f>Skills!B23</f>
        <v/>
      </c>
      <c r="C1420">
        <f>TRUE</f>
        <v/>
      </c>
      <c r="D1420">
        <f>IF(Skills!C23=1,60+Inputs!$B$25+Inputs!$B$29,IF(Skills!C23=2,90+Inputs!$B$26+Inputs!$B$29,IF(Skills!C23=3,120+Inputs!$B$27+Inputs!$B$29,MAX(0,(Inputs!$B$3-100)*3)+Inputs!$B$28+Inputs!$B$29)))</f>
        <v/>
      </c>
      <c r="E1420">
        <f>INDEX(FactorTable!$B$2:$Y$301, MATCH(ROUND(MIN(300,MAX(1,D1420)),0), FactorTable!$A$2:$A$301,0), Skills!M23+1)</f>
        <v/>
      </c>
      <c r="F1420">
        <f>IF(Skills!N23=TRUE,(Skills!L23/10)*(E1420/1000),Skills!L23/10)+Skills!O23</f>
        <v/>
      </c>
      <c r="G1420">
        <f>Skills!G23*IF(Skills!H23&gt;0,Skills!I23/Skills!H23,1)</f>
        <v/>
      </c>
      <c r="H1420">
        <f>1-(1-Skills!J23/100)^Skills!K23</f>
        <v/>
      </c>
      <c r="I1420" t="inlineStr">
        <is>
          <t>1</t>
        </is>
      </c>
      <c r="J1420" t="inlineStr"/>
      <c r="K1420" t="inlineStr"/>
      <c r="L1420" t="inlineStr"/>
      <c r="M1420" t="inlineStr"/>
      <c r="N1420" t="inlineStr"/>
      <c r="O1420">
        <f>(1-Summary!$B$11)*T1420+Summary!$B$11*V1420</f>
        <v/>
      </c>
      <c r="P1420">
        <f>IF(B1433=0,0,O1420/B1433)</f>
        <v/>
      </c>
      <c r="Q1420">
        <f>IFERROR(1/(IF(Inputs!$B$38="pvp",15,MAX(0.1,Skills!D23-IF(Skills!E23=TRUE,Inputs!$B$32,0)))*(1-IF(AND(ArtifactsInput!$M$27,Inputs!$B$4="Chapter Hunt"),CHOOSE(ArtifactsInput!$N$27+1,20,24,28,32,36,40),0)/100)),0)</f>
        <v/>
      </c>
      <c r="R1420">
        <f>IF(AND(Inputs!$B$38&lt;&gt;"pvp",Inputs!$B$43&gt;0),IF(Inputs!$B$43&lt;=0,0,(INT(Inputs!$B$43/(IF(Inputs!$B$38="pvp",15,MAX(0.1,Skills!D23-IF(Skills!E23=TRUE,Inputs!$B$32,0)))*(1-IF(AND(ArtifactsInput!$M$27,Inputs!$B$4="Chapter Hunt"),CHOOSE(ArtifactsInput!$N$27+1,20,24,28,32,36,40),0)/100)))+1)),0)</f>
        <v/>
      </c>
      <c r="S1420">
        <f>IFERROR(O1420/N1420,0)</f>
        <v/>
      </c>
      <c r="T1420" t="n">
        <v>0</v>
      </c>
      <c r="V1420" t="n">
        <v>0</v>
      </c>
    </row>
    <row r="1422">
      <c r="A1422" t="inlineStr">
        <is>
          <t>Attack% Bucket Multiplier</t>
        </is>
      </c>
      <c r="B1422">
        <f>(1+(((C1410=TRUE)*F1410*5/7)+((C1416=TRUE)*(F1416-Calc!F19))+(IF(ArtifactsInput!$M$21,CHOOSE(ArtifactsInput!$N$21+1,25,30,35,40,45,50)*(IF(OR(Inputs!$B$4="Chapter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23">
      <c r="A1423" t="inlineStr">
        <is>
          <t>Global Crit Rate Bonus %</t>
        </is>
      </c>
      <c r="B1423" t="n">
        <v>0</v>
      </c>
    </row>
    <row r="1424">
      <c r="A1424" t="inlineStr">
        <is>
          <t>Attack Speed Buff Bonus % (Nimble Feet, duty-cycle averaged)</t>
        </is>
      </c>
      <c r="B1424">
        <f>((C1420=TRUE)*F1420*IF(AND(Inputs!$B$38&lt;&gt;"pvp",Inputs!$B$43&gt;0),(((R1420-1)*(Skills!T23*(1+Inputs!$B$34/100))+MIN((Skills!T23*(1+Inputs!$B$34/100)),MAX(0,Inputs!$B$43-((R1420-1)*Skills!D23))))/Inputs!$B$43),IF(Inputs!$B$38="pvp",MIN((Skills!T23*(1+Inputs!$B$34/100)),15)/15,(Skills!T23*(1+Inputs!$B$34/100))/Skills!D23)))</f>
        <v/>
      </c>
    </row>
    <row r="1425">
      <c r="A1425" t="inlineStr">
        <is>
          <t>Actions Per Second</t>
        </is>
      </c>
      <c r="B1425">
        <f>1+MIN(150,150*(1-(1-(Inputs!$B$11+((C1414=TRUE)*(F1414-Calc!F17))+((C1415=TRUE)*(F1415-Calc!F18)))/150)*(1-B1424/150)))/100</f>
        <v/>
      </c>
    </row>
    <row r="1426">
      <c r="A1426" t="inlineStr">
        <is>
          <t>Skill + Buff Cast Rate</t>
        </is>
      </c>
      <c r="B1426">
        <f>IF(AND(Inputs!$B$38&lt;&gt;"pvp",Inputs!$B$43&gt;0),SUMPRODUCT((Skills!E2:E23=TRUE)*(C1399:C1420=TRUE)*R1399:R1420*Skills!F2:F23)/Inputs!$B$43,SUMPRODUCT((Skills!E2:E23=TRUE)*(C1399:C1420=TRUE)*Q1399:Q1420*Skills!F2:F23))</f>
        <v/>
      </c>
    </row>
    <row r="1427">
      <c r="A1427" t="inlineStr">
        <is>
          <t>Hook Bomber Casts Per Second</t>
        </is>
      </c>
      <c r="B1427">
        <f>MAX(0,B1425-B1426)</f>
        <v/>
      </c>
    </row>
    <row r="1428">
      <c r="A1428" t="inlineStr">
        <is>
          <t>Global Critical Damage Bonus % (unused)</t>
        </is>
      </c>
      <c r="B1428" t="n">
        <v>0</v>
      </c>
    </row>
    <row r="1429">
      <c r="A1429" t="inlineStr">
        <is>
          <t>Global Final Damage Bonus % (Serpent Scale + Crossbones + Time Leap + Speed Infusion)</t>
        </is>
      </c>
      <c r="B1429">
        <f>((C1402=TRUE)*F1402*((10+IF(Inputs!$B$3&gt;=94,5,0))/((10+IF(Inputs!$B$3&gt;=94,5,0))+5/(B1427*(1+IF(Inputs!$B$3&gt;=104,1,0))))))+((C1411=TRUE)*F1411*IF(AND(Inputs!$B$38&lt;&gt;"pvp",Inputs!$B$43&gt;0),(((R1411-1)*(Skills!T14*(1+Inputs!$B$34/100))+MIN((Skills!T14*(1+Inputs!$B$34/100)),MAX(0,Inputs!$B$43-((R1411-1)*Skills!D14))))/Inputs!$B$43),IF(Inputs!$B$38="pvp",MIN((Skills!T14*(1+Inputs!$B$34/100)),15)/15,(Skills!T14*(1+Inputs!$B$34/100))/Skills!D14)))+((C1412=TRUE)*F1412*IF(AND(Inputs!$B$38&lt;&gt;"pvp",Inputs!$B$43&gt;0),(((R1412-1)*(Skills!T15*(1+Inputs!$B$34/100))+MIN((Skills!T15*(1+Inputs!$B$34/100)),MAX(0,Inputs!$B$43-((R1412-1)*Skills!D15))))/Inputs!$B$43),IF(Inputs!$B$38="pvp",MIN((Skills!T15*(1+Inputs!$B$34/100)),15)/15,(Skills!T15*(1+Inputs!$B$34/100))/Skills!D15)))+((Inputs!$B$3&gt;=110)*20*(B1425-1)*IF(Inputs!$B$38="pvp",MIN((15*(1+Inputs!$B$34/100)),15)/15,(15*(1+Inputs!$B$34/100))/35))</f>
        <v/>
      </c>
    </row>
    <row r="1430">
      <c r="A1430" t="inlineStr">
        <is>
          <t>Buff-Casting Startup Delay (s, fixed-duration only)</t>
        </is>
      </c>
      <c r="B1430">
        <f>IF(AND(Inputs!$B$38&lt;&gt;"pvp",Inputs!$B$43&gt;0),SUMPRODUCT((Skills!T2:T23&gt;0)*(Skills!E2:E23=TRUE)*(C1399:C1420=TRUE))/B1425,0)</f>
        <v/>
      </c>
    </row>
    <row r="1431">
      <c r="A1431" t="inlineStr">
        <is>
          <t>Boss-Only Total DPS (this block's swept value)</t>
        </is>
      </c>
      <c r="B1431">
        <f>SUM(T1399:T1420)</f>
        <v/>
      </c>
    </row>
    <row r="1432">
      <c r="A1432" t="inlineStr">
        <is>
          <t>Normal-Only Total DPS (this block's swept value)</t>
        </is>
      </c>
      <c r="B1432">
        <f>SUM(V1399:V1420)</f>
        <v/>
      </c>
    </row>
    <row r="1433">
      <c r="A1433" s="6" t="inlineStr">
        <is>
          <t>TOTAL DPS</t>
        </is>
      </c>
      <c r="B1433" s="6">
        <f>SUM(O1399:O1420)</f>
        <v/>
      </c>
    </row>
    <row r="1436">
      <c r="A1436" s="6" t="inlineStr">
        <is>
          <t>Stat: Athena Pierce's Old Gloves (Equip)</t>
        </is>
      </c>
    </row>
    <row r="1437">
      <c r="A1437" s="5" t="inlineStr">
        <is>
          <t>Key</t>
        </is>
      </c>
      <c r="B1437" s="5" t="inlineStr">
        <is>
          <t>Name</t>
        </is>
      </c>
      <c r="C1437" s="5" t="inlineStr">
        <is>
          <t>Unlocked</t>
        </is>
      </c>
      <c r="D1437" s="5" t="inlineStr">
        <is>
          <t>InputLevel</t>
        </is>
      </c>
      <c r="E1437" s="5" t="inlineStr">
        <is>
          <t>Factor</t>
        </is>
      </c>
      <c r="F1437" s="5" t="inlineStr">
        <is>
          <t>CoefficientPercent</t>
        </is>
      </c>
      <c r="G1437" s="5" t="inlineStr">
        <is>
          <t>EffectiveHits</t>
        </is>
      </c>
      <c r="H1437" s="5" t="inlineStr">
        <is>
          <t>ProcProbability</t>
        </is>
      </c>
      <c r="I1437" s="5" t="inlineStr">
        <is>
          <t>MapleHeroMultiplier</t>
        </is>
      </c>
      <c r="J1437" s="5" t="inlineStr">
        <is>
          <t>BaseDamage</t>
        </is>
      </c>
      <c r="K1437" s="5" t="inlineStr">
        <is>
          <t>BaseHitDamage</t>
        </is>
      </c>
      <c r="L1437" s="5" t="inlineStr">
        <is>
          <t>NonCritAvg</t>
        </is>
      </c>
      <c r="M1437" s="5" t="inlineStr">
        <is>
          <t>CritAvg</t>
        </is>
      </c>
      <c r="N1437" s="5" t="inlineStr">
        <is>
          <t>ExpectedDamage(perHit)</t>
        </is>
      </c>
      <c r="O1437" s="5" t="inlineStr">
        <is>
          <t>DPS</t>
        </is>
      </c>
      <c r="P1437" s="5" t="inlineStr">
        <is>
          <t>% of Total</t>
        </is>
      </c>
      <c r="Q1437" s="5" t="inlineStr">
        <is>
          <t>InvCooldown</t>
        </is>
      </c>
      <c r="R1437" s="5" t="inlineStr">
        <is>
          <t>CastsInFight</t>
        </is>
      </c>
      <c r="S1437" s="5" t="inlineStr">
        <is>
          <t>HitRate(perSec)</t>
        </is>
      </c>
      <c r="U1437" t="inlineStr">
        <is>
          <t>helpers</t>
        </is>
      </c>
    </row>
    <row r="1438">
      <c r="A1438">
        <f>Skills!A2</f>
        <v/>
      </c>
      <c r="B1438">
        <f>Skills!B2</f>
        <v/>
      </c>
      <c r="C1438">
        <f>Inputs!$B$3&gt;=100</f>
        <v/>
      </c>
      <c r="D1438" t="inlineStr"/>
      <c r="E1438" t="inlineStr"/>
      <c r="F1438">
        <f>U1440+Skills!O2</f>
        <v/>
      </c>
      <c r="G1438">
        <f>Skills!G2*IF(Skills!H2&gt;0,Skills!I2/Skills!H2,1)</f>
        <v/>
      </c>
      <c r="H1438">
        <f>1-(1-Skills!J2/100)^Skills!K2</f>
        <v/>
      </c>
      <c r="I1438" t="inlineStr">
        <is>
          <t>1</t>
        </is>
      </c>
      <c r="J1438">
        <f>((Inputs!$B$6*(1+Inputs!$B$7/100))+(((Inputs!$B$12*(1+Inputs!$B$13/100))-(Inputs!$B$12*(1+Inputs!$B$13/100)))+0.25*(Inputs!$B$14-Inputs!$B$14))*(1+Inputs!$B$7/100))*(F1438/100)</f>
        <v/>
      </c>
      <c r="K1438">
        <f>J1438*(1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1438)</f>
        <v/>
      </c>
      <c r="L1438">
        <f>K1438*(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38">
        <f>L1438*(1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8">
        <f>L1438*(1-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1438*(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8">
        <f>(1-Summary!$B$11)*T1438+Summary!$B$11*V1438</f>
        <v/>
      </c>
      <c r="P1438">
        <f>IF(B1472=0,0,O1438/B1472)</f>
        <v/>
      </c>
      <c r="Q1438" t="n">
        <v>0</v>
      </c>
      <c r="R1438" t="n">
        <v>0</v>
      </c>
      <c r="S1438">
        <f>IFERROR(O1438/N1438,0)</f>
        <v/>
      </c>
      <c r="T1438">
        <f>IF(C1438,(Skills!G2*N1438*B1466)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1438*(1-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1438*(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1438*(1-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1438*(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8">
        <f>MAX(0,(Inputs!$B$3-100)*3)+Inputs!$B$28+Inputs!$B$29</f>
        <v/>
      </c>
      <c r="V1438">
        <f>IF(C1438,(Skills!G2*N1438*B1466)*IF(Inputs!$B$38="pvp",1,(1+(Inputs!$B$21+Skills!Q2+(IF(ArtifactsInput!$M$33,CHOOSE(ArtifactsInput!$N$33+1,30,36,42,48,54,60),0))+(IF(AND(ArtifactsInput!$M$35,Inputs!$B$4&lt;&gt;"Chapter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9">
      <c r="A1439">
        <f>Skills!A3</f>
        <v/>
      </c>
      <c r="B1439">
        <f>Skills!B3</f>
        <v/>
      </c>
      <c r="C1439">
        <f>Inputs!$B$3&gt;=35</f>
        <v/>
      </c>
      <c r="D1439">
        <f>IF(Skills!C3=1,60+Inputs!$B$25+Inputs!$B$29,IF(Skills!C3=2,90+Inputs!$B$26+Inputs!$B$29,IF(Skills!C3=3,120+Inputs!$B$27+Inputs!$B$29,MAX(0,(Inputs!$B$3-100)*3)+Inputs!$B$28+Inputs!$B$29)))</f>
        <v/>
      </c>
      <c r="E1439">
        <f>INDEX(FactorTable!$B$2:$Y$301, MATCH(ROUND(MIN(300,MAX(1,D1439)),0), FactorTable!$A$2:$A$301,0), Skills!M3+1)</f>
        <v/>
      </c>
      <c r="F1439">
        <f>IF(Skills!N3=TRUE,(Skills!L3/10)*(E1439/1000),Skills!L3/10)+Skills!O3</f>
        <v/>
      </c>
      <c r="G1439">
        <f>Skills!G3*IF(Skills!H3&gt;0,Skills!I3/Skills!H3,1)</f>
        <v/>
      </c>
      <c r="H1439">
        <f>1-(1-Skills!J3/100)^Skills!K3</f>
        <v/>
      </c>
      <c r="I1439" t="inlineStr">
        <is>
          <t>1</t>
        </is>
      </c>
      <c r="J1439">
        <f>((Inputs!$B$6*(1+Inputs!$B$7/100))+(((Inputs!$B$12*(1+Inputs!$B$13/100))-(Inputs!$B$12*(1+Inputs!$B$13/100)))+0.25*(Inputs!$B$14-Inputs!$B$14))*(1+Inputs!$B$7/100))*(F1439/100)</f>
        <v/>
      </c>
      <c r="K1439">
        <f>J1439*(1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1439)</f>
        <v/>
      </c>
      <c r="L1439">
        <f>K1439*(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39">
        <f>L1439*(1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39">
        <f>L1439*(1-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1439*(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39">
        <f>(1-Summary!$B$11)*T1439+Summary!$B$11*V1439</f>
        <v/>
      </c>
      <c r="P1439">
        <f>IF(B1472=0,0,O1439/B1472)</f>
        <v/>
      </c>
      <c r="Q1439" t="n">
        <v>0</v>
      </c>
      <c r="R1439" t="n">
        <v>0</v>
      </c>
      <c r="S1439">
        <f>IFERROR(O1439/N1439,0)</f>
        <v/>
      </c>
      <c r="T1439">
        <f>IF(C1439,(Skills!G3*H1439*N1439*B1466)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1439*(1-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1439*(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1439*(1-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1439*(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39">
        <f>INDEX(FactorTable!$B$2:$Y$301, MATCH(ROUND(MIN(300,MAX(1,U1438)),0), FactorTable!$A$2:$A$301,0), 22)</f>
        <v/>
      </c>
      <c r="V1439">
        <f>IF(C1439,(Skills!G3*H1439*N1439*B1466)*IF(Inputs!$B$38="pvp",1,(1+(Inputs!$B$21+Skills!Q3+(IF(ArtifactsInput!$M$33,CHOOSE(ArtifactsInput!$N$33+1,30,36,42,48,54,60),0))+(IF(AND(ArtifactsInput!$M$35,Inputs!$B$4&lt;&gt;"Chapter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0">
      <c r="A1440">
        <f>Skills!A4</f>
        <v/>
      </c>
      <c r="B1440">
        <f>Skills!B4</f>
        <v/>
      </c>
      <c r="C1440">
        <f>Inputs!$B$3&gt;=60</f>
        <v/>
      </c>
      <c r="D1440">
        <f>IF(Skills!C4=1,60+Inputs!$B$25+Inputs!$B$29,IF(Skills!C4=2,90+Inputs!$B$26+Inputs!$B$29,IF(Skills!C4=3,120+Inputs!$B$27+Inputs!$B$29,MAX(0,(Inputs!$B$3-100)*3)+Inputs!$B$28+Inputs!$B$29)))</f>
        <v/>
      </c>
      <c r="E1440">
        <f>INDEX(FactorTable!$B$2:$Y$301, MATCH(ROUND(MIN(300,MAX(1,D1440)),0), FactorTable!$A$2:$A$301,0), Skills!M4+1)</f>
        <v/>
      </c>
      <c r="F1440">
        <f>IF(Skills!N4=TRUE,(Skills!L4/10)*(E1440/1000),Skills!L4/10)+Skills!O4</f>
        <v/>
      </c>
      <c r="G1440">
        <f>Skills!G4*IF(Skills!H4&gt;0,Skills!I4/Skills!H4,1)</f>
        <v/>
      </c>
      <c r="H1440">
        <f>1-(1-Skills!J4/100)^Skills!K4</f>
        <v/>
      </c>
      <c r="I1440" t="inlineStr">
        <is>
          <t>1</t>
        </is>
      </c>
      <c r="J1440">
        <f>((Inputs!$B$6*(1+Inputs!$B$7/100))+(((Inputs!$B$12*(1+Inputs!$B$13/100))-(Inputs!$B$12*(1+Inputs!$B$13/100)))+0.25*(Inputs!$B$14-Inputs!$B$14))*(1+Inputs!$B$7/100))*(F1440/100)</f>
        <v/>
      </c>
      <c r="K1440">
        <f>J1440*(1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1448=TRUE,F1448,0)/100)*(1+(IF(Skills!A4="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1440)</f>
        <v/>
      </c>
      <c r="L1440">
        <f>K1440*(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0">
        <f>L1440*(1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0">
        <f>L1440*(1-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1440*(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0">
        <f>(1-Summary!$B$11)*T1440+Summary!$B$11*V1440</f>
        <v/>
      </c>
      <c r="P1440">
        <f>IF(B1472=0,0,O1440/B1472)</f>
        <v/>
      </c>
      <c r="Q1440" t="n">
        <v>0</v>
      </c>
      <c r="R1440" t="n">
        <v>0</v>
      </c>
      <c r="S1440">
        <f>IFERROR(O1440/N1440,0)</f>
        <v/>
      </c>
      <c r="T1440">
        <f>IF(C1440,(Skills!G4*H1440*N1440*B1466)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1440*(1-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1440*(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1440*(1-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1440*(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40">
        <f>290*U1439/1000</f>
        <v/>
      </c>
      <c r="V1440">
        <f>IF(C1440,(Skills!G4*H1440*N1440*B1466)*IF(Inputs!$B$38="pvp",1,(1+(Inputs!$B$21+Skills!Q4+(IF(ArtifactsInput!$M$33,CHOOSE(ArtifactsInput!$N$33+1,30,36,42,48,54,60),0))+(IF(AND(ArtifactsInput!$M$35,Inputs!$B$4&lt;&gt;"Chapter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1">
      <c r="A1441">
        <f>Skills!A5</f>
        <v/>
      </c>
      <c r="B1441">
        <f>Skills!B5</f>
        <v/>
      </c>
      <c r="C1441">
        <f>Inputs!$B$3&gt;=60</f>
        <v/>
      </c>
      <c r="D1441">
        <f>IF(Skills!C5=1,60+Inputs!$B$25+Inputs!$B$29,IF(Skills!C5=2,90+Inputs!$B$26+Inputs!$B$29,IF(Skills!C5=3,120+Inputs!$B$27+Inputs!$B$29,MAX(0,(Inputs!$B$3-100)*3)+Inputs!$B$28+Inputs!$B$29)))</f>
        <v/>
      </c>
      <c r="E1441">
        <f>INDEX(FactorTable!$B$2:$Y$301, MATCH(ROUND(MIN(300,MAX(1,D1441)),0), FactorTable!$A$2:$A$301,0), Skills!M5+1)</f>
        <v/>
      </c>
      <c r="F1441">
        <f>IF(Skills!N5=TRUE,(Skills!L5/10)*(E1441/1000),Skills!L5/10)+Skills!O5</f>
        <v/>
      </c>
      <c r="G1441">
        <f>Skills!G5*IF(Skills!H5&gt;0,Skills!I5/Skills!H5,1)</f>
        <v/>
      </c>
      <c r="H1441">
        <f>1-(1-Skills!J5/100)^Skills!K5</f>
        <v/>
      </c>
      <c r="I1441" t="inlineStr">
        <is>
          <t>1</t>
        </is>
      </c>
      <c r="J1441" t="inlineStr"/>
      <c r="K1441" t="inlineStr"/>
      <c r="L1441" t="inlineStr"/>
      <c r="M1441" t="inlineStr"/>
      <c r="N1441" t="inlineStr"/>
      <c r="O1441">
        <f>(1-Summary!$B$11)*T1441+Summary!$B$11*V1441</f>
        <v/>
      </c>
      <c r="P1441">
        <f>IF(B1472=0,0,O1441/B1472)</f>
        <v/>
      </c>
      <c r="Q1441" t="n">
        <v>0</v>
      </c>
      <c r="R1441" t="n">
        <v>0</v>
      </c>
      <c r="S1441">
        <f>IFERROR(O1441/N1441,0)</f>
        <v/>
      </c>
      <c r="T1441" t="n">
        <v>0</v>
      </c>
      <c r="V1441" t="n">
        <v>0</v>
      </c>
    </row>
    <row r="1442">
      <c r="A1442">
        <f>Skills!A6</f>
        <v/>
      </c>
      <c r="B1442">
        <f>Skills!B6</f>
        <v/>
      </c>
      <c r="C1442">
        <f>Inputs!$B$3&gt;=63</f>
        <v/>
      </c>
      <c r="D1442">
        <f>IF(Skills!C6=1,60+Inputs!$B$25+Inputs!$B$29,IF(Skills!C6=2,90+Inputs!$B$26+Inputs!$B$29,IF(Skills!C6=3,120+Inputs!$B$27+Inputs!$B$29,MAX(0,(Inputs!$B$3-100)*3)+Inputs!$B$28+Inputs!$B$29)))</f>
        <v/>
      </c>
      <c r="E1442">
        <f>INDEX(FactorTable!$B$2:$Y$301, MATCH(ROUND(MIN(300,MAX(1,D1442)),0), FactorTable!$A$2:$A$301,0), Skills!M6+1)</f>
        <v/>
      </c>
      <c r="F1442">
        <f>IF(Skills!N6=TRUE,(Skills!L6/10)*(E1442/1000),Skills!L6/10)+Skills!O6</f>
        <v/>
      </c>
      <c r="G1442">
        <f>Skills!G6*IF(Skills!H6&gt;0,Skills!I6/Skills!H6,1)</f>
        <v/>
      </c>
      <c r="H1442">
        <f>1-(1-Skills!J6/100)^Skills!K6</f>
        <v/>
      </c>
      <c r="I1442" t="inlineStr">
        <is>
          <t>1</t>
        </is>
      </c>
      <c r="J1442">
        <f>((Inputs!$B$6*(1+Inputs!$B$7/100))+(((Inputs!$B$12*(1+Inputs!$B$13/100))-(Inputs!$B$12*(1+Inputs!$B$13/100)))+0.25*(Inputs!$B$14-Inputs!$B$14))*(1+Inputs!$B$7/100))*(F1442/100)</f>
        <v/>
      </c>
      <c r="K1442">
        <f>J1442*(1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1448=TRUE,F1448,0)/100)*(1+(IF(Skills!A6="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1442)</f>
        <v/>
      </c>
      <c r="L1442">
        <f>K1442*(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2">
        <f>L1442*(1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2">
        <f>L1442*(1-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1442*(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2">
        <f>(1-Summary!$B$11)*T1442+Summary!$B$11*V1442</f>
        <v/>
      </c>
      <c r="P1442">
        <f>IF(B1472=0,0,O1442/B1472)</f>
        <v/>
      </c>
      <c r="Q1442">
        <f>IFERROR(1/(IF(Inputs!$B$38="pvp",15,MAX(0.1,Skills!D6-IF(Skills!E6=TRUE,Inputs!$B$32,0)))*(1-IF(AND(ArtifactsInput!$M$27,Inputs!$B$4="Chapter Hunt"),CHOOSE(ArtifactsInput!$N$27+1,20,24,28,32,36,40),0)/100)),0)</f>
        <v/>
      </c>
      <c r="R1442">
        <f>IF(AND(Inputs!$B$38&lt;&gt;"pvp",Inputs!$B$43&gt;0),IF(MAX(0,Inputs!$B$43-B1469)&lt;=0,0,(INT(MAX(0,Inputs!$B$43-B1469)/(IF(Inputs!$B$38="pvp",15,MAX(0.1,Skills!D6-IF(Skills!E6=TRUE,Inputs!$B$32,0)))*(1-IF(AND(ArtifactsInput!$M$27,Inputs!$B$4="Chapter Hunt"),CHOOSE(ArtifactsInput!$N$27+1,20,24,28,32,36,40),0)/100)))+1)),0)</f>
        <v/>
      </c>
      <c r="S1442">
        <f>IFERROR(O1442/N1442,0)</f>
        <v/>
      </c>
      <c r="T1442">
        <f>IF(C1442,(H1442*N1442*IF(AND(Inputs!$B$38&lt;&gt;"pvp",Inputs!$B$43&gt;0),((Skills!G6*((R1442-1)*IF(Skills!H6&gt;0,Skills!I6/Skills!H6,1)+IF(Skills!H6&gt;0,MIN(Skills!I6,MAX(0,MAX(0,Inputs!$B$43-B1469)-((R1442-1)*(IF(Inputs!$B$38="pvp",15,MAX(0.1,Skills!D6-IF(Skills!E6=TRUE,Inputs!$B$32,0)))*(1-IF(AND(ArtifactsInput!$M$27,Inputs!$B$4="Chapter Hunt"),CHOOSE(ArtifactsInput!$N$27+1,20,24,28,32,36,40),0)/100)))))/Skills!H6,1)))/Inputs!$B$43),G1442*Q1442)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1442*(1-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1442*(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1442*(1-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1442*(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2">
        <f>IF(C1442,(H1442*N1442*IF(AND(Inputs!$B$38&lt;&gt;"pvp",Inputs!$B$43&gt;0),((Skills!G6*((R1442-1)*IF(Skills!H6&gt;0,Skills!I6/Skills!H6,1)+IF(Skills!H6&gt;0,MIN(Skills!I6,MAX(0,MAX(0,Inputs!$B$43-B1469)-((R1442-1)*(IF(Inputs!$B$38="pvp",15,MAX(0.1,Skills!D6-IF(Skills!E6=TRUE,Inputs!$B$32,0)))*(1-IF(AND(ArtifactsInput!$M$27,Inputs!$B$4="Chapter Hunt"),CHOOSE(ArtifactsInput!$N$27+1,20,24,28,32,36,40),0)/100)))))/Skills!H6,1)))/Inputs!$B$43),G1442*Q1442))*IF(Inputs!$B$38="pvp",1,(1+(Inputs!$B$21+Skills!Q6+(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3">
      <c r="A1443">
        <f>Skills!A7</f>
        <v/>
      </c>
      <c r="B1443">
        <f>Skills!B7</f>
        <v/>
      </c>
      <c r="C1443">
        <f>Inputs!$B$3&gt;=100</f>
        <v/>
      </c>
      <c r="D1443">
        <f>IF(Skills!C7=1,60+Inputs!$B$25+Inputs!$B$29,IF(Skills!C7=2,90+Inputs!$B$26+Inputs!$B$29,IF(Skills!C7=3,120+Inputs!$B$27+Inputs!$B$29,MAX(0,(Inputs!$B$3-100)*3)+Inputs!$B$28+Inputs!$B$29)))</f>
        <v/>
      </c>
      <c r="E1443">
        <f>INDEX(FactorTable!$B$2:$Y$301, MATCH(ROUND(MIN(300,MAX(1,D1443)),0), FactorTable!$A$2:$A$301,0), Skills!M7+1)</f>
        <v/>
      </c>
      <c r="F1443">
        <f>IF(Skills!N7=TRUE,(Skills!L7/10)*(E1443/1000),Skills!L7/10)+Skills!O7</f>
        <v/>
      </c>
      <c r="G1443">
        <f>Skills!G7*IF(Skills!H7&gt;0,Skills!I7/Skills!H7,1)</f>
        <v/>
      </c>
      <c r="H1443">
        <f>1-(1-Skills!J7/100)^Skills!K7</f>
        <v/>
      </c>
      <c r="I1443" t="inlineStr">
        <is>
          <t>1</t>
        </is>
      </c>
      <c r="J1443">
        <f>((Inputs!$B$6*(1+Inputs!$B$7/100))+(((Inputs!$B$12*(1+Inputs!$B$13/100))-(Inputs!$B$12*(1+Inputs!$B$13/100)))+0.25*(Inputs!$B$14-Inputs!$B$14))*(1+Inputs!$B$7/100))*(F1443/100)</f>
        <v/>
      </c>
      <c r="K1443">
        <f>J1443*(1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1443)</f>
        <v/>
      </c>
      <c r="L1443">
        <f>K1443*(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3">
        <f>L1443*(1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3">
        <f>L1443*(1-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1443*(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3">
        <f>(1-Summary!$B$11)*T1443+Summary!$B$11*V1443</f>
        <v/>
      </c>
      <c r="P1443">
        <f>IF(B1472=0,0,O1443/B1472)</f>
        <v/>
      </c>
      <c r="Q1443">
        <f>IFERROR(1/(IF(Inputs!$B$38="pvp",15,MAX(0.1,Skills!D7-IF(Skills!E7=TRUE,Inputs!$B$32,0)))*(1-IF(AND(ArtifactsInput!$M$27,Inputs!$B$4="Chapter Hunt"),CHOOSE(ArtifactsInput!$N$27+1,20,24,28,32,36,40),0)/100)),0)</f>
        <v/>
      </c>
      <c r="R1443">
        <f>IF(AND(Inputs!$B$38&lt;&gt;"pvp",Inputs!$B$43&gt;0),IF(MAX(0,Inputs!$B$43-B1469)&lt;=0,0,(INT(MAX(0,Inputs!$B$43-B1469)/(IF(Inputs!$B$38="pvp",15,MAX(0.1,Skills!D7-IF(Skills!E7=TRUE,Inputs!$B$32,0)))*(1-IF(AND(ArtifactsInput!$M$27,Inputs!$B$4="Chapter Hunt"),CHOOSE(ArtifactsInput!$N$27+1,20,24,28,32,36,40),0)/100)))+1)),0)</f>
        <v/>
      </c>
      <c r="S1443">
        <f>IFERROR(O1443/N1443,0)</f>
        <v/>
      </c>
      <c r="T1443">
        <f>IF(C1443,(H1443*N1443*IF(AND(Inputs!$B$38&lt;&gt;"pvp",Inputs!$B$43&gt;0),((Skills!G7*((R1443-1)*IF(Skills!H7&gt;0,Skills!I7/Skills!H7,1)+IF(Skills!H7&gt;0,MIN(Skills!I7,MAX(0,MAX(0,Inputs!$B$43-B1469)-((R1443-1)*(IF(Inputs!$B$38="pvp",15,MAX(0.1,Skills!D7-IF(Skills!E7=TRUE,Inputs!$B$32,0)))*(1-IF(AND(ArtifactsInput!$M$27,Inputs!$B$4="Chapter Hunt"),CHOOSE(ArtifactsInput!$N$27+1,20,24,28,32,36,40),0)/100)))))/Skills!H7,1)))/Inputs!$B$43),G1443*Q1443)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1443*(1-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1443*(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1443*(1-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1443*(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3">
        <f>IF(C1443,(H1443*N1443*IF(AND(Inputs!$B$38&lt;&gt;"pvp",Inputs!$B$43&gt;0),((Skills!G7*((R1443-1)*IF(Skills!H7&gt;0,Skills!I7/Skills!H7,1)+IF(Skills!H7&gt;0,MIN(Skills!I7,MAX(0,MAX(0,Inputs!$B$43-B1469)-((R1443-1)*(IF(Inputs!$B$38="pvp",15,MAX(0.1,Skills!D7-IF(Skills!E7=TRUE,Inputs!$B$32,0)))*(1-IF(AND(ArtifactsInput!$M$27,Inputs!$B$4="Chapter Hunt"),CHOOSE(ArtifactsInput!$N$27+1,20,24,28,32,36,40),0)/100)))))/Skills!H7,1)))/Inputs!$B$43),G1443*Q1443))*IF(Inputs!$B$38="pvp",1,(1+(Inputs!$B$21+Skills!Q7+(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4">
      <c r="A1444">
        <f>Skills!A8</f>
        <v/>
      </c>
      <c r="B1444">
        <f>Skills!B8</f>
        <v/>
      </c>
      <c r="C1444">
        <f>Inputs!$B$3&gt;=110</f>
        <v/>
      </c>
      <c r="D1444">
        <f>IF(Skills!C8=1,60+Inputs!$B$25+Inputs!$B$29,IF(Skills!C8=2,90+Inputs!$B$26+Inputs!$B$29,IF(Skills!C8=3,120+Inputs!$B$27+Inputs!$B$29,MAX(0,(Inputs!$B$3-100)*3)+Inputs!$B$28+Inputs!$B$29)))</f>
        <v/>
      </c>
      <c r="E1444">
        <f>INDEX(FactorTable!$B$2:$Y$301, MATCH(ROUND(MIN(300,MAX(1,D1444)),0), FactorTable!$A$2:$A$301,0), Skills!M8+1)</f>
        <v/>
      </c>
      <c r="F1444">
        <f>IF(Skills!N8=TRUE,(Skills!L8/10)*(E1444/1000),Skills!L8/10)+Skills!O8</f>
        <v/>
      </c>
      <c r="G1444">
        <f>Skills!G8*IF(Skills!H8&gt;0,Skills!I8/Skills!H8,1)</f>
        <v/>
      </c>
      <c r="H1444">
        <f>1-(1-Skills!J8/100)^Skills!K8</f>
        <v/>
      </c>
      <c r="I1444" t="inlineStr">
        <is>
          <t>1</t>
        </is>
      </c>
      <c r="J1444">
        <f>((Inputs!$B$6*(1+Inputs!$B$7/100))+(((Inputs!$B$12*(1+Inputs!$B$13/100))-(Inputs!$B$12*(1+Inputs!$B$13/100)))+0.25*(Inputs!$B$14-Inputs!$B$14))*(1+Inputs!$B$7/100))*(F1444/100)</f>
        <v/>
      </c>
      <c r="K1444">
        <f>J1444*(1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1444)</f>
        <v/>
      </c>
      <c r="L1444">
        <f>K1444*(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4">
        <f>L1444*(1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4">
        <f>L1444*(1-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1444*(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4">
        <f>(1-Summary!$B$11)*T1444+Summary!$B$11*V1444</f>
        <v/>
      </c>
      <c r="P1444">
        <f>IF(B1472=0,0,O1444/B1472)</f>
        <v/>
      </c>
      <c r="Q1444">
        <f>IFERROR(1/(IF(Inputs!$B$38="pvp",15,MAX(0.1,Skills!D8-IF(Skills!E8=TRUE,Inputs!$B$32,0)))*(1-IF(AND(ArtifactsInput!$M$27,Inputs!$B$4="Chapter Hunt"),CHOOSE(ArtifactsInput!$N$27+1,20,24,28,32,36,40),0)/100)),0)</f>
        <v/>
      </c>
      <c r="R1444">
        <f>IF(AND(Inputs!$B$38&lt;&gt;"pvp",Inputs!$B$43&gt;0),IF(MAX(0,Inputs!$B$43-B1469)&lt;=0,0,(INT(MAX(0,Inputs!$B$43-B1469)/(IF(Inputs!$B$38="pvp",15,MAX(0.1,Skills!D8-IF(Skills!E8=TRUE,Inputs!$B$32,0)))*(1-IF(AND(ArtifactsInput!$M$27,Inputs!$B$4="Chapter Hunt"),CHOOSE(ArtifactsInput!$N$27+1,20,24,28,32,36,40),0)/100)))+1)),0)</f>
        <v/>
      </c>
      <c r="S1444">
        <f>IFERROR(O1444/N1444,0)</f>
        <v/>
      </c>
      <c r="T1444">
        <f>IF(C1444,(H1444*N1444*IF(AND(Inputs!$B$38&lt;&gt;"pvp",Inputs!$B$43&gt;0),((Skills!G8*((R1444-1)*IF(Skills!H8&gt;0,Skills!I8/Skills!H8,1)+IF(Skills!H8&gt;0,MIN(Skills!I8,MAX(0,MAX(0,Inputs!$B$43-B1469)-((R1444-1)*(IF(Inputs!$B$38="pvp",15,MAX(0.1,Skills!D8-IF(Skills!E8=TRUE,Inputs!$B$32,0)))*(1-IF(AND(ArtifactsInput!$M$27,Inputs!$B$4="Chapter Hunt"),CHOOSE(ArtifactsInput!$N$27+1,20,24,28,32,36,40),0)/100)))))/Skills!H8,1)))/Inputs!$B$43),G1444*Q1444)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1444*(1-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1444*(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1444*(1-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1444*(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4">
        <f>IF(C1444,(H1444*N1444*IF(AND(Inputs!$B$38&lt;&gt;"pvp",Inputs!$B$43&gt;0),((Skills!G8*((R1444-1)*IF(Skills!H8&gt;0,Skills!I8/Skills!H8,1)+IF(Skills!H8&gt;0,MIN(Skills!I8,MAX(0,MAX(0,Inputs!$B$43-B1469)-((R1444-1)*(IF(Inputs!$B$38="pvp",15,MAX(0.1,Skills!D8-IF(Skills!E8=TRUE,Inputs!$B$32,0)))*(1-IF(AND(ArtifactsInput!$M$27,Inputs!$B$4="Chapter Hunt"),CHOOSE(ArtifactsInput!$N$27+1,20,24,28,32,36,40),0)/100)))))/Skills!H8,1)))/Inputs!$B$43),G1444*Q1444))*IF(Inputs!$B$38="pvp",1,(1+(Inputs!$B$21+Skills!Q8+(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5">
      <c r="A1445">
        <f>Skills!A9</f>
        <v/>
      </c>
      <c r="B1445">
        <f>Skills!B9</f>
        <v/>
      </c>
      <c r="C1445">
        <f>Inputs!$B$3&gt;=110</f>
        <v/>
      </c>
      <c r="D1445">
        <f>IF(Skills!C9=1,60+Inputs!$B$25+Inputs!$B$29,IF(Skills!C9=2,90+Inputs!$B$26+Inputs!$B$29,IF(Skills!C9=3,120+Inputs!$B$27+Inputs!$B$29,MAX(0,(Inputs!$B$3-100)*3)+Inputs!$B$28+Inputs!$B$29)))</f>
        <v/>
      </c>
      <c r="E1445">
        <f>INDEX(FactorTable!$B$2:$Y$301, MATCH(ROUND(MIN(300,MAX(1,D1445)),0), FactorTable!$A$2:$A$301,0), Skills!M9+1)</f>
        <v/>
      </c>
      <c r="F1445">
        <f>IF(Skills!N9=TRUE,(Skills!L9/10)*(E1445/1000),Skills!L9/10)+Skills!O9</f>
        <v/>
      </c>
      <c r="G1445">
        <f>Skills!G9*IF(Skills!H9&gt;0,Skills!I9/Skills!H9,1)</f>
        <v/>
      </c>
      <c r="H1445">
        <f>1-(1-Skills!J9/100)^Skills!K9</f>
        <v/>
      </c>
      <c r="I1445" t="inlineStr">
        <is>
          <t>1</t>
        </is>
      </c>
      <c r="J1445">
        <f>((Inputs!$B$6*(1+Inputs!$B$7/100))+(((Inputs!$B$12*(1+Inputs!$B$13/100))-(Inputs!$B$12*(1+Inputs!$B$13/100)))+0.25*(Inputs!$B$14-Inputs!$B$14))*(1+Inputs!$B$7/100))*(F1445/100)</f>
        <v/>
      </c>
      <c r="K1445">
        <f>J1445*(1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1445)</f>
        <v/>
      </c>
      <c r="L1445">
        <f>K1445*(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5">
        <f>L1445*(1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5">
        <f>L1445*(1-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1445*(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5">
        <f>(1-Summary!$B$11)*T1445+Summary!$B$11*V1445</f>
        <v/>
      </c>
      <c r="P1445">
        <f>IF(B1472=0,0,O1445/B1472)</f>
        <v/>
      </c>
      <c r="Q1445">
        <f>IFERROR(1/(IF(Inputs!$B$38="pvp",15,MAX(0.1,Skills!D9-IF(Skills!E9=TRUE,Inputs!$B$32,0)))*(1-IF(AND(ArtifactsInput!$M$27,Inputs!$B$4="Chapter Hunt"),CHOOSE(ArtifactsInput!$N$27+1,20,24,28,32,36,40),0)/100)),0)</f>
        <v/>
      </c>
      <c r="R1445">
        <f>IF(AND(Inputs!$B$38&lt;&gt;"pvp",Inputs!$B$43&gt;0),IF(MAX(0,Inputs!$B$43-B1469)&lt;=0,0,(INT(MAX(0,Inputs!$B$43-B1469)/(IF(Inputs!$B$38="pvp",15,MAX(0.1,Skills!D9-IF(Skills!E9=TRUE,Inputs!$B$32,0)))*(1-IF(AND(ArtifactsInput!$M$27,Inputs!$B$4="Chapter Hunt"),CHOOSE(ArtifactsInput!$N$27+1,20,24,28,32,36,40),0)/100)))+1)),0)</f>
        <v/>
      </c>
      <c r="S1445">
        <f>IFERROR(O1445/N1445,0)</f>
        <v/>
      </c>
      <c r="T1445">
        <f>IF(C1445,(H1445*N1445*IF(AND(Inputs!$B$38&lt;&gt;"pvp",Inputs!$B$43&gt;0),((Skills!G9*((R1445-1)*IF(Skills!H9&gt;0,Skills!I9/Skills!H9,1)+IF(Skills!H9&gt;0,MIN(Skills!I9,MAX(0,MAX(0,Inputs!$B$43-B1469)-((R1445-1)*(IF(Inputs!$B$38="pvp",15,MAX(0.1,Skills!D9-IF(Skills!E9=TRUE,Inputs!$B$32,0)))*(1-IF(AND(ArtifactsInput!$M$27,Inputs!$B$4="Chapter Hunt"),CHOOSE(ArtifactsInput!$N$27+1,20,24,28,32,36,40),0)/100)))))/Skills!H9,1)))/Inputs!$B$43),G1445*Q1445)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1445*(1-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1445*(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1445*(1-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1445*(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5">
        <f>IF(C1445,(H1445*N1445*IF(AND(Inputs!$B$38&lt;&gt;"pvp",Inputs!$B$43&gt;0),((Skills!G9*((R1445-1)*IF(Skills!H9&gt;0,Skills!I9/Skills!H9,1)+IF(Skills!H9&gt;0,MIN(Skills!I9,MAX(0,MAX(0,Inputs!$B$43-B1469)-((R1445-1)*(IF(Inputs!$B$38="pvp",15,MAX(0.1,Skills!D9-IF(Skills!E9=TRUE,Inputs!$B$32,0)))*(1-IF(AND(ArtifactsInput!$M$27,Inputs!$B$4="Chapter Hunt"),CHOOSE(ArtifactsInput!$N$27+1,20,24,28,32,36,40),0)/100)))))/Skills!H9,1)))/Inputs!$B$43),G1445*Q1445))*IF(Inputs!$B$38="pvp",1,(1+(Inputs!$B$21+Skills!Q9+(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6">
      <c r="A1446">
        <f>Skills!A10</f>
        <v/>
      </c>
      <c r="B1446">
        <f>Skills!B10</f>
        <v/>
      </c>
      <c r="C1446">
        <f>Inputs!$B$3&gt;=103</f>
        <v/>
      </c>
      <c r="D1446">
        <f>IF(Skills!C10=1,60+Inputs!$B$25+Inputs!$B$29,IF(Skills!C10=2,90+Inputs!$B$26+Inputs!$B$29,IF(Skills!C10=3,120+Inputs!$B$27+Inputs!$B$29,MAX(0,(Inputs!$B$3-100)*3)+Inputs!$B$28+Inputs!$B$29)))</f>
        <v/>
      </c>
      <c r="E1446">
        <f>INDEX(FactorTable!$B$2:$Y$301, MATCH(ROUND(MIN(300,MAX(1,D1446)),0), FactorTable!$A$2:$A$301,0), Skills!M10+1)</f>
        <v/>
      </c>
      <c r="F1446">
        <f>IF(Skills!N10=TRUE,(Skills!L10/10)*(E1446/1000),Skills!L10/10)+Skills!O10</f>
        <v/>
      </c>
      <c r="G1446">
        <f>Skills!G10*IF(Skills!H10&gt;0,Skills!I10/Skills!H10,1)</f>
        <v/>
      </c>
      <c r="H1446">
        <f>1-(1-Skills!J10/100)^Skills!K10</f>
        <v/>
      </c>
      <c r="I1446" t="inlineStr">
        <is>
          <t>1</t>
        </is>
      </c>
      <c r="J1446">
        <f>((Inputs!$B$6*(1+Inputs!$B$7/100))+(((Inputs!$B$12*(1+Inputs!$B$13/100))-(Inputs!$B$12*(1+Inputs!$B$13/100)))+0.25*(Inputs!$B$14-Inputs!$B$14))*(1+Inputs!$B$7/100))*(F1446/100)</f>
        <v/>
      </c>
      <c r="K1446">
        <f>J1446*(1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1446)</f>
        <v/>
      </c>
      <c r="L1446">
        <f>K1446*(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6">
        <f>L1446*(1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6">
        <f>L1446*(1-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1446*(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6">
        <f>(1-Summary!$B$11)*T1446+Summary!$B$11*V1446</f>
        <v/>
      </c>
      <c r="P1446">
        <f>IF(B1472=0,0,O1446/B1472)</f>
        <v/>
      </c>
      <c r="Q1446">
        <f>IFERROR(1/(IF(Inputs!$B$38="pvp",15,MAX(0.1,Skills!D10-IF(Skills!E10=TRUE,Inputs!$B$32,0)))*(1-IF(AND(ArtifactsInput!$M$27,Inputs!$B$4="Chapter Hunt"),CHOOSE(ArtifactsInput!$N$27+1,20,24,28,32,36,40),0)/100)),0)</f>
        <v/>
      </c>
      <c r="R1446">
        <f>IF(AND(Inputs!$B$38&lt;&gt;"pvp",Inputs!$B$43&gt;0),IF(MAX(0,Inputs!$B$43-B1469)&lt;=0,0,(INT(MAX(0,Inputs!$B$43-B1469)/(IF(Inputs!$B$38="pvp",15,MAX(0.1,Skills!D10-IF(Skills!E10=TRUE,Inputs!$B$32,0)))*(1-IF(AND(ArtifactsInput!$M$27,Inputs!$B$4="Chapter Hunt"),CHOOSE(ArtifactsInput!$N$27+1,20,24,28,32,36,40),0)/100)))+1)),0)</f>
        <v/>
      </c>
      <c r="S1446">
        <f>IFERROR(O1446/N1446,0)</f>
        <v/>
      </c>
      <c r="T1446">
        <f>IF(C1446,(H1446*N1446*IF(AND(Inputs!$B$38&lt;&gt;"pvp",Inputs!$B$43&gt;0),((Skills!G10*((R1446-1)*IF(Skills!H10&gt;0,Skills!I10/Skills!H10,1)+IF(Skills!H10&gt;0,MIN(Skills!I10,MAX(0,MAX(0,Inputs!$B$43-B1469)-((R1446-1)*(IF(Inputs!$B$38="pvp",15,MAX(0.1,Skills!D10-IF(Skills!E10=TRUE,Inputs!$B$32,0)))*(1-IF(AND(ArtifactsInput!$M$27,Inputs!$B$4="Chapter Hunt"),CHOOSE(ArtifactsInput!$N$27+1,20,24,28,32,36,40),0)/100)))))/Skills!H10,1)))/Inputs!$B$43),G1446*Q1446)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1446*(1-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1446*(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1446*(1-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1446*(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6">
        <f>IF(C1446,(H1446*N1446*IF(AND(Inputs!$B$38&lt;&gt;"pvp",Inputs!$B$43&gt;0),((Skills!G10*((R1446-1)*IF(Skills!H10&gt;0,Skills!I10/Skills!H10,1)+IF(Skills!H10&gt;0,MIN(Skills!I10,MAX(0,MAX(0,Inputs!$B$43-B1469)-((R1446-1)*(IF(Inputs!$B$38="pvp",15,MAX(0.1,Skills!D10-IF(Skills!E10=TRUE,Inputs!$B$32,0)))*(1-IF(AND(ArtifactsInput!$M$27,Inputs!$B$4="Chapter Hunt"),CHOOSE(ArtifactsInput!$N$27+1,20,24,28,32,36,40),0)/100)))))/Skills!H10,1)))/Inputs!$B$43),G1446*Q1446))*IF(Inputs!$B$38="pvp",1,(1+(Inputs!$B$21+Skills!Q10+(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7">
      <c r="A1447">
        <f>Skills!A11</f>
        <v/>
      </c>
      <c r="B1447">
        <f>Skills!B11</f>
        <v/>
      </c>
      <c r="C1447">
        <f>Inputs!$B$3&gt;=113</f>
        <v/>
      </c>
      <c r="D1447">
        <f>IF(Skills!C11=1,60+Inputs!$B$25+Inputs!$B$29,IF(Skills!C11=2,90+Inputs!$B$26+Inputs!$B$29,IF(Skills!C11=3,120+Inputs!$B$27+Inputs!$B$29,MAX(0,(Inputs!$B$3-100)*3)+Inputs!$B$28+Inputs!$B$29)))</f>
        <v/>
      </c>
      <c r="E1447">
        <f>INDEX(FactorTable!$B$2:$Y$301, MATCH(ROUND(MIN(300,MAX(1,D1447)),0), FactorTable!$A$2:$A$301,0), Skills!M11+1)</f>
        <v/>
      </c>
      <c r="F1447">
        <f>IF(Skills!N11=TRUE,(Skills!L11/10)*(E1447/1000),Skills!L11/10)+Skills!O11</f>
        <v/>
      </c>
      <c r="G1447">
        <f>Skills!G11*IF(Skills!H11&gt;0,Skills!I11/Skills!H11,1)</f>
        <v/>
      </c>
      <c r="H1447">
        <f>1-(1-Skills!J11/100)^Skills!K11</f>
        <v/>
      </c>
      <c r="I1447" t="inlineStr">
        <is>
          <t>1</t>
        </is>
      </c>
      <c r="J1447">
        <f>((Inputs!$B$6*(1+Inputs!$B$7/100))+(((Inputs!$B$12*(1+Inputs!$B$13/100))-(Inputs!$B$12*(1+Inputs!$B$13/100)))+0.25*(Inputs!$B$14-Inputs!$B$14))*(1+Inputs!$B$7/100))*(F1447/100)</f>
        <v/>
      </c>
      <c r="K1447">
        <f>J1447*(1+((Inputs!$B$12*(1+Inputs!$B$13/100))*0.01+Inputs!$B$14*0.0025)/100)*(1+Inputs!$B$15/100)*(1+Inputs!$B$16/100)*(5000/(6000+Inputs!$B$42*(1-(100*(1-(1-(Inputs!$B$19+0)/100)*(1-CHOOSE(ArtifactsInput!$N$40+1,5,6,7,8,9,10)/100)^(ArtifactsInput!$M$40-ArtifactsInput!$M$40)))/100)))*(1+(Inputs!$B$24+((C1458=TRUE)*(F1458-Calc!F22))+B1468)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1457=TRUE)*(F1457-Calc!F21))+(((IF(AND(ArtifactsInput!$M$42,((Inputs!$B$9+((C1452=TRUE)*(F1452-Calc!F16))+B1462+(ArtifactsInput!$M$24-ArtifactsInput!$M$24)*CHOOSE(ArtifactsInput!$N$24+1,10,12,14,16,18,20)+IF(ArtifactsInput!$M$10,CHOOSE(ArtifactsInput!$N$10+1,15,18,21,24,27,30)*(IF(Inputs!$B$38="pvp",MIN(15,15)/15,IF(AND(Inputs!$B$38&lt;&gt;"pvp",Inputs!$B$43&gt;0),MIN(15,Inputs!$B$43)/(Inputs!$B$43),0))),0)))&gt;=100),MIN(100,((Inputs!$B$9+((C1452=TRUE)*(F1452-Calc!F16))+B1462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1452=TRUE)*(F1452-Calc!F16))+B1462+(ArtifactsInput!$M$24-ArtifactsInput!$M$24)*CHOOSE(ArtifactsInput!$N$24+1,10,12,14,16,18,20)+IF(ArtifactsInput!$M$10,CHOOSE(ArtifactsInput!$N$10+1,15,18,21,24,27,30)*(IF(Inputs!$B$38="pvp",MIN(15,15)/15,IF(AND(Inputs!$B$38&lt;&gt;"pvp",Inputs!$B$43&gt;0),MIN(15,Inputs!$B$43)/(Inputs!$B$43),0))),0)))&gt;=100),CHOOSE(ArtifactsInput!$N$42+1,40,48,56,64,72,80),0))))/100)*((1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1447)</f>
        <v/>
      </c>
      <c r="L1447">
        <f>K1447*(MIN(Inputs!$B$22+((C1456=TRUE)*(F1456-Calc!F20)),(Inputs!$B$23+0+((IF(IF(ArtifactsInput!$M$15,FALSE,TRUE),1,-1)*CHOOSE(ArtifactsInput!$N$15+1,25,30,35,40,45,50)/100*IF(IF(ArtifactsInput!$M$15,FALSE,TRUE),(Inputs!$B$11+((C1453=TRUE)*(F1453-Calc!F17))+((C1454=TRUE)*(F1454-Calc!F18))+(IF(ArtifactsInput!$M$15,FALSE,TRUE)-ArtifactsInput!$M$15)*CHOOSE(ArtifactsInput!$N$15+1,8,9.6,11.2,12.8,14.4,16)),Inputs!$B$11)))))/100+(Inputs!$B$23+0+((IF(IF(ArtifactsInput!$M$15,FALSE,TRUE),1,-1)*CHOOSE(ArtifactsInput!$N$15+1,25,30,35,40,45,50)/100*IF(IF(ArtifactsInput!$M$15,FALSE,TRUE),(Inputs!$B$11+((C1453=TRUE)*(F1453-Calc!F17))+((C1454=TRUE)*(F1454-Calc!F18))+(IF(ArtifactsInput!$M$15,FALSE,TRUE)-ArtifactsInput!$M$15)*CHOOSE(ArtifactsInput!$N$15+1,8,9.6,11.2,12.8,14.4,16)),Inputs!$B$11))))/100)/2</f>
        <v/>
      </c>
      <c r="M1447">
        <f>L1447*(1+(Inputs!$B$10+0+B1467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47">
        <f>L1447*(1-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1447*(MIN((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47">
        <f>(1-Summary!$B$11)*T1447+Summary!$B$11*V1447</f>
        <v/>
      </c>
      <c r="P1447">
        <f>IF(B1472=0,0,O1447/B1472)</f>
        <v/>
      </c>
      <c r="Q1447">
        <f>IFERROR(1/(IF(Inputs!$B$38="pvp",15,MAX(0.1,Skills!D11-IF(Skills!E11=TRUE,Inputs!$B$32,0)))*(1-IF(AND(ArtifactsInput!$M$27,Inputs!$B$4="Chapter Hunt"),CHOOSE(ArtifactsInput!$N$27+1,20,24,28,32,36,40),0)/100)),0)</f>
        <v/>
      </c>
      <c r="R1447">
        <f>IF(AND(Inputs!$B$38&lt;&gt;"pvp",Inputs!$B$43&gt;0),IF(MAX(0,Inputs!$B$43-B1469)&lt;=0,0,(INT(MAX(0,Inputs!$B$43-B1469)/(IF(Inputs!$B$38="pvp",15,MAX(0.1,Skills!D11-IF(Skills!E11=TRUE,Inputs!$B$32,0)))*(1-IF(AND(ArtifactsInput!$M$27,Inputs!$B$4="Chapter Hunt"),CHOOSE(ArtifactsInput!$N$27+1,20,24,28,32,36,40),0)/100)))+1)),0)</f>
        <v/>
      </c>
      <c r="S1447">
        <f>IFERROR(O1447/N1447,0)</f>
        <v/>
      </c>
      <c r="T1447">
        <f>IF(C1447,(H1447*N1447*IF(AND(Inputs!$B$38&lt;&gt;"pvp",Inputs!$B$43&gt;0),((Skills!G11*((R1447-1)*IF(Skills!H11&gt;0,Skills!I11/Skills!H11,1)+IF(Skills!H11&gt;0,MIN(Skills!I11,MAX(0,MAX(0,Inputs!$B$43-B1469)-((R1447-1)*(IF(Inputs!$B$38="pvp",15,MAX(0.1,Skills!D11-IF(Skills!E11=TRUE,Inputs!$B$32,0)))*(1-IF(AND(ArtifactsInput!$M$27,Inputs!$B$4="Chapter Hunt"),CHOOSE(ArtifactsInput!$N$27+1,20,24,28,32,36,40),0)/100)))))/Skills!H11,1)))/Inputs!$B$43),G1447*Q1447)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1447*(1-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1447*(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1447*(1-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1447*(MIN(100,(Inputs!$B$9+((C1452=TRUE)*(F1452-Calc!F16))+B1462+(ArtifactsInput!$M$24-ArtifactsInput!$M$24)*CHOOSE(ArtifactsInput!$N$24+1,10,12,14,16,18,20)+(IF(AND(ArtifactsInput!$M$42,((Inputs!$B$9+((C1452=TRUE)*(F1452-Calc!F16))+B1462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47">
        <f>IF(C1447,(H1447*N1447*IF(AND(Inputs!$B$38&lt;&gt;"pvp",Inputs!$B$43&gt;0),((Skills!G11*((R1447-1)*IF(Skills!H11&gt;0,Skills!I11/Skills!H11,1)+IF(Skills!H11&gt;0,MIN(Skills!I11,MAX(0,MAX(0,Inputs!$B$43-B1469)-((R1447-1)*(IF(Inputs!$B$38="pvp",15,MAX(0.1,Skills!D11-IF(Skills!E11=TRUE,Inputs!$B$32,0)))*(1-IF(AND(ArtifactsInput!$M$27,Inputs!$B$4="Chapter Hunt"),CHOOSE(ArtifactsInput!$N$27+1,20,24,28,32,36,40),0)/100)))))/Skills!H11,1)))/Inputs!$B$43),G1447*Q1447))*IF(Inputs!$B$38="pvp",1,(1+(Inputs!$B$21+Skills!Q11+(IF(ArtifactsInput!$M$33,CHOOSE(ArtifactsInput!$N$33+1,30,36,42,48,54,60),0))+(IF(AND(ArtifactsInput!$M$35,Inputs!$B$4&lt;&gt;"Chapter Hunt"),CHOOSE(ArtifactsInput!$N$35+1,15,18,21,24,27,30)*(1-EXP(-(0.2*B1464)*5)),0)+IF(AND(ArtifactsInput!$M$22,Inputs!$B$4&lt;&gt;"Chapter Hunt"),CHOOSE(ArtifactsInput!$N$22+1,10,12,14,16,18,20)*((0*(((0.15*B1464*5))^0/1)+1*(((0.15*B1464*5))^1/1)+2*(((0.15*B1464*5))^2/2)+3*(((0.15*B1464*5))^3/6)+4*(((0.15*B1464*5))^4/24)+5*(((0.15*B1464*5))^5/120))/((((0.15*B1464*5))^0/1)+(((0.15*B1464*5))^1/1)+(((0.15*B1464*5))^2/2)+(((0.15*B1464*5))^3/6)+(((0.15*B1464*5))^4/24)+(((0.15*B1464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48">
      <c r="A1448">
        <f>Skills!A12</f>
        <v/>
      </c>
      <c r="B1448">
        <f>Skills!B12</f>
        <v/>
      </c>
      <c r="C1448">
        <f>Inputs!$B$3&gt;=100</f>
        <v/>
      </c>
      <c r="D1448">
        <f>IF(Skills!C12=1,60+Inputs!$B$25+Inputs!$B$29,IF(Skills!C12=2,90+Inputs!$B$26+Inputs!$B$29,IF(Skills!C12=3,120+Inputs!$B$27+Inputs!$B$29,MAX(0,(Inputs!$B$3-100)*3)+Inputs!$B$28+Inputs!$B$29)))</f>
        <v/>
      </c>
      <c r="E1448">
        <f>INDEX(FactorTable!$B$2:$Y$301, MATCH(ROUND(MIN(300,MAX(1,D1448)),0), FactorTable!$A$2:$A$301,0), Skills!M12+1)</f>
        <v/>
      </c>
      <c r="F1448">
        <f>IF(Skills!N12=TRUE,(Skills!L12/10)*(E1448/1000),Skills!L12/10)+Skills!O12</f>
        <v/>
      </c>
      <c r="G1448" t="inlineStr"/>
      <c r="H1448" t="inlineStr"/>
      <c r="I1448" t="inlineStr">
        <is>
          <t>1</t>
        </is>
      </c>
      <c r="J1448" t="inlineStr"/>
      <c r="K1448" t="inlineStr"/>
      <c r="L1448" t="inlineStr"/>
      <c r="M1448" t="inlineStr"/>
      <c r="N1448" t="inlineStr"/>
      <c r="O1448" t="inlineStr"/>
      <c r="P1448" t="inlineStr"/>
      <c r="Q1448" t="inlineStr"/>
      <c r="R1448" t="inlineStr"/>
      <c r="S1448" t="inlineStr"/>
      <c r="T1448" t="inlineStr"/>
      <c r="V1448" t="inlineStr"/>
    </row>
    <row r="1449">
      <c r="A1449">
        <f>Skills!A13</f>
        <v/>
      </c>
      <c r="B1449">
        <f>Skills!B13</f>
        <v/>
      </c>
      <c r="C1449">
        <f>Inputs!$B$3&gt;=66</f>
        <v/>
      </c>
      <c r="D1449">
        <f>IF(Skills!C13=1,60+Inputs!$B$25+Inputs!$B$29,IF(Skills!C13=2,90+Inputs!$B$26+Inputs!$B$29,IF(Skills!C13=3,120+Inputs!$B$27+Inputs!$B$29,MAX(0,(Inputs!$B$3-100)*3)+Inputs!$B$28+Inputs!$B$29)))</f>
        <v/>
      </c>
      <c r="E1449">
        <f>INDEX(FactorTable!$B$2:$Y$301, MATCH(ROUND(MIN(300,MAX(1,D1449)),0), FactorTable!$A$2:$A$301,0), Skills!M13+1)</f>
        <v/>
      </c>
      <c r="F1449">
        <f>IF(Skills!N13=TRUE,(Skills!L13/10)*(E1449/1000),Skills!L13/10)+Skills!O13</f>
        <v/>
      </c>
      <c r="G1449">
        <f>Skills!G13*IF(Skills!H13&gt;0,Skills!I13/Skills!H13,1)</f>
        <v/>
      </c>
      <c r="H1449">
        <f>1-(1-Skills!J13/100)^Skills!K13</f>
        <v/>
      </c>
      <c r="I1449" t="inlineStr">
        <is>
          <t>1</t>
        </is>
      </c>
      <c r="J1449" t="inlineStr"/>
      <c r="K1449" t="inlineStr"/>
      <c r="L1449" t="inlineStr"/>
      <c r="M1449" t="inlineStr"/>
      <c r="N1449" t="inlineStr"/>
      <c r="O1449">
        <f>(1-Summary!$B$11)*T1449+Summary!$B$11*V1449</f>
        <v/>
      </c>
      <c r="P1449">
        <f>IF(B1472=0,0,O1449/B1472)</f>
        <v/>
      </c>
      <c r="Q1449" t="n">
        <v>0</v>
      </c>
      <c r="R1449" t="n">
        <v>0</v>
      </c>
      <c r="S1449">
        <f>IFERROR(O1449/N1449,0)</f>
        <v/>
      </c>
      <c r="T1449" t="n">
        <v>0</v>
      </c>
      <c r="V1449" t="n">
        <v>0</v>
      </c>
    </row>
    <row r="1450">
      <c r="A1450">
        <f>Skills!A14</f>
        <v/>
      </c>
      <c r="B1450">
        <f>Skills!B14</f>
        <v/>
      </c>
      <c r="C1450">
        <f>Inputs!$B$3&gt;=107</f>
        <v/>
      </c>
      <c r="D1450">
        <f>IF(Skills!C14=1,60+Inputs!$B$25+Inputs!$B$29,IF(Skills!C14=2,90+Inputs!$B$26+Inputs!$B$29,IF(Skills!C14=3,120+Inputs!$B$27+Inputs!$B$29,MAX(0,(Inputs!$B$3-100)*3)+Inputs!$B$28+Inputs!$B$29)))</f>
        <v/>
      </c>
      <c r="E1450">
        <f>INDEX(FactorTable!$B$2:$Y$301, MATCH(ROUND(MIN(300,MAX(1,D1450)),0), FactorTable!$A$2:$A$301,0), Skills!M14+1)</f>
        <v/>
      </c>
      <c r="F1450">
        <f>IF(Skills!N14=TRUE,(Skills!L14/10)*(E1450/1000),Skills!L14/10)+Skills!O14</f>
        <v/>
      </c>
      <c r="G1450">
        <f>Skills!G14*IF(Skills!H14&gt;0,Skills!I14/Skills!H14,1)</f>
        <v/>
      </c>
      <c r="H1450">
        <f>1-(1-Skills!J14/100)^Skills!K14</f>
        <v/>
      </c>
      <c r="I1450" t="inlineStr">
        <is>
          <t>1</t>
        </is>
      </c>
      <c r="J1450" t="inlineStr"/>
      <c r="K1450" t="inlineStr"/>
      <c r="L1450" t="inlineStr"/>
      <c r="M1450" t="inlineStr"/>
      <c r="N1450" t="inlineStr"/>
      <c r="O1450">
        <f>(1-Summary!$B$11)*T1450+Summary!$B$11*V1450</f>
        <v/>
      </c>
      <c r="P1450">
        <f>IF(B1472=0,0,O1450/B1472)</f>
        <v/>
      </c>
      <c r="Q1450">
        <f>IFERROR(1/(IF(Inputs!$B$38="pvp",15,MAX(0.1,Skills!D14-IF(Skills!E14=TRUE,Inputs!$B$32,0)))*(1-IF(AND(ArtifactsInput!$M$27,Inputs!$B$4="Chapter Hunt"),CHOOSE(ArtifactsInput!$N$27+1,20,24,28,32,36,40),0)/100)),0)</f>
        <v/>
      </c>
      <c r="R1450">
        <f>IF(AND(Inputs!$B$38&lt;&gt;"pvp",Inputs!$B$43&gt;0),IF(Inputs!$B$43&lt;=0,0,(INT(Inputs!$B$43/(IF(Inputs!$B$38="pvp",15,MAX(0.1,Skills!D14-IF(Skills!E14=TRUE,Inputs!$B$32,0)))*(1-IF(AND(ArtifactsInput!$M$27,Inputs!$B$4="Chapter Hunt"),CHOOSE(ArtifactsInput!$N$27+1,20,24,28,32,36,40),0)/100)))+1)),0)</f>
        <v/>
      </c>
      <c r="S1450">
        <f>IFERROR(O1450/N1450,0)</f>
        <v/>
      </c>
      <c r="T1450" t="n">
        <v>0</v>
      </c>
      <c r="V1450" t="n">
        <v>0</v>
      </c>
    </row>
    <row r="1451">
      <c r="A1451">
        <f>Skills!A15</f>
        <v/>
      </c>
      <c r="B1451">
        <f>Skills!B15</f>
        <v/>
      </c>
      <c r="C1451">
        <f>Inputs!$B$3&gt;=115</f>
        <v/>
      </c>
      <c r="D1451">
        <f>IF(Skills!C15=1,60+Inputs!$B$25+Inputs!$B$29,IF(Skills!C15=2,90+Inputs!$B$26+Inputs!$B$29,IF(Skills!C15=3,120+Inputs!$B$27+Inputs!$B$29,MAX(0,(Inputs!$B$3-100)*3)+Inputs!$B$28+Inputs!$B$29)))</f>
        <v/>
      </c>
      <c r="E1451">
        <f>INDEX(FactorTable!$B$2:$Y$301, MATCH(ROUND(MIN(300,MAX(1,D1451)),0), FactorTable!$A$2:$A$301,0), Skills!M15+1)</f>
        <v/>
      </c>
      <c r="F1451">
        <f>IF(Skills!N15=TRUE,(Skills!L15/10)*(E1451/1000),Skills!L15/10)+Skills!O15</f>
        <v/>
      </c>
      <c r="G1451">
        <f>Skills!G15*IF(Skills!H15&gt;0,Skills!I15/Skills!H15,1)</f>
        <v/>
      </c>
      <c r="H1451">
        <f>1-(1-Skills!J15/100)^Skills!K15</f>
        <v/>
      </c>
      <c r="I1451" t="inlineStr">
        <is>
          <t>1</t>
        </is>
      </c>
      <c r="J1451" t="inlineStr"/>
      <c r="K1451" t="inlineStr"/>
      <c r="L1451" t="inlineStr"/>
      <c r="M1451" t="inlineStr"/>
      <c r="N1451" t="inlineStr"/>
      <c r="O1451">
        <f>(1-Summary!$B$11)*T1451+Summary!$B$11*V1451</f>
        <v/>
      </c>
      <c r="P1451">
        <f>IF(B1472=0,0,O1451/B1472)</f>
        <v/>
      </c>
      <c r="Q1451">
        <f>IFERROR(1/(IF(Inputs!$B$38="pvp",15,MAX(0.1,Skills!D15-IF(Skills!E15=TRUE,Inputs!$B$32,0)))*(1-IF(AND(ArtifactsInput!$M$27,Inputs!$B$4="Chapter Hunt"),CHOOSE(ArtifactsInput!$N$27+1,20,24,28,32,36,40),0)/100)),0)</f>
        <v/>
      </c>
      <c r="R1451">
        <f>IF(AND(Inputs!$B$38&lt;&gt;"pvp",Inputs!$B$43&gt;0),IF(Inputs!$B$43&lt;=0,0,(INT(Inputs!$B$43/(IF(Inputs!$B$38="pvp",15,MAX(0.1,Skills!D15-IF(Skills!E15=TRUE,Inputs!$B$32,0)))*(1-IF(AND(ArtifactsInput!$M$27,Inputs!$B$4="Chapter Hunt"),CHOOSE(ArtifactsInput!$N$27+1,20,24,28,32,36,40),0)/100)))+1)),0)</f>
        <v/>
      </c>
      <c r="S1451">
        <f>IFERROR(O1451/N1451,0)</f>
        <v/>
      </c>
      <c r="T1451" t="n">
        <v>0</v>
      </c>
      <c r="V1451" t="n">
        <v>0</v>
      </c>
    </row>
    <row r="1452">
      <c r="A1452">
        <f>Skills!A16</f>
        <v/>
      </c>
      <c r="B1452">
        <f>Skills!B16</f>
        <v/>
      </c>
      <c r="C1452">
        <f>Inputs!$B$3&gt;=15</f>
        <v/>
      </c>
      <c r="D1452">
        <f>IF(Skills!C16=1,60+Inputs!$B$25+Inputs!$B$29,IF(Skills!C16=2,90+Inputs!$B$26+Inputs!$B$29,IF(Skills!C16=3,120+Inputs!$B$27+Inputs!$B$29,MAX(0,(Inputs!$B$3-100)*3)+Inputs!$B$28+Inputs!$B$29)))</f>
        <v/>
      </c>
      <c r="E1452">
        <f>INDEX(FactorTable!$B$2:$Y$301, MATCH(ROUND(MIN(300,MAX(1,D1452)),0), FactorTable!$A$2:$A$301,0), Skills!M16+1)</f>
        <v/>
      </c>
      <c r="F1452">
        <f>IF(Skills!N16=TRUE,(Skills!L16/10)*(E1452/1000),Skills!L16/10)+Skills!O16</f>
        <v/>
      </c>
      <c r="G1452">
        <f>Skills!G16*IF(Skills!H16&gt;0,Skills!I16/Skills!H16,1)</f>
        <v/>
      </c>
      <c r="H1452">
        <f>1-(1-Skills!J16/100)^Skills!K16</f>
        <v/>
      </c>
      <c r="I1452" t="inlineStr">
        <is>
          <t>1</t>
        </is>
      </c>
      <c r="J1452" t="inlineStr"/>
      <c r="K1452" t="inlineStr"/>
      <c r="L1452" t="inlineStr"/>
      <c r="M1452" t="inlineStr"/>
      <c r="N1452" t="inlineStr"/>
      <c r="O1452">
        <f>(1-Summary!$B$11)*T1452+Summary!$B$11*V1452</f>
        <v/>
      </c>
      <c r="P1452">
        <f>IF(B1472=0,0,O1452/B1472)</f>
        <v/>
      </c>
      <c r="Q1452" t="n">
        <v>0</v>
      </c>
      <c r="R1452" t="n">
        <v>0</v>
      </c>
      <c r="S1452">
        <f>IFERROR(O1452/N1452,0)</f>
        <v/>
      </c>
      <c r="T1452" t="n">
        <v>0</v>
      </c>
      <c r="V1452" t="n">
        <v>0</v>
      </c>
    </row>
    <row r="1453">
      <c r="A1453">
        <f>Skills!A17</f>
        <v/>
      </c>
      <c r="B1453">
        <f>Skills!B17</f>
        <v/>
      </c>
      <c r="C1453">
        <f>Inputs!$B$3&gt;=10</f>
        <v/>
      </c>
      <c r="D1453">
        <f>IF(Skills!C17=1,60+Inputs!$B$25+Inputs!$B$29,IF(Skills!C17=2,90+Inputs!$B$26+Inputs!$B$29,IF(Skills!C17=3,120+Inputs!$B$27+Inputs!$B$29,MAX(0,(Inputs!$B$3-100)*3)+Inputs!$B$28+Inputs!$B$29)))</f>
        <v/>
      </c>
      <c r="E1453">
        <f>INDEX(FactorTable!$B$2:$Y$301, MATCH(ROUND(MIN(300,MAX(1,D1453)),0), FactorTable!$A$2:$A$301,0), Skills!M17+1)</f>
        <v/>
      </c>
      <c r="F1453">
        <f>IF(Skills!N17=TRUE,(Skills!L17/10)*(E1453/1000),Skills!L17/10)+Skills!O17</f>
        <v/>
      </c>
      <c r="G1453">
        <f>Skills!G17*IF(Skills!H17&gt;0,Skills!I17/Skills!H17,1)</f>
        <v/>
      </c>
      <c r="H1453">
        <f>1-(1-Skills!J17/100)^Skills!K17</f>
        <v/>
      </c>
      <c r="I1453" t="inlineStr">
        <is>
          <t>1</t>
        </is>
      </c>
      <c r="J1453" t="inlineStr"/>
      <c r="K1453" t="inlineStr"/>
      <c r="L1453" t="inlineStr"/>
      <c r="M1453" t="inlineStr"/>
      <c r="N1453" t="inlineStr"/>
      <c r="O1453">
        <f>(1-Summary!$B$11)*T1453+Summary!$B$11*V1453</f>
        <v/>
      </c>
      <c r="P1453">
        <f>IF(B1472=0,0,O1453/B1472)</f>
        <v/>
      </c>
      <c r="Q1453" t="n">
        <v>0</v>
      </c>
      <c r="R1453" t="n">
        <v>0</v>
      </c>
      <c r="S1453">
        <f>IFERROR(O1453/N1453,0)</f>
        <v/>
      </c>
      <c r="T1453" t="n">
        <v>0</v>
      </c>
      <c r="V1453" t="n">
        <v>0</v>
      </c>
    </row>
    <row r="1454">
      <c r="A1454">
        <f>Skills!A18</f>
        <v/>
      </c>
      <c r="B1454">
        <f>Skills!B18</f>
        <v/>
      </c>
      <c r="C1454">
        <f>Inputs!$B$3&gt;=33</f>
        <v/>
      </c>
      <c r="D1454">
        <f>IF(Skills!C18=1,60+Inputs!$B$25+Inputs!$B$29,IF(Skills!C18=2,90+Inputs!$B$26+Inputs!$B$29,IF(Skills!C18=3,120+Inputs!$B$27+Inputs!$B$29,MAX(0,(Inputs!$B$3-100)*3)+Inputs!$B$28+Inputs!$B$29)))</f>
        <v/>
      </c>
      <c r="E1454">
        <f>INDEX(FactorTable!$B$2:$Y$301, MATCH(ROUND(MIN(300,MAX(1,D1454)),0), FactorTable!$A$2:$A$301,0), Skills!M18+1)</f>
        <v/>
      </c>
      <c r="F1454">
        <f>IF(Skills!N18=TRUE,(Skills!L18/10)*(E1454/1000),Skills!L18/10)+Skills!O18</f>
        <v/>
      </c>
      <c r="G1454">
        <f>Skills!G18*IF(Skills!H18&gt;0,Skills!I18/Skills!H18,1)</f>
        <v/>
      </c>
      <c r="H1454">
        <f>1-(1-Skills!J18/100)^Skills!K18</f>
        <v/>
      </c>
      <c r="I1454" t="inlineStr">
        <is>
          <t>1</t>
        </is>
      </c>
      <c r="J1454" t="inlineStr"/>
      <c r="K1454" t="inlineStr"/>
      <c r="L1454" t="inlineStr"/>
      <c r="M1454" t="inlineStr"/>
      <c r="N1454" t="inlineStr"/>
      <c r="O1454">
        <f>(1-Summary!$B$11)*T1454+Summary!$B$11*V1454</f>
        <v/>
      </c>
      <c r="P1454">
        <f>IF(B1472=0,0,O1454/B1472)</f>
        <v/>
      </c>
      <c r="Q1454" t="n">
        <v>0</v>
      </c>
      <c r="R1454" t="n">
        <v>0</v>
      </c>
      <c r="S1454">
        <f>IFERROR(O1454/N1454,0)</f>
        <v/>
      </c>
      <c r="T1454" t="n">
        <v>0</v>
      </c>
      <c r="V1454" t="n">
        <v>0</v>
      </c>
    </row>
    <row r="1455">
      <c r="A1455">
        <f>Skills!A19</f>
        <v/>
      </c>
      <c r="B1455">
        <f>Skills!B19</f>
        <v/>
      </c>
      <c r="C1455">
        <f>Inputs!$B$3&gt;=40</f>
        <v/>
      </c>
      <c r="D1455">
        <f>IF(Skills!C19=1,60+Inputs!$B$25+Inputs!$B$29,IF(Skills!C19=2,90+Inputs!$B$26+Inputs!$B$29,IF(Skills!C19=3,120+Inputs!$B$27+Inputs!$B$29,MAX(0,(Inputs!$B$3-100)*3)+Inputs!$B$28+Inputs!$B$29)))</f>
        <v/>
      </c>
      <c r="E1455">
        <f>INDEX(FactorTable!$B$2:$Y$301, MATCH(ROUND(MIN(300,MAX(1,D1455)),0), FactorTable!$A$2:$A$301,0), Skills!M19+1)</f>
        <v/>
      </c>
      <c r="F1455">
        <f>IF(Skills!N19=TRUE,(Skills!L19/10)*(E1455/1000),Skills!L19/10)+Skills!O19</f>
        <v/>
      </c>
      <c r="G1455">
        <f>Skills!G19*IF(Skills!H19&gt;0,Skills!I19/Skills!H19,1)</f>
        <v/>
      </c>
      <c r="H1455">
        <f>1-(1-Skills!J19/100)^Skills!K19</f>
        <v/>
      </c>
      <c r="I1455" t="inlineStr">
        <is>
          <t>1</t>
        </is>
      </c>
      <c r="J1455" t="inlineStr"/>
      <c r="K1455" t="inlineStr"/>
      <c r="L1455" t="inlineStr"/>
      <c r="M1455" t="inlineStr"/>
      <c r="N1455" t="inlineStr"/>
      <c r="O1455">
        <f>(1-Summary!$B$11)*T1455+Summary!$B$11*V1455</f>
        <v/>
      </c>
      <c r="P1455">
        <f>IF(B1472=0,0,O1455/B1472)</f>
        <v/>
      </c>
      <c r="Q1455" t="n">
        <v>0</v>
      </c>
      <c r="R1455" t="n">
        <v>0</v>
      </c>
      <c r="S1455">
        <f>IFERROR(O1455/N1455,0)</f>
        <v/>
      </c>
      <c r="T1455" t="n">
        <v>0</v>
      </c>
      <c r="V1455" t="n">
        <v>0</v>
      </c>
    </row>
    <row r="1456">
      <c r="A1456">
        <f>Skills!A20</f>
        <v/>
      </c>
      <c r="B1456">
        <f>Skills!B20</f>
        <v/>
      </c>
      <c r="C1456">
        <f>Inputs!$B$3&gt;=43</f>
        <v/>
      </c>
      <c r="D1456">
        <f>IF(Skills!C20=1,60+Inputs!$B$25+Inputs!$B$29,IF(Skills!C20=2,90+Inputs!$B$26+Inputs!$B$29,IF(Skills!C20=3,120+Inputs!$B$27+Inputs!$B$29,MAX(0,(Inputs!$B$3-100)*3)+Inputs!$B$28+Inputs!$B$29)))</f>
        <v/>
      </c>
      <c r="E1456">
        <f>INDEX(FactorTable!$B$2:$Y$301, MATCH(ROUND(MIN(300,MAX(1,D1456)),0), FactorTable!$A$2:$A$301,0), Skills!M20+1)</f>
        <v/>
      </c>
      <c r="F1456">
        <f>IF(Skills!N20=TRUE,(Skills!L20/10)*(E1456/1000),Skills!L20/10)+Skills!O20</f>
        <v/>
      </c>
      <c r="G1456">
        <f>Skills!G20*IF(Skills!H20&gt;0,Skills!I20/Skills!H20,1)</f>
        <v/>
      </c>
      <c r="H1456">
        <f>1-(1-Skills!J20/100)^Skills!K20</f>
        <v/>
      </c>
      <c r="I1456" t="inlineStr">
        <is>
          <t>1</t>
        </is>
      </c>
      <c r="J1456" t="inlineStr"/>
      <c r="K1456" t="inlineStr"/>
      <c r="L1456" t="inlineStr"/>
      <c r="M1456" t="inlineStr"/>
      <c r="N1456" t="inlineStr"/>
      <c r="O1456">
        <f>(1-Summary!$B$11)*T1456+Summary!$B$11*V1456</f>
        <v/>
      </c>
      <c r="P1456">
        <f>IF(B1472=0,0,O1456/B1472)</f>
        <v/>
      </c>
      <c r="Q1456" t="n">
        <v>0</v>
      </c>
      <c r="R1456" t="n">
        <v>0</v>
      </c>
      <c r="S1456">
        <f>IFERROR(O1456/N1456,0)</f>
        <v/>
      </c>
      <c r="T1456" t="n">
        <v>0</v>
      </c>
      <c r="V1456" t="n">
        <v>0</v>
      </c>
    </row>
    <row r="1457">
      <c r="A1457">
        <f>Skills!A21</f>
        <v/>
      </c>
      <c r="B1457">
        <f>Skills!B21</f>
        <v/>
      </c>
      <c r="C1457">
        <f>Inputs!$B$3&gt;=38</f>
        <v/>
      </c>
      <c r="D1457">
        <f>IF(Skills!C21=1,60+Inputs!$B$25+Inputs!$B$29,IF(Skills!C21=2,90+Inputs!$B$26+Inputs!$B$29,IF(Skills!C21=3,120+Inputs!$B$27+Inputs!$B$29,MAX(0,(Inputs!$B$3-100)*3)+Inputs!$B$28+Inputs!$B$29)))</f>
        <v/>
      </c>
      <c r="E1457">
        <f>INDEX(FactorTable!$B$2:$Y$301, MATCH(ROUND(MIN(300,MAX(1,D1457)),0), FactorTable!$A$2:$A$301,0), Skills!M21+1)</f>
        <v/>
      </c>
      <c r="F1457">
        <f>IF(Skills!N21=TRUE,(Skills!L21/10)*(E1457/1000),Skills!L21/10)+Skills!O21</f>
        <v/>
      </c>
      <c r="G1457">
        <f>Skills!G21*IF(Skills!H21&gt;0,Skills!I21/Skills!H21,1)</f>
        <v/>
      </c>
      <c r="H1457">
        <f>1-(1-Skills!J21/100)^Skills!K21</f>
        <v/>
      </c>
      <c r="I1457" t="inlineStr">
        <is>
          <t>1</t>
        </is>
      </c>
      <c r="J1457" t="inlineStr"/>
      <c r="K1457" t="inlineStr"/>
      <c r="L1457" t="inlineStr"/>
      <c r="M1457" t="inlineStr"/>
      <c r="N1457" t="inlineStr"/>
      <c r="O1457">
        <f>(1-Summary!$B$11)*T1457+Summary!$B$11*V1457</f>
        <v/>
      </c>
      <c r="P1457">
        <f>IF(B1472=0,0,O1457/B1472)</f>
        <v/>
      </c>
      <c r="Q1457" t="n">
        <v>0</v>
      </c>
      <c r="R1457" t="n">
        <v>0</v>
      </c>
      <c r="S1457">
        <f>IFERROR(O1457/N1457,0)</f>
        <v/>
      </c>
      <c r="T1457" t="n">
        <v>0</v>
      </c>
      <c r="V1457" t="n">
        <v>0</v>
      </c>
    </row>
    <row r="1458">
      <c r="A1458">
        <f>Skills!A22</f>
        <v/>
      </c>
      <c r="B1458">
        <f>Skills!B22</f>
        <v/>
      </c>
      <c r="C1458">
        <f>Inputs!$B$3&gt;=75</f>
        <v/>
      </c>
      <c r="D1458">
        <f>IF(Skills!C22=1,60+Inputs!$B$25+Inputs!$B$29,IF(Skills!C22=2,90+Inputs!$B$26+Inputs!$B$29,IF(Skills!C22=3,120+Inputs!$B$27+Inputs!$B$29,MAX(0,(Inputs!$B$3-100)*3)+Inputs!$B$28+Inputs!$B$29)))</f>
        <v/>
      </c>
      <c r="E1458">
        <f>INDEX(FactorTable!$B$2:$Y$301, MATCH(ROUND(MIN(300,MAX(1,D1458)),0), FactorTable!$A$2:$A$301,0), Skills!M22+1)</f>
        <v/>
      </c>
      <c r="F1458">
        <f>IF(Skills!N22=TRUE,(Skills!L22/10)*(E1458/1000),Skills!L22/10)+Skills!O22</f>
        <v/>
      </c>
      <c r="G1458">
        <f>Skills!G22*IF(Skills!H22&gt;0,Skills!I22/Skills!H22,1)</f>
        <v/>
      </c>
      <c r="H1458">
        <f>1-(1-Skills!J22/100)^Skills!K22</f>
        <v/>
      </c>
      <c r="I1458" t="inlineStr">
        <is>
          <t>1</t>
        </is>
      </c>
      <c r="J1458" t="inlineStr"/>
      <c r="K1458" t="inlineStr"/>
      <c r="L1458" t="inlineStr"/>
      <c r="M1458" t="inlineStr"/>
      <c r="N1458" t="inlineStr"/>
      <c r="O1458">
        <f>(1-Summary!$B$11)*T1458+Summary!$B$11*V1458</f>
        <v/>
      </c>
      <c r="P1458">
        <f>IF(B1472=0,0,O1458/B1472)</f>
        <v/>
      </c>
      <c r="Q1458" t="n">
        <v>0</v>
      </c>
      <c r="R1458" t="n">
        <v>0</v>
      </c>
      <c r="S1458">
        <f>IFERROR(O1458/N1458,0)</f>
        <v/>
      </c>
      <c r="T1458" t="n">
        <v>0</v>
      </c>
      <c r="V1458" t="n">
        <v>0</v>
      </c>
    </row>
    <row r="1459">
      <c r="A1459">
        <f>Skills!A23</f>
        <v/>
      </c>
      <c r="B1459">
        <f>Skills!B23</f>
        <v/>
      </c>
      <c r="C1459">
        <f>TRUE</f>
        <v/>
      </c>
      <c r="D1459">
        <f>IF(Skills!C23=1,60+Inputs!$B$25+Inputs!$B$29,IF(Skills!C23=2,90+Inputs!$B$26+Inputs!$B$29,IF(Skills!C23=3,120+Inputs!$B$27+Inputs!$B$29,MAX(0,(Inputs!$B$3-100)*3)+Inputs!$B$28+Inputs!$B$29)))</f>
        <v/>
      </c>
      <c r="E1459">
        <f>INDEX(FactorTable!$B$2:$Y$301, MATCH(ROUND(MIN(300,MAX(1,D1459)),0), FactorTable!$A$2:$A$301,0), Skills!M23+1)</f>
        <v/>
      </c>
      <c r="F1459">
        <f>IF(Skills!N23=TRUE,(Skills!L23/10)*(E1459/1000),Skills!L23/10)+Skills!O23</f>
        <v/>
      </c>
      <c r="G1459">
        <f>Skills!G23*IF(Skills!H23&gt;0,Skills!I23/Skills!H23,1)</f>
        <v/>
      </c>
      <c r="H1459">
        <f>1-(1-Skills!J23/100)^Skills!K23</f>
        <v/>
      </c>
      <c r="I1459" t="inlineStr">
        <is>
          <t>1</t>
        </is>
      </c>
      <c r="J1459" t="inlineStr"/>
      <c r="K1459" t="inlineStr"/>
      <c r="L1459" t="inlineStr"/>
      <c r="M1459" t="inlineStr"/>
      <c r="N1459" t="inlineStr"/>
      <c r="O1459">
        <f>(1-Summary!$B$11)*T1459+Summary!$B$11*V1459</f>
        <v/>
      </c>
      <c r="P1459">
        <f>IF(B1472=0,0,O1459/B1472)</f>
        <v/>
      </c>
      <c r="Q1459">
        <f>IFERROR(1/(IF(Inputs!$B$38="pvp",15,MAX(0.1,Skills!D23-IF(Skills!E23=TRUE,Inputs!$B$32,0)))*(1-IF(AND(ArtifactsInput!$M$27,Inputs!$B$4="Chapter Hunt"),CHOOSE(ArtifactsInput!$N$27+1,20,24,28,32,36,40),0)/100)),0)</f>
        <v/>
      </c>
      <c r="R1459">
        <f>IF(AND(Inputs!$B$38&lt;&gt;"pvp",Inputs!$B$43&gt;0),IF(Inputs!$B$43&lt;=0,0,(INT(Inputs!$B$43/(IF(Inputs!$B$38="pvp",15,MAX(0.1,Skills!D23-IF(Skills!E23=TRUE,Inputs!$B$32,0)))*(1-IF(AND(ArtifactsInput!$M$27,Inputs!$B$4="Chapter Hunt"),CHOOSE(ArtifactsInput!$N$27+1,20,24,28,32,36,40),0)/100)))+1)),0)</f>
        <v/>
      </c>
      <c r="S1459">
        <f>IFERROR(O1459/N1459,0)</f>
        <v/>
      </c>
      <c r="T1459" t="n">
        <v>0</v>
      </c>
      <c r="V1459" t="n">
        <v>0</v>
      </c>
    </row>
    <row r="1461">
      <c r="A1461" t="inlineStr">
        <is>
          <t>Attack% Bucket Multiplier</t>
        </is>
      </c>
      <c r="B1461">
        <f>(1+(((C1449=TRUE)*F1449*5/7)+((C1455=TRUE)*(F1455-Calc!F19))+(IF(ArtifactsInput!$M$21,CHOOSE(ArtifactsInput!$N$21+1,25,30,35,40,45,50)*(IF(OR(Inputs!$B$4="Chapter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62">
      <c r="A1462" t="inlineStr">
        <is>
          <t>Global Crit Rate Bonus %</t>
        </is>
      </c>
      <c r="B1462" t="n">
        <v>0</v>
      </c>
    </row>
    <row r="1463">
      <c r="A1463" t="inlineStr">
        <is>
          <t>Attack Speed Buff Bonus % (Nimble Feet, duty-cycle averaged)</t>
        </is>
      </c>
      <c r="B1463">
        <f>((C1459=TRUE)*F1459*IF(AND(Inputs!$B$38&lt;&gt;"pvp",Inputs!$B$43&gt;0),(((R1459-1)*(Skills!T23*(1+Inputs!$B$34/100))+MIN((Skills!T23*(1+Inputs!$B$34/100)),MAX(0,Inputs!$B$43-((R1459-1)*Skills!D23))))/Inputs!$B$43),IF(Inputs!$B$38="pvp",MIN((Skills!T23*(1+Inputs!$B$34/100)),15)/15,(Skills!T23*(1+Inputs!$B$34/100))/Skills!D23)))</f>
        <v/>
      </c>
    </row>
    <row r="1464">
      <c r="A1464" t="inlineStr">
        <is>
          <t>Actions Per Second</t>
        </is>
      </c>
      <c r="B1464">
        <f>1+MIN(150,150*(1-(1-(Inputs!$B$11+((C1453=TRUE)*(F1453-Calc!F17))+((C1454=TRUE)*(F1454-Calc!F18)))/150)*(1-B1463/150)))/100</f>
        <v/>
      </c>
    </row>
    <row r="1465">
      <c r="A1465" t="inlineStr">
        <is>
          <t>Skill + Buff Cast Rate</t>
        </is>
      </c>
      <c r="B1465">
        <f>IF(AND(Inputs!$B$38&lt;&gt;"pvp",Inputs!$B$43&gt;0),SUMPRODUCT((Skills!E2:E23=TRUE)*(C1438:C1459=TRUE)*R1438:R1459*Skills!F2:F23)/Inputs!$B$43,SUMPRODUCT((Skills!E2:E23=TRUE)*(C1438:C1459=TRUE)*Q1438:Q1459*Skills!F2:F23))</f>
        <v/>
      </c>
    </row>
    <row r="1466">
      <c r="A1466" t="inlineStr">
        <is>
          <t>Hook Bomber Casts Per Second</t>
        </is>
      </c>
      <c r="B1466">
        <f>MAX(0,B1464-B1465)</f>
        <v/>
      </c>
    </row>
    <row r="1467">
      <c r="A1467" t="inlineStr">
        <is>
          <t>Global Critical Damage Bonus % (unused)</t>
        </is>
      </c>
      <c r="B1467" t="n">
        <v>0</v>
      </c>
    </row>
    <row r="1468">
      <c r="A1468" t="inlineStr">
        <is>
          <t>Global Final Damage Bonus % (Serpent Scale + Crossbones + Time Leap + Speed Infusion)</t>
        </is>
      </c>
      <c r="B1468">
        <f>((C1441=TRUE)*F1441*((10+IF(Inputs!$B$3&gt;=94,5,0))/((10+IF(Inputs!$B$3&gt;=94,5,0))+5/(B1466*(1+IF(Inputs!$B$3&gt;=104,1,0))))))+((C1450=TRUE)*F1450*IF(AND(Inputs!$B$38&lt;&gt;"pvp",Inputs!$B$43&gt;0),(((R1450-1)*(Skills!T14*(1+Inputs!$B$34/100))+MIN((Skills!T14*(1+Inputs!$B$34/100)),MAX(0,Inputs!$B$43-((R1450-1)*Skills!D14))))/Inputs!$B$43),IF(Inputs!$B$38="pvp",MIN((Skills!T14*(1+Inputs!$B$34/100)),15)/15,(Skills!T14*(1+Inputs!$B$34/100))/Skills!D14)))+((C1451=TRUE)*F1451*IF(AND(Inputs!$B$38&lt;&gt;"pvp",Inputs!$B$43&gt;0),(((R1451-1)*(Skills!T15*(1+Inputs!$B$34/100))+MIN((Skills!T15*(1+Inputs!$B$34/100)),MAX(0,Inputs!$B$43-((R1451-1)*Skills!D15))))/Inputs!$B$43),IF(Inputs!$B$38="pvp",MIN((Skills!T15*(1+Inputs!$B$34/100)),15)/15,(Skills!T15*(1+Inputs!$B$34/100))/Skills!D15)))+((Inputs!$B$3&gt;=110)*20*(B1464-1)*IF(Inputs!$B$38="pvp",MIN((15*(1+Inputs!$B$34/100)),15)/15,(15*(1+Inputs!$B$34/100))/35))</f>
        <v/>
      </c>
    </row>
    <row r="1469">
      <c r="A1469" t="inlineStr">
        <is>
          <t>Buff-Casting Startup Delay (s, fixed-duration only)</t>
        </is>
      </c>
      <c r="B1469">
        <f>IF(AND(Inputs!$B$38&lt;&gt;"pvp",Inputs!$B$43&gt;0),SUMPRODUCT((Skills!T2:T23&gt;0)*(Skills!E2:E23=TRUE)*(C1438:C1459=TRUE))/B1464,0)</f>
        <v/>
      </c>
    </row>
    <row r="1470">
      <c r="A1470" t="inlineStr">
        <is>
          <t>Boss-Only Total DPS (this block's swept value)</t>
        </is>
      </c>
      <c r="B1470">
        <f>SUM(T1438:T1459)</f>
        <v/>
      </c>
    </row>
    <row r="1471">
      <c r="A1471" t="inlineStr">
        <is>
          <t>Normal-Only Total DPS (this block's swept value)</t>
        </is>
      </c>
      <c r="B1471">
        <f>SUM(V1438:V1459)</f>
        <v/>
      </c>
    </row>
    <row r="1472">
      <c r="A1472" s="6" t="inlineStr">
        <is>
          <t>TOTAL DPS</t>
        </is>
      </c>
      <c r="B1472" s="6">
        <f>SUM(O1438:O1459)</f>
        <v/>
      </c>
    </row>
    <row r="1475">
      <c r="A1475" s="6" t="inlineStr">
        <is>
          <t>Stat: Zakum's Stone Piece (Equip)</t>
        </is>
      </c>
    </row>
    <row r="1476">
      <c r="A1476" s="5" t="inlineStr">
        <is>
          <t>Key</t>
        </is>
      </c>
      <c r="B1476" s="5" t="inlineStr">
        <is>
          <t>Name</t>
        </is>
      </c>
      <c r="C1476" s="5" t="inlineStr">
        <is>
          <t>Unlocked</t>
        </is>
      </c>
      <c r="D1476" s="5" t="inlineStr">
        <is>
          <t>InputLevel</t>
        </is>
      </c>
      <c r="E1476" s="5" t="inlineStr">
        <is>
          <t>Factor</t>
        </is>
      </c>
      <c r="F1476" s="5" t="inlineStr">
        <is>
          <t>CoefficientPercent</t>
        </is>
      </c>
      <c r="G1476" s="5" t="inlineStr">
        <is>
          <t>EffectiveHits</t>
        </is>
      </c>
      <c r="H1476" s="5" t="inlineStr">
        <is>
          <t>ProcProbability</t>
        </is>
      </c>
      <c r="I1476" s="5" t="inlineStr">
        <is>
          <t>MapleHeroMultiplier</t>
        </is>
      </c>
      <c r="J1476" s="5" t="inlineStr">
        <is>
          <t>BaseDamage</t>
        </is>
      </c>
      <c r="K1476" s="5" t="inlineStr">
        <is>
          <t>BaseHitDamage</t>
        </is>
      </c>
      <c r="L1476" s="5" t="inlineStr">
        <is>
          <t>NonCritAvg</t>
        </is>
      </c>
      <c r="M1476" s="5" t="inlineStr">
        <is>
          <t>CritAvg</t>
        </is>
      </c>
      <c r="N1476" s="5" t="inlineStr">
        <is>
          <t>ExpectedDamage(perHit)</t>
        </is>
      </c>
      <c r="O1476" s="5" t="inlineStr">
        <is>
          <t>DPS</t>
        </is>
      </c>
      <c r="P1476" s="5" t="inlineStr">
        <is>
          <t>% of Total</t>
        </is>
      </c>
      <c r="Q1476" s="5" t="inlineStr">
        <is>
          <t>InvCooldown</t>
        </is>
      </c>
      <c r="R1476" s="5" t="inlineStr">
        <is>
          <t>CastsInFight</t>
        </is>
      </c>
      <c r="S1476" s="5" t="inlineStr">
        <is>
          <t>HitRate(perSec)</t>
        </is>
      </c>
      <c r="U1476" t="inlineStr">
        <is>
          <t>helpers</t>
        </is>
      </c>
    </row>
    <row r="1477">
      <c r="A1477">
        <f>Skills!A2</f>
        <v/>
      </c>
      <c r="B1477">
        <f>Skills!B2</f>
        <v/>
      </c>
      <c r="C1477">
        <f>Inputs!$B$3&gt;=100</f>
        <v/>
      </c>
      <c r="D1477" t="inlineStr"/>
      <c r="E1477" t="inlineStr"/>
      <c r="F1477">
        <f>U1479+Skills!O2</f>
        <v/>
      </c>
      <c r="G1477">
        <f>Skills!G2*IF(Skills!H2&gt;0,Skills!I2/Skills!H2,1)</f>
        <v/>
      </c>
      <c r="H1477">
        <f>1-(1-Skills!J2/100)^Skills!K2</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1495=TRUE)*(F1495-Calc!F20)),(Inputs!$B$23+0+(IF(ArtifactsInput!$M$15,CHOOSE(ArtifactsInput!$N$15+1,25,30,35,40,45,50)/100*(Inputs!$B$11-Inputs!$B$11),0))))/100+(Inputs!$B$23+0+(IF(ArtifactsInput!$M$15,CHOOSE(ArtifactsInput!$N$15+1,25,30,35,40,45,50)/100*(Inputs!$B$11-Inputs!$B$11),0)))/100)/2</f>
        <v/>
      </c>
      <c r="M1477">
        <f>L1477*(1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IF(B1511=0,0,O1477/B1511)</f>
        <v/>
      </c>
      <c r="Q1477" t="n">
        <v>0</v>
      </c>
      <c r="R1477" t="n">
        <v>0</v>
      </c>
      <c r="S1477">
        <f>IFERROR(O1477/N1477,0)</f>
        <v/>
      </c>
      <c r="T1477">
        <f>IF(C1477,(Skills!G2*N1477*B1505)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7">
        <f>MAX(0,(Inputs!$B$3-100)*3)+Inputs!$B$28+Inputs!$B$29</f>
        <v/>
      </c>
      <c r="V1477">
        <f>IF(C1477,(Skills!G2*N1477*B1505)*IF(Inputs!$B$38="pvp",1,(1+(Inputs!$B$21+Skills!Q2+(IF(ArtifactsInput!$M$33,CHOOSE(ArtifactsInput!$N$33+1,30,36,42,48,54,60),0))+(IF(AND(ArtifactsInput!$M$35,Inputs!$B$4&lt;&gt;"Chapter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Skills!A3</f>
        <v/>
      </c>
      <c r="B1478">
        <f>Skills!B3</f>
        <v/>
      </c>
      <c r="C1478">
        <f>Inputs!$B$3&gt;=35</f>
        <v/>
      </c>
      <c r="D1478">
        <f>IF(Skills!C3=1,60+Inputs!$B$25+Inputs!$B$29,IF(Skills!C3=2,90+Inputs!$B$26+Inputs!$B$29,IF(Skills!C3=3,120+Inputs!$B$27+Inputs!$B$29,MAX(0,(Inputs!$B$3-100)*3)+Inputs!$B$28+Inputs!$B$29)))</f>
        <v/>
      </c>
      <c r="E1478">
        <f>INDEX(FactorTable!$B$2:$Y$301, MATCH(ROUND(MIN(300,MAX(1,D1478)),0), FactorTable!$A$2:$A$301,0), Skills!M3+1)</f>
        <v/>
      </c>
      <c r="F1478">
        <f>IF(Skills!N3=TRUE,(Skills!L3/10)*(E1478/1000),Skills!L3/10)+Skills!O3</f>
        <v/>
      </c>
      <c r="G1478">
        <f>Skills!G3*IF(Skills!H3&gt;0,Skills!I3/Skills!H3,1)</f>
        <v/>
      </c>
      <c r="H1478">
        <f>1-(1-Skills!J3/100)^Skills!K3</f>
        <v/>
      </c>
      <c r="I1478" t="inlineStr">
        <is>
          <t>1</t>
        </is>
      </c>
      <c r="J1478">
        <f>((Inputs!$B$6*(1+Inputs!$B$7/100))+(((Inputs!$B$12*(1+Inputs!$B$13/100))-(Inputs!$B$12*(1+Inputs!$B$13/100)))+0.25*(Inputs!$B$14-Inputs!$B$14))*(1+Inputs!$B$7/100))*(F1478/100)</f>
        <v/>
      </c>
      <c r="K1478">
        <f>J1478*(1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1478)</f>
        <v/>
      </c>
      <c r="L1478">
        <f>K1478*(MIN(Inputs!$B$22+((C1495=TRUE)*(F1495-Calc!F20)),(Inputs!$B$23+0+(IF(ArtifactsInput!$M$15,CHOOSE(ArtifactsInput!$N$15+1,25,30,35,40,45,50)/100*(Inputs!$B$11-Inputs!$B$11),0))))/100+(Inputs!$B$23+0+(IF(ArtifactsInput!$M$15,CHOOSE(ArtifactsInput!$N$15+1,25,30,35,40,45,50)/100*(Inputs!$B$11-Inputs!$B$11),0)))/100)/2</f>
        <v/>
      </c>
      <c r="M1478">
        <f>L1478*(1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8">
        <f>L1478*(1-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1478*(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8">
        <f>(1-Summary!$B$11)*T1478+Summary!$B$11*V1478</f>
        <v/>
      </c>
      <c r="P1478">
        <f>IF(B1511=0,0,O1478/B1511)</f>
        <v/>
      </c>
      <c r="Q1478" t="n">
        <v>0</v>
      </c>
      <c r="R1478" t="n">
        <v>0</v>
      </c>
      <c r="S1478">
        <f>IFERROR(O1478/N1478,0)</f>
        <v/>
      </c>
      <c r="T1478">
        <f>IF(C1478,(Skills!G3*H1478*N1478*B1505)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1478*(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1478*(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8">
        <f>INDEX(FactorTable!$B$2:$Y$301, MATCH(ROUND(MIN(300,MAX(1,U1477)),0), FactorTable!$A$2:$A$301,0), 22)</f>
        <v/>
      </c>
      <c r="V1478">
        <f>IF(C1478,(Skills!G3*H1478*N1478*B1505)*IF(Inputs!$B$38="pvp",1,(1+(Inputs!$B$21+Skills!Q3+(IF(ArtifactsInput!$M$33,CHOOSE(ArtifactsInput!$N$33+1,30,36,42,48,54,60),0))+(IF(AND(ArtifactsInput!$M$35,Inputs!$B$4&lt;&gt;"Chapter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9">
      <c r="A1479">
        <f>Skills!A4</f>
        <v/>
      </c>
      <c r="B1479">
        <f>Skills!B4</f>
        <v/>
      </c>
      <c r="C1479">
        <f>Inputs!$B$3&gt;=60</f>
        <v/>
      </c>
      <c r="D1479">
        <f>IF(Skills!C4=1,60+Inputs!$B$25+Inputs!$B$29,IF(Skills!C4=2,90+Inputs!$B$26+Inputs!$B$29,IF(Skills!C4=3,120+Inputs!$B$27+Inputs!$B$29,MAX(0,(Inputs!$B$3-100)*3)+Inputs!$B$28+Inputs!$B$29)))</f>
        <v/>
      </c>
      <c r="E1479">
        <f>INDEX(FactorTable!$B$2:$Y$301, MATCH(ROUND(MIN(300,MAX(1,D1479)),0), FactorTable!$A$2:$A$301,0), Skills!M4+1)</f>
        <v/>
      </c>
      <c r="F1479">
        <f>IF(Skills!N4=TRUE,(Skills!L4/10)*(E1479/1000),Skills!L4/10)+Skills!O4</f>
        <v/>
      </c>
      <c r="G1479">
        <f>Skills!G4*IF(Skills!H4&gt;0,Skills!I4/Skills!H4,1)</f>
        <v/>
      </c>
      <c r="H1479">
        <f>1-(1-Skills!J4/100)^Skills!K4</f>
        <v/>
      </c>
      <c r="I1479" t="inlineStr">
        <is>
          <t>1</t>
        </is>
      </c>
      <c r="J1479">
        <f>((Inputs!$B$6*(1+Inputs!$B$7/100))+(((Inputs!$B$12*(1+Inputs!$B$13/100))-(Inputs!$B$12*(1+Inputs!$B$13/100)))+0.25*(Inputs!$B$14-Inputs!$B$14))*(1+Inputs!$B$7/100))*(F1479/100)</f>
        <v/>
      </c>
      <c r="K1479">
        <f>J1479*(1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1487=TRUE,F1487,0)/100)*(1+(IF(Skills!A4="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1479)</f>
        <v/>
      </c>
      <c r="L1479">
        <f>K1479*(MIN(Inputs!$B$22+((C1495=TRUE)*(F1495-Calc!F20)),(Inputs!$B$23+0+(IF(ArtifactsInput!$M$15,CHOOSE(ArtifactsInput!$N$15+1,25,30,35,40,45,50)/100*(Inputs!$B$11-Inputs!$B$11),0))))/100+(Inputs!$B$23+0+(IF(ArtifactsInput!$M$15,CHOOSE(ArtifactsInput!$N$15+1,25,30,35,40,45,50)/100*(Inputs!$B$11-Inputs!$B$11),0)))/100)/2</f>
        <v/>
      </c>
      <c r="M1479">
        <f>L1479*(1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9">
        <f>L1479*(1-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1479*(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9">
        <f>(1-Summary!$B$11)*T1479+Summary!$B$11*V1479</f>
        <v/>
      </c>
      <c r="P1479">
        <f>IF(B1511=0,0,O1479/B1511)</f>
        <v/>
      </c>
      <c r="Q1479" t="n">
        <v>0</v>
      </c>
      <c r="R1479" t="n">
        <v>0</v>
      </c>
      <c r="S1479">
        <f>IFERROR(O1479/N1479,0)</f>
        <v/>
      </c>
      <c r="T1479">
        <f>IF(C1479,(Skills!G4*H1479*N1479*B1505)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1479*(1-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1479*(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1479*(1-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1479*(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9">
        <f>290*U1478/1000</f>
        <v/>
      </c>
      <c r="V1479">
        <f>IF(C1479,(Skills!G4*H1479*N1479*B1505)*IF(Inputs!$B$38="pvp",1,(1+(Inputs!$B$21+Skills!Q4+(IF(ArtifactsInput!$M$33,CHOOSE(ArtifactsInput!$N$33+1,30,36,42,48,54,60),0))+(IF(AND(ArtifactsInput!$M$35,Inputs!$B$4&lt;&gt;"Chapter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0">
      <c r="A1480">
        <f>Skills!A5</f>
        <v/>
      </c>
      <c r="B1480">
        <f>Skills!B5</f>
        <v/>
      </c>
      <c r="C1480">
        <f>Inputs!$B$3&gt;=60</f>
        <v/>
      </c>
      <c r="D1480">
        <f>IF(Skills!C5=1,60+Inputs!$B$25+Inputs!$B$29,IF(Skills!C5=2,90+Inputs!$B$26+Inputs!$B$29,IF(Skills!C5=3,120+Inputs!$B$27+Inputs!$B$29,MAX(0,(Inputs!$B$3-100)*3)+Inputs!$B$28+Inputs!$B$29)))</f>
        <v/>
      </c>
      <c r="E1480">
        <f>INDEX(FactorTable!$B$2:$Y$301, MATCH(ROUND(MIN(300,MAX(1,D1480)),0), FactorTable!$A$2:$A$301,0), Skills!M5+1)</f>
        <v/>
      </c>
      <c r="F1480">
        <f>IF(Skills!N5=TRUE,(Skills!L5/10)*(E1480/1000),Skills!L5/10)+Skills!O5</f>
        <v/>
      </c>
      <c r="G1480">
        <f>Skills!G5*IF(Skills!H5&gt;0,Skills!I5/Skills!H5,1)</f>
        <v/>
      </c>
      <c r="H1480">
        <f>1-(1-Skills!J5/100)^Skills!K5</f>
        <v/>
      </c>
      <c r="I1480" t="inlineStr">
        <is>
          <t>1</t>
        </is>
      </c>
      <c r="J1480" t="inlineStr"/>
      <c r="K1480" t="inlineStr"/>
      <c r="L1480" t="inlineStr"/>
      <c r="M1480" t="inlineStr"/>
      <c r="N1480" t="inlineStr"/>
      <c r="O1480">
        <f>(1-Summary!$B$11)*T1480+Summary!$B$11*V1480</f>
        <v/>
      </c>
      <c r="P1480">
        <f>IF(B1511=0,0,O1480/B1511)</f>
        <v/>
      </c>
      <c r="Q1480" t="n">
        <v>0</v>
      </c>
      <c r="R1480" t="n">
        <v>0</v>
      </c>
      <c r="S1480">
        <f>IFERROR(O1480/N1480,0)</f>
        <v/>
      </c>
      <c r="T1480" t="n">
        <v>0</v>
      </c>
      <c r="V1480" t="n">
        <v>0</v>
      </c>
    </row>
    <row r="1481">
      <c r="A1481">
        <f>Skills!A6</f>
        <v/>
      </c>
      <c r="B1481">
        <f>Skills!B6</f>
        <v/>
      </c>
      <c r="C1481">
        <f>Inputs!$B$3&gt;=63</f>
        <v/>
      </c>
      <c r="D1481">
        <f>IF(Skills!C6=1,60+Inputs!$B$25+Inputs!$B$29,IF(Skills!C6=2,90+Inputs!$B$26+Inputs!$B$29,IF(Skills!C6=3,120+Inputs!$B$27+Inputs!$B$29,MAX(0,(Inputs!$B$3-100)*3)+Inputs!$B$28+Inputs!$B$29)))</f>
        <v/>
      </c>
      <c r="E1481">
        <f>INDEX(FactorTable!$B$2:$Y$301, MATCH(ROUND(MIN(300,MAX(1,D1481)),0), FactorTable!$A$2:$A$301,0), Skills!M6+1)</f>
        <v/>
      </c>
      <c r="F1481">
        <f>IF(Skills!N6=TRUE,(Skills!L6/10)*(E1481/1000),Skills!L6/10)+Skills!O6</f>
        <v/>
      </c>
      <c r="G1481">
        <f>Skills!G6*IF(Skills!H6&gt;0,Skills!I6/Skills!H6,1)</f>
        <v/>
      </c>
      <c r="H1481">
        <f>1-(1-Skills!J6/100)^Skills!K6</f>
        <v/>
      </c>
      <c r="I1481" t="inlineStr">
        <is>
          <t>1</t>
        </is>
      </c>
      <c r="J1481">
        <f>((Inputs!$B$6*(1+Inputs!$B$7/100))+(((Inputs!$B$12*(1+Inputs!$B$13/100))-(Inputs!$B$12*(1+Inputs!$B$13/100)))+0.25*(Inputs!$B$14-Inputs!$B$14))*(1+Inputs!$B$7/100))*(F1481/100)</f>
        <v/>
      </c>
      <c r="K1481">
        <f>J1481*(1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1487=TRUE,F1487,0)/100)*(1+(IF(Skills!A6="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1481)</f>
        <v/>
      </c>
      <c r="L1481">
        <f>K1481*(MIN(Inputs!$B$22+((C1495=TRUE)*(F1495-Calc!F20)),(Inputs!$B$23+0+(IF(ArtifactsInput!$M$15,CHOOSE(ArtifactsInput!$N$15+1,25,30,35,40,45,50)/100*(Inputs!$B$11-Inputs!$B$11),0))))/100+(Inputs!$B$23+0+(IF(ArtifactsInput!$M$15,CHOOSE(ArtifactsInput!$N$15+1,25,30,35,40,45,50)/100*(Inputs!$B$11-Inputs!$B$11),0)))/100)/2</f>
        <v/>
      </c>
      <c r="M1481">
        <f>L1481*(1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1">
        <f>L1481*(1-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1">
        <f>(1-Summary!$B$11)*T1481+Summary!$B$11*V1481</f>
        <v/>
      </c>
      <c r="P1481">
        <f>IF(B1511=0,0,O1481/B1511)</f>
        <v/>
      </c>
      <c r="Q1481">
        <f>IFERROR(1/(IF(Inputs!$B$38="pvp",15,MAX(0.1,Skills!D6-IF(Skills!E6=TRUE,Inputs!$B$32,0)))*(1-IF(AND(ArtifactsInput!$M$27,Inputs!$B$4="Chapter Hunt"),CHOOSE(ArtifactsInput!$N$27+1,20,24,28,32,36,40),0)/100)),0)</f>
        <v/>
      </c>
      <c r="R1481">
        <f>IF(AND(Inputs!$B$38&lt;&gt;"pvp",Inputs!$B$43&gt;0),IF(MAX(0,Inputs!$B$43-B1508)&lt;=0,0,(INT(MAX(0,Inputs!$B$43-B1508)/(IF(Inputs!$B$38="pvp",15,MAX(0.1,Skills!D6-IF(Skills!E6=TRUE,Inputs!$B$32,0)))*(1-IF(AND(ArtifactsInput!$M$27,Inputs!$B$4="Chapter Hunt"),CHOOSE(ArtifactsInput!$N$27+1,20,24,28,32,36,40),0)/100)))+1)),0)</f>
        <v/>
      </c>
      <c r="S1481">
        <f>IFERROR(O1481/N1481,0)</f>
        <v/>
      </c>
      <c r="T1481">
        <f>IF(C1481,(H1481*N1481*IF(AND(Inputs!$B$38&lt;&gt;"pvp",Inputs!$B$43&gt;0),((Skills!G6*((R1481-1)*IF(Skills!H6&gt;0,Skills!I6/Skills!H6,1)+IF(Skills!H6&gt;0,MIN(Skills!I6,MAX(0,MAX(0,Inputs!$B$43-B1508)-((R1481-1)*(IF(Inputs!$B$38="pvp",15,MAX(0.1,Skills!D6-IF(Skills!E6=TRUE,Inputs!$B$32,0)))*(1-IF(AND(ArtifactsInput!$M$27,Inputs!$B$4="Chapter Hunt"),CHOOSE(ArtifactsInput!$N$27+1,20,24,28,32,36,40),0)/100)))))/Skills!H6,1)))/Inputs!$B$43),G1481*Q1481)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1481*(1-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1481*(1-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1">
        <f>IF(C1481,(H1481*N1481*IF(AND(Inputs!$B$38&lt;&gt;"pvp",Inputs!$B$43&gt;0),((Skills!G6*((R1481-1)*IF(Skills!H6&gt;0,Skills!I6/Skills!H6,1)+IF(Skills!H6&gt;0,MIN(Skills!I6,MAX(0,MAX(0,Inputs!$B$43-B1508)-((R1481-1)*(IF(Inputs!$B$38="pvp",15,MAX(0.1,Skills!D6-IF(Skills!E6=TRUE,Inputs!$B$32,0)))*(1-IF(AND(ArtifactsInput!$M$27,Inputs!$B$4="Chapter Hunt"),CHOOSE(ArtifactsInput!$N$27+1,20,24,28,32,36,40),0)/100)))))/Skills!H6,1)))/Inputs!$B$43),G1481*Q1481))*IF(Inputs!$B$38="pvp",1,(1+(Inputs!$B$21+Skills!Q6+(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2">
      <c r="A1482">
        <f>Skills!A7</f>
        <v/>
      </c>
      <c r="B1482">
        <f>Skills!B7</f>
        <v/>
      </c>
      <c r="C1482">
        <f>Inputs!$B$3&gt;=100</f>
        <v/>
      </c>
      <c r="D1482">
        <f>IF(Skills!C7=1,60+Inputs!$B$25+Inputs!$B$29,IF(Skills!C7=2,90+Inputs!$B$26+Inputs!$B$29,IF(Skills!C7=3,120+Inputs!$B$27+Inputs!$B$29,MAX(0,(Inputs!$B$3-100)*3)+Inputs!$B$28+Inputs!$B$29)))</f>
        <v/>
      </c>
      <c r="E1482">
        <f>INDEX(FactorTable!$B$2:$Y$301, MATCH(ROUND(MIN(300,MAX(1,D1482)),0), FactorTable!$A$2:$A$301,0), Skills!M7+1)</f>
        <v/>
      </c>
      <c r="F1482">
        <f>IF(Skills!N7=TRUE,(Skills!L7/10)*(E1482/1000),Skills!L7/10)+Skills!O7</f>
        <v/>
      </c>
      <c r="G1482">
        <f>Skills!G7*IF(Skills!H7&gt;0,Skills!I7/Skills!H7,1)</f>
        <v/>
      </c>
      <c r="H1482">
        <f>1-(1-Skills!J7/100)^Skills!K7</f>
        <v/>
      </c>
      <c r="I1482" t="inlineStr">
        <is>
          <t>1</t>
        </is>
      </c>
      <c r="J1482">
        <f>((Inputs!$B$6*(1+Inputs!$B$7/100))+(((Inputs!$B$12*(1+Inputs!$B$13/100))-(Inputs!$B$12*(1+Inputs!$B$13/100)))+0.25*(Inputs!$B$14-Inputs!$B$14))*(1+Inputs!$B$7/100))*(F1482/100)</f>
        <v/>
      </c>
      <c r="K1482">
        <f>J1482*(1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1482)</f>
        <v/>
      </c>
      <c r="L1482">
        <f>K1482*(MIN(Inputs!$B$22+((C1495=TRUE)*(F1495-Calc!F20)),(Inputs!$B$23+0+(IF(ArtifactsInput!$M$15,CHOOSE(ArtifactsInput!$N$15+1,25,30,35,40,45,50)/100*(Inputs!$B$11-Inputs!$B$11),0))))/100+(Inputs!$B$23+0+(IF(ArtifactsInput!$M$15,CHOOSE(ArtifactsInput!$N$15+1,25,30,35,40,45,50)/100*(Inputs!$B$11-Inputs!$B$11),0)))/100)/2</f>
        <v/>
      </c>
      <c r="M1482">
        <f>L1482*(1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2">
        <f>L1482*(1-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1482*(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2">
        <f>(1-Summary!$B$11)*T1482+Summary!$B$11*V1482</f>
        <v/>
      </c>
      <c r="P1482">
        <f>IF(B1511=0,0,O1482/B1511)</f>
        <v/>
      </c>
      <c r="Q1482">
        <f>IFERROR(1/(IF(Inputs!$B$38="pvp",15,MAX(0.1,Skills!D7-IF(Skills!E7=TRUE,Inputs!$B$32,0)))*(1-IF(AND(ArtifactsInput!$M$27,Inputs!$B$4="Chapter Hunt"),CHOOSE(ArtifactsInput!$N$27+1,20,24,28,32,36,40),0)/100)),0)</f>
        <v/>
      </c>
      <c r="R1482">
        <f>IF(AND(Inputs!$B$38&lt;&gt;"pvp",Inputs!$B$43&gt;0),IF(MAX(0,Inputs!$B$43-B1508)&lt;=0,0,(INT(MAX(0,Inputs!$B$43-B1508)/(IF(Inputs!$B$38="pvp",15,MAX(0.1,Skills!D7-IF(Skills!E7=TRUE,Inputs!$B$32,0)))*(1-IF(AND(ArtifactsInput!$M$27,Inputs!$B$4="Chapter Hunt"),CHOOSE(ArtifactsInput!$N$27+1,20,24,28,32,36,40),0)/100)))+1)),0)</f>
        <v/>
      </c>
      <c r="S1482">
        <f>IFERROR(O1482/N1482,0)</f>
        <v/>
      </c>
      <c r="T1482">
        <f>IF(C1482,(H1482*N1482*IF(AND(Inputs!$B$38&lt;&gt;"pvp",Inputs!$B$43&gt;0),((Skills!G7*((R1482-1)*IF(Skills!H7&gt;0,Skills!I7/Skills!H7,1)+IF(Skills!H7&gt;0,MIN(Skills!I7,MAX(0,MAX(0,Inputs!$B$43-B1508)-((R1482-1)*(IF(Inputs!$B$38="pvp",15,MAX(0.1,Skills!D7-IF(Skills!E7=TRUE,Inputs!$B$32,0)))*(1-IF(AND(ArtifactsInput!$M$27,Inputs!$B$4="Chapter Hunt"),CHOOSE(ArtifactsInput!$N$27+1,20,24,28,32,36,40),0)/100)))))/Skills!H7,1)))/Inputs!$B$43),G1482*Q1482)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1482*(1-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1482*(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1482*(1-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1482*(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2">
        <f>IF(C1482,(H1482*N1482*IF(AND(Inputs!$B$38&lt;&gt;"pvp",Inputs!$B$43&gt;0),((Skills!G7*((R1482-1)*IF(Skills!H7&gt;0,Skills!I7/Skills!H7,1)+IF(Skills!H7&gt;0,MIN(Skills!I7,MAX(0,MAX(0,Inputs!$B$43-B1508)-((R1482-1)*(IF(Inputs!$B$38="pvp",15,MAX(0.1,Skills!D7-IF(Skills!E7=TRUE,Inputs!$B$32,0)))*(1-IF(AND(ArtifactsInput!$M$27,Inputs!$B$4="Chapter Hunt"),CHOOSE(ArtifactsInput!$N$27+1,20,24,28,32,36,40),0)/100)))))/Skills!H7,1)))/Inputs!$B$43),G1482*Q1482))*IF(Inputs!$B$38="pvp",1,(1+(Inputs!$B$21+Skills!Q7+(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3">
      <c r="A1483">
        <f>Skills!A8</f>
        <v/>
      </c>
      <c r="B1483">
        <f>Skills!B8</f>
        <v/>
      </c>
      <c r="C1483">
        <f>Inputs!$B$3&gt;=110</f>
        <v/>
      </c>
      <c r="D1483">
        <f>IF(Skills!C8=1,60+Inputs!$B$25+Inputs!$B$29,IF(Skills!C8=2,90+Inputs!$B$26+Inputs!$B$29,IF(Skills!C8=3,120+Inputs!$B$27+Inputs!$B$29,MAX(0,(Inputs!$B$3-100)*3)+Inputs!$B$28+Inputs!$B$29)))</f>
        <v/>
      </c>
      <c r="E1483">
        <f>INDEX(FactorTable!$B$2:$Y$301, MATCH(ROUND(MIN(300,MAX(1,D1483)),0), FactorTable!$A$2:$A$301,0), Skills!M8+1)</f>
        <v/>
      </c>
      <c r="F1483">
        <f>IF(Skills!N8=TRUE,(Skills!L8/10)*(E1483/1000),Skills!L8/10)+Skills!O8</f>
        <v/>
      </c>
      <c r="G1483">
        <f>Skills!G8*IF(Skills!H8&gt;0,Skills!I8/Skills!H8,1)</f>
        <v/>
      </c>
      <c r="H1483">
        <f>1-(1-Skills!J8/100)^Skills!K8</f>
        <v/>
      </c>
      <c r="I1483" t="inlineStr">
        <is>
          <t>1</t>
        </is>
      </c>
      <c r="J1483">
        <f>((Inputs!$B$6*(1+Inputs!$B$7/100))+(((Inputs!$B$12*(1+Inputs!$B$13/100))-(Inputs!$B$12*(1+Inputs!$B$13/100)))+0.25*(Inputs!$B$14-Inputs!$B$14))*(1+Inputs!$B$7/100))*(F1483/100)</f>
        <v/>
      </c>
      <c r="K1483">
        <f>J1483*(1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1483)</f>
        <v/>
      </c>
      <c r="L1483">
        <f>K1483*(MIN(Inputs!$B$22+((C1495=TRUE)*(F1495-Calc!F20)),(Inputs!$B$23+0+(IF(ArtifactsInput!$M$15,CHOOSE(ArtifactsInput!$N$15+1,25,30,35,40,45,50)/100*(Inputs!$B$11-Inputs!$B$11),0))))/100+(Inputs!$B$23+0+(IF(ArtifactsInput!$M$15,CHOOSE(ArtifactsInput!$N$15+1,25,30,35,40,45,50)/100*(Inputs!$B$11-Inputs!$B$11),0)))/100)/2</f>
        <v/>
      </c>
      <c r="M1483">
        <f>L1483*(1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3">
        <f>L1483*(1-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1483*(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3">
        <f>(1-Summary!$B$11)*T1483+Summary!$B$11*V1483</f>
        <v/>
      </c>
      <c r="P1483">
        <f>IF(B1511=0,0,O1483/B1511)</f>
        <v/>
      </c>
      <c r="Q1483">
        <f>IFERROR(1/(IF(Inputs!$B$38="pvp",15,MAX(0.1,Skills!D8-IF(Skills!E8=TRUE,Inputs!$B$32,0)))*(1-IF(AND(ArtifactsInput!$M$27,Inputs!$B$4="Chapter Hunt"),CHOOSE(ArtifactsInput!$N$27+1,20,24,28,32,36,40),0)/100)),0)</f>
        <v/>
      </c>
      <c r="R1483">
        <f>IF(AND(Inputs!$B$38&lt;&gt;"pvp",Inputs!$B$43&gt;0),IF(MAX(0,Inputs!$B$43-B1508)&lt;=0,0,(INT(MAX(0,Inputs!$B$43-B1508)/(IF(Inputs!$B$38="pvp",15,MAX(0.1,Skills!D8-IF(Skills!E8=TRUE,Inputs!$B$32,0)))*(1-IF(AND(ArtifactsInput!$M$27,Inputs!$B$4="Chapter Hunt"),CHOOSE(ArtifactsInput!$N$27+1,20,24,28,32,36,40),0)/100)))+1)),0)</f>
        <v/>
      </c>
      <c r="S1483">
        <f>IFERROR(O1483/N1483,0)</f>
        <v/>
      </c>
      <c r="T1483">
        <f>IF(C1483,(H1483*N1483*IF(AND(Inputs!$B$38&lt;&gt;"pvp",Inputs!$B$43&gt;0),((Skills!G8*((R1483-1)*IF(Skills!H8&gt;0,Skills!I8/Skills!H8,1)+IF(Skills!H8&gt;0,MIN(Skills!I8,MAX(0,MAX(0,Inputs!$B$43-B1508)-((R1483-1)*(IF(Inputs!$B$38="pvp",15,MAX(0.1,Skills!D8-IF(Skills!E8=TRUE,Inputs!$B$32,0)))*(1-IF(AND(ArtifactsInput!$M$27,Inputs!$B$4="Chapter Hunt"),CHOOSE(ArtifactsInput!$N$27+1,20,24,28,32,36,40),0)/100)))))/Skills!H8,1)))/Inputs!$B$43),G1483*Q1483)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1483*(1-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1483*(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1483*(1-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1483*(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3">
        <f>IF(C1483,(H1483*N1483*IF(AND(Inputs!$B$38&lt;&gt;"pvp",Inputs!$B$43&gt;0),((Skills!G8*((R1483-1)*IF(Skills!H8&gt;0,Skills!I8/Skills!H8,1)+IF(Skills!H8&gt;0,MIN(Skills!I8,MAX(0,MAX(0,Inputs!$B$43-B1508)-((R1483-1)*(IF(Inputs!$B$38="pvp",15,MAX(0.1,Skills!D8-IF(Skills!E8=TRUE,Inputs!$B$32,0)))*(1-IF(AND(ArtifactsInput!$M$27,Inputs!$B$4="Chapter Hunt"),CHOOSE(ArtifactsInput!$N$27+1,20,24,28,32,36,40),0)/100)))))/Skills!H8,1)))/Inputs!$B$43),G1483*Q1483))*IF(Inputs!$B$38="pvp",1,(1+(Inputs!$B$21+Skills!Q8+(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4">
      <c r="A1484">
        <f>Skills!A9</f>
        <v/>
      </c>
      <c r="B1484">
        <f>Skills!B9</f>
        <v/>
      </c>
      <c r="C1484">
        <f>Inputs!$B$3&gt;=110</f>
        <v/>
      </c>
      <c r="D1484">
        <f>IF(Skills!C9=1,60+Inputs!$B$25+Inputs!$B$29,IF(Skills!C9=2,90+Inputs!$B$26+Inputs!$B$29,IF(Skills!C9=3,120+Inputs!$B$27+Inputs!$B$29,MAX(0,(Inputs!$B$3-100)*3)+Inputs!$B$28+Inputs!$B$29)))</f>
        <v/>
      </c>
      <c r="E1484">
        <f>INDEX(FactorTable!$B$2:$Y$301, MATCH(ROUND(MIN(300,MAX(1,D1484)),0), FactorTable!$A$2:$A$301,0), Skills!M9+1)</f>
        <v/>
      </c>
      <c r="F1484">
        <f>IF(Skills!N9=TRUE,(Skills!L9/10)*(E1484/1000),Skills!L9/10)+Skills!O9</f>
        <v/>
      </c>
      <c r="G1484">
        <f>Skills!G9*IF(Skills!H9&gt;0,Skills!I9/Skills!H9,1)</f>
        <v/>
      </c>
      <c r="H1484">
        <f>1-(1-Skills!J9/100)^Skills!K9</f>
        <v/>
      </c>
      <c r="I1484" t="inlineStr">
        <is>
          <t>1</t>
        </is>
      </c>
      <c r="J1484">
        <f>((Inputs!$B$6*(1+Inputs!$B$7/100))+(((Inputs!$B$12*(1+Inputs!$B$13/100))-(Inputs!$B$12*(1+Inputs!$B$13/100)))+0.25*(Inputs!$B$14-Inputs!$B$14))*(1+Inputs!$B$7/100))*(F1484/100)</f>
        <v/>
      </c>
      <c r="K1484">
        <f>J1484*(1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1484)</f>
        <v/>
      </c>
      <c r="L1484">
        <f>K1484*(MIN(Inputs!$B$22+((C1495=TRUE)*(F1495-Calc!F20)),(Inputs!$B$23+0+(IF(ArtifactsInput!$M$15,CHOOSE(ArtifactsInput!$N$15+1,25,30,35,40,45,50)/100*(Inputs!$B$11-Inputs!$B$11),0))))/100+(Inputs!$B$23+0+(IF(ArtifactsInput!$M$15,CHOOSE(ArtifactsInput!$N$15+1,25,30,35,40,45,50)/100*(Inputs!$B$11-Inputs!$B$11),0)))/100)/2</f>
        <v/>
      </c>
      <c r="M1484">
        <f>L1484*(1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4">
        <f>L1484*(1-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1484*(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4">
        <f>(1-Summary!$B$11)*T1484+Summary!$B$11*V1484</f>
        <v/>
      </c>
      <c r="P1484">
        <f>IF(B1511=0,0,O1484/B1511)</f>
        <v/>
      </c>
      <c r="Q1484">
        <f>IFERROR(1/(IF(Inputs!$B$38="pvp",15,MAX(0.1,Skills!D9-IF(Skills!E9=TRUE,Inputs!$B$32,0)))*(1-IF(AND(ArtifactsInput!$M$27,Inputs!$B$4="Chapter Hunt"),CHOOSE(ArtifactsInput!$N$27+1,20,24,28,32,36,40),0)/100)),0)</f>
        <v/>
      </c>
      <c r="R1484">
        <f>IF(AND(Inputs!$B$38&lt;&gt;"pvp",Inputs!$B$43&gt;0),IF(MAX(0,Inputs!$B$43-B1508)&lt;=0,0,(INT(MAX(0,Inputs!$B$43-B1508)/(IF(Inputs!$B$38="pvp",15,MAX(0.1,Skills!D9-IF(Skills!E9=TRUE,Inputs!$B$32,0)))*(1-IF(AND(ArtifactsInput!$M$27,Inputs!$B$4="Chapter Hunt"),CHOOSE(ArtifactsInput!$N$27+1,20,24,28,32,36,40),0)/100)))+1)),0)</f>
        <v/>
      </c>
      <c r="S1484">
        <f>IFERROR(O1484/N1484,0)</f>
        <v/>
      </c>
      <c r="T1484">
        <f>IF(C1484,(H1484*N1484*IF(AND(Inputs!$B$38&lt;&gt;"pvp",Inputs!$B$43&gt;0),((Skills!G9*((R1484-1)*IF(Skills!H9&gt;0,Skills!I9/Skills!H9,1)+IF(Skills!H9&gt;0,MIN(Skills!I9,MAX(0,MAX(0,Inputs!$B$43-B1508)-((R1484-1)*(IF(Inputs!$B$38="pvp",15,MAX(0.1,Skills!D9-IF(Skills!E9=TRUE,Inputs!$B$32,0)))*(1-IF(AND(ArtifactsInput!$M$27,Inputs!$B$4="Chapter Hunt"),CHOOSE(ArtifactsInput!$N$27+1,20,24,28,32,36,40),0)/100)))))/Skills!H9,1)))/Inputs!$B$43),G1484*Q1484)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1484*(1-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1484*(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1484*(1-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1484*(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4">
        <f>IF(C1484,(H1484*N1484*IF(AND(Inputs!$B$38&lt;&gt;"pvp",Inputs!$B$43&gt;0),((Skills!G9*((R1484-1)*IF(Skills!H9&gt;0,Skills!I9/Skills!H9,1)+IF(Skills!H9&gt;0,MIN(Skills!I9,MAX(0,MAX(0,Inputs!$B$43-B1508)-((R1484-1)*(IF(Inputs!$B$38="pvp",15,MAX(0.1,Skills!D9-IF(Skills!E9=TRUE,Inputs!$B$32,0)))*(1-IF(AND(ArtifactsInput!$M$27,Inputs!$B$4="Chapter Hunt"),CHOOSE(ArtifactsInput!$N$27+1,20,24,28,32,36,40),0)/100)))))/Skills!H9,1)))/Inputs!$B$43),G1484*Q1484))*IF(Inputs!$B$38="pvp",1,(1+(Inputs!$B$21+Skills!Q9+(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5">
      <c r="A1485">
        <f>Skills!A10</f>
        <v/>
      </c>
      <c r="B1485">
        <f>Skills!B10</f>
        <v/>
      </c>
      <c r="C1485">
        <f>Inputs!$B$3&gt;=103</f>
        <v/>
      </c>
      <c r="D1485">
        <f>IF(Skills!C10=1,60+Inputs!$B$25+Inputs!$B$29,IF(Skills!C10=2,90+Inputs!$B$26+Inputs!$B$29,IF(Skills!C10=3,120+Inputs!$B$27+Inputs!$B$29,MAX(0,(Inputs!$B$3-100)*3)+Inputs!$B$28+Inputs!$B$29)))</f>
        <v/>
      </c>
      <c r="E1485">
        <f>INDEX(FactorTable!$B$2:$Y$301, MATCH(ROUND(MIN(300,MAX(1,D1485)),0), FactorTable!$A$2:$A$301,0), Skills!M10+1)</f>
        <v/>
      </c>
      <c r="F1485">
        <f>IF(Skills!N10=TRUE,(Skills!L10/10)*(E1485/1000),Skills!L10/10)+Skills!O10</f>
        <v/>
      </c>
      <c r="G1485">
        <f>Skills!G10*IF(Skills!H10&gt;0,Skills!I10/Skills!H10,1)</f>
        <v/>
      </c>
      <c r="H1485">
        <f>1-(1-Skills!J10/100)^Skills!K10</f>
        <v/>
      </c>
      <c r="I1485" t="inlineStr">
        <is>
          <t>1</t>
        </is>
      </c>
      <c r="J1485">
        <f>((Inputs!$B$6*(1+Inputs!$B$7/100))+(((Inputs!$B$12*(1+Inputs!$B$13/100))-(Inputs!$B$12*(1+Inputs!$B$13/100)))+0.25*(Inputs!$B$14-Inputs!$B$14))*(1+Inputs!$B$7/100))*(F1485/100)</f>
        <v/>
      </c>
      <c r="K1485">
        <f>J1485*(1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1485)</f>
        <v/>
      </c>
      <c r="L1485">
        <f>K1485*(MIN(Inputs!$B$22+((C1495=TRUE)*(F1495-Calc!F20)),(Inputs!$B$23+0+(IF(ArtifactsInput!$M$15,CHOOSE(ArtifactsInput!$N$15+1,25,30,35,40,45,50)/100*(Inputs!$B$11-Inputs!$B$11),0))))/100+(Inputs!$B$23+0+(IF(ArtifactsInput!$M$15,CHOOSE(ArtifactsInput!$N$15+1,25,30,35,40,45,50)/100*(Inputs!$B$11-Inputs!$B$11),0)))/100)/2</f>
        <v/>
      </c>
      <c r="M1485">
        <f>L1485*(1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5">
        <f>L1485*(1-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1485*(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5">
        <f>(1-Summary!$B$11)*T1485+Summary!$B$11*V1485</f>
        <v/>
      </c>
      <c r="P1485">
        <f>IF(B1511=0,0,O1485/B1511)</f>
        <v/>
      </c>
      <c r="Q1485">
        <f>IFERROR(1/(IF(Inputs!$B$38="pvp",15,MAX(0.1,Skills!D10-IF(Skills!E10=TRUE,Inputs!$B$32,0)))*(1-IF(AND(ArtifactsInput!$M$27,Inputs!$B$4="Chapter Hunt"),CHOOSE(ArtifactsInput!$N$27+1,20,24,28,32,36,40),0)/100)),0)</f>
        <v/>
      </c>
      <c r="R1485">
        <f>IF(AND(Inputs!$B$38&lt;&gt;"pvp",Inputs!$B$43&gt;0),IF(MAX(0,Inputs!$B$43-B1508)&lt;=0,0,(INT(MAX(0,Inputs!$B$43-B1508)/(IF(Inputs!$B$38="pvp",15,MAX(0.1,Skills!D10-IF(Skills!E10=TRUE,Inputs!$B$32,0)))*(1-IF(AND(ArtifactsInput!$M$27,Inputs!$B$4="Chapter Hunt"),CHOOSE(ArtifactsInput!$N$27+1,20,24,28,32,36,40),0)/100)))+1)),0)</f>
        <v/>
      </c>
      <c r="S1485">
        <f>IFERROR(O1485/N1485,0)</f>
        <v/>
      </c>
      <c r="T1485">
        <f>IF(C1485,(H1485*N1485*IF(AND(Inputs!$B$38&lt;&gt;"pvp",Inputs!$B$43&gt;0),((Skills!G10*((R1485-1)*IF(Skills!H10&gt;0,Skills!I10/Skills!H10,1)+IF(Skills!H10&gt;0,MIN(Skills!I10,MAX(0,MAX(0,Inputs!$B$43-B1508)-((R1485-1)*(IF(Inputs!$B$38="pvp",15,MAX(0.1,Skills!D10-IF(Skills!E10=TRUE,Inputs!$B$32,0)))*(1-IF(AND(ArtifactsInput!$M$27,Inputs!$B$4="Chapter Hunt"),CHOOSE(ArtifactsInput!$N$27+1,20,24,28,32,36,40),0)/100)))))/Skills!H10,1)))/Inputs!$B$43),G1485*Q1485)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1485*(1-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1485*(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1485*(1-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1485*(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5">
        <f>IF(C1485,(H1485*N1485*IF(AND(Inputs!$B$38&lt;&gt;"pvp",Inputs!$B$43&gt;0),((Skills!G10*((R1485-1)*IF(Skills!H10&gt;0,Skills!I10/Skills!H10,1)+IF(Skills!H10&gt;0,MIN(Skills!I10,MAX(0,MAX(0,Inputs!$B$43-B1508)-((R1485-1)*(IF(Inputs!$B$38="pvp",15,MAX(0.1,Skills!D10-IF(Skills!E10=TRUE,Inputs!$B$32,0)))*(1-IF(AND(ArtifactsInput!$M$27,Inputs!$B$4="Chapter Hunt"),CHOOSE(ArtifactsInput!$N$27+1,20,24,28,32,36,40),0)/100)))))/Skills!H10,1)))/Inputs!$B$43),G1485*Q1485))*IF(Inputs!$B$38="pvp",1,(1+(Inputs!$B$21+Skills!Q10+(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6">
      <c r="A1486">
        <f>Skills!A11</f>
        <v/>
      </c>
      <c r="B1486">
        <f>Skills!B11</f>
        <v/>
      </c>
      <c r="C1486">
        <f>Inputs!$B$3&gt;=113</f>
        <v/>
      </c>
      <c r="D1486">
        <f>IF(Skills!C11=1,60+Inputs!$B$25+Inputs!$B$29,IF(Skills!C11=2,90+Inputs!$B$26+Inputs!$B$29,IF(Skills!C11=3,120+Inputs!$B$27+Inputs!$B$29,MAX(0,(Inputs!$B$3-100)*3)+Inputs!$B$28+Inputs!$B$29)))</f>
        <v/>
      </c>
      <c r="E1486">
        <f>INDEX(FactorTable!$B$2:$Y$301, MATCH(ROUND(MIN(300,MAX(1,D1486)),0), FactorTable!$A$2:$A$301,0), Skills!M11+1)</f>
        <v/>
      </c>
      <c r="F1486">
        <f>IF(Skills!N11=TRUE,(Skills!L11/10)*(E1486/1000),Skills!L11/10)+Skills!O11</f>
        <v/>
      </c>
      <c r="G1486">
        <f>Skills!G11*IF(Skills!H11&gt;0,Skills!I11/Skills!H11,1)</f>
        <v/>
      </c>
      <c r="H1486">
        <f>1-(1-Skills!J11/100)^Skills!K11</f>
        <v/>
      </c>
      <c r="I1486" t="inlineStr">
        <is>
          <t>1</t>
        </is>
      </c>
      <c r="J1486">
        <f>((Inputs!$B$6*(1+Inputs!$B$7/100))+(((Inputs!$B$12*(1+Inputs!$B$13/100))-(Inputs!$B$12*(1+Inputs!$B$13/100)))+0.25*(Inputs!$B$14-Inputs!$B$14))*(1+Inputs!$B$7/100))*(F1486/100)</f>
        <v/>
      </c>
      <c r="K1486">
        <f>J1486*(1+((Inputs!$B$12*(1+Inputs!$B$13/100))*0.01+Inputs!$B$14*0.0025)/100)*(1+Inputs!$B$15/100)*(1+Inputs!$B$16/100)*(5000/(6000+Inputs!$B$42*(1-(100*(1-(1-(Inputs!$B$19+0)/100)*(1-CHOOSE(ArtifactsInput!$N$40+1,5,6,7,8,9,10)/100)^(ArtifactsInput!$M$40-ArtifactsInput!$M$40)))/100)))*(1+(Inputs!$B$24+((C1497=TRUE)*(F1497-Calc!F22))+B1507)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1496=TRUE)*(F1496-Calc!F21))+(((IF(AND(ArtifactsInput!$M$42,((Inputs!$B$9+((C1491=TRUE)*(F1491-Calc!F16))+B1501+(ArtifactsInput!$M$24-ArtifactsInput!$M$24)*CHOOSE(ArtifactsInput!$N$24+1,10,12,14,16,18,20)+IF(ArtifactsInput!$M$10,CHOOSE(ArtifactsInput!$N$10+1,15,18,21,24,27,30)*(IF(Inputs!$B$38="pvp",MIN(15,15)/15,IF(AND(Inputs!$B$38&lt;&gt;"pvp",Inputs!$B$43&gt;0),MIN(15,Inputs!$B$43)/(Inputs!$B$43),0))),0)))&gt;=100),MIN(100,((Inputs!$B$9+((C1491=TRUE)*(F1491-Calc!F16))+B1501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1491=TRUE)*(F1491-Calc!F16))+B1501+(ArtifactsInput!$M$24-ArtifactsInput!$M$24)*CHOOSE(ArtifactsInput!$N$24+1,10,12,14,16,18,20)+IF(ArtifactsInput!$M$10,CHOOSE(ArtifactsInput!$N$10+1,15,18,21,24,27,30)*(IF(Inputs!$B$38="pvp",MIN(15,15)/15,IF(AND(Inputs!$B$38&lt;&gt;"pvp",Inputs!$B$43&gt;0),MIN(15,Inputs!$B$43)/(Inputs!$B$43),0))),0)))&gt;=100),CHOOSE(ArtifactsInput!$N$42+1,40,48,56,64,72,80),0))))/100)*((1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1486)</f>
        <v/>
      </c>
      <c r="L1486">
        <f>K1486*(MIN(Inputs!$B$22+((C1495=TRUE)*(F1495-Calc!F20)),(Inputs!$B$23+0+(IF(ArtifactsInput!$M$15,CHOOSE(ArtifactsInput!$N$15+1,25,30,35,40,45,50)/100*(Inputs!$B$11-Inputs!$B$11),0))))/100+(Inputs!$B$23+0+(IF(ArtifactsInput!$M$15,CHOOSE(ArtifactsInput!$N$15+1,25,30,35,40,45,50)/100*(Inputs!$B$11-Inputs!$B$11),0)))/100)/2</f>
        <v/>
      </c>
      <c r="M1486">
        <f>L1486*(1+(Inputs!$B$10+0+B1506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86">
        <f>L1486*(1-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1486*(MIN((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86">
        <f>(1-Summary!$B$11)*T1486+Summary!$B$11*V1486</f>
        <v/>
      </c>
      <c r="P1486">
        <f>IF(B1511=0,0,O1486/B1511)</f>
        <v/>
      </c>
      <c r="Q1486">
        <f>IFERROR(1/(IF(Inputs!$B$38="pvp",15,MAX(0.1,Skills!D11-IF(Skills!E11=TRUE,Inputs!$B$32,0)))*(1-IF(AND(ArtifactsInput!$M$27,Inputs!$B$4="Chapter Hunt"),CHOOSE(ArtifactsInput!$N$27+1,20,24,28,32,36,40),0)/100)),0)</f>
        <v/>
      </c>
      <c r="R1486">
        <f>IF(AND(Inputs!$B$38&lt;&gt;"pvp",Inputs!$B$43&gt;0),IF(MAX(0,Inputs!$B$43-B1508)&lt;=0,0,(INT(MAX(0,Inputs!$B$43-B1508)/(IF(Inputs!$B$38="pvp",15,MAX(0.1,Skills!D11-IF(Skills!E11=TRUE,Inputs!$B$32,0)))*(1-IF(AND(ArtifactsInput!$M$27,Inputs!$B$4="Chapter Hunt"),CHOOSE(ArtifactsInput!$N$27+1,20,24,28,32,36,40),0)/100)))+1)),0)</f>
        <v/>
      </c>
      <c r="S1486">
        <f>IFERROR(O1486/N1486,0)</f>
        <v/>
      </c>
      <c r="T1486">
        <f>IF(C1486,(H1486*N1486*IF(AND(Inputs!$B$38&lt;&gt;"pvp",Inputs!$B$43&gt;0),((Skills!G11*((R1486-1)*IF(Skills!H11&gt;0,Skills!I11/Skills!H11,1)+IF(Skills!H11&gt;0,MIN(Skills!I11,MAX(0,MAX(0,Inputs!$B$43-B1508)-((R1486-1)*(IF(Inputs!$B$38="pvp",15,MAX(0.1,Skills!D11-IF(Skills!E11=TRUE,Inputs!$B$32,0)))*(1-IF(AND(ArtifactsInput!$M$27,Inputs!$B$4="Chapter Hunt"),CHOOSE(ArtifactsInput!$N$27+1,20,24,28,32,36,40),0)/100)))))/Skills!H11,1)))/Inputs!$B$43),G1486*Q1486)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1486*(1-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1486*(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1486*(1-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1486*(MIN(100,(Inputs!$B$9+((C1491=TRUE)*(F1491-Calc!F16))+B1501+(ArtifactsInput!$M$24-ArtifactsInput!$M$24)*CHOOSE(ArtifactsInput!$N$24+1,10,12,14,16,18,20)+(IF(AND(ArtifactsInput!$M$42,((Inputs!$B$9+((C1491=TRUE)*(F1491-Calc!F16))+B1501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86">
        <f>IF(C1486,(H1486*N1486*IF(AND(Inputs!$B$38&lt;&gt;"pvp",Inputs!$B$43&gt;0),((Skills!G11*((R1486-1)*IF(Skills!H11&gt;0,Skills!I11/Skills!H11,1)+IF(Skills!H11&gt;0,MIN(Skills!I11,MAX(0,MAX(0,Inputs!$B$43-B1508)-((R1486-1)*(IF(Inputs!$B$38="pvp",15,MAX(0.1,Skills!D11-IF(Skills!E11=TRUE,Inputs!$B$32,0)))*(1-IF(AND(ArtifactsInput!$M$27,Inputs!$B$4="Chapter Hunt"),CHOOSE(ArtifactsInput!$N$27+1,20,24,28,32,36,40),0)/100)))))/Skills!H11,1)))/Inputs!$B$43),G1486*Q1486))*IF(Inputs!$B$38="pvp",1,(1+(Inputs!$B$21+Skills!Q11+(IF(ArtifactsInput!$M$33,CHOOSE(ArtifactsInput!$N$33+1,30,36,42,48,54,60),0))+(IF(AND(ArtifactsInput!$M$35,Inputs!$B$4&lt;&gt;"Chapter Hunt"),CHOOSE(ArtifactsInput!$N$35+1,15,18,21,24,27,30)*(1-EXP(-(0.2*B1503)*5)),0)+IF(AND(ArtifactsInput!$M$22,Inputs!$B$4&lt;&gt;"Chapter Hunt"),CHOOSE(ArtifactsInput!$N$22+1,10,12,14,16,18,20)*((0*(((0.15*B1503*5))^0/1)+1*(((0.15*B1503*5))^1/1)+2*(((0.15*B1503*5))^2/2)+3*(((0.15*B1503*5))^3/6)+4*(((0.15*B1503*5))^4/24)+5*(((0.15*B1503*5))^5/120))/((((0.15*B1503*5))^0/1)+(((0.15*B1503*5))^1/1)+(((0.15*B1503*5))^2/2)+(((0.15*B1503*5))^3/6)+(((0.15*B1503*5))^4/24)+(((0.15*B1503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87">
      <c r="A1487">
        <f>Skills!A12</f>
        <v/>
      </c>
      <c r="B1487">
        <f>Skills!B12</f>
        <v/>
      </c>
      <c r="C1487">
        <f>Inputs!$B$3&gt;=100</f>
        <v/>
      </c>
      <c r="D1487">
        <f>IF(Skills!C12=1,60+Inputs!$B$25+Inputs!$B$29,IF(Skills!C12=2,90+Inputs!$B$26+Inputs!$B$29,IF(Skills!C12=3,120+Inputs!$B$27+Inputs!$B$29,MAX(0,(Inputs!$B$3-100)*3)+Inputs!$B$28+Inputs!$B$29)))</f>
        <v/>
      </c>
      <c r="E1487">
        <f>INDEX(FactorTable!$B$2:$Y$301, MATCH(ROUND(MIN(300,MAX(1,D1487)),0), FactorTable!$A$2:$A$301,0), Skills!M12+1)</f>
        <v/>
      </c>
      <c r="F1487">
        <f>IF(Skills!N12=TRUE,(Skills!L12/10)*(E1487/1000),Skills!L12/10)+Skills!O12</f>
        <v/>
      </c>
      <c r="G1487" t="inlineStr"/>
      <c r="H1487" t="inlineStr"/>
      <c r="I1487" t="inlineStr">
        <is>
          <t>1</t>
        </is>
      </c>
      <c r="J1487" t="inlineStr"/>
      <c r="K1487" t="inlineStr"/>
      <c r="L1487" t="inlineStr"/>
      <c r="M1487" t="inlineStr"/>
      <c r="N1487" t="inlineStr"/>
      <c r="O1487" t="inlineStr"/>
      <c r="P1487" t="inlineStr"/>
      <c r="Q1487" t="inlineStr"/>
      <c r="R1487" t="inlineStr"/>
      <c r="S1487" t="inlineStr"/>
      <c r="T1487" t="inlineStr"/>
      <c r="V1487" t="inlineStr"/>
    </row>
    <row r="1488">
      <c r="A1488">
        <f>Skills!A13</f>
        <v/>
      </c>
      <c r="B1488">
        <f>Skills!B13</f>
        <v/>
      </c>
      <c r="C1488">
        <f>Inputs!$B$3&gt;=66</f>
        <v/>
      </c>
      <c r="D1488">
        <f>IF(Skills!C13=1,60+Inputs!$B$25+Inputs!$B$29,IF(Skills!C13=2,90+Inputs!$B$26+Inputs!$B$29,IF(Skills!C13=3,120+Inputs!$B$27+Inputs!$B$29,MAX(0,(Inputs!$B$3-100)*3)+Inputs!$B$28+Inputs!$B$29)))</f>
        <v/>
      </c>
      <c r="E1488">
        <f>INDEX(FactorTable!$B$2:$Y$301, MATCH(ROUND(MIN(300,MAX(1,D1488)),0), FactorTable!$A$2:$A$301,0), Skills!M13+1)</f>
        <v/>
      </c>
      <c r="F1488">
        <f>IF(Skills!N13=TRUE,(Skills!L13/10)*(E1488/1000),Skills!L13/10)+Skills!O13</f>
        <v/>
      </c>
      <c r="G1488">
        <f>Skills!G13*IF(Skills!H13&gt;0,Skills!I13/Skills!H13,1)</f>
        <v/>
      </c>
      <c r="H1488">
        <f>1-(1-Skills!J13/100)^Skills!K13</f>
        <v/>
      </c>
      <c r="I1488" t="inlineStr">
        <is>
          <t>1</t>
        </is>
      </c>
      <c r="J1488" t="inlineStr"/>
      <c r="K1488" t="inlineStr"/>
      <c r="L1488" t="inlineStr"/>
      <c r="M1488" t="inlineStr"/>
      <c r="N1488" t="inlineStr"/>
      <c r="O1488">
        <f>(1-Summary!$B$11)*T1488+Summary!$B$11*V1488</f>
        <v/>
      </c>
      <c r="P1488">
        <f>IF(B1511=0,0,O1488/B1511)</f>
        <v/>
      </c>
      <c r="Q1488" t="n">
        <v>0</v>
      </c>
      <c r="R1488" t="n">
        <v>0</v>
      </c>
      <c r="S1488">
        <f>IFERROR(O1488/N1488,0)</f>
        <v/>
      </c>
      <c r="T1488" t="n">
        <v>0</v>
      </c>
      <c r="V1488" t="n">
        <v>0</v>
      </c>
    </row>
    <row r="1489">
      <c r="A1489">
        <f>Skills!A14</f>
        <v/>
      </c>
      <c r="B1489">
        <f>Skills!B14</f>
        <v/>
      </c>
      <c r="C1489">
        <f>Inputs!$B$3&gt;=107</f>
        <v/>
      </c>
      <c r="D1489">
        <f>IF(Skills!C14=1,60+Inputs!$B$25+Inputs!$B$29,IF(Skills!C14=2,90+Inputs!$B$26+Inputs!$B$29,IF(Skills!C14=3,120+Inputs!$B$27+Inputs!$B$29,MAX(0,(Inputs!$B$3-100)*3)+Inputs!$B$28+Inputs!$B$29)))</f>
        <v/>
      </c>
      <c r="E1489">
        <f>INDEX(FactorTable!$B$2:$Y$301, MATCH(ROUND(MIN(300,MAX(1,D1489)),0), FactorTable!$A$2:$A$301,0), Skills!M14+1)</f>
        <v/>
      </c>
      <c r="F1489">
        <f>IF(Skills!N14=TRUE,(Skills!L14/10)*(E1489/1000),Skills!L14/10)+Skills!O14</f>
        <v/>
      </c>
      <c r="G1489">
        <f>Skills!G14*IF(Skills!H14&gt;0,Skills!I14/Skills!H14,1)</f>
        <v/>
      </c>
      <c r="H1489">
        <f>1-(1-Skills!J14/100)^Skills!K14</f>
        <v/>
      </c>
      <c r="I1489" t="inlineStr">
        <is>
          <t>1</t>
        </is>
      </c>
      <c r="J1489" t="inlineStr"/>
      <c r="K1489" t="inlineStr"/>
      <c r="L1489" t="inlineStr"/>
      <c r="M1489" t="inlineStr"/>
      <c r="N1489" t="inlineStr"/>
      <c r="O1489">
        <f>(1-Summary!$B$11)*T1489+Summary!$B$11*V1489</f>
        <v/>
      </c>
      <c r="P1489">
        <f>IF(B1511=0,0,O1489/B1511)</f>
        <v/>
      </c>
      <c r="Q1489">
        <f>IFERROR(1/(IF(Inputs!$B$38="pvp",15,MAX(0.1,Skills!D14-IF(Skills!E14=TRUE,Inputs!$B$32,0)))*(1-IF(AND(ArtifactsInput!$M$27,Inputs!$B$4="Chapter Hunt"),CHOOSE(ArtifactsInput!$N$27+1,20,24,28,32,36,40),0)/100)),0)</f>
        <v/>
      </c>
      <c r="R1489">
        <f>IF(AND(Inputs!$B$38&lt;&gt;"pvp",Inputs!$B$43&gt;0),IF(Inputs!$B$43&lt;=0,0,(INT(Inputs!$B$43/(IF(Inputs!$B$38="pvp",15,MAX(0.1,Skills!D14-IF(Skills!E14=TRUE,Inputs!$B$32,0)))*(1-IF(AND(ArtifactsInput!$M$27,Inputs!$B$4="Chapter Hunt"),CHOOSE(ArtifactsInput!$N$27+1,20,24,28,32,36,40),0)/100)))+1)),0)</f>
        <v/>
      </c>
      <c r="S1489">
        <f>IFERROR(O1489/N1489,0)</f>
        <v/>
      </c>
      <c r="T1489" t="n">
        <v>0</v>
      </c>
      <c r="V1489" t="n">
        <v>0</v>
      </c>
    </row>
    <row r="1490">
      <c r="A1490">
        <f>Skills!A15</f>
        <v/>
      </c>
      <c r="B1490">
        <f>Skills!B15</f>
        <v/>
      </c>
      <c r="C1490">
        <f>Inputs!$B$3&gt;=115</f>
        <v/>
      </c>
      <c r="D1490">
        <f>IF(Skills!C15=1,60+Inputs!$B$25+Inputs!$B$29,IF(Skills!C15=2,90+Inputs!$B$26+Inputs!$B$29,IF(Skills!C15=3,120+Inputs!$B$27+Inputs!$B$29,MAX(0,(Inputs!$B$3-100)*3)+Inputs!$B$28+Inputs!$B$29)))</f>
        <v/>
      </c>
      <c r="E1490">
        <f>INDEX(FactorTable!$B$2:$Y$301, MATCH(ROUND(MIN(300,MAX(1,D1490)),0), FactorTable!$A$2:$A$301,0), Skills!M15+1)</f>
        <v/>
      </c>
      <c r="F1490">
        <f>IF(Skills!N15=TRUE,(Skills!L15/10)*(E1490/1000),Skills!L15/10)+Skills!O15</f>
        <v/>
      </c>
      <c r="G1490">
        <f>Skills!G15*IF(Skills!H15&gt;0,Skills!I15/Skills!H15,1)</f>
        <v/>
      </c>
      <c r="H1490">
        <f>1-(1-Skills!J15/100)^Skills!K15</f>
        <v/>
      </c>
      <c r="I1490" t="inlineStr">
        <is>
          <t>1</t>
        </is>
      </c>
      <c r="J1490" t="inlineStr"/>
      <c r="K1490" t="inlineStr"/>
      <c r="L1490" t="inlineStr"/>
      <c r="M1490" t="inlineStr"/>
      <c r="N1490" t="inlineStr"/>
      <c r="O1490">
        <f>(1-Summary!$B$11)*T1490+Summary!$B$11*V1490</f>
        <v/>
      </c>
      <c r="P1490">
        <f>IF(B1511=0,0,O1490/B1511)</f>
        <v/>
      </c>
      <c r="Q1490">
        <f>IFERROR(1/(IF(Inputs!$B$38="pvp",15,MAX(0.1,Skills!D15-IF(Skills!E15=TRUE,Inputs!$B$32,0)))*(1-IF(AND(ArtifactsInput!$M$27,Inputs!$B$4="Chapter Hunt"),CHOOSE(ArtifactsInput!$N$27+1,20,24,28,32,36,40),0)/100)),0)</f>
        <v/>
      </c>
      <c r="R1490">
        <f>IF(AND(Inputs!$B$38&lt;&gt;"pvp",Inputs!$B$43&gt;0),IF(Inputs!$B$43&lt;=0,0,(INT(Inputs!$B$43/(IF(Inputs!$B$38="pvp",15,MAX(0.1,Skills!D15-IF(Skills!E15=TRUE,Inputs!$B$32,0)))*(1-IF(AND(ArtifactsInput!$M$27,Inputs!$B$4="Chapter Hunt"),CHOOSE(ArtifactsInput!$N$27+1,20,24,28,32,36,40),0)/100)))+1)),0)</f>
        <v/>
      </c>
      <c r="S1490">
        <f>IFERROR(O1490/N1490,0)</f>
        <v/>
      </c>
      <c r="T1490" t="n">
        <v>0</v>
      </c>
      <c r="V1490" t="n">
        <v>0</v>
      </c>
    </row>
    <row r="1491">
      <c r="A1491">
        <f>Skills!A16</f>
        <v/>
      </c>
      <c r="B1491">
        <f>Skills!B16</f>
        <v/>
      </c>
      <c r="C1491">
        <f>Inputs!$B$3&gt;=15</f>
        <v/>
      </c>
      <c r="D1491">
        <f>IF(Skills!C16=1,60+Inputs!$B$25+Inputs!$B$29,IF(Skills!C16=2,90+Inputs!$B$26+Inputs!$B$29,IF(Skills!C16=3,120+Inputs!$B$27+Inputs!$B$29,MAX(0,(Inputs!$B$3-100)*3)+Inputs!$B$28+Inputs!$B$29)))</f>
        <v/>
      </c>
      <c r="E1491">
        <f>INDEX(FactorTable!$B$2:$Y$301, MATCH(ROUND(MIN(300,MAX(1,D1491)),0), FactorTable!$A$2:$A$301,0), Skills!M16+1)</f>
        <v/>
      </c>
      <c r="F1491">
        <f>IF(Skills!N16=TRUE,(Skills!L16/10)*(E1491/1000),Skills!L16/10)+Skills!O16</f>
        <v/>
      </c>
      <c r="G1491">
        <f>Skills!G16*IF(Skills!H16&gt;0,Skills!I16/Skills!H16,1)</f>
        <v/>
      </c>
      <c r="H1491">
        <f>1-(1-Skills!J16/100)^Skills!K16</f>
        <v/>
      </c>
      <c r="I1491" t="inlineStr">
        <is>
          <t>1</t>
        </is>
      </c>
      <c r="J1491" t="inlineStr"/>
      <c r="K1491" t="inlineStr"/>
      <c r="L1491" t="inlineStr"/>
      <c r="M1491" t="inlineStr"/>
      <c r="N1491" t="inlineStr"/>
      <c r="O1491">
        <f>(1-Summary!$B$11)*T1491+Summary!$B$11*V1491</f>
        <v/>
      </c>
      <c r="P1491">
        <f>IF(B1511=0,0,O1491/B1511)</f>
        <v/>
      </c>
      <c r="Q1491" t="n">
        <v>0</v>
      </c>
      <c r="R1491" t="n">
        <v>0</v>
      </c>
      <c r="S1491">
        <f>IFERROR(O1491/N1491,0)</f>
        <v/>
      </c>
      <c r="T1491" t="n">
        <v>0</v>
      </c>
      <c r="V1491" t="n">
        <v>0</v>
      </c>
    </row>
    <row r="1492">
      <c r="A1492">
        <f>Skills!A17</f>
        <v/>
      </c>
      <c r="B1492">
        <f>Skills!B17</f>
        <v/>
      </c>
      <c r="C1492">
        <f>Inputs!$B$3&gt;=10</f>
        <v/>
      </c>
      <c r="D1492">
        <f>IF(Skills!C17=1,60+Inputs!$B$25+Inputs!$B$29,IF(Skills!C17=2,90+Inputs!$B$26+Inputs!$B$29,IF(Skills!C17=3,120+Inputs!$B$27+Inputs!$B$29,MAX(0,(Inputs!$B$3-100)*3)+Inputs!$B$28+Inputs!$B$29)))</f>
        <v/>
      </c>
      <c r="E1492">
        <f>INDEX(FactorTable!$B$2:$Y$301, MATCH(ROUND(MIN(300,MAX(1,D1492)),0), FactorTable!$A$2:$A$301,0), Skills!M17+1)</f>
        <v/>
      </c>
      <c r="F1492">
        <f>IF(Skills!N17=TRUE,(Skills!L17/10)*(E1492/1000),Skills!L17/10)+Skills!O17</f>
        <v/>
      </c>
      <c r="G1492">
        <f>Skills!G17*IF(Skills!H17&gt;0,Skills!I17/Skills!H17,1)</f>
        <v/>
      </c>
      <c r="H1492">
        <f>1-(1-Skills!J17/100)^Skills!K17</f>
        <v/>
      </c>
      <c r="I1492" t="inlineStr">
        <is>
          <t>1</t>
        </is>
      </c>
      <c r="J1492" t="inlineStr"/>
      <c r="K1492" t="inlineStr"/>
      <c r="L1492" t="inlineStr"/>
      <c r="M1492" t="inlineStr"/>
      <c r="N1492" t="inlineStr"/>
      <c r="O1492">
        <f>(1-Summary!$B$11)*T1492+Summary!$B$11*V1492</f>
        <v/>
      </c>
      <c r="P1492">
        <f>IF(B1511=0,0,O1492/B1511)</f>
        <v/>
      </c>
      <c r="Q1492" t="n">
        <v>0</v>
      </c>
      <c r="R1492" t="n">
        <v>0</v>
      </c>
      <c r="S1492">
        <f>IFERROR(O1492/N1492,0)</f>
        <v/>
      </c>
      <c r="T1492" t="n">
        <v>0</v>
      </c>
      <c r="V1492" t="n">
        <v>0</v>
      </c>
    </row>
    <row r="1493">
      <c r="A1493">
        <f>Skills!A18</f>
        <v/>
      </c>
      <c r="B1493">
        <f>Skills!B18</f>
        <v/>
      </c>
      <c r="C1493">
        <f>Inputs!$B$3&gt;=33</f>
        <v/>
      </c>
      <c r="D1493">
        <f>IF(Skills!C18=1,60+Inputs!$B$25+Inputs!$B$29,IF(Skills!C18=2,90+Inputs!$B$26+Inputs!$B$29,IF(Skills!C18=3,120+Inputs!$B$27+Inputs!$B$29,MAX(0,(Inputs!$B$3-100)*3)+Inputs!$B$28+Inputs!$B$29)))</f>
        <v/>
      </c>
      <c r="E1493">
        <f>INDEX(FactorTable!$B$2:$Y$301, MATCH(ROUND(MIN(300,MAX(1,D1493)),0), FactorTable!$A$2:$A$301,0), Skills!M18+1)</f>
        <v/>
      </c>
      <c r="F1493">
        <f>IF(Skills!N18=TRUE,(Skills!L18/10)*(E1493/1000),Skills!L18/10)+Skills!O18</f>
        <v/>
      </c>
      <c r="G1493">
        <f>Skills!G18*IF(Skills!H18&gt;0,Skills!I18/Skills!H18,1)</f>
        <v/>
      </c>
      <c r="H1493">
        <f>1-(1-Skills!J18/100)^Skills!K18</f>
        <v/>
      </c>
      <c r="I1493" t="inlineStr">
        <is>
          <t>1</t>
        </is>
      </c>
      <c r="J1493" t="inlineStr"/>
      <c r="K1493" t="inlineStr"/>
      <c r="L1493" t="inlineStr"/>
      <c r="M1493" t="inlineStr"/>
      <c r="N1493" t="inlineStr"/>
      <c r="O1493">
        <f>(1-Summary!$B$11)*T1493+Summary!$B$11*V1493</f>
        <v/>
      </c>
      <c r="P1493">
        <f>IF(B1511=0,0,O1493/B1511)</f>
        <v/>
      </c>
      <c r="Q1493" t="n">
        <v>0</v>
      </c>
      <c r="R1493" t="n">
        <v>0</v>
      </c>
      <c r="S1493">
        <f>IFERROR(O1493/N1493,0)</f>
        <v/>
      </c>
      <c r="T1493" t="n">
        <v>0</v>
      </c>
      <c r="V1493" t="n">
        <v>0</v>
      </c>
    </row>
    <row r="1494">
      <c r="A1494">
        <f>Skills!A19</f>
        <v/>
      </c>
      <c r="B1494">
        <f>Skills!B19</f>
        <v/>
      </c>
      <c r="C1494">
        <f>Inputs!$B$3&gt;=40</f>
        <v/>
      </c>
      <c r="D1494">
        <f>IF(Skills!C19=1,60+Inputs!$B$25+Inputs!$B$29,IF(Skills!C19=2,90+Inputs!$B$26+Inputs!$B$29,IF(Skills!C19=3,120+Inputs!$B$27+Inputs!$B$29,MAX(0,(Inputs!$B$3-100)*3)+Inputs!$B$28+Inputs!$B$29)))</f>
        <v/>
      </c>
      <c r="E1494">
        <f>INDEX(FactorTable!$B$2:$Y$301, MATCH(ROUND(MIN(300,MAX(1,D1494)),0), FactorTable!$A$2:$A$301,0), Skills!M19+1)</f>
        <v/>
      </c>
      <c r="F1494">
        <f>IF(Skills!N19=TRUE,(Skills!L19/10)*(E1494/1000),Skills!L19/10)+Skills!O19</f>
        <v/>
      </c>
      <c r="G1494">
        <f>Skills!G19*IF(Skills!H19&gt;0,Skills!I19/Skills!H19,1)</f>
        <v/>
      </c>
      <c r="H1494">
        <f>1-(1-Skills!J19/100)^Skills!K19</f>
        <v/>
      </c>
      <c r="I1494" t="inlineStr">
        <is>
          <t>1</t>
        </is>
      </c>
      <c r="J1494" t="inlineStr"/>
      <c r="K1494" t="inlineStr"/>
      <c r="L1494" t="inlineStr"/>
      <c r="M1494" t="inlineStr"/>
      <c r="N1494" t="inlineStr"/>
      <c r="O1494">
        <f>(1-Summary!$B$11)*T1494+Summary!$B$11*V1494</f>
        <v/>
      </c>
      <c r="P1494">
        <f>IF(B1511=0,0,O1494/B1511)</f>
        <v/>
      </c>
      <c r="Q1494" t="n">
        <v>0</v>
      </c>
      <c r="R1494" t="n">
        <v>0</v>
      </c>
      <c r="S1494">
        <f>IFERROR(O1494/N1494,0)</f>
        <v/>
      </c>
      <c r="T1494" t="n">
        <v>0</v>
      </c>
      <c r="V1494" t="n">
        <v>0</v>
      </c>
    </row>
    <row r="1495">
      <c r="A1495">
        <f>Skills!A20</f>
        <v/>
      </c>
      <c r="B1495">
        <f>Skills!B20</f>
        <v/>
      </c>
      <c r="C1495">
        <f>Inputs!$B$3&gt;=43</f>
        <v/>
      </c>
      <c r="D1495">
        <f>IF(Skills!C20=1,60+Inputs!$B$25+Inputs!$B$29,IF(Skills!C20=2,90+Inputs!$B$26+Inputs!$B$29,IF(Skills!C20=3,120+Inputs!$B$27+Inputs!$B$29,MAX(0,(Inputs!$B$3-100)*3)+Inputs!$B$28+Inputs!$B$29)))</f>
        <v/>
      </c>
      <c r="E1495">
        <f>INDEX(FactorTable!$B$2:$Y$301, MATCH(ROUND(MIN(300,MAX(1,D1495)),0), FactorTable!$A$2:$A$301,0), Skills!M20+1)</f>
        <v/>
      </c>
      <c r="F1495">
        <f>IF(Skills!N20=TRUE,(Skills!L20/10)*(E1495/1000),Skills!L20/10)+Skills!O20</f>
        <v/>
      </c>
      <c r="G1495">
        <f>Skills!G20*IF(Skills!H20&gt;0,Skills!I20/Skills!H20,1)</f>
        <v/>
      </c>
      <c r="H1495">
        <f>1-(1-Skills!J20/100)^Skills!K20</f>
        <v/>
      </c>
      <c r="I1495" t="inlineStr">
        <is>
          <t>1</t>
        </is>
      </c>
      <c r="J1495" t="inlineStr"/>
      <c r="K1495" t="inlineStr"/>
      <c r="L1495" t="inlineStr"/>
      <c r="M1495" t="inlineStr"/>
      <c r="N1495" t="inlineStr"/>
      <c r="O1495">
        <f>(1-Summary!$B$11)*T1495+Summary!$B$11*V1495</f>
        <v/>
      </c>
      <c r="P1495">
        <f>IF(B1511=0,0,O1495/B1511)</f>
        <v/>
      </c>
      <c r="Q1495" t="n">
        <v>0</v>
      </c>
      <c r="R1495" t="n">
        <v>0</v>
      </c>
      <c r="S1495">
        <f>IFERROR(O1495/N1495,0)</f>
        <v/>
      </c>
      <c r="T1495" t="n">
        <v>0</v>
      </c>
      <c r="V1495" t="n">
        <v>0</v>
      </c>
    </row>
    <row r="1496">
      <c r="A1496">
        <f>Skills!A21</f>
        <v/>
      </c>
      <c r="B1496">
        <f>Skills!B21</f>
        <v/>
      </c>
      <c r="C1496">
        <f>Inputs!$B$3&gt;=38</f>
        <v/>
      </c>
      <c r="D1496">
        <f>IF(Skills!C21=1,60+Inputs!$B$25+Inputs!$B$29,IF(Skills!C21=2,90+Inputs!$B$26+Inputs!$B$29,IF(Skills!C21=3,120+Inputs!$B$27+Inputs!$B$29,MAX(0,(Inputs!$B$3-100)*3)+Inputs!$B$28+Inputs!$B$29)))</f>
        <v/>
      </c>
      <c r="E1496">
        <f>INDEX(FactorTable!$B$2:$Y$301, MATCH(ROUND(MIN(300,MAX(1,D1496)),0), FactorTable!$A$2:$A$301,0), Skills!M21+1)</f>
        <v/>
      </c>
      <c r="F1496">
        <f>IF(Skills!N21=TRUE,(Skills!L21/10)*(E1496/1000),Skills!L21/10)+Skills!O21</f>
        <v/>
      </c>
      <c r="G1496">
        <f>Skills!G21*IF(Skills!H21&gt;0,Skills!I21/Skills!H21,1)</f>
        <v/>
      </c>
      <c r="H1496">
        <f>1-(1-Skills!J21/100)^Skills!K21</f>
        <v/>
      </c>
      <c r="I1496" t="inlineStr">
        <is>
          <t>1</t>
        </is>
      </c>
      <c r="J1496" t="inlineStr"/>
      <c r="K1496" t="inlineStr"/>
      <c r="L1496" t="inlineStr"/>
      <c r="M1496" t="inlineStr"/>
      <c r="N1496" t="inlineStr"/>
      <c r="O1496">
        <f>(1-Summary!$B$11)*T1496+Summary!$B$11*V1496</f>
        <v/>
      </c>
      <c r="P1496">
        <f>IF(B1511=0,0,O1496/B1511)</f>
        <v/>
      </c>
      <c r="Q1496" t="n">
        <v>0</v>
      </c>
      <c r="R1496" t="n">
        <v>0</v>
      </c>
      <c r="S1496">
        <f>IFERROR(O1496/N1496,0)</f>
        <v/>
      </c>
      <c r="T1496" t="n">
        <v>0</v>
      </c>
      <c r="V1496" t="n">
        <v>0</v>
      </c>
    </row>
    <row r="1497">
      <c r="A1497">
        <f>Skills!A22</f>
        <v/>
      </c>
      <c r="B1497">
        <f>Skills!B22</f>
        <v/>
      </c>
      <c r="C1497">
        <f>Inputs!$B$3&gt;=75</f>
        <v/>
      </c>
      <c r="D1497">
        <f>IF(Skills!C22=1,60+Inputs!$B$25+Inputs!$B$29,IF(Skills!C22=2,90+Inputs!$B$26+Inputs!$B$29,IF(Skills!C22=3,120+Inputs!$B$27+Inputs!$B$29,MAX(0,(Inputs!$B$3-100)*3)+Inputs!$B$28+Inputs!$B$29)))</f>
        <v/>
      </c>
      <c r="E1497">
        <f>INDEX(FactorTable!$B$2:$Y$301, MATCH(ROUND(MIN(300,MAX(1,D1497)),0), FactorTable!$A$2:$A$301,0), Skills!M22+1)</f>
        <v/>
      </c>
      <c r="F1497">
        <f>IF(Skills!N22=TRUE,(Skills!L22/10)*(E1497/1000),Skills!L22/10)+Skills!O22</f>
        <v/>
      </c>
      <c r="G1497">
        <f>Skills!G22*IF(Skills!H22&gt;0,Skills!I22/Skills!H22,1)</f>
        <v/>
      </c>
      <c r="H1497">
        <f>1-(1-Skills!J22/100)^Skills!K22</f>
        <v/>
      </c>
      <c r="I1497" t="inlineStr">
        <is>
          <t>1</t>
        </is>
      </c>
      <c r="J1497" t="inlineStr"/>
      <c r="K1497" t="inlineStr"/>
      <c r="L1497" t="inlineStr"/>
      <c r="M1497" t="inlineStr"/>
      <c r="N1497" t="inlineStr"/>
      <c r="O1497">
        <f>(1-Summary!$B$11)*T1497+Summary!$B$11*V1497</f>
        <v/>
      </c>
      <c r="P1497">
        <f>IF(B1511=0,0,O1497/B1511)</f>
        <v/>
      </c>
      <c r="Q1497" t="n">
        <v>0</v>
      </c>
      <c r="R1497" t="n">
        <v>0</v>
      </c>
      <c r="S1497">
        <f>IFERROR(O1497/N1497,0)</f>
        <v/>
      </c>
      <c r="T1497" t="n">
        <v>0</v>
      </c>
      <c r="V1497" t="n">
        <v>0</v>
      </c>
    </row>
    <row r="1498">
      <c r="A1498">
        <f>Skills!A23</f>
        <v/>
      </c>
      <c r="B1498">
        <f>Skills!B23</f>
        <v/>
      </c>
      <c r="C1498">
        <f>TRUE</f>
        <v/>
      </c>
      <c r="D1498">
        <f>IF(Skills!C23=1,60+Inputs!$B$25+Inputs!$B$29,IF(Skills!C23=2,90+Inputs!$B$26+Inputs!$B$29,IF(Skills!C23=3,120+Inputs!$B$27+Inputs!$B$29,MAX(0,(Inputs!$B$3-100)*3)+Inputs!$B$28+Inputs!$B$29)))</f>
        <v/>
      </c>
      <c r="E1498">
        <f>INDEX(FactorTable!$B$2:$Y$301, MATCH(ROUND(MIN(300,MAX(1,D1498)),0), FactorTable!$A$2:$A$301,0), Skills!M23+1)</f>
        <v/>
      </c>
      <c r="F1498">
        <f>IF(Skills!N23=TRUE,(Skills!L23/10)*(E1498/1000),Skills!L23/10)+Skills!O23</f>
        <v/>
      </c>
      <c r="G1498">
        <f>Skills!G23*IF(Skills!H23&gt;0,Skills!I23/Skills!H23,1)</f>
        <v/>
      </c>
      <c r="H1498">
        <f>1-(1-Skills!J23/100)^Skills!K23</f>
        <v/>
      </c>
      <c r="I1498" t="inlineStr">
        <is>
          <t>1</t>
        </is>
      </c>
      <c r="J1498" t="inlineStr"/>
      <c r="K1498" t="inlineStr"/>
      <c r="L1498" t="inlineStr"/>
      <c r="M1498" t="inlineStr"/>
      <c r="N1498" t="inlineStr"/>
      <c r="O1498">
        <f>(1-Summary!$B$11)*T1498+Summary!$B$11*V1498</f>
        <v/>
      </c>
      <c r="P1498">
        <f>IF(B1511=0,0,O1498/B1511)</f>
        <v/>
      </c>
      <c r="Q1498">
        <f>IFERROR(1/(IF(Inputs!$B$38="pvp",15,MAX(0.1,Skills!D23-IF(Skills!E23=TRUE,Inputs!$B$32,0)))*(1-IF(AND(ArtifactsInput!$M$27,Inputs!$B$4="Chapter Hunt"),CHOOSE(ArtifactsInput!$N$27+1,20,24,28,32,36,40),0)/100)),0)</f>
        <v/>
      </c>
      <c r="R1498">
        <f>IF(AND(Inputs!$B$38&lt;&gt;"pvp",Inputs!$B$43&gt;0),IF(Inputs!$B$43&lt;=0,0,(INT(Inputs!$B$43/(IF(Inputs!$B$38="pvp",15,MAX(0.1,Skills!D23-IF(Skills!E23=TRUE,Inputs!$B$32,0)))*(1-IF(AND(ArtifactsInput!$M$27,Inputs!$B$4="Chapter Hunt"),CHOOSE(ArtifactsInput!$N$27+1,20,24,28,32,36,40),0)/100)))+1)),0)</f>
        <v/>
      </c>
      <c r="S1498">
        <f>IFERROR(O1498/N1498,0)</f>
        <v/>
      </c>
      <c r="T1498" t="n">
        <v>0</v>
      </c>
      <c r="V1498" t="n">
        <v>0</v>
      </c>
    </row>
    <row r="1500">
      <c r="A1500" t="inlineStr">
        <is>
          <t>Attack% Bucket Multiplier</t>
        </is>
      </c>
      <c r="B1500">
        <f>(1+(((C1488=TRUE)*F1488*5/7)+((C1494=TRUE)*(F1494-Calc!F19))+(IF(ArtifactsInput!$M$21,CHOOSE(ArtifactsInput!$N$21+1,25,30,35,40,45,50)*(IF(OR(Inputs!$B$4="Chapter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01">
      <c r="A1501" t="inlineStr">
        <is>
          <t>Global Crit Rate Bonus %</t>
        </is>
      </c>
      <c r="B1501" t="n">
        <v>0</v>
      </c>
    </row>
    <row r="1502">
      <c r="A1502" t="inlineStr">
        <is>
          <t>Attack Speed Buff Bonus % (Nimble Feet, duty-cycle averaged)</t>
        </is>
      </c>
      <c r="B1502">
        <f>((C1498=TRUE)*F1498*IF(AND(Inputs!$B$38&lt;&gt;"pvp",Inputs!$B$43&gt;0),(((R1498-1)*(Skills!T23*(1+Inputs!$B$34/100))+MIN((Skills!T23*(1+Inputs!$B$34/100)),MAX(0,Inputs!$B$43-((R1498-1)*Skills!D23))))/Inputs!$B$43),IF(Inputs!$B$38="pvp",MIN((Skills!T23*(1+Inputs!$B$34/100)),15)/15,(Skills!T23*(1+Inputs!$B$34/100))/Skills!D23)))</f>
        <v/>
      </c>
    </row>
    <row r="1503">
      <c r="A1503" t="inlineStr">
        <is>
          <t>Actions Per Second</t>
        </is>
      </c>
      <c r="B1503">
        <f>1+MIN(150,150*(1-(1-(Inputs!$B$11+((C1492=TRUE)*(F1492-Calc!F17))+((C1493=TRUE)*(F1493-Calc!F18)))/150)*(1-B1502/150)))/100</f>
        <v/>
      </c>
    </row>
    <row r="1504">
      <c r="A1504" t="inlineStr">
        <is>
          <t>Skill + Buff Cast Rate</t>
        </is>
      </c>
      <c r="B1504">
        <f>IF(AND(Inputs!$B$38&lt;&gt;"pvp",Inputs!$B$43&gt;0),SUMPRODUCT((Skills!E2:E23=TRUE)*(C1477:C1498=TRUE)*R1477:R1498*Skills!F2:F23)/Inputs!$B$43,SUMPRODUCT((Skills!E2:E23=TRUE)*(C1477:C1498=TRUE)*Q1477:Q1498*Skills!F2:F23))</f>
        <v/>
      </c>
    </row>
    <row r="1505">
      <c r="A1505" t="inlineStr">
        <is>
          <t>Hook Bomber Casts Per Second</t>
        </is>
      </c>
      <c r="B1505">
        <f>MAX(0,B1503-B1504)</f>
        <v/>
      </c>
    </row>
    <row r="1506">
      <c r="A1506" t="inlineStr">
        <is>
          <t>Global Critical Damage Bonus % (unused)</t>
        </is>
      </c>
      <c r="B1506" t="n">
        <v>0</v>
      </c>
    </row>
    <row r="1507">
      <c r="A1507" t="inlineStr">
        <is>
          <t>Global Final Damage Bonus % (Serpent Scale + Crossbones + Time Leap + Speed Infusion)</t>
        </is>
      </c>
      <c r="B1507">
        <f>((C1480=TRUE)*F1480*((10+IF(Inputs!$B$3&gt;=94,5,0))/((10+IF(Inputs!$B$3&gt;=94,5,0))+5/(B1505*(1+IF(Inputs!$B$3&gt;=104,1,0))))))+((C1489=TRUE)*F1489*IF(AND(Inputs!$B$38&lt;&gt;"pvp",Inputs!$B$43&gt;0),(((R1489-1)*(Skills!T14*(1+Inputs!$B$34/100))+MIN((Skills!T14*(1+Inputs!$B$34/100)),MAX(0,Inputs!$B$43-((R1489-1)*Skills!D14))))/Inputs!$B$43),IF(Inputs!$B$38="pvp",MIN((Skills!T14*(1+Inputs!$B$34/100)),15)/15,(Skills!T14*(1+Inputs!$B$34/100))/Skills!D14)))+((C1490=TRUE)*F1490*IF(AND(Inputs!$B$38&lt;&gt;"pvp",Inputs!$B$43&gt;0),(((R1490-1)*(Skills!T15*(1+Inputs!$B$34/100))+MIN((Skills!T15*(1+Inputs!$B$34/100)),MAX(0,Inputs!$B$43-((R1490-1)*Skills!D15))))/Inputs!$B$43),IF(Inputs!$B$38="pvp",MIN((Skills!T15*(1+Inputs!$B$34/100)),15)/15,(Skills!T15*(1+Inputs!$B$34/100))/Skills!D15)))+((Inputs!$B$3&gt;=110)*20*(B1503-1)*IF(Inputs!$B$38="pvp",MIN((15*(1+Inputs!$B$34/100)),15)/15,(15*(1+Inputs!$B$34/100))/35))</f>
        <v/>
      </c>
    </row>
    <row r="1508">
      <c r="A1508" t="inlineStr">
        <is>
          <t>Buff-Casting Startup Delay (s, fixed-duration only)</t>
        </is>
      </c>
      <c r="B1508">
        <f>IF(AND(Inputs!$B$38&lt;&gt;"pvp",Inputs!$B$43&gt;0),SUMPRODUCT((Skills!T2:T23&gt;0)*(Skills!E2:E23=TRUE)*(C1477:C1498=TRUE))/B1503,0)</f>
        <v/>
      </c>
    </row>
    <row r="1509">
      <c r="A1509" t="inlineStr">
        <is>
          <t>Boss-Only Total DPS (this block's swept value)</t>
        </is>
      </c>
      <c r="B1509">
        <f>SUM(T1477:T1498)</f>
        <v/>
      </c>
    </row>
    <row r="1510">
      <c r="A1510" t="inlineStr">
        <is>
          <t>Normal-Only Total DPS (this block's swept value)</t>
        </is>
      </c>
      <c r="B1510">
        <f>SUM(V1477:V1498)</f>
        <v/>
      </c>
    </row>
    <row r="1511">
      <c r="A1511" s="6" t="inlineStr">
        <is>
          <t>TOTAL DPS</t>
        </is>
      </c>
      <c r="B1511" s="6">
        <f>SUM(O1477:O1498)</f>
        <v/>
      </c>
    </row>
    <row r="1514">
      <c r="A1514" s="6" t="inlineStr">
        <is>
          <t>Stat: Horntail's Scale (Equip)</t>
        </is>
      </c>
    </row>
    <row r="1515">
      <c r="A1515" s="5" t="inlineStr">
        <is>
          <t>Key</t>
        </is>
      </c>
      <c r="B1515" s="5" t="inlineStr">
        <is>
          <t>Name</t>
        </is>
      </c>
      <c r="C1515" s="5" t="inlineStr">
        <is>
          <t>Unlocked</t>
        </is>
      </c>
      <c r="D1515" s="5" t="inlineStr">
        <is>
          <t>InputLevel</t>
        </is>
      </c>
      <c r="E1515" s="5" t="inlineStr">
        <is>
          <t>Factor</t>
        </is>
      </c>
      <c r="F1515" s="5" t="inlineStr">
        <is>
          <t>CoefficientPercent</t>
        </is>
      </c>
      <c r="G1515" s="5" t="inlineStr">
        <is>
          <t>EffectiveHits</t>
        </is>
      </c>
      <c r="H1515" s="5" t="inlineStr">
        <is>
          <t>ProcProbability</t>
        </is>
      </c>
      <c r="I1515" s="5" t="inlineStr">
        <is>
          <t>MapleHeroMultiplier</t>
        </is>
      </c>
      <c r="J1515" s="5" t="inlineStr">
        <is>
          <t>BaseDamage</t>
        </is>
      </c>
      <c r="K1515" s="5" t="inlineStr">
        <is>
          <t>BaseHitDamage</t>
        </is>
      </c>
      <c r="L1515" s="5" t="inlineStr">
        <is>
          <t>NonCritAvg</t>
        </is>
      </c>
      <c r="M1515" s="5" t="inlineStr">
        <is>
          <t>CritAvg</t>
        </is>
      </c>
      <c r="N1515" s="5" t="inlineStr">
        <is>
          <t>ExpectedDamage(perHit)</t>
        </is>
      </c>
      <c r="O1515" s="5" t="inlineStr">
        <is>
          <t>DPS</t>
        </is>
      </c>
      <c r="P1515" s="5" t="inlineStr">
        <is>
          <t>% of Total</t>
        </is>
      </c>
      <c r="Q1515" s="5" t="inlineStr">
        <is>
          <t>InvCooldown</t>
        </is>
      </c>
      <c r="R1515" s="5" t="inlineStr">
        <is>
          <t>CastsInFight</t>
        </is>
      </c>
      <c r="S1515" s="5" t="inlineStr">
        <is>
          <t>HitRate(perSec)</t>
        </is>
      </c>
      <c r="U1515" t="inlineStr">
        <is>
          <t>helpers</t>
        </is>
      </c>
    </row>
    <row r="1516">
      <c r="A1516">
        <f>Skills!A2</f>
        <v/>
      </c>
      <c r="B1516">
        <f>Skills!B2</f>
        <v/>
      </c>
      <c r="C1516">
        <f>Inputs!$B$3&gt;=100</f>
        <v/>
      </c>
      <c r="D1516" t="inlineStr"/>
      <c r="E1516" t="inlineStr"/>
      <c r="F1516">
        <f>U1518+Skills!O2</f>
        <v/>
      </c>
      <c r="G1516">
        <f>Skills!G2*IF(Skills!H2&gt;0,Skills!I2/Skills!H2,1)</f>
        <v/>
      </c>
      <c r="H1516">
        <f>1-(1-Skills!J2/100)^Skills!K2</f>
        <v/>
      </c>
      <c r="I1516" t="inlineStr">
        <is>
          <t>1</t>
        </is>
      </c>
      <c r="J1516">
        <f>((Inputs!$B$6*(1+Inputs!$B$7/100))+(((Inputs!$B$12*(1+Inputs!$B$13/100))-(Inputs!$B$12*(1+Inputs!$B$13/100)))+0.25*(Inputs!$B$14-Inputs!$B$14))*(1+Inputs!$B$7/100))*(F1516/100)</f>
        <v/>
      </c>
      <c r="K1516">
        <f>J1516*(1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1516)</f>
        <v/>
      </c>
      <c r="L1516">
        <f>K1516*(MIN(Inputs!$B$22+((C1534=TRUE)*(F1534-Calc!F20)),(Inputs!$B$23+0+(IF(ArtifactsInput!$M$15,CHOOSE(ArtifactsInput!$N$15+1,25,30,35,40,45,50)/100*(Inputs!$B$11-Inputs!$B$11),0))))/100+(Inputs!$B$23+0+(IF(ArtifactsInput!$M$15,CHOOSE(ArtifactsInput!$N$15+1,25,30,35,40,45,50)/100*(Inputs!$B$11-Inputs!$B$11),0)))/100)/2</f>
        <v/>
      </c>
      <c r="M1516">
        <f>L1516*(1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6">
        <f>L1516*(1-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1516*(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6">
        <f>(1-Summary!$B$11)*T1516+Summary!$B$11*V1516</f>
        <v/>
      </c>
      <c r="P1516">
        <f>IF(B1550=0,0,O1516/B1550)</f>
        <v/>
      </c>
      <c r="Q1516" t="n">
        <v>0</v>
      </c>
      <c r="R1516" t="n">
        <v>0</v>
      </c>
      <c r="S1516">
        <f>IFERROR(O1516/N1516,0)</f>
        <v/>
      </c>
      <c r="T1516">
        <f>IF(C1516,(Skills!G2*N1516*B1544)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1516*(1-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1516*(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1516*(1-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1516*(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6">
        <f>MAX(0,(Inputs!$B$3-100)*3)+Inputs!$B$28+Inputs!$B$29</f>
        <v/>
      </c>
      <c r="V1516">
        <f>IF(C1516,(Skills!G2*N1516*B1544)*IF(Inputs!$B$38="pvp",1,(1+(Inputs!$B$21+Skills!Q2+(IF(ArtifactsInput!$M$33,CHOOSE(ArtifactsInput!$N$33+1,30,36,42,48,54,60),0))+(IF(AND(ArtifactsInput!$M$35,Inputs!$B$4&lt;&gt;"Chapter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7">
      <c r="A1517">
        <f>Skills!A3</f>
        <v/>
      </c>
      <c r="B1517">
        <f>Skills!B3</f>
        <v/>
      </c>
      <c r="C1517">
        <f>Inputs!$B$3&gt;=35</f>
        <v/>
      </c>
      <c r="D1517">
        <f>IF(Skills!C3=1,60+Inputs!$B$25+Inputs!$B$29,IF(Skills!C3=2,90+Inputs!$B$26+Inputs!$B$29,IF(Skills!C3=3,120+Inputs!$B$27+Inputs!$B$29,MAX(0,(Inputs!$B$3-100)*3)+Inputs!$B$28+Inputs!$B$29)))</f>
        <v/>
      </c>
      <c r="E1517">
        <f>INDEX(FactorTable!$B$2:$Y$301, MATCH(ROUND(MIN(300,MAX(1,D1517)),0), FactorTable!$A$2:$A$301,0), Skills!M3+1)</f>
        <v/>
      </c>
      <c r="F1517">
        <f>IF(Skills!N3=TRUE,(Skills!L3/10)*(E1517/1000),Skills!L3/10)+Skills!O3</f>
        <v/>
      </c>
      <c r="G1517">
        <f>Skills!G3*IF(Skills!H3&gt;0,Skills!I3/Skills!H3,1)</f>
        <v/>
      </c>
      <c r="H1517">
        <f>1-(1-Skills!J3/100)^Skills!K3</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1534=TRUE)*(F1534-Calc!F20)),(Inputs!$B$23+0+(IF(ArtifactsInput!$M$15,CHOOSE(ArtifactsInput!$N$15+1,25,30,35,40,45,50)/100*(Inputs!$B$11-Inputs!$B$11),0))))/100+(Inputs!$B$23+0+(IF(ArtifactsInput!$M$15,CHOOSE(ArtifactsInput!$N$15+1,25,30,35,40,45,50)/100*(Inputs!$B$11-Inputs!$B$11),0)))/100)/2</f>
        <v/>
      </c>
      <c r="M1517">
        <f>L1517*(1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IF(B1550=0,0,O1517/B1550)</f>
        <v/>
      </c>
      <c r="Q1517" t="n">
        <v>0</v>
      </c>
      <c r="R1517" t="n">
        <v>0</v>
      </c>
      <c r="S1517">
        <f>IFERROR(O1517/N1517,0)</f>
        <v/>
      </c>
      <c r="T1517">
        <f>IF(C1517,(Skills!G3*H1517*N1517*B1544)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7">
        <f>INDEX(FactorTable!$B$2:$Y$301, MATCH(ROUND(MIN(300,MAX(1,U1516)),0), FactorTable!$A$2:$A$301,0), 22)</f>
        <v/>
      </c>
      <c r="V1517">
        <f>IF(C1517,(Skills!G3*H1517*N1517*B1544)*IF(Inputs!$B$38="pvp",1,(1+(Inputs!$B$21+Skills!Q3+(IF(ArtifactsInput!$M$33,CHOOSE(ArtifactsInput!$N$33+1,30,36,42,48,54,60),0))+(IF(AND(ArtifactsInput!$M$35,Inputs!$B$4&lt;&gt;"Chapter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Skills!A4</f>
        <v/>
      </c>
      <c r="B1518">
        <f>Skills!B4</f>
        <v/>
      </c>
      <c r="C1518">
        <f>Inputs!$B$3&gt;=60</f>
        <v/>
      </c>
      <c r="D1518">
        <f>IF(Skills!C4=1,60+Inputs!$B$25+Inputs!$B$29,IF(Skills!C4=2,90+Inputs!$B$26+Inputs!$B$29,IF(Skills!C4=3,120+Inputs!$B$27+Inputs!$B$29,MAX(0,(Inputs!$B$3-100)*3)+Inputs!$B$28+Inputs!$B$29)))</f>
        <v/>
      </c>
      <c r="E1518">
        <f>INDEX(FactorTable!$B$2:$Y$301, MATCH(ROUND(MIN(300,MAX(1,D1518)),0), FactorTable!$A$2:$A$301,0), Skills!M4+1)</f>
        <v/>
      </c>
      <c r="F1518">
        <f>IF(Skills!N4=TRUE,(Skills!L4/10)*(E1518/1000),Skills!L4/10)+Skills!O4</f>
        <v/>
      </c>
      <c r="G1518">
        <f>Skills!G4*IF(Skills!H4&gt;0,Skills!I4/Skills!H4,1)</f>
        <v/>
      </c>
      <c r="H1518">
        <f>1-(1-Skills!J4/100)^Skills!K4</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1526=TRUE,F1526,0)/100)*(1+(IF(Skills!A4="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1534=TRUE)*(F1534-Calc!F20)),(Inputs!$B$23+0+(IF(ArtifactsInput!$M$15,CHOOSE(ArtifactsInput!$N$15+1,25,30,35,40,45,50)/100*(Inputs!$B$11-Inputs!$B$11),0))))/100+(Inputs!$B$23+0+(IF(ArtifactsInput!$M$15,CHOOSE(ArtifactsInput!$N$15+1,25,30,35,40,45,50)/100*(Inputs!$B$11-Inputs!$B$11),0)))/100)/2</f>
        <v/>
      </c>
      <c r="M1518">
        <f>L1518*(1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IF(B1550=0,0,O1518/B1550)</f>
        <v/>
      </c>
      <c r="Q1518" t="n">
        <v>0</v>
      </c>
      <c r="R1518" t="n">
        <v>0</v>
      </c>
      <c r="S1518">
        <f>IFERROR(O1518/N1518,0)</f>
        <v/>
      </c>
      <c r="T1518">
        <f>IF(C1518,(Skills!G4*H1518*N1518*B1544)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8">
        <f>290*U1517/1000</f>
        <v/>
      </c>
      <c r="V1518">
        <f>IF(C1518,(Skills!G4*H1518*N1518*B1544)*IF(Inputs!$B$38="pvp",1,(1+(Inputs!$B$21+Skills!Q4+(IF(ArtifactsInput!$M$33,CHOOSE(ArtifactsInput!$N$33+1,30,36,42,48,54,60),0))+(IF(AND(ArtifactsInput!$M$35,Inputs!$B$4&lt;&gt;"Chapter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Skills!A5</f>
        <v/>
      </c>
      <c r="B1519">
        <f>Skills!B5</f>
        <v/>
      </c>
      <c r="C1519">
        <f>Inputs!$B$3&gt;=60</f>
        <v/>
      </c>
      <c r="D1519">
        <f>IF(Skills!C5=1,60+Inputs!$B$25+Inputs!$B$29,IF(Skills!C5=2,90+Inputs!$B$26+Inputs!$B$29,IF(Skills!C5=3,120+Inputs!$B$27+Inputs!$B$29,MAX(0,(Inputs!$B$3-100)*3)+Inputs!$B$28+Inputs!$B$29)))</f>
        <v/>
      </c>
      <c r="E1519">
        <f>INDEX(FactorTable!$B$2:$Y$301, MATCH(ROUND(MIN(300,MAX(1,D1519)),0), FactorTable!$A$2:$A$301,0), Skills!M5+1)</f>
        <v/>
      </c>
      <c r="F1519">
        <f>IF(Skills!N5=TRUE,(Skills!L5/10)*(E1519/1000),Skills!L5/10)+Skills!O5</f>
        <v/>
      </c>
      <c r="G1519">
        <f>Skills!G5*IF(Skills!H5&gt;0,Skills!I5/Skills!H5,1)</f>
        <v/>
      </c>
      <c r="H1519">
        <f>1-(1-Skills!J5/100)^Skills!K5</f>
        <v/>
      </c>
      <c r="I1519" t="inlineStr">
        <is>
          <t>1</t>
        </is>
      </c>
      <c r="J1519" t="inlineStr"/>
      <c r="K1519" t="inlineStr"/>
      <c r="L1519" t="inlineStr"/>
      <c r="M1519" t="inlineStr"/>
      <c r="N1519" t="inlineStr"/>
      <c r="O1519">
        <f>(1-Summary!$B$11)*T1519+Summary!$B$11*V1519</f>
        <v/>
      </c>
      <c r="P1519">
        <f>IF(B1550=0,0,O1519/B1550)</f>
        <v/>
      </c>
      <c r="Q1519" t="n">
        <v>0</v>
      </c>
      <c r="R1519" t="n">
        <v>0</v>
      </c>
      <c r="S1519">
        <f>IFERROR(O1519/N1519,0)</f>
        <v/>
      </c>
      <c r="T1519" t="n">
        <v>0</v>
      </c>
      <c r="V1519" t="n">
        <v>0</v>
      </c>
    </row>
    <row r="1520">
      <c r="A1520">
        <f>Skills!A6</f>
        <v/>
      </c>
      <c r="B1520">
        <f>Skills!B6</f>
        <v/>
      </c>
      <c r="C1520">
        <f>Inputs!$B$3&gt;=63</f>
        <v/>
      </c>
      <c r="D1520">
        <f>IF(Skills!C6=1,60+Inputs!$B$25+Inputs!$B$29,IF(Skills!C6=2,90+Inputs!$B$26+Inputs!$B$29,IF(Skills!C6=3,120+Inputs!$B$27+Inputs!$B$29,MAX(0,(Inputs!$B$3-100)*3)+Inputs!$B$28+Inputs!$B$29)))</f>
        <v/>
      </c>
      <c r="E1520">
        <f>INDEX(FactorTable!$B$2:$Y$301, MATCH(ROUND(MIN(300,MAX(1,D1520)),0), FactorTable!$A$2:$A$301,0), Skills!M6+1)</f>
        <v/>
      </c>
      <c r="F1520">
        <f>IF(Skills!N6=TRUE,(Skills!L6/10)*(E1520/1000),Skills!L6/10)+Skills!O6</f>
        <v/>
      </c>
      <c r="G1520">
        <f>Skills!G6*IF(Skills!H6&gt;0,Skills!I6/Skills!H6,1)</f>
        <v/>
      </c>
      <c r="H1520">
        <f>1-(1-Skills!J6/100)^Skills!K6</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1526=TRUE,F1526,0)/100)*(1+(IF(Skills!A6="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1534=TRUE)*(F1534-Calc!F20)),(Inputs!$B$23+0+(IF(ArtifactsInput!$M$15,CHOOSE(ArtifactsInput!$N$15+1,25,30,35,40,45,50)/100*(Inputs!$B$11-Inputs!$B$11),0))))/100+(Inputs!$B$23+0+(IF(ArtifactsInput!$M$15,CHOOSE(ArtifactsInput!$N$15+1,25,30,35,40,45,50)/100*(Inputs!$B$11-Inputs!$B$11),0)))/100)/2</f>
        <v/>
      </c>
      <c r="M1520">
        <f>L1520*(1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IF(B1550=0,0,O1520/B1550)</f>
        <v/>
      </c>
      <c r="Q1520">
        <f>IFERROR(1/(IF(Inputs!$B$38="pvp",15,MAX(0.1,Skills!D6-IF(Skills!E6=TRUE,Inputs!$B$32,0)))*(1-IF(AND(ArtifactsInput!$M$27,Inputs!$B$4="Chapter Hunt"),CHOOSE(ArtifactsInput!$N$27+1,20,24,28,32,36,40),0)/100)),0)</f>
        <v/>
      </c>
      <c r="R1520">
        <f>IF(AND(Inputs!$B$38&lt;&gt;"pvp",Inputs!$B$43&gt;0),IF(MAX(0,Inputs!$B$43-B1547)&lt;=0,0,(INT(MAX(0,Inputs!$B$43-B1547)/(IF(Inputs!$B$38="pvp",15,MAX(0.1,Skills!D6-IF(Skills!E6=TRUE,Inputs!$B$32,0)))*(1-IF(AND(ArtifactsInput!$M$27,Inputs!$B$4="Chapter Hunt"),CHOOSE(ArtifactsInput!$N$27+1,20,24,28,32,36,40),0)/100)))+1)),0)</f>
        <v/>
      </c>
      <c r="S1520">
        <f>IFERROR(O1520/N1520,0)</f>
        <v/>
      </c>
      <c r="T1520">
        <f>IF(C1520,(H1520*N1520*IF(AND(Inputs!$B$38&lt;&gt;"pvp",Inputs!$B$43&gt;0),((Skills!G6*((R1520-1)*IF(Skills!H6&gt;0,Skills!I6/Skills!H6,1)+IF(Skills!H6&gt;0,MIN(Skills!I6,MAX(0,MAX(0,Inputs!$B$43-B1547)-((R1520-1)*(IF(Inputs!$B$38="pvp",15,MAX(0.1,Skills!D6-IF(Skills!E6=TRUE,Inputs!$B$32,0)))*(1-IF(AND(ArtifactsInput!$M$27,Inputs!$B$4="Chapter Hunt"),CHOOSE(ArtifactsInput!$N$27+1,20,24,28,32,36,40),0)/100)))))/Skills!H6,1)))/Inputs!$B$43),G1520*Q1520)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6*((R1520-1)*IF(Skills!H6&gt;0,Skills!I6/Skills!H6,1)+IF(Skills!H6&gt;0,MIN(Skills!I6,MAX(0,MAX(0,Inputs!$B$43-B1547)-((R1520-1)*(IF(Inputs!$B$38="pvp",15,MAX(0.1,Skills!D6-IF(Skills!E6=TRUE,Inputs!$B$32,0)))*(1-IF(AND(ArtifactsInput!$M$27,Inputs!$B$4="Chapter Hunt"),CHOOSE(ArtifactsInput!$N$27+1,20,24,28,32,36,40),0)/100)))))/Skills!H6,1)))/Inputs!$B$43),G1520*Q1520))*IF(Inputs!$B$38="pvp",1,(1+(Inputs!$B$21+Skills!Q6+(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Skills!A7</f>
        <v/>
      </c>
      <c r="B1521">
        <f>Skills!B7</f>
        <v/>
      </c>
      <c r="C1521">
        <f>Inputs!$B$3&gt;=100</f>
        <v/>
      </c>
      <c r="D1521">
        <f>IF(Skills!C7=1,60+Inputs!$B$25+Inputs!$B$29,IF(Skills!C7=2,90+Inputs!$B$26+Inputs!$B$29,IF(Skills!C7=3,120+Inputs!$B$27+Inputs!$B$29,MAX(0,(Inputs!$B$3-100)*3)+Inputs!$B$28+Inputs!$B$29)))</f>
        <v/>
      </c>
      <c r="E1521">
        <f>INDEX(FactorTable!$B$2:$Y$301, MATCH(ROUND(MIN(300,MAX(1,D1521)),0), FactorTable!$A$2:$A$301,0), Skills!M7+1)</f>
        <v/>
      </c>
      <c r="F1521">
        <f>IF(Skills!N7=TRUE,(Skills!L7/10)*(E1521/1000),Skills!L7/10)+Skills!O7</f>
        <v/>
      </c>
      <c r="G1521">
        <f>Skills!G7*IF(Skills!H7&gt;0,Skills!I7/Skills!H7,1)</f>
        <v/>
      </c>
      <c r="H1521">
        <f>1-(1-Skills!J7/100)^Skills!K7</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1534=TRUE)*(F1534-Calc!F20)),(Inputs!$B$23+0+(IF(ArtifactsInput!$M$15,CHOOSE(ArtifactsInput!$N$15+1,25,30,35,40,45,50)/100*(Inputs!$B$11-Inputs!$B$11),0))))/100+(Inputs!$B$23+0+(IF(ArtifactsInput!$M$15,CHOOSE(ArtifactsInput!$N$15+1,25,30,35,40,45,50)/100*(Inputs!$B$11-Inputs!$B$11),0)))/100)/2</f>
        <v/>
      </c>
      <c r="M1521">
        <f>L1521*(1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IF(B1550=0,0,O1521/B1550)</f>
        <v/>
      </c>
      <c r="Q1521">
        <f>IFERROR(1/(IF(Inputs!$B$38="pvp",15,MAX(0.1,Skills!D7-IF(Skills!E7=TRUE,Inputs!$B$32,0)))*(1-IF(AND(ArtifactsInput!$M$27,Inputs!$B$4="Chapter Hunt"),CHOOSE(ArtifactsInput!$N$27+1,20,24,28,32,36,40),0)/100)),0)</f>
        <v/>
      </c>
      <c r="R1521">
        <f>IF(AND(Inputs!$B$38&lt;&gt;"pvp",Inputs!$B$43&gt;0),IF(MAX(0,Inputs!$B$43-B1547)&lt;=0,0,(INT(MAX(0,Inputs!$B$43-B1547)/(IF(Inputs!$B$38="pvp",15,MAX(0.1,Skills!D7-IF(Skills!E7=TRUE,Inputs!$B$32,0)))*(1-IF(AND(ArtifactsInput!$M$27,Inputs!$B$4="Chapter Hunt"),CHOOSE(ArtifactsInput!$N$27+1,20,24,28,32,36,40),0)/100)))+1)),0)</f>
        <v/>
      </c>
      <c r="S1521">
        <f>IFERROR(O1521/N1521,0)</f>
        <v/>
      </c>
      <c r="T1521">
        <f>IF(C1521,(H1521*N1521*IF(AND(Inputs!$B$38&lt;&gt;"pvp",Inputs!$B$43&gt;0),((Skills!G7*((R1521-1)*IF(Skills!H7&gt;0,Skills!I7/Skills!H7,1)+IF(Skills!H7&gt;0,MIN(Skills!I7,MAX(0,MAX(0,Inputs!$B$43-B1547)-((R1521-1)*(IF(Inputs!$B$38="pvp",15,MAX(0.1,Skills!D7-IF(Skills!E7=TRUE,Inputs!$B$32,0)))*(1-IF(AND(ArtifactsInput!$M$27,Inputs!$B$4="Chapter Hunt"),CHOOSE(ArtifactsInput!$N$27+1,20,24,28,32,36,40),0)/100)))))/Skills!H7,1)))/Inputs!$B$43),G1521*Q1521)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7*((R1521-1)*IF(Skills!H7&gt;0,Skills!I7/Skills!H7,1)+IF(Skills!H7&gt;0,MIN(Skills!I7,MAX(0,MAX(0,Inputs!$B$43-B1547)-((R1521-1)*(IF(Inputs!$B$38="pvp",15,MAX(0.1,Skills!D7-IF(Skills!E7=TRUE,Inputs!$B$32,0)))*(1-IF(AND(ArtifactsInput!$M$27,Inputs!$B$4="Chapter Hunt"),CHOOSE(ArtifactsInput!$N$27+1,20,24,28,32,36,40),0)/100)))))/Skills!H7,1)))/Inputs!$B$43),G1521*Q1521))*IF(Inputs!$B$38="pvp",1,(1+(Inputs!$B$21+Skills!Q7+(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Skills!A8</f>
        <v/>
      </c>
      <c r="B1522">
        <f>Skills!B8</f>
        <v/>
      </c>
      <c r="C1522">
        <f>Inputs!$B$3&gt;=110</f>
        <v/>
      </c>
      <c r="D1522">
        <f>IF(Skills!C8=1,60+Inputs!$B$25+Inputs!$B$29,IF(Skills!C8=2,90+Inputs!$B$26+Inputs!$B$29,IF(Skills!C8=3,120+Inputs!$B$27+Inputs!$B$29,MAX(0,(Inputs!$B$3-100)*3)+Inputs!$B$28+Inputs!$B$29)))</f>
        <v/>
      </c>
      <c r="E1522">
        <f>INDEX(FactorTable!$B$2:$Y$301, MATCH(ROUND(MIN(300,MAX(1,D1522)),0), FactorTable!$A$2:$A$301,0), Skills!M8+1)</f>
        <v/>
      </c>
      <c r="F1522">
        <f>IF(Skills!N8=TRUE,(Skills!L8/10)*(E1522/1000),Skills!L8/10)+Skills!O8</f>
        <v/>
      </c>
      <c r="G1522">
        <f>Skills!G8*IF(Skills!H8&gt;0,Skills!I8/Skills!H8,1)</f>
        <v/>
      </c>
      <c r="H1522">
        <f>1-(1-Skills!J8/100)^Skills!K8</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1534=TRUE)*(F1534-Calc!F20)),(Inputs!$B$23+0+(IF(ArtifactsInput!$M$15,CHOOSE(ArtifactsInput!$N$15+1,25,30,35,40,45,50)/100*(Inputs!$B$11-Inputs!$B$11),0))))/100+(Inputs!$B$23+0+(IF(ArtifactsInput!$M$15,CHOOSE(ArtifactsInput!$N$15+1,25,30,35,40,45,50)/100*(Inputs!$B$11-Inputs!$B$11),0)))/100)/2</f>
        <v/>
      </c>
      <c r="M1522">
        <f>L1522*(1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IF(B1550=0,0,O1522/B1550)</f>
        <v/>
      </c>
      <c r="Q1522">
        <f>IFERROR(1/(IF(Inputs!$B$38="pvp",15,MAX(0.1,Skills!D8-IF(Skills!E8=TRUE,Inputs!$B$32,0)))*(1-IF(AND(ArtifactsInput!$M$27,Inputs!$B$4="Chapter Hunt"),CHOOSE(ArtifactsInput!$N$27+1,20,24,28,32,36,40),0)/100)),0)</f>
        <v/>
      </c>
      <c r="R1522">
        <f>IF(AND(Inputs!$B$38&lt;&gt;"pvp",Inputs!$B$43&gt;0),IF(MAX(0,Inputs!$B$43-B1547)&lt;=0,0,(INT(MAX(0,Inputs!$B$43-B1547)/(IF(Inputs!$B$38="pvp",15,MAX(0.1,Skills!D8-IF(Skills!E8=TRUE,Inputs!$B$32,0)))*(1-IF(AND(ArtifactsInput!$M$27,Inputs!$B$4="Chapter Hunt"),CHOOSE(ArtifactsInput!$N$27+1,20,24,28,32,36,40),0)/100)))+1)),0)</f>
        <v/>
      </c>
      <c r="S1522">
        <f>IFERROR(O1522/N1522,0)</f>
        <v/>
      </c>
      <c r="T1522">
        <f>IF(C1522,(H1522*N1522*IF(AND(Inputs!$B$38&lt;&gt;"pvp",Inputs!$B$43&gt;0),((Skills!G8*((R1522-1)*IF(Skills!H8&gt;0,Skills!I8/Skills!H8,1)+IF(Skills!H8&gt;0,MIN(Skills!I8,MAX(0,MAX(0,Inputs!$B$43-B1547)-((R1522-1)*(IF(Inputs!$B$38="pvp",15,MAX(0.1,Skills!D8-IF(Skills!E8=TRUE,Inputs!$B$32,0)))*(1-IF(AND(ArtifactsInput!$M$27,Inputs!$B$4="Chapter Hunt"),CHOOSE(ArtifactsInput!$N$27+1,20,24,28,32,36,40),0)/100)))))/Skills!H8,1)))/Inputs!$B$43),G1522*Q1522)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N1522*IF(AND(Inputs!$B$38&lt;&gt;"pvp",Inputs!$B$43&gt;0),((Skills!G8*((R1522-1)*IF(Skills!H8&gt;0,Skills!I8/Skills!H8,1)+IF(Skills!H8&gt;0,MIN(Skills!I8,MAX(0,MAX(0,Inputs!$B$43-B1547)-((R1522-1)*(IF(Inputs!$B$38="pvp",15,MAX(0.1,Skills!D8-IF(Skills!E8=TRUE,Inputs!$B$32,0)))*(1-IF(AND(ArtifactsInput!$M$27,Inputs!$B$4="Chapter Hunt"),CHOOSE(ArtifactsInput!$N$27+1,20,24,28,32,36,40),0)/100)))))/Skills!H8,1)))/Inputs!$B$43),G1522*Q1522))*IF(Inputs!$B$38="pvp",1,(1+(Inputs!$B$21+Skills!Q8+(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Skills!A9</f>
        <v/>
      </c>
      <c r="B1523">
        <f>Skills!B9</f>
        <v/>
      </c>
      <c r="C1523">
        <f>Inputs!$B$3&gt;=110</f>
        <v/>
      </c>
      <c r="D1523">
        <f>IF(Skills!C9=1,60+Inputs!$B$25+Inputs!$B$29,IF(Skills!C9=2,90+Inputs!$B$26+Inputs!$B$29,IF(Skills!C9=3,120+Inputs!$B$27+Inputs!$B$29,MAX(0,(Inputs!$B$3-100)*3)+Inputs!$B$28+Inputs!$B$29)))</f>
        <v/>
      </c>
      <c r="E1523">
        <f>INDEX(FactorTable!$B$2:$Y$301, MATCH(ROUND(MIN(300,MAX(1,D1523)),0), FactorTable!$A$2:$A$301,0), Skills!M9+1)</f>
        <v/>
      </c>
      <c r="F1523">
        <f>IF(Skills!N9=TRUE,(Skills!L9/10)*(E1523/1000),Skills!L9/10)+Skills!O9</f>
        <v/>
      </c>
      <c r="G1523">
        <f>Skills!G9*IF(Skills!H9&gt;0,Skills!I9/Skills!H9,1)</f>
        <v/>
      </c>
      <c r="H1523">
        <f>1-(1-Skills!J9/100)^Skills!K9</f>
        <v/>
      </c>
      <c r="I1523" t="inlineStr">
        <is>
          <t>1</t>
        </is>
      </c>
      <c r="J1523">
        <f>((Inputs!$B$6*(1+Inputs!$B$7/100))+(((Inputs!$B$12*(1+Inputs!$B$13/100))-(Inputs!$B$12*(1+Inputs!$B$13/100)))+0.25*(Inputs!$B$14-Inputs!$B$14))*(1+Inputs!$B$7/100))*(F1523/100)</f>
        <v/>
      </c>
      <c r="K1523">
        <f>J1523*(1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1523)</f>
        <v/>
      </c>
      <c r="L1523">
        <f>K1523*(MIN(Inputs!$B$22+((C1534=TRUE)*(F1534-Calc!F20)),(Inputs!$B$23+0+(IF(ArtifactsInput!$M$15,CHOOSE(ArtifactsInput!$N$15+1,25,30,35,40,45,50)/100*(Inputs!$B$11-Inputs!$B$11),0))))/100+(Inputs!$B$23+0+(IF(ArtifactsInput!$M$15,CHOOSE(ArtifactsInput!$N$15+1,25,30,35,40,45,50)/100*(Inputs!$B$11-Inputs!$B$11),0)))/100)/2</f>
        <v/>
      </c>
      <c r="M1523">
        <f>L1523*(1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3">
        <f>L1523*(1-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1523*(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3">
        <f>(1-Summary!$B$11)*T1523+Summary!$B$11*V1523</f>
        <v/>
      </c>
      <c r="P1523">
        <f>IF(B1550=0,0,O1523/B1550)</f>
        <v/>
      </c>
      <c r="Q1523">
        <f>IFERROR(1/(IF(Inputs!$B$38="pvp",15,MAX(0.1,Skills!D9-IF(Skills!E9=TRUE,Inputs!$B$32,0)))*(1-IF(AND(ArtifactsInput!$M$27,Inputs!$B$4="Chapter Hunt"),CHOOSE(ArtifactsInput!$N$27+1,20,24,28,32,36,40),0)/100)),0)</f>
        <v/>
      </c>
      <c r="R1523">
        <f>IF(AND(Inputs!$B$38&lt;&gt;"pvp",Inputs!$B$43&gt;0),IF(MAX(0,Inputs!$B$43-B1547)&lt;=0,0,(INT(MAX(0,Inputs!$B$43-B1547)/(IF(Inputs!$B$38="pvp",15,MAX(0.1,Skills!D9-IF(Skills!E9=TRUE,Inputs!$B$32,0)))*(1-IF(AND(ArtifactsInput!$M$27,Inputs!$B$4="Chapter Hunt"),CHOOSE(ArtifactsInput!$N$27+1,20,24,28,32,36,40),0)/100)))+1)),0)</f>
        <v/>
      </c>
      <c r="S1523">
        <f>IFERROR(O1523/N1523,0)</f>
        <v/>
      </c>
      <c r="T1523">
        <f>IF(C1523,(H1523*N1523*IF(AND(Inputs!$B$38&lt;&gt;"pvp",Inputs!$B$43&gt;0),((Skills!G9*((R1523-1)*IF(Skills!H9&gt;0,Skills!I9/Skills!H9,1)+IF(Skills!H9&gt;0,MIN(Skills!I9,MAX(0,MAX(0,Inputs!$B$43-B1547)-((R1523-1)*(IF(Inputs!$B$38="pvp",15,MAX(0.1,Skills!D9-IF(Skills!E9=TRUE,Inputs!$B$32,0)))*(1-IF(AND(ArtifactsInput!$M$27,Inputs!$B$4="Chapter Hunt"),CHOOSE(ArtifactsInput!$N$27+1,20,24,28,32,36,40),0)/100)))))/Skills!H9,1)))/Inputs!$B$43),G1523*Q1523)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1523*(1-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1523*(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1523*(1-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1523*(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3">
        <f>IF(C1523,(H1523*N1523*IF(AND(Inputs!$B$38&lt;&gt;"pvp",Inputs!$B$43&gt;0),((Skills!G9*((R1523-1)*IF(Skills!H9&gt;0,Skills!I9/Skills!H9,1)+IF(Skills!H9&gt;0,MIN(Skills!I9,MAX(0,MAX(0,Inputs!$B$43-B1547)-((R1523-1)*(IF(Inputs!$B$38="pvp",15,MAX(0.1,Skills!D9-IF(Skills!E9=TRUE,Inputs!$B$32,0)))*(1-IF(AND(ArtifactsInput!$M$27,Inputs!$B$4="Chapter Hunt"),CHOOSE(ArtifactsInput!$N$27+1,20,24,28,32,36,40),0)/100)))))/Skills!H9,1)))/Inputs!$B$43),G1523*Q1523))*IF(Inputs!$B$38="pvp",1,(1+(Inputs!$B$21+Skills!Q9+(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4">
      <c r="A1524">
        <f>Skills!A10</f>
        <v/>
      </c>
      <c r="B1524">
        <f>Skills!B10</f>
        <v/>
      </c>
      <c r="C1524">
        <f>Inputs!$B$3&gt;=103</f>
        <v/>
      </c>
      <c r="D1524">
        <f>IF(Skills!C10=1,60+Inputs!$B$25+Inputs!$B$29,IF(Skills!C10=2,90+Inputs!$B$26+Inputs!$B$29,IF(Skills!C10=3,120+Inputs!$B$27+Inputs!$B$29,MAX(0,(Inputs!$B$3-100)*3)+Inputs!$B$28+Inputs!$B$29)))</f>
        <v/>
      </c>
      <c r="E1524">
        <f>INDEX(FactorTable!$B$2:$Y$301, MATCH(ROUND(MIN(300,MAX(1,D1524)),0), FactorTable!$A$2:$A$301,0), Skills!M10+1)</f>
        <v/>
      </c>
      <c r="F1524">
        <f>IF(Skills!N10=TRUE,(Skills!L10/10)*(E1524/1000),Skills!L10/10)+Skills!O10</f>
        <v/>
      </c>
      <c r="G1524">
        <f>Skills!G10*IF(Skills!H10&gt;0,Skills!I10/Skills!H10,1)</f>
        <v/>
      </c>
      <c r="H1524">
        <f>1-(1-Skills!J10/100)^Skills!K10</f>
        <v/>
      </c>
      <c r="I1524" t="inlineStr">
        <is>
          <t>1</t>
        </is>
      </c>
      <c r="J1524">
        <f>((Inputs!$B$6*(1+Inputs!$B$7/100))+(((Inputs!$B$12*(1+Inputs!$B$13/100))-(Inputs!$B$12*(1+Inputs!$B$13/100)))+0.25*(Inputs!$B$14-Inputs!$B$14))*(1+Inputs!$B$7/100))*(F1524/100)</f>
        <v/>
      </c>
      <c r="K1524">
        <f>J1524*(1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1524)</f>
        <v/>
      </c>
      <c r="L1524">
        <f>K1524*(MIN(Inputs!$B$22+((C1534=TRUE)*(F1534-Calc!F20)),(Inputs!$B$23+0+(IF(ArtifactsInput!$M$15,CHOOSE(ArtifactsInput!$N$15+1,25,30,35,40,45,50)/100*(Inputs!$B$11-Inputs!$B$11),0))))/100+(Inputs!$B$23+0+(IF(ArtifactsInput!$M$15,CHOOSE(ArtifactsInput!$N$15+1,25,30,35,40,45,50)/100*(Inputs!$B$11-Inputs!$B$11),0)))/100)/2</f>
        <v/>
      </c>
      <c r="M1524">
        <f>L1524*(1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4">
        <f>L1524*(1-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1524*(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4">
        <f>(1-Summary!$B$11)*T1524+Summary!$B$11*V1524</f>
        <v/>
      </c>
      <c r="P1524">
        <f>IF(B1550=0,0,O1524/B1550)</f>
        <v/>
      </c>
      <c r="Q1524">
        <f>IFERROR(1/(IF(Inputs!$B$38="pvp",15,MAX(0.1,Skills!D10-IF(Skills!E10=TRUE,Inputs!$B$32,0)))*(1-IF(AND(ArtifactsInput!$M$27,Inputs!$B$4="Chapter Hunt"),CHOOSE(ArtifactsInput!$N$27+1,20,24,28,32,36,40),0)/100)),0)</f>
        <v/>
      </c>
      <c r="R1524">
        <f>IF(AND(Inputs!$B$38&lt;&gt;"pvp",Inputs!$B$43&gt;0),IF(MAX(0,Inputs!$B$43-B1547)&lt;=0,0,(INT(MAX(0,Inputs!$B$43-B1547)/(IF(Inputs!$B$38="pvp",15,MAX(0.1,Skills!D10-IF(Skills!E10=TRUE,Inputs!$B$32,0)))*(1-IF(AND(ArtifactsInput!$M$27,Inputs!$B$4="Chapter Hunt"),CHOOSE(ArtifactsInput!$N$27+1,20,24,28,32,36,40),0)/100)))+1)),0)</f>
        <v/>
      </c>
      <c r="S1524">
        <f>IFERROR(O1524/N1524,0)</f>
        <v/>
      </c>
      <c r="T1524">
        <f>IF(C1524,(H1524*N1524*IF(AND(Inputs!$B$38&lt;&gt;"pvp",Inputs!$B$43&gt;0),((Skills!G10*((R1524-1)*IF(Skills!H10&gt;0,Skills!I10/Skills!H10,1)+IF(Skills!H10&gt;0,MIN(Skills!I10,MAX(0,MAX(0,Inputs!$B$43-B1547)-((R1524-1)*(IF(Inputs!$B$38="pvp",15,MAX(0.1,Skills!D10-IF(Skills!E10=TRUE,Inputs!$B$32,0)))*(1-IF(AND(ArtifactsInput!$M$27,Inputs!$B$4="Chapter Hunt"),CHOOSE(ArtifactsInput!$N$27+1,20,24,28,32,36,40),0)/100)))))/Skills!H10,1)))/Inputs!$B$43),G1524*Q1524)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1524*(1-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1524*(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1524*(1-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1524*(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4">
        <f>IF(C1524,(H1524*N1524*IF(AND(Inputs!$B$38&lt;&gt;"pvp",Inputs!$B$43&gt;0),((Skills!G10*((R1524-1)*IF(Skills!H10&gt;0,Skills!I10/Skills!H10,1)+IF(Skills!H10&gt;0,MIN(Skills!I10,MAX(0,MAX(0,Inputs!$B$43-B1547)-((R1524-1)*(IF(Inputs!$B$38="pvp",15,MAX(0.1,Skills!D10-IF(Skills!E10=TRUE,Inputs!$B$32,0)))*(1-IF(AND(ArtifactsInput!$M$27,Inputs!$B$4="Chapter Hunt"),CHOOSE(ArtifactsInput!$N$27+1,20,24,28,32,36,40),0)/100)))))/Skills!H10,1)))/Inputs!$B$43),G1524*Q1524))*IF(Inputs!$B$38="pvp",1,(1+(Inputs!$B$21+Skills!Q10+(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5">
      <c r="A1525">
        <f>Skills!A11</f>
        <v/>
      </c>
      <c r="B1525">
        <f>Skills!B11</f>
        <v/>
      </c>
      <c r="C1525">
        <f>Inputs!$B$3&gt;=113</f>
        <v/>
      </c>
      <c r="D1525">
        <f>IF(Skills!C11=1,60+Inputs!$B$25+Inputs!$B$29,IF(Skills!C11=2,90+Inputs!$B$26+Inputs!$B$29,IF(Skills!C11=3,120+Inputs!$B$27+Inputs!$B$29,MAX(0,(Inputs!$B$3-100)*3)+Inputs!$B$28+Inputs!$B$29)))</f>
        <v/>
      </c>
      <c r="E1525">
        <f>INDEX(FactorTable!$B$2:$Y$301, MATCH(ROUND(MIN(300,MAX(1,D1525)),0), FactorTable!$A$2:$A$301,0), Skills!M11+1)</f>
        <v/>
      </c>
      <c r="F1525">
        <f>IF(Skills!N11=TRUE,(Skills!L11/10)*(E1525/1000),Skills!L11/10)+Skills!O11</f>
        <v/>
      </c>
      <c r="G1525">
        <f>Skills!G11*IF(Skills!H11&gt;0,Skills!I11/Skills!H11,1)</f>
        <v/>
      </c>
      <c r="H1525">
        <f>1-(1-Skills!J11/100)^Skills!K11</f>
        <v/>
      </c>
      <c r="I1525" t="inlineStr">
        <is>
          <t>1</t>
        </is>
      </c>
      <c r="J1525">
        <f>((Inputs!$B$6*(1+Inputs!$B$7/100))+(((Inputs!$B$12*(1+Inputs!$B$13/100))-(Inputs!$B$12*(1+Inputs!$B$13/100)))+0.25*(Inputs!$B$14-Inputs!$B$14))*(1+Inputs!$B$7/100))*(F1525/100)</f>
        <v/>
      </c>
      <c r="K1525">
        <f>J1525*(1+((Inputs!$B$12*(1+Inputs!$B$13/100))*0.01+Inputs!$B$14*0.0025)/100)*(1+Inputs!$B$15/100)*(1+Inputs!$B$16/100)*(5000/(6000+Inputs!$B$42*(1-(100*(1-(1-(Inputs!$B$19+0)/100)*(1-CHOOSE(ArtifactsInput!$N$40+1,5,6,7,8,9,10)/100)^(ArtifactsInput!$M$40-ArtifactsInput!$M$40)))/100)))*(1+(Inputs!$B$24+((C1536=TRUE)*(F1536-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1535=TRUE)*(F1535-Calc!F21))+(((IF(AND(ArtifactsInput!$M$42,((Inputs!$B$9+((C1530=TRUE)*(F1530-Calc!F16))+B1540+(ArtifactsInput!$M$24-ArtifactsInput!$M$24)*CHOOSE(ArtifactsInput!$N$24+1,10,12,14,16,18,20)+IF(ArtifactsInput!$M$10,CHOOSE(ArtifactsInput!$N$10+1,15,18,21,24,27,30)*(IF(Inputs!$B$38="pvp",MIN(15,15)/15,IF(AND(Inputs!$B$38&lt;&gt;"pvp",Inputs!$B$43&gt;0),MIN(15,Inputs!$B$43)/(Inputs!$B$43),0))),0)))&gt;=100),MIN(100,((Inputs!$B$9+((C1530=TRUE)*(F1530-Calc!F16))+B1540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1530=TRUE)*(F1530-Calc!F16))+B1540+(ArtifactsInput!$M$24-ArtifactsInput!$M$24)*CHOOSE(ArtifactsInput!$N$24+1,10,12,14,16,18,20)+IF(ArtifactsInput!$M$10,CHOOSE(ArtifactsInput!$N$10+1,15,18,21,24,27,30)*(IF(Inputs!$B$38="pvp",MIN(15,15)/15,IF(AND(Inputs!$B$38&lt;&gt;"pvp",Inputs!$B$43&gt;0),MIN(15,Inputs!$B$43)/(Inputs!$B$43),0))),0)))&gt;=100),CHOOSE(ArtifactsInput!$N$42+1,40,48,56,64,72,80),0))))/100)*((1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1525)</f>
        <v/>
      </c>
      <c r="L1525">
        <f>K1525*(MIN(Inputs!$B$22+((C1534=TRUE)*(F1534-Calc!F20)),(Inputs!$B$23+0+(IF(ArtifactsInput!$M$15,CHOOSE(ArtifactsInput!$N$15+1,25,30,35,40,45,50)/100*(Inputs!$B$11-Inputs!$B$11),0))))/100+(Inputs!$B$23+0+(IF(ArtifactsInput!$M$15,CHOOSE(ArtifactsInput!$N$15+1,25,30,35,40,45,50)/100*(Inputs!$B$11-Inputs!$B$11),0)))/100)/2</f>
        <v/>
      </c>
      <c r="M1525">
        <f>L1525*(1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5">
        <f>L1525*(1-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1525*(MIN((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5">
        <f>(1-Summary!$B$11)*T1525+Summary!$B$11*V1525</f>
        <v/>
      </c>
      <c r="P1525">
        <f>IF(B1550=0,0,O1525/B1550)</f>
        <v/>
      </c>
      <c r="Q1525">
        <f>IFERROR(1/(IF(Inputs!$B$38="pvp",15,MAX(0.1,Skills!D11-IF(Skills!E11=TRUE,Inputs!$B$32,0)))*(1-IF(AND(ArtifactsInput!$M$27,Inputs!$B$4="Chapter Hunt"),CHOOSE(ArtifactsInput!$N$27+1,20,24,28,32,36,40),0)/100)),0)</f>
        <v/>
      </c>
      <c r="R1525">
        <f>IF(AND(Inputs!$B$38&lt;&gt;"pvp",Inputs!$B$43&gt;0),IF(MAX(0,Inputs!$B$43-B1547)&lt;=0,0,(INT(MAX(0,Inputs!$B$43-B1547)/(IF(Inputs!$B$38="pvp",15,MAX(0.1,Skills!D11-IF(Skills!E11=TRUE,Inputs!$B$32,0)))*(1-IF(AND(ArtifactsInput!$M$27,Inputs!$B$4="Chapter Hunt"),CHOOSE(ArtifactsInput!$N$27+1,20,24,28,32,36,40),0)/100)))+1)),0)</f>
        <v/>
      </c>
      <c r="S1525">
        <f>IFERROR(O1525/N1525,0)</f>
        <v/>
      </c>
      <c r="T1525">
        <f>IF(C1525,(H1525*N1525*IF(AND(Inputs!$B$38&lt;&gt;"pvp",Inputs!$B$43&gt;0),((Skills!G11*((R1525-1)*IF(Skills!H11&gt;0,Skills!I11/Skills!H11,1)+IF(Skills!H11&gt;0,MIN(Skills!I11,MAX(0,MAX(0,Inputs!$B$43-B1547)-((R1525-1)*(IF(Inputs!$B$38="pvp",15,MAX(0.1,Skills!D11-IF(Skills!E11=TRUE,Inputs!$B$32,0)))*(1-IF(AND(ArtifactsInput!$M$27,Inputs!$B$4="Chapter Hunt"),CHOOSE(ArtifactsInput!$N$27+1,20,24,28,32,36,40),0)/100)))))/Skills!H11,1)))/Inputs!$B$43),G1525*Q1525)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1525*(1-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1525*(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1525*(1-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1525*(MIN(100,(Inputs!$B$9+((C1530=TRUE)*(F1530-Calc!F16))+B1540+(ArtifactsInput!$M$24-ArtifactsInput!$M$24)*CHOOSE(ArtifactsInput!$N$24+1,10,12,14,16,18,20)+(IF(AND(ArtifactsInput!$M$42,((Inputs!$B$9+((C1530=TRUE)*(F1530-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5">
        <f>IF(C1525,(H1525*N1525*IF(AND(Inputs!$B$38&lt;&gt;"pvp",Inputs!$B$43&gt;0),((Skills!G11*((R1525-1)*IF(Skills!H11&gt;0,Skills!I11/Skills!H11,1)+IF(Skills!H11&gt;0,MIN(Skills!I11,MAX(0,MAX(0,Inputs!$B$43-B1547)-((R1525-1)*(IF(Inputs!$B$38="pvp",15,MAX(0.1,Skills!D11-IF(Skills!E11=TRUE,Inputs!$B$32,0)))*(1-IF(AND(ArtifactsInput!$M$27,Inputs!$B$4="Chapter Hunt"),CHOOSE(ArtifactsInput!$N$27+1,20,24,28,32,36,40),0)/100)))))/Skills!H11,1)))/Inputs!$B$43),G1525*Q1525))*IF(Inputs!$B$38="pvp",1,(1+(Inputs!$B$21+Skills!Q11+(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6">
      <c r="A1526">
        <f>Skills!A12</f>
        <v/>
      </c>
      <c r="B1526">
        <f>Skills!B12</f>
        <v/>
      </c>
      <c r="C1526">
        <f>Inputs!$B$3&gt;=100</f>
        <v/>
      </c>
      <c r="D1526">
        <f>IF(Skills!C12=1,60+Inputs!$B$25+Inputs!$B$29,IF(Skills!C12=2,90+Inputs!$B$26+Inputs!$B$29,IF(Skills!C12=3,120+Inputs!$B$27+Inputs!$B$29,MAX(0,(Inputs!$B$3-100)*3)+Inputs!$B$28+Inputs!$B$29)))</f>
        <v/>
      </c>
      <c r="E1526">
        <f>INDEX(FactorTable!$B$2:$Y$301, MATCH(ROUND(MIN(300,MAX(1,D1526)),0), FactorTable!$A$2:$A$301,0), Skills!M12+1)</f>
        <v/>
      </c>
      <c r="F1526">
        <f>IF(Skills!N12=TRUE,(Skills!L12/10)*(E1526/1000),Skills!L12/10)+Skills!O12</f>
        <v/>
      </c>
      <c r="G1526" t="inlineStr"/>
      <c r="H1526" t="inlineStr"/>
      <c r="I1526" t="inlineStr">
        <is>
          <t>1</t>
        </is>
      </c>
      <c r="J1526" t="inlineStr"/>
      <c r="K1526" t="inlineStr"/>
      <c r="L1526" t="inlineStr"/>
      <c r="M1526" t="inlineStr"/>
      <c r="N1526" t="inlineStr"/>
      <c r="O1526" t="inlineStr"/>
      <c r="P1526" t="inlineStr"/>
      <c r="Q1526" t="inlineStr"/>
      <c r="R1526" t="inlineStr"/>
      <c r="S1526" t="inlineStr"/>
      <c r="T1526" t="inlineStr"/>
      <c r="V1526" t="inlineStr"/>
    </row>
    <row r="1527">
      <c r="A1527">
        <f>Skills!A13</f>
        <v/>
      </c>
      <c r="B1527">
        <f>Skills!B13</f>
        <v/>
      </c>
      <c r="C1527">
        <f>Inputs!$B$3&gt;=66</f>
        <v/>
      </c>
      <c r="D1527">
        <f>IF(Skills!C13=1,60+Inputs!$B$25+Inputs!$B$29,IF(Skills!C13=2,90+Inputs!$B$26+Inputs!$B$29,IF(Skills!C13=3,120+Inputs!$B$27+Inputs!$B$29,MAX(0,(Inputs!$B$3-100)*3)+Inputs!$B$28+Inputs!$B$29)))</f>
        <v/>
      </c>
      <c r="E1527">
        <f>INDEX(FactorTable!$B$2:$Y$301, MATCH(ROUND(MIN(300,MAX(1,D1527)),0), FactorTable!$A$2:$A$301,0), Skills!M13+1)</f>
        <v/>
      </c>
      <c r="F1527">
        <f>IF(Skills!N13=TRUE,(Skills!L13/10)*(E1527/1000),Skills!L13/10)+Skills!O13</f>
        <v/>
      </c>
      <c r="G1527">
        <f>Skills!G13*IF(Skills!H13&gt;0,Skills!I13/Skills!H13,1)</f>
        <v/>
      </c>
      <c r="H1527">
        <f>1-(1-Skills!J13/100)^Skills!K13</f>
        <v/>
      </c>
      <c r="I1527" t="inlineStr">
        <is>
          <t>1</t>
        </is>
      </c>
      <c r="J1527" t="inlineStr"/>
      <c r="K1527" t="inlineStr"/>
      <c r="L1527" t="inlineStr"/>
      <c r="M1527" t="inlineStr"/>
      <c r="N1527" t="inlineStr"/>
      <c r="O1527">
        <f>(1-Summary!$B$11)*T1527+Summary!$B$11*V1527</f>
        <v/>
      </c>
      <c r="P1527">
        <f>IF(B1550=0,0,O1527/B1550)</f>
        <v/>
      </c>
      <c r="Q1527" t="n">
        <v>0</v>
      </c>
      <c r="R1527" t="n">
        <v>0</v>
      </c>
      <c r="S1527">
        <f>IFERROR(O1527/N1527,0)</f>
        <v/>
      </c>
      <c r="T1527" t="n">
        <v>0</v>
      </c>
      <c r="V1527" t="n">
        <v>0</v>
      </c>
    </row>
    <row r="1528">
      <c r="A1528">
        <f>Skills!A14</f>
        <v/>
      </c>
      <c r="B1528">
        <f>Skills!B14</f>
        <v/>
      </c>
      <c r="C1528">
        <f>Inputs!$B$3&gt;=107</f>
        <v/>
      </c>
      <c r="D1528">
        <f>IF(Skills!C14=1,60+Inputs!$B$25+Inputs!$B$29,IF(Skills!C14=2,90+Inputs!$B$26+Inputs!$B$29,IF(Skills!C14=3,120+Inputs!$B$27+Inputs!$B$29,MAX(0,(Inputs!$B$3-100)*3)+Inputs!$B$28+Inputs!$B$29)))</f>
        <v/>
      </c>
      <c r="E1528">
        <f>INDEX(FactorTable!$B$2:$Y$301, MATCH(ROUND(MIN(300,MAX(1,D1528)),0), FactorTable!$A$2:$A$301,0), Skills!M14+1)</f>
        <v/>
      </c>
      <c r="F1528">
        <f>IF(Skills!N14=TRUE,(Skills!L14/10)*(E1528/1000),Skills!L14/10)+Skills!O14</f>
        <v/>
      </c>
      <c r="G1528">
        <f>Skills!G14*IF(Skills!H14&gt;0,Skills!I14/Skills!H14,1)</f>
        <v/>
      </c>
      <c r="H1528">
        <f>1-(1-Skills!J14/100)^Skills!K14</f>
        <v/>
      </c>
      <c r="I1528" t="inlineStr">
        <is>
          <t>1</t>
        </is>
      </c>
      <c r="J1528" t="inlineStr"/>
      <c r="K1528" t="inlineStr"/>
      <c r="L1528" t="inlineStr"/>
      <c r="M1528" t="inlineStr"/>
      <c r="N1528" t="inlineStr"/>
      <c r="O1528">
        <f>(1-Summary!$B$11)*T1528+Summary!$B$11*V1528</f>
        <v/>
      </c>
      <c r="P1528">
        <f>IF(B1550=0,0,O1528/B1550)</f>
        <v/>
      </c>
      <c r="Q1528">
        <f>IFERROR(1/(IF(Inputs!$B$38="pvp",15,MAX(0.1,Skills!D14-IF(Skills!E14=TRUE,Inputs!$B$32,0)))*(1-IF(AND(ArtifactsInput!$M$27,Inputs!$B$4="Chapter Hunt"),CHOOSE(ArtifactsInput!$N$27+1,20,24,28,32,36,40),0)/100)),0)</f>
        <v/>
      </c>
      <c r="R1528">
        <f>IF(AND(Inputs!$B$38&lt;&gt;"pvp",Inputs!$B$43&gt;0),IF(Inputs!$B$43&lt;=0,0,(INT(Inputs!$B$43/(IF(Inputs!$B$38="pvp",15,MAX(0.1,Skills!D14-IF(Skills!E14=TRUE,Inputs!$B$32,0)))*(1-IF(AND(ArtifactsInput!$M$27,Inputs!$B$4="Chapter Hunt"),CHOOSE(ArtifactsInput!$N$27+1,20,24,28,32,36,40),0)/100)))+1)),0)</f>
        <v/>
      </c>
      <c r="S1528">
        <f>IFERROR(O1528/N1528,0)</f>
        <v/>
      </c>
      <c r="T1528" t="n">
        <v>0</v>
      </c>
      <c r="V1528" t="n">
        <v>0</v>
      </c>
    </row>
    <row r="1529">
      <c r="A1529">
        <f>Skills!A15</f>
        <v/>
      </c>
      <c r="B1529">
        <f>Skills!B15</f>
        <v/>
      </c>
      <c r="C1529">
        <f>Inputs!$B$3&gt;=115</f>
        <v/>
      </c>
      <c r="D1529">
        <f>IF(Skills!C15=1,60+Inputs!$B$25+Inputs!$B$29,IF(Skills!C15=2,90+Inputs!$B$26+Inputs!$B$29,IF(Skills!C15=3,120+Inputs!$B$27+Inputs!$B$29,MAX(0,(Inputs!$B$3-100)*3)+Inputs!$B$28+Inputs!$B$29)))</f>
        <v/>
      </c>
      <c r="E1529">
        <f>INDEX(FactorTable!$B$2:$Y$301, MATCH(ROUND(MIN(300,MAX(1,D1529)),0), FactorTable!$A$2:$A$301,0), Skills!M15+1)</f>
        <v/>
      </c>
      <c r="F1529">
        <f>IF(Skills!N15=TRUE,(Skills!L15/10)*(E1529/1000),Skills!L15/10)+Skills!O15</f>
        <v/>
      </c>
      <c r="G1529">
        <f>Skills!G15*IF(Skills!H15&gt;0,Skills!I15/Skills!H15,1)</f>
        <v/>
      </c>
      <c r="H1529">
        <f>1-(1-Skills!J15/100)^Skills!K15</f>
        <v/>
      </c>
      <c r="I1529" t="inlineStr">
        <is>
          <t>1</t>
        </is>
      </c>
      <c r="J1529" t="inlineStr"/>
      <c r="K1529" t="inlineStr"/>
      <c r="L1529" t="inlineStr"/>
      <c r="M1529" t="inlineStr"/>
      <c r="N1529" t="inlineStr"/>
      <c r="O1529">
        <f>(1-Summary!$B$11)*T1529+Summary!$B$11*V1529</f>
        <v/>
      </c>
      <c r="P1529">
        <f>IF(B1550=0,0,O1529/B1550)</f>
        <v/>
      </c>
      <c r="Q1529">
        <f>IFERROR(1/(IF(Inputs!$B$38="pvp",15,MAX(0.1,Skills!D15-IF(Skills!E15=TRUE,Inputs!$B$32,0)))*(1-IF(AND(ArtifactsInput!$M$27,Inputs!$B$4="Chapter Hunt"),CHOOSE(ArtifactsInput!$N$27+1,20,24,28,32,36,40),0)/100)),0)</f>
        <v/>
      </c>
      <c r="R1529">
        <f>IF(AND(Inputs!$B$38&lt;&gt;"pvp",Inputs!$B$43&gt;0),IF(Inputs!$B$43&lt;=0,0,(INT(Inputs!$B$43/(IF(Inputs!$B$38="pvp",15,MAX(0.1,Skills!D15-IF(Skills!E15=TRUE,Inputs!$B$32,0)))*(1-IF(AND(ArtifactsInput!$M$27,Inputs!$B$4="Chapter Hunt"),CHOOSE(ArtifactsInput!$N$27+1,20,24,28,32,36,40),0)/100)))+1)),0)</f>
        <v/>
      </c>
      <c r="S1529">
        <f>IFERROR(O1529/N1529,0)</f>
        <v/>
      </c>
      <c r="T1529" t="n">
        <v>0</v>
      </c>
      <c r="V1529" t="n">
        <v>0</v>
      </c>
    </row>
    <row r="1530">
      <c r="A1530">
        <f>Skills!A16</f>
        <v/>
      </c>
      <c r="B1530">
        <f>Skills!B16</f>
        <v/>
      </c>
      <c r="C1530">
        <f>Inputs!$B$3&gt;=15</f>
        <v/>
      </c>
      <c r="D1530">
        <f>IF(Skills!C16=1,60+Inputs!$B$25+Inputs!$B$29,IF(Skills!C16=2,90+Inputs!$B$26+Inputs!$B$29,IF(Skills!C16=3,120+Inputs!$B$27+Inputs!$B$29,MAX(0,(Inputs!$B$3-100)*3)+Inputs!$B$28+Inputs!$B$29)))</f>
        <v/>
      </c>
      <c r="E1530">
        <f>INDEX(FactorTable!$B$2:$Y$301, MATCH(ROUND(MIN(300,MAX(1,D1530)),0), FactorTable!$A$2:$A$301,0), Skills!M16+1)</f>
        <v/>
      </c>
      <c r="F1530">
        <f>IF(Skills!N16=TRUE,(Skills!L16/10)*(E1530/1000),Skills!L16/10)+Skills!O16</f>
        <v/>
      </c>
      <c r="G1530">
        <f>Skills!G16*IF(Skills!H16&gt;0,Skills!I16/Skills!H16,1)</f>
        <v/>
      </c>
      <c r="H1530">
        <f>1-(1-Skills!J16/100)^Skills!K16</f>
        <v/>
      </c>
      <c r="I1530" t="inlineStr">
        <is>
          <t>1</t>
        </is>
      </c>
      <c r="J1530" t="inlineStr"/>
      <c r="K1530" t="inlineStr"/>
      <c r="L1530" t="inlineStr"/>
      <c r="M1530" t="inlineStr"/>
      <c r="N1530" t="inlineStr"/>
      <c r="O1530">
        <f>(1-Summary!$B$11)*T1530+Summary!$B$11*V1530</f>
        <v/>
      </c>
      <c r="P1530">
        <f>IF(B1550=0,0,O1530/B1550)</f>
        <v/>
      </c>
      <c r="Q1530" t="n">
        <v>0</v>
      </c>
      <c r="R1530" t="n">
        <v>0</v>
      </c>
      <c r="S1530">
        <f>IFERROR(O1530/N1530,0)</f>
        <v/>
      </c>
      <c r="T1530" t="n">
        <v>0</v>
      </c>
      <c r="V1530" t="n">
        <v>0</v>
      </c>
    </row>
    <row r="1531">
      <c r="A1531">
        <f>Skills!A17</f>
        <v/>
      </c>
      <c r="B1531">
        <f>Skills!B17</f>
        <v/>
      </c>
      <c r="C1531">
        <f>Inputs!$B$3&gt;=10</f>
        <v/>
      </c>
      <c r="D1531">
        <f>IF(Skills!C17=1,60+Inputs!$B$25+Inputs!$B$29,IF(Skills!C17=2,90+Inputs!$B$26+Inputs!$B$29,IF(Skills!C17=3,120+Inputs!$B$27+Inputs!$B$29,MAX(0,(Inputs!$B$3-100)*3)+Inputs!$B$28+Inputs!$B$29)))</f>
        <v/>
      </c>
      <c r="E1531">
        <f>INDEX(FactorTable!$B$2:$Y$301, MATCH(ROUND(MIN(300,MAX(1,D1531)),0), FactorTable!$A$2:$A$301,0), Skills!M17+1)</f>
        <v/>
      </c>
      <c r="F1531">
        <f>IF(Skills!N17=TRUE,(Skills!L17/10)*(E1531/1000),Skills!L17/10)+Skills!O17</f>
        <v/>
      </c>
      <c r="G1531">
        <f>Skills!G17*IF(Skills!H17&gt;0,Skills!I17/Skills!H17,1)</f>
        <v/>
      </c>
      <c r="H1531">
        <f>1-(1-Skills!J17/100)^Skills!K17</f>
        <v/>
      </c>
      <c r="I1531" t="inlineStr">
        <is>
          <t>1</t>
        </is>
      </c>
      <c r="J1531" t="inlineStr"/>
      <c r="K1531" t="inlineStr"/>
      <c r="L1531" t="inlineStr"/>
      <c r="M1531" t="inlineStr"/>
      <c r="N1531" t="inlineStr"/>
      <c r="O1531">
        <f>(1-Summary!$B$11)*T1531+Summary!$B$11*V1531</f>
        <v/>
      </c>
      <c r="P1531">
        <f>IF(B1550=0,0,O1531/B1550)</f>
        <v/>
      </c>
      <c r="Q1531" t="n">
        <v>0</v>
      </c>
      <c r="R1531" t="n">
        <v>0</v>
      </c>
      <c r="S1531">
        <f>IFERROR(O1531/N1531,0)</f>
        <v/>
      </c>
      <c r="T1531" t="n">
        <v>0</v>
      </c>
      <c r="V1531" t="n">
        <v>0</v>
      </c>
    </row>
    <row r="1532">
      <c r="A1532">
        <f>Skills!A18</f>
        <v/>
      </c>
      <c r="B1532">
        <f>Skills!B18</f>
        <v/>
      </c>
      <c r="C1532">
        <f>Inputs!$B$3&gt;=33</f>
        <v/>
      </c>
      <c r="D1532">
        <f>IF(Skills!C18=1,60+Inputs!$B$25+Inputs!$B$29,IF(Skills!C18=2,90+Inputs!$B$26+Inputs!$B$29,IF(Skills!C18=3,120+Inputs!$B$27+Inputs!$B$29,MAX(0,(Inputs!$B$3-100)*3)+Inputs!$B$28+Inputs!$B$29)))</f>
        <v/>
      </c>
      <c r="E1532">
        <f>INDEX(FactorTable!$B$2:$Y$301, MATCH(ROUND(MIN(300,MAX(1,D1532)),0), FactorTable!$A$2:$A$301,0), Skills!M18+1)</f>
        <v/>
      </c>
      <c r="F1532">
        <f>IF(Skills!N18=TRUE,(Skills!L18/10)*(E1532/1000),Skills!L18/10)+Skills!O18</f>
        <v/>
      </c>
      <c r="G1532">
        <f>Skills!G18*IF(Skills!H18&gt;0,Skills!I18/Skills!H18,1)</f>
        <v/>
      </c>
      <c r="H1532">
        <f>1-(1-Skills!J18/100)^Skills!K18</f>
        <v/>
      </c>
      <c r="I1532" t="inlineStr">
        <is>
          <t>1</t>
        </is>
      </c>
      <c r="J1532" t="inlineStr"/>
      <c r="K1532" t="inlineStr"/>
      <c r="L1532" t="inlineStr"/>
      <c r="M1532" t="inlineStr"/>
      <c r="N1532" t="inlineStr"/>
      <c r="O1532">
        <f>(1-Summary!$B$11)*T1532+Summary!$B$11*V1532</f>
        <v/>
      </c>
      <c r="P1532">
        <f>IF(B1550=0,0,O1532/B1550)</f>
        <v/>
      </c>
      <c r="Q1532" t="n">
        <v>0</v>
      </c>
      <c r="R1532" t="n">
        <v>0</v>
      </c>
      <c r="S1532">
        <f>IFERROR(O1532/N1532,0)</f>
        <v/>
      </c>
      <c r="T1532" t="n">
        <v>0</v>
      </c>
      <c r="V1532" t="n">
        <v>0</v>
      </c>
    </row>
    <row r="1533">
      <c r="A1533">
        <f>Skills!A19</f>
        <v/>
      </c>
      <c r="B1533">
        <f>Skills!B19</f>
        <v/>
      </c>
      <c r="C1533">
        <f>Inputs!$B$3&gt;=40</f>
        <v/>
      </c>
      <c r="D1533">
        <f>IF(Skills!C19=1,60+Inputs!$B$25+Inputs!$B$29,IF(Skills!C19=2,90+Inputs!$B$26+Inputs!$B$29,IF(Skills!C19=3,120+Inputs!$B$27+Inputs!$B$29,MAX(0,(Inputs!$B$3-100)*3)+Inputs!$B$28+Inputs!$B$29)))</f>
        <v/>
      </c>
      <c r="E1533">
        <f>INDEX(FactorTable!$B$2:$Y$301, MATCH(ROUND(MIN(300,MAX(1,D1533)),0), FactorTable!$A$2:$A$301,0), Skills!M19+1)</f>
        <v/>
      </c>
      <c r="F1533">
        <f>IF(Skills!N19=TRUE,(Skills!L19/10)*(E1533/1000),Skills!L19/10)+Skills!O19</f>
        <v/>
      </c>
      <c r="G1533">
        <f>Skills!G19*IF(Skills!H19&gt;0,Skills!I19/Skills!H19,1)</f>
        <v/>
      </c>
      <c r="H1533">
        <f>1-(1-Skills!J19/100)^Skills!K19</f>
        <v/>
      </c>
      <c r="I1533" t="inlineStr">
        <is>
          <t>1</t>
        </is>
      </c>
      <c r="J1533" t="inlineStr"/>
      <c r="K1533" t="inlineStr"/>
      <c r="L1533" t="inlineStr"/>
      <c r="M1533" t="inlineStr"/>
      <c r="N1533" t="inlineStr"/>
      <c r="O1533">
        <f>(1-Summary!$B$11)*T1533+Summary!$B$11*V1533</f>
        <v/>
      </c>
      <c r="P1533">
        <f>IF(B1550=0,0,O1533/B1550)</f>
        <v/>
      </c>
      <c r="Q1533" t="n">
        <v>0</v>
      </c>
      <c r="R1533" t="n">
        <v>0</v>
      </c>
      <c r="S1533">
        <f>IFERROR(O1533/N1533,0)</f>
        <v/>
      </c>
      <c r="T1533" t="n">
        <v>0</v>
      </c>
      <c r="V1533" t="n">
        <v>0</v>
      </c>
    </row>
    <row r="1534">
      <c r="A1534">
        <f>Skills!A20</f>
        <v/>
      </c>
      <c r="B1534">
        <f>Skills!B20</f>
        <v/>
      </c>
      <c r="C1534">
        <f>Inputs!$B$3&gt;=43</f>
        <v/>
      </c>
      <c r="D1534">
        <f>IF(Skills!C20=1,60+Inputs!$B$25+Inputs!$B$29,IF(Skills!C20=2,90+Inputs!$B$26+Inputs!$B$29,IF(Skills!C20=3,120+Inputs!$B$27+Inputs!$B$29,MAX(0,(Inputs!$B$3-100)*3)+Inputs!$B$28+Inputs!$B$29)))</f>
        <v/>
      </c>
      <c r="E1534">
        <f>INDEX(FactorTable!$B$2:$Y$301, MATCH(ROUND(MIN(300,MAX(1,D1534)),0), FactorTable!$A$2:$A$301,0), Skills!M20+1)</f>
        <v/>
      </c>
      <c r="F1534">
        <f>IF(Skills!N20=TRUE,(Skills!L20/10)*(E1534/1000),Skills!L20/10)+Skills!O20</f>
        <v/>
      </c>
      <c r="G1534">
        <f>Skills!G20*IF(Skills!H20&gt;0,Skills!I20/Skills!H20,1)</f>
        <v/>
      </c>
      <c r="H1534">
        <f>1-(1-Skills!J20/100)^Skills!K20</f>
        <v/>
      </c>
      <c r="I1534" t="inlineStr">
        <is>
          <t>1</t>
        </is>
      </c>
      <c r="J1534" t="inlineStr"/>
      <c r="K1534" t="inlineStr"/>
      <c r="L1534" t="inlineStr"/>
      <c r="M1534" t="inlineStr"/>
      <c r="N1534" t="inlineStr"/>
      <c r="O1534">
        <f>(1-Summary!$B$11)*T1534+Summary!$B$11*V1534</f>
        <v/>
      </c>
      <c r="P1534">
        <f>IF(B1550=0,0,O1534/B1550)</f>
        <v/>
      </c>
      <c r="Q1534" t="n">
        <v>0</v>
      </c>
      <c r="R1534" t="n">
        <v>0</v>
      </c>
      <c r="S1534">
        <f>IFERROR(O1534/N1534,0)</f>
        <v/>
      </c>
      <c r="T1534" t="n">
        <v>0</v>
      </c>
      <c r="V1534" t="n">
        <v>0</v>
      </c>
    </row>
    <row r="1535">
      <c r="A1535">
        <f>Skills!A21</f>
        <v/>
      </c>
      <c r="B1535">
        <f>Skills!B21</f>
        <v/>
      </c>
      <c r="C1535">
        <f>Inputs!$B$3&gt;=38</f>
        <v/>
      </c>
      <c r="D1535">
        <f>IF(Skills!C21=1,60+Inputs!$B$25+Inputs!$B$29,IF(Skills!C21=2,90+Inputs!$B$26+Inputs!$B$29,IF(Skills!C21=3,120+Inputs!$B$27+Inputs!$B$29,MAX(0,(Inputs!$B$3-100)*3)+Inputs!$B$28+Inputs!$B$29)))</f>
        <v/>
      </c>
      <c r="E1535">
        <f>INDEX(FactorTable!$B$2:$Y$301, MATCH(ROUND(MIN(300,MAX(1,D1535)),0), FactorTable!$A$2:$A$301,0), Skills!M21+1)</f>
        <v/>
      </c>
      <c r="F1535">
        <f>IF(Skills!N21=TRUE,(Skills!L21/10)*(E1535/1000),Skills!L21/10)+Skills!O21</f>
        <v/>
      </c>
      <c r="G1535">
        <f>Skills!G21*IF(Skills!H21&gt;0,Skills!I21/Skills!H21,1)</f>
        <v/>
      </c>
      <c r="H1535">
        <f>1-(1-Skills!J21/100)^Skills!K21</f>
        <v/>
      </c>
      <c r="I1535" t="inlineStr">
        <is>
          <t>1</t>
        </is>
      </c>
      <c r="J1535" t="inlineStr"/>
      <c r="K1535" t="inlineStr"/>
      <c r="L1535" t="inlineStr"/>
      <c r="M1535" t="inlineStr"/>
      <c r="N1535" t="inlineStr"/>
      <c r="O1535">
        <f>(1-Summary!$B$11)*T1535+Summary!$B$11*V1535</f>
        <v/>
      </c>
      <c r="P1535">
        <f>IF(B1550=0,0,O1535/B1550)</f>
        <v/>
      </c>
      <c r="Q1535" t="n">
        <v>0</v>
      </c>
      <c r="R1535" t="n">
        <v>0</v>
      </c>
      <c r="S1535">
        <f>IFERROR(O1535/N1535,0)</f>
        <v/>
      </c>
      <c r="T1535" t="n">
        <v>0</v>
      </c>
      <c r="V1535" t="n">
        <v>0</v>
      </c>
    </row>
    <row r="1536">
      <c r="A1536">
        <f>Skills!A22</f>
        <v/>
      </c>
      <c r="B1536">
        <f>Skills!B22</f>
        <v/>
      </c>
      <c r="C1536">
        <f>Inputs!$B$3&gt;=75</f>
        <v/>
      </c>
      <c r="D1536">
        <f>IF(Skills!C22=1,60+Inputs!$B$25+Inputs!$B$29,IF(Skills!C22=2,90+Inputs!$B$26+Inputs!$B$29,IF(Skills!C22=3,120+Inputs!$B$27+Inputs!$B$29,MAX(0,(Inputs!$B$3-100)*3)+Inputs!$B$28+Inputs!$B$29)))</f>
        <v/>
      </c>
      <c r="E1536">
        <f>INDEX(FactorTable!$B$2:$Y$301, MATCH(ROUND(MIN(300,MAX(1,D1536)),0), FactorTable!$A$2:$A$301,0), Skills!M22+1)</f>
        <v/>
      </c>
      <c r="F1536">
        <f>IF(Skills!N22=TRUE,(Skills!L22/10)*(E1536/1000),Skills!L22/10)+Skills!O22</f>
        <v/>
      </c>
      <c r="G1536">
        <f>Skills!G22*IF(Skills!H22&gt;0,Skills!I22/Skills!H22,1)</f>
        <v/>
      </c>
      <c r="H1536">
        <f>1-(1-Skills!J22/100)^Skills!K22</f>
        <v/>
      </c>
      <c r="I1536" t="inlineStr">
        <is>
          <t>1</t>
        </is>
      </c>
      <c r="J1536" t="inlineStr"/>
      <c r="K1536" t="inlineStr"/>
      <c r="L1536" t="inlineStr"/>
      <c r="M1536" t="inlineStr"/>
      <c r="N1536" t="inlineStr"/>
      <c r="O1536">
        <f>(1-Summary!$B$11)*T1536+Summary!$B$11*V1536</f>
        <v/>
      </c>
      <c r="P1536">
        <f>IF(B1550=0,0,O1536/B1550)</f>
        <v/>
      </c>
      <c r="Q1536" t="n">
        <v>0</v>
      </c>
      <c r="R1536" t="n">
        <v>0</v>
      </c>
      <c r="S1536">
        <f>IFERROR(O1536/N1536,0)</f>
        <v/>
      </c>
      <c r="T1536" t="n">
        <v>0</v>
      </c>
      <c r="V1536" t="n">
        <v>0</v>
      </c>
    </row>
    <row r="1537">
      <c r="A1537">
        <f>Skills!A23</f>
        <v/>
      </c>
      <c r="B1537">
        <f>Skills!B23</f>
        <v/>
      </c>
      <c r="C1537">
        <f>TRUE</f>
        <v/>
      </c>
      <c r="D1537">
        <f>IF(Skills!C23=1,60+Inputs!$B$25+Inputs!$B$29,IF(Skills!C23=2,90+Inputs!$B$26+Inputs!$B$29,IF(Skills!C23=3,120+Inputs!$B$27+Inputs!$B$29,MAX(0,(Inputs!$B$3-100)*3)+Inputs!$B$28+Inputs!$B$29)))</f>
        <v/>
      </c>
      <c r="E1537">
        <f>INDEX(FactorTable!$B$2:$Y$301, MATCH(ROUND(MIN(300,MAX(1,D1537)),0), FactorTable!$A$2:$A$301,0), Skills!M23+1)</f>
        <v/>
      </c>
      <c r="F1537">
        <f>IF(Skills!N23=TRUE,(Skills!L23/10)*(E1537/1000),Skills!L23/10)+Skills!O23</f>
        <v/>
      </c>
      <c r="G1537">
        <f>Skills!G23*IF(Skills!H23&gt;0,Skills!I23/Skills!H23,1)</f>
        <v/>
      </c>
      <c r="H1537">
        <f>1-(1-Skills!J23/100)^Skills!K23</f>
        <v/>
      </c>
      <c r="I1537" t="inlineStr">
        <is>
          <t>1</t>
        </is>
      </c>
      <c r="J1537" t="inlineStr"/>
      <c r="K1537" t="inlineStr"/>
      <c r="L1537" t="inlineStr"/>
      <c r="M1537" t="inlineStr"/>
      <c r="N1537" t="inlineStr"/>
      <c r="O1537">
        <f>(1-Summary!$B$11)*T1537+Summary!$B$11*V1537</f>
        <v/>
      </c>
      <c r="P1537">
        <f>IF(B1550=0,0,O1537/B1550)</f>
        <v/>
      </c>
      <c r="Q1537">
        <f>IFERROR(1/(IF(Inputs!$B$38="pvp",15,MAX(0.1,Skills!D23-IF(Skills!E23=TRUE,Inputs!$B$32,0)))*(1-IF(AND(ArtifactsInput!$M$27,Inputs!$B$4="Chapter Hunt"),CHOOSE(ArtifactsInput!$N$27+1,20,24,28,32,36,40),0)/100)),0)</f>
        <v/>
      </c>
      <c r="R1537">
        <f>IF(AND(Inputs!$B$38&lt;&gt;"pvp",Inputs!$B$43&gt;0),IF(Inputs!$B$43&lt;=0,0,(INT(Inputs!$B$43/(IF(Inputs!$B$38="pvp",15,MAX(0.1,Skills!D23-IF(Skills!E23=TRUE,Inputs!$B$32,0)))*(1-IF(AND(ArtifactsInput!$M$27,Inputs!$B$4="Chapter Hunt"),CHOOSE(ArtifactsInput!$N$27+1,20,24,28,32,36,40),0)/100)))+1)),0)</f>
        <v/>
      </c>
      <c r="S1537">
        <f>IFERROR(O1537/N1537,0)</f>
        <v/>
      </c>
      <c r="T1537" t="n">
        <v>0</v>
      </c>
      <c r="V1537" t="n">
        <v>0</v>
      </c>
    </row>
    <row r="1539">
      <c r="A1539" t="inlineStr">
        <is>
          <t>Attack% Bucket Multiplier</t>
        </is>
      </c>
      <c r="B1539">
        <f>(1+(((C1527=TRUE)*F1527*5/7)+((C1533=TRUE)*(F1533-Calc!F19))+(IF(ArtifactsInput!$M$21,CHOOSE(ArtifactsInput!$N$21+1,25,30,35,40,45,50)*(IF(OR(Inputs!$B$4="Chapter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0">
      <c r="A1540" t="inlineStr">
        <is>
          <t>Global Crit Rate Bonus %</t>
        </is>
      </c>
      <c r="B1540" t="n">
        <v>0</v>
      </c>
    </row>
    <row r="1541">
      <c r="A1541" t="inlineStr">
        <is>
          <t>Attack Speed Buff Bonus % (Nimble Feet, duty-cycle averaged)</t>
        </is>
      </c>
      <c r="B1541">
        <f>((C1537=TRUE)*F1537*IF(AND(Inputs!$B$38&lt;&gt;"pvp",Inputs!$B$43&gt;0),(((R1537-1)*(Skills!T23*(1+Inputs!$B$34/100))+MIN((Skills!T23*(1+Inputs!$B$34/100)),MAX(0,Inputs!$B$43-((R1537-1)*Skills!D23))))/Inputs!$B$43),IF(Inputs!$B$38="pvp",MIN((Skills!T23*(1+Inputs!$B$34/100)),15)/15,(Skills!T23*(1+Inputs!$B$34/100))/Skills!D23)))</f>
        <v/>
      </c>
    </row>
    <row r="1542">
      <c r="A1542" t="inlineStr">
        <is>
          <t>Actions Per Second</t>
        </is>
      </c>
      <c r="B1542">
        <f>1+MIN(150,150*(1-(1-(Inputs!$B$11+((C1531=TRUE)*(F1531-Calc!F17))+((C1532=TRUE)*(F1532-Calc!F18)))/150)*(1-B1541/150)))/100</f>
        <v/>
      </c>
    </row>
    <row r="1543">
      <c r="A1543" t="inlineStr">
        <is>
          <t>Skill + Buff Cast Rate</t>
        </is>
      </c>
      <c r="B1543">
        <f>IF(AND(Inputs!$B$38&lt;&gt;"pvp",Inputs!$B$43&gt;0),SUMPRODUCT((Skills!E2:E23=TRUE)*(C1516:C1537=TRUE)*R1516:R1537*Skills!F2:F23)/Inputs!$B$43,SUMPRODUCT((Skills!E2:E23=TRUE)*(C1516:C1537=TRUE)*Q1516:Q1537*Skills!F2:F23))</f>
        <v/>
      </c>
    </row>
    <row r="1544">
      <c r="A1544" t="inlineStr">
        <is>
          <t>Hook Bomber Casts Per Second</t>
        </is>
      </c>
      <c r="B1544">
        <f>MAX(0,B1542-B1543)</f>
        <v/>
      </c>
    </row>
    <row r="1545">
      <c r="A1545" t="inlineStr">
        <is>
          <t>Global Critical Damage Bonus % (unused)</t>
        </is>
      </c>
      <c r="B1545" t="n">
        <v>0</v>
      </c>
    </row>
    <row r="1546">
      <c r="A1546" t="inlineStr">
        <is>
          <t>Global Final Damage Bonus % (Serpent Scale + Crossbones + Time Leap + Speed Infusion)</t>
        </is>
      </c>
      <c r="B1546">
        <f>((C1519=TRUE)*F1519*((10+IF(Inputs!$B$3&gt;=94,5,0))/((10+IF(Inputs!$B$3&gt;=94,5,0))+5/(B1544*(1+IF(Inputs!$B$3&gt;=104,1,0))))))+((C1528=TRUE)*F1528*IF(AND(Inputs!$B$38&lt;&gt;"pvp",Inputs!$B$43&gt;0),(((R1528-1)*(Skills!T14*(1+Inputs!$B$34/100))+MIN((Skills!T14*(1+Inputs!$B$34/100)),MAX(0,Inputs!$B$43-((R1528-1)*Skills!D14))))/Inputs!$B$43),IF(Inputs!$B$38="pvp",MIN((Skills!T14*(1+Inputs!$B$34/100)),15)/15,(Skills!T14*(1+Inputs!$B$34/100))/Skills!D14)))+((C1529=TRUE)*F1529*IF(AND(Inputs!$B$38&lt;&gt;"pvp",Inputs!$B$43&gt;0),(((R1529-1)*(Skills!T15*(1+Inputs!$B$34/100))+MIN((Skills!T15*(1+Inputs!$B$34/100)),MAX(0,Inputs!$B$43-((R1529-1)*Skills!D15))))/Inputs!$B$43),IF(Inputs!$B$38="pvp",MIN((Skills!T15*(1+Inputs!$B$34/100)),15)/15,(Skills!T15*(1+Inputs!$B$34/100))/Skills!D15)))+((Inputs!$B$3&gt;=110)*20*(B1542-1)*IF(Inputs!$B$38="pvp",MIN((15*(1+Inputs!$B$34/100)),15)/15,(15*(1+Inputs!$B$34/100))/35))</f>
        <v/>
      </c>
    </row>
    <row r="1547">
      <c r="A1547" t="inlineStr">
        <is>
          <t>Buff-Casting Startup Delay (s, fixed-duration only)</t>
        </is>
      </c>
      <c r="B1547">
        <f>IF(AND(Inputs!$B$38&lt;&gt;"pvp",Inputs!$B$43&gt;0),SUMPRODUCT((Skills!T2:T23&gt;0)*(Skills!E2:E23=TRUE)*(C1516:C1537=TRUE))/B1542,0)</f>
        <v/>
      </c>
    </row>
    <row r="1548">
      <c r="A1548" t="inlineStr">
        <is>
          <t>Boss-Only Total DPS (this block's swept value)</t>
        </is>
      </c>
      <c r="B1548">
        <f>SUM(T1516:T1537)</f>
        <v/>
      </c>
    </row>
    <row r="1549">
      <c r="A1549" t="inlineStr">
        <is>
          <t>Normal-Only Total DPS (this block's swept value)</t>
        </is>
      </c>
      <c r="B1549">
        <f>SUM(V1516:V1537)</f>
        <v/>
      </c>
    </row>
    <row r="1550">
      <c r="A1550" s="6" t="inlineStr">
        <is>
          <t>TOTAL DPS</t>
        </is>
      </c>
      <c r="B1550" s="6">
        <f>SUM(O1516:O1537)</f>
        <v/>
      </c>
    </row>
    <row r="1553">
      <c r="A1553" s="6" t="inlineStr">
        <is>
          <t>Stat: Pink Bean's Giant Rib (Equip)</t>
        </is>
      </c>
    </row>
    <row r="1554">
      <c r="A1554" s="5" t="inlineStr">
        <is>
          <t>Key</t>
        </is>
      </c>
      <c r="B1554" s="5" t="inlineStr">
        <is>
          <t>Name</t>
        </is>
      </c>
      <c r="C1554" s="5" t="inlineStr">
        <is>
          <t>Unlocked</t>
        </is>
      </c>
      <c r="D1554" s="5" t="inlineStr">
        <is>
          <t>InputLevel</t>
        </is>
      </c>
      <c r="E1554" s="5" t="inlineStr">
        <is>
          <t>Factor</t>
        </is>
      </c>
      <c r="F1554" s="5" t="inlineStr">
        <is>
          <t>CoefficientPercent</t>
        </is>
      </c>
      <c r="G1554" s="5" t="inlineStr">
        <is>
          <t>EffectiveHits</t>
        </is>
      </c>
      <c r="H1554" s="5" t="inlineStr">
        <is>
          <t>ProcProbability</t>
        </is>
      </c>
      <c r="I1554" s="5" t="inlineStr">
        <is>
          <t>MapleHeroMultiplier</t>
        </is>
      </c>
      <c r="J1554" s="5" t="inlineStr">
        <is>
          <t>BaseDamage</t>
        </is>
      </c>
      <c r="K1554" s="5" t="inlineStr">
        <is>
          <t>BaseHitDamage</t>
        </is>
      </c>
      <c r="L1554" s="5" t="inlineStr">
        <is>
          <t>NonCritAvg</t>
        </is>
      </c>
      <c r="M1554" s="5" t="inlineStr">
        <is>
          <t>CritAvg</t>
        </is>
      </c>
      <c r="N1554" s="5" t="inlineStr">
        <is>
          <t>ExpectedDamage(perHit)</t>
        </is>
      </c>
      <c r="O1554" s="5" t="inlineStr">
        <is>
          <t>DPS</t>
        </is>
      </c>
      <c r="P1554" s="5" t="inlineStr">
        <is>
          <t>% of Total</t>
        </is>
      </c>
      <c r="Q1554" s="5" t="inlineStr">
        <is>
          <t>InvCooldown</t>
        </is>
      </c>
      <c r="R1554" s="5" t="inlineStr">
        <is>
          <t>CastsInFight</t>
        </is>
      </c>
      <c r="S1554" s="5" t="inlineStr">
        <is>
          <t>HitRate(perSec)</t>
        </is>
      </c>
      <c r="U1554" t="inlineStr">
        <is>
          <t>helpers</t>
        </is>
      </c>
    </row>
    <row r="1555">
      <c r="A1555">
        <f>Skills!A2</f>
        <v/>
      </c>
      <c r="B1555">
        <f>Skills!B2</f>
        <v/>
      </c>
      <c r="C1555">
        <f>Inputs!$B$3&gt;=100</f>
        <v/>
      </c>
      <c r="D1555" t="inlineStr"/>
      <c r="E1555" t="inlineStr"/>
      <c r="F1555">
        <f>U1557+Skills!O2</f>
        <v/>
      </c>
      <c r="G1555">
        <f>Skills!G2*IF(Skills!H2&gt;0,Skills!I2/Skills!H2,1)</f>
        <v/>
      </c>
      <c r="H1555">
        <f>1-(1-Skills!J2/100)^Skills!K2</f>
        <v/>
      </c>
      <c r="I1555" t="inlineStr">
        <is>
          <t>1</t>
        </is>
      </c>
      <c r="J1555">
        <f>((Inputs!$B$6*(1+Inputs!$B$7/100))+(((Inputs!$B$12*(1+Inputs!$B$13/100))-(Inputs!$B$12*(1+Inputs!$B$13/100)))+0.25*(Inputs!$B$14-Inputs!$B$14))*(1+Inputs!$B$7/100))*(F1555/100)</f>
        <v/>
      </c>
      <c r="K1555">
        <f>J1555*(1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1555)</f>
        <v/>
      </c>
      <c r="L1555">
        <f>K1555*(MIN(Inputs!$B$22+((C1573=TRUE)*(F1573-Calc!F20)),(Inputs!$B$23+0+(IF(ArtifactsInput!$M$15,CHOOSE(ArtifactsInput!$N$15+1,25,30,35,40,45,50)/100*(Inputs!$B$11-Inputs!$B$11),0))))/100+(Inputs!$B$23+0+(IF(ArtifactsInput!$M$15,CHOOSE(ArtifactsInput!$N$15+1,25,30,35,40,45,50)/100*(Inputs!$B$11-Inputs!$B$11),0)))/100)/2</f>
        <v/>
      </c>
      <c r="M1555">
        <f>L1555*(1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5">
        <f>L1555*(1-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1555*(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5">
        <f>(1-Summary!$B$11)*T1555+Summary!$B$11*V1555</f>
        <v/>
      </c>
      <c r="P1555">
        <f>IF(B1589=0,0,O1555/B1589)</f>
        <v/>
      </c>
      <c r="Q1555" t="n">
        <v>0</v>
      </c>
      <c r="R1555" t="n">
        <v>0</v>
      </c>
      <c r="S1555">
        <f>IFERROR(O1555/N1555,0)</f>
        <v/>
      </c>
      <c r="T1555">
        <f>IF(C1555,(Skills!G2*N1555*B1583)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1555*(1-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1555*(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1555*(1-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1555*(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5">
        <f>MAX(0,(Inputs!$B$3-100)*3)+Inputs!$B$28+Inputs!$B$29</f>
        <v/>
      </c>
      <c r="V1555">
        <f>IF(C1555,(Skills!G2*N1555*B1583)*IF(Inputs!$B$38="pvp",1,(1+(Inputs!$B$21+Skills!Q2+(IF(ArtifactsInput!$M$33,CHOOSE(ArtifactsInput!$N$33+1,30,36,42,48,54,60),0))+(IF(AND(ArtifactsInput!$M$35,Inputs!$B$4&lt;&gt;"Chapter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6">
      <c r="A1556">
        <f>Skills!A3</f>
        <v/>
      </c>
      <c r="B1556">
        <f>Skills!B3</f>
        <v/>
      </c>
      <c r="C1556">
        <f>Inputs!$B$3&gt;=35</f>
        <v/>
      </c>
      <c r="D1556">
        <f>IF(Skills!C3=1,60+Inputs!$B$25+Inputs!$B$29,IF(Skills!C3=2,90+Inputs!$B$26+Inputs!$B$29,IF(Skills!C3=3,120+Inputs!$B$27+Inputs!$B$29,MAX(0,(Inputs!$B$3-100)*3)+Inputs!$B$28+Inputs!$B$29)))</f>
        <v/>
      </c>
      <c r="E1556">
        <f>INDEX(FactorTable!$B$2:$Y$301, MATCH(ROUND(MIN(300,MAX(1,D1556)),0), FactorTable!$A$2:$A$301,0), Skills!M3+1)</f>
        <v/>
      </c>
      <c r="F1556">
        <f>IF(Skills!N3=TRUE,(Skills!L3/10)*(E1556/1000),Skills!L3/10)+Skills!O3</f>
        <v/>
      </c>
      <c r="G1556">
        <f>Skills!G3*IF(Skills!H3&gt;0,Skills!I3/Skills!H3,1)</f>
        <v/>
      </c>
      <c r="H1556">
        <f>1-(1-Skills!J3/100)^Skills!K3</f>
        <v/>
      </c>
      <c r="I1556" t="inlineStr">
        <is>
          <t>1</t>
        </is>
      </c>
      <c r="J1556">
        <f>((Inputs!$B$6*(1+Inputs!$B$7/100))+(((Inputs!$B$12*(1+Inputs!$B$13/100))-(Inputs!$B$12*(1+Inputs!$B$13/100)))+0.25*(Inputs!$B$14-Inputs!$B$14))*(1+Inputs!$B$7/100))*(F1556/100)</f>
        <v/>
      </c>
      <c r="K1556">
        <f>J1556*(1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1556)</f>
        <v/>
      </c>
      <c r="L1556">
        <f>K1556*(MIN(Inputs!$B$22+((C1573=TRUE)*(F1573-Calc!F20)),(Inputs!$B$23+0+(IF(ArtifactsInput!$M$15,CHOOSE(ArtifactsInput!$N$15+1,25,30,35,40,45,50)/100*(Inputs!$B$11-Inputs!$B$11),0))))/100+(Inputs!$B$23+0+(IF(ArtifactsInput!$M$15,CHOOSE(ArtifactsInput!$N$15+1,25,30,35,40,45,50)/100*(Inputs!$B$11-Inputs!$B$11),0)))/100)/2</f>
        <v/>
      </c>
      <c r="M1556">
        <f>L1556*(1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6">
        <f>L1556*(1-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1556*(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6">
        <f>(1-Summary!$B$11)*T1556+Summary!$B$11*V1556</f>
        <v/>
      </c>
      <c r="P1556">
        <f>IF(B1589=0,0,O1556/B1589)</f>
        <v/>
      </c>
      <c r="Q1556" t="n">
        <v>0</v>
      </c>
      <c r="R1556" t="n">
        <v>0</v>
      </c>
      <c r="S1556">
        <f>IFERROR(O1556/N1556,0)</f>
        <v/>
      </c>
      <c r="T1556">
        <f>IF(C1556,(Skills!G3*H1556*N1556*B1583)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1556*(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1556*(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6">
        <f>INDEX(FactorTable!$B$2:$Y$301, MATCH(ROUND(MIN(300,MAX(1,U1555)),0), FactorTable!$A$2:$A$301,0), 22)</f>
        <v/>
      </c>
      <c r="V1556">
        <f>IF(C1556,(Skills!G3*H1556*N1556*B1583)*IF(Inputs!$B$38="pvp",1,(1+(Inputs!$B$21+Skills!Q3+(IF(ArtifactsInput!$M$33,CHOOSE(ArtifactsInput!$N$33+1,30,36,42,48,54,60),0))+(IF(AND(ArtifactsInput!$M$35,Inputs!$B$4&lt;&gt;"Chapter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7">
      <c r="A1557">
        <f>Skills!A4</f>
        <v/>
      </c>
      <c r="B1557">
        <f>Skills!B4</f>
        <v/>
      </c>
      <c r="C1557">
        <f>Inputs!$B$3&gt;=60</f>
        <v/>
      </c>
      <c r="D1557">
        <f>IF(Skills!C4=1,60+Inputs!$B$25+Inputs!$B$29,IF(Skills!C4=2,90+Inputs!$B$26+Inputs!$B$29,IF(Skills!C4=3,120+Inputs!$B$27+Inputs!$B$29,MAX(0,(Inputs!$B$3-100)*3)+Inputs!$B$28+Inputs!$B$29)))</f>
        <v/>
      </c>
      <c r="E1557">
        <f>INDEX(FactorTable!$B$2:$Y$301, MATCH(ROUND(MIN(300,MAX(1,D1557)),0), FactorTable!$A$2:$A$301,0), Skills!M4+1)</f>
        <v/>
      </c>
      <c r="F1557">
        <f>IF(Skills!N4=TRUE,(Skills!L4/10)*(E1557/1000),Skills!L4/10)+Skills!O4</f>
        <v/>
      </c>
      <c r="G1557">
        <f>Skills!G4*IF(Skills!H4&gt;0,Skills!I4/Skills!H4,1)</f>
        <v/>
      </c>
      <c r="H1557">
        <f>1-(1-Skills!J4/100)^Skills!K4</f>
        <v/>
      </c>
      <c r="I1557" t="inlineStr">
        <is>
          <t>1</t>
        </is>
      </c>
      <c r="J1557">
        <f>((Inputs!$B$6*(1+Inputs!$B$7/100))+(((Inputs!$B$12*(1+Inputs!$B$13/100))-(Inputs!$B$12*(1+Inputs!$B$13/100)))+0.25*(Inputs!$B$14-Inputs!$B$14))*(1+Inputs!$B$7/100))*(F1557/100)</f>
        <v/>
      </c>
      <c r="K1557">
        <f>J1557*(1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1565=TRUE,F1565,0)/100)*(1+(IF(Skills!A4="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1557)</f>
        <v/>
      </c>
      <c r="L1557">
        <f>K1557*(MIN(Inputs!$B$22+((C1573=TRUE)*(F1573-Calc!F20)),(Inputs!$B$23+0+(IF(ArtifactsInput!$M$15,CHOOSE(ArtifactsInput!$N$15+1,25,30,35,40,45,50)/100*(Inputs!$B$11-Inputs!$B$11),0))))/100+(Inputs!$B$23+0+(IF(ArtifactsInput!$M$15,CHOOSE(ArtifactsInput!$N$15+1,25,30,35,40,45,50)/100*(Inputs!$B$11-Inputs!$B$11),0)))/100)/2</f>
        <v/>
      </c>
      <c r="M1557">
        <f>L1557*(1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7">
        <f>L1557*(1-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1557*(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7">
        <f>(1-Summary!$B$11)*T1557+Summary!$B$11*V1557</f>
        <v/>
      </c>
      <c r="P1557">
        <f>IF(B1589=0,0,O1557/B1589)</f>
        <v/>
      </c>
      <c r="Q1557" t="n">
        <v>0</v>
      </c>
      <c r="R1557" t="n">
        <v>0</v>
      </c>
      <c r="S1557">
        <f>IFERROR(O1557/N1557,0)</f>
        <v/>
      </c>
      <c r="T1557">
        <f>IF(C1557,(Skills!G4*H1557*N1557*B1583)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1557*(1-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1557*(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1557*(1-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1557*(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7">
        <f>290*U1556/1000</f>
        <v/>
      </c>
      <c r="V1557">
        <f>IF(C1557,(Skills!G4*H1557*N1557*B1583)*IF(Inputs!$B$38="pvp",1,(1+(Inputs!$B$21+Skills!Q4+(IF(ArtifactsInput!$M$33,CHOOSE(ArtifactsInput!$N$33+1,30,36,42,48,54,60),0))+(IF(AND(ArtifactsInput!$M$35,Inputs!$B$4&lt;&gt;"Chapter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8">
      <c r="A1558">
        <f>Skills!A5</f>
        <v/>
      </c>
      <c r="B1558">
        <f>Skills!B5</f>
        <v/>
      </c>
      <c r="C1558">
        <f>Inputs!$B$3&gt;=60</f>
        <v/>
      </c>
      <c r="D1558">
        <f>IF(Skills!C5=1,60+Inputs!$B$25+Inputs!$B$29,IF(Skills!C5=2,90+Inputs!$B$26+Inputs!$B$29,IF(Skills!C5=3,120+Inputs!$B$27+Inputs!$B$29,MAX(0,(Inputs!$B$3-100)*3)+Inputs!$B$28+Inputs!$B$29)))</f>
        <v/>
      </c>
      <c r="E1558">
        <f>INDEX(FactorTable!$B$2:$Y$301, MATCH(ROUND(MIN(300,MAX(1,D1558)),0), FactorTable!$A$2:$A$301,0), Skills!M5+1)</f>
        <v/>
      </c>
      <c r="F1558">
        <f>IF(Skills!N5=TRUE,(Skills!L5/10)*(E1558/1000),Skills!L5/10)+Skills!O5</f>
        <v/>
      </c>
      <c r="G1558">
        <f>Skills!G5*IF(Skills!H5&gt;0,Skills!I5/Skills!H5,1)</f>
        <v/>
      </c>
      <c r="H1558">
        <f>1-(1-Skills!J5/100)^Skills!K5</f>
        <v/>
      </c>
      <c r="I1558" t="inlineStr">
        <is>
          <t>1</t>
        </is>
      </c>
      <c r="J1558" t="inlineStr"/>
      <c r="K1558" t="inlineStr"/>
      <c r="L1558" t="inlineStr"/>
      <c r="M1558" t="inlineStr"/>
      <c r="N1558" t="inlineStr"/>
      <c r="O1558">
        <f>(1-Summary!$B$11)*T1558+Summary!$B$11*V1558</f>
        <v/>
      </c>
      <c r="P1558">
        <f>IF(B1589=0,0,O1558/B1589)</f>
        <v/>
      </c>
      <c r="Q1558" t="n">
        <v>0</v>
      </c>
      <c r="R1558" t="n">
        <v>0</v>
      </c>
      <c r="S1558">
        <f>IFERROR(O1558/N1558,0)</f>
        <v/>
      </c>
      <c r="T1558" t="n">
        <v>0</v>
      </c>
      <c r="V1558" t="n">
        <v>0</v>
      </c>
    </row>
    <row r="1559">
      <c r="A1559">
        <f>Skills!A6</f>
        <v/>
      </c>
      <c r="B1559">
        <f>Skills!B6</f>
        <v/>
      </c>
      <c r="C1559">
        <f>Inputs!$B$3&gt;=63</f>
        <v/>
      </c>
      <c r="D1559">
        <f>IF(Skills!C6=1,60+Inputs!$B$25+Inputs!$B$29,IF(Skills!C6=2,90+Inputs!$B$26+Inputs!$B$29,IF(Skills!C6=3,120+Inputs!$B$27+Inputs!$B$29,MAX(0,(Inputs!$B$3-100)*3)+Inputs!$B$28+Inputs!$B$29)))</f>
        <v/>
      </c>
      <c r="E1559">
        <f>INDEX(FactorTable!$B$2:$Y$301, MATCH(ROUND(MIN(300,MAX(1,D1559)),0), FactorTable!$A$2:$A$301,0), Skills!M6+1)</f>
        <v/>
      </c>
      <c r="F1559">
        <f>IF(Skills!N6=TRUE,(Skills!L6/10)*(E1559/1000),Skills!L6/10)+Skills!O6</f>
        <v/>
      </c>
      <c r="G1559">
        <f>Skills!G6*IF(Skills!H6&gt;0,Skills!I6/Skills!H6,1)</f>
        <v/>
      </c>
      <c r="H1559">
        <f>1-(1-Skills!J6/100)^Skills!K6</f>
        <v/>
      </c>
      <c r="I1559" t="inlineStr">
        <is>
          <t>1</t>
        </is>
      </c>
      <c r="J1559">
        <f>((Inputs!$B$6*(1+Inputs!$B$7/100))+(((Inputs!$B$12*(1+Inputs!$B$13/100))-(Inputs!$B$12*(1+Inputs!$B$13/100)))+0.25*(Inputs!$B$14-Inputs!$B$14))*(1+Inputs!$B$7/100))*(F1559/100)</f>
        <v/>
      </c>
      <c r="K1559">
        <f>J1559*(1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1565=TRUE,F1565,0)/100)*(1+(IF(Skills!A6="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1573=TRUE)*(F1573-Calc!F20)),(Inputs!$B$23+0+(IF(ArtifactsInput!$M$15,CHOOSE(ArtifactsInput!$N$15+1,25,30,35,40,45,50)/100*(Inputs!$B$11-Inputs!$B$11),0))))/100+(Inputs!$B$23+0+(IF(ArtifactsInput!$M$15,CHOOSE(ArtifactsInput!$N$15+1,25,30,35,40,45,50)/100*(Inputs!$B$11-Inputs!$B$11),0)))/100)/2</f>
        <v/>
      </c>
      <c r="M1559">
        <f>L1559*(1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IF(B1589=0,0,O1559/B1589)</f>
        <v/>
      </c>
      <c r="Q1559">
        <f>IFERROR(1/(IF(Inputs!$B$38="pvp",15,MAX(0.1,Skills!D6-IF(Skills!E6=TRUE,Inputs!$B$32,0)))*(1-IF(AND(ArtifactsInput!$M$27,Inputs!$B$4="Chapter Hunt"),CHOOSE(ArtifactsInput!$N$27+1,20,24,28,32,36,40),0)/100)),0)</f>
        <v/>
      </c>
      <c r="R1559">
        <f>IF(AND(Inputs!$B$38&lt;&gt;"pvp",Inputs!$B$43&gt;0),IF(MAX(0,Inputs!$B$43-B1586)&lt;=0,0,(INT(MAX(0,Inputs!$B$43-B1586)/(IF(Inputs!$B$38="pvp",15,MAX(0.1,Skills!D6-IF(Skills!E6=TRUE,Inputs!$B$32,0)))*(1-IF(AND(ArtifactsInput!$M$27,Inputs!$B$4="Chapter Hunt"),CHOOSE(ArtifactsInput!$N$27+1,20,24,28,32,36,40),0)/100)))+1)),0)</f>
        <v/>
      </c>
      <c r="S1559">
        <f>IFERROR(O1559/N1559,0)</f>
        <v/>
      </c>
      <c r="T1559">
        <f>IF(C1559,(H1559*N1559*IF(AND(Inputs!$B$38&lt;&gt;"pvp",Inputs!$B$43&gt;0),((Skills!G6*((R1559-1)*IF(Skills!H6&gt;0,Skills!I6/Skills!H6,1)+IF(Skills!H6&gt;0,MIN(Skills!I6,MAX(0,MAX(0,Inputs!$B$43-B1586)-((R1559-1)*(IF(Inputs!$B$38="pvp",15,MAX(0.1,Skills!D6-IF(Skills!E6=TRUE,Inputs!$B$32,0)))*(1-IF(AND(ArtifactsInput!$M$27,Inputs!$B$4="Chapter Hunt"),CHOOSE(ArtifactsInput!$N$27+1,20,24,28,32,36,40),0)/100)))))/Skills!H6,1)))/Inputs!$B$43),G1559*Q1559)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59">
        <f>IF(C1559,(H1559*N1559*IF(AND(Inputs!$B$38&lt;&gt;"pvp",Inputs!$B$43&gt;0),((Skills!G6*((R1559-1)*IF(Skills!H6&gt;0,Skills!I6/Skills!H6,1)+IF(Skills!H6&gt;0,MIN(Skills!I6,MAX(0,MAX(0,Inputs!$B$43-B1586)-((R1559-1)*(IF(Inputs!$B$38="pvp",15,MAX(0.1,Skills!D6-IF(Skills!E6=TRUE,Inputs!$B$32,0)))*(1-IF(AND(ArtifactsInput!$M$27,Inputs!$B$4="Chapter Hunt"),CHOOSE(ArtifactsInput!$N$27+1,20,24,28,32,36,40),0)/100)))))/Skills!H6,1)))/Inputs!$B$43),G1559*Q1559))*IF(Inputs!$B$38="pvp",1,(1+(Inputs!$B$21+Skills!Q6+(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Skills!A7</f>
        <v/>
      </c>
      <c r="B1560">
        <f>Skills!B7</f>
        <v/>
      </c>
      <c r="C1560">
        <f>Inputs!$B$3&gt;=100</f>
        <v/>
      </c>
      <c r="D1560">
        <f>IF(Skills!C7=1,60+Inputs!$B$25+Inputs!$B$29,IF(Skills!C7=2,90+Inputs!$B$26+Inputs!$B$29,IF(Skills!C7=3,120+Inputs!$B$27+Inputs!$B$29,MAX(0,(Inputs!$B$3-100)*3)+Inputs!$B$28+Inputs!$B$29)))</f>
        <v/>
      </c>
      <c r="E1560">
        <f>INDEX(FactorTable!$B$2:$Y$301, MATCH(ROUND(MIN(300,MAX(1,D1560)),0), FactorTable!$A$2:$A$301,0), Skills!M7+1)</f>
        <v/>
      </c>
      <c r="F1560">
        <f>IF(Skills!N7=TRUE,(Skills!L7/10)*(E1560/1000),Skills!L7/10)+Skills!O7</f>
        <v/>
      </c>
      <c r="G1560">
        <f>Skills!G7*IF(Skills!H7&gt;0,Skills!I7/Skills!H7,1)</f>
        <v/>
      </c>
      <c r="H1560">
        <f>1-(1-Skills!J7/100)^Skills!K7</f>
        <v/>
      </c>
      <c r="I1560" t="inlineStr">
        <is>
          <t>1</t>
        </is>
      </c>
      <c r="J1560">
        <f>((Inputs!$B$6*(1+Inputs!$B$7/100))+(((Inputs!$B$12*(1+Inputs!$B$13/100))-(Inputs!$B$12*(1+Inputs!$B$13/100)))+0.25*(Inputs!$B$14-Inputs!$B$14))*(1+Inputs!$B$7/100))*(F1560/100)</f>
        <v/>
      </c>
      <c r="K1560">
        <f>J1560*(1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1573=TRUE)*(F1573-Calc!F20)),(Inputs!$B$23+0+(IF(ArtifactsInput!$M$15,CHOOSE(ArtifactsInput!$N$15+1,25,30,35,40,45,50)/100*(Inputs!$B$11-Inputs!$B$11),0))))/100+(Inputs!$B$23+0+(IF(ArtifactsInput!$M$15,CHOOSE(ArtifactsInput!$N$15+1,25,30,35,40,45,50)/100*(Inputs!$B$11-Inputs!$B$11),0)))/100)/2</f>
        <v/>
      </c>
      <c r="M1560">
        <f>L1560*(1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IF(B1589=0,0,O1560/B1589)</f>
        <v/>
      </c>
      <c r="Q1560">
        <f>IFERROR(1/(IF(Inputs!$B$38="pvp",15,MAX(0.1,Skills!D7-IF(Skills!E7=TRUE,Inputs!$B$32,0)))*(1-IF(AND(ArtifactsInput!$M$27,Inputs!$B$4="Chapter Hunt"),CHOOSE(ArtifactsInput!$N$27+1,20,24,28,32,36,40),0)/100)),0)</f>
        <v/>
      </c>
      <c r="R1560">
        <f>IF(AND(Inputs!$B$38&lt;&gt;"pvp",Inputs!$B$43&gt;0),IF(MAX(0,Inputs!$B$43-B1586)&lt;=0,0,(INT(MAX(0,Inputs!$B$43-B1586)/(IF(Inputs!$B$38="pvp",15,MAX(0.1,Skills!D7-IF(Skills!E7=TRUE,Inputs!$B$32,0)))*(1-IF(AND(ArtifactsInput!$M$27,Inputs!$B$4="Chapter Hunt"),CHOOSE(ArtifactsInput!$N$27+1,20,24,28,32,36,40),0)/100)))+1)),0)</f>
        <v/>
      </c>
      <c r="S1560">
        <f>IFERROR(O1560/N1560,0)</f>
        <v/>
      </c>
      <c r="T1560">
        <f>IF(C1560,(H1560*N1560*IF(AND(Inputs!$B$38&lt;&gt;"pvp",Inputs!$B$43&gt;0),((Skills!G7*((R1560-1)*IF(Skills!H7&gt;0,Skills!I7/Skills!H7,1)+IF(Skills!H7&gt;0,MIN(Skills!I7,MAX(0,MAX(0,Inputs!$B$43-B1586)-((R1560-1)*(IF(Inputs!$B$38="pvp",15,MAX(0.1,Skills!D7-IF(Skills!E7=TRUE,Inputs!$B$32,0)))*(1-IF(AND(ArtifactsInput!$M$27,Inputs!$B$4="Chapter Hunt"),CHOOSE(ArtifactsInput!$N$27+1,20,24,28,32,36,40),0)/100)))))/Skills!H7,1)))/Inputs!$B$43),G1560*Q1560)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0">
        <f>IF(C1560,(H1560*N1560*IF(AND(Inputs!$B$38&lt;&gt;"pvp",Inputs!$B$43&gt;0),((Skills!G7*((R1560-1)*IF(Skills!H7&gt;0,Skills!I7/Skills!H7,1)+IF(Skills!H7&gt;0,MIN(Skills!I7,MAX(0,MAX(0,Inputs!$B$43-B1586)-((R1560-1)*(IF(Inputs!$B$38="pvp",15,MAX(0.1,Skills!D7-IF(Skills!E7=TRUE,Inputs!$B$32,0)))*(1-IF(AND(ArtifactsInput!$M$27,Inputs!$B$4="Chapter Hunt"),CHOOSE(ArtifactsInput!$N$27+1,20,24,28,32,36,40),0)/100)))))/Skills!H7,1)))/Inputs!$B$43),G1560*Q1560))*IF(Inputs!$B$38="pvp",1,(1+(Inputs!$B$21+Skills!Q7+(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Skills!A8</f>
        <v/>
      </c>
      <c r="B1561">
        <f>Skills!B8</f>
        <v/>
      </c>
      <c r="C1561">
        <f>Inputs!$B$3&gt;=110</f>
        <v/>
      </c>
      <c r="D1561">
        <f>IF(Skills!C8=1,60+Inputs!$B$25+Inputs!$B$29,IF(Skills!C8=2,90+Inputs!$B$26+Inputs!$B$29,IF(Skills!C8=3,120+Inputs!$B$27+Inputs!$B$29,MAX(0,(Inputs!$B$3-100)*3)+Inputs!$B$28+Inputs!$B$29)))</f>
        <v/>
      </c>
      <c r="E1561">
        <f>INDEX(FactorTable!$B$2:$Y$301, MATCH(ROUND(MIN(300,MAX(1,D1561)),0), FactorTable!$A$2:$A$301,0), Skills!M8+1)</f>
        <v/>
      </c>
      <c r="F1561">
        <f>IF(Skills!N8=TRUE,(Skills!L8/10)*(E1561/1000),Skills!L8/10)+Skills!O8</f>
        <v/>
      </c>
      <c r="G1561">
        <f>Skills!G8*IF(Skills!H8&gt;0,Skills!I8/Skills!H8,1)</f>
        <v/>
      </c>
      <c r="H1561">
        <f>1-(1-Skills!J8/100)^Skills!K8</f>
        <v/>
      </c>
      <c r="I1561" t="inlineStr">
        <is>
          <t>1</t>
        </is>
      </c>
      <c r="J1561">
        <f>((Inputs!$B$6*(1+Inputs!$B$7/100))+(((Inputs!$B$12*(1+Inputs!$B$13/100))-(Inputs!$B$12*(1+Inputs!$B$13/100)))+0.25*(Inputs!$B$14-Inputs!$B$14))*(1+Inputs!$B$7/100))*(F1561/100)</f>
        <v/>
      </c>
      <c r="K1561">
        <f>J1561*(1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1561)</f>
        <v/>
      </c>
      <c r="L1561">
        <f>K1561*(MIN(Inputs!$B$22+((C1573=TRUE)*(F1573-Calc!F20)),(Inputs!$B$23+0+(IF(ArtifactsInput!$M$15,CHOOSE(ArtifactsInput!$N$15+1,25,30,35,40,45,50)/100*(Inputs!$B$11-Inputs!$B$11),0))))/100+(Inputs!$B$23+0+(IF(ArtifactsInput!$M$15,CHOOSE(ArtifactsInput!$N$15+1,25,30,35,40,45,50)/100*(Inputs!$B$11-Inputs!$B$11),0)))/100)/2</f>
        <v/>
      </c>
      <c r="M1561">
        <f>L1561*(1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1">
        <f>L1561*(1-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1">
        <f>(1-Summary!$B$11)*T1561+Summary!$B$11*V1561</f>
        <v/>
      </c>
      <c r="P1561">
        <f>IF(B1589=0,0,O1561/B1589)</f>
        <v/>
      </c>
      <c r="Q1561">
        <f>IFERROR(1/(IF(Inputs!$B$38="pvp",15,MAX(0.1,Skills!D8-IF(Skills!E8=TRUE,Inputs!$B$32,0)))*(1-IF(AND(ArtifactsInput!$M$27,Inputs!$B$4="Chapter Hunt"),CHOOSE(ArtifactsInput!$N$27+1,20,24,28,32,36,40),0)/100)),0)</f>
        <v/>
      </c>
      <c r="R1561">
        <f>IF(AND(Inputs!$B$38&lt;&gt;"pvp",Inputs!$B$43&gt;0),IF(MAX(0,Inputs!$B$43-B1586)&lt;=0,0,(INT(MAX(0,Inputs!$B$43-B1586)/(IF(Inputs!$B$38="pvp",15,MAX(0.1,Skills!D8-IF(Skills!E8=TRUE,Inputs!$B$32,0)))*(1-IF(AND(ArtifactsInput!$M$27,Inputs!$B$4="Chapter Hunt"),CHOOSE(ArtifactsInput!$N$27+1,20,24,28,32,36,40),0)/100)))+1)),0)</f>
        <v/>
      </c>
      <c r="S1561">
        <f>IFERROR(O1561/N1561,0)</f>
        <v/>
      </c>
      <c r="T1561">
        <f>IF(C1561,(H1561*N1561*IF(AND(Inputs!$B$38&lt;&gt;"pvp",Inputs!$B$43&gt;0),((Skills!G8*((R1561-1)*IF(Skills!H8&gt;0,Skills!I8/Skills!H8,1)+IF(Skills!H8&gt;0,MIN(Skills!I8,MAX(0,MAX(0,Inputs!$B$43-B1586)-((R1561-1)*(IF(Inputs!$B$38="pvp",15,MAX(0.1,Skills!D8-IF(Skills!E8=TRUE,Inputs!$B$32,0)))*(1-IF(AND(ArtifactsInput!$M$27,Inputs!$B$4="Chapter Hunt"),CHOOSE(ArtifactsInput!$N$27+1,20,24,28,32,36,40),0)/100)))))/Skills!H8,1)))/Inputs!$B$43),G1561*Q1561)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1561*(1-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1561*(1-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1">
        <f>IF(C1561,(H1561*N1561*IF(AND(Inputs!$B$38&lt;&gt;"pvp",Inputs!$B$43&gt;0),((Skills!G8*((R1561-1)*IF(Skills!H8&gt;0,Skills!I8/Skills!H8,1)+IF(Skills!H8&gt;0,MIN(Skills!I8,MAX(0,MAX(0,Inputs!$B$43-B1586)-((R1561-1)*(IF(Inputs!$B$38="pvp",15,MAX(0.1,Skills!D8-IF(Skills!E8=TRUE,Inputs!$B$32,0)))*(1-IF(AND(ArtifactsInput!$M$27,Inputs!$B$4="Chapter Hunt"),CHOOSE(ArtifactsInput!$N$27+1,20,24,28,32,36,40),0)/100)))))/Skills!H8,1)))/Inputs!$B$43),G1561*Q1561))*IF(Inputs!$B$38="pvp",1,(1+(Inputs!$B$21+Skills!Q8+(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2">
      <c r="A1562">
        <f>Skills!A9</f>
        <v/>
      </c>
      <c r="B1562">
        <f>Skills!B9</f>
        <v/>
      </c>
      <c r="C1562">
        <f>Inputs!$B$3&gt;=110</f>
        <v/>
      </c>
      <c r="D1562">
        <f>IF(Skills!C9=1,60+Inputs!$B$25+Inputs!$B$29,IF(Skills!C9=2,90+Inputs!$B$26+Inputs!$B$29,IF(Skills!C9=3,120+Inputs!$B$27+Inputs!$B$29,MAX(0,(Inputs!$B$3-100)*3)+Inputs!$B$28+Inputs!$B$29)))</f>
        <v/>
      </c>
      <c r="E1562">
        <f>INDEX(FactorTable!$B$2:$Y$301, MATCH(ROUND(MIN(300,MAX(1,D1562)),0), FactorTable!$A$2:$A$301,0), Skills!M9+1)</f>
        <v/>
      </c>
      <c r="F1562">
        <f>IF(Skills!N9=TRUE,(Skills!L9/10)*(E1562/1000),Skills!L9/10)+Skills!O9</f>
        <v/>
      </c>
      <c r="G1562">
        <f>Skills!G9*IF(Skills!H9&gt;0,Skills!I9/Skills!H9,1)</f>
        <v/>
      </c>
      <c r="H1562">
        <f>1-(1-Skills!J9/100)^Skills!K9</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1573=TRUE)*(F1573-Calc!F20)),(Inputs!$B$23+0+(IF(ArtifactsInput!$M$15,CHOOSE(ArtifactsInput!$N$15+1,25,30,35,40,45,50)/100*(Inputs!$B$11-Inputs!$B$11),0))))/100+(Inputs!$B$23+0+(IF(ArtifactsInput!$M$15,CHOOSE(ArtifactsInput!$N$15+1,25,30,35,40,45,50)/100*(Inputs!$B$11-Inputs!$B$11),0)))/100)/2</f>
        <v/>
      </c>
      <c r="M1562">
        <f>L1562*(1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IF(B1589=0,0,O1562/B1589)</f>
        <v/>
      </c>
      <c r="Q1562">
        <f>IFERROR(1/(IF(Inputs!$B$38="pvp",15,MAX(0.1,Skills!D9-IF(Skills!E9=TRUE,Inputs!$B$32,0)))*(1-IF(AND(ArtifactsInput!$M$27,Inputs!$B$4="Chapter Hunt"),CHOOSE(ArtifactsInput!$N$27+1,20,24,28,32,36,40),0)/100)),0)</f>
        <v/>
      </c>
      <c r="R1562">
        <f>IF(AND(Inputs!$B$38&lt;&gt;"pvp",Inputs!$B$43&gt;0),IF(MAX(0,Inputs!$B$43-B1586)&lt;=0,0,(INT(MAX(0,Inputs!$B$43-B1586)/(IF(Inputs!$B$38="pvp",15,MAX(0.1,Skills!D9-IF(Skills!E9=TRUE,Inputs!$B$32,0)))*(1-IF(AND(ArtifactsInput!$M$27,Inputs!$B$4="Chapter Hunt"),CHOOSE(ArtifactsInput!$N$27+1,20,24,28,32,36,40),0)/100)))+1)),0)</f>
        <v/>
      </c>
      <c r="S1562">
        <f>IFERROR(O1562/N1562,0)</f>
        <v/>
      </c>
      <c r="T1562">
        <f>IF(C1562,(H1562*N1562*IF(AND(Inputs!$B$38&lt;&gt;"pvp",Inputs!$B$43&gt;0),((Skills!G9*((R1562-1)*IF(Skills!H9&gt;0,Skills!I9/Skills!H9,1)+IF(Skills!H9&gt;0,MIN(Skills!I9,MAX(0,MAX(0,Inputs!$B$43-B1586)-((R1562-1)*(IF(Inputs!$B$38="pvp",15,MAX(0.1,Skills!D9-IF(Skills!E9=TRUE,Inputs!$B$32,0)))*(1-IF(AND(ArtifactsInput!$M$27,Inputs!$B$4="Chapter Hunt"),CHOOSE(ArtifactsInput!$N$27+1,20,24,28,32,36,40),0)/100)))))/Skills!H9,1)))/Inputs!$B$43),G1562*Q1562)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9*((R1562-1)*IF(Skills!H9&gt;0,Skills!I9/Skills!H9,1)+IF(Skills!H9&gt;0,MIN(Skills!I9,MAX(0,MAX(0,Inputs!$B$43-B1586)-((R1562-1)*(IF(Inputs!$B$38="pvp",15,MAX(0.1,Skills!D9-IF(Skills!E9=TRUE,Inputs!$B$32,0)))*(1-IF(AND(ArtifactsInput!$M$27,Inputs!$B$4="Chapter Hunt"),CHOOSE(ArtifactsInput!$N$27+1,20,24,28,32,36,40),0)/100)))))/Skills!H9,1)))/Inputs!$B$43),G1562*Q1562))*IF(Inputs!$B$38="pvp",1,(1+(Inputs!$B$21+Skills!Q9+(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Skills!A10</f>
        <v/>
      </c>
      <c r="B1563">
        <f>Skills!B10</f>
        <v/>
      </c>
      <c r="C1563">
        <f>Inputs!$B$3&gt;=103</f>
        <v/>
      </c>
      <c r="D1563">
        <f>IF(Skills!C10=1,60+Inputs!$B$25+Inputs!$B$29,IF(Skills!C10=2,90+Inputs!$B$26+Inputs!$B$29,IF(Skills!C10=3,120+Inputs!$B$27+Inputs!$B$29,MAX(0,(Inputs!$B$3-100)*3)+Inputs!$B$28+Inputs!$B$29)))</f>
        <v/>
      </c>
      <c r="E1563">
        <f>INDEX(FactorTable!$B$2:$Y$301, MATCH(ROUND(MIN(300,MAX(1,D1563)),0), FactorTable!$A$2:$A$301,0), Skills!M10+1)</f>
        <v/>
      </c>
      <c r="F1563">
        <f>IF(Skills!N10=TRUE,(Skills!L10/10)*(E1563/1000),Skills!L10/10)+Skills!O10</f>
        <v/>
      </c>
      <c r="G1563">
        <f>Skills!G10*IF(Skills!H10&gt;0,Skills!I10/Skills!H10,1)</f>
        <v/>
      </c>
      <c r="H1563">
        <f>1-(1-Skills!J10/100)^Skills!K10</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1573=TRUE)*(F1573-Calc!F20)),(Inputs!$B$23+0+(IF(ArtifactsInput!$M$15,CHOOSE(ArtifactsInput!$N$15+1,25,30,35,40,45,50)/100*(Inputs!$B$11-Inputs!$B$11),0))))/100+(Inputs!$B$23+0+(IF(ArtifactsInput!$M$15,CHOOSE(ArtifactsInput!$N$15+1,25,30,35,40,45,50)/100*(Inputs!$B$11-Inputs!$B$11),0)))/100)/2</f>
        <v/>
      </c>
      <c r="M1563">
        <f>L1563*(1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IF(B1589=0,0,O1563/B1589)</f>
        <v/>
      </c>
      <c r="Q1563">
        <f>IFERROR(1/(IF(Inputs!$B$38="pvp",15,MAX(0.1,Skills!D10-IF(Skills!E10=TRUE,Inputs!$B$32,0)))*(1-IF(AND(ArtifactsInput!$M$27,Inputs!$B$4="Chapter Hunt"),CHOOSE(ArtifactsInput!$N$27+1,20,24,28,32,36,40),0)/100)),0)</f>
        <v/>
      </c>
      <c r="R1563">
        <f>IF(AND(Inputs!$B$38&lt;&gt;"pvp",Inputs!$B$43&gt;0),IF(MAX(0,Inputs!$B$43-B1586)&lt;=0,0,(INT(MAX(0,Inputs!$B$43-B1586)/(IF(Inputs!$B$38="pvp",15,MAX(0.1,Skills!D10-IF(Skills!E10=TRUE,Inputs!$B$32,0)))*(1-IF(AND(ArtifactsInput!$M$27,Inputs!$B$4="Chapter Hunt"),CHOOSE(ArtifactsInput!$N$27+1,20,24,28,32,36,40),0)/100)))+1)),0)</f>
        <v/>
      </c>
      <c r="S1563">
        <f>IFERROR(O1563/N1563,0)</f>
        <v/>
      </c>
      <c r="T1563">
        <f>IF(C1563,(H1563*N1563*IF(AND(Inputs!$B$38&lt;&gt;"pvp",Inputs!$B$43&gt;0),((Skills!G10*((R1563-1)*IF(Skills!H10&gt;0,Skills!I10/Skills!H10,1)+IF(Skills!H10&gt;0,MIN(Skills!I10,MAX(0,MAX(0,Inputs!$B$43-B1586)-((R1563-1)*(IF(Inputs!$B$38="pvp",15,MAX(0.1,Skills!D10-IF(Skills!E10=TRUE,Inputs!$B$32,0)))*(1-IF(AND(ArtifactsInput!$M$27,Inputs!$B$4="Chapter Hunt"),CHOOSE(ArtifactsInput!$N$27+1,20,24,28,32,36,40),0)/100)))))/Skills!H10,1)))/Inputs!$B$43),G1563*Q1563)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10*((R1563-1)*IF(Skills!H10&gt;0,Skills!I10/Skills!H10,1)+IF(Skills!H10&gt;0,MIN(Skills!I10,MAX(0,MAX(0,Inputs!$B$43-B1586)-((R1563-1)*(IF(Inputs!$B$38="pvp",15,MAX(0.1,Skills!D10-IF(Skills!E10=TRUE,Inputs!$B$32,0)))*(1-IF(AND(ArtifactsInput!$M$27,Inputs!$B$4="Chapter Hunt"),CHOOSE(ArtifactsInput!$N$27+1,20,24,28,32,36,40),0)/100)))))/Skills!H10,1)))/Inputs!$B$43),G1563*Q1563))*IF(Inputs!$B$38="pvp",1,(1+(Inputs!$B$21+Skills!Q10+(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Skills!A11</f>
        <v/>
      </c>
      <c r="B1564">
        <f>Skills!B11</f>
        <v/>
      </c>
      <c r="C1564">
        <f>Inputs!$B$3&gt;=113</f>
        <v/>
      </c>
      <c r="D1564">
        <f>IF(Skills!C11=1,60+Inputs!$B$25+Inputs!$B$29,IF(Skills!C11=2,90+Inputs!$B$26+Inputs!$B$29,IF(Skills!C11=3,120+Inputs!$B$27+Inputs!$B$29,MAX(0,(Inputs!$B$3-100)*3)+Inputs!$B$28+Inputs!$B$29)))</f>
        <v/>
      </c>
      <c r="E1564">
        <f>INDEX(FactorTable!$B$2:$Y$301, MATCH(ROUND(MIN(300,MAX(1,D1564)),0), FactorTable!$A$2:$A$301,0), Skills!M11+1)</f>
        <v/>
      </c>
      <c r="F1564">
        <f>IF(Skills!N11=TRUE,(Skills!L11/10)*(E1564/1000),Skills!L11/10)+Skills!O11</f>
        <v/>
      </c>
      <c r="G1564">
        <f>Skills!G11*IF(Skills!H11&gt;0,Skills!I11/Skills!H11,1)</f>
        <v/>
      </c>
      <c r="H1564">
        <f>1-(1-Skills!J11/100)^Skills!K11</f>
        <v/>
      </c>
      <c r="I1564" t="inlineStr">
        <is>
          <t>1</t>
        </is>
      </c>
      <c r="J1564">
        <f>((Inputs!$B$6*(1+Inputs!$B$7/100))+(((Inputs!$B$12*(1+Inputs!$B$13/100))-(Inputs!$B$12*(1+Inputs!$B$13/100)))+0.25*(Inputs!$B$14-Inputs!$B$14))*(1+Inputs!$B$7/100))*(F1564/100)</f>
        <v/>
      </c>
      <c r="K1564">
        <f>J1564*(1+((Inputs!$B$12*(1+Inputs!$B$13/100))*0.01+Inputs!$B$14*0.0025)/100)*(1+Inputs!$B$15/100)*(1+Inputs!$B$16/100)*(5000/(6000+Inputs!$B$42*(1-(100*(1-(1-(Inputs!$B$19+0)/100)*(1-CHOOSE(ArtifactsInput!$N$40+1,5,6,7,8,9,10)/100)^(ArtifactsInput!$M$40-ArtifactsInput!$M$40)))/100)))*(1+(Inputs!$B$24+((C1575=TRUE)*(F1575-Calc!F22))+B1585)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1574=TRUE)*(F1574-Calc!F21))+(((IF(AND(ArtifactsInput!$M$42,((Inputs!$B$9+((C1569=TRUE)*(F1569-Calc!F16))+B1579+(ArtifactsInput!$M$24-ArtifactsInput!$M$24)*CHOOSE(ArtifactsInput!$N$24+1,10,12,14,16,18,20)+IF(ArtifactsInput!$M$10,CHOOSE(ArtifactsInput!$N$10+1,15,18,21,24,27,30)*(IF(Inputs!$B$38="pvp",MIN(15,15)/15,IF(AND(Inputs!$B$38&lt;&gt;"pvp",Inputs!$B$43&gt;0),MIN(15,Inputs!$B$43)/(Inputs!$B$43),0))),0)))&gt;=100),MIN(100,((Inputs!$B$9+((C1569=TRUE)*(F1569-Calc!F16))+B1579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1569=TRUE)*(F1569-Calc!F16))+B1579+(ArtifactsInput!$M$24-ArtifactsInput!$M$24)*CHOOSE(ArtifactsInput!$N$24+1,10,12,14,16,18,20)+IF(ArtifactsInput!$M$10,CHOOSE(ArtifactsInput!$N$10+1,15,18,21,24,27,30)*(IF(Inputs!$B$38="pvp",MIN(15,15)/15,IF(AND(Inputs!$B$38&lt;&gt;"pvp",Inputs!$B$43&gt;0),MIN(15,Inputs!$B$43)/(Inputs!$B$43),0))),0)))&gt;=100),CHOOSE(ArtifactsInput!$N$42+1,40,48,56,64,72,80),0))))/100)*((1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C1573=TRUE)*(F1573-Calc!F20)),(Inputs!$B$23+0+(IF(ArtifactsInput!$M$15,CHOOSE(ArtifactsInput!$N$15+1,25,30,35,40,45,50)/100*(Inputs!$B$11-Inputs!$B$11),0))))/100+(Inputs!$B$23+0+(IF(ArtifactsInput!$M$15,CHOOSE(ArtifactsInput!$N$15+1,25,30,35,40,45,50)/100*(Inputs!$B$11-Inputs!$B$11),0)))/100)/2</f>
        <v/>
      </c>
      <c r="M1564">
        <f>L1564*(1+(Inputs!$B$10+0+B1584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(1-Summary!$B$11)*T1564+Summary!$B$11*V1564</f>
        <v/>
      </c>
      <c r="P1564">
        <f>IF(B1589=0,0,O1564/B1589)</f>
        <v/>
      </c>
      <c r="Q1564">
        <f>IFERROR(1/(IF(Inputs!$B$38="pvp",15,MAX(0.1,Skills!D11-IF(Skills!E11=TRUE,Inputs!$B$32,0)))*(1-IF(AND(ArtifactsInput!$M$27,Inputs!$B$4="Chapter Hunt"),CHOOSE(ArtifactsInput!$N$27+1,20,24,28,32,36,40),0)/100)),0)</f>
        <v/>
      </c>
      <c r="R1564">
        <f>IF(AND(Inputs!$B$38&lt;&gt;"pvp",Inputs!$B$43&gt;0),IF(MAX(0,Inputs!$B$43-B1586)&lt;=0,0,(INT(MAX(0,Inputs!$B$43-B1586)/(IF(Inputs!$B$38="pvp",15,MAX(0.1,Skills!D11-IF(Skills!E11=TRUE,Inputs!$B$32,0)))*(1-IF(AND(ArtifactsInput!$M$27,Inputs!$B$4="Chapter Hunt"),CHOOSE(ArtifactsInput!$N$27+1,20,24,28,32,36,40),0)/100)))+1)),0)</f>
        <v/>
      </c>
      <c r="S1564">
        <f>IFERROR(O1564/N1564,0)</f>
        <v/>
      </c>
      <c r="T1564">
        <f>IF(C1564,(H1564*N1564*IF(AND(Inputs!$B$38&lt;&gt;"pvp",Inputs!$B$43&gt;0),((Skills!G11*((R1564-1)*IF(Skills!H11&gt;0,Skills!I11/Skills!H11,1)+IF(Skills!H11&gt;0,MIN(Skills!I11,MAX(0,MAX(0,Inputs!$B$43-B1586)-((R1564-1)*(IF(Inputs!$B$38="pvp",15,MAX(0.1,Skills!D11-IF(Skills!E11=TRUE,Inputs!$B$32,0)))*(1-IF(AND(ArtifactsInput!$M$27,Inputs!$B$4="Chapter Hunt"),CHOOSE(ArtifactsInput!$N$27+1,20,24,28,32,36,40),0)/100)))))/Skills!H11,1)))/Inputs!$B$43),G1564*Q1564)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1564*(1-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C1569=TRUE)*(F1569-Calc!F16))+B1579+(ArtifactsInput!$M$24-ArtifactsInput!$M$24)*CHOOSE(ArtifactsInput!$N$24+1,10,12,14,16,18,20)+(IF(AND(ArtifactsInput!$M$42,((Inputs!$B$9+((C1569=TRUE)*(F1569-Calc!F16))+B1579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4">
        <f>IF(C1564,(H1564*N1564*IF(AND(Inputs!$B$38&lt;&gt;"pvp",Inputs!$B$43&gt;0),((Skills!G11*((R1564-1)*IF(Skills!H11&gt;0,Skills!I11/Skills!H11,1)+IF(Skills!H11&gt;0,MIN(Skills!I11,MAX(0,MAX(0,Inputs!$B$43-B1586)-((R1564-1)*(IF(Inputs!$B$38="pvp",15,MAX(0.1,Skills!D11-IF(Skills!E11=TRUE,Inputs!$B$32,0)))*(1-IF(AND(ArtifactsInput!$M$27,Inputs!$B$4="Chapter Hunt"),CHOOSE(ArtifactsInput!$N$27+1,20,24,28,32,36,40),0)/100)))))/Skills!H11,1)))/Inputs!$B$43),G1564*Q1564))*IF(Inputs!$B$38="pvp",1,(1+(Inputs!$B$21+Skills!Q11+(IF(ArtifactsInput!$M$33,CHOOSE(ArtifactsInput!$N$33+1,30,36,42,48,54,60),0))+(IF(AND(ArtifactsInput!$M$35,Inputs!$B$4&lt;&gt;"Chapter Hunt"),CHOOSE(ArtifactsInput!$N$35+1,15,18,21,24,27,30)*(1-EXP(-(0.2*B1581)*5)),0)+IF(AND(ArtifactsInput!$M$22,Inputs!$B$4&lt;&gt;"Chapter Hunt"),CHOOSE(ArtifactsInput!$N$22+1,10,12,14,16,18,20)*((0*(((0.15*B1581*5))^0/1)+1*(((0.15*B1581*5))^1/1)+2*(((0.15*B1581*5))^2/2)+3*(((0.15*B1581*5))^3/6)+4*(((0.15*B1581*5))^4/24)+5*(((0.15*B1581*5))^5/120))/((((0.15*B1581*5))^0/1)+(((0.15*B1581*5))^1/1)+(((0.15*B1581*5))^2/2)+(((0.15*B1581*5))^3/6)+(((0.15*B1581*5))^4/24)+(((0.15*B1581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Skills!A12</f>
        <v/>
      </c>
      <c r="B1565">
        <f>Skills!B12</f>
        <v/>
      </c>
      <c r="C1565">
        <f>Inputs!$B$3&gt;=100</f>
        <v/>
      </c>
      <c r="D1565">
        <f>IF(Skills!C12=1,60+Inputs!$B$25+Inputs!$B$29,IF(Skills!C12=2,90+Inputs!$B$26+Inputs!$B$29,IF(Skills!C12=3,120+Inputs!$B$27+Inputs!$B$29,MAX(0,(Inputs!$B$3-100)*3)+Inputs!$B$28+Inputs!$B$29)))</f>
        <v/>
      </c>
      <c r="E1565">
        <f>INDEX(FactorTable!$B$2:$Y$301, MATCH(ROUND(MIN(300,MAX(1,D1565)),0), FactorTable!$A$2:$A$301,0), Skills!M12+1)</f>
        <v/>
      </c>
      <c r="F1565">
        <f>IF(Skills!N12=TRUE,(Skills!L12/10)*(E1565/1000),Skills!L12/10)+Skills!O12</f>
        <v/>
      </c>
      <c r="G1565" t="inlineStr"/>
      <c r="H1565" t="inlineStr"/>
      <c r="I1565" t="inlineStr">
        <is>
          <t>1</t>
        </is>
      </c>
      <c r="J1565" t="inlineStr"/>
      <c r="K1565" t="inlineStr"/>
      <c r="L1565" t="inlineStr"/>
      <c r="M1565" t="inlineStr"/>
      <c r="N1565" t="inlineStr"/>
      <c r="O1565" t="inlineStr"/>
      <c r="P1565" t="inlineStr"/>
      <c r="Q1565" t="inlineStr"/>
      <c r="R1565" t="inlineStr"/>
      <c r="S1565" t="inlineStr"/>
      <c r="T1565" t="inlineStr"/>
      <c r="V1565" t="inlineStr"/>
    </row>
    <row r="1566">
      <c r="A1566">
        <f>Skills!A13</f>
        <v/>
      </c>
      <c r="B1566">
        <f>Skills!B13</f>
        <v/>
      </c>
      <c r="C1566">
        <f>Inputs!$B$3&gt;=66</f>
        <v/>
      </c>
      <c r="D1566">
        <f>IF(Skills!C13=1,60+Inputs!$B$25+Inputs!$B$29,IF(Skills!C13=2,90+Inputs!$B$26+Inputs!$B$29,IF(Skills!C13=3,120+Inputs!$B$27+Inputs!$B$29,MAX(0,(Inputs!$B$3-100)*3)+Inputs!$B$28+Inputs!$B$29)))</f>
        <v/>
      </c>
      <c r="E1566">
        <f>INDEX(FactorTable!$B$2:$Y$301, MATCH(ROUND(MIN(300,MAX(1,D1566)),0), FactorTable!$A$2:$A$301,0), Skills!M13+1)</f>
        <v/>
      </c>
      <c r="F1566">
        <f>IF(Skills!N13=TRUE,(Skills!L13/10)*(E1566/1000),Skills!L13/10)+Skills!O13</f>
        <v/>
      </c>
      <c r="G1566">
        <f>Skills!G13*IF(Skills!H13&gt;0,Skills!I13/Skills!H13,1)</f>
        <v/>
      </c>
      <c r="H1566">
        <f>1-(1-Skills!J13/100)^Skills!K13</f>
        <v/>
      </c>
      <c r="I1566" t="inlineStr">
        <is>
          <t>1</t>
        </is>
      </c>
      <c r="J1566" t="inlineStr"/>
      <c r="K1566" t="inlineStr"/>
      <c r="L1566" t="inlineStr"/>
      <c r="M1566" t="inlineStr"/>
      <c r="N1566" t="inlineStr"/>
      <c r="O1566">
        <f>(1-Summary!$B$11)*T1566+Summary!$B$11*V1566</f>
        <v/>
      </c>
      <c r="P1566">
        <f>IF(B1589=0,0,O1566/B1589)</f>
        <v/>
      </c>
      <c r="Q1566" t="n">
        <v>0</v>
      </c>
      <c r="R1566" t="n">
        <v>0</v>
      </c>
      <c r="S1566">
        <f>IFERROR(O1566/N1566,0)</f>
        <v/>
      </c>
      <c r="T1566" t="n">
        <v>0</v>
      </c>
      <c r="V1566" t="n">
        <v>0</v>
      </c>
    </row>
    <row r="1567">
      <c r="A1567">
        <f>Skills!A14</f>
        <v/>
      </c>
      <c r="B1567">
        <f>Skills!B14</f>
        <v/>
      </c>
      <c r="C1567">
        <f>Inputs!$B$3&gt;=107</f>
        <v/>
      </c>
      <c r="D1567">
        <f>IF(Skills!C14=1,60+Inputs!$B$25+Inputs!$B$29,IF(Skills!C14=2,90+Inputs!$B$26+Inputs!$B$29,IF(Skills!C14=3,120+Inputs!$B$27+Inputs!$B$29,MAX(0,(Inputs!$B$3-100)*3)+Inputs!$B$28+Inputs!$B$29)))</f>
        <v/>
      </c>
      <c r="E1567">
        <f>INDEX(FactorTable!$B$2:$Y$301, MATCH(ROUND(MIN(300,MAX(1,D1567)),0), FactorTable!$A$2:$A$301,0), Skills!M14+1)</f>
        <v/>
      </c>
      <c r="F1567">
        <f>IF(Skills!N14=TRUE,(Skills!L14/10)*(E1567/1000),Skills!L14/10)+Skills!O14</f>
        <v/>
      </c>
      <c r="G1567">
        <f>Skills!G14*IF(Skills!H14&gt;0,Skills!I14/Skills!H14,1)</f>
        <v/>
      </c>
      <c r="H1567">
        <f>1-(1-Skills!J14/100)^Skills!K14</f>
        <v/>
      </c>
      <c r="I1567" t="inlineStr">
        <is>
          <t>1</t>
        </is>
      </c>
      <c r="J1567" t="inlineStr"/>
      <c r="K1567" t="inlineStr"/>
      <c r="L1567" t="inlineStr"/>
      <c r="M1567" t="inlineStr"/>
      <c r="N1567" t="inlineStr"/>
      <c r="O1567">
        <f>(1-Summary!$B$11)*T1567+Summary!$B$11*V1567</f>
        <v/>
      </c>
      <c r="P1567">
        <f>IF(B1589=0,0,O1567/B1589)</f>
        <v/>
      </c>
      <c r="Q1567">
        <f>IFERROR(1/(IF(Inputs!$B$38="pvp",15,MAX(0.1,Skills!D14-IF(Skills!E14=TRUE,Inputs!$B$32,0)))*(1-IF(AND(ArtifactsInput!$M$27,Inputs!$B$4="Chapter Hunt"),CHOOSE(ArtifactsInput!$N$27+1,20,24,28,32,36,40),0)/100)),0)</f>
        <v/>
      </c>
      <c r="R1567">
        <f>IF(AND(Inputs!$B$38&lt;&gt;"pvp",Inputs!$B$43&gt;0),IF(Inputs!$B$43&lt;=0,0,(INT(Inputs!$B$43/(IF(Inputs!$B$38="pvp",15,MAX(0.1,Skills!D14-IF(Skills!E14=TRUE,Inputs!$B$32,0)))*(1-IF(AND(ArtifactsInput!$M$27,Inputs!$B$4="Chapter Hunt"),CHOOSE(ArtifactsInput!$N$27+1,20,24,28,32,36,40),0)/100)))+1)),0)</f>
        <v/>
      </c>
      <c r="S1567">
        <f>IFERROR(O1567/N1567,0)</f>
        <v/>
      </c>
      <c r="T1567" t="n">
        <v>0</v>
      </c>
      <c r="V1567" t="n">
        <v>0</v>
      </c>
    </row>
    <row r="1568">
      <c r="A1568">
        <f>Skills!A15</f>
        <v/>
      </c>
      <c r="B1568">
        <f>Skills!B15</f>
        <v/>
      </c>
      <c r="C1568">
        <f>Inputs!$B$3&gt;=115</f>
        <v/>
      </c>
      <c r="D1568">
        <f>IF(Skills!C15=1,60+Inputs!$B$25+Inputs!$B$29,IF(Skills!C15=2,90+Inputs!$B$26+Inputs!$B$29,IF(Skills!C15=3,120+Inputs!$B$27+Inputs!$B$29,MAX(0,(Inputs!$B$3-100)*3)+Inputs!$B$28+Inputs!$B$29)))</f>
        <v/>
      </c>
      <c r="E1568">
        <f>INDEX(FactorTable!$B$2:$Y$301, MATCH(ROUND(MIN(300,MAX(1,D1568)),0), FactorTable!$A$2:$A$301,0), Skills!M15+1)</f>
        <v/>
      </c>
      <c r="F1568">
        <f>IF(Skills!N15=TRUE,(Skills!L15/10)*(E1568/1000),Skills!L15/10)+Skills!O15</f>
        <v/>
      </c>
      <c r="G1568">
        <f>Skills!G15*IF(Skills!H15&gt;0,Skills!I15/Skills!H15,1)</f>
        <v/>
      </c>
      <c r="H1568">
        <f>1-(1-Skills!J15/100)^Skills!K15</f>
        <v/>
      </c>
      <c r="I1568" t="inlineStr">
        <is>
          <t>1</t>
        </is>
      </c>
      <c r="J1568" t="inlineStr"/>
      <c r="K1568" t="inlineStr"/>
      <c r="L1568" t="inlineStr"/>
      <c r="M1568" t="inlineStr"/>
      <c r="N1568" t="inlineStr"/>
      <c r="O1568">
        <f>(1-Summary!$B$11)*T1568+Summary!$B$11*V1568</f>
        <v/>
      </c>
      <c r="P1568">
        <f>IF(B1589=0,0,O1568/B1589)</f>
        <v/>
      </c>
      <c r="Q1568">
        <f>IFERROR(1/(IF(Inputs!$B$38="pvp",15,MAX(0.1,Skills!D15-IF(Skills!E15=TRUE,Inputs!$B$32,0)))*(1-IF(AND(ArtifactsInput!$M$27,Inputs!$B$4="Chapter Hunt"),CHOOSE(ArtifactsInput!$N$27+1,20,24,28,32,36,40),0)/100)),0)</f>
        <v/>
      </c>
      <c r="R1568">
        <f>IF(AND(Inputs!$B$38&lt;&gt;"pvp",Inputs!$B$43&gt;0),IF(Inputs!$B$43&lt;=0,0,(INT(Inputs!$B$43/(IF(Inputs!$B$38="pvp",15,MAX(0.1,Skills!D15-IF(Skills!E15=TRUE,Inputs!$B$32,0)))*(1-IF(AND(ArtifactsInput!$M$27,Inputs!$B$4="Chapter Hunt"),CHOOSE(ArtifactsInput!$N$27+1,20,24,28,32,36,40),0)/100)))+1)),0)</f>
        <v/>
      </c>
      <c r="S1568">
        <f>IFERROR(O1568/N1568,0)</f>
        <v/>
      </c>
      <c r="T1568" t="n">
        <v>0</v>
      </c>
      <c r="V1568" t="n">
        <v>0</v>
      </c>
    </row>
    <row r="1569">
      <c r="A1569">
        <f>Skills!A16</f>
        <v/>
      </c>
      <c r="B1569">
        <f>Skills!B16</f>
        <v/>
      </c>
      <c r="C1569">
        <f>Inputs!$B$3&gt;=15</f>
        <v/>
      </c>
      <c r="D1569">
        <f>IF(Skills!C16=1,60+Inputs!$B$25+Inputs!$B$29,IF(Skills!C16=2,90+Inputs!$B$26+Inputs!$B$29,IF(Skills!C16=3,120+Inputs!$B$27+Inputs!$B$29,MAX(0,(Inputs!$B$3-100)*3)+Inputs!$B$28+Inputs!$B$29)))</f>
        <v/>
      </c>
      <c r="E1569">
        <f>INDEX(FactorTable!$B$2:$Y$301, MATCH(ROUND(MIN(300,MAX(1,D1569)),0), FactorTable!$A$2:$A$301,0), Skills!M16+1)</f>
        <v/>
      </c>
      <c r="F1569">
        <f>IF(Skills!N16=TRUE,(Skills!L16/10)*(E1569/1000),Skills!L16/10)+Skills!O16</f>
        <v/>
      </c>
      <c r="G1569">
        <f>Skills!G16*IF(Skills!H16&gt;0,Skills!I16/Skills!H16,1)</f>
        <v/>
      </c>
      <c r="H1569">
        <f>1-(1-Skills!J16/100)^Skills!K16</f>
        <v/>
      </c>
      <c r="I1569" t="inlineStr">
        <is>
          <t>1</t>
        </is>
      </c>
      <c r="J1569" t="inlineStr"/>
      <c r="K1569" t="inlineStr"/>
      <c r="L1569" t="inlineStr"/>
      <c r="M1569" t="inlineStr"/>
      <c r="N1569" t="inlineStr"/>
      <c r="O1569">
        <f>(1-Summary!$B$11)*T1569+Summary!$B$11*V1569</f>
        <v/>
      </c>
      <c r="P1569">
        <f>IF(B1589=0,0,O1569/B1589)</f>
        <v/>
      </c>
      <c r="Q1569" t="n">
        <v>0</v>
      </c>
      <c r="R1569" t="n">
        <v>0</v>
      </c>
      <c r="S1569">
        <f>IFERROR(O1569/N1569,0)</f>
        <v/>
      </c>
      <c r="T1569" t="n">
        <v>0</v>
      </c>
      <c r="V1569" t="n">
        <v>0</v>
      </c>
    </row>
    <row r="1570">
      <c r="A1570">
        <f>Skills!A17</f>
        <v/>
      </c>
      <c r="B1570">
        <f>Skills!B17</f>
        <v/>
      </c>
      <c r="C1570">
        <f>Inputs!$B$3&gt;=10</f>
        <v/>
      </c>
      <c r="D1570">
        <f>IF(Skills!C17=1,60+Inputs!$B$25+Inputs!$B$29,IF(Skills!C17=2,90+Inputs!$B$26+Inputs!$B$29,IF(Skills!C17=3,120+Inputs!$B$27+Inputs!$B$29,MAX(0,(Inputs!$B$3-100)*3)+Inputs!$B$28+Inputs!$B$29)))</f>
        <v/>
      </c>
      <c r="E1570">
        <f>INDEX(FactorTable!$B$2:$Y$301, MATCH(ROUND(MIN(300,MAX(1,D1570)),0), FactorTable!$A$2:$A$301,0), Skills!M17+1)</f>
        <v/>
      </c>
      <c r="F1570">
        <f>IF(Skills!N17=TRUE,(Skills!L17/10)*(E1570/1000),Skills!L17/10)+Skills!O17</f>
        <v/>
      </c>
      <c r="G1570">
        <f>Skills!G17*IF(Skills!H17&gt;0,Skills!I17/Skills!H17,1)</f>
        <v/>
      </c>
      <c r="H1570">
        <f>1-(1-Skills!J17/100)^Skills!K17</f>
        <v/>
      </c>
      <c r="I1570" t="inlineStr">
        <is>
          <t>1</t>
        </is>
      </c>
      <c r="J1570" t="inlineStr"/>
      <c r="K1570" t="inlineStr"/>
      <c r="L1570" t="inlineStr"/>
      <c r="M1570" t="inlineStr"/>
      <c r="N1570" t="inlineStr"/>
      <c r="O1570">
        <f>(1-Summary!$B$11)*T1570+Summary!$B$11*V1570</f>
        <v/>
      </c>
      <c r="P1570">
        <f>IF(B1589=0,0,O1570/B1589)</f>
        <v/>
      </c>
      <c r="Q1570" t="n">
        <v>0</v>
      </c>
      <c r="R1570" t="n">
        <v>0</v>
      </c>
      <c r="S1570">
        <f>IFERROR(O1570/N1570,0)</f>
        <v/>
      </c>
      <c r="T1570" t="n">
        <v>0</v>
      </c>
      <c r="V1570" t="n">
        <v>0</v>
      </c>
    </row>
    <row r="1571">
      <c r="A1571">
        <f>Skills!A18</f>
        <v/>
      </c>
      <c r="B1571">
        <f>Skills!B18</f>
        <v/>
      </c>
      <c r="C1571">
        <f>Inputs!$B$3&gt;=33</f>
        <v/>
      </c>
      <c r="D1571">
        <f>IF(Skills!C18=1,60+Inputs!$B$25+Inputs!$B$29,IF(Skills!C18=2,90+Inputs!$B$26+Inputs!$B$29,IF(Skills!C18=3,120+Inputs!$B$27+Inputs!$B$29,MAX(0,(Inputs!$B$3-100)*3)+Inputs!$B$28+Inputs!$B$29)))</f>
        <v/>
      </c>
      <c r="E1571">
        <f>INDEX(FactorTable!$B$2:$Y$301, MATCH(ROUND(MIN(300,MAX(1,D1571)),0), FactorTable!$A$2:$A$301,0), Skills!M18+1)</f>
        <v/>
      </c>
      <c r="F1571">
        <f>IF(Skills!N18=TRUE,(Skills!L18/10)*(E1571/1000),Skills!L18/10)+Skills!O18</f>
        <v/>
      </c>
      <c r="G1571">
        <f>Skills!G18*IF(Skills!H18&gt;0,Skills!I18/Skills!H18,1)</f>
        <v/>
      </c>
      <c r="H1571">
        <f>1-(1-Skills!J18/100)^Skills!K18</f>
        <v/>
      </c>
      <c r="I1571" t="inlineStr">
        <is>
          <t>1</t>
        </is>
      </c>
      <c r="J1571" t="inlineStr"/>
      <c r="K1571" t="inlineStr"/>
      <c r="L1571" t="inlineStr"/>
      <c r="M1571" t="inlineStr"/>
      <c r="N1571" t="inlineStr"/>
      <c r="O1571">
        <f>(1-Summary!$B$11)*T1571+Summary!$B$11*V1571</f>
        <v/>
      </c>
      <c r="P1571">
        <f>IF(B1589=0,0,O1571/B1589)</f>
        <v/>
      </c>
      <c r="Q1571" t="n">
        <v>0</v>
      </c>
      <c r="R1571" t="n">
        <v>0</v>
      </c>
      <c r="S1571">
        <f>IFERROR(O1571/N1571,0)</f>
        <v/>
      </c>
      <c r="T1571" t="n">
        <v>0</v>
      </c>
      <c r="V1571" t="n">
        <v>0</v>
      </c>
    </row>
    <row r="1572">
      <c r="A1572">
        <f>Skills!A19</f>
        <v/>
      </c>
      <c r="B1572">
        <f>Skills!B19</f>
        <v/>
      </c>
      <c r="C1572">
        <f>Inputs!$B$3&gt;=40</f>
        <v/>
      </c>
      <c r="D1572">
        <f>IF(Skills!C19=1,60+Inputs!$B$25+Inputs!$B$29,IF(Skills!C19=2,90+Inputs!$B$26+Inputs!$B$29,IF(Skills!C19=3,120+Inputs!$B$27+Inputs!$B$29,MAX(0,(Inputs!$B$3-100)*3)+Inputs!$B$28+Inputs!$B$29)))</f>
        <v/>
      </c>
      <c r="E1572">
        <f>INDEX(FactorTable!$B$2:$Y$301, MATCH(ROUND(MIN(300,MAX(1,D1572)),0), FactorTable!$A$2:$A$301,0), Skills!M19+1)</f>
        <v/>
      </c>
      <c r="F1572">
        <f>IF(Skills!N19=TRUE,(Skills!L19/10)*(E1572/1000),Skills!L19/10)+Skills!O19</f>
        <v/>
      </c>
      <c r="G1572">
        <f>Skills!G19*IF(Skills!H19&gt;0,Skills!I19/Skills!H19,1)</f>
        <v/>
      </c>
      <c r="H1572">
        <f>1-(1-Skills!J19/100)^Skills!K19</f>
        <v/>
      </c>
      <c r="I1572" t="inlineStr">
        <is>
          <t>1</t>
        </is>
      </c>
      <c r="J1572" t="inlineStr"/>
      <c r="K1572" t="inlineStr"/>
      <c r="L1572" t="inlineStr"/>
      <c r="M1572" t="inlineStr"/>
      <c r="N1572" t="inlineStr"/>
      <c r="O1572">
        <f>(1-Summary!$B$11)*T1572+Summary!$B$11*V1572</f>
        <v/>
      </c>
      <c r="P1572">
        <f>IF(B1589=0,0,O1572/B1589)</f>
        <v/>
      </c>
      <c r="Q1572" t="n">
        <v>0</v>
      </c>
      <c r="R1572" t="n">
        <v>0</v>
      </c>
      <c r="S1572">
        <f>IFERROR(O1572/N1572,0)</f>
        <v/>
      </c>
      <c r="T1572" t="n">
        <v>0</v>
      </c>
      <c r="V1572" t="n">
        <v>0</v>
      </c>
    </row>
    <row r="1573">
      <c r="A1573">
        <f>Skills!A20</f>
        <v/>
      </c>
      <c r="B1573">
        <f>Skills!B20</f>
        <v/>
      </c>
      <c r="C1573">
        <f>Inputs!$B$3&gt;=43</f>
        <v/>
      </c>
      <c r="D1573">
        <f>IF(Skills!C20=1,60+Inputs!$B$25+Inputs!$B$29,IF(Skills!C20=2,90+Inputs!$B$26+Inputs!$B$29,IF(Skills!C20=3,120+Inputs!$B$27+Inputs!$B$29,MAX(0,(Inputs!$B$3-100)*3)+Inputs!$B$28+Inputs!$B$29)))</f>
        <v/>
      </c>
      <c r="E1573">
        <f>INDEX(FactorTable!$B$2:$Y$301, MATCH(ROUND(MIN(300,MAX(1,D1573)),0), FactorTable!$A$2:$A$301,0), Skills!M20+1)</f>
        <v/>
      </c>
      <c r="F1573">
        <f>IF(Skills!N20=TRUE,(Skills!L20/10)*(E1573/1000),Skills!L20/10)+Skills!O20</f>
        <v/>
      </c>
      <c r="G1573">
        <f>Skills!G20*IF(Skills!H20&gt;0,Skills!I20/Skills!H20,1)</f>
        <v/>
      </c>
      <c r="H1573">
        <f>1-(1-Skills!J20/100)^Skills!K20</f>
        <v/>
      </c>
      <c r="I1573" t="inlineStr">
        <is>
          <t>1</t>
        </is>
      </c>
      <c r="J1573" t="inlineStr"/>
      <c r="K1573" t="inlineStr"/>
      <c r="L1573" t="inlineStr"/>
      <c r="M1573" t="inlineStr"/>
      <c r="N1573" t="inlineStr"/>
      <c r="O1573">
        <f>(1-Summary!$B$11)*T1573+Summary!$B$11*V1573</f>
        <v/>
      </c>
      <c r="P1573">
        <f>IF(B1589=0,0,O1573/B1589)</f>
        <v/>
      </c>
      <c r="Q1573" t="n">
        <v>0</v>
      </c>
      <c r="R1573" t="n">
        <v>0</v>
      </c>
      <c r="S1573">
        <f>IFERROR(O1573/N1573,0)</f>
        <v/>
      </c>
      <c r="T1573" t="n">
        <v>0</v>
      </c>
      <c r="V1573" t="n">
        <v>0</v>
      </c>
    </row>
    <row r="1574">
      <c r="A1574">
        <f>Skills!A21</f>
        <v/>
      </c>
      <c r="B1574">
        <f>Skills!B21</f>
        <v/>
      </c>
      <c r="C1574">
        <f>Inputs!$B$3&gt;=38</f>
        <v/>
      </c>
      <c r="D1574">
        <f>IF(Skills!C21=1,60+Inputs!$B$25+Inputs!$B$29,IF(Skills!C21=2,90+Inputs!$B$26+Inputs!$B$29,IF(Skills!C21=3,120+Inputs!$B$27+Inputs!$B$29,MAX(0,(Inputs!$B$3-100)*3)+Inputs!$B$28+Inputs!$B$29)))</f>
        <v/>
      </c>
      <c r="E1574">
        <f>INDEX(FactorTable!$B$2:$Y$301, MATCH(ROUND(MIN(300,MAX(1,D1574)),0), FactorTable!$A$2:$A$301,0), Skills!M21+1)</f>
        <v/>
      </c>
      <c r="F1574">
        <f>IF(Skills!N21=TRUE,(Skills!L21/10)*(E1574/1000),Skills!L21/10)+Skills!O21</f>
        <v/>
      </c>
      <c r="G1574">
        <f>Skills!G21*IF(Skills!H21&gt;0,Skills!I21/Skills!H21,1)</f>
        <v/>
      </c>
      <c r="H1574">
        <f>1-(1-Skills!J21/100)^Skills!K21</f>
        <v/>
      </c>
      <c r="I1574" t="inlineStr">
        <is>
          <t>1</t>
        </is>
      </c>
      <c r="J1574" t="inlineStr"/>
      <c r="K1574" t="inlineStr"/>
      <c r="L1574" t="inlineStr"/>
      <c r="M1574" t="inlineStr"/>
      <c r="N1574" t="inlineStr"/>
      <c r="O1574">
        <f>(1-Summary!$B$11)*T1574+Summary!$B$11*V1574</f>
        <v/>
      </c>
      <c r="P1574">
        <f>IF(B1589=0,0,O1574/B1589)</f>
        <v/>
      </c>
      <c r="Q1574" t="n">
        <v>0</v>
      </c>
      <c r="R1574" t="n">
        <v>0</v>
      </c>
      <c r="S1574">
        <f>IFERROR(O1574/N1574,0)</f>
        <v/>
      </c>
      <c r="T1574" t="n">
        <v>0</v>
      </c>
      <c r="V1574" t="n">
        <v>0</v>
      </c>
    </row>
    <row r="1575">
      <c r="A1575">
        <f>Skills!A22</f>
        <v/>
      </c>
      <c r="B1575">
        <f>Skills!B22</f>
        <v/>
      </c>
      <c r="C1575">
        <f>Inputs!$B$3&gt;=75</f>
        <v/>
      </c>
      <c r="D1575">
        <f>IF(Skills!C22=1,60+Inputs!$B$25+Inputs!$B$29,IF(Skills!C22=2,90+Inputs!$B$26+Inputs!$B$29,IF(Skills!C22=3,120+Inputs!$B$27+Inputs!$B$29,MAX(0,(Inputs!$B$3-100)*3)+Inputs!$B$28+Inputs!$B$29)))</f>
        <v/>
      </c>
      <c r="E1575">
        <f>INDEX(FactorTable!$B$2:$Y$301, MATCH(ROUND(MIN(300,MAX(1,D1575)),0), FactorTable!$A$2:$A$301,0), Skills!M22+1)</f>
        <v/>
      </c>
      <c r="F1575">
        <f>IF(Skills!N22=TRUE,(Skills!L22/10)*(E1575/1000),Skills!L22/10)+Skills!O22</f>
        <v/>
      </c>
      <c r="G1575">
        <f>Skills!G22*IF(Skills!H22&gt;0,Skills!I22/Skills!H22,1)</f>
        <v/>
      </c>
      <c r="H1575">
        <f>1-(1-Skills!J22/100)^Skills!K22</f>
        <v/>
      </c>
      <c r="I1575" t="inlineStr">
        <is>
          <t>1</t>
        </is>
      </c>
      <c r="J1575" t="inlineStr"/>
      <c r="K1575" t="inlineStr"/>
      <c r="L1575" t="inlineStr"/>
      <c r="M1575" t="inlineStr"/>
      <c r="N1575" t="inlineStr"/>
      <c r="O1575">
        <f>(1-Summary!$B$11)*T1575+Summary!$B$11*V1575</f>
        <v/>
      </c>
      <c r="P1575">
        <f>IF(B1589=0,0,O1575/B1589)</f>
        <v/>
      </c>
      <c r="Q1575" t="n">
        <v>0</v>
      </c>
      <c r="R1575" t="n">
        <v>0</v>
      </c>
      <c r="S1575">
        <f>IFERROR(O1575/N1575,0)</f>
        <v/>
      </c>
      <c r="T1575" t="n">
        <v>0</v>
      </c>
      <c r="V1575" t="n">
        <v>0</v>
      </c>
    </row>
    <row r="1576">
      <c r="A1576">
        <f>Skills!A23</f>
        <v/>
      </c>
      <c r="B1576">
        <f>Skills!B23</f>
        <v/>
      </c>
      <c r="C1576">
        <f>TRUE</f>
        <v/>
      </c>
      <c r="D1576">
        <f>IF(Skills!C23=1,60+Inputs!$B$25+Inputs!$B$29,IF(Skills!C23=2,90+Inputs!$B$26+Inputs!$B$29,IF(Skills!C23=3,120+Inputs!$B$27+Inputs!$B$29,MAX(0,(Inputs!$B$3-100)*3)+Inputs!$B$28+Inputs!$B$29)))</f>
        <v/>
      </c>
      <c r="E1576">
        <f>INDEX(FactorTable!$B$2:$Y$301, MATCH(ROUND(MIN(300,MAX(1,D1576)),0), FactorTable!$A$2:$A$301,0), Skills!M23+1)</f>
        <v/>
      </c>
      <c r="F1576">
        <f>IF(Skills!N23=TRUE,(Skills!L23/10)*(E1576/1000),Skills!L23/10)+Skills!O23</f>
        <v/>
      </c>
      <c r="G1576">
        <f>Skills!G23*IF(Skills!H23&gt;0,Skills!I23/Skills!H23,1)</f>
        <v/>
      </c>
      <c r="H1576">
        <f>1-(1-Skills!J23/100)^Skills!K23</f>
        <v/>
      </c>
      <c r="I1576" t="inlineStr">
        <is>
          <t>1</t>
        </is>
      </c>
      <c r="J1576" t="inlineStr"/>
      <c r="K1576" t="inlineStr"/>
      <c r="L1576" t="inlineStr"/>
      <c r="M1576" t="inlineStr"/>
      <c r="N1576" t="inlineStr"/>
      <c r="O1576">
        <f>(1-Summary!$B$11)*T1576+Summary!$B$11*V1576</f>
        <v/>
      </c>
      <c r="P1576">
        <f>IF(B1589=0,0,O1576/B1589)</f>
        <v/>
      </c>
      <c r="Q1576">
        <f>IFERROR(1/(IF(Inputs!$B$38="pvp",15,MAX(0.1,Skills!D23-IF(Skills!E23=TRUE,Inputs!$B$32,0)))*(1-IF(AND(ArtifactsInput!$M$27,Inputs!$B$4="Chapter Hunt"),CHOOSE(ArtifactsInput!$N$27+1,20,24,28,32,36,40),0)/100)),0)</f>
        <v/>
      </c>
      <c r="R1576">
        <f>IF(AND(Inputs!$B$38&lt;&gt;"pvp",Inputs!$B$43&gt;0),IF(Inputs!$B$43&lt;=0,0,(INT(Inputs!$B$43/(IF(Inputs!$B$38="pvp",15,MAX(0.1,Skills!D23-IF(Skills!E23=TRUE,Inputs!$B$32,0)))*(1-IF(AND(ArtifactsInput!$M$27,Inputs!$B$4="Chapter Hunt"),CHOOSE(ArtifactsInput!$N$27+1,20,24,28,32,36,40),0)/100)))+1)),0)</f>
        <v/>
      </c>
      <c r="S1576">
        <f>IFERROR(O1576/N1576,0)</f>
        <v/>
      </c>
      <c r="T1576" t="n">
        <v>0</v>
      </c>
      <c r="V1576" t="n">
        <v>0</v>
      </c>
    </row>
    <row r="1578">
      <c r="A1578" t="inlineStr">
        <is>
          <t>Attack% Bucket Multiplier</t>
        </is>
      </c>
      <c r="B1578">
        <f>(1+(((C1566=TRUE)*F1566*5/7)+((C1572=TRUE)*(F1572-Calc!F19))+(IF(ArtifactsInput!$M$21,CHOOSE(ArtifactsInput!$N$21+1,25,30,35,40,45,50)*(IF(OR(Inputs!$B$4="Chapter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79">
      <c r="A1579" t="inlineStr">
        <is>
          <t>Global Crit Rate Bonus %</t>
        </is>
      </c>
      <c r="B1579" t="n">
        <v>0</v>
      </c>
    </row>
    <row r="1580">
      <c r="A1580" t="inlineStr">
        <is>
          <t>Attack Speed Buff Bonus % (Nimble Feet, duty-cycle averaged)</t>
        </is>
      </c>
      <c r="B1580">
        <f>((C1576=TRUE)*F1576*IF(AND(Inputs!$B$38&lt;&gt;"pvp",Inputs!$B$43&gt;0),(((R1576-1)*(Skills!T23*(1+Inputs!$B$34/100))+MIN((Skills!T23*(1+Inputs!$B$34/100)),MAX(0,Inputs!$B$43-((R1576-1)*Skills!D23))))/Inputs!$B$43),IF(Inputs!$B$38="pvp",MIN((Skills!T23*(1+Inputs!$B$34/100)),15)/15,(Skills!T23*(1+Inputs!$B$34/100))/Skills!D23)))</f>
        <v/>
      </c>
    </row>
    <row r="1581">
      <c r="A1581" t="inlineStr">
        <is>
          <t>Actions Per Second</t>
        </is>
      </c>
      <c r="B1581">
        <f>1+MIN(150,150*(1-(1-(Inputs!$B$11+((C1570=TRUE)*(F1570-Calc!F17))+((C1571=TRUE)*(F1571-Calc!F18)))/150)*(1-B1580/150)))/100</f>
        <v/>
      </c>
    </row>
    <row r="1582">
      <c r="A1582" t="inlineStr">
        <is>
          <t>Skill + Buff Cast Rate</t>
        </is>
      </c>
      <c r="B1582">
        <f>IF(AND(Inputs!$B$38&lt;&gt;"pvp",Inputs!$B$43&gt;0),SUMPRODUCT((Skills!E2:E23=TRUE)*(C1555:C1576=TRUE)*R1555:R1576*Skills!F2:F23)/Inputs!$B$43,SUMPRODUCT((Skills!E2:E23=TRUE)*(C1555:C1576=TRUE)*Q1555:Q1576*Skills!F2:F23))</f>
        <v/>
      </c>
    </row>
    <row r="1583">
      <c r="A1583" t="inlineStr">
        <is>
          <t>Hook Bomber Casts Per Second</t>
        </is>
      </c>
      <c r="B1583">
        <f>MAX(0,B1581-B1582)</f>
        <v/>
      </c>
    </row>
    <row r="1584">
      <c r="A1584" t="inlineStr">
        <is>
          <t>Global Critical Damage Bonus % (unused)</t>
        </is>
      </c>
      <c r="B1584" t="n">
        <v>0</v>
      </c>
    </row>
    <row r="1585">
      <c r="A1585" t="inlineStr">
        <is>
          <t>Global Final Damage Bonus % (Serpent Scale + Crossbones + Time Leap + Speed Infusion)</t>
        </is>
      </c>
      <c r="B1585">
        <f>((C1558=TRUE)*F1558*((10+IF(Inputs!$B$3&gt;=94,5,0))/((10+IF(Inputs!$B$3&gt;=94,5,0))+5/(B1583*(1+IF(Inputs!$B$3&gt;=104,1,0))))))+((C1567=TRUE)*F1567*IF(AND(Inputs!$B$38&lt;&gt;"pvp",Inputs!$B$43&gt;0),(((R1567-1)*(Skills!T14*(1+Inputs!$B$34/100))+MIN((Skills!T14*(1+Inputs!$B$34/100)),MAX(0,Inputs!$B$43-((R1567-1)*Skills!D14))))/Inputs!$B$43),IF(Inputs!$B$38="pvp",MIN((Skills!T14*(1+Inputs!$B$34/100)),15)/15,(Skills!T14*(1+Inputs!$B$34/100))/Skills!D14)))+((C1568=TRUE)*F1568*IF(AND(Inputs!$B$38&lt;&gt;"pvp",Inputs!$B$43&gt;0),(((R1568-1)*(Skills!T15*(1+Inputs!$B$34/100))+MIN((Skills!T15*(1+Inputs!$B$34/100)),MAX(0,Inputs!$B$43-((R1568-1)*Skills!D15))))/Inputs!$B$43),IF(Inputs!$B$38="pvp",MIN((Skills!T15*(1+Inputs!$B$34/100)),15)/15,(Skills!T15*(1+Inputs!$B$34/100))/Skills!D15)))+((Inputs!$B$3&gt;=110)*20*(B1581-1)*IF(Inputs!$B$38="pvp",MIN((15*(1+Inputs!$B$34/100)),15)/15,(15*(1+Inputs!$B$34/100))/35))</f>
        <v/>
      </c>
    </row>
    <row r="1586">
      <c r="A1586" t="inlineStr">
        <is>
          <t>Buff-Casting Startup Delay (s, fixed-duration only)</t>
        </is>
      </c>
      <c r="B1586">
        <f>IF(AND(Inputs!$B$38&lt;&gt;"pvp",Inputs!$B$43&gt;0),SUMPRODUCT((Skills!T2:T23&gt;0)*(Skills!E2:E23=TRUE)*(C1555:C1576=TRUE))/B1581,0)</f>
        <v/>
      </c>
    </row>
    <row r="1587">
      <c r="A1587" t="inlineStr">
        <is>
          <t>Boss-Only Total DPS (this block's swept value)</t>
        </is>
      </c>
      <c r="B1587">
        <f>SUM(T1555:T1576)</f>
        <v/>
      </c>
    </row>
    <row r="1588">
      <c r="A1588" t="inlineStr">
        <is>
          <t>Normal-Only Total DPS (this block's swept value)</t>
        </is>
      </c>
      <c r="B1588">
        <f>SUM(V1555:V1576)</f>
        <v/>
      </c>
    </row>
    <row r="1589">
      <c r="A1589" s="6" t="inlineStr">
        <is>
          <t>TOTAL DPS</t>
        </is>
      </c>
      <c r="B1589" s="6">
        <f>SUM(O1555:O1576)</f>
        <v/>
      </c>
    </row>
    <row r="1592">
      <c r="A1592" s="6" t="inlineStr">
        <is>
          <t>Stat: Chalice (Equip)</t>
        </is>
      </c>
    </row>
    <row r="1593">
      <c r="A1593" s="5" t="inlineStr">
        <is>
          <t>Key</t>
        </is>
      </c>
      <c r="B1593" s="5" t="inlineStr">
        <is>
          <t>Name</t>
        </is>
      </c>
      <c r="C1593" s="5" t="inlineStr">
        <is>
          <t>Unlocked</t>
        </is>
      </c>
      <c r="D1593" s="5" t="inlineStr">
        <is>
          <t>InputLevel</t>
        </is>
      </c>
      <c r="E1593" s="5" t="inlineStr">
        <is>
          <t>Factor</t>
        </is>
      </c>
      <c r="F1593" s="5" t="inlineStr">
        <is>
          <t>CoefficientPercent</t>
        </is>
      </c>
      <c r="G1593" s="5" t="inlineStr">
        <is>
          <t>EffectiveHits</t>
        </is>
      </c>
      <c r="H1593" s="5" t="inlineStr">
        <is>
          <t>ProcProbability</t>
        </is>
      </c>
      <c r="I1593" s="5" t="inlineStr">
        <is>
          <t>MapleHeroMultiplier</t>
        </is>
      </c>
      <c r="J1593" s="5" t="inlineStr">
        <is>
          <t>BaseDamage</t>
        </is>
      </c>
      <c r="K1593" s="5" t="inlineStr">
        <is>
          <t>BaseHitDamage</t>
        </is>
      </c>
      <c r="L1593" s="5" t="inlineStr">
        <is>
          <t>NonCritAvg</t>
        </is>
      </c>
      <c r="M1593" s="5" t="inlineStr">
        <is>
          <t>CritAvg</t>
        </is>
      </c>
      <c r="N1593" s="5" t="inlineStr">
        <is>
          <t>ExpectedDamage(perHit)</t>
        </is>
      </c>
      <c r="O1593" s="5" t="inlineStr">
        <is>
          <t>DPS</t>
        </is>
      </c>
      <c r="P1593" s="5" t="inlineStr">
        <is>
          <t>% of Total</t>
        </is>
      </c>
      <c r="Q1593" s="5" t="inlineStr">
        <is>
          <t>InvCooldown</t>
        </is>
      </c>
      <c r="R1593" s="5" t="inlineStr">
        <is>
          <t>CastsInFight</t>
        </is>
      </c>
      <c r="S1593" s="5" t="inlineStr">
        <is>
          <t>HitRate(perSec)</t>
        </is>
      </c>
      <c r="U1593" t="inlineStr">
        <is>
          <t>helpers</t>
        </is>
      </c>
    </row>
    <row r="1594">
      <c r="A1594">
        <f>Skills!A2</f>
        <v/>
      </c>
      <c r="B1594">
        <f>Skills!B2</f>
        <v/>
      </c>
      <c r="C1594">
        <f>Inputs!$B$3&gt;=100</f>
        <v/>
      </c>
      <c r="D1594" t="inlineStr"/>
      <c r="E1594" t="inlineStr"/>
      <c r="F1594">
        <f>U1596+Skills!O2</f>
        <v/>
      </c>
      <c r="G1594">
        <f>Skills!G2*IF(Skills!H2&gt;0,Skills!I2/Skills!H2,1)</f>
        <v/>
      </c>
      <c r="H1594">
        <f>1-(1-Skills!J2/100)^Skills!K2</f>
        <v/>
      </c>
      <c r="I1594" t="inlineStr">
        <is>
          <t>1</t>
        </is>
      </c>
      <c r="J1594">
        <f>((Inputs!$B$6*(1+Inputs!$B$7/100))+(((Inputs!$B$12*(1+Inputs!$B$13/100))-(Inputs!$B$12*(1+Inputs!$B$13/100)))+0.25*(Inputs!$B$14-Inputs!$B$14))*(1+Inputs!$B$7/100))*(F1594/100)</f>
        <v/>
      </c>
      <c r="K1594">
        <f>J1594*(1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1594)</f>
        <v/>
      </c>
      <c r="L1594">
        <f>K1594*(MIN(Inputs!$B$22+((C1612=TRUE)*(F1612-Calc!F20)),(Inputs!$B$23+0+(IF(ArtifactsInput!$M$15,CHOOSE(ArtifactsInput!$N$15+1,25,30,35,40,45,50)/100*(Inputs!$B$11-Inputs!$B$11),0))))/100+(Inputs!$B$23+0+(IF(ArtifactsInput!$M$15,CHOOSE(ArtifactsInput!$N$15+1,25,30,35,40,45,50)/100*(Inputs!$B$11-Inputs!$B$11),0)))/100)/2</f>
        <v/>
      </c>
      <c r="M1594">
        <f>L1594*(1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4">
        <f>L1594*(1-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1594*(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4">
        <f>(1-Summary!$B$11)*T1594+Summary!$B$11*V1594</f>
        <v/>
      </c>
      <c r="P1594">
        <f>IF(B1628=0,0,O1594/B1628)</f>
        <v/>
      </c>
      <c r="Q1594" t="n">
        <v>0</v>
      </c>
      <c r="R1594" t="n">
        <v>0</v>
      </c>
      <c r="S1594">
        <f>IFERROR(O1594/N1594,0)</f>
        <v/>
      </c>
      <c r="T1594">
        <f>IF(C1594,(Skills!G2*N1594*B1622)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1594*(1-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1594*(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1594*(1-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1594*(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4">
        <f>MAX(0,(Inputs!$B$3-100)*3)+Inputs!$B$28+Inputs!$B$29</f>
        <v/>
      </c>
      <c r="V1594">
        <f>IF(C1594,(Skills!G2*N1594*B1622)*IF(Inputs!$B$38="pvp",1,(1+(Inputs!$B$21+Skills!Q2+(IF(ArtifactsInput!$M$33,CHOOSE(ArtifactsInput!$N$33+1,30,36,42,48,54,60),0))+(IF(AND(ArtifactsInput!$M$35,Inputs!$B$4&lt;&gt;"Chapter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5">
      <c r="A1595">
        <f>Skills!A3</f>
        <v/>
      </c>
      <c r="B1595">
        <f>Skills!B3</f>
        <v/>
      </c>
      <c r="C1595">
        <f>Inputs!$B$3&gt;=35</f>
        <v/>
      </c>
      <c r="D1595">
        <f>IF(Skills!C3=1,60+Inputs!$B$25+Inputs!$B$29,IF(Skills!C3=2,90+Inputs!$B$26+Inputs!$B$29,IF(Skills!C3=3,120+Inputs!$B$27+Inputs!$B$29,MAX(0,(Inputs!$B$3-100)*3)+Inputs!$B$28+Inputs!$B$29)))</f>
        <v/>
      </c>
      <c r="E1595">
        <f>INDEX(FactorTable!$B$2:$Y$301, MATCH(ROUND(MIN(300,MAX(1,D1595)),0), FactorTable!$A$2:$A$301,0), Skills!M3+1)</f>
        <v/>
      </c>
      <c r="F1595">
        <f>IF(Skills!N3=TRUE,(Skills!L3/10)*(E1595/1000),Skills!L3/10)+Skills!O3</f>
        <v/>
      </c>
      <c r="G1595">
        <f>Skills!G3*IF(Skills!H3&gt;0,Skills!I3/Skills!H3,1)</f>
        <v/>
      </c>
      <c r="H1595">
        <f>1-(1-Skills!J3/100)^Skills!K3</f>
        <v/>
      </c>
      <c r="I1595" t="inlineStr">
        <is>
          <t>1</t>
        </is>
      </c>
      <c r="J1595">
        <f>((Inputs!$B$6*(1+Inputs!$B$7/100))+(((Inputs!$B$12*(1+Inputs!$B$13/100))-(Inputs!$B$12*(1+Inputs!$B$13/100)))+0.25*(Inputs!$B$14-Inputs!$B$14))*(1+Inputs!$B$7/100))*(F1595/100)</f>
        <v/>
      </c>
      <c r="K1595">
        <f>J1595*(1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1595)</f>
        <v/>
      </c>
      <c r="L1595">
        <f>K1595*(MIN(Inputs!$B$22+((C1612=TRUE)*(F1612-Calc!F20)),(Inputs!$B$23+0+(IF(ArtifactsInput!$M$15,CHOOSE(ArtifactsInput!$N$15+1,25,30,35,40,45,50)/100*(Inputs!$B$11-Inputs!$B$11),0))))/100+(Inputs!$B$23+0+(IF(ArtifactsInput!$M$15,CHOOSE(ArtifactsInput!$N$15+1,25,30,35,40,45,50)/100*(Inputs!$B$11-Inputs!$B$11),0)))/100)/2</f>
        <v/>
      </c>
      <c r="M1595">
        <f>L1595*(1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5">
        <f>L1595*(1-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1595*(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5">
        <f>(1-Summary!$B$11)*T1595+Summary!$B$11*V1595</f>
        <v/>
      </c>
      <c r="P1595">
        <f>IF(B1628=0,0,O1595/B1628)</f>
        <v/>
      </c>
      <c r="Q1595" t="n">
        <v>0</v>
      </c>
      <c r="R1595" t="n">
        <v>0</v>
      </c>
      <c r="S1595">
        <f>IFERROR(O1595/N1595,0)</f>
        <v/>
      </c>
      <c r="T1595">
        <f>IF(C1595,(Skills!G3*H1595*N1595*B1622)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1595*(1-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1595*(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1595*(1-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1595*(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5">
        <f>INDEX(FactorTable!$B$2:$Y$301, MATCH(ROUND(MIN(300,MAX(1,U1594)),0), FactorTable!$A$2:$A$301,0), 22)</f>
        <v/>
      </c>
      <c r="V1595">
        <f>IF(C1595,(Skills!G3*H1595*N1595*B1622)*IF(Inputs!$B$38="pvp",1,(1+(Inputs!$B$21+Skills!Q3+(IF(ArtifactsInput!$M$33,CHOOSE(ArtifactsInput!$N$33+1,30,36,42,48,54,60),0))+(IF(AND(ArtifactsInput!$M$35,Inputs!$B$4&lt;&gt;"Chapter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6">
      <c r="A1596">
        <f>Skills!A4</f>
        <v/>
      </c>
      <c r="B1596">
        <f>Skills!B4</f>
        <v/>
      </c>
      <c r="C1596">
        <f>Inputs!$B$3&gt;=60</f>
        <v/>
      </c>
      <c r="D1596">
        <f>IF(Skills!C4=1,60+Inputs!$B$25+Inputs!$B$29,IF(Skills!C4=2,90+Inputs!$B$26+Inputs!$B$29,IF(Skills!C4=3,120+Inputs!$B$27+Inputs!$B$29,MAX(0,(Inputs!$B$3-100)*3)+Inputs!$B$28+Inputs!$B$29)))</f>
        <v/>
      </c>
      <c r="E1596">
        <f>INDEX(FactorTable!$B$2:$Y$301, MATCH(ROUND(MIN(300,MAX(1,D1596)),0), FactorTable!$A$2:$A$301,0), Skills!M4+1)</f>
        <v/>
      </c>
      <c r="F1596">
        <f>IF(Skills!N4=TRUE,(Skills!L4/10)*(E1596/1000),Skills!L4/10)+Skills!O4</f>
        <v/>
      </c>
      <c r="G1596">
        <f>Skills!G4*IF(Skills!H4&gt;0,Skills!I4/Skills!H4,1)</f>
        <v/>
      </c>
      <c r="H1596">
        <f>1-(1-Skills!J4/100)^Skills!K4</f>
        <v/>
      </c>
      <c r="I1596" t="inlineStr">
        <is>
          <t>1</t>
        </is>
      </c>
      <c r="J1596">
        <f>((Inputs!$B$6*(1+Inputs!$B$7/100))+(((Inputs!$B$12*(1+Inputs!$B$13/100))-(Inputs!$B$12*(1+Inputs!$B$13/100)))+0.25*(Inputs!$B$14-Inputs!$B$14))*(1+Inputs!$B$7/100))*(F1596/100)</f>
        <v/>
      </c>
      <c r="K1596">
        <f>J1596*(1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1604=TRUE,F1604,0)/100)*(1+(IF(Skills!A4="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1596)</f>
        <v/>
      </c>
      <c r="L1596">
        <f>K1596*(MIN(Inputs!$B$22+((C1612=TRUE)*(F1612-Calc!F20)),(Inputs!$B$23+0+(IF(ArtifactsInput!$M$15,CHOOSE(ArtifactsInput!$N$15+1,25,30,35,40,45,50)/100*(Inputs!$B$11-Inputs!$B$11),0))))/100+(Inputs!$B$23+0+(IF(ArtifactsInput!$M$15,CHOOSE(ArtifactsInput!$N$15+1,25,30,35,40,45,50)/100*(Inputs!$B$11-Inputs!$B$11),0)))/100)/2</f>
        <v/>
      </c>
      <c r="M1596">
        <f>L1596*(1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6">
        <f>L1596*(1-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1596*(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6">
        <f>(1-Summary!$B$11)*T1596+Summary!$B$11*V1596</f>
        <v/>
      </c>
      <c r="P1596">
        <f>IF(B1628=0,0,O1596/B1628)</f>
        <v/>
      </c>
      <c r="Q1596" t="n">
        <v>0</v>
      </c>
      <c r="R1596" t="n">
        <v>0</v>
      </c>
      <c r="S1596">
        <f>IFERROR(O1596/N1596,0)</f>
        <v/>
      </c>
      <c r="T1596">
        <f>IF(C1596,(Skills!G4*H1596*N1596*B1622)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1596*(1-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1596*(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1596*(1-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1596*(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96">
        <f>290*U1595/1000</f>
        <v/>
      </c>
      <c r="V1596">
        <f>IF(C1596,(Skills!G4*H1596*N1596*B1622)*IF(Inputs!$B$38="pvp",1,(1+(Inputs!$B$21+Skills!Q4+(IF(ArtifactsInput!$M$33,CHOOSE(ArtifactsInput!$N$33+1,30,36,42,48,54,60),0))+(IF(AND(ArtifactsInput!$M$35,Inputs!$B$4&lt;&gt;"Chapter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7">
      <c r="A1597">
        <f>Skills!A5</f>
        <v/>
      </c>
      <c r="B1597">
        <f>Skills!B5</f>
        <v/>
      </c>
      <c r="C1597">
        <f>Inputs!$B$3&gt;=60</f>
        <v/>
      </c>
      <c r="D1597">
        <f>IF(Skills!C5=1,60+Inputs!$B$25+Inputs!$B$29,IF(Skills!C5=2,90+Inputs!$B$26+Inputs!$B$29,IF(Skills!C5=3,120+Inputs!$B$27+Inputs!$B$29,MAX(0,(Inputs!$B$3-100)*3)+Inputs!$B$28+Inputs!$B$29)))</f>
        <v/>
      </c>
      <c r="E1597">
        <f>INDEX(FactorTable!$B$2:$Y$301, MATCH(ROUND(MIN(300,MAX(1,D1597)),0), FactorTable!$A$2:$A$301,0), Skills!M5+1)</f>
        <v/>
      </c>
      <c r="F1597">
        <f>IF(Skills!N5=TRUE,(Skills!L5/10)*(E1597/1000),Skills!L5/10)+Skills!O5</f>
        <v/>
      </c>
      <c r="G1597">
        <f>Skills!G5*IF(Skills!H5&gt;0,Skills!I5/Skills!H5,1)</f>
        <v/>
      </c>
      <c r="H1597">
        <f>1-(1-Skills!J5/100)^Skills!K5</f>
        <v/>
      </c>
      <c r="I1597" t="inlineStr">
        <is>
          <t>1</t>
        </is>
      </c>
      <c r="J1597" t="inlineStr"/>
      <c r="K1597" t="inlineStr"/>
      <c r="L1597" t="inlineStr"/>
      <c r="M1597" t="inlineStr"/>
      <c r="N1597" t="inlineStr"/>
      <c r="O1597">
        <f>(1-Summary!$B$11)*T1597+Summary!$B$11*V1597</f>
        <v/>
      </c>
      <c r="P1597">
        <f>IF(B1628=0,0,O1597/B1628)</f>
        <v/>
      </c>
      <c r="Q1597" t="n">
        <v>0</v>
      </c>
      <c r="R1597" t="n">
        <v>0</v>
      </c>
      <c r="S1597">
        <f>IFERROR(O1597/N1597,0)</f>
        <v/>
      </c>
      <c r="T1597" t="n">
        <v>0</v>
      </c>
      <c r="V1597" t="n">
        <v>0</v>
      </c>
    </row>
    <row r="1598">
      <c r="A1598">
        <f>Skills!A6</f>
        <v/>
      </c>
      <c r="B1598">
        <f>Skills!B6</f>
        <v/>
      </c>
      <c r="C1598">
        <f>Inputs!$B$3&gt;=63</f>
        <v/>
      </c>
      <c r="D1598">
        <f>IF(Skills!C6=1,60+Inputs!$B$25+Inputs!$B$29,IF(Skills!C6=2,90+Inputs!$B$26+Inputs!$B$29,IF(Skills!C6=3,120+Inputs!$B$27+Inputs!$B$29,MAX(0,(Inputs!$B$3-100)*3)+Inputs!$B$28+Inputs!$B$29)))</f>
        <v/>
      </c>
      <c r="E1598">
        <f>INDEX(FactorTable!$B$2:$Y$301, MATCH(ROUND(MIN(300,MAX(1,D1598)),0), FactorTable!$A$2:$A$301,0), Skills!M6+1)</f>
        <v/>
      </c>
      <c r="F1598">
        <f>IF(Skills!N6=TRUE,(Skills!L6/10)*(E1598/1000),Skills!L6/10)+Skills!O6</f>
        <v/>
      </c>
      <c r="G1598">
        <f>Skills!G6*IF(Skills!H6&gt;0,Skills!I6/Skills!H6,1)</f>
        <v/>
      </c>
      <c r="H1598">
        <f>1-(1-Skills!J6/100)^Skills!K6</f>
        <v/>
      </c>
      <c r="I1598" t="inlineStr">
        <is>
          <t>1</t>
        </is>
      </c>
      <c r="J1598">
        <f>((Inputs!$B$6*(1+Inputs!$B$7/100))+(((Inputs!$B$12*(1+Inputs!$B$13/100))-(Inputs!$B$12*(1+Inputs!$B$13/100)))+0.25*(Inputs!$B$14-Inputs!$B$14))*(1+Inputs!$B$7/100))*(F1598/100)</f>
        <v/>
      </c>
      <c r="K1598">
        <f>J1598*(1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1604=TRUE,F1604,0)/100)*(1+(IF(Skills!A6="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1598)</f>
        <v/>
      </c>
      <c r="L1598">
        <f>K1598*(MIN(Inputs!$B$22+((C1612=TRUE)*(F1612-Calc!F20)),(Inputs!$B$23+0+(IF(ArtifactsInput!$M$15,CHOOSE(ArtifactsInput!$N$15+1,25,30,35,40,45,50)/100*(Inputs!$B$11-Inputs!$B$11),0))))/100+(Inputs!$B$23+0+(IF(ArtifactsInput!$M$15,CHOOSE(ArtifactsInput!$N$15+1,25,30,35,40,45,50)/100*(Inputs!$B$11-Inputs!$B$11),0)))/100)/2</f>
        <v/>
      </c>
      <c r="M1598">
        <f>L1598*(1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8">
        <f>L1598*(1-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1598*(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8">
        <f>(1-Summary!$B$11)*T1598+Summary!$B$11*V1598</f>
        <v/>
      </c>
      <c r="P1598">
        <f>IF(B1628=0,0,O1598/B1628)</f>
        <v/>
      </c>
      <c r="Q1598">
        <f>IFERROR(1/(IF(Inputs!$B$38="pvp",15,MAX(0.1,Skills!D6-IF(Skills!E6=TRUE,Inputs!$B$32,0)))*(1-IF(AND(ArtifactsInput!$M$27,Inputs!$B$4="Chapter Hunt"),CHOOSE(ArtifactsInput!$N$27+1,20,24,28,32,36,40),0)/100)),0)</f>
        <v/>
      </c>
      <c r="R1598">
        <f>IF(AND(Inputs!$B$38&lt;&gt;"pvp",Inputs!$B$43&gt;0),IF(MAX(0,Inputs!$B$43-B1625)&lt;=0,0,(INT(MAX(0,Inputs!$B$43-B1625)/(IF(Inputs!$B$38="pvp",15,MAX(0.1,Skills!D6-IF(Skills!E6=TRUE,Inputs!$B$32,0)))*(1-IF(AND(ArtifactsInput!$M$27,Inputs!$B$4="Chapter Hunt"),CHOOSE(ArtifactsInput!$N$27+1,20,24,28,32,36,40),0)/100)))+1)),0)</f>
        <v/>
      </c>
      <c r="S1598">
        <f>IFERROR(O1598/N1598,0)</f>
        <v/>
      </c>
      <c r="T1598">
        <f>IF(C1598,(H1598*N1598*IF(AND(Inputs!$B$38&lt;&gt;"pvp",Inputs!$B$43&gt;0),((Skills!G6*((R1598-1)*IF(Skills!H6&gt;0,Skills!I6/Skills!H6,1)+IF(Skills!H6&gt;0,MIN(Skills!I6,MAX(0,MAX(0,Inputs!$B$43-B1625)-((R1598-1)*(IF(Inputs!$B$38="pvp",15,MAX(0.1,Skills!D6-IF(Skills!E6=TRUE,Inputs!$B$32,0)))*(1-IF(AND(ArtifactsInput!$M$27,Inputs!$B$4="Chapter Hunt"),CHOOSE(ArtifactsInput!$N$27+1,20,24,28,32,36,40),0)/100)))))/Skills!H6,1)))/Inputs!$B$43),G1598*Q1598)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1598*(1-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1598*(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1598*(1-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1598*(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8">
        <f>IF(C1598,(H1598*N1598*IF(AND(Inputs!$B$38&lt;&gt;"pvp",Inputs!$B$43&gt;0),((Skills!G6*((R1598-1)*IF(Skills!H6&gt;0,Skills!I6/Skills!H6,1)+IF(Skills!H6&gt;0,MIN(Skills!I6,MAX(0,MAX(0,Inputs!$B$43-B1625)-((R1598-1)*(IF(Inputs!$B$38="pvp",15,MAX(0.1,Skills!D6-IF(Skills!E6=TRUE,Inputs!$B$32,0)))*(1-IF(AND(ArtifactsInput!$M$27,Inputs!$B$4="Chapter Hunt"),CHOOSE(ArtifactsInput!$N$27+1,20,24,28,32,36,40),0)/100)))))/Skills!H6,1)))/Inputs!$B$43),G1598*Q1598))*IF(Inputs!$B$38="pvp",1,(1+(Inputs!$B$21+Skills!Q6+(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99">
      <c r="A1599">
        <f>Skills!A7</f>
        <v/>
      </c>
      <c r="B1599">
        <f>Skills!B7</f>
        <v/>
      </c>
      <c r="C1599">
        <f>Inputs!$B$3&gt;=100</f>
        <v/>
      </c>
      <c r="D1599">
        <f>IF(Skills!C7=1,60+Inputs!$B$25+Inputs!$B$29,IF(Skills!C7=2,90+Inputs!$B$26+Inputs!$B$29,IF(Skills!C7=3,120+Inputs!$B$27+Inputs!$B$29,MAX(0,(Inputs!$B$3-100)*3)+Inputs!$B$28+Inputs!$B$29)))</f>
        <v/>
      </c>
      <c r="E1599">
        <f>INDEX(FactorTable!$B$2:$Y$301, MATCH(ROUND(MIN(300,MAX(1,D1599)),0), FactorTable!$A$2:$A$301,0), Skills!M7+1)</f>
        <v/>
      </c>
      <c r="F1599">
        <f>IF(Skills!N7=TRUE,(Skills!L7/10)*(E1599/1000),Skills!L7/10)+Skills!O7</f>
        <v/>
      </c>
      <c r="G1599">
        <f>Skills!G7*IF(Skills!H7&gt;0,Skills!I7/Skills!H7,1)</f>
        <v/>
      </c>
      <c r="H1599">
        <f>1-(1-Skills!J7/100)^Skills!K7</f>
        <v/>
      </c>
      <c r="I1599" t="inlineStr">
        <is>
          <t>1</t>
        </is>
      </c>
      <c r="J1599">
        <f>((Inputs!$B$6*(1+Inputs!$B$7/100))+(((Inputs!$B$12*(1+Inputs!$B$13/100))-(Inputs!$B$12*(1+Inputs!$B$13/100)))+0.25*(Inputs!$B$14-Inputs!$B$14))*(1+Inputs!$B$7/100))*(F1599/100)</f>
        <v/>
      </c>
      <c r="K1599">
        <f>J1599*(1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1599)</f>
        <v/>
      </c>
      <c r="L1599">
        <f>K1599*(MIN(Inputs!$B$22+((C1612=TRUE)*(F1612-Calc!F20)),(Inputs!$B$23+0+(IF(ArtifactsInput!$M$15,CHOOSE(ArtifactsInput!$N$15+1,25,30,35,40,45,50)/100*(Inputs!$B$11-Inputs!$B$11),0))))/100+(Inputs!$B$23+0+(IF(ArtifactsInput!$M$15,CHOOSE(ArtifactsInput!$N$15+1,25,30,35,40,45,50)/100*(Inputs!$B$11-Inputs!$B$11),0)))/100)/2</f>
        <v/>
      </c>
      <c r="M1599">
        <f>L1599*(1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99">
        <f>L1599*(1-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1599*(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99">
        <f>(1-Summary!$B$11)*T1599+Summary!$B$11*V1599</f>
        <v/>
      </c>
      <c r="P1599">
        <f>IF(B1628=0,0,O1599/B1628)</f>
        <v/>
      </c>
      <c r="Q1599">
        <f>IFERROR(1/(IF(Inputs!$B$38="pvp",15,MAX(0.1,Skills!D7-IF(Skills!E7=TRUE,Inputs!$B$32,0)))*(1-IF(AND(ArtifactsInput!$M$27,Inputs!$B$4="Chapter Hunt"),CHOOSE(ArtifactsInput!$N$27+1,20,24,28,32,36,40),0)/100)),0)</f>
        <v/>
      </c>
      <c r="R1599">
        <f>IF(AND(Inputs!$B$38&lt;&gt;"pvp",Inputs!$B$43&gt;0),IF(MAX(0,Inputs!$B$43-B1625)&lt;=0,0,(INT(MAX(0,Inputs!$B$43-B1625)/(IF(Inputs!$B$38="pvp",15,MAX(0.1,Skills!D7-IF(Skills!E7=TRUE,Inputs!$B$32,0)))*(1-IF(AND(ArtifactsInput!$M$27,Inputs!$B$4="Chapter Hunt"),CHOOSE(ArtifactsInput!$N$27+1,20,24,28,32,36,40),0)/100)))+1)),0)</f>
        <v/>
      </c>
      <c r="S1599">
        <f>IFERROR(O1599/N1599,0)</f>
        <v/>
      </c>
      <c r="T1599">
        <f>IF(C1599,(H1599*N1599*IF(AND(Inputs!$B$38&lt;&gt;"pvp",Inputs!$B$43&gt;0),((Skills!G7*((R1599-1)*IF(Skills!H7&gt;0,Skills!I7/Skills!H7,1)+IF(Skills!H7&gt;0,MIN(Skills!I7,MAX(0,MAX(0,Inputs!$B$43-B1625)-((R1599-1)*(IF(Inputs!$B$38="pvp",15,MAX(0.1,Skills!D7-IF(Skills!E7=TRUE,Inputs!$B$32,0)))*(1-IF(AND(ArtifactsInput!$M$27,Inputs!$B$4="Chapter Hunt"),CHOOSE(ArtifactsInput!$N$27+1,20,24,28,32,36,40),0)/100)))))/Skills!H7,1)))/Inputs!$B$43),G1599*Q1599)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1599*(1-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1599*(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1599*(1-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1599*(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99">
        <f>IF(C1599,(H1599*N1599*IF(AND(Inputs!$B$38&lt;&gt;"pvp",Inputs!$B$43&gt;0),((Skills!G7*((R1599-1)*IF(Skills!H7&gt;0,Skills!I7/Skills!H7,1)+IF(Skills!H7&gt;0,MIN(Skills!I7,MAX(0,MAX(0,Inputs!$B$43-B1625)-((R1599-1)*(IF(Inputs!$B$38="pvp",15,MAX(0.1,Skills!D7-IF(Skills!E7=TRUE,Inputs!$B$32,0)))*(1-IF(AND(ArtifactsInput!$M$27,Inputs!$B$4="Chapter Hunt"),CHOOSE(ArtifactsInput!$N$27+1,20,24,28,32,36,40),0)/100)))))/Skills!H7,1)))/Inputs!$B$43),G1599*Q1599))*IF(Inputs!$B$38="pvp",1,(1+(Inputs!$B$21+Skills!Q7+(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0">
      <c r="A1600">
        <f>Skills!A8</f>
        <v/>
      </c>
      <c r="B1600">
        <f>Skills!B8</f>
        <v/>
      </c>
      <c r="C1600">
        <f>Inputs!$B$3&gt;=110</f>
        <v/>
      </c>
      <c r="D1600">
        <f>IF(Skills!C8=1,60+Inputs!$B$25+Inputs!$B$29,IF(Skills!C8=2,90+Inputs!$B$26+Inputs!$B$29,IF(Skills!C8=3,120+Inputs!$B$27+Inputs!$B$29,MAX(0,(Inputs!$B$3-100)*3)+Inputs!$B$28+Inputs!$B$29)))</f>
        <v/>
      </c>
      <c r="E1600">
        <f>INDEX(FactorTable!$B$2:$Y$301, MATCH(ROUND(MIN(300,MAX(1,D1600)),0), FactorTable!$A$2:$A$301,0), Skills!M8+1)</f>
        <v/>
      </c>
      <c r="F1600">
        <f>IF(Skills!N8=TRUE,(Skills!L8/10)*(E1600/1000),Skills!L8/10)+Skills!O8</f>
        <v/>
      </c>
      <c r="G1600">
        <f>Skills!G8*IF(Skills!H8&gt;0,Skills!I8/Skills!H8,1)</f>
        <v/>
      </c>
      <c r="H1600">
        <f>1-(1-Skills!J8/100)^Skills!K8</f>
        <v/>
      </c>
      <c r="I1600" t="inlineStr">
        <is>
          <t>1</t>
        </is>
      </c>
      <c r="J1600">
        <f>((Inputs!$B$6*(1+Inputs!$B$7/100))+(((Inputs!$B$12*(1+Inputs!$B$13/100))-(Inputs!$B$12*(1+Inputs!$B$13/100)))+0.25*(Inputs!$B$14-Inputs!$B$14))*(1+Inputs!$B$7/100))*(F1600/100)</f>
        <v/>
      </c>
      <c r="K1600">
        <f>J1600*(1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1600)</f>
        <v/>
      </c>
      <c r="L1600">
        <f>K1600*(MIN(Inputs!$B$22+((C1612=TRUE)*(F1612-Calc!F20)),(Inputs!$B$23+0+(IF(ArtifactsInput!$M$15,CHOOSE(ArtifactsInput!$N$15+1,25,30,35,40,45,50)/100*(Inputs!$B$11-Inputs!$B$11),0))))/100+(Inputs!$B$23+0+(IF(ArtifactsInput!$M$15,CHOOSE(ArtifactsInput!$N$15+1,25,30,35,40,45,50)/100*(Inputs!$B$11-Inputs!$B$11),0)))/100)/2</f>
        <v/>
      </c>
      <c r="M1600">
        <f>L1600*(1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0">
        <f>L1600*(1-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1600*(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0">
        <f>(1-Summary!$B$11)*T1600+Summary!$B$11*V1600</f>
        <v/>
      </c>
      <c r="P1600">
        <f>IF(B1628=0,0,O1600/B1628)</f>
        <v/>
      </c>
      <c r="Q1600">
        <f>IFERROR(1/(IF(Inputs!$B$38="pvp",15,MAX(0.1,Skills!D8-IF(Skills!E8=TRUE,Inputs!$B$32,0)))*(1-IF(AND(ArtifactsInput!$M$27,Inputs!$B$4="Chapter Hunt"),CHOOSE(ArtifactsInput!$N$27+1,20,24,28,32,36,40),0)/100)),0)</f>
        <v/>
      </c>
      <c r="R1600">
        <f>IF(AND(Inputs!$B$38&lt;&gt;"pvp",Inputs!$B$43&gt;0),IF(MAX(0,Inputs!$B$43-B1625)&lt;=0,0,(INT(MAX(0,Inputs!$B$43-B1625)/(IF(Inputs!$B$38="pvp",15,MAX(0.1,Skills!D8-IF(Skills!E8=TRUE,Inputs!$B$32,0)))*(1-IF(AND(ArtifactsInput!$M$27,Inputs!$B$4="Chapter Hunt"),CHOOSE(ArtifactsInput!$N$27+1,20,24,28,32,36,40),0)/100)))+1)),0)</f>
        <v/>
      </c>
      <c r="S1600">
        <f>IFERROR(O1600/N1600,0)</f>
        <v/>
      </c>
      <c r="T1600">
        <f>IF(C1600,(H1600*N1600*IF(AND(Inputs!$B$38&lt;&gt;"pvp",Inputs!$B$43&gt;0),((Skills!G8*((R1600-1)*IF(Skills!H8&gt;0,Skills!I8/Skills!H8,1)+IF(Skills!H8&gt;0,MIN(Skills!I8,MAX(0,MAX(0,Inputs!$B$43-B1625)-((R1600-1)*(IF(Inputs!$B$38="pvp",15,MAX(0.1,Skills!D8-IF(Skills!E8=TRUE,Inputs!$B$32,0)))*(1-IF(AND(ArtifactsInput!$M$27,Inputs!$B$4="Chapter Hunt"),CHOOSE(ArtifactsInput!$N$27+1,20,24,28,32,36,40),0)/100)))))/Skills!H8,1)))/Inputs!$B$43),G1600*Q1600)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1600*(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1600*(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0">
        <f>IF(C1600,(H1600*N1600*IF(AND(Inputs!$B$38&lt;&gt;"pvp",Inputs!$B$43&gt;0),((Skills!G8*((R1600-1)*IF(Skills!H8&gt;0,Skills!I8/Skills!H8,1)+IF(Skills!H8&gt;0,MIN(Skills!I8,MAX(0,MAX(0,Inputs!$B$43-B1625)-((R1600-1)*(IF(Inputs!$B$38="pvp",15,MAX(0.1,Skills!D8-IF(Skills!E8=TRUE,Inputs!$B$32,0)))*(1-IF(AND(ArtifactsInput!$M$27,Inputs!$B$4="Chapter Hunt"),CHOOSE(ArtifactsInput!$N$27+1,20,24,28,32,36,40),0)/100)))))/Skills!H8,1)))/Inputs!$B$43),G1600*Q1600))*IF(Inputs!$B$38="pvp",1,(1+(Inputs!$B$21+Skills!Q8+(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1">
      <c r="A1601">
        <f>Skills!A9</f>
        <v/>
      </c>
      <c r="B1601">
        <f>Skills!B9</f>
        <v/>
      </c>
      <c r="C1601">
        <f>Inputs!$B$3&gt;=110</f>
        <v/>
      </c>
      <c r="D1601">
        <f>IF(Skills!C9=1,60+Inputs!$B$25+Inputs!$B$29,IF(Skills!C9=2,90+Inputs!$B$26+Inputs!$B$29,IF(Skills!C9=3,120+Inputs!$B$27+Inputs!$B$29,MAX(0,(Inputs!$B$3-100)*3)+Inputs!$B$28+Inputs!$B$29)))</f>
        <v/>
      </c>
      <c r="E1601">
        <f>INDEX(FactorTable!$B$2:$Y$301, MATCH(ROUND(MIN(300,MAX(1,D1601)),0), FactorTable!$A$2:$A$301,0), Skills!M9+1)</f>
        <v/>
      </c>
      <c r="F1601">
        <f>IF(Skills!N9=TRUE,(Skills!L9/10)*(E1601/1000),Skills!L9/10)+Skills!O9</f>
        <v/>
      </c>
      <c r="G1601">
        <f>Skills!G9*IF(Skills!H9&gt;0,Skills!I9/Skills!H9,1)</f>
        <v/>
      </c>
      <c r="H1601">
        <f>1-(1-Skills!J9/100)^Skills!K9</f>
        <v/>
      </c>
      <c r="I1601" t="inlineStr">
        <is>
          <t>1</t>
        </is>
      </c>
      <c r="J1601">
        <f>((Inputs!$B$6*(1+Inputs!$B$7/100))+(((Inputs!$B$12*(1+Inputs!$B$13/100))-(Inputs!$B$12*(1+Inputs!$B$13/100)))+0.25*(Inputs!$B$14-Inputs!$B$14))*(1+Inputs!$B$7/100))*(F1601/100)</f>
        <v/>
      </c>
      <c r="K1601">
        <f>J1601*(1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1601)</f>
        <v/>
      </c>
      <c r="L1601">
        <f>K1601*(MIN(Inputs!$B$22+((C1612=TRUE)*(F1612-Calc!F20)),(Inputs!$B$23+0+(IF(ArtifactsInput!$M$15,CHOOSE(ArtifactsInput!$N$15+1,25,30,35,40,45,50)/100*(Inputs!$B$11-Inputs!$B$11),0))))/100+(Inputs!$B$23+0+(IF(ArtifactsInput!$M$15,CHOOSE(ArtifactsInput!$N$15+1,25,30,35,40,45,50)/100*(Inputs!$B$11-Inputs!$B$11),0)))/100)/2</f>
        <v/>
      </c>
      <c r="M1601">
        <f>L1601*(1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1">
        <f>L1601*(1-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1">
        <f>(1-Summary!$B$11)*T1601+Summary!$B$11*V1601</f>
        <v/>
      </c>
      <c r="P1601">
        <f>IF(B1628=0,0,O1601/B1628)</f>
        <v/>
      </c>
      <c r="Q1601">
        <f>IFERROR(1/(IF(Inputs!$B$38="pvp",15,MAX(0.1,Skills!D9-IF(Skills!E9=TRUE,Inputs!$B$32,0)))*(1-IF(AND(ArtifactsInput!$M$27,Inputs!$B$4="Chapter Hunt"),CHOOSE(ArtifactsInput!$N$27+1,20,24,28,32,36,40),0)/100)),0)</f>
        <v/>
      </c>
      <c r="R1601">
        <f>IF(AND(Inputs!$B$38&lt;&gt;"pvp",Inputs!$B$43&gt;0),IF(MAX(0,Inputs!$B$43-B1625)&lt;=0,0,(INT(MAX(0,Inputs!$B$43-B1625)/(IF(Inputs!$B$38="pvp",15,MAX(0.1,Skills!D9-IF(Skills!E9=TRUE,Inputs!$B$32,0)))*(1-IF(AND(ArtifactsInput!$M$27,Inputs!$B$4="Chapter Hunt"),CHOOSE(ArtifactsInput!$N$27+1,20,24,28,32,36,40),0)/100)))+1)),0)</f>
        <v/>
      </c>
      <c r="S1601">
        <f>IFERROR(O1601/N1601,0)</f>
        <v/>
      </c>
      <c r="T1601">
        <f>IF(C1601,(H1601*N1601*IF(AND(Inputs!$B$38&lt;&gt;"pvp",Inputs!$B$43&gt;0),((Skills!G9*((R1601-1)*IF(Skills!H9&gt;0,Skills!I9/Skills!H9,1)+IF(Skills!H9&gt;0,MIN(Skills!I9,MAX(0,MAX(0,Inputs!$B$43-B1625)-((R1601-1)*(IF(Inputs!$B$38="pvp",15,MAX(0.1,Skills!D9-IF(Skills!E9=TRUE,Inputs!$B$32,0)))*(1-IF(AND(ArtifactsInput!$M$27,Inputs!$B$4="Chapter Hunt"),CHOOSE(ArtifactsInput!$N$27+1,20,24,28,32,36,40),0)/100)))))/Skills!H9,1)))/Inputs!$B$43),G1601*Q1601)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1601*(1-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1601*(1-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1">
        <f>IF(C1601,(H1601*N1601*IF(AND(Inputs!$B$38&lt;&gt;"pvp",Inputs!$B$43&gt;0),((Skills!G9*((R1601-1)*IF(Skills!H9&gt;0,Skills!I9/Skills!H9,1)+IF(Skills!H9&gt;0,MIN(Skills!I9,MAX(0,MAX(0,Inputs!$B$43-B1625)-((R1601-1)*(IF(Inputs!$B$38="pvp",15,MAX(0.1,Skills!D9-IF(Skills!E9=TRUE,Inputs!$B$32,0)))*(1-IF(AND(ArtifactsInput!$M$27,Inputs!$B$4="Chapter Hunt"),CHOOSE(ArtifactsInput!$N$27+1,20,24,28,32,36,40),0)/100)))))/Skills!H9,1)))/Inputs!$B$43),G1601*Q1601))*IF(Inputs!$B$38="pvp",1,(1+(Inputs!$B$21+Skills!Q9+(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2">
      <c r="A1602">
        <f>Skills!A10</f>
        <v/>
      </c>
      <c r="B1602">
        <f>Skills!B10</f>
        <v/>
      </c>
      <c r="C1602">
        <f>Inputs!$B$3&gt;=103</f>
        <v/>
      </c>
      <c r="D1602">
        <f>IF(Skills!C10=1,60+Inputs!$B$25+Inputs!$B$29,IF(Skills!C10=2,90+Inputs!$B$26+Inputs!$B$29,IF(Skills!C10=3,120+Inputs!$B$27+Inputs!$B$29,MAX(0,(Inputs!$B$3-100)*3)+Inputs!$B$28+Inputs!$B$29)))</f>
        <v/>
      </c>
      <c r="E1602">
        <f>INDEX(FactorTable!$B$2:$Y$301, MATCH(ROUND(MIN(300,MAX(1,D1602)),0), FactorTable!$A$2:$A$301,0), Skills!M10+1)</f>
        <v/>
      </c>
      <c r="F1602">
        <f>IF(Skills!N10=TRUE,(Skills!L10/10)*(E1602/1000),Skills!L10/10)+Skills!O10</f>
        <v/>
      </c>
      <c r="G1602">
        <f>Skills!G10*IF(Skills!H10&gt;0,Skills!I10/Skills!H10,1)</f>
        <v/>
      </c>
      <c r="H1602">
        <f>1-(1-Skills!J10/100)^Skills!K10</f>
        <v/>
      </c>
      <c r="I1602" t="inlineStr">
        <is>
          <t>1</t>
        </is>
      </c>
      <c r="J1602">
        <f>((Inputs!$B$6*(1+Inputs!$B$7/100))+(((Inputs!$B$12*(1+Inputs!$B$13/100))-(Inputs!$B$12*(1+Inputs!$B$13/100)))+0.25*(Inputs!$B$14-Inputs!$B$14))*(1+Inputs!$B$7/100))*(F1602/100)</f>
        <v/>
      </c>
      <c r="K1602">
        <f>J1602*(1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1602)</f>
        <v/>
      </c>
      <c r="L1602">
        <f>K1602*(MIN(Inputs!$B$22+((C1612=TRUE)*(F1612-Calc!F20)),(Inputs!$B$23+0+(IF(ArtifactsInput!$M$15,CHOOSE(ArtifactsInput!$N$15+1,25,30,35,40,45,50)/100*(Inputs!$B$11-Inputs!$B$11),0))))/100+(Inputs!$B$23+0+(IF(ArtifactsInput!$M$15,CHOOSE(ArtifactsInput!$N$15+1,25,30,35,40,45,50)/100*(Inputs!$B$11-Inputs!$B$11),0)))/100)/2</f>
        <v/>
      </c>
      <c r="M1602">
        <f>L1602*(1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2">
        <f>L1602*(1-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1602*(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2">
        <f>(1-Summary!$B$11)*T1602+Summary!$B$11*V1602</f>
        <v/>
      </c>
      <c r="P1602">
        <f>IF(B1628=0,0,O1602/B1628)</f>
        <v/>
      </c>
      <c r="Q1602">
        <f>IFERROR(1/(IF(Inputs!$B$38="pvp",15,MAX(0.1,Skills!D10-IF(Skills!E10=TRUE,Inputs!$B$32,0)))*(1-IF(AND(ArtifactsInput!$M$27,Inputs!$B$4="Chapter Hunt"),CHOOSE(ArtifactsInput!$N$27+1,20,24,28,32,36,40),0)/100)),0)</f>
        <v/>
      </c>
      <c r="R1602">
        <f>IF(AND(Inputs!$B$38&lt;&gt;"pvp",Inputs!$B$43&gt;0),IF(MAX(0,Inputs!$B$43-B1625)&lt;=0,0,(INT(MAX(0,Inputs!$B$43-B1625)/(IF(Inputs!$B$38="pvp",15,MAX(0.1,Skills!D10-IF(Skills!E10=TRUE,Inputs!$B$32,0)))*(1-IF(AND(ArtifactsInput!$M$27,Inputs!$B$4="Chapter Hunt"),CHOOSE(ArtifactsInput!$N$27+1,20,24,28,32,36,40),0)/100)))+1)),0)</f>
        <v/>
      </c>
      <c r="S1602">
        <f>IFERROR(O1602/N1602,0)</f>
        <v/>
      </c>
      <c r="T1602">
        <f>IF(C1602,(H1602*N1602*IF(AND(Inputs!$B$38&lt;&gt;"pvp",Inputs!$B$43&gt;0),((Skills!G10*((R1602-1)*IF(Skills!H10&gt;0,Skills!I10/Skills!H10,1)+IF(Skills!H10&gt;0,MIN(Skills!I10,MAX(0,MAX(0,Inputs!$B$43-B1625)-((R1602-1)*(IF(Inputs!$B$38="pvp",15,MAX(0.1,Skills!D10-IF(Skills!E10=TRUE,Inputs!$B$32,0)))*(1-IF(AND(ArtifactsInput!$M$27,Inputs!$B$4="Chapter Hunt"),CHOOSE(ArtifactsInput!$N$27+1,20,24,28,32,36,40),0)/100)))))/Skills!H10,1)))/Inputs!$B$43),G1602*Q1602)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1602*(1-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1602*(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1602*(1-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1602*(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2">
        <f>IF(C1602,(H1602*N1602*IF(AND(Inputs!$B$38&lt;&gt;"pvp",Inputs!$B$43&gt;0),((Skills!G10*((R1602-1)*IF(Skills!H10&gt;0,Skills!I10/Skills!H10,1)+IF(Skills!H10&gt;0,MIN(Skills!I10,MAX(0,MAX(0,Inputs!$B$43-B1625)-((R1602-1)*(IF(Inputs!$B$38="pvp",15,MAX(0.1,Skills!D10-IF(Skills!E10=TRUE,Inputs!$B$32,0)))*(1-IF(AND(ArtifactsInput!$M$27,Inputs!$B$4="Chapter Hunt"),CHOOSE(ArtifactsInput!$N$27+1,20,24,28,32,36,40),0)/100)))))/Skills!H10,1)))/Inputs!$B$43),G1602*Q1602))*IF(Inputs!$B$38="pvp",1,(1+(Inputs!$B$21+Skills!Q10+(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3">
      <c r="A1603">
        <f>Skills!A11</f>
        <v/>
      </c>
      <c r="B1603">
        <f>Skills!B11</f>
        <v/>
      </c>
      <c r="C1603">
        <f>Inputs!$B$3&gt;=113</f>
        <v/>
      </c>
      <c r="D1603">
        <f>IF(Skills!C11=1,60+Inputs!$B$25+Inputs!$B$29,IF(Skills!C11=2,90+Inputs!$B$26+Inputs!$B$29,IF(Skills!C11=3,120+Inputs!$B$27+Inputs!$B$29,MAX(0,(Inputs!$B$3-100)*3)+Inputs!$B$28+Inputs!$B$29)))</f>
        <v/>
      </c>
      <c r="E1603">
        <f>INDEX(FactorTable!$B$2:$Y$301, MATCH(ROUND(MIN(300,MAX(1,D1603)),0), FactorTable!$A$2:$A$301,0), Skills!M11+1)</f>
        <v/>
      </c>
      <c r="F1603">
        <f>IF(Skills!N11=TRUE,(Skills!L11/10)*(E1603/1000),Skills!L11/10)+Skills!O11</f>
        <v/>
      </c>
      <c r="G1603">
        <f>Skills!G11*IF(Skills!H11&gt;0,Skills!I11/Skills!H11,1)</f>
        <v/>
      </c>
      <c r="H1603">
        <f>1-(1-Skills!J11/100)^Skills!K11</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1614=TRUE)*(F1614-Calc!F22))+B1624)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1613=TRUE)*(F1613-Calc!F21))+(((IF(AND(ArtifactsInput!$M$42,((Inputs!$B$9+((C1608=TRUE)*(F1608-Calc!F16))+B1618+(ArtifactsInput!$M$24-ArtifactsInput!$M$24)*CHOOSE(ArtifactsInput!$N$24+1,10,12,14,16,18,20)+IF(ArtifactsInput!$M$10,CHOOSE(ArtifactsInput!$N$10+1,15,18,21,24,27,30)*(IF(Inputs!$B$38="pvp",MIN(15,15)/15,IF(AND(Inputs!$B$38&lt;&gt;"pvp",Inputs!$B$43&gt;0),MIN(15,Inputs!$B$43)/(Inputs!$B$43),0))),0)))&gt;=100),MIN(100,((Inputs!$B$9+((C1608=TRUE)*(F1608-Calc!F16))+B1618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1608=TRUE)*(F1608-Calc!F16))+B1618+(ArtifactsInput!$M$24-ArtifactsInput!$M$24)*CHOOSE(ArtifactsInput!$N$24+1,10,12,14,16,18,20)+IF(ArtifactsInput!$M$10,CHOOSE(ArtifactsInput!$N$10+1,15,18,21,24,27,30)*(IF(Inputs!$B$38="pvp",MIN(15,15)/15,IF(AND(Inputs!$B$38&lt;&gt;"pvp",Inputs!$B$43&gt;0),MIN(15,Inputs!$B$43)/(Inputs!$B$43),0))),0)))&gt;=100),CHOOSE(ArtifactsInput!$N$42+1,40,48,56,64,72,80),0))))/100)*((1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1612=TRUE)*(F1612-Calc!F20)),(Inputs!$B$23+0+(IF(ArtifactsInput!$M$15,CHOOSE(ArtifactsInput!$N$15+1,25,30,35,40,45,50)/100*(Inputs!$B$11-Inputs!$B$11),0))))/100+(Inputs!$B$23+0+(IF(ArtifactsInput!$M$15,CHOOSE(ArtifactsInput!$N$15+1,25,30,35,40,45,50)/100*(Inputs!$B$11-Inputs!$B$11),0)))/100)/2</f>
        <v/>
      </c>
      <c r="M1603">
        <f>L1603*(1+(Inputs!$B$10+0+B1623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IF(B1628=0,0,O1603/B1628)</f>
        <v/>
      </c>
      <c r="Q1603">
        <f>IFERROR(1/(IF(Inputs!$B$38="pvp",15,MAX(0.1,Skills!D11-IF(Skills!E11=TRUE,Inputs!$B$32,0)))*(1-IF(AND(ArtifactsInput!$M$27,Inputs!$B$4="Chapter Hunt"),CHOOSE(ArtifactsInput!$N$27+1,20,24,28,32,36,40),0)/100)),0)</f>
        <v/>
      </c>
      <c r="R1603">
        <f>IF(AND(Inputs!$B$38&lt;&gt;"pvp",Inputs!$B$43&gt;0),IF(MAX(0,Inputs!$B$43-B1625)&lt;=0,0,(INT(MAX(0,Inputs!$B$43-B1625)/(IF(Inputs!$B$38="pvp",15,MAX(0.1,Skills!D11-IF(Skills!E11=TRUE,Inputs!$B$32,0)))*(1-IF(AND(ArtifactsInput!$M$27,Inputs!$B$4="Chapter Hunt"),CHOOSE(ArtifactsInput!$N$27+1,20,24,28,32,36,40),0)/100)))+1)),0)</f>
        <v/>
      </c>
      <c r="S1603">
        <f>IFERROR(O1603/N1603,0)</f>
        <v/>
      </c>
      <c r="T1603">
        <f>IF(C1603,(H1603*N1603*IF(AND(Inputs!$B$38&lt;&gt;"pvp",Inputs!$B$43&gt;0),((Skills!G11*((R1603-1)*IF(Skills!H11&gt;0,Skills!I11/Skills!H11,1)+IF(Skills!H11&gt;0,MIN(Skills!I11,MAX(0,MAX(0,Inputs!$B$43-B1625)-((R1603-1)*(IF(Inputs!$B$38="pvp",15,MAX(0.1,Skills!D11-IF(Skills!E11=TRUE,Inputs!$B$32,0)))*(1-IF(AND(ArtifactsInput!$M$27,Inputs!$B$4="Chapter Hunt"),CHOOSE(ArtifactsInput!$N$27+1,20,24,28,32,36,40),0)/100)))))/Skills!H11,1)))/Inputs!$B$43),G1603*Q1603)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1608=TRUE)*(F1608-Calc!F16))+B1618+(ArtifactsInput!$M$24-ArtifactsInput!$M$24)*CHOOSE(ArtifactsInput!$N$24+1,10,12,14,16,18,20)+(IF(AND(ArtifactsInput!$M$42,((Inputs!$B$9+((C1608=TRUE)*(F1608-Calc!F16))+B1618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3">
        <f>IF(C1603,(H1603*N1603*IF(AND(Inputs!$B$38&lt;&gt;"pvp",Inputs!$B$43&gt;0),((Skills!G11*((R1603-1)*IF(Skills!H11&gt;0,Skills!I11/Skills!H11,1)+IF(Skills!H11&gt;0,MIN(Skills!I11,MAX(0,MAX(0,Inputs!$B$43-B1625)-((R1603-1)*(IF(Inputs!$B$38="pvp",15,MAX(0.1,Skills!D11-IF(Skills!E11=TRUE,Inputs!$B$32,0)))*(1-IF(AND(ArtifactsInput!$M$27,Inputs!$B$4="Chapter Hunt"),CHOOSE(ArtifactsInput!$N$27+1,20,24,28,32,36,40),0)/100)))))/Skills!H11,1)))/Inputs!$B$43),G1603*Q1603))*IF(Inputs!$B$38="pvp",1,(1+(Inputs!$B$21+Skills!Q11+(IF(ArtifactsInput!$M$33,CHOOSE(ArtifactsInput!$N$33+1,30,36,42,48,54,60),0))+(IF(AND(ArtifactsInput!$M$35,Inputs!$B$4&lt;&gt;"Chapter Hunt"),CHOOSE(ArtifactsInput!$N$35+1,15,18,21,24,27,30)*(1-EXP(-(0.2*B1620)*5)),0)+IF(AND(ArtifactsInput!$M$22,Inputs!$B$4&lt;&gt;"Chapter Hunt"),CHOOSE(ArtifactsInput!$N$22+1,10,12,14,16,18,20)*((0*(((0.15*B1620*5))^0/1)+1*(((0.15*B1620*5))^1/1)+2*(((0.15*B1620*5))^2/2)+3*(((0.15*B1620*5))^3/6)+4*(((0.15*B1620*5))^4/24)+5*(((0.15*B1620*5))^5/120))/((((0.15*B1620*5))^0/1)+(((0.15*B1620*5))^1/1)+(((0.15*B1620*5))^2/2)+(((0.15*B1620*5))^3/6)+(((0.15*B1620*5))^4/24)+(((0.15*B1620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Skills!A12</f>
        <v/>
      </c>
      <c r="B1604">
        <f>Skills!B12</f>
        <v/>
      </c>
      <c r="C1604">
        <f>Inputs!$B$3&gt;=100</f>
        <v/>
      </c>
      <c r="D1604">
        <f>IF(Skills!C12=1,60+Inputs!$B$25+Inputs!$B$29,IF(Skills!C12=2,90+Inputs!$B$26+Inputs!$B$29,IF(Skills!C12=3,120+Inputs!$B$27+Inputs!$B$29,MAX(0,(Inputs!$B$3-100)*3)+Inputs!$B$28+Inputs!$B$29)))</f>
        <v/>
      </c>
      <c r="E1604">
        <f>INDEX(FactorTable!$B$2:$Y$301, MATCH(ROUND(MIN(300,MAX(1,D1604)),0), FactorTable!$A$2:$A$301,0), Skills!M12+1)</f>
        <v/>
      </c>
      <c r="F1604">
        <f>IF(Skills!N12=TRUE,(Skills!L12/10)*(E1604/1000),Skills!L12/10)+Skills!O12</f>
        <v/>
      </c>
      <c r="G1604" t="inlineStr"/>
      <c r="H1604" t="inlineStr"/>
      <c r="I1604" t="inlineStr">
        <is>
          <t>1</t>
        </is>
      </c>
      <c r="J1604" t="inlineStr"/>
      <c r="K1604" t="inlineStr"/>
      <c r="L1604" t="inlineStr"/>
      <c r="M1604" t="inlineStr"/>
      <c r="N1604" t="inlineStr"/>
      <c r="O1604" t="inlineStr"/>
      <c r="P1604" t="inlineStr"/>
      <c r="Q1604" t="inlineStr"/>
      <c r="R1604" t="inlineStr"/>
      <c r="S1604" t="inlineStr"/>
      <c r="T1604" t="inlineStr"/>
      <c r="V1604" t="inlineStr"/>
    </row>
    <row r="1605">
      <c r="A1605">
        <f>Skills!A13</f>
        <v/>
      </c>
      <c r="B1605">
        <f>Skills!B13</f>
        <v/>
      </c>
      <c r="C1605">
        <f>Inputs!$B$3&gt;=66</f>
        <v/>
      </c>
      <c r="D1605">
        <f>IF(Skills!C13=1,60+Inputs!$B$25+Inputs!$B$29,IF(Skills!C13=2,90+Inputs!$B$26+Inputs!$B$29,IF(Skills!C13=3,120+Inputs!$B$27+Inputs!$B$29,MAX(0,(Inputs!$B$3-100)*3)+Inputs!$B$28+Inputs!$B$29)))</f>
        <v/>
      </c>
      <c r="E1605">
        <f>INDEX(FactorTable!$B$2:$Y$301, MATCH(ROUND(MIN(300,MAX(1,D1605)),0), FactorTable!$A$2:$A$301,0), Skills!M13+1)</f>
        <v/>
      </c>
      <c r="F1605">
        <f>IF(Skills!N13=TRUE,(Skills!L13/10)*(E1605/1000),Skills!L13/10)+Skills!O13</f>
        <v/>
      </c>
      <c r="G1605">
        <f>Skills!G13*IF(Skills!H13&gt;0,Skills!I13/Skills!H13,1)</f>
        <v/>
      </c>
      <c r="H1605">
        <f>1-(1-Skills!J13/100)^Skills!K13</f>
        <v/>
      </c>
      <c r="I1605" t="inlineStr">
        <is>
          <t>1</t>
        </is>
      </c>
      <c r="J1605" t="inlineStr"/>
      <c r="K1605" t="inlineStr"/>
      <c r="L1605" t="inlineStr"/>
      <c r="M1605" t="inlineStr"/>
      <c r="N1605" t="inlineStr"/>
      <c r="O1605">
        <f>(1-Summary!$B$11)*T1605+Summary!$B$11*V1605</f>
        <v/>
      </c>
      <c r="P1605">
        <f>IF(B1628=0,0,O1605/B1628)</f>
        <v/>
      </c>
      <c r="Q1605" t="n">
        <v>0</v>
      </c>
      <c r="R1605" t="n">
        <v>0</v>
      </c>
      <c r="S1605">
        <f>IFERROR(O1605/N1605,0)</f>
        <v/>
      </c>
      <c r="T1605" t="n">
        <v>0</v>
      </c>
      <c r="V1605" t="n">
        <v>0</v>
      </c>
    </row>
    <row r="1606">
      <c r="A1606">
        <f>Skills!A14</f>
        <v/>
      </c>
      <c r="B1606">
        <f>Skills!B14</f>
        <v/>
      </c>
      <c r="C1606">
        <f>Inputs!$B$3&gt;=107</f>
        <v/>
      </c>
      <c r="D1606">
        <f>IF(Skills!C14=1,60+Inputs!$B$25+Inputs!$B$29,IF(Skills!C14=2,90+Inputs!$B$26+Inputs!$B$29,IF(Skills!C14=3,120+Inputs!$B$27+Inputs!$B$29,MAX(0,(Inputs!$B$3-100)*3)+Inputs!$B$28+Inputs!$B$29)))</f>
        <v/>
      </c>
      <c r="E1606">
        <f>INDEX(FactorTable!$B$2:$Y$301, MATCH(ROUND(MIN(300,MAX(1,D1606)),0), FactorTable!$A$2:$A$301,0), Skills!M14+1)</f>
        <v/>
      </c>
      <c r="F1606">
        <f>IF(Skills!N14=TRUE,(Skills!L14/10)*(E1606/1000),Skills!L14/10)+Skills!O14</f>
        <v/>
      </c>
      <c r="G1606">
        <f>Skills!G14*IF(Skills!H14&gt;0,Skills!I14/Skills!H14,1)</f>
        <v/>
      </c>
      <c r="H1606">
        <f>1-(1-Skills!J14/100)^Skills!K14</f>
        <v/>
      </c>
      <c r="I1606" t="inlineStr">
        <is>
          <t>1</t>
        </is>
      </c>
      <c r="J1606" t="inlineStr"/>
      <c r="K1606" t="inlineStr"/>
      <c r="L1606" t="inlineStr"/>
      <c r="M1606" t="inlineStr"/>
      <c r="N1606" t="inlineStr"/>
      <c r="O1606">
        <f>(1-Summary!$B$11)*T1606+Summary!$B$11*V1606</f>
        <v/>
      </c>
      <c r="P1606">
        <f>IF(B1628=0,0,O1606/B1628)</f>
        <v/>
      </c>
      <c r="Q1606">
        <f>IFERROR(1/(IF(Inputs!$B$38="pvp",15,MAX(0.1,Skills!D14-IF(Skills!E14=TRUE,Inputs!$B$32,0)))*(1-IF(AND(ArtifactsInput!$M$27,Inputs!$B$4="Chapter Hunt"),CHOOSE(ArtifactsInput!$N$27+1,20,24,28,32,36,40),0)/100)),0)</f>
        <v/>
      </c>
      <c r="R1606">
        <f>IF(AND(Inputs!$B$38&lt;&gt;"pvp",Inputs!$B$43&gt;0),IF(Inputs!$B$43&lt;=0,0,(INT(Inputs!$B$43/(IF(Inputs!$B$38="pvp",15,MAX(0.1,Skills!D14-IF(Skills!E14=TRUE,Inputs!$B$32,0)))*(1-IF(AND(ArtifactsInput!$M$27,Inputs!$B$4="Chapter Hunt"),CHOOSE(ArtifactsInput!$N$27+1,20,24,28,32,36,40),0)/100)))+1)),0)</f>
        <v/>
      </c>
      <c r="S1606">
        <f>IFERROR(O1606/N1606,0)</f>
        <v/>
      </c>
      <c r="T1606" t="n">
        <v>0</v>
      </c>
      <c r="V1606" t="n">
        <v>0</v>
      </c>
    </row>
    <row r="1607">
      <c r="A1607">
        <f>Skills!A15</f>
        <v/>
      </c>
      <c r="B1607">
        <f>Skills!B15</f>
        <v/>
      </c>
      <c r="C1607">
        <f>Inputs!$B$3&gt;=115</f>
        <v/>
      </c>
      <c r="D1607">
        <f>IF(Skills!C15=1,60+Inputs!$B$25+Inputs!$B$29,IF(Skills!C15=2,90+Inputs!$B$26+Inputs!$B$29,IF(Skills!C15=3,120+Inputs!$B$27+Inputs!$B$29,MAX(0,(Inputs!$B$3-100)*3)+Inputs!$B$28+Inputs!$B$29)))</f>
        <v/>
      </c>
      <c r="E1607">
        <f>INDEX(FactorTable!$B$2:$Y$301, MATCH(ROUND(MIN(300,MAX(1,D1607)),0), FactorTable!$A$2:$A$301,0), Skills!M15+1)</f>
        <v/>
      </c>
      <c r="F1607">
        <f>IF(Skills!N15=TRUE,(Skills!L15/10)*(E1607/1000),Skills!L15/10)+Skills!O15</f>
        <v/>
      </c>
      <c r="G1607">
        <f>Skills!G15*IF(Skills!H15&gt;0,Skills!I15/Skills!H15,1)</f>
        <v/>
      </c>
      <c r="H1607">
        <f>1-(1-Skills!J15/100)^Skills!K15</f>
        <v/>
      </c>
      <c r="I1607" t="inlineStr">
        <is>
          <t>1</t>
        </is>
      </c>
      <c r="J1607" t="inlineStr"/>
      <c r="K1607" t="inlineStr"/>
      <c r="L1607" t="inlineStr"/>
      <c r="M1607" t="inlineStr"/>
      <c r="N1607" t="inlineStr"/>
      <c r="O1607">
        <f>(1-Summary!$B$11)*T1607+Summary!$B$11*V1607</f>
        <v/>
      </c>
      <c r="P1607">
        <f>IF(B1628=0,0,O1607/B1628)</f>
        <v/>
      </c>
      <c r="Q1607">
        <f>IFERROR(1/(IF(Inputs!$B$38="pvp",15,MAX(0.1,Skills!D15-IF(Skills!E15=TRUE,Inputs!$B$32,0)))*(1-IF(AND(ArtifactsInput!$M$27,Inputs!$B$4="Chapter Hunt"),CHOOSE(ArtifactsInput!$N$27+1,20,24,28,32,36,40),0)/100)),0)</f>
        <v/>
      </c>
      <c r="R1607">
        <f>IF(AND(Inputs!$B$38&lt;&gt;"pvp",Inputs!$B$43&gt;0),IF(Inputs!$B$43&lt;=0,0,(INT(Inputs!$B$43/(IF(Inputs!$B$38="pvp",15,MAX(0.1,Skills!D15-IF(Skills!E15=TRUE,Inputs!$B$32,0)))*(1-IF(AND(ArtifactsInput!$M$27,Inputs!$B$4="Chapter Hunt"),CHOOSE(ArtifactsInput!$N$27+1,20,24,28,32,36,40),0)/100)))+1)),0)</f>
        <v/>
      </c>
      <c r="S1607">
        <f>IFERROR(O1607/N1607,0)</f>
        <v/>
      </c>
      <c r="T1607" t="n">
        <v>0</v>
      </c>
      <c r="V1607" t="n">
        <v>0</v>
      </c>
    </row>
    <row r="1608">
      <c r="A1608">
        <f>Skills!A16</f>
        <v/>
      </c>
      <c r="B1608">
        <f>Skills!B16</f>
        <v/>
      </c>
      <c r="C1608">
        <f>Inputs!$B$3&gt;=15</f>
        <v/>
      </c>
      <c r="D1608">
        <f>IF(Skills!C16=1,60+Inputs!$B$25+Inputs!$B$29,IF(Skills!C16=2,90+Inputs!$B$26+Inputs!$B$29,IF(Skills!C16=3,120+Inputs!$B$27+Inputs!$B$29,MAX(0,(Inputs!$B$3-100)*3)+Inputs!$B$28+Inputs!$B$29)))</f>
        <v/>
      </c>
      <c r="E1608">
        <f>INDEX(FactorTable!$B$2:$Y$301, MATCH(ROUND(MIN(300,MAX(1,D1608)),0), FactorTable!$A$2:$A$301,0), Skills!M16+1)</f>
        <v/>
      </c>
      <c r="F1608">
        <f>IF(Skills!N16=TRUE,(Skills!L16/10)*(E1608/1000),Skills!L16/10)+Skills!O16</f>
        <v/>
      </c>
      <c r="G1608">
        <f>Skills!G16*IF(Skills!H16&gt;0,Skills!I16/Skills!H16,1)</f>
        <v/>
      </c>
      <c r="H1608">
        <f>1-(1-Skills!J16/100)^Skills!K16</f>
        <v/>
      </c>
      <c r="I1608" t="inlineStr">
        <is>
          <t>1</t>
        </is>
      </c>
      <c r="J1608" t="inlineStr"/>
      <c r="K1608" t="inlineStr"/>
      <c r="L1608" t="inlineStr"/>
      <c r="M1608" t="inlineStr"/>
      <c r="N1608" t="inlineStr"/>
      <c r="O1608">
        <f>(1-Summary!$B$11)*T1608+Summary!$B$11*V1608</f>
        <v/>
      </c>
      <c r="P1608">
        <f>IF(B1628=0,0,O1608/B1628)</f>
        <v/>
      </c>
      <c r="Q1608" t="n">
        <v>0</v>
      </c>
      <c r="R1608" t="n">
        <v>0</v>
      </c>
      <c r="S1608">
        <f>IFERROR(O1608/N1608,0)</f>
        <v/>
      </c>
      <c r="T1608" t="n">
        <v>0</v>
      </c>
      <c r="V1608" t="n">
        <v>0</v>
      </c>
    </row>
    <row r="1609">
      <c r="A1609">
        <f>Skills!A17</f>
        <v/>
      </c>
      <c r="B1609">
        <f>Skills!B17</f>
        <v/>
      </c>
      <c r="C1609">
        <f>Inputs!$B$3&gt;=10</f>
        <v/>
      </c>
      <c r="D1609">
        <f>IF(Skills!C17=1,60+Inputs!$B$25+Inputs!$B$29,IF(Skills!C17=2,90+Inputs!$B$26+Inputs!$B$29,IF(Skills!C17=3,120+Inputs!$B$27+Inputs!$B$29,MAX(0,(Inputs!$B$3-100)*3)+Inputs!$B$28+Inputs!$B$29)))</f>
        <v/>
      </c>
      <c r="E1609">
        <f>INDEX(FactorTable!$B$2:$Y$301, MATCH(ROUND(MIN(300,MAX(1,D1609)),0), FactorTable!$A$2:$A$301,0), Skills!M17+1)</f>
        <v/>
      </c>
      <c r="F1609">
        <f>IF(Skills!N17=TRUE,(Skills!L17/10)*(E1609/1000),Skills!L17/10)+Skills!O17</f>
        <v/>
      </c>
      <c r="G1609">
        <f>Skills!G17*IF(Skills!H17&gt;0,Skills!I17/Skills!H17,1)</f>
        <v/>
      </c>
      <c r="H1609">
        <f>1-(1-Skills!J17/100)^Skills!K17</f>
        <v/>
      </c>
      <c r="I1609" t="inlineStr">
        <is>
          <t>1</t>
        </is>
      </c>
      <c r="J1609" t="inlineStr"/>
      <c r="K1609" t="inlineStr"/>
      <c r="L1609" t="inlineStr"/>
      <c r="M1609" t="inlineStr"/>
      <c r="N1609" t="inlineStr"/>
      <c r="O1609">
        <f>(1-Summary!$B$11)*T1609+Summary!$B$11*V1609</f>
        <v/>
      </c>
      <c r="P1609">
        <f>IF(B1628=0,0,O1609/B1628)</f>
        <v/>
      </c>
      <c r="Q1609" t="n">
        <v>0</v>
      </c>
      <c r="R1609" t="n">
        <v>0</v>
      </c>
      <c r="S1609">
        <f>IFERROR(O1609/N1609,0)</f>
        <v/>
      </c>
      <c r="T1609" t="n">
        <v>0</v>
      </c>
      <c r="V1609" t="n">
        <v>0</v>
      </c>
    </row>
    <row r="1610">
      <c r="A1610">
        <f>Skills!A18</f>
        <v/>
      </c>
      <c r="B1610">
        <f>Skills!B18</f>
        <v/>
      </c>
      <c r="C1610">
        <f>Inputs!$B$3&gt;=33</f>
        <v/>
      </c>
      <c r="D1610">
        <f>IF(Skills!C18=1,60+Inputs!$B$25+Inputs!$B$29,IF(Skills!C18=2,90+Inputs!$B$26+Inputs!$B$29,IF(Skills!C18=3,120+Inputs!$B$27+Inputs!$B$29,MAX(0,(Inputs!$B$3-100)*3)+Inputs!$B$28+Inputs!$B$29)))</f>
        <v/>
      </c>
      <c r="E1610">
        <f>INDEX(FactorTable!$B$2:$Y$301, MATCH(ROUND(MIN(300,MAX(1,D1610)),0), FactorTable!$A$2:$A$301,0), Skills!M18+1)</f>
        <v/>
      </c>
      <c r="F1610">
        <f>IF(Skills!N18=TRUE,(Skills!L18/10)*(E1610/1000),Skills!L18/10)+Skills!O18</f>
        <v/>
      </c>
      <c r="G1610">
        <f>Skills!G18*IF(Skills!H18&gt;0,Skills!I18/Skills!H18,1)</f>
        <v/>
      </c>
      <c r="H1610">
        <f>1-(1-Skills!J18/100)^Skills!K18</f>
        <v/>
      </c>
      <c r="I1610" t="inlineStr">
        <is>
          <t>1</t>
        </is>
      </c>
      <c r="J1610" t="inlineStr"/>
      <c r="K1610" t="inlineStr"/>
      <c r="L1610" t="inlineStr"/>
      <c r="M1610" t="inlineStr"/>
      <c r="N1610" t="inlineStr"/>
      <c r="O1610">
        <f>(1-Summary!$B$11)*T1610+Summary!$B$11*V1610</f>
        <v/>
      </c>
      <c r="P1610">
        <f>IF(B1628=0,0,O1610/B1628)</f>
        <v/>
      </c>
      <c r="Q1610" t="n">
        <v>0</v>
      </c>
      <c r="R1610" t="n">
        <v>0</v>
      </c>
      <c r="S1610">
        <f>IFERROR(O1610/N1610,0)</f>
        <v/>
      </c>
      <c r="T1610" t="n">
        <v>0</v>
      </c>
      <c r="V1610" t="n">
        <v>0</v>
      </c>
    </row>
    <row r="1611">
      <c r="A1611">
        <f>Skills!A19</f>
        <v/>
      </c>
      <c r="B1611">
        <f>Skills!B19</f>
        <v/>
      </c>
      <c r="C1611">
        <f>Inputs!$B$3&gt;=40</f>
        <v/>
      </c>
      <c r="D1611">
        <f>IF(Skills!C19=1,60+Inputs!$B$25+Inputs!$B$29,IF(Skills!C19=2,90+Inputs!$B$26+Inputs!$B$29,IF(Skills!C19=3,120+Inputs!$B$27+Inputs!$B$29,MAX(0,(Inputs!$B$3-100)*3)+Inputs!$B$28+Inputs!$B$29)))</f>
        <v/>
      </c>
      <c r="E1611">
        <f>INDEX(FactorTable!$B$2:$Y$301, MATCH(ROUND(MIN(300,MAX(1,D1611)),0), FactorTable!$A$2:$A$301,0), Skills!M19+1)</f>
        <v/>
      </c>
      <c r="F1611">
        <f>IF(Skills!N19=TRUE,(Skills!L19/10)*(E1611/1000),Skills!L19/10)+Skills!O19</f>
        <v/>
      </c>
      <c r="G1611">
        <f>Skills!G19*IF(Skills!H19&gt;0,Skills!I19/Skills!H19,1)</f>
        <v/>
      </c>
      <c r="H1611">
        <f>1-(1-Skills!J19/100)^Skills!K19</f>
        <v/>
      </c>
      <c r="I1611" t="inlineStr">
        <is>
          <t>1</t>
        </is>
      </c>
      <c r="J1611" t="inlineStr"/>
      <c r="K1611" t="inlineStr"/>
      <c r="L1611" t="inlineStr"/>
      <c r="M1611" t="inlineStr"/>
      <c r="N1611" t="inlineStr"/>
      <c r="O1611">
        <f>(1-Summary!$B$11)*T1611+Summary!$B$11*V1611</f>
        <v/>
      </c>
      <c r="P1611">
        <f>IF(B1628=0,0,O1611/B1628)</f>
        <v/>
      </c>
      <c r="Q1611" t="n">
        <v>0</v>
      </c>
      <c r="R1611" t="n">
        <v>0</v>
      </c>
      <c r="S1611">
        <f>IFERROR(O1611/N1611,0)</f>
        <v/>
      </c>
      <c r="T1611" t="n">
        <v>0</v>
      </c>
      <c r="V1611" t="n">
        <v>0</v>
      </c>
    </row>
    <row r="1612">
      <c r="A1612">
        <f>Skills!A20</f>
        <v/>
      </c>
      <c r="B1612">
        <f>Skills!B20</f>
        <v/>
      </c>
      <c r="C1612">
        <f>Inputs!$B$3&gt;=43</f>
        <v/>
      </c>
      <c r="D1612">
        <f>IF(Skills!C20=1,60+Inputs!$B$25+Inputs!$B$29,IF(Skills!C20=2,90+Inputs!$B$26+Inputs!$B$29,IF(Skills!C20=3,120+Inputs!$B$27+Inputs!$B$29,MAX(0,(Inputs!$B$3-100)*3)+Inputs!$B$28+Inputs!$B$29)))</f>
        <v/>
      </c>
      <c r="E1612">
        <f>INDEX(FactorTable!$B$2:$Y$301, MATCH(ROUND(MIN(300,MAX(1,D1612)),0), FactorTable!$A$2:$A$301,0), Skills!M20+1)</f>
        <v/>
      </c>
      <c r="F1612">
        <f>IF(Skills!N20=TRUE,(Skills!L20/10)*(E1612/1000),Skills!L20/10)+Skills!O20</f>
        <v/>
      </c>
      <c r="G1612">
        <f>Skills!G20*IF(Skills!H20&gt;0,Skills!I20/Skills!H20,1)</f>
        <v/>
      </c>
      <c r="H1612">
        <f>1-(1-Skills!J20/100)^Skills!K20</f>
        <v/>
      </c>
      <c r="I1612" t="inlineStr">
        <is>
          <t>1</t>
        </is>
      </c>
      <c r="J1612" t="inlineStr"/>
      <c r="K1612" t="inlineStr"/>
      <c r="L1612" t="inlineStr"/>
      <c r="M1612" t="inlineStr"/>
      <c r="N1612" t="inlineStr"/>
      <c r="O1612">
        <f>(1-Summary!$B$11)*T1612+Summary!$B$11*V1612</f>
        <v/>
      </c>
      <c r="P1612">
        <f>IF(B1628=0,0,O1612/B1628)</f>
        <v/>
      </c>
      <c r="Q1612" t="n">
        <v>0</v>
      </c>
      <c r="R1612" t="n">
        <v>0</v>
      </c>
      <c r="S1612">
        <f>IFERROR(O1612/N1612,0)</f>
        <v/>
      </c>
      <c r="T1612" t="n">
        <v>0</v>
      </c>
      <c r="V1612" t="n">
        <v>0</v>
      </c>
    </row>
    <row r="1613">
      <c r="A1613">
        <f>Skills!A21</f>
        <v/>
      </c>
      <c r="B1613">
        <f>Skills!B21</f>
        <v/>
      </c>
      <c r="C1613">
        <f>Inputs!$B$3&gt;=38</f>
        <v/>
      </c>
      <c r="D1613">
        <f>IF(Skills!C21=1,60+Inputs!$B$25+Inputs!$B$29,IF(Skills!C21=2,90+Inputs!$B$26+Inputs!$B$29,IF(Skills!C21=3,120+Inputs!$B$27+Inputs!$B$29,MAX(0,(Inputs!$B$3-100)*3)+Inputs!$B$28+Inputs!$B$29)))</f>
        <v/>
      </c>
      <c r="E1613">
        <f>INDEX(FactorTable!$B$2:$Y$301, MATCH(ROUND(MIN(300,MAX(1,D1613)),0), FactorTable!$A$2:$A$301,0), Skills!M21+1)</f>
        <v/>
      </c>
      <c r="F1613">
        <f>IF(Skills!N21=TRUE,(Skills!L21/10)*(E1613/1000),Skills!L21/10)+Skills!O21</f>
        <v/>
      </c>
      <c r="G1613">
        <f>Skills!G21*IF(Skills!H21&gt;0,Skills!I21/Skills!H21,1)</f>
        <v/>
      </c>
      <c r="H1613">
        <f>1-(1-Skills!J21/100)^Skills!K21</f>
        <v/>
      </c>
      <c r="I1613" t="inlineStr">
        <is>
          <t>1</t>
        </is>
      </c>
      <c r="J1613" t="inlineStr"/>
      <c r="K1613" t="inlineStr"/>
      <c r="L1613" t="inlineStr"/>
      <c r="M1613" t="inlineStr"/>
      <c r="N1613" t="inlineStr"/>
      <c r="O1613">
        <f>(1-Summary!$B$11)*T1613+Summary!$B$11*V1613</f>
        <v/>
      </c>
      <c r="P1613">
        <f>IF(B1628=0,0,O1613/B1628)</f>
        <v/>
      </c>
      <c r="Q1613" t="n">
        <v>0</v>
      </c>
      <c r="R1613" t="n">
        <v>0</v>
      </c>
      <c r="S1613">
        <f>IFERROR(O1613/N1613,0)</f>
        <v/>
      </c>
      <c r="T1613" t="n">
        <v>0</v>
      </c>
      <c r="V1613" t="n">
        <v>0</v>
      </c>
    </row>
    <row r="1614">
      <c r="A1614">
        <f>Skills!A22</f>
        <v/>
      </c>
      <c r="B1614">
        <f>Skills!B22</f>
        <v/>
      </c>
      <c r="C1614">
        <f>Inputs!$B$3&gt;=75</f>
        <v/>
      </c>
      <c r="D1614">
        <f>IF(Skills!C22=1,60+Inputs!$B$25+Inputs!$B$29,IF(Skills!C22=2,90+Inputs!$B$26+Inputs!$B$29,IF(Skills!C22=3,120+Inputs!$B$27+Inputs!$B$29,MAX(0,(Inputs!$B$3-100)*3)+Inputs!$B$28+Inputs!$B$29)))</f>
        <v/>
      </c>
      <c r="E1614">
        <f>INDEX(FactorTable!$B$2:$Y$301, MATCH(ROUND(MIN(300,MAX(1,D1614)),0), FactorTable!$A$2:$A$301,0), Skills!M22+1)</f>
        <v/>
      </c>
      <c r="F1614">
        <f>IF(Skills!N22=TRUE,(Skills!L22/10)*(E1614/1000),Skills!L22/10)+Skills!O22</f>
        <v/>
      </c>
      <c r="G1614">
        <f>Skills!G22*IF(Skills!H22&gt;0,Skills!I22/Skills!H22,1)</f>
        <v/>
      </c>
      <c r="H1614">
        <f>1-(1-Skills!J22/100)^Skills!K22</f>
        <v/>
      </c>
      <c r="I1614" t="inlineStr">
        <is>
          <t>1</t>
        </is>
      </c>
      <c r="J1614" t="inlineStr"/>
      <c r="K1614" t="inlineStr"/>
      <c r="L1614" t="inlineStr"/>
      <c r="M1614" t="inlineStr"/>
      <c r="N1614" t="inlineStr"/>
      <c r="O1614">
        <f>(1-Summary!$B$11)*T1614+Summary!$B$11*V1614</f>
        <v/>
      </c>
      <c r="P1614">
        <f>IF(B1628=0,0,O1614/B1628)</f>
        <v/>
      </c>
      <c r="Q1614" t="n">
        <v>0</v>
      </c>
      <c r="R1614" t="n">
        <v>0</v>
      </c>
      <c r="S1614">
        <f>IFERROR(O1614/N1614,0)</f>
        <v/>
      </c>
      <c r="T1614" t="n">
        <v>0</v>
      </c>
      <c r="V1614" t="n">
        <v>0</v>
      </c>
    </row>
    <row r="1615">
      <c r="A1615">
        <f>Skills!A23</f>
        <v/>
      </c>
      <c r="B1615">
        <f>Skills!B23</f>
        <v/>
      </c>
      <c r="C1615">
        <f>TRUE</f>
        <v/>
      </c>
      <c r="D1615">
        <f>IF(Skills!C23=1,60+Inputs!$B$25+Inputs!$B$29,IF(Skills!C23=2,90+Inputs!$B$26+Inputs!$B$29,IF(Skills!C23=3,120+Inputs!$B$27+Inputs!$B$29,MAX(0,(Inputs!$B$3-100)*3)+Inputs!$B$28+Inputs!$B$29)))</f>
        <v/>
      </c>
      <c r="E1615">
        <f>INDEX(FactorTable!$B$2:$Y$301, MATCH(ROUND(MIN(300,MAX(1,D1615)),0), FactorTable!$A$2:$A$301,0), Skills!M23+1)</f>
        <v/>
      </c>
      <c r="F1615">
        <f>IF(Skills!N23=TRUE,(Skills!L23/10)*(E1615/1000),Skills!L23/10)+Skills!O23</f>
        <v/>
      </c>
      <c r="G1615">
        <f>Skills!G23*IF(Skills!H23&gt;0,Skills!I23/Skills!H23,1)</f>
        <v/>
      </c>
      <c r="H1615">
        <f>1-(1-Skills!J23/100)^Skills!K23</f>
        <v/>
      </c>
      <c r="I1615" t="inlineStr">
        <is>
          <t>1</t>
        </is>
      </c>
      <c r="J1615" t="inlineStr"/>
      <c r="K1615" t="inlineStr"/>
      <c r="L1615" t="inlineStr"/>
      <c r="M1615" t="inlineStr"/>
      <c r="N1615" t="inlineStr"/>
      <c r="O1615">
        <f>(1-Summary!$B$11)*T1615+Summary!$B$11*V1615</f>
        <v/>
      </c>
      <c r="P1615">
        <f>IF(B1628=0,0,O1615/B1628)</f>
        <v/>
      </c>
      <c r="Q1615">
        <f>IFERROR(1/(IF(Inputs!$B$38="pvp",15,MAX(0.1,Skills!D23-IF(Skills!E23=TRUE,Inputs!$B$32,0)))*(1-IF(AND(ArtifactsInput!$M$27,Inputs!$B$4="Chapter Hunt"),CHOOSE(ArtifactsInput!$N$27+1,20,24,28,32,36,40),0)/100)),0)</f>
        <v/>
      </c>
      <c r="R1615">
        <f>IF(AND(Inputs!$B$38&lt;&gt;"pvp",Inputs!$B$43&gt;0),IF(Inputs!$B$43&lt;=0,0,(INT(Inputs!$B$43/(IF(Inputs!$B$38="pvp",15,MAX(0.1,Skills!D23-IF(Skills!E23=TRUE,Inputs!$B$32,0)))*(1-IF(AND(ArtifactsInput!$M$27,Inputs!$B$4="Chapter Hunt"),CHOOSE(ArtifactsInput!$N$27+1,20,24,28,32,36,40),0)/100)))+1)),0)</f>
        <v/>
      </c>
      <c r="S1615">
        <f>IFERROR(O1615/N1615,0)</f>
        <v/>
      </c>
      <c r="T1615" t="n">
        <v>0</v>
      </c>
      <c r="V1615" t="n">
        <v>0</v>
      </c>
    </row>
    <row r="1617">
      <c r="A1617" t="inlineStr">
        <is>
          <t>Attack% Bucket Multiplier</t>
        </is>
      </c>
      <c r="B1617">
        <f>(1+(((C1605=TRUE)*F1605*5/7)+((C1611=TRUE)*(F1611-Calc!F19))+(IF(ArtifactsInput!$M$21,CHOOSE(ArtifactsInput!$N$21+1,25,30,35,40,45,50)*(IF(OR(Inputs!$B$4="Chapter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18">
      <c r="A1618" t="inlineStr">
        <is>
          <t>Global Crit Rate Bonus %</t>
        </is>
      </c>
      <c r="B1618" t="n">
        <v>0</v>
      </c>
    </row>
    <row r="1619">
      <c r="A1619" t="inlineStr">
        <is>
          <t>Attack Speed Buff Bonus % (Nimble Feet, duty-cycle averaged)</t>
        </is>
      </c>
      <c r="B1619">
        <f>((C1615=TRUE)*F1615*IF(AND(Inputs!$B$38&lt;&gt;"pvp",Inputs!$B$43&gt;0),(((R1615-1)*(Skills!T23*(1+Inputs!$B$34/100))+MIN((Skills!T23*(1+Inputs!$B$34/100)),MAX(0,Inputs!$B$43-((R1615-1)*Skills!D23))))/Inputs!$B$43),IF(Inputs!$B$38="pvp",MIN((Skills!T23*(1+Inputs!$B$34/100)),15)/15,(Skills!T23*(1+Inputs!$B$34/100))/Skills!D23)))</f>
        <v/>
      </c>
    </row>
    <row r="1620">
      <c r="A1620" t="inlineStr">
        <is>
          <t>Actions Per Second</t>
        </is>
      </c>
      <c r="B1620">
        <f>1+MIN(150,150*(1-(1-(Inputs!$B$11+((C1609=TRUE)*(F1609-Calc!F17))+((C1610=TRUE)*(F1610-Calc!F18)))/150)*(1-B1619/150)))/100</f>
        <v/>
      </c>
    </row>
    <row r="1621">
      <c r="A1621" t="inlineStr">
        <is>
          <t>Skill + Buff Cast Rate</t>
        </is>
      </c>
      <c r="B1621">
        <f>IF(AND(Inputs!$B$38&lt;&gt;"pvp",Inputs!$B$43&gt;0),SUMPRODUCT((Skills!E2:E23=TRUE)*(C1594:C1615=TRUE)*R1594:R1615*Skills!F2:F23)/Inputs!$B$43,SUMPRODUCT((Skills!E2:E23=TRUE)*(C1594:C1615=TRUE)*Q1594:Q1615*Skills!F2:F23))</f>
        <v/>
      </c>
    </row>
    <row r="1622">
      <c r="A1622" t="inlineStr">
        <is>
          <t>Hook Bomber Casts Per Second</t>
        </is>
      </c>
      <c r="B1622">
        <f>MAX(0,B1620-B1621)</f>
        <v/>
      </c>
    </row>
    <row r="1623">
      <c r="A1623" t="inlineStr">
        <is>
          <t>Global Critical Damage Bonus % (unused)</t>
        </is>
      </c>
      <c r="B1623" t="n">
        <v>0</v>
      </c>
    </row>
    <row r="1624">
      <c r="A1624" t="inlineStr">
        <is>
          <t>Global Final Damage Bonus % (Serpent Scale + Crossbones + Time Leap + Speed Infusion)</t>
        </is>
      </c>
      <c r="B1624">
        <f>((C1597=TRUE)*F1597*((10+IF(Inputs!$B$3&gt;=94,5,0))/((10+IF(Inputs!$B$3&gt;=94,5,0))+5/(B1622*(1+IF(Inputs!$B$3&gt;=104,1,0))))))+((C1606=TRUE)*F1606*IF(AND(Inputs!$B$38&lt;&gt;"pvp",Inputs!$B$43&gt;0),(((R1606-1)*(Skills!T14*(1+Inputs!$B$34/100))+MIN((Skills!T14*(1+Inputs!$B$34/100)),MAX(0,Inputs!$B$43-((R1606-1)*Skills!D14))))/Inputs!$B$43),IF(Inputs!$B$38="pvp",MIN((Skills!T14*(1+Inputs!$B$34/100)),15)/15,(Skills!T14*(1+Inputs!$B$34/100))/Skills!D14)))+((C1607=TRUE)*F1607*IF(AND(Inputs!$B$38&lt;&gt;"pvp",Inputs!$B$43&gt;0),(((R1607-1)*(Skills!T15*(1+Inputs!$B$34/100))+MIN((Skills!T15*(1+Inputs!$B$34/100)),MAX(0,Inputs!$B$43-((R1607-1)*Skills!D15))))/Inputs!$B$43),IF(Inputs!$B$38="pvp",MIN((Skills!T15*(1+Inputs!$B$34/100)),15)/15,(Skills!T15*(1+Inputs!$B$34/100))/Skills!D15)))+((Inputs!$B$3&gt;=110)*20*(B1620-1)*IF(Inputs!$B$38="pvp",MIN((15*(1+Inputs!$B$34/100)),15)/15,(15*(1+Inputs!$B$34/100))/35))</f>
        <v/>
      </c>
    </row>
    <row r="1625">
      <c r="A1625" t="inlineStr">
        <is>
          <t>Buff-Casting Startup Delay (s, fixed-duration only)</t>
        </is>
      </c>
      <c r="B1625">
        <f>IF(AND(Inputs!$B$38&lt;&gt;"pvp",Inputs!$B$43&gt;0),SUMPRODUCT((Skills!T2:T23&gt;0)*(Skills!E2:E23=TRUE)*(C1594:C1615=TRUE))/B1620,0)</f>
        <v/>
      </c>
    </row>
    <row r="1626">
      <c r="A1626" t="inlineStr">
        <is>
          <t>Boss-Only Total DPS (this block's swept value)</t>
        </is>
      </c>
      <c r="B1626">
        <f>SUM(T1594:T1615)</f>
        <v/>
      </c>
    </row>
    <row r="1627">
      <c r="A1627" t="inlineStr">
        <is>
          <t>Normal-Only Total DPS (this block's swept value)</t>
        </is>
      </c>
      <c r="B1627">
        <f>SUM(V1594:V1615)</f>
        <v/>
      </c>
    </row>
    <row r="1628">
      <c r="A1628" s="6" t="inlineStr">
        <is>
          <t>TOTAL DPS</t>
        </is>
      </c>
      <c r="B1628" s="6">
        <f>SUM(O1594:O1615)</f>
        <v/>
      </c>
    </row>
    <row r="1631">
      <c r="A1631" s="6" t="inlineStr">
        <is>
          <t>Stat: Old Music Box (Equip)</t>
        </is>
      </c>
    </row>
    <row r="1632">
      <c r="A1632" s="5" t="inlineStr">
        <is>
          <t>Key</t>
        </is>
      </c>
      <c r="B1632" s="5" t="inlineStr">
        <is>
          <t>Name</t>
        </is>
      </c>
      <c r="C1632" s="5" t="inlineStr">
        <is>
          <t>Unlocked</t>
        </is>
      </c>
      <c r="D1632" s="5" t="inlineStr">
        <is>
          <t>InputLevel</t>
        </is>
      </c>
      <c r="E1632" s="5" t="inlineStr">
        <is>
          <t>Factor</t>
        </is>
      </c>
      <c r="F1632" s="5" t="inlineStr">
        <is>
          <t>CoefficientPercent</t>
        </is>
      </c>
      <c r="G1632" s="5" t="inlineStr">
        <is>
          <t>EffectiveHits</t>
        </is>
      </c>
      <c r="H1632" s="5" t="inlineStr">
        <is>
          <t>ProcProbability</t>
        </is>
      </c>
      <c r="I1632" s="5" t="inlineStr">
        <is>
          <t>MapleHeroMultiplier</t>
        </is>
      </c>
      <c r="J1632" s="5" t="inlineStr">
        <is>
          <t>BaseDamage</t>
        </is>
      </c>
      <c r="K1632" s="5" t="inlineStr">
        <is>
          <t>BaseHitDamage</t>
        </is>
      </c>
      <c r="L1632" s="5" t="inlineStr">
        <is>
          <t>NonCritAvg</t>
        </is>
      </c>
      <c r="M1632" s="5" t="inlineStr">
        <is>
          <t>CritAvg</t>
        </is>
      </c>
      <c r="N1632" s="5" t="inlineStr">
        <is>
          <t>ExpectedDamage(perHit)</t>
        </is>
      </c>
      <c r="O1632" s="5" t="inlineStr">
        <is>
          <t>DPS</t>
        </is>
      </c>
      <c r="P1632" s="5" t="inlineStr">
        <is>
          <t>% of Total</t>
        </is>
      </c>
      <c r="Q1632" s="5" t="inlineStr">
        <is>
          <t>InvCooldown</t>
        </is>
      </c>
      <c r="R1632" s="5" t="inlineStr">
        <is>
          <t>CastsInFight</t>
        </is>
      </c>
      <c r="S1632" s="5" t="inlineStr">
        <is>
          <t>HitRate(perSec)</t>
        </is>
      </c>
      <c r="U1632" t="inlineStr">
        <is>
          <t>helpers</t>
        </is>
      </c>
    </row>
    <row r="1633">
      <c r="A1633">
        <f>Skills!A2</f>
        <v/>
      </c>
      <c r="B1633">
        <f>Skills!B2</f>
        <v/>
      </c>
      <c r="C1633">
        <f>Inputs!$B$3&gt;=100</f>
        <v/>
      </c>
      <c r="D1633" t="inlineStr"/>
      <c r="E1633" t="inlineStr"/>
      <c r="F1633">
        <f>U1635+Skills!O2</f>
        <v/>
      </c>
      <c r="G1633">
        <f>Skills!G2*IF(Skills!H2&gt;0,Skills!I2/Skills!H2,1)</f>
        <v/>
      </c>
      <c r="H1633">
        <f>1-(1-Skills!J2/100)^Skills!K2</f>
        <v/>
      </c>
      <c r="I1633" t="inlineStr">
        <is>
          <t>1</t>
        </is>
      </c>
      <c r="J1633">
        <f>((Inputs!$B$6*(1+Inputs!$B$7/100))+(((Inputs!$B$12*(1+Inputs!$B$13/100))-(Inputs!$B$12*(1+Inputs!$B$13/100)))+0.25*(Inputs!$B$14-Inputs!$B$14))*(1+Inputs!$B$7/100))*(F1633/100)</f>
        <v/>
      </c>
      <c r="K1633">
        <f>J1633*(1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1633)</f>
        <v/>
      </c>
      <c r="L1633">
        <f>K1633*(MIN(Inputs!$B$22+((C1651=TRUE)*(F1651-Calc!F20)),(Inputs!$B$23+0+(IF(ArtifactsInput!$M$15,CHOOSE(ArtifactsInput!$N$15+1,25,30,35,40,45,50)/100*(Inputs!$B$11-Inputs!$B$11),0))))/100+(Inputs!$B$23+0+(IF(ArtifactsInput!$M$15,CHOOSE(ArtifactsInput!$N$15+1,25,30,35,40,45,50)/100*(Inputs!$B$11-Inputs!$B$11),0)))/100)/2</f>
        <v/>
      </c>
      <c r="M1633">
        <f>L1633*(1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3">
        <f>L1633*(1-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1633*(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3">
        <f>(1-Summary!$B$11)*T1633+Summary!$B$11*V1633</f>
        <v/>
      </c>
      <c r="P1633">
        <f>IF(B1667=0,0,O1633/B1667)</f>
        <v/>
      </c>
      <c r="Q1633" t="n">
        <v>0</v>
      </c>
      <c r="R1633" t="n">
        <v>0</v>
      </c>
      <c r="S1633">
        <f>IFERROR(O1633/N1633,0)</f>
        <v/>
      </c>
      <c r="T1633">
        <f>IF(C1633,(Skills!G2*N1633*B1661)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1633*(1-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1633*(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1633*(1-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1633*(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3">
        <f>MAX(0,(Inputs!$B$3-100)*3)+Inputs!$B$28+Inputs!$B$29</f>
        <v/>
      </c>
      <c r="V1633">
        <f>IF(C1633,(Skills!G2*N1633*B1661)*IF(Inputs!$B$38="pvp",1,(1+(Inputs!$B$21+Skills!Q2+(IF(ArtifactsInput!$M$33,CHOOSE(ArtifactsInput!$N$33+1,30,36,42,48,54,60),0))+(IF(AND(ArtifactsInput!$M$35,Inputs!$B$4&lt;&gt;"Chapter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4">
      <c r="A1634">
        <f>Skills!A3</f>
        <v/>
      </c>
      <c r="B1634">
        <f>Skills!B3</f>
        <v/>
      </c>
      <c r="C1634">
        <f>Inputs!$B$3&gt;=35</f>
        <v/>
      </c>
      <c r="D1634">
        <f>IF(Skills!C3=1,60+Inputs!$B$25+Inputs!$B$29,IF(Skills!C3=2,90+Inputs!$B$26+Inputs!$B$29,IF(Skills!C3=3,120+Inputs!$B$27+Inputs!$B$29,MAX(0,(Inputs!$B$3-100)*3)+Inputs!$B$28+Inputs!$B$29)))</f>
        <v/>
      </c>
      <c r="E1634">
        <f>INDEX(FactorTable!$B$2:$Y$301, MATCH(ROUND(MIN(300,MAX(1,D1634)),0), FactorTable!$A$2:$A$301,0), Skills!M3+1)</f>
        <v/>
      </c>
      <c r="F1634">
        <f>IF(Skills!N3=TRUE,(Skills!L3/10)*(E1634/1000),Skills!L3/10)+Skills!O3</f>
        <v/>
      </c>
      <c r="G1634">
        <f>Skills!G3*IF(Skills!H3&gt;0,Skills!I3/Skills!H3,1)</f>
        <v/>
      </c>
      <c r="H1634">
        <f>1-(1-Skills!J3/100)^Skills!K3</f>
        <v/>
      </c>
      <c r="I1634" t="inlineStr">
        <is>
          <t>1</t>
        </is>
      </c>
      <c r="J1634">
        <f>((Inputs!$B$6*(1+Inputs!$B$7/100))+(((Inputs!$B$12*(1+Inputs!$B$13/100))-(Inputs!$B$12*(1+Inputs!$B$13/100)))+0.25*(Inputs!$B$14-Inputs!$B$14))*(1+Inputs!$B$7/100))*(F1634/100)</f>
        <v/>
      </c>
      <c r="K1634">
        <f>J1634*(1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1634)</f>
        <v/>
      </c>
      <c r="L1634">
        <f>K1634*(MIN(Inputs!$B$22+((C1651=TRUE)*(F1651-Calc!F20)),(Inputs!$B$23+0+(IF(ArtifactsInput!$M$15,CHOOSE(ArtifactsInput!$N$15+1,25,30,35,40,45,50)/100*(Inputs!$B$11-Inputs!$B$11),0))))/100+(Inputs!$B$23+0+(IF(ArtifactsInput!$M$15,CHOOSE(ArtifactsInput!$N$15+1,25,30,35,40,45,50)/100*(Inputs!$B$11-Inputs!$B$11),0)))/100)/2</f>
        <v/>
      </c>
      <c r="M1634">
        <f>L1634*(1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4">
        <f>L1634*(1-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1634*(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4">
        <f>(1-Summary!$B$11)*T1634+Summary!$B$11*V1634</f>
        <v/>
      </c>
      <c r="P1634">
        <f>IF(B1667=0,0,O1634/B1667)</f>
        <v/>
      </c>
      <c r="Q1634" t="n">
        <v>0</v>
      </c>
      <c r="R1634" t="n">
        <v>0</v>
      </c>
      <c r="S1634">
        <f>IFERROR(O1634/N1634,0)</f>
        <v/>
      </c>
      <c r="T1634">
        <f>IF(C1634,(Skills!G3*H1634*N1634*B1661)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1634*(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1634*(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4">
        <f>INDEX(FactorTable!$B$2:$Y$301, MATCH(ROUND(MIN(300,MAX(1,U1633)),0), FactorTable!$A$2:$A$301,0), 22)</f>
        <v/>
      </c>
      <c r="V1634">
        <f>IF(C1634,(Skills!G3*H1634*N1634*B1661)*IF(Inputs!$B$38="pvp",1,(1+(Inputs!$B$21+Skills!Q3+(IF(ArtifactsInput!$M$33,CHOOSE(ArtifactsInput!$N$33+1,30,36,42,48,54,60),0))+(IF(AND(ArtifactsInput!$M$35,Inputs!$B$4&lt;&gt;"Chapter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5">
      <c r="A1635">
        <f>Skills!A4</f>
        <v/>
      </c>
      <c r="B1635">
        <f>Skills!B4</f>
        <v/>
      </c>
      <c r="C1635">
        <f>Inputs!$B$3&gt;=60</f>
        <v/>
      </c>
      <c r="D1635">
        <f>IF(Skills!C4=1,60+Inputs!$B$25+Inputs!$B$29,IF(Skills!C4=2,90+Inputs!$B$26+Inputs!$B$29,IF(Skills!C4=3,120+Inputs!$B$27+Inputs!$B$29,MAX(0,(Inputs!$B$3-100)*3)+Inputs!$B$28+Inputs!$B$29)))</f>
        <v/>
      </c>
      <c r="E1635">
        <f>INDEX(FactorTable!$B$2:$Y$301, MATCH(ROUND(MIN(300,MAX(1,D1635)),0), FactorTable!$A$2:$A$301,0), Skills!M4+1)</f>
        <v/>
      </c>
      <c r="F1635">
        <f>IF(Skills!N4=TRUE,(Skills!L4/10)*(E1635/1000),Skills!L4/10)+Skills!O4</f>
        <v/>
      </c>
      <c r="G1635">
        <f>Skills!G4*IF(Skills!H4&gt;0,Skills!I4/Skills!H4,1)</f>
        <v/>
      </c>
      <c r="H1635">
        <f>1-(1-Skills!J4/100)^Skills!K4</f>
        <v/>
      </c>
      <c r="I1635" t="inlineStr">
        <is>
          <t>1</t>
        </is>
      </c>
      <c r="J1635">
        <f>((Inputs!$B$6*(1+Inputs!$B$7/100))+(((Inputs!$B$12*(1+Inputs!$B$13/100))-(Inputs!$B$12*(1+Inputs!$B$13/100)))+0.25*(Inputs!$B$14-Inputs!$B$14))*(1+Inputs!$B$7/100))*(F1635/100)</f>
        <v/>
      </c>
      <c r="K1635">
        <f>J1635*(1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1643=TRUE,F1643,0)/100)*(1+(IF(Skills!A4="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1635)</f>
        <v/>
      </c>
      <c r="L1635">
        <f>K1635*(MIN(Inputs!$B$22+((C1651=TRUE)*(F1651-Calc!F20)),(Inputs!$B$23+0+(IF(ArtifactsInput!$M$15,CHOOSE(ArtifactsInput!$N$15+1,25,30,35,40,45,50)/100*(Inputs!$B$11-Inputs!$B$11),0))))/100+(Inputs!$B$23+0+(IF(ArtifactsInput!$M$15,CHOOSE(ArtifactsInput!$N$15+1,25,30,35,40,45,50)/100*(Inputs!$B$11-Inputs!$B$11),0)))/100)/2</f>
        <v/>
      </c>
      <c r="M1635">
        <f>L1635*(1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5">
        <f>L1635*(1-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1635*(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5">
        <f>(1-Summary!$B$11)*T1635+Summary!$B$11*V1635</f>
        <v/>
      </c>
      <c r="P1635">
        <f>IF(B1667=0,0,O1635/B1667)</f>
        <v/>
      </c>
      <c r="Q1635" t="n">
        <v>0</v>
      </c>
      <c r="R1635" t="n">
        <v>0</v>
      </c>
      <c r="S1635">
        <f>IFERROR(O1635/N1635,0)</f>
        <v/>
      </c>
      <c r="T1635">
        <f>IF(C1635,(Skills!G4*H1635*N1635*B1661)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1635*(1-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1635*(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1635*(1-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1635*(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5">
        <f>290*U1634/1000</f>
        <v/>
      </c>
      <c r="V1635">
        <f>IF(C1635,(Skills!G4*H1635*N1635*B1661)*IF(Inputs!$B$38="pvp",1,(1+(Inputs!$B$21+Skills!Q4+(IF(ArtifactsInput!$M$33,CHOOSE(ArtifactsInput!$N$33+1,30,36,42,48,54,60),0))+(IF(AND(ArtifactsInput!$M$35,Inputs!$B$4&lt;&gt;"Chapter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6">
      <c r="A1636">
        <f>Skills!A5</f>
        <v/>
      </c>
      <c r="B1636">
        <f>Skills!B5</f>
        <v/>
      </c>
      <c r="C1636">
        <f>Inputs!$B$3&gt;=60</f>
        <v/>
      </c>
      <c r="D1636">
        <f>IF(Skills!C5=1,60+Inputs!$B$25+Inputs!$B$29,IF(Skills!C5=2,90+Inputs!$B$26+Inputs!$B$29,IF(Skills!C5=3,120+Inputs!$B$27+Inputs!$B$29,MAX(0,(Inputs!$B$3-100)*3)+Inputs!$B$28+Inputs!$B$29)))</f>
        <v/>
      </c>
      <c r="E1636">
        <f>INDEX(FactorTable!$B$2:$Y$301, MATCH(ROUND(MIN(300,MAX(1,D1636)),0), FactorTable!$A$2:$A$301,0), Skills!M5+1)</f>
        <v/>
      </c>
      <c r="F1636">
        <f>IF(Skills!N5=TRUE,(Skills!L5/10)*(E1636/1000),Skills!L5/10)+Skills!O5</f>
        <v/>
      </c>
      <c r="G1636">
        <f>Skills!G5*IF(Skills!H5&gt;0,Skills!I5/Skills!H5,1)</f>
        <v/>
      </c>
      <c r="H1636">
        <f>1-(1-Skills!J5/100)^Skills!K5</f>
        <v/>
      </c>
      <c r="I1636" t="inlineStr">
        <is>
          <t>1</t>
        </is>
      </c>
      <c r="J1636" t="inlineStr"/>
      <c r="K1636" t="inlineStr"/>
      <c r="L1636" t="inlineStr"/>
      <c r="M1636" t="inlineStr"/>
      <c r="N1636" t="inlineStr"/>
      <c r="O1636">
        <f>(1-Summary!$B$11)*T1636+Summary!$B$11*V1636</f>
        <v/>
      </c>
      <c r="P1636">
        <f>IF(B1667=0,0,O1636/B1667)</f>
        <v/>
      </c>
      <c r="Q1636" t="n">
        <v>0</v>
      </c>
      <c r="R1636" t="n">
        <v>0</v>
      </c>
      <c r="S1636">
        <f>IFERROR(O1636/N1636,0)</f>
        <v/>
      </c>
      <c r="T1636" t="n">
        <v>0</v>
      </c>
      <c r="V1636" t="n">
        <v>0</v>
      </c>
    </row>
    <row r="1637">
      <c r="A1637">
        <f>Skills!A6</f>
        <v/>
      </c>
      <c r="B1637">
        <f>Skills!B6</f>
        <v/>
      </c>
      <c r="C1637">
        <f>Inputs!$B$3&gt;=63</f>
        <v/>
      </c>
      <c r="D1637">
        <f>IF(Skills!C6=1,60+Inputs!$B$25+Inputs!$B$29,IF(Skills!C6=2,90+Inputs!$B$26+Inputs!$B$29,IF(Skills!C6=3,120+Inputs!$B$27+Inputs!$B$29,MAX(0,(Inputs!$B$3-100)*3)+Inputs!$B$28+Inputs!$B$29)))</f>
        <v/>
      </c>
      <c r="E1637">
        <f>INDEX(FactorTable!$B$2:$Y$301, MATCH(ROUND(MIN(300,MAX(1,D1637)),0), FactorTable!$A$2:$A$301,0), Skills!M6+1)</f>
        <v/>
      </c>
      <c r="F1637">
        <f>IF(Skills!N6=TRUE,(Skills!L6/10)*(E1637/1000),Skills!L6/10)+Skills!O6</f>
        <v/>
      </c>
      <c r="G1637">
        <f>Skills!G6*IF(Skills!H6&gt;0,Skills!I6/Skills!H6,1)</f>
        <v/>
      </c>
      <c r="H1637">
        <f>1-(1-Skills!J6/100)^Skills!K6</f>
        <v/>
      </c>
      <c r="I1637" t="inlineStr">
        <is>
          <t>1</t>
        </is>
      </c>
      <c r="J1637">
        <f>((Inputs!$B$6*(1+Inputs!$B$7/100))+(((Inputs!$B$12*(1+Inputs!$B$13/100))-(Inputs!$B$12*(1+Inputs!$B$13/100)))+0.25*(Inputs!$B$14-Inputs!$B$14))*(1+Inputs!$B$7/100))*(F1637/100)</f>
        <v/>
      </c>
      <c r="K1637">
        <f>J1637*(1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1643=TRUE,F1643,0)/100)*(1+(IF(Skills!A6="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1637)</f>
        <v/>
      </c>
      <c r="L1637">
        <f>K1637*(MIN(Inputs!$B$22+((C1651=TRUE)*(F1651-Calc!F20)),(Inputs!$B$23+0+(IF(ArtifactsInput!$M$15,CHOOSE(ArtifactsInput!$N$15+1,25,30,35,40,45,50)/100*(Inputs!$B$11-Inputs!$B$11),0))))/100+(Inputs!$B$23+0+(IF(ArtifactsInput!$M$15,CHOOSE(ArtifactsInput!$N$15+1,25,30,35,40,45,50)/100*(Inputs!$B$11-Inputs!$B$11),0)))/100)/2</f>
        <v/>
      </c>
      <c r="M1637">
        <f>L1637*(1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7">
        <f>L1637*(1-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1637*(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7">
        <f>(1-Summary!$B$11)*T1637+Summary!$B$11*V1637</f>
        <v/>
      </c>
      <c r="P1637">
        <f>IF(B1667=0,0,O1637/B1667)</f>
        <v/>
      </c>
      <c r="Q1637">
        <f>IFERROR(1/(IF(Inputs!$B$38="pvp",15,MAX(0.1,Skills!D6-IF(Skills!E6=TRUE,Inputs!$B$32,0)))*(1-IF(AND(ArtifactsInput!$M$27,Inputs!$B$4="Chapter Hunt"),CHOOSE(ArtifactsInput!$N$27+1,20,24,28,32,36,40),0)/100)),0)</f>
        <v/>
      </c>
      <c r="R1637">
        <f>IF(AND(Inputs!$B$38&lt;&gt;"pvp",Inputs!$B$43&gt;0),IF(MAX(0,Inputs!$B$43-B1664)&lt;=0,0,(INT(MAX(0,Inputs!$B$43-B1664)/(IF(Inputs!$B$38="pvp",15,MAX(0.1,Skills!D6-IF(Skills!E6=TRUE,Inputs!$B$32,0)))*(1-IF(AND(ArtifactsInput!$M$27,Inputs!$B$4="Chapter Hunt"),CHOOSE(ArtifactsInput!$N$27+1,20,24,28,32,36,40),0)/100)))+1)),0)</f>
        <v/>
      </c>
      <c r="S1637">
        <f>IFERROR(O1637/N1637,0)</f>
        <v/>
      </c>
      <c r="T1637">
        <f>IF(C1637,(H1637*N1637*IF(AND(Inputs!$B$38&lt;&gt;"pvp",Inputs!$B$43&gt;0),((Skills!G6*((R1637-1)*IF(Skills!H6&gt;0,Skills!I6/Skills!H6,1)+IF(Skills!H6&gt;0,MIN(Skills!I6,MAX(0,MAX(0,Inputs!$B$43-B1664)-((R1637-1)*(IF(Inputs!$B$38="pvp",15,MAX(0.1,Skills!D6-IF(Skills!E6=TRUE,Inputs!$B$32,0)))*(1-IF(AND(ArtifactsInput!$M$27,Inputs!$B$4="Chapter Hunt"),CHOOSE(ArtifactsInput!$N$27+1,20,24,28,32,36,40),0)/100)))))/Skills!H6,1)))/Inputs!$B$43),G1637*Q1637)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1637*(1-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1637*(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1637*(1-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1637*(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7">
        <f>IF(C1637,(H1637*N1637*IF(AND(Inputs!$B$38&lt;&gt;"pvp",Inputs!$B$43&gt;0),((Skills!G6*((R1637-1)*IF(Skills!H6&gt;0,Skills!I6/Skills!H6,1)+IF(Skills!H6&gt;0,MIN(Skills!I6,MAX(0,MAX(0,Inputs!$B$43-B1664)-((R1637-1)*(IF(Inputs!$B$38="pvp",15,MAX(0.1,Skills!D6-IF(Skills!E6=TRUE,Inputs!$B$32,0)))*(1-IF(AND(ArtifactsInput!$M$27,Inputs!$B$4="Chapter Hunt"),CHOOSE(ArtifactsInput!$N$27+1,20,24,28,32,36,40),0)/100)))))/Skills!H6,1)))/Inputs!$B$43),G1637*Q1637))*IF(Inputs!$B$38="pvp",1,(1+(Inputs!$B$21+Skills!Q6+(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8">
      <c r="A1638">
        <f>Skills!A7</f>
        <v/>
      </c>
      <c r="B1638">
        <f>Skills!B7</f>
        <v/>
      </c>
      <c r="C1638">
        <f>Inputs!$B$3&gt;=100</f>
        <v/>
      </c>
      <c r="D1638">
        <f>IF(Skills!C7=1,60+Inputs!$B$25+Inputs!$B$29,IF(Skills!C7=2,90+Inputs!$B$26+Inputs!$B$29,IF(Skills!C7=3,120+Inputs!$B$27+Inputs!$B$29,MAX(0,(Inputs!$B$3-100)*3)+Inputs!$B$28+Inputs!$B$29)))</f>
        <v/>
      </c>
      <c r="E1638">
        <f>INDEX(FactorTable!$B$2:$Y$301, MATCH(ROUND(MIN(300,MAX(1,D1638)),0), FactorTable!$A$2:$A$301,0), Skills!M7+1)</f>
        <v/>
      </c>
      <c r="F1638">
        <f>IF(Skills!N7=TRUE,(Skills!L7/10)*(E1638/1000),Skills!L7/10)+Skills!O7</f>
        <v/>
      </c>
      <c r="G1638">
        <f>Skills!G7*IF(Skills!H7&gt;0,Skills!I7/Skills!H7,1)</f>
        <v/>
      </c>
      <c r="H1638">
        <f>1-(1-Skills!J7/100)^Skills!K7</f>
        <v/>
      </c>
      <c r="I1638" t="inlineStr">
        <is>
          <t>1</t>
        </is>
      </c>
      <c r="J1638">
        <f>((Inputs!$B$6*(1+Inputs!$B$7/100))+(((Inputs!$B$12*(1+Inputs!$B$13/100))-(Inputs!$B$12*(1+Inputs!$B$13/100)))+0.25*(Inputs!$B$14-Inputs!$B$14))*(1+Inputs!$B$7/100))*(F1638/100)</f>
        <v/>
      </c>
      <c r="K1638">
        <f>J1638*(1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1638)</f>
        <v/>
      </c>
      <c r="L1638">
        <f>K1638*(MIN(Inputs!$B$22+((C1651=TRUE)*(F1651-Calc!F20)),(Inputs!$B$23+0+(IF(ArtifactsInput!$M$15,CHOOSE(ArtifactsInput!$N$15+1,25,30,35,40,45,50)/100*(Inputs!$B$11-Inputs!$B$11),0))))/100+(Inputs!$B$23+0+(IF(ArtifactsInput!$M$15,CHOOSE(ArtifactsInput!$N$15+1,25,30,35,40,45,50)/100*(Inputs!$B$11-Inputs!$B$11),0)))/100)/2</f>
        <v/>
      </c>
      <c r="M1638">
        <f>L1638*(1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8">
        <f>L1638*(1-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1638*(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8">
        <f>(1-Summary!$B$11)*T1638+Summary!$B$11*V1638</f>
        <v/>
      </c>
      <c r="P1638">
        <f>IF(B1667=0,0,O1638/B1667)</f>
        <v/>
      </c>
      <c r="Q1638">
        <f>IFERROR(1/(IF(Inputs!$B$38="pvp",15,MAX(0.1,Skills!D7-IF(Skills!E7=TRUE,Inputs!$B$32,0)))*(1-IF(AND(ArtifactsInput!$M$27,Inputs!$B$4="Chapter Hunt"),CHOOSE(ArtifactsInput!$N$27+1,20,24,28,32,36,40),0)/100)),0)</f>
        <v/>
      </c>
      <c r="R1638">
        <f>IF(AND(Inputs!$B$38&lt;&gt;"pvp",Inputs!$B$43&gt;0),IF(MAX(0,Inputs!$B$43-B1664)&lt;=0,0,(INT(MAX(0,Inputs!$B$43-B1664)/(IF(Inputs!$B$38="pvp",15,MAX(0.1,Skills!D7-IF(Skills!E7=TRUE,Inputs!$B$32,0)))*(1-IF(AND(ArtifactsInput!$M$27,Inputs!$B$4="Chapter Hunt"),CHOOSE(ArtifactsInput!$N$27+1,20,24,28,32,36,40),0)/100)))+1)),0)</f>
        <v/>
      </c>
      <c r="S1638">
        <f>IFERROR(O1638/N1638,0)</f>
        <v/>
      </c>
      <c r="T1638">
        <f>IF(C1638,(H1638*N1638*IF(AND(Inputs!$B$38&lt;&gt;"pvp",Inputs!$B$43&gt;0),((Skills!G7*((R1638-1)*IF(Skills!H7&gt;0,Skills!I7/Skills!H7,1)+IF(Skills!H7&gt;0,MIN(Skills!I7,MAX(0,MAX(0,Inputs!$B$43-B1664)-((R1638-1)*(IF(Inputs!$B$38="pvp",15,MAX(0.1,Skills!D7-IF(Skills!E7=TRUE,Inputs!$B$32,0)))*(1-IF(AND(ArtifactsInput!$M$27,Inputs!$B$4="Chapter Hunt"),CHOOSE(ArtifactsInput!$N$27+1,20,24,28,32,36,40),0)/100)))))/Skills!H7,1)))/Inputs!$B$43),G1638*Q1638)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1638*(1-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1638*(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1638*(1-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1638*(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8">
        <f>IF(C1638,(H1638*N1638*IF(AND(Inputs!$B$38&lt;&gt;"pvp",Inputs!$B$43&gt;0),((Skills!G7*((R1638-1)*IF(Skills!H7&gt;0,Skills!I7/Skills!H7,1)+IF(Skills!H7&gt;0,MIN(Skills!I7,MAX(0,MAX(0,Inputs!$B$43-B1664)-((R1638-1)*(IF(Inputs!$B$38="pvp",15,MAX(0.1,Skills!D7-IF(Skills!E7=TRUE,Inputs!$B$32,0)))*(1-IF(AND(ArtifactsInput!$M$27,Inputs!$B$4="Chapter Hunt"),CHOOSE(ArtifactsInput!$N$27+1,20,24,28,32,36,40),0)/100)))))/Skills!H7,1)))/Inputs!$B$43),G1638*Q1638))*IF(Inputs!$B$38="pvp",1,(1+(Inputs!$B$21+Skills!Q7+(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39">
      <c r="A1639">
        <f>Skills!A8</f>
        <v/>
      </c>
      <c r="B1639">
        <f>Skills!B8</f>
        <v/>
      </c>
      <c r="C1639">
        <f>Inputs!$B$3&gt;=110</f>
        <v/>
      </c>
      <c r="D1639">
        <f>IF(Skills!C8=1,60+Inputs!$B$25+Inputs!$B$29,IF(Skills!C8=2,90+Inputs!$B$26+Inputs!$B$29,IF(Skills!C8=3,120+Inputs!$B$27+Inputs!$B$29,MAX(0,(Inputs!$B$3-100)*3)+Inputs!$B$28+Inputs!$B$29)))</f>
        <v/>
      </c>
      <c r="E1639">
        <f>INDEX(FactorTable!$B$2:$Y$301, MATCH(ROUND(MIN(300,MAX(1,D1639)),0), FactorTable!$A$2:$A$301,0), Skills!M8+1)</f>
        <v/>
      </c>
      <c r="F1639">
        <f>IF(Skills!N8=TRUE,(Skills!L8/10)*(E1639/1000),Skills!L8/10)+Skills!O8</f>
        <v/>
      </c>
      <c r="G1639">
        <f>Skills!G8*IF(Skills!H8&gt;0,Skills!I8/Skills!H8,1)</f>
        <v/>
      </c>
      <c r="H1639">
        <f>1-(1-Skills!J8/100)^Skills!K8</f>
        <v/>
      </c>
      <c r="I1639" t="inlineStr">
        <is>
          <t>1</t>
        </is>
      </c>
      <c r="J1639">
        <f>((Inputs!$B$6*(1+Inputs!$B$7/100))+(((Inputs!$B$12*(1+Inputs!$B$13/100))-(Inputs!$B$12*(1+Inputs!$B$13/100)))+0.25*(Inputs!$B$14-Inputs!$B$14))*(1+Inputs!$B$7/100))*(F1639/100)</f>
        <v/>
      </c>
      <c r="K1639">
        <f>J1639*(1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1639)</f>
        <v/>
      </c>
      <c r="L1639">
        <f>K1639*(MIN(Inputs!$B$22+((C1651=TRUE)*(F1651-Calc!F20)),(Inputs!$B$23+0+(IF(ArtifactsInput!$M$15,CHOOSE(ArtifactsInput!$N$15+1,25,30,35,40,45,50)/100*(Inputs!$B$11-Inputs!$B$11),0))))/100+(Inputs!$B$23+0+(IF(ArtifactsInput!$M$15,CHOOSE(ArtifactsInput!$N$15+1,25,30,35,40,45,50)/100*(Inputs!$B$11-Inputs!$B$11),0)))/100)/2</f>
        <v/>
      </c>
      <c r="M1639">
        <f>L1639*(1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9">
        <f>L1639*(1-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1639*(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9">
        <f>(1-Summary!$B$11)*T1639+Summary!$B$11*V1639</f>
        <v/>
      </c>
      <c r="P1639">
        <f>IF(B1667=0,0,O1639/B1667)</f>
        <v/>
      </c>
      <c r="Q1639">
        <f>IFERROR(1/(IF(Inputs!$B$38="pvp",15,MAX(0.1,Skills!D8-IF(Skills!E8=TRUE,Inputs!$B$32,0)))*(1-IF(AND(ArtifactsInput!$M$27,Inputs!$B$4="Chapter Hunt"),CHOOSE(ArtifactsInput!$N$27+1,20,24,28,32,36,40),0)/100)),0)</f>
        <v/>
      </c>
      <c r="R1639">
        <f>IF(AND(Inputs!$B$38&lt;&gt;"pvp",Inputs!$B$43&gt;0),IF(MAX(0,Inputs!$B$43-B1664)&lt;=0,0,(INT(MAX(0,Inputs!$B$43-B1664)/(IF(Inputs!$B$38="pvp",15,MAX(0.1,Skills!D8-IF(Skills!E8=TRUE,Inputs!$B$32,0)))*(1-IF(AND(ArtifactsInput!$M$27,Inputs!$B$4="Chapter Hunt"),CHOOSE(ArtifactsInput!$N$27+1,20,24,28,32,36,40),0)/100)))+1)),0)</f>
        <v/>
      </c>
      <c r="S1639">
        <f>IFERROR(O1639/N1639,0)</f>
        <v/>
      </c>
      <c r="T1639">
        <f>IF(C1639,(H1639*N1639*IF(AND(Inputs!$B$38&lt;&gt;"pvp",Inputs!$B$43&gt;0),((Skills!G8*((R1639-1)*IF(Skills!H8&gt;0,Skills!I8/Skills!H8,1)+IF(Skills!H8&gt;0,MIN(Skills!I8,MAX(0,MAX(0,Inputs!$B$43-B1664)-((R1639-1)*(IF(Inputs!$B$38="pvp",15,MAX(0.1,Skills!D8-IF(Skills!E8=TRUE,Inputs!$B$32,0)))*(1-IF(AND(ArtifactsInput!$M$27,Inputs!$B$4="Chapter Hunt"),CHOOSE(ArtifactsInput!$N$27+1,20,24,28,32,36,40),0)/100)))))/Skills!H8,1)))/Inputs!$B$43),G1639*Q1639)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1639*(1-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1639*(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1639*(1-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1639*(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39">
        <f>IF(C1639,(H1639*N1639*IF(AND(Inputs!$B$38&lt;&gt;"pvp",Inputs!$B$43&gt;0),((Skills!G8*((R1639-1)*IF(Skills!H8&gt;0,Skills!I8/Skills!H8,1)+IF(Skills!H8&gt;0,MIN(Skills!I8,MAX(0,MAX(0,Inputs!$B$43-B1664)-((R1639-1)*(IF(Inputs!$B$38="pvp",15,MAX(0.1,Skills!D8-IF(Skills!E8=TRUE,Inputs!$B$32,0)))*(1-IF(AND(ArtifactsInput!$M$27,Inputs!$B$4="Chapter Hunt"),CHOOSE(ArtifactsInput!$N$27+1,20,24,28,32,36,40),0)/100)))))/Skills!H8,1)))/Inputs!$B$43),G1639*Q1639))*IF(Inputs!$B$38="pvp",1,(1+(Inputs!$B$21+Skills!Q8+(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0">
      <c r="A1640">
        <f>Skills!A9</f>
        <v/>
      </c>
      <c r="B1640">
        <f>Skills!B9</f>
        <v/>
      </c>
      <c r="C1640">
        <f>Inputs!$B$3&gt;=110</f>
        <v/>
      </c>
      <c r="D1640">
        <f>IF(Skills!C9=1,60+Inputs!$B$25+Inputs!$B$29,IF(Skills!C9=2,90+Inputs!$B$26+Inputs!$B$29,IF(Skills!C9=3,120+Inputs!$B$27+Inputs!$B$29,MAX(0,(Inputs!$B$3-100)*3)+Inputs!$B$28+Inputs!$B$29)))</f>
        <v/>
      </c>
      <c r="E1640">
        <f>INDEX(FactorTable!$B$2:$Y$301, MATCH(ROUND(MIN(300,MAX(1,D1640)),0), FactorTable!$A$2:$A$301,0), Skills!M9+1)</f>
        <v/>
      </c>
      <c r="F1640">
        <f>IF(Skills!N9=TRUE,(Skills!L9/10)*(E1640/1000),Skills!L9/10)+Skills!O9</f>
        <v/>
      </c>
      <c r="G1640">
        <f>Skills!G9*IF(Skills!H9&gt;0,Skills!I9/Skills!H9,1)</f>
        <v/>
      </c>
      <c r="H1640">
        <f>1-(1-Skills!J9/100)^Skills!K9</f>
        <v/>
      </c>
      <c r="I1640" t="inlineStr">
        <is>
          <t>1</t>
        </is>
      </c>
      <c r="J1640">
        <f>((Inputs!$B$6*(1+Inputs!$B$7/100))+(((Inputs!$B$12*(1+Inputs!$B$13/100))-(Inputs!$B$12*(1+Inputs!$B$13/100)))+0.25*(Inputs!$B$14-Inputs!$B$14))*(1+Inputs!$B$7/100))*(F1640/100)</f>
        <v/>
      </c>
      <c r="K1640">
        <f>J1640*(1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1640)</f>
        <v/>
      </c>
      <c r="L1640">
        <f>K1640*(MIN(Inputs!$B$22+((C1651=TRUE)*(F1651-Calc!F20)),(Inputs!$B$23+0+(IF(ArtifactsInput!$M$15,CHOOSE(ArtifactsInput!$N$15+1,25,30,35,40,45,50)/100*(Inputs!$B$11-Inputs!$B$11),0))))/100+(Inputs!$B$23+0+(IF(ArtifactsInput!$M$15,CHOOSE(ArtifactsInput!$N$15+1,25,30,35,40,45,50)/100*(Inputs!$B$11-Inputs!$B$11),0)))/100)/2</f>
        <v/>
      </c>
      <c r="M1640">
        <f>L1640*(1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0">
        <f>L1640*(1-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1640*(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0">
        <f>(1-Summary!$B$11)*T1640+Summary!$B$11*V1640</f>
        <v/>
      </c>
      <c r="P1640">
        <f>IF(B1667=0,0,O1640/B1667)</f>
        <v/>
      </c>
      <c r="Q1640">
        <f>IFERROR(1/(IF(Inputs!$B$38="pvp",15,MAX(0.1,Skills!D9-IF(Skills!E9=TRUE,Inputs!$B$32,0)))*(1-IF(AND(ArtifactsInput!$M$27,Inputs!$B$4="Chapter Hunt"),CHOOSE(ArtifactsInput!$N$27+1,20,24,28,32,36,40),0)/100)),0)</f>
        <v/>
      </c>
      <c r="R1640">
        <f>IF(AND(Inputs!$B$38&lt;&gt;"pvp",Inputs!$B$43&gt;0),IF(MAX(0,Inputs!$B$43-B1664)&lt;=0,0,(INT(MAX(0,Inputs!$B$43-B1664)/(IF(Inputs!$B$38="pvp",15,MAX(0.1,Skills!D9-IF(Skills!E9=TRUE,Inputs!$B$32,0)))*(1-IF(AND(ArtifactsInput!$M$27,Inputs!$B$4="Chapter Hunt"),CHOOSE(ArtifactsInput!$N$27+1,20,24,28,32,36,40),0)/100)))+1)),0)</f>
        <v/>
      </c>
      <c r="S1640">
        <f>IFERROR(O1640/N1640,0)</f>
        <v/>
      </c>
      <c r="T1640">
        <f>IF(C1640,(H1640*N1640*IF(AND(Inputs!$B$38&lt;&gt;"pvp",Inputs!$B$43&gt;0),((Skills!G9*((R1640-1)*IF(Skills!H9&gt;0,Skills!I9/Skills!H9,1)+IF(Skills!H9&gt;0,MIN(Skills!I9,MAX(0,MAX(0,Inputs!$B$43-B1664)-((R1640-1)*(IF(Inputs!$B$38="pvp",15,MAX(0.1,Skills!D9-IF(Skills!E9=TRUE,Inputs!$B$32,0)))*(1-IF(AND(ArtifactsInput!$M$27,Inputs!$B$4="Chapter Hunt"),CHOOSE(ArtifactsInput!$N$27+1,20,24,28,32,36,40),0)/100)))))/Skills!H9,1)))/Inputs!$B$43),G1640*Q1640)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1640*(1-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1640*(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1640*(1-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1640*(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0">
        <f>IF(C1640,(H1640*N1640*IF(AND(Inputs!$B$38&lt;&gt;"pvp",Inputs!$B$43&gt;0),((Skills!G9*((R1640-1)*IF(Skills!H9&gt;0,Skills!I9/Skills!H9,1)+IF(Skills!H9&gt;0,MIN(Skills!I9,MAX(0,MAX(0,Inputs!$B$43-B1664)-((R1640-1)*(IF(Inputs!$B$38="pvp",15,MAX(0.1,Skills!D9-IF(Skills!E9=TRUE,Inputs!$B$32,0)))*(1-IF(AND(ArtifactsInput!$M$27,Inputs!$B$4="Chapter Hunt"),CHOOSE(ArtifactsInput!$N$27+1,20,24,28,32,36,40),0)/100)))))/Skills!H9,1)))/Inputs!$B$43),G1640*Q1640))*IF(Inputs!$B$38="pvp",1,(1+(Inputs!$B$21+Skills!Q9+(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1">
      <c r="A1641">
        <f>Skills!A10</f>
        <v/>
      </c>
      <c r="B1641">
        <f>Skills!B10</f>
        <v/>
      </c>
      <c r="C1641">
        <f>Inputs!$B$3&gt;=103</f>
        <v/>
      </c>
      <c r="D1641">
        <f>IF(Skills!C10=1,60+Inputs!$B$25+Inputs!$B$29,IF(Skills!C10=2,90+Inputs!$B$26+Inputs!$B$29,IF(Skills!C10=3,120+Inputs!$B$27+Inputs!$B$29,MAX(0,(Inputs!$B$3-100)*3)+Inputs!$B$28+Inputs!$B$29)))</f>
        <v/>
      </c>
      <c r="E1641">
        <f>INDEX(FactorTable!$B$2:$Y$301, MATCH(ROUND(MIN(300,MAX(1,D1641)),0), FactorTable!$A$2:$A$301,0), Skills!M10+1)</f>
        <v/>
      </c>
      <c r="F1641">
        <f>IF(Skills!N10=TRUE,(Skills!L10/10)*(E1641/1000),Skills!L10/10)+Skills!O10</f>
        <v/>
      </c>
      <c r="G1641">
        <f>Skills!G10*IF(Skills!H10&gt;0,Skills!I10/Skills!H10,1)</f>
        <v/>
      </c>
      <c r="H1641">
        <f>1-(1-Skills!J10/100)^Skills!K10</f>
        <v/>
      </c>
      <c r="I1641" t="inlineStr">
        <is>
          <t>1</t>
        </is>
      </c>
      <c r="J1641">
        <f>((Inputs!$B$6*(1+Inputs!$B$7/100))+(((Inputs!$B$12*(1+Inputs!$B$13/100))-(Inputs!$B$12*(1+Inputs!$B$13/100)))+0.25*(Inputs!$B$14-Inputs!$B$14))*(1+Inputs!$B$7/100))*(F1641/100)</f>
        <v/>
      </c>
      <c r="K1641">
        <f>J1641*(1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1641)</f>
        <v/>
      </c>
      <c r="L1641">
        <f>K1641*(MIN(Inputs!$B$22+((C1651=TRUE)*(F1651-Calc!F20)),(Inputs!$B$23+0+(IF(ArtifactsInput!$M$15,CHOOSE(ArtifactsInput!$N$15+1,25,30,35,40,45,50)/100*(Inputs!$B$11-Inputs!$B$11),0))))/100+(Inputs!$B$23+0+(IF(ArtifactsInput!$M$15,CHOOSE(ArtifactsInput!$N$15+1,25,30,35,40,45,50)/100*(Inputs!$B$11-Inputs!$B$11),0)))/100)/2</f>
        <v/>
      </c>
      <c r="M1641">
        <f>L1641*(1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1">
        <f>L1641*(1-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1">
        <f>(1-Summary!$B$11)*T1641+Summary!$B$11*V1641</f>
        <v/>
      </c>
      <c r="P1641">
        <f>IF(B1667=0,0,O1641/B1667)</f>
        <v/>
      </c>
      <c r="Q1641">
        <f>IFERROR(1/(IF(Inputs!$B$38="pvp",15,MAX(0.1,Skills!D10-IF(Skills!E10=TRUE,Inputs!$B$32,0)))*(1-IF(AND(ArtifactsInput!$M$27,Inputs!$B$4="Chapter Hunt"),CHOOSE(ArtifactsInput!$N$27+1,20,24,28,32,36,40),0)/100)),0)</f>
        <v/>
      </c>
      <c r="R1641">
        <f>IF(AND(Inputs!$B$38&lt;&gt;"pvp",Inputs!$B$43&gt;0),IF(MAX(0,Inputs!$B$43-B1664)&lt;=0,0,(INT(MAX(0,Inputs!$B$43-B1664)/(IF(Inputs!$B$38="pvp",15,MAX(0.1,Skills!D10-IF(Skills!E10=TRUE,Inputs!$B$32,0)))*(1-IF(AND(ArtifactsInput!$M$27,Inputs!$B$4="Chapter Hunt"),CHOOSE(ArtifactsInput!$N$27+1,20,24,28,32,36,40),0)/100)))+1)),0)</f>
        <v/>
      </c>
      <c r="S1641">
        <f>IFERROR(O1641/N1641,0)</f>
        <v/>
      </c>
      <c r="T1641">
        <f>IF(C1641,(H1641*N1641*IF(AND(Inputs!$B$38&lt;&gt;"pvp",Inputs!$B$43&gt;0),((Skills!G10*((R1641-1)*IF(Skills!H10&gt;0,Skills!I10/Skills!H10,1)+IF(Skills!H10&gt;0,MIN(Skills!I10,MAX(0,MAX(0,Inputs!$B$43-B1664)-((R1641-1)*(IF(Inputs!$B$38="pvp",15,MAX(0.1,Skills!D10-IF(Skills!E10=TRUE,Inputs!$B$32,0)))*(1-IF(AND(ArtifactsInput!$M$27,Inputs!$B$4="Chapter Hunt"),CHOOSE(ArtifactsInput!$N$27+1,20,24,28,32,36,40),0)/100)))))/Skills!H10,1)))/Inputs!$B$43),G1641*Q1641)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1">
        <f>IF(C1641,(H1641*N1641*IF(AND(Inputs!$B$38&lt;&gt;"pvp",Inputs!$B$43&gt;0),((Skills!G10*((R1641-1)*IF(Skills!H10&gt;0,Skills!I10/Skills!H10,1)+IF(Skills!H10&gt;0,MIN(Skills!I10,MAX(0,MAX(0,Inputs!$B$43-B1664)-((R1641-1)*(IF(Inputs!$B$38="pvp",15,MAX(0.1,Skills!D10-IF(Skills!E10=TRUE,Inputs!$B$32,0)))*(1-IF(AND(ArtifactsInput!$M$27,Inputs!$B$4="Chapter Hunt"),CHOOSE(ArtifactsInput!$N$27+1,20,24,28,32,36,40),0)/100)))))/Skills!H10,1)))/Inputs!$B$43),G1641*Q1641))*IF(Inputs!$B$38="pvp",1,(1+(Inputs!$B$21+Skills!Q10+(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2">
      <c r="A1642">
        <f>Skills!A11</f>
        <v/>
      </c>
      <c r="B1642">
        <f>Skills!B11</f>
        <v/>
      </c>
      <c r="C1642">
        <f>Inputs!$B$3&gt;=113</f>
        <v/>
      </c>
      <c r="D1642">
        <f>IF(Skills!C11=1,60+Inputs!$B$25+Inputs!$B$29,IF(Skills!C11=2,90+Inputs!$B$26+Inputs!$B$29,IF(Skills!C11=3,120+Inputs!$B$27+Inputs!$B$29,MAX(0,(Inputs!$B$3-100)*3)+Inputs!$B$28+Inputs!$B$29)))</f>
        <v/>
      </c>
      <c r="E1642">
        <f>INDEX(FactorTable!$B$2:$Y$301, MATCH(ROUND(MIN(300,MAX(1,D1642)),0), FactorTable!$A$2:$A$301,0), Skills!M11+1)</f>
        <v/>
      </c>
      <c r="F1642">
        <f>IF(Skills!N11=TRUE,(Skills!L11/10)*(E1642/1000),Skills!L11/10)+Skills!O11</f>
        <v/>
      </c>
      <c r="G1642">
        <f>Skills!G11*IF(Skills!H11&gt;0,Skills!I11/Skills!H11,1)</f>
        <v/>
      </c>
      <c r="H1642">
        <f>1-(1-Skills!J11/100)^Skills!K11</f>
        <v/>
      </c>
      <c r="I1642" t="inlineStr">
        <is>
          <t>1</t>
        </is>
      </c>
      <c r="J1642">
        <f>((Inputs!$B$6*(1+Inputs!$B$7/100))+(((Inputs!$B$12*(1+Inputs!$B$13/100))-(Inputs!$B$12*(1+Inputs!$B$13/100)))+0.25*(Inputs!$B$14-Inputs!$B$14))*(1+Inputs!$B$7/100))*(F1642/100)</f>
        <v/>
      </c>
      <c r="K1642">
        <f>J1642*(1+((Inputs!$B$12*(1+Inputs!$B$13/100))*0.01+Inputs!$B$14*0.0025)/100)*(1+Inputs!$B$15/100)*(1+Inputs!$B$16/100)*(5000/(6000+Inputs!$B$42*(1-(100*(1-(1-(Inputs!$B$19+0)/100)*(1-CHOOSE(ArtifactsInput!$N$40+1,5,6,7,8,9,10)/100)^(ArtifactsInput!$M$40-ArtifactsInput!$M$40)))/100)))*(1+(Inputs!$B$24+((C1653=TRUE)*(F1653-Calc!F22))+B1663)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1652=TRUE)*(F1652-Calc!F21))+(((IF(AND(ArtifactsInput!$M$42,((Inputs!$B$9+((C1647=TRUE)*(F1647-Calc!F16))+B1657+(ArtifactsInput!$M$24-ArtifactsInput!$M$24)*CHOOSE(ArtifactsInput!$N$24+1,10,12,14,16,18,20)+IF(ArtifactsInput!$M$10,CHOOSE(ArtifactsInput!$N$10+1,15,18,21,24,27,30)*(IF(Inputs!$B$38="pvp",MIN(15,15)/15,IF(AND(Inputs!$B$38&lt;&gt;"pvp",Inputs!$B$43&gt;0),MIN(15,Inputs!$B$43)/(Inputs!$B$43),0))),0)))&gt;=100),MIN(100,((Inputs!$B$9+((C1647=TRUE)*(F1647-Calc!F16))+B1657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1647=TRUE)*(F1647-Calc!F16))+B1657+(ArtifactsInput!$M$24-ArtifactsInput!$M$24)*CHOOSE(ArtifactsInput!$N$24+1,10,12,14,16,18,20)+IF(ArtifactsInput!$M$10,CHOOSE(ArtifactsInput!$N$10+1,15,18,21,24,27,30)*(IF(Inputs!$B$38="pvp",MIN(15,15)/15,IF(AND(Inputs!$B$38&lt;&gt;"pvp",Inputs!$B$43&gt;0),MIN(15,Inputs!$B$43)/(Inputs!$B$43),0))),0)))&gt;=100),CHOOSE(ArtifactsInput!$N$42+1,40,48,56,64,72,80),0))))/100)*((1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1642)</f>
        <v/>
      </c>
      <c r="L1642">
        <f>K1642*(MIN(Inputs!$B$22+((C1651=TRUE)*(F1651-Calc!F20)),(Inputs!$B$23+0+(IF(ArtifactsInput!$M$15,CHOOSE(ArtifactsInput!$N$15+1,25,30,35,40,45,50)/100*(Inputs!$B$11-Inputs!$B$11),0))))/100+(Inputs!$B$23+0+(IF(ArtifactsInput!$M$15,CHOOSE(ArtifactsInput!$N$15+1,25,30,35,40,45,50)/100*(Inputs!$B$11-Inputs!$B$11),0)))/100)/2</f>
        <v/>
      </c>
      <c r="M1642">
        <f>L1642*(1+(Inputs!$B$10+0+B1662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2">
        <f>L1642*(1-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1642*(MIN((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2">
        <f>(1-Summary!$B$11)*T1642+Summary!$B$11*V1642</f>
        <v/>
      </c>
      <c r="P1642">
        <f>IF(B1667=0,0,O1642/B1667)</f>
        <v/>
      </c>
      <c r="Q1642">
        <f>IFERROR(1/(IF(Inputs!$B$38="pvp",15,MAX(0.1,Skills!D11-IF(Skills!E11=TRUE,Inputs!$B$32,0)))*(1-IF(AND(ArtifactsInput!$M$27,Inputs!$B$4="Chapter Hunt"),CHOOSE(ArtifactsInput!$N$27+1,20,24,28,32,36,40),0)/100)),0)</f>
        <v/>
      </c>
      <c r="R1642">
        <f>IF(AND(Inputs!$B$38&lt;&gt;"pvp",Inputs!$B$43&gt;0),IF(MAX(0,Inputs!$B$43-B1664)&lt;=0,0,(INT(MAX(0,Inputs!$B$43-B1664)/(IF(Inputs!$B$38="pvp",15,MAX(0.1,Skills!D11-IF(Skills!E11=TRUE,Inputs!$B$32,0)))*(1-IF(AND(ArtifactsInput!$M$27,Inputs!$B$4="Chapter Hunt"),CHOOSE(ArtifactsInput!$N$27+1,20,24,28,32,36,40),0)/100)))+1)),0)</f>
        <v/>
      </c>
      <c r="S1642">
        <f>IFERROR(O1642/N1642,0)</f>
        <v/>
      </c>
      <c r="T1642">
        <f>IF(C1642,(H1642*N1642*IF(AND(Inputs!$B$38&lt;&gt;"pvp",Inputs!$B$43&gt;0),((Skills!G11*((R1642-1)*IF(Skills!H11&gt;0,Skills!I11/Skills!H11,1)+IF(Skills!H11&gt;0,MIN(Skills!I11,MAX(0,MAX(0,Inputs!$B$43-B1664)-((R1642-1)*(IF(Inputs!$B$38="pvp",15,MAX(0.1,Skills!D11-IF(Skills!E11=TRUE,Inputs!$B$32,0)))*(1-IF(AND(ArtifactsInput!$M$27,Inputs!$B$4="Chapter Hunt"),CHOOSE(ArtifactsInput!$N$27+1,20,24,28,32,36,40),0)/100)))))/Skills!H11,1)))/Inputs!$B$43),G1642*Q1642)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1642*(1-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1642*(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1642*(1-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1642*(MIN(100,(Inputs!$B$9+((C1647=TRUE)*(F1647-Calc!F16))+B1657+(ArtifactsInput!$M$24-ArtifactsInput!$M$24)*CHOOSE(ArtifactsInput!$N$24+1,10,12,14,16,18,20)+(IF(AND(ArtifactsInput!$M$42,((Inputs!$B$9+((C1647=TRUE)*(F1647-Calc!F16))+B1657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42">
        <f>IF(C1642,(H1642*N1642*IF(AND(Inputs!$B$38&lt;&gt;"pvp",Inputs!$B$43&gt;0),((Skills!G11*((R1642-1)*IF(Skills!H11&gt;0,Skills!I11/Skills!H11,1)+IF(Skills!H11&gt;0,MIN(Skills!I11,MAX(0,MAX(0,Inputs!$B$43-B1664)-((R1642-1)*(IF(Inputs!$B$38="pvp",15,MAX(0.1,Skills!D11-IF(Skills!E11=TRUE,Inputs!$B$32,0)))*(1-IF(AND(ArtifactsInput!$M$27,Inputs!$B$4="Chapter Hunt"),CHOOSE(ArtifactsInput!$N$27+1,20,24,28,32,36,40),0)/100)))))/Skills!H11,1)))/Inputs!$B$43),G1642*Q1642))*IF(Inputs!$B$38="pvp",1,(1+(Inputs!$B$21+Skills!Q11+(IF(ArtifactsInput!$M$33,CHOOSE(ArtifactsInput!$N$33+1,30,36,42,48,54,60),0))+(IF(AND(ArtifactsInput!$M$35,Inputs!$B$4&lt;&gt;"Chapter Hunt"),CHOOSE(ArtifactsInput!$N$35+1,15,18,21,24,27,30)*(1-EXP(-(0.2*B1659)*5)),0)+IF(AND(ArtifactsInput!$M$22,Inputs!$B$4&lt;&gt;"Chapter Hunt"),CHOOSE(ArtifactsInput!$N$22+1,10,12,14,16,18,20)*((0*(((0.15*B1659*5))^0/1)+1*(((0.15*B1659*5))^1/1)+2*(((0.15*B1659*5))^2/2)+3*(((0.15*B1659*5))^3/6)+4*(((0.15*B1659*5))^4/24)+5*(((0.15*B1659*5))^5/120))/((((0.15*B1659*5))^0/1)+(((0.15*B1659*5))^1/1)+(((0.15*B1659*5))^2/2)+(((0.15*B1659*5))^3/6)+(((0.15*B1659*5))^4/24)+(((0.15*B1659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3">
      <c r="A1643">
        <f>Skills!A12</f>
        <v/>
      </c>
      <c r="B1643">
        <f>Skills!B12</f>
        <v/>
      </c>
      <c r="C1643">
        <f>Inputs!$B$3&gt;=100</f>
        <v/>
      </c>
      <c r="D1643">
        <f>IF(Skills!C12=1,60+Inputs!$B$25+Inputs!$B$29,IF(Skills!C12=2,90+Inputs!$B$26+Inputs!$B$29,IF(Skills!C12=3,120+Inputs!$B$27+Inputs!$B$29,MAX(0,(Inputs!$B$3-100)*3)+Inputs!$B$28+Inputs!$B$29)))</f>
        <v/>
      </c>
      <c r="E1643">
        <f>INDEX(FactorTable!$B$2:$Y$301, MATCH(ROUND(MIN(300,MAX(1,D1643)),0), FactorTable!$A$2:$A$301,0), Skills!M12+1)</f>
        <v/>
      </c>
      <c r="F1643">
        <f>IF(Skills!N12=TRUE,(Skills!L12/10)*(E1643/1000),Skills!L12/10)+Skills!O12</f>
        <v/>
      </c>
      <c r="G1643" t="inlineStr"/>
      <c r="H1643" t="inlineStr"/>
      <c r="I1643" t="inlineStr">
        <is>
          <t>1</t>
        </is>
      </c>
      <c r="J1643" t="inlineStr"/>
      <c r="K1643" t="inlineStr"/>
      <c r="L1643" t="inlineStr"/>
      <c r="M1643" t="inlineStr"/>
      <c r="N1643" t="inlineStr"/>
      <c r="O1643" t="inlineStr"/>
      <c r="P1643" t="inlineStr"/>
      <c r="Q1643" t="inlineStr"/>
      <c r="R1643" t="inlineStr"/>
      <c r="S1643" t="inlineStr"/>
      <c r="T1643" t="inlineStr"/>
      <c r="V1643" t="inlineStr"/>
    </row>
    <row r="1644">
      <c r="A1644">
        <f>Skills!A13</f>
        <v/>
      </c>
      <c r="B1644">
        <f>Skills!B13</f>
        <v/>
      </c>
      <c r="C1644">
        <f>Inputs!$B$3&gt;=66</f>
        <v/>
      </c>
      <c r="D1644">
        <f>IF(Skills!C13=1,60+Inputs!$B$25+Inputs!$B$29,IF(Skills!C13=2,90+Inputs!$B$26+Inputs!$B$29,IF(Skills!C13=3,120+Inputs!$B$27+Inputs!$B$29,MAX(0,(Inputs!$B$3-100)*3)+Inputs!$B$28+Inputs!$B$29)))</f>
        <v/>
      </c>
      <c r="E1644">
        <f>INDEX(FactorTable!$B$2:$Y$301, MATCH(ROUND(MIN(300,MAX(1,D1644)),0), FactorTable!$A$2:$A$301,0), Skills!M13+1)</f>
        <v/>
      </c>
      <c r="F1644">
        <f>IF(Skills!N13=TRUE,(Skills!L13/10)*(E1644/1000),Skills!L13/10)+Skills!O13</f>
        <v/>
      </c>
      <c r="G1644">
        <f>Skills!G13*IF(Skills!H13&gt;0,Skills!I13/Skills!H13,1)</f>
        <v/>
      </c>
      <c r="H1644">
        <f>1-(1-Skills!J13/100)^Skills!K13</f>
        <v/>
      </c>
      <c r="I1644" t="inlineStr">
        <is>
          <t>1</t>
        </is>
      </c>
      <c r="J1644" t="inlineStr"/>
      <c r="K1644" t="inlineStr"/>
      <c r="L1644" t="inlineStr"/>
      <c r="M1644" t="inlineStr"/>
      <c r="N1644" t="inlineStr"/>
      <c r="O1644">
        <f>(1-Summary!$B$11)*T1644+Summary!$B$11*V1644</f>
        <v/>
      </c>
      <c r="P1644">
        <f>IF(B1667=0,0,O1644/B1667)</f>
        <v/>
      </c>
      <c r="Q1644" t="n">
        <v>0</v>
      </c>
      <c r="R1644" t="n">
        <v>0</v>
      </c>
      <c r="S1644">
        <f>IFERROR(O1644/N1644,0)</f>
        <v/>
      </c>
      <c r="T1644" t="n">
        <v>0</v>
      </c>
      <c r="V1644" t="n">
        <v>0</v>
      </c>
    </row>
    <row r="1645">
      <c r="A1645">
        <f>Skills!A14</f>
        <v/>
      </c>
      <c r="B1645">
        <f>Skills!B14</f>
        <v/>
      </c>
      <c r="C1645">
        <f>Inputs!$B$3&gt;=107</f>
        <v/>
      </c>
      <c r="D1645">
        <f>IF(Skills!C14=1,60+Inputs!$B$25+Inputs!$B$29,IF(Skills!C14=2,90+Inputs!$B$26+Inputs!$B$29,IF(Skills!C14=3,120+Inputs!$B$27+Inputs!$B$29,MAX(0,(Inputs!$B$3-100)*3)+Inputs!$B$28+Inputs!$B$29)))</f>
        <v/>
      </c>
      <c r="E1645">
        <f>INDEX(FactorTable!$B$2:$Y$301, MATCH(ROUND(MIN(300,MAX(1,D1645)),0), FactorTable!$A$2:$A$301,0), Skills!M14+1)</f>
        <v/>
      </c>
      <c r="F1645">
        <f>IF(Skills!N14=TRUE,(Skills!L14/10)*(E1645/1000),Skills!L14/10)+Skills!O14</f>
        <v/>
      </c>
      <c r="G1645">
        <f>Skills!G14*IF(Skills!H14&gt;0,Skills!I14/Skills!H14,1)</f>
        <v/>
      </c>
      <c r="H1645">
        <f>1-(1-Skills!J14/100)^Skills!K14</f>
        <v/>
      </c>
      <c r="I1645" t="inlineStr">
        <is>
          <t>1</t>
        </is>
      </c>
      <c r="J1645" t="inlineStr"/>
      <c r="K1645" t="inlineStr"/>
      <c r="L1645" t="inlineStr"/>
      <c r="M1645" t="inlineStr"/>
      <c r="N1645" t="inlineStr"/>
      <c r="O1645">
        <f>(1-Summary!$B$11)*T1645+Summary!$B$11*V1645</f>
        <v/>
      </c>
      <c r="P1645">
        <f>IF(B1667=0,0,O1645/B1667)</f>
        <v/>
      </c>
      <c r="Q1645">
        <f>IFERROR(1/(IF(Inputs!$B$38="pvp",15,MAX(0.1,Skills!D14-IF(Skills!E14=TRUE,Inputs!$B$32,0)))*(1-IF(AND(ArtifactsInput!$M$27,Inputs!$B$4="Chapter Hunt"),CHOOSE(ArtifactsInput!$N$27+1,20,24,28,32,36,40),0)/100)),0)</f>
        <v/>
      </c>
      <c r="R1645">
        <f>IF(AND(Inputs!$B$38&lt;&gt;"pvp",Inputs!$B$43&gt;0),IF(Inputs!$B$43&lt;=0,0,(INT(Inputs!$B$43/(IF(Inputs!$B$38="pvp",15,MAX(0.1,Skills!D14-IF(Skills!E14=TRUE,Inputs!$B$32,0)))*(1-IF(AND(ArtifactsInput!$M$27,Inputs!$B$4="Chapter Hunt"),CHOOSE(ArtifactsInput!$N$27+1,20,24,28,32,36,40),0)/100)))+1)),0)</f>
        <v/>
      </c>
      <c r="S1645">
        <f>IFERROR(O1645/N1645,0)</f>
        <v/>
      </c>
      <c r="T1645" t="n">
        <v>0</v>
      </c>
      <c r="V1645" t="n">
        <v>0</v>
      </c>
    </row>
    <row r="1646">
      <c r="A1646">
        <f>Skills!A15</f>
        <v/>
      </c>
      <c r="B1646">
        <f>Skills!B15</f>
        <v/>
      </c>
      <c r="C1646">
        <f>Inputs!$B$3&gt;=115</f>
        <v/>
      </c>
      <c r="D1646">
        <f>IF(Skills!C15=1,60+Inputs!$B$25+Inputs!$B$29,IF(Skills!C15=2,90+Inputs!$B$26+Inputs!$B$29,IF(Skills!C15=3,120+Inputs!$B$27+Inputs!$B$29,MAX(0,(Inputs!$B$3-100)*3)+Inputs!$B$28+Inputs!$B$29)))</f>
        <v/>
      </c>
      <c r="E1646">
        <f>INDEX(FactorTable!$B$2:$Y$301, MATCH(ROUND(MIN(300,MAX(1,D1646)),0), FactorTable!$A$2:$A$301,0), Skills!M15+1)</f>
        <v/>
      </c>
      <c r="F1646">
        <f>IF(Skills!N15=TRUE,(Skills!L15/10)*(E1646/1000),Skills!L15/10)+Skills!O15</f>
        <v/>
      </c>
      <c r="G1646">
        <f>Skills!G15*IF(Skills!H15&gt;0,Skills!I15/Skills!H15,1)</f>
        <v/>
      </c>
      <c r="H1646">
        <f>1-(1-Skills!J15/100)^Skills!K15</f>
        <v/>
      </c>
      <c r="I1646" t="inlineStr">
        <is>
          <t>1</t>
        </is>
      </c>
      <c r="J1646" t="inlineStr"/>
      <c r="K1646" t="inlineStr"/>
      <c r="L1646" t="inlineStr"/>
      <c r="M1646" t="inlineStr"/>
      <c r="N1646" t="inlineStr"/>
      <c r="O1646">
        <f>(1-Summary!$B$11)*T1646+Summary!$B$11*V1646</f>
        <v/>
      </c>
      <c r="P1646">
        <f>IF(B1667=0,0,O1646/B1667)</f>
        <v/>
      </c>
      <c r="Q1646">
        <f>IFERROR(1/(IF(Inputs!$B$38="pvp",15,MAX(0.1,Skills!D15-IF(Skills!E15=TRUE,Inputs!$B$32,0)))*(1-IF(AND(ArtifactsInput!$M$27,Inputs!$B$4="Chapter Hunt"),CHOOSE(ArtifactsInput!$N$27+1,20,24,28,32,36,40),0)/100)),0)</f>
        <v/>
      </c>
      <c r="R1646">
        <f>IF(AND(Inputs!$B$38&lt;&gt;"pvp",Inputs!$B$43&gt;0),IF(Inputs!$B$43&lt;=0,0,(INT(Inputs!$B$43/(IF(Inputs!$B$38="pvp",15,MAX(0.1,Skills!D15-IF(Skills!E15=TRUE,Inputs!$B$32,0)))*(1-IF(AND(ArtifactsInput!$M$27,Inputs!$B$4="Chapter Hunt"),CHOOSE(ArtifactsInput!$N$27+1,20,24,28,32,36,40),0)/100)))+1)),0)</f>
        <v/>
      </c>
      <c r="S1646">
        <f>IFERROR(O1646/N1646,0)</f>
        <v/>
      </c>
      <c r="T1646" t="n">
        <v>0</v>
      </c>
      <c r="V1646" t="n">
        <v>0</v>
      </c>
    </row>
    <row r="1647">
      <c r="A1647">
        <f>Skills!A16</f>
        <v/>
      </c>
      <c r="B1647">
        <f>Skills!B16</f>
        <v/>
      </c>
      <c r="C1647">
        <f>Inputs!$B$3&gt;=15</f>
        <v/>
      </c>
      <c r="D1647">
        <f>IF(Skills!C16=1,60+Inputs!$B$25+Inputs!$B$29,IF(Skills!C16=2,90+Inputs!$B$26+Inputs!$B$29,IF(Skills!C16=3,120+Inputs!$B$27+Inputs!$B$29,MAX(0,(Inputs!$B$3-100)*3)+Inputs!$B$28+Inputs!$B$29)))</f>
        <v/>
      </c>
      <c r="E1647">
        <f>INDEX(FactorTable!$B$2:$Y$301, MATCH(ROUND(MIN(300,MAX(1,D1647)),0), FactorTable!$A$2:$A$301,0), Skills!M16+1)</f>
        <v/>
      </c>
      <c r="F1647">
        <f>IF(Skills!N16=TRUE,(Skills!L16/10)*(E1647/1000),Skills!L16/10)+Skills!O16</f>
        <v/>
      </c>
      <c r="G1647">
        <f>Skills!G16*IF(Skills!H16&gt;0,Skills!I16/Skills!H16,1)</f>
        <v/>
      </c>
      <c r="H1647">
        <f>1-(1-Skills!J16/100)^Skills!K16</f>
        <v/>
      </c>
      <c r="I1647" t="inlineStr">
        <is>
          <t>1</t>
        </is>
      </c>
      <c r="J1647" t="inlineStr"/>
      <c r="K1647" t="inlineStr"/>
      <c r="L1647" t="inlineStr"/>
      <c r="M1647" t="inlineStr"/>
      <c r="N1647" t="inlineStr"/>
      <c r="O1647">
        <f>(1-Summary!$B$11)*T1647+Summary!$B$11*V1647</f>
        <v/>
      </c>
      <c r="P1647">
        <f>IF(B1667=0,0,O1647/B1667)</f>
        <v/>
      </c>
      <c r="Q1647" t="n">
        <v>0</v>
      </c>
      <c r="R1647" t="n">
        <v>0</v>
      </c>
      <c r="S1647">
        <f>IFERROR(O1647/N1647,0)</f>
        <v/>
      </c>
      <c r="T1647" t="n">
        <v>0</v>
      </c>
      <c r="V1647" t="n">
        <v>0</v>
      </c>
    </row>
    <row r="1648">
      <c r="A1648">
        <f>Skills!A17</f>
        <v/>
      </c>
      <c r="B1648">
        <f>Skills!B17</f>
        <v/>
      </c>
      <c r="C1648">
        <f>Inputs!$B$3&gt;=10</f>
        <v/>
      </c>
      <c r="D1648">
        <f>IF(Skills!C17=1,60+Inputs!$B$25+Inputs!$B$29,IF(Skills!C17=2,90+Inputs!$B$26+Inputs!$B$29,IF(Skills!C17=3,120+Inputs!$B$27+Inputs!$B$29,MAX(0,(Inputs!$B$3-100)*3)+Inputs!$B$28+Inputs!$B$29)))</f>
        <v/>
      </c>
      <c r="E1648">
        <f>INDEX(FactorTable!$B$2:$Y$301, MATCH(ROUND(MIN(300,MAX(1,D1648)),0), FactorTable!$A$2:$A$301,0), Skills!M17+1)</f>
        <v/>
      </c>
      <c r="F1648">
        <f>IF(Skills!N17=TRUE,(Skills!L17/10)*(E1648/1000),Skills!L17/10)+Skills!O17</f>
        <v/>
      </c>
      <c r="G1648">
        <f>Skills!G17*IF(Skills!H17&gt;0,Skills!I17/Skills!H17,1)</f>
        <v/>
      </c>
      <c r="H1648">
        <f>1-(1-Skills!J17/100)^Skills!K17</f>
        <v/>
      </c>
      <c r="I1648" t="inlineStr">
        <is>
          <t>1</t>
        </is>
      </c>
      <c r="J1648" t="inlineStr"/>
      <c r="K1648" t="inlineStr"/>
      <c r="L1648" t="inlineStr"/>
      <c r="M1648" t="inlineStr"/>
      <c r="N1648" t="inlineStr"/>
      <c r="O1648">
        <f>(1-Summary!$B$11)*T1648+Summary!$B$11*V1648</f>
        <v/>
      </c>
      <c r="P1648">
        <f>IF(B1667=0,0,O1648/B1667)</f>
        <v/>
      </c>
      <c r="Q1648" t="n">
        <v>0</v>
      </c>
      <c r="R1648" t="n">
        <v>0</v>
      </c>
      <c r="S1648">
        <f>IFERROR(O1648/N1648,0)</f>
        <v/>
      </c>
      <c r="T1648" t="n">
        <v>0</v>
      </c>
      <c r="V1648" t="n">
        <v>0</v>
      </c>
    </row>
    <row r="1649">
      <c r="A1649">
        <f>Skills!A18</f>
        <v/>
      </c>
      <c r="B1649">
        <f>Skills!B18</f>
        <v/>
      </c>
      <c r="C1649">
        <f>Inputs!$B$3&gt;=33</f>
        <v/>
      </c>
      <c r="D1649">
        <f>IF(Skills!C18=1,60+Inputs!$B$25+Inputs!$B$29,IF(Skills!C18=2,90+Inputs!$B$26+Inputs!$B$29,IF(Skills!C18=3,120+Inputs!$B$27+Inputs!$B$29,MAX(0,(Inputs!$B$3-100)*3)+Inputs!$B$28+Inputs!$B$29)))</f>
        <v/>
      </c>
      <c r="E1649">
        <f>INDEX(FactorTable!$B$2:$Y$301, MATCH(ROUND(MIN(300,MAX(1,D1649)),0), FactorTable!$A$2:$A$301,0), Skills!M18+1)</f>
        <v/>
      </c>
      <c r="F1649">
        <f>IF(Skills!N18=TRUE,(Skills!L18/10)*(E1649/1000),Skills!L18/10)+Skills!O18</f>
        <v/>
      </c>
      <c r="G1649">
        <f>Skills!G18*IF(Skills!H18&gt;0,Skills!I18/Skills!H18,1)</f>
        <v/>
      </c>
      <c r="H1649">
        <f>1-(1-Skills!J18/100)^Skills!K18</f>
        <v/>
      </c>
      <c r="I1649" t="inlineStr">
        <is>
          <t>1</t>
        </is>
      </c>
      <c r="J1649" t="inlineStr"/>
      <c r="K1649" t="inlineStr"/>
      <c r="L1649" t="inlineStr"/>
      <c r="M1649" t="inlineStr"/>
      <c r="N1649" t="inlineStr"/>
      <c r="O1649">
        <f>(1-Summary!$B$11)*T1649+Summary!$B$11*V1649</f>
        <v/>
      </c>
      <c r="P1649">
        <f>IF(B1667=0,0,O1649/B1667)</f>
        <v/>
      </c>
      <c r="Q1649" t="n">
        <v>0</v>
      </c>
      <c r="R1649" t="n">
        <v>0</v>
      </c>
      <c r="S1649">
        <f>IFERROR(O1649/N1649,0)</f>
        <v/>
      </c>
      <c r="T1649" t="n">
        <v>0</v>
      </c>
      <c r="V1649" t="n">
        <v>0</v>
      </c>
    </row>
    <row r="1650">
      <c r="A1650">
        <f>Skills!A19</f>
        <v/>
      </c>
      <c r="B1650">
        <f>Skills!B19</f>
        <v/>
      </c>
      <c r="C1650">
        <f>Inputs!$B$3&gt;=40</f>
        <v/>
      </c>
      <c r="D1650">
        <f>IF(Skills!C19=1,60+Inputs!$B$25+Inputs!$B$29,IF(Skills!C19=2,90+Inputs!$B$26+Inputs!$B$29,IF(Skills!C19=3,120+Inputs!$B$27+Inputs!$B$29,MAX(0,(Inputs!$B$3-100)*3)+Inputs!$B$28+Inputs!$B$29)))</f>
        <v/>
      </c>
      <c r="E1650">
        <f>INDEX(FactorTable!$B$2:$Y$301, MATCH(ROUND(MIN(300,MAX(1,D1650)),0), FactorTable!$A$2:$A$301,0), Skills!M19+1)</f>
        <v/>
      </c>
      <c r="F1650">
        <f>IF(Skills!N19=TRUE,(Skills!L19/10)*(E1650/1000),Skills!L19/10)+Skills!O19</f>
        <v/>
      </c>
      <c r="G1650">
        <f>Skills!G19*IF(Skills!H19&gt;0,Skills!I19/Skills!H19,1)</f>
        <v/>
      </c>
      <c r="H1650">
        <f>1-(1-Skills!J19/100)^Skills!K19</f>
        <v/>
      </c>
      <c r="I1650" t="inlineStr">
        <is>
          <t>1</t>
        </is>
      </c>
      <c r="J1650" t="inlineStr"/>
      <c r="K1650" t="inlineStr"/>
      <c r="L1650" t="inlineStr"/>
      <c r="M1650" t="inlineStr"/>
      <c r="N1650" t="inlineStr"/>
      <c r="O1650">
        <f>(1-Summary!$B$11)*T1650+Summary!$B$11*V1650</f>
        <v/>
      </c>
      <c r="P1650">
        <f>IF(B1667=0,0,O1650/B1667)</f>
        <v/>
      </c>
      <c r="Q1650" t="n">
        <v>0</v>
      </c>
      <c r="R1650" t="n">
        <v>0</v>
      </c>
      <c r="S1650">
        <f>IFERROR(O1650/N1650,0)</f>
        <v/>
      </c>
      <c r="T1650" t="n">
        <v>0</v>
      </c>
      <c r="V1650" t="n">
        <v>0</v>
      </c>
    </row>
    <row r="1651">
      <c r="A1651">
        <f>Skills!A20</f>
        <v/>
      </c>
      <c r="B1651">
        <f>Skills!B20</f>
        <v/>
      </c>
      <c r="C1651">
        <f>Inputs!$B$3&gt;=43</f>
        <v/>
      </c>
      <c r="D1651">
        <f>IF(Skills!C20=1,60+Inputs!$B$25+Inputs!$B$29,IF(Skills!C20=2,90+Inputs!$B$26+Inputs!$B$29,IF(Skills!C20=3,120+Inputs!$B$27+Inputs!$B$29,MAX(0,(Inputs!$B$3-100)*3)+Inputs!$B$28+Inputs!$B$29)))</f>
        <v/>
      </c>
      <c r="E1651">
        <f>INDEX(FactorTable!$B$2:$Y$301, MATCH(ROUND(MIN(300,MAX(1,D1651)),0), FactorTable!$A$2:$A$301,0), Skills!M20+1)</f>
        <v/>
      </c>
      <c r="F1651">
        <f>IF(Skills!N20=TRUE,(Skills!L20/10)*(E1651/1000),Skills!L20/10)+Skills!O20</f>
        <v/>
      </c>
      <c r="G1651">
        <f>Skills!G20*IF(Skills!H20&gt;0,Skills!I20/Skills!H20,1)</f>
        <v/>
      </c>
      <c r="H1651">
        <f>1-(1-Skills!J20/100)^Skills!K20</f>
        <v/>
      </c>
      <c r="I1651" t="inlineStr">
        <is>
          <t>1</t>
        </is>
      </c>
      <c r="J1651" t="inlineStr"/>
      <c r="K1651" t="inlineStr"/>
      <c r="L1651" t="inlineStr"/>
      <c r="M1651" t="inlineStr"/>
      <c r="N1651" t="inlineStr"/>
      <c r="O1651">
        <f>(1-Summary!$B$11)*T1651+Summary!$B$11*V1651</f>
        <v/>
      </c>
      <c r="P1651">
        <f>IF(B1667=0,0,O1651/B1667)</f>
        <v/>
      </c>
      <c r="Q1651" t="n">
        <v>0</v>
      </c>
      <c r="R1651" t="n">
        <v>0</v>
      </c>
      <c r="S1651">
        <f>IFERROR(O1651/N1651,0)</f>
        <v/>
      </c>
      <c r="T1651" t="n">
        <v>0</v>
      </c>
      <c r="V1651" t="n">
        <v>0</v>
      </c>
    </row>
    <row r="1652">
      <c r="A1652">
        <f>Skills!A21</f>
        <v/>
      </c>
      <c r="B1652">
        <f>Skills!B21</f>
        <v/>
      </c>
      <c r="C1652">
        <f>Inputs!$B$3&gt;=38</f>
        <v/>
      </c>
      <c r="D1652">
        <f>IF(Skills!C21=1,60+Inputs!$B$25+Inputs!$B$29,IF(Skills!C21=2,90+Inputs!$B$26+Inputs!$B$29,IF(Skills!C21=3,120+Inputs!$B$27+Inputs!$B$29,MAX(0,(Inputs!$B$3-100)*3)+Inputs!$B$28+Inputs!$B$29)))</f>
        <v/>
      </c>
      <c r="E1652">
        <f>INDEX(FactorTable!$B$2:$Y$301, MATCH(ROUND(MIN(300,MAX(1,D1652)),0), FactorTable!$A$2:$A$301,0), Skills!M21+1)</f>
        <v/>
      </c>
      <c r="F1652">
        <f>IF(Skills!N21=TRUE,(Skills!L21/10)*(E1652/1000),Skills!L21/10)+Skills!O21</f>
        <v/>
      </c>
      <c r="G1652">
        <f>Skills!G21*IF(Skills!H21&gt;0,Skills!I21/Skills!H21,1)</f>
        <v/>
      </c>
      <c r="H1652">
        <f>1-(1-Skills!J21/100)^Skills!K21</f>
        <v/>
      </c>
      <c r="I1652" t="inlineStr">
        <is>
          <t>1</t>
        </is>
      </c>
      <c r="J1652" t="inlineStr"/>
      <c r="K1652" t="inlineStr"/>
      <c r="L1652" t="inlineStr"/>
      <c r="M1652" t="inlineStr"/>
      <c r="N1652" t="inlineStr"/>
      <c r="O1652">
        <f>(1-Summary!$B$11)*T1652+Summary!$B$11*V1652</f>
        <v/>
      </c>
      <c r="P1652">
        <f>IF(B1667=0,0,O1652/B1667)</f>
        <v/>
      </c>
      <c r="Q1652" t="n">
        <v>0</v>
      </c>
      <c r="R1652" t="n">
        <v>0</v>
      </c>
      <c r="S1652">
        <f>IFERROR(O1652/N1652,0)</f>
        <v/>
      </c>
      <c r="T1652" t="n">
        <v>0</v>
      </c>
      <c r="V1652" t="n">
        <v>0</v>
      </c>
    </row>
    <row r="1653">
      <c r="A1653">
        <f>Skills!A22</f>
        <v/>
      </c>
      <c r="B1653">
        <f>Skills!B22</f>
        <v/>
      </c>
      <c r="C1653">
        <f>Inputs!$B$3&gt;=75</f>
        <v/>
      </c>
      <c r="D1653">
        <f>IF(Skills!C22=1,60+Inputs!$B$25+Inputs!$B$29,IF(Skills!C22=2,90+Inputs!$B$26+Inputs!$B$29,IF(Skills!C22=3,120+Inputs!$B$27+Inputs!$B$29,MAX(0,(Inputs!$B$3-100)*3)+Inputs!$B$28+Inputs!$B$29)))</f>
        <v/>
      </c>
      <c r="E1653">
        <f>INDEX(FactorTable!$B$2:$Y$301, MATCH(ROUND(MIN(300,MAX(1,D1653)),0), FactorTable!$A$2:$A$301,0), Skills!M22+1)</f>
        <v/>
      </c>
      <c r="F1653">
        <f>IF(Skills!N22=TRUE,(Skills!L22/10)*(E1653/1000),Skills!L22/10)+Skills!O22</f>
        <v/>
      </c>
      <c r="G1653">
        <f>Skills!G22*IF(Skills!H22&gt;0,Skills!I22/Skills!H22,1)</f>
        <v/>
      </c>
      <c r="H1653">
        <f>1-(1-Skills!J22/100)^Skills!K22</f>
        <v/>
      </c>
      <c r="I1653" t="inlineStr">
        <is>
          <t>1</t>
        </is>
      </c>
      <c r="J1653" t="inlineStr"/>
      <c r="K1653" t="inlineStr"/>
      <c r="L1653" t="inlineStr"/>
      <c r="M1653" t="inlineStr"/>
      <c r="N1653" t="inlineStr"/>
      <c r="O1653">
        <f>(1-Summary!$B$11)*T1653+Summary!$B$11*V1653</f>
        <v/>
      </c>
      <c r="P1653">
        <f>IF(B1667=0,0,O1653/B1667)</f>
        <v/>
      </c>
      <c r="Q1653" t="n">
        <v>0</v>
      </c>
      <c r="R1653" t="n">
        <v>0</v>
      </c>
      <c r="S1653">
        <f>IFERROR(O1653/N1653,0)</f>
        <v/>
      </c>
      <c r="T1653" t="n">
        <v>0</v>
      </c>
      <c r="V1653" t="n">
        <v>0</v>
      </c>
    </row>
    <row r="1654">
      <c r="A1654">
        <f>Skills!A23</f>
        <v/>
      </c>
      <c r="B1654">
        <f>Skills!B23</f>
        <v/>
      </c>
      <c r="C1654">
        <f>TRUE</f>
        <v/>
      </c>
      <c r="D1654">
        <f>IF(Skills!C23=1,60+Inputs!$B$25+Inputs!$B$29,IF(Skills!C23=2,90+Inputs!$B$26+Inputs!$B$29,IF(Skills!C23=3,120+Inputs!$B$27+Inputs!$B$29,MAX(0,(Inputs!$B$3-100)*3)+Inputs!$B$28+Inputs!$B$29)))</f>
        <v/>
      </c>
      <c r="E1654">
        <f>INDEX(FactorTable!$B$2:$Y$301, MATCH(ROUND(MIN(300,MAX(1,D1654)),0), FactorTable!$A$2:$A$301,0), Skills!M23+1)</f>
        <v/>
      </c>
      <c r="F1654">
        <f>IF(Skills!N23=TRUE,(Skills!L23/10)*(E1654/1000),Skills!L23/10)+Skills!O23</f>
        <v/>
      </c>
      <c r="G1654">
        <f>Skills!G23*IF(Skills!H23&gt;0,Skills!I23/Skills!H23,1)</f>
        <v/>
      </c>
      <c r="H1654">
        <f>1-(1-Skills!J23/100)^Skills!K23</f>
        <v/>
      </c>
      <c r="I1654" t="inlineStr">
        <is>
          <t>1</t>
        </is>
      </c>
      <c r="J1654" t="inlineStr"/>
      <c r="K1654" t="inlineStr"/>
      <c r="L1654" t="inlineStr"/>
      <c r="M1654" t="inlineStr"/>
      <c r="N1654" t="inlineStr"/>
      <c r="O1654">
        <f>(1-Summary!$B$11)*T1654+Summary!$B$11*V1654</f>
        <v/>
      </c>
      <c r="P1654">
        <f>IF(B1667=0,0,O1654/B1667)</f>
        <v/>
      </c>
      <c r="Q1654">
        <f>IFERROR(1/(IF(Inputs!$B$38="pvp",15,MAX(0.1,Skills!D23-IF(Skills!E23=TRUE,Inputs!$B$32,0)))*(1-IF(AND(ArtifactsInput!$M$27,Inputs!$B$4="Chapter Hunt"),CHOOSE(ArtifactsInput!$N$27+1,20,24,28,32,36,40),0)/100)),0)</f>
        <v/>
      </c>
      <c r="R1654">
        <f>IF(AND(Inputs!$B$38&lt;&gt;"pvp",Inputs!$B$43&gt;0),IF(Inputs!$B$43&lt;=0,0,(INT(Inputs!$B$43/(IF(Inputs!$B$38="pvp",15,MAX(0.1,Skills!D23-IF(Skills!E23=TRUE,Inputs!$B$32,0)))*(1-IF(AND(ArtifactsInput!$M$27,Inputs!$B$4="Chapter Hunt"),CHOOSE(ArtifactsInput!$N$27+1,20,24,28,32,36,40),0)/100)))+1)),0)</f>
        <v/>
      </c>
      <c r="S1654">
        <f>IFERROR(O1654/N1654,0)</f>
        <v/>
      </c>
      <c r="T1654" t="n">
        <v>0</v>
      </c>
      <c r="V1654" t="n">
        <v>0</v>
      </c>
    </row>
    <row r="1656">
      <c r="A1656" t="inlineStr">
        <is>
          <t>Attack% Bucket Multiplier</t>
        </is>
      </c>
      <c r="B1656">
        <f>(1+(((C1644=TRUE)*F1644*5/7)+((C1650=TRUE)*(F1650-Calc!F19))+(IF(IF(ArtifactsInput!$M$21,FALSE,TRUE),CHOOSE(ArtifactsInput!$N$21+1,25,30,35,40,45,50)*(IF(OR(Inputs!$B$4="Chapter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57">
      <c r="A1657" t="inlineStr">
        <is>
          <t>Global Crit Rate Bonus %</t>
        </is>
      </c>
      <c r="B1657" t="n">
        <v>0</v>
      </c>
    </row>
    <row r="1658">
      <c r="A1658" t="inlineStr">
        <is>
          <t>Attack Speed Buff Bonus % (Nimble Feet, duty-cycle averaged)</t>
        </is>
      </c>
      <c r="B1658">
        <f>((C1654=TRUE)*F1654*IF(AND(Inputs!$B$38&lt;&gt;"pvp",Inputs!$B$43&gt;0),(((R1654-1)*(Skills!T23*(1+Inputs!$B$34/100))+MIN((Skills!T23*(1+Inputs!$B$34/100)),MAX(0,Inputs!$B$43-((R1654-1)*Skills!D23))))/Inputs!$B$43),IF(Inputs!$B$38="pvp",MIN((Skills!T23*(1+Inputs!$B$34/100)),15)/15,(Skills!T23*(1+Inputs!$B$34/100))/Skills!D23)))</f>
        <v/>
      </c>
    </row>
    <row r="1659">
      <c r="A1659" t="inlineStr">
        <is>
          <t>Actions Per Second</t>
        </is>
      </c>
      <c r="B1659">
        <f>1+MIN(150,150*(1-(1-(Inputs!$B$11+((C1648=TRUE)*(F1648-Calc!F17))+((C1649=TRUE)*(F1649-Calc!F18)))/150)*(1-B1658/150)))/100</f>
        <v/>
      </c>
    </row>
    <row r="1660">
      <c r="A1660" t="inlineStr">
        <is>
          <t>Skill + Buff Cast Rate</t>
        </is>
      </c>
      <c r="B1660">
        <f>IF(AND(Inputs!$B$38&lt;&gt;"pvp",Inputs!$B$43&gt;0),SUMPRODUCT((Skills!E2:E23=TRUE)*(C1633:C1654=TRUE)*R1633:R1654*Skills!F2:F23)/Inputs!$B$43,SUMPRODUCT((Skills!E2:E23=TRUE)*(C1633:C1654=TRUE)*Q1633:Q1654*Skills!F2:F23))</f>
        <v/>
      </c>
    </row>
    <row r="1661">
      <c r="A1661" t="inlineStr">
        <is>
          <t>Hook Bomber Casts Per Second</t>
        </is>
      </c>
      <c r="B1661">
        <f>MAX(0,B1659-B1660)</f>
        <v/>
      </c>
    </row>
    <row r="1662">
      <c r="A1662" t="inlineStr">
        <is>
          <t>Global Critical Damage Bonus % (unused)</t>
        </is>
      </c>
      <c r="B1662" t="n">
        <v>0</v>
      </c>
    </row>
    <row r="1663">
      <c r="A1663" t="inlineStr">
        <is>
          <t>Global Final Damage Bonus % (Serpent Scale + Crossbones + Time Leap + Speed Infusion)</t>
        </is>
      </c>
      <c r="B1663">
        <f>((C1636=TRUE)*F1636*((10+IF(Inputs!$B$3&gt;=94,5,0))/((10+IF(Inputs!$B$3&gt;=94,5,0))+5/(B1661*(1+IF(Inputs!$B$3&gt;=104,1,0))))))+((C1645=TRUE)*F1645*IF(AND(Inputs!$B$38&lt;&gt;"pvp",Inputs!$B$43&gt;0),(((R1645-1)*(Skills!T14*(1+Inputs!$B$34/100))+MIN((Skills!T14*(1+Inputs!$B$34/100)),MAX(0,Inputs!$B$43-((R1645-1)*Skills!D14))))/Inputs!$B$43),IF(Inputs!$B$38="pvp",MIN((Skills!T14*(1+Inputs!$B$34/100)),15)/15,(Skills!T14*(1+Inputs!$B$34/100))/Skills!D14)))+((C1646=TRUE)*F1646*IF(AND(Inputs!$B$38&lt;&gt;"pvp",Inputs!$B$43&gt;0),(((R1646-1)*(Skills!T15*(1+Inputs!$B$34/100))+MIN((Skills!T15*(1+Inputs!$B$34/100)),MAX(0,Inputs!$B$43-((R1646-1)*Skills!D15))))/Inputs!$B$43),IF(Inputs!$B$38="pvp",MIN((Skills!T15*(1+Inputs!$B$34/100)),15)/15,(Skills!T15*(1+Inputs!$B$34/100))/Skills!D15)))+((Inputs!$B$3&gt;=110)*20*(B1659-1)*IF(Inputs!$B$38="pvp",MIN((15*(1+Inputs!$B$34/100)),15)/15,(15*(1+Inputs!$B$34/100))/35))</f>
        <v/>
      </c>
    </row>
    <row r="1664">
      <c r="A1664" t="inlineStr">
        <is>
          <t>Buff-Casting Startup Delay (s, fixed-duration only)</t>
        </is>
      </c>
      <c r="B1664">
        <f>IF(AND(Inputs!$B$38&lt;&gt;"pvp",Inputs!$B$43&gt;0),SUMPRODUCT((Skills!T2:T23&gt;0)*(Skills!E2:E23=TRUE)*(C1633:C1654=TRUE))/B1659,0)</f>
        <v/>
      </c>
    </row>
    <row r="1665">
      <c r="A1665" t="inlineStr">
        <is>
          <t>Boss-Only Total DPS (this block's swept value)</t>
        </is>
      </c>
      <c r="B1665">
        <f>SUM(T1633:T1654)</f>
        <v/>
      </c>
    </row>
    <row r="1666">
      <c r="A1666" t="inlineStr">
        <is>
          <t>Normal-Only Total DPS (this block's swept value)</t>
        </is>
      </c>
      <c r="B1666">
        <f>SUM(V1633:V1654)</f>
        <v/>
      </c>
    </row>
    <row r="1667">
      <c r="A1667" s="6" t="inlineStr">
        <is>
          <t>TOTAL DPS</t>
        </is>
      </c>
      <c r="B1667" s="6">
        <f>SUM(O1633:O1654)</f>
        <v/>
      </c>
    </row>
    <row r="1670">
      <c r="A1670" s="6" t="inlineStr">
        <is>
          <t>Stat: Silver Pendant (Equip)</t>
        </is>
      </c>
    </row>
    <row r="1671">
      <c r="A1671" s="5" t="inlineStr">
        <is>
          <t>Key</t>
        </is>
      </c>
      <c r="B1671" s="5" t="inlineStr">
        <is>
          <t>Name</t>
        </is>
      </c>
      <c r="C1671" s="5" t="inlineStr">
        <is>
          <t>Unlocked</t>
        </is>
      </c>
      <c r="D1671" s="5" t="inlineStr">
        <is>
          <t>InputLevel</t>
        </is>
      </c>
      <c r="E1671" s="5" t="inlineStr">
        <is>
          <t>Factor</t>
        </is>
      </c>
      <c r="F1671" s="5" t="inlineStr">
        <is>
          <t>CoefficientPercent</t>
        </is>
      </c>
      <c r="G1671" s="5" t="inlineStr">
        <is>
          <t>EffectiveHits</t>
        </is>
      </c>
      <c r="H1671" s="5" t="inlineStr">
        <is>
          <t>ProcProbability</t>
        </is>
      </c>
      <c r="I1671" s="5" t="inlineStr">
        <is>
          <t>MapleHeroMultiplier</t>
        </is>
      </c>
      <c r="J1671" s="5" t="inlineStr">
        <is>
          <t>BaseDamage</t>
        </is>
      </c>
      <c r="K1671" s="5" t="inlineStr">
        <is>
          <t>BaseHitDamage</t>
        </is>
      </c>
      <c r="L1671" s="5" t="inlineStr">
        <is>
          <t>NonCritAvg</t>
        </is>
      </c>
      <c r="M1671" s="5" t="inlineStr">
        <is>
          <t>CritAvg</t>
        </is>
      </c>
      <c r="N1671" s="5" t="inlineStr">
        <is>
          <t>ExpectedDamage(perHit)</t>
        </is>
      </c>
      <c r="O1671" s="5" t="inlineStr">
        <is>
          <t>DPS</t>
        </is>
      </c>
      <c r="P1671" s="5" t="inlineStr">
        <is>
          <t>% of Total</t>
        </is>
      </c>
      <c r="Q1671" s="5" t="inlineStr">
        <is>
          <t>InvCooldown</t>
        </is>
      </c>
      <c r="R1671" s="5" t="inlineStr">
        <is>
          <t>CastsInFight</t>
        </is>
      </c>
      <c r="S1671" s="5" t="inlineStr">
        <is>
          <t>HitRate(perSec)</t>
        </is>
      </c>
      <c r="U1671" t="inlineStr">
        <is>
          <t>helpers</t>
        </is>
      </c>
    </row>
    <row r="1672">
      <c r="A1672">
        <f>Skills!A2</f>
        <v/>
      </c>
      <c r="B1672">
        <f>Skills!B2</f>
        <v/>
      </c>
      <c r="C1672">
        <f>Inputs!$B$3&gt;=100</f>
        <v/>
      </c>
      <c r="D1672" t="inlineStr"/>
      <c r="E1672" t="inlineStr"/>
      <c r="F1672">
        <f>U1674+Skills!O2</f>
        <v/>
      </c>
      <c r="G1672">
        <f>Skills!G2*IF(Skills!H2&gt;0,Skills!I2/Skills!H2,1)</f>
        <v/>
      </c>
      <c r="H1672">
        <f>1-(1-Skills!J2/100)^Skills!K2</f>
        <v/>
      </c>
      <c r="I1672" t="inlineStr">
        <is>
          <t>1</t>
        </is>
      </c>
      <c r="J1672">
        <f>((Inputs!$B$6*(1+Inputs!$B$7/100))+(((Inputs!$B$12*(1+Inputs!$B$13/100))-(Inputs!$B$12*(1+Inputs!$B$13/100)))+0.25*(Inputs!$B$14-Inputs!$B$14))*(1+Inputs!$B$7/100))*(F1672/100)</f>
        <v/>
      </c>
      <c r="K1672">
        <f>J1672*(1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1672)</f>
        <v/>
      </c>
      <c r="L1672">
        <f>K1672*(MIN(Inputs!$B$22+((C1690=TRUE)*(F1690-Calc!F20)),(Inputs!$B$23+0+(IF(ArtifactsInput!$M$15,CHOOSE(ArtifactsInput!$N$15+1,25,30,35,40,45,50)/100*(Inputs!$B$11-Inputs!$B$11),0))))/100+(Inputs!$B$23+0+(IF(ArtifactsInput!$M$15,CHOOSE(ArtifactsInput!$N$15+1,25,30,35,40,45,50)/100*(Inputs!$B$11-Inputs!$B$11),0)))/100)/2</f>
        <v/>
      </c>
      <c r="M1672">
        <f>L1672*(1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2">
        <f>L1672*(1-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1672*(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2">
        <f>(1-Summary!$B$11)*T1672+Summary!$B$11*V1672</f>
        <v/>
      </c>
      <c r="P1672">
        <f>IF(B1706=0,0,O1672/B1706)</f>
        <v/>
      </c>
      <c r="Q1672" t="n">
        <v>0</v>
      </c>
      <c r="R1672" t="n">
        <v>0</v>
      </c>
      <c r="S1672">
        <f>IFERROR(O1672/N1672,0)</f>
        <v/>
      </c>
      <c r="T1672">
        <f>IF(C1672,(Skills!G2*N1672*B1700)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1672*(1-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1672*(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1672*(1-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1672*(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2">
        <f>MAX(0,(Inputs!$B$3-100)*3)+Inputs!$B$28+Inputs!$B$29</f>
        <v/>
      </c>
      <c r="V1672">
        <f>IF(C1672,(Skills!G2*N1672*B1700)*IF(Inputs!$B$38="pvp",1,(1+(Inputs!$B$21+Skills!Q2+(IF(ArtifactsInput!$M$33,CHOOSE(ArtifactsInput!$N$33+1,30,36,42,48,54,60),0))+(IF(AND(ArtifactsInput!$M$35,Inputs!$B$4&lt;&gt;"Chapter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3">
      <c r="A1673">
        <f>Skills!A3</f>
        <v/>
      </c>
      <c r="B1673">
        <f>Skills!B3</f>
        <v/>
      </c>
      <c r="C1673">
        <f>Inputs!$B$3&gt;=35</f>
        <v/>
      </c>
      <c r="D1673">
        <f>IF(Skills!C3=1,60+Inputs!$B$25+Inputs!$B$29,IF(Skills!C3=2,90+Inputs!$B$26+Inputs!$B$29,IF(Skills!C3=3,120+Inputs!$B$27+Inputs!$B$29,MAX(0,(Inputs!$B$3-100)*3)+Inputs!$B$28+Inputs!$B$29)))</f>
        <v/>
      </c>
      <c r="E1673">
        <f>INDEX(FactorTable!$B$2:$Y$301, MATCH(ROUND(MIN(300,MAX(1,D1673)),0), FactorTable!$A$2:$A$301,0), Skills!M3+1)</f>
        <v/>
      </c>
      <c r="F1673">
        <f>IF(Skills!N3=TRUE,(Skills!L3/10)*(E1673/1000),Skills!L3/10)+Skills!O3</f>
        <v/>
      </c>
      <c r="G1673">
        <f>Skills!G3*IF(Skills!H3&gt;0,Skills!I3/Skills!H3,1)</f>
        <v/>
      </c>
      <c r="H1673">
        <f>1-(1-Skills!J3/100)^Skills!K3</f>
        <v/>
      </c>
      <c r="I1673" t="inlineStr">
        <is>
          <t>1</t>
        </is>
      </c>
      <c r="J1673">
        <f>((Inputs!$B$6*(1+Inputs!$B$7/100))+(((Inputs!$B$12*(1+Inputs!$B$13/100))-(Inputs!$B$12*(1+Inputs!$B$13/100)))+0.25*(Inputs!$B$14-Inputs!$B$14))*(1+Inputs!$B$7/100))*(F1673/100)</f>
        <v/>
      </c>
      <c r="K1673">
        <f>J1673*(1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1673)</f>
        <v/>
      </c>
      <c r="L1673">
        <f>K1673*(MIN(Inputs!$B$22+((C1690=TRUE)*(F1690-Calc!F20)),(Inputs!$B$23+0+(IF(ArtifactsInput!$M$15,CHOOSE(ArtifactsInput!$N$15+1,25,30,35,40,45,50)/100*(Inputs!$B$11-Inputs!$B$11),0))))/100+(Inputs!$B$23+0+(IF(ArtifactsInput!$M$15,CHOOSE(ArtifactsInput!$N$15+1,25,30,35,40,45,50)/100*(Inputs!$B$11-Inputs!$B$11),0)))/100)/2</f>
        <v/>
      </c>
      <c r="M1673">
        <f>L1673*(1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3">
        <f>L1673*(1-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1673*(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3">
        <f>(1-Summary!$B$11)*T1673+Summary!$B$11*V1673</f>
        <v/>
      </c>
      <c r="P1673">
        <f>IF(B1706=0,0,O1673/B1706)</f>
        <v/>
      </c>
      <c r="Q1673" t="n">
        <v>0</v>
      </c>
      <c r="R1673" t="n">
        <v>0</v>
      </c>
      <c r="S1673">
        <f>IFERROR(O1673/N1673,0)</f>
        <v/>
      </c>
      <c r="T1673">
        <f>IF(C1673,(Skills!G3*H1673*N1673*B1700)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1673*(1-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1673*(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1673*(1-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1673*(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3">
        <f>INDEX(FactorTable!$B$2:$Y$301, MATCH(ROUND(MIN(300,MAX(1,U1672)),0), FactorTable!$A$2:$A$301,0), 22)</f>
        <v/>
      </c>
      <c r="V1673">
        <f>IF(C1673,(Skills!G3*H1673*N1673*B1700)*IF(Inputs!$B$38="pvp",1,(1+(Inputs!$B$21+Skills!Q3+(IF(ArtifactsInput!$M$33,CHOOSE(ArtifactsInput!$N$33+1,30,36,42,48,54,60),0))+(IF(AND(ArtifactsInput!$M$35,Inputs!$B$4&lt;&gt;"Chapter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4">
      <c r="A1674">
        <f>Skills!A4</f>
        <v/>
      </c>
      <c r="B1674">
        <f>Skills!B4</f>
        <v/>
      </c>
      <c r="C1674">
        <f>Inputs!$B$3&gt;=60</f>
        <v/>
      </c>
      <c r="D1674">
        <f>IF(Skills!C4=1,60+Inputs!$B$25+Inputs!$B$29,IF(Skills!C4=2,90+Inputs!$B$26+Inputs!$B$29,IF(Skills!C4=3,120+Inputs!$B$27+Inputs!$B$29,MAX(0,(Inputs!$B$3-100)*3)+Inputs!$B$28+Inputs!$B$29)))</f>
        <v/>
      </c>
      <c r="E1674">
        <f>INDEX(FactorTable!$B$2:$Y$301, MATCH(ROUND(MIN(300,MAX(1,D1674)),0), FactorTable!$A$2:$A$301,0), Skills!M4+1)</f>
        <v/>
      </c>
      <c r="F1674">
        <f>IF(Skills!N4=TRUE,(Skills!L4/10)*(E1674/1000),Skills!L4/10)+Skills!O4</f>
        <v/>
      </c>
      <c r="G1674">
        <f>Skills!G4*IF(Skills!H4&gt;0,Skills!I4/Skills!H4,1)</f>
        <v/>
      </c>
      <c r="H1674">
        <f>1-(1-Skills!J4/100)^Skills!K4</f>
        <v/>
      </c>
      <c r="I1674" t="inlineStr">
        <is>
          <t>1</t>
        </is>
      </c>
      <c r="J1674">
        <f>((Inputs!$B$6*(1+Inputs!$B$7/100))+(((Inputs!$B$12*(1+Inputs!$B$13/100))-(Inputs!$B$12*(1+Inputs!$B$13/100)))+0.25*(Inputs!$B$14-Inputs!$B$14))*(1+Inputs!$B$7/100))*(F1674/100)</f>
        <v/>
      </c>
      <c r="K1674">
        <f>J1674*(1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1682=TRUE,F1682,0)/100)*(1+(IF(Skills!A4="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1674)</f>
        <v/>
      </c>
      <c r="L1674">
        <f>K1674*(MIN(Inputs!$B$22+((C1690=TRUE)*(F1690-Calc!F20)),(Inputs!$B$23+0+(IF(ArtifactsInput!$M$15,CHOOSE(ArtifactsInput!$N$15+1,25,30,35,40,45,50)/100*(Inputs!$B$11-Inputs!$B$11),0))))/100+(Inputs!$B$23+0+(IF(ArtifactsInput!$M$15,CHOOSE(ArtifactsInput!$N$15+1,25,30,35,40,45,50)/100*(Inputs!$B$11-Inputs!$B$11),0)))/100)/2</f>
        <v/>
      </c>
      <c r="M1674">
        <f>L1674*(1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4">
        <f>L1674*(1-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1674*(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4">
        <f>(1-Summary!$B$11)*T1674+Summary!$B$11*V1674</f>
        <v/>
      </c>
      <c r="P1674">
        <f>IF(B1706=0,0,O1674/B1706)</f>
        <v/>
      </c>
      <c r="Q1674" t="n">
        <v>0</v>
      </c>
      <c r="R1674" t="n">
        <v>0</v>
      </c>
      <c r="S1674">
        <f>IFERROR(O1674/N1674,0)</f>
        <v/>
      </c>
      <c r="T1674">
        <f>IF(C1674,(Skills!G4*H1674*N1674*B1700)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1674*(1-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1674*(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1674*(1-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1674*(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74">
        <f>290*U1673/1000</f>
        <v/>
      </c>
      <c r="V1674">
        <f>IF(C1674,(Skills!G4*H1674*N1674*B1700)*IF(Inputs!$B$38="pvp",1,(1+(Inputs!$B$21+Skills!Q4+(IF(ArtifactsInput!$M$33,CHOOSE(ArtifactsInput!$N$33+1,30,36,42,48,54,60),0))+(IF(AND(ArtifactsInput!$M$35,Inputs!$B$4&lt;&gt;"Chapter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5">
      <c r="A1675">
        <f>Skills!A5</f>
        <v/>
      </c>
      <c r="B1675">
        <f>Skills!B5</f>
        <v/>
      </c>
      <c r="C1675">
        <f>Inputs!$B$3&gt;=60</f>
        <v/>
      </c>
      <c r="D1675">
        <f>IF(Skills!C5=1,60+Inputs!$B$25+Inputs!$B$29,IF(Skills!C5=2,90+Inputs!$B$26+Inputs!$B$29,IF(Skills!C5=3,120+Inputs!$B$27+Inputs!$B$29,MAX(0,(Inputs!$B$3-100)*3)+Inputs!$B$28+Inputs!$B$29)))</f>
        <v/>
      </c>
      <c r="E1675">
        <f>INDEX(FactorTable!$B$2:$Y$301, MATCH(ROUND(MIN(300,MAX(1,D1675)),0), FactorTable!$A$2:$A$301,0), Skills!M5+1)</f>
        <v/>
      </c>
      <c r="F1675">
        <f>IF(Skills!N5=TRUE,(Skills!L5/10)*(E1675/1000),Skills!L5/10)+Skills!O5</f>
        <v/>
      </c>
      <c r="G1675">
        <f>Skills!G5*IF(Skills!H5&gt;0,Skills!I5/Skills!H5,1)</f>
        <v/>
      </c>
      <c r="H1675">
        <f>1-(1-Skills!J5/100)^Skills!K5</f>
        <v/>
      </c>
      <c r="I1675" t="inlineStr">
        <is>
          <t>1</t>
        </is>
      </c>
      <c r="J1675" t="inlineStr"/>
      <c r="K1675" t="inlineStr"/>
      <c r="L1675" t="inlineStr"/>
      <c r="M1675" t="inlineStr"/>
      <c r="N1675" t="inlineStr"/>
      <c r="O1675">
        <f>(1-Summary!$B$11)*T1675+Summary!$B$11*V1675</f>
        <v/>
      </c>
      <c r="P1675">
        <f>IF(B1706=0,0,O1675/B1706)</f>
        <v/>
      </c>
      <c r="Q1675" t="n">
        <v>0</v>
      </c>
      <c r="R1675" t="n">
        <v>0</v>
      </c>
      <c r="S1675">
        <f>IFERROR(O1675/N1675,0)</f>
        <v/>
      </c>
      <c r="T1675" t="n">
        <v>0</v>
      </c>
      <c r="V1675" t="n">
        <v>0</v>
      </c>
    </row>
    <row r="1676">
      <c r="A1676">
        <f>Skills!A6</f>
        <v/>
      </c>
      <c r="B1676">
        <f>Skills!B6</f>
        <v/>
      </c>
      <c r="C1676">
        <f>Inputs!$B$3&gt;=63</f>
        <v/>
      </c>
      <c r="D1676">
        <f>IF(Skills!C6=1,60+Inputs!$B$25+Inputs!$B$29,IF(Skills!C6=2,90+Inputs!$B$26+Inputs!$B$29,IF(Skills!C6=3,120+Inputs!$B$27+Inputs!$B$29,MAX(0,(Inputs!$B$3-100)*3)+Inputs!$B$28+Inputs!$B$29)))</f>
        <v/>
      </c>
      <c r="E1676">
        <f>INDEX(FactorTable!$B$2:$Y$301, MATCH(ROUND(MIN(300,MAX(1,D1676)),0), FactorTable!$A$2:$A$301,0), Skills!M6+1)</f>
        <v/>
      </c>
      <c r="F1676">
        <f>IF(Skills!N6=TRUE,(Skills!L6/10)*(E1676/1000),Skills!L6/10)+Skills!O6</f>
        <v/>
      </c>
      <c r="G1676">
        <f>Skills!G6*IF(Skills!H6&gt;0,Skills!I6/Skills!H6,1)</f>
        <v/>
      </c>
      <c r="H1676">
        <f>1-(1-Skills!J6/100)^Skills!K6</f>
        <v/>
      </c>
      <c r="I1676" t="inlineStr">
        <is>
          <t>1</t>
        </is>
      </c>
      <c r="J1676">
        <f>((Inputs!$B$6*(1+Inputs!$B$7/100))+(((Inputs!$B$12*(1+Inputs!$B$13/100))-(Inputs!$B$12*(1+Inputs!$B$13/100)))+0.25*(Inputs!$B$14-Inputs!$B$14))*(1+Inputs!$B$7/100))*(F1676/100)</f>
        <v/>
      </c>
      <c r="K1676">
        <f>J1676*(1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1682=TRUE,F1682,0)/100)*(1+(IF(Skills!A6="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1676)</f>
        <v/>
      </c>
      <c r="L1676">
        <f>K1676*(MIN(Inputs!$B$22+((C1690=TRUE)*(F1690-Calc!F20)),(Inputs!$B$23+0+(IF(ArtifactsInput!$M$15,CHOOSE(ArtifactsInput!$N$15+1,25,30,35,40,45,50)/100*(Inputs!$B$11-Inputs!$B$11),0))))/100+(Inputs!$B$23+0+(IF(ArtifactsInput!$M$15,CHOOSE(ArtifactsInput!$N$15+1,25,30,35,40,45,50)/100*(Inputs!$B$11-Inputs!$B$11),0)))/100)/2</f>
        <v/>
      </c>
      <c r="M1676">
        <f>L1676*(1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6">
        <f>L1676*(1-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1676*(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6">
        <f>(1-Summary!$B$11)*T1676+Summary!$B$11*V1676</f>
        <v/>
      </c>
      <c r="P1676">
        <f>IF(B1706=0,0,O1676/B1706)</f>
        <v/>
      </c>
      <c r="Q1676">
        <f>IFERROR(1/(IF(Inputs!$B$38="pvp",15,MAX(0.1,Skills!D6-IF(Skills!E6=TRUE,Inputs!$B$32,0)))*(1-IF(AND(ArtifactsInput!$M$27,Inputs!$B$4="Chapter Hunt"),CHOOSE(ArtifactsInput!$N$27+1,20,24,28,32,36,40),0)/100)),0)</f>
        <v/>
      </c>
      <c r="R1676">
        <f>IF(AND(Inputs!$B$38&lt;&gt;"pvp",Inputs!$B$43&gt;0),IF(MAX(0,Inputs!$B$43-B1703)&lt;=0,0,(INT(MAX(0,Inputs!$B$43-B1703)/(IF(Inputs!$B$38="pvp",15,MAX(0.1,Skills!D6-IF(Skills!E6=TRUE,Inputs!$B$32,0)))*(1-IF(AND(ArtifactsInput!$M$27,Inputs!$B$4="Chapter Hunt"),CHOOSE(ArtifactsInput!$N$27+1,20,24,28,32,36,40),0)/100)))+1)),0)</f>
        <v/>
      </c>
      <c r="S1676">
        <f>IFERROR(O1676/N1676,0)</f>
        <v/>
      </c>
      <c r="T1676">
        <f>IF(C1676,(H1676*N1676*IF(AND(Inputs!$B$38&lt;&gt;"pvp",Inputs!$B$43&gt;0),((Skills!G6*((R1676-1)*IF(Skills!H6&gt;0,Skills!I6/Skills!H6,1)+IF(Skills!H6&gt;0,MIN(Skills!I6,MAX(0,MAX(0,Inputs!$B$43-B1703)-((R1676-1)*(IF(Inputs!$B$38="pvp",15,MAX(0.1,Skills!D6-IF(Skills!E6=TRUE,Inputs!$B$32,0)))*(1-IF(AND(ArtifactsInput!$M$27,Inputs!$B$4="Chapter Hunt"),CHOOSE(ArtifactsInput!$N$27+1,20,24,28,32,36,40),0)/100)))))/Skills!H6,1)))/Inputs!$B$43),G1676*Q1676)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1676*(1-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1676*(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1676*(1-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1676*(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6">
        <f>IF(C1676,(H1676*N1676*IF(AND(Inputs!$B$38&lt;&gt;"pvp",Inputs!$B$43&gt;0),((Skills!G6*((R1676-1)*IF(Skills!H6&gt;0,Skills!I6/Skills!H6,1)+IF(Skills!H6&gt;0,MIN(Skills!I6,MAX(0,MAX(0,Inputs!$B$43-B1703)-((R1676-1)*(IF(Inputs!$B$38="pvp",15,MAX(0.1,Skills!D6-IF(Skills!E6=TRUE,Inputs!$B$32,0)))*(1-IF(AND(ArtifactsInput!$M$27,Inputs!$B$4="Chapter Hunt"),CHOOSE(ArtifactsInput!$N$27+1,20,24,28,32,36,40),0)/100)))))/Skills!H6,1)))/Inputs!$B$43),G1676*Q1676))*IF(Inputs!$B$38="pvp",1,(1+(Inputs!$B$21+Skills!Q6+(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7">
      <c r="A1677">
        <f>Skills!A7</f>
        <v/>
      </c>
      <c r="B1677">
        <f>Skills!B7</f>
        <v/>
      </c>
      <c r="C1677">
        <f>Inputs!$B$3&gt;=100</f>
        <v/>
      </c>
      <c r="D1677">
        <f>IF(Skills!C7=1,60+Inputs!$B$25+Inputs!$B$29,IF(Skills!C7=2,90+Inputs!$B$26+Inputs!$B$29,IF(Skills!C7=3,120+Inputs!$B$27+Inputs!$B$29,MAX(0,(Inputs!$B$3-100)*3)+Inputs!$B$28+Inputs!$B$29)))</f>
        <v/>
      </c>
      <c r="E1677">
        <f>INDEX(FactorTable!$B$2:$Y$301, MATCH(ROUND(MIN(300,MAX(1,D1677)),0), FactorTable!$A$2:$A$301,0), Skills!M7+1)</f>
        <v/>
      </c>
      <c r="F1677">
        <f>IF(Skills!N7=TRUE,(Skills!L7/10)*(E1677/1000),Skills!L7/10)+Skills!O7</f>
        <v/>
      </c>
      <c r="G1677">
        <f>Skills!G7*IF(Skills!H7&gt;0,Skills!I7/Skills!H7,1)</f>
        <v/>
      </c>
      <c r="H1677">
        <f>1-(1-Skills!J7/100)^Skills!K7</f>
        <v/>
      </c>
      <c r="I1677" t="inlineStr">
        <is>
          <t>1</t>
        </is>
      </c>
      <c r="J1677">
        <f>((Inputs!$B$6*(1+Inputs!$B$7/100))+(((Inputs!$B$12*(1+Inputs!$B$13/100))-(Inputs!$B$12*(1+Inputs!$B$13/100)))+0.25*(Inputs!$B$14-Inputs!$B$14))*(1+Inputs!$B$7/100))*(F1677/100)</f>
        <v/>
      </c>
      <c r="K1677">
        <f>J1677*(1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1677)</f>
        <v/>
      </c>
      <c r="L1677">
        <f>K1677*(MIN(Inputs!$B$22+((C1690=TRUE)*(F1690-Calc!F20)),(Inputs!$B$23+0+(IF(ArtifactsInput!$M$15,CHOOSE(ArtifactsInput!$N$15+1,25,30,35,40,45,50)/100*(Inputs!$B$11-Inputs!$B$11),0))))/100+(Inputs!$B$23+0+(IF(ArtifactsInput!$M$15,CHOOSE(ArtifactsInput!$N$15+1,25,30,35,40,45,50)/100*(Inputs!$B$11-Inputs!$B$11),0)))/100)/2</f>
        <v/>
      </c>
      <c r="M1677">
        <f>L1677*(1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7">
        <f>L1677*(1-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1677*(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7">
        <f>(1-Summary!$B$11)*T1677+Summary!$B$11*V1677</f>
        <v/>
      </c>
      <c r="P1677">
        <f>IF(B1706=0,0,O1677/B1706)</f>
        <v/>
      </c>
      <c r="Q1677">
        <f>IFERROR(1/(IF(Inputs!$B$38="pvp",15,MAX(0.1,Skills!D7-IF(Skills!E7=TRUE,Inputs!$B$32,0)))*(1-IF(AND(ArtifactsInput!$M$27,Inputs!$B$4="Chapter Hunt"),CHOOSE(ArtifactsInput!$N$27+1,20,24,28,32,36,40),0)/100)),0)</f>
        <v/>
      </c>
      <c r="R1677">
        <f>IF(AND(Inputs!$B$38&lt;&gt;"pvp",Inputs!$B$43&gt;0),IF(MAX(0,Inputs!$B$43-B1703)&lt;=0,0,(INT(MAX(0,Inputs!$B$43-B1703)/(IF(Inputs!$B$38="pvp",15,MAX(0.1,Skills!D7-IF(Skills!E7=TRUE,Inputs!$B$32,0)))*(1-IF(AND(ArtifactsInput!$M$27,Inputs!$B$4="Chapter Hunt"),CHOOSE(ArtifactsInput!$N$27+1,20,24,28,32,36,40),0)/100)))+1)),0)</f>
        <v/>
      </c>
      <c r="S1677">
        <f>IFERROR(O1677/N1677,0)</f>
        <v/>
      </c>
      <c r="T1677">
        <f>IF(C1677,(H1677*N1677*IF(AND(Inputs!$B$38&lt;&gt;"pvp",Inputs!$B$43&gt;0),((Skills!G7*((R1677-1)*IF(Skills!H7&gt;0,Skills!I7/Skills!H7,1)+IF(Skills!H7&gt;0,MIN(Skills!I7,MAX(0,MAX(0,Inputs!$B$43-B1703)-((R1677-1)*(IF(Inputs!$B$38="pvp",15,MAX(0.1,Skills!D7-IF(Skills!E7=TRUE,Inputs!$B$32,0)))*(1-IF(AND(ArtifactsInput!$M$27,Inputs!$B$4="Chapter Hunt"),CHOOSE(ArtifactsInput!$N$27+1,20,24,28,32,36,40),0)/100)))))/Skills!H7,1)))/Inputs!$B$43),G1677*Q1677)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1677*(1-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1677*(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1677*(1-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1677*(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7">
        <f>IF(C1677,(H1677*N1677*IF(AND(Inputs!$B$38&lt;&gt;"pvp",Inputs!$B$43&gt;0),((Skills!G7*((R1677-1)*IF(Skills!H7&gt;0,Skills!I7/Skills!H7,1)+IF(Skills!H7&gt;0,MIN(Skills!I7,MAX(0,MAX(0,Inputs!$B$43-B1703)-((R1677-1)*(IF(Inputs!$B$38="pvp",15,MAX(0.1,Skills!D7-IF(Skills!E7=TRUE,Inputs!$B$32,0)))*(1-IF(AND(ArtifactsInput!$M$27,Inputs!$B$4="Chapter Hunt"),CHOOSE(ArtifactsInput!$N$27+1,20,24,28,32,36,40),0)/100)))))/Skills!H7,1)))/Inputs!$B$43),G1677*Q1677))*IF(Inputs!$B$38="pvp",1,(1+(Inputs!$B$21+Skills!Q7+(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8">
      <c r="A1678">
        <f>Skills!A8</f>
        <v/>
      </c>
      <c r="B1678">
        <f>Skills!B8</f>
        <v/>
      </c>
      <c r="C1678">
        <f>Inputs!$B$3&gt;=110</f>
        <v/>
      </c>
      <c r="D1678">
        <f>IF(Skills!C8=1,60+Inputs!$B$25+Inputs!$B$29,IF(Skills!C8=2,90+Inputs!$B$26+Inputs!$B$29,IF(Skills!C8=3,120+Inputs!$B$27+Inputs!$B$29,MAX(0,(Inputs!$B$3-100)*3)+Inputs!$B$28+Inputs!$B$29)))</f>
        <v/>
      </c>
      <c r="E1678">
        <f>INDEX(FactorTable!$B$2:$Y$301, MATCH(ROUND(MIN(300,MAX(1,D1678)),0), FactorTable!$A$2:$A$301,0), Skills!M8+1)</f>
        <v/>
      </c>
      <c r="F1678">
        <f>IF(Skills!N8=TRUE,(Skills!L8/10)*(E1678/1000),Skills!L8/10)+Skills!O8</f>
        <v/>
      </c>
      <c r="G1678">
        <f>Skills!G8*IF(Skills!H8&gt;0,Skills!I8/Skills!H8,1)</f>
        <v/>
      </c>
      <c r="H1678">
        <f>1-(1-Skills!J8/100)^Skills!K8</f>
        <v/>
      </c>
      <c r="I1678" t="inlineStr">
        <is>
          <t>1</t>
        </is>
      </c>
      <c r="J1678">
        <f>((Inputs!$B$6*(1+Inputs!$B$7/100))+(((Inputs!$B$12*(1+Inputs!$B$13/100))-(Inputs!$B$12*(1+Inputs!$B$13/100)))+0.25*(Inputs!$B$14-Inputs!$B$14))*(1+Inputs!$B$7/100))*(F1678/100)</f>
        <v/>
      </c>
      <c r="K1678">
        <f>J1678*(1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1678)</f>
        <v/>
      </c>
      <c r="L1678">
        <f>K1678*(MIN(Inputs!$B$22+((C1690=TRUE)*(F1690-Calc!F20)),(Inputs!$B$23+0+(IF(ArtifactsInput!$M$15,CHOOSE(ArtifactsInput!$N$15+1,25,30,35,40,45,50)/100*(Inputs!$B$11-Inputs!$B$11),0))))/100+(Inputs!$B$23+0+(IF(ArtifactsInput!$M$15,CHOOSE(ArtifactsInput!$N$15+1,25,30,35,40,45,50)/100*(Inputs!$B$11-Inputs!$B$11),0)))/100)/2</f>
        <v/>
      </c>
      <c r="M1678">
        <f>L1678*(1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8">
        <f>L1678*(1-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1678*(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8">
        <f>(1-Summary!$B$11)*T1678+Summary!$B$11*V1678</f>
        <v/>
      </c>
      <c r="P1678">
        <f>IF(B1706=0,0,O1678/B1706)</f>
        <v/>
      </c>
      <c r="Q1678">
        <f>IFERROR(1/(IF(Inputs!$B$38="pvp",15,MAX(0.1,Skills!D8-IF(Skills!E8=TRUE,Inputs!$B$32,0)))*(1-IF(AND(ArtifactsInput!$M$27,Inputs!$B$4="Chapter Hunt"),CHOOSE(ArtifactsInput!$N$27+1,20,24,28,32,36,40),0)/100)),0)</f>
        <v/>
      </c>
      <c r="R1678">
        <f>IF(AND(Inputs!$B$38&lt;&gt;"pvp",Inputs!$B$43&gt;0),IF(MAX(0,Inputs!$B$43-B1703)&lt;=0,0,(INT(MAX(0,Inputs!$B$43-B1703)/(IF(Inputs!$B$38="pvp",15,MAX(0.1,Skills!D8-IF(Skills!E8=TRUE,Inputs!$B$32,0)))*(1-IF(AND(ArtifactsInput!$M$27,Inputs!$B$4="Chapter Hunt"),CHOOSE(ArtifactsInput!$N$27+1,20,24,28,32,36,40),0)/100)))+1)),0)</f>
        <v/>
      </c>
      <c r="S1678">
        <f>IFERROR(O1678/N1678,0)</f>
        <v/>
      </c>
      <c r="T1678">
        <f>IF(C1678,(H1678*N1678*IF(AND(Inputs!$B$38&lt;&gt;"pvp",Inputs!$B$43&gt;0),((Skills!G8*((R1678-1)*IF(Skills!H8&gt;0,Skills!I8/Skills!H8,1)+IF(Skills!H8&gt;0,MIN(Skills!I8,MAX(0,MAX(0,Inputs!$B$43-B1703)-((R1678-1)*(IF(Inputs!$B$38="pvp",15,MAX(0.1,Skills!D8-IF(Skills!E8=TRUE,Inputs!$B$32,0)))*(1-IF(AND(ArtifactsInput!$M$27,Inputs!$B$4="Chapter Hunt"),CHOOSE(ArtifactsInput!$N$27+1,20,24,28,32,36,40),0)/100)))))/Skills!H8,1)))/Inputs!$B$43),G1678*Q1678)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1678*(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1678*(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8">
        <f>IF(C1678,(H1678*N1678*IF(AND(Inputs!$B$38&lt;&gt;"pvp",Inputs!$B$43&gt;0),((Skills!G8*((R1678-1)*IF(Skills!H8&gt;0,Skills!I8/Skills!H8,1)+IF(Skills!H8&gt;0,MIN(Skills!I8,MAX(0,MAX(0,Inputs!$B$43-B1703)-((R1678-1)*(IF(Inputs!$B$38="pvp",15,MAX(0.1,Skills!D8-IF(Skills!E8=TRUE,Inputs!$B$32,0)))*(1-IF(AND(ArtifactsInput!$M$27,Inputs!$B$4="Chapter Hunt"),CHOOSE(ArtifactsInput!$N$27+1,20,24,28,32,36,40),0)/100)))))/Skills!H8,1)))/Inputs!$B$43),G1678*Q1678))*IF(Inputs!$B$38="pvp",1,(1+(Inputs!$B$21+Skills!Q8+(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79">
      <c r="A1679">
        <f>Skills!A9</f>
        <v/>
      </c>
      <c r="B1679">
        <f>Skills!B9</f>
        <v/>
      </c>
      <c r="C1679">
        <f>Inputs!$B$3&gt;=110</f>
        <v/>
      </c>
      <c r="D1679">
        <f>IF(Skills!C9=1,60+Inputs!$B$25+Inputs!$B$29,IF(Skills!C9=2,90+Inputs!$B$26+Inputs!$B$29,IF(Skills!C9=3,120+Inputs!$B$27+Inputs!$B$29,MAX(0,(Inputs!$B$3-100)*3)+Inputs!$B$28+Inputs!$B$29)))</f>
        <v/>
      </c>
      <c r="E1679">
        <f>INDEX(FactorTable!$B$2:$Y$301, MATCH(ROUND(MIN(300,MAX(1,D1679)),0), FactorTable!$A$2:$A$301,0), Skills!M9+1)</f>
        <v/>
      </c>
      <c r="F1679">
        <f>IF(Skills!N9=TRUE,(Skills!L9/10)*(E1679/1000),Skills!L9/10)+Skills!O9</f>
        <v/>
      </c>
      <c r="G1679">
        <f>Skills!G9*IF(Skills!H9&gt;0,Skills!I9/Skills!H9,1)</f>
        <v/>
      </c>
      <c r="H1679">
        <f>1-(1-Skills!J9/100)^Skills!K9</f>
        <v/>
      </c>
      <c r="I1679" t="inlineStr">
        <is>
          <t>1</t>
        </is>
      </c>
      <c r="J1679">
        <f>((Inputs!$B$6*(1+Inputs!$B$7/100))+(((Inputs!$B$12*(1+Inputs!$B$13/100))-(Inputs!$B$12*(1+Inputs!$B$13/100)))+0.25*(Inputs!$B$14-Inputs!$B$14))*(1+Inputs!$B$7/100))*(F1679/100)</f>
        <v/>
      </c>
      <c r="K1679">
        <f>J1679*(1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1679)</f>
        <v/>
      </c>
      <c r="L1679">
        <f>K1679*(MIN(Inputs!$B$22+((C1690=TRUE)*(F1690-Calc!F20)),(Inputs!$B$23+0+(IF(ArtifactsInput!$M$15,CHOOSE(ArtifactsInput!$N$15+1,25,30,35,40,45,50)/100*(Inputs!$B$11-Inputs!$B$11),0))))/100+(Inputs!$B$23+0+(IF(ArtifactsInput!$M$15,CHOOSE(ArtifactsInput!$N$15+1,25,30,35,40,45,50)/100*(Inputs!$B$11-Inputs!$B$11),0)))/100)/2</f>
        <v/>
      </c>
      <c r="M1679">
        <f>L1679*(1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9">
        <f>L1679*(1-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1679*(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9">
        <f>(1-Summary!$B$11)*T1679+Summary!$B$11*V1679</f>
        <v/>
      </c>
      <c r="P1679">
        <f>IF(B1706=0,0,O1679/B1706)</f>
        <v/>
      </c>
      <c r="Q1679">
        <f>IFERROR(1/(IF(Inputs!$B$38="pvp",15,MAX(0.1,Skills!D9-IF(Skills!E9=TRUE,Inputs!$B$32,0)))*(1-IF(AND(ArtifactsInput!$M$27,Inputs!$B$4="Chapter Hunt"),CHOOSE(ArtifactsInput!$N$27+1,20,24,28,32,36,40),0)/100)),0)</f>
        <v/>
      </c>
      <c r="R1679">
        <f>IF(AND(Inputs!$B$38&lt;&gt;"pvp",Inputs!$B$43&gt;0),IF(MAX(0,Inputs!$B$43-B1703)&lt;=0,0,(INT(MAX(0,Inputs!$B$43-B1703)/(IF(Inputs!$B$38="pvp",15,MAX(0.1,Skills!D9-IF(Skills!E9=TRUE,Inputs!$B$32,0)))*(1-IF(AND(ArtifactsInput!$M$27,Inputs!$B$4="Chapter Hunt"),CHOOSE(ArtifactsInput!$N$27+1,20,24,28,32,36,40),0)/100)))+1)),0)</f>
        <v/>
      </c>
      <c r="S1679">
        <f>IFERROR(O1679/N1679,0)</f>
        <v/>
      </c>
      <c r="T1679">
        <f>IF(C1679,(H1679*N1679*IF(AND(Inputs!$B$38&lt;&gt;"pvp",Inputs!$B$43&gt;0),((Skills!G9*((R1679-1)*IF(Skills!H9&gt;0,Skills!I9/Skills!H9,1)+IF(Skills!H9&gt;0,MIN(Skills!I9,MAX(0,MAX(0,Inputs!$B$43-B1703)-((R1679-1)*(IF(Inputs!$B$38="pvp",15,MAX(0.1,Skills!D9-IF(Skills!E9=TRUE,Inputs!$B$32,0)))*(1-IF(AND(ArtifactsInput!$M$27,Inputs!$B$4="Chapter Hunt"),CHOOSE(ArtifactsInput!$N$27+1,20,24,28,32,36,40),0)/100)))))/Skills!H9,1)))/Inputs!$B$43),G1679*Q1679)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1679*(1-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1679*(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1679*(1-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1679*(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9">
        <f>IF(C1679,(H1679*N1679*IF(AND(Inputs!$B$38&lt;&gt;"pvp",Inputs!$B$43&gt;0),((Skills!G9*((R1679-1)*IF(Skills!H9&gt;0,Skills!I9/Skills!H9,1)+IF(Skills!H9&gt;0,MIN(Skills!I9,MAX(0,MAX(0,Inputs!$B$43-B1703)-((R1679-1)*(IF(Inputs!$B$38="pvp",15,MAX(0.1,Skills!D9-IF(Skills!E9=TRUE,Inputs!$B$32,0)))*(1-IF(AND(ArtifactsInput!$M$27,Inputs!$B$4="Chapter Hunt"),CHOOSE(ArtifactsInput!$N$27+1,20,24,28,32,36,40),0)/100)))))/Skills!H9,1)))/Inputs!$B$43),G1679*Q1679))*IF(Inputs!$B$38="pvp",1,(1+(Inputs!$B$21+Skills!Q9+(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0">
      <c r="A1680">
        <f>Skills!A10</f>
        <v/>
      </c>
      <c r="B1680">
        <f>Skills!B10</f>
        <v/>
      </c>
      <c r="C1680">
        <f>Inputs!$B$3&gt;=103</f>
        <v/>
      </c>
      <c r="D1680">
        <f>IF(Skills!C10=1,60+Inputs!$B$25+Inputs!$B$29,IF(Skills!C10=2,90+Inputs!$B$26+Inputs!$B$29,IF(Skills!C10=3,120+Inputs!$B$27+Inputs!$B$29,MAX(0,(Inputs!$B$3-100)*3)+Inputs!$B$28+Inputs!$B$29)))</f>
        <v/>
      </c>
      <c r="E1680">
        <f>INDEX(FactorTable!$B$2:$Y$301, MATCH(ROUND(MIN(300,MAX(1,D1680)),0), FactorTable!$A$2:$A$301,0), Skills!M10+1)</f>
        <v/>
      </c>
      <c r="F1680">
        <f>IF(Skills!N10=TRUE,(Skills!L10/10)*(E1680/1000),Skills!L10/10)+Skills!O10</f>
        <v/>
      </c>
      <c r="G1680">
        <f>Skills!G10*IF(Skills!H10&gt;0,Skills!I10/Skills!H10,1)</f>
        <v/>
      </c>
      <c r="H1680">
        <f>1-(1-Skills!J10/100)^Skills!K10</f>
        <v/>
      </c>
      <c r="I1680" t="inlineStr">
        <is>
          <t>1</t>
        </is>
      </c>
      <c r="J1680">
        <f>((Inputs!$B$6*(1+Inputs!$B$7/100))+(((Inputs!$B$12*(1+Inputs!$B$13/100))-(Inputs!$B$12*(1+Inputs!$B$13/100)))+0.25*(Inputs!$B$14-Inputs!$B$14))*(1+Inputs!$B$7/100))*(F1680/100)</f>
        <v/>
      </c>
      <c r="K1680">
        <f>J1680*(1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1680)</f>
        <v/>
      </c>
      <c r="L1680">
        <f>K1680*(MIN(Inputs!$B$22+((C1690=TRUE)*(F1690-Calc!F20)),(Inputs!$B$23+0+(IF(ArtifactsInput!$M$15,CHOOSE(ArtifactsInput!$N$15+1,25,30,35,40,45,50)/100*(Inputs!$B$11-Inputs!$B$11),0))))/100+(Inputs!$B$23+0+(IF(ArtifactsInput!$M$15,CHOOSE(ArtifactsInput!$N$15+1,25,30,35,40,45,50)/100*(Inputs!$B$11-Inputs!$B$11),0)))/100)/2</f>
        <v/>
      </c>
      <c r="M1680">
        <f>L1680*(1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0">
        <f>L1680*(1-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1680*(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0">
        <f>(1-Summary!$B$11)*T1680+Summary!$B$11*V1680</f>
        <v/>
      </c>
      <c r="P1680">
        <f>IF(B1706=0,0,O1680/B1706)</f>
        <v/>
      </c>
      <c r="Q1680">
        <f>IFERROR(1/(IF(Inputs!$B$38="pvp",15,MAX(0.1,Skills!D10-IF(Skills!E10=TRUE,Inputs!$B$32,0)))*(1-IF(AND(ArtifactsInput!$M$27,Inputs!$B$4="Chapter Hunt"),CHOOSE(ArtifactsInput!$N$27+1,20,24,28,32,36,40),0)/100)),0)</f>
        <v/>
      </c>
      <c r="R1680">
        <f>IF(AND(Inputs!$B$38&lt;&gt;"pvp",Inputs!$B$43&gt;0),IF(MAX(0,Inputs!$B$43-B1703)&lt;=0,0,(INT(MAX(0,Inputs!$B$43-B1703)/(IF(Inputs!$B$38="pvp",15,MAX(0.1,Skills!D10-IF(Skills!E10=TRUE,Inputs!$B$32,0)))*(1-IF(AND(ArtifactsInput!$M$27,Inputs!$B$4="Chapter Hunt"),CHOOSE(ArtifactsInput!$N$27+1,20,24,28,32,36,40),0)/100)))+1)),0)</f>
        <v/>
      </c>
      <c r="S1680">
        <f>IFERROR(O1680/N1680,0)</f>
        <v/>
      </c>
      <c r="T1680">
        <f>IF(C1680,(H1680*N1680*IF(AND(Inputs!$B$38&lt;&gt;"pvp",Inputs!$B$43&gt;0),((Skills!G10*((R1680-1)*IF(Skills!H10&gt;0,Skills!I10/Skills!H10,1)+IF(Skills!H10&gt;0,MIN(Skills!I10,MAX(0,MAX(0,Inputs!$B$43-B1703)-((R1680-1)*(IF(Inputs!$B$38="pvp",15,MAX(0.1,Skills!D10-IF(Skills!E10=TRUE,Inputs!$B$32,0)))*(1-IF(AND(ArtifactsInput!$M$27,Inputs!$B$4="Chapter Hunt"),CHOOSE(ArtifactsInput!$N$27+1,20,24,28,32,36,40),0)/100)))))/Skills!H10,1)))/Inputs!$B$43),G1680*Q1680)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1680*(1-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1680*(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1680*(1-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1680*(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0">
        <f>IF(C1680,(H1680*N1680*IF(AND(Inputs!$B$38&lt;&gt;"pvp",Inputs!$B$43&gt;0),((Skills!G10*((R1680-1)*IF(Skills!H10&gt;0,Skills!I10/Skills!H10,1)+IF(Skills!H10&gt;0,MIN(Skills!I10,MAX(0,MAX(0,Inputs!$B$43-B1703)-((R1680-1)*(IF(Inputs!$B$38="pvp",15,MAX(0.1,Skills!D10-IF(Skills!E10=TRUE,Inputs!$B$32,0)))*(1-IF(AND(ArtifactsInput!$M$27,Inputs!$B$4="Chapter Hunt"),CHOOSE(ArtifactsInput!$N$27+1,20,24,28,32,36,40),0)/100)))))/Skills!H10,1)))/Inputs!$B$43),G1680*Q1680))*IF(Inputs!$B$38="pvp",1,(1+(Inputs!$B$21+Skills!Q10+(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1">
      <c r="A1681">
        <f>Skills!A11</f>
        <v/>
      </c>
      <c r="B1681">
        <f>Skills!B11</f>
        <v/>
      </c>
      <c r="C1681">
        <f>Inputs!$B$3&gt;=113</f>
        <v/>
      </c>
      <c r="D1681">
        <f>IF(Skills!C11=1,60+Inputs!$B$25+Inputs!$B$29,IF(Skills!C11=2,90+Inputs!$B$26+Inputs!$B$29,IF(Skills!C11=3,120+Inputs!$B$27+Inputs!$B$29,MAX(0,(Inputs!$B$3-100)*3)+Inputs!$B$28+Inputs!$B$29)))</f>
        <v/>
      </c>
      <c r="E1681">
        <f>INDEX(FactorTable!$B$2:$Y$301, MATCH(ROUND(MIN(300,MAX(1,D1681)),0), FactorTable!$A$2:$A$301,0), Skills!M11+1)</f>
        <v/>
      </c>
      <c r="F1681">
        <f>IF(Skills!N11=TRUE,(Skills!L11/10)*(E1681/1000),Skills!L11/10)+Skills!O11</f>
        <v/>
      </c>
      <c r="G1681">
        <f>Skills!G11*IF(Skills!H11&gt;0,Skills!I11/Skills!H11,1)</f>
        <v/>
      </c>
      <c r="H1681">
        <f>1-(1-Skills!J11/100)^Skills!K11</f>
        <v/>
      </c>
      <c r="I1681" t="inlineStr">
        <is>
          <t>1</t>
        </is>
      </c>
      <c r="J1681">
        <f>((Inputs!$B$6*(1+Inputs!$B$7/100))+(((Inputs!$B$12*(1+Inputs!$B$13/100))-(Inputs!$B$12*(1+Inputs!$B$13/100)))+0.25*(Inputs!$B$14-Inputs!$B$14))*(1+Inputs!$B$7/100))*(F1681/100)</f>
        <v/>
      </c>
      <c r="K1681">
        <f>J1681*(1+((Inputs!$B$12*(1+Inputs!$B$13/100))*0.01+Inputs!$B$14*0.0025)/100)*(1+Inputs!$B$15/100)*(1+Inputs!$B$16/100)*(5000/(6000+Inputs!$B$42*(1-(100*(1-(1-(Inputs!$B$19+0)/100)*(1-CHOOSE(ArtifactsInput!$N$40+1,5,6,7,8,9,10)/100)^(ArtifactsInput!$M$40-ArtifactsInput!$M$40)))/100)))*(1+(Inputs!$B$24+((C1692=TRUE)*(F1692-Calc!F22))+B1702)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1691=TRUE)*(F1691-Calc!F21))+(((IF(AND(ArtifactsInput!$M$42,((Inputs!$B$9+((C1686=TRUE)*(F1686-Calc!F16))+B1696+(ArtifactsInput!$M$24-ArtifactsInput!$M$24)*CHOOSE(ArtifactsInput!$N$24+1,10,12,14,16,18,20)+IF(ArtifactsInput!$M$10,CHOOSE(ArtifactsInput!$N$10+1,15,18,21,24,27,30)*(IF(Inputs!$B$38="pvp",MIN(15,15)/15,IF(AND(Inputs!$B$38&lt;&gt;"pvp",Inputs!$B$43&gt;0),MIN(15,Inputs!$B$43)/(Inputs!$B$43),0))),0)))&gt;=100),MIN(100,((Inputs!$B$9+((C1686=TRUE)*(F1686-Calc!F16))+B1696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1686=TRUE)*(F1686-Calc!F16))+B1696+(ArtifactsInput!$M$24-ArtifactsInput!$M$24)*CHOOSE(ArtifactsInput!$N$24+1,10,12,14,16,18,20)+IF(ArtifactsInput!$M$10,CHOOSE(ArtifactsInput!$N$10+1,15,18,21,24,27,30)*(IF(Inputs!$B$38="pvp",MIN(15,15)/15,IF(AND(Inputs!$B$38&lt;&gt;"pvp",Inputs!$B$43&gt;0),MIN(15,Inputs!$B$43)/(Inputs!$B$43),0))),0)))&gt;=100),CHOOSE(ArtifactsInput!$N$42+1,40,48,56,64,72,80),0))))/100)*((1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1681)</f>
        <v/>
      </c>
      <c r="L1681">
        <f>K1681*(MIN(Inputs!$B$22+((C1690=TRUE)*(F1690-Calc!F20)),(Inputs!$B$23+0+(IF(ArtifactsInput!$M$15,CHOOSE(ArtifactsInput!$N$15+1,25,30,35,40,45,50)/100*(Inputs!$B$11-Inputs!$B$11),0))))/100+(Inputs!$B$23+0+(IF(ArtifactsInput!$M$15,CHOOSE(ArtifactsInput!$N$15+1,25,30,35,40,45,50)/100*(Inputs!$B$11-Inputs!$B$11),0)))/100)/2</f>
        <v/>
      </c>
      <c r="M1681">
        <f>L1681*(1+(Inputs!$B$10+0+B1701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1">
        <f>L1681*(1-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1681*(MIN((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1">
        <f>(1-Summary!$B$11)*T1681+Summary!$B$11*V1681</f>
        <v/>
      </c>
      <c r="P1681">
        <f>IF(B1706=0,0,O1681/B1706)</f>
        <v/>
      </c>
      <c r="Q1681">
        <f>IFERROR(1/(IF(Inputs!$B$38="pvp",15,MAX(0.1,Skills!D11-IF(Skills!E11=TRUE,Inputs!$B$32,0)))*(1-IF(AND(ArtifactsInput!$M$27,Inputs!$B$4="Chapter Hunt"),CHOOSE(ArtifactsInput!$N$27+1,20,24,28,32,36,40),0)/100)),0)</f>
        <v/>
      </c>
      <c r="R1681">
        <f>IF(AND(Inputs!$B$38&lt;&gt;"pvp",Inputs!$B$43&gt;0),IF(MAX(0,Inputs!$B$43-B1703)&lt;=0,0,(INT(MAX(0,Inputs!$B$43-B1703)/(IF(Inputs!$B$38="pvp",15,MAX(0.1,Skills!D11-IF(Skills!E11=TRUE,Inputs!$B$32,0)))*(1-IF(AND(ArtifactsInput!$M$27,Inputs!$B$4="Chapter Hunt"),CHOOSE(ArtifactsInput!$N$27+1,20,24,28,32,36,40),0)/100)))+1)),0)</f>
        <v/>
      </c>
      <c r="S1681">
        <f>IFERROR(O1681/N1681,0)</f>
        <v/>
      </c>
      <c r="T1681">
        <f>IF(C1681,(H1681*N1681*IF(AND(Inputs!$B$38&lt;&gt;"pvp",Inputs!$B$43&gt;0),((Skills!G11*((R1681-1)*IF(Skills!H11&gt;0,Skills!I11/Skills!H11,1)+IF(Skills!H11&gt;0,MIN(Skills!I11,MAX(0,MAX(0,Inputs!$B$43-B1703)-((R1681-1)*(IF(Inputs!$B$38="pvp",15,MAX(0.1,Skills!D11-IF(Skills!E11=TRUE,Inputs!$B$32,0)))*(1-IF(AND(ArtifactsInput!$M$27,Inputs!$B$4="Chapter Hunt"),CHOOSE(ArtifactsInput!$N$27+1,20,24,28,32,36,40),0)/100)))))/Skills!H11,1)))/Inputs!$B$43),G1681*Q1681)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1681*(MIN(100,(Inputs!$B$9+((C1686=TRUE)*(F1686-Calc!F16))+B1696+(ArtifactsInput!$M$24-ArtifactsInput!$M$24)*CHOOSE(ArtifactsInput!$N$24+1,10,12,14,16,18,20)+(IF(AND(ArtifactsInput!$M$42,((Inputs!$B$9+((C1686=TRUE)*(F1686-Calc!F16))+B1696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1">
        <f>IF(C1681,(H1681*N1681*IF(AND(Inputs!$B$38&lt;&gt;"pvp",Inputs!$B$43&gt;0),((Skills!G11*((R1681-1)*IF(Skills!H11&gt;0,Skills!I11/Skills!H11,1)+IF(Skills!H11&gt;0,MIN(Skills!I11,MAX(0,MAX(0,Inputs!$B$43-B1703)-((R1681-1)*(IF(Inputs!$B$38="pvp",15,MAX(0.1,Skills!D11-IF(Skills!E11=TRUE,Inputs!$B$32,0)))*(1-IF(AND(ArtifactsInput!$M$27,Inputs!$B$4="Chapter Hunt"),CHOOSE(ArtifactsInput!$N$27+1,20,24,28,32,36,40),0)/100)))))/Skills!H11,1)))/Inputs!$B$43),G1681*Q1681))*IF(Inputs!$B$38="pvp",1,(1+(Inputs!$B$21+Skills!Q11+(IF(ArtifactsInput!$M$33,CHOOSE(ArtifactsInput!$N$33+1,30,36,42,48,54,60),0))+(IF(AND(ArtifactsInput!$M$35,Inputs!$B$4&lt;&gt;"Chapter Hunt"),CHOOSE(ArtifactsInput!$N$35+1,15,18,21,24,27,30)*(1-EXP(-(0.2*B1698)*5)),0)+IF(AND(IF(ArtifactsInput!$M$22,FALSE,TRUE),Inputs!$B$4&lt;&gt;"Chapter Hunt"),CHOOSE(ArtifactsInput!$N$22+1,10,12,14,16,18,20)*((0*(((0.15*B1698*5))^0/1)+1*(((0.15*B1698*5))^1/1)+2*(((0.15*B1698*5))^2/2)+3*(((0.15*B1698*5))^3/6)+4*(((0.15*B1698*5))^4/24)+5*(((0.15*B1698*5))^5/120))/((((0.15*B1698*5))^0/1)+(((0.15*B1698*5))^1/1)+(((0.15*B1698*5))^2/2)+(((0.15*B1698*5))^3/6)+(((0.15*B1698*5))^4/24)+(((0.15*B1698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2">
      <c r="A1682">
        <f>Skills!A12</f>
        <v/>
      </c>
      <c r="B1682">
        <f>Skills!B12</f>
        <v/>
      </c>
      <c r="C1682">
        <f>Inputs!$B$3&gt;=100</f>
        <v/>
      </c>
      <c r="D1682">
        <f>IF(Skills!C12=1,60+Inputs!$B$25+Inputs!$B$29,IF(Skills!C12=2,90+Inputs!$B$26+Inputs!$B$29,IF(Skills!C12=3,120+Inputs!$B$27+Inputs!$B$29,MAX(0,(Inputs!$B$3-100)*3)+Inputs!$B$28+Inputs!$B$29)))</f>
        <v/>
      </c>
      <c r="E1682">
        <f>INDEX(FactorTable!$B$2:$Y$301, MATCH(ROUND(MIN(300,MAX(1,D1682)),0), FactorTable!$A$2:$A$301,0), Skills!M12+1)</f>
        <v/>
      </c>
      <c r="F1682">
        <f>IF(Skills!N12=TRUE,(Skills!L12/10)*(E1682/1000),Skills!L12/10)+Skills!O12</f>
        <v/>
      </c>
      <c r="G1682" t="inlineStr"/>
      <c r="H1682" t="inlineStr"/>
      <c r="I1682" t="inlineStr">
        <is>
          <t>1</t>
        </is>
      </c>
      <c r="J1682" t="inlineStr"/>
      <c r="K1682" t="inlineStr"/>
      <c r="L1682" t="inlineStr"/>
      <c r="M1682" t="inlineStr"/>
      <c r="N1682" t="inlineStr"/>
      <c r="O1682" t="inlineStr"/>
      <c r="P1682" t="inlineStr"/>
      <c r="Q1682" t="inlineStr"/>
      <c r="R1682" t="inlineStr"/>
      <c r="S1682" t="inlineStr"/>
      <c r="T1682" t="inlineStr"/>
      <c r="V1682" t="inlineStr"/>
    </row>
    <row r="1683">
      <c r="A1683">
        <f>Skills!A13</f>
        <v/>
      </c>
      <c r="B1683">
        <f>Skills!B13</f>
        <v/>
      </c>
      <c r="C1683">
        <f>Inputs!$B$3&gt;=66</f>
        <v/>
      </c>
      <c r="D1683">
        <f>IF(Skills!C13=1,60+Inputs!$B$25+Inputs!$B$29,IF(Skills!C13=2,90+Inputs!$B$26+Inputs!$B$29,IF(Skills!C13=3,120+Inputs!$B$27+Inputs!$B$29,MAX(0,(Inputs!$B$3-100)*3)+Inputs!$B$28+Inputs!$B$29)))</f>
        <v/>
      </c>
      <c r="E1683">
        <f>INDEX(FactorTable!$B$2:$Y$301, MATCH(ROUND(MIN(300,MAX(1,D1683)),0), FactorTable!$A$2:$A$301,0), Skills!M13+1)</f>
        <v/>
      </c>
      <c r="F1683">
        <f>IF(Skills!N13=TRUE,(Skills!L13/10)*(E1683/1000),Skills!L13/10)+Skills!O13</f>
        <v/>
      </c>
      <c r="G1683">
        <f>Skills!G13*IF(Skills!H13&gt;0,Skills!I13/Skills!H13,1)</f>
        <v/>
      </c>
      <c r="H1683">
        <f>1-(1-Skills!J13/100)^Skills!K13</f>
        <v/>
      </c>
      <c r="I1683" t="inlineStr">
        <is>
          <t>1</t>
        </is>
      </c>
      <c r="J1683" t="inlineStr"/>
      <c r="K1683" t="inlineStr"/>
      <c r="L1683" t="inlineStr"/>
      <c r="M1683" t="inlineStr"/>
      <c r="N1683" t="inlineStr"/>
      <c r="O1683">
        <f>(1-Summary!$B$11)*T1683+Summary!$B$11*V1683</f>
        <v/>
      </c>
      <c r="P1683">
        <f>IF(B1706=0,0,O1683/B1706)</f>
        <v/>
      </c>
      <c r="Q1683" t="n">
        <v>0</v>
      </c>
      <c r="R1683" t="n">
        <v>0</v>
      </c>
      <c r="S1683">
        <f>IFERROR(O1683/N1683,0)</f>
        <v/>
      </c>
      <c r="T1683" t="n">
        <v>0</v>
      </c>
      <c r="V1683" t="n">
        <v>0</v>
      </c>
    </row>
    <row r="1684">
      <c r="A1684">
        <f>Skills!A14</f>
        <v/>
      </c>
      <c r="B1684">
        <f>Skills!B14</f>
        <v/>
      </c>
      <c r="C1684">
        <f>Inputs!$B$3&gt;=107</f>
        <v/>
      </c>
      <c r="D1684">
        <f>IF(Skills!C14=1,60+Inputs!$B$25+Inputs!$B$29,IF(Skills!C14=2,90+Inputs!$B$26+Inputs!$B$29,IF(Skills!C14=3,120+Inputs!$B$27+Inputs!$B$29,MAX(0,(Inputs!$B$3-100)*3)+Inputs!$B$28+Inputs!$B$29)))</f>
        <v/>
      </c>
      <c r="E1684">
        <f>INDEX(FactorTable!$B$2:$Y$301, MATCH(ROUND(MIN(300,MAX(1,D1684)),0), FactorTable!$A$2:$A$301,0), Skills!M14+1)</f>
        <v/>
      </c>
      <c r="F1684">
        <f>IF(Skills!N14=TRUE,(Skills!L14/10)*(E1684/1000),Skills!L14/10)+Skills!O14</f>
        <v/>
      </c>
      <c r="G1684">
        <f>Skills!G14*IF(Skills!H14&gt;0,Skills!I14/Skills!H14,1)</f>
        <v/>
      </c>
      <c r="H1684">
        <f>1-(1-Skills!J14/100)^Skills!K14</f>
        <v/>
      </c>
      <c r="I1684" t="inlineStr">
        <is>
          <t>1</t>
        </is>
      </c>
      <c r="J1684" t="inlineStr"/>
      <c r="K1684" t="inlineStr"/>
      <c r="L1684" t="inlineStr"/>
      <c r="M1684" t="inlineStr"/>
      <c r="N1684" t="inlineStr"/>
      <c r="O1684">
        <f>(1-Summary!$B$11)*T1684+Summary!$B$11*V1684</f>
        <v/>
      </c>
      <c r="P1684">
        <f>IF(B1706=0,0,O1684/B1706)</f>
        <v/>
      </c>
      <c r="Q1684">
        <f>IFERROR(1/(IF(Inputs!$B$38="pvp",15,MAX(0.1,Skills!D14-IF(Skills!E14=TRUE,Inputs!$B$32,0)))*(1-IF(AND(ArtifactsInput!$M$27,Inputs!$B$4="Chapter Hunt"),CHOOSE(ArtifactsInput!$N$27+1,20,24,28,32,36,40),0)/100)),0)</f>
        <v/>
      </c>
      <c r="R1684">
        <f>IF(AND(Inputs!$B$38&lt;&gt;"pvp",Inputs!$B$43&gt;0),IF(Inputs!$B$43&lt;=0,0,(INT(Inputs!$B$43/(IF(Inputs!$B$38="pvp",15,MAX(0.1,Skills!D14-IF(Skills!E14=TRUE,Inputs!$B$32,0)))*(1-IF(AND(ArtifactsInput!$M$27,Inputs!$B$4="Chapter Hunt"),CHOOSE(ArtifactsInput!$N$27+1,20,24,28,32,36,40),0)/100)))+1)),0)</f>
        <v/>
      </c>
      <c r="S1684">
        <f>IFERROR(O1684/N1684,0)</f>
        <v/>
      </c>
      <c r="T1684" t="n">
        <v>0</v>
      </c>
      <c r="V1684" t="n">
        <v>0</v>
      </c>
    </row>
    <row r="1685">
      <c r="A1685">
        <f>Skills!A15</f>
        <v/>
      </c>
      <c r="B1685">
        <f>Skills!B15</f>
        <v/>
      </c>
      <c r="C1685">
        <f>Inputs!$B$3&gt;=115</f>
        <v/>
      </c>
      <c r="D1685">
        <f>IF(Skills!C15=1,60+Inputs!$B$25+Inputs!$B$29,IF(Skills!C15=2,90+Inputs!$B$26+Inputs!$B$29,IF(Skills!C15=3,120+Inputs!$B$27+Inputs!$B$29,MAX(0,(Inputs!$B$3-100)*3)+Inputs!$B$28+Inputs!$B$29)))</f>
        <v/>
      </c>
      <c r="E1685">
        <f>INDEX(FactorTable!$B$2:$Y$301, MATCH(ROUND(MIN(300,MAX(1,D1685)),0), FactorTable!$A$2:$A$301,0), Skills!M15+1)</f>
        <v/>
      </c>
      <c r="F1685">
        <f>IF(Skills!N15=TRUE,(Skills!L15/10)*(E1685/1000),Skills!L15/10)+Skills!O15</f>
        <v/>
      </c>
      <c r="G1685">
        <f>Skills!G15*IF(Skills!H15&gt;0,Skills!I15/Skills!H15,1)</f>
        <v/>
      </c>
      <c r="H1685">
        <f>1-(1-Skills!J15/100)^Skills!K15</f>
        <v/>
      </c>
      <c r="I1685" t="inlineStr">
        <is>
          <t>1</t>
        </is>
      </c>
      <c r="J1685" t="inlineStr"/>
      <c r="K1685" t="inlineStr"/>
      <c r="L1685" t="inlineStr"/>
      <c r="M1685" t="inlineStr"/>
      <c r="N1685" t="inlineStr"/>
      <c r="O1685">
        <f>(1-Summary!$B$11)*T1685+Summary!$B$11*V1685</f>
        <v/>
      </c>
      <c r="P1685">
        <f>IF(B1706=0,0,O1685/B1706)</f>
        <v/>
      </c>
      <c r="Q1685">
        <f>IFERROR(1/(IF(Inputs!$B$38="pvp",15,MAX(0.1,Skills!D15-IF(Skills!E15=TRUE,Inputs!$B$32,0)))*(1-IF(AND(ArtifactsInput!$M$27,Inputs!$B$4="Chapter Hunt"),CHOOSE(ArtifactsInput!$N$27+1,20,24,28,32,36,40),0)/100)),0)</f>
        <v/>
      </c>
      <c r="R1685">
        <f>IF(AND(Inputs!$B$38&lt;&gt;"pvp",Inputs!$B$43&gt;0),IF(Inputs!$B$43&lt;=0,0,(INT(Inputs!$B$43/(IF(Inputs!$B$38="pvp",15,MAX(0.1,Skills!D15-IF(Skills!E15=TRUE,Inputs!$B$32,0)))*(1-IF(AND(ArtifactsInput!$M$27,Inputs!$B$4="Chapter Hunt"),CHOOSE(ArtifactsInput!$N$27+1,20,24,28,32,36,40),0)/100)))+1)),0)</f>
        <v/>
      </c>
      <c r="S1685">
        <f>IFERROR(O1685/N1685,0)</f>
        <v/>
      </c>
      <c r="T1685" t="n">
        <v>0</v>
      </c>
      <c r="V1685" t="n">
        <v>0</v>
      </c>
    </row>
    <row r="1686">
      <c r="A1686">
        <f>Skills!A16</f>
        <v/>
      </c>
      <c r="B1686">
        <f>Skills!B16</f>
        <v/>
      </c>
      <c r="C1686">
        <f>Inputs!$B$3&gt;=15</f>
        <v/>
      </c>
      <c r="D1686">
        <f>IF(Skills!C16=1,60+Inputs!$B$25+Inputs!$B$29,IF(Skills!C16=2,90+Inputs!$B$26+Inputs!$B$29,IF(Skills!C16=3,120+Inputs!$B$27+Inputs!$B$29,MAX(0,(Inputs!$B$3-100)*3)+Inputs!$B$28+Inputs!$B$29)))</f>
        <v/>
      </c>
      <c r="E1686">
        <f>INDEX(FactorTable!$B$2:$Y$301, MATCH(ROUND(MIN(300,MAX(1,D1686)),0), FactorTable!$A$2:$A$301,0), Skills!M16+1)</f>
        <v/>
      </c>
      <c r="F1686">
        <f>IF(Skills!N16=TRUE,(Skills!L16/10)*(E1686/1000),Skills!L16/10)+Skills!O16</f>
        <v/>
      </c>
      <c r="G1686">
        <f>Skills!G16*IF(Skills!H16&gt;0,Skills!I16/Skills!H16,1)</f>
        <v/>
      </c>
      <c r="H1686">
        <f>1-(1-Skills!J16/100)^Skills!K16</f>
        <v/>
      </c>
      <c r="I1686" t="inlineStr">
        <is>
          <t>1</t>
        </is>
      </c>
      <c r="J1686" t="inlineStr"/>
      <c r="K1686" t="inlineStr"/>
      <c r="L1686" t="inlineStr"/>
      <c r="M1686" t="inlineStr"/>
      <c r="N1686" t="inlineStr"/>
      <c r="O1686">
        <f>(1-Summary!$B$11)*T1686+Summary!$B$11*V1686</f>
        <v/>
      </c>
      <c r="P1686">
        <f>IF(B1706=0,0,O1686/B1706)</f>
        <v/>
      </c>
      <c r="Q1686" t="n">
        <v>0</v>
      </c>
      <c r="R1686" t="n">
        <v>0</v>
      </c>
      <c r="S1686">
        <f>IFERROR(O1686/N1686,0)</f>
        <v/>
      </c>
      <c r="T1686" t="n">
        <v>0</v>
      </c>
      <c r="V1686" t="n">
        <v>0</v>
      </c>
    </row>
    <row r="1687">
      <c r="A1687">
        <f>Skills!A17</f>
        <v/>
      </c>
      <c r="B1687">
        <f>Skills!B17</f>
        <v/>
      </c>
      <c r="C1687">
        <f>Inputs!$B$3&gt;=10</f>
        <v/>
      </c>
      <c r="D1687">
        <f>IF(Skills!C17=1,60+Inputs!$B$25+Inputs!$B$29,IF(Skills!C17=2,90+Inputs!$B$26+Inputs!$B$29,IF(Skills!C17=3,120+Inputs!$B$27+Inputs!$B$29,MAX(0,(Inputs!$B$3-100)*3)+Inputs!$B$28+Inputs!$B$29)))</f>
        <v/>
      </c>
      <c r="E1687">
        <f>INDEX(FactorTable!$B$2:$Y$301, MATCH(ROUND(MIN(300,MAX(1,D1687)),0), FactorTable!$A$2:$A$301,0), Skills!M17+1)</f>
        <v/>
      </c>
      <c r="F1687">
        <f>IF(Skills!N17=TRUE,(Skills!L17/10)*(E1687/1000),Skills!L17/10)+Skills!O17</f>
        <v/>
      </c>
      <c r="G1687">
        <f>Skills!G17*IF(Skills!H17&gt;0,Skills!I17/Skills!H17,1)</f>
        <v/>
      </c>
      <c r="H1687">
        <f>1-(1-Skills!J17/100)^Skills!K17</f>
        <v/>
      </c>
      <c r="I1687" t="inlineStr">
        <is>
          <t>1</t>
        </is>
      </c>
      <c r="J1687" t="inlineStr"/>
      <c r="K1687" t="inlineStr"/>
      <c r="L1687" t="inlineStr"/>
      <c r="M1687" t="inlineStr"/>
      <c r="N1687" t="inlineStr"/>
      <c r="O1687">
        <f>(1-Summary!$B$11)*T1687+Summary!$B$11*V1687</f>
        <v/>
      </c>
      <c r="P1687">
        <f>IF(B1706=0,0,O1687/B1706)</f>
        <v/>
      </c>
      <c r="Q1687" t="n">
        <v>0</v>
      </c>
      <c r="R1687" t="n">
        <v>0</v>
      </c>
      <c r="S1687">
        <f>IFERROR(O1687/N1687,0)</f>
        <v/>
      </c>
      <c r="T1687" t="n">
        <v>0</v>
      </c>
      <c r="V1687" t="n">
        <v>0</v>
      </c>
    </row>
    <row r="1688">
      <c r="A1688">
        <f>Skills!A18</f>
        <v/>
      </c>
      <c r="B1688">
        <f>Skills!B18</f>
        <v/>
      </c>
      <c r="C1688">
        <f>Inputs!$B$3&gt;=33</f>
        <v/>
      </c>
      <c r="D1688">
        <f>IF(Skills!C18=1,60+Inputs!$B$25+Inputs!$B$29,IF(Skills!C18=2,90+Inputs!$B$26+Inputs!$B$29,IF(Skills!C18=3,120+Inputs!$B$27+Inputs!$B$29,MAX(0,(Inputs!$B$3-100)*3)+Inputs!$B$28+Inputs!$B$29)))</f>
        <v/>
      </c>
      <c r="E1688">
        <f>INDEX(FactorTable!$B$2:$Y$301, MATCH(ROUND(MIN(300,MAX(1,D1688)),0), FactorTable!$A$2:$A$301,0), Skills!M18+1)</f>
        <v/>
      </c>
      <c r="F1688">
        <f>IF(Skills!N18=TRUE,(Skills!L18/10)*(E1688/1000),Skills!L18/10)+Skills!O18</f>
        <v/>
      </c>
      <c r="G1688">
        <f>Skills!G18*IF(Skills!H18&gt;0,Skills!I18/Skills!H18,1)</f>
        <v/>
      </c>
      <c r="H1688">
        <f>1-(1-Skills!J18/100)^Skills!K18</f>
        <v/>
      </c>
      <c r="I1688" t="inlineStr">
        <is>
          <t>1</t>
        </is>
      </c>
      <c r="J1688" t="inlineStr"/>
      <c r="K1688" t="inlineStr"/>
      <c r="L1688" t="inlineStr"/>
      <c r="M1688" t="inlineStr"/>
      <c r="N1688" t="inlineStr"/>
      <c r="O1688">
        <f>(1-Summary!$B$11)*T1688+Summary!$B$11*V1688</f>
        <v/>
      </c>
      <c r="P1688">
        <f>IF(B1706=0,0,O1688/B1706)</f>
        <v/>
      </c>
      <c r="Q1688" t="n">
        <v>0</v>
      </c>
      <c r="R1688" t="n">
        <v>0</v>
      </c>
      <c r="S1688">
        <f>IFERROR(O1688/N1688,0)</f>
        <v/>
      </c>
      <c r="T1688" t="n">
        <v>0</v>
      </c>
      <c r="V1688" t="n">
        <v>0</v>
      </c>
    </row>
    <row r="1689">
      <c r="A1689">
        <f>Skills!A19</f>
        <v/>
      </c>
      <c r="B1689">
        <f>Skills!B19</f>
        <v/>
      </c>
      <c r="C1689">
        <f>Inputs!$B$3&gt;=40</f>
        <v/>
      </c>
      <c r="D1689">
        <f>IF(Skills!C19=1,60+Inputs!$B$25+Inputs!$B$29,IF(Skills!C19=2,90+Inputs!$B$26+Inputs!$B$29,IF(Skills!C19=3,120+Inputs!$B$27+Inputs!$B$29,MAX(0,(Inputs!$B$3-100)*3)+Inputs!$B$28+Inputs!$B$29)))</f>
        <v/>
      </c>
      <c r="E1689">
        <f>INDEX(FactorTable!$B$2:$Y$301, MATCH(ROUND(MIN(300,MAX(1,D1689)),0), FactorTable!$A$2:$A$301,0), Skills!M19+1)</f>
        <v/>
      </c>
      <c r="F1689">
        <f>IF(Skills!N19=TRUE,(Skills!L19/10)*(E1689/1000),Skills!L19/10)+Skills!O19</f>
        <v/>
      </c>
      <c r="G1689">
        <f>Skills!G19*IF(Skills!H19&gt;0,Skills!I19/Skills!H19,1)</f>
        <v/>
      </c>
      <c r="H1689">
        <f>1-(1-Skills!J19/100)^Skills!K19</f>
        <v/>
      </c>
      <c r="I1689" t="inlineStr">
        <is>
          <t>1</t>
        </is>
      </c>
      <c r="J1689" t="inlineStr"/>
      <c r="K1689" t="inlineStr"/>
      <c r="L1689" t="inlineStr"/>
      <c r="M1689" t="inlineStr"/>
      <c r="N1689" t="inlineStr"/>
      <c r="O1689">
        <f>(1-Summary!$B$11)*T1689+Summary!$B$11*V1689</f>
        <v/>
      </c>
      <c r="P1689">
        <f>IF(B1706=0,0,O1689/B1706)</f>
        <v/>
      </c>
      <c r="Q1689" t="n">
        <v>0</v>
      </c>
      <c r="R1689" t="n">
        <v>0</v>
      </c>
      <c r="S1689">
        <f>IFERROR(O1689/N1689,0)</f>
        <v/>
      </c>
      <c r="T1689" t="n">
        <v>0</v>
      </c>
      <c r="V1689" t="n">
        <v>0</v>
      </c>
    </row>
    <row r="1690">
      <c r="A1690">
        <f>Skills!A20</f>
        <v/>
      </c>
      <c r="B1690">
        <f>Skills!B20</f>
        <v/>
      </c>
      <c r="C1690">
        <f>Inputs!$B$3&gt;=43</f>
        <v/>
      </c>
      <c r="D1690">
        <f>IF(Skills!C20=1,60+Inputs!$B$25+Inputs!$B$29,IF(Skills!C20=2,90+Inputs!$B$26+Inputs!$B$29,IF(Skills!C20=3,120+Inputs!$B$27+Inputs!$B$29,MAX(0,(Inputs!$B$3-100)*3)+Inputs!$B$28+Inputs!$B$29)))</f>
        <v/>
      </c>
      <c r="E1690">
        <f>INDEX(FactorTable!$B$2:$Y$301, MATCH(ROUND(MIN(300,MAX(1,D1690)),0), FactorTable!$A$2:$A$301,0), Skills!M20+1)</f>
        <v/>
      </c>
      <c r="F1690">
        <f>IF(Skills!N20=TRUE,(Skills!L20/10)*(E1690/1000),Skills!L20/10)+Skills!O20</f>
        <v/>
      </c>
      <c r="G1690">
        <f>Skills!G20*IF(Skills!H20&gt;0,Skills!I20/Skills!H20,1)</f>
        <v/>
      </c>
      <c r="H1690">
        <f>1-(1-Skills!J20/100)^Skills!K20</f>
        <v/>
      </c>
      <c r="I1690" t="inlineStr">
        <is>
          <t>1</t>
        </is>
      </c>
      <c r="J1690" t="inlineStr"/>
      <c r="K1690" t="inlineStr"/>
      <c r="L1690" t="inlineStr"/>
      <c r="M1690" t="inlineStr"/>
      <c r="N1690" t="inlineStr"/>
      <c r="O1690">
        <f>(1-Summary!$B$11)*T1690+Summary!$B$11*V1690</f>
        <v/>
      </c>
      <c r="P1690">
        <f>IF(B1706=0,0,O1690/B1706)</f>
        <v/>
      </c>
      <c r="Q1690" t="n">
        <v>0</v>
      </c>
      <c r="R1690" t="n">
        <v>0</v>
      </c>
      <c r="S1690">
        <f>IFERROR(O1690/N1690,0)</f>
        <v/>
      </c>
      <c r="T1690" t="n">
        <v>0</v>
      </c>
      <c r="V1690" t="n">
        <v>0</v>
      </c>
    </row>
    <row r="1691">
      <c r="A1691">
        <f>Skills!A21</f>
        <v/>
      </c>
      <c r="B1691">
        <f>Skills!B21</f>
        <v/>
      </c>
      <c r="C1691">
        <f>Inputs!$B$3&gt;=38</f>
        <v/>
      </c>
      <c r="D1691">
        <f>IF(Skills!C21=1,60+Inputs!$B$25+Inputs!$B$29,IF(Skills!C21=2,90+Inputs!$B$26+Inputs!$B$29,IF(Skills!C21=3,120+Inputs!$B$27+Inputs!$B$29,MAX(0,(Inputs!$B$3-100)*3)+Inputs!$B$28+Inputs!$B$29)))</f>
        <v/>
      </c>
      <c r="E1691">
        <f>INDEX(FactorTable!$B$2:$Y$301, MATCH(ROUND(MIN(300,MAX(1,D1691)),0), FactorTable!$A$2:$A$301,0), Skills!M21+1)</f>
        <v/>
      </c>
      <c r="F1691">
        <f>IF(Skills!N21=TRUE,(Skills!L21/10)*(E1691/1000),Skills!L21/10)+Skills!O21</f>
        <v/>
      </c>
      <c r="G1691">
        <f>Skills!G21*IF(Skills!H21&gt;0,Skills!I21/Skills!H21,1)</f>
        <v/>
      </c>
      <c r="H1691">
        <f>1-(1-Skills!J21/100)^Skills!K21</f>
        <v/>
      </c>
      <c r="I1691" t="inlineStr">
        <is>
          <t>1</t>
        </is>
      </c>
      <c r="J1691" t="inlineStr"/>
      <c r="K1691" t="inlineStr"/>
      <c r="L1691" t="inlineStr"/>
      <c r="M1691" t="inlineStr"/>
      <c r="N1691" t="inlineStr"/>
      <c r="O1691">
        <f>(1-Summary!$B$11)*T1691+Summary!$B$11*V1691</f>
        <v/>
      </c>
      <c r="P1691">
        <f>IF(B1706=0,0,O1691/B1706)</f>
        <v/>
      </c>
      <c r="Q1691" t="n">
        <v>0</v>
      </c>
      <c r="R1691" t="n">
        <v>0</v>
      </c>
      <c r="S1691">
        <f>IFERROR(O1691/N1691,0)</f>
        <v/>
      </c>
      <c r="T1691" t="n">
        <v>0</v>
      </c>
      <c r="V1691" t="n">
        <v>0</v>
      </c>
    </row>
    <row r="1692">
      <c r="A1692">
        <f>Skills!A22</f>
        <v/>
      </c>
      <c r="B1692">
        <f>Skills!B22</f>
        <v/>
      </c>
      <c r="C1692">
        <f>Inputs!$B$3&gt;=75</f>
        <v/>
      </c>
      <c r="D1692">
        <f>IF(Skills!C22=1,60+Inputs!$B$25+Inputs!$B$29,IF(Skills!C22=2,90+Inputs!$B$26+Inputs!$B$29,IF(Skills!C22=3,120+Inputs!$B$27+Inputs!$B$29,MAX(0,(Inputs!$B$3-100)*3)+Inputs!$B$28+Inputs!$B$29)))</f>
        <v/>
      </c>
      <c r="E1692">
        <f>INDEX(FactorTable!$B$2:$Y$301, MATCH(ROUND(MIN(300,MAX(1,D1692)),0), FactorTable!$A$2:$A$301,0), Skills!M22+1)</f>
        <v/>
      </c>
      <c r="F1692">
        <f>IF(Skills!N22=TRUE,(Skills!L22/10)*(E1692/1000),Skills!L22/10)+Skills!O22</f>
        <v/>
      </c>
      <c r="G1692">
        <f>Skills!G22*IF(Skills!H22&gt;0,Skills!I22/Skills!H22,1)</f>
        <v/>
      </c>
      <c r="H1692">
        <f>1-(1-Skills!J22/100)^Skills!K22</f>
        <v/>
      </c>
      <c r="I1692" t="inlineStr">
        <is>
          <t>1</t>
        </is>
      </c>
      <c r="J1692" t="inlineStr"/>
      <c r="K1692" t="inlineStr"/>
      <c r="L1692" t="inlineStr"/>
      <c r="M1692" t="inlineStr"/>
      <c r="N1692" t="inlineStr"/>
      <c r="O1692">
        <f>(1-Summary!$B$11)*T1692+Summary!$B$11*V1692</f>
        <v/>
      </c>
      <c r="P1692">
        <f>IF(B1706=0,0,O1692/B1706)</f>
        <v/>
      </c>
      <c r="Q1692" t="n">
        <v>0</v>
      </c>
      <c r="R1692" t="n">
        <v>0</v>
      </c>
      <c r="S1692">
        <f>IFERROR(O1692/N1692,0)</f>
        <v/>
      </c>
      <c r="T1692" t="n">
        <v>0</v>
      </c>
      <c r="V1692" t="n">
        <v>0</v>
      </c>
    </row>
    <row r="1693">
      <c r="A1693">
        <f>Skills!A23</f>
        <v/>
      </c>
      <c r="B1693">
        <f>Skills!B23</f>
        <v/>
      </c>
      <c r="C1693">
        <f>TRUE</f>
        <v/>
      </c>
      <c r="D1693">
        <f>IF(Skills!C23=1,60+Inputs!$B$25+Inputs!$B$29,IF(Skills!C23=2,90+Inputs!$B$26+Inputs!$B$29,IF(Skills!C23=3,120+Inputs!$B$27+Inputs!$B$29,MAX(0,(Inputs!$B$3-100)*3)+Inputs!$B$28+Inputs!$B$29)))</f>
        <v/>
      </c>
      <c r="E1693">
        <f>INDEX(FactorTable!$B$2:$Y$301, MATCH(ROUND(MIN(300,MAX(1,D1693)),0), FactorTable!$A$2:$A$301,0), Skills!M23+1)</f>
        <v/>
      </c>
      <c r="F1693">
        <f>IF(Skills!N23=TRUE,(Skills!L23/10)*(E1693/1000),Skills!L23/10)+Skills!O23</f>
        <v/>
      </c>
      <c r="G1693">
        <f>Skills!G23*IF(Skills!H23&gt;0,Skills!I23/Skills!H23,1)</f>
        <v/>
      </c>
      <c r="H1693">
        <f>1-(1-Skills!J23/100)^Skills!K23</f>
        <v/>
      </c>
      <c r="I1693" t="inlineStr">
        <is>
          <t>1</t>
        </is>
      </c>
      <c r="J1693" t="inlineStr"/>
      <c r="K1693" t="inlineStr"/>
      <c r="L1693" t="inlineStr"/>
      <c r="M1693" t="inlineStr"/>
      <c r="N1693" t="inlineStr"/>
      <c r="O1693">
        <f>(1-Summary!$B$11)*T1693+Summary!$B$11*V1693</f>
        <v/>
      </c>
      <c r="P1693">
        <f>IF(B1706=0,0,O1693/B1706)</f>
        <v/>
      </c>
      <c r="Q1693">
        <f>IFERROR(1/(IF(Inputs!$B$38="pvp",15,MAX(0.1,Skills!D23-IF(Skills!E23=TRUE,Inputs!$B$32,0)))*(1-IF(AND(ArtifactsInput!$M$27,Inputs!$B$4="Chapter Hunt"),CHOOSE(ArtifactsInput!$N$27+1,20,24,28,32,36,40),0)/100)),0)</f>
        <v/>
      </c>
      <c r="R1693">
        <f>IF(AND(Inputs!$B$38&lt;&gt;"pvp",Inputs!$B$43&gt;0),IF(Inputs!$B$43&lt;=0,0,(INT(Inputs!$B$43/(IF(Inputs!$B$38="pvp",15,MAX(0.1,Skills!D23-IF(Skills!E23=TRUE,Inputs!$B$32,0)))*(1-IF(AND(ArtifactsInput!$M$27,Inputs!$B$4="Chapter Hunt"),CHOOSE(ArtifactsInput!$N$27+1,20,24,28,32,36,40),0)/100)))+1)),0)</f>
        <v/>
      </c>
      <c r="S1693">
        <f>IFERROR(O1693/N1693,0)</f>
        <v/>
      </c>
      <c r="T1693" t="n">
        <v>0</v>
      </c>
      <c r="V1693" t="n">
        <v>0</v>
      </c>
    </row>
    <row r="1695">
      <c r="A1695" t="inlineStr">
        <is>
          <t>Attack% Bucket Multiplier</t>
        </is>
      </c>
      <c r="B1695">
        <f>(1+(((C1683=TRUE)*F1683*5/7)+((C1689=TRUE)*(F1689-Calc!F19))+(IF(ArtifactsInput!$M$21,CHOOSE(ArtifactsInput!$N$21+1,25,30,35,40,45,50)*(IF(OR(Inputs!$B$4="Chapter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96">
      <c r="A1696" t="inlineStr">
        <is>
          <t>Global Crit Rate Bonus %</t>
        </is>
      </c>
      <c r="B1696" t="n">
        <v>0</v>
      </c>
    </row>
    <row r="1697">
      <c r="A1697" t="inlineStr">
        <is>
          <t>Attack Speed Buff Bonus % (Nimble Feet, duty-cycle averaged)</t>
        </is>
      </c>
      <c r="B1697">
        <f>((C1693=TRUE)*F1693*IF(AND(Inputs!$B$38&lt;&gt;"pvp",Inputs!$B$43&gt;0),(((R1693-1)*(Skills!T23*(1+Inputs!$B$34/100))+MIN((Skills!T23*(1+Inputs!$B$34/100)),MAX(0,Inputs!$B$43-((R1693-1)*Skills!D23))))/Inputs!$B$43),IF(Inputs!$B$38="pvp",MIN((Skills!T23*(1+Inputs!$B$34/100)),15)/15,(Skills!T23*(1+Inputs!$B$34/100))/Skills!D23)))</f>
        <v/>
      </c>
    </row>
    <row r="1698">
      <c r="A1698" t="inlineStr">
        <is>
          <t>Actions Per Second</t>
        </is>
      </c>
      <c r="B1698">
        <f>1+MIN(150,150*(1-(1-(Inputs!$B$11+((C1687=TRUE)*(F1687-Calc!F17))+((C1688=TRUE)*(F1688-Calc!F18)))/150)*(1-B1697/150)))/100</f>
        <v/>
      </c>
    </row>
    <row r="1699">
      <c r="A1699" t="inlineStr">
        <is>
          <t>Skill + Buff Cast Rate</t>
        </is>
      </c>
      <c r="B1699">
        <f>IF(AND(Inputs!$B$38&lt;&gt;"pvp",Inputs!$B$43&gt;0),SUMPRODUCT((Skills!E2:E23=TRUE)*(C1672:C1693=TRUE)*R1672:R1693*Skills!F2:F23)/Inputs!$B$43,SUMPRODUCT((Skills!E2:E23=TRUE)*(C1672:C1693=TRUE)*Q1672:Q1693*Skills!F2:F23))</f>
        <v/>
      </c>
    </row>
    <row r="1700">
      <c r="A1700" t="inlineStr">
        <is>
          <t>Hook Bomber Casts Per Second</t>
        </is>
      </c>
      <c r="B1700">
        <f>MAX(0,B1698-B1699)</f>
        <v/>
      </c>
    </row>
    <row r="1701">
      <c r="A1701" t="inlineStr">
        <is>
          <t>Global Critical Damage Bonus % (unused)</t>
        </is>
      </c>
      <c r="B1701" t="n">
        <v>0</v>
      </c>
    </row>
    <row r="1702">
      <c r="A1702" t="inlineStr">
        <is>
          <t>Global Final Damage Bonus % (Serpent Scale + Crossbones + Time Leap + Speed Infusion)</t>
        </is>
      </c>
      <c r="B1702">
        <f>((C1675=TRUE)*F1675*((10+IF(Inputs!$B$3&gt;=94,5,0))/((10+IF(Inputs!$B$3&gt;=94,5,0))+5/(B1700*(1+IF(Inputs!$B$3&gt;=104,1,0))))))+((C1684=TRUE)*F1684*IF(AND(Inputs!$B$38&lt;&gt;"pvp",Inputs!$B$43&gt;0),(((R1684-1)*(Skills!T14*(1+Inputs!$B$34/100))+MIN((Skills!T14*(1+Inputs!$B$34/100)),MAX(0,Inputs!$B$43-((R1684-1)*Skills!D14))))/Inputs!$B$43),IF(Inputs!$B$38="pvp",MIN((Skills!T14*(1+Inputs!$B$34/100)),15)/15,(Skills!T14*(1+Inputs!$B$34/100))/Skills!D14)))+((C1685=TRUE)*F1685*IF(AND(Inputs!$B$38&lt;&gt;"pvp",Inputs!$B$43&gt;0),(((R1685-1)*(Skills!T15*(1+Inputs!$B$34/100))+MIN((Skills!T15*(1+Inputs!$B$34/100)),MAX(0,Inputs!$B$43-((R1685-1)*Skills!D15))))/Inputs!$B$43),IF(Inputs!$B$38="pvp",MIN((Skills!T15*(1+Inputs!$B$34/100)),15)/15,(Skills!T15*(1+Inputs!$B$34/100))/Skills!D15)))+((Inputs!$B$3&gt;=110)*20*(B1698-1)*IF(Inputs!$B$38="pvp",MIN((15*(1+Inputs!$B$34/100)),15)/15,(15*(1+Inputs!$B$34/100))/35))</f>
        <v/>
      </c>
    </row>
    <row r="1703">
      <c r="A1703" t="inlineStr">
        <is>
          <t>Buff-Casting Startup Delay (s, fixed-duration only)</t>
        </is>
      </c>
      <c r="B1703">
        <f>IF(AND(Inputs!$B$38&lt;&gt;"pvp",Inputs!$B$43&gt;0),SUMPRODUCT((Skills!T2:T23&gt;0)*(Skills!E2:E23=TRUE)*(C1672:C1693=TRUE))/B1698,0)</f>
        <v/>
      </c>
    </row>
    <row r="1704">
      <c r="A1704" t="inlineStr">
        <is>
          <t>Boss-Only Total DPS (this block's swept value)</t>
        </is>
      </c>
      <c r="B1704">
        <f>SUM(T1672:T1693)</f>
        <v/>
      </c>
    </row>
    <row r="1705">
      <c r="A1705" t="inlineStr">
        <is>
          <t>Normal-Only Total DPS (this block's swept value)</t>
        </is>
      </c>
      <c r="B1705">
        <f>SUM(V1672:V1693)</f>
        <v/>
      </c>
    </row>
    <row r="1706">
      <c r="A1706" s="6" t="inlineStr">
        <is>
          <t>TOTAL DPS</t>
        </is>
      </c>
      <c r="B1706" s="6">
        <f>SUM(O1672:O1693)</f>
        <v/>
      </c>
    </row>
    <row r="1709">
      <c r="A1709" s="6" t="inlineStr">
        <is>
          <t>Stat: Star Rock (Equip)</t>
        </is>
      </c>
    </row>
    <row r="1710">
      <c r="A1710" s="5" t="inlineStr">
        <is>
          <t>Key</t>
        </is>
      </c>
      <c r="B1710" s="5" t="inlineStr">
        <is>
          <t>Name</t>
        </is>
      </c>
      <c r="C1710" s="5" t="inlineStr">
        <is>
          <t>Unlocked</t>
        </is>
      </c>
      <c r="D1710" s="5" t="inlineStr">
        <is>
          <t>InputLevel</t>
        </is>
      </c>
      <c r="E1710" s="5" t="inlineStr">
        <is>
          <t>Factor</t>
        </is>
      </c>
      <c r="F1710" s="5" t="inlineStr">
        <is>
          <t>CoefficientPercent</t>
        </is>
      </c>
      <c r="G1710" s="5" t="inlineStr">
        <is>
          <t>EffectiveHits</t>
        </is>
      </c>
      <c r="H1710" s="5" t="inlineStr">
        <is>
          <t>ProcProbability</t>
        </is>
      </c>
      <c r="I1710" s="5" t="inlineStr">
        <is>
          <t>MapleHeroMultiplier</t>
        </is>
      </c>
      <c r="J1710" s="5" t="inlineStr">
        <is>
          <t>BaseDamage</t>
        </is>
      </c>
      <c r="K1710" s="5" t="inlineStr">
        <is>
          <t>BaseHitDamage</t>
        </is>
      </c>
      <c r="L1710" s="5" t="inlineStr">
        <is>
          <t>NonCritAvg</t>
        </is>
      </c>
      <c r="M1710" s="5" t="inlineStr">
        <is>
          <t>CritAvg</t>
        </is>
      </c>
      <c r="N1710" s="5" t="inlineStr">
        <is>
          <t>ExpectedDamage(perHit)</t>
        </is>
      </c>
      <c r="O1710" s="5" t="inlineStr">
        <is>
          <t>DPS</t>
        </is>
      </c>
      <c r="P1710" s="5" t="inlineStr">
        <is>
          <t>% of Total</t>
        </is>
      </c>
      <c r="Q1710" s="5" t="inlineStr">
        <is>
          <t>InvCooldown</t>
        </is>
      </c>
      <c r="R1710" s="5" t="inlineStr">
        <is>
          <t>CastsInFight</t>
        </is>
      </c>
      <c r="S1710" s="5" t="inlineStr">
        <is>
          <t>HitRate(perSec)</t>
        </is>
      </c>
      <c r="U1710" t="inlineStr">
        <is>
          <t>helpers</t>
        </is>
      </c>
    </row>
    <row r="1711">
      <c r="A1711">
        <f>Skills!A2</f>
        <v/>
      </c>
      <c r="B1711">
        <f>Skills!B2</f>
        <v/>
      </c>
      <c r="C1711">
        <f>Inputs!$B$3&gt;=100</f>
        <v/>
      </c>
      <c r="D1711" t="inlineStr"/>
      <c r="E1711" t="inlineStr"/>
      <c r="F1711">
        <f>U1713+Skills!O2</f>
        <v/>
      </c>
      <c r="G1711">
        <f>Skills!G2*IF(Skills!H2&gt;0,Skills!I2/Skills!H2,1)</f>
        <v/>
      </c>
      <c r="H1711">
        <f>1-(1-Skills!J2/100)^Skills!K2</f>
        <v/>
      </c>
      <c r="I1711" t="inlineStr">
        <is>
          <t>1</t>
        </is>
      </c>
      <c r="J1711">
        <f>((Inputs!$B$6*(1+Inputs!$B$7/100))+(((Inputs!$B$12*(1+Inputs!$B$13/100))-(Inputs!$B$12*(1+Inputs!$B$13/100)))+0.25*(Inputs!$B$14-Inputs!$B$14))*(1+Inputs!$B$7/100))*(F1711/100)</f>
        <v/>
      </c>
      <c r="K1711">
        <f>J1711*(1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1711)</f>
        <v/>
      </c>
      <c r="L1711">
        <f>K1711*(MIN(Inputs!$B$22+((C1729=TRUE)*(F1729-Calc!F20)),(Inputs!$B$23+0+(IF(ArtifactsInput!$M$15,CHOOSE(ArtifactsInput!$N$15+1,25,30,35,40,45,50)/100*(Inputs!$B$11-Inputs!$B$11),0))))/100+(Inputs!$B$23+0+(IF(ArtifactsInput!$M$15,CHOOSE(ArtifactsInput!$N$15+1,25,30,35,40,45,50)/100*(Inputs!$B$11-Inputs!$B$11),0)))/100)/2</f>
        <v/>
      </c>
      <c r="M1711">
        <f>L1711*(1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1">
        <f>L1711*(1-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1">
        <f>(1-Summary!$B$11)*T1711+Summary!$B$11*V1711</f>
        <v/>
      </c>
      <c r="P1711">
        <f>IF(B1745=0,0,O1711/B1745)</f>
        <v/>
      </c>
      <c r="Q1711" t="n">
        <v>0</v>
      </c>
      <c r="R1711" t="n">
        <v>0</v>
      </c>
      <c r="S1711">
        <f>IFERROR(O1711/N1711,0)</f>
        <v/>
      </c>
      <c r="T1711">
        <f>IF(C1711,(Skills!G2*N1711*B1739)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1">
        <f>MAX(0,(Inputs!$B$3-100)*3)+Inputs!$B$28+Inputs!$B$29</f>
        <v/>
      </c>
      <c r="V1711">
        <f>IF(C1711,(Skills!G2*N1711*B1739)*IF(Inputs!$B$38="pvp",1,(1+(Inputs!$B$21+Skills!Q2+(IF(ArtifactsInput!$M$33,CHOOSE(ArtifactsInput!$N$33+1,30,36,42,48,54,60),0))+(IF(AND(ArtifactsInput!$M$35,Inputs!$B$4&lt;&gt;"Chapter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2">
      <c r="A1712">
        <f>Skills!A3</f>
        <v/>
      </c>
      <c r="B1712">
        <f>Skills!B3</f>
        <v/>
      </c>
      <c r="C1712">
        <f>Inputs!$B$3&gt;=35</f>
        <v/>
      </c>
      <c r="D1712">
        <f>IF(Skills!C3=1,60+Inputs!$B$25+Inputs!$B$29,IF(Skills!C3=2,90+Inputs!$B$26+Inputs!$B$29,IF(Skills!C3=3,120+Inputs!$B$27+Inputs!$B$29,MAX(0,(Inputs!$B$3-100)*3)+Inputs!$B$28+Inputs!$B$29)))</f>
        <v/>
      </c>
      <c r="E1712">
        <f>INDEX(FactorTable!$B$2:$Y$301, MATCH(ROUND(MIN(300,MAX(1,D1712)),0), FactorTable!$A$2:$A$301,0), Skills!M3+1)</f>
        <v/>
      </c>
      <c r="F1712">
        <f>IF(Skills!N3=TRUE,(Skills!L3/10)*(E1712/1000),Skills!L3/10)+Skills!O3</f>
        <v/>
      </c>
      <c r="G1712">
        <f>Skills!G3*IF(Skills!H3&gt;0,Skills!I3/Skills!H3,1)</f>
        <v/>
      </c>
      <c r="H1712">
        <f>1-(1-Skills!J3/100)^Skills!K3</f>
        <v/>
      </c>
      <c r="I1712" t="inlineStr">
        <is>
          <t>1</t>
        </is>
      </c>
      <c r="J1712">
        <f>((Inputs!$B$6*(1+Inputs!$B$7/100))+(((Inputs!$B$12*(1+Inputs!$B$13/100))-(Inputs!$B$12*(1+Inputs!$B$13/100)))+0.25*(Inputs!$B$14-Inputs!$B$14))*(1+Inputs!$B$7/100))*(F1712/100)</f>
        <v/>
      </c>
      <c r="K1712">
        <f>J1712*(1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1712)</f>
        <v/>
      </c>
      <c r="L1712">
        <f>K1712*(MIN(Inputs!$B$22+((C1729=TRUE)*(F1729-Calc!F20)),(Inputs!$B$23+0+(IF(ArtifactsInput!$M$15,CHOOSE(ArtifactsInput!$N$15+1,25,30,35,40,45,50)/100*(Inputs!$B$11-Inputs!$B$11),0))))/100+(Inputs!$B$23+0+(IF(ArtifactsInput!$M$15,CHOOSE(ArtifactsInput!$N$15+1,25,30,35,40,45,50)/100*(Inputs!$B$11-Inputs!$B$11),0)))/100)/2</f>
        <v/>
      </c>
      <c r="M1712">
        <f>L1712*(1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2">
        <f>L1712*(1-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1712*(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2">
        <f>(1-Summary!$B$11)*T1712+Summary!$B$11*V1712</f>
        <v/>
      </c>
      <c r="P1712">
        <f>IF(B1745=0,0,O1712/B1745)</f>
        <v/>
      </c>
      <c r="Q1712" t="n">
        <v>0</v>
      </c>
      <c r="R1712" t="n">
        <v>0</v>
      </c>
      <c r="S1712">
        <f>IFERROR(O1712/N1712,0)</f>
        <v/>
      </c>
      <c r="T1712">
        <f>IF(C1712,(Skills!G3*H1712*N1712*B1739)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1712*(1-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1712*(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1712*(1-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1712*(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2">
        <f>INDEX(FactorTable!$B$2:$Y$301, MATCH(ROUND(MIN(300,MAX(1,U1711)),0), FactorTable!$A$2:$A$301,0), 22)</f>
        <v/>
      </c>
      <c r="V1712">
        <f>IF(C1712,(Skills!G3*H1712*N1712*B1739)*IF(Inputs!$B$38="pvp",1,(1+(Inputs!$B$21+Skills!Q3+(IF(ArtifactsInput!$M$33,CHOOSE(ArtifactsInput!$N$33+1,30,36,42,48,54,60),0))+(IF(AND(ArtifactsInput!$M$35,Inputs!$B$4&lt;&gt;"Chapter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3">
      <c r="A1713">
        <f>Skills!A4</f>
        <v/>
      </c>
      <c r="B1713">
        <f>Skills!B4</f>
        <v/>
      </c>
      <c r="C1713">
        <f>Inputs!$B$3&gt;=60</f>
        <v/>
      </c>
      <c r="D1713">
        <f>IF(Skills!C4=1,60+Inputs!$B$25+Inputs!$B$29,IF(Skills!C4=2,90+Inputs!$B$26+Inputs!$B$29,IF(Skills!C4=3,120+Inputs!$B$27+Inputs!$B$29,MAX(0,(Inputs!$B$3-100)*3)+Inputs!$B$28+Inputs!$B$29)))</f>
        <v/>
      </c>
      <c r="E1713">
        <f>INDEX(FactorTable!$B$2:$Y$301, MATCH(ROUND(MIN(300,MAX(1,D1713)),0), FactorTable!$A$2:$A$301,0), Skills!M4+1)</f>
        <v/>
      </c>
      <c r="F1713">
        <f>IF(Skills!N4=TRUE,(Skills!L4/10)*(E1713/1000),Skills!L4/10)+Skills!O4</f>
        <v/>
      </c>
      <c r="G1713">
        <f>Skills!G4*IF(Skills!H4&gt;0,Skills!I4/Skills!H4,1)</f>
        <v/>
      </c>
      <c r="H1713">
        <f>1-(1-Skills!J4/100)^Skills!K4</f>
        <v/>
      </c>
      <c r="I1713" t="inlineStr">
        <is>
          <t>1</t>
        </is>
      </c>
      <c r="J1713">
        <f>((Inputs!$B$6*(1+Inputs!$B$7/100))+(((Inputs!$B$12*(1+Inputs!$B$13/100))-(Inputs!$B$12*(1+Inputs!$B$13/100)))+0.25*(Inputs!$B$14-Inputs!$B$14))*(1+Inputs!$B$7/100))*(F1713/100)</f>
        <v/>
      </c>
      <c r="K1713">
        <f>J1713*(1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1721=TRUE,F1721,0)/100)*(1+(IF(Skills!A4="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1713)</f>
        <v/>
      </c>
      <c r="L1713">
        <f>K1713*(MIN(Inputs!$B$22+((C1729=TRUE)*(F1729-Calc!F20)),(Inputs!$B$23+0+(IF(ArtifactsInput!$M$15,CHOOSE(ArtifactsInput!$N$15+1,25,30,35,40,45,50)/100*(Inputs!$B$11-Inputs!$B$11),0))))/100+(Inputs!$B$23+0+(IF(ArtifactsInput!$M$15,CHOOSE(ArtifactsInput!$N$15+1,25,30,35,40,45,50)/100*(Inputs!$B$11-Inputs!$B$11),0)))/100)/2</f>
        <v/>
      </c>
      <c r="M1713">
        <f>L1713*(1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3">
        <f>L1713*(1-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1713*(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3">
        <f>(1-Summary!$B$11)*T1713+Summary!$B$11*V1713</f>
        <v/>
      </c>
      <c r="P1713">
        <f>IF(B1745=0,0,O1713/B1745)</f>
        <v/>
      </c>
      <c r="Q1713" t="n">
        <v>0</v>
      </c>
      <c r="R1713" t="n">
        <v>0</v>
      </c>
      <c r="S1713">
        <f>IFERROR(O1713/N1713,0)</f>
        <v/>
      </c>
      <c r="T1713">
        <f>IF(C1713,(Skills!G4*H1713*N1713*B1739)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1713*(1-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1713*(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1713*(1-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1713*(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13">
        <f>290*U1712/1000</f>
        <v/>
      </c>
      <c r="V1713">
        <f>IF(C1713,(Skills!G4*H1713*N1713*B1739)*IF(Inputs!$B$38="pvp",1,(1+(Inputs!$B$21+Skills!Q4+(IF(ArtifactsInput!$M$33,CHOOSE(ArtifactsInput!$N$33+1,30,36,42,48,54,60),0))+(IF(AND(ArtifactsInput!$M$35,Inputs!$B$4&lt;&gt;"Chapter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4">
      <c r="A1714">
        <f>Skills!A5</f>
        <v/>
      </c>
      <c r="B1714">
        <f>Skills!B5</f>
        <v/>
      </c>
      <c r="C1714">
        <f>Inputs!$B$3&gt;=60</f>
        <v/>
      </c>
      <c r="D1714">
        <f>IF(Skills!C5=1,60+Inputs!$B$25+Inputs!$B$29,IF(Skills!C5=2,90+Inputs!$B$26+Inputs!$B$29,IF(Skills!C5=3,120+Inputs!$B$27+Inputs!$B$29,MAX(0,(Inputs!$B$3-100)*3)+Inputs!$B$28+Inputs!$B$29)))</f>
        <v/>
      </c>
      <c r="E1714">
        <f>INDEX(FactorTable!$B$2:$Y$301, MATCH(ROUND(MIN(300,MAX(1,D1714)),0), FactorTable!$A$2:$A$301,0), Skills!M5+1)</f>
        <v/>
      </c>
      <c r="F1714">
        <f>IF(Skills!N5=TRUE,(Skills!L5/10)*(E1714/1000),Skills!L5/10)+Skills!O5</f>
        <v/>
      </c>
      <c r="G1714">
        <f>Skills!G5*IF(Skills!H5&gt;0,Skills!I5/Skills!H5,1)</f>
        <v/>
      </c>
      <c r="H1714">
        <f>1-(1-Skills!J5/100)^Skills!K5</f>
        <v/>
      </c>
      <c r="I1714" t="inlineStr">
        <is>
          <t>1</t>
        </is>
      </c>
      <c r="J1714" t="inlineStr"/>
      <c r="K1714" t="inlineStr"/>
      <c r="L1714" t="inlineStr"/>
      <c r="M1714" t="inlineStr"/>
      <c r="N1714" t="inlineStr"/>
      <c r="O1714">
        <f>(1-Summary!$B$11)*T1714+Summary!$B$11*V1714</f>
        <v/>
      </c>
      <c r="P1714">
        <f>IF(B1745=0,0,O1714/B1745)</f>
        <v/>
      </c>
      <c r="Q1714" t="n">
        <v>0</v>
      </c>
      <c r="R1714" t="n">
        <v>0</v>
      </c>
      <c r="S1714">
        <f>IFERROR(O1714/N1714,0)</f>
        <v/>
      </c>
      <c r="T1714" t="n">
        <v>0</v>
      </c>
      <c r="V1714" t="n">
        <v>0</v>
      </c>
    </row>
    <row r="1715">
      <c r="A1715">
        <f>Skills!A6</f>
        <v/>
      </c>
      <c r="B1715">
        <f>Skills!B6</f>
        <v/>
      </c>
      <c r="C1715">
        <f>Inputs!$B$3&gt;=63</f>
        <v/>
      </c>
      <c r="D1715">
        <f>IF(Skills!C6=1,60+Inputs!$B$25+Inputs!$B$29,IF(Skills!C6=2,90+Inputs!$B$26+Inputs!$B$29,IF(Skills!C6=3,120+Inputs!$B$27+Inputs!$B$29,MAX(0,(Inputs!$B$3-100)*3)+Inputs!$B$28+Inputs!$B$29)))</f>
        <v/>
      </c>
      <c r="E1715">
        <f>INDEX(FactorTable!$B$2:$Y$301, MATCH(ROUND(MIN(300,MAX(1,D1715)),0), FactorTable!$A$2:$A$301,0), Skills!M6+1)</f>
        <v/>
      </c>
      <c r="F1715">
        <f>IF(Skills!N6=TRUE,(Skills!L6/10)*(E1715/1000),Skills!L6/10)+Skills!O6</f>
        <v/>
      </c>
      <c r="G1715">
        <f>Skills!G6*IF(Skills!H6&gt;0,Skills!I6/Skills!H6,1)</f>
        <v/>
      </c>
      <c r="H1715">
        <f>1-(1-Skills!J6/100)^Skills!K6</f>
        <v/>
      </c>
      <c r="I1715" t="inlineStr">
        <is>
          <t>1</t>
        </is>
      </c>
      <c r="J1715">
        <f>((Inputs!$B$6*(1+Inputs!$B$7/100))+(((Inputs!$B$12*(1+Inputs!$B$13/100))-(Inputs!$B$12*(1+Inputs!$B$13/100)))+0.25*(Inputs!$B$14-Inputs!$B$14))*(1+Inputs!$B$7/100))*(F1715/100)</f>
        <v/>
      </c>
      <c r="K1715">
        <f>J1715*(1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1721=TRUE,F1721,0)/100)*(1+(IF(Skills!A6="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1715)</f>
        <v/>
      </c>
      <c r="L1715">
        <f>K1715*(MIN(Inputs!$B$22+((C1729=TRUE)*(F1729-Calc!F20)),(Inputs!$B$23+0+(IF(ArtifactsInput!$M$15,CHOOSE(ArtifactsInput!$N$15+1,25,30,35,40,45,50)/100*(Inputs!$B$11-Inputs!$B$11),0))))/100+(Inputs!$B$23+0+(IF(ArtifactsInput!$M$15,CHOOSE(ArtifactsInput!$N$15+1,25,30,35,40,45,50)/100*(Inputs!$B$11-Inputs!$B$11),0)))/100)/2</f>
        <v/>
      </c>
      <c r="M1715">
        <f>L1715*(1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5">
        <f>L1715*(1-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1715*(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5">
        <f>(1-Summary!$B$11)*T1715+Summary!$B$11*V1715</f>
        <v/>
      </c>
      <c r="P1715">
        <f>IF(B1745=0,0,O1715/B1745)</f>
        <v/>
      </c>
      <c r="Q1715">
        <f>IFERROR(1/(IF(Inputs!$B$38="pvp",15,MAX(0.1,Skills!D6-IF(Skills!E6=TRUE,Inputs!$B$32,0)))*(1-IF(AND(ArtifactsInput!$M$27,Inputs!$B$4="Chapter Hunt"),CHOOSE(ArtifactsInput!$N$27+1,20,24,28,32,36,40),0)/100)),0)</f>
        <v/>
      </c>
      <c r="R1715">
        <f>IF(AND(Inputs!$B$38&lt;&gt;"pvp",Inputs!$B$43&gt;0),IF(MAX(0,Inputs!$B$43-B1742)&lt;=0,0,(INT(MAX(0,Inputs!$B$43-B1742)/(IF(Inputs!$B$38="pvp",15,MAX(0.1,Skills!D6-IF(Skills!E6=TRUE,Inputs!$B$32,0)))*(1-IF(AND(ArtifactsInput!$M$27,Inputs!$B$4="Chapter Hunt"),CHOOSE(ArtifactsInput!$N$27+1,20,24,28,32,36,40),0)/100)))+1)),0)</f>
        <v/>
      </c>
      <c r="S1715">
        <f>IFERROR(O1715/N1715,0)</f>
        <v/>
      </c>
      <c r="T1715">
        <f>IF(C1715,(H1715*N1715*IF(AND(Inputs!$B$38&lt;&gt;"pvp",Inputs!$B$43&gt;0),((Skills!G6*((R1715-1)*IF(Skills!H6&gt;0,Skills!I6/Skills!H6,1)+IF(Skills!H6&gt;0,MIN(Skills!I6,MAX(0,MAX(0,Inputs!$B$43-B1742)-((R1715-1)*(IF(Inputs!$B$38="pvp",15,MAX(0.1,Skills!D6-IF(Skills!E6=TRUE,Inputs!$B$32,0)))*(1-IF(AND(ArtifactsInput!$M$27,Inputs!$B$4="Chapter Hunt"),CHOOSE(ArtifactsInput!$N$27+1,20,24,28,32,36,40),0)/100)))))/Skills!H6,1)))/Inputs!$B$43),G1715*Q1715)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1715*(1-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1715*(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1715*(1-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1715*(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5">
        <f>IF(C1715,(H1715*N1715*IF(AND(Inputs!$B$38&lt;&gt;"pvp",Inputs!$B$43&gt;0),((Skills!G6*((R1715-1)*IF(Skills!H6&gt;0,Skills!I6/Skills!H6,1)+IF(Skills!H6&gt;0,MIN(Skills!I6,MAX(0,MAX(0,Inputs!$B$43-B1742)-((R1715-1)*(IF(Inputs!$B$38="pvp",15,MAX(0.1,Skills!D6-IF(Skills!E6=TRUE,Inputs!$B$32,0)))*(1-IF(AND(ArtifactsInput!$M$27,Inputs!$B$4="Chapter Hunt"),CHOOSE(ArtifactsInput!$N$27+1,20,24,28,32,36,40),0)/100)))))/Skills!H6,1)))/Inputs!$B$43),G1715*Q1715))*IF(Inputs!$B$38="pvp",1,(1+(Inputs!$B$21+Skills!Q6+(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6">
      <c r="A1716">
        <f>Skills!A7</f>
        <v/>
      </c>
      <c r="B1716">
        <f>Skills!B7</f>
        <v/>
      </c>
      <c r="C1716">
        <f>Inputs!$B$3&gt;=100</f>
        <v/>
      </c>
      <c r="D1716">
        <f>IF(Skills!C7=1,60+Inputs!$B$25+Inputs!$B$29,IF(Skills!C7=2,90+Inputs!$B$26+Inputs!$B$29,IF(Skills!C7=3,120+Inputs!$B$27+Inputs!$B$29,MAX(0,(Inputs!$B$3-100)*3)+Inputs!$B$28+Inputs!$B$29)))</f>
        <v/>
      </c>
      <c r="E1716">
        <f>INDEX(FactorTable!$B$2:$Y$301, MATCH(ROUND(MIN(300,MAX(1,D1716)),0), FactorTable!$A$2:$A$301,0), Skills!M7+1)</f>
        <v/>
      </c>
      <c r="F1716">
        <f>IF(Skills!N7=TRUE,(Skills!L7/10)*(E1716/1000),Skills!L7/10)+Skills!O7</f>
        <v/>
      </c>
      <c r="G1716">
        <f>Skills!G7*IF(Skills!H7&gt;0,Skills!I7/Skills!H7,1)</f>
        <v/>
      </c>
      <c r="H1716">
        <f>1-(1-Skills!J7/100)^Skills!K7</f>
        <v/>
      </c>
      <c r="I1716" t="inlineStr">
        <is>
          <t>1</t>
        </is>
      </c>
      <c r="J1716">
        <f>((Inputs!$B$6*(1+Inputs!$B$7/100))+(((Inputs!$B$12*(1+Inputs!$B$13/100))-(Inputs!$B$12*(1+Inputs!$B$13/100)))+0.25*(Inputs!$B$14-Inputs!$B$14))*(1+Inputs!$B$7/100))*(F1716/100)</f>
        <v/>
      </c>
      <c r="K1716">
        <f>J1716*(1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1716)</f>
        <v/>
      </c>
      <c r="L1716">
        <f>K1716*(MIN(Inputs!$B$22+((C1729=TRUE)*(F1729-Calc!F20)),(Inputs!$B$23+0+(IF(ArtifactsInput!$M$15,CHOOSE(ArtifactsInput!$N$15+1,25,30,35,40,45,50)/100*(Inputs!$B$11-Inputs!$B$11),0))))/100+(Inputs!$B$23+0+(IF(ArtifactsInput!$M$15,CHOOSE(ArtifactsInput!$N$15+1,25,30,35,40,45,50)/100*(Inputs!$B$11-Inputs!$B$11),0)))/100)/2</f>
        <v/>
      </c>
      <c r="M1716">
        <f>L1716*(1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6">
        <f>L1716*(1-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1716*(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6">
        <f>(1-Summary!$B$11)*T1716+Summary!$B$11*V1716</f>
        <v/>
      </c>
      <c r="P1716">
        <f>IF(B1745=0,0,O1716/B1745)</f>
        <v/>
      </c>
      <c r="Q1716">
        <f>IFERROR(1/(IF(Inputs!$B$38="pvp",15,MAX(0.1,Skills!D7-IF(Skills!E7=TRUE,Inputs!$B$32,0)))*(1-IF(AND(ArtifactsInput!$M$27,Inputs!$B$4="Chapter Hunt"),CHOOSE(ArtifactsInput!$N$27+1,20,24,28,32,36,40),0)/100)),0)</f>
        <v/>
      </c>
      <c r="R1716">
        <f>IF(AND(Inputs!$B$38&lt;&gt;"pvp",Inputs!$B$43&gt;0),IF(MAX(0,Inputs!$B$43-B1742)&lt;=0,0,(INT(MAX(0,Inputs!$B$43-B1742)/(IF(Inputs!$B$38="pvp",15,MAX(0.1,Skills!D7-IF(Skills!E7=TRUE,Inputs!$B$32,0)))*(1-IF(AND(ArtifactsInput!$M$27,Inputs!$B$4="Chapter Hunt"),CHOOSE(ArtifactsInput!$N$27+1,20,24,28,32,36,40),0)/100)))+1)),0)</f>
        <v/>
      </c>
      <c r="S1716">
        <f>IFERROR(O1716/N1716,0)</f>
        <v/>
      </c>
      <c r="T1716">
        <f>IF(C1716,(H1716*N1716*IF(AND(Inputs!$B$38&lt;&gt;"pvp",Inputs!$B$43&gt;0),((Skills!G7*((R1716-1)*IF(Skills!H7&gt;0,Skills!I7/Skills!H7,1)+IF(Skills!H7&gt;0,MIN(Skills!I7,MAX(0,MAX(0,Inputs!$B$43-B1742)-((R1716-1)*(IF(Inputs!$B$38="pvp",15,MAX(0.1,Skills!D7-IF(Skills!E7=TRUE,Inputs!$B$32,0)))*(1-IF(AND(ArtifactsInput!$M$27,Inputs!$B$4="Chapter Hunt"),CHOOSE(ArtifactsInput!$N$27+1,20,24,28,32,36,40),0)/100)))))/Skills!H7,1)))/Inputs!$B$43),G1716*Q1716)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1716*(1-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1716*(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1716*(1-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1716*(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6">
        <f>IF(C1716,(H1716*N1716*IF(AND(Inputs!$B$38&lt;&gt;"pvp",Inputs!$B$43&gt;0),((Skills!G7*((R1716-1)*IF(Skills!H7&gt;0,Skills!I7/Skills!H7,1)+IF(Skills!H7&gt;0,MIN(Skills!I7,MAX(0,MAX(0,Inputs!$B$43-B1742)-((R1716-1)*(IF(Inputs!$B$38="pvp",15,MAX(0.1,Skills!D7-IF(Skills!E7=TRUE,Inputs!$B$32,0)))*(1-IF(AND(ArtifactsInput!$M$27,Inputs!$B$4="Chapter Hunt"),CHOOSE(ArtifactsInput!$N$27+1,20,24,28,32,36,40),0)/100)))))/Skills!H7,1)))/Inputs!$B$43),G1716*Q1716))*IF(Inputs!$B$38="pvp",1,(1+(Inputs!$B$21+Skills!Q7+(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7">
      <c r="A1717">
        <f>Skills!A8</f>
        <v/>
      </c>
      <c r="B1717">
        <f>Skills!B8</f>
        <v/>
      </c>
      <c r="C1717">
        <f>Inputs!$B$3&gt;=110</f>
        <v/>
      </c>
      <c r="D1717">
        <f>IF(Skills!C8=1,60+Inputs!$B$25+Inputs!$B$29,IF(Skills!C8=2,90+Inputs!$B$26+Inputs!$B$29,IF(Skills!C8=3,120+Inputs!$B$27+Inputs!$B$29,MAX(0,(Inputs!$B$3-100)*3)+Inputs!$B$28+Inputs!$B$29)))</f>
        <v/>
      </c>
      <c r="E1717">
        <f>INDEX(FactorTable!$B$2:$Y$301, MATCH(ROUND(MIN(300,MAX(1,D1717)),0), FactorTable!$A$2:$A$301,0), Skills!M8+1)</f>
        <v/>
      </c>
      <c r="F1717">
        <f>IF(Skills!N8=TRUE,(Skills!L8/10)*(E1717/1000),Skills!L8/10)+Skills!O8</f>
        <v/>
      </c>
      <c r="G1717">
        <f>Skills!G8*IF(Skills!H8&gt;0,Skills!I8/Skills!H8,1)</f>
        <v/>
      </c>
      <c r="H1717">
        <f>1-(1-Skills!J8/100)^Skills!K8</f>
        <v/>
      </c>
      <c r="I1717" t="inlineStr">
        <is>
          <t>1</t>
        </is>
      </c>
      <c r="J1717">
        <f>((Inputs!$B$6*(1+Inputs!$B$7/100))+(((Inputs!$B$12*(1+Inputs!$B$13/100))-(Inputs!$B$12*(1+Inputs!$B$13/100)))+0.25*(Inputs!$B$14-Inputs!$B$14))*(1+Inputs!$B$7/100))*(F1717/100)</f>
        <v/>
      </c>
      <c r="K1717">
        <f>J1717*(1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1717)</f>
        <v/>
      </c>
      <c r="L1717">
        <f>K1717*(MIN(Inputs!$B$22+((C1729=TRUE)*(F1729-Calc!F20)),(Inputs!$B$23+0+(IF(ArtifactsInput!$M$15,CHOOSE(ArtifactsInput!$N$15+1,25,30,35,40,45,50)/100*(Inputs!$B$11-Inputs!$B$11),0))))/100+(Inputs!$B$23+0+(IF(ArtifactsInput!$M$15,CHOOSE(ArtifactsInput!$N$15+1,25,30,35,40,45,50)/100*(Inputs!$B$11-Inputs!$B$11),0)))/100)/2</f>
        <v/>
      </c>
      <c r="M1717">
        <f>L1717*(1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7">
        <f>L1717*(1-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1717*(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7">
        <f>(1-Summary!$B$11)*T1717+Summary!$B$11*V1717</f>
        <v/>
      </c>
      <c r="P1717">
        <f>IF(B1745=0,0,O1717/B1745)</f>
        <v/>
      </c>
      <c r="Q1717">
        <f>IFERROR(1/(IF(Inputs!$B$38="pvp",15,MAX(0.1,Skills!D8-IF(Skills!E8=TRUE,Inputs!$B$32,0)))*(1-IF(AND(ArtifactsInput!$M$27,Inputs!$B$4="Chapter Hunt"),CHOOSE(ArtifactsInput!$N$27+1,20,24,28,32,36,40),0)/100)),0)</f>
        <v/>
      </c>
      <c r="R1717">
        <f>IF(AND(Inputs!$B$38&lt;&gt;"pvp",Inputs!$B$43&gt;0),IF(MAX(0,Inputs!$B$43-B1742)&lt;=0,0,(INT(MAX(0,Inputs!$B$43-B1742)/(IF(Inputs!$B$38="pvp",15,MAX(0.1,Skills!D8-IF(Skills!E8=TRUE,Inputs!$B$32,0)))*(1-IF(AND(ArtifactsInput!$M$27,Inputs!$B$4="Chapter Hunt"),CHOOSE(ArtifactsInput!$N$27+1,20,24,28,32,36,40),0)/100)))+1)),0)</f>
        <v/>
      </c>
      <c r="S1717">
        <f>IFERROR(O1717/N1717,0)</f>
        <v/>
      </c>
      <c r="T1717">
        <f>IF(C1717,(H1717*N1717*IF(AND(Inputs!$B$38&lt;&gt;"pvp",Inputs!$B$43&gt;0),((Skills!G8*((R1717-1)*IF(Skills!H8&gt;0,Skills!I8/Skills!H8,1)+IF(Skills!H8&gt;0,MIN(Skills!I8,MAX(0,MAX(0,Inputs!$B$43-B1742)-((R1717-1)*(IF(Inputs!$B$38="pvp",15,MAX(0.1,Skills!D8-IF(Skills!E8=TRUE,Inputs!$B$32,0)))*(1-IF(AND(ArtifactsInput!$M$27,Inputs!$B$4="Chapter Hunt"),CHOOSE(ArtifactsInput!$N$27+1,20,24,28,32,36,40),0)/100)))))/Skills!H8,1)))/Inputs!$B$43),G1717*Q1717)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1717*(1-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1717*(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1717*(1-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1717*(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7">
        <f>IF(C1717,(H1717*N1717*IF(AND(Inputs!$B$38&lt;&gt;"pvp",Inputs!$B$43&gt;0),((Skills!G8*((R1717-1)*IF(Skills!H8&gt;0,Skills!I8/Skills!H8,1)+IF(Skills!H8&gt;0,MIN(Skills!I8,MAX(0,MAX(0,Inputs!$B$43-B1742)-((R1717-1)*(IF(Inputs!$B$38="pvp",15,MAX(0.1,Skills!D8-IF(Skills!E8=TRUE,Inputs!$B$32,0)))*(1-IF(AND(ArtifactsInput!$M$27,Inputs!$B$4="Chapter Hunt"),CHOOSE(ArtifactsInput!$N$27+1,20,24,28,32,36,40),0)/100)))))/Skills!H8,1)))/Inputs!$B$43),G1717*Q1717))*IF(Inputs!$B$38="pvp",1,(1+(Inputs!$B$21+Skills!Q8+(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8">
      <c r="A1718">
        <f>Skills!A9</f>
        <v/>
      </c>
      <c r="B1718">
        <f>Skills!B9</f>
        <v/>
      </c>
      <c r="C1718">
        <f>Inputs!$B$3&gt;=110</f>
        <v/>
      </c>
      <c r="D1718">
        <f>IF(Skills!C9=1,60+Inputs!$B$25+Inputs!$B$29,IF(Skills!C9=2,90+Inputs!$B$26+Inputs!$B$29,IF(Skills!C9=3,120+Inputs!$B$27+Inputs!$B$29,MAX(0,(Inputs!$B$3-100)*3)+Inputs!$B$28+Inputs!$B$29)))</f>
        <v/>
      </c>
      <c r="E1718">
        <f>INDEX(FactorTable!$B$2:$Y$301, MATCH(ROUND(MIN(300,MAX(1,D1718)),0), FactorTable!$A$2:$A$301,0), Skills!M9+1)</f>
        <v/>
      </c>
      <c r="F1718">
        <f>IF(Skills!N9=TRUE,(Skills!L9/10)*(E1718/1000),Skills!L9/10)+Skills!O9</f>
        <v/>
      </c>
      <c r="G1718">
        <f>Skills!G9*IF(Skills!H9&gt;0,Skills!I9/Skills!H9,1)</f>
        <v/>
      </c>
      <c r="H1718">
        <f>1-(1-Skills!J9/100)^Skills!K9</f>
        <v/>
      </c>
      <c r="I1718" t="inlineStr">
        <is>
          <t>1</t>
        </is>
      </c>
      <c r="J1718">
        <f>((Inputs!$B$6*(1+Inputs!$B$7/100))+(((Inputs!$B$12*(1+Inputs!$B$13/100))-(Inputs!$B$12*(1+Inputs!$B$13/100)))+0.25*(Inputs!$B$14-Inputs!$B$14))*(1+Inputs!$B$7/100))*(F1718/100)</f>
        <v/>
      </c>
      <c r="K1718">
        <f>J1718*(1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1718)</f>
        <v/>
      </c>
      <c r="L1718">
        <f>K1718*(MIN(Inputs!$B$22+((C1729=TRUE)*(F1729-Calc!F20)),(Inputs!$B$23+0+(IF(ArtifactsInput!$M$15,CHOOSE(ArtifactsInput!$N$15+1,25,30,35,40,45,50)/100*(Inputs!$B$11-Inputs!$B$11),0))))/100+(Inputs!$B$23+0+(IF(ArtifactsInput!$M$15,CHOOSE(ArtifactsInput!$N$15+1,25,30,35,40,45,50)/100*(Inputs!$B$11-Inputs!$B$11),0)))/100)/2</f>
        <v/>
      </c>
      <c r="M1718">
        <f>L1718*(1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8">
        <f>L1718*(1-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1718*(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8">
        <f>(1-Summary!$B$11)*T1718+Summary!$B$11*V1718</f>
        <v/>
      </c>
      <c r="P1718">
        <f>IF(B1745=0,0,O1718/B1745)</f>
        <v/>
      </c>
      <c r="Q1718">
        <f>IFERROR(1/(IF(Inputs!$B$38="pvp",15,MAX(0.1,Skills!D9-IF(Skills!E9=TRUE,Inputs!$B$32,0)))*(1-IF(AND(ArtifactsInput!$M$27,Inputs!$B$4="Chapter Hunt"),CHOOSE(ArtifactsInput!$N$27+1,20,24,28,32,36,40),0)/100)),0)</f>
        <v/>
      </c>
      <c r="R1718">
        <f>IF(AND(Inputs!$B$38&lt;&gt;"pvp",Inputs!$B$43&gt;0),IF(MAX(0,Inputs!$B$43-B1742)&lt;=0,0,(INT(MAX(0,Inputs!$B$43-B1742)/(IF(Inputs!$B$38="pvp",15,MAX(0.1,Skills!D9-IF(Skills!E9=TRUE,Inputs!$B$32,0)))*(1-IF(AND(ArtifactsInput!$M$27,Inputs!$B$4="Chapter Hunt"),CHOOSE(ArtifactsInput!$N$27+1,20,24,28,32,36,40),0)/100)))+1)),0)</f>
        <v/>
      </c>
      <c r="S1718">
        <f>IFERROR(O1718/N1718,0)</f>
        <v/>
      </c>
      <c r="T1718">
        <f>IF(C1718,(H1718*N1718*IF(AND(Inputs!$B$38&lt;&gt;"pvp",Inputs!$B$43&gt;0),((Skills!G9*((R1718-1)*IF(Skills!H9&gt;0,Skills!I9/Skills!H9,1)+IF(Skills!H9&gt;0,MIN(Skills!I9,MAX(0,MAX(0,Inputs!$B$43-B1742)-((R1718-1)*(IF(Inputs!$B$38="pvp",15,MAX(0.1,Skills!D9-IF(Skills!E9=TRUE,Inputs!$B$32,0)))*(1-IF(AND(ArtifactsInput!$M$27,Inputs!$B$4="Chapter Hunt"),CHOOSE(ArtifactsInput!$N$27+1,20,24,28,32,36,40),0)/100)))))/Skills!H9,1)))/Inputs!$B$43),G1718*Q1718)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1718*(1-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1718*(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1718*(1-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1718*(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8">
        <f>IF(C1718,(H1718*N1718*IF(AND(Inputs!$B$38&lt;&gt;"pvp",Inputs!$B$43&gt;0),((Skills!G9*((R1718-1)*IF(Skills!H9&gt;0,Skills!I9/Skills!H9,1)+IF(Skills!H9&gt;0,MIN(Skills!I9,MAX(0,MAX(0,Inputs!$B$43-B1742)-((R1718-1)*(IF(Inputs!$B$38="pvp",15,MAX(0.1,Skills!D9-IF(Skills!E9=TRUE,Inputs!$B$32,0)))*(1-IF(AND(ArtifactsInput!$M$27,Inputs!$B$4="Chapter Hunt"),CHOOSE(ArtifactsInput!$N$27+1,20,24,28,32,36,40),0)/100)))))/Skills!H9,1)))/Inputs!$B$43),G1718*Q1718))*IF(Inputs!$B$38="pvp",1,(1+(Inputs!$B$21+Skills!Q9+(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9">
      <c r="A1719">
        <f>Skills!A10</f>
        <v/>
      </c>
      <c r="B1719">
        <f>Skills!B10</f>
        <v/>
      </c>
      <c r="C1719">
        <f>Inputs!$B$3&gt;=103</f>
        <v/>
      </c>
      <c r="D1719">
        <f>IF(Skills!C10=1,60+Inputs!$B$25+Inputs!$B$29,IF(Skills!C10=2,90+Inputs!$B$26+Inputs!$B$29,IF(Skills!C10=3,120+Inputs!$B$27+Inputs!$B$29,MAX(0,(Inputs!$B$3-100)*3)+Inputs!$B$28+Inputs!$B$29)))</f>
        <v/>
      </c>
      <c r="E1719">
        <f>INDEX(FactorTable!$B$2:$Y$301, MATCH(ROUND(MIN(300,MAX(1,D1719)),0), FactorTable!$A$2:$A$301,0), Skills!M10+1)</f>
        <v/>
      </c>
      <c r="F1719">
        <f>IF(Skills!N10=TRUE,(Skills!L10/10)*(E1719/1000),Skills!L10/10)+Skills!O10</f>
        <v/>
      </c>
      <c r="G1719">
        <f>Skills!G10*IF(Skills!H10&gt;0,Skills!I10/Skills!H10,1)</f>
        <v/>
      </c>
      <c r="H1719">
        <f>1-(1-Skills!J10/100)^Skills!K10</f>
        <v/>
      </c>
      <c r="I1719" t="inlineStr">
        <is>
          <t>1</t>
        </is>
      </c>
      <c r="J1719">
        <f>((Inputs!$B$6*(1+Inputs!$B$7/100))+(((Inputs!$B$12*(1+Inputs!$B$13/100))-(Inputs!$B$12*(1+Inputs!$B$13/100)))+0.25*(Inputs!$B$14-Inputs!$B$14))*(1+Inputs!$B$7/100))*(F1719/100)</f>
        <v/>
      </c>
      <c r="K1719">
        <f>J1719*(1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1719)</f>
        <v/>
      </c>
      <c r="L1719">
        <f>K1719*(MIN(Inputs!$B$22+((C1729=TRUE)*(F1729-Calc!F20)),(Inputs!$B$23+0+(IF(ArtifactsInput!$M$15,CHOOSE(ArtifactsInput!$N$15+1,25,30,35,40,45,50)/100*(Inputs!$B$11-Inputs!$B$11),0))))/100+(Inputs!$B$23+0+(IF(ArtifactsInput!$M$15,CHOOSE(ArtifactsInput!$N$15+1,25,30,35,40,45,50)/100*(Inputs!$B$11-Inputs!$B$11),0)))/100)/2</f>
        <v/>
      </c>
      <c r="M1719">
        <f>L1719*(1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9">
        <f>L1719*(1-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1719*(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9">
        <f>(1-Summary!$B$11)*T1719+Summary!$B$11*V1719</f>
        <v/>
      </c>
      <c r="P1719">
        <f>IF(B1745=0,0,O1719/B1745)</f>
        <v/>
      </c>
      <c r="Q1719">
        <f>IFERROR(1/(IF(Inputs!$B$38="pvp",15,MAX(0.1,Skills!D10-IF(Skills!E10=TRUE,Inputs!$B$32,0)))*(1-IF(AND(ArtifactsInput!$M$27,Inputs!$B$4="Chapter Hunt"),CHOOSE(ArtifactsInput!$N$27+1,20,24,28,32,36,40),0)/100)),0)</f>
        <v/>
      </c>
      <c r="R1719">
        <f>IF(AND(Inputs!$B$38&lt;&gt;"pvp",Inputs!$B$43&gt;0),IF(MAX(0,Inputs!$B$43-B1742)&lt;=0,0,(INT(MAX(0,Inputs!$B$43-B1742)/(IF(Inputs!$B$38="pvp",15,MAX(0.1,Skills!D10-IF(Skills!E10=TRUE,Inputs!$B$32,0)))*(1-IF(AND(ArtifactsInput!$M$27,Inputs!$B$4="Chapter Hunt"),CHOOSE(ArtifactsInput!$N$27+1,20,24,28,32,36,40),0)/100)))+1)),0)</f>
        <v/>
      </c>
      <c r="S1719">
        <f>IFERROR(O1719/N1719,0)</f>
        <v/>
      </c>
      <c r="T1719">
        <f>IF(C1719,(H1719*N1719*IF(AND(Inputs!$B$38&lt;&gt;"pvp",Inputs!$B$43&gt;0),((Skills!G10*((R1719-1)*IF(Skills!H10&gt;0,Skills!I10/Skills!H10,1)+IF(Skills!H10&gt;0,MIN(Skills!I10,MAX(0,MAX(0,Inputs!$B$43-B1742)-((R1719-1)*(IF(Inputs!$B$38="pvp",15,MAX(0.1,Skills!D10-IF(Skills!E10=TRUE,Inputs!$B$32,0)))*(1-IF(AND(ArtifactsInput!$M$27,Inputs!$B$4="Chapter Hunt"),CHOOSE(ArtifactsInput!$N$27+1,20,24,28,32,36,40),0)/100)))))/Skills!H10,1)))/Inputs!$B$43),G1719*Q1719)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1719*(1-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1719*(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1719*(1-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1719*(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9">
        <f>IF(C1719,(H1719*N1719*IF(AND(Inputs!$B$38&lt;&gt;"pvp",Inputs!$B$43&gt;0),((Skills!G10*((R1719-1)*IF(Skills!H10&gt;0,Skills!I10/Skills!H10,1)+IF(Skills!H10&gt;0,MIN(Skills!I10,MAX(0,MAX(0,Inputs!$B$43-B1742)-((R1719-1)*(IF(Inputs!$B$38="pvp",15,MAX(0.1,Skills!D10-IF(Skills!E10=TRUE,Inputs!$B$32,0)))*(1-IF(AND(ArtifactsInput!$M$27,Inputs!$B$4="Chapter Hunt"),CHOOSE(ArtifactsInput!$N$27+1,20,24,28,32,36,40),0)/100)))))/Skills!H10,1)))/Inputs!$B$43),G1719*Q1719))*IF(Inputs!$B$38="pvp",1,(1+(Inputs!$B$21+Skills!Q10+(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0">
      <c r="A1720">
        <f>Skills!A11</f>
        <v/>
      </c>
      <c r="B1720">
        <f>Skills!B11</f>
        <v/>
      </c>
      <c r="C1720">
        <f>Inputs!$B$3&gt;=113</f>
        <v/>
      </c>
      <c r="D1720">
        <f>IF(Skills!C11=1,60+Inputs!$B$25+Inputs!$B$29,IF(Skills!C11=2,90+Inputs!$B$26+Inputs!$B$29,IF(Skills!C11=3,120+Inputs!$B$27+Inputs!$B$29,MAX(0,(Inputs!$B$3-100)*3)+Inputs!$B$28+Inputs!$B$29)))</f>
        <v/>
      </c>
      <c r="E1720">
        <f>INDEX(FactorTable!$B$2:$Y$301, MATCH(ROUND(MIN(300,MAX(1,D1720)),0), FactorTable!$A$2:$A$301,0), Skills!M11+1)</f>
        <v/>
      </c>
      <c r="F1720">
        <f>IF(Skills!N11=TRUE,(Skills!L11/10)*(E1720/1000),Skills!L11/10)+Skills!O11</f>
        <v/>
      </c>
      <c r="G1720">
        <f>Skills!G11*IF(Skills!H11&gt;0,Skills!I11/Skills!H11,1)</f>
        <v/>
      </c>
      <c r="H1720">
        <f>1-(1-Skills!J11/100)^Skills!K11</f>
        <v/>
      </c>
      <c r="I1720" t="inlineStr">
        <is>
          <t>1</t>
        </is>
      </c>
      <c r="J1720">
        <f>((Inputs!$B$6*(1+Inputs!$B$7/100))+(((Inputs!$B$12*(1+Inputs!$B$13/100))-(Inputs!$B$12*(1+Inputs!$B$13/100)))+0.25*(Inputs!$B$14-Inputs!$B$14))*(1+Inputs!$B$7/100))*(F1720/100)</f>
        <v/>
      </c>
      <c r="K1720">
        <f>J1720*(1+((Inputs!$B$12*(1+Inputs!$B$13/100))*0.01+Inputs!$B$14*0.0025)/100)*(1+Inputs!$B$15/100)*(1+Inputs!$B$16/100)*(5000/(6000+Inputs!$B$42*(1-(100*(1-(1-(Inputs!$B$19+0)/100)*(1-CHOOSE(ArtifactsInput!$N$40+1,5,6,7,8,9,10)/100)^(ArtifactsInput!$M$40-ArtifactsInput!$M$40)))/100)))*(1+(Inputs!$B$24+((C1731=TRUE)*(F1731-Calc!F22))+B1741)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1730=TRUE)*(F1730-Calc!F21))+(((IF(AND(ArtifactsInput!$M$42,((Inputs!$B$9+((C1725=TRUE)*(F1725-Calc!F16))+B1735+(ArtifactsInput!$M$24-ArtifactsInput!$M$24)*CHOOSE(ArtifactsInput!$N$24+1,10,12,14,16,18,20)+IF(ArtifactsInput!$M$10,CHOOSE(ArtifactsInput!$N$10+1,15,18,21,24,27,30)*(IF(Inputs!$B$38="pvp",MIN(15,15)/15,IF(AND(Inputs!$B$38&lt;&gt;"pvp",Inputs!$B$43&gt;0),MIN(15,Inputs!$B$43)/(Inputs!$B$43),0))),0)))&gt;=100),MIN(100,((Inputs!$B$9+((C1725=TRUE)*(F1725-Calc!F16))+B1735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1725=TRUE)*(F1725-Calc!F16))+B1735+(ArtifactsInput!$M$24-ArtifactsInput!$M$24)*CHOOSE(ArtifactsInput!$N$24+1,10,12,14,16,18,20)+IF(ArtifactsInput!$M$10,CHOOSE(ArtifactsInput!$N$10+1,15,18,21,24,27,30)*(IF(Inputs!$B$38="pvp",MIN(15,15)/15,IF(AND(Inputs!$B$38&lt;&gt;"pvp",Inputs!$B$43&gt;0),MIN(15,Inputs!$B$43)/(Inputs!$B$43),0))),0)))&gt;=100),CHOOSE(ArtifactsInput!$N$42+1,40,48,56,64,72,80),0))))/100)*((1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1720)</f>
        <v/>
      </c>
      <c r="L1720">
        <f>K1720*(MIN(Inputs!$B$22+((C1729=TRUE)*(F1729-Calc!F20)),(Inputs!$B$23+0+(IF(ArtifactsInput!$M$15,CHOOSE(ArtifactsInput!$N$15+1,25,30,35,40,45,50)/100*(Inputs!$B$11-Inputs!$B$11),0))))/100+(Inputs!$B$23+0+(IF(ArtifactsInput!$M$15,CHOOSE(ArtifactsInput!$N$15+1,25,30,35,40,45,50)/100*(Inputs!$B$11-Inputs!$B$11),0)))/100)/2</f>
        <v/>
      </c>
      <c r="M1720">
        <f>L1720*(1+(Inputs!$B$10+0+B1740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0">
        <f>L1720*(1-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1720*(MIN((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0">
        <f>(1-Summary!$B$11)*T1720+Summary!$B$11*V1720</f>
        <v/>
      </c>
      <c r="P1720">
        <f>IF(B1745=0,0,O1720/B1745)</f>
        <v/>
      </c>
      <c r="Q1720">
        <f>IFERROR(1/(IF(Inputs!$B$38="pvp",15,MAX(0.1,Skills!D11-IF(Skills!E11=TRUE,Inputs!$B$32,0)))*(1-IF(AND(ArtifactsInput!$M$27,Inputs!$B$4="Chapter Hunt"),CHOOSE(ArtifactsInput!$N$27+1,20,24,28,32,36,40),0)/100)),0)</f>
        <v/>
      </c>
      <c r="R1720">
        <f>IF(AND(Inputs!$B$38&lt;&gt;"pvp",Inputs!$B$43&gt;0),IF(MAX(0,Inputs!$B$43-B1742)&lt;=0,0,(INT(MAX(0,Inputs!$B$43-B1742)/(IF(Inputs!$B$38="pvp",15,MAX(0.1,Skills!D11-IF(Skills!E11=TRUE,Inputs!$B$32,0)))*(1-IF(AND(ArtifactsInput!$M$27,Inputs!$B$4="Chapter Hunt"),CHOOSE(ArtifactsInput!$N$27+1,20,24,28,32,36,40),0)/100)))+1)),0)</f>
        <v/>
      </c>
      <c r="S1720">
        <f>IFERROR(O1720/N1720,0)</f>
        <v/>
      </c>
      <c r="T1720">
        <f>IF(C1720,(H1720*N1720*IF(AND(Inputs!$B$38&lt;&gt;"pvp",Inputs!$B$43&gt;0),((Skills!G11*((R1720-1)*IF(Skills!H11&gt;0,Skills!I11/Skills!H11,1)+IF(Skills!H11&gt;0,MIN(Skills!I11,MAX(0,MAX(0,Inputs!$B$43-B1742)-((R1720-1)*(IF(Inputs!$B$38="pvp",15,MAX(0.1,Skills!D11-IF(Skills!E11=TRUE,Inputs!$B$32,0)))*(1-IF(AND(ArtifactsInput!$M$27,Inputs!$B$4="Chapter Hunt"),CHOOSE(ArtifactsInput!$N$27+1,20,24,28,32,36,40),0)/100)))))/Skills!H11,1)))/Inputs!$B$43),G1720*Q1720)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1720*(1-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1720*(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1720*(1-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1720*(MIN(100,(Inputs!$B$9+((C1725=TRUE)*(F1725-Calc!F16))+B1735+(ArtifactsInput!$M$24-ArtifactsInput!$M$24)*CHOOSE(ArtifactsInput!$N$24+1,10,12,14,16,18,20)+(IF(AND(ArtifactsInput!$M$42,((Inputs!$B$9+((C1725=TRUE)*(F1725-Calc!F16))+B1735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0">
        <f>IF(C1720,(H1720*N1720*IF(AND(Inputs!$B$38&lt;&gt;"pvp",Inputs!$B$43&gt;0),((Skills!G11*((R1720-1)*IF(Skills!H11&gt;0,Skills!I11/Skills!H11,1)+IF(Skills!H11&gt;0,MIN(Skills!I11,MAX(0,MAX(0,Inputs!$B$43-B1742)-((R1720-1)*(IF(Inputs!$B$38="pvp",15,MAX(0.1,Skills!D11-IF(Skills!E11=TRUE,Inputs!$B$32,0)))*(1-IF(AND(ArtifactsInput!$M$27,Inputs!$B$4="Chapter Hunt"),CHOOSE(ArtifactsInput!$N$27+1,20,24,28,32,36,40),0)/100)))))/Skills!H11,1)))/Inputs!$B$43),G1720*Q1720))*IF(Inputs!$B$38="pvp",1,(1+(Inputs!$B$21+Skills!Q11+(IF(ArtifactsInput!$M$33,CHOOSE(ArtifactsInput!$N$33+1,30,36,42,48,54,60),0))+(IF(AND(ArtifactsInput!$M$35,Inputs!$B$4&lt;&gt;"Chapter Hunt"),CHOOSE(ArtifactsInput!$N$35+1,15,18,21,24,27,30)*(1-EXP(-(0.2*B1737)*5)),0)+IF(AND(ArtifactsInput!$M$22,Inputs!$B$4&lt;&gt;"Chapter Hunt"),CHOOSE(ArtifactsInput!$N$22+1,10,12,14,16,18,20)*((0*(((0.15*B1737*5))^0/1)+1*(((0.15*B1737*5))^1/1)+2*(((0.15*B1737*5))^2/2)+3*(((0.15*B1737*5))^3/6)+4*(((0.15*B1737*5))^4/24)+5*(((0.15*B1737*5))^5/120))/((((0.15*B1737*5))^0/1)+(((0.15*B1737*5))^1/1)+(((0.15*B1737*5))^2/2)+(((0.15*B1737*5))^3/6)+(((0.15*B1737*5))^4/24)+(((0.15*B1737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1">
      <c r="A1721">
        <f>Skills!A12</f>
        <v/>
      </c>
      <c r="B1721">
        <f>Skills!B12</f>
        <v/>
      </c>
      <c r="C1721">
        <f>Inputs!$B$3&gt;=100</f>
        <v/>
      </c>
      <c r="D1721">
        <f>IF(Skills!C12=1,60+Inputs!$B$25+Inputs!$B$29,IF(Skills!C12=2,90+Inputs!$B$26+Inputs!$B$29,IF(Skills!C12=3,120+Inputs!$B$27+Inputs!$B$29,MAX(0,(Inputs!$B$3-100)*3)+Inputs!$B$28+Inputs!$B$29)))</f>
        <v/>
      </c>
      <c r="E1721">
        <f>INDEX(FactorTable!$B$2:$Y$301, MATCH(ROUND(MIN(300,MAX(1,D1721)),0), FactorTable!$A$2:$A$301,0), Skills!M12+1)</f>
        <v/>
      </c>
      <c r="F1721">
        <f>IF(Skills!N12=TRUE,(Skills!L12/10)*(E1721/1000),Skills!L12/10)+Skills!O12</f>
        <v/>
      </c>
      <c r="G1721" t="inlineStr"/>
      <c r="H1721" t="inlineStr"/>
      <c r="I1721" t="inlineStr">
        <is>
          <t>1</t>
        </is>
      </c>
      <c r="J1721" t="inlineStr"/>
      <c r="K1721" t="inlineStr"/>
      <c r="L1721" t="inlineStr"/>
      <c r="M1721" t="inlineStr"/>
      <c r="N1721" t="inlineStr"/>
      <c r="O1721" t="inlineStr"/>
      <c r="P1721" t="inlineStr"/>
      <c r="Q1721" t="inlineStr"/>
      <c r="R1721" t="inlineStr"/>
      <c r="S1721" t="inlineStr"/>
      <c r="T1721" t="inlineStr"/>
      <c r="V1721" t="inlineStr"/>
    </row>
    <row r="1722">
      <c r="A1722">
        <f>Skills!A13</f>
        <v/>
      </c>
      <c r="B1722">
        <f>Skills!B13</f>
        <v/>
      </c>
      <c r="C1722">
        <f>Inputs!$B$3&gt;=66</f>
        <v/>
      </c>
      <c r="D1722">
        <f>IF(Skills!C13=1,60+Inputs!$B$25+Inputs!$B$29,IF(Skills!C13=2,90+Inputs!$B$26+Inputs!$B$29,IF(Skills!C13=3,120+Inputs!$B$27+Inputs!$B$29,MAX(0,(Inputs!$B$3-100)*3)+Inputs!$B$28+Inputs!$B$29)))</f>
        <v/>
      </c>
      <c r="E1722">
        <f>INDEX(FactorTable!$B$2:$Y$301, MATCH(ROUND(MIN(300,MAX(1,D1722)),0), FactorTable!$A$2:$A$301,0), Skills!M13+1)</f>
        <v/>
      </c>
      <c r="F1722">
        <f>IF(Skills!N13=TRUE,(Skills!L13/10)*(E1722/1000),Skills!L13/10)+Skills!O13</f>
        <v/>
      </c>
      <c r="G1722">
        <f>Skills!G13*IF(Skills!H13&gt;0,Skills!I13/Skills!H13,1)</f>
        <v/>
      </c>
      <c r="H1722">
        <f>1-(1-Skills!J13/100)^Skills!K13</f>
        <v/>
      </c>
      <c r="I1722" t="inlineStr">
        <is>
          <t>1</t>
        </is>
      </c>
      <c r="J1722" t="inlineStr"/>
      <c r="K1722" t="inlineStr"/>
      <c r="L1722" t="inlineStr"/>
      <c r="M1722" t="inlineStr"/>
      <c r="N1722" t="inlineStr"/>
      <c r="O1722">
        <f>(1-Summary!$B$11)*T1722+Summary!$B$11*V1722</f>
        <v/>
      </c>
      <c r="P1722">
        <f>IF(B1745=0,0,O1722/B1745)</f>
        <v/>
      </c>
      <c r="Q1722" t="n">
        <v>0</v>
      </c>
      <c r="R1722" t="n">
        <v>0</v>
      </c>
      <c r="S1722">
        <f>IFERROR(O1722/N1722,0)</f>
        <v/>
      </c>
      <c r="T1722" t="n">
        <v>0</v>
      </c>
      <c r="V1722" t="n">
        <v>0</v>
      </c>
    </row>
    <row r="1723">
      <c r="A1723">
        <f>Skills!A14</f>
        <v/>
      </c>
      <c r="B1723">
        <f>Skills!B14</f>
        <v/>
      </c>
      <c r="C1723">
        <f>Inputs!$B$3&gt;=107</f>
        <v/>
      </c>
      <c r="D1723">
        <f>IF(Skills!C14=1,60+Inputs!$B$25+Inputs!$B$29,IF(Skills!C14=2,90+Inputs!$B$26+Inputs!$B$29,IF(Skills!C14=3,120+Inputs!$B$27+Inputs!$B$29,MAX(0,(Inputs!$B$3-100)*3)+Inputs!$B$28+Inputs!$B$29)))</f>
        <v/>
      </c>
      <c r="E1723">
        <f>INDEX(FactorTable!$B$2:$Y$301, MATCH(ROUND(MIN(300,MAX(1,D1723)),0), FactorTable!$A$2:$A$301,0), Skills!M14+1)</f>
        <v/>
      </c>
      <c r="F1723">
        <f>IF(Skills!N14=TRUE,(Skills!L14/10)*(E1723/1000),Skills!L14/10)+Skills!O14</f>
        <v/>
      </c>
      <c r="G1723">
        <f>Skills!G14*IF(Skills!H14&gt;0,Skills!I14/Skills!H14,1)</f>
        <v/>
      </c>
      <c r="H1723">
        <f>1-(1-Skills!J14/100)^Skills!K14</f>
        <v/>
      </c>
      <c r="I1723" t="inlineStr">
        <is>
          <t>1</t>
        </is>
      </c>
      <c r="J1723" t="inlineStr"/>
      <c r="K1723" t="inlineStr"/>
      <c r="L1723" t="inlineStr"/>
      <c r="M1723" t="inlineStr"/>
      <c r="N1723" t="inlineStr"/>
      <c r="O1723">
        <f>(1-Summary!$B$11)*T1723+Summary!$B$11*V1723</f>
        <v/>
      </c>
      <c r="P1723">
        <f>IF(B1745=0,0,O1723/B1745)</f>
        <v/>
      </c>
      <c r="Q1723">
        <f>IFERROR(1/(IF(Inputs!$B$38="pvp",15,MAX(0.1,Skills!D14-IF(Skills!E14=TRUE,Inputs!$B$32,0)))*(1-IF(AND(ArtifactsInput!$M$27,Inputs!$B$4="Chapter Hunt"),CHOOSE(ArtifactsInput!$N$27+1,20,24,28,32,36,40),0)/100)),0)</f>
        <v/>
      </c>
      <c r="R1723">
        <f>IF(AND(Inputs!$B$38&lt;&gt;"pvp",Inputs!$B$43&gt;0),IF(Inputs!$B$43&lt;=0,0,(INT(Inputs!$B$43/(IF(Inputs!$B$38="pvp",15,MAX(0.1,Skills!D14-IF(Skills!E14=TRUE,Inputs!$B$32,0)))*(1-IF(AND(ArtifactsInput!$M$27,Inputs!$B$4="Chapter Hunt"),CHOOSE(ArtifactsInput!$N$27+1,20,24,28,32,36,40),0)/100)))+1)),0)</f>
        <v/>
      </c>
      <c r="S1723">
        <f>IFERROR(O1723/N1723,0)</f>
        <v/>
      </c>
      <c r="T1723" t="n">
        <v>0</v>
      </c>
      <c r="V1723" t="n">
        <v>0</v>
      </c>
    </row>
    <row r="1724">
      <c r="A1724">
        <f>Skills!A15</f>
        <v/>
      </c>
      <c r="B1724">
        <f>Skills!B15</f>
        <v/>
      </c>
      <c r="C1724">
        <f>Inputs!$B$3&gt;=115</f>
        <v/>
      </c>
      <c r="D1724">
        <f>IF(Skills!C15=1,60+Inputs!$B$25+Inputs!$B$29,IF(Skills!C15=2,90+Inputs!$B$26+Inputs!$B$29,IF(Skills!C15=3,120+Inputs!$B$27+Inputs!$B$29,MAX(0,(Inputs!$B$3-100)*3)+Inputs!$B$28+Inputs!$B$29)))</f>
        <v/>
      </c>
      <c r="E1724">
        <f>INDEX(FactorTable!$B$2:$Y$301, MATCH(ROUND(MIN(300,MAX(1,D1724)),0), FactorTable!$A$2:$A$301,0), Skills!M15+1)</f>
        <v/>
      </c>
      <c r="F1724">
        <f>IF(Skills!N15=TRUE,(Skills!L15/10)*(E1724/1000),Skills!L15/10)+Skills!O15</f>
        <v/>
      </c>
      <c r="G1724">
        <f>Skills!G15*IF(Skills!H15&gt;0,Skills!I15/Skills!H15,1)</f>
        <v/>
      </c>
      <c r="H1724">
        <f>1-(1-Skills!J15/100)^Skills!K15</f>
        <v/>
      </c>
      <c r="I1724" t="inlineStr">
        <is>
          <t>1</t>
        </is>
      </c>
      <c r="J1724" t="inlineStr"/>
      <c r="K1724" t="inlineStr"/>
      <c r="L1724" t="inlineStr"/>
      <c r="M1724" t="inlineStr"/>
      <c r="N1724" t="inlineStr"/>
      <c r="O1724">
        <f>(1-Summary!$B$11)*T1724+Summary!$B$11*V1724</f>
        <v/>
      </c>
      <c r="P1724">
        <f>IF(B1745=0,0,O1724/B1745)</f>
        <v/>
      </c>
      <c r="Q1724">
        <f>IFERROR(1/(IF(Inputs!$B$38="pvp",15,MAX(0.1,Skills!D15-IF(Skills!E15=TRUE,Inputs!$B$32,0)))*(1-IF(AND(ArtifactsInput!$M$27,Inputs!$B$4="Chapter Hunt"),CHOOSE(ArtifactsInput!$N$27+1,20,24,28,32,36,40),0)/100)),0)</f>
        <v/>
      </c>
      <c r="R1724">
        <f>IF(AND(Inputs!$B$38&lt;&gt;"pvp",Inputs!$B$43&gt;0),IF(Inputs!$B$43&lt;=0,0,(INT(Inputs!$B$43/(IF(Inputs!$B$38="pvp",15,MAX(0.1,Skills!D15-IF(Skills!E15=TRUE,Inputs!$B$32,0)))*(1-IF(AND(ArtifactsInput!$M$27,Inputs!$B$4="Chapter Hunt"),CHOOSE(ArtifactsInput!$N$27+1,20,24,28,32,36,40),0)/100)))+1)),0)</f>
        <v/>
      </c>
      <c r="S1724">
        <f>IFERROR(O1724/N1724,0)</f>
        <v/>
      </c>
      <c r="T1724" t="n">
        <v>0</v>
      </c>
      <c r="V1724" t="n">
        <v>0</v>
      </c>
    </row>
    <row r="1725">
      <c r="A1725">
        <f>Skills!A16</f>
        <v/>
      </c>
      <c r="B1725">
        <f>Skills!B16</f>
        <v/>
      </c>
      <c r="C1725">
        <f>Inputs!$B$3&gt;=15</f>
        <v/>
      </c>
      <c r="D1725">
        <f>IF(Skills!C16=1,60+Inputs!$B$25+Inputs!$B$29,IF(Skills!C16=2,90+Inputs!$B$26+Inputs!$B$29,IF(Skills!C16=3,120+Inputs!$B$27+Inputs!$B$29,MAX(0,(Inputs!$B$3-100)*3)+Inputs!$B$28+Inputs!$B$29)))</f>
        <v/>
      </c>
      <c r="E1725">
        <f>INDEX(FactorTable!$B$2:$Y$301, MATCH(ROUND(MIN(300,MAX(1,D1725)),0), FactorTable!$A$2:$A$301,0), Skills!M16+1)</f>
        <v/>
      </c>
      <c r="F1725">
        <f>IF(Skills!N16=TRUE,(Skills!L16/10)*(E1725/1000),Skills!L16/10)+Skills!O16</f>
        <v/>
      </c>
      <c r="G1725">
        <f>Skills!G16*IF(Skills!H16&gt;0,Skills!I16/Skills!H16,1)</f>
        <v/>
      </c>
      <c r="H1725">
        <f>1-(1-Skills!J16/100)^Skills!K16</f>
        <v/>
      </c>
      <c r="I1725" t="inlineStr">
        <is>
          <t>1</t>
        </is>
      </c>
      <c r="J1725" t="inlineStr"/>
      <c r="K1725" t="inlineStr"/>
      <c r="L1725" t="inlineStr"/>
      <c r="M1725" t="inlineStr"/>
      <c r="N1725" t="inlineStr"/>
      <c r="O1725">
        <f>(1-Summary!$B$11)*T1725+Summary!$B$11*V1725</f>
        <v/>
      </c>
      <c r="P1725">
        <f>IF(B1745=0,0,O1725/B1745)</f>
        <v/>
      </c>
      <c r="Q1725" t="n">
        <v>0</v>
      </c>
      <c r="R1725" t="n">
        <v>0</v>
      </c>
      <c r="S1725">
        <f>IFERROR(O1725/N1725,0)</f>
        <v/>
      </c>
      <c r="T1725" t="n">
        <v>0</v>
      </c>
      <c r="V1725" t="n">
        <v>0</v>
      </c>
    </row>
    <row r="1726">
      <c r="A1726">
        <f>Skills!A17</f>
        <v/>
      </c>
      <c r="B1726">
        <f>Skills!B17</f>
        <v/>
      </c>
      <c r="C1726">
        <f>Inputs!$B$3&gt;=10</f>
        <v/>
      </c>
      <c r="D1726">
        <f>IF(Skills!C17=1,60+Inputs!$B$25+Inputs!$B$29,IF(Skills!C17=2,90+Inputs!$B$26+Inputs!$B$29,IF(Skills!C17=3,120+Inputs!$B$27+Inputs!$B$29,MAX(0,(Inputs!$B$3-100)*3)+Inputs!$B$28+Inputs!$B$29)))</f>
        <v/>
      </c>
      <c r="E1726">
        <f>INDEX(FactorTable!$B$2:$Y$301, MATCH(ROUND(MIN(300,MAX(1,D1726)),0), FactorTable!$A$2:$A$301,0), Skills!M17+1)</f>
        <v/>
      </c>
      <c r="F1726">
        <f>IF(Skills!N17=TRUE,(Skills!L17/10)*(E1726/1000),Skills!L17/10)+Skills!O17</f>
        <v/>
      </c>
      <c r="G1726">
        <f>Skills!G17*IF(Skills!H17&gt;0,Skills!I17/Skills!H17,1)</f>
        <v/>
      </c>
      <c r="H1726">
        <f>1-(1-Skills!J17/100)^Skills!K17</f>
        <v/>
      </c>
      <c r="I1726" t="inlineStr">
        <is>
          <t>1</t>
        </is>
      </c>
      <c r="J1726" t="inlineStr"/>
      <c r="K1726" t="inlineStr"/>
      <c r="L1726" t="inlineStr"/>
      <c r="M1726" t="inlineStr"/>
      <c r="N1726" t="inlineStr"/>
      <c r="O1726">
        <f>(1-Summary!$B$11)*T1726+Summary!$B$11*V1726</f>
        <v/>
      </c>
      <c r="P1726">
        <f>IF(B1745=0,0,O1726/B1745)</f>
        <v/>
      </c>
      <c r="Q1726" t="n">
        <v>0</v>
      </c>
      <c r="R1726" t="n">
        <v>0</v>
      </c>
      <c r="S1726">
        <f>IFERROR(O1726/N1726,0)</f>
        <v/>
      </c>
      <c r="T1726" t="n">
        <v>0</v>
      </c>
      <c r="V1726" t="n">
        <v>0</v>
      </c>
    </row>
    <row r="1727">
      <c r="A1727">
        <f>Skills!A18</f>
        <v/>
      </c>
      <c r="B1727">
        <f>Skills!B18</f>
        <v/>
      </c>
      <c r="C1727">
        <f>Inputs!$B$3&gt;=33</f>
        <v/>
      </c>
      <c r="D1727">
        <f>IF(Skills!C18=1,60+Inputs!$B$25+Inputs!$B$29,IF(Skills!C18=2,90+Inputs!$B$26+Inputs!$B$29,IF(Skills!C18=3,120+Inputs!$B$27+Inputs!$B$29,MAX(0,(Inputs!$B$3-100)*3)+Inputs!$B$28+Inputs!$B$29)))</f>
        <v/>
      </c>
      <c r="E1727">
        <f>INDEX(FactorTable!$B$2:$Y$301, MATCH(ROUND(MIN(300,MAX(1,D1727)),0), FactorTable!$A$2:$A$301,0), Skills!M18+1)</f>
        <v/>
      </c>
      <c r="F1727">
        <f>IF(Skills!N18=TRUE,(Skills!L18/10)*(E1727/1000),Skills!L18/10)+Skills!O18</f>
        <v/>
      </c>
      <c r="G1727">
        <f>Skills!G18*IF(Skills!H18&gt;0,Skills!I18/Skills!H18,1)</f>
        <v/>
      </c>
      <c r="H1727">
        <f>1-(1-Skills!J18/100)^Skills!K18</f>
        <v/>
      </c>
      <c r="I1727" t="inlineStr">
        <is>
          <t>1</t>
        </is>
      </c>
      <c r="J1727" t="inlineStr"/>
      <c r="K1727" t="inlineStr"/>
      <c r="L1727" t="inlineStr"/>
      <c r="M1727" t="inlineStr"/>
      <c r="N1727" t="inlineStr"/>
      <c r="O1727">
        <f>(1-Summary!$B$11)*T1727+Summary!$B$11*V1727</f>
        <v/>
      </c>
      <c r="P1727">
        <f>IF(B1745=0,0,O1727/B1745)</f>
        <v/>
      </c>
      <c r="Q1727" t="n">
        <v>0</v>
      </c>
      <c r="R1727" t="n">
        <v>0</v>
      </c>
      <c r="S1727">
        <f>IFERROR(O1727/N1727,0)</f>
        <v/>
      </c>
      <c r="T1727" t="n">
        <v>0</v>
      </c>
      <c r="V1727" t="n">
        <v>0</v>
      </c>
    </row>
    <row r="1728">
      <c r="A1728">
        <f>Skills!A19</f>
        <v/>
      </c>
      <c r="B1728">
        <f>Skills!B19</f>
        <v/>
      </c>
      <c r="C1728">
        <f>Inputs!$B$3&gt;=40</f>
        <v/>
      </c>
      <c r="D1728">
        <f>IF(Skills!C19=1,60+Inputs!$B$25+Inputs!$B$29,IF(Skills!C19=2,90+Inputs!$B$26+Inputs!$B$29,IF(Skills!C19=3,120+Inputs!$B$27+Inputs!$B$29,MAX(0,(Inputs!$B$3-100)*3)+Inputs!$B$28+Inputs!$B$29)))</f>
        <v/>
      </c>
      <c r="E1728">
        <f>INDEX(FactorTable!$B$2:$Y$301, MATCH(ROUND(MIN(300,MAX(1,D1728)),0), FactorTable!$A$2:$A$301,0), Skills!M19+1)</f>
        <v/>
      </c>
      <c r="F1728">
        <f>IF(Skills!N19=TRUE,(Skills!L19/10)*(E1728/1000),Skills!L19/10)+Skills!O19</f>
        <v/>
      </c>
      <c r="G1728">
        <f>Skills!G19*IF(Skills!H19&gt;0,Skills!I19/Skills!H19,1)</f>
        <v/>
      </c>
      <c r="H1728">
        <f>1-(1-Skills!J19/100)^Skills!K19</f>
        <v/>
      </c>
      <c r="I1728" t="inlineStr">
        <is>
          <t>1</t>
        </is>
      </c>
      <c r="J1728" t="inlineStr"/>
      <c r="K1728" t="inlineStr"/>
      <c r="L1728" t="inlineStr"/>
      <c r="M1728" t="inlineStr"/>
      <c r="N1728" t="inlineStr"/>
      <c r="O1728">
        <f>(1-Summary!$B$11)*T1728+Summary!$B$11*V1728</f>
        <v/>
      </c>
      <c r="P1728">
        <f>IF(B1745=0,0,O1728/B1745)</f>
        <v/>
      </c>
      <c r="Q1728" t="n">
        <v>0</v>
      </c>
      <c r="R1728" t="n">
        <v>0</v>
      </c>
      <c r="S1728">
        <f>IFERROR(O1728/N1728,0)</f>
        <v/>
      </c>
      <c r="T1728" t="n">
        <v>0</v>
      </c>
      <c r="V1728" t="n">
        <v>0</v>
      </c>
    </row>
    <row r="1729">
      <c r="A1729">
        <f>Skills!A20</f>
        <v/>
      </c>
      <c r="B1729">
        <f>Skills!B20</f>
        <v/>
      </c>
      <c r="C1729">
        <f>Inputs!$B$3&gt;=43</f>
        <v/>
      </c>
      <c r="D1729">
        <f>IF(Skills!C20=1,60+Inputs!$B$25+Inputs!$B$29,IF(Skills!C20=2,90+Inputs!$B$26+Inputs!$B$29,IF(Skills!C20=3,120+Inputs!$B$27+Inputs!$B$29,MAX(0,(Inputs!$B$3-100)*3)+Inputs!$B$28+Inputs!$B$29)))</f>
        <v/>
      </c>
      <c r="E1729">
        <f>INDEX(FactorTable!$B$2:$Y$301, MATCH(ROUND(MIN(300,MAX(1,D1729)),0), FactorTable!$A$2:$A$301,0), Skills!M20+1)</f>
        <v/>
      </c>
      <c r="F1729">
        <f>IF(Skills!N20=TRUE,(Skills!L20/10)*(E1729/1000),Skills!L20/10)+Skills!O20</f>
        <v/>
      </c>
      <c r="G1729">
        <f>Skills!G20*IF(Skills!H20&gt;0,Skills!I20/Skills!H20,1)</f>
        <v/>
      </c>
      <c r="H1729">
        <f>1-(1-Skills!J20/100)^Skills!K20</f>
        <v/>
      </c>
      <c r="I1729" t="inlineStr">
        <is>
          <t>1</t>
        </is>
      </c>
      <c r="J1729" t="inlineStr"/>
      <c r="K1729" t="inlineStr"/>
      <c r="L1729" t="inlineStr"/>
      <c r="M1729" t="inlineStr"/>
      <c r="N1729" t="inlineStr"/>
      <c r="O1729">
        <f>(1-Summary!$B$11)*T1729+Summary!$B$11*V1729</f>
        <v/>
      </c>
      <c r="P1729">
        <f>IF(B1745=0,0,O1729/B1745)</f>
        <v/>
      </c>
      <c r="Q1729" t="n">
        <v>0</v>
      </c>
      <c r="R1729" t="n">
        <v>0</v>
      </c>
      <c r="S1729">
        <f>IFERROR(O1729/N1729,0)</f>
        <v/>
      </c>
      <c r="T1729" t="n">
        <v>0</v>
      </c>
      <c r="V1729" t="n">
        <v>0</v>
      </c>
    </row>
    <row r="1730">
      <c r="A1730">
        <f>Skills!A21</f>
        <v/>
      </c>
      <c r="B1730">
        <f>Skills!B21</f>
        <v/>
      </c>
      <c r="C1730">
        <f>Inputs!$B$3&gt;=38</f>
        <v/>
      </c>
      <c r="D1730">
        <f>IF(Skills!C21=1,60+Inputs!$B$25+Inputs!$B$29,IF(Skills!C21=2,90+Inputs!$B$26+Inputs!$B$29,IF(Skills!C21=3,120+Inputs!$B$27+Inputs!$B$29,MAX(0,(Inputs!$B$3-100)*3)+Inputs!$B$28+Inputs!$B$29)))</f>
        <v/>
      </c>
      <c r="E1730">
        <f>INDEX(FactorTable!$B$2:$Y$301, MATCH(ROUND(MIN(300,MAX(1,D1730)),0), FactorTable!$A$2:$A$301,0), Skills!M21+1)</f>
        <v/>
      </c>
      <c r="F1730">
        <f>IF(Skills!N21=TRUE,(Skills!L21/10)*(E1730/1000),Skills!L21/10)+Skills!O21</f>
        <v/>
      </c>
      <c r="G1730">
        <f>Skills!G21*IF(Skills!H21&gt;0,Skills!I21/Skills!H21,1)</f>
        <v/>
      </c>
      <c r="H1730">
        <f>1-(1-Skills!J21/100)^Skills!K21</f>
        <v/>
      </c>
      <c r="I1730" t="inlineStr">
        <is>
          <t>1</t>
        </is>
      </c>
      <c r="J1730" t="inlineStr"/>
      <c r="K1730" t="inlineStr"/>
      <c r="L1730" t="inlineStr"/>
      <c r="M1730" t="inlineStr"/>
      <c r="N1730" t="inlineStr"/>
      <c r="O1730">
        <f>(1-Summary!$B$11)*T1730+Summary!$B$11*V1730</f>
        <v/>
      </c>
      <c r="P1730">
        <f>IF(B1745=0,0,O1730/B1745)</f>
        <v/>
      </c>
      <c r="Q1730" t="n">
        <v>0</v>
      </c>
      <c r="R1730" t="n">
        <v>0</v>
      </c>
      <c r="S1730">
        <f>IFERROR(O1730/N1730,0)</f>
        <v/>
      </c>
      <c r="T1730" t="n">
        <v>0</v>
      </c>
      <c r="V1730" t="n">
        <v>0</v>
      </c>
    </row>
    <row r="1731">
      <c r="A1731">
        <f>Skills!A22</f>
        <v/>
      </c>
      <c r="B1731">
        <f>Skills!B22</f>
        <v/>
      </c>
      <c r="C1731">
        <f>Inputs!$B$3&gt;=75</f>
        <v/>
      </c>
      <c r="D1731">
        <f>IF(Skills!C22=1,60+Inputs!$B$25+Inputs!$B$29,IF(Skills!C22=2,90+Inputs!$B$26+Inputs!$B$29,IF(Skills!C22=3,120+Inputs!$B$27+Inputs!$B$29,MAX(0,(Inputs!$B$3-100)*3)+Inputs!$B$28+Inputs!$B$29)))</f>
        <v/>
      </c>
      <c r="E1731">
        <f>INDEX(FactorTable!$B$2:$Y$301, MATCH(ROUND(MIN(300,MAX(1,D1731)),0), FactorTable!$A$2:$A$301,0), Skills!M22+1)</f>
        <v/>
      </c>
      <c r="F1731">
        <f>IF(Skills!N22=TRUE,(Skills!L22/10)*(E1731/1000),Skills!L22/10)+Skills!O22</f>
        <v/>
      </c>
      <c r="G1731">
        <f>Skills!G22*IF(Skills!H22&gt;0,Skills!I22/Skills!H22,1)</f>
        <v/>
      </c>
      <c r="H1731">
        <f>1-(1-Skills!J22/100)^Skills!K22</f>
        <v/>
      </c>
      <c r="I1731" t="inlineStr">
        <is>
          <t>1</t>
        </is>
      </c>
      <c r="J1731" t="inlineStr"/>
      <c r="K1731" t="inlineStr"/>
      <c r="L1731" t="inlineStr"/>
      <c r="M1731" t="inlineStr"/>
      <c r="N1731" t="inlineStr"/>
      <c r="O1731">
        <f>(1-Summary!$B$11)*T1731+Summary!$B$11*V1731</f>
        <v/>
      </c>
      <c r="P1731">
        <f>IF(B1745=0,0,O1731/B1745)</f>
        <v/>
      </c>
      <c r="Q1731" t="n">
        <v>0</v>
      </c>
      <c r="R1731" t="n">
        <v>0</v>
      </c>
      <c r="S1731">
        <f>IFERROR(O1731/N1731,0)</f>
        <v/>
      </c>
      <c r="T1731" t="n">
        <v>0</v>
      </c>
      <c r="V1731" t="n">
        <v>0</v>
      </c>
    </row>
    <row r="1732">
      <c r="A1732">
        <f>Skills!A23</f>
        <v/>
      </c>
      <c r="B1732">
        <f>Skills!B23</f>
        <v/>
      </c>
      <c r="C1732">
        <f>TRUE</f>
        <v/>
      </c>
      <c r="D1732">
        <f>IF(Skills!C23=1,60+Inputs!$B$25+Inputs!$B$29,IF(Skills!C23=2,90+Inputs!$B$26+Inputs!$B$29,IF(Skills!C23=3,120+Inputs!$B$27+Inputs!$B$29,MAX(0,(Inputs!$B$3-100)*3)+Inputs!$B$28+Inputs!$B$29)))</f>
        <v/>
      </c>
      <c r="E1732">
        <f>INDEX(FactorTable!$B$2:$Y$301, MATCH(ROUND(MIN(300,MAX(1,D1732)),0), FactorTable!$A$2:$A$301,0), Skills!M23+1)</f>
        <v/>
      </c>
      <c r="F1732">
        <f>IF(Skills!N23=TRUE,(Skills!L23/10)*(E1732/1000),Skills!L23/10)+Skills!O23</f>
        <v/>
      </c>
      <c r="G1732">
        <f>Skills!G23*IF(Skills!H23&gt;0,Skills!I23/Skills!H23,1)</f>
        <v/>
      </c>
      <c r="H1732">
        <f>1-(1-Skills!J23/100)^Skills!K23</f>
        <v/>
      </c>
      <c r="I1732" t="inlineStr">
        <is>
          <t>1</t>
        </is>
      </c>
      <c r="J1732" t="inlineStr"/>
      <c r="K1732" t="inlineStr"/>
      <c r="L1732" t="inlineStr"/>
      <c r="M1732" t="inlineStr"/>
      <c r="N1732" t="inlineStr"/>
      <c r="O1732">
        <f>(1-Summary!$B$11)*T1732+Summary!$B$11*V1732</f>
        <v/>
      </c>
      <c r="P1732">
        <f>IF(B1745=0,0,O1732/B1745)</f>
        <v/>
      </c>
      <c r="Q1732">
        <f>IFERROR(1/(IF(Inputs!$B$38="pvp",15,MAX(0.1,Skills!D23-IF(Skills!E23=TRUE,Inputs!$B$32,0)))*(1-IF(AND(ArtifactsInput!$M$27,Inputs!$B$4="Chapter Hunt"),CHOOSE(ArtifactsInput!$N$27+1,20,24,28,32,36,40),0)/100)),0)</f>
        <v/>
      </c>
      <c r="R1732">
        <f>IF(AND(Inputs!$B$38&lt;&gt;"pvp",Inputs!$B$43&gt;0),IF(Inputs!$B$43&lt;=0,0,(INT(Inputs!$B$43/(IF(Inputs!$B$38="pvp",15,MAX(0.1,Skills!D23-IF(Skills!E23=TRUE,Inputs!$B$32,0)))*(1-IF(AND(ArtifactsInput!$M$27,Inputs!$B$4="Chapter Hunt"),CHOOSE(ArtifactsInput!$N$27+1,20,24,28,32,36,40),0)/100)))+1)),0)</f>
        <v/>
      </c>
      <c r="S1732">
        <f>IFERROR(O1732/N1732,0)</f>
        <v/>
      </c>
      <c r="T1732" t="n">
        <v>0</v>
      </c>
      <c r="V1732" t="n">
        <v>0</v>
      </c>
    </row>
    <row r="1734">
      <c r="A1734" t="inlineStr">
        <is>
          <t>Attack% Bucket Multiplier</t>
        </is>
      </c>
      <c r="B1734">
        <f>(1+(((C1722=TRUE)*F1722*5/7)+((C1728=TRUE)*(F1728-Calc!F19))+(IF(ArtifactsInput!$M$21,CHOOSE(ArtifactsInput!$N$21+1,25,30,35,40,45,50)*(IF(OR(Inputs!$B$4="Chapter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35">
      <c r="A1735" t="inlineStr">
        <is>
          <t>Global Crit Rate Bonus %</t>
        </is>
      </c>
      <c r="B1735" t="n">
        <v>0</v>
      </c>
    </row>
    <row r="1736">
      <c r="A1736" t="inlineStr">
        <is>
          <t>Attack Speed Buff Bonus % (Nimble Feet, duty-cycle averaged)</t>
        </is>
      </c>
      <c r="B1736">
        <f>((C1732=TRUE)*F1732*IF(AND(Inputs!$B$38&lt;&gt;"pvp",Inputs!$B$43&gt;0),(((R1732-1)*(Skills!T23*(1+Inputs!$B$34/100))+MIN((Skills!T23*(1+Inputs!$B$34/100)),MAX(0,Inputs!$B$43-((R1732-1)*Skills!D23))))/Inputs!$B$43),IF(Inputs!$B$38="pvp",MIN((Skills!T23*(1+Inputs!$B$34/100)),15)/15,(Skills!T23*(1+Inputs!$B$34/100))/Skills!D23)))</f>
        <v/>
      </c>
    </row>
    <row r="1737">
      <c r="A1737" t="inlineStr">
        <is>
          <t>Actions Per Second</t>
        </is>
      </c>
      <c r="B1737">
        <f>1+MIN(150,150*(1-(1-(Inputs!$B$11+((C1726=TRUE)*(F1726-Calc!F17))+((C1727=TRUE)*(F1727-Calc!F18)))/150)*(1-B1736/150)))/100</f>
        <v/>
      </c>
    </row>
    <row r="1738">
      <c r="A1738" t="inlineStr">
        <is>
          <t>Skill + Buff Cast Rate</t>
        </is>
      </c>
      <c r="B1738">
        <f>IF(AND(Inputs!$B$38&lt;&gt;"pvp",Inputs!$B$43&gt;0),SUMPRODUCT((Skills!E2:E23=TRUE)*(C1711:C1732=TRUE)*R1711:R1732*Skills!F2:F23)/Inputs!$B$43,SUMPRODUCT((Skills!E2:E23=TRUE)*(C1711:C1732=TRUE)*Q1711:Q1732*Skills!F2:F23))</f>
        <v/>
      </c>
    </row>
    <row r="1739">
      <c r="A1739" t="inlineStr">
        <is>
          <t>Hook Bomber Casts Per Second</t>
        </is>
      </c>
      <c r="B1739">
        <f>MAX(0,B1737-B1738)</f>
        <v/>
      </c>
    </row>
    <row r="1740">
      <c r="A1740" t="inlineStr">
        <is>
          <t>Global Critical Damage Bonus % (unused)</t>
        </is>
      </c>
      <c r="B1740" t="n">
        <v>0</v>
      </c>
    </row>
    <row r="1741">
      <c r="A1741" t="inlineStr">
        <is>
          <t>Global Final Damage Bonus % (Serpent Scale + Crossbones + Time Leap + Speed Infusion)</t>
        </is>
      </c>
      <c r="B1741">
        <f>((C1714=TRUE)*F1714*((10+IF(Inputs!$B$3&gt;=94,5,0))/((10+IF(Inputs!$B$3&gt;=94,5,0))+5/(B1739*(1+IF(Inputs!$B$3&gt;=104,1,0))))))+((C1723=TRUE)*F1723*IF(AND(Inputs!$B$38&lt;&gt;"pvp",Inputs!$B$43&gt;0),(((R1723-1)*(Skills!T14*(1+Inputs!$B$34/100))+MIN((Skills!T14*(1+Inputs!$B$34/100)),MAX(0,Inputs!$B$43-((R1723-1)*Skills!D14))))/Inputs!$B$43),IF(Inputs!$B$38="pvp",MIN((Skills!T14*(1+Inputs!$B$34/100)),15)/15,(Skills!T14*(1+Inputs!$B$34/100))/Skills!D14)))+((C1724=TRUE)*F1724*IF(AND(Inputs!$B$38&lt;&gt;"pvp",Inputs!$B$43&gt;0),(((R1724-1)*(Skills!T15*(1+Inputs!$B$34/100))+MIN((Skills!T15*(1+Inputs!$B$34/100)),MAX(0,Inputs!$B$43-((R1724-1)*Skills!D15))))/Inputs!$B$43),IF(Inputs!$B$38="pvp",MIN((Skills!T15*(1+Inputs!$B$34/100)),15)/15,(Skills!T15*(1+Inputs!$B$34/100))/Skills!D15)))+((Inputs!$B$3&gt;=110)*20*(B1737-1)*IF(Inputs!$B$38="pvp",MIN((15*(1+Inputs!$B$34/100)),15)/15,(15*(1+Inputs!$B$34/100))/35))</f>
        <v/>
      </c>
    </row>
    <row r="1742">
      <c r="A1742" t="inlineStr">
        <is>
          <t>Buff-Casting Startup Delay (s, fixed-duration only)</t>
        </is>
      </c>
      <c r="B1742">
        <f>IF(AND(Inputs!$B$38&lt;&gt;"pvp",Inputs!$B$43&gt;0),SUMPRODUCT((Skills!T2:T23&gt;0)*(Skills!E2:E23=TRUE)*(C1711:C1732=TRUE))/B1737,0)</f>
        <v/>
      </c>
    </row>
    <row r="1743">
      <c r="A1743" t="inlineStr">
        <is>
          <t>Boss-Only Total DPS (this block's swept value)</t>
        </is>
      </c>
      <c r="B1743">
        <f>SUM(T1711:T1732)</f>
        <v/>
      </c>
    </row>
    <row r="1744">
      <c r="A1744" t="inlineStr">
        <is>
          <t>Normal-Only Total DPS (this block's swept value)</t>
        </is>
      </c>
      <c r="B1744">
        <f>SUM(V1711:V1732)</f>
        <v/>
      </c>
    </row>
    <row r="1745">
      <c r="A1745" s="6" t="inlineStr">
        <is>
          <t>TOTAL DPS</t>
        </is>
      </c>
      <c r="B1745" s="6">
        <f>SUM(O1711:O1732)</f>
        <v/>
      </c>
    </row>
    <row r="1748">
      <c r="A1748" s="6" t="inlineStr">
        <is>
          <t>Stat: Book of Ancient (Equip)</t>
        </is>
      </c>
    </row>
    <row r="1749">
      <c r="A1749" s="5" t="inlineStr">
        <is>
          <t>Key</t>
        </is>
      </c>
      <c r="B1749" s="5" t="inlineStr">
        <is>
          <t>Name</t>
        </is>
      </c>
      <c r="C1749" s="5" t="inlineStr">
        <is>
          <t>Unlocked</t>
        </is>
      </c>
      <c r="D1749" s="5" t="inlineStr">
        <is>
          <t>InputLevel</t>
        </is>
      </c>
      <c r="E1749" s="5" t="inlineStr">
        <is>
          <t>Factor</t>
        </is>
      </c>
      <c r="F1749" s="5" t="inlineStr">
        <is>
          <t>CoefficientPercent</t>
        </is>
      </c>
      <c r="G1749" s="5" t="inlineStr">
        <is>
          <t>EffectiveHits</t>
        </is>
      </c>
      <c r="H1749" s="5" t="inlineStr">
        <is>
          <t>ProcProbability</t>
        </is>
      </c>
      <c r="I1749" s="5" t="inlineStr">
        <is>
          <t>MapleHeroMultiplier</t>
        </is>
      </c>
      <c r="J1749" s="5" t="inlineStr">
        <is>
          <t>BaseDamage</t>
        </is>
      </c>
      <c r="K1749" s="5" t="inlineStr">
        <is>
          <t>BaseHitDamage</t>
        </is>
      </c>
      <c r="L1749" s="5" t="inlineStr">
        <is>
          <t>NonCritAvg</t>
        </is>
      </c>
      <c r="M1749" s="5" t="inlineStr">
        <is>
          <t>CritAvg</t>
        </is>
      </c>
      <c r="N1749" s="5" t="inlineStr">
        <is>
          <t>ExpectedDamage(perHit)</t>
        </is>
      </c>
      <c r="O1749" s="5" t="inlineStr">
        <is>
          <t>DPS</t>
        </is>
      </c>
      <c r="P1749" s="5" t="inlineStr">
        <is>
          <t>% of Total</t>
        </is>
      </c>
      <c r="Q1749" s="5" t="inlineStr">
        <is>
          <t>InvCooldown</t>
        </is>
      </c>
      <c r="R1749" s="5" t="inlineStr">
        <is>
          <t>CastsInFight</t>
        </is>
      </c>
      <c r="S1749" s="5" t="inlineStr">
        <is>
          <t>HitRate(perSec)</t>
        </is>
      </c>
      <c r="U1749" t="inlineStr">
        <is>
          <t>helpers</t>
        </is>
      </c>
    </row>
    <row r="1750">
      <c r="A1750">
        <f>Skills!A2</f>
        <v/>
      </c>
      <c r="B1750">
        <f>Skills!B2</f>
        <v/>
      </c>
      <c r="C1750">
        <f>Inputs!$B$3&gt;=100</f>
        <v/>
      </c>
      <c r="D1750" t="inlineStr"/>
      <c r="E1750" t="inlineStr"/>
      <c r="F1750">
        <f>U1752+Skills!O2</f>
        <v/>
      </c>
      <c r="G1750">
        <f>Skills!G2*IF(Skills!H2&gt;0,Skills!I2/Skills!H2,1)</f>
        <v/>
      </c>
      <c r="H1750">
        <f>1-(1-Skills!J2/100)^Skills!K2</f>
        <v/>
      </c>
      <c r="I1750" t="inlineStr">
        <is>
          <t>1</t>
        </is>
      </c>
      <c r="J1750">
        <f>((Inputs!$B$6*(1+Inputs!$B$7/100))+(((Inputs!$B$12*(1+Inputs!$B$13/100))-(Inputs!$B$12*(1+Inputs!$B$13/100)))+0.25*(Inputs!$B$14-Inputs!$B$14))*(1+Inputs!$B$7/100))*(F1750/100)</f>
        <v/>
      </c>
      <c r="K1750">
        <f>J1750*(1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1750)</f>
        <v/>
      </c>
      <c r="L1750">
        <f>K1750*(MIN(Inputs!$B$22+((C1768=TRUE)*(F1768-Calc!F20)),(Inputs!$B$23+0+(IF(ArtifactsInput!$M$15,CHOOSE(ArtifactsInput!$N$15+1,25,30,35,40,45,50)/100*(Inputs!$B$11-Inputs!$B$11),0))))/100+(Inputs!$B$23+0+(IF(ArtifactsInput!$M$15,CHOOSE(ArtifactsInput!$N$15+1,25,30,35,40,45,50)/100*(Inputs!$B$11-Inputs!$B$11),0)))/100)/2</f>
        <v/>
      </c>
      <c r="M1750">
        <f>L1750*(1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0">
        <f>L1750*(1-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1750*(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0">
        <f>(1-Summary!$B$11)*T1750+Summary!$B$11*V1750</f>
        <v/>
      </c>
      <c r="P1750">
        <f>IF(B1784=0,0,O1750/B1784)</f>
        <v/>
      </c>
      <c r="Q1750" t="n">
        <v>0</v>
      </c>
      <c r="R1750" t="n">
        <v>0</v>
      </c>
      <c r="S1750">
        <f>IFERROR(O1750/N1750,0)</f>
        <v/>
      </c>
      <c r="T1750">
        <f>IF(C1750,(Skills!G2*N1750*B1778)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1750*(1-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1750*(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1750*(1-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1750*(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0">
        <f>MAX(0,(Inputs!$B$3-100)*3)+Inputs!$B$28+Inputs!$B$29</f>
        <v/>
      </c>
      <c r="V1750">
        <f>IF(C1750,(Skills!G2*N1750*B1778)*IF(Inputs!$B$38="pvp",1,(1+(Inputs!$B$21+Skills!Q2+(IF(ArtifactsInput!$M$33,CHOOSE(ArtifactsInput!$N$33+1,30,36,42,48,54,60),0))+(IF(AND(ArtifactsInput!$M$35,Inputs!$B$4&lt;&gt;"Chapter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1">
      <c r="A1751">
        <f>Skills!A3</f>
        <v/>
      </c>
      <c r="B1751">
        <f>Skills!B3</f>
        <v/>
      </c>
      <c r="C1751">
        <f>Inputs!$B$3&gt;=35</f>
        <v/>
      </c>
      <c r="D1751">
        <f>IF(Skills!C3=1,60+Inputs!$B$25+Inputs!$B$29,IF(Skills!C3=2,90+Inputs!$B$26+Inputs!$B$29,IF(Skills!C3=3,120+Inputs!$B$27+Inputs!$B$29,MAX(0,(Inputs!$B$3-100)*3)+Inputs!$B$28+Inputs!$B$29)))</f>
        <v/>
      </c>
      <c r="E1751">
        <f>INDEX(FactorTable!$B$2:$Y$301, MATCH(ROUND(MIN(300,MAX(1,D1751)),0), FactorTable!$A$2:$A$301,0), Skills!M3+1)</f>
        <v/>
      </c>
      <c r="F1751">
        <f>IF(Skills!N3=TRUE,(Skills!L3/10)*(E1751/1000),Skills!L3/10)+Skills!O3</f>
        <v/>
      </c>
      <c r="G1751">
        <f>Skills!G3*IF(Skills!H3&gt;0,Skills!I3/Skills!H3,1)</f>
        <v/>
      </c>
      <c r="H1751">
        <f>1-(1-Skills!J3/100)^Skills!K3</f>
        <v/>
      </c>
      <c r="I1751" t="inlineStr">
        <is>
          <t>1</t>
        </is>
      </c>
      <c r="J1751">
        <f>((Inputs!$B$6*(1+Inputs!$B$7/100))+(((Inputs!$B$12*(1+Inputs!$B$13/100))-(Inputs!$B$12*(1+Inputs!$B$13/100)))+0.25*(Inputs!$B$14-Inputs!$B$14))*(1+Inputs!$B$7/100))*(F1751/100)</f>
        <v/>
      </c>
      <c r="K1751">
        <f>J1751*(1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1751)</f>
        <v/>
      </c>
      <c r="L1751">
        <f>K1751*(MIN(Inputs!$B$22+((C1768=TRUE)*(F1768-Calc!F20)),(Inputs!$B$23+0+(IF(ArtifactsInput!$M$15,CHOOSE(ArtifactsInput!$N$15+1,25,30,35,40,45,50)/100*(Inputs!$B$11-Inputs!$B$11),0))))/100+(Inputs!$B$23+0+(IF(ArtifactsInput!$M$15,CHOOSE(ArtifactsInput!$N$15+1,25,30,35,40,45,50)/100*(Inputs!$B$11-Inputs!$B$11),0)))/100)/2</f>
        <v/>
      </c>
      <c r="M1751">
        <f>L1751*(1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1">
        <f>L1751*(1-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1">
        <f>(1-Summary!$B$11)*T1751+Summary!$B$11*V1751</f>
        <v/>
      </c>
      <c r="P1751">
        <f>IF(B1784=0,0,O1751/B1784)</f>
        <v/>
      </c>
      <c r="Q1751" t="n">
        <v>0</v>
      </c>
      <c r="R1751" t="n">
        <v>0</v>
      </c>
      <c r="S1751">
        <f>IFERROR(O1751/N1751,0)</f>
        <v/>
      </c>
      <c r="T1751">
        <f>IF(C1751,(Skills!G3*H1751*N1751*B1778)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1751*(1-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1751*(1-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1">
        <f>INDEX(FactorTable!$B$2:$Y$301, MATCH(ROUND(MIN(300,MAX(1,U1750)),0), FactorTable!$A$2:$A$301,0), 22)</f>
        <v/>
      </c>
      <c r="V1751">
        <f>IF(C1751,(Skills!G3*H1751*N1751*B1778)*IF(Inputs!$B$38="pvp",1,(1+(Inputs!$B$21+Skills!Q3+(IF(ArtifactsInput!$M$33,CHOOSE(ArtifactsInput!$N$33+1,30,36,42,48,54,60),0))+(IF(AND(ArtifactsInput!$M$35,Inputs!$B$4&lt;&gt;"Chapter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2">
      <c r="A1752">
        <f>Skills!A4</f>
        <v/>
      </c>
      <c r="B1752">
        <f>Skills!B4</f>
        <v/>
      </c>
      <c r="C1752">
        <f>Inputs!$B$3&gt;=60</f>
        <v/>
      </c>
      <c r="D1752">
        <f>IF(Skills!C4=1,60+Inputs!$B$25+Inputs!$B$29,IF(Skills!C4=2,90+Inputs!$B$26+Inputs!$B$29,IF(Skills!C4=3,120+Inputs!$B$27+Inputs!$B$29,MAX(0,(Inputs!$B$3-100)*3)+Inputs!$B$28+Inputs!$B$29)))</f>
        <v/>
      </c>
      <c r="E1752">
        <f>INDEX(FactorTable!$B$2:$Y$301, MATCH(ROUND(MIN(300,MAX(1,D1752)),0), FactorTable!$A$2:$A$301,0), Skills!M4+1)</f>
        <v/>
      </c>
      <c r="F1752">
        <f>IF(Skills!N4=TRUE,(Skills!L4/10)*(E1752/1000),Skills!L4/10)+Skills!O4</f>
        <v/>
      </c>
      <c r="G1752">
        <f>Skills!G4*IF(Skills!H4&gt;0,Skills!I4/Skills!H4,1)</f>
        <v/>
      </c>
      <c r="H1752">
        <f>1-(1-Skills!J4/100)^Skills!K4</f>
        <v/>
      </c>
      <c r="I1752" t="inlineStr">
        <is>
          <t>1</t>
        </is>
      </c>
      <c r="J1752">
        <f>((Inputs!$B$6*(1+Inputs!$B$7/100))+(((Inputs!$B$12*(1+Inputs!$B$13/100))-(Inputs!$B$12*(1+Inputs!$B$13/100)))+0.25*(Inputs!$B$14-Inputs!$B$14))*(1+Inputs!$B$7/100))*(F1752/100)</f>
        <v/>
      </c>
      <c r="K1752">
        <f>J1752*(1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1760=TRUE,F1760,0)/100)*(1+(IF(Skills!A4="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1752)</f>
        <v/>
      </c>
      <c r="L1752">
        <f>K1752*(MIN(Inputs!$B$22+((C1768=TRUE)*(F1768-Calc!F20)),(Inputs!$B$23+0+(IF(ArtifactsInput!$M$15,CHOOSE(ArtifactsInput!$N$15+1,25,30,35,40,45,50)/100*(Inputs!$B$11-Inputs!$B$11),0))))/100+(Inputs!$B$23+0+(IF(ArtifactsInput!$M$15,CHOOSE(ArtifactsInput!$N$15+1,25,30,35,40,45,50)/100*(Inputs!$B$11-Inputs!$B$11),0)))/100)/2</f>
        <v/>
      </c>
      <c r="M1752">
        <f>L1752*(1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2">
        <f>L1752*(1-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1752*(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2">
        <f>(1-Summary!$B$11)*T1752+Summary!$B$11*V1752</f>
        <v/>
      </c>
      <c r="P1752">
        <f>IF(B1784=0,0,O1752/B1784)</f>
        <v/>
      </c>
      <c r="Q1752" t="n">
        <v>0</v>
      </c>
      <c r="R1752" t="n">
        <v>0</v>
      </c>
      <c r="S1752">
        <f>IFERROR(O1752/N1752,0)</f>
        <v/>
      </c>
      <c r="T1752">
        <f>IF(C1752,(Skills!G4*H1752*N1752*B1778)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1752*(1-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1752*(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1752*(1-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1752*(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52">
        <f>290*U1751/1000</f>
        <v/>
      </c>
      <c r="V1752">
        <f>IF(C1752,(Skills!G4*H1752*N1752*B1778)*IF(Inputs!$B$38="pvp",1,(1+(Inputs!$B$21+Skills!Q4+(IF(ArtifactsInput!$M$33,CHOOSE(ArtifactsInput!$N$33+1,30,36,42,48,54,60),0))+(IF(AND(ArtifactsInput!$M$35,Inputs!$B$4&lt;&gt;"Chapter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3">
      <c r="A1753">
        <f>Skills!A5</f>
        <v/>
      </c>
      <c r="B1753">
        <f>Skills!B5</f>
        <v/>
      </c>
      <c r="C1753">
        <f>Inputs!$B$3&gt;=60</f>
        <v/>
      </c>
      <c r="D1753">
        <f>IF(Skills!C5=1,60+Inputs!$B$25+Inputs!$B$29,IF(Skills!C5=2,90+Inputs!$B$26+Inputs!$B$29,IF(Skills!C5=3,120+Inputs!$B$27+Inputs!$B$29,MAX(0,(Inputs!$B$3-100)*3)+Inputs!$B$28+Inputs!$B$29)))</f>
        <v/>
      </c>
      <c r="E1753">
        <f>INDEX(FactorTable!$B$2:$Y$301, MATCH(ROUND(MIN(300,MAX(1,D1753)),0), FactorTable!$A$2:$A$301,0), Skills!M5+1)</f>
        <v/>
      </c>
      <c r="F1753">
        <f>IF(Skills!N5=TRUE,(Skills!L5/10)*(E1753/1000),Skills!L5/10)+Skills!O5</f>
        <v/>
      </c>
      <c r="G1753">
        <f>Skills!G5*IF(Skills!H5&gt;0,Skills!I5/Skills!H5,1)</f>
        <v/>
      </c>
      <c r="H1753">
        <f>1-(1-Skills!J5/100)^Skills!K5</f>
        <v/>
      </c>
      <c r="I1753" t="inlineStr">
        <is>
          <t>1</t>
        </is>
      </c>
      <c r="J1753" t="inlineStr"/>
      <c r="K1753" t="inlineStr"/>
      <c r="L1753" t="inlineStr"/>
      <c r="M1753" t="inlineStr"/>
      <c r="N1753" t="inlineStr"/>
      <c r="O1753">
        <f>(1-Summary!$B$11)*T1753+Summary!$B$11*V1753</f>
        <v/>
      </c>
      <c r="P1753">
        <f>IF(B1784=0,0,O1753/B1784)</f>
        <v/>
      </c>
      <c r="Q1753" t="n">
        <v>0</v>
      </c>
      <c r="R1753" t="n">
        <v>0</v>
      </c>
      <c r="S1753">
        <f>IFERROR(O1753/N1753,0)</f>
        <v/>
      </c>
      <c r="T1753" t="n">
        <v>0</v>
      </c>
      <c r="V1753" t="n">
        <v>0</v>
      </c>
    </row>
    <row r="1754">
      <c r="A1754">
        <f>Skills!A6</f>
        <v/>
      </c>
      <c r="B1754">
        <f>Skills!B6</f>
        <v/>
      </c>
      <c r="C1754">
        <f>Inputs!$B$3&gt;=63</f>
        <v/>
      </c>
      <c r="D1754">
        <f>IF(Skills!C6=1,60+Inputs!$B$25+Inputs!$B$29,IF(Skills!C6=2,90+Inputs!$B$26+Inputs!$B$29,IF(Skills!C6=3,120+Inputs!$B$27+Inputs!$B$29,MAX(0,(Inputs!$B$3-100)*3)+Inputs!$B$28+Inputs!$B$29)))</f>
        <v/>
      </c>
      <c r="E1754">
        <f>INDEX(FactorTable!$B$2:$Y$301, MATCH(ROUND(MIN(300,MAX(1,D1754)),0), FactorTable!$A$2:$A$301,0), Skills!M6+1)</f>
        <v/>
      </c>
      <c r="F1754">
        <f>IF(Skills!N6=TRUE,(Skills!L6/10)*(E1754/1000),Skills!L6/10)+Skills!O6</f>
        <v/>
      </c>
      <c r="G1754">
        <f>Skills!G6*IF(Skills!H6&gt;0,Skills!I6/Skills!H6,1)</f>
        <v/>
      </c>
      <c r="H1754">
        <f>1-(1-Skills!J6/100)^Skills!K6</f>
        <v/>
      </c>
      <c r="I1754" t="inlineStr">
        <is>
          <t>1</t>
        </is>
      </c>
      <c r="J1754">
        <f>((Inputs!$B$6*(1+Inputs!$B$7/100))+(((Inputs!$B$12*(1+Inputs!$B$13/100))-(Inputs!$B$12*(1+Inputs!$B$13/100)))+0.25*(Inputs!$B$14-Inputs!$B$14))*(1+Inputs!$B$7/100))*(F1754/100)</f>
        <v/>
      </c>
      <c r="K1754">
        <f>J1754*(1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1760=TRUE,F1760,0)/100)*(1+(IF(Skills!A6="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1754)</f>
        <v/>
      </c>
      <c r="L1754">
        <f>K1754*(MIN(Inputs!$B$22+((C1768=TRUE)*(F1768-Calc!F20)),(Inputs!$B$23+0+(IF(ArtifactsInput!$M$15,CHOOSE(ArtifactsInput!$N$15+1,25,30,35,40,45,50)/100*(Inputs!$B$11-Inputs!$B$11),0))))/100+(Inputs!$B$23+0+(IF(ArtifactsInput!$M$15,CHOOSE(ArtifactsInput!$N$15+1,25,30,35,40,45,50)/100*(Inputs!$B$11-Inputs!$B$11),0)))/100)/2</f>
        <v/>
      </c>
      <c r="M1754">
        <f>L1754*(1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4">
        <f>L1754*(1-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1754*(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4">
        <f>(1-Summary!$B$11)*T1754+Summary!$B$11*V1754</f>
        <v/>
      </c>
      <c r="P1754">
        <f>IF(B1784=0,0,O1754/B1784)</f>
        <v/>
      </c>
      <c r="Q1754">
        <f>IFERROR(1/(IF(Inputs!$B$38="pvp",15,MAX(0.1,Skills!D6-IF(Skills!E6=TRUE,Inputs!$B$32,0)))*(1-IF(AND(ArtifactsInput!$M$27,Inputs!$B$4="Chapter Hunt"),CHOOSE(ArtifactsInput!$N$27+1,20,24,28,32,36,40),0)/100)),0)</f>
        <v/>
      </c>
      <c r="R1754">
        <f>IF(AND(Inputs!$B$38&lt;&gt;"pvp",Inputs!$B$43&gt;0),IF(MAX(0,Inputs!$B$43-B1781)&lt;=0,0,(INT(MAX(0,Inputs!$B$43-B1781)/(IF(Inputs!$B$38="pvp",15,MAX(0.1,Skills!D6-IF(Skills!E6=TRUE,Inputs!$B$32,0)))*(1-IF(AND(ArtifactsInput!$M$27,Inputs!$B$4="Chapter Hunt"),CHOOSE(ArtifactsInput!$N$27+1,20,24,28,32,36,40),0)/100)))+1)),0)</f>
        <v/>
      </c>
      <c r="S1754">
        <f>IFERROR(O1754/N1754,0)</f>
        <v/>
      </c>
      <c r="T1754">
        <f>IF(C1754,(H1754*N1754*IF(AND(Inputs!$B$38&lt;&gt;"pvp",Inputs!$B$43&gt;0),((Skills!G6*((R1754-1)*IF(Skills!H6&gt;0,Skills!I6/Skills!H6,1)+IF(Skills!H6&gt;0,MIN(Skills!I6,MAX(0,MAX(0,Inputs!$B$43-B1781)-((R1754-1)*(IF(Inputs!$B$38="pvp",15,MAX(0.1,Skills!D6-IF(Skills!E6=TRUE,Inputs!$B$32,0)))*(1-IF(AND(ArtifactsInput!$M$27,Inputs!$B$4="Chapter Hunt"),CHOOSE(ArtifactsInput!$N$27+1,20,24,28,32,36,40),0)/100)))))/Skills!H6,1)))/Inputs!$B$43),G1754*Q1754)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1754*(1-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1754*(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1754*(1-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1754*(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4">
        <f>IF(C1754,(H1754*N1754*IF(AND(Inputs!$B$38&lt;&gt;"pvp",Inputs!$B$43&gt;0),((Skills!G6*((R1754-1)*IF(Skills!H6&gt;0,Skills!I6/Skills!H6,1)+IF(Skills!H6&gt;0,MIN(Skills!I6,MAX(0,MAX(0,Inputs!$B$43-B1781)-((R1754-1)*(IF(Inputs!$B$38="pvp",15,MAX(0.1,Skills!D6-IF(Skills!E6=TRUE,Inputs!$B$32,0)))*(1-IF(AND(ArtifactsInput!$M$27,Inputs!$B$4="Chapter Hunt"),CHOOSE(ArtifactsInput!$N$27+1,20,24,28,32,36,40),0)/100)))))/Skills!H6,1)))/Inputs!$B$43),G1754*Q1754))*IF(Inputs!$B$38="pvp",1,(1+(Inputs!$B$21+Skills!Q6+(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5">
      <c r="A1755">
        <f>Skills!A7</f>
        <v/>
      </c>
      <c r="B1755">
        <f>Skills!B7</f>
        <v/>
      </c>
      <c r="C1755">
        <f>Inputs!$B$3&gt;=100</f>
        <v/>
      </c>
      <c r="D1755">
        <f>IF(Skills!C7=1,60+Inputs!$B$25+Inputs!$B$29,IF(Skills!C7=2,90+Inputs!$B$26+Inputs!$B$29,IF(Skills!C7=3,120+Inputs!$B$27+Inputs!$B$29,MAX(0,(Inputs!$B$3-100)*3)+Inputs!$B$28+Inputs!$B$29)))</f>
        <v/>
      </c>
      <c r="E1755">
        <f>INDEX(FactorTable!$B$2:$Y$301, MATCH(ROUND(MIN(300,MAX(1,D1755)),0), FactorTable!$A$2:$A$301,0), Skills!M7+1)</f>
        <v/>
      </c>
      <c r="F1755">
        <f>IF(Skills!N7=TRUE,(Skills!L7/10)*(E1755/1000),Skills!L7/10)+Skills!O7</f>
        <v/>
      </c>
      <c r="G1755">
        <f>Skills!G7*IF(Skills!H7&gt;0,Skills!I7/Skills!H7,1)</f>
        <v/>
      </c>
      <c r="H1755">
        <f>1-(1-Skills!J7/100)^Skills!K7</f>
        <v/>
      </c>
      <c r="I1755" t="inlineStr">
        <is>
          <t>1</t>
        </is>
      </c>
      <c r="J1755">
        <f>((Inputs!$B$6*(1+Inputs!$B$7/100))+(((Inputs!$B$12*(1+Inputs!$B$13/100))-(Inputs!$B$12*(1+Inputs!$B$13/100)))+0.25*(Inputs!$B$14-Inputs!$B$14))*(1+Inputs!$B$7/100))*(F1755/100)</f>
        <v/>
      </c>
      <c r="K1755">
        <f>J1755*(1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1755)</f>
        <v/>
      </c>
      <c r="L1755">
        <f>K1755*(MIN(Inputs!$B$22+((C1768=TRUE)*(F1768-Calc!F20)),(Inputs!$B$23+0+(IF(ArtifactsInput!$M$15,CHOOSE(ArtifactsInput!$N$15+1,25,30,35,40,45,50)/100*(Inputs!$B$11-Inputs!$B$11),0))))/100+(Inputs!$B$23+0+(IF(ArtifactsInput!$M$15,CHOOSE(ArtifactsInput!$N$15+1,25,30,35,40,45,50)/100*(Inputs!$B$11-Inputs!$B$11),0)))/100)/2</f>
        <v/>
      </c>
      <c r="M1755">
        <f>L1755*(1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5">
        <f>L1755*(1-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1755*(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5">
        <f>(1-Summary!$B$11)*T1755+Summary!$B$11*V1755</f>
        <v/>
      </c>
      <c r="P1755">
        <f>IF(B1784=0,0,O1755/B1784)</f>
        <v/>
      </c>
      <c r="Q1755">
        <f>IFERROR(1/(IF(Inputs!$B$38="pvp",15,MAX(0.1,Skills!D7-IF(Skills!E7=TRUE,Inputs!$B$32,0)))*(1-IF(AND(ArtifactsInput!$M$27,Inputs!$B$4="Chapter Hunt"),CHOOSE(ArtifactsInput!$N$27+1,20,24,28,32,36,40),0)/100)),0)</f>
        <v/>
      </c>
      <c r="R1755">
        <f>IF(AND(Inputs!$B$38&lt;&gt;"pvp",Inputs!$B$43&gt;0),IF(MAX(0,Inputs!$B$43-B1781)&lt;=0,0,(INT(MAX(0,Inputs!$B$43-B1781)/(IF(Inputs!$B$38="pvp",15,MAX(0.1,Skills!D7-IF(Skills!E7=TRUE,Inputs!$B$32,0)))*(1-IF(AND(ArtifactsInput!$M$27,Inputs!$B$4="Chapter Hunt"),CHOOSE(ArtifactsInput!$N$27+1,20,24,28,32,36,40),0)/100)))+1)),0)</f>
        <v/>
      </c>
      <c r="S1755">
        <f>IFERROR(O1755/N1755,0)</f>
        <v/>
      </c>
      <c r="T1755">
        <f>IF(C1755,(H1755*N1755*IF(AND(Inputs!$B$38&lt;&gt;"pvp",Inputs!$B$43&gt;0),((Skills!G7*((R1755-1)*IF(Skills!H7&gt;0,Skills!I7/Skills!H7,1)+IF(Skills!H7&gt;0,MIN(Skills!I7,MAX(0,MAX(0,Inputs!$B$43-B1781)-((R1755-1)*(IF(Inputs!$B$38="pvp",15,MAX(0.1,Skills!D7-IF(Skills!E7=TRUE,Inputs!$B$32,0)))*(1-IF(AND(ArtifactsInput!$M$27,Inputs!$B$4="Chapter Hunt"),CHOOSE(ArtifactsInput!$N$27+1,20,24,28,32,36,40),0)/100)))))/Skills!H7,1)))/Inputs!$B$43),G1755*Q1755)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1755*(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1755*(1-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1755*(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5">
        <f>IF(C1755,(H1755*N1755*IF(AND(Inputs!$B$38&lt;&gt;"pvp",Inputs!$B$43&gt;0),((Skills!G7*((R1755-1)*IF(Skills!H7&gt;0,Skills!I7/Skills!H7,1)+IF(Skills!H7&gt;0,MIN(Skills!I7,MAX(0,MAX(0,Inputs!$B$43-B1781)-((R1755-1)*(IF(Inputs!$B$38="pvp",15,MAX(0.1,Skills!D7-IF(Skills!E7=TRUE,Inputs!$B$32,0)))*(1-IF(AND(ArtifactsInput!$M$27,Inputs!$B$4="Chapter Hunt"),CHOOSE(ArtifactsInput!$N$27+1,20,24,28,32,36,40),0)/100)))))/Skills!H7,1)))/Inputs!$B$43),G1755*Q1755))*IF(Inputs!$B$38="pvp",1,(1+(Inputs!$B$21+Skills!Q7+(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6">
      <c r="A1756">
        <f>Skills!A8</f>
        <v/>
      </c>
      <c r="B1756">
        <f>Skills!B8</f>
        <v/>
      </c>
      <c r="C1756">
        <f>Inputs!$B$3&gt;=110</f>
        <v/>
      </c>
      <c r="D1756">
        <f>IF(Skills!C8=1,60+Inputs!$B$25+Inputs!$B$29,IF(Skills!C8=2,90+Inputs!$B$26+Inputs!$B$29,IF(Skills!C8=3,120+Inputs!$B$27+Inputs!$B$29,MAX(0,(Inputs!$B$3-100)*3)+Inputs!$B$28+Inputs!$B$29)))</f>
        <v/>
      </c>
      <c r="E1756">
        <f>INDEX(FactorTable!$B$2:$Y$301, MATCH(ROUND(MIN(300,MAX(1,D1756)),0), FactorTable!$A$2:$A$301,0), Skills!M8+1)</f>
        <v/>
      </c>
      <c r="F1756">
        <f>IF(Skills!N8=TRUE,(Skills!L8/10)*(E1756/1000),Skills!L8/10)+Skills!O8</f>
        <v/>
      </c>
      <c r="G1756">
        <f>Skills!G8*IF(Skills!H8&gt;0,Skills!I8/Skills!H8,1)</f>
        <v/>
      </c>
      <c r="H1756">
        <f>1-(1-Skills!J8/100)^Skills!K8</f>
        <v/>
      </c>
      <c r="I1756" t="inlineStr">
        <is>
          <t>1</t>
        </is>
      </c>
      <c r="J1756">
        <f>((Inputs!$B$6*(1+Inputs!$B$7/100))+(((Inputs!$B$12*(1+Inputs!$B$13/100))-(Inputs!$B$12*(1+Inputs!$B$13/100)))+0.25*(Inputs!$B$14-Inputs!$B$14))*(1+Inputs!$B$7/100))*(F1756/100)</f>
        <v/>
      </c>
      <c r="K1756">
        <f>J1756*(1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1756)</f>
        <v/>
      </c>
      <c r="L1756">
        <f>K1756*(MIN(Inputs!$B$22+((C1768=TRUE)*(F1768-Calc!F20)),(Inputs!$B$23+0+(IF(ArtifactsInput!$M$15,CHOOSE(ArtifactsInput!$N$15+1,25,30,35,40,45,50)/100*(Inputs!$B$11-Inputs!$B$11),0))))/100+(Inputs!$B$23+0+(IF(ArtifactsInput!$M$15,CHOOSE(ArtifactsInput!$N$15+1,25,30,35,40,45,50)/100*(Inputs!$B$11-Inputs!$B$11),0)))/100)/2</f>
        <v/>
      </c>
      <c r="M1756">
        <f>L1756*(1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6">
        <f>L1756*(1-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1756*(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6">
        <f>(1-Summary!$B$11)*T1756+Summary!$B$11*V1756</f>
        <v/>
      </c>
      <c r="P1756">
        <f>IF(B1784=0,0,O1756/B1784)</f>
        <v/>
      </c>
      <c r="Q1756">
        <f>IFERROR(1/(IF(Inputs!$B$38="pvp",15,MAX(0.1,Skills!D8-IF(Skills!E8=TRUE,Inputs!$B$32,0)))*(1-IF(AND(ArtifactsInput!$M$27,Inputs!$B$4="Chapter Hunt"),CHOOSE(ArtifactsInput!$N$27+1,20,24,28,32,36,40),0)/100)),0)</f>
        <v/>
      </c>
      <c r="R1756">
        <f>IF(AND(Inputs!$B$38&lt;&gt;"pvp",Inputs!$B$43&gt;0),IF(MAX(0,Inputs!$B$43-B1781)&lt;=0,0,(INT(MAX(0,Inputs!$B$43-B1781)/(IF(Inputs!$B$38="pvp",15,MAX(0.1,Skills!D8-IF(Skills!E8=TRUE,Inputs!$B$32,0)))*(1-IF(AND(ArtifactsInput!$M$27,Inputs!$B$4="Chapter Hunt"),CHOOSE(ArtifactsInput!$N$27+1,20,24,28,32,36,40),0)/100)))+1)),0)</f>
        <v/>
      </c>
      <c r="S1756">
        <f>IFERROR(O1756/N1756,0)</f>
        <v/>
      </c>
      <c r="T1756">
        <f>IF(C1756,(H1756*N1756*IF(AND(Inputs!$B$38&lt;&gt;"pvp",Inputs!$B$43&gt;0),((Skills!G8*((R1756-1)*IF(Skills!H8&gt;0,Skills!I8/Skills!H8,1)+IF(Skills!H8&gt;0,MIN(Skills!I8,MAX(0,MAX(0,Inputs!$B$43-B1781)-((R1756-1)*(IF(Inputs!$B$38="pvp",15,MAX(0.1,Skills!D8-IF(Skills!E8=TRUE,Inputs!$B$32,0)))*(1-IF(AND(ArtifactsInput!$M$27,Inputs!$B$4="Chapter Hunt"),CHOOSE(ArtifactsInput!$N$27+1,20,24,28,32,36,40),0)/100)))))/Skills!H8,1)))/Inputs!$B$43),G1756*Q1756)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1756*(1-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1756*(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1756*(1-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1756*(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6">
        <f>IF(C1756,(H1756*N1756*IF(AND(Inputs!$B$38&lt;&gt;"pvp",Inputs!$B$43&gt;0),((Skills!G8*((R1756-1)*IF(Skills!H8&gt;0,Skills!I8/Skills!H8,1)+IF(Skills!H8&gt;0,MIN(Skills!I8,MAX(0,MAX(0,Inputs!$B$43-B1781)-((R1756-1)*(IF(Inputs!$B$38="pvp",15,MAX(0.1,Skills!D8-IF(Skills!E8=TRUE,Inputs!$B$32,0)))*(1-IF(AND(ArtifactsInput!$M$27,Inputs!$B$4="Chapter Hunt"),CHOOSE(ArtifactsInput!$N$27+1,20,24,28,32,36,40),0)/100)))))/Skills!H8,1)))/Inputs!$B$43),G1756*Q1756))*IF(Inputs!$B$38="pvp",1,(1+(Inputs!$B$21+Skills!Q8+(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7">
      <c r="A1757">
        <f>Skills!A9</f>
        <v/>
      </c>
      <c r="B1757">
        <f>Skills!B9</f>
        <v/>
      </c>
      <c r="C1757">
        <f>Inputs!$B$3&gt;=110</f>
        <v/>
      </c>
      <c r="D1757">
        <f>IF(Skills!C9=1,60+Inputs!$B$25+Inputs!$B$29,IF(Skills!C9=2,90+Inputs!$B$26+Inputs!$B$29,IF(Skills!C9=3,120+Inputs!$B$27+Inputs!$B$29,MAX(0,(Inputs!$B$3-100)*3)+Inputs!$B$28+Inputs!$B$29)))</f>
        <v/>
      </c>
      <c r="E1757">
        <f>INDEX(FactorTable!$B$2:$Y$301, MATCH(ROUND(MIN(300,MAX(1,D1757)),0), FactorTable!$A$2:$A$301,0), Skills!M9+1)</f>
        <v/>
      </c>
      <c r="F1757">
        <f>IF(Skills!N9=TRUE,(Skills!L9/10)*(E1757/1000),Skills!L9/10)+Skills!O9</f>
        <v/>
      </c>
      <c r="G1757">
        <f>Skills!G9*IF(Skills!H9&gt;0,Skills!I9/Skills!H9,1)</f>
        <v/>
      </c>
      <c r="H1757">
        <f>1-(1-Skills!J9/100)^Skills!K9</f>
        <v/>
      </c>
      <c r="I1757" t="inlineStr">
        <is>
          <t>1</t>
        </is>
      </c>
      <c r="J1757">
        <f>((Inputs!$B$6*(1+Inputs!$B$7/100))+(((Inputs!$B$12*(1+Inputs!$B$13/100))-(Inputs!$B$12*(1+Inputs!$B$13/100)))+0.25*(Inputs!$B$14-Inputs!$B$14))*(1+Inputs!$B$7/100))*(F1757/100)</f>
        <v/>
      </c>
      <c r="K1757">
        <f>J1757*(1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1757)</f>
        <v/>
      </c>
      <c r="L1757">
        <f>K1757*(MIN(Inputs!$B$22+((C1768=TRUE)*(F1768-Calc!F20)),(Inputs!$B$23+0+(IF(ArtifactsInput!$M$15,CHOOSE(ArtifactsInput!$N$15+1,25,30,35,40,45,50)/100*(Inputs!$B$11-Inputs!$B$11),0))))/100+(Inputs!$B$23+0+(IF(ArtifactsInput!$M$15,CHOOSE(ArtifactsInput!$N$15+1,25,30,35,40,45,50)/100*(Inputs!$B$11-Inputs!$B$11),0)))/100)/2</f>
        <v/>
      </c>
      <c r="M1757">
        <f>L1757*(1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7">
        <f>L1757*(1-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1757*(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7">
        <f>(1-Summary!$B$11)*T1757+Summary!$B$11*V1757</f>
        <v/>
      </c>
      <c r="P1757">
        <f>IF(B1784=0,0,O1757/B1784)</f>
        <v/>
      </c>
      <c r="Q1757">
        <f>IFERROR(1/(IF(Inputs!$B$38="pvp",15,MAX(0.1,Skills!D9-IF(Skills!E9=TRUE,Inputs!$B$32,0)))*(1-IF(AND(ArtifactsInput!$M$27,Inputs!$B$4="Chapter Hunt"),CHOOSE(ArtifactsInput!$N$27+1,20,24,28,32,36,40),0)/100)),0)</f>
        <v/>
      </c>
      <c r="R1757">
        <f>IF(AND(Inputs!$B$38&lt;&gt;"pvp",Inputs!$B$43&gt;0),IF(MAX(0,Inputs!$B$43-B1781)&lt;=0,0,(INT(MAX(0,Inputs!$B$43-B1781)/(IF(Inputs!$B$38="pvp",15,MAX(0.1,Skills!D9-IF(Skills!E9=TRUE,Inputs!$B$32,0)))*(1-IF(AND(ArtifactsInput!$M$27,Inputs!$B$4="Chapter Hunt"),CHOOSE(ArtifactsInput!$N$27+1,20,24,28,32,36,40),0)/100)))+1)),0)</f>
        <v/>
      </c>
      <c r="S1757">
        <f>IFERROR(O1757/N1757,0)</f>
        <v/>
      </c>
      <c r="T1757">
        <f>IF(C1757,(H1757*N1757*IF(AND(Inputs!$B$38&lt;&gt;"pvp",Inputs!$B$43&gt;0),((Skills!G9*((R1757-1)*IF(Skills!H9&gt;0,Skills!I9/Skills!H9,1)+IF(Skills!H9&gt;0,MIN(Skills!I9,MAX(0,MAX(0,Inputs!$B$43-B1781)-((R1757-1)*(IF(Inputs!$B$38="pvp",15,MAX(0.1,Skills!D9-IF(Skills!E9=TRUE,Inputs!$B$32,0)))*(1-IF(AND(ArtifactsInput!$M$27,Inputs!$B$4="Chapter Hunt"),CHOOSE(ArtifactsInput!$N$27+1,20,24,28,32,36,40),0)/100)))))/Skills!H9,1)))/Inputs!$B$43),G1757*Q1757)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1757*(1-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1757*(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1757*(1-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1757*(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7">
        <f>IF(C1757,(H1757*N1757*IF(AND(Inputs!$B$38&lt;&gt;"pvp",Inputs!$B$43&gt;0),((Skills!G9*((R1757-1)*IF(Skills!H9&gt;0,Skills!I9/Skills!H9,1)+IF(Skills!H9&gt;0,MIN(Skills!I9,MAX(0,MAX(0,Inputs!$B$43-B1781)-((R1757-1)*(IF(Inputs!$B$38="pvp",15,MAX(0.1,Skills!D9-IF(Skills!E9=TRUE,Inputs!$B$32,0)))*(1-IF(AND(ArtifactsInput!$M$27,Inputs!$B$4="Chapter Hunt"),CHOOSE(ArtifactsInput!$N$27+1,20,24,28,32,36,40),0)/100)))))/Skills!H9,1)))/Inputs!$B$43),G1757*Q1757))*IF(Inputs!$B$38="pvp",1,(1+(Inputs!$B$21+Skills!Q9+(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8">
      <c r="A1758">
        <f>Skills!A10</f>
        <v/>
      </c>
      <c r="B1758">
        <f>Skills!B10</f>
        <v/>
      </c>
      <c r="C1758">
        <f>Inputs!$B$3&gt;=103</f>
        <v/>
      </c>
      <c r="D1758">
        <f>IF(Skills!C10=1,60+Inputs!$B$25+Inputs!$B$29,IF(Skills!C10=2,90+Inputs!$B$26+Inputs!$B$29,IF(Skills!C10=3,120+Inputs!$B$27+Inputs!$B$29,MAX(0,(Inputs!$B$3-100)*3)+Inputs!$B$28+Inputs!$B$29)))</f>
        <v/>
      </c>
      <c r="E1758">
        <f>INDEX(FactorTable!$B$2:$Y$301, MATCH(ROUND(MIN(300,MAX(1,D1758)),0), FactorTable!$A$2:$A$301,0), Skills!M10+1)</f>
        <v/>
      </c>
      <c r="F1758">
        <f>IF(Skills!N10=TRUE,(Skills!L10/10)*(E1758/1000),Skills!L10/10)+Skills!O10</f>
        <v/>
      </c>
      <c r="G1758">
        <f>Skills!G10*IF(Skills!H10&gt;0,Skills!I10/Skills!H10,1)</f>
        <v/>
      </c>
      <c r="H1758">
        <f>1-(1-Skills!J10/100)^Skills!K10</f>
        <v/>
      </c>
      <c r="I1758" t="inlineStr">
        <is>
          <t>1</t>
        </is>
      </c>
      <c r="J1758">
        <f>((Inputs!$B$6*(1+Inputs!$B$7/100))+(((Inputs!$B$12*(1+Inputs!$B$13/100))-(Inputs!$B$12*(1+Inputs!$B$13/100)))+0.25*(Inputs!$B$14-Inputs!$B$14))*(1+Inputs!$B$7/100))*(F1758/100)</f>
        <v/>
      </c>
      <c r="K1758">
        <f>J1758*(1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1758)</f>
        <v/>
      </c>
      <c r="L1758">
        <f>K1758*(MIN(Inputs!$B$22+((C1768=TRUE)*(F1768-Calc!F20)),(Inputs!$B$23+0+(IF(ArtifactsInput!$M$15,CHOOSE(ArtifactsInput!$N$15+1,25,30,35,40,45,50)/100*(Inputs!$B$11-Inputs!$B$11),0))))/100+(Inputs!$B$23+0+(IF(ArtifactsInput!$M$15,CHOOSE(ArtifactsInput!$N$15+1,25,30,35,40,45,50)/100*(Inputs!$B$11-Inputs!$B$11),0)))/100)/2</f>
        <v/>
      </c>
      <c r="M1758">
        <f>L1758*(1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8">
        <f>L1758*(1-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1758*(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8">
        <f>(1-Summary!$B$11)*T1758+Summary!$B$11*V1758</f>
        <v/>
      </c>
      <c r="P1758">
        <f>IF(B1784=0,0,O1758/B1784)</f>
        <v/>
      </c>
      <c r="Q1758">
        <f>IFERROR(1/(IF(Inputs!$B$38="pvp",15,MAX(0.1,Skills!D10-IF(Skills!E10=TRUE,Inputs!$B$32,0)))*(1-IF(AND(ArtifactsInput!$M$27,Inputs!$B$4="Chapter Hunt"),CHOOSE(ArtifactsInput!$N$27+1,20,24,28,32,36,40),0)/100)),0)</f>
        <v/>
      </c>
      <c r="R1758">
        <f>IF(AND(Inputs!$B$38&lt;&gt;"pvp",Inputs!$B$43&gt;0),IF(MAX(0,Inputs!$B$43-B1781)&lt;=0,0,(INT(MAX(0,Inputs!$B$43-B1781)/(IF(Inputs!$B$38="pvp",15,MAX(0.1,Skills!D10-IF(Skills!E10=TRUE,Inputs!$B$32,0)))*(1-IF(AND(ArtifactsInput!$M$27,Inputs!$B$4="Chapter Hunt"),CHOOSE(ArtifactsInput!$N$27+1,20,24,28,32,36,40),0)/100)))+1)),0)</f>
        <v/>
      </c>
      <c r="S1758">
        <f>IFERROR(O1758/N1758,0)</f>
        <v/>
      </c>
      <c r="T1758">
        <f>IF(C1758,(H1758*N1758*IF(AND(Inputs!$B$38&lt;&gt;"pvp",Inputs!$B$43&gt;0),((Skills!G10*((R1758-1)*IF(Skills!H10&gt;0,Skills!I10/Skills!H10,1)+IF(Skills!H10&gt;0,MIN(Skills!I10,MAX(0,MAX(0,Inputs!$B$43-B1781)-((R1758-1)*(IF(Inputs!$B$38="pvp",15,MAX(0.1,Skills!D10-IF(Skills!E10=TRUE,Inputs!$B$32,0)))*(1-IF(AND(ArtifactsInput!$M$27,Inputs!$B$4="Chapter Hunt"),CHOOSE(ArtifactsInput!$N$27+1,20,24,28,32,36,40),0)/100)))))/Skills!H10,1)))/Inputs!$B$43),G1758*Q1758)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1758*(1-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1758*(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1758*(1-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1758*(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8">
        <f>IF(C1758,(H1758*N1758*IF(AND(Inputs!$B$38&lt;&gt;"pvp",Inputs!$B$43&gt;0),((Skills!G10*((R1758-1)*IF(Skills!H10&gt;0,Skills!I10/Skills!H10,1)+IF(Skills!H10&gt;0,MIN(Skills!I10,MAX(0,MAX(0,Inputs!$B$43-B1781)-((R1758-1)*(IF(Inputs!$B$38="pvp",15,MAX(0.1,Skills!D10-IF(Skills!E10=TRUE,Inputs!$B$32,0)))*(1-IF(AND(ArtifactsInput!$M$27,Inputs!$B$4="Chapter Hunt"),CHOOSE(ArtifactsInput!$N$27+1,20,24,28,32,36,40),0)/100)))))/Skills!H10,1)))/Inputs!$B$43),G1758*Q1758))*IF(Inputs!$B$38="pvp",1,(1+(Inputs!$B$21+Skills!Q10+(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59">
      <c r="A1759">
        <f>Skills!A11</f>
        <v/>
      </c>
      <c r="B1759">
        <f>Skills!B11</f>
        <v/>
      </c>
      <c r="C1759">
        <f>Inputs!$B$3&gt;=113</f>
        <v/>
      </c>
      <c r="D1759">
        <f>IF(Skills!C11=1,60+Inputs!$B$25+Inputs!$B$29,IF(Skills!C11=2,90+Inputs!$B$26+Inputs!$B$29,IF(Skills!C11=3,120+Inputs!$B$27+Inputs!$B$29,MAX(0,(Inputs!$B$3-100)*3)+Inputs!$B$28+Inputs!$B$29)))</f>
        <v/>
      </c>
      <c r="E1759">
        <f>INDEX(FactorTable!$B$2:$Y$301, MATCH(ROUND(MIN(300,MAX(1,D1759)),0), FactorTable!$A$2:$A$301,0), Skills!M11+1)</f>
        <v/>
      </c>
      <c r="F1759">
        <f>IF(Skills!N11=TRUE,(Skills!L11/10)*(E1759/1000),Skills!L11/10)+Skills!O11</f>
        <v/>
      </c>
      <c r="G1759">
        <f>Skills!G11*IF(Skills!H11&gt;0,Skills!I11/Skills!H11,1)</f>
        <v/>
      </c>
      <c r="H1759">
        <f>1-(1-Skills!J11/100)^Skills!K11</f>
        <v/>
      </c>
      <c r="I1759" t="inlineStr">
        <is>
          <t>1</t>
        </is>
      </c>
      <c r="J1759">
        <f>((Inputs!$B$6*(1+Inputs!$B$7/100))+(((Inputs!$B$12*(1+Inputs!$B$13/100))-(Inputs!$B$12*(1+Inputs!$B$13/100)))+0.25*(Inputs!$B$14-Inputs!$B$14))*(1+Inputs!$B$7/100))*(F1759/100)</f>
        <v/>
      </c>
      <c r="K1759">
        <f>J1759*(1+((Inputs!$B$12*(1+Inputs!$B$13/100))*0.01+Inputs!$B$14*0.0025)/100)*(1+Inputs!$B$15/100)*(1+Inputs!$B$16/100)*(5000/(6000+Inputs!$B$42*(1-(100*(1-(1-(Inputs!$B$19+0)/100)*(1-CHOOSE(ArtifactsInput!$N$40+1,5,6,7,8,9,10)/100)^(ArtifactsInput!$M$40-ArtifactsInput!$M$40)))/100)))*(1+(Inputs!$B$24+((C1770=TRUE)*(F1770-Calc!F22))+B1780)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1769=TRUE)*(F1769-Calc!F21))+(((IF(AND(ArtifactsInput!$M$42,((Inputs!$B$9+((C1764=TRUE)*(F1764-Calc!F16))+B1774+(IF(ArtifactsInput!$M$24,FALSE,TRUE)-ArtifactsInput!$M$24)*CHOOSE(ArtifactsInput!$N$24+1,10,12,14,16,18,20)+IF(ArtifactsInput!$M$10,CHOOSE(ArtifactsInput!$N$10+1,15,18,21,24,27,30)*(IF(Inputs!$B$38="pvp",MIN(15,15)/15,IF(AND(Inputs!$B$38&lt;&gt;"pvp",Inputs!$B$43&gt;0),MIN(15,Inputs!$B$43)/(Inputs!$B$43),0))),0)))&gt;=100),MIN(100,((Inputs!$B$9+((C1764=TRUE)*(F1764-Calc!F16))+B1774+(IF(ArtifactsInput!$M$24,FALSE,TRUE)-ArtifactsInput!$M$24)*CHOOSE(ArtifactsInput!$N$24+1,10,12,14,16,18,20)+IF(ArtifactsInput!$M$10,CHOOSE(ArtifactsInput!$N$10+1,15,18,21,24,27,30)*(IF(Inputs!$B$38="pvp",MIN(15,15)/15,IF(AND(Inputs!$B$38&lt;&gt;"pvp",Inputs!$B$43&gt;0),MIN(15,Inputs!$B$43)/(Inputs!$B$43),0))),0)))-100),0))*CHOOSE(ArtifactsInput!$N$42+1,0.6,0.72,0.84,0.96,1.08,1.2))),Inputs!$B$18+0+(IF(AND(ArtifactsInput!$M$42,((Inputs!$B$9+((C1764=TRUE)*(F1764-Calc!F16))+B1774+(IF(ArtifactsInput!$M$24,FALSE,TRUE)-ArtifactsInput!$M$24)*CHOOSE(ArtifactsInput!$N$24+1,10,12,14,16,18,20)+IF(ArtifactsInput!$M$10,CHOOSE(ArtifactsInput!$N$10+1,15,18,21,24,27,30)*(IF(Inputs!$B$38="pvp",MIN(15,15)/15,IF(AND(Inputs!$B$38&lt;&gt;"pvp",Inputs!$B$43&gt;0),MIN(15,Inputs!$B$43)/(Inputs!$B$43),0))),0)))&gt;=100),CHOOSE(ArtifactsInput!$N$42+1,40,48,56,64,72,80),0))))/100)*((1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1759)</f>
        <v/>
      </c>
      <c r="L1759">
        <f>K1759*(MIN(Inputs!$B$22+((C1768=TRUE)*(F1768-Calc!F20)),(Inputs!$B$23+0+(IF(ArtifactsInput!$M$15,CHOOSE(ArtifactsInput!$N$15+1,25,30,35,40,45,50)/100*(Inputs!$B$11-Inputs!$B$11),0))))/100+(Inputs!$B$23+0+(IF(ArtifactsInput!$M$15,CHOOSE(ArtifactsInput!$N$15+1,25,30,35,40,45,50)/100*(Inputs!$B$11-Inputs!$B$11),0)))/100)/2</f>
        <v/>
      </c>
      <c r="M1759">
        <f>L1759*(1+(Inputs!$B$10+0+B1779+((IF(IF(ArtifactsInput!$M$24,FALSE,TRUE),1,-1)*CHOOSE(ArtifactsInput!$N$24+1,30,36,42,48,54,60)/100*IF(IF(ArtifactsInput!$M$24,FALSE,TRUE),(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1759">
        <f>L1759*(1-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1759*(MIN((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59">
        <f>(1-Summary!$B$11)*T1759+Summary!$B$11*V1759</f>
        <v/>
      </c>
      <c r="P1759">
        <f>IF(B1784=0,0,O1759/B1784)</f>
        <v/>
      </c>
      <c r="Q1759">
        <f>IFERROR(1/(IF(Inputs!$B$38="pvp",15,MAX(0.1,Skills!D11-IF(Skills!E11=TRUE,Inputs!$B$32,0)))*(1-IF(AND(ArtifactsInput!$M$27,Inputs!$B$4="Chapter Hunt"),CHOOSE(ArtifactsInput!$N$27+1,20,24,28,32,36,40),0)/100)),0)</f>
        <v/>
      </c>
      <c r="R1759">
        <f>IF(AND(Inputs!$B$38&lt;&gt;"pvp",Inputs!$B$43&gt;0),IF(MAX(0,Inputs!$B$43-B1781)&lt;=0,0,(INT(MAX(0,Inputs!$B$43-B1781)/(IF(Inputs!$B$38="pvp",15,MAX(0.1,Skills!D11-IF(Skills!E11=TRUE,Inputs!$B$32,0)))*(1-IF(AND(ArtifactsInput!$M$27,Inputs!$B$4="Chapter Hunt"),CHOOSE(ArtifactsInput!$N$27+1,20,24,28,32,36,40),0)/100)))+1)),0)</f>
        <v/>
      </c>
      <c r="S1759">
        <f>IFERROR(O1759/N1759,0)</f>
        <v/>
      </c>
      <c r="T1759">
        <f>IF(C1759,(H1759*N1759*IF(AND(Inputs!$B$38&lt;&gt;"pvp",Inputs!$B$43&gt;0),((Skills!G11*((R1759-1)*IF(Skills!H11&gt;0,Skills!I11/Skills!H11,1)+IF(Skills!H11&gt;0,MIN(Skills!I11,MAX(0,MAX(0,Inputs!$B$43-B1781)-((R1759-1)*(IF(Inputs!$B$38="pvp",15,MAX(0.1,Skills!D11-IF(Skills!E11=TRUE,Inputs!$B$32,0)))*(1-IF(AND(ArtifactsInput!$M$27,Inputs!$B$4="Chapter Hunt"),CHOOSE(ArtifactsInput!$N$27+1,20,24,28,32,36,40),0)/100)))))/Skills!H11,1)))/Inputs!$B$43),G1759*Q1759)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1759*(1-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1759*(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1759*(1-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1759*(MIN(100,(Inputs!$B$9+((C1764=TRUE)*(F1764-Calc!F16))+B1774+(IF(ArtifactsInput!$M$24,FALSE,TRUE)-ArtifactsInput!$M$24)*CHOOSE(ArtifactsInput!$N$24+1,10,12,14,16,18,20)+(IF(AND(ArtifactsInput!$M$42,((Inputs!$B$9+((C1764=TRUE)*(F1764-Calc!F16))+B1774+(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59">
        <f>IF(C1759,(H1759*N1759*IF(AND(Inputs!$B$38&lt;&gt;"pvp",Inputs!$B$43&gt;0),((Skills!G11*((R1759-1)*IF(Skills!H11&gt;0,Skills!I11/Skills!H11,1)+IF(Skills!H11&gt;0,MIN(Skills!I11,MAX(0,MAX(0,Inputs!$B$43-B1781)-((R1759-1)*(IF(Inputs!$B$38="pvp",15,MAX(0.1,Skills!D11-IF(Skills!E11=TRUE,Inputs!$B$32,0)))*(1-IF(AND(ArtifactsInput!$M$27,Inputs!$B$4="Chapter Hunt"),CHOOSE(ArtifactsInput!$N$27+1,20,24,28,32,36,40),0)/100)))))/Skills!H11,1)))/Inputs!$B$43),G1759*Q1759))*IF(Inputs!$B$38="pvp",1,(1+(Inputs!$B$21+Skills!Q11+(IF(ArtifactsInput!$M$33,CHOOSE(ArtifactsInput!$N$33+1,30,36,42,48,54,60),0))+(IF(AND(ArtifactsInput!$M$35,Inputs!$B$4&lt;&gt;"Chapter Hunt"),CHOOSE(ArtifactsInput!$N$35+1,15,18,21,24,27,30)*(1-EXP(-(0.2*B1776)*5)),0)+IF(AND(ArtifactsInput!$M$22,Inputs!$B$4&lt;&gt;"Chapter Hunt"),CHOOSE(ArtifactsInput!$N$22+1,10,12,14,16,18,20)*((0*(((0.15*B1776*5))^0/1)+1*(((0.15*B1776*5))^1/1)+2*(((0.15*B1776*5))^2/2)+3*(((0.15*B1776*5))^3/6)+4*(((0.15*B1776*5))^4/24)+5*(((0.15*B1776*5))^5/120))/((((0.15*B1776*5))^0/1)+(((0.15*B1776*5))^1/1)+(((0.15*B1776*5))^2/2)+(((0.15*B1776*5))^3/6)+(((0.15*B1776*5))^4/24)+(((0.15*B1776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60">
      <c r="A1760">
        <f>Skills!A12</f>
        <v/>
      </c>
      <c r="B1760">
        <f>Skills!B12</f>
        <v/>
      </c>
      <c r="C1760">
        <f>Inputs!$B$3&gt;=100</f>
        <v/>
      </c>
      <c r="D1760">
        <f>IF(Skills!C12=1,60+Inputs!$B$25+Inputs!$B$29,IF(Skills!C12=2,90+Inputs!$B$26+Inputs!$B$29,IF(Skills!C12=3,120+Inputs!$B$27+Inputs!$B$29,MAX(0,(Inputs!$B$3-100)*3)+Inputs!$B$28+Inputs!$B$29)))</f>
        <v/>
      </c>
      <c r="E1760">
        <f>INDEX(FactorTable!$B$2:$Y$301, MATCH(ROUND(MIN(300,MAX(1,D1760)),0), FactorTable!$A$2:$A$301,0), Skills!M12+1)</f>
        <v/>
      </c>
      <c r="F1760">
        <f>IF(Skills!N12=TRUE,(Skills!L12/10)*(E1760/1000),Skills!L12/10)+Skills!O12</f>
        <v/>
      </c>
      <c r="G1760" t="inlineStr"/>
      <c r="H1760" t="inlineStr"/>
      <c r="I1760" t="inlineStr">
        <is>
          <t>1</t>
        </is>
      </c>
      <c r="J1760" t="inlineStr"/>
      <c r="K1760" t="inlineStr"/>
      <c r="L1760" t="inlineStr"/>
      <c r="M1760" t="inlineStr"/>
      <c r="N1760" t="inlineStr"/>
      <c r="O1760" t="inlineStr"/>
      <c r="P1760" t="inlineStr"/>
      <c r="Q1760" t="inlineStr"/>
      <c r="R1760" t="inlineStr"/>
      <c r="S1760" t="inlineStr"/>
      <c r="T1760" t="inlineStr"/>
      <c r="V1760" t="inlineStr"/>
    </row>
    <row r="1761">
      <c r="A1761">
        <f>Skills!A13</f>
        <v/>
      </c>
      <c r="B1761">
        <f>Skills!B13</f>
        <v/>
      </c>
      <c r="C1761">
        <f>Inputs!$B$3&gt;=66</f>
        <v/>
      </c>
      <c r="D1761">
        <f>IF(Skills!C13=1,60+Inputs!$B$25+Inputs!$B$29,IF(Skills!C13=2,90+Inputs!$B$26+Inputs!$B$29,IF(Skills!C13=3,120+Inputs!$B$27+Inputs!$B$29,MAX(0,(Inputs!$B$3-100)*3)+Inputs!$B$28+Inputs!$B$29)))</f>
        <v/>
      </c>
      <c r="E1761">
        <f>INDEX(FactorTable!$B$2:$Y$301, MATCH(ROUND(MIN(300,MAX(1,D1761)),0), FactorTable!$A$2:$A$301,0), Skills!M13+1)</f>
        <v/>
      </c>
      <c r="F1761">
        <f>IF(Skills!N13=TRUE,(Skills!L13/10)*(E1761/1000),Skills!L13/10)+Skills!O13</f>
        <v/>
      </c>
      <c r="G1761">
        <f>Skills!G13*IF(Skills!H13&gt;0,Skills!I13/Skills!H13,1)</f>
        <v/>
      </c>
      <c r="H1761">
        <f>1-(1-Skills!J13/100)^Skills!K13</f>
        <v/>
      </c>
      <c r="I1761" t="inlineStr">
        <is>
          <t>1</t>
        </is>
      </c>
      <c r="J1761" t="inlineStr"/>
      <c r="K1761" t="inlineStr"/>
      <c r="L1761" t="inlineStr"/>
      <c r="M1761" t="inlineStr"/>
      <c r="N1761" t="inlineStr"/>
      <c r="O1761">
        <f>(1-Summary!$B$11)*T1761+Summary!$B$11*V1761</f>
        <v/>
      </c>
      <c r="P1761">
        <f>IF(B1784=0,0,O1761/B1784)</f>
        <v/>
      </c>
      <c r="Q1761" t="n">
        <v>0</v>
      </c>
      <c r="R1761" t="n">
        <v>0</v>
      </c>
      <c r="S1761">
        <f>IFERROR(O1761/N1761,0)</f>
        <v/>
      </c>
      <c r="T1761" t="n">
        <v>0</v>
      </c>
      <c r="V1761" t="n">
        <v>0</v>
      </c>
    </row>
    <row r="1762">
      <c r="A1762">
        <f>Skills!A14</f>
        <v/>
      </c>
      <c r="B1762">
        <f>Skills!B14</f>
        <v/>
      </c>
      <c r="C1762">
        <f>Inputs!$B$3&gt;=107</f>
        <v/>
      </c>
      <c r="D1762">
        <f>IF(Skills!C14=1,60+Inputs!$B$25+Inputs!$B$29,IF(Skills!C14=2,90+Inputs!$B$26+Inputs!$B$29,IF(Skills!C14=3,120+Inputs!$B$27+Inputs!$B$29,MAX(0,(Inputs!$B$3-100)*3)+Inputs!$B$28+Inputs!$B$29)))</f>
        <v/>
      </c>
      <c r="E1762">
        <f>INDEX(FactorTable!$B$2:$Y$301, MATCH(ROUND(MIN(300,MAX(1,D1762)),0), FactorTable!$A$2:$A$301,0), Skills!M14+1)</f>
        <v/>
      </c>
      <c r="F1762">
        <f>IF(Skills!N14=TRUE,(Skills!L14/10)*(E1762/1000),Skills!L14/10)+Skills!O14</f>
        <v/>
      </c>
      <c r="G1762">
        <f>Skills!G14*IF(Skills!H14&gt;0,Skills!I14/Skills!H14,1)</f>
        <v/>
      </c>
      <c r="H1762">
        <f>1-(1-Skills!J14/100)^Skills!K14</f>
        <v/>
      </c>
      <c r="I1762" t="inlineStr">
        <is>
          <t>1</t>
        </is>
      </c>
      <c r="J1762" t="inlineStr"/>
      <c r="K1762" t="inlineStr"/>
      <c r="L1762" t="inlineStr"/>
      <c r="M1762" t="inlineStr"/>
      <c r="N1762" t="inlineStr"/>
      <c r="O1762">
        <f>(1-Summary!$B$11)*T1762+Summary!$B$11*V1762</f>
        <v/>
      </c>
      <c r="P1762">
        <f>IF(B1784=0,0,O1762/B1784)</f>
        <v/>
      </c>
      <c r="Q1762">
        <f>IFERROR(1/(IF(Inputs!$B$38="pvp",15,MAX(0.1,Skills!D14-IF(Skills!E14=TRUE,Inputs!$B$32,0)))*(1-IF(AND(ArtifactsInput!$M$27,Inputs!$B$4="Chapter Hunt"),CHOOSE(ArtifactsInput!$N$27+1,20,24,28,32,36,40),0)/100)),0)</f>
        <v/>
      </c>
      <c r="R1762">
        <f>IF(AND(Inputs!$B$38&lt;&gt;"pvp",Inputs!$B$43&gt;0),IF(Inputs!$B$43&lt;=0,0,(INT(Inputs!$B$43/(IF(Inputs!$B$38="pvp",15,MAX(0.1,Skills!D14-IF(Skills!E14=TRUE,Inputs!$B$32,0)))*(1-IF(AND(ArtifactsInput!$M$27,Inputs!$B$4="Chapter Hunt"),CHOOSE(ArtifactsInput!$N$27+1,20,24,28,32,36,40),0)/100)))+1)),0)</f>
        <v/>
      </c>
      <c r="S1762">
        <f>IFERROR(O1762/N1762,0)</f>
        <v/>
      </c>
      <c r="T1762" t="n">
        <v>0</v>
      </c>
      <c r="V1762" t="n">
        <v>0</v>
      </c>
    </row>
    <row r="1763">
      <c r="A1763">
        <f>Skills!A15</f>
        <v/>
      </c>
      <c r="B1763">
        <f>Skills!B15</f>
        <v/>
      </c>
      <c r="C1763">
        <f>Inputs!$B$3&gt;=115</f>
        <v/>
      </c>
      <c r="D1763">
        <f>IF(Skills!C15=1,60+Inputs!$B$25+Inputs!$B$29,IF(Skills!C15=2,90+Inputs!$B$26+Inputs!$B$29,IF(Skills!C15=3,120+Inputs!$B$27+Inputs!$B$29,MAX(0,(Inputs!$B$3-100)*3)+Inputs!$B$28+Inputs!$B$29)))</f>
        <v/>
      </c>
      <c r="E1763">
        <f>INDEX(FactorTable!$B$2:$Y$301, MATCH(ROUND(MIN(300,MAX(1,D1763)),0), FactorTable!$A$2:$A$301,0), Skills!M15+1)</f>
        <v/>
      </c>
      <c r="F1763">
        <f>IF(Skills!N15=TRUE,(Skills!L15/10)*(E1763/1000),Skills!L15/10)+Skills!O15</f>
        <v/>
      </c>
      <c r="G1763">
        <f>Skills!G15*IF(Skills!H15&gt;0,Skills!I15/Skills!H15,1)</f>
        <v/>
      </c>
      <c r="H1763">
        <f>1-(1-Skills!J15/100)^Skills!K15</f>
        <v/>
      </c>
      <c r="I1763" t="inlineStr">
        <is>
          <t>1</t>
        </is>
      </c>
      <c r="J1763" t="inlineStr"/>
      <c r="K1763" t="inlineStr"/>
      <c r="L1763" t="inlineStr"/>
      <c r="M1763" t="inlineStr"/>
      <c r="N1763" t="inlineStr"/>
      <c r="O1763">
        <f>(1-Summary!$B$11)*T1763+Summary!$B$11*V1763</f>
        <v/>
      </c>
      <c r="P1763">
        <f>IF(B1784=0,0,O1763/B1784)</f>
        <v/>
      </c>
      <c r="Q1763">
        <f>IFERROR(1/(IF(Inputs!$B$38="pvp",15,MAX(0.1,Skills!D15-IF(Skills!E15=TRUE,Inputs!$B$32,0)))*(1-IF(AND(ArtifactsInput!$M$27,Inputs!$B$4="Chapter Hunt"),CHOOSE(ArtifactsInput!$N$27+1,20,24,28,32,36,40),0)/100)),0)</f>
        <v/>
      </c>
      <c r="R1763">
        <f>IF(AND(Inputs!$B$38&lt;&gt;"pvp",Inputs!$B$43&gt;0),IF(Inputs!$B$43&lt;=0,0,(INT(Inputs!$B$43/(IF(Inputs!$B$38="pvp",15,MAX(0.1,Skills!D15-IF(Skills!E15=TRUE,Inputs!$B$32,0)))*(1-IF(AND(ArtifactsInput!$M$27,Inputs!$B$4="Chapter Hunt"),CHOOSE(ArtifactsInput!$N$27+1,20,24,28,32,36,40),0)/100)))+1)),0)</f>
        <v/>
      </c>
      <c r="S1763">
        <f>IFERROR(O1763/N1763,0)</f>
        <v/>
      </c>
      <c r="T1763" t="n">
        <v>0</v>
      </c>
      <c r="V1763" t="n">
        <v>0</v>
      </c>
    </row>
    <row r="1764">
      <c r="A1764">
        <f>Skills!A16</f>
        <v/>
      </c>
      <c r="B1764">
        <f>Skills!B16</f>
        <v/>
      </c>
      <c r="C1764">
        <f>Inputs!$B$3&gt;=15</f>
        <v/>
      </c>
      <c r="D1764">
        <f>IF(Skills!C16=1,60+Inputs!$B$25+Inputs!$B$29,IF(Skills!C16=2,90+Inputs!$B$26+Inputs!$B$29,IF(Skills!C16=3,120+Inputs!$B$27+Inputs!$B$29,MAX(0,(Inputs!$B$3-100)*3)+Inputs!$B$28+Inputs!$B$29)))</f>
        <v/>
      </c>
      <c r="E1764">
        <f>INDEX(FactorTable!$B$2:$Y$301, MATCH(ROUND(MIN(300,MAX(1,D1764)),0), FactorTable!$A$2:$A$301,0), Skills!M16+1)</f>
        <v/>
      </c>
      <c r="F1764">
        <f>IF(Skills!N16=TRUE,(Skills!L16/10)*(E1764/1000),Skills!L16/10)+Skills!O16</f>
        <v/>
      </c>
      <c r="G1764">
        <f>Skills!G16*IF(Skills!H16&gt;0,Skills!I16/Skills!H16,1)</f>
        <v/>
      </c>
      <c r="H1764">
        <f>1-(1-Skills!J16/100)^Skills!K16</f>
        <v/>
      </c>
      <c r="I1764" t="inlineStr">
        <is>
          <t>1</t>
        </is>
      </c>
      <c r="J1764" t="inlineStr"/>
      <c r="K1764" t="inlineStr"/>
      <c r="L1764" t="inlineStr"/>
      <c r="M1764" t="inlineStr"/>
      <c r="N1764" t="inlineStr"/>
      <c r="O1764">
        <f>(1-Summary!$B$11)*T1764+Summary!$B$11*V1764</f>
        <v/>
      </c>
      <c r="P1764">
        <f>IF(B1784=0,0,O1764/B1784)</f>
        <v/>
      </c>
      <c r="Q1764" t="n">
        <v>0</v>
      </c>
      <c r="R1764" t="n">
        <v>0</v>
      </c>
      <c r="S1764">
        <f>IFERROR(O1764/N1764,0)</f>
        <v/>
      </c>
      <c r="T1764" t="n">
        <v>0</v>
      </c>
      <c r="V1764" t="n">
        <v>0</v>
      </c>
    </row>
    <row r="1765">
      <c r="A1765">
        <f>Skills!A17</f>
        <v/>
      </c>
      <c r="B1765">
        <f>Skills!B17</f>
        <v/>
      </c>
      <c r="C1765">
        <f>Inputs!$B$3&gt;=10</f>
        <v/>
      </c>
      <c r="D1765">
        <f>IF(Skills!C17=1,60+Inputs!$B$25+Inputs!$B$29,IF(Skills!C17=2,90+Inputs!$B$26+Inputs!$B$29,IF(Skills!C17=3,120+Inputs!$B$27+Inputs!$B$29,MAX(0,(Inputs!$B$3-100)*3)+Inputs!$B$28+Inputs!$B$29)))</f>
        <v/>
      </c>
      <c r="E1765">
        <f>INDEX(FactorTable!$B$2:$Y$301, MATCH(ROUND(MIN(300,MAX(1,D1765)),0), FactorTable!$A$2:$A$301,0), Skills!M17+1)</f>
        <v/>
      </c>
      <c r="F1765">
        <f>IF(Skills!N17=TRUE,(Skills!L17/10)*(E1765/1000),Skills!L17/10)+Skills!O17</f>
        <v/>
      </c>
      <c r="G1765">
        <f>Skills!G17*IF(Skills!H17&gt;0,Skills!I17/Skills!H17,1)</f>
        <v/>
      </c>
      <c r="H1765">
        <f>1-(1-Skills!J17/100)^Skills!K17</f>
        <v/>
      </c>
      <c r="I1765" t="inlineStr">
        <is>
          <t>1</t>
        </is>
      </c>
      <c r="J1765" t="inlineStr"/>
      <c r="K1765" t="inlineStr"/>
      <c r="L1765" t="inlineStr"/>
      <c r="M1765" t="inlineStr"/>
      <c r="N1765" t="inlineStr"/>
      <c r="O1765">
        <f>(1-Summary!$B$11)*T1765+Summary!$B$11*V1765</f>
        <v/>
      </c>
      <c r="P1765">
        <f>IF(B1784=0,0,O1765/B1784)</f>
        <v/>
      </c>
      <c r="Q1765" t="n">
        <v>0</v>
      </c>
      <c r="R1765" t="n">
        <v>0</v>
      </c>
      <c r="S1765">
        <f>IFERROR(O1765/N1765,0)</f>
        <v/>
      </c>
      <c r="T1765" t="n">
        <v>0</v>
      </c>
      <c r="V1765" t="n">
        <v>0</v>
      </c>
    </row>
    <row r="1766">
      <c r="A1766">
        <f>Skills!A18</f>
        <v/>
      </c>
      <c r="B1766">
        <f>Skills!B18</f>
        <v/>
      </c>
      <c r="C1766">
        <f>Inputs!$B$3&gt;=33</f>
        <v/>
      </c>
      <c r="D1766">
        <f>IF(Skills!C18=1,60+Inputs!$B$25+Inputs!$B$29,IF(Skills!C18=2,90+Inputs!$B$26+Inputs!$B$29,IF(Skills!C18=3,120+Inputs!$B$27+Inputs!$B$29,MAX(0,(Inputs!$B$3-100)*3)+Inputs!$B$28+Inputs!$B$29)))</f>
        <v/>
      </c>
      <c r="E1766">
        <f>INDEX(FactorTable!$B$2:$Y$301, MATCH(ROUND(MIN(300,MAX(1,D1766)),0), FactorTable!$A$2:$A$301,0), Skills!M18+1)</f>
        <v/>
      </c>
      <c r="F1766">
        <f>IF(Skills!N18=TRUE,(Skills!L18/10)*(E1766/1000),Skills!L18/10)+Skills!O18</f>
        <v/>
      </c>
      <c r="G1766">
        <f>Skills!G18*IF(Skills!H18&gt;0,Skills!I18/Skills!H18,1)</f>
        <v/>
      </c>
      <c r="H1766">
        <f>1-(1-Skills!J18/100)^Skills!K18</f>
        <v/>
      </c>
      <c r="I1766" t="inlineStr">
        <is>
          <t>1</t>
        </is>
      </c>
      <c r="J1766" t="inlineStr"/>
      <c r="K1766" t="inlineStr"/>
      <c r="L1766" t="inlineStr"/>
      <c r="M1766" t="inlineStr"/>
      <c r="N1766" t="inlineStr"/>
      <c r="O1766">
        <f>(1-Summary!$B$11)*T1766+Summary!$B$11*V1766</f>
        <v/>
      </c>
      <c r="P1766">
        <f>IF(B1784=0,0,O1766/B1784)</f>
        <v/>
      </c>
      <c r="Q1766" t="n">
        <v>0</v>
      </c>
      <c r="R1766" t="n">
        <v>0</v>
      </c>
      <c r="S1766">
        <f>IFERROR(O1766/N1766,0)</f>
        <v/>
      </c>
      <c r="T1766" t="n">
        <v>0</v>
      </c>
      <c r="V1766" t="n">
        <v>0</v>
      </c>
    </row>
    <row r="1767">
      <c r="A1767">
        <f>Skills!A19</f>
        <v/>
      </c>
      <c r="B1767">
        <f>Skills!B19</f>
        <v/>
      </c>
      <c r="C1767">
        <f>Inputs!$B$3&gt;=40</f>
        <v/>
      </c>
      <c r="D1767">
        <f>IF(Skills!C19=1,60+Inputs!$B$25+Inputs!$B$29,IF(Skills!C19=2,90+Inputs!$B$26+Inputs!$B$29,IF(Skills!C19=3,120+Inputs!$B$27+Inputs!$B$29,MAX(0,(Inputs!$B$3-100)*3)+Inputs!$B$28+Inputs!$B$29)))</f>
        <v/>
      </c>
      <c r="E1767">
        <f>INDEX(FactorTable!$B$2:$Y$301, MATCH(ROUND(MIN(300,MAX(1,D1767)),0), FactorTable!$A$2:$A$301,0), Skills!M19+1)</f>
        <v/>
      </c>
      <c r="F1767">
        <f>IF(Skills!N19=TRUE,(Skills!L19/10)*(E1767/1000),Skills!L19/10)+Skills!O19</f>
        <v/>
      </c>
      <c r="G1767">
        <f>Skills!G19*IF(Skills!H19&gt;0,Skills!I19/Skills!H19,1)</f>
        <v/>
      </c>
      <c r="H1767">
        <f>1-(1-Skills!J19/100)^Skills!K19</f>
        <v/>
      </c>
      <c r="I1767" t="inlineStr">
        <is>
          <t>1</t>
        </is>
      </c>
      <c r="J1767" t="inlineStr"/>
      <c r="K1767" t="inlineStr"/>
      <c r="L1767" t="inlineStr"/>
      <c r="M1767" t="inlineStr"/>
      <c r="N1767" t="inlineStr"/>
      <c r="O1767">
        <f>(1-Summary!$B$11)*T1767+Summary!$B$11*V1767</f>
        <v/>
      </c>
      <c r="P1767">
        <f>IF(B1784=0,0,O1767/B1784)</f>
        <v/>
      </c>
      <c r="Q1767" t="n">
        <v>0</v>
      </c>
      <c r="R1767" t="n">
        <v>0</v>
      </c>
      <c r="S1767">
        <f>IFERROR(O1767/N1767,0)</f>
        <v/>
      </c>
      <c r="T1767" t="n">
        <v>0</v>
      </c>
      <c r="V1767" t="n">
        <v>0</v>
      </c>
    </row>
    <row r="1768">
      <c r="A1768">
        <f>Skills!A20</f>
        <v/>
      </c>
      <c r="B1768">
        <f>Skills!B20</f>
        <v/>
      </c>
      <c r="C1768">
        <f>Inputs!$B$3&gt;=43</f>
        <v/>
      </c>
      <c r="D1768">
        <f>IF(Skills!C20=1,60+Inputs!$B$25+Inputs!$B$29,IF(Skills!C20=2,90+Inputs!$B$26+Inputs!$B$29,IF(Skills!C20=3,120+Inputs!$B$27+Inputs!$B$29,MAX(0,(Inputs!$B$3-100)*3)+Inputs!$B$28+Inputs!$B$29)))</f>
        <v/>
      </c>
      <c r="E1768">
        <f>INDEX(FactorTable!$B$2:$Y$301, MATCH(ROUND(MIN(300,MAX(1,D1768)),0), FactorTable!$A$2:$A$301,0), Skills!M20+1)</f>
        <v/>
      </c>
      <c r="F1768">
        <f>IF(Skills!N20=TRUE,(Skills!L20/10)*(E1768/1000),Skills!L20/10)+Skills!O20</f>
        <v/>
      </c>
      <c r="G1768">
        <f>Skills!G20*IF(Skills!H20&gt;0,Skills!I20/Skills!H20,1)</f>
        <v/>
      </c>
      <c r="H1768">
        <f>1-(1-Skills!J20/100)^Skills!K20</f>
        <v/>
      </c>
      <c r="I1768" t="inlineStr">
        <is>
          <t>1</t>
        </is>
      </c>
      <c r="J1768" t="inlineStr"/>
      <c r="K1768" t="inlineStr"/>
      <c r="L1768" t="inlineStr"/>
      <c r="M1768" t="inlineStr"/>
      <c r="N1768" t="inlineStr"/>
      <c r="O1768">
        <f>(1-Summary!$B$11)*T1768+Summary!$B$11*V1768</f>
        <v/>
      </c>
      <c r="P1768">
        <f>IF(B1784=0,0,O1768/B1784)</f>
        <v/>
      </c>
      <c r="Q1768" t="n">
        <v>0</v>
      </c>
      <c r="R1768" t="n">
        <v>0</v>
      </c>
      <c r="S1768">
        <f>IFERROR(O1768/N1768,0)</f>
        <v/>
      </c>
      <c r="T1768" t="n">
        <v>0</v>
      </c>
      <c r="V1768" t="n">
        <v>0</v>
      </c>
    </row>
    <row r="1769">
      <c r="A1769">
        <f>Skills!A21</f>
        <v/>
      </c>
      <c r="B1769">
        <f>Skills!B21</f>
        <v/>
      </c>
      <c r="C1769">
        <f>Inputs!$B$3&gt;=38</f>
        <v/>
      </c>
      <c r="D1769">
        <f>IF(Skills!C21=1,60+Inputs!$B$25+Inputs!$B$29,IF(Skills!C21=2,90+Inputs!$B$26+Inputs!$B$29,IF(Skills!C21=3,120+Inputs!$B$27+Inputs!$B$29,MAX(0,(Inputs!$B$3-100)*3)+Inputs!$B$28+Inputs!$B$29)))</f>
        <v/>
      </c>
      <c r="E1769">
        <f>INDEX(FactorTable!$B$2:$Y$301, MATCH(ROUND(MIN(300,MAX(1,D1769)),0), FactorTable!$A$2:$A$301,0), Skills!M21+1)</f>
        <v/>
      </c>
      <c r="F1769">
        <f>IF(Skills!N21=TRUE,(Skills!L21/10)*(E1769/1000),Skills!L21/10)+Skills!O21</f>
        <v/>
      </c>
      <c r="G1769">
        <f>Skills!G21*IF(Skills!H21&gt;0,Skills!I21/Skills!H21,1)</f>
        <v/>
      </c>
      <c r="H1769">
        <f>1-(1-Skills!J21/100)^Skills!K21</f>
        <v/>
      </c>
      <c r="I1769" t="inlineStr">
        <is>
          <t>1</t>
        </is>
      </c>
      <c r="J1769" t="inlineStr"/>
      <c r="K1769" t="inlineStr"/>
      <c r="L1769" t="inlineStr"/>
      <c r="M1769" t="inlineStr"/>
      <c r="N1769" t="inlineStr"/>
      <c r="O1769">
        <f>(1-Summary!$B$11)*T1769+Summary!$B$11*V1769</f>
        <v/>
      </c>
      <c r="P1769">
        <f>IF(B1784=0,0,O1769/B1784)</f>
        <v/>
      </c>
      <c r="Q1769" t="n">
        <v>0</v>
      </c>
      <c r="R1769" t="n">
        <v>0</v>
      </c>
      <c r="S1769">
        <f>IFERROR(O1769/N1769,0)</f>
        <v/>
      </c>
      <c r="T1769" t="n">
        <v>0</v>
      </c>
      <c r="V1769" t="n">
        <v>0</v>
      </c>
    </row>
    <row r="1770">
      <c r="A1770">
        <f>Skills!A22</f>
        <v/>
      </c>
      <c r="B1770">
        <f>Skills!B22</f>
        <v/>
      </c>
      <c r="C1770">
        <f>Inputs!$B$3&gt;=75</f>
        <v/>
      </c>
      <c r="D1770">
        <f>IF(Skills!C22=1,60+Inputs!$B$25+Inputs!$B$29,IF(Skills!C22=2,90+Inputs!$B$26+Inputs!$B$29,IF(Skills!C22=3,120+Inputs!$B$27+Inputs!$B$29,MAX(0,(Inputs!$B$3-100)*3)+Inputs!$B$28+Inputs!$B$29)))</f>
        <v/>
      </c>
      <c r="E1770">
        <f>INDEX(FactorTable!$B$2:$Y$301, MATCH(ROUND(MIN(300,MAX(1,D1770)),0), FactorTable!$A$2:$A$301,0), Skills!M22+1)</f>
        <v/>
      </c>
      <c r="F1770">
        <f>IF(Skills!N22=TRUE,(Skills!L22/10)*(E1770/1000),Skills!L22/10)+Skills!O22</f>
        <v/>
      </c>
      <c r="G1770">
        <f>Skills!G22*IF(Skills!H22&gt;0,Skills!I22/Skills!H22,1)</f>
        <v/>
      </c>
      <c r="H1770">
        <f>1-(1-Skills!J22/100)^Skills!K22</f>
        <v/>
      </c>
      <c r="I1770" t="inlineStr">
        <is>
          <t>1</t>
        </is>
      </c>
      <c r="J1770" t="inlineStr"/>
      <c r="K1770" t="inlineStr"/>
      <c r="L1770" t="inlineStr"/>
      <c r="M1770" t="inlineStr"/>
      <c r="N1770" t="inlineStr"/>
      <c r="O1770">
        <f>(1-Summary!$B$11)*T1770+Summary!$B$11*V1770</f>
        <v/>
      </c>
      <c r="P1770">
        <f>IF(B1784=0,0,O1770/B1784)</f>
        <v/>
      </c>
      <c r="Q1770" t="n">
        <v>0</v>
      </c>
      <c r="R1770" t="n">
        <v>0</v>
      </c>
      <c r="S1770">
        <f>IFERROR(O1770/N1770,0)</f>
        <v/>
      </c>
      <c r="T1770" t="n">
        <v>0</v>
      </c>
      <c r="V1770" t="n">
        <v>0</v>
      </c>
    </row>
    <row r="1771">
      <c r="A1771">
        <f>Skills!A23</f>
        <v/>
      </c>
      <c r="B1771">
        <f>Skills!B23</f>
        <v/>
      </c>
      <c r="C1771">
        <f>TRUE</f>
        <v/>
      </c>
      <c r="D1771">
        <f>IF(Skills!C23=1,60+Inputs!$B$25+Inputs!$B$29,IF(Skills!C23=2,90+Inputs!$B$26+Inputs!$B$29,IF(Skills!C23=3,120+Inputs!$B$27+Inputs!$B$29,MAX(0,(Inputs!$B$3-100)*3)+Inputs!$B$28+Inputs!$B$29)))</f>
        <v/>
      </c>
      <c r="E1771">
        <f>INDEX(FactorTable!$B$2:$Y$301, MATCH(ROUND(MIN(300,MAX(1,D1771)),0), FactorTable!$A$2:$A$301,0), Skills!M23+1)</f>
        <v/>
      </c>
      <c r="F1771">
        <f>IF(Skills!N23=TRUE,(Skills!L23/10)*(E1771/1000),Skills!L23/10)+Skills!O23</f>
        <v/>
      </c>
      <c r="G1771">
        <f>Skills!G23*IF(Skills!H23&gt;0,Skills!I23/Skills!H23,1)</f>
        <v/>
      </c>
      <c r="H1771">
        <f>1-(1-Skills!J23/100)^Skills!K23</f>
        <v/>
      </c>
      <c r="I1771" t="inlineStr">
        <is>
          <t>1</t>
        </is>
      </c>
      <c r="J1771" t="inlineStr"/>
      <c r="K1771" t="inlineStr"/>
      <c r="L1771" t="inlineStr"/>
      <c r="M1771" t="inlineStr"/>
      <c r="N1771" t="inlineStr"/>
      <c r="O1771">
        <f>(1-Summary!$B$11)*T1771+Summary!$B$11*V1771</f>
        <v/>
      </c>
      <c r="P1771">
        <f>IF(B1784=0,0,O1771/B1784)</f>
        <v/>
      </c>
      <c r="Q1771">
        <f>IFERROR(1/(IF(Inputs!$B$38="pvp",15,MAX(0.1,Skills!D23-IF(Skills!E23=TRUE,Inputs!$B$32,0)))*(1-IF(AND(ArtifactsInput!$M$27,Inputs!$B$4="Chapter Hunt"),CHOOSE(ArtifactsInput!$N$27+1,20,24,28,32,36,40),0)/100)),0)</f>
        <v/>
      </c>
      <c r="R1771">
        <f>IF(AND(Inputs!$B$38&lt;&gt;"pvp",Inputs!$B$43&gt;0),IF(Inputs!$B$43&lt;=0,0,(INT(Inputs!$B$43/(IF(Inputs!$B$38="pvp",15,MAX(0.1,Skills!D23-IF(Skills!E23=TRUE,Inputs!$B$32,0)))*(1-IF(AND(ArtifactsInput!$M$27,Inputs!$B$4="Chapter Hunt"),CHOOSE(ArtifactsInput!$N$27+1,20,24,28,32,36,40),0)/100)))+1)),0)</f>
        <v/>
      </c>
      <c r="S1771">
        <f>IFERROR(O1771/N1771,0)</f>
        <v/>
      </c>
      <c r="T1771" t="n">
        <v>0</v>
      </c>
      <c r="V1771" t="n">
        <v>0</v>
      </c>
    </row>
    <row r="1773">
      <c r="A1773" t="inlineStr">
        <is>
          <t>Attack% Bucket Multiplier</t>
        </is>
      </c>
      <c r="B1773">
        <f>(1+(((C1761=TRUE)*F1761*5/7)+((C1767=TRUE)*(F1767-Calc!F19))+(IF(ArtifactsInput!$M$21,CHOOSE(ArtifactsInput!$N$21+1,25,30,35,40,45,50)*(IF(OR(Inputs!$B$4="Chapter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74">
      <c r="A1774" t="inlineStr">
        <is>
          <t>Global Crit Rate Bonus %</t>
        </is>
      </c>
      <c r="B1774" t="n">
        <v>0</v>
      </c>
    </row>
    <row r="1775">
      <c r="A1775" t="inlineStr">
        <is>
          <t>Attack Speed Buff Bonus % (Nimble Feet, duty-cycle averaged)</t>
        </is>
      </c>
      <c r="B1775">
        <f>((C1771=TRUE)*F1771*IF(AND(Inputs!$B$38&lt;&gt;"pvp",Inputs!$B$43&gt;0),(((R1771-1)*(Skills!T23*(1+Inputs!$B$34/100))+MIN((Skills!T23*(1+Inputs!$B$34/100)),MAX(0,Inputs!$B$43-((R1771-1)*Skills!D23))))/Inputs!$B$43),IF(Inputs!$B$38="pvp",MIN((Skills!T23*(1+Inputs!$B$34/100)),15)/15,(Skills!T23*(1+Inputs!$B$34/100))/Skills!D23)))</f>
        <v/>
      </c>
    </row>
    <row r="1776">
      <c r="A1776" t="inlineStr">
        <is>
          <t>Actions Per Second</t>
        </is>
      </c>
      <c r="B1776">
        <f>1+MIN(150,150*(1-(1-(Inputs!$B$11+((C1765=TRUE)*(F1765-Calc!F17))+((C1766=TRUE)*(F1766-Calc!F18)))/150)*(1-B1775/150)))/100</f>
        <v/>
      </c>
    </row>
    <row r="1777">
      <c r="A1777" t="inlineStr">
        <is>
          <t>Skill + Buff Cast Rate</t>
        </is>
      </c>
      <c r="B1777">
        <f>IF(AND(Inputs!$B$38&lt;&gt;"pvp",Inputs!$B$43&gt;0),SUMPRODUCT((Skills!E2:E23=TRUE)*(C1750:C1771=TRUE)*R1750:R1771*Skills!F2:F23)/Inputs!$B$43,SUMPRODUCT((Skills!E2:E23=TRUE)*(C1750:C1771=TRUE)*Q1750:Q1771*Skills!F2:F23))</f>
        <v/>
      </c>
    </row>
    <row r="1778">
      <c r="A1778" t="inlineStr">
        <is>
          <t>Hook Bomber Casts Per Second</t>
        </is>
      </c>
      <c r="B1778">
        <f>MAX(0,B1776-B1777)</f>
        <v/>
      </c>
    </row>
    <row r="1779">
      <c r="A1779" t="inlineStr">
        <is>
          <t>Global Critical Damage Bonus % (unused)</t>
        </is>
      </c>
      <c r="B1779" t="n">
        <v>0</v>
      </c>
    </row>
    <row r="1780">
      <c r="A1780" t="inlineStr">
        <is>
          <t>Global Final Damage Bonus % (Serpent Scale + Crossbones + Time Leap + Speed Infusion)</t>
        </is>
      </c>
      <c r="B1780">
        <f>((C1753=TRUE)*F1753*((10+IF(Inputs!$B$3&gt;=94,5,0))/((10+IF(Inputs!$B$3&gt;=94,5,0))+5/(B1778*(1+IF(Inputs!$B$3&gt;=104,1,0))))))+((C1762=TRUE)*F1762*IF(AND(Inputs!$B$38&lt;&gt;"pvp",Inputs!$B$43&gt;0),(((R1762-1)*(Skills!T14*(1+Inputs!$B$34/100))+MIN((Skills!T14*(1+Inputs!$B$34/100)),MAX(0,Inputs!$B$43-((R1762-1)*Skills!D14))))/Inputs!$B$43),IF(Inputs!$B$38="pvp",MIN((Skills!T14*(1+Inputs!$B$34/100)),15)/15,(Skills!T14*(1+Inputs!$B$34/100))/Skills!D14)))+((C1763=TRUE)*F1763*IF(AND(Inputs!$B$38&lt;&gt;"pvp",Inputs!$B$43&gt;0),(((R1763-1)*(Skills!T15*(1+Inputs!$B$34/100))+MIN((Skills!T15*(1+Inputs!$B$34/100)),MAX(0,Inputs!$B$43-((R1763-1)*Skills!D15))))/Inputs!$B$43),IF(Inputs!$B$38="pvp",MIN((Skills!T15*(1+Inputs!$B$34/100)),15)/15,(Skills!T15*(1+Inputs!$B$34/100))/Skills!D15)))+((Inputs!$B$3&gt;=110)*20*(B1776-1)*IF(Inputs!$B$38="pvp",MIN((15*(1+Inputs!$B$34/100)),15)/15,(15*(1+Inputs!$B$34/100))/35))</f>
        <v/>
      </c>
    </row>
    <row r="1781">
      <c r="A1781" t="inlineStr">
        <is>
          <t>Buff-Casting Startup Delay (s, fixed-duration only)</t>
        </is>
      </c>
      <c r="B1781">
        <f>IF(AND(Inputs!$B$38&lt;&gt;"pvp",Inputs!$B$43&gt;0),SUMPRODUCT((Skills!T2:T23&gt;0)*(Skills!E2:E23=TRUE)*(C1750:C1771=TRUE))/B1776,0)</f>
        <v/>
      </c>
    </row>
    <row r="1782">
      <c r="A1782" t="inlineStr">
        <is>
          <t>Boss-Only Total DPS (this block's swept value)</t>
        </is>
      </c>
      <c r="B1782">
        <f>SUM(T1750:T1771)</f>
        <v/>
      </c>
    </row>
    <row r="1783">
      <c r="A1783" t="inlineStr">
        <is>
          <t>Normal-Only Total DPS (this block's swept value)</t>
        </is>
      </c>
      <c r="B1783">
        <f>SUM(V1750:V1771)</f>
        <v/>
      </c>
    </row>
    <row r="1784">
      <c r="A1784" s="6" t="inlineStr">
        <is>
          <t>TOTAL DPS</t>
        </is>
      </c>
      <c r="B1784" s="6">
        <f>SUM(O1750:O1771)</f>
        <v/>
      </c>
    </row>
    <row r="1787">
      <c r="A1787" s="6" t="inlineStr">
        <is>
          <t>Stat: Lunar Dew (Equip)</t>
        </is>
      </c>
    </row>
    <row r="1788">
      <c r="A1788" s="5" t="inlineStr">
        <is>
          <t>Key</t>
        </is>
      </c>
      <c r="B1788" s="5" t="inlineStr">
        <is>
          <t>Name</t>
        </is>
      </c>
      <c r="C1788" s="5" t="inlineStr">
        <is>
          <t>Unlocked</t>
        </is>
      </c>
      <c r="D1788" s="5" t="inlineStr">
        <is>
          <t>InputLevel</t>
        </is>
      </c>
      <c r="E1788" s="5" t="inlineStr">
        <is>
          <t>Factor</t>
        </is>
      </c>
      <c r="F1788" s="5" t="inlineStr">
        <is>
          <t>CoefficientPercent</t>
        </is>
      </c>
      <c r="G1788" s="5" t="inlineStr">
        <is>
          <t>EffectiveHits</t>
        </is>
      </c>
      <c r="H1788" s="5" t="inlineStr">
        <is>
          <t>ProcProbability</t>
        </is>
      </c>
      <c r="I1788" s="5" t="inlineStr">
        <is>
          <t>MapleHeroMultiplier</t>
        </is>
      </c>
      <c r="J1788" s="5" t="inlineStr">
        <is>
          <t>BaseDamage</t>
        </is>
      </c>
      <c r="K1788" s="5" t="inlineStr">
        <is>
          <t>BaseHitDamage</t>
        </is>
      </c>
      <c r="L1788" s="5" t="inlineStr">
        <is>
          <t>NonCritAvg</t>
        </is>
      </c>
      <c r="M1788" s="5" t="inlineStr">
        <is>
          <t>CritAvg</t>
        </is>
      </c>
      <c r="N1788" s="5" t="inlineStr">
        <is>
          <t>ExpectedDamage(perHit)</t>
        </is>
      </c>
      <c r="O1788" s="5" t="inlineStr">
        <is>
          <t>DPS</t>
        </is>
      </c>
      <c r="P1788" s="5" t="inlineStr">
        <is>
          <t>% of Total</t>
        </is>
      </c>
      <c r="Q1788" s="5" t="inlineStr">
        <is>
          <t>InvCooldown</t>
        </is>
      </c>
      <c r="R1788" s="5" t="inlineStr">
        <is>
          <t>CastsInFight</t>
        </is>
      </c>
      <c r="S1788" s="5" t="inlineStr">
        <is>
          <t>HitRate(perSec)</t>
        </is>
      </c>
      <c r="U1788" t="inlineStr">
        <is>
          <t>helpers</t>
        </is>
      </c>
    </row>
    <row r="1789">
      <c r="A1789">
        <f>Skills!A2</f>
        <v/>
      </c>
      <c r="B1789">
        <f>Skills!B2</f>
        <v/>
      </c>
      <c r="C1789">
        <f>Inputs!$B$3&gt;=100</f>
        <v/>
      </c>
      <c r="D1789" t="inlineStr"/>
      <c r="E1789" t="inlineStr"/>
      <c r="F1789">
        <f>U1791+Skills!O2</f>
        <v/>
      </c>
      <c r="G1789">
        <f>Skills!G2*IF(Skills!H2&gt;0,Skills!I2/Skills!H2,1)</f>
        <v/>
      </c>
      <c r="H1789">
        <f>1-(1-Skills!J2/100)^Skills!K2</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1807=TRUE)*(F1807-Calc!F20)),(Inputs!$B$23+0+(IF(ArtifactsInput!$M$15,CHOOSE(ArtifactsInput!$N$15+1,25,30,35,40,45,50)/100*(Inputs!$B$11-Inputs!$B$11),0))))/100+(Inputs!$B$23+0+(IF(ArtifactsInput!$M$15,CHOOSE(ArtifactsInput!$N$15+1,25,30,35,40,45,50)/100*(Inputs!$B$11-Inputs!$B$11),0)))/100)/2</f>
        <v/>
      </c>
      <c r="M1789">
        <f>L1789*(1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IF(B1823=0,0,O1789/B1823)</f>
        <v/>
      </c>
      <c r="Q1789" t="n">
        <v>0</v>
      </c>
      <c r="R1789" t="n">
        <v>0</v>
      </c>
      <c r="S1789">
        <f>IFERROR(O1789/N1789,0)</f>
        <v/>
      </c>
      <c r="T1789">
        <f>IF(C1789,(Skills!G2*N1789*B1817)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9">
        <f>MAX(0,(Inputs!$B$3-100)*3)+Inputs!$B$28+Inputs!$B$29</f>
        <v/>
      </c>
      <c r="V1789">
        <f>IF(C1789,(Skills!G2*N1789*B1817)*IF(Inputs!$B$38="pvp",1,(1+(Inputs!$B$21+Skills!Q2+(IF(ArtifactsInput!$M$33,CHOOSE(ArtifactsInput!$N$33+1,30,36,42,48,54,60),0))+(IF(AND(ArtifactsInput!$M$35,Inputs!$B$4&lt;&gt;"Chapter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Skills!A3</f>
        <v/>
      </c>
      <c r="B1790">
        <f>Skills!B3</f>
        <v/>
      </c>
      <c r="C1790">
        <f>Inputs!$B$3&gt;=35</f>
        <v/>
      </c>
      <c r="D1790">
        <f>IF(Skills!C3=1,60+Inputs!$B$25+Inputs!$B$29,IF(Skills!C3=2,90+Inputs!$B$26+Inputs!$B$29,IF(Skills!C3=3,120+Inputs!$B$27+Inputs!$B$29,MAX(0,(Inputs!$B$3-100)*3)+Inputs!$B$28+Inputs!$B$29)))</f>
        <v/>
      </c>
      <c r="E1790">
        <f>INDEX(FactorTable!$B$2:$Y$301, MATCH(ROUND(MIN(300,MAX(1,D1790)),0), FactorTable!$A$2:$A$301,0), Skills!M3+1)</f>
        <v/>
      </c>
      <c r="F1790">
        <f>IF(Skills!N3=TRUE,(Skills!L3/10)*(E1790/1000),Skills!L3/10)+Skills!O3</f>
        <v/>
      </c>
      <c r="G1790">
        <f>Skills!G3*IF(Skills!H3&gt;0,Skills!I3/Skills!H3,1)</f>
        <v/>
      </c>
      <c r="H1790">
        <f>1-(1-Skills!J3/100)^Skills!K3</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1807=TRUE)*(F1807-Calc!F20)),(Inputs!$B$23+0+(IF(ArtifactsInput!$M$15,CHOOSE(ArtifactsInput!$N$15+1,25,30,35,40,45,50)/100*(Inputs!$B$11-Inputs!$B$11),0))))/100+(Inputs!$B$23+0+(IF(ArtifactsInput!$M$15,CHOOSE(ArtifactsInput!$N$15+1,25,30,35,40,45,50)/100*(Inputs!$B$11-Inputs!$B$11),0)))/100)/2</f>
        <v/>
      </c>
      <c r="M1790">
        <f>L1790*(1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IF(B1823=0,0,O1790/B1823)</f>
        <v/>
      </c>
      <c r="Q1790" t="n">
        <v>0</v>
      </c>
      <c r="R1790" t="n">
        <v>0</v>
      </c>
      <c r="S1790">
        <f>IFERROR(O1790/N1790,0)</f>
        <v/>
      </c>
      <c r="T1790">
        <f>IF(C1790,(Skills!G3*H1790*N1790*B1817)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0">
        <f>INDEX(FactorTable!$B$2:$Y$301, MATCH(ROUND(MIN(300,MAX(1,U1789)),0), FactorTable!$A$2:$A$301,0), 22)</f>
        <v/>
      </c>
      <c r="V1790">
        <f>IF(C1790,(Skills!G3*H1790*N1790*B1817)*IF(Inputs!$B$38="pvp",1,(1+(Inputs!$B$21+Skills!Q3+(IF(ArtifactsInput!$M$33,CHOOSE(ArtifactsInput!$N$33+1,30,36,42,48,54,60),0))+(IF(AND(ArtifactsInput!$M$35,Inputs!$B$4&lt;&gt;"Chapter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Skills!A4</f>
        <v/>
      </c>
      <c r="B1791">
        <f>Skills!B4</f>
        <v/>
      </c>
      <c r="C1791">
        <f>Inputs!$B$3&gt;=60</f>
        <v/>
      </c>
      <c r="D1791">
        <f>IF(Skills!C4=1,60+Inputs!$B$25+Inputs!$B$29,IF(Skills!C4=2,90+Inputs!$B$26+Inputs!$B$29,IF(Skills!C4=3,120+Inputs!$B$27+Inputs!$B$29,MAX(0,(Inputs!$B$3-100)*3)+Inputs!$B$28+Inputs!$B$29)))</f>
        <v/>
      </c>
      <c r="E1791">
        <f>INDEX(FactorTable!$B$2:$Y$301, MATCH(ROUND(MIN(300,MAX(1,D1791)),0), FactorTable!$A$2:$A$301,0), Skills!M4+1)</f>
        <v/>
      </c>
      <c r="F1791">
        <f>IF(Skills!N4=TRUE,(Skills!L4/10)*(E1791/1000),Skills!L4/10)+Skills!O4</f>
        <v/>
      </c>
      <c r="G1791">
        <f>Skills!G4*IF(Skills!H4&gt;0,Skills!I4/Skills!H4,1)</f>
        <v/>
      </c>
      <c r="H1791">
        <f>1-(1-Skills!J4/100)^Skills!K4</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1799=TRUE,F1799,0)/100)*(1+(IF(Skills!A4="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1807=TRUE)*(F1807-Calc!F20)),(Inputs!$B$23+0+(IF(ArtifactsInput!$M$15,CHOOSE(ArtifactsInput!$N$15+1,25,30,35,40,45,50)/100*(Inputs!$B$11-Inputs!$B$11),0))))/100+(Inputs!$B$23+0+(IF(ArtifactsInput!$M$15,CHOOSE(ArtifactsInput!$N$15+1,25,30,35,40,45,50)/100*(Inputs!$B$11-Inputs!$B$11),0)))/100)/2</f>
        <v/>
      </c>
      <c r="M1791">
        <f>L1791*(1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IF(B1823=0,0,O1791/B1823)</f>
        <v/>
      </c>
      <c r="Q1791" t="n">
        <v>0</v>
      </c>
      <c r="R1791" t="n">
        <v>0</v>
      </c>
      <c r="S1791">
        <f>IFERROR(O1791/N1791,0)</f>
        <v/>
      </c>
      <c r="T1791">
        <f>IF(C1791,(Skills!G4*H1791*N1791*B1817)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91">
        <f>290*U1790/1000</f>
        <v/>
      </c>
      <c r="V1791">
        <f>IF(C1791,(Skills!G4*H1791*N1791*B1817)*IF(Inputs!$B$38="pvp",1,(1+(Inputs!$B$21+Skills!Q4+(IF(ArtifactsInput!$M$33,CHOOSE(ArtifactsInput!$N$33+1,30,36,42,48,54,60),0))+(IF(AND(ArtifactsInput!$M$35,Inputs!$B$4&lt;&gt;"Chapter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Skills!A5</f>
        <v/>
      </c>
      <c r="B1792">
        <f>Skills!B5</f>
        <v/>
      </c>
      <c r="C1792">
        <f>Inputs!$B$3&gt;=60</f>
        <v/>
      </c>
      <c r="D1792">
        <f>IF(Skills!C5=1,60+Inputs!$B$25+Inputs!$B$29,IF(Skills!C5=2,90+Inputs!$B$26+Inputs!$B$29,IF(Skills!C5=3,120+Inputs!$B$27+Inputs!$B$29,MAX(0,(Inputs!$B$3-100)*3)+Inputs!$B$28+Inputs!$B$29)))</f>
        <v/>
      </c>
      <c r="E1792">
        <f>INDEX(FactorTable!$B$2:$Y$301, MATCH(ROUND(MIN(300,MAX(1,D1792)),0), FactorTable!$A$2:$A$301,0), Skills!M5+1)</f>
        <v/>
      </c>
      <c r="F1792">
        <f>IF(Skills!N5=TRUE,(Skills!L5/10)*(E1792/1000),Skills!L5/10)+Skills!O5</f>
        <v/>
      </c>
      <c r="G1792">
        <f>Skills!G5*IF(Skills!H5&gt;0,Skills!I5/Skills!H5,1)</f>
        <v/>
      </c>
      <c r="H1792">
        <f>1-(1-Skills!J5/100)^Skills!K5</f>
        <v/>
      </c>
      <c r="I1792" t="inlineStr">
        <is>
          <t>1</t>
        </is>
      </c>
      <c r="J1792" t="inlineStr"/>
      <c r="K1792" t="inlineStr"/>
      <c r="L1792" t="inlineStr"/>
      <c r="M1792" t="inlineStr"/>
      <c r="N1792" t="inlineStr"/>
      <c r="O1792">
        <f>(1-Summary!$B$11)*T1792+Summary!$B$11*V1792</f>
        <v/>
      </c>
      <c r="P1792">
        <f>IF(B1823=0,0,O1792/B1823)</f>
        <v/>
      </c>
      <c r="Q1792" t="n">
        <v>0</v>
      </c>
      <c r="R1792" t="n">
        <v>0</v>
      </c>
      <c r="S1792">
        <f>IFERROR(O1792/N1792,0)</f>
        <v/>
      </c>
      <c r="T1792" t="n">
        <v>0</v>
      </c>
      <c r="V1792" t="n">
        <v>0</v>
      </c>
    </row>
    <row r="1793">
      <c r="A1793">
        <f>Skills!A6</f>
        <v/>
      </c>
      <c r="B1793">
        <f>Skills!B6</f>
        <v/>
      </c>
      <c r="C1793">
        <f>Inputs!$B$3&gt;=63</f>
        <v/>
      </c>
      <c r="D1793">
        <f>IF(Skills!C6=1,60+Inputs!$B$25+Inputs!$B$29,IF(Skills!C6=2,90+Inputs!$B$26+Inputs!$B$29,IF(Skills!C6=3,120+Inputs!$B$27+Inputs!$B$29,MAX(0,(Inputs!$B$3-100)*3)+Inputs!$B$28+Inputs!$B$29)))</f>
        <v/>
      </c>
      <c r="E1793">
        <f>INDEX(FactorTable!$B$2:$Y$301, MATCH(ROUND(MIN(300,MAX(1,D1793)),0), FactorTable!$A$2:$A$301,0), Skills!M6+1)</f>
        <v/>
      </c>
      <c r="F1793">
        <f>IF(Skills!N6=TRUE,(Skills!L6/10)*(E1793/1000),Skills!L6/10)+Skills!O6</f>
        <v/>
      </c>
      <c r="G1793">
        <f>Skills!G6*IF(Skills!H6&gt;0,Skills!I6/Skills!H6,1)</f>
        <v/>
      </c>
      <c r="H1793">
        <f>1-(1-Skills!J6/100)^Skills!K6</f>
        <v/>
      </c>
      <c r="I1793" t="inlineStr">
        <is>
          <t>1</t>
        </is>
      </c>
      <c r="J1793">
        <f>((Inputs!$B$6*(1+Inputs!$B$7/100))+(((Inputs!$B$12*(1+Inputs!$B$13/100))-(Inputs!$B$12*(1+Inputs!$B$13/100)))+0.25*(Inputs!$B$14-Inputs!$B$14))*(1+Inputs!$B$7/100))*(F1793/100)</f>
        <v/>
      </c>
      <c r="K1793">
        <f>J1793*(1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1799=TRUE,F1799,0)/100)*(1+(IF(Skills!A6="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1793)</f>
        <v/>
      </c>
      <c r="L1793">
        <f>K1793*(MIN(Inputs!$B$22+((C1807=TRUE)*(F1807-Calc!F20)),(Inputs!$B$23+0+(IF(ArtifactsInput!$M$15,CHOOSE(ArtifactsInput!$N$15+1,25,30,35,40,45,50)/100*(Inputs!$B$11-Inputs!$B$11),0))))/100+(Inputs!$B$23+0+(IF(ArtifactsInput!$M$15,CHOOSE(ArtifactsInput!$N$15+1,25,30,35,40,45,50)/100*(Inputs!$B$11-Inputs!$B$11),0)))/100)/2</f>
        <v/>
      </c>
      <c r="M1793">
        <f>L1793*(1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3">
        <f>L1793*(1-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1793*(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3">
        <f>(1-Summary!$B$11)*T1793+Summary!$B$11*V1793</f>
        <v/>
      </c>
      <c r="P1793">
        <f>IF(B1823=0,0,O1793/B1823)</f>
        <v/>
      </c>
      <c r="Q1793">
        <f>IFERROR(1/(IF(Inputs!$B$38="pvp",15,MAX(0.1,Skills!D6-IF(Skills!E6=TRUE,Inputs!$B$32,0)))*(1-IF(AND(ArtifactsInput!$M$27,Inputs!$B$4="Chapter Hunt"),CHOOSE(ArtifactsInput!$N$27+1,20,24,28,32,36,40),0)/100)),0)</f>
        <v/>
      </c>
      <c r="R1793">
        <f>IF(AND(Inputs!$B$38&lt;&gt;"pvp",Inputs!$B$43&gt;0),IF(MAX(0,Inputs!$B$43-B1820)&lt;=0,0,(INT(MAX(0,Inputs!$B$43-B1820)/(IF(Inputs!$B$38="pvp",15,MAX(0.1,Skills!D6-IF(Skills!E6=TRUE,Inputs!$B$32,0)))*(1-IF(AND(ArtifactsInput!$M$27,Inputs!$B$4="Chapter Hunt"),CHOOSE(ArtifactsInput!$N$27+1,20,24,28,32,36,40),0)/100)))+1)),0)</f>
        <v/>
      </c>
      <c r="S1793">
        <f>IFERROR(O1793/N1793,0)</f>
        <v/>
      </c>
      <c r="T1793">
        <f>IF(C1793,(H1793*N1793*IF(AND(Inputs!$B$38&lt;&gt;"pvp",Inputs!$B$43&gt;0),((Skills!G6*((R1793-1)*IF(Skills!H6&gt;0,Skills!I6/Skills!H6,1)+IF(Skills!H6&gt;0,MIN(Skills!I6,MAX(0,MAX(0,Inputs!$B$43-B1820)-((R1793-1)*(IF(Inputs!$B$38="pvp",15,MAX(0.1,Skills!D6-IF(Skills!E6=TRUE,Inputs!$B$32,0)))*(1-IF(AND(ArtifactsInput!$M$27,Inputs!$B$4="Chapter Hunt"),CHOOSE(ArtifactsInput!$N$27+1,20,24,28,32,36,40),0)/100)))))/Skills!H6,1)))/Inputs!$B$43),G1793*Q1793)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1793*(1-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1793*(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1793*(1-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1793*(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3">
        <f>IF(C1793,(H1793*N1793*IF(AND(Inputs!$B$38&lt;&gt;"pvp",Inputs!$B$43&gt;0),((Skills!G6*((R1793-1)*IF(Skills!H6&gt;0,Skills!I6/Skills!H6,1)+IF(Skills!H6&gt;0,MIN(Skills!I6,MAX(0,MAX(0,Inputs!$B$43-B1820)-((R1793-1)*(IF(Inputs!$B$38="pvp",15,MAX(0.1,Skills!D6-IF(Skills!E6=TRUE,Inputs!$B$32,0)))*(1-IF(AND(ArtifactsInput!$M$27,Inputs!$B$4="Chapter Hunt"),CHOOSE(ArtifactsInput!$N$27+1,20,24,28,32,36,40),0)/100)))))/Skills!H6,1)))/Inputs!$B$43),G1793*Q1793))*IF(Inputs!$B$38="pvp",1,(1+(Inputs!$B$21+Skills!Q6+(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4">
      <c r="A1794">
        <f>Skills!A7</f>
        <v/>
      </c>
      <c r="B1794">
        <f>Skills!B7</f>
        <v/>
      </c>
      <c r="C1794">
        <f>Inputs!$B$3&gt;=100</f>
        <v/>
      </c>
      <c r="D1794">
        <f>IF(Skills!C7=1,60+Inputs!$B$25+Inputs!$B$29,IF(Skills!C7=2,90+Inputs!$B$26+Inputs!$B$29,IF(Skills!C7=3,120+Inputs!$B$27+Inputs!$B$29,MAX(0,(Inputs!$B$3-100)*3)+Inputs!$B$28+Inputs!$B$29)))</f>
        <v/>
      </c>
      <c r="E1794">
        <f>INDEX(FactorTable!$B$2:$Y$301, MATCH(ROUND(MIN(300,MAX(1,D1794)),0), FactorTable!$A$2:$A$301,0), Skills!M7+1)</f>
        <v/>
      </c>
      <c r="F1794">
        <f>IF(Skills!N7=TRUE,(Skills!L7/10)*(E1794/1000),Skills!L7/10)+Skills!O7</f>
        <v/>
      </c>
      <c r="G1794">
        <f>Skills!G7*IF(Skills!H7&gt;0,Skills!I7/Skills!H7,1)</f>
        <v/>
      </c>
      <c r="H1794">
        <f>1-(1-Skills!J7/100)^Skills!K7</f>
        <v/>
      </c>
      <c r="I1794" t="inlineStr">
        <is>
          <t>1</t>
        </is>
      </c>
      <c r="J1794">
        <f>((Inputs!$B$6*(1+Inputs!$B$7/100))+(((Inputs!$B$12*(1+Inputs!$B$13/100))-(Inputs!$B$12*(1+Inputs!$B$13/100)))+0.25*(Inputs!$B$14-Inputs!$B$14))*(1+Inputs!$B$7/100))*(F1794/100)</f>
        <v/>
      </c>
      <c r="K1794">
        <f>J1794*(1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1794)</f>
        <v/>
      </c>
      <c r="L1794">
        <f>K1794*(MIN(Inputs!$B$22+((C1807=TRUE)*(F1807-Calc!F20)),(Inputs!$B$23+0+(IF(ArtifactsInput!$M$15,CHOOSE(ArtifactsInput!$N$15+1,25,30,35,40,45,50)/100*(Inputs!$B$11-Inputs!$B$11),0))))/100+(Inputs!$B$23+0+(IF(ArtifactsInput!$M$15,CHOOSE(ArtifactsInput!$N$15+1,25,30,35,40,45,50)/100*(Inputs!$B$11-Inputs!$B$11),0)))/100)/2</f>
        <v/>
      </c>
      <c r="M1794">
        <f>L1794*(1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4">
        <f>L1794*(1-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1794*(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4">
        <f>(1-Summary!$B$11)*T1794+Summary!$B$11*V1794</f>
        <v/>
      </c>
      <c r="P1794">
        <f>IF(B1823=0,0,O1794/B1823)</f>
        <v/>
      </c>
      <c r="Q1794">
        <f>IFERROR(1/(IF(Inputs!$B$38="pvp",15,MAX(0.1,Skills!D7-IF(Skills!E7=TRUE,Inputs!$B$32,0)))*(1-IF(AND(ArtifactsInput!$M$27,Inputs!$B$4="Chapter Hunt"),CHOOSE(ArtifactsInput!$N$27+1,20,24,28,32,36,40),0)/100)),0)</f>
        <v/>
      </c>
      <c r="R1794">
        <f>IF(AND(Inputs!$B$38&lt;&gt;"pvp",Inputs!$B$43&gt;0),IF(MAX(0,Inputs!$B$43-B1820)&lt;=0,0,(INT(MAX(0,Inputs!$B$43-B1820)/(IF(Inputs!$B$38="pvp",15,MAX(0.1,Skills!D7-IF(Skills!E7=TRUE,Inputs!$B$32,0)))*(1-IF(AND(ArtifactsInput!$M$27,Inputs!$B$4="Chapter Hunt"),CHOOSE(ArtifactsInput!$N$27+1,20,24,28,32,36,40),0)/100)))+1)),0)</f>
        <v/>
      </c>
      <c r="S1794">
        <f>IFERROR(O1794/N1794,0)</f>
        <v/>
      </c>
      <c r="T1794">
        <f>IF(C1794,(H1794*N1794*IF(AND(Inputs!$B$38&lt;&gt;"pvp",Inputs!$B$43&gt;0),((Skills!G7*((R1794-1)*IF(Skills!H7&gt;0,Skills!I7/Skills!H7,1)+IF(Skills!H7&gt;0,MIN(Skills!I7,MAX(0,MAX(0,Inputs!$B$43-B1820)-((R1794-1)*(IF(Inputs!$B$38="pvp",15,MAX(0.1,Skills!D7-IF(Skills!E7=TRUE,Inputs!$B$32,0)))*(1-IF(AND(ArtifactsInput!$M$27,Inputs!$B$4="Chapter Hunt"),CHOOSE(ArtifactsInput!$N$27+1,20,24,28,32,36,40),0)/100)))))/Skills!H7,1)))/Inputs!$B$43),G1794*Q1794)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1794*(1-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1794*(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1794*(1-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1794*(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4">
        <f>IF(C1794,(H1794*N1794*IF(AND(Inputs!$B$38&lt;&gt;"pvp",Inputs!$B$43&gt;0),((Skills!G7*((R1794-1)*IF(Skills!H7&gt;0,Skills!I7/Skills!H7,1)+IF(Skills!H7&gt;0,MIN(Skills!I7,MAX(0,MAX(0,Inputs!$B$43-B1820)-((R1794-1)*(IF(Inputs!$B$38="pvp",15,MAX(0.1,Skills!D7-IF(Skills!E7=TRUE,Inputs!$B$32,0)))*(1-IF(AND(ArtifactsInput!$M$27,Inputs!$B$4="Chapter Hunt"),CHOOSE(ArtifactsInput!$N$27+1,20,24,28,32,36,40),0)/100)))))/Skills!H7,1)))/Inputs!$B$43),G1794*Q1794))*IF(Inputs!$B$38="pvp",1,(1+(Inputs!$B$21+Skills!Q7+(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5">
      <c r="A1795">
        <f>Skills!A8</f>
        <v/>
      </c>
      <c r="B1795">
        <f>Skills!B8</f>
        <v/>
      </c>
      <c r="C1795">
        <f>Inputs!$B$3&gt;=110</f>
        <v/>
      </c>
      <c r="D1795">
        <f>IF(Skills!C8=1,60+Inputs!$B$25+Inputs!$B$29,IF(Skills!C8=2,90+Inputs!$B$26+Inputs!$B$29,IF(Skills!C8=3,120+Inputs!$B$27+Inputs!$B$29,MAX(0,(Inputs!$B$3-100)*3)+Inputs!$B$28+Inputs!$B$29)))</f>
        <v/>
      </c>
      <c r="E1795">
        <f>INDEX(FactorTable!$B$2:$Y$301, MATCH(ROUND(MIN(300,MAX(1,D1795)),0), FactorTable!$A$2:$A$301,0), Skills!M8+1)</f>
        <v/>
      </c>
      <c r="F1795">
        <f>IF(Skills!N8=TRUE,(Skills!L8/10)*(E1795/1000),Skills!L8/10)+Skills!O8</f>
        <v/>
      </c>
      <c r="G1795">
        <f>Skills!G8*IF(Skills!H8&gt;0,Skills!I8/Skills!H8,1)</f>
        <v/>
      </c>
      <c r="H1795">
        <f>1-(1-Skills!J8/100)^Skills!K8</f>
        <v/>
      </c>
      <c r="I1795" t="inlineStr">
        <is>
          <t>1</t>
        </is>
      </c>
      <c r="J1795">
        <f>((Inputs!$B$6*(1+Inputs!$B$7/100))+(((Inputs!$B$12*(1+Inputs!$B$13/100))-(Inputs!$B$12*(1+Inputs!$B$13/100)))+0.25*(Inputs!$B$14-Inputs!$B$14))*(1+Inputs!$B$7/100))*(F1795/100)</f>
        <v/>
      </c>
      <c r="K1795">
        <f>J1795*(1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1795)</f>
        <v/>
      </c>
      <c r="L1795">
        <f>K1795*(MIN(Inputs!$B$22+((C1807=TRUE)*(F1807-Calc!F20)),(Inputs!$B$23+0+(IF(ArtifactsInput!$M$15,CHOOSE(ArtifactsInput!$N$15+1,25,30,35,40,45,50)/100*(Inputs!$B$11-Inputs!$B$11),0))))/100+(Inputs!$B$23+0+(IF(ArtifactsInput!$M$15,CHOOSE(ArtifactsInput!$N$15+1,25,30,35,40,45,50)/100*(Inputs!$B$11-Inputs!$B$11),0)))/100)/2</f>
        <v/>
      </c>
      <c r="M1795">
        <f>L1795*(1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5">
        <f>L1795*(1-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1795*(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5">
        <f>(1-Summary!$B$11)*T1795+Summary!$B$11*V1795</f>
        <v/>
      </c>
      <c r="P1795">
        <f>IF(B1823=0,0,O1795/B1823)</f>
        <v/>
      </c>
      <c r="Q1795">
        <f>IFERROR(1/(IF(Inputs!$B$38="pvp",15,MAX(0.1,Skills!D8-IF(Skills!E8=TRUE,Inputs!$B$32,0)))*(1-IF(AND(ArtifactsInput!$M$27,Inputs!$B$4="Chapter Hunt"),CHOOSE(ArtifactsInput!$N$27+1,20,24,28,32,36,40),0)/100)),0)</f>
        <v/>
      </c>
      <c r="R1795">
        <f>IF(AND(Inputs!$B$38&lt;&gt;"pvp",Inputs!$B$43&gt;0),IF(MAX(0,Inputs!$B$43-B1820)&lt;=0,0,(INT(MAX(0,Inputs!$B$43-B1820)/(IF(Inputs!$B$38="pvp",15,MAX(0.1,Skills!D8-IF(Skills!E8=TRUE,Inputs!$B$32,0)))*(1-IF(AND(ArtifactsInput!$M$27,Inputs!$B$4="Chapter Hunt"),CHOOSE(ArtifactsInput!$N$27+1,20,24,28,32,36,40),0)/100)))+1)),0)</f>
        <v/>
      </c>
      <c r="S1795">
        <f>IFERROR(O1795/N1795,0)</f>
        <v/>
      </c>
      <c r="T1795">
        <f>IF(C1795,(H1795*N1795*IF(AND(Inputs!$B$38&lt;&gt;"pvp",Inputs!$B$43&gt;0),((Skills!G8*((R1795-1)*IF(Skills!H8&gt;0,Skills!I8/Skills!H8,1)+IF(Skills!H8&gt;0,MIN(Skills!I8,MAX(0,MAX(0,Inputs!$B$43-B1820)-((R1795-1)*(IF(Inputs!$B$38="pvp",15,MAX(0.1,Skills!D8-IF(Skills!E8=TRUE,Inputs!$B$32,0)))*(1-IF(AND(ArtifactsInput!$M$27,Inputs!$B$4="Chapter Hunt"),CHOOSE(ArtifactsInput!$N$27+1,20,24,28,32,36,40),0)/100)))))/Skills!H8,1)))/Inputs!$B$43),G1795*Q1795)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1795*(1-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1795*(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1795*(1-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1795*(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5">
        <f>IF(C1795,(H1795*N1795*IF(AND(Inputs!$B$38&lt;&gt;"pvp",Inputs!$B$43&gt;0),((Skills!G8*((R1795-1)*IF(Skills!H8&gt;0,Skills!I8/Skills!H8,1)+IF(Skills!H8&gt;0,MIN(Skills!I8,MAX(0,MAX(0,Inputs!$B$43-B1820)-((R1795-1)*(IF(Inputs!$B$38="pvp",15,MAX(0.1,Skills!D8-IF(Skills!E8=TRUE,Inputs!$B$32,0)))*(1-IF(AND(ArtifactsInput!$M$27,Inputs!$B$4="Chapter Hunt"),CHOOSE(ArtifactsInput!$N$27+1,20,24,28,32,36,40),0)/100)))))/Skills!H8,1)))/Inputs!$B$43),G1795*Q1795))*IF(Inputs!$B$38="pvp",1,(1+(Inputs!$B$21+Skills!Q8+(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6">
      <c r="A1796">
        <f>Skills!A9</f>
        <v/>
      </c>
      <c r="B1796">
        <f>Skills!B9</f>
        <v/>
      </c>
      <c r="C1796">
        <f>Inputs!$B$3&gt;=110</f>
        <v/>
      </c>
      <c r="D1796">
        <f>IF(Skills!C9=1,60+Inputs!$B$25+Inputs!$B$29,IF(Skills!C9=2,90+Inputs!$B$26+Inputs!$B$29,IF(Skills!C9=3,120+Inputs!$B$27+Inputs!$B$29,MAX(0,(Inputs!$B$3-100)*3)+Inputs!$B$28+Inputs!$B$29)))</f>
        <v/>
      </c>
      <c r="E1796">
        <f>INDEX(FactorTable!$B$2:$Y$301, MATCH(ROUND(MIN(300,MAX(1,D1796)),0), FactorTable!$A$2:$A$301,0), Skills!M9+1)</f>
        <v/>
      </c>
      <c r="F1796">
        <f>IF(Skills!N9=TRUE,(Skills!L9/10)*(E1796/1000),Skills!L9/10)+Skills!O9</f>
        <v/>
      </c>
      <c r="G1796">
        <f>Skills!G9*IF(Skills!H9&gt;0,Skills!I9/Skills!H9,1)</f>
        <v/>
      </c>
      <c r="H1796">
        <f>1-(1-Skills!J9/100)^Skills!K9</f>
        <v/>
      </c>
      <c r="I1796" t="inlineStr">
        <is>
          <t>1</t>
        </is>
      </c>
      <c r="J1796">
        <f>((Inputs!$B$6*(1+Inputs!$B$7/100))+(((Inputs!$B$12*(1+Inputs!$B$13/100))-(Inputs!$B$12*(1+Inputs!$B$13/100)))+0.25*(Inputs!$B$14-Inputs!$B$14))*(1+Inputs!$B$7/100))*(F1796/100)</f>
        <v/>
      </c>
      <c r="K1796">
        <f>J1796*(1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1796)</f>
        <v/>
      </c>
      <c r="L1796">
        <f>K1796*(MIN(Inputs!$B$22+((C1807=TRUE)*(F1807-Calc!F20)),(Inputs!$B$23+0+(IF(ArtifactsInput!$M$15,CHOOSE(ArtifactsInput!$N$15+1,25,30,35,40,45,50)/100*(Inputs!$B$11-Inputs!$B$11),0))))/100+(Inputs!$B$23+0+(IF(ArtifactsInput!$M$15,CHOOSE(ArtifactsInput!$N$15+1,25,30,35,40,45,50)/100*(Inputs!$B$11-Inputs!$B$11),0)))/100)/2</f>
        <v/>
      </c>
      <c r="M1796">
        <f>L1796*(1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6">
        <f>L1796*(1-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1796*(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6">
        <f>(1-Summary!$B$11)*T1796+Summary!$B$11*V1796</f>
        <v/>
      </c>
      <c r="P1796">
        <f>IF(B1823=0,0,O1796/B1823)</f>
        <v/>
      </c>
      <c r="Q1796">
        <f>IFERROR(1/(IF(Inputs!$B$38="pvp",15,MAX(0.1,Skills!D9-IF(Skills!E9=TRUE,Inputs!$B$32,0)))*(1-IF(AND(ArtifactsInput!$M$27,Inputs!$B$4="Chapter Hunt"),CHOOSE(ArtifactsInput!$N$27+1,20,24,28,32,36,40),0)/100)),0)</f>
        <v/>
      </c>
      <c r="R1796">
        <f>IF(AND(Inputs!$B$38&lt;&gt;"pvp",Inputs!$B$43&gt;0),IF(MAX(0,Inputs!$B$43-B1820)&lt;=0,0,(INT(MAX(0,Inputs!$B$43-B1820)/(IF(Inputs!$B$38="pvp",15,MAX(0.1,Skills!D9-IF(Skills!E9=TRUE,Inputs!$B$32,0)))*(1-IF(AND(ArtifactsInput!$M$27,Inputs!$B$4="Chapter Hunt"),CHOOSE(ArtifactsInput!$N$27+1,20,24,28,32,36,40),0)/100)))+1)),0)</f>
        <v/>
      </c>
      <c r="S1796">
        <f>IFERROR(O1796/N1796,0)</f>
        <v/>
      </c>
      <c r="T1796">
        <f>IF(C1796,(H1796*N1796*IF(AND(Inputs!$B$38&lt;&gt;"pvp",Inputs!$B$43&gt;0),((Skills!G9*((R1796-1)*IF(Skills!H9&gt;0,Skills!I9/Skills!H9,1)+IF(Skills!H9&gt;0,MIN(Skills!I9,MAX(0,MAX(0,Inputs!$B$43-B1820)-((R1796-1)*(IF(Inputs!$B$38="pvp",15,MAX(0.1,Skills!D9-IF(Skills!E9=TRUE,Inputs!$B$32,0)))*(1-IF(AND(ArtifactsInput!$M$27,Inputs!$B$4="Chapter Hunt"),CHOOSE(ArtifactsInput!$N$27+1,20,24,28,32,36,40),0)/100)))))/Skills!H9,1)))/Inputs!$B$43),G1796*Q1796)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1796*(1-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1796*(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1796*(1-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1796*(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6">
        <f>IF(C1796,(H1796*N1796*IF(AND(Inputs!$B$38&lt;&gt;"pvp",Inputs!$B$43&gt;0),((Skills!G9*((R1796-1)*IF(Skills!H9&gt;0,Skills!I9/Skills!H9,1)+IF(Skills!H9&gt;0,MIN(Skills!I9,MAX(0,MAX(0,Inputs!$B$43-B1820)-((R1796-1)*(IF(Inputs!$B$38="pvp",15,MAX(0.1,Skills!D9-IF(Skills!E9=TRUE,Inputs!$B$32,0)))*(1-IF(AND(ArtifactsInput!$M$27,Inputs!$B$4="Chapter Hunt"),CHOOSE(ArtifactsInput!$N$27+1,20,24,28,32,36,40),0)/100)))))/Skills!H9,1)))/Inputs!$B$43),G1796*Q1796))*IF(Inputs!$B$38="pvp",1,(1+(Inputs!$B$21+Skills!Q9+(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7">
      <c r="A1797">
        <f>Skills!A10</f>
        <v/>
      </c>
      <c r="B1797">
        <f>Skills!B10</f>
        <v/>
      </c>
      <c r="C1797">
        <f>Inputs!$B$3&gt;=103</f>
        <v/>
      </c>
      <c r="D1797">
        <f>IF(Skills!C10=1,60+Inputs!$B$25+Inputs!$B$29,IF(Skills!C10=2,90+Inputs!$B$26+Inputs!$B$29,IF(Skills!C10=3,120+Inputs!$B$27+Inputs!$B$29,MAX(0,(Inputs!$B$3-100)*3)+Inputs!$B$28+Inputs!$B$29)))</f>
        <v/>
      </c>
      <c r="E1797">
        <f>INDEX(FactorTable!$B$2:$Y$301, MATCH(ROUND(MIN(300,MAX(1,D1797)),0), FactorTable!$A$2:$A$301,0), Skills!M10+1)</f>
        <v/>
      </c>
      <c r="F1797">
        <f>IF(Skills!N10=TRUE,(Skills!L10/10)*(E1797/1000),Skills!L10/10)+Skills!O10</f>
        <v/>
      </c>
      <c r="G1797">
        <f>Skills!G10*IF(Skills!H10&gt;0,Skills!I10/Skills!H10,1)</f>
        <v/>
      </c>
      <c r="H1797">
        <f>1-(1-Skills!J10/100)^Skills!K10</f>
        <v/>
      </c>
      <c r="I1797" t="inlineStr">
        <is>
          <t>1</t>
        </is>
      </c>
      <c r="J1797">
        <f>((Inputs!$B$6*(1+Inputs!$B$7/100))+(((Inputs!$B$12*(1+Inputs!$B$13/100))-(Inputs!$B$12*(1+Inputs!$B$13/100)))+0.25*(Inputs!$B$14-Inputs!$B$14))*(1+Inputs!$B$7/100))*(F1797/100)</f>
        <v/>
      </c>
      <c r="K1797">
        <f>J1797*(1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1797)</f>
        <v/>
      </c>
      <c r="L1797">
        <f>K1797*(MIN(Inputs!$B$22+((C1807=TRUE)*(F1807-Calc!F20)),(Inputs!$B$23+0+(IF(ArtifactsInput!$M$15,CHOOSE(ArtifactsInput!$N$15+1,25,30,35,40,45,50)/100*(Inputs!$B$11-Inputs!$B$11),0))))/100+(Inputs!$B$23+0+(IF(ArtifactsInput!$M$15,CHOOSE(ArtifactsInput!$N$15+1,25,30,35,40,45,50)/100*(Inputs!$B$11-Inputs!$B$11),0)))/100)/2</f>
        <v/>
      </c>
      <c r="M1797">
        <f>L1797*(1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7">
        <f>L1797*(1-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1797*(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7">
        <f>(1-Summary!$B$11)*T1797+Summary!$B$11*V1797</f>
        <v/>
      </c>
      <c r="P1797">
        <f>IF(B1823=0,0,O1797/B1823)</f>
        <v/>
      </c>
      <c r="Q1797">
        <f>IFERROR(1/(IF(Inputs!$B$38="pvp",15,MAX(0.1,Skills!D10-IF(Skills!E10=TRUE,Inputs!$B$32,0)))*(1-IF(AND(ArtifactsInput!$M$27,Inputs!$B$4="Chapter Hunt"),CHOOSE(ArtifactsInput!$N$27+1,20,24,28,32,36,40),0)/100)),0)</f>
        <v/>
      </c>
      <c r="R1797">
        <f>IF(AND(Inputs!$B$38&lt;&gt;"pvp",Inputs!$B$43&gt;0),IF(MAX(0,Inputs!$B$43-B1820)&lt;=0,0,(INT(MAX(0,Inputs!$B$43-B1820)/(IF(Inputs!$B$38="pvp",15,MAX(0.1,Skills!D10-IF(Skills!E10=TRUE,Inputs!$B$32,0)))*(1-IF(AND(ArtifactsInput!$M$27,Inputs!$B$4="Chapter Hunt"),CHOOSE(ArtifactsInput!$N$27+1,20,24,28,32,36,40),0)/100)))+1)),0)</f>
        <v/>
      </c>
      <c r="S1797">
        <f>IFERROR(O1797/N1797,0)</f>
        <v/>
      </c>
      <c r="T1797">
        <f>IF(C1797,(H1797*N1797*IF(AND(Inputs!$B$38&lt;&gt;"pvp",Inputs!$B$43&gt;0),((Skills!G10*((R1797-1)*IF(Skills!H10&gt;0,Skills!I10/Skills!H10,1)+IF(Skills!H10&gt;0,MIN(Skills!I10,MAX(0,MAX(0,Inputs!$B$43-B1820)-((R1797-1)*(IF(Inputs!$B$38="pvp",15,MAX(0.1,Skills!D10-IF(Skills!E10=TRUE,Inputs!$B$32,0)))*(1-IF(AND(ArtifactsInput!$M$27,Inputs!$B$4="Chapter Hunt"),CHOOSE(ArtifactsInput!$N$27+1,20,24,28,32,36,40),0)/100)))))/Skills!H10,1)))/Inputs!$B$43),G1797*Q1797)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1797*(1-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1797*(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1797*(1-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1797*(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7">
        <f>IF(C1797,(H1797*N1797*IF(AND(Inputs!$B$38&lt;&gt;"pvp",Inputs!$B$43&gt;0),((Skills!G10*((R1797-1)*IF(Skills!H10&gt;0,Skills!I10/Skills!H10,1)+IF(Skills!H10&gt;0,MIN(Skills!I10,MAX(0,MAX(0,Inputs!$B$43-B1820)-((R1797-1)*(IF(Inputs!$B$38="pvp",15,MAX(0.1,Skills!D10-IF(Skills!E10=TRUE,Inputs!$B$32,0)))*(1-IF(AND(ArtifactsInput!$M$27,Inputs!$B$4="Chapter Hunt"),CHOOSE(ArtifactsInput!$N$27+1,20,24,28,32,36,40),0)/100)))))/Skills!H10,1)))/Inputs!$B$43),G1797*Q1797))*IF(Inputs!$B$38="pvp",1,(1+(Inputs!$B$21+Skills!Q10+(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8">
      <c r="A1798">
        <f>Skills!A11</f>
        <v/>
      </c>
      <c r="B1798">
        <f>Skills!B11</f>
        <v/>
      </c>
      <c r="C1798">
        <f>Inputs!$B$3&gt;=113</f>
        <v/>
      </c>
      <c r="D1798">
        <f>IF(Skills!C11=1,60+Inputs!$B$25+Inputs!$B$29,IF(Skills!C11=2,90+Inputs!$B$26+Inputs!$B$29,IF(Skills!C11=3,120+Inputs!$B$27+Inputs!$B$29,MAX(0,(Inputs!$B$3-100)*3)+Inputs!$B$28+Inputs!$B$29)))</f>
        <v/>
      </c>
      <c r="E1798">
        <f>INDEX(FactorTable!$B$2:$Y$301, MATCH(ROUND(MIN(300,MAX(1,D1798)),0), FactorTable!$A$2:$A$301,0), Skills!M11+1)</f>
        <v/>
      </c>
      <c r="F1798">
        <f>IF(Skills!N11=TRUE,(Skills!L11/10)*(E1798/1000),Skills!L11/10)+Skills!O11</f>
        <v/>
      </c>
      <c r="G1798">
        <f>Skills!G11*IF(Skills!H11&gt;0,Skills!I11/Skills!H11,1)</f>
        <v/>
      </c>
      <c r="H1798">
        <f>1-(1-Skills!J11/100)^Skills!K11</f>
        <v/>
      </c>
      <c r="I1798" t="inlineStr">
        <is>
          <t>1</t>
        </is>
      </c>
      <c r="J1798">
        <f>((Inputs!$B$6*(1+Inputs!$B$7/100))+(((Inputs!$B$12*(1+Inputs!$B$13/100))-(Inputs!$B$12*(1+Inputs!$B$13/100)))+0.25*(Inputs!$B$14-Inputs!$B$14))*(1+Inputs!$B$7/100))*(F1798/100)</f>
        <v/>
      </c>
      <c r="K1798">
        <f>J1798*(1+((Inputs!$B$12*(1+Inputs!$B$13/100))*0.01+Inputs!$B$14*0.0025)/100)*(1+Inputs!$B$15/100)*(1+Inputs!$B$16/100)*(5000/(6000+Inputs!$B$42*(1-(100*(1-(1-(Inputs!$B$19+0)/100)*(1-CHOOSE(ArtifactsInput!$N$40+1,5,6,7,8,9,10)/100)^(ArtifactsInput!$M$40-ArtifactsInput!$M$40)))/100)))*(1+(Inputs!$B$24+((C1809=TRUE)*(F1809-Calc!F22))+B1819)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1808=TRUE)*(F1808-Calc!F21))+(((IF(AND(ArtifactsInput!$M$42,((Inputs!$B$9+((C1803=TRUE)*(F1803-Calc!F16))+B1813+(ArtifactsInput!$M$24-ArtifactsInput!$M$24)*CHOOSE(ArtifactsInput!$N$24+1,10,12,14,16,18,20)+IF(ArtifactsInput!$M$10,CHOOSE(ArtifactsInput!$N$10+1,15,18,21,24,27,30)*(IF(Inputs!$B$38="pvp",MIN(15,15)/15,IF(AND(Inputs!$B$38&lt;&gt;"pvp",Inputs!$B$43&gt;0),MIN(15,Inputs!$B$43)/(Inputs!$B$43),0))),0)))&gt;=100),MIN(100,((Inputs!$B$9+((C1803=TRUE)*(F1803-Calc!F16))+B1813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1803=TRUE)*(F1803-Calc!F16))+B1813+(ArtifactsInput!$M$24-ArtifactsInput!$M$24)*CHOOSE(ArtifactsInput!$N$24+1,10,12,14,16,18,20)+IF(ArtifactsInput!$M$10,CHOOSE(ArtifactsInput!$N$10+1,15,18,21,24,27,30)*(IF(Inputs!$B$38="pvp",MIN(15,15)/15,IF(AND(Inputs!$B$38&lt;&gt;"pvp",Inputs!$B$43&gt;0),MIN(15,Inputs!$B$43)/(Inputs!$B$43),0))),0)))&gt;=100),CHOOSE(ArtifactsInput!$N$42+1,40,48,56,64,72,80),0))))/100)*((1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1798)</f>
        <v/>
      </c>
      <c r="L1798">
        <f>K1798*(MIN(Inputs!$B$22+((C1807=TRUE)*(F1807-Calc!F20)),(Inputs!$B$23+0+(IF(ArtifactsInput!$M$15,CHOOSE(ArtifactsInput!$N$15+1,25,30,35,40,45,50)/100*(Inputs!$B$11-Inputs!$B$11),0))))/100+(Inputs!$B$23+0+(IF(ArtifactsInput!$M$15,CHOOSE(ArtifactsInput!$N$15+1,25,30,35,40,45,50)/100*(Inputs!$B$11-Inputs!$B$11),0)))/100)/2</f>
        <v/>
      </c>
      <c r="M1798">
        <f>L1798*(1+(Inputs!$B$10+0+B1818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8">
        <f>L1798*(1-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1798*(MIN((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8">
        <f>(1-Summary!$B$11)*T1798+Summary!$B$11*V1798</f>
        <v/>
      </c>
      <c r="P1798">
        <f>IF(B1823=0,0,O1798/B1823)</f>
        <v/>
      </c>
      <c r="Q1798">
        <f>IFERROR(1/(IF(Inputs!$B$38="pvp",15,MAX(0.1,Skills!D11-IF(Skills!E11=TRUE,Inputs!$B$32,0)))*(1-IF(AND(ArtifactsInput!$M$27,Inputs!$B$4="Chapter Hunt"),CHOOSE(ArtifactsInput!$N$27+1,20,24,28,32,36,40),0)/100)),0)</f>
        <v/>
      </c>
      <c r="R1798">
        <f>IF(AND(Inputs!$B$38&lt;&gt;"pvp",Inputs!$B$43&gt;0),IF(MAX(0,Inputs!$B$43-B1820)&lt;=0,0,(INT(MAX(0,Inputs!$B$43-B1820)/(IF(Inputs!$B$38="pvp",15,MAX(0.1,Skills!D11-IF(Skills!E11=TRUE,Inputs!$B$32,0)))*(1-IF(AND(ArtifactsInput!$M$27,Inputs!$B$4="Chapter Hunt"),CHOOSE(ArtifactsInput!$N$27+1,20,24,28,32,36,40),0)/100)))+1)),0)</f>
        <v/>
      </c>
      <c r="S1798">
        <f>IFERROR(O1798/N1798,0)</f>
        <v/>
      </c>
      <c r="T1798">
        <f>IF(C1798,(H1798*N1798*IF(AND(Inputs!$B$38&lt;&gt;"pvp",Inputs!$B$43&gt;0),((Skills!G11*((R1798-1)*IF(Skills!H11&gt;0,Skills!I11/Skills!H11,1)+IF(Skills!H11&gt;0,MIN(Skills!I11,MAX(0,MAX(0,Inputs!$B$43-B1820)-((R1798-1)*(IF(Inputs!$B$38="pvp",15,MAX(0.1,Skills!D11-IF(Skills!E11=TRUE,Inputs!$B$32,0)))*(1-IF(AND(ArtifactsInput!$M$27,Inputs!$B$4="Chapter Hunt"),CHOOSE(ArtifactsInput!$N$27+1,20,24,28,32,36,40),0)/100)))))/Skills!H11,1)))/Inputs!$B$43),G1798*Q1798)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1798*(1-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1798*(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1798*(1-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1798*(MIN(100,(Inputs!$B$9+((C1803=TRUE)*(F1803-Calc!F16))+B1813+(ArtifactsInput!$M$24-ArtifactsInput!$M$24)*CHOOSE(ArtifactsInput!$N$24+1,10,12,14,16,18,20)+(IF(AND(ArtifactsInput!$M$42,((Inputs!$B$9+((C1803=TRUE)*(F1803-Calc!F16))+B1813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8">
        <f>IF(C1798,(H1798*N1798*IF(AND(Inputs!$B$38&lt;&gt;"pvp",Inputs!$B$43&gt;0),((Skills!G11*((R1798-1)*IF(Skills!H11&gt;0,Skills!I11/Skills!H11,1)+IF(Skills!H11&gt;0,MIN(Skills!I11,MAX(0,MAX(0,Inputs!$B$43-B1820)-((R1798-1)*(IF(Inputs!$B$38="pvp",15,MAX(0.1,Skills!D11-IF(Skills!E11=TRUE,Inputs!$B$32,0)))*(1-IF(AND(ArtifactsInput!$M$27,Inputs!$B$4="Chapter Hunt"),CHOOSE(ArtifactsInput!$N$27+1,20,24,28,32,36,40),0)/100)))))/Skills!H11,1)))/Inputs!$B$43),G1798*Q1798))*IF(Inputs!$B$38="pvp",1,(1+(Inputs!$B$21+Skills!Q11+(IF(ArtifactsInput!$M$33,CHOOSE(ArtifactsInput!$N$33+1,30,36,42,48,54,60),0))+(IF(AND(ArtifactsInput!$M$35,Inputs!$B$4&lt;&gt;"Chapter Hunt"),CHOOSE(ArtifactsInput!$N$35+1,15,18,21,24,27,30)*(1-EXP(-(0.2*B1815)*5)),0)+IF(AND(ArtifactsInput!$M$22,Inputs!$B$4&lt;&gt;"Chapter Hunt"),CHOOSE(ArtifactsInput!$N$22+1,10,12,14,16,18,20)*((0*(((0.15*B1815*5))^0/1)+1*(((0.15*B1815*5))^1/1)+2*(((0.15*B1815*5))^2/2)+3*(((0.15*B1815*5))^3/6)+4*(((0.15*B1815*5))^4/24)+5*(((0.15*B1815*5))^5/120))/((((0.15*B1815*5))^0/1)+(((0.15*B1815*5))^1/1)+(((0.15*B1815*5))^2/2)+(((0.15*B1815*5))^3/6)+(((0.15*B1815*5))^4/24)+(((0.15*B1815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9">
      <c r="A1799">
        <f>Skills!A12</f>
        <v/>
      </c>
      <c r="B1799">
        <f>Skills!B12</f>
        <v/>
      </c>
      <c r="C1799">
        <f>Inputs!$B$3&gt;=100</f>
        <v/>
      </c>
      <c r="D1799">
        <f>IF(Skills!C12=1,60+Inputs!$B$25+Inputs!$B$29,IF(Skills!C12=2,90+Inputs!$B$26+Inputs!$B$29,IF(Skills!C12=3,120+Inputs!$B$27+Inputs!$B$29,MAX(0,(Inputs!$B$3-100)*3)+Inputs!$B$28+Inputs!$B$29)))</f>
        <v/>
      </c>
      <c r="E1799">
        <f>INDEX(FactorTable!$B$2:$Y$301, MATCH(ROUND(MIN(300,MAX(1,D1799)),0), FactorTable!$A$2:$A$301,0), Skills!M12+1)</f>
        <v/>
      </c>
      <c r="F1799">
        <f>IF(Skills!N12=TRUE,(Skills!L12/10)*(E1799/1000),Skills!L12/10)+Skills!O12</f>
        <v/>
      </c>
      <c r="G1799" t="inlineStr"/>
      <c r="H1799" t="inlineStr"/>
      <c r="I1799" t="inlineStr">
        <is>
          <t>1</t>
        </is>
      </c>
      <c r="J1799" t="inlineStr"/>
      <c r="K1799" t="inlineStr"/>
      <c r="L1799" t="inlineStr"/>
      <c r="M1799" t="inlineStr"/>
      <c r="N1799" t="inlineStr"/>
      <c r="O1799" t="inlineStr"/>
      <c r="P1799" t="inlineStr"/>
      <c r="Q1799" t="inlineStr"/>
      <c r="R1799" t="inlineStr"/>
      <c r="S1799" t="inlineStr"/>
      <c r="T1799" t="inlineStr"/>
      <c r="V1799" t="inlineStr"/>
    </row>
    <row r="1800">
      <c r="A1800">
        <f>Skills!A13</f>
        <v/>
      </c>
      <c r="B1800">
        <f>Skills!B13</f>
        <v/>
      </c>
      <c r="C1800">
        <f>Inputs!$B$3&gt;=66</f>
        <v/>
      </c>
      <c r="D1800">
        <f>IF(Skills!C13=1,60+Inputs!$B$25+Inputs!$B$29,IF(Skills!C13=2,90+Inputs!$B$26+Inputs!$B$29,IF(Skills!C13=3,120+Inputs!$B$27+Inputs!$B$29,MAX(0,(Inputs!$B$3-100)*3)+Inputs!$B$28+Inputs!$B$29)))</f>
        <v/>
      </c>
      <c r="E1800">
        <f>INDEX(FactorTable!$B$2:$Y$301, MATCH(ROUND(MIN(300,MAX(1,D1800)),0), FactorTable!$A$2:$A$301,0), Skills!M13+1)</f>
        <v/>
      </c>
      <c r="F1800">
        <f>IF(Skills!N13=TRUE,(Skills!L13/10)*(E1800/1000),Skills!L13/10)+Skills!O13</f>
        <v/>
      </c>
      <c r="G1800">
        <f>Skills!G13*IF(Skills!H13&gt;0,Skills!I13/Skills!H13,1)</f>
        <v/>
      </c>
      <c r="H1800">
        <f>1-(1-Skills!J13/100)^Skills!K13</f>
        <v/>
      </c>
      <c r="I1800" t="inlineStr">
        <is>
          <t>1</t>
        </is>
      </c>
      <c r="J1800" t="inlineStr"/>
      <c r="K1800" t="inlineStr"/>
      <c r="L1800" t="inlineStr"/>
      <c r="M1800" t="inlineStr"/>
      <c r="N1800" t="inlineStr"/>
      <c r="O1800">
        <f>(1-Summary!$B$11)*T1800+Summary!$B$11*V1800</f>
        <v/>
      </c>
      <c r="P1800">
        <f>IF(B1823=0,0,O1800/B1823)</f>
        <v/>
      </c>
      <c r="Q1800" t="n">
        <v>0</v>
      </c>
      <c r="R1800" t="n">
        <v>0</v>
      </c>
      <c r="S1800">
        <f>IFERROR(O1800/N1800,0)</f>
        <v/>
      </c>
      <c r="T1800" t="n">
        <v>0</v>
      </c>
      <c r="V1800" t="n">
        <v>0</v>
      </c>
    </row>
    <row r="1801">
      <c r="A1801">
        <f>Skills!A14</f>
        <v/>
      </c>
      <c r="B1801">
        <f>Skills!B14</f>
        <v/>
      </c>
      <c r="C1801">
        <f>Inputs!$B$3&gt;=107</f>
        <v/>
      </c>
      <c r="D1801">
        <f>IF(Skills!C14=1,60+Inputs!$B$25+Inputs!$B$29,IF(Skills!C14=2,90+Inputs!$B$26+Inputs!$B$29,IF(Skills!C14=3,120+Inputs!$B$27+Inputs!$B$29,MAX(0,(Inputs!$B$3-100)*3)+Inputs!$B$28+Inputs!$B$29)))</f>
        <v/>
      </c>
      <c r="E1801">
        <f>INDEX(FactorTable!$B$2:$Y$301, MATCH(ROUND(MIN(300,MAX(1,D1801)),0), FactorTable!$A$2:$A$301,0), Skills!M14+1)</f>
        <v/>
      </c>
      <c r="F1801">
        <f>IF(Skills!N14=TRUE,(Skills!L14/10)*(E1801/1000),Skills!L14/10)+Skills!O14</f>
        <v/>
      </c>
      <c r="G1801">
        <f>Skills!G14*IF(Skills!H14&gt;0,Skills!I14/Skills!H14,1)</f>
        <v/>
      </c>
      <c r="H1801">
        <f>1-(1-Skills!J14/100)^Skills!K14</f>
        <v/>
      </c>
      <c r="I1801" t="inlineStr">
        <is>
          <t>1</t>
        </is>
      </c>
      <c r="J1801" t="inlineStr"/>
      <c r="K1801" t="inlineStr"/>
      <c r="L1801" t="inlineStr"/>
      <c r="M1801" t="inlineStr"/>
      <c r="N1801" t="inlineStr"/>
      <c r="O1801">
        <f>(1-Summary!$B$11)*T1801+Summary!$B$11*V1801</f>
        <v/>
      </c>
      <c r="P1801">
        <f>IF(B1823=0,0,O1801/B1823)</f>
        <v/>
      </c>
      <c r="Q1801">
        <f>IFERROR(1/(IF(Inputs!$B$38="pvp",15,MAX(0.1,Skills!D14-IF(Skills!E14=TRUE,Inputs!$B$32,0)))*(1-IF(AND(ArtifactsInput!$M$27,Inputs!$B$4="Chapter Hunt"),CHOOSE(ArtifactsInput!$N$27+1,20,24,28,32,36,40),0)/100)),0)</f>
        <v/>
      </c>
      <c r="R1801">
        <f>IF(AND(Inputs!$B$38&lt;&gt;"pvp",Inputs!$B$43&gt;0),IF(Inputs!$B$43&lt;=0,0,(INT(Inputs!$B$43/(IF(Inputs!$B$38="pvp",15,MAX(0.1,Skills!D14-IF(Skills!E14=TRUE,Inputs!$B$32,0)))*(1-IF(AND(ArtifactsInput!$M$27,Inputs!$B$4="Chapter Hunt"),CHOOSE(ArtifactsInput!$N$27+1,20,24,28,32,36,40),0)/100)))+1)),0)</f>
        <v/>
      </c>
      <c r="S1801">
        <f>IFERROR(O1801/N1801,0)</f>
        <v/>
      </c>
      <c r="T1801" t="n">
        <v>0</v>
      </c>
      <c r="V1801" t="n">
        <v>0</v>
      </c>
    </row>
    <row r="1802">
      <c r="A1802">
        <f>Skills!A15</f>
        <v/>
      </c>
      <c r="B1802">
        <f>Skills!B15</f>
        <v/>
      </c>
      <c r="C1802">
        <f>Inputs!$B$3&gt;=115</f>
        <v/>
      </c>
      <c r="D1802">
        <f>IF(Skills!C15=1,60+Inputs!$B$25+Inputs!$B$29,IF(Skills!C15=2,90+Inputs!$B$26+Inputs!$B$29,IF(Skills!C15=3,120+Inputs!$B$27+Inputs!$B$29,MAX(0,(Inputs!$B$3-100)*3)+Inputs!$B$28+Inputs!$B$29)))</f>
        <v/>
      </c>
      <c r="E1802">
        <f>INDEX(FactorTable!$B$2:$Y$301, MATCH(ROUND(MIN(300,MAX(1,D1802)),0), FactorTable!$A$2:$A$301,0), Skills!M15+1)</f>
        <v/>
      </c>
      <c r="F1802">
        <f>IF(Skills!N15=TRUE,(Skills!L15/10)*(E1802/1000),Skills!L15/10)+Skills!O15</f>
        <v/>
      </c>
      <c r="G1802">
        <f>Skills!G15*IF(Skills!H15&gt;0,Skills!I15/Skills!H15,1)</f>
        <v/>
      </c>
      <c r="H1802">
        <f>1-(1-Skills!J15/100)^Skills!K15</f>
        <v/>
      </c>
      <c r="I1802" t="inlineStr">
        <is>
          <t>1</t>
        </is>
      </c>
      <c r="J1802" t="inlineStr"/>
      <c r="K1802" t="inlineStr"/>
      <c r="L1802" t="inlineStr"/>
      <c r="M1802" t="inlineStr"/>
      <c r="N1802" t="inlineStr"/>
      <c r="O1802">
        <f>(1-Summary!$B$11)*T1802+Summary!$B$11*V1802</f>
        <v/>
      </c>
      <c r="P1802">
        <f>IF(B1823=0,0,O1802/B1823)</f>
        <v/>
      </c>
      <c r="Q1802">
        <f>IFERROR(1/(IF(Inputs!$B$38="pvp",15,MAX(0.1,Skills!D15-IF(Skills!E15=TRUE,Inputs!$B$32,0)))*(1-IF(AND(ArtifactsInput!$M$27,Inputs!$B$4="Chapter Hunt"),CHOOSE(ArtifactsInput!$N$27+1,20,24,28,32,36,40),0)/100)),0)</f>
        <v/>
      </c>
      <c r="R1802">
        <f>IF(AND(Inputs!$B$38&lt;&gt;"pvp",Inputs!$B$43&gt;0),IF(Inputs!$B$43&lt;=0,0,(INT(Inputs!$B$43/(IF(Inputs!$B$38="pvp",15,MAX(0.1,Skills!D15-IF(Skills!E15=TRUE,Inputs!$B$32,0)))*(1-IF(AND(ArtifactsInput!$M$27,Inputs!$B$4="Chapter Hunt"),CHOOSE(ArtifactsInput!$N$27+1,20,24,28,32,36,40),0)/100)))+1)),0)</f>
        <v/>
      </c>
      <c r="S1802">
        <f>IFERROR(O1802/N1802,0)</f>
        <v/>
      </c>
      <c r="T1802" t="n">
        <v>0</v>
      </c>
      <c r="V1802" t="n">
        <v>0</v>
      </c>
    </row>
    <row r="1803">
      <c r="A1803">
        <f>Skills!A16</f>
        <v/>
      </c>
      <c r="B1803">
        <f>Skills!B16</f>
        <v/>
      </c>
      <c r="C1803">
        <f>Inputs!$B$3&gt;=15</f>
        <v/>
      </c>
      <c r="D1803">
        <f>IF(Skills!C16=1,60+Inputs!$B$25+Inputs!$B$29,IF(Skills!C16=2,90+Inputs!$B$26+Inputs!$B$29,IF(Skills!C16=3,120+Inputs!$B$27+Inputs!$B$29,MAX(0,(Inputs!$B$3-100)*3)+Inputs!$B$28+Inputs!$B$29)))</f>
        <v/>
      </c>
      <c r="E1803">
        <f>INDEX(FactorTable!$B$2:$Y$301, MATCH(ROUND(MIN(300,MAX(1,D1803)),0), FactorTable!$A$2:$A$301,0), Skills!M16+1)</f>
        <v/>
      </c>
      <c r="F1803">
        <f>IF(Skills!N16=TRUE,(Skills!L16/10)*(E1803/1000),Skills!L16/10)+Skills!O16</f>
        <v/>
      </c>
      <c r="G1803">
        <f>Skills!G16*IF(Skills!H16&gt;0,Skills!I16/Skills!H16,1)</f>
        <v/>
      </c>
      <c r="H1803">
        <f>1-(1-Skills!J16/100)^Skills!K16</f>
        <v/>
      </c>
      <c r="I1803" t="inlineStr">
        <is>
          <t>1</t>
        </is>
      </c>
      <c r="J1803" t="inlineStr"/>
      <c r="K1803" t="inlineStr"/>
      <c r="L1803" t="inlineStr"/>
      <c r="M1803" t="inlineStr"/>
      <c r="N1803" t="inlineStr"/>
      <c r="O1803">
        <f>(1-Summary!$B$11)*T1803+Summary!$B$11*V1803</f>
        <v/>
      </c>
      <c r="P1803">
        <f>IF(B1823=0,0,O1803/B1823)</f>
        <v/>
      </c>
      <c r="Q1803" t="n">
        <v>0</v>
      </c>
      <c r="R1803" t="n">
        <v>0</v>
      </c>
      <c r="S1803">
        <f>IFERROR(O1803/N1803,0)</f>
        <v/>
      </c>
      <c r="T1803" t="n">
        <v>0</v>
      </c>
      <c r="V1803" t="n">
        <v>0</v>
      </c>
    </row>
    <row r="1804">
      <c r="A1804">
        <f>Skills!A17</f>
        <v/>
      </c>
      <c r="B1804">
        <f>Skills!B17</f>
        <v/>
      </c>
      <c r="C1804">
        <f>Inputs!$B$3&gt;=10</f>
        <v/>
      </c>
      <c r="D1804">
        <f>IF(Skills!C17=1,60+Inputs!$B$25+Inputs!$B$29,IF(Skills!C17=2,90+Inputs!$B$26+Inputs!$B$29,IF(Skills!C17=3,120+Inputs!$B$27+Inputs!$B$29,MAX(0,(Inputs!$B$3-100)*3)+Inputs!$B$28+Inputs!$B$29)))</f>
        <v/>
      </c>
      <c r="E1804">
        <f>INDEX(FactorTable!$B$2:$Y$301, MATCH(ROUND(MIN(300,MAX(1,D1804)),0), FactorTable!$A$2:$A$301,0), Skills!M17+1)</f>
        <v/>
      </c>
      <c r="F1804">
        <f>IF(Skills!N17=TRUE,(Skills!L17/10)*(E1804/1000),Skills!L17/10)+Skills!O17</f>
        <v/>
      </c>
      <c r="G1804">
        <f>Skills!G17*IF(Skills!H17&gt;0,Skills!I17/Skills!H17,1)</f>
        <v/>
      </c>
      <c r="H1804">
        <f>1-(1-Skills!J17/100)^Skills!K17</f>
        <v/>
      </c>
      <c r="I1804" t="inlineStr">
        <is>
          <t>1</t>
        </is>
      </c>
      <c r="J1804" t="inlineStr"/>
      <c r="K1804" t="inlineStr"/>
      <c r="L1804" t="inlineStr"/>
      <c r="M1804" t="inlineStr"/>
      <c r="N1804" t="inlineStr"/>
      <c r="O1804">
        <f>(1-Summary!$B$11)*T1804+Summary!$B$11*V1804</f>
        <v/>
      </c>
      <c r="P1804">
        <f>IF(B1823=0,0,O1804/B1823)</f>
        <v/>
      </c>
      <c r="Q1804" t="n">
        <v>0</v>
      </c>
      <c r="R1804" t="n">
        <v>0</v>
      </c>
      <c r="S1804">
        <f>IFERROR(O1804/N1804,0)</f>
        <v/>
      </c>
      <c r="T1804" t="n">
        <v>0</v>
      </c>
      <c r="V1804" t="n">
        <v>0</v>
      </c>
    </row>
    <row r="1805">
      <c r="A1805">
        <f>Skills!A18</f>
        <v/>
      </c>
      <c r="B1805">
        <f>Skills!B18</f>
        <v/>
      </c>
      <c r="C1805">
        <f>Inputs!$B$3&gt;=33</f>
        <v/>
      </c>
      <c r="D1805">
        <f>IF(Skills!C18=1,60+Inputs!$B$25+Inputs!$B$29,IF(Skills!C18=2,90+Inputs!$B$26+Inputs!$B$29,IF(Skills!C18=3,120+Inputs!$B$27+Inputs!$B$29,MAX(0,(Inputs!$B$3-100)*3)+Inputs!$B$28+Inputs!$B$29)))</f>
        <v/>
      </c>
      <c r="E1805">
        <f>INDEX(FactorTable!$B$2:$Y$301, MATCH(ROUND(MIN(300,MAX(1,D1805)),0), FactorTable!$A$2:$A$301,0), Skills!M18+1)</f>
        <v/>
      </c>
      <c r="F1805">
        <f>IF(Skills!N18=TRUE,(Skills!L18/10)*(E1805/1000),Skills!L18/10)+Skills!O18</f>
        <v/>
      </c>
      <c r="G1805">
        <f>Skills!G18*IF(Skills!H18&gt;0,Skills!I18/Skills!H18,1)</f>
        <v/>
      </c>
      <c r="H1805">
        <f>1-(1-Skills!J18/100)^Skills!K18</f>
        <v/>
      </c>
      <c r="I1805" t="inlineStr">
        <is>
          <t>1</t>
        </is>
      </c>
      <c r="J1805" t="inlineStr"/>
      <c r="K1805" t="inlineStr"/>
      <c r="L1805" t="inlineStr"/>
      <c r="M1805" t="inlineStr"/>
      <c r="N1805" t="inlineStr"/>
      <c r="O1805">
        <f>(1-Summary!$B$11)*T1805+Summary!$B$11*V1805</f>
        <v/>
      </c>
      <c r="P1805">
        <f>IF(B1823=0,0,O1805/B1823)</f>
        <v/>
      </c>
      <c r="Q1805" t="n">
        <v>0</v>
      </c>
      <c r="R1805" t="n">
        <v>0</v>
      </c>
      <c r="S1805">
        <f>IFERROR(O1805/N1805,0)</f>
        <v/>
      </c>
      <c r="T1805" t="n">
        <v>0</v>
      </c>
      <c r="V1805" t="n">
        <v>0</v>
      </c>
    </row>
    <row r="1806">
      <c r="A1806">
        <f>Skills!A19</f>
        <v/>
      </c>
      <c r="B1806">
        <f>Skills!B19</f>
        <v/>
      </c>
      <c r="C1806">
        <f>Inputs!$B$3&gt;=40</f>
        <v/>
      </c>
      <c r="D1806">
        <f>IF(Skills!C19=1,60+Inputs!$B$25+Inputs!$B$29,IF(Skills!C19=2,90+Inputs!$B$26+Inputs!$B$29,IF(Skills!C19=3,120+Inputs!$B$27+Inputs!$B$29,MAX(0,(Inputs!$B$3-100)*3)+Inputs!$B$28+Inputs!$B$29)))</f>
        <v/>
      </c>
      <c r="E1806">
        <f>INDEX(FactorTable!$B$2:$Y$301, MATCH(ROUND(MIN(300,MAX(1,D1806)),0), FactorTable!$A$2:$A$301,0), Skills!M19+1)</f>
        <v/>
      </c>
      <c r="F1806">
        <f>IF(Skills!N19=TRUE,(Skills!L19/10)*(E1806/1000),Skills!L19/10)+Skills!O19</f>
        <v/>
      </c>
      <c r="G1806">
        <f>Skills!G19*IF(Skills!H19&gt;0,Skills!I19/Skills!H19,1)</f>
        <v/>
      </c>
      <c r="H1806">
        <f>1-(1-Skills!J19/100)^Skills!K19</f>
        <v/>
      </c>
      <c r="I1806" t="inlineStr">
        <is>
          <t>1</t>
        </is>
      </c>
      <c r="J1806" t="inlineStr"/>
      <c r="K1806" t="inlineStr"/>
      <c r="L1806" t="inlineStr"/>
      <c r="M1806" t="inlineStr"/>
      <c r="N1806" t="inlineStr"/>
      <c r="O1806">
        <f>(1-Summary!$B$11)*T1806+Summary!$B$11*V1806</f>
        <v/>
      </c>
      <c r="P1806">
        <f>IF(B1823=0,0,O1806/B1823)</f>
        <v/>
      </c>
      <c r="Q1806" t="n">
        <v>0</v>
      </c>
      <c r="R1806" t="n">
        <v>0</v>
      </c>
      <c r="S1806">
        <f>IFERROR(O1806/N1806,0)</f>
        <v/>
      </c>
      <c r="T1806" t="n">
        <v>0</v>
      </c>
      <c r="V1806" t="n">
        <v>0</v>
      </c>
    </row>
    <row r="1807">
      <c r="A1807">
        <f>Skills!A20</f>
        <v/>
      </c>
      <c r="B1807">
        <f>Skills!B20</f>
        <v/>
      </c>
      <c r="C1807">
        <f>Inputs!$B$3&gt;=43</f>
        <v/>
      </c>
      <c r="D1807">
        <f>IF(Skills!C20=1,60+Inputs!$B$25+Inputs!$B$29,IF(Skills!C20=2,90+Inputs!$B$26+Inputs!$B$29,IF(Skills!C20=3,120+Inputs!$B$27+Inputs!$B$29,MAX(0,(Inputs!$B$3-100)*3)+Inputs!$B$28+Inputs!$B$29)))</f>
        <v/>
      </c>
      <c r="E1807">
        <f>INDEX(FactorTable!$B$2:$Y$301, MATCH(ROUND(MIN(300,MAX(1,D1807)),0), FactorTable!$A$2:$A$301,0), Skills!M20+1)</f>
        <v/>
      </c>
      <c r="F1807">
        <f>IF(Skills!N20=TRUE,(Skills!L20/10)*(E1807/1000),Skills!L20/10)+Skills!O20</f>
        <v/>
      </c>
      <c r="G1807">
        <f>Skills!G20*IF(Skills!H20&gt;0,Skills!I20/Skills!H20,1)</f>
        <v/>
      </c>
      <c r="H1807">
        <f>1-(1-Skills!J20/100)^Skills!K20</f>
        <v/>
      </c>
      <c r="I1807" t="inlineStr">
        <is>
          <t>1</t>
        </is>
      </c>
      <c r="J1807" t="inlineStr"/>
      <c r="K1807" t="inlineStr"/>
      <c r="L1807" t="inlineStr"/>
      <c r="M1807" t="inlineStr"/>
      <c r="N1807" t="inlineStr"/>
      <c r="O1807">
        <f>(1-Summary!$B$11)*T1807+Summary!$B$11*V1807</f>
        <v/>
      </c>
      <c r="P1807">
        <f>IF(B1823=0,0,O1807/B1823)</f>
        <v/>
      </c>
      <c r="Q1807" t="n">
        <v>0</v>
      </c>
      <c r="R1807" t="n">
        <v>0</v>
      </c>
      <c r="S1807">
        <f>IFERROR(O1807/N1807,0)</f>
        <v/>
      </c>
      <c r="T1807" t="n">
        <v>0</v>
      </c>
      <c r="V1807" t="n">
        <v>0</v>
      </c>
    </row>
    <row r="1808">
      <c r="A1808">
        <f>Skills!A21</f>
        <v/>
      </c>
      <c r="B1808">
        <f>Skills!B21</f>
        <v/>
      </c>
      <c r="C1808">
        <f>Inputs!$B$3&gt;=38</f>
        <v/>
      </c>
      <c r="D1808">
        <f>IF(Skills!C21=1,60+Inputs!$B$25+Inputs!$B$29,IF(Skills!C21=2,90+Inputs!$B$26+Inputs!$B$29,IF(Skills!C21=3,120+Inputs!$B$27+Inputs!$B$29,MAX(0,(Inputs!$B$3-100)*3)+Inputs!$B$28+Inputs!$B$29)))</f>
        <v/>
      </c>
      <c r="E1808">
        <f>INDEX(FactorTable!$B$2:$Y$301, MATCH(ROUND(MIN(300,MAX(1,D1808)),0), FactorTable!$A$2:$A$301,0), Skills!M21+1)</f>
        <v/>
      </c>
      <c r="F1808">
        <f>IF(Skills!N21=TRUE,(Skills!L21/10)*(E1808/1000),Skills!L21/10)+Skills!O21</f>
        <v/>
      </c>
      <c r="G1808">
        <f>Skills!G21*IF(Skills!H21&gt;0,Skills!I21/Skills!H21,1)</f>
        <v/>
      </c>
      <c r="H1808">
        <f>1-(1-Skills!J21/100)^Skills!K21</f>
        <v/>
      </c>
      <c r="I1808" t="inlineStr">
        <is>
          <t>1</t>
        </is>
      </c>
      <c r="J1808" t="inlineStr"/>
      <c r="K1808" t="inlineStr"/>
      <c r="L1808" t="inlineStr"/>
      <c r="M1808" t="inlineStr"/>
      <c r="N1808" t="inlineStr"/>
      <c r="O1808">
        <f>(1-Summary!$B$11)*T1808+Summary!$B$11*V1808</f>
        <v/>
      </c>
      <c r="P1808">
        <f>IF(B1823=0,0,O1808/B1823)</f>
        <v/>
      </c>
      <c r="Q1808" t="n">
        <v>0</v>
      </c>
      <c r="R1808" t="n">
        <v>0</v>
      </c>
      <c r="S1808">
        <f>IFERROR(O1808/N1808,0)</f>
        <v/>
      </c>
      <c r="T1808" t="n">
        <v>0</v>
      </c>
      <c r="V1808" t="n">
        <v>0</v>
      </c>
    </row>
    <row r="1809">
      <c r="A1809">
        <f>Skills!A22</f>
        <v/>
      </c>
      <c r="B1809">
        <f>Skills!B22</f>
        <v/>
      </c>
      <c r="C1809">
        <f>Inputs!$B$3&gt;=75</f>
        <v/>
      </c>
      <c r="D1809">
        <f>IF(Skills!C22=1,60+Inputs!$B$25+Inputs!$B$29,IF(Skills!C22=2,90+Inputs!$B$26+Inputs!$B$29,IF(Skills!C22=3,120+Inputs!$B$27+Inputs!$B$29,MAX(0,(Inputs!$B$3-100)*3)+Inputs!$B$28+Inputs!$B$29)))</f>
        <v/>
      </c>
      <c r="E1809">
        <f>INDEX(FactorTable!$B$2:$Y$301, MATCH(ROUND(MIN(300,MAX(1,D1809)),0), FactorTable!$A$2:$A$301,0), Skills!M22+1)</f>
        <v/>
      </c>
      <c r="F1809">
        <f>IF(Skills!N22=TRUE,(Skills!L22/10)*(E1809/1000),Skills!L22/10)+Skills!O22</f>
        <v/>
      </c>
      <c r="G1809">
        <f>Skills!G22*IF(Skills!H22&gt;0,Skills!I22/Skills!H22,1)</f>
        <v/>
      </c>
      <c r="H1809">
        <f>1-(1-Skills!J22/100)^Skills!K22</f>
        <v/>
      </c>
      <c r="I1809" t="inlineStr">
        <is>
          <t>1</t>
        </is>
      </c>
      <c r="J1809" t="inlineStr"/>
      <c r="K1809" t="inlineStr"/>
      <c r="L1809" t="inlineStr"/>
      <c r="M1809" t="inlineStr"/>
      <c r="N1809" t="inlineStr"/>
      <c r="O1809">
        <f>(1-Summary!$B$11)*T1809+Summary!$B$11*V1809</f>
        <v/>
      </c>
      <c r="P1809">
        <f>IF(B1823=0,0,O1809/B1823)</f>
        <v/>
      </c>
      <c r="Q1809" t="n">
        <v>0</v>
      </c>
      <c r="R1809" t="n">
        <v>0</v>
      </c>
      <c r="S1809">
        <f>IFERROR(O1809/N1809,0)</f>
        <v/>
      </c>
      <c r="T1809" t="n">
        <v>0</v>
      </c>
      <c r="V1809" t="n">
        <v>0</v>
      </c>
    </row>
    <row r="1810">
      <c r="A1810">
        <f>Skills!A23</f>
        <v/>
      </c>
      <c r="B1810">
        <f>Skills!B23</f>
        <v/>
      </c>
      <c r="C1810">
        <f>TRUE</f>
        <v/>
      </c>
      <c r="D1810">
        <f>IF(Skills!C23=1,60+Inputs!$B$25+Inputs!$B$29,IF(Skills!C23=2,90+Inputs!$B$26+Inputs!$B$29,IF(Skills!C23=3,120+Inputs!$B$27+Inputs!$B$29,MAX(0,(Inputs!$B$3-100)*3)+Inputs!$B$28+Inputs!$B$29)))</f>
        <v/>
      </c>
      <c r="E1810">
        <f>INDEX(FactorTable!$B$2:$Y$301, MATCH(ROUND(MIN(300,MAX(1,D1810)),0), FactorTable!$A$2:$A$301,0), Skills!M23+1)</f>
        <v/>
      </c>
      <c r="F1810">
        <f>IF(Skills!N23=TRUE,(Skills!L23/10)*(E1810/1000),Skills!L23/10)+Skills!O23</f>
        <v/>
      </c>
      <c r="G1810">
        <f>Skills!G23*IF(Skills!H23&gt;0,Skills!I23/Skills!H23,1)</f>
        <v/>
      </c>
      <c r="H1810">
        <f>1-(1-Skills!J23/100)^Skills!K23</f>
        <v/>
      </c>
      <c r="I1810" t="inlineStr">
        <is>
          <t>1</t>
        </is>
      </c>
      <c r="J1810" t="inlineStr"/>
      <c r="K1810" t="inlineStr"/>
      <c r="L1810" t="inlineStr"/>
      <c r="M1810" t="inlineStr"/>
      <c r="N1810" t="inlineStr"/>
      <c r="O1810">
        <f>(1-Summary!$B$11)*T1810+Summary!$B$11*V1810</f>
        <v/>
      </c>
      <c r="P1810">
        <f>IF(B1823=0,0,O1810/B1823)</f>
        <v/>
      </c>
      <c r="Q1810">
        <f>IFERROR(1/(IF(Inputs!$B$38="pvp",15,MAX(0.1,Skills!D23-IF(Skills!E23=TRUE,Inputs!$B$32,0)))*(1-IF(AND(ArtifactsInput!$M$27,Inputs!$B$4="Chapter Hunt"),CHOOSE(ArtifactsInput!$N$27+1,20,24,28,32,36,40),0)/100)),0)</f>
        <v/>
      </c>
      <c r="R1810">
        <f>IF(AND(Inputs!$B$38&lt;&gt;"pvp",Inputs!$B$43&gt;0),IF(Inputs!$B$43&lt;=0,0,(INT(Inputs!$B$43/(IF(Inputs!$B$38="pvp",15,MAX(0.1,Skills!D23-IF(Skills!E23=TRUE,Inputs!$B$32,0)))*(1-IF(AND(ArtifactsInput!$M$27,Inputs!$B$4="Chapter Hunt"),CHOOSE(ArtifactsInput!$N$27+1,20,24,28,32,36,40),0)/100)))+1)),0)</f>
        <v/>
      </c>
      <c r="S1810">
        <f>IFERROR(O1810/N1810,0)</f>
        <v/>
      </c>
      <c r="T1810" t="n">
        <v>0</v>
      </c>
      <c r="V1810" t="n">
        <v>0</v>
      </c>
    </row>
    <row r="1812">
      <c r="A1812" t="inlineStr">
        <is>
          <t>Attack% Bucket Multiplier</t>
        </is>
      </c>
      <c r="B1812">
        <f>(1+(((C1800=TRUE)*F1800*5/7)+((C1806=TRUE)*(F1806-Calc!F19))+(IF(ArtifactsInput!$M$21,CHOOSE(ArtifactsInput!$N$21+1,25,30,35,40,45,50)*(IF(OR(Inputs!$B$4="Chapter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3">
      <c r="A1813" t="inlineStr">
        <is>
          <t>Global Crit Rate Bonus %</t>
        </is>
      </c>
      <c r="B1813" t="n">
        <v>0</v>
      </c>
    </row>
    <row r="1814">
      <c r="A1814" t="inlineStr">
        <is>
          <t>Attack Speed Buff Bonus % (Nimble Feet, duty-cycle averaged)</t>
        </is>
      </c>
      <c r="B1814">
        <f>((C1810=TRUE)*F1810*IF(AND(Inputs!$B$38&lt;&gt;"pvp",Inputs!$B$43&gt;0),(((R1810-1)*(Skills!T23*(1+Inputs!$B$34/100))+MIN((Skills!T23*(1+Inputs!$B$34/100)),MAX(0,Inputs!$B$43-((R1810-1)*Skills!D23))))/Inputs!$B$43),IF(Inputs!$B$38="pvp",MIN((Skills!T23*(1+Inputs!$B$34/100)),15)/15,(Skills!T23*(1+Inputs!$B$34/100))/Skills!D23)))</f>
        <v/>
      </c>
    </row>
    <row r="1815">
      <c r="A1815" t="inlineStr">
        <is>
          <t>Actions Per Second</t>
        </is>
      </c>
      <c r="B1815">
        <f>1+MIN(150,150*(1-(1-(Inputs!$B$11+((C1804=TRUE)*(F1804-Calc!F17))+((C1805=TRUE)*(F1805-Calc!F18)))/150)*(1-B1814/150)))/100</f>
        <v/>
      </c>
    </row>
    <row r="1816">
      <c r="A1816" t="inlineStr">
        <is>
          <t>Skill + Buff Cast Rate</t>
        </is>
      </c>
      <c r="B1816">
        <f>IF(AND(Inputs!$B$38&lt;&gt;"pvp",Inputs!$B$43&gt;0),SUMPRODUCT((Skills!E2:E23=TRUE)*(C1789:C1810=TRUE)*R1789:R1810*Skills!F2:F23)/Inputs!$B$43,SUMPRODUCT((Skills!E2:E23=TRUE)*(C1789:C1810=TRUE)*Q1789:Q1810*Skills!F2:F23))</f>
        <v/>
      </c>
    </row>
    <row r="1817">
      <c r="A1817" t="inlineStr">
        <is>
          <t>Hook Bomber Casts Per Second</t>
        </is>
      </c>
      <c r="B1817">
        <f>MAX(0,B1815-B1816)</f>
        <v/>
      </c>
    </row>
    <row r="1818">
      <c r="A1818" t="inlineStr">
        <is>
          <t>Global Critical Damage Bonus % (unused)</t>
        </is>
      </c>
      <c r="B1818" t="n">
        <v>0</v>
      </c>
    </row>
    <row r="1819">
      <c r="A1819" t="inlineStr">
        <is>
          <t>Global Final Damage Bonus % (Serpent Scale + Crossbones + Time Leap + Speed Infusion)</t>
        </is>
      </c>
      <c r="B1819">
        <f>((C1792=TRUE)*F1792*((10+IF(Inputs!$B$3&gt;=94,5,0))/((10+IF(Inputs!$B$3&gt;=94,5,0))+5/(B1817*(1+IF(Inputs!$B$3&gt;=104,1,0))))))+((C1801=TRUE)*F1801*IF(AND(Inputs!$B$38&lt;&gt;"pvp",Inputs!$B$43&gt;0),(((R1801-1)*(Skills!T14*(1+Inputs!$B$34/100))+MIN((Skills!T14*(1+Inputs!$B$34/100)),MAX(0,Inputs!$B$43-((R1801-1)*Skills!D14))))/Inputs!$B$43),IF(Inputs!$B$38="pvp",MIN((Skills!T14*(1+Inputs!$B$34/100)),15)/15,(Skills!T14*(1+Inputs!$B$34/100))/Skills!D14)))+((C1802=TRUE)*F1802*IF(AND(Inputs!$B$38&lt;&gt;"pvp",Inputs!$B$43&gt;0),(((R1802-1)*(Skills!T15*(1+Inputs!$B$34/100))+MIN((Skills!T15*(1+Inputs!$B$34/100)),MAX(0,Inputs!$B$43-((R1802-1)*Skills!D15))))/Inputs!$B$43),IF(Inputs!$B$38="pvp",MIN((Skills!T15*(1+Inputs!$B$34/100)),15)/15,(Skills!T15*(1+Inputs!$B$34/100))/Skills!D15)))+((Inputs!$B$3&gt;=110)*20*(B1815-1)*IF(Inputs!$B$38="pvp",MIN((15*(1+Inputs!$B$34/100)),15)/15,(15*(1+Inputs!$B$34/100))/35))</f>
        <v/>
      </c>
    </row>
    <row r="1820">
      <c r="A1820" t="inlineStr">
        <is>
          <t>Buff-Casting Startup Delay (s, fixed-duration only)</t>
        </is>
      </c>
      <c r="B1820">
        <f>IF(AND(Inputs!$B$38&lt;&gt;"pvp",Inputs!$B$43&gt;0),SUMPRODUCT((Skills!T2:T23&gt;0)*(Skills!E2:E23=TRUE)*(C1789:C1810=TRUE))/B1815,0)</f>
        <v/>
      </c>
    </row>
    <row r="1821">
      <c r="A1821" t="inlineStr">
        <is>
          <t>Boss-Only Total DPS (this block's swept value)</t>
        </is>
      </c>
      <c r="B1821">
        <f>SUM(T1789:T1810)</f>
        <v/>
      </c>
    </row>
    <row r="1822">
      <c r="A1822" t="inlineStr">
        <is>
          <t>Normal-Only Total DPS (this block's swept value)</t>
        </is>
      </c>
      <c r="B1822">
        <f>SUM(V1789:V1810)</f>
        <v/>
      </c>
    </row>
    <row r="1823">
      <c r="A1823" s="6" t="inlineStr">
        <is>
          <t>TOTAL DPS</t>
        </is>
      </c>
      <c r="B1823" s="6">
        <f>SUM(O1789:O1810)</f>
        <v/>
      </c>
    </row>
    <row r="1826">
      <c r="A1826" s="6" t="inlineStr">
        <is>
          <t>Stat: Fire Flower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Skills!G2*IF(Skills!H2&gt;0,Skills!I2/Skills!H2,1)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1846=TRUE)*(F1846-Calc!F20)),(Inputs!$B$23+0+(IF(ArtifactsInput!$M$15,CHOOSE(ArtifactsInput!$N$15+1,25,30,35,40,45,50)/100*(Inputs!$B$11-Inputs!$B$11),0))))/100+(Inputs!$B$23+0+(IF(ArtifactsInput!$M$15,CHOOSE(ArtifactsInput!$N$15+1,25,30,35,40,45,50)/100*(Inputs!$B$11-Inputs!$B$11),0)))/100)/2</f>
        <v/>
      </c>
      <c r="M1828">
        <f>L1828*(1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IF(B1862=0,0,O1828/B1862)</f>
        <v/>
      </c>
      <c r="Q1828" t="n">
        <v>0</v>
      </c>
      <c r="R1828" t="n">
        <v>0</v>
      </c>
      <c r="S1828">
        <f>IFERROR(O1828/N1828,0)</f>
        <v/>
      </c>
      <c r="T1828">
        <f>IF(C1828,(Skills!G2*N1828*B1856)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IF(C1828,(Skills!G2*N1828*B1856)*IF(Inputs!$B$38="pvp",1,(1+(Inputs!$B$21+Skills!Q2+(IF(ArtifactsInput!$M$33,CHOOSE(ArtifactsInput!$N$33+1,30,36,42,48,54,60),0))+(IF(AND(ArtifactsInput!$M$35,Inputs!$B$4&lt;&gt;"Chapter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Inputs!$B$3&gt;=35</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f>Skills!G3*IF(Skills!H3&gt;0,Skills!I3/Skills!H3,1)</f>
        <v/>
      </c>
      <c r="H1829">
        <f>1-(1-Skills!J3/100)^Skills!K3</f>
        <v/>
      </c>
      <c r="I1829" t="inlineStr">
        <is>
          <t>1</t>
        </is>
      </c>
      <c r="J1829">
        <f>((Inputs!$B$6*(1+Inputs!$B$7/100))+(((Inputs!$B$12*(1+Inputs!$B$13/100))-(Inputs!$B$12*(1+Inputs!$B$13/100)))+0.25*(Inputs!$B$14-Inputs!$B$14))*(1+Inputs!$B$7/100))*(F1829/100)</f>
        <v/>
      </c>
      <c r="K1829">
        <f>J1829*(1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1829)</f>
        <v/>
      </c>
      <c r="L1829">
        <f>K1829*(MIN(Inputs!$B$22+((C1846=TRUE)*(F1846-Calc!F20)),(Inputs!$B$23+0+(IF(ArtifactsInput!$M$15,CHOOSE(ArtifactsInput!$N$15+1,25,30,35,40,45,50)/100*(Inputs!$B$11-Inputs!$B$11),0))))/100+(Inputs!$B$23+0+(IF(ArtifactsInput!$M$15,CHOOSE(ArtifactsInput!$N$15+1,25,30,35,40,45,50)/100*(Inputs!$B$11-Inputs!$B$11),0)))/100)/2</f>
        <v/>
      </c>
      <c r="M1829">
        <f>L1829*(1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9">
        <f>L1829*(1-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1829*(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9">
        <f>(1-Summary!$B$11)*T1829+Summary!$B$11*V1829</f>
        <v/>
      </c>
      <c r="P1829">
        <f>IF(B1862=0,0,O1829/B1862)</f>
        <v/>
      </c>
      <c r="Q1829" t="n">
        <v>0</v>
      </c>
      <c r="R1829" t="n">
        <v>0</v>
      </c>
      <c r="S1829">
        <f>IFERROR(O1829/N1829,0)</f>
        <v/>
      </c>
      <c r="T1829">
        <f>IF(C1829,(Skills!G3*H1829*N1829*B1856)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1829*(1-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1829*(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1829*(1-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1829*(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9">
        <f>INDEX(FactorTable!$B$2:$Y$301, MATCH(ROUND(MIN(300,MAX(1,U1828)),0), FactorTable!$A$2:$A$301,0), 22)</f>
        <v/>
      </c>
      <c r="V1829">
        <f>IF(C1829,(Skills!G3*H1829*N1829*B1856)*IF(Inputs!$B$38="pvp",1,(1+(Inputs!$B$21+Skills!Q3+(IF(ArtifactsInput!$M$33,CHOOSE(ArtifactsInput!$N$33+1,30,36,42,48,54,60),0))+(IF(AND(ArtifactsInput!$M$35,Inputs!$B$4&lt;&gt;"Chapter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0">
      <c r="A1830">
        <f>Skills!A4</f>
        <v/>
      </c>
      <c r="B1830">
        <f>Skills!B4</f>
        <v/>
      </c>
      <c r="C1830">
        <f>Inputs!$B$3&gt;=60</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f>Skills!G4*IF(Skills!H4&gt;0,Skills!I4/Skills!H4,1)</f>
        <v/>
      </c>
      <c r="H1830">
        <f>1-(1-Skills!J4/100)^Skills!K4</f>
        <v/>
      </c>
      <c r="I1830" t="inlineStr">
        <is>
          <t>1</t>
        </is>
      </c>
      <c r="J1830">
        <f>((Inputs!$B$6*(1+Inputs!$B$7/100))+(((Inputs!$B$12*(1+Inputs!$B$13/100))-(Inputs!$B$12*(1+Inputs!$B$13/100)))+0.25*(Inputs!$B$14-Inputs!$B$14))*(1+Inputs!$B$7/100))*(F1830/100)</f>
        <v/>
      </c>
      <c r="K1830">
        <f>J1830*(1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1838=TRUE,F1838,0)/100)*(1+(IF(Skills!A4="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C1846=TRUE)*(F1846-Calc!F20)),(Inputs!$B$23+0+(IF(ArtifactsInput!$M$15,CHOOSE(ArtifactsInput!$N$15+1,25,30,35,40,45,50)/100*(Inputs!$B$11-Inputs!$B$11),0))))/100+(Inputs!$B$23+0+(IF(ArtifactsInput!$M$15,CHOOSE(ArtifactsInput!$N$15+1,25,30,35,40,45,50)/100*(Inputs!$B$11-Inputs!$B$11),0)))/100)/2</f>
        <v/>
      </c>
      <c r="M1830">
        <f>L1830*(1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(1-Summary!$B$11)*T1830+Summary!$B$11*V1830</f>
        <v/>
      </c>
      <c r="P1830">
        <f>IF(B1862=0,0,O1830/B1862)</f>
        <v/>
      </c>
      <c r="Q1830" t="n">
        <v>0</v>
      </c>
      <c r="R1830" t="n">
        <v>0</v>
      </c>
      <c r="S1830">
        <f>IFERROR(O1830/N1830,0)</f>
        <v/>
      </c>
      <c r="T1830">
        <f>IF(C1830,(Skills!G4*H1830*N1830*B1856)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1830*(1-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0">
        <f>290*U1829/1000</f>
        <v/>
      </c>
      <c r="V1830">
        <f>IF(C1830,(Skills!G4*H1830*N1830*B1856)*IF(Inputs!$B$38="pvp",1,(1+(Inputs!$B$21+Skills!Q4+(IF(ArtifactsInput!$M$33,CHOOSE(ArtifactsInput!$N$33+1,30,36,42,48,54,60),0))+(IF(AND(ArtifactsInput!$M$35,Inputs!$B$4&lt;&gt;"Chapter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Skills!A5</f>
        <v/>
      </c>
      <c r="B1831">
        <f>Skills!B5</f>
        <v/>
      </c>
      <c r="C1831">
        <f>Inputs!$B$3&gt;=60</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Skills!G5*IF(Skills!H5&gt;0,Skills!I5/Skills!H5,1)</f>
        <v/>
      </c>
      <c r="H1831">
        <f>1-(1-Skills!J5/100)^Skills!K5</f>
        <v/>
      </c>
      <c r="I1831" t="inlineStr">
        <is>
          <t>1</t>
        </is>
      </c>
      <c r="J1831" t="inlineStr"/>
      <c r="K1831" t="inlineStr"/>
      <c r="L1831" t="inlineStr"/>
      <c r="M1831" t="inlineStr"/>
      <c r="N1831" t="inlineStr"/>
      <c r="O1831">
        <f>(1-Summary!$B$11)*T1831+Summary!$B$11*V1831</f>
        <v/>
      </c>
      <c r="P1831">
        <f>IF(B1862=0,0,O1831/B1862)</f>
        <v/>
      </c>
      <c r="Q1831" t="n">
        <v>0</v>
      </c>
      <c r="R1831" t="n">
        <v>0</v>
      </c>
      <c r="S1831">
        <f>IFERROR(O1831/N1831,0)</f>
        <v/>
      </c>
      <c r="T1831" t="n">
        <v>0</v>
      </c>
      <c r="V1831" t="n">
        <v>0</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Skills!G6*IF(Skills!H6&gt;0,Skills!I6/Skills!H6,1)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1838=TRUE,F1838,0)/100)*(1+(IF(Skills!A6="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1846=TRUE)*(F1846-Calc!F20)),(Inputs!$B$23+0+(IF(ArtifactsInput!$M$15,CHOOSE(ArtifactsInput!$N$15+1,25,30,35,40,45,50)/100*(Inputs!$B$11-Inputs!$B$11),0))))/100+(Inputs!$B$23+0+(IF(ArtifactsInput!$M$15,CHOOSE(ArtifactsInput!$N$15+1,25,30,35,40,45,50)/100*(Inputs!$B$11-Inputs!$B$11),0)))/100)/2</f>
        <v/>
      </c>
      <c r="M1832">
        <f>L1832*(1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IF(B1862=0,0,O1832/B1862)</f>
        <v/>
      </c>
      <c r="Q1832">
        <f>IFERROR(1/(IF(Inputs!$B$38="pvp",15,MAX(0.1,Skills!D6-IF(Skills!E6=TRUE,Inputs!$B$32,0)))*(1-IF(AND(ArtifactsInput!$M$27,Inputs!$B$4="Chapter Hunt"),CHOOSE(ArtifactsInput!$N$27+1,20,24,28,32,36,40),0)/100)),0)</f>
        <v/>
      </c>
      <c r="R1832">
        <f>IF(AND(Inputs!$B$38&lt;&gt;"pvp",Inputs!$B$43&gt;0),IF(MAX(0,Inputs!$B$43-B1859)&lt;=0,0,(INT(MAX(0,Inputs!$B$43-B1859)/(IF(Inputs!$B$38="pvp",15,MAX(0.1,Skills!D6-IF(Skills!E6=TRUE,Inputs!$B$32,0)))*(1-IF(AND(ArtifactsInput!$M$27,Inputs!$B$4="Chapter Hunt"),CHOOSE(ArtifactsInput!$N$27+1,20,24,28,32,36,40),0)/100)))+1)),0)</f>
        <v/>
      </c>
      <c r="S1832">
        <f>IFERROR(O1832/N1832,0)</f>
        <v/>
      </c>
      <c r="T1832">
        <f>IF(C1832,(H1832*N1832*IF(AND(Inputs!$B$38&lt;&gt;"pvp",Inputs!$B$43&gt;0),((Skills!G6*((R1832-1)*IF(Skills!H6&gt;0,Skills!I6/Skills!H6,1)+IF(Skills!H6&gt;0,MIN(Skills!I6,MAX(0,MAX(0,Inputs!$B$43-B1859)-((R1832-1)*(IF(Inputs!$B$38="pvp",15,MAX(0.1,Skills!D6-IF(Skills!E6=TRUE,Inputs!$B$32,0)))*(1-IF(AND(ArtifactsInput!$M$27,Inputs!$B$4="Chapter Hunt"),CHOOSE(ArtifactsInput!$N$27+1,20,24,28,32,36,40),0)/100)))))/Skills!H6,1)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Skills!I6/Skills!H6,1)+IF(Skills!H6&gt;0,MIN(Skills!I6,MAX(0,MAX(0,Inputs!$B$43-B1859)-((R1832-1)*(IF(Inputs!$B$38="pvp",15,MAX(0.1,Skills!D6-IF(Skills!E6=TRUE,Inputs!$B$32,0)))*(1-IF(AND(ArtifactsInput!$M$27,Inputs!$B$4="Chapter Hunt"),CHOOSE(ArtifactsInput!$N$27+1,20,24,28,32,36,40),0)/100)))))/Skills!H6,1)))/Inputs!$B$43),G1832*Q1832))*IF(Inputs!$B$38="pvp",1,(1+(Inputs!$B$21+Skills!Q6+(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Inputs!$B$3&gt;=100</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Skills!G7*IF(Skills!H7&gt;0,Skills!I7/Skills!H7,1)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1846=TRUE)*(F1846-Calc!F20)),(Inputs!$B$23+0+(IF(ArtifactsInput!$M$15,CHOOSE(ArtifactsInput!$N$15+1,25,30,35,40,45,50)/100*(Inputs!$B$11-Inputs!$B$11),0))))/100+(Inputs!$B$23+0+(IF(ArtifactsInput!$M$15,CHOOSE(ArtifactsInput!$N$15+1,25,30,35,40,45,50)/100*(Inputs!$B$11-Inputs!$B$11),0)))/100)/2</f>
        <v/>
      </c>
      <c r="M1833">
        <f>L1833*(1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IF(B1862=0,0,O1833/B1862)</f>
        <v/>
      </c>
      <c r="Q1833">
        <f>IFERROR(1/(IF(Inputs!$B$38="pvp",15,MAX(0.1,Skills!D7-IF(Skills!E7=TRUE,Inputs!$B$32,0)))*(1-IF(AND(ArtifactsInput!$M$27,Inputs!$B$4="Chapter Hunt"),CHOOSE(ArtifactsInput!$N$27+1,20,24,28,32,36,40),0)/100)),0)</f>
        <v/>
      </c>
      <c r="R1833">
        <f>IF(AND(Inputs!$B$38&lt;&gt;"pvp",Inputs!$B$43&gt;0),IF(MAX(0,Inputs!$B$43-B1859)&lt;=0,0,(INT(MAX(0,Inputs!$B$43-B1859)/(IF(Inputs!$B$38="pvp",15,MAX(0.1,Skills!D7-IF(Skills!E7=TRUE,Inputs!$B$32,0)))*(1-IF(AND(ArtifactsInput!$M$27,Inputs!$B$4="Chapter Hunt"),CHOOSE(ArtifactsInput!$N$27+1,20,24,28,32,36,40),0)/100)))+1)),0)</f>
        <v/>
      </c>
      <c r="S1833">
        <f>IFERROR(O1833/N1833,0)</f>
        <v/>
      </c>
      <c r="T1833">
        <f>IF(C1833,(H1833*N1833*IF(AND(Inputs!$B$38&lt;&gt;"pvp",Inputs!$B$43&gt;0),((Skills!G7*((R1833-1)*IF(Skills!H7&gt;0,Skills!I7/Skills!H7,1)+IF(Skills!H7&gt;0,MIN(Skills!I7,MAX(0,MAX(0,Inputs!$B$43-B1859)-((R1833-1)*(IF(Inputs!$B$38="pvp",15,MAX(0.1,Skills!D7-IF(Skills!E7=TRUE,Inputs!$B$32,0)))*(1-IF(AND(ArtifactsInput!$M$27,Inputs!$B$4="Chapter Hunt"),CHOOSE(ArtifactsInput!$N$27+1,20,24,28,32,36,40),0)/100)))))/Skills!H7,1)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Skills!I7/Skills!H7,1)+IF(Skills!H7&gt;0,MIN(Skills!I7,MAX(0,MAX(0,Inputs!$B$43-B1859)-((R1833-1)*(IF(Inputs!$B$38="pvp",15,MAX(0.1,Skills!D7-IF(Skills!E7=TRUE,Inputs!$B$32,0)))*(1-IF(AND(ArtifactsInput!$M$27,Inputs!$B$4="Chapter Hunt"),CHOOSE(ArtifactsInput!$N$27+1,20,24,28,32,36,40),0)/100)))))/Skills!H7,1)))/Inputs!$B$43),G1833*Q1833))*IF(Inputs!$B$38="pvp",1,(1+(Inputs!$B$21+Skills!Q7+(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Inputs!$B$3&gt;=110</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f>Skills!G8*IF(Skills!H8&gt;0,Skills!I8/Skills!H8,1)</f>
        <v/>
      </c>
      <c r="H1834">
        <f>1-(1-Skills!J8/100)^Skills!K8</f>
        <v/>
      </c>
      <c r="I1834" t="inlineStr">
        <is>
          <t>1</t>
        </is>
      </c>
      <c r="J1834">
        <f>((Inputs!$B$6*(1+Inputs!$B$7/100))+(((Inputs!$B$12*(1+Inputs!$B$13/100))-(Inputs!$B$12*(1+Inputs!$B$13/100)))+0.25*(Inputs!$B$14-Inputs!$B$14))*(1+Inputs!$B$7/100))*(F1834/100)</f>
        <v/>
      </c>
      <c r="K1834">
        <f>J1834*(1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C1846=TRUE)*(F1846-Calc!F20)),(Inputs!$B$23+0+(IF(ArtifactsInput!$M$15,CHOOSE(ArtifactsInput!$N$15+1,25,30,35,40,45,50)/100*(Inputs!$B$11-Inputs!$B$11),0))))/100+(Inputs!$B$23+0+(IF(ArtifactsInput!$M$15,CHOOSE(ArtifactsInput!$N$15+1,25,30,35,40,45,50)/100*(Inputs!$B$11-Inputs!$B$11),0)))/100)/2</f>
        <v/>
      </c>
      <c r="M1834">
        <f>L1834*(1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(1-Summary!$B$11)*T1834+Summary!$B$11*V1834</f>
        <v/>
      </c>
      <c r="P1834">
        <f>IF(B1862=0,0,O1834/B1862)</f>
        <v/>
      </c>
      <c r="Q1834">
        <f>IFERROR(1/(IF(Inputs!$B$38="pvp",15,MAX(0.1,Skills!D8-IF(Skills!E8=TRUE,Inputs!$B$32,0)))*(1-IF(AND(ArtifactsInput!$M$27,Inputs!$B$4="Chapter Hunt"),CHOOSE(ArtifactsInput!$N$27+1,20,24,28,32,36,40),0)/100)),0)</f>
        <v/>
      </c>
      <c r="R1834">
        <f>IF(AND(Inputs!$B$38&lt;&gt;"pvp",Inputs!$B$43&gt;0),IF(MAX(0,Inputs!$B$43-B1859)&lt;=0,0,(INT(MAX(0,Inputs!$B$43-B1859)/(IF(Inputs!$B$38="pvp",15,MAX(0.1,Skills!D8-IF(Skills!E8=TRUE,Inputs!$B$32,0)))*(1-IF(AND(ArtifactsInput!$M$27,Inputs!$B$4="Chapter Hunt"),CHOOSE(ArtifactsInput!$N$27+1,20,24,28,32,36,40),0)/100)))+1)),0)</f>
        <v/>
      </c>
      <c r="S1834">
        <f>IFERROR(O1834/N1834,0)</f>
        <v/>
      </c>
      <c r="T1834">
        <f>IF(C1834,(H1834*N1834*IF(AND(Inputs!$B$38&lt;&gt;"pvp",Inputs!$B$43&gt;0),((Skills!G8*((R1834-1)*IF(Skills!H8&gt;0,Skills!I8/Skills!H8,1)+IF(Skills!H8&gt;0,MIN(Skills!I8,MAX(0,MAX(0,Inputs!$B$43-B1859)-((R1834-1)*(IF(Inputs!$B$38="pvp",15,MAX(0.1,Skills!D8-IF(Skills!E8=TRUE,Inputs!$B$32,0)))*(1-IF(AND(ArtifactsInput!$M$27,Inputs!$B$4="Chapter Hunt"),CHOOSE(ArtifactsInput!$N$27+1,20,24,28,32,36,40),0)/100)))))/Skills!H8,1)))/Inputs!$B$43),G1834*Q1834)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1834*(1-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4">
        <f>IF(C1834,(H1834*N1834*IF(AND(Inputs!$B$38&lt;&gt;"pvp",Inputs!$B$43&gt;0),((Skills!G8*((R1834-1)*IF(Skills!H8&gt;0,Skills!I8/Skills!H8,1)+IF(Skills!H8&gt;0,MIN(Skills!I8,MAX(0,MAX(0,Inputs!$B$43-B1859)-((R1834-1)*(IF(Inputs!$B$38="pvp",15,MAX(0.1,Skills!D8-IF(Skills!E8=TRUE,Inputs!$B$32,0)))*(1-IF(AND(ArtifactsInput!$M$27,Inputs!$B$4="Chapter Hunt"),CHOOSE(ArtifactsInput!$N$27+1,20,24,28,32,36,40),0)/100)))))/Skills!H8,1)))/Inputs!$B$43),G1834*Q1834))*IF(Inputs!$B$38="pvp",1,(1+(Inputs!$B$21+Skills!Q8+(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Skills!A9</f>
        <v/>
      </c>
      <c r="B1835">
        <f>Skills!B9</f>
        <v/>
      </c>
      <c r="C1835">
        <f>Inputs!$B$3&gt;=110</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Skills!G9*IF(Skills!H9&gt;0,Skills!I9/Skills!H9,1)</f>
        <v/>
      </c>
      <c r="H1835">
        <f>1-(1-Skills!J9/100)^Skills!K9</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1846=TRUE)*(F1846-Calc!F20)),(Inputs!$B$23+0+(IF(ArtifactsInput!$M$15,CHOOSE(ArtifactsInput!$N$15+1,25,30,35,40,45,50)/100*(Inputs!$B$11-Inputs!$B$11),0))))/100+(Inputs!$B$23+0+(IF(ArtifactsInput!$M$15,CHOOSE(ArtifactsInput!$N$15+1,25,30,35,40,45,50)/100*(Inputs!$B$11-Inputs!$B$11),0)))/100)/2</f>
        <v/>
      </c>
      <c r="M1835">
        <f>L1835*(1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IF(B1862=0,0,O1835/B1862)</f>
        <v/>
      </c>
      <c r="Q1835">
        <f>IFERROR(1/(IF(Inputs!$B$38="pvp",15,MAX(0.1,Skills!D9-IF(Skills!E9=TRUE,Inputs!$B$32,0)))*(1-IF(AND(ArtifactsInput!$M$27,Inputs!$B$4="Chapter Hunt"),CHOOSE(ArtifactsInput!$N$27+1,20,24,28,32,36,40),0)/100)),0)</f>
        <v/>
      </c>
      <c r="R1835">
        <f>IF(AND(Inputs!$B$38&lt;&gt;"pvp",Inputs!$B$43&gt;0),IF(MAX(0,Inputs!$B$43-B1859)&lt;=0,0,(INT(MAX(0,Inputs!$B$43-B1859)/(IF(Inputs!$B$38="pvp",15,MAX(0.1,Skills!D9-IF(Skills!E9=TRUE,Inputs!$B$32,0)))*(1-IF(AND(ArtifactsInput!$M$27,Inputs!$B$4="Chapter Hunt"),CHOOSE(ArtifactsInput!$N$27+1,20,24,28,32,36,40),0)/100)))+1)),0)</f>
        <v/>
      </c>
      <c r="S1835">
        <f>IFERROR(O1835/N1835,0)</f>
        <v/>
      </c>
      <c r="T1835">
        <f>IF(C1835,(H1835*N1835*IF(AND(Inputs!$B$38&lt;&gt;"pvp",Inputs!$B$43&gt;0),((Skills!G9*((R1835-1)*IF(Skills!H9&gt;0,Skills!I9/Skills!H9,1)+IF(Skills!H9&gt;0,MIN(Skills!I9,MAX(0,MAX(0,Inputs!$B$43-B1859)-((R1835-1)*(IF(Inputs!$B$38="pvp",15,MAX(0.1,Skills!D9-IF(Skills!E9=TRUE,Inputs!$B$32,0)))*(1-IF(AND(ArtifactsInput!$M$27,Inputs!$B$4="Chapter Hunt"),CHOOSE(ArtifactsInput!$N$27+1,20,24,28,32,36,40),0)/100)))))/Skills!H9,1)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Skills!I9/Skills!H9,1)+IF(Skills!H9&gt;0,MIN(Skills!I9,MAX(0,MAX(0,Inputs!$B$43-B1859)-((R1835-1)*(IF(Inputs!$B$38="pvp",15,MAX(0.1,Skills!D9-IF(Skills!E9=TRUE,Inputs!$B$32,0)))*(1-IF(AND(ArtifactsInput!$M$27,Inputs!$B$4="Chapter Hunt"),CHOOSE(ArtifactsInput!$N$27+1,20,24,28,32,36,40),0)/100)))))/Skills!H9,1)))/Inputs!$B$43),G1835*Q1835))*IF(Inputs!$B$38="pvp",1,(1+(Inputs!$B$21+Skills!Q9+(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Inputs!$B$3&gt;=103</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Skills!G10*IF(Skills!H10&gt;0,Skills!I10/Skills!H10,1)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1846=TRUE)*(F1846-Calc!F20)),(Inputs!$B$23+0+(IF(ArtifactsInput!$M$15,CHOOSE(ArtifactsInput!$N$15+1,25,30,35,40,45,50)/100*(Inputs!$B$11-Inputs!$B$11),0))))/100+(Inputs!$B$23+0+(IF(ArtifactsInput!$M$15,CHOOSE(ArtifactsInput!$N$15+1,25,30,35,40,45,50)/100*(Inputs!$B$11-Inputs!$B$11),0)))/100)/2</f>
        <v/>
      </c>
      <c r="M1836">
        <f>L1836*(1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IF(B1862=0,0,O1836/B1862)</f>
        <v/>
      </c>
      <c r="Q1836">
        <f>IFERROR(1/(IF(Inputs!$B$38="pvp",15,MAX(0.1,Skills!D10-IF(Skills!E10=TRUE,Inputs!$B$32,0)))*(1-IF(AND(ArtifactsInput!$M$27,Inputs!$B$4="Chapter Hunt"),CHOOSE(ArtifactsInput!$N$27+1,20,24,28,32,36,40),0)/100)),0)</f>
        <v/>
      </c>
      <c r="R1836">
        <f>IF(AND(Inputs!$B$38&lt;&gt;"pvp",Inputs!$B$43&gt;0),IF(MAX(0,Inputs!$B$43-B1859)&lt;=0,0,(INT(MAX(0,Inputs!$B$43-B1859)/(IF(Inputs!$B$38="pvp",15,MAX(0.1,Skills!D10-IF(Skills!E10=TRUE,Inputs!$B$32,0)))*(1-IF(AND(ArtifactsInput!$M$27,Inputs!$B$4="Chapter Hunt"),CHOOSE(ArtifactsInput!$N$27+1,20,24,28,32,36,40),0)/100)))+1)),0)</f>
        <v/>
      </c>
      <c r="S1836">
        <f>IFERROR(O1836/N1836,0)</f>
        <v/>
      </c>
      <c r="T1836">
        <f>IF(C1836,(H1836*N1836*IF(AND(Inputs!$B$38&lt;&gt;"pvp",Inputs!$B$43&gt;0),((Skills!G10*((R1836-1)*IF(Skills!H10&gt;0,Skills!I10/Skills!H10,1)+IF(Skills!H10&gt;0,MIN(Skills!I10,MAX(0,MAX(0,Inputs!$B$43-B1859)-((R1836-1)*(IF(Inputs!$B$38="pvp",15,MAX(0.1,Skills!D10-IF(Skills!E10=TRUE,Inputs!$B$32,0)))*(1-IF(AND(ArtifactsInput!$M$27,Inputs!$B$4="Chapter Hunt"),CHOOSE(ArtifactsInput!$N$27+1,20,24,28,32,36,40),0)/100)))))/Skills!H10,1)))/Inputs!$B$43),G1836*Q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10*((R1836-1)*IF(Skills!H10&gt;0,Skills!I10/Skills!H10,1)+IF(Skills!H10&gt;0,MIN(Skills!I10,MAX(0,MAX(0,Inputs!$B$43-B1859)-((R1836-1)*(IF(Inputs!$B$38="pvp",15,MAX(0.1,Skills!D10-IF(Skills!E10=TRUE,Inputs!$B$32,0)))*(1-IF(AND(ArtifactsInput!$M$27,Inputs!$B$4="Chapter Hunt"),CHOOSE(ArtifactsInput!$N$27+1,20,24,28,32,36,40),0)/100)))))/Skills!H10,1)))/Inputs!$B$43),G1836*Q1836))*IF(Inputs!$B$38="pvp",1,(1+(Inputs!$B$21+Skills!Q10+(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Inputs!$B$3&gt;=113</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Skills!G11*IF(Skills!H11&gt;0,Skills!I11/Skills!H11,1)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1848=TRUE)*(F1848-Calc!F22))+B1858)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1847=TRUE)*(F1847-Calc!F21))+(((IF(AND(ArtifactsInput!$M$42,((Inputs!$B$9+((C1842=TRUE)*(F1842-Calc!F16))+B1852+(ArtifactsInput!$M$24-ArtifactsInput!$M$24)*CHOOSE(ArtifactsInput!$N$24+1,10,12,14,16,18,20)+IF(ArtifactsInput!$M$10,CHOOSE(ArtifactsInput!$N$10+1,15,18,21,24,27,30)*(IF(Inputs!$B$38="pvp",MIN(15,15)/15,IF(AND(Inputs!$B$38&lt;&gt;"pvp",Inputs!$B$43&gt;0),MIN(15,Inputs!$B$43)/(Inputs!$B$43),0))),0)))&gt;=100),MIN(100,((Inputs!$B$9+((C1842=TRUE)*(F1842-Calc!F16))+B1852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1842=TRUE)*(F1842-Calc!F16))+B1852+(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1846=TRUE)*(F1846-Calc!F20)),(Inputs!$B$23+0+(IF(ArtifactsInput!$M$15,CHOOSE(ArtifactsInput!$N$15+1,25,30,35,40,45,50)/100*(Inputs!$B$11-Inputs!$B$11),0))))/100+(Inputs!$B$23+0+(IF(ArtifactsInput!$M$15,CHOOSE(ArtifactsInput!$N$15+1,25,30,35,40,45,50)/100*(Inputs!$B$11-Inputs!$B$11),0)))/100)/2</f>
        <v/>
      </c>
      <c r="M1837">
        <f>L1837*(1+(Inputs!$B$10+0+B1857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IF(B1862=0,0,O1837/B1862)</f>
        <v/>
      </c>
      <c r="Q1837">
        <f>IFERROR(1/(IF(Inputs!$B$38="pvp",15,MAX(0.1,Skills!D11-IF(Skills!E11=TRUE,Inputs!$B$32,0)))*(1-IF(AND(ArtifactsInput!$M$27,Inputs!$B$4="Chapter Hunt"),CHOOSE(ArtifactsInput!$N$27+1,20,24,28,32,36,40),0)/100)),0)</f>
        <v/>
      </c>
      <c r="R1837">
        <f>IF(AND(Inputs!$B$38&lt;&gt;"pvp",Inputs!$B$43&gt;0),IF(MAX(0,Inputs!$B$43-B1859)&lt;=0,0,(INT(MAX(0,Inputs!$B$43-B1859)/(IF(Inputs!$B$38="pvp",15,MAX(0.1,Skills!D11-IF(Skills!E11=TRUE,Inputs!$B$32,0)))*(1-IF(AND(ArtifactsInput!$M$27,Inputs!$B$4="Chapter Hunt"),CHOOSE(ArtifactsInput!$N$27+1,20,24,28,32,36,40),0)/100)))+1)),0)</f>
        <v/>
      </c>
      <c r="S1837">
        <f>IFERROR(O1837/N1837,0)</f>
        <v/>
      </c>
      <c r="T1837">
        <f>IF(C1837,(H1837*N1837*IF(AND(Inputs!$B$38&lt;&gt;"pvp",Inputs!$B$43&gt;0),((Skills!G11*((R1837-1)*IF(Skills!H11&gt;0,Skills!I11/Skills!H11,1)+IF(Skills!H11&gt;0,MIN(Skills!I11,MAX(0,MAX(0,Inputs!$B$43-B1859)-((R1837-1)*(IF(Inputs!$B$38="pvp",15,MAX(0.1,Skills!D11-IF(Skills!E11=TRUE,Inputs!$B$32,0)))*(1-IF(AND(ArtifactsInput!$M$27,Inputs!$B$4="Chapter Hunt"),CHOOSE(ArtifactsInput!$N$27+1,20,24,28,32,36,40),0)/100)))))/Skills!H11,1)))/Inputs!$B$43),G1837*Q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1842=TRUE)*(F1842-Calc!F16))+B1852+(ArtifactsInput!$M$24-ArtifactsInput!$M$24)*CHOOSE(ArtifactsInput!$N$24+1,10,12,14,16,18,20)+(IF(AND(ArtifactsInput!$M$42,((Inputs!$B$9+((C1842=TRUE)*(F1842-Calc!F16))+B1852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N1837*IF(AND(Inputs!$B$38&lt;&gt;"pvp",Inputs!$B$43&gt;0),((Skills!G11*((R1837-1)*IF(Skills!H11&gt;0,Skills!I11/Skills!H11,1)+IF(Skills!H11&gt;0,MIN(Skills!I11,MAX(0,MAX(0,Inputs!$B$43-B1859)-((R1837-1)*(IF(Inputs!$B$38="pvp",15,MAX(0.1,Skills!D11-IF(Skills!E11=TRUE,Inputs!$B$32,0)))*(1-IF(AND(ArtifactsInput!$M$27,Inputs!$B$4="Chapter Hunt"),CHOOSE(ArtifactsInput!$N$27+1,20,24,28,32,36,40),0)/100)))))/Skills!H11,1)))/Inputs!$B$43),G1837*Q1837))*IF(Inputs!$B$38="pvp",1,(1+(Inputs!$B$21+Skills!Q11+(IF(ArtifactsInput!$M$33,CHOOSE(ArtifactsInput!$N$33+1,30,36,42,48,54,60),0))+(IF(AND(ArtifactsInput!$M$35,Inputs!$B$4&lt;&gt;"Chapter Hunt"),CHOOSE(ArtifactsInput!$N$35+1,15,18,21,24,27,30)*(1-EXP(-(0.2*B1854)*5)),0)+IF(AND(ArtifactsInput!$M$22,Inputs!$B$4&lt;&gt;"Chapter Hunt"),CHOOSE(ArtifactsInput!$N$22+1,10,12,14,16,18,20)*((0*(((0.15*B1854*5))^0/1)+1*(((0.15*B1854*5))^1/1)+2*(((0.15*B1854*5))^2/2)+3*(((0.15*B1854*5))^3/6)+4*(((0.15*B1854*5))^4/24)+5*(((0.15*B1854*5))^5/120))/((((0.15*B1854*5))^0/1)+(((0.15*B1854*5))^1/1)+(((0.15*B1854*5))^2/2)+(((0.15*B1854*5))^3/6)+(((0.15*B1854*5))^4/24)+(((0.15*B1854*5))^5/120))),0)))/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Inputs!$B$3&gt;=100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T1838" t="inlineStr"/>
      <c r="V1838" t="inlineStr"/>
    </row>
    <row r="1839">
      <c r="A1839">
        <f>Skills!A13</f>
        <v/>
      </c>
      <c r="B1839">
        <f>Skills!B13</f>
        <v/>
      </c>
      <c r="C1839">
        <f>Inputs!$B$3&gt;=66</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Skills!G13*IF(Skills!H13&gt;0,Skills!I13/Skills!H13,1)</f>
        <v/>
      </c>
      <c r="H1839">
        <f>1-(1-Skills!J13/100)^Skills!K13</f>
        <v/>
      </c>
      <c r="I1839" t="inlineStr">
        <is>
          <t>1</t>
        </is>
      </c>
      <c r="J1839" t="inlineStr"/>
      <c r="K1839" t="inlineStr"/>
      <c r="L1839" t="inlineStr"/>
      <c r="M1839" t="inlineStr"/>
      <c r="N1839" t="inlineStr"/>
      <c r="O1839">
        <f>(1-Summary!$B$11)*T1839+Summary!$B$11*V1839</f>
        <v/>
      </c>
      <c r="P1839">
        <f>IF(B1862=0,0,O1839/B1862)</f>
        <v/>
      </c>
      <c r="Q1839" t="n">
        <v>0</v>
      </c>
      <c r="R1839" t="n">
        <v>0</v>
      </c>
      <c r="S1839">
        <f>IFERROR(O1839/N1839,0)</f>
        <v/>
      </c>
      <c r="T1839" t="n">
        <v>0</v>
      </c>
      <c r="V1839" t="n">
        <v>0</v>
      </c>
    </row>
    <row r="1840">
      <c r="A1840">
        <f>Skills!A14</f>
        <v/>
      </c>
      <c r="B1840">
        <f>Skills!B14</f>
        <v/>
      </c>
      <c r="C1840">
        <f>Inputs!$B$3&gt;=107</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Skills!G14*IF(Skills!H14&gt;0,Skills!I14/Skills!H14,1)</f>
        <v/>
      </c>
      <c r="H1840">
        <f>1-(1-Skills!J14/100)^Skills!K14</f>
        <v/>
      </c>
      <c r="I1840" t="inlineStr">
        <is>
          <t>1</t>
        </is>
      </c>
      <c r="J1840" t="inlineStr"/>
      <c r="K1840" t="inlineStr"/>
      <c r="L1840" t="inlineStr"/>
      <c r="M1840" t="inlineStr"/>
      <c r="N1840" t="inlineStr"/>
      <c r="O1840">
        <f>(1-Summary!$B$11)*T1840+Summary!$B$11*V1840</f>
        <v/>
      </c>
      <c r="P1840">
        <f>IF(B1862=0,0,O1840/B1862)</f>
        <v/>
      </c>
      <c r="Q1840">
        <f>IFERROR(1/(IF(Inputs!$B$38="pvp",15,MAX(0.1,Skills!D14-IF(Skills!E14=TRUE,Inputs!$B$32,0)))*(1-IF(AND(ArtifactsInput!$M$27,Inputs!$B$4="Chapter Hunt"),CHOOSE(ArtifactsInput!$N$27+1,20,24,28,32,36,40),0)/100)),0)</f>
        <v/>
      </c>
      <c r="R1840">
        <f>IF(AND(Inputs!$B$38&lt;&gt;"pvp",Inputs!$B$43&gt;0),IF(Inputs!$B$43&lt;=0,0,(INT(Inputs!$B$43/(IF(Inputs!$B$38="pvp",15,MAX(0.1,Skills!D14-IF(Skills!E14=TRUE,Inputs!$B$32,0)))*(1-IF(AND(ArtifactsInput!$M$27,Inputs!$B$4="Chapter Hunt"),CHOOSE(ArtifactsInput!$N$27+1,20,24,28,32,36,40),0)/100)))+1)),0)</f>
        <v/>
      </c>
      <c r="S1840">
        <f>IFERROR(O1840/N1840,0)</f>
        <v/>
      </c>
      <c r="T1840" t="n">
        <v>0</v>
      </c>
      <c r="V1840" t="n">
        <v>0</v>
      </c>
    </row>
    <row r="1841">
      <c r="A1841">
        <f>Skills!A15</f>
        <v/>
      </c>
      <c r="B1841">
        <f>Skills!B15</f>
        <v/>
      </c>
      <c r="C1841">
        <f>Inputs!$B$3&gt;=115</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Skills!G15*IF(Skills!H15&gt;0,Skills!I15/Skills!H15,1)</f>
        <v/>
      </c>
      <c r="H1841">
        <f>1-(1-Skills!J15/100)^Skills!K15</f>
        <v/>
      </c>
      <c r="I1841" t="inlineStr">
        <is>
          <t>1</t>
        </is>
      </c>
      <c r="J1841" t="inlineStr"/>
      <c r="K1841" t="inlineStr"/>
      <c r="L1841" t="inlineStr"/>
      <c r="M1841" t="inlineStr"/>
      <c r="N1841" t="inlineStr"/>
      <c r="O1841">
        <f>(1-Summary!$B$11)*T1841+Summary!$B$11*V1841</f>
        <v/>
      </c>
      <c r="P1841">
        <f>IF(B1862=0,0,O1841/B1862)</f>
        <v/>
      </c>
      <c r="Q1841">
        <f>IFERROR(1/(IF(Inputs!$B$38="pvp",15,MAX(0.1,Skills!D15-IF(Skills!E15=TRUE,Inputs!$B$32,0)))*(1-IF(AND(ArtifactsInput!$M$27,Inputs!$B$4="Chapter Hunt"),CHOOSE(ArtifactsInput!$N$27+1,20,24,28,32,36,40),0)/100)),0)</f>
        <v/>
      </c>
      <c r="R1841">
        <f>IF(AND(Inputs!$B$38&lt;&gt;"pvp",Inputs!$B$43&gt;0),IF(Inputs!$B$43&lt;=0,0,(INT(Inputs!$B$43/(IF(Inputs!$B$38="pvp",15,MAX(0.1,Skills!D15-IF(Skills!E15=TRUE,Inputs!$B$32,0)))*(1-IF(AND(ArtifactsInput!$M$27,Inputs!$B$4="Chapter Hunt"),CHOOSE(ArtifactsInput!$N$27+1,20,24,28,32,36,40),0)/100)))+1)),0)</f>
        <v/>
      </c>
      <c r="S1841">
        <f>IFERROR(O1841/N1841,0)</f>
        <v/>
      </c>
      <c r="T1841" t="n">
        <v>0</v>
      </c>
      <c r="V1841" t="n">
        <v>0</v>
      </c>
    </row>
    <row r="1842">
      <c r="A1842">
        <f>Skills!A16</f>
        <v/>
      </c>
      <c r="B1842">
        <f>Skills!B16</f>
        <v/>
      </c>
      <c r="C1842">
        <f>Inputs!$B$3&gt;=15</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Skills!G16*IF(Skills!H16&gt;0,Skills!I16/Skills!H16,1)</f>
        <v/>
      </c>
      <c r="H1842">
        <f>1-(1-Skills!J16/100)^Skills!K16</f>
        <v/>
      </c>
      <c r="I1842" t="inlineStr">
        <is>
          <t>1</t>
        </is>
      </c>
      <c r="J1842" t="inlineStr"/>
      <c r="K1842" t="inlineStr"/>
      <c r="L1842" t="inlineStr"/>
      <c r="M1842" t="inlineStr"/>
      <c r="N1842" t="inlineStr"/>
      <c r="O1842">
        <f>(1-Summary!$B$11)*T1842+Summary!$B$11*V1842</f>
        <v/>
      </c>
      <c r="P1842">
        <f>IF(B1862=0,0,O1842/B1862)</f>
        <v/>
      </c>
      <c r="Q1842" t="n">
        <v>0</v>
      </c>
      <c r="R1842" t="n">
        <v>0</v>
      </c>
      <c r="S1842">
        <f>IFERROR(O1842/N1842,0)</f>
        <v/>
      </c>
      <c r="T1842" t="n">
        <v>0</v>
      </c>
      <c r="V1842" t="n">
        <v>0</v>
      </c>
    </row>
    <row r="1843">
      <c r="A1843">
        <f>Skills!A17</f>
        <v/>
      </c>
      <c r="B1843">
        <f>Skills!B17</f>
        <v/>
      </c>
      <c r="C1843">
        <f>Inputs!$B$3&gt;=10</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Skills!G17*IF(Skills!H17&gt;0,Skills!I17/Skills!H17,1)</f>
        <v/>
      </c>
      <c r="H1843">
        <f>1-(1-Skills!J17/100)^Skills!K17</f>
        <v/>
      </c>
      <c r="I1843" t="inlineStr">
        <is>
          <t>1</t>
        </is>
      </c>
      <c r="J1843" t="inlineStr"/>
      <c r="K1843" t="inlineStr"/>
      <c r="L1843" t="inlineStr"/>
      <c r="M1843" t="inlineStr"/>
      <c r="N1843" t="inlineStr"/>
      <c r="O1843">
        <f>(1-Summary!$B$11)*T1843+Summary!$B$11*V1843</f>
        <v/>
      </c>
      <c r="P1843">
        <f>IF(B1862=0,0,O1843/B1862)</f>
        <v/>
      </c>
      <c r="Q1843" t="n">
        <v>0</v>
      </c>
      <c r="R1843" t="n">
        <v>0</v>
      </c>
      <c r="S1843">
        <f>IFERROR(O1843/N1843,0)</f>
        <v/>
      </c>
      <c r="T1843" t="n">
        <v>0</v>
      </c>
      <c r="V1843" t="n">
        <v>0</v>
      </c>
    </row>
    <row r="1844">
      <c r="A1844">
        <f>Skills!A18</f>
        <v/>
      </c>
      <c r="B1844">
        <f>Skills!B18</f>
        <v/>
      </c>
      <c r="C1844">
        <f>Inputs!$B$3&gt;=33</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Skills!G18*IF(Skills!H18&gt;0,Skills!I18/Skills!H18,1)</f>
        <v/>
      </c>
      <c r="H1844">
        <f>1-(1-Skills!J18/100)^Skills!K18</f>
        <v/>
      </c>
      <c r="I1844" t="inlineStr">
        <is>
          <t>1</t>
        </is>
      </c>
      <c r="J1844" t="inlineStr"/>
      <c r="K1844" t="inlineStr"/>
      <c r="L1844" t="inlineStr"/>
      <c r="M1844" t="inlineStr"/>
      <c r="N1844" t="inlineStr"/>
      <c r="O1844">
        <f>(1-Summary!$B$11)*T1844+Summary!$B$11*V1844</f>
        <v/>
      </c>
      <c r="P1844">
        <f>IF(B1862=0,0,O1844/B1862)</f>
        <v/>
      </c>
      <c r="Q1844" t="n">
        <v>0</v>
      </c>
      <c r="R1844" t="n">
        <v>0</v>
      </c>
      <c r="S1844">
        <f>IFERROR(O1844/N1844,0)</f>
        <v/>
      </c>
      <c r="T1844" t="n">
        <v>0</v>
      </c>
      <c r="V1844" t="n">
        <v>0</v>
      </c>
    </row>
    <row r="1845">
      <c r="A1845">
        <f>Skills!A19</f>
        <v/>
      </c>
      <c r="B1845">
        <f>Skills!B19</f>
        <v/>
      </c>
      <c r="C1845">
        <f>Inputs!$B$3&gt;=40</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Skills!G19*IF(Skills!H19&gt;0,Skills!I19/Skills!H19,1)</f>
        <v/>
      </c>
      <c r="H1845">
        <f>1-(1-Skills!J19/100)^Skills!K19</f>
        <v/>
      </c>
      <c r="I1845" t="inlineStr">
        <is>
          <t>1</t>
        </is>
      </c>
      <c r="J1845" t="inlineStr"/>
      <c r="K1845" t="inlineStr"/>
      <c r="L1845" t="inlineStr"/>
      <c r="M1845" t="inlineStr"/>
      <c r="N1845" t="inlineStr"/>
      <c r="O1845">
        <f>(1-Summary!$B$11)*T1845+Summary!$B$11*V1845</f>
        <v/>
      </c>
      <c r="P1845">
        <f>IF(B1862=0,0,O1845/B1862)</f>
        <v/>
      </c>
      <c r="Q1845" t="n">
        <v>0</v>
      </c>
      <c r="R1845" t="n">
        <v>0</v>
      </c>
      <c r="S1845">
        <f>IFERROR(O1845/N1845,0)</f>
        <v/>
      </c>
      <c r="T1845" t="n">
        <v>0</v>
      </c>
      <c r="V1845" t="n">
        <v>0</v>
      </c>
    </row>
    <row r="1846">
      <c r="A1846">
        <f>Skills!A20</f>
        <v/>
      </c>
      <c r="B1846">
        <f>Skills!B20</f>
        <v/>
      </c>
      <c r="C1846">
        <f>Inputs!$B$3&gt;=43</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Skills!G20*IF(Skills!H20&gt;0,Skills!I20/Skills!H20,1)</f>
        <v/>
      </c>
      <c r="H1846">
        <f>1-(1-Skills!J20/100)^Skills!K20</f>
        <v/>
      </c>
      <c r="I1846" t="inlineStr">
        <is>
          <t>1</t>
        </is>
      </c>
      <c r="J1846" t="inlineStr"/>
      <c r="K1846" t="inlineStr"/>
      <c r="L1846" t="inlineStr"/>
      <c r="M1846" t="inlineStr"/>
      <c r="N1846" t="inlineStr"/>
      <c r="O1846">
        <f>(1-Summary!$B$11)*T1846+Summary!$B$11*V1846</f>
        <v/>
      </c>
      <c r="P1846">
        <f>IF(B1862=0,0,O1846/B1862)</f>
        <v/>
      </c>
      <c r="Q1846" t="n">
        <v>0</v>
      </c>
      <c r="R1846" t="n">
        <v>0</v>
      </c>
      <c r="S1846">
        <f>IFERROR(O1846/N1846,0)</f>
        <v/>
      </c>
      <c r="T1846" t="n">
        <v>0</v>
      </c>
      <c r="V1846" t="n">
        <v>0</v>
      </c>
    </row>
    <row r="1847">
      <c r="A1847">
        <f>Skills!A21</f>
        <v/>
      </c>
      <c r="B1847">
        <f>Skills!B21</f>
        <v/>
      </c>
      <c r="C1847">
        <f>Inputs!$B$3&gt;=38</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Skills!G21*IF(Skills!H21&gt;0,Skills!I21/Skills!H21,1)</f>
        <v/>
      </c>
      <c r="H1847">
        <f>1-(1-Skills!J21/100)^Skills!K21</f>
        <v/>
      </c>
      <c r="I1847" t="inlineStr">
        <is>
          <t>1</t>
        </is>
      </c>
      <c r="J1847" t="inlineStr"/>
      <c r="K1847" t="inlineStr"/>
      <c r="L1847" t="inlineStr"/>
      <c r="M1847" t="inlineStr"/>
      <c r="N1847" t="inlineStr"/>
      <c r="O1847">
        <f>(1-Summary!$B$11)*T1847+Summary!$B$11*V1847</f>
        <v/>
      </c>
      <c r="P1847">
        <f>IF(B1862=0,0,O1847/B1862)</f>
        <v/>
      </c>
      <c r="Q1847" t="n">
        <v>0</v>
      </c>
      <c r="R1847" t="n">
        <v>0</v>
      </c>
      <c r="S1847">
        <f>IFERROR(O1847/N1847,0)</f>
        <v/>
      </c>
      <c r="T1847" t="n">
        <v>0</v>
      </c>
      <c r="V1847" t="n">
        <v>0</v>
      </c>
    </row>
    <row r="1848">
      <c r="A1848">
        <f>Skills!A22</f>
        <v/>
      </c>
      <c r="B1848">
        <f>Skills!B22</f>
        <v/>
      </c>
      <c r="C1848">
        <f>Inputs!$B$3&gt;=75</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Skills!G22*IF(Skills!H22&gt;0,Skills!I22/Skills!H22,1)</f>
        <v/>
      </c>
      <c r="H1848">
        <f>1-(1-Skills!J22/100)^Skills!K22</f>
        <v/>
      </c>
      <c r="I1848" t="inlineStr">
        <is>
          <t>1</t>
        </is>
      </c>
      <c r="J1848" t="inlineStr"/>
      <c r="K1848" t="inlineStr"/>
      <c r="L1848" t="inlineStr"/>
      <c r="M1848" t="inlineStr"/>
      <c r="N1848" t="inlineStr"/>
      <c r="O1848">
        <f>(1-Summary!$B$11)*T1848+Summary!$B$11*V1848</f>
        <v/>
      </c>
      <c r="P1848">
        <f>IF(B1862=0,0,O1848/B1862)</f>
        <v/>
      </c>
      <c r="Q1848" t="n">
        <v>0</v>
      </c>
      <c r="R1848" t="n">
        <v>0</v>
      </c>
      <c r="S1848">
        <f>IFERROR(O1848/N1848,0)</f>
        <v/>
      </c>
      <c r="T1848" t="n">
        <v>0</v>
      </c>
      <c r="V1848" t="n">
        <v>0</v>
      </c>
    </row>
    <row r="1849">
      <c r="A1849">
        <f>Skills!A23</f>
        <v/>
      </c>
      <c r="B1849">
        <f>Skills!B23</f>
        <v/>
      </c>
      <c r="C1849">
        <f>TRUE</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Skills!G23*IF(Skills!H23&gt;0,Skills!I23/Skills!H23,1)</f>
        <v/>
      </c>
      <c r="H1849">
        <f>1-(1-Skills!J23/100)^Skills!K23</f>
        <v/>
      </c>
      <c r="I1849" t="inlineStr">
        <is>
          <t>1</t>
        </is>
      </c>
      <c r="J1849" t="inlineStr"/>
      <c r="K1849" t="inlineStr"/>
      <c r="L1849" t="inlineStr"/>
      <c r="M1849" t="inlineStr"/>
      <c r="N1849" t="inlineStr"/>
      <c r="O1849">
        <f>(1-Summary!$B$11)*T1849+Summary!$B$11*V1849</f>
        <v/>
      </c>
      <c r="P1849">
        <f>IF(B1862=0,0,O1849/B1862)</f>
        <v/>
      </c>
      <c r="Q1849">
        <f>IFERROR(1/(IF(Inputs!$B$38="pvp",15,MAX(0.1,Skills!D23-IF(Skills!E23=TRUE,Inputs!$B$32,0)))*(1-IF(AND(ArtifactsInput!$M$27,Inputs!$B$4="Chapter Hunt"),CHOOSE(ArtifactsInput!$N$27+1,20,24,28,32,36,40),0)/100)),0)</f>
        <v/>
      </c>
      <c r="R1849">
        <f>IF(AND(Inputs!$B$38&lt;&gt;"pvp",Inputs!$B$43&gt;0),IF(Inputs!$B$43&lt;=0,0,(INT(Inputs!$B$43/(IF(Inputs!$B$38="pvp",15,MAX(0.1,Skills!D23-IF(Skills!E23=TRUE,Inputs!$B$32,0)))*(1-IF(AND(ArtifactsInput!$M$27,Inputs!$B$4="Chapter Hunt"),CHOOSE(ArtifactsInput!$N$27+1,20,24,28,32,36,40),0)/100)))+1)),0)</f>
        <v/>
      </c>
      <c r="S1849">
        <f>IFERROR(O1849/N1849,0)</f>
        <v/>
      </c>
      <c r="T1849" t="n">
        <v>0</v>
      </c>
      <c r="V1849" t="n">
        <v>0</v>
      </c>
    </row>
    <row r="1851">
      <c r="A1851" t="inlineStr">
        <is>
          <t>Attack% Bucket Multiplier</t>
        </is>
      </c>
      <c r="B1851">
        <f>(1+(((C1839=TRUE)*F1839*5/7)+((C1845=TRUE)*(F1845-Calc!F19))+(IF(ArtifactsInput!$M$21,CHOOSE(ArtifactsInput!$N$21+1,25,30,35,40,45,50)*(IF(OR(Inputs!$B$4="Chapter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2">
      <c r="A1852" t="inlineStr">
        <is>
          <t>Global Crit Rate Bonus %</t>
        </is>
      </c>
      <c r="B1852" t="n">
        <v>0</v>
      </c>
    </row>
    <row r="1853">
      <c r="A1853" t="inlineStr">
        <is>
          <t>Attack Speed Buff Bonus % (Nimble Feet, duty-cycle averaged)</t>
        </is>
      </c>
      <c r="B1853">
        <f>((C1849=TRUE)*F1849*IF(AND(Inputs!$B$38&lt;&gt;"pvp",Inputs!$B$43&gt;0),(((R1849-1)*(Skills!T23*(1+Inputs!$B$34/100))+MIN((Skills!T23*(1+Inputs!$B$34/100)),MAX(0,Inputs!$B$43-((R1849-1)*Skills!D23))))/Inputs!$B$43),IF(Inputs!$B$38="pvp",MIN((Skills!T23*(1+Inputs!$B$34/100)),15)/15,(Skills!T23*(1+Inputs!$B$34/100))/Skills!D23)))</f>
        <v/>
      </c>
    </row>
    <row r="1854">
      <c r="A1854" t="inlineStr">
        <is>
          <t>Actions Per Second</t>
        </is>
      </c>
      <c r="B1854">
        <f>1+MIN(150,150*(1-(1-(Inputs!$B$11+((C1843=TRUE)*(F1843-Calc!F17))+((C1844=TRUE)*(F1844-Calc!F18)))/150)*(1-B1853/150)))/100</f>
        <v/>
      </c>
    </row>
    <row r="1855">
      <c r="A1855" t="inlineStr">
        <is>
          <t>Skill + Buff Cast Rate</t>
        </is>
      </c>
      <c r="B1855">
        <f>IF(AND(Inputs!$B$38&lt;&gt;"pvp",Inputs!$B$43&gt;0),SUMPRODUCT((Skills!E2:E23=TRUE)*(C1828:C1849=TRUE)*R1828:R1849*Skills!F2:F23)/Inputs!$B$43,SUMPRODUCT((Skills!E2:E23=TRUE)*(C1828:C1849=TRUE)*Q1828:Q1849*Skills!F2:F23))</f>
        <v/>
      </c>
    </row>
    <row r="1856">
      <c r="A1856" t="inlineStr">
        <is>
          <t>Hook Bomber Casts Per Second</t>
        </is>
      </c>
      <c r="B1856">
        <f>MAX(0,B1854-B1855)</f>
        <v/>
      </c>
    </row>
    <row r="1857">
      <c r="A1857" t="inlineStr">
        <is>
          <t>Global Critical Damage Bonus % (unused)</t>
        </is>
      </c>
      <c r="B1857" t="n">
        <v>0</v>
      </c>
    </row>
    <row r="1858">
      <c r="A1858" t="inlineStr">
        <is>
          <t>Global Final Damage Bonus % (Serpent Scale + Crossbones + Time Leap + Speed Infusion)</t>
        </is>
      </c>
      <c r="B1858">
        <f>((C1831=TRUE)*F1831*((10+IF(Inputs!$B$3&gt;=94,5,0))/((10+IF(Inputs!$B$3&gt;=94,5,0))+5/(B1856*(1+IF(Inputs!$B$3&gt;=104,1,0))))))+((C1840=TRUE)*F1840*IF(AND(Inputs!$B$38&lt;&gt;"pvp",Inputs!$B$43&gt;0),(((R1840-1)*(Skills!T14*(1+Inputs!$B$34/100))+MIN((Skills!T14*(1+Inputs!$B$34/100)),MAX(0,Inputs!$B$43-((R1840-1)*Skills!D14))))/Inputs!$B$43),IF(Inputs!$B$38="pvp",MIN((Skills!T14*(1+Inputs!$B$34/100)),15)/15,(Skills!T14*(1+Inputs!$B$34/100))/Skills!D14)))+((C1841=TRUE)*F1841*IF(AND(Inputs!$B$38&lt;&gt;"pvp",Inputs!$B$43&gt;0),(((R1841-1)*(Skills!T15*(1+Inputs!$B$34/100))+MIN((Skills!T15*(1+Inputs!$B$34/100)),MAX(0,Inputs!$B$43-((R1841-1)*Skills!D15))))/Inputs!$B$43),IF(Inputs!$B$38="pvp",MIN((Skills!T15*(1+Inputs!$B$34/100)),15)/15,(Skills!T15*(1+Inputs!$B$34/100))/Skills!D15)))+((Inputs!$B$3&gt;=110)*20*(B1854-1)*IF(Inputs!$B$38="pvp",MIN((15*(1+Inputs!$B$34/100)),15)/15,(15*(1+Inputs!$B$34/100))/35))</f>
        <v/>
      </c>
    </row>
    <row r="1859">
      <c r="A1859" t="inlineStr">
        <is>
          <t>Buff-Casting Startup Delay (s, fixed-duration only)</t>
        </is>
      </c>
      <c r="B1859">
        <f>IF(AND(Inputs!$B$38&lt;&gt;"pvp",Inputs!$B$43&gt;0),SUMPRODUCT((Skills!T2:T23&gt;0)*(Skills!E2:E23=TRUE)*(C1828:C1849=TRUE))/B1854,0)</f>
        <v/>
      </c>
    </row>
    <row r="1860">
      <c r="A1860" t="inlineStr">
        <is>
          <t>Boss-Only Total DPS (this block's swept value)</t>
        </is>
      </c>
      <c r="B1860">
        <f>SUM(T1828:T1849)</f>
        <v/>
      </c>
    </row>
    <row r="1861">
      <c r="A1861" t="inlineStr">
        <is>
          <t>Normal-Only Total DPS (this block's swept value)</t>
        </is>
      </c>
      <c r="B1861">
        <f>SUM(V1828:V1849)</f>
        <v/>
      </c>
    </row>
    <row r="1862">
      <c r="A1862" s="6" t="inlineStr">
        <is>
          <t>TOTAL DPS</t>
        </is>
      </c>
      <c r="B1862" s="6">
        <f>SUM(O1828:O1849)</f>
        <v/>
      </c>
    </row>
    <row r="1865">
      <c r="A1865" s="6" t="inlineStr">
        <is>
          <t>Stat: Soul Contract (Equip)</t>
        </is>
      </c>
    </row>
    <row r="1866">
      <c r="A1866" s="5" t="inlineStr">
        <is>
          <t>Key</t>
        </is>
      </c>
      <c r="B1866" s="5" t="inlineStr">
        <is>
          <t>Name</t>
        </is>
      </c>
      <c r="C1866" s="5" t="inlineStr">
        <is>
          <t>Unlocked</t>
        </is>
      </c>
      <c r="D1866" s="5" t="inlineStr">
        <is>
          <t>InputLevel</t>
        </is>
      </c>
      <c r="E1866" s="5" t="inlineStr">
        <is>
          <t>Factor</t>
        </is>
      </c>
      <c r="F1866" s="5" t="inlineStr">
        <is>
          <t>CoefficientPercent</t>
        </is>
      </c>
      <c r="G1866" s="5" t="inlineStr">
        <is>
          <t>EffectiveHits</t>
        </is>
      </c>
      <c r="H1866" s="5" t="inlineStr">
        <is>
          <t>ProcProbability</t>
        </is>
      </c>
      <c r="I1866" s="5" t="inlineStr">
        <is>
          <t>MapleHeroMultiplier</t>
        </is>
      </c>
      <c r="J1866" s="5" t="inlineStr">
        <is>
          <t>BaseDamage</t>
        </is>
      </c>
      <c r="K1866" s="5" t="inlineStr">
        <is>
          <t>BaseHitDamage</t>
        </is>
      </c>
      <c r="L1866" s="5" t="inlineStr">
        <is>
          <t>NonCritAvg</t>
        </is>
      </c>
      <c r="M1866" s="5" t="inlineStr">
        <is>
          <t>CritAvg</t>
        </is>
      </c>
      <c r="N1866" s="5" t="inlineStr">
        <is>
          <t>ExpectedDamage(perHit)</t>
        </is>
      </c>
      <c r="O1866" s="5" t="inlineStr">
        <is>
          <t>DPS</t>
        </is>
      </c>
      <c r="P1866" s="5" t="inlineStr">
        <is>
          <t>% of Total</t>
        </is>
      </c>
      <c r="Q1866" s="5" t="inlineStr">
        <is>
          <t>InvCooldown</t>
        </is>
      </c>
      <c r="R1866" s="5" t="inlineStr">
        <is>
          <t>CastsInFight</t>
        </is>
      </c>
      <c r="S1866" s="5" t="inlineStr">
        <is>
          <t>HitRate(perSec)</t>
        </is>
      </c>
      <c r="U1866" t="inlineStr">
        <is>
          <t>helpers</t>
        </is>
      </c>
    </row>
    <row r="1867">
      <c r="A1867">
        <f>Skills!A2</f>
        <v/>
      </c>
      <c r="B1867">
        <f>Skills!B2</f>
        <v/>
      </c>
      <c r="C1867">
        <f>Inputs!$B$3&gt;=100</f>
        <v/>
      </c>
      <c r="D1867" t="inlineStr"/>
      <c r="E1867" t="inlineStr"/>
      <c r="F1867">
        <f>U1869+Skills!O2</f>
        <v/>
      </c>
      <c r="G1867">
        <f>Skills!G2*IF(Skills!H2&gt;0,Skills!I2/Skills!H2,1)</f>
        <v/>
      </c>
      <c r="H1867">
        <f>1-(1-Skills!J2/100)^Skills!K2</f>
        <v/>
      </c>
      <c r="I1867" t="inlineStr">
        <is>
          <t>1</t>
        </is>
      </c>
      <c r="J1867">
        <f>((Inputs!$B$6*(1+Inputs!$B$7/100))+(((Inputs!$B$12*(1+Inputs!$B$13/100))-(Inputs!$B$12*(1+Inputs!$B$13/100)))+0.25*(Inputs!$B$14-Inputs!$B$14))*(1+Inputs!$B$7/100))*(F1867/100)</f>
        <v/>
      </c>
      <c r="K1867">
        <f>J1867*(1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1867)</f>
        <v/>
      </c>
      <c r="L1867">
        <f>K1867*(MIN(Inputs!$B$22+((C1885=TRUE)*(F1885-Calc!F20)),(Inputs!$B$23+0+(IF(ArtifactsInput!$M$15,CHOOSE(ArtifactsInput!$N$15+1,25,30,35,40,45,50)/100*(Inputs!$B$11-Inputs!$B$11),0))))/100+(Inputs!$B$23+0+(IF(ArtifactsInput!$M$15,CHOOSE(ArtifactsInput!$N$15+1,25,30,35,40,45,50)/100*(Inputs!$B$11-Inputs!$B$11),0)))/100)/2</f>
        <v/>
      </c>
      <c r="M1867">
        <f>L1867*(1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7">
        <f>L1867*(1-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1867*(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7">
        <f>(1-Summary!$B$11)*T1867+Summary!$B$11*V1867</f>
        <v/>
      </c>
      <c r="P1867">
        <f>IF(B1901=0,0,O1867/B1901)</f>
        <v/>
      </c>
      <c r="Q1867" t="n">
        <v>0</v>
      </c>
      <c r="R1867" t="n">
        <v>0</v>
      </c>
      <c r="S1867">
        <f>IFERROR(O1867/N1867,0)</f>
        <v/>
      </c>
      <c r="T1867">
        <f>IF(C1867,(Skills!G2*N1867*B1895)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1867*(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1867*(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7">
        <f>MAX(0,(Inputs!$B$3-100)*3)+Inputs!$B$28+Inputs!$B$29</f>
        <v/>
      </c>
      <c r="V1867">
        <f>IF(C1867,(Skills!G2*N1867*B1895)*IF(Inputs!$B$38="pvp",1,(1+(Inputs!$B$21+Skills!Q2+(IF(ArtifactsInput!$M$33,CHOOSE(ArtifactsInput!$N$33+1,30,36,42,48,54,60),0))+(IF(AND(ArtifactsInput!$M$35,Inputs!$B$4&lt;&gt;"Chapter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8">
      <c r="A1868">
        <f>Skills!A3</f>
        <v/>
      </c>
      <c r="B1868">
        <f>Skills!B3</f>
        <v/>
      </c>
      <c r="C1868">
        <f>Inputs!$B$3&gt;=35</f>
        <v/>
      </c>
      <c r="D1868">
        <f>IF(Skills!C3=1,60+Inputs!$B$25+Inputs!$B$29,IF(Skills!C3=2,90+Inputs!$B$26+Inputs!$B$29,IF(Skills!C3=3,120+Inputs!$B$27+Inputs!$B$29,MAX(0,(Inputs!$B$3-100)*3)+Inputs!$B$28+Inputs!$B$29)))</f>
        <v/>
      </c>
      <c r="E1868">
        <f>INDEX(FactorTable!$B$2:$Y$301, MATCH(ROUND(MIN(300,MAX(1,D1868)),0), FactorTable!$A$2:$A$301,0), Skills!M3+1)</f>
        <v/>
      </c>
      <c r="F1868">
        <f>IF(Skills!N3=TRUE,(Skills!L3/10)*(E1868/1000),Skills!L3/10)+Skills!O3</f>
        <v/>
      </c>
      <c r="G1868">
        <f>Skills!G3*IF(Skills!H3&gt;0,Skills!I3/Skills!H3,1)</f>
        <v/>
      </c>
      <c r="H1868">
        <f>1-(1-Skills!J3/100)^Skills!K3</f>
        <v/>
      </c>
      <c r="I1868" t="inlineStr">
        <is>
          <t>1</t>
        </is>
      </c>
      <c r="J1868">
        <f>((Inputs!$B$6*(1+Inputs!$B$7/100))+(((Inputs!$B$12*(1+Inputs!$B$13/100))-(Inputs!$B$12*(1+Inputs!$B$13/100)))+0.25*(Inputs!$B$14-Inputs!$B$14))*(1+Inputs!$B$7/100))*(F1868/100)</f>
        <v/>
      </c>
      <c r="K1868">
        <f>J1868*(1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1868)</f>
        <v/>
      </c>
      <c r="L1868">
        <f>K1868*(MIN(Inputs!$B$22+((C1885=TRUE)*(F1885-Calc!F20)),(Inputs!$B$23+0+(IF(ArtifactsInput!$M$15,CHOOSE(ArtifactsInput!$N$15+1,25,30,35,40,45,50)/100*(Inputs!$B$11-Inputs!$B$11),0))))/100+(Inputs!$B$23+0+(IF(ArtifactsInput!$M$15,CHOOSE(ArtifactsInput!$N$15+1,25,30,35,40,45,50)/100*(Inputs!$B$11-Inputs!$B$11),0)))/100)/2</f>
        <v/>
      </c>
      <c r="M1868">
        <f>L1868*(1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8">
        <f>L1868*(1-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1868*(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8">
        <f>(1-Summary!$B$11)*T1868+Summary!$B$11*V1868</f>
        <v/>
      </c>
      <c r="P1868">
        <f>IF(B1901=0,0,O1868/B1901)</f>
        <v/>
      </c>
      <c r="Q1868" t="n">
        <v>0</v>
      </c>
      <c r="R1868" t="n">
        <v>0</v>
      </c>
      <c r="S1868">
        <f>IFERROR(O1868/N1868,0)</f>
        <v/>
      </c>
      <c r="T1868">
        <f>IF(C1868,(Skills!G3*H1868*N1868*B1895)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1868*(1-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1868*(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1868*(1-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1868*(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8">
        <f>INDEX(FactorTable!$B$2:$Y$301, MATCH(ROUND(MIN(300,MAX(1,U1867)),0), FactorTable!$A$2:$A$301,0), 22)</f>
        <v/>
      </c>
      <c r="V1868">
        <f>IF(C1868,(Skills!G3*H1868*N1868*B1895)*IF(Inputs!$B$38="pvp",1,(1+(Inputs!$B$21+Skills!Q3+(IF(ArtifactsInput!$M$33,CHOOSE(ArtifactsInput!$N$33+1,30,36,42,48,54,60),0))+(IF(AND(ArtifactsInput!$M$35,Inputs!$B$4&lt;&gt;"Chapter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69">
      <c r="A1869">
        <f>Skills!A4</f>
        <v/>
      </c>
      <c r="B1869">
        <f>Skills!B4</f>
        <v/>
      </c>
      <c r="C1869">
        <f>Inputs!$B$3&gt;=60</f>
        <v/>
      </c>
      <c r="D1869">
        <f>IF(Skills!C4=1,60+Inputs!$B$25+Inputs!$B$29,IF(Skills!C4=2,90+Inputs!$B$26+Inputs!$B$29,IF(Skills!C4=3,120+Inputs!$B$27+Inputs!$B$29,MAX(0,(Inputs!$B$3-100)*3)+Inputs!$B$28+Inputs!$B$29)))</f>
        <v/>
      </c>
      <c r="E1869">
        <f>INDEX(FactorTable!$B$2:$Y$301, MATCH(ROUND(MIN(300,MAX(1,D1869)),0), FactorTable!$A$2:$A$301,0), Skills!M4+1)</f>
        <v/>
      </c>
      <c r="F1869">
        <f>IF(Skills!N4=TRUE,(Skills!L4/10)*(E1869/1000),Skills!L4/10)+Skills!O4</f>
        <v/>
      </c>
      <c r="G1869">
        <f>Skills!G4*IF(Skills!H4&gt;0,Skills!I4/Skills!H4,1)</f>
        <v/>
      </c>
      <c r="H1869">
        <f>1-(1-Skills!J4/100)^Skills!K4</f>
        <v/>
      </c>
      <c r="I1869" t="inlineStr">
        <is>
          <t>1</t>
        </is>
      </c>
      <c r="J1869">
        <f>((Inputs!$B$6*(1+Inputs!$B$7/100))+(((Inputs!$B$12*(1+Inputs!$B$13/100))-(Inputs!$B$12*(1+Inputs!$B$13/100)))+0.25*(Inputs!$B$14-Inputs!$B$14))*(1+Inputs!$B$7/100))*(F1869/100)</f>
        <v/>
      </c>
      <c r="K1869">
        <f>J1869*(1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1877=TRUE,F1877,0)/100)*(1+(IF(Skills!A4="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1869)</f>
        <v/>
      </c>
      <c r="L1869">
        <f>K1869*(MIN(Inputs!$B$22+((C1885=TRUE)*(F1885-Calc!F20)),(Inputs!$B$23+0+(IF(ArtifactsInput!$M$15,CHOOSE(ArtifactsInput!$N$15+1,25,30,35,40,45,50)/100*(Inputs!$B$11-Inputs!$B$11),0))))/100+(Inputs!$B$23+0+(IF(ArtifactsInput!$M$15,CHOOSE(ArtifactsInput!$N$15+1,25,30,35,40,45,50)/100*(Inputs!$B$11-Inputs!$B$11),0)))/100)/2</f>
        <v/>
      </c>
      <c r="M1869">
        <f>L1869*(1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69">
        <f>L1869*(1-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1869*(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69">
        <f>(1-Summary!$B$11)*T1869+Summary!$B$11*V1869</f>
        <v/>
      </c>
      <c r="P1869">
        <f>IF(B1901=0,0,O1869/B1901)</f>
        <v/>
      </c>
      <c r="Q1869" t="n">
        <v>0</v>
      </c>
      <c r="R1869" t="n">
        <v>0</v>
      </c>
      <c r="S1869">
        <f>IFERROR(O1869/N1869,0)</f>
        <v/>
      </c>
      <c r="T1869">
        <f>IF(C1869,(Skills!G4*H1869*N1869*B1895)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1869*(1-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1869*(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1869*(1-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1869*(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69">
        <f>290*U1868/1000</f>
        <v/>
      </c>
      <c r="V1869">
        <f>IF(C1869,(Skills!G4*H1869*N1869*B1895)*IF(Inputs!$B$38="pvp",1,(1+(Inputs!$B$21+Skills!Q4+(IF(ArtifactsInput!$M$33,CHOOSE(ArtifactsInput!$N$33+1,30,36,42,48,54,60),0))+(IF(AND(ArtifactsInput!$M$35,Inputs!$B$4&lt;&gt;"Chapter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0">
      <c r="A1870">
        <f>Skills!A5</f>
        <v/>
      </c>
      <c r="B1870">
        <f>Skills!B5</f>
        <v/>
      </c>
      <c r="C1870">
        <f>Inputs!$B$3&gt;=60</f>
        <v/>
      </c>
      <c r="D1870">
        <f>IF(Skills!C5=1,60+Inputs!$B$25+Inputs!$B$29,IF(Skills!C5=2,90+Inputs!$B$26+Inputs!$B$29,IF(Skills!C5=3,120+Inputs!$B$27+Inputs!$B$29,MAX(0,(Inputs!$B$3-100)*3)+Inputs!$B$28+Inputs!$B$29)))</f>
        <v/>
      </c>
      <c r="E1870">
        <f>INDEX(FactorTable!$B$2:$Y$301, MATCH(ROUND(MIN(300,MAX(1,D1870)),0), FactorTable!$A$2:$A$301,0), Skills!M5+1)</f>
        <v/>
      </c>
      <c r="F1870">
        <f>IF(Skills!N5=TRUE,(Skills!L5/10)*(E1870/1000),Skills!L5/10)+Skills!O5</f>
        <v/>
      </c>
      <c r="G1870">
        <f>Skills!G5*IF(Skills!H5&gt;0,Skills!I5/Skills!H5,1)</f>
        <v/>
      </c>
      <c r="H1870">
        <f>1-(1-Skills!J5/100)^Skills!K5</f>
        <v/>
      </c>
      <c r="I1870" t="inlineStr">
        <is>
          <t>1</t>
        </is>
      </c>
      <c r="J1870" t="inlineStr"/>
      <c r="K1870" t="inlineStr"/>
      <c r="L1870" t="inlineStr"/>
      <c r="M1870" t="inlineStr"/>
      <c r="N1870" t="inlineStr"/>
      <c r="O1870">
        <f>(1-Summary!$B$11)*T1870+Summary!$B$11*V1870</f>
        <v/>
      </c>
      <c r="P1870">
        <f>IF(B1901=0,0,O1870/B1901)</f>
        <v/>
      </c>
      <c r="Q1870" t="n">
        <v>0</v>
      </c>
      <c r="R1870" t="n">
        <v>0</v>
      </c>
      <c r="S1870">
        <f>IFERROR(O1870/N1870,0)</f>
        <v/>
      </c>
      <c r="T1870" t="n">
        <v>0</v>
      </c>
      <c r="V1870" t="n">
        <v>0</v>
      </c>
    </row>
    <row r="1871">
      <c r="A1871">
        <f>Skills!A6</f>
        <v/>
      </c>
      <c r="B1871">
        <f>Skills!B6</f>
        <v/>
      </c>
      <c r="C1871">
        <f>Inputs!$B$3&gt;=63</f>
        <v/>
      </c>
      <c r="D1871">
        <f>IF(Skills!C6=1,60+Inputs!$B$25+Inputs!$B$29,IF(Skills!C6=2,90+Inputs!$B$26+Inputs!$B$29,IF(Skills!C6=3,120+Inputs!$B$27+Inputs!$B$29,MAX(0,(Inputs!$B$3-100)*3)+Inputs!$B$28+Inputs!$B$29)))</f>
        <v/>
      </c>
      <c r="E1871">
        <f>INDEX(FactorTable!$B$2:$Y$301, MATCH(ROUND(MIN(300,MAX(1,D1871)),0), FactorTable!$A$2:$A$301,0), Skills!M6+1)</f>
        <v/>
      </c>
      <c r="F1871">
        <f>IF(Skills!N6=TRUE,(Skills!L6/10)*(E1871/1000),Skills!L6/10)+Skills!O6</f>
        <v/>
      </c>
      <c r="G1871">
        <f>Skills!G6*IF(Skills!H6&gt;0,Skills!I6/Skills!H6,1)</f>
        <v/>
      </c>
      <c r="H1871">
        <f>1-(1-Skills!J6/100)^Skills!K6</f>
        <v/>
      </c>
      <c r="I1871" t="inlineStr">
        <is>
          <t>1</t>
        </is>
      </c>
      <c r="J1871">
        <f>((Inputs!$B$6*(1+Inputs!$B$7/100))+(((Inputs!$B$12*(1+Inputs!$B$13/100))-(Inputs!$B$12*(1+Inputs!$B$13/100)))+0.25*(Inputs!$B$14-Inputs!$B$14))*(1+Inputs!$B$7/100))*(F1871/100)</f>
        <v/>
      </c>
      <c r="K1871">
        <f>J1871*(1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1877=TRUE,F1877,0)/100)*(1+(IF(Skills!A6="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1871)</f>
        <v/>
      </c>
      <c r="L1871">
        <f>K1871*(MIN(Inputs!$B$22+((C1885=TRUE)*(F1885-Calc!F20)),(Inputs!$B$23+0+(IF(ArtifactsInput!$M$15,CHOOSE(ArtifactsInput!$N$15+1,25,30,35,40,45,50)/100*(Inputs!$B$11-Inputs!$B$11),0))))/100+(Inputs!$B$23+0+(IF(ArtifactsInput!$M$15,CHOOSE(ArtifactsInput!$N$15+1,25,30,35,40,45,50)/100*(Inputs!$B$11-Inputs!$B$11),0)))/100)/2</f>
        <v/>
      </c>
      <c r="M1871">
        <f>L1871*(1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1">
        <f>L1871*(1-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1">
        <f>(1-Summary!$B$11)*T1871+Summary!$B$11*V1871</f>
        <v/>
      </c>
      <c r="P1871">
        <f>IF(B1901=0,0,O1871/B1901)</f>
        <v/>
      </c>
      <c r="Q1871">
        <f>IFERROR(1/(IF(Inputs!$B$38="pvp",15,MAX(0.1,Skills!D6-IF(Skills!E6=TRUE,Inputs!$B$32,0)))*(1-IF(AND(IF(ArtifactsInput!$M$27,FALSE,TRUE),Inputs!$B$4="Chapter Hunt"),CHOOSE(ArtifactsInput!$N$27+1,20,24,28,32,36,40),0)/100)),0)</f>
        <v/>
      </c>
      <c r="R1871">
        <f>IF(AND(Inputs!$B$38&lt;&gt;"pvp",Inputs!$B$43&gt;0),IF(MAX(0,Inputs!$B$43-B1898)&lt;=0,0,(INT(MAX(0,Inputs!$B$43-B1898)/(IF(Inputs!$B$38="pvp",15,MAX(0.1,Skills!D6-IF(Skills!E6=TRUE,Inputs!$B$32,0)))*(1-IF(AND(IF(ArtifactsInput!$M$27,FALSE,TRUE),Inputs!$B$4="Chapter Hunt"),CHOOSE(ArtifactsInput!$N$27+1,20,24,28,32,36,40),0)/100)))+1)),0)</f>
        <v/>
      </c>
      <c r="S1871">
        <f>IFERROR(O1871/N1871,0)</f>
        <v/>
      </c>
      <c r="T1871">
        <f>IF(C1871,(H1871*N1871*IF(AND(Inputs!$B$38&lt;&gt;"pvp",Inputs!$B$43&gt;0),((Skills!G6*((R1871-1)*IF(Skills!H6&gt;0,Skills!I6/Skills!H6,1)+IF(Skills!H6&gt;0,MIN(Skills!I6,MAX(0,MAX(0,Inputs!$B$43-B1898)-((R1871-1)*(IF(Inputs!$B$38="pvp",15,MAX(0.1,Skills!D6-IF(Skills!E6=TRUE,Inputs!$B$32,0)))*(1-IF(AND(IF(ArtifactsInput!$M$27,FALSE,TRUE),Inputs!$B$4="Chapter Hunt"),CHOOSE(ArtifactsInput!$N$27+1,20,24,28,32,36,40),0)/100)))))/Skills!H6,1)))/Inputs!$B$43),G1871*Q1871)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1871*(1-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1871*(1-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1">
        <f>IF(C1871,(H1871*N1871*IF(AND(Inputs!$B$38&lt;&gt;"pvp",Inputs!$B$43&gt;0),((Skills!G6*((R1871-1)*IF(Skills!H6&gt;0,Skills!I6/Skills!H6,1)+IF(Skills!H6&gt;0,MIN(Skills!I6,MAX(0,MAX(0,Inputs!$B$43-B1898)-((R1871-1)*(IF(Inputs!$B$38="pvp",15,MAX(0.1,Skills!D6-IF(Skills!E6=TRUE,Inputs!$B$32,0)))*(1-IF(AND(IF(ArtifactsInput!$M$27,FALSE,TRUE),Inputs!$B$4="Chapter Hunt"),CHOOSE(ArtifactsInput!$N$27+1,20,24,28,32,36,40),0)/100)))))/Skills!H6,1)))/Inputs!$B$43),G1871*Q1871))*IF(Inputs!$B$38="pvp",1,(1+(Inputs!$B$21+Skills!Q6+(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2">
      <c r="A1872">
        <f>Skills!A7</f>
        <v/>
      </c>
      <c r="B1872">
        <f>Skills!B7</f>
        <v/>
      </c>
      <c r="C1872">
        <f>Inputs!$B$3&gt;=100</f>
        <v/>
      </c>
      <c r="D1872">
        <f>IF(Skills!C7=1,60+Inputs!$B$25+Inputs!$B$29,IF(Skills!C7=2,90+Inputs!$B$26+Inputs!$B$29,IF(Skills!C7=3,120+Inputs!$B$27+Inputs!$B$29,MAX(0,(Inputs!$B$3-100)*3)+Inputs!$B$28+Inputs!$B$29)))</f>
        <v/>
      </c>
      <c r="E1872">
        <f>INDEX(FactorTable!$B$2:$Y$301, MATCH(ROUND(MIN(300,MAX(1,D1872)),0), FactorTable!$A$2:$A$301,0), Skills!M7+1)</f>
        <v/>
      </c>
      <c r="F1872">
        <f>IF(Skills!N7=TRUE,(Skills!L7/10)*(E1872/1000),Skills!L7/10)+Skills!O7</f>
        <v/>
      </c>
      <c r="G1872">
        <f>Skills!G7*IF(Skills!H7&gt;0,Skills!I7/Skills!H7,1)</f>
        <v/>
      </c>
      <c r="H1872">
        <f>1-(1-Skills!J7/100)^Skills!K7</f>
        <v/>
      </c>
      <c r="I1872" t="inlineStr">
        <is>
          <t>1</t>
        </is>
      </c>
      <c r="J1872">
        <f>((Inputs!$B$6*(1+Inputs!$B$7/100))+(((Inputs!$B$12*(1+Inputs!$B$13/100))-(Inputs!$B$12*(1+Inputs!$B$13/100)))+0.25*(Inputs!$B$14-Inputs!$B$14))*(1+Inputs!$B$7/100))*(F1872/100)</f>
        <v/>
      </c>
      <c r="K1872">
        <f>J1872*(1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1872)</f>
        <v/>
      </c>
      <c r="L1872">
        <f>K1872*(MIN(Inputs!$B$22+((C1885=TRUE)*(F1885-Calc!F20)),(Inputs!$B$23+0+(IF(ArtifactsInput!$M$15,CHOOSE(ArtifactsInput!$N$15+1,25,30,35,40,45,50)/100*(Inputs!$B$11-Inputs!$B$11),0))))/100+(Inputs!$B$23+0+(IF(ArtifactsInput!$M$15,CHOOSE(ArtifactsInput!$N$15+1,25,30,35,40,45,50)/100*(Inputs!$B$11-Inputs!$B$11),0)))/100)/2</f>
        <v/>
      </c>
      <c r="M1872">
        <f>L1872*(1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2">
        <f>L1872*(1-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1872*(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2">
        <f>(1-Summary!$B$11)*T1872+Summary!$B$11*V1872</f>
        <v/>
      </c>
      <c r="P1872">
        <f>IF(B1901=0,0,O1872/B1901)</f>
        <v/>
      </c>
      <c r="Q1872">
        <f>IFERROR(1/(IF(Inputs!$B$38="pvp",15,MAX(0.1,Skills!D7-IF(Skills!E7=TRUE,Inputs!$B$32,0)))*(1-IF(AND(IF(ArtifactsInput!$M$27,FALSE,TRUE),Inputs!$B$4="Chapter Hunt"),CHOOSE(ArtifactsInput!$N$27+1,20,24,28,32,36,40),0)/100)),0)</f>
        <v/>
      </c>
      <c r="R1872">
        <f>IF(AND(Inputs!$B$38&lt;&gt;"pvp",Inputs!$B$43&gt;0),IF(MAX(0,Inputs!$B$43-B1898)&lt;=0,0,(INT(MAX(0,Inputs!$B$43-B1898)/(IF(Inputs!$B$38="pvp",15,MAX(0.1,Skills!D7-IF(Skills!E7=TRUE,Inputs!$B$32,0)))*(1-IF(AND(IF(ArtifactsInput!$M$27,FALSE,TRUE),Inputs!$B$4="Chapter Hunt"),CHOOSE(ArtifactsInput!$N$27+1,20,24,28,32,36,40),0)/100)))+1)),0)</f>
        <v/>
      </c>
      <c r="S1872">
        <f>IFERROR(O1872/N1872,0)</f>
        <v/>
      </c>
      <c r="T1872">
        <f>IF(C1872,(H1872*N1872*IF(AND(Inputs!$B$38&lt;&gt;"pvp",Inputs!$B$43&gt;0),((Skills!G7*((R1872-1)*IF(Skills!H7&gt;0,Skills!I7/Skills!H7,1)+IF(Skills!H7&gt;0,MIN(Skills!I7,MAX(0,MAX(0,Inputs!$B$43-B1898)-((R1872-1)*(IF(Inputs!$B$38="pvp",15,MAX(0.1,Skills!D7-IF(Skills!E7=TRUE,Inputs!$B$32,0)))*(1-IF(AND(IF(ArtifactsInput!$M$27,FALSE,TRUE),Inputs!$B$4="Chapter Hunt"),CHOOSE(ArtifactsInput!$N$27+1,20,24,28,32,36,40),0)/100)))))/Skills!H7,1)))/Inputs!$B$43),G1872*Q1872)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1872*(1-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1872*(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1872*(1-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1872*(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2">
        <f>IF(C1872,(H1872*N1872*IF(AND(Inputs!$B$38&lt;&gt;"pvp",Inputs!$B$43&gt;0),((Skills!G7*((R1872-1)*IF(Skills!H7&gt;0,Skills!I7/Skills!H7,1)+IF(Skills!H7&gt;0,MIN(Skills!I7,MAX(0,MAX(0,Inputs!$B$43-B1898)-((R1872-1)*(IF(Inputs!$B$38="pvp",15,MAX(0.1,Skills!D7-IF(Skills!E7=TRUE,Inputs!$B$32,0)))*(1-IF(AND(IF(ArtifactsInput!$M$27,FALSE,TRUE),Inputs!$B$4="Chapter Hunt"),CHOOSE(ArtifactsInput!$N$27+1,20,24,28,32,36,40),0)/100)))))/Skills!H7,1)))/Inputs!$B$43),G1872*Q1872))*IF(Inputs!$B$38="pvp",1,(1+(Inputs!$B$21+Skills!Q7+(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3">
      <c r="A1873">
        <f>Skills!A8</f>
        <v/>
      </c>
      <c r="B1873">
        <f>Skills!B8</f>
        <v/>
      </c>
      <c r="C1873">
        <f>Inputs!$B$3&gt;=110</f>
        <v/>
      </c>
      <c r="D1873">
        <f>IF(Skills!C8=1,60+Inputs!$B$25+Inputs!$B$29,IF(Skills!C8=2,90+Inputs!$B$26+Inputs!$B$29,IF(Skills!C8=3,120+Inputs!$B$27+Inputs!$B$29,MAX(0,(Inputs!$B$3-100)*3)+Inputs!$B$28+Inputs!$B$29)))</f>
        <v/>
      </c>
      <c r="E1873">
        <f>INDEX(FactorTable!$B$2:$Y$301, MATCH(ROUND(MIN(300,MAX(1,D1873)),0), FactorTable!$A$2:$A$301,0), Skills!M8+1)</f>
        <v/>
      </c>
      <c r="F1873">
        <f>IF(Skills!N8=TRUE,(Skills!L8/10)*(E1873/1000),Skills!L8/10)+Skills!O8</f>
        <v/>
      </c>
      <c r="G1873">
        <f>Skills!G8*IF(Skills!H8&gt;0,Skills!I8/Skills!H8,1)</f>
        <v/>
      </c>
      <c r="H1873">
        <f>1-(1-Skills!J8/100)^Skills!K8</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1885=TRUE)*(F1885-Calc!F20)),(Inputs!$B$23+0+(IF(ArtifactsInput!$M$15,CHOOSE(ArtifactsInput!$N$15+1,25,30,35,40,45,50)/100*(Inputs!$B$11-Inputs!$B$11),0))))/100+(Inputs!$B$23+0+(IF(ArtifactsInput!$M$15,CHOOSE(ArtifactsInput!$N$15+1,25,30,35,40,45,50)/100*(Inputs!$B$11-Inputs!$B$11),0)))/100)/2</f>
        <v/>
      </c>
      <c r="M1873">
        <f>L1873*(1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IF(B1901=0,0,O1873/B1901)</f>
        <v/>
      </c>
      <c r="Q1873">
        <f>IFERROR(1/(IF(Inputs!$B$38="pvp",15,MAX(0.1,Skills!D8-IF(Skills!E8=TRUE,Inputs!$B$32,0)))*(1-IF(AND(IF(ArtifactsInput!$M$27,FALSE,TRUE),Inputs!$B$4="Chapter Hunt"),CHOOSE(ArtifactsInput!$N$27+1,20,24,28,32,36,40),0)/100)),0)</f>
        <v/>
      </c>
      <c r="R1873">
        <f>IF(AND(Inputs!$B$38&lt;&gt;"pvp",Inputs!$B$43&gt;0),IF(MAX(0,Inputs!$B$43-B1898)&lt;=0,0,(INT(MAX(0,Inputs!$B$43-B1898)/(IF(Inputs!$B$38="pvp",15,MAX(0.1,Skills!D8-IF(Skills!E8=TRUE,Inputs!$B$32,0)))*(1-IF(AND(IF(ArtifactsInput!$M$27,FALSE,TRUE),Inputs!$B$4="Chapter Hunt"),CHOOSE(ArtifactsInput!$N$27+1,20,24,28,32,36,40),0)/100)))+1)),0)</f>
        <v/>
      </c>
      <c r="S1873">
        <f>IFERROR(O1873/N1873,0)</f>
        <v/>
      </c>
      <c r="T1873">
        <f>IF(C1873,(H1873*N1873*IF(AND(Inputs!$B$38&lt;&gt;"pvp",Inputs!$B$43&gt;0),((Skills!G8*((R1873-1)*IF(Skills!H8&gt;0,Skills!I8/Skills!H8,1)+IF(Skills!H8&gt;0,MIN(Skills!I8,MAX(0,MAX(0,Inputs!$B$43-B1898)-((R1873-1)*(IF(Inputs!$B$38="pvp",15,MAX(0.1,Skills!D8-IF(Skills!E8=TRUE,Inputs!$B$32,0)))*(1-IF(AND(IF(ArtifactsInput!$M$27,FALSE,TRUE),Inputs!$B$4="Chapter Hunt"),CHOOSE(ArtifactsInput!$N$27+1,20,24,28,32,36,40),0)/100)))))/Skills!H8,1)))/Inputs!$B$43),G1873*Q1873)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3">
        <f>IF(C1873,(H1873*N1873*IF(AND(Inputs!$B$38&lt;&gt;"pvp",Inputs!$B$43&gt;0),((Skills!G8*((R1873-1)*IF(Skills!H8&gt;0,Skills!I8/Skills!H8,1)+IF(Skills!H8&gt;0,MIN(Skills!I8,MAX(0,MAX(0,Inputs!$B$43-B1898)-((R1873-1)*(IF(Inputs!$B$38="pvp",15,MAX(0.1,Skills!D8-IF(Skills!E8=TRUE,Inputs!$B$32,0)))*(1-IF(AND(IF(ArtifactsInput!$M$27,FALSE,TRUE),Inputs!$B$4="Chapter Hunt"),CHOOSE(ArtifactsInput!$N$27+1,20,24,28,32,36,40),0)/100)))))/Skills!H8,1)))/Inputs!$B$43),G1873*Q1873))*IF(Inputs!$B$38="pvp",1,(1+(Inputs!$B$21+Skills!Q8+(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Skills!A9</f>
        <v/>
      </c>
      <c r="B1874">
        <f>Skills!B9</f>
        <v/>
      </c>
      <c r="C1874">
        <f>Inputs!$B$3&gt;=110</f>
        <v/>
      </c>
      <c r="D1874">
        <f>IF(Skills!C9=1,60+Inputs!$B$25+Inputs!$B$29,IF(Skills!C9=2,90+Inputs!$B$26+Inputs!$B$29,IF(Skills!C9=3,120+Inputs!$B$27+Inputs!$B$29,MAX(0,(Inputs!$B$3-100)*3)+Inputs!$B$28+Inputs!$B$29)))</f>
        <v/>
      </c>
      <c r="E1874">
        <f>INDEX(FactorTable!$B$2:$Y$301, MATCH(ROUND(MIN(300,MAX(1,D1874)),0), FactorTable!$A$2:$A$301,0), Skills!M9+1)</f>
        <v/>
      </c>
      <c r="F1874">
        <f>IF(Skills!N9=TRUE,(Skills!L9/10)*(E1874/1000),Skills!L9/10)+Skills!O9</f>
        <v/>
      </c>
      <c r="G1874">
        <f>Skills!G9*IF(Skills!H9&gt;0,Skills!I9/Skills!H9,1)</f>
        <v/>
      </c>
      <c r="H1874">
        <f>1-(1-Skills!J9/100)^Skills!K9</f>
        <v/>
      </c>
      <c r="I1874" t="inlineStr">
        <is>
          <t>1</t>
        </is>
      </c>
      <c r="J1874">
        <f>((Inputs!$B$6*(1+Inputs!$B$7/100))+(((Inputs!$B$12*(1+Inputs!$B$13/100))-(Inputs!$B$12*(1+Inputs!$B$13/100)))+0.25*(Inputs!$B$14-Inputs!$B$14))*(1+Inputs!$B$7/100))*(F1874/100)</f>
        <v/>
      </c>
      <c r="K1874">
        <f>J1874*(1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1874)</f>
        <v/>
      </c>
      <c r="L1874">
        <f>K1874*(MIN(Inputs!$B$22+((C1885=TRUE)*(F1885-Calc!F20)),(Inputs!$B$23+0+(IF(ArtifactsInput!$M$15,CHOOSE(ArtifactsInput!$N$15+1,25,30,35,40,45,50)/100*(Inputs!$B$11-Inputs!$B$11),0))))/100+(Inputs!$B$23+0+(IF(ArtifactsInput!$M$15,CHOOSE(ArtifactsInput!$N$15+1,25,30,35,40,45,50)/100*(Inputs!$B$11-Inputs!$B$11),0)))/100)/2</f>
        <v/>
      </c>
      <c r="M1874">
        <f>L1874*(1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4">
        <f>L1874*(1-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1874*(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4">
        <f>(1-Summary!$B$11)*T1874+Summary!$B$11*V1874</f>
        <v/>
      </c>
      <c r="P1874">
        <f>IF(B1901=0,0,O1874/B1901)</f>
        <v/>
      </c>
      <c r="Q1874">
        <f>IFERROR(1/(IF(Inputs!$B$38="pvp",15,MAX(0.1,Skills!D9-IF(Skills!E9=TRUE,Inputs!$B$32,0)))*(1-IF(AND(IF(ArtifactsInput!$M$27,FALSE,TRUE),Inputs!$B$4="Chapter Hunt"),CHOOSE(ArtifactsInput!$N$27+1,20,24,28,32,36,40),0)/100)),0)</f>
        <v/>
      </c>
      <c r="R1874">
        <f>IF(AND(Inputs!$B$38&lt;&gt;"pvp",Inputs!$B$43&gt;0),IF(MAX(0,Inputs!$B$43-B1898)&lt;=0,0,(INT(MAX(0,Inputs!$B$43-B1898)/(IF(Inputs!$B$38="pvp",15,MAX(0.1,Skills!D9-IF(Skills!E9=TRUE,Inputs!$B$32,0)))*(1-IF(AND(IF(ArtifactsInput!$M$27,FALSE,TRUE),Inputs!$B$4="Chapter Hunt"),CHOOSE(ArtifactsInput!$N$27+1,20,24,28,32,36,40),0)/100)))+1)),0)</f>
        <v/>
      </c>
      <c r="S1874">
        <f>IFERROR(O1874/N1874,0)</f>
        <v/>
      </c>
      <c r="T1874">
        <f>IF(C1874,(H1874*N1874*IF(AND(Inputs!$B$38&lt;&gt;"pvp",Inputs!$B$43&gt;0),((Skills!G9*((R1874-1)*IF(Skills!H9&gt;0,Skills!I9/Skills!H9,1)+IF(Skills!H9&gt;0,MIN(Skills!I9,MAX(0,MAX(0,Inputs!$B$43-B1898)-((R1874-1)*(IF(Inputs!$B$38="pvp",15,MAX(0.1,Skills!D9-IF(Skills!E9=TRUE,Inputs!$B$32,0)))*(1-IF(AND(IF(ArtifactsInput!$M$27,FALSE,TRUE),Inputs!$B$4="Chapter Hunt"),CHOOSE(ArtifactsInput!$N$27+1,20,24,28,32,36,40),0)/100)))))/Skills!H9,1)))/Inputs!$B$43),G1874*Q1874)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1874*(1-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1874*(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1874*(1-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1874*(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4">
        <f>IF(C1874,(H1874*N1874*IF(AND(Inputs!$B$38&lt;&gt;"pvp",Inputs!$B$43&gt;0),((Skills!G9*((R1874-1)*IF(Skills!H9&gt;0,Skills!I9/Skills!H9,1)+IF(Skills!H9&gt;0,MIN(Skills!I9,MAX(0,MAX(0,Inputs!$B$43-B1898)-((R1874-1)*(IF(Inputs!$B$38="pvp",15,MAX(0.1,Skills!D9-IF(Skills!E9=TRUE,Inputs!$B$32,0)))*(1-IF(AND(IF(ArtifactsInput!$M$27,FALSE,TRUE),Inputs!$B$4="Chapter Hunt"),CHOOSE(ArtifactsInput!$N$27+1,20,24,28,32,36,40),0)/100)))))/Skills!H9,1)))/Inputs!$B$43),G1874*Q1874))*IF(Inputs!$B$38="pvp",1,(1+(Inputs!$B$21+Skills!Q9+(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5">
      <c r="A1875">
        <f>Skills!A10</f>
        <v/>
      </c>
      <c r="B1875">
        <f>Skills!B10</f>
        <v/>
      </c>
      <c r="C1875">
        <f>Inputs!$B$3&gt;=103</f>
        <v/>
      </c>
      <c r="D1875">
        <f>IF(Skills!C10=1,60+Inputs!$B$25+Inputs!$B$29,IF(Skills!C10=2,90+Inputs!$B$26+Inputs!$B$29,IF(Skills!C10=3,120+Inputs!$B$27+Inputs!$B$29,MAX(0,(Inputs!$B$3-100)*3)+Inputs!$B$28+Inputs!$B$29)))</f>
        <v/>
      </c>
      <c r="E1875">
        <f>INDEX(FactorTable!$B$2:$Y$301, MATCH(ROUND(MIN(300,MAX(1,D1875)),0), FactorTable!$A$2:$A$301,0), Skills!M10+1)</f>
        <v/>
      </c>
      <c r="F1875">
        <f>IF(Skills!N10=TRUE,(Skills!L10/10)*(E1875/1000),Skills!L10/10)+Skills!O10</f>
        <v/>
      </c>
      <c r="G1875">
        <f>Skills!G10*IF(Skills!H10&gt;0,Skills!I10/Skills!H10,1)</f>
        <v/>
      </c>
      <c r="H1875">
        <f>1-(1-Skills!J10/100)^Skills!K10</f>
        <v/>
      </c>
      <c r="I1875" t="inlineStr">
        <is>
          <t>1</t>
        </is>
      </c>
      <c r="J1875">
        <f>((Inputs!$B$6*(1+Inputs!$B$7/100))+(((Inputs!$B$12*(1+Inputs!$B$13/100))-(Inputs!$B$12*(1+Inputs!$B$13/100)))+0.25*(Inputs!$B$14-Inputs!$B$14))*(1+Inputs!$B$7/100))*(F1875/100)</f>
        <v/>
      </c>
      <c r="K1875">
        <f>J1875*(1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1885=TRUE)*(F1885-Calc!F20)),(Inputs!$B$23+0+(IF(ArtifactsInput!$M$15,CHOOSE(ArtifactsInput!$N$15+1,25,30,35,40,45,50)/100*(Inputs!$B$11-Inputs!$B$11),0))))/100+(Inputs!$B$23+0+(IF(ArtifactsInput!$M$15,CHOOSE(ArtifactsInput!$N$15+1,25,30,35,40,45,50)/100*(Inputs!$B$11-Inputs!$B$11),0)))/100)/2</f>
        <v/>
      </c>
      <c r="M1875">
        <f>L1875*(1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IF(B1901=0,0,O1875/B1901)</f>
        <v/>
      </c>
      <c r="Q1875">
        <f>IFERROR(1/(IF(Inputs!$B$38="pvp",15,MAX(0.1,Skills!D10-IF(Skills!E10=TRUE,Inputs!$B$32,0)))*(1-IF(AND(IF(ArtifactsInput!$M$27,FALSE,TRUE),Inputs!$B$4="Chapter Hunt"),CHOOSE(ArtifactsInput!$N$27+1,20,24,28,32,36,40),0)/100)),0)</f>
        <v/>
      </c>
      <c r="R1875">
        <f>IF(AND(Inputs!$B$38&lt;&gt;"pvp",Inputs!$B$43&gt;0),IF(MAX(0,Inputs!$B$43-B1898)&lt;=0,0,(INT(MAX(0,Inputs!$B$43-B1898)/(IF(Inputs!$B$38="pvp",15,MAX(0.1,Skills!D10-IF(Skills!E10=TRUE,Inputs!$B$32,0)))*(1-IF(AND(IF(ArtifactsInput!$M$27,FALSE,TRUE),Inputs!$B$4="Chapter Hunt"),CHOOSE(ArtifactsInput!$N$27+1,20,24,28,32,36,40),0)/100)))+1)),0)</f>
        <v/>
      </c>
      <c r="S1875">
        <f>IFERROR(O1875/N1875,0)</f>
        <v/>
      </c>
      <c r="T1875">
        <f>IF(C1875,(H1875*N1875*IF(AND(Inputs!$B$38&lt;&gt;"pvp",Inputs!$B$43&gt;0),((Skills!G10*((R1875-1)*IF(Skills!H10&gt;0,Skills!I10/Skills!H10,1)+IF(Skills!H10&gt;0,MIN(Skills!I10,MAX(0,MAX(0,Inputs!$B$43-B1898)-((R1875-1)*(IF(Inputs!$B$38="pvp",15,MAX(0.1,Skills!D10-IF(Skills!E10=TRUE,Inputs!$B$32,0)))*(1-IF(AND(IF(ArtifactsInput!$M$27,FALSE,TRUE),Inputs!$B$4="Chapter Hunt"),CHOOSE(ArtifactsInput!$N$27+1,20,24,28,32,36,40),0)/100)))))/Skills!H10,1)))/Inputs!$B$43),G1875*Q1875)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5">
        <f>IF(C1875,(H1875*N1875*IF(AND(Inputs!$B$38&lt;&gt;"pvp",Inputs!$B$43&gt;0),((Skills!G10*((R1875-1)*IF(Skills!H10&gt;0,Skills!I10/Skills!H10,1)+IF(Skills!H10&gt;0,MIN(Skills!I10,MAX(0,MAX(0,Inputs!$B$43-B1898)-((R1875-1)*(IF(Inputs!$B$38="pvp",15,MAX(0.1,Skills!D10-IF(Skills!E10=TRUE,Inputs!$B$32,0)))*(1-IF(AND(IF(ArtifactsInput!$M$27,FALSE,TRUE),Inputs!$B$4="Chapter Hunt"),CHOOSE(ArtifactsInput!$N$27+1,20,24,28,32,36,40),0)/100)))))/Skills!H10,1)))/Inputs!$B$43),G1875*Q1875))*IF(Inputs!$B$38="pvp",1,(1+(Inputs!$B$21+Skills!Q10+(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Skills!A11</f>
        <v/>
      </c>
      <c r="B1876">
        <f>Skills!B11</f>
        <v/>
      </c>
      <c r="C1876">
        <f>Inputs!$B$3&gt;=113</f>
        <v/>
      </c>
      <c r="D1876">
        <f>IF(Skills!C11=1,60+Inputs!$B$25+Inputs!$B$29,IF(Skills!C11=2,90+Inputs!$B$26+Inputs!$B$29,IF(Skills!C11=3,120+Inputs!$B$27+Inputs!$B$29,MAX(0,(Inputs!$B$3-100)*3)+Inputs!$B$28+Inputs!$B$29)))</f>
        <v/>
      </c>
      <c r="E1876">
        <f>INDEX(FactorTable!$B$2:$Y$301, MATCH(ROUND(MIN(300,MAX(1,D1876)),0), FactorTable!$A$2:$A$301,0), Skills!M11+1)</f>
        <v/>
      </c>
      <c r="F1876">
        <f>IF(Skills!N11=TRUE,(Skills!L11/10)*(E1876/1000),Skills!L11/10)+Skills!O11</f>
        <v/>
      </c>
      <c r="G1876">
        <f>Skills!G11*IF(Skills!H11&gt;0,Skills!I11/Skills!H11,1)</f>
        <v/>
      </c>
      <c r="H1876">
        <f>1-(1-Skills!J11/100)^Skills!K11</f>
        <v/>
      </c>
      <c r="I1876" t="inlineStr">
        <is>
          <t>1</t>
        </is>
      </c>
      <c r="J1876">
        <f>((Inputs!$B$6*(1+Inputs!$B$7/100))+(((Inputs!$B$12*(1+Inputs!$B$13/100))-(Inputs!$B$12*(1+Inputs!$B$13/100)))+0.25*(Inputs!$B$14-Inputs!$B$14))*(1+Inputs!$B$7/100))*(F1876/100)</f>
        <v/>
      </c>
      <c r="K1876">
        <f>J1876*(1+((Inputs!$B$12*(1+Inputs!$B$13/100))*0.01+Inputs!$B$14*0.0025)/100)*(1+Inputs!$B$15/100)*(1+Inputs!$B$16/100)*(5000/(6000+Inputs!$B$42*(1-(100*(1-(1-(Inputs!$B$19+0)/100)*(1-CHOOSE(ArtifactsInput!$N$40+1,5,6,7,8,9,10)/100)^(ArtifactsInput!$M$40-ArtifactsInput!$M$40)))/100)))*(1+(Inputs!$B$24+((C1887=TRUE)*(F1887-Calc!F22))+B1897)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1886=TRUE)*(F1886-Calc!F21))+(((IF(AND(ArtifactsInput!$M$42,((Inputs!$B$9+((C1881=TRUE)*(F1881-Calc!F16))+B1891+(ArtifactsInput!$M$24-ArtifactsInput!$M$24)*CHOOSE(ArtifactsInput!$N$24+1,10,12,14,16,18,20)+IF(ArtifactsInput!$M$10,CHOOSE(ArtifactsInput!$N$10+1,15,18,21,24,27,30)*(IF(Inputs!$B$38="pvp",MIN(15,15)/15,IF(AND(Inputs!$B$38&lt;&gt;"pvp",Inputs!$B$43&gt;0),MIN(15,Inputs!$B$43)/(Inputs!$B$43),0))),0)))&gt;=100),MIN(100,((Inputs!$B$9+((C1881=TRUE)*(F1881-Calc!F16))+B1891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1881=TRUE)*(F1881-Calc!F16))+B1891+(ArtifactsInput!$M$24-ArtifactsInput!$M$24)*CHOOSE(ArtifactsInput!$N$24+1,10,12,14,16,18,20)+IF(ArtifactsInput!$M$10,CHOOSE(ArtifactsInput!$N$10+1,15,18,21,24,27,30)*(IF(Inputs!$B$38="pvp",MIN(15,15)/15,IF(AND(Inputs!$B$38&lt;&gt;"pvp",Inputs!$B$43&gt;0),MIN(15,Inputs!$B$43)/(Inputs!$B$43),0))),0)))&gt;=100),CHOOSE(ArtifactsInput!$N$42+1,40,48,56,64,72,80),0))))/100)*((1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1876)</f>
        <v/>
      </c>
      <c r="L1876">
        <f>K1876*(MIN(Inputs!$B$22+((C1885=TRUE)*(F1885-Calc!F20)),(Inputs!$B$23+0+(IF(ArtifactsInput!$M$15,CHOOSE(ArtifactsInput!$N$15+1,25,30,35,40,45,50)/100*(Inputs!$B$11-Inputs!$B$11),0))))/100+(Inputs!$B$23+0+(IF(ArtifactsInput!$M$15,CHOOSE(ArtifactsInput!$N$15+1,25,30,35,40,45,50)/100*(Inputs!$B$11-Inputs!$B$11),0)))/100)/2</f>
        <v/>
      </c>
      <c r="M1876">
        <f>L1876*(1+(Inputs!$B$10+0+B1896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6">
        <f>L1876*(1-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1876*(MIN((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6">
        <f>(1-Summary!$B$11)*T1876+Summary!$B$11*V1876</f>
        <v/>
      </c>
      <c r="P1876">
        <f>IF(B1901=0,0,O1876/B1901)</f>
        <v/>
      </c>
      <c r="Q1876">
        <f>IFERROR(1/(IF(Inputs!$B$38="pvp",15,MAX(0.1,Skills!D11-IF(Skills!E11=TRUE,Inputs!$B$32,0)))*(1-IF(AND(IF(ArtifactsInput!$M$27,FALSE,TRUE),Inputs!$B$4="Chapter Hunt"),CHOOSE(ArtifactsInput!$N$27+1,20,24,28,32,36,40),0)/100)),0)</f>
        <v/>
      </c>
      <c r="R1876">
        <f>IF(AND(Inputs!$B$38&lt;&gt;"pvp",Inputs!$B$43&gt;0),IF(MAX(0,Inputs!$B$43-B1898)&lt;=0,0,(INT(MAX(0,Inputs!$B$43-B1898)/(IF(Inputs!$B$38="pvp",15,MAX(0.1,Skills!D11-IF(Skills!E11=TRUE,Inputs!$B$32,0)))*(1-IF(AND(IF(ArtifactsInput!$M$27,FALSE,TRUE),Inputs!$B$4="Chapter Hunt"),CHOOSE(ArtifactsInput!$N$27+1,20,24,28,32,36,40),0)/100)))+1)),0)</f>
        <v/>
      </c>
      <c r="S1876">
        <f>IFERROR(O1876/N1876,0)</f>
        <v/>
      </c>
      <c r="T1876">
        <f>IF(C1876,(H1876*N1876*IF(AND(Inputs!$B$38&lt;&gt;"pvp",Inputs!$B$43&gt;0),((Skills!G11*((R1876-1)*IF(Skills!H11&gt;0,Skills!I11/Skills!H11,1)+IF(Skills!H11&gt;0,MIN(Skills!I11,MAX(0,MAX(0,Inputs!$B$43-B1898)-((R1876-1)*(IF(Inputs!$B$38="pvp",15,MAX(0.1,Skills!D11-IF(Skills!E11=TRUE,Inputs!$B$32,0)))*(1-IF(AND(IF(ArtifactsInput!$M$27,FALSE,TRUE),Inputs!$B$4="Chapter Hunt"),CHOOSE(ArtifactsInput!$N$27+1,20,24,28,32,36,40),0)/100)))))/Skills!H11,1)))/Inputs!$B$43),G1876*Q1876)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1876*(1-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1876*(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1876*(1-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1876*(MIN(100,(Inputs!$B$9+((C1881=TRUE)*(F1881-Calc!F16))+B1891+(ArtifactsInput!$M$24-ArtifactsInput!$M$24)*CHOOSE(ArtifactsInput!$N$24+1,10,12,14,16,18,20)+(IF(AND(ArtifactsInput!$M$42,((Inputs!$B$9+((C1881=TRUE)*(F1881-Calc!F16))+B1891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6">
        <f>IF(C1876,(H1876*N1876*IF(AND(Inputs!$B$38&lt;&gt;"pvp",Inputs!$B$43&gt;0),((Skills!G11*((R1876-1)*IF(Skills!H11&gt;0,Skills!I11/Skills!H11,1)+IF(Skills!H11&gt;0,MIN(Skills!I11,MAX(0,MAX(0,Inputs!$B$43-B1898)-((R1876-1)*(IF(Inputs!$B$38="pvp",15,MAX(0.1,Skills!D11-IF(Skills!E11=TRUE,Inputs!$B$32,0)))*(1-IF(AND(IF(ArtifactsInput!$M$27,FALSE,TRUE),Inputs!$B$4="Chapter Hunt"),CHOOSE(ArtifactsInput!$N$27+1,20,24,28,32,36,40),0)/100)))))/Skills!H11,1)))/Inputs!$B$43),G1876*Q1876))*IF(Inputs!$B$38="pvp",1,(1+(Inputs!$B$21+Skills!Q11+(IF(ArtifactsInput!$M$33,CHOOSE(ArtifactsInput!$N$33+1,30,36,42,48,54,60),0))+(IF(AND(ArtifactsInput!$M$35,Inputs!$B$4&lt;&gt;"Chapter Hunt"),CHOOSE(ArtifactsInput!$N$35+1,15,18,21,24,27,30)*(1-EXP(-(0.2*B1893)*5)),0)+IF(AND(ArtifactsInput!$M$22,Inputs!$B$4&lt;&gt;"Chapter Hunt"),CHOOSE(ArtifactsInput!$N$22+1,10,12,14,16,18,20)*((0*(((0.15*B1893*5))^0/1)+1*(((0.15*B1893*5))^1/1)+2*(((0.15*B1893*5))^2/2)+3*(((0.15*B1893*5))^3/6)+4*(((0.15*B1893*5))^4/24)+5*(((0.15*B1893*5))^5/120))/((((0.15*B1893*5))^0/1)+(((0.15*B1893*5))^1/1)+(((0.15*B1893*5))^2/2)+(((0.15*B1893*5))^3/6)+(((0.15*B1893*5))^4/24)+(((0.15*B1893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7">
      <c r="A1877">
        <f>Skills!A12</f>
        <v/>
      </c>
      <c r="B1877">
        <f>Skills!B12</f>
        <v/>
      </c>
      <c r="C1877">
        <f>Inputs!$B$3&gt;=100</f>
        <v/>
      </c>
      <c r="D1877">
        <f>IF(Skills!C12=1,60+Inputs!$B$25+Inputs!$B$29,IF(Skills!C12=2,90+Inputs!$B$26+Inputs!$B$29,IF(Skills!C12=3,120+Inputs!$B$27+Inputs!$B$29,MAX(0,(Inputs!$B$3-100)*3)+Inputs!$B$28+Inputs!$B$29)))</f>
        <v/>
      </c>
      <c r="E1877">
        <f>INDEX(FactorTable!$B$2:$Y$301, MATCH(ROUND(MIN(300,MAX(1,D1877)),0), FactorTable!$A$2:$A$301,0), Skills!M12+1)</f>
        <v/>
      </c>
      <c r="F1877">
        <f>IF(Skills!N12=TRUE,(Skills!L12/10)*(E1877/1000),Skills!L12/10)+Skills!O12</f>
        <v/>
      </c>
      <c r="G1877" t="inlineStr"/>
      <c r="H1877" t="inlineStr"/>
      <c r="I1877" t="inlineStr">
        <is>
          <t>1</t>
        </is>
      </c>
      <c r="J1877" t="inlineStr"/>
      <c r="K1877" t="inlineStr"/>
      <c r="L1877" t="inlineStr"/>
      <c r="M1877" t="inlineStr"/>
      <c r="N1877" t="inlineStr"/>
      <c r="O1877" t="inlineStr"/>
      <c r="P1877" t="inlineStr"/>
      <c r="Q1877" t="inlineStr"/>
      <c r="R1877" t="inlineStr"/>
      <c r="S1877" t="inlineStr"/>
      <c r="T1877" t="inlineStr"/>
      <c r="V1877" t="inlineStr"/>
    </row>
    <row r="1878">
      <c r="A1878">
        <f>Skills!A13</f>
        <v/>
      </c>
      <c r="B1878">
        <f>Skills!B13</f>
        <v/>
      </c>
      <c r="C1878">
        <f>Inputs!$B$3&gt;=66</f>
        <v/>
      </c>
      <c r="D1878">
        <f>IF(Skills!C13=1,60+Inputs!$B$25+Inputs!$B$29,IF(Skills!C13=2,90+Inputs!$B$26+Inputs!$B$29,IF(Skills!C13=3,120+Inputs!$B$27+Inputs!$B$29,MAX(0,(Inputs!$B$3-100)*3)+Inputs!$B$28+Inputs!$B$29)))</f>
        <v/>
      </c>
      <c r="E1878">
        <f>INDEX(FactorTable!$B$2:$Y$301, MATCH(ROUND(MIN(300,MAX(1,D1878)),0), FactorTable!$A$2:$A$301,0), Skills!M13+1)</f>
        <v/>
      </c>
      <c r="F1878">
        <f>IF(Skills!N13=TRUE,(Skills!L13/10)*(E1878/1000),Skills!L13/10)+Skills!O13</f>
        <v/>
      </c>
      <c r="G1878">
        <f>Skills!G13*IF(Skills!H13&gt;0,Skills!I13/Skills!H13,1)</f>
        <v/>
      </c>
      <c r="H1878">
        <f>1-(1-Skills!J13/100)^Skills!K13</f>
        <v/>
      </c>
      <c r="I1878" t="inlineStr">
        <is>
          <t>1</t>
        </is>
      </c>
      <c r="J1878" t="inlineStr"/>
      <c r="K1878" t="inlineStr"/>
      <c r="L1878" t="inlineStr"/>
      <c r="M1878" t="inlineStr"/>
      <c r="N1878" t="inlineStr"/>
      <c r="O1878">
        <f>(1-Summary!$B$11)*T1878+Summary!$B$11*V1878</f>
        <v/>
      </c>
      <c r="P1878">
        <f>IF(B1901=0,0,O1878/B1901)</f>
        <v/>
      </c>
      <c r="Q1878" t="n">
        <v>0</v>
      </c>
      <c r="R1878" t="n">
        <v>0</v>
      </c>
      <c r="S1878">
        <f>IFERROR(O1878/N1878,0)</f>
        <v/>
      </c>
      <c r="T1878" t="n">
        <v>0</v>
      </c>
      <c r="V1878" t="n">
        <v>0</v>
      </c>
    </row>
    <row r="1879">
      <c r="A1879">
        <f>Skills!A14</f>
        <v/>
      </c>
      <c r="B1879">
        <f>Skills!B14</f>
        <v/>
      </c>
      <c r="C1879">
        <f>Inputs!$B$3&gt;=107</f>
        <v/>
      </c>
      <c r="D1879">
        <f>IF(Skills!C14=1,60+Inputs!$B$25+Inputs!$B$29,IF(Skills!C14=2,90+Inputs!$B$26+Inputs!$B$29,IF(Skills!C14=3,120+Inputs!$B$27+Inputs!$B$29,MAX(0,(Inputs!$B$3-100)*3)+Inputs!$B$28+Inputs!$B$29)))</f>
        <v/>
      </c>
      <c r="E1879">
        <f>INDEX(FactorTable!$B$2:$Y$301, MATCH(ROUND(MIN(300,MAX(1,D1879)),0), FactorTable!$A$2:$A$301,0), Skills!M14+1)</f>
        <v/>
      </c>
      <c r="F1879">
        <f>IF(Skills!N14=TRUE,(Skills!L14/10)*(E1879/1000),Skills!L14/10)+Skills!O14</f>
        <v/>
      </c>
      <c r="G1879">
        <f>Skills!G14*IF(Skills!H14&gt;0,Skills!I14/Skills!H14,1)</f>
        <v/>
      </c>
      <c r="H1879">
        <f>1-(1-Skills!J14/100)^Skills!K14</f>
        <v/>
      </c>
      <c r="I1879" t="inlineStr">
        <is>
          <t>1</t>
        </is>
      </c>
      <c r="J1879" t="inlineStr"/>
      <c r="K1879" t="inlineStr"/>
      <c r="L1879" t="inlineStr"/>
      <c r="M1879" t="inlineStr"/>
      <c r="N1879" t="inlineStr"/>
      <c r="O1879">
        <f>(1-Summary!$B$11)*T1879+Summary!$B$11*V1879</f>
        <v/>
      </c>
      <c r="P1879">
        <f>IF(B1901=0,0,O1879/B1901)</f>
        <v/>
      </c>
      <c r="Q1879">
        <f>IFERROR(1/(IF(Inputs!$B$38="pvp",15,MAX(0.1,Skills!D14-IF(Skills!E14=TRUE,Inputs!$B$32,0)))*(1-IF(AND(IF(ArtifactsInput!$M$27,FALSE,TRUE),Inputs!$B$4="Chapter Hunt"),CHOOSE(ArtifactsInput!$N$27+1,20,24,28,32,36,40),0)/100)),0)</f>
        <v/>
      </c>
      <c r="R1879">
        <f>IF(AND(Inputs!$B$38&lt;&gt;"pvp",Inputs!$B$43&gt;0),IF(Inputs!$B$43&lt;=0,0,(INT(Inputs!$B$43/(IF(Inputs!$B$38="pvp",15,MAX(0.1,Skills!D14-IF(Skills!E14=TRUE,Inputs!$B$32,0)))*(1-IF(AND(IF(ArtifactsInput!$M$27,FALSE,TRUE),Inputs!$B$4="Chapter Hunt"),CHOOSE(ArtifactsInput!$N$27+1,20,24,28,32,36,40),0)/100)))+1)),0)</f>
        <v/>
      </c>
      <c r="S1879">
        <f>IFERROR(O1879/N1879,0)</f>
        <v/>
      </c>
      <c r="T1879" t="n">
        <v>0</v>
      </c>
      <c r="V1879" t="n">
        <v>0</v>
      </c>
    </row>
    <row r="1880">
      <c r="A1880">
        <f>Skills!A15</f>
        <v/>
      </c>
      <c r="B1880">
        <f>Skills!B15</f>
        <v/>
      </c>
      <c r="C1880">
        <f>Inputs!$B$3&gt;=115</f>
        <v/>
      </c>
      <c r="D1880">
        <f>IF(Skills!C15=1,60+Inputs!$B$25+Inputs!$B$29,IF(Skills!C15=2,90+Inputs!$B$26+Inputs!$B$29,IF(Skills!C15=3,120+Inputs!$B$27+Inputs!$B$29,MAX(0,(Inputs!$B$3-100)*3)+Inputs!$B$28+Inputs!$B$29)))</f>
        <v/>
      </c>
      <c r="E1880">
        <f>INDEX(FactorTable!$B$2:$Y$301, MATCH(ROUND(MIN(300,MAX(1,D1880)),0), FactorTable!$A$2:$A$301,0), Skills!M15+1)</f>
        <v/>
      </c>
      <c r="F1880">
        <f>IF(Skills!N15=TRUE,(Skills!L15/10)*(E1880/1000),Skills!L15/10)+Skills!O15</f>
        <v/>
      </c>
      <c r="G1880">
        <f>Skills!G15*IF(Skills!H15&gt;0,Skills!I15/Skills!H15,1)</f>
        <v/>
      </c>
      <c r="H1880">
        <f>1-(1-Skills!J15/100)^Skills!K15</f>
        <v/>
      </c>
      <c r="I1880" t="inlineStr">
        <is>
          <t>1</t>
        </is>
      </c>
      <c r="J1880" t="inlineStr"/>
      <c r="K1880" t="inlineStr"/>
      <c r="L1880" t="inlineStr"/>
      <c r="M1880" t="inlineStr"/>
      <c r="N1880" t="inlineStr"/>
      <c r="O1880">
        <f>(1-Summary!$B$11)*T1880+Summary!$B$11*V1880</f>
        <v/>
      </c>
      <c r="P1880">
        <f>IF(B1901=0,0,O1880/B1901)</f>
        <v/>
      </c>
      <c r="Q1880">
        <f>IFERROR(1/(IF(Inputs!$B$38="pvp",15,MAX(0.1,Skills!D15-IF(Skills!E15=TRUE,Inputs!$B$32,0)))*(1-IF(AND(IF(ArtifactsInput!$M$27,FALSE,TRUE),Inputs!$B$4="Chapter Hunt"),CHOOSE(ArtifactsInput!$N$27+1,20,24,28,32,36,40),0)/100)),0)</f>
        <v/>
      </c>
      <c r="R1880">
        <f>IF(AND(Inputs!$B$38&lt;&gt;"pvp",Inputs!$B$43&gt;0),IF(Inputs!$B$43&lt;=0,0,(INT(Inputs!$B$43/(IF(Inputs!$B$38="pvp",15,MAX(0.1,Skills!D15-IF(Skills!E15=TRUE,Inputs!$B$32,0)))*(1-IF(AND(IF(ArtifactsInput!$M$27,FALSE,TRUE),Inputs!$B$4="Chapter Hunt"),CHOOSE(ArtifactsInput!$N$27+1,20,24,28,32,36,40),0)/100)))+1)),0)</f>
        <v/>
      </c>
      <c r="S1880">
        <f>IFERROR(O1880/N1880,0)</f>
        <v/>
      </c>
      <c r="T1880" t="n">
        <v>0</v>
      </c>
      <c r="V1880" t="n">
        <v>0</v>
      </c>
    </row>
    <row r="1881">
      <c r="A1881">
        <f>Skills!A16</f>
        <v/>
      </c>
      <c r="B1881">
        <f>Skills!B16</f>
        <v/>
      </c>
      <c r="C1881">
        <f>Inputs!$B$3&gt;=15</f>
        <v/>
      </c>
      <c r="D1881">
        <f>IF(Skills!C16=1,60+Inputs!$B$25+Inputs!$B$29,IF(Skills!C16=2,90+Inputs!$B$26+Inputs!$B$29,IF(Skills!C16=3,120+Inputs!$B$27+Inputs!$B$29,MAX(0,(Inputs!$B$3-100)*3)+Inputs!$B$28+Inputs!$B$29)))</f>
        <v/>
      </c>
      <c r="E1881">
        <f>INDEX(FactorTable!$B$2:$Y$301, MATCH(ROUND(MIN(300,MAX(1,D1881)),0), FactorTable!$A$2:$A$301,0), Skills!M16+1)</f>
        <v/>
      </c>
      <c r="F1881">
        <f>IF(Skills!N16=TRUE,(Skills!L16/10)*(E1881/1000),Skills!L16/10)+Skills!O16</f>
        <v/>
      </c>
      <c r="G1881">
        <f>Skills!G16*IF(Skills!H16&gt;0,Skills!I16/Skills!H16,1)</f>
        <v/>
      </c>
      <c r="H1881">
        <f>1-(1-Skills!J16/100)^Skills!K16</f>
        <v/>
      </c>
      <c r="I1881" t="inlineStr">
        <is>
          <t>1</t>
        </is>
      </c>
      <c r="J1881" t="inlineStr"/>
      <c r="K1881" t="inlineStr"/>
      <c r="L1881" t="inlineStr"/>
      <c r="M1881" t="inlineStr"/>
      <c r="N1881" t="inlineStr"/>
      <c r="O1881">
        <f>(1-Summary!$B$11)*T1881+Summary!$B$11*V1881</f>
        <v/>
      </c>
      <c r="P1881">
        <f>IF(B1901=0,0,O1881/B1901)</f>
        <v/>
      </c>
      <c r="Q1881" t="n">
        <v>0</v>
      </c>
      <c r="R1881" t="n">
        <v>0</v>
      </c>
      <c r="S1881">
        <f>IFERROR(O1881/N1881,0)</f>
        <v/>
      </c>
      <c r="T1881" t="n">
        <v>0</v>
      </c>
      <c r="V1881" t="n">
        <v>0</v>
      </c>
    </row>
    <row r="1882">
      <c r="A1882">
        <f>Skills!A17</f>
        <v/>
      </c>
      <c r="B1882">
        <f>Skills!B17</f>
        <v/>
      </c>
      <c r="C1882">
        <f>Inputs!$B$3&gt;=10</f>
        <v/>
      </c>
      <c r="D1882">
        <f>IF(Skills!C17=1,60+Inputs!$B$25+Inputs!$B$29,IF(Skills!C17=2,90+Inputs!$B$26+Inputs!$B$29,IF(Skills!C17=3,120+Inputs!$B$27+Inputs!$B$29,MAX(0,(Inputs!$B$3-100)*3)+Inputs!$B$28+Inputs!$B$29)))</f>
        <v/>
      </c>
      <c r="E1882">
        <f>INDEX(FactorTable!$B$2:$Y$301, MATCH(ROUND(MIN(300,MAX(1,D1882)),0), FactorTable!$A$2:$A$301,0), Skills!M17+1)</f>
        <v/>
      </c>
      <c r="F1882">
        <f>IF(Skills!N17=TRUE,(Skills!L17/10)*(E1882/1000),Skills!L17/10)+Skills!O17</f>
        <v/>
      </c>
      <c r="G1882">
        <f>Skills!G17*IF(Skills!H17&gt;0,Skills!I17/Skills!H17,1)</f>
        <v/>
      </c>
      <c r="H1882">
        <f>1-(1-Skills!J17/100)^Skills!K17</f>
        <v/>
      </c>
      <c r="I1882" t="inlineStr">
        <is>
          <t>1</t>
        </is>
      </c>
      <c r="J1882" t="inlineStr"/>
      <c r="K1882" t="inlineStr"/>
      <c r="L1882" t="inlineStr"/>
      <c r="M1882" t="inlineStr"/>
      <c r="N1882" t="inlineStr"/>
      <c r="O1882">
        <f>(1-Summary!$B$11)*T1882+Summary!$B$11*V1882</f>
        <v/>
      </c>
      <c r="P1882">
        <f>IF(B1901=0,0,O1882/B1901)</f>
        <v/>
      </c>
      <c r="Q1882" t="n">
        <v>0</v>
      </c>
      <c r="R1882" t="n">
        <v>0</v>
      </c>
      <c r="S1882">
        <f>IFERROR(O1882/N1882,0)</f>
        <v/>
      </c>
      <c r="T1882" t="n">
        <v>0</v>
      </c>
      <c r="V1882" t="n">
        <v>0</v>
      </c>
    </row>
    <row r="1883">
      <c r="A1883">
        <f>Skills!A18</f>
        <v/>
      </c>
      <c r="B1883">
        <f>Skills!B18</f>
        <v/>
      </c>
      <c r="C1883">
        <f>Inputs!$B$3&gt;=33</f>
        <v/>
      </c>
      <c r="D1883">
        <f>IF(Skills!C18=1,60+Inputs!$B$25+Inputs!$B$29,IF(Skills!C18=2,90+Inputs!$B$26+Inputs!$B$29,IF(Skills!C18=3,120+Inputs!$B$27+Inputs!$B$29,MAX(0,(Inputs!$B$3-100)*3)+Inputs!$B$28+Inputs!$B$29)))</f>
        <v/>
      </c>
      <c r="E1883">
        <f>INDEX(FactorTable!$B$2:$Y$301, MATCH(ROUND(MIN(300,MAX(1,D1883)),0), FactorTable!$A$2:$A$301,0), Skills!M18+1)</f>
        <v/>
      </c>
      <c r="F1883">
        <f>IF(Skills!N18=TRUE,(Skills!L18/10)*(E1883/1000),Skills!L18/10)+Skills!O18</f>
        <v/>
      </c>
      <c r="G1883">
        <f>Skills!G18*IF(Skills!H18&gt;0,Skills!I18/Skills!H18,1)</f>
        <v/>
      </c>
      <c r="H1883">
        <f>1-(1-Skills!J18/100)^Skills!K18</f>
        <v/>
      </c>
      <c r="I1883" t="inlineStr">
        <is>
          <t>1</t>
        </is>
      </c>
      <c r="J1883" t="inlineStr"/>
      <c r="K1883" t="inlineStr"/>
      <c r="L1883" t="inlineStr"/>
      <c r="M1883" t="inlineStr"/>
      <c r="N1883" t="inlineStr"/>
      <c r="O1883">
        <f>(1-Summary!$B$11)*T1883+Summary!$B$11*V1883</f>
        <v/>
      </c>
      <c r="P1883">
        <f>IF(B1901=0,0,O1883/B1901)</f>
        <v/>
      </c>
      <c r="Q1883" t="n">
        <v>0</v>
      </c>
      <c r="R1883" t="n">
        <v>0</v>
      </c>
      <c r="S1883">
        <f>IFERROR(O1883/N1883,0)</f>
        <v/>
      </c>
      <c r="T1883" t="n">
        <v>0</v>
      </c>
      <c r="V1883" t="n">
        <v>0</v>
      </c>
    </row>
    <row r="1884">
      <c r="A1884">
        <f>Skills!A19</f>
        <v/>
      </c>
      <c r="B1884">
        <f>Skills!B19</f>
        <v/>
      </c>
      <c r="C1884">
        <f>Inputs!$B$3&gt;=40</f>
        <v/>
      </c>
      <c r="D1884">
        <f>IF(Skills!C19=1,60+Inputs!$B$25+Inputs!$B$29,IF(Skills!C19=2,90+Inputs!$B$26+Inputs!$B$29,IF(Skills!C19=3,120+Inputs!$B$27+Inputs!$B$29,MAX(0,(Inputs!$B$3-100)*3)+Inputs!$B$28+Inputs!$B$29)))</f>
        <v/>
      </c>
      <c r="E1884">
        <f>INDEX(FactorTable!$B$2:$Y$301, MATCH(ROUND(MIN(300,MAX(1,D1884)),0), FactorTable!$A$2:$A$301,0), Skills!M19+1)</f>
        <v/>
      </c>
      <c r="F1884">
        <f>IF(Skills!N19=TRUE,(Skills!L19/10)*(E1884/1000),Skills!L19/10)+Skills!O19</f>
        <v/>
      </c>
      <c r="G1884">
        <f>Skills!G19*IF(Skills!H19&gt;0,Skills!I19/Skills!H19,1)</f>
        <v/>
      </c>
      <c r="H1884">
        <f>1-(1-Skills!J19/100)^Skills!K19</f>
        <v/>
      </c>
      <c r="I1884" t="inlineStr">
        <is>
          <t>1</t>
        </is>
      </c>
      <c r="J1884" t="inlineStr"/>
      <c r="K1884" t="inlineStr"/>
      <c r="L1884" t="inlineStr"/>
      <c r="M1884" t="inlineStr"/>
      <c r="N1884" t="inlineStr"/>
      <c r="O1884">
        <f>(1-Summary!$B$11)*T1884+Summary!$B$11*V1884</f>
        <v/>
      </c>
      <c r="P1884">
        <f>IF(B1901=0,0,O1884/B1901)</f>
        <v/>
      </c>
      <c r="Q1884" t="n">
        <v>0</v>
      </c>
      <c r="R1884" t="n">
        <v>0</v>
      </c>
      <c r="S1884">
        <f>IFERROR(O1884/N1884,0)</f>
        <v/>
      </c>
      <c r="T1884" t="n">
        <v>0</v>
      </c>
      <c r="V1884" t="n">
        <v>0</v>
      </c>
    </row>
    <row r="1885">
      <c r="A1885">
        <f>Skills!A20</f>
        <v/>
      </c>
      <c r="B1885">
        <f>Skills!B20</f>
        <v/>
      </c>
      <c r="C1885">
        <f>Inputs!$B$3&gt;=43</f>
        <v/>
      </c>
      <c r="D1885">
        <f>IF(Skills!C20=1,60+Inputs!$B$25+Inputs!$B$29,IF(Skills!C20=2,90+Inputs!$B$26+Inputs!$B$29,IF(Skills!C20=3,120+Inputs!$B$27+Inputs!$B$29,MAX(0,(Inputs!$B$3-100)*3)+Inputs!$B$28+Inputs!$B$29)))</f>
        <v/>
      </c>
      <c r="E1885">
        <f>INDEX(FactorTable!$B$2:$Y$301, MATCH(ROUND(MIN(300,MAX(1,D1885)),0), FactorTable!$A$2:$A$301,0), Skills!M20+1)</f>
        <v/>
      </c>
      <c r="F1885">
        <f>IF(Skills!N20=TRUE,(Skills!L20/10)*(E1885/1000),Skills!L20/10)+Skills!O20</f>
        <v/>
      </c>
      <c r="G1885">
        <f>Skills!G20*IF(Skills!H20&gt;0,Skills!I20/Skills!H20,1)</f>
        <v/>
      </c>
      <c r="H1885">
        <f>1-(1-Skills!J20/100)^Skills!K20</f>
        <v/>
      </c>
      <c r="I1885" t="inlineStr">
        <is>
          <t>1</t>
        </is>
      </c>
      <c r="J1885" t="inlineStr"/>
      <c r="K1885" t="inlineStr"/>
      <c r="L1885" t="inlineStr"/>
      <c r="M1885" t="inlineStr"/>
      <c r="N1885" t="inlineStr"/>
      <c r="O1885">
        <f>(1-Summary!$B$11)*T1885+Summary!$B$11*V1885</f>
        <v/>
      </c>
      <c r="P1885">
        <f>IF(B1901=0,0,O1885/B1901)</f>
        <v/>
      </c>
      <c r="Q1885" t="n">
        <v>0</v>
      </c>
      <c r="R1885" t="n">
        <v>0</v>
      </c>
      <c r="S1885">
        <f>IFERROR(O1885/N1885,0)</f>
        <v/>
      </c>
      <c r="T1885" t="n">
        <v>0</v>
      </c>
      <c r="V1885" t="n">
        <v>0</v>
      </c>
    </row>
    <row r="1886">
      <c r="A1886">
        <f>Skills!A21</f>
        <v/>
      </c>
      <c r="B1886">
        <f>Skills!B21</f>
        <v/>
      </c>
      <c r="C1886">
        <f>Inputs!$B$3&gt;=38</f>
        <v/>
      </c>
      <c r="D1886">
        <f>IF(Skills!C21=1,60+Inputs!$B$25+Inputs!$B$29,IF(Skills!C21=2,90+Inputs!$B$26+Inputs!$B$29,IF(Skills!C21=3,120+Inputs!$B$27+Inputs!$B$29,MAX(0,(Inputs!$B$3-100)*3)+Inputs!$B$28+Inputs!$B$29)))</f>
        <v/>
      </c>
      <c r="E1886">
        <f>INDEX(FactorTable!$B$2:$Y$301, MATCH(ROUND(MIN(300,MAX(1,D1886)),0), FactorTable!$A$2:$A$301,0), Skills!M21+1)</f>
        <v/>
      </c>
      <c r="F1886">
        <f>IF(Skills!N21=TRUE,(Skills!L21/10)*(E1886/1000),Skills!L21/10)+Skills!O21</f>
        <v/>
      </c>
      <c r="G1886">
        <f>Skills!G21*IF(Skills!H21&gt;0,Skills!I21/Skills!H21,1)</f>
        <v/>
      </c>
      <c r="H1886">
        <f>1-(1-Skills!J21/100)^Skills!K21</f>
        <v/>
      </c>
      <c r="I1886" t="inlineStr">
        <is>
          <t>1</t>
        </is>
      </c>
      <c r="J1886" t="inlineStr"/>
      <c r="K1886" t="inlineStr"/>
      <c r="L1886" t="inlineStr"/>
      <c r="M1886" t="inlineStr"/>
      <c r="N1886" t="inlineStr"/>
      <c r="O1886">
        <f>(1-Summary!$B$11)*T1886+Summary!$B$11*V1886</f>
        <v/>
      </c>
      <c r="P1886">
        <f>IF(B1901=0,0,O1886/B1901)</f>
        <v/>
      </c>
      <c r="Q1886" t="n">
        <v>0</v>
      </c>
      <c r="R1886" t="n">
        <v>0</v>
      </c>
      <c r="S1886">
        <f>IFERROR(O1886/N1886,0)</f>
        <v/>
      </c>
      <c r="T1886" t="n">
        <v>0</v>
      </c>
      <c r="V1886" t="n">
        <v>0</v>
      </c>
    </row>
    <row r="1887">
      <c r="A1887">
        <f>Skills!A22</f>
        <v/>
      </c>
      <c r="B1887">
        <f>Skills!B22</f>
        <v/>
      </c>
      <c r="C1887">
        <f>Inputs!$B$3&gt;=75</f>
        <v/>
      </c>
      <c r="D1887">
        <f>IF(Skills!C22=1,60+Inputs!$B$25+Inputs!$B$29,IF(Skills!C22=2,90+Inputs!$B$26+Inputs!$B$29,IF(Skills!C22=3,120+Inputs!$B$27+Inputs!$B$29,MAX(0,(Inputs!$B$3-100)*3)+Inputs!$B$28+Inputs!$B$29)))</f>
        <v/>
      </c>
      <c r="E1887">
        <f>INDEX(FactorTable!$B$2:$Y$301, MATCH(ROUND(MIN(300,MAX(1,D1887)),0), FactorTable!$A$2:$A$301,0), Skills!M22+1)</f>
        <v/>
      </c>
      <c r="F1887">
        <f>IF(Skills!N22=TRUE,(Skills!L22/10)*(E1887/1000),Skills!L22/10)+Skills!O22</f>
        <v/>
      </c>
      <c r="G1887">
        <f>Skills!G22*IF(Skills!H22&gt;0,Skills!I22/Skills!H22,1)</f>
        <v/>
      </c>
      <c r="H1887">
        <f>1-(1-Skills!J22/100)^Skills!K22</f>
        <v/>
      </c>
      <c r="I1887" t="inlineStr">
        <is>
          <t>1</t>
        </is>
      </c>
      <c r="J1887" t="inlineStr"/>
      <c r="K1887" t="inlineStr"/>
      <c r="L1887" t="inlineStr"/>
      <c r="M1887" t="inlineStr"/>
      <c r="N1887" t="inlineStr"/>
      <c r="O1887">
        <f>(1-Summary!$B$11)*T1887+Summary!$B$11*V1887</f>
        <v/>
      </c>
      <c r="P1887">
        <f>IF(B1901=0,0,O1887/B1901)</f>
        <v/>
      </c>
      <c r="Q1887" t="n">
        <v>0</v>
      </c>
      <c r="R1887" t="n">
        <v>0</v>
      </c>
      <c r="S1887">
        <f>IFERROR(O1887/N1887,0)</f>
        <v/>
      </c>
      <c r="T1887" t="n">
        <v>0</v>
      </c>
      <c r="V1887" t="n">
        <v>0</v>
      </c>
    </row>
    <row r="1888">
      <c r="A1888">
        <f>Skills!A23</f>
        <v/>
      </c>
      <c r="B1888">
        <f>Skills!B23</f>
        <v/>
      </c>
      <c r="C1888">
        <f>TRUE</f>
        <v/>
      </c>
      <c r="D1888">
        <f>IF(Skills!C23=1,60+Inputs!$B$25+Inputs!$B$29,IF(Skills!C23=2,90+Inputs!$B$26+Inputs!$B$29,IF(Skills!C23=3,120+Inputs!$B$27+Inputs!$B$29,MAX(0,(Inputs!$B$3-100)*3)+Inputs!$B$28+Inputs!$B$29)))</f>
        <v/>
      </c>
      <c r="E1888">
        <f>INDEX(FactorTable!$B$2:$Y$301, MATCH(ROUND(MIN(300,MAX(1,D1888)),0), FactorTable!$A$2:$A$301,0), Skills!M23+1)</f>
        <v/>
      </c>
      <c r="F1888">
        <f>IF(Skills!N23=TRUE,(Skills!L23/10)*(E1888/1000),Skills!L23/10)+Skills!O23</f>
        <v/>
      </c>
      <c r="G1888">
        <f>Skills!G23*IF(Skills!H23&gt;0,Skills!I23/Skills!H23,1)</f>
        <v/>
      </c>
      <c r="H1888">
        <f>1-(1-Skills!J23/100)^Skills!K23</f>
        <v/>
      </c>
      <c r="I1888" t="inlineStr">
        <is>
          <t>1</t>
        </is>
      </c>
      <c r="J1888" t="inlineStr"/>
      <c r="K1888" t="inlineStr"/>
      <c r="L1888" t="inlineStr"/>
      <c r="M1888" t="inlineStr"/>
      <c r="N1888" t="inlineStr"/>
      <c r="O1888">
        <f>(1-Summary!$B$11)*T1888+Summary!$B$11*V1888</f>
        <v/>
      </c>
      <c r="P1888">
        <f>IF(B1901=0,0,O1888/B1901)</f>
        <v/>
      </c>
      <c r="Q1888">
        <f>IFERROR(1/(IF(Inputs!$B$38="pvp",15,MAX(0.1,Skills!D23-IF(Skills!E23=TRUE,Inputs!$B$32,0)))*(1-IF(AND(IF(ArtifactsInput!$M$27,FALSE,TRUE),Inputs!$B$4="Chapter Hunt"),CHOOSE(ArtifactsInput!$N$27+1,20,24,28,32,36,40),0)/100)),0)</f>
        <v/>
      </c>
      <c r="R1888">
        <f>IF(AND(Inputs!$B$38&lt;&gt;"pvp",Inputs!$B$43&gt;0),IF(Inputs!$B$43&lt;=0,0,(INT(Inputs!$B$43/(IF(Inputs!$B$38="pvp",15,MAX(0.1,Skills!D23-IF(Skills!E23=TRUE,Inputs!$B$32,0)))*(1-IF(AND(IF(ArtifactsInput!$M$27,FALSE,TRUE),Inputs!$B$4="Chapter Hunt"),CHOOSE(ArtifactsInput!$N$27+1,20,24,28,32,36,40),0)/100)))+1)),0)</f>
        <v/>
      </c>
      <c r="S1888">
        <f>IFERROR(O1888/N1888,0)</f>
        <v/>
      </c>
      <c r="T1888" t="n">
        <v>0</v>
      </c>
      <c r="V1888" t="n">
        <v>0</v>
      </c>
    </row>
    <row r="1890">
      <c r="A1890" t="inlineStr">
        <is>
          <t>Attack% Bucket Multiplier</t>
        </is>
      </c>
      <c r="B1890">
        <f>(1+(((C1878=TRUE)*F1878*5/7)+((C1884=TRUE)*(F1884-Calc!F19))+(IF(ArtifactsInput!$M$21,CHOOSE(ArtifactsInput!$N$21+1,25,30,35,40,45,50)*(IF(OR(Inputs!$B$4="Chapter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91">
      <c r="A1891" t="inlineStr">
        <is>
          <t>Global Crit Rate Bonus %</t>
        </is>
      </c>
      <c r="B1891" t="n">
        <v>0</v>
      </c>
    </row>
    <row r="1892">
      <c r="A1892" t="inlineStr">
        <is>
          <t>Attack Speed Buff Bonus % (Nimble Feet, duty-cycle averaged)</t>
        </is>
      </c>
      <c r="B1892">
        <f>((C1888=TRUE)*F1888*IF(AND(Inputs!$B$38&lt;&gt;"pvp",Inputs!$B$43&gt;0),(((R1888-1)*(Skills!T23*(1+Inputs!$B$34/100))+MIN((Skills!T23*(1+Inputs!$B$34/100)),MAX(0,Inputs!$B$43-((R1888-1)*Skills!D23))))/Inputs!$B$43),IF(Inputs!$B$38="pvp",MIN((Skills!T23*(1+Inputs!$B$34/100)),15)/15,(Skills!T23*(1+Inputs!$B$34/100))/Skills!D23)))</f>
        <v/>
      </c>
    </row>
    <row r="1893">
      <c r="A1893" t="inlineStr">
        <is>
          <t>Actions Per Second</t>
        </is>
      </c>
      <c r="B1893">
        <f>1+MIN(150,150*(1-(1-(Inputs!$B$11+((C1882=TRUE)*(F1882-Calc!F17))+((C1883=TRUE)*(F1883-Calc!F18)))/150)*(1-B1892/150)))/100</f>
        <v/>
      </c>
    </row>
    <row r="1894">
      <c r="A1894" t="inlineStr">
        <is>
          <t>Skill + Buff Cast Rate</t>
        </is>
      </c>
      <c r="B1894">
        <f>IF(AND(Inputs!$B$38&lt;&gt;"pvp",Inputs!$B$43&gt;0),SUMPRODUCT((Skills!E2:E23=TRUE)*(C1867:C1888=TRUE)*R1867:R1888*Skills!F2:F23)/Inputs!$B$43,SUMPRODUCT((Skills!E2:E23=TRUE)*(C1867:C1888=TRUE)*Q1867:Q1888*Skills!F2:F23))</f>
        <v/>
      </c>
    </row>
    <row r="1895">
      <c r="A1895" t="inlineStr">
        <is>
          <t>Hook Bomber Casts Per Second</t>
        </is>
      </c>
      <c r="B1895">
        <f>MAX(0,B1893-B1894)</f>
        <v/>
      </c>
    </row>
    <row r="1896">
      <c r="A1896" t="inlineStr">
        <is>
          <t>Global Critical Damage Bonus % (unused)</t>
        </is>
      </c>
      <c r="B1896" t="n">
        <v>0</v>
      </c>
    </row>
    <row r="1897">
      <c r="A1897" t="inlineStr">
        <is>
          <t>Global Final Damage Bonus % (Serpent Scale + Crossbones + Time Leap + Speed Infusion)</t>
        </is>
      </c>
      <c r="B1897">
        <f>((C1870=TRUE)*F1870*((10+IF(Inputs!$B$3&gt;=94,5,0))/((10+IF(Inputs!$B$3&gt;=94,5,0))+5/(B1895*(1+IF(Inputs!$B$3&gt;=104,1,0))))))+((C1879=TRUE)*F1879*IF(AND(Inputs!$B$38&lt;&gt;"pvp",Inputs!$B$43&gt;0),(((R1879-1)*(Skills!T14*(1+Inputs!$B$34/100))+MIN((Skills!T14*(1+Inputs!$B$34/100)),MAX(0,Inputs!$B$43-((R1879-1)*Skills!D14))))/Inputs!$B$43),IF(Inputs!$B$38="pvp",MIN((Skills!T14*(1+Inputs!$B$34/100)),15)/15,(Skills!T14*(1+Inputs!$B$34/100))/Skills!D14)))+((C1880=TRUE)*F1880*IF(AND(Inputs!$B$38&lt;&gt;"pvp",Inputs!$B$43&gt;0),(((R1880-1)*(Skills!T15*(1+Inputs!$B$34/100))+MIN((Skills!T15*(1+Inputs!$B$34/100)),MAX(0,Inputs!$B$43-((R1880-1)*Skills!D15))))/Inputs!$B$43),IF(Inputs!$B$38="pvp",MIN((Skills!T15*(1+Inputs!$B$34/100)),15)/15,(Skills!T15*(1+Inputs!$B$34/100))/Skills!D15)))+((Inputs!$B$3&gt;=110)*20*(B1893-1)*IF(Inputs!$B$38="pvp",MIN((15*(1+Inputs!$B$34/100)),15)/15,(15*(1+Inputs!$B$34/100))/35))</f>
        <v/>
      </c>
    </row>
    <row r="1898">
      <c r="A1898" t="inlineStr">
        <is>
          <t>Buff-Casting Startup Delay (s, fixed-duration only)</t>
        </is>
      </c>
      <c r="B1898">
        <f>IF(AND(Inputs!$B$38&lt;&gt;"pvp",Inputs!$B$43&gt;0),SUMPRODUCT((Skills!T2:T23&gt;0)*(Skills!E2:E23=TRUE)*(C1867:C1888=TRUE))/B1893,0)</f>
        <v/>
      </c>
    </row>
    <row r="1899">
      <c r="A1899" t="inlineStr">
        <is>
          <t>Boss-Only Total DPS (this block's swept value)</t>
        </is>
      </c>
      <c r="B1899">
        <f>SUM(T1867:T1888)</f>
        <v/>
      </c>
    </row>
    <row r="1900">
      <c r="A1900" t="inlineStr">
        <is>
          <t>Normal-Only Total DPS (this block's swept value)</t>
        </is>
      </c>
      <c r="B1900">
        <f>SUM(V1867:V1888)</f>
        <v/>
      </c>
    </row>
    <row r="1901">
      <c r="A1901" s="6" t="inlineStr">
        <is>
          <t>TOTAL DPS</t>
        </is>
      </c>
      <c r="B1901" s="6">
        <f>SUM(O1867:O1888)</f>
        <v/>
      </c>
    </row>
    <row r="1904">
      <c r="A1904" s="6" t="inlineStr">
        <is>
          <t>Stat: Lit Lamp (Equip)</t>
        </is>
      </c>
    </row>
    <row r="1905">
      <c r="A1905" s="5" t="inlineStr">
        <is>
          <t>Key</t>
        </is>
      </c>
      <c r="B1905" s="5" t="inlineStr">
        <is>
          <t>Name</t>
        </is>
      </c>
      <c r="C1905" s="5" t="inlineStr">
        <is>
          <t>Unlocked</t>
        </is>
      </c>
      <c r="D1905" s="5" t="inlineStr">
        <is>
          <t>InputLevel</t>
        </is>
      </c>
      <c r="E1905" s="5" t="inlineStr">
        <is>
          <t>Factor</t>
        </is>
      </c>
      <c r="F1905" s="5" t="inlineStr">
        <is>
          <t>CoefficientPercent</t>
        </is>
      </c>
      <c r="G1905" s="5" t="inlineStr">
        <is>
          <t>EffectiveHits</t>
        </is>
      </c>
      <c r="H1905" s="5" t="inlineStr">
        <is>
          <t>ProcProbability</t>
        </is>
      </c>
      <c r="I1905" s="5" t="inlineStr">
        <is>
          <t>MapleHeroMultiplier</t>
        </is>
      </c>
      <c r="J1905" s="5" t="inlineStr">
        <is>
          <t>BaseDamage</t>
        </is>
      </c>
      <c r="K1905" s="5" t="inlineStr">
        <is>
          <t>BaseHitDamage</t>
        </is>
      </c>
      <c r="L1905" s="5" t="inlineStr">
        <is>
          <t>NonCritAvg</t>
        </is>
      </c>
      <c r="M1905" s="5" t="inlineStr">
        <is>
          <t>CritAvg</t>
        </is>
      </c>
      <c r="N1905" s="5" t="inlineStr">
        <is>
          <t>ExpectedDamage(perHit)</t>
        </is>
      </c>
      <c r="O1905" s="5" t="inlineStr">
        <is>
          <t>DPS</t>
        </is>
      </c>
      <c r="P1905" s="5" t="inlineStr">
        <is>
          <t>% of Total</t>
        </is>
      </c>
      <c r="Q1905" s="5" t="inlineStr">
        <is>
          <t>InvCooldown</t>
        </is>
      </c>
      <c r="R1905" s="5" t="inlineStr">
        <is>
          <t>CastsInFight</t>
        </is>
      </c>
      <c r="S1905" s="5" t="inlineStr">
        <is>
          <t>HitRate(perSec)</t>
        </is>
      </c>
      <c r="U1905" t="inlineStr">
        <is>
          <t>helpers</t>
        </is>
      </c>
    </row>
    <row r="1906">
      <c r="A1906">
        <f>Skills!A2</f>
        <v/>
      </c>
      <c r="B1906">
        <f>Skills!B2</f>
        <v/>
      </c>
      <c r="C1906">
        <f>Inputs!$B$3&gt;=100</f>
        <v/>
      </c>
      <c r="D1906" t="inlineStr"/>
      <c r="E1906" t="inlineStr"/>
      <c r="F1906">
        <f>U1908+Skills!O2</f>
        <v/>
      </c>
      <c r="G1906">
        <f>Skills!G2*IF(Skills!H2&gt;0,Skills!I2/Skills!H2,1)</f>
        <v/>
      </c>
      <c r="H1906">
        <f>1-(1-Skills!J2/100)^Skills!K2</f>
        <v/>
      </c>
      <c r="I1906" t="inlineStr">
        <is>
          <t>1</t>
        </is>
      </c>
      <c r="J1906">
        <f>((Inputs!$B$6*(1+Inputs!$B$7/100))+(((Inputs!$B$12*(1+Inputs!$B$13/100))-(Inputs!$B$12*(1+Inputs!$B$13/100)))+0.25*(Inputs!$B$14-Inputs!$B$14))*(1+Inputs!$B$7/100))*(F1906/100)</f>
        <v/>
      </c>
      <c r="K1906">
        <f>J1906*(1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1906)</f>
        <v/>
      </c>
      <c r="L1906">
        <f>K1906*(MIN(Inputs!$B$22+((C1924=TRUE)*(F1924-Calc!F20)),(Inputs!$B$23+0+(IF(ArtifactsInput!$M$15,CHOOSE(ArtifactsInput!$N$15+1,25,30,35,40,45,50)/100*(Inputs!$B$11-Inputs!$B$11),0))))/100+(Inputs!$B$23+0+(IF(ArtifactsInput!$M$15,CHOOSE(ArtifactsInput!$N$15+1,25,30,35,40,45,50)/100*(Inputs!$B$11-Inputs!$B$11),0)))/100)/2</f>
        <v/>
      </c>
      <c r="M1906">
        <f>L1906*(1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6">
        <f>L1906*(1-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1906*(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6">
        <f>(1-Summary!$B$11)*T1906+Summary!$B$11*V1906</f>
        <v/>
      </c>
      <c r="P1906">
        <f>IF(B1940=0,0,O1906/B1940)</f>
        <v/>
      </c>
      <c r="Q1906" t="n">
        <v>0</v>
      </c>
      <c r="R1906" t="n">
        <v>0</v>
      </c>
      <c r="S1906">
        <f>IFERROR(O1906/N1906,0)</f>
        <v/>
      </c>
      <c r="T1906">
        <f>IF(C1906,(Skills!G2*N1906*B1934)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1906*(1-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1906*(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1906*(1-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1906*(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6">
        <f>MAX(0,(Inputs!$B$3-100)*3)+Inputs!$B$28+Inputs!$B$29</f>
        <v/>
      </c>
      <c r="V1906">
        <f>IF(C1906,(Skills!G2*N1906*B1934)*IF(Inputs!$B$38="pvp",1,(1+(Inputs!$B$21+Skills!Q2+(IF(ArtifactsInput!$M$33,CHOOSE(ArtifactsInput!$N$33+1,30,36,42,48,54,60),0))+(IF(AND(ArtifactsInput!$M$35,Inputs!$B$4&lt;&gt;"Chapter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7">
      <c r="A1907">
        <f>Skills!A3</f>
        <v/>
      </c>
      <c r="B1907">
        <f>Skills!B3</f>
        <v/>
      </c>
      <c r="C1907">
        <f>Inputs!$B$3&gt;=35</f>
        <v/>
      </c>
      <c r="D1907">
        <f>IF(Skills!C3=1,60+Inputs!$B$25+Inputs!$B$29,IF(Skills!C3=2,90+Inputs!$B$26+Inputs!$B$29,IF(Skills!C3=3,120+Inputs!$B$27+Inputs!$B$29,MAX(0,(Inputs!$B$3-100)*3)+Inputs!$B$28+Inputs!$B$29)))</f>
        <v/>
      </c>
      <c r="E1907">
        <f>INDEX(FactorTable!$B$2:$Y$301, MATCH(ROUND(MIN(300,MAX(1,D1907)),0), FactorTable!$A$2:$A$301,0), Skills!M3+1)</f>
        <v/>
      </c>
      <c r="F1907">
        <f>IF(Skills!N3=TRUE,(Skills!L3/10)*(E1907/1000),Skills!L3/10)+Skills!O3</f>
        <v/>
      </c>
      <c r="G1907">
        <f>Skills!G3*IF(Skills!H3&gt;0,Skills!I3/Skills!H3,1)</f>
        <v/>
      </c>
      <c r="H1907">
        <f>1-(1-Skills!J3/100)^Skills!K3</f>
        <v/>
      </c>
      <c r="I1907" t="inlineStr">
        <is>
          <t>1</t>
        </is>
      </c>
      <c r="J1907">
        <f>((Inputs!$B$6*(1+Inputs!$B$7/100))+(((Inputs!$B$12*(1+Inputs!$B$13/100))-(Inputs!$B$12*(1+Inputs!$B$13/100)))+0.25*(Inputs!$B$14-Inputs!$B$14))*(1+Inputs!$B$7/100))*(F1907/100)</f>
        <v/>
      </c>
      <c r="K1907">
        <f>J1907*(1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1907)</f>
        <v/>
      </c>
      <c r="L1907">
        <f>K1907*(MIN(Inputs!$B$22+((C1924=TRUE)*(F1924-Calc!F20)),(Inputs!$B$23+0+(IF(ArtifactsInput!$M$15,CHOOSE(ArtifactsInput!$N$15+1,25,30,35,40,45,50)/100*(Inputs!$B$11-Inputs!$B$11),0))))/100+(Inputs!$B$23+0+(IF(ArtifactsInput!$M$15,CHOOSE(ArtifactsInput!$N$15+1,25,30,35,40,45,50)/100*(Inputs!$B$11-Inputs!$B$11),0)))/100)/2</f>
        <v/>
      </c>
      <c r="M1907">
        <f>L1907*(1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7">
        <f>L1907*(1-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1907*(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7">
        <f>(1-Summary!$B$11)*T1907+Summary!$B$11*V1907</f>
        <v/>
      </c>
      <c r="P1907">
        <f>IF(B1940=0,0,O1907/B1940)</f>
        <v/>
      </c>
      <c r="Q1907" t="n">
        <v>0</v>
      </c>
      <c r="R1907" t="n">
        <v>0</v>
      </c>
      <c r="S1907">
        <f>IFERROR(O1907/N1907,0)</f>
        <v/>
      </c>
      <c r="T1907">
        <f>IF(C1907,(Skills!G3*H1907*N1907*B1934)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1907*(1-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1907*(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1907*(1-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1907*(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7">
        <f>INDEX(FactorTable!$B$2:$Y$301, MATCH(ROUND(MIN(300,MAX(1,U1906)),0), FactorTable!$A$2:$A$301,0), 22)</f>
        <v/>
      </c>
      <c r="V1907">
        <f>IF(C1907,(Skills!G3*H1907*N1907*B1934)*IF(Inputs!$B$38="pvp",1,(1+(Inputs!$B$21+Skills!Q3+(IF(ArtifactsInput!$M$33,CHOOSE(ArtifactsInput!$N$33+1,30,36,42,48,54,60),0))+(IF(AND(ArtifactsInput!$M$35,Inputs!$B$4&lt;&gt;"Chapter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8">
      <c r="A1908">
        <f>Skills!A4</f>
        <v/>
      </c>
      <c r="B1908">
        <f>Skills!B4</f>
        <v/>
      </c>
      <c r="C1908">
        <f>Inputs!$B$3&gt;=60</f>
        <v/>
      </c>
      <c r="D1908">
        <f>IF(Skills!C4=1,60+Inputs!$B$25+Inputs!$B$29,IF(Skills!C4=2,90+Inputs!$B$26+Inputs!$B$29,IF(Skills!C4=3,120+Inputs!$B$27+Inputs!$B$29,MAX(0,(Inputs!$B$3-100)*3)+Inputs!$B$28+Inputs!$B$29)))</f>
        <v/>
      </c>
      <c r="E1908">
        <f>INDEX(FactorTable!$B$2:$Y$301, MATCH(ROUND(MIN(300,MAX(1,D1908)),0), FactorTable!$A$2:$A$301,0), Skills!M4+1)</f>
        <v/>
      </c>
      <c r="F1908">
        <f>IF(Skills!N4=TRUE,(Skills!L4/10)*(E1908/1000),Skills!L4/10)+Skills!O4</f>
        <v/>
      </c>
      <c r="G1908">
        <f>Skills!G4*IF(Skills!H4&gt;0,Skills!I4/Skills!H4,1)</f>
        <v/>
      </c>
      <c r="H1908">
        <f>1-(1-Skills!J4/100)^Skills!K4</f>
        <v/>
      </c>
      <c r="I1908" t="inlineStr">
        <is>
          <t>1</t>
        </is>
      </c>
      <c r="J1908">
        <f>((Inputs!$B$6*(1+Inputs!$B$7/100))+(((Inputs!$B$12*(1+Inputs!$B$13/100))-(Inputs!$B$12*(1+Inputs!$B$13/100)))+0.25*(Inputs!$B$14-Inputs!$B$14))*(1+Inputs!$B$7/100))*(F1908/100)</f>
        <v/>
      </c>
      <c r="K1908">
        <f>J1908*(1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1916=TRUE,F1916,0)/100)*(1+(IF(Skills!A4="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1908)</f>
        <v/>
      </c>
      <c r="L1908">
        <f>K1908*(MIN(Inputs!$B$22+((C1924=TRUE)*(F1924-Calc!F20)),(Inputs!$B$23+0+(IF(ArtifactsInput!$M$15,CHOOSE(ArtifactsInput!$N$15+1,25,30,35,40,45,50)/100*(Inputs!$B$11-Inputs!$B$11),0))))/100+(Inputs!$B$23+0+(IF(ArtifactsInput!$M$15,CHOOSE(ArtifactsInput!$N$15+1,25,30,35,40,45,50)/100*(Inputs!$B$11-Inputs!$B$11),0)))/100)/2</f>
        <v/>
      </c>
      <c r="M1908">
        <f>L1908*(1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08">
        <f>L1908*(1-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1908*(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08">
        <f>(1-Summary!$B$11)*T1908+Summary!$B$11*V1908</f>
        <v/>
      </c>
      <c r="P1908">
        <f>IF(B1940=0,0,O1908/B1940)</f>
        <v/>
      </c>
      <c r="Q1908" t="n">
        <v>0</v>
      </c>
      <c r="R1908" t="n">
        <v>0</v>
      </c>
      <c r="S1908">
        <f>IFERROR(O1908/N1908,0)</f>
        <v/>
      </c>
      <c r="T1908">
        <f>IF(C1908,(Skills!G4*H1908*N1908*B1934)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1908*(1-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1908*(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1908*(1-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1908*(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08">
        <f>290*U1907/1000</f>
        <v/>
      </c>
      <c r="V1908">
        <f>IF(C1908,(Skills!G4*H1908*N1908*B1934)*IF(Inputs!$B$38="pvp",1,(1+(Inputs!$B$21+Skills!Q4+(IF(ArtifactsInput!$M$33,CHOOSE(ArtifactsInput!$N$33+1,30,36,42,48,54,60),0))+(IF(AND(ArtifactsInput!$M$35,Inputs!$B$4&lt;&gt;"Chapter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09">
      <c r="A1909">
        <f>Skills!A5</f>
        <v/>
      </c>
      <c r="B1909">
        <f>Skills!B5</f>
        <v/>
      </c>
      <c r="C1909">
        <f>Inputs!$B$3&gt;=60</f>
        <v/>
      </c>
      <c r="D1909">
        <f>IF(Skills!C5=1,60+Inputs!$B$25+Inputs!$B$29,IF(Skills!C5=2,90+Inputs!$B$26+Inputs!$B$29,IF(Skills!C5=3,120+Inputs!$B$27+Inputs!$B$29,MAX(0,(Inputs!$B$3-100)*3)+Inputs!$B$28+Inputs!$B$29)))</f>
        <v/>
      </c>
      <c r="E1909">
        <f>INDEX(FactorTable!$B$2:$Y$301, MATCH(ROUND(MIN(300,MAX(1,D1909)),0), FactorTable!$A$2:$A$301,0), Skills!M5+1)</f>
        <v/>
      </c>
      <c r="F1909">
        <f>IF(Skills!N5=TRUE,(Skills!L5/10)*(E1909/1000),Skills!L5/10)+Skills!O5</f>
        <v/>
      </c>
      <c r="G1909">
        <f>Skills!G5*IF(Skills!H5&gt;0,Skills!I5/Skills!H5,1)</f>
        <v/>
      </c>
      <c r="H1909">
        <f>1-(1-Skills!J5/100)^Skills!K5</f>
        <v/>
      </c>
      <c r="I1909" t="inlineStr">
        <is>
          <t>1</t>
        </is>
      </c>
      <c r="J1909" t="inlineStr"/>
      <c r="K1909" t="inlineStr"/>
      <c r="L1909" t="inlineStr"/>
      <c r="M1909" t="inlineStr"/>
      <c r="N1909" t="inlineStr"/>
      <c r="O1909">
        <f>(1-Summary!$B$11)*T1909+Summary!$B$11*V1909</f>
        <v/>
      </c>
      <c r="P1909">
        <f>IF(B1940=0,0,O1909/B1940)</f>
        <v/>
      </c>
      <c r="Q1909" t="n">
        <v>0</v>
      </c>
      <c r="R1909" t="n">
        <v>0</v>
      </c>
      <c r="S1909">
        <f>IFERROR(O1909/N1909,0)</f>
        <v/>
      </c>
      <c r="T1909" t="n">
        <v>0</v>
      </c>
      <c r="V1909" t="n">
        <v>0</v>
      </c>
    </row>
    <row r="1910">
      <c r="A1910">
        <f>Skills!A6</f>
        <v/>
      </c>
      <c r="B1910">
        <f>Skills!B6</f>
        <v/>
      </c>
      <c r="C1910">
        <f>Inputs!$B$3&gt;=63</f>
        <v/>
      </c>
      <c r="D1910">
        <f>IF(Skills!C6=1,60+Inputs!$B$25+Inputs!$B$29,IF(Skills!C6=2,90+Inputs!$B$26+Inputs!$B$29,IF(Skills!C6=3,120+Inputs!$B$27+Inputs!$B$29,MAX(0,(Inputs!$B$3-100)*3)+Inputs!$B$28+Inputs!$B$29)))</f>
        <v/>
      </c>
      <c r="E1910">
        <f>INDEX(FactorTable!$B$2:$Y$301, MATCH(ROUND(MIN(300,MAX(1,D1910)),0), FactorTable!$A$2:$A$301,0), Skills!M6+1)</f>
        <v/>
      </c>
      <c r="F1910">
        <f>IF(Skills!N6=TRUE,(Skills!L6/10)*(E1910/1000),Skills!L6/10)+Skills!O6</f>
        <v/>
      </c>
      <c r="G1910">
        <f>Skills!G6*IF(Skills!H6&gt;0,Skills!I6/Skills!H6,1)</f>
        <v/>
      </c>
      <c r="H1910">
        <f>1-(1-Skills!J6/100)^Skills!K6</f>
        <v/>
      </c>
      <c r="I1910" t="inlineStr">
        <is>
          <t>1</t>
        </is>
      </c>
      <c r="J1910">
        <f>((Inputs!$B$6*(1+Inputs!$B$7/100))+(((Inputs!$B$12*(1+Inputs!$B$13/100))-(Inputs!$B$12*(1+Inputs!$B$13/100)))+0.25*(Inputs!$B$14-Inputs!$B$14))*(1+Inputs!$B$7/100))*(F1910/100)</f>
        <v/>
      </c>
      <c r="K1910">
        <f>J1910*(1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1916=TRUE,F1916,0)/100)*(1+(IF(Skills!A6="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1910)</f>
        <v/>
      </c>
      <c r="L1910">
        <f>K1910*(MIN(Inputs!$B$22+((C1924=TRUE)*(F1924-Calc!F20)),(Inputs!$B$23+0+(IF(ArtifactsInput!$M$15,CHOOSE(ArtifactsInput!$N$15+1,25,30,35,40,45,50)/100*(Inputs!$B$11-Inputs!$B$11),0))))/100+(Inputs!$B$23+0+(IF(ArtifactsInput!$M$15,CHOOSE(ArtifactsInput!$N$15+1,25,30,35,40,45,50)/100*(Inputs!$B$11-Inputs!$B$11),0)))/100)/2</f>
        <v/>
      </c>
      <c r="M1910">
        <f>L1910*(1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0">
        <f>L1910*(1-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1910*(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0">
        <f>(1-Summary!$B$11)*T1910+Summary!$B$11*V1910</f>
        <v/>
      </c>
      <c r="P1910">
        <f>IF(B1940=0,0,O1910/B1940)</f>
        <v/>
      </c>
      <c r="Q1910">
        <f>IFERROR(1/(IF(Inputs!$B$38="pvp",15,MAX(0.1,Skills!D6-IF(Skills!E6=TRUE,Inputs!$B$32,0)))*(1-IF(AND(ArtifactsInput!$M$27,Inputs!$B$4="Chapter Hunt"),CHOOSE(ArtifactsInput!$N$27+1,20,24,28,32,36,40),0)/100)),0)</f>
        <v/>
      </c>
      <c r="R1910">
        <f>IF(AND(Inputs!$B$38&lt;&gt;"pvp",Inputs!$B$43&gt;0),IF(MAX(0,Inputs!$B$43-B1937)&lt;=0,0,(INT(MAX(0,Inputs!$B$43-B1937)/(IF(Inputs!$B$38="pvp",15,MAX(0.1,Skills!D6-IF(Skills!E6=TRUE,Inputs!$B$32,0)))*(1-IF(AND(ArtifactsInput!$M$27,Inputs!$B$4="Chapter Hunt"),CHOOSE(ArtifactsInput!$N$27+1,20,24,28,32,36,40),0)/100)))+1)),0)</f>
        <v/>
      </c>
      <c r="S1910">
        <f>IFERROR(O1910/N1910,0)</f>
        <v/>
      </c>
      <c r="T1910">
        <f>IF(C1910,(H1910*N1910*IF(AND(Inputs!$B$38&lt;&gt;"pvp",Inputs!$B$43&gt;0),((Skills!G6*((R1910-1)*IF(Skills!H6&gt;0,Skills!I6/Skills!H6,1)+IF(Skills!H6&gt;0,MIN(Skills!I6,MAX(0,MAX(0,Inputs!$B$43-B1937)-((R1910-1)*(IF(Inputs!$B$38="pvp",15,MAX(0.1,Skills!D6-IF(Skills!E6=TRUE,Inputs!$B$32,0)))*(1-IF(AND(ArtifactsInput!$M$27,Inputs!$B$4="Chapter Hunt"),CHOOSE(ArtifactsInput!$N$27+1,20,24,28,32,36,40),0)/100)))))/Skills!H6,1)))/Inputs!$B$43),G1910*Q1910)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1910*(1-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1910*(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1910*(1-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1910*(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0">
        <f>IF(C1910,(H1910*N1910*IF(AND(Inputs!$B$38&lt;&gt;"pvp",Inputs!$B$43&gt;0),((Skills!G6*((R1910-1)*IF(Skills!H6&gt;0,Skills!I6/Skills!H6,1)+IF(Skills!H6&gt;0,MIN(Skills!I6,MAX(0,MAX(0,Inputs!$B$43-B1937)-((R1910-1)*(IF(Inputs!$B$38="pvp",15,MAX(0.1,Skills!D6-IF(Skills!E6=TRUE,Inputs!$B$32,0)))*(1-IF(AND(ArtifactsInput!$M$27,Inputs!$B$4="Chapter Hunt"),CHOOSE(ArtifactsInput!$N$27+1,20,24,28,32,36,40),0)/100)))))/Skills!H6,1)))/Inputs!$B$43),G1910*Q1910))*IF(Inputs!$B$38="pvp",1,(1+(Inputs!$B$21+Skills!Q6+(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1">
      <c r="A1911">
        <f>Skills!A7</f>
        <v/>
      </c>
      <c r="B1911">
        <f>Skills!B7</f>
        <v/>
      </c>
      <c r="C1911">
        <f>Inputs!$B$3&gt;=100</f>
        <v/>
      </c>
      <c r="D1911">
        <f>IF(Skills!C7=1,60+Inputs!$B$25+Inputs!$B$29,IF(Skills!C7=2,90+Inputs!$B$26+Inputs!$B$29,IF(Skills!C7=3,120+Inputs!$B$27+Inputs!$B$29,MAX(0,(Inputs!$B$3-100)*3)+Inputs!$B$28+Inputs!$B$29)))</f>
        <v/>
      </c>
      <c r="E1911">
        <f>INDEX(FactorTable!$B$2:$Y$301, MATCH(ROUND(MIN(300,MAX(1,D1911)),0), FactorTable!$A$2:$A$301,0), Skills!M7+1)</f>
        <v/>
      </c>
      <c r="F1911">
        <f>IF(Skills!N7=TRUE,(Skills!L7/10)*(E1911/1000),Skills!L7/10)+Skills!O7</f>
        <v/>
      </c>
      <c r="G1911">
        <f>Skills!G7*IF(Skills!H7&gt;0,Skills!I7/Skills!H7,1)</f>
        <v/>
      </c>
      <c r="H1911">
        <f>1-(1-Skills!J7/100)^Skills!K7</f>
        <v/>
      </c>
      <c r="I1911" t="inlineStr">
        <is>
          <t>1</t>
        </is>
      </c>
      <c r="J1911">
        <f>((Inputs!$B$6*(1+Inputs!$B$7/100))+(((Inputs!$B$12*(1+Inputs!$B$13/100))-(Inputs!$B$12*(1+Inputs!$B$13/100)))+0.25*(Inputs!$B$14-Inputs!$B$14))*(1+Inputs!$B$7/100))*(F1911/100)</f>
        <v/>
      </c>
      <c r="K1911">
        <f>J1911*(1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1911)</f>
        <v/>
      </c>
      <c r="L1911">
        <f>K1911*(MIN(Inputs!$B$22+((C1924=TRUE)*(F1924-Calc!F20)),(Inputs!$B$23+0+(IF(ArtifactsInput!$M$15,CHOOSE(ArtifactsInput!$N$15+1,25,30,35,40,45,50)/100*(Inputs!$B$11-Inputs!$B$11),0))))/100+(Inputs!$B$23+0+(IF(ArtifactsInput!$M$15,CHOOSE(ArtifactsInput!$N$15+1,25,30,35,40,45,50)/100*(Inputs!$B$11-Inputs!$B$11),0)))/100)/2</f>
        <v/>
      </c>
      <c r="M1911">
        <f>L1911*(1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1">
        <f>L1911*(1-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1">
        <f>(1-Summary!$B$11)*T1911+Summary!$B$11*V1911</f>
        <v/>
      </c>
      <c r="P1911">
        <f>IF(B1940=0,0,O1911/B1940)</f>
        <v/>
      </c>
      <c r="Q1911">
        <f>IFERROR(1/(IF(Inputs!$B$38="pvp",15,MAX(0.1,Skills!D7-IF(Skills!E7=TRUE,Inputs!$B$32,0)))*(1-IF(AND(ArtifactsInput!$M$27,Inputs!$B$4="Chapter Hunt"),CHOOSE(ArtifactsInput!$N$27+1,20,24,28,32,36,40),0)/100)),0)</f>
        <v/>
      </c>
      <c r="R1911">
        <f>IF(AND(Inputs!$B$38&lt;&gt;"pvp",Inputs!$B$43&gt;0),IF(MAX(0,Inputs!$B$43-B1937)&lt;=0,0,(INT(MAX(0,Inputs!$B$43-B1937)/(IF(Inputs!$B$38="pvp",15,MAX(0.1,Skills!D7-IF(Skills!E7=TRUE,Inputs!$B$32,0)))*(1-IF(AND(ArtifactsInput!$M$27,Inputs!$B$4="Chapter Hunt"),CHOOSE(ArtifactsInput!$N$27+1,20,24,28,32,36,40),0)/100)))+1)),0)</f>
        <v/>
      </c>
      <c r="S1911">
        <f>IFERROR(O1911/N1911,0)</f>
        <v/>
      </c>
      <c r="T1911">
        <f>IF(C1911,(H1911*N1911*IF(AND(Inputs!$B$38&lt;&gt;"pvp",Inputs!$B$43&gt;0),((Skills!G7*((R1911-1)*IF(Skills!H7&gt;0,Skills!I7/Skills!H7,1)+IF(Skills!H7&gt;0,MIN(Skills!I7,MAX(0,MAX(0,Inputs!$B$43-B1937)-((R1911-1)*(IF(Inputs!$B$38="pvp",15,MAX(0.1,Skills!D7-IF(Skills!E7=TRUE,Inputs!$B$32,0)))*(1-IF(AND(ArtifactsInput!$M$27,Inputs!$B$4="Chapter Hunt"),CHOOSE(ArtifactsInput!$N$27+1,20,24,28,32,36,40),0)/100)))))/Skills!H7,1)))/Inputs!$B$43),G1911*Q1911)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1">
        <f>IF(C1911,(H1911*N1911*IF(AND(Inputs!$B$38&lt;&gt;"pvp",Inputs!$B$43&gt;0),((Skills!G7*((R1911-1)*IF(Skills!H7&gt;0,Skills!I7/Skills!H7,1)+IF(Skills!H7&gt;0,MIN(Skills!I7,MAX(0,MAX(0,Inputs!$B$43-B1937)-((R1911-1)*(IF(Inputs!$B$38="pvp",15,MAX(0.1,Skills!D7-IF(Skills!E7=TRUE,Inputs!$B$32,0)))*(1-IF(AND(ArtifactsInput!$M$27,Inputs!$B$4="Chapter Hunt"),CHOOSE(ArtifactsInput!$N$27+1,20,24,28,32,36,40),0)/100)))))/Skills!H7,1)))/Inputs!$B$43),G1911*Q1911))*IF(Inputs!$B$38="pvp",1,(1+(Inputs!$B$21+Skills!Q7+(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2">
      <c r="A1912">
        <f>Skills!A8</f>
        <v/>
      </c>
      <c r="B1912">
        <f>Skills!B8</f>
        <v/>
      </c>
      <c r="C1912">
        <f>Inputs!$B$3&gt;=110</f>
        <v/>
      </c>
      <c r="D1912">
        <f>IF(Skills!C8=1,60+Inputs!$B$25+Inputs!$B$29,IF(Skills!C8=2,90+Inputs!$B$26+Inputs!$B$29,IF(Skills!C8=3,120+Inputs!$B$27+Inputs!$B$29,MAX(0,(Inputs!$B$3-100)*3)+Inputs!$B$28+Inputs!$B$29)))</f>
        <v/>
      </c>
      <c r="E1912">
        <f>INDEX(FactorTable!$B$2:$Y$301, MATCH(ROUND(MIN(300,MAX(1,D1912)),0), FactorTable!$A$2:$A$301,0), Skills!M8+1)</f>
        <v/>
      </c>
      <c r="F1912">
        <f>IF(Skills!N8=TRUE,(Skills!L8/10)*(E1912/1000),Skills!L8/10)+Skills!O8</f>
        <v/>
      </c>
      <c r="G1912">
        <f>Skills!G8*IF(Skills!H8&gt;0,Skills!I8/Skills!H8,1)</f>
        <v/>
      </c>
      <c r="H1912">
        <f>1-(1-Skills!J8/100)^Skills!K8</f>
        <v/>
      </c>
      <c r="I1912" t="inlineStr">
        <is>
          <t>1</t>
        </is>
      </c>
      <c r="J1912">
        <f>((Inputs!$B$6*(1+Inputs!$B$7/100))+(((Inputs!$B$12*(1+Inputs!$B$13/100))-(Inputs!$B$12*(1+Inputs!$B$13/100)))+0.25*(Inputs!$B$14-Inputs!$B$14))*(1+Inputs!$B$7/100))*(F1912/100)</f>
        <v/>
      </c>
      <c r="K1912">
        <f>J1912*(1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1912)</f>
        <v/>
      </c>
      <c r="L1912">
        <f>K1912*(MIN(Inputs!$B$22+((C1924=TRUE)*(F1924-Calc!F20)),(Inputs!$B$23+0+(IF(ArtifactsInput!$M$15,CHOOSE(ArtifactsInput!$N$15+1,25,30,35,40,45,50)/100*(Inputs!$B$11-Inputs!$B$11),0))))/100+(Inputs!$B$23+0+(IF(ArtifactsInput!$M$15,CHOOSE(ArtifactsInput!$N$15+1,25,30,35,40,45,50)/100*(Inputs!$B$11-Inputs!$B$11),0)))/100)/2</f>
        <v/>
      </c>
      <c r="M1912">
        <f>L1912*(1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2">
        <f>L1912*(1-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1912*(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2">
        <f>(1-Summary!$B$11)*T1912+Summary!$B$11*V1912</f>
        <v/>
      </c>
      <c r="P1912">
        <f>IF(B1940=0,0,O1912/B1940)</f>
        <v/>
      </c>
      <c r="Q1912">
        <f>IFERROR(1/(IF(Inputs!$B$38="pvp",15,MAX(0.1,Skills!D8-IF(Skills!E8=TRUE,Inputs!$B$32,0)))*(1-IF(AND(ArtifactsInput!$M$27,Inputs!$B$4="Chapter Hunt"),CHOOSE(ArtifactsInput!$N$27+1,20,24,28,32,36,40),0)/100)),0)</f>
        <v/>
      </c>
      <c r="R1912">
        <f>IF(AND(Inputs!$B$38&lt;&gt;"pvp",Inputs!$B$43&gt;0),IF(MAX(0,Inputs!$B$43-B1937)&lt;=0,0,(INT(MAX(0,Inputs!$B$43-B1937)/(IF(Inputs!$B$38="pvp",15,MAX(0.1,Skills!D8-IF(Skills!E8=TRUE,Inputs!$B$32,0)))*(1-IF(AND(ArtifactsInput!$M$27,Inputs!$B$4="Chapter Hunt"),CHOOSE(ArtifactsInput!$N$27+1,20,24,28,32,36,40),0)/100)))+1)),0)</f>
        <v/>
      </c>
      <c r="S1912">
        <f>IFERROR(O1912/N1912,0)</f>
        <v/>
      </c>
      <c r="T1912">
        <f>IF(C1912,(H1912*N1912*IF(AND(Inputs!$B$38&lt;&gt;"pvp",Inputs!$B$43&gt;0),((Skills!G8*((R1912-1)*IF(Skills!H8&gt;0,Skills!I8/Skills!H8,1)+IF(Skills!H8&gt;0,MIN(Skills!I8,MAX(0,MAX(0,Inputs!$B$43-B1937)-((R1912-1)*(IF(Inputs!$B$38="pvp",15,MAX(0.1,Skills!D8-IF(Skills!E8=TRUE,Inputs!$B$32,0)))*(1-IF(AND(ArtifactsInput!$M$27,Inputs!$B$4="Chapter Hunt"),CHOOSE(ArtifactsInput!$N$27+1,20,24,28,32,36,40),0)/100)))))/Skills!H8,1)))/Inputs!$B$43),G1912*Q1912)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1912*(1-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1912*(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1912*(1-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1912*(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2">
        <f>IF(C1912,(H1912*N1912*IF(AND(Inputs!$B$38&lt;&gt;"pvp",Inputs!$B$43&gt;0),((Skills!G8*((R1912-1)*IF(Skills!H8&gt;0,Skills!I8/Skills!H8,1)+IF(Skills!H8&gt;0,MIN(Skills!I8,MAX(0,MAX(0,Inputs!$B$43-B1937)-((R1912-1)*(IF(Inputs!$B$38="pvp",15,MAX(0.1,Skills!D8-IF(Skills!E8=TRUE,Inputs!$B$32,0)))*(1-IF(AND(ArtifactsInput!$M$27,Inputs!$B$4="Chapter Hunt"),CHOOSE(ArtifactsInput!$N$27+1,20,24,28,32,36,40),0)/100)))))/Skills!H8,1)))/Inputs!$B$43),G1912*Q1912))*IF(Inputs!$B$38="pvp",1,(1+(Inputs!$B$21+Skills!Q8+(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3">
      <c r="A1913">
        <f>Skills!A9</f>
        <v/>
      </c>
      <c r="B1913">
        <f>Skills!B9</f>
        <v/>
      </c>
      <c r="C1913">
        <f>Inputs!$B$3&gt;=110</f>
        <v/>
      </c>
      <c r="D1913">
        <f>IF(Skills!C9=1,60+Inputs!$B$25+Inputs!$B$29,IF(Skills!C9=2,90+Inputs!$B$26+Inputs!$B$29,IF(Skills!C9=3,120+Inputs!$B$27+Inputs!$B$29,MAX(0,(Inputs!$B$3-100)*3)+Inputs!$B$28+Inputs!$B$29)))</f>
        <v/>
      </c>
      <c r="E1913">
        <f>INDEX(FactorTable!$B$2:$Y$301, MATCH(ROUND(MIN(300,MAX(1,D1913)),0), FactorTable!$A$2:$A$301,0), Skills!M9+1)</f>
        <v/>
      </c>
      <c r="F1913">
        <f>IF(Skills!N9=TRUE,(Skills!L9/10)*(E1913/1000),Skills!L9/10)+Skills!O9</f>
        <v/>
      </c>
      <c r="G1913">
        <f>Skills!G9*IF(Skills!H9&gt;0,Skills!I9/Skills!H9,1)</f>
        <v/>
      </c>
      <c r="H1913">
        <f>1-(1-Skills!J9/100)^Skills!K9</f>
        <v/>
      </c>
      <c r="I1913" t="inlineStr">
        <is>
          <t>1</t>
        </is>
      </c>
      <c r="J1913">
        <f>((Inputs!$B$6*(1+Inputs!$B$7/100))+(((Inputs!$B$12*(1+Inputs!$B$13/100))-(Inputs!$B$12*(1+Inputs!$B$13/100)))+0.25*(Inputs!$B$14-Inputs!$B$14))*(1+Inputs!$B$7/100))*(F1913/100)</f>
        <v/>
      </c>
      <c r="K1913">
        <f>J1913*(1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1913)</f>
        <v/>
      </c>
      <c r="L1913">
        <f>K1913*(MIN(Inputs!$B$22+((C1924=TRUE)*(F1924-Calc!F20)),(Inputs!$B$23+0+(IF(ArtifactsInput!$M$15,CHOOSE(ArtifactsInput!$N$15+1,25,30,35,40,45,50)/100*(Inputs!$B$11-Inputs!$B$11),0))))/100+(Inputs!$B$23+0+(IF(ArtifactsInput!$M$15,CHOOSE(ArtifactsInput!$N$15+1,25,30,35,40,45,50)/100*(Inputs!$B$11-Inputs!$B$11),0)))/100)/2</f>
        <v/>
      </c>
      <c r="M1913">
        <f>L1913*(1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3">
        <f>L1913*(1-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1913*(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3">
        <f>(1-Summary!$B$11)*T1913+Summary!$B$11*V1913</f>
        <v/>
      </c>
      <c r="P1913">
        <f>IF(B1940=0,0,O1913/B1940)</f>
        <v/>
      </c>
      <c r="Q1913">
        <f>IFERROR(1/(IF(Inputs!$B$38="pvp",15,MAX(0.1,Skills!D9-IF(Skills!E9=TRUE,Inputs!$B$32,0)))*(1-IF(AND(ArtifactsInput!$M$27,Inputs!$B$4="Chapter Hunt"),CHOOSE(ArtifactsInput!$N$27+1,20,24,28,32,36,40),0)/100)),0)</f>
        <v/>
      </c>
      <c r="R1913">
        <f>IF(AND(Inputs!$B$38&lt;&gt;"pvp",Inputs!$B$43&gt;0),IF(MAX(0,Inputs!$B$43-B1937)&lt;=0,0,(INT(MAX(0,Inputs!$B$43-B1937)/(IF(Inputs!$B$38="pvp",15,MAX(0.1,Skills!D9-IF(Skills!E9=TRUE,Inputs!$B$32,0)))*(1-IF(AND(ArtifactsInput!$M$27,Inputs!$B$4="Chapter Hunt"),CHOOSE(ArtifactsInput!$N$27+1,20,24,28,32,36,40),0)/100)))+1)),0)</f>
        <v/>
      </c>
      <c r="S1913">
        <f>IFERROR(O1913/N1913,0)</f>
        <v/>
      </c>
      <c r="T1913">
        <f>IF(C1913,(H1913*N1913*IF(AND(Inputs!$B$38&lt;&gt;"pvp",Inputs!$B$43&gt;0),((Skills!G9*((R1913-1)*IF(Skills!H9&gt;0,Skills!I9/Skills!H9,1)+IF(Skills!H9&gt;0,MIN(Skills!I9,MAX(0,MAX(0,Inputs!$B$43-B1937)-((R1913-1)*(IF(Inputs!$B$38="pvp",15,MAX(0.1,Skills!D9-IF(Skills!E9=TRUE,Inputs!$B$32,0)))*(1-IF(AND(ArtifactsInput!$M$27,Inputs!$B$4="Chapter Hunt"),CHOOSE(ArtifactsInput!$N$27+1,20,24,28,32,36,40),0)/100)))))/Skills!H9,1)))/Inputs!$B$43),G1913*Q1913)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1913*(1-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1913*(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1913*(1-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1913*(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3">
        <f>IF(C1913,(H1913*N1913*IF(AND(Inputs!$B$38&lt;&gt;"pvp",Inputs!$B$43&gt;0),((Skills!G9*((R1913-1)*IF(Skills!H9&gt;0,Skills!I9/Skills!H9,1)+IF(Skills!H9&gt;0,MIN(Skills!I9,MAX(0,MAX(0,Inputs!$B$43-B1937)-((R1913-1)*(IF(Inputs!$B$38="pvp",15,MAX(0.1,Skills!D9-IF(Skills!E9=TRUE,Inputs!$B$32,0)))*(1-IF(AND(ArtifactsInput!$M$27,Inputs!$B$4="Chapter Hunt"),CHOOSE(ArtifactsInput!$N$27+1,20,24,28,32,36,40),0)/100)))))/Skills!H9,1)))/Inputs!$B$43),G1913*Q1913))*IF(Inputs!$B$38="pvp",1,(1+(Inputs!$B$21+Skills!Q9+(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4">
      <c r="A1914">
        <f>Skills!A10</f>
        <v/>
      </c>
      <c r="B1914">
        <f>Skills!B10</f>
        <v/>
      </c>
      <c r="C1914">
        <f>Inputs!$B$3&gt;=103</f>
        <v/>
      </c>
      <c r="D1914">
        <f>IF(Skills!C10=1,60+Inputs!$B$25+Inputs!$B$29,IF(Skills!C10=2,90+Inputs!$B$26+Inputs!$B$29,IF(Skills!C10=3,120+Inputs!$B$27+Inputs!$B$29,MAX(0,(Inputs!$B$3-100)*3)+Inputs!$B$28+Inputs!$B$29)))</f>
        <v/>
      </c>
      <c r="E1914">
        <f>INDEX(FactorTable!$B$2:$Y$301, MATCH(ROUND(MIN(300,MAX(1,D1914)),0), FactorTable!$A$2:$A$301,0), Skills!M10+1)</f>
        <v/>
      </c>
      <c r="F1914">
        <f>IF(Skills!N10=TRUE,(Skills!L10/10)*(E1914/1000),Skills!L10/10)+Skills!O10</f>
        <v/>
      </c>
      <c r="G1914">
        <f>Skills!G10*IF(Skills!H10&gt;0,Skills!I10/Skills!H10,1)</f>
        <v/>
      </c>
      <c r="H1914">
        <f>1-(1-Skills!J10/100)^Skills!K10</f>
        <v/>
      </c>
      <c r="I1914" t="inlineStr">
        <is>
          <t>1</t>
        </is>
      </c>
      <c r="J1914">
        <f>((Inputs!$B$6*(1+Inputs!$B$7/100))+(((Inputs!$B$12*(1+Inputs!$B$13/100))-(Inputs!$B$12*(1+Inputs!$B$13/100)))+0.25*(Inputs!$B$14-Inputs!$B$14))*(1+Inputs!$B$7/100))*(F1914/100)</f>
        <v/>
      </c>
      <c r="K1914">
        <f>J1914*(1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1914)</f>
        <v/>
      </c>
      <c r="L1914">
        <f>K1914*(MIN(Inputs!$B$22+((C1924=TRUE)*(F1924-Calc!F20)),(Inputs!$B$23+0+(IF(ArtifactsInput!$M$15,CHOOSE(ArtifactsInput!$N$15+1,25,30,35,40,45,50)/100*(Inputs!$B$11-Inputs!$B$11),0))))/100+(Inputs!$B$23+0+(IF(ArtifactsInput!$M$15,CHOOSE(ArtifactsInput!$N$15+1,25,30,35,40,45,50)/100*(Inputs!$B$11-Inputs!$B$11),0)))/100)/2</f>
        <v/>
      </c>
      <c r="M1914">
        <f>L1914*(1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4">
        <f>L1914*(1-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1914*(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4">
        <f>(1-Summary!$B$11)*T1914+Summary!$B$11*V1914</f>
        <v/>
      </c>
      <c r="P1914">
        <f>IF(B1940=0,0,O1914/B1940)</f>
        <v/>
      </c>
      <c r="Q1914">
        <f>IFERROR(1/(IF(Inputs!$B$38="pvp",15,MAX(0.1,Skills!D10-IF(Skills!E10=TRUE,Inputs!$B$32,0)))*(1-IF(AND(ArtifactsInput!$M$27,Inputs!$B$4="Chapter Hunt"),CHOOSE(ArtifactsInput!$N$27+1,20,24,28,32,36,40),0)/100)),0)</f>
        <v/>
      </c>
      <c r="R1914">
        <f>IF(AND(Inputs!$B$38&lt;&gt;"pvp",Inputs!$B$43&gt;0),IF(MAX(0,Inputs!$B$43-B1937)&lt;=0,0,(INT(MAX(0,Inputs!$B$43-B1937)/(IF(Inputs!$B$38="pvp",15,MAX(0.1,Skills!D10-IF(Skills!E10=TRUE,Inputs!$B$32,0)))*(1-IF(AND(ArtifactsInput!$M$27,Inputs!$B$4="Chapter Hunt"),CHOOSE(ArtifactsInput!$N$27+1,20,24,28,32,36,40),0)/100)))+1)),0)</f>
        <v/>
      </c>
      <c r="S1914">
        <f>IFERROR(O1914/N1914,0)</f>
        <v/>
      </c>
      <c r="T1914">
        <f>IF(C1914,(H1914*N1914*IF(AND(Inputs!$B$38&lt;&gt;"pvp",Inputs!$B$43&gt;0),((Skills!G10*((R1914-1)*IF(Skills!H10&gt;0,Skills!I10/Skills!H10,1)+IF(Skills!H10&gt;0,MIN(Skills!I10,MAX(0,MAX(0,Inputs!$B$43-B1937)-((R1914-1)*(IF(Inputs!$B$38="pvp",15,MAX(0.1,Skills!D10-IF(Skills!E10=TRUE,Inputs!$B$32,0)))*(1-IF(AND(ArtifactsInput!$M$27,Inputs!$B$4="Chapter Hunt"),CHOOSE(ArtifactsInput!$N$27+1,20,24,28,32,36,40),0)/100)))))/Skills!H10,1)))/Inputs!$B$43),G1914*Q1914)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1914*(1-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1914*(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1914*(1-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1914*(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4">
        <f>IF(C1914,(H1914*N1914*IF(AND(Inputs!$B$38&lt;&gt;"pvp",Inputs!$B$43&gt;0),((Skills!G10*((R1914-1)*IF(Skills!H10&gt;0,Skills!I10/Skills!H10,1)+IF(Skills!H10&gt;0,MIN(Skills!I10,MAX(0,MAX(0,Inputs!$B$43-B1937)-((R1914-1)*(IF(Inputs!$B$38="pvp",15,MAX(0.1,Skills!D10-IF(Skills!E10=TRUE,Inputs!$B$32,0)))*(1-IF(AND(ArtifactsInput!$M$27,Inputs!$B$4="Chapter Hunt"),CHOOSE(ArtifactsInput!$N$27+1,20,24,28,32,36,40),0)/100)))))/Skills!H10,1)))/Inputs!$B$43),G1914*Q1914))*IF(Inputs!$B$38="pvp",1,(1+(Inputs!$B$21+Skills!Q10+(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5">
      <c r="A1915">
        <f>Skills!A11</f>
        <v/>
      </c>
      <c r="B1915">
        <f>Skills!B11</f>
        <v/>
      </c>
      <c r="C1915">
        <f>Inputs!$B$3&gt;=113</f>
        <v/>
      </c>
      <c r="D1915">
        <f>IF(Skills!C11=1,60+Inputs!$B$25+Inputs!$B$29,IF(Skills!C11=2,90+Inputs!$B$26+Inputs!$B$29,IF(Skills!C11=3,120+Inputs!$B$27+Inputs!$B$29,MAX(0,(Inputs!$B$3-100)*3)+Inputs!$B$28+Inputs!$B$29)))</f>
        <v/>
      </c>
      <c r="E1915">
        <f>INDEX(FactorTable!$B$2:$Y$301, MATCH(ROUND(MIN(300,MAX(1,D1915)),0), FactorTable!$A$2:$A$301,0), Skills!M11+1)</f>
        <v/>
      </c>
      <c r="F1915">
        <f>IF(Skills!N11=TRUE,(Skills!L11/10)*(E1915/1000),Skills!L11/10)+Skills!O11</f>
        <v/>
      </c>
      <c r="G1915">
        <f>Skills!G11*IF(Skills!H11&gt;0,Skills!I11/Skills!H11,1)</f>
        <v/>
      </c>
      <c r="H1915">
        <f>1-(1-Skills!J11/100)^Skills!K11</f>
        <v/>
      </c>
      <c r="I1915" t="inlineStr">
        <is>
          <t>1</t>
        </is>
      </c>
      <c r="J1915">
        <f>((Inputs!$B$6*(1+Inputs!$B$7/100))+(((Inputs!$B$12*(1+Inputs!$B$13/100))-(Inputs!$B$12*(1+Inputs!$B$13/100)))+0.25*(Inputs!$B$14-Inputs!$B$14))*(1+Inputs!$B$7/100))*(F1915/100)</f>
        <v/>
      </c>
      <c r="K1915">
        <f>J1915*(1+((Inputs!$B$12*(1+Inputs!$B$13/100))*0.01+Inputs!$B$14*0.0025)/100)*(1+Inputs!$B$15/100)*(1+Inputs!$B$16/100)*(5000/(6000+Inputs!$B$42*(1-(100*(1-(1-(Inputs!$B$19+0)/100)*(1-CHOOSE(ArtifactsInput!$N$40+1,5,6,7,8,9,10)/100)^(ArtifactsInput!$M$40-ArtifactsInput!$M$40)))/100)))*(1+(Inputs!$B$24+((C1926=TRUE)*(F1926-Calc!F22))+B1936)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1925=TRUE)*(F1925-Calc!F21))+(((IF(AND(ArtifactsInput!$M$42,((Inputs!$B$9+((C1920=TRUE)*(F1920-Calc!F16))+B1930+(ArtifactsInput!$M$24-ArtifactsInput!$M$24)*CHOOSE(ArtifactsInput!$N$24+1,10,12,14,16,18,20)+IF(ArtifactsInput!$M$10,CHOOSE(ArtifactsInput!$N$10+1,15,18,21,24,27,30)*(IF(Inputs!$B$38="pvp",MIN(15,15)/15,IF(AND(Inputs!$B$38&lt;&gt;"pvp",Inputs!$B$43&gt;0),MIN(15,Inputs!$B$43)/(Inputs!$B$43),0))),0)))&gt;=100),MIN(100,((Inputs!$B$9+((C1920=TRUE)*(F1920-Calc!F16))+B1930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1920=TRUE)*(F1920-Calc!F16))+B1930+(ArtifactsInput!$M$24-ArtifactsInput!$M$24)*CHOOSE(ArtifactsInput!$N$24+1,10,12,14,16,18,20)+IF(ArtifactsInput!$M$10,CHOOSE(ArtifactsInput!$N$10+1,15,18,21,24,27,30)*(IF(Inputs!$B$38="pvp",MIN(15,15)/15,IF(AND(Inputs!$B$38&lt;&gt;"pvp",Inputs!$B$43&gt;0),MIN(15,Inputs!$B$43)/(Inputs!$B$43),0))),0)))&gt;=100),CHOOSE(ArtifactsInput!$N$42+1,40,48,56,64,72,80),0))))/100)*((1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1915)</f>
        <v/>
      </c>
      <c r="L1915">
        <f>K1915*(MIN(Inputs!$B$22+((C1924=TRUE)*(F1924-Calc!F20)),(Inputs!$B$23+0+(IF(ArtifactsInput!$M$15,CHOOSE(ArtifactsInput!$N$15+1,25,30,35,40,45,50)/100*(Inputs!$B$11-Inputs!$B$11),0))))/100+(Inputs!$B$23+0+(IF(ArtifactsInput!$M$15,CHOOSE(ArtifactsInput!$N$15+1,25,30,35,40,45,50)/100*(Inputs!$B$11-Inputs!$B$11),0)))/100)/2</f>
        <v/>
      </c>
      <c r="M1915">
        <f>L1915*(1+(Inputs!$B$10+0+B1935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5">
        <f>L1915*(1-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1915*(MIN((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5">
        <f>(1-Summary!$B$11)*T1915+Summary!$B$11*V1915</f>
        <v/>
      </c>
      <c r="P1915">
        <f>IF(B1940=0,0,O1915/B1940)</f>
        <v/>
      </c>
      <c r="Q1915">
        <f>IFERROR(1/(IF(Inputs!$B$38="pvp",15,MAX(0.1,Skills!D11-IF(Skills!E11=TRUE,Inputs!$B$32,0)))*(1-IF(AND(ArtifactsInput!$M$27,Inputs!$B$4="Chapter Hunt"),CHOOSE(ArtifactsInput!$N$27+1,20,24,28,32,36,40),0)/100)),0)</f>
        <v/>
      </c>
      <c r="R1915">
        <f>IF(AND(Inputs!$B$38&lt;&gt;"pvp",Inputs!$B$43&gt;0),IF(MAX(0,Inputs!$B$43-B1937)&lt;=0,0,(INT(MAX(0,Inputs!$B$43-B1937)/(IF(Inputs!$B$38="pvp",15,MAX(0.1,Skills!D11-IF(Skills!E11=TRUE,Inputs!$B$32,0)))*(1-IF(AND(ArtifactsInput!$M$27,Inputs!$B$4="Chapter Hunt"),CHOOSE(ArtifactsInput!$N$27+1,20,24,28,32,36,40),0)/100)))+1)),0)</f>
        <v/>
      </c>
      <c r="S1915">
        <f>IFERROR(O1915/N1915,0)</f>
        <v/>
      </c>
      <c r="T1915">
        <f>IF(C1915,(H1915*N1915*IF(AND(Inputs!$B$38&lt;&gt;"pvp",Inputs!$B$43&gt;0),((Skills!G11*((R1915-1)*IF(Skills!H11&gt;0,Skills!I11/Skills!H11,1)+IF(Skills!H11&gt;0,MIN(Skills!I11,MAX(0,MAX(0,Inputs!$B$43-B1937)-((R1915-1)*(IF(Inputs!$B$38="pvp",15,MAX(0.1,Skills!D11-IF(Skills!E11=TRUE,Inputs!$B$32,0)))*(1-IF(AND(ArtifactsInput!$M$27,Inputs!$B$4="Chapter Hunt"),CHOOSE(ArtifactsInput!$N$27+1,20,24,28,32,36,40),0)/100)))))/Skills!H11,1)))/Inputs!$B$43),G1915*Q1915)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1915*(1-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1915*(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1915*(1-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1915*(MIN(100,(Inputs!$B$9+((C1920=TRUE)*(F1920-Calc!F16))+B1930+(ArtifactsInput!$M$24-ArtifactsInput!$M$24)*CHOOSE(ArtifactsInput!$N$24+1,10,12,14,16,18,20)+(IF(AND(ArtifactsInput!$M$42,((Inputs!$B$9+((C1920=TRUE)*(F1920-Calc!F16))+B1930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15">
        <f>IF(C1915,(H1915*N1915*IF(AND(Inputs!$B$38&lt;&gt;"pvp",Inputs!$B$43&gt;0),((Skills!G11*((R1915-1)*IF(Skills!H11&gt;0,Skills!I11/Skills!H11,1)+IF(Skills!H11&gt;0,MIN(Skills!I11,MAX(0,MAX(0,Inputs!$B$43-B1937)-((R1915-1)*(IF(Inputs!$B$38="pvp",15,MAX(0.1,Skills!D11-IF(Skills!E11=TRUE,Inputs!$B$32,0)))*(1-IF(AND(ArtifactsInput!$M$27,Inputs!$B$4="Chapter Hunt"),CHOOSE(ArtifactsInput!$N$27+1,20,24,28,32,36,40),0)/100)))))/Skills!H11,1)))/Inputs!$B$43),G1915*Q1915))*IF(Inputs!$B$38="pvp",1,(1+(Inputs!$B$21+Skills!Q11+(IF(ArtifactsInput!$M$33,CHOOSE(ArtifactsInput!$N$33+1,30,36,42,48,54,60),0))+(IF(AND(ArtifactsInput!$M$35,Inputs!$B$4&lt;&gt;"Chapter Hunt"),CHOOSE(ArtifactsInput!$N$35+1,15,18,21,24,27,30)*(1-EXP(-(0.2*B1932)*5)),0)+IF(AND(ArtifactsInput!$M$22,Inputs!$B$4&lt;&gt;"Chapter Hunt"),CHOOSE(ArtifactsInput!$N$22+1,10,12,14,16,18,20)*((0*(((0.15*B1932*5))^0/1)+1*(((0.15*B1932*5))^1/1)+2*(((0.15*B1932*5))^2/2)+3*(((0.15*B1932*5))^3/6)+4*(((0.15*B1932*5))^4/24)+5*(((0.15*B1932*5))^5/120))/((((0.15*B1932*5))^0/1)+(((0.15*B1932*5))^1/1)+(((0.15*B1932*5))^2/2)+(((0.15*B1932*5))^3/6)+(((0.15*B1932*5))^4/24)+(((0.15*B1932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6">
      <c r="A1916">
        <f>Skills!A12</f>
        <v/>
      </c>
      <c r="B1916">
        <f>Skills!B12</f>
        <v/>
      </c>
      <c r="C1916">
        <f>Inputs!$B$3&gt;=100</f>
        <v/>
      </c>
      <c r="D1916">
        <f>IF(Skills!C12=1,60+Inputs!$B$25+Inputs!$B$29,IF(Skills!C12=2,90+Inputs!$B$26+Inputs!$B$29,IF(Skills!C12=3,120+Inputs!$B$27+Inputs!$B$29,MAX(0,(Inputs!$B$3-100)*3)+Inputs!$B$28+Inputs!$B$29)))</f>
        <v/>
      </c>
      <c r="E1916">
        <f>INDEX(FactorTable!$B$2:$Y$301, MATCH(ROUND(MIN(300,MAX(1,D1916)),0), FactorTable!$A$2:$A$301,0), Skills!M12+1)</f>
        <v/>
      </c>
      <c r="F1916">
        <f>IF(Skills!N12=TRUE,(Skills!L12/10)*(E1916/1000),Skills!L12/10)+Skills!O12</f>
        <v/>
      </c>
      <c r="G1916" t="inlineStr"/>
      <c r="H1916" t="inlineStr"/>
      <c r="I1916" t="inlineStr">
        <is>
          <t>1</t>
        </is>
      </c>
      <c r="J1916" t="inlineStr"/>
      <c r="K1916" t="inlineStr"/>
      <c r="L1916" t="inlineStr"/>
      <c r="M1916" t="inlineStr"/>
      <c r="N1916" t="inlineStr"/>
      <c r="O1916" t="inlineStr"/>
      <c r="P1916" t="inlineStr"/>
      <c r="Q1916" t="inlineStr"/>
      <c r="R1916" t="inlineStr"/>
      <c r="S1916" t="inlineStr"/>
      <c r="T1916" t="inlineStr"/>
      <c r="V1916" t="inlineStr"/>
    </row>
    <row r="1917">
      <c r="A1917">
        <f>Skills!A13</f>
        <v/>
      </c>
      <c r="B1917">
        <f>Skills!B13</f>
        <v/>
      </c>
      <c r="C1917">
        <f>Inputs!$B$3&gt;=66</f>
        <v/>
      </c>
      <c r="D1917">
        <f>IF(Skills!C13=1,60+Inputs!$B$25+Inputs!$B$29,IF(Skills!C13=2,90+Inputs!$B$26+Inputs!$B$29,IF(Skills!C13=3,120+Inputs!$B$27+Inputs!$B$29,MAX(0,(Inputs!$B$3-100)*3)+Inputs!$B$28+Inputs!$B$29)))</f>
        <v/>
      </c>
      <c r="E1917">
        <f>INDEX(FactorTable!$B$2:$Y$301, MATCH(ROUND(MIN(300,MAX(1,D1917)),0), FactorTable!$A$2:$A$301,0), Skills!M13+1)</f>
        <v/>
      </c>
      <c r="F1917">
        <f>IF(Skills!N13=TRUE,(Skills!L13/10)*(E1917/1000),Skills!L13/10)+Skills!O13</f>
        <v/>
      </c>
      <c r="G1917">
        <f>Skills!G13*IF(Skills!H13&gt;0,Skills!I13/Skills!H13,1)</f>
        <v/>
      </c>
      <c r="H1917">
        <f>1-(1-Skills!J13/100)^Skills!K13</f>
        <v/>
      </c>
      <c r="I1917" t="inlineStr">
        <is>
          <t>1</t>
        </is>
      </c>
      <c r="J1917" t="inlineStr"/>
      <c r="K1917" t="inlineStr"/>
      <c r="L1917" t="inlineStr"/>
      <c r="M1917" t="inlineStr"/>
      <c r="N1917" t="inlineStr"/>
      <c r="O1917">
        <f>(1-Summary!$B$11)*T1917+Summary!$B$11*V1917</f>
        <v/>
      </c>
      <c r="P1917">
        <f>IF(B1940=0,0,O1917/B1940)</f>
        <v/>
      </c>
      <c r="Q1917" t="n">
        <v>0</v>
      </c>
      <c r="R1917" t="n">
        <v>0</v>
      </c>
      <c r="S1917">
        <f>IFERROR(O1917/N1917,0)</f>
        <v/>
      </c>
      <c r="T1917" t="n">
        <v>0</v>
      </c>
      <c r="V1917" t="n">
        <v>0</v>
      </c>
    </row>
    <row r="1918">
      <c r="A1918">
        <f>Skills!A14</f>
        <v/>
      </c>
      <c r="B1918">
        <f>Skills!B14</f>
        <v/>
      </c>
      <c r="C1918">
        <f>Inputs!$B$3&gt;=107</f>
        <v/>
      </c>
      <c r="D1918">
        <f>IF(Skills!C14=1,60+Inputs!$B$25+Inputs!$B$29,IF(Skills!C14=2,90+Inputs!$B$26+Inputs!$B$29,IF(Skills!C14=3,120+Inputs!$B$27+Inputs!$B$29,MAX(0,(Inputs!$B$3-100)*3)+Inputs!$B$28+Inputs!$B$29)))</f>
        <v/>
      </c>
      <c r="E1918">
        <f>INDEX(FactorTable!$B$2:$Y$301, MATCH(ROUND(MIN(300,MAX(1,D1918)),0), FactorTable!$A$2:$A$301,0), Skills!M14+1)</f>
        <v/>
      </c>
      <c r="F1918">
        <f>IF(Skills!N14=TRUE,(Skills!L14/10)*(E1918/1000),Skills!L14/10)+Skills!O14</f>
        <v/>
      </c>
      <c r="G1918">
        <f>Skills!G14*IF(Skills!H14&gt;0,Skills!I14/Skills!H14,1)</f>
        <v/>
      </c>
      <c r="H1918">
        <f>1-(1-Skills!J14/100)^Skills!K14</f>
        <v/>
      </c>
      <c r="I1918" t="inlineStr">
        <is>
          <t>1</t>
        </is>
      </c>
      <c r="J1918" t="inlineStr"/>
      <c r="K1918" t="inlineStr"/>
      <c r="L1918" t="inlineStr"/>
      <c r="M1918" t="inlineStr"/>
      <c r="N1918" t="inlineStr"/>
      <c r="O1918">
        <f>(1-Summary!$B$11)*T1918+Summary!$B$11*V1918</f>
        <v/>
      </c>
      <c r="P1918">
        <f>IF(B1940=0,0,O1918/B1940)</f>
        <v/>
      </c>
      <c r="Q1918">
        <f>IFERROR(1/(IF(Inputs!$B$38="pvp",15,MAX(0.1,Skills!D14-IF(Skills!E14=TRUE,Inputs!$B$32,0)))*(1-IF(AND(ArtifactsInput!$M$27,Inputs!$B$4="Chapter Hunt"),CHOOSE(ArtifactsInput!$N$27+1,20,24,28,32,36,40),0)/100)),0)</f>
        <v/>
      </c>
      <c r="R1918">
        <f>IF(AND(Inputs!$B$38&lt;&gt;"pvp",Inputs!$B$43&gt;0),IF(Inputs!$B$43&lt;=0,0,(INT(Inputs!$B$43/(IF(Inputs!$B$38="pvp",15,MAX(0.1,Skills!D14-IF(Skills!E14=TRUE,Inputs!$B$32,0)))*(1-IF(AND(ArtifactsInput!$M$27,Inputs!$B$4="Chapter Hunt"),CHOOSE(ArtifactsInput!$N$27+1,20,24,28,32,36,40),0)/100)))+1)),0)</f>
        <v/>
      </c>
      <c r="S1918">
        <f>IFERROR(O1918/N1918,0)</f>
        <v/>
      </c>
      <c r="T1918" t="n">
        <v>0</v>
      </c>
      <c r="V1918" t="n">
        <v>0</v>
      </c>
    </row>
    <row r="1919">
      <c r="A1919">
        <f>Skills!A15</f>
        <v/>
      </c>
      <c r="B1919">
        <f>Skills!B15</f>
        <v/>
      </c>
      <c r="C1919">
        <f>Inputs!$B$3&gt;=115</f>
        <v/>
      </c>
      <c r="D1919">
        <f>IF(Skills!C15=1,60+Inputs!$B$25+Inputs!$B$29,IF(Skills!C15=2,90+Inputs!$B$26+Inputs!$B$29,IF(Skills!C15=3,120+Inputs!$B$27+Inputs!$B$29,MAX(0,(Inputs!$B$3-100)*3)+Inputs!$B$28+Inputs!$B$29)))</f>
        <v/>
      </c>
      <c r="E1919">
        <f>INDEX(FactorTable!$B$2:$Y$301, MATCH(ROUND(MIN(300,MAX(1,D1919)),0), FactorTable!$A$2:$A$301,0), Skills!M15+1)</f>
        <v/>
      </c>
      <c r="F1919">
        <f>IF(Skills!N15=TRUE,(Skills!L15/10)*(E1919/1000),Skills!L15/10)+Skills!O15</f>
        <v/>
      </c>
      <c r="G1919">
        <f>Skills!G15*IF(Skills!H15&gt;0,Skills!I15/Skills!H15,1)</f>
        <v/>
      </c>
      <c r="H1919">
        <f>1-(1-Skills!J15/100)^Skills!K15</f>
        <v/>
      </c>
      <c r="I1919" t="inlineStr">
        <is>
          <t>1</t>
        </is>
      </c>
      <c r="J1919" t="inlineStr"/>
      <c r="K1919" t="inlineStr"/>
      <c r="L1919" t="inlineStr"/>
      <c r="M1919" t="inlineStr"/>
      <c r="N1919" t="inlineStr"/>
      <c r="O1919">
        <f>(1-Summary!$B$11)*T1919+Summary!$B$11*V1919</f>
        <v/>
      </c>
      <c r="P1919">
        <f>IF(B1940=0,0,O1919/B1940)</f>
        <v/>
      </c>
      <c r="Q1919">
        <f>IFERROR(1/(IF(Inputs!$B$38="pvp",15,MAX(0.1,Skills!D15-IF(Skills!E15=TRUE,Inputs!$B$32,0)))*(1-IF(AND(ArtifactsInput!$M$27,Inputs!$B$4="Chapter Hunt"),CHOOSE(ArtifactsInput!$N$27+1,20,24,28,32,36,40),0)/100)),0)</f>
        <v/>
      </c>
      <c r="R1919">
        <f>IF(AND(Inputs!$B$38&lt;&gt;"pvp",Inputs!$B$43&gt;0),IF(Inputs!$B$43&lt;=0,0,(INT(Inputs!$B$43/(IF(Inputs!$B$38="pvp",15,MAX(0.1,Skills!D15-IF(Skills!E15=TRUE,Inputs!$B$32,0)))*(1-IF(AND(ArtifactsInput!$M$27,Inputs!$B$4="Chapter Hunt"),CHOOSE(ArtifactsInput!$N$27+1,20,24,28,32,36,40),0)/100)))+1)),0)</f>
        <v/>
      </c>
      <c r="S1919">
        <f>IFERROR(O1919/N1919,0)</f>
        <v/>
      </c>
      <c r="T1919" t="n">
        <v>0</v>
      </c>
      <c r="V1919" t="n">
        <v>0</v>
      </c>
    </row>
    <row r="1920">
      <c r="A1920">
        <f>Skills!A16</f>
        <v/>
      </c>
      <c r="B1920">
        <f>Skills!B16</f>
        <v/>
      </c>
      <c r="C1920">
        <f>Inputs!$B$3&gt;=15</f>
        <v/>
      </c>
      <c r="D1920">
        <f>IF(Skills!C16=1,60+Inputs!$B$25+Inputs!$B$29,IF(Skills!C16=2,90+Inputs!$B$26+Inputs!$B$29,IF(Skills!C16=3,120+Inputs!$B$27+Inputs!$B$29,MAX(0,(Inputs!$B$3-100)*3)+Inputs!$B$28+Inputs!$B$29)))</f>
        <v/>
      </c>
      <c r="E1920">
        <f>INDEX(FactorTable!$B$2:$Y$301, MATCH(ROUND(MIN(300,MAX(1,D1920)),0), FactorTable!$A$2:$A$301,0), Skills!M16+1)</f>
        <v/>
      </c>
      <c r="F1920">
        <f>IF(Skills!N16=TRUE,(Skills!L16/10)*(E1920/1000),Skills!L16/10)+Skills!O16</f>
        <v/>
      </c>
      <c r="G1920">
        <f>Skills!G16*IF(Skills!H16&gt;0,Skills!I16/Skills!H16,1)</f>
        <v/>
      </c>
      <c r="H1920">
        <f>1-(1-Skills!J16/100)^Skills!K16</f>
        <v/>
      </c>
      <c r="I1920" t="inlineStr">
        <is>
          <t>1</t>
        </is>
      </c>
      <c r="J1920" t="inlineStr"/>
      <c r="K1920" t="inlineStr"/>
      <c r="L1920" t="inlineStr"/>
      <c r="M1920" t="inlineStr"/>
      <c r="N1920" t="inlineStr"/>
      <c r="O1920">
        <f>(1-Summary!$B$11)*T1920+Summary!$B$11*V1920</f>
        <v/>
      </c>
      <c r="P1920">
        <f>IF(B1940=0,0,O1920/B1940)</f>
        <v/>
      </c>
      <c r="Q1920" t="n">
        <v>0</v>
      </c>
      <c r="R1920" t="n">
        <v>0</v>
      </c>
      <c r="S1920">
        <f>IFERROR(O1920/N1920,0)</f>
        <v/>
      </c>
      <c r="T1920" t="n">
        <v>0</v>
      </c>
      <c r="V1920" t="n">
        <v>0</v>
      </c>
    </row>
    <row r="1921">
      <c r="A1921">
        <f>Skills!A17</f>
        <v/>
      </c>
      <c r="B1921">
        <f>Skills!B17</f>
        <v/>
      </c>
      <c r="C1921">
        <f>Inputs!$B$3&gt;=10</f>
        <v/>
      </c>
      <c r="D1921">
        <f>IF(Skills!C17=1,60+Inputs!$B$25+Inputs!$B$29,IF(Skills!C17=2,90+Inputs!$B$26+Inputs!$B$29,IF(Skills!C17=3,120+Inputs!$B$27+Inputs!$B$29,MAX(0,(Inputs!$B$3-100)*3)+Inputs!$B$28+Inputs!$B$29)))</f>
        <v/>
      </c>
      <c r="E1921">
        <f>INDEX(FactorTable!$B$2:$Y$301, MATCH(ROUND(MIN(300,MAX(1,D1921)),0), FactorTable!$A$2:$A$301,0), Skills!M17+1)</f>
        <v/>
      </c>
      <c r="F1921">
        <f>IF(Skills!N17=TRUE,(Skills!L17/10)*(E1921/1000),Skills!L17/10)+Skills!O17</f>
        <v/>
      </c>
      <c r="G1921">
        <f>Skills!G17*IF(Skills!H17&gt;0,Skills!I17/Skills!H17,1)</f>
        <v/>
      </c>
      <c r="H1921">
        <f>1-(1-Skills!J17/100)^Skills!K17</f>
        <v/>
      </c>
      <c r="I1921" t="inlineStr">
        <is>
          <t>1</t>
        </is>
      </c>
      <c r="J1921" t="inlineStr"/>
      <c r="K1921" t="inlineStr"/>
      <c r="L1921" t="inlineStr"/>
      <c r="M1921" t="inlineStr"/>
      <c r="N1921" t="inlineStr"/>
      <c r="O1921">
        <f>(1-Summary!$B$11)*T1921+Summary!$B$11*V1921</f>
        <v/>
      </c>
      <c r="P1921">
        <f>IF(B1940=0,0,O1921/B1940)</f>
        <v/>
      </c>
      <c r="Q1921" t="n">
        <v>0</v>
      </c>
      <c r="R1921" t="n">
        <v>0</v>
      </c>
      <c r="S1921">
        <f>IFERROR(O1921/N1921,0)</f>
        <v/>
      </c>
      <c r="T1921" t="n">
        <v>0</v>
      </c>
      <c r="V1921" t="n">
        <v>0</v>
      </c>
    </row>
    <row r="1922">
      <c r="A1922">
        <f>Skills!A18</f>
        <v/>
      </c>
      <c r="B1922">
        <f>Skills!B18</f>
        <v/>
      </c>
      <c r="C1922">
        <f>Inputs!$B$3&gt;=33</f>
        <v/>
      </c>
      <c r="D1922">
        <f>IF(Skills!C18=1,60+Inputs!$B$25+Inputs!$B$29,IF(Skills!C18=2,90+Inputs!$B$26+Inputs!$B$29,IF(Skills!C18=3,120+Inputs!$B$27+Inputs!$B$29,MAX(0,(Inputs!$B$3-100)*3)+Inputs!$B$28+Inputs!$B$29)))</f>
        <v/>
      </c>
      <c r="E1922">
        <f>INDEX(FactorTable!$B$2:$Y$301, MATCH(ROUND(MIN(300,MAX(1,D1922)),0), FactorTable!$A$2:$A$301,0), Skills!M18+1)</f>
        <v/>
      </c>
      <c r="F1922">
        <f>IF(Skills!N18=TRUE,(Skills!L18/10)*(E1922/1000),Skills!L18/10)+Skills!O18</f>
        <v/>
      </c>
      <c r="G1922">
        <f>Skills!G18*IF(Skills!H18&gt;0,Skills!I18/Skills!H18,1)</f>
        <v/>
      </c>
      <c r="H1922">
        <f>1-(1-Skills!J18/100)^Skills!K18</f>
        <v/>
      </c>
      <c r="I1922" t="inlineStr">
        <is>
          <t>1</t>
        </is>
      </c>
      <c r="J1922" t="inlineStr"/>
      <c r="K1922" t="inlineStr"/>
      <c r="L1922" t="inlineStr"/>
      <c r="M1922" t="inlineStr"/>
      <c r="N1922" t="inlineStr"/>
      <c r="O1922">
        <f>(1-Summary!$B$11)*T1922+Summary!$B$11*V1922</f>
        <v/>
      </c>
      <c r="P1922">
        <f>IF(B1940=0,0,O1922/B1940)</f>
        <v/>
      </c>
      <c r="Q1922" t="n">
        <v>0</v>
      </c>
      <c r="R1922" t="n">
        <v>0</v>
      </c>
      <c r="S1922">
        <f>IFERROR(O1922/N1922,0)</f>
        <v/>
      </c>
      <c r="T1922" t="n">
        <v>0</v>
      </c>
      <c r="V1922" t="n">
        <v>0</v>
      </c>
    </row>
    <row r="1923">
      <c r="A1923">
        <f>Skills!A19</f>
        <v/>
      </c>
      <c r="B1923">
        <f>Skills!B19</f>
        <v/>
      </c>
      <c r="C1923">
        <f>Inputs!$B$3&gt;=40</f>
        <v/>
      </c>
      <c r="D1923">
        <f>IF(Skills!C19=1,60+Inputs!$B$25+Inputs!$B$29,IF(Skills!C19=2,90+Inputs!$B$26+Inputs!$B$29,IF(Skills!C19=3,120+Inputs!$B$27+Inputs!$B$29,MAX(0,(Inputs!$B$3-100)*3)+Inputs!$B$28+Inputs!$B$29)))</f>
        <v/>
      </c>
      <c r="E1923">
        <f>INDEX(FactorTable!$B$2:$Y$301, MATCH(ROUND(MIN(300,MAX(1,D1923)),0), FactorTable!$A$2:$A$301,0), Skills!M19+1)</f>
        <v/>
      </c>
      <c r="F1923">
        <f>IF(Skills!N19=TRUE,(Skills!L19/10)*(E1923/1000),Skills!L19/10)+Skills!O19</f>
        <v/>
      </c>
      <c r="G1923">
        <f>Skills!G19*IF(Skills!H19&gt;0,Skills!I19/Skills!H19,1)</f>
        <v/>
      </c>
      <c r="H1923">
        <f>1-(1-Skills!J19/100)^Skills!K19</f>
        <v/>
      </c>
      <c r="I1923" t="inlineStr">
        <is>
          <t>1</t>
        </is>
      </c>
      <c r="J1923" t="inlineStr"/>
      <c r="K1923" t="inlineStr"/>
      <c r="L1923" t="inlineStr"/>
      <c r="M1923" t="inlineStr"/>
      <c r="N1923" t="inlineStr"/>
      <c r="O1923">
        <f>(1-Summary!$B$11)*T1923+Summary!$B$11*V1923</f>
        <v/>
      </c>
      <c r="P1923">
        <f>IF(B1940=0,0,O1923/B1940)</f>
        <v/>
      </c>
      <c r="Q1923" t="n">
        <v>0</v>
      </c>
      <c r="R1923" t="n">
        <v>0</v>
      </c>
      <c r="S1923">
        <f>IFERROR(O1923/N1923,0)</f>
        <v/>
      </c>
      <c r="T1923" t="n">
        <v>0</v>
      </c>
      <c r="V1923" t="n">
        <v>0</v>
      </c>
    </row>
    <row r="1924">
      <c r="A1924">
        <f>Skills!A20</f>
        <v/>
      </c>
      <c r="B1924">
        <f>Skills!B20</f>
        <v/>
      </c>
      <c r="C1924">
        <f>Inputs!$B$3&gt;=43</f>
        <v/>
      </c>
      <c r="D1924">
        <f>IF(Skills!C20=1,60+Inputs!$B$25+Inputs!$B$29,IF(Skills!C20=2,90+Inputs!$B$26+Inputs!$B$29,IF(Skills!C20=3,120+Inputs!$B$27+Inputs!$B$29,MAX(0,(Inputs!$B$3-100)*3)+Inputs!$B$28+Inputs!$B$29)))</f>
        <v/>
      </c>
      <c r="E1924">
        <f>INDEX(FactorTable!$B$2:$Y$301, MATCH(ROUND(MIN(300,MAX(1,D1924)),0), FactorTable!$A$2:$A$301,0), Skills!M20+1)</f>
        <v/>
      </c>
      <c r="F1924">
        <f>IF(Skills!N20=TRUE,(Skills!L20/10)*(E1924/1000),Skills!L20/10)+Skills!O20</f>
        <v/>
      </c>
      <c r="G1924">
        <f>Skills!G20*IF(Skills!H20&gt;0,Skills!I20/Skills!H20,1)</f>
        <v/>
      </c>
      <c r="H1924">
        <f>1-(1-Skills!J20/100)^Skills!K20</f>
        <v/>
      </c>
      <c r="I1924" t="inlineStr">
        <is>
          <t>1</t>
        </is>
      </c>
      <c r="J1924" t="inlineStr"/>
      <c r="K1924" t="inlineStr"/>
      <c r="L1924" t="inlineStr"/>
      <c r="M1924" t="inlineStr"/>
      <c r="N1924" t="inlineStr"/>
      <c r="O1924">
        <f>(1-Summary!$B$11)*T1924+Summary!$B$11*V1924</f>
        <v/>
      </c>
      <c r="P1924">
        <f>IF(B1940=0,0,O1924/B1940)</f>
        <v/>
      </c>
      <c r="Q1924" t="n">
        <v>0</v>
      </c>
      <c r="R1924" t="n">
        <v>0</v>
      </c>
      <c r="S1924">
        <f>IFERROR(O1924/N1924,0)</f>
        <v/>
      </c>
      <c r="T1924" t="n">
        <v>0</v>
      </c>
      <c r="V1924" t="n">
        <v>0</v>
      </c>
    </row>
    <row r="1925">
      <c r="A1925">
        <f>Skills!A21</f>
        <v/>
      </c>
      <c r="B1925">
        <f>Skills!B21</f>
        <v/>
      </c>
      <c r="C1925">
        <f>Inputs!$B$3&gt;=38</f>
        <v/>
      </c>
      <c r="D1925">
        <f>IF(Skills!C21=1,60+Inputs!$B$25+Inputs!$B$29,IF(Skills!C21=2,90+Inputs!$B$26+Inputs!$B$29,IF(Skills!C21=3,120+Inputs!$B$27+Inputs!$B$29,MAX(0,(Inputs!$B$3-100)*3)+Inputs!$B$28+Inputs!$B$29)))</f>
        <v/>
      </c>
      <c r="E1925">
        <f>INDEX(FactorTable!$B$2:$Y$301, MATCH(ROUND(MIN(300,MAX(1,D1925)),0), FactorTable!$A$2:$A$301,0), Skills!M21+1)</f>
        <v/>
      </c>
      <c r="F1925">
        <f>IF(Skills!N21=TRUE,(Skills!L21/10)*(E1925/1000),Skills!L21/10)+Skills!O21</f>
        <v/>
      </c>
      <c r="G1925">
        <f>Skills!G21*IF(Skills!H21&gt;0,Skills!I21/Skills!H21,1)</f>
        <v/>
      </c>
      <c r="H1925">
        <f>1-(1-Skills!J21/100)^Skills!K21</f>
        <v/>
      </c>
      <c r="I1925" t="inlineStr">
        <is>
          <t>1</t>
        </is>
      </c>
      <c r="J1925" t="inlineStr"/>
      <c r="K1925" t="inlineStr"/>
      <c r="L1925" t="inlineStr"/>
      <c r="M1925" t="inlineStr"/>
      <c r="N1925" t="inlineStr"/>
      <c r="O1925">
        <f>(1-Summary!$B$11)*T1925+Summary!$B$11*V1925</f>
        <v/>
      </c>
      <c r="P1925">
        <f>IF(B1940=0,0,O1925/B1940)</f>
        <v/>
      </c>
      <c r="Q1925" t="n">
        <v>0</v>
      </c>
      <c r="R1925" t="n">
        <v>0</v>
      </c>
      <c r="S1925">
        <f>IFERROR(O1925/N1925,0)</f>
        <v/>
      </c>
      <c r="T1925" t="n">
        <v>0</v>
      </c>
      <c r="V1925" t="n">
        <v>0</v>
      </c>
    </row>
    <row r="1926">
      <c r="A1926">
        <f>Skills!A22</f>
        <v/>
      </c>
      <c r="B1926">
        <f>Skills!B22</f>
        <v/>
      </c>
      <c r="C1926">
        <f>Inputs!$B$3&gt;=75</f>
        <v/>
      </c>
      <c r="D1926">
        <f>IF(Skills!C22=1,60+Inputs!$B$25+Inputs!$B$29,IF(Skills!C22=2,90+Inputs!$B$26+Inputs!$B$29,IF(Skills!C22=3,120+Inputs!$B$27+Inputs!$B$29,MAX(0,(Inputs!$B$3-100)*3)+Inputs!$B$28+Inputs!$B$29)))</f>
        <v/>
      </c>
      <c r="E1926">
        <f>INDEX(FactorTable!$B$2:$Y$301, MATCH(ROUND(MIN(300,MAX(1,D1926)),0), FactorTable!$A$2:$A$301,0), Skills!M22+1)</f>
        <v/>
      </c>
      <c r="F1926">
        <f>IF(Skills!N22=TRUE,(Skills!L22/10)*(E1926/1000),Skills!L22/10)+Skills!O22</f>
        <v/>
      </c>
      <c r="G1926">
        <f>Skills!G22*IF(Skills!H22&gt;0,Skills!I22/Skills!H22,1)</f>
        <v/>
      </c>
      <c r="H1926">
        <f>1-(1-Skills!J22/100)^Skills!K22</f>
        <v/>
      </c>
      <c r="I1926" t="inlineStr">
        <is>
          <t>1</t>
        </is>
      </c>
      <c r="J1926" t="inlineStr"/>
      <c r="K1926" t="inlineStr"/>
      <c r="L1926" t="inlineStr"/>
      <c r="M1926" t="inlineStr"/>
      <c r="N1926" t="inlineStr"/>
      <c r="O1926">
        <f>(1-Summary!$B$11)*T1926+Summary!$B$11*V1926</f>
        <v/>
      </c>
      <c r="P1926">
        <f>IF(B1940=0,0,O1926/B1940)</f>
        <v/>
      </c>
      <c r="Q1926" t="n">
        <v>0</v>
      </c>
      <c r="R1926" t="n">
        <v>0</v>
      </c>
      <c r="S1926">
        <f>IFERROR(O1926/N1926,0)</f>
        <v/>
      </c>
      <c r="T1926" t="n">
        <v>0</v>
      </c>
      <c r="V1926" t="n">
        <v>0</v>
      </c>
    </row>
    <row r="1927">
      <c r="A1927">
        <f>Skills!A23</f>
        <v/>
      </c>
      <c r="B1927">
        <f>Skills!B23</f>
        <v/>
      </c>
      <c r="C1927">
        <f>TRUE</f>
        <v/>
      </c>
      <c r="D1927">
        <f>IF(Skills!C23=1,60+Inputs!$B$25+Inputs!$B$29,IF(Skills!C23=2,90+Inputs!$B$26+Inputs!$B$29,IF(Skills!C23=3,120+Inputs!$B$27+Inputs!$B$29,MAX(0,(Inputs!$B$3-100)*3)+Inputs!$B$28+Inputs!$B$29)))</f>
        <v/>
      </c>
      <c r="E1927">
        <f>INDEX(FactorTable!$B$2:$Y$301, MATCH(ROUND(MIN(300,MAX(1,D1927)),0), FactorTable!$A$2:$A$301,0), Skills!M23+1)</f>
        <v/>
      </c>
      <c r="F1927">
        <f>IF(Skills!N23=TRUE,(Skills!L23/10)*(E1927/1000),Skills!L23/10)+Skills!O23</f>
        <v/>
      </c>
      <c r="G1927">
        <f>Skills!G23*IF(Skills!H23&gt;0,Skills!I23/Skills!H23,1)</f>
        <v/>
      </c>
      <c r="H1927">
        <f>1-(1-Skills!J23/100)^Skills!K23</f>
        <v/>
      </c>
      <c r="I1927" t="inlineStr">
        <is>
          <t>1</t>
        </is>
      </c>
      <c r="J1927" t="inlineStr"/>
      <c r="K1927" t="inlineStr"/>
      <c r="L1927" t="inlineStr"/>
      <c r="M1927" t="inlineStr"/>
      <c r="N1927" t="inlineStr"/>
      <c r="O1927">
        <f>(1-Summary!$B$11)*T1927+Summary!$B$11*V1927</f>
        <v/>
      </c>
      <c r="P1927">
        <f>IF(B1940=0,0,O1927/B1940)</f>
        <v/>
      </c>
      <c r="Q1927">
        <f>IFERROR(1/(IF(Inputs!$B$38="pvp",15,MAX(0.1,Skills!D23-IF(Skills!E23=TRUE,Inputs!$B$32,0)))*(1-IF(AND(ArtifactsInput!$M$27,Inputs!$B$4="Chapter Hunt"),CHOOSE(ArtifactsInput!$N$27+1,20,24,28,32,36,40),0)/100)),0)</f>
        <v/>
      </c>
      <c r="R1927">
        <f>IF(AND(Inputs!$B$38&lt;&gt;"pvp",Inputs!$B$43&gt;0),IF(Inputs!$B$43&lt;=0,0,(INT(Inputs!$B$43/(IF(Inputs!$B$38="pvp",15,MAX(0.1,Skills!D23-IF(Skills!E23=TRUE,Inputs!$B$32,0)))*(1-IF(AND(ArtifactsInput!$M$27,Inputs!$B$4="Chapter Hunt"),CHOOSE(ArtifactsInput!$N$27+1,20,24,28,32,36,40),0)/100)))+1)),0)</f>
        <v/>
      </c>
      <c r="S1927">
        <f>IFERROR(O1927/N1927,0)</f>
        <v/>
      </c>
      <c r="T1927" t="n">
        <v>0</v>
      </c>
      <c r="V1927" t="n">
        <v>0</v>
      </c>
    </row>
    <row r="1929">
      <c r="A1929" t="inlineStr">
        <is>
          <t>Attack% Bucket Multiplier</t>
        </is>
      </c>
      <c r="B1929">
        <f>(1+(((C1917=TRUE)*F1917*5/7)+((C1923=TRUE)*(F1923-Calc!F19))+(IF(ArtifactsInput!$M$21,CHOOSE(ArtifactsInput!$N$21+1,25,30,35,40,45,50)*(IF(OR(Inputs!$B$4="Chapter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30">
      <c r="A1930" t="inlineStr">
        <is>
          <t>Global Crit Rate Bonus %</t>
        </is>
      </c>
      <c r="B1930" t="n">
        <v>0</v>
      </c>
    </row>
    <row r="1931">
      <c r="A1931" t="inlineStr">
        <is>
          <t>Attack Speed Buff Bonus % (Nimble Feet, duty-cycle averaged)</t>
        </is>
      </c>
      <c r="B1931">
        <f>((C1927=TRUE)*F1927*IF(AND(Inputs!$B$38&lt;&gt;"pvp",Inputs!$B$43&gt;0),(((R1927-1)*(Skills!T23*(1+Inputs!$B$34/100))+MIN((Skills!T23*(1+Inputs!$B$34/100)),MAX(0,Inputs!$B$43-((R1927-1)*Skills!D23))))/Inputs!$B$43),IF(Inputs!$B$38="pvp",MIN((Skills!T23*(1+Inputs!$B$34/100)),15)/15,(Skills!T23*(1+Inputs!$B$34/100))/Skills!D23)))</f>
        <v/>
      </c>
    </row>
    <row r="1932">
      <c r="A1932" t="inlineStr">
        <is>
          <t>Actions Per Second</t>
        </is>
      </c>
      <c r="B1932">
        <f>1+MIN(150,150*(1-(1-(Inputs!$B$11+((C1921=TRUE)*(F1921-Calc!F17))+((C1922=TRUE)*(F1922-Calc!F18)))/150)*(1-B1931/150)))/100</f>
        <v/>
      </c>
    </row>
    <row r="1933">
      <c r="A1933" t="inlineStr">
        <is>
          <t>Skill + Buff Cast Rate</t>
        </is>
      </c>
      <c r="B1933">
        <f>IF(AND(Inputs!$B$38&lt;&gt;"pvp",Inputs!$B$43&gt;0),SUMPRODUCT((Skills!E2:E23=TRUE)*(C1906:C1927=TRUE)*R1906:R1927*Skills!F2:F23)/Inputs!$B$43,SUMPRODUCT((Skills!E2:E23=TRUE)*(C1906:C1927=TRUE)*Q1906:Q1927*Skills!F2:F23))</f>
        <v/>
      </c>
    </row>
    <row r="1934">
      <c r="A1934" t="inlineStr">
        <is>
          <t>Hook Bomber Casts Per Second</t>
        </is>
      </c>
      <c r="B1934">
        <f>MAX(0,B1932-B1933)</f>
        <v/>
      </c>
    </row>
    <row r="1935">
      <c r="A1935" t="inlineStr">
        <is>
          <t>Global Critical Damage Bonus % (unused)</t>
        </is>
      </c>
      <c r="B1935" t="n">
        <v>0</v>
      </c>
    </row>
    <row r="1936">
      <c r="A1936" t="inlineStr">
        <is>
          <t>Global Final Damage Bonus % (Serpent Scale + Crossbones + Time Leap + Speed Infusion)</t>
        </is>
      </c>
      <c r="B1936">
        <f>((C1909=TRUE)*F1909*((10+IF(Inputs!$B$3&gt;=94,5,0))/((10+IF(Inputs!$B$3&gt;=94,5,0))+5/(B1934*(1+IF(Inputs!$B$3&gt;=104,1,0))))))+((C1918=TRUE)*F1918*IF(AND(Inputs!$B$38&lt;&gt;"pvp",Inputs!$B$43&gt;0),(((R1918-1)*(Skills!T14*(1+Inputs!$B$34/100))+MIN((Skills!T14*(1+Inputs!$B$34/100)),MAX(0,Inputs!$B$43-((R1918-1)*Skills!D14))))/Inputs!$B$43),IF(Inputs!$B$38="pvp",MIN((Skills!T14*(1+Inputs!$B$34/100)),15)/15,(Skills!T14*(1+Inputs!$B$34/100))/Skills!D14)))+((C1919=TRUE)*F1919*IF(AND(Inputs!$B$38&lt;&gt;"pvp",Inputs!$B$43&gt;0),(((R1919-1)*(Skills!T15*(1+Inputs!$B$34/100))+MIN((Skills!T15*(1+Inputs!$B$34/100)),MAX(0,Inputs!$B$43-((R1919-1)*Skills!D15))))/Inputs!$B$43),IF(Inputs!$B$38="pvp",MIN((Skills!T15*(1+Inputs!$B$34/100)),15)/15,(Skills!T15*(1+Inputs!$B$34/100))/Skills!D15)))+((Inputs!$B$3&gt;=110)*20*(B1932-1)*IF(Inputs!$B$38="pvp",MIN((15*(1+Inputs!$B$34/100)),15)/15,(15*(1+Inputs!$B$34/100))/35))</f>
        <v/>
      </c>
    </row>
    <row r="1937">
      <c r="A1937" t="inlineStr">
        <is>
          <t>Buff-Casting Startup Delay (s, fixed-duration only)</t>
        </is>
      </c>
      <c r="B1937">
        <f>IF(AND(Inputs!$B$38&lt;&gt;"pvp",Inputs!$B$43&gt;0),SUMPRODUCT((Skills!T2:T23&gt;0)*(Skills!E2:E23=TRUE)*(C1906:C1927=TRUE))/B1932,0)</f>
        <v/>
      </c>
    </row>
    <row r="1938">
      <c r="A1938" t="inlineStr">
        <is>
          <t>Boss-Only Total DPS (this block's swept value)</t>
        </is>
      </c>
      <c r="B1938">
        <f>SUM(T1906:T1927)</f>
        <v/>
      </c>
    </row>
    <row r="1939">
      <c r="A1939" t="inlineStr">
        <is>
          <t>Normal-Only Total DPS (this block's swept value)</t>
        </is>
      </c>
      <c r="B1939">
        <f>SUM(V1906:V1927)</f>
        <v/>
      </c>
    </row>
    <row r="1940">
      <c r="A1940" s="6" t="inlineStr">
        <is>
          <t>TOTAL DPS</t>
        </is>
      </c>
      <c r="B1940" s="6">
        <f>SUM(O1906:O1927)</f>
        <v/>
      </c>
    </row>
    <row r="1943">
      <c r="A1943" s="6" t="inlineStr">
        <is>
          <t>Stat: Soul Pouch (Equip)</t>
        </is>
      </c>
    </row>
    <row r="1944">
      <c r="A1944" s="5" t="inlineStr">
        <is>
          <t>Key</t>
        </is>
      </c>
      <c r="B1944" s="5" t="inlineStr">
        <is>
          <t>Name</t>
        </is>
      </c>
      <c r="C1944" s="5" t="inlineStr">
        <is>
          <t>Unlocked</t>
        </is>
      </c>
      <c r="D1944" s="5" t="inlineStr">
        <is>
          <t>InputLevel</t>
        </is>
      </c>
      <c r="E1944" s="5" t="inlineStr">
        <is>
          <t>Factor</t>
        </is>
      </c>
      <c r="F1944" s="5" t="inlineStr">
        <is>
          <t>CoefficientPercent</t>
        </is>
      </c>
      <c r="G1944" s="5" t="inlineStr">
        <is>
          <t>EffectiveHits</t>
        </is>
      </c>
      <c r="H1944" s="5" t="inlineStr">
        <is>
          <t>ProcProbability</t>
        </is>
      </c>
      <c r="I1944" s="5" t="inlineStr">
        <is>
          <t>MapleHeroMultiplier</t>
        </is>
      </c>
      <c r="J1944" s="5" t="inlineStr">
        <is>
          <t>BaseDamage</t>
        </is>
      </c>
      <c r="K1944" s="5" t="inlineStr">
        <is>
          <t>BaseHitDamage</t>
        </is>
      </c>
      <c r="L1944" s="5" t="inlineStr">
        <is>
          <t>NonCritAvg</t>
        </is>
      </c>
      <c r="M1944" s="5" t="inlineStr">
        <is>
          <t>CritAvg</t>
        </is>
      </c>
      <c r="N1944" s="5" t="inlineStr">
        <is>
          <t>ExpectedDamage(perHit)</t>
        </is>
      </c>
      <c r="O1944" s="5" t="inlineStr">
        <is>
          <t>DPS</t>
        </is>
      </c>
      <c r="P1944" s="5" t="inlineStr">
        <is>
          <t>% of Total</t>
        </is>
      </c>
      <c r="Q1944" s="5" t="inlineStr">
        <is>
          <t>InvCooldown</t>
        </is>
      </c>
      <c r="R1944" s="5" t="inlineStr">
        <is>
          <t>CastsInFight</t>
        </is>
      </c>
      <c r="S1944" s="5" t="inlineStr">
        <is>
          <t>HitRate(perSec)</t>
        </is>
      </c>
      <c r="U1944" t="inlineStr">
        <is>
          <t>helpers</t>
        </is>
      </c>
    </row>
    <row r="1945">
      <c r="A1945">
        <f>Skills!A2</f>
        <v/>
      </c>
      <c r="B1945">
        <f>Skills!B2</f>
        <v/>
      </c>
      <c r="C1945">
        <f>Inputs!$B$3&gt;=100</f>
        <v/>
      </c>
      <c r="D1945" t="inlineStr"/>
      <c r="E1945" t="inlineStr"/>
      <c r="F1945">
        <f>U1947+Skills!O2</f>
        <v/>
      </c>
      <c r="G1945">
        <f>Skills!G2*IF(Skills!H2&gt;0,Skills!I2/Skills!H2,1)</f>
        <v/>
      </c>
      <c r="H1945">
        <f>1-(1-Skills!J2/100)^Skills!K2</f>
        <v/>
      </c>
      <c r="I1945" t="inlineStr">
        <is>
          <t>1</t>
        </is>
      </c>
      <c r="J1945">
        <f>((Inputs!$B$6*(1+Inputs!$B$7/100))+(((Inputs!$B$12*(1+Inputs!$B$13/100))-(Inputs!$B$12*(1+Inputs!$B$13/100)))+0.25*(Inputs!$B$14-Inputs!$B$14))*(1+Inputs!$B$7/100))*(F1945/100)</f>
        <v/>
      </c>
      <c r="K1945">
        <f>J1945*(1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1945)</f>
        <v/>
      </c>
      <c r="L1945">
        <f>K1945*(MIN(Inputs!$B$22+((C1963=TRUE)*(F1963-Calc!F20)),(Inputs!$B$23+0+(IF(ArtifactsInput!$M$15,CHOOSE(ArtifactsInput!$N$15+1,25,30,35,40,45,50)/100*(Inputs!$B$11-Inputs!$B$11),0))))/100+(Inputs!$B$23+0+(IF(ArtifactsInput!$M$15,CHOOSE(ArtifactsInput!$N$15+1,25,30,35,40,45,50)/100*(Inputs!$B$11-Inputs!$B$11),0)))/100)/2</f>
        <v/>
      </c>
      <c r="M1945">
        <f>L1945*(1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5">
        <f>L1945*(1-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1945*(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5">
        <f>(1-Summary!$B$11)*T1945+Summary!$B$11*V1945</f>
        <v/>
      </c>
      <c r="P1945">
        <f>IF(B1979=0,0,O1945/B1979)</f>
        <v/>
      </c>
      <c r="Q1945" t="n">
        <v>0</v>
      </c>
      <c r="R1945" t="n">
        <v>0</v>
      </c>
      <c r="S1945">
        <f>IFERROR(O1945/N1945,0)</f>
        <v/>
      </c>
      <c r="T1945">
        <f>IF(C1945,(Skills!G2*N1945*B1973)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1945*(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1945*(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5">
        <f>MAX(0,(Inputs!$B$3-100)*3)+Inputs!$B$28+Inputs!$B$29</f>
        <v/>
      </c>
      <c r="V1945">
        <f>IF(C1945,(Skills!G2*N1945*B1973)*IF(Inputs!$B$38="pvp",1,(1+(Inputs!$B$21+Skills!Q2+(IF(ArtifactsInput!$M$33,CHOOSE(ArtifactsInput!$N$33+1,30,36,42,48,54,60),0))+(IF(AND(ArtifactsInput!$M$35,Inputs!$B$4&lt;&gt;"Chapter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6">
      <c r="A1946">
        <f>Skills!A3</f>
        <v/>
      </c>
      <c r="B1946">
        <f>Skills!B3</f>
        <v/>
      </c>
      <c r="C1946">
        <f>Inputs!$B$3&gt;=35</f>
        <v/>
      </c>
      <c r="D1946">
        <f>IF(Skills!C3=1,60+Inputs!$B$25+Inputs!$B$29,IF(Skills!C3=2,90+Inputs!$B$26+Inputs!$B$29,IF(Skills!C3=3,120+Inputs!$B$27+Inputs!$B$29,MAX(0,(Inputs!$B$3-100)*3)+Inputs!$B$28+Inputs!$B$29)))</f>
        <v/>
      </c>
      <c r="E1946">
        <f>INDEX(FactorTable!$B$2:$Y$301, MATCH(ROUND(MIN(300,MAX(1,D1946)),0), FactorTable!$A$2:$A$301,0), Skills!M3+1)</f>
        <v/>
      </c>
      <c r="F1946">
        <f>IF(Skills!N3=TRUE,(Skills!L3/10)*(E1946/1000),Skills!L3/10)+Skills!O3</f>
        <v/>
      </c>
      <c r="G1946">
        <f>Skills!G3*IF(Skills!H3&gt;0,Skills!I3/Skills!H3,1)</f>
        <v/>
      </c>
      <c r="H1946">
        <f>1-(1-Skills!J3/100)^Skills!K3</f>
        <v/>
      </c>
      <c r="I1946" t="inlineStr">
        <is>
          <t>1</t>
        </is>
      </c>
      <c r="J1946">
        <f>((Inputs!$B$6*(1+Inputs!$B$7/100))+(((Inputs!$B$12*(1+Inputs!$B$13/100))-(Inputs!$B$12*(1+Inputs!$B$13/100)))+0.25*(Inputs!$B$14-Inputs!$B$14))*(1+Inputs!$B$7/100))*(F1946/100)</f>
        <v/>
      </c>
      <c r="K1946">
        <f>J1946*(1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1946)</f>
        <v/>
      </c>
      <c r="L1946">
        <f>K1946*(MIN(Inputs!$B$22+((C1963=TRUE)*(F1963-Calc!F20)),(Inputs!$B$23+0+(IF(ArtifactsInput!$M$15,CHOOSE(ArtifactsInput!$N$15+1,25,30,35,40,45,50)/100*(Inputs!$B$11-Inputs!$B$11),0))))/100+(Inputs!$B$23+0+(IF(ArtifactsInput!$M$15,CHOOSE(ArtifactsInput!$N$15+1,25,30,35,40,45,50)/100*(Inputs!$B$11-Inputs!$B$11),0)))/100)/2</f>
        <v/>
      </c>
      <c r="M1946">
        <f>L1946*(1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6">
        <f>L1946*(1-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1946*(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6">
        <f>(1-Summary!$B$11)*T1946+Summary!$B$11*V1946</f>
        <v/>
      </c>
      <c r="P1946">
        <f>IF(B1979=0,0,O1946/B1979)</f>
        <v/>
      </c>
      <c r="Q1946" t="n">
        <v>0</v>
      </c>
      <c r="R1946" t="n">
        <v>0</v>
      </c>
      <c r="S1946">
        <f>IFERROR(O1946/N1946,0)</f>
        <v/>
      </c>
      <c r="T1946">
        <f>IF(C1946,(Skills!G3*H1946*N1946*B1973)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1946*(1-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1946*(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1946*(1-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1946*(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6">
        <f>INDEX(FactorTable!$B$2:$Y$301, MATCH(ROUND(MIN(300,MAX(1,U1945)),0), FactorTable!$A$2:$A$301,0), 22)</f>
        <v/>
      </c>
      <c r="V1946">
        <f>IF(C1946,(Skills!G3*H1946*N1946*B1973)*IF(Inputs!$B$38="pvp",1,(1+(Inputs!$B$21+Skills!Q3+(IF(ArtifactsInput!$M$33,CHOOSE(ArtifactsInput!$N$33+1,30,36,42,48,54,60),0))+(IF(AND(ArtifactsInput!$M$35,Inputs!$B$4&lt;&gt;"Chapter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7">
      <c r="A1947">
        <f>Skills!A4</f>
        <v/>
      </c>
      <c r="B1947">
        <f>Skills!B4</f>
        <v/>
      </c>
      <c r="C1947">
        <f>Inputs!$B$3&gt;=60</f>
        <v/>
      </c>
      <c r="D1947">
        <f>IF(Skills!C4=1,60+Inputs!$B$25+Inputs!$B$29,IF(Skills!C4=2,90+Inputs!$B$26+Inputs!$B$29,IF(Skills!C4=3,120+Inputs!$B$27+Inputs!$B$29,MAX(0,(Inputs!$B$3-100)*3)+Inputs!$B$28+Inputs!$B$29)))</f>
        <v/>
      </c>
      <c r="E1947">
        <f>INDEX(FactorTable!$B$2:$Y$301, MATCH(ROUND(MIN(300,MAX(1,D1947)),0), FactorTable!$A$2:$A$301,0), Skills!M4+1)</f>
        <v/>
      </c>
      <c r="F1947">
        <f>IF(Skills!N4=TRUE,(Skills!L4/10)*(E1947/1000),Skills!L4/10)+Skills!O4</f>
        <v/>
      </c>
      <c r="G1947">
        <f>Skills!G4*IF(Skills!H4&gt;0,Skills!I4/Skills!H4,1)</f>
        <v/>
      </c>
      <c r="H1947">
        <f>1-(1-Skills!J4/100)^Skills!K4</f>
        <v/>
      </c>
      <c r="I1947" t="inlineStr">
        <is>
          <t>1</t>
        </is>
      </c>
      <c r="J1947">
        <f>((Inputs!$B$6*(1+Inputs!$B$7/100))+(((Inputs!$B$12*(1+Inputs!$B$13/100))-(Inputs!$B$12*(1+Inputs!$B$13/100)))+0.25*(Inputs!$B$14-Inputs!$B$14))*(1+Inputs!$B$7/100))*(F1947/100)</f>
        <v/>
      </c>
      <c r="K1947">
        <f>J1947*(1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1955=TRUE,F1955,0)/100)*(1+(IF(Skills!A4="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1947)</f>
        <v/>
      </c>
      <c r="L1947">
        <f>K1947*(MIN(Inputs!$B$22+((C1963=TRUE)*(F1963-Calc!F20)),(Inputs!$B$23+0+(IF(ArtifactsInput!$M$15,CHOOSE(ArtifactsInput!$N$15+1,25,30,35,40,45,50)/100*(Inputs!$B$11-Inputs!$B$11),0))))/100+(Inputs!$B$23+0+(IF(ArtifactsInput!$M$15,CHOOSE(ArtifactsInput!$N$15+1,25,30,35,40,45,50)/100*(Inputs!$B$11-Inputs!$B$11),0)))/100)/2</f>
        <v/>
      </c>
      <c r="M1947">
        <f>L1947*(1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7">
        <f>L1947*(1-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1947*(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7">
        <f>(1-Summary!$B$11)*T1947+Summary!$B$11*V1947</f>
        <v/>
      </c>
      <c r="P1947">
        <f>IF(B1979=0,0,O1947/B1979)</f>
        <v/>
      </c>
      <c r="Q1947" t="n">
        <v>0</v>
      </c>
      <c r="R1947" t="n">
        <v>0</v>
      </c>
      <c r="S1947">
        <f>IFERROR(O1947/N1947,0)</f>
        <v/>
      </c>
      <c r="T1947">
        <f>IF(C1947,(Skills!G4*H1947*N1947*B1973)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1947*(1-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1947*(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1947*(1-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1947*(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47">
        <f>290*U1946/1000</f>
        <v/>
      </c>
      <c r="V1947">
        <f>IF(C1947,(Skills!G4*H1947*N1947*B1973)*IF(Inputs!$B$38="pvp",1,(1+(Inputs!$B$21+Skills!Q4+(IF(ArtifactsInput!$M$33,CHOOSE(ArtifactsInput!$N$33+1,30,36,42,48,54,60),0))+(IF(AND(ArtifactsInput!$M$35,Inputs!$B$4&lt;&gt;"Chapter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48">
      <c r="A1948">
        <f>Skills!A5</f>
        <v/>
      </c>
      <c r="B1948">
        <f>Skills!B5</f>
        <v/>
      </c>
      <c r="C1948">
        <f>Inputs!$B$3&gt;=60</f>
        <v/>
      </c>
      <c r="D1948">
        <f>IF(Skills!C5=1,60+Inputs!$B$25+Inputs!$B$29,IF(Skills!C5=2,90+Inputs!$B$26+Inputs!$B$29,IF(Skills!C5=3,120+Inputs!$B$27+Inputs!$B$29,MAX(0,(Inputs!$B$3-100)*3)+Inputs!$B$28+Inputs!$B$29)))</f>
        <v/>
      </c>
      <c r="E1948">
        <f>INDEX(FactorTable!$B$2:$Y$301, MATCH(ROUND(MIN(300,MAX(1,D1948)),0), FactorTable!$A$2:$A$301,0), Skills!M5+1)</f>
        <v/>
      </c>
      <c r="F1948">
        <f>IF(Skills!N5=TRUE,(Skills!L5/10)*(E1948/1000),Skills!L5/10)+Skills!O5</f>
        <v/>
      </c>
      <c r="G1948">
        <f>Skills!G5*IF(Skills!H5&gt;0,Skills!I5/Skills!H5,1)</f>
        <v/>
      </c>
      <c r="H1948">
        <f>1-(1-Skills!J5/100)^Skills!K5</f>
        <v/>
      </c>
      <c r="I1948" t="inlineStr">
        <is>
          <t>1</t>
        </is>
      </c>
      <c r="J1948" t="inlineStr"/>
      <c r="K1948" t="inlineStr"/>
      <c r="L1948" t="inlineStr"/>
      <c r="M1948" t="inlineStr"/>
      <c r="N1948" t="inlineStr"/>
      <c r="O1948">
        <f>(1-Summary!$B$11)*T1948+Summary!$B$11*V1948</f>
        <v/>
      </c>
      <c r="P1948">
        <f>IF(B1979=0,0,O1948/B1979)</f>
        <v/>
      </c>
      <c r="Q1948" t="n">
        <v>0</v>
      </c>
      <c r="R1948" t="n">
        <v>0</v>
      </c>
      <c r="S1948">
        <f>IFERROR(O1948/N1948,0)</f>
        <v/>
      </c>
      <c r="T1948" t="n">
        <v>0</v>
      </c>
      <c r="V1948" t="n">
        <v>0</v>
      </c>
    </row>
    <row r="1949">
      <c r="A1949">
        <f>Skills!A6</f>
        <v/>
      </c>
      <c r="B1949">
        <f>Skills!B6</f>
        <v/>
      </c>
      <c r="C1949">
        <f>Inputs!$B$3&gt;=63</f>
        <v/>
      </c>
      <c r="D1949">
        <f>IF(Skills!C6=1,60+Inputs!$B$25+Inputs!$B$29,IF(Skills!C6=2,90+Inputs!$B$26+Inputs!$B$29,IF(Skills!C6=3,120+Inputs!$B$27+Inputs!$B$29,MAX(0,(Inputs!$B$3-100)*3)+Inputs!$B$28+Inputs!$B$29)))</f>
        <v/>
      </c>
      <c r="E1949">
        <f>INDEX(FactorTable!$B$2:$Y$301, MATCH(ROUND(MIN(300,MAX(1,D1949)),0), FactorTable!$A$2:$A$301,0), Skills!M6+1)</f>
        <v/>
      </c>
      <c r="F1949">
        <f>IF(Skills!N6=TRUE,(Skills!L6/10)*(E1949/1000),Skills!L6/10)+Skills!O6</f>
        <v/>
      </c>
      <c r="G1949">
        <f>Skills!G6*IF(Skills!H6&gt;0,Skills!I6/Skills!H6,1)</f>
        <v/>
      </c>
      <c r="H1949">
        <f>1-(1-Skills!J6/100)^Skills!K6</f>
        <v/>
      </c>
      <c r="I1949" t="inlineStr">
        <is>
          <t>1</t>
        </is>
      </c>
      <c r="J1949">
        <f>((Inputs!$B$6*(1+Inputs!$B$7/100))+(((Inputs!$B$12*(1+Inputs!$B$13/100))-(Inputs!$B$12*(1+Inputs!$B$13/100)))+0.25*(Inputs!$B$14-Inputs!$B$14))*(1+Inputs!$B$7/100))*(F1949/100)</f>
        <v/>
      </c>
      <c r="K1949">
        <f>J1949*(1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1955=TRUE,F1955,0)/100)*(1+(IF(Skills!A6="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1949)</f>
        <v/>
      </c>
      <c r="L1949">
        <f>K1949*(MIN(Inputs!$B$22+((C1963=TRUE)*(F1963-Calc!F20)),(Inputs!$B$23+0+(IF(ArtifactsInput!$M$15,CHOOSE(ArtifactsInput!$N$15+1,25,30,35,40,45,50)/100*(Inputs!$B$11-Inputs!$B$11),0))))/100+(Inputs!$B$23+0+(IF(ArtifactsInput!$M$15,CHOOSE(ArtifactsInput!$N$15+1,25,30,35,40,45,50)/100*(Inputs!$B$11-Inputs!$B$11),0)))/100)/2</f>
        <v/>
      </c>
      <c r="M1949">
        <f>L1949*(1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49">
        <f>L1949*(1-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1949*(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49">
        <f>(1-Summary!$B$11)*T1949+Summary!$B$11*V1949</f>
        <v/>
      </c>
      <c r="P1949">
        <f>IF(B1979=0,0,O1949/B1979)</f>
        <v/>
      </c>
      <c r="Q1949">
        <f>IFERROR(1/(IF(Inputs!$B$38="pvp",15,MAX(0.1,Skills!D6-IF(Skills!E6=TRUE,Inputs!$B$32,0)))*(1-IF(AND(ArtifactsInput!$M$27,Inputs!$B$4="Chapter Hunt"),CHOOSE(ArtifactsInput!$N$27+1,20,24,28,32,36,40),0)/100)),0)</f>
        <v/>
      </c>
      <c r="R1949">
        <f>IF(AND(Inputs!$B$38&lt;&gt;"pvp",Inputs!$B$43&gt;0),IF(MAX(0,Inputs!$B$43-B1976)&lt;=0,0,(INT(MAX(0,Inputs!$B$43-B1976)/(IF(Inputs!$B$38="pvp",15,MAX(0.1,Skills!D6-IF(Skills!E6=TRUE,Inputs!$B$32,0)))*(1-IF(AND(ArtifactsInput!$M$27,Inputs!$B$4="Chapter Hunt"),CHOOSE(ArtifactsInput!$N$27+1,20,24,28,32,36,40),0)/100)))+1)),0)</f>
        <v/>
      </c>
      <c r="S1949">
        <f>IFERROR(O1949/N1949,0)</f>
        <v/>
      </c>
      <c r="T1949">
        <f>IF(C1949,(H1949*N1949*IF(AND(Inputs!$B$38&lt;&gt;"pvp",Inputs!$B$43&gt;0),((Skills!G6*((R1949-1)*IF(Skills!H6&gt;0,Skills!I6/Skills!H6,1)+IF(Skills!H6&gt;0,MIN(Skills!I6,MAX(0,MAX(0,Inputs!$B$43-B1976)-((R1949-1)*(IF(Inputs!$B$38="pvp",15,MAX(0.1,Skills!D6-IF(Skills!E6=TRUE,Inputs!$B$32,0)))*(1-IF(AND(ArtifactsInput!$M$27,Inputs!$B$4="Chapter Hunt"),CHOOSE(ArtifactsInput!$N$27+1,20,24,28,32,36,40),0)/100)))))/Skills!H6,1)))/Inputs!$B$43),G1949*Q1949)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1949*(1-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1949*(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1949*(1-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1949*(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49">
        <f>IF(C1949,(H1949*N1949*IF(AND(Inputs!$B$38&lt;&gt;"pvp",Inputs!$B$43&gt;0),((Skills!G6*((R1949-1)*IF(Skills!H6&gt;0,Skills!I6/Skills!H6,1)+IF(Skills!H6&gt;0,MIN(Skills!I6,MAX(0,MAX(0,Inputs!$B$43-B1976)-((R1949-1)*(IF(Inputs!$B$38="pvp",15,MAX(0.1,Skills!D6-IF(Skills!E6=TRUE,Inputs!$B$32,0)))*(1-IF(AND(ArtifactsInput!$M$27,Inputs!$B$4="Chapter Hunt"),CHOOSE(ArtifactsInput!$N$27+1,20,24,28,32,36,40),0)/100)))))/Skills!H6,1)))/Inputs!$B$43),G1949*Q1949))*IF(Inputs!$B$38="pvp",1,(1+(Inputs!$B$21+Skills!Q6+(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0">
      <c r="A1950">
        <f>Skills!A7</f>
        <v/>
      </c>
      <c r="B1950">
        <f>Skills!B7</f>
        <v/>
      </c>
      <c r="C1950">
        <f>Inputs!$B$3&gt;=100</f>
        <v/>
      </c>
      <c r="D1950">
        <f>IF(Skills!C7=1,60+Inputs!$B$25+Inputs!$B$29,IF(Skills!C7=2,90+Inputs!$B$26+Inputs!$B$29,IF(Skills!C7=3,120+Inputs!$B$27+Inputs!$B$29,MAX(0,(Inputs!$B$3-100)*3)+Inputs!$B$28+Inputs!$B$29)))</f>
        <v/>
      </c>
      <c r="E1950">
        <f>INDEX(FactorTable!$B$2:$Y$301, MATCH(ROUND(MIN(300,MAX(1,D1950)),0), FactorTable!$A$2:$A$301,0), Skills!M7+1)</f>
        <v/>
      </c>
      <c r="F1950">
        <f>IF(Skills!N7=TRUE,(Skills!L7/10)*(E1950/1000),Skills!L7/10)+Skills!O7</f>
        <v/>
      </c>
      <c r="G1950">
        <f>Skills!G7*IF(Skills!H7&gt;0,Skills!I7/Skills!H7,1)</f>
        <v/>
      </c>
      <c r="H1950">
        <f>1-(1-Skills!J7/100)^Skills!K7</f>
        <v/>
      </c>
      <c r="I1950" t="inlineStr">
        <is>
          <t>1</t>
        </is>
      </c>
      <c r="J1950">
        <f>((Inputs!$B$6*(1+Inputs!$B$7/100))+(((Inputs!$B$12*(1+Inputs!$B$13/100))-(Inputs!$B$12*(1+Inputs!$B$13/100)))+0.25*(Inputs!$B$14-Inputs!$B$14))*(1+Inputs!$B$7/100))*(F1950/100)</f>
        <v/>
      </c>
      <c r="K1950">
        <f>J1950*(1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1950)</f>
        <v/>
      </c>
      <c r="L1950">
        <f>K1950*(MIN(Inputs!$B$22+((C1963=TRUE)*(F1963-Calc!F20)),(Inputs!$B$23+0+(IF(ArtifactsInput!$M$15,CHOOSE(ArtifactsInput!$N$15+1,25,30,35,40,45,50)/100*(Inputs!$B$11-Inputs!$B$11),0))))/100+(Inputs!$B$23+0+(IF(ArtifactsInput!$M$15,CHOOSE(ArtifactsInput!$N$15+1,25,30,35,40,45,50)/100*(Inputs!$B$11-Inputs!$B$11),0)))/100)/2</f>
        <v/>
      </c>
      <c r="M1950">
        <f>L1950*(1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0">
        <f>L1950*(1-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1950*(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0">
        <f>(1-Summary!$B$11)*T1950+Summary!$B$11*V1950</f>
        <v/>
      </c>
      <c r="P1950">
        <f>IF(B1979=0,0,O1950/B1979)</f>
        <v/>
      </c>
      <c r="Q1950">
        <f>IFERROR(1/(IF(Inputs!$B$38="pvp",15,MAX(0.1,Skills!D7-IF(Skills!E7=TRUE,Inputs!$B$32,0)))*(1-IF(AND(ArtifactsInput!$M$27,Inputs!$B$4="Chapter Hunt"),CHOOSE(ArtifactsInput!$N$27+1,20,24,28,32,36,40),0)/100)),0)</f>
        <v/>
      </c>
      <c r="R1950">
        <f>IF(AND(Inputs!$B$38&lt;&gt;"pvp",Inputs!$B$43&gt;0),IF(MAX(0,Inputs!$B$43-B1976)&lt;=0,0,(INT(MAX(0,Inputs!$B$43-B1976)/(IF(Inputs!$B$38="pvp",15,MAX(0.1,Skills!D7-IF(Skills!E7=TRUE,Inputs!$B$32,0)))*(1-IF(AND(ArtifactsInput!$M$27,Inputs!$B$4="Chapter Hunt"),CHOOSE(ArtifactsInput!$N$27+1,20,24,28,32,36,40),0)/100)))+1)),0)</f>
        <v/>
      </c>
      <c r="S1950">
        <f>IFERROR(O1950/N1950,0)</f>
        <v/>
      </c>
      <c r="T1950">
        <f>IF(C1950,(H1950*N1950*IF(AND(Inputs!$B$38&lt;&gt;"pvp",Inputs!$B$43&gt;0),((Skills!G7*((R1950-1)*IF(Skills!H7&gt;0,Skills!I7/Skills!H7,1)+IF(Skills!H7&gt;0,MIN(Skills!I7,MAX(0,MAX(0,Inputs!$B$43-B1976)-((R1950-1)*(IF(Inputs!$B$38="pvp",15,MAX(0.1,Skills!D7-IF(Skills!E7=TRUE,Inputs!$B$32,0)))*(1-IF(AND(ArtifactsInput!$M$27,Inputs!$B$4="Chapter Hunt"),CHOOSE(ArtifactsInput!$N$27+1,20,24,28,32,36,40),0)/100)))))/Skills!H7,1)))/Inputs!$B$43),G1950*Q1950)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1950*(1-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1950*(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1950*(1-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1950*(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0">
        <f>IF(C1950,(H1950*N1950*IF(AND(Inputs!$B$38&lt;&gt;"pvp",Inputs!$B$43&gt;0),((Skills!G7*((R1950-1)*IF(Skills!H7&gt;0,Skills!I7/Skills!H7,1)+IF(Skills!H7&gt;0,MIN(Skills!I7,MAX(0,MAX(0,Inputs!$B$43-B1976)-((R1950-1)*(IF(Inputs!$B$38="pvp",15,MAX(0.1,Skills!D7-IF(Skills!E7=TRUE,Inputs!$B$32,0)))*(1-IF(AND(ArtifactsInput!$M$27,Inputs!$B$4="Chapter Hunt"),CHOOSE(ArtifactsInput!$N$27+1,20,24,28,32,36,40),0)/100)))))/Skills!H7,1)))/Inputs!$B$43),G1950*Q1950))*IF(Inputs!$B$38="pvp",1,(1+(Inputs!$B$21+Skills!Q7+(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1">
      <c r="A1951">
        <f>Skills!A8</f>
        <v/>
      </c>
      <c r="B1951">
        <f>Skills!B8</f>
        <v/>
      </c>
      <c r="C1951">
        <f>Inputs!$B$3&gt;=110</f>
        <v/>
      </c>
      <c r="D1951">
        <f>IF(Skills!C8=1,60+Inputs!$B$25+Inputs!$B$29,IF(Skills!C8=2,90+Inputs!$B$26+Inputs!$B$29,IF(Skills!C8=3,120+Inputs!$B$27+Inputs!$B$29,MAX(0,(Inputs!$B$3-100)*3)+Inputs!$B$28+Inputs!$B$29)))</f>
        <v/>
      </c>
      <c r="E1951">
        <f>INDEX(FactorTable!$B$2:$Y$301, MATCH(ROUND(MIN(300,MAX(1,D1951)),0), FactorTable!$A$2:$A$301,0), Skills!M8+1)</f>
        <v/>
      </c>
      <c r="F1951">
        <f>IF(Skills!N8=TRUE,(Skills!L8/10)*(E1951/1000),Skills!L8/10)+Skills!O8</f>
        <v/>
      </c>
      <c r="G1951">
        <f>Skills!G8*IF(Skills!H8&gt;0,Skills!I8/Skills!H8,1)</f>
        <v/>
      </c>
      <c r="H1951">
        <f>1-(1-Skills!J8/100)^Skills!K8</f>
        <v/>
      </c>
      <c r="I1951" t="inlineStr">
        <is>
          <t>1</t>
        </is>
      </c>
      <c r="J1951">
        <f>((Inputs!$B$6*(1+Inputs!$B$7/100))+(((Inputs!$B$12*(1+Inputs!$B$13/100))-(Inputs!$B$12*(1+Inputs!$B$13/100)))+0.25*(Inputs!$B$14-Inputs!$B$14))*(1+Inputs!$B$7/100))*(F1951/100)</f>
        <v/>
      </c>
      <c r="K1951">
        <f>J1951*(1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1951)</f>
        <v/>
      </c>
      <c r="L1951">
        <f>K1951*(MIN(Inputs!$B$22+((C1963=TRUE)*(F1963-Calc!F20)),(Inputs!$B$23+0+(IF(ArtifactsInput!$M$15,CHOOSE(ArtifactsInput!$N$15+1,25,30,35,40,45,50)/100*(Inputs!$B$11-Inputs!$B$11),0))))/100+(Inputs!$B$23+0+(IF(ArtifactsInput!$M$15,CHOOSE(ArtifactsInput!$N$15+1,25,30,35,40,45,50)/100*(Inputs!$B$11-Inputs!$B$11),0)))/100)/2</f>
        <v/>
      </c>
      <c r="M1951">
        <f>L1951*(1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1">
        <f>L1951*(1-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1">
        <f>(1-Summary!$B$11)*T1951+Summary!$B$11*V1951</f>
        <v/>
      </c>
      <c r="P1951">
        <f>IF(B1979=0,0,O1951/B1979)</f>
        <v/>
      </c>
      <c r="Q1951">
        <f>IFERROR(1/(IF(Inputs!$B$38="pvp",15,MAX(0.1,Skills!D8-IF(Skills!E8=TRUE,Inputs!$B$32,0)))*(1-IF(AND(ArtifactsInput!$M$27,Inputs!$B$4="Chapter Hunt"),CHOOSE(ArtifactsInput!$N$27+1,20,24,28,32,36,40),0)/100)),0)</f>
        <v/>
      </c>
      <c r="R1951">
        <f>IF(AND(Inputs!$B$38&lt;&gt;"pvp",Inputs!$B$43&gt;0),IF(MAX(0,Inputs!$B$43-B1976)&lt;=0,0,(INT(MAX(0,Inputs!$B$43-B1976)/(IF(Inputs!$B$38="pvp",15,MAX(0.1,Skills!D8-IF(Skills!E8=TRUE,Inputs!$B$32,0)))*(1-IF(AND(ArtifactsInput!$M$27,Inputs!$B$4="Chapter Hunt"),CHOOSE(ArtifactsInput!$N$27+1,20,24,28,32,36,40),0)/100)))+1)),0)</f>
        <v/>
      </c>
      <c r="S1951">
        <f>IFERROR(O1951/N1951,0)</f>
        <v/>
      </c>
      <c r="T1951">
        <f>IF(C1951,(H1951*N1951*IF(AND(Inputs!$B$38&lt;&gt;"pvp",Inputs!$B$43&gt;0),((Skills!G8*((R1951-1)*IF(Skills!H8&gt;0,Skills!I8/Skills!H8,1)+IF(Skills!H8&gt;0,MIN(Skills!I8,MAX(0,MAX(0,Inputs!$B$43-B1976)-((R1951-1)*(IF(Inputs!$B$38="pvp",15,MAX(0.1,Skills!D8-IF(Skills!E8=TRUE,Inputs!$B$32,0)))*(1-IF(AND(ArtifactsInput!$M$27,Inputs!$B$4="Chapter Hunt"),CHOOSE(ArtifactsInput!$N$27+1,20,24,28,32,36,40),0)/100)))))/Skills!H8,1)))/Inputs!$B$43),G1951*Q1951)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1951*(1-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1951*(1-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1">
        <f>IF(C1951,(H1951*N1951*IF(AND(Inputs!$B$38&lt;&gt;"pvp",Inputs!$B$43&gt;0),((Skills!G8*((R1951-1)*IF(Skills!H8&gt;0,Skills!I8/Skills!H8,1)+IF(Skills!H8&gt;0,MIN(Skills!I8,MAX(0,MAX(0,Inputs!$B$43-B1976)-((R1951-1)*(IF(Inputs!$B$38="pvp",15,MAX(0.1,Skills!D8-IF(Skills!E8=TRUE,Inputs!$B$32,0)))*(1-IF(AND(ArtifactsInput!$M$27,Inputs!$B$4="Chapter Hunt"),CHOOSE(ArtifactsInput!$N$27+1,20,24,28,32,36,40),0)/100)))))/Skills!H8,1)))/Inputs!$B$43),G1951*Q1951))*IF(Inputs!$B$38="pvp",1,(1+(Inputs!$B$21+Skills!Q8+(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2">
      <c r="A1952">
        <f>Skills!A9</f>
        <v/>
      </c>
      <c r="B1952">
        <f>Skills!B9</f>
        <v/>
      </c>
      <c r="C1952">
        <f>Inputs!$B$3&gt;=110</f>
        <v/>
      </c>
      <c r="D1952">
        <f>IF(Skills!C9=1,60+Inputs!$B$25+Inputs!$B$29,IF(Skills!C9=2,90+Inputs!$B$26+Inputs!$B$29,IF(Skills!C9=3,120+Inputs!$B$27+Inputs!$B$29,MAX(0,(Inputs!$B$3-100)*3)+Inputs!$B$28+Inputs!$B$29)))</f>
        <v/>
      </c>
      <c r="E1952">
        <f>INDEX(FactorTable!$B$2:$Y$301, MATCH(ROUND(MIN(300,MAX(1,D1952)),0), FactorTable!$A$2:$A$301,0), Skills!M9+1)</f>
        <v/>
      </c>
      <c r="F1952">
        <f>IF(Skills!N9=TRUE,(Skills!L9/10)*(E1952/1000),Skills!L9/10)+Skills!O9</f>
        <v/>
      </c>
      <c r="G1952">
        <f>Skills!G9*IF(Skills!H9&gt;0,Skills!I9/Skills!H9,1)</f>
        <v/>
      </c>
      <c r="H1952">
        <f>1-(1-Skills!J9/100)^Skills!K9</f>
        <v/>
      </c>
      <c r="I1952" t="inlineStr">
        <is>
          <t>1</t>
        </is>
      </c>
      <c r="J1952">
        <f>((Inputs!$B$6*(1+Inputs!$B$7/100))+(((Inputs!$B$12*(1+Inputs!$B$13/100))-(Inputs!$B$12*(1+Inputs!$B$13/100)))+0.25*(Inputs!$B$14-Inputs!$B$14))*(1+Inputs!$B$7/100))*(F1952/100)</f>
        <v/>
      </c>
      <c r="K1952">
        <f>J1952*(1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1952)</f>
        <v/>
      </c>
      <c r="L1952">
        <f>K1952*(MIN(Inputs!$B$22+((C1963=TRUE)*(F1963-Calc!F20)),(Inputs!$B$23+0+(IF(ArtifactsInput!$M$15,CHOOSE(ArtifactsInput!$N$15+1,25,30,35,40,45,50)/100*(Inputs!$B$11-Inputs!$B$11),0))))/100+(Inputs!$B$23+0+(IF(ArtifactsInput!$M$15,CHOOSE(ArtifactsInput!$N$15+1,25,30,35,40,45,50)/100*(Inputs!$B$11-Inputs!$B$11),0)))/100)/2</f>
        <v/>
      </c>
      <c r="M1952">
        <f>L1952*(1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2">
        <f>L1952*(1-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1952*(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2">
        <f>(1-Summary!$B$11)*T1952+Summary!$B$11*V1952</f>
        <v/>
      </c>
      <c r="P1952">
        <f>IF(B1979=0,0,O1952/B1979)</f>
        <v/>
      </c>
      <c r="Q1952">
        <f>IFERROR(1/(IF(Inputs!$B$38="pvp",15,MAX(0.1,Skills!D9-IF(Skills!E9=TRUE,Inputs!$B$32,0)))*(1-IF(AND(ArtifactsInput!$M$27,Inputs!$B$4="Chapter Hunt"),CHOOSE(ArtifactsInput!$N$27+1,20,24,28,32,36,40),0)/100)),0)</f>
        <v/>
      </c>
      <c r="R1952">
        <f>IF(AND(Inputs!$B$38&lt;&gt;"pvp",Inputs!$B$43&gt;0),IF(MAX(0,Inputs!$B$43-B1976)&lt;=0,0,(INT(MAX(0,Inputs!$B$43-B1976)/(IF(Inputs!$B$38="pvp",15,MAX(0.1,Skills!D9-IF(Skills!E9=TRUE,Inputs!$B$32,0)))*(1-IF(AND(ArtifactsInput!$M$27,Inputs!$B$4="Chapter Hunt"),CHOOSE(ArtifactsInput!$N$27+1,20,24,28,32,36,40),0)/100)))+1)),0)</f>
        <v/>
      </c>
      <c r="S1952">
        <f>IFERROR(O1952/N1952,0)</f>
        <v/>
      </c>
      <c r="T1952">
        <f>IF(C1952,(H1952*N1952*IF(AND(Inputs!$B$38&lt;&gt;"pvp",Inputs!$B$43&gt;0),((Skills!G9*((R1952-1)*IF(Skills!H9&gt;0,Skills!I9/Skills!H9,1)+IF(Skills!H9&gt;0,MIN(Skills!I9,MAX(0,MAX(0,Inputs!$B$43-B1976)-((R1952-1)*(IF(Inputs!$B$38="pvp",15,MAX(0.1,Skills!D9-IF(Skills!E9=TRUE,Inputs!$B$32,0)))*(1-IF(AND(ArtifactsInput!$M$27,Inputs!$B$4="Chapter Hunt"),CHOOSE(ArtifactsInput!$N$27+1,20,24,28,32,36,40),0)/100)))))/Skills!H9,1)))/Inputs!$B$43),G1952*Q1952)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1952*(1-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1952*(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1952*(1-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1952*(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2">
        <f>IF(C1952,(H1952*N1952*IF(AND(Inputs!$B$38&lt;&gt;"pvp",Inputs!$B$43&gt;0),((Skills!G9*((R1952-1)*IF(Skills!H9&gt;0,Skills!I9/Skills!H9,1)+IF(Skills!H9&gt;0,MIN(Skills!I9,MAX(0,MAX(0,Inputs!$B$43-B1976)-((R1952-1)*(IF(Inputs!$B$38="pvp",15,MAX(0.1,Skills!D9-IF(Skills!E9=TRUE,Inputs!$B$32,0)))*(1-IF(AND(ArtifactsInput!$M$27,Inputs!$B$4="Chapter Hunt"),CHOOSE(ArtifactsInput!$N$27+1,20,24,28,32,36,40),0)/100)))))/Skills!H9,1)))/Inputs!$B$43),G1952*Q1952))*IF(Inputs!$B$38="pvp",1,(1+(Inputs!$B$21+Skills!Q9+(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3">
      <c r="A1953">
        <f>Skills!A10</f>
        <v/>
      </c>
      <c r="B1953">
        <f>Skills!B10</f>
        <v/>
      </c>
      <c r="C1953">
        <f>Inputs!$B$3&gt;=103</f>
        <v/>
      </c>
      <c r="D1953">
        <f>IF(Skills!C10=1,60+Inputs!$B$25+Inputs!$B$29,IF(Skills!C10=2,90+Inputs!$B$26+Inputs!$B$29,IF(Skills!C10=3,120+Inputs!$B$27+Inputs!$B$29,MAX(0,(Inputs!$B$3-100)*3)+Inputs!$B$28+Inputs!$B$29)))</f>
        <v/>
      </c>
      <c r="E1953">
        <f>INDEX(FactorTable!$B$2:$Y$301, MATCH(ROUND(MIN(300,MAX(1,D1953)),0), FactorTable!$A$2:$A$301,0), Skills!M10+1)</f>
        <v/>
      </c>
      <c r="F1953">
        <f>IF(Skills!N10=TRUE,(Skills!L10/10)*(E1953/1000),Skills!L10/10)+Skills!O10</f>
        <v/>
      </c>
      <c r="G1953">
        <f>Skills!G10*IF(Skills!H10&gt;0,Skills!I10/Skills!H10,1)</f>
        <v/>
      </c>
      <c r="H1953">
        <f>1-(1-Skills!J10/100)^Skills!K10</f>
        <v/>
      </c>
      <c r="I1953" t="inlineStr">
        <is>
          <t>1</t>
        </is>
      </c>
      <c r="J1953">
        <f>((Inputs!$B$6*(1+Inputs!$B$7/100))+(((Inputs!$B$12*(1+Inputs!$B$13/100))-(Inputs!$B$12*(1+Inputs!$B$13/100)))+0.25*(Inputs!$B$14-Inputs!$B$14))*(1+Inputs!$B$7/100))*(F1953/100)</f>
        <v/>
      </c>
      <c r="K1953">
        <f>J1953*(1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1953)</f>
        <v/>
      </c>
      <c r="L1953">
        <f>K1953*(MIN(Inputs!$B$22+((C1963=TRUE)*(F1963-Calc!F20)),(Inputs!$B$23+0+(IF(ArtifactsInput!$M$15,CHOOSE(ArtifactsInput!$N$15+1,25,30,35,40,45,50)/100*(Inputs!$B$11-Inputs!$B$11),0))))/100+(Inputs!$B$23+0+(IF(ArtifactsInput!$M$15,CHOOSE(ArtifactsInput!$N$15+1,25,30,35,40,45,50)/100*(Inputs!$B$11-Inputs!$B$11),0)))/100)/2</f>
        <v/>
      </c>
      <c r="M1953">
        <f>L1953*(1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3">
        <f>L1953*(1-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1953*(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3">
        <f>(1-Summary!$B$11)*T1953+Summary!$B$11*V1953</f>
        <v/>
      </c>
      <c r="P1953">
        <f>IF(B1979=0,0,O1953/B1979)</f>
        <v/>
      </c>
      <c r="Q1953">
        <f>IFERROR(1/(IF(Inputs!$B$38="pvp",15,MAX(0.1,Skills!D10-IF(Skills!E10=TRUE,Inputs!$B$32,0)))*(1-IF(AND(ArtifactsInput!$M$27,Inputs!$B$4="Chapter Hunt"),CHOOSE(ArtifactsInput!$N$27+1,20,24,28,32,36,40),0)/100)),0)</f>
        <v/>
      </c>
      <c r="R1953">
        <f>IF(AND(Inputs!$B$38&lt;&gt;"pvp",Inputs!$B$43&gt;0),IF(MAX(0,Inputs!$B$43-B1976)&lt;=0,0,(INT(MAX(0,Inputs!$B$43-B1976)/(IF(Inputs!$B$38="pvp",15,MAX(0.1,Skills!D10-IF(Skills!E10=TRUE,Inputs!$B$32,0)))*(1-IF(AND(ArtifactsInput!$M$27,Inputs!$B$4="Chapter Hunt"),CHOOSE(ArtifactsInput!$N$27+1,20,24,28,32,36,40),0)/100)))+1)),0)</f>
        <v/>
      </c>
      <c r="S1953">
        <f>IFERROR(O1953/N1953,0)</f>
        <v/>
      </c>
      <c r="T1953">
        <f>IF(C1953,(H1953*N1953*IF(AND(Inputs!$B$38&lt;&gt;"pvp",Inputs!$B$43&gt;0),((Skills!G10*((R1953-1)*IF(Skills!H10&gt;0,Skills!I10/Skills!H10,1)+IF(Skills!H10&gt;0,MIN(Skills!I10,MAX(0,MAX(0,Inputs!$B$43-B1976)-((R1953-1)*(IF(Inputs!$B$38="pvp",15,MAX(0.1,Skills!D10-IF(Skills!E10=TRUE,Inputs!$B$32,0)))*(1-IF(AND(ArtifactsInput!$M$27,Inputs!$B$4="Chapter Hunt"),CHOOSE(ArtifactsInput!$N$27+1,20,24,28,32,36,40),0)/100)))))/Skills!H10,1)))/Inputs!$B$43),G1953*Q1953)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1953*(1-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1953*(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1953*(1-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1953*(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3">
        <f>IF(C1953,(H1953*N1953*IF(AND(Inputs!$B$38&lt;&gt;"pvp",Inputs!$B$43&gt;0),((Skills!G10*((R1953-1)*IF(Skills!H10&gt;0,Skills!I10/Skills!H10,1)+IF(Skills!H10&gt;0,MIN(Skills!I10,MAX(0,MAX(0,Inputs!$B$43-B1976)-((R1953-1)*(IF(Inputs!$B$38="pvp",15,MAX(0.1,Skills!D10-IF(Skills!E10=TRUE,Inputs!$B$32,0)))*(1-IF(AND(ArtifactsInput!$M$27,Inputs!$B$4="Chapter Hunt"),CHOOSE(ArtifactsInput!$N$27+1,20,24,28,32,36,40),0)/100)))))/Skills!H10,1)))/Inputs!$B$43),G1953*Q1953))*IF(Inputs!$B$38="pvp",1,(1+(Inputs!$B$21+Skills!Q10+(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4">
      <c r="A1954">
        <f>Skills!A11</f>
        <v/>
      </c>
      <c r="B1954">
        <f>Skills!B11</f>
        <v/>
      </c>
      <c r="C1954">
        <f>Inputs!$B$3&gt;=113</f>
        <v/>
      </c>
      <c r="D1954">
        <f>IF(Skills!C11=1,60+Inputs!$B$25+Inputs!$B$29,IF(Skills!C11=2,90+Inputs!$B$26+Inputs!$B$29,IF(Skills!C11=3,120+Inputs!$B$27+Inputs!$B$29,MAX(0,(Inputs!$B$3-100)*3)+Inputs!$B$28+Inputs!$B$29)))</f>
        <v/>
      </c>
      <c r="E1954">
        <f>INDEX(FactorTable!$B$2:$Y$301, MATCH(ROUND(MIN(300,MAX(1,D1954)),0), FactorTable!$A$2:$A$301,0), Skills!M11+1)</f>
        <v/>
      </c>
      <c r="F1954">
        <f>IF(Skills!N11=TRUE,(Skills!L11/10)*(E1954/1000),Skills!L11/10)+Skills!O11</f>
        <v/>
      </c>
      <c r="G1954">
        <f>Skills!G11*IF(Skills!H11&gt;0,Skills!I11/Skills!H11,1)</f>
        <v/>
      </c>
      <c r="H1954">
        <f>1-(1-Skills!J11/100)^Skills!K11</f>
        <v/>
      </c>
      <c r="I1954" t="inlineStr">
        <is>
          <t>1</t>
        </is>
      </c>
      <c r="J1954">
        <f>((Inputs!$B$6*(1+Inputs!$B$7/100))+(((Inputs!$B$12*(1+Inputs!$B$13/100))-(Inputs!$B$12*(1+Inputs!$B$13/100)))+0.25*(Inputs!$B$14-Inputs!$B$14))*(1+Inputs!$B$7/100))*(F1954/100)</f>
        <v/>
      </c>
      <c r="K1954">
        <f>J1954*(1+((Inputs!$B$12*(1+Inputs!$B$13/100))*0.01+Inputs!$B$14*0.0025)/100)*(1+Inputs!$B$15/100)*(1+Inputs!$B$16/100)*(5000/(6000+Inputs!$B$42*(1-(100*(1-(1-(Inputs!$B$19+0)/100)*(1-CHOOSE(ArtifactsInput!$N$40+1,5,6,7,8,9,10)/100)^(ArtifactsInput!$M$40-ArtifactsInput!$M$40)))/100)))*(1+(Inputs!$B$24+((C1965=TRUE)*(F1965-Calc!F22))+B1975)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1964=TRUE)*(F1964-Calc!F21))+(((IF(AND(ArtifactsInput!$M$42,((Inputs!$B$9+((C1959=TRUE)*(F1959-Calc!F16))+B1969+(ArtifactsInput!$M$24-ArtifactsInput!$M$24)*CHOOSE(ArtifactsInput!$N$24+1,10,12,14,16,18,20)+IF(ArtifactsInput!$M$10,CHOOSE(ArtifactsInput!$N$10+1,15,18,21,24,27,30)*(IF(Inputs!$B$38="pvp",MIN(15,15)/15,IF(AND(Inputs!$B$38&lt;&gt;"pvp",Inputs!$B$43&gt;0),MIN(15,Inputs!$B$43)/(Inputs!$B$43),0))),0)))&gt;=100),MIN(100,((Inputs!$B$9+((C1959=TRUE)*(F1959-Calc!F16))+B1969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1959=TRUE)*(F1959-Calc!F16))+B1969+(ArtifactsInput!$M$24-ArtifactsInput!$M$24)*CHOOSE(ArtifactsInput!$N$24+1,10,12,14,16,18,20)+IF(ArtifactsInput!$M$10,CHOOSE(ArtifactsInput!$N$10+1,15,18,21,24,27,30)*(IF(Inputs!$B$38="pvp",MIN(15,15)/15,IF(AND(Inputs!$B$38&lt;&gt;"pvp",Inputs!$B$43&gt;0),MIN(15,Inputs!$B$43)/(Inputs!$B$43),0))),0)))&gt;=100),CHOOSE(ArtifactsInput!$N$42+1,40,48,56,64,72,80),0))))/100)*((1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1954)</f>
        <v/>
      </c>
      <c r="L1954">
        <f>K1954*(MIN(Inputs!$B$22+((C1963=TRUE)*(F1963-Calc!F20)),(Inputs!$B$23+0+(IF(ArtifactsInput!$M$15,CHOOSE(ArtifactsInput!$N$15+1,25,30,35,40,45,50)/100*(Inputs!$B$11-Inputs!$B$11),0))))/100+(Inputs!$B$23+0+(IF(ArtifactsInput!$M$15,CHOOSE(ArtifactsInput!$N$15+1,25,30,35,40,45,50)/100*(Inputs!$B$11-Inputs!$B$11),0)))/100)/2</f>
        <v/>
      </c>
      <c r="M1954">
        <f>L1954*(1+(Inputs!$B$10+0+B1974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54">
        <f>L1954*(1-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1954*(MIN((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54">
        <f>(1-Summary!$B$11)*T1954+Summary!$B$11*V1954</f>
        <v/>
      </c>
      <c r="P1954">
        <f>IF(B1979=0,0,O1954/B1979)</f>
        <v/>
      </c>
      <c r="Q1954">
        <f>IFERROR(1/(IF(Inputs!$B$38="pvp",15,MAX(0.1,Skills!D11-IF(Skills!E11=TRUE,Inputs!$B$32,0)))*(1-IF(AND(ArtifactsInput!$M$27,Inputs!$B$4="Chapter Hunt"),CHOOSE(ArtifactsInput!$N$27+1,20,24,28,32,36,40),0)/100)),0)</f>
        <v/>
      </c>
      <c r="R1954">
        <f>IF(AND(Inputs!$B$38&lt;&gt;"pvp",Inputs!$B$43&gt;0),IF(MAX(0,Inputs!$B$43-B1976)&lt;=0,0,(INT(MAX(0,Inputs!$B$43-B1976)/(IF(Inputs!$B$38="pvp",15,MAX(0.1,Skills!D11-IF(Skills!E11=TRUE,Inputs!$B$32,0)))*(1-IF(AND(ArtifactsInput!$M$27,Inputs!$B$4="Chapter Hunt"),CHOOSE(ArtifactsInput!$N$27+1,20,24,28,32,36,40),0)/100)))+1)),0)</f>
        <v/>
      </c>
      <c r="S1954">
        <f>IFERROR(O1954/N1954,0)</f>
        <v/>
      </c>
      <c r="T1954">
        <f>IF(C1954,(H1954*N1954*IF(AND(Inputs!$B$38&lt;&gt;"pvp",Inputs!$B$43&gt;0),((Skills!G11*((R1954-1)*IF(Skills!H11&gt;0,Skills!I11/Skills!H11,1)+IF(Skills!H11&gt;0,MIN(Skills!I11,MAX(0,MAX(0,Inputs!$B$43-B1976)-((R1954-1)*(IF(Inputs!$B$38="pvp",15,MAX(0.1,Skills!D11-IF(Skills!E11=TRUE,Inputs!$B$32,0)))*(1-IF(AND(ArtifactsInput!$M$27,Inputs!$B$4="Chapter Hunt"),CHOOSE(ArtifactsInput!$N$27+1,20,24,28,32,36,40),0)/100)))))/Skills!H11,1)))/Inputs!$B$43),G1954*Q1954)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1954*(1-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1954*(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1954*(1-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1954*(MIN(100,(Inputs!$B$9+((C1959=TRUE)*(F1959-Calc!F16))+B1969+(ArtifactsInput!$M$24-ArtifactsInput!$M$24)*CHOOSE(ArtifactsInput!$N$24+1,10,12,14,16,18,20)+(IF(AND(ArtifactsInput!$M$42,((Inputs!$B$9+((C1959=TRUE)*(F1959-Calc!F16))+B1969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54">
        <f>IF(C1954,(H1954*N1954*IF(AND(Inputs!$B$38&lt;&gt;"pvp",Inputs!$B$43&gt;0),((Skills!G11*((R1954-1)*IF(Skills!H11&gt;0,Skills!I11/Skills!H11,1)+IF(Skills!H11&gt;0,MIN(Skills!I11,MAX(0,MAX(0,Inputs!$B$43-B1976)-((R1954-1)*(IF(Inputs!$B$38="pvp",15,MAX(0.1,Skills!D11-IF(Skills!E11=TRUE,Inputs!$B$32,0)))*(1-IF(AND(ArtifactsInput!$M$27,Inputs!$B$4="Chapter Hunt"),CHOOSE(ArtifactsInput!$N$27+1,20,24,28,32,36,40),0)/100)))))/Skills!H11,1)))/Inputs!$B$43),G1954*Q1954))*IF(Inputs!$B$38="pvp",1,(1+(Inputs!$B$21+Skills!Q11+(IF(ArtifactsInput!$M$33,CHOOSE(ArtifactsInput!$N$33+1,30,36,42,48,54,60),0))+(IF(AND(ArtifactsInput!$M$35,Inputs!$B$4&lt;&gt;"Chapter Hunt"),CHOOSE(ArtifactsInput!$N$35+1,15,18,21,24,27,30)*(1-EXP(-(0.2*B1971)*5)),0)+IF(AND(ArtifactsInput!$M$22,Inputs!$B$4&lt;&gt;"Chapter Hunt"),CHOOSE(ArtifactsInput!$N$22+1,10,12,14,16,18,20)*((0*(((0.15*B1971*5))^0/1)+1*(((0.15*B1971*5))^1/1)+2*(((0.15*B1971*5))^2/2)+3*(((0.15*B1971*5))^3/6)+4*(((0.15*B1971*5))^4/24)+5*(((0.15*B1971*5))^5/120))/((((0.15*B1971*5))^0/1)+(((0.15*B1971*5))^1/1)+(((0.15*B1971*5))^2/2)+(((0.15*B1971*5))^3/6)+(((0.15*B1971*5))^4/24)+(((0.15*B1971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55">
      <c r="A1955">
        <f>Skills!A12</f>
        <v/>
      </c>
      <c r="B1955">
        <f>Skills!B12</f>
        <v/>
      </c>
      <c r="C1955">
        <f>Inputs!$B$3&gt;=100</f>
        <v/>
      </c>
      <c r="D1955">
        <f>IF(Skills!C12=1,60+Inputs!$B$25+Inputs!$B$29,IF(Skills!C12=2,90+Inputs!$B$26+Inputs!$B$29,IF(Skills!C12=3,120+Inputs!$B$27+Inputs!$B$29,MAX(0,(Inputs!$B$3-100)*3)+Inputs!$B$28+Inputs!$B$29)))</f>
        <v/>
      </c>
      <c r="E1955">
        <f>INDEX(FactorTable!$B$2:$Y$301, MATCH(ROUND(MIN(300,MAX(1,D1955)),0), FactorTable!$A$2:$A$301,0), Skills!M12+1)</f>
        <v/>
      </c>
      <c r="F1955">
        <f>IF(Skills!N12=TRUE,(Skills!L12/10)*(E1955/1000),Skills!L12/10)+Skills!O12</f>
        <v/>
      </c>
      <c r="G1955" t="inlineStr"/>
      <c r="H1955" t="inlineStr"/>
      <c r="I1955" t="inlineStr">
        <is>
          <t>1</t>
        </is>
      </c>
      <c r="J1955" t="inlineStr"/>
      <c r="K1955" t="inlineStr"/>
      <c r="L1955" t="inlineStr"/>
      <c r="M1955" t="inlineStr"/>
      <c r="N1955" t="inlineStr"/>
      <c r="O1955" t="inlineStr"/>
      <c r="P1955" t="inlineStr"/>
      <c r="Q1955" t="inlineStr"/>
      <c r="R1955" t="inlineStr"/>
      <c r="S1955" t="inlineStr"/>
      <c r="T1955" t="inlineStr"/>
      <c r="V1955" t="inlineStr"/>
    </row>
    <row r="1956">
      <c r="A1956">
        <f>Skills!A13</f>
        <v/>
      </c>
      <c r="B1956">
        <f>Skills!B13</f>
        <v/>
      </c>
      <c r="C1956">
        <f>Inputs!$B$3&gt;=66</f>
        <v/>
      </c>
      <c r="D1956">
        <f>IF(Skills!C13=1,60+Inputs!$B$25+Inputs!$B$29,IF(Skills!C13=2,90+Inputs!$B$26+Inputs!$B$29,IF(Skills!C13=3,120+Inputs!$B$27+Inputs!$B$29,MAX(0,(Inputs!$B$3-100)*3)+Inputs!$B$28+Inputs!$B$29)))</f>
        <v/>
      </c>
      <c r="E1956">
        <f>INDEX(FactorTable!$B$2:$Y$301, MATCH(ROUND(MIN(300,MAX(1,D1956)),0), FactorTable!$A$2:$A$301,0), Skills!M13+1)</f>
        <v/>
      </c>
      <c r="F1956">
        <f>IF(Skills!N13=TRUE,(Skills!L13/10)*(E1956/1000),Skills!L13/10)+Skills!O13</f>
        <v/>
      </c>
      <c r="G1956">
        <f>Skills!G13*IF(Skills!H13&gt;0,Skills!I13/Skills!H13,1)</f>
        <v/>
      </c>
      <c r="H1956">
        <f>1-(1-Skills!J13/100)^Skills!K13</f>
        <v/>
      </c>
      <c r="I1956" t="inlineStr">
        <is>
          <t>1</t>
        </is>
      </c>
      <c r="J1956" t="inlineStr"/>
      <c r="K1956" t="inlineStr"/>
      <c r="L1956" t="inlineStr"/>
      <c r="M1956" t="inlineStr"/>
      <c r="N1956" t="inlineStr"/>
      <c r="O1956">
        <f>(1-Summary!$B$11)*T1956+Summary!$B$11*V1956</f>
        <v/>
      </c>
      <c r="P1956">
        <f>IF(B1979=0,0,O1956/B1979)</f>
        <v/>
      </c>
      <c r="Q1956" t="n">
        <v>0</v>
      </c>
      <c r="R1956" t="n">
        <v>0</v>
      </c>
      <c r="S1956">
        <f>IFERROR(O1956/N1956,0)</f>
        <v/>
      </c>
      <c r="T1956" t="n">
        <v>0</v>
      </c>
      <c r="V1956" t="n">
        <v>0</v>
      </c>
    </row>
    <row r="1957">
      <c r="A1957">
        <f>Skills!A14</f>
        <v/>
      </c>
      <c r="B1957">
        <f>Skills!B14</f>
        <v/>
      </c>
      <c r="C1957">
        <f>Inputs!$B$3&gt;=107</f>
        <v/>
      </c>
      <c r="D1957">
        <f>IF(Skills!C14=1,60+Inputs!$B$25+Inputs!$B$29,IF(Skills!C14=2,90+Inputs!$B$26+Inputs!$B$29,IF(Skills!C14=3,120+Inputs!$B$27+Inputs!$B$29,MAX(0,(Inputs!$B$3-100)*3)+Inputs!$B$28+Inputs!$B$29)))</f>
        <v/>
      </c>
      <c r="E1957">
        <f>INDEX(FactorTable!$B$2:$Y$301, MATCH(ROUND(MIN(300,MAX(1,D1957)),0), FactorTable!$A$2:$A$301,0), Skills!M14+1)</f>
        <v/>
      </c>
      <c r="F1957">
        <f>IF(Skills!N14=TRUE,(Skills!L14/10)*(E1957/1000),Skills!L14/10)+Skills!O14</f>
        <v/>
      </c>
      <c r="G1957">
        <f>Skills!G14*IF(Skills!H14&gt;0,Skills!I14/Skills!H14,1)</f>
        <v/>
      </c>
      <c r="H1957">
        <f>1-(1-Skills!J14/100)^Skills!K14</f>
        <v/>
      </c>
      <c r="I1957" t="inlineStr">
        <is>
          <t>1</t>
        </is>
      </c>
      <c r="J1957" t="inlineStr"/>
      <c r="K1957" t="inlineStr"/>
      <c r="L1957" t="inlineStr"/>
      <c r="M1957" t="inlineStr"/>
      <c r="N1957" t="inlineStr"/>
      <c r="O1957">
        <f>(1-Summary!$B$11)*T1957+Summary!$B$11*V1957</f>
        <v/>
      </c>
      <c r="P1957">
        <f>IF(B1979=0,0,O1957/B1979)</f>
        <v/>
      </c>
      <c r="Q1957">
        <f>IFERROR(1/(IF(Inputs!$B$38="pvp",15,MAX(0.1,Skills!D14-IF(Skills!E14=TRUE,Inputs!$B$32,0)))*(1-IF(AND(ArtifactsInput!$M$27,Inputs!$B$4="Chapter Hunt"),CHOOSE(ArtifactsInput!$N$27+1,20,24,28,32,36,40),0)/100)),0)</f>
        <v/>
      </c>
      <c r="R1957">
        <f>IF(AND(Inputs!$B$38&lt;&gt;"pvp",Inputs!$B$43&gt;0),IF(Inputs!$B$43&lt;=0,0,(INT(Inputs!$B$43/(IF(Inputs!$B$38="pvp",15,MAX(0.1,Skills!D14-IF(Skills!E14=TRUE,Inputs!$B$32,0)))*(1-IF(AND(ArtifactsInput!$M$27,Inputs!$B$4="Chapter Hunt"),CHOOSE(ArtifactsInput!$N$27+1,20,24,28,32,36,40),0)/100)))+1)),0)</f>
        <v/>
      </c>
      <c r="S1957">
        <f>IFERROR(O1957/N1957,0)</f>
        <v/>
      </c>
      <c r="T1957" t="n">
        <v>0</v>
      </c>
      <c r="V1957" t="n">
        <v>0</v>
      </c>
    </row>
    <row r="1958">
      <c r="A1958">
        <f>Skills!A15</f>
        <v/>
      </c>
      <c r="B1958">
        <f>Skills!B15</f>
        <v/>
      </c>
      <c r="C1958">
        <f>Inputs!$B$3&gt;=115</f>
        <v/>
      </c>
      <c r="D1958">
        <f>IF(Skills!C15=1,60+Inputs!$B$25+Inputs!$B$29,IF(Skills!C15=2,90+Inputs!$B$26+Inputs!$B$29,IF(Skills!C15=3,120+Inputs!$B$27+Inputs!$B$29,MAX(0,(Inputs!$B$3-100)*3)+Inputs!$B$28+Inputs!$B$29)))</f>
        <v/>
      </c>
      <c r="E1958">
        <f>INDEX(FactorTable!$B$2:$Y$301, MATCH(ROUND(MIN(300,MAX(1,D1958)),0), FactorTable!$A$2:$A$301,0), Skills!M15+1)</f>
        <v/>
      </c>
      <c r="F1958">
        <f>IF(Skills!N15=TRUE,(Skills!L15/10)*(E1958/1000),Skills!L15/10)+Skills!O15</f>
        <v/>
      </c>
      <c r="G1958">
        <f>Skills!G15*IF(Skills!H15&gt;0,Skills!I15/Skills!H15,1)</f>
        <v/>
      </c>
      <c r="H1958">
        <f>1-(1-Skills!J15/100)^Skills!K15</f>
        <v/>
      </c>
      <c r="I1958" t="inlineStr">
        <is>
          <t>1</t>
        </is>
      </c>
      <c r="J1958" t="inlineStr"/>
      <c r="K1958" t="inlineStr"/>
      <c r="L1958" t="inlineStr"/>
      <c r="M1958" t="inlineStr"/>
      <c r="N1958" t="inlineStr"/>
      <c r="O1958">
        <f>(1-Summary!$B$11)*T1958+Summary!$B$11*V1958</f>
        <v/>
      </c>
      <c r="P1958">
        <f>IF(B1979=0,0,O1958/B1979)</f>
        <v/>
      </c>
      <c r="Q1958">
        <f>IFERROR(1/(IF(Inputs!$B$38="pvp",15,MAX(0.1,Skills!D15-IF(Skills!E15=TRUE,Inputs!$B$32,0)))*(1-IF(AND(ArtifactsInput!$M$27,Inputs!$B$4="Chapter Hunt"),CHOOSE(ArtifactsInput!$N$27+1,20,24,28,32,36,40),0)/100)),0)</f>
        <v/>
      </c>
      <c r="R1958">
        <f>IF(AND(Inputs!$B$38&lt;&gt;"pvp",Inputs!$B$43&gt;0),IF(Inputs!$B$43&lt;=0,0,(INT(Inputs!$B$43/(IF(Inputs!$B$38="pvp",15,MAX(0.1,Skills!D15-IF(Skills!E15=TRUE,Inputs!$B$32,0)))*(1-IF(AND(ArtifactsInput!$M$27,Inputs!$B$4="Chapter Hunt"),CHOOSE(ArtifactsInput!$N$27+1,20,24,28,32,36,40),0)/100)))+1)),0)</f>
        <v/>
      </c>
      <c r="S1958">
        <f>IFERROR(O1958/N1958,0)</f>
        <v/>
      </c>
      <c r="T1958" t="n">
        <v>0</v>
      </c>
      <c r="V1958" t="n">
        <v>0</v>
      </c>
    </row>
    <row r="1959">
      <c r="A1959">
        <f>Skills!A16</f>
        <v/>
      </c>
      <c r="B1959">
        <f>Skills!B16</f>
        <v/>
      </c>
      <c r="C1959">
        <f>Inputs!$B$3&gt;=15</f>
        <v/>
      </c>
      <c r="D1959">
        <f>IF(Skills!C16=1,60+Inputs!$B$25+Inputs!$B$29,IF(Skills!C16=2,90+Inputs!$B$26+Inputs!$B$29,IF(Skills!C16=3,120+Inputs!$B$27+Inputs!$B$29,MAX(0,(Inputs!$B$3-100)*3)+Inputs!$B$28+Inputs!$B$29)))</f>
        <v/>
      </c>
      <c r="E1959">
        <f>INDEX(FactorTable!$B$2:$Y$301, MATCH(ROUND(MIN(300,MAX(1,D1959)),0), FactorTable!$A$2:$A$301,0), Skills!M16+1)</f>
        <v/>
      </c>
      <c r="F1959">
        <f>IF(Skills!N16=TRUE,(Skills!L16/10)*(E1959/1000),Skills!L16/10)+Skills!O16</f>
        <v/>
      </c>
      <c r="G1959">
        <f>Skills!G16*IF(Skills!H16&gt;0,Skills!I16/Skills!H16,1)</f>
        <v/>
      </c>
      <c r="H1959">
        <f>1-(1-Skills!J16/100)^Skills!K16</f>
        <v/>
      </c>
      <c r="I1959" t="inlineStr">
        <is>
          <t>1</t>
        </is>
      </c>
      <c r="J1959" t="inlineStr"/>
      <c r="K1959" t="inlineStr"/>
      <c r="L1959" t="inlineStr"/>
      <c r="M1959" t="inlineStr"/>
      <c r="N1959" t="inlineStr"/>
      <c r="O1959">
        <f>(1-Summary!$B$11)*T1959+Summary!$B$11*V1959</f>
        <v/>
      </c>
      <c r="P1959">
        <f>IF(B1979=0,0,O1959/B1979)</f>
        <v/>
      </c>
      <c r="Q1959" t="n">
        <v>0</v>
      </c>
      <c r="R1959" t="n">
        <v>0</v>
      </c>
      <c r="S1959">
        <f>IFERROR(O1959/N1959,0)</f>
        <v/>
      </c>
      <c r="T1959" t="n">
        <v>0</v>
      </c>
      <c r="V1959" t="n">
        <v>0</v>
      </c>
    </row>
    <row r="1960">
      <c r="A1960">
        <f>Skills!A17</f>
        <v/>
      </c>
      <c r="B1960">
        <f>Skills!B17</f>
        <v/>
      </c>
      <c r="C1960">
        <f>Inputs!$B$3&gt;=10</f>
        <v/>
      </c>
      <c r="D1960">
        <f>IF(Skills!C17=1,60+Inputs!$B$25+Inputs!$B$29,IF(Skills!C17=2,90+Inputs!$B$26+Inputs!$B$29,IF(Skills!C17=3,120+Inputs!$B$27+Inputs!$B$29,MAX(0,(Inputs!$B$3-100)*3)+Inputs!$B$28+Inputs!$B$29)))</f>
        <v/>
      </c>
      <c r="E1960">
        <f>INDEX(FactorTable!$B$2:$Y$301, MATCH(ROUND(MIN(300,MAX(1,D1960)),0), FactorTable!$A$2:$A$301,0), Skills!M17+1)</f>
        <v/>
      </c>
      <c r="F1960">
        <f>IF(Skills!N17=TRUE,(Skills!L17/10)*(E1960/1000),Skills!L17/10)+Skills!O17</f>
        <v/>
      </c>
      <c r="G1960">
        <f>Skills!G17*IF(Skills!H17&gt;0,Skills!I17/Skills!H17,1)</f>
        <v/>
      </c>
      <c r="H1960">
        <f>1-(1-Skills!J17/100)^Skills!K17</f>
        <v/>
      </c>
      <c r="I1960" t="inlineStr">
        <is>
          <t>1</t>
        </is>
      </c>
      <c r="J1960" t="inlineStr"/>
      <c r="K1960" t="inlineStr"/>
      <c r="L1960" t="inlineStr"/>
      <c r="M1960" t="inlineStr"/>
      <c r="N1960" t="inlineStr"/>
      <c r="O1960">
        <f>(1-Summary!$B$11)*T1960+Summary!$B$11*V1960</f>
        <v/>
      </c>
      <c r="P1960">
        <f>IF(B1979=0,0,O1960/B1979)</f>
        <v/>
      </c>
      <c r="Q1960" t="n">
        <v>0</v>
      </c>
      <c r="R1960" t="n">
        <v>0</v>
      </c>
      <c r="S1960">
        <f>IFERROR(O1960/N1960,0)</f>
        <v/>
      </c>
      <c r="T1960" t="n">
        <v>0</v>
      </c>
      <c r="V1960" t="n">
        <v>0</v>
      </c>
    </row>
    <row r="1961">
      <c r="A1961">
        <f>Skills!A18</f>
        <v/>
      </c>
      <c r="B1961">
        <f>Skills!B18</f>
        <v/>
      </c>
      <c r="C1961">
        <f>Inputs!$B$3&gt;=33</f>
        <v/>
      </c>
      <c r="D1961">
        <f>IF(Skills!C18=1,60+Inputs!$B$25+Inputs!$B$29,IF(Skills!C18=2,90+Inputs!$B$26+Inputs!$B$29,IF(Skills!C18=3,120+Inputs!$B$27+Inputs!$B$29,MAX(0,(Inputs!$B$3-100)*3)+Inputs!$B$28+Inputs!$B$29)))</f>
        <v/>
      </c>
      <c r="E1961">
        <f>INDEX(FactorTable!$B$2:$Y$301, MATCH(ROUND(MIN(300,MAX(1,D1961)),0), FactorTable!$A$2:$A$301,0), Skills!M18+1)</f>
        <v/>
      </c>
      <c r="F1961">
        <f>IF(Skills!N18=TRUE,(Skills!L18/10)*(E1961/1000),Skills!L18/10)+Skills!O18</f>
        <v/>
      </c>
      <c r="G1961">
        <f>Skills!G18*IF(Skills!H18&gt;0,Skills!I18/Skills!H18,1)</f>
        <v/>
      </c>
      <c r="H1961">
        <f>1-(1-Skills!J18/100)^Skills!K18</f>
        <v/>
      </c>
      <c r="I1961" t="inlineStr">
        <is>
          <t>1</t>
        </is>
      </c>
      <c r="J1961" t="inlineStr"/>
      <c r="K1961" t="inlineStr"/>
      <c r="L1961" t="inlineStr"/>
      <c r="M1961" t="inlineStr"/>
      <c r="N1961" t="inlineStr"/>
      <c r="O1961">
        <f>(1-Summary!$B$11)*T1961+Summary!$B$11*V1961</f>
        <v/>
      </c>
      <c r="P1961">
        <f>IF(B1979=0,0,O1961/B1979)</f>
        <v/>
      </c>
      <c r="Q1961" t="n">
        <v>0</v>
      </c>
      <c r="R1961" t="n">
        <v>0</v>
      </c>
      <c r="S1961">
        <f>IFERROR(O1961/N1961,0)</f>
        <v/>
      </c>
      <c r="T1961" t="n">
        <v>0</v>
      </c>
      <c r="V1961" t="n">
        <v>0</v>
      </c>
    </row>
    <row r="1962">
      <c r="A1962">
        <f>Skills!A19</f>
        <v/>
      </c>
      <c r="B1962">
        <f>Skills!B19</f>
        <v/>
      </c>
      <c r="C1962">
        <f>Inputs!$B$3&gt;=40</f>
        <v/>
      </c>
      <c r="D1962">
        <f>IF(Skills!C19=1,60+Inputs!$B$25+Inputs!$B$29,IF(Skills!C19=2,90+Inputs!$B$26+Inputs!$B$29,IF(Skills!C19=3,120+Inputs!$B$27+Inputs!$B$29,MAX(0,(Inputs!$B$3-100)*3)+Inputs!$B$28+Inputs!$B$29)))</f>
        <v/>
      </c>
      <c r="E1962">
        <f>INDEX(FactorTable!$B$2:$Y$301, MATCH(ROUND(MIN(300,MAX(1,D1962)),0), FactorTable!$A$2:$A$301,0), Skills!M19+1)</f>
        <v/>
      </c>
      <c r="F1962">
        <f>IF(Skills!N19=TRUE,(Skills!L19/10)*(E1962/1000),Skills!L19/10)+Skills!O19</f>
        <v/>
      </c>
      <c r="G1962">
        <f>Skills!G19*IF(Skills!H19&gt;0,Skills!I19/Skills!H19,1)</f>
        <v/>
      </c>
      <c r="H1962">
        <f>1-(1-Skills!J19/100)^Skills!K19</f>
        <v/>
      </c>
      <c r="I1962" t="inlineStr">
        <is>
          <t>1</t>
        </is>
      </c>
      <c r="J1962" t="inlineStr"/>
      <c r="K1962" t="inlineStr"/>
      <c r="L1962" t="inlineStr"/>
      <c r="M1962" t="inlineStr"/>
      <c r="N1962" t="inlineStr"/>
      <c r="O1962">
        <f>(1-Summary!$B$11)*T1962+Summary!$B$11*V1962</f>
        <v/>
      </c>
      <c r="P1962">
        <f>IF(B1979=0,0,O1962/B1979)</f>
        <v/>
      </c>
      <c r="Q1962" t="n">
        <v>0</v>
      </c>
      <c r="R1962" t="n">
        <v>0</v>
      </c>
      <c r="S1962">
        <f>IFERROR(O1962/N1962,0)</f>
        <v/>
      </c>
      <c r="T1962" t="n">
        <v>0</v>
      </c>
      <c r="V1962" t="n">
        <v>0</v>
      </c>
    </row>
    <row r="1963">
      <c r="A1963">
        <f>Skills!A20</f>
        <v/>
      </c>
      <c r="B1963">
        <f>Skills!B20</f>
        <v/>
      </c>
      <c r="C1963">
        <f>Inputs!$B$3&gt;=43</f>
        <v/>
      </c>
      <c r="D1963">
        <f>IF(Skills!C20=1,60+Inputs!$B$25+Inputs!$B$29,IF(Skills!C20=2,90+Inputs!$B$26+Inputs!$B$29,IF(Skills!C20=3,120+Inputs!$B$27+Inputs!$B$29,MAX(0,(Inputs!$B$3-100)*3)+Inputs!$B$28+Inputs!$B$29)))</f>
        <v/>
      </c>
      <c r="E1963">
        <f>INDEX(FactorTable!$B$2:$Y$301, MATCH(ROUND(MIN(300,MAX(1,D1963)),0), FactorTable!$A$2:$A$301,0), Skills!M20+1)</f>
        <v/>
      </c>
      <c r="F1963">
        <f>IF(Skills!N20=TRUE,(Skills!L20/10)*(E1963/1000),Skills!L20/10)+Skills!O20</f>
        <v/>
      </c>
      <c r="G1963">
        <f>Skills!G20*IF(Skills!H20&gt;0,Skills!I20/Skills!H20,1)</f>
        <v/>
      </c>
      <c r="H1963">
        <f>1-(1-Skills!J20/100)^Skills!K20</f>
        <v/>
      </c>
      <c r="I1963" t="inlineStr">
        <is>
          <t>1</t>
        </is>
      </c>
      <c r="J1963" t="inlineStr"/>
      <c r="K1963" t="inlineStr"/>
      <c r="L1963" t="inlineStr"/>
      <c r="M1963" t="inlineStr"/>
      <c r="N1963" t="inlineStr"/>
      <c r="O1963">
        <f>(1-Summary!$B$11)*T1963+Summary!$B$11*V1963</f>
        <v/>
      </c>
      <c r="P1963">
        <f>IF(B1979=0,0,O1963/B1979)</f>
        <v/>
      </c>
      <c r="Q1963" t="n">
        <v>0</v>
      </c>
      <c r="R1963" t="n">
        <v>0</v>
      </c>
      <c r="S1963">
        <f>IFERROR(O1963/N1963,0)</f>
        <v/>
      </c>
      <c r="T1963" t="n">
        <v>0</v>
      </c>
      <c r="V1963" t="n">
        <v>0</v>
      </c>
    </row>
    <row r="1964">
      <c r="A1964">
        <f>Skills!A21</f>
        <v/>
      </c>
      <c r="B1964">
        <f>Skills!B21</f>
        <v/>
      </c>
      <c r="C1964">
        <f>Inputs!$B$3&gt;=38</f>
        <v/>
      </c>
      <c r="D1964">
        <f>IF(Skills!C21=1,60+Inputs!$B$25+Inputs!$B$29,IF(Skills!C21=2,90+Inputs!$B$26+Inputs!$B$29,IF(Skills!C21=3,120+Inputs!$B$27+Inputs!$B$29,MAX(0,(Inputs!$B$3-100)*3)+Inputs!$B$28+Inputs!$B$29)))</f>
        <v/>
      </c>
      <c r="E1964">
        <f>INDEX(FactorTable!$B$2:$Y$301, MATCH(ROUND(MIN(300,MAX(1,D1964)),0), FactorTable!$A$2:$A$301,0), Skills!M21+1)</f>
        <v/>
      </c>
      <c r="F1964">
        <f>IF(Skills!N21=TRUE,(Skills!L21/10)*(E1964/1000),Skills!L21/10)+Skills!O21</f>
        <v/>
      </c>
      <c r="G1964">
        <f>Skills!G21*IF(Skills!H21&gt;0,Skills!I21/Skills!H21,1)</f>
        <v/>
      </c>
      <c r="H1964">
        <f>1-(1-Skills!J21/100)^Skills!K21</f>
        <v/>
      </c>
      <c r="I1964" t="inlineStr">
        <is>
          <t>1</t>
        </is>
      </c>
      <c r="J1964" t="inlineStr"/>
      <c r="K1964" t="inlineStr"/>
      <c r="L1964" t="inlineStr"/>
      <c r="M1964" t="inlineStr"/>
      <c r="N1964" t="inlineStr"/>
      <c r="O1964">
        <f>(1-Summary!$B$11)*T1964+Summary!$B$11*V1964</f>
        <v/>
      </c>
      <c r="P1964">
        <f>IF(B1979=0,0,O1964/B1979)</f>
        <v/>
      </c>
      <c r="Q1964" t="n">
        <v>0</v>
      </c>
      <c r="R1964" t="n">
        <v>0</v>
      </c>
      <c r="S1964">
        <f>IFERROR(O1964/N1964,0)</f>
        <v/>
      </c>
      <c r="T1964" t="n">
        <v>0</v>
      </c>
      <c r="V1964" t="n">
        <v>0</v>
      </c>
    </row>
    <row r="1965">
      <c r="A1965">
        <f>Skills!A22</f>
        <v/>
      </c>
      <c r="B1965">
        <f>Skills!B22</f>
        <v/>
      </c>
      <c r="C1965">
        <f>Inputs!$B$3&gt;=75</f>
        <v/>
      </c>
      <c r="D1965">
        <f>IF(Skills!C22=1,60+Inputs!$B$25+Inputs!$B$29,IF(Skills!C22=2,90+Inputs!$B$26+Inputs!$B$29,IF(Skills!C22=3,120+Inputs!$B$27+Inputs!$B$29,MAX(0,(Inputs!$B$3-100)*3)+Inputs!$B$28+Inputs!$B$29)))</f>
        <v/>
      </c>
      <c r="E1965">
        <f>INDEX(FactorTable!$B$2:$Y$301, MATCH(ROUND(MIN(300,MAX(1,D1965)),0), FactorTable!$A$2:$A$301,0), Skills!M22+1)</f>
        <v/>
      </c>
      <c r="F1965">
        <f>IF(Skills!N22=TRUE,(Skills!L22/10)*(E1965/1000),Skills!L22/10)+Skills!O22</f>
        <v/>
      </c>
      <c r="G1965">
        <f>Skills!G22*IF(Skills!H22&gt;0,Skills!I22/Skills!H22,1)</f>
        <v/>
      </c>
      <c r="H1965">
        <f>1-(1-Skills!J22/100)^Skills!K22</f>
        <v/>
      </c>
      <c r="I1965" t="inlineStr">
        <is>
          <t>1</t>
        </is>
      </c>
      <c r="J1965" t="inlineStr"/>
      <c r="K1965" t="inlineStr"/>
      <c r="L1965" t="inlineStr"/>
      <c r="M1965" t="inlineStr"/>
      <c r="N1965" t="inlineStr"/>
      <c r="O1965">
        <f>(1-Summary!$B$11)*T1965+Summary!$B$11*V1965</f>
        <v/>
      </c>
      <c r="P1965">
        <f>IF(B1979=0,0,O1965/B1979)</f>
        <v/>
      </c>
      <c r="Q1965" t="n">
        <v>0</v>
      </c>
      <c r="R1965" t="n">
        <v>0</v>
      </c>
      <c r="S1965">
        <f>IFERROR(O1965/N1965,0)</f>
        <v/>
      </c>
      <c r="T1965" t="n">
        <v>0</v>
      </c>
      <c r="V1965" t="n">
        <v>0</v>
      </c>
    </row>
    <row r="1966">
      <c r="A1966">
        <f>Skills!A23</f>
        <v/>
      </c>
      <c r="B1966">
        <f>Skills!B23</f>
        <v/>
      </c>
      <c r="C1966">
        <f>TRUE</f>
        <v/>
      </c>
      <c r="D1966">
        <f>IF(Skills!C23=1,60+Inputs!$B$25+Inputs!$B$29,IF(Skills!C23=2,90+Inputs!$B$26+Inputs!$B$29,IF(Skills!C23=3,120+Inputs!$B$27+Inputs!$B$29,MAX(0,(Inputs!$B$3-100)*3)+Inputs!$B$28+Inputs!$B$29)))</f>
        <v/>
      </c>
      <c r="E1966">
        <f>INDEX(FactorTable!$B$2:$Y$301, MATCH(ROUND(MIN(300,MAX(1,D1966)),0), FactorTable!$A$2:$A$301,0), Skills!M23+1)</f>
        <v/>
      </c>
      <c r="F1966">
        <f>IF(Skills!N23=TRUE,(Skills!L23/10)*(E1966/1000),Skills!L23/10)+Skills!O23</f>
        <v/>
      </c>
      <c r="G1966">
        <f>Skills!G23*IF(Skills!H23&gt;0,Skills!I23/Skills!H23,1)</f>
        <v/>
      </c>
      <c r="H1966">
        <f>1-(1-Skills!J23/100)^Skills!K23</f>
        <v/>
      </c>
      <c r="I1966" t="inlineStr">
        <is>
          <t>1</t>
        </is>
      </c>
      <c r="J1966" t="inlineStr"/>
      <c r="K1966" t="inlineStr"/>
      <c r="L1966" t="inlineStr"/>
      <c r="M1966" t="inlineStr"/>
      <c r="N1966" t="inlineStr"/>
      <c r="O1966">
        <f>(1-Summary!$B$11)*T1966+Summary!$B$11*V1966</f>
        <v/>
      </c>
      <c r="P1966">
        <f>IF(B1979=0,0,O1966/B1979)</f>
        <v/>
      </c>
      <c r="Q1966">
        <f>IFERROR(1/(IF(Inputs!$B$38="pvp",15,MAX(0.1,Skills!D23-IF(Skills!E23=TRUE,Inputs!$B$32,0)))*(1-IF(AND(ArtifactsInput!$M$27,Inputs!$B$4="Chapter Hunt"),CHOOSE(ArtifactsInput!$N$27+1,20,24,28,32,36,40),0)/100)),0)</f>
        <v/>
      </c>
      <c r="R1966">
        <f>IF(AND(Inputs!$B$38&lt;&gt;"pvp",Inputs!$B$43&gt;0),IF(Inputs!$B$43&lt;=0,0,(INT(Inputs!$B$43/(IF(Inputs!$B$38="pvp",15,MAX(0.1,Skills!D23-IF(Skills!E23=TRUE,Inputs!$B$32,0)))*(1-IF(AND(ArtifactsInput!$M$27,Inputs!$B$4="Chapter Hunt"),CHOOSE(ArtifactsInput!$N$27+1,20,24,28,32,36,40),0)/100)))+1)),0)</f>
        <v/>
      </c>
      <c r="S1966">
        <f>IFERROR(O1966/N1966,0)</f>
        <v/>
      </c>
      <c r="T1966" t="n">
        <v>0</v>
      </c>
      <c r="V1966" t="n">
        <v>0</v>
      </c>
    </row>
    <row r="1968">
      <c r="A1968" t="inlineStr">
        <is>
          <t>Attack% Bucket Multiplier</t>
        </is>
      </c>
      <c r="B1968">
        <f>(1+(((C1956=TRUE)*F1956*5/7)+((C1962=TRUE)*(F1962-Calc!F19))+(IF(ArtifactsInput!$M$21,CHOOSE(ArtifactsInput!$N$21+1,25,30,35,40,45,50)*(IF(OR(Inputs!$B$4="Chapter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69">
      <c r="A1969" t="inlineStr">
        <is>
          <t>Global Crit Rate Bonus %</t>
        </is>
      </c>
      <c r="B1969" t="n">
        <v>0</v>
      </c>
    </row>
    <row r="1970">
      <c r="A1970" t="inlineStr">
        <is>
          <t>Attack Speed Buff Bonus % (Nimble Feet, duty-cycle averaged)</t>
        </is>
      </c>
      <c r="B1970">
        <f>((C1966=TRUE)*F1966*IF(AND(Inputs!$B$38&lt;&gt;"pvp",Inputs!$B$43&gt;0),(((R1966-1)*(Skills!T23*(1+Inputs!$B$34/100))+MIN((Skills!T23*(1+Inputs!$B$34/100)),MAX(0,Inputs!$B$43-((R1966-1)*Skills!D23))))/Inputs!$B$43),IF(Inputs!$B$38="pvp",MIN((Skills!T23*(1+Inputs!$B$34/100)),15)/15,(Skills!T23*(1+Inputs!$B$34/100))/Skills!D23)))</f>
        <v/>
      </c>
    </row>
    <row r="1971">
      <c r="A1971" t="inlineStr">
        <is>
          <t>Actions Per Second</t>
        </is>
      </c>
      <c r="B1971">
        <f>1+MIN(150,150*(1-(1-(Inputs!$B$11+((C1960=TRUE)*(F1960-Calc!F17))+((C1961=TRUE)*(F1961-Calc!F18)))/150)*(1-B1970/150)))/100</f>
        <v/>
      </c>
    </row>
    <row r="1972">
      <c r="A1972" t="inlineStr">
        <is>
          <t>Skill + Buff Cast Rate</t>
        </is>
      </c>
      <c r="B1972">
        <f>IF(AND(Inputs!$B$38&lt;&gt;"pvp",Inputs!$B$43&gt;0),SUMPRODUCT((Skills!E2:E23=TRUE)*(C1945:C1966=TRUE)*R1945:R1966*Skills!F2:F23)/Inputs!$B$43,SUMPRODUCT((Skills!E2:E23=TRUE)*(C1945:C1966=TRUE)*Q1945:Q1966*Skills!F2:F23))</f>
        <v/>
      </c>
    </row>
    <row r="1973">
      <c r="A1973" t="inlineStr">
        <is>
          <t>Hook Bomber Casts Per Second</t>
        </is>
      </c>
      <c r="B1973">
        <f>MAX(0,B1971-B1972)</f>
        <v/>
      </c>
    </row>
    <row r="1974">
      <c r="A1974" t="inlineStr">
        <is>
          <t>Global Critical Damage Bonus % (unused)</t>
        </is>
      </c>
      <c r="B1974" t="n">
        <v>0</v>
      </c>
    </row>
    <row r="1975">
      <c r="A1975" t="inlineStr">
        <is>
          <t>Global Final Damage Bonus % (Serpent Scale + Crossbones + Time Leap + Speed Infusion)</t>
        </is>
      </c>
      <c r="B1975">
        <f>((C1948=TRUE)*F1948*((10+IF(Inputs!$B$3&gt;=94,5,0))/((10+IF(Inputs!$B$3&gt;=94,5,0))+5/(B1973*(1+IF(Inputs!$B$3&gt;=104,1,0))))))+((C1957=TRUE)*F1957*IF(AND(Inputs!$B$38&lt;&gt;"pvp",Inputs!$B$43&gt;0),(((R1957-1)*(Skills!T14*(1+Inputs!$B$34/100))+MIN((Skills!T14*(1+Inputs!$B$34/100)),MAX(0,Inputs!$B$43-((R1957-1)*Skills!D14))))/Inputs!$B$43),IF(Inputs!$B$38="pvp",MIN((Skills!T14*(1+Inputs!$B$34/100)),15)/15,(Skills!T14*(1+Inputs!$B$34/100))/Skills!D14)))+((C1958=TRUE)*F1958*IF(AND(Inputs!$B$38&lt;&gt;"pvp",Inputs!$B$43&gt;0),(((R1958-1)*(Skills!T15*(1+Inputs!$B$34/100))+MIN((Skills!T15*(1+Inputs!$B$34/100)),MAX(0,Inputs!$B$43-((R1958-1)*Skills!D15))))/Inputs!$B$43),IF(Inputs!$B$38="pvp",MIN((Skills!T15*(1+Inputs!$B$34/100)),15)/15,(Skills!T15*(1+Inputs!$B$34/100))/Skills!D15)))+((Inputs!$B$3&gt;=110)*20*(B1971-1)*IF(Inputs!$B$38="pvp",MIN((15*(1+Inputs!$B$34/100)),15)/15,(15*(1+Inputs!$B$34/100))/35))</f>
        <v/>
      </c>
    </row>
    <row r="1976">
      <c r="A1976" t="inlineStr">
        <is>
          <t>Buff-Casting Startup Delay (s, fixed-duration only)</t>
        </is>
      </c>
      <c r="B1976">
        <f>IF(AND(Inputs!$B$38&lt;&gt;"pvp",Inputs!$B$43&gt;0),SUMPRODUCT((Skills!T2:T23&gt;0)*(Skills!E2:E23=TRUE)*(C1945:C1966=TRUE))/B1971,0)</f>
        <v/>
      </c>
    </row>
    <row r="1977">
      <c r="A1977" t="inlineStr">
        <is>
          <t>Boss-Only Total DPS (this block's swept value)</t>
        </is>
      </c>
      <c r="B1977">
        <f>SUM(T1945:T1966)</f>
        <v/>
      </c>
    </row>
    <row r="1978">
      <c r="A1978" t="inlineStr">
        <is>
          <t>Normal-Only Total DPS (this block's swept value)</t>
        </is>
      </c>
      <c r="B1978">
        <f>SUM(V1945:V1966)</f>
        <v/>
      </c>
    </row>
    <row r="1979">
      <c r="A1979" s="6" t="inlineStr">
        <is>
          <t>TOTAL DPS</t>
        </is>
      </c>
      <c r="B1979" s="6">
        <f>SUM(O1945:O1966)</f>
        <v/>
      </c>
    </row>
    <row r="1982">
      <c r="A1982" s="6" t="inlineStr">
        <is>
          <t>Stat: Ancient Text Piece (Equip)</t>
        </is>
      </c>
    </row>
    <row r="1983">
      <c r="A1983" s="5" t="inlineStr">
        <is>
          <t>Key</t>
        </is>
      </c>
      <c r="B1983" s="5" t="inlineStr">
        <is>
          <t>Name</t>
        </is>
      </c>
      <c r="C1983" s="5" t="inlineStr">
        <is>
          <t>Unlocked</t>
        </is>
      </c>
      <c r="D1983" s="5" t="inlineStr">
        <is>
          <t>InputLevel</t>
        </is>
      </c>
      <c r="E1983" s="5" t="inlineStr">
        <is>
          <t>Factor</t>
        </is>
      </c>
      <c r="F1983" s="5" t="inlineStr">
        <is>
          <t>CoefficientPercent</t>
        </is>
      </c>
      <c r="G1983" s="5" t="inlineStr">
        <is>
          <t>EffectiveHits</t>
        </is>
      </c>
      <c r="H1983" s="5" t="inlineStr">
        <is>
          <t>ProcProbability</t>
        </is>
      </c>
      <c r="I1983" s="5" t="inlineStr">
        <is>
          <t>MapleHeroMultiplier</t>
        </is>
      </c>
      <c r="J1983" s="5" t="inlineStr">
        <is>
          <t>BaseDamage</t>
        </is>
      </c>
      <c r="K1983" s="5" t="inlineStr">
        <is>
          <t>BaseHitDamage</t>
        </is>
      </c>
      <c r="L1983" s="5" t="inlineStr">
        <is>
          <t>NonCritAvg</t>
        </is>
      </c>
      <c r="M1983" s="5" t="inlineStr">
        <is>
          <t>CritAvg</t>
        </is>
      </c>
      <c r="N1983" s="5" t="inlineStr">
        <is>
          <t>ExpectedDamage(perHit)</t>
        </is>
      </c>
      <c r="O1983" s="5" t="inlineStr">
        <is>
          <t>DPS</t>
        </is>
      </c>
      <c r="P1983" s="5" t="inlineStr">
        <is>
          <t>% of Total</t>
        </is>
      </c>
      <c r="Q1983" s="5" t="inlineStr">
        <is>
          <t>InvCooldown</t>
        </is>
      </c>
      <c r="R1983" s="5" t="inlineStr">
        <is>
          <t>CastsInFight</t>
        </is>
      </c>
      <c r="S1983" s="5" t="inlineStr">
        <is>
          <t>HitRate(perSec)</t>
        </is>
      </c>
      <c r="U1983" t="inlineStr">
        <is>
          <t>helpers</t>
        </is>
      </c>
    </row>
    <row r="1984">
      <c r="A1984">
        <f>Skills!A2</f>
        <v/>
      </c>
      <c r="B1984">
        <f>Skills!B2</f>
        <v/>
      </c>
      <c r="C1984">
        <f>Inputs!$B$3&gt;=100</f>
        <v/>
      </c>
      <c r="D1984" t="inlineStr"/>
      <c r="E1984" t="inlineStr"/>
      <c r="F1984">
        <f>U1986+Skills!O2</f>
        <v/>
      </c>
      <c r="G1984">
        <f>Skills!G2*IF(Skills!H2&gt;0,Skills!I2/Skills!H2,1)</f>
        <v/>
      </c>
      <c r="H1984">
        <f>1-(1-Skills!J2/100)^Skills!K2</f>
        <v/>
      </c>
      <c r="I1984" t="inlineStr">
        <is>
          <t>1</t>
        </is>
      </c>
      <c r="J1984">
        <f>((Inputs!$B$6*(1+Inputs!$B$7/100))+(((Inputs!$B$12*(1+Inputs!$B$13/100))-(Inputs!$B$12*(1+Inputs!$B$13/100)))+0.25*(Inputs!$B$14-Inputs!$B$14))*(1+Inputs!$B$7/100))*(F1984/100)</f>
        <v/>
      </c>
      <c r="K1984">
        <f>J1984*(1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1984)</f>
        <v/>
      </c>
      <c r="L1984">
        <f>K1984*(MIN(Inputs!$B$22+((C2002=TRUE)*(F2002-Calc!F20)),(Inputs!$B$23+0+(IF(ArtifactsInput!$M$15,CHOOSE(ArtifactsInput!$N$15+1,25,30,35,40,45,50)/100*(Inputs!$B$11-Inputs!$B$11),0))))/100+(Inputs!$B$23+0+(IF(ArtifactsInput!$M$15,CHOOSE(ArtifactsInput!$N$15+1,25,30,35,40,45,50)/100*(Inputs!$B$11-Inputs!$B$11),0)))/100)/2</f>
        <v/>
      </c>
      <c r="M1984">
        <f>L1984*(1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4">
        <f>L1984*(1-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1984*(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4">
        <f>(1-Summary!$B$11)*T1984+Summary!$B$11*V1984</f>
        <v/>
      </c>
      <c r="P1984">
        <f>IF(B2018=0,0,O1984/B2018)</f>
        <v/>
      </c>
      <c r="Q1984" t="n">
        <v>0</v>
      </c>
      <c r="R1984" t="n">
        <v>0</v>
      </c>
      <c r="S1984">
        <f>IFERROR(O1984/N1984,0)</f>
        <v/>
      </c>
      <c r="T1984">
        <f>IF(C1984,(Skills!G2*N1984*B2012)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1984*(1-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1984*(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1984*(1-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1984*(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4">
        <f>MAX(0,(Inputs!$B$3-100)*3)+Inputs!$B$28+Inputs!$B$29</f>
        <v/>
      </c>
      <c r="V1984">
        <f>IF(C1984,(Skills!G2*N1984*B2012)*IF(Inputs!$B$38="pvp",1,(1+(Inputs!$B$21+Skills!Q2+(IF(ArtifactsInput!$M$33,CHOOSE(ArtifactsInput!$N$33+1,30,36,42,48,54,60),0))+(IF(AND(ArtifactsInput!$M$35,Inputs!$B$4&lt;&gt;"Chapter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5">
      <c r="A1985">
        <f>Skills!A3</f>
        <v/>
      </c>
      <c r="B1985">
        <f>Skills!B3</f>
        <v/>
      </c>
      <c r="C1985">
        <f>Inputs!$B$3&gt;=35</f>
        <v/>
      </c>
      <c r="D1985">
        <f>IF(Skills!C3=1,60+Inputs!$B$25+Inputs!$B$29,IF(Skills!C3=2,90+Inputs!$B$26+Inputs!$B$29,IF(Skills!C3=3,120+Inputs!$B$27+Inputs!$B$29,MAX(0,(Inputs!$B$3-100)*3)+Inputs!$B$28+Inputs!$B$29)))</f>
        <v/>
      </c>
      <c r="E1985">
        <f>INDEX(FactorTable!$B$2:$Y$301, MATCH(ROUND(MIN(300,MAX(1,D1985)),0), FactorTable!$A$2:$A$301,0), Skills!M3+1)</f>
        <v/>
      </c>
      <c r="F1985">
        <f>IF(Skills!N3=TRUE,(Skills!L3/10)*(E1985/1000),Skills!L3/10)+Skills!O3</f>
        <v/>
      </c>
      <c r="G1985">
        <f>Skills!G3*IF(Skills!H3&gt;0,Skills!I3/Skills!H3,1)</f>
        <v/>
      </c>
      <c r="H1985">
        <f>1-(1-Skills!J3/100)^Skills!K3</f>
        <v/>
      </c>
      <c r="I1985" t="inlineStr">
        <is>
          <t>1</t>
        </is>
      </c>
      <c r="J1985">
        <f>((Inputs!$B$6*(1+Inputs!$B$7/100))+(((Inputs!$B$12*(1+Inputs!$B$13/100))-(Inputs!$B$12*(1+Inputs!$B$13/100)))+0.25*(Inputs!$B$14-Inputs!$B$14))*(1+Inputs!$B$7/100))*(F1985/100)</f>
        <v/>
      </c>
      <c r="K1985">
        <f>J1985*(1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1985)</f>
        <v/>
      </c>
      <c r="L1985">
        <f>K1985*(MIN(Inputs!$B$22+((C2002=TRUE)*(F2002-Calc!F20)),(Inputs!$B$23+0+(IF(ArtifactsInput!$M$15,CHOOSE(ArtifactsInput!$N$15+1,25,30,35,40,45,50)/100*(Inputs!$B$11-Inputs!$B$11),0))))/100+(Inputs!$B$23+0+(IF(ArtifactsInput!$M$15,CHOOSE(ArtifactsInput!$N$15+1,25,30,35,40,45,50)/100*(Inputs!$B$11-Inputs!$B$11),0)))/100)/2</f>
        <v/>
      </c>
      <c r="M1985">
        <f>L1985*(1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5">
        <f>L1985*(1-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1985*(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5">
        <f>(1-Summary!$B$11)*T1985+Summary!$B$11*V1985</f>
        <v/>
      </c>
      <c r="P1985">
        <f>IF(B2018=0,0,O1985/B2018)</f>
        <v/>
      </c>
      <c r="Q1985" t="n">
        <v>0</v>
      </c>
      <c r="R1985" t="n">
        <v>0</v>
      </c>
      <c r="S1985">
        <f>IFERROR(O1985/N1985,0)</f>
        <v/>
      </c>
      <c r="T1985">
        <f>IF(C1985,(Skills!G3*H1985*N1985*B2012)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1985*(1-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1985*(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1985*(1-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1985*(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5">
        <f>INDEX(FactorTable!$B$2:$Y$301, MATCH(ROUND(MIN(300,MAX(1,U1984)),0), FactorTable!$A$2:$A$301,0), 22)</f>
        <v/>
      </c>
      <c r="V1985">
        <f>IF(C1985,(Skills!G3*H1985*N1985*B2012)*IF(Inputs!$B$38="pvp",1,(1+(Inputs!$B$21+Skills!Q3+(IF(ArtifactsInput!$M$33,CHOOSE(ArtifactsInput!$N$33+1,30,36,42,48,54,60),0))+(IF(AND(ArtifactsInput!$M$35,Inputs!$B$4&lt;&gt;"Chapter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6">
      <c r="A1986">
        <f>Skills!A4</f>
        <v/>
      </c>
      <c r="B1986">
        <f>Skills!B4</f>
        <v/>
      </c>
      <c r="C1986">
        <f>Inputs!$B$3&gt;=60</f>
        <v/>
      </c>
      <c r="D1986">
        <f>IF(Skills!C4=1,60+Inputs!$B$25+Inputs!$B$29,IF(Skills!C4=2,90+Inputs!$B$26+Inputs!$B$29,IF(Skills!C4=3,120+Inputs!$B$27+Inputs!$B$29,MAX(0,(Inputs!$B$3-100)*3)+Inputs!$B$28+Inputs!$B$29)))</f>
        <v/>
      </c>
      <c r="E1986">
        <f>INDEX(FactorTable!$B$2:$Y$301, MATCH(ROUND(MIN(300,MAX(1,D1986)),0), FactorTable!$A$2:$A$301,0), Skills!M4+1)</f>
        <v/>
      </c>
      <c r="F1986">
        <f>IF(Skills!N4=TRUE,(Skills!L4/10)*(E1986/1000),Skills!L4/10)+Skills!O4</f>
        <v/>
      </c>
      <c r="G1986">
        <f>Skills!G4*IF(Skills!H4&gt;0,Skills!I4/Skills!H4,1)</f>
        <v/>
      </c>
      <c r="H1986">
        <f>1-(1-Skills!J4/100)^Skills!K4</f>
        <v/>
      </c>
      <c r="I1986" t="inlineStr">
        <is>
          <t>1</t>
        </is>
      </c>
      <c r="J1986">
        <f>((Inputs!$B$6*(1+Inputs!$B$7/100))+(((Inputs!$B$12*(1+Inputs!$B$13/100))-(Inputs!$B$12*(1+Inputs!$B$13/100)))+0.25*(Inputs!$B$14-Inputs!$B$14))*(1+Inputs!$B$7/100))*(F1986/100)</f>
        <v/>
      </c>
      <c r="K1986">
        <f>J1986*(1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1994=TRUE,F1994,0)/100)*(1+(IF(Skills!A4="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1986)</f>
        <v/>
      </c>
      <c r="L1986">
        <f>K1986*(MIN(Inputs!$B$22+((C2002=TRUE)*(F2002-Calc!F20)),(Inputs!$B$23+0+(IF(ArtifactsInput!$M$15,CHOOSE(ArtifactsInput!$N$15+1,25,30,35,40,45,50)/100*(Inputs!$B$11-Inputs!$B$11),0))))/100+(Inputs!$B$23+0+(IF(ArtifactsInput!$M$15,CHOOSE(ArtifactsInput!$N$15+1,25,30,35,40,45,50)/100*(Inputs!$B$11-Inputs!$B$11),0)))/100)/2</f>
        <v/>
      </c>
      <c r="M1986">
        <f>L1986*(1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6">
        <f>L1986*(1-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1986*(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6">
        <f>(1-Summary!$B$11)*T1986+Summary!$B$11*V1986</f>
        <v/>
      </c>
      <c r="P1986">
        <f>IF(B2018=0,0,O1986/B2018)</f>
        <v/>
      </c>
      <c r="Q1986" t="n">
        <v>0</v>
      </c>
      <c r="R1986" t="n">
        <v>0</v>
      </c>
      <c r="S1986">
        <f>IFERROR(O1986/N1986,0)</f>
        <v/>
      </c>
      <c r="T1986">
        <f>IF(C1986,(Skills!G4*H1986*N1986*B2012)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1986*(1-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1986*(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1986*(1-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1986*(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86">
        <f>290*U1985/1000</f>
        <v/>
      </c>
      <c r="V1986">
        <f>IF(C1986,(Skills!G4*H1986*N1986*B2012)*IF(Inputs!$B$38="pvp",1,(1+(Inputs!$B$21+Skills!Q4+(IF(ArtifactsInput!$M$33,CHOOSE(ArtifactsInput!$N$33+1,30,36,42,48,54,60),0))+(IF(AND(ArtifactsInput!$M$35,Inputs!$B$4&lt;&gt;"Chapter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7">
      <c r="A1987">
        <f>Skills!A5</f>
        <v/>
      </c>
      <c r="B1987">
        <f>Skills!B5</f>
        <v/>
      </c>
      <c r="C1987">
        <f>Inputs!$B$3&gt;=60</f>
        <v/>
      </c>
      <c r="D1987">
        <f>IF(Skills!C5=1,60+Inputs!$B$25+Inputs!$B$29,IF(Skills!C5=2,90+Inputs!$B$26+Inputs!$B$29,IF(Skills!C5=3,120+Inputs!$B$27+Inputs!$B$29,MAX(0,(Inputs!$B$3-100)*3)+Inputs!$B$28+Inputs!$B$29)))</f>
        <v/>
      </c>
      <c r="E1987">
        <f>INDEX(FactorTable!$B$2:$Y$301, MATCH(ROUND(MIN(300,MAX(1,D1987)),0), FactorTable!$A$2:$A$301,0), Skills!M5+1)</f>
        <v/>
      </c>
      <c r="F1987">
        <f>IF(Skills!N5=TRUE,(Skills!L5/10)*(E1987/1000),Skills!L5/10)+Skills!O5</f>
        <v/>
      </c>
      <c r="G1987">
        <f>Skills!G5*IF(Skills!H5&gt;0,Skills!I5/Skills!H5,1)</f>
        <v/>
      </c>
      <c r="H1987">
        <f>1-(1-Skills!J5/100)^Skills!K5</f>
        <v/>
      </c>
      <c r="I1987" t="inlineStr">
        <is>
          <t>1</t>
        </is>
      </c>
      <c r="J1987" t="inlineStr"/>
      <c r="K1987" t="inlineStr"/>
      <c r="L1987" t="inlineStr"/>
      <c r="M1987" t="inlineStr"/>
      <c r="N1987" t="inlineStr"/>
      <c r="O1987">
        <f>(1-Summary!$B$11)*T1987+Summary!$B$11*V1987</f>
        <v/>
      </c>
      <c r="P1987">
        <f>IF(B2018=0,0,O1987/B2018)</f>
        <v/>
      </c>
      <c r="Q1987" t="n">
        <v>0</v>
      </c>
      <c r="R1987" t="n">
        <v>0</v>
      </c>
      <c r="S1987">
        <f>IFERROR(O1987/N1987,0)</f>
        <v/>
      </c>
      <c r="T1987" t="n">
        <v>0</v>
      </c>
      <c r="V1987" t="n">
        <v>0</v>
      </c>
    </row>
    <row r="1988">
      <c r="A1988">
        <f>Skills!A6</f>
        <v/>
      </c>
      <c r="B1988">
        <f>Skills!B6</f>
        <v/>
      </c>
      <c r="C1988">
        <f>Inputs!$B$3&gt;=63</f>
        <v/>
      </c>
      <c r="D1988">
        <f>IF(Skills!C6=1,60+Inputs!$B$25+Inputs!$B$29,IF(Skills!C6=2,90+Inputs!$B$26+Inputs!$B$29,IF(Skills!C6=3,120+Inputs!$B$27+Inputs!$B$29,MAX(0,(Inputs!$B$3-100)*3)+Inputs!$B$28+Inputs!$B$29)))</f>
        <v/>
      </c>
      <c r="E1988">
        <f>INDEX(FactorTable!$B$2:$Y$301, MATCH(ROUND(MIN(300,MAX(1,D1988)),0), FactorTable!$A$2:$A$301,0), Skills!M6+1)</f>
        <v/>
      </c>
      <c r="F1988">
        <f>IF(Skills!N6=TRUE,(Skills!L6/10)*(E1988/1000),Skills!L6/10)+Skills!O6</f>
        <v/>
      </c>
      <c r="G1988">
        <f>Skills!G6*IF(Skills!H6&gt;0,Skills!I6/Skills!H6,1)</f>
        <v/>
      </c>
      <c r="H1988">
        <f>1-(1-Skills!J6/100)^Skills!K6</f>
        <v/>
      </c>
      <c r="I1988" t="inlineStr">
        <is>
          <t>1</t>
        </is>
      </c>
      <c r="J1988">
        <f>((Inputs!$B$6*(1+Inputs!$B$7/100))+(((Inputs!$B$12*(1+Inputs!$B$13/100))-(Inputs!$B$12*(1+Inputs!$B$13/100)))+0.25*(Inputs!$B$14-Inputs!$B$14))*(1+Inputs!$B$7/100))*(F1988/100)</f>
        <v/>
      </c>
      <c r="K1988">
        <f>J1988*(1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1994=TRUE,F1994,0)/100)*(1+(IF(Skills!A6="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1988)</f>
        <v/>
      </c>
      <c r="L1988">
        <f>K1988*(MIN(Inputs!$B$22+((C2002=TRUE)*(F2002-Calc!F20)),(Inputs!$B$23+0+(IF(ArtifactsInput!$M$15,CHOOSE(ArtifactsInput!$N$15+1,25,30,35,40,45,50)/100*(Inputs!$B$11-Inputs!$B$11),0))))/100+(Inputs!$B$23+0+(IF(ArtifactsInput!$M$15,CHOOSE(ArtifactsInput!$N$15+1,25,30,35,40,45,50)/100*(Inputs!$B$11-Inputs!$B$11),0)))/100)/2</f>
        <v/>
      </c>
      <c r="M1988">
        <f>L1988*(1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8">
        <f>L1988*(1-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1988*(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8">
        <f>(1-Summary!$B$11)*T1988+Summary!$B$11*V1988</f>
        <v/>
      </c>
      <c r="P1988">
        <f>IF(B2018=0,0,O1988/B2018)</f>
        <v/>
      </c>
      <c r="Q1988">
        <f>IFERROR(1/(IF(Inputs!$B$38="pvp",15,MAX(0.1,Skills!D6-IF(Skills!E6=TRUE,Inputs!$B$32,0)))*(1-IF(AND(ArtifactsInput!$M$27,Inputs!$B$4="Chapter Hunt"),CHOOSE(ArtifactsInput!$N$27+1,20,24,28,32,36,40),0)/100)),0)</f>
        <v/>
      </c>
      <c r="R1988">
        <f>IF(AND(Inputs!$B$38&lt;&gt;"pvp",Inputs!$B$43&gt;0),IF(MAX(0,Inputs!$B$43-B2015)&lt;=0,0,(INT(MAX(0,Inputs!$B$43-B2015)/(IF(Inputs!$B$38="pvp",15,MAX(0.1,Skills!D6-IF(Skills!E6=TRUE,Inputs!$B$32,0)))*(1-IF(AND(ArtifactsInput!$M$27,Inputs!$B$4="Chapter Hunt"),CHOOSE(ArtifactsInput!$N$27+1,20,24,28,32,36,40),0)/100)))+1)),0)</f>
        <v/>
      </c>
      <c r="S1988">
        <f>IFERROR(O1988/N1988,0)</f>
        <v/>
      </c>
      <c r="T1988">
        <f>IF(C1988,(H1988*N1988*IF(AND(Inputs!$B$38&lt;&gt;"pvp",Inputs!$B$43&gt;0),((Skills!G6*((R1988-1)*IF(Skills!H6&gt;0,Skills!I6/Skills!H6,1)+IF(Skills!H6&gt;0,MIN(Skills!I6,MAX(0,MAX(0,Inputs!$B$43-B2015)-((R1988-1)*(IF(Inputs!$B$38="pvp",15,MAX(0.1,Skills!D6-IF(Skills!E6=TRUE,Inputs!$B$32,0)))*(1-IF(AND(ArtifactsInput!$M$27,Inputs!$B$4="Chapter Hunt"),CHOOSE(ArtifactsInput!$N$27+1,20,24,28,32,36,40),0)/100)))))/Skills!H6,1)))/Inputs!$B$43),G1988*Q1988)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1988*(1-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1988*(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1988*(1-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1988*(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8">
        <f>IF(C1988,(H1988*N1988*IF(AND(Inputs!$B$38&lt;&gt;"pvp",Inputs!$B$43&gt;0),((Skills!G6*((R1988-1)*IF(Skills!H6&gt;0,Skills!I6/Skills!H6,1)+IF(Skills!H6&gt;0,MIN(Skills!I6,MAX(0,MAX(0,Inputs!$B$43-B2015)-((R1988-1)*(IF(Inputs!$B$38="pvp",15,MAX(0.1,Skills!D6-IF(Skills!E6=TRUE,Inputs!$B$32,0)))*(1-IF(AND(ArtifactsInput!$M$27,Inputs!$B$4="Chapter Hunt"),CHOOSE(ArtifactsInput!$N$27+1,20,24,28,32,36,40),0)/100)))))/Skills!H6,1)))/Inputs!$B$43),G1988*Q1988))*IF(Inputs!$B$38="pvp",1,(1+(Inputs!$B$21+Skills!Q6+(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89">
      <c r="A1989">
        <f>Skills!A7</f>
        <v/>
      </c>
      <c r="B1989">
        <f>Skills!B7</f>
        <v/>
      </c>
      <c r="C1989">
        <f>Inputs!$B$3&gt;=100</f>
        <v/>
      </c>
      <c r="D1989">
        <f>IF(Skills!C7=1,60+Inputs!$B$25+Inputs!$B$29,IF(Skills!C7=2,90+Inputs!$B$26+Inputs!$B$29,IF(Skills!C7=3,120+Inputs!$B$27+Inputs!$B$29,MAX(0,(Inputs!$B$3-100)*3)+Inputs!$B$28+Inputs!$B$29)))</f>
        <v/>
      </c>
      <c r="E1989">
        <f>INDEX(FactorTable!$B$2:$Y$301, MATCH(ROUND(MIN(300,MAX(1,D1989)),0), FactorTable!$A$2:$A$301,0), Skills!M7+1)</f>
        <v/>
      </c>
      <c r="F1989">
        <f>IF(Skills!N7=TRUE,(Skills!L7/10)*(E1989/1000),Skills!L7/10)+Skills!O7</f>
        <v/>
      </c>
      <c r="G1989">
        <f>Skills!G7*IF(Skills!H7&gt;0,Skills!I7/Skills!H7,1)</f>
        <v/>
      </c>
      <c r="H1989">
        <f>1-(1-Skills!J7/100)^Skills!K7</f>
        <v/>
      </c>
      <c r="I1989" t="inlineStr">
        <is>
          <t>1</t>
        </is>
      </c>
      <c r="J1989">
        <f>((Inputs!$B$6*(1+Inputs!$B$7/100))+(((Inputs!$B$12*(1+Inputs!$B$13/100))-(Inputs!$B$12*(1+Inputs!$B$13/100)))+0.25*(Inputs!$B$14-Inputs!$B$14))*(1+Inputs!$B$7/100))*(F1989/100)</f>
        <v/>
      </c>
      <c r="K1989">
        <f>J1989*(1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1989)</f>
        <v/>
      </c>
      <c r="L1989">
        <f>K1989*(MIN(Inputs!$B$22+((C2002=TRUE)*(F2002-Calc!F20)),(Inputs!$B$23+0+(IF(ArtifactsInput!$M$15,CHOOSE(ArtifactsInput!$N$15+1,25,30,35,40,45,50)/100*(Inputs!$B$11-Inputs!$B$11),0))))/100+(Inputs!$B$23+0+(IF(ArtifactsInput!$M$15,CHOOSE(ArtifactsInput!$N$15+1,25,30,35,40,45,50)/100*(Inputs!$B$11-Inputs!$B$11),0)))/100)/2</f>
        <v/>
      </c>
      <c r="M1989">
        <f>L1989*(1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89">
        <f>L1989*(1-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1989*(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89">
        <f>(1-Summary!$B$11)*T1989+Summary!$B$11*V1989</f>
        <v/>
      </c>
      <c r="P1989">
        <f>IF(B2018=0,0,O1989/B2018)</f>
        <v/>
      </c>
      <c r="Q1989">
        <f>IFERROR(1/(IF(Inputs!$B$38="pvp",15,MAX(0.1,Skills!D7-IF(Skills!E7=TRUE,Inputs!$B$32,0)))*(1-IF(AND(ArtifactsInput!$M$27,Inputs!$B$4="Chapter Hunt"),CHOOSE(ArtifactsInput!$N$27+1,20,24,28,32,36,40),0)/100)),0)</f>
        <v/>
      </c>
      <c r="R1989">
        <f>IF(AND(Inputs!$B$38&lt;&gt;"pvp",Inputs!$B$43&gt;0),IF(MAX(0,Inputs!$B$43-B2015)&lt;=0,0,(INT(MAX(0,Inputs!$B$43-B2015)/(IF(Inputs!$B$38="pvp",15,MAX(0.1,Skills!D7-IF(Skills!E7=TRUE,Inputs!$B$32,0)))*(1-IF(AND(ArtifactsInput!$M$27,Inputs!$B$4="Chapter Hunt"),CHOOSE(ArtifactsInput!$N$27+1,20,24,28,32,36,40),0)/100)))+1)),0)</f>
        <v/>
      </c>
      <c r="S1989">
        <f>IFERROR(O1989/N1989,0)</f>
        <v/>
      </c>
      <c r="T1989">
        <f>IF(C1989,(H1989*N1989*IF(AND(Inputs!$B$38&lt;&gt;"pvp",Inputs!$B$43&gt;0),((Skills!G7*((R1989-1)*IF(Skills!H7&gt;0,Skills!I7/Skills!H7,1)+IF(Skills!H7&gt;0,MIN(Skills!I7,MAX(0,MAX(0,Inputs!$B$43-B2015)-((R1989-1)*(IF(Inputs!$B$38="pvp",15,MAX(0.1,Skills!D7-IF(Skills!E7=TRUE,Inputs!$B$32,0)))*(1-IF(AND(ArtifactsInput!$M$27,Inputs!$B$4="Chapter Hunt"),CHOOSE(ArtifactsInput!$N$27+1,20,24,28,32,36,40),0)/100)))))/Skills!H7,1)))/Inputs!$B$43),G1989*Q1989)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1989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1989*(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1989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1989*(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89">
        <f>IF(C1989,(H1989*N1989*IF(AND(Inputs!$B$38&lt;&gt;"pvp",Inputs!$B$43&gt;0),((Skills!G7*((R1989-1)*IF(Skills!H7&gt;0,Skills!I7/Skills!H7,1)+IF(Skills!H7&gt;0,MIN(Skills!I7,MAX(0,MAX(0,Inputs!$B$43-B2015)-((R1989-1)*(IF(Inputs!$B$38="pvp",15,MAX(0.1,Skills!D7-IF(Skills!E7=TRUE,Inputs!$B$32,0)))*(1-IF(AND(ArtifactsInput!$M$27,Inputs!$B$4="Chapter Hunt"),CHOOSE(ArtifactsInput!$N$27+1,20,24,28,32,36,40),0)/100)))))/Skills!H7,1)))/Inputs!$B$43),G1989*Q1989))*IF(Inputs!$B$38="pvp",1,(1+(Inputs!$B$21+Skills!Q7+(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0">
      <c r="A1990">
        <f>Skills!A8</f>
        <v/>
      </c>
      <c r="B1990">
        <f>Skills!B8</f>
        <v/>
      </c>
      <c r="C1990">
        <f>Inputs!$B$3&gt;=110</f>
        <v/>
      </c>
      <c r="D1990">
        <f>IF(Skills!C8=1,60+Inputs!$B$25+Inputs!$B$29,IF(Skills!C8=2,90+Inputs!$B$26+Inputs!$B$29,IF(Skills!C8=3,120+Inputs!$B$27+Inputs!$B$29,MAX(0,(Inputs!$B$3-100)*3)+Inputs!$B$28+Inputs!$B$29)))</f>
        <v/>
      </c>
      <c r="E1990">
        <f>INDEX(FactorTable!$B$2:$Y$301, MATCH(ROUND(MIN(300,MAX(1,D1990)),0), FactorTable!$A$2:$A$301,0), Skills!M8+1)</f>
        <v/>
      </c>
      <c r="F1990">
        <f>IF(Skills!N8=TRUE,(Skills!L8/10)*(E1990/1000),Skills!L8/10)+Skills!O8</f>
        <v/>
      </c>
      <c r="G1990">
        <f>Skills!G8*IF(Skills!H8&gt;0,Skills!I8/Skills!H8,1)</f>
        <v/>
      </c>
      <c r="H1990">
        <f>1-(1-Skills!J8/100)^Skills!K8</f>
        <v/>
      </c>
      <c r="I1990" t="inlineStr">
        <is>
          <t>1</t>
        </is>
      </c>
      <c r="J1990">
        <f>((Inputs!$B$6*(1+Inputs!$B$7/100))+(((Inputs!$B$12*(1+Inputs!$B$13/100))-(Inputs!$B$12*(1+Inputs!$B$13/100)))+0.25*(Inputs!$B$14-Inputs!$B$14))*(1+Inputs!$B$7/100))*(F1990/100)</f>
        <v/>
      </c>
      <c r="K1990">
        <f>J1990*(1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1990)</f>
        <v/>
      </c>
      <c r="L1990">
        <f>K1990*(MIN(Inputs!$B$22+((C2002=TRUE)*(F2002-Calc!F20)),(Inputs!$B$23+0+(IF(ArtifactsInput!$M$15,CHOOSE(ArtifactsInput!$N$15+1,25,30,35,40,45,50)/100*(Inputs!$B$11-Inputs!$B$11),0))))/100+(Inputs!$B$23+0+(IF(ArtifactsInput!$M$15,CHOOSE(ArtifactsInput!$N$15+1,25,30,35,40,45,50)/100*(Inputs!$B$11-Inputs!$B$11),0)))/100)/2</f>
        <v/>
      </c>
      <c r="M1990">
        <f>L1990*(1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0">
        <f>L1990*(1-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1990*(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0">
        <f>(1-Summary!$B$11)*T1990+Summary!$B$11*V1990</f>
        <v/>
      </c>
      <c r="P1990">
        <f>IF(B2018=0,0,O1990/B2018)</f>
        <v/>
      </c>
      <c r="Q1990">
        <f>IFERROR(1/(IF(Inputs!$B$38="pvp",15,MAX(0.1,Skills!D8-IF(Skills!E8=TRUE,Inputs!$B$32,0)))*(1-IF(AND(ArtifactsInput!$M$27,Inputs!$B$4="Chapter Hunt"),CHOOSE(ArtifactsInput!$N$27+1,20,24,28,32,36,40),0)/100)),0)</f>
        <v/>
      </c>
      <c r="R1990">
        <f>IF(AND(Inputs!$B$38&lt;&gt;"pvp",Inputs!$B$43&gt;0),IF(MAX(0,Inputs!$B$43-B2015)&lt;=0,0,(INT(MAX(0,Inputs!$B$43-B2015)/(IF(Inputs!$B$38="pvp",15,MAX(0.1,Skills!D8-IF(Skills!E8=TRUE,Inputs!$B$32,0)))*(1-IF(AND(ArtifactsInput!$M$27,Inputs!$B$4="Chapter Hunt"),CHOOSE(ArtifactsInput!$N$27+1,20,24,28,32,36,40),0)/100)))+1)),0)</f>
        <v/>
      </c>
      <c r="S1990">
        <f>IFERROR(O1990/N1990,0)</f>
        <v/>
      </c>
      <c r="T1990">
        <f>IF(C1990,(H1990*N1990*IF(AND(Inputs!$B$38&lt;&gt;"pvp",Inputs!$B$43&gt;0),((Skills!G8*((R1990-1)*IF(Skills!H8&gt;0,Skills!I8/Skills!H8,1)+IF(Skills!H8&gt;0,MIN(Skills!I8,MAX(0,MAX(0,Inputs!$B$43-B2015)-((R1990-1)*(IF(Inputs!$B$38="pvp",15,MAX(0.1,Skills!D8-IF(Skills!E8=TRUE,Inputs!$B$32,0)))*(1-IF(AND(ArtifactsInput!$M$27,Inputs!$B$4="Chapter Hunt"),CHOOSE(ArtifactsInput!$N$27+1,20,24,28,32,36,40),0)/100)))))/Skills!H8,1)))/Inputs!$B$43),G1990*Q1990)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1990*(1-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1990*(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1990*(1-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1990*(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0">
        <f>IF(C1990,(H1990*N1990*IF(AND(Inputs!$B$38&lt;&gt;"pvp",Inputs!$B$43&gt;0),((Skills!G8*((R1990-1)*IF(Skills!H8&gt;0,Skills!I8/Skills!H8,1)+IF(Skills!H8&gt;0,MIN(Skills!I8,MAX(0,MAX(0,Inputs!$B$43-B2015)-((R1990-1)*(IF(Inputs!$B$38="pvp",15,MAX(0.1,Skills!D8-IF(Skills!E8=TRUE,Inputs!$B$32,0)))*(1-IF(AND(ArtifactsInput!$M$27,Inputs!$B$4="Chapter Hunt"),CHOOSE(ArtifactsInput!$N$27+1,20,24,28,32,36,40),0)/100)))))/Skills!H8,1)))/Inputs!$B$43),G1990*Q1990))*IF(Inputs!$B$38="pvp",1,(1+(Inputs!$B$21+Skills!Q8+(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1">
      <c r="A1991">
        <f>Skills!A9</f>
        <v/>
      </c>
      <c r="B1991">
        <f>Skills!B9</f>
        <v/>
      </c>
      <c r="C1991">
        <f>Inputs!$B$3&gt;=110</f>
        <v/>
      </c>
      <c r="D1991">
        <f>IF(Skills!C9=1,60+Inputs!$B$25+Inputs!$B$29,IF(Skills!C9=2,90+Inputs!$B$26+Inputs!$B$29,IF(Skills!C9=3,120+Inputs!$B$27+Inputs!$B$29,MAX(0,(Inputs!$B$3-100)*3)+Inputs!$B$28+Inputs!$B$29)))</f>
        <v/>
      </c>
      <c r="E1991">
        <f>INDEX(FactorTable!$B$2:$Y$301, MATCH(ROUND(MIN(300,MAX(1,D1991)),0), FactorTable!$A$2:$A$301,0), Skills!M9+1)</f>
        <v/>
      </c>
      <c r="F1991">
        <f>IF(Skills!N9=TRUE,(Skills!L9/10)*(E1991/1000),Skills!L9/10)+Skills!O9</f>
        <v/>
      </c>
      <c r="G1991">
        <f>Skills!G9*IF(Skills!H9&gt;0,Skills!I9/Skills!H9,1)</f>
        <v/>
      </c>
      <c r="H1991">
        <f>1-(1-Skills!J9/100)^Skills!K9</f>
        <v/>
      </c>
      <c r="I1991" t="inlineStr">
        <is>
          <t>1</t>
        </is>
      </c>
      <c r="J1991">
        <f>((Inputs!$B$6*(1+Inputs!$B$7/100))+(((Inputs!$B$12*(1+Inputs!$B$13/100))-(Inputs!$B$12*(1+Inputs!$B$13/100)))+0.25*(Inputs!$B$14-Inputs!$B$14))*(1+Inputs!$B$7/100))*(F1991/100)</f>
        <v/>
      </c>
      <c r="K1991">
        <f>J1991*(1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1991)</f>
        <v/>
      </c>
      <c r="L1991">
        <f>K1991*(MIN(Inputs!$B$22+((C2002=TRUE)*(F2002-Calc!F20)),(Inputs!$B$23+0+(IF(ArtifactsInput!$M$15,CHOOSE(ArtifactsInput!$N$15+1,25,30,35,40,45,50)/100*(Inputs!$B$11-Inputs!$B$11),0))))/100+(Inputs!$B$23+0+(IF(ArtifactsInput!$M$15,CHOOSE(ArtifactsInput!$N$15+1,25,30,35,40,45,50)/100*(Inputs!$B$11-Inputs!$B$11),0)))/100)/2</f>
        <v/>
      </c>
      <c r="M1991">
        <f>L1991*(1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1">
        <f>L1991*(1-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1">
        <f>(1-Summary!$B$11)*T1991+Summary!$B$11*V1991</f>
        <v/>
      </c>
      <c r="P1991">
        <f>IF(B2018=0,0,O1991/B2018)</f>
        <v/>
      </c>
      <c r="Q1991">
        <f>IFERROR(1/(IF(Inputs!$B$38="pvp",15,MAX(0.1,Skills!D9-IF(Skills!E9=TRUE,Inputs!$B$32,0)))*(1-IF(AND(ArtifactsInput!$M$27,Inputs!$B$4="Chapter Hunt"),CHOOSE(ArtifactsInput!$N$27+1,20,24,28,32,36,40),0)/100)),0)</f>
        <v/>
      </c>
      <c r="R1991">
        <f>IF(AND(Inputs!$B$38&lt;&gt;"pvp",Inputs!$B$43&gt;0),IF(MAX(0,Inputs!$B$43-B2015)&lt;=0,0,(INT(MAX(0,Inputs!$B$43-B2015)/(IF(Inputs!$B$38="pvp",15,MAX(0.1,Skills!D9-IF(Skills!E9=TRUE,Inputs!$B$32,0)))*(1-IF(AND(ArtifactsInput!$M$27,Inputs!$B$4="Chapter Hunt"),CHOOSE(ArtifactsInput!$N$27+1,20,24,28,32,36,40),0)/100)))+1)),0)</f>
        <v/>
      </c>
      <c r="S1991">
        <f>IFERROR(O1991/N1991,0)</f>
        <v/>
      </c>
      <c r="T1991">
        <f>IF(C1991,(H1991*N1991*IF(AND(Inputs!$B$38&lt;&gt;"pvp",Inputs!$B$43&gt;0),((Skills!G9*((R1991-1)*IF(Skills!H9&gt;0,Skills!I9/Skills!H9,1)+IF(Skills!H9&gt;0,MIN(Skills!I9,MAX(0,MAX(0,Inputs!$B$43-B2015)-((R1991-1)*(IF(Inputs!$B$38="pvp",15,MAX(0.1,Skills!D9-IF(Skills!E9=TRUE,Inputs!$B$32,0)))*(1-IF(AND(ArtifactsInput!$M$27,Inputs!$B$4="Chapter Hunt"),CHOOSE(ArtifactsInput!$N$27+1,20,24,28,32,36,40),0)/100)))))/Skills!H9,1)))/Inputs!$B$43),G1991*Q1991)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1991*(1-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1991*(1-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1">
        <f>IF(C1991,(H1991*N1991*IF(AND(Inputs!$B$38&lt;&gt;"pvp",Inputs!$B$43&gt;0),((Skills!G9*((R1991-1)*IF(Skills!H9&gt;0,Skills!I9/Skills!H9,1)+IF(Skills!H9&gt;0,MIN(Skills!I9,MAX(0,MAX(0,Inputs!$B$43-B2015)-((R1991-1)*(IF(Inputs!$B$38="pvp",15,MAX(0.1,Skills!D9-IF(Skills!E9=TRUE,Inputs!$B$32,0)))*(1-IF(AND(ArtifactsInput!$M$27,Inputs!$B$4="Chapter Hunt"),CHOOSE(ArtifactsInput!$N$27+1,20,24,28,32,36,40),0)/100)))))/Skills!H9,1)))/Inputs!$B$43),G1991*Q1991))*IF(Inputs!$B$38="pvp",1,(1+(Inputs!$B$21+Skills!Q9+(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2">
      <c r="A1992">
        <f>Skills!A10</f>
        <v/>
      </c>
      <c r="B1992">
        <f>Skills!B10</f>
        <v/>
      </c>
      <c r="C1992">
        <f>Inputs!$B$3&gt;=103</f>
        <v/>
      </c>
      <c r="D1992">
        <f>IF(Skills!C10=1,60+Inputs!$B$25+Inputs!$B$29,IF(Skills!C10=2,90+Inputs!$B$26+Inputs!$B$29,IF(Skills!C10=3,120+Inputs!$B$27+Inputs!$B$29,MAX(0,(Inputs!$B$3-100)*3)+Inputs!$B$28+Inputs!$B$29)))</f>
        <v/>
      </c>
      <c r="E1992">
        <f>INDEX(FactorTable!$B$2:$Y$301, MATCH(ROUND(MIN(300,MAX(1,D1992)),0), FactorTable!$A$2:$A$301,0), Skills!M10+1)</f>
        <v/>
      </c>
      <c r="F1992">
        <f>IF(Skills!N10=TRUE,(Skills!L10/10)*(E1992/1000),Skills!L10/10)+Skills!O10</f>
        <v/>
      </c>
      <c r="G1992">
        <f>Skills!G10*IF(Skills!H10&gt;0,Skills!I10/Skills!H10,1)</f>
        <v/>
      </c>
      <c r="H1992">
        <f>1-(1-Skills!J10/100)^Skills!K10</f>
        <v/>
      </c>
      <c r="I1992" t="inlineStr">
        <is>
          <t>1</t>
        </is>
      </c>
      <c r="J1992">
        <f>((Inputs!$B$6*(1+Inputs!$B$7/100))+(((Inputs!$B$12*(1+Inputs!$B$13/100))-(Inputs!$B$12*(1+Inputs!$B$13/100)))+0.25*(Inputs!$B$14-Inputs!$B$14))*(1+Inputs!$B$7/100))*(F1992/100)</f>
        <v/>
      </c>
      <c r="K1992">
        <f>J1992*(1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1992)</f>
        <v/>
      </c>
      <c r="L1992">
        <f>K1992*(MIN(Inputs!$B$22+((C2002=TRUE)*(F2002-Calc!F20)),(Inputs!$B$23+0+(IF(ArtifactsInput!$M$15,CHOOSE(ArtifactsInput!$N$15+1,25,30,35,40,45,50)/100*(Inputs!$B$11-Inputs!$B$11),0))))/100+(Inputs!$B$23+0+(IF(ArtifactsInput!$M$15,CHOOSE(ArtifactsInput!$N$15+1,25,30,35,40,45,50)/100*(Inputs!$B$11-Inputs!$B$11),0)))/100)/2</f>
        <v/>
      </c>
      <c r="M1992">
        <f>L1992*(1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2">
        <f>L1992*(1-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1992*(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2">
        <f>(1-Summary!$B$11)*T1992+Summary!$B$11*V1992</f>
        <v/>
      </c>
      <c r="P1992">
        <f>IF(B2018=0,0,O1992/B2018)</f>
        <v/>
      </c>
      <c r="Q1992">
        <f>IFERROR(1/(IF(Inputs!$B$38="pvp",15,MAX(0.1,Skills!D10-IF(Skills!E10=TRUE,Inputs!$B$32,0)))*(1-IF(AND(ArtifactsInput!$M$27,Inputs!$B$4="Chapter Hunt"),CHOOSE(ArtifactsInput!$N$27+1,20,24,28,32,36,40),0)/100)),0)</f>
        <v/>
      </c>
      <c r="R1992">
        <f>IF(AND(Inputs!$B$38&lt;&gt;"pvp",Inputs!$B$43&gt;0),IF(MAX(0,Inputs!$B$43-B2015)&lt;=0,0,(INT(MAX(0,Inputs!$B$43-B2015)/(IF(Inputs!$B$38="pvp",15,MAX(0.1,Skills!D10-IF(Skills!E10=TRUE,Inputs!$B$32,0)))*(1-IF(AND(ArtifactsInput!$M$27,Inputs!$B$4="Chapter Hunt"),CHOOSE(ArtifactsInput!$N$27+1,20,24,28,32,36,40),0)/100)))+1)),0)</f>
        <v/>
      </c>
      <c r="S1992">
        <f>IFERROR(O1992/N1992,0)</f>
        <v/>
      </c>
      <c r="T1992">
        <f>IF(C1992,(H1992*N1992*IF(AND(Inputs!$B$38&lt;&gt;"pvp",Inputs!$B$43&gt;0),((Skills!G10*((R1992-1)*IF(Skills!H10&gt;0,Skills!I10/Skills!H10,1)+IF(Skills!H10&gt;0,MIN(Skills!I10,MAX(0,MAX(0,Inputs!$B$43-B2015)-((R1992-1)*(IF(Inputs!$B$38="pvp",15,MAX(0.1,Skills!D10-IF(Skills!E10=TRUE,Inputs!$B$32,0)))*(1-IF(AND(ArtifactsInput!$M$27,Inputs!$B$4="Chapter Hunt"),CHOOSE(ArtifactsInput!$N$27+1,20,24,28,32,36,40),0)/100)))))/Skills!H10,1)))/Inputs!$B$43),G1992*Q1992)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1992*(1-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1992*(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1992*(1-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1992*(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2">
        <f>IF(C1992,(H1992*N1992*IF(AND(Inputs!$B$38&lt;&gt;"pvp",Inputs!$B$43&gt;0),((Skills!G10*((R1992-1)*IF(Skills!H10&gt;0,Skills!I10/Skills!H10,1)+IF(Skills!H10&gt;0,MIN(Skills!I10,MAX(0,MAX(0,Inputs!$B$43-B2015)-((R1992-1)*(IF(Inputs!$B$38="pvp",15,MAX(0.1,Skills!D10-IF(Skills!E10=TRUE,Inputs!$B$32,0)))*(1-IF(AND(ArtifactsInput!$M$27,Inputs!$B$4="Chapter Hunt"),CHOOSE(ArtifactsInput!$N$27+1,20,24,28,32,36,40),0)/100)))))/Skills!H10,1)))/Inputs!$B$43),G1992*Q1992))*IF(Inputs!$B$38="pvp",1,(1+(Inputs!$B$21+Skills!Q10+(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3">
      <c r="A1993">
        <f>Skills!A11</f>
        <v/>
      </c>
      <c r="B1993">
        <f>Skills!B11</f>
        <v/>
      </c>
      <c r="C1993">
        <f>Inputs!$B$3&gt;=113</f>
        <v/>
      </c>
      <c r="D1993">
        <f>IF(Skills!C11=1,60+Inputs!$B$25+Inputs!$B$29,IF(Skills!C11=2,90+Inputs!$B$26+Inputs!$B$29,IF(Skills!C11=3,120+Inputs!$B$27+Inputs!$B$29,MAX(0,(Inputs!$B$3-100)*3)+Inputs!$B$28+Inputs!$B$29)))</f>
        <v/>
      </c>
      <c r="E1993">
        <f>INDEX(FactorTable!$B$2:$Y$301, MATCH(ROUND(MIN(300,MAX(1,D1993)),0), FactorTable!$A$2:$A$301,0), Skills!M11+1)</f>
        <v/>
      </c>
      <c r="F1993">
        <f>IF(Skills!N11=TRUE,(Skills!L11/10)*(E1993/1000),Skills!L11/10)+Skills!O11</f>
        <v/>
      </c>
      <c r="G1993">
        <f>Skills!G11*IF(Skills!H11&gt;0,Skills!I11/Skills!H11,1)</f>
        <v/>
      </c>
      <c r="H1993">
        <f>1-(1-Skills!J11/100)^Skills!K11</f>
        <v/>
      </c>
      <c r="I1993" t="inlineStr">
        <is>
          <t>1</t>
        </is>
      </c>
      <c r="J1993">
        <f>((Inputs!$B$6*(1+Inputs!$B$7/100))+(((Inputs!$B$12*(1+Inputs!$B$13/100))-(Inputs!$B$12*(1+Inputs!$B$13/100)))+0.25*(Inputs!$B$14-Inputs!$B$14))*(1+Inputs!$B$7/100))*(F1993/100)</f>
        <v/>
      </c>
      <c r="K1993">
        <f>J1993*(1+((Inputs!$B$12*(1+Inputs!$B$13/100))*0.01+Inputs!$B$14*0.0025)/100)*(1+Inputs!$B$15/100)*(1+Inputs!$B$16/100)*(5000/(6000+Inputs!$B$42*(1-(100*(1-(1-(Inputs!$B$19+0)/100)*(1-CHOOSE(ArtifactsInput!$N$40+1,5,6,7,8,9,10)/100)^(ArtifactsInput!$M$40-ArtifactsInput!$M$40)))/100)))*(1+(Inputs!$B$24+((C2004=TRUE)*(F2004-Calc!F22))+B2014)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2003=TRUE)*(F2003-Calc!F21))+(((IF(AND(ArtifactsInput!$M$42,((Inputs!$B$9+((C1998=TRUE)*(F1998-Calc!F16))+B2008+(ArtifactsInput!$M$24-ArtifactsInput!$M$24)*CHOOSE(ArtifactsInput!$N$24+1,10,12,14,16,18,20)+IF(ArtifactsInput!$M$10,CHOOSE(ArtifactsInput!$N$10+1,15,18,21,24,27,30)*(IF(Inputs!$B$38="pvp",MIN(15,15)/15,IF(AND(Inputs!$B$38&lt;&gt;"pvp",Inputs!$B$43&gt;0),MIN(15,Inputs!$B$43)/(Inputs!$B$43),0))),0)))&gt;=100),MIN(100,((Inputs!$B$9+((C1998=TRUE)*(F1998-Calc!F16))+B2008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1998=TRUE)*(F1998-Calc!F16))+B2008+(ArtifactsInput!$M$24-ArtifactsInput!$M$24)*CHOOSE(ArtifactsInput!$N$24+1,10,12,14,16,18,20)+IF(ArtifactsInput!$M$10,CHOOSE(ArtifactsInput!$N$10+1,15,18,21,24,27,30)*(IF(Inputs!$B$38="pvp",MIN(15,15)/15,IF(AND(Inputs!$B$38&lt;&gt;"pvp",Inputs!$B$43&gt;0),MIN(15,Inputs!$B$43)/(Inputs!$B$43),0))),0)))&gt;=100),CHOOSE(ArtifactsInput!$N$42+1,40,48,56,64,72,80),0))))/100)*((1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1993)</f>
        <v/>
      </c>
      <c r="L1993">
        <f>K1993*(MIN(Inputs!$B$22+((C2002=TRUE)*(F2002-Calc!F20)),(Inputs!$B$23+0+(IF(ArtifactsInput!$M$15,CHOOSE(ArtifactsInput!$N$15+1,25,30,35,40,45,50)/100*(Inputs!$B$11-Inputs!$B$11),0))))/100+(Inputs!$B$23+0+(IF(ArtifactsInput!$M$15,CHOOSE(ArtifactsInput!$N$15+1,25,30,35,40,45,50)/100*(Inputs!$B$11-Inputs!$B$11),0)))/100)/2</f>
        <v/>
      </c>
      <c r="M1993">
        <f>L1993*(1+(Inputs!$B$10+0+B2013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93">
        <f>L1993*(1-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1993*(MIN((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93">
        <f>(1-Summary!$B$11)*T1993+Summary!$B$11*V1993</f>
        <v/>
      </c>
      <c r="P1993">
        <f>IF(B2018=0,0,O1993/B2018)</f>
        <v/>
      </c>
      <c r="Q1993">
        <f>IFERROR(1/(IF(Inputs!$B$38="pvp",15,MAX(0.1,Skills!D11-IF(Skills!E11=TRUE,Inputs!$B$32,0)))*(1-IF(AND(ArtifactsInput!$M$27,Inputs!$B$4="Chapter Hunt"),CHOOSE(ArtifactsInput!$N$27+1,20,24,28,32,36,40),0)/100)),0)</f>
        <v/>
      </c>
      <c r="R1993">
        <f>IF(AND(Inputs!$B$38&lt;&gt;"pvp",Inputs!$B$43&gt;0),IF(MAX(0,Inputs!$B$43-B2015)&lt;=0,0,(INT(MAX(0,Inputs!$B$43-B2015)/(IF(Inputs!$B$38="pvp",15,MAX(0.1,Skills!D11-IF(Skills!E11=TRUE,Inputs!$B$32,0)))*(1-IF(AND(ArtifactsInput!$M$27,Inputs!$B$4="Chapter Hunt"),CHOOSE(ArtifactsInput!$N$27+1,20,24,28,32,36,40),0)/100)))+1)),0)</f>
        <v/>
      </c>
      <c r="S1993">
        <f>IFERROR(O1993/N1993,0)</f>
        <v/>
      </c>
      <c r="T1993">
        <f>IF(C1993,(H1993*N1993*IF(AND(Inputs!$B$38&lt;&gt;"pvp",Inputs!$B$43&gt;0),((Skills!G11*((R1993-1)*IF(Skills!H11&gt;0,Skills!I11/Skills!H11,1)+IF(Skills!H11&gt;0,MIN(Skills!I11,MAX(0,MAX(0,Inputs!$B$43-B2015)-((R1993-1)*(IF(Inputs!$B$38="pvp",15,MAX(0.1,Skills!D11-IF(Skills!E11=TRUE,Inputs!$B$32,0)))*(1-IF(AND(ArtifactsInput!$M$27,Inputs!$B$4="Chapter Hunt"),CHOOSE(ArtifactsInput!$N$27+1,20,24,28,32,36,40),0)/100)))))/Skills!H11,1)))/Inputs!$B$43),G1993*Q1993)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1993*(1-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1993*(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1993*(1-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1993*(MIN(100,(Inputs!$B$9+((C1998=TRUE)*(F1998-Calc!F16))+B2008+(ArtifactsInput!$M$24-ArtifactsInput!$M$24)*CHOOSE(ArtifactsInput!$N$24+1,10,12,14,16,18,20)+(IF(AND(ArtifactsInput!$M$42,((Inputs!$B$9+((C1998=TRUE)*(F1998-Calc!F16))+B2008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93">
        <f>IF(C1993,(H1993*N1993*IF(AND(Inputs!$B$38&lt;&gt;"pvp",Inputs!$B$43&gt;0),((Skills!G11*((R1993-1)*IF(Skills!H11&gt;0,Skills!I11/Skills!H11,1)+IF(Skills!H11&gt;0,MIN(Skills!I11,MAX(0,MAX(0,Inputs!$B$43-B2015)-((R1993-1)*(IF(Inputs!$B$38="pvp",15,MAX(0.1,Skills!D11-IF(Skills!E11=TRUE,Inputs!$B$32,0)))*(1-IF(AND(ArtifactsInput!$M$27,Inputs!$B$4="Chapter Hunt"),CHOOSE(ArtifactsInput!$N$27+1,20,24,28,32,36,40),0)/100)))))/Skills!H11,1)))/Inputs!$B$43),G1993*Q1993))*IF(Inputs!$B$38="pvp",1,(1+(Inputs!$B$21+Skills!Q11+(IF(ArtifactsInput!$M$33,CHOOSE(ArtifactsInput!$N$33+1,30,36,42,48,54,60),0))+(IF(AND(ArtifactsInput!$M$35,Inputs!$B$4&lt;&gt;"Chapter Hunt"),CHOOSE(ArtifactsInput!$N$35+1,15,18,21,24,27,30)*(1-EXP(-(0.2*B2010)*5)),0)+IF(AND(ArtifactsInput!$M$22,Inputs!$B$4&lt;&gt;"Chapter Hunt"),CHOOSE(ArtifactsInput!$N$22+1,10,12,14,16,18,20)*((0*(((0.15*B2010*5))^0/1)+1*(((0.15*B2010*5))^1/1)+2*(((0.15*B2010*5))^2/2)+3*(((0.15*B2010*5))^3/6)+4*(((0.15*B2010*5))^4/24)+5*(((0.15*B2010*5))^5/120))/((((0.15*B2010*5))^0/1)+(((0.15*B2010*5))^1/1)+(((0.15*B2010*5))^2/2)+(((0.15*B2010*5))^3/6)+(((0.15*B2010*5))^4/24)+(((0.15*B2010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94">
      <c r="A1994">
        <f>Skills!A12</f>
        <v/>
      </c>
      <c r="B1994">
        <f>Skills!B12</f>
        <v/>
      </c>
      <c r="C1994">
        <f>Inputs!$B$3&gt;=100</f>
        <v/>
      </c>
      <c r="D1994">
        <f>IF(Skills!C12=1,60+Inputs!$B$25+Inputs!$B$29,IF(Skills!C12=2,90+Inputs!$B$26+Inputs!$B$29,IF(Skills!C12=3,120+Inputs!$B$27+Inputs!$B$29,MAX(0,(Inputs!$B$3-100)*3)+Inputs!$B$28+Inputs!$B$29)))</f>
        <v/>
      </c>
      <c r="E1994">
        <f>INDEX(FactorTable!$B$2:$Y$301, MATCH(ROUND(MIN(300,MAX(1,D1994)),0), FactorTable!$A$2:$A$301,0), Skills!M12+1)</f>
        <v/>
      </c>
      <c r="F1994">
        <f>IF(Skills!N12=TRUE,(Skills!L12/10)*(E1994/1000),Skills!L12/10)+Skills!O12</f>
        <v/>
      </c>
      <c r="G1994" t="inlineStr"/>
      <c r="H1994" t="inlineStr"/>
      <c r="I1994" t="inlineStr">
        <is>
          <t>1</t>
        </is>
      </c>
      <c r="J1994" t="inlineStr"/>
      <c r="K1994" t="inlineStr"/>
      <c r="L1994" t="inlineStr"/>
      <c r="M1994" t="inlineStr"/>
      <c r="N1994" t="inlineStr"/>
      <c r="O1994" t="inlineStr"/>
      <c r="P1994" t="inlineStr"/>
      <c r="Q1994" t="inlineStr"/>
      <c r="R1994" t="inlineStr"/>
      <c r="S1994" t="inlineStr"/>
      <c r="T1994" t="inlineStr"/>
      <c r="V1994" t="inlineStr"/>
    </row>
    <row r="1995">
      <c r="A1995">
        <f>Skills!A13</f>
        <v/>
      </c>
      <c r="B1995">
        <f>Skills!B13</f>
        <v/>
      </c>
      <c r="C1995">
        <f>Inputs!$B$3&gt;=66</f>
        <v/>
      </c>
      <c r="D1995">
        <f>IF(Skills!C13=1,60+Inputs!$B$25+Inputs!$B$29,IF(Skills!C13=2,90+Inputs!$B$26+Inputs!$B$29,IF(Skills!C13=3,120+Inputs!$B$27+Inputs!$B$29,MAX(0,(Inputs!$B$3-100)*3)+Inputs!$B$28+Inputs!$B$29)))</f>
        <v/>
      </c>
      <c r="E1995">
        <f>INDEX(FactorTable!$B$2:$Y$301, MATCH(ROUND(MIN(300,MAX(1,D1995)),0), FactorTable!$A$2:$A$301,0), Skills!M13+1)</f>
        <v/>
      </c>
      <c r="F1995">
        <f>IF(Skills!N13=TRUE,(Skills!L13/10)*(E1995/1000),Skills!L13/10)+Skills!O13</f>
        <v/>
      </c>
      <c r="G1995">
        <f>Skills!G13*IF(Skills!H13&gt;0,Skills!I13/Skills!H13,1)</f>
        <v/>
      </c>
      <c r="H1995">
        <f>1-(1-Skills!J13/100)^Skills!K13</f>
        <v/>
      </c>
      <c r="I1995" t="inlineStr">
        <is>
          <t>1</t>
        </is>
      </c>
      <c r="J1995" t="inlineStr"/>
      <c r="K1995" t="inlineStr"/>
      <c r="L1995" t="inlineStr"/>
      <c r="M1995" t="inlineStr"/>
      <c r="N1995" t="inlineStr"/>
      <c r="O1995">
        <f>(1-Summary!$B$11)*T1995+Summary!$B$11*V1995</f>
        <v/>
      </c>
      <c r="P1995">
        <f>IF(B2018=0,0,O1995/B2018)</f>
        <v/>
      </c>
      <c r="Q1995" t="n">
        <v>0</v>
      </c>
      <c r="R1995" t="n">
        <v>0</v>
      </c>
      <c r="S1995">
        <f>IFERROR(O1995/N1995,0)</f>
        <v/>
      </c>
      <c r="T1995" t="n">
        <v>0</v>
      </c>
      <c r="V1995" t="n">
        <v>0</v>
      </c>
    </row>
    <row r="1996">
      <c r="A1996">
        <f>Skills!A14</f>
        <v/>
      </c>
      <c r="B1996">
        <f>Skills!B14</f>
        <v/>
      </c>
      <c r="C1996">
        <f>Inputs!$B$3&gt;=107</f>
        <v/>
      </c>
      <c r="D1996">
        <f>IF(Skills!C14=1,60+Inputs!$B$25+Inputs!$B$29,IF(Skills!C14=2,90+Inputs!$B$26+Inputs!$B$29,IF(Skills!C14=3,120+Inputs!$B$27+Inputs!$B$29,MAX(0,(Inputs!$B$3-100)*3)+Inputs!$B$28+Inputs!$B$29)))</f>
        <v/>
      </c>
      <c r="E1996">
        <f>INDEX(FactorTable!$B$2:$Y$301, MATCH(ROUND(MIN(300,MAX(1,D1996)),0), FactorTable!$A$2:$A$301,0), Skills!M14+1)</f>
        <v/>
      </c>
      <c r="F1996">
        <f>IF(Skills!N14=TRUE,(Skills!L14/10)*(E1996/1000),Skills!L14/10)+Skills!O14</f>
        <v/>
      </c>
      <c r="G1996">
        <f>Skills!G14*IF(Skills!H14&gt;0,Skills!I14/Skills!H14,1)</f>
        <v/>
      </c>
      <c r="H1996">
        <f>1-(1-Skills!J14/100)^Skills!K14</f>
        <v/>
      </c>
      <c r="I1996" t="inlineStr">
        <is>
          <t>1</t>
        </is>
      </c>
      <c r="J1996" t="inlineStr"/>
      <c r="K1996" t="inlineStr"/>
      <c r="L1996" t="inlineStr"/>
      <c r="M1996" t="inlineStr"/>
      <c r="N1996" t="inlineStr"/>
      <c r="O1996">
        <f>(1-Summary!$B$11)*T1996+Summary!$B$11*V1996</f>
        <v/>
      </c>
      <c r="P1996">
        <f>IF(B2018=0,0,O1996/B2018)</f>
        <v/>
      </c>
      <c r="Q1996">
        <f>IFERROR(1/(IF(Inputs!$B$38="pvp",15,MAX(0.1,Skills!D14-IF(Skills!E14=TRUE,Inputs!$B$32,0)))*(1-IF(AND(ArtifactsInput!$M$27,Inputs!$B$4="Chapter Hunt"),CHOOSE(ArtifactsInput!$N$27+1,20,24,28,32,36,40),0)/100)),0)</f>
        <v/>
      </c>
      <c r="R1996">
        <f>IF(AND(Inputs!$B$38&lt;&gt;"pvp",Inputs!$B$43&gt;0),IF(Inputs!$B$43&lt;=0,0,(INT(Inputs!$B$43/(IF(Inputs!$B$38="pvp",15,MAX(0.1,Skills!D14-IF(Skills!E14=TRUE,Inputs!$B$32,0)))*(1-IF(AND(ArtifactsInput!$M$27,Inputs!$B$4="Chapter Hunt"),CHOOSE(ArtifactsInput!$N$27+1,20,24,28,32,36,40),0)/100)))+1)),0)</f>
        <v/>
      </c>
      <c r="S1996">
        <f>IFERROR(O1996/N1996,0)</f>
        <v/>
      </c>
      <c r="T1996" t="n">
        <v>0</v>
      </c>
      <c r="V1996" t="n">
        <v>0</v>
      </c>
    </row>
    <row r="1997">
      <c r="A1997">
        <f>Skills!A15</f>
        <v/>
      </c>
      <c r="B1997">
        <f>Skills!B15</f>
        <v/>
      </c>
      <c r="C1997">
        <f>Inputs!$B$3&gt;=115</f>
        <v/>
      </c>
      <c r="D1997">
        <f>IF(Skills!C15=1,60+Inputs!$B$25+Inputs!$B$29,IF(Skills!C15=2,90+Inputs!$B$26+Inputs!$B$29,IF(Skills!C15=3,120+Inputs!$B$27+Inputs!$B$29,MAX(0,(Inputs!$B$3-100)*3)+Inputs!$B$28+Inputs!$B$29)))</f>
        <v/>
      </c>
      <c r="E1997">
        <f>INDEX(FactorTable!$B$2:$Y$301, MATCH(ROUND(MIN(300,MAX(1,D1997)),0), FactorTable!$A$2:$A$301,0), Skills!M15+1)</f>
        <v/>
      </c>
      <c r="F1997">
        <f>IF(Skills!N15=TRUE,(Skills!L15/10)*(E1997/1000),Skills!L15/10)+Skills!O15</f>
        <v/>
      </c>
      <c r="G1997">
        <f>Skills!G15*IF(Skills!H15&gt;0,Skills!I15/Skills!H15,1)</f>
        <v/>
      </c>
      <c r="H1997">
        <f>1-(1-Skills!J15/100)^Skills!K15</f>
        <v/>
      </c>
      <c r="I1997" t="inlineStr">
        <is>
          <t>1</t>
        </is>
      </c>
      <c r="J1997" t="inlineStr"/>
      <c r="K1997" t="inlineStr"/>
      <c r="L1997" t="inlineStr"/>
      <c r="M1997" t="inlineStr"/>
      <c r="N1997" t="inlineStr"/>
      <c r="O1997">
        <f>(1-Summary!$B$11)*T1997+Summary!$B$11*V1997</f>
        <v/>
      </c>
      <c r="P1997">
        <f>IF(B2018=0,0,O1997/B2018)</f>
        <v/>
      </c>
      <c r="Q1997">
        <f>IFERROR(1/(IF(Inputs!$B$38="pvp",15,MAX(0.1,Skills!D15-IF(Skills!E15=TRUE,Inputs!$B$32,0)))*(1-IF(AND(ArtifactsInput!$M$27,Inputs!$B$4="Chapter Hunt"),CHOOSE(ArtifactsInput!$N$27+1,20,24,28,32,36,40),0)/100)),0)</f>
        <v/>
      </c>
      <c r="R1997">
        <f>IF(AND(Inputs!$B$38&lt;&gt;"pvp",Inputs!$B$43&gt;0),IF(Inputs!$B$43&lt;=0,0,(INT(Inputs!$B$43/(IF(Inputs!$B$38="pvp",15,MAX(0.1,Skills!D15-IF(Skills!E15=TRUE,Inputs!$B$32,0)))*(1-IF(AND(ArtifactsInput!$M$27,Inputs!$B$4="Chapter Hunt"),CHOOSE(ArtifactsInput!$N$27+1,20,24,28,32,36,40),0)/100)))+1)),0)</f>
        <v/>
      </c>
      <c r="S1997">
        <f>IFERROR(O1997/N1997,0)</f>
        <v/>
      </c>
      <c r="T1997" t="n">
        <v>0</v>
      </c>
      <c r="V1997" t="n">
        <v>0</v>
      </c>
    </row>
    <row r="1998">
      <c r="A1998">
        <f>Skills!A16</f>
        <v/>
      </c>
      <c r="B1998">
        <f>Skills!B16</f>
        <v/>
      </c>
      <c r="C1998">
        <f>Inputs!$B$3&gt;=15</f>
        <v/>
      </c>
      <c r="D1998">
        <f>IF(Skills!C16=1,60+Inputs!$B$25+Inputs!$B$29,IF(Skills!C16=2,90+Inputs!$B$26+Inputs!$B$29,IF(Skills!C16=3,120+Inputs!$B$27+Inputs!$B$29,MAX(0,(Inputs!$B$3-100)*3)+Inputs!$B$28+Inputs!$B$29)))</f>
        <v/>
      </c>
      <c r="E1998">
        <f>INDEX(FactorTable!$B$2:$Y$301, MATCH(ROUND(MIN(300,MAX(1,D1998)),0), FactorTable!$A$2:$A$301,0), Skills!M16+1)</f>
        <v/>
      </c>
      <c r="F1998">
        <f>IF(Skills!N16=TRUE,(Skills!L16/10)*(E1998/1000),Skills!L16/10)+Skills!O16</f>
        <v/>
      </c>
      <c r="G1998">
        <f>Skills!G16*IF(Skills!H16&gt;0,Skills!I16/Skills!H16,1)</f>
        <v/>
      </c>
      <c r="H1998">
        <f>1-(1-Skills!J16/100)^Skills!K16</f>
        <v/>
      </c>
      <c r="I1998" t="inlineStr">
        <is>
          <t>1</t>
        </is>
      </c>
      <c r="J1998" t="inlineStr"/>
      <c r="K1998" t="inlineStr"/>
      <c r="L1998" t="inlineStr"/>
      <c r="M1998" t="inlineStr"/>
      <c r="N1998" t="inlineStr"/>
      <c r="O1998">
        <f>(1-Summary!$B$11)*T1998+Summary!$B$11*V1998</f>
        <v/>
      </c>
      <c r="P1998">
        <f>IF(B2018=0,0,O1998/B2018)</f>
        <v/>
      </c>
      <c r="Q1998" t="n">
        <v>0</v>
      </c>
      <c r="R1998" t="n">
        <v>0</v>
      </c>
      <c r="S1998">
        <f>IFERROR(O1998/N1998,0)</f>
        <v/>
      </c>
      <c r="T1998" t="n">
        <v>0</v>
      </c>
      <c r="V1998" t="n">
        <v>0</v>
      </c>
    </row>
    <row r="1999">
      <c r="A1999">
        <f>Skills!A17</f>
        <v/>
      </c>
      <c r="B1999">
        <f>Skills!B17</f>
        <v/>
      </c>
      <c r="C1999">
        <f>Inputs!$B$3&gt;=10</f>
        <v/>
      </c>
      <c r="D1999">
        <f>IF(Skills!C17=1,60+Inputs!$B$25+Inputs!$B$29,IF(Skills!C17=2,90+Inputs!$B$26+Inputs!$B$29,IF(Skills!C17=3,120+Inputs!$B$27+Inputs!$B$29,MAX(0,(Inputs!$B$3-100)*3)+Inputs!$B$28+Inputs!$B$29)))</f>
        <v/>
      </c>
      <c r="E1999">
        <f>INDEX(FactorTable!$B$2:$Y$301, MATCH(ROUND(MIN(300,MAX(1,D1999)),0), FactorTable!$A$2:$A$301,0), Skills!M17+1)</f>
        <v/>
      </c>
      <c r="F1999">
        <f>IF(Skills!N17=TRUE,(Skills!L17/10)*(E1999/1000),Skills!L17/10)+Skills!O17</f>
        <v/>
      </c>
      <c r="G1999">
        <f>Skills!G17*IF(Skills!H17&gt;0,Skills!I17/Skills!H17,1)</f>
        <v/>
      </c>
      <c r="H1999">
        <f>1-(1-Skills!J17/100)^Skills!K17</f>
        <v/>
      </c>
      <c r="I1999" t="inlineStr">
        <is>
          <t>1</t>
        </is>
      </c>
      <c r="J1999" t="inlineStr"/>
      <c r="K1999" t="inlineStr"/>
      <c r="L1999" t="inlineStr"/>
      <c r="M1999" t="inlineStr"/>
      <c r="N1999" t="inlineStr"/>
      <c r="O1999">
        <f>(1-Summary!$B$11)*T1999+Summary!$B$11*V1999</f>
        <v/>
      </c>
      <c r="P1999">
        <f>IF(B2018=0,0,O1999/B2018)</f>
        <v/>
      </c>
      <c r="Q1999" t="n">
        <v>0</v>
      </c>
      <c r="R1999" t="n">
        <v>0</v>
      </c>
      <c r="S1999">
        <f>IFERROR(O1999/N1999,0)</f>
        <v/>
      </c>
      <c r="T1999" t="n">
        <v>0</v>
      </c>
      <c r="V1999" t="n">
        <v>0</v>
      </c>
    </row>
    <row r="2000">
      <c r="A2000">
        <f>Skills!A18</f>
        <v/>
      </c>
      <c r="B2000">
        <f>Skills!B18</f>
        <v/>
      </c>
      <c r="C2000">
        <f>Inputs!$B$3&gt;=33</f>
        <v/>
      </c>
      <c r="D2000">
        <f>IF(Skills!C18=1,60+Inputs!$B$25+Inputs!$B$29,IF(Skills!C18=2,90+Inputs!$B$26+Inputs!$B$29,IF(Skills!C18=3,120+Inputs!$B$27+Inputs!$B$29,MAX(0,(Inputs!$B$3-100)*3)+Inputs!$B$28+Inputs!$B$29)))</f>
        <v/>
      </c>
      <c r="E2000">
        <f>INDEX(FactorTable!$B$2:$Y$301, MATCH(ROUND(MIN(300,MAX(1,D2000)),0), FactorTable!$A$2:$A$301,0), Skills!M18+1)</f>
        <v/>
      </c>
      <c r="F2000">
        <f>IF(Skills!N18=TRUE,(Skills!L18/10)*(E2000/1000),Skills!L18/10)+Skills!O18</f>
        <v/>
      </c>
      <c r="G2000">
        <f>Skills!G18*IF(Skills!H18&gt;0,Skills!I18/Skills!H18,1)</f>
        <v/>
      </c>
      <c r="H2000">
        <f>1-(1-Skills!J18/100)^Skills!K18</f>
        <v/>
      </c>
      <c r="I2000" t="inlineStr">
        <is>
          <t>1</t>
        </is>
      </c>
      <c r="J2000" t="inlineStr"/>
      <c r="K2000" t="inlineStr"/>
      <c r="L2000" t="inlineStr"/>
      <c r="M2000" t="inlineStr"/>
      <c r="N2000" t="inlineStr"/>
      <c r="O2000">
        <f>(1-Summary!$B$11)*T2000+Summary!$B$11*V2000</f>
        <v/>
      </c>
      <c r="P2000">
        <f>IF(B2018=0,0,O2000/B2018)</f>
        <v/>
      </c>
      <c r="Q2000" t="n">
        <v>0</v>
      </c>
      <c r="R2000" t="n">
        <v>0</v>
      </c>
      <c r="S2000">
        <f>IFERROR(O2000/N2000,0)</f>
        <v/>
      </c>
      <c r="T2000" t="n">
        <v>0</v>
      </c>
      <c r="V2000" t="n">
        <v>0</v>
      </c>
    </row>
    <row r="2001">
      <c r="A2001">
        <f>Skills!A19</f>
        <v/>
      </c>
      <c r="B2001">
        <f>Skills!B19</f>
        <v/>
      </c>
      <c r="C2001">
        <f>Inputs!$B$3&gt;=40</f>
        <v/>
      </c>
      <c r="D2001">
        <f>IF(Skills!C19=1,60+Inputs!$B$25+Inputs!$B$29,IF(Skills!C19=2,90+Inputs!$B$26+Inputs!$B$29,IF(Skills!C19=3,120+Inputs!$B$27+Inputs!$B$29,MAX(0,(Inputs!$B$3-100)*3)+Inputs!$B$28+Inputs!$B$29)))</f>
        <v/>
      </c>
      <c r="E2001">
        <f>INDEX(FactorTable!$B$2:$Y$301, MATCH(ROUND(MIN(300,MAX(1,D2001)),0), FactorTable!$A$2:$A$301,0), Skills!M19+1)</f>
        <v/>
      </c>
      <c r="F2001">
        <f>IF(Skills!N19=TRUE,(Skills!L19/10)*(E2001/1000),Skills!L19/10)+Skills!O19</f>
        <v/>
      </c>
      <c r="G2001">
        <f>Skills!G19*IF(Skills!H19&gt;0,Skills!I19/Skills!H19,1)</f>
        <v/>
      </c>
      <c r="H2001">
        <f>1-(1-Skills!J19/100)^Skills!K19</f>
        <v/>
      </c>
      <c r="I2001" t="inlineStr">
        <is>
          <t>1</t>
        </is>
      </c>
      <c r="J2001" t="inlineStr"/>
      <c r="K2001" t="inlineStr"/>
      <c r="L2001" t="inlineStr"/>
      <c r="M2001" t="inlineStr"/>
      <c r="N2001" t="inlineStr"/>
      <c r="O2001">
        <f>(1-Summary!$B$11)*T2001+Summary!$B$11*V2001</f>
        <v/>
      </c>
      <c r="P2001">
        <f>IF(B2018=0,0,O2001/B2018)</f>
        <v/>
      </c>
      <c r="Q2001" t="n">
        <v>0</v>
      </c>
      <c r="R2001" t="n">
        <v>0</v>
      </c>
      <c r="S2001">
        <f>IFERROR(O2001/N2001,0)</f>
        <v/>
      </c>
      <c r="T2001" t="n">
        <v>0</v>
      </c>
      <c r="V2001" t="n">
        <v>0</v>
      </c>
    </row>
    <row r="2002">
      <c r="A2002">
        <f>Skills!A20</f>
        <v/>
      </c>
      <c r="B2002">
        <f>Skills!B20</f>
        <v/>
      </c>
      <c r="C2002">
        <f>Inputs!$B$3&gt;=43</f>
        <v/>
      </c>
      <c r="D2002">
        <f>IF(Skills!C20=1,60+Inputs!$B$25+Inputs!$B$29,IF(Skills!C20=2,90+Inputs!$B$26+Inputs!$B$29,IF(Skills!C20=3,120+Inputs!$B$27+Inputs!$B$29,MAX(0,(Inputs!$B$3-100)*3)+Inputs!$B$28+Inputs!$B$29)))</f>
        <v/>
      </c>
      <c r="E2002">
        <f>INDEX(FactorTable!$B$2:$Y$301, MATCH(ROUND(MIN(300,MAX(1,D2002)),0), FactorTable!$A$2:$A$301,0), Skills!M20+1)</f>
        <v/>
      </c>
      <c r="F2002">
        <f>IF(Skills!N20=TRUE,(Skills!L20/10)*(E2002/1000),Skills!L20/10)+Skills!O20</f>
        <v/>
      </c>
      <c r="G2002">
        <f>Skills!G20*IF(Skills!H20&gt;0,Skills!I20/Skills!H20,1)</f>
        <v/>
      </c>
      <c r="H2002">
        <f>1-(1-Skills!J20/100)^Skills!K20</f>
        <v/>
      </c>
      <c r="I2002" t="inlineStr">
        <is>
          <t>1</t>
        </is>
      </c>
      <c r="J2002" t="inlineStr"/>
      <c r="K2002" t="inlineStr"/>
      <c r="L2002" t="inlineStr"/>
      <c r="M2002" t="inlineStr"/>
      <c r="N2002" t="inlineStr"/>
      <c r="O2002">
        <f>(1-Summary!$B$11)*T2002+Summary!$B$11*V2002</f>
        <v/>
      </c>
      <c r="P2002">
        <f>IF(B2018=0,0,O2002/B2018)</f>
        <v/>
      </c>
      <c r="Q2002" t="n">
        <v>0</v>
      </c>
      <c r="R2002" t="n">
        <v>0</v>
      </c>
      <c r="S2002">
        <f>IFERROR(O2002/N2002,0)</f>
        <v/>
      </c>
      <c r="T2002" t="n">
        <v>0</v>
      </c>
      <c r="V2002" t="n">
        <v>0</v>
      </c>
    </row>
    <row r="2003">
      <c r="A2003">
        <f>Skills!A21</f>
        <v/>
      </c>
      <c r="B2003">
        <f>Skills!B21</f>
        <v/>
      </c>
      <c r="C2003">
        <f>Inputs!$B$3&gt;=38</f>
        <v/>
      </c>
      <c r="D2003">
        <f>IF(Skills!C21=1,60+Inputs!$B$25+Inputs!$B$29,IF(Skills!C21=2,90+Inputs!$B$26+Inputs!$B$29,IF(Skills!C21=3,120+Inputs!$B$27+Inputs!$B$29,MAX(0,(Inputs!$B$3-100)*3)+Inputs!$B$28+Inputs!$B$29)))</f>
        <v/>
      </c>
      <c r="E2003">
        <f>INDEX(FactorTable!$B$2:$Y$301, MATCH(ROUND(MIN(300,MAX(1,D2003)),0), FactorTable!$A$2:$A$301,0), Skills!M21+1)</f>
        <v/>
      </c>
      <c r="F2003">
        <f>IF(Skills!N21=TRUE,(Skills!L21/10)*(E2003/1000),Skills!L21/10)+Skills!O21</f>
        <v/>
      </c>
      <c r="G2003">
        <f>Skills!G21*IF(Skills!H21&gt;0,Skills!I21/Skills!H21,1)</f>
        <v/>
      </c>
      <c r="H2003">
        <f>1-(1-Skills!J21/100)^Skills!K21</f>
        <v/>
      </c>
      <c r="I2003" t="inlineStr">
        <is>
          <t>1</t>
        </is>
      </c>
      <c r="J2003" t="inlineStr"/>
      <c r="K2003" t="inlineStr"/>
      <c r="L2003" t="inlineStr"/>
      <c r="M2003" t="inlineStr"/>
      <c r="N2003" t="inlineStr"/>
      <c r="O2003">
        <f>(1-Summary!$B$11)*T2003+Summary!$B$11*V2003</f>
        <v/>
      </c>
      <c r="P2003">
        <f>IF(B2018=0,0,O2003/B2018)</f>
        <v/>
      </c>
      <c r="Q2003" t="n">
        <v>0</v>
      </c>
      <c r="R2003" t="n">
        <v>0</v>
      </c>
      <c r="S2003">
        <f>IFERROR(O2003/N2003,0)</f>
        <v/>
      </c>
      <c r="T2003" t="n">
        <v>0</v>
      </c>
      <c r="V2003" t="n">
        <v>0</v>
      </c>
    </row>
    <row r="2004">
      <c r="A2004">
        <f>Skills!A22</f>
        <v/>
      </c>
      <c r="B2004">
        <f>Skills!B22</f>
        <v/>
      </c>
      <c r="C2004">
        <f>Inputs!$B$3&gt;=75</f>
        <v/>
      </c>
      <c r="D2004">
        <f>IF(Skills!C22=1,60+Inputs!$B$25+Inputs!$B$29,IF(Skills!C22=2,90+Inputs!$B$26+Inputs!$B$29,IF(Skills!C22=3,120+Inputs!$B$27+Inputs!$B$29,MAX(0,(Inputs!$B$3-100)*3)+Inputs!$B$28+Inputs!$B$29)))</f>
        <v/>
      </c>
      <c r="E2004">
        <f>INDEX(FactorTable!$B$2:$Y$301, MATCH(ROUND(MIN(300,MAX(1,D2004)),0), FactorTable!$A$2:$A$301,0), Skills!M22+1)</f>
        <v/>
      </c>
      <c r="F2004">
        <f>IF(Skills!N22=TRUE,(Skills!L22/10)*(E2004/1000),Skills!L22/10)+Skills!O22</f>
        <v/>
      </c>
      <c r="G2004">
        <f>Skills!G22*IF(Skills!H22&gt;0,Skills!I22/Skills!H22,1)</f>
        <v/>
      </c>
      <c r="H2004">
        <f>1-(1-Skills!J22/100)^Skills!K22</f>
        <v/>
      </c>
      <c r="I2004" t="inlineStr">
        <is>
          <t>1</t>
        </is>
      </c>
      <c r="J2004" t="inlineStr"/>
      <c r="K2004" t="inlineStr"/>
      <c r="L2004" t="inlineStr"/>
      <c r="M2004" t="inlineStr"/>
      <c r="N2004" t="inlineStr"/>
      <c r="O2004">
        <f>(1-Summary!$B$11)*T2004+Summary!$B$11*V2004</f>
        <v/>
      </c>
      <c r="P2004">
        <f>IF(B2018=0,0,O2004/B2018)</f>
        <v/>
      </c>
      <c r="Q2004" t="n">
        <v>0</v>
      </c>
      <c r="R2004" t="n">
        <v>0</v>
      </c>
      <c r="S2004">
        <f>IFERROR(O2004/N2004,0)</f>
        <v/>
      </c>
      <c r="T2004" t="n">
        <v>0</v>
      </c>
      <c r="V2004" t="n">
        <v>0</v>
      </c>
    </row>
    <row r="2005">
      <c r="A2005">
        <f>Skills!A23</f>
        <v/>
      </c>
      <c r="B2005">
        <f>Skills!B23</f>
        <v/>
      </c>
      <c r="C2005">
        <f>TRUE</f>
        <v/>
      </c>
      <c r="D2005">
        <f>IF(Skills!C23=1,60+Inputs!$B$25+Inputs!$B$29,IF(Skills!C23=2,90+Inputs!$B$26+Inputs!$B$29,IF(Skills!C23=3,120+Inputs!$B$27+Inputs!$B$29,MAX(0,(Inputs!$B$3-100)*3)+Inputs!$B$28+Inputs!$B$29)))</f>
        <v/>
      </c>
      <c r="E2005">
        <f>INDEX(FactorTable!$B$2:$Y$301, MATCH(ROUND(MIN(300,MAX(1,D2005)),0), FactorTable!$A$2:$A$301,0), Skills!M23+1)</f>
        <v/>
      </c>
      <c r="F2005">
        <f>IF(Skills!N23=TRUE,(Skills!L23/10)*(E2005/1000),Skills!L23/10)+Skills!O23</f>
        <v/>
      </c>
      <c r="G2005">
        <f>Skills!G23*IF(Skills!H23&gt;0,Skills!I23/Skills!H23,1)</f>
        <v/>
      </c>
      <c r="H2005">
        <f>1-(1-Skills!J23/100)^Skills!K23</f>
        <v/>
      </c>
      <c r="I2005" t="inlineStr">
        <is>
          <t>1</t>
        </is>
      </c>
      <c r="J2005" t="inlineStr"/>
      <c r="K2005" t="inlineStr"/>
      <c r="L2005" t="inlineStr"/>
      <c r="M2005" t="inlineStr"/>
      <c r="N2005" t="inlineStr"/>
      <c r="O2005">
        <f>(1-Summary!$B$11)*T2005+Summary!$B$11*V2005</f>
        <v/>
      </c>
      <c r="P2005">
        <f>IF(B2018=0,0,O2005/B2018)</f>
        <v/>
      </c>
      <c r="Q2005">
        <f>IFERROR(1/(IF(Inputs!$B$38="pvp",15,MAX(0.1,Skills!D23-IF(Skills!E23=TRUE,Inputs!$B$32,0)))*(1-IF(AND(ArtifactsInput!$M$27,Inputs!$B$4="Chapter Hunt"),CHOOSE(ArtifactsInput!$N$27+1,20,24,28,32,36,40),0)/100)),0)</f>
        <v/>
      </c>
      <c r="R2005">
        <f>IF(AND(Inputs!$B$38&lt;&gt;"pvp",Inputs!$B$43&gt;0),IF(Inputs!$B$43&lt;=0,0,(INT(Inputs!$B$43/(IF(Inputs!$B$38="pvp",15,MAX(0.1,Skills!D23-IF(Skills!E23=TRUE,Inputs!$B$32,0)))*(1-IF(AND(ArtifactsInput!$M$27,Inputs!$B$4="Chapter Hunt"),CHOOSE(ArtifactsInput!$N$27+1,20,24,28,32,36,40),0)/100)))+1)),0)</f>
        <v/>
      </c>
      <c r="S2005">
        <f>IFERROR(O2005/N2005,0)</f>
        <v/>
      </c>
      <c r="T2005" t="n">
        <v>0</v>
      </c>
      <c r="V2005" t="n">
        <v>0</v>
      </c>
    </row>
    <row r="2007">
      <c r="A2007" t="inlineStr">
        <is>
          <t>Attack% Bucket Multiplier</t>
        </is>
      </c>
      <c r="B2007">
        <f>(1+(((C1995=TRUE)*F1995*5/7)+((C2001=TRUE)*(F2001-Calc!F19))+(IF(ArtifactsInput!$M$21,CHOOSE(ArtifactsInput!$N$21+1,25,30,35,40,45,50)*(IF(OR(Inputs!$B$4="Chapter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08">
      <c r="A2008" t="inlineStr">
        <is>
          <t>Global Crit Rate Bonus %</t>
        </is>
      </c>
      <c r="B2008" t="n">
        <v>0</v>
      </c>
    </row>
    <row r="2009">
      <c r="A2009" t="inlineStr">
        <is>
          <t>Attack Speed Buff Bonus % (Nimble Feet, duty-cycle averaged)</t>
        </is>
      </c>
      <c r="B2009">
        <f>((C2005=TRUE)*F2005*IF(AND(Inputs!$B$38&lt;&gt;"pvp",Inputs!$B$43&gt;0),(((R2005-1)*(Skills!T23*(1+Inputs!$B$34/100))+MIN((Skills!T23*(1+Inputs!$B$34/100)),MAX(0,Inputs!$B$43-((R2005-1)*Skills!D23))))/Inputs!$B$43),IF(Inputs!$B$38="pvp",MIN((Skills!T23*(1+Inputs!$B$34/100)),15)/15,(Skills!T23*(1+Inputs!$B$34/100))/Skills!D23)))</f>
        <v/>
      </c>
    </row>
    <row r="2010">
      <c r="A2010" t="inlineStr">
        <is>
          <t>Actions Per Second</t>
        </is>
      </c>
      <c r="B2010">
        <f>1+MIN(150,150*(1-(1-(Inputs!$B$11+((C1999=TRUE)*(F1999-Calc!F17))+((C2000=TRUE)*(F2000-Calc!F18)))/150)*(1-B2009/150)))/100</f>
        <v/>
      </c>
    </row>
    <row r="2011">
      <c r="A2011" t="inlineStr">
        <is>
          <t>Skill + Buff Cast Rate</t>
        </is>
      </c>
      <c r="B2011">
        <f>IF(AND(Inputs!$B$38&lt;&gt;"pvp",Inputs!$B$43&gt;0),SUMPRODUCT((Skills!E2:E23=TRUE)*(C1984:C2005=TRUE)*R1984:R2005*Skills!F2:F23)/Inputs!$B$43,SUMPRODUCT((Skills!E2:E23=TRUE)*(C1984:C2005=TRUE)*Q1984:Q2005*Skills!F2:F23))</f>
        <v/>
      </c>
    </row>
    <row r="2012">
      <c r="A2012" t="inlineStr">
        <is>
          <t>Hook Bomber Casts Per Second</t>
        </is>
      </c>
      <c r="B2012">
        <f>MAX(0,B2010-B2011)</f>
        <v/>
      </c>
    </row>
    <row r="2013">
      <c r="A2013" t="inlineStr">
        <is>
          <t>Global Critical Damage Bonus % (unused)</t>
        </is>
      </c>
      <c r="B2013" t="n">
        <v>0</v>
      </c>
    </row>
    <row r="2014">
      <c r="A2014" t="inlineStr">
        <is>
          <t>Global Final Damage Bonus % (Serpent Scale + Crossbones + Time Leap + Speed Infusion)</t>
        </is>
      </c>
      <c r="B2014">
        <f>((C1987=TRUE)*F1987*((10+IF(Inputs!$B$3&gt;=94,5,0))/((10+IF(Inputs!$B$3&gt;=94,5,0))+5/(B2012*(1+IF(Inputs!$B$3&gt;=104,1,0))))))+((C1996=TRUE)*F1996*IF(AND(Inputs!$B$38&lt;&gt;"pvp",Inputs!$B$43&gt;0),(((R1996-1)*(Skills!T14*(1+Inputs!$B$34/100))+MIN((Skills!T14*(1+Inputs!$B$34/100)),MAX(0,Inputs!$B$43-((R1996-1)*Skills!D14))))/Inputs!$B$43),IF(Inputs!$B$38="pvp",MIN((Skills!T14*(1+Inputs!$B$34/100)),15)/15,(Skills!T14*(1+Inputs!$B$34/100))/Skills!D14)))+((C1997=TRUE)*F1997*IF(AND(Inputs!$B$38&lt;&gt;"pvp",Inputs!$B$43&gt;0),(((R1997-1)*(Skills!T15*(1+Inputs!$B$34/100))+MIN((Skills!T15*(1+Inputs!$B$34/100)),MAX(0,Inputs!$B$43-((R1997-1)*Skills!D15))))/Inputs!$B$43),IF(Inputs!$B$38="pvp",MIN((Skills!T15*(1+Inputs!$B$34/100)),15)/15,(Skills!T15*(1+Inputs!$B$34/100))/Skills!D15)))+((Inputs!$B$3&gt;=110)*20*(B2010-1)*IF(Inputs!$B$38="pvp",MIN((15*(1+Inputs!$B$34/100)),15)/15,(15*(1+Inputs!$B$34/100))/35))</f>
        <v/>
      </c>
    </row>
    <row r="2015">
      <c r="A2015" t="inlineStr">
        <is>
          <t>Buff-Casting Startup Delay (s, fixed-duration only)</t>
        </is>
      </c>
      <c r="B2015">
        <f>IF(AND(Inputs!$B$38&lt;&gt;"pvp",Inputs!$B$43&gt;0),SUMPRODUCT((Skills!T2:T23&gt;0)*(Skills!E2:E23=TRUE)*(C1984:C2005=TRUE))/B2010,0)</f>
        <v/>
      </c>
    </row>
    <row r="2016">
      <c r="A2016" t="inlineStr">
        <is>
          <t>Boss-Only Total DPS (this block's swept value)</t>
        </is>
      </c>
      <c r="B2016">
        <f>SUM(T1984:T2005)</f>
        <v/>
      </c>
    </row>
    <row r="2017">
      <c r="A2017" t="inlineStr">
        <is>
          <t>Normal-Only Total DPS (this block's swept value)</t>
        </is>
      </c>
      <c r="B2017">
        <f>SUM(V1984:V2005)</f>
        <v/>
      </c>
    </row>
    <row r="2018">
      <c r="A2018" s="6" t="inlineStr">
        <is>
          <t>TOTAL DPS</t>
        </is>
      </c>
      <c r="B2018" s="6">
        <f>SUM(O1984:O2005)</f>
        <v/>
      </c>
    </row>
    <row r="2021">
      <c r="A2021" s="6" t="inlineStr">
        <is>
          <t>Stat: Icy Soul Rock (Equip)</t>
        </is>
      </c>
    </row>
    <row r="2022">
      <c r="A2022" s="5" t="inlineStr">
        <is>
          <t>Key</t>
        </is>
      </c>
      <c r="B2022" s="5" t="inlineStr">
        <is>
          <t>Name</t>
        </is>
      </c>
      <c r="C2022" s="5" t="inlineStr">
        <is>
          <t>Unlocked</t>
        </is>
      </c>
      <c r="D2022" s="5" t="inlineStr">
        <is>
          <t>InputLevel</t>
        </is>
      </c>
      <c r="E2022" s="5" t="inlineStr">
        <is>
          <t>Factor</t>
        </is>
      </c>
      <c r="F2022" s="5" t="inlineStr">
        <is>
          <t>CoefficientPercent</t>
        </is>
      </c>
      <c r="G2022" s="5" t="inlineStr">
        <is>
          <t>EffectiveHits</t>
        </is>
      </c>
      <c r="H2022" s="5" t="inlineStr">
        <is>
          <t>ProcProbability</t>
        </is>
      </c>
      <c r="I2022" s="5" t="inlineStr">
        <is>
          <t>MapleHeroMultiplier</t>
        </is>
      </c>
      <c r="J2022" s="5" t="inlineStr">
        <is>
          <t>BaseDamage</t>
        </is>
      </c>
      <c r="K2022" s="5" t="inlineStr">
        <is>
          <t>BaseHitDamage</t>
        </is>
      </c>
      <c r="L2022" s="5" t="inlineStr">
        <is>
          <t>NonCritAvg</t>
        </is>
      </c>
      <c r="M2022" s="5" t="inlineStr">
        <is>
          <t>CritAvg</t>
        </is>
      </c>
      <c r="N2022" s="5" t="inlineStr">
        <is>
          <t>ExpectedDamage(perHit)</t>
        </is>
      </c>
      <c r="O2022" s="5" t="inlineStr">
        <is>
          <t>DPS</t>
        </is>
      </c>
      <c r="P2022" s="5" t="inlineStr">
        <is>
          <t>% of Total</t>
        </is>
      </c>
      <c r="Q2022" s="5" t="inlineStr">
        <is>
          <t>InvCooldown</t>
        </is>
      </c>
      <c r="R2022" s="5" t="inlineStr">
        <is>
          <t>CastsInFight</t>
        </is>
      </c>
      <c r="S2022" s="5" t="inlineStr">
        <is>
          <t>HitRate(perSec)</t>
        </is>
      </c>
      <c r="U2022" t="inlineStr">
        <is>
          <t>helpers</t>
        </is>
      </c>
    </row>
    <row r="2023">
      <c r="A2023">
        <f>Skills!A2</f>
        <v/>
      </c>
      <c r="B2023">
        <f>Skills!B2</f>
        <v/>
      </c>
      <c r="C2023">
        <f>Inputs!$B$3&gt;=100</f>
        <v/>
      </c>
      <c r="D2023" t="inlineStr"/>
      <c r="E2023" t="inlineStr"/>
      <c r="F2023">
        <f>U2025+Skills!O2</f>
        <v/>
      </c>
      <c r="G2023">
        <f>Skills!G2*IF(Skills!H2&gt;0,Skills!I2/Skills!H2,1)</f>
        <v/>
      </c>
      <c r="H2023">
        <f>1-(1-Skills!J2/100)^Skills!K2</f>
        <v/>
      </c>
      <c r="I2023" t="inlineStr">
        <is>
          <t>1</t>
        </is>
      </c>
      <c r="J2023">
        <f>((Inputs!$B$6*(1+Inputs!$B$7/100))+(((Inputs!$B$12*(1+Inputs!$B$13/100))-(Inputs!$B$12*(1+Inputs!$B$13/100)))+0.25*(Inputs!$B$14-Inputs!$B$14))*(1+Inputs!$B$7/100))*(F2023/100)</f>
        <v/>
      </c>
      <c r="K2023">
        <f>J2023*(1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2023)</f>
        <v/>
      </c>
      <c r="L2023">
        <f>K2023*(MIN(Inputs!$B$22+((C2041=TRUE)*(F2041-Calc!F20)),(Inputs!$B$23+0+(IF(ArtifactsInput!$M$15,CHOOSE(ArtifactsInput!$N$15+1,25,30,35,40,45,50)/100*(Inputs!$B$11-Inputs!$B$11),0))))/100+(Inputs!$B$23+0+(IF(ArtifactsInput!$M$15,CHOOSE(ArtifactsInput!$N$15+1,25,30,35,40,45,50)/100*(Inputs!$B$11-Inputs!$B$11),0)))/100)/2</f>
        <v/>
      </c>
      <c r="M2023">
        <f>L2023*(1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3">
        <f>L2023*(1-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2023*(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3">
        <f>(1-Summary!$B$11)*T2023+Summary!$B$11*V2023</f>
        <v/>
      </c>
      <c r="P2023">
        <f>IF(B2057=0,0,O2023/B2057)</f>
        <v/>
      </c>
      <c r="Q2023" t="n">
        <v>0</v>
      </c>
      <c r="R2023" t="n">
        <v>0</v>
      </c>
      <c r="S2023">
        <f>IFERROR(O2023/N2023,0)</f>
        <v/>
      </c>
      <c r="T2023">
        <f>IF(C2023,(Skills!G2*N2023*B2051)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2023*(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2023*(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3">
        <f>MAX(0,(Inputs!$B$3-100)*3)+Inputs!$B$28+Inputs!$B$29</f>
        <v/>
      </c>
      <c r="V2023">
        <f>IF(C2023,(Skills!G2*N2023*B2051)*IF(Inputs!$B$38="pvp",1,(1+(Inputs!$B$21+Skills!Q2+(IF(ArtifactsInput!$M$33,CHOOSE(ArtifactsInput!$N$33+1,30,36,42,48,54,60),0))+(IF(AND(ArtifactsInput!$M$35,Inputs!$B$4&lt;&gt;"Chapter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4">
      <c r="A2024">
        <f>Skills!A3</f>
        <v/>
      </c>
      <c r="B2024">
        <f>Skills!B3</f>
        <v/>
      </c>
      <c r="C2024">
        <f>Inputs!$B$3&gt;=35</f>
        <v/>
      </c>
      <c r="D2024">
        <f>IF(Skills!C3=1,60+Inputs!$B$25+Inputs!$B$29,IF(Skills!C3=2,90+Inputs!$B$26+Inputs!$B$29,IF(Skills!C3=3,120+Inputs!$B$27+Inputs!$B$29,MAX(0,(Inputs!$B$3-100)*3)+Inputs!$B$28+Inputs!$B$29)))</f>
        <v/>
      </c>
      <c r="E2024">
        <f>INDEX(FactorTable!$B$2:$Y$301, MATCH(ROUND(MIN(300,MAX(1,D2024)),0), FactorTable!$A$2:$A$301,0), Skills!M3+1)</f>
        <v/>
      </c>
      <c r="F2024">
        <f>IF(Skills!N3=TRUE,(Skills!L3/10)*(E2024/1000),Skills!L3/10)+Skills!O3</f>
        <v/>
      </c>
      <c r="G2024">
        <f>Skills!G3*IF(Skills!H3&gt;0,Skills!I3/Skills!H3,1)</f>
        <v/>
      </c>
      <c r="H2024">
        <f>1-(1-Skills!J3/100)^Skills!K3</f>
        <v/>
      </c>
      <c r="I2024" t="inlineStr">
        <is>
          <t>1</t>
        </is>
      </c>
      <c r="J2024">
        <f>((Inputs!$B$6*(1+Inputs!$B$7/100))+(((Inputs!$B$12*(1+Inputs!$B$13/100))-(Inputs!$B$12*(1+Inputs!$B$13/100)))+0.25*(Inputs!$B$14-Inputs!$B$14))*(1+Inputs!$B$7/100))*(F2024/100)</f>
        <v/>
      </c>
      <c r="K2024">
        <f>J2024*(1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2024)</f>
        <v/>
      </c>
      <c r="L2024">
        <f>K2024*(MIN(Inputs!$B$22+((C2041=TRUE)*(F2041-Calc!F20)),(Inputs!$B$23+0+(IF(ArtifactsInput!$M$15,CHOOSE(ArtifactsInput!$N$15+1,25,30,35,40,45,50)/100*(Inputs!$B$11-Inputs!$B$11),0))))/100+(Inputs!$B$23+0+(IF(ArtifactsInput!$M$15,CHOOSE(ArtifactsInput!$N$15+1,25,30,35,40,45,50)/100*(Inputs!$B$11-Inputs!$B$11),0)))/100)/2</f>
        <v/>
      </c>
      <c r="M2024">
        <f>L2024*(1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4">
        <f>L2024*(1-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2024*(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4">
        <f>(1-Summary!$B$11)*T2024+Summary!$B$11*V2024</f>
        <v/>
      </c>
      <c r="P2024">
        <f>IF(B2057=0,0,O2024/B2057)</f>
        <v/>
      </c>
      <c r="Q2024" t="n">
        <v>0</v>
      </c>
      <c r="R2024" t="n">
        <v>0</v>
      </c>
      <c r="S2024">
        <f>IFERROR(O2024/N2024,0)</f>
        <v/>
      </c>
      <c r="T2024">
        <f>IF(C2024,(Skills!G3*H2024*N2024*B2051)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2024*(1-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2024*(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2024*(1-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2024*(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4">
        <f>INDEX(FactorTable!$B$2:$Y$301, MATCH(ROUND(MIN(300,MAX(1,U2023)),0), FactorTable!$A$2:$A$301,0), 22)</f>
        <v/>
      </c>
      <c r="V2024">
        <f>IF(C2024,(Skills!G3*H2024*N2024*B2051)*IF(Inputs!$B$38="pvp",1,(1+(Inputs!$B$21+Skills!Q3+(IF(ArtifactsInput!$M$33,CHOOSE(ArtifactsInput!$N$33+1,30,36,42,48,54,60),0))+(IF(AND(ArtifactsInput!$M$35,Inputs!$B$4&lt;&gt;"Chapter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5">
      <c r="A2025">
        <f>Skills!A4</f>
        <v/>
      </c>
      <c r="B2025">
        <f>Skills!B4</f>
        <v/>
      </c>
      <c r="C2025">
        <f>Inputs!$B$3&gt;=60</f>
        <v/>
      </c>
      <c r="D2025">
        <f>IF(Skills!C4=1,60+Inputs!$B$25+Inputs!$B$29,IF(Skills!C4=2,90+Inputs!$B$26+Inputs!$B$29,IF(Skills!C4=3,120+Inputs!$B$27+Inputs!$B$29,MAX(0,(Inputs!$B$3-100)*3)+Inputs!$B$28+Inputs!$B$29)))</f>
        <v/>
      </c>
      <c r="E2025">
        <f>INDEX(FactorTable!$B$2:$Y$301, MATCH(ROUND(MIN(300,MAX(1,D2025)),0), FactorTable!$A$2:$A$301,0), Skills!M4+1)</f>
        <v/>
      </c>
      <c r="F2025">
        <f>IF(Skills!N4=TRUE,(Skills!L4/10)*(E2025/1000),Skills!L4/10)+Skills!O4</f>
        <v/>
      </c>
      <c r="G2025">
        <f>Skills!G4*IF(Skills!H4&gt;0,Skills!I4/Skills!H4,1)</f>
        <v/>
      </c>
      <c r="H2025">
        <f>1-(1-Skills!J4/100)^Skills!K4</f>
        <v/>
      </c>
      <c r="I2025" t="inlineStr">
        <is>
          <t>1</t>
        </is>
      </c>
      <c r="J2025">
        <f>((Inputs!$B$6*(1+Inputs!$B$7/100))+(((Inputs!$B$12*(1+Inputs!$B$13/100))-(Inputs!$B$12*(1+Inputs!$B$13/100)))+0.25*(Inputs!$B$14-Inputs!$B$14))*(1+Inputs!$B$7/100))*(F2025/100)</f>
        <v/>
      </c>
      <c r="K2025">
        <f>J2025*(1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2033=TRUE,F2033,0)/100)*(1+(IF(Skills!A4="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2025)</f>
        <v/>
      </c>
      <c r="L2025">
        <f>K2025*(MIN(Inputs!$B$22+((C2041=TRUE)*(F2041-Calc!F20)),(Inputs!$B$23+0+(IF(ArtifactsInput!$M$15,CHOOSE(ArtifactsInput!$N$15+1,25,30,35,40,45,50)/100*(Inputs!$B$11-Inputs!$B$11),0))))/100+(Inputs!$B$23+0+(IF(ArtifactsInput!$M$15,CHOOSE(ArtifactsInput!$N$15+1,25,30,35,40,45,50)/100*(Inputs!$B$11-Inputs!$B$11),0)))/100)/2</f>
        <v/>
      </c>
      <c r="M2025">
        <f>L2025*(1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5">
        <f>L2025*(1-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2025*(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5">
        <f>(1-Summary!$B$11)*T2025+Summary!$B$11*V2025</f>
        <v/>
      </c>
      <c r="P2025">
        <f>IF(B2057=0,0,O2025/B2057)</f>
        <v/>
      </c>
      <c r="Q2025" t="n">
        <v>0</v>
      </c>
      <c r="R2025" t="n">
        <v>0</v>
      </c>
      <c r="S2025">
        <f>IFERROR(O2025/N2025,0)</f>
        <v/>
      </c>
      <c r="T2025">
        <f>IF(C2025,(Skills!G4*H2025*N2025*B2051)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2025*(1-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2025*(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2025*(1-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2025*(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25">
        <f>290*U2024/1000</f>
        <v/>
      </c>
      <c r="V2025">
        <f>IF(C2025,(Skills!G4*H2025*N2025*B2051)*IF(Inputs!$B$38="pvp",1,(1+(Inputs!$B$21+Skills!Q4+(IF(ArtifactsInput!$M$33,CHOOSE(ArtifactsInput!$N$33+1,30,36,42,48,54,60),0))+(IF(AND(ArtifactsInput!$M$35,Inputs!$B$4&lt;&gt;"Chapter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6">
      <c r="A2026">
        <f>Skills!A5</f>
        <v/>
      </c>
      <c r="B2026">
        <f>Skills!B5</f>
        <v/>
      </c>
      <c r="C2026">
        <f>Inputs!$B$3&gt;=60</f>
        <v/>
      </c>
      <c r="D2026">
        <f>IF(Skills!C5=1,60+Inputs!$B$25+Inputs!$B$29,IF(Skills!C5=2,90+Inputs!$B$26+Inputs!$B$29,IF(Skills!C5=3,120+Inputs!$B$27+Inputs!$B$29,MAX(0,(Inputs!$B$3-100)*3)+Inputs!$B$28+Inputs!$B$29)))</f>
        <v/>
      </c>
      <c r="E2026">
        <f>INDEX(FactorTable!$B$2:$Y$301, MATCH(ROUND(MIN(300,MAX(1,D2026)),0), FactorTable!$A$2:$A$301,0), Skills!M5+1)</f>
        <v/>
      </c>
      <c r="F2026">
        <f>IF(Skills!N5=TRUE,(Skills!L5/10)*(E2026/1000),Skills!L5/10)+Skills!O5</f>
        <v/>
      </c>
      <c r="G2026">
        <f>Skills!G5*IF(Skills!H5&gt;0,Skills!I5/Skills!H5,1)</f>
        <v/>
      </c>
      <c r="H2026">
        <f>1-(1-Skills!J5/100)^Skills!K5</f>
        <v/>
      </c>
      <c r="I2026" t="inlineStr">
        <is>
          <t>1</t>
        </is>
      </c>
      <c r="J2026" t="inlineStr"/>
      <c r="K2026" t="inlineStr"/>
      <c r="L2026" t="inlineStr"/>
      <c r="M2026" t="inlineStr"/>
      <c r="N2026" t="inlineStr"/>
      <c r="O2026">
        <f>(1-Summary!$B$11)*T2026+Summary!$B$11*V2026</f>
        <v/>
      </c>
      <c r="P2026">
        <f>IF(B2057=0,0,O2026/B2057)</f>
        <v/>
      </c>
      <c r="Q2026" t="n">
        <v>0</v>
      </c>
      <c r="R2026" t="n">
        <v>0</v>
      </c>
      <c r="S2026">
        <f>IFERROR(O2026/N2026,0)</f>
        <v/>
      </c>
      <c r="T2026" t="n">
        <v>0</v>
      </c>
      <c r="V2026" t="n">
        <v>0</v>
      </c>
    </row>
    <row r="2027">
      <c r="A2027">
        <f>Skills!A6</f>
        <v/>
      </c>
      <c r="B2027">
        <f>Skills!B6</f>
        <v/>
      </c>
      <c r="C2027">
        <f>Inputs!$B$3&gt;=63</f>
        <v/>
      </c>
      <c r="D2027">
        <f>IF(Skills!C6=1,60+Inputs!$B$25+Inputs!$B$29,IF(Skills!C6=2,90+Inputs!$B$26+Inputs!$B$29,IF(Skills!C6=3,120+Inputs!$B$27+Inputs!$B$29,MAX(0,(Inputs!$B$3-100)*3)+Inputs!$B$28+Inputs!$B$29)))</f>
        <v/>
      </c>
      <c r="E2027">
        <f>INDEX(FactorTable!$B$2:$Y$301, MATCH(ROUND(MIN(300,MAX(1,D2027)),0), FactorTable!$A$2:$A$301,0), Skills!M6+1)</f>
        <v/>
      </c>
      <c r="F2027">
        <f>IF(Skills!N6=TRUE,(Skills!L6/10)*(E2027/1000),Skills!L6/10)+Skills!O6</f>
        <v/>
      </c>
      <c r="G2027">
        <f>Skills!G6*IF(Skills!H6&gt;0,Skills!I6/Skills!H6,1)</f>
        <v/>
      </c>
      <c r="H2027">
        <f>1-(1-Skills!J6/100)^Skills!K6</f>
        <v/>
      </c>
      <c r="I2027" t="inlineStr">
        <is>
          <t>1</t>
        </is>
      </c>
      <c r="J2027">
        <f>((Inputs!$B$6*(1+Inputs!$B$7/100))+(((Inputs!$B$12*(1+Inputs!$B$13/100))-(Inputs!$B$12*(1+Inputs!$B$13/100)))+0.25*(Inputs!$B$14-Inputs!$B$14))*(1+Inputs!$B$7/100))*(F2027/100)</f>
        <v/>
      </c>
      <c r="K2027">
        <f>J2027*(1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2033=TRUE,F2033,0)/100)*(1+(IF(Skills!A6="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2027)</f>
        <v/>
      </c>
      <c r="L2027">
        <f>K2027*(MIN(Inputs!$B$22+((C2041=TRUE)*(F2041-Calc!F20)),(Inputs!$B$23+0+(IF(ArtifactsInput!$M$15,CHOOSE(ArtifactsInput!$N$15+1,25,30,35,40,45,50)/100*(Inputs!$B$11-Inputs!$B$11),0))))/100+(Inputs!$B$23+0+(IF(ArtifactsInput!$M$15,CHOOSE(ArtifactsInput!$N$15+1,25,30,35,40,45,50)/100*(Inputs!$B$11-Inputs!$B$11),0)))/100)/2</f>
        <v/>
      </c>
      <c r="M2027">
        <f>L2027*(1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7">
        <f>L2027*(1-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2027*(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7">
        <f>(1-Summary!$B$11)*T2027+Summary!$B$11*V2027</f>
        <v/>
      </c>
      <c r="P2027">
        <f>IF(B2057=0,0,O2027/B2057)</f>
        <v/>
      </c>
      <c r="Q2027">
        <f>IFERROR(1/(IF(Inputs!$B$38="pvp",15,MAX(0.1,Skills!D6-IF(Skills!E6=TRUE,Inputs!$B$32,0)))*(1-IF(AND(ArtifactsInput!$M$27,Inputs!$B$4="Chapter Hunt"),CHOOSE(ArtifactsInput!$N$27+1,20,24,28,32,36,40),0)/100)),0)</f>
        <v/>
      </c>
      <c r="R2027">
        <f>IF(AND(Inputs!$B$38&lt;&gt;"pvp",Inputs!$B$43&gt;0),IF(MAX(0,Inputs!$B$43-B2054)&lt;=0,0,(INT(MAX(0,Inputs!$B$43-B2054)/(IF(Inputs!$B$38="pvp",15,MAX(0.1,Skills!D6-IF(Skills!E6=TRUE,Inputs!$B$32,0)))*(1-IF(AND(ArtifactsInput!$M$27,Inputs!$B$4="Chapter Hunt"),CHOOSE(ArtifactsInput!$N$27+1,20,24,28,32,36,40),0)/100)))+1)),0)</f>
        <v/>
      </c>
      <c r="S2027">
        <f>IFERROR(O2027/N2027,0)</f>
        <v/>
      </c>
      <c r="T2027">
        <f>IF(C2027,(H2027*N2027*IF(AND(Inputs!$B$38&lt;&gt;"pvp",Inputs!$B$43&gt;0),((Skills!G6*((R2027-1)*IF(Skills!H6&gt;0,Skills!I6/Skills!H6,1)+IF(Skills!H6&gt;0,MIN(Skills!I6,MAX(0,MAX(0,Inputs!$B$43-B2054)-((R2027-1)*(IF(Inputs!$B$38="pvp",15,MAX(0.1,Skills!D6-IF(Skills!E6=TRUE,Inputs!$B$32,0)))*(1-IF(AND(ArtifactsInput!$M$27,Inputs!$B$4="Chapter Hunt"),CHOOSE(ArtifactsInput!$N$27+1,20,24,28,32,36,40),0)/100)))))/Skills!H6,1)))/Inputs!$B$43),G2027*Q2027)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2027*(1-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2027*(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2027*(1-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2027*(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7">
        <f>IF(C2027,(H2027*N2027*IF(AND(Inputs!$B$38&lt;&gt;"pvp",Inputs!$B$43&gt;0),((Skills!G6*((R2027-1)*IF(Skills!H6&gt;0,Skills!I6/Skills!H6,1)+IF(Skills!H6&gt;0,MIN(Skills!I6,MAX(0,MAX(0,Inputs!$B$43-B2054)-((R2027-1)*(IF(Inputs!$B$38="pvp",15,MAX(0.1,Skills!D6-IF(Skills!E6=TRUE,Inputs!$B$32,0)))*(1-IF(AND(ArtifactsInput!$M$27,Inputs!$B$4="Chapter Hunt"),CHOOSE(ArtifactsInput!$N$27+1,20,24,28,32,36,40),0)/100)))))/Skills!H6,1)))/Inputs!$B$43),G2027*Q2027))*IF(Inputs!$B$38="pvp",1,(1+(Inputs!$B$21+Skills!Q6+(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8">
      <c r="A2028">
        <f>Skills!A7</f>
        <v/>
      </c>
      <c r="B2028">
        <f>Skills!B7</f>
        <v/>
      </c>
      <c r="C2028">
        <f>Inputs!$B$3&gt;=100</f>
        <v/>
      </c>
      <c r="D2028">
        <f>IF(Skills!C7=1,60+Inputs!$B$25+Inputs!$B$29,IF(Skills!C7=2,90+Inputs!$B$26+Inputs!$B$29,IF(Skills!C7=3,120+Inputs!$B$27+Inputs!$B$29,MAX(0,(Inputs!$B$3-100)*3)+Inputs!$B$28+Inputs!$B$29)))</f>
        <v/>
      </c>
      <c r="E2028">
        <f>INDEX(FactorTable!$B$2:$Y$301, MATCH(ROUND(MIN(300,MAX(1,D2028)),0), FactorTable!$A$2:$A$301,0), Skills!M7+1)</f>
        <v/>
      </c>
      <c r="F2028">
        <f>IF(Skills!N7=TRUE,(Skills!L7/10)*(E2028/1000),Skills!L7/10)+Skills!O7</f>
        <v/>
      </c>
      <c r="G2028">
        <f>Skills!G7*IF(Skills!H7&gt;0,Skills!I7/Skills!H7,1)</f>
        <v/>
      </c>
      <c r="H2028">
        <f>1-(1-Skills!J7/100)^Skills!K7</f>
        <v/>
      </c>
      <c r="I2028" t="inlineStr">
        <is>
          <t>1</t>
        </is>
      </c>
      <c r="J2028">
        <f>((Inputs!$B$6*(1+Inputs!$B$7/100))+(((Inputs!$B$12*(1+Inputs!$B$13/100))-(Inputs!$B$12*(1+Inputs!$B$13/100)))+0.25*(Inputs!$B$14-Inputs!$B$14))*(1+Inputs!$B$7/100))*(F2028/100)</f>
        <v/>
      </c>
      <c r="K2028">
        <f>J2028*(1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2028)</f>
        <v/>
      </c>
      <c r="L2028">
        <f>K2028*(MIN(Inputs!$B$22+((C2041=TRUE)*(F2041-Calc!F20)),(Inputs!$B$23+0+(IF(ArtifactsInput!$M$15,CHOOSE(ArtifactsInput!$N$15+1,25,30,35,40,45,50)/100*(Inputs!$B$11-Inputs!$B$11),0))))/100+(Inputs!$B$23+0+(IF(ArtifactsInput!$M$15,CHOOSE(ArtifactsInput!$N$15+1,25,30,35,40,45,50)/100*(Inputs!$B$11-Inputs!$B$11),0)))/100)/2</f>
        <v/>
      </c>
      <c r="M2028">
        <f>L2028*(1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8">
        <f>L2028*(1-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2028*(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8">
        <f>(1-Summary!$B$11)*T2028+Summary!$B$11*V2028</f>
        <v/>
      </c>
      <c r="P2028">
        <f>IF(B2057=0,0,O2028/B2057)</f>
        <v/>
      </c>
      <c r="Q2028">
        <f>IFERROR(1/(IF(Inputs!$B$38="pvp",15,MAX(0.1,Skills!D7-IF(Skills!E7=TRUE,Inputs!$B$32,0)))*(1-IF(AND(ArtifactsInput!$M$27,Inputs!$B$4="Chapter Hunt"),CHOOSE(ArtifactsInput!$N$27+1,20,24,28,32,36,40),0)/100)),0)</f>
        <v/>
      </c>
      <c r="R2028">
        <f>IF(AND(Inputs!$B$38&lt;&gt;"pvp",Inputs!$B$43&gt;0),IF(MAX(0,Inputs!$B$43-B2054)&lt;=0,0,(INT(MAX(0,Inputs!$B$43-B2054)/(IF(Inputs!$B$38="pvp",15,MAX(0.1,Skills!D7-IF(Skills!E7=TRUE,Inputs!$B$32,0)))*(1-IF(AND(ArtifactsInput!$M$27,Inputs!$B$4="Chapter Hunt"),CHOOSE(ArtifactsInput!$N$27+1,20,24,28,32,36,40),0)/100)))+1)),0)</f>
        <v/>
      </c>
      <c r="S2028">
        <f>IFERROR(O2028/N2028,0)</f>
        <v/>
      </c>
      <c r="T2028">
        <f>IF(C2028,(H2028*N2028*IF(AND(Inputs!$B$38&lt;&gt;"pvp",Inputs!$B$43&gt;0),((Skills!G7*((R2028-1)*IF(Skills!H7&gt;0,Skills!I7/Skills!H7,1)+IF(Skills!H7&gt;0,MIN(Skills!I7,MAX(0,MAX(0,Inputs!$B$43-B2054)-((R2028-1)*(IF(Inputs!$B$38="pvp",15,MAX(0.1,Skills!D7-IF(Skills!E7=TRUE,Inputs!$B$32,0)))*(1-IF(AND(ArtifactsInput!$M$27,Inputs!$B$4="Chapter Hunt"),CHOOSE(ArtifactsInput!$N$27+1,20,24,28,32,36,40),0)/100)))))/Skills!H7,1)))/Inputs!$B$43),G2028*Q2028)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2028*(1-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2028*(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2028*(1-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2028*(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8">
        <f>IF(C2028,(H2028*N2028*IF(AND(Inputs!$B$38&lt;&gt;"pvp",Inputs!$B$43&gt;0),((Skills!G7*((R2028-1)*IF(Skills!H7&gt;0,Skills!I7/Skills!H7,1)+IF(Skills!H7&gt;0,MIN(Skills!I7,MAX(0,MAX(0,Inputs!$B$43-B2054)-((R2028-1)*(IF(Inputs!$B$38="pvp",15,MAX(0.1,Skills!D7-IF(Skills!E7=TRUE,Inputs!$B$32,0)))*(1-IF(AND(ArtifactsInput!$M$27,Inputs!$B$4="Chapter Hunt"),CHOOSE(ArtifactsInput!$N$27+1,20,24,28,32,36,40),0)/100)))))/Skills!H7,1)))/Inputs!$B$43),G2028*Q2028))*IF(Inputs!$B$38="pvp",1,(1+(Inputs!$B$21+Skills!Q7+(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29">
      <c r="A2029">
        <f>Skills!A8</f>
        <v/>
      </c>
      <c r="B2029">
        <f>Skills!B8</f>
        <v/>
      </c>
      <c r="C2029">
        <f>Inputs!$B$3&gt;=110</f>
        <v/>
      </c>
      <c r="D2029">
        <f>IF(Skills!C8=1,60+Inputs!$B$25+Inputs!$B$29,IF(Skills!C8=2,90+Inputs!$B$26+Inputs!$B$29,IF(Skills!C8=3,120+Inputs!$B$27+Inputs!$B$29,MAX(0,(Inputs!$B$3-100)*3)+Inputs!$B$28+Inputs!$B$29)))</f>
        <v/>
      </c>
      <c r="E2029">
        <f>INDEX(FactorTable!$B$2:$Y$301, MATCH(ROUND(MIN(300,MAX(1,D2029)),0), FactorTable!$A$2:$A$301,0), Skills!M8+1)</f>
        <v/>
      </c>
      <c r="F2029">
        <f>IF(Skills!N8=TRUE,(Skills!L8/10)*(E2029/1000),Skills!L8/10)+Skills!O8</f>
        <v/>
      </c>
      <c r="G2029">
        <f>Skills!G8*IF(Skills!H8&gt;0,Skills!I8/Skills!H8,1)</f>
        <v/>
      </c>
      <c r="H2029">
        <f>1-(1-Skills!J8/100)^Skills!K8</f>
        <v/>
      </c>
      <c r="I2029" t="inlineStr">
        <is>
          <t>1</t>
        </is>
      </c>
      <c r="J2029">
        <f>((Inputs!$B$6*(1+Inputs!$B$7/100))+(((Inputs!$B$12*(1+Inputs!$B$13/100))-(Inputs!$B$12*(1+Inputs!$B$13/100)))+0.25*(Inputs!$B$14-Inputs!$B$14))*(1+Inputs!$B$7/100))*(F2029/100)</f>
        <v/>
      </c>
      <c r="K2029">
        <f>J2029*(1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2029)</f>
        <v/>
      </c>
      <c r="L2029">
        <f>K2029*(MIN(Inputs!$B$22+((C2041=TRUE)*(F2041-Calc!F20)),(Inputs!$B$23+0+(IF(ArtifactsInput!$M$15,CHOOSE(ArtifactsInput!$N$15+1,25,30,35,40,45,50)/100*(Inputs!$B$11-Inputs!$B$11),0))))/100+(Inputs!$B$23+0+(IF(ArtifactsInput!$M$15,CHOOSE(ArtifactsInput!$N$15+1,25,30,35,40,45,50)/100*(Inputs!$B$11-Inputs!$B$11),0)))/100)/2</f>
        <v/>
      </c>
      <c r="M2029">
        <f>L2029*(1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29">
        <f>L2029*(1-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2029*(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29">
        <f>(1-Summary!$B$11)*T2029+Summary!$B$11*V2029</f>
        <v/>
      </c>
      <c r="P2029">
        <f>IF(B2057=0,0,O2029/B2057)</f>
        <v/>
      </c>
      <c r="Q2029">
        <f>IFERROR(1/(IF(Inputs!$B$38="pvp",15,MAX(0.1,Skills!D8-IF(Skills!E8=TRUE,Inputs!$B$32,0)))*(1-IF(AND(ArtifactsInput!$M$27,Inputs!$B$4="Chapter Hunt"),CHOOSE(ArtifactsInput!$N$27+1,20,24,28,32,36,40),0)/100)),0)</f>
        <v/>
      </c>
      <c r="R2029">
        <f>IF(AND(Inputs!$B$38&lt;&gt;"pvp",Inputs!$B$43&gt;0),IF(MAX(0,Inputs!$B$43-B2054)&lt;=0,0,(INT(MAX(0,Inputs!$B$43-B2054)/(IF(Inputs!$B$38="pvp",15,MAX(0.1,Skills!D8-IF(Skills!E8=TRUE,Inputs!$B$32,0)))*(1-IF(AND(ArtifactsInput!$M$27,Inputs!$B$4="Chapter Hunt"),CHOOSE(ArtifactsInput!$N$27+1,20,24,28,32,36,40),0)/100)))+1)),0)</f>
        <v/>
      </c>
      <c r="S2029">
        <f>IFERROR(O2029/N2029,0)</f>
        <v/>
      </c>
      <c r="T2029">
        <f>IF(C2029,(H2029*N2029*IF(AND(Inputs!$B$38&lt;&gt;"pvp",Inputs!$B$43&gt;0),((Skills!G8*((R2029-1)*IF(Skills!H8&gt;0,Skills!I8/Skills!H8,1)+IF(Skills!H8&gt;0,MIN(Skills!I8,MAX(0,MAX(0,Inputs!$B$43-B2054)-((R2029-1)*(IF(Inputs!$B$38="pvp",15,MAX(0.1,Skills!D8-IF(Skills!E8=TRUE,Inputs!$B$32,0)))*(1-IF(AND(ArtifactsInput!$M$27,Inputs!$B$4="Chapter Hunt"),CHOOSE(ArtifactsInput!$N$27+1,20,24,28,32,36,40),0)/100)))))/Skills!H8,1)))/Inputs!$B$43),G2029*Q2029)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2029*(1-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2029*(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2029*(1-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2029*(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29">
        <f>IF(C2029,(H2029*N2029*IF(AND(Inputs!$B$38&lt;&gt;"pvp",Inputs!$B$43&gt;0),((Skills!G8*((R2029-1)*IF(Skills!H8&gt;0,Skills!I8/Skills!H8,1)+IF(Skills!H8&gt;0,MIN(Skills!I8,MAX(0,MAX(0,Inputs!$B$43-B2054)-((R2029-1)*(IF(Inputs!$B$38="pvp",15,MAX(0.1,Skills!D8-IF(Skills!E8=TRUE,Inputs!$B$32,0)))*(1-IF(AND(ArtifactsInput!$M$27,Inputs!$B$4="Chapter Hunt"),CHOOSE(ArtifactsInput!$N$27+1,20,24,28,32,36,40),0)/100)))))/Skills!H8,1)))/Inputs!$B$43),G2029*Q2029))*IF(Inputs!$B$38="pvp",1,(1+(Inputs!$B$21+Skills!Q8+(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0">
      <c r="A2030">
        <f>Skills!A9</f>
        <v/>
      </c>
      <c r="B2030">
        <f>Skills!B9</f>
        <v/>
      </c>
      <c r="C2030">
        <f>Inputs!$B$3&gt;=110</f>
        <v/>
      </c>
      <c r="D2030">
        <f>IF(Skills!C9=1,60+Inputs!$B$25+Inputs!$B$29,IF(Skills!C9=2,90+Inputs!$B$26+Inputs!$B$29,IF(Skills!C9=3,120+Inputs!$B$27+Inputs!$B$29,MAX(0,(Inputs!$B$3-100)*3)+Inputs!$B$28+Inputs!$B$29)))</f>
        <v/>
      </c>
      <c r="E2030">
        <f>INDEX(FactorTable!$B$2:$Y$301, MATCH(ROUND(MIN(300,MAX(1,D2030)),0), FactorTable!$A$2:$A$301,0), Skills!M9+1)</f>
        <v/>
      </c>
      <c r="F2030">
        <f>IF(Skills!N9=TRUE,(Skills!L9/10)*(E2030/1000),Skills!L9/10)+Skills!O9</f>
        <v/>
      </c>
      <c r="G2030">
        <f>Skills!G9*IF(Skills!H9&gt;0,Skills!I9/Skills!H9,1)</f>
        <v/>
      </c>
      <c r="H2030">
        <f>1-(1-Skills!J9/100)^Skills!K9</f>
        <v/>
      </c>
      <c r="I2030" t="inlineStr">
        <is>
          <t>1</t>
        </is>
      </c>
      <c r="J2030">
        <f>((Inputs!$B$6*(1+Inputs!$B$7/100))+(((Inputs!$B$12*(1+Inputs!$B$13/100))-(Inputs!$B$12*(1+Inputs!$B$13/100)))+0.25*(Inputs!$B$14-Inputs!$B$14))*(1+Inputs!$B$7/100))*(F2030/100)</f>
        <v/>
      </c>
      <c r="K2030">
        <f>J2030*(1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2030)</f>
        <v/>
      </c>
      <c r="L2030">
        <f>K2030*(MIN(Inputs!$B$22+((C2041=TRUE)*(F2041-Calc!F20)),(Inputs!$B$23+0+(IF(ArtifactsInput!$M$15,CHOOSE(ArtifactsInput!$N$15+1,25,30,35,40,45,50)/100*(Inputs!$B$11-Inputs!$B$11),0))))/100+(Inputs!$B$23+0+(IF(ArtifactsInput!$M$15,CHOOSE(ArtifactsInput!$N$15+1,25,30,35,40,45,50)/100*(Inputs!$B$11-Inputs!$B$11),0)))/100)/2</f>
        <v/>
      </c>
      <c r="M2030">
        <f>L2030*(1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0">
        <f>L2030*(1-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2030*(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0">
        <f>(1-Summary!$B$11)*T2030+Summary!$B$11*V2030</f>
        <v/>
      </c>
      <c r="P2030">
        <f>IF(B2057=0,0,O2030/B2057)</f>
        <v/>
      </c>
      <c r="Q2030">
        <f>IFERROR(1/(IF(Inputs!$B$38="pvp",15,MAX(0.1,Skills!D9-IF(Skills!E9=TRUE,Inputs!$B$32,0)))*(1-IF(AND(ArtifactsInput!$M$27,Inputs!$B$4="Chapter Hunt"),CHOOSE(ArtifactsInput!$N$27+1,20,24,28,32,36,40),0)/100)),0)</f>
        <v/>
      </c>
      <c r="R2030">
        <f>IF(AND(Inputs!$B$38&lt;&gt;"pvp",Inputs!$B$43&gt;0),IF(MAX(0,Inputs!$B$43-B2054)&lt;=0,0,(INT(MAX(0,Inputs!$B$43-B2054)/(IF(Inputs!$B$38="pvp",15,MAX(0.1,Skills!D9-IF(Skills!E9=TRUE,Inputs!$B$32,0)))*(1-IF(AND(ArtifactsInput!$M$27,Inputs!$B$4="Chapter Hunt"),CHOOSE(ArtifactsInput!$N$27+1,20,24,28,32,36,40),0)/100)))+1)),0)</f>
        <v/>
      </c>
      <c r="S2030">
        <f>IFERROR(O2030/N2030,0)</f>
        <v/>
      </c>
      <c r="T2030">
        <f>IF(C2030,(H2030*N2030*IF(AND(Inputs!$B$38&lt;&gt;"pvp",Inputs!$B$43&gt;0),((Skills!G9*((R2030-1)*IF(Skills!H9&gt;0,Skills!I9/Skills!H9,1)+IF(Skills!H9&gt;0,MIN(Skills!I9,MAX(0,MAX(0,Inputs!$B$43-B2054)-((R2030-1)*(IF(Inputs!$B$38="pvp",15,MAX(0.1,Skills!D9-IF(Skills!E9=TRUE,Inputs!$B$32,0)))*(1-IF(AND(ArtifactsInput!$M$27,Inputs!$B$4="Chapter Hunt"),CHOOSE(ArtifactsInput!$N$27+1,20,24,28,32,36,40),0)/100)))))/Skills!H9,1)))/Inputs!$B$43),G2030*Q2030)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2030*(1-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2030*(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2030*(1-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2030*(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0">
        <f>IF(C2030,(H2030*N2030*IF(AND(Inputs!$B$38&lt;&gt;"pvp",Inputs!$B$43&gt;0),((Skills!G9*((R2030-1)*IF(Skills!H9&gt;0,Skills!I9/Skills!H9,1)+IF(Skills!H9&gt;0,MIN(Skills!I9,MAX(0,MAX(0,Inputs!$B$43-B2054)-((R2030-1)*(IF(Inputs!$B$38="pvp",15,MAX(0.1,Skills!D9-IF(Skills!E9=TRUE,Inputs!$B$32,0)))*(1-IF(AND(ArtifactsInput!$M$27,Inputs!$B$4="Chapter Hunt"),CHOOSE(ArtifactsInput!$N$27+1,20,24,28,32,36,40),0)/100)))))/Skills!H9,1)))/Inputs!$B$43),G2030*Q2030))*IF(Inputs!$B$38="pvp",1,(1+(Inputs!$B$21+Skills!Q9+(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1">
      <c r="A2031">
        <f>Skills!A10</f>
        <v/>
      </c>
      <c r="B2031">
        <f>Skills!B10</f>
        <v/>
      </c>
      <c r="C2031">
        <f>Inputs!$B$3&gt;=103</f>
        <v/>
      </c>
      <c r="D2031">
        <f>IF(Skills!C10=1,60+Inputs!$B$25+Inputs!$B$29,IF(Skills!C10=2,90+Inputs!$B$26+Inputs!$B$29,IF(Skills!C10=3,120+Inputs!$B$27+Inputs!$B$29,MAX(0,(Inputs!$B$3-100)*3)+Inputs!$B$28+Inputs!$B$29)))</f>
        <v/>
      </c>
      <c r="E2031">
        <f>INDEX(FactorTable!$B$2:$Y$301, MATCH(ROUND(MIN(300,MAX(1,D2031)),0), FactorTable!$A$2:$A$301,0), Skills!M10+1)</f>
        <v/>
      </c>
      <c r="F2031">
        <f>IF(Skills!N10=TRUE,(Skills!L10/10)*(E2031/1000),Skills!L10/10)+Skills!O10</f>
        <v/>
      </c>
      <c r="G2031">
        <f>Skills!G10*IF(Skills!H10&gt;0,Skills!I10/Skills!H10,1)</f>
        <v/>
      </c>
      <c r="H2031">
        <f>1-(1-Skills!J10/100)^Skills!K10</f>
        <v/>
      </c>
      <c r="I2031" t="inlineStr">
        <is>
          <t>1</t>
        </is>
      </c>
      <c r="J2031">
        <f>((Inputs!$B$6*(1+Inputs!$B$7/100))+(((Inputs!$B$12*(1+Inputs!$B$13/100))-(Inputs!$B$12*(1+Inputs!$B$13/100)))+0.25*(Inputs!$B$14-Inputs!$B$14))*(1+Inputs!$B$7/100))*(F2031/100)</f>
        <v/>
      </c>
      <c r="K2031">
        <f>J2031*(1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2031)</f>
        <v/>
      </c>
      <c r="L2031">
        <f>K2031*(MIN(Inputs!$B$22+((C2041=TRUE)*(F2041-Calc!F20)),(Inputs!$B$23+0+(IF(ArtifactsInput!$M$15,CHOOSE(ArtifactsInput!$N$15+1,25,30,35,40,45,50)/100*(Inputs!$B$11-Inputs!$B$11),0))))/100+(Inputs!$B$23+0+(IF(ArtifactsInput!$M$15,CHOOSE(ArtifactsInput!$N$15+1,25,30,35,40,45,50)/100*(Inputs!$B$11-Inputs!$B$11),0)))/100)/2</f>
        <v/>
      </c>
      <c r="M2031">
        <f>L2031*(1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1">
        <f>L2031*(1-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1">
        <f>(1-Summary!$B$11)*T2031+Summary!$B$11*V2031</f>
        <v/>
      </c>
      <c r="P2031">
        <f>IF(B2057=0,0,O2031/B2057)</f>
        <v/>
      </c>
      <c r="Q2031">
        <f>IFERROR(1/(IF(Inputs!$B$38="pvp",15,MAX(0.1,Skills!D10-IF(Skills!E10=TRUE,Inputs!$B$32,0)))*(1-IF(AND(ArtifactsInput!$M$27,Inputs!$B$4="Chapter Hunt"),CHOOSE(ArtifactsInput!$N$27+1,20,24,28,32,36,40),0)/100)),0)</f>
        <v/>
      </c>
      <c r="R2031">
        <f>IF(AND(Inputs!$B$38&lt;&gt;"pvp",Inputs!$B$43&gt;0),IF(MAX(0,Inputs!$B$43-B2054)&lt;=0,0,(INT(MAX(0,Inputs!$B$43-B2054)/(IF(Inputs!$B$38="pvp",15,MAX(0.1,Skills!D10-IF(Skills!E10=TRUE,Inputs!$B$32,0)))*(1-IF(AND(ArtifactsInput!$M$27,Inputs!$B$4="Chapter Hunt"),CHOOSE(ArtifactsInput!$N$27+1,20,24,28,32,36,40),0)/100)))+1)),0)</f>
        <v/>
      </c>
      <c r="S2031">
        <f>IFERROR(O2031/N2031,0)</f>
        <v/>
      </c>
      <c r="T2031">
        <f>IF(C2031,(H2031*N2031*IF(AND(Inputs!$B$38&lt;&gt;"pvp",Inputs!$B$43&gt;0),((Skills!G10*((R2031-1)*IF(Skills!H10&gt;0,Skills!I10/Skills!H10,1)+IF(Skills!H10&gt;0,MIN(Skills!I10,MAX(0,MAX(0,Inputs!$B$43-B2054)-((R2031-1)*(IF(Inputs!$B$38="pvp",15,MAX(0.1,Skills!D10-IF(Skills!E10=TRUE,Inputs!$B$32,0)))*(1-IF(AND(ArtifactsInput!$M$27,Inputs!$B$4="Chapter Hunt"),CHOOSE(ArtifactsInput!$N$27+1,20,24,28,32,36,40),0)/100)))))/Skills!H10,1)))/Inputs!$B$43),G2031*Q2031)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2031*(1-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2031*(1-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1">
        <f>IF(C2031,(H2031*N2031*IF(AND(Inputs!$B$38&lt;&gt;"pvp",Inputs!$B$43&gt;0),((Skills!G10*((R2031-1)*IF(Skills!H10&gt;0,Skills!I10/Skills!H10,1)+IF(Skills!H10&gt;0,MIN(Skills!I10,MAX(0,MAX(0,Inputs!$B$43-B2054)-((R2031-1)*(IF(Inputs!$B$38="pvp",15,MAX(0.1,Skills!D10-IF(Skills!E10=TRUE,Inputs!$B$32,0)))*(1-IF(AND(ArtifactsInput!$M$27,Inputs!$B$4="Chapter Hunt"),CHOOSE(ArtifactsInput!$N$27+1,20,24,28,32,36,40),0)/100)))))/Skills!H10,1)))/Inputs!$B$43),G2031*Q2031))*IF(Inputs!$B$38="pvp",1,(1+(Inputs!$B$21+Skills!Q10+(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2">
      <c r="A2032">
        <f>Skills!A11</f>
        <v/>
      </c>
      <c r="B2032">
        <f>Skills!B11</f>
        <v/>
      </c>
      <c r="C2032">
        <f>Inputs!$B$3&gt;=113</f>
        <v/>
      </c>
      <c r="D2032">
        <f>IF(Skills!C11=1,60+Inputs!$B$25+Inputs!$B$29,IF(Skills!C11=2,90+Inputs!$B$26+Inputs!$B$29,IF(Skills!C11=3,120+Inputs!$B$27+Inputs!$B$29,MAX(0,(Inputs!$B$3-100)*3)+Inputs!$B$28+Inputs!$B$29)))</f>
        <v/>
      </c>
      <c r="E2032">
        <f>INDEX(FactorTable!$B$2:$Y$301, MATCH(ROUND(MIN(300,MAX(1,D2032)),0), FactorTable!$A$2:$A$301,0), Skills!M11+1)</f>
        <v/>
      </c>
      <c r="F2032">
        <f>IF(Skills!N11=TRUE,(Skills!L11/10)*(E2032/1000),Skills!L11/10)+Skills!O11</f>
        <v/>
      </c>
      <c r="G2032">
        <f>Skills!G11*IF(Skills!H11&gt;0,Skills!I11/Skills!H11,1)</f>
        <v/>
      </c>
      <c r="H2032">
        <f>1-(1-Skills!J11/100)^Skills!K11</f>
        <v/>
      </c>
      <c r="I2032" t="inlineStr">
        <is>
          <t>1</t>
        </is>
      </c>
      <c r="J2032">
        <f>((Inputs!$B$6*(1+Inputs!$B$7/100))+(((Inputs!$B$12*(1+Inputs!$B$13/100))-(Inputs!$B$12*(1+Inputs!$B$13/100)))+0.25*(Inputs!$B$14-Inputs!$B$14))*(1+Inputs!$B$7/100))*(F2032/100)</f>
        <v/>
      </c>
      <c r="K2032">
        <f>J2032*(1+((Inputs!$B$12*(1+Inputs!$B$13/100))*0.01+Inputs!$B$14*0.0025)/100)*(1+Inputs!$B$15/100)*(1+Inputs!$B$16/100)*(5000/(6000+Inputs!$B$42*(1-(100*(1-(1-(Inputs!$B$19+0)/100)*(1-CHOOSE(ArtifactsInput!$N$40+1,5,6,7,8,9,10)/100)^(ArtifactsInput!$M$40-ArtifactsInput!$M$40)))/100)))*(1+(Inputs!$B$24+((C2043=TRUE)*(F2043-Calc!F22))+B2053)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2042=TRUE)*(F2042-Calc!F21))+(((IF(AND(ArtifactsInput!$M$42,((Inputs!$B$9+((C2037=TRUE)*(F2037-Calc!F16))+B2047+(ArtifactsInput!$M$24-ArtifactsInput!$M$24)*CHOOSE(ArtifactsInput!$N$24+1,10,12,14,16,18,20)+IF(ArtifactsInput!$M$10,CHOOSE(ArtifactsInput!$N$10+1,15,18,21,24,27,30)*(IF(Inputs!$B$38="pvp",MIN(15,15)/15,IF(AND(Inputs!$B$38&lt;&gt;"pvp",Inputs!$B$43&gt;0),MIN(15,Inputs!$B$43)/(Inputs!$B$43),0))),0)))&gt;=100),MIN(100,((Inputs!$B$9+((C2037=TRUE)*(F2037-Calc!F16))+B2047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2037=TRUE)*(F2037-Calc!F16))+B2047+(ArtifactsInput!$M$24-ArtifactsInput!$M$24)*CHOOSE(ArtifactsInput!$N$24+1,10,12,14,16,18,20)+IF(ArtifactsInput!$M$10,CHOOSE(ArtifactsInput!$N$10+1,15,18,21,24,27,30)*(IF(Inputs!$B$38="pvp",MIN(15,15)/15,IF(AND(Inputs!$B$38&lt;&gt;"pvp",Inputs!$B$43&gt;0),MIN(15,Inputs!$B$43)/(Inputs!$B$43),0))),0)))&gt;=100),CHOOSE(ArtifactsInput!$N$42+1,40,48,56,64,72,80),0))))/100)*((1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2032)</f>
        <v/>
      </c>
      <c r="L2032">
        <f>K2032*(MIN(Inputs!$B$22+((C2041=TRUE)*(F2041-Calc!F20)),(Inputs!$B$23+0+(IF(ArtifactsInput!$M$15,CHOOSE(ArtifactsInput!$N$15+1,25,30,35,40,45,50)/100*(Inputs!$B$11-Inputs!$B$11),0))))/100+(Inputs!$B$23+0+(IF(ArtifactsInput!$M$15,CHOOSE(ArtifactsInput!$N$15+1,25,30,35,40,45,50)/100*(Inputs!$B$11-Inputs!$B$11),0)))/100)/2</f>
        <v/>
      </c>
      <c r="M2032">
        <f>L2032*(1+(Inputs!$B$10+0+B2052+(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032">
        <f>L2032*(1-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2032*(MIN((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32">
        <f>(1-Summary!$B$11)*T2032+Summary!$B$11*V2032</f>
        <v/>
      </c>
      <c r="P2032">
        <f>IF(B2057=0,0,O2032/B2057)</f>
        <v/>
      </c>
      <c r="Q2032">
        <f>IFERROR(1/(IF(Inputs!$B$38="pvp",15,MAX(0.1,Skills!D11-IF(Skills!E11=TRUE,Inputs!$B$32,0)))*(1-IF(AND(ArtifactsInput!$M$27,Inputs!$B$4="Chapter Hunt"),CHOOSE(ArtifactsInput!$N$27+1,20,24,28,32,36,40),0)/100)),0)</f>
        <v/>
      </c>
      <c r="R2032">
        <f>IF(AND(Inputs!$B$38&lt;&gt;"pvp",Inputs!$B$43&gt;0),IF(MAX(0,Inputs!$B$43-B2054)&lt;=0,0,(INT(MAX(0,Inputs!$B$43-B2054)/(IF(Inputs!$B$38="pvp",15,MAX(0.1,Skills!D11-IF(Skills!E11=TRUE,Inputs!$B$32,0)))*(1-IF(AND(ArtifactsInput!$M$27,Inputs!$B$4="Chapter Hunt"),CHOOSE(ArtifactsInput!$N$27+1,20,24,28,32,36,40),0)/100)))+1)),0)</f>
        <v/>
      </c>
      <c r="S2032">
        <f>IFERROR(O2032/N2032,0)</f>
        <v/>
      </c>
      <c r="T2032">
        <f>IF(C2032,(H2032*N2032*IF(AND(Inputs!$B$38&lt;&gt;"pvp",Inputs!$B$43&gt;0),((Skills!G11*((R2032-1)*IF(Skills!H11&gt;0,Skills!I11/Skills!H11,1)+IF(Skills!H11&gt;0,MIN(Skills!I11,MAX(0,MAX(0,Inputs!$B$43-B2054)-((R2032-1)*(IF(Inputs!$B$38="pvp",15,MAX(0.1,Skills!D11-IF(Skills!E11=TRUE,Inputs!$B$32,0)))*(1-IF(AND(ArtifactsInput!$M$27,Inputs!$B$4="Chapter Hunt"),CHOOSE(ArtifactsInput!$N$27+1,20,24,28,32,36,40),0)/100)))))/Skills!H11,1)))/Inputs!$B$43),G2032*Q2032)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2032*(1-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2032*(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2032*(1-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2032*(MIN(100,(Inputs!$B$9+((C2037=TRUE)*(F2037-Calc!F16))+B2047+(ArtifactsInput!$M$24-ArtifactsInput!$M$24)*CHOOSE(ArtifactsInput!$N$24+1,10,12,14,16,18,20)+(IF(AND(ArtifactsInput!$M$42,((Inputs!$B$9+((C2037=TRUE)*(F2037-Calc!F16))+B2047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32">
        <f>IF(C2032,(H2032*N2032*IF(AND(Inputs!$B$38&lt;&gt;"pvp",Inputs!$B$43&gt;0),((Skills!G11*((R2032-1)*IF(Skills!H11&gt;0,Skills!I11/Skills!H11,1)+IF(Skills!H11&gt;0,MIN(Skills!I11,MAX(0,MAX(0,Inputs!$B$43-B2054)-((R2032-1)*(IF(Inputs!$B$38="pvp",15,MAX(0.1,Skills!D11-IF(Skills!E11=TRUE,Inputs!$B$32,0)))*(1-IF(AND(ArtifactsInput!$M$27,Inputs!$B$4="Chapter Hunt"),CHOOSE(ArtifactsInput!$N$27+1,20,24,28,32,36,40),0)/100)))))/Skills!H11,1)))/Inputs!$B$43),G2032*Q2032))*IF(Inputs!$B$38="pvp",1,(1+(Inputs!$B$21+Skills!Q11+(IF(ArtifactsInput!$M$33,CHOOSE(ArtifactsInput!$N$33+1,30,36,42,48,54,60),0))+(IF(AND(ArtifactsInput!$M$35,Inputs!$B$4&lt;&gt;"Chapter Hunt"),CHOOSE(ArtifactsInput!$N$35+1,15,18,21,24,27,30)*(1-EXP(-(0.2*B2049)*5)),0)+IF(AND(ArtifactsInput!$M$22,Inputs!$B$4&lt;&gt;"Chapter Hunt"),CHOOSE(ArtifactsInput!$N$22+1,10,12,14,16,18,20)*((0*(((0.15*B2049*5))^0/1)+1*(((0.15*B2049*5))^1/1)+2*(((0.15*B2049*5))^2/2)+3*(((0.15*B2049*5))^3/6)+4*(((0.15*B2049*5))^4/24)+5*(((0.15*B2049*5))^5/120))/((((0.15*B2049*5))^0/1)+(((0.15*B2049*5))^1/1)+(((0.15*B2049*5))^2/2)+(((0.15*B2049*5))^3/6)+(((0.15*B2049*5))^4/24)+(((0.15*B2049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33">
      <c r="A2033">
        <f>Skills!A12</f>
        <v/>
      </c>
      <c r="B2033">
        <f>Skills!B12</f>
        <v/>
      </c>
      <c r="C2033">
        <f>Inputs!$B$3&gt;=100</f>
        <v/>
      </c>
      <c r="D2033">
        <f>IF(Skills!C12=1,60+Inputs!$B$25+Inputs!$B$29,IF(Skills!C12=2,90+Inputs!$B$26+Inputs!$B$29,IF(Skills!C12=3,120+Inputs!$B$27+Inputs!$B$29,MAX(0,(Inputs!$B$3-100)*3)+Inputs!$B$28+Inputs!$B$29)))</f>
        <v/>
      </c>
      <c r="E2033">
        <f>INDEX(FactorTable!$B$2:$Y$301, MATCH(ROUND(MIN(300,MAX(1,D2033)),0), FactorTable!$A$2:$A$301,0), Skills!M12+1)</f>
        <v/>
      </c>
      <c r="F2033">
        <f>IF(Skills!N12=TRUE,(Skills!L12/10)*(E2033/1000),Skills!L12/10)+Skills!O12</f>
        <v/>
      </c>
      <c r="G2033" t="inlineStr"/>
      <c r="H2033" t="inlineStr"/>
      <c r="I2033" t="inlineStr">
        <is>
          <t>1</t>
        </is>
      </c>
      <c r="J2033" t="inlineStr"/>
      <c r="K2033" t="inlineStr"/>
      <c r="L2033" t="inlineStr"/>
      <c r="M2033" t="inlineStr"/>
      <c r="N2033" t="inlineStr"/>
      <c r="O2033" t="inlineStr"/>
      <c r="P2033" t="inlineStr"/>
      <c r="Q2033" t="inlineStr"/>
      <c r="R2033" t="inlineStr"/>
      <c r="S2033" t="inlineStr"/>
      <c r="T2033" t="inlineStr"/>
      <c r="V2033" t="inlineStr"/>
    </row>
    <row r="2034">
      <c r="A2034">
        <f>Skills!A13</f>
        <v/>
      </c>
      <c r="B2034">
        <f>Skills!B13</f>
        <v/>
      </c>
      <c r="C2034">
        <f>Inputs!$B$3&gt;=66</f>
        <v/>
      </c>
      <c r="D2034">
        <f>IF(Skills!C13=1,60+Inputs!$B$25+Inputs!$B$29,IF(Skills!C13=2,90+Inputs!$B$26+Inputs!$B$29,IF(Skills!C13=3,120+Inputs!$B$27+Inputs!$B$29,MAX(0,(Inputs!$B$3-100)*3)+Inputs!$B$28+Inputs!$B$29)))</f>
        <v/>
      </c>
      <c r="E2034">
        <f>INDEX(FactorTable!$B$2:$Y$301, MATCH(ROUND(MIN(300,MAX(1,D2034)),0), FactorTable!$A$2:$A$301,0), Skills!M13+1)</f>
        <v/>
      </c>
      <c r="F2034">
        <f>IF(Skills!N13=TRUE,(Skills!L13/10)*(E2034/1000),Skills!L13/10)+Skills!O13</f>
        <v/>
      </c>
      <c r="G2034">
        <f>Skills!G13*IF(Skills!H13&gt;0,Skills!I13/Skills!H13,1)</f>
        <v/>
      </c>
      <c r="H2034">
        <f>1-(1-Skills!J13/100)^Skills!K13</f>
        <v/>
      </c>
      <c r="I2034" t="inlineStr">
        <is>
          <t>1</t>
        </is>
      </c>
      <c r="J2034" t="inlineStr"/>
      <c r="K2034" t="inlineStr"/>
      <c r="L2034" t="inlineStr"/>
      <c r="M2034" t="inlineStr"/>
      <c r="N2034" t="inlineStr"/>
      <c r="O2034">
        <f>(1-Summary!$B$11)*T2034+Summary!$B$11*V2034</f>
        <v/>
      </c>
      <c r="P2034">
        <f>IF(B2057=0,0,O2034/B2057)</f>
        <v/>
      </c>
      <c r="Q2034" t="n">
        <v>0</v>
      </c>
      <c r="R2034" t="n">
        <v>0</v>
      </c>
      <c r="S2034">
        <f>IFERROR(O2034/N2034,0)</f>
        <v/>
      </c>
      <c r="T2034" t="n">
        <v>0</v>
      </c>
      <c r="V2034" t="n">
        <v>0</v>
      </c>
    </row>
    <row r="2035">
      <c r="A2035">
        <f>Skills!A14</f>
        <v/>
      </c>
      <c r="B2035">
        <f>Skills!B14</f>
        <v/>
      </c>
      <c r="C2035">
        <f>Inputs!$B$3&gt;=107</f>
        <v/>
      </c>
      <c r="D2035">
        <f>IF(Skills!C14=1,60+Inputs!$B$25+Inputs!$B$29,IF(Skills!C14=2,90+Inputs!$B$26+Inputs!$B$29,IF(Skills!C14=3,120+Inputs!$B$27+Inputs!$B$29,MAX(0,(Inputs!$B$3-100)*3)+Inputs!$B$28+Inputs!$B$29)))</f>
        <v/>
      </c>
      <c r="E2035">
        <f>INDEX(FactorTable!$B$2:$Y$301, MATCH(ROUND(MIN(300,MAX(1,D2035)),0), FactorTable!$A$2:$A$301,0), Skills!M14+1)</f>
        <v/>
      </c>
      <c r="F2035">
        <f>IF(Skills!N14=TRUE,(Skills!L14/10)*(E2035/1000),Skills!L14/10)+Skills!O14</f>
        <v/>
      </c>
      <c r="G2035">
        <f>Skills!G14*IF(Skills!H14&gt;0,Skills!I14/Skills!H14,1)</f>
        <v/>
      </c>
      <c r="H2035">
        <f>1-(1-Skills!J14/100)^Skills!K14</f>
        <v/>
      </c>
      <c r="I2035" t="inlineStr">
        <is>
          <t>1</t>
        </is>
      </c>
      <c r="J2035" t="inlineStr"/>
      <c r="K2035" t="inlineStr"/>
      <c r="L2035" t="inlineStr"/>
      <c r="M2035" t="inlineStr"/>
      <c r="N2035" t="inlineStr"/>
      <c r="O2035">
        <f>(1-Summary!$B$11)*T2035+Summary!$B$11*V2035</f>
        <v/>
      </c>
      <c r="P2035">
        <f>IF(B2057=0,0,O2035/B2057)</f>
        <v/>
      </c>
      <c r="Q2035">
        <f>IFERROR(1/(IF(Inputs!$B$38="pvp",15,MAX(0.1,Skills!D14-IF(Skills!E14=TRUE,Inputs!$B$32,0)))*(1-IF(AND(ArtifactsInput!$M$27,Inputs!$B$4="Chapter Hunt"),CHOOSE(ArtifactsInput!$N$27+1,20,24,28,32,36,40),0)/100)),0)</f>
        <v/>
      </c>
      <c r="R2035">
        <f>IF(AND(Inputs!$B$38&lt;&gt;"pvp",Inputs!$B$43&gt;0),IF(Inputs!$B$43&lt;=0,0,(INT(Inputs!$B$43/(IF(Inputs!$B$38="pvp",15,MAX(0.1,Skills!D14-IF(Skills!E14=TRUE,Inputs!$B$32,0)))*(1-IF(AND(ArtifactsInput!$M$27,Inputs!$B$4="Chapter Hunt"),CHOOSE(ArtifactsInput!$N$27+1,20,24,28,32,36,40),0)/100)))+1)),0)</f>
        <v/>
      </c>
      <c r="S2035">
        <f>IFERROR(O2035/N2035,0)</f>
        <v/>
      </c>
      <c r="T2035" t="n">
        <v>0</v>
      </c>
      <c r="V2035" t="n">
        <v>0</v>
      </c>
    </row>
    <row r="2036">
      <c r="A2036">
        <f>Skills!A15</f>
        <v/>
      </c>
      <c r="B2036">
        <f>Skills!B15</f>
        <v/>
      </c>
      <c r="C2036">
        <f>Inputs!$B$3&gt;=115</f>
        <v/>
      </c>
      <c r="D2036">
        <f>IF(Skills!C15=1,60+Inputs!$B$25+Inputs!$B$29,IF(Skills!C15=2,90+Inputs!$B$26+Inputs!$B$29,IF(Skills!C15=3,120+Inputs!$B$27+Inputs!$B$29,MAX(0,(Inputs!$B$3-100)*3)+Inputs!$B$28+Inputs!$B$29)))</f>
        <v/>
      </c>
      <c r="E2036">
        <f>INDEX(FactorTable!$B$2:$Y$301, MATCH(ROUND(MIN(300,MAX(1,D2036)),0), FactorTable!$A$2:$A$301,0), Skills!M15+1)</f>
        <v/>
      </c>
      <c r="F2036">
        <f>IF(Skills!N15=TRUE,(Skills!L15/10)*(E2036/1000),Skills!L15/10)+Skills!O15</f>
        <v/>
      </c>
      <c r="G2036">
        <f>Skills!G15*IF(Skills!H15&gt;0,Skills!I15/Skills!H15,1)</f>
        <v/>
      </c>
      <c r="H2036">
        <f>1-(1-Skills!J15/100)^Skills!K15</f>
        <v/>
      </c>
      <c r="I2036" t="inlineStr">
        <is>
          <t>1</t>
        </is>
      </c>
      <c r="J2036" t="inlineStr"/>
      <c r="K2036" t="inlineStr"/>
      <c r="L2036" t="inlineStr"/>
      <c r="M2036" t="inlineStr"/>
      <c r="N2036" t="inlineStr"/>
      <c r="O2036">
        <f>(1-Summary!$B$11)*T2036+Summary!$B$11*V2036</f>
        <v/>
      </c>
      <c r="P2036">
        <f>IF(B2057=0,0,O2036/B2057)</f>
        <v/>
      </c>
      <c r="Q2036">
        <f>IFERROR(1/(IF(Inputs!$B$38="pvp",15,MAX(0.1,Skills!D15-IF(Skills!E15=TRUE,Inputs!$B$32,0)))*(1-IF(AND(ArtifactsInput!$M$27,Inputs!$B$4="Chapter Hunt"),CHOOSE(ArtifactsInput!$N$27+1,20,24,28,32,36,40),0)/100)),0)</f>
        <v/>
      </c>
      <c r="R2036">
        <f>IF(AND(Inputs!$B$38&lt;&gt;"pvp",Inputs!$B$43&gt;0),IF(Inputs!$B$43&lt;=0,0,(INT(Inputs!$B$43/(IF(Inputs!$B$38="pvp",15,MAX(0.1,Skills!D15-IF(Skills!E15=TRUE,Inputs!$B$32,0)))*(1-IF(AND(ArtifactsInput!$M$27,Inputs!$B$4="Chapter Hunt"),CHOOSE(ArtifactsInput!$N$27+1,20,24,28,32,36,40),0)/100)))+1)),0)</f>
        <v/>
      </c>
      <c r="S2036">
        <f>IFERROR(O2036/N2036,0)</f>
        <v/>
      </c>
      <c r="T2036" t="n">
        <v>0</v>
      </c>
      <c r="V2036" t="n">
        <v>0</v>
      </c>
    </row>
    <row r="2037">
      <c r="A2037">
        <f>Skills!A16</f>
        <v/>
      </c>
      <c r="B2037">
        <f>Skills!B16</f>
        <v/>
      </c>
      <c r="C2037">
        <f>Inputs!$B$3&gt;=15</f>
        <v/>
      </c>
      <c r="D2037">
        <f>IF(Skills!C16=1,60+Inputs!$B$25+Inputs!$B$29,IF(Skills!C16=2,90+Inputs!$B$26+Inputs!$B$29,IF(Skills!C16=3,120+Inputs!$B$27+Inputs!$B$29,MAX(0,(Inputs!$B$3-100)*3)+Inputs!$B$28+Inputs!$B$29)))</f>
        <v/>
      </c>
      <c r="E2037">
        <f>INDEX(FactorTable!$B$2:$Y$301, MATCH(ROUND(MIN(300,MAX(1,D2037)),0), FactorTable!$A$2:$A$301,0), Skills!M16+1)</f>
        <v/>
      </c>
      <c r="F2037">
        <f>IF(Skills!N16=TRUE,(Skills!L16/10)*(E2037/1000),Skills!L16/10)+Skills!O16</f>
        <v/>
      </c>
      <c r="G2037">
        <f>Skills!G16*IF(Skills!H16&gt;0,Skills!I16/Skills!H16,1)</f>
        <v/>
      </c>
      <c r="H2037">
        <f>1-(1-Skills!J16/100)^Skills!K16</f>
        <v/>
      </c>
      <c r="I2037" t="inlineStr">
        <is>
          <t>1</t>
        </is>
      </c>
      <c r="J2037" t="inlineStr"/>
      <c r="K2037" t="inlineStr"/>
      <c r="L2037" t="inlineStr"/>
      <c r="M2037" t="inlineStr"/>
      <c r="N2037" t="inlineStr"/>
      <c r="O2037">
        <f>(1-Summary!$B$11)*T2037+Summary!$B$11*V2037</f>
        <v/>
      </c>
      <c r="P2037">
        <f>IF(B2057=0,0,O2037/B2057)</f>
        <v/>
      </c>
      <c r="Q2037" t="n">
        <v>0</v>
      </c>
      <c r="R2037" t="n">
        <v>0</v>
      </c>
      <c r="S2037">
        <f>IFERROR(O2037/N2037,0)</f>
        <v/>
      </c>
      <c r="T2037" t="n">
        <v>0</v>
      </c>
      <c r="V2037" t="n">
        <v>0</v>
      </c>
    </row>
    <row r="2038">
      <c r="A2038">
        <f>Skills!A17</f>
        <v/>
      </c>
      <c r="B2038">
        <f>Skills!B17</f>
        <v/>
      </c>
      <c r="C2038">
        <f>Inputs!$B$3&gt;=10</f>
        <v/>
      </c>
      <c r="D2038">
        <f>IF(Skills!C17=1,60+Inputs!$B$25+Inputs!$B$29,IF(Skills!C17=2,90+Inputs!$B$26+Inputs!$B$29,IF(Skills!C17=3,120+Inputs!$B$27+Inputs!$B$29,MAX(0,(Inputs!$B$3-100)*3)+Inputs!$B$28+Inputs!$B$29)))</f>
        <v/>
      </c>
      <c r="E2038">
        <f>INDEX(FactorTable!$B$2:$Y$301, MATCH(ROUND(MIN(300,MAX(1,D2038)),0), FactorTable!$A$2:$A$301,0), Skills!M17+1)</f>
        <v/>
      </c>
      <c r="F2038">
        <f>IF(Skills!N17=TRUE,(Skills!L17/10)*(E2038/1000),Skills!L17/10)+Skills!O17</f>
        <v/>
      </c>
      <c r="G2038">
        <f>Skills!G17*IF(Skills!H17&gt;0,Skills!I17/Skills!H17,1)</f>
        <v/>
      </c>
      <c r="H2038">
        <f>1-(1-Skills!J17/100)^Skills!K17</f>
        <v/>
      </c>
      <c r="I2038" t="inlineStr">
        <is>
          <t>1</t>
        </is>
      </c>
      <c r="J2038" t="inlineStr"/>
      <c r="K2038" t="inlineStr"/>
      <c r="L2038" t="inlineStr"/>
      <c r="M2038" t="inlineStr"/>
      <c r="N2038" t="inlineStr"/>
      <c r="O2038">
        <f>(1-Summary!$B$11)*T2038+Summary!$B$11*V2038</f>
        <v/>
      </c>
      <c r="P2038">
        <f>IF(B2057=0,0,O2038/B2057)</f>
        <v/>
      </c>
      <c r="Q2038" t="n">
        <v>0</v>
      </c>
      <c r="R2038" t="n">
        <v>0</v>
      </c>
      <c r="S2038">
        <f>IFERROR(O2038/N2038,0)</f>
        <v/>
      </c>
      <c r="T2038" t="n">
        <v>0</v>
      </c>
      <c r="V2038" t="n">
        <v>0</v>
      </c>
    </row>
    <row r="2039">
      <c r="A2039">
        <f>Skills!A18</f>
        <v/>
      </c>
      <c r="B2039">
        <f>Skills!B18</f>
        <v/>
      </c>
      <c r="C2039">
        <f>Inputs!$B$3&gt;=33</f>
        <v/>
      </c>
      <c r="D2039">
        <f>IF(Skills!C18=1,60+Inputs!$B$25+Inputs!$B$29,IF(Skills!C18=2,90+Inputs!$B$26+Inputs!$B$29,IF(Skills!C18=3,120+Inputs!$B$27+Inputs!$B$29,MAX(0,(Inputs!$B$3-100)*3)+Inputs!$B$28+Inputs!$B$29)))</f>
        <v/>
      </c>
      <c r="E2039">
        <f>INDEX(FactorTable!$B$2:$Y$301, MATCH(ROUND(MIN(300,MAX(1,D2039)),0), FactorTable!$A$2:$A$301,0), Skills!M18+1)</f>
        <v/>
      </c>
      <c r="F2039">
        <f>IF(Skills!N18=TRUE,(Skills!L18/10)*(E2039/1000),Skills!L18/10)+Skills!O18</f>
        <v/>
      </c>
      <c r="G2039">
        <f>Skills!G18*IF(Skills!H18&gt;0,Skills!I18/Skills!H18,1)</f>
        <v/>
      </c>
      <c r="H2039">
        <f>1-(1-Skills!J18/100)^Skills!K18</f>
        <v/>
      </c>
      <c r="I2039" t="inlineStr">
        <is>
          <t>1</t>
        </is>
      </c>
      <c r="J2039" t="inlineStr"/>
      <c r="K2039" t="inlineStr"/>
      <c r="L2039" t="inlineStr"/>
      <c r="M2039" t="inlineStr"/>
      <c r="N2039" t="inlineStr"/>
      <c r="O2039">
        <f>(1-Summary!$B$11)*T2039+Summary!$B$11*V2039</f>
        <v/>
      </c>
      <c r="P2039">
        <f>IF(B2057=0,0,O2039/B2057)</f>
        <v/>
      </c>
      <c r="Q2039" t="n">
        <v>0</v>
      </c>
      <c r="R2039" t="n">
        <v>0</v>
      </c>
      <c r="S2039">
        <f>IFERROR(O2039/N2039,0)</f>
        <v/>
      </c>
      <c r="T2039" t="n">
        <v>0</v>
      </c>
      <c r="V2039" t="n">
        <v>0</v>
      </c>
    </row>
    <row r="2040">
      <c r="A2040">
        <f>Skills!A19</f>
        <v/>
      </c>
      <c r="B2040">
        <f>Skills!B19</f>
        <v/>
      </c>
      <c r="C2040">
        <f>Inputs!$B$3&gt;=40</f>
        <v/>
      </c>
      <c r="D2040">
        <f>IF(Skills!C19=1,60+Inputs!$B$25+Inputs!$B$29,IF(Skills!C19=2,90+Inputs!$B$26+Inputs!$B$29,IF(Skills!C19=3,120+Inputs!$B$27+Inputs!$B$29,MAX(0,(Inputs!$B$3-100)*3)+Inputs!$B$28+Inputs!$B$29)))</f>
        <v/>
      </c>
      <c r="E2040">
        <f>INDEX(FactorTable!$B$2:$Y$301, MATCH(ROUND(MIN(300,MAX(1,D2040)),0), FactorTable!$A$2:$A$301,0), Skills!M19+1)</f>
        <v/>
      </c>
      <c r="F2040">
        <f>IF(Skills!N19=TRUE,(Skills!L19/10)*(E2040/1000),Skills!L19/10)+Skills!O19</f>
        <v/>
      </c>
      <c r="G2040">
        <f>Skills!G19*IF(Skills!H19&gt;0,Skills!I19/Skills!H19,1)</f>
        <v/>
      </c>
      <c r="H2040">
        <f>1-(1-Skills!J19/100)^Skills!K19</f>
        <v/>
      </c>
      <c r="I2040" t="inlineStr">
        <is>
          <t>1</t>
        </is>
      </c>
      <c r="J2040" t="inlineStr"/>
      <c r="K2040" t="inlineStr"/>
      <c r="L2040" t="inlineStr"/>
      <c r="M2040" t="inlineStr"/>
      <c r="N2040" t="inlineStr"/>
      <c r="O2040">
        <f>(1-Summary!$B$11)*T2040+Summary!$B$11*V2040</f>
        <v/>
      </c>
      <c r="P2040">
        <f>IF(B2057=0,0,O2040/B2057)</f>
        <v/>
      </c>
      <c r="Q2040" t="n">
        <v>0</v>
      </c>
      <c r="R2040" t="n">
        <v>0</v>
      </c>
      <c r="S2040">
        <f>IFERROR(O2040/N2040,0)</f>
        <v/>
      </c>
      <c r="T2040" t="n">
        <v>0</v>
      </c>
      <c r="V2040" t="n">
        <v>0</v>
      </c>
    </row>
    <row r="2041">
      <c r="A2041">
        <f>Skills!A20</f>
        <v/>
      </c>
      <c r="B2041">
        <f>Skills!B20</f>
        <v/>
      </c>
      <c r="C2041">
        <f>Inputs!$B$3&gt;=43</f>
        <v/>
      </c>
      <c r="D2041">
        <f>IF(Skills!C20=1,60+Inputs!$B$25+Inputs!$B$29,IF(Skills!C20=2,90+Inputs!$B$26+Inputs!$B$29,IF(Skills!C20=3,120+Inputs!$B$27+Inputs!$B$29,MAX(0,(Inputs!$B$3-100)*3)+Inputs!$B$28+Inputs!$B$29)))</f>
        <v/>
      </c>
      <c r="E2041">
        <f>INDEX(FactorTable!$B$2:$Y$301, MATCH(ROUND(MIN(300,MAX(1,D2041)),0), FactorTable!$A$2:$A$301,0), Skills!M20+1)</f>
        <v/>
      </c>
      <c r="F2041">
        <f>IF(Skills!N20=TRUE,(Skills!L20/10)*(E2041/1000),Skills!L20/10)+Skills!O20</f>
        <v/>
      </c>
      <c r="G2041">
        <f>Skills!G20*IF(Skills!H20&gt;0,Skills!I20/Skills!H20,1)</f>
        <v/>
      </c>
      <c r="H2041">
        <f>1-(1-Skills!J20/100)^Skills!K20</f>
        <v/>
      </c>
      <c r="I2041" t="inlineStr">
        <is>
          <t>1</t>
        </is>
      </c>
      <c r="J2041" t="inlineStr"/>
      <c r="K2041" t="inlineStr"/>
      <c r="L2041" t="inlineStr"/>
      <c r="M2041" t="inlineStr"/>
      <c r="N2041" t="inlineStr"/>
      <c r="O2041">
        <f>(1-Summary!$B$11)*T2041+Summary!$B$11*V2041</f>
        <v/>
      </c>
      <c r="P2041">
        <f>IF(B2057=0,0,O2041/B2057)</f>
        <v/>
      </c>
      <c r="Q2041" t="n">
        <v>0</v>
      </c>
      <c r="R2041" t="n">
        <v>0</v>
      </c>
      <c r="S2041">
        <f>IFERROR(O2041/N2041,0)</f>
        <v/>
      </c>
      <c r="T2041" t="n">
        <v>0</v>
      </c>
      <c r="V2041" t="n">
        <v>0</v>
      </c>
    </row>
    <row r="2042">
      <c r="A2042">
        <f>Skills!A21</f>
        <v/>
      </c>
      <c r="B2042">
        <f>Skills!B21</f>
        <v/>
      </c>
      <c r="C2042">
        <f>Inputs!$B$3&gt;=38</f>
        <v/>
      </c>
      <c r="D2042">
        <f>IF(Skills!C21=1,60+Inputs!$B$25+Inputs!$B$29,IF(Skills!C21=2,90+Inputs!$B$26+Inputs!$B$29,IF(Skills!C21=3,120+Inputs!$B$27+Inputs!$B$29,MAX(0,(Inputs!$B$3-100)*3)+Inputs!$B$28+Inputs!$B$29)))</f>
        <v/>
      </c>
      <c r="E2042">
        <f>INDEX(FactorTable!$B$2:$Y$301, MATCH(ROUND(MIN(300,MAX(1,D2042)),0), FactorTable!$A$2:$A$301,0), Skills!M21+1)</f>
        <v/>
      </c>
      <c r="F2042">
        <f>IF(Skills!N21=TRUE,(Skills!L21/10)*(E2042/1000),Skills!L21/10)+Skills!O21</f>
        <v/>
      </c>
      <c r="G2042">
        <f>Skills!G21*IF(Skills!H21&gt;0,Skills!I21/Skills!H21,1)</f>
        <v/>
      </c>
      <c r="H2042">
        <f>1-(1-Skills!J21/100)^Skills!K21</f>
        <v/>
      </c>
      <c r="I2042" t="inlineStr">
        <is>
          <t>1</t>
        </is>
      </c>
      <c r="J2042" t="inlineStr"/>
      <c r="K2042" t="inlineStr"/>
      <c r="L2042" t="inlineStr"/>
      <c r="M2042" t="inlineStr"/>
      <c r="N2042" t="inlineStr"/>
      <c r="O2042">
        <f>(1-Summary!$B$11)*T2042+Summary!$B$11*V2042</f>
        <v/>
      </c>
      <c r="P2042">
        <f>IF(B2057=0,0,O2042/B2057)</f>
        <v/>
      </c>
      <c r="Q2042" t="n">
        <v>0</v>
      </c>
      <c r="R2042" t="n">
        <v>0</v>
      </c>
      <c r="S2042">
        <f>IFERROR(O2042/N2042,0)</f>
        <v/>
      </c>
      <c r="T2042" t="n">
        <v>0</v>
      </c>
      <c r="V2042" t="n">
        <v>0</v>
      </c>
    </row>
    <row r="2043">
      <c r="A2043">
        <f>Skills!A22</f>
        <v/>
      </c>
      <c r="B2043">
        <f>Skills!B22</f>
        <v/>
      </c>
      <c r="C2043">
        <f>Inputs!$B$3&gt;=75</f>
        <v/>
      </c>
      <c r="D2043">
        <f>IF(Skills!C22=1,60+Inputs!$B$25+Inputs!$B$29,IF(Skills!C22=2,90+Inputs!$B$26+Inputs!$B$29,IF(Skills!C22=3,120+Inputs!$B$27+Inputs!$B$29,MAX(0,(Inputs!$B$3-100)*3)+Inputs!$B$28+Inputs!$B$29)))</f>
        <v/>
      </c>
      <c r="E2043">
        <f>INDEX(FactorTable!$B$2:$Y$301, MATCH(ROUND(MIN(300,MAX(1,D2043)),0), FactorTable!$A$2:$A$301,0), Skills!M22+1)</f>
        <v/>
      </c>
      <c r="F2043">
        <f>IF(Skills!N22=TRUE,(Skills!L22/10)*(E2043/1000),Skills!L22/10)+Skills!O22</f>
        <v/>
      </c>
      <c r="G2043">
        <f>Skills!G22*IF(Skills!H22&gt;0,Skills!I22/Skills!H22,1)</f>
        <v/>
      </c>
      <c r="H2043">
        <f>1-(1-Skills!J22/100)^Skills!K22</f>
        <v/>
      </c>
      <c r="I2043" t="inlineStr">
        <is>
          <t>1</t>
        </is>
      </c>
      <c r="J2043" t="inlineStr"/>
      <c r="K2043" t="inlineStr"/>
      <c r="L2043" t="inlineStr"/>
      <c r="M2043" t="inlineStr"/>
      <c r="N2043" t="inlineStr"/>
      <c r="O2043">
        <f>(1-Summary!$B$11)*T2043+Summary!$B$11*V2043</f>
        <v/>
      </c>
      <c r="P2043">
        <f>IF(B2057=0,0,O2043/B2057)</f>
        <v/>
      </c>
      <c r="Q2043" t="n">
        <v>0</v>
      </c>
      <c r="R2043" t="n">
        <v>0</v>
      </c>
      <c r="S2043">
        <f>IFERROR(O2043/N2043,0)</f>
        <v/>
      </c>
      <c r="T2043" t="n">
        <v>0</v>
      </c>
      <c r="V2043" t="n">
        <v>0</v>
      </c>
    </row>
    <row r="2044">
      <c r="A2044">
        <f>Skills!A23</f>
        <v/>
      </c>
      <c r="B2044">
        <f>Skills!B23</f>
        <v/>
      </c>
      <c r="C2044">
        <f>TRUE</f>
        <v/>
      </c>
      <c r="D2044">
        <f>IF(Skills!C23=1,60+Inputs!$B$25+Inputs!$B$29,IF(Skills!C23=2,90+Inputs!$B$26+Inputs!$B$29,IF(Skills!C23=3,120+Inputs!$B$27+Inputs!$B$29,MAX(0,(Inputs!$B$3-100)*3)+Inputs!$B$28+Inputs!$B$29)))</f>
        <v/>
      </c>
      <c r="E2044">
        <f>INDEX(FactorTable!$B$2:$Y$301, MATCH(ROUND(MIN(300,MAX(1,D2044)),0), FactorTable!$A$2:$A$301,0), Skills!M23+1)</f>
        <v/>
      </c>
      <c r="F2044">
        <f>IF(Skills!N23=TRUE,(Skills!L23/10)*(E2044/1000),Skills!L23/10)+Skills!O23</f>
        <v/>
      </c>
      <c r="G2044">
        <f>Skills!G23*IF(Skills!H23&gt;0,Skills!I23/Skills!H23,1)</f>
        <v/>
      </c>
      <c r="H2044">
        <f>1-(1-Skills!J23/100)^Skills!K23</f>
        <v/>
      </c>
      <c r="I2044" t="inlineStr">
        <is>
          <t>1</t>
        </is>
      </c>
      <c r="J2044" t="inlineStr"/>
      <c r="K2044" t="inlineStr"/>
      <c r="L2044" t="inlineStr"/>
      <c r="M2044" t="inlineStr"/>
      <c r="N2044" t="inlineStr"/>
      <c r="O2044">
        <f>(1-Summary!$B$11)*T2044+Summary!$B$11*V2044</f>
        <v/>
      </c>
      <c r="P2044">
        <f>IF(B2057=0,0,O2044/B2057)</f>
        <v/>
      </c>
      <c r="Q2044">
        <f>IFERROR(1/(IF(Inputs!$B$38="pvp",15,MAX(0.1,Skills!D23-IF(Skills!E23=TRUE,Inputs!$B$32,0)))*(1-IF(AND(ArtifactsInput!$M$27,Inputs!$B$4="Chapter Hunt"),CHOOSE(ArtifactsInput!$N$27+1,20,24,28,32,36,40),0)/100)),0)</f>
        <v/>
      </c>
      <c r="R2044">
        <f>IF(AND(Inputs!$B$38&lt;&gt;"pvp",Inputs!$B$43&gt;0),IF(Inputs!$B$43&lt;=0,0,(INT(Inputs!$B$43/(IF(Inputs!$B$38="pvp",15,MAX(0.1,Skills!D23-IF(Skills!E23=TRUE,Inputs!$B$32,0)))*(1-IF(AND(ArtifactsInput!$M$27,Inputs!$B$4="Chapter Hunt"),CHOOSE(ArtifactsInput!$N$27+1,20,24,28,32,36,40),0)/100)))+1)),0)</f>
        <v/>
      </c>
      <c r="S2044">
        <f>IFERROR(O2044/N2044,0)</f>
        <v/>
      </c>
      <c r="T2044" t="n">
        <v>0</v>
      </c>
      <c r="V2044" t="n">
        <v>0</v>
      </c>
    </row>
    <row r="2046">
      <c r="A2046" t="inlineStr">
        <is>
          <t>Attack% Bucket Multiplier</t>
        </is>
      </c>
      <c r="B2046">
        <f>(1+(((C2034=TRUE)*F2034*5/7)+((C2040=TRUE)*(F2040-Calc!F19))+(IF(ArtifactsInput!$M$21,CHOOSE(ArtifactsInput!$N$21+1,25,30,35,40,45,50)*(IF(OR(Inputs!$B$4="Chapter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47">
      <c r="A2047" t="inlineStr">
        <is>
          <t>Global Crit Rate Bonus %</t>
        </is>
      </c>
      <c r="B2047" t="n">
        <v>0</v>
      </c>
    </row>
    <row r="2048">
      <c r="A2048" t="inlineStr">
        <is>
          <t>Attack Speed Buff Bonus % (Nimble Feet, duty-cycle averaged)</t>
        </is>
      </c>
      <c r="B2048">
        <f>((C2044=TRUE)*F2044*IF(AND(Inputs!$B$38&lt;&gt;"pvp",Inputs!$B$43&gt;0),(((R2044-1)*(Skills!T23*(1+Inputs!$B$34/100))+MIN((Skills!T23*(1+Inputs!$B$34/100)),MAX(0,Inputs!$B$43-((R2044-1)*Skills!D23))))/Inputs!$B$43),IF(Inputs!$B$38="pvp",MIN((Skills!T23*(1+Inputs!$B$34/100)),15)/15,(Skills!T23*(1+Inputs!$B$34/100))/Skills!D23)))</f>
        <v/>
      </c>
    </row>
    <row r="2049">
      <c r="A2049" t="inlineStr">
        <is>
          <t>Actions Per Second</t>
        </is>
      </c>
      <c r="B2049">
        <f>1+MIN(150,150*(1-(1-(Inputs!$B$11+((C2038=TRUE)*(F2038-Calc!F17))+((C2039=TRUE)*(F2039-Calc!F18)))/150)*(1-B2048/150)))/100</f>
        <v/>
      </c>
    </row>
    <row r="2050">
      <c r="A2050" t="inlineStr">
        <is>
          <t>Skill + Buff Cast Rate</t>
        </is>
      </c>
      <c r="B2050">
        <f>IF(AND(Inputs!$B$38&lt;&gt;"pvp",Inputs!$B$43&gt;0),SUMPRODUCT((Skills!E2:E23=TRUE)*(C2023:C2044=TRUE)*R2023:R2044*Skills!F2:F23)/Inputs!$B$43,SUMPRODUCT((Skills!E2:E23=TRUE)*(C2023:C2044=TRUE)*Q2023:Q2044*Skills!F2:F23))</f>
        <v/>
      </c>
    </row>
    <row r="2051">
      <c r="A2051" t="inlineStr">
        <is>
          <t>Hook Bomber Casts Per Second</t>
        </is>
      </c>
      <c r="B2051">
        <f>MAX(0,B2049-B2050)</f>
        <v/>
      </c>
    </row>
    <row r="2052">
      <c r="A2052" t="inlineStr">
        <is>
          <t>Global Critical Damage Bonus % (unused)</t>
        </is>
      </c>
      <c r="B2052" t="n">
        <v>0</v>
      </c>
    </row>
    <row r="2053">
      <c r="A2053" t="inlineStr">
        <is>
          <t>Global Final Damage Bonus % (Serpent Scale + Crossbones + Time Leap + Speed Infusion)</t>
        </is>
      </c>
      <c r="B2053">
        <f>((C2026=TRUE)*F2026*((10+IF(Inputs!$B$3&gt;=94,5,0))/((10+IF(Inputs!$B$3&gt;=94,5,0))+5/(B2051*(1+IF(Inputs!$B$3&gt;=104,1,0))))))+((C2035=TRUE)*F2035*IF(AND(Inputs!$B$38&lt;&gt;"pvp",Inputs!$B$43&gt;0),(((R2035-1)*(Skills!T14*(1+Inputs!$B$34/100))+MIN((Skills!T14*(1+Inputs!$B$34/100)),MAX(0,Inputs!$B$43-((R2035-1)*Skills!D14))))/Inputs!$B$43),IF(Inputs!$B$38="pvp",MIN((Skills!T14*(1+Inputs!$B$34/100)),15)/15,(Skills!T14*(1+Inputs!$B$34/100))/Skills!D14)))+((C2036=TRUE)*F2036*IF(AND(Inputs!$B$38&lt;&gt;"pvp",Inputs!$B$43&gt;0),(((R2036-1)*(Skills!T15*(1+Inputs!$B$34/100))+MIN((Skills!T15*(1+Inputs!$B$34/100)),MAX(0,Inputs!$B$43-((R2036-1)*Skills!D15))))/Inputs!$B$43),IF(Inputs!$B$38="pvp",MIN((Skills!T15*(1+Inputs!$B$34/100)),15)/15,(Skills!T15*(1+Inputs!$B$34/100))/Skills!D15)))+((Inputs!$B$3&gt;=110)*20*(B2049-1)*IF(Inputs!$B$38="pvp",MIN((15*(1+Inputs!$B$34/100)),15)/15,(15*(1+Inputs!$B$34/100))/35))</f>
        <v/>
      </c>
    </row>
    <row r="2054">
      <c r="A2054" t="inlineStr">
        <is>
          <t>Buff-Casting Startup Delay (s, fixed-duration only)</t>
        </is>
      </c>
      <c r="B2054">
        <f>IF(AND(Inputs!$B$38&lt;&gt;"pvp",Inputs!$B$43&gt;0),SUMPRODUCT((Skills!T2:T23&gt;0)*(Skills!E2:E23=TRUE)*(C2023:C2044=TRUE))/B2049,0)</f>
        <v/>
      </c>
    </row>
    <row r="2055">
      <c r="A2055" t="inlineStr">
        <is>
          <t>Boss-Only Total DPS (this block's swept value)</t>
        </is>
      </c>
      <c r="B2055">
        <f>SUM(T2023:T2044)</f>
        <v/>
      </c>
    </row>
    <row r="2056">
      <c r="A2056" t="inlineStr">
        <is>
          <t>Normal-Only Total DPS (this block's swept value)</t>
        </is>
      </c>
      <c r="B2056">
        <f>SUM(V2023:V2044)</f>
        <v/>
      </c>
    </row>
    <row r="2057">
      <c r="A2057" s="6" t="inlineStr">
        <is>
          <t>TOTAL DPS</t>
        </is>
      </c>
      <c r="B2057" s="6">
        <f>SUM(O2023:O2044)</f>
        <v/>
      </c>
    </row>
    <row r="2060">
      <c r="A2060" s="6" t="inlineStr">
        <is>
          <t>Stat: Flaming Lava (Equip)</t>
        </is>
      </c>
    </row>
    <row r="2061">
      <c r="A2061" s="5" t="inlineStr">
        <is>
          <t>Key</t>
        </is>
      </c>
      <c r="B2061" s="5" t="inlineStr">
        <is>
          <t>Name</t>
        </is>
      </c>
      <c r="C2061" s="5" t="inlineStr">
        <is>
          <t>Unlocked</t>
        </is>
      </c>
      <c r="D2061" s="5" t="inlineStr">
        <is>
          <t>InputLevel</t>
        </is>
      </c>
      <c r="E2061" s="5" t="inlineStr">
        <is>
          <t>Factor</t>
        </is>
      </c>
      <c r="F2061" s="5" t="inlineStr">
        <is>
          <t>CoefficientPercent</t>
        </is>
      </c>
      <c r="G2061" s="5" t="inlineStr">
        <is>
          <t>EffectiveHits</t>
        </is>
      </c>
      <c r="H2061" s="5" t="inlineStr">
        <is>
          <t>ProcProbability</t>
        </is>
      </c>
      <c r="I2061" s="5" t="inlineStr">
        <is>
          <t>MapleHeroMultiplier</t>
        </is>
      </c>
      <c r="J2061" s="5" t="inlineStr">
        <is>
          <t>BaseDamage</t>
        </is>
      </c>
      <c r="K2061" s="5" t="inlineStr">
        <is>
          <t>BaseHitDamage</t>
        </is>
      </c>
      <c r="L2061" s="5" t="inlineStr">
        <is>
          <t>NonCritAvg</t>
        </is>
      </c>
      <c r="M2061" s="5" t="inlineStr">
        <is>
          <t>CritAvg</t>
        </is>
      </c>
      <c r="N2061" s="5" t="inlineStr">
        <is>
          <t>ExpectedDamage(perHit)</t>
        </is>
      </c>
      <c r="O2061" s="5" t="inlineStr">
        <is>
          <t>DPS</t>
        </is>
      </c>
      <c r="P2061" s="5" t="inlineStr">
        <is>
          <t>% of Total</t>
        </is>
      </c>
      <c r="Q2061" s="5" t="inlineStr">
        <is>
          <t>InvCooldown</t>
        </is>
      </c>
      <c r="R2061" s="5" t="inlineStr">
        <is>
          <t>CastsInFight</t>
        </is>
      </c>
      <c r="S2061" s="5" t="inlineStr">
        <is>
          <t>HitRate(perSec)</t>
        </is>
      </c>
      <c r="U2061" t="inlineStr">
        <is>
          <t>helpers</t>
        </is>
      </c>
    </row>
    <row r="2062">
      <c r="A2062">
        <f>Skills!A2</f>
        <v/>
      </c>
      <c r="B2062">
        <f>Skills!B2</f>
        <v/>
      </c>
      <c r="C2062">
        <f>Inputs!$B$3&gt;=100</f>
        <v/>
      </c>
      <c r="D2062" t="inlineStr"/>
      <c r="E2062" t="inlineStr"/>
      <c r="F2062">
        <f>U2064+Skills!O2</f>
        <v/>
      </c>
      <c r="G2062">
        <f>Skills!G2*IF(Skills!H2&gt;0,Skills!I2/Skills!H2,1)</f>
        <v/>
      </c>
      <c r="H2062">
        <f>1-(1-Skills!J2/100)^Skills!K2</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2080=TRUE)*(F2080-Calc!F20)),(Inputs!$B$23+0+(IF(ArtifactsInput!$M$15,CHOOSE(ArtifactsInput!$N$15+1,25,30,35,40,45,50)/100*(Inputs!$B$11-Inputs!$B$11),0))))/100+(Inputs!$B$23+0+(IF(ArtifactsInput!$M$15,CHOOSE(ArtifactsInput!$N$15+1,25,30,35,40,45,50)/100*(Inputs!$B$11-Inputs!$B$11),0)))/100)/2</f>
        <v/>
      </c>
      <c r="M2062">
        <f>L2062*(1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IF(B2096=0,0,O2062/B2096)</f>
        <v/>
      </c>
      <c r="Q2062" t="n">
        <v>0</v>
      </c>
      <c r="R2062" t="n">
        <v>0</v>
      </c>
      <c r="S2062">
        <f>IFERROR(O2062/N2062,0)</f>
        <v/>
      </c>
      <c r="T2062">
        <f>IF(C2062,(Skills!G2*N2062*B2090)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2">
        <f>MAX(0,(Inputs!$B$3-100)*3)+Inputs!$B$28+Inputs!$B$29</f>
        <v/>
      </c>
      <c r="V2062">
        <f>IF(C2062,(Skills!G2*N2062*B2090)*IF(Inputs!$B$38="pvp",1,(1+(Inputs!$B$21+Skills!Q2+(IF(ArtifactsInput!$M$33,CHOOSE(ArtifactsInput!$N$33+1,30,36,42,48,54,60),0))+(IF(AND(ArtifactsInput!$M$35,Inputs!$B$4&lt;&gt;"Chapter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Skills!A3</f>
        <v/>
      </c>
      <c r="B2063">
        <f>Skills!B3</f>
        <v/>
      </c>
      <c r="C2063">
        <f>Inputs!$B$3&gt;=35</f>
        <v/>
      </c>
      <c r="D2063">
        <f>IF(Skills!C3=1,60+Inputs!$B$25+Inputs!$B$29,IF(Skills!C3=2,90+Inputs!$B$26+Inputs!$B$29,IF(Skills!C3=3,120+Inputs!$B$27+Inputs!$B$29,MAX(0,(Inputs!$B$3-100)*3)+Inputs!$B$28+Inputs!$B$29)))</f>
        <v/>
      </c>
      <c r="E2063">
        <f>INDEX(FactorTable!$B$2:$Y$301, MATCH(ROUND(MIN(300,MAX(1,D2063)),0), FactorTable!$A$2:$A$301,0), Skills!M3+1)</f>
        <v/>
      </c>
      <c r="F2063">
        <f>IF(Skills!N3=TRUE,(Skills!L3/10)*(E2063/1000),Skills!L3/10)+Skills!O3</f>
        <v/>
      </c>
      <c r="G2063">
        <f>Skills!G3*IF(Skills!H3&gt;0,Skills!I3/Skills!H3,1)</f>
        <v/>
      </c>
      <c r="H2063">
        <f>1-(1-Skills!J3/100)^Skills!K3</f>
        <v/>
      </c>
      <c r="I2063" t="inlineStr">
        <is>
          <t>1</t>
        </is>
      </c>
      <c r="J2063">
        <f>((Inputs!$B$6*(1+Inputs!$B$7/100))+(((Inputs!$B$12*(1+Inputs!$B$13/100))-(Inputs!$B$12*(1+Inputs!$B$13/100)))+0.25*(Inputs!$B$14-Inputs!$B$14))*(1+Inputs!$B$7/100))*(F2063/100)</f>
        <v/>
      </c>
      <c r="K2063">
        <f>J2063*(1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2063)</f>
        <v/>
      </c>
      <c r="L2063">
        <f>K2063*(MIN(Inputs!$B$22+((C2080=TRUE)*(F2080-Calc!F20)),(Inputs!$B$23+0+(IF(ArtifactsInput!$M$15,CHOOSE(ArtifactsInput!$N$15+1,25,30,35,40,45,50)/100*(Inputs!$B$11-Inputs!$B$11),0))))/100+(Inputs!$B$23+0+(IF(ArtifactsInput!$M$15,CHOOSE(ArtifactsInput!$N$15+1,25,30,35,40,45,50)/100*(Inputs!$B$11-Inputs!$B$11),0)))/100)/2</f>
        <v/>
      </c>
      <c r="M2063">
        <f>L2063*(1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3">
        <f>L2063*(1-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2063*(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3">
        <f>(1-Summary!$B$11)*T2063+Summary!$B$11*V2063</f>
        <v/>
      </c>
      <c r="P2063">
        <f>IF(B2096=0,0,O2063/B2096)</f>
        <v/>
      </c>
      <c r="Q2063" t="n">
        <v>0</v>
      </c>
      <c r="R2063" t="n">
        <v>0</v>
      </c>
      <c r="S2063">
        <f>IFERROR(O2063/N2063,0)</f>
        <v/>
      </c>
      <c r="T2063">
        <f>IF(C2063,(Skills!G3*H2063*N2063*B2090)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2063*(1-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2063*(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2063*(1-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2063*(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3">
        <f>INDEX(FactorTable!$B$2:$Y$301, MATCH(ROUND(MIN(300,MAX(1,U2062)),0), FactorTable!$A$2:$A$301,0), 22)</f>
        <v/>
      </c>
      <c r="V2063">
        <f>IF(C2063,(Skills!G3*H2063*N2063*B2090)*IF(Inputs!$B$38="pvp",1,(1+(Inputs!$B$21+Skills!Q3+(IF(ArtifactsInput!$M$33,CHOOSE(ArtifactsInput!$N$33+1,30,36,42,48,54,60),0))+(IF(AND(ArtifactsInput!$M$35,Inputs!$B$4&lt;&gt;"Chapter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4">
      <c r="A2064">
        <f>Skills!A4</f>
        <v/>
      </c>
      <c r="B2064">
        <f>Skills!B4</f>
        <v/>
      </c>
      <c r="C2064">
        <f>Inputs!$B$3&gt;=60</f>
        <v/>
      </c>
      <c r="D2064">
        <f>IF(Skills!C4=1,60+Inputs!$B$25+Inputs!$B$29,IF(Skills!C4=2,90+Inputs!$B$26+Inputs!$B$29,IF(Skills!C4=3,120+Inputs!$B$27+Inputs!$B$29,MAX(0,(Inputs!$B$3-100)*3)+Inputs!$B$28+Inputs!$B$29)))</f>
        <v/>
      </c>
      <c r="E2064">
        <f>INDEX(FactorTable!$B$2:$Y$301, MATCH(ROUND(MIN(300,MAX(1,D2064)),0), FactorTable!$A$2:$A$301,0), Skills!M4+1)</f>
        <v/>
      </c>
      <c r="F2064">
        <f>IF(Skills!N4=TRUE,(Skills!L4/10)*(E2064/1000),Skills!L4/10)+Skills!O4</f>
        <v/>
      </c>
      <c r="G2064">
        <f>Skills!G4*IF(Skills!H4&gt;0,Skills!I4/Skills!H4,1)</f>
        <v/>
      </c>
      <c r="H2064">
        <f>1-(1-Skills!J4/100)^Skills!K4</f>
        <v/>
      </c>
      <c r="I2064" t="inlineStr">
        <is>
          <t>1</t>
        </is>
      </c>
      <c r="J2064">
        <f>((Inputs!$B$6*(1+Inputs!$B$7/100))+(((Inputs!$B$12*(1+Inputs!$B$13/100))-(Inputs!$B$12*(1+Inputs!$B$13/100)))+0.25*(Inputs!$B$14-Inputs!$B$14))*(1+Inputs!$B$7/100))*(F2064/100)</f>
        <v/>
      </c>
      <c r="K2064">
        <f>J2064*(1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2072=TRUE,F2072,0)/100)*(1+(IF(Skills!A4="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2064)</f>
        <v/>
      </c>
      <c r="L2064">
        <f>K2064*(MIN(Inputs!$B$22+((C2080=TRUE)*(F2080-Calc!F20)),(Inputs!$B$23+0+(IF(ArtifactsInput!$M$15,CHOOSE(ArtifactsInput!$N$15+1,25,30,35,40,45,50)/100*(Inputs!$B$11-Inputs!$B$11),0))))/100+(Inputs!$B$23+0+(IF(ArtifactsInput!$M$15,CHOOSE(ArtifactsInput!$N$15+1,25,30,35,40,45,50)/100*(Inputs!$B$11-Inputs!$B$11),0)))/100)/2</f>
        <v/>
      </c>
      <c r="M2064">
        <f>L2064*(1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4">
        <f>L2064*(1-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2064*(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4">
        <f>(1-Summary!$B$11)*T2064+Summary!$B$11*V2064</f>
        <v/>
      </c>
      <c r="P2064">
        <f>IF(B2096=0,0,O2064/B2096)</f>
        <v/>
      </c>
      <c r="Q2064" t="n">
        <v>0</v>
      </c>
      <c r="R2064" t="n">
        <v>0</v>
      </c>
      <c r="S2064">
        <f>IFERROR(O2064/N2064,0)</f>
        <v/>
      </c>
      <c r="T2064">
        <f>IF(C2064,(Skills!G4*H2064*N2064*B2090)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2064*(1-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2064*(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2064*(1-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2064*(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64">
        <f>290*U2063/1000</f>
        <v/>
      </c>
      <c r="V2064">
        <f>IF(C2064,(Skills!G4*H2064*N2064*B2090)*IF(Inputs!$B$38="pvp",1,(1+(Inputs!$B$21+Skills!Q4+(IF(ArtifactsInput!$M$33,CHOOSE(ArtifactsInput!$N$33+1,30,36,42,48,54,60),0))+(IF(AND(ArtifactsInput!$M$35,Inputs!$B$4&lt;&gt;"Chapter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5">
      <c r="A2065">
        <f>Skills!A5</f>
        <v/>
      </c>
      <c r="B2065">
        <f>Skills!B5</f>
        <v/>
      </c>
      <c r="C2065">
        <f>Inputs!$B$3&gt;=60</f>
        <v/>
      </c>
      <c r="D2065">
        <f>IF(Skills!C5=1,60+Inputs!$B$25+Inputs!$B$29,IF(Skills!C5=2,90+Inputs!$B$26+Inputs!$B$29,IF(Skills!C5=3,120+Inputs!$B$27+Inputs!$B$29,MAX(0,(Inputs!$B$3-100)*3)+Inputs!$B$28+Inputs!$B$29)))</f>
        <v/>
      </c>
      <c r="E2065">
        <f>INDEX(FactorTable!$B$2:$Y$301, MATCH(ROUND(MIN(300,MAX(1,D2065)),0), FactorTable!$A$2:$A$301,0), Skills!M5+1)</f>
        <v/>
      </c>
      <c r="F2065">
        <f>IF(Skills!N5=TRUE,(Skills!L5/10)*(E2065/1000),Skills!L5/10)+Skills!O5</f>
        <v/>
      </c>
      <c r="G2065">
        <f>Skills!G5*IF(Skills!H5&gt;0,Skills!I5/Skills!H5,1)</f>
        <v/>
      </c>
      <c r="H2065">
        <f>1-(1-Skills!J5/100)^Skills!K5</f>
        <v/>
      </c>
      <c r="I2065" t="inlineStr">
        <is>
          <t>1</t>
        </is>
      </c>
      <c r="J2065" t="inlineStr"/>
      <c r="K2065" t="inlineStr"/>
      <c r="L2065" t="inlineStr"/>
      <c r="M2065" t="inlineStr"/>
      <c r="N2065" t="inlineStr"/>
      <c r="O2065">
        <f>(1-Summary!$B$11)*T2065+Summary!$B$11*V2065</f>
        <v/>
      </c>
      <c r="P2065">
        <f>IF(B2096=0,0,O2065/B2096)</f>
        <v/>
      </c>
      <c r="Q2065" t="n">
        <v>0</v>
      </c>
      <c r="R2065" t="n">
        <v>0</v>
      </c>
      <c r="S2065">
        <f>IFERROR(O2065/N2065,0)</f>
        <v/>
      </c>
      <c r="T2065" t="n">
        <v>0</v>
      </c>
      <c r="V2065" t="n">
        <v>0</v>
      </c>
    </row>
    <row r="2066">
      <c r="A2066">
        <f>Skills!A6</f>
        <v/>
      </c>
      <c r="B2066">
        <f>Skills!B6</f>
        <v/>
      </c>
      <c r="C2066">
        <f>Inputs!$B$3&gt;=63</f>
        <v/>
      </c>
      <c r="D2066">
        <f>IF(Skills!C6=1,60+Inputs!$B$25+Inputs!$B$29,IF(Skills!C6=2,90+Inputs!$B$26+Inputs!$B$29,IF(Skills!C6=3,120+Inputs!$B$27+Inputs!$B$29,MAX(0,(Inputs!$B$3-100)*3)+Inputs!$B$28+Inputs!$B$29)))</f>
        <v/>
      </c>
      <c r="E2066">
        <f>INDEX(FactorTable!$B$2:$Y$301, MATCH(ROUND(MIN(300,MAX(1,D2066)),0), FactorTable!$A$2:$A$301,0), Skills!M6+1)</f>
        <v/>
      </c>
      <c r="F2066">
        <f>IF(Skills!N6=TRUE,(Skills!L6/10)*(E2066/1000),Skills!L6/10)+Skills!O6</f>
        <v/>
      </c>
      <c r="G2066">
        <f>Skills!G6*IF(Skills!H6&gt;0,Skills!I6/Skills!H6,1)</f>
        <v/>
      </c>
      <c r="H2066">
        <f>1-(1-Skills!J6/100)^Skills!K6</f>
        <v/>
      </c>
      <c r="I2066" t="inlineStr">
        <is>
          <t>1</t>
        </is>
      </c>
      <c r="J2066">
        <f>((Inputs!$B$6*(1+Inputs!$B$7/100))+(((Inputs!$B$12*(1+Inputs!$B$13/100))-(Inputs!$B$12*(1+Inputs!$B$13/100)))+0.25*(Inputs!$B$14-Inputs!$B$14))*(1+Inputs!$B$7/100))*(F2066/100)</f>
        <v/>
      </c>
      <c r="K2066">
        <f>J2066*(1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2072=TRUE,F2072,0)/100)*(1+(IF(Skills!A6="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2066)</f>
        <v/>
      </c>
      <c r="L2066">
        <f>K2066*(MIN(Inputs!$B$22+((C2080=TRUE)*(F2080-Calc!F20)),(Inputs!$B$23+0+(IF(ArtifactsInput!$M$15,CHOOSE(ArtifactsInput!$N$15+1,25,30,35,40,45,50)/100*(Inputs!$B$11-Inputs!$B$11),0))))/100+(Inputs!$B$23+0+(IF(ArtifactsInput!$M$15,CHOOSE(ArtifactsInput!$N$15+1,25,30,35,40,45,50)/100*(Inputs!$B$11-Inputs!$B$11),0)))/100)/2</f>
        <v/>
      </c>
      <c r="M2066">
        <f>L2066*(1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6">
        <f>L2066*(1-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2066*(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6">
        <f>(1-Summary!$B$11)*T2066+Summary!$B$11*V2066</f>
        <v/>
      </c>
      <c r="P2066">
        <f>IF(B2096=0,0,O2066/B2096)</f>
        <v/>
      </c>
      <c r="Q2066">
        <f>IFERROR(1/(IF(Inputs!$B$38="pvp",15,MAX(0.1,Skills!D6-IF(Skills!E6=TRUE,Inputs!$B$32,0)))*(1-IF(AND(ArtifactsInput!$M$27,Inputs!$B$4="Chapter Hunt"),CHOOSE(ArtifactsInput!$N$27+1,20,24,28,32,36,40),0)/100)),0)</f>
        <v/>
      </c>
      <c r="R2066">
        <f>IF(AND(Inputs!$B$38&lt;&gt;"pvp",Inputs!$B$43&gt;0),IF(MAX(0,Inputs!$B$43-B2093)&lt;=0,0,(INT(MAX(0,Inputs!$B$43-B2093)/(IF(Inputs!$B$38="pvp",15,MAX(0.1,Skills!D6-IF(Skills!E6=TRUE,Inputs!$B$32,0)))*(1-IF(AND(ArtifactsInput!$M$27,Inputs!$B$4="Chapter Hunt"),CHOOSE(ArtifactsInput!$N$27+1,20,24,28,32,36,40),0)/100)))+1)),0)</f>
        <v/>
      </c>
      <c r="S2066">
        <f>IFERROR(O2066/N2066,0)</f>
        <v/>
      </c>
      <c r="T2066">
        <f>IF(C2066,(H2066*N2066*IF(AND(Inputs!$B$38&lt;&gt;"pvp",Inputs!$B$43&gt;0),((Skills!G6*((R2066-1)*IF(Skills!H6&gt;0,Skills!I6/Skills!H6,1)+IF(Skills!H6&gt;0,MIN(Skills!I6,MAX(0,MAX(0,Inputs!$B$43-B2093)-((R2066-1)*(IF(Inputs!$B$38="pvp",15,MAX(0.1,Skills!D6-IF(Skills!E6=TRUE,Inputs!$B$32,0)))*(1-IF(AND(ArtifactsInput!$M$27,Inputs!$B$4="Chapter Hunt"),CHOOSE(ArtifactsInput!$N$27+1,20,24,28,32,36,40),0)/100)))))/Skills!H6,1)))/Inputs!$B$43),G2066*Q2066)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2066*(1-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2066*(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2066*(1-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2066*(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6">
        <f>IF(C2066,(H2066*N2066*IF(AND(Inputs!$B$38&lt;&gt;"pvp",Inputs!$B$43&gt;0),((Skills!G6*((R2066-1)*IF(Skills!H6&gt;0,Skills!I6/Skills!H6,1)+IF(Skills!H6&gt;0,MIN(Skills!I6,MAX(0,MAX(0,Inputs!$B$43-B2093)-((R2066-1)*(IF(Inputs!$B$38="pvp",15,MAX(0.1,Skills!D6-IF(Skills!E6=TRUE,Inputs!$B$32,0)))*(1-IF(AND(ArtifactsInput!$M$27,Inputs!$B$4="Chapter Hunt"),CHOOSE(ArtifactsInput!$N$27+1,20,24,28,32,36,40),0)/100)))))/Skills!H6,1)))/Inputs!$B$43),G2066*Q2066))*IF(Inputs!$B$38="pvp",1,(1+(Inputs!$B$21+Skills!Q6+(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7">
      <c r="A2067">
        <f>Skills!A7</f>
        <v/>
      </c>
      <c r="B2067">
        <f>Skills!B7</f>
        <v/>
      </c>
      <c r="C2067">
        <f>Inputs!$B$3&gt;=100</f>
        <v/>
      </c>
      <c r="D2067">
        <f>IF(Skills!C7=1,60+Inputs!$B$25+Inputs!$B$29,IF(Skills!C7=2,90+Inputs!$B$26+Inputs!$B$29,IF(Skills!C7=3,120+Inputs!$B$27+Inputs!$B$29,MAX(0,(Inputs!$B$3-100)*3)+Inputs!$B$28+Inputs!$B$29)))</f>
        <v/>
      </c>
      <c r="E2067">
        <f>INDEX(FactorTable!$B$2:$Y$301, MATCH(ROUND(MIN(300,MAX(1,D2067)),0), FactorTable!$A$2:$A$301,0), Skills!M7+1)</f>
        <v/>
      </c>
      <c r="F2067">
        <f>IF(Skills!N7=TRUE,(Skills!L7/10)*(E2067/1000),Skills!L7/10)+Skills!O7</f>
        <v/>
      </c>
      <c r="G2067">
        <f>Skills!G7*IF(Skills!H7&gt;0,Skills!I7/Skills!H7,1)</f>
        <v/>
      </c>
      <c r="H2067">
        <f>1-(1-Skills!J7/100)^Skills!K7</f>
        <v/>
      </c>
      <c r="I2067" t="inlineStr">
        <is>
          <t>1</t>
        </is>
      </c>
      <c r="J2067">
        <f>((Inputs!$B$6*(1+Inputs!$B$7/100))+(((Inputs!$B$12*(1+Inputs!$B$13/100))-(Inputs!$B$12*(1+Inputs!$B$13/100)))+0.25*(Inputs!$B$14-Inputs!$B$14))*(1+Inputs!$B$7/100))*(F2067/100)</f>
        <v/>
      </c>
      <c r="K2067">
        <f>J2067*(1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2067)</f>
        <v/>
      </c>
      <c r="L2067">
        <f>K2067*(MIN(Inputs!$B$22+((C2080=TRUE)*(F2080-Calc!F20)),(Inputs!$B$23+0+(IF(ArtifactsInput!$M$15,CHOOSE(ArtifactsInput!$N$15+1,25,30,35,40,45,50)/100*(Inputs!$B$11-Inputs!$B$11),0))))/100+(Inputs!$B$23+0+(IF(ArtifactsInput!$M$15,CHOOSE(ArtifactsInput!$N$15+1,25,30,35,40,45,50)/100*(Inputs!$B$11-Inputs!$B$11),0)))/100)/2</f>
        <v/>
      </c>
      <c r="M2067">
        <f>L2067*(1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7">
        <f>L2067*(1-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2067*(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7">
        <f>(1-Summary!$B$11)*T2067+Summary!$B$11*V2067</f>
        <v/>
      </c>
      <c r="P2067">
        <f>IF(B2096=0,0,O2067/B2096)</f>
        <v/>
      </c>
      <c r="Q2067">
        <f>IFERROR(1/(IF(Inputs!$B$38="pvp",15,MAX(0.1,Skills!D7-IF(Skills!E7=TRUE,Inputs!$B$32,0)))*(1-IF(AND(ArtifactsInput!$M$27,Inputs!$B$4="Chapter Hunt"),CHOOSE(ArtifactsInput!$N$27+1,20,24,28,32,36,40),0)/100)),0)</f>
        <v/>
      </c>
      <c r="R2067">
        <f>IF(AND(Inputs!$B$38&lt;&gt;"pvp",Inputs!$B$43&gt;0),IF(MAX(0,Inputs!$B$43-B2093)&lt;=0,0,(INT(MAX(0,Inputs!$B$43-B2093)/(IF(Inputs!$B$38="pvp",15,MAX(0.1,Skills!D7-IF(Skills!E7=TRUE,Inputs!$B$32,0)))*(1-IF(AND(ArtifactsInput!$M$27,Inputs!$B$4="Chapter Hunt"),CHOOSE(ArtifactsInput!$N$27+1,20,24,28,32,36,40),0)/100)))+1)),0)</f>
        <v/>
      </c>
      <c r="S2067">
        <f>IFERROR(O2067/N2067,0)</f>
        <v/>
      </c>
      <c r="T2067">
        <f>IF(C2067,(H2067*N2067*IF(AND(Inputs!$B$38&lt;&gt;"pvp",Inputs!$B$43&gt;0),((Skills!G7*((R2067-1)*IF(Skills!H7&gt;0,Skills!I7/Skills!H7,1)+IF(Skills!H7&gt;0,MIN(Skills!I7,MAX(0,MAX(0,Inputs!$B$43-B2093)-((R2067-1)*(IF(Inputs!$B$38="pvp",15,MAX(0.1,Skills!D7-IF(Skills!E7=TRUE,Inputs!$B$32,0)))*(1-IF(AND(ArtifactsInput!$M$27,Inputs!$B$4="Chapter Hunt"),CHOOSE(ArtifactsInput!$N$27+1,20,24,28,32,36,40),0)/100)))))/Skills!H7,1)))/Inputs!$B$43),G2067*Q2067)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2067*(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2067*(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7">
        <f>IF(C2067,(H2067*N2067*IF(AND(Inputs!$B$38&lt;&gt;"pvp",Inputs!$B$43&gt;0),((Skills!G7*((R2067-1)*IF(Skills!H7&gt;0,Skills!I7/Skills!H7,1)+IF(Skills!H7&gt;0,MIN(Skills!I7,MAX(0,MAX(0,Inputs!$B$43-B2093)-((R2067-1)*(IF(Inputs!$B$38="pvp",15,MAX(0.1,Skills!D7-IF(Skills!E7=TRUE,Inputs!$B$32,0)))*(1-IF(AND(ArtifactsInput!$M$27,Inputs!$B$4="Chapter Hunt"),CHOOSE(ArtifactsInput!$N$27+1,20,24,28,32,36,40),0)/100)))))/Skills!H7,1)))/Inputs!$B$43),G2067*Q2067))*IF(Inputs!$B$38="pvp",1,(1+(Inputs!$B$21+Skills!Q7+(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8">
      <c r="A2068">
        <f>Skills!A8</f>
        <v/>
      </c>
      <c r="B2068">
        <f>Skills!B8</f>
        <v/>
      </c>
      <c r="C2068">
        <f>Inputs!$B$3&gt;=110</f>
        <v/>
      </c>
      <c r="D2068">
        <f>IF(Skills!C8=1,60+Inputs!$B$25+Inputs!$B$29,IF(Skills!C8=2,90+Inputs!$B$26+Inputs!$B$29,IF(Skills!C8=3,120+Inputs!$B$27+Inputs!$B$29,MAX(0,(Inputs!$B$3-100)*3)+Inputs!$B$28+Inputs!$B$29)))</f>
        <v/>
      </c>
      <c r="E2068">
        <f>INDEX(FactorTable!$B$2:$Y$301, MATCH(ROUND(MIN(300,MAX(1,D2068)),0), FactorTable!$A$2:$A$301,0), Skills!M8+1)</f>
        <v/>
      </c>
      <c r="F2068">
        <f>IF(Skills!N8=TRUE,(Skills!L8/10)*(E2068/1000),Skills!L8/10)+Skills!O8</f>
        <v/>
      </c>
      <c r="G2068">
        <f>Skills!G8*IF(Skills!H8&gt;0,Skills!I8/Skills!H8,1)</f>
        <v/>
      </c>
      <c r="H2068">
        <f>1-(1-Skills!J8/100)^Skills!K8</f>
        <v/>
      </c>
      <c r="I2068" t="inlineStr">
        <is>
          <t>1</t>
        </is>
      </c>
      <c r="J2068">
        <f>((Inputs!$B$6*(1+Inputs!$B$7/100))+(((Inputs!$B$12*(1+Inputs!$B$13/100))-(Inputs!$B$12*(1+Inputs!$B$13/100)))+0.25*(Inputs!$B$14-Inputs!$B$14))*(1+Inputs!$B$7/100))*(F2068/100)</f>
        <v/>
      </c>
      <c r="K2068">
        <f>J2068*(1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2068)</f>
        <v/>
      </c>
      <c r="L2068">
        <f>K2068*(MIN(Inputs!$B$22+((C2080=TRUE)*(F2080-Calc!F20)),(Inputs!$B$23+0+(IF(ArtifactsInput!$M$15,CHOOSE(ArtifactsInput!$N$15+1,25,30,35,40,45,50)/100*(Inputs!$B$11-Inputs!$B$11),0))))/100+(Inputs!$B$23+0+(IF(ArtifactsInput!$M$15,CHOOSE(ArtifactsInput!$N$15+1,25,30,35,40,45,50)/100*(Inputs!$B$11-Inputs!$B$11),0)))/100)/2</f>
        <v/>
      </c>
      <c r="M2068">
        <f>L2068*(1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8">
        <f>L2068*(1-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2068*(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8">
        <f>(1-Summary!$B$11)*T2068+Summary!$B$11*V2068</f>
        <v/>
      </c>
      <c r="P2068">
        <f>IF(B2096=0,0,O2068/B2096)</f>
        <v/>
      </c>
      <c r="Q2068">
        <f>IFERROR(1/(IF(Inputs!$B$38="pvp",15,MAX(0.1,Skills!D8-IF(Skills!E8=TRUE,Inputs!$B$32,0)))*(1-IF(AND(ArtifactsInput!$M$27,Inputs!$B$4="Chapter Hunt"),CHOOSE(ArtifactsInput!$N$27+1,20,24,28,32,36,40),0)/100)),0)</f>
        <v/>
      </c>
      <c r="R2068">
        <f>IF(AND(Inputs!$B$38&lt;&gt;"pvp",Inputs!$B$43&gt;0),IF(MAX(0,Inputs!$B$43-B2093)&lt;=0,0,(INT(MAX(0,Inputs!$B$43-B2093)/(IF(Inputs!$B$38="pvp",15,MAX(0.1,Skills!D8-IF(Skills!E8=TRUE,Inputs!$B$32,0)))*(1-IF(AND(ArtifactsInput!$M$27,Inputs!$B$4="Chapter Hunt"),CHOOSE(ArtifactsInput!$N$27+1,20,24,28,32,36,40),0)/100)))+1)),0)</f>
        <v/>
      </c>
      <c r="S2068">
        <f>IFERROR(O2068/N2068,0)</f>
        <v/>
      </c>
      <c r="T2068">
        <f>IF(C2068,(H2068*N2068*IF(AND(Inputs!$B$38&lt;&gt;"pvp",Inputs!$B$43&gt;0),((Skills!G8*((R2068-1)*IF(Skills!H8&gt;0,Skills!I8/Skills!H8,1)+IF(Skills!H8&gt;0,MIN(Skills!I8,MAX(0,MAX(0,Inputs!$B$43-B2093)-((R2068-1)*(IF(Inputs!$B$38="pvp",15,MAX(0.1,Skills!D8-IF(Skills!E8=TRUE,Inputs!$B$32,0)))*(1-IF(AND(ArtifactsInput!$M$27,Inputs!$B$4="Chapter Hunt"),CHOOSE(ArtifactsInput!$N$27+1,20,24,28,32,36,40),0)/100)))))/Skills!H8,1)))/Inputs!$B$43),G2068*Q2068)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2068*(1-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2068*(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2068*(1-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2068*(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8">
        <f>IF(C2068,(H2068*N2068*IF(AND(Inputs!$B$38&lt;&gt;"pvp",Inputs!$B$43&gt;0),((Skills!G8*((R2068-1)*IF(Skills!H8&gt;0,Skills!I8/Skills!H8,1)+IF(Skills!H8&gt;0,MIN(Skills!I8,MAX(0,MAX(0,Inputs!$B$43-B2093)-((R2068-1)*(IF(Inputs!$B$38="pvp",15,MAX(0.1,Skills!D8-IF(Skills!E8=TRUE,Inputs!$B$32,0)))*(1-IF(AND(ArtifactsInput!$M$27,Inputs!$B$4="Chapter Hunt"),CHOOSE(ArtifactsInput!$N$27+1,20,24,28,32,36,40),0)/100)))))/Skills!H8,1)))/Inputs!$B$43),G2068*Q2068))*IF(Inputs!$B$38="pvp",1,(1+(Inputs!$B$21+Skills!Q8+(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9">
      <c r="A2069">
        <f>Skills!A9</f>
        <v/>
      </c>
      <c r="B2069">
        <f>Skills!B9</f>
        <v/>
      </c>
      <c r="C2069">
        <f>Inputs!$B$3&gt;=110</f>
        <v/>
      </c>
      <c r="D2069">
        <f>IF(Skills!C9=1,60+Inputs!$B$25+Inputs!$B$29,IF(Skills!C9=2,90+Inputs!$B$26+Inputs!$B$29,IF(Skills!C9=3,120+Inputs!$B$27+Inputs!$B$29,MAX(0,(Inputs!$B$3-100)*3)+Inputs!$B$28+Inputs!$B$29)))</f>
        <v/>
      </c>
      <c r="E2069">
        <f>INDEX(FactorTable!$B$2:$Y$301, MATCH(ROUND(MIN(300,MAX(1,D2069)),0), FactorTable!$A$2:$A$301,0), Skills!M9+1)</f>
        <v/>
      </c>
      <c r="F2069">
        <f>IF(Skills!N9=TRUE,(Skills!L9/10)*(E2069/1000),Skills!L9/10)+Skills!O9</f>
        <v/>
      </c>
      <c r="G2069">
        <f>Skills!G9*IF(Skills!H9&gt;0,Skills!I9/Skills!H9,1)</f>
        <v/>
      </c>
      <c r="H2069">
        <f>1-(1-Skills!J9/100)^Skills!K9</f>
        <v/>
      </c>
      <c r="I2069" t="inlineStr">
        <is>
          <t>1</t>
        </is>
      </c>
      <c r="J2069">
        <f>((Inputs!$B$6*(1+Inputs!$B$7/100))+(((Inputs!$B$12*(1+Inputs!$B$13/100))-(Inputs!$B$12*(1+Inputs!$B$13/100)))+0.25*(Inputs!$B$14-Inputs!$B$14))*(1+Inputs!$B$7/100))*(F2069/100)</f>
        <v/>
      </c>
      <c r="K2069">
        <f>J2069*(1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2069)</f>
        <v/>
      </c>
      <c r="L2069">
        <f>K2069*(MIN(Inputs!$B$22+((C2080=TRUE)*(F2080-Calc!F20)),(Inputs!$B$23+0+(IF(ArtifactsInput!$M$15,CHOOSE(ArtifactsInput!$N$15+1,25,30,35,40,45,50)/100*(Inputs!$B$11-Inputs!$B$11),0))))/100+(Inputs!$B$23+0+(IF(ArtifactsInput!$M$15,CHOOSE(ArtifactsInput!$N$15+1,25,30,35,40,45,50)/100*(Inputs!$B$11-Inputs!$B$11),0)))/100)/2</f>
        <v/>
      </c>
      <c r="M2069">
        <f>L2069*(1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9">
        <f>L2069*(1-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2069*(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9">
        <f>(1-Summary!$B$11)*T2069+Summary!$B$11*V2069</f>
        <v/>
      </c>
      <c r="P2069">
        <f>IF(B2096=0,0,O2069/B2096)</f>
        <v/>
      </c>
      <c r="Q2069">
        <f>IFERROR(1/(IF(Inputs!$B$38="pvp",15,MAX(0.1,Skills!D9-IF(Skills!E9=TRUE,Inputs!$B$32,0)))*(1-IF(AND(ArtifactsInput!$M$27,Inputs!$B$4="Chapter Hunt"),CHOOSE(ArtifactsInput!$N$27+1,20,24,28,32,36,40),0)/100)),0)</f>
        <v/>
      </c>
      <c r="R2069">
        <f>IF(AND(Inputs!$B$38&lt;&gt;"pvp",Inputs!$B$43&gt;0),IF(MAX(0,Inputs!$B$43-B2093)&lt;=0,0,(INT(MAX(0,Inputs!$B$43-B2093)/(IF(Inputs!$B$38="pvp",15,MAX(0.1,Skills!D9-IF(Skills!E9=TRUE,Inputs!$B$32,0)))*(1-IF(AND(ArtifactsInput!$M$27,Inputs!$B$4="Chapter Hunt"),CHOOSE(ArtifactsInput!$N$27+1,20,24,28,32,36,40),0)/100)))+1)),0)</f>
        <v/>
      </c>
      <c r="S2069">
        <f>IFERROR(O2069/N2069,0)</f>
        <v/>
      </c>
      <c r="T2069">
        <f>IF(C2069,(H2069*N2069*IF(AND(Inputs!$B$38&lt;&gt;"pvp",Inputs!$B$43&gt;0),((Skills!G9*((R2069-1)*IF(Skills!H9&gt;0,Skills!I9/Skills!H9,1)+IF(Skills!H9&gt;0,MIN(Skills!I9,MAX(0,MAX(0,Inputs!$B$43-B2093)-((R2069-1)*(IF(Inputs!$B$38="pvp",15,MAX(0.1,Skills!D9-IF(Skills!E9=TRUE,Inputs!$B$32,0)))*(1-IF(AND(ArtifactsInput!$M$27,Inputs!$B$4="Chapter Hunt"),CHOOSE(ArtifactsInput!$N$27+1,20,24,28,32,36,40),0)/100)))))/Skills!H9,1)))/Inputs!$B$43),G2069*Q2069)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2069*(1-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2069*(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2069*(1-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2069*(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9">
        <f>IF(C2069,(H2069*N2069*IF(AND(Inputs!$B$38&lt;&gt;"pvp",Inputs!$B$43&gt;0),((Skills!G9*((R2069-1)*IF(Skills!H9&gt;0,Skills!I9/Skills!H9,1)+IF(Skills!H9&gt;0,MIN(Skills!I9,MAX(0,MAX(0,Inputs!$B$43-B2093)-((R2069-1)*(IF(Inputs!$B$38="pvp",15,MAX(0.1,Skills!D9-IF(Skills!E9=TRUE,Inputs!$B$32,0)))*(1-IF(AND(ArtifactsInput!$M$27,Inputs!$B$4="Chapter Hunt"),CHOOSE(ArtifactsInput!$N$27+1,20,24,28,32,36,40),0)/100)))))/Skills!H9,1)))/Inputs!$B$43),G2069*Q2069))*IF(Inputs!$B$38="pvp",1,(1+(Inputs!$B$21+Skills!Q9+(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0">
      <c r="A2070">
        <f>Skills!A10</f>
        <v/>
      </c>
      <c r="B2070">
        <f>Skills!B10</f>
        <v/>
      </c>
      <c r="C2070">
        <f>Inputs!$B$3&gt;=103</f>
        <v/>
      </c>
      <c r="D2070">
        <f>IF(Skills!C10=1,60+Inputs!$B$25+Inputs!$B$29,IF(Skills!C10=2,90+Inputs!$B$26+Inputs!$B$29,IF(Skills!C10=3,120+Inputs!$B$27+Inputs!$B$29,MAX(0,(Inputs!$B$3-100)*3)+Inputs!$B$28+Inputs!$B$29)))</f>
        <v/>
      </c>
      <c r="E2070">
        <f>INDEX(FactorTable!$B$2:$Y$301, MATCH(ROUND(MIN(300,MAX(1,D2070)),0), FactorTable!$A$2:$A$301,0), Skills!M10+1)</f>
        <v/>
      </c>
      <c r="F2070">
        <f>IF(Skills!N10=TRUE,(Skills!L10/10)*(E2070/1000),Skills!L10/10)+Skills!O10</f>
        <v/>
      </c>
      <c r="G2070">
        <f>Skills!G10*IF(Skills!H10&gt;0,Skills!I10/Skills!H10,1)</f>
        <v/>
      </c>
      <c r="H2070">
        <f>1-(1-Skills!J10/100)^Skills!K10</f>
        <v/>
      </c>
      <c r="I2070" t="inlineStr">
        <is>
          <t>1</t>
        </is>
      </c>
      <c r="J2070">
        <f>((Inputs!$B$6*(1+Inputs!$B$7/100))+(((Inputs!$B$12*(1+Inputs!$B$13/100))-(Inputs!$B$12*(1+Inputs!$B$13/100)))+0.25*(Inputs!$B$14-Inputs!$B$14))*(1+Inputs!$B$7/100))*(F2070/100)</f>
        <v/>
      </c>
      <c r="K2070">
        <f>J2070*(1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2070)</f>
        <v/>
      </c>
      <c r="L2070">
        <f>K2070*(MIN(Inputs!$B$22+((C2080=TRUE)*(F2080-Calc!F20)),(Inputs!$B$23+0+(IF(ArtifactsInput!$M$15,CHOOSE(ArtifactsInput!$N$15+1,25,30,35,40,45,50)/100*(Inputs!$B$11-Inputs!$B$11),0))))/100+(Inputs!$B$23+0+(IF(ArtifactsInput!$M$15,CHOOSE(ArtifactsInput!$N$15+1,25,30,35,40,45,50)/100*(Inputs!$B$11-Inputs!$B$11),0)))/100)/2</f>
        <v/>
      </c>
      <c r="M2070">
        <f>L2070*(1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0">
        <f>L2070*(1-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2070*(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0">
        <f>(1-Summary!$B$11)*T2070+Summary!$B$11*V2070</f>
        <v/>
      </c>
      <c r="P2070">
        <f>IF(B2096=0,0,O2070/B2096)</f>
        <v/>
      </c>
      <c r="Q2070">
        <f>IFERROR(1/(IF(Inputs!$B$38="pvp",15,MAX(0.1,Skills!D10-IF(Skills!E10=TRUE,Inputs!$B$32,0)))*(1-IF(AND(ArtifactsInput!$M$27,Inputs!$B$4="Chapter Hunt"),CHOOSE(ArtifactsInput!$N$27+1,20,24,28,32,36,40),0)/100)),0)</f>
        <v/>
      </c>
      <c r="R2070">
        <f>IF(AND(Inputs!$B$38&lt;&gt;"pvp",Inputs!$B$43&gt;0),IF(MAX(0,Inputs!$B$43-B2093)&lt;=0,0,(INT(MAX(0,Inputs!$B$43-B2093)/(IF(Inputs!$B$38="pvp",15,MAX(0.1,Skills!D10-IF(Skills!E10=TRUE,Inputs!$B$32,0)))*(1-IF(AND(ArtifactsInput!$M$27,Inputs!$B$4="Chapter Hunt"),CHOOSE(ArtifactsInput!$N$27+1,20,24,28,32,36,40),0)/100)))+1)),0)</f>
        <v/>
      </c>
      <c r="S2070">
        <f>IFERROR(O2070/N2070,0)</f>
        <v/>
      </c>
      <c r="T2070">
        <f>IF(C2070,(H2070*N2070*IF(AND(Inputs!$B$38&lt;&gt;"pvp",Inputs!$B$43&gt;0),((Skills!G10*((R2070-1)*IF(Skills!H10&gt;0,Skills!I10/Skills!H10,1)+IF(Skills!H10&gt;0,MIN(Skills!I10,MAX(0,MAX(0,Inputs!$B$43-B2093)-((R2070-1)*(IF(Inputs!$B$38="pvp",15,MAX(0.1,Skills!D10-IF(Skills!E10=TRUE,Inputs!$B$32,0)))*(1-IF(AND(ArtifactsInput!$M$27,Inputs!$B$4="Chapter Hunt"),CHOOSE(ArtifactsInput!$N$27+1,20,24,28,32,36,40),0)/100)))))/Skills!H10,1)))/Inputs!$B$43),G2070*Q2070)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2070*(1-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2070*(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2070*(1-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2070*(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0">
        <f>IF(C2070,(H2070*N2070*IF(AND(Inputs!$B$38&lt;&gt;"pvp",Inputs!$B$43&gt;0),((Skills!G10*((R2070-1)*IF(Skills!H10&gt;0,Skills!I10/Skills!H10,1)+IF(Skills!H10&gt;0,MIN(Skills!I10,MAX(0,MAX(0,Inputs!$B$43-B2093)-((R2070-1)*(IF(Inputs!$B$38="pvp",15,MAX(0.1,Skills!D10-IF(Skills!E10=TRUE,Inputs!$B$32,0)))*(1-IF(AND(ArtifactsInput!$M$27,Inputs!$B$4="Chapter Hunt"),CHOOSE(ArtifactsInput!$N$27+1,20,24,28,32,36,40),0)/100)))))/Skills!H10,1)))/Inputs!$B$43),G2070*Q2070))*IF(Inputs!$B$38="pvp",1,(1+(Inputs!$B$21+Skills!Q10+(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1">
      <c r="A2071">
        <f>Skills!A11</f>
        <v/>
      </c>
      <c r="B2071">
        <f>Skills!B11</f>
        <v/>
      </c>
      <c r="C2071">
        <f>Inputs!$B$3&gt;=113</f>
        <v/>
      </c>
      <c r="D2071">
        <f>IF(Skills!C11=1,60+Inputs!$B$25+Inputs!$B$29,IF(Skills!C11=2,90+Inputs!$B$26+Inputs!$B$29,IF(Skills!C11=3,120+Inputs!$B$27+Inputs!$B$29,MAX(0,(Inputs!$B$3-100)*3)+Inputs!$B$28+Inputs!$B$29)))</f>
        <v/>
      </c>
      <c r="E2071">
        <f>INDEX(FactorTable!$B$2:$Y$301, MATCH(ROUND(MIN(300,MAX(1,D2071)),0), FactorTable!$A$2:$A$301,0), Skills!M11+1)</f>
        <v/>
      </c>
      <c r="F2071">
        <f>IF(Skills!N11=TRUE,(Skills!L11/10)*(E2071/1000),Skills!L11/10)+Skills!O11</f>
        <v/>
      </c>
      <c r="G2071">
        <f>Skills!G11*IF(Skills!H11&gt;0,Skills!I11/Skills!H11,1)</f>
        <v/>
      </c>
      <c r="H2071">
        <f>1-(1-Skills!J11/100)^Skills!K11</f>
        <v/>
      </c>
      <c r="I2071" t="inlineStr">
        <is>
          <t>1</t>
        </is>
      </c>
      <c r="J2071">
        <f>((Inputs!$B$6*(1+Inputs!$B$7/100))+(((Inputs!$B$12*(1+Inputs!$B$13/100))-(Inputs!$B$12*(1+Inputs!$B$13/100)))+0.25*(Inputs!$B$14-Inputs!$B$14))*(1+Inputs!$B$7/100))*(F2071/100)</f>
        <v/>
      </c>
      <c r="K2071">
        <f>J2071*(1+((Inputs!$B$12*(1+Inputs!$B$13/100))*0.01+Inputs!$B$14*0.0025)/100)*(1+Inputs!$B$15/100)*(1+Inputs!$B$16/100)*(5000/(6000+Inputs!$B$42*(1-(100*(1-(1-(Inputs!$B$19+0)/100)*(1-CHOOSE(ArtifactsInput!$N$40+1,5,6,7,8,9,10)/100)^(ArtifactsInput!$M$40-ArtifactsInput!$M$40)))/100)))*(1+(Inputs!$B$24+((C2082=TRUE)*(F2082-Calc!F22))+B2092)/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2081=TRUE)*(F2081-Calc!F21))+(((IF(AND(ArtifactsInput!$M$42,((Inputs!$B$9+((C2076=TRUE)*(F2076-Calc!F16))+B2086+(ArtifactsInput!$M$24-ArtifactsInput!$M$24)*CHOOSE(ArtifactsInput!$N$24+1,10,12,14,16,18,20)+IF(ArtifactsInput!$M$10,CHOOSE(ArtifactsInput!$N$10+1,15,18,21,24,27,30)*(IF(Inputs!$B$38="pvp",MIN(15,15)/15,IF(AND(Inputs!$B$38&lt;&gt;"pvp",Inputs!$B$43&gt;0),MIN(15,Inputs!$B$43)/(Inputs!$B$43),0))),0)))&gt;=100),MIN(100,((Inputs!$B$9+((C2076=TRUE)*(F2076-Calc!F16))+B2086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2076=TRUE)*(F2076-Calc!F16))+B2086+(ArtifactsInput!$M$24-ArtifactsInput!$M$24)*CHOOSE(ArtifactsInput!$N$24+1,10,12,14,16,18,20)+IF(ArtifactsInput!$M$10,CHOOSE(ArtifactsInput!$N$10+1,15,18,21,24,27,30)*(IF(Inputs!$B$38="pvp",MIN(15,15)/15,IF(AND(Inputs!$B$38&lt;&gt;"pvp",Inputs!$B$43&gt;0),MIN(15,Inputs!$B$43)/(Inputs!$B$43),0))),0)))&gt;=100),CHOOSE(ArtifactsInput!$N$42+1,40,48,56,64,72,80),0))))/100)*((1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2071)</f>
        <v/>
      </c>
      <c r="L2071">
        <f>K2071*(MIN(Inputs!$B$22+((C2080=TRUE)*(F2080-Calc!F20)),(Inputs!$B$23+0+(IF(ArtifactsInput!$M$15,CHOOSE(ArtifactsInput!$N$15+1,25,30,35,40,45,50)/100*(Inputs!$B$11-Inputs!$B$11),0))))/100+(Inputs!$B$23+0+(IF(ArtifactsInput!$M$15,CHOOSE(ArtifactsInput!$N$15+1,25,30,35,40,45,50)/100*(Inputs!$B$11-Inputs!$B$11),0)))/100)/2</f>
        <v/>
      </c>
      <c r="M2071">
        <f>L2071*(1+(Inputs!$B$10+0+B2091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71">
        <f>L2071*(1-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2071*(MIN((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71">
        <f>(1-Summary!$B$11)*T2071+Summary!$B$11*V2071</f>
        <v/>
      </c>
      <c r="P2071">
        <f>IF(B2096=0,0,O2071/B2096)</f>
        <v/>
      </c>
      <c r="Q2071">
        <f>IFERROR(1/(IF(Inputs!$B$38="pvp",15,MAX(0.1,Skills!D11-IF(Skills!E11=TRUE,Inputs!$B$32,0)))*(1-IF(AND(ArtifactsInput!$M$27,Inputs!$B$4="Chapter Hunt"),CHOOSE(ArtifactsInput!$N$27+1,20,24,28,32,36,40),0)/100)),0)</f>
        <v/>
      </c>
      <c r="R2071">
        <f>IF(AND(Inputs!$B$38&lt;&gt;"pvp",Inputs!$B$43&gt;0),IF(MAX(0,Inputs!$B$43-B2093)&lt;=0,0,(INT(MAX(0,Inputs!$B$43-B2093)/(IF(Inputs!$B$38="pvp",15,MAX(0.1,Skills!D11-IF(Skills!E11=TRUE,Inputs!$B$32,0)))*(1-IF(AND(ArtifactsInput!$M$27,Inputs!$B$4="Chapter Hunt"),CHOOSE(ArtifactsInput!$N$27+1,20,24,28,32,36,40),0)/100)))+1)),0)</f>
        <v/>
      </c>
      <c r="S2071">
        <f>IFERROR(O2071/N2071,0)</f>
        <v/>
      </c>
      <c r="T2071">
        <f>IF(C2071,(H2071*N2071*IF(AND(Inputs!$B$38&lt;&gt;"pvp",Inputs!$B$43&gt;0),((Skills!G11*((R2071-1)*IF(Skills!H11&gt;0,Skills!I11/Skills!H11,1)+IF(Skills!H11&gt;0,MIN(Skills!I11,MAX(0,MAX(0,Inputs!$B$43-B2093)-((R2071-1)*(IF(Inputs!$B$38="pvp",15,MAX(0.1,Skills!D11-IF(Skills!E11=TRUE,Inputs!$B$32,0)))*(1-IF(AND(ArtifactsInput!$M$27,Inputs!$B$4="Chapter Hunt"),CHOOSE(ArtifactsInput!$N$27+1,20,24,28,32,36,40),0)/100)))))/Skills!H11,1)))/Inputs!$B$43),G2071*Q2071)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2071*(1-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2071*(1-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2071*(MIN(100,(Inputs!$B$9+((C2076=TRUE)*(F2076-Calc!F16))+B2086+(ArtifactsInput!$M$24-ArtifactsInput!$M$24)*CHOOSE(ArtifactsInput!$N$24+1,10,12,14,16,18,20)+(IF(AND(ArtifactsInput!$M$42,((Inputs!$B$9+((C2076=TRUE)*(F2076-Calc!F16))+B2086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71">
        <f>IF(C2071,(H2071*N2071*IF(AND(Inputs!$B$38&lt;&gt;"pvp",Inputs!$B$43&gt;0),((Skills!G11*((R2071-1)*IF(Skills!H11&gt;0,Skills!I11/Skills!H11,1)+IF(Skills!H11&gt;0,MIN(Skills!I11,MAX(0,MAX(0,Inputs!$B$43-B2093)-((R2071-1)*(IF(Inputs!$B$38="pvp",15,MAX(0.1,Skills!D11-IF(Skills!E11=TRUE,Inputs!$B$32,0)))*(1-IF(AND(ArtifactsInput!$M$27,Inputs!$B$4="Chapter Hunt"),CHOOSE(ArtifactsInput!$N$27+1,20,24,28,32,36,40),0)/100)))))/Skills!H11,1)))/Inputs!$B$43),G2071*Q2071))*IF(Inputs!$B$38="pvp",1,(1+(Inputs!$B$21+Skills!Q11+(IF(ArtifactsInput!$M$33,CHOOSE(ArtifactsInput!$N$33+1,30,36,42,48,54,60),0))+(IF(AND(ArtifactsInput!$M$35,Inputs!$B$4&lt;&gt;"Chapter Hunt"),CHOOSE(ArtifactsInput!$N$35+1,15,18,21,24,27,30)*(1-EXP(-(0.2*B2088)*5)),0)+IF(AND(ArtifactsInput!$M$22,Inputs!$B$4&lt;&gt;"Chapter Hunt"),CHOOSE(ArtifactsInput!$N$22+1,10,12,14,16,18,20)*((0*(((0.15*B2088*5))^0/1)+1*(((0.15*B2088*5))^1/1)+2*(((0.15*B2088*5))^2/2)+3*(((0.15*B2088*5))^3/6)+4*(((0.15*B2088*5))^4/24)+5*(((0.15*B2088*5))^5/120))/((((0.15*B2088*5))^0/1)+(((0.15*B2088*5))^1/1)+(((0.15*B2088*5))^2/2)+(((0.15*B2088*5))^3/6)+(((0.15*B2088*5))^4/24)+(((0.15*B2088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72">
      <c r="A2072">
        <f>Skills!A12</f>
        <v/>
      </c>
      <c r="B2072">
        <f>Skills!B12</f>
        <v/>
      </c>
      <c r="C2072">
        <f>Inputs!$B$3&gt;=100</f>
        <v/>
      </c>
      <c r="D2072">
        <f>IF(Skills!C12=1,60+Inputs!$B$25+Inputs!$B$29,IF(Skills!C12=2,90+Inputs!$B$26+Inputs!$B$29,IF(Skills!C12=3,120+Inputs!$B$27+Inputs!$B$29,MAX(0,(Inputs!$B$3-100)*3)+Inputs!$B$28+Inputs!$B$29)))</f>
        <v/>
      </c>
      <c r="E2072">
        <f>INDEX(FactorTable!$B$2:$Y$301, MATCH(ROUND(MIN(300,MAX(1,D2072)),0), FactorTable!$A$2:$A$301,0), Skills!M12+1)</f>
        <v/>
      </c>
      <c r="F2072">
        <f>IF(Skills!N12=TRUE,(Skills!L12/10)*(E2072/1000),Skills!L12/10)+Skills!O12</f>
        <v/>
      </c>
      <c r="G2072" t="inlineStr"/>
      <c r="H2072" t="inlineStr"/>
      <c r="I2072" t="inlineStr">
        <is>
          <t>1</t>
        </is>
      </c>
      <c r="J2072" t="inlineStr"/>
      <c r="K2072" t="inlineStr"/>
      <c r="L2072" t="inlineStr"/>
      <c r="M2072" t="inlineStr"/>
      <c r="N2072" t="inlineStr"/>
      <c r="O2072" t="inlineStr"/>
      <c r="P2072" t="inlineStr"/>
      <c r="Q2072" t="inlineStr"/>
      <c r="R2072" t="inlineStr"/>
      <c r="S2072" t="inlineStr"/>
      <c r="T2072" t="inlineStr"/>
      <c r="V2072" t="inlineStr"/>
    </row>
    <row r="2073">
      <c r="A2073">
        <f>Skills!A13</f>
        <v/>
      </c>
      <c r="B2073">
        <f>Skills!B13</f>
        <v/>
      </c>
      <c r="C2073">
        <f>Inputs!$B$3&gt;=66</f>
        <v/>
      </c>
      <c r="D2073">
        <f>IF(Skills!C13=1,60+Inputs!$B$25+Inputs!$B$29,IF(Skills!C13=2,90+Inputs!$B$26+Inputs!$B$29,IF(Skills!C13=3,120+Inputs!$B$27+Inputs!$B$29,MAX(0,(Inputs!$B$3-100)*3)+Inputs!$B$28+Inputs!$B$29)))</f>
        <v/>
      </c>
      <c r="E2073">
        <f>INDEX(FactorTable!$B$2:$Y$301, MATCH(ROUND(MIN(300,MAX(1,D2073)),0), FactorTable!$A$2:$A$301,0), Skills!M13+1)</f>
        <v/>
      </c>
      <c r="F2073">
        <f>IF(Skills!N13=TRUE,(Skills!L13/10)*(E2073/1000),Skills!L13/10)+Skills!O13</f>
        <v/>
      </c>
      <c r="G2073">
        <f>Skills!G13*IF(Skills!H13&gt;0,Skills!I13/Skills!H13,1)</f>
        <v/>
      </c>
      <c r="H2073">
        <f>1-(1-Skills!J13/100)^Skills!K13</f>
        <v/>
      </c>
      <c r="I2073" t="inlineStr">
        <is>
          <t>1</t>
        </is>
      </c>
      <c r="J2073" t="inlineStr"/>
      <c r="K2073" t="inlineStr"/>
      <c r="L2073" t="inlineStr"/>
      <c r="M2073" t="inlineStr"/>
      <c r="N2073" t="inlineStr"/>
      <c r="O2073">
        <f>(1-Summary!$B$11)*T2073+Summary!$B$11*V2073</f>
        <v/>
      </c>
      <c r="P2073">
        <f>IF(B2096=0,0,O2073/B2096)</f>
        <v/>
      </c>
      <c r="Q2073" t="n">
        <v>0</v>
      </c>
      <c r="R2073" t="n">
        <v>0</v>
      </c>
      <c r="S2073">
        <f>IFERROR(O2073/N2073,0)</f>
        <v/>
      </c>
      <c r="T2073" t="n">
        <v>0</v>
      </c>
      <c r="V2073" t="n">
        <v>0</v>
      </c>
    </row>
    <row r="2074">
      <c r="A2074">
        <f>Skills!A14</f>
        <v/>
      </c>
      <c r="B2074">
        <f>Skills!B14</f>
        <v/>
      </c>
      <c r="C2074">
        <f>Inputs!$B$3&gt;=107</f>
        <v/>
      </c>
      <c r="D2074">
        <f>IF(Skills!C14=1,60+Inputs!$B$25+Inputs!$B$29,IF(Skills!C14=2,90+Inputs!$B$26+Inputs!$B$29,IF(Skills!C14=3,120+Inputs!$B$27+Inputs!$B$29,MAX(0,(Inputs!$B$3-100)*3)+Inputs!$B$28+Inputs!$B$29)))</f>
        <v/>
      </c>
      <c r="E2074">
        <f>INDEX(FactorTable!$B$2:$Y$301, MATCH(ROUND(MIN(300,MAX(1,D2074)),0), FactorTable!$A$2:$A$301,0), Skills!M14+1)</f>
        <v/>
      </c>
      <c r="F2074">
        <f>IF(Skills!N14=TRUE,(Skills!L14/10)*(E2074/1000),Skills!L14/10)+Skills!O14</f>
        <v/>
      </c>
      <c r="G2074">
        <f>Skills!G14*IF(Skills!H14&gt;0,Skills!I14/Skills!H14,1)</f>
        <v/>
      </c>
      <c r="H2074">
        <f>1-(1-Skills!J14/100)^Skills!K14</f>
        <v/>
      </c>
      <c r="I2074" t="inlineStr">
        <is>
          <t>1</t>
        </is>
      </c>
      <c r="J2074" t="inlineStr"/>
      <c r="K2074" t="inlineStr"/>
      <c r="L2074" t="inlineStr"/>
      <c r="M2074" t="inlineStr"/>
      <c r="N2074" t="inlineStr"/>
      <c r="O2074">
        <f>(1-Summary!$B$11)*T2074+Summary!$B$11*V2074</f>
        <v/>
      </c>
      <c r="P2074">
        <f>IF(B2096=0,0,O2074/B2096)</f>
        <v/>
      </c>
      <c r="Q2074">
        <f>IFERROR(1/(IF(Inputs!$B$38="pvp",15,MAX(0.1,Skills!D14-IF(Skills!E14=TRUE,Inputs!$B$32,0)))*(1-IF(AND(ArtifactsInput!$M$27,Inputs!$B$4="Chapter Hunt"),CHOOSE(ArtifactsInput!$N$27+1,20,24,28,32,36,40),0)/100)),0)</f>
        <v/>
      </c>
      <c r="R2074">
        <f>IF(AND(Inputs!$B$38&lt;&gt;"pvp",Inputs!$B$43&gt;0),IF(Inputs!$B$43&lt;=0,0,(INT(Inputs!$B$43/(IF(Inputs!$B$38="pvp",15,MAX(0.1,Skills!D14-IF(Skills!E14=TRUE,Inputs!$B$32,0)))*(1-IF(AND(ArtifactsInput!$M$27,Inputs!$B$4="Chapter Hunt"),CHOOSE(ArtifactsInput!$N$27+1,20,24,28,32,36,40),0)/100)))+1)),0)</f>
        <v/>
      </c>
      <c r="S2074">
        <f>IFERROR(O2074/N2074,0)</f>
        <v/>
      </c>
      <c r="T2074" t="n">
        <v>0</v>
      </c>
      <c r="V2074" t="n">
        <v>0</v>
      </c>
    </row>
    <row r="2075">
      <c r="A2075">
        <f>Skills!A15</f>
        <v/>
      </c>
      <c r="B2075">
        <f>Skills!B15</f>
        <v/>
      </c>
      <c r="C2075">
        <f>Inputs!$B$3&gt;=115</f>
        <v/>
      </c>
      <c r="D2075">
        <f>IF(Skills!C15=1,60+Inputs!$B$25+Inputs!$B$29,IF(Skills!C15=2,90+Inputs!$B$26+Inputs!$B$29,IF(Skills!C15=3,120+Inputs!$B$27+Inputs!$B$29,MAX(0,(Inputs!$B$3-100)*3)+Inputs!$B$28+Inputs!$B$29)))</f>
        <v/>
      </c>
      <c r="E2075">
        <f>INDEX(FactorTable!$B$2:$Y$301, MATCH(ROUND(MIN(300,MAX(1,D2075)),0), FactorTable!$A$2:$A$301,0), Skills!M15+1)</f>
        <v/>
      </c>
      <c r="F2075">
        <f>IF(Skills!N15=TRUE,(Skills!L15/10)*(E2075/1000),Skills!L15/10)+Skills!O15</f>
        <v/>
      </c>
      <c r="G2075">
        <f>Skills!G15*IF(Skills!H15&gt;0,Skills!I15/Skills!H15,1)</f>
        <v/>
      </c>
      <c r="H2075">
        <f>1-(1-Skills!J15/100)^Skills!K15</f>
        <v/>
      </c>
      <c r="I2075" t="inlineStr">
        <is>
          <t>1</t>
        </is>
      </c>
      <c r="J2075" t="inlineStr"/>
      <c r="K2075" t="inlineStr"/>
      <c r="L2075" t="inlineStr"/>
      <c r="M2075" t="inlineStr"/>
      <c r="N2075" t="inlineStr"/>
      <c r="O2075">
        <f>(1-Summary!$B$11)*T2075+Summary!$B$11*V2075</f>
        <v/>
      </c>
      <c r="P2075">
        <f>IF(B2096=0,0,O2075/B2096)</f>
        <v/>
      </c>
      <c r="Q2075">
        <f>IFERROR(1/(IF(Inputs!$B$38="pvp",15,MAX(0.1,Skills!D15-IF(Skills!E15=TRUE,Inputs!$B$32,0)))*(1-IF(AND(ArtifactsInput!$M$27,Inputs!$B$4="Chapter Hunt"),CHOOSE(ArtifactsInput!$N$27+1,20,24,28,32,36,40),0)/100)),0)</f>
        <v/>
      </c>
      <c r="R2075">
        <f>IF(AND(Inputs!$B$38&lt;&gt;"pvp",Inputs!$B$43&gt;0),IF(Inputs!$B$43&lt;=0,0,(INT(Inputs!$B$43/(IF(Inputs!$B$38="pvp",15,MAX(0.1,Skills!D15-IF(Skills!E15=TRUE,Inputs!$B$32,0)))*(1-IF(AND(ArtifactsInput!$M$27,Inputs!$B$4="Chapter Hunt"),CHOOSE(ArtifactsInput!$N$27+1,20,24,28,32,36,40),0)/100)))+1)),0)</f>
        <v/>
      </c>
      <c r="S2075">
        <f>IFERROR(O2075/N2075,0)</f>
        <v/>
      </c>
      <c r="T2075" t="n">
        <v>0</v>
      </c>
      <c r="V2075" t="n">
        <v>0</v>
      </c>
    </row>
    <row r="2076">
      <c r="A2076">
        <f>Skills!A16</f>
        <v/>
      </c>
      <c r="B2076">
        <f>Skills!B16</f>
        <v/>
      </c>
      <c r="C2076">
        <f>Inputs!$B$3&gt;=15</f>
        <v/>
      </c>
      <c r="D2076">
        <f>IF(Skills!C16=1,60+Inputs!$B$25+Inputs!$B$29,IF(Skills!C16=2,90+Inputs!$B$26+Inputs!$B$29,IF(Skills!C16=3,120+Inputs!$B$27+Inputs!$B$29,MAX(0,(Inputs!$B$3-100)*3)+Inputs!$B$28+Inputs!$B$29)))</f>
        <v/>
      </c>
      <c r="E2076">
        <f>INDEX(FactorTable!$B$2:$Y$301, MATCH(ROUND(MIN(300,MAX(1,D2076)),0), FactorTable!$A$2:$A$301,0), Skills!M16+1)</f>
        <v/>
      </c>
      <c r="F2076">
        <f>IF(Skills!N16=TRUE,(Skills!L16/10)*(E2076/1000),Skills!L16/10)+Skills!O16</f>
        <v/>
      </c>
      <c r="G2076">
        <f>Skills!G16*IF(Skills!H16&gt;0,Skills!I16/Skills!H16,1)</f>
        <v/>
      </c>
      <c r="H2076">
        <f>1-(1-Skills!J16/100)^Skills!K16</f>
        <v/>
      </c>
      <c r="I2076" t="inlineStr">
        <is>
          <t>1</t>
        </is>
      </c>
      <c r="J2076" t="inlineStr"/>
      <c r="K2076" t="inlineStr"/>
      <c r="L2076" t="inlineStr"/>
      <c r="M2076" t="inlineStr"/>
      <c r="N2076" t="inlineStr"/>
      <c r="O2076">
        <f>(1-Summary!$B$11)*T2076+Summary!$B$11*V2076</f>
        <v/>
      </c>
      <c r="P2076">
        <f>IF(B2096=0,0,O2076/B2096)</f>
        <v/>
      </c>
      <c r="Q2076" t="n">
        <v>0</v>
      </c>
      <c r="R2076" t="n">
        <v>0</v>
      </c>
      <c r="S2076">
        <f>IFERROR(O2076/N2076,0)</f>
        <v/>
      </c>
      <c r="T2076" t="n">
        <v>0</v>
      </c>
      <c r="V2076" t="n">
        <v>0</v>
      </c>
    </row>
    <row r="2077">
      <c r="A2077">
        <f>Skills!A17</f>
        <v/>
      </c>
      <c r="B2077">
        <f>Skills!B17</f>
        <v/>
      </c>
      <c r="C2077">
        <f>Inputs!$B$3&gt;=10</f>
        <v/>
      </c>
      <c r="D2077">
        <f>IF(Skills!C17=1,60+Inputs!$B$25+Inputs!$B$29,IF(Skills!C17=2,90+Inputs!$B$26+Inputs!$B$29,IF(Skills!C17=3,120+Inputs!$B$27+Inputs!$B$29,MAX(0,(Inputs!$B$3-100)*3)+Inputs!$B$28+Inputs!$B$29)))</f>
        <v/>
      </c>
      <c r="E2077">
        <f>INDEX(FactorTable!$B$2:$Y$301, MATCH(ROUND(MIN(300,MAX(1,D2077)),0), FactorTable!$A$2:$A$301,0), Skills!M17+1)</f>
        <v/>
      </c>
      <c r="F2077">
        <f>IF(Skills!N17=TRUE,(Skills!L17/10)*(E2077/1000),Skills!L17/10)+Skills!O17</f>
        <v/>
      </c>
      <c r="G2077">
        <f>Skills!G17*IF(Skills!H17&gt;0,Skills!I17/Skills!H17,1)</f>
        <v/>
      </c>
      <c r="H2077">
        <f>1-(1-Skills!J17/100)^Skills!K17</f>
        <v/>
      </c>
      <c r="I2077" t="inlineStr">
        <is>
          <t>1</t>
        </is>
      </c>
      <c r="J2077" t="inlineStr"/>
      <c r="K2077" t="inlineStr"/>
      <c r="L2077" t="inlineStr"/>
      <c r="M2077" t="inlineStr"/>
      <c r="N2077" t="inlineStr"/>
      <c r="O2077">
        <f>(1-Summary!$B$11)*T2077+Summary!$B$11*V2077</f>
        <v/>
      </c>
      <c r="P2077">
        <f>IF(B2096=0,0,O2077/B2096)</f>
        <v/>
      </c>
      <c r="Q2077" t="n">
        <v>0</v>
      </c>
      <c r="R2077" t="n">
        <v>0</v>
      </c>
      <c r="S2077">
        <f>IFERROR(O2077/N2077,0)</f>
        <v/>
      </c>
      <c r="T2077" t="n">
        <v>0</v>
      </c>
      <c r="V2077" t="n">
        <v>0</v>
      </c>
    </row>
    <row r="2078">
      <c r="A2078">
        <f>Skills!A18</f>
        <v/>
      </c>
      <c r="B2078">
        <f>Skills!B18</f>
        <v/>
      </c>
      <c r="C2078">
        <f>Inputs!$B$3&gt;=33</f>
        <v/>
      </c>
      <c r="D2078">
        <f>IF(Skills!C18=1,60+Inputs!$B$25+Inputs!$B$29,IF(Skills!C18=2,90+Inputs!$B$26+Inputs!$B$29,IF(Skills!C18=3,120+Inputs!$B$27+Inputs!$B$29,MAX(0,(Inputs!$B$3-100)*3)+Inputs!$B$28+Inputs!$B$29)))</f>
        <v/>
      </c>
      <c r="E2078">
        <f>INDEX(FactorTable!$B$2:$Y$301, MATCH(ROUND(MIN(300,MAX(1,D2078)),0), FactorTable!$A$2:$A$301,0), Skills!M18+1)</f>
        <v/>
      </c>
      <c r="F2078">
        <f>IF(Skills!N18=TRUE,(Skills!L18/10)*(E2078/1000),Skills!L18/10)+Skills!O18</f>
        <v/>
      </c>
      <c r="G2078">
        <f>Skills!G18*IF(Skills!H18&gt;0,Skills!I18/Skills!H18,1)</f>
        <v/>
      </c>
      <c r="H2078">
        <f>1-(1-Skills!J18/100)^Skills!K18</f>
        <v/>
      </c>
      <c r="I2078" t="inlineStr">
        <is>
          <t>1</t>
        </is>
      </c>
      <c r="J2078" t="inlineStr"/>
      <c r="K2078" t="inlineStr"/>
      <c r="L2078" t="inlineStr"/>
      <c r="M2078" t="inlineStr"/>
      <c r="N2078" t="inlineStr"/>
      <c r="O2078">
        <f>(1-Summary!$B$11)*T2078+Summary!$B$11*V2078</f>
        <v/>
      </c>
      <c r="P2078">
        <f>IF(B2096=0,0,O2078/B2096)</f>
        <v/>
      </c>
      <c r="Q2078" t="n">
        <v>0</v>
      </c>
      <c r="R2078" t="n">
        <v>0</v>
      </c>
      <c r="S2078">
        <f>IFERROR(O2078/N2078,0)</f>
        <v/>
      </c>
      <c r="T2078" t="n">
        <v>0</v>
      </c>
      <c r="V2078" t="n">
        <v>0</v>
      </c>
    </row>
    <row r="2079">
      <c r="A2079">
        <f>Skills!A19</f>
        <v/>
      </c>
      <c r="B2079">
        <f>Skills!B19</f>
        <v/>
      </c>
      <c r="C2079">
        <f>Inputs!$B$3&gt;=40</f>
        <v/>
      </c>
      <c r="D2079">
        <f>IF(Skills!C19=1,60+Inputs!$B$25+Inputs!$B$29,IF(Skills!C19=2,90+Inputs!$B$26+Inputs!$B$29,IF(Skills!C19=3,120+Inputs!$B$27+Inputs!$B$29,MAX(0,(Inputs!$B$3-100)*3)+Inputs!$B$28+Inputs!$B$29)))</f>
        <v/>
      </c>
      <c r="E2079">
        <f>INDEX(FactorTable!$B$2:$Y$301, MATCH(ROUND(MIN(300,MAX(1,D2079)),0), FactorTable!$A$2:$A$301,0), Skills!M19+1)</f>
        <v/>
      </c>
      <c r="F2079">
        <f>IF(Skills!N19=TRUE,(Skills!L19/10)*(E2079/1000),Skills!L19/10)+Skills!O19</f>
        <v/>
      </c>
      <c r="G2079">
        <f>Skills!G19*IF(Skills!H19&gt;0,Skills!I19/Skills!H19,1)</f>
        <v/>
      </c>
      <c r="H2079">
        <f>1-(1-Skills!J19/100)^Skills!K19</f>
        <v/>
      </c>
      <c r="I2079" t="inlineStr">
        <is>
          <t>1</t>
        </is>
      </c>
      <c r="J2079" t="inlineStr"/>
      <c r="K2079" t="inlineStr"/>
      <c r="L2079" t="inlineStr"/>
      <c r="M2079" t="inlineStr"/>
      <c r="N2079" t="inlineStr"/>
      <c r="O2079">
        <f>(1-Summary!$B$11)*T2079+Summary!$B$11*V2079</f>
        <v/>
      </c>
      <c r="P2079">
        <f>IF(B2096=0,0,O2079/B2096)</f>
        <v/>
      </c>
      <c r="Q2079" t="n">
        <v>0</v>
      </c>
      <c r="R2079" t="n">
        <v>0</v>
      </c>
      <c r="S2079">
        <f>IFERROR(O2079/N2079,0)</f>
        <v/>
      </c>
      <c r="T2079" t="n">
        <v>0</v>
      </c>
      <c r="V2079" t="n">
        <v>0</v>
      </c>
    </row>
    <row r="2080">
      <c r="A2080">
        <f>Skills!A20</f>
        <v/>
      </c>
      <c r="B2080">
        <f>Skills!B20</f>
        <v/>
      </c>
      <c r="C2080">
        <f>Inputs!$B$3&gt;=43</f>
        <v/>
      </c>
      <c r="D2080">
        <f>IF(Skills!C20=1,60+Inputs!$B$25+Inputs!$B$29,IF(Skills!C20=2,90+Inputs!$B$26+Inputs!$B$29,IF(Skills!C20=3,120+Inputs!$B$27+Inputs!$B$29,MAX(0,(Inputs!$B$3-100)*3)+Inputs!$B$28+Inputs!$B$29)))</f>
        <v/>
      </c>
      <c r="E2080">
        <f>INDEX(FactorTable!$B$2:$Y$301, MATCH(ROUND(MIN(300,MAX(1,D2080)),0), FactorTable!$A$2:$A$301,0), Skills!M20+1)</f>
        <v/>
      </c>
      <c r="F2080">
        <f>IF(Skills!N20=TRUE,(Skills!L20/10)*(E2080/1000),Skills!L20/10)+Skills!O20</f>
        <v/>
      </c>
      <c r="G2080">
        <f>Skills!G20*IF(Skills!H20&gt;0,Skills!I20/Skills!H20,1)</f>
        <v/>
      </c>
      <c r="H2080">
        <f>1-(1-Skills!J20/100)^Skills!K20</f>
        <v/>
      </c>
      <c r="I2080" t="inlineStr">
        <is>
          <t>1</t>
        </is>
      </c>
      <c r="J2080" t="inlineStr"/>
      <c r="K2080" t="inlineStr"/>
      <c r="L2080" t="inlineStr"/>
      <c r="M2080" t="inlineStr"/>
      <c r="N2080" t="inlineStr"/>
      <c r="O2080">
        <f>(1-Summary!$B$11)*T2080+Summary!$B$11*V2080</f>
        <v/>
      </c>
      <c r="P2080">
        <f>IF(B2096=0,0,O2080/B2096)</f>
        <v/>
      </c>
      <c r="Q2080" t="n">
        <v>0</v>
      </c>
      <c r="R2080" t="n">
        <v>0</v>
      </c>
      <c r="S2080">
        <f>IFERROR(O2080/N2080,0)</f>
        <v/>
      </c>
      <c r="T2080" t="n">
        <v>0</v>
      </c>
      <c r="V2080" t="n">
        <v>0</v>
      </c>
    </row>
    <row r="2081">
      <c r="A2081">
        <f>Skills!A21</f>
        <v/>
      </c>
      <c r="B2081">
        <f>Skills!B21</f>
        <v/>
      </c>
      <c r="C2081">
        <f>Inputs!$B$3&gt;=38</f>
        <v/>
      </c>
      <c r="D2081">
        <f>IF(Skills!C21=1,60+Inputs!$B$25+Inputs!$B$29,IF(Skills!C21=2,90+Inputs!$B$26+Inputs!$B$29,IF(Skills!C21=3,120+Inputs!$B$27+Inputs!$B$29,MAX(0,(Inputs!$B$3-100)*3)+Inputs!$B$28+Inputs!$B$29)))</f>
        <v/>
      </c>
      <c r="E2081">
        <f>INDEX(FactorTable!$B$2:$Y$301, MATCH(ROUND(MIN(300,MAX(1,D2081)),0), FactorTable!$A$2:$A$301,0), Skills!M21+1)</f>
        <v/>
      </c>
      <c r="F2081">
        <f>IF(Skills!N21=TRUE,(Skills!L21/10)*(E2081/1000),Skills!L21/10)+Skills!O21</f>
        <v/>
      </c>
      <c r="G2081">
        <f>Skills!G21*IF(Skills!H21&gt;0,Skills!I21/Skills!H21,1)</f>
        <v/>
      </c>
      <c r="H2081">
        <f>1-(1-Skills!J21/100)^Skills!K21</f>
        <v/>
      </c>
      <c r="I2081" t="inlineStr">
        <is>
          <t>1</t>
        </is>
      </c>
      <c r="J2081" t="inlineStr"/>
      <c r="K2081" t="inlineStr"/>
      <c r="L2081" t="inlineStr"/>
      <c r="M2081" t="inlineStr"/>
      <c r="N2081" t="inlineStr"/>
      <c r="O2081">
        <f>(1-Summary!$B$11)*T2081+Summary!$B$11*V2081</f>
        <v/>
      </c>
      <c r="P2081">
        <f>IF(B2096=0,0,O2081/B2096)</f>
        <v/>
      </c>
      <c r="Q2081" t="n">
        <v>0</v>
      </c>
      <c r="R2081" t="n">
        <v>0</v>
      </c>
      <c r="S2081">
        <f>IFERROR(O2081/N2081,0)</f>
        <v/>
      </c>
      <c r="T2081" t="n">
        <v>0</v>
      </c>
      <c r="V2081" t="n">
        <v>0</v>
      </c>
    </row>
    <row r="2082">
      <c r="A2082">
        <f>Skills!A22</f>
        <v/>
      </c>
      <c r="B2082">
        <f>Skills!B22</f>
        <v/>
      </c>
      <c r="C2082">
        <f>Inputs!$B$3&gt;=75</f>
        <v/>
      </c>
      <c r="D2082">
        <f>IF(Skills!C22=1,60+Inputs!$B$25+Inputs!$B$29,IF(Skills!C22=2,90+Inputs!$B$26+Inputs!$B$29,IF(Skills!C22=3,120+Inputs!$B$27+Inputs!$B$29,MAX(0,(Inputs!$B$3-100)*3)+Inputs!$B$28+Inputs!$B$29)))</f>
        <v/>
      </c>
      <c r="E2082">
        <f>INDEX(FactorTable!$B$2:$Y$301, MATCH(ROUND(MIN(300,MAX(1,D2082)),0), FactorTable!$A$2:$A$301,0), Skills!M22+1)</f>
        <v/>
      </c>
      <c r="F2082">
        <f>IF(Skills!N22=TRUE,(Skills!L22/10)*(E2082/1000),Skills!L22/10)+Skills!O22</f>
        <v/>
      </c>
      <c r="G2082">
        <f>Skills!G22*IF(Skills!H22&gt;0,Skills!I22/Skills!H22,1)</f>
        <v/>
      </c>
      <c r="H2082">
        <f>1-(1-Skills!J22/100)^Skills!K22</f>
        <v/>
      </c>
      <c r="I2082" t="inlineStr">
        <is>
          <t>1</t>
        </is>
      </c>
      <c r="J2082" t="inlineStr"/>
      <c r="K2082" t="inlineStr"/>
      <c r="L2082" t="inlineStr"/>
      <c r="M2082" t="inlineStr"/>
      <c r="N2082" t="inlineStr"/>
      <c r="O2082">
        <f>(1-Summary!$B$11)*T2082+Summary!$B$11*V2082</f>
        <v/>
      </c>
      <c r="P2082">
        <f>IF(B2096=0,0,O2082/B2096)</f>
        <v/>
      </c>
      <c r="Q2082" t="n">
        <v>0</v>
      </c>
      <c r="R2082" t="n">
        <v>0</v>
      </c>
      <c r="S2082">
        <f>IFERROR(O2082/N2082,0)</f>
        <v/>
      </c>
      <c r="T2082" t="n">
        <v>0</v>
      </c>
      <c r="V2082" t="n">
        <v>0</v>
      </c>
    </row>
    <row r="2083">
      <c r="A2083">
        <f>Skills!A23</f>
        <v/>
      </c>
      <c r="B2083">
        <f>Skills!B23</f>
        <v/>
      </c>
      <c r="C2083">
        <f>TRUE</f>
        <v/>
      </c>
      <c r="D2083">
        <f>IF(Skills!C23=1,60+Inputs!$B$25+Inputs!$B$29,IF(Skills!C23=2,90+Inputs!$B$26+Inputs!$B$29,IF(Skills!C23=3,120+Inputs!$B$27+Inputs!$B$29,MAX(0,(Inputs!$B$3-100)*3)+Inputs!$B$28+Inputs!$B$29)))</f>
        <v/>
      </c>
      <c r="E2083">
        <f>INDEX(FactorTable!$B$2:$Y$301, MATCH(ROUND(MIN(300,MAX(1,D2083)),0), FactorTable!$A$2:$A$301,0), Skills!M23+1)</f>
        <v/>
      </c>
      <c r="F2083">
        <f>IF(Skills!N23=TRUE,(Skills!L23/10)*(E2083/1000),Skills!L23/10)+Skills!O23</f>
        <v/>
      </c>
      <c r="G2083">
        <f>Skills!G23*IF(Skills!H23&gt;0,Skills!I23/Skills!H23,1)</f>
        <v/>
      </c>
      <c r="H2083">
        <f>1-(1-Skills!J23/100)^Skills!K23</f>
        <v/>
      </c>
      <c r="I2083" t="inlineStr">
        <is>
          <t>1</t>
        </is>
      </c>
      <c r="J2083" t="inlineStr"/>
      <c r="K2083" t="inlineStr"/>
      <c r="L2083" t="inlineStr"/>
      <c r="M2083" t="inlineStr"/>
      <c r="N2083" t="inlineStr"/>
      <c r="O2083">
        <f>(1-Summary!$B$11)*T2083+Summary!$B$11*V2083</f>
        <v/>
      </c>
      <c r="P2083">
        <f>IF(B2096=0,0,O2083/B2096)</f>
        <v/>
      </c>
      <c r="Q2083">
        <f>IFERROR(1/(IF(Inputs!$B$38="pvp",15,MAX(0.1,Skills!D23-IF(Skills!E23=TRUE,Inputs!$B$32,0)))*(1-IF(AND(ArtifactsInput!$M$27,Inputs!$B$4="Chapter Hunt"),CHOOSE(ArtifactsInput!$N$27+1,20,24,28,32,36,40),0)/100)),0)</f>
        <v/>
      </c>
      <c r="R2083">
        <f>IF(AND(Inputs!$B$38&lt;&gt;"pvp",Inputs!$B$43&gt;0),IF(Inputs!$B$43&lt;=0,0,(INT(Inputs!$B$43/(IF(Inputs!$B$38="pvp",15,MAX(0.1,Skills!D23-IF(Skills!E23=TRUE,Inputs!$B$32,0)))*(1-IF(AND(ArtifactsInput!$M$27,Inputs!$B$4="Chapter Hunt"),CHOOSE(ArtifactsInput!$N$27+1,20,24,28,32,36,40),0)/100)))+1)),0)</f>
        <v/>
      </c>
      <c r="S2083">
        <f>IFERROR(O2083/N2083,0)</f>
        <v/>
      </c>
      <c r="T2083" t="n">
        <v>0</v>
      </c>
      <c r="V2083" t="n">
        <v>0</v>
      </c>
    </row>
    <row r="2085">
      <c r="A2085" t="inlineStr">
        <is>
          <t>Attack% Bucket Multiplier</t>
        </is>
      </c>
      <c r="B2085">
        <f>(1+(((C2073=TRUE)*F2073*5/7)+((C2079=TRUE)*(F2079-Calc!F19))+(IF(ArtifactsInput!$M$21,CHOOSE(ArtifactsInput!$N$21+1,25,30,35,40,45,50)*(IF(OR(Inputs!$B$4="Chapter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6">
      <c r="A2086" t="inlineStr">
        <is>
          <t>Global Crit Rate Bonus %</t>
        </is>
      </c>
      <c r="B2086" t="n">
        <v>0</v>
      </c>
    </row>
    <row r="2087">
      <c r="A2087" t="inlineStr">
        <is>
          <t>Attack Speed Buff Bonus % (Nimble Feet, duty-cycle averaged)</t>
        </is>
      </c>
      <c r="B2087">
        <f>((C2083=TRUE)*F2083*IF(AND(Inputs!$B$38&lt;&gt;"pvp",Inputs!$B$43&gt;0),(((R2083-1)*(Skills!T23*(1+Inputs!$B$34/100))+MIN((Skills!T23*(1+Inputs!$B$34/100)),MAX(0,Inputs!$B$43-((R2083-1)*Skills!D23))))/Inputs!$B$43),IF(Inputs!$B$38="pvp",MIN((Skills!T23*(1+Inputs!$B$34/100)),15)/15,(Skills!T23*(1+Inputs!$B$34/100))/Skills!D23)))</f>
        <v/>
      </c>
    </row>
    <row r="2088">
      <c r="A2088" t="inlineStr">
        <is>
          <t>Actions Per Second</t>
        </is>
      </c>
      <c r="B2088">
        <f>1+MIN(150,150*(1-(1-(Inputs!$B$11+((C2077=TRUE)*(F2077-Calc!F17))+((C2078=TRUE)*(F2078-Calc!F18)))/150)*(1-B2087/150)))/100</f>
        <v/>
      </c>
    </row>
    <row r="2089">
      <c r="A2089" t="inlineStr">
        <is>
          <t>Skill + Buff Cast Rate</t>
        </is>
      </c>
      <c r="B2089">
        <f>IF(AND(Inputs!$B$38&lt;&gt;"pvp",Inputs!$B$43&gt;0),SUMPRODUCT((Skills!E2:E23=TRUE)*(C2062:C2083=TRUE)*R2062:R2083*Skills!F2:F23)/Inputs!$B$43,SUMPRODUCT((Skills!E2:E23=TRUE)*(C2062:C2083=TRUE)*Q2062:Q2083*Skills!F2:F23))</f>
        <v/>
      </c>
    </row>
    <row r="2090">
      <c r="A2090" t="inlineStr">
        <is>
          <t>Hook Bomber Casts Per Second</t>
        </is>
      </c>
      <c r="B2090">
        <f>MAX(0,B2088-B2089)</f>
        <v/>
      </c>
    </row>
    <row r="2091">
      <c r="A2091" t="inlineStr">
        <is>
          <t>Global Critical Damage Bonus % (unused)</t>
        </is>
      </c>
      <c r="B2091" t="n">
        <v>0</v>
      </c>
    </row>
    <row r="2092">
      <c r="A2092" t="inlineStr">
        <is>
          <t>Global Final Damage Bonus % (Serpent Scale + Crossbones + Time Leap + Speed Infusion)</t>
        </is>
      </c>
      <c r="B2092">
        <f>((C2065=TRUE)*F2065*((10+IF(Inputs!$B$3&gt;=94,5,0))/((10+IF(Inputs!$B$3&gt;=94,5,0))+5/(B2090*(1+IF(Inputs!$B$3&gt;=104,1,0))))))+((C2074=TRUE)*F2074*IF(AND(Inputs!$B$38&lt;&gt;"pvp",Inputs!$B$43&gt;0),(((R2074-1)*(Skills!T14*(1+Inputs!$B$34/100))+MIN((Skills!T14*(1+Inputs!$B$34/100)),MAX(0,Inputs!$B$43-((R2074-1)*Skills!D14))))/Inputs!$B$43),IF(Inputs!$B$38="pvp",MIN((Skills!T14*(1+Inputs!$B$34/100)),15)/15,(Skills!T14*(1+Inputs!$B$34/100))/Skills!D14)))+((C2075=TRUE)*F2075*IF(AND(Inputs!$B$38&lt;&gt;"pvp",Inputs!$B$43&gt;0),(((R2075-1)*(Skills!T15*(1+Inputs!$B$34/100))+MIN((Skills!T15*(1+Inputs!$B$34/100)),MAX(0,Inputs!$B$43-((R2075-1)*Skills!D15))))/Inputs!$B$43),IF(Inputs!$B$38="pvp",MIN((Skills!T15*(1+Inputs!$B$34/100)),15)/15,(Skills!T15*(1+Inputs!$B$34/100))/Skills!D15)))+((Inputs!$B$3&gt;=110)*20*(B2088-1)*IF(Inputs!$B$38="pvp",MIN((15*(1+Inputs!$B$34/100)),15)/15,(15*(1+Inputs!$B$34/100))/35))</f>
        <v/>
      </c>
    </row>
    <row r="2093">
      <c r="A2093" t="inlineStr">
        <is>
          <t>Buff-Casting Startup Delay (s, fixed-duration only)</t>
        </is>
      </c>
      <c r="B2093">
        <f>IF(AND(Inputs!$B$38&lt;&gt;"pvp",Inputs!$B$43&gt;0),SUMPRODUCT((Skills!T2:T23&gt;0)*(Skills!E2:E23=TRUE)*(C2062:C2083=TRUE))/B2088,0)</f>
        <v/>
      </c>
    </row>
    <row r="2094">
      <c r="A2094" t="inlineStr">
        <is>
          <t>Boss-Only Total DPS (this block's swept value)</t>
        </is>
      </c>
      <c r="B2094">
        <f>SUM(T2062:T2083)</f>
        <v/>
      </c>
    </row>
    <row r="2095">
      <c r="A2095" t="inlineStr">
        <is>
          <t>Normal-Only Total DPS (this block's swept value)</t>
        </is>
      </c>
      <c r="B2095">
        <f>SUM(V2062:V2083)</f>
        <v/>
      </c>
    </row>
    <row r="2096">
      <c r="A2096" s="6" t="inlineStr">
        <is>
          <t>TOTAL DPS</t>
        </is>
      </c>
      <c r="B2096" s="6">
        <f>SUM(O2062:O2083)</f>
        <v/>
      </c>
    </row>
    <row r="2099">
      <c r="A2099" s="6" t="inlineStr">
        <is>
          <t>Stat: Sayram's Necklace (Equip)</t>
        </is>
      </c>
    </row>
    <row r="2100">
      <c r="A2100" s="5" t="inlineStr">
        <is>
          <t>Key</t>
        </is>
      </c>
      <c r="B2100" s="5" t="inlineStr">
        <is>
          <t>Name</t>
        </is>
      </c>
      <c r="C2100" s="5" t="inlineStr">
        <is>
          <t>Unlocked</t>
        </is>
      </c>
      <c r="D2100" s="5" t="inlineStr">
        <is>
          <t>InputLevel</t>
        </is>
      </c>
      <c r="E2100" s="5" t="inlineStr">
        <is>
          <t>Factor</t>
        </is>
      </c>
      <c r="F2100" s="5" t="inlineStr">
        <is>
          <t>CoefficientPercent</t>
        </is>
      </c>
      <c r="G2100" s="5" t="inlineStr">
        <is>
          <t>EffectiveHits</t>
        </is>
      </c>
      <c r="H2100" s="5" t="inlineStr">
        <is>
          <t>ProcProbability</t>
        </is>
      </c>
      <c r="I2100" s="5" t="inlineStr">
        <is>
          <t>MapleHeroMultiplier</t>
        </is>
      </c>
      <c r="J2100" s="5" t="inlineStr">
        <is>
          <t>BaseDamage</t>
        </is>
      </c>
      <c r="K2100" s="5" t="inlineStr">
        <is>
          <t>BaseHitDamage</t>
        </is>
      </c>
      <c r="L2100" s="5" t="inlineStr">
        <is>
          <t>NonCritAvg</t>
        </is>
      </c>
      <c r="M2100" s="5" t="inlineStr">
        <is>
          <t>CritAvg</t>
        </is>
      </c>
      <c r="N2100" s="5" t="inlineStr">
        <is>
          <t>ExpectedDamage(perHit)</t>
        </is>
      </c>
      <c r="O2100" s="5" t="inlineStr">
        <is>
          <t>DPS</t>
        </is>
      </c>
      <c r="P2100" s="5" t="inlineStr">
        <is>
          <t>% of Total</t>
        </is>
      </c>
      <c r="Q2100" s="5" t="inlineStr">
        <is>
          <t>InvCooldown</t>
        </is>
      </c>
      <c r="R2100" s="5" t="inlineStr">
        <is>
          <t>CastsInFight</t>
        </is>
      </c>
      <c r="S2100" s="5" t="inlineStr">
        <is>
          <t>HitRate(perSec)</t>
        </is>
      </c>
      <c r="U2100" t="inlineStr">
        <is>
          <t>helpers</t>
        </is>
      </c>
    </row>
    <row r="2101">
      <c r="A2101">
        <f>Skills!A2</f>
        <v/>
      </c>
      <c r="B2101">
        <f>Skills!B2</f>
        <v/>
      </c>
      <c r="C2101">
        <f>Inputs!$B$3&gt;=100</f>
        <v/>
      </c>
      <c r="D2101" t="inlineStr"/>
      <c r="E2101" t="inlineStr"/>
      <c r="F2101">
        <f>U2103+Skills!O2</f>
        <v/>
      </c>
      <c r="G2101">
        <f>Skills!G2*IF(Skills!H2&gt;0,Skills!I2/Skills!H2,1)</f>
        <v/>
      </c>
      <c r="H2101">
        <f>1-(1-Skills!J2/100)^Skills!K2</f>
        <v/>
      </c>
      <c r="I2101" t="inlineStr">
        <is>
          <t>1</t>
        </is>
      </c>
      <c r="J2101">
        <f>((Inputs!$B$6*(1+Inputs!$B$7/100))+(((Inputs!$B$12*(1+Inputs!$B$13/100))-(Inputs!$B$12*(1+Inputs!$B$13/100)))+0.25*(Inputs!$B$14-Inputs!$B$14))*(1+Inputs!$B$7/100))*(F2101/100)</f>
        <v/>
      </c>
      <c r="K2101">
        <f>J2101*(1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2101)</f>
        <v/>
      </c>
      <c r="L2101">
        <f>K2101*(MIN(Inputs!$B$22+((C2119=TRUE)*(F2119-Calc!F20)),(Inputs!$B$23+0+(IF(ArtifactsInput!$M$15,CHOOSE(ArtifactsInput!$N$15+1,25,30,35,40,45,50)/100*(Inputs!$B$11-Inputs!$B$11),0))))/100+(Inputs!$B$23+0+(IF(ArtifactsInput!$M$15,CHOOSE(ArtifactsInput!$N$15+1,25,30,35,40,45,50)/100*(Inputs!$B$11-Inputs!$B$11),0)))/100)/2</f>
        <v/>
      </c>
      <c r="M2101">
        <f>L2101*(1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1">
        <f>L2101*(1-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1">
        <f>(1-Summary!$B$11)*T2101+Summary!$B$11*V2101</f>
        <v/>
      </c>
      <c r="P2101">
        <f>IF(B2135=0,0,O2101/B2135)</f>
        <v/>
      </c>
      <c r="Q2101" t="n">
        <v>0</v>
      </c>
      <c r="R2101" t="n">
        <v>0</v>
      </c>
      <c r="S2101">
        <f>IFERROR(O2101/N2101,0)</f>
        <v/>
      </c>
      <c r="T2101">
        <f>IF(C2101,(Skills!G2*N2101*B2129)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1">
        <f>MAX(0,(Inputs!$B$3-100)*3)+Inputs!$B$28+Inputs!$B$29</f>
        <v/>
      </c>
      <c r="V2101">
        <f>IF(C2101,(Skills!G2*N2101*B2129)*IF(Inputs!$B$38="pvp",1,(1+(Inputs!$B$21+Skills!Q2+(IF(IF(ArtifactsInput!$M$33,FALSE,TRUE),CHOOSE(ArtifactsInput!$N$33+1,30,36,42,48,54,60),0))+(IF(AND(ArtifactsInput!$M$35,Inputs!$B$4&lt;&gt;"Chapter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2">
      <c r="A2102">
        <f>Skills!A3</f>
        <v/>
      </c>
      <c r="B2102">
        <f>Skills!B3</f>
        <v/>
      </c>
      <c r="C2102">
        <f>Inputs!$B$3&gt;=35</f>
        <v/>
      </c>
      <c r="D2102">
        <f>IF(Skills!C3=1,60+Inputs!$B$25+Inputs!$B$29,IF(Skills!C3=2,90+Inputs!$B$26+Inputs!$B$29,IF(Skills!C3=3,120+Inputs!$B$27+Inputs!$B$29,MAX(0,(Inputs!$B$3-100)*3)+Inputs!$B$28+Inputs!$B$29)))</f>
        <v/>
      </c>
      <c r="E2102">
        <f>INDEX(FactorTable!$B$2:$Y$301, MATCH(ROUND(MIN(300,MAX(1,D2102)),0), FactorTable!$A$2:$A$301,0), Skills!M3+1)</f>
        <v/>
      </c>
      <c r="F2102">
        <f>IF(Skills!N3=TRUE,(Skills!L3/10)*(E2102/1000),Skills!L3/10)+Skills!O3</f>
        <v/>
      </c>
      <c r="G2102">
        <f>Skills!G3*IF(Skills!H3&gt;0,Skills!I3/Skills!H3,1)</f>
        <v/>
      </c>
      <c r="H2102">
        <f>1-(1-Skills!J3/100)^Skills!K3</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2119=TRUE)*(F2119-Calc!F20)),(Inputs!$B$23+0+(IF(ArtifactsInput!$M$15,CHOOSE(ArtifactsInput!$N$15+1,25,30,35,40,45,50)/100*(Inputs!$B$11-Inputs!$B$11),0))))/100+(Inputs!$B$23+0+(IF(ArtifactsInput!$M$15,CHOOSE(ArtifactsInput!$N$15+1,25,30,35,40,45,50)/100*(Inputs!$B$11-Inputs!$B$11),0)))/100)/2</f>
        <v/>
      </c>
      <c r="M2102">
        <f>L2102*(1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IF(B2135=0,0,O2102/B2135)</f>
        <v/>
      </c>
      <c r="Q2102" t="n">
        <v>0</v>
      </c>
      <c r="R2102" t="n">
        <v>0</v>
      </c>
      <c r="S2102">
        <f>IFERROR(O2102/N2102,0)</f>
        <v/>
      </c>
      <c r="T2102">
        <f>IF(C2102,(Skills!G3*H2102*N2102*B2129)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2">
        <f>INDEX(FactorTable!$B$2:$Y$301, MATCH(ROUND(MIN(300,MAX(1,U2101)),0), FactorTable!$A$2:$A$301,0), 22)</f>
        <v/>
      </c>
      <c r="V2102">
        <f>IF(C2102,(Skills!G3*H2102*N2102*B2129)*IF(Inputs!$B$38="pvp",1,(1+(Inputs!$B$21+Skills!Q3+(IF(IF(ArtifactsInput!$M$33,FALSE,TRUE),CHOOSE(ArtifactsInput!$N$33+1,30,36,42,48,54,60),0))+(IF(AND(ArtifactsInput!$M$35,Inputs!$B$4&lt;&gt;"Chapter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Skills!A4</f>
        <v/>
      </c>
      <c r="B2103">
        <f>Skills!B4</f>
        <v/>
      </c>
      <c r="C2103">
        <f>Inputs!$B$3&gt;=60</f>
        <v/>
      </c>
      <c r="D2103">
        <f>IF(Skills!C4=1,60+Inputs!$B$25+Inputs!$B$29,IF(Skills!C4=2,90+Inputs!$B$26+Inputs!$B$29,IF(Skills!C4=3,120+Inputs!$B$27+Inputs!$B$29,MAX(0,(Inputs!$B$3-100)*3)+Inputs!$B$28+Inputs!$B$29)))</f>
        <v/>
      </c>
      <c r="E2103">
        <f>INDEX(FactorTable!$B$2:$Y$301, MATCH(ROUND(MIN(300,MAX(1,D2103)),0), FactorTable!$A$2:$A$301,0), Skills!M4+1)</f>
        <v/>
      </c>
      <c r="F2103">
        <f>IF(Skills!N4=TRUE,(Skills!L4/10)*(E2103/1000),Skills!L4/10)+Skills!O4</f>
        <v/>
      </c>
      <c r="G2103">
        <f>Skills!G4*IF(Skills!H4&gt;0,Skills!I4/Skills!H4,1)</f>
        <v/>
      </c>
      <c r="H2103">
        <f>1-(1-Skills!J4/100)^Skills!K4</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2111=TRUE,F2111,0)/100)*(1+(IF(Skills!A4="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2119=TRUE)*(F2119-Calc!F20)),(Inputs!$B$23+0+(IF(ArtifactsInput!$M$15,CHOOSE(ArtifactsInput!$N$15+1,25,30,35,40,45,50)/100*(Inputs!$B$11-Inputs!$B$11),0))))/100+(Inputs!$B$23+0+(IF(ArtifactsInput!$M$15,CHOOSE(ArtifactsInput!$N$15+1,25,30,35,40,45,50)/100*(Inputs!$B$11-Inputs!$B$11),0)))/100)/2</f>
        <v/>
      </c>
      <c r="M2103">
        <f>L2103*(1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IF(B2135=0,0,O2103/B2135)</f>
        <v/>
      </c>
      <c r="Q2103" t="n">
        <v>0</v>
      </c>
      <c r="R2103" t="n">
        <v>0</v>
      </c>
      <c r="S2103">
        <f>IFERROR(O2103/N2103,0)</f>
        <v/>
      </c>
      <c r="T2103">
        <f>IF(C2103,(Skills!G4*H2103*N2103*B2129)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3">
        <f>290*U2102/1000</f>
        <v/>
      </c>
      <c r="V2103">
        <f>IF(C2103,(Skills!G4*H2103*N2103*B2129)*IF(Inputs!$B$38="pvp",1,(1+(Inputs!$B$21+Skills!Q4+(IF(IF(ArtifactsInput!$M$33,FALSE,TRUE),CHOOSE(ArtifactsInput!$N$33+1,30,36,42,48,54,60),0))+(IF(AND(ArtifactsInput!$M$35,Inputs!$B$4&lt;&gt;"Chapter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Skills!A5</f>
        <v/>
      </c>
      <c r="B2104">
        <f>Skills!B5</f>
        <v/>
      </c>
      <c r="C2104">
        <f>Inputs!$B$3&gt;=60</f>
        <v/>
      </c>
      <c r="D2104">
        <f>IF(Skills!C5=1,60+Inputs!$B$25+Inputs!$B$29,IF(Skills!C5=2,90+Inputs!$B$26+Inputs!$B$29,IF(Skills!C5=3,120+Inputs!$B$27+Inputs!$B$29,MAX(0,(Inputs!$B$3-100)*3)+Inputs!$B$28+Inputs!$B$29)))</f>
        <v/>
      </c>
      <c r="E2104">
        <f>INDEX(FactorTable!$B$2:$Y$301, MATCH(ROUND(MIN(300,MAX(1,D2104)),0), FactorTable!$A$2:$A$301,0), Skills!M5+1)</f>
        <v/>
      </c>
      <c r="F2104">
        <f>IF(Skills!N5=TRUE,(Skills!L5/10)*(E2104/1000),Skills!L5/10)+Skills!O5</f>
        <v/>
      </c>
      <c r="G2104">
        <f>Skills!G5*IF(Skills!H5&gt;0,Skills!I5/Skills!H5,1)</f>
        <v/>
      </c>
      <c r="H2104">
        <f>1-(1-Skills!J5/100)^Skills!K5</f>
        <v/>
      </c>
      <c r="I2104" t="inlineStr">
        <is>
          <t>1</t>
        </is>
      </c>
      <c r="J2104" t="inlineStr"/>
      <c r="K2104" t="inlineStr"/>
      <c r="L2104" t="inlineStr"/>
      <c r="M2104" t="inlineStr"/>
      <c r="N2104" t="inlineStr"/>
      <c r="O2104">
        <f>(1-Summary!$B$11)*T2104+Summary!$B$11*V2104</f>
        <v/>
      </c>
      <c r="P2104">
        <f>IF(B2135=0,0,O2104/B2135)</f>
        <v/>
      </c>
      <c r="Q2104" t="n">
        <v>0</v>
      </c>
      <c r="R2104" t="n">
        <v>0</v>
      </c>
      <c r="S2104">
        <f>IFERROR(O2104/N2104,0)</f>
        <v/>
      </c>
      <c r="T2104" t="n">
        <v>0</v>
      </c>
      <c r="V2104" t="n">
        <v>0</v>
      </c>
    </row>
    <row r="2105">
      <c r="A2105">
        <f>Skills!A6</f>
        <v/>
      </c>
      <c r="B2105">
        <f>Skills!B6</f>
        <v/>
      </c>
      <c r="C2105">
        <f>Inputs!$B$3&gt;=63</f>
        <v/>
      </c>
      <c r="D2105">
        <f>IF(Skills!C6=1,60+Inputs!$B$25+Inputs!$B$29,IF(Skills!C6=2,90+Inputs!$B$26+Inputs!$B$29,IF(Skills!C6=3,120+Inputs!$B$27+Inputs!$B$29,MAX(0,(Inputs!$B$3-100)*3)+Inputs!$B$28+Inputs!$B$29)))</f>
        <v/>
      </c>
      <c r="E2105">
        <f>INDEX(FactorTable!$B$2:$Y$301, MATCH(ROUND(MIN(300,MAX(1,D2105)),0), FactorTable!$A$2:$A$301,0), Skills!M6+1)</f>
        <v/>
      </c>
      <c r="F2105">
        <f>IF(Skills!N6=TRUE,(Skills!L6/10)*(E2105/1000),Skills!L6/10)+Skills!O6</f>
        <v/>
      </c>
      <c r="G2105">
        <f>Skills!G6*IF(Skills!H6&gt;0,Skills!I6/Skills!H6,1)</f>
        <v/>
      </c>
      <c r="H2105">
        <f>1-(1-Skills!J6/100)^Skills!K6</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2111=TRUE,F2111,0)/100)*(1+(IF(Skills!A6="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2119=TRUE)*(F2119-Calc!F20)),(Inputs!$B$23+0+(IF(ArtifactsInput!$M$15,CHOOSE(ArtifactsInput!$N$15+1,25,30,35,40,45,50)/100*(Inputs!$B$11-Inputs!$B$11),0))))/100+(Inputs!$B$23+0+(IF(ArtifactsInput!$M$15,CHOOSE(ArtifactsInput!$N$15+1,25,30,35,40,45,50)/100*(Inputs!$B$11-Inputs!$B$11),0)))/100)/2</f>
        <v/>
      </c>
      <c r="M2105">
        <f>L2105*(1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IF(B2135=0,0,O2105/B2135)</f>
        <v/>
      </c>
      <c r="Q2105">
        <f>IFERROR(1/(IF(Inputs!$B$38="pvp",15,MAX(0.1,Skills!D6-IF(Skills!E6=TRUE,Inputs!$B$32,0)))*(1-IF(AND(ArtifactsInput!$M$27,Inputs!$B$4="Chapter Hunt"),CHOOSE(ArtifactsInput!$N$27+1,20,24,28,32,36,40),0)/100)),0)</f>
        <v/>
      </c>
      <c r="R2105">
        <f>IF(AND(Inputs!$B$38&lt;&gt;"pvp",Inputs!$B$43&gt;0),IF(MAX(0,Inputs!$B$43-B2132)&lt;=0,0,(INT(MAX(0,Inputs!$B$43-B2132)/(IF(Inputs!$B$38="pvp",15,MAX(0.1,Skills!D6-IF(Skills!E6=TRUE,Inputs!$B$32,0)))*(1-IF(AND(ArtifactsInput!$M$27,Inputs!$B$4="Chapter Hunt"),CHOOSE(ArtifactsInput!$N$27+1,20,24,28,32,36,40),0)/100)))+1)),0)</f>
        <v/>
      </c>
      <c r="S2105">
        <f>IFERROR(O2105/N2105,0)</f>
        <v/>
      </c>
      <c r="T2105">
        <f>IF(C2105,(H2105*N2105*IF(AND(Inputs!$B$38&lt;&gt;"pvp",Inputs!$B$43&gt;0),((Skills!G6*((R2105-1)*IF(Skills!H6&gt;0,Skills!I6/Skills!H6,1)+IF(Skills!H6&gt;0,MIN(Skills!I6,MAX(0,MAX(0,Inputs!$B$43-B2132)-((R2105-1)*(IF(Inputs!$B$38="pvp",15,MAX(0.1,Skills!D6-IF(Skills!E6=TRUE,Inputs!$B$32,0)))*(1-IF(AND(ArtifactsInput!$M$27,Inputs!$B$4="Chapter Hunt"),CHOOSE(ArtifactsInput!$N$27+1,20,24,28,32,36,40),0)/100)))))/Skills!H6,1)))/Inputs!$B$43),G2105*Q2105)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6*((R2105-1)*IF(Skills!H6&gt;0,Skills!I6/Skills!H6,1)+IF(Skills!H6&gt;0,MIN(Skills!I6,MAX(0,MAX(0,Inputs!$B$43-B2132)-((R2105-1)*(IF(Inputs!$B$38="pvp",15,MAX(0.1,Skills!D6-IF(Skills!E6=TRUE,Inputs!$B$32,0)))*(1-IF(AND(ArtifactsInput!$M$27,Inputs!$B$4="Chapter Hunt"),CHOOSE(ArtifactsInput!$N$27+1,20,24,28,32,36,40),0)/100)))))/Skills!H6,1)))/Inputs!$B$43),G2105*Q2105))*IF(Inputs!$B$38="pvp",1,(1+(Inputs!$B$21+Skills!Q6+(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Skills!A7</f>
        <v/>
      </c>
      <c r="B2106">
        <f>Skills!B7</f>
        <v/>
      </c>
      <c r="C2106">
        <f>Inputs!$B$3&gt;=100</f>
        <v/>
      </c>
      <c r="D2106">
        <f>IF(Skills!C7=1,60+Inputs!$B$25+Inputs!$B$29,IF(Skills!C7=2,90+Inputs!$B$26+Inputs!$B$29,IF(Skills!C7=3,120+Inputs!$B$27+Inputs!$B$29,MAX(0,(Inputs!$B$3-100)*3)+Inputs!$B$28+Inputs!$B$29)))</f>
        <v/>
      </c>
      <c r="E2106">
        <f>INDEX(FactorTable!$B$2:$Y$301, MATCH(ROUND(MIN(300,MAX(1,D2106)),0), FactorTable!$A$2:$A$301,0), Skills!M7+1)</f>
        <v/>
      </c>
      <c r="F2106">
        <f>IF(Skills!N7=TRUE,(Skills!L7/10)*(E2106/1000),Skills!L7/10)+Skills!O7</f>
        <v/>
      </c>
      <c r="G2106">
        <f>Skills!G7*IF(Skills!H7&gt;0,Skills!I7/Skills!H7,1)</f>
        <v/>
      </c>
      <c r="H2106">
        <f>1-(1-Skills!J7/100)^Skills!K7</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2119=TRUE)*(F2119-Calc!F20)),(Inputs!$B$23+0+(IF(ArtifactsInput!$M$15,CHOOSE(ArtifactsInput!$N$15+1,25,30,35,40,45,50)/100*(Inputs!$B$11-Inputs!$B$11),0))))/100+(Inputs!$B$23+0+(IF(ArtifactsInput!$M$15,CHOOSE(ArtifactsInput!$N$15+1,25,30,35,40,45,50)/100*(Inputs!$B$11-Inputs!$B$11),0)))/100)/2</f>
        <v/>
      </c>
      <c r="M2106">
        <f>L2106*(1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IF(B2135=0,0,O2106/B2135)</f>
        <v/>
      </c>
      <c r="Q2106">
        <f>IFERROR(1/(IF(Inputs!$B$38="pvp",15,MAX(0.1,Skills!D7-IF(Skills!E7=TRUE,Inputs!$B$32,0)))*(1-IF(AND(ArtifactsInput!$M$27,Inputs!$B$4="Chapter Hunt"),CHOOSE(ArtifactsInput!$N$27+1,20,24,28,32,36,40),0)/100)),0)</f>
        <v/>
      </c>
      <c r="R2106">
        <f>IF(AND(Inputs!$B$38&lt;&gt;"pvp",Inputs!$B$43&gt;0),IF(MAX(0,Inputs!$B$43-B2132)&lt;=0,0,(INT(MAX(0,Inputs!$B$43-B2132)/(IF(Inputs!$B$38="pvp",15,MAX(0.1,Skills!D7-IF(Skills!E7=TRUE,Inputs!$B$32,0)))*(1-IF(AND(ArtifactsInput!$M$27,Inputs!$B$4="Chapter Hunt"),CHOOSE(ArtifactsInput!$N$27+1,20,24,28,32,36,40),0)/100)))+1)),0)</f>
        <v/>
      </c>
      <c r="S2106">
        <f>IFERROR(O2106/N2106,0)</f>
        <v/>
      </c>
      <c r="T2106">
        <f>IF(C2106,(H2106*N2106*IF(AND(Inputs!$B$38&lt;&gt;"pvp",Inputs!$B$43&gt;0),((Skills!G7*((R2106-1)*IF(Skills!H7&gt;0,Skills!I7/Skills!H7,1)+IF(Skills!H7&gt;0,MIN(Skills!I7,MAX(0,MAX(0,Inputs!$B$43-B2132)-((R2106-1)*(IF(Inputs!$B$38="pvp",15,MAX(0.1,Skills!D7-IF(Skills!E7=TRUE,Inputs!$B$32,0)))*(1-IF(AND(ArtifactsInput!$M$27,Inputs!$B$4="Chapter Hunt"),CHOOSE(ArtifactsInput!$N$27+1,20,24,28,32,36,40),0)/100)))))/Skills!H7,1)))/Inputs!$B$43),G2106*Q2106)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7*((R2106-1)*IF(Skills!H7&gt;0,Skills!I7/Skills!H7,1)+IF(Skills!H7&gt;0,MIN(Skills!I7,MAX(0,MAX(0,Inputs!$B$43-B2132)-((R2106-1)*(IF(Inputs!$B$38="pvp",15,MAX(0.1,Skills!D7-IF(Skills!E7=TRUE,Inputs!$B$32,0)))*(1-IF(AND(ArtifactsInput!$M$27,Inputs!$B$4="Chapter Hunt"),CHOOSE(ArtifactsInput!$N$27+1,20,24,28,32,36,40),0)/100)))))/Skills!H7,1)))/Inputs!$B$43),G2106*Q2106))*IF(Inputs!$B$38="pvp",1,(1+(Inputs!$B$21+Skills!Q7+(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Skills!A8</f>
        <v/>
      </c>
      <c r="B2107">
        <f>Skills!B8</f>
        <v/>
      </c>
      <c r="C2107">
        <f>Inputs!$B$3&gt;=110</f>
        <v/>
      </c>
      <c r="D2107">
        <f>IF(Skills!C8=1,60+Inputs!$B$25+Inputs!$B$29,IF(Skills!C8=2,90+Inputs!$B$26+Inputs!$B$29,IF(Skills!C8=3,120+Inputs!$B$27+Inputs!$B$29,MAX(0,(Inputs!$B$3-100)*3)+Inputs!$B$28+Inputs!$B$29)))</f>
        <v/>
      </c>
      <c r="E2107">
        <f>INDEX(FactorTable!$B$2:$Y$301, MATCH(ROUND(MIN(300,MAX(1,D2107)),0), FactorTable!$A$2:$A$301,0), Skills!M8+1)</f>
        <v/>
      </c>
      <c r="F2107">
        <f>IF(Skills!N8=TRUE,(Skills!L8/10)*(E2107/1000),Skills!L8/10)+Skills!O8</f>
        <v/>
      </c>
      <c r="G2107">
        <f>Skills!G8*IF(Skills!H8&gt;0,Skills!I8/Skills!H8,1)</f>
        <v/>
      </c>
      <c r="H2107">
        <f>1-(1-Skills!J8/100)^Skills!K8</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2119=TRUE)*(F2119-Calc!F20)),(Inputs!$B$23+0+(IF(ArtifactsInput!$M$15,CHOOSE(ArtifactsInput!$N$15+1,25,30,35,40,45,50)/100*(Inputs!$B$11-Inputs!$B$11),0))))/100+(Inputs!$B$23+0+(IF(ArtifactsInput!$M$15,CHOOSE(ArtifactsInput!$N$15+1,25,30,35,40,45,50)/100*(Inputs!$B$11-Inputs!$B$11),0)))/100)/2</f>
        <v/>
      </c>
      <c r="M2107">
        <f>L2107*(1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IF(B2135=0,0,O2107/B2135)</f>
        <v/>
      </c>
      <c r="Q2107">
        <f>IFERROR(1/(IF(Inputs!$B$38="pvp",15,MAX(0.1,Skills!D8-IF(Skills!E8=TRUE,Inputs!$B$32,0)))*(1-IF(AND(ArtifactsInput!$M$27,Inputs!$B$4="Chapter Hunt"),CHOOSE(ArtifactsInput!$N$27+1,20,24,28,32,36,40),0)/100)),0)</f>
        <v/>
      </c>
      <c r="R2107">
        <f>IF(AND(Inputs!$B$38&lt;&gt;"pvp",Inputs!$B$43&gt;0),IF(MAX(0,Inputs!$B$43-B2132)&lt;=0,0,(INT(MAX(0,Inputs!$B$43-B2132)/(IF(Inputs!$B$38="pvp",15,MAX(0.1,Skills!D8-IF(Skills!E8=TRUE,Inputs!$B$32,0)))*(1-IF(AND(ArtifactsInput!$M$27,Inputs!$B$4="Chapter Hunt"),CHOOSE(ArtifactsInput!$N$27+1,20,24,28,32,36,40),0)/100)))+1)),0)</f>
        <v/>
      </c>
      <c r="S2107">
        <f>IFERROR(O2107/N2107,0)</f>
        <v/>
      </c>
      <c r="T2107">
        <f>IF(C2107,(H2107*N2107*IF(AND(Inputs!$B$38&lt;&gt;"pvp",Inputs!$B$43&gt;0),((Skills!G8*((R2107-1)*IF(Skills!H8&gt;0,Skills!I8/Skills!H8,1)+IF(Skills!H8&gt;0,MIN(Skills!I8,MAX(0,MAX(0,Inputs!$B$43-B2132)-((R2107-1)*(IF(Inputs!$B$38="pvp",15,MAX(0.1,Skills!D8-IF(Skills!E8=TRUE,Inputs!$B$32,0)))*(1-IF(AND(ArtifactsInput!$M$27,Inputs!$B$4="Chapter Hunt"),CHOOSE(ArtifactsInput!$N$27+1,20,24,28,32,36,40),0)/100)))))/Skills!H8,1)))/Inputs!$B$43),G2107*Q2107)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N2107*IF(AND(Inputs!$B$38&lt;&gt;"pvp",Inputs!$B$43&gt;0),((Skills!G8*((R2107-1)*IF(Skills!H8&gt;0,Skills!I8/Skills!H8,1)+IF(Skills!H8&gt;0,MIN(Skills!I8,MAX(0,MAX(0,Inputs!$B$43-B2132)-((R2107-1)*(IF(Inputs!$B$38="pvp",15,MAX(0.1,Skills!D8-IF(Skills!E8=TRUE,Inputs!$B$32,0)))*(1-IF(AND(ArtifactsInput!$M$27,Inputs!$B$4="Chapter Hunt"),CHOOSE(ArtifactsInput!$N$27+1,20,24,28,32,36,40),0)/100)))))/Skills!H8,1)))/Inputs!$B$43),G2107*Q2107))*IF(Inputs!$B$38="pvp",1,(1+(Inputs!$B$21+Skills!Q8+(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Skills!A9</f>
        <v/>
      </c>
      <c r="B2108">
        <f>Skills!B9</f>
        <v/>
      </c>
      <c r="C2108">
        <f>Inputs!$B$3&gt;=110</f>
        <v/>
      </c>
      <c r="D2108">
        <f>IF(Skills!C9=1,60+Inputs!$B$25+Inputs!$B$29,IF(Skills!C9=2,90+Inputs!$B$26+Inputs!$B$29,IF(Skills!C9=3,120+Inputs!$B$27+Inputs!$B$29,MAX(0,(Inputs!$B$3-100)*3)+Inputs!$B$28+Inputs!$B$29)))</f>
        <v/>
      </c>
      <c r="E2108">
        <f>INDEX(FactorTable!$B$2:$Y$301, MATCH(ROUND(MIN(300,MAX(1,D2108)),0), FactorTable!$A$2:$A$301,0), Skills!M9+1)</f>
        <v/>
      </c>
      <c r="F2108">
        <f>IF(Skills!N9=TRUE,(Skills!L9/10)*(E2108/1000),Skills!L9/10)+Skills!O9</f>
        <v/>
      </c>
      <c r="G2108">
        <f>Skills!G9*IF(Skills!H9&gt;0,Skills!I9/Skills!H9,1)</f>
        <v/>
      </c>
      <c r="H2108">
        <f>1-(1-Skills!J9/100)^Skills!K9</f>
        <v/>
      </c>
      <c r="I2108" t="inlineStr">
        <is>
          <t>1</t>
        </is>
      </c>
      <c r="J2108">
        <f>((Inputs!$B$6*(1+Inputs!$B$7/100))+(((Inputs!$B$12*(1+Inputs!$B$13/100))-(Inputs!$B$12*(1+Inputs!$B$13/100)))+0.25*(Inputs!$B$14-Inputs!$B$14))*(1+Inputs!$B$7/100))*(F2108/100)</f>
        <v/>
      </c>
      <c r="K2108">
        <f>J2108*(1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2108)</f>
        <v/>
      </c>
      <c r="L2108">
        <f>K2108*(MIN(Inputs!$B$22+((C2119=TRUE)*(F2119-Calc!F20)),(Inputs!$B$23+0+(IF(ArtifactsInput!$M$15,CHOOSE(ArtifactsInput!$N$15+1,25,30,35,40,45,50)/100*(Inputs!$B$11-Inputs!$B$11),0))))/100+(Inputs!$B$23+0+(IF(ArtifactsInput!$M$15,CHOOSE(ArtifactsInput!$N$15+1,25,30,35,40,45,50)/100*(Inputs!$B$11-Inputs!$B$11),0)))/100)/2</f>
        <v/>
      </c>
      <c r="M2108">
        <f>L2108*(1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8">
        <f>L2108*(1-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2108*(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8">
        <f>(1-Summary!$B$11)*T2108+Summary!$B$11*V2108</f>
        <v/>
      </c>
      <c r="P2108">
        <f>IF(B2135=0,0,O2108/B2135)</f>
        <v/>
      </c>
      <c r="Q2108">
        <f>IFERROR(1/(IF(Inputs!$B$38="pvp",15,MAX(0.1,Skills!D9-IF(Skills!E9=TRUE,Inputs!$B$32,0)))*(1-IF(AND(ArtifactsInput!$M$27,Inputs!$B$4="Chapter Hunt"),CHOOSE(ArtifactsInput!$N$27+1,20,24,28,32,36,40),0)/100)),0)</f>
        <v/>
      </c>
      <c r="R2108">
        <f>IF(AND(Inputs!$B$38&lt;&gt;"pvp",Inputs!$B$43&gt;0),IF(MAX(0,Inputs!$B$43-B2132)&lt;=0,0,(INT(MAX(0,Inputs!$B$43-B2132)/(IF(Inputs!$B$38="pvp",15,MAX(0.1,Skills!D9-IF(Skills!E9=TRUE,Inputs!$B$32,0)))*(1-IF(AND(ArtifactsInput!$M$27,Inputs!$B$4="Chapter Hunt"),CHOOSE(ArtifactsInput!$N$27+1,20,24,28,32,36,40),0)/100)))+1)),0)</f>
        <v/>
      </c>
      <c r="S2108">
        <f>IFERROR(O2108/N2108,0)</f>
        <v/>
      </c>
      <c r="T2108">
        <f>IF(C2108,(H2108*N2108*IF(AND(Inputs!$B$38&lt;&gt;"pvp",Inputs!$B$43&gt;0),((Skills!G9*((R2108-1)*IF(Skills!H9&gt;0,Skills!I9/Skills!H9,1)+IF(Skills!H9&gt;0,MIN(Skills!I9,MAX(0,MAX(0,Inputs!$B$43-B2132)-((R2108-1)*(IF(Inputs!$B$38="pvp",15,MAX(0.1,Skills!D9-IF(Skills!E9=TRUE,Inputs!$B$32,0)))*(1-IF(AND(ArtifactsInput!$M$27,Inputs!$B$4="Chapter Hunt"),CHOOSE(ArtifactsInput!$N$27+1,20,24,28,32,36,40),0)/100)))))/Skills!H9,1)))/Inputs!$B$43),G2108*Q2108)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2108*(1-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2108*(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2108*(1-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2108*(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8">
        <f>IF(C2108,(H2108*N2108*IF(AND(Inputs!$B$38&lt;&gt;"pvp",Inputs!$B$43&gt;0),((Skills!G9*((R2108-1)*IF(Skills!H9&gt;0,Skills!I9/Skills!H9,1)+IF(Skills!H9&gt;0,MIN(Skills!I9,MAX(0,MAX(0,Inputs!$B$43-B2132)-((R2108-1)*(IF(Inputs!$B$38="pvp",15,MAX(0.1,Skills!D9-IF(Skills!E9=TRUE,Inputs!$B$32,0)))*(1-IF(AND(ArtifactsInput!$M$27,Inputs!$B$4="Chapter Hunt"),CHOOSE(ArtifactsInput!$N$27+1,20,24,28,32,36,40),0)/100)))))/Skills!H9,1)))/Inputs!$B$43),G2108*Q2108))*IF(Inputs!$B$38="pvp",1,(1+(Inputs!$B$21+Skills!Q9+(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9">
      <c r="A2109">
        <f>Skills!A10</f>
        <v/>
      </c>
      <c r="B2109">
        <f>Skills!B10</f>
        <v/>
      </c>
      <c r="C2109">
        <f>Inputs!$B$3&gt;=103</f>
        <v/>
      </c>
      <c r="D2109">
        <f>IF(Skills!C10=1,60+Inputs!$B$25+Inputs!$B$29,IF(Skills!C10=2,90+Inputs!$B$26+Inputs!$B$29,IF(Skills!C10=3,120+Inputs!$B$27+Inputs!$B$29,MAX(0,(Inputs!$B$3-100)*3)+Inputs!$B$28+Inputs!$B$29)))</f>
        <v/>
      </c>
      <c r="E2109">
        <f>INDEX(FactorTable!$B$2:$Y$301, MATCH(ROUND(MIN(300,MAX(1,D2109)),0), FactorTable!$A$2:$A$301,0), Skills!M10+1)</f>
        <v/>
      </c>
      <c r="F2109">
        <f>IF(Skills!N10=TRUE,(Skills!L10/10)*(E2109/1000),Skills!L10/10)+Skills!O10</f>
        <v/>
      </c>
      <c r="G2109">
        <f>Skills!G10*IF(Skills!H10&gt;0,Skills!I10/Skills!H10,1)</f>
        <v/>
      </c>
      <c r="H2109">
        <f>1-(1-Skills!J10/100)^Skills!K10</f>
        <v/>
      </c>
      <c r="I2109" t="inlineStr">
        <is>
          <t>1</t>
        </is>
      </c>
      <c r="J2109">
        <f>((Inputs!$B$6*(1+Inputs!$B$7/100))+(((Inputs!$B$12*(1+Inputs!$B$13/100))-(Inputs!$B$12*(1+Inputs!$B$13/100)))+0.25*(Inputs!$B$14-Inputs!$B$14))*(1+Inputs!$B$7/100))*(F2109/100)</f>
        <v/>
      </c>
      <c r="K2109">
        <f>J2109*(1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2109)</f>
        <v/>
      </c>
      <c r="L2109">
        <f>K2109*(MIN(Inputs!$B$22+((C2119=TRUE)*(F2119-Calc!F20)),(Inputs!$B$23+0+(IF(ArtifactsInput!$M$15,CHOOSE(ArtifactsInput!$N$15+1,25,30,35,40,45,50)/100*(Inputs!$B$11-Inputs!$B$11),0))))/100+(Inputs!$B$23+0+(IF(ArtifactsInput!$M$15,CHOOSE(ArtifactsInput!$N$15+1,25,30,35,40,45,50)/100*(Inputs!$B$11-Inputs!$B$11),0)))/100)/2</f>
        <v/>
      </c>
      <c r="M2109">
        <f>L2109*(1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9">
        <f>L2109*(1-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2109*(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9">
        <f>(1-Summary!$B$11)*T2109+Summary!$B$11*V2109</f>
        <v/>
      </c>
      <c r="P2109">
        <f>IF(B2135=0,0,O2109/B2135)</f>
        <v/>
      </c>
      <c r="Q2109">
        <f>IFERROR(1/(IF(Inputs!$B$38="pvp",15,MAX(0.1,Skills!D10-IF(Skills!E10=TRUE,Inputs!$B$32,0)))*(1-IF(AND(ArtifactsInput!$M$27,Inputs!$B$4="Chapter Hunt"),CHOOSE(ArtifactsInput!$N$27+1,20,24,28,32,36,40),0)/100)),0)</f>
        <v/>
      </c>
      <c r="R2109">
        <f>IF(AND(Inputs!$B$38&lt;&gt;"pvp",Inputs!$B$43&gt;0),IF(MAX(0,Inputs!$B$43-B2132)&lt;=0,0,(INT(MAX(0,Inputs!$B$43-B2132)/(IF(Inputs!$B$38="pvp",15,MAX(0.1,Skills!D10-IF(Skills!E10=TRUE,Inputs!$B$32,0)))*(1-IF(AND(ArtifactsInput!$M$27,Inputs!$B$4="Chapter Hunt"),CHOOSE(ArtifactsInput!$N$27+1,20,24,28,32,36,40),0)/100)))+1)),0)</f>
        <v/>
      </c>
      <c r="S2109">
        <f>IFERROR(O2109/N2109,0)</f>
        <v/>
      </c>
      <c r="T2109">
        <f>IF(C2109,(H2109*N2109*IF(AND(Inputs!$B$38&lt;&gt;"pvp",Inputs!$B$43&gt;0),((Skills!G10*((R2109-1)*IF(Skills!H10&gt;0,Skills!I10/Skills!H10,1)+IF(Skills!H10&gt;0,MIN(Skills!I10,MAX(0,MAX(0,Inputs!$B$43-B2132)-((R2109-1)*(IF(Inputs!$B$38="pvp",15,MAX(0.1,Skills!D10-IF(Skills!E10=TRUE,Inputs!$B$32,0)))*(1-IF(AND(ArtifactsInput!$M$27,Inputs!$B$4="Chapter Hunt"),CHOOSE(ArtifactsInput!$N$27+1,20,24,28,32,36,40),0)/100)))))/Skills!H10,1)))/Inputs!$B$43),G2109*Q2109)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2109*(1-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2109*(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2109*(1-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2109*(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9">
        <f>IF(C2109,(H2109*N2109*IF(AND(Inputs!$B$38&lt;&gt;"pvp",Inputs!$B$43&gt;0),((Skills!G10*((R2109-1)*IF(Skills!H10&gt;0,Skills!I10/Skills!H10,1)+IF(Skills!H10&gt;0,MIN(Skills!I10,MAX(0,MAX(0,Inputs!$B$43-B2132)-((R2109-1)*(IF(Inputs!$B$38="pvp",15,MAX(0.1,Skills!D10-IF(Skills!E10=TRUE,Inputs!$B$32,0)))*(1-IF(AND(ArtifactsInput!$M$27,Inputs!$B$4="Chapter Hunt"),CHOOSE(ArtifactsInput!$N$27+1,20,24,28,32,36,40),0)/100)))))/Skills!H10,1)))/Inputs!$B$43),G2109*Q2109))*IF(Inputs!$B$38="pvp",1,(1+(Inputs!$B$21+Skills!Q10+(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0">
      <c r="A2110">
        <f>Skills!A11</f>
        <v/>
      </c>
      <c r="B2110">
        <f>Skills!B11</f>
        <v/>
      </c>
      <c r="C2110">
        <f>Inputs!$B$3&gt;=113</f>
        <v/>
      </c>
      <c r="D2110">
        <f>IF(Skills!C11=1,60+Inputs!$B$25+Inputs!$B$29,IF(Skills!C11=2,90+Inputs!$B$26+Inputs!$B$29,IF(Skills!C11=3,120+Inputs!$B$27+Inputs!$B$29,MAX(0,(Inputs!$B$3-100)*3)+Inputs!$B$28+Inputs!$B$29)))</f>
        <v/>
      </c>
      <c r="E2110">
        <f>INDEX(FactorTable!$B$2:$Y$301, MATCH(ROUND(MIN(300,MAX(1,D2110)),0), FactorTable!$A$2:$A$301,0), Skills!M11+1)</f>
        <v/>
      </c>
      <c r="F2110">
        <f>IF(Skills!N11=TRUE,(Skills!L11/10)*(E2110/1000),Skills!L11/10)+Skills!O11</f>
        <v/>
      </c>
      <c r="G2110">
        <f>Skills!G11*IF(Skills!H11&gt;0,Skills!I11/Skills!H11,1)</f>
        <v/>
      </c>
      <c r="H2110">
        <f>1-(1-Skills!J11/100)^Skills!K11</f>
        <v/>
      </c>
      <c r="I2110" t="inlineStr">
        <is>
          <t>1</t>
        </is>
      </c>
      <c r="J2110">
        <f>((Inputs!$B$6*(1+Inputs!$B$7/100))+(((Inputs!$B$12*(1+Inputs!$B$13/100))-(Inputs!$B$12*(1+Inputs!$B$13/100)))+0.25*(Inputs!$B$14-Inputs!$B$14))*(1+Inputs!$B$7/100))*(F2110/100)</f>
        <v/>
      </c>
      <c r="K2110">
        <f>J2110*(1+((Inputs!$B$12*(1+Inputs!$B$13/100))*0.01+Inputs!$B$14*0.0025)/100)*(1+Inputs!$B$15/100)*(1+Inputs!$B$16/100)*(5000/(6000+Inputs!$B$42*(1-(100*(1-(1-(Inputs!$B$19+0)/100)*(1-CHOOSE(ArtifactsInput!$N$40+1,5,6,7,8,9,10)/100)^(ArtifactsInput!$M$40-ArtifactsInput!$M$40)))/100)))*(1+(Inputs!$B$24+((C2121=TRUE)*(F2121-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2120=TRUE)*(F2120-Calc!F21))+(((IF(AND(ArtifactsInput!$M$42,((Inputs!$B$9+((C2115=TRUE)*(F2115-Calc!F16))+B2125+(ArtifactsInput!$M$24-ArtifactsInput!$M$24)*CHOOSE(ArtifactsInput!$N$24+1,10,12,14,16,18,20)+IF(ArtifactsInput!$M$10,CHOOSE(ArtifactsInput!$N$10+1,15,18,21,24,27,30)*(IF(Inputs!$B$38="pvp",MIN(15,15)/15,IF(AND(Inputs!$B$38&lt;&gt;"pvp",Inputs!$B$43&gt;0),MIN(15,Inputs!$B$43)/(Inputs!$B$43),0))),0)))&gt;=100),MIN(100,((Inputs!$B$9+((C2115=TRUE)*(F2115-Calc!F16))+B2125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2115=TRUE)*(F2115-Calc!F16))+B2125+(ArtifactsInput!$M$24-ArtifactsInput!$M$24)*CHOOSE(ArtifactsInput!$N$24+1,10,12,14,16,18,20)+IF(ArtifactsInput!$M$10,CHOOSE(ArtifactsInput!$N$10+1,15,18,21,24,27,30)*(IF(Inputs!$B$38="pvp",MIN(15,15)/15,IF(AND(Inputs!$B$38&lt;&gt;"pvp",Inputs!$B$43&gt;0),MIN(15,Inputs!$B$43)/(Inputs!$B$43),0))),0)))&gt;=100),CHOOSE(ArtifactsInput!$N$42+1,40,48,56,64,72,80),0))))/100)*((1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2110)</f>
        <v/>
      </c>
      <c r="L2110">
        <f>K2110*(MIN(Inputs!$B$22+((C2119=TRUE)*(F2119-Calc!F20)),(Inputs!$B$23+0+(IF(ArtifactsInput!$M$15,CHOOSE(ArtifactsInput!$N$15+1,25,30,35,40,45,50)/100*(Inputs!$B$11-Inputs!$B$11),0))))/100+(Inputs!$B$23+0+(IF(ArtifactsInput!$M$15,CHOOSE(ArtifactsInput!$N$15+1,25,30,35,40,45,50)/100*(Inputs!$B$11-Inputs!$B$11),0)))/100)/2</f>
        <v/>
      </c>
      <c r="M2110">
        <f>L2110*(1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10">
        <f>L2110*(1-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2110*(MIN((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10">
        <f>(1-Summary!$B$11)*T2110+Summary!$B$11*V2110</f>
        <v/>
      </c>
      <c r="P2110">
        <f>IF(B2135=0,0,O2110/B2135)</f>
        <v/>
      </c>
      <c r="Q2110">
        <f>IFERROR(1/(IF(Inputs!$B$38="pvp",15,MAX(0.1,Skills!D11-IF(Skills!E11=TRUE,Inputs!$B$32,0)))*(1-IF(AND(ArtifactsInput!$M$27,Inputs!$B$4="Chapter Hunt"),CHOOSE(ArtifactsInput!$N$27+1,20,24,28,32,36,40),0)/100)),0)</f>
        <v/>
      </c>
      <c r="R2110">
        <f>IF(AND(Inputs!$B$38&lt;&gt;"pvp",Inputs!$B$43&gt;0),IF(MAX(0,Inputs!$B$43-B2132)&lt;=0,0,(INT(MAX(0,Inputs!$B$43-B2132)/(IF(Inputs!$B$38="pvp",15,MAX(0.1,Skills!D11-IF(Skills!E11=TRUE,Inputs!$B$32,0)))*(1-IF(AND(ArtifactsInput!$M$27,Inputs!$B$4="Chapter Hunt"),CHOOSE(ArtifactsInput!$N$27+1,20,24,28,32,36,40),0)/100)))+1)),0)</f>
        <v/>
      </c>
      <c r="S2110">
        <f>IFERROR(O2110/N2110,0)</f>
        <v/>
      </c>
      <c r="T2110">
        <f>IF(C2110,(H2110*N2110*IF(AND(Inputs!$B$38&lt;&gt;"pvp",Inputs!$B$43&gt;0),((Skills!G11*((R2110-1)*IF(Skills!H11&gt;0,Skills!I11/Skills!H11,1)+IF(Skills!H11&gt;0,MIN(Skills!I11,MAX(0,MAX(0,Inputs!$B$43-B2132)-((R2110-1)*(IF(Inputs!$B$38="pvp",15,MAX(0.1,Skills!D11-IF(Skills!E11=TRUE,Inputs!$B$32,0)))*(1-IF(AND(ArtifactsInput!$M$27,Inputs!$B$4="Chapter Hunt"),CHOOSE(ArtifactsInput!$N$27+1,20,24,28,32,36,40),0)/100)))))/Skills!H11,1)))/Inputs!$B$43),G2110*Q2110)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2110*(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2110*(1-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2110*(MIN(100,(Inputs!$B$9+((C2115=TRUE)*(F2115-Calc!F16))+B2125+(ArtifactsInput!$M$24-ArtifactsInput!$M$24)*CHOOSE(ArtifactsInput!$N$24+1,10,12,14,16,18,20)+(IF(AND(ArtifactsInput!$M$42,((Inputs!$B$9+((C2115=TRUE)*(F2115-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10">
        <f>IF(C2110,(H2110*N2110*IF(AND(Inputs!$B$38&lt;&gt;"pvp",Inputs!$B$43&gt;0),((Skills!G11*((R2110-1)*IF(Skills!H11&gt;0,Skills!I11/Skills!H11,1)+IF(Skills!H11&gt;0,MIN(Skills!I11,MAX(0,MAX(0,Inputs!$B$43-B2132)-((R2110-1)*(IF(Inputs!$B$38="pvp",15,MAX(0.1,Skills!D11-IF(Skills!E11=TRUE,Inputs!$B$32,0)))*(1-IF(AND(ArtifactsInput!$M$27,Inputs!$B$4="Chapter Hunt"),CHOOSE(ArtifactsInput!$N$27+1,20,24,28,32,36,40),0)/100)))))/Skills!H11,1)))/Inputs!$B$43),G2110*Q2110))*IF(Inputs!$B$38="pvp",1,(1+(Inputs!$B$21+Skills!Q11+(IF(IF(ArtifactsInput!$M$33,FALSE,TRUE),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1">
      <c r="A2111">
        <f>Skills!A12</f>
        <v/>
      </c>
      <c r="B2111">
        <f>Skills!B12</f>
        <v/>
      </c>
      <c r="C2111">
        <f>Inputs!$B$3&gt;=100</f>
        <v/>
      </c>
      <c r="D2111">
        <f>IF(Skills!C12=1,60+Inputs!$B$25+Inputs!$B$29,IF(Skills!C12=2,90+Inputs!$B$26+Inputs!$B$29,IF(Skills!C12=3,120+Inputs!$B$27+Inputs!$B$29,MAX(0,(Inputs!$B$3-100)*3)+Inputs!$B$28+Inputs!$B$29)))</f>
        <v/>
      </c>
      <c r="E2111">
        <f>INDEX(FactorTable!$B$2:$Y$301, MATCH(ROUND(MIN(300,MAX(1,D2111)),0), FactorTable!$A$2:$A$301,0), Skills!M12+1)</f>
        <v/>
      </c>
      <c r="F2111">
        <f>IF(Skills!N12=TRUE,(Skills!L12/10)*(E2111/1000),Skills!L12/10)+Skills!O12</f>
        <v/>
      </c>
      <c r="G2111" t="inlineStr"/>
      <c r="H2111" t="inlineStr"/>
      <c r="I2111" t="inlineStr">
        <is>
          <t>1</t>
        </is>
      </c>
      <c r="J2111" t="inlineStr"/>
      <c r="K2111" t="inlineStr"/>
      <c r="L2111" t="inlineStr"/>
      <c r="M2111" t="inlineStr"/>
      <c r="N2111" t="inlineStr"/>
      <c r="O2111" t="inlineStr"/>
      <c r="P2111" t="inlineStr"/>
      <c r="Q2111" t="inlineStr"/>
      <c r="R2111" t="inlineStr"/>
      <c r="S2111" t="inlineStr"/>
      <c r="T2111" t="inlineStr"/>
      <c r="V2111" t="inlineStr"/>
    </row>
    <row r="2112">
      <c r="A2112">
        <f>Skills!A13</f>
        <v/>
      </c>
      <c r="B2112">
        <f>Skills!B13</f>
        <v/>
      </c>
      <c r="C2112">
        <f>Inputs!$B$3&gt;=66</f>
        <v/>
      </c>
      <c r="D2112">
        <f>IF(Skills!C13=1,60+Inputs!$B$25+Inputs!$B$29,IF(Skills!C13=2,90+Inputs!$B$26+Inputs!$B$29,IF(Skills!C13=3,120+Inputs!$B$27+Inputs!$B$29,MAX(0,(Inputs!$B$3-100)*3)+Inputs!$B$28+Inputs!$B$29)))</f>
        <v/>
      </c>
      <c r="E2112">
        <f>INDEX(FactorTable!$B$2:$Y$301, MATCH(ROUND(MIN(300,MAX(1,D2112)),0), FactorTable!$A$2:$A$301,0), Skills!M13+1)</f>
        <v/>
      </c>
      <c r="F2112">
        <f>IF(Skills!N13=TRUE,(Skills!L13/10)*(E2112/1000),Skills!L13/10)+Skills!O13</f>
        <v/>
      </c>
      <c r="G2112">
        <f>Skills!G13*IF(Skills!H13&gt;0,Skills!I13/Skills!H13,1)</f>
        <v/>
      </c>
      <c r="H2112">
        <f>1-(1-Skills!J13/100)^Skills!K13</f>
        <v/>
      </c>
      <c r="I2112" t="inlineStr">
        <is>
          <t>1</t>
        </is>
      </c>
      <c r="J2112" t="inlineStr"/>
      <c r="K2112" t="inlineStr"/>
      <c r="L2112" t="inlineStr"/>
      <c r="M2112" t="inlineStr"/>
      <c r="N2112" t="inlineStr"/>
      <c r="O2112">
        <f>(1-Summary!$B$11)*T2112+Summary!$B$11*V2112</f>
        <v/>
      </c>
      <c r="P2112">
        <f>IF(B2135=0,0,O2112/B2135)</f>
        <v/>
      </c>
      <c r="Q2112" t="n">
        <v>0</v>
      </c>
      <c r="R2112" t="n">
        <v>0</v>
      </c>
      <c r="S2112">
        <f>IFERROR(O2112/N2112,0)</f>
        <v/>
      </c>
      <c r="T2112" t="n">
        <v>0</v>
      </c>
      <c r="V2112" t="n">
        <v>0</v>
      </c>
    </row>
    <row r="2113">
      <c r="A2113">
        <f>Skills!A14</f>
        <v/>
      </c>
      <c r="B2113">
        <f>Skills!B14</f>
        <v/>
      </c>
      <c r="C2113">
        <f>Inputs!$B$3&gt;=107</f>
        <v/>
      </c>
      <c r="D2113">
        <f>IF(Skills!C14=1,60+Inputs!$B$25+Inputs!$B$29,IF(Skills!C14=2,90+Inputs!$B$26+Inputs!$B$29,IF(Skills!C14=3,120+Inputs!$B$27+Inputs!$B$29,MAX(0,(Inputs!$B$3-100)*3)+Inputs!$B$28+Inputs!$B$29)))</f>
        <v/>
      </c>
      <c r="E2113">
        <f>INDEX(FactorTable!$B$2:$Y$301, MATCH(ROUND(MIN(300,MAX(1,D2113)),0), FactorTable!$A$2:$A$301,0), Skills!M14+1)</f>
        <v/>
      </c>
      <c r="F2113">
        <f>IF(Skills!N14=TRUE,(Skills!L14/10)*(E2113/1000),Skills!L14/10)+Skills!O14</f>
        <v/>
      </c>
      <c r="G2113">
        <f>Skills!G14*IF(Skills!H14&gt;0,Skills!I14/Skills!H14,1)</f>
        <v/>
      </c>
      <c r="H2113">
        <f>1-(1-Skills!J14/100)^Skills!K14</f>
        <v/>
      </c>
      <c r="I2113" t="inlineStr">
        <is>
          <t>1</t>
        </is>
      </c>
      <c r="J2113" t="inlineStr"/>
      <c r="K2113" t="inlineStr"/>
      <c r="L2113" t="inlineStr"/>
      <c r="M2113" t="inlineStr"/>
      <c r="N2113" t="inlineStr"/>
      <c r="O2113">
        <f>(1-Summary!$B$11)*T2113+Summary!$B$11*V2113</f>
        <v/>
      </c>
      <c r="P2113">
        <f>IF(B2135=0,0,O2113/B2135)</f>
        <v/>
      </c>
      <c r="Q2113">
        <f>IFERROR(1/(IF(Inputs!$B$38="pvp",15,MAX(0.1,Skills!D14-IF(Skills!E14=TRUE,Inputs!$B$32,0)))*(1-IF(AND(ArtifactsInput!$M$27,Inputs!$B$4="Chapter Hunt"),CHOOSE(ArtifactsInput!$N$27+1,20,24,28,32,36,40),0)/100)),0)</f>
        <v/>
      </c>
      <c r="R2113">
        <f>IF(AND(Inputs!$B$38&lt;&gt;"pvp",Inputs!$B$43&gt;0),IF(Inputs!$B$43&lt;=0,0,(INT(Inputs!$B$43/(IF(Inputs!$B$38="pvp",15,MAX(0.1,Skills!D14-IF(Skills!E14=TRUE,Inputs!$B$32,0)))*(1-IF(AND(ArtifactsInput!$M$27,Inputs!$B$4="Chapter Hunt"),CHOOSE(ArtifactsInput!$N$27+1,20,24,28,32,36,40),0)/100)))+1)),0)</f>
        <v/>
      </c>
      <c r="S2113">
        <f>IFERROR(O2113/N2113,0)</f>
        <v/>
      </c>
      <c r="T2113" t="n">
        <v>0</v>
      </c>
      <c r="V2113" t="n">
        <v>0</v>
      </c>
    </row>
    <row r="2114">
      <c r="A2114">
        <f>Skills!A15</f>
        <v/>
      </c>
      <c r="B2114">
        <f>Skills!B15</f>
        <v/>
      </c>
      <c r="C2114">
        <f>Inputs!$B$3&gt;=115</f>
        <v/>
      </c>
      <c r="D2114">
        <f>IF(Skills!C15=1,60+Inputs!$B$25+Inputs!$B$29,IF(Skills!C15=2,90+Inputs!$B$26+Inputs!$B$29,IF(Skills!C15=3,120+Inputs!$B$27+Inputs!$B$29,MAX(0,(Inputs!$B$3-100)*3)+Inputs!$B$28+Inputs!$B$29)))</f>
        <v/>
      </c>
      <c r="E2114">
        <f>INDEX(FactorTable!$B$2:$Y$301, MATCH(ROUND(MIN(300,MAX(1,D2114)),0), FactorTable!$A$2:$A$301,0), Skills!M15+1)</f>
        <v/>
      </c>
      <c r="F2114">
        <f>IF(Skills!N15=TRUE,(Skills!L15/10)*(E2114/1000),Skills!L15/10)+Skills!O15</f>
        <v/>
      </c>
      <c r="G2114">
        <f>Skills!G15*IF(Skills!H15&gt;0,Skills!I15/Skills!H15,1)</f>
        <v/>
      </c>
      <c r="H2114">
        <f>1-(1-Skills!J15/100)^Skills!K15</f>
        <v/>
      </c>
      <c r="I2114" t="inlineStr">
        <is>
          <t>1</t>
        </is>
      </c>
      <c r="J2114" t="inlineStr"/>
      <c r="K2114" t="inlineStr"/>
      <c r="L2114" t="inlineStr"/>
      <c r="M2114" t="inlineStr"/>
      <c r="N2114" t="inlineStr"/>
      <c r="O2114">
        <f>(1-Summary!$B$11)*T2114+Summary!$B$11*V2114</f>
        <v/>
      </c>
      <c r="P2114">
        <f>IF(B2135=0,0,O2114/B2135)</f>
        <v/>
      </c>
      <c r="Q2114">
        <f>IFERROR(1/(IF(Inputs!$B$38="pvp",15,MAX(0.1,Skills!D15-IF(Skills!E15=TRUE,Inputs!$B$32,0)))*(1-IF(AND(ArtifactsInput!$M$27,Inputs!$B$4="Chapter Hunt"),CHOOSE(ArtifactsInput!$N$27+1,20,24,28,32,36,40),0)/100)),0)</f>
        <v/>
      </c>
      <c r="R2114">
        <f>IF(AND(Inputs!$B$38&lt;&gt;"pvp",Inputs!$B$43&gt;0),IF(Inputs!$B$43&lt;=0,0,(INT(Inputs!$B$43/(IF(Inputs!$B$38="pvp",15,MAX(0.1,Skills!D15-IF(Skills!E15=TRUE,Inputs!$B$32,0)))*(1-IF(AND(ArtifactsInput!$M$27,Inputs!$B$4="Chapter Hunt"),CHOOSE(ArtifactsInput!$N$27+1,20,24,28,32,36,40),0)/100)))+1)),0)</f>
        <v/>
      </c>
      <c r="S2114">
        <f>IFERROR(O2114/N2114,0)</f>
        <v/>
      </c>
      <c r="T2114" t="n">
        <v>0</v>
      </c>
      <c r="V2114" t="n">
        <v>0</v>
      </c>
    </row>
    <row r="2115">
      <c r="A2115">
        <f>Skills!A16</f>
        <v/>
      </c>
      <c r="B2115">
        <f>Skills!B16</f>
        <v/>
      </c>
      <c r="C2115">
        <f>Inputs!$B$3&gt;=15</f>
        <v/>
      </c>
      <c r="D2115">
        <f>IF(Skills!C16=1,60+Inputs!$B$25+Inputs!$B$29,IF(Skills!C16=2,90+Inputs!$B$26+Inputs!$B$29,IF(Skills!C16=3,120+Inputs!$B$27+Inputs!$B$29,MAX(0,(Inputs!$B$3-100)*3)+Inputs!$B$28+Inputs!$B$29)))</f>
        <v/>
      </c>
      <c r="E2115">
        <f>INDEX(FactorTable!$B$2:$Y$301, MATCH(ROUND(MIN(300,MAX(1,D2115)),0), FactorTable!$A$2:$A$301,0), Skills!M16+1)</f>
        <v/>
      </c>
      <c r="F2115">
        <f>IF(Skills!N16=TRUE,(Skills!L16/10)*(E2115/1000),Skills!L16/10)+Skills!O16</f>
        <v/>
      </c>
      <c r="G2115">
        <f>Skills!G16*IF(Skills!H16&gt;0,Skills!I16/Skills!H16,1)</f>
        <v/>
      </c>
      <c r="H2115">
        <f>1-(1-Skills!J16/100)^Skills!K16</f>
        <v/>
      </c>
      <c r="I2115" t="inlineStr">
        <is>
          <t>1</t>
        </is>
      </c>
      <c r="J2115" t="inlineStr"/>
      <c r="K2115" t="inlineStr"/>
      <c r="L2115" t="inlineStr"/>
      <c r="M2115" t="inlineStr"/>
      <c r="N2115" t="inlineStr"/>
      <c r="O2115">
        <f>(1-Summary!$B$11)*T2115+Summary!$B$11*V2115</f>
        <v/>
      </c>
      <c r="P2115">
        <f>IF(B2135=0,0,O2115/B2135)</f>
        <v/>
      </c>
      <c r="Q2115" t="n">
        <v>0</v>
      </c>
      <c r="R2115" t="n">
        <v>0</v>
      </c>
      <c r="S2115">
        <f>IFERROR(O2115/N2115,0)</f>
        <v/>
      </c>
      <c r="T2115" t="n">
        <v>0</v>
      </c>
      <c r="V2115" t="n">
        <v>0</v>
      </c>
    </row>
    <row r="2116">
      <c r="A2116">
        <f>Skills!A17</f>
        <v/>
      </c>
      <c r="B2116">
        <f>Skills!B17</f>
        <v/>
      </c>
      <c r="C2116">
        <f>Inputs!$B$3&gt;=10</f>
        <v/>
      </c>
      <c r="D2116">
        <f>IF(Skills!C17=1,60+Inputs!$B$25+Inputs!$B$29,IF(Skills!C17=2,90+Inputs!$B$26+Inputs!$B$29,IF(Skills!C17=3,120+Inputs!$B$27+Inputs!$B$29,MAX(0,(Inputs!$B$3-100)*3)+Inputs!$B$28+Inputs!$B$29)))</f>
        <v/>
      </c>
      <c r="E2116">
        <f>INDEX(FactorTable!$B$2:$Y$301, MATCH(ROUND(MIN(300,MAX(1,D2116)),0), FactorTable!$A$2:$A$301,0), Skills!M17+1)</f>
        <v/>
      </c>
      <c r="F2116">
        <f>IF(Skills!N17=TRUE,(Skills!L17/10)*(E2116/1000),Skills!L17/10)+Skills!O17</f>
        <v/>
      </c>
      <c r="G2116">
        <f>Skills!G17*IF(Skills!H17&gt;0,Skills!I17/Skills!H17,1)</f>
        <v/>
      </c>
      <c r="H2116">
        <f>1-(1-Skills!J17/100)^Skills!K17</f>
        <v/>
      </c>
      <c r="I2116" t="inlineStr">
        <is>
          <t>1</t>
        </is>
      </c>
      <c r="J2116" t="inlineStr"/>
      <c r="K2116" t="inlineStr"/>
      <c r="L2116" t="inlineStr"/>
      <c r="M2116" t="inlineStr"/>
      <c r="N2116" t="inlineStr"/>
      <c r="O2116">
        <f>(1-Summary!$B$11)*T2116+Summary!$B$11*V2116</f>
        <v/>
      </c>
      <c r="P2116">
        <f>IF(B2135=0,0,O2116/B2135)</f>
        <v/>
      </c>
      <c r="Q2116" t="n">
        <v>0</v>
      </c>
      <c r="R2116" t="n">
        <v>0</v>
      </c>
      <c r="S2116">
        <f>IFERROR(O2116/N2116,0)</f>
        <v/>
      </c>
      <c r="T2116" t="n">
        <v>0</v>
      </c>
      <c r="V2116" t="n">
        <v>0</v>
      </c>
    </row>
    <row r="2117">
      <c r="A2117">
        <f>Skills!A18</f>
        <v/>
      </c>
      <c r="B2117">
        <f>Skills!B18</f>
        <v/>
      </c>
      <c r="C2117">
        <f>Inputs!$B$3&gt;=33</f>
        <v/>
      </c>
      <c r="D2117">
        <f>IF(Skills!C18=1,60+Inputs!$B$25+Inputs!$B$29,IF(Skills!C18=2,90+Inputs!$B$26+Inputs!$B$29,IF(Skills!C18=3,120+Inputs!$B$27+Inputs!$B$29,MAX(0,(Inputs!$B$3-100)*3)+Inputs!$B$28+Inputs!$B$29)))</f>
        <v/>
      </c>
      <c r="E2117">
        <f>INDEX(FactorTable!$B$2:$Y$301, MATCH(ROUND(MIN(300,MAX(1,D2117)),0), FactorTable!$A$2:$A$301,0), Skills!M18+1)</f>
        <v/>
      </c>
      <c r="F2117">
        <f>IF(Skills!N18=TRUE,(Skills!L18/10)*(E2117/1000),Skills!L18/10)+Skills!O18</f>
        <v/>
      </c>
      <c r="G2117">
        <f>Skills!G18*IF(Skills!H18&gt;0,Skills!I18/Skills!H18,1)</f>
        <v/>
      </c>
      <c r="H2117">
        <f>1-(1-Skills!J18/100)^Skills!K18</f>
        <v/>
      </c>
      <c r="I2117" t="inlineStr">
        <is>
          <t>1</t>
        </is>
      </c>
      <c r="J2117" t="inlineStr"/>
      <c r="K2117" t="inlineStr"/>
      <c r="L2117" t="inlineStr"/>
      <c r="M2117" t="inlineStr"/>
      <c r="N2117" t="inlineStr"/>
      <c r="O2117">
        <f>(1-Summary!$B$11)*T2117+Summary!$B$11*V2117</f>
        <v/>
      </c>
      <c r="P2117">
        <f>IF(B2135=0,0,O2117/B2135)</f>
        <v/>
      </c>
      <c r="Q2117" t="n">
        <v>0</v>
      </c>
      <c r="R2117" t="n">
        <v>0</v>
      </c>
      <c r="S2117">
        <f>IFERROR(O2117/N2117,0)</f>
        <v/>
      </c>
      <c r="T2117" t="n">
        <v>0</v>
      </c>
      <c r="V2117" t="n">
        <v>0</v>
      </c>
    </row>
    <row r="2118">
      <c r="A2118">
        <f>Skills!A19</f>
        <v/>
      </c>
      <c r="B2118">
        <f>Skills!B19</f>
        <v/>
      </c>
      <c r="C2118">
        <f>Inputs!$B$3&gt;=40</f>
        <v/>
      </c>
      <c r="D2118">
        <f>IF(Skills!C19=1,60+Inputs!$B$25+Inputs!$B$29,IF(Skills!C19=2,90+Inputs!$B$26+Inputs!$B$29,IF(Skills!C19=3,120+Inputs!$B$27+Inputs!$B$29,MAX(0,(Inputs!$B$3-100)*3)+Inputs!$B$28+Inputs!$B$29)))</f>
        <v/>
      </c>
      <c r="E2118">
        <f>INDEX(FactorTable!$B$2:$Y$301, MATCH(ROUND(MIN(300,MAX(1,D2118)),0), FactorTable!$A$2:$A$301,0), Skills!M19+1)</f>
        <v/>
      </c>
      <c r="F2118">
        <f>IF(Skills!N19=TRUE,(Skills!L19/10)*(E2118/1000),Skills!L19/10)+Skills!O19</f>
        <v/>
      </c>
      <c r="G2118">
        <f>Skills!G19*IF(Skills!H19&gt;0,Skills!I19/Skills!H19,1)</f>
        <v/>
      </c>
      <c r="H2118">
        <f>1-(1-Skills!J19/100)^Skills!K19</f>
        <v/>
      </c>
      <c r="I2118" t="inlineStr">
        <is>
          <t>1</t>
        </is>
      </c>
      <c r="J2118" t="inlineStr"/>
      <c r="K2118" t="inlineStr"/>
      <c r="L2118" t="inlineStr"/>
      <c r="M2118" t="inlineStr"/>
      <c r="N2118" t="inlineStr"/>
      <c r="O2118">
        <f>(1-Summary!$B$11)*T2118+Summary!$B$11*V2118</f>
        <v/>
      </c>
      <c r="P2118">
        <f>IF(B2135=0,0,O2118/B2135)</f>
        <v/>
      </c>
      <c r="Q2118" t="n">
        <v>0</v>
      </c>
      <c r="R2118" t="n">
        <v>0</v>
      </c>
      <c r="S2118">
        <f>IFERROR(O2118/N2118,0)</f>
        <v/>
      </c>
      <c r="T2118" t="n">
        <v>0</v>
      </c>
      <c r="V2118" t="n">
        <v>0</v>
      </c>
    </row>
    <row r="2119">
      <c r="A2119">
        <f>Skills!A20</f>
        <v/>
      </c>
      <c r="B2119">
        <f>Skills!B20</f>
        <v/>
      </c>
      <c r="C2119">
        <f>Inputs!$B$3&gt;=43</f>
        <v/>
      </c>
      <c r="D2119">
        <f>IF(Skills!C20=1,60+Inputs!$B$25+Inputs!$B$29,IF(Skills!C20=2,90+Inputs!$B$26+Inputs!$B$29,IF(Skills!C20=3,120+Inputs!$B$27+Inputs!$B$29,MAX(0,(Inputs!$B$3-100)*3)+Inputs!$B$28+Inputs!$B$29)))</f>
        <v/>
      </c>
      <c r="E2119">
        <f>INDEX(FactorTable!$B$2:$Y$301, MATCH(ROUND(MIN(300,MAX(1,D2119)),0), FactorTable!$A$2:$A$301,0), Skills!M20+1)</f>
        <v/>
      </c>
      <c r="F2119">
        <f>IF(Skills!N20=TRUE,(Skills!L20/10)*(E2119/1000),Skills!L20/10)+Skills!O20</f>
        <v/>
      </c>
      <c r="G2119">
        <f>Skills!G20*IF(Skills!H20&gt;0,Skills!I20/Skills!H20,1)</f>
        <v/>
      </c>
      <c r="H2119">
        <f>1-(1-Skills!J20/100)^Skills!K20</f>
        <v/>
      </c>
      <c r="I2119" t="inlineStr">
        <is>
          <t>1</t>
        </is>
      </c>
      <c r="J2119" t="inlineStr"/>
      <c r="K2119" t="inlineStr"/>
      <c r="L2119" t="inlineStr"/>
      <c r="M2119" t="inlineStr"/>
      <c r="N2119" t="inlineStr"/>
      <c r="O2119">
        <f>(1-Summary!$B$11)*T2119+Summary!$B$11*V2119</f>
        <v/>
      </c>
      <c r="P2119">
        <f>IF(B2135=0,0,O2119/B2135)</f>
        <v/>
      </c>
      <c r="Q2119" t="n">
        <v>0</v>
      </c>
      <c r="R2119" t="n">
        <v>0</v>
      </c>
      <c r="S2119">
        <f>IFERROR(O2119/N2119,0)</f>
        <v/>
      </c>
      <c r="T2119" t="n">
        <v>0</v>
      </c>
      <c r="V2119" t="n">
        <v>0</v>
      </c>
    </row>
    <row r="2120">
      <c r="A2120">
        <f>Skills!A21</f>
        <v/>
      </c>
      <c r="B2120">
        <f>Skills!B21</f>
        <v/>
      </c>
      <c r="C2120">
        <f>Inputs!$B$3&gt;=38</f>
        <v/>
      </c>
      <c r="D2120">
        <f>IF(Skills!C21=1,60+Inputs!$B$25+Inputs!$B$29,IF(Skills!C21=2,90+Inputs!$B$26+Inputs!$B$29,IF(Skills!C21=3,120+Inputs!$B$27+Inputs!$B$29,MAX(0,(Inputs!$B$3-100)*3)+Inputs!$B$28+Inputs!$B$29)))</f>
        <v/>
      </c>
      <c r="E2120">
        <f>INDEX(FactorTable!$B$2:$Y$301, MATCH(ROUND(MIN(300,MAX(1,D2120)),0), FactorTable!$A$2:$A$301,0), Skills!M21+1)</f>
        <v/>
      </c>
      <c r="F2120">
        <f>IF(Skills!N21=TRUE,(Skills!L21/10)*(E2120/1000),Skills!L21/10)+Skills!O21</f>
        <v/>
      </c>
      <c r="G2120">
        <f>Skills!G21*IF(Skills!H21&gt;0,Skills!I21/Skills!H21,1)</f>
        <v/>
      </c>
      <c r="H2120">
        <f>1-(1-Skills!J21/100)^Skills!K21</f>
        <v/>
      </c>
      <c r="I2120" t="inlineStr">
        <is>
          <t>1</t>
        </is>
      </c>
      <c r="J2120" t="inlineStr"/>
      <c r="K2120" t="inlineStr"/>
      <c r="L2120" t="inlineStr"/>
      <c r="M2120" t="inlineStr"/>
      <c r="N2120" t="inlineStr"/>
      <c r="O2120">
        <f>(1-Summary!$B$11)*T2120+Summary!$B$11*V2120</f>
        <v/>
      </c>
      <c r="P2120">
        <f>IF(B2135=0,0,O2120/B2135)</f>
        <v/>
      </c>
      <c r="Q2120" t="n">
        <v>0</v>
      </c>
      <c r="R2120" t="n">
        <v>0</v>
      </c>
      <c r="S2120">
        <f>IFERROR(O2120/N2120,0)</f>
        <v/>
      </c>
      <c r="T2120" t="n">
        <v>0</v>
      </c>
      <c r="V2120" t="n">
        <v>0</v>
      </c>
    </row>
    <row r="2121">
      <c r="A2121">
        <f>Skills!A22</f>
        <v/>
      </c>
      <c r="B2121">
        <f>Skills!B22</f>
        <v/>
      </c>
      <c r="C2121">
        <f>Inputs!$B$3&gt;=75</f>
        <v/>
      </c>
      <c r="D2121">
        <f>IF(Skills!C22=1,60+Inputs!$B$25+Inputs!$B$29,IF(Skills!C22=2,90+Inputs!$B$26+Inputs!$B$29,IF(Skills!C22=3,120+Inputs!$B$27+Inputs!$B$29,MAX(0,(Inputs!$B$3-100)*3)+Inputs!$B$28+Inputs!$B$29)))</f>
        <v/>
      </c>
      <c r="E2121">
        <f>INDEX(FactorTable!$B$2:$Y$301, MATCH(ROUND(MIN(300,MAX(1,D2121)),0), FactorTable!$A$2:$A$301,0), Skills!M22+1)</f>
        <v/>
      </c>
      <c r="F2121">
        <f>IF(Skills!N22=TRUE,(Skills!L22/10)*(E2121/1000),Skills!L22/10)+Skills!O22</f>
        <v/>
      </c>
      <c r="G2121">
        <f>Skills!G22*IF(Skills!H22&gt;0,Skills!I22/Skills!H22,1)</f>
        <v/>
      </c>
      <c r="H2121">
        <f>1-(1-Skills!J22/100)^Skills!K22</f>
        <v/>
      </c>
      <c r="I2121" t="inlineStr">
        <is>
          <t>1</t>
        </is>
      </c>
      <c r="J2121" t="inlineStr"/>
      <c r="K2121" t="inlineStr"/>
      <c r="L2121" t="inlineStr"/>
      <c r="M2121" t="inlineStr"/>
      <c r="N2121" t="inlineStr"/>
      <c r="O2121">
        <f>(1-Summary!$B$11)*T2121+Summary!$B$11*V2121</f>
        <v/>
      </c>
      <c r="P2121">
        <f>IF(B2135=0,0,O2121/B2135)</f>
        <v/>
      </c>
      <c r="Q2121" t="n">
        <v>0</v>
      </c>
      <c r="R2121" t="n">
        <v>0</v>
      </c>
      <c r="S2121">
        <f>IFERROR(O2121/N2121,0)</f>
        <v/>
      </c>
      <c r="T2121" t="n">
        <v>0</v>
      </c>
      <c r="V2121" t="n">
        <v>0</v>
      </c>
    </row>
    <row r="2122">
      <c r="A2122">
        <f>Skills!A23</f>
        <v/>
      </c>
      <c r="B2122">
        <f>Skills!B23</f>
        <v/>
      </c>
      <c r="C2122">
        <f>TRUE</f>
        <v/>
      </c>
      <c r="D2122">
        <f>IF(Skills!C23=1,60+Inputs!$B$25+Inputs!$B$29,IF(Skills!C23=2,90+Inputs!$B$26+Inputs!$B$29,IF(Skills!C23=3,120+Inputs!$B$27+Inputs!$B$29,MAX(0,(Inputs!$B$3-100)*3)+Inputs!$B$28+Inputs!$B$29)))</f>
        <v/>
      </c>
      <c r="E2122">
        <f>INDEX(FactorTable!$B$2:$Y$301, MATCH(ROUND(MIN(300,MAX(1,D2122)),0), FactorTable!$A$2:$A$301,0), Skills!M23+1)</f>
        <v/>
      </c>
      <c r="F2122">
        <f>IF(Skills!N23=TRUE,(Skills!L23/10)*(E2122/1000),Skills!L23/10)+Skills!O23</f>
        <v/>
      </c>
      <c r="G2122">
        <f>Skills!G23*IF(Skills!H23&gt;0,Skills!I23/Skills!H23,1)</f>
        <v/>
      </c>
      <c r="H2122">
        <f>1-(1-Skills!J23/100)^Skills!K23</f>
        <v/>
      </c>
      <c r="I2122" t="inlineStr">
        <is>
          <t>1</t>
        </is>
      </c>
      <c r="J2122" t="inlineStr"/>
      <c r="K2122" t="inlineStr"/>
      <c r="L2122" t="inlineStr"/>
      <c r="M2122" t="inlineStr"/>
      <c r="N2122" t="inlineStr"/>
      <c r="O2122">
        <f>(1-Summary!$B$11)*T2122+Summary!$B$11*V2122</f>
        <v/>
      </c>
      <c r="P2122">
        <f>IF(B2135=0,0,O2122/B2135)</f>
        <v/>
      </c>
      <c r="Q2122">
        <f>IFERROR(1/(IF(Inputs!$B$38="pvp",15,MAX(0.1,Skills!D23-IF(Skills!E23=TRUE,Inputs!$B$32,0)))*(1-IF(AND(ArtifactsInput!$M$27,Inputs!$B$4="Chapter Hunt"),CHOOSE(ArtifactsInput!$N$27+1,20,24,28,32,36,40),0)/100)),0)</f>
        <v/>
      </c>
      <c r="R2122">
        <f>IF(AND(Inputs!$B$38&lt;&gt;"pvp",Inputs!$B$43&gt;0),IF(Inputs!$B$43&lt;=0,0,(INT(Inputs!$B$43/(IF(Inputs!$B$38="pvp",15,MAX(0.1,Skills!D23-IF(Skills!E23=TRUE,Inputs!$B$32,0)))*(1-IF(AND(ArtifactsInput!$M$27,Inputs!$B$4="Chapter Hunt"),CHOOSE(ArtifactsInput!$N$27+1,20,24,28,32,36,40),0)/100)))+1)),0)</f>
        <v/>
      </c>
      <c r="S2122">
        <f>IFERROR(O2122/N2122,0)</f>
        <v/>
      </c>
      <c r="T2122" t="n">
        <v>0</v>
      </c>
      <c r="V2122" t="n">
        <v>0</v>
      </c>
    </row>
    <row r="2124">
      <c r="A2124" t="inlineStr">
        <is>
          <t>Attack% Bucket Multiplier</t>
        </is>
      </c>
      <c r="B2124">
        <f>(1+(((C2112=TRUE)*F2112*5/7)+((C2118=TRUE)*(F2118-Calc!F19))+(IF(ArtifactsInput!$M$21,CHOOSE(ArtifactsInput!$N$21+1,25,30,35,40,45,50)*(IF(OR(Inputs!$B$4="Chapter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5">
      <c r="A2125" t="inlineStr">
        <is>
          <t>Global Crit Rate Bonus %</t>
        </is>
      </c>
      <c r="B2125" t="n">
        <v>0</v>
      </c>
    </row>
    <row r="2126">
      <c r="A2126" t="inlineStr">
        <is>
          <t>Attack Speed Buff Bonus % (Nimble Feet, duty-cycle averaged)</t>
        </is>
      </c>
      <c r="B2126">
        <f>((C2122=TRUE)*F2122*IF(AND(Inputs!$B$38&lt;&gt;"pvp",Inputs!$B$43&gt;0),(((R2122-1)*(Skills!T23*(1+Inputs!$B$34/100))+MIN((Skills!T23*(1+Inputs!$B$34/100)),MAX(0,Inputs!$B$43-((R2122-1)*Skills!D23))))/Inputs!$B$43),IF(Inputs!$B$38="pvp",MIN((Skills!T23*(1+Inputs!$B$34/100)),15)/15,(Skills!T23*(1+Inputs!$B$34/100))/Skills!D23)))</f>
        <v/>
      </c>
    </row>
    <row r="2127">
      <c r="A2127" t="inlineStr">
        <is>
          <t>Actions Per Second</t>
        </is>
      </c>
      <c r="B2127">
        <f>1+MIN(150,150*(1-(1-(Inputs!$B$11+((C2116=TRUE)*(F2116-Calc!F17))+((C2117=TRUE)*(F2117-Calc!F18)))/150)*(1-B2126/150)))/100</f>
        <v/>
      </c>
    </row>
    <row r="2128">
      <c r="A2128" t="inlineStr">
        <is>
          <t>Skill + Buff Cast Rate</t>
        </is>
      </c>
      <c r="B2128">
        <f>IF(AND(Inputs!$B$38&lt;&gt;"pvp",Inputs!$B$43&gt;0),SUMPRODUCT((Skills!E2:E23=TRUE)*(C2101:C2122=TRUE)*R2101:R2122*Skills!F2:F23)/Inputs!$B$43,SUMPRODUCT((Skills!E2:E23=TRUE)*(C2101:C2122=TRUE)*Q2101:Q2122*Skills!F2:F23))</f>
        <v/>
      </c>
    </row>
    <row r="2129">
      <c r="A2129" t="inlineStr">
        <is>
          <t>Hook Bomber Casts Per Second</t>
        </is>
      </c>
      <c r="B2129">
        <f>MAX(0,B2127-B2128)</f>
        <v/>
      </c>
    </row>
    <row r="2130">
      <c r="A2130" t="inlineStr">
        <is>
          <t>Global Critical Damage Bonus % (unused)</t>
        </is>
      </c>
      <c r="B2130" t="n">
        <v>0</v>
      </c>
    </row>
    <row r="2131">
      <c r="A2131" t="inlineStr">
        <is>
          <t>Global Final Damage Bonus % (Serpent Scale + Crossbones + Time Leap + Speed Infusion)</t>
        </is>
      </c>
      <c r="B2131">
        <f>((C2104=TRUE)*F2104*((10+IF(Inputs!$B$3&gt;=94,5,0))/((10+IF(Inputs!$B$3&gt;=94,5,0))+5/(B2129*(1+IF(Inputs!$B$3&gt;=104,1,0))))))+((C2113=TRUE)*F2113*IF(AND(Inputs!$B$38&lt;&gt;"pvp",Inputs!$B$43&gt;0),(((R2113-1)*(Skills!T14*(1+Inputs!$B$34/100))+MIN((Skills!T14*(1+Inputs!$B$34/100)),MAX(0,Inputs!$B$43-((R2113-1)*Skills!D14))))/Inputs!$B$43),IF(Inputs!$B$38="pvp",MIN((Skills!T14*(1+Inputs!$B$34/100)),15)/15,(Skills!T14*(1+Inputs!$B$34/100))/Skills!D14)))+((C2114=TRUE)*F2114*IF(AND(Inputs!$B$38&lt;&gt;"pvp",Inputs!$B$43&gt;0),(((R2114-1)*(Skills!T15*(1+Inputs!$B$34/100))+MIN((Skills!T15*(1+Inputs!$B$34/100)),MAX(0,Inputs!$B$43-((R2114-1)*Skills!D15))))/Inputs!$B$43),IF(Inputs!$B$38="pvp",MIN((Skills!T15*(1+Inputs!$B$34/100)),15)/15,(Skills!T15*(1+Inputs!$B$34/100))/Skills!D15)))+((Inputs!$B$3&gt;=110)*20*(B2127-1)*IF(Inputs!$B$38="pvp",MIN((15*(1+Inputs!$B$34/100)),15)/15,(15*(1+Inputs!$B$34/100))/35))</f>
        <v/>
      </c>
    </row>
    <row r="2132">
      <c r="A2132" t="inlineStr">
        <is>
          <t>Buff-Casting Startup Delay (s, fixed-duration only)</t>
        </is>
      </c>
      <c r="B2132">
        <f>IF(AND(Inputs!$B$38&lt;&gt;"pvp",Inputs!$B$43&gt;0),SUMPRODUCT((Skills!T2:T23&gt;0)*(Skills!E2:E23=TRUE)*(C2101:C2122=TRUE))/B2127,0)</f>
        <v/>
      </c>
    </row>
    <row r="2133">
      <c r="A2133" t="inlineStr">
        <is>
          <t>Boss-Only Total DPS (this block's swept value)</t>
        </is>
      </c>
      <c r="B2133">
        <f>SUM(T2101:T2122)</f>
        <v/>
      </c>
    </row>
    <row r="2134">
      <c r="A2134" t="inlineStr">
        <is>
          <t>Normal-Only Total DPS (this block's swept value)</t>
        </is>
      </c>
      <c r="B2134">
        <f>SUM(V2101:V2122)</f>
        <v/>
      </c>
    </row>
    <row r="2135">
      <c r="A2135" s="6" t="inlineStr">
        <is>
          <t>TOTAL DPS</t>
        </is>
      </c>
      <c r="B2135" s="6">
        <f>SUM(O2101:O2122)</f>
        <v/>
      </c>
    </row>
    <row r="2138">
      <c r="A2138" s="6" t="inlineStr">
        <is>
          <t>Stat: Bottle of Emotion (Equip)</t>
        </is>
      </c>
    </row>
    <row r="2139">
      <c r="A2139" s="5" t="inlineStr">
        <is>
          <t>Key</t>
        </is>
      </c>
      <c r="B2139" s="5" t="inlineStr">
        <is>
          <t>Name</t>
        </is>
      </c>
      <c r="C2139" s="5" t="inlineStr">
        <is>
          <t>Unlocked</t>
        </is>
      </c>
      <c r="D2139" s="5" t="inlineStr">
        <is>
          <t>InputLevel</t>
        </is>
      </c>
      <c r="E2139" s="5" t="inlineStr">
        <is>
          <t>Factor</t>
        </is>
      </c>
      <c r="F2139" s="5" t="inlineStr">
        <is>
          <t>CoefficientPercent</t>
        </is>
      </c>
      <c r="G2139" s="5" t="inlineStr">
        <is>
          <t>EffectiveHits</t>
        </is>
      </c>
      <c r="H2139" s="5" t="inlineStr">
        <is>
          <t>ProcProbability</t>
        </is>
      </c>
      <c r="I2139" s="5" t="inlineStr">
        <is>
          <t>MapleHeroMultiplier</t>
        </is>
      </c>
      <c r="J2139" s="5" t="inlineStr">
        <is>
          <t>BaseDamage</t>
        </is>
      </c>
      <c r="K2139" s="5" t="inlineStr">
        <is>
          <t>BaseHitDamage</t>
        </is>
      </c>
      <c r="L2139" s="5" t="inlineStr">
        <is>
          <t>NonCritAvg</t>
        </is>
      </c>
      <c r="M2139" s="5" t="inlineStr">
        <is>
          <t>CritAvg</t>
        </is>
      </c>
      <c r="N2139" s="5" t="inlineStr">
        <is>
          <t>ExpectedDamage(perHit)</t>
        </is>
      </c>
      <c r="O2139" s="5" t="inlineStr">
        <is>
          <t>DPS</t>
        </is>
      </c>
      <c r="P2139" s="5" t="inlineStr">
        <is>
          <t>% of Total</t>
        </is>
      </c>
      <c r="Q2139" s="5" t="inlineStr">
        <is>
          <t>InvCooldown</t>
        </is>
      </c>
      <c r="R2139" s="5" t="inlineStr">
        <is>
          <t>CastsInFight</t>
        </is>
      </c>
      <c r="S2139" s="5" t="inlineStr">
        <is>
          <t>HitRate(perSec)</t>
        </is>
      </c>
      <c r="U2139" t="inlineStr">
        <is>
          <t>helpers</t>
        </is>
      </c>
    </row>
    <row r="2140">
      <c r="A2140">
        <f>Skills!A2</f>
        <v/>
      </c>
      <c r="B2140">
        <f>Skills!B2</f>
        <v/>
      </c>
      <c r="C2140">
        <f>Inputs!$B$3&gt;=100</f>
        <v/>
      </c>
      <c r="D2140" t="inlineStr"/>
      <c r="E2140" t="inlineStr"/>
      <c r="F2140">
        <f>U2142+Skills!O2</f>
        <v/>
      </c>
      <c r="G2140">
        <f>Skills!G2*IF(Skills!H2&gt;0,Skills!I2/Skills!H2,1)</f>
        <v/>
      </c>
      <c r="H2140">
        <f>1-(1-Skills!J2/100)^Skills!K2</f>
        <v/>
      </c>
      <c r="I2140" t="inlineStr">
        <is>
          <t>1</t>
        </is>
      </c>
      <c r="J2140">
        <f>((Inputs!$B$6*(1+Inputs!$B$7/100))+(((Inputs!$B$12*(1+Inputs!$B$13/100))-(Inputs!$B$12*(1+Inputs!$B$13/100)))+0.25*(Inputs!$B$14-Inputs!$B$14))*(1+Inputs!$B$7/100))*(F2140/100)</f>
        <v/>
      </c>
      <c r="K2140">
        <f>J2140*(1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2140)</f>
        <v/>
      </c>
      <c r="L2140">
        <f>K2140*(MIN(Inputs!$B$22+((C2158=TRUE)*(F2158-Calc!F20)),(Inputs!$B$23+0+(IF(ArtifactsInput!$M$15,CHOOSE(ArtifactsInput!$N$15+1,25,30,35,40,45,50)/100*(Inputs!$B$11-Inputs!$B$11),0))))/100+(Inputs!$B$23+0+(IF(ArtifactsInput!$M$15,CHOOSE(ArtifactsInput!$N$15+1,25,30,35,40,45,50)/100*(Inputs!$B$11-Inputs!$B$11),0)))/100)/2</f>
        <v/>
      </c>
      <c r="M2140">
        <f>L2140*(1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0">
        <f>L2140*(1-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2140*(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0">
        <f>(1-Summary!$B$11)*T2140+Summary!$B$11*V2140</f>
        <v/>
      </c>
      <c r="P2140">
        <f>IF(B2174=0,0,O2140/B2174)</f>
        <v/>
      </c>
      <c r="Q2140" t="n">
        <v>0</v>
      </c>
      <c r="R2140" t="n">
        <v>0</v>
      </c>
      <c r="S2140">
        <f>IFERROR(O2140/N2140,0)</f>
        <v/>
      </c>
      <c r="T2140">
        <f>IF(C2140,(Skills!G2*N2140*B2168)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2140*(1-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2140*(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2140*(1-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2140*(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0">
        <f>MAX(0,(Inputs!$B$3-100)*3)+Inputs!$B$28+Inputs!$B$29</f>
        <v/>
      </c>
      <c r="V2140">
        <f>IF(C2140,(Skills!G2*N2140*B2168)*IF(Inputs!$B$38="pvp",1,(1+(Inputs!$B$21+Skills!Q2+(IF(ArtifactsInput!$M$33,CHOOSE(ArtifactsInput!$N$33+1,30,36,42,48,54,60),0))+(IF(AND(ArtifactsInput!$M$35,Inputs!$B$4&lt;&gt;"Chapter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1">
      <c r="A2141">
        <f>Skills!A3</f>
        <v/>
      </c>
      <c r="B2141">
        <f>Skills!B3</f>
        <v/>
      </c>
      <c r="C2141">
        <f>Inputs!$B$3&gt;=35</f>
        <v/>
      </c>
      <c r="D2141">
        <f>IF(Skills!C3=1,60+Inputs!$B$25+Inputs!$B$29,IF(Skills!C3=2,90+Inputs!$B$26+Inputs!$B$29,IF(Skills!C3=3,120+Inputs!$B$27+Inputs!$B$29,MAX(0,(Inputs!$B$3-100)*3)+Inputs!$B$28+Inputs!$B$29)))</f>
        <v/>
      </c>
      <c r="E2141">
        <f>INDEX(FactorTable!$B$2:$Y$301, MATCH(ROUND(MIN(300,MAX(1,D2141)),0), FactorTable!$A$2:$A$301,0), Skills!M3+1)</f>
        <v/>
      </c>
      <c r="F2141">
        <f>IF(Skills!N3=TRUE,(Skills!L3/10)*(E2141/1000),Skills!L3/10)+Skills!O3</f>
        <v/>
      </c>
      <c r="G2141">
        <f>Skills!G3*IF(Skills!H3&gt;0,Skills!I3/Skills!H3,1)</f>
        <v/>
      </c>
      <c r="H2141">
        <f>1-(1-Skills!J3/100)^Skills!K3</f>
        <v/>
      </c>
      <c r="I2141" t="inlineStr">
        <is>
          <t>1</t>
        </is>
      </c>
      <c r="J2141">
        <f>((Inputs!$B$6*(1+Inputs!$B$7/100))+(((Inputs!$B$12*(1+Inputs!$B$13/100))-(Inputs!$B$12*(1+Inputs!$B$13/100)))+0.25*(Inputs!$B$14-Inputs!$B$14))*(1+Inputs!$B$7/100))*(F2141/100)</f>
        <v/>
      </c>
      <c r="K2141">
        <f>J2141*(1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3="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2141)</f>
        <v/>
      </c>
      <c r="L2141">
        <f>K2141*(MIN(Inputs!$B$22+((C2158=TRUE)*(F2158-Calc!F20)),(Inputs!$B$23+0+(IF(ArtifactsInput!$M$15,CHOOSE(ArtifactsInput!$N$15+1,25,30,35,40,45,50)/100*(Inputs!$B$11-Inputs!$B$11),0))))/100+(Inputs!$B$23+0+(IF(ArtifactsInput!$M$15,CHOOSE(ArtifactsInput!$N$15+1,25,30,35,40,45,50)/100*(Inputs!$B$11-Inputs!$B$11),0)))/100)/2</f>
        <v/>
      </c>
      <c r="M2141">
        <f>L2141*(1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1">
        <f>L2141*(1-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1">
        <f>(1-Summary!$B$11)*T2141+Summary!$B$11*V2141</f>
        <v/>
      </c>
      <c r="P2141">
        <f>IF(B2174=0,0,O2141/B2174)</f>
        <v/>
      </c>
      <c r="Q2141" t="n">
        <v>0</v>
      </c>
      <c r="R2141" t="n">
        <v>0</v>
      </c>
      <c r="S2141">
        <f>IFERROR(O2141/N2141,0)</f>
        <v/>
      </c>
      <c r="T2141">
        <f>IF(C2141,(Skills!G3*H2141*N2141*B2168)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1">
        <f>INDEX(FactorTable!$B$2:$Y$301, MATCH(ROUND(MIN(300,MAX(1,U2140)),0), FactorTable!$A$2:$A$301,0), 22)</f>
        <v/>
      </c>
      <c r="V2141">
        <f>IF(C2141,(Skills!G3*H2141*N2141*B2168)*IF(Inputs!$B$38="pvp",1,(1+(Inputs!$B$21+Skills!Q3+(IF(ArtifactsInput!$M$33,CHOOSE(ArtifactsInput!$N$33+1,30,36,42,48,54,60),0))+(IF(AND(ArtifactsInput!$M$35,Inputs!$B$4&lt;&gt;"Chapter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2">
      <c r="A2142">
        <f>Skills!A4</f>
        <v/>
      </c>
      <c r="B2142">
        <f>Skills!B4</f>
        <v/>
      </c>
      <c r="C2142">
        <f>Inputs!$B$3&gt;=60</f>
        <v/>
      </c>
      <c r="D2142">
        <f>IF(Skills!C4=1,60+Inputs!$B$25+Inputs!$B$29,IF(Skills!C4=2,90+Inputs!$B$26+Inputs!$B$29,IF(Skills!C4=3,120+Inputs!$B$27+Inputs!$B$29,MAX(0,(Inputs!$B$3-100)*3)+Inputs!$B$28+Inputs!$B$29)))</f>
        <v/>
      </c>
      <c r="E2142">
        <f>INDEX(FactorTable!$B$2:$Y$301, MATCH(ROUND(MIN(300,MAX(1,D2142)),0), FactorTable!$A$2:$A$301,0), Skills!M4+1)</f>
        <v/>
      </c>
      <c r="F2142">
        <f>IF(Skills!N4=TRUE,(Skills!L4/10)*(E2142/1000),Skills!L4/10)+Skills!O4</f>
        <v/>
      </c>
      <c r="G2142">
        <f>Skills!G4*IF(Skills!H4&gt;0,Skills!I4/Skills!H4,1)</f>
        <v/>
      </c>
      <c r="H2142">
        <f>1-(1-Skills!J4/100)^Skills!K4</f>
        <v/>
      </c>
      <c r="I2142" t="inlineStr">
        <is>
          <t>1</t>
        </is>
      </c>
      <c r="J2142">
        <f>((Inputs!$B$6*(1+Inputs!$B$7/100))+(((Inputs!$B$12*(1+Inputs!$B$13/100))-(Inputs!$B$12*(1+Inputs!$B$13/100)))+0.25*(Inputs!$B$14-Inputs!$B$14))*(1+Inputs!$B$7/100))*(F2142/100)</f>
        <v/>
      </c>
      <c r="K2142">
        <f>J2142*(1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2150=TRUE,F2150,0)/100)*(1+(IF(Skills!A4="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2142)</f>
        <v/>
      </c>
      <c r="L2142">
        <f>K2142*(MIN(Inputs!$B$22+((C2158=TRUE)*(F2158-Calc!F20)),(Inputs!$B$23+0+(IF(ArtifactsInput!$M$15,CHOOSE(ArtifactsInput!$N$15+1,25,30,35,40,45,50)/100*(Inputs!$B$11-Inputs!$B$11),0))))/100+(Inputs!$B$23+0+(IF(ArtifactsInput!$M$15,CHOOSE(ArtifactsInput!$N$15+1,25,30,35,40,45,50)/100*(Inputs!$B$11-Inputs!$B$11),0)))/100)/2</f>
        <v/>
      </c>
      <c r="M2142">
        <f>L2142*(1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2">
        <f>L2142*(1-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2142*(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2">
        <f>(1-Summary!$B$11)*T2142+Summary!$B$11*V2142</f>
        <v/>
      </c>
      <c r="P2142">
        <f>IF(B2174=0,0,O2142/B2174)</f>
        <v/>
      </c>
      <c r="Q2142" t="n">
        <v>0</v>
      </c>
      <c r="R2142" t="n">
        <v>0</v>
      </c>
      <c r="S2142">
        <f>IFERROR(O2142/N2142,0)</f>
        <v/>
      </c>
      <c r="T2142">
        <f>IF(C2142,(Skills!G4*H2142*N2142*B2168)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2142*(1-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2142*(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2142*(1-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2142*(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2">
        <f>290*U2141/1000</f>
        <v/>
      </c>
      <c r="V2142">
        <f>IF(C2142,(Skills!G4*H2142*N2142*B2168)*IF(Inputs!$B$38="pvp",1,(1+(Inputs!$B$21+Skills!Q4+(IF(ArtifactsInput!$M$33,CHOOSE(ArtifactsInput!$N$33+1,30,36,42,48,54,60),0))+(IF(AND(ArtifactsInput!$M$35,Inputs!$B$4&lt;&gt;"Chapter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3">
      <c r="A2143">
        <f>Skills!A5</f>
        <v/>
      </c>
      <c r="B2143">
        <f>Skills!B5</f>
        <v/>
      </c>
      <c r="C2143">
        <f>Inputs!$B$3&gt;=60</f>
        <v/>
      </c>
      <c r="D2143">
        <f>IF(Skills!C5=1,60+Inputs!$B$25+Inputs!$B$29,IF(Skills!C5=2,90+Inputs!$B$26+Inputs!$B$29,IF(Skills!C5=3,120+Inputs!$B$27+Inputs!$B$29,MAX(0,(Inputs!$B$3-100)*3)+Inputs!$B$28+Inputs!$B$29)))</f>
        <v/>
      </c>
      <c r="E2143">
        <f>INDEX(FactorTable!$B$2:$Y$301, MATCH(ROUND(MIN(300,MAX(1,D2143)),0), FactorTable!$A$2:$A$301,0), Skills!M5+1)</f>
        <v/>
      </c>
      <c r="F2143">
        <f>IF(Skills!N5=TRUE,(Skills!L5/10)*(E2143/1000),Skills!L5/10)+Skills!O5</f>
        <v/>
      </c>
      <c r="G2143">
        <f>Skills!G5*IF(Skills!H5&gt;0,Skills!I5/Skills!H5,1)</f>
        <v/>
      </c>
      <c r="H2143">
        <f>1-(1-Skills!J5/100)^Skills!K5</f>
        <v/>
      </c>
      <c r="I2143" t="inlineStr">
        <is>
          <t>1</t>
        </is>
      </c>
      <c r="J2143" t="inlineStr"/>
      <c r="K2143" t="inlineStr"/>
      <c r="L2143" t="inlineStr"/>
      <c r="M2143" t="inlineStr"/>
      <c r="N2143" t="inlineStr"/>
      <c r="O2143">
        <f>(1-Summary!$B$11)*T2143+Summary!$B$11*V2143</f>
        <v/>
      </c>
      <c r="P2143">
        <f>IF(B2174=0,0,O2143/B2174)</f>
        <v/>
      </c>
      <c r="Q2143" t="n">
        <v>0</v>
      </c>
      <c r="R2143" t="n">
        <v>0</v>
      </c>
      <c r="S2143">
        <f>IFERROR(O2143/N2143,0)</f>
        <v/>
      </c>
      <c r="T2143" t="n">
        <v>0</v>
      </c>
      <c r="V2143" t="n">
        <v>0</v>
      </c>
    </row>
    <row r="2144">
      <c r="A2144">
        <f>Skills!A6</f>
        <v/>
      </c>
      <c r="B2144">
        <f>Skills!B6</f>
        <v/>
      </c>
      <c r="C2144">
        <f>Inputs!$B$3&gt;=63</f>
        <v/>
      </c>
      <c r="D2144">
        <f>IF(Skills!C6=1,60+Inputs!$B$25+Inputs!$B$29,IF(Skills!C6=2,90+Inputs!$B$26+Inputs!$B$29,IF(Skills!C6=3,120+Inputs!$B$27+Inputs!$B$29,MAX(0,(Inputs!$B$3-100)*3)+Inputs!$B$28+Inputs!$B$29)))</f>
        <v/>
      </c>
      <c r="E2144">
        <f>INDEX(FactorTable!$B$2:$Y$301, MATCH(ROUND(MIN(300,MAX(1,D2144)),0), FactorTable!$A$2:$A$301,0), Skills!M6+1)</f>
        <v/>
      </c>
      <c r="F2144">
        <f>IF(Skills!N6=TRUE,(Skills!L6/10)*(E2144/1000),Skills!L6/10)+Skills!O6</f>
        <v/>
      </c>
      <c r="G2144">
        <f>Skills!G6*IF(Skills!H6&gt;0,Skills!I6/Skills!H6,1)</f>
        <v/>
      </c>
      <c r="H2144">
        <f>1-(1-Skills!J6/100)^Skills!K6</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+0.6666666666666666*IF(C2150=TRUE,F2150,0)/100)*(1+(IF(Skills!A6="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2158=TRUE)*(F2158-Calc!F20)),(Inputs!$B$23+0+(IF(ArtifactsInput!$M$15,CHOOSE(ArtifactsInput!$N$15+1,25,30,35,40,45,50)/100*(Inputs!$B$11-Inputs!$B$11),0))))/100+(Inputs!$B$23+0+(IF(ArtifactsInput!$M$15,CHOOSE(ArtifactsInput!$N$15+1,25,30,35,40,45,50)/100*(Inputs!$B$11-Inputs!$B$11),0)))/100)/2</f>
        <v/>
      </c>
      <c r="M2144">
        <f>L2144*(1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IF(B2174=0,0,O2144/B2174)</f>
        <v/>
      </c>
      <c r="Q2144">
        <f>IFERROR(1/(IF(Inputs!$B$38="pvp",15,MAX(0.1,Skills!D6-IF(Skills!E6=TRUE,Inputs!$B$32,0)))*(1-IF(AND(ArtifactsInput!$M$27,Inputs!$B$4="Chapter Hunt"),CHOOSE(ArtifactsInput!$N$27+1,20,24,28,32,36,40),0)/100)),0)</f>
        <v/>
      </c>
      <c r="R2144">
        <f>IF(AND(Inputs!$B$38&lt;&gt;"pvp",Inputs!$B$43&gt;0),IF(MAX(0,Inputs!$B$43-B2171)&lt;=0,0,(INT(MAX(0,Inputs!$B$43-B2171)/(IF(Inputs!$B$38="pvp",15,MAX(0.1,Skills!D6-IF(Skills!E6=TRUE,Inputs!$B$32,0)))*(1-IF(AND(ArtifactsInput!$M$27,Inputs!$B$4="Chapter Hunt"),CHOOSE(ArtifactsInput!$N$27+1,20,24,28,32,36,40),0)/100)))+1)),0)</f>
        <v/>
      </c>
      <c r="S2144">
        <f>IFERROR(O2144/N2144,0)</f>
        <v/>
      </c>
      <c r="T2144">
        <f>IF(C2144,(H2144*N2144*IF(AND(Inputs!$B$38&lt;&gt;"pvp",Inputs!$B$43&gt;0),((Skills!G6*((R2144-1)*IF(Skills!H6&gt;0,Skills!I6/Skills!H6,1)+IF(Skills!H6&gt;0,MIN(Skills!I6,MAX(0,MAX(0,Inputs!$B$43-B2171)-((R2144-1)*(IF(Inputs!$B$38="pvp",15,MAX(0.1,Skills!D6-IF(Skills!E6=TRUE,Inputs!$B$32,0)))*(1-IF(AND(ArtifactsInput!$M$27,Inputs!$B$4="Chapter Hunt"),CHOOSE(ArtifactsInput!$N$27+1,20,24,28,32,36,40),0)/100)))))/Skills!H6,1)))/Inputs!$B$43),G2144*Q2144)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4">
        <f>IF(C2144,(H2144*N2144*IF(AND(Inputs!$B$38&lt;&gt;"pvp",Inputs!$B$43&gt;0),((Skills!G6*((R2144-1)*IF(Skills!H6&gt;0,Skills!I6/Skills!H6,1)+IF(Skills!H6&gt;0,MIN(Skills!I6,MAX(0,MAX(0,Inputs!$B$43-B2171)-((R2144-1)*(IF(Inputs!$B$38="pvp",15,MAX(0.1,Skills!D6-IF(Skills!E6=TRUE,Inputs!$B$32,0)))*(1-IF(AND(ArtifactsInput!$M$27,Inputs!$B$4="Chapter Hunt"),CHOOSE(ArtifactsInput!$N$27+1,20,24,28,32,36,40),0)/100)))))/Skills!H6,1)))/Inputs!$B$43),G2144*Q2144))*IF(Inputs!$B$38="pvp",1,(1+(Inputs!$B$21+Skills!Q6+(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Skills!A7</f>
        <v/>
      </c>
      <c r="B2145">
        <f>Skills!B7</f>
        <v/>
      </c>
      <c r="C2145">
        <f>Inputs!$B$3&gt;=100</f>
        <v/>
      </c>
      <c r="D2145">
        <f>IF(Skills!C7=1,60+Inputs!$B$25+Inputs!$B$29,IF(Skills!C7=2,90+Inputs!$B$26+Inputs!$B$29,IF(Skills!C7=3,120+Inputs!$B$27+Inputs!$B$29,MAX(0,(Inputs!$B$3-100)*3)+Inputs!$B$28+Inputs!$B$29)))</f>
        <v/>
      </c>
      <c r="E2145">
        <f>INDEX(FactorTable!$B$2:$Y$301, MATCH(ROUND(MIN(300,MAX(1,D2145)),0), FactorTable!$A$2:$A$301,0), Skills!M7+1)</f>
        <v/>
      </c>
      <c r="F2145">
        <f>IF(Skills!N7=TRUE,(Skills!L7/10)*(E2145/1000),Skills!L7/10)+Skills!O7</f>
        <v/>
      </c>
      <c r="G2145">
        <f>Skills!G7*IF(Skills!H7&gt;0,Skills!I7/Skills!H7,1)</f>
        <v/>
      </c>
      <c r="H2145">
        <f>1-(1-Skills!J7/100)^Skills!K7</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2158=TRUE)*(F2158-Calc!F20)),(Inputs!$B$23+0+(IF(ArtifactsInput!$M$15,CHOOSE(ArtifactsInput!$N$15+1,25,30,35,40,45,50)/100*(Inputs!$B$11-Inputs!$B$11),0))))/100+(Inputs!$B$23+0+(IF(ArtifactsInput!$M$15,CHOOSE(ArtifactsInput!$N$15+1,25,30,35,40,45,50)/100*(Inputs!$B$11-Inputs!$B$11),0)))/100)/2</f>
        <v/>
      </c>
      <c r="M2145">
        <f>L2145*(1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IF(B2174=0,0,O2145/B2174)</f>
        <v/>
      </c>
      <c r="Q2145">
        <f>IFERROR(1/(IF(Inputs!$B$38="pvp",15,MAX(0.1,Skills!D7-IF(Skills!E7=TRUE,Inputs!$B$32,0)))*(1-IF(AND(ArtifactsInput!$M$27,Inputs!$B$4="Chapter Hunt"),CHOOSE(ArtifactsInput!$N$27+1,20,24,28,32,36,40),0)/100)),0)</f>
        <v/>
      </c>
      <c r="R2145">
        <f>IF(AND(Inputs!$B$38&lt;&gt;"pvp",Inputs!$B$43&gt;0),IF(MAX(0,Inputs!$B$43-B2171)&lt;=0,0,(INT(MAX(0,Inputs!$B$43-B2171)/(IF(Inputs!$B$38="pvp",15,MAX(0.1,Skills!D7-IF(Skills!E7=TRUE,Inputs!$B$32,0)))*(1-IF(AND(ArtifactsInput!$M$27,Inputs!$B$4="Chapter Hunt"),CHOOSE(ArtifactsInput!$N$27+1,20,24,28,32,36,40),0)/100)))+1)),0)</f>
        <v/>
      </c>
      <c r="S2145">
        <f>IFERROR(O2145/N2145,0)</f>
        <v/>
      </c>
      <c r="T2145">
        <f>IF(C2145,(H2145*N2145*IF(AND(Inputs!$B$38&lt;&gt;"pvp",Inputs!$B$43&gt;0),((Skills!G7*((R2145-1)*IF(Skills!H7&gt;0,Skills!I7/Skills!H7,1)+IF(Skills!H7&gt;0,MIN(Skills!I7,MAX(0,MAX(0,Inputs!$B$43-B2171)-((R2145-1)*(IF(Inputs!$B$38="pvp",15,MAX(0.1,Skills!D7-IF(Skills!E7=TRUE,Inputs!$B$32,0)))*(1-IF(AND(ArtifactsInput!$M$27,Inputs!$B$4="Chapter Hunt"),CHOOSE(ArtifactsInput!$N$27+1,20,24,28,32,36,40),0)/100)))))/Skills!H7,1)))/Inputs!$B$43),G2145*Q2145)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5">
        <f>IF(C2145,(H2145*N2145*IF(AND(Inputs!$B$38&lt;&gt;"pvp",Inputs!$B$43&gt;0),((Skills!G7*((R2145-1)*IF(Skills!H7&gt;0,Skills!I7/Skills!H7,1)+IF(Skills!H7&gt;0,MIN(Skills!I7,MAX(0,MAX(0,Inputs!$B$43-B2171)-((R2145-1)*(IF(Inputs!$B$38="pvp",15,MAX(0.1,Skills!D7-IF(Skills!E7=TRUE,Inputs!$B$32,0)))*(1-IF(AND(ArtifactsInput!$M$27,Inputs!$B$4="Chapter Hunt"),CHOOSE(ArtifactsInput!$N$27+1,20,24,28,32,36,40),0)/100)))))/Skills!H7,1)))/Inputs!$B$43),G2145*Q2145))*IF(Inputs!$B$38="pvp",1,(1+(Inputs!$B$21+Skills!Q7+(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Skills!A8</f>
        <v/>
      </c>
      <c r="B2146">
        <f>Skills!B8</f>
        <v/>
      </c>
      <c r="C2146">
        <f>Inputs!$B$3&gt;=110</f>
        <v/>
      </c>
      <c r="D2146">
        <f>IF(Skills!C8=1,60+Inputs!$B$25+Inputs!$B$29,IF(Skills!C8=2,90+Inputs!$B$26+Inputs!$B$29,IF(Skills!C8=3,120+Inputs!$B$27+Inputs!$B$29,MAX(0,(Inputs!$B$3-100)*3)+Inputs!$B$28+Inputs!$B$29)))</f>
        <v/>
      </c>
      <c r="E2146">
        <f>INDEX(FactorTable!$B$2:$Y$301, MATCH(ROUND(MIN(300,MAX(1,D2146)),0), FactorTable!$A$2:$A$301,0), Skills!M8+1)</f>
        <v/>
      </c>
      <c r="F2146">
        <f>IF(Skills!N8=TRUE,(Skills!L8/10)*(E2146/1000),Skills!L8/10)+Skills!O8</f>
        <v/>
      </c>
      <c r="G2146">
        <f>Skills!G8*IF(Skills!H8&gt;0,Skills!I8/Skills!H8,1)</f>
        <v/>
      </c>
      <c r="H2146">
        <f>1-(1-Skills!J8/100)^Skills!K8</f>
        <v/>
      </c>
      <c r="I2146" t="inlineStr">
        <is>
          <t>1</t>
        </is>
      </c>
      <c r="J2146">
        <f>((Inputs!$B$6*(1+Inputs!$B$7/100))+(((Inputs!$B$12*(1+Inputs!$B$13/100))-(Inputs!$B$12*(1+Inputs!$B$13/100)))+0.25*(Inputs!$B$14-Inputs!$B$14))*(1+Inputs!$B$7/100))*(F2146/100)</f>
        <v/>
      </c>
      <c r="K2146">
        <f>J2146*(1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2146)</f>
        <v/>
      </c>
      <c r="L2146">
        <f>K2146*(MIN(Inputs!$B$22+((C2158=TRUE)*(F2158-Calc!F20)),(Inputs!$B$23+0+(IF(ArtifactsInput!$M$15,CHOOSE(ArtifactsInput!$N$15+1,25,30,35,40,45,50)/100*(Inputs!$B$11-Inputs!$B$11),0))))/100+(Inputs!$B$23+0+(IF(ArtifactsInput!$M$15,CHOOSE(ArtifactsInput!$N$15+1,25,30,35,40,45,50)/100*(Inputs!$B$11-Inputs!$B$11),0)))/100)/2</f>
        <v/>
      </c>
      <c r="M2146">
        <f>L2146*(1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6">
        <f>L2146*(1-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2146*(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6">
        <f>(1-Summary!$B$11)*T2146+Summary!$B$11*V2146</f>
        <v/>
      </c>
      <c r="P2146">
        <f>IF(B2174=0,0,O2146/B2174)</f>
        <v/>
      </c>
      <c r="Q2146">
        <f>IFERROR(1/(IF(Inputs!$B$38="pvp",15,MAX(0.1,Skills!D8-IF(Skills!E8=TRUE,Inputs!$B$32,0)))*(1-IF(AND(ArtifactsInput!$M$27,Inputs!$B$4="Chapter Hunt"),CHOOSE(ArtifactsInput!$N$27+1,20,24,28,32,36,40),0)/100)),0)</f>
        <v/>
      </c>
      <c r="R2146">
        <f>IF(AND(Inputs!$B$38&lt;&gt;"pvp",Inputs!$B$43&gt;0),IF(MAX(0,Inputs!$B$43-B2171)&lt;=0,0,(INT(MAX(0,Inputs!$B$43-B2171)/(IF(Inputs!$B$38="pvp",15,MAX(0.1,Skills!D8-IF(Skills!E8=TRUE,Inputs!$B$32,0)))*(1-IF(AND(ArtifactsInput!$M$27,Inputs!$B$4="Chapter Hunt"),CHOOSE(ArtifactsInput!$N$27+1,20,24,28,32,36,40),0)/100)))+1)),0)</f>
        <v/>
      </c>
      <c r="S2146">
        <f>IFERROR(O2146/N2146,0)</f>
        <v/>
      </c>
      <c r="T2146">
        <f>IF(C2146,(H2146*N2146*IF(AND(Inputs!$B$38&lt;&gt;"pvp",Inputs!$B$43&gt;0),((Skills!G8*((R2146-1)*IF(Skills!H8&gt;0,Skills!I8/Skills!H8,1)+IF(Skills!H8&gt;0,MIN(Skills!I8,MAX(0,MAX(0,Inputs!$B$43-B2171)-((R2146-1)*(IF(Inputs!$B$38="pvp",15,MAX(0.1,Skills!D8-IF(Skills!E8=TRUE,Inputs!$B$32,0)))*(1-IF(AND(ArtifactsInput!$M$27,Inputs!$B$4="Chapter Hunt"),CHOOSE(ArtifactsInput!$N$27+1,20,24,28,32,36,40),0)/100)))))/Skills!H8,1)))/Inputs!$B$43),G2146*Q2146)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2146*(1-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2146*(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2146*(1-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2146*(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6">
        <f>IF(C2146,(H2146*N2146*IF(AND(Inputs!$B$38&lt;&gt;"pvp",Inputs!$B$43&gt;0),((Skills!G8*((R2146-1)*IF(Skills!H8&gt;0,Skills!I8/Skills!H8,1)+IF(Skills!H8&gt;0,MIN(Skills!I8,MAX(0,MAX(0,Inputs!$B$43-B2171)-((R2146-1)*(IF(Inputs!$B$38="pvp",15,MAX(0.1,Skills!D8-IF(Skills!E8=TRUE,Inputs!$B$32,0)))*(1-IF(AND(ArtifactsInput!$M$27,Inputs!$B$4="Chapter Hunt"),CHOOSE(ArtifactsInput!$N$27+1,20,24,28,32,36,40),0)/100)))))/Skills!H8,1)))/Inputs!$B$43),G2146*Q2146))*IF(Inputs!$B$38="pvp",1,(1+(Inputs!$B$21+Skills!Q8+(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7">
      <c r="A2147">
        <f>Skills!A9</f>
        <v/>
      </c>
      <c r="B2147">
        <f>Skills!B9</f>
        <v/>
      </c>
      <c r="C2147">
        <f>Inputs!$B$3&gt;=110</f>
        <v/>
      </c>
      <c r="D2147">
        <f>IF(Skills!C9=1,60+Inputs!$B$25+Inputs!$B$29,IF(Skills!C9=2,90+Inputs!$B$26+Inputs!$B$29,IF(Skills!C9=3,120+Inputs!$B$27+Inputs!$B$29,MAX(0,(Inputs!$B$3-100)*3)+Inputs!$B$28+Inputs!$B$29)))</f>
        <v/>
      </c>
      <c r="E2147">
        <f>INDEX(FactorTable!$B$2:$Y$301, MATCH(ROUND(MIN(300,MAX(1,D2147)),0), FactorTable!$A$2:$A$301,0), Skills!M9+1)</f>
        <v/>
      </c>
      <c r="F2147">
        <f>IF(Skills!N9=TRUE,(Skills!L9/10)*(E2147/1000),Skills!L9/10)+Skills!O9</f>
        <v/>
      </c>
      <c r="G2147">
        <f>Skills!G9*IF(Skills!H9&gt;0,Skills!I9/Skills!H9,1)</f>
        <v/>
      </c>
      <c r="H2147">
        <f>1-(1-Skills!J9/100)^Skills!K9</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2158=TRUE)*(F2158-Calc!F20)),(Inputs!$B$23+0+(IF(ArtifactsInput!$M$15,CHOOSE(ArtifactsInput!$N$15+1,25,30,35,40,45,50)/100*(Inputs!$B$11-Inputs!$B$11),0))))/100+(Inputs!$B$23+0+(IF(ArtifactsInput!$M$15,CHOOSE(ArtifactsInput!$N$15+1,25,30,35,40,45,50)/100*(Inputs!$B$11-Inputs!$B$11),0)))/100)/2</f>
        <v/>
      </c>
      <c r="M2147">
        <f>L2147*(1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IF(B2174=0,0,O2147/B2174)</f>
        <v/>
      </c>
      <c r="Q2147">
        <f>IFERROR(1/(IF(Inputs!$B$38="pvp",15,MAX(0.1,Skills!D9-IF(Skills!E9=TRUE,Inputs!$B$32,0)))*(1-IF(AND(ArtifactsInput!$M$27,Inputs!$B$4="Chapter Hunt"),CHOOSE(ArtifactsInput!$N$27+1,20,24,28,32,36,40),0)/100)),0)</f>
        <v/>
      </c>
      <c r="R2147">
        <f>IF(AND(Inputs!$B$38&lt;&gt;"pvp",Inputs!$B$43&gt;0),IF(MAX(0,Inputs!$B$43-B2171)&lt;=0,0,(INT(MAX(0,Inputs!$B$43-B2171)/(IF(Inputs!$B$38="pvp",15,MAX(0.1,Skills!D9-IF(Skills!E9=TRUE,Inputs!$B$32,0)))*(1-IF(AND(ArtifactsInput!$M$27,Inputs!$B$4="Chapter Hunt"),CHOOSE(ArtifactsInput!$N$27+1,20,24,28,32,36,40),0)/100)))+1)),0)</f>
        <v/>
      </c>
      <c r="S2147">
        <f>IFERROR(O2147/N2147,0)</f>
        <v/>
      </c>
      <c r="T2147">
        <f>IF(C2147,(H2147*N2147*IF(AND(Inputs!$B$38&lt;&gt;"pvp",Inputs!$B$43&gt;0),((Skills!G9*((R2147-1)*IF(Skills!H9&gt;0,Skills!I9/Skills!H9,1)+IF(Skills!H9&gt;0,MIN(Skills!I9,MAX(0,MAX(0,Inputs!$B$43-B2171)-((R2147-1)*(IF(Inputs!$B$38="pvp",15,MAX(0.1,Skills!D9-IF(Skills!E9=TRUE,Inputs!$B$32,0)))*(1-IF(AND(ArtifactsInput!$M$27,Inputs!$B$4="Chapter Hunt"),CHOOSE(ArtifactsInput!$N$27+1,20,24,28,32,36,40),0)/100)))))/Skills!H9,1)))/Inputs!$B$43),G2147*Q2147)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9*((R2147-1)*IF(Skills!H9&gt;0,Skills!I9/Skills!H9,1)+IF(Skills!H9&gt;0,MIN(Skills!I9,MAX(0,MAX(0,Inputs!$B$43-B2171)-((R2147-1)*(IF(Inputs!$B$38="pvp",15,MAX(0.1,Skills!D9-IF(Skills!E9=TRUE,Inputs!$B$32,0)))*(1-IF(AND(ArtifactsInput!$M$27,Inputs!$B$4="Chapter Hunt"),CHOOSE(ArtifactsInput!$N$27+1,20,24,28,32,36,40),0)/100)))))/Skills!H9,1)))/Inputs!$B$43),G2147*Q2147))*IF(Inputs!$B$38="pvp",1,(1+(Inputs!$B$21+Skills!Q9+(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Skills!A10</f>
        <v/>
      </c>
      <c r="B2148">
        <f>Skills!B10</f>
        <v/>
      </c>
      <c r="C2148">
        <f>Inputs!$B$3&gt;=103</f>
        <v/>
      </c>
      <c r="D2148">
        <f>IF(Skills!C10=1,60+Inputs!$B$25+Inputs!$B$29,IF(Skills!C10=2,90+Inputs!$B$26+Inputs!$B$29,IF(Skills!C10=3,120+Inputs!$B$27+Inputs!$B$29,MAX(0,(Inputs!$B$3-100)*3)+Inputs!$B$28+Inputs!$B$29)))</f>
        <v/>
      </c>
      <c r="E2148">
        <f>INDEX(FactorTable!$B$2:$Y$301, MATCH(ROUND(MIN(300,MAX(1,D2148)),0), FactorTable!$A$2:$A$301,0), Skills!M10+1)</f>
        <v/>
      </c>
      <c r="F2148">
        <f>IF(Skills!N10=TRUE,(Skills!L10/10)*(E2148/1000),Skills!L10/10)+Skills!O10</f>
        <v/>
      </c>
      <c r="G2148">
        <f>Skills!G10*IF(Skills!H10&gt;0,Skills!I10/Skills!H10,1)</f>
        <v/>
      </c>
      <c r="H2148">
        <f>1-(1-Skills!J10/100)^Skills!K10</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2158=TRUE)*(F2158-Calc!F20)),(Inputs!$B$23+0+(IF(ArtifactsInput!$M$15,CHOOSE(ArtifactsInput!$N$15+1,25,30,35,40,45,50)/100*(Inputs!$B$11-Inputs!$B$11),0))))/100+(Inputs!$B$23+0+(IF(ArtifactsInput!$M$15,CHOOSE(ArtifactsInput!$N$15+1,25,30,35,40,45,50)/100*(Inputs!$B$11-Inputs!$B$11),0)))/100)/2</f>
        <v/>
      </c>
      <c r="M2148">
        <f>L2148*(1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IF(B2174=0,0,O2148/B2174)</f>
        <v/>
      </c>
      <c r="Q2148">
        <f>IFERROR(1/(IF(Inputs!$B$38="pvp",15,MAX(0.1,Skills!D10-IF(Skills!E10=TRUE,Inputs!$B$32,0)))*(1-IF(AND(ArtifactsInput!$M$27,Inputs!$B$4="Chapter Hunt"),CHOOSE(ArtifactsInput!$N$27+1,20,24,28,32,36,40),0)/100)),0)</f>
        <v/>
      </c>
      <c r="R2148">
        <f>IF(AND(Inputs!$B$38&lt;&gt;"pvp",Inputs!$B$43&gt;0),IF(MAX(0,Inputs!$B$43-B2171)&lt;=0,0,(INT(MAX(0,Inputs!$B$43-B2171)/(IF(Inputs!$B$38="pvp",15,MAX(0.1,Skills!D10-IF(Skills!E10=TRUE,Inputs!$B$32,0)))*(1-IF(AND(ArtifactsInput!$M$27,Inputs!$B$4="Chapter Hunt"),CHOOSE(ArtifactsInput!$N$27+1,20,24,28,32,36,40),0)/100)))+1)),0)</f>
        <v/>
      </c>
      <c r="S2148">
        <f>IFERROR(O2148/N2148,0)</f>
        <v/>
      </c>
      <c r="T2148">
        <f>IF(C2148,(H2148*N2148*IF(AND(Inputs!$B$38&lt;&gt;"pvp",Inputs!$B$43&gt;0),((Skills!G10*((R2148-1)*IF(Skills!H10&gt;0,Skills!I10/Skills!H10,1)+IF(Skills!H10&gt;0,MIN(Skills!I10,MAX(0,MAX(0,Inputs!$B$43-B2171)-((R2148-1)*(IF(Inputs!$B$38="pvp",15,MAX(0.1,Skills!D10-IF(Skills!E10=TRUE,Inputs!$B$32,0)))*(1-IF(AND(ArtifactsInput!$M$27,Inputs!$B$4="Chapter Hunt"),CHOOSE(ArtifactsInput!$N$27+1,20,24,28,32,36,40),0)/100)))))/Skills!H10,1)))/Inputs!$B$43),G2148*Q2148)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10*((R2148-1)*IF(Skills!H10&gt;0,Skills!I10/Skills!H10,1)+IF(Skills!H10&gt;0,MIN(Skills!I10,MAX(0,MAX(0,Inputs!$B$43-B2171)-((R2148-1)*(IF(Inputs!$B$38="pvp",15,MAX(0.1,Skills!D10-IF(Skills!E10=TRUE,Inputs!$B$32,0)))*(1-IF(AND(ArtifactsInput!$M$27,Inputs!$B$4="Chapter Hunt"),CHOOSE(ArtifactsInput!$N$27+1,20,24,28,32,36,40),0)/100)))))/Skills!H10,1)))/Inputs!$B$43),G2148*Q2148))*IF(Inputs!$B$38="pvp",1,(1+(Inputs!$B$21+Skills!Q10+(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Skills!A11</f>
        <v/>
      </c>
      <c r="B2149">
        <f>Skills!B11</f>
        <v/>
      </c>
      <c r="C2149">
        <f>Inputs!$B$3&gt;=113</f>
        <v/>
      </c>
      <c r="D2149">
        <f>IF(Skills!C11=1,60+Inputs!$B$25+Inputs!$B$29,IF(Skills!C11=2,90+Inputs!$B$26+Inputs!$B$29,IF(Skills!C11=3,120+Inputs!$B$27+Inputs!$B$29,MAX(0,(Inputs!$B$3-100)*3)+Inputs!$B$28+Inputs!$B$29)))</f>
        <v/>
      </c>
      <c r="E2149">
        <f>INDEX(FactorTable!$B$2:$Y$301, MATCH(ROUND(MIN(300,MAX(1,D2149)),0), FactorTable!$A$2:$A$301,0), Skills!M11+1)</f>
        <v/>
      </c>
      <c r="F2149">
        <f>IF(Skills!N11=TRUE,(Skills!L11/10)*(E2149/1000),Skills!L11/10)+Skills!O11</f>
        <v/>
      </c>
      <c r="G2149">
        <f>Skills!G11*IF(Skills!H11&gt;0,Skills!I11/Skills!H11,1)</f>
        <v/>
      </c>
      <c r="H2149">
        <f>1-(1-Skills!J11/100)^Skills!K11</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2160=TRUE)*(F2160-Calc!F22))+B2170)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HOOK_BOMBER",Inputs!$B$17+((C2159=TRUE)*(F2159-Calc!F21))+(((IF(AND(ArtifactsInput!$M$42,((Inputs!$B$9+((C2154=TRUE)*(F2154-Calc!F16))+B2164+(ArtifactsInput!$M$24-ArtifactsInput!$M$24)*CHOOSE(ArtifactsInput!$N$24+1,10,12,14,16,18,20)+IF(ArtifactsInput!$M$10,CHOOSE(ArtifactsInput!$N$10+1,15,18,21,24,27,30)*(IF(Inputs!$B$38="pvp",MIN(15,15)/15,IF(AND(Inputs!$B$38&lt;&gt;"pvp",Inputs!$B$43&gt;0),MIN(15,Inputs!$B$43)/(Inputs!$B$43),0))),0)))&gt;=100),MIN(100,((Inputs!$B$9+((C2154=TRUE)*(F2154-Calc!F16))+B2164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2154=TRUE)*(F2154-Calc!F16))+B2164+(ArtifactsInput!$M$24-ArtifactsInput!$M$24)*CHOOSE(ArtifactsInput!$N$24+1,10,12,14,16,18,20)+IF(ArtifactsInput!$M$10,CHOOSE(ArtifactsInput!$N$10+1,15,18,21,24,27,30)*(IF(Inputs!$B$38="pvp",MIN(15,15)/15,IF(AND(Inputs!$B$38&lt;&gt;"pvp",Inputs!$B$43&gt;0),MIN(15,Inputs!$B$43)/(Inputs!$B$43),0))),0)))&gt;=100),CHOOSE(ArtifactsInput!$N$42+1,40,48,56,64,72,80),0))))/100)*((1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2158=TRUE)*(F2158-Calc!F20)),(Inputs!$B$23+0+(IF(ArtifactsInput!$M$15,CHOOSE(ArtifactsInput!$N$15+1,25,30,35,40,45,50)/100*(Inputs!$B$11-Inputs!$B$11),0))))/100+(Inputs!$B$23+0+(IF(ArtifactsInput!$M$15,CHOOSE(ArtifactsInput!$N$15+1,25,30,35,40,45,50)/100*(Inputs!$B$11-Inputs!$B$11),0)))/100)/2</f>
        <v/>
      </c>
      <c r="M2149">
        <f>L2149*(1+(Inputs!$B$10+0+B2169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IF(B2174=0,0,O2149/B2174)</f>
        <v/>
      </c>
      <c r="Q2149">
        <f>IFERROR(1/(IF(Inputs!$B$38="pvp",15,MAX(0.1,Skills!D11-IF(Skills!E11=TRUE,Inputs!$B$32,0)))*(1-IF(AND(ArtifactsInput!$M$27,Inputs!$B$4="Chapter Hunt"),CHOOSE(ArtifactsInput!$N$27+1,20,24,28,32,36,40),0)/100)),0)</f>
        <v/>
      </c>
      <c r="R2149">
        <f>IF(AND(Inputs!$B$38&lt;&gt;"pvp",Inputs!$B$43&gt;0),IF(MAX(0,Inputs!$B$43-B2171)&lt;=0,0,(INT(MAX(0,Inputs!$B$43-B2171)/(IF(Inputs!$B$38="pvp",15,MAX(0.1,Skills!D11-IF(Skills!E11=TRUE,Inputs!$B$32,0)))*(1-IF(AND(ArtifactsInput!$M$27,Inputs!$B$4="Chapter Hunt"),CHOOSE(ArtifactsInput!$N$27+1,20,24,28,32,36,40),0)/100)))+1)),0)</f>
        <v/>
      </c>
      <c r="S2149">
        <f>IFERROR(O2149/N2149,0)</f>
        <v/>
      </c>
      <c r="T2149">
        <f>IF(C2149,(H2149*N2149*IF(AND(Inputs!$B$38&lt;&gt;"pvp",Inputs!$B$43&gt;0),((Skills!G11*((R2149-1)*IF(Skills!H11&gt;0,Skills!I11/Skills!H11,1)+IF(Skills!H11&gt;0,MIN(Skills!I11,MAX(0,MAX(0,Inputs!$B$43-B2171)-((R2149-1)*(IF(Inputs!$B$38="pvp",15,MAX(0.1,Skills!D11-IF(Skills!E11=TRUE,Inputs!$B$32,0)))*(1-IF(AND(ArtifactsInput!$M$27,Inputs!$B$4="Chapter Hunt"),CHOOSE(ArtifactsInput!$N$27+1,20,24,28,32,36,40),0)/100)))))/Skills!H11,1)))/Inputs!$B$43),G2149*Q2149)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2154=TRUE)*(F2154-Calc!F16))+B2164+(ArtifactsInput!$M$24-ArtifactsInput!$M$24)*CHOOSE(ArtifactsInput!$N$24+1,10,12,14,16,18,20)+(IF(AND(ArtifactsInput!$M$42,((Inputs!$B$9+((C2154=TRUE)*(F2154-Calc!F16))+B2164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11*((R2149-1)*IF(Skills!H11&gt;0,Skills!I11/Skills!H11,1)+IF(Skills!H11&gt;0,MIN(Skills!I11,MAX(0,MAX(0,Inputs!$B$43-B2171)-((R2149-1)*(IF(Inputs!$B$38="pvp",15,MAX(0.1,Skills!D11-IF(Skills!E11=TRUE,Inputs!$B$32,0)))*(1-IF(AND(ArtifactsInput!$M$27,Inputs!$B$4="Chapter Hunt"),CHOOSE(ArtifactsInput!$N$27+1,20,24,28,32,36,40),0)/100)))))/Skills!H11,1)))/Inputs!$B$43),G2149*Q2149))*IF(Inputs!$B$38="pvp",1,(1+(Inputs!$B$21+Skills!Q11+(IF(ArtifactsInput!$M$33,CHOOSE(ArtifactsInput!$N$33+1,30,36,42,48,54,60),0))+(IF(AND(ArtifactsInput!$M$35,Inputs!$B$4&lt;&gt;"Chapter Hunt"),CHOOSE(ArtifactsInput!$N$35+1,15,18,21,24,27,30)*(1-EXP(-(0.2*B2166)*5)),0)+IF(AND(ArtifactsInput!$M$22,Inputs!$B$4&lt;&gt;"Chapter Hunt"),CHOOSE(ArtifactsInput!$N$22+1,10,12,14,16,18,20)*((0*(((0.15*B2166*5))^0/1)+1*(((0.15*B2166*5))^1/1)+2*(((0.15*B2166*5))^2/2)+3*(((0.15*B2166*5))^3/6)+4*(((0.15*B2166*5))^4/24)+5*(((0.15*B2166*5))^5/120))/((((0.15*B2166*5))^0/1)+(((0.15*B2166*5))^1/1)+(((0.15*B2166*5))^2/2)+(((0.15*B2166*5))^3/6)+(((0.15*B2166*5))^4/24)+(((0.15*B2166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Skills!A12</f>
        <v/>
      </c>
      <c r="B2150">
        <f>Skills!B12</f>
        <v/>
      </c>
      <c r="C2150">
        <f>Inputs!$B$3&gt;=100</f>
        <v/>
      </c>
      <c r="D2150">
        <f>IF(Skills!C12=1,60+Inputs!$B$25+Inputs!$B$29,IF(Skills!C12=2,90+Inputs!$B$26+Inputs!$B$29,IF(Skills!C12=3,120+Inputs!$B$27+Inputs!$B$29,MAX(0,(Inputs!$B$3-100)*3)+Inputs!$B$28+Inputs!$B$29)))</f>
        <v/>
      </c>
      <c r="E2150">
        <f>INDEX(FactorTable!$B$2:$Y$301, MATCH(ROUND(MIN(300,MAX(1,D2150)),0), FactorTable!$A$2:$A$301,0), Skills!M12+1)</f>
        <v/>
      </c>
      <c r="F2150">
        <f>IF(Skills!N12=TRUE,(Skills!L12/10)*(E2150/1000),Skills!L12/10)+Skills!O12</f>
        <v/>
      </c>
      <c r="G2150" t="inlineStr"/>
      <c r="H2150" t="inlineStr"/>
      <c r="I2150" t="inlineStr">
        <is>
          <t>1</t>
        </is>
      </c>
      <c r="J2150" t="inlineStr"/>
      <c r="K2150" t="inlineStr"/>
      <c r="L2150" t="inlineStr"/>
      <c r="M2150" t="inlineStr"/>
      <c r="N2150" t="inlineStr"/>
      <c r="O2150" t="inlineStr"/>
      <c r="P2150" t="inlineStr"/>
      <c r="Q2150" t="inlineStr"/>
      <c r="R2150" t="inlineStr"/>
      <c r="S2150" t="inlineStr"/>
      <c r="T2150" t="inlineStr"/>
      <c r="V2150" t="inlineStr"/>
    </row>
    <row r="2151">
      <c r="A2151">
        <f>Skills!A13</f>
        <v/>
      </c>
      <c r="B2151">
        <f>Skills!B13</f>
        <v/>
      </c>
      <c r="C2151">
        <f>Inputs!$B$3&gt;=66</f>
        <v/>
      </c>
      <c r="D2151">
        <f>IF(Skills!C13=1,60+Inputs!$B$25+Inputs!$B$29,IF(Skills!C13=2,90+Inputs!$B$26+Inputs!$B$29,IF(Skills!C13=3,120+Inputs!$B$27+Inputs!$B$29,MAX(0,(Inputs!$B$3-100)*3)+Inputs!$B$28+Inputs!$B$29)))</f>
        <v/>
      </c>
      <c r="E2151">
        <f>INDEX(FactorTable!$B$2:$Y$301, MATCH(ROUND(MIN(300,MAX(1,D2151)),0), FactorTable!$A$2:$A$301,0), Skills!M13+1)</f>
        <v/>
      </c>
      <c r="F2151">
        <f>IF(Skills!N13=TRUE,(Skills!L13/10)*(E2151/1000),Skills!L13/10)+Skills!O13</f>
        <v/>
      </c>
      <c r="G2151">
        <f>Skills!G13*IF(Skills!H13&gt;0,Skills!I13/Skills!H13,1)</f>
        <v/>
      </c>
      <c r="H2151">
        <f>1-(1-Skills!J13/100)^Skills!K13</f>
        <v/>
      </c>
      <c r="I2151" t="inlineStr">
        <is>
          <t>1</t>
        </is>
      </c>
      <c r="J2151" t="inlineStr"/>
      <c r="K2151" t="inlineStr"/>
      <c r="L2151" t="inlineStr"/>
      <c r="M2151" t="inlineStr"/>
      <c r="N2151" t="inlineStr"/>
      <c r="O2151">
        <f>(1-Summary!$B$11)*T2151+Summary!$B$11*V2151</f>
        <v/>
      </c>
      <c r="P2151">
        <f>IF(B2174=0,0,O2151/B2174)</f>
        <v/>
      </c>
      <c r="Q2151" t="n">
        <v>0</v>
      </c>
      <c r="R2151" t="n">
        <v>0</v>
      </c>
      <c r="S2151">
        <f>IFERROR(O2151/N2151,0)</f>
        <v/>
      </c>
      <c r="T2151" t="n">
        <v>0</v>
      </c>
      <c r="V2151" t="n">
        <v>0</v>
      </c>
    </row>
    <row r="2152">
      <c r="A2152">
        <f>Skills!A14</f>
        <v/>
      </c>
      <c r="B2152">
        <f>Skills!B14</f>
        <v/>
      </c>
      <c r="C2152">
        <f>Inputs!$B$3&gt;=107</f>
        <v/>
      </c>
      <c r="D2152">
        <f>IF(Skills!C14=1,60+Inputs!$B$25+Inputs!$B$29,IF(Skills!C14=2,90+Inputs!$B$26+Inputs!$B$29,IF(Skills!C14=3,120+Inputs!$B$27+Inputs!$B$29,MAX(0,(Inputs!$B$3-100)*3)+Inputs!$B$28+Inputs!$B$29)))</f>
        <v/>
      </c>
      <c r="E2152">
        <f>INDEX(FactorTable!$B$2:$Y$301, MATCH(ROUND(MIN(300,MAX(1,D2152)),0), FactorTable!$A$2:$A$301,0), Skills!M14+1)</f>
        <v/>
      </c>
      <c r="F2152">
        <f>IF(Skills!N14=TRUE,(Skills!L14/10)*(E2152/1000),Skills!L14/10)+Skills!O14</f>
        <v/>
      </c>
      <c r="G2152">
        <f>Skills!G14*IF(Skills!H14&gt;0,Skills!I14/Skills!H14,1)</f>
        <v/>
      </c>
      <c r="H2152">
        <f>1-(1-Skills!J14/100)^Skills!K14</f>
        <v/>
      </c>
      <c r="I2152" t="inlineStr">
        <is>
          <t>1</t>
        </is>
      </c>
      <c r="J2152" t="inlineStr"/>
      <c r="K2152" t="inlineStr"/>
      <c r="L2152" t="inlineStr"/>
      <c r="M2152" t="inlineStr"/>
      <c r="N2152" t="inlineStr"/>
      <c r="O2152">
        <f>(1-Summary!$B$11)*T2152+Summary!$B$11*V2152</f>
        <v/>
      </c>
      <c r="P2152">
        <f>IF(B2174=0,0,O2152/B2174)</f>
        <v/>
      </c>
      <c r="Q2152">
        <f>IFERROR(1/(IF(Inputs!$B$38="pvp",15,MAX(0.1,Skills!D14-IF(Skills!E14=TRUE,Inputs!$B$32,0)))*(1-IF(AND(ArtifactsInput!$M$27,Inputs!$B$4="Chapter Hunt"),CHOOSE(ArtifactsInput!$N$27+1,20,24,28,32,36,40),0)/100)),0)</f>
        <v/>
      </c>
      <c r="R2152">
        <f>IF(AND(Inputs!$B$38&lt;&gt;"pvp",Inputs!$B$43&gt;0),IF(Inputs!$B$43&lt;=0,0,(INT(Inputs!$B$43/(IF(Inputs!$B$38="pvp",15,MAX(0.1,Skills!D14-IF(Skills!E14=TRUE,Inputs!$B$32,0)))*(1-IF(AND(ArtifactsInput!$M$27,Inputs!$B$4="Chapter Hunt"),CHOOSE(ArtifactsInput!$N$27+1,20,24,28,32,36,40),0)/100)))+1)),0)</f>
        <v/>
      </c>
      <c r="S2152">
        <f>IFERROR(O2152/N2152,0)</f>
        <v/>
      </c>
      <c r="T2152" t="n">
        <v>0</v>
      </c>
      <c r="V2152" t="n">
        <v>0</v>
      </c>
    </row>
    <row r="2153">
      <c r="A2153">
        <f>Skills!A15</f>
        <v/>
      </c>
      <c r="B2153">
        <f>Skills!B15</f>
        <v/>
      </c>
      <c r="C2153">
        <f>Inputs!$B$3&gt;=115</f>
        <v/>
      </c>
      <c r="D2153">
        <f>IF(Skills!C15=1,60+Inputs!$B$25+Inputs!$B$29,IF(Skills!C15=2,90+Inputs!$B$26+Inputs!$B$29,IF(Skills!C15=3,120+Inputs!$B$27+Inputs!$B$29,MAX(0,(Inputs!$B$3-100)*3)+Inputs!$B$28+Inputs!$B$29)))</f>
        <v/>
      </c>
      <c r="E2153">
        <f>INDEX(FactorTable!$B$2:$Y$301, MATCH(ROUND(MIN(300,MAX(1,D2153)),0), FactorTable!$A$2:$A$301,0), Skills!M15+1)</f>
        <v/>
      </c>
      <c r="F2153">
        <f>IF(Skills!N15=TRUE,(Skills!L15/10)*(E2153/1000),Skills!L15/10)+Skills!O15</f>
        <v/>
      </c>
      <c r="G2153">
        <f>Skills!G15*IF(Skills!H15&gt;0,Skills!I15/Skills!H15,1)</f>
        <v/>
      </c>
      <c r="H2153">
        <f>1-(1-Skills!J15/100)^Skills!K15</f>
        <v/>
      </c>
      <c r="I2153" t="inlineStr">
        <is>
          <t>1</t>
        </is>
      </c>
      <c r="J2153" t="inlineStr"/>
      <c r="K2153" t="inlineStr"/>
      <c r="L2153" t="inlineStr"/>
      <c r="M2153" t="inlineStr"/>
      <c r="N2153" t="inlineStr"/>
      <c r="O2153">
        <f>(1-Summary!$B$11)*T2153+Summary!$B$11*V2153</f>
        <v/>
      </c>
      <c r="P2153">
        <f>IF(B2174=0,0,O2153/B2174)</f>
        <v/>
      </c>
      <c r="Q2153">
        <f>IFERROR(1/(IF(Inputs!$B$38="pvp",15,MAX(0.1,Skills!D15-IF(Skills!E15=TRUE,Inputs!$B$32,0)))*(1-IF(AND(ArtifactsInput!$M$27,Inputs!$B$4="Chapter Hunt"),CHOOSE(ArtifactsInput!$N$27+1,20,24,28,32,36,40),0)/100)),0)</f>
        <v/>
      </c>
      <c r="R2153">
        <f>IF(AND(Inputs!$B$38&lt;&gt;"pvp",Inputs!$B$43&gt;0),IF(Inputs!$B$43&lt;=0,0,(INT(Inputs!$B$43/(IF(Inputs!$B$38="pvp",15,MAX(0.1,Skills!D15-IF(Skills!E15=TRUE,Inputs!$B$32,0)))*(1-IF(AND(ArtifactsInput!$M$27,Inputs!$B$4="Chapter Hunt"),CHOOSE(ArtifactsInput!$N$27+1,20,24,28,32,36,40),0)/100)))+1)),0)</f>
        <v/>
      </c>
      <c r="S2153">
        <f>IFERROR(O2153/N2153,0)</f>
        <v/>
      </c>
      <c r="T2153" t="n">
        <v>0</v>
      </c>
      <c r="V2153" t="n">
        <v>0</v>
      </c>
    </row>
    <row r="2154">
      <c r="A2154">
        <f>Skills!A16</f>
        <v/>
      </c>
      <c r="B2154">
        <f>Skills!B16</f>
        <v/>
      </c>
      <c r="C2154">
        <f>Inputs!$B$3&gt;=15</f>
        <v/>
      </c>
      <c r="D2154">
        <f>IF(Skills!C16=1,60+Inputs!$B$25+Inputs!$B$29,IF(Skills!C16=2,90+Inputs!$B$26+Inputs!$B$29,IF(Skills!C16=3,120+Inputs!$B$27+Inputs!$B$29,MAX(0,(Inputs!$B$3-100)*3)+Inputs!$B$28+Inputs!$B$29)))</f>
        <v/>
      </c>
      <c r="E2154">
        <f>INDEX(FactorTable!$B$2:$Y$301, MATCH(ROUND(MIN(300,MAX(1,D2154)),0), FactorTable!$A$2:$A$301,0), Skills!M16+1)</f>
        <v/>
      </c>
      <c r="F2154">
        <f>IF(Skills!N16=TRUE,(Skills!L16/10)*(E2154/1000),Skills!L16/10)+Skills!O16</f>
        <v/>
      </c>
      <c r="G2154">
        <f>Skills!G16*IF(Skills!H16&gt;0,Skills!I16/Skills!H16,1)</f>
        <v/>
      </c>
      <c r="H2154">
        <f>1-(1-Skills!J16/100)^Skills!K16</f>
        <v/>
      </c>
      <c r="I2154" t="inlineStr">
        <is>
          <t>1</t>
        </is>
      </c>
      <c r="J2154" t="inlineStr"/>
      <c r="K2154" t="inlineStr"/>
      <c r="L2154" t="inlineStr"/>
      <c r="M2154" t="inlineStr"/>
      <c r="N2154" t="inlineStr"/>
      <c r="O2154">
        <f>(1-Summary!$B$11)*T2154+Summary!$B$11*V2154</f>
        <v/>
      </c>
      <c r="P2154">
        <f>IF(B2174=0,0,O2154/B2174)</f>
        <v/>
      </c>
      <c r="Q2154" t="n">
        <v>0</v>
      </c>
      <c r="R2154" t="n">
        <v>0</v>
      </c>
      <c r="S2154">
        <f>IFERROR(O2154/N2154,0)</f>
        <v/>
      </c>
      <c r="T2154" t="n">
        <v>0</v>
      </c>
      <c r="V2154" t="n">
        <v>0</v>
      </c>
    </row>
    <row r="2155">
      <c r="A2155">
        <f>Skills!A17</f>
        <v/>
      </c>
      <c r="B2155">
        <f>Skills!B17</f>
        <v/>
      </c>
      <c r="C2155">
        <f>Inputs!$B$3&gt;=10</f>
        <v/>
      </c>
      <c r="D2155">
        <f>IF(Skills!C17=1,60+Inputs!$B$25+Inputs!$B$29,IF(Skills!C17=2,90+Inputs!$B$26+Inputs!$B$29,IF(Skills!C17=3,120+Inputs!$B$27+Inputs!$B$29,MAX(0,(Inputs!$B$3-100)*3)+Inputs!$B$28+Inputs!$B$29)))</f>
        <v/>
      </c>
      <c r="E2155">
        <f>INDEX(FactorTable!$B$2:$Y$301, MATCH(ROUND(MIN(300,MAX(1,D2155)),0), FactorTable!$A$2:$A$301,0), Skills!M17+1)</f>
        <v/>
      </c>
      <c r="F2155">
        <f>IF(Skills!N17=TRUE,(Skills!L17/10)*(E2155/1000),Skills!L17/10)+Skills!O17</f>
        <v/>
      </c>
      <c r="G2155">
        <f>Skills!G17*IF(Skills!H17&gt;0,Skills!I17/Skills!H17,1)</f>
        <v/>
      </c>
      <c r="H2155">
        <f>1-(1-Skills!J17/100)^Skills!K17</f>
        <v/>
      </c>
      <c r="I2155" t="inlineStr">
        <is>
          <t>1</t>
        </is>
      </c>
      <c r="J2155" t="inlineStr"/>
      <c r="K2155" t="inlineStr"/>
      <c r="L2155" t="inlineStr"/>
      <c r="M2155" t="inlineStr"/>
      <c r="N2155" t="inlineStr"/>
      <c r="O2155">
        <f>(1-Summary!$B$11)*T2155+Summary!$B$11*V2155</f>
        <v/>
      </c>
      <c r="P2155">
        <f>IF(B2174=0,0,O2155/B2174)</f>
        <v/>
      </c>
      <c r="Q2155" t="n">
        <v>0</v>
      </c>
      <c r="R2155" t="n">
        <v>0</v>
      </c>
      <c r="S2155">
        <f>IFERROR(O2155/N2155,0)</f>
        <v/>
      </c>
      <c r="T2155" t="n">
        <v>0</v>
      </c>
      <c r="V2155" t="n">
        <v>0</v>
      </c>
    </row>
    <row r="2156">
      <c r="A2156">
        <f>Skills!A18</f>
        <v/>
      </c>
      <c r="B2156">
        <f>Skills!B18</f>
        <v/>
      </c>
      <c r="C2156">
        <f>Inputs!$B$3&gt;=33</f>
        <v/>
      </c>
      <c r="D2156">
        <f>IF(Skills!C18=1,60+Inputs!$B$25+Inputs!$B$29,IF(Skills!C18=2,90+Inputs!$B$26+Inputs!$B$29,IF(Skills!C18=3,120+Inputs!$B$27+Inputs!$B$29,MAX(0,(Inputs!$B$3-100)*3)+Inputs!$B$28+Inputs!$B$29)))</f>
        <v/>
      </c>
      <c r="E2156">
        <f>INDEX(FactorTable!$B$2:$Y$301, MATCH(ROUND(MIN(300,MAX(1,D2156)),0), FactorTable!$A$2:$A$301,0), Skills!M18+1)</f>
        <v/>
      </c>
      <c r="F2156">
        <f>IF(Skills!N18=TRUE,(Skills!L18/10)*(E2156/1000),Skills!L18/10)+Skills!O18</f>
        <v/>
      </c>
      <c r="G2156">
        <f>Skills!G18*IF(Skills!H18&gt;0,Skills!I18/Skills!H18,1)</f>
        <v/>
      </c>
      <c r="H2156">
        <f>1-(1-Skills!J18/100)^Skills!K18</f>
        <v/>
      </c>
      <c r="I2156" t="inlineStr">
        <is>
          <t>1</t>
        </is>
      </c>
      <c r="J2156" t="inlineStr"/>
      <c r="K2156" t="inlineStr"/>
      <c r="L2156" t="inlineStr"/>
      <c r="M2156" t="inlineStr"/>
      <c r="N2156" t="inlineStr"/>
      <c r="O2156">
        <f>(1-Summary!$B$11)*T2156+Summary!$B$11*V2156</f>
        <v/>
      </c>
      <c r="P2156">
        <f>IF(B2174=0,0,O2156/B2174)</f>
        <v/>
      </c>
      <c r="Q2156" t="n">
        <v>0</v>
      </c>
      <c r="R2156" t="n">
        <v>0</v>
      </c>
      <c r="S2156">
        <f>IFERROR(O2156/N2156,0)</f>
        <v/>
      </c>
      <c r="T2156" t="n">
        <v>0</v>
      </c>
      <c r="V2156" t="n">
        <v>0</v>
      </c>
    </row>
    <row r="2157">
      <c r="A2157">
        <f>Skills!A19</f>
        <v/>
      </c>
      <c r="B2157">
        <f>Skills!B19</f>
        <v/>
      </c>
      <c r="C2157">
        <f>Inputs!$B$3&gt;=40</f>
        <v/>
      </c>
      <c r="D2157">
        <f>IF(Skills!C19=1,60+Inputs!$B$25+Inputs!$B$29,IF(Skills!C19=2,90+Inputs!$B$26+Inputs!$B$29,IF(Skills!C19=3,120+Inputs!$B$27+Inputs!$B$29,MAX(0,(Inputs!$B$3-100)*3)+Inputs!$B$28+Inputs!$B$29)))</f>
        <v/>
      </c>
      <c r="E2157">
        <f>INDEX(FactorTable!$B$2:$Y$301, MATCH(ROUND(MIN(300,MAX(1,D2157)),0), FactorTable!$A$2:$A$301,0), Skills!M19+1)</f>
        <v/>
      </c>
      <c r="F2157">
        <f>IF(Skills!N19=TRUE,(Skills!L19/10)*(E2157/1000),Skills!L19/10)+Skills!O19</f>
        <v/>
      </c>
      <c r="G2157">
        <f>Skills!G19*IF(Skills!H19&gt;0,Skills!I19/Skills!H19,1)</f>
        <v/>
      </c>
      <c r="H2157">
        <f>1-(1-Skills!J19/100)^Skills!K19</f>
        <v/>
      </c>
      <c r="I2157" t="inlineStr">
        <is>
          <t>1</t>
        </is>
      </c>
      <c r="J2157" t="inlineStr"/>
      <c r="K2157" t="inlineStr"/>
      <c r="L2157" t="inlineStr"/>
      <c r="M2157" t="inlineStr"/>
      <c r="N2157" t="inlineStr"/>
      <c r="O2157">
        <f>(1-Summary!$B$11)*T2157+Summary!$B$11*V2157</f>
        <v/>
      </c>
      <c r="P2157">
        <f>IF(B2174=0,0,O2157/B2174)</f>
        <v/>
      </c>
      <c r="Q2157" t="n">
        <v>0</v>
      </c>
      <c r="R2157" t="n">
        <v>0</v>
      </c>
      <c r="S2157">
        <f>IFERROR(O2157/N2157,0)</f>
        <v/>
      </c>
      <c r="T2157" t="n">
        <v>0</v>
      </c>
      <c r="V2157" t="n">
        <v>0</v>
      </c>
    </row>
    <row r="2158">
      <c r="A2158">
        <f>Skills!A20</f>
        <v/>
      </c>
      <c r="B2158">
        <f>Skills!B20</f>
        <v/>
      </c>
      <c r="C2158">
        <f>Inputs!$B$3&gt;=43</f>
        <v/>
      </c>
      <c r="D2158">
        <f>IF(Skills!C20=1,60+Inputs!$B$25+Inputs!$B$29,IF(Skills!C20=2,90+Inputs!$B$26+Inputs!$B$29,IF(Skills!C20=3,120+Inputs!$B$27+Inputs!$B$29,MAX(0,(Inputs!$B$3-100)*3)+Inputs!$B$28+Inputs!$B$29)))</f>
        <v/>
      </c>
      <c r="E2158">
        <f>INDEX(FactorTable!$B$2:$Y$301, MATCH(ROUND(MIN(300,MAX(1,D2158)),0), FactorTable!$A$2:$A$301,0), Skills!M20+1)</f>
        <v/>
      </c>
      <c r="F2158">
        <f>IF(Skills!N20=TRUE,(Skills!L20/10)*(E2158/1000),Skills!L20/10)+Skills!O20</f>
        <v/>
      </c>
      <c r="G2158">
        <f>Skills!G20*IF(Skills!H20&gt;0,Skills!I20/Skills!H20,1)</f>
        <v/>
      </c>
      <c r="H2158">
        <f>1-(1-Skills!J20/100)^Skills!K20</f>
        <v/>
      </c>
      <c r="I2158" t="inlineStr">
        <is>
          <t>1</t>
        </is>
      </c>
      <c r="J2158" t="inlineStr"/>
      <c r="K2158" t="inlineStr"/>
      <c r="L2158" t="inlineStr"/>
      <c r="M2158" t="inlineStr"/>
      <c r="N2158" t="inlineStr"/>
      <c r="O2158">
        <f>(1-Summary!$B$11)*T2158+Summary!$B$11*V2158</f>
        <v/>
      </c>
      <c r="P2158">
        <f>IF(B2174=0,0,O2158/B2174)</f>
        <v/>
      </c>
      <c r="Q2158" t="n">
        <v>0</v>
      </c>
      <c r="R2158" t="n">
        <v>0</v>
      </c>
      <c r="S2158">
        <f>IFERROR(O2158/N2158,0)</f>
        <v/>
      </c>
      <c r="T2158" t="n">
        <v>0</v>
      </c>
      <c r="V2158" t="n">
        <v>0</v>
      </c>
    </row>
    <row r="2159">
      <c r="A2159">
        <f>Skills!A21</f>
        <v/>
      </c>
      <c r="B2159">
        <f>Skills!B21</f>
        <v/>
      </c>
      <c r="C2159">
        <f>Inputs!$B$3&gt;=38</f>
        <v/>
      </c>
      <c r="D2159">
        <f>IF(Skills!C21=1,60+Inputs!$B$25+Inputs!$B$29,IF(Skills!C21=2,90+Inputs!$B$26+Inputs!$B$29,IF(Skills!C21=3,120+Inputs!$B$27+Inputs!$B$29,MAX(0,(Inputs!$B$3-100)*3)+Inputs!$B$28+Inputs!$B$29)))</f>
        <v/>
      </c>
      <c r="E2159">
        <f>INDEX(FactorTable!$B$2:$Y$301, MATCH(ROUND(MIN(300,MAX(1,D2159)),0), FactorTable!$A$2:$A$301,0), Skills!M21+1)</f>
        <v/>
      </c>
      <c r="F2159">
        <f>IF(Skills!N21=TRUE,(Skills!L21/10)*(E2159/1000),Skills!L21/10)+Skills!O21</f>
        <v/>
      </c>
      <c r="G2159">
        <f>Skills!G21*IF(Skills!H21&gt;0,Skills!I21/Skills!H21,1)</f>
        <v/>
      </c>
      <c r="H2159">
        <f>1-(1-Skills!J21/100)^Skills!K21</f>
        <v/>
      </c>
      <c r="I2159" t="inlineStr">
        <is>
          <t>1</t>
        </is>
      </c>
      <c r="J2159" t="inlineStr"/>
      <c r="K2159" t="inlineStr"/>
      <c r="L2159" t="inlineStr"/>
      <c r="M2159" t="inlineStr"/>
      <c r="N2159" t="inlineStr"/>
      <c r="O2159">
        <f>(1-Summary!$B$11)*T2159+Summary!$B$11*V2159</f>
        <v/>
      </c>
      <c r="P2159">
        <f>IF(B2174=0,0,O2159/B2174)</f>
        <v/>
      </c>
      <c r="Q2159" t="n">
        <v>0</v>
      </c>
      <c r="R2159" t="n">
        <v>0</v>
      </c>
      <c r="S2159">
        <f>IFERROR(O2159/N2159,0)</f>
        <v/>
      </c>
      <c r="T2159" t="n">
        <v>0</v>
      </c>
      <c r="V2159" t="n">
        <v>0</v>
      </c>
    </row>
    <row r="2160">
      <c r="A2160">
        <f>Skills!A22</f>
        <v/>
      </c>
      <c r="B2160">
        <f>Skills!B22</f>
        <v/>
      </c>
      <c r="C2160">
        <f>Inputs!$B$3&gt;=75</f>
        <v/>
      </c>
      <c r="D2160">
        <f>IF(Skills!C22=1,60+Inputs!$B$25+Inputs!$B$29,IF(Skills!C22=2,90+Inputs!$B$26+Inputs!$B$29,IF(Skills!C22=3,120+Inputs!$B$27+Inputs!$B$29,MAX(0,(Inputs!$B$3-100)*3)+Inputs!$B$28+Inputs!$B$29)))</f>
        <v/>
      </c>
      <c r="E2160">
        <f>INDEX(FactorTable!$B$2:$Y$301, MATCH(ROUND(MIN(300,MAX(1,D2160)),0), FactorTable!$A$2:$A$301,0), Skills!M22+1)</f>
        <v/>
      </c>
      <c r="F2160">
        <f>IF(Skills!N22=TRUE,(Skills!L22/10)*(E2160/1000),Skills!L22/10)+Skills!O22</f>
        <v/>
      </c>
      <c r="G2160">
        <f>Skills!G22*IF(Skills!H22&gt;0,Skills!I22/Skills!H22,1)</f>
        <v/>
      </c>
      <c r="H2160">
        <f>1-(1-Skills!J22/100)^Skills!K22</f>
        <v/>
      </c>
      <c r="I2160" t="inlineStr">
        <is>
          <t>1</t>
        </is>
      </c>
      <c r="J2160" t="inlineStr"/>
      <c r="K2160" t="inlineStr"/>
      <c r="L2160" t="inlineStr"/>
      <c r="M2160" t="inlineStr"/>
      <c r="N2160" t="inlineStr"/>
      <c r="O2160">
        <f>(1-Summary!$B$11)*T2160+Summary!$B$11*V2160</f>
        <v/>
      </c>
      <c r="P2160">
        <f>IF(B2174=0,0,O2160/B2174)</f>
        <v/>
      </c>
      <c r="Q2160" t="n">
        <v>0</v>
      </c>
      <c r="R2160" t="n">
        <v>0</v>
      </c>
      <c r="S2160">
        <f>IFERROR(O2160/N2160,0)</f>
        <v/>
      </c>
      <c r="T2160" t="n">
        <v>0</v>
      </c>
      <c r="V2160" t="n">
        <v>0</v>
      </c>
    </row>
    <row r="2161">
      <c r="A2161">
        <f>Skills!A23</f>
        <v/>
      </c>
      <c r="B2161">
        <f>Skills!B23</f>
        <v/>
      </c>
      <c r="C2161">
        <f>TRUE</f>
        <v/>
      </c>
      <c r="D2161">
        <f>IF(Skills!C23=1,60+Inputs!$B$25+Inputs!$B$29,IF(Skills!C23=2,90+Inputs!$B$26+Inputs!$B$29,IF(Skills!C23=3,120+Inputs!$B$27+Inputs!$B$29,MAX(0,(Inputs!$B$3-100)*3)+Inputs!$B$28+Inputs!$B$29)))</f>
        <v/>
      </c>
      <c r="E2161">
        <f>INDEX(FactorTable!$B$2:$Y$301, MATCH(ROUND(MIN(300,MAX(1,D2161)),0), FactorTable!$A$2:$A$301,0), Skills!M23+1)</f>
        <v/>
      </c>
      <c r="F2161">
        <f>IF(Skills!N23=TRUE,(Skills!L23/10)*(E2161/1000),Skills!L23/10)+Skills!O23</f>
        <v/>
      </c>
      <c r="G2161">
        <f>Skills!G23*IF(Skills!H23&gt;0,Skills!I23/Skills!H23,1)</f>
        <v/>
      </c>
      <c r="H2161">
        <f>1-(1-Skills!J23/100)^Skills!K23</f>
        <v/>
      </c>
      <c r="I2161" t="inlineStr">
        <is>
          <t>1</t>
        </is>
      </c>
      <c r="J2161" t="inlineStr"/>
      <c r="K2161" t="inlineStr"/>
      <c r="L2161" t="inlineStr"/>
      <c r="M2161" t="inlineStr"/>
      <c r="N2161" t="inlineStr"/>
      <c r="O2161">
        <f>(1-Summary!$B$11)*T2161+Summary!$B$11*V2161</f>
        <v/>
      </c>
      <c r="P2161">
        <f>IF(B2174=0,0,O2161/B2174)</f>
        <v/>
      </c>
      <c r="Q2161">
        <f>IFERROR(1/(IF(Inputs!$B$38="pvp",15,MAX(0.1,Skills!D23-IF(Skills!E23=TRUE,Inputs!$B$32,0)))*(1-IF(AND(ArtifactsInput!$M$27,Inputs!$B$4="Chapter Hunt"),CHOOSE(ArtifactsInput!$N$27+1,20,24,28,32,36,40),0)/100)),0)</f>
        <v/>
      </c>
      <c r="R2161">
        <f>IF(AND(Inputs!$B$38&lt;&gt;"pvp",Inputs!$B$43&gt;0),IF(Inputs!$B$43&lt;=0,0,(INT(Inputs!$B$43/(IF(Inputs!$B$38="pvp",15,MAX(0.1,Skills!D23-IF(Skills!E23=TRUE,Inputs!$B$32,0)))*(1-IF(AND(ArtifactsInput!$M$27,Inputs!$B$4="Chapter Hunt"),CHOOSE(ArtifactsInput!$N$27+1,20,24,28,32,36,40),0)/100)))+1)),0)</f>
        <v/>
      </c>
      <c r="S2161">
        <f>IFERROR(O2161/N2161,0)</f>
        <v/>
      </c>
      <c r="T2161" t="n">
        <v>0</v>
      </c>
      <c r="V2161" t="n">
        <v>0</v>
      </c>
    </row>
    <row r="2163">
      <c r="A2163" t="inlineStr">
        <is>
          <t>Attack% Bucket Multiplier</t>
        </is>
      </c>
      <c r="B2163">
        <f>(1+(((C2151=TRUE)*F2151*5/7)+((C2157=TRUE)*(F2157-Calc!F19))+(IF(ArtifactsInput!$M$21,CHOOSE(ArtifactsInput!$N$21+1,25,30,35,40,45,50)*(IF(OR(Inputs!$B$4="Chapter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164">
      <c r="A2164" t="inlineStr">
        <is>
          <t>Global Crit Rate Bonus %</t>
        </is>
      </c>
      <c r="B2164" t="n">
        <v>0</v>
      </c>
    </row>
    <row r="2165">
      <c r="A2165" t="inlineStr">
        <is>
          <t>Attack Speed Buff Bonus % (Nimble Feet, duty-cycle averaged)</t>
        </is>
      </c>
      <c r="B2165">
        <f>((C2161=TRUE)*F2161*IF(AND(Inputs!$B$38&lt;&gt;"pvp",Inputs!$B$43&gt;0),(((R2161-1)*(Skills!T23*(1+Inputs!$B$34/100))+MIN((Skills!T23*(1+Inputs!$B$34/100)),MAX(0,Inputs!$B$43-((R2161-1)*Skills!D23))))/Inputs!$B$43),IF(Inputs!$B$38="pvp",MIN((Skills!T23*(1+Inputs!$B$34/100)),15)/15,(Skills!T23*(1+Inputs!$B$34/100))/Skills!D23)))</f>
        <v/>
      </c>
    </row>
    <row r="2166">
      <c r="A2166" t="inlineStr">
        <is>
          <t>Actions Per Second</t>
        </is>
      </c>
      <c r="B2166">
        <f>1+MIN(150,150*(1-(1-(Inputs!$B$11+((C2155=TRUE)*(F2155-Calc!F17))+((C2156=TRUE)*(F2156-Calc!F18)))/150)*(1-B2165/150)))/100</f>
        <v/>
      </c>
    </row>
    <row r="2167">
      <c r="A2167" t="inlineStr">
        <is>
          <t>Skill + Buff Cast Rate</t>
        </is>
      </c>
      <c r="B2167">
        <f>IF(AND(Inputs!$B$38&lt;&gt;"pvp",Inputs!$B$43&gt;0),SUMPRODUCT((Skills!E2:E23=TRUE)*(C2140:C2161=TRUE)*R2140:R2161*Skills!F2:F23)/Inputs!$B$43,SUMPRODUCT((Skills!E2:E23=TRUE)*(C2140:C2161=TRUE)*Q2140:Q2161*Skills!F2:F23))</f>
        <v/>
      </c>
    </row>
    <row r="2168">
      <c r="A2168" t="inlineStr">
        <is>
          <t>Hook Bomber Casts Per Second</t>
        </is>
      </c>
      <c r="B2168">
        <f>MAX(0,B2166-B2167)</f>
        <v/>
      </c>
    </row>
    <row r="2169">
      <c r="A2169" t="inlineStr">
        <is>
          <t>Global Critical Damage Bonus % (unused)</t>
        </is>
      </c>
      <c r="B2169" t="n">
        <v>0</v>
      </c>
    </row>
    <row r="2170">
      <c r="A2170" t="inlineStr">
        <is>
          <t>Global Final Damage Bonus % (Serpent Scale + Crossbones + Time Leap + Speed Infusion)</t>
        </is>
      </c>
      <c r="B2170">
        <f>((C2143=TRUE)*F2143*((10+IF(Inputs!$B$3&gt;=94,5,0))/((10+IF(Inputs!$B$3&gt;=94,5,0))+5/(B2168*(1+IF(Inputs!$B$3&gt;=104,1,0))))))+((C2152=TRUE)*F2152*IF(AND(Inputs!$B$38&lt;&gt;"pvp",Inputs!$B$43&gt;0),(((R2152-1)*(Skills!T14*(1+Inputs!$B$34/100))+MIN((Skills!T14*(1+Inputs!$B$34/100)),MAX(0,Inputs!$B$43-((R2152-1)*Skills!D14))))/Inputs!$B$43),IF(Inputs!$B$38="pvp",MIN((Skills!T14*(1+Inputs!$B$34/100)),15)/15,(Skills!T14*(1+Inputs!$B$34/100))/Skills!D14)))+((C2153=TRUE)*F2153*IF(AND(Inputs!$B$38&lt;&gt;"pvp",Inputs!$B$43&gt;0),(((R2153-1)*(Skills!T15*(1+Inputs!$B$34/100))+MIN((Skills!T15*(1+Inputs!$B$34/100)),MAX(0,Inputs!$B$43-((R2153-1)*Skills!D15))))/Inputs!$B$43),IF(Inputs!$B$38="pvp",MIN((Skills!T15*(1+Inputs!$B$34/100)),15)/15,(Skills!T15*(1+Inputs!$B$34/100))/Skills!D15)))+((Inputs!$B$3&gt;=110)*20*(B2166-1)*IF(Inputs!$B$38="pvp",MIN((15*(1+Inputs!$B$34/100)),15)/15,(15*(1+Inputs!$B$34/100))/35))</f>
        <v/>
      </c>
    </row>
    <row r="2171">
      <c r="A2171" t="inlineStr">
        <is>
          <t>Buff-Casting Startup Delay (s, fixed-duration only)</t>
        </is>
      </c>
      <c r="B2171">
        <f>IF(AND(Inputs!$B$38&lt;&gt;"pvp",Inputs!$B$43&gt;0),SUMPRODUCT((Skills!T2:T23&gt;0)*(Skills!E2:E23=TRUE)*(C2140:C2161=TRUE))/B2166,0)</f>
        <v/>
      </c>
    </row>
    <row r="2172">
      <c r="A2172" t="inlineStr">
        <is>
          <t>Boss-Only Total DPS (this block's swept value)</t>
        </is>
      </c>
      <c r="B2172">
        <f>SUM(T2140:T2161)</f>
        <v/>
      </c>
    </row>
    <row r="2173">
      <c r="A2173" t="inlineStr">
        <is>
          <t>Normal-Only Total DPS (this block's swept value)</t>
        </is>
      </c>
      <c r="B2173">
        <f>SUM(V2140:V2161)</f>
        <v/>
      </c>
    </row>
    <row r="2174">
      <c r="A2174" s="6" t="inlineStr">
        <is>
          <t>TOTAL DPS</t>
        </is>
      </c>
      <c r="B2174" s="6">
        <f>SUM(O2140:O2161)</f>
        <v/>
      </c>
    </row>
    <row r="2177">
      <c r="A2177" s="6" t="inlineStr">
        <is>
          <t>Stat: Peach Tree Herb Pouch (Equip)</t>
        </is>
      </c>
    </row>
    <row r="2178">
      <c r="A2178" s="5" t="inlineStr">
        <is>
          <t>Key</t>
        </is>
      </c>
      <c r="B2178" s="5" t="inlineStr">
        <is>
          <t>Name</t>
        </is>
      </c>
      <c r="C2178" s="5" t="inlineStr">
        <is>
          <t>Unlocked</t>
        </is>
      </c>
      <c r="D2178" s="5" t="inlineStr">
        <is>
          <t>InputLevel</t>
        </is>
      </c>
      <c r="E2178" s="5" t="inlineStr">
        <is>
          <t>Factor</t>
        </is>
      </c>
      <c r="F2178" s="5" t="inlineStr">
        <is>
          <t>CoefficientPercent</t>
        </is>
      </c>
      <c r="G2178" s="5" t="inlineStr">
        <is>
          <t>EffectiveHits</t>
        </is>
      </c>
      <c r="H2178" s="5" t="inlineStr">
        <is>
          <t>ProcProbability</t>
        </is>
      </c>
      <c r="I2178" s="5" t="inlineStr">
        <is>
          <t>MapleHeroMultiplier</t>
        </is>
      </c>
      <c r="J2178" s="5" t="inlineStr">
        <is>
          <t>BaseDamage</t>
        </is>
      </c>
      <c r="K2178" s="5" t="inlineStr">
        <is>
          <t>BaseHitDamage</t>
        </is>
      </c>
      <c r="L2178" s="5" t="inlineStr">
        <is>
          <t>NonCritAvg</t>
        </is>
      </c>
      <c r="M2178" s="5" t="inlineStr">
        <is>
          <t>CritAvg</t>
        </is>
      </c>
      <c r="N2178" s="5" t="inlineStr">
        <is>
          <t>ExpectedDamage(perHit)</t>
        </is>
      </c>
      <c r="O2178" s="5" t="inlineStr">
        <is>
          <t>DPS</t>
        </is>
      </c>
      <c r="P2178" s="5" t="inlineStr">
        <is>
          <t>% of Total</t>
        </is>
      </c>
      <c r="Q2178" s="5" t="inlineStr">
        <is>
          <t>InvCooldown</t>
        </is>
      </c>
      <c r="R2178" s="5" t="inlineStr">
        <is>
          <t>CastsInFight</t>
        </is>
      </c>
      <c r="S2178" s="5" t="inlineStr">
        <is>
          <t>HitRate(perSec)</t>
        </is>
      </c>
      <c r="U2178" t="inlineStr">
        <is>
          <t>helpers</t>
        </is>
      </c>
    </row>
    <row r="2179">
      <c r="A2179">
        <f>Skills!A2</f>
        <v/>
      </c>
      <c r="B2179">
        <f>Skills!B2</f>
        <v/>
      </c>
      <c r="C2179">
        <f>Inputs!$B$3&gt;=100</f>
        <v/>
      </c>
      <c r="D2179" t="inlineStr"/>
      <c r="E2179" t="inlineStr"/>
      <c r="F2179">
        <f>U2181+Skills!O2</f>
        <v/>
      </c>
      <c r="G2179">
        <f>Skills!G2*IF(Skills!H2&gt;0,Skills!I2/Skills!H2,1)</f>
        <v/>
      </c>
      <c r="H2179">
        <f>1-(1-Skills!J2/100)^Skills!K2</f>
        <v/>
      </c>
      <c r="I2179" t="inlineStr">
        <is>
          <t>1</t>
        </is>
      </c>
      <c r="J2179">
        <f>((Inputs!$B$6*(1+Inputs!$B$7/100))+(((Inputs!$B$12*(1+Inputs!$B$13/100))-(Inputs!$B$12*(1+Inputs!$B$13/100)))+0.25*(Inputs!$B$14-Inputs!$B$14))*(1+Inputs!$B$7/100))*(F2179/100)</f>
        <v/>
      </c>
      <c r="K2179">
        <f>J2179*(1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2179)</f>
        <v/>
      </c>
      <c r="L2179">
        <f>K2179*(MIN(Inputs!$B$22+((C2197=TRUE)*(F2197-Calc!F20)),(Inputs!$B$23+0+(IF(ArtifactsInput!$M$15,CHOOSE(ArtifactsInput!$N$15+1,25,30,35,40,45,50)/100*(Inputs!$B$11-Inputs!$B$11),0))))/100+(Inputs!$B$23+0+(IF(ArtifactsInput!$M$15,CHOOSE(ArtifactsInput!$N$15+1,25,30,35,40,45,50)/100*(Inputs!$B$11-Inputs!$B$11),0)))/100)/2</f>
        <v/>
      </c>
      <c r="M2179">
        <f>L2179*(1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9">
        <f>L2179*(1-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2179*(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9">
        <f>(1-Summary!$B$11)*T2179+Summary!$B$11*V2179</f>
        <v/>
      </c>
      <c r="P2179">
        <f>IF(B2213=0,0,O2179/B2213)</f>
        <v/>
      </c>
      <c r="Q2179" t="n">
        <v>0</v>
      </c>
      <c r="R2179" t="n">
        <v>0</v>
      </c>
      <c r="S2179">
        <f>IFERROR(O2179/N2179,0)</f>
        <v/>
      </c>
      <c r="T2179">
        <f>IF(C2179,(Skills!G2*N2179*B2207)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2179*(1-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2179*(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2179*(1-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2179*(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79">
        <f>MAX(0,(Inputs!$B$3-100)*3)+Inputs!$B$28+Inputs!$B$29</f>
        <v/>
      </c>
      <c r="V2179">
        <f>IF(C2179,(Skills!G2*N2179*B2207)*IF(Inputs!$B$38="pvp",1,(1+(Inputs!$B$21+Skills!Q2+(IF(ArtifactsInput!$M$33,CHOOSE(ArtifactsInput!$N$33+1,30,36,42,48,54,60),0))+(IF(AND(IF(ArtifactsInput!$M$35,FALSE,TRUE),Inputs!$B$4&lt;&gt;"Chapter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0">
      <c r="A2180">
        <f>Skills!A3</f>
        <v/>
      </c>
      <c r="B2180">
        <f>Skills!B3</f>
        <v/>
      </c>
      <c r="C2180">
        <f>Inputs!$B$3&gt;=35</f>
        <v/>
      </c>
      <c r="D2180">
        <f>IF(Skills!C3=1,60+Inputs!$B$25+Inputs!$B$29,IF(Skills!C3=2,90+Inputs!$B$26+Inputs!$B$29,IF(Skills!C3=3,120+Inputs!$B$27+Inputs!$B$29,MAX(0,(Inputs!$B$3-100)*3)+Inputs!$B$28+Inputs!$B$29)))</f>
        <v/>
      </c>
      <c r="E2180">
        <f>INDEX(FactorTable!$B$2:$Y$301, MATCH(ROUND(MIN(300,MAX(1,D2180)),0), FactorTable!$A$2:$A$301,0), Skills!M3+1)</f>
        <v/>
      </c>
      <c r="F2180">
        <f>IF(Skills!N3=TRUE,(Skills!L3/10)*(E2180/1000),Skills!L3/10)+Skills!O3</f>
        <v/>
      </c>
      <c r="G2180">
        <f>Skills!G3*IF(Skills!H3&gt;0,Skills!I3/Skills!H3,1)</f>
        <v/>
      </c>
      <c r="H2180">
        <f>1-(1-Skills!J3/100)^Skills!K3</f>
        <v/>
      </c>
      <c r="I2180" t="inlineStr">
        <is>
          <t>1</t>
        </is>
      </c>
      <c r="J2180">
        <f>((Inputs!$B$6*(1+Inputs!$B$7/100))+(((Inputs!$B$12*(1+Inputs!$B$13/100))-(Inputs!$B$12*(1+Inputs!$B$13/100)))+0.25*(Inputs!$B$14-Inputs!$B$14))*(1+Inputs!$B$7/100))*(F2180/100)</f>
        <v/>
      </c>
      <c r="K2180">
        <f>J2180*(1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2180)</f>
        <v/>
      </c>
      <c r="L2180">
        <f>K2180*(MIN(Inputs!$B$22+((C2197=TRUE)*(F2197-Calc!F20)),(Inputs!$B$23+0+(IF(ArtifactsInput!$M$15,CHOOSE(ArtifactsInput!$N$15+1,25,30,35,40,45,50)/100*(Inputs!$B$11-Inputs!$B$11),0))))/100+(Inputs!$B$23+0+(IF(ArtifactsInput!$M$15,CHOOSE(ArtifactsInput!$N$15+1,25,30,35,40,45,50)/100*(Inputs!$B$11-Inputs!$B$11),0)))/100)/2</f>
        <v/>
      </c>
      <c r="M2180">
        <f>L2180*(1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0">
        <f>L2180*(1-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2180*(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0">
        <f>(1-Summary!$B$11)*T2180+Summary!$B$11*V2180</f>
        <v/>
      </c>
      <c r="P2180">
        <f>IF(B2213=0,0,O2180/B2213)</f>
        <v/>
      </c>
      <c r="Q2180" t="n">
        <v>0</v>
      </c>
      <c r="R2180" t="n">
        <v>0</v>
      </c>
      <c r="S2180">
        <f>IFERROR(O2180/N2180,0)</f>
        <v/>
      </c>
      <c r="T2180">
        <f>IF(C2180,(Skills!G3*H2180*N2180*B2207)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2180*(1-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2180*(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2180*(1-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2180*(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0">
        <f>INDEX(FactorTable!$B$2:$Y$301, MATCH(ROUND(MIN(300,MAX(1,U2179)),0), FactorTable!$A$2:$A$301,0), 22)</f>
        <v/>
      </c>
      <c r="V2180">
        <f>IF(C2180,(Skills!G3*H2180*N2180*B2207)*IF(Inputs!$B$38="pvp",1,(1+(Inputs!$B$21+Skills!Q3+(IF(ArtifactsInput!$M$33,CHOOSE(ArtifactsInput!$N$33+1,30,36,42,48,54,60),0))+(IF(AND(IF(ArtifactsInput!$M$35,FALSE,TRUE),Inputs!$B$4&lt;&gt;"Chapter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1">
      <c r="A2181">
        <f>Skills!A4</f>
        <v/>
      </c>
      <c r="B2181">
        <f>Skills!B4</f>
        <v/>
      </c>
      <c r="C2181">
        <f>Inputs!$B$3&gt;=60</f>
        <v/>
      </c>
      <c r="D2181">
        <f>IF(Skills!C4=1,60+Inputs!$B$25+Inputs!$B$29,IF(Skills!C4=2,90+Inputs!$B$26+Inputs!$B$29,IF(Skills!C4=3,120+Inputs!$B$27+Inputs!$B$29,MAX(0,(Inputs!$B$3-100)*3)+Inputs!$B$28+Inputs!$B$29)))</f>
        <v/>
      </c>
      <c r="E2181">
        <f>INDEX(FactorTable!$B$2:$Y$301, MATCH(ROUND(MIN(300,MAX(1,D2181)),0), FactorTable!$A$2:$A$301,0), Skills!M4+1)</f>
        <v/>
      </c>
      <c r="F2181">
        <f>IF(Skills!N4=TRUE,(Skills!L4/10)*(E2181/1000),Skills!L4/10)+Skills!O4</f>
        <v/>
      </c>
      <c r="G2181">
        <f>Skills!G4*IF(Skills!H4&gt;0,Skills!I4/Skills!H4,1)</f>
        <v/>
      </c>
      <c r="H2181">
        <f>1-(1-Skills!J4/100)^Skills!K4</f>
        <v/>
      </c>
      <c r="I2181" t="inlineStr">
        <is>
          <t>1</t>
        </is>
      </c>
      <c r="J2181">
        <f>((Inputs!$B$6*(1+Inputs!$B$7/100))+(((Inputs!$B$12*(1+Inputs!$B$13/100))-(Inputs!$B$12*(1+Inputs!$B$13/100)))+0.25*(Inputs!$B$14-Inputs!$B$14))*(1+Inputs!$B$7/100))*(F2181/100)</f>
        <v/>
      </c>
      <c r="K2181">
        <f>J2181*(1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2189=TRUE,F2189,0)/100)*(1+(IF(Skills!A4="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2181)</f>
        <v/>
      </c>
      <c r="L2181">
        <f>K2181*(MIN(Inputs!$B$22+((C2197=TRUE)*(F2197-Calc!F20)),(Inputs!$B$23+0+(IF(ArtifactsInput!$M$15,CHOOSE(ArtifactsInput!$N$15+1,25,30,35,40,45,50)/100*(Inputs!$B$11-Inputs!$B$11),0))))/100+(Inputs!$B$23+0+(IF(ArtifactsInput!$M$15,CHOOSE(ArtifactsInput!$N$15+1,25,30,35,40,45,50)/100*(Inputs!$B$11-Inputs!$B$11),0)))/100)/2</f>
        <v/>
      </c>
      <c r="M2181">
        <f>L2181*(1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1">
        <f>L2181*(1-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1">
        <f>(1-Summary!$B$11)*T2181+Summary!$B$11*V2181</f>
        <v/>
      </c>
      <c r="P2181">
        <f>IF(B2213=0,0,O2181/B2213)</f>
        <v/>
      </c>
      <c r="Q2181" t="n">
        <v>0</v>
      </c>
      <c r="R2181" t="n">
        <v>0</v>
      </c>
      <c r="S2181">
        <f>IFERROR(O2181/N2181,0)</f>
        <v/>
      </c>
      <c r="T2181">
        <f>IF(C2181,(Skills!G4*H2181*N2181*B2207)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2181*(1-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2181*(1-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1">
        <f>290*U2180/1000</f>
        <v/>
      </c>
      <c r="V2181">
        <f>IF(C2181,(Skills!G4*H2181*N2181*B2207)*IF(Inputs!$B$38="pvp",1,(1+(Inputs!$B$21+Skills!Q4+(IF(ArtifactsInput!$M$33,CHOOSE(ArtifactsInput!$N$33+1,30,36,42,48,54,60),0))+(IF(AND(IF(ArtifactsInput!$M$35,FALSE,TRUE),Inputs!$B$4&lt;&gt;"Chapter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2">
      <c r="A2182">
        <f>Skills!A5</f>
        <v/>
      </c>
      <c r="B2182">
        <f>Skills!B5</f>
        <v/>
      </c>
      <c r="C2182">
        <f>Inputs!$B$3&gt;=60</f>
        <v/>
      </c>
      <c r="D2182">
        <f>IF(Skills!C5=1,60+Inputs!$B$25+Inputs!$B$29,IF(Skills!C5=2,90+Inputs!$B$26+Inputs!$B$29,IF(Skills!C5=3,120+Inputs!$B$27+Inputs!$B$29,MAX(0,(Inputs!$B$3-100)*3)+Inputs!$B$28+Inputs!$B$29)))</f>
        <v/>
      </c>
      <c r="E2182">
        <f>INDEX(FactorTable!$B$2:$Y$301, MATCH(ROUND(MIN(300,MAX(1,D2182)),0), FactorTable!$A$2:$A$301,0), Skills!M5+1)</f>
        <v/>
      </c>
      <c r="F2182">
        <f>IF(Skills!N5=TRUE,(Skills!L5/10)*(E2182/1000),Skills!L5/10)+Skills!O5</f>
        <v/>
      </c>
      <c r="G2182">
        <f>Skills!G5*IF(Skills!H5&gt;0,Skills!I5/Skills!H5,1)</f>
        <v/>
      </c>
      <c r="H2182">
        <f>1-(1-Skills!J5/100)^Skills!K5</f>
        <v/>
      </c>
      <c r="I2182" t="inlineStr">
        <is>
          <t>1</t>
        </is>
      </c>
      <c r="J2182" t="inlineStr"/>
      <c r="K2182" t="inlineStr"/>
      <c r="L2182" t="inlineStr"/>
      <c r="M2182" t="inlineStr"/>
      <c r="N2182" t="inlineStr"/>
      <c r="O2182">
        <f>(1-Summary!$B$11)*T2182+Summary!$B$11*V2182</f>
        <v/>
      </c>
      <c r="P2182">
        <f>IF(B2213=0,0,O2182/B2213)</f>
        <v/>
      </c>
      <c r="Q2182" t="n">
        <v>0</v>
      </c>
      <c r="R2182" t="n">
        <v>0</v>
      </c>
      <c r="S2182">
        <f>IFERROR(O2182/N2182,0)</f>
        <v/>
      </c>
      <c r="T2182" t="n">
        <v>0</v>
      </c>
      <c r="V2182" t="n">
        <v>0</v>
      </c>
    </row>
    <row r="2183">
      <c r="A2183">
        <f>Skills!A6</f>
        <v/>
      </c>
      <c r="B2183">
        <f>Skills!B6</f>
        <v/>
      </c>
      <c r="C2183">
        <f>Inputs!$B$3&gt;=63</f>
        <v/>
      </c>
      <c r="D2183">
        <f>IF(Skills!C6=1,60+Inputs!$B$25+Inputs!$B$29,IF(Skills!C6=2,90+Inputs!$B$26+Inputs!$B$29,IF(Skills!C6=3,120+Inputs!$B$27+Inputs!$B$29,MAX(0,(Inputs!$B$3-100)*3)+Inputs!$B$28+Inputs!$B$29)))</f>
        <v/>
      </c>
      <c r="E2183">
        <f>INDEX(FactorTable!$B$2:$Y$301, MATCH(ROUND(MIN(300,MAX(1,D2183)),0), FactorTable!$A$2:$A$301,0), Skills!M6+1)</f>
        <v/>
      </c>
      <c r="F2183">
        <f>IF(Skills!N6=TRUE,(Skills!L6/10)*(E2183/1000),Skills!L6/10)+Skills!O6</f>
        <v/>
      </c>
      <c r="G2183">
        <f>Skills!G6*IF(Skills!H6&gt;0,Skills!I6/Skills!H6,1)</f>
        <v/>
      </c>
      <c r="H2183">
        <f>1-(1-Skills!J6/100)^Skills!K6</f>
        <v/>
      </c>
      <c r="I2183" t="inlineStr">
        <is>
          <t>1</t>
        </is>
      </c>
      <c r="J2183">
        <f>((Inputs!$B$6*(1+Inputs!$B$7/100))+(((Inputs!$B$12*(1+Inputs!$B$13/100))-(Inputs!$B$12*(1+Inputs!$B$13/100)))+0.25*(Inputs!$B$14-Inputs!$B$14))*(1+Inputs!$B$7/100))*(F2183/100)</f>
        <v/>
      </c>
      <c r="K2183">
        <f>J2183*(1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2189=TRUE,F2189,0)/100)*(1+(IF(Skills!A6="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2183)</f>
        <v/>
      </c>
      <c r="L2183">
        <f>K2183*(MIN(Inputs!$B$22+((C2197=TRUE)*(F2197-Calc!F20)),(Inputs!$B$23+0+(IF(ArtifactsInput!$M$15,CHOOSE(ArtifactsInput!$N$15+1,25,30,35,40,45,50)/100*(Inputs!$B$11-Inputs!$B$11),0))))/100+(Inputs!$B$23+0+(IF(ArtifactsInput!$M$15,CHOOSE(ArtifactsInput!$N$15+1,25,30,35,40,45,50)/100*(Inputs!$B$11-Inputs!$B$11),0)))/100)/2</f>
        <v/>
      </c>
      <c r="M2183">
        <f>L2183*(1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3">
        <f>L2183*(1-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2183*(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3">
        <f>(1-Summary!$B$11)*T2183+Summary!$B$11*V2183</f>
        <v/>
      </c>
      <c r="P2183">
        <f>IF(B2213=0,0,O2183/B2213)</f>
        <v/>
      </c>
      <c r="Q2183">
        <f>IFERROR(1/(IF(Inputs!$B$38="pvp",15,MAX(0.1,Skills!D6-IF(Skills!E6=TRUE,Inputs!$B$32,0)))*(1-IF(AND(ArtifactsInput!$M$27,Inputs!$B$4="Chapter Hunt"),CHOOSE(ArtifactsInput!$N$27+1,20,24,28,32,36,40),0)/100)),0)</f>
        <v/>
      </c>
      <c r="R2183">
        <f>IF(AND(Inputs!$B$38&lt;&gt;"pvp",Inputs!$B$43&gt;0),IF(MAX(0,Inputs!$B$43-B2210)&lt;=0,0,(INT(MAX(0,Inputs!$B$43-B2210)/(IF(Inputs!$B$38="pvp",15,MAX(0.1,Skills!D6-IF(Skills!E6=TRUE,Inputs!$B$32,0)))*(1-IF(AND(ArtifactsInput!$M$27,Inputs!$B$4="Chapter Hunt"),CHOOSE(ArtifactsInput!$N$27+1,20,24,28,32,36,40),0)/100)))+1)),0)</f>
        <v/>
      </c>
      <c r="S2183">
        <f>IFERROR(O2183/N2183,0)</f>
        <v/>
      </c>
      <c r="T2183">
        <f>IF(C2183,(H2183*N2183*IF(AND(Inputs!$B$38&lt;&gt;"pvp",Inputs!$B$43&gt;0),((Skills!G6*((R2183-1)*IF(Skills!H6&gt;0,Skills!I6/Skills!H6,1)+IF(Skills!H6&gt;0,MIN(Skills!I6,MAX(0,MAX(0,Inputs!$B$43-B2210)-((R2183-1)*(IF(Inputs!$B$38="pvp",15,MAX(0.1,Skills!D6-IF(Skills!E6=TRUE,Inputs!$B$32,0)))*(1-IF(AND(ArtifactsInput!$M$27,Inputs!$B$4="Chapter Hunt"),CHOOSE(ArtifactsInput!$N$27+1,20,24,28,32,36,40),0)/100)))))/Skills!H6,1)))/Inputs!$B$43),G2183*Q2183)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2183*(1-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2183*(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2183*(1-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2183*(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3">
        <f>IF(C2183,(H2183*N2183*IF(AND(Inputs!$B$38&lt;&gt;"pvp",Inputs!$B$43&gt;0),((Skills!G6*((R2183-1)*IF(Skills!H6&gt;0,Skills!I6/Skills!H6,1)+IF(Skills!H6&gt;0,MIN(Skills!I6,MAX(0,MAX(0,Inputs!$B$43-B2210)-((R2183-1)*(IF(Inputs!$B$38="pvp",15,MAX(0.1,Skills!D6-IF(Skills!E6=TRUE,Inputs!$B$32,0)))*(1-IF(AND(ArtifactsInput!$M$27,Inputs!$B$4="Chapter Hunt"),CHOOSE(ArtifactsInput!$N$27+1,20,24,28,32,36,40),0)/100)))))/Skills!H6,1)))/Inputs!$B$43),G2183*Q2183))*IF(Inputs!$B$38="pvp",1,(1+(Inputs!$B$21+Skills!Q6+(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4">
      <c r="A2184">
        <f>Skills!A7</f>
        <v/>
      </c>
      <c r="B2184">
        <f>Skills!B7</f>
        <v/>
      </c>
      <c r="C2184">
        <f>Inputs!$B$3&gt;=100</f>
        <v/>
      </c>
      <c r="D2184">
        <f>IF(Skills!C7=1,60+Inputs!$B$25+Inputs!$B$29,IF(Skills!C7=2,90+Inputs!$B$26+Inputs!$B$29,IF(Skills!C7=3,120+Inputs!$B$27+Inputs!$B$29,MAX(0,(Inputs!$B$3-100)*3)+Inputs!$B$28+Inputs!$B$29)))</f>
        <v/>
      </c>
      <c r="E2184">
        <f>INDEX(FactorTable!$B$2:$Y$301, MATCH(ROUND(MIN(300,MAX(1,D2184)),0), FactorTable!$A$2:$A$301,0), Skills!M7+1)</f>
        <v/>
      </c>
      <c r="F2184">
        <f>IF(Skills!N7=TRUE,(Skills!L7/10)*(E2184/1000),Skills!L7/10)+Skills!O7</f>
        <v/>
      </c>
      <c r="G2184">
        <f>Skills!G7*IF(Skills!H7&gt;0,Skills!I7/Skills!H7,1)</f>
        <v/>
      </c>
      <c r="H2184">
        <f>1-(1-Skills!J7/100)^Skills!K7</f>
        <v/>
      </c>
      <c r="I2184" t="inlineStr">
        <is>
          <t>1</t>
        </is>
      </c>
      <c r="J2184">
        <f>((Inputs!$B$6*(1+Inputs!$B$7/100))+(((Inputs!$B$12*(1+Inputs!$B$13/100))-(Inputs!$B$12*(1+Inputs!$B$13/100)))+0.25*(Inputs!$B$14-Inputs!$B$14))*(1+Inputs!$B$7/100))*(F2184/100)</f>
        <v/>
      </c>
      <c r="K2184">
        <f>J2184*(1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2184)</f>
        <v/>
      </c>
      <c r="L2184">
        <f>K2184*(MIN(Inputs!$B$22+((C2197=TRUE)*(F2197-Calc!F20)),(Inputs!$B$23+0+(IF(ArtifactsInput!$M$15,CHOOSE(ArtifactsInput!$N$15+1,25,30,35,40,45,50)/100*(Inputs!$B$11-Inputs!$B$11),0))))/100+(Inputs!$B$23+0+(IF(ArtifactsInput!$M$15,CHOOSE(ArtifactsInput!$N$15+1,25,30,35,40,45,50)/100*(Inputs!$B$11-Inputs!$B$11),0)))/100)/2</f>
        <v/>
      </c>
      <c r="M2184">
        <f>L2184*(1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4">
        <f>L2184*(1-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2184*(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4">
        <f>(1-Summary!$B$11)*T2184+Summary!$B$11*V2184</f>
        <v/>
      </c>
      <c r="P2184">
        <f>IF(B2213=0,0,O2184/B2213)</f>
        <v/>
      </c>
      <c r="Q2184">
        <f>IFERROR(1/(IF(Inputs!$B$38="pvp",15,MAX(0.1,Skills!D7-IF(Skills!E7=TRUE,Inputs!$B$32,0)))*(1-IF(AND(ArtifactsInput!$M$27,Inputs!$B$4="Chapter Hunt"),CHOOSE(ArtifactsInput!$N$27+1,20,24,28,32,36,40),0)/100)),0)</f>
        <v/>
      </c>
      <c r="R2184">
        <f>IF(AND(Inputs!$B$38&lt;&gt;"pvp",Inputs!$B$43&gt;0),IF(MAX(0,Inputs!$B$43-B2210)&lt;=0,0,(INT(MAX(0,Inputs!$B$43-B2210)/(IF(Inputs!$B$38="pvp",15,MAX(0.1,Skills!D7-IF(Skills!E7=TRUE,Inputs!$B$32,0)))*(1-IF(AND(ArtifactsInput!$M$27,Inputs!$B$4="Chapter Hunt"),CHOOSE(ArtifactsInput!$N$27+1,20,24,28,32,36,40),0)/100)))+1)),0)</f>
        <v/>
      </c>
      <c r="S2184">
        <f>IFERROR(O2184/N2184,0)</f>
        <v/>
      </c>
      <c r="T2184">
        <f>IF(C2184,(H2184*N2184*IF(AND(Inputs!$B$38&lt;&gt;"pvp",Inputs!$B$43&gt;0),((Skills!G7*((R2184-1)*IF(Skills!H7&gt;0,Skills!I7/Skills!H7,1)+IF(Skills!H7&gt;0,MIN(Skills!I7,MAX(0,MAX(0,Inputs!$B$43-B2210)-((R2184-1)*(IF(Inputs!$B$38="pvp",15,MAX(0.1,Skills!D7-IF(Skills!E7=TRUE,Inputs!$B$32,0)))*(1-IF(AND(ArtifactsInput!$M$27,Inputs!$B$4="Chapter Hunt"),CHOOSE(ArtifactsInput!$N$27+1,20,24,28,32,36,40),0)/100)))))/Skills!H7,1)))/Inputs!$B$43),G2184*Q2184)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2184*(1-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2184*(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2184*(1-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2184*(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4">
        <f>IF(C2184,(H2184*N2184*IF(AND(Inputs!$B$38&lt;&gt;"pvp",Inputs!$B$43&gt;0),((Skills!G7*((R2184-1)*IF(Skills!H7&gt;0,Skills!I7/Skills!H7,1)+IF(Skills!H7&gt;0,MIN(Skills!I7,MAX(0,MAX(0,Inputs!$B$43-B2210)-((R2184-1)*(IF(Inputs!$B$38="pvp",15,MAX(0.1,Skills!D7-IF(Skills!E7=TRUE,Inputs!$B$32,0)))*(1-IF(AND(ArtifactsInput!$M$27,Inputs!$B$4="Chapter Hunt"),CHOOSE(ArtifactsInput!$N$27+1,20,24,28,32,36,40),0)/100)))))/Skills!H7,1)))/Inputs!$B$43),G2184*Q2184))*IF(Inputs!$B$38="pvp",1,(1+(Inputs!$B$21+Skills!Q7+(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5">
      <c r="A2185">
        <f>Skills!A8</f>
        <v/>
      </c>
      <c r="B2185">
        <f>Skills!B8</f>
        <v/>
      </c>
      <c r="C2185">
        <f>Inputs!$B$3&gt;=110</f>
        <v/>
      </c>
      <c r="D2185">
        <f>IF(Skills!C8=1,60+Inputs!$B$25+Inputs!$B$29,IF(Skills!C8=2,90+Inputs!$B$26+Inputs!$B$29,IF(Skills!C8=3,120+Inputs!$B$27+Inputs!$B$29,MAX(0,(Inputs!$B$3-100)*3)+Inputs!$B$28+Inputs!$B$29)))</f>
        <v/>
      </c>
      <c r="E2185">
        <f>INDEX(FactorTable!$B$2:$Y$301, MATCH(ROUND(MIN(300,MAX(1,D2185)),0), FactorTable!$A$2:$A$301,0), Skills!M8+1)</f>
        <v/>
      </c>
      <c r="F2185">
        <f>IF(Skills!N8=TRUE,(Skills!L8/10)*(E2185/1000),Skills!L8/10)+Skills!O8</f>
        <v/>
      </c>
      <c r="G2185">
        <f>Skills!G8*IF(Skills!H8&gt;0,Skills!I8/Skills!H8,1)</f>
        <v/>
      </c>
      <c r="H2185">
        <f>1-(1-Skills!J8/100)^Skills!K8</f>
        <v/>
      </c>
      <c r="I2185" t="inlineStr">
        <is>
          <t>1</t>
        </is>
      </c>
      <c r="J2185">
        <f>((Inputs!$B$6*(1+Inputs!$B$7/100))+(((Inputs!$B$12*(1+Inputs!$B$13/100))-(Inputs!$B$12*(1+Inputs!$B$13/100)))+0.25*(Inputs!$B$14-Inputs!$B$14))*(1+Inputs!$B$7/100))*(F2185/100)</f>
        <v/>
      </c>
      <c r="K2185">
        <f>J2185*(1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2185)</f>
        <v/>
      </c>
      <c r="L2185">
        <f>K2185*(MIN(Inputs!$B$22+((C2197=TRUE)*(F2197-Calc!F20)),(Inputs!$B$23+0+(IF(ArtifactsInput!$M$15,CHOOSE(ArtifactsInput!$N$15+1,25,30,35,40,45,50)/100*(Inputs!$B$11-Inputs!$B$11),0))))/100+(Inputs!$B$23+0+(IF(ArtifactsInput!$M$15,CHOOSE(ArtifactsInput!$N$15+1,25,30,35,40,45,50)/100*(Inputs!$B$11-Inputs!$B$11),0)))/100)/2</f>
        <v/>
      </c>
      <c r="M2185">
        <f>L2185*(1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5">
        <f>L2185*(1-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2185*(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5">
        <f>(1-Summary!$B$11)*T2185+Summary!$B$11*V2185</f>
        <v/>
      </c>
      <c r="P2185">
        <f>IF(B2213=0,0,O2185/B2213)</f>
        <v/>
      </c>
      <c r="Q2185">
        <f>IFERROR(1/(IF(Inputs!$B$38="pvp",15,MAX(0.1,Skills!D8-IF(Skills!E8=TRUE,Inputs!$B$32,0)))*(1-IF(AND(ArtifactsInput!$M$27,Inputs!$B$4="Chapter Hunt"),CHOOSE(ArtifactsInput!$N$27+1,20,24,28,32,36,40),0)/100)),0)</f>
        <v/>
      </c>
      <c r="R2185">
        <f>IF(AND(Inputs!$B$38&lt;&gt;"pvp",Inputs!$B$43&gt;0),IF(MAX(0,Inputs!$B$43-B2210)&lt;=0,0,(INT(MAX(0,Inputs!$B$43-B2210)/(IF(Inputs!$B$38="pvp",15,MAX(0.1,Skills!D8-IF(Skills!E8=TRUE,Inputs!$B$32,0)))*(1-IF(AND(ArtifactsInput!$M$27,Inputs!$B$4="Chapter Hunt"),CHOOSE(ArtifactsInput!$N$27+1,20,24,28,32,36,40),0)/100)))+1)),0)</f>
        <v/>
      </c>
      <c r="S2185">
        <f>IFERROR(O2185/N2185,0)</f>
        <v/>
      </c>
      <c r="T2185">
        <f>IF(C2185,(H2185*N2185*IF(AND(Inputs!$B$38&lt;&gt;"pvp",Inputs!$B$43&gt;0),((Skills!G8*((R2185-1)*IF(Skills!H8&gt;0,Skills!I8/Skills!H8,1)+IF(Skills!H8&gt;0,MIN(Skills!I8,MAX(0,MAX(0,Inputs!$B$43-B2210)-((R2185-1)*(IF(Inputs!$B$38="pvp",15,MAX(0.1,Skills!D8-IF(Skills!E8=TRUE,Inputs!$B$32,0)))*(1-IF(AND(ArtifactsInput!$M$27,Inputs!$B$4="Chapter Hunt"),CHOOSE(ArtifactsInput!$N$27+1,20,24,28,32,36,40),0)/100)))))/Skills!H8,1)))/Inputs!$B$43),G2185*Q2185)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2185*(1-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2185*(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2185*(1-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2185*(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5">
        <f>IF(C2185,(H2185*N2185*IF(AND(Inputs!$B$38&lt;&gt;"pvp",Inputs!$B$43&gt;0),((Skills!G8*((R2185-1)*IF(Skills!H8&gt;0,Skills!I8/Skills!H8,1)+IF(Skills!H8&gt;0,MIN(Skills!I8,MAX(0,MAX(0,Inputs!$B$43-B2210)-((R2185-1)*(IF(Inputs!$B$38="pvp",15,MAX(0.1,Skills!D8-IF(Skills!E8=TRUE,Inputs!$B$32,0)))*(1-IF(AND(ArtifactsInput!$M$27,Inputs!$B$4="Chapter Hunt"),CHOOSE(ArtifactsInput!$N$27+1,20,24,28,32,36,40),0)/100)))))/Skills!H8,1)))/Inputs!$B$43),G2185*Q2185))*IF(Inputs!$B$38="pvp",1,(1+(Inputs!$B$21+Skills!Q8+(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6">
      <c r="A2186">
        <f>Skills!A9</f>
        <v/>
      </c>
      <c r="B2186">
        <f>Skills!B9</f>
        <v/>
      </c>
      <c r="C2186">
        <f>Inputs!$B$3&gt;=110</f>
        <v/>
      </c>
      <c r="D2186">
        <f>IF(Skills!C9=1,60+Inputs!$B$25+Inputs!$B$29,IF(Skills!C9=2,90+Inputs!$B$26+Inputs!$B$29,IF(Skills!C9=3,120+Inputs!$B$27+Inputs!$B$29,MAX(0,(Inputs!$B$3-100)*3)+Inputs!$B$28+Inputs!$B$29)))</f>
        <v/>
      </c>
      <c r="E2186">
        <f>INDEX(FactorTable!$B$2:$Y$301, MATCH(ROUND(MIN(300,MAX(1,D2186)),0), FactorTable!$A$2:$A$301,0), Skills!M9+1)</f>
        <v/>
      </c>
      <c r="F2186">
        <f>IF(Skills!N9=TRUE,(Skills!L9/10)*(E2186/1000),Skills!L9/10)+Skills!O9</f>
        <v/>
      </c>
      <c r="G2186">
        <f>Skills!G9*IF(Skills!H9&gt;0,Skills!I9/Skills!H9,1)</f>
        <v/>
      </c>
      <c r="H2186">
        <f>1-(1-Skills!J9/100)^Skills!K9</f>
        <v/>
      </c>
      <c r="I2186" t="inlineStr">
        <is>
          <t>1</t>
        </is>
      </c>
      <c r="J2186">
        <f>((Inputs!$B$6*(1+Inputs!$B$7/100))+(((Inputs!$B$12*(1+Inputs!$B$13/100))-(Inputs!$B$12*(1+Inputs!$B$13/100)))+0.25*(Inputs!$B$14-Inputs!$B$14))*(1+Inputs!$B$7/100))*(F2186/100)</f>
        <v/>
      </c>
      <c r="K2186">
        <f>J2186*(1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2186)</f>
        <v/>
      </c>
      <c r="L2186">
        <f>K2186*(MIN(Inputs!$B$22+((C2197=TRUE)*(F2197-Calc!F20)),(Inputs!$B$23+0+(IF(ArtifactsInput!$M$15,CHOOSE(ArtifactsInput!$N$15+1,25,30,35,40,45,50)/100*(Inputs!$B$11-Inputs!$B$11),0))))/100+(Inputs!$B$23+0+(IF(ArtifactsInput!$M$15,CHOOSE(ArtifactsInput!$N$15+1,25,30,35,40,45,50)/100*(Inputs!$B$11-Inputs!$B$11),0)))/100)/2</f>
        <v/>
      </c>
      <c r="M2186">
        <f>L2186*(1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6">
        <f>L2186*(1-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2186*(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6">
        <f>(1-Summary!$B$11)*T2186+Summary!$B$11*V2186</f>
        <v/>
      </c>
      <c r="P2186">
        <f>IF(B2213=0,0,O2186/B2213)</f>
        <v/>
      </c>
      <c r="Q2186">
        <f>IFERROR(1/(IF(Inputs!$B$38="pvp",15,MAX(0.1,Skills!D9-IF(Skills!E9=TRUE,Inputs!$B$32,0)))*(1-IF(AND(ArtifactsInput!$M$27,Inputs!$B$4="Chapter Hunt"),CHOOSE(ArtifactsInput!$N$27+1,20,24,28,32,36,40),0)/100)),0)</f>
        <v/>
      </c>
      <c r="R2186">
        <f>IF(AND(Inputs!$B$38&lt;&gt;"pvp",Inputs!$B$43&gt;0),IF(MAX(0,Inputs!$B$43-B2210)&lt;=0,0,(INT(MAX(0,Inputs!$B$43-B2210)/(IF(Inputs!$B$38="pvp",15,MAX(0.1,Skills!D9-IF(Skills!E9=TRUE,Inputs!$B$32,0)))*(1-IF(AND(ArtifactsInput!$M$27,Inputs!$B$4="Chapter Hunt"),CHOOSE(ArtifactsInput!$N$27+1,20,24,28,32,36,40),0)/100)))+1)),0)</f>
        <v/>
      </c>
      <c r="S2186">
        <f>IFERROR(O2186/N2186,0)</f>
        <v/>
      </c>
      <c r="T2186">
        <f>IF(C2186,(H2186*N2186*IF(AND(Inputs!$B$38&lt;&gt;"pvp",Inputs!$B$43&gt;0),((Skills!G9*((R2186-1)*IF(Skills!H9&gt;0,Skills!I9/Skills!H9,1)+IF(Skills!H9&gt;0,MIN(Skills!I9,MAX(0,MAX(0,Inputs!$B$43-B2210)-((R2186-1)*(IF(Inputs!$B$38="pvp",15,MAX(0.1,Skills!D9-IF(Skills!E9=TRUE,Inputs!$B$32,0)))*(1-IF(AND(ArtifactsInput!$M$27,Inputs!$B$4="Chapter Hunt"),CHOOSE(ArtifactsInput!$N$27+1,20,24,28,32,36,40),0)/100)))))/Skills!H9,1)))/Inputs!$B$43),G2186*Q2186)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2186*(1-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2186*(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2186*(1-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2186*(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6">
        <f>IF(C2186,(H2186*N2186*IF(AND(Inputs!$B$38&lt;&gt;"pvp",Inputs!$B$43&gt;0),((Skills!G9*((R2186-1)*IF(Skills!H9&gt;0,Skills!I9/Skills!H9,1)+IF(Skills!H9&gt;0,MIN(Skills!I9,MAX(0,MAX(0,Inputs!$B$43-B2210)-((R2186-1)*(IF(Inputs!$B$38="pvp",15,MAX(0.1,Skills!D9-IF(Skills!E9=TRUE,Inputs!$B$32,0)))*(1-IF(AND(ArtifactsInput!$M$27,Inputs!$B$4="Chapter Hunt"),CHOOSE(ArtifactsInput!$N$27+1,20,24,28,32,36,40),0)/100)))))/Skills!H9,1)))/Inputs!$B$43),G2186*Q2186))*IF(Inputs!$B$38="pvp",1,(1+(Inputs!$B$21+Skills!Q9+(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7">
      <c r="A2187">
        <f>Skills!A10</f>
        <v/>
      </c>
      <c r="B2187">
        <f>Skills!B10</f>
        <v/>
      </c>
      <c r="C2187">
        <f>Inputs!$B$3&gt;=103</f>
        <v/>
      </c>
      <c r="D2187">
        <f>IF(Skills!C10=1,60+Inputs!$B$25+Inputs!$B$29,IF(Skills!C10=2,90+Inputs!$B$26+Inputs!$B$29,IF(Skills!C10=3,120+Inputs!$B$27+Inputs!$B$29,MAX(0,(Inputs!$B$3-100)*3)+Inputs!$B$28+Inputs!$B$29)))</f>
        <v/>
      </c>
      <c r="E2187">
        <f>INDEX(FactorTable!$B$2:$Y$301, MATCH(ROUND(MIN(300,MAX(1,D2187)),0), FactorTable!$A$2:$A$301,0), Skills!M10+1)</f>
        <v/>
      </c>
      <c r="F2187">
        <f>IF(Skills!N10=TRUE,(Skills!L10/10)*(E2187/1000),Skills!L10/10)+Skills!O10</f>
        <v/>
      </c>
      <c r="G2187">
        <f>Skills!G10*IF(Skills!H10&gt;0,Skills!I10/Skills!H10,1)</f>
        <v/>
      </c>
      <c r="H2187">
        <f>1-(1-Skills!J10/100)^Skills!K10</f>
        <v/>
      </c>
      <c r="I2187" t="inlineStr">
        <is>
          <t>1</t>
        </is>
      </c>
      <c r="J2187">
        <f>((Inputs!$B$6*(1+Inputs!$B$7/100))+(((Inputs!$B$12*(1+Inputs!$B$13/100))-(Inputs!$B$12*(1+Inputs!$B$13/100)))+0.25*(Inputs!$B$14-Inputs!$B$14))*(1+Inputs!$B$7/100))*(F2187/100)</f>
        <v/>
      </c>
      <c r="K2187">
        <f>J2187*(1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2187)</f>
        <v/>
      </c>
      <c r="L2187">
        <f>K2187*(MIN(Inputs!$B$22+((C2197=TRUE)*(F2197-Calc!F20)),(Inputs!$B$23+0+(IF(ArtifactsInput!$M$15,CHOOSE(ArtifactsInput!$N$15+1,25,30,35,40,45,50)/100*(Inputs!$B$11-Inputs!$B$11),0))))/100+(Inputs!$B$23+0+(IF(ArtifactsInput!$M$15,CHOOSE(ArtifactsInput!$N$15+1,25,30,35,40,45,50)/100*(Inputs!$B$11-Inputs!$B$11),0)))/100)/2</f>
        <v/>
      </c>
      <c r="M2187">
        <f>L2187*(1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7">
        <f>L2187*(1-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2187*(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7">
        <f>(1-Summary!$B$11)*T2187+Summary!$B$11*V2187</f>
        <v/>
      </c>
      <c r="P2187">
        <f>IF(B2213=0,0,O2187/B2213)</f>
        <v/>
      </c>
      <c r="Q2187">
        <f>IFERROR(1/(IF(Inputs!$B$38="pvp",15,MAX(0.1,Skills!D10-IF(Skills!E10=TRUE,Inputs!$B$32,0)))*(1-IF(AND(ArtifactsInput!$M$27,Inputs!$B$4="Chapter Hunt"),CHOOSE(ArtifactsInput!$N$27+1,20,24,28,32,36,40),0)/100)),0)</f>
        <v/>
      </c>
      <c r="R2187">
        <f>IF(AND(Inputs!$B$38&lt;&gt;"pvp",Inputs!$B$43&gt;0),IF(MAX(0,Inputs!$B$43-B2210)&lt;=0,0,(INT(MAX(0,Inputs!$B$43-B2210)/(IF(Inputs!$B$38="pvp",15,MAX(0.1,Skills!D10-IF(Skills!E10=TRUE,Inputs!$B$32,0)))*(1-IF(AND(ArtifactsInput!$M$27,Inputs!$B$4="Chapter Hunt"),CHOOSE(ArtifactsInput!$N$27+1,20,24,28,32,36,40),0)/100)))+1)),0)</f>
        <v/>
      </c>
      <c r="S2187">
        <f>IFERROR(O2187/N2187,0)</f>
        <v/>
      </c>
      <c r="T2187">
        <f>IF(C2187,(H2187*N2187*IF(AND(Inputs!$B$38&lt;&gt;"pvp",Inputs!$B$43&gt;0),((Skills!G10*((R2187-1)*IF(Skills!H10&gt;0,Skills!I10/Skills!H10,1)+IF(Skills!H10&gt;0,MIN(Skills!I10,MAX(0,MAX(0,Inputs!$B$43-B2210)-((R2187-1)*(IF(Inputs!$B$38="pvp",15,MAX(0.1,Skills!D10-IF(Skills!E10=TRUE,Inputs!$B$32,0)))*(1-IF(AND(ArtifactsInput!$M$27,Inputs!$B$4="Chapter Hunt"),CHOOSE(ArtifactsInput!$N$27+1,20,24,28,32,36,40),0)/100)))))/Skills!H10,1)))/Inputs!$B$43),G2187*Q2187)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2187*(1-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2187*(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2187*(1-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2187*(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7">
        <f>IF(C2187,(H2187*N2187*IF(AND(Inputs!$B$38&lt;&gt;"pvp",Inputs!$B$43&gt;0),((Skills!G10*((R2187-1)*IF(Skills!H10&gt;0,Skills!I10/Skills!H10,1)+IF(Skills!H10&gt;0,MIN(Skills!I10,MAX(0,MAX(0,Inputs!$B$43-B2210)-((R2187-1)*(IF(Inputs!$B$38="pvp",15,MAX(0.1,Skills!D10-IF(Skills!E10=TRUE,Inputs!$B$32,0)))*(1-IF(AND(ArtifactsInput!$M$27,Inputs!$B$4="Chapter Hunt"),CHOOSE(ArtifactsInput!$N$27+1,20,24,28,32,36,40),0)/100)))))/Skills!H10,1)))/Inputs!$B$43),G2187*Q2187))*IF(Inputs!$B$38="pvp",1,(1+(Inputs!$B$21+Skills!Q10+(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8">
      <c r="A2188">
        <f>Skills!A11</f>
        <v/>
      </c>
      <c r="B2188">
        <f>Skills!B11</f>
        <v/>
      </c>
      <c r="C2188">
        <f>Inputs!$B$3&gt;=113</f>
        <v/>
      </c>
      <c r="D2188">
        <f>IF(Skills!C11=1,60+Inputs!$B$25+Inputs!$B$29,IF(Skills!C11=2,90+Inputs!$B$26+Inputs!$B$29,IF(Skills!C11=3,120+Inputs!$B$27+Inputs!$B$29,MAX(0,(Inputs!$B$3-100)*3)+Inputs!$B$28+Inputs!$B$29)))</f>
        <v/>
      </c>
      <c r="E2188">
        <f>INDEX(FactorTable!$B$2:$Y$301, MATCH(ROUND(MIN(300,MAX(1,D2188)),0), FactorTable!$A$2:$A$301,0), Skills!M11+1)</f>
        <v/>
      </c>
      <c r="F2188">
        <f>IF(Skills!N11=TRUE,(Skills!L11/10)*(E2188/1000),Skills!L11/10)+Skills!O11</f>
        <v/>
      </c>
      <c r="G2188">
        <f>Skills!G11*IF(Skills!H11&gt;0,Skills!I11/Skills!H11,1)</f>
        <v/>
      </c>
      <c r="H2188">
        <f>1-(1-Skills!J11/100)^Skills!K11</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2199=TRUE)*(F2199-Calc!F22))+B2209)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2198=TRUE)*(F2198-Calc!F21))+(((IF(AND(ArtifactsInput!$M$42,((Inputs!$B$9+((C2193=TRUE)*(F2193-Calc!F16))+B2203+(ArtifactsInput!$M$24-ArtifactsInput!$M$24)*CHOOSE(ArtifactsInput!$N$24+1,10,12,14,16,18,20)+IF(ArtifactsInput!$M$10,CHOOSE(ArtifactsInput!$N$10+1,15,18,21,24,27,30)*(IF(Inputs!$B$38="pvp",MIN(15,15)/15,IF(AND(Inputs!$B$38&lt;&gt;"pvp",Inputs!$B$43&gt;0),MIN(15,Inputs!$B$43)/(Inputs!$B$43),0))),0)))&gt;=100),MIN(100,((Inputs!$B$9+((C2193=TRUE)*(F2193-Calc!F16))+B2203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2193=TRUE)*(F2193-Calc!F16))+B2203+(ArtifactsInput!$M$24-ArtifactsInput!$M$24)*CHOOSE(ArtifactsInput!$N$24+1,10,12,14,16,18,20)+IF(ArtifactsInput!$M$10,CHOOSE(ArtifactsInput!$N$10+1,15,18,21,24,27,30)*(IF(Inputs!$B$38="pvp",MIN(15,15)/15,IF(AND(Inputs!$B$38&lt;&gt;"pvp",Inputs!$B$43&gt;0),MIN(15,Inputs!$B$43)/(Inputs!$B$43),0))),0)))&gt;=100),CHOOSE(ArtifactsInput!$N$42+1,40,48,56,64,72,80),0))))/100)*((1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2197=TRUE)*(F2197-Calc!F20)),(Inputs!$B$23+0+(IF(ArtifactsInput!$M$15,CHOOSE(ArtifactsInput!$N$15+1,25,30,35,40,45,50)/100*(Inputs!$B$11-Inputs!$B$11),0))))/100+(Inputs!$B$23+0+(IF(ArtifactsInput!$M$15,CHOOSE(ArtifactsInput!$N$15+1,25,30,35,40,45,50)/100*(Inputs!$B$11-Inputs!$B$11),0)))/100)/2</f>
        <v/>
      </c>
      <c r="M2188">
        <f>L2188*(1+(Inputs!$B$10+0+B2208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IF(B2213=0,0,O2188/B2213)</f>
        <v/>
      </c>
      <c r="Q2188">
        <f>IFERROR(1/(IF(Inputs!$B$38="pvp",15,MAX(0.1,Skills!D11-IF(Skills!E11=TRUE,Inputs!$B$32,0)))*(1-IF(AND(ArtifactsInput!$M$27,Inputs!$B$4="Chapter Hunt"),CHOOSE(ArtifactsInput!$N$27+1,20,24,28,32,36,40),0)/100)),0)</f>
        <v/>
      </c>
      <c r="R2188">
        <f>IF(AND(Inputs!$B$38&lt;&gt;"pvp",Inputs!$B$43&gt;0),IF(MAX(0,Inputs!$B$43-B2210)&lt;=0,0,(INT(MAX(0,Inputs!$B$43-B2210)/(IF(Inputs!$B$38="pvp",15,MAX(0.1,Skills!D11-IF(Skills!E11=TRUE,Inputs!$B$32,0)))*(1-IF(AND(ArtifactsInput!$M$27,Inputs!$B$4="Chapter Hunt"),CHOOSE(ArtifactsInput!$N$27+1,20,24,28,32,36,40),0)/100)))+1)),0)</f>
        <v/>
      </c>
      <c r="S2188">
        <f>IFERROR(O2188/N2188,0)</f>
        <v/>
      </c>
      <c r="T2188">
        <f>IF(C2188,(H2188*N2188*IF(AND(Inputs!$B$38&lt;&gt;"pvp",Inputs!$B$43&gt;0),((Skills!G11*((R2188-1)*IF(Skills!H11&gt;0,Skills!I11/Skills!H11,1)+IF(Skills!H11&gt;0,MIN(Skills!I11,MAX(0,MAX(0,Inputs!$B$43-B2210)-((R2188-1)*(IF(Inputs!$B$38="pvp",15,MAX(0.1,Skills!D11-IF(Skills!E11=TRUE,Inputs!$B$32,0)))*(1-IF(AND(ArtifactsInput!$M$27,Inputs!$B$4="Chapter Hunt"),CHOOSE(ArtifactsInput!$N$27+1,20,24,28,32,36,40),0)/100)))))/Skills!H11,1)))/Inputs!$B$43),G2188*Q2188)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2193=TRUE)*(F2193-Calc!F16))+B2203+(ArtifactsInput!$M$24-ArtifactsInput!$M$24)*CHOOSE(ArtifactsInput!$N$24+1,10,12,14,16,18,20)+(IF(AND(ArtifactsInput!$M$42,((Inputs!$B$9+((C2193=TRUE)*(F2193-Calc!F16))+B2203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88">
        <f>IF(C2188,(H2188*N2188*IF(AND(Inputs!$B$38&lt;&gt;"pvp",Inputs!$B$43&gt;0),((Skills!G11*((R2188-1)*IF(Skills!H11&gt;0,Skills!I11/Skills!H11,1)+IF(Skills!H11&gt;0,MIN(Skills!I11,MAX(0,MAX(0,Inputs!$B$43-B2210)-((R2188-1)*(IF(Inputs!$B$38="pvp",15,MAX(0.1,Skills!D11-IF(Skills!E11=TRUE,Inputs!$B$32,0)))*(1-IF(AND(ArtifactsInput!$M$27,Inputs!$B$4="Chapter Hunt"),CHOOSE(ArtifactsInput!$N$27+1,20,24,28,32,36,40),0)/100)))))/Skills!H11,1)))/Inputs!$B$43),G2188*Q2188))*IF(Inputs!$B$38="pvp",1,(1+(Inputs!$B$21+Skills!Q11+(IF(ArtifactsInput!$M$33,CHOOSE(ArtifactsInput!$N$33+1,30,36,42,48,54,60),0))+(IF(AND(IF(ArtifactsInput!$M$35,FALSE,TRUE),Inputs!$B$4&lt;&gt;"Chapter Hunt"),CHOOSE(ArtifactsInput!$N$35+1,15,18,21,24,27,30)*(1-EXP(-(0.2*B2205)*5)),0)+IF(AND(ArtifactsInput!$M$22,Inputs!$B$4&lt;&gt;"Chapter Hunt"),CHOOSE(ArtifactsInput!$N$22+1,10,12,14,16,18,20)*((0*(((0.15*B2205*5))^0/1)+1*(((0.15*B2205*5))^1/1)+2*(((0.15*B2205*5))^2/2)+3*(((0.15*B2205*5))^3/6)+4*(((0.15*B2205*5))^4/24)+5*(((0.15*B2205*5))^5/120))/((((0.15*B2205*5))^0/1)+(((0.15*B2205*5))^1/1)+(((0.15*B2205*5))^2/2)+(((0.15*B2205*5))^3/6)+(((0.15*B2205*5))^4/24)+(((0.15*B2205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Skills!A12</f>
        <v/>
      </c>
      <c r="B2189">
        <f>Skills!B12</f>
        <v/>
      </c>
      <c r="C2189">
        <f>Inputs!$B$3&gt;=100</f>
        <v/>
      </c>
      <c r="D2189">
        <f>IF(Skills!C12=1,60+Inputs!$B$25+Inputs!$B$29,IF(Skills!C12=2,90+Inputs!$B$26+Inputs!$B$29,IF(Skills!C12=3,120+Inputs!$B$27+Inputs!$B$29,MAX(0,(Inputs!$B$3-100)*3)+Inputs!$B$28+Inputs!$B$29)))</f>
        <v/>
      </c>
      <c r="E2189">
        <f>INDEX(FactorTable!$B$2:$Y$301, MATCH(ROUND(MIN(300,MAX(1,D2189)),0), FactorTable!$A$2:$A$301,0), Skills!M12+1)</f>
        <v/>
      </c>
      <c r="F2189">
        <f>IF(Skills!N12=TRUE,(Skills!L12/10)*(E2189/1000),Skills!L12/10)+Skills!O12</f>
        <v/>
      </c>
      <c r="G2189" t="inlineStr"/>
      <c r="H2189" t="inlineStr"/>
      <c r="I2189" t="inlineStr">
        <is>
          <t>1</t>
        </is>
      </c>
      <c r="J2189" t="inlineStr"/>
      <c r="K2189" t="inlineStr"/>
      <c r="L2189" t="inlineStr"/>
      <c r="M2189" t="inlineStr"/>
      <c r="N2189" t="inlineStr"/>
      <c r="O2189" t="inlineStr"/>
      <c r="P2189" t="inlineStr"/>
      <c r="Q2189" t="inlineStr"/>
      <c r="R2189" t="inlineStr"/>
      <c r="S2189" t="inlineStr"/>
      <c r="T2189" t="inlineStr"/>
      <c r="V2189" t="inlineStr"/>
    </row>
    <row r="2190">
      <c r="A2190">
        <f>Skills!A13</f>
        <v/>
      </c>
      <c r="B2190">
        <f>Skills!B13</f>
        <v/>
      </c>
      <c r="C2190">
        <f>Inputs!$B$3&gt;=66</f>
        <v/>
      </c>
      <c r="D2190">
        <f>IF(Skills!C13=1,60+Inputs!$B$25+Inputs!$B$29,IF(Skills!C13=2,90+Inputs!$B$26+Inputs!$B$29,IF(Skills!C13=3,120+Inputs!$B$27+Inputs!$B$29,MAX(0,(Inputs!$B$3-100)*3)+Inputs!$B$28+Inputs!$B$29)))</f>
        <v/>
      </c>
      <c r="E2190">
        <f>INDEX(FactorTable!$B$2:$Y$301, MATCH(ROUND(MIN(300,MAX(1,D2190)),0), FactorTable!$A$2:$A$301,0), Skills!M13+1)</f>
        <v/>
      </c>
      <c r="F2190">
        <f>IF(Skills!N13=TRUE,(Skills!L13/10)*(E2190/1000),Skills!L13/10)+Skills!O13</f>
        <v/>
      </c>
      <c r="G2190">
        <f>Skills!G13*IF(Skills!H13&gt;0,Skills!I13/Skills!H13,1)</f>
        <v/>
      </c>
      <c r="H2190">
        <f>1-(1-Skills!J13/100)^Skills!K13</f>
        <v/>
      </c>
      <c r="I2190" t="inlineStr">
        <is>
          <t>1</t>
        </is>
      </c>
      <c r="J2190" t="inlineStr"/>
      <c r="K2190" t="inlineStr"/>
      <c r="L2190" t="inlineStr"/>
      <c r="M2190" t="inlineStr"/>
      <c r="N2190" t="inlineStr"/>
      <c r="O2190">
        <f>(1-Summary!$B$11)*T2190+Summary!$B$11*V2190</f>
        <v/>
      </c>
      <c r="P2190">
        <f>IF(B2213=0,0,O2190/B2213)</f>
        <v/>
      </c>
      <c r="Q2190" t="n">
        <v>0</v>
      </c>
      <c r="R2190" t="n">
        <v>0</v>
      </c>
      <c r="S2190">
        <f>IFERROR(O2190/N2190,0)</f>
        <v/>
      </c>
      <c r="T2190" t="n">
        <v>0</v>
      </c>
      <c r="V2190" t="n">
        <v>0</v>
      </c>
    </row>
    <row r="2191">
      <c r="A2191">
        <f>Skills!A14</f>
        <v/>
      </c>
      <c r="B2191">
        <f>Skills!B14</f>
        <v/>
      </c>
      <c r="C2191">
        <f>Inputs!$B$3&gt;=107</f>
        <v/>
      </c>
      <c r="D2191">
        <f>IF(Skills!C14=1,60+Inputs!$B$25+Inputs!$B$29,IF(Skills!C14=2,90+Inputs!$B$26+Inputs!$B$29,IF(Skills!C14=3,120+Inputs!$B$27+Inputs!$B$29,MAX(0,(Inputs!$B$3-100)*3)+Inputs!$B$28+Inputs!$B$29)))</f>
        <v/>
      </c>
      <c r="E2191">
        <f>INDEX(FactorTable!$B$2:$Y$301, MATCH(ROUND(MIN(300,MAX(1,D2191)),0), FactorTable!$A$2:$A$301,0), Skills!M14+1)</f>
        <v/>
      </c>
      <c r="F2191">
        <f>IF(Skills!N14=TRUE,(Skills!L14/10)*(E2191/1000),Skills!L14/10)+Skills!O14</f>
        <v/>
      </c>
      <c r="G2191">
        <f>Skills!G14*IF(Skills!H14&gt;0,Skills!I14/Skills!H14,1)</f>
        <v/>
      </c>
      <c r="H2191">
        <f>1-(1-Skills!J14/100)^Skills!K14</f>
        <v/>
      </c>
      <c r="I2191" t="inlineStr">
        <is>
          <t>1</t>
        </is>
      </c>
      <c r="J2191" t="inlineStr"/>
      <c r="K2191" t="inlineStr"/>
      <c r="L2191" t="inlineStr"/>
      <c r="M2191" t="inlineStr"/>
      <c r="N2191" t="inlineStr"/>
      <c r="O2191">
        <f>(1-Summary!$B$11)*T2191+Summary!$B$11*V2191</f>
        <v/>
      </c>
      <c r="P2191">
        <f>IF(B2213=0,0,O2191/B2213)</f>
        <v/>
      </c>
      <c r="Q2191">
        <f>IFERROR(1/(IF(Inputs!$B$38="pvp",15,MAX(0.1,Skills!D14-IF(Skills!E14=TRUE,Inputs!$B$32,0)))*(1-IF(AND(ArtifactsInput!$M$27,Inputs!$B$4="Chapter Hunt"),CHOOSE(ArtifactsInput!$N$27+1,20,24,28,32,36,40),0)/100)),0)</f>
        <v/>
      </c>
      <c r="R2191">
        <f>IF(AND(Inputs!$B$38&lt;&gt;"pvp",Inputs!$B$43&gt;0),IF(Inputs!$B$43&lt;=0,0,(INT(Inputs!$B$43/(IF(Inputs!$B$38="pvp",15,MAX(0.1,Skills!D14-IF(Skills!E14=TRUE,Inputs!$B$32,0)))*(1-IF(AND(ArtifactsInput!$M$27,Inputs!$B$4="Chapter Hunt"),CHOOSE(ArtifactsInput!$N$27+1,20,24,28,32,36,40),0)/100)))+1)),0)</f>
        <v/>
      </c>
      <c r="S2191">
        <f>IFERROR(O2191/N2191,0)</f>
        <v/>
      </c>
      <c r="T2191" t="n">
        <v>0</v>
      </c>
      <c r="V2191" t="n">
        <v>0</v>
      </c>
    </row>
    <row r="2192">
      <c r="A2192">
        <f>Skills!A15</f>
        <v/>
      </c>
      <c r="B2192">
        <f>Skills!B15</f>
        <v/>
      </c>
      <c r="C2192">
        <f>Inputs!$B$3&gt;=115</f>
        <v/>
      </c>
      <c r="D2192">
        <f>IF(Skills!C15=1,60+Inputs!$B$25+Inputs!$B$29,IF(Skills!C15=2,90+Inputs!$B$26+Inputs!$B$29,IF(Skills!C15=3,120+Inputs!$B$27+Inputs!$B$29,MAX(0,(Inputs!$B$3-100)*3)+Inputs!$B$28+Inputs!$B$29)))</f>
        <v/>
      </c>
      <c r="E2192">
        <f>INDEX(FactorTable!$B$2:$Y$301, MATCH(ROUND(MIN(300,MAX(1,D2192)),0), FactorTable!$A$2:$A$301,0), Skills!M15+1)</f>
        <v/>
      </c>
      <c r="F2192">
        <f>IF(Skills!N15=TRUE,(Skills!L15/10)*(E2192/1000),Skills!L15/10)+Skills!O15</f>
        <v/>
      </c>
      <c r="G2192">
        <f>Skills!G15*IF(Skills!H15&gt;0,Skills!I15/Skills!H15,1)</f>
        <v/>
      </c>
      <c r="H2192">
        <f>1-(1-Skills!J15/100)^Skills!K15</f>
        <v/>
      </c>
      <c r="I2192" t="inlineStr">
        <is>
          <t>1</t>
        </is>
      </c>
      <c r="J2192" t="inlineStr"/>
      <c r="K2192" t="inlineStr"/>
      <c r="L2192" t="inlineStr"/>
      <c r="M2192" t="inlineStr"/>
      <c r="N2192" t="inlineStr"/>
      <c r="O2192">
        <f>(1-Summary!$B$11)*T2192+Summary!$B$11*V2192</f>
        <v/>
      </c>
      <c r="P2192">
        <f>IF(B2213=0,0,O2192/B2213)</f>
        <v/>
      </c>
      <c r="Q2192">
        <f>IFERROR(1/(IF(Inputs!$B$38="pvp",15,MAX(0.1,Skills!D15-IF(Skills!E15=TRUE,Inputs!$B$32,0)))*(1-IF(AND(ArtifactsInput!$M$27,Inputs!$B$4="Chapter Hunt"),CHOOSE(ArtifactsInput!$N$27+1,20,24,28,32,36,40),0)/100)),0)</f>
        <v/>
      </c>
      <c r="R2192">
        <f>IF(AND(Inputs!$B$38&lt;&gt;"pvp",Inputs!$B$43&gt;0),IF(Inputs!$B$43&lt;=0,0,(INT(Inputs!$B$43/(IF(Inputs!$B$38="pvp",15,MAX(0.1,Skills!D15-IF(Skills!E15=TRUE,Inputs!$B$32,0)))*(1-IF(AND(ArtifactsInput!$M$27,Inputs!$B$4="Chapter Hunt"),CHOOSE(ArtifactsInput!$N$27+1,20,24,28,32,36,40),0)/100)))+1)),0)</f>
        <v/>
      </c>
      <c r="S2192">
        <f>IFERROR(O2192/N2192,0)</f>
        <v/>
      </c>
      <c r="T2192" t="n">
        <v>0</v>
      </c>
      <c r="V2192" t="n">
        <v>0</v>
      </c>
    </row>
    <row r="2193">
      <c r="A2193">
        <f>Skills!A16</f>
        <v/>
      </c>
      <c r="B2193">
        <f>Skills!B16</f>
        <v/>
      </c>
      <c r="C2193">
        <f>Inputs!$B$3&gt;=15</f>
        <v/>
      </c>
      <c r="D2193">
        <f>IF(Skills!C16=1,60+Inputs!$B$25+Inputs!$B$29,IF(Skills!C16=2,90+Inputs!$B$26+Inputs!$B$29,IF(Skills!C16=3,120+Inputs!$B$27+Inputs!$B$29,MAX(0,(Inputs!$B$3-100)*3)+Inputs!$B$28+Inputs!$B$29)))</f>
        <v/>
      </c>
      <c r="E2193">
        <f>INDEX(FactorTable!$B$2:$Y$301, MATCH(ROUND(MIN(300,MAX(1,D2193)),0), FactorTable!$A$2:$A$301,0), Skills!M16+1)</f>
        <v/>
      </c>
      <c r="F2193">
        <f>IF(Skills!N16=TRUE,(Skills!L16/10)*(E2193/1000),Skills!L16/10)+Skills!O16</f>
        <v/>
      </c>
      <c r="G2193">
        <f>Skills!G16*IF(Skills!H16&gt;0,Skills!I16/Skills!H16,1)</f>
        <v/>
      </c>
      <c r="H2193">
        <f>1-(1-Skills!J16/100)^Skills!K16</f>
        <v/>
      </c>
      <c r="I2193" t="inlineStr">
        <is>
          <t>1</t>
        </is>
      </c>
      <c r="J2193" t="inlineStr"/>
      <c r="K2193" t="inlineStr"/>
      <c r="L2193" t="inlineStr"/>
      <c r="M2193" t="inlineStr"/>
      <c r="N2193" t="inlineStr"/>
      <c r="O2193">
        <f>(1-Summary!$B$11)*T2193+Summary!$B$11*V2193</f>
        <v/>
      </c>
      <c r="P2193">
        <f>IF(B2213=0,0,O2193/B2213)</f>
        <v/>
      </c>
      <c r="Q2193" t="n">
        <v>0</v>
      </c>
      <c r="R2193" t="n">
        <v>0</v>
      </c>
      <c r="S2193">
        <f>IFERROR(O2193/N2193,0)</f>
        <v/>
      </c>
      <c r="T2193" t="n">
        <v>0</v>
      </c>
      <c r="V2193" t="n">
        <v>0</v>
      </c>
    </row>
    <row r="2194">
      <c r="A2194">
        <f>Skills!A17</f>
        <v/>
      </c>
      <c r="B2194">
        <f>Skills!B17</f>
        <v/>
      </c>
      <c r="C2194">
        <f>Inputs!$B$3&gt;=10</f>
        <v/>
      </c>
      <c r="D2194">
        <f>IF(Skills!C17=1,60+Inputs!$B$25+Inputs!$B$29,IF(Skills!C17=2,90+Inputs!$B$26+Inputs!$B$29,IF(Skills!C17=3,120+Inputs!$B$27+Inputs!$B$29,MAX(0,(Inputs!$B$3-100)*3)+Inputs!$B$28+Inputs!$B$29)))</f>
        <v/>
      </c>
      <c r="E2194">
        <f>INDEX(FactorTable!$B$2:$Y$301, MATCH(ROUND(MIN(300,MAX(1,D2194)),0), FactorTable!$A$2:$A$301,0), Skills!M17+1)</f>
        <v/>
      </c>
      <c r="F2194">
        <f>IF(Skills!N17=TRUE,(Skills!L17/10)*(E2194/1000),Skills!L17/10)+Skills!O17</f>
        <v/>
      </c>
      <c r="G2194">
        <f>Skills!G17*IF(Skills!H17&gt;0,Skills!I17/Skills!H17,1)</f>
        <v/>
      </c>
      <c r="H2194">
        <f>1-(1-Skills!J17/100)^Skills!K17</f>
        <v/>
      </c>
      <c r="I2194" t="inlineStr">
        <is>
          <t>1</t>
        </is>
      </c>
      <c r="J2194" t="inlineStr"/>
      <c r="K2194" t="inlineStr"/>
      <c r="L2194" t="inlineStr"/>
      <c r="M2194" t="inlineStr"/>
      <c r="N2194" t="inlineStr"/>
      <c r="O2194">
        <f>(1-Summary!$B$11)*T2194+Summary!$B$11*V2194</f>
        <v/>
      </c>
      <c r="P2194">
        <f>IF(B2213=0,0,O2194/B2213)</f>
        <v/>
      </c>
      <c r="Q2194" t="n">
        <v>0</v>
      </c>
      <c r="R2194" t="n">
        <v>0</v>
      </c>
      <c r="S2194">
        <f>IFERROR(O2194/N2194,0)</f>
        <v/>
      </c>
      <c r="T2194" t="n">
        <v>0</v>
      </c>
      <c r="V2194" t="n">
        <v>0</v>
      </c>
    </row>
    <row r="2195">
      <c r="A2195">
        <f>Skills!A18</f>
        <v/>
      </c>
      <c r="B2195">
        <f>Skills!B18</f>
        <v/>
      </c>
      <c r="C2195">
        <f>Inputs!$B$3&gt;=33</f>
        <v/>
      </c>
      <c r="D2195">
        <f>IF(Skills!C18=1,60+Inputs!$B$25+Inputs!$B$29,IF(Skills!C18=2,90+Inputs!$B$26+Inputs!$B$29,IF(Skills!C18=3,120+Inputs!$B$27+Inputs!$B$29,MAX(0,(Inputs!$B$3-100)*3)+Inputs!$B$28+Inputs!$B$29)))</f>
        <v/>
      </c>
      <c r="E2195">
        <f>INDEX(FactorTable!$B$2:$Y$301, MATCH(ROUND(MIN(300,MAX(1,D2195)),0), FactorTable!$A$2:$A$301,0), Skills!M18+1)</f>
        <v/>
      </c>
      <c r="F2195">
        <f>IF(Skills!N18=TRUE,(Skills!L18/10)*(E2195/1000),Skills!L18/10)+Skills!O18</f>
        <v/>
      </c>
      <c r="G2195">
        <f>Skills!G18*IF(Skills!H18&gt;0,Skills!I18/Skills!H18,1)</f>
        <v/>
      </c>
      <c r="H2195">
        <f>1-(1-Skills!J18/100)^Skills!K18</f>
        <v/>
      </c>
      <c r="I2195" t="inlineStr">
        <is>
          <t>1</t>
        </is>
      </c>
      <c r="J2195" t="inlineStr"/>
      <c r="K2195" t="inlineStr"/>
      <c r="L2195" t="inlineStr"/>
      <c r="M2195" t="inlineStr"/>
      <c r="N2195" t="inlineStr"/>
      <c r="O2195">
        <f>(1-Summary!$B$11)*T2195+Summary!$B$11*V2195</f>
        <v/>
      </c>
      <c r="P2195">
        <f>IF(B2213=0,0,O2195/B2213)</f>
        <v/>
      </c>
      <c r="Q2195" t="n">
        <v>0</v>
      </c>
      <c r="R2195" t="n">
        <v>0</v>
      </c>
      <c r="S2195">
        <f>IFERROR(O2195/N2195,0)</f>
        <v/>
      </c>
      <c r="T2195" t="n">
        <v>0</v>
      </c>
      <c r="V2195" t="n">
        <v>0</v>
      </c>
    </row>
    <row r="2196">
      <c r="A2196">
        <f>Skills!A19</f>
        <v/>
      </c>
      <c r="B2196">
        <f>Skills!B19</f>
        <v/>
      </c>
      <c r="C2196">
        <f>Inputs!$B$3&gt;=40</f>
        <v/>
      </c>
      <c r="D2196">
        <f>IF(Skills!C19=1,60+Inputs!$B$25+Inputs!$B$29,IF(Skills!C19=2,90+Inputs!$B$26+Inputs!$B$29,IF(Skills!C19=3,120+Inputs!$B$27+Inputs!$B$29,MAX(0,(Inputs!$B$3-100)*3)+Inputs!$B$28+Inputs!$B$29)))</f>
        <v/>
      </c>
      <c r="E2196">
        <f>INDEX(FactorTable!$B$2:$Y$301, MATCH(ROUND(MIN(300,MAX(1,D2196)),0), FactorTable!$A$2:$A$301,0), Skills!M19+1)</f>
        <v/>
      </c>
      <c r="F2196">
        <f>IF(Skills!N19=TRUE,(Skills!L19/10)*(E2196/1000),Skills!L19/10)+Skills!O19</f>
        <v/>
      </c>
      <c r="G2196">
        <f>Skills!G19*IF(Skills!H19&gt;0,Skills!I19/Skills!H19,1)</f>
        <v/>
      </c>
      <c r="H2196">
        <f>1-(1-Skills!J19/100)^Skills!K19</f>
        <v/>
      </c>
      <c r="I2196" t="inlineStr">
        <is>
          <t>1</t>
        </is>
      </c>
      <c r="J2196" t="inlineStr"/>
      <c r="K2196" t="inlineStr"/>
      <c r="L2196" t="inlineStr"/>
      <c r="M2196" t="inlineStr"/>
      <c r="N2196" t="inlineStr"/>
      <c r="O2196">
        <f>(1-Summary!$B$11)*T2196+Summary!$B$11*V2196</f>
        <v/>
      </c>
      <c r="P2196">
        <f>IF(B2213=0,0,O2196/B2213)</f>
        <v/>
      </c>
      <c r="Q2196" t="n">
        <v>0</v>
      </c>
      <c r="R2196" t="n">
        <v>0</v>
      </c>
      <c r="S2196">
        <f>IFERROR(O2196/N2196,0)</f>
        <v/>
      </c>
      <c r="T2196" t="n">
        <v>0</v>
      </c>
      <c r="V2196" t="n">
        <v>0</v>
      </c>
    </row>
    <row r="2197">
      <c r="A2197">
        <f>Skills!A20</f>
        <v/>
      </c>
      <c r="B2197">
        <f>Skills!B20</f>
        <v/>
      </c>
      <c r="C2197">
        <f>Inputs!$B$3&gt;=43</f>
        <v/>
      </c>
      <c r="D2197">
        <f>IF(Skills!C20=1,60+Inputs!$B$25+Inputs!$B$29,IF(Skills!C20=2,90+Inputs!$B$26+Inputs!$B$29,IF(Skills!C20=3,120+Inputs!$B$27+Inputs!$B$29,MAX(0,(Inputs!$B$3-100)*3)+Inputs!$B$28+Inputs!$B$29)))</f>
        <v/>
      </c>
      <c r="E2197">
        <f>INDEX(FactorTable!$B$2:$Y$301, MATCH(ROUND(MIN(300,MAX(1,D2197)),0), FactorTable!$A$2:$A$301,0), Skills!M20+1)</f>
        <v/>
      </c>
      <c r="F2197">
        <f>IF(Skills!N20=TRUE,(Skills!L20/10)*(E2197/1000),Skills!L20/10)+Skills!O20</f>
        <v/>
      </c>
      <c r="G2197">
        <f>Skills!G20*IF(Skills!H20&gt;0,Skills!I20/Skills!H20,1)</f>
        <v/>
      </c>
      <c r="H2197">
        <f>1-(1-Skills!J20/100)^Skills!K20</f>
        <v/>
      </c>
      <c r="I2197" t="inlineStr">
        <is>
          <t>1</t>
        </is>
      </c>
      <c r="J2197" t="inlineStr"/>
      <c r="K2197" t="inlineStr"/>
      <c r="L2197" t="inlineStr"/>
      <c r="M2197" t="inlineStr"/>
      <c r="N2197" t="inlineStr"/>
      <c r="O2197">
        <f>(1-Summary!$B$11)*T2197+Summary!$B$11*V2197</f>
        <v/>
      </c>
      <c r="P2197">
        <f>IF(B2213=0,0,O2197/B2213)</f>
        <v/>
      </c>
      <c r="Q2197" t="n">
        <v>0</v>
      </c>
      <c r="R2197" t="n">
        <v>0</v>
      </c>
      <c r="S2197">
        <f>IFERROR(O2197/N2197,0)</f>
        <v/>
      </c>
      <c r="T2197" t="n">
        <v>0</v>
      </c>
      <c r="V2197" t="n">
        <v>0</v>
      </c>
    </row>
    <row r="2198">
      <c r="A2198">
        <f>Skills!A21</f>
        <v/>
      </c>
      <c r="B2198">
        <f>Skills!B21</f>
        <v/>
      </c>
      <c r="C2198">
        <f>Inputs!$B$3&gt;=38</f>
        <v/>
      </c>
      <c r="D2198">
        <f>IF(Skills!C21=1,60+Inputs!$B$25+Inputs!$B$29,IF(Skills!C21=2,90+Inputs!$B$26+Inputs!$B$29,IF(Skills!C21=3,120+Inputs!$B$27+Inputs!$B$29,MAX(0,(Inputs!$B$3-100)*3)+Inputs!$B$28+Inputs!$B$29)))</f>
        <v/>
      </c>
      <c r="E2198">
        <f>INDEX(FactorTable!$B$2:$Y$301, MATCH(ROUND(MIN(300,MAX(1,D2198)),0), FactorTable!$A$2:$A$301,0), Skills!M21+1)</f>
        <v/>
      </c>
      <c r="F2198">
        <f>IF(Skills!N21=TRUE,(Skills!L21/10)*(E2198/1000),Skills!L21/10)+Skills!O21</f>
        <v/>
      </c>
      <c r="G2198">
        <f>Skills!G21*IF(Skills!H21&gt;0,Skills!I21/Skills!H21,1)</f>
        <v/>
      </c>
      <c r="H2198">
        <f>1-(1-Skills!J21/100)^Skills!K21</f>
        <v/>
      </c>
      <c r="I2198" t="inlineStr">
        <is>
          <t>1</t>
        </is>
      </c>
      <c r="J2198" t="inlineStr"/>
      <c r="K2198" t="inlineStr"/>
      <c r="L2198" t="inlineStr"/>
      <c r="M2198" t="inlineStr"/>
      <c r="N2198" t="inlineStr"/>
      <c r="O2198">
        <f>(1-Summary!$B$11)*T2198+Summary!$B$11*V2198</f>
        <v/>
      </c>
      <c r="P2198">
        <f>IF(B2213=0,0,O2198/B2213)</f>
        <v/>
      </c>
      <c r="Q2198" t="n">
        <v>0</v>
      </c>
      <c r="R2198" t="n">
        <v>0</v>
      </c>
      <c r="S2198">
        <f>IFERROR(O2198/N2198,0)</f>
        <v/>
      </c>
      <c r="T2198" t="n">
        <v>0</v>
      </c>
      <c r="V2198" t="n">
        <v>0</v>
      </c>
    </row>
    <row r="2199">
      <c r="A2199">
        <f>Skills!A22</f>
        <v/>
      </c>
      <c r="B2199">
        <f>Skills!B22</f>
        <v/>
      </c>
      <c r="C2199">
        <f>Inputs!$B$3&gt;=75</f>
        <v/>
      </c>
      <c r="D2199">
        <f>IF(Skills!C22=1,60+Inputs!$B$25+Inputs!$B$29,IF(Skills!C22=2,90+Inputs!$B$26+Inputs!$B$29,IF(Skills!C22=3,120+Inputs!$B$27+Inputs!$B$29,MAX(0,(Inputs!$B$3-100)*3)+Inputs!$B$28+Inputs!$B$29)))</f>
        <v/>
      </c>
      <c r="E2199">
        <f>INDEX(FactorTable!$B$2:$Y$301, MATCH(ROUND(MIN(300,MAX(1,D2199)),0), FactorTable!$A$2:$A$301,0), Skills!M22+1)</f>
        <v/>
      </c>
      <c r="F2199">
        <f>IF(Skills!N22=TRUE,(Skills!L22/10)*(E2199/1000),Skills!L22/10)+Skills!O22</f>
        <v/>
      </c>
      <c r="G2199">
        <f>Skills!G22*IF(Skills!H22&gt;0,Skills!I22/Skills!H22,1)</f>
        <v/>
      </c>
      <c r="H2199">
        <f>1-(1-Skills!J22/100)^Skills!K22</f>
        <v/>
      </c>
      <c r="I2199" t="inlineStr">
        <is>
          <t>1</t>
        </is>
      </c>
      <c r="J2199" t="inlineStr"/>
      <c r="K2199" t="inlineStr"/>
      <c r="L2199" t="inlineStr"/>
      <c r="M2199" t="inlineStr"/>
      <c r="N2199" t="inlineStr"/>
      <c r="O2199">
        <f>(1-Summary!$B$11)*T2199+Summary!$B$11*V2199</f>
        <v/>
      </c>
      <c r="P2199">
        <f>IF(B2213=0,0,O2199/B2213)</f>
        <v/>
      </c>
      <c r="Q2199" t="n">
        <v>0</v>
      </c>
      <c r="R2199" t="n">
        <v>0</v>
      </c>
      <c r="S2199">
        <f>IFERROR(O2199/N2199,0)</f>
        <v/>
      </c>
      <c r="T2199" t="n">
        <v>0</v>
      </c>
      <c r="V2199" t="n">
        <v>0</v>
      </c>
    </row>
    <row r="2200">
      <c r="A2200">
        <f>Skills!A23</f>
        <v/>
      </c>
      <c r="B2200">
        <f>Skills!B23</f>
        <v/>
      </c>
      <c r="C2200">
        <f>TRUE</f>
        <v/>
      </c>
      <c r="D2200">
        <f>IF(Skills!C23=1,60+Inputs!$B$25+Inputs!$B$29,IF(Skills!C23=2,90+Inputs!$B$26+Inputs!$B$29,IF(Skills!C23=3,120+Inputs!$B$27+Inputs!$B$29,MAX(0,(Inputs!$B$3-100)*3)+Inputs!$B$28+Inputs!$B$29)))</f>
        <v/>
      </c>
      <c r="E2200">
        <f>INDEX(FactorTable!$B$2:$Y$301, MATCH(ROUND(MIN(300,MAX(1,D2200)),0), FactorTable!$A$2:$A$301,0), Skills!M23+1)</f>
        <v/>
      </c>
      <c r="F2200">
        <f>IF(Skills!N23=TRUE,(Skills!L23/10)*(E2200/1000),Skills!L23/10)+Skills!O23</f>
        <v/>
      </c>
      <c r="G2200">
        <f>Skills!G23*IF(Skills!H23&gt;0,Skills!I23/Skills!H23,1)</f>
        <v/>
      </c>
      <c r="H2200">
        <f>1-(1-Skills!J23/100)^Skills!K23</f>
        <v/>
      </c>
      <c r="I2200" t="inlineStr">
        <is>
          <t>1</t>
        </is>
      </c>
      <c r="J2200" t="inlineStr"/>
      <c r="K2200" t="inlineStr"/>
      <c r="L2200" t="inlineStr"/>
      <c r="M2200" t="inlineStr"/>
      <c r="N2200" t="inlineStr"/>
      <c r="O2200">
        <f>(1-Summary!$B$11)*T2200+Summary!$B$11*V2200</f>
        <v/>
      </c>
      <c r="P2200">
        <f>IF(B2213=0,0,O2200/B2213)</f>
        <v/>
      </c>
      <c r="Q2200">
        <f>IFERROR(1/(IF(Inputs!$B$38="pvp",15,MAX(0.1,Skills!D23-IF(Skills!E23=TRUE,Inputs!$B$32,0)))*(1-IF(AND(ArtifactsInput!$M$27,Inputs!$B$4="Chapter Hunt"),CHOOSE(ArtifactsInput!$N$27+1,20,24,28,32,36,40),0)/100)),0)</f>
        <v/>
      </c>
      <c r="R2200">
        <f>IF(AND(Inputs!$B$38&lt;&gt;"pvp",Inputs!$B$43&gt;0),IF(Inputs!$B$43&lt;=0,0,(INT(Inputs!$B$43/(IF(Inputs!$B$38="pvp",15,MAX(0.1,Skills!D23-IF(Skills!E23=TRUE,Inputs!$B$32,0)))*(1-IF(AND(ArtifactsInput!$M$27,Inputs!$B$4="Chapter Hunt"),CHOOSE(ArtifactsInput!$N$27+1,20,24,28,32,36,40),0)/100)))+1)),0)</f>
        <v/>
      </c>
      <c r="S2200">
        <f>IFERROR(O2200/N2200,0)</f>
        <v/>
      </c>
      <c r="T2200" t="n">
        <v>0</v>
      </c>
      <c r="V2200" t="n">
        <v>0</v>
      </c>
    </row>
    <row r="2202">
      <c r="A2202" t="inlineStr">
        <is>
          <t>Attack% Bucket Multiplier</t>
        </is>
      </c>
      <c r="B2202">
        <f>(1+(((C2190=TRUE)*F2190*5/7)+((C2196=TRUE)*(F2196-Calc!F19))+(IF(ArtifactsInput!$M$21,CHOOSE(ArtifactsInput!$N$21+1,25,30,35,40,45,50)*(IF(OR(Inputs!$B$4="Chapter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03">
      <c r="A2203" t="inlineStr">
        <is>
          <t>Global Crit Rate Bonus %</t>
        </is>
      </c>
      <c r="B2203" t="n">
        <v>0</v>
      </c>
    </row>
    <row r="2204">
      <c r="A2204" t="inlineStr">
        <is>
          <t>Attack Speed Buff Bonus % (Nimble Feet, duty-cycle averaged)</t>
        </is>
      </c>
      <c r="B2204">
        <f>((C2200=TRUE)*F2200*IF(AND(Inputs!$B$38&lt;&gt;"pvp",Inputs!$B$43&gt;0),(((R2200-1)*(Skills!T23*(1+Inputs!$B$34/100))+MIN((Skills!T23*(1+Inputs!$B$34/100)),MAX(0,Inputs!$B$43-((R2200-1)*Skills!D23))))/Inputs!$B$43),IF(Inputs!$B$38="pvp",MIN((Skills!T23*(1+Inputs!$B$34/100)),15)/15,(Skills!T23*(1+Inputs!$B$34/100))/Skills!D23)))</f>
        <v/>
      </c>
    </row>
    <row r="2205">
      <c r="A2205" t="inlineStr">
        <is>
          <t>Actions Per Second</t>
        </is>
      </c>
      <c r="B2205">
        <f>1+MIN(150,150*(1-(1-(Inputs!$B$11+((C2194=TRUE)*(F2194-Calc!F17))+((C2195=TRUE)*(F2195-Calc!F18)))/150)*(1-B2204/150)))/100</f>
        <v/>
      </c>
    </row>
    <row r="2206">
      <c r="A2206" t="inlineStr">
        <is>
          <t>Skill + Buff Cast Rate</t>
        </is>
      </c>
      <c r="B2206">
        <f>IF(AND(Inputs!$B$38&lt;&gt;"pvp",Inputs!$B$43&gt;0),SUMPRODUCT((Skills!E2:E23=TRUE)*(C2179:C2200=TRUE)*R2179:R2200*Skills!F2:F23)/Inputs!$B$43,SUMPRODUCT((Skills!E2:E23=TRUE)*(C2179:C2200=TRUE)*Q2179:Q2200*Skills!F2:F23))</f>
        <v/>
      </c>
    </row>
    <row r="2207">
      <c r="A2207" t="inlineStr">
        <is>
          <t>Hook Bomber Casts Per Second</t>
        </is>
      </c>
      <c r="B2207">
        <f>MAX(0,B2205-B2206)</f>
        <v/>
      </c>
    </row>
    <row r="2208">
      <c r="A2208" t="inlineStr">
        <is>
          <t>Global Critical Damage Bonus % (unused)</t>
        </is>
      </c>
      <c r="B2208" t="n">
        <v>0</v>
      </c>
    </row>
    <row r="2209">
      <c r="A2209" t="inlineStr">
        <is>
          <t>Global Final Damage Bonus % (Serpent Scale + Crossbones + Time Leap + Speed Infusion)</t>
        </is>
      </c>
      <c r="B2209">
        <f>((C2182=TRUE)*F2182*((10+IF(Inputs!$B$3&gt;=94,5,0))/((10+IF(Inputs!$B$3&gt;=94,5,0))+5/(B2207*(1+IF(Inputs!$B$3&gt;=104,1,0))))))+((C2191=TRUE)*F2191*IF(AND(Inputs!$B$38&lt;&gt;"pvp",Inputs!$B$43&gt;0),(((R2191-1)*(Skills!T14*(1+Inputs!$B$34/100))+MIN((Skills!T14*(1+Inputs!$B$34/100)),MAX(0,Inputs!$B$43-((R2191-1)*Skills!D14))))/Inputs!$B$43),IF(Inputs!$B$38="pvp",MIN((Skills!T14*(1+Inputs!$B$34/100)),15)/15,(Skills!T14*(1+Inputs!$B$34/100))/Skills!D14)))+((C2192=TRUE)*F2192*IF(AND(Inputs!$B$38&lt;&gt;"pvp",Inputs!$B$43&gt;0),(((R2192-1)*(Skills!T15*(1+Inputs!$B$34/100))+MIN((Skills!T15*(1+Inputs!$B$34/100)),MAX(0,Inputs!$B$43-((R2192-1)*Skills!D15))))/Inputs!$B$43),IF(Inputs!$B$38="pvp",MIN((Skills!T15*(1+Inputs!$B$34/100)),15)/15,(Skills!T15*(1+Inputs!$B$34/100))/Skills!D15)))+((Inputs!$B$3&gt;=110)*20*(B2205-1)*IF(Inputs!$B$38="pvp",MIN((15*(1+Inputs!$B$34/100)),15)/15,(15*(1+Inputs!$B$34/100))/35))</f>
        <v/>
      </c>
    </row>
    <row r="2210">
      <c r="A2210" t="inlineStr">
        <is>
          <t>Buff-Casting Startup Delay (s, fixed-duration only)</t>
        </is>
      </c>
      <c r="B2210">
        <f>IF(AND(Inputs!$B$38&lt;&gt;"pvp",Inputs!$B$43&gt;0),SUMPRODUCT((Skills!T2:T23&gt;0)*(Skills!E2:E23=TRUE)*(C2179:C2200=TRUE))/B2205,0)</f>
        <v/>
      </c>
    </row>
    <row r="2211">
      <c r="A2211" t="inlineStr">
        <is>
          <t>Boss-Only Total DPS (this block's swept value)</t>
        </is>
      </c>
      <c r="B2211">
        <f>SUM(T2179:T2200)</f>
        <v/>
      </c>
    </row>
    <row r="2212">
      <c r="A2212" t="inlineStr">
        <is>
          <t>Normal-Only Total DPS (this block's swept value)</t>
        </is>
      </c>
      <c r="B2212">
        <f>SUM(V2179:V2200)</f>
        <v/>
      </c>
    </row>
    <row r="2213">
      <c r="A2213" s="6" t="inlineStr">
        <is>
          <t>TOTAL DPS</t>
        </is>
      </c>
      <c r="B2213" s="6">
        <f>SUM(O2179:O2200)</f>
        <v/>
      </c>
    </row>
    <row r="2216">
      <c r="A2216" s="6" t="inlineStr">
        <is>
          <t>Stat: Candle (Equip)</t>
        </is>
      </c>
    </row>
    <row r="2217">
      <c r="A2217" s="5" t="inlineStr">
        <is>
          <t>Key</t>
        </is>
      </c>
      <c r="B2217" s="5" t="inlineStr">
        <is>
          <t>Name</t>
        </is>
      </c>
      <c r="C2217" s="5" t="inlineStr">
        <is>
          <t>Unlocked</t>
        </is>
      </c>
      <c r="D2217" s="5" t="inlineStr">
        <is>
          <t>InputLevel</t>
        </is>
      </c>
      <c r="E2217" s="5" t="inlineStr">
        <is>
          <t>Factor</t>
        </is>
      </c>
      <c r="F2217" s="5" t="inlineStr">
        <is>
          <t>CoefficientPercent</t>
        </is>
      </c>
      <c r="G2217" s="5" t="inlineStr">
        <is>
          <t>EffectiveHits</t>
        </is>
      </c>
      <c r="H2217" s="5" t="inlineStr">
        <is>
          <t>ProcProbability</t>
        </is>
      </c>
      <c r="I2217" s="5" t="inlineStr">
        <is>
          <t>MapleHeroMultiplier</t>
        </is>
      </c>
      <c r="J2217" s="5" t="inlineStr">
        <is>
          <t>BaseDamage</t>
        </is>
      </c>
      <c r="K2217" s="5" t="inlineStr">
        <is>
          <t>BaseHitDamage</t>
        </is>
      </c>
      <c r="L2217" s="5" t="inlineStr">
        <is>
          <t>NonCritAvg</t>
        </is>
      </c>
      <c r="M2217" s="5" t="inlineStr">
        <is>
          <t>CritAvg</t>
        </is>
      </c>
      <c r="N2217" s="5" t="inlineStr">
        <is>
          <t>ExpectedDamage(perHit)</t>
        </is>
      </c>
      <c r="O2217" s="5" t="inlineStr">
        <is>
          <t>DPS</t>
        </is>
      </c>
      <c r="P2217" s="5" t="inlineStr">
        <is>
          <t>% of Total</t>
        </is>
      </c>
      <c r="Q2217" s="5" t="inlineStr">
        <is>
          <t>InvCooldown</t>
        </is>
      </c>
      <c r="R2217" s="5" t="inlineStr">
        <is>
          <t>CastsInFight</t>
        </is>
      </c>
      <c r="S2217" s="5" t="inlineStr">
        <is>
          <t>HitRate(perSec)</t>
        </is>
      </c>
      <c r="U2217" t="inlineStr">
        <is>
          <t>helpers</t>
        </is>
      </c>
    </row>
    <row r="2218">
      <c r="A2218">
        <f>Skills!A2</f>
        <v/>
      </c>
      <c r="B2218">
        <f>Skills!B2</f>
        <v/>
      </c>
      <c r="C2218">
        <f>Inputs!$B$3&gt;=100</f>
        <v/>
      </c>
      <c r="D2218" t="inlineStr"/>
      <c r="E2218" t="inlineStr"/>
      <c r="F2218">
        <f>U2220+Skills!O2</f>
        <v/>
      </c>
      <c r="G2218">
        <f>Skills!G2*IF(Skills!H2&gt;0,Skills!I2/Skills!H2,1)</f>
        <v/>
      </c>
      <c r="H2218">
        <f>1-(1-Skills!J2/100)^Skills!K2</f>
        <v/>
      </c>
      <c r="I2218" t="inlineStr">
        <is>
          <t>1</t>
        </is>
      </c>
      <c r="J2218">
        <f>((Inputs!$B$6*(1+Inputs!$B$7/100))+(((Inputs!$B$12*(1+Inputs!$B$13/100))-(Inputs!$B$12*(1+Inputs!$B$13/100)))+0.25*(Inputs!$B$14-Inputs!$B$14))*(1+Inputs!$B$7/100))*(F2218/100)</f>
        <v/>
      </c>
      <c r="K2218">
        <f>J2218*(1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2218)</f>
        <v/>
      </c>
      <c r="L2218">
        <f>K2218*(MIN(Inputs!$B$22+((C2236=TRUE)*(F2236-Calc!F20)),(Inputs!$B$23+0+(IF(ArtifactsInput!$M$15,CHOOSE(ArtifactsInput!$N$15+1,25,30,35,40,45,50)/100*(Inputs!$B$11-Inputs!$B$11),0))))/100+(Inputs!$B$23+0+(IF(ArtifactsInput!$M$15,CHOOSE(ArtifactsInput!$N$15+1,25,30,35,40,45,50)/100*(Inputs!$B$11-Inputs!$B$11),0)))/100)/2</f>
        <v/>
      </c>
      <c r="M2218">
        <f>L2218*(1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8">
        <f>L2218*(1-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2218*(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8">
        <f>(1-Summary!$B$11)*T2218+Summary!$B$11*V2218</f>
        <v/>
      </c>
      <c r="P2218">
        <f>IF(B2252=0,0,O2218/B2252)</f>
        <v/>
      </c>
      <c r="Q2218" t="n">
        <v>0</v>
      </c>
      <c r="R2218" t="n">
        <v>0</v>
      </c>
      <c r="S2218">
        <f>IFERROR(O2218/N2218,0)</f>
        <v/>
      </c>
      <c r="T2218">
        <f>IF(C2218,(Skills!G2*N2218*B2246)*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2218*(1-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2218*(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2218*(1-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2218*(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8">
        <f>MAX(0,(Inputs!$B$3-100)*3)+Inputs!$B$28+Inputs!$B$29</f>
        <v/>
      </c>
      <c r="V2218">
        <f>IF(C2218,(Skills!G2*N2218*B2246)*IF(Inputs!$B$38="pvp",1,(1+(Inputs!$B$21+Skills!Q2+(IF(ArtifactsInput!$M$33,CHOOSE(ArtifactsInput!$N$33+1,30,36,42,48,54,60),0))+(IF(AND(ArtifactsInput!$M$35,Inputs!$B$4&lt;&gt;"Chapter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19">
      <c r="A2219">
        <f>Skills!A3</f>
        <v/>
      </c>
      <c r="B2219">
        <f>Skills!B3</f>
        <v/>
      </c>
      <c r="C2219">
        <f>Inputs!$B$3&gt;=35</f>
        <v/>
      </c>
      <c r="D2219">
        <f>IF(Skills!C3=1,60+Inputs!$B$25+Inputs!$B$29,IF(Skills!C3=2,90+Inputs!$B$26+Inputs!$B$29,IF(Skills!C3=3,120+Inputs!$B$27+Inputs!$B$29,MAX(0,(Inputs!$B$3-100)*3)+Inputs!$B$28+Inputs!$B$29)))</f>
        <v/>
      </c>
      <c r="E2219">
        <f>INDEX(FactorTable!$B$2:$Y$301, MATCH(ROUND(MIN(300,MAX(1,D2219)),0), FactorTable!$A$2:$A$301,0), Skills!M3+1)</f>
        <v/>
      </c>
      <c r="F2219">
        <f>IF(Skills!N3=TRUE,(Skills!L3/10)*(E2219/1000),Skills!L3/10)+Skills!O3</f>
        <v/>
      </c>
      <c r="G2219">
        <f>Skills!G3*IF(Skills!H3&gt;0,Skills!I3/Skills!H3,1)</f>
        <v/>
      </c>
      <c r="H2219">
        <f>1-(1-Skills!J3/100)^Skills!K3</f>
        <v/>
      </c>
      <c r="I2219" t="inlineStr">
        <is>
          <t>1</t>
        </is>
      </c>
      <c r="J2219">
        <f>((Inputs!$B$6*(1+Inputs!$B$7/100))+(((Inputs!$B$12*(1+Inputs!$B$13/100))-(Inputs!$B$12*(1+Inputs!$B$13/100)))+0.25*(Inputs!$B$14-Inputs!$B$14))*(1+Inputs!$B$7/100))*(F2219/100)</f>
        <v/>
      </c>
      <c r="K2219">
        <f>J2219*(1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2219)</f>
        <v/>
      </c>
      <c r="L2219">
        <f>K2219*(MIN(Inputs!$B$22+((C2236=TRUE)*(F2236-Calc!F20)),(Inputs!$B$23+0+(IF(ArtifactsInput!$M$15,CHOOSE(ArtifactsInput!$N$15+1,25,30,35,40,45,50)/100*(Inputs!$B$11-Inputs!$B$11),0))))/100+(Inputs!$B$23+0+(IF(ArtifactsInput!$M$15,CHOOSE(ArtifactsInput!$N$15+1,25,30,35,40,45,50)/100*(Inputs!$B$11-Inputs!$B$11),0)))/100)/2</f>
        <v/>
      </c>
      <c r="M2219">
        <f>L2219*(1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19">
        <f>L2219*(1-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2219*(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19">
        <f>(1-Summary!$B$11)*T2219+Summary!$B$11*V2219</f>
        <v/>
      </c>
      <c r="P2219">
        <f>IF(B2252=0,0,O2219/B2252)</f>
        <v/>
      </c>
      <c r="Q2219" t="n">
        <v>0</v>
      </c>
      <c r="R2219" t="n">
        <v>0</v>
      </c>
      <c r="S2219">
        <f>IFERROR(O2219/N2219,0)</f>
        <v/>
      </c>
      <c r="T2219">
        <f>IF(C2219,(Skills!G3*H2219*N2219*B2246)*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2219*(1-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2219*(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2219*(1-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2219*(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19">
        <f>INDEX(FactorTable!$B$2:$Y$301, MATCH(ROUND(MIN(300,MAX(1,U2218)),0), FactorTable!$A$2:$A$301,0), 22)</f>
        <v/>
      </c>
      <c r="V2219">
        <f>IF(C2219,(Skills!G3*H2219*N2219*B2246)*IF(Inputs!$B$38="pvp",1,(1+(Inputs!$B$21+Skills!Q3+(IF(ArtifactsInput!$M$33,CHOOSE(ArtifactsInput!$N$33+1,30,36,42,48,54,60),0))+(IF(AND(ArtifactsInput!$M$35,Inputs!$B$4&lt;&gt;"Chapter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0">
      <c r="A2220">
        <f>Skills!A4</f>
        <v/>
      </c>
      <c r="B2220">
        <f>Skills!B4</f>
        <v/>
      </c>
      <c r="C2220">
        <f>Inputs!$B$3&gt;=60</f>
        <v/>
      </c>
      <c r="D2220">
        <f>IF(Skills!C4=1,60+Inputs!$B$25+Inputs!$B$29,IF(Skills!C4=2,90+Inputs!$B$26+Inputs!$B$29,IF(Skills!C4=3,120+Inputs!$B$27+Inputs!$B$29,MAX(0,(Inputs!$B$3-100)*3)+Inputs!$B$28+Inputs!$B$29)))</f>
        <v/>
      </c>
      <c r="E2220">
        <f>INDEX(FactorTable!$B$2:$Y$301, MATCH(ROUND(MIN(300,MAX(1,D2220)),0), FactorTable!$A$2:$A$301,0), Skills!M4+1)</f>
        <v/>
      </c>
      <c r="F2220">
        <f>IF(Skills!N4=TRUE,(Skills!L4/10)*(E2220/1000),Skills!L4/10)+Skills!O4</f>
        <v/>
      </c>
      <c r="G2220">
        <f>Skills!G4*IF(Skills!H4&gt;0,Skills!I4/Skills!H4,1)</f>
        <v/>
      </c>
      <c r="H2220">
        <f>1-(1-Skills!J4/100)^Skills!K4</f>
        <v/>
      </c>
      <c r="I2220" t="inlineStr">
        <is>
          <t>1</t>
        </is>
      </c>
      <c r="J2220">
        <f>((Inputs!$B$6*(1+Inputs!$B$7/100))+(((Inputs!$B$12*(1+Inputs!$B$13/100))-(Inputs!$B$12*(1+Inputs!$B$13/100)))+0.25*(Inputs!$B$14-Inputs!$B$14))*(1+Inputs!$B$7/100))*(F2220/100)</f>
        <v/>
      </c>
      <c r="K2220">
        <f>J2220*(1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2228=TRUE,F2228,0)/100)*(1+(IF(Skills!A4="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2220)</f>
        <v/>
      </c>
      <c r="L2220">
        <f>K2220*(MIN(Inputs!$B$22+((C2236=TRUE)*(F2236-Calc!F20)),(Inputs!$B$23+0+(IF(ArtifactsInput!$M$15,CHOOSE(ArtifactsInput!$N$15+1,25,30,35,40,45,50)/100*(Inputs!$B$11-Inputs!$B$11),0))))/100+(Inputs!$B$23+0+(IF(ArtifactsInput!$M$15,CHOOSE(ArtifactsInput!$N$15+1,25,30,35,40,45,50)/100*(Inputs!$B$11-Inputs!$B$11),0)))/100)/2</f>
        <v/>
      </c>
      <c r="M2220">
        <f>L2220*(1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0">
        <f>L2220*(1-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2220*(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0">
        <f>(1-Summary!$B$11)*T2220+Summary!$B$11*V2220</f>
        <v/>
      </c>
      <c r="P2220">
        <f>IF(B2252=0,0,O2220/B2252)</f>
        <v/>
      </c>
      <c r="Q2220" t="n">
        <v>0</v>
      </c>
      <c r="R2220" t="n">
        <v>0</v>
      </c>
      <c r="S2220">
        <f>IFERROR(O2220/N2220,0)</f>
        <v/>
      </c>
      <c r="T2220">
        <f>IF(C2220,(Skills!G4*H2220*N2220*B2246)*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2220*(1-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2220*(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2220*(1-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2220*(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20">
        <f>290*U2219/1000</f>
        <v/>
      </c>
      <c r="V2220">
        <f>IF(C2220,(Skills!G4*H2220*N2220*B2246)*IF(Inputs!$B$38="pvp",1,(1+(Inputs!$B$21+Skills!Q4+(IF(ArtifactsInput!$M$33,CHOOSE(ArtifactsInput!$N$33+1,30,36,42,48,54,60),0))+(IF(AND(ArtifactsInput!$M$35,Inputs!$B$4&lt;&gt;"Chapter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1">
      <c r="A2221">
        <f>Skills!A5</f>
        <v/>
      </c>
      <c r="B2221">
        <f>Skills!B5</f>
        <v/>
      </c>
      <c r="C2221">
        <f>Inputs!$B$3&gt;=60</f>
        <v/>
      </c>
      <c r="D2221">
        <f>IF(Skills!C5=1,60+Inputs!$B$25+Inputs!$B$29,IF(Skills!C5=2,90+Inputs!$B$26+Inputs!$B$29,IF(Skills!C5=3,120+Inputs!$B$27+Inputs!$B$29,MAX(0,(Inputs!$B$3-100)*3)+Inputs!$B$28+Inputs!$B$29)))</f>
        <v/>
      </c>
      <c r="E2221">
        <f>INDEX(FactorTable!$B$2:$Y$301, MATCH(ROUND(MIN(300,MAX(1,D2221)),0), FactorTable!$A$2:$A$301,0), Skills!M5+1)</f>
        <v/>
      </c>
      <c r="F2221">
        <f>IF(Skills!N5=TRUE,(Skills!L5/10)*(E2221/1000),Skills!L5/10)+Skills!O5</f>
        <v/>
      </c>
      <c r="G2221">
        <f>Skills!G5*IF(Skills!H5&gt;0,Skills!I5/Skills!H5,1)</f>
        <v/>
      </c>
      <c r="H2221">
        <f>1-(1-Skills!J5/100)^Skills!K5</f>
        <v/>
      </c>
      <c r="I2221" t="inlineStr">
        <is>
          <t>1</t>
        </is>
      </c>
      <c r="J2221" t="inlineStr"/>
      <c r="K2221" t="inlineStr"/>
      <c r="L2221" t="inlineStr"/>
      <c r="M2221" t="inlineStr"/>
      <c r="N2221" t="inlineStr"/>
      <c r="O2221">
        <f>(1-Summary!$B$11)*T2221+Summary!$B$11*V2221</f>
        <v/>
      </c>
      <c r="P2221">
        <f>IF(B2252=0,0,O2221/B2252)</f>
        <v/>
      </c>
      <c r="Q2221" t="n">
        <v>0</v>
      </c>
      <c r="R2221" t="n">
        <v>0</v>
      </c>
      <c r="S2221">
        <f>IFERROR(O2221/N2221,0)</f>
        <v/>
      </c>
      <c r="T2221" t="n">
        <v>0</v>
      </c>
      <c r="V2221" t="n">
        <v>0</v>
      </c>
    </row>
    <row r="2222">
      <c r="A2222">
        <f>Skills!A6</f>
        <v/>
      </c>
      <c r="B2222">
        <f>Skills!B6</f>
        <v/>
      </c>
      <c r="C2222">
        <f>Inputs!$B$3&gt;=63</f>
        <v/>
      </c>
      <c r="D2222">
        <f>IF(Skills!C6=1,60+Inputs!$B$25+Inputs!$B$29,IF(Skills!C6=2,90+Inputs!$B$26+Inputs!$B$29,IF(Skills!C6=3,120+Inputs!$B$27+Inputs!$B$29,MAX(0,(Inputs!$B$3-100)*3)+Inputs!$B$28+Inputs!$B$29)))</f>
        <v/>
      </c>
      <c r="E2222">
        <f>INDEX(FactorTable!$B$2:$Y$301, MATCH(ROUND(MIN(300,MAX(1,D2222)),0), FactorTable!$A$2:$A$301,0), Skills!M6+1)</f>
        <v/>
      </c>
      <c r="F2222">
        <f>IF(Skills!N6=TRUE,(Skills!L6/10)*(E2222/1000),Skills!L6/10)+Skills!O6</f>
        <v/>
      </c>
      <c r="G2222">
        <f>Skills!G6*IF(Skills!H6&gt;0,Skills!I6/Skills!H6,1)</f>
        <v/>
      </c>
      <c r="H2222">
        <f>1-(1-Skills!J6/100)^Skills!K6</f>
        <v/>
      </c>
      <c r="I2222" t="inlineStr">
        <is>
          <t>1</t>
        </is>
      </c>
      <c r="J2222">
        <f>((Inputs!$B$6*(1+Inputs!$B$7/100))+(((Inputs!$B$12*(1+Inputs!$B$13/100))-(Inputs!$B$12*(1+Inputs!$B$13/100)))+0.25*(Inputs!$B$14-Inputs!$B$14))*(1+Inputs!$B$7/100))*(F2222/100)</f>
        <v/>
      </c>
      <c r="K2222">
        <f>J2222*(1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2228=TRUE,F2228,0)/100)*(1+(IF(Skills!A6="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2222)</f>
        <v/>
      </c>
      <c r="L2222">
        <f>K2222*(MIN(Inputs!$B$22+((C2236=TRUE)*(F2236-Calc!F20)),(Inputs!$B$23+0+(IF(ArtifactsInput!$M$15,CHOOSE(ArtifactsInput!$N$15+1,25,30,35,40,45,50)/100*(Inputs!$B$11-Inputs!$B$11),0))))/100+(Inputs!$B$23+0+(IF(ArtifactsInput!$M$15,CHOOSE(ArtifactsInput!$N$15+1,25,30,35,40,45,50)/100*(Inputs!$B$11-Inputs!$B$11),0)))/100)/2</f>
        <v/>
      </c>
      <c r="M2222">
        <f>L2222*(1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2">
        <f>L2222*(1-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2222*(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2">
        <f>(1-Summary!$B$11)*T2222+Summary!$B$11*V2222</f>
        <v/>
      </c>
      <c r="P2222">
        <f>IF(B2252=0,0,O2222/B2252)</f>
        <v/>
      </c>
      <c r="Q2222">
        <f>IFERROR(1/(IF(Inputs!$B$38="pvp",15,MAX(0.1,Skills!D6-IF(Skills!E6=TRUE,Inputs!$B$32,0)))*(1-IF(AND(ArtifactsInput!$M$27,Inputs!$B$4="Chapter Hunt"),CHOOSE(ArtifactsInput!$N$27+1,20,24,28,32,36,40),0)/100)),0)</f>
        <v/>
      </c>
      <c r="R2222">
        <f>IF(AND(Inputs!$B$38&lt;&gt;"pvp",Inputs!$B$43&gt;0),IF(MAX(0,Inputs!$B$43-B2249)&lt;=0,0,(INT(MAX(0,Inputs!$B$43-B2249)/(IF(Inputs!$B$38="pvp",15,MAX(0.1,Skills!D6-IF(Skills!E6=TRUE,Inputs!$B$32,0)))*(1-IF(AND(ArtifactsInput!$M$27,Inputs!$B$4="Chapter Hunt"),CHOOSE(ArtifactsInput!$N$27+1,20,24,28,32,36,40),0)/100)))+1)),0)</f>
        <v/>
      </c>
      <c r="S2222">
        <f>IFERROR(O2222/N2222,0)</f>
        <v/>
      </c>
      <c r="T2222">
        <f>IF(C2222,(H2222*N2222*IF(AND(Inputs!$B$38&lt;&gt;"pvp",Inputs!$B$43&gt;0),((Skills!G6*((R2222-1)*IF(Skills!H6&gt;0,Skills!I6/Skills!H6,1)+IF(Skills!H6&gt;0,MIN(Skills!I6,MAX(0,MAX(0,Inputs!$B$43-B2249)-((R2222-1)*(IF(Inputs!$B$38="pvp",15,MAX(0.1,Skills!D6-IF(Skills!E6=TRUE,Inputs!$B$32,0)))*(1-IF(AND(ArtifactsInput!$M$27,Inputs!$B$4="Chapter Hunt"),CHOOSE(ArtifactsInput!$N$27+1,20,24,28,32,36,40),0)/100)))))/Skills!H6,1)))/Inputs!$B$43),G2222*Q2222)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2222*(1-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2222*(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2222*(1-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2222*(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2">
        <f>IF(C2222,(H2222*N2222*IF(AND(Inputs!$B$38&lt;&gt;"pvp",Inputs!$B$43&gt;0),((Skills!G6*((R2222-1)*IF(Skills!H6&gt;0,Skills!I6/Skills!H6,1)+IF(Skills!H6&gt;0,MIN(Skills!I6,MAX(0,MAX(0,Inputs!$B$43-B2249)-((R2222-1)*(IF(Inputs!$B$38="pvp",15,MAX(0.1,Skills!D6-IF(Skills!E6=TRUE,Inputs!$B$32,0)))*(1-IF(AND(ArtifactsInput!$M$27,Inputs!$B$4="Chapter Hunt"),CHOOSE(ArtifactsInput!$N$27+1,20,24,28,32,36,40),0)/100)))))/Skills!H6,1)))/Inputs!$B$43),G2222*Q2222))*IF(Inputs!$B$38="pvp",1,(1+(Inputs!$B$21+Skills!Q6+(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3">
      <c r="A2223">
        <f>Skills!A7</f>
        <v/>
      </c>
      <c r="B2223">
        <f>Skills!B7</f>
        <v/>
      </c>
      <c r="C2223">
        <f>Inputs!$B$3&gt;=100</f>
        <v/>
      </c>
      <c r="D2223">
        <f>IF(Skills!C7=1,60+Inputs!$B$25+Inputs!$B$29,IF(Skills!C7=2,90+Inputs!$B$26+Inputs!$B$29,IF(Skills!C7=3,120+Inputs!$B$27+Inputs!$B$29,MAX(0,(Inputs!$B$3-100)*3)+Inputs!$B$28+Inputs!$B$29)))</f>
        <v/>
      </c>
      <c r="E2223">
        <f>INDEX(FactorTable!$B$2:$Y$301, MATCH(ROUND(MIN(300,MAX(1,D2223)),0), FactorTable!$A$2:$A$301,0), Skills!M7+1)</f>
        <v/>
      </c>
      <c r="F2223">
        <f>IF(Skills!N7=TRUE,(Skills!L7/10)*(E2223/1000),Skills!L7/10)+Skills!O7</f>
        <v/>
      </c>
      <c r="G2223">
        <f>Skills!G7*IF(Skills!H7&gt;0,Skills!I7/Skills!H7,1)</f>
        <v/>
      </c>
      <c r="H2223">
        <f>1-(1-Skills!J7/100)^Skills!K7</f>
        <v/>
      </c>
      <c r="I2223" t="inlineStr">
        <is>
          <t>1</t>
        </is>
      </c>
      <c r="J2223">
        <f>((Inputs!$B$6*(1+Inputs!$B$7/100))+(((Inputs!$B$12*(1+Inputs!$B$13/100))-(Inputs!$B$12*(1+Inputs!$B$13/100)))+0.25*(Inputs!$B$14-Inputs!$B$14))*(1+Inputs!$B$7/100))*(F2223/100)</f>
        <v/>
      </c>
      <c r="K2223">
        <f>J2223*(1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2223)</f>
        <v/>
      </c>
      <c r="L2223">
        <f>K2223*(MIN(Inputs!$B$22+((C2236=TRUE)*(F2236-Calc!F20)),(Inputs!$B$23+0+(IF(ArtifactsInput!$M$15,CHOOSE(ArtifactsInput!$N$15+1,25,30,35,40,45,50)/100*(Inputs!$B$11-Inputs!$B$11),0))))/100+(Inputs!$B$23+0+(IF(ArtifactsInput!$M$15,CHOOSE(ArtifactsInput!$N$15+1,25,30,35,40,45,50)/100*(Inputs!$B$11-Inputs!$B$11),0)))/100)/2</f>
        <v/>
      </c>
      <c r="M2223">
        <f>L2223*(1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3">
        <f>L2223*(1-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2223*(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3">
        <f>(1-Summary!$B$11)*T2223+Summary!$B$11*V2223</f>
        <v/>
      </c>
      <c r="P2223">
        <f>IF(B2252=0,0,O2223/B2252)</f>
        <v/>
      </c>
      <c r="Q2223">
        <f>IFERROR(1/(IF(Inputs!$B$38="pvp",15,MAX(0.1,Skills!D7-IF(Skills!E7=TRUE,Inputs!$B$32,0)))*(1-IF(AND(ArtifactsInput!$M$27,Inputs!$B$4="Chapter Hunt"),CHOOSE(ArtifactsInput!$N$27+1,20,24,28,32,36,40),0)/100)),0)</f>
        <v/>
      </c>
      <c r="R2223">
        <f>IF(AND(Inputs!$B$38&lt;&gt;"pvp",Inputs!$B$43&gt;0),IF(MAX(0,Inputs!$B$43-B2249)&lt;=0,0,(INT(MAX(0,Inputs!$B$43-B2249)/(IF(Inputs!$B$38="pvp",15,MAX(0.1,Skills!D7-IF(Skills!E7=TRUE,Inputs!$B$32,0)))*(1-IF(AND(ArtifactsInput!$M$27,Inputs!$B$4="Chapter Hunt"),CHOOSE(ArtifactsInput!$N$27+1,20,24,28,32,36,40),0)/100)))+1)),0)</f>
        <v/>
      </c>
      <c r="S2223">
        <f>IFERROR(O2223/N2223,0)</f>
        <v/>
      </c>
      <c r="T2223">
        <f>IF(C2223,(H2223*N2223*IF(AND(Inputs!$B$38&lt;&gt;"pvp",Inputs!$B$43&gt;0),((Skills!G7*((R2223-1)*IF(Skills!H7&gt;0,Skills!I7/Skills!H7,1)+IF(Skills!H7&gt;0,MIN(Skills!I7,MAX(0,MAX(0,Inputs!$B$43-B2249)-((R2223-1)*(IF(Inputs!$B$38="pvp",15,MAX(0.1,Skills!D7-IF(Skills!E7=TRUE,Inputs!$B$32,0)))*(1-IF(AND(ArtifactsInput!$M$27,Inputs!$B$4="Chapter Hunt"),CHOOSE(ArtifactsInput!$N$27+1,20,24,28,32,36,40),0)/100)))))/Skills!H7,1)))/Inputs!$B$43),G2223*Q2223)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2223*(1-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2223*(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2223*(1-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2223*(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3">
        <f>IF(C2223,(H2223*N2223*IF(AND(Inputs!$B$38&lt;&gt;"pvp",Inputs!$B$43&gt;0),((Skills!G7*((R2223-1)*IF(Skills!H7&gt;0,Skills!I7/Skills!H7,1)+IF(Skills!H7&gt;0,MIN(Skills!I7,MAX(0,MAX(0,Inputs!$B$43-B2249)-((R2223-1)*(IF(Inputs!$B$38="pvp",15,MAX(0.1,Skills!D7-IF(Skills!E7=TRUE,Inputs!$B$32,0)))*(1-IF(AND(ArtifactsInput!$M$27,Inputs!$B$4="Chapter Hunt"),CHOOSE(ArtifactsInput!$N$27+1,20,24,28,32,36,40),0)/100)))))/Skills!H7,1)))/Inputs!$B$43),G2223*Q2223))*IF(Inputs!$B$38="pvp",1,(1+(Inputs!$B$21+Skills!Q7+(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4">
      <c r="A2224">
        <f>Skills!A8</f>
        <v/>
      </c>
      <c r="B2224">
        <f>Skills!B8</f>
        <v/>
      </c>
      <c r="C2224">
        <f>Inputs!$B$3&gt;=110</f>
        <v/>
      </c>
      <c r="D2224">
        <f>IF(Skills!C8=1,60+Inputs!$B$25+Inputs!$B$29,IF(Skills!C8=2,90+Inputs!$B$26+Inputs!$B$29,IF(Skills!C8=3,120+Inputs!$B$27+Inputs!$B$29,MAX(0,(Inputs!$B$3-100)*3)+Inputs!$B$28+Inputs!$B$29)))</f>
        <v/>
      </c>
      <c r="E2224">
        <f>INDEX(FactorTable!$B$2:$Y$301, MATCH(ROUND(MIN(300,MAX(1,D2224)),0), FactorTable!$A$2:$A$301,0), Skills!M8+1)</f>
        <v/>
      </c>
      <c r="F2224">
        <f>IF(Skills!N8=TRUE,(Skills!L8/10)*(E2224/1000),Skills!L8/10)+Skills!O8</f>
        <v/>
      </c>
      <c r="G2224">
        <f>Skills!G8*IF(Skills!H8&gt;0,Skills!I8/Skills!H8,1)</f>
        <v/>
      </c>
      <c r="H2224">
        <f>1-(1-Skills!J8/100)^Skills!K8</f>
        <v/>
      </c>
      <c r="I2224" t="inlineStr">
        <is>
          <t>1</t>
        </is>
      </c>
      <c r="J2224">
        <f>((Inputs!$B$6*(1+Inputs!$B$7/100))+(((Inputs!$B$12*(1+Inputs!$B$13/100))-(Inputs!$B$12*(1+Inputs!$B$13/100)))+0.25*(Inputs!$B$14-Inputs!$B$14))*(1+Inputs!$B$7/100))*(F2224/100)</f>
        <v/>
      </c>
      <c r="K2224">
        <f>J2224*(1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2224)</f>
        <v/>
      </c>
      <c r="L2224">
        <f>K2224*(MIN(Inputs!$B$22+((C2236=TRUE)*(F2236-Calc!F20)),(Inputs!$B$23+0+(IF(ArtifactsInput!$M$15,CHOOSE(ArtifactsInput!$N$15+1,25,30,35,40,45,50)/100*(Inputs!$B$11-Inputs!$B$11),0))))/100+(Inputs!$B$23+0+(IF(ArtifactsInput!$M$15,CHOOSE(ArtifactsInput!$N$15+1,25,30,35,40,45,50)/100*(Inputs!$B$11-Inputs!$B$11),0)))/100)/2</f>
        <v/>
      </c>
      <c r="M2224">
        <f>L2224*(1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4">
        <f>L2224*(1-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2224*(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4">
        <f>(1-Summary!$B$11)*T2224+Summary!$B$11*V2224</f>
        <v/>
      </c>
      <c r="P2224">
        <f>IF(B2252=0,0,O2224/B2252)</f>
        <v/>
      </c>
      <c r="Q2224">
        <f>IFERROR(1/(IF(Inputs!$B$38="pvp",15,MAX(0.1,Skills!D8-IF(Skills!E8=TRUE,Inputs!$B$32,0)))*(1-IF(AND(ArtifactsInput!$M$27,Inputs!$B$4="Chapter Hunt"),CHOOSE(ArtifactsInput!$N$27+1,20,24,28,32,36,40),0)/100)),0)</f>
        <v/>
      </c>
      <c r="R2224">
        <f>IF(AND(Inputs!$B$38&lt;&gt;"pvp",Inputs!$B$43&gt;0),IF(MAX(0,Inputs!$B$43-B2249)&lt;=0,0,(INT(MAX(0,Inputs!$B$43-B2249)/(IF(Inputs!$B$38="pvp",15,MAX(0.1,Skills!D8-IF(Skills!E8=TRUE,Inputs!$B$32,0)))*(1-IF(AND(ArtifactsInput!$M$27,Inputs!$B$4="Chapter Hunt"),CHOOSE(ArtifactsInput!$N$27+1,20,24,28,32,36,40),0)/100)))+1)),0)</f>
        <v/>
      </c>
      <c r="S2224">
        <f>IFERROR(O2224/N2224,0)</f>
        <v/>
      </c>
      <c r="T2224">
        <f>IF(C2224,(H2224*N2224*IF(AND(Inputs!$B$38&lt;&gt;"pvp",Inputs!$B$43&gt;0),((Skills!G8*((R2224-1)*IF(Skills!H8&gt;0,Skills!I8/Skills!H8,1)+IF(Skills!H8&gt;0,MIN(Skills!I8,MAX(0,MAX(0,Inputs!$B$43-B2249)-((R2224-1)*(IF(Inputs!$B$38="pvp",15,MAX(0.1,Skills!D8-IF(Skills!E8=TRUE,Inputs!$B$32,0)))*(1-IF(AND(ArtifactsInput!$M$27,Inputs!$B$4="Chapter Hunt"),CHOOSE(ArtifactsInput!$N$27+1,20,24,28,32,36,40),0)/100)))))/Skills!H8,1)))/Inputs!$B$43),G2224*Q2224))*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2224*(1-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2224*(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2224*(1-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2224*(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4">
        <f>IF(C2224,(H2224*N2224*IF(AND(Inputs!$B$38&lt;&gt;"pvp",Inputs!$B$43&gt;0),((Skills!G8*((R2224-1)*IF(Skills!H8&gt;0,Skills!I8/Skills!H8,1)+IF(Skills!H8&gt;0,MIN(Skills!I8,MAX(0,MAX(0,Inputs!$B$43-B2249)-((R2224-1)*(IF(Inputs!$B$38="pvp",15,MAX(0.1,Skills!D8-IF(Skills!E8=TRUE,Inputs!$B$32,0)))*(1-IF(AND(ArtifactsInput!$M$27,Inputs!$B$4="Chapter Hunt"),CHOOSE(ArtifactsInput!$N$27+1,20,24,28,32,36,40),0)/100)))))/Skills!H8,1)))/Inputs!$B$43),G2224*Q2224))*IF(Inputs!$B$38="pvp",1,(1+(Inputs!$B$21+Skills!Q8+(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5">
      <c r="A2225">
        <f>Skills!A9</f>
        <v/>
      </c>
      <c r="B2225">
        <f>Skills!B9</f>
        <v/>
      </c>
      <c r="C2225">
        <f>Inputs!$B$3&gt;=110</f>
        <v/>
      </c>
      <c r="D2225">
        <f>IF(Skills!C9=1,60+Inputs!$B$25+Inputs!$B$29,IF(Skills!C9=2,90+Inputs!$B$26+Inputs!$B$29,IF(Skills!C9=3,120+Inputs!$B$27+Inputs!$B$29,MAX(0,(Inputs!$B$3-100)*3)+Inputs!$B$28+Inputs!$B$29)))</f>
        <v/>
      </c>
      <c r="E2225">
        <f>INDEX(FactorTable!$B$2:$Y$301, MATCH(ROUND(MIN(300,MAX(1,D2225)),0), FactorTable!$A$2:$A$301,0), Skills!M9+1)</f>
        <v/>
      </c>
      <c r="F2225">
        <f>IF(Skills!N9=TRUE,(Skills!L9/10)*(E2225/1000),Skills!L9/10)+Skills!O9</f>
        <v/>
      </c>
      <c r="G2225">
        <f>Skills!G9*IF(Skills!H9&gt;0,Skills!I9/Skills!H9,1)</f>
        <v/>
      </c>
      <c r="H2225">
        <f>1-(1-Skills!J9/100)^Skills!K9</f>
        <v/>
      </c>
      <c r="I2225" t="inlineStr">
        <is>
          <t>1</t>
        </is>
      </c>
      <c r="J2225">
        <f>((Inputs!$B$6*(1+Inputs!$B$7/100))+(((Inputs!$B$12*(1+Inputs!$B$13/100))-(Inputs!$B$12*(1+Inputs!$B$13/100)))+0.25*(Inputs!$B$14-Inputs!$B$14))*(1+Inputs!$B$7/100))*(F2225/100)</f>
        <v/>
      </c>
      <c r="K2225">
        <f>J2225*(1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2225)</f>
        <v/>
      </c>
      <c r="L2225">
        <f>K2225*(MIN(Inputs!$B$22+((C2236=TRUE)*(F2236-Calc!F20)),(Inputs!$B$23+0+(IF(ArtifactsInput!$M$15,CHOOSE(ArtifactsInput!$N$15+1,25,30,35,40,45,50)/100*(Inputs!$B$11-Inputs!$B$11),0))))/100+(Inputs!$B$23+0+(IF(ArtifactsInput!$M$15,CHOOSE(ArtifactsInput!$N$15+1,25,30,35,40,45,50)/100*(Inputs!$B$11-Inputs!$B$11),0)))/100)/2</f>
        <v/>
      </c>
      <c r="M2225">
        <f>L2225*(1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5">
        <f>L2225*(1-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2225*(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5">
        <f>(1-Summary!$B$11)*T2225+Summary!$B$11*V2225</f>
        <v/>
      </c>
      <c r="P2225">
        <f>IF(B2252=0,0,O2225/B2252)</f>
        <v/>
      </c>
      <c r="Q2225">
        <f>IFERROR(1/(IF(Inputs!$B$38="pvp",15,MAX(0.1,Skills!D9-IF(Skills!E9=TRUE,Inputs!$B$32,0)))*(1-IF(AND(ArtifactsInput!$M$27,Inputs!$B$4="Chapter Hunt"),CHOOSE(ArtifactsInput!$N$27+1,20,24,28,32,36,40),0)/100)),0)</f>
        <v/>
      </c>
      <c r="R2225">
        <f>IF(AND(Inputs!$B$38&lt;&gt;"pvp",Inputs!$B$43&gt;0),IF(MAX(0,Inputs!$B$43-B2249)&lt;=0,0,(INT(MAX(0,Inputs!$B$43-B2249)/(IF(Inputs!$B$38="pvp",15,MAX(0.1,Skills!D9-IF(Skills!E9=TRUE,Inputs!$B$32,0)))*(1-IF(AND(ArtifactsInput!$M$27,Inputs!$B$4="Chapter Hunt"),CHOOSE(ArtifactsInput!$N$27+1,20,24,28,32,36,40),0)/100)))+1)),0)</f>
        <v/>
      </c>
      <c r="S2225">
        <f>IFERROR(O2225/N2225,0)</f>
        <v/>
      </c>
      <c r="T2225">
        <f>IF(C2225,(H2225*N2225*IF(AND(Inputs!$B$38&lt;&gt;"pvp",Inputs!$B$43&gt;0),((Skills!G9*((R2225-1)*IF(Skills!H9&gt;0,Skills!I9/Skills!H9,1)+IF(Skills!H9&gt;0,MIN(Skills!I9,MAX(0,MAX(0,Inputs!$B$43-B2249)-((R2225-1)*(IF(Inputs!$B$38="pvp",15,MAX(0.1,Skills!D9-IF(Skills!E9=TRUE,Inputs!$B$32,0)))*(1-IF(AND(ArtifactsInput!$M$27,Inputs!$B$4="Chapter Hunt"),CHOOSE(ArtifactsInput!$N$27+1,20,24,28,32,36,40),0)/100)))))/Skills!H9,1)))/Inputs!$B$43),G2225*Q2225)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2225*(1-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2225*(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2225*(1-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2225*(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5">
        <f>IF(C2225,(H2225*N2225*IF(AND(Inputs!$B$38&lt;&gt;"pvp",Inputs!$B$43&gt;0),((Skills!G9*((R2225-1)*IF(Skills!H9&gt;0,Skills!I9/Skills!H9,1)+IF(Skills!H9&gt;0,MIN(Skills!I9,MAX(0,MAX(0,Inputs!$B$43-B2249)-((R2225-1)*(IF(Inputs!$B$38="pvp",15,MAX(0.1,Skills!D9-IF(Skills!E9=TRUE,Inputs!$B$32,0)))*(1-IF(AND(ArtifactsInput!$M$27,Inputs!$B$4="Chapter Hunt"),CHOOSE(ArtifactsInput!$N$27+1,20,24,28,32,36,40),0)/100)))))/Skills!H9,1)))/Inputs!$B$43),G2225*Q2225))*IF(Inputs!$B$38="pvp",1,(1+(Inputs!$B$21+Skills!Q9+(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6">
      <c r="A2226">
        <f>Skills!A10</f>
        <v/>
      </c>
      <c r="B2226">
        <f>Skills!B10</f>
        <v/>
      </c>
      <c r="C2226">
        <f>Inputs!$B$3&gt;=103</f>
        <v/>
      </c>
      <c r="D2226">
        <f>IF(Skills!C10=1,60+Inputs!$B$25+Inputs!$B$29,IF(Skills!C10=2,90+Inputs!$B$26+Inputs!$B$29,IF(Skills!C10=3,120+Inputs!$B$27+Inputs!$B$29,MAX(0,(Inputs!$B$3-100)*3)+Inputs!$B$28+Inputs!$B$29)))</f>
        <v/>
      </c>
      <c r="E2226">
        <f>INDEX(FactorTable!$B$2:$Y$301, MATCH(ROUND(MIN(300,MAX(1,D2226)),0), FactorTable!$A$2:$A$301,0), Skills!M10+1)</f>
        <v/>
      </c>
      <c r="F2226">
        <f>IF(Skills!N10=TRUE,(Skills!L10/10)*(E2226/1000),Skills!L10/10)+Skills!O10</f>
        <v/>
      </c>
      <c r="G2226">
        <f>Skills!G10*IF(Skills!H10&gt;0,Skills!I10/Skills!H10,1)</f>
        <v/>
      </c>
      <c r="H2226">
        <f>1-(1-Skills!J10/100)^Skills!K10</f>
        <v/>
      </c>
      <c r="I2226" t="inlineStr">
        <is>
          <t>1</t>
        </is>
      </c>
      <c r="J2226">
        <f>((Inputs!$B$6*(1+Inputs!$B$7/100))+(((Inputs!$B$12*(1+Inputs!$B$13/100))-(Inputs!$B$12*(1+Inputs!$B$13/100)))+0.25*(Inputs!$B$14-Inputs!$B$14))*(1+Inputs!$B$7/100))*(F2226/100)</f>
        <v/>
      </c>
      <c r="K2226">
        <f>J2226*(1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2226)</f>
        <v/>
      </c>
      <c r="L2226">
        <f>K2226*(MIN(Inputs!$B$22+((C2236=TRUE)*(F2236-Calc!F20)),(Inputs!$B$23+0+(IF(ArtifactsInput!$M$15,CHOOSE(ArtifactsInput!$N$15+1,25,30,35,40,45,50)/100*(Inputs!$B$11-Inputs!$B$11),0))))/100+(Inputs!$B$23+0+(IF(ArtifactsInput!$M$15,CHOOSE(ArtifactsInput!$N$15+1,25,30,35,40,45,50)/100*(Inputs!$B$11-Inputs!$B$11),0)))/100)/2</f>
        <v/>
      </c>
      <c r="M2226">
        <f>L2226*(1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6">
        <f>L2226*(1-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2226*(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6">
        <f>(1-Summary!$B$11)*T2226+Summary!$B$11*V2226</f>
        <v/>
      </c>
      <c r="P2226">
        <f>IF(B2252=0,0,O2226/B2252)</f>
        <v/>
      </c>
      <c r="Q2226">
        <f>IFERROR(1/(IF(Inputs!$B$38="pvp",15,MAX(0.1,Skills!D10-IF(Skills!E10=TRUE,Inputs!$B$32,0)))*(1-IF(AND(ArtifactsInput!$M$27,Inputs!$B$4="Chapter Hunt"),CHOOSE(ArtifactsInput!$N$27+1,20,24,28,32,36,40),0)/100)),0)</f>
        <v/>
      </c>
      <c r="R2226">
        <f>IF(AND(Inputs!$B$38&lt;&gt;"pvp",Inputs!$B$43&gt;0),IF(MAX(0,Inputs!$B$43-B2249)&lt;=0,0,(INT(MAX(0,Inputs!$B$43-B2249)/(IF(Inputs!$B$38="pvp",15,MAX(0.1,Skills!D10-IF(Skills!E10=TRUE,Inputs!$B$32,0)))*(1-IF(AND(ArtifactsInput!$M$27,Inputs!$B$4="Chapter Hunt"),CHOOSE(ArtifactsInput!$N$27+1,20,24,28,32,36,40),0)/100)))+1)),0)</f>
        <v/>
      </c>
      <c r="S2226">
        <f>IFERROR(O2226/N2226,0)</f>
        <v/>
      </c>
      <c r="T2226">
        <f>IF(C2226,(H2226*N2226*IF(AND(Inputs!$B$38&lt;&gt;"pvp",Inputs!$B$43&gt;0),((Skills!G10*((R2226-1)*IF(Skills!H10&gt;0,Skills!I10/Skills!H10,1)+IF(Skills!H10&gt;0,MIN(Skills!I10,MAX(0,MAX(0,Inputs!$B$43-B2249)-((R2226-1)*(IF(Inputs!$B$38="pvp",15,MAX(0.1,Skills!D10-IF(Skills!E10=TRUE,Inputs!$B$32,0)))*(1-IF(AND(ArtifactsInput!$M$27,Inputs!$B$4="Chapter Hunt"),CHOOSE(ArtifactsInput!$N$27+1,20,24,28,32,36,40),0)/100)))))/Skills!H10,1)))/Inputs!$B$43),G2226*Q2226)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2226*(1-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2226*(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2226*(1-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2226*(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6">
        <f>IF(C2226,(H2226*N2226*IF(AND(Inputs!$B$38&lt;&gt;"pvp",Inputs!$B$43&gt;0),((Skills!G10*((R2226-1)*IF(Skills!H10&gt;0,Skills!I10/Skills!H10,1)+IF(Skills!H10&gt;0,MIN(Skills!I10,MAX(0,MAX(0,Inputs!$B$43-B2249)-((R2226-1)*(IF(Inputs!$B$38="pvp",15,MAX(0.1,Skills!D10-IF(Skills!E10=TRUE,Inputs!$B$32,0)))*(1-IF(AND(ArtifactsInput!$M$27,Inputs!$B$4="Chapter Hunt"),CHOOSE(ArtifactsInput!$N$27+1,20,24,28,32,36,40),0)/100)))))/Skills!H10,1)))/Inputs!$B$43),G2226*Q2226))*IF(Inputs!$B$38="pvp",1,(1+(Inputs!$B$21+Skills!Q10+(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7">
      <c r="A2227">
        <f>Skills!A11</f>
        <v/>
      </c>
      <c r="B2227">
        <f>Skills!B11</f>
        <v/>
      </c>
      <c r="C2227">
        <f>Inputs!$B$3&gt;=113</f>
        <v/>
      </c>
      <c r="D2227">
        <f>IF(Skills!C11=1,60+Inputs!$B$25+Inputs!$B$29,IF(Skills!C11=2,90+Inputs!$B$26+Inputs!$B$29,IF(Skills!C11=3,120+Inputs!$B$27+Inputs!$B$29,MAX(0,(Inputs!$B$3-100)*3)+Inputs!$B$28+Inputs!$B$29)))</f>
        <v/>
      </c>
      <c r="E2227">
        <f>INDEX(FactorTable!$B$2:$Y$301, MATCH(ROUND(MIN(300,MAX(1,D2227)),0), FactorTable!$A$2:$A$301,0), Skills!M11+1)</f>
        <v/>
      </c>
      <c r="F2227">
        <f>IF(Skills!N11=TRUE,(Skills!L11/10)*(E2227/1000),Skills!L11/10)+Skills!O11</f>
        <v/>
      </c>
      <c r="G2227">
        <f>Skills!G11*IF(Skills!H11&gt;0,Skills!I11/Skills!H11,1)</f>
        <v/>
      </c>
      <c r="H2227">
        <f>1-(1-Skills!J11/100)^Skills!K11</f>
        <v/>
      </c>
      <c r="I2227" t="inlineStr">
        <is>
          <t>1</t>
        </is>
      </c>
      <c r="J2227">
        <f>((Inputs!$B$6*(1+Inputs!$B$7/100))+(((Inputs!$B$12*(1+Inputs!$B$13/100))-(Inputs!$B$12*(1+Inputs!$B$13/100)))+0.25*(Inputs!$B$14-Inputs!$B$14))*(1+Inputs!$B$7/100))*(F2227/100)</f>
        <v/>
      </c>
      <c r="K2227">
        <f>J2227*(1+((Inputs!$B$12*(1+Inputs!$B$13/100))*0.01+Inputs!$B$14*0.0025)/100)*(1+Inputs!$B$15/100)*(1+Inputs!$B$16/100)*(5000/(6000+Inputs!$B$42*(1-(100*(1-(1-(Inputs!$B$19+0)/100)*(1-CHOOSE(ArtifactsInput!$N$40+1,5,6,7,8,9,10)/100)^(ArtifactsInput!$M$40-ArtifactsInput!$M$40)))/100)))*(1+(Inputs!$B$24+((C2238=TRUE)*(F2238-Calc!F22))+B2248)/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2237=TRUE)*(F2237-Calc!F21))+(((IF(AND(ArtifactsInput!$M$42,((Inputs!$B$9+((C2232=TRUE)*(F2232-Calc!F16))+B2242+(ArtifactsInput!$M$24-ArtifactsInput!$M$24)*CHOOSE(ArtifactsInput!$N$24+1,10,12,14,16,18,20)+IF(ArtifactsInput!$M$10,CHOOSE(ArtifactsInput!$N$10+1,15,18,21,24,27,30)*(IF(Inputs!$B$38="pvp",MIN(15,15)/15,IF(AND(Inputs!$B$38&lt;&gt;"pvp",Inputs!$B$43&gt;0),MIN(15,Inputs!$B$43)/(Inputs!$B$43),0))),0)))&gt;=100),MIN(100,((Inputs!$B$9+((C2232=TRUE)*(F2232-Calc!F16))+B2242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2232=TRUE)*(F2232-Calc!F16))+B2242+(ArtifactsInput!$M$24-ArtifactsInput!$M$24)*CHOOSE(ArtifactsInput!$N$24+1,10,12,14,16,18,20)+IF(ArtifactsInput!$M$10,CHOOSE(ArtifactsInput!$N$10+1,15,18,21,24,27,30)*(IF(Inputs!$B$38="pvp",MIN(15,15)/15,IF(AND(Inputs!$B$38&lt;&gt;"pvp",Inputs!$B$43&gt;0),MIN(15,Inputs!$B$43)/(Inputs!$B$43),0))),0)))&gt;=100),CHOOSE(ArtifactsInput!$N$42+1,40,48,56,64,72,80),0))))/100)*((1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2227)</f>
        <v/>
      </c>
      <c r="L2227">
        <f>K2227*(MIN(Inputs!$B$22+((C2236=TRUE)*(F2236-Calc!F20)),(Inputs!$B$23+0+(IF(ArtifactsInput!$M$15,CHOOSE(ArtifactsInput!$N$15+1,25,30,35,40,45,50)/100*(Inputs!$B$11-Inputs!$B$11),0))))/100+(Inputs!$B$23+0+(IF(ArtifactsInput!$M$15,CHOOSE(ArtifactsInput!$N$15+1,25,30,35,40,45,50)/100*(Inputs!$B$11-Inputs!$B$11),0)))/100)/2</f>
        <v/>
      </c>
      <c r="M2227">
        <f>L2227*(1+(Inputs!$B$10+0+B2247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27">
        <f>L2227*(1-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2227*(MIN((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27">
        <f>(1-Summary!$B$11)*T2227+Summary!$B$11*V2227</f>
        <v/>
      </c>
      <c r="P2227">
        <f>IF(B2252=0,0,O2227/B2252)</f>
        <v/>
      </c>
      <c r="Q2227">
        <f>IFERROR(1/(IF(Inputs!$B$38="pvp",15,MAX(0.1,Skills!D11-IF(Skills!E11=TRUE,Inputs!$B$32,0)))*(1-IF(AND(ArtifactsInput!$M$27,Inputs!$B$4="Chapter Hunt"),CHOOSE(ArtifactsInput!$N$27+1,20,24,28,32,36,40),0)/100)),0)</f>
        <v/>
      </c>
      <c r="R2227">
        <f>IF(AND(Inputs!$B$38&lt;&gt;"pvp",Inputs!$B$43&gt;0),IF(MAX(0,Inputs!$B$43-B2249)&lt;=0,0,(INT(MAX(0,Inputs!$B$43-B2249)/(IF(Inputs!$B$38="pvp",15,MAX(0.1,Skills!D11-IF(Skills!E11=TRUE,Inputs!$B$32,0)))*(1-IF(AND(ArtifactsInput!$M$27,Inputs!$B$4="Chapter Hunt"),CHOOSE(ArtifactsInput!$N$27+1,20,24,28,32,36,40),0)/100)))+1)),0)</f>
        <v/>
      </c>
      <c r="S2227">
        <f>IFERROR(O2227/N2227,0)</f>
        <v/>
      </c>
      <c r="T2227">
        <f>IF(C2227,(H2227*N2227*IF(AND(Inputs!$B$38&lt;&gt;"pvp",Inputs!$B$43&gt;0),((Skills!G11*((R2227-1)*IF(Skills!H11&gt;0,Skills!I11/Skills!H11,1)+IF(Skills!H11&gt;0,MIN(Skills!I11,MAX(0,MAX(0,Inputs!$B$43-B2249)-((R2227-1)*(IF(Inputs!$B$38="pvp",15,MAX(0.1,Skills!D11-IF(Skills!E11=TRUE,Inputs!$B$32,0)))*(1-IF(AND(ArtifactsInput!$M$27,Inputs!$B$4="Chapter Hunt"),CHOOSE(ArtifactsInput!$N$27+1,20,24,28,32,36,40),0)/100)))))/Skills!H11,1)))/Inputs!$B$43),G2227*Q2227)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2227*(1-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2227*(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2227*(1-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2227*(MIN(100,(Inputs!$B$9+((C2232=TRUE)*(F2232-Calc!F16))+B2242+(ArtifactsInput!$M$24-ArtifactsInput!$M$24)*CHOOSE(ArtifactsInput!$N$24+1,10,12,14,16,18,20)+(IF(AND(ArtifactsInput!$M$42,((Inputs!$B$9+((C2232=TRUE)*(F2232-Calc!F16))+B2242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27">
        <f>IF(C2227,(H2227*N2227*IF(AND(Inputs!$B$38&lt;&gt;"pvp",Inputs!$B$43&gt;0),((Skills!G11*((R2227-1)*IF(Skills!H11&gt;0,Skills!I11/Skills!H11,1)+IF(Skills!H11&gt;0,MIN(Skills!I11,MAX(0,MAX(0,Inputs!$B$43-B2249)-((R2227-1)*(IF(Inputs!$B$38="pvp",15,MAX(0.1,Skills!D11-IF(Skills!E11=TRUE,Inputs!$B$32,0)))*(1-IF(AND(ArtifactsInput!$M$27,Inputs!$B$4="Chapter Hunt"),CHOOSE(ArtifactsInput!$N$27+1,20,24,28,32,36,40),0)/100)))))/Skills!H11,1)))/Inputs!$B$43),G2227*Q2227))*IF(Inputs!$B$38="pvp",1,(1+(Inputs!$B$21+Skills!Q11+(IF(ArtifactsInput!$M$33,CHOOSE(ArtifactsInput!$N$33+1,30,36,42,48,54,60),0))+(IF(AND(ArtifactsInput!$M$35,Inputs!$B$4&lt;&gt;"Chapter Hunt"),CHOOSE(ArtifactsInput!$N$35+1,15,18,21,24,27,30)*(1-EXP(-(0.2*B2244)*5)),0)+IF(AND(ArtifactsInput!$M$22,Inputs!$B$4&lt;&gt;"Chapter Hunt"),CHOOSE(ArtifactsInput!$N$22+1,10,12,14,16,18,20)*((0*(((0.15*B2244*5))^0/1)+1*(((0.15*B2244*5))^1/1)+2*(((0.15*B2244*5))^2/2)+3*(((0.15*B2244*5))^3/6)+4*(((0.15*B2244*5))^4/24)+5*(((0.15*B2244*5))^5/120))/((((0.15*B2244*5))^0/1)+(((0.15*B2244*5))^1/1)+(((0.15*B2244*5))^2/2)+(((0.15*B2244*5))^3/6)+(((0.15*B2244*5))^4/24)+(((0.15*B2244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28">
      <c r="A2228">
        <f>Skills!A12</f>
        <v/>
      </c>
      <c r="B2228">
        <f>Skills!B12</f>
        <v/>
      </c>
      <c r="C2228">
        <f>Inputs!$B$3&gt;=100</f>
        <v/>
      </c>
      <c r="D2228">
        <f>IF(Skills!C12=1,60+Inputs!$B$25+Inputs!$B$29,IF(Skills!C12=2,90+Inputs!$B$26+Inputs!$B$29,IF(Skills!C12=3,120+Inputs!$B$27+Inputs!$B$29,MAX(0,(Inputs!$B$3-100)*3)+Inputs!$B$28+Inputs!$B$29)))</f>
        <v/>
      </c>
      <c r="E2228">
        <f>INDEX(FactorTable!$B$2:$Y$301, MATCH(ROUND(MIN(300,MAX(1,D2228)),0), FactorTable!$A$2:$A$301,0), Skills!M12+1)</f>
        <v/>
      </c>
      <c r="F2228">
        <f>IF(Skills!N12=TRUE,(Skills!L12/10)*(E2228/1000),Skills!L12/10)+Skills!O12</f>
        <v/>
      </c>
      <c r="G2228" t="inlineStr"/>
      <c r="H2228" t="inlineStr"/>
      <c r="I2228" t="inlineStr">
        <is>
          <t>1</t>
        </is>
      </c>
      <c r="J2228" t="inlineStr"/>
      <c r="K2228" t="inlineStr"/>
      <c r="L2228" t="inlineStr"/>
      <c r="M2228" t="inlineStr"/>
      <c r="N2228" t="inlineStr"/>
      <c r="O2228" t="inlineStr"/>
      <c r="P2228" t="inlineStr"/>
      <c r="Q2228" t="inlineStr"/>
      <c r="R2228" t="inlineStr"/>
      <c r="S2228" t="inlineStr"/>
      <c r="T2228" t="inlineStr"/>
      <c r="V2228" t="inlineStr"/>
    </row>
    <row r="2229">
      <c r="A2229">
        <f>Skills!A13</f>
        <v/>
      </c>
      <c r="B2229">
        <f>Skills!B13</f>
        <v/>
      </c>
      <c r="C2229">
        <f>Inputs!$B$3&gt;=66</f>
        <v/>
      </c>
      <c r="D2229">
        <f>IF(Skills!C13=1,60+Inputs!$B$25+Inputs!$B$29,IF(Skills!C13=2,90+Inputs!$B$26+Inputs!$B$29,IF(Skills!C13=3,120+Inputs!$B$27+Inputs!$B$29,MAX(0,(Inputs!$B$3-100)*3)+Inputs!$B$28+Inputs!$B$29)))</f>
        <v/>
      </c>
      <c r="E2229">
        <f>INDEX(FactorTable!$B$2:$Y$301, MATCH(ROUND(MIN(300,MAX(1,D2229)),0), FactorTable!$A$2:$A$301,0), Skills!M13+1)</f>
        <v/>
      </c>
      <c r="F2229">
        <f>IF(Skills!N13=TRUE,(Skills!L13/10)*(E2229/1000),Skills!L13/10)+Skills!O13</f>
        <v/>
      </c>
      <c r="G2229">
        <f>Skills!G13*IF(Skills!H13&gt;0,Skills!I13/Skills!H13,1)</f>
        <v/>
      </c>
      <c r="H2229">
        <f>1-(1-Skills!J13/100)^Skills!K13</f>
        <v/>
      </c>
      <c r="I2229" t="inlineStr">
        <is>
          <t>1</t>
        </is>
      </c>
      <c r="J2229" t="inlineStr"/>
      <c r="K2229" t="inlineStr"/>
      <c r="L2229" t="inlineStr"/>
      <c r="M2229" t="inlineStr"/>
      <c r="N2229" t="inlineStr"/>
      <c r="O2229">
        <f>(1-Summary!$B$11)*T2229+Summary!$B$11*V2229</f>
        <v/>
      </c>
      <c r="P2229">
        <f>IF(B2252=0,0,O2229/B2252)</f>
        <v/>
      </c>
      <c r="Q2229" t="n">
        <v>0</v>
      </c>
      <c r="R2229" t="n">
        <v>0</v>
      </c>
      <c r="S2229">
        <f>IFERROR(O2229/N2229,0)</f>
        <v/>
      </c>
      <c r="T2229" t="n">
        <v>0</v>
      </c>
      <c r="V2229" t="n">
        <v>0</v>
      </c>
    </row>
    <row r="2230">
      <c r="A2230">
        <f>Skills!A14</f>
        <v/>
      </c>
      <c r="B2230">
        <f>Skills!B14</f>
        <v/>
      </c>
      <c r="C2230">
        <f>Inputs!$B$3&gt;=107</f>
        <v/>
      </c>
      <c r="D2230">
        <f>IF(Skills!C14=1,60+Inputs!$B$25+Inputs!$B$29,IF(Skills!C14=2,90+Inputs!$B$26+Inputs!$B$29,IF(Skills!C14=3,120+Inputs!$B$27+Inputs!$B$29,MAX(0,(Inputs!$B$3-100)*3)+Inputs!$B$28+Inputs!$B$29)))</f>
        <v/>
      </c>
      <c r="E2230">
        <f>INDEX(FactorTable!$B$2:$Y$301, MATCH(ROUND(MIN(300,MAX(1,D2230)),0), FactorTable!$A$2:$A$301,0), Skills!M14+1)</f>
        <v/>
      </c>
      <c r="F2230">
        <f>IF(Skills!N14=TRUE,(Skills!L14/10)*(E2230/1000),Skills!L14/10)+Skills!O14</f>
        <v/>
      </c>
      <c r="G2230">
        <f>Skills!G14*IF(Skills!H14&gt;0,Skills!I14/Skills!H14,1)</f>
        <v/>
      </c>
      <c r="H2230">
        <f>1-(1-Skills!J14/100)^Skills!K14</f>
        <v/>
      </c>
      <c r="I2230" t="inlineStr">
        <is>
          <t>1</t>
        </is>
      </c>
      <c r="J2230" t="inlineStr"/>
      <c r="K2230" t="inlineStr"/>
      <c r="L2230" t="inlineStr"/>
      <c r="M2230" t="inlineStr"/>
      <c r="N2230" t="inlineStr"/>
      <c r="O2230">
        <f>(1-Summary!$B$11)*T2230+Summary!$B$11*V2230</f>
        <v/>
      </c>
      <c r="P2230">
        <f>IF(B2252=0,0,O2230/B2252)</f>
        <v/>
      </c>
      <c r="Q2230">
        <f>IFERROR(1/(IF(Inputs!$B$38="pvp",15,MAX(0.1,Skills!D14-IF(Skills!E14=TRUE,Inputs!$B$32,0)))*(1-IF(AND(ArtifactsInput!$M$27,Inputs!$B$4="Chapter Hunt"),CHOOSE(ArtifactsInput!$N$27+1,20,24,28,32,36,40),0)/100)),0)</f>
        <v/>
      </c>
      <c r="R2230">
        <f>IF(AND(Inputs!$B$38&lt;&gt;"pvp",Inputs!$B$43&gt;0),IF(Inputs!$B$43&lt;=0,0,(INT(Inputs!$B$43/(IF(Inputs!$B$38="pvp",15,MAX(0.1,Skills!D14-IF(Skills!E14=TRUE,Inputs!$B$32,0)))*(1-IF(AND(ArtifactsInput!$M$27,Inputs!$B$4="Chapter Hunt"),CHOOSE(ArtifactsInput!$N$27+1,20,24,28,32,36,40),0)/100)))+1)),0)</f>
        <v/>
      </c>
      <c r="S2230">
        <f>IFERROR(O2230/N2230,0)</f>
        <v/>
      </c>
      <c r="T2230" t="n">
        <v>0</v>
      </c>
      <c r="V2230" t="n">
        <v>0</v>
      </c>
    </row>
    <row r="2231">
      <c r="A2231">
        <f>Skills!A15</f>
        <v/>
      </c>
      <c r="B2231">
        <f>Skills!B15</f>
        <v/>
      </c>
      <c r="C2231">
        <f>Inputs!$B$3&gt;=115</f>
        <v/>
      </c>
      <c r="D2231">
        <f>IF(Skills!C15=1,60+Inputs!$B$25+Inputs!$B$29,IF(Skills!C15=2,90+Inputs!$B$26+Inputs!$B$29,IF(Skills!C15=3,120+Inputs!$B$27+Inputs!$B$29,MAX(0,(Inputs!$B$3-100)*3)+Inputs!$B$28+Inputs!$B$29)))</f>
        <v/>
      </c>
      <c r="E2231">
        <f>INDEX(FactorTable!$B$2:$Y$301, MATCH(ROUND(MIN(300,MAX(1,D2231)),0), FactorTable!$A$2:$A$301,0), Skills!M15+1)</f>
        <v/>
      </c>
      <c r="F2231">
        <f>IF(Skills!N15=TRUE,(Skills!L15/10)*(E2231/1000),Skills!L15/10)+Skills!O15</f>
        <v/>
      </c>
      <c r="G2231">
        <f>Skills!G15*IF(Skills!H15&gt;0,Skills!I15/Skills!H15,1)</f>
        <v/>
      </c>
      <c r="H2231">
        <f>1-(1-Skills!J15/100)^Skills!K15</f>
        <v/>
      </c>
      <c r="I2231" t="inlineStr">
        <is>
          <t>1</t>
        </is>
      </c>
      <c r="J2231" t="inlineStr"/>
      <c r="K2231" t="inlineStr"/>
      <c r="L2231" t="inlineStr"/>
      <c r="M2231" t="inlineStr"/>
      <c r="N2231" t="inlineStr"/>
      <c r="O2231">
        <f>(1-Summary!$B$11)*T2231+Summary!$B$11*V2231</f>
        <v/>
      </c>
      <c r="P2231">
        <f>IF(B2252=0,0,O2231/B2252)</f>
        <v/>
      </c>
      <c r="Q2231">
        <f>IFERROR(1/(IF(Inputs!$B$38="pvp",15,MAX(0.1,Skills!D15-IF(Skills!E15=TRUE,Inputs!$B$32,0)))*(1-IF(AND(ArtifactsInput!$M$27,Inputs!$B$4="Chapter Hunt"),CHOOSE(ArtifactsInput!$N$27+1,20,24,28,32,36,40),0)/100)),0)</f>
        <v/>
      </c>
      <c r="R2231">
        <f>IF(AND(Inputs!$B$38&lt;&gt;"pvp",Inputs!$B$43&gt;0),IF(Inputs!$B$43&lt;=0,0,(INT(Inputs!$B$43/(IF(Inputs!$B$38="pvp",15,MAX(0.1,Skills!D15-IF(Skills!E15=TRUE,Inputs!$B$32,0)))*(1-IF(AND(ArtifactsInput!$M$27,Inputs!$B$4="Chapter Hunt"),CHOOSE(ArtifactsInput!$N$27+1,20,24,28,32,36,40),0)/100)))+1)),0)</f>
        <v/>
      </c>
      <c r="S2231">
        <f>IFERROR(O2231/N2231,0)</f>
        <v/>
      </c>
      <c r="T2231" t="n">
        <v>0</v>
      </c>
      <c r="V2231" t="n">
        <v>0</v>
      </c>
    </row>
    <row r="2232">
      <c r="A2232">
        <f>Skills!A16</f>
        <v/>
      </c>
      <c r="B2232">
        <f>Skills!B16</f>
        <v/>
      </c>
      <c r="C2232">
        <f>Inputs!$B$3&gt;=15</f>
        <v/>
      </c>
      <c r="D2232">
        <f>IF(Skills!C16=1,60+Inputs!$B$25+Inputs!$B$29,IF(Skills!C16=2,90+Inputs!$B$26+Inputs!$B$29,IF(Skills!C16=3,120+Inputs!$B$27+Inputs!$B$29,MAX(0,(Inputs!$B$3-100)*3)+Inputs!$B$28+Inputs!$B$29)))</f>
        <v/>
      </c>
      <c r="E2232">
        <f>INDEX(FactorTable!$B$2:$Y$301, MATCH(ROUND(MIN(300,MAX(1,D2232)),0), FactorTable!$A$2:$A$301,0), Skills!M16+1)</f>
        <v/>
      </c>
      <c r="F2232">
        <f>IF(Skills!N16=TRUE,(Skills!L16/10)*(E2232/1000),Skills!L16/10)+Skills!O16</f>
        <v/>
      </c>
      <c r="G2232">
        <f>Skills!G16*IF(Skills!H16&gt;0,Skills!I16/Skills!H16,1)</f>
        <v/>
      </c>
      <c r="H2232">
        <f>1-(1-Skills!J16/100)^Skills!K16</f>
        <v/>
      </c>
      <c r="I2232" t="inlineStr">
        <is>
          <t>1</t>
        </is>
      </c>
      <c r="J2232" t="inlineStr"/>
      <c r="K2232" t="inlineStr"/>
      <c r="L2232" t="inlineStr"/>
      <c r="M2232" t="inlineStr"/>
      <c r="N2232" t="inlineStr"/>
      <c r="O2232">
        <f>(1-Summary!$B$11)*T2232+Summary!$B$11*V2232</f>
        <v/>
      </c>
      <c r="P2232">
        <f>IF(B2252=0,0,O2232/B2252)</f>
        <v/>
      </c>
      <c r="Q2232" t="n">
        <v>0</v>
      </c>
      <c r="R2232" t="n">
        <v>0</v>
      </c>
      <c r="S2232">
        <f>IFERROR(O2232/N2232,0)</f>
        <v/>
      </c>
      <c r="T2232" t="n">
        <v>0</v>
      </c>
      <c r="V2232" t="n">
        <v>0</v>
      </c>
    </row>
    <row r="2233">
      <c r="A2233">
        <f>Skills!A17</f>
        <v/>
      </c>
      <c r="B2233">
        <f>Skills!B17</f>
        <v/>
      </c>
      <c r="C2233">
        <f>Inputs!$B$3&gt;=10</f>
        <v/>
      </c>
      <c r="D2233">
        <f>IF(Skills!C17=1,60+Inputs!$B$25+Inputs!$B$29,IF(Skills!C17=2,90+Inputs!$B$26+Inputs!$B$29,IF(Skills!C17=3,120+Inputs!$B$27+Inputs!$B$29,MAX(0,(Inputs!$B$3-100)*3)+Inputs!$B$28+Inputs!$B$29)))</f>
        <v/>
      </c>
      <c r="E2233">
        <f>INDEX(FactorTable!$B$2:$Y$301, MATCH(ROUND(MIN(300,MAX(1,D2233)),0), FactorTable!$A$2:$A$301,0), Skills!M17+1)</f>
        <v/>
      </c>
      <c r="F2233">
        <f>IF(Skills!N17=TRUE,(Skills!L17/10)*(E2233/1000),Skills!L17/10)+Skills!O17</f>
        <v/>
      </c>
      <c r="G2233">
        <f>Skills!G17*IF(Skills!H17&gt;0,Skills!I17/Skills!H17,1)</f>
        <v/>
      </c>
      <c r="H2233">
        <f>1-(1-Skills!J17/100)^Skills!K17</f>
        <v/>
      </c>
      <c r="I2233" t="inlineStr">
        <is>
          <t>1</t>
        </is>
      </c>
      <c r="J2233" t="inlineStr"/>
      <c r="K2233" t="inlineStr"/>
      <c r="L2233" t="inlineStr"/>
      <c r="M2233" t="inlineStr"/>
      <c r="N2233" t="inlineStr"/>
      <c r="O2233">
        <f>(1-Summary!$B$11)*T2233+Summary!$B$11*V2233</f>
        <v/>
      </c>
      <c r="P2233">
        <f>IF(B2252=0,0,O2233/B2252)</f>
        <v/>
      </c>
      <c r="Q2233" t="n">
        <v>0</v>
      </c>
      <c r="R2233" t="n">
        <v>0</v>
      </c>
      <c r="S2233">
        <f>IFERROR(O2233/N2233,0)</f>
        <v/>
      </c>
      <c r="T2233" t="n">
        <v>0</v>
      </c>
      <c r="V2233" t="n">
        <v>0</v>
      </c>
    </row>
    <row r="2234">
      <c r="A2234">
        <f>Skills!A18</f>
        <v/>
      </c>
      <c r="B2234">
        <f>Skills!B18</f>
        <v/>
      </c>
      <c r="C2234">
        <f>Inputs!$B$3&gt;=33</f>
        <v/>
      </c>
      <c r="D2234">
        <f>IF(Skills!C18=1,60+Inputs!$B$25+Inputs!$B$29,IF(Skills!C18=2,90+Inputs!$B$26+Inputs!$B$29,IF(Skills!C18=3,120+Inputs!$B$27+Inputs!$B$29,MAX(0,(Inputs!$B$3-100)*3)+Inputs!$B$28+Inputs!$B$29)))</f>
        <v/>
      </c>
      <c r="E2234">
        <f>INDEX(FactorTable!$B$2:$Y$301, MATCH(ROUND(MIN(300,MAX(1,D2234)),0), FactorTable!$A$2:$A$301,0), Skills!M18+1)</f>
        <v/>
      </c>
      <c r="F2234">
        <f>IF(Skills!N18=TRUE,(Skills!L18/10)*(E2234/1000),Skills!L18/10)+Skills!O18</f>
        <v/>
      </c>
      <c r="G2234">
        <f>Skills!G18*IF(Skills!H18&gt;0,Skills!I18/Skills!H18,1)</f>
        <v/>
      </c>
      <c r="H2234">
        <f>1-(1-Skills!J18/100)^Skills!K18</f>
        <v/>
      </c>
      <c r="I2234" t="inlineStr">
        <is>
          <t>1</t>
        </is>
      </c>
      <c r="J2234" t="inlineStr"/>
      <c r="K2234" t="inlineStr"/>
      <c r="L2234" t="inlineStr"/>
      <c r="M2234" t="inlineStr"/>
      <c r="N2234" t="inlineStr"/>
      <c r="O2234">
        <f>(1-Summary!$B$11)*T2234+Summary!$B$11*V2234</f>
        <v/>
      </c>
      <c r="P2234">
        <f>IF(B2252=0,0,O2234/B2252)</f>
        <v/>
      </c>
      <c r="Q2234" t="n">
        <v>0</v>
      </c>
      <c r="R2234" t="n">
        <v>0</v>
      </c>
      <c r="S2234">
        <f>IFERROR(O2234/N2234,0)</f>
        <v/>
      </c>
      <c r="T2234" t="n">
        <v>0</v>
      </c>
      <c r="V2234" t="n">
        <v>0</v>
      </c>
    </row>
    <row r="2235">
      <c r="A2235">
        <f>Skills!A19</f>
        <v/>
      </c>
      <c r="B2235">
        <f>Skills!B19</f>
        <v/>
      </c>
      <c r="C2235">
        <f>Inputs!$B$3&gt;=40</f>
        <v/>
      </c>
      <c r="D2235">
        <f>IF(Skills!C19=1,60+Inputs!$B$25+Inputs!$B$29,IF(Skills!C19=2,90+Inputs!$B$26+Inputs!$B$29,IF(Skills!C19=3,120+Inputs!$B$27+Inputs!$B$29,MAX(0,(Inputs!$B$3-100)*3)+Inputs!$B$28+Inputs!$B$29)))</f>
        <v/>
      </c>
      <c r="E2235">
        <f>INDEX(FactorTable!$B$2:$Y$301, MATCH(ROUND(MIN(300,MAX(1,D2235)),0), FactorTable!$A$2:$A$301,0), Skills!M19+1)</f>
        <v/>
      </c>
      <c r="F2235">
        <f>IF(Skills!N19=TRUE,(Skills!L19/10)*(E2235/1000),Skills!L19/10)+Skills!O19</f>
        <v/>
      </c>
      <c r="G2235">
        <f>Skills!G19*IF(Skills!H19&gt;0,Skills!I19/Skills!H19,1)</f>
        <v/>
      </c>
      <c r="H2235">
        <f>1-(1-Skills!J19/100)^Skills!K19</f>
        <v/>
      </c>
      <c r="I2235" t="inlineStr">
        <is>
          <t>1</t>
        </is>
      </c>
      <c r="J2235" t="inlineStr"/>
      <c r="K2235" t="inlineStr"/>
      <c r="L2235" t="inlineStr"/>
      <c r="M2235" t="inlineStr"/>
      <c r="N2235" t="inlineStr"/>
      <c r="O2235">
        <f>(1-Summary!$B$11)*T2235+Summary!$B$11*V2235</f>
        <v/>
      </c>
      <c r="P2235">
        <f>IF(B2252=0,0,O2235/B2252)</f>
        <v/>
      </c>
      <c r="Q2235" t="n">
        <v>0</v>
      </c>
      <c r="R2235" t="n">
        <v>0</v>
      </c>
      <c r="S2235">
        <f>IFERROR(O2235/N2235,0)</f>
        <v/>
      </c>
      <c r="T2235" t="n">
        <v>0</v>
      </c>
      <c r="V2235" t="n">
        <v>0</v>
      </c>
    </row>
    <row r="2236">
      <c r="A2236">
        <f>Skills!A20</f>
        <v/>
      </c>
      <c r="B2236">
        <f>Skills!B20</f>
        <v/>
      </c>
      <c r="C2236">
        <f>Inputs!$B$3&gt;=43</f>
        <v/>
      </c>
      <c r="D2236">
        <f>IF(Skills!C20=1,60+Inputs!$B$25+Inputs!$B$29,IF(Skills!C20=2,90+Inputs!$B$26+Inputs!$B$29,IF(Skills!C20=3,120+Inputs!$B$27+Inputs!$B$29,MAX(0,(Inputs!$B$3-100)*3)+Inputs!$B$28+Inputs!$B$29)))</f>
        <v/>
      </c>
      <c r="E2236">
        <f>INDEX(FactorTable!$B$2:$Y$301, MATCH(ROUND(MIN(300,MAX(1,D2236)),0), FactorTable!$A$2:$A$301,0), Skills!M20+1)</f>
        <v/>
      </c>
      <c r="F2236">
        <f>IF(Skills!N20=TRUE,(Skills!L20/10)*(E2236/1000),Skills!L20/10)+Skills!O20</f>
        <v/>
      </c>
      <c r="G2236">
        <f>Skills!G20*IF(Skills!H20&gt;0,Skills!I20/Skills!H20,1)</f>
        <v/>
      </c>
      <c r="H2236">
        <f>1-(1-Skills!J20/100)^Skills!K20</f>
        <v/>
      </c>
      <c r="I2236" t="inlineStr">
        <is>
          <t>1</t>
        </is>
      </c>
      <c r="J2236" t="inlineStr"/>
      <c r="K2236" t="inlineStr"/>
      <c r="L2236" t="inlineStr"/>
      <c r="M2236" t="inlineStr"/>
      <c r="N2236" t="inlineStr"/>
      <c r="O2236">
        <f>(1-Summary!$B$11)*T2236+Summary!$B$11*V2236</f>
        <v/>
      </c>
      <c r="P2236">
        <f>IF(B2252=0,0,O2236/B2252)</f>
        <v/>
      </c>
      <c r="Q2236" t="n">
        <v>0</v>
      </c>
      <c r="R2236" t="n">
        <v>0</v>
      </c>
      <c r="S2236">
        <f>IFERROR(O2236/N2236,0)</f>
        <v/>
      </c>
      <c r="T2236" t="n">
        <v>0</v>
      </c>
      <c r="V2236" t="n">
        <v>0</v>
      </c>
    </row>
    <row r="2237">
      <c r="A2237">
        <f>Skills!A21</f>
        <v/>
      </c>
      <c r="B2237">
        <f>Skills!B21</f>
        <v/>
      </c>
      <c r="C2237">
        <f>Inputs!$B$3&gt;=38</f>
        <v/>
      </c>
      <c r="D2237">
        <f>IF(Skills!C21=1,60+Inputs!$B$25+Inputs!$B$29,IF(Skills!C21=2,90+Inputs!$B$26+Inputs!$B$29,IF(Skills!C21=3,120+Inputs!$B$27+Inputs!$B$29,MAX(0,(Inputs!$B$3-100)*3)+Inputs!$B$28+Inputs!$B$29)))</f>
        <v/>
      </c>
      <c r="E2237">
        <f>INDEX(FactorTable!$B$2:$Y$301, MATCH(ROUND(MIN(300,MAX(1,D2237)),0), FactorTable!$A$2:$A$301,0), Skills!M21+1)</f>
        <v/>
      </c>
      <c r="F2237">
        <f>IF(Skills!N21=TRUE,(Skills!L21/10)*(E2237/1000),Skills!L21/10)+Skills!O21</f>
        <v/>
      </c>
      <c r="G2237">
        <f>Skills!G21*IF(Skills!H21&gt;0,Skills!I21/Skills!H21,1)</f>
        <v/>
      </c>
      <c r="H2237">
        <f>1-(1-Skills!J21/100)^Skills!K21</f>
        <v/>
      </c>
      <c r="I2237" t="inlineStr">
        <is>
          <t>1</t>
        </is>
      </c>
      <c r="J2237" t="inlineStr"/>
      <c r="K2237" t="inlineStr"/>
      <c r="L2237" t="inlineStr"/>
      <c r="M2237" t="inlineStr"/>
      <c r="N2237" t="inlineStr"/>
      <c r="O2237">
        <f>(1-Summary!$B$11)*T2237+Summary!$B$11*V2237</f>
        <v/>
      </c>
      <c r="P2237">
        <f>IF(B2252=0,0,O2237/B2252)</f>
        <v/>
      </c>
      <c r="Q2237" t="n">
        <v>0</v>
      </c>
      <c r="R2237" t="n">
        <v>0</v>
      </c>
      <c r="S2237">
        <f>IFERROR(O2237/N2237,0)</f>
        <v/>
      </c>
      <c r="T2237" t="n">
        <v>0</v>
      </c>
      <c r="V2237" t="n">
        <v>0</v>
      </c>
    </row>
    <row r="2238">
      <c r="A2238">
        <f>Skills!A22</f>
        <v/>
      </c>
      <c r="B2238">
        <f>Skills!B22</f>
        <v/>
      </c>
      <c r="C2238">
        <f>Inputs!$B$3&gt;=75</f>
        <v/>
      </c>
      <c r="D2238">
        <f>IF(Skills!C22=1,60+Inputs!$B$25+Inputs!$B$29,IF(Skills!C22=2,90+Inputs!$B$26+Inputs!$B$29,IF(Skills!C22=3,120+Inputs!$B$27+Inputs!$B$29,MAX(0,(Inputs!$B$3-100)*3)+Inputs!$B$28+Inputs!$B$29)))</f>
        <v/>
      </c>
      <c r="E2238">
        <f>INDEX(FactorTable!$B$2:$Y$301, MATCH(ROUND(MIN(300,MAX(1,D2238)),0), FactorTable!$A$2:$A$301,0), Skills!M22+1)</f>
        <v/>
      </c>
      <c r="F2238">
        <f>IF(Skills!N22=TRUE,(Skills!L22/10)*(E2238/1000),Skills!L22/10)+Skills!O22</f>
        <v/>
      </c>
      <c r="G2238">
        <f>Skills!G22*IF(Skills!H22&gt;0,Skills!I22/Skills!H22,1)</f>
        <v/>
      </c>
      <c r="H2238">
        <f>1-(1-Skills!J22/100)^Skills!K22</f>
        <v/>
      </c>
      <c r="I2238" t="inlineStr">
        <is>
          <t>1</t>
        </is>
      </c>
      <c r="J2238" t="inlineStr"/>
      <c r="K2238" t="inlineStr"/>
      <c r="L2238" t="inlineStr"/>
      <c r="M2238" t="inlineStr"/>
      <c r="N2238" t="inlineStr"/>
      <c r="O2238">
        <f>(1-Summary!$B$11)*T2238+Summary!$B$11*V2238</f>
        <v/>
      </c>
      <c r="P2238">
        <f>IF(B2252=0,0,O2238/B2252)</f>
        <v/>
      </c>
      <c r="Q2238" t="n">
        <v>0</v>
      </c>
      <c r="R2238" t="n">
        <v>0</v>
      </c>
      <c r="S2238">
        <f>IFERROR(O2238/N2238,0)</f>
        <v/>
      </c>
      <c r="T2238" t="n">
        <v>0</v>
      </c>
      <c r="V2238" t="n">
        <v>0</v>
      </c>
    </row>
    <row r="2239">
      <c r="A2239">
        <f>Skills!A23</f>
        <v/>
      </c>
      <c r="B2239">
        <f>Skills!B23</f>
        <v/>
      </c>
      <c r="C2239">
        <f>TRUE</f>
        <v/>
      </c>
      <c r="D2239">
        <f>IF(Skills!C23=1,60+Inputs!$B$25+Inputs!$B$29,IF(Skills!C23=2,90+Inputs!$B$26+Inputs!$B$29,IF(Skills!C23=3,120+Inputs!$B$27+Inputs!$B$29,MAX(0,(Inputs!$B$3-100)*3)+Inputs!$B$28+Inputs!$B$29)))</f>
        <v/>
      </c>
      <c r="E2239">
        <f>INDEX(FactorTable!$B$2:$Y$301, MATCH(ROUND(MIN(300,MAX(1,D2239)),0), FactorTable!$A$2:$A$301,0), Skills!M23+1)</f>
        <v/>
      </c>
      <c r="F2239">
        <f>IF(Skills!N23=TRUE,(Skills!L23/10)*(E2239/1000),Skills!L23/10)+Skills!O23</f>
        <v/>
      </c>
      <c r="G2239">
        <f>Skills!G23*IF(Skills!H23&gt;0,Skills!I23/Skills!H23,1)</f>
        <v/>
      </c>
      <c r="H2239">
        <f>1-(1-Skills!J23/100)^Skills!K23</f>
        <v/>
      </c>
      <c r="I2239" t="inlineStr">
        <is>
          <t>1</t>
        </is>
      </c>
      <c r="J2239" t="inlineStr"/>
      <c r="K2239" t="inlineStr"/>
      <c r="L2239" t="inlineStr"/>
      <c r="M2239" t="inlineStr"/>
      <c r="N2239" t="inlineStr"/>
      <c r="O2239">
        <f>(1-Summary!$B$11)*T2239+Summary!$B$11*V2239</f>
        <v/>
      </c>
      <c r="P2239">
        <f>IF(B2252=0,0,O2239/B2252)</f>
        <v/>
      </c>
      <c r="Q2239">
        <f>IFERROR(1/(IF(Inputs!$B$38="pvp",15,MAX(0.1,Skills!D23-IF(Skills!E23=TRUE,Inputs!$B$32,0)))*(1-IF(AND(ArtifactsInput!$M$27,Inputs!$B$4="Chapter Hunt"),CHOOSE(ArtifactsInput!$N$27+1,20,24,28,32,36,40),0)/100)),0)</f>
        <v/>
      </c>
      <c r="R2239">
        <f>IF(AND(Inputs!$B$38&lt;&gt;"pvp",Inputs!$B$43&gt;0),IF(Inputs!$B$43&lt;=0,0,(INT(Inputs!$B$43/(IF(Inputs!$B$38="pvp",15,MAX(0.1,Skills!D23-IF(Skills!E23=TRUE,Inputs!$B$32,0)))*(1-IF(AND(ArtifactsInput!$M$27,Inputs!$B$4="Chapter Hunt"),CHOOSE(ArtifactsInput!$N$27+1,20,24,28,32,36,40),0)/100)))+1)),0)</f>
        <v/>
      </c>
      <c r="S2239">
        <f>IFERROR(O2239/N2239,0)</f>
        <v/>
      </c>
      <c r="T2239" t="n">
        <v>0</v>
      </c>
      <c r="V2239" t="n">
        <v>0</v>
      </c>
    </row>
    <row r="2241">
      <c r="A2241" t="inlineStr">
        <is>
          <t>Attack% Bucket Multiplier</t>
        </is>
      </c>
      <c r="B2241">
        <f>(1+(((C2229=TRUE)*F2229*5/7)+((C2235=TRUE)*(F2235-Calc!F19))+(IF(ArtifactsInput!$M$21,CHOOSE(ArtifactsInput!$N$21+1,25,30,35,40,45,50)*(IF(OR(Inputs!$B$4="Chapter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42">
      <c r="A2242" t="inlineStr">
        <is>
          <t>Global Crit Rate Bonus %</t>
        </is>
      </c>
      <c r="B2242" t="n">
        <v>0</v>
      </c>
    </row>
    <row r="2243">
      <c r="A2243" t="inlineStr">
        <is>
          <t>Attack Speed Buff Bonus % (Nimble Feet, duty-cycle averaged)</t>
        </is>
      </c>
      <c r="B2243">
        <f>((C2239=TRUE)*F2239*IF(AND(Inputs!$B$38&lt;&gt;"pvp",Inputs!$B$43&gt;0),(((R2239-1)*(Skills!T23*(1+Inputs!$B$34/100))+MIN((Skills!T23*(1+Inputs!$B$34/100)),MAX(0,Inputs!$B$43-((R2239-1)*Skills!D23))))/Inputs!$B$43),IF(Inputs!$B$38="pvp",MIN((Skills!T23*(1+Inputs!$B$34/100)),15)/15,(Skills!T23*(1+Inputs!$B$34/100))/Skills!D23)))</f>
        <v/>
      </c>
    </row>
    <row r="2244">
      <c r="A2244" t="inlineStr">
        <is>
          <t>Actions Per Second</t>
        </is>
      </c>
      <c r="B2244">
        <f>1+MIN(150,150*(1-(1-(Inputs!$B$11+((C2233=TRUE)*(F2233-Calc!F17))+((C2234=TRUE)*(F2234-Calc!F18)))/150)*(1-B2243/150)))/100</f>
        <v/>
      </c>
    </row>
    <row r="2245">
      <c r="A2245" t="inlineStr">
        <is>
          <t>Skill + Buff Cast Rate</t>
        </is>
      </c>
      <c r="B2245">
        <f>IF(AND(Inputs!$B$38&lt;&gt;"pvp",Inputs!$B$43&gt;0),SUMPRODUCT((Skills!E2:E23=TRUE)*(C2218:C2239=TRUE)*R2218:R2239*Skills!F2:F23)/Inputs!$B$43,SUMPRODUCT((Skills!E2:E23=TRUE)*(C2218:C2239=TRUE)*Q2218:Q2239*Skills!F2:F23))</f>
        <v/>
      </c>
    </row>
    <row r="2246">
      <c r="A2246" t="inlineStr">
        <is>
          <t>Hook Bomber Casts Per Second</t>
        </is>
      </c>
      <c r="B2246">
        <f>MAX(0,B2244-B2245)</f>
        <v/>
      </c>
    </row>
    <row r="2247">
      <c r="A2247" t="inlineStr">
        <is>
          <t>Global Critical Damage Bonus % (unused)</t>
        </is>
      </c>
      <c r="B2247" t="n">
        <v>0</v>
      </c>
    </row>
    <row r="2248">
      <c r="A2248" t="inlineStr">
        <is>
          <t>Global Final Damage Bonus % (Serpent Scale + Crossbones + Time Leap + Speed Infusion)</t>
        </is>
      </c>
      <c r="B2248">
        <f>((C2221=TRUE)*F2221*((10+IF(Inputs!$B$3&gt;=94,5,0))/((10+IF(Inputs!$B$3&gt;=94,5,0))+5/(B2246*(1+IF(Inputs!$B$3&gt;=104,1,0))))))+((C2230=TRUE)*F2230*IF(AND(Inputs!$B$38&lt;&gt;"pvp",Inputs!$B$43&gt;0),(((R2230-1)*(Skills!T14*(1+Inputs!$B$34/100))+MIN((Skills!T14*(1+Inputs!$B$34/100)),MAX(0,Inputs!$B$43-((R2230-1)*Skills!D14))))/Inputs!$B$43),IF(Inputs!$B$38="pvp",MIN((Skills!T14*(1+Inputs!$B$34/100)),15)/15,(Skills!T14*(1+Inputs!$B$34/100))/Skills!D14)))+((C2231=TRUE)*F2231*IF(AND(Inputs!$B$38&lt;&gt;"pvp",Inputs!$B$43&gt;0),(((R2231-1)*(Skills!T15*(1+Inputs!$B$34/100))+MIN((Skills!T15*(1+Inputs!$B$34/100)),MAX(0,Inputs!$B$43-((R2231-1)*Skills!D15))))/Inputs!$B$43),IF(Inputs!$B$38="pvp",MIN((Skills!T15*(1+Inputs!$B$34/100)),15)/15,(Skills!T15*(1+Inputs!$B$34/100))/Skills!D15)))+((Inputs!$B$3&gt;=110)*20*(B2244-1)*IF(Inputs!$B$38="pvp",MIN((15*(1+Inputs!$B$34/100)),15)/15,(15*(1+Inputs!$B$34/100))/35))</f>
        <v/>
      </c>
    </row>
    <row r="2249">
      <c r="A2249" t="inlineStr">
        <is>
          <t>Buff-Casting Startup Delay (s, fixed-duration only)</t>
        </is>
      </c>
      <c r="B2249">
        <f>IF(AND(Inputs!$B$38&lt;&gt;"pvp",Inputs!$B$43&gt;0),SUMPRODUCT((Skills!T2:T23&gt;0)*(Skills!E2:E23=TRUE)*(C2218:C2239=TRUE))/B2244,0)</f>
        <v/>
      </c>
    </row>
    <row r="2250">
      <c r="A2250" t="inlineStr">
        <is>
          <t>Boss-Only Total DPS (this block's swept value)</t>
        </is>
      </c>
      <c r="B2250">
        <f>SUM(T2218:T2239)</f>
        <v/>
      </c>
    </row>
    <row r="2251">
      <c r="A2251" t="inlineStr">
        <is>
          <t>Normal-Only Total DPS (this block's swept value)</t>
        </is>
      </c>
      <c r="B2251">
        <f>SUM(V2218:V2239)</f>
        <v/>
      </c>
    </row>
    <row r="2252">
      <c r="A2252" s="6" t="inlineStr">
        <is>
          <t>TOTAL DPS</t>
        </is>
      </c>
      <c r="B2252" s="6">
        <f>SUM(O2218:O2239)</f>
        <v/>
      </c>
    </row>
    <row r="2255">
      <c r="A2255" s="6" t="inlineStr">
        <is>
          <t>Stat: Alliance Badge (Equip)</t>
        </is>
      </c>
    </row>
    <row r="2256">
      <c r="A2256" s="5" t="inlineStr">
        <is>
          <t>Key</t>
        </is>
      </c>
      <c r="B2256" s="5" t="inlineStr">
        <is>
          <t>Name</t>
        </is>
      </c>
      <c r="C2256" s="5" t="inlineStr">
        <is>
          <t>Unlocked</t>
        </is>
      </c>
      <c r="D2256" s="5" t="inlineStr">
        <is>
          <t>InputLevel</t>
        </is>
      </c>
      <c r="E2256" s="5" t="inlineStr">
        <is>
          <t>Factor</t>
        </is>
      </c>
      <c r="F2256" s="5" t="inlineStr">
        <is>
          <t>CoefficientPercent</t>
        </is>
      </c>
      <c r="G2256" s="5" t="inlineStr">
        <is>
          <t>EffectiveHits</t>
        </is>
      </c>
      <c r="H2256" s="5" t="inlineStr">
        <is>
          <t>ProcProbability</t>
        </is>
      </c>
      <c r="I2256" s="5" t="inlineStr">
        <is>
          <t>MapleHeroMultiplier</t>
        </is>
      </c>
      <c r="J2256" s="5" t="inlineStr">
        <is>
          <t>BaseDamage</t>
        </is>
      </c>
      <c r="K2256" s="5" t="inlineStr">
        <is>
          <t>BaseHitDamage</t>
        </is>
      </c>
      <c r="L2256" s="5" t="inlineStr">
        <is>
          <t>NonCritAvg</t>
        </is>
      </c>
      <c r="M2256" s="5" t="inlineStr">
        <is>
          <t>CritAvg</t>
        </is>
      </c>
      <c r="N2256" s="5" t="inlineStr">
        <is>
          <t>ExpectedDamage(perHit)</t>
        </is>
      </c>
      <c r="O2256" s="5" t="inlineStr">
        <is>
          <t>DPS</t>
        </is>
      </c>
      <c r="P2256" s="5" t="inlineStr">
        <is>
          <t>% of Total</t>
        </is>
      </c>
      <c r="Q2256" s="5" t="inlineStr">
        <is>
          <t>InvCooldown</t>
        </is>
      </c>
      <c r="R2256" s="5" t="inlineStr">
        <is>
          <t>CastsInFight</t>
        </is>
      </c>
      <c r="S2256" s="5" t="inlineStr">
        <is>
          <t>HitRate(perSec)</t>
        </is>
      </c>
      <c r="U2256" t="inlineStr">
        <is>
          <t>helpers</t>
        </is>
      </c>
    </row>
    <row r="2257">
      <c r="A2257">
        <f>Skills!A2</f>
        <v/>
      </c>
      <c r="B2257">
        <f>Skills!B2</f>
        <v/>
      </c>
      <c r="C2257">
        <f>Inputs!$B$3&gt;=100</f>
        <v/>
      </c>
      <c r="D2257" t="inlineStr"/>
      <c r="E2257" t="inlineStr"/>
      <c r="F2257">
        <f>U2259+Skills!O2</f>
        <v/>
      </c>
      <c r="G2257">
        <f>Skills!G2*IF(Skills!H2&gt;0,Skills!I2/Skills!H2,1)</f>
        <v/>
      </c>
      <c r="H2257">
        <f>1-(1-Skills!J2/100)^Skills!K2</f>
        <v/>
      </c>
      <c r="I2257" t="inlineStr">
        <is>
          <t>1</t>
        </is>
      </c>
      <c r="J2257">
        <f>((Inputs!$B$6*(1+Inputs!$B$7/100))+(((Inputs!$B$12*(1+Inputs!$B$13/100))-(Inputs!$B$12*(1+Inputs!$B$13/100)))+0.25*(Inputs!$B$14-Inputs!$B$14))*(1+Inputs!$B$7/100))*(F2257/100)</f>
        <v/>
      </c>
      <c r="K2257">
        <f>J2257*(1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2257)</f>
        <v/>
      </c>
      <c r="L2257">
        <f>K2257*(MIN(Inputs!$B$22+((C2275=TRUE)*(F2275-Calc!F20)),(Inputs!$B$23+0+(IF(ArtifactsInput!$M$15,CHOOSE(ArtifactsInput!$N$15+1,25,30,35,40,45,50)/100*(Inputs!$B$11-Inputs!$B$11),0))))/100+(Inputs!$B$23+0+(IF(ArtifactsInput!$M$15,CHOOSE(ArtifactsInput!$N$15+1,25,30,35,40,45,50)/100*(Inputs!$B$11-Inputs!$B$11),0)))/100)/2</f>
        <v/>
      </c>
      <c r="M2257">
        <f>L2257*(1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7">
        <f>L2257*(1-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2257*(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7">
        <f>(1-Summary!$B$11)*T2257+Summary!$B$11*V2257</f>
        <v/>
      </c>
      <c r="P2257">
        <f>IF(B2291=0,0,O2257/B2291)</f>
        <v/>
      </c>
      <c r="Q2257" t="n">
        <v>0</v>
      </c>
      <c r="R2257" t="n">
        <v>0</v>
      </c>
      <c r="S2257">
        <f>IFERROR(O2257/N2257,0)</f>
        <v/>
      </c>
      <c r="T2257">
        <f>IF(C2257,(Skills!G2*N2257*B2285)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2257*(1-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2257*(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2257*(1-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2257*(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7">
        <f>MAX(0,(Inputs!$B$3-100)*3)+Inputs!$B$28+Inputs!$B$29</f>
        <v/>
      </c>
      <c r="V2257">
        <f>IF(C2257,(Skills!G2*N2257*B2285)*IF(Inputs!$B$38="pvp",1,(1+(Inputs!$B$21+Skills!Q2+(IF(ArtifactsInput!$M$33,CHOOSE(ArtifactsInput!$N$33+1,30,36,42,48,54,60),0))+(IF(AND(ArtifactsInput!$M$35,Inputs!$B$4&lt;&gt;"Chapter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8">
      <c r="A2258">
        <f>Skills!A3</f>
        <v/>
      </c>
      <c r="B2258">
        <f>Skills!B3</f>
        <v/>
      </c>
      <c r="C2258">
        <f>Inputs!$B$3&gt;=35</f>
        <v/>
      </c>
      <c r="D2258">
        <f>IF(Skills!C3=1,60+Inputs!$B$25+Inputs!$B$29,IF(Skills!C3=2,90+Inputs!$B$26+Inputs!$B$29,IF(Skills!C3=3,120+Inputs!$B$27+Inputs!$B$29,MAX(0,(Inputs!$B$3-100)*3)+Inputs!$B$28+Inputs!$B$29)))</f>
        <v/>
      </c>
      <c r="E2258">
        <f>INDEX(FactorTable!$B$2:$Y$301, MATCH(ROUND(MIN(300,MAX(1,D2258)),0), FactorTable!$A$2:$A$301,0), Skills!M3+1)</f>
        <v/>
      </c>
      <c r="F2258">
        <f>IF(Skills!N3=TRUE,(Skills!L3/10)*(E2258/1000),Skills!L3/10)+Skills!O3</f>
        <v/>
      </c>
      <c r="G2258">
        <f>Skills!G3*IF(Skills!H3&gt;0,Skills!I3/Skills!H3,1)</f>
        <v/>
      </c>
      <c r="H2258">
        <f>1-(1-Skills!J3/100)^Skills!K3</f>
        <v/>
      </c>
      <c r="I2258" t="inlineStr">
        <is>
          <t>1</t>
        </is>
      </c>
      <c r="J2258">
        <f>((Inputs!$B$6*(1+Inputs!$B$7/100))+(((Inputs!$B$12*(1+Inputs!$B$13/100))-(Inputs!$B$12*(1+Inputs!$B$13/100)))+0.25*(Inputs!$B$14-Inputs!$B$14))*(1+Inputs!$B$7/100))*(F2258/100)</f>
        <v/>
      </c>
      <c r="K2258">
        <f>J2258*(1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2258)</f>
        <v/>
      </c>
      <c r="L2258">
        <f>K2258*(MIN(Inputs!$B$22+((C2275=TRUE)*(F2275-Calc!F20)),(Inputs!$B$23+0+(IF(ArtifactsInput!$M$15,CHOOSE(ArtifactsInput!$N$15+1,25,30,35,40,45,50)/100*(Inputs!$B$11-Inputs!$B$11),0))))/100+(Inputs!$B$23+0+(IF(ArtifactsInput!$M$15,CHOOSE(ArtifactsInput!$N$15+1,25,30,35,40,45,50)/100*(Inputs!$B$11-Inputs!$B$11),0)))/100)/2</f>
        <v/>
      </c>
      <c r="M2258">
        <f>L2258*(1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8">
        <f>L2258*(1-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2258*(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8">
        <f>(1-Summary!$B$11)*T2258+Summary!$B$11*V2258</f>
        <v/>
      </c>
      <c r="P2258">
        <f>IF(B2291=0,0,O2258/B2291)</f>
        <v/>
      </c>
      <c r="Q2258" t="n">
        <v>0</v>
      </c>
      <c r="R2258" t="n">
        <v>0</v>
      </c>
      <c r="S2258">
        <f>IFERROR(O2258/N2258,0)</f>
        <v/>
      </c>
      <c r="T2258">
        <f>IF(C2258,(Skills!G3*H2258*N2258*B2285)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2258*(1-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2258*(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2258*(1-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2258*(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8">
        <f>INDEX(FactorTable!$B$2:$Y$301, MATCH(ROUND(MIN(300,MAX(1,U2257)),0), FactorTable!$A$2:$A$301,0), 22)</f>
        <v/>
      </c>
      <c r="V2258">
        <f>IF(C2258,(Skills!G3*H2258*N2258*B2285)*IF(Inputs!$B$38="pvp",1,(1+(Inputs!$B$21+Skills!Q3+(IF(ArtifactsInput!$M$33,CHOOSE(ArtifactsInput!$N$33+1,30,36,42,48,54,60),0))+(IF(AND(ArtifactsInput!$M$35,Inputs!$B$4&lt;&gt;"Chapter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59">
      <c r="A2259">
        <f>Skills!A4</f>
        <v/>
      </c>
      <c r="B2259">
        <f>Skills!B4</f>
        <v/>
      </c>
      <c r="C2259">
        <f>Inputs!$B$3&gt;=60</f>
        <v/>
      </c>
      <c r="D2259">
        <f>IF(Skills!C4=1,60+Inputs!$B$25+Inputs!$B$29,IF(Skills!C4=2,90+Inputs!$B$26+Inputs!$B$29,IF(Skills!C4=3,120+Inputs!$B$27+Inputs!$B$29,MAX(0,(Inputs!$B$3-100)*3)+Inputs!$B$28+Inputs!$B$29)))</f>
        <v/>
      </c>
      <c r="E2259">
        <f>INDEX(FactorTable!$B$2:$Y$301, MATCH(ROUND(MIN(300,MAX(1,D2259)),0), FactorTable!$A$2:$A$301,0), Skills!M4+1)</f>
        <v/>
      </c>
      <c r="F2259">
        <f>IF(Skills!N4=TRUE,(Skills!L4/10)*(E2259/1000),Skills!L4/10)+Skills!O4</f>
        <v/>
      </c>
      <c r="G2259">
        <f>Skills!G4*IF(Skills!H4&gt;0,Skills!I4/Skills!H4,1)</f>
        <v/>
      </c>
      <c r="H2259">
        <f>1-(1-Skills!J4/100)^Skills!K4</f>
        <v/>
      </c>
      <c r="I2259" t="inlineStr">
        <is>
          <t>1</t>
        </is>
      </c>
      <c r="J2259">
        <f>((Inputs!$B$6*(1+Inputs!$B$7/100))+(((Inputs!$B$12*(1+Inputs!$B$13/100))-(Inputs!$B$12*(1+Inputs!$B$13/100)))+0.25*(Inputs!$B$14-Inputs!$B$14))*(1+Inputs!$B$7/100))*(F2259/100)</f>
        <v/>
      </c>
      <c r="K2259">
        <f>J2259*(1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2267=TRUE,F2267,0)/100)*(1+(IF(Skills!A4="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2259)</f>
        <v/>
      </c>
      <c r="L2259">
        <f>K2259*(MIN(Inputs!$B$22+((C2275=TRUE)*(F2275-Calc!F20)),(Inputs!$B$23+0+(IF(ArtifactsInput!$M$15,CHOOSE(ArtifactsInput!$N$15+1,25,30,35,40,45,50)/100*(Inputs!$B$11-Inputs!$B$11),0))))/100+(Inputs!$B$23+0+(IF(ArtifactsInput!$M$15,CHOOSE(ArtifactsInput!$N$15+1,25,30,35,40,45,50)/100*(Inputs!$B$11-Inputs!$B$11),0)))/100)/2</f>
        <v/>
      </c>
      <c r="M2259">
        <f>L2259*(1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59">
        <f>L2259*(1-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2259*(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59">
        <f>(1-Summary!$B$11)*T2259+Summary!$B$11*V2259</f>
        <v/>
      </c>
      <c r="P2259">
        <f>IF(B2291=0,0,O2259/B2291)</f>
        <v/>
      </c>
      <c r="Q2259" t="n">
        <v>0</v>
      </c>
      <c r="R2259" t="n">
        <v>0</v>
      </c>
      <c r="S2259">
        <f>IFERROR(O2259/N2259,0)</f>
        <v/>
      </c>
      <c r="T2259">
        <f>IF(C2259,(Skills!G4*H2259*N2259*B2285)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2259*(1-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2259*(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2259*(1-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2259*(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59">
        <f>290*U2258/1000</f>
        <v/>
      </c>
      <c r="V2259">
        <f>IF(C2259,(Skills!G4*H2259*N2259*B2285)*IF(Inputs!$B$38="pvp",1,(1+(Inputs!$B$21+Skills!Q4+(IF(ArtifactsInput!$M$33,CHOOSE(ArtifactsInput!$N$33+1,30,36,42,48,54,60),0))+(IF(AND(ArtifactsInput!$M$35,Inputs!$B$4&lt;&gt;"Chapter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0">
      <c r="A2260">
        <f>Skills!A5</f>
        <v/>
      </c>
      <c r="B2260">
        <f>Skills!B5</f>
        <v/>
      </c>
      <c r="C2260">
        <f>Inputs!$B$3&gt;=60</f>
        <v/>
      </c>
      <c r="D2260">
        <f>IF(Skills!C5=1,60+Inputs!$B$25+Inputs!$B$29,IF(Skills!C5=2,90+Inputs!$B$26+Inputs!$B$29,IF(Skills!C5=3,120+Inputs!$B$27+Inputs!$B$29,MAX(0,(Inputs!$B$3-100)*3)+Inputs!$B$28+Inputs!$B$29)))</f>
        <v/>
      </c>
      <c r="E2260">
        <f>INDEX(FactorTable!$B$2:$Y$301, MATCH(ROUND(MIN(300,MAX(1,D2260)),0), FactorTable!$A$2:$A$301,0), Skills!M5+1)</f>
        <v/>
      </c>
      <c r="F2260">
        <f>IF(Skills!N5=TRUE,(Skills!L5/10)*(E2260/1000),Skills!L5/10)+Skills!O5</f>
        <v/>
      </c>
      <c r="G2260">
        <f>Skills!G5*IF(Skills!H5&gt;0,Skills!I5/Skills!H5,1)</f>
        <v/>
      </c>
      <c r="H2260">
        <f>1-(1-Skills!J5/100)^Skills!K5</f>
        <v/>
      </c>
      <c r="I2260" t="inlineStr">
        <is>
          <t>1</t>
        </is>
      </c>
      <c r="J2260" t="inlineStr"/>
      <c r="K2260" t="inlineStr"/>
      <c r="L2260" t="inlineStr"/>
      <c r="M2260" t="inlineStr"/>
      <c r="N2260" t="inlineStr"/>
      <c r="O2260">
        <f>(1-Summary!$B$11)*T2260+Summary!$B$11*V2260</f>
        <v/>
      </c>
      <c r="P2260">
        <f>IF(B2291=0,0,O2260/B2291)</f>
        <v/>
      </c>
      <c r="Q2260" t="n">
        <v>0</v>
      </c>
      <c r="R2260" t="n">
        <v>0</v>
      </c>
      <c r="S2260">
        <f>IFERROR(O2260/N2260,0)</f>
        <v/>
      </c>
      <c r="T2260" t="n">
        <v>0</v>
      </c>
      <c r="V2260" t="n">
        <v>0</v>
      </c>
    </row>
    <row r="2261">
      <c r="A2261">
        <f>Skills!A6</f>
        <v/>
      </c>
      <c r="B2261">
        <f>Skills!B6</f>
        <v/>
      </c>
      <c r="C2261">
        <f>Inputs!$B$3&gt;=63</f>
        <v/>
      </c>
      <c r="D2261">
        <f>IF(Skills!C6=1,60+Inputs!$B$25+Inputs!$B$29,IF(Skills!C6=2,90+Inputs!$B$26+Inputs!$B$29,IF(Skills!C6=3,120+Inputs!$B$27+Inputs!$B$29,MAX(0,(Inputs!$B$3-100)*3)+Inputs!$B$28+Inputs!$B$29)))</f>
        <v/>
      </c>
      <c r="E2261">
        <f>INDEX(FactorTable!$B$2:$Y$301, MATCH(ROUND(MIN(300,MAX(1,D2261)),0), FactorTable!$A$2:$A$301,0), Skills!M6+1)</f>
        <v/>
      </c>
      <c r="F2261">
        <f>IF(Skills!N6=TRUE,(Skills!L6/10)*(E2261/1000),Skills!L6/10)+Skills!O6</f>
        <v/>
      </c>
      <c r="G2261">
        <f>Skills!G6*IF(Skills!H6&gt;0,Skills!I6/Skills!H6,1)</f>
        <v/>
      </c>
      <c r="H2261">
        <f>1-(1-Skills!J6/100)^Skills!K6</f>
        <v/>
      </c>
      <c r="I2261" t="inlineStr">
        <is>
          <t>1</t>
        </is>
      </c>
      <c r="J2261">
        <f>((Inputs!$B$6*(1+Inputs!$B$7/100))+(((Inputs!$B$12*(1+Inputs!$B$13/100))-(Inputs!$B$12*(1+Inputs!$B$13/100)))+0.25*(Inputs!$B$14-Inputs!$B$14))*(1+Inputs!$B$7/100))*(F2261/100)</f>
        <v/>
      </c>
      <c r="K2261">
        <f>J2261*(1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2267=TRUE,F2267,0)/100)*(1+(IF(Skills!A6="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2261)</f>
        <v/>
      </c>
      <c r="L2261">
        <f>K2261*(MIN(Inputs!$B$22+((C2275=TRUE)*(F2275-Calc!F20)),(Inputs!$B$23+0+(IF(ArtifactsInput!$M$15,CHOOSE(ArtifactsInput!$N$15+1,25,30,35,40,45,50)/100*(Inputs!$B$11-Inputs!$B$11),0))))/100+(Inputs!$B$23+0+(IF(ArtifactsInput!$M$15,CHOOSE(ArtifactsInput!$N$15+1,25,30,35,40,45,50)/100*(Inputs!$B$11-Inputs!$B$11),0)))/100)/2</f>
        <v/>
      </c>
      <c r="M2261">
        <f>L2261*(1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1">
        <f>L2261*(1-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1">
        <f>(1-Summary!$B$11)*T2261+Summary!$B$11*V2261</f>
        <v/>
      </c>
      <c r="P2261">
        <f>IF(B2291=0,0,O2261/B2291)</f>
        <v/>
      </c>
      <c r="Q2261">
        <f>IFERROR(1/(IF(Inputs!$B$38="pvp",15,MAX(0.1,Skills!D6-IF(Skills!E6=TRUE,Inputs!$B$32,0)))*(1-IF(AND(ArtifactsInput!$M$27,Inputs!$B$4="Chapter Hunt"),CHOOSE(ArtifactsInput!$N$27+1,20,24,28,32,36,40),0)/100)),0)</f>
        <v/>
      </c>
      <c r="R2261">
        <f>IF(AND(Inputs!$B$38&lt;&gt;"pvp",Inputs!$B$43&gt;0),IF(MAX(0,Inputs!$B$43-B2288)&lt;=0,0,(INT(MAX(0,Inputs!$B$43-B2288)/(IF(Inputs!$B$38="pvp",15,MAX(0.1,Skills!D6-IF(Skills!E6=TRUE,Inputs!$B$32,0)))*(1-IF(AND(ArtifactsInput!$M$27,Inputs!$B$4="Chapter Hunt"),CHOOSE(ArtifactsInput!$N$27+1,20,24,28,32,36,40),0)/100)))+1)),0)</f>
        <v/>
      </c>
      <c r="S2261">
        <f>IFERROR(O2261/N2261,0)</f>
        <v/>
      </c>
      <c r="T2261">
        <f>IF(C2261,(H2261*N2261*IF(AND(Inputs!$B$38&lt;&gt;"pvp",Inputs!$B$43&gt;0),((Skills!G6*((R2261-1)*IF(Skills!H6&gt;0,Skills!I6/Skills!H6,1)+IF(Skills!H6&gt;0,MIN(Skills!I6,MAX(0,MAX(0,Inputs!$B$43-B2288)-((R2261-1)*(IF(Inputs!$B$38="pvp",15,MAX(0.1,Skills!D6-IF(Skills!E6=TRUE,Inputs!$B$32,0)))*(1-IF(AND(ArtifactsInput!$M$27,Inputs!$B$4="Chapter Hunt"),CHOOSE(ArtifactsInput!$N$27+1,20,24,28,32,36,40),0)/100)))))/Skills!H6,1)))/Inputs!$B$43),G2261*Q2261)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2261*(1-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2261*(1-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1">
        <f>IF(C2261,(H2261*N2261*IF(AND(Inputs!$B$38&lt;&gt;"pvp",Inputs!$B$43&gt;0),((Skills!G6*((R2261-1)*IF(Skills!H6&gt;0,Skills!I6/Skills!H6,1)+IF(Skills!H6&gt;0,MIN(Skills!I6,MAX(0,MAX(0,Inputs!$B$43-B2288)-((R2261-1)*(IF(Inputs!$B$38="pvp",15,MAX(0.1,Skills!D6-IF(Skills!E6=TRUE,Inputs!$B$32,0)))*(1-IF(AND(ArtifactsInput!$M$27,Inputs!$B$4="Chapter Hunt"),CHOOSE(ArtifactsInput!$N$27+1,20,24,28,32,36,40),0)/100)))))/Skills!H6,1)))/Inputs!$B$43),G2261*Q2261))*IF(Inputs!$B$38="pvp",1,(1+(Inputs!$B$21+Skills!Q6+(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2">
      <c r="A2262">
        <f>Skills!A7</f>
        <v/>
      </c>
      <c r="B2262">
        <f>Skills!B7</f>
        <v/>
      </c>
      <c r="C2262">
        <f>Inputs!$B$3&gt;=100</f>
        <v/>
      </c>
      <c r="D2262">
        <f>IF(Skills!C7=1,60+Inputs!$B$25+Inputs!$B$29,IF(Skills!C7=2,90+Inputs!$B$26+Inputs!$B$29,IF(Skills!C7=3,120+Inputs!$B$27+Inputs!$B$29,MAX(0,(Inputs!$B$3-100)*3)+Inputs!$B$28+Inputs!$B$29)))</f>
        <v/>
      </c>
      <c r="E2262">
        <f>INDEX(FactorTable!$B$2:$Y$301, MATCH(ROUND(MIN(300,MAX(1,D2262)),0), FactorTable!$A$2:$A$301,0), Skills!M7+1)</f>
        <v/>
      </c>
      <c r="F2262">
        <f>IF(Skills!N7=TRUE,(Skills!L7/10)*(E2262/1000),Skills!L7/10)+Skills!O7</f>
        <v/>
      </c>
      <c r="G2262">
        <f>Skills!G7*IF(Skills!H7&gt;0,Skills!I7/Skills!H7,1)</f>
        <v/>
      </c>
      <c r="H2262">
        <f>1-(1-Skills!J7/100)^Skills!K7</f>
        <v/>
      </c>
      <c r="I2262" t="inlineStr">
        <is>
          <t>1</t>
        </is>
      </c>
      <c r="J2262">
        <f>((Inputs!$B$6*(1+Inputs!$B$7/100))+(((Inputs!$B$12*(1+Inputs!$B$13/100))-(Inputs!$B$12*(1+Inputs!$B$13/100)))+0.25*(Inputs!$B$14-Inputs!$B$14))*(1+Inputs!$B$7/100))*(F2262/100)</f>
        <v/>
      </c>
      <c r="K2262">
        <f>J2262*(1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2262)</f>
        <v/>
      </c>
      <c r="L2262">
        <f>K2262*(MIN(Inputs!$B$22+((C2275=TRUE)*(F2275-Calc!F20)),(Inputs!$B$23+0+(IF(ArtifactsInput!$M$15,CHOOSE(ArtifactsInput!$N$15+1,25,30,35,40,45,50)/100*(Inputs!$B$11-Inputs!$B$11),0))))/100+(Inputs!$B$23+0+(IF(ArtifactsInput!$M$15,CHOOSE(ArtifactsInput!$N$15+1,25,30,35,40,45,50)/100*(Inputs!$B$11-Inputs!$B$11),0)))/100)/2</f>
        <v/>
      </c>
      <c r="M2262">
        <f>L2262*(1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2">
        <f>L2262*(1-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2262*(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2">
        <f>(1-Summary!$B$11)*T2262+Summary!$B$11*V2262</f>
        <v/>
      </c>
      <c r="P2262">
        <f>IF(B2291=0,0,O2262/B2291)</f>
        <v/>
      </c>
      <c r="Q2262">
        <f>IFERROR(1/(IF(Inputs!$B$38="pvp",15,MAX(0.1,Skills!D7-IF(Skills!E7=TRUE,Inputs!$B$32,0)))*(1-IF(AND(ArtifactsInput!$M$27,Inputs!$B$4="Chapter Hunt"),CHOOSE(ArtifactsInput!$N$27+1,20,24,28,32,36,40),0)/100)),0)</f>
        <v/>
      </c>
      <c r="R2262">
        <f>IF(AND(Inputs!$B$38&lt;&gt;"pvp",Inputs!$B$43&gt;0),IF(MAX(0,Inputs!$B$43-B2288)&lt;=0,0,(INT(MAX(0,Inputs!$B$43-B2288)/(IF(Inputs!$B$38="pvp",15,MAX(0.1,Skills!D7-IF(Skills!E7=TRUE,Inputs!$B$32,0)))*(1-IF(AND(ArtifactsInput!$M$27,Inputs!$B$4="Chapter Hunt"),CHOOSE(ArtifactsInput!$N$27+1,20,24,28,32,36,40),0)/100)))+1)),0)</f>
        <v/>
      </c>
      <c r="S2262">
        <f>IFERROR(O2262/N2262,0)</f>
        <v/>
      </c>
      <c r="T2262">
        <f>IF(C2262,(H2262*N2262*IF(AND(Inputs!$B$38&lt;&gt;"pvp",Inputs!$B$43&gt;0),((Skills!G7*((R2262-1)*IF(Skills!H7&gt;0,Skills!I7/Skills!H7,1)+IF(Skills!H7&gt;0,MIN(Skills!I7,MAX(0,MAX(0,Inputs!$B$43-B2288)-((R2262-1)*(IF(Inputs!$B$38="pvp",15,MAX(0.1,Skills!D7-IF(Skills!E7=TRUE,Inputs!$B$32,0)))*(1-IF(AND(ArtifactsInput!$M$27,Inputs!$B$4="Chapter Hunt"),CHOOSE(ArtifactsInput!$N$27+1,20,24,28,32,36,40),0)/100)))))/Skills!H7,1)))/Inputs!$B$43),G2262*Q2262)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2262*(1-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2262*(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2262*(1-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2262*(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2">
        <f>IF(C2262,(H2262*N2262*IF(AND(Inputs!$B$38&lt;&gt;"pvp",Inputs!$B$43&gt;0),((Skills!G7*((R2262-1)*IF(Skills!H7&gt;0,Skills!I7/Skills!H7,1)+IF(Skills!H7&gt;0,MIN(Skills!I7,MAX(0,MAX(0,Inputs!$B$43-B2288)-((R2262-1)*(IF(Inputs!$B$38="pvp",15,MAX(0.1,Skills!D7-IF(Skills!E7=TRUE,Inputs!$B$32,0)))*(1-IF(AND(ArtifactsInput!$M$27,Inputs!$B$4="Chapter Hunt"),CHOOSE(ArtifactsInput!$N$27+1,20,24,28,32,36,40),0)/100)))))/Skills!H7,1)))/Inputs!$B$43),G2262*Q2262))*IF(Inputs!$B$38="pvp",1,(1+(Inputs!$B$21+Skills!Q7+(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3">
      <c r="A2263">
        <f>Skills!A8</f>
        <v/>
      </c>
      <c r="B2263">
        <f>Skills!B8</f>
        <v/>
      </c>
      <c r="C2263">
        <f>Inputs!$B$3&gt;=110</f>
        <v/>
      </c>
      <c r="D2263">
        <f>IF(Skills!C8=1,60+Inputs!$B$25+Inputs!$B$29,IF(Skills!C8=2,90+Inputs!$B$26+Inputs!$B$29,IF(Skills!C8=3,120+Inputs!$B$27+Inputs!$B$29,MAX(0,(Inputs!$B$3-100)*3)+Inputs!$B$28+Inputs!$B$29)))</f>
        <v/>
      </c>
      <c r="E2263">
        <f>INDEX(FactorTable!$B$2:$Y$301, MATCH(ROUND(MIN(300,MAX(1,D2263)),0), FactorTable!$A$2:$A$301,0), Skills!M8+1)</f>
        <v/>
      </c>
      <c r="F2263">
        <f>IF(Skills!N8=TRUE,(Skills!L8/10)*(E2263/1000),Skills!L8/10)+Skills!O8</f>
        <v/>
      </c>
      <c r="G2263">
        <f>Skills!G8*IF(Skills!H8&gt;0,Skills!I8/Skills!H8,1)</f>
        <v/>
      </c>
      <c r="H2263">
        <f>1-(1-Skills!J8/100)^Skills!K8</f>
        <v/>
      </c>
      <c r="I2263" t="inlineStr">
        <is>
          <t>1</t>
        </is>
      </c>
      <c r="J2263">
        <f>((Inputs!$B$6*(1+Inputs!$B$7/100))+(((Inputs!$B$12*(1+Inputs!$B$13/100))-(Inputs!$B$12*(1+Inputs!$B$13/100)))+0.25*(Inputs!$B$14-Inputs!$B$14))*(1+Inputs!$B$7/100))*(F2263/100)</f>
        <v/>
      </c>
      <c r="K2263">
        <f>J2263*(1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2263)</f>
        <v/>
      </c>
      <c r="L2263">
        <f>K2263*(MIN(Inputs!$B$22+((C2275=TRUE)*(F2275-Calc!F20)),(Inputs!$B$23+0+(IF(ArtifactsInput!$M$15,CHOOSE(ArtifactsInput!$N$15+1,25,30,35,40,45,50)/100*(Inputs!$B$11-Inputs!$B$11),0))))/100+(Inputs!$B$23+0+(IF(ArtifactsInput!$M$15,CHOOSE(ArtifactsInput!$N$15+1,25,30,35,40,45,50)/100*(Inputs!$B$11-Inputs!$B$11),0)))/100)/2</f>
        <v/>
      </c>
      <c r="M2263">
        <f>L2263*(1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3">
        <f>L2263*(1-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2263*(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3">
        <f>(1-Summary!$B$11)*T2263+Summary!$B$11*V2263</f>
        <v/>
      </c>
      <c r="P2263">
        <f>IF(B2291=0,0,O2263/B2291)</f>
        <v/>
      </c>
      <c r="Q2263">
        <f>IFERROR(1/(IF(Inputs!$B$38="pvp",15,MAX(0.1,Skills!D8-IF(Skills!E8=TRUE,Inputs!$B$32,0)))*(1-IF(AND(ArtifactsInput!$M$27,Inputs!$B$4="Chapter Hunt"),CHOOSE(ArtifactsInput!$N$27+1,20,24,28,32,36,40),0)/100)),0)</f>
        <v/>
      </c>
      <c r="R2263">
        <f>IF(AND(Inputs!$B$38&lt;&gt;"pvp",Inputs!$B$43&gt;0),IF(MAX(0,Inputs!$B$43-B2288)&lt;=0,0,(INT(MAX(0,Inputs!$B$43-B2288)/(IF(Inputs!$B$38="pvp",15,MAX(0.1,Skills!D8-IF(Skills!E8=TRUE,Inputs!$B$32,0)))*(1-IF(AND(ArtifactsInput!$M$27,Inputs!$B$4="Chapter Hunt"),CHOOSE(ArtifactsInput!$N$27+1,20,24,28,32,36,40),0)/100)))+1)),0)</f>
        <v/>
      </c>
      <c r="S2263">
        <f>IFERROR(O2263/N2263,0)</f>
        <v/>
      </c>
      <c r="T2263">
        <f>IF(C2263,(H2263*N2263*IF(AND(Inputs!$B$38&lt;&gt;"pvp",Inputs!$B$43&gt;0),((Skills!G8*((R2263-1)*IF(Skills!H8&gt;0,Skills!I8/Skills!H8,1)+IF(Skills!H8&gt;0,MIN(Skills!I8,MAX(0,MAX(0,Inputs!$B$43-B2288)-((R2263-1)*(IF(Inputs!$B$38="pvp",15,MAX(0.1,Skills!D8-IF(Skills!E8=TRUE,Inputs!$B$32,0)))*(1-IF(AND(ArtifactsInput!$M$27,Inputs!$B$4="Chapter Hunt"),CHOOSE(ArtifactsInput!$N$27+1,20,24,28,32,36,40),0)/100)))))/Skills!H8,1)))/Inputs!$B$43),G2263*Q2263)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2263*(1-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2263*(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2263*(1-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2263*(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3">
        <f>IF(C2263,(H2263*N2263*IF(AND(Inputs!$B$38&lt;&gt;"pvp",Inputs!$B$43&gt;0),((Skills!G8*((R2263-1)*IF(Skills!H8&gt;0,Skills!I8/Skills!H8,1)+IF(Skills!H8&gt;0,MIN(Skills!I8,MAX(0,MAX(0,Inputs!$B$43-B2288)-((R2263-1)*(IF(Inputs!$B$38="pvp",15,MAX(0.1,Skills!D8-IF(Skills!E8=TRUE,Inputs!$B$32,0)))*(1-IF(AND(ArtifactsInput!$M$27,Inputs!$B$4="Chapter Hunt"),CHOOSE(ArtifactsInput!$N$27+1,20,24,28,32,36,40),0)/100)))))/Skills!H8,1)))/Inputs!$B$43),G2263*Q2263))*IF(Inputs!$B$38="pvp",1,(1+(Inputs!$B$21+Skills!Q8+(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4">
      <c r="A2264">
        <f>Skills!A9</f>
        <v/>
      </c>
      <c r="B2264">
        <f>Skills!B9</f>
        <v/>
      </c>
      <c r="C2264">
        <f>Inputs!$B$3&gt;=110</f>
        <v/>
      </c>
      <c r="D2264">
        <f>IF(Skills!C9=1,60+Inputs!$B$25+Inputs!$B$29,IF(Skills!C9=2,90+Inputs!$B$26+Inputs!$B$29,IF(Skills!C9=3,120+Inputs!$B$27+Inputs!$B$29,MAX(0,(Inputs!$B$3-100)*3)+Inputs!$B$28+Inputs!$B$29)))</f>
        <v/>
      </c>
      <c r="E2264">
        <f>INDEX(FactorTable!$B$2:$Y$301, MATCH(ROUND(MIN(300,MAX(1,D2264)),0), FactorTable!$A$2:$A$301,0), Skills!M9+1)</f>
        <v/>
      </c>
      <c r="F2264">
        <f>IF(Skills!N9=TRUE,(Skills!L9/10)*(E2264/1000),Skills!L9/10)+Skills!O9</f>
        <v/>
      </c>
      <c r="G2264">
        <f>Skills!G9*IF(Skills!H9&gt;0,Skills!I9/Skills!H9,1)</f>
        <v/>
      </c>
      <c r="H2264">
        <f>1-(1-Skills!J9/100)^Skills!K9</f>
        <v/>
      </c>
      <c r="I2264" t="inlineStr">
        <is>
          <t>1</t>
        </is>
      </c>
      <c r="J2264">
        <f>((Inputs!$B$6*(1+Inputs!$B$7/100))+(((Inputs!$B$12*(1+Inputs!$B$13/100))-(Inputs!$B$12*(1+Inputs!$B$13/100)))+0.25*(Inputs!$B$14-Inputs!$B$14))*(1+Inputs!$B$7/100))*(F2264/100)</f>
        <v/>
      </c>
      <c r="K2264">
        <f>J2264*(1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2264)</f>
        <v/>
      </c>
      <c r="L2264">
        <f>K2264*(MIN(Inputs!$B$22+((C2275=TRUE)*(F2275-Calc!F20)),(Inputs!$B$23+0+(IF(ArtifactsInput!$M$15,CHOOSE(ArtifactsInput!$N$15+1,25,30,35,40,45,50)/100*(Inputs!$B$11-Inputs!$B$11),0))))/100+(Inputs!$B$23+0+(IF(ArtifactsInput!$M$15,CHOOSE(ArtifactsInput!$N$15+1,25,30,35,40,45,50)/100*(Inputs!$B$11-Inputs!$B$11),0)))/100)/2</f>
        <v/>
      </c>
      <c r="M2264">
        <f>L2264*(1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4">
        <f>L2264*(1-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2264*(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4">
        <f>(1-Summary!$B$11)*T2264+Summary!$B$11*V2264</f>
        <v/>
      </c>
      <c r="P2264">
        <f>IF(B2291=0,0,O2264/B2291)</f>
        <v/>
      </c>
      <c r="Q2264">
        <f>IFERROR(1/(IF(Inputs!$B$38="pvp",15,MAX(0.1,Skills!D9-IF(Skills!E9=TRUE,Inputs!$B$32,0)))*(1-IF(AND(ArtifactsInput!$M$27,Inputs!$B$4="Chapter Hunt"),CHOOSE(ArtifactsInput!$N$27+1,20,24,28,32,36,40),0)/100)),0)</f>
        <v/>
      </c>
      <c r="R2264">
        <f>IF(AND(Inputs!$B$38&lt;&gt;"pvp",Inputs!$B$43&gt;0),IF(MAX(0,Inputs!$B$43-B2288)&lt;=0,0,(INT(MAX(0,Inputs!$B$43-B2288)/(IF(Inputs!$B$38="pvp",15,MAX(0.1,Skills!D9-IF(Skills!E9=TRUE,Inputs!$B$32,0)))*(1-IF(AND(ArtifactsInput!$M$27,Inputs!$B$4="Chapter Hunt"),CHOOSE(ArtifactsInput!$N$27+1,20,24,28,32,36,40),0)/100)))+1)),0)</f>
        <v/>
      </c>
      <c r="S2264">
        <f>IFERROR(O2264/N2264,0)</f>
        <v/>
      </c>
      <c r="T2264">
        <f>IF(C2264,(H2264*N2264*IF(AND(Inputs!$B$38&lt;&gt;"pvp",Inputs!$B$43&gt;0),((Skills!G9*((R2264-1)*IF(Skills!H9&gt;0,Skills!I9/Skills!H9,1)+IF(Skills!H9&gt;0,MIN(Skills!I9,MAX(0,MAX(0,Inputs!$B$43-B2288)-((R2264-1)*(IF(Inputs!$B$38="pvp",15,MAX(0.1,Skills!D9-IF(Skills!E9=TRUE,Inputs!$B$32,0)))*(1-IF(AND(ArtifactsInput!$M$27,Inputs!$B$4="Chapter Hunt"),CHOOSE(ArtifactsInput!$N$27+1,20,24,28,32,36,40),0)/100)))))/Skills!H9,1)))/Inputs!$B$43),G2264*Q2264)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2264*(1-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2264*(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2264*(1-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2264*(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4">
        <f>IF(C2264,(H2264*N2264*IF(AND(Inputs!$B$38&lt;&gt;"pvp",Inputs!$B$43&gt;0),((Skills!G9*((R2264-1)*IF(Skills!H9&gt;0,Skills!I9/Skills!H9,1)+IF(Skills!H9&gt;0,MIN(Skills!I9,MAX(0,MAX(0,Inputs!$B$43-B2288)-((R2264-1)*(IF(Inputs!$B$38="pvp",15,MAX(0.1,Skills!D9-IF(Skills!E9=TRUE,Inputs!$B$32,0)))*(1-IF(AND(ArtifactsInput!$M$27,Inputs!$B$4="Chapter Hunt"),CHOOSE(ArtifactsInput!$N$27+1,20,24,28,32,36,40),0)/100)))))/Skills!H9,1)))/Inputs!$B$43),G2264*Q2264))*IF(Inputs!$B$38="pvp",1,(1+(Inputs!$B$21+Skills!Q9+(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5">
      <c r="A2265">
        <f>Skills!A10</f>
        <v/>
      </c>
      <c r="B2265">
        <f>Skills!B10</f>
        <v/>
      </c>
      <c r="C2265">
        <f>Inputs!$B$3&gt;=103</f>
        <v/>
      </c>
      <c r="D2265">
        <f>IF(Skills!C10=1,60+Inputs!$B$25+Inputs!$B$29,IF(Skills!C10=2,90+Inputs!$B$26+Inputs!$B$29,IF(Skills!C10=3,120+Inputs!$B$27+Inputs!$B$29,MAX(0,(Inputs!$B$3-100)*3)+Inputs!$B$28+Inputs!$B$29)))</f>
        <v/>
      </c>
      <c r="E2265">
        <f>INDEX(FactorTable!$B$2:$Y$301, MATCH(ROUND(MIN(300,MAX(1,D2265)),0), FactorTable!$A$2:$A$301,0), Skills!M10+1)</f>
        <v/>
      </c>
      <c r="F2265">
        <f>IF(Skills!N10=TRUE,(Skills!L10/10)*(E2265/1000),Skills!L10/10)+Skills!O10</f>
        <v/>
      </c>
      <c r="G2265">
        <f>Skills!G10*IF(Skills!H10&gt;0,Skills!I10/Skills!H10,1)</f>
        <v/>
      </c>
      <c r="H2265">
        <f>1-(1-Skills!J10/100)^Skills!K10</f>
        <v/>
      </c>
      <c r="I2265" t="inlineStr">
        <is>
          <t>1</t>
        </is>
      </c>
      <c r="J2265">
        <f>((Inputs!$B$6*(1+Inputs!$B$7/100))+(((Inputs!$B$12*(1+Inputs!$B$13/100))-(Inputs!$B$12*(1+Inputs!$B$13/100)))+0.25*(Inputs!$B$14-Inputs!$B$14))*(1+Inputs!$B$7/100))*(F2265/100)</f>
        <v/>
      </c>
      <c r="K2265">
        <f>J2265*(1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2265)</f>
        <v/>
      </c>
      <c r="L2265">
        <f>K2265*(MIN(Inputs!$B$22+((C2275=TRUE)*(F2275-Calc!F20)),(Inputs!$B$23+0+(IF(ArtifactsInput!$M$15,CHOOSE(ArtifactsInput!$N$15+1,25,30,35,40,45,50)/100*(Inputs!$B$11-Inputs!$B$11),0))))/100+(Inputs!$B$23+0+(IF(ArtifactsInput!$M$15,CHOOSE(ArtifactsInput!$N$15+1,25,30,35,40,45,50)/100*(Inputs!$B$11-Inputs!$B$11),0)))/100)/2</f>
        <v/>
      </c>
      <c r="M2265">
        <f>L2265*(1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5">
        <f>L2265*(1-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2265*(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5">
        <f>(1-Summary!$B$11)*T2265+Summary!$B$11*V2265</f>
        <v/>
      </c>
      <c r="P2265">
        <f>IF(B2291=0,0,O2265/B2291)</f>
        <v/>
      </c>
      <c r="Q2265">
        <f>IFERROR(1/(IF(Inputs!$B$38="pvp",15,MAX(0.1,Skills!D10-IF(Skills!E10=TRUE,Inputs!$B$32,0)))*(1-IF(AND(ArtifactsInput!$M$27,Inputs!$B$4="Chapter Hunt"),CHOOSE(ArtifactsInput!$N$27+1,20,24,28,32,36,40),0)/100)),0)</f>
        <v/>
      </c>
      <c r="R2265">
        <f>IF(AND(Inputs!$B$38&lt;&gt;"pvp",Inputs!$B$43&gt;0),IF(MAX(0,Inputs!$B$43-B2288)&lt;=0,0,(INT(MAX(0,Inputs!$B$43-B2288)/(IF(Inputs!$B$38="pvp",15,MAX(0.1,Skills!D10-IF(Skills!E10=TRUE,Inputs!$B$32,0)))*(1-IF(AND(ArtifactsInput!$M$27,Inputs!$B$4="Chapter Hunt"),CHOOSE(ArtifactsInput!$N$27+1,20,24,28,32,36,40),0)/100)))+1)),0)</f>
        <v/>
      </c>
      <c r="S2265">
        <f>IFERROR(O2265/N2265,0)</f>
        <v/>
      </c>
      <c r="T2265">
        <f>IF(C2265,(H2265*N2265*IF(AND(Inputs!$B$38&lt;&gt;"pvp",Inputs!$B$43&gt;0),((Skills!G10*((R2265-1)*IF(Skills!H10&gt;0,Skills!I10/Skills!H10,1)+IF(Skills!H10&gt;0,MIN(Skills!I10,MAX(0,MAX(0,Inputs!$B$43-B2288)-((R2265-1)*(IF(Inputs!$B$38="pvp",15,MAX(0.1,Skills!D10-IF(Skills!E10=TRUE,Inputs!$B$32,0)))*(1-IF(AND(ArtifactsInput!$M$27,Inputs!$B$4="Chapter Hunt"),CHOOSE(ArtifactsInput!$N$27+1,20,24,28,32,36,40),0)/100)))))/Skills!H10,1)))/Inputs!$B$43),G2265*Q2265)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2265*(1-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2265*(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2265*(1-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2265*(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5">
        <f>IF(C2265,(H2265*N2265*IF(AND(Inputs!$B$38&lt;&gt;"pvp",Inputs!$B$43&gt;0),((Skills!G10*((R2265-1)*IF(Skills!H10&gt;0,Skills!I10/Skills!H10,1)+IF(Skills!H10&gt;0,MIN(Skills!I10,MAX(0,MAX(0,Inputs!$B$43-B2288)-((R2265-1)*(IF(Inputs!$B$38="pvp",15,MAX(0.1,Skills!D10-IF(Skills!E10=TRUE,Inputs!$B$32,0)))*(1-IF(AND(ArtifactsInput!$M$27,Inputs!$B$4="Chapter Hunt"),CHOOSE(ArtifactsInput!$N$27+1,20,24,28,32,36,40),0)/100)))))/Skills!H10,1)))/Inputs!$B$43),G2265*Q2265))*IF(Inputs!$B$38="pvp",1,(1+(Inputs!$B$21+Skills!Q10+(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6">
      <c r="A2266">
        <f>Skills!A11</f>
        <v/>
      </c>
      <c r="B2266">
        <f>Skills!B11</f>
        <v/>
      </c>
      <c r="C2266">
        <f>Inputs!$B$3&gt;=113</f>
        <v/>
      </c>
      <c r="D2266">
        <f>IF(Skills!C11=1,60+Inputs!$B$25+Inputs!$B$29,IF(Skills!C11=2,90+Inputs!$B$26+Inputs!$B$29,IF(Skills!C11=3,120+Inputs!$B$27+Inputs!$B$29,MAX(0,(Inputs!$B$3-100)*3)+Inputs!$B$28+Inputs!$B$29)))</f>
        <v/>
      </c>
      <c r="E2266">
        <f>INDEX(FactorTable!$B$2:$Y$301, MATCH(ROUND(MIN(300,MAX(1,D2266)),0), FactorTable!$A$2:$A$301,0), Skills!M11+1)</f>
        <v/>
      </c>
      <c r="F2266">
        <f>IF(Skills!N11=TRUE,(Skills!L11/10)*(E2266/1000),Skills!L11/10)+Skills!O11</f>
        <v/>
      </c>
      <c r="G2266">
        <f>Skills!G11*IF(Skills!H11&gt;0,Skills!I11/Skills!H11,1)</f>
        <v/>
      </c>
      <c r="H2266">
        <f>1-(1-Skills!J11/100)^Skills!K11</f>
        <v/>
      </c>
      <c r="I2266" t="inlineStr">
        <is>
          <t>1</t>
        </is>
      </c>
      <c r="J2266">
        <f>((Inputs!$B$6*(1+Inputs!$B$7/100))+(((Inputs!$B$12*(1+Inputs!$B$13/100))-(Inputs!$B$12*(1+Inputs!$B$13/100)))+0.25*(Inputs!$B$14-Inputs!$B$14))*(1+Inputs!$B$7/100))*(F2266/100)</f>
        <v/>
      </c>
      <c r="K2266">
        <f>J2266*(1+((Inputs!$B$12*(1+Inputs!$B$13/100))*0.01+Inputs!$B$14*0.0025)/100)*(1+Inputs!$B$15/100)*(1+Inputs!$B$16/100)*(5000/(6000+Inputs!$B$42*(1-(100*(1-(1-(Inputs!$B$19+0)/100)*(1-CHOOSE(ArtifactsInput!$N$40+1,5,6,7,8,9,10)/100)^(ArtifactsInput!$M$40-ArtifactsInput!$M$40)))/100)))*(1+(Inputs!$B$24+((C2277=TRUE)*(F2277-Calc!F22))+B2287)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2276=TRUE)*(F2276-Calc!F21))+(((IF(AND(ArtifactsInput!$M$42,((Inputs!$B$9+((C2271=TRUE)*(F2271-Calc!F16))+B2281+(ArtifactsInput!$M$24-ArtifactsInput!$M$24)*CHOOSE(ArtifactsInput!$N$24+1,10,12,14,16,18,20)+IF(ArtifactsInput!$M$10,CHOOSE(ArtifactsInput!$N$10+1,15,18,21,24,27,30)*(IF(Inputs!$B$38="pvp",MIN(15,15)/15,IF(AND(Inputs!$B$38&lt;&gt;"pvp",Inputs!$B$43&gt;0),MIN(15,Inputs!$B$43)/(Inputs!$B$43),0))),0)))&gt;=100),MIN(100,((Inputs!$B$9+((C2271=TRUE)*(F2271-Calc!F16))+B2281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2271=TRUE)*(F2271-Calc!F16))+B2281+(ArtifactsInput!$M$24-ArtifactsInput!$M$24)*CHOOSE(ArtifactsInput!$N$24+1,10,12,14,16,18,20)+IF(ArtifactsInput!$M$10,CHOOSE(ArtifactsInput!$N$10+1,15,18,21,24,27,30)*(IF(Inputs!$B$38="pvp",MIN(15,15)/15,IF(AND(Inputs!$B$38&lt;&gt;"pvp",Inputs!$B$43&gt;0),MIN(15,Inputs!$B$43)/(Inputs!$B$43),0))),0)))&gt;=100),CHOOSE(ArtifactsInput!$N$42+1,40,48,56,64,72,80),0))))/100)*((1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2266)</f>
        <v/>
      </c>
      <c r="L2266">
        <f>K2266*(MIN(Inputs!$B$22+((C2275=TRUE)*(F2275-Calc!F20)),(Inputs!$B$23+0+(IF(ArtifactsInput!$M$15,CHOOSE(ArtifactsInput!$N$15+1,25,30,35,40,45,50)/100*(Inputs!$B$11-Inputs!$B$11),0))))/100+(Inputs!$B$23+0+(IF(ArtifactsInput!$M$15,CHOOSE(ArtifactsInput!$N$15+1,25,30,35,40,45,50)/100*(Inputs!$B$11-Inputs!$B$11),0)))/100)/2</f>
        <v/>
      </c>
      <c r="M2266">
        <f>L2266*(1+(Inputs!$B$10+0+B2286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66">
        <f>L2266*(1-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2266*(MIN((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66">
        <f>(1-Summary!$B$11)*T2266+Summary!$B$11*V2266</f>
        <v/>
      </c>
      <c r="P2266">
        <f>IF(B2291=0,0,O2266/B2291)</f>
        <v/>
      </c>
      <c r="Q2266">
        <f>IFERROR(1/(IF(Inputs!$B$38="pvp",15,MAX(0.1,Skills!D11-IF(Skills!E11=TRUE,Inputs!$B$32,0)))*(1-IF(AND(ArtifactsInput!$M$27,Inputs!$B$4="Chapter Hunt"),CHOOSE(ArtifactsInput!$N$27+1,20,24,28,32,36,40),0)/100)),0)</f>
        <v/>
      </c>
      <c r="R2266">
        <f>IF(AND(Inputs!$B$38&lt;&gt;"pvp",Inputs!$B$43&gt;0),IF(MAX(0,Inputs!$B$43-B2288)&lt;=0,0,(INT(MAX(0,Inputs!$B$43-B2288)/(IF(Inputs!$B$38="pvp",15,MAX(0.1,Skills!D11-IF(Skills!E11=TRUE,Inputs!$B$32,0)))*(1-IF(AND(ArtifactsInput!$M$27,Inputs!$B$4="Chapter Hunt"),CHOOSE(ArtifactsInput!$N$27+1,20,24,28,32,36,40),0)/100)))+1)),0)</f>
        <v/>
      </c>
      <c r="S2266">
        <f>IFERROR(O2266/N2266,0)</f>
        <v/>
      </c>
      <c r="T2266">
        <f>IF(C2266,(H2266*N2266*IF(AND(Inputs!$B$38&lt;&gt;"pvp",Inputs!$B$43&gt;0),((Skills!G11*((R2266-1)*IF(Skills!H11&gt;0,Skills!I11/Skills!H11,1)+IF(Skills!H11&gt;0,MIN(Skills!I11,MAX(0,MAX(0,Inputs!$B$43-B2288)-((R2266-1)*(IF(Inputs!$B$38="pvp",15,MAX(0.1,Skills!D11-IF(Skills!E11=TRUE,Inputs!$B$32,0)))*(1-IF(AND(ArtifactsInput!$M$27,Inputs!$B$4="Chapter Hunt"),CHOOSE(ArtifactsInput!$N$27+1,20,24,28,32,36,40),0)/100)))))/Skills!H11,1)))/Inputs!$B$43),G2266*Q2266)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2266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2266*(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2266*(1-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2266*(MIN(100,(Inputs!$B$9+((C2271=TRUE)*(F2271-Calc!F16))+B2281+(ArtifactsInput!$M$24-ArtifactsInput!$M$24)*CHOOSE(ArtifactsInput!$N$24+1,10,12,14,16,18,20)+(IF(AND(ArtifactsInput!$M$42,((Inputs!$B$9+((C2271=TRUE)*(F2271-Calc!F16))+B2281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66">
        <f>IF(C2266,(H2266*N2266*IF(AND(Inputs!$B$38&lt;&gt;"pvp",Inputs!$B$43&gt;0),((Skills!G11*((R2266-1)*IF(Skills!H11&gt;0,Skills!I11/Skills!H11,1)+IF(Skills!H11&gt;0,MIN(Skills!I11,MAX(0,MAX(0,Inputs!$B$43-B2288)-((R2266-1)*(IF(Inputs!$B$38="pvp",15,MAX(0.1,Skills!D11-IF(Skills!E11=TRUE,Inputs!$B$32,0)))*(1-IF(AND(ArtifactsInput!$M$27,Inputs!$B$4="Chapter Hunt"),CHOOSE(ArtifactsInput!$N$27+1,20,24,28,32,36,40),0)/100)))))/Skills!H11,1)))/Inputs!$B$43),G2266*Q2266))*IF(Inputs!$B$38="pvp",1,(1+(Inputs!$B$21+Skills!Q11+(IF(ArtifactsInput!$M$33,CHOOSE(ArtifactsInput!$N$33+1,30,36,42,48,54,60),0))+(IF(AND(ArtifactsInput!$M$35,Inputs!$B$4&lt;&gt;"Chapter Hunt"),CHOOSE(ArtifactsInput!$N$35+1,15,18,21,24,27,30)*(1-EXP(-(0.2*B2283)*5)),0)+IF(AND(ArtifactsInput!$M$22,Inputs!$B$4&lt;&gt;"Chapter Hunt"),CHOOSE(ArtifactsInput!$N$22+1,10,12,14,16,18,20)*((0*(((0.15*B2283*5))^0/1)+1*(((0.15*B2283*5))^1/1)+2*(((0.15*B2283*5))^2/2)+3*(((0.15*B2283*5))^3/6)+4*(((0.15*B2283*5))^4/24)+5*(((0.15*B2283*5))^5/120))/((((0.15*B2283*5))^0/1)+(((0.15*B2283*5))^1/1)+(((0.15*B2283*5))^2/2)+(((0.15*B2283*5))^3/6)+(((0.15*B2283*5))^4/24)+(((0.15*B2283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67">
      <c r="A2267">
        <f>Skills!A12</f>
        <v/>
      </c>
      <c r="B2267">
        <f>Skills!B12</f>
        <v/>
      </c>
      <c r="C2267">
        <f>Inputs!$B$3&gt;=100</f>
        <v/>
      </c>
      <c r="D2267">
        <f>IF(Skills!C12=1,60+Inputs!$B$25+Inputs!$B$29,IF(Skills!C12=2,90+Inputs!$B$26+Inputs!$B$29,IF(Skills!C12=3,120+Inputs!$B$27+Inputs!$B$29,MAX(0,(Inputs!$B$3-100)*3)+Inputs!$B$28+Inputs!$B$29)))</f>
        <v/>
      </c>
      <c r="E2267">
        <f>INDEX(FactorTable!$B$2:$Y$301, MATCH(ROUND(MIN(300,MAX(1,D2267)),0), FactorTable!$A$2:$A$301,0), Skills!M12+1)</f>
        <v/>
      </c>
      <c r="F2267">
        <f>IF(Skills!N12=TRUE,(Skills!L12/10)*(E2267/1000),Skills!L12/10)+Skills!O12</f>
        <v/>
      </c>
      <c r="G2267" t="inlineStr"/>
      <c r="H2267" t="inlineStr"/>
      <c r="I2267" t="inlineStr">
        <is>
          <t>1</t>
        </is>
      </c>
      <c r="J2267" t="inlineStr"/>
      <c r="K2267" t="inlineStr"/>
      <c r="L2267" t="inlineStr"/>
      <c r="M2267" t="inlineStr"/>
      <c r="N2267" t="inlineStr"/>
      <c r="O2267" t="inlineStr"/>
      <c r="P2267" t="inlineStr"/>
      <c r="Q2267" t="inlineStr"/>
      <c r="R2267" t="inlineStr"/>
      <c r="S2267" t="inlineStr"/>
      <c r="T2267" t="inlineStr"/>
      <c r="V2267" t="inlineStr"/>
    </row>
    <row r="2268">
      <c r="A2268">
        <f>Skills!A13</f>
        <v/>
      </c>
      <c r="B2268">
        <f>Skills!B13</f>
        <v/>
      </c>
      <c r="C2268">
        <f>Inputs!$B$3&gt;=66</f>
        <v/>
      </c>
      <c r="D2268">
        <f>IF(Skills!C13=1,60+Inputs!$B$25+Inputs!$B$29,IF(Skills!C13=2,90+Inputs!$B$26+Inputs!$B$29,IF(Skills!C13=3,120+Inputs!$B$27+Inputs!$B$29,MAX(0,(Inputs!$B$3-100)*3)+Inputs!$B$28+Inputs!$B$29)))</f>
        <v/>
      </c>
      <c r="E2268">
        <f>INDEX(FactorTable!$B$2:$Y$301, MATCH(ROUND(MIN(300,MAX(1,D2268)),0), FactorTable!$A$2:$A$301,0), Skills!M13+1)</f>
        <v/>
      </c>
      <c r="F2268">
        <f>IF(Skills!N13=TRUE,(Skills!L13/10)*(E2268/1000),Skills!L13/10)+Skills!O13</f>
        <v/>
      </c>
      <c r="G2268">
        <f>Skills!G13*IF(Skills!H13&gt;0,Skills!I13/Skills!H13,1)</f>
        <v/>
      </c>
      <c r="H2268">
        <f>1-(1-Skills!J13/100)^Skills!K13</f>
        <v/>
      </c>
      <c r="I2268" t="inlineStr">
        <is>
          <t>1</t>
        </is>
      </c>
      <c r="J2268" t="inlineStr"/>
      <c r="K2268" t="inlineStr"/>
      <c r="L2268" t="inlineStr"/>
      <c r="M2268" t="inlineStr"/>
      <c r="N2268" t="inlineStr"/>
      <c r="O2268">
        <f>(1-Summary!$B$11)*T2268+Summary!$B$11*V2268</f>
        <v/>
      </c>
      <c r="P2268">
        <f>IF(B2291=0,0,O2268/B2291)</f>
        <v/>
      </c>
      <c r="Q2268" t="n">
        <v>0</v>
      </c>
      <c r="R2268" t="n">
        <v>0</v>
      </c>
      <c r="S2268">
        <f>IFERROR(O2268/N2268,0)</f>
        <v/>
      </c>
      <c r="T2268" t="n">
        <v>0</v>
      </c>
      <c r="V2268" t="n">
        <v>0</v>
      </c>
    </row>
    <row r="2269">
      <c r="A2269">
        <f>Skills!A14</f>
        <v/>
      </c>
      <c r="B2269">
        <f>Skills!B14</f>
        <v/>
      </c>
      <c r="C2269">
        <f>Inputs!$B$3&gt;=107</f>
        <v/>
      </c>
      <c r="D2269">
        <f>IF(Skills!C14=1,60+Inputs!$B$25+Inputs!$B$29,IF(Skills!C14=2,90+Inputs!$B$26+Inputs!$B$29,IF(Skills!C14=3,120+Inputs!$B$27+Inputs!$B$29,MAX(0,(Inputs!$B$3-100)*3)+Inputs!$B$28+Inputs!$B$29)))</f>
        <v/>
      </c>
      <c r="E2269">
        <f>INDEX(FactorTable!$B$2:$Y$301, MATCH(ROUND(MIN(300,MAX(1,D2269)),0), FactorTable!$A$2:$A$301,0), Skills!M14+1)</f>
        <v/>
      </c>
      <c r="F2269">
        <f>IF(Skills!N14=TRUE,(Skills!L14/10)*(E2269/1000),Skills!L14/10)+Skills!O14</f>
        <v/>
      </c>
      <c r="G2269">
        <f>Skills!G14*IF(Skills!H14&gt;0,Skills!I14/Skills!H14,1)</f>
        <v/>
      </c>
      <c r="H2269">
        <f>1-(1-Skills!J14/100)^Skills!K14</f>
        <v/>
      </c>
      <c r="I2269" t="inlineStr">
        <is>
          <t>1</t>
        </is>
      </c>
      <c r="J2269" t="inlineStr"/>
      <c r="K2269" t="inlineStr"/>
      <c r="L2269" t="inlineStr"/>
      <c r="M2269" t="inlineStr"/>
      <c r="N2269" t="inlineStr"/>
      <c r="O2269">
        <f>(1-Summary!$B$11)*T2269+Summary!$B$11*V2269</f>
        <v/>
      </c>
      <c r="P2269">
        <f>IF(B2291=0,0,O2269/B2291)</f>
        <v/>
      </c>
      <c r="Q2269">
        <f>IFERROR(1/(IF(Inputs!$B$38="pvp",15,MAX(0.1,Skills!D14-IF(Skills!E14=TRUE,Inputs!$B$32,0)))*(1-IF(AND(ArtifactsInput!$M$27,Inputs!$B$4="Chapter Hunt"),CHOOSE(ArtifactsInput!$N$27+1,20,24,28,32,36,40),0)/100)),0)</f>
        <v/>
      </c>
      <c r="R2269">
        <f>IF(AND(Inputs!$B$38&lt;&gt;"pvp",Inputs!$B$43&gt;0),IF(Inputs!$B$43&lt;=0,0,(INT(Inputs!$B$43/(IF(Inputs!$B$38="pvp",15,MAX(0.1,Skills!D14-IF(Skills!E14=TRUE,Inputs!$B$32,0)))*(1-IF(AND(ArtifactsInput!$M$27,Inputs!$B$4="Chapter Hunt"),CHOOSE(ArtifactsInput!$N$27+1,20,24,28,32,36,40),0)/100)))+1)),0)</f>
        <v/>
      </c>
      <c r="S2269">
        <f>IFERROR(O2269/N2269,0)</f>
        <v/>
      </c>
      <c r="T2269" t="n">
        <v>0</v>
      </c>
      <c r="V2269" t="n">
        <v>0</v>
      </c>
    </row>
    <row r="2270">
      <c r="A2270">
        <f>Skills!A15</f>
        <v/>
      </c>
      <c r="B2270">
        <f>Skills!B15</f>
        <v/>
      </c>
      <c r="C2270">
        <f>Inputs!$B$3&gt;=115</f>
        <v/>
      </c>
      <c r="D2270">
        <f>IF(Skills!C15=1,60+Inputs!$B$25+Inputs!$B$29,IF(Skills!C15=2,90+Inputs!$B$26+Inputs!$B$29,IF(Skills!C15=3,120+Inputs!$B$27+Inputs!$B$29,MAX(0,(Inputs!$B$3-100)*3)+Inputs!$B$28+Inputs!$B$29)))</f>
        <v/>
      </c>
      <c r="E2270">
        <f>INDEX(FactorTable!$B$2:$Y$301, MATCH(ROUND(MIN(300,MAX(1,D2270)),0), FactorTable!$A$2:$A$301,0), Skills!M15+1)</f>
        <v/>
      </c>
      <c r="F2270">
        <f>IF(Skills!N15=TRUE,(Skills!L15/10)*(E2270/1000),Skills!L15/10)+Skills!O15</f>
        <v/>
      </c>
      <c r="G2270">
        <f>Skills!G15*IF(Skills!H15&gt;0,Skills!I15/Skills!H15,1)</f>
        <v/>
      </c>
      <c r="H2270">
        <f>1-(1-Skills!J15/100)^Skills!K15</f>
        <v/>
      </c>
      <c r="I2270" t="inlineStr">
        <is>
          <t>1</t>
        </is>
      </c>
      <c r="J2270" t="inlineStr"/>
      <c r="K2270" t="inlineStr"/>
      <c r="L2270" t="inlineStr"/>
      <c r="M2270" t="inlineStr"/>
      <c r="N2270" t="inlineStr"/>
      <c r="O2270">
        <f>(1-Summary!$B$11)*T2270+Summary!$B$11*V2270</f>
        <v/>
      </c>
      <c r="P2270">
        <f>IF(B2291=0,0,O2270/B2291)</f>
        <v/>
      </c>
      <c r="Q2270">
        <f>IFERROR(1/(IF(Inputs!$B$38="pvp",15,MAX(0.1,Skills!D15-IF(Skills!E15=TRUE,Inputs!$B$32,0)))*(1-IF(AND(ArtifactsInput!$M$27,Inputs!$B$4="Chapter Hunt"),CHOOSE(ArtifactsInput!$N$27+1,20,24,28,32,36,40),0)/100)),0)</f>
        <v/>
      </c>
      <c r="R2270">
        <f>IF(AND(Inputs!$B$38&lt;&gt;"pvp",Inputs!$B$43&gt;0),IF(Inputs!$B$43&lt;=0,0,(INT(Inputs!$B$43/(IF(Inputs!$B$38="pvp",15,MAX(0.1,Skills!D15-IF(Skills!E15=TRUE,Inputs!$B$32,0)))*(1-IF(AND(ArtifactsInput!$M$27,Inputs!$B$4="Chapter Hunt"),CHOOSE(ArtifactsInput!$N$27+1,20,24,28,32,36,40),0)/100)))+1)),0)</f>
        <v/>
      </c>
      <c r="S2270">
        <f>IFERROR(O2270/N2270,0)</f>
        <v/>
      </c>
      <c r="T2270" t="n">
        <v>0</v>
      </c>
      <c r="V2270" t="n">
        <v>0</v>
      </c>
    </row>
    <row r="2271">
      <c r="A2271">
        <f>Skills!A16</f>
        <v/>
      </c>
      <c r="B2271">
        <f>Skills!B16</f>
        <v/>
      </c>
      <c r="C2271">
        <f>Inputs!$B$3&gt;=15</f>
        <v/>
      </c>
      <c r="D2271">
        <f>IF(Skills!C16=1,60+Inputs!$B$25+Inputs!$B$29,IF(Skills!C16=2,90+Inputs!$B$26+Inputs!$B$29,IF(Skills!C16=3,120+Inputs!$B$27+Inputs!$B$29,MAX(0,(Inputs!$B$3-100)*3)+Inputs!$B$28+Inputs!$B$29)))</f>
        <v/>
      </c>
      <c r="E2271">
        <f>INDEX(FactorTable!$B$2:$Y$301, MATCH(ROUND(MIN(300,MAX(1,D2271)),0), FactorTable!$A$2:$A$301,0), Skills!M16+1)</f>
        <v/>
      </c>
      <c r="F2271">
        <f>IF(Skills!N16=TRUE,(Skills!L16/10)*(E2271/1000),Skills!L16/10)+Skills!O16</f>
        <v/>
      </c>
      <c r="G2271">
        <f>Skills!G16*IF(Skills!H16&gt;0,Skills!I16/Skills!H16,1)</f>
        <v/>
      </c>
      <c r="H2271">
        <f>1-(1-Skills!J16/100)^Skills!K16</f>
        <v/>
      </c>
      <c r="I2271" t="inlineStr">
        <is>
          <t>1</t>
        </is>
      </c>
      <c r="J2271" t="inlineStr"/>
      <c r="K2271" t="inlineStr"/>
      <c r="L2271" t="inlineStr"/>
      <c r="M2271" t="inlineStr"/>
      <c r="N2271" t="inlineStr"/>
      <c r="O2271">
        <f>(1-Summary!$B$11)*T2271+Summary!$B$11*V2271</f>
        <v/>
      </c>
      <c r="P2271">
        <f>IF(B2291=0,0,O2271/B2291)</f>
        <v/>
      </c>
      <c r="Q2271" t="n">
        <v>0</v>
      </c>
      <c r="R2271" t="n">
        <v>0</v>
      </c>
      <c r="S2271">
        <f>IFERROR(O2271/N2271,0)</f>
        <v/>
      </c>
      <c r="T2271" t="n">
        <v>0</v>
      </c>
      <c r="V2271" t="n">
        <v>0</v>
      </c>
    </row>
    <row r="2272">
      <c r="A2272">
        <f>Skills!A17</f>
        <v/>
      </c>
      <c r="B2272">
        <f>Skills!B17</f>
        <v/>
      </c>
      <c r="C2272">
        <f>Inputs!$B$3&gt;=10</f>
        <v/>
      </c>
      <c r="D2272">
        <f>IF(Skills!C17=1,60+Inputs!$B$25+Inputs!$B$29,IF(Skills!C17=2,90+Inputs!$B$26+Inputs!$B$29,IF(Skills!C17=3,120+Inputs!$B$27+Inputs!$B$29,MAX(0,(Inputs!$B$3-100)*3)+Inputs!$B$28+Inputs!$B$29)))</f>
        <v/>
      </c>
      <c r="E2272">
        <f>INDEX(FactorTable!$B$2:$Y$301, MATCH(ROUND(MIN(300,MAX(1,D2272)),0), FactorTable!$A$2:$A$301,0), Skills!M17+1)</f>
        <v/>
      </c>
      <c r="F2272">
        <f>IF(Skills!N17=TRUE,(Skills!L17/10)*(E2272/1000),Skills!L17/10)+Skills!O17</f>
        <v/>
      </c>
      <c r="G2272">
        <f>Skills!G17*IF(Skills!H17&gt;0,Skills!I17/Skills!H17,1)</f>
        <v/>
      </c>
      <c r="H2272">
        <f>1-(1-Skills!J17/100)^Skills!K17</f>
        <v/>
      </c>
      <c r="I2272" t="inlineStr">
        <is>
          <t>1</t>
        </is>
      </c>
      <c r="J2272" t="inlineStr"/>
      <c r="K2272" t="inlineStr"/>
      <c r="L2272" t="inlineStr"/>
      <c r="M2272" t="inlineStr"/>
      <c r="N2272" t="inlineStr"/>
      <c r="O2272">
        <f>(1-Summary!$B$11)*T2272+Summary!$B$11*V2272</f>
        <v/>
      </c>
      <c r="P2272">
        <f>IF(B2291=0,0,O2272/B2291)</f>
        <v/>
      </c>
      <c r="Q2272" t="n">
        <v>0</v>
      </c>
      <c r="R2272" t="n">
        <v>0</v>
      </c>
      <c r="S2272">
        <f>IFERROR(O2272/N2272,0)</f>
        <v/>
      </c>
      <c r="T2272" t="n">
        <v>0</v>
      </c>
      <c r="V2272" t="n">
        <v>0</v>
      </c>
    </row>
    <row r="2273">
      <c r="A2273">
        <f>Skills!A18</f>
        <v/>
      </c>
      <c r="B2273">
        <f>Skills!B18</f>
        <v/>
      </c>
      <c r="C2273">
        <f>Inputs!$B$3&gt;=33</f>
        <v/>
      </c>
      <c r="D2273">
        <f>IF(Skills!C18=1,60+Inputs!$B$25+Inputs!$B$29,IF(Skills!C18=2,90+Inputs!$B$26+Inputs!$B$29,IF(Skills!C18=3,120+Inputs!$B$27+Inputs!$B$29,MAX(0,(Inputs!$B$3-100)*3)+Inputs!$B$28+Inputs!$B$29)))</f>
        <v/>
      </c>
      <c r="E2273">
        <f>INDEX(FactorTable!$B$2:$Y$301, MATCH(ROUND(MIN(300,MAX(1,D2273)),0), FactorTable!$A$2:$A$301,0), Skills!M18+1)</f>
        <v/>
      </c>
      <c r="F2273">
        <f>IF(Skills!N18=TRUE,(Skills!L18/10)*(E2273/1000),Skills!L18/10)+Skills!O18</f>
        <v/>
      </c>
      <c r="G2273">
        <f>Skills!G18*IF(Skills!H18&gt;0,Skills!I18/Skills!H18,1)</f>
        <v/>
      </c>
      <c r="H2273">
        <f>1-(1-Skills!J18/100)^Skills!K18</f>
        <v/>
      </c>
      <c r="I2273" t="inlineStr">
        <is>
          <t>1</t>
        </is>
      </c>
      <c r="J2273" t="inlineStr"/>
      <c r="K2273" t="inlineStr"/>
      <c r="L2273" t="inlineStr"/>
      <c r="M2273" t="inlineStr"/>
      <c r="N2273" t="inlineStr"/>
      <c r="O2273">
        <f>(1-Summary!$B$11)*T2273+Summary!$B$11*V2273</f>
        <v/>
      </c>
      <c r="P2273">
        <f>IF(B2291=0,0,O2273/B2291)</f>
        <v/>
      </c>
      <c r="Q2273" t="n">
        <v>0</v>
      </c>
      <c r="R2273" t="n">
        <v>0</v>
      </c>
      <c r="S2273">
        <f>IFERROR(O2273/N2273,0)</f>
        <v/>
      </c>
      <c r="T2273" t="n">
        <v>0</v>
      </c>
      <c r="V2273" t="n">
        <v>0</v>
      </c>
    </row>
    <row r="2274">
      <c r="A2274">
        <f>Skills!A19</f>
        <v/>
      </c>
      <c r="B2274">
        <f>Skills!B19</f>
        <v/>
      </c>
      <c r="C2274">
        <f>Inputs!$B$3&gt;=40</f>
        <v/>
      </c>
      <c r="D2274">
        <f>IF(Skills!C19=1,60+Inputs!$B$25+Inputs!$B$29,IF(Skills!C19=2,90+Inputs!$B$26+Inputs!$B$29,IF(Skills!C19=3,120+Inputs!$B$27+Inputs!$B$29,MAX(0,(Inputs!$B$3-100)*3)+Inputs!$B$28+Inputs!$B$29)))</f>
        <v/>
      </c>
      <c r="E2274">
        <f>INDEX(FactorTable!$B$2:$Y$301, MATCH(ROUND(MIN(300,MAX(1,D2274)),0), FactorTable!$A$2:$A$301,0), Skills!M19+1)</f>
        <v/>
      </c>
      <c r="F2274">
        <f>IF(Skills!N19=TRUE,(Skills!L19/10)*(E2274/1000),Skills!L19/10)+Skills!O19</f>
        <v/>
      </c>
      <c r="G2274">
        <f>Skills!G19*IF(Skills!H19&gt;0,Skills!I19/Skills!H19,1)</f>
        <v/>
      </c>
      <c r="H2274">
        <f>1-(1-Skills!J19/100)^Skills!K19</f>
        <v/>
      </c>
      <c r="I2274" t="inlineStr">
        <is>
          <t>1</t>
        </is>
      </c>
      <c r="J2274" t="inlineStr"/>
      <c r="K2274" t="inlineStr"/>
      <c r="L2274" t="inlineStr"/>
      <c r="M2274" t="inlineStr"/>
      <c r="N2274" t="inlineStr"/>
      <c r="O2274">
        <f>(1-Summary!$B$11)*T2274+Summary!$B$11*V2274</f>
        <v/>
      </c>
      <c r="P2274">
        <f>IF(B2291=0,0,O2274/B2291)</f>
        <v/>
      </c>
      <c r="Q2274" t="n">
        <v>0</v>
      </c>
      <c r="R2274" t="n">
        <v>0</v>
      </c>
      <c r="S2274">
        <f>IFERROR(O2274/N2274,0)</f>
        <v/>
      </c>
      <c r="T2274" t="n">
        <v>0</v>
      </c>
      <c r="V2274" t="n">
        <v>0</v>
      </c>
    </row>
    <row r="2275">
      <c r="A2275">
        <f>Skills!A20</f>
        <v/>
      </c>
      <c r="B2275">
        <f>Skills!B20</f>
        <v/>
      </c>
      <c r="C2275">
        <f>Inputs!$B$3&gt;=43</f>
        <v/>
      </c>
      <c r="D2275">
        <f>IF(Skills!C20=1,60+Inputs!$B$25+Inputs!$B$29,IF(Skills!C20=2,90+Inputs!$B$26+Inputs!$B$29,IF(Skills!C20=3,120+Inputs!$B$27+Inputs!$B$29,MAX(0,(Inputs!$B$3-100)*3)+Inputs!$B$28+Inputs!$B$29)))</f>
        <v/>
      </c>
      <c r="E2275">
        <f>INDEX(FactorTable!$B$2:$Y$301, MATCH(ROUND(MIN(300,MAX(1,D2275)),0), FactorTable!$A$2:$A$301,0), Skills!M20+1)</f>
        <v/>
      </c>
      <c r="F2275">
        <f>IF(Skills!N20=TRUE,(Skills!L20/10)*(E2275/1000),Skills!L20/10)+Skills!O20</f>
        <v/>
      </c>
      <c r="G2275">
        <f>Skills!G20*IF(Skills!H20&gt;0,Skills!I20/Skills!H20,1)</f>
        <v/>
      </c>
      <c r="H2275">
        <f>1-(1-Skills!J20/100)^Skills!K20</f>
        <v/>
      </c>
      <c r="I2275" t="inlineStr">
        <is>
          <t>1</t>
        </is>
      </c>
      <c r="J2275" t="inlineStr"/>
      <c r="K2275" t="inlineStr"/>
      <c r="L2275" t="inlineStr"/>
      <c r="M2275" t="inlineStr"/>
      <c r="N2275" t="inlineStr"/>
      <c r="O2275">
        <f>(1-Summary!$B$11)*T2275+Summary!$B$11*V2275</f>
        <v/>
      </c>
      <c r="P2275">
        <f>IF(B2291=0,0,O2275/B2291)</f>
        <v/>
      </c>
      <c r="Q2275" t="n">
        <v>0</v>
      </c>
      <c r="R2275" t="n">
        <v>0</v>
      </c>
      <c r="S2275">
        <f>IFERROR(O2275/N2275,0)</f>
        <v/>
      </c>
      <c r="T2275" t="n">
        <v>0</v>
      </c>
      <c r="V2275" t="n">
        <v>0</v>
      </c>
    </row>
    <row r="2276">
      <c r="A2276">
        <f>Skills!A21</f>
        <v/>
      </c>
      <c r="B2276">
        <f>Skills!B21</f>
        <v/>
      </c>
      <c r="C2276">
        <f>Inputs!$B$3&gt;=38</f>
        <v/>
      </c>
      <c r="D2276">
        <f>IF(Skills!C21=1,60+Inputs!$B$25+Inputs!$B$29,IF(Skills!C21=2,90+Inputs!$B$26+Inputs!$B$29,IF(Skills!C21=3,120+Inputs!$B$27+Inputs!$B$29,MAX(0,(Inputs!$B$3-100)*3)+Inputs!$B$28+Inputs!$B$29)))</f>
        <v/>
      </c>
      <c r="E2276">
        <f>INDEX(FactorTable!$B$2:$Y$301, MATCH(ROUND(MIN(300,MAX(1,D2276)),0), FactorTable!$A$2:$A$301,0), Skills!M21+1)</f>
        <v/>
      </c>
      <c r="F2276">
        <f>IF(Skills!N21=TRUE,(Skills!L21/10)*(E2276/1000),Skills!L21/10)+Skills!O21</f>
        <v/>
      </c>
      <c r="G2276">
        <f>Skills!G21*IF(Skills!H21&gt;0,Skills!I21/Skills!H21,1)</f>
        <v/>
      </c>
      <c r="H2276">
        <f>1-(1-Skills!J21/100)^Skills!K21</f>
        <v/>
      </c>
      <c r="I2276" t="inlineStr">
        <is>
          <t>1</t>
        </is>
      </c>
      <c r="J2276" t="inlineStr"/>
      <c r="K2276" t="inlineStr"/>
      <c r="L2276" t="inlineStr"/>
      <c r="M2276" t="inlineStr"/>
      <c r="N2276" t="inlineStr"/>
      <c r="O2276">
        <f>(1-Summary!$B$11)*T2276+Summary!$B$11*V2276</f>
        <v/>
      </c>
      <c r="P2276">
        <f>IF(B2291=0,0,O2276/B2291)</f>
        <v/>
      </c>
      <c r="Q2276" t="n">
        <v>0</v>
      </c>
      <c r="R2276" t="n">
        <v>0</v>
      </c>
      <c r="S2276">
        <f>IFERROR(O2276/N2276,0)</f>
        <v/>
      </c>
      <c r="T2276" t="n">
        <v>0</v>
      </c>
      <c r="V2276" t="n">
        <v>0</v>
      </c>
    </row>
    <row r="2277">
      <c r="A2277">
        <f>Skills!A22</f>
        <v/>
      </c>
      <c r="B2277">
        <f>Skills!B22</f>
        <v/>
      </c>
      <c r="C2277">
        <f>Inputs!$B$3&gt;=75</f>
        <v/>
      </c>
      <c r="D2277">
        <f>IF(Skills!C22=1,60+Inputs!$B$25+Inputs!$B$29,IF(Skills!C22=2,90+Inputs!$B$26+Inputs!$B$29,IF(Skills!C22=3,120+Inputs!$B$27+Inputs!$B$29,MAX(0,(Inputs!$B$3-100)*3)+Inputs!$B$28+Inputs!$B$29)))</f>
        <v/>
      </c>
      <c r="E2277">
        <f>INDEX(FactorTable!$B$2:$Y$301, MATCH(ROUND(MIN(300,MAX(1,D2277)),0), FactorTable!$A$2:$A$301,0), Skills!M22+1)</f>
        <v/>
      </c>
      <c r="F2277">
        <f>IF(Skills!N22=TRUE,(Skills!L22/10)*(E2277/1000),Skills!L22/10)+Skills!O22</f>
        <v/>
      </c>
      <c r="G2277">
        <f>Skills!G22*IF(Skills!H22&gt;0,Skills!I22/Skills!H22,1)</f>
        <v/>
      </c>
      <c r="H2277">
        <f>1-(1-Skills!J22/100)^Skills!K22</f>
        <v/>
      </c>
      <c r="I2277" t="inlineStr">
        <is>
          <t>1</t>
        </is>
      </c>
      <c r="J2277" t="inlineStr"/>
      <c r="K2277" t="inlineStr"/>
      <c r="L2277" t="inlineStr"/>
      <c r="M2277" t="inlineStr"/>
      <c r="N2277" t="inlineStr"/>
      <c r="O2277">
        <f>(1-Summary!$B$11)*T2277+Summary!$B$11*V2277</f>
        <v/>
      </c>
      <c r="P2277">
        <f>IF(B2291=0,0,O2277/B2291)</f>
        <v/>
      </c>
      <c r="Q2277" t="n">
        <v>0</v>
      </c>
      <c r="R2277" t="n">
        <v>0</v>
      </c>
      <c r="S2277">
        <f>IFERROR(O2277/N2277,0)</f>
        <v/>
      </c>
      <c r="T2277" t="n">
        <v>0</v>
      </c>
      <c r="V2277" t="n">
        <v>0</v>
      </c>
    </row>
    <row r="2278">
      <c r="A2278">
        <f>Skills!A23</f>
        <v/>
      </c>
      <c r="B2278">
        <f>Skills!B23</f>
        <v/>
      </c>
      <c r="C2278">
        <f>TRUE</f>
        <v/>
      </c>
      <c r="D2278">
        <f>IF(Skills!C23=1,60+Inputs!$B$25+Inputs!$B$29,IF(Skills!C23=2,90+Inputs!$B$26+Inputs!$B$29,IF(Skills!C23=3,120+Inputs!$B$27+Inputs!$B$29,MAX(0,(Inputs!$B$3-100)*3)+Inputs!$B$28+Inputs!$B$29)))</f>
        <v/>
      </c>
      <c r="E2278">
        <f>INDEX(FactorTable!$B$2:$Y$301, MATCH(ROUND(MIN(300,MAX(1,D2278)),0), FactorTable!$A$2:$A$301,0), Skills!M23+1)</f>
        <v/>
      </c>
      <c r="F2278">
        <f>IF(Skills!N23=TRUE,(Skills!L23/10)*(E2278/1000),Skills!L23/10)+Skills!O23</f>
        <v/>
      </c>
      <c r="G2278">
        <f>Skills!G23*IF(Skills!H23&gt;0,Skills!I23/Skills!H23,1)</f>
        <v/>
      </c>
      <c r="H2278">
        <f>1-(1-Skills!J23/100)^Skills!K23</f>
        <v/>
      </c>
      <c r="I2278" t="inlineStr">
        <is>
          <t>1</t>
        </is>
      </c>
      <c r="J2278" t="inlineStr"/>
      <c r="K2278" t="inlineStr"/>
      <c r="L2278" t="inlineStr"/>
      <c r="M2278" t="inlineStr"/>
      <c r="N2278" t="inlineStr"/>
      <c r="O2278">
        <f>(1-Summary!$B$11)*T2278+Summary!$B$11*V2278</f>
        <v/>
      </c>
      <c r="P2278">
        <f>IF(B2291=0,0,O2278/B2291)</f>
        <v/>
      </c>
      <c r="Q2278">
        <f>IFERROR(1/(IF(Inputs!$B$38="pvp",15,MAX(0.1,Skills!D23-IF(Skills!E23=TRUE,Inputs!$B$32,0)))*(1-IF(AND(ArtifactsInput!$M$27,Inputs!$B$4="Chapter Hunt"),CHOOSE(ArtifactsInput!$N$27+1,20,24,28,32,36,40),0)/100)),0)</f>
        <v/>
      </c>
      <c r="R2278">
        <f>IF(AND(Inputs!$B$38&lt;&gt;"pvp",Inputs!$B$43&gt;0),IF(Inputs!$B$43&lt;=0,0,(INT(Inputs!$B$43/(IF(Inputs!$B$38="pvp",15,MAX(0.1,Skills!D23-IF(Skills!E23=TRUE,Inputs!$B$32,0)))*(1-IF(AND(ArtifactsInput!$M$27,Inputs!$B$4="Chapter Hunt"),CHOOSE(ArtifactsInput!$N$27+1,20,24,28,32,36,40),0)/100)))+1)),0)</f>
        <v/>
      </c>
      <c r="S2278">
        <f>IFERROR(O2278/N2278,0)</f>
        <v/>
      </c>
      <c r="T2278" t="n">
        <v>0</v>
      </c>
      <c r="V2278" t="n">
        <v>0</v>
      </c>
    </row>
    <row r="2280">
      <c r="A2280" t="inlineStr">
        <is>
          <t>Attack% Bucket Multiplier</t>
        </is>
      </c>
      <c r="B2280">
        <f>(1+(((C2268=TRUE)*F2268*5/7)+((C2274=TRUE)*(F2274-Calc!F19))+(IF(ArtifactsInput!$M$21,CHOOSE(ArtifactsInput!$N$21+1,25,30,35,40,45,50)*(IF(OR(Inputs!$B$4="Chapter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81">
      <c r="A2281" t="inlineStr">
        <is>
          <t>Global Crit Rate Bonus %</t>
        </is>
      </c>
      <c r="B2281" t="n">
        <v>0</v>
      </c>
    </row>
    <row r="2282">
      <c r="A2282" t="inlineStr">
        <is>
          <t>Attack Speed Buff Bonus % (Nimble Feet, duty-cycle averaged)</t>
        </is>
      </c>
      <c r="B2282">
        <f>((C2278=TRUE)*F2278*IF(AND(Inputs!$B$38&lt;&gt;"pvp",Inputs!$B$43&gt;0),(((R2278-1)*(Skills!T23*(1+Inputs!$B$34/100))+MIN((Skills!T23*(1+Inputs!$B$34/100)),MAX(0,Inputs!$B$43-((R2278-1)*Skills!D23))))/Inputs!$B$43),IF(Inputs!$B$38="pvp",MIN((Skills!T23*(1+Inputs!$B$34/100)),15)/15,(Skills!T23*(1+Inputs!$B$34/100))/Skills!D23)))</f>
        <v/>
      </c>
    </row>
    <row r="2283">
      <c r="A2283" t="inlineStr">
        <is>
          <t>Actions Per Second</t>
        </is>
      </c>
      <c r="B2283">
        <f>1+MIN(150,150*(1-(1-(Inputs!$B$11+((C2272=TRUE)*(F2272-Calc!F17))+((C2273=TRUE)*(F2273-Calc!F18)))/150)*(1-B2282/150)))/100</f>
        <v/>
      </c>
    </row>
    <row r="2284">
      <c r="A2284" t="inlineStr">
        <is>
          <t>Skill + Buff Cast Rate</t>
        </is>
      </c>
      <c r="B2284">
        <f>IF(AND(Inputs!$B$38&lt;&gt;"pvp",Inputs!$B$43&gt;0),SUMPRODUCT((Skills!E2:E23=TRUE)*(C2257:C2278=TRUE)*R2257:R2278*Skills!F2:F23)/Inputs!$B$43,SUMPRODUCT((Skills!E2:E23=TRUE)*(C2257:C2278=TRUE)*Q2257:Q2278*Skills!F2:F23))</f>
        <v/>
      </c>
    </row>
    <row r="2285">
      <c r="A2285" t="inlineStr">
        <is>
          <t>Hook Bomber Casts Per Second</t>
        </is>
      </c>
      <c r="B2285">
        <f>MAX(0,B2283-B2284)</f>
        <v/>
      </c>
    </row>
    <row r="2286">
      <c r="A2286" t="inlineStr">
        <is>
          <t>Global Critical Damage Bonus % (unused)</t>
        </is>
      </c>
      <c r="B2286" t="n">
        <v>0</v>
      </c>
    </row>
    <row r="2287">
      <c r="A2287" t="inlineStr">
        <is>
          <t>Global Final Damage Bonus % (Serpent Scale + Crossbones + Time Leap + Speed Infusion)</t>
        </is>
      </c>
      <c r="B2287">
        <f>((C2260=TRUE)*F2260*((10+IF(Inputs!$B$3&gt;=94,5,0))/((10+IF(Inputs!$B$3&gt;=94,5,0))+5/(B2285*(1+IF(Inputs!$B$3&gt;=104,1,0))))))+((C2269=TRUE)*F2269*IF(AND(Inputs!$B$38&lt;&gt;"pvp",Inputs!$B$43&gt;0),(((R2269-1)*(Skills!T14*(1+Inputs!$B$34/100))+MIN((Skills!T14*(1+Inputs!$B$34/100)),MAX(0,Inputs!$B$43-((R2269-1)*Skills!D14))))/Inputs!$B$43),IF(Inputs!$B$38="pvp",MIN((Skills!T14*(1+Inputs!$B$34/100)),15)/15,(Skills!T14*(1+Inputs!$B$34/100))/Skills!D14)))+((C2270=TRUE)*F2270*IF(AND(Inputs!$B$38&lt;&gt;"pvp",Inputs!$B$43&gt;0),(((R2270-1)*(Skills!T15*(1+Inputs!$B$34/100))+MIN((Skills!T15*(1+Inputs!$B$34/100)),MAX(0,Inputs!$B$43-((R2270-1)*Skills!D15))))/Inputs!$B$43),IF(Inputs!$B$38="pvp",MIN((Skills!T15*(1+Inputs!$B$34/100)),15)/15,(Skills!T15*(1+Inputs!$B$34/100))/Skills!D15)))+((Inputs!$B$3&gt;=110)*20*(B2283-1)*IF(Inputs!$B$38="pvp",MIN((15*(1+Inputs!$B$34/100)),15)/15,(15*(1+Inputs!$B$34/100))/35))</f>
        <v/>
      </c>
    </row>
    <row r="2288">
      <c r="A2288" t="inlineStr">
        <is>
          <t>Buff-Casting Startup Delay (s, fixed-duration only)</t>
        </is>
      </c>
      <c r="B2288">
        <f>IF(AND(Inputs!$B$38&lt;&gt;"pvp",Inputs!$B$43&gt;0),SUMPRODUCT((Skills!T2:T23&gt;0)*(Skills!E2:E23=TRUE)*(C2257:C2278=TRUE))/B2283,0)</f>
        <v/>
      </c>
    </row>
    <row r="2289">
      <c r="A2289" t="inlineStr">
        <is>
          <t>Boss-Only Total DPS (this block's swept value)</t>
        </is>
      </c>
      <c r="B2289">
        <f>SUM(T2257:T2278)</f>
        <v/>
      </c>
    </row>
    <row r="2290">
      <c r="A2290" t="inlineStr">
        <is>
          <t>Normal-Only Total DPS (this block's swept value)</t>
        </is>
      </c>
      <c r="B2290">
        <f>SUM(V2257:V2278)</f>
        <v/>
      </c>
    </row>
    <row r="2291">
      <c r="A2291" s="6" t="inlineStr">
        <is>
          <t>TOTAL DPS</t>
        </is>
      </c>
      <c r="B2291" s="6">
        <f>SUM(O2257:O2278)</f>
        <v/>
      </c>
    </row>
    <row r="2294">
      <c r="A2294" s="6" t="inlineStr">
        <is>
          <t>Stat: Horn Flute (Equip)</t>
        </is>
      </c>
    </row>
    <row r="2295">
      <c r="A2295" s="5" t="inlineStr">
        <is>
          <t>Key</t>
        </is>
      </c>
      <c r="B2295" s="5" t="inlineStr">
        <is>
          <t>Name</t>
        </is>
      </c>
      <c r="C2295" s="5" t="inlineStr">
        <is>
          <t>Unlocked</t>
        </is>
      </c>
      <c r="D2295" s="5" t="inlineStr">
        <is>
          <t>InputLevel</t>
        </is>
      </c>
      <c r="E2295" s="5" t="inlineStr">
        <is>
          <t>Factor</t>
        </is>
      </c>
      <c r="F2295" s="5" t="inlineStr">
        <is>
          <t>CoefficientPercent</t>
        </is>
      </c>
      <c r="G2295" s="5" t="inlineStr">
        <is>
          <t>EffectiveHits</t>
        </is>
      </c>
      <c r="H2295" s="5" t="inlineStr">
        <is>
          <t>ProcProbability</t>
        </is>
      </c>
      <c r="I2295" s="5" t="inlineStr">
        <is>
          <t>MapleHeroMultiplier</t>
        </is>
      </c>
      <c r="J2295" s="5" t="inlineStr">
        <is>
          <t>BaseDamage</t>
        </is>
      </c>
      <c r="K2295" s="5" t="inlineStr">
        <is>
          <t>BaseHitDamage</t>
        </is>
      </c>
      <c r="L2295" s="5" t="inlineStr">
        <is>
          <t>NonCritAvg</t>
        </is>
      </c>
      <c r="M2295" s="5" t="inlineStr">
        <is>
          <t>CritAvg</t>
        </is>
      </c>
      <c r="N2295" s="5" t="inlineStr">
        <is>
          <t>ExpectedDamage(perHit)</t>
        </is>
      </c>
      <c r="O2295" s="5" t="inlineStr">
        <is>
          <t>DPS</t>
        </is>
      </c>
      <c r="P2295" s="5" t="inlineStr">
        <is>
          <t>% of Total</t>
        </is>
      </c>
      <c r="Q2295" s="5" t="inlineStr">
        <is>
          <t>InvCooldown</t>
        </is>
      </c>
      <c r="R2295" s="5" t="inlineStr">
        <is>
          <t>CastsInFight</t>
        </is>
      </c>
      <c r="S2295" s="5" t="inlineStr">
        <is>
          <t>HitRate(perSec)</t>
        </is>
      </c>
      <c r="U2295" t="inlineStr">
        <is>
          <t>helpers</t>
        </is>
      </c>
    </row>
    <row r="2296">
      <c r="A2296">
        <f>Skills!A2</f>
        <v/>
      </c>
      <c r="B2296">
        <f>Skills!B2</f>
        <v/>
      </c>
      <c r="C2296">
        <f>Inputs!$B$3&gt;=100</f>
        <v/>
      </c>
      <c r="D2296" t="inlineStr"/>
      <c r="E2296" t="inlineStr"/>
      <c r="F2296">
        <f>U2298+Skills!O2</f>
        <v/>
      </c>
      <c r="G2296">
        <f>Skills!G2*IF(Skills!H2&gt;0,Skills!I2/Skills!H2,1)</f>
        <v/>
      </c>
      <c r="H2296">
        <f>1-(1-Skills!J2/100)^Skills!K2</f>
        <v/>
      </c>
      <c r="I2296" t="inlineStr">
        <is>
          <t>1</t>
        </is>
      </c>
      <c r="J2296">
        <f>((Inputs!$B$6*(1+Inputs!$B$7/100))+(((Inputs!$B$12*(1+Inputs!$B$13/100))-(Inputs!$B$12*(1+Inputs!$B$13/100)))+0.25*(Inputs!$B$14-Inputs!$B$14))*(1+Inputs!$B$7/100))*(F2296/100)</f>
        <v/>
      </c>
      <c r="K2296">
        <f>J2296*(1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2296)</f>
        <v/>
      </c>
      <c r="L2296">
        <f>K2296*(MIN(Inputs!$B$22+((C2314=TRUE)*(F2314-Calc!F20)),(Inputs!$B$23+0+(IF(ArtifactsInput!$M$15,CHOOSE(ArtifactsInput!$N$15+1,25,30,35,40,45,50)/100*(Inputs!$B$11-Inputs!$B$11),0))))/100+(Inputs!$B$23+0+(IF(ArtifactsInput!$M$15,CHOOSE(ArtifactsInput!$N$15+1,25,30,35,40,45,50)/100*(Inputs!$B$11-Inputs!$B$11),0)))/100)/2</f>
        <v/>
      </c>
      <c r="M2296">
        <f>L2296*(1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6">
        <f>L2296*(1-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2296*(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6">
        <f>(1-Summary!$B$11)*T2296+Summary!$B$11*V2296</f>
        <v/>
      </c>
      <c r="P2296">
        <f>IF(B2330=0,0,O2296/B2330)</f>
        <v/>
      </c>
      <c r="Q2296" t="n">
        <v>0</v>
      </c>
      <c r="R2296" t="n">
        <v>0</v>
      </c>
      <c r="S2296">
        <f>IFERROR(O2296/N2296,0)</f>
        <v/>
      </c>
      <c r="T2296">
        <f>IF(C2296,(Skills!G2*N2296*B2324)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2296*(1-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2296*(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2296*(1-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2296*(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6">
        <f>MAX(0,(Inputs!$B$3-100)*3)+Inputs!$B$28+Inputs!$B$29</f>
        <v/>
      </c>
      <c r="V2296">
        <f>IF(C2296,(Skills!G2*N2296*B2324)*IF(Inputs!$B$38="pvp",1,(1+(Inputs!$B$21+Skills!Q2+(IF(ArtifactsInput!$M$33,CHOOSE(ArtifactsInput!$N$33+1,30,36,42,48,54,60),0))+(IF(AND(ArtifactsInput!$M$35,Inputs!$B$4&lt;&gt;"Chapter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7">
      <c r="A2297">
        <f>Skills!A3</f>
        <v/>
      </c>
      <c r="B2297">
        <f>Skills!B3</f>
        <v/>
      </c>
      <c r="C2297">
        <f>Inputs!$B$3&gt;=35</f>
        <v/>
      </c>
      <c r="D2297">
        <f>IF(Skills!C3=1,60+Inputs!$B$25+Inputs!$B$29,IF(Skills!C3=2,90+Inputs!$B$26+Inputs!$B$29,IF(Skills!C3=3,120+Inputs!$B$27+Inputs!$B$29,MAX(0,(Inputs!$B$3-100)*3)+Inputs!$B$28+Inputs!$B$29)))</f>
        <v/>
      </c>
      <c r="E2297">
        <f>INDEX(FactorTable!$B$2:$Y$301, MATCH(ROUND(MIN(300,MAX(1,D2297)),0), FactorTable!$A$2:$A$301,0), Skills!M3+1)</f>
        <v/>
      </c>
      <c r="F2297">
        <f>IF(Skills!N3=TRUE,(Skills!L3/10)*(E2297/1000),Skills!L3/10)+Skills!O3</f>
        <v/>
      </c>
      <c r="G2297">
        <f>Skills!G3*IF(Skills!H3&gt;0,Skills!I3/Skills!H3,1)</f>
        <v/>
      </c>
      <c r="H2297">
        <f>1-(1-Skills!J3/100)^Skills!K3</f>
        <v/>
      </c>
      <c r="I2297" t="inlineStr">
        <is>
          <t>1</t>
        </is>
      </c>
      <c r="J2297">
        <f>((Inputs!$B$6*(1+Inputs!$B$7/100))+(((Inputs!$B$12*(1+Inputs!$B$13/100))-(Inputs!$B$12*(1+Inputs!$B$13/100)))+0.25*(Inputs!$B$14-Inputs!$B$14))*(1+Inputs!$B$7/100))*(F2297/100)</f>
        <v/>
      </c>
      <c r="K2297">
        <f>J2297*(1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2297)</f>
        <v/>
      </c>
      <c r="L2297">
        <f>K2297*(MIN(Inputs!$B$22+((C2314=TRUE)*(F2314-Calc!F20)),(Inputs!$B$23+0+(IF(ArtifactsInput!$M$15,CHOOSE(ArtifactsInput!$N$15+1,25,30,35,40,45,50)/100*(Inputs!$B$11-Inputs!$B$11),0))))/100+(Inputs!$B$23+0+(IF(ArtifactsInput!$M$15,CHOOSE(ArtifactsInput!$N$15+1,25,30,35,40,45,50)/100*(Inputs!$B$11-Inputs!$B$11),0)))/100)/2</f>
        <v/>
      </c>
      <c r="M2297">
        <f>L2297*(1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7">
        <f>L2297*(1-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2297*(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7">
        <f>(1-Summary!$B$11)*T2297+Summary!$B$11*V2297</f>
        <v/>
      </c>
      <c r="P2297">
        <f>IF(B2330=0,0,O2297/B2330)</f>
        <v/>
      </c>
      <c r="Q2297" t="n">
        <v>0</v>
      </c>
      <c r="R2297" t="n">
        <v>0</v>
      </c>
      <c r="S2297">
        <f>IFERROR(O2297/N2297,0)</f>
        <v/>
      </c>
      <c r="T2297">
        <f>IF(C2297,(Skills!G3*H2297*N2297*B2324)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2297*(1-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2297*(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2297*(1-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2297*(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7">
        <f>INDEX(FactorTable!$B$2:$Y$301, MATCH(ROUND(MIN(300,MAX(1,U2296)),0), FactorTable!$A$2:$A$301,0), 22)</f>
        <v/>
      </c>
      <c r="V2297">
        <f>IF(C2297,(Skills!G3*H2297*N2297*B2324)*IF(Inputs!$B$38="pvp",1,(1+(Inputs!$B$21+Skills!Q3+(IF(ArtifactsInput!$M$33,CHOOSE(ArtifactsInput!$N$33+1,30,36,42,48,54,60),0))+(IF(AND(ArtifactsInput!$M$35,Inputs!$B$4&lt;&gt;"Chapter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8">
      <c r="A2298">
        <f>Skills!A4</f>
        <v/>
      </c>
      <c r="B2298">
        <f>Skills!B4</f>
        <v/>
      </c>
      <c r="C2298">
        <f>Inputs!$B$3&gt;=60</f>
        <v/>
      </c>
      <c r="D2298">
        <f>IF(Skills!C4=1,60+Inputs!$B$25+Inputs!$B$29,IF(Skills!C4=2,90+Inputs!$B$26+Inputs!$B$29,IF(Skills!C4=3,120+Inputs!$B$27+Inputs!$B$29,MAX(0,(Inputs!$B$3-100)*3)+Inputs!$B$28+Inputs!$B$29)))</f>
        <v/>
      </c>
      <c r="E2298">
        <f>INDEX(FactorTable!$B$2:$Y$301, MATCH(ROUND(MIN(300,MAX(1,D2298)),0), FactorTable!$A$2:$A$301,0), Skills!M4+1)</f>
        <v/>
      </c>
      <c r="F2298">
        <f>IF(Skills!N4=TRUE,(Skills!L4/10)*(E2298/1000),Skills!L4/10)+Skills!O4</f>
        <v/>
      </c>
      <c r="G2298">
        <f>Skills!G4*IF(Skills!H4&gt;0,Skills!I4/Skills!H4,1)</f>
        <v/>
      </c>
      <c r="H2298">
        <f>1-(1-Skills!J4/100)^Skills!K4</f>
        <v/>
      </c>
      <c r="I2298" t="inlineStr">
        <is>
          <t>1</t>
        </is>
      </c>
      <c r="J2298">
        <f>((Inputs!$B$6*(1+Inputs!$B$7/100))+(((Inputs!$B$12*(1+Inputs!$B$13/100))-(Inputs!$B$12*(1+Inputs!$B$13/100)))+0.25*(Inputs!$B$14-Inputs!$B$14))*(1+Inputs!$B$7/100))*(F2298/100)</f>
        <v/>
      </c>
      <c r="K2298">
        <f>J2298*(1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2306=TRUE,F2306,0)/100)*(1+(IF(Skills!A4="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2298)</f>
        <v/>
      </c>
      <c r="L2298">
        <f>K2298*(MIN(Inputs!$B$22+((C2314=TRUE)*(F2314-Calc!F20)),(Inputs!$B$23+0+(IF(ArtifactsInput!$M$15,CHOOSE(ArtifactsInput!$N$15+1,25,30,35,40,45,50)/100*(Inputs!$B$11-Inputs!$B$11),0))))/100+(Inputs!$B$23+0+(IF(ArtifactsInput!$M$15,CHOOSE(ArtifactsInput!$N$15+1,25,30,35,40,45,50)/100*(Inputs!$B$11-Inputs!$B$11),0)))/100)/2</f>
        <v/>
      </c>
      <c r="M2298">
        <f>L2298*(1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98">
        <f>L2298*(1-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2298*(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98">
        <f>(1-Summary!$B$11)*T2298+Summary!$B$11*V2298</f>
        <v/>
      </c>
      <c r="P2298">
        <f>IF(B2330=0,0,O2298/B2330)</f>
        <v/>
      </c>
      <c r="Q2298" t="n">
        <v>0</v>
      </c>
      <c r="R2298" t="n">
        <v>0</v>
      </c>
      <c r="S2298">
        <f>IFERROR(O2298/N2298,0)</f>
        <v/>
      </c>
      <c r="T2298">
        <f>IF(C2298,(Skills!G4*H2298*N2298*B2324)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2298*(1-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2298*(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2298*(1-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2298*(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98">
        <f>290*U2297/1000</f>
        <v/>
      </c>
      <c r="V2298">
        <f>IF(C2298,(Skills!G4*H2298*N2298*B2324)*IF(Inputs!$B$38="pvp",1,(1+(Inputs!$B$21+Skills!Q4+(IF(ArtifactsInput!$M$33,CHOOSE(ArtifactsInput!$N$33+1,30,36,42,48,54,60),0))+(IF(AND(ArtifactsInput!$M$35,Inputs!$B$4&lt;&gt;"Chapter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99">
      <c r="A2299">
        <f>Skills!A5</f>
        <v/>
      </c>
      <c r="B2299">
        <f>Skills!B5</f>
        <v/>
      </c>
      <c r="C2299">
        <f>Inputs!$B$3&gt;=60</f>
        <v/>
      </c>
      <c r="D2299">
        <f>IF(Skills!C5=1,60+Inputs!$B$25+Inputs!$B$29,IF(Skills!C5=2,90+Inputs!$B$26+Inputs!$B$29,IF(Skills!C5=3,120+Inputs!$B$27+Inputs!$B$29,MAX(0,(Inputs!$B$3-100)*3)+Inputs!$B$28+Inputs!$B$29)))</f>
        <v/>
      </c>
      <c r="E2299">
        <f>INDEX(FactorTable!$B$2:$Y$301, MATCH(ROUND(MIN(300,MAX(1,D2299)),0), FactorTable!$A$2:$A$301,0), Skills!M5+1)</f>
        <v/>
      </c>
      <c r="F2299">
        <f>IF(Skills!N5=TRUE,(Skills!L5/10)*(E2299/1000),Skills!L5/10)+Skills!O5</f>
        <v/>
      </c>
      <c r="G2299">
        <f>Skills!G5*IF(Skills!H5&gt;0,Skills!I5/Skills!H5,1)</f>
        <v/>
      </c>
      <c r="H2299">
        <f>1-(1-Skills!J5/100)^Skills!K5</f>
        <v/>
      </c>
      <c r="I2299" t="inlineStr">
        <is>
          <t>1</t>
        </is>
      </c>
      <c r="J2299" t="inlineStr"/>
      <c r="K2299" t="inlineStr"/>
      <c r="L2299" t="inlineStr"/>
      <c r="M2299" t="inlineStr"/>
      <c r="N2299" t="inlineStr"/>
      <c r="O2299">
        <f>(1-Summary!$B$11)*T2299+Summary!$B$11*V2299</f>
        <v/>
      </c>
      <c r="P2299">
        <f>IF(B2330=0,0,O2299/B2330)</f>
        <v/>
      </c>
      <c r="Q2299" t="n">
        <v>0</v>
      </c>
      <c r="R2299" t="n">
        <v>0</v>
      </c>
      <c r="S2299">
        <f>IFERROR(O2299/N2299,0)</f>
        <v/>
      </c>
      <c r="T2299" t="n">
        <v>0</v>
      </c>
      <c r="V2299" t="n">
        <v>0</v>
      </c>
    </row>
    <row r="2300">
      <c r="A2300">
        <f>Skills!A6</f>
        <v/>
      </c>
      <c r="B2300">
        <f>Skills!B6</f>
        <v/>
      </c>
      <c r="C2300">
        <f>Inputs!$B$3&gt;=63</f>
        <v/>
      </c>
      <c r="D2300">
        <f>IF(Skills!C6=1,60+Inputs!$B$25+Inputs!$B$29,IF(Skills!C6=2,90+Inputs!$B$26+Inputs!$B$29,IF(Skills!C6=3,120+Inputs!$B$27+Inputs!$B$29,MAX(0,(Inputs!$B$3-100)*3)+Inputs!$B$28+Inputs!$B$29)))</f>
        <v/>
      </c>
      <c r="E2300">
        <f>INDEX(FactorTable!$B$2:$Y$301, MATCH(ROUND(MIN(300,MAX(1,D2300)),0), FactorTable!$A$2:$A$301,0), Skills!M6+1)</f>
        <v/>
      </c>
      <c r="F2300">
        <f>IF(Skills!N6=TRUE,(Skills!L6/10)*(E2300/1000),Skills!L6/10)+Skills!O6</f>
        <v/>
      </c>
      <c r="G2300">
        <f>Skills!G6*IF(Skills!H6&gt;0,Skills!I6/Skills!H6,1)</f>
        <v/>
      </c>
      <c r="H2300">
        <f>1-(1-Skills!J6/100)^Skills!K6</f>
        <v/>
      </c>
      <c r="I2300" t="inlineStr">
        <is>
          <t>1</t>
        </is>
      </c>
      <c r="J2300">
        <f>((Inputs!$B$6*(1+Inputs!$B$7/100))+(((Inputs!$B$12*(1+Inputs!$B$13/100))-(Inputs!$B$12*(1+Inputs!$B$13/100)))+0.25*(Inputs!$B$14-Inputs!$B$14))*(1+Inputs!$B$7/100))*(F2300/100)</f>
        <v/>
      </c>
      <c r="K2300">
        <f>J2300*(1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2306=TRUE,F2306,0)/100)*(1+(IF(Skills!A6="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2300)</f>
        <v/>
      </c>
      <c r="L2300">
        <f>K2300*(MIN(Inputs!$B$22+((C2314=TRUE)*(F2314-Calc!F20)),(Inputs!$B$23+0+(IF(ArtifactsInput!$M$15,CHOOSE(ArtifactsInput!$N$15+1,25,30,35,40,45,50)/100*(Inputs!$B$11-Inputs!$B$11),0))))/100+(Inputs!$B$23+0+(IF(ArtifactsInput!$M$15,CHOOSE(ArtifactsInput!$N$15+1,25,30,35,40,45,50)/100*(Inputs!$B$11-Inputs!$B$11),0)))/100)/2</f>
        <v/>
      </c>
      <c r="M2300">
        <f>L2300*(1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0">
        <f>L2300*(1-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2300*(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0">
        <f>(1-Summary!$B$11)*T2300+Summary!$B$11*V2300</f>
        <v/>
      </c>
      <c r="P2300">
        <f>IF(B2330=0,0,O2300/B2330)</f>
        <v/>
      </c>
      <c r="Q2300">
        <f>IFERROR(1/(IF(Inputs!$B$38="pvp",15,MAX(0.1,Skills!D6-IF(Skills!E6=TRUE,Inputs!$B$32,0)))*(1-IF(AND(ArtifactsInput!$M$27,Inputs!$B$4="Chapter Hunt"),CHOOSE(ArtifactsInput!$N$27+1,20,24,28,32,36,40),0)/100)),0)</f>
        <v/>
      </c>
      <c r="R2300">
        <f>IF(AND(Inputs!$B$38&lt;&gt;"pvp",Inputs!$B$43&gt;0),IF(MAX(0,Inputs!$B$43-B2327)&lt;=0,0,(INT(MAX(0,Inputs!$B$43-B2327)/(IF(Inputs!$B$38="pvp",15,MAX(0.1,Skills!D6-IF(Skills!E6=TRUE,Inputs!$B$32,0)))*(1-IF(AND(ArtifactsInput!$M$27,Inputs!$B$4="Chapter Hunt"),CHOOSE(ArtifactsInput!$N$27+1,20,24,28,32,36,40),0)/100)))+1)),0)</f>
        <v/>
      </c>
      <c r="S2300">
        <f>IFERROR(O2300/N2300,0)</f>
        <v/>
      </c>
      <c r="T2300">
        <f>IF(C2300,(H2300*N2300*IF(AND(Inputs!$B$38&lt;&gt;"pvp",Inputs!$B$43&gt;0),((Skills!G6*((R2300-1)*IF(Skills!H6&gt;0,Skills!I6/Skills!H6,1)+IF(Skills!H6&gt;0,MIN(Skills!I6,MAX(0,MAX(0,Inputs!$B$43-B2327)-((R2300-1)*(IF(Inputs!$B$38="pvp",15,MAX(0.1,Skills!D6-IF(Skills!E6=TRUE,Inputs!$B$32,0)))*(1-IF(AND(ArtifactsInput!$M$27,Inputs!$B$4="Chapter Hunt"),CHOOSE(ArtifactsInput!$N$27+1,20,24,28,32,36,40),0)/100)))))/Skills!H6,1)))/Inputs!$B$43),G2300*Q2300)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2300*(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2300*(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0">
        <f>IF(C2300,(H2300*N2300*IF(AND(Inputs!$B$38&lt;&gt;"pvp",Inputs!$B$43&gt;0),((Skills!G6*((R2300-1)*IF(Skills!H6&gt;0,Skills!I6/Skills!H6,1)+IF(Skills!H6&gt;0,MIN(Skills!I6,MAX(0,MAX(0,Inputs!$B$43-B2327)-((R2300-1)*(IF(Inputs!$B$38="pvp",15,MAX(0.1,Skills!D6-IF(Skills!E6=TRUE,Inputs!$B$32,0)))*(1-IF(AND(ArtifactsInput!$M$27,Inputs!$B$4="Chapter Hunt"),CHOOSE(ArtifactsInput!$N$27+1,20,24,28,32,36,40),0)/100)))))/Skills!H6,1)))/Inputs!$B$43),G2300*Q2300))*IF(Inputs!$B$38="pvp",1,(1+(Inputs!$B$21+Skills!Q6+(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1">
      <c r="A2301">
        <f>Skills!A7</f>
        <v/>
      </c>
      <c r="B2301">
        <f>Skills!B7</f>
        <v/>
      </c>
      <c r="C2301">
        <f>Inputs!$B$3&gt;=100</f>
        <v/>
      </c>
      <c r="D2301">
        <f>IF(Skills!C7=1,60+Inputs!$B$25+Inputs!$B$29,IF(Skills!C7=2,90+Inputs!$B$26+Inputs!$B$29,IF(Skills!C7=3,120+Inputs!$B$27+Inputs!$B$29,MAX(0,(Inputs!$B$3-100)*3)+Inputs!$B$28+Inputs!$B$29)))</f>
        <v/>
      </c>
      <c r="E2301">
        <f>INDEX(FactorTable!$B$2:$Y$301, MATCH(ROUND(MIN(300,MAX(1,D2301)),0), FactorTable!$A$2:$A$301,0), Skills!M7+1)</f>
        <v/>
      </c>
      <c r="F2301">
        <f>IF(Skills!N7=TRUE,(Skills!L7/10)*(E2301/1000),Skills!L7/10)+Skills!O7</f>
        <v/>
      </c>
      <c r="G2301">
        <f>Skills!G7*IF(Skills!H7&gt;0,Skills!I7/Skills!H7,1)</f>
        <v/>
      </c>
      <c r="H2301">
        <f>1-(1-Skills!J7/100)^Skills!K7</f>
        <v/>
      </c>
      <c r="I2301" t="inlineStr">
        <is>
          <t>1</t>
        </is>
      </c>
      <c r="J2301">
        <f>((Inputs!$B$6*(1+Inputs!$B$7/100))+(((Inputs!$B$12*(1+Inputs!$B$13/100))-(Inputs!$B$12*(1+Inputs!$B$13/100)))+0.25*(Inputs!$B$14-Inputs!$B$14))*(1+Inputs!$B$7/100))*(F2301/100)</f>
        <v/>
      </c>
      <c r="K2301">
        <f>J2301*(1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2301)</f>
        <v/>
      </c>
      <c r="L2301">
        <f>K2301*(MIN(Inputs!$B$22+((C2314=TRUE)*(F2314-Calc!F20)),(Inputs!$B$23+0+(IF(ArtifactsInput!$M$15,CHOOSE(ArtifactsInput!$N$15+1,25,30,35,40,45,50)/100*(Inputs!$B$11-Inputs!$B$11),0))))/100+(Inputs!$B$23+0+(IF(ArtifactsInput!$M$15,CHOOSE(ArtifactsInput!$N$15+1,25,30,35,40,45,50)/100*(Inputs!$B$11-Inputs!$B$11),0)))/100)/2</f>
        <v/>
      </c>
      <c r="M2301">
        <f>L2301*(1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1">
        <f>L2301*(1-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1">
        <f>(1-Summary!$B$11)*T2301+Summary!$B$11*V2301</f>
        <v/>
      </c>
      <c r="P2301">
        <f>IF(B2330=0,0,O2301/B2330)</f>
        <v/>
      </c>
      <c r="Q2301">
        <f>IFERROR(1/(IF(Inputs!$B$38="pvp",15,MAX(0.1,Skills!D7-IF(Skills!E7=TRUE,Inputs!$B$32,0)))*(1-IF(AND(ArtifactsInput!$M$27,Inputs!$B$4="Chapter Hunt"),CHOOSE(ArtifactsInput!$N$27+1,20,24,28,32,36,40),0)/100)),0)</f>
        <v/>
      </c>
      <c r="R2301">
        <f>IF(AND(Inputs!$B$38&lt;&gt;"pvp",Inputs!$B$43&gt;0),IF(MAX(0,Inputs!$B$43-B2327)&lt;=0,0,(INT(MAX(0,Inputs!$B$43-B2327)/(IF(Inputs!$B$38="pvp",15,MAX(0.1,Skills!D7-IF(Skills!E7=TRUE,Inputs!$B$32,0)))*(1-IF(AND(ArtifactsInput!$M$27,Inputs!$B$4="Chapter Hunt"),CHOOSE(ArtifactsInput!$N$27+1,20,24,28,32,36,40),0)/100)))+1)),0)</f>
        <v/>
      </c>
      <c r="S2301">
        <f>IFERROR(O2301/N2301,0)</f>
        <v/>
      </c>
      <c r="T2301">
        <f>IF(C2301,(H2301*N2301*IF(AND(Inputs!$B$38&lt;&gt;"pvp",Inputs!$B$43&gt;0),((Skills!G7*((R2301-1)*IF(Skills!H7&gt;0,Skills!I7/Skills!H7,1)+IF(Skills!H7&gt;0,MIN(Skills!I7,MAX(0,MAX(0,Inputs!$B$43-B2327)-((R2301-1)*(IF(Inputs!$B$38="pvp",15,MAX(0.1,Skills!D7-IF(Skills!E7=TRUE,Inputs!$B$32,0)))*(1-IF(AND(ArtifactsInput!$M$27,Inputs!$B$4="Chapter Hunt"),CHOOSE(ArtifactsInput!$N$27+1,20,24,28,32,36,40),0)/100)))))/Skills!H7,1)))/Inputs!$B$43),G2301*Q2301)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2301*(1-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2301*(1-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1">
        <f>IF(C2301,(H2301*N2301*IF(AND(Inputs!$B$38&lt;&gt;"pvp",Inputs!$B$43&gt;0),((Skills!G7*((R2301-1)*IF(Skills!H7&gt;0,Skills!I7/Skills!H7,1)+IF(Skills!H7&gt;0,MIN(Skills!I7,MAX(0,MAX(0,Inputs!$B$43-B2327)-((R2301-1)*(IF(Inputs!$B$38="pvp",15,MAX(0.1,Skills!D7-IF(Skills!E7=TRUE,Inputs!$B$32,0)))*(1-IF(AND(ArtifactsInput!$M$27,Inputs!$B$4="Chapter Hunt"),CHOOSE(ArtifactsInput!$N$27+1,20,24,28,32,36,40),0)/100)))))/Skills!H7,1)))/Inputs!$B$43),G2301*Q2301))*IF(Inputs!$B$38="pvp",1,(1+(Inputs!$B$21+Skills!Q7+(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2">
      <c r="A2302">
        <f>Skills!A8</f>
        <v/>
      </c>
      <c r="B2302">
        <f>Skills!B8</f>
        <v/>
      </c>
      <c r="C2302">
        <f>Inputs!$B$3&gt;=110</f>
        <v/>
      </c>
      <c r="D2302">
        <f>IF(Skills!C8=1,60+Inputs!$B$25+Inputs!$B$29,IF(Skills!C8=2,90+Inputs!$B$26+Inputs!$B$29,IF(Skills!C8=3,120+Inputs!$B$27+Inputs!$B$29,MAX(0,(Inputs!$B$3-100)*3)+Inputs!$B$28+Inputs!$B$29)))</f>
        <v/>
      </c>
      <c r="E2302">
        <f>INDEX(FactorTable!$B$2:$Y$301, MATCH(ROUND(MIN(300,MAX(1,D2302)),0), FactorTable!$A$2:$A$301,0), Skills!M8+1)</f>
        <v/>
      </c>
      <c r="F2302">
        <f>IF(Skills!N8=TRUE,(Skills!L8/10)*(E2302/1000),Skills!L8/10)+Skills!O8</f>
        <v/>
      </c>
      <c r="G2302">
        <f>Skills!G8*IF(Skills!H8&gt;0,Skills!I8/Skills!H8,1)</f>
        <v/>
      </c>
      <c r="H2302">
        <f>1-(1-Skills!J8/100)^Skills!K8</f>
        <v/>
      </c>
      <c r="I2302" t="inlineStr">
        <is>
          <t>1</t>
        </is>
      </c>
      <c r="J2302">
        <f>((Inputs!$B$6*(1+Inputs!$B$7/100))+(((Inputs!$B$12*(1+Inputs!$B$13/100))-(Inputs!$B$12*(1+Inputs!$B$13/100)))+0.25*(Inputs!$B$14-Inputs!$B$14))*(1+Inputs!$B$7/100))*(F2302/100)</f>
        <v/>
      </c>
      <c r="K2302">
        <f>J2302*(1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2302)</f>
        <v/>
      </c>
      <c r="L2302">
        <f>K2302*(MIN(Inputs!$B$22+((C2314=TRUE)*(F2314-Calc!F20)),(Inputs!$B$23+0+(IF(ArtifactsInput!$M$15,CHOOSE(ArtifactsInput!$N$15+1,25,30,35,40,45,50)/100*(Inputs!$B$11-Inputs!$B$11),0))))/100+(Inputs!$B$23+0+(IF(ArtifactsInput!$M$15,CHOOSE(ArtifactsInput!$N$15+1,25,30,35,40,45,50)/100*(Inputs!$B$11-Inputs!$B$11),0)))/100)/2</f>
        <v/>
      </c>
      <c r="M2302">
        <f>L2302*(1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2">
        <f>L2302*(1-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2302*(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2">
        <f>(1-Summary!$B$11)*T2302+Summary!$B$11*V2302</f>
        <v/>
      </c>
      <c r="P2302">
        <f>IF(B2330=0,0,O2302/B2330)</f>
        <v/>
      </c>
      <c r="Q2302">
        <f>IFERROR(1/(IF(Inputs!$B$38="pvp",15,MAX(0.1,Skills!D8-IF(Skills!E8=TRUE,Inputs!$B$32,0)))*(1-IF(AND(ArtifactsInput!$M$27,Inputs!$B$4="Chapter Hunt"),CHOOSE(ArtifactsInput!$N$27+1,20,24,28,32,36,40),0)/100)),0)</f>
        <v/>
      </c>
      <c r="R2302">
        <f>IF(AND(Inputs!$B$38&lt;&gt;"pvp",Inputs!$B$43&gt;0),IF(MAX(0,Inputs!$B$43-B2327)&lt;=0,0,(INT(MAX(0,Inputs!$B$43-B2327)/(IF(Inputs!$B$38="pvp",15,MAX(0.1,Skills!D8-IF(Skills!E8=TRUE,Inputs!$B$32,0)))*(1-IF(AND(ArtifactsInput!$M$27,Inputs!$B$4="Chapter Hunt"),CHOOSE(ArtifactsInput!$N$27+1,20,24,28,32,36,40),0)/100)))+1)),0)</f>
        <v/>
      </c>
      <c r="S2302">
        <f>IFERROR(O2302/N2302,0)</f>
        <v/>
      </c>
      <c r="T2302">
        <f>IF(C2302,(H2302*N2302*IF(AND(Inputs!$B$38&lt;&gt;"pvp",Inputs!$B$43&gt;0),((Skills!G8*((R2302-1)*IF(Skills!H8&gt;0,Skills!I8/Skills!H8,1)+IF(Skills!H8&gt;0,MIN(Skills!I8,MAX(0,MAX(0,Inputs!$B$43-B2327)-((R2302-1)*(IF(Inputs!$B$38="pvp",15,MAX(0.1,Skills!D8-IF(Skills!E8=TRUE,Inputs!$B$32,0)))*(1-IF(AND(ArtifactsInput!$M$27,Inputs!$B$4="Chapter Hunt"),CHOOSE(ArtifactsInput!$N$27+1,20,24,28,32,36,40),0)/100)))))/Skills!H8,1)))/Inputs!$B$43),G2302*Q2302)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2302*(1-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2302*(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2302*(1-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2302*(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2">
        <f>IF(C2302,(H2302*N2302*IF(AND(Inputs!$B$38&lt;&gt;"pvp",Inputs!$B$43&gt;0),((Skills!G8*((R2302-1)*IF(Skills!H8&gt;0,Skills!I8/Skills!H8,1)+IF(Skills!H8&gt;0,MIN(Skills!I8,MAX(0,MAX(0,Inputs!$B$43-B2327)-((R2302-1)*(IF(Inputs!$B$38="pvp",15,MAX(0.1,Skills!D8-IF(Skills!E8=TRUE,Inputs!$B$32,0)))*(1-IF(AND(ArtifactsInput!$M$27,Inputs!$B$4="Chapter Hunt"),CHOOSE(ArtifactsInput!$N$27+1,20,24,28,32,36,40),0)/100)))))/Skills!H8,1)))/Inputs!$B$43),G2302*Q2302))*IF(Inputs!$B$38="pvp",1,(1+(Inputs!$B$21+Skills!Q8+(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3">
      <c r="A2303">
        <f>Skills!A9</f>
        <v/>
      </c>
      <c r="B2303">
        <f>Skills!B9</f>
        <v/>
      </c>
      <c r="C2303">
        <f>Inputs!$B$3&gt;=110</f>
        <v/>
      </c>
      <c r="D2303">
        <f>IF(Skills!C9=1,60+Inputs!$B$25+Inputs!$B$29,IF(Skills!C9=2,90+Inputs!$B$26+Inputs!$B$29,IF(Skills!C9=3,120+Inputs!$B$27+Inputs!$B$29,MAX(0,(Inputs!$B$3-100)*3)+Inputs!$B$28+Inputs!$B$29)))</f>
        <v/>
      </c>
      <c r="E2303">
        <f>INDEX(FactorTable!$B$2:$Y$301, MATCH(ROUND(MIN(300,MAX(1,D2303)),0), FactorTable!$A$2:$A$301,0), Skills!M9+1)</f>
        <v/>
      </c>
      <c r="F2303">
        <f>IF(Skills!N9=TRUE,(Skills!L9/10)*(E2303/1000),Skills!L9/10)+Skills!O9</f>
        <v/>
      </c>
      <c r="G2303">
        <f>Skills!G9*IF(Skills!H9&gt;0,Skills!I9/Skills!H9,1)</f>
        <v/>
      </c>
      <c r="H2303">
        <f>1-(1-Skills!J9/100)^Skills!K9</f>
        <v/>
      </c>
      <c r="I2303" t="inlineStr">
        <is>
          <t>1</t>
        </is>
      </c>
      <c r="J2303">
        <f>((Inputs!$B$6*(1+Inputs!$B$7/100))+(((Inputs!$B$12*(1+Inputs!$B$13/100))-(Inputs!$B$12*(1+Inputs!$B$13/100)))+0.25*(Inputs!$B$14-Inputs!$B$14))*(1+Inputs!$B$7/100))*(F2303/100)</f>
        <v/>
      </c>
      <c r="K2303">
        <f>J2303*(1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2303)</f>
        <v/>
      </c>
      <c r="L2303">
        <f>K2303*(MIN(Inputs!$B$22+((C2314=TRUE)*(F2314-Calc!F20)),(Inputs!$B$23+0+(IF(ArtifactsInput!$M$15,CHOOSE(ArtifactsInput!$N$15+1,25,30,35,40,45,50)/100*(Inputs!$B$11-Inputs!$B$11),0))))/100+(Inputs!$B$23+0+(IF(ArtifactsInput!$M$15,CHOOSE(ArtifactsInput!$N$15+1,25,30,35,40,45,50)/100*(Inputs!$B$11-Inputs!$B$11),0)))/100)/2</f>
        <v/>
      </c>
      <c r="M2303">
        <f>L2303*(1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3">
        <f>L2303*(1-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2303*(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3">
        <f>(1-Summary!$B$11)*T2303+Summary!$B$11*V2303</f>
        <v/>
      </c>
      <c r="P2303">
        <f>IF(B2330=0,0,O2303/B2330)</f>
        <v/>
      </c>
      <c r="Q2303">
        <f>IFERROR(1/(IF(Inputs!$B$38="pvp",15,MAX(0.1,Skills!D9-IF(Skills!E9=TRUE,Inputs!$B$32,0)))*(1-IF(AND(ArtifactsInput!$M$27,Inputs!$B$4="Chapter Hunt"),CHOOSE(ArtifactsInput!$N$27+1,20,24,28,32,36,40),0)/100)),0)</f>
        <v/>
      </c>
      <c r="R2303">
        <f>IF(AND(Inputs!$B$38&lt;&gt;"pvp",Inputs!$B$43&gt;0),IF(MAX(0,Inputs!$B$43-B2327)&lt;=0,0,(INT(MAX(0,Inputs!$B$43-B2327)/(IF(Inputs!$B$38="pvp",15,MAX(0.1,Skills!D9-IF(Skills!E9=TRUE,Inputs!$B$32,0)))*(1-IF(AND(ArtifactsInput!$M$27,Inputs!$B$4="Chapter Hunt"),CHOOSE(ArtifactsInput!$N$27+1,20,24,28,32,36,40),0)/100)))+1)),0)</f>
        <v/>
      </c>
      <c r="S2303">
        <f>IFERROR(O2303/N2303,0)</f>
        <v/>
      </c>
      <c r="T2303">
        <f>IF(C2303,(H2303*N2303*IF(AND(Inputs!$B$38&lt;&gt;"pvp",Inputs!$B$43&gt;0),((Skills!G9*((R2303-1)*IF(Skills!H9&gt;0,Skills!I9/Skills!H9,1)+IF(Skills!H9&gt;0,MIN(Skills!I9,MAX(0,MAX(0,Inputs!$B$43-B2327)-((R2303-1)*(IF(Inputs!$B$38="pvp",15,MAX(0.1,Skills!D9-IF(Skills!E9=TRUE,Inputs!$B$32,0)))*(1-IF(AND(ArtifactsInput!$M$27,Inputs!$B$4="Chapter Hunt"),CHOOSE(ArtifactsInput!$N$27+1,20,24,28,32,36,40),0)/100)))))/Skills!H9,1)))/Inputs!$B$43),G2303*Q2303)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2303*(1-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2303*(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2303*(1-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2303*(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3">
        <f>IF(C2303,(H2303*N2303*IF(AND(Inputs!$B$38&lt;&gt;"pvp",Inputs!$B$43&gt;0),((Skills!G9*((R2303-1)*IF(Skills!H9&gt;0,Skills!I9/Skills!H9,1)+IF(Skills!H9&gt;0,MIN(Skills!I9,MAX(0,MAX(0,Inputs!$B$43-B2327)-((R2303-1)*(IF(Inputs!$B$38="pvp",15,MAX(0.1,Skills!D9-IF(Skills!E9=TRUE,Inputs!$B$32,0)))*(1-IF(AND(ArtifactsInput!$M$27,Inputs!$B$4="Chapter Hunt"),CHOOSE(ArtifactsInput!$N$27+1,20,24,28,32,36,40),0)/100)))))/Skills!H9,1)))/Inputs!$B$43),G2303*Q2303))*IF(Inputs!$B$38="pvp",1,(1+(Inputs!$B$21+Skills!Q9+(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4">
      <c r="A2304">
        <f>Skills!A10</f>
        <v/>
      </c>
      <c r="B2304">
        <f>Skills!B10</f>
        <v/>
      </c>
      <c r="C2304">
        <f>Inputs!$B$3&gt;=103</f>
        <v/>
      </c>
      <c r="D2304">
        <f>IF(Skills!C10=1,60+Inputs!$B$25+Inputs!$B$29,IF(Skills!C10=2,90+Inputs!$B$26+Inputs!$B$29,IF(Skills!C10=3,120+Inputs!$B$27+Inputs!$B$29,MAX(0,(Inputs!$B$3-100)*3)+Inputs!$B$28+Inputs!$B$29)))</f>
        <v/>
      </c>
      <c r="E2304">
        <f>INDEX(FactorTable!$B$2:$Y$301, MATCH(ROUND(MIN(300,MAX(1,D2304)),0), FactorTable!$A$2:$A$301,0), Skills!M10+1)</f>
        <v/>
      </c>
      <c r="F2304">
        <f>IF(Skills!N10=TRUE,(Skills!L10/10)*(E2304/1000),Skills!L10/10)+Skills!O10</f>
        <v/>
      </c>
      <c r="G2304">
        <f>Skills!G10*IF(Skills!H10&gt;0,Skills!I10/Skills!H10,1)</f>
        <v/>
      </c>
      <c r="H2304">
        <f>1-(1-Skills!J10/100)^Skills!K10</f>
        <v/>
      </c>
      <c r="I2304" t="inlineStr">
        <is>
          <t>1</t>
        </is>
      </c>
      <c r="J2304">
        <f>((Inputs!$B$6*(1+Inputs!$B$7/100))+(((Inputs!$B$12*(1+Inputs!$B$13/100))-(Inputs!$B$12*(1+Inputs!$B$13/100)))+0.25*(Inputs!$B$14-Inputs!$B$14))*(1+Inputs!$B$7/100))*(F2304/100)</f>
        <v/>
      </c>
      <c r="K2304">
        <f>J2304*(1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2304)</f>
        <v/>
      </c>
      <c r="L2304">
        <f>K2304*(MIN(Inputs!$B$22+((C2314=TRUE)*(F2314-Calc!F20)),(Inputs!$B$23+0+(IF(ArtifactsInput!$M$15,CHOOSE(ArtifactsInput!$N$15+1,25,30,35,40,45,50)/100*(Inputs!$B$11-Inputs!$B$11),0))))/100+(Inputs!$B$23+0+(IF(ArtifactsInput!$M$15,CHOOSE(ArtifactsInput!$N$15+1,25,30,35,40,45,50)/100*(Inputs!$B$11-Inputs!$B$11),0)))/100)/2</f>
        <v/>
      </c>
      <c r="M2304">
        <f>L2304*(1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4">
        <f>L2304*(1-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2304*(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4">
        <f>(1-Summary!$B$11)*T2304+Summary!$B$11*V2304</f>
        <v/>
      </c>
      <c r="P2304">
        <f>IF(B2330=0,0,O2304/B2330)</f>
        <v/>
      </c>
      <c r="Q2304">
        <f>IFERROR(1/(IF(Inputs!$B$38="pvp",15,MAX(0.1,Skills!D10-IF(Skills!E10=TRUE,Inputs!$B$32,0)))*(1-IF(AND(ArtifactsInput!$M$27,Inputs!$B$4="Chapter Hunt"),CHOOSE(ArtifactsInput!$N$27+1,20,24,28,32,36,40),0)/100)),0)</f>
        <v/>
      </c>
      <c r="R2304">
        <f>IF(AND(Inputs!$B$38&lt;&gt;"pvp",Inputs!$B$43&gt;0),IF(MAX(0,Inputs!$B$43-B2327)&lt;=0,0,(INT(MAX(0,Inputs!$B$43-B2327)/(IF(Inputs!$B$38="pvp",15,MAX(0.1,Skills!D10-IF(Skills!E10=TRUE,Inputs!$B$32,0)))*(1-IF(AND(ArtifactsInput!$M$27,Inputs!$B$4="Chapter Hunt"),CHOOSE(ArtifactsInput!$N$27+1,20,24,28,32,36,40),0)/100)))+1)),0)</f>
        <v/>
      </c>
      <c r="S2304">
        <f>IFERROR(O2304/N2304,0)</f>
        <v/>
      </c>
      <c r="T2304">
        <f>IF(C2304,(H2304*N2304*IF(AND(Inputs!$B$38&lt;&gt;"pvp",Inputs!$B$43&gt;0),((Skills!G10*((R2304-1)*IF(Skills!H10&gt;0,Skills!I10/Skills!H10,1)+IF(Skills!H10&gt;0,MIN(Skills!I10,MAX(0,MAX(0,Inputs!$B$43-B2327)-((R2304-1)*(IF(Inputs!$B$38="pvp",15,MAX(0.1,Skills!D10-IF(Skills!E10=TRUE,Inputs!$B$32,0)))*(1-IF(AND(ArtifactsInput!$M$27,Inputs!$B$4="Chapter Hunt"),CHOOSE(ArtifactsInput!$N$27+1,20,24,28,32,36,40),0)/100)))))/Skills!H10,1)))/Inputs!$B$43),G2304*Q2304)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2304*(1-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2304*(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2304*(1-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2304*(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4">
        <f>IF(C2304,(H2304*N2304*IF(AND(Inputs!$B$38&lt;&gt;"pvp",Inputs!$B$43&gt;0),((Skills!G10*((R2304-1)*IF(Skills!H10&gt;0,Skills!I10/Skills!H10,1)+IF(Skills!H10&gt;0,MIN(Skills!I10,MAX(0,MAX(0,Inputs!$B$43-B2327)-((R2304-1)*(IF(Inputs!$B$38="pvp",15,MAX(0.1,Skills!D10-IF(Skills!E10=TRUE,Inputs!$B$32,0)))*(1-IF(AND(ArtifactsInput!$M$27,Inputs!$B$4="Chapter Hunt"),CHOOSE(ArtifactsInput!$N$27+1,20,24,28,32,36,40),0)/100)))))/Skills!H10,1)))/Inputs!$B$43),G2304*Q2304))*IF(Inputs!$B$38="pvp",1,(1+(Inputs!$B$21+Skills!Q10+(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5">
      <c r="A2305">
        <f>Skills!A11</f>
        <v/>
      </c>
      <c r="B2305">
        <f>Skills!B11</f>
        <v/>
      </c>
      <c r="C2305">
        <f>Inputs!$B$3&gt;=113</f>
        <v/>
      </c>
      <c r="D2305">
        <f>IF(Skills!C11=1,60+Inputs!$B$25+Inputs!$B$29,IF(Skills!C11=2,90+Inputs!$B$26+Inputs!$B$29,IF(Skills!C11=3,120+Inputs!$B$27+Inputs!$B$29,MAX(0,(Inputs!$B$3-100)*3)+Inputs!$B$28+Inputs!$B$29)))</f>
        <v/>
      </c>
      <c r="E2305">
        <f>INDEX(FactorTable!$B$2:$Y$301, MATCH(ROUND(MIN(300,MAX(1,D2305)),0), FactorTable!$A$2:$A$301,0), Skills!M11+1)</f>
        <v/>
      </c>
      <c r="F2305">
        <f>IF(Skills!N11=TRUE,(Skills!L11/10)*(E2305/1000),Skills!L11/10)+Skills!O11</f>
        <v/>
      </c>
      <c r="G2305">
        <f>Skills!G11*IF(Skills!H11&gt;0,Skills!I11/Skills!H11,1)</f>
        <v/>
      </c>
      <c r="H2305">
        <f>1-(1-Skills!J11/100)^Skills!K11</f>
        <v/>
      </c>
      <c r="I2305" t="inlineStr">
        <is>
          <t>1</t>
        </is>
      </c>
      <c r="J2305">
        <f>((Inputs!$B$6*(1+Inputs!$B$7/100))+(((Inputs!$B$12*(1+Inputs!$B$13/100))-(Inputs!$B$12*(1+Inputs!$B$13/100)))+0.25*(Inputs!$B$14-Inputs!$B$14))*(1+Inputs!$B$7/100))*(F2305/100)</f>
        <v/>
      </c>
      <c r="K2305">
        <f>J2305*(1+((Inputs!$B$12*(1+Inputs!$B$13/100))*0.01+Inputs!$B$14*0.0025)/100)*(1+Inputs!$B$15/100)*(1+Inputs!$B$16/100)*(5000/(6000+Inputs!$B$42*(1-(100*(1-(1-(Inputs!$B$19+0)/100)*(1-CHOOSE(ArtifactsInput!$N$40+1,5,6,7,8,9,10)/100)^(ArtifactsInput!$M$40-ArtifactsInput!$M$40)))/100)))*(1+(Inputs!$B$24+((C2316=TRUE)*(F2316-Calc!F22))+B2326)/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2315=TRUE)*(F2315-Calc!F21))+(((IF(AND(ArtifactsInput!$M$42,((Inputs!$B$9+((C2310=TRUE)*(F2310-Calc!F16))+B2320+(ArtifactsInput!$M$24-ArtifactsInput!$M$24)*CHOOSE(ArtifactsInput!$N$24+1,10,12,14,16,18,20)+IF(ArtifactsInput!$M$10,CHOOSE(ArtifactsInput!$N$10+1,15,18,21,24,27,30)*(IF(Inputs!$B$38="pvp",MIN(15,15)/15,IF(AND(Inputs!$B$38&lt;&gt;"pvp",Inputs!$B$43&gt;0),MIN(15,Inputs!$B$43)/(Inputs!$B$43),0))),0)))&gt;=100),MIN(100,((Inputs!$B$9+((C2310=TRUE)*(F2310-Calc!F16))+B2320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2310=TRUE)*(F2310-Calc!F16))+B2320+(ArtifactsInput!$M$24-ArtifactsInput!$M$24)*CHOOSE(ArtifactsInput!$N$24+1,10,12,14,16,18,20)+IF(ArtifactsInput!$M$10,CHOOSE(ArtifactsInput!$N$10+1,15,18,21,24,27,30)*(IF(Inputs!$B$38="pvp",MIN(15,15)/15,IF(AND(Inputs!$B$38&lt;&gt;"pvp",Inputs!$B$43&gt;0),MIN(15,Inputs!$B$43)/(Inputs!$B$43),0))),0)))&gt;=100),CHOOSE(ArtifactsInput!$N$42+1,40,48,56,64,72,80),0))))/100)*((1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2305)</f>
        <v/>
      </c>
      <c r="L2305">
        <f>K2305*(MIN(Inputs!$B$22+((C2314=TRUE)*(F2314-Calc!F20)),(Inputs!$B$23+0+(IF(ArtifactsInput!$M$15,CHOOSE(ArtifactsInput!$N$15+1,25,30,35,40,45,50)/100*(Inputs!$B$11-Inputs!$B$11),0))))/100+(Inputs!$B$23+0+(IF(ArtifactsInput!$M$15,CHOOSE(ArtifactsInput!$N$15+1,25,30,35,40,45,50)/100*(Inputs!$B$11-Inputs!$B$11),0)))/100)/2</f>
        <v/>
      </c>
      <c r="M2305">
        <f>L2305*(1+(Inputs!$B$10+0+B2325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05">
        <f>L2305*(1-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2305*(MIN((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05">
        <f>(1-Summary!$B$11)*T2305+Summary!$B$11*V2305</f>
        <v/>
      </c>
      <c r="P2305">
        <f>IF(B2330=0,0,O2305/B2330)</f>
        <v/>
      </c>
      <c r="Q2305">
        <f>IFERROR(1/(IF(Inputs!$B$38="pvp",15,MAX(0.1,Skills!D11-IF(Skills!E11=TRUE,Inputs!$B$32,0)))*(1-IF(AND(ArtifactsInput!$M$27,Inputs!$B$4="Chapter Hunt"),CHOOSE(ArtifactsInput!$N$27+1,20,24,28,32,36,40),0)/100)),0)</f>
        <v/>
      </c>
      <c r="R2305">
        <f>IF(AND(Inputs!$B$38&lt;&gt;"pvp",Inputs!$B$43&gt;0),IF(MAX(0,Inputs!$B$43-B2327)&lt;=0,0,(INT(MAX(0,Inputs!$B$43-B2327)/(IF(Inputs!$B$38="pvp",15,MAX(0.1,Skills!D11-IF(Skills!E11=TRUE,Inputs!$B$32,0)))*(1-IF(AND(ArtifactsInput!$M$27,Inputs!$B$4="Chapter Hunt"),CHOOSE(ArtifactsInput!$N$27+1,20,24,28,32,36,40),0)/100)))+1)),0)</f>
        <v/>
      </c>
      <c r="S2305">
        <f>IFERROR(O2305/N2305,0)</f>
        <v/>
      </c>
      <c r="T2305">
        <f>IF(C2305,(H2305*N2305*IF(AND(Inputs!$B$38&lt;&gt;"pvp",Inputs!$B$43&gt;0),((Skills!G11*((R2305-1)*IF(Skills!H11&gt;0,Skills!I11/Skills!H11,1)+IF(Skills!H11&gt;0,MIN(Skills!I11,MAX(0,MAX(0,Inputs!$B$43-B2327)-((R2305-1)*(IF(Inputs!$B$38="pvp",15,MAX(0.1,Skills!D11-IF(Skills!E11=TRUE,Inputs!$B$32,0)))*(1-IF(AND(ArtifactsInput!$M$27,Inputs!$B$4="Chapter Hunt"),CHOOSE(ArtifactsInput!$N$27+1,20,24,28,32,36,40),0)/100)))))/Skills!H11,1)))/Inputs!$B$43),G2305*Q2305)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2305*(1-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2305*(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2305*(1-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2305*(MIN(100,(Inputs!$B$9+((C2310=TRUE)*(F2310-Calc!F16))+B2320+(ArtifactsInput!$M$24-ArtifactsInput!$M$24)*CHOOSE(ArtifactsInput!$N$24+1,10,12,14,16,18,20)+(IF(AND(ArtifactsInput!$M$42,((Inputs!$B$9+((C2310=TRUE)*(F2310-Calc!F16))+B2320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05">
        <f>IF(C2305,(H2305*N2305*IF(AND(Inputs!$B$38&lt;&gt;"pvp",Inputs!$B$43&gt;0),((Skills!G11*((R2305-1)*IF(Skills!H11&gt;0,Skills!I11/Skills!H11,1)+IF(Skills!H11&gt;0,MIN(Skills!I11,MAX(0,MAX(0,Inputs!$B$43-B2327)-((R2305-1)*(IF(Inputs!$B$38="pvp",15,MAX(0.1,Skills!D11-IF(Skills!E11=TRUE,Inputs!$B$32,0)))*(1-IF(AND(ArtifactsInput!$M$27,Inputs!$B$4="Chapter Hunt"),CHOOSE(ArtifactsInput!$N$27+1,20,24,28,32,36,40),0)/100)))))/Skills!H11,1)))/Inputs!$B$43),G2305*Q2305))*IF(Inputs!$B$38="pvp",1,(1+(Inputs!$B$21+Skills!Q11+(IF(ArtifactsInput!$M$33,CHOOSE(ArtifactsInput!$N$33+1,30,36,42,48,54,60),0))+(IF(AND(ArtifactsInput!$M$35,Inputs!$B$4&lt;&gt;"Chapter Hunt"),CHOOSE(ArtifactsInput!$N$35+1,15,18,21,24,27,30)*(1-EXP(-(0.2*B2322)*5)),0)+IF(AND(ArtifactsInput!$M$22,Inputs!$B$4&lt;&gt;"Chapter Hunt"),CHOOSE(ArtifactsInput!$N$22+1,10,12,14,16,18,20)*((0*(((0.15*B2322*5))^0/1)+1*(((0.15*B2322*5))^1/1)+2*(((0.15*B2322*5))^2/2)+3*(((0.15*B2322*5))^3/6)+4*(((0.15*B2322*5))^4/24)+5*(((0.15*B2322*5))^5/120))/((((0.15*B2322*5))^0/1)+(((0.15*B2322*5))^1/1)+(((0.15*B2322*5))^2/2)+(((0.15*B2322*5))^3/6)+(((0.15*B2322*5))^4/24)+(((0.15*B2322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06">
      <c r="A2306">
        <f>Skills!A12</f>
        <v/>
      </c>
      <c r="B2306">
        <f>Skills!B12</f>
        <v/>
      </c>
      <c r="C2306">
        <f>Inputs!$B$3&gt;=100</f>
        <v/>
      </c>
      <c r="D2306">
        <f>IF(Skills!C12=1,60+Inputs!$B$25+Inputs!$B$29,IF(Skills!C12=2,90+Inputs!$B$26+Inputs!$B$29,IF(Skills!C12=3,120+Inputs!$B$27+Inputs!$B$29,MAX(0,(Inputs!$B$3-100)*3)+Inputs!$B$28+Inputs!$B$29)))</f>
        <v/>
      </c>
      <c r="E2306">
        <f>INDEX(FactorTable!$B$2:$Y$301, MATCH(ROUND(MIN(300,MAX(1,D2306)),0), FactorTable!$A$2:$A$301,0), Skills!M12+1)</f>
        <v/>
      </c>
      <c r="F2306">
        <f>IF(Skills!N12=TRUE,(Skills!L12/10)*(E2306/1000),Skills!L12/10)+Skills!O12</f>
        <v/>
      </c>
      <c r="G2306" t="inlineStr"/>
      <c r="H2306" t="inlineStr"/>
      <c r="I2306" t="inlineStr">
        <is>
          <t>1</t>
        </is>
      </c>
      <c r="J2306" t="inlineStr"/>
      <c r="K2306" t="inlineStr"/>
      <c r="L2306" t="inlineStr"/>
      <c r="M2306" t="inlineStr"/>
      <c r="N2306" t="inlineStr"/>
      <c r="O2306" t="inlineStr"/>
      <c r="P2306" t="inlineStr"/>
      <c r="Q2306" t="inlineStr"/>
      <c r="R2306" t="inlineStr"/>
      <c r="S2306" t="inlineStr"/>
      <c r="T2306" t="inlineStr"/>
      <c r="V2306" t="inlineStr"/>
    </row>
    <row r="2307">
      <c r="A2307">
        <f>Skills!A13</f>
        <v/>
      </c>
      <c r="B2307">
        <f>Skills!B13</f>
        <v/>
      </c>
      <c r="C2307">
        <f>Inputs!$B$3&gt;=66</f>
        <v/>
      </c>
      <c r="D2307">
        <f>IF(Skills!C13=1,60+Inputs!$B$25+Inputs!$B$29,IF(Skills!C13=2,90+Inputs!$B$26+Inputs!$B$29,IF(Skills!C13=3,120+Inputs!$B$27+Inputs!$B$29,MAX(0,(Inputs!$B$3-100)*3)+Inputs!$B$28+Inputs!$B$29)))</f>
        <v/>
      </c>
      <c r="E2307">
        <f>INDEX(FactorTable!$B$2:$Y$301, MATCH(ROUND(MIN(300,MAX(1,D2307)),0), FactorTable!$A$2:$A$301,0), Skills!M13+1)</f>
        <v/>
      </c>
      <c r="F2307">
        <f>IF(Skills!N13=TRUE,(Skills!L13/10)*(E2307/1000),Skills!L13/10)+Skills!O13</f>
        <v/>
      </c>
      <c r="G2307">
        <f>Skills!G13*IF(Skills!H13&gt;0,Skills!I13/Skills!H13,1)</f>
        <v/>
      </c>
      <c r="H2307">
        <f>1-(1-Skills!J13/100)^Skills!K13</f>
        <v/>
      </c>
      <c r="I2307" t="inlineStr">
        <is>
          <t>1</t>
        </is>
      </c>
      <c r="J2307" t="inlineStr"/>
      <c r="K2307" t="inlineStr"/>
      <c r="L2307" t="inlineStr"/>
      <c r="M2307" t="inlineStr"/>
      <c r="N2307" t="inlineStr"/>
      <c r="O2307">
        <f>(1-Summary!$B$11)*T2307+Summary!$B$11*V2307</f>
        <v/>
      </c>
      <c r="P2307">
        <f>IF(B2330=0,0,O2307/B2330)</f>
        <v/>
      </c>
      <c r="Q2307" t="n">
        <v>0</v>
      </c>
      <c r="R2307" t="n">
        <v>0</v>
      </c>
      <c r="S2307">
        <f>IFERROR(O2307/N2307,0)</f>
        <v/>
      </c>
      <c r="T2307" t="n">
        <v>0</v>
      </c>
      <c r="V2307" t="n">
        <v>0</v>
      </c>
    </row>
    <row r="2308">
      <c r="A2308">
        <f>Skills!A14</f>
        <v/>
      </c>
      <c r="B2308">
        <f>Skills!B14</f>
        <v/>
      </c>
      <c r="C2308">
        <f>Inputs!$B$3&gt;=107</f>
        <v/>
      </c>
      <c r="D2308">
        <f>IF(Skills!C14=1,60+Inputs!$B$25+Inputs!$B$29,IF(Skills!C14=2,90+Inputs!$B$26+Inputs!$B$29,IF(Skills!C14=3,120+Inputs!$B$27+Inputs!$B$29,MAX(0,(Inputs!$B$3-100)*3)+Inputs!$B$28+Inputs!$B$29)))</f>
        <v/>
      </c>
      <c r="E2308">
        <f>INDEX(FactorTable!$B$2:$Y$301, MATCH(ROUND(MIN(300,MAX(1,D2308)),0), FactorTable!$A$2:$A$301,0), Skills!M14+1)</f>
        <v/>
      </c>
      <c r="F2308">
        <f>IF(Skills!N14=TRUE,(Skills!L14/10)*(E2308/1000),Skills!L14/10)+Skills!O14</f>
        <v/>
      </c>
      <c r="G2308">
        <f>Skills!G14*IF(Skills!H14&gt;0,Skills!I14/Skills!H14,1)</f>
        <v/>
      </c>
      <c r="H2308">
        <f>1-(1-Skills!J14/100)^Skills!K14</f>
        <v/>
      </c>
      <c r="I2308" t="inlineStr">
        <is>
          <t>1</t>
        </is>
      </c>
      <c r="J2308" t="inlineStr"/>
      <c r="K2308" t="inlineStr"/>
      <c r="L2308" t="inlineStr"/>
      <c r="M2308" t="inlineStr"/>
      <c r="N2308" t="inlineStr"/>
      <c r="O2308">
        <f>(1-Summary!$B$11)*T2308+Summary!$B$11*V2308</f>
        <v/>
      </c>
      <c r="P2308">
        <f>IF(B2330=0,0,O2308/B2330)</f>
        <v/>
      </c>
      <c r="Q2308">
        <f>IFERROR(1/(IF(Inputs!$B$38="pvp",15,MAX(0.1,Skills!D14-IF(Skills!E14=TRUE,Inputs!$B$32,0)))*(1-IF(AND(ArtifactsInput!$M$27,Inputs!$B$4="Chapter Hunt"),CHOOSE(ArtifactsInput!$N$27+1,20,24,28,32,36,40),0)/100)),0)</f>
        <v/>
      </c>
      <c r="R2308">
        <f>IF(AND(Inputs!$B$38&lt;&gt;"pvp",Inputs!$B$43&gt;0),IF(Inputs!$B$43&lt;=0,0,(INT(Inputs!$B$43/(IF(Inputs!$B$38="pvp",15,MAX(0.1,Skills!D14-IF(Skills!E14=TRUE,Inputs!$B$32,0)))*(1-IF(AND(ArtifactsInput!$M$27,Inputs!$B$4="Chapter Hunt"),CHOOSE(ArtifactsInput!$N$27+1,20,24,28,32,36,40),0)/100)))+1)),0)</f>
        <v/>
      </c>
      <c r="S2308">
        <f>IFERROR(O2308/N2308,0)</f>
        <v/>
      </c>
      <c r="T2308" t="n">
        <v>0</v>
      </c>
      <c r="V2308" t="n">
        <v>0</v>
      </c>
    </row>
    <row r="2309">
      <c r="A2309">
        <f>Skills!A15</f>
        <v/>
      </c>
      <c r="B2309">
        <f>Skills!B15</f>
        <v/>
      </c>
      <c r="C2309">
        <f>Inputs!$B$3&gt;=115</f>
        <v/>
      </c>
      <c r="D2309">
        <f>IF(Skills!C15=1,60+Inputs!$B$25+Inputs!$B$29,IF(Skills!C15=2,90+Inputs!$B$26+Inputs!$B$29,IF(Skills!C15=3,120+Inputs!$B$27+Inputs!$B$29,MAX(0,(Inputs!$B$3-100)*3)+Inputs!$B$28+Inputs!$B$29)))</f>
        <v/>
      </c>
      <c r="E2309">
        <f>INDEX(FactorTable!$B$2:$Y$301, MATCH(ROUND(MIN(300,MAX(1,D2309)),0), FactorTable!$A$2:$A$301,0), Skills!M15+1)</f>
        <v/>
      </c>
      <c r="F2309">
        <f>IF(Skills!N15=TRUE,(Skills!L15/10)*(E2309/1000),Skills!L15/10)+Skills!O15</f>
        <v/>
      </c>
      <c r="G2309">
        <f>Skills!G15*IF(Skills!H15&gt;0,Skills!I15/Skills!H15,1)</f>
        <v/>
      </c>
      <c r="H2309">
        <f>1-(1-Skills!J15/100)^Skills!K15</f>
        <v/>
      </c>
      <c r="I2309" t="inlineStr">
        <is>
          <t>1</t>
        </is>
      </c>
      <c r="J2309" t="inlineStr"/>
      <c r="K2309" t="inlineStr"/>
      <c r="L2309" t="inlineStr"/>
      <c r="M2309" t="inlineStr"/>
      <c r="N2309" t="inlineStr"/>
      <c r="O2309">
        <f>(1-Summary!$B$11)*T2309+Summary!$B$11*V2309</f>
        <v/>
      </c>
      <c r="P2309">
        <f>IF(B2330=0,0,O2309/B2330)</f>
        <v/>
      </c>
      <c r="Q2309">
        <f>IFERROR(1/(IF(Inputs!$B$38="pvp",15,MAX(0.1,Skills!D15-IF(Skills!E15=TRUE,Inputs!$B$32,0)))*(1-IF(AND(ArtifactsInput!$M$27,Inputs!$B$4="Chapter Hunt"),CHOOSE(ArtifactsInput!$N$27+1,20,24,28,32,36,40),0)/100)),0)</f>
        <v/>
      </c>
      <c r="R2309">
        <f>IF(AND(Inputs!$B$38&lt;&gt;"pvp",Inputs!$B$43&gt;0),IF(Inputs!$B$43&lt;=0,0,(INT(Inputs!$B$43/(IF(Inputs!$B$38="pvp",15,MAX(0.1,Skills!D15-IF(Skills!E15=TRUE,Inputs!$B$32,0)))*(1-IF(AND(ArtifactsInput!$M$27,Inputs!$B$4="Chapter Hunt"),CHOOSE(ArtifactsInput!$N$27+1,20,24,28,32,36,40),0)/100)))+1)),0)</f>
        <v/>
      </c>
      <c r="S2309">
        <f>IFERROR(O2309/N2309,0)</f>
        <v/>
      </c>
      <c r="T2309" t="n">
        <v>0</v>
      </c>
      <c r="V2309" t="n">
        <v>0</v>
      </c>
    </row>
    <row r="2310">
      <c r="A2310">
        <f>Skills!A16</f>
        <v/>
      </c>
      <c r="B2310">
        <f>Skills!B16</f>
        <v/>
      </c>
      <c r="C2310">
        <f>Inputs!$B$3&gt;=15</f>
        <v/>
      </c>
      <c r="D2310">
        <f>IF(Skills!C16=1,60+Inputs!$B$25+Inputs!$B$29,IF(Skills!C16=2,90+Inputs!$B$26+Inputs!$B$29,IF(Skills!C16=3,120+Inputs!$B$27+Inputs!$B$29,MAX(0,(Inputs!$B$3-100)*3)+Inputs!$B$28+Inputs!$B$29)))</f>
        <v/>
      </c>
      <c r="E2310">
        <f>INDEX(FactorTable!$B$2:$Y$301, MATCH(ROUND(MIN(300,MAX(1,D2310)),0), FactorTable!$A$2:$A$301,0), Skills!M16+1)</f>
        <v/>
      </c>
      <c r="F2310">
        <f>IF(Skills!N16=TRUE,(Skills!L16/10)*(E2310/1000),Skills!L16/10)+Skills!O16</f>
        <v/>
      </c>
      <c r="G2310">
        <f>Skills!G16*IF(Skills!H16&gt;0,Skills!I16/Skills!H16,1)</f>
        <v/>
      </c>
      <c r="H2310">
        <f>1-(1-Skills!J16/100)^Skills!K16</f>
        <v/>
      </c>
      <c r="I2310" t="inlineStr">
        <is>
          <t>1</t>
        </is>
      </c>
      <c r="J2310" t="inlineStr"/>
      <c r="K2310" t="inlineStr"/>
      <c r="L2310" t="inlineStr"/>
      <c r="M2310" t="inlineStr"/>
      <c r="N2310" t="inlineStr"/>
      <c r="O2310">
        <f>(1-Summary!$B$11)*T2310+Summary!$B$11*V2310</f>
        <v/>
      </c>
      <c r="P2310">
        <f>IF(B2330=0,0,O2310/B2330)</f>
        <v/>
      </c>
      <c r="Q2310" t="n">
        <v>0</v>
      </c>
      <c r="R2310" t="n">
        <v>0</v>
      </c>
      <c r="S2310">
        <f>IFERROR(O2310/N2310,0)</f>
        <v/>
      </c>
      <c r="T2310" t="n">
        <v>0</v>
      </c>
      <c r="V2310" t="n">
        <v>0</v>
      </c>
    </row>
    <row r="2311">
      <c r="A2311">
        <f>Skills!A17</f>
        <v/>
      </c>
      <c r="B2311">
        <f>Skills!B17</f>
        <v/>
      </c>
      <c r="C2311">
        <f>Inputs!$B$3&gt;=10</f>
        <v/>
      </c>
      <c r="D2311">
        <f>IF(Skills!C17=1,60+Inputs!$B$25+Inputs!$B$29,IF(Skills!C17=2,90+Inputs!$B$26+Inputs!$B$29,IF(Skills!C17=3,120+Inputs!$B$27+Inputs!$B$29,MAX(0,(Inputs!$B$3-100)*3)+Inputs!$B$28+Inputs!$B$29)))</f>
        <v/>
      </c>
      <c r="E2311">
        <f>INDEX(FactorTable!$B$2:$Y$301, MATCH(ROUND(MIN(300,MAX(1,D2311)),0), FactorTable!$A$2:$A$301,0), Skills!M17+1)</f>
        <v/>
      </c>
      <c r="F2311">
        <f>IF(Skills!N17=TRUE,(Skills!L17/10)*(E2311/1000),Skills!L17/10)+Skills!O17</f>
        <v/>
      </c>
      <c r="G2311">
        <f>Skills!G17*IF(Skills!H17&gt;0,Skills!I17/Skills!H17,1)</f>
        <v/>
      </c>
      <c r="H2311">
        <f>1-(1-Skills!J17/100)^Skills!K17</f>
        <v/>
      </c>
      <c r="I2311" t="inlineStr">
        <is>
          <t>1</t>
        </is>
      </c>
      <c r="J2311" t="inlineStr"/>
      <c r="K2311" t="inlineStr"/>
      <c r="L2311" t="inlineStr"/>
      <c r="M2311" t="inlineStr"/>
      <c r="N2311" t="inlineStr"/>
      <c r="O2311">
        <f>(1-Summary!$B$11)*T2311+Summary!$B$11*V2311</f>
        <v/>
      </c>
      <c r="P2311">
        <f>IF(B2330=0,0,O2311/B2330)</f>
        <v/>
      </c>
      <c r="Q2311" t="n">
        <v>0</v>
      </c>
      <c r="R2311" t="n">
        <v>0</v>
      </c>
      <c r="S2311">
        <f>IFERROR(O2311/N2311,0)</f>
        <v/>
      </c>
      <c r="T2311" t="n">
        <v>0</v>
      </c>
      <c r="V2311" t="n">
        <v>0</v>
      </c>
    </row>
    <row r="2312">
      <c r="A2312">
        <f>Skills!A18</f>
        <v/>
      </c>
      <c r="B2312">
        <f>Skills!B18</f>
        <v/>
      </c>
      <c r="C2312">
        <f>Inputs!$B$3&gt;=33</f>
        <v/>
      </c>
      <c r="D2312">
        <f>IF(Skills!C18=1,60+Inputs!$B$25+Inputs!$B$29,IF(Skills!C18=2,90+Inputs!$B$26+Inputs!$B$29,IF(Skills!C18=3,120+Inputs!$B$27+Inputs!$B$29,MAX(0,(Inputs!$B$3-100)*3)+Inputs!$B$28+Inputs!$B$29)))</f>
        <v/>
      </c>
      <c r="E2312">
        <f>INDEX(FactorTable!$B$2:$Y$301, MATCH(ROUND(MIN(300,MAX(1,D2312)),0), FactorTable!$A$2:$A$301,0), Skills!M18+1)</f>
        <v/>
      </c>
      <c r="F2312">
        <f>IF(Skills!N18=TRUE,(Skills!L18/10)*(E2312/1000),Skills!L18/10)+Skills!O18</f>
        <v/>
      </c>
      <c r="G2312">
        <f>Skills!G18*IF(Skills!H18&gt;0,Skills!I18/Skills!H18,1)</f>
        <v/>
      </c>
      <c r="H2312">
        <f>1-(1-Skills!J18/100)^Skills!K18</f>
        <v/>
      </c>
      <c r="I2312" t="inlineStr">
        <is>
          <t>1</t>
        </is>
      </c>
      <c r="J2312" t="inlineStr"/>
      <c r="K2312" t="inlineStr"/>
      <c r="L2312" t="inlineStr"/>
      <c r="M2312" t="inlineStr"/>
      <c r="N2312" t="inlineStr"/>
      <c r="O2312">
        <f>(1-Summary!$B$11)*T2312+Summary!$B$11*V2312</f>
        <v/>
      </c>
      <c r="P2312">
        <f>IF(B2330=0,0,O2312/B2330)</f>
        <v/>
      </c>
      <c r="Q2312" t="n">
        <v>0</v>
      </c>
      <c r="R2312" t="n">
        <v>0</v>
      </c>
      <c r="S2312">
        <f>IFERROR(O2312/N2312,0)</f>
        <v/>
      </c>
      <c r="T2312" t="n">
        <v>0</v>
      </c>
      <c r="V2312" t="n">
        <v>0</v>
      </c>
    </row>
    <row r="2313">
      <c r="A2313">
        <f>Skills!A19</f>
        <v/>
      </c>
      <c r="B2313">
        <f>Skills!B19</f>
        <v/>
      </c>
      <c r="C2313">
        <f>Inputs!$B$3&gt;=40</f>
        <v/>
      </c>
      <c r="D2313">
        <f>IF(Skills!C19=1,60+Inputs!$B$25+Inputs!$B$29,IF(Skills!C19=2,90+Inputs!$B$26+Inputs!$B$29,IF(Skills!C19=3,120+Inputs!$B$27+Inputs!$B$29,MAX(0,(Inputs!$B$3-100)*3)+Inputs!$B$28+Inputs!$B$29)))</f>
        <v/>
      </c>
      <c r="E2313">
        <f>INDEX(FactorTable!$B$2:$Y$301, MATCH(ROUND(MIN(300,MAX(1,D2313)),0), FactorTable!$A$2:$A$301,0), Skills!M19+1)</f>
        <v/>
      </c>
      <c r="F2313">
        <f>IF(Skills!N19=TRUE,(Skills!L19/10)*(E2313/1000),Skills!L19/10)+Skills!O19</f>
        <v/>
      </c>
      <c r="G2313">
        <f>Skills!G19*IF(Skills!H19&gt;0,Skills!I19/Skills!H19,1)</f>
        <v/>
      </c>
      <c r="H2313">
        <f>1-(1-Skills!J19/100)^Skills!K19</f>
        <v/>
      </c>
      <c r="I2313" t="inlineStr">
        <is>
          <t>1</t>
        </is>
      </c>
      <c r="J2313" t="inlineStr"/>
      <c r="K2313" t="inlineStr"/>
      <c r="L2313" t="inlineStr"/>
      <c r="M2313" t="inlineStr"/>
      <c r="N2313" t="inlineStr"/>
      <c r="O2313">
        <f>(1-Summary!$B$11)*T2313+Summary!$B$11*V2313</f>
        <v/>
      </c>
      <c r="P2313">
        <f>IF(B2330=0,0,O2313/B2330)</f>
        <v/>
      </c>
      <c r="Q2313" t="n">
        <v>0</v>
      </c>
      <c r="R2313" t="n">
        <v>0</v>
      </c>
      <c r="S2313">
        <f>IFERROR(O2313/N2313,0)</f>
        <v/>
      </c>
      <c r="T2313" t="n">
        <v>0</v>
      </c>
      <c r="V2313" t="n">
        <v>0</v>
      </c>
    </row>
    <row r="2314">
      <c r="A2314">
        <f>Skills!A20</f>
        <v/>
      </c>
      <c r="B2314">
        <f>Skills!B20</f>
        <v/>
      </c>
      <c r="C2314">
        <f>Inputs!$B$3&gt;=43</f>
        <v/>
      </c>
      <c r="D2314">
        <f>IF(Skills!C20=1,60+Inputs!$B$25+Inputs!$B$29,IF(Skills!C20=2,90+Inputs!$B$26+Inputs!$B$29,IF(Skills!C20=3,120+Inputs!$B$27+Inputs!$B$29,MAX(0,(Inputs!$B$3-100)*3)+Inputs!$B$28+Inputs!$B$29)))</f>
        <v/>
      </c>
      <c r="E2314">
        <f>INDEX(FactorTable!$B$2:$Y$301, MATCH(ROUND(MIN(300,MAX(1,D2314)),0), FactorTable!$A$2:$A$301,0), Skills!M20+1)</f>
        <v/>
      </c>
      <c r="F2314">
        <f>IF(Skills!N20=TRUE,(Skills!L20/10)*(E2314/1000),Skills!L20/10)+Skills!O20</f>
        <v/>
      </c>
      <c r="G2314">
        <f>Skills!G20*IF(Skills!H20&gt;0,Skills!I20/Skills!H20,1)</f>
        <v/>
      </c>
      <c r="H2314">
        <f>1-(1-Skills!J20/100)^Skills!K20</f>
        <v/>
      </c>
      <c r="I2314" t="inlineStr">
        <is>
          <t>1</t>
        </is>
      </c>
      <c r="J2314" t="inlineStr"/>
      <c r="K2314" t="inlineStr"/>
      <c r="L2314" t="inlineStr"/>
      <c r="M2314" t="inlineStr"/>
      <c r="N2314" t="inlineStr"/>
      <c r="O2314">
        <f>(1-Summary!$B$11)*T2314+Summary!$B$11*V2314</f>
        <v/>
      </c>
      <c r="P2314">
        <f>IF(B2330=0,0,O2314/B2330)</f>
        <v/>
      </c>
      <c r="Q2314" t="n">
        <v>0</v>
      </c>
      <c r="R2314" t="n">
        <v>0</v>
      </c>
      <c r="S2314">
        <f>IFERROR(O2314/N2314,0)</f>
        <v/>
      </c>
      <c r="T2314" t="n">
        <v>0</v>
      </c>
      <c r="V2314" t="n">
        <v>0</v>
      </c>
    </row>
    <row r="2315">
      <c r="A2315">
        <f>Skills!A21</f>
        <v/>
      </c>
      <c r="B2315">
        <f>Skills!B21</f>
        <v/>
      </c>
      <c r="C2315">
        <f>Inputs!$B$3&gt;=38</f>
        <v/>
      </c>
      <c r="D2315">
        <f>IF(Skills!C21=1,60+Inputs!$B$25+Inputs!$B$29,IF(Skills!C21=2,90+Inputs!$B$26+Inputs!$B$29,IF(Skills!C21=3,120+Inputs!$B$27+Inputs!$B$29,MAX(0,(Inputs!$B$3-100)*3)+Inputs!$B$28+Inputs!$B$29)))</f>
        <v/>
      </c>
      <c r="E2315">
        <f>INDEX(FactorTable!$B$2:$Y$301, MATCH(ROUND(MIN(300,MAX(1,D2315)),0), FactorTable!$A$2:$A$301,0), Skills!M21+1)</f>
        <v/>
      </c>
      <c r="F2315">
        <f>IF(Skills!N21=TRUE,(Skills!L21/10)*(E2315/1000),Skills!L21/10)+Skills!O21</f>
        <v/>
      </c>
      <c r="G2315">
        <f>Skills!G21*IF(Skills!H21&gt;0,Skills!I21/Skills!H21,1)</f>
        <v/>
      </c>
      <c r="H2315">
        <f>1-(1-Skills!J21/100)^Skills!K21</f>
        <v/>
      </c>
      <c r="I2315" t="inlineStr">
        <is>
          <t>1</t>
        </is>
      </c>
      <c r="J2315" t="inlineStr"/>
      <c r="K2315" t="inlineStr"/>
      <c r="L2315" t="inlineStr"/>
      <c r="M2315" t="inlineStr"/>
      <c r="N2315" t="inlineStr"/>
      <c r="O2315">
        <f>(1-Summary!$B$11)*T2315+Summary!$B$11*V2315</f>
        <v/>
      </c>
      <c r="P2315">
        <f>IF(B2330=0,0,O2315/B2330)</f>
        <v/>
      </c>
      <c r="Q2315" t="n">
        <v>0</v>
      </c>
      <c r="R2315" t="n">
        <v>0</v>
      </c>
      <c r="S2315">
        <f>IFERROR(O2315/N2315,0)</f>
        <v/>
      </c>
      <c r="T2315" t="n">
        <v>0</v>
      </c>
      <c r="V2315" t="n">
        <v>0</v>
      </c>
    </row>
    <row r="2316">
      <c r="A2316">
        <f>Skills!A22</f>
        <v/>
      </c>
      <c r="B2316">
        <f>Skills!B22</f>
        <v/>
      </c>
      <c r="C2316">
        <f>Inputs!$B$3&gt;=75</f>
        <v/>
      </c>
      <c r="D2316">
        <f>IF(Skills!C22=1,60+Inputs!$B$25+Inputs!$B$29,IF(Skills!C22=2,90+Inputs!$B$26+Inputs!$B$29,IF(Skills!C22=3,120+Inputs!$B$27+Inputs!$B$29,MAX(0,(Inputs!$B$3-100)*3)+Inputs!$B$28+Inputs!$B$29)))</f>
        <v/>
      </c>
      <c r="E2316">
        <f>INDEX(FactorTable!$B$2:$Y$301, MATCH(ROUND(MIN(300,MAX(1,D2316)),0), FactorTable!$A$2:$A$301,0), Skills!M22+1)</f>
        <v/>
      </c>
      <c r="F2316">
        <f>IF(Skills!N22=TRUE,(Skills!L22/10)*(E2316/1000),Skills!L22/10)+Skills!O22</f>
        <v/>
      </c>
      <c r="G2316">
        <f>Skills!G22*IF(Skills!H22&gt;0,Skills!I22/Skills!H22,1)</f>
        <v/>
      </c>
      <c r="H2316">
        <f>1-(1-Skills!J22/100)^Skills!K22</f>
        <v/>
      </c>
      <c r="I2316" t="inlineStr">
        <is>
          <t>1</t>
        </is>
      </c>
      <c r="J2316" t="inlineStr"/>
      <c r="K2316" t="inlineStr"/>
      <c r="L2316" t="inlineStr"/>
      <c r="M2316" t="inlineStr"/>
      <c r="N2316" t="inlineStr"/>
      <c r="O2316">
        <f>(1-Summary!$B$11)*T2316+Summary!$B$11*V2316</f>
        <v/>
      </c>
      <c r="P2316">
        <f>IF(B2330=0,0,O2316/B2330)</f>
        <v/>
      </c>
      <c r="Q2316" t="n">
        <v>0</v>
      </c>
      <c r="R2316" t="n">
        <v>0</v>
      </c>
      <c r="S2316">
        <f>IFERROR(O2316/N2316,0)</f>
        <v/>
      </c>
      <c r="T2316" t="n">
        <v>0</v>
      </c>
      <c r="V2316" t="n">
        <v>0</v>
      </c>
    </row>
    <row r="2317">
      <c r="A2317">
        <f>Skills!A23</f>
        <v/>
      </c>
      <c r="B2317">
        <f>Skills!B23</f>
        <v/>
      </c>
      <c r="C2317">
        <f>TRUE</f>
        <v/>
      </c>
      <c r="D2317">
        <f>IF(Skills!C23=1,60+Inputs!$B$25+Inputs!$B$29,IF(Skills!C23=2,90+Inputs!$B$26+Inputs!$B$29,IF(Skills!C23=3,120+Inputs!$B$27+Inputs!$B$29,MAX(0,(Inputs!$B$3-100)*3)+Inputs!$B$28+Inputs!$B$29)))</f>
        <v/>
      </c>
      <c r="E2317">
        <f>INDEX(FactorTable!$B$2:$Y$301, MATCH(ROUND(MIN(300,MAX(1,D2317)),0), FactorTable!$A$2:$A$301,0), Skills!M23+1)</f>
        <v/>
      </c>
      <c r="F2317">
        <f>IF(Skills!N23=TRUE,(Skills!L23/10)*(E2317/1000),Skills!L23/10)+Skills!O23</f>
        <v/>
      </c>
      <c r="G2317">
        <f>Skills!G23*IF(Skills!H23&gt;0,Skills!I23/Skills!H23,1)</f>
        <v/>
      </c>
      <c r="H2317">
        <f>1-(1-Skills!J23/100)^Skills!K23</f>
        <v/>
      </c>
      <c r="I2317" t="inlineStr">
        <is>
          <t>1</t>
        </is>
      </c>
      <c r="J2317" t="inlineStr"/>
      <c r="K2317" t="inlineStr"/>
      <c r="L2317" t="inlineStr"/>
      <c r="M2317" t="inlineStr"/>
      <c r="N2317" t="inlineStr"/>
      <c r="O2317">
        <f>(1-Summary!$B$11)*T2317+Summary!$B$11*V2317</f>
        <v/>
      </c>
      <c r="P2317">
        <f>IF(B2330=0,0,O2317/B2330)</f>
        <v/>
      </c>
      <c r="Q2317">
        <f>IFERROR(1/(IF(Inputs!$B$38="pvp",15,MAX(0.1,Skills!D23-IF(Skills!E23=TRUE,Inputs!$B$32,0)))*(1-IF(AND(ArtifactsInput!$M$27,Inputs!$B$4="Chapter Hunt"),CHOOSE(ArtifactsInput!$N$27+1,20,24,28,32,36,40),0)/100)),0)</f>
        <v/>
      </c>
      <c r="R2317">
        <f>IF(AND(Inputs!$B$38&lt;&gt;"pvp",Inputs!$B$43&gt;0),IF(Inputs!$B$43&lt;=0,0,(INT(Inputs!$B$43/(IF(Inputs!$B$38="pvp",15,MAX(0.1,Skills!D23-IF(Skills!E23=TRUE,Inputs!$B$32,0)))*(1-IF(AND(ArtifactsInput!$M$27,Inputs!$B$4="Chapter Hunt"),CHOOSE(ArtifactsInput!$N$27+1,20,24,28,32,36,40),0)/100)))+1)),0)</f>
        <v/>
      </c>
      <c r="S2317">
        <f>IFERROR(O2317/N2317,0)</f>
        <v/>
      </c>
      <c r="T2317" t="n">
        <v>0</v>
      </c>
      <c r="V2317" t="n">
        <v>0</v>
      </c>
    </row>
    <row r="2319">
      <c r="A2319" t="inlineStr">
        <is>
          <t>Attack% Bucket Multiplier</t>
        </is>
      </c>
      <c r="B2319">
        <f>(1+(((C2307=TRUE)*F2307*5/7)+((C2313=TRUE)*(F2313-Calc!F19))+(IF(ArtifactsInput!$M$21,CHOOSE(ArtifactsInput!$N$21+1,25,30,35,40,45,50)*(IF(OR(Inputs!$B$4="Chapter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20">
      <c r="A2320" t="inlineStr">
        <is>
          <t>Global Crit Rate Bonus %</t>
        </is>
      </c>
      <c r="B2320" t="n">
        <v>0</v>
      </c>
    </row>
    <row r="2321">
      <c r="A2321" t="inlineStr">
        <is>
          <t>Attack Speed Buff Bonus % (Nimble Feet, duty-cycle averaged)</t>
        </is>
      </c>
      <c r="B2321">
        <f>((C2317=TRUE)*F2317*IF(AND(Inputs!$B$38&lt;&gt;"pvp",Inputs!$B$43&gt;0),(((R2317-1)*(Skills!T23*(1+Inputs!$B$34/100))+MIN((Skills!T23*(1+Inputs!$B$34/100)),MAX(0,Inputs!$B$43-((R2317-1)*Skills!D23))))/Inputs!$B$43),IF(Inputs!$B$38="pvp",MIN((Skills!T23*(1+Inputs!$B$34/100)),15)/15,(Skills!T23*(1+Inputs!$B$34/100))/Skills!D23)))</f>
        <v/>
      </c>
    </row>
    <row r="2322">
      <c r="A2322" t="inlineStr">
        <is>
          <t>Actions Per Second</t>
        </is>
      </c>
      <c r="B2322">
        <f>1+MIN(150,150*(1-(1-(Inputs!$B$11+((C2311=TRUE)*(F2311-Calc!F17))+((C2312=TRUE)*(F2312-Calc!F18)))/150)*(1-B2321/150)))/100</f>
        <v/>
      </c>
    </row>
    <row r="2323">
      <c r="A2323" t="inlineStr">
        <is>
          <t>Skill + Buff Cast Rate</t>
        </is>
      </c>
      <c r="B2323">
        <f>IF(AND(Inputs!$B$38&lt;&gt;"pvp",Inputs!$B$43&gt;0),SUMPRODUCT((Skills!E2:E23=TRUE)*(C2296:C2317=TRUE)*R2296:R2317*Skills!F2:F23)/Inputs!$B$43,SUMPRODUCT((Skills!E2:E23=TRUE)*(C2296:C2317=TRUE)*Q2296:Q2317*Skills!F2:F23))</f>
        <v/>
      </c>
    </row>
    <row r="2324">
      <c r="A2324" t="inlineStr">
        <is>
          <t>Hook Bomber Casts Per Second</t>
        </is>
      </c>
      <c r="B2324">
        <f>MAX(0,B2322-B2323)</f>
        <v/>
      </c>
    </row>
    <row r="2325">
      <c r="A2325" t="inlineStr">
        <is>
          <t>Global Critical Damage Bonus % (unused)</t>
        </is>
      </c>
      <c r="B2325" t="n">
        <v>0</v>
      </c>
    </row>
    <row r="2326">
      <c r="A2326" t="inlineStr">
        <is>
          <t>Global Final Damage Bonus % (Serpent Scale + Crossbones + Time Leap + Speed Infusion)</t>
        </is>
      </c>
      <c r="B2326">
        <f>((C2299=TRUE)*F2299*((10+IF(Inputs!$B$3&gt;=94,5,0))/((10+IF(Inputs!$B$3&gt;=94,5,0))+5/(B2324*(1+IF(Inputs!$B$3&gt;=104,1,0))))))+((C2308=TRUE)*F2308*IF(AND(Inputs!$B$38&lt;&gt;"pvp",Inputs!$B$43&gt;0),(((R2308-1)*(Skills!T14*(1+Inputs!$B$34/100))+MIN((Skills!T14*(1+Inputs!$B$34/100)),MAX(0,Inputs!$B$43-((R2308-1)*Skills!D14))))/Inputs!$B$43),IF(Inputs!$B$38="pvp",MIN((Skills!T14*(1+Inputs!$B$34/100)),15)/15,(Skills!T14*(1+Inputs!$B$34/100))/Skills!D14)))+((C2309=TRUE)*F2309*IF(AND(Inputs!$B$38&lt;&gt;"pvp",Inputs!$B$43&gt;0),(((R2309-1)*(Skills!T15*(1+Inputs!$B$34/100))+MIN((Skills!T15*(1+Inputs!$B$34/100)),MAX(0,Inputs!$B$43-((R2309-1)*Skills!D15))))/Inputs!$B$43),IF(Inputs!$B$38="pvp",MIN((Skills!T15*(1+Inputs!$B$34/100)),15)/15,(Skills!T15*(1+Inputs!$B$34/100))/Skills!D15)))+((Inputs!$B$3&gt;=110)*20*(B2322-1)*IF(Inputs!$B$38="pvp",MIN((15*(1+Inputs!$B$34/100)),15)/15,(15*(1+Inputs!$B$34/100))/35))</f>
        <v/>
      </c>
    </row>
    <row r="2327">
      <c r="A2327" t="inlineStr">
        <is>
          <t>Buff-Casting Startup Delay (s, fixed-duration only)</t>
        </is>
      </c>
      <c r="B2327">
        <f>IF(AND(Inputs!$B$38&lt;&gt;"pvp",Inputs!$B$43&gt;0),SUMPRODUCT((Skills!T2:T23&gt;0)*(Skills!E2:E23=TRUE)*(C2296:C2317=TRUE))/B2322,0)</f>
        <v/>
      </c>
    </row>
    <row r="2328">
      <c r="A2328" t="inlineStr">
        <is>
          <t>Boss-Only Total DPS (this block's swept value)</t>
        </is>
      </c>
      <c r="B2328">
        <f>SUM(T2296:T2317)</f>
        <v/>
      </c>
    </row>
    <row r="2329">
      <c r="A2329" t="inlineStr">
        <is>
          <t>Normal-Only Total DPS (this block's swept value)</t>
        </is>
      </c>
      <c r="B2329">
        <f>SUM(V2296:V2317)</f>
        <v/>
      </c>
    </row>
    <row r="2330">
      <c r="A2330" s="6" t="inlineStr">
        <is>
          <t>TOTAL DPS</t>
        </is>
      </c>
      <c r="B2330" s="6">
        <f>SUM(O2296:O2317)</f>
        <v/>
      </c>
    </row>
    <row r="2333">
      <c r="A2333" s="6" t="inlineStr">
        <is>
          <t>Stat: Cursed Doll (Equip)</t>
        </is>
      </c>
    </row>
    <row r="2334">
      <c r="A2334" s="5" t="inlineStr">
        <is>
          <t>Key</t>
        </is>
      </c>
      <c r="B2334" s="5" t="inlineStr">
        <is>
          <t>Name</t>
        </is>
      </c>
      <c r="C2334" s="5" t="inlineStr">
        <is>
          <t>Unlocked</t>
        </is>
      </c>
      <c r="D2334" s="5" t="inlineStr">
        <is>
          <t>InputLevel</t>
        </is>
      </c>
      <c r="E2334" s="5" t="inlineStr">
        <is>
          <t>Factor</t>
        </is>
      </c>
      <c r="F2334" s="5" t="inlineStr">
        <is>
          <t>CoefficientPercent</t>
        </is>
      </c>
      <c r="G2334" s="5" t="inlineStr">
        <is>
          <t>EffectiveHits</t>
        </is>
      </c>
      <c r="H2334" s="5" t="inlineStr">
        <is>
          <t>ProcProbability</t>
        </is>
      </c>
      <c r="I2334" s="5" t="inlineStr">
        <is>
          <t>MapleHeroMultiplier</t>
        </is>
      </c>
      <c r="J2334" s="5" t="inlineStr">
        <is>
          <t>BaseDamage</t>
        </is>
      </c>
      <c r="K2334" s="5" t="inlineStr">
        <is>
          <t>BaseHitDamage</t>
        </is>
      </c>
      <c r="L2334" s="5" t="inlineStr">
        <is>
          <t>NonCritAvg</t>
        </is>
      </c>
      <c r="M2334" s="5" t="inlineStr">
        <is>
          <t>CritAvg</t>
        </is>
      </c>
      <c r="N2334" s="5" t="inlineStr">
        <is>
          <t>ExpectedDamage(perHit)</t>
        </is>
      </c>
      <c r="O2334" s="5" t="inlineStr">
        <is>
          <t>DPS</t>
        </is>
      </c>
      <c r="P2334" s="5" t="inlineStr">
        <is>
          <t>% of Total</t>
        </is>
      </c>
      <c r="Q2334" s="5" t="inlineStr">
        <is>
          <t>InvCooldown</t>
        </is>
      </c>
      <c r="R2334" s="5" t="inlineStr">
        <is>
          <t>CastsInFight</t>
        </is>
      </c>
      <c r="S2334" s="5" t="inlineStr">
        <is>
          <t>HitRate(perSec)</t>
        </is>
      </c>
      <c r="U2334" t="inlineStr">
        <is>
          <t>helpers</t>
        </is>
      </c>
    </row>
    <row r="2335">
      <c r="A2335">
        <f>Skills!A2</f>
        <v/>
      </c>
      <c r="B2335">
        <f>Skills!B2</f>
        <v/>
      </c>
      <c r="C2335">
        <f>Inputs!$B$3&gt;=100</f>
        <v/>
      </c>
      <c r="D2335" t="inlineStr"/>
      <c r="E2335" t="inlineStr"/>
      <c r="F2335">
        <f>U2337+Skills!O2</f>
        <v/>
      </c>
      <c r="G2335">
        <f>Skills!G2*IF(Skills!H2&gt;0,Skills!I2/Skills!H2,1)</f>
        <v/>
      </c>
      <c r="H2335">
        <f>1-(1-Skills!J2/100)^Skills!K2</f>
        <v/>
      </c>
      <c r="I2335" t="inlineStr">
        <is>
          <t>1</t>
        </is>
      </c>
      <c r="J2335">
        <f>((Inputs!$B$6*(1+Inputs!$B$7/100))+(((Inputs!$B$12*(1+Inputs!$B$13/100))-(Inputs!$B$12*(1+Inputs!$B$13/100)))+0.25*(Inputs!$B$14-Inputs!$B$14))*(1+Inputs!$B$7/100))*(F2335/100)</f>
        <v/>
      </c>
      <c r="K2335">
        <f>J2335*(1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2335)</f>
        <v/>
      </c>
      <c r="L2335">
        <f>K2335*(MIN(Inputs!$B$22+((C2353=TRUE)*(F2353-Calc!F20)),(Inputs!$B$23+0+(IF(ArtifactsInput!$M$15,CHOOSE(ArtifactsInput!$N$15+1,25,30,35,40,45,50)/100*(Inputs!$B$11-Inputs!$B$11),0))))/100+(Inputs!$B$23+0+(IF(ArtifactsInput!$M$15,CHOOSE(ArtifactsInput!$N$15+1,25,30,35,40,45,50)/100*(Inputs!$B$11-Inputs!$B$11),0)))/100)/2</f>
        <v/>
      </c>
      <c r="M2335">
        <f>L2335*(1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5">
        <f>L2335*(1-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2335*(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5">
        <f>(1-Summary!$B$11)*T2335+Summary!$B$11*V2335</f>
        <v/>
      </c>
      <c r="P2335">
        <f>IF(B2369=0,0,O2335/B2369)</f>
        <v/>
      </c>
      <c r="Q2335" t="n">
        <v>0</v>
      </c>
      <c r="R2335" t="n">
        <v>0</v>
      </c>
      <c r="S2335">
        <f>IFERROR(O2335/N2335,0)</f>
        <v/>
      </c>
      <c r="T2335">
        <f>IF(C2335,(Skills!G2*N2335*B2363)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2335*(1-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2335*(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2335*(1-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2335*(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5">
        <f>MAX(0,(Inputs!$B$3-100)*3)+Inputs!$B$28+Inputs!$B$29</f>
        <v/>
      </c>
      <c r="V2335">
        <f>IF(C2335,(Skills!G2*N2335*B2363)*IF(Inputs!$B$38="pvp",1,(1+(Inputs!$B$21+Skills!Q2+(IF(ArtifactsInput!$M$33,CHOOSE(ArtifactsInput!$N$33+1,30,36,42,48,54,60),0))+(IF(AND(ArtifactsInput!$M$35,Inputs!$B$4&lt;&gt;"Chapter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6">
      <c r="A2336">
        <f>Skills!A3</f>
        <v/>
      </c>
      <c r="B2336">
        <f>Skills!B3</f>
        <v/>
      </c>
      <c r="C2336">
        <f>Inputs!$B$3&gt;=35</f>
        <v/>
      </c>
      <c r="D2336">
        <f>IF(Skills!C3=1,60+Inputs!$B$25+Inputs!$B$29,IF(Skills!C3=2,90+Inputs!$B$26+Inputs!$B$29,IF(Skills!C3=3,120+Inputs!$B$27+Inputs!$B$29,MAX(0,(Inputs!$B$3-100)*3)+Inputs!$B$28+Inputs!$B$29)))</f>
        <v/>
      </c>
      <c r="E2336">
        <f>INDEX(FactorTable!$B$2:$Y$301, MATCH(ROUND(MIN(300,MAX(1,D2336)),0), FactorTable!$A$2:$A$301,0), Skills!M3+1)</f>
        <v/>
      </c>
      <c r="F2336">
        <f>IF(Skills!N3=TRUE,(Skills!L3/10)*(E2336/1000),Skills!L3/10)+Skills!O3</f>
        <v/>
      </c>
      <c r="G2336">
        <f>Skills!G3*IF(Skills!H3&gt;0,Skills!I3/Skills!H3,1)</f>
        <v/>
      </c>
      <c r="H2336">
        <f>1-(1-Skills!J3/100)^Skills!K3</f>
        <v/>
      </c>
      <c r="I2336" t="inlineStr">
        <is>
          <t>1</t>
        </is>
      </c>
      <c r="J2336">
        <f>((Inputs!$B$6*(1+Inputs!$B$7/100))+(((Inputs!$B$12*(1+Inputs!$B$13/100))-(Inputs!$B$12*(1+Inputs!$B$13/100)))+0.25*(Inputs!$B$14-Inputs!$B$14))*(1+Inputs!$B$7/100))*(F2336/100)</f>
        <v/>
      </c>
      <c r="K2336">
        <f>J2336*(1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2336)</f>
        <v/>
      </c>
      <c r="L2336">
        <f>K2336*(MIN(Inputs!$B$22+((C2353=TRUE)*(F2353-Calc!F20)),(Inputs!$B$23+0+(IF(ArtifactsInput!$M$15,CHOOSE(ArtifactsInput!$N$15+1,25,30,35,40,45,50)/100*(Inputs!$B$11-Inputs!$B$11),0))))/100+(Inputs!$B$23+0+(IF(ArtifactsInput!$M$15,CHOOSE(ArtifactsInput!$N$15+1,25,30,35,40,45,50)/100*(Inputs!$B$11-Inputs!$B$11),0)))/100)/2</f>
        <v/>
      </c>
      <c r="M2336">
        <f>L2336*(1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6">
        <f>L2336*(1-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2336*(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6">
        <f>(1-Summary!$B$11)*T2336+Summary!$B$11*V2336</f>
        <v/>
      </c>
      <c r="P2336">
        <f>IF(B2369=0,0,O2336/B2369)</f>
        <v/>
      </c>
      <c r="Q2336" t="n">
        <v>0</v>
      </c>
      <c r="R2336" t="n">
        <v>0</v>
      </c>
      <c r="S2336">
        <f>IFERROR(O2336/N2336,0)</f>
        <v/>
      </c>
      <c r="T2336">
        <f>IF(C2336,(Skills!G3*H2336*N2336*B2363)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2336*(1-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2336*(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2336*(1-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2336*(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6">
        <f>INDEX(FactorTable!$B$2:$Y$301, MATCH(ROUND(MIN(300,MAX(1,U2335)),0), FactorTable!$A$2:$A$301,0), 22)</f>
        <v/>
      </c>
      <c r="V2336">
        <f>IF(C2336,(Skills!G3*H2336*N2336*B2363)*IF(Inputs!$B$38="pvp",1,(1+(Inputs!$B$21+Skills!Q3+(IF(ArtifactsInput!$M$33,CHOOSE(ArtifactsInput!$N$33+1,30,36,42,48,54,60),0))+(IF(AND(ArtifactsInput!$M$35,Inputs!$B$4&lt;&gt;"Chapter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7">
      <c r="A2337">
        <f>Skills!A4</f>
        <v/>
      </c>
      <c r="B2337">
        <f>Skills!B4</f>
        <v/>
      </c>
      <c r="C2337">
        <f>Inputs!$B$3&gt;=60</f>
        <v/>
      </c>
      <c r="D2337">
        <f>IF(Skills!C4=1,60+Inputs!$B$25+Inputs!$B$29,IF(Skills!C4=2,90+Inputs!$B$26+Inputs!$B$29,IF(Skills!C4=3,120+Inputs!$B$27+Inputs!$B$29,MAX(0,(Inputs!$B$3-100)*3)+Inputs!$B$28+Inputs!$B$29)))</f>
        <v/>
      </c>
      <c r="E2337">
        <f>INDEX(FactorTable!$B$2:$Y$301, MATCH(ROUND(MIN(300,MAX(1,D2337)),0), FactorTable!$A$2:$A$301,0), Skills!M4+1)</f>
        <v/>
      </c>
      <c r="F2337">
        <f>IF(Skills!N4=TRUE,(Skills!L4/10)*(E2337/1000),Skills!L4/10)+Skills!O4</f>
        <v/>
      </c>
      <c r="G2337">
        <f>Skills!G4*IF(Skills!H4&gt;0,Skills!I4/Skills!H4,1)</f>
        <v/>
      </c>
      <c r="H2337">
        <f>1-(1-Skills!J4/100)^Skills!K4</f>
        <v/>
      </c>
      <c r="I2337" t="inlineStr">
        <is>
          <t>1</t>
        </is>
      </c>
      <c r="J2337">
        <f>((Inputs!$B$6*(1+Inputs!$B$7/100))+(((Inputs!$B$12*(1+Inputs!$B$13/100))-(Inputs!$B$12*(1+Inputs!$B$13/100)))+0.25*(Inputs!$B$14-Inputs!$B$14))*(1+Inputs!$B$7/100))*(F2337/100)</f>
        <v/>
      </c>
      <c r="K2337">
        <f>J2337*(1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2345=TRUE,F2345,0)/100)*(1+(IF(Skills!A4="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2337)</f>
        <v/>
      </c>
      <c r="L2337">
        <f>K2337*(MIN(Inputs!$B$22+((C2353=TRUE)*(F2353-Calc!F20)),(Inputs!$B$23+0+(IF(ArtifactsInput!$M$15,CHOOSE(ArtifactsInput!$N$15+1,25,30,35,40,45,50)/100*(Inputs!$B$11-Inputs!$B$11),0))))/100+(Inputs!$B$23+0+(IF(ArtifactsInput!$M$15,CHOOSE(ArtifactsInput!$N$15+1,25,30,35,40,45,50)/100*(Inputs!$B$11-Inputs!$B$11),0)))/100)/2</f>
        <v/>
      </c>
      <c r="M2337">
        <f>L2337*(1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7">
        <f>L2337*(1-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2337*(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7">
        <f>(1-Summary!$B$11)*T2337+Summary!$B$11*V2337</f>
        <v/>
      </c>
      <c r="P2337">
        <f>IF(B2369=0,0,O2337/B2369)</f>
        <v/>
      </c>
      <c r="Q2337" t="n">
        <v>0</v>
      </c>
      <c r="R2337" t="n">
        <v>0</v>
      </c>
      <c r="S2337">
        <f>IFERROR(O2337/N2337,0)</f>
        <v/>
      </c>
      <c r="T2337">
        <f>IF(C2337,(Skills!G4*H2337*N2337*B2363)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2337*(1-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2337*(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2337*(1-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2337*(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37">
        <f>290*U2336/1000</f>
        <v/>
      </c>
      <c r="V2337">
        <f>IF(C2337,(Skills!G4*H2337*N2337*B2363)*IF(Inputs!$B$38="pvp",1,(1+(Inputs!$B$21+Skills!Q4+(IF(ArtifactsInput!$M$33,CHOOSE(ArtifactsInput!$N$33+1,30,36,42,48,54,60),0))+(IF(AND(ArtifactsInput!$M$35,Inputs!$B$4&lt;&gt;"Chapter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8">
      <c r="A2338">
        <f>Skills!A5</f>
        <v/>
      </c>
      <c r="B2338">
        <f>Skills!B5</f>
        <v/>
      </c>
      <c r="C2338">
        <f>Inputs!$B$3&gt;=60</f>
        <v/>
      </c>
      <c r="D2338">
        <f>IF(Skills!C5=1,60+Inputs!$B$25+Inputs!$B$29,IF(Skills!C5=2,90+Inputs!$B$26+Inputs!$B$29,IF(Skills!C5=3,120+Inputs!$B$27+Inputs!$B$29,MAX(0,(Inputs!$B$3-100)*3)+Inputs!$B$28+Inputs!$B$29)))</f>
        <v/>
      </c>
      <c r="E2338">
        <f>INDEX(FactorTable!$B$2:$Y$301, MATCH(ROUND(MIN(300,MAX(1,D2338)),0), FactorTable!$A$2:$A$301,0), Skills!M5+1)</f>
        <v/>
      </c>
      <c r="F2338">
        <f>IF(Skills!N5=TRUE,(Skills!L5/10)*(E2338/1000),Skills!L5/10)+Skills!O5</f>
        <v/>
      </c>
      <c r="G2338">
        <f>Skills!G5*IF(Skills!H5&gt;0,Skills!I5/Skills!H5,1)</f>
        <v/>
      </c>
      <c r="H2338">
        <f>1-(1-Skills!J5/100)^Skills!K5</f>
        <v/>
      </c>
      <c r="I2338" t="inlineStr">
        <is>
          <t>1</t>
        </is>
      </c>
      <c r="J2338" t="inlineStr"/>
      <c r="K2338" t="inlineStr"/>
      <c r="L2338" t="inlineStr"/>
      <c r="M2338" t="inlineStr"/>
      <c r="N2338" t="inlineStr"/>
      <c r="O2338">
        <f>(1-Summary!$B$11)*T2338+Summary!$B$11*V2338</f>
        <v/>
      </c>
      <c r="P2338">
        <f>IF(B2369=0,0,O2338/B2369)</f>
        <v/>
      </c>
      <c r="Q2338" t="n">
        <v>0</v>
      </c>
      <c r="R2338" t="n">
        <v>0</v>
      </c>
      <c r="S2338">
        <f>IFERROR(O2338/N2338,0)</f>
        <v/>
      </c>
      <c r="T2338" t="n">
        <v>0</v>
      </c>
      <c r="V2338" t="n">
        <v>0</v>
      </c>
    </row>
    <row r="2339">
      <c r="A2339">
        <f>Skills!A6</f>
        <v/>
      </c>
      <c r="B2339">
        <f>Skills!B6</f>
        <v/>
      </c>
      <c r="C2339">
        <f>Inputs!$B$3&gt;=63</f>
        <v/>
      </c>
      <c r="D2339">
        <f>IF(Skills!C6=1,60+Inputs!$B$25+Inputs!$B$29,IF(Skills!C6=2,90+Inputs!$B$26+Inputs!$B$29,IF(Skills!C6=3,120+Inputs!$B$27+Inputs!$B$29,MAX(0,(Inputs!$B$3-100)*3)+Inputs!$B$28+Inputs!$B$29)))</f>
        <v/>
      </c>
      <c r="E2339">
        <f>INDEX(FactorTable!$B$2:$Y$301, MATCH(ROUND(MIN(300,MAX(1,D2339)),0), FactorTable!$A$2:$A$301,0), Skills!M6+1)</f>
        <v/>
      </c>
      <c r="F2339">
        <f>IF(Skills!N6=TRUE,(Skills!L6/10)*(E2339/1000),Skills!L6/10)+Skills!O6</f>
        <v/>
      </c>
      <c r="G2339">
        <f>Skills!G6*IF(Skills!H6&gt;0,Skills!I6/Skills!H6,1)</f>
        <v/>
      </c>
      <c r="H2339">
        <f>1-(1-Skills!J6/100)^Skills!K6</f>
        <v/>
      </c>
      <c r="I2339" t="inlineStr">
        <is>
          <t>1</t>
        </is>
      </c>
      <c r="J2339">
        <f>((Inputs!$B$6*(1+Inputs!$B$7/100))+(((Inputs!$B$12*(1+Inputs!$B$13/100))-(Inputs!$B$12*(1+Inputs!$B$13/100)))+0.25*(Inputs!$B$14-Inputs!$B$14))*(1+Inputs!$B$7/100))*(F2339/100)</f>
        <v/>
      </c>
      <c r="K2339">
        <f>J2339*(1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2345=TRUE,F2345,0)/100)*(1+(IF(Skills!A6="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2339)</f>
        <v/>
      </c>
      <c r="L2339">
        <f>K2339*(MIN(Inputs!$B$22+((C2353=TRUE)*(F2353-Calc!F20)),(Inputs!$B$23+0+(IF(ArtifactsInput!$M$15,CHOOSE(ArtifactsInput!$N$15+1,25,30,35,40,45,50)/100*(Inputs!$B$11-Inputs!$B$11),0))))/100+(Inputs!$B$23+0+(IF(ArtifactsInput!$M$15,CHOOSE(ArtifactsInput!$N$15+1,25,30,35,40,45,50)/100*(Inputs!$B$11-Inputs!$B$11),0)))/100)/2</f>
        <v/>
      </c>
      <c r="M2339">
        <f>L2339*(1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39">
        <f>L2339*(1-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2339*(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9">
        <f>(1-Summary!$B$11)*T2339+Summary!$B$11*V2339</f>
        <v/>
      </c>
      <c r="P2339">
        <f>IF(B2369=0,0,O2339/B2369)</f>
        <v/>
      </c>
      <c r="Q2339">
        <f>IFERROR(1/(IF(Inputs!$B$38="pvp",15,MAX(0.1,Skills!D6-IF(Skills!E6=TRUE,Inputs!$B$32,0)))*(1-IF(AND(ArtifactsInput!$M$27,Inputs!$B$4="Chapter Hunt"),CHOOSE(ArtifactsInput!$N$27+1,20,24,28,32,36,40),0)/100)),0)</f>
        <v/>
      </c>
      <c r="R2339">
        <f>IF(AND(Inputs!$B$38&lt;&gt;"pvp",Inputs!$B$43&gt;0),IF(MAX(0,Inputs!$B$43-B2366)&lt;=0,0,(INT(MAX(0,Inputs!$B$43-B2366)/(IF(Inputs!$B$38="pvp",15,MAX(0.1,Skills!D6-IF(Skills!E6=TRUE,Inputs!$B$32,0)))*(1-IF(AND(ArtifactsInput!$M$27,Inputs!$B$4="Chapter Hunt"),CHOOSE(ArtifactsInput!$N$27+1,20,24,28,32,36,40),0)/100)))+1)),0)</f>
        <v/>
      </c>
      <c r="S2339">
        <f>IFERROR(O2339/N2339,0)</f>
        <v/>
      </c>
      <c r="T2339">
        <f>IF(C2339,(H2339*N2339*IF(AND(Inputs!$B$38&lt;&gt;"pvp",Inputs!$B$43&gt;0),((Skills!G6*((R2339-1)*IF(Skills!H6&gt;0,Skills!I6/Skills!H6,1)+IF(Skills!H6&gt;0,MIN(Skills!I6,MAX(0,MAX(0,Inputs!$B$43-B2366)-((R2339-1)*(IF(Inputs!$B$38="pvp",15,MAX(0.1,Skills!D6-IF(Skills!E6=TRUE,Inputs!$B$32,0)))*(1-IF(AND(ArtifactsInput!$M$27,Inputs!$B$4="Chapter Hunt"),CHOOSE(ArtifactsInput!$N$27+1,20,24,28,32,36,40),0)/100)))))/Skills!H6,1)))/Inputs!$B$43),G2339*Q2339)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2339*(1-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2339*(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2339*(1-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2339*(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9">
        <f>IF(C2339,(H2339*N2339*IF(AND(Inputs!$B$38&lt;&gt;"pvp",Inputs!$B$43&gt;0),((Skills!G6*((R2339-1)*IF(Skills!H6&gt;0,Skills!I6/Skills!H6,1)+IF(Skills!H6&gt;0,MIN(Skills!I6,MAX(0,MAX(0,Inputs!$B$43-B2366)-((R2339-1)*(IF(Inputs!$B$38="pvp",15,MAX(0.1,Skills!D6-IF(Skills!E6=TRUE,Inputs!$B$32,0)))*(1-IF(AND(ArtifactsInput!$M$27,Inputs!$B$4="Chapter Hunt"),CHOOSE(ArtifactsInput!$N$27+1,20,24,28,32,36,40),0)/100)))))/Skills!H6,1)))/Inputs!$B$43),G2339*Q2339))*IF(Inputs!$B$38="pvp",1,(1+(Inputs!$B$21+Skills!Q6+(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0">
      <c r="A2340">
        <f>Skills!A7</f>
        <v/>
      </c>
      <c r="B2340">
        <f>Skills!B7</f>
        <v/>
      </c>
      <c r="C2340">
        <f>Inputs!$B$3&gt;=100</f>
        <v/>
      </c>
      <c r="D2340">
        <f>IF(Skills!C7=1,60+Inputs!$B$25+Inputs!$B$29,IF(Skills!C7=2,90+Inputs!$B$26+Inputs!$B$29,IF(Skills!C7=3,120+Inputs!$B$27+Inputs!$B$29,MAX(0,(Inputs!$B$3-100)*3)+Inputs!$B$28+Inputs!$B$29)))</f>
        <v/>
      </c>
      <c r="E2340">
        <f>INDEX(FactorTable!$B$2:$Y$301, MATCH(ROUND(MIN(300,MAX(1,D2340)),0), FactorTable!$A$2:$A$301,0), Skills!M7+1)</f>
        <v/>
      </c>
      <c r="F2340">
        <f>IF(Skills!N7=TRUE,(Skills!L7/10)*(E2340/1000),Skills!L7/10)+Skills!O7</f>
        <v/>
      </c>
      <c r="G2340">
        <f>Skills!G7*IF(Skills!H7&gt;0,Skills!I7/Skills!H7,1)</f>
        <v/>
      </c>
      <c r="H2340">
        <f>1-(1-Skills!J7/100)^Skills!K7</f>
        <v/>
      </c>
      <c r="I2340" t="inlineStr">
        <is>
          <t>1</t>
        </is>
      </c>
      <c r="J2340">
        <f>((Inputs!$B$6*(1+Inputs!$B$7/100))+(((Inputs!$B$12*(1+Inputs!$B$13/100))-(Inputs!$B$12*(1+Inputs!$B$13/100)))+0.25*(Inputs!$B$14-Inputs!$B$14))*(1+Inputs!$B$7/100))*(F2340/100)</f>
        <v/>
      </c>
      <c r="K2340">
        <f>J2340*(1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2340)</f>
        <v/>
      </c>
      <c r="L2340">
        <f>K2340*(MIN(Inputs!$B$22+((C2353=TRUE)*(F2353-Calc!F20)),(Inputs!$B$23+0+(IF(ArtifactsInput!$M$15,CHOOSE(ArtifactsInput!$N$15+1,25,30,35,40,45,50)/100*(Inputs!$B$11-Inputs!$B$11),0))))/100+(Inputs!$B$23+0+(IF(ArtifactsInput!$M$15,CHOOSE(ArtifactsInput!$N$15+1,25,30,35,40,45,50)/100*(Inputs!$B$11-Inputs!$B$11),0)))/100)/2</f>
        <v/>
      </c>
      <c r="M2340">
        <f>L2340*(1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0">
        <f>L2340*(1-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2340*(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0">
        <f>(1-Summary!$B$11)*T2340+Summary!$B$11*V2340</f>
        <v/>
      </c>
      <c r="P2340">
        <f>IF(B2369=0,0,O2340/B2369)</f>
        <v/>
      </c>
      <c r="Q2340">
        <f>IFERROR(1/(IF(Inputs!$B$38="pvp",15,MAX(0.1,Skills!D7-IF(Skills!E7=TRUE,Inputs!$B$32,0)))*(1-IF(AND(ArtifactsInput!$M$27,Inputs!$B$4="Chapter Hunt"),CHOOSE(ArtifactsInput!$N$27+1,20,24,28,32,36,40),0)/100)),0)</f>
        <v/>
      </c>
      <c r="R2340">
        <f>IF(AND(Inputs!$B$38&lt;&gt;"pvp",Inputs!$B$43&gt;0),IF(MAX(0,Inputs!$B$43-B2366)&lt;=0,0,(INT(MAX(0,Inputs!$B$43-B2366)/(IF(Inputs!$B$38="pvp",15,MAX(0.1,Skills!D7-IF(Skills!E7=TRUE,Inputs!$B$32,0)))*(1-IF(AND(ArtifactsInput!$M$27,Inputs!$B$4="Chapter Hunt"),CHOOSE(ArtifactsInput!$N$27+1,20,24,28,32,36,40),0)/100)))+1)),0)</f>
        <v/>
      </c>
      <c r="S2340">
        <f>IFERROR(O2340/N2340,0)</f>
        <v/>
      </c>
      <c r="T2340">
        <f>IF(C2340,(H2340*N2340*IF(AND(Inputs!$B$38&lt;&gt;"pvp",Inputs!$B$43&gt;0),((Skills!G7*((R2340-1)*IF(Skills!H7&gt;0,Skills!I7/Skills!H7,1)+IF(Skills!H7&gt;0,MIN(Skills!I7,MAX(0,MAX(0,Inputs!$B$43-B2366)-((R2340-1)*(IF(Inputs!$B$38="pvp",15,MAX(0.1,Skills!D7-IF(Skills!E7=TRUE,Inputs!$B$32,0)))*(1-IF(AND(ArtifactsInput!$M$27,Inputs!$B$4="Chapter Hunt"),CHOOSE(ArtifactsInput!$N$27+1,20,24,28,32,36,40),0)/100)))))/Skills!H7,1)))/Inputs!$B$43),G2340*Q2340)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2340*(1-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2340*(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2340*(1-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2340*(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0">
        <f>IF(C2340,(H2340*N2340*IF(AND(Inputs!$B$38&lt;&gt;"pvp",Inputs!$B$43&gt;0),((Skills!G7*((R2340-1)*IF(Skills!H7&gt;0,Skills!I7/Skills!H7,1)+IF(Skills!H7&gt;0,MIN(Skills!I7,MAX(0,MAX(0,Inputs!$B$43-B2366)-((R2340-1)*(IF(Inputs!$B$38="pvp",15,MAX(0.1,Skills!D7-IF(Skills!E7=TRUE,Inputs!$B$32,0)))*(1-IF(AND(ArtifactsInput!$M$27,Inputs!$B$4="Chapter Hunt"),CHOOSE(ArtifactsInput!$N$27+1,20,24,28,32,36,40),0)/100)))))/Skills!H7,1)))/Inputs!$B$43),G2340*Q2340))*IF(Inputs!$B$38="pvp",1,(1+(Inputs!$B$21+Skills!Q7+(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1">
      <c r="A2341">
        <f>Skills!A8</f>
        <v/>
      </c>
      <c r="B2341">
        <f>Skills!B8</f>
        <v/>
      </c>
      <c r="C2341">
        <f>Inputs!$B$3&gt;=110</f>
        <v/>
      </c>
      <c r="D2341">
        <f>IF(Skills!C8=1,60+Inputs!$B$25+Inputs!$B$29,IF(Skills!C8=2,90+Inputs!$B$26+Inputs!$B$29,IF(Skills!C8=3,120+Inputs!$B$27+Inputs!$B$29,MAX(0,(Inputs!$B$3-100)*3)+Inputs!$B$28+Inputs!$B$29)))</f>
        <v/>
      </c>
      <c r="E2341">
        <f>INDEX(FactorTable!$B$2:$Y$301, MATCH(ROUND(MIN(300,MAX(1,D2341)),0), FactorTable!$A$2:$A$301,0), Skills!M8+1)</f>
        <v/>
      </c>
      <c r="F2341">
        <f>IF(Skills!N8=TRUE,(Skills!L8/10)*(E2341/1000),Skills!L8/10)+Skills!O8</f>
        <v/>
      </c>
      <c r="G2341">
        <f>Skills!G8*IF(Skills!H8&gt;0,Skills!I8/Skills!H8,1)</f>
        <v/>
      </c>
      <c r="H2341">
        <f>1-(1-Skills!J8/100)^Skills!K8</f>
        <v/>
      </c>
      <c r="I2341" t="inlineStr">
        <is>
          <t>1</t>
        </is>
      </c>
      <c r="J2341">
        <f>((Inputs!$B$6*(1+Inputs!$B$7/100))+(((Inputs!$B$12*(1+Inputs!$B$13/100))-(Inputs!$B$12*(1+Inputs!$B$13/100)))+0.25*(Inputs!$B$14-Inputs!$B$14))*(1+Inputs!$B$7/100))*(F2341/100)</f>
        <v/>
      </c>
      <c r="K2341">
        <f>J2341*(1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2341)</f>
        <v/>
      </c>
      <c r="L2341">
        <f>K2341*(MIN(Inputs!$B$22+((C2353=TRUE)*(F2353-Calc!F20)),(Inputs!$B$23+0+(IF(ArtifactsInput!$M$15,CHOOSE(ArtifactsInput!$N$15+1,25,30,35,40,45,50)/100*(Inputs!$B$11-Inputs!$B$11),0))))/100+(Inputs!$B$23+0+(IF(ArtifactsInput!$M$15,CHOOSE(ArtifactsInput!$N$15+1,25,30,35,40,45,50)/100*(Inputs!$B$11-Inputs!$B$11),0)))/100)/2</f>
        <v/>
      </c>
      <c r="M2341">
        <f>L2341*(1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1">
        <f>L2341*(1-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1">
        <f>(1-Summary!$B$11)*T2341+Summary!$B$11*V2341</f>
        <v/>
      </c>
      <c r="P2341">
        <f>IF(B2369=0,0,O2341/B2369)</f>
        <v/>
      </c>
      <c r="Q2341">
        <f>IFERROR(1/(IF(Inputs!$B$38="pvp",15,MAX(0.1,Skills!D8-IF(Skills!E8=TRUE,Inputs!$B$32,0)))*(1-IF(AND(ArtifactsInput!$M$27,Inputs!$B$4="Chapter Hunt"),CHOOSE(ArtifactsInput!$N$27+1,20,24,28,32,36,40),0)/100)),0)</f>
        <v/>
      </c>
      <c r="R2341">
        <f>IF(AND(Inputs!$B$38&lt;&gt;"pvp",Inputs!$B$43&gt;0),IF(MAX(0,Inputs!$B$43-B2366)&lt;=0,0,(INT(MAX(0,Inputs!$B$43-B2366)/(IF(Inputs!$B$38="pvp",15,MAX(0.1,Skills!D8-IF(Skills!E8=TRUE,Inputs!$B$32,0)))*(1-IF(AND(ArtifactsInput!$M$27,Inputs!$B$4="Chapter Hunt"),CHOOSE(ArtifactsInput!$N$27+1,20,24,28,32,36,40),0)/100)))+1)),0)</f>
        <v/>
      </c>
      <c r="S2341">
        <f>IFERROR(O2341/N2341,0)</f>
        <v/>
      </c>
      <c r="T2341">
        <f>IF(C2341,(H2341*N2341*IF(AND(Inputs!$B$38&lt;&gt;"pvp",Inputs!$B$43&gt;0),((Skills!G8*((R2341-1)*IF(Skills!H8&gt;0,Skills!I8/Skills!H8,1)+IF(Skills!H8&gt;0,MIN(Skills!I8,MAX(0,MAX(0,Inputs!$B$43-B2366)-((R2341-1)*(IF(Inputs!$B$38="pvp",15,MAX(0.1,Skills!D8-IF(Skills!E8=TRUE,Inputs!$B$32,0)))*(1-IF(AND(ArtifactsInput!$M$27,Inputs!$B$4="Chapter Hunt"),CHOOSE(ArtifactsInput!$N$27+1,20,24,28,32,36,40),0)/100)))))/Skills!H8,1)))/Inputs!$B$43),G2341*Q2341)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2341*(1-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2341*(1-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1">
        <f>IF(C2341,(H2341*N2341*IF(AND(Inputs!$B$38&lt;&gt;"pvp",Inputs!$B$43&gt;0),((Skills!G8*((R2341-1)*IF(Skills!H8&gt;0,Skills!I8/Skills!H8,1)+IF(Skills!H8&gt;0,MIN(Skills!I8,MAX(0,MAX(0,Inputs!$B$43-B2366)-((R2341-1)*(IF(Inputs!$B$38="pvp",15,MAX(0.1,Skills!D8-IF(Skills!E8=TRUE,Inputs!$B$32,0)))*(1-IF(AND(ArtifactsInput!$M$27,Inputs!$B$4="Chapter Hunt"),CHOOSE(ArtifactsInput!$N$27+1,20,24,28,32,36,40),0)/100)))))/Skills!H8,1)))/Inputs!$B$43),G2341*Q2341))*IF(Inputs!$B$38="pvp",1,(1+(Inputs!$B$21+Skills!Q8+(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2">
      <c r="A2342">
        <f>Skills!A9</f>
        <v/>
      </c>
      <c r="B2342">
        <f>Skills!B9</f>
        <v/>
      </c>
      <c r="C2342">
        <f>Inputs!$B$3&gt;=110</f>
        <v/>
      </c>
      <c r="D2342">
        <f>IF(Skills!C9=1,60+Inputs!$B$25+Inputs!$B$29,IF(Skills!C9=2,90+Inputs!$B$26+Inputs!$B$29,IF(Skills!C9=3,120+Inputs!$B$27+Inputs!$B$29,MAX(0,(Inputs!$B$3-100)*3)+Inputs!$B$28+Inputs!$B$29)))</f>
        <v/>
      </c>
      <c r="E2342">
        <f>INDEX(FactorTable!$B$2:$Y$301, MATCH(ROUND(MIN(300,MAX(1,D2342)),0), FactorTable!$A$2:$A$301,0), Skills!M9+1)</f>
        <v/>
      </c>
      <c r="F2342">
        <f>IF(Skills!N9=TRUE,(Skills!L9/10)*(E2342/1000),Skills!L9/10)+Skills!O9</f>
        <v/>
      </c>
      <c r="G2342">
        <f>Skills!G9*IF(Skills!H9&gt;0,Skills!I9/Skills!H9,1)</f>
        <v/>
      </c>
      <c r="H2342">
        <f>1-(1-Skills!J9/100)^Skills!K9</f>
        <v/>
      </c>
      <c r="I2342" t="inlineStr">
        <is>
          <t>1</t>
        </is>
      </c>
      <c r="J2342">
        <f>((Inputs!$B$6*(1+Inputs!$B$7/100))+(((Inputs!$B$12*(1+Inputs!$B$13/100))-(Inputs!$B$12*(1+Inputs!$B$13/100)))+0.25*(Inputs!$B$14-Inputs!$B$14))*(1+Inputs!$B$7/100))*(F2342/100)</f>
        <v/>
      </c>
      <c r="K2342">
        <f>J2342*(1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2342)</f>
        <v/>
      </c>
      <c r="L2342">
        <f>K2342*(MIN(Inputs!$B$22+((C2353=TRUE)*(F2353-Calc!F20)),(Inputs!$B$23+0+(IF(ArtifactsInput!$M$15,CHOOSE(ArtifactsInput!$N$15+1,25,30,35,40,45,50)/100*(Inputs!$B$11-Inputs!$B$11),0))))/100+(Inputs!$B$23+0+(IF(ArtifactsInput!$M$15,CHOOSE(ArtifactsInput!$N$15+1,25,30,35,40,45,50)/100*(Inputs!$B$11-Inputs!$B$11),0)))/100)/2</f>
        <v/>
      </c>
      <c r="M2342">
        <f>L2342*(1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2">
        <f>L2342*(1-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2342*(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2">
        <f>(1-Summary!$B$11)*T2342+Summary!$B$11*V2342</f>
        <v/>
      </c>
      <c r="P2342">
        <f>IF(B2369=0,0,O2342/B2369)</f>
        <v/>
      </c>
      <c r="Q2342">
        <f>IFERROR(1/(IF(Inputs!$B$38="pvp",15,MAX(0.1,Skills!D9-IF(Skills!E9=TRUE,Inputs!$B$32,0)))*(1-IF(AND(ArtifactsInput!$M$27,Inputs!$B$4="Chapter Hunt"),CHOOSE(ArtifactsInput!$N$27+1,20,24,28,32,36,40),0)/100)),0)</f>
        <v/>
      </c>
      <c r="R2342">
        <f>IF(AND(Inputs!$B$38&lt;&gt;"pvp",Inputs!$B$43&gt;0),IF(MAX(0,Inputs!$B$43-B2366)&lt;=0,0,(INT(MAX(0,Inputs!$B$43-B2366)/(IF(Inputs!$B$38="pvp",15,MAX(0.1,Skills!D9-IF(Skills!E9=TRUE,Inputs!$B$32,0)))*(1-IF(AND(ArtifactsInput!$M$27,Inputs!$B$4="Chapter Hunt"),CHOOSE(ArtifactsInput!$N$27+1,20,24,28,32,36,40),0)/100)))+1)),0)</f>
        <v/>
      </c>
      <c r="S2342">
        <f>IFERROR(O2342/N2342,0)</f>
        <v/>
      </c>
      <c r="T2342">
        <f>IF(C2342,(H2342*N2342*IF(AND(Inputs!$B$38&lt;&gt;"pvp",Inputs!$B$43&gt;0),((Skills!G9*((R2342-1)*IF(Skills!H9&gt;0,Skills!I9/Skills!H9,1)+IF(Skills!H9&gt;0,MIN(Skills!I9,MAX(0,MAX(0,Inputs!$B$43-B2366)-((R2342-1)*(IF(Inputs!$B$38="pvp",15,MAX(0.1,Skills!D9-IF(Skills!E9=TRUE,Inputs!$B$32,0)))*(1-IF(AND(ArtifactsInput!$M$27,Inputs!$B$4="Chapter Hunt"),CHOOSE(ArtifactsInput!$N$27+1,20,24,28,32,36,40),0)/100)))))/Skills!H9,1)))/Inputs!$B$43),G2342*Q2342)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2342*(1-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2342*(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2342*(1-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2342*(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2">
        <f>IF(C2342,(H2342*N2342*IF(AND(Inputs!$B$38&lt;&gt;"pvp",Inputs!$B$43&gt;0),((Skills!G9*((R2342-1)*IF(Skills!H9&gt;0,Skills!I9/Skills!H9,1)+IF(Skills!H9&gt;0,MIN(Skills!I9,MAX(0,MAX(0,Inputs!$B$43-B2366)-((R2342-1)*(IF(Inputs!$B$38="pvp",15,MAX(0.1,Skills!D9-IF(Skills!E9=TRUE,Inputs!$B$32,0)))*(1-IF(AND(ArtifactsInput!$M$27,Inputs!$B$4="Chapter Hunt"),CHOOSE(ArtifactsInput!$N$27+1,20,24,28,32,36,40),0)/100)))))/Skills!H9,1)))/Inputs!$B$43),G2342*Q2342))*IF(Inputs!$B$38="pvp",1,(1+(Inputs!$B$21+Skills!Q9+(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3">
      <c r="A2343">
        <f>Skills!A10</f>
        <v/>
      </c>
      <c r="B2343">
        <f>Skills!B10</f>
        <v/>
      </c>
      <c r="C2343">
        <f>Inputs!$B$3&gt;=103</f>
        <v/>
      </c>
      <c r="D2343">
        <f>IF(Skills!C10=1,60+Inputs!$B$25+Inputs!$B$29,IF(Skills!C10=2,90+Inputs!$B$26+Inputs!$B$29,IF(Skills!C10=3,120+Inputs!$B$27+Inputs!$B$29,MAX(0,(Inputs!$B$3-100)*3)+Inputs!$B$28+Inputs!$B$29)))</f>
        <v/>
      </c>
      <c r="E2343">
        <f>INDEX(FactorTable!$B$2:$Y$301, MATCH(ROUND(MIN(300,MAX(1,D2343)),0), FactorTable!$A$2:$A$301,0), Skills!M10+1)</f>
        <v/>
      </c>
      <c r="F2343">
        <f>IF(Skills!N10=TRUE,(Skills!L10/10)*(E2343/1000),Skills!L10/10)+Skills!O10</f>
        <v/>
      </c>
      <c r="G2343">
        <f>Skills!G10*IF(Skills!H10&gt;0,Skills!I10/Skills!H10,1)</f>
        <v/>
      </c>
      <c r="H2343">
        <f>1-(1-Skills!J10/100)^Skills!K10</f>
        <v/>
      </c>
      <c r="I2343" t="inlineStr">
        <is>
          <t>1</t>
        </is>
      </c>
      <c r="J2343">
        <f>((Inputs!$B$6*(1+Inputs!$B$7/100))+(((Inputs!$B$12*(1+Inputs!$B$13/100))-(Inputs!$B$12*(1+Inputs!$B$13/100)))+0.25*(Inputs!$B$14-Inputs!$B$14))*(1+Inputs!$B$7/100))*(F2343/100)</f>
        <v/>
      </c>
      <c r="K2343">
        <f>J2343*(1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2343)</f>
        <v/>
      </c>
      <c r="L2343">
        <f>K2343*(MIN(Inputs!$B$22+((C2353=TRUE)*(F2353-Calc!F20)),(Inputs!$B$23+0+(IF(ArtifactsInput!$M$15,CHOOSE(ArtifactsInput!$N$15+1,25,30,35,40,45,50)/100*(Inputs!$B$11-Inputs!$B$11),0))))/100+(Inputs!$B$23+0+(IF(ArtifactsInput!$M$15,CHOOSE(ArtifactsInput!$N$15+1,25,30,35,40,45,50)/100*(Inputs!$B$11-Inputs!$B$11),0)))/100)/2</f>
        <v/>
      </c>
      <c r="M2343">
        <f>L2343*(1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3">
        <f>L2343*(1-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2343*(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3">
        <f>(1-Summary!$B$11)*T2343+Summary!$B$11*V2343</f>
        <v/>
      </c>
      <c r="P2343">
        <f>IF(B2369=0,0,O2343/B2369)</f>
        <v/>
      </c>
      <c r="Q2343">
        <f>IFERROR(1/(IF(Inputs!$B$38="pvp",15,MAX(0.1,Skills!D10-IF(Skills!E10=TRUE,Inputs!$B$32,0)))*(1-IF(AND(ArtifactsInput!$M$27,Inputs!$B$4="Chapter Hunt"),CHOOSE(ArtifactsInput!$N$27+1,20,24,28,32,36,40),0)/100)),0)</f>
        <v/>
      </c>
      <c r="R2343">
        <f>IF(AND(Inputs!$B$38&lt;&gt;"pvp",Inputs!$B$43&gt;0),IF(MAX(0,Inputs!$B$43-B2366)&lt;=0,0,(INT(MAX(0,Inputs!$B$43-B2366)/(IF(Inputs!$B$38="pvp",15,MAX(0.1,Skills!D10-IF(Skills!E10=TRUE,Inputs!$B$32,0)))*(1-IF(AND(ArtifactsInput!$M$27,Inputs!$B$4="Chapter Hunt"),CHOOSE(ArtifactsInput!$N$27+1,20,24,28,32,36,40),0)/100)))+1)),0)</f>
        <v/>
      </c>
      <c r="S2343">
        <f>IFERROR(O2343/N2343,0)</f>
        <v/>
      </c>
      <c r="T2343">
        <f>IF(C2343,(H2343*N2343*IF(AND(Inputs!$B$38&lt;&gt;"pvp",Inputs!$B$43&gt;0),((Skills!G10*((R2343-1)*IF(Skills!H10&gt;0,Skills!I10/Skills!H10,1)+IF(Skills!H10&gt;0,MIN(Skills!I10,MAX(0,MAX(0,Inputs!$B$43-B2366)-((R2343-1)*(IF(Inputs!$B$38="pvp",15,MAX(0.1,Skills!D10-IF(Skills!E10=TRUE,Inputs!$B$32,0)))*(1-IF(AND(ArtifactsInput!$M$27,Inputs!$B$4="Chapter Hunt"),CHOOSE(ArtifactsInput!$N$27+1,20,24,28,32,36,40),0)/100)))))/Skills!H10,1)))/Inputs!$B$43),G2343*Q2343)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2343*(1-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2343*(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2343*(1-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2343*(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3">
        <f>IF(C2343,(H2343*N2343*IF(AND(Inputs!$B$38&lt;&gt;"pvp",Inputs!$B$43&gt;0),((Skills!G10*((R2343-1)*IF(Skills!H10&gt;0,Skills!I10/Skills!H10,1)+IF(Skills!H10&gt;0,MIN(Skills!I10,MAX(0,MAX(0,Inputs!$B$43-B2366)-((R2343-1)*(IF(Inputs!$B$38="pvp",15,MAX(0.1,Skills!D10-IF(Skills!E10=TRUE,Inputs!$B$32,0)))*(1-IF(AND(ArtifactsInput!$M$27,Inputs!$B$4="Chapter Hunt"),CHOOSE(ArtifactsInput!$N$27+1,20,24,28,32,36,40),0)/100)))))/Skills!H10,1)))/Inputs!$B$43),G2343*Q2343))*IF(Inputs!$B$38="pvp",1,(1+(Inputs!$B$21+Skills!Q10+(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4">
      <c r="A2344">
        <f>Skills!A11</f>
        <v/>
      </c>
      <c r="B2344">
        <f>Skills!B11</f>
        <v/>
      </c>
      <c r="C2344">
        <f>Inputs!$B$3&gt;=113</f>
        <v/>
      </c>
      <c r="D2344">
        <f>IF(Skills!C11=1,60+Inputs!$B$25+Inputs!$B$29,IF(Skills!C11=2,90+Inputs!$B$26+Inputs!$B$29,IF(Skills!C11=3,120+Inputs!$B$27+Inputs!$B$29,MAX(0,(Inputs!$B$3-100)*3)+Inputs!$B$28+Inputs!$B$29)))</f>
        <v/>
      </c>
      <c r="E2344">
        <f>INDEX(FactorTable!$B$2:$Y$301, MATCH(ROUND(MIN(300,MAX(1,D2344)),0), FactorTable!$A$2:$A$301,0), Skills!M11+1)</f>
        <v/>
      </c>
      <c r="F2344">
        <f>IF(Skills!N11=TRUE,(Skills!L11/10)*(E2344/1000),Skills!L11/10)+Skills!O11</f>
        <v/>
      </c>
      <c r="G2344">
        <f>Skills!G11*IF(Skills!H11&gt;0,Skills!I11/Skills!H11,1)</f>
        <v/>
      </c>
      <c r="H2344">
        <f>1-(1-Skills!J11/100)^Skills!K11</f>
        <v/>
      </c>
      <c r="I2344" t="inlineStr">
        <is>
          <t>1</t>
        </is>
      </c>
      <c r="J2344">
        <f>((Inputs!$B$6*(1+Inputs!$B$7/100))+(((Inputs!$B$12*(1+Inputs!$B$13/100))-(Inputs!$B$12*(1+Inputs!$B$13/100)))+0.25*(Inputs!$B$14-Inputs!$B$14))*(1+Inputs!$B$7/100))*(F2344/100)</f>
        <v/>
      </c>
      <c r="K2344">
        <f>J2344*(1+((Inputs!$B$12*(1+Inputs!$B$13/100))*0.01+Inputs!$B$14*0.0025)/100)*(1+Inputs!$B$15/100)*(1+Inputs!$B$16/100)*(5000/(6000+Inputs!$B$42*(1-(100*(1-(1-(Inputs!$B$19+0)/100)*(1-CHOOSE(ArtifactsInput!$N$40+1,5,6,7,8,9,10)/100)^(ArtifactsInput!$M$40-ArtifactsInput!$M$40)))/100)))*(1+(Inputs!$B$24+((C2355=TRUE)*(F2355-Calc!F22))+B2365)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2354=TRUE)*(F2354-Calc!F21))+(((IF(AND(ArtifactsInput!$M$42,((Inputs!$B$9+((C2349=TRUE)*(F2349-Calc!F16))+B2359+(ArtifactsInput!$M$24-ArtifactsInput!$M$24)*CHOOSE(ArtifactsInput!$N$24+1,10,12,14,16,18,20)+IF(ArtifactsInput!$M$10,CHOOSE(ArtifactsInput!$N$10+1,15,18,21,24,27,30)*(IF(Inputs!$B$38="pvp",MIN(15,15)/15,IF(AND(Inputs!$B$38&lt;&gt;"pvp",Inputs!$B$43&gt;0),MIN(15,Inputs!$B$43)/(Inputs!$B$43),0))),0)))&gt;=100),MIN(100,((Inputs!$B$9+((C2349=TRUE)*(F2349-Calc!F16))+B2359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2349=TRUE)*(F2349-Calc!F16))+B2359+(ArtifactsInput!$M$24-ArtifactsInput!$M$24)*CHOOSE(ArtifactsInput!$N$24+1,10,12,14,16,18,20)+IF(ArtifactsInput!$M$10,CHOOSE(ArtifactsInput!$N$10+1,15,18,21,24,27,30)*(IF(Inputs!$B$38="pvp",MIN(15,15)/15,IF(AND(Inputs!$B$38&lt;&gt;"pvp",Inputs!$B$43&gt;0),MIN(15,Inputs!$B$43)/(Inputs!$B$43),0))),0)))&gt;=100),CHOOSE(ArtifactsInput!$N$42+1,40,48,56,64,72,80),0))))/100)*((1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2344)</f>
        <v/>
      </c>
      <c r="L2344">
        <f>K2344*(MIN(Inputs!$B$22+((C2353=TRUE)*(F2353-Calc!F20)),(Inputs!$B$23+0+(IF(ArtifactsInput!$M$15,CHOOSE(ArtifactsInput!$N$15+1,25,30,35,40,45,50)/100*(Inputs!$B$11-Inputs!$B$11),0))))/100+(Inputs!$B$23+0+(IF(ArtifactsInput!$M$15,CHOOSE(ArtifactsInput!$N$15+1,25,30,35,40,45,50)/100*(Inputs!$B$11-Inputs!$B$11),0)))/100)/2</f>
        <v/>
      </c>
      <c r="M2344">
        <f>L2344*(1+(Inputs!$B$10+0+B2364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44">
        <f>L2344*(1-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2344*(MIN((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44">
        <f>(1-Summary!$B$11)*T2344+Summary!$B$11*V2344</f>
        <v/>
      </c>
      <c r="P2344">
        <f>IF(B2369=0,0,O2344/B2369)</f>
        <v/>
      </c>
      <c r="Q2344">
        <f>IFERROR(1/(IF(Inputs!$B$38="pvp",15,MAX(0.1,Skills!D11-IF(Skills!E11=TRUE,Inputs!$B$32,0)))*(1-IF(AND(ArtifactsInput!$M$27,Inputs!$B$4="Chapter Hunt"),CHOOSE(ArtifactsInput!$N$27+1,20,24,28,32,36,40),0)/100)),0)</f>
        <v/>
      </c>
      <c r="R2344">
        <f>IF(AND(Inputs!$B$38&lt;&gt;"pvp",Inputs!$B$43&gt;0),IF(MAX(0,Inputs!$B$43-B2366)&lt;=0,0,(INT(MAX(0,Inputs!$B$43-B2366)/(IF(Inputs!$B$38="pvp",15,MAX(0.1,Skills!D11-IF(Skills!E11=TRUE,Inputs!$B$32,0)))*(1-IF(AND(ArtifactsInput!$M$27,Inputs!$B$4="Chapter Hunt"),CHOOSE(ArtifactsInput!$N$27+1,20,24,28,32,36,40),0)/100)))+1)),0)</f>
        <v/>
      </c>
      <c r="S2344">
        <f>IFERROR(O2344/N2344,0)</f>
        <v/>
      </c>
      <c r="T2344">
        <f>IF(C2344,(H2344*N2344*IF(AND(Inputs!$B$38&lt;&gt;"pvp",Inputs!$B$43&gt;0),((Skills!G11*((R2344-1)*IF(Skills!H11&gt;0,Skills!I11/Skills!H11,1)+IF(Skills!H11&gt;0,MIN(Skills!I11,MAX(0,MAX(0,Inputs!$B$43-B2366)-((R2344-1)*(IF(Inputs!$B$38="pvp",15,MAX(0.1,Skills!D11-IF(Skills!E11=TRUE,Inputs!$B$32,0)))*(1-IF(AND(ArtifactsInput!$M$27,Inputs!$B$4="Chapter Hunt"),CHOOSE(ArtifactsInput!$N$27+1,20,24,28,32,36,40),0)/100)))))/Skills!H11,1)))/Inputs!$B$43),G2344*Q2344)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2344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2344*(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2344*(1-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2344*(MIN(100,(Inputs!$B$9+((C2349=TRUE)*(F2349-Calc!F16))+B2359+(ArtifactsInput!$M$24-ArtifactsInput!$M$24)*CHOOSE(ArtifactsInput!$N$24+1,10,12,14,16,18,20)+(IF(AND(ArtifactsInput!$M$42,((Inputs!$B$9+((C2349=TRUE)*(F2349-Calc!F16))+B2359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44">
        <f>IF(C2344,(H2344*N2344*IF(AND(Inputs!$B$38&lt;&gt;"pvp",Inputs!$B$43&gt;0),((Skills!G11*((R2344-1)*IF(Skills!H11&gt;0,Skills!I11/Skills!H11,1)+IF(Skills!H11&gt;0,MIN(Skills!I11,MAX(0,MAX(0,Inputs!$B$43-B2366)-((R2344-1)*(IF(Inputs!$B$38="pvp",15,MAX(0.1,Skills!D11-IF(Skills!E11=TRUE,Inputs!$B$32,0)))*(1-IF(AND(ArtifactsInput!$M$27,Inputs!$B$4="Chapter Hunt"),CHOOSE(ArtifactsInput!$N$27+1,20,24,28,32,36,40),0)/100)))))/Skills!H11,1)))/Inputs!$B$43),G2344*Q2344))*IF(Inputs!$B$38="pvp",1,(1+(Inputs!$B$21+Skills!Q11+(IF(ArtifactsInput!$M$33,CHOOSE(ArtifactsInput!$N$33+1,30,36,42,48,54,60),0))+(IF(AND(ArtifactsInput!$M$35,Inputs!$B$4&lt;&gt;"Chapter Hunt"),CHOOSE(ArtifactsInput!$N$35+1,15,18,21,24,27,30)*(1-EXP(-(0.2*B2361)*5)),0)+IF(AND(ArtifactsInput!$M$22,Inputs!$B$4&lt;&gt;"Chapter Hunt"),CHOOSE(ArtifactsInput!$N$22+1,10,12,14,16,18,20)*((0*(((0.15*B2361*5))^0/1)+1*(((0.15*B2361*5))^1/1)+2*(((0.15*B2361*5))^2/2)+3*(((0.15*B2361*5))^3/6)+4*(((0.15*B2361*5))^4/24)+5*(((0.15*B2361*5))^5/120))/((((0.15*B2361*5))^0/1)+(((0.15*B2361*5))^1/1)+(((0.15*B2361*5))^2/2)+(((0.15*B2361*5))^3/6)+(((0.15*B2361*5))^4/24)+(((0.15*B2361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45">
      <c r="A2345">
        <f>Skills!A12</f>
        <v/>
      </c>
      <c r="B2345">
        <f>Skills!B12</f>
        <v/>
      </c>
      <c r="C2345">
        <f>Inputs!$B$3&gt;=100</f>
        <v/>
      </c>
      <c r="D2345">
        <f>IF(Skills!C12=1,60+Inputs!$B$25+Inputs!$B$29,IF(Skills!C12=2,90+Inputs!$B$26+Inputs!$B$29,IF(Skills!C12=3,120+Inputs!$B$27+Inputs!$B$29,MAX(0,(Inputs!$B$3-100)*3)+Inputs!$B$28+Inputs!$B$29)))</f>
        <v/>
      </c>
      <c r="E2345">
        <f>INDEX(FactorTable!$B$2:$Y$301, MATCH(ROUND(MIN(300,MAX(1,D2345)),0), FactorTable!$A$2:$A$301,0), Skills!M12+1)</f>
        <v/>
      </c>
      <c r="F2345">
        <f>IF(Skills!N12=TRUE,(Skills!L12/10)*(E2345/1000),Skills!L12/10)+Skills!O12</f>
        <v/>
      </c>
      <c r="G2345" t="inlineStr"/>
      <c r="H2345" t="inlineStr"/>
      <c r="I2345" t="inlineStr">
        <is>
          <t>1</t>
        </is>
      </c>
      <c r="J2345" t="inlineStr"/>
      <c r="K2345" t="inlineStr"/>
      <c r="L2345" t="inlineStr"/>
      <c r="M2345" t="inlineStr"/>
      <c r="N2345" t="inlineStr"/>
      <c r="O2345" t="inlineStr"/>
      <c r="P2345" t="inlineStr"/>
      <c r="Q2345" t="inlineStr"/>
      <c r="R2345" t="inlineStr"/>
      <c r="S2345" t="inlineStr"/>
      <c r="T2345" t="inlineStr"/>
      <c r="V2345" t="inlineStr"/>
    </row>
    <row r="2346">
      <c r="A2346">
        <f>Skills!A13</f>
        <v/>
      </c>
      <c r="B2346">
        <f>Skills!B13</f>
        <v/>
      </c>
      <c r="C2346">
        <f>Inputs!$B$3&gt;=66</f>
        <v/>
      </c>
      <c r="D2346">
        <f>IF(Skills!C13=1,60+Inputs!$B$25+Inputs!$B$29,IF(Skills!C13=2,90+Inputs!$B$26+Inputs!$B$29,IF(Skills!C13=3,120+Inputs!$B$27+Inputs!$B$29,MAX(0,(Inputs!$B$3-100)*3)+Inputs!$B$28+Inputs!$B$29)))</f>
        <v/>
      </c>
      <c r="E2346">
        <f>INDEX(FactorTable!$B$2:$Y$301, MATCH(ROUND(MIN(300,MAX(1,D2346)),0), FactorTable!$A$2:$A$301,0), Skills!M13+1)</f>
        <v/>
      </c>
      <c r="F2346">
        <f>IF(Skills!N13=TRUE,(Skills!L13/10)*(E2346/1000),Skills!L13/10)+Skills!O13</f>
        <v/>
      </c>
      <c r="G2346">
        <f>Skills!G13*IF(Skills!H13&gt;0,Skills!I13/Skills!H13,1)</f>
        <v/>
      </c>
      <c r="H2346">
        <f>1-(1-Skills!J13/100)^Skills!K13</f>
        <v/>
      </c>
      <c r="I2346" t="inlineStr">
        <is>
          <t>1</t>
        </is>
      </c>
      <c r="J2346" t="inlineStr"/>
      <c r="K2346" t="inlineStr"/>
      <c r="L2346" t="inlineStr"/>
      <c r="M2346" t="inlineStr"/>
      <c r="N2346" t="inlineStr"/>
      <c r="O2346">
        <f>(1-Summary!$B$11)*T2346+Summary!$B$11*V2346</f>
        <v/>
      </c>
      <c r="P2346">
        <f>IF(B2369=0,0,O2346/B2369)</f>
        <v/>
      </c>
      <c r="Q2346" t="n">
        <v>0</v>
      </c>
      <c r="R2346" t="n">
        <v>0</v>
      </c>
      <c r="S2346">
        <f>IFERROR(O2346/N2346,0)</f>
        <v/>
      </c>
      <c r="T2346" t="n">
        <v>0</v>
      </c>
      <c r="V2346" t="n">
        <v>0</v>
      </c>
    </row>
    <row r="2347">
      <c r="A2347">
        <f>Skills!A14</f>
        <v/>
      </c>
      <c r="B2347">
        <f>Skills!B14</f>
        <v/>
      </c>
      <c r="C2347">
        <f>Inputs!$B$3&gt;=107</f>
        <v/>
      </c>
      <c r="D2347">
        <f>IF(Skills!C14=1,60+Inputs!$B$25+Inputs!$B$29,IF(Skills!C14=2,90+Inputs!$B$26+Inputs!$B$29,IF(Skills!C14=3,120+Inputs!$B$27+Inputs!$B$29,MAX(0,(Inputs!$B$3-100)*3)+Inputs!$B$28+Inputs!$B$29)))</f>
        <v/>
      </c>
      <c r="E2347">
        <f>INDEX(FactorTable!$B$2:$Y$301, MATCH(ROUND(MIN(300,MAX(1,D2347)),0), FactorTable!$A$2:$A$301,0), Skills!M14+1)</f>
        <v/>
      </c>
      <c r="F2347">
        <f>IF(Skills!N14=TRUE,(Skills!L14/10)*(E2347/1000),Skills!L14/10)+Skills!O14</f>
        <v/>
      </c>
      <c r="G2347">
        <f>Skills!G14*IF(Skills!H14&gt;0,Skills!I14/Skills!H14,1)</f>
        <v/>
      </c>
      <c r="H2347">
        <f>1-(1-Skills!J14/100)^Skills!K14</f>
        <v/>
      </c>
      <c r="I2347" t="inlineStr">
        <is>
          <t>1</t>
        </is>
      </c>
      <c r="J2347" t="inlineStr"/>
      <c r="K2347" t="inlineStr"/>
      <c r="L2347" t="inlineStr"/>
      <c r="M2347" t="inlineStr"/>
      <c r="N2347" t="inlineStr"/>
      <c r="O2347">
        <f>(1-Summary!$B$11)*T2347+Summary!$B$11*V2347</f>
        <v/>
      </c>
      <c r="P2347">
        <f>IF(B2369=0,0,O2347/B2369)</f>
        <v/>
      </c>
      <c r="Q2347">
        <f>IFERROR(1/(IF(Inputs!$B$38="pvp",15,MAX(0.1,Skills!D14-IF(Skills!E14=TRUE,Inputs!$B$32,0)))*(1-IF(AND(ArtifactsInput!$M$27,Inputs!$B$4="Chapter Hunt"),CHOOSE(ArtifactsInput!$N$27+1,20,24,28,32,36,40),0)/100)),0)</f>
        <v/>
      </c>
      <c r="R2347">
        <f>IF(AND(Inputs!$B$38&lt;&gt;"pvp",Inputs!$B$43&gt;0),IF(Inputs!$B$43&lt;=0,0,(INT(Inputs!$B$43/(IF(Inputs!$B$38="pvp",15,MAX(0.1,Skills!D14-IF(Skills!E14=TRUE,Inputs!$B$32,0)))*(1-IF(AND(ArtifactsInput!$M$27,Inputs!$B$4="Chapter Hunt"),CHOOSE(ArtifactsInput!$N$27+1,20,24,28,32,36,40),0)/100)))+1)),0)</f>
        <v/>
      </c>
      <c r="S2347">
        <f>IFERROR(O2347/N2347,0)</f>
        <v/>
      </c>
      <c r="T2347" t="n">
        <v>0</v>
      </c>
      <c r="V2347" t="n">
        <v>0</v>
      </c>
    </row>
    <row r="2348">
      <c r="A2348">
        <f>Skills!A15</f>
        <v/>
      </c>
      <c r="B2348">
        <f>Skills!B15</f>
        <v/>
      </c>
      <c r="C2348">
        <f>Inputs!$B$3&gt;=115</f>
        <v/>
      </c>
      <c r="D2348">
        <f>IF(Skills!C15=1,60+Inputs!$B$25+Inputs!$B$29,IF(Skills!C15=2,90+Inputs!$B$26+Inputs!$B$29,IF(Skills!C15=3,120+Inputs!$B$27+Inputs!$B$29,MAX(0,(Inputs!$B$3-100)*3)+Inputs!$B$28+Inputs!$B$29)))</f>
        <v/>
      </c>
      <c r="E2348">
        <f>INDEX(FactorTable!$B$2:$Y$301, MATCH(ROUND(MIN(300,MAX(1,D2348)),0), FactorTable!$A$2:$A$301,0), Skills!M15+1)</f>
        <v/>
      </c>
      <c r="F2348">
        <f>IF(Skills!N15=TRUE,(Skills!L15/10)*(E2348/1000),Skills!L15/10)+Skills!O15</f>
        <v/>
      </c>
      <c r="G2348">
        <f>Skills!G15*IF(Skills!H15&gt;0,Skills!I15/Skills!H15,1)</f>
        <v/>
      </c>
      <c r="H2348">
        <f>1-(1-Skills!J15/100)^Skills!K15</f>
        <v/>
      </c>
      <c r="I2348" t="inlineStr">
        <is>
          <t>1</t>
        </is>
      </c>
      <c r="J2348" t="inlineStr"/>
      <c r="K2348" t="inlineStr"/>
      <c r="L2348" t="inlineStr"/>
      <c r="M2348" t="inlineStr"/>
      <c r="N2348" t="inlineStr"/>
      <c r="O2348">
        <f>(1-Summary!$B$11)*T2348+Summary!$B$11*V2348</f>
        <v/>
      </c>
      <c r="P2348">
        <f>IF(B2369=0,0,O2348/B2369)</f>
        <v/>
      </c>
      <c r="Q2348">
        <f>IFERROR(1/(IF(Inputs!$B$38="pvp",15,MAX(0.1,Skills!D15-IF(Skills!E15=TRUE,Inputs!$B$32,0)))*(1-IF(AND(ArtifactsInput!$M$27,Inputs!$B$4="Chapter Hunt"),CHOOSE(ArtifactsInput!$N$27+1,20,24,28,32,36,40),0)/100)),0)</f>
        <v/>
      </c>
      <c r="R2348">
        <f>IF(AND(Inputs!$B$38&lt;&gt;"pvp",Inputs!$B$43&gt;0),IF(Inputs!$B$43&lt;=0,0,(INT(Inputs!$B$43/(IF(Inputs!$B$38="pvp",15,MAX(0.1,Skills!D15-IF(Skills!E15=TRUE,Inputs!$B$32,0)))*(1-IF(AND(ArtifactsInput!$M$27,Inputs!$B$4="Chapter Hunt"),CHOOSE(ArtifactsInput!$N$27+1,20,24,28,32,36,40),0)/100)))+1)),0)</f>
        <v/>
      </c>
      <c r="S2348">
        <f>IFERROR(O2348/N2348,0)</f>
        <v/>
      </c>
      <c r="T2348" t="n">
        <v>0</v>
      </c>
      <c r="V2348" t="n">
        <v>0</v>
      </c>
    </row>
    <row r="2349">
      <c r="A2349">
        <f>Skills!A16</f>
        <v/>
      </c>
      <c r="B2349">
        <f>Skills!B16</f>
        <v/>
      </c>
      <c r="C2349">
        <f>Inputs!$B$3&gt;=15</f>
        <v/>
      </c>
      <c r="D2349">
        <f>IF(Skills!C16=1,60+Inputs!$B$25+Inputs!$B$29,IF(Skills!C16=2,90+Inputs!$B$26+Inputs!$B$29,IF(Skills!C16=3,120+Inputs!$B$27+Inputs!$B$29,MAX(0,(Inputs!$B$3-100)*3)+Inputs!$B$28+Inputs!$B$29)))</f>
        <v/>
      </c>
      <c r="E2349">
        <f>INDEX(FactorTable!$B$2:$Y$301, MATCH(ROUND(MIN(300,MAX(1,D2349)),0), FactorTable!$A$2:$A$301,0), Skills!M16+1)</f>
        <v/>
      </c>
      <c r="F2349">
        <f>IF(Skills!N16=TRUE,(Skills!L16/10)*(E2349/1000),Skills!L16/10)+Skills!O16</f>
        <v/>
      </c>
      <c r="G2349">
        <f>Skills!G16*IF(Skills!H16&gt;0,Skills!I16/Skills!H16,1)</f>
        <v/>
      </c>
      <c r="H2349">
        <f>1-(1-Skills!J16/100)^Skills!K16</f>
        <v/>
      </c>
      <c r="I2349" t="inlineStr">
        <is>
          <t>1</t>
        </is>
      </c>
      <c r="J2349" t="inlineStr"/>
      <c r="K2349" t="inlineStr"/>
      <c r="L2349" t="inlineStr"/>
      <c r="M2349" t="inlineStr"/>
      <c r="N2349" t="inlineStr"/>
      <c r="O2349">
        <f>(1-Summary!$B$11)*T2349+Summary!$B$11*V2349</f>
        <v/>
      </c>
      <c r="P2349">
        <f>IF(B2369=0,0,O2349/B2369)</f>
        <v/>
      </c>
      <c r="Q2349" t="n">
        <v>0</v>
      </c>
      <c r="R2349" t="n">
        <v>0</v>
      </c>
      <c r="S2349">
        <f>IFERROR(O2349/N2349,0)</f>
        <v/>
      </c>
      <c r="T2349" t="n">
        <v>0</v>
      </c>
      <c r="V2349" t="n">
        <v>0</v>
      </c>
    </row>
    <row r="2350">
      <c r="A2350">
        <f>Skills!A17</f>
        <v/>
      </c>
      <c r="B2350">
        <f>Skills!B17</f>
        <v/>
      </c>
      <c r="C2350">
        <f>Inputs!$B$3&gt;=10</f>
        <v/>
      </c>
      <c r="D2350">
        <f>IF(Skills!C17=1,60+Inputs!$B$25+Inputs!$B$29,IF(Skills!C17=2,90+Inputs!$B$26+Inputs!$B$29,IF(Skills!C17=3,120+Inputs!$B$27+Inputs!$B$29,MAX(0,(Inputs!$B$3-100)*3)+Inputs!$B$28+Inputs!$B$29)))</f>
        <v/>
      </c>
      <c r="E2350">
        <f>INDEX(FactorTable!$B$2:$Y$301, MATCH(ROUND(MIN(300,MAX(1,D2350)),0), FactorTable!$A$2:$A$301,0), Skills!M17+1)</f>
        <v/>
      </c>
      <c r="F2350">
        <f>IF(Skills!N17=TRUE,(Skills!L17/10)*(E2350/1000),Skills!L17/10)+Skills!O17</f>
        <v/>
      </c>
      <c r="G2350">
        <f>Skills!G17*IF(Skills!H17&gt;0,Skills!I17/Skills!H17,1)</f>
        <v/>
      </c>
      <c r="H2350">
        <f>1-(1-Skills!J17/100)^Skills!K17</f>
        <v/>
      </c>
      <c r="I2350" t="inlineStr">
        <is>
          <t>1</t>
        </is>
      </c>
      <c r="J2350" t="inlineStr"/>
      <c r="K2350" t="inlineStr"/>
      <c r="L2350" t="inlineStr"/>
      <c r="M2350" t="inlineStr"/>
      <c r="N2350" t="inlineStr"/>
      <c r="O2350">
        <f>(1-Summary!$B$11)*T2350+Summary!$B$11*V2350</f>
        <v/>
      </c>
      <c r="P2350">
        <f>IF(B2369=0,0,O2350/B2369)</f>
        <v/>
      </c>
      <c r="Q2350" t="n">
        <v>0</v>
      </c>
      <c r="R2350" t="n">
        <v>0</v>
      </c>
      <c r="S2350">
        <f>IFERROR(O2350/N2350,0)</f>
        <v/>
      </c>
      <c r="T2350" t="n">
        <v>0</v>
      </c>
      <c r="V2350" t="n">
        <v>0</v>
      </c>
    </row>
    <row r="2351">
      <c r="A2351">
        <f>Skills!A18</f>
        <v/>
      </c>
      <c r="B2351">
        <f>Skills!B18</f>
        <v/>
      </c>
      <c r="C2351">
        <f>Inputs!$B$3&gt;=33</f>
        <v/>
      </c>
      <c r="D2351">
        <f>IF(Skills!C18=1,60+Inputs!$B$25+Inputs!$B$29,IF(Skills!C18=2,90+Inputs!$B$26+Inputs!$B$29,IF(Skills!C18=3,120+Inputs!$B$27+Inputs!$B$29,MAX(0,(Inputs!$B$3-100)*3)+Inputs!$B$28+Inputs!$B$29)))</f>
        <v/>
      </c>
      <c r="E2351">
        <f>INDEX(FactorTable!$B$2:$Y$301, MATCH(ROUND(MIN(300,MAX(1,D2351)),0), FactorTable!$A$2:$A$301,0), Skills!M18+1)</f>
        <v/>
      </c>
      <c r="F2351">
        <f>IF(Skills!N18=TRUE,(Skills!L18/10)*(E2351/1000),Skills!L18/10)+Skills!O18</f>
        <v/>
      </c>
      <c r="G2351">
        <f>Skills!G18*IF(Skills!H18&gt;0,Skills!I18/Skills!H18,1)</f>
        <v/>
      </c>
      <c r="H2351">
        <f>1-(1-Skills!J18/100)^Skills!K18</f>
        <v/>
      </c>
      <c r="I2351" t="inlineStr">
        <is>
          <t>1</t>
        </is>
      </c>
      <c r="J2351" t="inlineStr"/>
      <c r="K2351" t="inlineStr"/>
      <c r="L2351" t="inlineStr"/>
      <c r="M2351" t="inlineStr"/>
      <c r="N2351" t="inlineStr"/>
      <c r="O2351">
        <f>(1-Summary!$B$11)*T2351+Summary!$B$11*V2351</f>
        <v/>
      </c>
      <c r="P2351">
        <f>IF(B2369=0,0,O2351/B2369)</f>
        <v/>
      </c>
      <c r="Q2351" t="n">
        <v>0</v>
      </c>
      <c r="R2351" t="n">
        <v>0</v>
      </c>
      <c r="S2351">
        <f>IFERROR(O2351/N2351,0)</f>
        <v/>
      </c>
      <c r="T2351" t="n">
        <v>0</v>
      </c>
      <c r="V2351" t="n">
        <v>0</v>
      </c>
    </row>
    <row r="2352">
      <c r="A2352">
        <f>Skills!A19</f>
        <v/>
      </c>
      <c r="B2352">
        <f>Skills!B19</f>
        <v/>
      </c>
      <c r="C2352">
        <f>Inputs!$B$3&gt;=40</f>
        <v/>
      </c>
      <c r="D2352">
        <f>IF(Skills!C19=1,60+Inputs!$B$25+Inputs!$B$29,IF(Skills!C19=2,90+Inputs!$B$26+Inputs!$B$29,IF(Skills!C19=3,120+Inputs!$B$27+Inputs!$B$29,MAX(0,(Inputs!$B$3-100)*3)+Inputs!$B$28+Inputs!$B$29)))</f>
        <v/>
      </c>
      <c r="E2352">
        <f>INDEX(FactorTable!$B$2:$Y$301, MATCH(ROUND(MIN(300,MAX(1,D2352)),0), FactorTable!$A$2:$A$301,0), Skills!M19+1)</f>
        <v/>
      </c>
      <c r="F2352">
        <f>IF(Skills!N19=TRUE,(Skills!L19/10)*(E2352/1000),Skills!L19/10)+Skills!O19</f>
        <v/>
      </c>
      <c r="G2352">
        <f>Skills!G19*IF(Skills!H19&gt;0,Skills!I19/Skills!H19,1)</f>
        <v/>
      </c>
      <c r="H2352">
        <f>1-(1-Skills!J19/100)^Skills!K19</f>
        <v/>
      </c>
      <c r="I2352" t="inlineStr">
        <is>
          <t>1</t>
        </is>
      </c>
      <c r="J2352" t="inlineStr"/>
      <c r="K2352" t="inlineStr"/>
      <c r="L2352" t="inlineStr"/>
      <c r="M2352" t="inlineStr"/>
      <c r="N2352" t="inlineStr"/>
      <c r="O2352">
        <f>(1-Summary!$B$11)*T2352+Summary!$B$11*V2352</f>
        <v/>
      </c>
      <c r="P2352">
        <f>IF(B2369=0,0,O2352/B2369)</f>
        <v/>
      </c>
      <c r="Q2352" t="n">
        <v>0</v>
      </c>
      <c r="R2352" t="n">
        <v>0</v>
      </c>
      <c r="S2352">
        <f>IFERROR(O2352/N2352,0)</f>
        <v/>
      </c>
      <c r="T2352" t="n">
        <v>0</v>
      </c>
      <c r="V2352" t="n">
        <v>0</v>
      </c>
    </row>
    <row r="2353">
      <c r="A2353">
        <f>Skills!A20</f>
        <v/>
      </c>
      <c r="B2353">
        <f>Skills!B20</f>
        <v/>
      </c>
      <c r="C2353">
        <f>Inputs!$B$3&gt;=43</f>
        <v/>
      </c>
      <c r="D2353">
        <f>IF(Skills!C20=1,60+Inputs!$B$25+Inputs!$B$29,IF(Skills!C20=2,90+Inputs!$B$26+Inputs!$B$29,IF(Skills!C20=3,120+Inputs!$B$27+Inputs!$B$29,MAX(0,(Inputs!$B$3-100)*3)+Inputs!$B$28+Inputs!$B$29)))</f>
        <v/>
      </c>
      <c r="E2353">
        <f>INDEX(FactorTable!$B$2:$Y$301, MATCH(ROUND(MIN(300,MAX(1,D2353)),0), FactorTable!$A$2:$A$301,0), Skills!M20+1)</f>
        <v/>
      </c>
      <c r="F2353">
        <f>IF(Skills!N20=TRUE,(Skills!L20/10)*(E2353/1000),Skills!L20/10)+Skills!O20</f>
        <v/>
      </c>
      <c r="G2353">
        <f>Skills!G20*IF(Skills!H20&gt;0,Skills!I20/Skills!H20,1)</f>
        <v/>
      </c>
      <c r="H2353">
        <f>1-(1-Skills!J20/100)^Skills!K20</f>
        <v/>
      </c>
      <c r="I2353" t="inlineStr">
        <is>
          <t>1</t>
        </is>
      </c>
      <c r="J2353" t="inlineStr"/>
      <c r="K2353" t="inlineStr"/>
      <c r="L2353" t="inlineStr"/>
      <c r="M2353" t="inlineStr"/>
      <c r="N2353" t="inlineStr"/>
      <c r="O2353">
        <f>(1-Summary!$B$11)*T2353+Summary!$B$11*V2353</f>
        <v/>
      </c>
      <c r="P2353">
        <f>IF(B2369=0,0,O2353/B2369)</f>
        <v/>
      </c>
      <c r="Q2353" t="n">
        <v>0</v>
      </c>
      <c r="R2353" t="n">
        <v>0</v>
      </c>
      <c r="S2353">
        <f>IFERROR(O2353/N2353,0)</f>
        <v/>
      </c>
      <c r="T2353" t="n">
        <v>0</v>
      </c>
      <c r="V2353" t="n">
        <v>0</v>
      </c>
    </row>
    <row r="2354">
      <c r="A2354">
        <f>Skills!A21</f>
        <v/>
      </c>
      <c r="B2354">
        <f>Skills!B21</f>
        <v/>
      </c>
      <c r="C2354">
        <f>Inputs!$B$3&gt;=38</f>
        <v/>
      </c>
      <c r="D2354">
        <f>IF(Skills!C21=1,60+Inputs!$B$25+Inputs!$B$29,IF(Skills!C21=2,90+Inputs!$B$26+Inputs!$B$29,IF(Skills!C21=3,120+Inputs!$B$27+Inputs!$B$29,MAX(0,(Inputs!$B$3-100)*3)+Inputs!$B$28+Inputs!$B$29)))</f>
        <v/>
      </c>
      <c r="E2354">
        <f>INDEX(FactorTable!$B$2:$Y$301, MATCH(ROUND(MIN(300,MAX(1,D2354)),0), FactorTable!$A$2:$A$301,0), Skills!M21+1)</f>
        <v/>
      </c>
      <c r="F2354">
        <f>IF(Skills!N21=TRUE,(Skills!L21/10)*(E2354/1000),Skills!L21/10)+Skills!O21</f>
        <v/>
      </c>
      <c r="G2354">
        <f>Skills!G21*IF(Skills!H21&gt;0,Skills!I21/Skills!H21,1)</f>
        <v/>
      </c>
      <c r="H2354">
        <f>1-(1-Skills!J21/100)^Skills!K21</f>
        <v/>
      </c>
      <c r="I2354" t="inlineStr">
        <is>
          <t>1</t>
        </is>
      </c>
      <c r="J2354" t="inlineStr"/>
      <c r="K2354" t="inlineStr"/>
      <c r="L2354" t="inlineStr"/>
      <c r="M2354" t="inlineStr"/>
      <c r="N2354" t="inlineStr"/>
      <c r="O2354">
        <f>(1-Summary!$B$11)*T2354+Summary!$B$11*V2354</f>
        <v/>
      </c>
      <c r="P2354">
        <f>IF(B2369=0,0,O2354/B2369)</f>
        <v/>
      </c>
      <c r="Q2354" t="n">
        <v>0</v>
      </c>
      <c r="R2354" t="n">
        <v>0</v>
      </c>
      <c r="S2354">
        <f>IFERROR(O2354/N2354,0)</f>
        <v/>
      </c>
      <c r="T2354" t="n">
        <v>0</v>
      </c>
      <c r="V2354" t="n">
        <v>0</v>
      </c>
    </row>
    <row r="2355">
      <c r="A2355">
        <f>Skills!A22</f>
        <v/>
      </c>
      <c r="B2355">
        <f>Skills!B22</f>
        <v/>
      </c>
      <c r="C2355">
        <f>Inputs!$B$3&gt;=75</f>
        <v/>
      </c>
      <c r="D2355">
        <f>IF(Skills!C22=1,60+Inputs!$B$25+Inputs!$B$29,IF(Skills!C22=2,90+Inputs!$B$26+Inputs!$B$29,IF(Skills!C22=3,120+Inputs!$B$27+Inputs!$B$29,MAX(0,(Inputs!$B$3-100)*3)+Inputs!$B$28+Inputs!$B$29)))</f>
        <v/>
      </c>
      <c r="E2355">
        <f>INDEX(FactorTable!$B$2:$Y$301, MATCH(ROUND(MIN(300,MAX(1,D2355)),0), FactorTable!$A$2:$A$301,0), Skills!M22+1)</f>
        <v/>
      </c>
      <c r="F2355">
        <f>IF(Skills!N22=TRUE,(Skills!L22/10)*(E2355/1000),Skills!L22/10)+Skills!O22</f>
        <v/>
      </c>
      <c r="G2355">
        <f>Skills!G22*IF(Skills!H22&gt;0,Skills!I22/Skills!H22,1)</f>
        <v/>
      </c>
      <c r="H2355">
        <f>1-(1-Skills!J22/100)^Skills!K22</f>
        <v/>
      </c>
      <c r="I2355" t="inlineStr">
        <is>
          <t>1</t>
        </is>
      </c>
      <c r="J2355" t="inlineStr"/>
      <c r="K2355" t="inlineStr"/>
      <c r="L2355" t="inlineStr"/>
      <c r="M2355" t="inlineStr"/>
      <c r="N2355" t="inlineStr"/>
      <c r="O2355">
        <f>(1-Summary!$B$11)*T2355+Summary!$B$11*V2355</f>
        <v/>
      </c>
      <c r="P2355">
        <f>IF(B2369=0,0,O2355/B2369)</f>
        <v/>
      </c>
      <c r="Q2355" t="n">
        <v>0</v>
      </c>
      <c r="R2355" t="n">
        <v>0</v>
      </c>
      <c r="S2355">
        <f>IFERROR(O2355/N2355,0)</f>
        <v/>
      </c>
      <c r="T2355" t="n">
        <v>0</v>
      </c>
      <c r="V2355" t="n">
        <v>0</v>
      </c>
    </row>
    <row r="2356">
      <c r="A2356">
        <f>Skills!A23</f>
        <v/>
      </c>
      <c r="B2356">
        <f>Skills!B23</f>
        <v/>
      </c>
      <c r="C2356">
        <f>TRUE</f>
        <v/>
      </c>
      <c r="D2356">
        <f>IF(Skills!C23=1,60+Inputs!$B$25+Inputs!$B$29,IF(Skills!C23=2,90+Inputs!$B$26+Inputs!$B$29,IF(Skills!C23=3,120+Inputs!$B$27+Inputs!$B$29,MAX(0,(Inputs!$B$3-100)*3)+Inputs!$B$28+Inputs!$B$29)))</f>
        <v/>
      </c>
      <c r="E2356">
        <f>INDEX(FactorTable!$B$2:$Y$301, MATCH(ROUND(MIN(300,MAX(1,D2356)),0), FactorTable!$A$2:$A$301,0), Skills!M23+1)</f>
        <v/>
      </c>
      <c r="F2356">
        <f>IF(Skills!N23=TRUE,(Skills!L23/10)*(E2356/1000),Skills!L23/10)+Skills!O23</f>
        <v/>
      </c>
      <c r="G2356">
        <f>Skills!G23*IF(Skills!H23&gt;0,Skills!I23/Skills!H23,1)</f>
        <v/>
      </c>
      <c r="H2356">
        <f>1-(1-Skills!J23/100)^Skills!K23</f>
        <v/>
      </c>
      <c r="I2356" t="inlineStr">
        <is>
          <t>1</t>
        </is>
      </c>
      <c r="J2356" t="inlineStr"/>
      <c r="K2356" t="inlineStr"/>
      <c r="L2356" t="inlineStr"/>
      <c r="M2356" t="inlineStr"/>
      <c r="N2356" t="inlineStr"/>
      <c r="O2356">
        <f>(1-Summary!$B$11)*T2356+Summary!$B$11*V2356</f>
        <v/>
      </c>
      <c r="P2356">
        <f>IF(B2369=0,0,O2356/B2369)</f>
        <v/>
      </c>
      <c r="Q2356">
        <f>IFERROR(1/(IF(Inputs!$B$38="pvp",15,MAX(0.1,Skills!D23-IF(Skills!E23=TRUE,Inputs!$B$32,0)))*(1-IF(AND(ArtifactsInput!$M$27,Inputs!$B$4="Chapter Hunt"),CHOOSE(ArtifactsInput!$N$27+1,20,24,28,32,36,40),0)/100)),0)</f>
        <v/>
      </c>
      <c r="R2356">
        <f>IF(AND(Inputs!$B$38&lt;&gt;"pvp",Inputs!$B$43&gt;0),IF(Inputs!$B$43&lt;=0,0,(INT(Inputs!$B$43/(IF(Inputs!$B$38="pvp",15,MAX(0.1,Skills!D23-IF(Skills!E23=TRUE,Inputs!$B$32,0)))*(1-IF(AND(ArtifactsInput!$M$27,Inputs!$B$4="Chapter Hunt"),CHOOSE(ArtifactsInput!$N$27+1,20,24,28,32,36,40),0)/100)))+1)),0)</f>
        <v/>
      </c>
      <c r="S2356">
        <f>IFERROR(O2356/N2356,0)</f>
        <v/>
      </c>
      <c r="T2356" t="n">
        <v>0</v>
      </c>
      <c r="V2356" t="n">
        <v>0</v>
      </c>
    </row>
    <row r="2358">
      <c r="A2358" t="inlineStr">
        <is>
          <t>Attack% Bucket Multiplier</t>
        </is>
      </c>
      <c r="B2358">
        <f>(1+(((C2346=TRUE)*F2346*5/7)+((C2352=TRUE)*(F2352-Calc!F19))+(IF(ArtifactsInput!$M$21,CHOOSE(ArtifactsInput!$N$21+1,25,30,35,40,45,50)*(IF(OR(Inputs!$B$4="Chapter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9">
      <c r="A2359" t="inlineStr">
        <is>
          <t>Global Crit Rate Bonus %</t>
        </is>
      </c>
      <c r="B2359" t="n">
        <v>0</v>
      </c>
    </row>
    <row r="2360">
      <c r="A2360" t="inlineStr">
        <is>
          <t>Attack Speed Buff Bonus % (Nimble Feet, duty-cycle averaged)</t>
        </is>
      </c>
      <c r="B2360">
        <f>((C2356=TRUE)*F2356*IF(AND(Inputs!$B$38&lt;&gt;"pvp",Inputs!$B$43&gt;0),(((R2356-1)*(Skills!T23*(1+Inputs!$B$34/100))+MIN((Skills!T23*(1+Inputs!$B$34/100)),MAX(0,Inputs!$B$43-((R2356-1)*Skills!D23))))/Inputs!$B$43),IF(Inputs!$B$38="pvp",MIN((Skills!T23*(1+Inputs!$B$34/100)),15)/15,(Skills!T23*(1+Inputs!$B$34/100))/Skills!D23)))</f>
        <v/>
      </c>
    </row>
    <row r="2361">
      <c r="A2361" t="inlineStr">
        <is>
          <t>Actions Per Second</t>
        </is>
      </c>
      <c r="B2361">
        <f>1+MIN(150,150*(1-(1-(Inputs!$B$11+((C2350=TRUE)*(F2350-Calc!F17))+((C2351=TRUE)*(F2351-Calc!F18)))/150)*(1-B2360/150)))/100</f>
        <v/>
      </c>
    </row>
    <row r="2362">
      <c r="A2362" t="inlineStr">
        <is>
          <t>Skill + Buff Cast Rate</t>
        </is>
      </c>
      <c r="B2362">
        <f>IF(AND(Inputs!$B$38&lt;&gt;"pvp",Inputs!$B$43&gt;0),SUMPRODUCT((Skills!E2:E23=TRUE)*(C2335:C2356=TRUE)*R2335:R2356*Skills!F2:F23)/Inputs!$B$43,SUMPRODUCT((Skills!E2:E23=TRUE)*(C2335:C2356=TRUE)*Q2335:Q2356*Skills!F2:F23))</f>
        <v/>
      </c>
    </row>
    <row r="2363">
      <c r="A2363" t="inlineStr">
        <is>
          <t>Hook Bomber Casts Per Second</t>
        </is>
      </c>
      <c r="B2363">
        <f>MAX(0,B2361-B2362)</f>
        <v/>
      </c>
    </row>
    <row r="2364">
      <c r="A2364" t="inlineStr">
        <is>
          <t>Global Critical Damage Bonus % (unused)</t>
        </is>
      </c>
      <c r="B2364" t="n">
        <v>0</v>
      </c>
    </row>
    <row r="2365">
      <c r="A2365" t="inlineStr">
        <is>
          <t>Global Final Damage Bonus % (Serpent Scale + Crossbones + Time Leap + Speed Infusion)</t>
        </is>
      </c>
      <c r="B2365">
        <f>((C2338=TRUE)*F2338*((10+IF(Inputs!$B$3&gt;=94,5,0))/((10+IF(Inputs!$B$3&gt;=94,5,0))+5/(B2363*(1+IF(Inputs!$B$3&gt;=104,1,0))))))+((C2347=TRUE)*F2347*IF(AND(Inputs!$B$38&lt;&gt;"pvp",Inputs!$B$43&gt;0),(((R2347-1)*(Skills!T14*(1+Inputs!$B$34/100))+MIN((Skills!T14*(1+Inputs!$B$34/100)),MAX(0,Inputs!$B$43-((R2347-1)*Skills!D14))))/Inputs!$B$43),IF(Inputs!$B$38="pvp",MIN((Skills!T14*(1+Inputs!$B$34/100)),15)/15,(Skills!T14*(1+Inputs!$B$34/100))/Skills!D14)))+((C2348=TRUE)*F2348*IF(AND(Inputs!$B$38&lt;&gt;"pvp",Inputs!$B$43&gt;0),(((R2348-1)*(Skills!T15*(1+Inputs!$B$34/100))+MIN((Skills!T15*(1+Inputs!$B$34/100)),MAX(0,Inputs!$B$43-((R2348-1)*Skills!D15))))/Inputs!$B$43),IF(Inputs!$B$38="pvp",MIN((Skills!T15*(1+Inputs!$B$34/100)),15)/15,(Skills!T15*(1+Inputs!$B$34/100))/Skills!D15)))+((Inputs!$B$3&gt;=110)*20*(B2361-1)*IF(Inputs!$B$38="pvp",MIN((15*(1+Inputs!$B$34/100)),15)/15,(15*(1+Inputs!$B$34/100))/35))</f>
        <v/>
      </c>
    </row>
    <row r="2366">
      <c r="A2366" t="inlineStr">
        <is>
          <t>Buff-Casting Startup Delay (s, fixed-duration only)</t>
        </is>
      </c>
      <c r="B2366">
        <f>IF(AND(Inputs!$B$38&lt;&gt;"pvp",Inputs!$B$43&gt;0),SUMPRODUCT((Skills!T2:T23&gt;0)*(Skills!E2:E23=TRUE)*(C2335:C2356=TRUE))/B2361,0)</f>
        <v/>
      </c>
    </row>
    <row r="2367">
      <c r="A2367" t="inlineStr">
        <is>
          <t>Boss-Only Total DPS (this block's swept value)</t>
        </is>
      </c>
      <c r="B2367">
        <f>SUM(T2335:T2356)</f>
        <v/>
      </c>
    </row>
    <row r="2368">
      <c r="A2368" t="inlineStr">
        <is>
          <t>Normal-Only Total DPS (this block's swept value)</t>
        </is>
      </c>
      <c r="B2368">
        <f>SUM(V2335:V2356)</f>
        <v/>
      </c>
    </row>
    <row r="2369">
      <c r="A2369" s="6" t="inlineStr">
        <is>
          <t>TOTAL DPS</t>
        </is>
      </c>
      <c r="B2369" s="6">
        <f>SUM(O2335:O2356)</f>
        <v/>
      </c>
    </row>
    <row r="2372">
      <c r="A2372" s="6" t="inlineStr">
        <is>
          <t>Stat: Reindeer's Spear (Equip)</t>
        </is>
      </c>
    </row>
    <row r="2373">
      <c r="A2373" s="5" t="inlineStr">
        <is>
          <t>Key</t>
        </is>
      </c>
      <c r="B2373" s="5" t="inlineStr">
        <is>
          <t>Name</t>
        </is>
      </c>
      <c r="C2373" s="5" t="inlineStr">
        <is>
          <t>Unlocked</t>
        </is>
      </c>
      <c r="D2373" s="5" t="inlineStr">
        <is>
          <t>InputLevel</t>
        </is>
      </c>
      <c r="E2373" s="5" t="inlineStr">
        <is>
          <t>Factor</t>
        </is>
      </c>
      <c r="F2373" s="5" t="inlineStr">
        <is>
          <t>CoefficientPercent</t>
        </is>
      </c>
      <c r="G2373" s="5" t="inlineStr">
        <is>
          <t>EffectiveHits</t>
        </is>
      </c>
      <c r="H2373" s="5" t="inlineStr">
        <is>
          <t>ProcProbability</t>
        </is>
      </c>
      <c r="I2373" s="5" t="inlineStr">
        <is>
          <t>MapleHeroMultiplier</t>
        </is>
      </c>
      <c r="J2373" s="5" t="inlineStr">
        <is>
          <t>BaseDamage</t>
        </is>
      </c>
      <c r="K2373" s="5" t="inlineStr">
        <is>
          <t>BaseHitDamage</t>
        </is>
      </c>
      <c r="L2373" s="5" t="inlineStr">
        <is>
          <t>NonCritAvg</t>
        </is>
      </c>
      <c r="M2373" s="5" t="inlineStr">
        <is>
          <t>CritAvg</t>
        </is>
      </c>
      <c r="N2373" s="5" t="inlineStr">
        <is>
          <t>ExpectedDamage(perHit)</t>
        </is>
      </c>
      <c r="O2373" s="5" t="inlineStr">
        <is>
          <t>DPS</t>
        </is>
      </c>
      <c r="P2373" s="5" t="inlineStr">
        <is>
          <t>% of Total</t>
        </is>
      </c>
      <c r="Q2373" s="5" t="inlineStr">
        <is>
          <t>InvCooldown</t>
        </is>
      </c>
      <c r="R2373" s="5" t="inlineStr">
        <is>
          <t>CastsInFight</t>
        </is>
      </c>
      <c r="S2373" s="5" t="inlineStr">
        <is>
          <t>HitRate(perSec)</t>
        </is>
      </c>
      <c r="U2373" t="inlineStr">
        <is>
          <t>helpers</t>
        </is>
      </c>
    </row>
    <row r="2374">
      <c r="A2374">
        <f>Skills!A2</f>
        <v/>
      </c>
      <c r="B2374">
        <f>Skills!B2</f>
        <v/>
      </c>
      <c r="C2374">
        <f>Inputs!$B$3&gt;=100</f>
        <v/>
      </c>
      <c r="D2374" t="inlineStr"/>
      <c r="E2374" t="inlineStr"/>
      <c r="F2374">
        <f>U2376+Skills!O2</f>
        <v/>
      </c>
      <c r="G2374">
        <f>Skills!G2*IF(Skills!H2&gt;0,Skills!I2/Skills!H2,1)</f>
        <v/>
      </c>
      <c r="H2374">
        <f>1-(1-Skills!J2/100)^Skills!K2</f>
        <v/>
      </c>
      <c r="I2374" t="inlineStr">
        <is>
          <t>1</t>
        </is>
      </c>
      <c r="J2374">
        <f>((Inputs!$B$6*(1+Inputs!$B$7/100))+(((Inputs!$B$12*(1+Inputs!$B$13/100))-(Inputs!$B$12*(1+Inputs!$B$13/100)))+0.25*(Inputs!$B$14-Inputs!$B$14))*(1+Inputs!$B$7/100))*(F2374/100)</f>
        <v/>
      </c>
      <c r="K2374">
        <f>J2374*(1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C2392=TRUE)*(F2392-Calc!F20)),(Inputs!$B$23+0+(IF(ArtifactsInput!$M$15,CHOOSE(ArtifactsInput!$N$15+1,25,30,35,40,45,50)/100*(Inputs!$B$11-Inputs!$B$11),0))))/100+(Inputs!$B$23+0+(IF(ArtifactsInput!$M$15,CHOOSE(ArtifactsInput!$N$15+1,25,30,35,40,45,50)/100*(Inputs!$B$11-Inputs!$B$11),0)))/100)/2</f>
        <v/>
      </c>
      <c r="M2374">
        <f>L2374*(1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(1-Summary!$B$11)*T2374+Summary!$B$11*V2374</f>
        <v/>
      </c>
      <c r="P2374">
        <f>IF(B2408=0,0,O2374/B2408)</f>
        <v/>
      </c>
      <c r="Q2374" t="n">
        <v>0</v>
      </c>
      <c r="R2374" t="n">
        <v>0</v>
      </c>
      <c r="S2374">
        <f>IFERROR(O2374/N2374,0)</f>
        <v/>
      </c>
      <c r="T2374">
        <f>IF(C2374,(Skills!G2*N2374*B2402)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2374*(1-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4">
        <f>MAX(0,(Inputs!$B$3-100)*3)+Inputs!$B$28+Inputs!$B$29</f>
        <v/>
      </c>
      <c r="V2374">
        <f>IF(C2374,(Skills!G2*N2374*B2402)*IF(Inputs!$B$38="pvp",1,(1+(Inputs!$B$21+Skills!Q2+(IF(ArtifactsInput!$M$33,CHOOSE(ArtifactsInput!$N$33+1,30,36,42,48,54,60),0))+(IF(AND(ArtifactsInput!$M$35,Inputs!$B$4&lt;&gt;"Chapter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Skills!A3</f>
        <v/>
      </c>
      <c r="B2375">
        <f>Skills!B3</f>
        <v/>
      </c>
      <c r="C2375">
        <f>Inputs!$B$3&gt;=35</f>
        <v/>
      </c>
      <c r="D2375">
        <f>IF(Skills!C3=1,60+Inputs!$B$25+Inputs!$B$29,IF(Skills!C3=2,90+Inputs!$B$26+Inputs!$B$29,IF(Skills!C3=3,120+Inputs!$B$27+Inputs!$B$29,MAX(0,(Inputs!$B$3-100)*3)+Inputs!$B$28+Inputs!$B$29)))</f>
        <v/>
      </c>
      <c r="E2375">
        <f>INDEX(FactorTable!$B$2:$Y$301, MATCH(ROUND(MIN(300,MAX(1,D2375)),0), FactorTable!$A$2:$A$301,0), Skills!M3+1)</f>
        <v/>
      </c>
      <c r="F2375">
        <f>IF(Skills!N3=TRUE,(Skills!L3/10)*(E2375/1000),Skills!L3/10)+Skills!O3</f>
        <v/>
      </c>
      <c r="G2375">
        <f>Skills!G3*IF(Skills!H3&gt;0,Skills!I3/Skills!H3,1)</f>
        <v/>
      </c>
      <c r="H2375">
        <f>1-(1-Skills!J3/100)^Skills!K3</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2392=TRUE)*(F2392-Calc!F20)),(Inputs!$B$23+0+(IF(ArtifactsInput!$M$15,CHOOSE(ArtifactsInput!$N$15+1,25,30,35,40,45,50)/100*(Inputs!$B$11-Inputs!$B$11),0))))/100+(Inputs!$B$23+0+(IF(ArtifactsInput!$M$15,CHOOSE(ArtifactsInput!$N$15+1,25,30,35,40,45,50)/100*(Inputs!$B$11-Inputs!$B$11),0)))/100)/2</f>
        <v/>
      </c>
      <c r="M2375">
        <f>L2375*(1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IF(B2408=0,0,O2375/B2408)</f>
        <v/>
      </c>
      <c r="Q2375" t="n">
        <v>0</v>
      </c>
      <c r="R2375" t="n">
        <v>0</v>
      </c>
      <c r="S2375">
        <f>IFERROR(O2375/N2375,0)</f>
        <v/>
      </c>
      <c r="T2375">
        <f>IF(C2375,(Skills!G3*H2375*N2375*B2402)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2375*(1-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5">
        <f>INDEX(FactorTable!$B$2:$Y$301, MATCH(ROUND(MIN(300,MAX(1,U2374)),0), FactorTable!$A$2:$A$301,0), 22)</f>
        <v/>
      </c>
      <c r="V2375">
        <f>IF(C2375,(Skills!G3*H2375*N2375*B2402)*IF(Inputs!$B$38="pvp",1,(1+(Inputs!$B$21+Skills!Q3+(IF(ArtifactsInput!$M$33,CHOOSE(ArtifactsInput!$N$33+1,30,36,42,48,54,60),0))+(IF(AND(ArtifactsInput!$M$35,Inputs!$B$4&lt;&gt;"Chapter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Skills!A4</f>
        <v/>
      </c>
      <c r="B2376">
        <f>Skills!B4</f>
        <v/>
      </c>
      <c r="C2376">
        <f>Inputs!$B$3&gt;=60</f>
        <v/>
      </c>
      <c r="D2376">
        <f>IF(Skills!C4=1,60+Inputs!$B$25+Inputs!$B$29,IF(Skills!C4=2,90+Inputs!$B$26+Inputs!$B$29,IF(Skills!C4=3,120+Inputs!$B$27+Inputs!$B$29,MAX(0,(Inputs!$B$3-100)*3)+Inputs!$B$28+Inputs!$B$29)))</f>
        <v/>
      </c>
      <c r="E2376">
        <f>INDEX(FactorTable!$B$2:$Y$301, MATCH(ROUND(MIN(300,MAX(1,D2376)),0), FactorTable!$A$2:$A$301,0), Skills!M4+1)</f>
        <v/>
      </c>
      <c r="F2376">
        <f>IF(Skills!N4=TRUE,(Skills!L4/10)*(E2376/1000),Skills!L4/10)+Skills!O4</f>
        <v/>
      </c>
      <c r="G2376">
        <f>Skills!G4*IF(Skills!H4&gt;0,Skills!I4/Skills!H4,1)</f>
        <v/>
      </c>
      <c r="H2376">
        <f>1-(1-Skills!J4/100)^Skills!K4</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2384=TRUE,F2384,0)/100)*(1+(IF(Skills!A4="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2392=TRUE)*(F2392-Calc!F20)),(Inputs!$B$23+0+(IF(ArtifactsInput!$M$15,CHOOSE(ArtifactsInput!$N$15+1,25,30,35,40,45,50)/100*(Inputs!$B$11-Inputs!$B$11),0))))/100+(Inputs!$B$23+0+(IF(ArtifactsInput!$M$15,CHOOSE(ArtifactsInput!$N$15+1,25,30,35,40,45,50)/100*(Inputs!$B$11-Inputs!$B$11),0)))/100)/2</f>
        <v/>
      </c>
      <c r="M2376">
        <f>L2376*(1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IF(B2408=0,0,O2376/B2408)</f>
        <v/>
      </c>
      <c r="Q2376" t="n">
        <v>0</v>
      </c>
      <c r="R2376" t="n">
        <v>0</v>
      </c>
      <c r="S2376">
        <f>IFERROR(O2376/N2376,0)</f>
        <v/>
      </c>
      <c r="T2376">
        <f>IF(C2376,(Skills!G4*H2376*N2376*B2402)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2376*(1-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6">
        <f>290*U2375/1000</f>
        <v/>
      </c>
      <c r="V2376">
        <f>IF(C2376,(Skills!G4*H2376*N2376*B2402)*IF(Inputs!$B$38="pvp",1,(1+(Inputs!$B$21+Skills!Q4+(IF(ArtifactsInput!$M$33,CHOOSE(ArtifactsInput!$N$33+1,30,36,42,48,54,60),0))+(IF(AND(ArtifactsInput!$M$35,Inputs!$B$4&lt;&gt;"Chapter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Skills!A5</f>
        <v/>
      </c>
      <c r="B2377">
        <f>Skills!B5</f>
        <v/>
      </c>
      <c r="C2377">
        <f>Inputs!$B$3&gt;=60</f>
        <v/>
      </c>
      <c r="D2377">
        <f>IF(Skills!C5=1,60+Inputs!$B$25+Inputs!$B$29,IF(Skills!C5=2,90+Inputs!$B$26+Inputs!$B$29,IF(Skills!C5=3,120+Inputs!$B$27+Inputs!$B$29,MAX(0,(Inputs!$B$3-100)*3)+Inputs!$B$28+Inputs!$B$29)))</f>
        <v/>
      </c>
      <c r="E2377">
        <f>INDEX(FactorTable!$B$2:$Y$301, MATCH(ROUND(MIN(300,MAX(1,D2377)),0), FactorTable!$A$2:$A$301,0), Skills!M5+1)</f>
        <v/>
      </c>
      <c r="F2377">
        <f>IF(Skills!N5=TRUE,(Skills!L5/10)*(E2377/1000),Skills!L5/10)+Skills!O5</f>
        <v/>
      </c>
      <c r="G2377">
        <f>Skills!G5*IF(Skills!H5&gt;0,Skills!I5/Skills!H5,1)</f>
        <v/>
      </c>
      <c r="H2377">
        <f>1-(1-Skills!J5/100)^Skills!K5</f>
        <v/>
      </c>
      <c r="I2377" t="inlineStr">
        <is>
          <t>1</t>
        </is>
      </c>
      <c r="J2377" t="inlineStr"/>
      <c r="K2377" t="inlineStr"/>
      <c r="L2377" t="inlineStr"/>
      <c r="M2377" t="inlineStr"/>
      <c r="N2377" t="inlineStr"/>
      <c r="O2377">
        <f>(1-Summary!$B$11)*T2377+Summary!$B$11*V2377</f>
        <v/>
      </c>
      <c r="P2377">
        <f>IF(B2408=0,0,O2377/B2408)</f>
        <v/>
      </c>
      <c r="Q2377" t="n">
        <v>0</v>
      </c>
      <c r="R2377" t="n">
        <v>0</v>
      </c>
      <c r="S2377">
        <f>IFERROR(O2377/N2377,0)</f>
        <v/>
      </c>
      <c r="T2377" t="n">
        <v>0</v>
      </c>
      <c r="V2377" t="n">
        <v>0</v>
      </c>
    </row>
    <row r="2378">
      <c r="A2378">
        <f>Skills!A6</f>
        <v/>
      </c>
      <c r="B2378">
        <f>Skills!B6</f>
        <v/>
      </c>
      <c r="C2378">
        <f>Inputs!$B$3&gt;=63</f>
        <v/>
      </c>
      <c r="D2378">
        <f>IF(Skills!C6=1,60+Inputs!$B$25+Inputs!$B$29,IF(Skills!C6=2,90+Inputs!$B$26+Inputs!$B$29,IF(Skills!C6=3,120+Inputs!$B$27+Inputs!$B$29,MAX(0,(Inputs!$B$3-100)*3)+Inputs!$B$28+Inputs!$B$29)))</f>
        <v/>
      </c>
      <c r="E2378">
        <f>INDEX(FactorTable!$B$2:$Y$301, MATCH(ROUND(MIN(300,MAX(1,D2378)),0), FactorTable!$A$2:$A$301,0), Skills!M6+1)</f>
        <v/>
      </c>
      <c r="F2378">
        <f>IF(Skills!N6=TRUE,(Skills!L6/10)*(E2378/1000),Skills!L6/10)+Skills!O6</f>
        <v/>
      </c>
      <c r="G2378">
        <f>Skills!G6*IF(Skills!H6&gt;0,Skills!I6/Skills!H6,1)</f>
        <v/>
      </c>
      <c r="H2378">
        <f>1-(1-Skills!J6/100)^Skills!K6</f>
        <v/>
      </c>
      <c r="I2378" t="inlineStr">
        <is>
          <t>1</t>
        </is>
      </c>
      <c r="J2378">
        <f>((Inputs!$B$6*(1+Inputs!$B$7/100))+(((Inputs!$B$12*(1+Inputs!$B$13/100))-(Inputs!$B$12*(1+Inputs!$B$13/100)))+0.25*(Inputs!$B$14-Inputs!$B$14))*(1+Inputs!$B$7/100))*(F2378/100)</f>
        <v/>
      </c>
      <c r="K2378">
        <f>J2378*(1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2384=TRUE,F2384,0)/100)*(1+(IF(Skills!A6="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2378)</f>
        <v/>
      </c>
      <c r="L2378">
        <f>K2378*(MIN(Inputs!$B$22+((C2392=TRUE)*(F2392-Calc!F20)),(Inputs!$B$23+0+(IF(ArtifactsInput!$M$15,CHOOSE(ArtifactsInput!$N$15+1,25,30,35,40,45,50)/100*(Inputs!$B$11-Inputs!$B$11),0))))/100+(Inputs!$B$23+0+(IF(ArtifactsInput!$M$15,CHOOSE(ArtifactsInput!$N$15+1,25,30,35,40,45,50)/100*(Inputs!$B$11-Inputs!$B$11),0)))/100)/2</f>
        <v/>
      </c>
      <c r="M2378">
        <f>L2378*(1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8">
        <f>L2378*(1-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2378*(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8">
        <f>(1-Summary!$B$11)*T2378+Summary!$B$11*V2378</f>
        <v/>
      </c>
      <c r="P2378">
        <f>IF(B2408=0,0,O2378/B2408)</f>
        <v/>
      </c>
      <c r="Q2378">
        <f>IFERROR(1/(IF(Inputs!$B$38="pvp",15,MAX(0.1,Skills!D6-IF(Skills!E6=TRUE,Inputs!$B$32,0)))*(1-IF(AND(ArtifactsInput!$M$27,Inputs!$B$4="Chapter Hunt"),CHOOSE(ArtifactsInput!$N$27+1,20,24,28,32,36,40),0)/100)),0)</f>
        <v/>
      </c>
      <c r="R2378">
        <f>IF(AND(Inputs!$B$38&lt;&gt;"pvp",Inputs!$B$43&gt;0),IF(MAX(0,Inputs!$B$43-B2405)&lt;=0,0,(INT(MAX(0,Inputs!$B$43-B2405)/(IF(Inputs!$B$38="pvp",15,MAX(0.1,Skills!D6-IF(Skills!E6=TRUE,Inputs!$B$32,0)))*(1-IF(AND(ArtifactsInput!$M$27,Inputs!$B$4="Chapter Hunt"),CHOOSE(ArtifactsInput!$N$27+1,20,24,28,32,36,40),0)/100)))+1)),0)</f>
        <v/>
      </c>
      <c r="S2378">
        <f>IFERROR(O2378/N2378,0)</f>
        <v/>
      </c>
      <c r="T2378">
        <f>IF(C2378,(H2378*N2378*IF(AND(Inputs!$B$38&lt;&gt;"pvp",Inputs!$B$43&gt;0),((Skills!G6*((R2378-1)*IF(Skills!H6&gt;0,Skills!I6/Skills!H6,1)+IF(Skills!H6&gt;0,MIN(Skills!I6,MAX(0,MAX(0,Inputs!$B$43-B2405)-((R2378-1)*(IF(Inputs!$B$38="pvp",15,MAX(0.1,Skills!D6-IF(Skills!E6=TRUE,Inputs!$B$32,0)))*(1-IF(AND(ArtifactsInput!$M$27,Inputs!$B$4="Chapter Hunt"),CHOOSE(ArtifactsInput!$N$27+1,20,24,28,32,36,40),0)/100)))))/Skills!H6,1)))/Inputs!$B$43),G2378*Q2378)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2378*(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2378*(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8">
        <f>IF(C2378,(H2378*N2378*IF(AND(Inputs!$B$38&lt;&gt;"pvp",Inputs!$B$43&gt;0),((Skills!G6*((R2378-1)*IF(Skills!H6&gt;0,Skills!I6/Skills!H6,1)+IF(Skills!H6&gt;0,MIN(Skills!I6,MAX(0,MAX(0,Inputs!$B$43-B2405)-((R2378-1)*(IF(Inputs!$B$38="pvp",15,MAX(0.1,Skills!D6-IF(Skills!E6=TRUE,Inputs!$B$32,0)))*(1-IF(AND(ArtifactsInput!$M$27,Inputs!$B$4="Chapter Hunt"),CHOOSE(ArtifactsInput!$N$27+1,20,24,28,32,36,40),0)/100)))))/Skills!H6,1)))/Inputs!$B$43),G2378*Q2378))*IF(Inputs!$B$38="pvp",1,(1+(Inputs!$B$21+Skills!Q6+(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9">
      <c r="A2379">
        <f>Skills!A7</f>
        <v/>
      </c>
      <c r="B2379">
        <f>Skills!B7</f>
        <v/>
      </c>
      <c r="C2379">
        <f>Inputs!$B$3&gt;=100</f>
        <v/>
      </c>
      <c r="D2379">
        <f>IF(Skills!C7=1,60+Inputs!$B$25+Inputs!$B$29,IF(Skills!C7=2,90+Inputs!$B$26+Inputs!$B$29,IF(Skills!C7=3,120+Inputs!$B$27+Inputs!$B$29,MAX(0,(Inputs!$B$3-100)*3)+Inputs!$B$28+Inputs!$B$29)))</f>
        <v/>
      </c>
      <c r="E2379">
        <f>INDEX(FactorTable!$B$2:$Y$301, MATCH(ROUND(MIN(300,MAX(1,D2379)),0), FactorTable!$A$2:$A$301,0), Skills!M7+1)</f>
        <v/>
      </c>
      <c r="F2379">
        <f>IF(Skills!N7=TRUE,(Skills!L7/10)*(E2379/1000),Skills!L7/10)+Skills!O7</f>
        <v/>
      </c>
      <c r="G2379">
        <f>Skills!G7*IF(Skills!H7&gt;0,Skills!I7/Skills!H7,1)</f>
        <v/>
      </c>
      <c r="H2379">
        <f>1-(1-Skills!J7/100)^Skills!K7</f>
        <v/>
      </c>
      <c r="I2379" t="inlineStr">
        <is>
          <t>1</t>
        </is>
      </c>
      <c r="J2379">
        <f>((Inputs!$B$6*(1+Inputs!$B$7/100))+(((Inputs!$B$12*(1+Inputs!$B$13/100))-(Inputs!$B$12*(1+Inputs!$B$13/100)))+0.25*(Inputs!$B$14-Inputs!$B$14))*(1+Inputs!$B$7/100))*(F2379/100)</f>
        <v/>
      </c>
      <c r="K2379">
        <f>J2379*(1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2379)</f>
        <v/>
      </c>
      <c r="L2379">
        <f>K2379*(MIN(Inputs!$B$22+((C2392=TRUE)*(F2392-Calc!F20)),(Inputs!$B$23+0+(IF(ArtifactsInput!$M$15,CHOOSE(ArtifactsInput!$N$15+1,25,30,35,40,45,50)/100*(Inputs!$B$11-Inputs!$B$11),0))))/100+(Inputs!$B$23+0+(IF(ArtifactsInput!$M$15,CHOOSE(ArtifactsInput!$N$15+1,25,30,35,40,45,50)/100*(Inputs!$B$11-Inputs!$B$11),0)))/100)/2</f>
        <v/>
      </c>
      <c r="M2379">
        <f>L2379*(1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9">
        <f>L2379*(1-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2379*(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9">
        <f>(1-Summary!$B$11)*T2379+Summary!$B$11*V2379</f>
        <v/>
      </c>
      <c r="P2379">
        <f>IF(B2408=0,0,O2379/B2408)</f>
        <v/>
      </c>
      <c r="Q2379">
        <f>IFERROR(1/(IF(Inputs!$B$38="pvp",15,MAX(0.1,Skills!D7-IF(Skills!E7=TRUE,Inputs!$B$32,0)))*(1-IF(AND(ArtifactsInput!$M$27,Inputs!$B$4="Chapter Hunt"),CHOOSE(ArtifactsInput!$N$27+1,20,24,28,32,36,40),0)/100)),0)</f>
        <v/>
      </c>
      <c r="R2379">
        <f>IF(AND(Inputs!$B$38&lt;&gt;"pvp",Inputs!$B$43&gt;0),IF(MAX(0,Inputs!$B$43-B2405)&lt;=0,0,(INT(MAX(0,Inputs!$B$43-B2405)/(IF(Inputs!$B$38="pvp",15,MAX(0.1,Skills!D7-IF(Skills!E7=TRUE,Inputs!$B$32,0)))*(1-IF(AND(ArtifactsInput!$M$27,Inputs!$B$4="Chapter Hunt"),CHOOSE(ArtifactsInput!$N$27+1,20,24,28,32,36,40),0)/100)))+1)),0)</f>
        <v/>
      </c>
      <c r="S2379">
        <f>IFERROR(O2379/N2379,0)</f>
        <v/>
      </c>
      <c r="T2379">
        <f>IF(C2379,(H2379*N2379*IF(AND(Inputs!$B$38&lt;&gt;"pvp",Inputs!$B$43&gt;0),((Skills!G7*((R2379-1)*IF(Skills!H7&gt;0,Skills!I7/Skills!H7,1)+IF(Skills!H7&gt;0,MIN(Skills!I7,MAX(0,MAX(0,Inputs!$B$43-B2405)-((R2379-1)*(IF(Inputs!$B$38="pvp",15,MAX(0.1,Skills!D7-IF(Skills!E7=TRUE,Inputs!$B$32,0)))*(1-IF(AND(ArtifactsInput!$M$27,Inputs!$B$4="Chapter Hunt"),CHOOSE(ArtifactsInput!$N$27+1,20,24,28,32,36,40),0)/100)))))/Skills!H7,1)))/Inputs!$B$43),G2379*Q2379)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2379*(1-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2379*(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2379*(1-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2379*(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9">
        <f>IF(C2379,(H2379*N2379*IF(AND(Inputs!$B$38&lt;&gt;"pvp",Inputs!$B$43&gt;0),((Skills!G7*((R2379-1)*IF(Skills!H7&gt;0,Skills!I7/Skills!H7,1)+IF(Skills!H7&gt;0,MIN(Skills!I7,MAX(0,MAX(0,Inputs!$B$43-B2405)-((R2379-1)*(IF(Inputs!$B$38="pvp",15,MAX(0.1,Skills!D7-IF(Skills!E7=TRUE,Inputs!$B$32,0)))*(1-IF(AND(ArtifactsInput!$M$27,Inputs!$B$4="Chapter Hunt"),CHOOSE(ArtifactsInput!$N$27+1,20,24,28,32,36,40),0)/100)))))/Skills!H7,1)))/Inputs!$B$43),G2379*Q2379))*IF(Inputs!$B$38="pvp",1,(1+(Inputs!$B$21+Skills!Q7+(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0">
      <c r="A2380">
        <f>Skills!A8</f>
        <v/>
      </c>
      <c r="B2380">
        <f>Skills!B8</f>
        <v/>
      </c>
      <c r="C2380">
        <f>Inputs!$B$3&gt;=110</f>
        <v/>
      </c>
      <c r="D2380">
        <f>IF(Skills!C8=1,60+Inputs!$B$25+Inputs!$B$29,IF(Skills!C8=2,90+Inputs!$B$26+Inputs!$B$29,IF(Skills!C8=3,120+Inputs!$B$27+Inputs!$B$29,MAX(0,(Inputs!$B$3-100)*3)+Inputs!$B$28+Inputs!$B$29)))</f>
        <v/>
      </c>
      <c r="E2380">
        <f>INDEX(FactorTable!$B$2:$Y$301, MATCH(ROUND(MIN(300,MAX(1,D2380)),0), FactorTable!$A$2:$A$301,0), Skills!M8+1)</f>
        <v/>
      </c>
      <c r="F2380">
        <f>IF(Skills!N8=TRUE,(Skills!L8/10)*(E2380/1000),Skills!L8/10)+Skills!O8</f>
        <v/>
      </c>
      <c r="G2380">
        <f>Skills!G8*IF(Skills!H8&gt;0,Skills!I8/Skills!H8,1)</f>
        <v/>
      </c>
      <c r="H2380">
        <f>1-(1-Skills!J8/100)^Skills!K8</f>
        <v/>
      </c>
      <c r="I2380" t="inlineStr">
        <is>
          <t>1</t>
        </is>
      </c>
      <c r="J2380">
        <f>((Inputs!$B$6*(1+Inputs!$B$7/100))+(((Inputs!$B$12*(1+Inputs!$B$13/100))-(Inputs!$B$12*(1+Inputs!$B$13/100)))+0.25*(Inputs!$B$14-Inputs!$B$14))*(1+Inputs!$B$7/100))*(F2380/100)</f>
        <v/>
      </c>
      <c r="K2380">
        <f>J2380*(1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2380)</f>
        <v/>
      </c>
      <c r="L2380">
        <f>K2380*(MIN(Inputs!$B$22+((C2392=TRUE)*(F2392-Calc!F20)),(Inputs!$B$23+0+(IF(ArtifactsInput!$M$15,CHOOSE(ArtifactsInput!$N$15+1,25,30,35,40,45,50)/100*(Inputs!$B$11-Inputs!$B$11),0))))/100+(Inputs!$B$23+0+(IF(ArtifactsInput!$M$15,CHOOSE(ArtifactsInput!$N$15+1,25,30,35,40,45,50)/100*(Inputs!$B$11-Inputs!$B$11),0)))/100)/2</f>
        <v/>
      </c>
      <c r="M2380">
        <f>L2380*(1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0">
        <f>L2380*(1-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2380*(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0">
        <f>(1-Summary!$B$11)*T2380+Summary!$B$11*V2380</f>
        <v/>
      </c>
      <c r="P2380">
        <f>IF(B2408=0,0,O2380/B2408)</f>
        <v/>
      </c>
      <c r="Q2380">
        <f>IFERROR(1/(IF(Inputs!$B$38="pvp",15,MAX(0.1,Skills!D8-IF(Skills!E8=TRUE,Inputs!$B$32,0)))*(1-IF(AND(ArtifactsInput!$M$27,Inputs!$B$4="Chapter Hunt"),CHOOSE(ArtifactsInput!$N$27+1,20,24,28,32,36,40),0)/100)),0)</f>
        <v/>
      </c>
      <c r="R2380">
        <f>IF(AND(Inputs!$B$38&lt;&gt;"pvp",Inputs!$B$43&gt;0),IF(MAX(0,Inputs!$B$43-B2405)&lt;=0,0,(INT(MAX(0,Inputs!$B$43-B2405)/(IF(Inputs!$B$38="pvp",15,MAX(0.1,Skills!D8-IF(Skills!E8=TRUE,Inputs!$B$32,0)))*(1-IF(AND(ArtifactsInput!$M$27,Inputs!$B$4="Chapter Hunt"),CHOOSE(ArtifactsInput!$N$27+1,20,24,28,32,36,40),0)/100)))+1)),0)</f>
        <v/>
      </c>
      <c r="S2380">
        <f>IFERROR(O2380/N2380,0)</f>
        <v/>
      </c>
      <c r="T2380">
        <f>IF(C2380,(H2380*N2380*IF(AND(Inputs!$B$38&lt;&gt;"pvp",Inputs!$B$43&gt;0),((Skills!G8*((R2380-1)*IF(Skills!H8&gt;0,Skills!I8/Skills!H8,1)+IF(Skills!H8&gt;0,MIN(Skills!I8,MAX(0,MAX(0,Inputs!$B$43-B2405)-((R2380-1)*(IF(Inputs!$B$38="pvp",15,MAX(0.1,Skills!D8-IF(Skills!E8=TRUE,Inputs!$B$32,0)))*(1-IF(AND(ArtifactsInput!$M$27,Inputs!$B$4="Chapter Hunt"),CHOOSE(ArtifactsInput!$N$27+1,20,24,28,32,36,40),0)/100)))))/Skills!H8,1)))/Inputs!$B$43),G2380*Q2380)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2380*(1-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2380*(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2380*(1-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2380*(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0">
        <f>IF(C2380,(H2380*N2380*IF(AND(Inputs!$B$38&lt;&gt;"pvp",Inputs!$B$43&gt;0),((Skills!G8*((R2380-1)*IF(Skills!H8&gt;0,Skills!I8/Skills!H8,1)+IF(Skills!H8&gt;0,MIN(Skills!I8,MAX(0,MAX(0,Inputs!$B$43-B2405)-((R2380-1)*(IF(Inputs!$B$38="pvp",15,MAX(0.1,Skills!D8-IF(Skills!E8=TRUE,Inputs!$B$32,0)))*(1-IF(AND(ArtifactsInput!$M$27,Inputs!$B$4="Chapter Hunt"),CHOOSE(ArtifactsInput!$N$27+1,20,24,28,32,36,40),0)/100)))))/Skills!H8,1)))/Inputs!$B$43),G2380*Q2380))*IF(Inputs!$B$38="pvp",1,(1+(Inputs!$B$21+Skills!Q8+(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1">
      <c r="A2381">
        <f>Skills!A9</f>
        <v/>
      </c>
      <c r="B2381">
        <f>Skills!B9</f>
        <v/>
      </c>
      <c r="C2381">
        <f>Inputs!$B$3&gt;=110</f>
        <v/>
      </c>
      <c r="D2381">
        <f>IF(Skills!C9=1,60+Inputs!$B$25+Inputs!$B$29,IF(Skills!C9=2,90+Inputs!$B$26+Inputs!$B$29,IF(Skills!C9=3,120+Inputs!$B$27+Inputs!$B$29,MAX(0,(Inputs!$B$3-100)*3)+Inputs!$B$28+Inputs!$B$29)))</f>
        <v/>
      </c>
      <c r="E2381">
        <f>INDEX(FactorTable!$B$2:$Y$301, MATCH(ROUND(MIN(300,MAX(1,D2381)),0), FactorTable!$A$2:$A$301,0), Skills!M9+1)</f>
        <v/>
      </c>
      <c r="F2381">
        <f>IF(Skills!N9=TRUE,(Skills!L9/10)*(E2381/1000),Skills!L9/10)+Skills!O9</f>
        <v/>
      </c>
      <c r="G2381">
        <f>Skills!G9*IF(Skills!H9&gt;0,Skills!I9/Skills!H9,1)</f>
        <v/>
      </c>
      <c r="H2381">
        <f>1-(1-Skills!J9/100)^Skills!K9</f>
        <v/>
      </c>
      <c r="I2381" t="inlineStr">
        <is>
          <t>1</t>
        </is>
      </c>
      <c r="J2381">
        <f>((Inputs!$B$6*(1+Inputs!$B$7/100))+(((Inputs!$B$12*(1+Inputs!$B$13/100))-(Inputs!$B$12*(1+Inputs!$B$13/100)))+0.25*(Inputs!$B$14-Inputs!$B$14))*(1+Inputs!$B$7/100))*(F2381/100)</f>
        <v/>
      </c>
      <c r="K2381">
        <f>J2381*(1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2381)</f>
        <v/>
      </c>
      <c r="L2381">
        <f>K2381*(MIN(Inputs!$B$22+((C2392=TRUE)*(F2392-Calc!F20)),(Inputs!$B$23+0+(IF(ArtifactsInput!$M$15,CHOOSE(ArtifactsInput!$N$15+1,25,30,35,40,45,50)/100*(Inputs!$B$11-Inputs!$B$11),0))))/100+(Inputs!$B$23+0+(IF(ArtifactsInput!$M$15,CHOOSE(ArtifactsInput!$N$15+1,25,30,35,40,45,50)/100*(Inputs!$B$11-Inputs!$B$11),0)))/100)/2</f>
        <v/>
      </c>
      <c r="M2381">
        <f>L2381*(1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1">
        <f>L2381*(1-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1">
        <f>(1-Summary!$B$11)*T2381+Summary!$B$11*V2381</f>
        <v/>
      </c>
      <c r="P2381">
        <f>IF(B2408=0,0,O2381/B2408)</f>
        <v/>
      </c>
      <c r="Q2381">
        <f>IFERROR(1/(IF(Inputs!$B$38="pvp",15,MAX(0.1,Skills!D9-IF(Skills!E9=TRUE,Inputs!$B$32,0)))*(1-IF(AND(ArtifactsInput!$M$27,Inputs!$B$4="Chapter Hunt"),CHOOSE(ArtifactsInput!$N$27+1,20,24,28,32,36,40),0)/100)),0)</f>
        <v/>
      </c>
      <c r="R2381">
        <f>IF(AND(Inputs!$B$38&lt;&gt;"pvp",Inputs!$B$43&gt;0),IF(MAX(0,Inputs!$B$43-B2405)&lt;=0,0,(INT(MAX(0,Inputs!$B$43-B2405)/(IF(Inputs!$B$38="pvp",15,MAX(0.1,Skills!D9-IF(Skills!E9=TRUE,Inputs!$B$32,0)))*(1-IF(AND(ArtifactsInput!$M$27,Inputs!$B$4="Chapter Hunt"),CHOOSE(ArtifactsInput!$N$27+1,20,24,28,32,36,40),0)/100)))+1)),0)</f>
        <v/>
      </c>
      <c r="S2381">
        <f>IFERROR(O2381/N2381,0)</f>
        <v/>
      </c>
      <c r="T2381">
        <f>IF(C2381,(H2381*N2381*IF(AND(Inputs!$B$38&lt;&gt;"pvp",Inputs!$B$43&gt;0),((Skills!G9*((R2381-1)*IF(Skills!H9&gt;0,Skills!I9/Skills!H9,1)+IF(Skills!H9&gt;0,MIN(Skills!I9,MAX(0,MAX(0,Inputs!$B$43-B2405)-((R2381-1)*(IF(Inputs!$B$38="pvp",15,MAX(0.1,Skills!D9-IF(Skills!E9=TRUE,Inputs!$B$32,0)))*(1-IF(AND(ArtifactsInput!$M$27,Inputs!$B$4="Chapter Hunt"),CHOOSE(ArtifactsInput!$N$27+1,20,24,28,32,36,40),0)/100)))))/Skills!H9,1)))/Inputs!$B$43),G2381*Q2381)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2381*(1-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2381*(1-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1">
        <f>IF(C2381,(H2381*N2381*IF(AND(Inputs!$B$38&lt;&gt;"pvp",Inputs!$B$43&gt;0),((Skills!G9*((R2381-1)*IF(Skills!H9&gt;0,Skills!I9/Skills!H9,1)+IF(Skills!H9&gt;0,MIN(Skills!I9,MAX(0,MAX(0,Inputs!$B$43-B2405)-((R2381-1)*(IF(Inputs!$B$38="pvp",15,MAX(0.1,Skills!D9-IF(Skills!E9=TRUE,Inputs!$B$32,0)))*(1-IF(AND(ArtifactsInput!$M$27,Inputs!$B$4="Chapter Hunt"),CHOOSE(ArtifactsInput!$N$27+1,20,24,28,32,36,40),0)/100)))))/Skills!H9,1)))/Inputs!$B$43),G2381*Q2381))*IF(Inputs!$B$38="pvp",1,(1+(Inputs!$B$21+Skills!Q9+(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2">
      <c r="A2382">
        <f>Skills!A10</f>
        <v/>
      </c>
      <c r="B2382">
        <f>Skills!B10</f>
        <v/>
      </c>
      <c r="C2382">
        <f>Inputs!$B$3&gt;=103</f>
        <v/>
      </c>
      <c r="D2382">
        <f>IF(Skills!C10=1,60+Inputs!$B$25+Inputs!$B$29,IF(Skills!C10=2,90+Inputs!$B$26+Inputs!$B$29,IF(Skills!C10=3,120+Inputs!$B$27+Inputs!$B$29,MAX(0,(Inputs!$B$3-100)*3)+Inputs!$B$28+Inputs!$B$29)))</f>
        <v/>
      </c>
      <c r="E2382">
        <f>INDEX(FactorTable!$B$2:$Y$301, MATCH(ROUND(MIN(300,MAX(1,D2382)),0), FactorTable!$A$2:$A$301,0), Skills!M10+1)</f>
        <v/>
      </c>
      <c r="F2382">
        <f>IF(Skills!N10=TRUE,(Skills!L10/10)*(E2382/1000),Skills!L10/10)+Skills!O10</f>
        <v/>
      </c>
      <c r="G2382">
        <f>Skills!G10*IF(Skills!H10&gt;0,Skills!I10/Skills!H10,1)</f>
        <v/>
      </c>
      <c r="H2382">
        <f>1-(1-Skills!J10/100)^Skills!K10</f>
        <v/>
      </c>
      <c r="I2382" t="inlineStr">
        <is>
          <t>1</t>
        </is>
      </c>
      <c r="J2382">
        <f>((Inputs!$B$6*(1+Inputs!$B$7/100))+(((Inputs!$B$12*(1+Inputs!$B$13/100))-(Inputs!$B$12*(1+Inputs!$B$13/100)))+0.25*(Inputs!$B$14-Inputs!$B$14))*(1+Inputs!$B$7/100))*(F2382/100)</f>
        <v/>
      </c>
      <c r="K2382">
        <f>J2382*(1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2382)</f>
        <v/>
      </c>
      <c r="L2382">
        <f>K2382*(MIN(Inputs!$B$22+((C2392=TRUE)*(F2392-Calc!F20)),(Inputs!$B$23+0+(IF(ArtifactsInput!$M$15,CHOOSE(ArtifactsInput!$N$15+1,25,30,35,40,45,50)/100*(Inputs!$B$11-Inputs!$B$11),0))))/100+(Inputs!$B$23+0+(IF(ArtifactsInput!$M$15,CHOOSE(ArtifactsInput!$N$15+1,25,30,35,40,45,50)/100*(Inputs!$B$11-Inputs!$B$11),0)))/100)/2</f>
        <v/>
      </c>
      <c r="M2382">
        <f>L2382*(1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2">
        <f>L2382*(1-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2382*(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2">
        <f>(1-Summary!$B$11)*T2382+Summary!$B$11*V2382</f>
        <v/>
      </c>
      <c r="P2382">
        <f>IF(B2408=0,0,O2382/B2408)</f>
        <v/>
      </c>
      <c r="Q2382">
        <f>IFERROR(1/(IF(Inputs!$B$38="pvp",15,MAX(0.1,Skills!D10-IF(Skills!E10=TRUE,Inputs!$B$32,0)))*(1-IF(AND(ArtifactsInput!$M$27,Inputs!$B$4="Chapter Hunt"),CHOOSE(ArtifactsInput!$N$27+1,20,24,28,32,36,40),0)/100)),0)</f>
        <v/>
      </c>
      <c r="R2382">
        <f>IF(AND(Inputs!$B$38&lt;&gt;"pvp",Inputs!$B$43&gt;0),IF(MAX(0,Inputs!$B$43-B2405)&lt;=0,0,(INT(MAX(0,Inputs!$B$43-B2405)/(IF(Inputs!$B$38="pvp",15,MAX(0.1,Skills!D10-IF(Skills!E10=TRUE,Inputs!$B$32,0)))*(1-IF(AND(ArtifactsInput!$M$27,Inputs!$B$4="Chapter Hunt"),CHOOSE(ArtifactsInput!$N$27+1,20,24,28,32,36,40),0)/100)))+1)),0)</f>
        <v/>
      </c>
      <c r="S2382">
        <f>IFERROR(O2382/N2382,0)</f>
        <v/>
      </c>
      <c r="T2382">
        <f>IF(C2382,(H2382*N2382*IF(AND(Inputs!$B$38&lt;&gt;"pvp",Inputs!$B$43&gt;0),((Skills!G10*((R2382-1)*IF(Skills!H10&gt;0,Skills!I10/Skills!H10,1)+IF(Skills!H10&gt;0,MIN(Skills!I10,MAX(0,MAX(0,Inputs!$B$43-B2405)-((R2382-1)*(IF(Inputs!$B$38="pvp",15,MAX(0.1,Skills!D10-IF(Skills!E10=TRUE,Inputs!$B$32,0)))*(1-IF(AND(ArtifactsInput!$M$27,Inputs!$B$4="Chapter Hunt"),CHOOSE(ArtifactsInput!$N$27+1,20,24,28,32,36,40),0)/100)))))/Skills!H10,1)))/Inputs!$B$43),G2382*Q2382)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2382*(1-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2382*(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2382*(1-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2382*(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2">
        <f>IF(C2382,(H2382*N2382*IF(AND(Inputs!$B$38&lt;&gt;"pvp",Inputs!$B$43&gt;0),((Skills!G10*((R2382-1)*IF(Skills!H10&gt;0,Skills!I10/Skills!H10,1)+IF(Skills!H10&gt;0,MIN(Skills!I10,MAX(0,MAX(0,Inputs!$B$43-B2405)-((R2382-1)*(IF(Inputs!$B$38="pvp",15,MAX(0.1,Skills!D10-IF(Skills!E10=TRUE,Inputs!$B$32,0)))*(1-IF(AND(ArtifactsInput!$M$27,Inputs!$B$4="Chapter Hunt"),CHOOSE(ArtifactsInput!$N$27+1,20,24,28,32,36,40),0)/100)))))/Skills!H10,1)))/Inputs!$B$43),G2382*Q2382))*IF(Inputs!$B$38="pvp",1,(1+(Inputs!$B$21+Skills!Q10+(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3">
      <c r="A2383">
        <f>Skills!A11</f>
        <v/>
      </c>
      <c r="B2383">
        <f>Skills!B11</f>
        <v/>
      </c>
      <c r="C2383">
        <f>Inputs!$B$3&gt;=113</f>
        <v/>
      </c>
      <c r="D2383">
        <f>IF(Skills!C11=1,60+Inputs!$B$25+Inputs!$B$29,IF(Skills!C11=2,90+Inputs!$B$26+Inputs!$B$29,IF(Skills!C11=3,120+Inputs!$B$27+Inputs!$B$29,MAX(0,(Inputs!$B$3-100)*3)+Inputs!$B$28+Inputs!$B$29)))</f>
        <v/>
      </c>
      <c r="E2383">
        <f>INDEX(FactorTable!$B$2:$Y$301, MATCH(ROUND(MIN(300,MAX(1,D2383)),0), FactorTable!$A$2:$A$301,0), Skills!M11+1)</f>
        <v/>
      </c>
      <c r="F2383">
        <f>IF(Skills!N11=TRUE,(Skills!L11/10)*(E2383/1000),Skills!L11/10)+Skills!O11</f>
        <v/>
      </c>
      <c r="G2383">
        <f>Skills!G11*IF(Skills!H11&gt;0,Skills!I11/Skills!H11,1)</f>
        <v/>
      </c>
      <c r="H2383">
        <f>1-(1-Skills!J11/100)^Skills!K11</f>
        <v/>
      </c>
      <c r="I2383" t="inlineStr">
        <is>
          <t>1</t>
        </is>
      </c>
      <c r="J2383">
        <f>((Inputs!$B$6*(1+Inputs!$B$7/100))+(((Inputs!$B$12*(1+Inputs!$B$13/100))-(Inputs!$B$12*(1+Inputs!$B$13/100)))+0.25*(Inputs!$B$14-Inputs!$B$14))*(1+Inputs!$B$7/100))*(F2383/100)</f>
        <v/>
      </c>
      <c r="K2383">
        <f>J2383*(1+((Inputs!$B$12*(1+Inputs!$B$13/100))*0.01+Inputs!$B$14*0.0025)/100)*(1+Inputs!$B$15/100)*(1+Inputs!$B$16/100)*(5000/(6000+Inputs!$B$42*(1-(100*(1-(1-(Inputs!$B$19+0)/100)*(1-CHOOSE(ArtifactsInput!$N$40+1,5,6,7,8,9,10)/100)^(IF(ArtifactsInput!$M$40,FALSE,TRUE)-ArtifactsInput!$M$40)))/100)))*(1+(Inputs!$B$24+((C2394=TRUE)*(F2394-Calc!F22))+B2404)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2393=TRUE)*(F2393-Calc!F21))+(((IF(AND(ArtifactsInput!$M$42,((Inputs!$B$9+((C2388=TRUE)*(F2388-Calc!F16))+B2398+(ArtifactsInput!$M$24-ArtifactsInput!$M$24)*CHOOSE(ArtifactsInput!$N$24+1,10,12,14,16,18,20)+IF(ArtifactsInput!$M$10,CHOOSE(ArtifactsInput!$N$10+1,15,18,21,24,27,30)*(IF(Inputs!$B$38="pvp",MIN(15,15)/15,IF(AND(Inputs!$B$38&lt;&gt;"pvp",Inputs!$B$43&gt;0),MIN(15,Inputs!$B$43)/(Inputs!$B$43),0))),0)))&gt;=100),MIN(100,((Inputs!$B$9+((C2388=TRUE)*(F2388-Calc!F16))+B2398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2388=TRUE)*(F2388-Calc!F16))+B2398+(ArtifactsInput!$M$24-ArtifactsInput!$M$24)*CHOOSE(ArtifactsInput!$N$24+1,10,12,14,16,18,20)+IF(ArtifactsInput!$M$10,CHOOSE(ArtifactsInput!$N$10+1,15,18,21,24,27,30)*(IF(Inputs!$B$38="pvp",MIN(15,15)/15,IF(AND(Inputs!$B$38&lt;&gt;"pvp",Inputs!$B$43&gt;0),MIN(15,Inputs!$B$43)/(Inputs!$B$43),0))),0)))&gt;=100),CHOOSE(ArtifactsInput!$N$42+1,40,48,56,64,72,80),0))))/100)*((1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2383)</f>
        <v/>
      </c>
      <c r="L2383">
        <f>K2383*(MIN(Inputs!$B$22+((C2392=TRUE)*(F2392-Calc!F20)),(Inputs!$B$23+0+(IF(ArtifactsInput!$M$15,CHOOSE(ArtifactsInput!$N$15+1,25,30,35,40,45,50)/100*(Inputs!$B$11-Inputs!$B$11),0))))/100+(Inputs!$B$23+0+(IF(ArtifactsInput!$M$15,CHOOSE(ArtifactsInput!$N$15+1,25,30,35,40,45,50)/100*(Inputs!$B$11-Inputs!$B$11),0)))/100)/2</f>
        <v/>
      </c>
      <c r="M2383">
        <f>L2383*(1+(Inputs!$B$10+0+B2403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83">
        <f>L2383*(1-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2383*(MIN((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83">
        <f>(1-Summary!$B$11)*T2383+Summary!$B$11*V2383</f>
        <v/>
      </c>
      <c r="P2383">
        <f>IF(B2408=0,0,O2383/B2408)</f>
        <v/>
      </c>
      <c r="Q2383">
        <f>IFERROR(1/(IF(Inputs!$B$38="pvp",15,MAX(0.1,Skills!D11-IF(Skills!E11=TRUE,Inputs!$B$32,0)))*(1-IF(AND(ArtifactsInput!$M$27,Inputs!$B$4="Chapter Hunt"),CHOOSE(ArtifactsInput!$N$27+1,20,24,28,32,36,40),0)/100)),0)</f>
        <v/>
      </c>
      <c r="R2383">
        <f>IF(AND(Inputs!$B$38&lt;&gt;"pvp",Inputs!$B$43&gt;0),IF(MAX(0,Inputs!$B$43-B2405)&lt;=0,0,(INT(MAX(0,Inputs!$B$43-B2405)/(IF(Inputs!$B$38="pvp",15,MAX(0.1,Skills!D11-IF(Skills!E11=TRUE,Inputs!$B$32,0)))*(1-IF(AND(ArtifactsInput!$M$27,Inputs!$B$4="Chapter Hunt"),CHOOSE(ArtifactsInput!$N$27+1,20,24,28,32,36,40),0)/100)))+1)),0)</f>
        <v/>
      </c>
      <c r="S2383">
        <f>IFERROR(O2383/N2383,0)</f>
        <v/>
      </c>
      <c r="T2383">
        <f>IF(C2383,(H2383*N2383*IF(AND(Inputs!$B$38&lt;&gt;"pvp",Inputs!$B$43&gt;0),((Skills!G11*((R2383-1)*IF(Skills!H11&gt;0,Skills!I11/Skills!H11,1)+IF(Skills!H11&gt;0,MIN(Skills!I11,MAX(0,MAX(0,Inputs!$B$43-B2405)-((R2383-1)*(IF(Inputs!$B$38="pvp",15,MAX(0.1,Skills!D11-IF(Skills!E11=TRUE,Inputs!$B$32,0)))*(1-IF(AND(ArtifactsInput!$M$27,Inputs!$B$4="Chapter Hunt"),CHOOSE(ArtifactsInput!$N$27+1,20,24,28,32,36,40),0)/100)))))/Skills!H11,1)))/Inputs!$B$43),G2383*Q2383)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2383*(1-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2383*(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2383*(1-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2383*(MIN(100,(Inputs!$B$9+((C2388=TRUE)*(F2388-Calc!F16))+B2398+(ArtifactsInput!$M$24-ArtifactsInput!$M$24)*CHOOSE(ArtifactsInput!$N$24+1,10,12,14,16,18,20)+(IF(AND(ArtifactsInput!$M$42,((Inputs!$B$9+((C2388=TRUE)*(F2388-Calc!F16))+B2398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83">
        <f>IF(C2383,(H2383*N2383*IF(AND(Inputs!$B$38&lt;&gt;"pvp",Inputs!$B$43&gt;0),((Skills!G11*((R2383-1)*IF(Skills!H11&gt;0,Skills!I11/Skills!H11,1)+IF(Skills!H11&gt;0,MIN(Skills!I11,MAX(0,MAX(0,Inputs!$B$43-B2405)-((R2383-1)*(IF(Inputs!$B$38="pvp",15,MAX(0.1,Skills!D11-IF(Skills!E11=TRUE,Inputs!$B$32,0)))*(1-IF(AND(ArtifactsInput!$M$27,Inputs!$B$4="Chapter Hunt"),CHOOSE(ArtifactsInput!$N$27+1,20,24,28,32,36,40),0)/100)))))/Skills!H11,1)))/Inputs!$B$43),G2383*Q2383))*IF(Inputs!$B$38="pvp",1,(1+(Inputs!$B$21+Skills!Q11+(IF(ArtifactsInput!$M$33,CHOOSE(ArtifactsInput!$N$33+1,30,36,42,48,54,60),0))+(IF(AND(ArtifactsInput!$M$35,Inputs!$B$4&lt;&gt;"Chapter Hunt"),CHOOSE(ArtifactsInput!$N$35+1,15,18,21,24,27,30)*(1-EXP(-(0.2*B2400)*5)),0)+IF(AND(ArtifactsInput!$M$22,Inputs!$B$4&lt;&gt;"Chapter Hunt"),CHOOSE(ArtifactsInput!$N$22+1,10,12,14,16,18,20)*((0*(((0.15*B2400*5))^0/1)+1*(((0.15*B2400*5))^1/1)+2*(((0.15*B2400*5))^2/2)+3*(((0.15*B2400*5))^3/6)+4*(((0.15*B2400*5))^4/24)+5*(((0.15*B2400*5))^5/120))/((((0.15*B2400*5))^0/1)+(((0.15*B2400*5))^1/1)+(((0.15*B2400*5))^2/2)+(((0.15*B2400*5))^3/6)+(((0.15*B2400*5))^4/24)+(((0.15*B2400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84">
      <c r="A2384">
        <f>Skills!A12</f>
        <v/>
      </c>
      <c r="B2384">
        <f>Skills!B12</f>
        <v/>
      </c>
      <c r="C2384">
        <f>Inputs!$B$3&gt;=100</f>
        <v/>
      </c>
      <c r="D2384">
        <f>IF(Skills!C12=1,60+Inputs!$B$25+Inputs!$B$29,IF(Skills!C12=2,90+Inputs!$B$26+Inputs!$B$29,IF(Skills!C12=3,120+Inputs!$B$27+Inputs!$B$29,MAX(0,(Inputs!$B$3-100)*3)+Inputs!$B$28+Inputs!$B$29)))</f>
        <v/>
      </c>
      <c r="E2384">
        <f>INDEX(FactorTable!$B$2:$Y$301, MATCH(ROUND(MIN(300,MAX(1,D2384)),0), FactorTable!$A$2:$A$301,0), Skills!M12+1)</f>
        <v/>
      </c>
      <c r="F2384">
        <f>IF(Skills!N12=TRUE,(Skills!L12/10)*(E2384/1000),Skills!L12/10)+Skills!O12</f>
        <v/>
      </c>
      <c r="G2384" t="inlineStr"/>
      <c r="H2384" t="inlineStr"/>
      <c r="I2384" t="inlineStr">
        <is>
          <t>1</t>
        </is>
      </c>
      <c r="J2384" t="inlineStr"/>
      <c r="K2384" t="inlineStr"/>
      <c r="L2384" t="inlineStr"/>
      <c r="M2384" t="inlineStr"/>
      <c r="N2384" t="inlineStr"/>
      <c r="O2384" t="inlineStr"/>
      <c r="P2384" t="inlineStr"/>
      <c r="Q2384" t="inlineStr"/>
      <c r="R2384" t="inlineStr"/>
      <c r="S2384" t="inlineStr"/>
      <c r="T2384" t="inlineStr"/>
      <c r="V2384" t="inlineStr"/>
    </row>
    <row r="2385">
      <c r="A2385">
        <f>Skills!A13</f>
        <v/>
      </c>
      <c r="B2385">
        <f>Skills!B13</f>
        <v/>
      </c>
      <c r="C2385">
        <f>Inputs!$B$3&gt;=66</f>
        <v/>
      </c>
      <c r="D2385">
        <f>IF(Skills!C13=1,60+Inputs!$B$25+Inputs!$B$29,IF(Skills!C13=2,90+Inputs!$B$26+Inputs!$B$29,IF(Skills!C13=3,120+Inputs!$B$27+Inputs!$B$29,MAX(0,(Inputs!$B$3-100)*3)+Inputs!$B$28+Inputs!$B$29)))</f>
        <v/>
      </c>
      <c r="E2385">
        <f>INDEX(FactorTable!$B$2:$Y$301, MATCH(ROUND(MIN(300,MAX(1,D2385)),0), FactorTable!$A$2:$A$301,0), Skills!M13+1)</f>
        <v/>
      </c>
      <c r="F2385">
        <f>IF(Skills!N13=TRUE,(Skills!L13/10)*(E2385/1000),Skills!L13/10)+Skills!O13</f>
        <v/>
      </c>
      <c r="G2385">
        <f>Skills!G13*IF(Skills!H13&gt;0,Skills!I13/Skills!H13,1)</f>
        <v/>
      </c>
      <c r="H2385">
        <f>1-(1-Skills!J13/100)^Skills!K13</f>
        <v/>
      </c>
      <c r="I2385" t="inlineStr">
        <is>
          <t>1</t>
        </is>
      </c>
      <c r="J2385" t="inlineStr"/>
      <c r="K2385" t="inlineStr"/>
      <c r="L2385" t="inlineStr"/>
      <c r="M2385" t="inlineStr"/>
      <c r="N2385" t="inlineStr"/>
      <c r="O2385">
        <f>(1-Summary!$B$11)*T2385+Summary!$B$11*V2385</f>
        <v/>
      </c>
      <c r="P2385">
        <f>IF(B2408=0,0,O2385/B2408)</f>
        <v/>
      </c>
      <c r="Q2385" t="n">
        <v>0</v>
      </c>
      <c r="R2385" t="n">
        <v>0</v>
      </c>
      <c r="S2385">
        <f>IFERROR(O2385/N2385,0)</f>
        <v/>
      </c>
      <c r="T2385" t="n">
        <v>0</v>
      </c>
      <c r="V2385" t="n">
        <v>0</v>
      </c>
    </row>
    <row r="2386">
      <c r="A2386">
        <f>Skills!A14</f>
        <v/>
      </c>
      <c r="B2386">
        <f>Skills!B14</f>
        <v/>
      </c>
      <c r="C2386">
        <f>Inputs!$B$3&gt;=107</f>
        <v/>
      </c>
      <c r="D2386">
        <f>IF(Skills!C14=1,60+Inputs!$B$25+Inputs!$B$29,IF(Skills!C14=2,90+Inputs!$B$26+Inputs!$B$29,IF(Skills!C14=3,120+Inputs!$B$27+Inputs!$B$29,MAX(0,(Inputs!$B$3-100)*3)+Inputs!$B$28+Inputs!$B$29)))</f>
        <v/>
      </c>
      <c r="E2386">
        <f>INDEX(FactorTable!$B$2:$Y$301, MATCH(ROUND(MIN(300,MAX(1,D2386)),0), FactorTable!$A$2:$A$301,0), Skills!M14+1)</f>
        <v/>
      </c>
      <c r="F2386">
        <f>IF(Skills!N14=TRUE,(Skills!L14/10)*(E2386/1000),Skills!L14/10)+Skills!O14</f>
        <v/>
      </c>
      <c r="G2386">
        <f>Skills!G14*IF(Skills!H14&gt;0,Skills!I14/Skills!H14,1)</f>
        <v/>
      </c>
      <c r="H2386">
        <f>1-(1-Skills!J14/100)^Skills!K14</f>
        <v/>
      </c>
      <c r="I2386" t="inlineStr">
        <is>
          <t>1</t>
        </is>
      </c>
      <c r="J2386" t="inlineStr"/>
      <c r="K2386" t="inlineStr"/>
      <c r="L2386" t="inlineStr"/>
      <c r="M2386" t="inlineStr"/>
      <c r="N2386" t="inlineStr"/>
      <c r="O2386">
        <f>(1-Summary!$B$11)*T2386+Summary!$B$11*V2386</f>
        <v/>
      </c>
      <c r="P2386">
        <f>IF(B2408=0,0,O2386/B2408)</f>
        <v/>
      </c>
      <c r="Q2386">
        <f>IFERROR(1/(IF(Inputs!$B$38="pvp",15,MAX(0.1,Skills!D14-IF(Skills!E14=TRUE,Inputs!$B$32,0)))*(1-IF(AND(ArtifactsInput!$M$27,Inputs!$B$4="Chapter Hunt"),CHOOSE(ArtifactsInput!$N$27+1,20,24,28,32,36,40),0)/100)),0)</f>
        <v/>
      </c>
      <c r="R2386">
        <f>IF(AND(Inputs!$B$38&lt;&gt;"pvp",Inputs!$B$43&gt;0),IF(Inputs!$B$43&lt;=0,0,(INT(Inputs!$B$43/(IF(Inputs!$B$38="pvp",15,MAX(0.1,Skills!D14-IF(Skills!E14=TRUE,Inputs!$B$32,0)))*(1-IF(AND(ArtifactsInput!$M$27,Inputs!$B$4="Chapter Hunt"),CHOOSE(ArtifactsInput!$N$27+1,20,24,28,32,36,40),0)/100)))+1)),0)</f>
        <v/>
      </c>
      <c r="S2386">
        <f>IFERROR(O2386/N2386,0)</f>
        <v/>
      </c>
      <c r="T2386" t="n">
        <v>0</v>
      </c>
      <c r="V2386" t="n">
        <v>0</v>
      </c>
    </row>
    <row r="2387">
      <c r="A2387">
        <f>Skills!A15</f>
        <v/>
      </c>
      <c r="B2387">
        <f>Skills!B15</f>
        <v/>
      </c>
      <c r="C2387">
        <f>Inputs!$B$3&gt;=115</f>
        <v/>
      </c>
      <c r="D2387">
        <f>IF(Skills!C15=1,60+Inputs!$B$25+Inputs!$B$29,IF(Skills!C15=2,90+Inputs!$B$26+Inputs!$B$29,IF(Skills!C15=3,120+Inputs!$B$27+Inputs!$B$29,MAX(0,(Inputs!$B$3-100)*3)+Inputs!$B$28+Inputs!$B$29)))</f>
        <v/>
      </c>
      <c r="E2387">
        <f>INDEX(FactorTable!$B$2:$Y$301, MATCH(ROUND(MIN(300,MAX(1,D2387)),0), FactorTable!$A$2:$A$301,0), Skills!M15+1)</f>
        <v/>
      </c>
      <c r="F2387">
        <f>IF(Skills!N15=TRUE,(Skills!L15/10)*(E2387/1000),Skills!L15/10)+Skills!O15</f>
        <v/>
      </c>
      <c r="G2387">
        <f>Skills!G15*IF(Skills!H15&gt;0,Skills!I15/Skills!H15,1)</f>
        <v/>
      </c>
      <c r="H2387">
        <f>1-(1-Skills!J15/100)^Skills!K15</f>
        <v/>
      </c>
      <c r="I2387" t="inlineStr">
        <is>
          <t>1</t>
        </is>
      </c>
      <c r="J2387" t="inlineStr"/>
      <c r="K2387" t="inlineStr"/>
      <c r="L2387" t="inlineStr"/>
      <c r="M2387" t="inlineStr"/>
      <c r="N2387" t="inlineStr"/>
      <c r="O2387">
        <f>(1-Summary!$B$11)*T2387+Summary!$B$11*V2387</f>
        <v/>
      </c>
      <c r="P2387">
        <f>IF(B2408=0,0,O2387/B2408)</f>
        <v/>
      </c>
      <c r="Q2387">
        <f>IFERROR(1/(IF(Inputs!$B$38="pvp",15,MAX(0.1,Skills!D15-IF(Skills!E15=TRUE,Inputs!$B$32,0)))*(1-IF(AND(ArtifactsInput!$M$27,Inputs!$B$4="Chapter Hunt"),CHOOSE(ArtifactsInput!$N$27+1,20,24,28,32,36,40),0)/100)),0)</f>
        <v/>
      </c>
      <c r="R2387">
        <f>IF(AND(Inputs!$B$38&lt;&gt;"pvp",Inputs!$B$43&gt;0),IF(Inputs!$B$43&lt;=0,0,(INT(Inputs!$B$43/(IF(Inputs!$B$38="pvp",15,MAX(0.1,Skills!D15-IF(Skills!E15=TRUE,Inputs!$B$32,0)))*(1-IF(AND(ArtifactsInput!$M$27,Inputs!$B$4="Chapter Hunt"),CHOOSE(ArtifactsInput!$N$27+1,20,24,28,32,36,40),0)/100)))+1)),0)</f>
        <v/>
      </c>
      <c r="S2387">
        <f>IFERROR(O2387/N2387,0)</f>
        <v/>
      </c>
      <c r="T2387" t="n">
        <v>0</v>
      </c>
      <c r="V2387" t="n">
        <v>0</v>
      </c>
    </row>
    <row r="2388">
      <c r="A2388">
        <f>Skills!A16</f>
        <v/>
      </c>
      <c r="B2388">
        <f>Skills!B16</f>
        <v/>
      </c>
      <c r="C2388">
        <f>Inputs!$B$3&gt;=15</f>
        <v/>
      </c>
      <c r="D2388">
        <f>IF(Skills!C16=1,60+Inputs!$B$25+Inputs!$B$29,IF(Skills!C16=2,90+Inputs!$B$26+Inputs!$B$29,IF(Skills!C16=3,120+Inputs!$B$27+Inputs!$B$29,MAX(0,(Inputs!$B$3-100)*3)+Inputs!$B$28+Inputs!$B$29)))</f>
        <v/>
      </c>
      <c r="E2388">
        <f>INDEX(FactorTable!$B$2:$Y$301, MATCH(ROUND(MIN(300,MAX(1,D2388)),0), FactorTable!$A$2:$A$301,0), Skills!M16+1)</f>
        <v/>
      </c>
      <c r="F2388">
        <f>IF(Skills!N16=TRUE,(Skills!L16/10)*(E2388/1000),Skills!L16/10)+Skills!O16</f>
        <v/>
      </c>
      <c r="G2388">
        <f>Skills!G16*IF(Skills!H16&gt;0,Skills!I16/Skills!H16,1)</f>
        <v/>
      </c>
      <c r="H2388">
        <f>1-(1-Skills!J16/100)^Skills!K16</f>
        <v/>
      </c>
      <c r="I2388" t="inlineStr">
        <is>
          <t>1</t>
        </is>
      </c>
      <c r="J2388" t="inlineStr"/>
      <c r="K2388" t="inlineStr"/>
      <c r="L2388" t="inlineStr"/>
      <c r="M2388" t="inlineStr"/>
      <c r="N2388" t="inlineStr"/>
      <c r="O2388">
        <f>(1-Summary!$B$11)*T2388+Summary!$B$11*V2388</f>
        <v/>
      </c>
      <c r="P2388">
        <f>IF(B2408=0,0,O2388/B2408)</f>
        <v/>
      </c>
      <c r="Q2388" t="n">
        <v>0</v>
      </c>
      <c r="R2388" t="n">
        <v>0</v>
      </c>
      <c r="S2388">
        <f>IFERROR(O2388/N2388,0)</f>
        <v/>
      </c>
      <c r="T2388" t="n">
        <v>0</v>
      </c>
      <c r="V2388" t="n">
        <v>0</v>
      </c>
    </row>
    <row r="2389">
      <c r="A2389">
        <f>Skills!A17</f>
        <v/>
      </c>
      <c r="B2389">
        <f>Skills!B17</f>
        <v/>
      </c>
      <c r="C2389">
        <f>Inputs!$B$3&gt;=10</f>
        <v/>
      </c>
      <c r="D2389">
        <f>IF(Skills!C17=1,60+Inputs!$B$25+Inputs!$B$29,IF(Skills!C17=2,90+Inputs!$B$26+Inputs!$B$29,IF(Skills!C17=3,120+Inputs!$B$27+Inputs!$B$29,MAX(0,(Inputs!$B$3-100)*3)+Inputs!$B$28+Inputs!$B$29)))</f>
        <v/>
      </c>
      <c r="E2389">
        <f>INDEX(FactorTable!$B$2:$Y$301, MATCH(ROUND(MIN(300,MAX(1,D2389)),0), FactorTable!$A$2:$A$301,0), Skills!M17+1)</f>
        <v/>
      </c>
      <c r="F2389">
        <f>IF(Skills!N17=TRUE,(Skills!L17/10)*(E2389/1000),Skills!L17/10)+Skills!O17</f>
        <v/>
      </c>
      <c r="G2389">
        <f>Skills!G17*IF(Skills!H17&gt;0,Skills!I17/Skills!H17,1)</f>
        <v/>
      </c>
      <c r="H2389">
        <f>1-(1-Skills!J17/100)^Skills!K17</f>
        <v/>
      </c>
      <c r="I2389" t="inlineStr">
        <is>
          <t>1</t>
        </is>
      </c>
      <c r="J2389" t="inlineStr"/>
      <c r="K2389" t="inlineStr"/>
      <c r="L2389" t="inlineStr"/>
      <c r="M2389" t="inlineStr"/>
      <c r="N2389" t="inlineStr"/>
      <c r="O2389">
        <f>(1-Summary!$B$11)*T2389+Summary!$B$11*V2389</f>
        <v/>
      </c>
      <c r="P2389">
        <f>IF(B2408=0,0,O2389/B2408)</f>
        <v/>
      </c>
      <c r="Q2389" t="n">
        <v>0</v>
      </c>
      <c r="R2389" t="n">
        <v>0</v>
      </c>
      <c r="S2389">
        <f>IFERROR(O2389/N2389,0)</f>
        <v/>
      </c>
      <c r="T2389" t="n">
        <v>0</v>
      </c>
      <c r="V2389" t="n">
        <v>0</v>
      </c>
    </row>
    <row r="2390">
      <c r="A2390">
        <f>Skills!A18</f>
        <v/>
      </c>
      <c r="B2390">
        <f>Skills!B18</f>
        <v/>
      </c>
      <c r="C2390">
        <f>Inputs!$B$3&gt;=33</f>
        <v/>
      </c>
      <c r="D2390">
        <f>IF(Skills!C18=1,60+Inputs!$B$25+Inputs!$B$29,IF(Skills!C18=2,90+Inputs!$B$26+Inputs!$B$29,IF(Skills!C18=3,120+Inputs!$B$27+Inputs!$B$29,MAX(0,(Inputs!$B$3-100)*3)+Inputs!$B$28+Inputs!$B$29)))</f>
        <v/>
      </c>
      <c r="E2390">
        <f>INDEX(FactorTable!$B$2:$Y$301, MATCH(ROUND(MIN(300,MAX(1,D2390)),0), FactorTable!$A$2:$A$301,0), Skills!M18+1)</f>
        <v/>
      </c>
      <c r="F2390">
        <f>IF(Skills!N18=TRUE,(Skills!L18/10)*(E2390/1000),Skills!L18/10)+Skills!O18</f>
        <v/>
      </c>
      <c r="G2390">
        <f>Skills!G18*IF(Skills!H18&gt;0,Skills!I18/Skills!H18,1)</f>
        <v/>
      </c>
      <c r="H2390">
        <f>1-(1-Skills!J18/100)^Skills!K18</f>
        <v/>
      </c>
      <c r="I2390" t="inlineStr">
        <is>
          <t>1</t>
        </is>
      </c>
      <c r="J2390" t="inlineStr"/>
      <c r="K2390" t="inlineStr"/>
      <c r="L2390" t="inlineStr"/>
      <c r="M2390" t="inlineStr"/>
      <c r="N2390" t="inlineStr"/>
      <c r="O2390">
        <f>(1-Summary!$B$11)*T2390+Summary!$B$11*V2390</f>
        <v/>
      </c>
      <c r="P2390">
        <f>IF(B2408=0,0,O2390/B2408)</f>
        <v/>
      </c>
      <c r="Q2390" t="n">
        <v>0</v>
      </c>
      <c r="R2390" t="n">
        <v>0</v>
      </c>
      <c r="S2390">
        <f>IFERROR(O2390/N2390,0)</f>
        <v/>
      </c>
      <c r="T2390" t="n">
        <v>0</v>
      </c>
      <c r="V2390" t="n">
        <v>0</v>
      </c>
    </row>
    <row r="2391">
      <c r="A2391">
        <f>Skills!A19</f>
        <v/>
      </c>
      <c r="B2391">
        <f>Skills!B19</f>
        <v/>
      </c>
      <c r="C2391">
        <f>Inputs!$B$3&gt;=40</f>
        <v/>
      </c>
      <c r="D2391">
        <f>IF(Skills!C19=1,60+Inputs!$B$25+Inputs!$B$29,IF(Skills!C19=2,90+Inputs!$B$26+Inputs!$B$29,IF(Skills!C19=3,120+Inputs!$B$27+Inputs!$B$29,MAX(0,(Inputs!$B$3-100)*3)+Inputs!$B$28+Inputs!$B$29)))</f>
        <v/>
      </c>
      <c r="E2391">
        <f>INDEX(FactorTable!$B$2:$Y$301, MATCH(ROUND(MIN(300,MAX(1,D2391)),0), FactorTable!$A$2:$A$301,0), Skills!M19+1)</f>
        <v/>
      </c>
      <c r="F2391">
        <f>IF(Skills!N19=TRUE,(Skills!L19/10)*(E2391/1000),Skills!L19/10)+Skills!O19</f>
        <v/>
      </c>
      <c r="G2391">
        <f>Skills!G19*IF(Skills!H19&gt;0,Skills!I19/Skills!H19,1)</f>
        <v/>
      </c>
      <c r="H2391">
        <f>1-(1-Skills!J19/100)^Skills!K19</f>
        <v/>
      </c>
      <c r="I2391" t="inlineStr">
        <is>
          <t>1</t>
        </is>
      </c>
      <c r="J2391" t="inlineStr"/>
      <c r="K2391" t="inlineStr"/>
      <c r="L2391" t="inlineStr"/>
      <c r="M2391" t="inlineStr"/>
      <c r="N2391" t="inlineStr"/>
      <c r="O2391">
        <f>(1-Summary!$B$11)*T2391+Summary!$B$11*V2391</f>
        <v/>
      </c>
      <c r="P2391">
        <f>IF(B2408=0,0,O2391/B2408)</f>
        <v/>
      </c>
      <c r="Q2391" t="n">
        <v>0</v>
      </c>
      <c r="R2391" t="n">
        <v>0</v>
      </c>
      <c r="S2391">
        <f>IFERROR(O2391/N2391,0)</f>
        <v/>
      </c>
      <c r="T2391" t="n">
        <v>0</v>
      </c>
      <c r="V2391" t="n">
        <v>0</v>
      </c>
    </row>
    <row r="2392">
      <c r="A2392">
        <f>Skills!A20</f>
        <v/>
      </c>
      <c r="B2392">
        <f>Skills!B20</f>
        <v/>
      </c>
      <c r="C2392">
        <f>Inputs!$B$3&gt;=43</f>
        <v/>
      </c>
      <c r="D2392">
        <f>IF(Skills!C20=1,60+Inputs!$B$25+Inputs!$B$29,IF(Skills!C20=2,90+Inputs!$B$26+Inputs!$B$29,IF(Skills!C20=3,120+Inputs!$B$27+Inputs!$B$29,MAX(0,(Inputs!$B$3-100)*3)+Inputs!$B$28+Inputs!$B$29)))</f>
        <v/>
      </c>
      <c r="E2392">
        <f>INDEX(FactorTable!$B$2:$Y$301, MATCH(ROUND(MIN(300,MAX(1,D2392)),0), FactorTable!$A$2:$A$301,0), Skills!M20+1)</f>
        <v/>
      </c>
      <c r="F2392">
        <f>IF(Skills!N20=TRUE,(Skills!L20/10)*(E2392/1000),Skills!L20/10)+Skills!O20</f>
        <v/>
      </c>
      <c r="G2392">
        <f>Skills!G20*IF(Skills!H20&gt;0,Skills!I20/Skills!H20,1)</f>
        <v/>
      </c>
      <c r="H2392">
        <f>1-(1-Skills!J20/100)^Skills!K20</f>
        <v/>
      </c>
      <c r="I2392" t="inlineStr">
        <is>
          <t>1</t>
        </is>
      </c>
      <c r="J2392" t="inlineStr"/>
      <c r="K2392" t="inlineStr"/>
      <c r="L2392" t="inlineStr"/>
      <c r="M2392" t="inlineStr"/>
      <c r="N2392" t="inlineStr"/>
      <c r="O2392">
        <f>(1-Summary!$B$11)*T2392+Summary!$B$11*V2392</f>
        <v/>
      </c>
      <c r="P2392">
        <f>IF(B2408=0,0,O2392/B2408)</f>
        <v/>
      </c>
      <c r="Q2392" t="n">
        <v>0</v>
      </c>
      <c r="R2392" t="n">
        <v>0</v>
      </c>
      <c r="S2392">
        <f>IFERROR(O2392/N2392,0)</f>
        <v/>
      </c>
      <c r="T2392" t="n">
        <v>0</v>
      </c>
      <c r="V2392" t="n">
        <v>0</v>
      </c>
    </row>
    <row r="2393">
      <c r="A2393">
        <f>Skills!A21</f>
        <v/>
      </c>
      <c r="B2393">
        <f>Skills!B21</f>
        <v/>
      </c>
      <c r="C2393">
        <f>Inputs!$B$3&gt;=38</f>
        <v/>
      </c>
      <c r="D2393">
        <f>IF(Skills!C21=1,60+Inputs!$B$25+Inputs!$B$29,IF(Skills!C21=2,90+Inputs!$B$26+Inputs!$B$29,IF(Skills!C21=3,120+Inputs!$B$27+Inputs!$B$29,MAX(0,(Inputs!$B$3-100)*3)+Inputs!$B$28+Inputs!$B$29)))</f>
        <v/>
      </c>
      <c r="E2393">
        <f>INDEX(FactorTable!$B$2:$Y$301, MATCH(ROUND(MIN(300,MAX(1,D2393)),0), FactorTable!$A$2:$A$301,0), Skills!M21+1)</f>
        <v/>
      </c>
      <c r="F2393">
        <f>IF(Skills!N21=TRUE,(Skills!L21/10)*(E2393/1000),Skills!L21/10)+Skills!O21</f>
        <v/>
      </c>
      <c r="G2393">
        <f>Skills!G21*IF(Skills!H21&gt;0,Skills!I21/Skills!H21,1)</f>
        <v/>
      </c>
      <c r="H2393">
        <f>1-(1-Skills!J21/100)^Skills!K21</f>
        <v/>
      </c>
      <c r="I2393" t="inlineStr">
        <is>
          <t>1</t>
        </is>
      </c>
      <c r="J2393" t="inlineStr"/>
      <c r="K2393" t="inlineStr"/>
      <c r="L2393" t="inlineStr"/>
      <c r="M2393" t="inlineStr"/>
      <c r="N2393" t="inlineStr"/>
      <c r="O2393">
        <f>(1-Summary!$B$11)*T2393+Summary!$B$11*V2393</f>
        <v/>
      </c>
      <c r="P2393">
        <f>IF(B2408=0,0,O2393/B2408)</f>
        <v/>
      </c>
      <c r="Q2393" t="n">
        <v>0</v>
      </c>
      <c r="R2393" t="n">
        <v>0</v>
      </c>
      <c r="S2393">
        <f>IFERROR(O2393/N2393,0)</f>
        <v/>
      </c>
      <c r="T2393" t="n">
        <v>0</v>
      </c>
      <c r="V2393" t="n">
        <v>0</v>
      </c>
    </row>
    <row r="2394">
      <c r="A2394">
        <f>Skills!A22</f>
        <v/>
      </c>
      <c r="B2394">
        <f>Skills!B22</f>
        <v/>
      </c>
      <c r="C2394">
        <f>Inputs!$B$3&gt;=75</f>
        <v/>
      </c>
      <c r="D2394">
        <f>IF(Skills!C22=1,60+Inputs!$B$25+Inputs!$B$29,IF(Skills!C22=2,90+Inputs!$B$26+Inputs!$B$29,IF(Skills!C22=3,120+Inputs!$B$27+Inputs!$B$29,MAX(0,(Inputs!$B$3-100)*3)+Inputs!$B$28+Inputs!$B$29)))</f>
        <v/>
      </c>
      <c r="E2394">
        <f>INDEX(FactorTable!$B$2:$Y$301, MATCH(ROUND(MIN(300,MAX(1,D2394)),0), FactorTable!$A$2:$A$301,0), Skills!M22+1)</f>
        <v/>
      </c>
      <c r="F2394">
        <f>IF(Skills!N22=TRUE,(Skills!L22/10)*(E2394/1000),Skills!L22/10)+Skills!O22</f>
        <v/>
      </c>
      <c r="G2394">
        <f>Skills!G22*IF(Skills!H22&gt;0,Skills!I22/Skills!H22,1)</f>
        <v/>
      </c>
      <c r="H2394">
        <f>1-(1-Skills!J22/100)^Skills!K22</f>
        <v/>
      </c>
      <c r="I2394" t="inlineStr">
        <is>
          <t>1</t>
        </is>
      </c>
      <c r="J2394" t="inlineStr"/>
      <c r="K2394" t="inlineStr"/>
      <c r="L2394" t="inlineStr"/>
      <c r="M2394" t="inlineStr"/>
      <c r="N2394" t="inlineStr"/>
      <c r="O2394">
        <f>(1-Summary!$B$11)*T2394+Summary!$B$11*V2394</f>
        <v/>
      </c>
      <c r="P2394">
        <f>IF(B2408=0,0,O2394/B2408)</f>
        <v/>
      </c>
      <c r="Q2394" t="n">
        <v>0</v>
      </c>
      <c r="R2394" t="n">
        <v>0</v>
      </c>
      <c r="S2394">
        <f>IFERROR(O2394/N2394,0)</f>
        <v/>
      </c>
      <c r="T2394" t="n">
        <v>0</v>
      </c>
      <c r="V2394" t="n">
        <v>0</v>
      </c>
    </row>
    <row r="2395">
      <c r="A2395">
        <f>Skills!A23</f>
        <v/>
      </c>
      <c r="B2395">
        <f>Skills!B23</f>
        <v/>
      </c>
      <c r="C2395">
        <f>TRUE</f>
        <v/>
      </c>
      <c r="D2395">
        <f>IF(Skills!C23=1,60+Inputs!$B$25+Inputs!$B$29,IF(Skills!C23=2,90+Inputs!$B$26+Inputs!$B$29,IF(Skills!C23=3,120+Inputs!$B$27+Inputs!$B$29,MAX(0,(Inputs!$B$3-100)*3)+Inputs!$B$28+Inputs!$B$29)))</f>
        <v/>
      </c>
      <c r="E2395">
        <f>INDEX(FactorTable!$B$2:$Y$301, MATCH(ROUND(MIN(300,MAX(1,D2395)),0), FactorTable!$A$2:$A$301,0), Skills!M23+1)</f>
        <v/>
      </c>
      <c r="F2395">
        <f>IF(Skills!N23=TRUE,(Skills!L23/10)*(E2395/1000),Skills!L23/10)+Skills!O23</f>
        <v/>
      </c>
      <c r="G2395">
        <f>Skills!G23*IF(Skills!H23&gt;0,Skills!I23/Skills!H23,1)</f>
        <v/>
      </c>
      <c r="H2395">
        <f>1-(1-Skills!J23/100)^Skills!K23</f>
        <v/>
      </c>
      <c r="I2395" t="inlineStr">
        <is>
          <t>1</t>
        </is>
      </c>
      <c r="J2395" t="inlineStr"/>
      <c r="K2395" t="inlineStr"/>
      <c r="L2395" t="inlineStr"/>
      <c r="M2395" t="inlineStr"/>
      <c r="N2395" t="inlineStr"/>
      <c r="O2395">
        <f>(1-Summary!$B$11)*T2395+Summary!$B$11*V2395</f>
        <v/>
      </c>
      <c r="P2395">
        <f>IF(B2408=0,0,O2395/B2408)</f>
        <v/>
      </c>
      <c r="Q2395">
        <f>IFERROR(1/(IF(Inputs!$B$38="pvp",15,MAX(0.1,Skills!D23-IF(Skills!E23=TRUE,Inputs!$B$32,0)))*(1-IF(AND(ArtifactsInput!$M$27,Inputs!$B$4="Chapter Hunt"),CHOOSE(ArtifactsInput!$N$27+1,20,24,28,32,36,40),0)/100)),0)</f>
        <v/>
      </c>
      <c r="R2395">
        <f>IF(AND(Inputs!$B$38&lt;&gt;"pvp",Inputs!$B$43&gt;0),IF(Inputs!$B$43&lt;=0,0,(INT(Inputs!$B$43/(IF(Inputs!$B$38="pvp",15,MAX(0.1,Skills!D23-IF(Skills!E23=TRUE,Inputs!$B$32,0)))*(1-IF(AND(ArtifactsInput!$M$27,Inputs!$B$4="Chapter Hunt"),CHOOSE(ArtifactsInput!$N$27+1,20,24,28,32,36,40),0)/100)))+1)),0)</f>
        <v/>
      </c>
      <c r="S2395">
        <f>IFERROR(O2395/N2395,0)</f>
        <v/>
      </c>
      <c r="T2395" t="n">
        <v>0</v>
      </c>
      <c r="V2395" t="n">
        <v>0</v>
      </c>
    </row>
    <row r="2397">
      <c r="A2397" t="inlineStr">
        <is>
          <t>Attack% Bucket Multiplier</t>
        </is>
      </c>
      <c r="B2397">
        <f>(1+(((C2385=TRUE)*F2385*5/7)+((C2391=TRUE)*(F2391-Calc!F19))+(IF(ArtifactsInput!$M$21,CHOOSE(ArtifactsInput!$N$21+1,25,30,35,40,45,50)*(IF(OR(Inputs!$B$4="Chapter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8">
      <c r="A2398" t="inlineStr">
        <is>
          <t>Global Crit Rate Bonus %</t>
        </is>
      </c>
      <c r="B2398" t="n">
        <v>0</v>
      </c>
    </row>
    <row r="2399">
      <c r="A2399" t="inlineStr">
        <is>
          <t>Attack Speed Buff Bonus % (Nimble Feet, duty-cycle averaged)</t>
        </is>
      </c>
      <c r="B2399">
        <f>((C2395=TRUE)*F2395*IF(AND(Inputs!$B$38&lt;&gt;"pvp",Inputs!$B$43&gt;0),(((R2395-1)*(Skills!T23*(1+Inputs!$B$34/100))+MIN((Skills!T23*(1+Inputs!$B$34/100)),MAX(0,Inputs!$B$43-((R2395-1)*Skills!D23))))/Inputs!$B$43),IF(Inputs!$B$38="pvp",MIN((Skills!T23*(1+Inputs!$B$34/100)),15)/15,(Skills!T23*(1+Inputs!$B$34/100))/Skills!D23)))</f>
        <v/>
      </c>
    </row>
    <row r="2400">
      <c r="A2400" t="inlineStr">
        <is>
          <t>Actions Per Second</t>
        </is>
      </c>
      <c r="B2400">
        <f>1+MIN(150,150*(1-(1-(Inputs!$B$11+((C2389=TRUE)*(F2389-Calc!F17))+((C2390=TRUE)*(F2390-Calc!F18)))/150)*(1-B2399/150)))/100</f>
        <v/>
      </c>
    </row>
    <row r="2401">
      <c r="A2401" t="inlineStr">
        <is>
          <t>Skill + Buff Cast Rate</t>
        </is>
      </c>
      <c r="B2401">
        <f>IF(AND(Inputs!$B$38&lt;&gt;"pvp",Inputs!$B$43&gt;0),SUMPRODUCT((Skills!E2:E23=TRUE)*(C2374:C2395=TRUE)*R2374:R2395*Skills!F2:F23)/Inputs!$B$43,SUMPRODUCT((Skills!E2:E23=TRUE)*(C2374:C2395=TRUE)*Q2374:Q2395*Skills!F2:F23))</f>
        <v/>
      </c>
    </row>
    <row r="2402">
      <c r="A2402" t="inlineStr">
        <is>
          <t>Hook Bomber Casts Per Second</t>
        </is>
      </c>
      <c r="B2402">
        <f>MAX(0,B2400-B2401)</f>
        <v/>
      </c>
    </row>
    <row r="2403">
      <c r="A2403" t="inlineStr">
        <is>
          <t>Global Critical Damage Bonus % (unused)</t>
        </is>
      </c>
      <c r="B2403" t="n">
        <v>0</v>
      </c>
    </row>
    <row r="2404">
      <c r="A2404" t="inlineStr">
        <is>
          <t>Global Final Damage Bonus % (Serpent Scale + Crossbones + Time Leap + Speed Infusion)</t>
        </is>
      </c>
      <c r="B2404">
        <f>((C2377=TRUE)*F2377*((10+IF(Inputs!$B$3&gt;=94,5,0))/((10+IF(Inputs!$B$3&gt;=94,5,0))+5/(B2402*(1+IF(Inputs!$B$3&gt;=104,1,0))))))+((C2386=TRUE)*F2386*IF(AND(Inputs!$B$38&lt;&gt;"pvp",Inputs!$B$43&gt;0),(((R2386-1)*(Skills!T14*(1+Inputs!$B$34/100))+MIN((Skills!T14*(1+Inputs!$B$34/100)),MAX(0,Inputs!$B$43-((R2386-1)*Skills!D14))))/Inputs!$B$43),IF(Inputs!$B$38="pvp",MIN((Skills!T14*(1+Inputs!$B$34/100)),15)/15,(Skills!T14*(1+Inputs!$B$34/100))/Skills!D14)))+((C2387=TRUE)*F2387*IF(AND(Inputs!$B$38&lt;&gt;"pvp",Inputs!$B$43&gt;0),(((R2387-1)*(Skills!T15*(1+Inputs!$B$34/100))+MIN((Skills!T15*(1+Inputs!$B$34/100)),MAX(0,Inputs!$B$43-((R2387-1)*Skills!D15))))/Inputs!$B$43),IF(Inputs!$B$38="pvp",MIN((Skills!T15*(1+Inputs!$B$34/100)),15)/15,(Skills!T15*(1+Inputs!$B$34/100))/Skills!D15)))+((Inputs!$B$3&gt;=110)*20*(B2400-1)*IF(Inputs!$B$38="pvp",MIN((15*(1+Inputs!$B$34/100)),15)/15,(15*(1+Inputs!$B$34/100))/35))</f>
        <v/>
      </c>
    </row>
    <row r="2405">
      <c r="A2405" t="inlineStr">
        <is>
          <t>Buff-Casting Startup Delay (s, fixed-duration only)</t>
        </is>
      </c>
      <c r="B2405">
        <f>IF(AND(Inputs!$B$38&lt;&gt;"pvp",Inputs!$B$43&gt;0),SUMPRODUCT((Skills!T2:T23&gt;0)*(Skills!E2:E23=TRUE)*(C2374:C2395=TRUE))/B2400,0)</f>
        <v/>
      </c>
    </row>
    <row r="2406">
      <c r="A2406" t="inlineStr">
        <is>
          <t>Boss-Only Total DPS (this block's swept value)</t>
        </is>
      </c>
      <c r="B2406">
        <f>SUM(T2374:T2395)</f>
        <v/>
      </c>
    </row>
    <row r="2407">
      <c r="A2407" t="inlineStr">
        <is>
          <t>Normal-Only Total DPS (this block's swept value)</t>
        </is>
      </c>
      <c r="B2407">
        <f>SUM(V2374:V2395)</f>
        <v/>
      </c>
    </row>
    <row r="2408">
      <c r="A2408" s="6" t="inlineStr">
        <is>
          <t>TOTAL DPS</t>
        </is>
      </c>
      <c r="B2408" s="6">
        <f>SUM(O2374:O2395)</f>
        <v/>
      </c>
    </row>
    <row r="2411">
      <c r="A2411" s="6" t="inlineStr">
        <is>
          <t>Stat: Secret Map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Skills!G2*IF(Skills!H2&gt;0,Skills!I2/Skills!H2,1)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2431=TRUE)*(F2431-Calc!F20)),(Inputs!$B$23+0+(IF(ArtifactsInput!$M$15,CHOOSE(ArtifactsInput!$N$15+1,25,30,35,40,45,50)/100*(Inputs!$B$11-Inputs!$B$11),0))))/100+(Inputs!$B$23+0+(IF(ArtifactsInput!$M$15,CHOOSE(ArtifactsInput!$N$15+1,25,30,35,40,45,50)/100*(Inputs!$B$11-Inputs!$B$11),0)))/100)/2</f>
        <v/>
      </c>
      <c r="M2413">
        <f>L2413*(1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IF(B2447=0,0,O2413/B2447)</f>
        <v/>
      </c>
      <c r="Q2413" t="n">
        <v>0</v>
      </c>
      <c r="R2413" t="n">
        <v>0</v>
      </c>
      <c r="S2413">
        <f>IFERROR(O2413/N2413,0)</f>
        <v/>
      </c>
      <c r="T2413">
        <f>IF(C2413,(Skills!G2*N2413*B2441)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IF(C2413,(Skills!G2*N2413*B2441)*IF(Inputs!$B$38="pvp",1,(1+(Inputs!$B$21+Skills!Q2+(IF(ArtifactsInput!$M$33,CHOOSE(ArtifactsInput!$N$33+1,30,36,42,48,54,60),0))+(IF(AND(ArtifactsInput!$M$35,Inputs!$B$4&lt;&gt;"Chapter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Inputs!$B$3&gt;=35</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f>Skills!G3*IF(Skills!H3&gt;0,Skills!I3/Skills!H3,1)</f>
        <v/>
      </c>
      <c r="H2414">
        <f>1-(1-Skills!J3/100)^Skills!K3</f>
        <v/>
      </c>
      <c r="I2414" t="inlineStr">
        <is>
          <t>1</t>
        </is>
      </c>
      <c r="J2414">
        <f>((Inputs!$B$6*(1+Inputs!$B$7/100))+(((Inputs!$B$12*(1+Inputs!$B$13/100))-(Inputs!$B$12*(1+Inputs!$B$13/100)))+0.25*(Inputs!$B$14-Inputs!$B$14))*(1+Inputs!$B$7/100))*(F2414/100)</f>
        <v/>
      </c>
      <c r="K2414">
        <f>J2414*(1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2414)</f>
        <v/>
      </c>
      <c r="L2414">
        <f>K2414*(MIN(Inputs!$B$22+((C2431=TRUE)*(F2431-Calc!F20)),(Inputs!$B$23+0+(IF(ArtifactsInput!$M$15,CHOOSE(ArtifactsInput!$N$15+1,25,30,35,40,45,50)/100*(Inputs!$B$11-Inputs!$B$11),0))))/100+(Inputs!$B$23+0+(IF(ArtifactsInput!$M$15,CHOOSE(ArtifactsInput!$N$15+1,25,30,35,40,45,50)/100*(Inputs!$B$11-Inputs!$B$11),0)))/100)/2</f>
        <v/>
      </c>
      <c r="M2414">
        <f>L2414*(1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4">
        <f>L2414*(1-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2414*(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4">
        <f>(1-Summary!$B$11)*T2414+Summary!$B$11*V2414</f>
        <v/>
      </c>
      <c r="P2414">
        <f>IF(B2447=0,0,O2414/B2447)</f>
        <v/>
      </c>
      <c r="Q2414" t="n">
        <v>0</v>
      </c>
      <c r="R2414" t="n">
        <v>0</v>
      </c>
      <c r="S2414">
        <f>IFERROR(O2414/N2414,0)</f>
        <v/>
      </c>
      <c r="T2414">
        <f>IF(C2414,(Skills!G3*H2414*N2414*B2441)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2414*(1-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2414*(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2414*(1-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2414*(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4">
        <f>INDEX(FactorTable!$B$2:$Y$301, MATCH(ROUND(MIN(300,MAX(1,U2413)),0), FactorTable!$A$2:$A$301,0), 22)</f>
        <v/>
      </c>
      <c r="V2414">
        <f>IF(C2414,(Skills!G3*H2414*N2414*B2441)*IF(Inputs!$B$38="pvp",1,(1+(Inputs!$B$21+Skills!Q3+(IF(ArtifactsInput!$M$33,CHOOSE(ArtifactsInput!$N$33+1,30,36,42,48,54,60),0))+(IF(AND(ArtifactsInput!$M$35,Inputs!$B$4&lt;&gt;"Chapter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5">
      <c r="A2415">
        <f>Skills!A4</f>
        <v/>
      </c>
      <c r="B2415">
        <f>Skills!B4</f>
        <v/>
      </c>
      <c r="C2415">
        <f>Inputs!$B$3&gt;=60</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f>Skills!G4*IF(Skills!H4&gt;0,Skills!I4/Skills!H4,1)</f>
        <v/>
      </c>
      <c r="H2415">
        <f>1-(1-Skills!J4/100)^Skills!K4</f>
        <v/>
      </c>
      <c r="I2415" t="inlineStr">
        <is>
          <t>1</t>
        </is>
      </c>
      <c r="J2415">
        <f>((Inputs!$B$6*(1+Inputs!$B$7/100))+(((Inputs!$B$12*(1+Inputs!$B$13/100))-(Inputs!$B$12*(1+Inputs!$B$13/100)))+0.25*(Inputs!$B$14-Inputs!$B$14))*(1+Inputs!$B$7/100))*(F2415/100)</f>
        <v/>
      </c>
      <c r="K2415">
        <f>J2415*(1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2423=TRUE,F2423,0)/100)*(1+(IF(Skills!A4="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C2431=TRUE)*(F2431-Calc!F20)),(Inputs!$B$23+0+(IF(ArtifactsInput!$M$15,CHOOSE(ArtifactsInput!$N$15+1,25,30,35,40,45,50)/100*(Inputs!$B$11-Inputs!$B$11),0))))/100+(Inputs!$B$23+0+(IF(ArtifactsInput!$M$15,CHOOSE(ArtifactsInput!$N$15+1,25,30,35,40,45,50)/100*(Inputs!$B$11-Inputs!$B$11),0)))/100)/2</f>
        <v/>
      </c>
      <c r="M2415">
        <f>L2415*(1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(1-Summary!$B$11)*T2415+Summary!$B$11*V2415</f>
        <v/>
      </c>
      <c r="P2415">
        <f>IF(B2447=0,0,O2415/B2447)</f>
        <v/>
      </c>
      <c r="Q2415" t="n">
        <v>0</v>
      </c>
      <c r="R2415" t="n">
        <v>0</v>
      </c>
      <c r="S2415">
        <f>IFERROR(O2415/N2415,0)</f>
        <v/>
      </c>
      <c r="T2415">
        <f>IF(C2415,(Skills!G4*H2415*N2415*B2441)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2415*(1-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290*U2414/1000</f>
        <v/>
      </c>
      <c r="V2415">
        <f>IF(C2415,(Skills!G4*H2415*N2415*B2441)*IF(Inputs!$B$38="pvp",1,(1+(Inputs!$B$21+Skills!Q4+(IF(ArtifactsInput!$M$33,CHOOSE(ArtifactsInput!$N$33+1,30,36,42,48,54,60),0))+(IF(AND(ArtifactsInput!$M$35,Inputs!$B$4&lt;&gt;"Chapter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Skills!A5</f>
        <v/>
      </c>
      <c r="B2416">
        <f>Skills!B5</f>
        <v/>
      </c>
      <c r="C2416">
        <f>Inputs!$B$3&gt;=60</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Skills!G5*IF(Skills!H5&gt;0,Skills!I5/Skills!H5,1)</f>
        <v/>
      </c>
      <c r="H2416">
        <f>1-(1-Skills!J5/100)^Skills!K5</f>
        <v/>
      </c>
      <c r="I2416" t="inlineStr">
        <is>
          <t>1</t>
        </is>
      </c>
      <c r="J2416" t="inlineStr"/>
      <c r="K2416" t="inlineStr"/>
      <c r="L2416" t="inlineStr"/>
      <c r="M2416" t="inlineStr"/>
      <c r="N2416" t="inlineStr"/>
      <c r="O2416">
        <f>(1-Summary!$B$11)*T2416+Summary!$B$11*V2416</f>
        <v/>
      </c>
      <c r="P2416">
        <f>IF(B2447=0,0,O2416/B2447)</f>
        <v/>
      </c>
      <c r="Q2416" t="n">
        <v>0</v>
      </c>
      <c r="R2416" t="n">
        <v>0</v>
      </c>
      <c r="S2416">
        <f>IFERROR(O2416/N2416,0)</f>
        <v/>
      </c>
      <c r="T2416" t="n">
        <v>0</v>
      </c>
      <c r="V2416" t="n">
        <v>0</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Skills!G6*IF(Skills!H6&gt;0,Skills!I6/Skills!H6,1)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2423=TRUE,F2423,0)/100)*(1+(IF(Skills!A6="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2431=TRUE)*(F2431-Calc!F20)),(Inputs!$B$23+0+(IF(ArtifactsInput!$M$15,CHOOSE(ArtifactsInput!$N$15+1,25,30,35,40,45,50)/100*(Inputs!$B$11-Inputs!$B$11),0))))/100+(Inputs!$B$23+0+(IF(ArtifactsInput!$M$15,CHOOSE(ArtifactsInput!$N$15+1,25,30,35,40,45,50)/100*(Inputs!$B$11-Inputs!$B$11),0)))/100)/2</f>
        <v/>
      </c>
      <c r="M2417">
        <f>L2417*(1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IF(B2447=0,0,O2417/B2447)</f>
        <v/>
      </c>
      <c r="Q2417">
        <f>IFERROR(1/(IF(Inputs!$B$38="pvp",15,MAX(0.1,Skills!D6-IF(Skills!E6=TRUE,Inputs!$B$32,0)))*(1-IF(AND(ArtifactsInput!$M$27,Inputs!$B$4="Chapter Hunt"),CHOOSE(ArtifactsInput!$N$27+1,20,24,28,32,36,40),0)/100)),0)</f>
        <v/>
      </c>
      <c r="R2417">
        <f>IF(AND(Inputs!$B$38&lt;&gt;"pvp",Inputs!$B$43&gt;0),IF(MAX(0,Inputs!$B$43-B2444)&lt;=0,0,(INT(MAX(0,Inputs!$B$43-B2444)/(IF(Inputs!$B$38="pvp",15,MAX(0.1,Skills!D6-IF(Skills!E6=TRUE,Inputs!$B$32,0)))*(1-IF(AND(ArtifactsInput!$M$27,Inputs!$B$4="Chapter Hunt"),CHOOSE(ArtifactsInput!$N$27+1,20,24,28,32,36,40),0)/100)))+1)),0)</f>
        <v/>
      </c>
      <c r="S2417">
        <f>IFERROR(O2417/N2417,0)</f>
        <v/>
      </c>
      <c r="T2417">
        <f>IF(C2417,(H2417*N2417*IF(AND(Inputs!$B$38&lt;&gt;"pvp",Inputs!$B$43&gt;0),((Skills!G6*((R2417-1)*IF(Skills!H6&gt;0,Skills!I6/Skills!H6,1)+IF(Skills!H6&gt;0,MIN(Skills!I6,MAX(0,MAX(0,Inputs!$B$43-B2444)-((R2417-1)*(IF(Inputs!$B$38="pvp",15,MAX(0.1,Skills!D6-IF(Skills!E6=TRUE,Inputs!$B$32,0)))*(1-IF(AND(ArtifactsInput!$M$27,Inputs!$B$4="Chapter Hunt"),CHOOSE(ArtifactsInput!$N$27+1,20,24,28,32,36,40),0)/100)))))/Skills!H6,1)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Skills!I6/Skills!H6,1)+IF(Skills!H6&gt;0,MIN(Skills!I6,MAX(0,MAX(0,Inputs!$B$43-B2444)-((R2417-1)*(IF(Inputs!$B$38="pvp",15,MAX(0.1,Skills!D6-IF(Skills!E6=TRUE,Inputs!$B$32,0)))*(1-IF(AND(ArtifactsInput!$M$27,Inputs!$B$4="Chapter Hunt"),CHOOSE(ArtifactsInput!$N$27+1,20,24,28,32,36,40),0)/100)))))/Skills!H6,1)))/Inputs!$B$43),G2417*Q2417))*IF(Inputs!$B$38="pvp",1,(1+(Inputs!$B$21+Skills!Q6+(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Inputs!$B$3&gt;=100</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Skills!G7*IF(Skills!H7&gt;0,Skills!I7/Skills!H7,1)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2431=TRUE)*(F2431-Calc!F20)),(Inputs!$B$23+0+(IF(ArtifactsInput!$M$15,CHOOSE(ArtifactsInput!$N$15+1,25,30,35,40,45,50)/100*(Inputs!$B$11-Inputs!$B$11),0))))/100+(Inputs!$B$23+0+(IF(ArtifactsInput!$M$15,CHOOSE(ArtifactsInput!$N$15+1,25,30,35,40,45,50)/100*(Inputs!$B$11-Inputs!$B$11),0)))/100)/2</f>
        <v/>
      </c>
      <c r="M2418">
        <f>L2418*(1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IF(B2447=0,0,O2418/B2447)</f>
        <v/>
      </c>
      <c r="Q2418">
        <f>IFERROR(1/(IF(Inputs!$B$38="pvp",15,MAX(0.1,Skills!D7-IF(Skills!E7=TRUE,Inputs!$B$32,0)))*(1-IF(AND(ArtifactsInput!$M$27,Inputs!$B$4="Chapter Hunt"),CHOOSE(ArtifactsInput!$N$27+1,20,24,28,32,36,40),0)/100)),0)</f>
        <v/>
      </c>
      <c r="R2418">
        <f>IF(AND(Inputs!$B$38&lt;&gt;"pvp",Inputs!$B$43&gt;0),IF(MAX(0,Inputs!$B$43-B2444)&lt;=0,0,(INT(MAX(0,Inputs!$B$43-B2444)/(IF(Inputs!$B$38="pvp",15,MAX(0.1,Skills!D7-IF(Skills!E7=TRUE,Inputs!$B$32,0)))*(1-IF(AND(ArtifactsInput!$M$27,Inputs!$B$4="Chapter Hunt"),CHOOSE(ArtifactsInput!$N$27+1,20,24,28,32,36,40),0)/100)))+1)),0)</f>
        <v/>
      </c>
      <c r="S2418">
        <f>IFERROR(O2418/N2418,0)</f>
        <v/>
      </c>
      <c r="T2418">
        <f>IF(C2418,(H2418*N2418*IF(AND(Inputs!$B$38&lt;&gt;"pvp",Inputs!$B$43&gt;0),((Skills!G7*((R2418-1)*IF(Skills!H7&gt;0,Skills!I7/Skills!H7,1)+IF(Skills!H7&gt;0,MIN(Skills!I7,MAX(0,MAX(0,Inputs!$B$43-B2444)-((R2418-1)*(IF(Inputs!$B$38="pvp",15,MAX(0.1,Skills!D7-IF(Skills!E7=TRUE,Inputs!$B$32,0)))*(1-IF(AND(ArtifactsInput!$M$27,Inputs!$B$4="Chapter Hunt"),CHOOSE(ArtifactsInput!$N$27+1,20,24,28,32,36,40),0)/100)))))/Skills!H7,1)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Skills!I7/Skills!H7,1)+IF(Skills!H7&gt;0,MIN(Skills!I7,MAX(0,MAX(0,Inputs!$B$43-B2444)-((R2418-1)*(IF(Inputs!$B$38="pvp",15,MAX(0.1,Skills!D7-IF(Skills!E7=TRUE,Inputs!$B$32,0)))*(1-IF(AND(ArtifactsInput!$M$27,Inputs!$B$4="Chapter Hunt"),CHOOSE(ArtifactsInput!$N$27+1,20,24,28,32,36,40),0)/100)))))/Skills!H7,1)))/Inputs!$B$43),G2418*Q2418))*IF(Inputs!$B$38="pvp",1,(1+(Inputs!$B$21+Skills!Q7+(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Inputs!$B$3&gt;=110</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f>Skills!G8*IF(Skills!H8&gt;0,Skills!I8/Skills!H8,1)</f>
        <v/>
      </c>
      <c r="H2419">
        <f>1-(1-Skills!J8/100)^Skills!K8</f>
        <v/>
      </c>
      <c r="I2419" t="inlineStr">
        <is>
          <t>1</t>
        </is>
      </c>
      <c r="J2419">
        <f>((Inputs!$B$6*(1+Inputs!$B$7/100))+(((Inputs!$B$12*(1+Inputs!$B$13/100))-(Inputs!$B$12*(1+Inputs!$B$13/100)))+0.25*(Inputs!$B$14-Inputs!$B$14))*(1+Inputs!$B$7/100))*(F2419/100)</f>
        <v/>
      </c>
      <c r="K2419">
        <f>J2419*(1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C2431=TRUE)*(F2431-Calc!F20)),(Inputs!$B$23+0+(IF(ArtifactsInput!$M$15,CHOOSE(ArtifactsInput!$N$15+1,25,30,35,40,45,50)/100*(Inputs!$B$11-Inputs!$B$11),0))))/100+(Inputs!$B$23+0+(IF(ArtifactsInput!$M$15,CHOOSE(ArtifactsInput!$N$15+1,25,30,35,40,45,50)/100*(Inputs!$B$11-Inputs!$B$11),0)))/100)/2</f>
        <v/>
      </c>
      <c r="M2419">
        <f>L2419*(1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(1-Summary!$B$11)*T2419+Summary!$B$11*V2419</f>
        <v/>
      </c>
      <c r="P2419">
        <f>IF(B2447=0,0,O2419/B2447)</f>
        <v/>
      </c>
      <c r="Q2419">
        <f>IFERROR(1/(IF(Inputs!$B$38="pvp",15,MAX(0.1,Skills!D8-IF(Skills!E8=TRUE,Inputs!$B$32,0)))*(1-IF(AND(ArtifactsInput!$M$27,Inputs!$B$4="Chapter Hunt"),CHOOSE(ArtifactsInput!$N$27+1,20,24,28,32,36,40),0)/100)),0)</f>
        <v/>
      </c>
      <c r="R2419">
        <f>IF(AND(Inputs!$B$38&lt;&gt;"pvp",Inputs!$B$43&gt;0),IF(MAX(0,Inputs!$B$43-B2444)&lt;=0,0,(INT(MAX(0,Inputs!$B$43-B2444)/(IF(Inputs!$B$38="pvp",15,MAX(0.1,Skills!D8-IF(Skills!E8=TRUE,Inputs!$B$32,0)))*(1-IF(AND(ArtifactsInput!$M$27,Inputs!$B$4="Chapter Hunt"),CHOOSE(ArtifactsInput!$N$27+1,20,24,28,32,36,40),0)/100)))+1)),0)</f>
        <v/>
      </c>
      <c r="S2419">
        <f>IFERROR(O2419/N2419,0)</f>
        <v/>
      </c>
      <c r="T2419">
        <f>IF(C2419,(H2419*N2419*IF(AND(Inputs!$B$38&lt;&gt;"pvp",Inputs!$B$43&gt;0),((Skills!G8*((R2419-1)*IF(Skills!H8&gt;0,Skills!I8/Skills!H8,1)+IF(Skills!H8&gt;0,MIN(Skills!I8,MAX(0,MAX(0,Inputs!$B$43-B2444)-((R2419-1)*(IF(Inputs!$B$38="pvp",15,MAX(0.1,Skills!D8-IF(Skills!E8=TRUE,Inputs!$B$32,0)))*(1-IF(AND(ArtifactsInput!$M$27,Inputs!$B$4="Chapter Hunt"),CHOOSE(ArtifactsInput!$N$27+1,20,24,28,32,36,40),0)/100)))))/Skills!H8,1)))/Inputs!$B$43),G2419*Q2419)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2419*(1-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9">
        <f>IF(C2419,(H2419*N2419*IF(AND(Inputs!$B$38&lt;&gt;"pvp",Inputs!$B$43&gt;0),((Skills!G8*((R2419-1)*IF(Skills!H8&gt;0,Skills!I8/Skills!H8,1)+IF(Skills!H8&gt;0,MIN(Skills!I8,MAX(0,MAX(0,Inputs!$B$43-B2444)-((R2419-1)*(IF(Inputs!$B$38="pvp",15,MAX(0.1,Skills!D8-IF(Skills!E8=TRUE,Inputs!$B$32,0)))*(1-IF(AND(ArtifactsInput!$M$27,Inputs!$B$4="Chapter Hunt"),CHOOSE(ArtifactsInput!$N$27+1,20,24,28,32,36,40),0)/100)))))/Skills!H8,1)))/Inputs!$B$43),G2419*Q2419))*IF(Inputs!$B$38="pvp",1,(1+(Inputs!$B$21+Skills!Q8+(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Skills!A9</f>
        <v/>
      </c>
      <c r="B2420">
        <f>Skills!B9</f>
        <v/>
      </c>
      <c r="C2420">
        <f>Inputs!$B$3&gt;=110</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Skills!G9*IF(Skills!H9&gt;0,Skills!I9/Skills!H9,1)</f>
        <v/>
      </c>
      <c r="H2420">
        <f>1-(1-Skills!J9/100)^Skills!K9</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2431=TRUE)*(F2431-Calc!F20)),(Inputs!$B$23+0+(IF(ArtifactsInput!$M$15,CHOOSE(ArtifactsInput!$N$15+1,25,30,35,40,45,50)/100*(Inputs!$B$11-Inputs!$B$11),0))))/100+(Inputs!$B$23+0+(IF(ArtifactsInput!$M$15,CHOOSE(ArtifactsInput!$N$15+1,25,30,35,40,45,50)/100*(Inputs!$B$11-Inputs!$B$11),0)))/100)/2</f>
        <v/>
      </c>
      <c r="M2420">
        <f>L2420*(1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IF(B2447=0,0,O2420/B2447)</f>
        <v/>
      </c>
      <c r="Q2420">
        <f>IFERROR(1/(IF(Inputs!$B$38="pvp",15,MAX(0.1,Skills!D9-IF(Skills!E9=TRUE,Inputs!$B$32,0)))*(1-IF(AND(ArtifactsInput!$M$27,Inputs!$B$4="Chapter Hunt"),CHOOSE(ArtifactsInput!$N$27+1,20,24,28,32,36,40),0)/100)),0)</f>
        <v/>
      </c>
      <c r="R2420">
        <f>IF(AND(Inputs!$B$38&lt;&gt;"pvp",Inputs!$B$43&gt;0),IF(MAX(0,Inputs!$B$43-B2444)&lt;=0,0,(INT(MAX(0,Inputs!$B$43-B2444)/(IF(Inputs!$B$38="pvp",15,MAX(0.1,Skills!D9-IF(Skills!E9=TRUE,Inputs!$B$32,0)))*(1-IF(AND(ArtifactsInput!$M$27,Inputs!$B$4="Chapter Hunt"),CHOOSE(ArtifactsInput!$N$27+1,20,24,28,32,36,40),0)/100)))+1)),0)</f>
        <v/>
      </c>
      <c r="S2420">
        <f>IFERROR(O2420/N2420,0)</f>
        <v/>
      </c>
      <c r="T2420">
        <f>IF(C2420,(H2420*N2420*IF(AND(Inputs!$B$38&lt;&gt;"pvp",Inputs!$B$43&gt;0),((Skills!G9*((R2420-1)*IF(Skills!H9&gt;0,Skills!I9/Skills!H9,1)+IF(Skills!H9&gt;0,MIN(Skills!I9,MAX(0,MAX(0,Inputs!$B$43-B2444)-((R2420-1)*(IF(Inputs!$B$38="pvp",15,MAX(0.1,Skills!D9-IF(Skills!E9=TRUE,Inputs!$B$32,0)))*(1-IF(AND(ArtifactsInput!$M$27,Inputs!$B$4="Chapter Hunt"),CHOOSE(ArtifactsInput!$N$27+1,20,24,28,32,36,40),0)/100)))))/Skills!H9,1)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Skills!I9/Skills!H9,1)+IF(Skills!H9&gt;0,MIN(Skills!I9,MAX(0,MAX(0,Inputs!$B$43-B2444)-((R2420-1)*(IF(Inputs!$B$38="pvp",15,MAX(0.1,Skills!D9-IF(Skills!E9=TRUE,Inputs!$B$32,0)))*(1-IF(AND(ArtifactsInput!$M$27,Inputs!$B$4="Chapter Hunt"),CHOOSE(ArtifactsInput!$N$27+1,20,24,28,32,36,40),0)/100)))))/Skills!H9,1)))/Inputs!$B$43),G2420*Q2420))*IF(Inputs!$B$38="pvp",1,(1+(Inputs!$B$21+Skills!Q9+(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Inputs!$B$3&gt;=103</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Skills!G10*IF(Skills!H10&gt;0,Skills!I10/Skills!H10,1)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2431=TRUE)*(F2431-Calc!F20)),(Inputs!$B$23+0+(IF(ArtifactsInput!$M$15,CHOOSE(ArtifactsInput!$N$15+1,25,30,35,40,45,50)/100*(Inputs!$B$11-Inputs!$B$11),0))))/100+(Inputs!$B$23+0+(IF(ArtifactsInput!$M$15,CHOOSE(ArtifactsInput!$N$15+1,25,30,35,40,45,50)/100*(Inputs!$B$11-Inputs!$B$11),0)))/100)/2</f>
        <v/>
      </c>
      <c r="M2421">
        <f>L2421*(1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IF(B2447=0,0,O2421/B2447)</f>
        <v/>
      </c>
      <c r="Q2421">
        <f>IFERROR(1/(IF(Inputs!$B$38="pvp",15,MAX(0.1,Skills!D10-IF(Skills!E10=TRUE,Inputs!$B$32,0)))*(1-IF(AND(ArtifactsInput!$M$27,Inputs!$B$4="Chapter Hunt"),CHOOSE(ArtifactsInput!$N$27+1,20,24,28,32,36,40),0)/100)),0)</f>
        <v/>
      </c>
      <c r="R2421">
        <f>IF(AND(Inputs!$B$38&lt;&gt;"pvp",Inputs!$B$43&gt;0),IF(MAX(0,Inputs!$B$43-B2444)&lt;=0,0,(INT(MAX(0,Inputs!$B$43-B2444)/(IF(Inputs!$B$38="pvp",15,MAX(0.1,Skills!D10-IF(Skills!E10=TRUE,Inputs!$B$32,0)))*(1-IF(AND(ArtifactsInput!$M$27,Inputs!$B$4="Chapter Hunt"),CHOOSE(ArtifactsInput!$N$27+1,20,24,28,32,36,40),0)/100)))+1)),0)</f>
        <v/>
      </c>
      <c r="S2421">
        <f>IFERROR(O2421/N2421,0)</f>
        <v/>
      </c>
      <c r="T2421">
        <f>IF(C2421,(H2421*N2421*IF(AND(Inputs!$B$38&lt;&gt;"pvp",Inputs!$B$43&gt;0),((Skills!G10*((R2421-1)*IF(Skills!H10&gt;0,Skills!I10/Skills!H10,1)+IF(Skills!H10&gt;0,MIN(Skills!I10,MAX(0,MAX(0,Inputs!$B$43-B2444)-((R2421-1)*(IF(Inputs!$B$38="pvp",15,MAX(0.1,Skills!D10-IF(Skills!E10=TRUE,Inputs!$B$32,0)))*(1-IF(AND(ArtifactsInput!$M$27,Inputs!$B$4="Chapter Hunt"),CHOOSE(ArtifactsInput!$N$27+1,20,24,28,32,36,40),0)/100)))))/Skills!H10,1)))/Inputs!$B$43),G2421*Q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H2421*N2421*IF(AND(Inputs!$B$38&lt;&gt;"pvp",Inputs!$B$43&gt;0),((Skills!G10*((R2421-1)*IF(Skills!H10&gt;0,Skills!I10/Skills!H10,1)+IF(Skills!H10&gt;0,MIN(Skills!I10,MAX(0,MAX(0,Inputs!$B$43-B2444)-((R2421-1)*(IF(Inputs!$B$38="pvp",15,MAX(0.1,Skills!D10-IF(Skills!E10=TRUE,Inputs!$B$32,0)))*(1-IF(AND(ArtifactsInput!$M$27,Inputs!$B$4="Chapter Hunt"),CHOOSE(ArtifactsInput!$N$27+1,20,24,28,32,36,40),0)/100)))))/Skills!H10,1)))/Inputs!$B$43),G2421*Q2421))*IF(Inputs!$B$38="pvp",1,(1+(Inputs!$B$21+Skills!Q10+(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Inputs!$B$3&gt;=113</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Skills!G11*IF(Skills!H11&gt;0,Skills!I11/Skills!H11,1)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2433=TRUE)*(F2433-Calc!F22))+B2443)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2432=TRUE)*(F2432-Calc!F21))+(((IF(AND(ArtifactsInput!$M$42,((Inputs!$B$9+((C2427=TRUE)*(F2427-Calc!F16))+B2437+(ArtifactsInput!$M$24-ArtifactsInput!$M$24)*CHOOSE(ArtifactsInput!$N$24+1,10,12,14,16,18,20)+IF(ArtifactsInput!$M$10,CHOOSE(ArtifactsInput!$N$10+1,15,18,21,24,27,30)*(IF(Inputs!$B$38="pvp",MIN(15,15)/15,IF(AND(Inputs!$B$38&lt;&gt;"pvp",Inputs!$B$43&gt;0),MIN(15,Inputs!$B$43)/(Inputs!$B$43),0))),0)))&gt;=100),MIN(100,((Inputs!$B$9+((C2427=TRUE)*(F2427-Calc!F16))+B2437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2427=TRUE)*(F2427-Calc!F16))+B2437+(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2431=TRUE)*(F2431-Calc!F20)),(Inputs!$B$23+0+(IF(ArtifactsInput!$M$15,CHOOSE(ArtifactsInput!$N$15+1,25,30,35,40,45,50)/100*(Inputs!$B$11-Inputs!$B$11),0))))/100+(Inputs!$B$23+0+(IF(ArtifactsInput!$M$15,CHOOSE(ArtifactsInput!$N$15+1,25,30,35,40,45,50)/100*(Inputs!$B$11-Inputs!$B$11),0)))/100)/2</f>
        <v/>
      </c>
      <c r="M2422">
        <f>L2422*(1+(Inputs!$B$10+0+B2442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IF(B2447=0,0,O2422/B2447)</f>
        <v/>
      </c>
      <c r="Q2422">
        <f>IFERROR(1/(IF(Inputs!$B$38="pvp",15,MAX(0.1,Skills!D11-IF(Skills!E11=TRUE,Inputs!$B$32,0)))*(1-IF(AND(ArtifactsInput!$M$27,Inputs!$B$4="Chapter Hunt"),CHOOSE(ArtifactsInput!$N$27+1,20,24,28,32,36,40),0)/100)),0)</f>
        <v/>
      </c>
      <c r="R2422">
        <f>IF(AND(Inputs!$B$38&lt;&gt;"pvp",Inputs!$B$43&gt;0),IF(MAX(0,Inputs!$B$43-B2444)&lt;=0,0,(INT(MAX(0,Inputs!$B$43-B2444)/(IF(Inputs!$B$38="pvp",15,MAX(0.1,Skills!D11-IF(Skills!E11=TRUE,Inputs!$B$32,0)))*(1-IF(AND(ArtifactsInput!$M$27,Inputs!$B$4="Chapter Hunt"),CHOOSE(ArtifactsInput!$N$27+1,20,24,28,32,36,40),0)/100)))+1)),0)</f>
        <v/>
      </c>
      <c r="S2422">
        <f>IFERROR(O2422/N2422,0)</f>
        <v/>
      </c>
      <c r="T2422">
        <f>IF(C2422,(H2422*N2422*IF(AND(Inputs!$B$38&lt;&gt;"pvp",Inputs!$B$43&gt;0),((Skills!G11*((R2422-1)*IF(Skills!H11&gt;0,Skills!I11/Skills!H11,1)+IF(Skills!H11&gt;0,MIN(Skills!I11,MAX(0,MAX(0,Inputs!$B$43-B2444)-((R2422-1)*(IF(Inputs!$B$38="pvp",15,MAX(0.1,Skills!D11-IF(Skills!E11=TRUE,Inputs!$B$32,0)))*(1-IF(AND(ArtifactsInput!$M$27,Inputs!$B$4="Chapter Hunt"),CHOOSE(ArtifactsInput!$N$27+1,20,24,28,32,36,40),0)/100)))))/Skills!H11,1)))/Inputs!$B$43),G2422*Q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2427=TRUE)*(F2427-Calc!F16))+B2437+(ArtifactsInput!$M$24-ArtifactsInput!$M$24)*CHOOSE(ArtifactsInput!$N$24+1,10,12,14,16,18,20)+(IF(AND(ArtifactsInput!$M$42,((Inputs!$B$9+((C2427=TRUE)*(F2427-Calc!F16))+B2437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N2422*IF(AND(Inputs!$B$38&lt;&gt;"pvp",Inputs!$B$43&gt;0),((Skills!G11*((R2422-1)*IF(Skills!H11&gt;0,Skills!I11/Skills!H11,1)+IF(Skills!H11&gt;0,MIN(Skills!I11,MAX(0,MAX(0,Inputs!$B$43-B2444)-((R2422-1)*(IF(Inputs!$B$38="pvp",15,MAX(0.1,Skills!D11-IF(Skills!E11=TRUE,Inputs!$B$32,0)))*(1-IF(AND(ArtifactsInput!$M$27,Inputs!$B$4="Chapter Hunt"),CHOOSE(ArtifactsInput!$N$27+1,20,24,28,32,36,40),0)/100)))))/Skills!H11,1)))/Inputs!$B$43),G2422*Q2422))*IF(Inputs!$B$38="pvp",1,(1+(Inputs!$B$21+Skills!Q11+(IF(ArtifactsInput!$M$33,CHOOSE(ArtifactsInput!$N$33+1,30,36,42,48,54,60),0))+(IF(AND(ArtifactsInput!$M$35,Inputs!$B$4&lt;&gt;"Chapter Hunt"),CHOOSE(ArtifactsInput!$N$35+1,15,18,21,24,27,30)*(1-EXP(-(0.2*B2439)*5)),0)+IF(AND(ArtifactsInput!$M$22,Inputs!$B$4&lt;&gt;"Chapter Hunt"),CHOOSE(ArtifactsInput!$N$22+1,10,12,14,16,18,20)*((0*(((0.15*B2439*5))^0/1)+1*(((0.15*B2439*5))^1/1)+2*(((0.15*B2439*5))^2/2)+3*(((0.15*B2439*5))^3/6)+4*(((0.15*B2439*5))^4/24)+5*(((0.15*B2439*5))^5/120))/((((0.15*B2439*5))^0/1)+(((0.15*B2439*5))^1/1)+(((0.15*B2439*5))^2/2)+(((0.15*B2439*5))^3/6)+(((0.15*B2439*5))^4/24)+(((0.15*B2439*5))^5/120))),0)))/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Inputs!$B$3&gt;=100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t="inlineStr"/>
      <c r="H2423" t="inlineStr"/>
      <c r="I2423" t="inlineStr">
        <is>
          <t>1</t>
        </is>
      </c>
      <c r="J2423" t="inlineStr"/>
      <c r="K2423" t="inlineStr"/>
      <c r="L2423" t="inlineStr"/>
      <c r="M2423" t="inlineStr"/>
      <c r="N2423" t="inlineStr"/>
      <c r="O2423" t="inlineStr"/>
      <c r="P2423" t="inlineStr"/>
      <c r="Q2423" t="inlineStr"/>
      <c r="R2423" t="inlineStr"/>
      <c r="S2423" t="inlineStr"/>
      <c r="T2423" t="inlineStr"/>
      <c r="V2423" t="inlineStr"/>
    </row>
    <row r="2424">
      <c r="A2424">
        <f>Skills!A13</f>
        <v/>
      </c>
      <c r="B2424">
        <f>Skills!B13</f>
        <v/>
      </c>
      <c r="C2424">
        <f>Inputs!$B$3&gt;=66</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Skills!G13*IF(Skills!H13&gt;0,Skills!I13/Skills!H13,1)</f>
        <v/>
      </c>
      <c r="H2424">
        <f>1-(1-Skills!J13/100)^Skills!K13</f>
        <v/>
      </c>
      <c r="I2424" t="inlineStr">
        <is>
          <t>1</t>
        </is>
      </c>
      <c r="J2424" t="inlineStr"/>
      <c r="K2424" t="inlineStr"/>
      <c r="L2424" t="inlineStr"/>
      <c r="M2424" t="inlineStr"/>
      <c r="N2424" t="inlineStr"/>
      <c r="O2424">
        <f>(1-Summary!$B$11)*T2424+Summary!$B$11*V2424</f>
        <v/>
      </c>
      <c r="P2424">
        <f>IF(B2447=0,0,O2424/B2447)</f>
        <v/>
      </c>
      <c r="Q2424" t="n">
        <v>0</v>
      </c>
      <c r="R2424" t="n">
        <v>0</v>
      </c>
      <c r="S2424">
        <f>IFERROR(O2424/N2424,0)</f>
        <v/>
      </c>
      <c r="T2424" t="n">
        <v>0</v>
      </c>
      <c r="V2424" t="n">
        <v>0</v>
      </c>
    </row>
    <row r="2425">
      <c r="A2425">
        <f>Skills!A14</f>
        <v/>
      </c>
      <c r="B2425">
        <f>Skills!B14</f>
        <v/>
      </c>
      <c r="C2425">
        <f>Inputs!$B$3&gt;=107</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Skills!G14*IF(Skills!H14&gt;0,Skills!I14/Skills!H14,1)</f>
        <v/>
      </c>
      <c r="H2425">
        <f>1-(1-Skills!J14/100)^Skills!K14</f>
        <v/>
      </c>
      <c r="I2425" t="inlineStr">
        <is>
          <t>1</t>
        </is>
      </c>
      <c r="J2425" t="inlineStr"/>
      <c r="K2425" t="inlineStr"/>
      <c r="L2425" t="inlineStr"/>
      <c r="M2425" t="inlineStr"/>
      <c r="N2425" t="inlineStr"/>
      <c r="O2425">
        <f>(1-Summary!$B$11)*T2425+Summary!$B$11*V2425</f>
        <v/>
      </c>
      <c r="P2425">
        <f>IF(B2447=0,0,O2425/B2447)</f>
        <v/>
      </c>
      <c r="Q2425">
        <f>IFERROR(1/(IF(Inputs!$B$38="pvp",15,MAX(0.1,Skills!D14-IF(Skills!E14=TRUE,Inputs!$B$32,0)))*(1-IF(AND(ArtifactsInput!$M$27,Inputs!$B$4="Chapter Hunt"),CHOOSE(ArtifactsInput!$N$27+1,20,24,28,32,36,40),0)/100)),0)</f>
        <v/>
      </c>
      <c r="R2425">
        <f>IF(AND(Inputs!$B$38&lt;&gt;"pvp",Inputs!$B$43&gt;0),IF(Inputs!$B$43&lt;=0,0,(INT(Inputs!$B$43/(IF(Inputs!$B$38="pvp",15,MAX(0.1,Skills!D14-IF(Skills!E14=TRUE,Inputs!$B$32,0)))*(1-IF(AND(ArtifactsInput!$M$27,Inputs!$B$4="Chapter Hunt"),CHOOSE(ArtifactsInput!$N$27+1,20,24,28,32,36,40),0)/100)))+1)),0)</f>
        <v/>
      </c>
      <c r="S2425">
        <f>IFERROR(O2425/N2425,0)</f>
        <v/>
      </c>
      <c r="T2425" t="n">
        <v>0</v>
      </c>
      <c r="V2425" t="n">
        <v>0</v>
      </c>
    </row>
    <row r="2426">
      <c r="A2426">
        <f>Skills!A15</f>
        <v/>
      </c>
      <c r="B2426">
        <f>Skills!B15</f>
        <v/>
      </c>
      <c r="C2426">
        <f>Inputs!$B$3&gt;=115</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Skills!G15*IF(Skills!H15&gt;0,Skills!I15/Skills!H15,1)</f>
        <v/>
      </c>
      <c r="H2426">
        <f>1-(1-Skills!J15/100)^Skills!K15</f>
        <v/>
      </c>
      <c r="I2426" t="inlineStr">
        <is>
          <t>1</t>
        </is>
      </c>
      <c r="J2426" t="inlineStr"/>
      <c r="K2426" t="inlineStr"/>
      <c r="L2426" t="inlineStr"/>
      <c r="M2426" t="inlineStr"/>
      <c r="N2426" t="inlineStr"/>
      <c r="O2426">
        <f>(1-Summary!$B$11)*T2426+Summary!$B$11*V2426</f>
        <v/>
      </c>
      <c r="P2426">
        <f>IF(B2447=0,0,O2426/B2447)</f>
        <v/>
      </c>
      <c r="Q2426">
        <f>IFERROR(1/(IF(Inputs!$B$38="pvp",15,MAX(0.1,Skills!D15-IF(Skills!E15=TRUE,Inputs!$B$32,0)))*(1-IF(AND(ArtifactsInput!$M$27,Inputs!$B$4="Chapter Hunt"),CHOOSE(ArtifactsInput!$N$27+1,20,24,28,32,36,40),0)/100)),0)</f>
        <v/>
      </c>
      <c r="R2426">
        <f>IF(AND(Inputs!$B$38&lt;&gt;"pvp",Inputs!$B$43&gt;0),IF(Inputs!$B$43&lt;=0,0,(INT(Inputs!$B$43/(IF(Inputs!$B$38="pvp",15,MAX(0.1,Skills!D15-IF(Skills!E15=TRUE,Inputs!$B$32,0)))*(1-IF(AND(ArtifactsInput!$M$27,Inputs!$B$4="Chapter Hunt"),CHOOSE(ArtifactsInput!$N$27+1,20,24,28,32,36,40),0)/100)))+1)),0)</f>
        <v/>
      </c>
      <c r="S2426">
        <f>IFERROR(O2426/N2426,0)</f>
        <v/>
      </c>
      <c r="T2426" t="n">
        <v>0</v>
      </c>
      <c r="V2426" t="n">
        <v>0</v>
      </c>
    </row>
    <row r="2427">
      <c r="A2427">
        <f>Skills!A16</f>
        <v/>
      </c>
      <c r="B2427">
        <f>Skills!B16</f>
        <v/>
      </c>
      <c r="C2427">
        <f>Inputs!$B$3&gt;=15</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Skills!G16*IF(Skills!H16&gt;0,Skills!I16/Skills!H16,1)</f>
        <v/>
      </c>
      <c r="H2427">
        <f>1-(1-Skills!J16/100)^Skills!K16</f>
        <v/>
      </c>
      <c r="I2427" t="inlineStr">
        <is>
          <t>1</t>
        </is>
      </c>
      <c r="J2427" t="inlineStr"/>
      <c r="K2427" t="inlineStr"/>
      <c r="L2427" t="inlineStr"/>
      <c r="M2427" t="inlineStr"/>
      <c r="N2427" t="inlineStr"/>
      <c r="O2427">
        <f>(1-Summary!$B$11)*T2427+Summary!$B$11*V2427</f>
        <v/>
      </c>
      <c r="P2427">
        <f>IF(B2447=0,0,O2427/B2447)</f>
        <v/>
      </c>
      <c r="Q2427" t="n">
        <v>0</v>
      </c>
      <c r="R2427" t="n">
        <v>0</v>
      </c>
      <c r="S2427">
        <f>IFERROR(O2427/N2427,0)</f>
        <v/>
      </c>
      <c r="T2427" t="n">
        <v>0</v>
      </c>
      <c r="V2427" t="n">
        <v>0</v>
      </c>
    </row>
    <row r="2428">
      <c r="A2428">
        <f>Skills!A17</f>
        <v/>
      </c>
      <c r="B2428">
        <f>Skills!B17</f>
        <v/>
      </c>
      <c r="C2428">
        <f>Inputs!$B$3&gt;=10</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Skills!G17*IF(Skills!H17&gt;0,Skills!I17/Skills!H17,1)</f>
        <v/>
      </c>
      <c r="H2428">
        <f>1-(1-Skills!J17/100)^Skills!K17</f>
        <v/>
      </c>
      <c r="I2428" t="inlineStr">
        <is>
          <t>1</t>
        </is>
      </c>
      <c r="J2428" t="inlineStr"/>
      <c r="K2428" t="inlineStr"/>
      <c r="L2428" t="inlineStr"/>
      <c r="M2428" t="inlineStr"/>
      <c r="N2428" t="inlineStr"/>
      <c r="O2428">
        <f>(1-Summary!$B$11)*T2428+Summary!$B$11*V2428</f>
        <v/>
      </c>
      <c r="P2428">
        <f>IF(B2447=0,0,O2428/B2447)</f>
        <v/>
      </c>
      <c r="Q2428" t="n">
        <v>0</v>
      </c>
      <c r="R2428" t="n">
        <v>0</v>
      </c>
      <c r="S2428">
        <f>IFERROR(O2428/N2428,0)</f>
        <v/>
      </c>
      <c r="T2428" t="n">
        <v>0</v>
      </c>
      <c r="V2428" t="n">
        <v>0</v>
      </c>
    </row>
    <row r="2429">
      <c r="A2429">
        <f>Skills!A18</f>
        <v/>
      </c>
      <c r="B2429">
        <f>Skills!B18</f>
        <v/>
      </c>
      <c r="C2429">
        <f>Inputs!$B$3&gt;=33</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Skills!G18*IF(Skills!H18&gt;0,Skills!I18/Skills!H18,1)</f>
        <v/>
      </c>
      <c r="H2429">
        <f>1-(1-Skills!J18/100)^Skills!K18</f>
        <v/>
      </c>
      <c r="I2429" t="inlineStr">
        <is>
          <t>1</t>
        </is>
      </c>
      <c r="J2429" t="inlineStr"/>
      <c r="K2429" t="inlineStr"/>
      <c r="L2429" t="inlineStr"/>
      <c r="M2429" t="inlineStr"/>
      <c r="N2429" t="inlineStr"/>
      <c r="O2429">
        <f>(1-Summary!$B$11)*T2429+Summary!$B$11*V2429</f>
        <v/>
      </c>
      <c r="P2429">
        <f>IF(B2447=0,0,O2429/B2447)</f>
        <v/>
      </c>
      <c r="Q2429" t="n">
        <v>0</v>
      </c>
      <c r="R2429" t="n">
        <v>0</v>
      </c>
      <c r="S2429">
        <f>IFERROR(O2429/N2429,0)</f>
        <v/>
      </c>
      <c r="T2429" t="n">
        <v>0</v>
      </c>
      <c r="V2429" t="n">
        <v>0</v>
      </c>
    </row>
    <row r="2430">
      <c r="A2430">
        <f>Skills!A19</f>
        <v/>
      </c>
      <c r="B2430">
        <f>Skills!B19</f>
        <v/>
      </c>
      <c r="C2430">
        <f>Inputs!$B$3&gt;=40</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Skills!G19*IF(Skills!H19&gt;0,Skills!I19/Skills!H19,1)</f>
        <v/>
      </c>
      <c r="H2430">
        <f>1-(1-Skills!J19/100)^Skills!K19</f>
        <v/>
      </c>
      <c r="I2430" t="inlineStr">
        <is>
          <t>1</t>
        </is>
      </c>
      <c r="J2430" t="inlineStr"/>
      <c r="K2430" t="inlineStr"/>
      <c r="L2430" t="inlineStr"/>
      <c r="M2430" t="inlineStr"/>
      <c r="N2430" t="inlineStr"/>
      <c r="O2430">
        <f>(1-Summary!$B$11)*T2430+Summary!$B$11*V2430</f>
        <v/>
      </c>
      <c r="P2430">
        <f>IF(B2447=0,0,O2430/B2447)</f>
        <v/>
      </c>
      <c r="Q2430" t="n">
        <v>0</v>
      </c>
      <c r="R2430" t="n">
        <v>0</v>
      </c>
      <c r="S2430">
        <f>IFERROR(O2430/N2430,0)</f>
        <v/>
      </c>
      <c r="T2430" t="n">
        <v>0</v>
      </c>
      <c r="V2430" t="n">
        <v>0</v>
      </c>
    </row>
    <row r="2431">
      <c r="A2431">
        <f>Skills!A20</f>
        <v/>
      </c>
      <c r="B2431">
        <f>Skills!B20</f>
        <v/>
      </c>
      <c r="C2431">
        <f>Inputs!$B$3&gt;=43</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Skills!G20*IF(Skills!H20&gt;0,Skills!I20/Skills!H20,1)</f>
        <v/>
      </c>
      <c r="H2431">
        <f>1-(1-Skills!J20/100)^Skills!K20</f>
        <v/>
      </c>
      <c r="I2431" t="inlineStr">
        <is>
          <t>1</t>
        </is>
      </c>
      <c r="J2431" t="inlineStr"/>
      <c r="K2431" t="inlineStr"/>
      <c r="L2431" t="inlineStr"/>
      <c r="M2431" t="inlineStr"/>
      <c r="N2431" t="inlineStr"/>
      <c r="O2431">
        <f>(1-Summary!$B$11)*T2431+Summary!$B$11*V2431</f>
        <v/>
      </c>
      <c r="P2431">
        <f>IF(B2447=0,0,O2431/B2447)</f>
        <v/>
      </c>
      <c r="Q2431" t="n">
        <v>0</v>
      </c>
      <c r="R2431" t="n">
        <v>0</v>
      </c>
      <c r="S2431">
        <f>IFERROR(O2431/N2431,0)</f>
        <v/>
      </c>
      <c r="T2431" t="n">
        <v>0</v>
      </c>
      <c r="V2431" t="n">
        <v>0</v>
      </c>
    </row>
    <row r="2432">
      <c r="A2432">
        <f>Skills!A21</f>
        <v/>
      </c>
      <c r="B2432">
        <f>Skills!B21</f>
        <v/>
      </c>
      <c r="C2432">
        <f>Inputs!$B$3&gt;=38</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Skills!G21*IF(Skills!H21&gt;0,Skills!I21/Skills!H21,1)</f>
        <v/>
      </c>
      <c r="H2432">
        <f>1-(1-Skills!J21/100)^Skills!K21</f>
        <v/>
      </c>
      <c r="I2432" t="inlineStr">
        <is>
          <t>1</t>
        </is>
      </c>
      <c r="J2432" t="inlineStr"/>
      <c r="K2432" t="inlineStr"/>
      <c r="L2432" t="inlineStr"/>
      <c r="M2432" t="inlineStr"/>
      <c r="N2432" t="inlineStr"/>
      <c r="O2432">
        <f>(1-Summary!$B$11)*T2432+Summary!$B$11*V2432</f>
        <v/>
      </c>
      <c r="P2432">
        <f>IF(B2447=0,0,O2432/B2447)</f>
        <v/>
      </c>
      <c r="Q2432" t="n">
        <v>0</v>
      </c>
      <c r="R2432" t="n">
        <v>0</v>
      </c>
      <c r="S2432">
        <f>IFERROR(O2432/N2432,0)</f>
        <v/>
      </c>
      <c r="T2432" t="n">
        <v>0</v>
      </c>
      <c r="V2432" t="n">
        <v>0</v>
      </c>
    </row>
    <row r="2433">
      <c r="A2433">
        <f>Skills!A22</f>
        <v/>
      </c>
      <c r="B2433">
        <f>Skills!B22</f>
        <v/>
      </c>
      <c r="C2433">
        <f>Inputs!$B$3&gt;=75</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Skills!G22*IF(Skills!H22&gt;0,Skills!I22/Skills!H22,1)</f>
        <v/>
      </c>
      <c r="H2433">
        <f>1-(1-Skills!J22/100)^Skills!K22</f>
        <v/>
      </c>
      <c r="I2433" t="inlineStr">
        <is>
          <t>1</t>
        </is>
      </c>
      <c r="J2433" t="inlineStr"/>
      <c r="K2433" t="inlineStr"/>
      <c r="L2433" t="inlineStr"/>
      <c r="M2433" t="inlineStr"/>
      <c r="N2433" t="inlineStr"/>
      <c r="O2433">
        <f>(1-Summary!$B$11)*T2433+Summary!$B$11*V2433</f>
        <v/>
      </c>
      <c r="P2433">
        <f>IF(B2447=0,0,O2433/B2447)</f>
        <v/>
      </c>
      <c r="Q2433" t="n">
        <v>0</v>
      </c>
      <c r="R2433" t="n">
        <v>0</v>
      </c>
      <c r="S2433">
        <f>IFERROR(O2433/N2433,0)</f>
        <v/>
      </c>
      <c r="T2433" t="n">
        <v>0</v>
      </c>
      <c r="V2433" t="n">
        <v>0</v>
      </c>
    </row>
    <row r="2434">
      <c r="A2434">
        <f>Skills!A23</f>
        <v/>
      </c>
      <c r="B2434">
        <f>Skills!B23</f>
        <v/>
      </c>
      <c r="C2434">
        <f>TRUE</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Skills!G23*IF(Skills!H23&gt;0,Skills!I23/Skills!H23,1)</f>
        <v/>
      </c>
      <c r="H2434">
        <f>1-(1-Skills!J23/100)^Skills!K23</f>
        <v/>
      </c>
      <c r="I2434" t="inlineStr">
        <is>
          <t>1</t>
        </is>
      </c>
      <c r="J2434" t="inlineStr"/>
      <c r="K2434" t="inlineStr"/>
      <c r="L2434" t="inlineStr"/>
      <c r="M2434" t="inlineStr"/>
      <c r="N2434" t="inlineStr"/>
      <c r="O2434">
        <f>(1-Summary!$B$11)*T2434+Summary!$B$11*V2434</f>
        <v/>
      </c>
      <c r="P2434">
        <f>IF(B2447=0,0,O2434/B2447)</f>
        <v/>
      </c>
      <c r="Q2434">
        <f>IFERROR(1/(IF(Inputs!$B$38="pvp",15,MAX(0.1,Skills!D23-IF(Skills!E23=TRUE,Inputs!$B$32,0)))*(1-IF(AND(ArtifactsInput!$M$27,Inputs!$B$4="Chapter Hunt"),CHOOSE(ArtifactsInput!$N$27+1,20,24,28,32,36,40),0)/100)),0)</f>
        <v/>
      </c>
      <c r="R2434">
        <f>IF(AND(Inputs!$B$38&lt;&gt;"pvp",Inputs!$B$43&gt;0),IF(Inputs!$B$43&lt;=0,0,(INT(Inputs!$B$43/(IF(Inputs!$B$38="pvp",15,MAX(0.1,Skills!D23-IF(Skills!E23=TRUE,Inputs!$B$32,0)))*(1-IF(AND(ArtifactsInput!$M$27,Inputs!$B$4="Chapter Hunt"),CHOOSE(ArtifactsInput!$N$27+1,20,24,28,32,36,40),0)/100)))+1)),0)</f>
        <v/>
      </c>
      <c r="S2434">
        <f>IFERROR(O2434/N2434,0)</f>
        <v/>
      </c>
      <c r="T2434" t="n">
        <v>0</v>
      </c>
      <c r="V2434" t="n">
        <v>0</v>
      </c>
    </row>
    <row r="2436">
      <c r="A2436" t="inlineStr">
        <is>
          <t>Attack% Bucket Multiplier</t>
        </is>
      </c>
      <c r="B2436">
        <f>(1+(((C2424=TRUE)*F2424*5/7)+((C2430=TRUE)*(F2430-Calc!F19))+(IF(ArtifactsInput!$M$21,CHOOSE(ArtifactsInput!$N$21+1,25,30,35,40,45,50)*(IF(OR(Inputs!$B$4="Chapter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37">
      <c r="A2437" t="inlineStr">
        <is>
          <t>Global Crit Rate Bonus %</t>
        </is>
      </c>
      <c r="B2437" t="n">
        <v>0</v>
      </c>
    </row>
    <row r="2438">
      <c r="A2438" t="inlineStr">
        <is>
          <t>Attack Speed Buff Bonus % (Nimble Feet, duty-cycle averaged)</t>
        </is>
      </c>
      <c r="B2438">
        <f>((C2434=TRUE)*F2434*IF(AND(Inputs!$B$38&lt;&gt;"pvp",Inputs!$B$43&gt;0),(((R2434-1)*(Skills!T23*(1+Inputs!$B$34/100))+MIN((Skills!T23*(1+Inputs!$B$34/100)),MAX(0,Inputs!$B$43-((R2434-1)*Skills!D23))))/Inputs!$B$43),IF(Inputs!$B$38="pvp",MIN((Skills!T23*(1+Inputs!$B$34/100)),15)/15,(Skills!T23*(1+Inputs!$B$34/100))/Skills!D23)))</f>
        <v/>
      </c>
    </row>
    <row r="2439">
      <c r="A2439" t="inlineStr">
        <is>
          <t>Actions Per Second</t>
        </is>
      </c>
      <c r="B2439">
        <f>1+MIN(150,150*(1-(1-(Inputs!$B$11+((C2428=TRUE)*(F2428-Calc!F17))+((C2429=TRUE)*(F2429-Calc!F18)))/150)*(1-B2438/150)))/100</f>
        <v/>
      </c>
    </row>
    <row r="2440">
      <c r="A2440" t="inlineStr">
        <is>
          <t>Skill + Buff Cast Rate</t>
        </is>
      </c>
      <c r="B2440">
        <f>IF(AND(Inputs!$B$38&lt;&gt;"pvp",Inputs!$B$43&gt;0),SUMPRODUCT((Skills!E2:E23=TRUE)*(C2413:C2434=TRUE)*R2413:R2434*Skills!F2:F23)/Inputs!$B$43,SUMPRODUCT((Skills!E2:E23=TRUE)*(C2413:C2434=TRUE)*Q2413:Q2434*Skills!F2:F23))</f>
        <v/>
      </c>
    </row>
    <row r="2441">
      <c r="A2441" t="inlineStr">
        <is>
          <t>Hook Bomber Casts Per Second</t>
        </is>
      </c>
      <c r="B2441">
        <f>MAX(0,B2439-B2440)</f>
        <v/>
      </c>
    </row>
    <row r="2442">
      <c r="A2442" t="inlineStr">
        <is>
          <t>Global Critical Damage Bonus % (unused)</t>
        </is>
      </c>
      <c r="B2442" t="n">
        <v>0</v>
      </c>
    </row>
    <row r="2443">
      <c r="A2443" t="inlineStr">
        <is>
          <t>Global Final Damage Bonus % (Serpent Scale + Crossbones + Time Leap + Speed Infusion)</t>
        </is>
      </c>
      <c r="B2443">
        <f>((C2416=TRUE)*F2416*((10+IF(Inputs!$B$3&gt;=94,5,0))/((10+IF(Inputs!$B$3&gt;=94,5,0))+5/(B2441*(1+IF(Inputs!$B$3&gt;=104,1,0))))))+((C2425=TRUE)*F2425*IF(AND(Inputs!$B$38&lt;&gt;"pvp",Inputs!$B$43&gt;0),(((R2425-1)*(Skills!T14*(1+Inputs!$B$34/100))+MIN((Skills!T14*(1+Inputs!$B$34/100)),MAX(0,Inputs!$B$43-((R2425-1)*Skills!D14))))/Inputs!$B$43),IF(Inputs!$B$38="pvp",MIN((Skills!T14*(1+Inputs!$B$34/100)),15)/15,(Skills!T14*(1+Inputs!$B$34/100))/Skills!D14)))+((C2426=TRUE)*F2426*IF(AND(Inputs!$B$38&lt;&gt;"pvp",Inputs!$B$43&gt;0),(((R2426-1)*(Skills!T15*(1+Inputs!$B$34/100))+MIN((Skills!T15*(1+Inputs!$B$34/100)),MAX(0,Inputs!$B$43-((R2426-1)*Skills!D15))))/Inputs!$B$43),IF(Inputs!$B$38="pvp",MIN((Skills!T15*(1+Inputs!$B$34/100)),15)/15,(Skills!T15*(1+Inputs!$B$34/100))/Skills!D15)))+((Inputs!$B$3&gt;=110)*20*(B2439-1)*IF(Inputs!$B$38="pvp",MIN((15*(1+Inputs!$B$34/100)),15)/15,(15*(1+Inputs!$B$34/100))/35))</f>
        <v/>
      </c>
    </row>
    <row r="2444">
      <c r="A2444" t="inlineStr">
        <is>
          <t>Buff-Casting Startup Delay (s, fixed-duration only)</t>
        </is>
      </c>
      <c r="B2444">
        <f>IF(AND(Inputs!$B$38&lt;&gt;"pvp",Inputs!$B$43&gt;0),SUMPRODUCT((Skills!T2:T23&gt;0)*(Skills!E2:E23=TRUE)*(C2413:C2434=TRUE))/B2439,0)</f>
        <v/>
      </c>
    </row>
    <row r="2445">
      <c r="A2445" t="inlineStr">
        <is>
          <t>Boss-Only Total DPS (this block's swept value)</t>
        </is>
      </c>
      <c r="B2445">
        <f>SUM(T2413:T2434)</f>
        <v/>
      </c>
    </row>
    <row r="2446">
      <c r="A2446" t="inlineStr">
        <is>
          <t>Normal-Only Total DPS (this block's swept value)</t>
        </is>
      </c>
      <c r="B2446">
        <f>SUM(V2413:V2434)</f>
        <v/>
      </c>
    </row>
    <row r="2447">
      <c r="A2447" s="6" t="inlineStr">
        <is>
          <t>TOTAL DPS</t>
        </is>
      </c>
      <c r="B2447" s="6">
        <f>SUM(O2413:O2434)</f>
        <v/>
      </c>
    </row>
    <row r="2450">
      <c r="A2450" s="6" t="inlineStr">
        <is>
          <t>Stat: Ring of Cycles (Equip)</t>
        </is>
      </c>
    </row>
    <row r="2451">
      <c r="A2451" s="5" t="inlineStr">
        <is>
          <t>Key</t>
        </is>
      </c>
      <c r="B2451" s="5" t="inlineStr">
        <is>
          <t>Name</t>
        </is>
      </c>
      <c r="C2451" s="5" t="inlineStr">
        <is>
          <t>Unlocked</t>
        </is>
      </c>
      <c r="D2451" s="5" t="inlineStr">
        <is>
          <t>InputLevel</t>
        </is>
      </c>
      <c r="E2451" s="5" t="inlineStr">
        <is>
          <t>Factor</t>
        </is>
      </c>
      <c r="F2451" s="5" t="inlineStr">
        <is>
          <t>CoefficientPercent</t>
        </is>
      </c>
      <c r="G2451" s="5" t="inlineStr">
        <is>
          <t>EffectiveHits</t>
        </is>
      </c>
      <c r="H2451" s="5" t="inlineStr">
        <is>
          <t>ProcProbability</t>
        </is>
      </c>
      <c r="I2451" s="5" t="inlineStr">
        <is>
          <t>MapleHeroMultiplier</t>
        </is>
      </c>
      <c r="J2451" s="5" t="inlineStr">
        <is>
          <t>BaseDamage</t>
        </is>
      </c>
      <c r="K2451" s="5" t="inlineStr">
        <is>
          <t>BaseHitDamage</t>
        </is>
      </c>
      <c r="L2451" s="5" t="inlineStr">
        <is>
          <t>NonCritAvg</t>
        </is>
      </c>
      <c r="M2451" s="5" t="inlineStr">
        <is>
          <t>CritAvg</t>
        </is>
      </c>
      <c r="N2451" s="5" t="inlineStr">
        <is>
          <t>ExpectedDamage(perHit)</t>
        </is>
      </c>
      <c r="O2451" s="5" t="inlineStr">
        <is>
          <t>DPS</t>
        </is>
      </c>
      <c r="P2451" s="5" t="inlineStr">
        <is>
          <t>% of Total</t>
        </is>
      </c>
      <c r="Q2451" s="5" t="inlineStr">
        <is>
          <t>InvCooldown</t>
        </is>
      </c>
      <c r="R2451" s="5" t="inlineStr">
        <is>
          <t>CastsInFight</t>
        </is>
      </c>
      <c r="S2451" s="5" t="inlineStr">
        <is>
          <t>HitRate(perSec)</t>
        </is>
      </c>
      <c r="U2451" t="inlineStr">
        <is>
          <t>helpers</t>
        </is>
      </c>
    </row>
    <row r="2452">
      <c r="A2452">
        <f>Skills!A2</f>
        <v/>
      </c>
      <c r="B2452">
        <f>Skills!B2</f>
        <v/>
      </c>
      <c r="C2452">
        <f>Inputs!$B$3&gt;=100</f>
        <v/>
      </c>
      <c r="D2452" t="inlineStr"/>
      <c r="E2452" t="inlineStr"/>
      <c r="F2452">
        <f>U2454+Skills!O2</f>
        <v/>
      </c>
      <c r="G2452">
        <f>Skills!G2*IF(Skills!H2&gt;0,Skills!I2/Skills!H2,1)</f>
        <v/>
      </c>
      <c r="H2452">
        <f>1-(1-Skills!J2/100)^Skills!K2</f>
        <v/>
      </c>
      <c r="I2452" t="inlineStr">
        <is>
          <t>1</t>
        </is>
      </c>
      <c r="J2452">
        <f>((Inputs!$B$6*(1+Inputs!$B$7/100))+(((Inputs!$B$12*(1+Inputs!$B$13/100))-(Inputs!$B$12*(1+Inputs!$B$13/100)))+0.25*(Inputs!$B$14-Inputs!$B$14))*(1+Inputs!$B$7/100))*(F2452/100)</f>
        <v/>
      </c>
      <c r="K2452">
        <f>J2452*(1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2452)</f>
        <v/>
      </c>
      <c r="L2452">
        <f>K2452*(MIN(Inputs!$B$22+((C2470=TRUE)*(F2470-Calc!F20)),(Inputs!$B$23+0+(IF(ArtifactsInput!$M$15,CHOOSE(ArtifactsInput!$N$15+1,25,30,35,40,45,50)/100*(Inputs!$B$11-Inputs!$B$11),0))))/100+(Inputs!$B$23+0+(IF(ArtifactsInput!$M$15,CHOOSE(ArtifactsInput!$N$15+1,25,30,35,40,45,50)/100*(Inputs!$B$11-Inputs!$B$11),0)))/100)/2</f>
        <v/>
      </c>
      <c r="M2452">
        <f>L2452*(1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2">
        <f>L2452*(1-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2452*(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2">
        <f>(1-Summary!$B$11)*T2452+Summary!$B$11*V2452</f>
        <v/>
      </c>
      <c r="P2452">
        <f>IF(B2486=0,0,O2452/B2486)</f>
        <v/>
      </c>
      <c r="Q2452" t="n">
        <v>0</v>
      </c>
      <c r="R2452" t="n">
        <v>0</v>
      </c>
      <c r="S2452">
        <f>IFERROR(O2452/N2452,0)</f>
        <v/>
      </c>
      <c r="T2452">
        <f>IF(C2452,(Skills!G2*N2452*B2480)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2452*(1-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2452*(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2452*(1-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2452*(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2">
        <f>MAX(0,(Inputs!$B$3-100)*3)+Inputs!$B$28+Inputs!$B$29</f>
        <v/>
      </c>
      <c r="V2452">
        <f>IF(C2452,(Skills!G2*N2452*B2480)*IF(Inputs!$B$38="pvp",1,(1+(Inputs!$B$21+Skills!Q2+(IF(ArtifactsInput!$M$33,CHOOSE(ArtifactsInput!$N$33+1,30,36,42,48,54,60),0))+(IF(AND(ArtifactsInput!$M$35,Inputs!$B$4&lt;&gt;"Chapter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3">
      <c r="A2453">
        <f>Skills!A3</f>
        <v/>
      </c>
      <c r="B2453">
        <f>Skills!B3</f>
        <v/>
      </c>
      <c r="C2453">
        <f>Inputs!$B$3&gt;=35</f>
        <v/>
      </c>
      <c r="D2453">
        <f>IF(Skills!C3=1,60+Inputs!$B$25+Inputs!$B$29,IF(Skills!C3=2,90+Inputs!$B$26+Inputs!$B$29,IF(Skills!C3=3,120+Inputs!$B$27+Inputs!$B$29,MAX(0,(Inputs!$B$3-100)*3)+Inputs!$B$28+Inputs!$B$29)))</f>
        <v/>
      </c>
      <c r="E2453">
        <f>INDEX(FactorTable!$B$2:$Y$301, MATCH(ROUND(MIN(300,MAX(1,D2453)),0), FactorTable!$A$2:$A$301,0), Skills!M3+1)</f>
        <v/>
      </c>
      <c r="F2453">
        <f>IF(Skills!N3=TRUE,(Skills!L3/10)*(E2453/1000),Skills!L3/10)+Skills!O3</f>
        <v/>
      </c>
      <c r="G2453">
        <f>Skills!G3*IF(Skills!H3&gt;0,Skills!I3/Skills!H3,1)</f>
        <v/>
      </c>
      <c r="H2453">
        <f>1-(1-Skills!J3/100)^Skills!K3</f>
        <v/>
      </c>
      <c r="I2453" t="inlineStr">
        <is>
          <t>1</t>
        </is>
      </c>
      <c r="J2453">
        <f>((Inputs!$B$6*(1+Inputs!$B$7/100))+(((Inputs!$B$12*(1+Inputs!$B$13/100))-(Inputs!$B$12*(1+Inputs!$B$13/100)))+0.25*(Inputs!$B$14-Inputs!$B$14))*(1+Inputs!$B$7/100))*(F2453/100)</f>
        <v/>
      </c>
      <c r="K2453">
        <f>J2453*(1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2453)</f>
        <v/>
      </c>
      <c r="L2453">
        <f>K2453*(MIN(Inputs!$B$22+((C2470=TRUE)*(F2470-Calc!F20)),(Inputs!$B$23+0+(IF(ArtifactsInput!$M$15,CHOOSE(ArtifactsInput!$N$15+1,25,30,35,40,45,50)/100*(Inputs!$B$11-Inputs!$B$11),0))))/100+(Inputs!$B$23+0+(IF(ArtifactsInput!$M$15,CHOOSE(ArtifactsInput!$N$15+1,25,30,35,40,45,50)/100*(Inputs!$B$11-Inputs!$B$11),0)))/100)/2</f>
        <v/>
      </c>
      <c r="M2453">
        <f>L2453*(1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3">
        <f>L2453*(1-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2453*(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3">
        <f>(1-Summary!$B$11)*T2453+Summary!$B$11*V2453</f>
        <v/>
      </c>
      <c r="P2453">
        <f>IF(B2486=0,0,O2453/B2486)</f>
        <v/>
      </c>
      <c r="Q2453" t="n">
        <v>0</v>
      </c>
      <c r="R2453" t="n">
        <v>0</v>
      </c>
      <c r="S2453">
        <f>IFERROR(O2453/N2453,0)</f>
        <v/>
      </c>
      <c r="T2453">
        <f>IF(C2453,(Skills!G3*H2453*N2453*B2480)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2453*(1-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2453*(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2453*(1-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2453*(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3">
        <f>INDEX(FactorTable!$B$2:$Y$301, MATCH(ROUND(MIN(300,MAX(1,U2452)),0), FactorTable!$A$2:$A$301,0), 22)</f>
        <v/>
      </c>
      <c r="V2453">
        <f>IF(C2453,(Skills!G3*H2453*N2453*B2480)*IF(Inputs!$B$38="pvp",1,(1+(Inputs!$B$21+Skills!Q3+(IF(ArtifactsInput!$M$33,CHOOSE(ArtifactsInput!$N$33+1,30,36,42,48,54,60),0))+(IF(AND(ArtifactsInput!$M$35,Inputs!$B$4&lt;&gt;"Chapter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4">
      <c r="A2454">
        <f>Skills!A4</f>
        <v/>
      </c>
      <c r="B2454">
        <f>Skills!B4</f>
        <v/>
      </c>
      <c r="C2454">
        <f>Inputs!$B$3&gt;=60</f>
        <v/>
      </c>
      <c r="D2454">
        <f>IF(Skills!C4=1,60+Inputs!$B$25+Inputs!$B$29,IF(Skills!C4=2,90+Inputs!$B$26+Inputs!$B$29,IF(Skills!C4=3,120+Inputs!$B$27+Inputs!$B$29,MAX(0,(Inputs!$B$3-100)*3)+Inputs!$B$28+Inputs!$B$29)))</f>
        <v/>
      </c>
      <c r="E2454">
        <f>INDEX(FactorTable!$B$2:$Y$301, MATCH(ROUND(MIN(300,MAX(1,D2454)),0), FactorTable!$A$2:$A$301,0), Skills!M4+1)</f>
        <v/>
      </c>
      <c r="F2454">
        <f>IF(Skills!N4=TRUE,(Skills!L4/10)*(E2454/1000),Skills!L4/10)+Skills!O4</f>
        <v/>
      </c>
      <c r="G2454">
        <f>Skills!G4*IF(Skills!H4&gt;0,Skills!I4/Skills!H4,1)</f>
        <v/>
      </c>
      <c r="H2454">
        <f>1-(1-Skills!J4/100)^Skills!K4</f>
        <v/>
      </c>
      <c r="I2454" t="inlineStr">
        <is>
          <t>1</t>
        </is>
      </c>
      <c r="J2454">
        <f>((Inputs!$B$6*(1+Inputs!$B$7/100))+(((Inputs!$B$12*(1+Inputs!$B$13/100))-(Inputs!$B$12*(1+Inputs!$B$13/100)))+0.25*(Inputs!$B$14-Inputs!$B$14))*(1+Inputs!$B$7/100))*(F2454/100)</f>
        <v/>
      </c>
      <c r="K2454">
        <f>J2454*(1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2462=TRUE,F2462,0)/100)*(1+(IF(Skills!A4="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2454)</f>
        <v/>
      </c>
      <c r="L2454">
        <f>K2454*(MIN(Inputs!$B$22+((C2470=TRUE)*(F2470-Calc!F20)),(Inputs!$B$23+0+(IF(ArtifactsInput!$M$15,CHOOSE(ArtifactsInput!$N$15+1,25,30,35,40,45,50)/100*(Inputs!$B$11-Inputs!$B$11),0))))/100+(Inputs!$B$23+0+(IF(ArtifactsInput!$M$15,CHOOSE(ArtifactsInput!$N$15+1,25,30,35,40,45,50)/100*(Inputs!$B$11-Inputs!$B$11),0)))/100)/2</f>
        <v/>
      </c>
      <c r="M2454">
        <f>L2454*(1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4">
        <f>L2454*(1-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2454*(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4">
        <f>(1-Summary!$B$11)*T2454+Summary!$B$11*V2454</f>
        <v/>
      </c>
      <c r="P2454">
        <f>IF(B2486=0,0,O2454/B2486)</f>
        <v/>
      </c>
      <c r="Q2454" t="n">
        <v>0</v>
      </c>
      <c r="R2454" t="n">
        <v>0</v>
      </c>
      <c r="S2454">
        <f>IFERROR(O2454/N2454,0)</f>
        <v/>
      </c>
      <c r="T2454">
        <f>IF(C2454,(Skills!G4*H2454*N2454*B2480)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2454*(1-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2454*(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2454*(1-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2454*(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4">
        <f>290*U2453/1000</f>
        <v/>
      </c>
      <c r="V2454">
        <f>IF(C2454,(Skills!G4*H2454*N2454*B2480)*IF(Inputs!$B$38="pvp",1,(1+(Inputs!$B$21+Skills!Q4+(IF(ArtifactsInput!$M$33,CHOOSE(ArtifactsInput!$N$33+1,30,36,42,48,54,60),0))+(IF(AND(ArtifactsInput!$M$35,Inputs!$B$4&lt;&gt;"Chapter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5">
      <c r="A2455">
        <f>Skills!A5</f>
        <v/>
      </c>
      <c r="B2455">
        <f>Skills!B5</f>
        <v/>
      </c>
      <c r="C2455">
        <f>Inputs!$B$3&gt;=60</f>
        <v/>
      </c>
      <c r="D2455">
        <f>IF(Skills!C5=1,60+Inputs!$B$25+Inputs!$B$29,IF(Skills!C5=2,90+Inputs!$B$26+Inputs!$B$29,IF(Skills!C5=3,120+Inputs!$B$27+Inputs!$B$29,MAX(0,(Inputs!$B$3-100)*3)+Inputs!$B$28+Inputs!$B$29)))</f>
        <v/>
      </c>
      <c r="E2455">
        <f>INDEX(FactorTable!$B$2:$Y$301, MATCH(ROUND(MIN(300,MAX(1,D2455)),0), FactorTable!$A$2:$A$301,0), Skills!M5+1)</f>
        <v/>
      </c>
      <c r="F2455">
        <f>IF(Skills!N5=TRUE,(Skills!L5/10)*(E2455/1000),Skills!L5/10)+Skills!O5</f>
        <v/>
      </c>
      <c r="G2455">
        <f>Skills!G5*IF(Skills!H5&gt;0,Skills!I5/Skills!H5,1)</f>
        <v/>
      </c>
      <c r="H2455">
        <f>1-(1-Skills!J5/100)^Skills!K5</f>
        <v/>
      </c>
      <c r="I2455" t="inlineStr">
        <is>
          <t>1</t>
        </is>
      </c>
      <c r="J2455" t="inlineStr"/>
      <c r="K2455" t="inlineStr"/>
      <c r="L2455" t="inlineStr"/>
      <c r="M2455" t="inlineStr"/>
      <c r="N2455" t="inlineStr"/>
      <c r="O2455">
        <f>(1-Summary!$B$11)*T2455+Summary!$B$11*V2455</f>
        <v/>
      </c>
      <c r="P2455">
        <f>IF(B2486=0,0,O2455/B2486)</f>
        <v/>
      </c>
      <c r="Q2455" t="n">
        <v>0</v>
      </c>
      <c r="R2455" t="n">
        <v>0</v>
      </c>
      <c r="S2455">
        <f>IFERROR(O2455/N2455,0)</f>
        <v/>
      </c>
      <c r="T2455" t="n">
        <v>0</v>
      </c>
      <c r="V2455" t="n">
        <v>0</v>
      </c>
    </row>
    <row r="2456">
      <c r="A2456">
        <f>Skills!A6</f>
        <v/>
      </c>
      <c r="B2456">
        <f>Skills!B6</f>
        <v/>
      </c>
      <c r="C2456">
        <f>Inputs!$B$3&gt;=63</f>
        <v/>
      </c>
      <c r="D2456">
        <f>IF(Skills!C6=1,60+Inputs!$B$25+Inputs!$B$29,IF(Skills!C6=2,90+Inputs!$B$26+Inputs!$B$29,IF(Skills!C6=3,120+Inputs!$B$27+Inputs!$B$29,MAX(0,(Inputs!$B$3-100)*3)+Inputs!$B$28+Inputs!$B$29)))</f>
        <v/>
      </c>
      <c r="E2456">
        <f>INDEX(FactorTable!$B$2:$Y$301, MATCH(ROUND(MIN(300,MAX(1,D2456)),0), FactorTable!$A$2:$A$301,0), Skills!M6+1)</f>
        <v/>
      </c>
      <c r="F2456">
        <f>IF(Skills!N6=TRUE,(Skills!L6/10)*(E2456/1000),Skills!L6/10)+Skills!O6</f>
        <v/>
      </c>
      <c r="G2456">
        <f>Skills!G6*IF(Skills!H6&gt;0,Skills!I6/Skills!H6,1)</f>
        <v/>
      </c>
      <c r="H2456">
        <f>1-(1-Skills!J6/100)^Skills!K6</f>
        <v/>
      </c>
      <c r="I2456" t="inlineStr">
        <is>
          <t>1</t>
        </is>
      </c>
      <c r="J2456">
        <f>((Inputs!$B$6*(1+Inputs!$B$7/100))+(((Inputs!$B$12*(1+Inputs!$B$13/100))-(Inputs!$B$12*(1+Inputs!$B$13/100)))+0.25*(Inputs!$B$14-Inputs!$B$14))*(1+Inputs!$B$7/100))*(F2456/100)</f>
        <v/>
      </c>
      <c r="K2456">
        <f>J2456*(1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2462=TRUE,F2462,0)/100)*(1+(IF(Skills!A6="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2456)</f>
        <v/>
      </c>
      <c r="L2456">
        <f>K2456*(MIN(Inputs!$B$22+((C2470=TRUE)*(F2470-Calc!F20)),(Inputs!$B$23+0+(IF(ArtifactsInput!$M$15,CHOOSE(ArtifactsInput!$N$15+1,25,30,35,40,45,50)/100*(Inputs!$B$11-Inputs!$B$11),0))))/100+(Inputs!$B$23+0+(IF(ArtifactsInput!$M$15,CHOOSE(ArtifactsInput!$N$15+1,25,30,35,40,45,50)/100*(Inputs!$B$11-Inputs!$B$11),0)))/100)/2</f>
        <v/>
      </c>
      <c r="M2456">
        <f>L2456*(1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6">
        <f>L2456*(1-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2456*(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6">
        <f>(1-Summary!$B$11)*T2456+Summary!$B$11*V2456</f>
        <v/>
      </c>
      <c r="P2456">
        <f>IF(B2486=0,0,O2456/B2486)</f>
        <v/>
      </c>
      <c r="Q2456">
        <f>IFERROR(1/(IF(Inputs!$B$38="pvp",15,MAX(0.1,Skills!D6-IF(Skills!E6=TRUE,Inputs!$B$32,0)))*(1-IF(AND(ArtifactsInput!$M$27,Inputs!$B$4="Chapter Hunt"),CHOOSE(ArtifactsInput!$N$27+1,20,24,28,32,36,40),0)/100)),0)</f>
        <v/>
      </c>
      <c r="R2456">
        <f>IF(AND(Inputs!$B$38&lt;&gt;"pvp",Inputs!$B$43&gt;0),IF(MAX(0,Inputs!$B$43-B2483)&lt;=0,0,(INT(MAX(0,Inputs!$B$43-B2483)/(IF(Inputs!$B$38="pvp",15,MAX(0.1,Skills!D6-IF(Skills!E6=TRUE,Inputs!$B$32,0)))*(1-IF(AND(ArtifactsInput!$M$27,Inputs!$B$4="Chapter Hunt"),CHOOSE(ArtifactsInput!$N$27+1,20,24,28,32,36,40),0)/100)))+1)),0)</f>
        <v/>
      </c>
      <c r="S2456">
        <f>IFERROR(O2456/N2456,0)</f>
        <v/>
      </c>
      <c r="T2456">
        <f>IF(C2456,(H2456*N2456*IF(AND(Inputs!$B$38&lt;&gt;"pvp",Inputs!$B$43&gt;0),((Skills!G6*((R2456-1)*IF(Skills!H6&gt;0,Skills!I6/Skills!H6,1)+IF(Skills!H6&gt;0,MIN(Skills!I6,MAX(0,MAX(0,Inputs!$B$43-B2483)-((R2456-1)*(IF(Inputs!$B$38="pvp",15,MAX(0.1,Skills!D6-IF(Skills!E6=TRUE,Inputs!$B$32,0)))*(1-IF(AND(ArtifactsInput!$M$27,Inputs!$B$4="Chapter Hunt"),CHOOSE(ArtifactsInput!$N$27+1,20,24,28,32,36,40),0)/100)))))/Skills!H6,1)))/Inputs!$B$43),G2456*Q2456)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2456*(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2456*(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6">
        <f>IF(C2456,(H2456*N2456*IF(AND(Inputs!$B$38&lt;&gt;"pvp",Inputs!$B$43&gt;0),((Skills!G6*((R2456-1)*IF(Skills!H6&gt;0,Skills!I6/Skills!H6,1)+IF(Skills!H6&gt;0,MIN(Skills!I6,MAX(0,MAX(0,Inputs!$B$43-B2483)-((R2456-1)*(IF(Inputs!$B$38="pvp",15,MAX(0.1,Skills!D6-IF(Skills!E6=TRUE,Inputs!$B$32,0)))*(1-IF(AND(ArtifactsInput!$M$27,Inputs!$B$4="Chapter Hunt"),CHOOSE(ArtifactsInput!$N$27+1,20,24,28,32,36,40),0)/100)))))/Skills!H6,1)))/Inputs!$B$43),G2456*Q2456))*IF(Inputs!$B$38="pvp",1,(1+(Inputs!$B$21+Skills!Q6+(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7">
      <c r="A2457">
        <f>Skills!A7</f>
        <v/>
      </c>
      <c r="B2457">
        <f>Skills!B7</f>
        <v/>
      </c>
      <c r="C2457">
        <f>Inputs!$B$3&gt;=100</f>
        <v/>
      </c>
      <c r="D2457">
        <f>IF(Skills!C7=1,60+Inputs!$B$25+Inputs!$B$29,IF(Skills!C7=2,90+Inputs!$B$26+Inputs!$B$29,IF(Skills!C7=3,120+Inputs!$B$27+Inputs!$B$29,MAX(0,(Inputs!$B$3-100)*3)+Inputs!$B$28+Inputs!$B$29)))</f>
        <v/>
      </c>
      <c r="E2457">
        <f>INDEX(FactorTable!$B$2:$Y$301, MATCH(ROUND(MIN(300,MAX(1,D2457)),0), FactorTable!$A$2:$A$301,0), Skills!M7+1)</f>
        <v/>
      </c>
      <c r="F2457">
        <f>IF(Skills!N7=TRUE,(Skills!L7/10)*(E2457/1000),Skills!L7/10)+Skills!O7</f>
        <v/>
      </c>
      <c r="G2457">
        <f>Skills!G7*IF(Skills!H7&gt;0,Skills!I7/Skills!H7,1)</f>
        <v/>
      </c>
      <c r="H2457">
        <f>1-(1-Skills!J7/100)^Skills!K7</f>
        <v/>
      </c>
      <c r="I2457" t="inlineStr">
        <is>
          <t>1</t>
        </is>
      </c>
      <c r="J2457">
        <f>((Inputs!$B$6*(1+Inputs!$B$7/100))+(((Inputs!$B$12*(1+Inputs!$B$13/100))-(Inputs!$B$12*(1+Inputs!$B$13/100)))+0.25*(Inputs!$B$14-Inputs!$B$14))*(1+Inputs!$B$7/100))*(F2457/100)</f>
        <v/>
      </c>
      <c r="K2457">
        <f>J2457*(1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2457)</f>
        <v/>
      </c>
      <c r="L2457">
        <f>K2457*(MIN(Inputs!$B$22+((C2470=TRUE)*(F2470-Calc!F20)),(Inputs!$B$23+0+(IF(ArtifactsInput!$M$15,CHOOSE(ArtifactsInput!$N$15+1,25,30,35,40,45,50)/100*(Inputs!$B$11-Inputs!$B$11),0))))/100+(Inputs!$B$23+0+(IF(ArtifactsInput!$M$15,CHOOSE(ArtifactsInput!$N$15+1,25,30,35,40,45,50)/100*(Inputs!$B$11-Inputs!$B$11),0)))/100)/2</f>
        <v/>
      </c>
      <c r="M2457">
        <f>L2457*(1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7">
        <f>L2457*(1-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2457*(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7">
        <f>(1-Summary!$B$11)*T2457+Summary!$B$11*V2457</f>
        <v/>
      </c>
      <c r="P2457">
        <f>IF(B2486=0,0,O2457/B2486)</f>
        <v/>
      </c>
      <c r="Q2457">
        <f>IFERROR(1/(IF(Inputs!$B$38="pvp",15,MAX(0.1,Skills!D7-IF(Skills!E7=TRUE,Inputs!$B$32,0)))*(1-IF(AND(ArtifactsInput!$M$27,Inputs!$B$4="Chapter Hunt"),CHOOSE(ArtifactsInput!$N$27+1,20,24,28,32,36,40),0)/100)),0)</f>
        <v/>
      </c>
      <c r="R2457">
        <f>IF(AND(Inputs!$B$38&lt;&gt;"pvp",Inputs!$B$43&gt;0),IF(MAX(0,Inputs!$B$43-B2483)&lt;=0,0,(INT(MAX(0,Inputs!$B$43-B2483)/(IF(Inputs!$B$38="pvp",15,MAX(0.1,Skills!D7-IF(Skills!E7=TRUE,Inputs!$B$32,0)))*(1-IF(AND(ArtifactsInput!$M$27,Inputs!$B$4="Chapter Hunt"),CHOOSE(ArtifactsInput!$N$27+1,20,24,28,32,36,40),0)/100)))+1)),0)</f>
        <v/>
      </c>
      <c r="S2457">
        <f>IFERROR(O2457/N2457,0)</f>
        <v/>
      </c>
      <c r="T2457">
        <f>IF(C2457,(H2457*N2457*IF(AND(Inputs!$B$38&lt;&gt;"pvp",Inputs!$B$43&gt;0),((Skills!G7*((R2457-1)*IF(Skills!H7&gt;0,Skills!I7/Skills!H7,1)+IF(Skills!H7&gt;0,MIN(Skills!I7,MAX(0,MAX(0,Inputs!$B$43-B2483)-((R2457-1)*(IF(Inputs!$B$38="pvp",15,MAX(0.1,Skills!D7-IF(Skills!E7=TRUE,Inputs!$B$32,0)))*(1-IF(AND(ArtifactsInput!$M$27,Inputs!$B$4="Chapter Hunt"),CHOOSE(ArtifactsInput!$N$27+1,20,24,28,32,36,40),0)/100)))))/Skills!H7,1)))/Inputs!$B$43),G2457*Q2457)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2457*(1-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2457*(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2457*(1-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2457*(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7">
        <f>IF(C2457,(H2457*N2457*IF(AND(Inputs!$B$38&lt;&gt;"pvp",Inputs!$B$43&gt;0),((Skills!G7*((R2457-1)*IF(Skills!H7&gt;0,Skills!I7/Skills!H7,1)+IF(Skills!H7&gt;0,MIN(Skills!I7,MAX(0,MAX(0,Inputs!$B$43-B2483)-((R2457-1)*(IF(Inputs!$B$38="pvp",15,MAX(0.1,Skills!D7-IF(Skills!E7=TRUE,Inputs!$B$32,0)))*(1-IF(AND(ArtifactsInput!$M$27,Inputs!$B$4="Chapter Hunt"),CHOOSE(ArtifactsInput!$N$27+1,20,24,28,32,36,40),0)/100)))))/Skills!H7,1)))/Inputs!$B$43),G2457*Q2457))*IF(Inputs!$B$38="pvp",1,(1+(Inputs!$B$21+Skills!Q7+(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8">
      <c r="A2458">
        <f>Skills!A8</f>
        <v/>
      </c>
      <c r="B2458">
        <f>Skills!B8</f>
        <v/>
      </c>
      <c r="C2458">
        <f>Inputs!$B$3&gt;=110</f>
        <v/>
      </c>
      <c r="D2458">
        <f>IF(Skills!C8=1,60+Inputs!$B$25+Inputs!$B$29,IF(Skills!C8=2,90+Inputs!$B$26+Inputs!$B$29,IF(Skills!C8=3,120+Inputs!$B$27+Inputs!$B$29,MAX(0,(Inputs!$B$3-100)*3)+Inputs!$B$28+Inputs!$B$29)))</f>
        <v/>
      </c>
      <c r="E2458">
        <f>INDEX(FactorTable!$B$2:$Y$301, MATCH(ROUND(MIN(300,MAX(1,D2458)),0), FactorTable!$A$2:$A$301,0), Skills!M8+1)</f>
        <v/>
      </c>
      <c r="F2458">
        <f>IF(Skills!N8=TRUE,(Skills!L8/10)*(E2458/1000),Skills!L8/10)+Skills!O8</f>
        <v/>
      </c>
      <c r="G2458">
        <f>Skills!G8*IF(Skills!H8&gt;0,Skills!I8/Skills!H8,1)</f>
        <v/>
      </c>
      <c r="H2458">
        <f>1-(1-Skills!J8/100)^Skills!K8</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2470=TRUE)*(F2470-Calc!F20)),(Inputs!$B$23+0+(IF(ArtifactsInput!$M$15,CHOOSE(ArtifactsInput!$N$15+1,25,30,35,40,45,50)/100*(Inputs!$B$11-Inputs!$B$11),0))))/100+(Inputs!$B$23+0+(IF(ArtifactsInput!$M$15,CHOOSE(ArtifactsInput!$N$15+1,25,30,35,40,45,50)/100*(Inputs!$B$11-Inputs!$B$11),0)))/100)/2</f>
        <v/>
      </c>
      <c r="M2458">
        <f>L2458*(1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IF(B2486=0,0,O2458/B2486)</f>
        <v/>
      </c>
      <c r="Q2458">
        <f>IFERROR(1/(IF(Inputs!$B$38="pvp",15,MAX(0.1,Skills!D8-IF(Skills!E8=TRUE,Inputs!$B$32,0)))*(1-IF(AND(ArtifactsInput!$M$27,Inputs!$B$4="Chapter Hunt"),CHOOSE(ArtifactsInput!$N$27+1,20,24,28,32,36,40),0)/100)),0)</f>
        <v/>
      </c>
      <c r="R2458">
        <f>IF(AND(Inputs!$B$38&lt;&gt;"pvp",Inputs!$B$43&gt;0),IF(MAX(0,Inputs!$B$43-B2483)&lt;=0,0,(INT(MAX(0,Inputs!$B$43-B2483)/(IF(Inputs!$B$38="pvp",15,MAX(0.1,Skills!D8-IF(Skills!E8=TRUE,Inputs!$B$32,0)))*(1-IF(AND(ArtifactsInput!$M$27,Inputs!$B$4="Chapter Hunt"),CHOOSE(ArtifactsInput!$N$27+1,20,24,28,32,36,40),0)/100)))+1)),0)</f>
        <v/>
      </c>
      <c r="S2458">
        <f>IFERROR(O2458/N2458,0)</f>
        <v/>
      </c>
      <c r="T2458">
        <f>IF(C2458,(H2458*N2458*IF(AND(Inputs!$B$38&lt;&gt;"pvp",Inputs!$B$43&gt;0),((Skills!G8*((R2458-1)*IF(Skills!H8&gt;0,Skills!I8/Skills!H8,1)+IF(Skills!H8&gt;0,MIN(Skills!I8,MAX(0,MAX(0,Inputs!$B$43-B2483)-((R2458-1)*(IF(Inputs!$B$38="pvp",15,MAX(0.1,Skills!D8-IF(Skills!E8=TRUE,Inputs!$B$32,0)))*(1-IF(AND(ArtifactsInput!$M$27,Inputs!$B$4="Chapter Hunt"),CHOOSE(ArtifactsInput!$N$27+1,20,24,28,32,36,40),0)/100)))))/Skills!H8,1)))/Inputs!$B$43),G2458*Q2458)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8">
        <f>IF(C2458,(H2458*N2458*IF(AND(Inputs!$B$38&lt;&gt;"pvp",Inputs!$B$43&gt;0),((Skills!G8*((R2458-1)*IF(Skills!H8&gt;0,Skills!I8/Skills!H8,1)+IF(Skills!H8&gt;0,MIN(Skills!I8,MAX(0,MAX(0,Inputs!$B$43-B2483)-((R2458-1)*(IF(Inputs!$B$38="pvp",15,MAX(0.1,Skills!D8-IF(Skills!E8=TRUE,Inputs!$B$32,0)))*(1-IF(AND(ArtifactsInput!$M$27,Inputs!$B$4="Chapter Hunt"),CHOOSE(ArtifactsInput!$N$27+1,20,24,28,32,36,40),0)/100)))))/Skills!H8,1)))/Inputs!$B$43),G2458*Q2458))*IF(Inputs!$B$38="pvp",1,(1+(Inputs!$B$21+Skills!Q8+(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Skills!A9</f>
        <v/>
      </c>
      <c r="B2459">
        <f>Skills!B9</f>
        <v/>
      </c>
      <c r="C2459">
        <f>Inputs!$B$3&gt;=110</f>
        <v/>
      </c>
      <c r="D2459">
        <f>IF(Skills!C9=1,60+Inputs!$B$25+Inputs!$B$29,IF(Skills!C9=2,90+Inputs!$B$26+Inputs!$B$29,IF(Skills!C9=3,120+Inputs!$B$27+Inputs!$B$29,MAX(0,(Inputs!$B$3-100)*3)+Inputs!$B$28+Inputs!$B$29)))</f>
        <v/>
      </c>
      <c r="E2459">
        <f>INDEX(FactorTable!$B$2:$Y$301, MATCH(ROUND(MIN(300,MAX(1,D2459)),0), FactorTable!$A$2:$A$301,0), Skills!M9+1)</f>
        <v/>
      </c>
      <c r="F2459">
        <f>IF(Skills!N9=TRUE,(Skills!L9/10)*(E2459/1000),Skills!L9/10)+Skills!O9</f>
        <v/>
      </c>
      <c r="G2459">
        <f>Skills!G9*IF(Skills!H9&gt;0,Skills!I9/Skills!H9,1)</f>
        <v/>
      </c>
      <c r="H2459">
        <f>1-(1-Skills!J9/100)^Skills!K9</f>
        <v/>
      </c>
      <c r="I2459" t="inlineStr">
        <is>
          <t>1</t>
        </is>
      </c>
      <c r="J2459">
        <f>((Inputs!$B$6*(1+Inputs!$B$7/100))+(((Inputs!$B$12*(1+Inputs!$B$13/100))-(Inputs!$B$12*(1+Inputs!$B$13/100)))+0.25*(Inputs!$B$14-Inputs!$B$14))*(1+Inputs!$B$7/100))*(F2459/100)</f>
        <v/>
      </c>
      <c r="K2459">
        <f>J2459*(1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C2470=TRUE)*(F2470-Calc!F20)),(Inputs!$B$23+0+(IF(ArtifactsInput!$M$15,CHOOSE(ArtifactsInput!$N$15+1,25,30,35,40,45,50)/100*(Inputs!$B$11-Inputs!$B$11),0))))/100+(Inputs!$B$23+0+(IF(ArtifactsInput!$M$15,CHOOSE(ArtifactsInput!$N$15+1,25,30,35,40,45,50)/100*(Inputs!$B$11-Inputs!$B$11),0)))/100)/2</f>
        <v/>
      </c>
      <c r="M2459">
        <f>L2459*(1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(1-Summary!$B$11)*T2459+Summary!$B$11*V2459</f>
        <v/>
      </c>
      <c r="P2459">
        <f>IF(B2486=0,0,O2459/B2486)</f>
        <v/>
      </c>
      <c r="Q2459">
        <f>IFERROR(1/(IF(Inputs!$B$38="pvp",15,MAX(0.1,Skills!D9-IF(Skills!E9=TRUE,Inputs!$B$32,0)))*(1-IF(AND(ArtifactsInput!$M$27,Inputs!$B$4="Chapter Hunt"),CHOOSE(ArtifactsInput!$N$27+1,20,24,28,32,36,40),0)/100)),0)</f>
        <v/>
      </c>
      <c r="R2459">
        <f>IF(AND(Inputs!$B$38&lt;&gt;"pvp",Inputs!$B$43&gt;0),IF(MAX(0,Inputs!$B$43-B2483)&lt;=0,0,(INT(MAX(0,Inputs!$B$43-B2483)/(IF(Inputs!$B$38="pvp",15,MAX(0.1,Skills!D9-IF(Skills!E9=TRUE,Inputs!$B$32,0)))*(1-IF(AND(ArtifactsInput!$M$27,Inputs!$B$4="Chapter Hunt"),CHOOSE(ArtifactsInput!$N$27+1,20,24,28,32,36,40),0)/100)))+1)),0)</f>
        <v/>
      </c>
      <c r="S2459">
        <f>IFERROR(O2459/N2459,0)</f>
        <v/>
      </c>
      <c r="T2459">
        <f>IF(C2459,(H2459*N2459*IF(AND(Inputs!$B$38&lt;&gt;"pvp",Inputs!$B$43&gt;0),((Skills!G9*((R2459-1)*IF(Skills!H9&gt;0,Skills!I9/Skills!H9,1)+IF(Skills!H9&gt;0,MIN(Skills!I9,MAX(0,MAX(0,Inputs!$B$43-B2483)-((R2459-1)*(IF(Inputs!$B$38="pvp",15,MAX(0.1,Skills!D9-IF(Skills!E9=TRUE,Inputs!$B$32,0)))*(1-IF(AND(ArtifactsInput!$M$27,Inputs!$B$4="Chapter Hunt"),CHOOSE(ArtifactsInput!$N$27+1,20,24,28,32,36,40),0)/100)))))/Skills!H9,1)))/Inputs!$B$43),G2459*Q2459)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2459*(1-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59">
        <f>IF(C2459,(H2459*N2459*IF(AND(Inputs!$B$38&lt;&gt;"pvp",Inputs!$B$43&gt;0),((Skills!G9*((R2459-1)*IF(Skills!H9&gt;0,Skills!I9/Skills!H9,1)+IF(Skills!H9&gt;0,MIN(Skills!I9,MAX(0,MAX(0,Inputs!$B$43-B2483)-((R2459-1)*(IF(Inputs!$B$38="pvp",15,MAX(0.1,Skills!D9-IF(Skills!E9=TRUE,Inputs!$B$32,0)))*(1-IF(AND(ArtifactsInput!$M$27,Inputs!$B$4="Chapter Hunt"),CHOOSE(ArtifactsInput!$N$27+1,20,24,28,32,36,40),0)/100)))))/Skills!H9,1)))/Inputs!$B$43),G2459*Q2459))*IF(Inputs!$B$38="pvp",1,(1+(Inputs!$B$21+Skills!Q9+(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Skills!A10</f>
        <v/>
      </c>
      <c r="B2460">
        <f>Skills!B10</f>
        <v/>
      </c>
      <c r="C2460">
        <f>Inputs!$B$3&gt;=103</f>
        <v/>
      </c>
      <c r="D2460">
        <f>IF(Skills!C10=1,60+Inputs!$B$25+Inputs!$B$29,IF(Skills!C10=2,90+Inputs!$B$26+Inputs!$B$29,IF(Skills!C10=3,120+Inputs!$B$27+Inputs!$B$29,MAX(0,(Inputs!$B$3-100)*3)+Inputs!$B$28+Inputs!$B$29)))</f>
        <v/>
      </c>
      <c r="E2460">
        <f>INDEX(FactorTable!$B$2:$Y$301, MATCH(ROUND(MIN(300,MAX(1,D2460)),0), FactorTable!$A$2:$A$301,0), Skills!M10+1)</f>
        <v/>
      </c>
      <c r="F2460">
        <f>IF(Skills!N10=TRUE,(Skills!L10/10)*(E2460/1000),Skills!L10/10)+Skills!O10</f>
        <v/>
      </c>
      <c r="G2460">
        <f>Skills!G10*IF(Skills!H10&gt;0,Skills!I10/Skills!H10,1)</f>
        <v/>
      </c>
      <c r="H2460">
        <f>1-(1-Skills!J10/100)^Skills!K10</f>
        <v/>
      </c>
      <c r="I2460" t="inlineStr">
        <is>
          <t>1</t>
        </is>
      </c>
      <c r="J2460">
        <f>((Inputs!$B$6*(1+Inputs!$B$7/100))+(((Inputs!$B$12*(1+Inputs!$B$13/100))-(Inputs!$B$12*(1+Inputs!$B$13/100)))+0.25*(Inputs!$B$14-Inputs!$B$14))*(1+Inputs!$B$7/100))*(F2460/100)</f>
        <v/>
      </c>
      <c r="K2460">
        <f>J2460*(1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C2470=TRUE)*(F2470-Calc!F20)),(Inputs!$B$23+0+(IF(ArtifactsInput!$M$15,CHOOSE(ArtifactsInput!$N$15+1,25,30,35,40,45,50)/100*(Inputs!$B$11-Inputs!$B$11),0))))/100+(Inputs!$B$23+0+(IF(ArtifactsInput!$M$15,CHOOSE(ArtifactsInput!$N$15+1,25,30,35,40,45,50)/100*(Inputs!$B$11-Inputs!$B$11),0)))/100)/2</f>
        <v/>
      </c>
      <c r="M2460">
        <f>L2460*(1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(1-Summary!$B$11)*T2460+Summary!$B$11*V2460</f>
        <v/>
      </c>
      <c r="P2460">
        <f>IF(B2486=0,0,O2460/B2486)</f>
        <v/>
      </c>
      <c r="Q2460">
        <f>IFERROR(1/(IF(Inputs!$B$38="pvp",15,MAX(0.1,Skills!D10-IF(Skills!E10=TRUE,Inputs!$B$32,0)))*(1-IF(AND(ArtifactsInput!$M$27,Inputs!$B$4="Chapter Hunt"),CHOOSE(ArtifactsInput!$N$27+1,20,24,28,32,36,40),0)/100)),0)</f>
        <v/>
      </c>
      <c r="R2460">
        <f>IF(AND(Inputs!$B$38&lt;&gt;"pvp",Inputs!$B$43&gt;0),IF(MAX(0,Inputs!$B$43-B2483)&lt;=0,0,(INT(MAX(0,Inputs!$B$43-B2483)/(IF(Inputs!$B$38="pvp",15,MAX(0.1,Skills!D10-IF(Skills!E10=TRUE,Inputs!$B$32,0)))*(1-IF(AND(ArtifactsInput!$M$27,Inputs!$B$4="Chapter Hunt"),CHOOSE(ArtifactsInput!$N$27+1,20,24,28,32,36,40),0)/100)))+1)),0)</f>
        <v/>
      </c>
      <c r="S2460">
        <f>IFERROR(O2460/N2460,0)</f>
        <v/>
      </c>
      <c r="T2460">
        <f>IF(C2460,(H2460*N2460*IF(AND(Inputs!$B$38&lt;&gt;"pvp",Inputs!$B$43&gt;0),((Skills!G10*((R2460-1)*IF(Skills!H10&gt;0,Skills!I10/Skills!H10,1)+IF(Skills!H10&gt;0,MIN(Skills!I10,MAX(0,MAX(0,Inputs!$B$43-B2483)-((R2460-1)*(IF(Inputs!$B$38="pvp",15,MAX(0.1,Skills!D10-IF(Skills!E10=TRUE,Inputs!$B$32,0)))*(1-IF(AND(ArtifactsInput!$M$27,Inputs!$B$4="Chapter Hunt"),CHOOSE(ArtifactsInput!$N$27+1,20,24,28,32,36,40),0)/100)))))/Skills!H10,1)))/Inputs!$B$43),G2460*Q2460)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2460*(1-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0">
        <f>IF(C2460,(H2460*N2460*IF(AND(Inputs!$B$38&lt;&gt;"pvp",Inputs!$B$43&gt;0),((Skills!G10*((R2460-1)*IF(Skills!H10&gt;0,Skills!I10/Skills!H10,1)+IF(Skills!H10&gt;0,MIN(Skills!I10,MAX(0,MAX(0,Inputs!$B$43-B2483)-((R2460-1)*(IF(Inputs!$B$38="pvp",15,MAX(0.1,Skills!D10-IF(Skills!E10=TRUE,Inputs!$B$32,0)))*(1-IF(AND(ArtifactsInput!$M$27,Inputs!$B$4="Chapter Hunt"),CHOOSE(ArtifactsInput!$N$27+1,20,24,28,32,36,40),0)/100)))))/Skills!H10,1)))/Inputs!$B$43),G2460*Q2460))*IF(Inputs!$B$38="pvp",1,(1+(Inputs!$B$21+Skills!Q10+(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Skills!A11</f>
        <v/>
      </c>
      <c r="B2461">
        <f>Skills!B11</f>
        <v/>
      </c>
      <c r="C2461">
        <f>Inputs!$B$3&gt;=113</f>
        <v/>
      </c>
      <c r="D2461">
        <f>IF(Skills!C11=1,60+Inputs!$B$25+Inputs!$B$29,IF(Skills!C11=2,90+Inputs!$B$26+Inputs!$B$29,IF(Skills!C11=3,120+Inputs!$B$27+Inputs!$B$29,MAX(0,(Inputs!$B$3-100)*3)+Inputs!$B$28+Inputs!$B$29)))</f>
        <v/>
      </c>
      <c r="E2461">
        <f>INDEX(FactorTable!$B$2:$Y$301, MATCH(ROUND(MIN(300,MAX(1,D2461)),0), FactorTable!$A$2:$A$301,0), Skills!M11+1)</f>
        <v/>
      </c>
      <c r="F2461">
        <f>IF(Skills!N11=TRUE,(Skills!L11/10)*(E2461/1000),Skills!L11/10)+Skills!O11</f>
        <v/>
      </c>
      <c r="G2461">
        <f>Skills!G11*IF(Skills!H11&gt;0,Skills!I11/Skills!H11,1)</f>
        <v/>
      </c>
      <c r="H2461">
        <f>1-(1-Skills!J11/100)^Skills!K11</f>
        <v/>
      </c>
      <c r="I2461" t="inlineStr">
        <is>
          <t>1</t>
        </is>
      </c>
      <c r="J2461">
        <f>((Inputs!$B$6*(1+Inputs!$B$7/100))+(((Inputs!$B$12*(1+Inputs!$B$13/100))-(Inputs!$B$12*(1+Inputs!$B$13/100)))+0.25*(Inputs!$B$14-Inputs!$B$14))*(1+Inputs!$B$7/100))*(F2461/100)</f>
        <v/>
      </c>
      <c r="K2461">
        <f>J2461*(1+((Inputs!$B$12*(1+Inputs!$B$13/100))*0.01+Inputs!$B$14*0.0025)/100)*(1+Inputs!$B$15/100)*(1+Inputs!$B$16/100)*(5000/(6000+Inputs!$B$42*(1-(100*(1-(1-(Inputs!$B$19+0)/100)*(1-CHOOSE(ArtifactsInput!$N$40+1,5,6,7,8,9,10)/100)^(ArtifactsInput!$M$40-ArtifactsInput!$M$40)))/100)))*(1+(Inputs!$B$24+((C2472=TRUE)*(F2472-Calc!F22))+B2482)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2471=TRUE)*(F2471-Calc!F21))+(((IF(AND(IF(ArtifactsInput!$M$42,FALSE,TRUE),((Inputs!$B$9+((C2466=TRUE)*(F2466-Calc!F16))+B2476+(ArtifactsInput!$M$24-ArtifactsInput!$M$24)*CHOOSE(ArtifactsInput!$N$24+1,10,12,14,16,18,20)+IF(ArtifactsInput!$M$10,CHOOSE(ArtifactsInput!$N$10+1,15,18,21,24,27,30)*(IF(Inputs!$B$38="pvp",MIN(15,15)/15,IF(AND(Inputs!$B$38&lt;&gt;"pvp",Inputs!$B$43&gt;0),MIN(15,Inputs!$B$43)/(Inputs!$B$43),0))),0)))&gt;=100),MIN(100,((Inputs!$B$9+((C2466=TRUE)*(F2466-Calc!F16))+B2476+(ArtifactsInput!$M$24-ArtifactsInput!$M$24)*CHOOSE(ArtifactsInput!$N$24+1,10,12,14,16,18,20)+IF(ArtifactsInput!$M$10,CHOOSE(ArtifactsInput!$N$10+1,15,18,21,24,27,30)*(IF(Inputs!$B$38="pvp",MIN(15,15)/15,IF(AND(Inputs!$B$38&lt;&gt;"pvp",Inputs!$B$43&gt;0),MIN(15,Inputs!$B$43)/(Inputs!$B$43),0))),0)))-100),0))*CHOOSE(ArtifactsInput!$N$42+1,0.6,0.72,0.84,0.96,1.08,1.2))),Inputs!$B$18+0+(IF(AND(IF(ArtifactsInput!$M$42,FALSE,TRUE),((Inputs!$B$9+((C2466=TRUE)*(F2466-Calc!F16))+B2476+(ArtifactsInput!$M$24-ArtifactsInput!$M$24)*CHOOSE(ArtifactsInput!$N$24+1,10,12,14,16,18,20)+IF(ArtifactsInput!$M$10,CHOOSE(ArtifactsInput!$N$10+1,15,18,21,24,27,30)*(IF(Inputs!$B$38="pvp",MIN(15,15)/15,IF(AND(Inputs!$B$38&lt;&gt;"pvp",Inputs!$B$43&gt;0),MIN(15,Inputs!$B$43)/(Inputs!$B$43),0))),0)))&gt;=100),CHOOSE(ArtifactsInput!$N$42+1,40,48,56,64,72,80),0))))/100)*((1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2461)</f>
        <v/>
      </c>
      <c r="L2461">
        <f>K2461*(MIN(Inputs!$B$22+((C2470=TRUE)*(F2470-Calc!F20)),(Inputs!$B$23+0+(IF(ArtifactsInput!$M$15,CHOOSE(ArtifactsInput!$N$15+1,25,30,35,40,45,50)/100*(Inputs!$B$11-Inputs!$B$11),0))))/100+(Inputs!$B$23+0+(IF(ArtifactsInput!$M$15,CHOOSE(ArtifactsInput!$N$15+1,25,30,35,40,45,50)/100*(Inputs!$B$11-Inputs!$B$11),0)))/100)/2</f>
        <v/>
      </c>
      <c r="M2461">
        <f>L2461*(1+(Inputs!$B$10+0+B2481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1">
        <f>L2461*(1-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2461*(MIN((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1">
        <f>(1-Summary!$B$11)*T2461+Summary!$B$11*V2461</f>
        <v/>
      </c>
      <c r="P2461">
        <f>IF(B2486=0,0,O2461/B2486)</f>
        <v/>
      </c>
      <c r="Q2461">
        <f>IFERROR(1/(IF(Inputs!$B$38="pvp",15,MAX(0.1,Skills!D11-IF(Skills!E11=TRUE,Inputs!$B$32,0)))*(1-IF(AND(ArtifactsInput!$M$27,Inputs!$B$4="Chapter Hunt"),CHOOSE(ArtifactsInput!$N$27+1,20,24,28,32,36,40),0)/100)),0)</f>
        <v/>
      </c>
      <c r="R2461">
        <f>IF(AND(Inputs!$B$38&lt;&gt;"pvp",Inputs!$B$43&gt;0),IF(MAX(0,Inputs!$B$43-B2483)&lt;=0,0,(INT(MAX(0,Inputs!$B$43-B2483)/(IF(Inputs!$B$38="pvp",15,MAX(0.1,Skills!D11-IF(Skills!E11=TRUE,Inputs!$B$32,0)))*(1-IF(AND(ArtifactsInput!$M$27,Inputs!$B$4="Chapter Hunt"),CHOOSE(ArtifactsInput!$N$27+1,20,24,28,32,36,40),0)/100)))+1)),0)</f>
        <v/>
      </c>
      <c r="S2461">
        <f>IFERROR(O2461/N2461,0)</f>
        <v/>
      </c>
      <c r="T2461">
        <f>IF(C2461,(H2461*N2461*IF(AND(Inputs!$B$38&lt;&gt;"pvp",Inputs!$B$43&gt;0),((Skills!G11*((R2461-1)*IF(Skills!H11&gt;0,Skills!I11/Skills!H11,1)+IF(Skills!H11&gt;0,MIN(Skills!I11,MAX(0,MAX(0,Inputs!$B$43-B2483)-((R2461-1)*(IF(Inputs!$B$38="pvp",15,MAX(0.1,Skills!D11-IF(Skills!E11=TRUE,Inputs!$B$32,0)))*(1-IF(AND(ArtifactsInput!$M$27,Inputs!$B$4="Chapter Hunt"),CHOOSE(ArtifactsInput!$N$27+1,20,24,28,32,36,40),0)/100)))))/Skills!H11,1)))/Inputs!$B$43),G2461*Q2461)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2461*(1-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2461*(1-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2461*(MIN(100,(Inputs!$B$9+((C2466=TRUE)*(F2466-Calc!F16))+B2476+(ArtifactsInput!$M$24-ArtifactsInput!$M$24)*CHOOSE(ArtifactsInput!$N$24+1,10,12,14,16,18,20)+(IF(AND(IF(ArtifactsInput!$M$42,FALSE,TRUE),((Inputs!$B$9+((C2466=TRUE)*(F2466-Calc!F16))+B2476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1">
        <f>IF(C2461,(H2461*N2461*IF(AND(Inputs!$B$38&lt;&gt;"pvp",Inputs!$B$43&gt;0),((Skills!G11*((R2461-1)*IF(Skills!H11&gt;0,Skills!I11/Skills!H11,1)+IF(Skills!H11&gt;0,MIN(Skills!I11,MAX(0,MAX(0,Inputs!$B$43-B2483)-((R2461-1)*(IF(Inputs!$B$38="pvp",15,MAX(0.1,Skills!D11-IF(Skills!E11=TRUE,Inputs!$B$32,0)))*(1-IF(AND(ArtifactsInput!$M$27,Inputs!$B$4="Chapter Hunt"),CHOOSE(ArtifactsInput!$N$27+1,20,24,28,32,36,40),0)/100)))))/Skills!H11,1)))/Inputs!$B$43),G2461*Q2461))*IF(Inputs!$B$38="pvp",1,(1+(Inputs!$B$21+Skills!Q11+(IF(ArtifactsInput!$M$33,CHOOSE(ArtifactsInput!$N$33+1,30,36,42,48,54,60),0))+(IF(AND(ArtifactsInput!$M$35,Inputs!$B$4&lt;&gt;"Chapter Hunt"),CHOOSE(ArtifactsInput!$N$35+1,15,18,21,24,27,30)*(1-EXP(-(0.2*B2478)*5)),0)+IF(AND(ArtifactsInput!$M$22,Inputs!$B$4&lt;&gt;"Chapter Hunt"),CHOOSE(ArtifactsInput!$N$22+1,10,12,14,16,18,20)*((0*(((0.15*B2478*5))^0/1)+1*(((0.15*B2478*5))^1/1)+2*(((0.15*B2478*5))^2/2)+3*(((0.15*B2478*5))^3/6)+4*(((0.15*B2478*5))^4/24)+5*(((0.15*B2478*5))^5/120))/((((0.15*B2478*5))^0/1)+(((0.15*B2478*5))^1/1)+(((0.15*B2478*5))^2/2)+(((0.15*B2478*5))^3/6)+(((0.15*B2478*5))^4/24)+(((0.15*B2478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2">
      <c r="A2462">
        <f>Skills!A12</f>
        <v/>
      </c>
      <c r="B2462">
        <f>Skills!B12</f>
        <v/>
      </c>
      <c r="C2462">
        <f>Inputs!$B$3&gt;=100</f>
        <v/>
      </c>
      <c r="D2462">
        <f>IF(Skills!C12=1,60+Inputs!$B$25+Inputs!$B$29,IF(Skills!C12=2,90+Inputs!$B$26+Inputs!$B$29,IF(Skills!C12=3,120+Inputs!$B$27+Inputs!$B$29,MAX(0,(Inputs!$B$3-100)*3)+Inputs!$B$28+Inputs!$B$29)))</f>
        <v/>
      </c>
      <c r="E2462">
        <f>INDEX(FactorTable!$B$2:$Y$301, MATCH(ROUND(MIN(300,MAX(1,D2462)),0), FactorTable!$A$2:$A$301,0), Skills!M12+1)</f>
        <v/>
      </c>
      <c r="F2462">
        <f>IF(Skills!N12=TRUE,(Skills!L12/10)*(E2462/1000),Skills!L12/10)+Skills!O12</f>
        <v/>
      </c>
      <c r="G2462" t="inlineStr"/>
      <c r="H2462" t="inlineStr"/>
      <c r="I2462" t="inlineStr">
        <is>
          <t>1</t>
        </is>
      </c>
      <c r="J2462" t="inlineStr"/>
      <c r="K2462" t="inlineStr"/>
      <c r="L2462" t="inlineStr"/>
      <c r="M2462" t="inlineStr"/>
      <c r="N2462" t="inlineStr"/>
      <c r="O2462" t="inlineStr"/>
      <c r="P2462" t="inlineStr"/>
      <c r="Q2462" t="inlineStr"/>
      <c r="R2462" t="inlineStr"/>
      <c r="S2462" t="inlineStr"/>
      <c r="T2462" t="inlineStr"/>
      <c r="V2462" t="inlineStr"/>
    </row>
    <row r="2463">
      <c r="A2463">
        <f>Skills!A13</f>
        <v/>
      </c>
      <c r="B2463">
        <f>Skills!B13</f>
        <v/>
      </c>
      <c r="C2463">
        <f>Inputs!$B$3&gt;=66</f>
        <v/>
      </c>
      <c r="D2463">
        <f>IF(Skills!C13=1,60+Inputs!$B$25+Inputs!$B$29,IF(Skills!C13=2,90+Inputs!$B$26+Inputs!$B$29,IF(Skills!C13=3,120+Inputs!$B$27+Inputs!$B$29,MAX(0,(Inputs!$B$3-100)*3)+Inputs!$B$28+Inputs!$B$29)))</f>
        <v/>
      </c>
      <c r="E2463">
        <f>INDEX(FactorTable!$B$2:$Y$301, MATCH(ROUND(MIN(300,MAX(1,D2463)),0), FactorTable!$A$2:$A$301,0), Skills!M13+1)</f>
        <v/>
      </c>
      <c r="F2463">
        <f>IF(Skills!N13=TRUE,(Skills!L13/10)*(E2463/1000),Skills!L13/10)+Skills!O13</f>
        <v/>
      </c>
      <c r="G2463">
        <f>Skills!G13*IF(Skills!H13&gt;0,Skills!I13/Skills!H13,1)</f>
        <v/>
      </c>
      <c r="H2463">
        <f>1-(1-Skills!J13/100)^Skills!K13</f>
        <v/>
      </c>
      <c r="I2463" t="inlineStr">
        <is>
          <t>1</t>
        </is>
      </c>
      <c r="J2463" t="inlineStr"/>
      <c r="K2463" t="inlineStr"/>
      <c r="L2463" t="inlineStr"/>
      <c r="M2463" t="inlineStr"/>
      <c r="N2463" t="inlineStr"/>
      <c r="O2463">
        <f>(1-Summary!$B$11)*T2463+Summary!$B$11*V2463</f>
        <v/>
      </c>
      <c r="P2463">
        <f>IF(B2486=0,0,O2463/B2486)</f>
        <v/>
      </c>
      <c r="Q2463" t="n">
        <v>0</v>
      </c>
      <c r="R2463" t="n">
        <v>0</v>
      </c>
      <c r="S2463">
        <f>IFERROR(O2463/N2463,0)</f>
        <v/>
      </c>
      <c r="T2463" t="n">
        <v>0</v>
      </c>
      <c r="V2463" t="n">
        <v>0</v>
      </c>
    </row>
    <row r="2464">
      <c r="A2464">
        <f>Skills!A14</f>
        <v/>
      </c>
      <c r="B2464">
        <f>Skills!B14</f>
        <v/>
      </c>
      <c r="C2464">
        <f>Inputs!$B$3&gt;=107</f>
        <v/>
      </c>
      <c r="D2464">
        <f>IF(Skills!C14=1,60+Inputs!$B$25+Inputs!$B$29,IF(Skills!C14=2,90+Inputs!$B$26+Inputs!$B$29,IF(Skills!C14=3,120+Inputs!$B$27+Inputs!$B$29,MAX(0,(Inputs!$B$3-100)*3)+Inputs!$B$28+Inputs!$B$29)))</f>
        <v/>
      </c>
      <c r="E2464">
        <f>INDEX(FactorTable!$B$2:$Y$301, MATCH(ROUND(MIN(300,MAX(1,D2464)),0), FactorTable!$A$2:$A$301,0), Skills!M14+1)</f>
        <v/>
      </c>
      <c r="F2464">
        <f>IF(Skills!N14=TRUE,(Skills!L14/10)*(E2464/1000),Skills!L14/10)+Skills!O14</f>
        <v/>
      </c>
      <c r="G2464">
        <f>Skills!G14*IF(Skills!H14&gt;0,Skills!I14/Skills!H14,1)</f>
        <v/>
      </c>
      <c r="H2464">
        <f>1-(1-Skills!J14/100)^Skills!K14</f>
        <v/>
      </c>
      <c r="I2464" t="inlineStr">
        <is>
          <t>1</t>
        </is>
      </c>
      <c r="J2464" t="inlineStr"/>
      <c r="K2464" t="inlineStr"/>
      <c r="L2464" t="inlineStr"/>
      <c r="M2464" t="inlineStr"/>
      <c r="N2464" t="inlineStr"/>
      <c r="O2464">
        <f>(1-Summary!$B$11)*T2464+Summary!$B$11*V2464</f>
        <v/>
      </c>
      <c r="P2464">
        <f>IF(B2486=0,0,O2464/B2486)</f>
        <v/>
      </c>
      <c r="Q2464">
        <f>IFERROR(1/(IF(Inputs!$B$38="pvp",15,MAX(0.1,Skills!D14-IF(Skills!E14=TRUE,Inputs!$B$32,0)))*(1-IF(AND(ArtifactsInput!$M$27,Inputs!$B$4="Chapter Hunt"),CHOOSE(ArtifactsInput!$N$27+1,20,24,28,32,36,40),0)/100)),0)</f>
        <v/>
      </c>
      <c r="R2464">
        <f>IF(AND(Inputs!$B$38&lt;&gt;"pvp",Inputs!$B$43&gt;0),IF(Inputs!$B$43&lt;=0,0,(INT(Inputs!$B$43/(IF(Inputs!$B$38="pvp",15,MAX(0.1,Skills!D14-IF(Skills!E14=TRUE,Inputs!$B$32,0)))*(1-IF(AND(ArtifactsInput!$M$27,Inputs!$B$4="Chapter Hunt"),CHOOSE(ArtifactsInput!$N$27+1,20,24,28,32,36,40),0)/100)))+1)),0)</f>
        <v/>
      </c>
      <c r="S2464">
        <f>IFERROR(O2464/N2464,0)</f>
        <v/>
      </c>
      <c r="T2464" t="n">
        <v>0</v>
      </c>
      <c r="V2464" t="n">
        <v>0</v>
      </c>
    </row>
    <row r="2465">
      <c r="A2465">
        <f>Skills!A15</f>
        <v/>
      </c>
      <c r="B2465">
        <f>Skills!B15</f>
        <v/>
      </c>
      <c r="C2465">
        <f>Inputs!$B$3&gt;=115</f>
        <v/>
      </c>
      <c r="D2465">
        <f>IF(Skills!C15=1,60+Inputs!$B$25+Inputs!$B$29,IF(Skills!C15=2,90+Inputs!$B$26+Inputs!$B$29,IF(Skills!C15=3,120+Inputs!$B$27+Inputs!$B$29,MAX(0,(Inputs!$B$3-100)*3)+Inputs!$B$28+Inputs!$B$29)))</f>
        <v/>
      </c>
      <c r="E2465">
        <f>INDEX(FactorTable!$B$2:$Y$301, MATCH(ROUND(MIN(300,MAX(1,D2465)),0), FactorTable!$A$2:$A$301,0), Skills!M15+1)</f>
        <v/>
      </c>
      <c r="F2465">
        <f>IF(Skills!N15=TRUE,(Skills!L15/10)*(E2465/1000),Skills!L15/10)+Skills!O15</f>
        <v/>
      </c>
      <c r="G2465">
        <f>Skills!G15*IF(Skills!H15&gt;0,Skills!I15/Skills!H15,1)</f>
        <v/>
      </c>
      <c r="H2465">
        <f>1-(1-Skills!J15/100)^Skills!K15</f>
        <v/>
      </c>
      <c r="I2465" t="inlineStr">
        <is>
          <t>1</t>
        </is>
      </c>
      <c r="J2465" t="inlineStr"/>
      <c r="K2465" t="inlineStr"/>
      <c r="L2465" t="inlineStr"/>
      <c r="M2465" t="inlineStr"/>
      <c r="N2465" t="inlineStr"/>
      <c r="O2465">
        <f>(1-Summary!$B$11)*T2465+Summary!$B$11*V2465</f>
        <v/>
      </c>
      <c r="P2465">
        <f>IF(B2486=0,0,O2465/B2486)</f>
        <v/>
      </c>
      <c r="Q2465">
        <f>IFERROR(1/(IF(Inputs!$B$38="pvp",15,MAX(0.1,Skills!D15-IF(Skills!E15=TRUE,Inputs!$B$32,0)))*(1-IF(AND(ArtifactsInput!$M$27,Inputs!$B$4="Chapter Hunt"),CHOOSE(ArtifactsInput!$N$27+1,20,24,28,32,36,40),0)/100)),0)</f>
        <v/>
      </c>
      <c r="R2465">
        <f>IF(AND(Inputs!$B$38&lt;&gt;"pvp",Inputs!$B$43&gt;0),IF(Inputs!$B$43&lt;=0,0,(INT(Inputs!$B$43/(IF(Inputs!$B$38="pvp",15,MAX(0.1,Skills!D15-IF(Skills!E15=TRUE,Inputs!$B$32,0)))*(1-IF(AND(ArtifactsInput!$M$27,Inputs!$B$4="Chapter Hunt"),CHOOSE(ArtifactsInput!$N$27+1,20,24,28,32,36,40),0)/100)))+1)),0)</f>
        <v/>
      </c>
      <c r="S2465">
        <f>IFERROR(O2465/N2465,0)</f>
        <v/>
      </c>
      <c r="T2465" t="n">
        <v>0</v>
      </c>
      <c r="V2465" t="n">
        <v>0</v>
      </c>
    </row>
    <row r="2466">
      <c r="A2466">
        <f>Skills!A16</f>
        <v/>
      </c>
      <c r="B2466">
        <f>Skills!B16</f>
        <v/>
      </c>
      <c r="C2466">
        <f>Inputs!$B$3&gt;=15</f>
        <v/>
      </c>
      <c r="D2466">
        <f>IF(Skills!C16=1,60+Inputs!$B$25+Inputs!$B$29,IF(Skills!C16=2,90+Inputs!$B$26+Inputs!$B$29,IF(Skills!C16=3,120+Inputs!$B$27+Inputs!$B$29,MAX(0,(Inputs!$B$3-100)*3)+Inputs!$B$28+Inputs!$B$29)))</f>
        <v/>
      </c>
      <c r="E2466">
        <f>INDEX(FactorTable!$B$2:$Y$301, MATCH(ROUND(MIN(300,MAX(1,D2466)),0), FactorTable!$A$2:$A$301,0), Skills!M16+1)</f>
        <v/>
      </c>
      <c r="F2466">
        <f>IF(Skills!N16=TRUE,(Skills!L16/10)*(E2466/1000),Skills!L16/10)+Skills!O16</f>
        <v/>
      </c>
      <c r="G2466">
        <f>Skills!G16*IF(Skills!H16&gt;0,Skills!I16/Skills!H16,1)</f>
        <v/>
      </c>
      <c r="H2466">
        <f>1-(1-Skills!J16/100)^Skills!K16</f>
        <v/>
      </c>
      <c r="I2466" t="inlineStr">
        <is>
          <t>1</t>
        </is>
      </c>
      <c r="J2466" t="inlineStr"/>
      <c r="K2466" t="inlineStr"/>
      <c r="L2466" t="inlineStr"/>
      <c r="M2466" t="inlineStr"/>
      <c r="N2466" t="inlineStr"/>
      <c r="O2466">
        <f>(1-Summary!$B$11)*T2466+Summary!$B$11*V2466</f>
        <v/>
      </c>
      <c r="P2466">
        <f>IF(B2486=0,0,O2466/B2486)</f>
        <v/>
      </c>
      <c r="Q2466" t="n">
        <v>0</v>
      </c>
      <c r="R2466" t="n">
        <v>0</v>
      </c>
      <c r="S2466">
        <f>IFERROR(O2466/N2466,0)</f>
        <v/>
      </c>
      <c r="T2466" t="n">
        <v>0</v>
      </c>
      <c r="V2466" t="n">
        <v>0</v>
      </c>
    </row>
    <row r="2467">
      <c r="A2467">
        <f>Skills!A17</f>
        <v/>
      </c>
      <c r="B2467">
        <f>Skills!B17</f>
        <v/>
      </c>
      <c r="C2467">
        <f>Inputs!$B$3&gt;=10</f>
        <v/>
      </c>
      <c r="D2467">
        <f>IF(Skills!C17=1,60+Inputs!$B$25+Inputs!$B$29,IF(Skills!C17=2,90+Inputs!$B$26+Inputs!$B$29,IF(Skills!C17=3,120+Inputs!$B$27+Inputs!$B$29,MAX(0,(Inputs!$B$3-100)*3)+Inputs!$B$28+Inputs!$B$29)))</f>
        <v/>
      </c>
      <c r="E2467">
        <f>INDEX(FactorTable!$B$2:$Y$301, MATCH(ROUND(MIN(300,MAX(1,D2467)),0), FactorTable!$A$2:$A$301,0), Skills!M17+1)</f>
        <v/>
      </c>
      <c r="F2467">
        <f>IF(Skills!N17=TRUE,(Skills!L17/10)*(E2467/1000),Skills!L17/10)+Skills!O17</f>
        <v/>
      </c>
      <c r="G2467">
        <f>Skills!G17*IF(Skills!H17&gt;0,Skills!I17/Skills!H17,1)</f>
        <v/>
      </c>
      <c r="H2467">
        <f>1-(1-Skills!J17/100)^Skills!K17</f>
        <v/>
      </c>
      <c r="I2467" t="inlineStr">
        <is>
          <t>1</t>
        </is>
      </c>
      <c r="J2467" t="inlineStr"/>
      <c r="K2467" t="inlineStr"/>
      <c r="L2467" t="inlineStr"/>
      <c r="M2467" t="inlineStr"/>
      <c r="N2467" t="inlineStr"/>
      <c r="O2467">
        <f>(1-Summary!$B$11)*T2467+Summary!$B$11*V2467</f>
        <v/>
      </c>
      <c r="P2467">
        <f>IF(B2486=0,0,O2467/B2486)</f>
        <v/>
      </c>
      <c r="Q2467" t="n">
        <v>0</v>
      </c>
      <c r="R2467" t="n">
        <v>0</v>
      </c>
      <c r="S2467">
        <f>IFERROR(O2467/N2467,0)</f>
        <v/>
      </c>
      <c r="T2467" t="n">
        <v>0</v>
      </c>
      <c r="V2467" t="n">
        <v>0</v>
      </c>
    </row>
    <row r="2468">
      <c r="A2468">
        <f>Skills!A18</f>
        <v/>
      </c>
      <c r="B2468">
        <f>Skills!B18</f>
        <v/>
      </c>
      <c r="C2468">
        <f>Inputs!$B$3&gt;=33</f>
        <v/>
      </c>
      <c r="D2468">
        <f>IF(Skills!C18=1,60+Inputs!$B$25+Inputs!$B$29,IF(Skills!C18=2,90+Inputs!$B$26+Inputs!$B$29,IF(Skills!C18=3,120+Inputs!$B$27+Inputs!$B$29,MAX(0,(Inputs!$B$3-100)*3)+Inputs!$B$28+Inputs!$B$29)))</f>
        <v/>
      </c>
      <c r="E2468">
        <f>INDEX(FactorTable!$B$2:$Y$301, MATCH(ROUND(MIN(300,MAX(1,D2468)),0), FactorTable!$A$2:$A$301,0), Skills!M18+1)</f>
        <v/>
      </c>
      <c r="F2468">
        <f>IF(Skills!N18=TRUE,(Skills!L18/10)*(E2468/1000),Skills!L18/10)+Skills!O18</f>
        <v/>
      </c>
      <c r="G2468">
        <f>Skills!G18*IF(Skills!H18&gt;0,Skills!I18/Skills!H18,1)</f>
        <v/>
      </c>
      <c r="H2468">
        <f>1-(1-Skills!J18/100)^Skills!K18</f>
        <v/>
      </c>
      <c r="I2468" t="inlineStr">
        <is>
          <t>1</t>
        </is>
      </c>
      <c r="J2468" t="inlineStr"/>
      <c r="K2468" t="inlineStr"/>
      <c r="L2468" t="inlineStr"/>
      <c r="M2468" t="inlineStr"/>
      <c r="N2468" t="inlineStr"/>
      <c r="O2468">
        <f>(1-Summary!$B$11)*T2468+Summary!$B$11*V2468</f>
        <v/>
      </c>
      <c r="P2468">
        <f>IF(B2486=0,0,O2468/B2486)</f>
        <v/>
      </c>
      <c r="Q2468" t="n">
        <v>0</v>
      </c>
      <c r="R2468" t="n">
        <v>0</v>
      </c>
      <c r="S2468">
        <f>IFERROR(O2468/N2468,0)</f>
        <v/>
      </c>
      <c r="T2468" t="n">
        <v>0</v>
      </c>
      <c r="V2468" t="n">
        <v>0</v>
      </c>
    </row>
    <row r="2469">
      <c r="A2469">
        <f>Skills!A19</f>
        <v/>
      </c>
      <c r="B2469">
        <f>Skills!B19</f>
        <v/>
      </c>
      <c r="C2469">
        <f>Inputs!$B$3&gt;=40</f>
        <v/>
      </c>
      <c r="D2469">
        <f>IF(Skills!C19=1,60+Inputs!$B$25+Inputs!$B$29,IF(Skills!C19=2,90+Inputs!$B$26+Inputs!$B$29,IF(Skills!C19=3,120+Inputs!$B$27+Inputs!$B$29,MAX(0,(Inputs!$B$3-100)*3)+Inputs!$B$28+Inputs!$B$29)))</f>
        <v/>
      </c>
      <c r="E2469">
        <f>INDEX(FactorTable!$B$2:$Y$301, MATCH(ROUND(MIN(300,MAX(1,D2469)),0), FactorTable!$A$2:$A$301,0), Skills!M19+1)</f>
        <v/>
      </c>
      <c r="F2469">
        <f>IF(Skills!N19=TRUE,(Skills!L19/10)*(E2469/1000),Skills!L19/10)+Skills!O19</f>
        <v/>
      </c>
      <c r="G2469">
        <f>Skills!G19*IF(Skills!H19&gt;0,Skills!I19/Skills!H19,1)</f>
        <v/>
      </c>
      <c r="H2469">
        <f>1-(1-Skills!J19/100)^Skills!K19</f>
        <v/>
      </c>
      <c r="I2469" t="inlineStr">
        <is>
          <t>1</t>
        </is>
      </c>
      <c r="J2469" t="inlineStr"/>
      <c r="K2469" t="inlineStr"/>
      <c r="L2469" t="inlineStr"/>
      <c r="M2469" t="inlineStr"/>
      <c r="N2469" t="inlineStr"/>
      <c r="O2469">
        <f>(1-Summary!$B$11)*T2469+Summary!$B$11*V2469</f>
        <v/>
      </c>
      <c r="P2469">
        <f>IF(B2486=0,0,O2469/B2486)</f>
        <v/>
      </c>
      <c r="Q2469" t="n">
        <v>0</v>
      </c>
      <c r="R2469" t="n">
        <v>0</v>
      </c>
      <c r="S2469">
        <f>IFERROR(O2469/N2469,0)</f>
        <v/>
      </c>
      <c r="T2469" t="n">
        <v>0</v>
      </c>
      <c r="V2469" t="n">
        <v>0</v>
      </c>
    </row>
    <row r="2470">
      <c r="A2470">
        <f>Skills!A20</f>
        <v/>
      </c>
      <c r="B2470">
        <f>Skills!B20</f>
        <v/>
      </c>
      <c r="C2470">
        <f>Inputs!$B$3&gt;=43</f>
        <v/>
      </c>
      <c r="D2470">
        <f>IF(Skills!C20=1,60+Inputs!$B$25+Inputs!$B$29,IF(Skills!C20=2,90+Inputs!$B$26+Inputs!$B$29,IF(Skills!C20=3,120+Inputs!$B$27+Inputs!$B$29,MAX(0,(Inputs!$B$3-100)*3)+Inputs!$B$28+Inputs!$B$29)))</f>
        <v/>
      </c>
      <c r="E2470">
        <f>INDEX(FactorTable!$B$2:$Y$301, MATCH(ROUND(MIN(300,MAX(1,D2470)),0), FactorTable!$A$2:$A$301,0), Skills!M20+1)</f>
        <v/>
      </c>
      <c r="F2470">
        <f>IF(Skills!N20=TRUE,(Skills!L20/10)*(E2470/1000),Skills!L20/10)+Skills!O20</f>
        <v/>
      </c>
      <c r="G2470">
        <f>Skills!G20*IF(Skills!H20&gt;0,Skills!I20/Skills!H20,1)</f>
        <v/>
      </c>
      <c r="H2470">
        <f>1-(1-Skills!J20/100)^Skills!K20</f>
        <v/>
      </c>
      <c r="I2470" t="inlineStr">
        <is>
          <t>1</t>
        </is>
      </c>
      <c r="J2470" t="inlineStr"/>
      <c r="K2470" t="inlineStr"/>
      <c r="L2470" t="inlineStr"/>
      <c r="M2470" t="inlineStr"/>
      <c r="N2470" t="inlineStr"/>
      <c r="O2470">
        <f>(1-Summary!$B$11)*T2470+Summary!$B$11*V2470</f>
        <v/>
      </c>
      <c r="P2470">
        <f>IF(B2486=0,0,O2470/B2486)</f>
        <v/>
      </c>
      <c r="Q2470" t="n">
        <v>0</v>
      </c>
      <c r="R2470" t="n">
        <v>0</v>
      </c>
      <c r="S2470">
        <f>IFERROR(O2470/N2470,0)</f>
        <v/>
      </c>
      <c r="T2470" t="n">
        <v>0</v>
      </c>
      <c r="V2470" t="n">
        <v>0</v>
      </c>
    </row>
    <row r="2471">
      <c r="A2471">
        <f>Skills!A21</f>
        <v/>
      </c>
      <c r="B2471">
        <f>Skills!B21</f>
        <v/>
      </c>
      <c r="C2471">
        <f>Inputs!$B$3&gt;=38</f>
        <v/>
      </c>
      <c r="D2471">
        <f>IF(Skills!C21=1,60+Inputs!$B$25+Inputs!$B$29,IF(Skills!C21=2,90+Inputs!$B$26+Inputs!$B$29,IF(Skills!C21=3,120+Inputs!$B$27+Inputs!$B$29,MAX(0,(Inputs!$B$3-100)*3)+Inputs!$B$28+Inputs!$B$29)))</f>
        <v/>
      </c>
      <c r="E2471">
        <f>INDEX(FactorTable!$B$2:$Y$301, MATCH(ROUND(MIN(300,MAX(1,D2471)),0), FactorTable!$A$2:$A$301,0), Skills!M21+1)</f>
        <v/>
      </c>
      <c r="F2471">
        <f>IF(Skills!N21=TRUE,(Skills!L21/10)*(E2471/1000),Skills!L21/10)+Skills!O21</f>
        <v/>
      </c>
      <c r="G2471">
        <f>Skills!G21*IF(Skills!H21&gt;0,Skills!I21/Skills!H21,1)</f>
        <v/>
      </c>
      <c r="H2471">
        <f>1-(1-Skills!J21/100)^Skills!K21</f>
        <v/>
      </c>
      <c r="I2471" t="inlineStr">
        <is>
          <t>1</t>
        </is>
      </c>
      <c r="J2471" t="inlineStr"/>
      <c r="K2471" t="inlineStr"/>
      <c r="L2471" t="inlineStr"/>
      <c r="M2471" t="inlineStr"/>
      <c r="N2471" t="inlineStr"/>
      <c r="O2471">
        <f>(1-Summary!$B$11)*T2471+Summary!$B$11*V2471</f>
        <v/>
      </c>
      <c r="P2471">
        <f>IF(B2486=0,0,O2471/B2486)</f>
        <v/>
      </c>
      <c r="Q2471" t="n">
        <v>0</v>
      </c>
      <c r="R2471" t="n">
        <v>0</v>
      </c>
      <c r="S2471">
        <f>IFERROR(O2471/N2471,0)</f>
        <v/>
      </c>
      <c r="T2471" t="n">
        <v>0</v>
      </c>
      <c r="V2471" t="n">
        <v>0</v>
      </c>
    </row>
    <row r="2472">
      <c r="A2472">
        <f>Skills!A22</f>
        <v/>
      </c>
      <c r="B2472">
        <f>Skills!B22</f>
        <v/>
      </c>
      <c r="C2472">
        <f>Inputs!$B$3&gt;=75</f>
        <v/>
      </c>
      <c r="D2472">
        <f>IF(Skills!C22=1,60+Inputs!$B$25+Inputs!$B$29,IF(Skills!C22=2,90+Inputs!$B$26+Inputs!$B$29,IF(Skills!C22=3,120+Inputs!$B$27+Inputs!$B$29,MAX(0,(Inputs!$B$3-100)*3)+Inputs!$B$28+Inputs!$B$29)))</f>
        <v/>
      </c>
      <c r="E2472">
        <f>INDEX(FactorTable!$B$2:$Y$301, MATCH(ROUND(MIN(300,MAX(1,D2472)),0), FactorTable!$A$2:$A$301,0), Skills!M22+1)</f>
        <v/>
      </c>
      <c r="F2472">
        <f>IF(Skills!N22=TRUE,(Skills!L22/10)*(E2472/1000),Skills!L22/10)+Skills!O22</f>
        <v/>
      </c>
      <c r="G2472">
        <f>Skills!G22*IF(Skills!H22&gt;0,Skills!I22/Skills!H22,1)</f>
        <v/>
      </c>
      <c r="H2472">
        <f>1-(1-Skills!J22/100)^Skills!K22</f>
        <v/>
      </c>
      <c r="I2472" t="inlineStr">
        <is>
          <t>1</t>
        </is>
      </c>
      <c r="J2472" t="inlineStr"/>
      <c r="K2472" t="inlineStr"/>
      <c r="L2472" t="inlineStr"/>
      <c r="M2472" t="inlineStr"/>
      <c r="N2472" t="inlineStr"/>
      <c r="O2472">
        <f>(1-Summary!$B$11)*T2472+Summary!$B$11*V2472</f>
        <v/>
      </c>
      <c r="P2472">
        <f>IF(B2486=0,0,O2472/B2486)</f>
        <v/>
      </c>
      <c r="Q2472" t="n">
        <v>0</v>
      </c>
      <c r="R2472" t="n">
        <v>0</v>
      </c>
      <c r="S2472">
        <f>IFERROR(O2472/N2472,0)</f>
        <v/>
      </c>
      <c r="T2472" t="n">
        <v>0</v>
      </c>
      <c r="V2472" t="n">
        <v>0</v>
      </c>
    </row>
    <row r="2473">
      <c r="A2473">
        <f>Skills!A23</f>
        <v/>
      </c>
      <c r="B2473">
        <f>Skills!B23</f>
        <v/>
      </c>
      <c r="C2473">
        <f>TRUE</f>
        <v/>
      </c>
      <c r="D2473">
        <f>IF(Skills!C23=1,60+Inputs!$B$25+Inputs!$B$29,IF(Skills!C23=2,90+Inputs!$B$26+Inputs!$B$29,IF(Skills!C23=3,120+Inputs!$B$27+Inputs!$B$29,MAX(0,(Inputs!$B$3-100)*3)+Inputs!$B$28+Inputs!$B$29)))</f>
        <v/>
      </c>
      <c r="E2473">
        <f>INDEX(FactorTable!$B$2:$Y$301, MATCH(ROUND(MIN(300,MAX(1,D2473)),0), FactorTable!$A$2:$A$301,0), Skills!M23+1)</f>
        <v/>
      </c>
      <c r="F2473">
        <f>IF(Skills!N23=TRUE,(Skills!L23/10)*(E2473/1000),Skills!L23/10)+Skills!O23</f>
        <v/>
      </c>
      <c r="G2473">
        <f>Skills!G23*IF(Skills!H23&gt;0,Skills!I23/Skills!H23,1)</f>
        <v/>
      </c>
      <c r="H2473">
        <f>1-(1-Skills!J23/100)^Skills!K23</f>
        <v/>
      </c>
      <c r="I2473" t="inlineStr">
        <is>
          <t>1</t>
        </is>
      </c>
      <c r="J2473" t="inlineStr"/>
      <c r="K2473" t="inlineStr"/>
      <c r="L2473" t="inlineStr"/>
      <c r="M2473" t="inlineStr"/>
      <c r="N2473" t="inlineStr"/>
      <c r="O2473">
        <f>(1-Summary!$B$11)*T2473+Summary!$B$11*V2473</f>
        <v/>
      </c>
      <c r="P2473">
        <f>IF(B2486=0,0,O2473/B2486)</f>
        <v/>
      </c>
      <c r="Q2473">
        <f>IFERROR(1/(IF(Inputs!$B$38="pvp",15,MAX(0.1,Skills!D23-IF(Skills!E23=TRUE,Inputs!$B$32,0)))*(1-IF(AND(ArtifactsInput!$M$27,Inputs!$B$4="Chapter Hunt"),CHOOSE(ArtifactsInput!$N$27+1,20,24,28,32,36,40),0)/100)),0)</f>
        <v/>
      </c>
      <c r="R2473">
        <f>IF(AND(Inputs!$B$38&lt;&gt;"pvp",Inputs!$B$43&gt;0),IF(Inputs!$B$43&lt;=0,0,(INT(Inputs!$B$43/(IF(Inputs!$B$38="pvp",15,MAX(0.1,Skills!D23-IF(Skills!E23=TRUE,Inputs!$B$32,0)))*(1-IF(AND(ArtifactsInput!$M$27,Inputs!$B$4="Chapter Hunt"),CHOOSE(ArtifactsInput!$N$27+1,20,24,28,32,36,40),0)/100)))+1)),0)</f>
        <v/>
      </c>
      <c r="S2473">
        <f>IFERROR(O2473/N2473,0)</f>
        <v/>
      </c>
      <c r="T2473" t="n">
        <v>0</v>
      </c>
      <c r="V2473" t="n">
        <v>0</v>
      </c>
    </row>
    <row r="2475">
      <c r="A2475" t="inlineStr">
        <is>
          <t>Attack% Bucket Multiplier</t>
        </is>
      </c>
      <c r="B2475">
        <f>(1+(((C2463=TRUE)*F2463*5/7)+((C2469=TRUE)*(F2469-Calc!F19))+(IF(ArtifactsInput!$M$21,CHOOSE(ArtifactsInput!$N$21+1,25,30,35,40,45,50)*(IF(OR(Inputs!$B$4="Chapter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76">
      <c r="A2476" t="inlineStr">
        <is>
          <t>Global Crit Rate Bonus %</t>
        </is>
      </c>
      <c r="B2476" t="n">
        <v>0</v>
      </c>
    </row>
    <row r="2477">
      <c r="A2477" t="inlineStr">
        <is>
          <t>Attack Speed Buff Bonus % (Nimble Feet, duty-cycle averaged)</t>
        </is>
      </c>
      <c r="B2477">
        <f>((C2473=TRUE)*F2473*IF(AND(Inputs!$B$38&lt;&gt;"pvp",Inputs!$B$43&gt;0),(((R2473-1)*(Skills!T23*(1+Inputs!$B$34/100))+MIN((Skills!T23*(1+Inputs!$B$34/100)),MAX(0,Inputs!$B$43-((R2473-1)*Skills!D23))))/Inputs!$B$43),IF(Inputs!$B$38="pvp",MIN((Skills!T23*(1+Inputs!$B$34/100)),15)/15,(Skills!T23*(1+Inputs!$B$34/100))/Skills!D23)))</f>
        <v/>
      </c>
    </row>
    <row r="2478">
      <c r="A2478" t="inlineStr">
        <is>
          <t>Actions Per Second</t>
        </is>
      </c>
      <c r="B2478">
        <f>1+MIN(150,150*(1-(1-(Inputs!$B$11+((C2467=TRUE)*(F2467-Calc!F17))+((C2468=TRUE)*(F2468-Calc!F18)))/150)*(1-B2477/150)))/100</f>
        <v/>
      </c>
    </row>
    <row r="2479">
      <c r="A2479" t="inlineStr">
        <is>
          <t>Skill + Buff Cast Rate</t>
        </is>
      </c>
      <c r="B2479">
        <f>IF(AND(Inputs!$B$38&lt;&gt;"pvp",Inputs!$B$43&gt;0),SUMPRODUCT((Skills!E2:E23=TRUE)*(C2452:C2473=TRUE)*R2452:R2473*Skills!F2:F23)/Inputs!$B$43,SUMPRODUCT((Skills!E2:E23=TRUE)*(C2452:C2473=TRUE)*Q2452:Q2473*Skills!F2:F23))</f>
        <v/>
      </c>
    </row>
    <row r="2480">
      <c r="A2480" t="inlineStr">
        <is>
          <t>Hook Bomber Casts Per Second</t>
        </is>
      </c>
      <c r="B2480">
        <f>MAX(0,B2478-B2479)</f>
        <v/>
      </c>
    </row>
    <row r="2481">
      <c r="A2481" t="inlineStr">
        <is>
          <t>Global Critical Damage Bonus % (unused)</t>
        </is>
      </c>
      <c r="B2481" t="n">
        <v>0</v>
      </c>
    </row>
    <row r="2482">
      <c r="A2482" t="inlineStr">
        <is>
          <t>Global Final Damage Bonus % (Serpent Scale + Crossbones + Time Leap + Speed Infusion)</t>
        </is>
      </c>
      <c r="B2482">
        <f>((C2455=TRUE)*F2455*((10+IF(Inputs!$B$3&gt;=94,5,0))/((10+IF(Inputs!$B$3&gt;=94,5,0))+5/(B2480*(1+IF(Inputs!$B$3&gt;=104,1,0))))))+((C2464=TRUE)*F2464*IF(AND(Inputs!$B$38&lt;&gt;"pvp",Inputs!$B$43&gt;0),(((R2464-1)*(Skills!T14*(1+Inputs!$B$34/100))+MIN((Skills!T14*(1+Inputs!$B$34/100)),MAX(0,Inputs!$B$43-((R2464-1)*Skills!D14))))/Inputs!$B$43),IF(Inputs!$B$38="pvp",MIN((Skills!T14*(1+Inputs!$B$34/100)),15)/15,(Skills!T14*(1+Inputs!$B$34/100))/Skills!D14)))+((C2465=TRUE)*F2465*IF(AND(Inputs!$B$38&lt;&gt;"pvp",Inputs!$B$43&gt;0),(((R2465-1)*(Skills!T15*(1+Inputs!$B$34/100))+MIN((Skills!T15*(1+Inputs!$B$34/100)),MAX(0,Inputs!$B$43-((R2465-1)*Skills!D15))))/Inputs!$B$43),IF(Inputs!$B$38="pvp",MIN((Skills!T15*(1+Inputs!$B$34/100)),15)/15,(Skills!T15*(1+Inputs!$B$34/100))/Skills!D15)))+((Inputs!$B$3&gt;=110)*20*(B2478-1)*IF(Inputs!$B$38="pvp",MIN((15*(1+Inputs!$B$34/100)),15)/15,(15*(1+Inputs!$B$34/100))/35))</f>
        <v/>
      </c>
    </row>
    <row r="2483">
      <c r="A2483" t="inlineStr">
        <is>
          <t>Buff-Casting Startup Delay (s, fixed-duration only)</t>
        </is>
      </c>
      <c r="B2483">
        <f>IF(AND(Inputs!$B$38&lt;&gt;"pvp",Inputs!$B$43&gt;0),SUMPRODUCT((Skills!T2:T23&gt;0)*(Skills!E2:E23=TRUE)*(C2452:C2473=TRUE))/B2478,0)</f>
        <v/>
      </c>
    </row>
    <row r="2484">
      <c r="A2484" t="inlineStr">
        <is>
          <t>Boss-Only Total DPS (this block's swept value)</t>
        </is>
      </c>
      <c r="B2484">
        <f>SUM(T2452:T2473)</f>
        <v/>
      </c>
    </row>
    <row r="2485">
      <c r="A2485" t="inlineStr">
        <is>
          <t>Normal-Only Total DPS (this block's swept value)</t>
        </is>
      </c>
      <c r="B2485">
        <f>SUM(V2452:V2473)</f>
        <v/>
      </c>
    </row>
    <row r="2486">
      <c r="A2486" s="6" t="inlineStr">
        <is>
          <t>TOTAL DPS</t>
        </is>
      </c>
      <c r="B2486" s="6">
        <f>SUM(O2452:O2473)</f>
        <v/>
      </c>
    </row>
    <row r="2489">
      <c r="A2489" s="9" t="inlineStr">
        <is>
          <t>Cooldown Reduction Milestone Sweep (absolute CDR seconds, fixed-duration content only)</t>
        </is>
      </c>
    </row>
    <row r="2490">
      <c r="A2490" s="5" t="inlineStr">
        <is>
          <t>CDR (s)</t>
        </is>
      </c>
      <c r="B2490" s="5" t="inlineStr">
        <is>
          <t>Total DPS</t>
        </is>
      </c>
      <c r="C2490" s="5" t="inlineStr">
        <is>
          <t>DPS Gain (vs prior step)</t>
        </is>
      </c>
      <c r="D2490" s="5" t="inlineStr">
        <is>
          <t>% Gain (vs current CDR)</t>
        </is>
      </c>
    </row>
    <row r="2491">
      <c r="A2491" t="n">
        <v>0.5</v>
      </c>
      <c r="B2491">
        <f>B2539</f>
        <v/>
      </c>
      <c r="C2491" t="n">
        <v>0</v>
      </c>
      <c r="D2491">
        <f>IF(Summary!$B$3=0,0,(B2491-Summary!$B$3)/Summary!$B$3*100)</f>
        <v/>
      </c>
    </row>
    <row r="2492">
      <c r="A2492" t="n">
        <v>1</v>
      </c>
      <c r="B2492">
        <f>B2578</f>
        <v/>
      </c>
      <c r="C2492">
        <f>B2492-B2491</f>
        <v/>
      </c>
      <c r="D2492">
        <f>IF(Summary!$B$3=0,0,(B2492-Summary!$B$3)/Summary!$B$3*100)</f>
        <v/>
      </c>
    </row>
    <row r="2493">
      <c r="A2493" t="n">
        <v>1.5</v>
      </c>
      <c r="B2493">
        <f>B2617</f>
        <v/>
      </c>
      <c r="C2493">
        <f>B2493-B2492</f>
        <v/>
      </c>
      <c r="D2493">
        <f>IF(Summary!$B$3=0,0,(B2493-Summary!$B$3)/Summary!$B$3*100)</f>
        <v/>
      </c>
    </row>
    <row r="2494">
      <c r="A2494" t="n">
        <v>2</v>
      </c>
      <c r="B2494">
        <f>B2656</f>
        <v/>
      </c>
      <c r="C2494">
        <f>B2494-B2493</f>
        <v/>
      </c>
      <c r="D2494">
        <f>IF(Summary!$B$3=0,0,(B2494-Summary!$B$3)/Summary!$B$3*100)</f>
        <v/>
      </c>
    </row>
    <row r="2495">
      <c r="A2495" t="n">
        <v>2.5</v>
      </c>
      <c r="B2495">
        <f>B2695</f>
        <v/>
      </c>
      <c r="C2495">
        <f>B2495-B2494</f>
        <v/>
      </c>
      <c r="D2495">
        <f>IF(Summary!$B$3=0,0,(B2495-Summary!$B$3)/Summary!$B$3*100)</f>
        <v/>
      </c>
    </row>
    <row r="2496">
      <c r="A2496" t="n">
        <v>3</v>
      </c>
      <c r="B2496">
        <f>B2734</f>
        <v/>
      </c>
      <c r="C2496">
        <f>B2496-B2495</f>
        <v/>
      </c>
      <c r="D2496">
        <f>IF(Summary!$B$3=0,0,(B2496-Summary!$B$3)/Summary!$B$3*100)</f>
        <v/>
      </c>
    </row>
    <row r="2497">
      <c r="A2497" t="n">
        <v>3.5</v>
      </c>
      <c r="B2497">
        <f>B2773</f>
        <v/>
      </c>
      <c r="C2497">
        <f>B2497-B2496</f>
        <v/>
      </c>
      <c r="D2497">
        <f>IF(Summary!$B$3=0,0,(B2497-Summary!$B$3)/Summary!$B$3*100)</f>
        <v/>
      </c>
    </row>
    <row r="2498">
      <c r="A2498" t="n">
        <v>4</v>
      </c>
      <c r="B2498">
        <f>B2812</f>
        <v/>
      </c>
      <c r="C2498">
        <f>B2498-B2497</f>
        <v/>
      </c>
      <c r="D2498">
        <f>IF(Summary!$B$3=0,0,(B2498-Summary!$B$3)/Summary!$B$3*100)</f>
        <v/>
      </c>
    </row>
    <row r="2499">
      <c r="A2499" t="n">
        <v>4.5</v>
      </c>
      <c r="B2499">
        <f>B2851</f>
        <v/>
      </c>
      <c r="C2499">
        <f>B2499-B2498</f>
        <v/>
      </c>
      <c r="D2499">
        <f>IF(Summary!$B$3=0,0,(B2499-Summary!$B$3)/Summary!$B$3*100)</f>
        <v/>
      </c>
    </row>
    <row r="2500">
      <c r="A2500" t="n">
        <v>5</v>
      </c>
      <c r="B2500">
        <f>B2890</f>
        <v/>
      </c>
      <c r="C2500">
        <f>B2500-B2499</f>
        <v/>
      </c>
      <c r="D2500">
        <f>IF(Summary!$B$3=0,0,(B2500-Summary!$B$3)/Summary!$B$3*100)</f>
        <v/>
      </c>
    </row>
    <row r="2503">
      <c r="A2503" s="6" t="inlineStr">
        <is>
          <t>Stat: CDR = 0.5s</t>
        </is>
      </c>
    </row>
    <row r="2504">
      <c r="A2504" s="5" t="inlineStr">
        <is>
          <t>Key</t>
        </is>
      </c>
      <c r="B2504" s="5" t="inlineStr">
        <is>
          <t>Name</t>
        </is>
      </c>
      <c r="C2504" s="5" t="inlineStr">
        <is>
          <t>Unlocked</t>
        </is>
      </c>
      <c r="D2504" s="5" t="inlineStr">
        <is>
          <t>InputLevel</t>
        </is>
      </c>
      <c r="E2504" s="5" t="inlineStr">
        <is>
          <t>Factor</t>
        </is>
      </c>
      <c r="F2504" s="5" t="inlineStr">
        <is>
          <t>CoefficientPercent</t>
        </is>
      </c>
      <c r="G2504" s="5" t="inlineStr">
        <is>
          <t>EffectiveHits</t>
        </is>
      </c>
      <c r="H2504" s="5" t="inlineStr">
        <is>
          <t>ProcProbability</t>
        </is>
      </c>
      <c r="I2504" s="5" t="inlineStr">
        <is>
          <t>MapleHeroMultiplier</t>
        </is>
      </c>
      <c r="J2504" s="5" t="inlineStr">
        <is>
          <t>BaseDamage</t>
        </is>
      </c>
      <c r="K2504" s="5" t="inlineStr">
        <is>
          <t>BaseHitDamage</t>
        </is>
      </c>
      <c r="L2504" s="5" t="inlineStr">
        <is>
          <t>NonCritAvg</t>
        </is>
      </c>
      <c r="M2504" s="5" t="inlineStr">
        <is>
          <t>CritAvg</t>
        </is>
      </c>
      <c r="N2504" s="5" t="inlineStr">
        <is>
          <t>ExpectedDamage(perHit)</t>
        </is>
      </c>
      <c r="O2504" s="5" t="inlineStr">
        <is>
          <t>DPS</t>
        </is>
      </c>
      <c r="P2504" s="5" t="inlineStr">
        <is>
          <t>% of Total</t>
        </is>
      </c>
      <c r="Q2504" s="5" t="inlineStr">
        <is>
          <t>InvCooldown</t>
        </is>
      </c>
      <c r="R2504" s="5" t="inlineStr">
        <is>
          <t>CastsInFight</t>
        </is>
      </c>
      <c r="S2504" s="5" t="inlineStr">
        <is>
          <t>HitRate(perSec)</t>
        </is>
      </c>
      <c r="U2504" t="inlineStr">
        <is>
          <t>helpers</t>
        </is>
      </c>
    </row>
    <row r="2505">
      <c r="A2505">
        <f>Skills!A2</f>
        <v/>
      </c>
      <c r="B2505">
        <f>Skills!B2</f>
        <v/>
      </c>
      <c r="C2505">
        <f>Inputs!$B$3&gt;=100</f>
        <v/>
      </c>
      <c r="D2505" t="inlineStr"/>
      <c r="E2505" t="inlineStr"/>
      <c r="F2505">
        <f>U2507+Skills!O2</f>
        <v/>
      </c>
      <c r="G2505">
        <f>Skills!G2*IF(Skills!H2&gt;0,Skills!I2/Skills!H2,1)</f>
        <v/>
      </c>
      <c r="H2505">
        <f>1-(1-Skills!J2/100)^Skills!K2</f>
        <v/>
      </c>
      <c r="I2505" t="inlineStr">
        <is>
          <t>1</t>
        </is>
      </c>
      <c r="J2505">
        <f>((Inputs!$B$6*(1+Inputs!$B$7/100))+(((Inputs!$B$12*(1+Inputs!$B$13/100))-(Inputs!$B$12*(1+Inputs!$B$13/100)))+0.25*(Inputs!$B$14-Inputs!$B$14))*(1+Inputs!$B$7/100))*(F2505/100)</f>
        <v/>
      </c>
      <c r="K2505">
        <f>J2505*(1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C2523=TRUE)*(F2523-Calc!F20)),(Inputs!$B$23+0+(IF(ArtifactsInput!$M$15,CHOOSE(ArtifactsInput!$N$15+1,25,30,35,40,45,50)/100*(Inputs!$B$11-Inputs!$B$11),0))))/100+(Inputs!$B$23+0+(IF(ArtifactsInput!$M$15,CHOOSE(ArtifactsInput!$N$15+1,25,30,35,40,45,50)/100*(Inputs!$B$11-Inputs!$B$11),0)))/100)/2</f>
        <v/>
      </c>
      <c r="M2505">
        <f>L2505*(1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(1-Summary!$B$11)*T2505+Summary!$B$11*V2505</f>
        <v/>
      </c>
      <c r="P2505">
        <f>IF(B2539=0,0,O2505/B2539)</f>
        <v/>
      </c>
      <c r="Q2505" t="n">
        <v>0</v>
      </c>
      <c r="R2505" t="n">
        <v>0</v>
      </c>
      <c r="S2505">
        <f>IFERROR(O2505/N2505,0)</f>
        <v/>
      </c>
      <c r="T2505">
        <f>IF(C2505,(Skills!G2*N2505*B2533)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2505*(1-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5">
        <f>MAX(0,(Inputs!$B$3-100)*3)+Inputs!$B$28+Inputs!$B$29</f>
        <v/>
      </c>
      <c r="V2505">
        <f>IF(C2505,(Skills!G2*N2505*B2533)*IF(Inputs!$B$38="pvp",1,(1+(Inputs!$B$21+Skills!Q2+(IF(ArtifactsInput!$M$33,CHOOSE(ArtifactsInput!$N$33+1,30,36,42,48,54,60),0))+(IF(AND(ArtifactsInput!$M$35,Inputs!$B$4&lt;&gt;"Chapter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Skills!A3</f>
        <v/>
      </c>
      <c r="B2506">
        <f>Skills!B3</f>
        <v/>
      </c>
      <c r="C2506">
        <f>Inputs!$B$3&gt;=35</f>
        <v/>
      </c>
      <c r="D2506">
        <f>IF(Skills!C3=1,60+Inputs!$B$25+Inputs!$B$29,IF(Skills!C3=2,90+Inputs!$B$26+Inputs!$B$29,IF(Skills!C3=3,120+Inputs!$B$27+Inputs!$B$29,MAX(0,(Inputs!$B$3-100)*3)+Inputs!$B$28+Inputs!$B$29)))</f>
        <v/>
      </c>
      <c r="E2506">
        <f>INDEX(FactorTable!$B$2:$Y$301, MATCH(ROUND(MIN(300,MAX(1,D2506)),0), FactorTable!$A$2:$A$301,0), Skills!M3+1)</f>
        <v/>
      </c>
      <c r="F2506">
        <f>IF(Skills!N3=TRUE,(Skills!L3/10)*(E2506/1000),Skills!L3/10)+Skills!O3</f>
        <v/>
      </c>
      <c r="G2506">
        <f>Skills!G3*IF(Skills!H3&gt;0,Skills!I3/Skills!H3,1)</f>
        <v/>
      </c>
      <c r="H2506">
        <f>1-(1-Skills!J3/100)^Skills!K3</f>
        <v/>
      </c>
      <c r="I2506" t="inlineStr">
        <is>
          <t>1</t>
        </is>
      </c>
      <c r="J2506">
        <f>((Inputs!$B$6*(1+Inputs!$B$7/100))+(((Inputs!$B$12*(1+Inputs!$B$13/100))-(Inputs!$B$12*(1+Inputs!$B$13/100)))+0.25*(Inputs!$B$14-Inputs!$B$14))*(1+Inputs!$B$7/100))*(F2506/100)</f>
        <v/>
      </c>
      <c r="K2506">
        <f>J2506*(1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2506)</f>
        <v/>
      </c>
      <c r="L2506">
        <f>K2506*(MIN(Inputs!$B$22+((C2523=TRUE)*(F2523-Calc!F20)),(Inputs!$B$23+0+(IF(ArtifactsInput!$M$15,CHOOSE(ArtifactsInput!$N$15+1,25,30,35,40,45,50)/100*(Inputs!$B$11-Inputs!$B$11),0))))/100+(Inputs!$B$23+0+(IF(ArtifactsInput!$M$15,CHOOSE(ArtifactsInput!$N$15+1,25,30,35,40,45,50)/100*(Inputs!$B$11-Inputs!$B$11),0)))/100)/2</f>
        <v/>
      </c>
      <c r="M2506">
        <f>L2506*(1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6">
        <f>L2506*(1-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2506*(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6">
        <f>(1-Summary!$B$11)*T2506+Summary!$B$11*V2506</f>
        <v/>
      </c>
      <c r="P2506">
        <f>IF(B2539=0,0,O2506/B2539)</f>
        <v/>
      </c>
      <c r="Q2506" t="n">
        <v>0</v>
      </c>
      <c r="R2506" t="n">
        <v>0</v>
      </c>
      <c r="S2506">
        <f>IFERROR(O2506/N2506,0)</f>
        <v/>
      </c>
      <c r="T2506">
        <f>IF(C2506,(Skills!G3*H2506*N2506*B2533)*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2506*(1-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2506*(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2506*(1-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2506*(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6">
        <f>INDEX(FactorTable!$B$2:$Y$301, MATCH(ROUND(MIN(300,MAX(1,U2505)),0), FactorTable!$A$2:$A$301,0), 22)</f>
        <v/>
      </c>
      <c r="V2506">
        <f>IF(C2506,(Skills!G3*H2506*N2506*B2533)*IF(Inputs!$B$38="pvp",1,(1+(Inputs!$B$21+Skills!Q3+(IF(ArtifactsInput!$M$33,CHOOSE(ArtifactsInput!$N$33+1,30,36,42,48,54,60),0))+(IF(AND(ArtifactsInput!$M$35,Inputs!$B$4&lt;&gt;"Chapter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7">
      <c r="A2507">
        <f>Skills!A4</f>
        <v/>
      </c>
      <c r="B2507">
        <f>Skills!B4</f>
        <v/>
      </c>
      <c r="C2507">
        <f>Inputs!$B$3&gt;=60</f>
        <v/>
      </c>
      <c r="D2507">
        <f>IF(Skills!C4=1,60+Inputs!$B$25+Inputs!$B$29,IF(Skills!C4=2,90+Inputs!$B$26+Inputs!$B$29,IF(Skills!C4=3,120+Inputs!$B$27+Inputs!$B$29,MAX(0,(Inputs!$B$3-100)*3)+Inputs!$B$28+Inputs!$B$29)))</f>
        <v/>
      </c>
      <c r="E2507">
        <f>INDEX(FactorTable!$B$2:$Y$301, MATCH(ROUND(MIN(300,MAX(1,D2507)),0), FactorTable!$A$2:$A$301,0), Skills!M4+1)</f>
        <v/>
      </c>
      <c r="F2507">
        <f>IF(Skills!N4=TRUE,(Skills!L4/10)*(E2507/1000),Skills!L4/10)+Skills!O4</f>
        <v/>
      </c>
      <c r="G2507">
        <f>Skills!G4*IF(Skills!H4&gt;0,Skills!I4/Skills!H4,1)</f>
        <v/>
      </c>
      <c r="H2507">
        <f>1-(1-Skills!J4/100)^Skills!K4</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2515=TRUE,F2515,0)/100)*(1+(IF(Skills!A4="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2523=TRUE)*(F2523-Calc!F20)),(Inputs!$B$23+0+(IF(ArtifactsInput!$M$15,CHOOSE(ArtifactsInput!$N$15+1,25,30,35,40,45,50)/100*(Inputs!$B$11-Inputs!$B$11),0))))/100+(Inputs!$B$23+0+(IF(ArtifactsInput!$M$15,CHOOSE(ArtifactsInput!$N$15+1,25,30,35,40,45,50)/100*(Inputs!$B$11-Inputs!$B$11),0)))/100)/2</f>
        <v/>
      </c>
      <c r="M2507">
        <f>L2507*(1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IF(B2539=0,0,O2507/B2539)</f>
        <v/>
      </c>
      <c r="Q2507" t="n">
        <v>0</v>
      </c>
      <c r="R2507" t="n">
        <v>0</v>
      </c>
      <c r="S2507">
        <f>IFERROR(O2507/N2507,0)</f>
        <v/>
      </c>
      <c r="T2507">
        <f>IF(C2507,(Skills!G4*H2507*N2507*B2533)*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7">
        <f>290*U2506/1000</f>
        <v/>
      </c>
      <c r="V2507">
        <f>IF(C2507,(Skills!G4*H2507*N2507*B2533)*IF(Inputs!$B$38="pvp",1,(1+(Inputs!$B$21+Skills!Q4+(IF(ArtifactsInput!$M$33,CHOOSE(ArtifactsInput!$N$33+1,30,36,42,48,54,60),0))+(IF(AND(ArtifactsInput!$M$35,Inputs!$B$4&lt;&gt;"Chapter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Skills!A5</f>
        <v/>
      </c>
      <c r="B2508">
        <f>Skills!B5</f>
        <v/>
      </c>
      <c r="C2508">
        <f>Inputs!$B$3&gt;=60</f>
        <v/>
      </c>
      <c r="D2508">
        <f>IF(Skills!C5=1,60+Inputs!$B$25+Inputs!$B$29,IF(Skills!C5=2,90+Inputs!$B$26+Inputs!$B$29,IF(Skills!C5=3,120+Inputs!$B$27+Inputs!$B$29,MAX(0,(Inputs!$B$3-100)*3)+Inputs!$B$28+Inputs!$B$29)))</f>
        <v/>
      </c>
      <c r="E2508">
        <f>INDEX(FactorTable!$B$2:$Y$301, MATCH(ROUND(MIN(300,MAX(1,D2508)),0), FactorTable!$A$2:$A$301,0), Skills!M5+1)</f>
        <v/>
      </c>
      <c r="F2508">
        <f>IF(Skills!N5=TRUE,(Skills!L5/10)*(E2508/1000),Skills!L5/10)+Skills!O5</f>
        <v/>
      </c>
      <c r="G2508">
        <f>Skills!G5*IF(Skills!H5&gt;0,Skills!I5/Skills!H5,1)</f>
        <v/>
      </c>
      <c r="H2508">
        <f>1-(1-Skills!J5/100)^Skills!K5</f>
        <v/>
      </c>
      <c r="I2508" t="inlineStr">
        <is>
          <t>1</t>
        </is>
      </c>
      <c r="J2508" t="inlineStr"/>
      <c r="K2508" t="inlineStr"/>
      <c r="L2508" t="inlineStr"/>
      <c r="M2508" t="inlineStr"/>
      <c r="N2508" t="inlineStr"/>
      <c r="O2508">
        <f>(1-Summary!$B$11)*T2508+Summary!$B$11*V2508</f>
        <v/>
      </c>
      <c r="P2508">
        <f>IF(B2539=0,0,O2508/B2539)</f>
        <v/>
      </c>
      <c r="Q2508" t="n">
        <v>0</v>
      </c>
      <c r="R2508" t="n">
        <v>0</v>
      </c>
      <c r="S2508">
        <f>IFERROR(O2508/N2508,0)</f>
        <v/>
      </c>
      <c r="T2508" t="n">
        <v>0</v>
      </c>
      <c r="V2508" t="n">
        <v>0</v>
      </c>
    </row>
    <row r="2509">
      <c r="A2509">
        <f>Skills!A6</f>
        <v/>
      </c>
      <c r="B2509">
        <f>Skills!B6</f>
        <v/>
      </c>
      <c r="C2509">
        <f>Inputs!$B$3&gt;=63</f>
        <v/>
      </c>
      <c r="D2509">
        <f>IF(Skills!C6=1,60+Inputs!$B$25+Inputs!$B$29,IF(Skills!C6=2,90+Inputs!$B$26+Inputs!$B$29,IF(Skills!C6=3,120+Inputs!$B$27+Inputs!$B$29,MAX(0,(Inputs!$B$3-100)*3)+Inputs!$B$28+Inputs!$B$29)))</f>
        <v/>
      </c>
      <c r="E2509">
        <f>INDEX(FactorTable!$B$2:$Y$301, MATCH(ROUND(MIN(300,MAX(1,D2509)),0), FactorTable!$A$2:$A$301,0), Skills!M6+1)</f>
        <v/>
      </c>
      <c r="F2509">
        <f>IF(Skills!N6=TRUE,(Skills!L6/10)*(E2509/1000),Skills!L6/10)+Skills!O6</f>
        <v/>
      </c>
      <c r="G2509">
        <f>Skills!G6*IF(Skills!H6&gt;0,Skills!I6/Skills!H6,1)</f>
        <v/>
      </c>
      <c r="H2509">
        <f>1-(1-Skills!J6/100)^Skills!K6</f>
        <v/>
      </c>
      <c r="I2509" t="inlineStr">
        <is>
          <t>1</t>
        </is>
      </c>
      <c r="J2509">
        <f>((Inputs!$B$6*(1+Inputs!$B$7/100))+(((Inputs!$B$12*(1+Inputs!$B$13/100))-(Inputs!$B$12*(1+Inputs!$B$13/100)))+0.25*(Inputs!$B$14-Inputs!$B$14))*(1+Inputs!$B$7/100))*(F2509/100)</f>
        <v/>
      </c>
      <c r="K2509">
        <f>J2509*(1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2515=TRUE,F2515,0)/100)*(1+(IF(Skills!A6="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2509)</f>
        <v/>
      </c>
      <c r="L2509">
        <f>K2509*(MIN(Inputs!$B$22+((C2523=TRUE)*(F2523-Calc!F20)),(Inputs!$B$23+0+(IF(ArtifactsInput!$M$15,CHOOSE(ArtifactsInput!$N$15+1,25,30,35,40,45,50)/100*(Inputs!$B$11-Inputs!$B$11),0))))/100+(Inputs!$B$23+0+(IF(ArtifactsInput!$M$15,CHOOSE(ArtifactsInput!$N$15+1,25,30,35,40,45,50)/100*(Inputs!$B$11-Inputs!$B$11),0)))/100)/2</f>
        <v/>
      </c>
      <c r="M2509">
        <f>L2509*(1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IF(B2539=0,0,O2509/B2539)</f>
        <v/>
      </c>
      <c r="Q2509">
        <f>IFERROR(1/(IF(Inputs!$B$38="pvp",15,MAX(0.1,Skills!D6-IF(Skills!E6=TRUE,0.5,0)))*(1-IF(AND(ArtifactsInput!$M$27,Inputs!$B$4="Chapter Hunt"),CHOOSE(ArtifactsInput!$N$27+1,20,24,28,32,36,40),0)/100)),0)</f>
        <v/>
      </c>
      <c r="R2509">
        <f>IF(AND(Inputs!$B$38&lt;&gt;"pvp",Inputs!$B$43&gt;0),IF(MAX(0,Inputs!$B$43-B2536)&lt;=0,0,(INT(MAX(0,Inputs!$B$43-B2536)/(IF(Inputs!$B$38="pvp",15,MAX(0.1,Skills!D6-IF(Skills!E6=TRUE,0.5,0)))*(1-IF(AND(ArtifactsInput!$M$27,Inputs!$B$4="Chapter Hunt"),CHOOSE(ArtifactsInput!$N$27+1,20,24,28,32,36,40),0)/100)))+1)),0)</f>
        <v/>
      </c>
      <c r="S2509">
        <f>IFERROR(O2509/N2509,0)</f>
        <v/>
      </c>
      <c r="T2509">
        <f>IF(C2509,(H2509*N2509*IF(AND(Inputs!$B$38&lt;&gt;"pvp",Inputs!$B$43&gt;0),((Skills!G6*((R2509-1)*IF(Skills!H6&gt;0,Skills!I6/Skills!H6,1)+IF(Skills!H6&gt;0,MIN(Skills!I6,MAX(0,MAX(0,Inputs!$B$43-B2536)-((R2509-1)*(IF(Inputs!$B$38="pvp",15,MAX(0.1,Skills!D6-IF(Skills!E6=TRUE,0.5,0)))*(1-IF(AND(ArtifactsInput!$M$27,Inputs!$B$4="Chapter Hunt"),CHOOSE(ArtifactsInput!$N$27+1,20,24,28,32,36,40),0)/100)))))/Skills!H6,1)))/Inputs!$B$43),G2509*Q2509))*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9">
        <f>IF(C2509,(H2509*N2509*IF(AND(Inputs!$B$38&lt;&gt;"pvp",Inputs!$B$43&gt;0),((Skills!G6*((R2509-1)*IF(Skills!H6&gt;0,Skills!I6/Skills!H6,1)+IF(Skills!H6&gt;0,MIN(Skills!I6,MAX(0,MAX(0,Inputs!$B$43-B2536)-((R2509-1)*(IF(Inputs!$B$38="pvp",15,MAX(0.1,Skills!D6-IF(Skills!E6=TRUE,0.5,0)))*(1-IF(AND(ArtifactsInput!$M$27,Inputs!$B$4="Chapter Hunt"),CHOOSE(ArtifactsInput!$N$27+1,20,24,28,32,36,40),0)/100)))))/Skills!H6,1)))/Inputs!$B$43),G2509*Q2509))*IF(Inputs!$B$38="pvp",1,(1+(Inputs!$B$21+Skills!Q6+(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Skills!A7</f>
        <v/>
      </c>
      <c r="B2510">
        <f>Skills!B7</f>
        <v/>
      </c>
      <c r="C2510">
        <f>Inputs!$B$3&gt;=100</f>
        <v/>
      </c>
      <c r="D2510">
        <f>IF(Skills!C7=1,60+Inputs!$B$25+Inputs!$B$29,IF(Skills!C7=2,90+Inputs!$B$26+Inputs!$B$29,IF(Skills!C7=3,120+Inputs!$B$27+Inputs!$B$29,MAX(0,(Inputs!$B$3-100)*3)+Inputs!$B$28+Inputs!$B$29)))</f>
        <v/>
      </c>
      <c r="E2510">
        <f>INDEX(FactorTable!$B$2:$Y$301, MATCH(ROUND(MIN(300,MAX(1,D2510)),0), FactorTable!$A$2:$A$301,0), Skills!M7+1)</f>
        <v/>
      </c>
      <c r="F2510">
        <f>IF(Skills!N7=TRUE,(Skills!L7/10)*(E2510/1000),Skills!L7/10)+Skills!O7</f>
        <v/>
      </c>
      <c r="G2510">
        <f>Skills!G7*IF(Skills!H7&gt;0,Skills!I7/Skills!H7,1)</f>
        <v/>
      </c>
      <c r="H2510">
        <f>1-(1-Skills!J7/100)^Skills!K7</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2523=TRUE)*(F2523-Calc!F20)),(Inputs!$B$23+0+(IF(ArtifactsInput!$M$15,CHOOSE(ArtifactsInput!$N$15+1,25,30,35,40,45,50)/100*(Inputs!$B$11-Inputs!$B$11),0))))/100+(Inputs!$B$23+0+(IF(ArtifactsInput!$M$15,CHOOSE(ArtifactsInput!$N$15+1,25,30,35,40,45,50)/100*(Inputs!$B$11-Inputs!$B$11),0)))/100)/2</f>
        <v/>
      </c>
      <c r="M2510">
        <f>L2510*(1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IF(B2539=0,0,O2510/B2539)</f>
        <v/>
      </c>
      <c r="Q2510">
        <f>IFERROR(1/(IF(Inputs!$B$38="pvp",15,MAX(0.1,Skills!D7-IF(Skills!E7=TRUE,0.5,0)))*(1-IF(AND(ArtifactsInput!$M$27,Inputs!$B$4="Chapter Hunt"),CHOOSE(ArtifactsInput!$N$27+1,20,24,28,32,36,40),0)/100)),0)</f>
        <v/>
      </c>
      <c r="R2510">
        <f>IF(AND(Inputs!$B$38&lt;&gt;"pvp",Inputs!$B$43&gt;0),IF(MAX(0,Inputs!$B$43-B2536)&lt;=0,0,(INT(MAX(0,Inputs!$B$43-B2536)/(IF(Inputs!$B$38="pvp",15,MAX(0.1,Skills!D7-IF(Skills!E7=TRUE,0.5,0)))*(1-IF(AND(ArtifactsInput!$M$27,Inputs!$B$4="Chapter Hunt"),CHOOSE(ArtifactsInput!$N$27+1,20,24,28,32,36,40),0)/100)))+1)),0)</f>
        <v/>
      </c>
      <c r="S2510">
        <f>IFERROR(O2510/N2510,0)</f>
        <v/>
      </c>
      <c r="T2510">
        <f>IF(C2510,(H2510*N2510*IF(AND(Inputs!$B$38&lt;&gt;"pvp",Inputs!$B$43&gt;0),((Skills!G7*((R2510-1)*IF(Skills!H7&gt;0,Skills!I7/Skills!H7,1)+IF(Skills!H7&gt;0,MIN(Skills!I7,MAX(0,MAX(0,Inputs!$B$43-B2536)-((R2510-1)*(IF(Inputs!$B$38="pvp",15,MAX(0.1,Skills!D7-IF(Skills!E7=TRUE,0.5,0)))*(1-IF(AND(ArtifactsInput!$M$27,Inputs!$B$4="Chapter Hunt"),CHOOSE(ArtifactsInput!$N$27+1,20,24,28,32,36,40),0)/100)))))/Skills!H7,1)))/Inputs!$B$43),G2510*Q2510))*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7*((R2510-1)*IF(Skills!H7&gt;0,Skills!I7/Skills!H7,1)+IF(Skills!H7&gt;0,MIN(Skills!I7,MAX(0,MAX(0,Inputs!$B$43-B2536)-((R2510-1)*(IF(Inputs!$B$38="pvp",15,MAX(0.1,Skills!D7-IF(Skills!E7=TRUE,0.5,0)))*(1-IF(AND(ArtifactsInput!$M$27,Inputs!$B$4="Chapter Hunt"),CHOOSE(ArtifactsInput!$N$27+1,20,24,28,32,36,40),0)/100)))))/Skills!H7,1)))/Inputs!$B$43),G2510*Q2510))*IF(Inputs!$B$38="pvp",1,(1+(Inputs!$B$21+Skills!Q7+(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Skills!A8</f>
        <v/>
      </c>
      <c r="B2511">
        <f>Skills!B8</f>
        <v/>
      </c>
      <c r="C2511">
        <f>Inputs!$B$3&gt;=110</f>
        <v/>
      </c>
      <c r="D2511">
        <f>IF(Skills!C8=1,60+Inputs!$B$25+Inputs!$B$29,IF(Skills!C8=2,90+Inputs!$B$26+Inputs!$B$29,IF(Skills!C8=3,120+Inputs!$B$27+Inputs!$B$29,MAX(0,(Inputs!$B$3-100)*3)+Inputs!$B$28+Inputs!$B$29)))</f>
        <v/>
      </c>
      <c r="E2511">
        <f>INDEX(FactorTable!$B$2:$Y$301, MATCH(ROUND(MIN(300,MAX(1,D2511)),0), FactorTable!$A$2:$A$301,0), Skills!M8+1)</f>
        <v/>
      </c>
      <c r="F2511">
        <f>IF(Skills!N8=TRUE,(Skills!L8/10)*(E2511/1000),Skills!L8/10)+Skills!O8</f>
        <v/>
      </c>
      <c r="G2511">
        <f>Skills!G8*IF(Skills!H8&gt;0,Skills!I8/Skills!H8,1)</f>
        <v/>
      </c>
      <c r="H2511">
        <f>1-(1-Skills!J8/100)^Skills!K8</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2523=TRUE)*(F2523-Calc!F20)),(Inputs!$B$23+0+(IF(ArtifactsInput!$M$15,CHOOSE(ArtifactsInput!$N$15+1,25,30,35,40,45,50)/100*(Inputs!$B$11-Inputs!$B$11),0))))/100+(Inputs!$B$23+0+(IF(ArtifactsInput!$M$15,CHOOSE(ArtifactsInput!$N$15+1,25,30,35,40,45,50)/100*(Inputs!$B$11-Inputs!$B$11),0)))/100)/2</f>
        <v/>
      </c>
      <c r="M2511">
        <f>L2511*(1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IF(B2539=0,0,O2511/B2539)</f>
        <v/>
      </c>
      <c r="Q2511">
        <f>IFERROR(1/(IF(Inputs!$B$38="pvp",15,MAX(0.1,Skills!D8-IF(Skills!E8=TRUE,0.5,0)))*(1-IF(AND(ArtifactsInput!$M$27,Inputs!$B$4="Chapter Hunt"),CHOOSE(ArtifactsInput!$N$27+1,20,24,28,32,36,40),0)/100)),0)</f>
        <v/>
      </c>
      <c r="R2511">
        <f>IF(AND(Inputs!$B$38&lt;&gt;"pvp",Inputs!$B$43&gt;0),IF(MAX(0,Inputs!$B$43-B2536)&lt;=0,0,(INT(MAX(0,Inputs!$B$43-B2536)/(IF(Inputs!$B$38="pvp",15,MAX(0.1,Skills!D8-IF(Skills!E8=TRUE,0.5,0)))*(1-IF(AND(ArtifactsInput!$M$27,Inputs!$B$4="Chapter Hunt"),CHOOSE(ArtifactsInput!$N$27+1,20,24,28,32,36,40),0)/100)))+1)),0)</f>
        <v/>
      </c>
      <c r="S2511">
        <f>IFERROR(O2511/N2511,0)</f>
        <v/>
      </c>
      <c r="T2511">
        <f>IF(C2511,(H2511*N2511*IF(AND(Inputs!$B$38&lt;&gt;"pvp",Inputs!$B$43&gt;0),((Skills!G8*((R2511-1)*IF(Skills!H8&gt;0,Skills!I8/Skills!H8,1)+IF(Skills!H8&gt;0,MIN(Skills!I8,MAX(0,MAX(0,Inputs!$B$43-B2536)-((R2511-1)*(IF(Inputs!$B$38="pvp",15,MAX(0.1,Skills!D8-IF(Skills!E8=TRUE,0.5,0)))*(1-IF(AND(ArtifactsInput!$M$27,Inputs!$B$4="Chapter Hunt"),CHOOSE(ArtifactsInput!$N$27+1,20,24,28,32,36,40),0)/100)))))/Skills!H8,1)))/Inputs!$B$43),G2511*Q2511))*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H2511*N2511*IF(AND(Inputs!$B$38&lt;&gt;"pvp",Inputs!$B$43&gt;0),((Skills!G8*((R2511-1)*IF(Skills!H8&gt;0,Skills!I8/Skills!H8,1)+IF(Skills!H8&gt;0,MIN(Skills!I8,MAX(0,MAX(0,Inputs!$B$43-B2536)-((R2511-1)*(IF(Inputs!$B$38="pvp",15,MAX(0.1,Skills!D8-IF(Skills!E8=TRUE,0.5,0)))*(1-IF(AND(ArtifactsInput!$M$27,Inputs!$B$4="Chapter Hunt"),CHOOSE(ArtifactsInput!$N$27+1,20,24,28,32,36,40),0)/100)))))/Skills!H8,1)))/Inputs!$B$43),G2511*Q2511))*IF(Inputs!$B$38="pvp",1,(1+(Inputs!$B$21+Skills!Q8+(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Skills!A9</f>
        <v/>
      </c>
      <c r="B2512">
        <f>Skills!B9</f>
        <v/>
      </c>
      <c r="C2512">
        <f>Inputs!$B$3&gt;=110</f>
        <v/>
      </c>
      <c r="D2512">
        <f>IF(Skills!C9=1,60+Inputs!$B$25+Inputs!$B$29,IF(Skills!C9=2,90+Inputs!$B$26+Inputs!$B$29,IF(Skills!C9=3,120+Inputs!$B$27+Inputs!$B$29,MAX(0,(Inputs!$B$3-100)*3)+Inputs!$B$28+Inputs!$B$29)))</f>
        <v/>
      </c>
      <c r="E2512">
        <f>INDEX(FactorTable!$B$2:$Y$301, MATCH(ROUND(MIN(300,MAX(1,D2512)),0), FactorTable!$A$2:$A$301,0), Skills!M9+1)</f>
        <v/>
      </c>
      <c r="F2512">
        <f>IF(Skills!N9=TRUE,(Skills!L9/10)*(E2512/1000),Skills!L9/10)+Skills!O9</f>
        <v/>
      </c>
      <c r="G2512">
        <f>Skills!G9*IF(Skills!H9&gt;0,Skills!I9/Skills!H9,1)</f>
        <v/>
      </c>
      <c r="H2512">
        <f>1-(1-Skills!J9/100)^Skills!K9</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2523=TRUE)*(F2523-Calc!F20)),(Inputs!$B$23+0+(IF(ArtifactsInput!$M$15,CHOOSE(ArtifactsInput!$N$15+1,25,30,35,40,45,50)/100*(Inputs!$B$11-Inputs!$B$11),0))))/100+(Inputs!$B$23+0+(IF(ArtifactsInput!$M$15,CHOOSE(ArtifactsInput!$N$15+1,25,30,35,40,45,50)/100*(Inputs!$B$11-Inputs!$B$11),0)))/100)/2</f>
        <v/>
      </c>
      <c r="M2512">
        <f>L2512*(1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IF(B2539=0,0,O2512/B2539)</f>
        <v/>
      </c>
      <c r="Q2512">
        <f>IFERROR(1/(IF(Inputs!$B$38="pvp",15,MAX(0.1,Skills!D9-IF(Skills!E9=TRUE,0.5,0)))*(1-IF(AND(ArtifactsInput!$M$27,Inputs!$B$4="Chapter Hunt"),CHOOSE(ArtifactsInput!$N$27+1,20,24,28,32,36,40),0)/100)),0)</f>
        <v/>
      </c>
      <c r="R2512">
        <f>IF(AND(Inputs!$B$38&lt;&gt;"pvp",Inputs!$B$43&gt;0),IF(MAX(0,Inputs!$B$43-B2536)&lt;=0,0,(INT(MAX(0,Inputs!$B$43-B2536)/(IF(Inputs!$B$38="pvp",15,MAX(0.1,Skills!D9-IF(Skills!E9=TRUE,0.5,0)))*(1-IF(AND(ArtifactsInput!$M$27,Inputs!$B$4="Chapter Hunt"),CHOOSE(ArtifactsInput!$N$27+1,20,24,28,32,36,40),0)/100)))+1)),0)</f>
        <v/>
      </c>
      <c r="S2512">
        <f>IFERROR(O2512/N2512,0)</f>
        <v/>
      </c>
      <c r="T2512">
        <f>IF(C2512,(H2512*N2512*IF(AND(Inputs!$B$38&lt;&gt;"pvp",Inputs!$B$43&gt;0),((Skills!G9*((R2512-1)*IF(Skills!H9&gt;0,Skills!I9/Skills!H9,1)+IF(Skills!H9&gt;0,MIN(Skills!I9,MAX(0,MAX(0,Inputs!$B$43-B2536)-((R2512-1)*(IF(Inputs!$B$38="pvp",15,MAX(0.1,Skills!D9-IF(Skills!E9=TRUE,0.5,0)))*(1-IF(AND(ArtifactsInput!$M$27,Inputs!$B$4="Chapter Hunt"),CHOOSE(ArtifactsInput!$N$27+1,20,24,28,32,36,40),0)/100)))))/Skills!H9,1)))/Inputs!$B$43),G2512*Q2512))*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N2512*IF(AND(Inputs!$B$38&lt;&gt;"pvp",Inputs!$B$43&gt;0),((Skills!G9*((R2512-1)*IF(Skills!H9&gt;0,Skills!I9/Skills!H9,1)+IF(Skills!H9&gt;0,MIN(Skills!I9,MAX(0,MAX(0,Inputs!$B$43-B2536)-((R2512-1)*(IF(Inputs!$B$38="pvp",15,MAX(0.1,Skills!D9-IF(Skills!E9=TRUE,0.5,0)))*(1-IF(AND(ArtifactsInput!$M$27,Inputs!$B$4="Chapter Hunt"),CHOOSE(ArtifactsInput!$N$27+1,20,24,28,32,36,40),0)/100)))))/Skills!H9,1)))/Inputs!$B$43),G2512*Q2512))*IF(Inputs!$B$38="pvp",1,(1+(Inputs!$B$21+Skills!Q9+(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Skills!A10</f>
        <v/>
      </c>
      <c r="B2513">
        <f>Skills!B10</f>
        <v/>
      </c>
      <c r="C2513">
        <f>Inputs!$B$3&gt;=103</f>
        <v/>
      </c>
      <c r="D2513">
        <f>IF(Skills!C10=1,60+Inputs!$B$25+Inputs!$B$29,IF(Skills!C10=2,90+Inputs!$B$26+Inputs!$B$29,IF(Skills!C10=3,120+Inputs!$B$27+Inputs!$B$29,MAX(0,(Inputs!$B$3-100)*3)+Inputs!$B$28+Inputs!$B$29)))</f>
        <v/>
      </c>
      <c r="E2513">
        <f>INDEX(FactorTable!$B$2:$Y$301, MATCH(ROUND(MIN(300,MAX(1,D2513)),0), FactorTable!$A$2:$A$301,0), Skills!M10+1)</f>
        <v/>
      </c>
      <c r="F2513">
        <f>IF(Skills!N10=TRUE,(Skills!L10/10)*(E2513/1000),Skills!L10/10)+Skills!O10</f>
        <v/>
      </c>
      <c r="G2513">
        <f>Skills!G10*IF(Skills!H10&gt;0,Skills!I10/Skills!H10,1)</f>
        <v/>
      </c>
      <c r="H2513">
        <f>1-(1-Skills!J10/100)^Skills!K10</f>
        <v/>
      </c>
      <c r="I2513" t="inlineStr">
        <is>
          <t>1</t>
        </is>
      </c>
      <c r="J2513">
        <f>((Inputs!$B$6*(1+Inputs!$B$7/100))+(((Inputs!$B$12*(1+Inputs!$B$13/100))-(Inputs!$B$12*(1+Inputs!$B$13/100)))+0.25*(Inputs!$B$14-Inputs!$B$14))*(1+Inputs!$B$7/100))*(F2513/100)</f>
        <v/>
      </c>
      <c r="K2513">
        <f>J2513*(1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2513)</f>
        <v/>
      </c>
      <c r="L2513">
        <f>K2513*(MIN(Inputs!$B$22+((C2523=TRUE)*(F2523-Calc!F20)),(Inputs!$B$23+0+(IF(ArtifactsInput!$M$15,CHOOSE(ArtifactsInput!$N$15+1,25,30,35,40,45,50)/100*(Inputs!$B$11-Inputs!$B$11),0))))/100+(Inputs!$B$23+0+(IF(ArtifactsInput!$M$15,CHOOSE(ArtifactsInput!$N$15+1,25,30,35,40,45,50)/100*(Inputs!$B$11-Inputs!$B$11),0)))/100)/2</f>
        <v/>
      </c>
      <c r="M2513">
        <f>L2513*(1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3">
        <f>L2513*(1-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2513*(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3">
        <f>(1-Summary!$B$11)*T2513+Summary!$B$11*V2513</f>
        <v/>
      </c>
      <c r="P2513">
        <f>IF(B2539=0,0,O2513/B2539)</f>
        <v/>
      </c>
      <c r="Q2513">
        <f>IFERROR(1/(IF(Inputs!$B$38="pvp",15,MAX(0.1,Skills!D10-IF(Skills!E10=TRUE,0.5,0)))*(1-IF(AND(ArtifactsInput!$M$27,Inputs!$B$4="Chapter Hunt"),CHOOSE(ArtifactsInput!$N$27+1,20,24,28,32,36,40),0)/100)),0)</f>
        <v/>
      </c>
      <c r="R2513">
        <f>IF(AND(Inputs!$B$38&lt;&gt;"pvp",Inputs!$B$43&gt;0),IF(MAX(0,Inputs!$B$43-B2536)&lt;=0,0,(INT(MAX(0,Inputs!$B$43-B2536)/(IF(Inputs!$B$38="pvp",15,MAX(0.1,Skills!D10-IF(Skills!E10=TRUE,0.5,0)))*(1-IF(AND(ArtifactsInput!$M$27,Inputs!$B$4="Chapter Hunt"),CHOOSE(ArtifactsInput!$N$27+1,20,24,28,32,36,40),0)/100)))+1)),0)</f>
        <v/>
      </c>
      <c r="S2513">
        <f>IFERROR(O2513/N2513,0)</f>
        <v/>
      </c>
      <c r="T2513">
        <f>IF(C2513,(H2513*N2513*IF(AND(Inputs!$B$38&lt;&gt;"pvp",Inputs!$B$43&gt;0),((Skills!G10*((R2513-1)*IF(Skills!H10&gt;0,Skills!I10/Skills!H10,1)+IF(Skills!H10&gt;0,MIN(Skills!I10,MAX(0,MAX(0,Inputs!$B$43-B2536)-((R2513-1)*(IF(Inputs!$B$38="pvp",15,MAX(0.1,Skills!D10-IF(Skills!E10=TRUE,0.5,0)))*(1-IF(AND(ArtifactsInput!$M$27,Inputs!$B$4="Chapter Hunt"),CHOOSE(ArtifactsInput!$N$27+1,20,24,28,32,36,40),0)/100)))))/Skills!H10,1)))/Inputs!$B$43),G2513*Q2513))*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2513*(1-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2513*(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2513*(1-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2513*(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3">
        <f>IF(C2513,(H2513*N2513*IF(AND(Inputs!$B$38&lt;&gt;"pvp",Inputs!$B$43&gt;0),((Skills!G10*((R2513-1)*IF(Skills!H10&gt;0,Skills!I10/Skills!H10,1)+IF(Skills!H10&gt;0,MIN(Skills!I10,MAX(0,MAX(0,Inputs!$B$43-B2536)-((R2513-1)*(IF(Inputs!$B$38="pvp",15,MAX(0.1,Skills!D10-IF(Skills!E10=TRUE,0.5,0)))*(1-IF(AND(ArtifactsInput!$M$27,Inputs!$B$4="Chapter Hunt"),CHOOSE(ArtifactsInput!$N$27+1,20,24,28,32,36,40),0)/100)))))/Skills!H10,1)))/Inputs!$B$43),G2513*Q2513))*IF(Inputs!$B$38="pvp",1,(1+(Inputs!$B$21+Skills!Q10+(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4">
      <c r="A2514">
        <f>Skills!A11</f>
        <v/>
      </c>
      <c r="B2514">
        <f>Skills!B11</f>
        <v/>
      </c>
      <c r="C2514">
        <f>Inputs!$B$3&gt;=113</f>
        <v/>
      </c>
      <c r="D2514">
        <f>IF(Skills!C11=1,60+Inputs!$B$25+Inputs!$B$29,IF(Skills!C11=2,90+Inputs!$B$26+Inputs!$B$29,IF(Skills!C11=3,120+Inputs!$B$27+Inputs!$B$29,MAX(0,(Inputs!$B$3-100)*3)+Inputs!$B$28+Inputs!$B$29)))</f>
        <v/>
      </c>
      <c r="E2514">
        <f>INDEX(FactorTable!$B$2:$Y$301, MATCH(ROUND(MIN(300,MAX(1,D2514)),0), FactorTable!$A$2:$A$301,0), Skills!M11+1)</f>
        <v/>
      </c>
      <c r="F2514">
        <f>IF(Skills!N11=TRUE,(Skills!L11/10)*(E2514/1000),Skills!L11/10)+Skills!O11</f>
        <v/>
      </c>
      <c r="G2514">
        <f>Skills!G11*IF(Skills!H11&gt;0,Skills!I11/Skills!H11,1)</f>
        <v/>
      </c>
      <c r="H2514">
        <f>1-(1-Skills!J11/100)^Skills!K11</f>
        <v/>
      </c>
      <c r="I2514" t="inlineStr">
        <is>
          <t>1</t>
        </is>
      </c>
      <c r="J2514">
        <f>((Inputs!$B$6*(1+Inputs!$B$7/100))+(((Inputs!$B$12*(1+Inputs!$B$13/100))-(Inputs!$B$12*(1+Inputs!$B$13/100)))+0.25*(Inputs!$B$14-Inputs!$B$14))*(1+Inputs!$B$7/100))*(F2514/100)</f>
        <v/>
      </c>
      <c r="K2514">
        <f>J2514*(1+((Inputs!$B$12*(1+Inputs!$B$13/100))*0.01+Inputs!$B$14*0.0025)/100)*(1+Inputs!$B$15/100)*(1+Inputs!$B$16/100)*(5000/(6000+Inputs!$B$42*(1-(100*(1-(1-(Inputs!$B$19+0)/100)*(1-CHOOSE(ArtifactsInput!$N$40+1,5,6,7,8,9,10)/100)^(ArtifactsInput!$M$40-ArtifactsInput!$M$40)))/100)))*(1+(Inputs!$B$24+((C2525=TRUE)*(F2525-Calc!F22))+B2535)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2524=TRUE)*(F2524-Calc!F21))+(((IF(AND(ArtifactsInput!$M$42,((Inputs!$B$9+((C2519=TRUE)*(F2519-Calc!F16))+B2529+(ArtifactsInput!$M$24-ArtifactsInput!$M$24)*CHOOSE(ArtifactsInput!$N$24+1,10,12,14,16,18,20)+IF(ArtifactsInput!$M$10,CHOOSE(ArtifactsInput!$N$10+1,15,18,21,24,27,30)*(IF(Inputs!$B$38="pvp",MIN(15,15)/15,IF(AND(Inputs!$B$38&lt;&gt;"pvp",Inputs!$B$43&gt;0),MIN(15,Inputs!$B$43)/(Inputs!$B$43),0))),0)))&gt;=100),MIN(100,((Inputs!$B$9+((C2519=TRUE)*(F2519-Calc!F16))+B2529+(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2519=TRUE)*(F2519-Calc!F16))+B2529+(ArtifactsInput!$M$24-ArtifactsInput!$M$24)*CHOOSE(ArtifactsInput!$N$24+1,10,12,14,16,18,20)+IF(ArtifactsInput!$M$10,CHOOSE(ArtifactsInput!$N$10+1,15,18,21,24,27,30)*(IF(Inputs!$B$38="pvp",MIN(15,15)/15,IF(AND(Inputs!$B$38&lt;&gt;"pvp",Inputs!$B$43&gt;0),MIN(15,Inputs!$B$43)/(Inputs!$B$43),0))),0)))&gt;=100),CHOOSE(ArtifactsInput!$N$42+1,40,48,56,64,72,80),0))))/100)*((1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2514)</f>
        <v/>
      </c>
      <c r="L2514">
        <f>K2514*(MIN(Inputs!$B$22+((C2523=TRUE)*(F2523-Calc!F20)),(Inputs!$B$23+0+(IF(ArtifactsInput!$M$15,CHOOSE(ArtifactsInput!$N$15+1,25,30,35,40,45,50)/100*(Inputs!$B$11-Inputs!$B$11),0))))/100+(Inputs!$B$23+0+(IF(ArtifactsInput!$M$15,CHOOSE(ArtifactsInput!$N$15+1,25,30,35,40,45,50)/100*(Inputs!$B$11-Inputs!$B$11),0)))/100)/2</f>
        <v/>
      </c>
      <c r="M2514">
        <f>L2514*(1+(Inputs!$B$10+0+B2534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4">
        <f>L2514*(1-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2514*(MIN((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4">
        <f>(1-Summary!$B$11)*T2514+Summary!$B$11*V2514</f>
        <v/>
      </c>
      <c r="P2514">
        <f>IF(B2539=0,0,O2514/B2539)</f>
        <v/>
      </c>
      <c r="Q2514">
        <f>IFERROR(1/(IF(Inputs!$B$38="pvp",15,MAX(0.1,Skills!D11-IF(Skills!E11=TRUE,0.5,0)))*(1-IF(AND(ArtifactsInput!$M$27,Inputs!$B$4="Chapter Hunt"),CHOOSE(ArtifactsInput!$N$27+1,20,24,28,32,36,40),0)/100)),0)</f>
        <v/>
      </c>
      <c r="R2514">
        <f>IF(AND(Inputs!$B$38&lt;&gt;"pvp",Inputs!$B$43&gt;0),IF(MAX(0,Inputs!$B$43-B2536)&lt;=0,0,(INT(MAX(0,Inputs!$B$43-B2536)/(IF(Inputs!$B$38="pvp",15,MAX(0.1,Skills!D11-IF(Skills!E11=TRUE,0.5,0)))*(1-IF(AND(ArtifactsInput!$M$27,Inputs!$B$4="Chapter Hunt"),CHOOSE(ArtifactsInput!$N$27+1,20,24,28,32,36,40),0)/100)))+1)),0)</f>
        <v/>
      </c>
      <c r="S2514">
        <f>IFERROR(O2514/N2514,0)</f>
        <v/>
      </c>
      <c r="T2514">
        <f>IF(C2514,(H2514*N2514*IF(AND(Inputs!$B$38&lt;&gt;"pvp",Inputs!$B$43&gt;0),((Skills!G11*((R2514-1)*IF(Skills!H11&gt;0,Skills!I11/Skills!H11,1)+IF(Skills!H11&gt;0,MIN(Skills!I11,MAX(0,MAX(0,Inputs!$B$43-B2536)-((R2514-1)*(IF(Inputs!$B$38="pvp",15,MAX(0.1,Skills!D11-IF(Skills!E11=TRUE,0.5,0)))*(1-IF(AND(ArtifactsInput!$M$27,Inputs!$B$4="Chapter Hunt"),CHOOSE(ArtifactsInput!$N$27+1,20,24,28,32,36,40),0)/100)))))/Skills!H11,1)))/Inputs!$B$43),G2514*Q2514))*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2514*(1-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2514*(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2514*(1-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2514*(MIN(100,(Inputs!$B$9+((C2519=TRUE)*(F2519-Calc!F16))+B2529+(ArtifactsInput!$M$24-ArtifactsInput!$M$24)*CHOOSE(ArtifactsInput!$N$24+1,10,12,14,16,18,20)+(IF(AND(ArtifactsInput!$M$42,((Inputs!$B$9+((C2519=TRUE)*(F2519-Calc!F16))+B2529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4">
        <f>IF(C2514,(H2514*N2514*IF(AND(Inputs!$B$38&lt;&gt;"pvp",Inputs!$B$43&gt;0),((Skills!G11*((R2514-1)*IF(Skills!H11&gt;0,Skills!I11/Skills!H11,1)+IF(Skills!H11&gt;0,MIN(Skills!I11,MAX(0,MAX(0,Inputs!$B$43-B2536)-((R2514-1)*(IF(Inputs!$B$38="pvp",15,MAX(0.1,Skills!D11-IF(Skills!E11=TRUE,0.5,0)))*(1-IF(AND(ArtifactsInput!$M$27,Inputs!$B$4="Chapter Hunt"),CHOOSE(ArtifactsInput!$N$27+1,20,24,28,32,36,40),0)/100)))))/Skills!H11,1)))/Inputs!$B$43),G2514*Q2514))*IF(Inputs!$B$38="pvp",1,(1+(Inputs!$B$21+Skills!Q11+(IF(ArtifactsInput!$M$33,CHOOSE(ArtifactsInput!$N$33+1,30,36,42,48,54,60),0))+(IF(AND(ArtifactsInput!$M$35,Inputs!$B$4&lt;&gt;"Chapter Hunt"),CHOOSE(ArtifactsInput!$N$35+1,15,18,21,24,27,30)*(1-EXP(-(0.2*B2531)*5)),0)+IF(AND(ArtifactsInput!$M$22,Inputs!$B$4&lt;&gt;"Chapter Hunt"),CHOOSE(ArtifactsInput!$N$22+1,10,12,14,16,18,20)*((0*(((0.15*B2531*5))^0/1)+1*(((0.15*B2531*5))^1/1)+2*(((0.15*B2531*5))^2/2)+3*(((0.15*B2531*5))^3/6)+4*(((0.15*B2531*5))^4/24)+5*(((0.15*B2531*5))^5/120))/((((0.15*B2531*5))^0/1)+(((0.15*B2531*5))^1/1)+(((0.15*B2531*5))^2/2)+(((0.15*B2531*5))^3/6)+(((0.15*B2531*5))^4/24)+(((0.15*B2531*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5">
      <c r="A2515">
        <f>Skills!A12</f>
        <v/>
      </c>
      <c r="B2515">
        <f>Skills!B12</f>
        <v/>
      </c>
      <c r="C2515">
        <f>Inputs!$B$3&gt;=100</f>
        <v/>
      </c>
      <c r="D2515">
        <f>IF(Skills!C12=1,60+Inputs!$B$25+Inputs!$B$29,IF(Skills!C12=2,90+Inputs!$B$26+Inputs!$B$29,IF(Skills!C12=3,120+Inputs!$B$27+Inputs!$B$29,MAX(0,(Inputs!$B$3-100)*3)+Inputs!$B$28+Inputs!$B$29)))</f>
        <v/>
      </c>
      <c r="E2515">
        <f>INDEX(FactorTable!$B$2:$Y$301, MATCH(ROUND(MIN(300,MAX(1,D2515)),0), FactorTable!$A$2:$A$301,0), Skills!M12+1)</f>
        <v/>
      </c>
      <c r="F2515">
        <f>IF(Skills!N12=TRUE,(Skills!L12/10)*(E2515/1000),Skills!L12/10)+Skills!O12</f>
        <v/>
      </c>
      <c r="G2515" t="inlineStr"/>
      <c r="H2515" t="inlineStr"/>
      <c r="I2515" t="inlineStr">
        <is>
          <t>1</t>
        </is>
      </c>
      <c r="J2515" t="inlineStr"/>
      <c r="K2515" t="inlineStr"/>
      <c r="L2515" t="inlineStr"/>
      <c r="M2515" t="inlineStr"/>
      <c r="N2515" t="inlineStr"/>
      <c r="O2515" t="inlineStr"/>
      <c r="P2515" t="inlineStr"/>
      <c r="Q2515" t="inlineStr"/>
      <c r="R2515" t="inlineStr"/>
      <c r="S2515" t="inlineStr"/>
      <c r="T2515" t="inlineStr"/>
      <c r="V2515" t="inlineStr"/>
    </row>
    <row r="2516">
      <c r="A2516">
        <f>Skills!A13</f>
        <v/>
      </c>
      <c r="B2516">
        <f>Skills!B13</f>
        <v/>
      </c>
      <c r="C2516">
        <f>Inputs!$B$3&gt;=66</f>
        <v/>
      </c>
      <c r="D2516">
        <f>IF(Skills!C13=1,60+Inputs!$B$25+Inputs!$B$29,IF(Skills!C13=2,90+Inputs!$B$26+Inputs!$B$29,IF(Skills!C13=3,120+Inputs!$B$27+Inputs!$B$29,MAX(0,(Inputs!$B$3-100)*3)+Inputs!$B$28+Inputs!$B$29)))</f>
        <v/>
      </c>
      <c r="E2516">
        <f>INDEX(FactorTable!$B$2:$Y$301, MATCH(ROUND(MIN(300,MAX(1,D2516)),0), FactorTable!$A$2:$A$301,0), Skills!M13+1)</f>
        <v/>
      </c>
      <c r="F2516">
        <f>IF(Skills!N13=TRUE,(Skills!L13/10)*(E2516/1000),Skills!L13/10)+Skills!O13</f>
        <v/>
      </c>
      <c r="G2516">
        <f>Skills!G13*IF(Skills!H13&gt;0,Skills!I13/Skills!H13,1)</f>
        <v/>
      </c>
      <c r="H2516">
        <f>1-(1-Skills!J13/100)^Skills!K13</f>
        <v/>
      </c>
      <c r="I2516" t="inlineStr">
        <is>
          <t>1</t>
        </is>
      </c>
      <c r="J2516" t="inlineStr"/>
      <c r="K2516" t="inlineStr"/>
      <c r="L2516" t="inlineStr"/>
      <c r="M2516" t="inlineStr"/>
      <c r="N2516" t="inlineStr"/>
      <c r="O2516">
        <f>(1-Summary!$B$11)*T2516+Summary!$B$11*V2516</f>
        <v/>
      </c>
      <c r="P2516">
        <f>IF(B2539=0,0,O2516/B2539)</f>
        <v/>
      </c>
      <c r="Q2516" t="n">
        <v>0</v>
      </c>
      <c r="R2516" t="n">
        <v>0</v>
      </c>
      <c r="S2516">
        <f>IFERROR(O2516/N2516,0)</f>
        <v/>
      </c>
      <c r="T2516" t="n">
        <v>0</v>
      </c>
      <c r="V2516" t="n">
        <v>0</v>
      </c>
    </row>
    <row r="2517">
      <c r="A2517">
        <f>Skills!A14</f>
        <v/>
      </c>
      <c r="B2517">
        <f>Skills!B14</f>
        <v/>
      </c>
      <c r="C2517">
        <f>Inputs!$B$3&gt;=107</f>
        <v/>
      </c>
      <c r="D2517">
        <f>IF(Skills!C14=1,60+Inputs!$B$25+Inputs!$B$29,IF(Skills!C14=2,90+Inputs!$B$26+Inputs!$B$29,IF(Skills!C14=3,120+Inputs!$B$27+Inputs!$B$29,MAX(0,(Inputs!$B$3-100)*3)+Inputs!$B$28+Inputs!$B$29)))</f>
        <v/>
      </c>
      <c r="E2517">
        <f>INDEX(FactorTable!$B$2:$Y$301, MATCH(ROUND(MIN(300,MAX(1,D2517)),0), FactorTable!$A$2:$A$301,0), Skills!M14+1)</f>
        <v/>
      </c>
      <c r="F2517">
        <f>IF(Skills!N14=TRUE,(Skills!L14/10)*(E2517/1000),Skills!L14/10)+Skills!O14</f>
        <v/>
      </c>
      <c r="G2517">
        <f>Skills!G14*IF(Skills!H14&gt;0,Skills!I14/Skills!H14,1)</f>
        <v/>
      </c>
      <c r="H2517">
        <f>1-(1-Skills!J14/100)^Skills!K14</f>
        <v/>
      </c>
      <c r="I2517" t="inlineStr">
        <is>
          <t>1</t>
        </is>
      </c>
      <c r="J2517" t="inlineStr"/>
      <c r="K2517" t="inlineStr"/>
      <c r="L2517" t="inlineStr"/>
      <c r="M2517" t="inlineStr"/>
      <c r="N2517" t="inlineStr"/>
      <c r="O2517">
        <f>(1-Summary!$B$11)*T2517+Summary!$B$11*V2517</f>
        <v/>
      </c>
      <c r="P2517">
        <f>IF(B2539=0,0,O2517/B2539)</f>
        <v/>
      </c>
      <c r="Q2517">
        <f>IFERROR(1/(IF(Inputs!$B$38="pvp",15,MAX(0.1,Skills!D14-IF(Skills!E14=TRUE,0.5,0)))*(1-IF(AND(ArtifactsInput!$M$27,Inputs!$B$4="Chapter Hunt"),CHOOSE(ArtifactsInput!$N$27+1,20,24,28,32,36,40),0)/100)),0)</f>
        <v/>
      </c>
      <c r="R2517">
        <f>IF(AND(Inputs!$B$38&lt;&gt;"pvp",Inputs!$B$43&gt;0),IF(Inputs!$B$43&lt;=0,0,(INT(Inputs!$B$43/(IF(Inputs!$B$38="pvp",15,MAX(0.1,Skills!D14-IF(Skills!E14=TRUE,0.5,0)))*(1-IF(AND(ArtifactsInput!$M$27,Inputs!$B$4="Chapter Hunt"),CHOOSE(ArtifactsInput!$N$27+1,20,24,28,32,36,40),0)/100)))+1)),0)</f>
        <v/>
      </c>
      <c r="S2517">
        <f>IFERROR(O2517/N2517,0)</f>
        <v/>
      </c>
      <c r="T2517" t="n">
        <v>0</v>
      </c>
      <c r="V2517" t="n">
        <v>0</v>
      </c>
    </row>
    <row r="2518">
      <c r="A2518">
        <f>Skills!A15</f>
        <v/>
      </c>
      <c r="B2518">
        <f>Skills!B15</f>
        <v/>
      </c>
      <c r="C2518">
        <f>Inputs!$B$3&gt;=115</f>
        <v/>
      </c>
      <c r="D2518">
        <f>IF(Skills!C15=1,60+Inputs!$B$25+Inputs!$B$29,IF(Skills!C15=2,90+Inputs!$B$26+Inputs!$B$29,IF(Skills!C15=3,120+Inputs!$B$27+Inputs!$B$29,MAX(0,(Inputs!$B$3-100)*3)+Inputs!$B$28+Inputs!$B$29)))</f>
        <v/>
      </c>
      <c r="E2518">
        <f>INDEX(FactorTable!$B$2:$Y$301, MATCH(ROUND(MIN(300,MAX(1,D2518)),0), FactorTable!$A$2:$A$301,0), Skills!M15+1)</f>
        <v/>
      </c>
      <c r="F2518">
        <f>IF(Skills!N15=TRUE,(Skills!L15/10)*(E2518/1000),Skills!L15/10)+Skills!O15</f>
        <v/>
      </c>
      <c r="G2518">
        <f>Skills!G15*IF(Skills!H15&gt;0,Skills!I15/Skills!H15,1)</f>
        <v/>
      </c>
      <c r="H2518">
        <f>1-(1-Skills!J15/100)^Skills!K15</f>
        <v/>
      </c>
      <c r="I2518" t="inlineStr">
        <is>
          <t>1</t>
        </is>
      </c>
      <c r="J2518" t="inlineStr"/>
      <c r="K2518" t="inlineStr"/>
      <c r="L2518" t="inlineStr"/>
      <c r="M2518" t="inlineStr"/>
      <c r="N2518" t="inlineStr"/>
      <c r="O2518">
        <f>(1-Summary!$B$11)*T2518+Summary!$B$11*V2518</f>
        <v/>
      </c>
      <c r="P2518">
        <f>IF(B2539=0,0,O2518/B2539)</f>
        <v/>
      </c>
      <c r="Q2518">
        <f>IFERROR(1/(IF(Inputs!$B$38="pvp",15,MAX(0.1,Skills!D15-IF(Skills!E15=TRUE,0.5,0)))*(1-IF(AND(ArtifactsInput!$M$27,Inputs!$B$4="Chapter Hunt"),CHOOSE(ArtifactsInput!$N$27+1,20,24,28,32,36,40),0)/100)),0)</f>
        <v/>
      </c>
      <c r="R2518">
        <f>IF(AND(Inputs!$B$38&lt;&gt;"pvp",Inputs!$B$43&gt;0),IF(Inputs!$B$43&lt;=0,0,(INT(Inputs!$B$43/(IF(Inputs!$B$38="pvp",15,MAX(0.1,Skills!D15-IF(Skills!E15=TRUE,0.5,0)))*(1-IF(AND(ArtifactsInput!$M$27,Inputs!$B$4="Chapter Hunt"),CHOOSE(ArtifactsInput!$N$27+1,20,24,28,32,36,40),0)/100)))+1)),0)</f>
        <v/>
      </c>
      <c r="S2518">
        <f>IFERROR(O2518/N2518,0)</f>
        <v/>
      </c>
      <c r="T2518" t="n">
        <v>0</v>
      </c>
      <c r="V2518" t="n">
        <v>0</v>
      </c>
    </row>
    <row r="2519">
      <c r="A2519">
        <f>Skills!A16</f>
        <v/>
      </c>
      <c r="B2519">
        <f>Skills!B16</f>
        <v/>
      </c>
      <c r="C2519">
        <f>Inputs!$B$3&gt;=15</f>
        <v/>
      </c>
      <c r="D2519">
        <f>IF(Skills!C16=1,60+Inputs!$B$25+Inputs!$B$29,IF(Skills!C16=2,90+Inputs!$B$26+Inputs!$B$29,IF(Skills!C16=3,120+Inputs!$B$27+Inputs!$B$29,MAX(0,(Inputs!$B$3-100)*3)+Inputs!$B$28+Inputs!$B$29)))</f>
        <v/>
      </c>
      <c r="E2519">
        <f>INDEX(FactorTable!$B$2:$Y$301, MATCH(ROUND(MIN(300,MAX(1,D2519)),0), FactorTable!$A$2:$A$301,0), Skills!M16+1)</f>
        <v/>
      </c>
      <c r="F2519">
        <f>IF(Skills!N16=TRUE,(Skills!L16/10)*(E2519/1000),Skills!L16/10)+Skills!O16</f>
        <v/>
      </c>
      <c r="G2519">
        <f>Skills!G16*IF(Skills!H16&gt;0,Skills!I16/Skills!H16,1)</f>
        <v/>
      </c>
      <c r="H2519">
        <f>1-(1-Skills!J16/100)^Skills!K16</f>
        <v/>
      </c>
      <c r="I2519" t="inlineStr">
        <is>
          <t>1</t>
        </is>
      </c>
      <c r="J2519" t="inlineStr"/>
      <c r="K2519" t="inlineStr"/>
      <c r="L2519" t="inlineStr"/>
      <c r="M2519" t="inlineStr"/>
      <c r="N2519" t="inlineStr"/>
      <c r="O2519">
        <f>(1-Summary!$B$11)*T2519+Summary!$B$11*V2519</f>
        <v/>
      </c>
      <c r="P2519">
        <f>IF(B2539=0,0,O2519/B2539)</f>
        <v/>
      </c>
      <c r="Q2519" t="n">
        <v>0</v>
      </c>
      <c r="R2519" t="n">
        <v>0</v>
      </c>
      <c r="S2519">
        <f>IFERROR(O2519/N2519,0)</f>
        <v/>
      </c>
      <c r="T2519" t="n">
        <v>0</v>
      </c>
      <c r="V2519" t="n">
        <v>0</v>
      </c>
    </row>
    <row r="2520">
      <c r="A2520">
        <f>Skills!A17</f>
        <v/>
      </c>
      <c r="B2520">
        <f>Skills!B17</f>
        <v/>
      </c>
      <c r="C2520">
        <f>Inputs!$B$3&gt;=10</f>
        <v/>
      </c>
      <c r="D2520">
        <f>IF(Skills!C17=1,60+Inputs!$B$25+Inputs!$B$29,IF(Skills!C17=2,90+Inputs!$B$26+Inputs!$B$29,IF(Skills!C17=3,120+Inputs!$B$27+Inputs!$B$29,MAX(0,(Inputs!$B$3-100)*3)+Inputs!$B$28+Inputs!$B$29)))</f>
        <v/>
      </c>
      <c r="E2520">
        <f>INDEX(FactorTable!$B$2:$Y$301, MATCH(ROUND(MIN(300,MAX(1,D2520)),0), FactorTable!$A$2:$A$301,0), Skills!M17+1)</f>
        <v/>
      </c>
      <c r="F2520">
        <f>IF(Skills!N17=TRUE,(Skills!L17/10)*(E2520/1000),Skills!L17/10)+Skills!O17</f>
        <v/>
      </c>
      <c r="G2520">
        <f>Skills!G17*IF(Skills!H17&gt;0,Skills!I17/Skills!H17,1)</f>
        <v/>
      </c>
      <c r="H2520">
        <f>1-(1-Skills!J17/100)^Skills!K17</f>
        <v/>
      </c>
      <c r="I2520" t="inlineStr">
        <is>
          <t>1</t>
        </is>
      </c>
      <c r="J2520" t="inlineStr"/>
      <c r="K2520" t="inlineStr"/>
      <c r="L2520" t="inlineStr"/>
      <c r="M2520" t="inlineStr"/>
      <c r="N2520" t="inlineStr"/>
      <c r="O2520">
        <f>(1-Summary!$B$11)*T2520+Summary!$B$11*V2520</f>
        <v/>
      </c>
      <c r="P2520">
        <f>IF(B2539=0,0,O2520/B2539)</f>
        <v/>
      </c>
      <c r="Q2520" t="n">
        <v>0</v>
      </c>
      <c r="R2520" t="n">
        <v>0</v>
      </c>
      <c r="S2520">
        <f>IFERROR(O2520/N2520,0)</f>
        <v/>
      </c>
      <c r="T2520" t="n">
        <v>0</v>
      </c>
      <c r="V2520" t="n">
        <v>0</v>
      </c>
    </row>
    <row r="2521">
      <c r="A2521">
        <f>Skills!A18</f>
        <v/>
      </c>
      <c r="B2521">
        <f>Skills!B18</f>
        <v/>
      </c>
      <c r="C2521">
        <f>Inputs!$B$3&gt;=33</f>
        <v/>
      </c>
      <c r="D2521">
        <f>IF(Skills!C18=1,60+Inputs!$B$25+Inputs!$B$29,IF(Skills!C18=2,90+Inputs!$B$26+Inputs!$B$29,IF(Skills!C18=3,120+Inputs!$B$27+Inputs!$B$29,MAX(0,(Inputs!$B$3-100)*3)+Inputs!$B$28+Inputs!$B$29)))</f>
        <v/>
      </c>
      <c r="E2521">
        <f>INDEX(FactorTable!$B$2:$Y$301, MATCH(ROUND(MIN(300,MAX(1,D2521)),0), FactorTable!$A$2:$A$301,0), Skills!M18+1)</f>
        <v/>
      </c>
      <c r="F2521">
        <f>IF(Skills!N18=TRUE,(Skills!L18/10)*(E2521/1000),Skills!L18/10)+Skills!O18</f>
        <v/>
      </c>
      <c r="G2521">
        <f>Skills!G18*IF(Skills!H18&gt;0,Skills!I18/Skills!H18,1)</f>
        <v/>
      </c>
      <c r="H2521">
        <f>1-(1-Skills!J18/100)^Skills!K18</f>
        <v/>
      </c>
      <c r="I2521" t="inlineStr">
        <is>
          <t>1</t>
        </is>
      </c>
      <c r="J2521" t="inlineStr"/>
      <c r="K2521" t="inlineStr"/>
      <c r="L2521" t="inlineStr"/>
      <c r="M2521" t="inlineStr"/>
      <c r="N2521" t="inlineStr"/>
      <c r="O2521">
        <f>(1-Summary!$B$11)*T2521+Summary!$B$11*V2521</f>
        <v/>
      </c>
      <c r="P2521">
        <f>IF(B2539=0,0,O2521/B2539)</f>
        <v/>
      </c>
      <c r="Q2521" t="n">
        <v>0</v>
      </c>
      <c r="R2521" t="n">
        <v>0</v>
      </c>
      <c r="S2521">
        <f>IFERROR(O2521/N2521,0)</f>
        <v/>
      </c>
      <c r="T2521" t="n">
        <v>0</v>
      </c>
      <c r="V2521" t="n">
        <v>0</v>
      </c>
    </row>
    <row r="2522">
      <c r="A2522">
        <f>Skills!A19</f>
        <v/>
      </c>
      <c r="B2522">
        <f>Skills!B19</f>
        <v/>
      </c>
      <c r="C2522">
        <f>Inputs!$B$3&gt;=40</f>
        <v/>
      </c>
      <c r="D2522">
        <f>IF(Skills!C19=1,60+Inputs!$B$25+Inputs!$B$29,IF(Skills!C19=2,90+Inputs!$B$26+Inputs!$B$29,IF(Skills!C19=3,120+Inputs!$B$27+Inputs!$B$29,MAX(0,(Inputs!$B$3-100)*3)+Inputs!$B$28+Inputs!$B$29)))</f>
        <v/>
      </c>
      <c r="E2522">
        <f>INDEX(FactorTable!$B$2:$Y$301, MATCH(ROUND(MIN(300,MAX(1,D2522)),0), FactorTable!$A$2:$A$301,0), Skills!M19+1)</f>
        <v/>
      </c>
      <c r="F2522">
        <f>IF(Skills!N19=TRUE,(Skills!L19/10)*(E2522/1000),Skills!L19/10)+Skills!O19</f>
        <v/>
      </c>
      <c r="G2522">
        <f>Skills!G19*IF(Skills!H19&gt;0,Skills!I19/Skills!H19,1)</f>
        <v/>
      </c>
      <c r="H2522">
        <f>1-(1-Skills!J19/100)^Skills!K19</f>
        <v/>
      </c>
      <c r="I2522" t="inlineStr">
        <is>
          <t>1</t>
        </is>
      </c>
      <c r="J2522" t="inlineStr"/>
      <c r="K2522" t="inlineStr"/>
      <c r="L2522" t="inlineStr"/>
      <c r="M2522" t="inlineStr"/>
      <c r="N2522" t="inlineStr"/>
      <c r="O2522">
        <f>(1-Summary!$B$11)*T2522+Summary!$B$11*V2522</f>
        <v/>
      </c>
      <c r="P2522">
        <f>IF(B2539=0,0,O2522/B2539)</f>
        <v/>
      </c>
      <c r="Q2522" t="n">
        <v>0</v>
      </c>
      <c r="R2522" t="n">
        <v>0</v>
      </c>
      <c r="S2522">
        <f>IFERROR(O2522/N2522,0)</f>
        <v/>
      </c>
      <c r="T2522" t="n">
        <v>0</v>
      </c>
      <c r="V2522" t="n">
        <v>0</v>
      </c>
    </row>
    <row r="2523">
      <c r="A2523">
        <f>Skills!A20</f>
        <v/>
      </c>
      <c r="B2523">
        <f>Skills!B20</f>
        <v/>
      </c>
      <c r="C2523">
        <f>Inputs!$B$3&gt;=43</f>
        <v/>
      </c>
      <c r="D2523">
        <f>IF(Skills!C20=1,60+Inputs!$B$25+Inputs!$B$29,IF(Skills!C20=2,90+Inputs!$B$26+Inputs!$B$29,IF(Skills!C20=3,120+Inputs!$B$27+Inputs!$B$29,MAX(0,(Inputs!$B$3-100)*3)+Inputs!$B$28+Inputs!$B$29)))</f>
        <v/>
      </c>
      <c r="E2523">
        <f>INDEX(FactorTable!$B$2:$Y$301, MATCH(ROUND(MIN(300,MAX(1,D2523)),0), FactorTable!$A$2:$A$301,0), Skills!M20+1)</f>
        <v/>
      </c>
      <c r="F2523">
        <f>IF(Skills!N20=TRUE,(Skills!L20/10)*(E2523/1000),Skills!L20/10)+Skills!O20</f>
        <v/>
      </c>
      <c r="G2523">
        <f>Skills!G20*IF(Skills!H20&gt;0,Skills!I20/Skills!H20,1)</f>
        <v/>
      </c>
      <c r="H2523">
        <f>1-(1-Skills!J20/100)^Skills!K20</f>
        <v/>
      </c>
      <c r="I2523" t="inlineStr">
        <is>
          <t>1</t>
        </is>
      </c>
      <c r="J2523" t="inlineStr"/>
      <c r="K2523" t="inlineStr"/>
      <c r="L2523" t="inlineStr"/>
      <c r="M2523" t="inlineStr"/>
      <c r="N2523" t="inlineStr"/>
      <c r="O2523">
        <f>(1-Summary!$B$11)*T2523+Summary!$B$11*V2523</f>
        <v/>
      </c>
      <c r="P2523">
        <f>IF(B2539=0,0,O2523/B2539)</f>
        <v/>
      </c>
      <c r="Q2523" t="n">
        <v>0</v>
      </c>
      <c r="R2523" t="n">
        <v>0</v>
      </c>
      <c r="S2523">
        <f>IFERROR(O2523/N2523,0)</f>
        <v/>
      </c>
      <c r="T2523" t="n">
        <v>0</v>
      </c>
      <c r="V2523" t="n">
        <v>0</v>
      </c>
    </row>
    <row r="2524">
      <c r="A2524">
        <f>Skills!A21</f>
        <v/>
      </c>
      <c r="B2524">
        <f>Skills!B21</f>
        <v/>
      </c>
      <c r="C2524">
        <f>Inputs!$B$3&gt;=38</f>
        <v/>
      </c>
      <c r="D2524">
        <f>IF(Skills!C21=1,60+Inputs!$B$25+Inputs!$B$29,IF(Skills!C21=2,90+Inputs!$B$26+Inputs!$B$29,IF(Skills!C21=3,120+Inputs!$B$27+Inputs!$B$29,MAX(0,(Inputs!$B$3-100)*3)+Inputs!$B$28+Inputs!$B$29)))</f>
        <v/>
      </c>
      <c r="E2524">
        <f>INDEX(FactorTable!$B$2:$Y$301, MATCH(ROUND(MIN(300,MAX(1,D2524)),0), FactorTable!$A$2:$A$301,0), Skills!M21+1)</f>
        <v/>
      </c>
      <c r="F2524">
        <f>IF(Skills!N21=TRUE,(Skills!L21/10)*(E2524/1000),Skills!L21/10)+Skills!O21</f>
        <v/>
      </c>
      <c r="G2524">
        <f>Skills!G21*IF(Skills!H21&gt;0,Skills!I21/Skills!H21,1)</f>
        <v/>
      </c>
      <c r="H2524">
        <f>1-(1-Skills!J21/100)^Skills!K21</f>
        <v/>
      </c>
      <c r="I2524" t="inlineStr">
        <is>
          <t>1</t>
        </is>
      </c>
      <c r="J2524" t="inlineStr"/>
      <c r="K2524" t="inlineStr"/>
      <c r="L2524" t="inlineStr"/>
      <c r="M2524" t="inlineStr"/>
      <c r="N2524" t="inlineStr"/>
      <c r="O2524">
        <f>(1-Summary!$B$11)*T2524+Summary!$B$11*V2524</f>
        <v/>
      </c>
      <c r="P2524">
        <f>IF(B2539=0,0,O2524/B2539)</f>
        <v/>
      </c>
      <c r="Q2524" t="n">
        <v>0</v>
      </c>
      <c r="R2524" t="n">
        <v>0</v>
      </c>
      <c r="S2524">
        <f>IFERROR(O2524/N2524,0)</f>
        <v/>
      </c>
      <c r="T2524" t="n">
        <v>0</v>
      </c>
      <c r="V2524" t="n">
        <v>0</v>
      </c>
    </row>
    <row r="2525">
      <c r="A2525">
        <f>Skills!A22</f>
        <v/>
      </c>
      <c r="B2525">
        <f>Skills!B22</f>
        <v/>
      </c>
      <c r="C2525">
        <f>Inputs!$B$3&gt;=75</f>
        <v/>
      </c>
      <c r="D2525">
        <f>IF(Skills!C22=1,60+Inputs!$B$25+Inputs!$B$29,IF(Skills!C22=2,90+Inputs!$B$26+Inputs!$B$29,IF(Skills!C22=3,120+Inputs!$B$27+Inputs!$B$29,MAX(0,(Inputs!$B$3-100)*3)+Inputs!$B$28+Inputs!$B$29)))</f>
        <v/>
      </c>
      <c r="E2525">
        <f>INDEX(FactorTable!$B$2:$Y$301, MATCH(ROUND(MIN(300,MAX(1,D2525)),0), FactorTable!$A$2:$A$301,0), Skills!M22+1)</f>
        <v/>
      </c>
      <c r="F2525">
        <f>IF(Skills!N22=TRUE,(Skills!L22/10)*(E2525/1000),Skills!L22/10)+Skills!O22</f>
        <v/>
      </c>
      <c r="G2525">
        <f>Skills!G22*IF(Skills!H22&gt;0,Skills!I22/Skills!H22,1)</f>
        <v/>
      </c>
      <c r="H2525">
        <f>1-(1-Skills!J22/100)^Skills!K22</f>
        <v/>
      </c>
      <c r="I2525" t="inlineStr">
        <is>
          <t>1</t>
        </is>
      </c>
      <c r="J2525" t="inlineStr"/>
      <c r="K2525" t="inlineStr"/>
      <c r="L2525" t="inlineStr"/>
      <c r="M2525" t="inlineStr"/>
      <c r="N2525" t="inlineStr"/>
      <c r="O2525">
        <f>(1-Summary!$B$11)*T2525+Summary!$B$11*V2525</f>
        <v/>
      </c>
      <c r="P2525">
        <f>IF(B2539=0,0,O2525/B2539)</f>
        <v/>
      </c>
      <c r="Q2525" t="n">
        <v>0</v>
      </c>
      <c r="R2525" t="n">
        <v>0</v>
      </c>
      <c r="S2525">
        <f>IFERROR(O2525/N2525,0)</f>
        <v/>
      </c>
      <c r="T2525" t="n">
        <v>0</v>
      </c>
      <c r="V2525" t="n">
        <v>0</v>
      </c>
    </row>
    <row r="2526">
      <c r="A2526">
        <f>Skills!A23</f>
        <v/>
      </c>
      <c r="B2526">
        <f>Skills!B23</f>
        <v/>
      </c>
      <c r="C2526">
        <f>TRUE</f>
        <v/>
      </c>
      <c r="D2526">
        <f>IF(Skills!C23=1,60+Inputs!$B$25+Inputs!$B$29,IF(Skills!C23=2,90+Inputs!$B$26+Inputs!$B$29,IF(Skills!C23=3,120+Inputs!$B$27+Inputs!$B$29,MAX(0,(Inputs!$B$3-100)*3)+Inputs!$B$28+Inputs!$B$29)))</f>
        <v/>
      </c>
      <c r="E2526">
        <f>INDEX(FactorTable!$B$2:$Y$301, MATCH(ROUND(MIN(300,MAX(1,D2526)),0), FactorTable!$A$2:$A$301,0), Skills!M23+1)</f>
        <v/>
      </c>
      <c r="F2526">
        <f>IF(Skills!N23=TRUE,(Skills!L23/10)*(E2526/1000),Skills!L23/10)+Skills!O23</f>
        <v/>
      </c>
      <c r="G2526">
        <f>Skills!G23*IF(Skills!H23&gt;0,Skills!I23/Skills!H23,1)</f>
        <v/>
      </c>
      <c r="H2526">
        <f>1-(1-Skills!J23/100)^Skills!K23</f>
        <v/>
      </c>
      <c r="I2526" t="inlineStr">
        <is>
          <t>1</t>
        </is>
      </c>
      <c r="J2526" t="inlineStr"/>
      <c r="K2526" t="inlineStr"/>
      <c r="L2526" t="inlineStr"/>
      <c r="M2526" t="inlineStr"/>
      <c r="N2526" t="inlineStr"/>
      <c r="O2526">
        <f>(1-Summary!$B$11)*T2526+Summary!$B$11*V2526</f>
        <v/>
      </c>
      <c r="P2526">
        <f>IF(B2539=0,0,O2526/B2539)</f>
        <v/>
      </c>
      <c r="Q2526">
        <f>IFERROR(1/(IF(Inputs!$B$38="pvp",15,MAX(0.1,Skills!D23-IF(Skills!E23=TRUE,0.5,0)))*(1-IF(AND(ArtifactsInput!$M$27,Inputs!$B$4="Chapter Hunt"),CHOOSE(ArtifactsInput!$N$27+1,20,24,28,32,36,40),0)/100)),0)</f>
        <v/>
      </c>
      <c r="R2526">
        <f>IF(AND(Inputs!$B$38&lt;&gt;"pvp",Inputs!$B$43&gt;0),IF(Inputs!$B$43&lt;=0,0,(INT(Inputs!$B$43/(IF(Inputs!$B$38="pvp",15,MAX(0.1,Skills!D23-IF(Skills!E23=TRUE,0.5,0)))*(1-IF(AND(ArtifactsInput!$M$27,Inputs!$B$4="Chapter Hunt"),CHOOSE(ArtifactsInput!$N$27+1,20,24,28,32,36,40),0)/100)))+1)),0)</f>
        <v/>
      </c>
      <c r="S2526">
        <f>IFERROR(O2526/N2526,0)</f>
        <v/>
      </c>
      <c r="T2526" t="n">
        <v>0</v>
      </c>
      <c r="V2526" t="n">
        <v>0</v>
      </c>
    </row>
    <row r="2528">
      <c r="A2528" t="inlineStr">
        <is>
          <t>Attack% Bucket Multiplier</t>
        </is>
      </c>
      <c r="B2528">
        <f>(1+(((C2516=TRUE)*F2516*5/7)+((C2522=TRUE)*(F2522-Calc!F19))+(IF(ArtifactsInput!$M$21,CHOOSE(ArtifactsInput!$N$21+1,25,30,35,40,45,50)*(IF(OR(Inputs!$B$4="Chapter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29">
      <c r="A2529" t="inlineStr">
        <is>
          <t>Global Crit Rate Bonus %</t>
        </is>
      </c>
      <c r="B2529" t="n">
        <v>0</v>
      </c>
    </row>
    <row r="2530">
      <c r="A2530" t="inlineStr">
        <is>
          <t>Attack Speed Buff Bonus % (Nimble Feet, duty-cycle averaged)</t>
        </is>
      </c>
      <c r="B2530">
        <f>((C2526=TRUE)*F2526*IF(AND(Inputs!$B$38&lt;&gt;"pvp",Inputs!$B$43&gt;0),(((R2526-1)*(Skills!T23*(1+Inputs!$B$34/100))+MIN((Skills!T23*(1+Inputs!$B$34/100)),MAX(0,Inputs!$B$43-((R2526-1)*Skills!D23))))/Inputs!$B$43),IF(Inputs!$B$38="pvp",MIN((Skills!T23*(1+Inputs!$B$34/100)),15)/15,(Skills!T23*(1+Inputs!$B$34/100))/Skills!D23)))</f>
        <v/>
      </c>
    </row>
    <row r="2531">
      <c r="A2531" t="inlineStr">
        <is>
          <t>Actions Per Second</t>
        </is>
      </c>
      <c r="B2531">
        <f>1+MIN(150,150*(1-(1-(Inputs!$B$11+((C2520=TRUE)*(F2520-Calc!F17))+((C2521=TRUE)*(F2521-Calc!F18)))/150)*(1-B2530/150)))/100</f>
        <v/>
      </c>
    </row>
    <row r="2532">
      <c r="A2532" t="inlineStr">
        <is>
          <t>Skill + Buff Cast Rate</t>
        </is>
      </c>
      <c r="B2532">
        <f>IF(AND(Inputs!$B$38&lt;&gt;"pvp",Inputs!$B$43&gt;0),SUMPRODUCT((Skills!E2:E23=TRUE)*(C2505:C2526=TRUE)*R2505:R2526*Skills!F2:F23)/Inputs!$B$43,SUMPRODUCT((Skills!E2:E23=TRUE)*(C2505:C2526=TRUE)*Q2505:Q2526*Skills!F2:F23))</f>
        <v/>
      </c>
    </row>
    <row r="2533">
      <c r="A2533" t="inlineStr">
        <is>
          <t>Hook Bomber Casts Per Second</t>
        </is>
      </c>
      <c r="B2533">
        <f>MAX(0,B2531-B2532)</f>
        <v/>
      </c>
    </row>
    <row r="2534">
      <c r="A2534" t="inlineStr">
        <is>
          <t>Global Critical Damage Bonus % (unused)</t>
        </is>
      </c>
      <c r="B2534" t="n">
        <v>0</v>
      </c>
    </row>
    <row r="2535">
      <c r="A2535" t="inlineStr">
        <is>
          <t>Global Final Damage Bonus % (Serpent Scale + Crossbones + Time Leap + Speed Infusion)</t>
        </is>
      </c>
      <c r="B2535">
        <f>((C2508=TRUE)*F2508*((10+IF(Inputs!$B$3&gt;=94,5,0))/((10+IF(Inputs!$B$3&gt;=94,5,0))+5/(B2533*(1+IF(Inputs!$B$3&gt;=104,1,0))))))+((C2517=TRUE)*F2517*IF(AND(Inputs!$B$38&lt;&gt;"pvp",Inputs!$B$43&gt;0),(((R2517-1)*(Skills!T14*(1+Inputs!$B$34/100))+MIN((Skills!T14*(1+Inputs!$B$34/100)),MAX(0,Inputs!$B$43-((R2517-1)*Skills!D14))))/Inputs!$B$43),IF(Inputs!$B$38="pvp",MIN((Skills!T14*(1+Inputs!$B$34/100)),15)/15,(Skills!T14*(1+Inputs!$B$34/100))/Skills!D14)))+((C2518=TRUE)*F2518*IF(AND(Inputs!$B$38&lt;&gt;"pvp",Inputs!$B$43&gt;0),(((R2518-1)*(Skills!T15*(1+Inputs!$B$34/100))+MIN((Skills!T15*(1+Inputs!$B$34/100)),MAX(0,Inputs!$B$43-((R2518-1)*Skills!D15))))/Inputs!$B$43),IF(Inputs!$B$38="pvp",MIN((Skills!T15*(1+Inputs!$B$34/100)),15)/15,(Skills!T15*(1+Inputs!$B$34/100))/Skills!D15)))+((Inputs!$B$3&gt;=110)*20*(B2531-1)*IF(Inputs!$B$38="pvp",MIN((15*(1+Inputs!$B$34/100)),15)/15,(15*(1+Inputs!$B$34/100))/35))</f>
        <v/>
      </c>
    </row>
    <row r="2536">
      <c r="A2536" t="inlineStr">
        <is>
          <t>Buff-Casting Startup Delay (s, fixed-duration only)</t>
        </is>
      </c>
      <c r="B2536">
        <f>IF(AND(Inputs!$B$38&lt;&gt;"pvp",Inputs!$B$43&gt;0),SUMPRODUCT((Skills!T2:T23&gt;0)*(Skills!E2:E23=TRUE)*(C2505:C2526=TRUE))/B2531,0)</f>
        <v/>
      </c>
    </row>
    <row r="2537">
      <c r="A2537" t="inlineStr">
        <is>
          <t>Boss-Only Total DPS (this block's swept value)</t>
        </is>
      </c>
      <c r="B2537">
        <f>SUM(T2505:T2526)</f>
        <v/>
      </c>
    </row>
    <row r="2538">
      <c r="A2538" t="inlineStr">
        <is>
          <t>Normal-Only Total DPS (this block's swept value)</t>
        </is>
      </c>
      <c r="B2538">
        <f>SUM(V2505:V2526)</f>
        <v/>
      </c>
    </row>
    <row r="2539">
      <c r="A2539" s="6" t="inlineStr">
        <is>
          <t>TOTAL DPS</t>
        </is>
      </c>
      <c r="B2539" s="6">
        <f>SUM(O2505:O2526)</f>
        <v/>
      </c>
    </row>
    <row r="2542">
      <c r="A2542" s="6" t="inlineStr">
        <is>
          <t>Stat: CDR = 1.0s</t>
        </is>
      </c>
    </row>
    <row r="2543">
      <c r="A2543" s="5" t="inlineStr">
        <is>
          <t>Key</t>
        </is>
      </c>
      <c r="B2543" s="5" t="inlineStr">
        <is>
          <t>Name</t>
        </is>
      </c>
      <c r="C2543" s="5" t="inlineStr">
        <is>
          <t>Unlocked</t>
        </is>
      </c>
      <c r="D2543" s="5" t="inlineStr">
        <is>
          <t>InputLevel</t>
        </is>
      </c>
      <c r="E2543" s="5" t="inlineStr">
        <is>
          <t>Factor</t>
        </is>
      </c>
      <c r="F2543" s="5" t="inlineStr">
        <is>
          <t>CoefficientPercent</t>
        </is>
      </c>
      <c r="G2543" s="5" t="inlineStr">
        <is>
          <t>EffectiveHits</t>
        </is>
      </c>
      <c r="H2543" s="5" t="inlineStr">
        <is>
          <t>ProcProbability</t>
        </is>
      </c>
      <c r="I2543" s="5" t="inlineStr">
        <is>
          <t>MapleHeroMultiplier</t>
        </is>
      </c>
      <c r="J2543" s="5" t="inlineStr">
        <is>
          <t>BaseDamage</t>
        </is>
      </c>
      <c r="K2543" s="5" t="inlineStr">
        <is>
          <t>BaseHitDamage</t>
        </is>
      </c>
      <c r="L2543" s="5" t="inlineStr">
        <is>
          <t>NonCritAvg</t>
        </is>
      </c>
      <c r="M2543" s="5" t="inlineStr">
        <is>
          <t>CritAvg</t>
        </is>
      </c>
      <c r="N2543" s="5" t="inlineStr">
        <is>
          <t>ExpectedDamage(perHit)</t>
        </is>
      </c>
      <c r="O2543" s="5" t="inlineStr">
        <is>
          <t>DPS</t>
        </is>
      </c>
      <c r="P2543" s="5" t="inlineStr">
        <is>
          <t>% of Total</t>
        </is>
      </c>
      <c r="Q2543" s="5" t="inlineStr">
        <is>
          <t>InvCooldown</t>
        </is>
      </c>
      <c r="R2543" s="5" t="inlineStr">
        <is>
          <t>CastsInFight</t>
        </is>
      </c>
      <c r="S2543" s="5" t="inlineStr">
        <is>
          <t>HitRate(perSec)</t>
        </is>
      </c>
      <c r="U2543" t="inlineStr">
        <is>
          <t>helpers</t>
        </is>
      </c>
    </row>
    <row r="2544">
      <c r="A2544">
        <f>Skills!A2</f>
        <v/>
      </c>
      <c r="B2544">
        <f>Skills!B2</f>
        <v/>
      </c>
      <c r="C2544">
        <f>Inputs!$B$3&gt;=100</f>
        <v/>
      </c>
      <c r="D2544" t="inlineStr"/>
      <c r="E2544" t="inlineStr"/>
      <c r="F2544">
        <f>U2546+Skills!O2</f>
        <v/>
      </c>
      <c r="G2544">
        <f>Skills!G2*IF(Skills!H2&gt;0,Skills!I2/Skills!H2,1)</f>
        <v/>
      </c>
      <c r="H2544">
        <f>1-(1-Skills!J2/100)^Skills!K2</f>
        <v/>
      </c>
      <c r="I2544" t="inlineStr">
        <is>
          <t>1</t>
        </is>
      </c>
      <c r="J2544">
        <f>((Inputs!$B$6*(1+Inputs!$B$7/100))+(((Inputs!$B$12*(1+Inputs!$B$13/100))-(Inputs!$B$12*(1+Inputs!$B$13/100)))+0.25*(Inputs!$B$14-Inputs!$B$14))*(1+Inputs!$B$7/100))*(F2544/100)</f>
        <v/>
      </c>
      <c r="K2544">
        <f>J2544*(1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2544)</f>
        <v/>
      </c>
      <c r="L2544">
        <f>K2544*(MIN(Inputs!$B$22+((C2562=TRUE)*(F2562-Calc!F20)),(Inputs!$B$23+0+(IF(ArtifactsInput!$M$15,CHOOSE(ArtifactsInput!$N$15+1,25,30,35,40,45,50)/100*(Inputs!$B$11-Inputs!$B$11),0))))/100+(Inputs!$B$23+0+(IF(ArtifactsInput!$M$15,CHOOSE(ArtifactsInput!$N$15+1,25,30,35,40,45,50)/100*(Inputs!$B$11-Inputs!$B$11),0)))/100)/2</f>
        <v/>
      </c>
      <c r="M2544">
        <f>L2544*(1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4">
        <f>L2544*(1-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2544*(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4">
        <f>(1-Summary!$B$11)*T2544+Summary!$B$11*V2544</f>
        <v/>
      </c>
      <c r="P2544">
        <f>IF(B2578=0,0,O2544/B2578)</f>
        <v/>
      </c>
      <c r="Q2544" t="n">
        <v>0</v>
      </c>
      <c r="R2544" t="n">
        <v>0</v>
      </c>
      <c r="S2544">
        <f>IFERROR(O2544/N2544,0)</f>
        <v/>
      </c>
      <c r="T2544">
        <f>IF(C2544,(Skills!G2*N2544*B2572)*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2544*(1-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2544*(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2544*(1-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2544*(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4">
        <f>MAX(0,(Inputs!$B$3-100)*3)+Inputs!$B$28+Inputs!$B$29</f>
        <v/>
      </c>
      <c r="V2544">
        <f>IF(C2544,(Skills!G2*N2544*B2572)*IF(Inputs!$B$38="pvp",1,(1+(Inputs!$B$21+Skills!Q2+(IF(ArtifactsInput!$M$33,CHOOSE(ArtifactsInput!$N$33+1,30,36,42,48,54,60),0))+(IF(AND(ArtifactsInput!$M$35,Inputs!$B$4&lt;&gt;"Chapter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5">
      <c r="A2545">
        <f>Skills!A3</f>
        <v/>
      </c>
      <c r="B2545">
        <f>Skills!B3</f>
        <v/>
      </c>
      <c r="C2545">
        <f>Inputs!$B$3&gt;=35</f>
        <v/>
      </c>
      <c r="D2545">
        <f>IF(Skills!C3=1,60+Inputs!$B$25+Inputs!$B$29,IF(Skills!C3=2,90+Inputs!$B$26+Inputs!$B$29,IF(Skills!C3=3,120+Inputs!$B$27+Inputs!$B$29,MAX(0,(Inputs!$B$3-100)*3)+Inputs!$B$28+Inputs!$B$29)))</f>
        <v/>
      </c>
      <c r="E2545">
        <f>INDEX(FactorTable!$B$2:$Y$301, MATCH(ROUND(MIN(300,MAX(1,D2545)),0), FactorTable!$A$2:$A$301,0), Skills!M3+1)</f>
        <v/>
      </c>
      <c r="F2545">
        <f>IF(Skills!N3=TRUE,(Skills!L3/10)*(E2545/1000),Skills!L3/10)+Skills!O3</f>
        <v/>
      </c>
      <c r="G2545">
        <f>Skills!G3*IF(Skills!H3&gt;0,Skills!I3/Skills!H3,1)</f>
        <v/>
      </c>
      <c r="H2545">
        <f>1-(1-Skills!J3/100)^Skills!K3</f>
        <v/>
      </c>
      <c r="I2545" t="inlineStr">
        <is>
          <t>1</t>
        </is>
      </c>
      <c r="J2545">
        <f>((Inputs!$B$6*(1+Inputs!$B$7/100))+(((Inputs!$B$12*(1+Inputs!$B$13/100))-(Inputs!$B$12*(1+Inputs!$B$13/100)))+0.25*(Inputs!$B$14-Inputs!$B$14))*(1+Inputs!$B$7/100))*(F2545/100)</f>
        <v/>
      </c>
      <c r="K2545">
        <f>J2545*(1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2545)</f>
        <v/>
      </c>
      <c r="L2545">
        <f>K2545*(MIN(Inputs!$B$22+((C2562=TRUE)*(F2562-Calc!F20)),(Inputs!$B$23+0+(IF(ArtifactsInput!$M$15,CHOOSE(ArtifactsInput!$N$15+1,25,30,35,40,45,50)/100*(Inputs!$B$11-Inputs!$B$11),0))))/100+(Inputs!$B$23+0+(IF(ArtifactsInput!$M$15,CHOOSE(ArtifactsInput!$N$15+1,25,30,35,40,45,50)/100*(Inputs!$B$11-Inputs!$B$11),0)))/100)/2</f>
        <v/>
      </c>
      <c r="M2545">
        <f>L2545*(1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5">
        <f>L2545*(1-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2545*(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5">
        <f>(1-Summary!$B$11)*T2545+Summary!$B$11*V2545</f>
        <v/>
      </c>
      <c r="P2545">
        <f>IF(B2578=0,0,O2545/B2578)</f>
        <v/>
      </c>
      <c r="Q2545" t="n">
        <v>0</v>
      </c>
      <c r="R2545" t="n">
        <v>0</v>
      </c>
      <c r="S2545">
        <f>IFERROR(O2545/N2545,0)</f>
        <v/>
      </c>
      <c r="T2545">
        <f>IF(C2545,(Skills!G3*H2545*N2545*B2572)*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2545*(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2545*(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5">
        <f>INDEX(FactorTable!$B$2:$Y$301, MATCH(ROUND(MIN(300,MAX(1,U2544)),0), FactorTable!$A$2:$A$301,0), 22)</f>
        <v/>
      </c>
      <c r="V2545">
        <f>IF(C2545,(Skills!G3*H2545*N2545*B2572)*IF(Inputs!$B$38="pvp",1,(1+(Inputs!$B$21+Skills!Q3+(IF(ArtifactsInput!$M$33,CHOOSE(ArtifactsInput!$N$33+1,30,36,42,48,54,60),0))+(IF(AND(ArtifactsInput!$M$35,Inputs!$B$4&lt;&gt;"Chapter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6">
      <c r="A2546">
        <f>Skills!A4</f>
        <v/>
      </c>
      <c r="B2546">
        <f>Skills!B4</f>
        <v/>
      </c>
      <c r="C2546">
        <f>Inputs!$B$3&gt;=60</f>
        <v/>
      </c>
      <c r="D2546">
        <f>IF(Skills!C4=1,60+Inputs!$B$25+Inputs!$B$29,IF(Skills!C4=2,90+Inputs!$B$26+Inputs!$B$29,IF(Skills!C4=3,120+Inputs!$B$27+Inputs!$B$29,MAX(0,(Inputs!$B$3-100)*3)+Inputs!$B$28+Inputs!$B$29)))</f>
        <v/>
      </c>
      <c r="E2546">
        <f>INDEX(FactorTable!$B$2:$Y$301, MATCH(ROUND(MIN(300,MAX(1,D2546)),0), FactorTable!$A$2:$A$301,0), Skills!M4+1)</f>
        <v/>
      </c>
      <c r="F2546">
        <f>IF(Skills!N4=TRUE,(Skills!L4/10)*(E2546/1000),Skills!L4/10)+Skills!O4</f>
        <v/>
      </c>
      <c r="G2546">
        <f>Skills!G4*IF(Skills!H4&gt;0,Skills!I4/Skills!H4,1)</f>
        <v/>
      </c>
      <c r="H2546">
        <f>1-(1-Skills!J4/100)^Skills!K4</f>
        <v/>
      </c>
      <c r="I2546" t="inlineStr">
        <is>
          <t>1</t>
        </is>
      </c>
      <c r="J2546">
        <f>((Inputs!$B$6*(1+Inputs!$B$7/100))+(((Inputs!$B$12*(1+Inputs!$B$13/100))-(Inputs!$B$12*(1+Inputs!$B$13/100)))+0.25*(Inputs!$B$14-Inputs!$B$14))*(1+Inputs!$B$7/100))*(F2546/100)</f>
        <v/>
      </c>
      <c r="K2546">
        <f>J2546*(1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2554=TRUE,F2554,0)/100)*(1+(IF(Skills!A4="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2546)</f>
        <v/>
      </c>
      <c r="L2546">
        <f>K2546*(MIN(Inputs!$B$22+((C2562=TRUE)*(F2562-Calc!F20)),(Inputs!$B$23+0+(IF(ArtifactsInput!$M$15,CHOOSE(ArtifactsInput!$N$15+1,25,30,35,40,45,50)/100*(Inputs!$B$11-Inputs!$B$11),0))))/100+(Inputs!$B$23+0+(IF(ArtifactsInput!$M$15,CHOOSE(ArtifactsInput!$N$15+1,25,30,35,40,45,50)/100*(Inputs!$B$11-Inputs!$B$11),0)))/100)/2</f>
        <v/>
      </c>
      <c r="M2546">
        <f>L2546*(1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6">
        <f>L2546*(1-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2546*(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6">
        <f>(1-Summary!$B$11)*T2546+Summary!$B$11*V2546</f>
        <v/>
      </c>
      <c r="P2546">
        <f>IF(B2578=0,0,O2546/B2578)</f>
        <v/>
      </c>
      <c r="Q2546" t="n">
        <v>0</v>
      </c>
      <c r="R2546" t="n">
        <v>0</v>
      </c>
      <c r="S2546">
        <f>IFERROR(O2546/N2546,0)</f>
        <v/>
      </c>
      <c r="T2546">
        <f>IF(C2546,(Skills!G4*H2546*N2546*B2572)*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2546*(1-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2546*(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2546*(1-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2546*(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6">
        <f>290*U2545/1000</f>
        <v/>
      </c>
      <c r="V2546">
        <f>IF(C2546,(Skills!G4*H2546*N2546*B2572)*IF(Inputs!$B$38="pvp",1,(1+(Inputs!$B$21+Skills!Q4+(IF(ArtifactsInput!$M$33,CHOOSE(ArtifactsInput!$N$33+1,30,36,42,48,54,60),0))+(IF(AND(ArtifactsInput!$M$35,Inputs!$B$4&lt;&gt;"Chapter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7">
      <c r="A2547">
        <f>Skills!A5</f>
        <v/>
      </c>
      <c r="B2547">
        <f>Skills!B5</f>
        <v/>
      </c>
      <c r="C2547">
        <f>Inputs!$B$3&gt;=60</f>
        <v/>
      </c>
      <c r="D2547">
        <f>IF(Skills!C5=1,60+Inputs!$B$25+Inputs!$B$29,IF(Skills!C5=2,90+Inputs!$B$26+Inputs!$B$29,IF(Skills!C5=3,120+Inputs!$B$27+Inputs!$B$29,MAX(0,(Inputs!$B$3-100)*3)+Inputs!$B$28+Inputs!$B$29)))</f>
        <v/>
      </c>
      <c r="E2547">
        <f>INDEX(FactorTable!$B$2:$Y$301, MATCH(ROUND(MIN(300,MAX(1,D2547)),0), FactorTable!$A$2:$A$301,0), Skills!M5+1)</f>
        <v/>
      </c>
      <c r="F2547">
        <f>IF(Skills!N5=TRUE,(Skills!L5/10)*(E2547/1000),Skills!L5/10)+Skills!O5</f>
        <v/>
      </c>
      <c r="G2547">
        <f>Skills!G5*IF(Skills!H5&gt;0,Skills!I5/Skills!H5,1)</f>
        <v/>
      </c>
      <c r="H2547">
        <f>1-(1-Skills!J5/100)^Skills!K5</f>
        <v/>
      </c>
      <c r="I2547" t="inlineStr">
        <is>
          <t>1</t>
        </is>
      </c>
      <c r="J2547" t="inlineStr"/>
      <c r="K2547" t="inlineStr"/>
      <c r="L2547" t="inlineStr"/>
      <c r="M2547" t="inlineStr"/>
      <c r="N2547" t="inlineStr"/>
      <c r="O2547">
        <f>(1-Summary!$B$11)*T2547+Summary!$B$11*V2547</f>
        <v/>
      </c>
      <c r="P2547">
        <f>IF(B2578=0,0,O2547/B2578)</f>
        <v/>
      </c>
      <c r="Q2547" t="n">
        <v>0</v>
      </c>
      <c r="R2547" t="n">
        <v>0</v>
      </c>
      <c r="S2547">
        <f>IFERROR(O2547/N2547,0)</f>
        <v/>
      </c>
      <c r="T2547" t="n">
        <v>0</v>
      </c>
      <c r="V2547" t="n">
        <v>0</v>
      </c>
    </row>
    <row r="2548">
      <c r="A2548">
        <f>Skills!A6</f>
        <v/>
      </c>
      <c r="B2548">
        <f>Skills!B6</f>
        <v/>
      </c>
      <c r="C2548">
        <f>Inputs!$B$3&gt;=63</f>
        <v/>
      </c>
      <c r="D2548">
        <f>IF(Skills!C6=1,60+Inputs!$B$25+Inputs!$B$29,IF(Skills!C6=2,90+Inputs!$B$26+Inputs!$B$29,IF(Skills!C6=3,120+Inputs!$B$27+Inputs!$B$29,MAX(0,(Inputs!$B$3-100)*3)+Inputs!$B$28+Inputs!$B$29)))</f>
        <v/>
      </c>
      <c r="E2548">
        <f>INDEX(FactorTable!$B$2:$Y$301, MATCH(ROUND(MIN(300,MAX(1,D2548)),0), FactorTable!$A$2:$A$301,0), Skills!M6+1)</f>
        <v/>
      </c>
      <c r="F2548">
        <f>IF(Skills!N6=TRUE,(Skills!L6/10)*(E2548/1000),Skills!L6/10)+Skills!O6</f>
        <v/>
      </c>
      <c r="G2548">
        <f>Skills!G6*IF(Skills!H6&gt;0,Skills!I6/Skills!H6,1)</f>
        <v/>
      </c>
      <c r="H2548">
        <f>1-(1-Skills!J6/100)^Skills!K6</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2554=TRUE,F2554,0)/100)*(1+(IF(Skills!A6="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2562=TRUE)*(F2562-Calc!F20)),(Inputs!$B$23+0+(IF(ArtifactsInput!$M$15,CHOOSE(ArtifactsInput!$N$15+1,25,30,35,40,45,50)/100*(Inputs!$B$11-Inputs!$B$11),0))))/100+(Inputs!$B$23+0+(IF(ArtifactsInput!$M$15,CHOOSE(ArtifactsInput!$N$15+1,25,30,35,40,45,50)/100*(Inputs!$B$11-Inputs!$B$11),0)))/100)/2</f>
        <v/>
      </c>
      <c r="M2548">
        <f>L2548*(1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IF(B2578=0,0,O2548/B2578)</f>
        <v/>
      </c>
      <c r="Q2548">
        <f>IFERROR(1/(IF(Inputs!$B$38="pvp",15,MAX(0.1,Skills!D6-IF(Skills!E6=TRUE,1.0,0)))*(1-IF(AND(ArtifactsInput!$M$27,Inputs!$B$4="Chapter Hunt"),CHOOSE(ArtifactsInput!$N$27+1,20,24,28,32,36,40),0)/100)),0)</f>
        <v/>
      </c>
      <c r="R2548">
        <f>IF(AND(Inputs!$B$38&lt;&gt;"pvp",Inputs!$B$43&gt;0),IF(MAX(0,Inputs!$B$43-B2575)&lt;=0,0,(INT(MAX(0,Inputs!$B$43-B2575)/(IF(Inputs!$B$38="pvp",15,MAX(0.1,Skills!D6-IF(Skills!E6=TRUE,1.0,0)))*(1-IF(AND(ArtifactsInput!$M$27,Inputs!$B$4="Chapter Hunt"),CHOOSE(ArtifactsInput!$N$27+1,20,24,28,32,36,40),0)/100)))+1)),0)</f>
        <v/>
      </c>
      <c r="S2548">
        <f>IFERROR(O2548/N2548,0)</f>
        <v/>
      </c>
      <c r="T2548">
        <f>IF(C2548,(H2548*N2548*IF(AND(Inputs!$B$38&lt;&gt;"pvp",Inputs!$B$43&gt;0),((Skills!G6*((R2548-1)*IF(Skills!H6&gt;0,Skills!I6/Skills!H6,1)+IF(Skills!H6&gt;0,MIN(Skills!I6,MAX(0,MAX(0,Inputs!$B$43-B2575)-((R2548-1)*(IF(Inputs!$B$38="pvp",15,MAX(0.1,Skills!D6-IF(Skills!E6=TRUE,1.0,0)))*(1-IF(AND(ArtifactsInput!$M$27,Inputs!$B$4="Chapter Hunt"),CHOOSE(ArtifactsInput!$N$27+1,20,24,28,32,36,40),0)/100)))))/Skills!H6,1)))/Inputs!$B$43),G2548*Q2548))*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8">
        <f>IF(C2548,(H2548*N2548*IF(AND(Inputs!$B$38&lt;&gt;"pvp",Inputs!$B$43&gt;0),((Skills!G6*((R2548-1)*IF(Skills!H6&gt;0,Skills!I6/Skills!H6,1)+IF(Skills!H6&gt;0,MIN(Skills!I6,MAX(0,MAX(0,Inputs!$B$43-B2575)-((R2548-1)*(IF(Inputs!$B$38="pvp",15,MAX(0.1,Skills!D6-IF(Skills!E6=TRUE,1.0,0)))*(1-IF(AND(ArtifactsInput!$M$27,Inputs!$B$4="Chapter Hunt"),CHOOSE(ArtifactsInput!$N$27+1,20,24,28,32,36,40),0)/100)))))/Skills!H6,1)))/Inputs!$B$43),G2548*Q2548))*IF(Inputs!$B$38="pvp",1,(1+(Inputs!$B$21+Skills!Q6+(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Skills!A7</f>
        <v/>
      </c>
      <c r="B2549">
        <f>Skills!B7</f>
        <v/>
      </c>
      <c r="C2549">
        <f>Inputs!$B$3&gt;=100</f>
        <v/>
      </c>
      <c r="D2549">
        <f>IF(Skills!C7=1,60+Inputs!$B$25+Inputs!$B$29,IF(Skills!C7=2,90+Inputs!$B$26+Inputs!$B$29,IF(Skills!C7=3,120+Inputs!$B$27+Inputs!$B$29,MAX(0,(Inputs!$B$3-100)*3)+Inputs!$B$28+Inputs!$B$29)))</f>
        <v/>
      </c>
      <c r="E2549">
        <f>INDEX(FactorTable!$B$2:$Y$301, MATCH(ROUND(MIN(300,MAX(1,D2549)),0), FactorTable!$A$2:$A$301,0), Skills!M7+1)</f>
        <v/>
      </c>
      <c r="F2549">
        <f>IF(Skills!N7=TRUE,(Skills!L7/10)*(E2549/1000),Skills!L7/10)+Skills!O7</f>
        <v/>
      </c>
      <c r="G2549">
        <f>Skills!G7*IF(Skills!H7&gt;0,Skills!I7/Skills!H7,1)</f>
        <v/>
      </c>
      <c r="H2549">
        <f>1-(1-Skills!J7/100)^Skills!K7</f>
        <v/>
      </c>
      <c r="I2549" t="inlineStr">
        <is>
          <t>1</t>
        </is>
      </c>
      <c r="J2549">
        <f>((Inputs!$B$6*(1+Inputs!$B$7/100))+(((Inputs!$B$12*(1+Inputs!$B$13/100))-(Inputs!$B$12*(1+Inputs!$B$13/100)))+0.25*(Inputs!$B$14-Inputs!$B$14))*(1+Inputs!$B$7/100))*(F2549/100)</f>
        <v/>
      </c>
      <c r="K2549">
        <f>J2549*(1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C2562=TRUE)*(F2562-Calc!F20)),(Inputs!$B$23+0+(IF(ArtifactsInput!$M$15,CHOOSE(ArtifactsInput!$N$15+1,25,30,35,40,45,50)/100*(Inputs!$B$11-Inputs!$B$11),0))))/100+(Inputs!$B$23+0+(IF(ArtifactsInput!$M$15,CHOOSE(ArtifactsInput!$N$15+1,25,30,35,40,45,50)/100*(Inputs!$B$11-Inputs!$B$11),0)))/100)/2</f>
        <v/>
      </c>
      <c r="M2549">
        <f>L2549*(1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(1-Summary!$B$11)*T2549+Summary!$B$11*V2549</f>
        <v/>
      </c>
      <c r="P2549">
        <f>IF(B2578=0,0,O2549/B2578)</f>
        <v/>
      </c>
      <c r="Q2549">
        <f>IFERROR(1/(IF(Inputs!$B$38="pvp",15,MAX(0.1,Skills!D7-IF(Skills!E7=TRUE,1.0,0)))*(1-IF(AND(ArtifactsInput!$M$27,Inputs!$B$4="Chapter Hunt"),CHOOSE(ArtifactsInput!$N$27+1,20,24,28,32,36,40),0)/100)),0)</f>
        <v/>
      </c>
      <c r="R2549">
        <f>IF(AND(Inputs!$B$38&lt;&gt;"pvp",Inputs!$B$43&gt;0),IF(MAX(0,Inputs!$B$43-B2575)&lt;=0,0,(INT(MAX(0,Inputs!$B$43-B2575)/(IF(Inputs!$B$38="pvp",15,MAX(0.1,Skills!D7-IF(Skills!E7=TRUE,1.0,0)))*(1-IF(AND(ArtifactsInput!$M$27,Inputs!$B$4="Chapter Hunt"),CHOOSE(ArtifactsInput!$N$27+1,20,24,28,32,36,40),0)/100)))+1)),0)</f>
        <v/>
      </c>
      <c r="S2549">
        <f>IFERROR(O2549/N2549,0)</f>
        <v/>
      </c>
      <c r="T2549">
        <f>IF(C2549,(H2549*N2549*IF(AND(Inputs!$B$38&lt;&gt;"pvp",Inputs!$B$43&gt;0),((Skills!G7*((R2549-1)*IF(Skills!H7&gt;0,Skills!I7/Skills!H7,1)+IF(Skills!H7&gt;0,MIN(Skills!I7,MAX(0,MAX(0,Inputs!$B$43-B2575)-((R2549-1)*(IF(Inputs!$B$38="pvp",15,MAX(0.1,Skills!D7-IF(Skills!E7=TRUE,1.0,0)))*(1-IF(AND(ArtifactsInput!$M$27,Inputs!$B$4="Chapter Hunt"),CHOOSE(ArtifactsInput!$N$27+1,20,24,28,32,36,40),0)/100)))))/Skills!H7,1)))/Inputs!$B$43),G2549*Q2549))*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2549*(1-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49">
        <f>IF(C2549,(H2549*N2549*IF(AND(Inputs!$B$38&lt;&gt;"pvp",Inputs!$B$43&gt;0),((Skills!G7*((R2549-1)*IF(Skills!H7&gt;0,Skills!I7/Skills!H7,1)+IF(Skills!H7&gt;0,MIN(Skills!I7,MAX(0,MAX(0,Inputs!$B$43-B2575)-((R2549-1)*(IF(Inputs!$B$38="pvp",15,MAX(0.1,Skills!D7-IF(Skills!E7=TRUE,1.0,0)))*(1-IF(AND(ArtifactsInput!$M$27,Inputs!$B$4="Chapter Hunt"),CHOOSE(ArtifactsInput!$N$27+1,20,24,28,32,36,40),0)/100)))))/Skills!H7,1)))/Inputs!$B$43),G2549*Q2549))*IF(Inputs!$B$38="pvp",1,(1+(Inputs!$B$21+Skills!Q7+(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Skills!A8</f>
        <v/>
      </c>
      <c r="B2550">
        <f>Skills!B8</f>
        <v/>
      </c>
      <c r="C2550">
        <f>Inputs!$B$3&gt;=110</f>
        <v/>
      </c>
      <c r="D2550">
        <f>IF(Skills!C8=1,60+Inputs!$B$25+Inputs!$B$29,IF(Skills!C8=2,90+Inputs!$B$26+Inputs!$B$29,IF(Skills!C8=3,120+Inputs!$B$27+Inputs!$B$29,MAX(0,(Inputs!$B$3-100)*3)+Inputs!$B$28+Inputs!$B$29)))</f>
        <v/>
      </c>
      <c r="E2550">
        <f>INDEX(FactorTable!$B$2:$Y$301, MATCH(ROUND(MIN(300,MAX(1,D2550)),0), FactorTable!$A$2:$A$301,0), Skills!M8+1)</f>
        <v/>
      </c>
      <c r="F2550">
        <f>IF(Skills!N8=TRUE,(Skills!L8/10)*(E2550/1000),Skills!L8/10)+Skills!O8</f>
        <v/>
      </c>
      <c r="G2550">
        <f>Skills!G8*IF(Skills!H8&gt;0,Skills!I8/Skills!H8,1)</f>
        <v/>
      </c>
      <c r="H2550">
        <f>1-(1-Skills!J8/100)^Skills!K8</f>
        <v/>
      </c>
      <c r="I2550" t="inlineStr">
        <is>
          <t>1</t>
        </is>
      </c>
      <c r="J2550">
        <f>((Inputs!$B$6*(1+Inputs!$B$7/100))+(((Inputs!$B$12*(1+Inputs!$B$13/100))-(Inputs!$B$12*(1+Inputs!$B$13/100)))+0.25*(Inputs!$B$14-Inputs!$B$14))*(1+Inputs!$B$7/100))*(F2550/100)</f>
        <v/>
      </c>
      <c r="K2550">
        <f>J2550*(1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C2562=TRUE)*(F2562-Calc!F20)),(Inputs!$B$23+0+(IF(ArtifactsInput!$M$15,CHOOSE(ArtifactsInput!$N$15+1,25,30,35,40,45,50)/100*(Inputs!$B$11-Inputs!$B$11),0))))/100+(Inputs!$B$23+0+(IF(ArtifactsInput!$M$15,CHOOSE(ArtifactsInput!$N$15+1,25,30,35,40,45,50)/100*(Inputs!$B$11-Inputs!$B$11),0)))/100)/2</f>
        <v/>
      </c>
      <c r="M2550">
        <f>L2550*(1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(1-Summary!$B$11)*T2550+Summary!$B$11*V2550</f>
        <v/>
      </c>
      <c r="P2550">
        <f>IF(B2578=0,0,O2550/B2578)</f>
        <v/>
      </c>
      <c r="Q2550">
        <f>IFERROR(1/(IF(Inputs!$B$38="pvp",15,MAX(0.1,Skills!D8-IF(Skills!E8=TRUE,1.0,0)))*(1-IF(AND(ArtifactsInput!$M$27,Inputs!$B$4="Chapter Hunt"),CHOOSE(ArtifactsInput!$N$27+1,20,24,28,32,36,40),0)/100)),0)</f>
        <v/>
      </c>
      <c r="R2550">
        <f>IF(AND(Inputs!$B$38&lt;&gt;"pvp",Inputs!$B$43&gt;0),IF(MAX(0,Inputs!$B$43-B2575)&lt;=0,0,(INT(MAX(0,Inputs!$B$43-B2575)/(IF(Inputs!$B$38="pvp",15,MAX(0.1,Skills!D8-IF(Skills!E8=TRUE,1.0,0)))*(1-IF(AND(ArtifactsInput!$M$27,Inputs!$B$4="Chapter Hunt"),CHOOSE(ArtifactsInput!$N$27+1,20,24,28,32,36,40),0)/100)))+1)),0)</f>
        <v/>
      </c>
      <c r="S2550">
        <f>IFERROR(O2550/N2550,0)</f>
        <v/>
      </c>
      <c r="T2550">
        <f>IF(C2550,(H2550*N2550*IF(AND(Inputs!$B$38&lt;&gt;"pvp",Inputs!$B$43&gt;0),((Skills!G8*((R2550-1)*IF(Skills!H8&gt;0,Skills!I8/Skills!H8,1)+IF(Skills!H8&gt;0,MIN(Skills!I8,MAX(0,MAX(0,Inputs!$B$43-B2575)-((R2550-1)*(IF(Inputs!$B$38="pvp",15,MAX(0.1,Skills!D8-IF(Skills!E8=TRUE,1.0,0)))*(1-IF(AND(ArtifactsInput!$M$27,Inputs!$B$4="Chapter Hunt"),CHOOSE(ArtifactsInput!$N$27+1,20,24,28,32,36,40),0)/100)))))/Skills!H8,1)))/Inputs!$B$43),G2550*Q2550))*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2550*(1-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0">
        <f>IF(C2550,(H2550*N2550*IF(AND(Inputs!$B$38&lt;&gt;"pvp",Inputs!$B$43&gt;0),((Skills!G8*((R2550-1)*IF(Skills!H8&gt;0,Skills!I8/Skills!H8,1)+IF(Skills!H8&gt;0,MIN(Skills!I8,MAX(0,MAX(0,Inputs!$B$43-B2575)-((R2550-1)*(IF(Inputs!$B$38="pvp",15,MAX(0.1,Skills!D8-IF(Skills!E8=TRUE,1.0,0)))*(1-IF(AND(ArtifactsInput!$M$27,Inputs!$B$4="Chapter Hunt"),CHOOSE(ArtifactsInput!$N$27+1,20,24,28,32,36,40),0)/100)))))/Skills!H8,1)))/Inputs!$B$43),G2550*Q2550))*IF(Inputs!$B$38="pvp",1,(1+(Inputs!$B$21+Skills!Q8+(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Skills!A9</f>
        <v/>
      </c>
      <c r="B2551">
        <f>Skills!B9</f>
        <v/>
      </c>
      <c r="C2551">
        <f>Inputs!$B$3&gt;=110</f>
        <v/>
      </c>
      <c r="D2551">
        <f>IF(Skills!C9=1,60+Inputs!$B$25+Inputs!$B$29,IF(Skills!C9=2,90+Inputs!$B$26+Inputs!$B$29,IF(Skills!C9=3,120+Inputs!$B$27+Inputs!$B$29,MAX(0,(Inputs!$B$3-100)*3)+Inputs!$B$28+Inputs!$B$29)))</f>
        <v/>
      </c>
      <c r="E2551">
        <f>INDEX(FactorTable!$B$2:$Y$301, MATCH(ROUND(MIN(300,MAX(1,D2551)),0), FactorTable!$A$2:$A$301,0), Skills!M9+1)</f>
        <v/>
      </c>
      <c r="F2551">
        <f>IF(Skills!N9=TRUE,(Skills!L9/10)*(E2551/1000),Skills!L9/10)+Skills!O9</f>
        <v/>
      </c>
      <c r="G2551">
        <f>Skills!G9*IF(Skills!H9&gt;0,Skills!I9/Skills!H9,1)</f>
        <v/>
      </c>
      <c r="H2551">
        <f>1-(1-Skills!J9/100)^Skills!K9</f>
        <v/>
      </c>
      <c r="I2551" t="inlineStr">
        <is>
          <t>1</t>
        </is>
      </c>
      <c r="J2551">
        <f>((Inputs!$B$6*(1+Inputs!$B$7/100))+(((Inputs!$B$12*(1+Inputs!$B$13/100))-(Inputs!$B$12*(1+Inputs!$B$13/100)))+0.25*(Inputs!$B$14-Inputs!$B$14))*(1+Inputs!$B$7/100))*(F2551/100)</f>
        <v/>
      </c>
      <c r="K2551">
        <f>J2551*(1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2551)</f>
        <v/>
      </c>
      <c r="L2551">
        <f>K2551*(MIN(Inputs!$B$22+((C2562=TRUE)*(F2562-Calc!F20)),(Inputs!$B$23+0+(IF(ArtifactsInput!$M$15,CHOOSE(ArtifactsInput!$N$15+1,25,30,35,40,45,50)/100*(Inputs!$B$11-Inputs!$B$11),0))))/100+(Inputs!$B$23+0+(IF(ArtifactsInput!$M$15,CHOOSE(ArtifactsInput!$N$15+1,25,30,35,40,45,50)/100*(Inputs!$B$11-Inputs!$B$11),0)))/100)/2</f>
        <v/>
      </c>
      <c r="M2551">
        <f>L2551*(1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1">
        <f>L2551*(1-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1">
        <f>(1-Summary!$B$11)*T2551+Summary!$B$11*V2551</f>
        <v/>
      </c>
      <c r="P2551">
        <f>IF(B2578=0,0,O2551/B2578)</f>
        <v/>
      </c>
      <c r="Q2551">
        <f>IFERROR(1/(IF(Inputs!$B$38="pvp",15,MAX(0.1,Skills!D9-IF(Skills!E9=TRUE,1.0,0)))*(1-IF(AND(ArtifactsInput!$M$27,Inputs!$B$4="Chapter Hunt"),CHOOSE(ArtifactsInput!$N$27+1,20,24,28,32,36,40),0)/100)),0)</f>
        <v/>
      </c>
      <c r="R2551">
        <f>IF(AND(Inputs!$B$38&lt;&gt;"pvp",Inputs!$B$43&gt;0),IF(MAX(0,Inputs!$B$43-B2575)&lt;=0,0,(INT(MAX(0,Inputs!$B$43-B2575)/(IF(Inputs!$B$38="pvp",15,MAX(0.1,Skills!D9-IF(Skills!E9=TRUE,1.0,0)))*(1-IF(AND(ArtifactsInput!$M$27,Inputs!$B$4="Chapter Hunt"),CHOOSE(ArtifactsInput!$N$27+1,20,24,28,32,36,40),0)/100)))+1)),0)</f>
        <v/>
      </c>
      <c r="S2551">
        <f>IFERROR(O2551/N2551,0)</f>
        <v/>
      </c>
      <c r="T2551">
        <f>IF(C2551,(H2551*N2551*IF(AND(Inputs!$B$38&lt;&gt;"pvp",Inputs!$B$43&gt;0),((Skills!G9*((R2551-1)*IF(Skills!H9&gt;0,Skills!I9/Skills!H9,1)+IF(Skills!H9&gt;0,MIN(Skills!I9,MAX(0,MAX(0,Inputs!$B$43-B2575)-((R2551-1)*(IF(Inputs!$B$38="pvp",15,MAX(0.1,Skills!D9-IF(Skills!E9=TRUE,1.0,0)))*(1-IF(AND(ArtifactsInput!$M$27,Inputs!$B$4="Chapter Hunt"),CHOOSE(ArtifactsInput!$N$27+1,20,24,28,32,36,40),0)/100)))))/Skills!H9,1)))/Inputs!$B$43),G2551*Q2551))*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1">
        <f>IF(C2551,(H2551*N2551*IF(AND(Inputs!$B$38&lt;&gt;"pvp",Inputs!$B$43&gt;0),((Skills!G9*((R2551-1)*IF(Skills!H9&gt;0,Skills!I9/Skills!H9,1)+IF(Skills!H9&gt;0,MIN(Skills!I9,MAX(0,MAX(0,Inputs!$B$43-B2575)-((R2551-1)*(IF(Inputs!$B$38="pvp",15,MAX(0.1,Skills!D9-IF(Skills!E9=TRUE,1.0,0)))*(1-IF(AND(ArtifactsInput!$M$27,Inputs!$B$4="Chapter Hunt"),CHOOSE(ArtifactsInput!$N$27+1,20,24,28,32,36,40),0)/100)))))/Skills!H9,1)))/Inputs!$B$43),G2551*Q2551))*IF(Inputs!$B$38="pvp",1,(1+(Inputs!$B$21+Skills!Q9+(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2">
      <c r="A2552">
        <f>Skills!A10</f>
        <v/>
      </c>
      <c r="B2552">
        <f>Skills!B10</f>
        <v/>
      </c>
      <c r="C2552">
        <f>Inputs!$B$3&gt;=103</f>
        <v/>
      </c>
      <c r="D2552">
        <f>IF(Skills!C10=1,60+Inputs!$B$25+Inputs!$B$29,IF(Skills!C10=2,90+Inputs!$B$26+Inputs!$B$29,IF(Skills!C10=3,120+Inputs!$B$27+Inputs!$B$29,MAX(0,(Inputs!$B$3-100)*3)+Inputs!$B$28+Inputs!$B$29)))</f>
        <v/>
      </c>
      <c r="E2552">
        <f>INDEX(FactorTable!$B$2:$Y$301, MATCH(ROUND(MIN(300,MAX(1,D2552)),0), FactorTable!$A$2:$A$301,0), Skills!M10+1)</f>
        <v/>
      </c>
      <c r="F2552">
        <f>IF(Skills!N10=TRUE,(Skills!L10/10)*(E2552/1000),Skills!L10/10)+Skills!O10</f>
        <v/>
      </c>
      <c r="G2552">
        <f>Skills!G10*IF(Skills!H10&gt;0,Skills!I10/Skills!H10,1)</f>
        <v/>
      </c>
      <c r="H2552">
        <f>1-(1-Skills!J10/100)^Skills!K10</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2562=TRUE)*(F2562-Calc!F20)),(Inputs!$B$23+0+(IF(ArtifactsInput!$M$15,CHOOSE(ArtifactsInput!$N$15+1,25,30,35,40,45,50)/100*(Inputs!$B$11-Inputs!$B$11),0))))/100+(Inputs!$B$23+0+(IF(ArtifactsInput!$M$15,CHOOSE(ArtifactsInput!$N$15+1,25,30,35,40,45,50)/100*(Inputs!$B$11-Inputs!$B$11),0)))/100)/2</f>
        <v/>
      </c>
      <c r="M2552">
        <f>L2552*(1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IF(B2578=0,0,O2552/B2578)</f>
        <v/>
      </c>
      <c r="Q2552">
        <f>IFERROR(1/(IF(Inputs!$B$38="pvp",15,MAX(0.1,Skills!D10-IF(Skills!E10=TRUE,1.0,0)))*(1-IF(AND(ArtifactsInput!$M$27,Inputs!$B$4="Chapter Hunt"),CHOOSE(ArtifactsInput!$N$27+1,20,24,28,32,36,40),0)/100)),0)</f>
        <v/>
      </c>
      <c r="R2552">
        <f>IF(AND(Inputs!$B$38&lt;&gt;"pvp",Inputs!$B$43&gt;0),IF(MAX(0,Inputs!$B$43-B2575)&lt;=0,0,(INT(MAX(0,Inputs!$B$43-B2575)/(IF(Inputs!$B$38="pvp",15,MAX(0.1,Skills!D10-IF(Skills!E10=TRUE,1.0,0)))*(1-IF(AND(ArtifactsInput!$M$27,Inputs!$B$4="Chapter Hunt"),CHOOSE(ArtifactsInput!$N$27+1,20,24,28,32,36,40),0)/100)))+1)),0)</f>
        <v/>
      </c>
      <c r="S2552">
        <f>IFERROR(O2552/N2552,0)</f>
        <v/>
      </c>
      <c r="T2552">
        <f>IF(C2552,(H2552*N2552*IF(AND(Inputs!$B$38&lt;&gt;"pvp",Inputs!$B$43&gt;0),((Skills!G10*((R2552-1)*IF(Skills!H10&gt;0,Skills!I10/Skills!H10,1)+IF(Skills!H10&gt;0,MIN(Skills!I10,MAX(0,MAX(0,Inputs!$B$43-B2575)-((R2552-1)*(IF(Inputs!$B$38="pvp",15,MAX(0.1,Skills!D10-IF(Skills!E10=TRUE,1.0,0)))*(1-IF(AND(ArtifactsInput!$M$27,Inputs!$B$4="Chapter Hunt"),CHOOSE(ArtifactsInput!$N$27+1,20,24,28,32,36,40),0)/100)))))/Skills!H10,1)))/Inputs!$B$43),G2552*Q2552))*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10*((R2552-1)*IF(Skills!H10&gt;0,Skills!I10/Skills!H10,1)+IF(Skills!H10&gt;0,MIN(Skills!I10,MAX(0,MAX(0,Inputs!$B$43-B2575)-((R2552-1)*(IF(Inputs!$B$38="pvp",15,MAX(0.1,Skills!D10-IF(Skills!E10=TRUE,1.0,0)))*(1-IF(AND(ArtifactsInput!$M$27,Inputs!$B$4="Chapter Hunt"),CHOOSE(ArtifactsInput!$N$27+1,20,24,28,32,36,40),0)/100)))))/Skills!H10,1)))/Inputs!$B$43),G2552*Q2552))*IF(Inputs!$B$38="pvp",1,(1+(Inputs!$B$21+Skills!Q10+(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Skills!A11</f>
        <v/>
      </c>
      <c r="B2553">
        <f>Skills!B11</f>
        <v/>
      </c>
      <c r="C2553">
        <f>Inputs!$B$3&gt;=113</f>
        <v/>
      </c>
      <c r="D2553">
        <f>IF(Skills!C11=1,60+Inputs!$B$25+Inputs!$B$29,IF(Skills!C11=2,90+Inputs!$B$26+Inputs!$B$29,IF(Skills!C11=3,120+Inputs!$B$27+Inputs!$B$29,MAX(0,(Inputs!$B$3-100)*3)+Inputs!$B$28+Inputs!$B$29)))</f>
        <v/>
      </c>
      <c r="E2553">
        <f>INDEX(FactorTable!$B$2:$Y$301, MATCH(ROUND(MIN(300,MAX(1,D2553)),0), FactorTable!$A$2:$A$301,0), Skills!M11+1)</f>
        <v/>
      </c>
      <c r="F2553">
        <f>IF(Skills!N11=TRUE,(Skills!L11/10)*(E2553/1000),Skills!L11/10)+Skills!O11</f>
        <v/>
      </c>
      <c r="G2553">
        <f>Skills!G11*IF(Skills!H11&gt;0,Skills!I11/Skills!H11,1)</f>
        <v/>
      </c>
      <c r="H2553">
        <f>1-(1-Skills!J11/100)^Skills!K11</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2564=TRUE)*(F2564-Calc!F22))+B2574)/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2563=TRUE)*(F2563-Calc!F21))+(((IF(AND(ArtifactsInput!$M$42,((Inputs!$B$9+((C2558=TRUE)*(F2558-Calc!F16))+B2568+(ArtifactsInput!$M$24-ArtifactsInput!$M$24)*CHOOSE(ArtifactsInput!$N$24+1,10,12,14,16,18,20)+IF(ArtifactsInput!$M$10,CHOOSE(ArtifactsInput!$N$10+1,15,18,21,24,27,30)*(IF(Inputs!$B$38="pvp",MIN(15,15)/15,IF(AND(Inputs!$B$38&lt;&gt;"pvp",Inputs!$B$43&gt;0),MIN(15,Inputs!$B$43)/(Inputs!$B$43),0))),0)))&gt;=100),MIN(100,((Inputs!$B$9+((C2558=TRUE)*(F2558-Calc!F16))+B2568+(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2558=TRUE)*(F2558-Calc!F16))+B2568+(ArtifactsInput!$M$24-ArtifactsInput!$M$24)*CHOOSE(ArtifactsInput!$N$24+1,10,12,14,16,18,20)+IF(ArtifactsInput!$M$10,CHOOSE(ArtifactsInput!$N$10+1,15,18,21,24,27,30)*(IF(Inputs!$B$38="pvp",MIN(15,15)/15,IF(AND(Inputs!$B$38&lt;&gt;"pvp",Inputs!$B$43&gt;0),MIN(15,Inputs!$B$43)/(Inputs!$B$43),0))),0)))&gt;=100),CHOOSE(ArtifactsInput!$N$42+1,40,48,56,64,72,80),0))))/100)*((1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2562=TRUE)*(F2562-Calc!F20)),(Inputs!$B$23+0+(IF(ArtifactsInput!$M$15,CHOOSE(ArtifactsInput!$N$15+1,25,30,35,40,45,50)/100*(Inputs!$B$11-Inputs!$B$11),0))))/100+(Inputs!$B$23+0+(IF(ArtifactsInput!$M$15,CHOOSE(ArtifactsInput!$N$15+1,25,30,35,40,45,50)/100*(Inputs!$B$11-Inputs!$B$11),0)))/100)/2</f>
        <v/>
      </c>
      <c r="M2553">
        <f>L2553*(1+(Inputs!$B$10+0+B2573+(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IF(B2578=0,0,O2553/B2578)</f>
        <v/>
      </c>
      <c r="Q2553">
        <f>IFERROR(1/(IF(Inputs!$B$38="pvp",15,MAX(0.1,Skills!D11-IF(Skills!E11=TRUE,1.0,0)))*(1-IF(AND(ArtifactsInput!$M$27,Inputs!$B$4="Chapter Hunt"),CHOOSE(ArtifactsInput!$N$27+1,20,24,28,32,36,40),0)/100)),0)</f>
        <v/>
      </c>
      <c r="R2553">
        <f>IF(AND(Inputs!$B$38&lt;&gt;"pvp",Inputs!$B$43&gt;0),IF(MAX(0,Inputs!$B$43-B2575)&lt;=0,0,(INT(MAX(0,Inputs!$B$43-B2575)/(IF(Inputs!$B$38="pvp",15,MAX(0.1,Skills!D11-IF(Skills!E11=TRUE,1.0,0)))*(1-IF(AND(ArtifactsInput!$M$27,Inputs!$B$4="Chapter Hunt"),CHOOSE(ArtifactsInput!$N$27+1,20,24,28,32,36,40),0)/100)))+1)),0)</f>
        <v/>
      </c>
      <c r="S2553">
        <f>IFERROR(O2553/N2553,0)</f>
        <v/>
      </c>
      <c r="T2553">
        <f>IF(C2553,(H2553*N2553*IF(AND(Inputs!$B$38&lt;&gt;"pvp",Inputs!$B$43&gt;0),((Skills!G11*((R2553-1)*IF(Skills!H11&gt;0,Skills!I11/Skills!H11,1)+IF(Skills!H11&gt;0,MIN(Skills!I11,MAX(0,MAX(0,Inputs!$B$43-B2575)-((R2553-1)*(IF(Inputs!$B$38="pvp",15,MAX(0.1,Skills!D11-IF(Skills!E11=TRUE,1.0,0)))*(1-IF(AND(ArtifactsInput!$M$27,Inputs!$B$4="Chapter Hunt"),CHOOSE(ArtifactsInput!$N$27+1,20,24,28,32,36,40),0)/100)))))/Skills!H11,1)))/Inputs!$B$43),G2553*Q2553))*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2558=TRUE)*(F2558-Calc!F16))+B2568+(ArtifactsInput!$M$24-ArtifactsInput!$M$24)*CHOOSE(ArtifactsInput!$N$24+1,10,12,14,16,18,20)+(IF(AND(ArtifactsInput!$M$42,((Inputs!$B$9+((C2558=TRUE)*(F2558-Calc!F16))+B2568+(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11*((R2553-1)*IF(Skills!H11&gt;0,Skills!I11/Skills!H11,1)+IF(Skills!H11&gt;0,MIN(Skills!I11,MAX(0,MAX(0,Inputs!$B$43-B2575)-((R2553-1)*(IF(Inputs!$B$38="pvp",15,MAX(0.1,Skills!D11-IF(Skills!E11=TRUE,1.0,0)))*(1-IF(AND(ArtifactsInput!$M$27,Inputs!$B$4="Chapter Hunt"),CHOOSE(ArtifactsInput!$N$27+1,20,24,28,32,36,40),0)/100)))))/Skills!H11,1)))/Inputs!$B$43),G2553*Q2553))*IF(Inputs!$B$38="pvp",1,(1+(Inputs!$B$21+Skills!Q11+(IF(ArtifactsInput!$M$33,CHOOSE(ArtifactsInput!$N$33+1,30,36,42,48,54,60),0))+(IF(AND(ArtifactsInput!$M$35,Inputs!$B$4&lt;&gt;"Chapter Hunt"),CHOOSE(ArtifactsInput!$N$35+1,15,18,21,24,27,30)*(1-EXP(-(0.2*B2570)*5)),0)+IF(AND(ArtifactsInput!$M$22,Inputs!$B$4&lt;&gt;"Chapter Hunt"),CHOOSE(ArtifactsInput!$N$22+1,10,12,14,16,18,20)*((0*(((0.15*B2570*5))^0/1)+1*(((0.15*B2570*5))^1/1)+2*(((0.15*B2570*5))^2/2)+3*(((0.15*B2570*5))^3/6)+4*(((0.15*B2570*5))^4/24)+5*(((0.15*B2570*5))^5/120))/((((0.15*B2570*5))^0/1)+(((0.15*B2570*5))^1/1)+(((0.15*B2570*5))^2/2)+(((0.15*B2570*5))^3/6)+(((0.15*B2570*5))^4/24)+(((0.15*B2570*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Skills!A12</f>
        <v/>
      </c>
      <c r="B2554">
        <f>Skills!B12</f>
        <v/>
      </c>
      <c r="C2554">
        <f>Inputs!$B$3&gt;=100</f>
        <v/>
      </c>
      <c r="D2554">
        <f>IF(Skills!C12=1,60+Inputs!$B$25+Inputs!$B$29,IF(Skills!C12=2,90+Inputs!$B$26+Inputs!$B$29,IF(Skills!C12=3,120+Inputs!$B$27+Inputs!$B$29,MAX(0,(Inputs!$B$3-100)*3)+Inputs!$B$28+Inputs!$B$29)))</f>
        <v/>
      </c>
      <c r="E2554">
        <f>INDEX(FactorTable!$B$2:$Y$301, MATCH(ROUND(MIN(300,MAX(1,D2554)),0), FactorTable!$A$2:$A$301,0), Skills!M12+1)</f>
        <v/>
      </c>
      <c r="F2554">
        <f>IF(Skills!N12=TRUE,(Skills!L12/10)*(E2554/1000),Skills!L12/10)+Skills!O12</f>
        <v/>
      </c>
      <c r="G2554" t="inlineStr"/>
      <c r="H2554" t="inlineStr"/>
      <c r="I2554" t="inlineStr">
        <is>
          <t>1</t>
        </is>
      </c>
      <c r="J2554" t="inlineStr"/>
      <c r="K2554" t="inlineStr"/>
      <c r="L2554" t="inlineStr"/>
      <c r="M2554" t="inlineStr"/>
      <c r="N2554" t="inlineStr"/>
      <c r="O2554" t="inlineStr"/>
      <c r="P2554" t="inlineStr"/>
      <c r="Q2554" t="inlineStr"/>
      <c r="R2554" t="inlineStr"/>
      <c r="S2554" t="inlineStr"/>
      <c r="T2554" t="inlineStr"/>
      <c r="V2554" t="inlineStr"/>
    </row>
    <row r="2555">
      <c r="A2555">
        <f>Skills!A13</f>
        <v/>
      </c>
      <c r="B2555">
        <f>Skills!B13</f>
        <v/>
      </c>
      <c r="C2555">
        <f>Inputs!$B$3&gt;=66</f>
        <v/>
      </c>
      <c r="D2555">
        <f>IF(Skills!C13=1,60+Inputs!$B$25+Inputs!$B$29,IF(Skills!C13=2,90+Inputs!$B$26+Inputs!$B$29,IF(Skills!C13=3,120+Inputs!$B$27+Inputs!$B$29,MAX(0,(Inputs!$B$3-100)*3)+Inputs!$B$28+Inputs!$B$29)))</f>
        <v/>
      </c>
      <c r="E2555">
        <f>INDEX(FactorTable!$B$2:$Y$301, MATCH(ROUND(MIN(300,MAX(1,D2555)),0), FactorTable!$A$2:$A$301,0), Skills!M13+1)</f>
        <v/>
      </c>
      <c r="F2555">
        <f>IF(Skills!N13=TRUE,(Skills!L13/10)*(E2555/1000),Skills!L13/10)+Skills!O13</f>
        <v/>
      </c>
      <c r="G2555">
        <f>Skills!G13*IF(Skills!H13&gt;0,Skills!I13/Skills!H13,1)</f>
        <v/>
      </c>
      <c r="H2555">
        <f>1-(1-Skills!J13/100)^Skills!K13</f>
        <v/>
      </c>
      <c r="I2555" t="inlineStr">
        <is>
          <t>1</t>
        </is>
      </c>
      <c r="J2555" t="inlineStr"/>
      <c r="K2555" t="inlineStr"/>
      <c r="L2555" t="inlineStr"/>
      <c r="M2555" t="inlineStr"/>
      <c r="N2555" t="inlineStr"/>
      <c r="O2555">
        <f>(1-Summary!$B$11)*T2555+Summary!$B$11*V2555</f>
        <v/>
      </c>
      <c r="P2555">
        <f>IF(B2578=0,0,O2555/B2578)</f>
        <v/>
      </c>
      <c r="Q2555" t="n">
        <v>0</v>
      </c>
      <c r="R2555" t="n">
        <v>0</v>
      </c>
      <c r="S2555">
        <f>IFERROR(O2555/N2555,0)</f>
        <v/>
      </c>
      <c r="T2555" t="n">
        <v>0</v>
      </c>
      <c r="V2555" t="n">
        <v>0</v>
      </c>
    </row>
    <row r="2556">
      <c r="A2556">
        <f>Skills!A14</f>
        <v/>
      </c>
      <c r="B2556">
        <f>Skills!B14</f>
        <v/>
      </c>
      <c r="C2556">
        <f>Inputs!$B$3&gt;=107</f>
        <v/>
      </c>
      <c r="D2556">
        <f>IF(Skills!C14=1,60+Inputs!$B$25+Inputs!$B$29,IF(Skills!C14=2,90+Inputs!$B$26+Inputs!$B$29,IF(Skills!C14=3,120+Inputs!$B$27+Inputs!$B$29,MAX(0,(Inputs!$B$3-100)*3)+Inputs!$B$28+Inputs!$B$29)))</f>
        <v/>
      </c>
      <c r="E2556">
        <f>INDEX(FactorTable!$B$2:$Y$301, MATCH(ROUND(MIN(300,MAX(1,D2556)),0), FactorTable!$A$2:$A$301,0), Skills!M14+1)</f>
        <v/>
      </c>
      <c r="F2556">
        <f>IF(Skills!N14=TRUE,(Skills!L14/10)*(E2556/1000),Skills!L14/10)+Skills!O14</f>
        <v/>
      </c>
      <c r="G2556">
        <f>Skills!G14*IF(Skills!H14&gt;0,Skills!I14/Skills!H14,1)</f>
        <v/>
      </c>
      <c r="H2556">
        <f>1-(1-Skills!J14/100)^Skills!K14</f>
        <v/>
      </c>
      <c r="I2556" t="inlineStr">
        <is>
          <t>1</t>
        </is>
      </c>
      <c r="J2556" t="inlineStr"/>
      <c r="K2556" t="inlineStr"/>
      <c r="L2556" t="inlineStr"/>
      <c r="M2556" t="inlineStr"/>
      <c r="N2556" t="inlineStr"/>
      <c r="O2556">
        <f>(1-Summary!$B$11)*T2556+Summary!$B$11*V2556</f>
        <v/>
      </c>
      <c r="P2556">
        <f>IF(B2578=0,0,O2556/B2578)</f>
        <v/>
      </c>
      <c r="Q2556">
        <f>IFERROR(1/(IF(Inputs!$B$38="pvp",15,MAX(0.1,Skills!D14-IF(Skills!E14=TRUE,1.0,0)))*(1-IF(AND(ArtifactsInput!$M$27,Inputs!$B$4="Chapter Hunt"),CHOOSE(ArtifactsInput!$N$27+1,20,24,28,32,36,40),0)/100)),0)</f>
        <v/>
      </c>
      <c r="R2556">
        <f>IF(AND(Inputs!$B$38&lt;&gt;"pvp",Inputs!$B$43&gt;0),IF(Inputs!$B$43&lt;=0,0,(INT(Inputs!$B$43/(IF(Inputs!$B$38="pvp",15,MAX(0.1,Skills!D14-IF(Skills!E14=TRUE,1.0,0)))*(1-IF(AND(ArtifactsInput!$M$27,Inputs!$B$4="Chapter Hunt"),CHOOSE(ArtifactsInput!$N$27+1,20,24,28,32,36,40),0)/100)))+1)),0)</f>
        <v/>
      </c>
      <c r="S2556">
        <f>IFERROR(O2556/N2556,0)</f>
        <v/>
      </c>
      <c r="T2556" t="n">
        <v>0</v>
      </c>
      <c r="V2556" t="n">
        <v>0</v>
      </c>
    </row>
    <row r="2557">
      <c r="A2557">
        <f>Skills!A15</f>
        <v/>
      </c>
      <c r="B2557">
        <f>Skills!B15</f>
        <v/>
      </c>
      <c r="C2557">
        <f>Inputs!$B$3&gt;=115</f>
        <v/>
      </c>
      <c r="D2557">
        <f>IF(Skills!C15=1,60+Inputs!$B$25+Inputs!$B$29,IF(Skills!C15=2,90+Inputs!$B$26+Inputs!$B$29,IF(Skills!C15=3,120+Inputs!$B$27+Inputs!$B$29,MAX(0,(Inputs!$B$3-100)*3)+Inputs!$B$28+Inputs!$B$29)))</f>
        <v/>
      </c>
      <c r="E2557">
        <f>INDEX(FactorTable!$B$2:$Y$301, MATCH(ROUND(MIN(300,MAX(1,D2557)),0), FactorTable!$A$2:$A$301,0), Skills!M15+1)</f>
        <v/>
      </c>
      <c r="F2557">
        <f>IF(Skills!N15=TRUE,(Skills!L15/10)*(E2557/1000),Skills!L15/10)+Skills!O15</f>
        <v/>
      </c>
      <c r="G2557">
        <f>Skills!G15*IF(Skills!H15&gt;0,Skills!I15/Skills!H15,1)</f>
        <v/>
      </c>
      <c r="H2557">
        <f>1-(1-Skills!J15/100)^Skills!K15</f>
        <v/>
      </c>
      <c r="I2557" t="inlineStr">
        <is>
          <t>1</t>
        </is>
      </c>
      <c r="J2557" t="inlineStr"/>
      <c r="K2557" t="inlineStr"/>
      <c r="L2557" t="inlineStr"/>
      <c r="M2557" t="inlineStr"/>
      <c r="N2557" t="inlineStr"/>
      <c r="O2557">
        <f>(1-Summary!$B$11)*T2557+Summary!$B$11*V2557</f>
        <v/>
      </c>
      <c r="P2557">
        <f>IF(B2578=0,0,O2557/B2578)</f>
        <v/>
      </c>
      <c r="Q2557">
        <f>IFERROR(1/(IF(Inputs!$B$38="pvp",15,MAX(0.1,Skills!D15-IF(Skills!E15=TRUE,1.0,0)))*(1-IF(AND(ArtifactsInput!$M$27,Inputs!$B$4="Chapter Hunt"),CHOOSE(ArtifactsInput!$N$27+1,20,24,28,32,36,40),0)/100)),0)</f>
        <v/>
      </c>
      <c r="R2557">
        <f>IF(AND(Inputs!$B$38&lt;&gt;"pvp",Inputs!$B$43&gt;0),IF(Inputs!$B$43&lt;=0,0,(INT(Inputs!$B$43/(IF(Inputs!$B$38="pvp",15,MAX(0.1,Skills!D15-IF(Skills!E15=TRUE,1.0,0)))*(1-IF(AND(ArtifactsInput!$M$27,Inputs!$B$4="Chapter Hunt"),CHOOSE(ArtifactsInput!$N$27+1,20,24,28,32,36,40),0)/100)))+1)),0)</f>
        <v/>
      </c>
      <c r="S2557">
        <f>IFERROR(O2557/N2557,0)</f>
        <v/>
      </c>
      <c r="T2557" t="n">
        <v>0</v>
      </c>
      <c r="V2557" t="n">
        <v>0</v>
      </c>
    </row>
    <row r="2558">
      <c r="A2558">
        <f>Skills!A16</f>
        <v/>
      </c>
      <c r="B2558">
        <f>Skills!B16</f>
        <v/>
      </c>
      <c r="C2558">
        <f>Inputs!$B$3&gt;=15</f>
        <v/>
      </c>
      <c r="D2558">
        <f>IF(Skills!C16=1,60+Inputs!$B$25+Inputs!$B$29,IF(Skills!C16=2,90+Inputs!$B$26+Inputs!$B$29,IF(Skills!C16=3,120+Inputs!$B$27+Inputs!$B$29,MAX(0,(Inputs!$B$3-100)*3)+Inputs!$B$28+Inputs!$B$29)))</f>
        <v/>
      </c>
      <c r="E2558">
        <f>INDEX(FactorTable!$B$2:$Y$301, MATCH(ROUND(MIN(300,MAX(1,D2558)),0), FactorTable!$A$2:$A$301,0), Skills!M16+1)</f>
        <v/>
      </c>
      <c r="F2558">
        <f>IF(Skills!N16=TRUE,(Skills!L16/10)*(E2558/1000),Skills!L16/10)+Skills!O16</f>
        <v/>
      </c>
      <c r="G2558">
        <f>Skills!G16*IF(Skills!H16&gt;0,Skills!I16/Skills!H16,1)</f>
        <v/>
      </c>
      <c r="H2558">
        <f>1-(1-Skills!J16/100)^Skills!K16</f>
        <v/>
      </c>
      <c r="I2558" t="inlineStr">
        <is>
          <t>1</t>
        </is>
      </c>
      <c r="J2558" t="inlineStr"/>
      <c r="K2558" t="inlineStr"/>
      <c r="L2558" t="inlineStr"/>
      <c r="M2558" t="inlineStr"/>
      <c r="N2558" t="inlineStr"/>
      <c r="O2558">
        <f>(1-Summary!$B$11)*T2558+Summary!$B$11*V2558</f>
        <v/>
      </c>
      <c r="P2558">
        <f>IF(B2578=0,0,O2558/B2578)</f>
        <v/>
      </c>
      <c r="Q2558" t="n">
        <v>0</v>
      </c>
      <c r="R2558" t="n">
        <v>0</v>
      </c>
      <c r="S2558">
        <f>IFERROR(O2558/N2558,0)</f>
        <v/>
      </c>
      <c r="T2558" t="n">
        <v>0</v>
      </c>
      <c r="V2558" t="n">
        <v>0</v>
      </c>
    </row>
    <row r="2559">
      <c r="A2559">
        <f>Skills!A17</f>
        <v/>
      </c>
      <c r="B2559">
        <f>Skills!B17</f>
        <v/>
      </c>
      <c r="C2559">
        <f>Inputs!$B$3&gt;=10</f>
        <v/>
      </c>
      <c r="D2559">
        <f>IF(Skills!C17=1,60+Inputs!$B$25+Inputs!$B$29,IF(Skills!C17=2,90+Inputs!$B$26+Inputs!$B$29,IF(Skills!C17=3,120+Inputs!$B$27+Inputs!$B$29,MAX(0,(Inputs!$B$3-100)*3)+Inputs!$B$28+Inputs!$B$29)))</f>
        <v/>
      </c>
      <c r="E2559">
        <f>INDEX(FactorTable!$B$2:$Y$301, MATCH(ROUND(MIN(300,MAX(1,D2559)),0), FactorTable!$A$2:$A$301,0), Skills!M17+1)</f>
        <v/>
      </c>
      <c r="F2559">
        <f>IF(Skills!N17=TRUE,(Skills!L17/10)*(E2559/1000),Skills!L17/10)+Skills!O17</f>
        <v/>
      </c>
      <c r="G2559">
        <f>Skills!G17*IF(Skills!H17&gt;0,Skills!I17/Skills!H17,1)</f>
        <v/>
      </c>
      <c r="H2559">
        <f>1-(1-Skills!J17/100)^Skills!K17</f>
        <v/>
      </c>
      <c r="I2559" t="inlineStr">
        <is>
          <t>1</t>
        </is>
      </c>
      <c r="J2559" t="inlineStr"/>
      <c r="K2559" t="inlineStr"/>
      <c r="L2559" t="inlineStr"/>
      <c r="M2559" t="inlineStr"/>
      <c r="N2559" t="inlineStr"/>
      <c r="O2559">
        <f>(1-Summary!$B$11)*T2559+Summary!$B$11*V2559</f>
        <v/>
      </c>
      <c r="P2559">
        <f>IF(B2578=0,0,O2559/B2578)</f>
        <v/>
      </c>
      <c r="Q2559" t="n">
        <v>0</v>
      </c>
      <c r="R2559" t="n">
        <v>0</v>
      </c>
      <c r="S2559">
        <f>IFERROR(O2559/N2559,0)</f>
        <v/>
      </c>
      <c r="T2559" t="n">
        <v>0</v>
      </c>
      <c r="V2559" t="n">
        <v>0</v>
      </c>
    </row>
    <row r="2560">
      <c r="A2560">
        <f>Skills!A18</f>
        <v/>
      </c>
      <c r="B2560">
        <f>Skills!B18</f>
        <v/>
      </c>
      <c r="C2560">
        <f>Inputs!$B$3&gt;=33</f>
        <v/>
      </c>
      <c r="D2560">
        <f>IF(Skills!C18=1,60+Inputs!$B$25+Inputs!$B$29,IF(Skills!C18=2,90+Inputs!$B$26+Inputs!$B$29,IF(Skills!C18=3,120+Inputs!$B$27+Inputs!$B$29,MAX(0,(Inputs!$B$3-100)*3)+Inputs!$B$28+Inputs!$B$29)))</f>
        <v/>
      </c>
      <c r="E2560">
        <f>INDEX(FactorTable!$B$2:$Y$301, MATCH(ROUND(MIN(300,MAX(1,D2560)),0), FactorTable!$A$2:$A$301,0), Skills!M18+1)</f>
        <v/>
      </c>
      <c r="F2560">
        <f>IF(Skills!N18=TRUE,(Skills!L18/10)*(E2560/1000),Skills!L18/10)+Skills!O18</f>
        <v/>
      </c>
      <c r="G2560">
        <f>Skills!G18*IF(Skills!H18&gt;0,Skills!I18/Skills!H18,1)</f>
        <v/>
      </c>
      <c r="H2560">
        <f>1-(1-Skills!J18/100)^Skills!K18</f>
        <v/>
      </c>
      <c r="I2560" t="inlineStr">
        <is>
          <t>1</t>
        </is>
      </c>
      <c r="J2560" t="inlineStr"/>
      <c r="K2560" t="inlineStr"/>
      <c r="L2560" t="inlineStr"/>
      <c r="M2560" t="inlineStr"/>
      <c r="N2560" t="inlineStr"/>
      <c r="O2560">
        <f>(1-Summary!$B$11)*T2560+Summary!$B$11*V2560</f>
        <v/>
      </c>
      <c r="P2560">
        <f>IF(B2578=0,0,O2560/B2578)</f>
        <v/>
      </c>
      <c r="Q2560" t="n">
        <v>0</v>
      </c>
      <c r="R2560" t="n">
        <v>0</v>
      </c>
      <c r="S2560">
        <f>IFERROR(O2560/N2560,0)</f>
        <v/>
      </c>
      <c r="T2560" t="n">
        <v>0</v>
      </c>
      <c r="V2560" t="n">
        <v>0</v>
      </c>
    </row>
    <row r="2561">
      <c r="A2561">
        <f>Skills!A19</f>
        <v/>
      </c>
      <c r="B2561">
        <f>Skills!B19</f>
        <v/>
      </c>
      <c r="C2561">
        <f>Inputs!$B$3&gt;=40</f>
        <v/>
      </c>
      <c r="D2561">
        <f>IF(Skills!C19=1,60+Inputs!$B$25+Inputs!$B$29,IF(Skills!C19=2,90+Inputs!$B$26+Inputs!$B$29,IF(Skills!C19=3,120+Inputs!$B$27+Inputs!$B$29,MAX(0,(Inputs!$B$3-100)*3)+Inputs!$B$28+Inputs!$B$29)))</f>
        <v/>
      </c>
      <c r="E2561">
        <f>INDEX(FactorTable!$B$2:$Y$301, MATCH(ROUND(MIN(300,MAX(1,D2561)),0), FactorTable!$A$2:$A$301,0), Skills!M19+1)</f>
        <v/>
      </c>
      <c r="F2561">
        <f>IF(Skills!N19=TRUE,(Skills!L19/10)*(E2561/1000),Skills!L19/10)+Skills!O19</f>
        <v/>
      </c>
      <c r="G2561">
        <f>Skills!G19*IF(Skills!H19&gt;0,Skills!I19/Skills!H19,1)</f>
        <v/>
      </c>
      <c r="H2561">
        <f>1-(1-Skills!J19/100)^Skills!K19</f>
        <v/>
      </c>
      <c r="I2561" t="inlineStr">
        <is>
          <t>1</t>
        </is>
      </c>
      <c r="J2561" t="inlineStr"/>
      <c r="K2561" t="inlineStr"/>
      <c r="L2561" t="inlineStr"/>
      <c r="M2561" t="inlineStr"/>
      <c r="N2561" t="inlineStr"/>
      <c r="O2561">
        <f>(1-Summary!$B$11)*T2561+Summary!$B$11*V2561</f>
        <v/>
      </c>
      <c r="P2561">
        <f>IF(B2578=0,0,O2561/B2578)</f>
        <v/>
      </c>
      <c r="Q2561" t="n">
        <v>0</v>
      </c>
      <c r="R2561" t="n">
        <v>0</v>
      </c>
      <c r="S2561">
        <f>IFERROR(O2561/N2561,0)</f>
        <v/>
      </c>
      <c r="T2561" t="n">
        <v>0</v>
      </c>
      <c r="V2561" t="n">
        <v>0</v>
      </c>
    </row>
    <row r="2562">
      <c r="A2562">
        <f>Skills!A20</f>
        <v/>
      </c>
      <c r="B2562">
        <f>Skills!B20</f>
        <v/>
      </c>
      <c r="C2562">
        <f>Inputs!$B$3&gt;=43</f>
        <v/>
      </c>
      <c r="D2562">
        <f>IF(Skills!C20=1,60+Inputs!$B$25+Inputs!$B$29,IF(Skills!C20=2,90+Inputs!$B$26+Inputs!$B$29,IF(Skills!C20=3,120+Inputs!$B$27+Inputs!$B$29,MAX(0,(Inputs!$B$3-100)*3)+Inputs!$B$28+Inputs!$B$29)))</f>
        <v/>
      </c>
      <c r="E2562">
        <f>INDEX(FactorTable!$B$2:$Y$301, MATCH(ROUND(MIN(300,MAX(1,D2562)),0), FactorTable!$A$2:$A$301,0), Skills!M20+1)</f>
        <v/>
      </c>
      <c r="F2562">
        <f>IF(Skills!N20=TRUE,(Skills!L20/10)*(E2562/1000),Skills!L20/10)+Skills!O20</f>
        <v/>
      </c>
      <c r="G2562">
        <f>Skills!G20*IF(Skills!H20&gt;0,Skills!I20/Skills!H20,1)</f>
        <v/>
      </c>
      <c r="H2562">
        <f>1-(1-Skills!J20/100)^Skills!K20</f>
        <v/>
      </c>
      <c r="I2562" t="inlineStr">
        <is>
          <t>1</t>
        </is>
      </c>
      <c r="J2562" t="inlineStr"/>
      <c r="K2562" t="inlineStr"/>
      <c r="L2562" t="inlineStr"/>
      <c r="M2562" t="inlineStr"/>
      <c r="N2562" t="inlineStr"/>
      <c r="O2562">
        <f>(1-Summary!$B$11)*T2562+Summary!$B$11*V2562</f>
        <v/>
      </c>
      <c r="P2562">
        <f>IF(B2578=0,0,O2562/B2578)</f>
        <v/>
      </c>
      <c r="Q2562" t="n">
        <v>0</v>
      </c>
      <c r="R2562" t="n">
        <v>0</v>
      </c>
      <c r="S2562">
        <f>IFERROR(O2562/N2562,0)</f>
        <v/>
      </c>
      <c r="T2562" t="n">
        <v>0</v>
      </c>
      <c r="V2562" t="n">
        <v>0</v>
      </c>
    </row>
    <row r="2563">
      <c r="A2563">
        <f>Skills!A21</f>
        <v/>
      </c>
      <c r="B2563">
        <f>Skills!B21</f>
        <v/>
      </c>
      <c r="C2563">
        <f>Inputs!$B$3&gt;=38</f>
        <v/>
      </c>
      <c r="D2563">
        <f>IF(Skills!C21=1,60+Inputs!$B$25+Inputs!$B$29,IF(Skills!C21=2,90+Inputs!$B$26+Inputs!$B$29,IF(Skills!C21=3,120+Inputs!$B$27+Inputs!$B$29,MAX(0,(Inputs!$B$3-100)*3)+Inputs!$B$28+Inputs!$B$29)))</f>
        <v/>
      </c>
      <c r="E2563">
        <f>INDEX(FactorTable!$B$2:$Y$301, MATCH(ROUND(MIN(300,MAX(1,D2563)),0), FactorTable!$A$2:$A$301,0), Skills!M21+1)</f>
        <v/>
      </c>
      <c r="F2563">
        <f>IF(Skills!N21=TRUE,(Skills!L21/10)*(E2563/1000),Skills!L21/10)+Skills!O21</f>
        <v/>
      </c>
      <c r="G2563">
        <f>Skills!G21*IF(Skills!H21&gt;0,Skills!I21/Skills!H21,1)</f>
        <v/>
      </c>
      <c r="H2563">
        <f>1-(1-Skills!J21/100)^Skills!K21</f>
        <v/>
      </c>
      <c r="I2563" t="inlineStr">
        <is>
          <t>1</t>
        </is>
      </c>
      <c r="J2563" t="inlineStr"/>
      <c r="K2563" t="inlineStr"/>
      <c r="L2563" t="inlineStr"/>
      <c r="M2563" t="inlineStr"/>
      <c r="N2563" t="inlineStr"/>
      <c r="O2563">
        <f>(1-Summary!$B$11)*T2563+Summary!$B$11*V2563</f>
        <v/>
      </c>
      <c r="P2563">
        <f>IF(B2578=0,0,O2563/B2578)</f>
        <v/>
      </c>
      <c r="Q2563" t="n">
        <v>0</v>
      </c>
      <c r="R2563" t="n">
        <v>0</v>
      </c>
      <c r="S2563">
        <f>IFERROR(O2563/N2563,0)</f>
        <v/>
      </c>
      <c r="T2563" t="n">
        <v>0</v>
      </c>
      <c r="V2563" t="n">
        <v>0</v>
      </c>
    </row>
    <row r="2564">
      <c r="A2564">
        <f>Skills!A22</f>
        <v/>
      </c>
      <c r="B2564">
        <f>Skills!B22</f>
        <v/>
      </c>
      <c r="C2564">
        <f>Inputs!$B$3&gt;=75</f>
        <v/>
      </c>
      <c r="D2564">
        <f>IF(Skills!C22=1,60+Inputs!$B$25+Inputs!$B$29,IF(Skills!C22=2,90+Inputs!$B$26+Inputs!$B$29,IF(Skills!C22=3,120+Inputs!$B$27+Inputs!$B$29,MAX(0,(Inputs!$B$3-100)*3)+Inputs!$B$28+Inputs!$B$29)))</f>
        <v/>
      </c>
      <c r="E2564">
        <f>INDEX(FactorTable!$B$2:$Y$301, MATCH(ROUND(MIN(300,MAX(1,D2564)),0), FactorTable!$A$2:$A$301,0), Skills!M22+1)</f>
        <v/>
      </c>
      <c r="F2564">
        <f>IF(Skills!N22=TRUE,(Skills!L22/10)*(E2564/1000),Skills!L22/10)+Skills!O22</f>
        <v/>
      </c>
      <c r="G2564">
        <f>Skills!G22*IF(Skills!H22&gt;0,Skills!I22/Skills!H22,1)</f>
        <v/>
      </c>
      <c r="H2564">
        <f>1-(1-Skills!J22/100)^Skills!K22</f>
        <v/>
      </c>
      <c r="I2564" t="inlineStr">
        <is>
          <t>1</t>
        </is>
      </c>
      <c r="J2564" t="inlineStr"/>
      <c r="K2564" t="inlineStr"/>
      <c r="L2564" t="inlineStr"/>
      <c r="M2564" t="inlineStr"/>
      <c r="N2564" t="inlineStr"/>
      <c r="O2564">
        <f>(1-Summary!$B$11)*T2564+Summary!$B$11*V2564</f>
        <v/>
      </c>
      <c r="P2564">
        <f>IF(B2578=0,0,O2564/B2578)</f>
        <v/>
      </c>
      <c r="Q2564" t="n">
        <v>0</v>
      </c>
      <c r="R2564" t="n">
        <v>0</v>
      </c>
      <c r="S2564">
        <f>IFERROR(O2564/N2564,0)</f>
        <v/>
      </c>
      <c r="T2564" t="n">
        <v>0</v>
      </c>
      <c r="V2564" t="n">
        <v>0</v>
      </c>
    </row>
    <row r="2565">
      <c r="A2565">
        <f>Skills!A23</f>
        <v/>
      </c>
      <c r="B2565">
        <f>Skills!B23</f>
        <v/>
      </c>
      <c r="C2565">
        <f>TRUE</f>
        <v/>
      </c>
      <c r="D2565">
        <f>IF(Skills!C23=1,60+Inputs!$B$25+Inputs!$B$29,IF(Skills!C23=2,90+Inputs!$B$26+Inputs!$B$29,IF(Skills!C23=3,120+Inputs!$B$27+Inputs!$B$29,MAX(0,(Inputs!$B$3-100)*3)+Inputs!$B$28+Inputs!$B$29)))</f>
        <v/>
      </c>
      <c r="E2565">
        <f>INDEX(FactorTable!$B$2:$Y$301, MATCH(ROUND(MIN(300,MAX(1,D2565)),0), FactorTable!$A$2:$A$301,0), Skills!M23+1)</f>
        <v/>
      </c>
      <c r="F2565">
        <f>IF(Skills!N23=TRUE,(Skills!L23/10)*(E2565/1000),Skills!L23/10)+Skills!O23</f>
        <v/>
      </c>
      <c r="G2565">
        <f>Skills!G23*IF(Skills!H23&gt;0,Skills!I23/Skills!H23,1)</f>
        <v/>
      </c>
      <c r="H2565">
        <f>1-(1-Skills!J23/100)^Skills!K23</f>
        <v/>
      </c>
      <c r="I2565" t="inlineStr">
        <is>
          <t>1</t>
        </is>
      </c>
      <c r="J2565" t="inlineStr"/>
      <c r="K2565" t="inlineStr"/>
      <c r="L2565" t="inlineStr"/>
      <c r="M2565" t="inlineStr"/>
      <c r="N2565" t="inlineStr"/>
      <c r="O2565">
        <f>(1-Summary!$B$11)*T2565+Summary!$B$11*V2565</f>
        <v/>
      </c>
      <c r="P2565">
        <f>IF(B2578=0,0,O2565/B2578)</f>
        <v/>
      </c>
      <c r="Q2565">
        <f>IFERROR(1/(IF(Inputs!$B$38="pvp",15,MAX(0.1,Skills!D23-IF(Skills!E23=TRUE,1.0,0)))*(1-IF(AND(ArtifactsInput!$M$27,Inputs!$B$4="Chapter Hunt"),CHOOSE(ArtifactsInput!$N$27+1,20,24,28,32,36,40),0)/100)),0)</f>
        <v/>
      </c>
      <c r="R2565">
        <f>IF(AND(Inputs!$B$38&lt;&gt;"pvp",Inputs!$B$43&gt;0),IF(Inputs!$B$43&lt;=0,0,(INT(Inputs!$B$43/(IF(Inputs!$B$38="pvp",15,MAX(0.1,Skills!D23-IF(Skills!E23=TRUE,1.0,0)))*(1-IF(AND(ArtifactsInput!$M$27,Inputs!$B$4="Chapter Hunt"),CHOOSE(ArtifactsInput!$N$27+1,20,24,28,32,36,40),0)/100)))+1)),0)</f>
        <v/>
      </c>
      <c r="S2565">
        <f>IFERROR(O2565/N2565,0)</f>
        <v/>
      </c>
      <c r="T2565" t="n">
        <v>0</v>
      </c>
      <c r="V2565" t="n">
        <v>0</v>
      </c>
    </row>
    <row r="2567">
      <c r="A2567" t="inlineStr">
        <is>
          <t>Attack% Bucket Multiplier</t>
        </is>
      </c>
      <c r="B2567">
        <f>(1+(((C2555=TRUE)*F2555*5/7)+((C2561=TRUE)*(F2561-Calc!F19))+(IF(ArtifactsInput!$M$21,CHOOSE(ArtifactsInput!$N$21+1,25,30,35,40,45,50)*(IF(OR(Inputs!$B$4="Chapter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68">
      <c r="A2568" t="inlineStr">
        <is>
          <t>Global Crit Rate Bonus %</t>
        </is>
      </c>
      <c r="B2568" t="n">
        <v>0</v>
      </c>
    </row>
    <row r="2569">
      <c r="A2569" t="inlineStr">
        <is>
          <t>Attack Speed Buff Bonus % (Nimble Feet, duty-cycle averaged)</t>
        </is>
      </c>
      <c r="B2569">
        <f>((C2565=TRUE)*F2565*IF(AND(Inputs!$B$38&lt;&gt;"pvp",Inputs!$B$43&gt;0),(((R2565-1)*(Skills!T23*(1+Inputs!$B$34/100))+MIN((Skills!T23*(1+Inputs!$B$34/100)),MAX(0,Inputs!$B$43-((R2565-1)*Skills!D23))))/Inputs!$B$43),IF(Inputs!$B$38="pvp",MIN((Skills!T23*(1+Inputs!$B$34/100)),15)/15,(Skills!T23*(1+Inputs!$B$34/100))/Skills!D23)))</f>
        <v/>
      </c>
    </row>
    <row r="2570">
      <c r="A2570" t="inlineStr">
        <is>
          <t>Actions Per Second</t>
        </is>
      </c>
      <c r="B2570">
        <f>1+MIN(150,150*(1-(1-(Inputs!$B$11+((C2559=TRUE)*(F2559-Calc!F17))+((C2560=TRUE)*(F2560-Calc!F18)))/150)*(1-B2569/150)))/100</f>
        <v/>
      </c>
    </row>
    <row r="2571">
      <c r="A2571" t="inlineStr">
        <is>
          <t>Skill + Buff Cast Rate</t>
        </is>
      </c>
      <c r="B2571">
        <f>IF(AND(Inputs!$B$38&lt;&gt;"pvp",Inputs!$B$43&gt;0),SUMPRODUCT((Skills!E2:E23=TRUE)*(C2544:C2565=TRUE)*R2544:R2565*Skills!F2:F23)/Inputs!$B$43,SUMPRODUCT((Skills!E2:E23=TRUE)*(C2544:C2565=TRUE)*Q2544:Q2565*Skills!F2:F23))</f>
        <v/>
      </c>
    </row>
    <row r="2572">
      <c r="A2572" t="inlineStr">
        <is>
          <t>Hook Bomber Casts Per Second</t>
        </is>
      </c>
      <c r="B2572">
        <f>MAX(0,B2570-B2571)</f>
        <v/>
      </c>
    </row>
    <row r="2573">
      <c r="A2573" t="inlineStr">
        <is>
          <t>Global Critical Damage Bonus % (unused)</t>
        </is>
      </c>
      <c r="B2573" t="n">
        <v>0</v>
      </c>
    </row>
    <row r="2574">
      <c r="A2574" t="inlineStr">
        <is>
          <t>Global Final Damage Bonus % (Serpent Scale + Crossbones + Time Leap + Speed Infusion)</t>
        </is>
      </c>
      <c r="B2574">
        <f>((C2547=TRUE)*F2547*((10+IF(Inputs!$B$3&gt;=94,5,0))/((10+IF(Inputs!$B$3&gt;=94,5,0))+5/(B2572*(1+IF(Inputs!$B$3&gt;=104,1,0))))))+((C2556=TRUE)*F2556*IF(AND(Inputs!$B$38&lt;&gt;"pvp",Inputs!$B$43&gt;0),(((R2556-1)*(Skills!T14*(1+Inputs!$B$34/100))+MIN((Skills!T14*(1+Inputs!$B$34/100)),MAX(0,Inputs!$B$43-((R2556-1)*Skills!D14))))/Inputs!$B$43),IF(Inputs!$B$38="pvp",MIN((Skills!T14*(1+Inputs!$B$34/100)),15)/15,(Skills!T14*(1+Inputs!$B$34/100))/Skills!D14)))+((C2557=TRUE)*F2557*IF(AND(Inputs!$B$38&lt;&gt;"pvp",Inputs!$B$43&gt;0),(((R2557-1)*(Skills!T15*(1+Inputs!$B$34/100))+MIN((Skills!T15*(1+Inputs!$B$34/100)),MAX(0,Inputs!$B$43-((R2557-1)*Skills!D15))))/Inputs!$B$43),IF(Inputs!$B$38="pvp",MIN((Skills!T15*(1+Inputs!$B$34/100)),15)/15,(Skills!T15*(1+Inputs!$B$34/100))/Skills!D15)))+((Inputs!$B$3&gt;=110)*20*(B2570-1)*IF(Inputs!$B$38="pvp",MIN((15*(1+Inputs!$B$34/100)),15)/15,(15*(1+Inputs!$B$34/100))/35))</f>
        <v/>
      </c>
    </row>
    <row r="2575">
      <c r="A2575" t="inlineStr">
        <is>
          <t>Buff-Casting Startup Delay (s, fixed-duration only)</t>
        </is>
      </c>
      <c r="B2575">
        <f>IF(AND(Inputs!$B$38&lt;&gt;"pvp",Inputs!$B$43&gt;0),SUMPRODUCT((Skills!T2:T23&gt;0)*(Skills!E2:E23=TRUE)*(C2544:C2565=TRUE))/B2570,0)</f>
        <v/>
      </c>
    </row>
    <row r="2576">
      <c r="A2576" t="inlineStr">
        <is>
          <t>Boss-Only Total DPS (this block's swept value)</t>
        </is>
      </c>
      <c r="B2576">
        <f>SUM(T2544:T2565)</f>
        <v/>
      </c>
    </row>
    <row r="2577">
      <c r="A2577" t="inlineStr">
        <is>
          <t>Normal-Only Total DPS (this block's swept value)</t>
        </is>
      </c>
      <c r="B2577">
        <f>SUM(V2544:V2565)</f>
        <v/>
      </c>
    </row>
    <row r="2578">
      <c r="A2578" s="6" t="inlineStr">
        <is>
          <t>TOTAL DPS</t>
        </is>
      </c>
      <c r="B2578" s="6">
        <f>SUM(O2544:O2565)</f>
        <v/>
      </c>
    </row>
    <row r="2581">
      <c r="A2581" s="6" t="inlineStr">
        <is>
          <t>Stat: CDR = 1.5s</t>
        </is>
      </c>
    </row>
    <row r="2582">
      <c r="A2582" s="5" t="inlineStr">
        <is>
          <t>Key</t>
        </is>
      </c>
      <c r="B2582" s="5" t="inlineStr">
        <is>
          <t>Name</t>
        </is>
      </c>
      <c r="C2582" s="5" t="inlineStr">
        <is>
          <t>Unlocked</t>
        </is>
      </c>
      <c r="D2582" s="5" t="inlineStr">
        <is>
          <t>InputLevel</t>
        </is>
      </c>
      <c r="E2582" s="5" t="inlineStr">
        <is>
          <t>Factor</t>
        </is>
      </c>
      <c r="F2582" s="5" t="inlineStr">
        <is>
          <t>CoefficientPercent</t>
        </is>
      </c>
      <c r="G2582" s="5" t="inlineStr">
        <is>
          <t>EffectiveHits</t>
        </is>
      </c>
      <c r="H2582" s="5" t="inlineStr">
        <is>
          <t>ProcProbability</t>
        </is>
      </c>
      <c r="I2582" s="5" t="inlineStr">
        <is>
          <t>MapleHeroMultiplier</t>
        </is>
      </c>
      <c r="J2582" s="5" t="inlineStr">
        <is>
          <t>BaseDamage</t>
        </is>
      </c>
      <c r="K2582" s="5" t="inlineStr">
        <is>
          <t>BaseHitDamage</t>
        </is>
      </c>
      <c r="L2582" s="5" t="inlineStr">
        <is>
          <t>NonCritAvg</t>
        </is>
      </c>
      <c r="M2582" s="5" t="inlineStr">
        <is>
          <t>CritAvg</t>
        </is>
      </c>
      <c r="N2582" s="5" t="inlineStr">
        <is>
          <t>ExpectedDamage(perHit)</t>
        </is>
      </c>
      <c r="O2582" s="5" t="inlineStr">
        <is>
          <t>DPS</t>
        </is>
      </c>
      <c r="P2582" s="5" t="inlineStr">
        <is>
          <t>% of Total</t>
        </is>
      </c>
      <c r="Q2582" s="5" t="inlineStr">
        <is>
          <t>InvCooldown</t>
        </is>
      </c>
      <c r="R2582" s="5" t="inlineStr">
        <is>
          <t>CastsInFight</t>
        </is>
      </c>
      <c r="S2582" s="5" t="inlineStr">
        <is>
          <t>HitRate(perSec)</t>
        </is>
      </c>
      <c r="U2582" t="inlineStr">
        <is>
          <t>helpers</t>
        </is>
      </c>
    </row>
    <row r="2583">
      <c r="A2583">
        <f>Skills!A2</f>
        <v/>
      </c>
      <c r="B2583">
        <f>Skills!B2</f>
        <v/>
      </c>
      <c r="C2583">
        <f>Inputs!$B$3&gt;=100</f>
        <v/>
      </c>
      <c r="D2583" t="inlineStr"/>
      <c r="E2583" t="inlineStr"/>
      <c r="F2583">
        <f>U2585+Skills!O2</f>
        <v/>
      </c>
      <c r="G2583">
        <f>Skills!G2*IF(Skills!H2&gt;0,Skills!I2/Skills!H2,1)</f>
        <v/>
      </c>
      <c r="H2583">
        <f>1-(1-Skills!J2/100)^Skills!K2</f>
        <v/>
      </c>
      <c r="I2583" t="inlineStr">
        <is>
          <t>1</t>
        </is>
      </c>
      <c r="J2583">
        <f>((Inputs!$B$6*(1+Inputs!$B$7/100))+(((Inputs!$B$12*(1+Inputs!$B$13/100))-(Inputs!$B$12*(1+Inputs!$B$13/100)))+0.25*(Inputs!$B$14-Inputs!$B$14))*(1+Inputs!$B$7/100))*(F2583/100)</f>
        <v/>
      </c>
      <c r="K2583">
        <f>J2583*(1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2583)</f>
        <v/>
      </c>
      <c r="L2583">
        <f>K2583*(MIN(Inputs!$B$22+((C2601=TRUE)*(F2601-Calc!F20)),(Inputs!$B$23+0+(IF(ArtifactsInput!$M$15,CHOOSE(ArtifactsInput!$N$15+1,25,30,35,40,45,50)/100*(Inputs!$B$11-Inputs!$B$11),0))))/100+(Inputs!$B$23+0+(IF(ArtifactsInput!$M$15,CHOOSE(ArtifactsInput!$N$15+1,25,30,35,40,45,50)/100*(Inputs!$B$11-Inputs!$B$11),0)))/100)/2</f>
        <v/>
      </c>
      <c r="M2583">
        <f>L2583*(1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3">
        <f>L2583*(1-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2583*(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3">
        <f>(1-Summary!$B$11)*T2583+Summary!$B$11*V2583</f>
        <v/>
      </c>
      <c r="P2583">
        <f>IF(B2617=0,0,O2583/B2617)</f>
        <v/>
      </c>
      <c r="Q2583" t="n">
        <v>0</v>
      </c>
      <c r="R2583" t="n">
        <v>0</v>
      </c>
      <c r="S2583">
        <f>IFERROR(O2583/N2583,0)</f>
        <v/>
      </c>
      <c r="T2583">
        <f>IF(C2583,(Skills!G2*N2583*B2611)*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2583*(1-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2583*(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2583*(1-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2583*(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3">
        <f>MAX(0,(Inputs!$B$3-100)*3)+Inputs!$B$28+Inputs!$B$29</f>
        <v/>
      </c>
      <c r="V2583">
        <f>IF(C2583,(Skills!G2*N2583*B2611)*IF(Inputs!$B$38="pvp",1,(1+(Inputs!$B$21+Skills!Q2+(IF(ArtifactsInput!$M$33,CHOOSE(ArtifactsInput!$N$33+1,30,36,42,48,54,60),0))+(IF(AND(ArtifactsInput!$M$35,Inputs!$B$4&lt;&gt;"Chapter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4">
      <c r="A2584">
        <f>Skills!A3</f>
        <v/>
      </c>
      <c r="B2584">
        <f>Skills!B3</f>
        <v/>
      </c>
      <c r="C2584">
        <f>Inputs!$B$3&gt;=35</f>
        <v/>
      </c>
      <c r="D2584">
        <f>IF(Skills!C3=1,60+Inputs!$B$25+Inputs!$B$29,IF(Skills!C3=2,90+Inputs!$B$26+Inputs!$B$29,IF(Skills!C3=3,120+Inputs!$B$27+Inputs!$B$29,MAX(0,(Inputs!$B$3-100)*3)+Inputs!$B$28+Inputs!$B$29)))</f>
        <v/>
      </c>
      <c r="E2584">
        <f>INDEX(FactorTable!$B$2:$Y$301, MATCH(ROUND(MIN(300,MAX(1,D2584)),0), FactorTable!$A$2:$A$301,0), Skills!M3+1)</f>
        <v/>
      </c>
      <c r="F2584">
        <f>IF(Skills!N3=TRUE,(Skills!L3/10)*(E2584/1000),Skills!L3/10)+Skills!O3</f>
        <v/>
      </c>
      <c r="G2584">
        <f>Skills!G3*IF(Skills!H3&gt;0,Skills!I3/Skills!H3,1)</f>
        <v/>
      </c>
      <c r="H2584">
        <f>1-(1-Skills!J3/100)^Skills!K3</f>
        <v/>
      </c>
      <c r="I2584" t="inlineStr">
        <is>
          <t>1</t>
        </is>
      </c>
      <c r="J2584">
        <f>((Inputs!$B$6*(1+Inputs!$B$7/100))+(((Inputs!$B$12*(1+Inputs!$B$13/100))-(Inputs!$B$12*(1+Inputs!$B$13/100)))+0.25*(Inputs!$B$14-Inputs!$B$14))*(1+Inputs!$B$7/100))*(F2584/100)</f>
        <v/>
      </c>
      <c r="K2584">
        <f>J2584*(1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2584)</f>
        <v/>
      </c>
      <c r="L2584">
        <f>K2584*(MIN(Inputs!$B$22+((C2601=TRUE)*(F2601-Calc!F20)),(Inputs!$B$23+0+(IF(ArtifactsInput!$M$15,CHOOSE(ArtifactsInput!$N$15+1,25,30,35,40,45,50)/100*(Inputs!$B$11-Inputs!$B$11),0))))/100+(Inputs!$B$23+0+(IF(ArtifactsInput!$M$15,CHOOSE(ArtifactsInput!$N$15+1,25,30,35,40,45,50)/100*(Inputs!$B$11-Inputs!$B$11),0)))/100)/2</f>
        <v/>
      </c>
      <c r="M2584">
        <f>L2584*(1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4">
        <f>L2584*(1-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2584*(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4">
        <f>(1-Summary!$B$11)*T2584+Summary!$B$11*V2584</f>
        <v/>
      </c>
      <c r="P2584">
        <f>IF(B2617=0,0,O2584/B2617)</f>
        <v/>
      </c>
      <c r="Q2584" t="n">
        <v>0</v>
      </c>
      <c r="R2584" t="n">
        <v>0</v>
      </c>
      <c r="S2584">
        <f>IFERROR(O2584/N2584,0)</f>
        <v/>
      </c>
      <c r="T2584">
        <f>IF(C2584,(Skills!G3*H2584*N2584*B2611)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2584*(1-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2584*(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2584*(1-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2584*(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4">
        <f>INDEX(FactorTable!$B$2:$Y$301, MATCH(ROUND(MIN(300,MAX(1,U2583)),0), FactorTable!$A$2:$A$301,0), 22)</f>
        <v/>
      </c>
      <c r="V2584">
        <f>IF(C2584,(Skills!G3*H2584*N2584*B2611)*IF(Inputs!$B$38="pvp",1,(1+(Inputs!$B$21+Skills!Q3+(IF(ArtifactsInput!$M$33,CHOOSE(ArtifactsInput!$N$33+1,30,36,42,48,54,60),0))+(IF(AND(ArtifactsInput!$M$35,Inputs!$B$4&lt;&gt;"Chapter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5">
      <c r="A2585">
        <f>Skills!A4</f>
        <v/>
      </c>
      <c r="B2585">
        <f>Skills!B4</f>
        <v/>
      </c>
      <c r="C2585">
        <f>Inputs!$B$3&gt;=60</f>
        <v/>
      </c>
      <c r="D2585">
        <f>IF(Skills!C4=1,60+Inputs!$B$25+Inputs!$B$29,IF(Skills!C4=2,90+Inputs!$B$26+Inputs!$B$29,IF(Skills!C4=3,120+Inputs!$B$27+Inputs!$B$29,MAX(0,(Inputs!$B$3-100)*3)+Inputs!$B$28+Inputs!$B$29)))</f>
        <v/>
      </c>
      <c r="E2585">
        <f>INDEX(FactorTable!$B$2:$Y$301, MATCH(ROUND(MIN(300,MAX(1,D2585)),0), FactorTable!$A$2:$A$301,0), Skills!M4+1)</f>
        <v/>
      </c>
      <c r="F2585">
        <f>IF(Skills!N4=TRUE,(Skills!L4/10)*(E2585/1000),Skills!L4/10)+Skills!O4</f>
        <v/>
      </c>
      <c r="G2585">
        <f>Skills!G4*IF(Skills!H4&gt;0,Skills!I4/Skills!H4,1)</f>
        <v/>
      </c>
      <c r="H2585">
        <f>1-(1-Skills!J4/100)^Skills!K4</f>
        <v/>
      </c>
      <c r="I2585" t="inlineStr">
        <is>
          <t>1</t>
        </is>
      </c>
      <c r="J2585">
        <f>((Inputs!$B$6*(1+Inputs!$B$7/100))+(((Inputs!$B$12*(1+Inputs!$B$13/100))-(Inputs!$B$12*(1+Inputs!$B$13/100)))+0.25*(Inputs!$B$14-Inputs!$B$14))*(1+Inputs!$B$7/100))*(F2585/100)</f>
        <v/>
      </c>
      <c r="K2585">
        <f>J2585*(1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2593=TRUE,F2593,0)/100)*(1+(IF(Skills!A4="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2585)</f>
        <v/>
      </c>
      <c r="L2585">
        <f>K2585*(MIN(Inputs!$B$22+((C2601=TRUE)*(F2601-Calc!F20)),(Inputs!$B$23+0+(IF(ArtifactsInput!$M$15,CHOOSE(ArtifactsInput!$N$15+1,25,30,35,40,45,50)/100*(Inputs!$B$11-Inputs!$B$11),0))))/100+(Inputs!$B$23+0+(IF(ArtifactsInput!$M$15,CHOOSE(ArtifactsInput!$N$15+1,25,30,35,40,45,50)/100*(Inputs!$B$11-Inputs!$B$11),0)))/100)/2</f>
        <v/>
      </c>
      <c r="M2585">
        <f>L2585*(1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5">
        <f>L2585*(1-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2585*(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5">
        <f>(1-Summary!$B$11)*T2585+Summary!$B$11*V2585</f>
        <v/>
      </c>
      <c r="P2585">
        <f>IF(B2617=0,0,O2585/B2617)</f>
        <v/>
      </c>
      <c r="Q2585" t="n">
        <v>0</v>
      </c>
      <c r="R2585" t="n">
        <v>0</v>
      </c>
      <c r="S2585">
        <f>IFERROR(O2585/N2585,0)</f>
        <v/>
      </c>
      <c r="T2585">
        <f>IF(C2585,(Skills!G4*H2585*N2585*B2611)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2585*(1-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2585*(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2585*(1-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2585*(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85">
        <f>290*U2584/1000</f>
        <v/>
      </c>
      <c r="V2585">
        <f>IF(C2585,(Skills!G4*H2585*N2585*B2611)*IF(Inputs!$B$38="pvp",1,(1+(Inputs!$B$21+Skills!Q4+(IF(ArtifactsInput!$M$33,CHOOSE(ArtifactsInput!$N$33+1,30,36,42,48,54,60),0))+(IF(AND(ArtifactsInput!$M$35,Inputs!$B$4&lt;&gt;"Chapter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6">
      <c r="A2586">
        <f>Skills!A5</f>
        <v/>
      </c>
      <c r="B2586">
        <f>Skills!B5</f>
        <v/>
      </c>
      <c r="C2586">
        <f>Inputs!$B$3&gt;=60</f>
        <v/>
      </c>
      <c r="D2586">
        <f>IF(Skills!C5=1,60+Inputs!$B$25+Inputs!$B$29,IF(Skills!C5=2,90+Inputs!$B$26+Inputs!$B$29,IF(Skills!C5=3,120+Inputs!$B$27+Inputs!$B$29,MAX(0,(Inputs!$B$3-100)*3)+Inputs!$B$28+Inputs!$B$29)))</f>
        <v/>
      </c>
      <c r="E2586">
        <f>INDEX(FactorTable!$B$2:$Y$301, MATCH(ROUND(MIN(300,MAX(1,D2586)),0), FactorTable!$A$2:$A$301,0), Skills!M5+1)</f>
        <v/>
      </c>
      <c r="F2586">
        <f>IF(Skills!N5=TRUE,(Skills!L5/10)*(E2586/1000),Skills!L5/10)+Skills!O5</f>
        <v/>
      </c>
      <c r="G2586">
        <f>Skills!G5*IF(Skills!H5&gt;0,Skills!I5/Skills!H5,1)</f>
        <v/>
      </c>
      <c r="H2586">
        <f>1-(1-Skills!J5/100)^Skills!K5</f>
        <v/>
      </c>
      <c r="I2586" t="inlineStr">
        <is>
          <t>1</t>
        </is>
      </c>
      <c r="J2586" t="inlineStr"/>
      <c r="K2586" t="inlineStr"/>
      <c r="L2586" t="inlineStr"/>
      <c r="M2586" t="inlineStr"/>
      <c r="N2586" t="inlineStr"/>
      <c r="O2586">
        <f>(1-Summary!$B$11)*T2586+Summary!$B$11*V2586</f>
        <v/>
      </c>
      <c r="P2586">
        <f>IF(B2617=0,0,O2586/B2617)</f>
        <v/>
      </c>
      <c r="Q2586" t="n">
        <v>0</v>
      </c>
      <c r="R2586" t="n">
        <v>0</v>
      </c>
      <c r="S2586">
        <f>IFERROR(O2586/N2586,0)</f>
        <v/>
      </c>
      <c r="T2586" t="n">
        <v>0</v>
      </c>
      <c r="V2586" t="n">
        <v>0</v>
      </c>
    </row>
    <row r="2587">
      <c r="A2587">
        <f>Skills!A6</f>
        <v/>
      </c>
      <c r="B2587">
        <f>Skills!B6</f>
        <v/>
      </c>
      <c r="C2587">
        <f>Inputs!$B$3&gt;=63</f>
        <v/>
      </c>
      <c r="D2587">
        <f>IF(Skills!C6=1,60+Inputs!$B$25+Inputs!$B$29,IF(Skills!C6=2,90+Inputs!$B$26+Inputs!$B$29,IF(Skills!C6=3,120+Inputs!$B$27+Inputs!$B$29,MAX(0,(Inputs!$B$3-100)*3)+Inputs!$B$28+Inputs!$B$29)))</f>
        <v/>
      </c>
      <c r="E2587">
        <f>INDEX(FactorTable!$B$2:$Y$301, MATCH(ROUND(MIN(300,MAX(1,D2587)),0), FactorTable!$A$2:$A$301,0), Skills!M6+1)</f>
        <v/>
      </c>
      <c r="F2587">
        <f>IF(Skills!N6=TRUE,(Skills!L6/10)*(E2587/1000),Skills!L6/10)+Skills!O6</f>
        <v/>
      </c>
      <c r="G2587">
        <f>Skills!G6*IF(Skills!H6&gt;0,Skills!I6/Skills!H6,1)</f>
        <v/>
      </c>
      <c r="H2587">
        <f>1-(1-Skills!J6/100)^Skills!K6</f>
        <v/>
      </c>
      <c r="I2587" t="inlineStr">
        <is>
          <t>1</t>
        </is>
      </c>
      <c r="J2587">
        <f>((Inputs!$B$6*(1+Inputs!$B$7/100))+(((Inputs!$B$12*(1+Inputs!$B$13/100))-(Inputs!$B$12*(1+Inputs!$B$13/100)))+0.25*(Inputs!$B$14-Inputs!$B$14))*(1+Inputs!$B$7/100))*(F2587/100)</f>
        <v/>
      </c>
      <c r="K2587">
        <f>J2587*(1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2593=TRUE,F2593,0)/100)*(1+(IF(Skills!A6="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2587)</f>
        <v/>
      </c>
      <c r="L2587">
        <f>K2587*(MIN(Inputs!$B$22+((C2601=TRUE)*(F2601-Calc!F20)),(Inputs!$B$23+0+(IF(ArtifactsInput!$M$15,CHOOSE(ArtifactsInput!$N$15+1,25,30,35,40,45,50)/100*(Inputs!$B$11-Inputs!$B$11),0))))/100+(Inputs!$B$23+0+(IF(ArtifactsInput!$M$15,CHOOSE(ArtifactsInput!$N$15+1,25,30,35,40,45,50)/100*(Inputs!$B$11-Inputs!$B$11),0)))/100)/2</f>
        <v/>
      </c>
      <c r="M2587">
        <f>L2587*(1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7">
        <f>L2587*(1-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2587*(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7">
        <f>(1-Summary!$B$11)*T2587+Summary!$B$11*V2587</f>
        <v/>
      </c>
      <c r="P2587">
        <f>IF(B2617=0,0,O2587/B2617)</f>
        <v/>
      </c>
      <c r="Q2587">
        <f>IFERROR(1/(IF(Inputs!$B$38="pvp",15,MAX(0.1,Skills!D6-IF(Skills!E6=TRUE,1.5,0)))*(1-IF(AND(ArtifactsInput!$M$27,Inputs!$B$4="Chapter Hunt"),CHOOSE(ArtifactsInput!$N$27+1,20,24,28,32,36,40),0)/100)),0)</f>
        <v/>
      </c>
      <c r="R2587">
        <f>IF(AND(Inputs!$B$38&lt;&gt;"pvp",Inputs!$B$43&gt;0),IF(MAX(0,Inputs!$B$43-B2614)&lt;=0,0,(INT(MAX(0,Inputs!$B$43-B2614)/(IF(Inputs!$B$38="pvp",15,MAX(0.1,Skills!D6-IF(Skills!E6=TRUE,1.5,0)))*(1-IF(AND(ArtifactsInput!$M$27,Inputs!$B$4="Chapter Hunt"),CHOOSE(ArtifactsInput!$N$27+1,20,24,28,32,36,40),0)/100)))+1)),0)</f>
        <v/>
      </c>
      <c r="S2587">
        <f>IFERROR(O2587/N2587,0)</f>
        <v/>
      </c>
      <c r="T2587">
        <f>IF(C2587,(H2587*N2587*IF(AND(Inputs!$B$38&lt;&gt;"pvp",Inputs!$B$43&gt;0),((Skills!G6*((R2587-1)*IF(Skills!H6&gt;0,Skills!I6/Skills!H6,1)+IF(Skills!H6&gt;0,MIN(Skills!I6,MAX(0,MAX(0,Inputs!$B$43-B2614)-((R2587-1)*(IF(Inputs!$B$38="pvp",15,MAX(0.1,Skills!D6-IF(Skills!E6=TRUE,1.5,0)))*(1-IF(AND(ArtifactsInput!$M$27,Inputs!$B$4="Chapter Hunt"),CHOOSE(ArtifactsInput!$N$27+1,20,24,28,32,36,40),0)/100)))))/Skills!H6,1)))/Inputs!$B$43),G2587*Q2587)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2587*(1-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2587*(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2587*(1-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2587*(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7">
        <f>IF(C2587,(H2587*N2587*IF(AND(Inputs!$B$38&lt;&gt;"pvp",Inputs!$B$43&gt;0),((Skills!G6*((R2587-1)*IF(Skills!H6&gt;0,Skills!I6/Skills!H6,1)+IF(Skills!H6&gt;0,MIN(Skills!I6,MAX(0,MAX(0,Inputs!$B$43-B2614)-((R2587-1)*(IF(Inputs!$B$38="pvp",15,MAX(0.1,Skills!D6-IF(Skills!E6=TRUE,1.5,0)))*(1-IF(AND(ArtifactsInput!$M$27,Inputs!$B$4="Chapter Hunt"),CHOOSE(ArtifactsInput!$N$27+1,20,24,28,32,36,40),0)/100)))))/Skills!H6,1)))/Inputs!$B$43),G2587*Q2587))*IF(Inputs!$B$38="pvp",1,(1+(Inputs!$B$21+Skills!Q6+(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8">
      <c r="A2588">
        <f>Skills!A7</f>
        <v/>
      </c>
      <c r="B2588">
        <f>Skills!B7</f>
        <v/>
      </c>
      <c r="C2588">
        <f>Inputs!$B$3&gt;=100</f>
        <v/>
      </c>
      <c r="D2588">
        <f>IF(Skills!C7=1,60+Inputs!$B$25+Inputs!$B$29,IF(Skills!C7=2,90+Inputs!$B$26+Inputs!$B$29,IF(Skills!C7=3,120+Inputs!$B$27+Inputs!$B$29,MAX(0,(Inputs!$B$3-100)*3)+Inputs!$B$28+Inputs!$B$29)))</f>
        <v/>
      </c>
      <c r="E2588">
        <f>INDEX(FactorTable!$B$2:$Y$301, MATCH(ROUND(MIN(300,MAX(1,D2588)),0), FactorTable!$A$2:$A$301,0), Skills!M7+1)</f>
        <v/>
      </c>
      <c r="F2588">
        <f>IF(Skills!N7=TRUE,(Skills!L7/10)*(E2588/1000),Skills!L7/10)+Skills!O7</f>
        <v/>
      </c>
      <c r="G2588">
        <f>Skills!G7*IF(Skills!H7&gt;0,Skills!I7/Skills!H7,1)</f>
        <v/>
      </c>
      <c r="H2588">
        <f>1-(1-Skills!J7/100)^Skills!K7</f>
        <v/>
      </c>
      <c r="I2588" t="inlineStr">
        <is>
          <t>1</t>
        </is>
      </c>
      <c r="J2588">
        <f>((Inputs!$B$6*(1+Inputs!$B$7/100))+(((Inputs!$B$12*(1+Inputs!$B$13/100))-(Inputs!$B$12*(1+Inputs!$B$13/100)))+0.25*(Inputs!$B$14-Inputs!$B$14))*(1+Inputs!$B$7/100))*(F2588/100)</f>
        <v/>
      </c>
      <c r="K2588">
        <f>J2588*(1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2588)</f>
        <v/>
      </c>
      <c r="L2588">
        <f>K2588*(MIN(Inputs!$B$22+((C2601=TRUE)*(F2601-Calc!F20)),(Inputs!$B$23+0+(IF(ArtifactsInput!$M$15,CHOOSE(ArtifactsInput!$N$15+1,25,30,35,40,45,50)/100*(Inputs!$B$11-Inputs!$B$11),0))))/100+(Inputs!$B$23+0+(IF(ArtifactsInput!$M$15,CHOOSE(ArtifactsInput!$N$15+1,25,30,35,40,45,50)/100*(Inputs!$B$11-Inputs!$B$11),0)))/100)/2</f>
        <v/>
      </c>
      <c r="M2588">
        <f>L2588*(1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8">
        <f>L2588*(1-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2588*(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8">
        <f>(1-Summary!$B$11)*T2588+Summary!$B$11*V2588</f>
        <v/>
      </c>
      <c r="P2588">
        <f>IF(B2617=0,0,O2588/B2617)</f>
        <v/>
      </c>
      <c r="Q2588">
        <f>IFERROR(1/(IF(Inputs!$B$38="pvp",15,MAX(0.1,Skills!D7-IF(Skills!E7=TRUE,1.5,0)))*(1-IF(AND(ArtifactsInput!$M$27,Inputs!$B$4="Chapter Hunt"),CHOOSE(ArtifactsInput!$N$27+1,20,24,28,32,36,40),0)/100)),0)</f>
        <v/>
      </c>
      <c r="R2588">
        <f>IF(AND(Inputs!$B$38&lt;&gt;"pvp",Inputs!$B$43&gt;0),IF(MAX(0,Inputs!$B$43-B2614)&lt;=0,0,(INT(MAX(0,Inputs!$B$43-B2614)/(IF(Inputs!$B$38="pvp",15,MAX(0.1,Skills!D7-IF(Skills!E7=TRUE,1.5,0)))*(1-IF(AND(ArtifactsInput!$M$27,Inputs!$B$4="Chapter Hunt"),CHOOSE(ArtifactsInput!$N$27+1,20,24,28,32,36,40),0)/100)))+1)),0)</f>
        <v/>
      </c>
      <c r="S2588">
        <f>IFERROR(O2588/N2588,0)</f>
        <v/>
      </c>
      <c r="T2588">
        <f>IF(C2588,(H2588*N2588*IF(AND(Inputs!$B$38&lt;&gt;"pvp",Inputs!$B$43&gt;0),((Skills!G7*((R2588-1)*IF(Skills!H7&gt;0,Skills!I7/Skills!H7,1)+IF(Skills!H7&gt;0,MIN(Skills!I7,MAX(0,MAX(0,Inputs!$B$43-B2614)-((R2588-1)*(IF(Inputs!$B$38="pvp",15,MAX(0.1,Skills!D7-IF(Skills!E7=TRUE,1.5,0)))*(1-IF(AND(ArtifactsInput!$M$27,Inputs!$B$4="Chapter Hunt"),CHOOSE(ArtifactsInput!$N$27+1,20,24,28,32,36,40),0)/100)))))/Skills!H7,1)))/Inputs!$B$43),G2588*Q2588)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2588*(1-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2588*(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2588*(1-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2588*(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8">
        <f>IF(C2588,(H2588*N2588*IF(AND(Inputs!$B$38&lt;&gt;"pvp",Inputs!$B$43&gt;0),((Skills!G7*((R2588-1)*IF(Skills!H7&gt;0,Skills!I7/Skills!H7,1)+IF(Skills!H7&gt;0,MIN(Skills!I7,MAX(0,MAX(0,Inputs!$B$43-B2614)-((R2588-1)*(IF(Inputs!$B$38="pvp",15,MAX(0.1,Skills!D7-IF(Skills!E7=TRUE,1.5,0)))*(1-IF(AND(ArtifactsInput!$M$27,Inputs!$B$4="Chapter Hunt"),CHOOSE(ArtifactsInput!$N$27+1,20,24,28,32,36,40),0)/100)))))/Skills!H7,1)))/Inputs!$B$43),G2588*Q2588))*IF(Inputs!$B$38="pvp",1,(1+(Inputs!$B$21+Skills!Q7+(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9">
      <c r="A2589">
        <f>Skills!A8</f>
        <v/>
      </c>
      <c r="B2589">
        <f>Skills!B8</f>
        <v/>
      </c>
      <c r="C2589">
        <f>Inputs!$B$3&gt;=110</f>
        <v/>
      </c>
      <c r="D2589">
        <f>IF(Skills!C8=1,60+Inputs!$B$25+Inputs!$B$29,IF(Skills!C8=2,90+Inputs!$B$26+Inputs!$B$29,IF(Skills!C8=3,120+Inputs!$B$27+Inputs!$B$29,MAX(0,(Inputs!$B$3-100)*3)+Inputs!$B$28+Inputs!$B$29)))</f>
        <v/>
      </c>
      <c r="E2589">
        <f>INDEX(FactorTable!$B$2:$Y$301, MATCH(ROUND(MIN(300,MAX(1,D2589)),0), FactorTable!$A$2:$A$301,0), Skills!M8+1)</f>
        <v/>
      </c>
      <c r="F2589">
        <f>IF(Skills!N8=TRUE,(Skills!L8/10)*(E2589/1000),Skills!L8/10)+Skills!O8</f>
        <v/>
      </c>
      <c r="G2589">
        <f>Skills!G8*IF(Skills!H8&gt;0,Skills!I8/Skills!H8,1)</f>
        <v/>
      </c>
      <c r="H2589">
        <f>1-(1-Skills!J8/100)^Skills!K8</f>
        <v/>
      </c>
      <c r="I2589" t="inlineStr">
        <is>
          <t>1</t>
        </is>
      </c>
      <c r="J2589">
        <f>((Inputs!$B$6*(1+Inputs!$B$7/100))+(((Inputs!$B$12*(1+Inputs!$B$13/100))-(Inputs!$B$12*(1+Inputs!$B$13/100)))+0.25*(Inputs!$B$14-Inputs!$B$14))*(1+Inputs!$B$7/100))*(F2589/100)</f>
        <v/>
      </c>
      <c r="K2589">
        <f>J2589*(1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2589)</f>
        <v/>
      </c>
      <c r="L2589">
        <f>K2589*(MIN(Inputs!$B$22+((C2601=TRUE)*(F2601-Calc!F20)),(Inputs!$B$23+0+(IF(ArtifactsInput!$M$15,CHOOSE(ArtifactsInput!$N$15+1,25,30,35,40,45,50)/100*(Inputs!$B$11-Inputs!$B$11),0))))/100+(Inputs!$B$23+0+(IF(ArtifactsInput!$M$15,CHOOSE(ArtifactsInput!$N$15+1,25,30,35,40,45,50)/100*(Inputs!$B$11-Inputs!$B$11),0)))/100)/2</f>
        <v/>
      </c>
      <c r="M2589">
        <f>L2589*(1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9">
        <f>L2589*(1-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2589*(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9">
        <f>(1-Summary!$B$11)*T2589+Summary!$B$11*V2589</f>
        <v/>
      </c>
      <c r="P2589">
        <f>IF(B2617=0,0,O2589/B2617)</f>
        <v/>
      </c>
      <c r="Q2589">
        <f>IFERROR(1/(IF(Inputs!$B$38="pvp",15,MAX(0.1,Skills!D8-IF(Skills!E8=TRUE,1.5,0)))*(1-IF(AND(ArtifactsInput!$M$27,Inputs!$B$4="Chapter Hunt"),CHOOSE(ArtifactsInput!$N$27+1,20,24,28,32,36,40),0)/100)),0)</f>
        <v/>
      </c>
      <c r="R2589">
        <f>IF(AND(Inputs!$B$38&lt;&gt;"pvp",Inputs!$B$43&gt;0),IF(MAX(0,Inputs!$B$43-B2614)&lt;=0,0,(INT(MAX(0,Inputs!$B$43-B2614)/(IF(Inputs!$B$38="pvp",15,MAX(0.1,Skills!D8-IF(Skills!E8=TRUE,1.5,0)))*(1-IF(AND(ArtifactsInput!$M$27,Inputs!$B$4="Chapter Hunt"),CHOOSE(ArtifactsInput!$N$27+1,20,24,28,32,36,40),0)/100)))+1)),0)</f>
        <v/>
      </c>
      <c r="S2589">
        <f>IFERROR(O2589/N2589,0)</f>
        <v/>
      </c>
      <c r="T2589">
        <f>IF(C2589,(H2589*N2589*IF(AND(Inputs!$B$38&lt;&gt;"pvp",Inputs!$B$43&gt;0),((Skills!G8*((R2589-1)*IF(Skills!H8&gt;0,Skills!I8/Skills!H8,1)+IF(Skills!H8&gt;0,MIN(Skills!I8,MAX(0,MAX(0,Inputs!$B$43-B2614)-((R2589-1)*(IF(Inputs!$B$38="pvp",15,MAX(0.1,Skills!D8-IF(Skills!E8=TRUE,1.5,0)))*(1-IF(AND(ArtifactsInput!$M$27,Inputs!$B$4="Chapter Hunt"),CHOOSE(ArtifactsInput!$N$27+1,20,24,28,32,36,40),0)/100)))))/Skills!H8,1)))/Inputs!$B$43),G2589*Q2589)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2589*(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2589*(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9">
        <f>IF(C2589,(H2589*N2589*IF(AND(Inputs!$B$38&lt;&gt;"pvp",Inputs!$B$43&gt;0),((Skills!G8*((R2589-1)*IF(Skills!H8&gt;0,Skills!I8/Skills!H8,1)+IF(Skills!H8&gt;0,MIN(Skills!I8,MAX(0,MAX(0,Inputs!$B$43-B2614)-((R2589-1)*(IF(Inputs!$B$38="pvp",15,MAX(0.1,Skills!D8-IF(Skills!E8=TRUE,1.5,0)))*(1-IF(AND(ArtifactsInput!$M$27,Inputs!$B$4="Chapter Hunt"),CHOOSE(ArtifactsInput!$N$27+1,20,24,28,32,36,40),0)/100)))))/Skills!H8,1)))/Inputs!$B$43),G2589*Q2589))*IF(Inputs!$B$38="pvp",1,(1+(Inputs!$B$21+Skills!Q8+(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0">
      <c r="A2590">
        <f>Skills!A9</f>
        <v/>
      </c>
      <c r="B2590">
        <f>Skills!B9</f>
        <v/>
      </c>
      <c r="C2590">
        <f>Inputs!$B$3&gt;=110</f>
        <v/>
      </c>
      <c r="D2590">
        <f>IF(Skills!C9=1,60+Inputs!$B$25+Inputs!$B$29,IF(Skills!C9=2,90+Inputs!$B$26+Inputs!$B$29,IF(Skills!C9=3,120+Inputs!$B$27+Inputs!$B$29,MAX(0,(Inputs!$B$3-100)*3)+Inputs!$B$28+Inputs!$B$29)))</f>
        <v/>
      </c>
      <c r="E2590">
        <f>INDEX(FactorTable!$B$2:$Y$301, MATCH(ROUND(MIN(300,MAX(1,D2590)),0), FactorTable!$A$2:$A$301,0), Skills!M9+1)</f>
        <v/>
      </c>
      <c r="F2590">
        <f>IF(Skills!N9=TRUE,(Skills!L9/10)*(E2590/1000),Skills!L9/10)+Skills!O9</f>
        <v/>
      </c>
      <c r="G2590">
        <f>Skills!G9*IF(Skills!H9&gt;0,Skills!I9/Skills!H9,1)</f>
        <v/>
      </c>
      <c r="H2590">
        <f>1-(1-Skills!J9/100)^Skills!K9</f>
        <v/>
      </c>
      <c r="I2590" t="inlineStr">
        <is>
          <t>1</t>
        </is>
      </c>
      <c r="J2590">
        <f>((Inputs!$B$6*(1+Inputs!$B$7/100))+(((Inputs!$B$12*(1+Inputs!$B$13/100))-(Inputs!$B$12*(1+Inputs!$B$13/100)))+0.25*(Inputs!$B$14-Inputs!$B$14))*(1+Inputs!$B$7/100))*(F2590/100)</f>
        <v/>
      </c>
      <c r="K2590">
        <f>J2590*(1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2590)</f>
        <v/>
      </c>
      <c r="L2590">
        <f>K2590*(MIN(Inputs!$B$22+((C2601=TRUE)*(F2601-Calc!F20)),(Inputs!$B$23+0+(IF(ArtifactsInput!$M$15,CHOOSE(ArtifactsInput!$N$15+1,25,30,35,40,45,50)/100*(Inputs!$B$11-Inputs!$B$11),0))))/100+(Inputs!$B$23+0+(IF(ArtifactsInput!$M$15,CHOOSE(ArtifactsInput!$N$15+1,25,30,35,40,45,50)/100*(Inputs!$B$11-Inputs!$B$11),0)))/100)/2</f>
        <v/>
      </c>
      <c r="M2590">
        <f>L2590*(1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0">
        <f>L2590*(1-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2590*(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0">
        <f>(1-Summary!$B$11)*T2590+Summary!$B$11*V2590</f>
        <v/>
      </c>
      <c r="P2590">
        <f>IF(B2617=0,0,O2590/B2617)</f>
        <v/>
      </c>
      <c r="Q2590">
        <f>IFERROR(1/(IF(Inputs!$B$38="pvp",15,MAX(0.1,Skills!D9-IF(Skills!E9=TRUE,1.5,0)))*(1-IF(AND(ArtifactsInput!$M$27,Inputs!$B$4="Chapter Hunt"),CHOOSE(ArtifactsInput!$N$27+1,20,24,28,32,36,40),0)/100)),0)</f>
        <v/>
      </c>
      <c r="R2590">
        <f>IF(AND(Inputs!$B$38&lt;&gt;"pvp",Inputs!$B$43&gt;0),IF(MAX(0,Inputs!$B$43-B2614)&lt;=0,0,(INT(MAX(0,Inputs!$B$43-B2614)/(IF(Inputs!$B$38="pvp",15,MAX(0.1,Skills!D9-IF(Skills!E9=TRUE,1.5,0)))*(1-IF(AND(ArtifactsInput!$M$27,Inputs!$B$4="Chapter Hunt"),CHOOSE(ArtifactsInput!$N$27+1,20,24,28,32,36,40),0)/100)))+1)),0)</f>
        <v/>
      </c>
      <c r="S2590">
        <f>IFERROR(O2590/N2590,0)</f>
        <v/>
      </c>
      <c r="T2590">
        <f>IF(C2590,(H2590*N2590*IF(AND(Inputs!$B$38&lt;&gt;"pvp",Inputs!$B$43&gt;0),((Skills!G9*((R2590-1)*IF(Skills!H9&gt;0,Skills!I9/Skills!H9,1)+IF(Skills!H9&gt;0,MIN(Skills!I9,MAX(0,MAX(0,Inputs!$B$43-B2614)-((R2590-1)*(IF(Inputs!$B$38="pvp",15,MAX(0.1,Skills!D9-IF(Skills!E9=TRUE,1.5,0)))*(1-IF(AND(ArtifactsInput!$M$27,Inputs!$B$4="Chapter Hunt"),CHOOSE(ArtifactsInput!$N$27+1,20,24,28,32,36,40),0)/100)))))/Skills!H9,1)))/Inputs!$B$43),G2590*Q2590)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2590*(1-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2590*(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2590*(1-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2590*(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0">
        <f>IF(C2590,(H2590*N2590*IF(AND(Inputs!$B$38&lt;&gt;"pvp",Inputs!$B$43&gt;0),((Skills!G9*((R2590-1)*IF(Skills!H9&gt;0,Skills!I9/Skills!H9,1)+IF(Skills!H9&gt;0,MIN(Skills!I9,MAX(0,MAX(0,Inputs!$B$43-B2614)-((R2590-1)*(IF(Inputs!$B$38="pvp",15,MAX(0.1,Skills!D9-IF(Skills!E9=TRUE,1.5,0)))*(1-IF(AND(ArtifactsInput!$M$27,Inputs!$B$4="Chapter Hunt"),CHOOSE(ArtifactsInput!$N$27+1,20,24,28,32,36,40),0)/100)))))/Skills!H9,1)))/Inputs!$B$43),G2590*Q2590))*IF(Inputs!$B$38="pvp",1,(1+(Inputs!$B$21+Skills!Q9+(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1">
      <c r="A2591">
        <f>Skills!A10</f>
        <v/>
      </c>
      <c r="B2591">
        <f>Skills!B10</f>
        <v/>
      </c>
      <c r="C2591">
        <f>Inputs!$B$3&gt;=103</f>
        <v/>
      </c>
      <c r="D2591">
        <f>IF(Skills!C10=1,60+Inputs!$B$25+Inputs!$B$29,IF(Skills!C10=2,90+Inputs!$B$26+Inputs!$B$29,IF(Skills!C10=3,120+Inputs!$B$27+Inputs!$B$29,MAX(0,(Inputs!$B$3-100)*3)+Inputs!$B$28+Inputs!$B$29)))</f>
        <v/>
      </c>
      <c r="E2591">
        <f>INDEX(FactorTable!$B$2:$Y$301, MATCH(ROUND(MIN(300,MAX(1,D2591)),0), FactorTable!$A$2:$A$301,0), Skills!M10+1)</f>
        <v/>
      </c>
      <c r="F2591">
        <f>IF(Skills!N10=TRUE,(Skills!L10/10)*(E2591/1000),Skills!L10/10)+Skills!O10</f>
        <v/>
      </c>
      <c r="G2591">
        <f>Skills!G10*IF(Skills!H10&gt;0,Skills!I10/Skills!H10,1)</f>
        <v/>
      </c>
      <c r="H2591">
        <f>1-(1-Skills!J10/100)^Skills!K10</f>
        <v/>
      </c>
      <c r="I2591" t="inlineStr">
        <is>
          <t>1</t>
        </is>
      </c>
      <c r="J2591">
        <f>((Inputs!$B$6*(1+Inputs!$B$7/100))+(((Inputs!$B$12*(1+Inputs!$B$13/100))-(Inputs!$B$12*(1+Inputs!$B$13/100)))+0.25*(Inputs!$B$14-Inputs!$B$14))*(1+Inputs!$B$7/100))*(F2591/100)</f>
        <v/>
      </c>
      <c r="K2591">
        <f>J2591*(1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2591)</f>
        <v/>
      </c>
      <c r="L2591">
        <f>K2591*(MIN(Inputs!$B$22+((C2601=TRUE)*(F2601-Calc!F20)),(Inputs!$B$23+0+(IF(ArtifactsInput!$M$15,CHOOSE(ArtifactsInput!$N$15+1,25,30,35,40,45,50)/100*(Inputs!$B$11-Inputs!$B$11),0))))/100+(Inputs!$B$23+0+(IF(ArtifactsInput!$M$15,CHOOSE(ArtifactsInput!$N$15+1,25,30,35,40,45,50)/100*(Inputs!$B$11-Inputs!$B$11),0)))/100)/2</f>
        <v/>
      </c>
      <c r="M2591">
        <f>L2591*(1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1">
        <f>L2591*(1-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1">
        <f>(1-Summary!$B$11)*T2591+Summary!$B$11*V2591</f>
        <v/>
      </c>
      <c r="P2591">
        <f>IF(B2617=0,0,O2591/B2617)</f>
        <v/>
      </c>
      <c r="Q2591">
        <f>IFERROR(1/(IF(Inputs!$B$38="pvp",15,MAX(0.1,Skills!D10-IF(Skills!E10=TRUE,1.5,0)))*(1-IF(AND(ArtifactsInput!$M$27,Inputs!$B$4="Chapter Hunt"),CHOOSE(ArtifactsInput!$N$27+1,20,24,28,32,36,40),0)/100)),0)</f>
        <v/>
      </c>
      <c r="R2591">
        <f>IF(AND(Inputs!$B$38&lt;&gt;"pvp",Inputs!$B$43&gt;0),IF(MAX(0,Inputs!$B$43-B2614)&lt;=0,0,(INT(MAX(0,Inputs!$B$43-B2614)/(IF(Inputs!$B$38="pvp",15,MAX(0.1,Skills!D10-IF(Skills!E10=TRUE,1.5,0)))*(1-IF(AND(ArtifactsInput!$M$27,Inputs!$B$4="Chapter Hunt"),CHOOSE(ArtifactsInput!$N$27+1,20,24,28,32,36,40),0)/100)))+1)),0)</f>
        <v/>
      </c>
      <c r="S2591">
        <f>IFERROR(O2591/N2591,0)</f>
        <v/>
      </c>
      <c r="T2591">
        <f>IF(C2591,(H2591*N2591*IF(AND(Inputs!$B$38&lt;&gt;"pvp",Inputs!$B$43&gt;0),((Skills!G10*((R2591-1)*IF(Skills!H10&gt;0,Skills!I10/Skills!H10,1)+IF(Skills!H10&gt;0,MIN(Skills!I10,MAX(0,MAX(0,Inputs!$B$43-B2614)-((R2591-1)*(IF(Inputs!$B$38="pvp",15,MAX(0.1,Skills!D10-IF(Skills!E10=TRUE,1.5,0)))*(1-IF(AND(ArtifactsInput!$M$27,Inputs!$B$4="Chapter Hunt"),CHOOSE(ArtifactsInput!$N$27+1,20,24,28,32,36,40),0)/100)))))/Skills!H10,1)))/Inputs!$B$43),G2591*Q2591)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1">
        <f>IF(C2591,(H2591*N2591*IF(AND(Inputs!$B$38&lt;&gt;"pvp",Inputs!$B$43&gt;0),((Skills!G10*((R2591-1)*IF(Skills!H10&gt;0,Skills!I10/Skills!H10,1)+IF(Skills!H10&gt;0,MIN(Skills!I10,MAX(0,MAX(0,Inputs!$B$43-B2614)-((R2591-1)*(IF(Inputs!$B$38="pvp",15,MAX(0.1,Skills!D10-IF(Skills!E10=TRUE,1.5,0)))*(1-IF(AND(ArtifactsInput!$M$27,Inputs!$B$4="Chapter Hunt"),CHOOSE(ArtifactsInput!$N$27+1,20,24,28,32,36,40),0)/100)))))/Skills!H10,1)))/Inputs!$B$43),G2591*Q2591))*IF(Inputs!$B$38="pvp",1,(1+(Inputs!$B$21+Skills!Q10+(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2">
      <c r="A2592">
        <f>Skills!A11</f>
        <v/>
      </c>
      <c r="B2592">
        <f>Skills!B11</f>
        <v/>
      </c>
      <c r="C2592">
        <f>Inputs!$B$3&gt;=113</f>
        <v/>
      </c>
      <c r="D2592">
        <f>IF(Skills!C11=1,60+Inputs!$B$25+Inputs!$B$29,IF(Skills!C11=2,90+Inputs!$B$26+Inputs!$B$29,IF(Skills!C11=3,120+Inputs!$B$27+Inputs!$B$29,MAX(0,(Inputs!$B$3-100)*3)+Inputs!$B$28+Inputs!$B$29)))</f>
        <v/>
      </c>
      <c r="E2592">
        <f>INDEX(FactorTable!$B$2:$Y$301, MATCH(ROUND(MIN(300,MAX(1,D2592)),0), FactorTable!$A$2:$A$301,0), Skills!M11+1)</f>
        <v/>
      </c>
      <c r="F2592">
        <f>IF(Skills!N11=TRUE,(Skills!L11/10)*(E2592/1000),Skills!L11/10)+Skills!O11</f>
        <v/>
      </c>
      <c r="G2592">
        <f>Skills!G11*IF(Skills!H11&gt;0,Skills!I11/Skills!H11,1)</f>
        <v/>
      </c>
      <c r="H2592">
        <f>1-(1-Skills!J11/100)^Skills!K11</f>
        <v/>
      </c>
      <c r="I2592" t="inlineStr">
        <is>
          <t>1</t>
        </is>
      </c>
      <c r="J2592">
        <f>((Inputs!$B$6*(1+Inputs!$B$7/100))+(((Inputs!$B$12*(1+Inputs!$B$13/100))-(Inputs!$B$12*(1+Inputs!$B$13/100)))+0.25*(Inputs!$B$14-Inputs!$B$14))*(1+Inputs!$B$7/100))*(F2592/100)</f>
        <v/>
      </c>
      <c r="K2592">
        <f>J2592*(1+((Inputs!$B$12*(1+Inputs!$B$13/100))*0.01+Inputs!$B$14*0.0025)/100)*(1+Inputs!$B$15/100)*(1+Inputs!$B$16/100)*(5000/(6000+Inputs!$B$42*(1-(100*(1-(1-(Inputs!$B$19+0)/100)*(1-CHOOSE(ArtifactsInput!$N$40+1,5,6,7,8,9,10)/100)^(ArtifactsInput!$M$40-ArtifactsInput!$M$40)))/100)))*(1+(Inputs!$B$24+((C2603=TRUE)*(F2603-Calc!F22))+B2613)/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2602=TRUE)*(F2602-Calc!F21))+(((IF(AND(ArtifactsInput!$M$42,((Inputs!$B$9+((C2597=TRUE)*(F2597-Calc!F16))+B2607+(ArtifactsInput!$M$24-ArtifactsInput!$M$24)*CHOOSE(ArtifactsInput!$N$24+1,10,12,14,16,18,20)+IF(ArtifactsInput!$M$10,CHOOSE(ArtifactsInput!$N$10+1,15,18,21,24,27,30)*(IF(Inputs!$B$38="pvp",MIN(15,15)/15,IF(AND(Inputs!$B$38&lt;&gt;"pvp",Inputs!$B$43&gt;0),MIN(15,Inputs!$B$43)/(Inputs!$B$43),0))),0)))&gt;=100),MIN(100,((Inputs!$B$9+((C2597=TRUE)*(F2597-Calc!F16))+B2607+(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2597=TRUE)*(F2597-Calc!F16))+B2607+(ArtifactsInput!$M$24-ArtifactsInput!$M$24)*CHOOSE(ArtifactsInput!$N$24+1,10,12,14,16,18,20)+IF(ArtifactsInput!$M$10,CHOOSE(ArtifactsInput!$N$10+1,15,18,21,24,27,30)*(IF(Inputs!$B$38="pvp",MIN(15,15)/15,IF(AND(Inputs!$B$38&lt;&gt;"pvp",Inputs!$B$43&gt;0),MIN(15,Inputs!$B$43)/(Inputs!$B$43),0))),0)))&gt;=100),CHOOSE(ArtifactsInput!$N$42+1,40,48,56,64,72,80),0))))/100)*((1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2592)</f>
        <v/>
      </c>
      <c r="L2592">
        <f>K2592*(MIN(Inputs!$B$22+((C2601=TRUE)*(F2601-Calc!F20)),(Inputs!$B$23+0+(IF(ArtifactsInput!$M$15,CHOOSE(ArtifactsInput!$N$15+1,25,30,35,40,45,50)/100*(Inputs!$B$11-Inputs!$B$11),0))))/100+(Inputs!$B$23+0+(IF(ArtifactsInput!$M$15,CHOOSE(ArtifactsInput!$N$15+1,25,30,35,40,45,50)/100*(Inputs!$B$11-Inputs!$B$11),0)))/100)/2</f>
        <v/>
      </c>
      <c r="M2592">
        <f>L2592*(1+(Inputs!$B$10+0+B2612+(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2">
        <f>L2592*(1-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2592*(MIN((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2">
        <f>(1-Summary!$B$11)*T2592+Summary!$B$11*V2592</f>
        <v/>
      </c>
      <c r="P2592">
        <f>IF(B2617=0,0,O2592/B2617)</f>
        <v/>
      </c>
      <c r="Q2592">
        <f>IFERROR(1/(IF(Inputs!$B$38="pvp",15,MAX(0.1,Skills!D11-IF(Skills!E11=TRUE,1.5,0)))*(1-IF(AND(ArtifactsInput!$M$27,Inputs!$B$4="Chapter Hunt"),CHOOSE(ArtifactsInput!$N$27+1,20,24,28,32,36,40),0)/100)),0)</f>
        <v/>
      </c>
      <c r="R2592">
        <f>IF(AND(Inputs!$B$38&lt;&gt;"pvp",Inputs!$B$43&gt;0),IF(MAX(0,Inputs!$B$43-B2614)&lt;=0,0,(INT(MAX(0,Inputs!$B$43-B2614)/(IF(Inputs!$B$38="pvp",15,MAX(0.1,Skills!D11-IF(Skills!E11=TRUE,1.5,0)))*(1-IF(AND(ArtifactsInput!$M$27,Inputs!$B$4="Chapter Hunt"),CHOOSE(ArtifactsInput!$N$27+1,20,24,28,32,36,40),0)/100)))+1)),0)</f>
        <v/>
      </c>
      <c r="S2592">
        <f>IFERROR(O2592/N2592,0)</f>
        <v/>
      </c>
      <c r="T2592">
        <f>IF(C2592,(H2592*N2592*IF(AND(Inputs!$B$38&lt;&gt;"pvp",Inputs!$B$43&gt;0),((Skills!G11*((R2592-1)*IF(Skills!H11&gt;0,Skills!I11/Skills!H11,1)+IF(Skills!H11&gt;0,MIN(Skills!I11,MAX(0,MAX(0,Inputs!$B$43-B2614)-((R2592-1)*(IF(Inputs!$B$38="pvp",15,MAX(0.1,Skills!D11-IF(Skills!E11=TRUE,1.5,0)))*(1-IF(AND(ArtifactsInput!$M$27,Inputs!$B$4="Chapter Hunt"),CHOOSE(ArtifactsInput!$N$27+1,20,24,28,32,36,40),0)/100)))))/Skills!H11,1)))/Inputs!$B$43),G2592*Q2592)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2592*(1-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2592*(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2592*(1-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2592*(MIN(100,(Inputs!$B$9+((C2597=TRUE)*(F2597-Calc!F16))+B2607+(ArtifactsInput!$M$24-ArtifactsInput!$M$24)*CHOOSE(ArtifactsInput!$N$24+1,10,12,14,16,18,20)+(IF(AND(ArtifactsInput!$M$42,((Inputs!$B$9+((C2597=TRUE)*(F2597-Calc!F16))+B2607+(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2">
        <f>IF(C2592,(H2592*N2592*IF(AND(Inputs!$B$38&lt;&gt;"pvp",Inputs!$B$43&gt;0),((Skills!G11*((R2592-1)*IF(Skills!H11&gt;0,Skills!I11/Skills!H11,1)+IF(Skills!H11&gt;0,MIN(Skills!I11,MAX(0,MAX(0,Inputs!$B$43-B2614)-((R2592-1)*(IF(Inputs!$B$38="pvp",15,MAX(0.1,Skills!D11-IF(Skills!E11=TRUE,1.5,0)))*(1-IF(AND(ArtifactsInput!$M$27,Inputs!$B$4="Chapter Hunt"),CHOOSE(ArtifactsInput!$N$27+1,20,24,28,32,36,40),0)/100)))))/Skills!H11,1)))/Inputs!$B$43),G2592*Q2592))*IF(Inputs!$B$38="pvp",1,(1+(Inputs!$B$21+Skills!Q11+(IF(ArtifactsInput!$M$33,CHOOSE(ArtifactsInput!$N$33+1,30,36,42,48,54,60),0))+(IF(AND(ArtifactsInput!$M$35,Inputs!$B$4&lt;&gt;"Chapter Hunt"),CHOOSE(ArtifactsInput!$N$35+1,15,18,21,24,27,30)*(1-EXP(-(0.2*B2609)*5)),0)+IF(AND(ArtifactsInput!$M$22,Inputs!$B$4&lt;&gt;"Chapter Hunt"),CHOOSE(ArtifactsInput!$N$22+1,10,12,14,16,18,20)*((0*(((0.15*B2609*5))^0/1)+1*(((0.15*B2609*5))^1/1)+2*(((0.15*B2609*5))^2/2)+3*(((0.15*B2609*5))^3/6)+4*(((0.15*B2609*5))^4/24)+5*(((0.15*B2609*5))^5/120))/((((0.15*B2609*5))^0/1)+(((0.15*B2609*5))^1/1)+(((0.15*B2609*5))^2/2)+(((0.15*B2609*5))^3/6)+(((0.15*B2609*5))^4/24)+(((0.15*B2609*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3">
      <c r="A2593">
        <f>Skills!A12</f>
        <v/>
      </c>
      <c r="B2593">
        <f>Skills!B12</f>
        <v/>
      </c>
      <c r="C2593">
        <f>Inputs!$B$3&gt;=100</f>
        <v/>
      </c>
      <c r="D2593">
        <f>IF(Skills!C12=1,60+Inputs!$B$25+Inputs!$B$29,IF(Skills!C12=2,90+Inputs!$B$26+Inputs!$B$29,IF(Skills!C12=3,120+Inputs!$B$27+Inputs!$B$29,MAX(0,(Inputs!$B$3-100)*3)+Inputs!$B$28+Inputs!$B$29)))</f>
        <v/>
      </c>
      <c r="E2593">
        <f>INDEX(FactorTable!$B$2:$Y$301, MATCH(ROUND(MIN(300,MAX(1,D2593)),0), FactorTable!$A$2:$A$301,0), Skills!M12+1)</f>
        <v/>
      </c>
      <c r="F2593">
        <f>IF(Skills!N12=TRUE,(Skills!L12/10)*(E2593/1000),Skills!L12/10)+Skills!O12</f>
        <v/>
      </c>
      <c r="G2593" t="inlineStr"/>
      <c r="H2593" t="inlineStr"/>
      <c r="I2593" t="inlineStr">
        <is>
          <t>1</t>
        </is>
      </c>
      <c r="J2593" t="inlineStr"/>
      <c r="K2593" t="inlineStr"/>
      <c r="L2593" t="inlineStr"/>
      <c r="M2593" t="inlineStr"/>
      <c r="N2593" t="inlineStr"/>
      <c r="O2593" t="inlineStr"/>
      <c r="P2593" t="inlineStr"/>
      <c r="Q2593" t="inlineStr"/>
      <c r="R2593" t="inlineStr"/>
      <c r="S2593" t="inlineStr"/>
      <c r="T2593" t="inlineStr"/>
      <c r="V2593" t="inlineStr"/>
    </row>
    <row r="2594">
      <c r="A2594">
        <f>Skills!A13</f>
        <v/>
      </c>
      <c r="B2594">
        <f>Skills!B13</f>
        <v/>
      </c>
      <c r="C2594">
        <f>Inputs!$B$3&gt;=66</f>
        <v/>
      </c>
      <c r="D2594">
        <f>IF(Skills!C13=1,60+Inputs!$B$25+Inputs!$B$29,IF(Skills!C13=2,90+Inputs!$B$26+Inputs!$B$29,IF(Skills!C13=3,120+Inputs!$B$27+Inputs!$B$29,MAX(0,(Inputs!$B$3-100)*3)+Inputs!$B$28+Inputs!$B$29)))</f>
        <v/>
      </c>
      <c r="E2594">
        <f>INDEX(FactorTable!$B$2:$Y$301, MATCH(ROUND(MIN(300,MAX(1,D2594)),0), FactorTable!$A$2:$A$301,0), Skills!M13+1)</f>
        <v/>
      </c>
      <c r="F2594">
        <f>IF(Skills!N13=TRUE,(Skills!L13/10)*(E2594/1000),Skills!L13/10)+Skills!O13</f>
        <v/>
      </c>
      <c r="G2594">
        <f>Skills!G13*IF(Skills!H13&gt;0,Skills!I13/Skills!H13,1)</f>
        <v/>
      </c>
      <c r="H2594">
        <f>1-(1-Skills!J13/100)^Skills!K13</f>
        <v/>
      </c>
      <c r="I2594" t="inlineStr">
        <is>
          <t>1</t>
        </is>
      </c>
      <c r="J2594" t="inlineStr"/>
      <c r="K2594" t="inlineStr"/>
      <c r="L2594" t="inlineStr"/>
      <c r="M2594" t="inlineStr"/>
      <c r="N2594" t="inlineStr"/>
      <c r="O2594">
        <f>(1-Summary!$B$11)*T2594+Summary!$B$11*V2594</f>
        <v/>
      </c>
      <c r="P2594">
        <f>IF(B2617=0,0,O2594/B2617)</f>
        <v/>
      </c>
      <c r="Q2594" t="n">
        <v>0</v>
      </c>
      <c r="R2594" t="n">
        <v>0</v>
      </c>
      <c r="S2594">
        <f>IFERROR(O2594/N2594,0)</f>
        <v/>
      </c>
      <c r="T2594" t="n">
        <v>0</v>
      </c>
      <c r="V2594" t="n">
        <v>0</v>
      </c>
    </row>
    <row r="2595">
      <c r="A2595">
        <f>Skills!A14</f>
        <v/>
      </c>
      <c r="B2595">
        <f>Skills!B14</f>
        <v/>
      </c>
      <c r="C2595">
        <f>Inputs!$B$3&gt;=107</f>
        <v/>
      </c>
      <c r="D2595">
        <f>IF(Skills!C14=1,60+Inputs!$B$25+Inputs!$B$29,IF(Skills!C14=2,90+Inputs!$B$26+Inputs!$B$29,IF(Skills!C14=3,120+Inputs!$B$27+Inputs!$B$29,MAX(0,(Inputs!$B$3-100)*3)+Inputs!$B$28+Inputs!$B$29)))</f>
        <v/>
      </c>
      <c r="E2595">
        <f>INDEX(FactorTable!$B$2:$Y$301, MATCH(ROUND(MIN(300,MAX(1,D2595)),0), FactorTable!$A$2:$A$301,0), Skills!M14+1)</f>
        <v/>
      </c>
      <c r="F2595">
        <f>IF(Skills!N14=TRUE,(Skills!L14/10)*(E2595/1000),Skills!L14/10)+Skills!O14</f>
        <v/>
      </c>
      <c r="G2595">
        <f>Skills!G14*IF(Skills!H14&gt;0,Skills!I14/Skills!H14,1)</f>
        <v/>
      </c>
      <c r="H2595">
        <f>1-(1-Skills!J14/100)^Skills!K14</f>
        <v/>
      </c>
      <c r="I2595" t="inlineStr">
        <is>
          <t>1</t>
        </is>
      </c>
      <c r="J2595" t="inlineStr"/>
      <c r="K2595" t="inlineStr"/>
      <c r="L2595" t="inlineStr"/>
      <c r="M2595" t="inlineStr"/>
      <c r="N2595" t="inlineStr"/>
      <c r="O2595">
        <f>(1-Summary!$B$11)*T2595+Summary!$B$11*V2595</f>
        <v/>
      </c>
      <c r="P2595">
        <f>IF(B2617=0,0,O2595/B2617)</f>
        <v/>
      </c>
      <c r="Q2595">
        <f>IFERROR(1/(IF(Inputs!$B$38="pvp",15,MAX(0.1,Skills!D14-IF(Skills!E14=TRUE,1.5,0)))*(1-IF(AND(ArtifactsInput!$M$27,Inputs!$B$4="Chapter Hunt"),CHOOSE(ArtifactsInput!$N$27+1,20,24,28,32,36,40),0)/100)),0)</f>
        <v/>
      </c>
      <c r="R2595">
        <f>IF(AND(Inputs!$B$38&lt;&gt;"pvp",Inputs!$B$43&gt;0),IF(Inputs!$B$43&lt;=0,0,(INT(Inputs!$B$43/(IF(Inputs!$B$38="pvp",15,MAX(0.1,Skills!D14-IF(Skills!E14=TRUE,1.5,0)))*(1-IF(AND(ArtifactsInput!$M$27,Inputs!$B$4="Chapter Hunt"),CHOOSE(ArtifactsInput!$N$27+1,20,24,28,32,36,40),0)/100)))+1)),0)</f>
        <v/>
      </c>
      <c r="S2595">
        <f>IFERROR(O2595/N2595,0)</f>
        <v/>
      </c>
      <c r="T2595" t="n">
        <v>0</v>
      </c>
      <c r="V2595" t="n">
        <v>0</v>
      </c>
    </row>
    <row r="2596">
      <c r="A2596">
        <f>Skills!A15</f>
        <v/>
      </c>
      <c r="B2596">
        <f>Skills!B15</f>
        <v/>
      </c>
      <c r="C2596">
        <f>Inputs!$B$3&gt;=115</f>
        <v/>
      </c>
      <c r="D2596">
        <f>IF(Skills!C15=1,60+Inputs!$B$25+Inputs!$B$29,IF(Skills!C15=2,90+Inputs!$B$26+Inputs!$B$29,IF(Skills!C15=3,120+Inputs!$B$27+Inputs!$B$29,MAX(0,(Inputs!$B$3-100)*3)+Inputs!$B$28+Inputs!$B$29)))</f>
        <v/>
      </c>
      <c r="E2596">
        <f>INDEX(FactorTable!$B$2:$Y$301, MATCH(ROUND(MIN(300,MAX(1,D2596)),0), FactorTable!$A$2:$A$301,0), Skills!M15+1)</f>
        <v/>
      </c>
      <c r="F2596">
        <f>IF(Skills!N15=TRUE,(Skills!L15/10)*(E2596/1000),Skills!L15/10)+Skills!O15</f>
        <v/>
      </c>
      <c r="G2596">
        <f>Skills!G15*IF(Skills!H15&gt;0,Skills!I15/Skills!H15,1)</f>
        <v/>
      </c>
      <c r="H2596">
        <f>1-(1-Skills!J15/100)^Skills!K15</f>
        <v/>
      </c>
      <c r="I2596" t="inlineStr">
        <is>
          <t>1</t>
        </is>
      </c>
      <c r="J2596" t="inlineStr"/>
      <c r="K2596" t="inlineStr"/>
      <c r="L2596" t="inlineStr"/>
      <c r="M2596" t="inlineStr"/>
      <c r="N2596" t="inlineStr"/>
      <c r="O2596">
        <f>(1-Summary!$B$11)*T2596+Summary!$B$11*V2596</f>
        <v/>
      </c>
      <c r="P2596">
        <f>IF(B2617=0,0,O2596/B2617)</f>
        <v/>
      </c>
      <c r="Q2596">
        <f>IFERROR(1/(IF(Inputs!$B$38="pvp",15,MAX(0.1,Skills!D15-IF(Skills!E15=TRUE,1.5,0)))*(1-IF(AND(ArtifactsInput!$M$27,Inputs!$B$4="Chapter Hunt"),CHOOSE(ArtifactsInput!$N$27+1,20,24,28,32,36,40),0)/100)),0)</f>
        <v/>
      </c>
      <c r="R2596">
        <f>IF(AND(Inputs!$B$38&lt;&gt;"pvp",Inputs!$B$43&gt;0),IF(Inputs!$B$43&lt;=0,0,(INT(Inputs!$B$43/(IF(Inputs!$B$38="pvp",15,MAX(0.1,Skills!D15-IF(Skills!E15=TRUE,1.5,0)))*(1-IF(AND(ArtifactsInput!$M$27,Inputs!$B$4="Chapter Hunt"),CHOOSE(ArtifactsInput!$N$27+1,20,24,28,32,36,40),0)/100)))+1)),0)</f>
        <v/>
      </c>
      <c r="S2596">
        <f>IFERROR(O2596/N2596,0)</f>
        <v/>
      </c>
      <c r="T2596" t="n">
        <v>0</v>
      </c>
      <c r="V2596" t="n">
        <v>0</v>
      </c>
    </row>
    <row r="2597">
      <c r="A2597">
        <f>Skills!A16</f>
        <v/>
      </c>
      <c r="B2597">
        <f>Skills!B16</f>
        <v/>
      </c>
      <c r="C2597">
        <f>Inputs!$B$3&gt;=15</f>
        <v/>
      </c>
      <c r="D2597">
        <f>IF(Skills!C16=1,60+Inputs!$B$25+Inputs!$B$29,IF(Skills!C16=2,90+Inputs!$B$26+Inputs!$B$29,IF(Skills!C16=3,120+Inputs!$B$27+Inputs!$B$29,MAX(0,(Inputs!$B$3-100)*3)+Inputs!$B$28+Inputs!$B$29)))</f>
        <v/>
      </c>
      <c r="E2597">
        <f>INDEX(FactorTable!$B$2:$Y$301, MATCH(ROUND(MIN(300,MAX(1,D2597)),0), FactorTable!$A$2:$A$301,0), Skills!M16+1)</f>
        <v/>
      </c>
      <c r="F2597">
        <f>IF(Skills!N16=TRUE,(Skills!L16/10)*(E2597/1000),Skills!L16/10)+Skills!O16</f>
        <v/>
      </c>
      <c r="G2597">
        <f>Skills!G16*IF(Skills!H16&gt;0,Skills!I16/Skills!H16,1)</f>
        <v/>
      </c>
      <c r="H2597">
        <f>1-(1-Skills!J16/100)^Skills!K16</f>
        <v/>
      </c>
      <c r="I2597" t="inlineStr">
        <is>
          <t>1</t>
        </is>
      </c>
      <c r="J2597" t="inlineStr"/>
      <c r="K2597" t="inlineStr"/>
      <c r="L2597" t="inlineStr"/>
      <c r="M2597" t="inlineStr"/>
      <c r="N2597" t="inlineStr"/>
      <c r="O2597">
        <f>(1-Summary!$B$11)*T2597+Summary!$B$11*V2597</f>
        <v/>
      </c>
      <c r="P2597">
        <f>IF(B2617=0,0,O2597/B2617)</f>
        <v/>
      </c>
      <c r="Q2597" t="n">
        <v>0</v>
      </c>
      <c r="R2597" t="n">
        <v>0</v>
      </c>
      <c r="S2597">
        <f>IFERROR(O2597/N2597,0)</f>
        <v/>
      </c>
      <c r="T2597" t="n">
        <v>0</v>
      </c>
      <c r="V2597" t="n">
        <v>0</v>
      </c>
    </row>
    <row r="2598">
      <c r="A2598">
        <f>Skills!A17</f>
        <v/>
      </c>
      <c r="B2598">
        <f>Skills!B17</f>
        <v/>
      </c>
      <c r="C2598">
        <f>Inputs!$B$3&gt;=10</f>
        <v/>
      </c>
      <c r="D2598">
        <f>IF(Skills!C17=1,60+Inputs!$B$25+Inputs!$B$29,IF(Skills!C17=2,90+Inputs!$B$26+Inputs!$B$29,IF(Skills!C17=3,120+Inputs!$B$27+Inputs!$B$29,MAX(0,(Inputs!$B$3-100)*3)+Inputs!$B$28+Inputs!$B$29)))</f>
        <v/>
      </c>
      <c r="E2598">
        <f>INDEX(FactorTable!$B$2:$Y$301, MATCH(ROUND(MIN(300,MAX(1,D2598)),0), FactorTable!$A$2:$A$301,0), Skills!M17+1)</f>
        <v/>
      </c>
      <c r="F2598">
        <f>IF(Skills!N17=TRUE,(Skills!L17/10)*(E2598/1000),Skills!L17/10)+Skills!O17</f>
        <v/>
      </c>
      <c r="G2598">
        <f>Skills!G17*IF(Skills!H17&gt;0,Skills!I17/Skills!H17,1)</f>
        <v/>
      </c>
      <c r="H2598">
        <f>1-(1-Skills!J17/100)^Skills!K17</f>
        <v/>
      </c>
      <c r="I2598" t="inlineStr">
        <is>
          <t>1</t>
        </is>
      </c>
      <c r="J2598" t="inlineStr"/>
      <c r="K2598" t="inlineStr"/>
      <c r="L2598" t="inlineStr"/>
      <c r="M2598" t="inlineStr"/>
      <c r="N2598" t="inlineStr"/>
      <c r="O2598">
        <f>(1-Summary!$B$11)*T2598+Summary!$B$11*V2598</f>
        <v/>
      </c>
      <c r="P2598">
        <f>IF(B2617=0,0,O2598/B2617)</f>
        <v/>
      </c>
      <c r="Q2598" t="n">
        <v>0</v>
      </c>
      <c r="R2598" t="n">
        <v>0</v>
      </c>
      <c r="S2598">
        <f>IFERROR(O2598/N2598,0)</f>
        <v/>
      </c>
      <c r="T2598" t="n">
        <v>0</v>
      </c>
      <c r="V2598" t="n">
        <v>0</v>
      </c>
    </row>
    <row r="2599">
      <c r="A2599">
        <f>Skills!A18</f>
        <v/>
      </c>
      <c r="B2599">
        <f>Skills!B18</f>
        <v/>
      </c>
      <c r="C2599">
        <f>Inputs!$B$3&gt;=33</f>
        <v/>
      </c>
      <c r="D2599">
        <f>IF(Skills!C18=1,60+Inputs!$B$25+Inputs!$B$29,IF(Skills!C18=2,90+Inputs!$B$26+Inputs!$B$29,IF(Skills!C18=3,120+Inputs!$B$27+Inputs!$B$29,MAX(0,(Inputs!$B$3-100)*3)+Inputs!$B$28+Inputs!$B$29)))</f>
        <v/>
      </c>
      <c r="E2599">
        <f>INDEX(FactorTable!$B$2:$Y$301, MATCH(ROUND(MIN(300,MAX(1,D2599)),0), FactorTable!$A$2:$A$301,0), Skills!M18+1)</f>
        <v/>
      </c>
      <c r="F2599">
        <f>IF(Skills!N18=TRUE,(Skills!L18/10)*(E2599/1000),Skills!L18/10)+Skills!O18</f>
        <v/>
      </c>
      <c r="G2599">
        <f>Skills!G18*IF(Skills!H18&gt;0,Skills!I18/Skills!H18,1)</f>
        <v/>
      </c>
      <c r="H2599">
        <f>1-(1-Skills!J18/100)^Skills!K18</f>
        <v/>
      </c>
      <c r="I2599" t="inlineStr">
        <is>
          <t>1</t>
        </is>
      </c>
      <c r="J2599" t="inlineStr"/>
      <c r="K2599" t="inlineStr"/>
      <c r="L2599" t="inlineStr"/>
      <c r="M2599" t="inlineStr"/>
      <c r="N2599" t="inlineStr"/>
      <c r="O2599">
        <f>(1-Summary!$B$11)*T2599+Summary!$B$11*V2599</f>
        <v/>
      </c>
      <c r="P2599">
        <f>IF(B2617=0,0,O2599/B2617)</f>
        <v/>
      </c>
      <c r="Q2599" t="n">
        <v>0</v>
      </c>
      <c r="R2599" t="n">
        <v>0</v>
      </c>
      <c r="S2599">
        <f>IFERROR(O2599/N2599,0)</f>
        <v/>
      </c>
      <c r="T2599" t="n">
        <v>0</v>
      </c>
      <c r="V2599" t="n">
        <v>0</v>
      </c>
    </row>
    <row r="2600">
      <c r="A2600">
        <f>Skills!A19</f>
        <v/>
      </c>
      <c r="B2600">
        <f>Skills!B19</f>
        <v/>
      </c>
      <c r="C2600">
        <f>Inputs!$B$3&gt;=40</f>
        <v/>
      </c>
      <c r="D2600">
        <f>IF(Skills!C19=1,60+Inputs!$B$25+Inputs!$B$29,IF(Skills!C19=2,90+Inputs!$B$26+Inputs!$B$29,IF(Skills!C19=3,120+Inputs!$B$27+Inputs!$B$29,MAX(0,(Inputs!$B$3-100)*3)+Inputs!$B$28+Inputs!$B$29)))</f>
        <v/>
      </c>
      <c r="E2600">
        <f>INDEX(FactorTable!$B$2:$Y$301, MATCH(ROUND(MIN(300,MAX(1,D2600)),0), FactorTable!$A$2:$A$301,0), Skills!M19+1)</f>
        <v/>
      </c>
      <c r="F2600">
        <f>IF(Skills!N19=TRUE,(Skills!L19/10)*(E2600/1000),Skills!L19/10)+Skills!O19</f>
        <v/>
      </c>
      <c r="G2600">
        <f>Skills!G19*IF(Skills!H19&gt;0,Skills!I19/Skills!H19,1)</f>
        <v/>
      </c>
      <c r="H2600">
        <f>1-(1-Skills!J19/100)^Skills!K19</f>
        <v/>
      </c>
      <c r="I2600" t="inlineStr">
        <is>
          <t>1</t>
        </is>
      </c>
      <c r="J2600" t="inlineStr"/>
      <c r="K2600" t="inlineStr"/>
      <c r="L2600" t="inlineStr"/>
      <c r="M2600" t="inlineStr"/>
      <c r="N2600" t="inlineStr"/>
      <c r="O2600">
        <f>(1-Summary!$B$11)*T2600+Summary!$B$11*V2600</f>
        <v/>
      </c>
      <c r="P2600">
        <f>IF(B2617=0,0,O2600/B2617)</f>
        <v/>
      </c>
      <c r="Q2600" t="n">
        <v>0</v>
      </c>
      <c r="R2600" t="n">
        <v>0</v>
      </c>
      <c r="S2600">
        <f>IFERROR(O2600/N2600,0)</f>
        <v/>
      </c>
      <c r="T2600" t="n">
        <v>0</v>
      </c>
      <c r="V2600" t="n">
        <v>0</v>
      </c>
    </row>
    <row r="2601">
      <c r="A2601">
        <f>Skills!A20</f>
        <v/>
      </c>
      <c r="B2601">
        <f>Skills!B20</f>
        <v/>
      </c>
      <c r="C2601">
        <f>Inputs!$B$3&gt;=43</f>
        <v/>
      </c>
      <c r="D2601">
        <f>IF(Skills!C20=1,60+Inputs!$B$25+Inputs!$B$29,IF(Skills!C20=2,90+Inputs!$B$26+Inputs!$B$29,IF(Skills!C20=3,120+Inputs!$B$27+Inputs!$B$29,MAX(0,(Inputs!$B$3-100)*3)+Inputs!$B$28+Inputs!$B$29)))</f>
        <v/>
      </c>
      <c r="E2601">
        <f>INDEX(FactorTable!$B$2:$Y$301, MATCH(ROUND(MIN(300,MAX(1,D2601)),0), FactorTable!$A$2:$A$301,0), Skills!M20+1)</f>
        <v/>
      </c>
      <c r="F2601">
        <f>IF(Skills!N20=TRUE,(Skills!L20/10)*(E2601/1000),Skills!L20/10)+Skills!O20</f>
        <v/>
      </c>
      <c r="G2601">
        <f>Skills!G20*IF(Skills!H20&gt;0,Skills!I20/Skills!H20,1)</f>
        <v/>
      </c>
      <c r="H2601">
        <f>1-(1-Skills!J20/100)^Skills!K20</f>
        <v/>
      </c>
      <c r="I2601" t="inlineStr">
        <is>
          <t>1</t>
        </is>
      </c>
      <c r="J2601" t="inlineStr"/>
      <c r="K2601" t="inlineStr"/>
      <c r="L2601" t="inlineStr"/>
      <c r="M2601" t="inlineStr"/>
      <c r="N2601" t="inlineStr"/>
      <c r="O2601">
        <f>(1-Summary!$B$11)*T2601+Summary!$B$11*V2601</f>
        <v/>
      </c>
      <c r="P2601">
        <f>IF(B2617=0,0,O2601/B2617)</f>
        <v/>
      </c>
      <c r="Q2601" t="n">
        <v>0</v>
      </c>
      <c r="R2601" t="n">
        <v>0</v>
      </c>
      <c r="S2601">
        <f>IFERROR(O2601/N2601,0)</f>
        <v/>
      </c>
      <c r="T2601" t="n">
        <v>0</v>
      </c>
      <c r="V2601" t="n">
        <v>0</v>
      </c>
    </row>
    <row r="2602">
      <c r="A2602">
        <f>Skills!A21</f>
        <v/>
      </c>
      <c r="B2602">
        <f>Skills!B21</f>
        <v/>
      </c>
      <c r="C2602">
        <f>Inputs!$B$3&gt;=38</f>
        <v/>
      </c>
      <c r="D2602">
        <f>IF(Skills!C21=1,60+Inputs!$B$25+Inputs!$B$29,IF(Skills!C21=2,90+Inputs!$B$26+Inputs!$B$29,IF(Skills!C21=3,120+Inputs!$B$27+Inputs!$B$29,MAX(0,(Inputs!$B$3-100)*3)+Inputs!$B$28+Inputs!$B$29)))</f>
        <v/>
      </c>
      <c r="E2602">
        <f>INDEX(FactorTable!$B$2:$Y$301, MATCH(ROUND(MIN(300,MAX(1,D2602)),0), FactorTable!$A$2:$A$301,0), Skills!M21+1)</f>
        <v/>
      </c>
      <c r="F2602">
        <f>IF(Skills!N21=TRUE,(Skills!L21/10)*(E2602/1000),Skills!L21/10)+Skills!O21</f>
        <v/>
      </c>
      <c r="G2602">
        <f>Skills!G21*IF(Skills!H21&gt;0,Skills!I21/Skills!H21,1)</f>
        <v/>
      </c>
      <c r="H2602">
        <f>1-(1-Skills!J21/100)^Skills!K21</f>
        <v/>
      </c>
      <c r="I2602" t="inlineStr">
        <is>
          <t>1</t>
        </is>
      </c>
      <c r="J2602" t="inlineStr"/>
      <c r="K2602" t="inlineStr"/>
      <c r="L2602" t="inlineStr"/>
      <c r="M2602" t="inlineStr"/>
      <c r="N2602" t="inlineStr"/>
      <c r="O2602">
        <f>(1-Summary!$B$11)*T2602+Summary!$B$11*V2602</f>
        <v/>
      </c>
      <c r="P2602">
        <f>IF(B2617=0,0,O2602/B2617)</f>
        <v/>
      </c>
      <c r="Q2602" t="n">
        <v>0</v>
      </c>
      <c r="R2602" t="n">
        <v>0</v>
      </c>
      <c r="S2602">
        <f>IFERROR(O2602/N2602,0)</f>
        <v/>
      </c>
      <c r="T2602" t="n">
        <v>0</v>
      </c>
      <c r="V2602" t="n">
        <v>0</v>
      </c>
    </row>
    <row r="2603">
      <c r="A2603">
        <f>Skills!A22</f>
        <v/>
      </c>
      <c r="B2603">
        <f>Skills!B22</f>
        <v/>
      </c>
      <c r="C2603">
        <f>Inputs!$B$3&gt;=75</f>
        <v/>
      </c>
      <c r="D2603">
        <f>IF(Skills!C22=1,60+Inputs!$B$25+Inputs!$B$29,IF(Skills!C22=2,90+Inputs!$B$26+Inputs!$B$29,IF(Skills!C22=3,120+Inputs!$B$27+Inputs!$B$29,MAX(0,(Inputs!$B$3-100)*3)+Inputs!$B$28+Inputs!$B$29)))</f>
        <v/>
      </c>
      <c r="E2603">
        <f>INDEX(FactorTable!$B$2:$Y$301, MATCH(ROUND(MIN(300,MAX(1,D2603)),0), FactorTable!$A$2:$A$301,0), Skills!M22+1)</f>
        <v/>
      </c>
      <c r="F2603">
        <f>IF(Skills!N22=TRUE,(Skills!L22/10)*(E2603/1000),Skills!L22/10)+Skills!O22</f>
        <v/>
      </c>
      <c r="G2603">
        <f>Skills!G22*IF(Skills!H22&gt;0,Skills!I22/Skills!H22,1)</f>
        <v/>
      </c>
      <c r="H2603">
        <f>1-(1-Skills!J22/100)^Skills!K22</f>
        <v/>
      </c>
      <c r="I2603" t="inlineStr">
        <is>
          <t>1</t>
        </is>
      </c>
      <c r="J2603" t="inlineStr"/>
      <c r="K2603" t="inlineStr"/>
      <c r="L2603" t="inlineStr"/>
      <c r="M2603" t="inlineStr"/>
      <c r="N2603" t="inlineStr"/>
      <c r="O2603">
        <f>(1-Summary!$B$11)*T2603+Summary!$B$11*V2603</f>
        <v/>
      </c>
      <c r="P2603">
        <f>IF(B2617=0,0,O2603/B2617)</f>
        <v/>
      </c>
      <c r="Q2603" t="n">
        <v>0</v>
      </c>
      <c r="R2603" t="n">
        <v>0</v>
      </c>
      <c r="S2603">
        <f>IFERROR(O2603/N2603,0)</f>
        <v/>
      </c>
      <c r="T2603" t="n">
        <v>0</v>
      </c>
      <c r="V2603" t="n">
        <v>0</v>
      </c>
    </row>
    <row r="2604">
      <c r="A2604">
        <f>Skills!A23</f>
        <v/>
      </c>
      <c r="B2604">
        <f>Skills!B23</f>
        <v/>
      </c>
      <c r="C2604">
        <f>TRUE</f>
        <v/>
      </c>
      <c r="D2604">
        <f>IF(Skills!C23=1,60+Inputs!$B$25+Inputs!$B$29,IF(Skills!C23=2,90+Inputs!$B$26+Inputs!$B$29,IF(Skills!C23=3,120+Inputs!$B$27+Inputs!$B$29,MAX(0,(Inputs!$B$3-100)*3)+Inputs!$B$28+Inputs!$B$29)))</f>
        <v/>
      </c>
      <c r="E2604">
        <f>INDEX(FactorTable!$B$2:$Y$301, MATCH(ROUND(MIN(300,MAX(1,D2604)),0), FactorTable!$A$2:$A$301,0), Skills!M23+1)</f>
        <v/>
      </c>
      <c r="F2604">
        <f>IF(Skills!N23=TRUE,(Skills!L23/10)*(E2604/1000),Skills!L23/10)+Skills!O23</f>
        <v/>
      </c>
      <c r="G2604">
        <f>Skills!G23*IF(Skills!H23&gt;0,Skills!I23/Skills!H23,1)</f>
        <v/>
      </c>
      <c r="H2604">
        <f>1-(1-Skills!J23/100)^Skills!K23</f>
        <v/>
      </c>
      <c r="I2604" t="inlineStr">
        <is>
          <t>1</t>
        </is>
      </c>
      <c r="J2604" t="inlineStr"/>
      <c r="K2604" t="inlineStr"/>
      <c r="L2604" t="inlineStr"/>
      <c r="M2604" t="inlineStr"/>
      <c r="N2604" t="inlineStr"/>
      <c r="O2604">
        <f>(1-Summary!$B$11)*T2604+Summary!$B$11*V2604</f>
        <v/>
      </c>
      <c r="P2604">
        <f>IF(B2617=0,0,O2604/B2617)</f>
        <v/>
      </c>
      <c r="Q2604">
        <f>IFERROR(1/(IF(Inputs!$B$38="pvp",15,MAX(0.1,Skills!D23-IF(Skills!E23=TRUE,1.5,0)))*(1-IF(AND(ArtifactsInput!$M$27,Inputs!$B$4="Chapter Hunt"),CHOOSE(ArtifactsInput!$N$27+1,20,24,28,32,36,40),0)/100)),0)</f>
        <v/>
      </c>
      <c r="R2604">
        <f>IF(AND(Inputs!$B$38&lt;&gt;"pvp",Inputs!$B$43&gt;0),IF(Inputs!$B$43&lt;=0,0,(INT(Inputs!$B$43/(IF(Inputs!$B$38="pvp",15,MAX(0.1,Skills!D23-IF(Skills!E23=TRUE,1.5,0)))*(1-IF(AND(ArtifactsInput!$M$27,Inputs!$B$4="Chapter Hunt"),CHOOSE(ArtifactsInput!$N$27+1,20,24,28,32,36,40),0)/100)))+1)),0)</f>
        <v/>
      </c>
      <c r="S2604">
        <f>IFERROR(O2604/N2604,0)</f>
        <v/>
      </c>
      <c r="T2604" t="n">
        <v>0</v>
      </c>
      <c r="V2604" t="n">
        <v>0</v>
      </c>
    </row>
    <row r="2606">
      <c r="A2606" t="inlineStr">
        <is>
          <t>Attack% Bucket Multiplier</t>
        </is>
      </c>
      <c r="B2606">
        <f>(1+(((C2594=TRUE)*F2594*5/7)+((C2600=TRUE)*(F2600-Calc!F19))+(IF(ArtifactsInput!$M$21,CHOOSE(ArtifactsInput!$N$21+1,25,30,35,40,45,50)*(IF(OR(Inputs!$B$4="Chapter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07">
      <c r="A2607" t="inlineStr">
        <is>
          <t>Global Crit Rate Bonus %</t>
        </is>
      </c>
      <c r="B2607" t="n">
        <v>0</v>
      </c>
    </row>
    <row r="2608">
      <c r="A2608" t="inlineStr">
        <is>
          <t>Attack Speed Buff Bonus % (Nimble Feet, duty-cycle averaged)</t>
        </is>
      </c>
      <c r="B2608">
        <f>((C2604=TRUE)*F2604*IF(AND(Inputs!$B$38&lt;&gt;"pvp",Inputs!$B$43&gt;0),(((R2604-1)*(Skills!T23*(1+Inputs!$B$34/100))+MIN((Skills!T23*(1+Inputs!$B$34/100)),MAX(0,Inputs!$B$43-((R2604-1)*Skills!D23))))/Inputs!$B$43),IF(Inputs!$B$38="pvp",MIN((Skills!T23*(1+Inputs!$B$34/100)),15)/15,(Skills!T23*(1+Inputs!$B$34/100))/Skills!D23)))</f>
        <v/>
      </c>
    </row>
    <row r="2609">
      <c r="A2609" t="inlineStr">
        <is>
          <t>Actions Per Second</t>
        </is>
      </c>
      <c r="B2609">
        <f>1+MIN(150,150*(1-(1-(Inputs!$B$11+((C2598=TRUE)*(F2598-Calc!F17))+((C2599=TRUE)*(F2599-Calc!F18)))/150)*(1-B2608/150)))/100</f>
        <v/>
      </c>
    </row>
    <row r="2610">
      <c r="A2610" t="inlineStr">
        <is>
          <t>Skill + Buff Cast Rate</t>
        </is>
      </c>
      <c r="B2610">
        <f>IF(AND(Inputs!$B$38&lt;&gt;"pvp",Inputs!$B$43&gt;0),SUMPRODUCT((Skills!E2:E23=TRUE)*(C2583:C2604=TRUE)*R2583:R2604*Skills!F2:F23)/Inputs!$B$43,SUMPRODUCT((Skills!E2:E23=TRUE)*(C2583:C2604=TRUE)*Q2583:Q2604*Skills!F2:F23))</f>
        <v/>
      </c>
    </row>
    <row r="2611">
      <c r="A2611" t="inlineStr">
        <is>
          <t>Hook Bomber Casts Per Second</t>
        </is>
      </c>
      <c r="B2611">
        <f>MAX(0,B2609-B2610)</f>
        <v/>
      </c>
    </row>
    <row r="2612">
      <c r="A2612" t="inlineStr">
        <is>
          <t>Global Critical Damage Bonus % (unused)</t>
        </is>
      </c>
      <c r="B2612" t="n">
        <v>0</v>
      </c>
    </row>
    <row r="2613">
      <c r="A2613" t="inlineStr">
        <is>
          <t>Global Final Damage Bonus % (Serpent Scale + Crossbones + Time Leap + Speed Infusion)</t>
        </is>
      </c>
      <c r="B2613">
        <f>((C2586=TRUE)*F2586*((10+IF(Inputs!$B$3&gt;=94,5,0))/((10+IF(Inputs!$B$3&gt;=94,5,0))+5/(B2611*(1+IF(Inputs!$B$3&gt;=104,1,0))))))+((C2595=TRUE)*F2595*IF(AND(Inputs!$B$38&lt;&gt;"pvp",Inputs!$B$43&gt;0),(((R2595-1)*(Skills!T14*(1+Inputs!$B$34/100))+MIN((Skills!T14*(1+Inputs!$B$34/100)),MAX(0,Inputs!$B$43-((R2595-1)*Skills!D14))))/Inputs!$B$43),IF(Inputs!$B$38="pvp",MIN((Skills!T14*(1+Inputs!$B$34/100)),15)/15,(Skills!T14*(1+Inputs!$B$34/100))/Skills!D14)))+((C2596=TRUE)*F2596*IF(AND(Inputs!$B$38&lt;&gt;"pvp",Inputs!$B$43&gt;0),(((R2596-1)*(Skills!T15*(1+Inputs!$B$34/100))+MIN((Skills!T15*(1+Inputs!$B$34/100)),MAX(0,Inputs!$B$43-((R2596-1)*Skills!D15))))/Inputs!$B$43),IF(Inputs!$B$38="pvp",MIN((Skills!T15*(1+Inputs!$B$34/100)),15)/15,(Skills!T15*(1+Inputs!$B$34/100))/Skills!D15)))+((Inputs!$B$3&gt;=110)*20*(B2609-1)*IF(Inputs!$B$38="pvp",MIN((15*(1+Inputs!$B$34/100)),15)/15,(15*(1+Inputs!$B$34/100))/35))</f>
        <v/>
      </c>
    </row>
    <row r="2614">
      <c r="A2614" t="inlineStr">
        <is>
          <t>Buff-Casting Startup Delay (s, fixed-duration only)</t>
        </is>
      </c>
      <c r="B2614">
        <f>IF(AND(Inputs!$B$38&lt;&gt;"pvp",Inputs!$B$43&gt;0),SUMPRODUCT((Skills!T2:T23&gt;0)*(Skills!E2:E23=TRUE)*(C2583:C2604=TRUE))/B2609,0)</f>
        <v/>
      </c>
    </row>
    <row r="2615">
      <c r="A2615" t="inlineStr">
        <is>
          <t>Boss-Only Total DPS (this block's swept value)</t>
        </is>
      </c>
      <c r="B2615">
        <f>SUM(T2583:T2604)</f>
        <v/>
      </c>
    </row>
    <row r="2616">
      <c r="A2616" t="inlineStr">
        <is>
          <t>Normal-Only Total DPS (this block's swept value)</t>
        </is>
      </c>
      <c r="B2616">
        <f>SUM(V2583:V2604)</f>
        <v/>
      </c>
    </row>
    <row r="2617">
      <c r="A2617" s="6" t="inlineStr">
        <is>
          <t>TOTAL DPS</t>
        </is>
      </c>
      <c r="B2617" s="6">
        <f>SUM(O2583:O2604)</f>
        <v/>
      </c>
    </row>
    <row r="2620">
      <c r="A2620" s="6" t="inlineStr">
        <is>
          <t>Stat: CDR = 2.0s</t>
        </is>
      </c>
    </row>
    <row r="2621">
      <c r="A2621" s="5" t="inlineStr">
        <is>
          <t>Key</t>
        </is>
      </c>
      <c r="B2621" s="5" t="inlineStr">
        <is>
          <t>Name</t>
        </is>
      </c>
      <c r="C2621" s="5" t="inlineStr">
        <is>
          <t>Unlocked</t>
        </is>
      </c>
      <c r="D2621" s="5" t="inlineStr">
        <is>
          <t>InputLevel</t>
        </is>
      </c>
      <c r="E2621" s="5" t="inlineStr">
        <is>
          <t>Factor</t>
        </is>
      </c>
      <c r="F2621" s="5" t="inlineStr">
        <is>
          <t>CoefficientPercent</t>
        </is>
      </c>
      <c r="G2621" s="5" t="inlineStr">
        <is>
          <t>EffectiveHits</t>
        </is>
      </c>
      <c r="H2621" s="5" t="inlineStr">
        <is>
          <t>ProcProbability</t>
        </is>
      </c>
      <c r="I2621" s="5" t="inlineStr">
        <is>
          <t>MapleHeroMultiplier</t>
        </is>
      </c>
      <c r="J2621" s="5" t="inlineStr">
        <is>
          <t>BaseDamage</t>
        </is>
      </c>
      <c r="K2621" s="5" t="inlineStr">
        <is>
          <t>BaseHitDamage</t>
        </is>
      </c>
      <c r="L2621" s="5" t="inlineStr">
        <is>
          <t>NonCritAvg</t>
        </is>
      </c>
      <c r="M2621" s="5" t="inlineStr">
        <is>
          <t>CritAvg</t>
        </is>
      </c>
      <c r="N2621" s="5" t="inlineStr">
        <is>
          <t>ExpectedDamage(perHit)</t>
        </is>
      </c>
      <c r="O2621" s="5" t="inlineStr">
        <is>
          <t>DPS</t>
        </is>
      </c>
      <c r="P2621" s="5" t="inlineStr">
        <is>
          <t>% of Total</t>
        </is>
      </c>
      <c r="Q2621" s="5" t="inlineStr">
        <is>
          <t>InvCooldown</t>
        </is>
      </c>
      <c r="R2621" s="5" t="inlineStr">
        <is>
          <t>CastsInFight</t>
        </is>
      </c>
      <c r="S2621" s="5" t="inlineStr">
        <is>
          <t>HitRate(perSec)</t>
        </is>
      </c>
      <c r="U2621" t="inlineStr">
        <is>
          <t>helpers</t>
        </is>
      </c>
    </row>
    <row r="2622">
      <c r="A2622">
        <f>Skills!A2</f>
        <v/>
      </c>
      <c r="B2622">
        <f>Skills!B2</f>
        <v/>
      </c>
      <c r="C2622">
        <f>Inputs!$B$3&gt;=100</f>
        <v/>
      </c>
      <c r="D2622" t="inlineStr"/>
      <c r="E2622" t="inlineStr"/>
      <c r="F2622">
        <f>U2624+Skills!O2</f>
        <v/>
      </c>
      <c r="G2622">
        <f>Skills!G2*IF(Skills!H2&gt;0,Skills!I2/Skills!H2,1)</f>
        <v/>
      </c>
      <c r="H2622">
        <f>1-(1-Skills!J2/100)^Skills!K2</f>
        <v/>
      </c>
      <c r="I2622" t="inlineStr">
        <is>
          <t>1</t>
        </is>
      </c>
      <c r="J2622">
        <f>((Inputs!$B$6*(1+Inputs!$B$7/100))+(((Inputs!$B$12*(1+Inputs!$B$13/100))-(Inputs!$B$12*(1+Inputs!$B$13/100)))+0.25*(Inputs!$B$14-Inputs!$B$14))*(1+Inputs!$B$7/100))*(F2622/100)</f>
        <v/>
      </c>
      <c r="K2622">
        <f>J2622*(1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2622)</f>
        <v/>
      </c>
      <c r="L2622">
        <f>K2622*(MIN(Inputs!$B$22+((C2640=TRUE)*(F2640-Calc!F20)),(Inputs!$B$23+0+(IF(ArtifactsInput!$M$15,CHOOSE(ArtifactsInput!$N$15+1,25,30,35,40,45,50)/100*(Inputs!$B$11-Inputs!$B$11),0))))/100+(Inputs!$B$23+0+(IF(ArtifactsInput!$M$15,CHOOSE(ArtifactsInput!$N$15+1,25,30,35,40,45,50)/100*(Inputs!$B$11-Inputs!$B$11),0)))/100)/2</f>
        <v/>
      </c>
      <c r="M2622">
        <f>L2622*(1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2">
        <f>L2622*(1-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2622*(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2">
        <f>(1-Summary!$B$11)*T2622+Summary!$B$11*V2622</f>
        <v/>
      </c>
      <c r="P2622">
        <f>IF(B2656=0,0,O2622/B2656)</f>
        <v/>
      </c>
      <c r="Q2622" t="n">
        <v>0</v>
      </c>
      <c r="R2622" t="n">
        <v>0</v>
      </c>
      <c r="S2622">
        <f>IFERROR(O2622/N2622,0)</f>
        <v/>
      </c>
      <c r="T2622">
        <f>IF(C2622,(Skills!G2*N2622*B2650)*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2622*(1-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2622*(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2622*(1-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2622*(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2">
        <f>MAX(0,(Inputs!$B$3-100)*3)+Inputs!$B$28+Inputs!$B$29</f>
        <v/>
      </c>
      <c r="V2622">
        <f>IF(C2622,(Skills!G2*N2622*B2650)*IF(Inputs!$B$38="pvp",1,(1+(Inputs!$B$21+Skills!Q2+(IF(ArtifactsInput!$M$33,CHOOSE(ArtifactsInput!$N$33+1,30,36,42,48,54,60),0))+(IF(AND(ArtifactsInput!$M$35,Inputs!$B$4&lt;&gt;"Chapter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3">
      <c r="A2623">
        <f>Skills!A3</f>
        <v/>
      </c>
      <c r="B2623">
        <f>Skills!B3</f>
        <v/>
      </c>
      <c r="C2623">
        <f>Inputs!$B$3&gt;=35</f>
        <v/>
      </c>
      <c r="D2623">
        <f>IF(Skills!C3=1,60+Inputs!$B$25+Inputs!$B$29,IF(Skills!C3=2,90+Inputs!$B$26+Inputs!$B$29,IF(Skills!C3=3,120+Inputs!$B$27+Inputs!$B$29,MAX(0,(Inputs!$B$3-100)*3)+Inputs!$B$28+Inputs!$B$29)))</f>
        <v/>
      </c>
      <c r="E2623">
        <f>INDEX(FactorTable!$B$2:$Y$301, MATCH(ROUND(MIN(300,MAX(1,D2623)),0), FactorTable!$A$2:$A$301,0), Skills!M3+1)</f>
        <v/>
      </c>
      <c r="F2623">
        <f>IF(Skills!N3=TRUE,(Skills!L3/10)*(E2623/1000),Skills!L3/10)+Skills!O3</f>
        <v/>
      </c>
      <c r="G2623">
        <f>Skills!G3*IF(Skills!H3&gt;0,Skills!I3/Skills!H3,1)</f>
        <v/>
      </c>
      <c r="H2623">
        <f>1-(1-Skills!J3/100)^Skills!K3</f>
        <v/>
      </c>
      <c r="I2623" t="inlineStr">
        <is>
          <t>1</t>
        </is>
      </c>
      <c r="J2623">
        <f>((Inputs!$B$6*(1+Inputs!$B$7/100))+(((Inputs!$B$12*(1+Inputs!$B$13/100))-(Inputs!$B$12*(1+Inputs!$B$13/100)))+0.25*(Inputs!$B$14-Inputs!$B$14))*(1+Inputs!$B$7/100))*(F2623/100)</f>
        <v/>
      </c>
      <c r="K2623">
        <f>J2623*(1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2623)</f>
        <v/>
      </c>
      <c r="L2623">
        <f>K2623*(MIN(Inputs!$B$22+((C2640=TRUE)*(F2640-Calc!F20)),(Inputs!$B$23+0+(IF(ArtifactsInput!$M$15,CHOOSE(ArtifactsInput!$N$15+1,25,30,35,40,45,50)/100*(Inputs!$B$11-Inputs!$B$11),0))))/100+(Inputs!$B$23+0+(IF(ArtifactsInput!$M$15,CHOOSE(ArtifactsInput!$N$15+1,25,30,35,40,45,50)/100*(Inputs!$B$11-Inputs!$B$11),0)))/100)/2</f>
        <v/>
      </c>
      <c r="M2623">
        <f>L2623*(1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3">
        <f>L2623*(1-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2623*(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3">
        <f>(1-Summary!$B$11)*T2623+Summary!$B$11*V2623</f>
        <v/>
      </c>
      <c r="P2623">
        <f>IF(B2656=0,0,O2623/B2656)</f>
        <v/>
      </c>
      <c r="Q2623" t="n">
        <v>0</v>
      </c>
      <c r="R2623" t="n">
        <v>0</v>
      </c>
      <c r="S2623">
        <f>IFERROR(O2623/N2623,0)</f>
        <v/>
      </c>
      <c r="T2623">
        <f>IF(C2623,(Skills!G3*H2623*N2623*B2650)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2623*(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2623*(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3">
        <f>INDEX(FactorTable!$B$2:$Y$301, MATCH(ROUND(MIN(300,MAX(1,U2622)),0), FactorTable!$A$2:$A$301,0), 22)</f>
        <v/>
      </c>
      <c r="V2623">
        <f>IF(C2623,(Skills!G3*H2623*N2623*B2650)*IF(Inputs!$B$38="pvp",1,(1+(Inputs!$B$21+Skills!Q3+(IF(ArtifactsInput!$M$33,CHOOSE(ArtifactsInput!$N$33+1,30,36,42,48,54,60),0))+(IF(AND(ArtifactsInput!$M$35,Inputs!$B$4&lt;&gt;"Chapter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4">
      <c r="A2624">
        <f>Skills!A4</f>
        <v/>
      </c>
      <c r="B2624">
        <f>Skills!B4</f>
        <v/>
      </c>
      <c r="C2624">
        <f>Inputs!$B$3&gt;=60</f>
        <v/>
      </c>
      <c r="D2624">
        <f>IF(Skills!C4=1,60+Inputs!$B$25+Inputs!$B$29,IF(Skills!C4=2,90+Inputs!$B$26+Inputs!$B$29,IF(Skills!C4=3,120+Inputs!$B$27+Inputs!$B$29,MAX(0,(Inputs!$B$3-100)*3)+Inputs!$B$28+Inputs!$B$29)))</f>
        <v/>
      </c>
      <c r="E2624">
        <f>INDEX(FactorTable!$B$2:$Y$301, MATCH(ROUND(MIN(300,MAX(1,D2624)),0), FactorTable!$A$2:$A$301,0), Skills!M4+1)</f>
        <v/>
      </c>
      <c r="F2624">
        <f>IF(Skills!N4=TRUE,(Skills!L4/10)*(E2624/1000),Skills!L4/10)+Skills!O4</f>
        <v/>
      </c>
      <c r="G2624">
        <f>Skills!G4*IF(Skills!H4&gt;0,Skills!I4/Skills!H4,1)</f>
        <v/>
      </c>
      <c r="H2624">
        <f>1-(1-Skills!J4/100)^Skills!K4</f>
        <v/>
      </c>
      <c r="I2624" t="inlineStr">
        <is>
          <t>1</t>
        </is>
      </c>
      <c r="J2624">
        <f>((Inputs!$B$6*(1+Inputs!$B$7/100))+(((Inputs!$B$12*(1+Inputs!$B$13/100))-(Inputs!$B$12*(1+Inputs!$B$13/100)))+0.25*(Inputs!$B$14-Inputs!$B$14))*(1+Inputs!$B$7/100))*(F2624/100)</f>
        <v/>
      </c>
      <c r="K2624">
        <f>J2624*(1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2632=TRUE,F2632,0)/100)*(1+(IF(Skills!A4="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2624)</f>
        <v/>
      </c>
      <c r="L2624">
        <f>K2624*(MIN(Inputs!$B$22+((C2640=TRUE)*(F2640-Calc!F20)),(Inputs!$B$23+0+(IF(ArtifactsInput!$M$15,CHOOSE(ArtifactsInput!$N$15+1,25,30,35,40,45,50)/100*(Inputs!$B$11-Inputs!$B$11),0))))/100+(Inputs!$B$23+0+(IF(ArtifactsInput!$M$15,CHOOSE(ArtifactsInput!$N$15+1,25,30,35,40,45,50)/100*(Inputs!$B$11-Inputs!$B$11),0)))/100)/2</f>
        <v/>
      </c>
      <c r="M2624">
        <f>L2624*(1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4">
        <f>L2624*(1-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2624*(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4">
        <f>(1-Summary!$B$11)*T2624+Summary!$B$11*V2624</f>
        <v/>
      </c>
      <c r="P2624">
        <f>IF(B2656=0,0,O2624/B2656)</f>
        <v/>
      </c>
      <c r="Q2624" t="n">
        <v>0</v>
      </c>
      <c r="R2624" t="n">
        <v>0</v>
      </c>
      <c r="S2624">
        <f>IFERROR(O2624/N2624,0)</f>
        <v/>
      </c>
      <c r="T2624">
        <f>IF(C2624,(Skills!G4*H2624*N2624*B2650)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2624*(1-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2624*(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2624*(1-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2624*(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24">
        <f>290*U2623/1000</f>
        <v/>
      </c>
      <c r="V2624">
        <f>IF(C2624,(Skills!G4*H2624*N2624*B2650)*IF(Inputs!$B$38="pvp",1,(1+(Inputs!$B$21+Skills!Q4+(IF(ArtifactsInput!$M$33,CHOOSE(ArtifactsInput!$N$33+1,30,36,42,48,54,60),0))+(IF(AND(ArtifactsInput!$M$35,Inputs!$B$4&lt;&gt;"Chapter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5">
      <c r="A2625">
        <f>Skills!A5</f>
        <v/>
      </c>
      <c r="B2625">
        <f>Skills!B5</f>
        <v/>
      </c>
      <c r="C2625">
        <f>Inputs!$B$3&gt;=60</f>
        <v/>
      </c>
      <c r="D2625">
        <f>IF(Skills!C5=1,60+Inputs!$B$25+Inputs!$B$29,IF(Skills!C5=2,90+Inputs!$B$26+Inputs!$B$29,IF(Skills!C5=3,120+Inputs!$B$27+Inputs!$B$29,MAX(0,(Inputs!$B$3-100)*3)+Inputs!$B$28+Inputs!$B$29)))</f>
        <v/>
      </c>
      <c r="E2625">
        <f>INDEX(FactorTable!$B$2:$Y$301, MATCH(ROUND(MIN(300,MAX(1,D2625)),0), FactorTable!$A$2:$A$301,0), Skills!M5+1)</f>
        <v/>
      </c>
      <c r="F2625">
        <f>IF(Skills!N5=TRUE,(Skills!L5/10)*(E2625/1000),Skills!L5/10)+Skills!O5</f>
        <v/>
      </c>
      <c r="G2625">
        <f>Skills!G5*IF(Skills!H5&gt;0,Skills!I5/Skills!H5,1)</f>
        <v/>
      </c>
      <c r="H2625">
        <f>1-(1-Skills!J5/100)^Skills!K5</f>
        <v/>
      </c>
      <c r="I2625" t="inlineStr">
        <is>
          <t>1</t>
        </is>
      </c>
      <c r="J2625" t="inlineStr"/>
      <c r="K2625" t="inlineStr"/>
      <c r="L2625" t="inlineStr"/>
      <c r="M2625" t="inlineStr"/>
      <c r="N2625" t="inlineStr"/>
      <c r="O2625">
        <f>(1-Summary!$B$11)*T2625+Summary!$B$11*V2625</f>
        <v/>
      </c>
      <c r="P2625">
        <f>IF(B2656=0,0,O2625/B2656)</f>
        <v/>
      </c>
      <c r="Q2625" t="n">
        <v>0</v>
      </c>
      <c r="R2625" t="n">
        <v>0</v>
      </c>
      <c r="S2625">
        <f>IFERROR(O2625/N2625,0)</f>
        <v/>
      </c>
      <c r="T2625" t="n">
        <v>0</v>
      </c>
      <c r="V2625" t="n">
        <v>0</v>
      </c>
    </row>
    <row r="2626">
      <c r="A2626">
        <f>Skills!A6</f>
        <v/>
      </c>
      <c r="B2626">
        <f>Skills!B6</f>
        <v/>
      </c>
      <c r="C2626">
        <f>Inputs!$B$3&gt;=63</f>
        <v/>
      </c>
      <c r="D2626">
        <f>IF(Skills!C6=1,60+Inputs!$B$25+Inputs!$B$29,IF(Skills!C6=2,90+Inputs!$B$26+Inputs!$B$29,IF(Skills!C6=3,120+Inputs!$B$27+Inputs!$B$29,MAX(0,(Inputs!$B$3-100)*3)+Inputs!$B$28+Inputs!$B$29)))</f>
        <v/>
      </c>
      <c r="E2626">
        <f>INDEX(FactorTable!$B$2:$Y$301, MATCH(ROUND(MIN(300,MAX(1,D2626)),0), FactorTable!$A$2:$A$301,0), Skills!M6+1)</f>
        <v/>
      </c>
      <c r="F2626">
        <f>IF(Skills!N6=TRUE,(Skills!L6/10)*(E2626/1000),Skills!L6/10)+Skills!O6</f>
        <v/>
      </c>
      <c r="G2626">
        <f>Skills!G6*IF(Skills!H6&gt;0,Skills!I6/Skills!H6,1)</f>
        <v/>
      </c>
      <c r="H2626">
        <f>1-(1-Skills!J6/100)^Skills!K6</f>
        <v/>
      </c>
      <c r="I2626" t="inlineStr">
        <is>
          <t>1</t>
        </is>
      </c>
      <c r="J2626">
        <f>((Inputs!$B$6*(1+Inputs!$B$7/100))+(((Inputs!$B$12*(1+Inputs!$B$13/100))-(Inputs!$B$12*(1+Inputs!$B$13/100)))+0.25*(Inputs!$B$14-Inputs!$B$14))*(1+Inputs!$B$7/100))*(F2626/100)</f>
        <v/>
      </c>
      <c r="K2626">
        <f>J2626*(1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2632=TRUE,F2632,0)/100)*(1+(IF(Skills!A6="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2626)</f>
        <v/>
      </c>
      <c r="L2626">
        <f>K2626*(MIN(Inputs!$B$22+((C2640=TRUE)*(F2640-Calc!F20)),(Inputs!$B$23+0+(IF(ArtifactsInput!$M$15,CHOOSE(ArtifactsInput!$N$15+1,25,30,35,40,45,50)/100*(Inputs!$B$11-Inputs!$B$11),0))))/100+(Inputs!$B$23+0+(IF(ArtifactsInput!$M$15,CHOOSE(ArtifactsInput!$N$15+1,25,30,35,40,45,50)/100*(Inputs!$B$11-Inputs!$B$11),0)))/100)/2</f>
        <v/>
      </c>
      <c r="M2626">
        <f>L2626*(1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6">
        <f>L2626*(1-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2626*(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6">
        <f>(1-Summary!$B$11)*T2626+Summary!$B$11*V2626</f>
        <v/>
      </c>
      <c r="P2626">
        <f>IF(B2656=0,0,O2626/B2656)</f>
        <v/>
      </c>
      <c r="Q2626">
        <f>IFERROR(1/(IF(Inputs!$B$38="pvp",15,MAX(0.1,Skills!D6-IF(Skills!E6=TRUE,2.0,0)))*(1-IF(AND(ArtifactsInput!$M$27,Inputs!$B$4="Chapter Hunt"),CHOOSE(ArtifactsInput!$N$27+1,20,24,28,32,36,40),0)/100)),0)</f>
        <v/>
      </c>
      <c r="R2626">
        <f>IF(AND(Inputs!$B$38&lt;&gt;"pvp",Inputs!$B$43&gt;0),IF(MAX(0,Inputs!$B$43-B2653)&lt;=0,0,(INT(MAX(0,Inputs!$B$43-B2653)/(IF(Inputs!$B$38="pvp",15,MAX(0.1,Skills!D6-IF(Skills!E6=TRUE,2.0,0)))*(1-IF(AND(ArtifactsInput!$M$27,Inputs!$B$4="Chapter Hunt"),CHOOSE(ArtifactsInput!$N$27+1,20,24,28,32,36,40),0)/100)))+1)),0)</f>
        <v/>
      </c>
      <c r="S2626">
        <f>IFERROR(O2626/N2626,0)</f>
        <v/>
      </c>
      <c r="T2626">
        <f>IF(C2626,(H2626*N2626*IF(AND(Inputs!$B$38&lt;&gt;"pvp",Inputs!$B$43&gt;0),((Skills!G6*((R2626-1)*IF(Skills!H6&gt;0,Skills!I6/Skills!H6,1)+IF(Skills!H6&gt;0,MIN(Skills!I6,MAX(0,MAX(0,Inputs!$B$43-B2653)-((R2626-1)*(IF(Inputs!$B$38="pvp",15,MAX(0.1,Skills!D6-IF(Skills!E6=TRUE,2.0,0)))*(1-IF(AND(ArtifactsInput!$M$27,Inputs!$B$4="Chapter Hunt"),CHOOSE(ArtifactsInput!$N$27+1,20,24,28,32,36,40),0)/100)))))/Skills!H6,1)))/Inputs!$B$43),G2626*Q2626)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2626*(1-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2626*(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2626*(1-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2626*(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6">
        <f>IF(C2626,(H2626*N2626*IF(AND(Inputs!$B$38&lt;&gt;"pvp",Inputs!$B$43&gt;0),((Skills!G6*((R2626-1)*IF(Skills!H6&gt;0,Skills!I6/Skills!H6,1)+IF(Skills!H6&gt;0,MIN(Skills!I6,MAX(0,MAX(0,Inputs!$B$43-B2653)-((R2626-1)*(IF(Inputs!$B$38="pvp",15,MAX(0.1,Skills!D6-IF(Skills!E6=TRUE,2.0,0)))*(1-IF(AND(ArtifactsInput!$M$27,Inputs!$B$4="Chapter Hunt"),CHOOSE(ArtifactsInput!$N$27+1,20,24,28,32,36,40),0)/100)))))/Skills!H6,1)))/Inputs!$B$43),G2626*Q2626))*IF(Inputs!$B$38="pvp",1,(1+(Inputs!$B$21+Skills!Q6+(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7">
      <c r="A2627">
        <f>Skills!A7</f>
        <v/>
      </c>
      <c r="B2627">
        <f>Skills!B7</f>
        <v/>
      </c>
      <c r="C2627">
        <f>Inputs!$B$3&gt;=100</f>
        <v/>
      </c>
      <c r="D2627">
        <f>IF(Skills!C7=1,60+Inputs!$B$25+Inputs!$B$29,IF(Skills!C7=2,90+Inputs!$B$26+Inputs!$B$29,IF(Skills!C7=3,120+Inputs!$B$27+Inputs!$B$29,MAX(0,(Inputs!$B$3-100)*3)+Inputs!$B$28+Inputs!$B$29)))</f>
        <v/>
      </c>
      <c r="E2627">
        <f>INDEX(FactorTable!$B$2:$Y$301, MATCH(ROUND(MIN(300,MAX(1,D2627)),0), FactorTable!$A$2:$A$301,0), Skills!M7+1)</f>
        <v/>
      </c>
      <c r="F2627">
        <f>IF(Skills!N7=TRUE,(Skills!L7/10)*(E2627/1000),Skills!L7/10)+Skills!O7</f>
        <v/>
      </c>
      <c r="G2627">
        <f>Skills!G7*IF(Skills!H7&gt;0,Skills!I7/Skills!H7,1)</f>
        <v/>
      </c>
      <c r="H2627">
        <f>1-(1-Skills!J7/100)^Skills!K7</f>
        <v/>
      </c>
      <c r="I2627" t="inlineStr">
        <is>
          <t>1</t>
        </is>
      </c>
      <c r="J2627">
        <f>((Inputs!$B$6*(1+Inputs!$B$7/100))+(((Inputs!$B$12*(1+Inputs!$B$13/100))-(Inputs!$B$12*(1+Inputs!$B$13/100)))+0.25*(Inputs!$B$14-Inputs!$B$14))*(1+Inputs!$B$7/100))*(F2627/100)</f>
        <v/>
      </c>
      <c r="K2627">
        <f>J2627*(1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2627)</f>
        <v/>
      </c>
      <c r="L2627">
        <f>K2627*(MIN(Inputs!$B$22+((C2640=TRUE)*(F2640-Calc!F20)),(Inputs!$B$23+0+(IF(ArtifactsInput!$M$15,CHOOSE(ArtifactsInput!$N$15+1,25,30,35,40,45,50)/100*(Inputs!$B$11-Inputs!$B$11),0))))/100+(Inputs!$B$23+0+(IF(ArtifactsInput!$M$15,CHOOSE(ArtifactsInput!$N$15+1,25,30,35,40,45,50)/100*(Inputs!$B$11-Inputs!$B$11),0)))/100)/2</f>
        <v/>
      </c>
      <c r="M2627">
        <f>L2627*(1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7">
        <f>L2627*(1-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2627*(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7">
        <f>(1-Summary!$B$11)*T2627+Summary!$B$11*V2627</f>
        <v/>
      </c>
      <c r="P2627">
        <f>IF(B2656=0,0,O2627/B2656)</f>
        <v/>
      </c>
      <c r="Q2627">
        <f>IFERROR(1/(IF(Inputs!$B$38="pvp",15,MAX(0.1,Skills!D7-IF(Skills!E7=TRUE,2.0,0)))*(1-IF(AND(ArtifactsInput!$M$27,Inputs!$B$4="Chapter Hunt"),CHOOSE(ArtifactsInput!$N$27+1,20,24,28,32,36,40),0)/100)),0)</f>
        <v/>
      </c>
      <c r="R2627">
        <f>IF(AND(Inputs!$B$38&lt;&gt;"pvp",Inputs!$B$43&gt;0),IF(MAX(0,Inputs!$B$43-B2653)&lt;=0,0,(INT(MAX(0,Inputs!$B$43-B2653)/(IF(Inputs!$B$38="pvp",15,MAX(0.1,Skills!D7-IF(Skills!E7=TRUE,2.0,0)))*(1-IF(AND(ArtifactsInput!$M$27,Inputs!$B$4="Chapter Hunt"),CHOOSE(ArtifactsInput!$N$27+1,20,24,28,32,36,40),0)/100)))+1)),0)</f>
        <v/>
      </c>
      <c r="S2627">
        <f>IFERROR(O2627/N2627,0)</f>
        <v/>
      </c>
      <c r="T2627">
        <f>IF(C2627,(H2627*N2627*IF(AND(Inputs!$B$38&lt;&gt;"pvp",Inputs!$B$43&gt;0),((Skills!G7*((R2627-1)*IF(Skills!H7&gt;0,Skills!I7/Skills!H7,1)+IF(Skills!H7&gt;0,MIN(Skills!I7,MAX(0,MAX(0,Inputs!$B$43-B2653)-((R2627-1)*(IF(Inputs!$B$38="pvp",15,MAX(0.1,Skills!D7-IF(Skills!E7=TRUE,2.0,0)))*(1-IF(AND(ArtifactsInput!$M$27,Inputs!$B$4="Chapter Hunt"),CHOOSE(ArtifactsInput!$N$27+1,20,24,28,32,36,40),0)/100)))))/Skills!H7,1)))/Inputs!$B$43),G2627*Q2627)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2627*(1-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2627*(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2627*(1-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2627*(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7">
        <f>IF(C2627,(H2627*N2627*IF(AND(Inputs!$B$38&lt;&gt;"pvp",Inputs!$B$43&gt;0),((Skills!G7*((R2627-1)*IF(Skills!H7&gt;0,Skills!I7/Skills!H7,1)+IF(Skills!H7&gt;0,MIN(Skills!I7,MAX(0,MAX(0,Inputs!$B$43-B2653)-((R2627-1)*(IF(Inputs!$B$38="pvp",15,MAX(0.1,Skills!D7-IF(Skills!E7=TRUE,2.0,0)))*(1-IF(AND(ArtifactsInput!$M$27,Inputs!$B$4="Chapter Hunt"),CHOOSE(ArtifactsInput!$N$27+1,20,24,28,32,36,40),0)/100)))))/Skills!H7,1)))/Inputs!$B$43),G2627*Q2627))*IF(Inputs!$B$38="pvp",1,(1+(Inputs!$B$21+Skills!Q7+(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8">
      <c r="A2628">
        <f>Skills!A8</f>
        <v/>
      </c>
      <c r="B2628">
        <f>Skills!B8</f>
        <v/>
      </c>
      <c r="C2628">
        <f>Inputs!$B$3&gt;=110</f>
        <v/>
      </c>
      <c r="D2628">
        <f>IF(Skills!C8=1,60+Inputs!$B$25+Inputs!$B$29,IF(Skills!C8=2,90+Inputs!$B$26+Inputs!$B$29,IF(Skills!C8=3,120+Inputs!$B$27+Inputs!$B$29,MAX(0,(Inputs!$B$3-100)*3)+Inputs!$B$28+Inputs!$B$29)))</f>
        <v/>
      </c>
      <c r="E2628">
        <f>INDEX(FactorTable!$B$2:$Y$301, MATCH(ROUND(MIN(300,MAX(1,D2628)),0), FactorTable!$A$2:$A$301,0), Skills!M8+1)</f>
        <v/>
      </c>
      <c r="F2628">
        <f>IF(Skills!N8=TRUE,(Skills!L8/10)*(E2628/1000),Skills!L8/10)+Skills!O8</f>
        <v/>
      </c>
      <c r="G2628">
        <f>Skills!G8*IF(Skills!H8&gt;0,Skills!I8/Skills!H8,1)</f>
        <v/>
      </c>
      <c r="H2628">
        <f>1-(1-Skills!J8/100)^Skills!K8</f>
        <v/>
      </c>
      <c r="I2628" t="inlineStr">
        <is>
          <t>1</t>
        </is>
      </c>
      <c r="J2628">
        <f>((Inputs!$B$6*(1+Inputs!$B$7/100))+(((Inputs!$B$12*(1+Inputs!$B$13/100))-(Inputs!$B$12*(1+Inputs!$B$13/100)))+0.25*(Inputs!$B$14-Inputs!$B$14))*(1+Inputs!$B$7/100))*(F2628/100)</f>
        <v/>
      </c>
      <c r="K2628">
        <f>J2628*(1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2628)</f>
        <v/>
      </c>
      <c r="L2628">
        <f>K2628*(MIN(Inputs!$B$22+((C2640=TRUE)*(F2640-Calc!F20)),(Inputs!$B$23+0+(IF(ArtifactsInput!$M$15,CHOOSE(ArtifactsInput!$N$15+1,25,30,35,40,45,50)/100*(Inputs!$B$11-Inputs!$B$11),0))))/100+(Inputs!$B$23+0+(IF(ArtifactsInput!$M$15,CHOOSE(ArtifactsInput!$N$15+1,25,30,35,40,45,50)/100*(Inputs!$B$11-Inputs!$B$11),0)))/100)/2</f>
        <v/>
      </c>
      <c r="M2628">
        <f>L2628*(1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8">
        <f>L2628*(1-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2628*(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8">
        <f>(1-Summary!$B$11)*T2628+Summary!$B$11*V2628</f>
        <v/>
      </c>
      <c r="P2628">
        <f>IF(B2656=0,0,O2628/B2656)</f>
        <v/>
      </c>
      <c r="Q2628">
        <f>IFERROR(1/(IF(Inputs!$B$38="pvp",15,MAX(0.1,Skills!D8-IF(Skills!E8=TRUE,2.0,0)))*(1-IF(AND(ArtifactsInput!$M$27,Inputs!$B$4="Chapter Hunt"),CHOOSE(ArtifactsInput!$N$27+1,20,24,28,32,36,40),0)/100)),0)</f>
        <v/>
      </c>
      <c r="R2628">
        <f>IF(AND(Inputs!$B$38&lt;&gt;"pvp",Inputs!$B$43&gt;0),IF(MAX(0,Inputs!$B$43-B2653)&lt;=0,0,(INT(MAX(0,Inputs!$B$43-B2653)/(IF(Inputs!$B$38="pvp",15,MAX(0.1,Skills!D8-IF(Skills!E8=TRUE,2.0,0)))*(1-IF(AND(ArtifactsInput!$M$27,Inputs!$B$4="Chapter Hunt"),CHOOSE(ArtifactsInput!$N$27+1,20,24,28,32,36,40),0)/100)))+1)),0)</f>
        <v/>
      </c>
      <c r="S2628">
        <f>IFERROR(O2628/N2628,0)</f>
        <v/>
      </c>
      <c r="T2628">
        <f>IF(C2628,(H2628*N2628*IF(AND(Inputs!$B$38&lt;&gt;"pvp",Inputs!$B$43&gt;0),((Skills!G8*((R2628-1)*IF(Skills!H8&gt;0,Skills!I8/Skills!H8,1)+IF(Skills!H8&gt;0,MIN(Skills!I8,MAX(0,MAX(0,Inputs!$B$43-B2653)-((R2628-1)*(IF(Inputs!$B$38="pvp",15,MAX(0.1,Skills!D8-IF(Skills!E8=TRUE,2.0,0)))*(1-IF(AND(ArtifactsInput!$M$27,Inputs!$B$4="Chapter Hunt"),CHOOSE(ArtifactsInput!$N$27+1,20,24,28,32,36,40),0)/100)))))/Skills!H8,1)))/Inputs!$B$43),G2628*Q2628)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2628*(1-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2628*(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2628*(1-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2628*(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8">
        <f>IF(C2628,(H2628*N2628*IF(AND(Inputs!$B$38&lt;&gt;"pvp",Inputs!$B$43&gt;0),((Skills!G8*((R2628-1)*IF(Skills!H8&gt;0,Skills!I8/Skills!H8,1)+IF(Skills!H8&gt;0,MIN(Skills!I8,MAX(0,MAX(0,Inputs!$B$43-B2653)-((R2628-1)*(IF(Inputs!$B$38="pvp",15,MAX(0.1,Skills!D8-IF(Skills!E8=TRUE,2.0,0)))*(1-IF(AND(ArtifactsInput!$M$27,Inputs!$B$4="Chapter Hunt"),CHOOSE(ArtifactsInput!$N$27+1,20,24,28,32,36,40),0)/100)))))/Skills!H8,1)))/Inputs!$B$43),G2628*Q2628))*IF(Inputs!$B$38="pvp",1,(1+(Inputs!$B$21+Skills!Q8+(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9">
      <c r="A2629">
        <f>Skills!A9</f>
        <v/>
      </c>
      <c r="B2629">
        <f>Skills!B9</f>
        <v/>
      </c>
      <c r="C2629">
        <f>Inputs!$B$3&gt;=110</f>
        <v/>
      </c>
      <c r="D2629">
        <f>IF(Skills!C9=1,60+Inputs!$B$25+Inputs!$B$29,IF(Skills!C9=2,90+Inputs!$B$26+Inputs!$B$29,IF(Skills!C9=3,120+Inputs!$B$27+Inputs!$B$29,MAX(0,(Inputs!$B$3-100)*3)+Inputs!$B$28+Inputs!$B$29)))</f>
        <v/>
      </c>
      <c r="E2629">
        <f>INDEX(FactorTable!$B$2:$Y$301, MATCH(ROUND(MIN(300,MAX(1,D2629)),0), FactorTable!$A$2:$A$301,0), Skills!M9+1)</f>
        <v/>
      </c>
      <c r="F2629">
        <f>IF(Skills!N9=TRUE,(Skills!L9/10)*(E2629/1000),Skills!L9/10)+Skills!O9</f>
        <v/>
      </c>
      <c r="G2629">
        <f>Skills!G9*IF(Skills!H9&gt;0,Skills!I9/Skills!H9,1)</f>
        <v/>
      </c>
      <c r="H2629">
        <f>1-(1-Skills!J9/100)^Skills!K9</f>
        <v/>
      </c>
      <c r="I2629" t="inlineStr">
        <is>
          <t>1</t>
        </is>
      </c>
      <c r="J2629">
        <f>((Inputs!$B$6*(1+Inputs!$B$7/100))+(((Inputs!$B$12*(1+Inputs!$B$13/100))-(Inputs!$B$12*(1+Inputs!$B$13/100)))+0.25*(Inputs!$B$14-Inputs!$B$14))*(1+Inputs!$B$7/100))*(F2629/100)</f>
        <v/>
      </c>
      <c r="K2629">
        <f>J2629*(1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2629)</f>
        <v/>
      </c>
      <c r="L2629">
        <f>K2629*(MIN(Inputs!$B$22+((C2640=TRUE)*(F2640-Calc!F20)),(Inputs!$B$23+0+(IF(ArtifactsInput!$M$15,CHOOSE(ArtifactsInput!$N$15+1,25,30,35,40,45,50)/100*(Inputs!$B$11-Inputs!$B$11),0))))/100+(Inputs!$B$23+0+(IF(ArtifactsInput!$M$15,CHOOSE(ArtifactsInput!$N$15+1,25,30,35,40,45,50)/100*(Inputs!$B$11-Inputs!$B$11),0)))/100)/2</f>
        <v/>
      </c>
      <c r="M2629">
        <f>L2629*(1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9">
        <f>L2629*(1-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2629*(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9">
        <f>(1-Summary!$B$11)*T2629+Summary!$B$11*V2629</f>
        <v/>
      </c>
      <c r="P2629">
        <f>IF(B2656=0,0,O2629/B2656)</f>
        <v/>
      </c>
      <c r="Q2629">
        <f>IFERROR(1/(IF(Inputs!$B$38="pvp",15,MAX(0.1,Skills!D9-IF(Skills!E9=TRUE,2.0,0)))*(1-IF(AND(ArtifactsInput!$M$27,Inputs!$B$4="Chapter Hunt"),CHOOSE(ArtifactsInput!$N$27+1,20,24,28,32,36,40),0)/100)),0)</f>
        <v/>
      </c>
      <c r="R2629">
        <f>IF(AND(Inputs!$B$38&lt;&gt;"pvp",Inputs!$B$43&gt;0),IF(MAX(0,Inputs!$B$43-B2653)&lt;=0,0,(INT(MAX(0,Inputs!$B$43-B2653)/(IF(Inputs!$B$38="pvp",15,MAX(0.1,Skills!D9-IF(Skills!E9=TRUE,2.0,0)))*(1-IF(AND(ArtifactsInput!$M$27,Inputs!$B$4="Chapter Hunt"),CHOOSE(ArtifactsInput!$N$27+1,20,24,28,32,36,40),0)/100)))+1)),0)</f>
        <v/>
      </c>
      <c r="S2629">
        <f>IFERROR(O2629/N2629,0)</f>
        <v/>
      </c>
      <c r="T2629">
        <f>IF(C2629,(H2629*N2629*IF(AND(Inputs!$B$38&lt;&gt;"pvp",Inputs!$B$43&gt;0),((Skills!G9*((R2629-1)*IF(Skills!H9&gt;0,Skills!I9/Skills!H9,1)+IF(Skills!H9&gt;0,MIN(Skills!I9,MAX(0,MAX(0,Inputs!$B$43-B2653)-((R2629-1)*(IF(Inputs!$B$38="pvp",15,MAX(0.1,Skills!D9-IF(Skills!E9=TRUE,2.0,0)))*(1-IF(AND(ArtifactsInput!$M$27,Inputs!$B$4="Chapter Hunt"),CHOOSE(ArtifactsInput!$N$27+1,20,24,28,32,36,40),0)/100)))))/Skills!H9,1)))/Inputs!$B$43),G2629*Q2629)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2629*(1-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2629*(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2629*(1-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2629*(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9">
        <f>IF(C2629,(H2629*N2629*IF(AND(Inputs!$B$38&lt;&gt;"pvp",Inputs!$B$43&gt;0),((Skills!G9*((R2629-1)*IF(Skills!H9&gt;0,Skills!I9/Skills!H9,1)+IF(Skills!H9&gt;0,MIN(Skills!I9,MAX(0,MAX(0,Inputs!$B$43-B2653)-((R2629-1)*(IF(Inputs!$B$38="pvp",15,MAX(0.1,Skills!D9-IF(Skills!E9=TRUE,2.0,0)))*(1-IF(AND(ArtifactsInput!$M$27,Inputs!$B$4="Chapter Hunt"),CHOOSE(ArtifactsInput!$N$27+1,20,24,28,32,36,40),0)/100)))))/Skills!H9,1)))/Inputs!$B$43),G2629*Q2629))*IF(Inputs!$B$38="pvp",1,(1+(Inputs!$B$21+Skills!Q9+(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0">
      <c r="A2630">
        <f>Skills!A10</f>
        <v/>
      </c>
      <c r="B2630">
        <f>Skills!B10</f>
        <v/>
      </c>
      <c r="C2630">
        <f>Inputs!$B$3&gt;=103</f>
        <v/>
      </c>
      <c r="D2630">
        <f>IF(Skills!C10=1,60+Inputs!$B$25+Inputs!$B$29,IF(Skills!C10=2,90+Inputs!$B$26+Inputs!$B$29,IF(Skills!C10=3,120+Inputs!$B$27+Inputs!$B$29,MAX(0,(Inputs!$B$3-100)*3)+Inputs!$B$28+Inputs!$B$29)))</f>
        <v/>
      </c>
      <c r="E2630">
        <f>INDEX(FactorTable!$B$2:$Y$301, MATCH(ROUND(MIN(300,MAX(1,D2630)),0), FactorTable!$A$2:$A$301,0), Skills!M10+1)</f>
        <v/>
      </c>
      <c r="F2630">
        <f>IF(Skills!N10=TRUE,(Skills!L10/10)*(E2630/1000),Skills!L10/10)+Skills!O10</f>
        <v/>
      </c>
      <c r="G2630">
        <f>Skills!G10*IF(Skills!H10&gt;0,Skills!I10/Skills!H10,1)</f>
        <v/>
      </c>
      <c r="H2630">
        <f>1-(1-Skills!J10/100)^Skills!K10</f>
        <v/>
      </c>
      <c r="I2630" t="inlineStr">
        <is>
          <t>1</t>
        </is>
      </c>
      <c r="J2630">
        <f>((Inputs!$B$6*(1+Inputs!$B$7/100))+(((Inputs!$B$12*(1+Inputs!$B$13/100))-(Inputs!$B$12*(1+Inputs!$B$13/100)))+0.25*(Inputs!$B$14-Inputs!$B$14))*(1+Inputs!$B$7/100))*(F2630/100)</f>
        <v/>
      </c>
      <c r="K2630">
        <f>J2630*(1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2630)</f>
        <v/>
      </c>
      <c r="L2630">
        <f>K2630*(MIN(Inputs!$B$22+((C2640=TRUE)*(F2640-Calc!F20)),(Inputs!$B$23+0+(IF(ArtifactsInput!$M$15,CHOOSE(ArtifactsInput!$N$15+1,25,30,35,40,45,50)/100*(Inputs!$B$11-Inputs!$B$11),0))))/100+(Inputs!$B$23+0+(IF(ArtifactsInput!$M$15,CHOOSE(ArtifactsInput!$N$15+1,25,30,35,40,45,50)/100*(Inputs!$B$11-Inputs!$B$11),0)))/100)/2</f>
        <v/>
      </c>
      <c r="M2630">
        <f>L2630*(1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0">
        <f>L2630*(1-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2630*(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0">
        <f>(1-Summary!$B$11)*T2630+Summary!$B$11*V2630</f>
        <v/>
      </c>
      <c r="P2630">
        <f>IF(B2656=0,0,O2630/B2656)</f>
        <v/>
      </c>
      <c r="Q2630">
        <f>IFERROR(1/(IF(Inputs!$B$38="pvp",15,MAX(0.1,Skills!D10-IF(Skills!E10=TRUE,2.0,0)))*(1-IF(AND(ArtifactsInput!$M$27,Inputs!$B$4="Chapter Hunt"),CHOOSE(ArtifactsInput!$N$27+1,20,24,28,32,36,40),0)/100)),0)</f>
        <v/>
      </c>
      <c r="R2630">
        <f>IF(AND(Inputs!$B$38&lt;&gt;"pvp",Inputs!$B$43&gt;0),IF(MAX(0,Inputs!$B$43-B2653)&lt;=0,0,(INT(MAX(0,Inputs!$B$43-B2653)/(IF(Inputs!$B$38="pvp",15,MAX(0.1,Skills!D10-IF(Skills!E10=TRUE,2.0,0)))*(1-IF(AND(ArtifactsInput!$M$27,Inputs!$B$4="Chapter Hunt"),CHOOSE(ArtifactsInput!$N$27+1,20,24,28,32,36,40),0)/100)))+1)),0)</f>
        <v/>
      </c>
      <c r="S2630">
        <f>IFERROR(O2630/N2630,0)</f>
        <v/>
      </c>
      <c r="T2630">
        <f>IF(C2630,(H2630*N2630*IF(AND(Inputs!$B$38&lt;&gt;"pvp",Inputs!$B$43&gt;0),((Skills!G10*((R2630-1)*IF(Skills!H10&gt;0,Skills!I10/Skills!H10,1)+IF(Skills!H10&gt;0,MIN(Skills!I10,MAX(0,MAX(0,Inputs!$B$43-B2653)-((R2630-1)*(IF(Inputs!$B$38="pvp",15,MAX(0.1,Skills!D10-IF(Skills!E10=TRUE,2.0,0)))*(1-IF(AND(ArtifactsInput!$M$27,Inputs!$B$4="Chapter Hunt"),CHOOSE(ArtifactsInput!$N$27+1,20,24,28,32,36,40),0)/100)))))/Skills!H10,1)))/Inputs!$B$43),G2630*Q2630)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2630*(1-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2630*(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2630*(1-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2630*(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0">
        <f>IF(C2630,(H2630*N2630*IF(AND(Inputs!$B$38&lt;&gt;"pvp",Inputs!$B$43&gt;0),((Skills!G10*((R2630-1)*IF(Skills!H10&gt;0,Skills!I10/Skills!H10,1)+IF(Skills!H10&gt;0,MIN(Skills!I10,MAX(0,MAX(0,Inputs!$B$43-B2653)-((R2630-1)*(IF(Inputs!$B$38="pvp",15,MAX(0.1,Skills!D10-IF(Skills!E10=TRUE,2.0,0)))*(1-IF(AND(ArtifactsInput!$M$27,Inputs!$B$4="Chapter Hunt"),CHOOSE(ArtifactsInput!$N$27+1,20,24,28,32,36,40),0)/100)))))/Skills!H10,1)))/Inputs!$B$43),G2630*Q2630))*IF(Inputs!$B$38="pvp",1,(1+(Inputs!$B$21+Skills!Q10+(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1">
      <c r="A2631">
        <f>Skills!A11</f>
        <v/>
      </c>
      <c r="B2631">
        <f>Skills!B11</f>
        <v/>
      </c>
      <c r="C2631">
        <f>Inputs!$B$3&gt;=113</f>
        <v/>
      </c>
      <c r="D2631">
        <f>IF(Skills!C11=1,60+Inputs!$B$25+Inputs!$B$29,IF(Skills!C11=2,90+Inputs!$B$26+Inputs!$B$29,IF(Skills!C11=3,120+Inputs!$B$27+Inputs!$B$29,MAX(0,(Inputs!$B$3-100)*3)+Inputs!$B$28+Inputs!$B$29)))</f>
        <v/>
      </c>
      <c r="E2631">
        <f>INDEX(FactorTable!$B$2:$Y$301, MATCH(ROUND(MIN(300,MAX(1,D2631)),0), FactorTable!$A$2:$A$301,0), Skills!M11+1)</f>
        <v/>
      </c>
      <c r="F2631">
        <f>IF(Skills!N11=TRUE,(Skills!L11/10)*(E2631/1000),Skills!L11/10)+Skills!O11</f>
        <v/>
      </c>
      <c r="G2631">
        <f>Skills!G11*IF(Skills!H11&gt;0,Skills!I11/Skills!H11,1)</f>
        <v/>
      </c>
      <c r="H2631">
        <f>1-(1-Skills!J11/100)^Skills!K11</f>
        <v/>
      </c>
      <c r="I2631" t="inlineStr">
        <is>
          <t>1</t>
        </is>
      </c>
      <c r="J2631">
        <f>((Inputs!$B$6*(1+Inputs!$B$7/100))+(((Inputs!$B$12*(1+Inputs!$B$13/100))-(Inputs!$B$12*(1+Inputs!$B$13/100)))+0.25*(Inputs!$B$14-Inputs!$B$14))*(1+Inputs!$B$7/100))*(F2631/100)</f>
        <v/>
      </c>
      <c r="K2631">
        <f>J2631*(1+((Inputs!$B$12*(1+Inputs!$B$13/100))*0.01+Inputs!$B$14*0.0025)/100)*(1+Inputs!$B$15/100)*(1+Inputs!$B$16/100)*(5000/(6000+Inputs!$B$42*(1-(100*(1-(1-(Inputs!$B$19+0)/100)*(1-CHOOSE(ArtifactsInput!$N$40+1,5,6,7,8,9,10)/100)^(ArtifactsInput!$M$40-ArtifactsInput!$M$40)))/100)))*(1+(Inputs!$B$24+((C2642=TRUE)*(F2642-Calc!F22))+B2652)/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2641=TRUE)*(F2641-Calc!F21))+(((IF(AND(ArtifactsInput!$M$42,((Inputs!$B$9+((C2636=TRUE)*(F2636-Calc!F16))+B2646+(ArtifactsInput!$M$24-ArtifactsInput!$M$24)*CHOOSE(ArtifactsInput!$N$24+1,10,12,14,16,18,20)+IF(ArtifactsInput!$M$10,CHOOSE(ArtifactsInput!$N$10+1,15,18,21,24,27,30)*(IF(Inputs!$B$38="pvp",MIN(15,15)/15,IF(AND(Inputs!$B$38&lt;&gt;"pvp",Inputs!$B$43&gt;0),MIN(15,Inputs!$B$43)/(Inputs!$B$43),0))),0)))&gt;=100),MIN(100,((Inputs!$B$9+((C2636=TRUE)*(F2636-Calc!F16))+B2646+(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2636=TRUE)*(F2636-Calc!F16))+B2646+(ArtifactsInput!$M$24-ArtifactsInput!$M$24)*CHOOSE(ArtifactsInput!$N$24+1,10,12,14,16,18,20)+IF(ArtifactsInput!$M$10,CHOOSE(ArtifactsInput!$N$10+1,15,18,21,24,27,30)*(IF(Inputs!$B$38="pvp",MIN(15,15)/15,IF(AND(Inputs!$B$38&lt;&gt;"pvp",Inputs!$B$43&gt;0),MIN(15,Inputs!$B$43)/(Inputs!$B$43),0))),0)))&gt;=100),CHOOSE(ArtifactsInput!$N$42+1,40,48,56,64,72,80),0))))/100)*((1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2631)</f>
        <v/>
      </c>
      <c r="L2631">
        <f>K2631*(MIN(Inputs!$B$22+((C2640=TRUE)*(F2640-Calc!F20)),(Inputs!$B$23+0+(IF(ArtifactsInput!$M$15,CHOOSE(ArtifactsInput!$N$15+1,25,30,35,40,45,50)/100*(Inputs!$B$11-Inputs!$B$11),0))))/100+(Inputs!$B$23+0+(IF(ArtifactsInput!$M$15,CHOOSE(ArtifactsInput!$N$15+1,25,30,35,40,45,50)/100*(Inputs!$B$11-Inputs!$B$11),0)))/100)/2</f>
        <v/>
      </c>
      <c r="M2631">
        <f>L2631*(1+(Inputs!$B$10+0+B2651+(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1">
        <f>L2631*(1-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2631*(MIN((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1">
        <f>(1-Summary!$B$11)*T2631+Summary!$B$11*V2631</f>
        <v/>
      </c>
      <c r="P2631">
        <f>IF(B2656=0,0,O2631/B2656)</f>
        <v/>
      </c>
      <c r="Q2631">
        <f>IFERROR(1/(IF(Inputs!$B$38="pvp",15,MAX(0.1,Skills!D11-IF(Skills!E11=TRUE,2.0,0)))*(1-IF(AND(ArtifactsInput!$M$27,Inputs!$B$4="Chapter Hunt"),CHOOSE(ArtifactsInput!$N$27+1,20,24,28,32,36,40),0)/100)),0)</f>
        <v/>
      </c>
      <c r="R2631">
        <f>IF(AND(Inputs!$B$38&lt;&gt;"pvp",Inputs!$B$43&gt;0),IF(MAX(0,Inputs!$B$43-B2653)&lt;=0,0,(INT(MAX(0,Inputs!$B$43-B2653)/(IF(Inputs!$B$38="pvp",15,MAX(0.1,Skills!D11-IF(Skills!E11=TRUE,2.0,0)))*(1-IF(AND(ArtifactsInput!$M$27,Inputs!$B$4="Chapter Hunt"),CHOOSE(ArtifactsInput!$N$27+1,20,24,28,32,36,40),0)/100)))+1)),0)</f>
        <v/>
      </c>
      <c r="S2631">
        <f>IFERROR(O2631/N2631,0)</f>
        <v/>
      </c>
      <c r="T2631">
        <f>IF(C2631,(H2631*N2631*IF(AND(Inputs!$B$38&lt;&gt;"pvp",Inputs!$B$43&gt;0),((Skills!G11*((R2631-1)*IF(Skills!H11&gt;0,Skills!I11/Skills!H11,1)+IF(Skills!H11&gt;0,MIN(Skills!I11,MAX(0,MAX(0,Inputs!$B$43-B2653)-((R2631-1)*(IF(Inputs!$B$38="pvp",15,MAX(0.1,Skills!D11-IF(Skills!E11=TRUE,2.0,0)))*(1-IF(AND(ArtifactsInput!$M$27,Inputs!$B$4="Chapter Hunt"),CHOOSE(ArtifactsInput!$N$27+1,20,24,28,32,36,40),0)/100)))))/Skills!H11,1)))/Inputs!$B$43),G2631*Q2631)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2631*(1-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2631*(1-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2631*(MIN(100,(Inputs!$B$9+((C2636=TRUE)*(F2636-Calc!F16))+B2646+(ArtifactsInput!$M$24-ArtifactsInput!$M$24)*CHOOSE(ArtifactsInput!$N$24+1,10,12,14,16,18,20)+(IF(AND(ArtifactsInput!$M$42,((Inputs!$B$9+((C2636=TRUE)*(F2636-Calc!F16))+B2646+(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31">
        <f>IF(C2631,(H2631*N2631*IF(AND(Inputs!$B$38&lt;&gt;"pvp",Inputs!$B$43&gt;0),((Skills!G11*((R2631-1)*IF(Skills!H11&gt;0,Skills!I11/Skills!H11,1)+IF(Skills!H11&gt;0,MIN(Skills!I11,MAX(0,MAX(0,Inputs!$B$43-B2653)-((R2631-1)*(IF(Inputs!$B$38="pvp",15,MAX(0.1,Skills!D11-IF(Skills!E11=TRUE,2.0,0)))*(1-IF(AND(ArtifactsInput!$M$27,Inputs!$B$4="Chapter Hunt"),CHOOSE(ArtifactsInput!$N$27+1,20,24,28,32,36,40),0)/100)))))/Skills!H11,1)))/Inputs!$B$43),G2631*Q2631))*IF(Inputs!$B$38="pvp",1,(1+(Inputs!$B$21+Skills!Q11+(IF(ArtifactsInput!$M$33,CHOOSE(ArtifactsInput!$N$33+1,30,36,42,48,54,60),0))+(IF(AND(ArtifactsInput!$M$35,Inputs!$B$4&lt;&gt;"Chapter Hunt"),CHOOSE(ArtifactsInput!$N$35+1,15,18,21,24,27,30)*(1-EXP(-(0.2*B2648)*5)),0)+IF(AND(ArtifactsInput!$M$22,Inputs!$B$4&lt;&gt;"Chapter Hunt"),CHOOSE(ArtifactsInput!$N$22+1,10,12,14,16,18,20)*((0*(((0.15*B2648*5))^0/1)+1*(((0.15*B2648*5))^1/1)+2*(((0.15*B2648*5))^2/2)+3*(((0.15*B2648*5))^3/6)+4*(((0.15*B2648*5))^4/24)+5*(((0.15*B2648*5))^5/120))/((((0.15*B2648*5))^0/1)+(((0.15*B2648*5))^1/1)+(((0.15*B2648*5))^2/2)+(((0.15*B2648*5))^3/6)+(((0.15*B2648*5))^4/24)+(((0.15*B2648*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2">
      <c r="A2632">
        <f>Skills!A12</f>
        <v/>
      </c>
      <c r="B2632">
        <f>Skills!B12</f>
        <v/>
      </c>
      <c r="C2632">
        <f>Inputs!$B$3&gt;=100</f>
        <v/>
      </c>
      <c r="D2632">
        <f>IF(Skills!C12=1,60+Inputs!$B$25+Inputs!$B$29,IF(Skills!C12=2,90+Inputs!$B$26+Inputs!$B$29,IF(Skills!C12=3,120+Inputs!$B$27+Inputs!$B$29,MAX(0,(Inputs!$B$3-100)*3)+Inputs!$B$28+Inputs!$B$29)))</f>
        <v/>
      </c>
      <c r="E2632">
        <f>INDEX(FactorTable!$B$2:$Y$301, MATCH(ROUND(MIN(300,MAX(1,D2632)),0), FactorTable!$A$2:$A$301,0), Skills!M12+1)</f>
        <v/>
      </c>
      <c r="F2632">
        <f>IF(Skills!N12=TRUE,(Skills!L12/10)*(E2632/1000),Skills!L12/10)+Skills!O12</f>
        <v/>
      </c>
      <c r="G2632" t="inlineStr"/>
      <c r="H2632" t="inlineStr"/>
      <c r="I2632" t="inlineStr">
        <is>
          <t>1</t>
        </is>
      </c>
      <c r="J2632" t="inlineStr"/>
      <c r="K2632" t="inlineStr"/>
      <c r="L2632" t="inlineStr"/>
      <c r="M2632" t="inlineStr"/>
      <c r="N2632" t="inlineStr"/>
      <c r="O2632" t="inlineStr"/>
      <c r="P2632" t="inlineStr"/>
      <c r="Q2632" t="inlineStr"/>
      <c r="R2632" t="inlineStr"/>
      <c r="S2632" t="inlineStr"/>
      <c r="T2632" t="inlineStr"/>
      <c r="V2632" t="inlineStr"/>
    </row>
    <row r="2633">
      <c r="A2633">
        <f>Skills!A13</f>
        <v/>
      </c>
      <c r="B2633">
        <f>Skills!B13</f>
        <v/>
      </c>
      <c r="C2633">
        <f>Inputs!$B$3&gt;=66</f>
        <v/>
      </c>
      <c r="D2633">
        <f>IF(Skills!C13=1,60+Inputs!$B$25+Inputs!$B$29,IF(Skills!C13=2,90+Inputs!$B$26+Inputs!$B$29,IF(Skills!C13=3,120+Inputs!$B$27+Inputs!$B$29,MAX(0,(Inputs!$B$3-100)*3)+Inputs!$B$28+Inputs!$B$29)))</f>
        <v/>
      </c>
      <c r="E2633">
        <f>INDEX(FactorTable!$B$2:$Y$301, MATCH(ROUND(MIN(300,MAX(1,D2633)),0), FactorTable!$A$2:$A$301,0), Skills!M13+1)</f>
        <v/>
      </c>
      <c r="F2633">
        <f>IF(Skills!N13=TRUE,(Skills!L13/10)*(E2633/1000),Skills!L13/10)+Skills!O13</f>
        <v/>
      </c>
      <c r="G2633">
        <f>Skills!G13*IF(Skills!H13&gt;0,Skills!I13/Skills!H13,1)</f>
        <v/>
      </c>
      <c r="H2633">
        <f>1-(1-Skills!J13/100)^Skills!K13</f>
        <v/>
      </c>
      <c r="I2633" t="inlineStr">
        <is>
          <t>1</t>
        </is>
      </c>
      <c r="J2633" t="inlineStr"/>
      <c r="K2633" t="inlineStr"/>
      <c r="L2633" t="inlineStr"/>
      <c r="M2633" t="inlineStr"/>
      <c r="N2633" t="inlineStr"/>
      <c r="O2633">
        <f>(1-Summary!$B$11)*T2633+Summary!$B$11*V2633</f>
        <v/>
      </c>
      <c r="P2633">
        <f>IF(B2656=0,0,O2633/B2656)</f>
        <v/>
      </c>
      <c r="Q2633" t="n">
        <v>0</v>
      </c>
      <c r="R2633" t="n">
        <v>0</v>
      </c>
      <c r="S2633">
        <f>IFERROR(O2633/N2633,0)</f>
        <v/>
      </c>
      <c r="T2633" t="n">
        <v>0</v>
      </c>
      <c r="V2633" t="n">
        <v>0</v>
      </c>
    </row>
    <row r="2634">
      <c r="A2634">
        <f>Skills!A14</f>
        <v/>
      </c>
      <c r="B2634">
        <f>Skills!B14</f>
        <v/>
      </c>
      <c r="C2634">
        <f>Inputs!$B$3&gt;=107</f>
        <v/>
      </c>
      <c r="D2634">
        <f>IF(Skills!C14=1,60+Inputs!$B$25+Inputs!$B$29,IF(Skills!C14=2,90+Inputs!$B$26+Inputs!$B$29,IF(Skills!C14=3,120+Inputs!$B$27+Inputs!$B$29,MAX(0,(Inputs!$B$3-100)*3)+Inputs!$B$28+Inputs!$B$29)))</f>
        <v/>
      </c>
      <c r="E2634">
        <f>INDEX(FactorTable!$B$2:$Y$301, MATCH(ROUND(MIN(300,MAX(1,D2634)),0), FactorTable!$A$2:$A$301,0), Skills!M14+1)</f>
        <v/>
      </c>
      <c r="F2634">
        <f>IF(Skills!N14=TRUE,(Skills!L14/10)*(E2634/1000),Skills!L14/10)+Skills!O14</f>
        <v/>
      </c>
      <c r="G2634">
        <f>Skills!G14*IF(Skills!H14&gt;0,Skills!I14/Skills!H14,1)</f>
        <v/>
      </c>
      <c r="H2634">
        <f>1-(1-Skills!J14/100)^Skills!K14</f>
        <v/>
      </c>
      <c r="I2634" t="inlineStr">
        <is>
          <t>1</t>
        </is>
      </c>
      <c r="J2634" t="inlineStr"/>
      <c r="K2634" t="inlineStr"/>
      <c r="L2634" t="inlineStr"/>
      <c r="M2634" t="inlineStr"/>
      <c r="N2634" t="inlineStr"/>
      <c r="O2634">
        <f>(1-Summary!$B$11)*T2634+Summary!$B$11*V2634</f>
        <v/>
      </c>
      <c r="P2634">
        <f>IF(B2656=0,0,O2634/B2656)</f>
        <v/>
      </c>
      <c r="Q2634">
        <f>IFERROR(1/(IF(Inputs!$B$38="pvp",15,MAX(0.1,Skills!D14-IF(Skills!E14=TRUE,2.0,0)))*(1-IF(AND(ArtifactsInput!$M$27,Inputs!$B$4="Chapter Hunt"),CHOOSE(ArtifactsInput!$N$27+1,20,24,28,32,36,40),0)/100)),0)</f>
        <v/>
      </c>
      <c r="R2634">
        <f>IF(AND(Inputs!$B$38&lt;&gt;"pvp",Inputs!$B$43&gt;0),IF(Inputs!$B$43&lt;=0,0,(INT(Inputs!$B$43/(IF(Inputs!$B$38="pvp",15,MAX(0.1,Skills!D14-IF(Skills!E14=TRUE,2.0,0)))*(1-IF(AND(ArtifactsInput!$M$27,Inputs!$B$4="Chapter Hunt"),CHOOSE(ArtifactsInput!$N$27+1,20,24,28,32,36,40),0)/100)))+1)),0)</f>
        <v/>
      </c>
      <c r="S2634">
        <f>IFERROR(O2634/N2634,0)</f>
        <v/>
      </c>
      <c r="T2634" t="n">
        <v>0</v>
      </c>
      <c r="V2634" t="n">
        <v>0</v>
      </c>
    </row>
    <row r="2635">
      <c r="A2635">
        <f>Skills!A15</f>
        <v/>
      </c>
      <c r="B2635">
        <f>Skills!B15</f>
        <v/>
      </c>
      <c r="C2635">
        <f>Inputs!$B$3&gt;=115</f>
        <v/>
      </c>
      <c r="D2635">
        <f>IF(Skills!C15=1,60+Inputs!$B$25+Inputs!$B$29,IF(Skills!C15=2,90+Inputs!$B$26+Inputs!$B$29,IF(Skills!C15=3,120+Inputs!$B$27+Inputs!$B$29,MAX(0,(Inputs!$B$3-100)*3)+Inputs!$B$28+Inputs!$B$29)))</f>
        <v/>
      </c>
      <c r="E2635">
        <f>INDEX(FactorTable!$B$2:$Y$301, MATCH(ROUND(MIN(300,MAX(1,D2635)),0), FactorTable!$A$2:$A$301,0), Skills!M15+1)</f>
        <v/>
      </c>
      <c r="F2635">
        <f>IF(Skills!N15=TRUE,(Skills!L15/10)*(E2635/1000),Skills!L15/10)+Skills!O15</f>
        <v/>
      </c>
      <c r="G2635">
        <f>Skills!G15*IF(Skills!H15&gt;0,Skills!I15/Skills!H15,1)</f>
        <v/>
      </c>
      <c r="H2635">
        <f>1-(1-Skills!J15/100)^Skills!K15</f>
        <v/>
      </c>
      <c r="I2635" t="inlineStr">
        <is>
          <t>1</t>
        </is>
      </c>
      <c r="J2635" t="inlineStr"/>
      <c r="K2635" t="inlineStr"/>
      <c r="L2635" t="inlineStr"/>
      <c r="M2635" t="inlineStr"/>
      <c r="N2635" t="inlineStr"/>
      <c r="O2635">
        <f>(1-Summary!$B$11)*T2635+Summary!$B$11*V2635</f>
        <v/>
      </c>
      <c r="P2635">
        <f>IF(B2656=0,0,O2635/B2656)</f>
        <v/>
      </c>
      <c r="Q2635">
        <f>IFERROR(1/(IF(Inputs!$B$38="pvp",15,MAX(0.1,Skills!D15-IF(Skills!E15=TRUE,2.0,0)))*(1-IF(AND(ArtifactsInput!$M$27,Inputs!$B$4="Chapter Hunt"),CHOOSE(ArtifactsInput!$N$27+1,20,24,28,32,36,40),0)/100)),0)</f>
        <v/>
      </c>
      <c r="R2635">
        <f>IF(AND(Inputs!$B$38&lt;&gt;"pvp",Inputs!$B$43&gt;0),IF(Inputs!$B$43&lt;=0,0,(INT(Inputs!$B$43/(IF(Inputs!$B$38="pvp",15,MAX(0.1,Skills!D15-IF(Skills!E15=TRUE,2.0,0)))*(1-IF(AND(ArtifactsInput!$M$27,Inputs!$B$4="Chapter Hunt"),CHOOSE(ArtifactsInput!$N$27+1,20,24,28,32,36,40),0)/100)))+1)),0)</f>
        <v/>
      </c>
      <c r="S2635">
        <f>IFERROR(O2635/N2635,0)</f>
        <v/>
      </c>
      <c r="T2635" t="n">
        <v>0</v>
      </c>
      <c r="V2635" t="n">
        <v>0</v>
      </c>
    </row>
    <row r="2636">
      <c r="A2636">
        <f>Skills!A16</f>
        <v/>
      </c>
      <c r="B2636">
        <f>Skills!B16</f>
        <v/>
      </c>
      <c r="C2636">
        <f>Inputs!$B$3&gt;=15</f>
        <v/>
      </c>
      <c r="D2636">
        <f>IF(Skills!C16=1,60+Inputs!$B$25+Inputs!$B$29,IF(Skills!C16=2,90+Inputs!$B$26+Inputs!$B$29,IF(Skills!C16=3,120+Inputs!$B$27+Inputs!$B$29,MAX(0,(Inputs!$B$3-100)*3)+Inputs!$B$28+Inputs!$B$29)))</f>
        <v/>
      </c>
      <c r="E2636">
        <f>INDEX(FactorTable!$B$2:$Y$301, MATCH(ROUND(MIN(300,MAX(1,D2636)),0), FactorTable!$A$2:$A$301,0), Skills!M16+1)</f>
        <v/>
      </c>
      <c r="F2636">
        <f>IF(Skills!N16=TRUE,(Skills!L16/10)*(E2636/1000),Skills!L16/10)+Skills!O16</f>
        <v/>
      </c>
      <c r="G2636">
        <f>Skills!G16*IF(Skills!H16&gt;0,Skills!I16/Skills!H16,1)</f>
        <v/>
      </c>
      <c r="H2636">
        <f>1-(1-Skills!J16/100)^Skills!K16</f>
        <v/>
      </c>
      <c r="I2636" t="inlineStr">
        <is>
          <t>1</t>
        </is>
      </c>
      <c r="J2636" t="inlineStr"/>
      <c r="K2636" t="inlineStr"/>
      <c r="L2636" t="inlineStr"/>
      <c r="M2636" t="inlineStr"/>
      <c r="N2636" t="inlineStr"/>
      <c r="O2636">
        <f>(1-Summary!$B$11)*T2636+Summary!$B$11*V2636</f>
        <v/>
      </c>
      <c r="P2636">
        <f>IF(B2656=0,0,O2636/B2656)</f>
        <v/>
      </c>
      <c r="Q2636" t="n">
        <v>0</v>
      </c>
      <c r="R2636" t="n">
        <v>0</v>
      </c>
      <c r="S2636">
        <f>IFERROR(O2636/N2636,0)</f>
        <v/>
      </c>
      <c r="T2636" t="n">
        <v>0</v>
      </c>
      <c r="V2636" t="n">
        <v>0</v>
      </c>
    </row>
    <row r="2637">
      <c r="A2637">
        <f>Skills!A17</f>
        <v/>
      </c>
      <c r="B2637">
        <f>Skills!B17</f>
        <v/>
      </c>
      <c r="C2637">
        <f>Inputs!$B$3&gt;=10</f>
        <v/>
      </c>
      <c r="D2637">
        <f>IF(Skills!C17=1,60+Inputs!$B$25+Inputs!$B$29,IF(Skills!C17=2,90+Inputs!$B$26+Inputs!$B$29,IF(Skills!C17=3,120+Inputs!$B$27+Inputs!$B$29,MAX(0,(Inputs!$B$3-100)*3)+Inputs!$B$28+Inputs!$B$29)))</f>
        <v/>
      </c>
      <c r="E2637">
        <f>INDEX(FactorTable!$B$2:$Y$301, MATCH(ROUND(MIN(300,MAX(1,D2637)),0), FactorTable!$A$2:$A$301,0), Skills!M17+1)</f>
        <v/>
      </c>
      <c r="F2637">
        <f>IF(Skills!N17=TRUE,(Skills!L17/10)*(E2637/1000),Skills!L17/10)+Skills!O17</f>
        <v/>
      </c>
      <c r="G2637">
        <f>Skills!G17*IF(Skills!H17&gt;0,Skills!I17/Skills!H17,1)</f>
        <v/>
      </c>
      <c r="H2637">
        <f>1-(1-Skills!J17/100)^Skills!K17</f>
        <v/>
      </c>
      <c r="I2637" t="inlineStr">
        <is>
          <t>1</t>
        </is>
      </c>
      <c r="J2637" t="inlineStr"/>
      <c r="K2637" t="inlineStr"/>
      <c r="L2637" t="inlineStr"/>
      <c r="M2637" t="inlineStr"/>
      <c r="N2637" t="inlineStr"/>
      <c r="O2637">
        <f>(1-Summary!$B$11)*T2637+Summary!$B$11*V2637</f>
        <v/>
      </c>
      <c r="P2637">
        <f>IF(B2656=0,0,O2637/B2656)</f>
        <v/>
      </c>
      <c r="Q2637" t="n">
        <v>0</v>
      </c>
      <c r="R2637" t="n">
        <v>0</v>
      </c>
      <c r="S2637">
        <f>IFERROR(O2637/N2637,0)</f>
        <v/>
      </c>
      <c r="T2637" t="n">
        <v>0</v>
      </c>
      <c r="V2637" t="n">
        <v>0</v>
      </c>
    </row>
    <row r="2638">
      <c r="A2638">
        <f>Skills!A18</f>
        <v/>
      </c>
      <c r="B2638">
        <f>Skills!B18</f>
        <v/>
      </c>
      <c r="C2638">
        <f>Inputs!$B$3&gt;=33</f>
        <v/>
      </c>
      <c r="D2638">
        <f>IF(Skills!C18=1,60+Inputs!$B$25+Inputs!$B$29,IF(Skills!C18=2,90+Inputs!$B$26+Inputs!$B$29,IF(Skills!C18=3,120+Inputs!$B$27+Inputs!$B$29,MAX(0,(Inputs!$B$3-100)*3)+Inputs!$B$28+Inputs!$B$29)))</f>
        <v/>
      </c>
      <c r="E2638">
        <f>INDEX(FactorTable!$B$2:$Y$301, MATCH(ROUND(MIN(300,MAX(1,D2638)),0), FactorTable!$A$2:$A$301,0), Skills!M18+1)</f>
        <v/>
      </c>
      <c r="F2638">
        <f>IF(Skills!N18=TRUE,(Skills!L18/10)*(E2638/1000),Skills!L18/10)+Skills!O18</f>
        <v/>
      </c>
      <c r="G2638">
        <f>Skills!G18*IF(Skills!H18&gt;0,Skills!I18/Skills!H18,1)</f>
        <v/>
      </c>
      <c r="H2638">
        <f>1-(1-Skills!J18/100)^Skills!K18</f>
        <v/>
      </c>
      <c r="I2638" t="inlineStr">
        <is>
          <t>1</t>
        </is>
      </c>
      <c r="J2638" t="inlineStr"/>
      <c r="K2638" t="inlineStr"/>
      <c r="L2638" t="inlineStr"/>
      <c r="M2638" t="inlineStr"/>
      <c r="N2638" t="inlineStr"/>
      <c r="O2638">
        <f>(1-Summary!$B$11)*T2638+Summary!$B$11*V2638</f>
        <v/>
      </c>
      <c r="P2638">
        <f>IF(B2656=0,0,O2638/B2656)</f>
        <v/>
      </c>
      <c r="Q2638" t="n">
        <v>0</v>
      </c>
      <c r="R2638" t="n">
        <v>0</v>
      </c>
      <c r="S2638">
        <f>IFERROR(O2638/N2638,0)</f>
        <v/>
      </c>
      <c r="T2638" t="n">
        <v>0</v>
      </c>
      <c r="V2638" t="n">
        <v>0</v>
      </c>
    </row>
    <row r="2639">
      <c r="A2639">
        <f>Skills!A19</f>
        <v/>
      </c>
      <c r="B2639">
        <f>Skills!B19</f>
        <v/>
      </c>
      <c r="C2639">
        <f>Inputs!$B$3&gt;=40</f>
        <v/>
      </c>
      <c r="D2639">
        <f>IF(Skills!C19=1,60+Inputs!$B$25+Inputs!$B$29,IF(Skills!C19=2,90+Inputs!$B$26+Inputs!$B$29,IF(Skills!C19=3,120+Inputs!$B$27+Inputs!$B$29,MAX(0,(Inputs!$B$3-100)*3)+Inputs!$B$28+Inputs!$B$29)))</f>
        <v/>
      </c>
      <c r="E2639">
        <f>INDEX(FactorTable!$B$2:$Y$301, MATCH(ROUND(MIN(300,MAX(1,D2639)),0), FactorTable!$A$2:$A$301,0), Skills!M19+1)</f>
        <v/>
      </c>
      <c r="F2639">
        <f>IF(Skills!N19=TRUE,(Skills!L19/10)*(E2639/1000),Skills!L19/10)+Skills!O19</f>
        <v/>
      </c>
      <c r="G2639">
        <f>Skills!G19*IF(Skills!H19&gt;0,Skills!I19/Skills!H19,1)</f>
        <v/>
      </c>
      <c r="H2639">
        <f>1-(1-Skills!J19/100)^Skills!K19</f>
        <v/>
      </c>
      <c r="I2639" t="inlineStr">
        <is>
          <t>1</t>
        </is>
      </c>
      <c r="J2639" t="inlineStr"/>
      <c r="K2639" t="inlineStr"/>
      <c r="L2639" t="inlineStr"/>
      <c r="M2639" t="inlineStr"/>
      <c r="N2639" t="inlineStr"/>
      <c r="O2639">
        <f>(1-Summary!$B$11)*T2639+Summary!$B$11*V2639</f>
        <v/>
      </c>
      <c r="P2639">
        <f>IF(B2656=0,0,O2639/B2656)</f>
        <v/>
      </c>
      <c r="Q2639" t="n">
        <v>0</v>
      </c>
      <c r="R2639" t="n">
        <v>0</v>
      </c>
      <c r="S2639">
        <f>IFERROR(O2639/N2639,0)</f>
        <v/>
      </c>
      <c r="T2639" t="n">
        <v>0</v>
      </c>
      <c r="V2639" t="n">
        <v>0</v>
      </c>
    </row>
    <row r="2640">
      <c r="A2640">
        <f>Skills!A20</f>
        <v/>
      </c>
      <c r="B2640">
        <f>Skills!B20</f>
        <v/>
      </c>
      <c r="C2640">
        <f>Inputs!$B$3&gt;=43</f>
        <v/>
      </c>
      <c r="D2640">
        <f>IF(Skills!C20=1,60+Inputs!$B$25+Inputs!$B$29,IF(Skills!C20=2,90+Inputs!$B$26+Inputs!$B$29,IF(Skills!C20=3,120+Inputs!$B$27+Inputs!$B$29,MAX(0,(Inputs!$B$3-100)*3)+Inputs!$B$28+Inputs!$B$29)))</f>
        <v/>
      </c>
      <c r="E2640">
        <f>INDEX(FactorTable!$B$2:$Y$301, MATCH(ROUND(MIN(300,MAX(1,D2640)),0), FactorTable!$A$2:$A$301,0), Skills!M20+1)</f>
        <v/>
      </c>
      <c r="F2640">
        <f>IF(Skills!N20=TRUE,(Skills!L20/10)*(E2640/1000),Skills!L20/10)+Skills!O20</f>
        <v/>
      </c>
      <c r="G2640">
        <f>Skills!G20*IF(Skills!H20&gt;0,Skills!I20/Skills!H20,1)</f>
        <v/>
      </c>
      <c r="H2640">
        <f>1-(1-Skills!J20/100)^Skills!K20</f>
        <v/>
      </c>
      <c r="I2640" t="inlineStr">
        <is>
          <t>1</t>
        </is>
      </c>
      <c r="J2640" t="inlineStr"/>
      <c r="K2640" t="inlineStr"/>
      <c r="L2640" t="inlineStr"/>
      <c r="M2640" t="inlineStr"/>
      <c r="N2640" t="inlineStr"/>
      <c r="O2640">
        <f>(1-Summary!$B$11)*T2640+Summary!$B$11*V2640</f>
        <v/>
      </c>
      <c r="P2640">
        <f>IF(B2656=0,0,O2640/B2656)</f>
        <v/>
      </c>
      <c r="Q2640" t="n">
        <v>0</v>
      </c>
      <c r="R2640" t="n">
        <v>0</v>
      </c>
      <c r="S2640">
        <f>IFERROR(O2640/N2640,0)</f>
        <v/>
      </c>
      <c r="T2640" t="n">
        <v>0</v>
      </c>
      <c r="V2640" t="n">
        <v>0</v>
      </c>
    </row>
    <row r="2641">
      <c r="A2641">
        <f>Skills!A21</f>
        <v/>
      </c>
      <c r="B2641">
        <f>Skills!B21</f>
        <v/>
      </c>
      <c r="C2641">
        <f>Inputs!$B$3&gt;=38</f>
        <v/>
      </c>
      <c r="D2641">
        <f>IF(Skills!C21=1,60+Inputs!$B$25+Inputs!$B$29,IF(Skills!C21=2,90+Inputs!$B$26+Inputs!$B$29,IF(Skills!C21=3,120+Inputs!$B$27+Inputs!$B$29,MAX(0,(Inputs!$B$3-100)*3)+Inputs!$B$28+Inputs!$B$29)))</f>
        <v/>
      </c>
      <c r="E2641">
        <f>INDEX(FactorTable!$B$2:$Y$301, MATCH(ROUND(MIN(300,MAX(1,D2641)),0), FactorTable!$A$2:$A$301,0), Skills!M21+1)</f>
        <v/>
      </c>
      <c r="F2641">
        <f>IF(Skills!N21=TRUE,(Skills!L21/10)*(E2641/1000),Skills!L21/10)+Skills!O21</f>
        <v/>
      </c>
      <c r="G2641">
        <f>Skills!G21*IF(Skills!H21&gt;0,Skills!I21/Skills!H21,1)</f>
        <v/>
      </c>
      <c r="H2641">
        <f>1-(1-Skills!J21/100)^Skills!K21</f>
        <v/>
      </c>
      <c r="I2641" t="inlineStr">
        <is>
          <t>1</t>
        </is>
      </c>
      <c r="J2641" t="inlineStr"/>
      <c r="K2641" t="inlineStr"/>
      <c r="L2641" t="inlineStr"/>
      <c r="M2641" t="inlineStr"/>
      <c r="N2641" t="inlineStr"/>
      <c r="O2641">
        <f>(1-Summary!$B$11)*T2641+Summary!$B$11*V2641</f>
        <v/>
      </c>
      <c r="P2641">
        <f>IF(B2656=0,0,O2641/B2656)</f>
        <v/>
      </c>
      <c r="Q2641" t="n">
        <v>0</v>
      </c>
      <c r="R2641" t="n">
        <v>0</v>
      </c>
      <c r="S2641">
        <f>IFERROR(O2641/N2641,0)</f>
        <v/>
      </c>
      <c r="T2641" t="n">
        <v>0</v>
      </c>
      <c r="V2641" t="n">
        <v>0</v>
      </c>
    </row>
    <row r="2642">
      <c r="A2642">
        <f>Skills!A22</f>
        <v/>
      </c>
      <c r="B2642">
        <f>Skills!B22</f>
        <v/>
      </c>
      <c r="C2642">
        <f>Inputs!$B$3&gt;=75</f>
        <v/>
      </c>
      <c r="D2642">
        <f>IF(Skills!C22=1,60+Inputs!$B$25+Inputs!$B$29,IF(Skills!C22=2,90+Inputs!$B$26+Inputs!$B$29,IF(Skills!C22=3,120+Inputs!$B$27+Inputs!$B$29,MAX(0,(Inputs!$B$3-100)*3)+Inputs!$B$28+Inputs!$B$29)))</f>
        <v/>
      </c>
      <c r="E2642">
        <f>INDEX(FactorTable!$B$2:$Y$301, MATCH(ROUND(MIN(300,MAX(1,D2642)),0), FactorTable!$A$2:$A$301,0), Skills!M22+1)</f>
        <v/>
      </c>
      <c r="F2642">
        <f>IF(Skills!N22=TRUE,(Skills!L22/10)*(E2642/1000),Skills!L22/10)+Skills!O22</f>
        <v/>
      </c>
      <c r="G2642">
        <f>Skills!G22*IF(Skills!H22&gt;0,Skills!I22/Skills!H22,1)</f>
        <v/>
      </c>
      <c r="H2642">
        <f>1-(1-Skills!J22/100)^Skills!K22</f>
        <v/>
      </c>
      <c r="I2642" t="inlineStr">
        <is>
          <t>1</t>
        </is>
      </c>
      <c r="J2642" t="inlineStr"/>
      <c r="K2642" t="inlineStr"/>
      <c r="L2642" t="inlineStr"/>
      <c r="M2642" t="inlineStr"/>
      <c r="N2642" t="inlineStr"/>
      <c r="O2642">
        <f>(1-Summary!$B$11)*T2642+Summary!$B$11*V2642</f>
        <v/>
      </c>
      <c r="P2642">
        <f>IF(B2656=0,0,O2642/B2656)</f>
        <v/>
      </c>
      <c r="Q2642" t="n">
        <v>0</v>
      </c>
      <c r="R2642" t="n">
        <v>0</v>
      </c>
      <c r="S2642">
        <f>IFERROR(O2642/N2642,0)</f>
        <v/>
      </c>
      <c r="T2642" t="n">
        <v>0</v>
      </c>
      <c r="V2642" t="n">
        <v>0</v>
      </c>
    </row>
    <row r="2643">
      <c r="A2643">
        <f>Skills!A23</f>
        <v/>
      </c>
      <c r="B2643">
        <f>Skills!B23</f>
        <v/>
      </c>
      <c r="C2643">
        <f>TRUE</f>
        <v/>
      </c>
      <c r="D2643">
        <f>IF(Skills!C23=1,60+Inputs!$B$25+Inputs!$B$29,IF(Skills!C23=2,90+Inputs!$B$26+Inputs!$B$29,IF(Skills!C23=3,120+Inputs!$B$27+Inputs!$B$29,MAX(0,(Inputs!$B$3-100)*3)+Inputs!$B$28+Inputs!$B$29)))</f>
        <v/>
      </c>
      <c r="E2643">
        <f>INDEX(FactorTable!$B$2:$Y$301, MATCH(ROUND(MIN(300,MAX(1,D2643)),0), FactorTable!$A$2:$A$301,0), Skills!M23+1)</f>
        <v/>
      </c>
      <c r="F2643">
        <f>IF(Skills!N23=TRUE,(Skills!L23/10)*(E2643/1000),Skills!L23/10)+Skills!O23</f>
        <v/>
      </c>
      <c r="G2643">
        <f>Skills!G23*IF(Skills!H23&gt;0,Skills!I23/Skills!H23,1)</f>
        <v/>
      </c>
      <c r="H2643">
        <f>1-(1-Skills!J23/100)^Skills!K23</f>
        <v/>
      </c>
      <c r="I2643" t="inlineStr">
        <is>
          <t>1</t>
        </is>
      </c>
      <c r="J2643" t="inlineStr"/>
      <c r="K2643" t="inlineStr"/>
      <c r="L2643" t="inlineStr"/>
      <c r="M2643" t="inlineStr"/>
      <c r="N2643" t="inlineStr"/>
      <c r="O2643">
        <f>(1-Summary!$B$11)*T2643+Summary!$B$11*V2643</f>
        <v/>
      </c>
      <c r="P2643">
        <f>IF(B2656=0,0,O2643/B2656)</f>
        <v/>
      </c>
      <c r="Q2643">
        <f>IFERROR(1/(IF(Inputs!$B$38="pvp",15,MAX(0.1,Skills!D23-IF(Skills!E23=TRUE,2.0,0)))*(1-IF(AND(ArtifactsInput!$M$27,Inputs!$B$4="Chapter Hunt"),CHOOSE(ArtifactsInput!$N$27+1,20,24,28,32,36,40),0)/100)),0)</f>
        <v/>
      </c>
      <c r="R2643">
        <f>IF(AND(Inputs!$B$38&lt;&gt;"pvp",Inputs!$B$43&gt;0),IF(Inputs!$B$43&lt;=0,0,(INT(Inputs!$B$43/(IF(Inputs!$B$38="pvp",15,MAX(0.1,Skills!D23-IF(Skills!E23=TRUE,2.0,0)))*(1-IF(AND(ArtifactsInput!$M$27,Inputs!$B$4="Chapter Hunt"),CHOOSE(ArtifactsInput!$N$27+1,20,24,28,32,36,40),0)/100)))+1)),0)</f>
        <v/>
      </c>
      <c r="S2643">
        <f>IFERROR(O2643/N2643,0)</f>
        <v/>
      </c>
      <c r="T2643" t="n">
        <v>0</v>
      </c>
      <c r="V2643" t="n">
        <v>0</v>
      </c>
    </row>
    <row r="2645">
      <c r="A2645" t="inlineStr">
        <is>
          <t>Attack% Bucket Multiplier</t>
        </is>
      </c>
      <c r="B2645">
        <f>(1+(((C2633=TRUE)*F2633*5/7)+((C2639=TRUE)*(F2639-Calc!F19))+(IF(ArtifactsInput!$M$21,CHOOSE(ArtifactsInput!$N$21+1,25,30,35,40,45,50)*(IF(OR(Inputs!$B$4="Chapter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46">
      <c r="A2646" t="inlineStr">
        <is>
          <t>Global Crit Rate Bonus %</t>
        </is>
      </c>
      <c r="B2646" t="n">
        <v>0</v>
      </c>
    </row>
    <row r="2647">
      <c r="A2647" t="inlineStr">
        <is>
          <t>Attack Speed Buff Bonus % (Nimble Feet, duty-cycle averaged)</t>
        </is>
      </c>
      <c r="B2647">
        <f>((C2643=TRUE)*F2643*IF(AND(Inputs!$B$38&lt;&gt;"pvp",Inputs!$B$43&gt;0),(((R2643-1)*(Skills!T23*(1+Inputs!$B$34/100))+MIN((Skills!T23*(1+Inputs!$B$34/100)),MAX(0,Inputs!$B$43-((R2643-1)*Skills!D23))))/Inputs!$B$43),IF(Inputs!$B$38="pvp",MIN((Skills!T23*(1+Inputs!$B$34/100)),15)/15,(Skills!T23*(1+Inputs!$B$34/100))/Skills!D23)))</f>
        <v/>
      </c>
    </row>
    <row r="2648">
      <c r="A2648" t="inlineStr">
        <is>
          <t>Actions Per Second</t>
        </is>
      </c>
      <c r="B2648">
        <f>1+MIN(150,150*(1-(1-(Inputs!$B$11+((C2637=TRUE)*(F2637-Calc!F17))+((C2638=TRUE)*(F2638-Calc!F18)))/150)*(1-B2647/150)))/100</f>
        <v/>
      </c>
    </row>
    <row r="2649">
      <c r="A2649" t="inlineStr">
        <is>
          <t>Skill + Buff Cast Rate</t>
        </is>
      </c>
      <c r="B2649">
        <f>IF(AND(Inputs!$B$38&lt;&gt;"pvp",Inputs!$B$43&gt;0),SUMPRODUCT((Skills!E2:E23=TRUE)*(C2622:C2643=TRUE)*R2622:R2643*Skills!F2:F23)/Inputs!$B$43,SUMPRODUCT((Skills!E2:E23=TRUE)*(C2622:C2643=TRUE)*Q2622:Q2643*Skills!F2:F23))</f>
        <v/>
      </c>
    </row>
    <row r="2650">
      <c r="A2650" t="inlineStr">
        <is>
          <t>Hook Bomber Casts Per Second</t>
        </is>
      </c>
      <c r="B2650">
        <f>MAX(0,B2648-B2649)</f>
        <v/>
      </c>
    </row>
    <row r="2651">
      <c r="A2651" t="inlineStr">
        <is>
          <t>Global Critical Damage Bonus % (unused)</t>
        </is>
      </c>
      <c r="B2651" t="n">
        <v>0</v>
      </c>
    </row>
    <row r="2652">
      <c r="A2652" t="inlineStr">
        <is>
          <t>Global Final Damage Bonus % (Serpent Scale + Crossbones + Time Leap + Speed Infusion)</t>
        </is>
      </c>
      <c r="B2652">
        <f>((C2625=TRUE)*F2625*((10+IF(Inputs!$B$3&gt;=94,5,0))/((10+IF(Inputs!$B$3&gt;=94,5,0))+5/(B2650*(1+IF(Inputs!$B$3&gt;=104,1,0))))))+((C2634=TRUE)*F2634*IF(AND(Inputs!$B$38&lt;&gt;"pvp",Inputs!$B$43&gt;0),(((R2634-1)*(Skills!T14*(1+Inputs!$B$34/100))+MIN((Skills!T14*(1+Inputs!$B$34/100)),MAX(0,Inputs!$B$43-((R2634-1)*Skills!D14))))/Inputs!$B$43),IF(Inputs!$B$38="pvp",MIN((Skills!T14*(1+Inputs!$B$34/100)),15)/15,(Skills!T14*(1+Inputs!$B$34/100))/Skills!D14)))+((C2635=TRUE)*F2635*IF(AND(Inputs!$B$38&lt;&gt;"pvp",Inputs!$B$43&gt;0),(((R2635-1)*(Skills!T15*(1+Inputs!$B$34/100))+MIN((Skills!T15*(1+Inputs!$B$34/100)),MAX(0,Inputs!$B$43-((R2635-1)*Skills!D15))))/Inputs!$B$43),IF(Inputs!$B$38="pvp",MIN((Skills!T15*(1+Inputs!$B$34/100)),15)/15,(Skills!T15*(1+Inputs!$B$34/100))/Skills!D15)))+((Inputs!$B$3&gt;=110)*20*(B2648-1)*IF(Inputs!$B$38="pvp",MIN((15*(1+Inputs!$B$34/100)),15)/15,(15*(1+Inputs!$B$34/100))/35))</f>
        <v/>
      </c>
    </row>
    <row r="2653">
      <c r="A2653" t="inlineStr">
        <is>
          <t>Buff-Casting Startup Delay (s, fixed-duration only)</t>
        </is>
      </c>
      <c r="B2653">
        <f>IF(AND(Inputs!$B$38&lt;&gt;"pvp",Inputs!$B$43&gt;0),SUMPRODUCT((Skills!T2:T23&gt;0)*(Skills!E2:E23=TRUE)*(C2622:C2643=TRUE))/B2648,0)</f>
        <v/>
      </c>
    </row>
    <row r="2654">
      <c r="A2654" t="inlineStr">
        <is>
          <t>Boss-Only Total DPS (this block's swept value)</t>
        </is>
      </c>
      <c r="B2654">
        <f>SUM(T2622:T2643)</f>
        <v/>
      </c>
    </row>
    <row r="2655">
      <c r="A2655" t="inlineStr">
        <is>
          <t>Normal-Only Total DPS (this block's swept value)</t>
        </is>
      </c>
      <c r="B2655">
        <f>SUM(V2622:V2643)</f>
        <v/>
      </c>
    </row>
    <row r="2656">
      <c r="A2656" s="6" t="inlineStr">
        <is>
          <t>TOTAL DPS</t>
        </is>
      </c>
      <c r="B2656" s="6">
        <f>SUM(O2622:O2643)</f>
        <v/>
      </c>
    </row>
    <row r="2659">
      <c r="A2659" s="6" t="inlineStr">
        <is>
          <t>Stat: CDR = 2.5s</t>
        </is>
      </c>
    </row>
    <row r="2660">
      <c r="A2660" s="5" t="inlineStr">
        <is>
          <t>Key</t>
        </is>
      </c>
      <c r="B2660" s="5" t="inlineStr">
        <is>
          <t>Name</t>
        </is>
      </c>
      <c r="C2660" s="5" t="inlineStr">
        <is>
          <t>Unlocked</t>
        </is>
      </c>
      <c r="D2660" s="5" t="inlineStr">
        <is>
          <t>InputLevel</t>
        </is>
      </c>
      <c r="E2660" s="5" t="inlineStr">
        <is>
          <t>Factor</t>
        </is>
      </c>
      <c r="F2660" s="5" t="inlineStr">
        <is>
          <t>CoefficientPercent</t>
        </is>
      </c>
      <c r="G2660" s="5" t="inlineStr">
        <is>
          <t>EffectiveHits</t>
        </is>
      </c>
      <c r="H2660" s="5" t="inlineStr">
        <is>
          <t>ProcProbability</t>
        </is>
      </c>
      <c r="I2660" s="5" t="inlineStr">
        <is>
          <t>MapleHeroMultiplier</t>
        </is>
      </c>
      <c r="J2660" s="5" t="inlineStr">
        <is>
          <t>BaseDamage</t>
        </is>
      </c>
      <c r="K2660" s="5" t="inlineStr">
        <is>
          <t>BaseHitDamage</t>
        </is>
      </c>
      <c r="L2660" s="5" t="inlineStr">
        <is>
          <t>NonCritAvg</t>
        </is>
      </c>
      <c r="M2660" s="5" t="inlineStr">
        <is>
          <t>CritAvg</t>
        </is>
      </c>
      <c r="N2660" s="5" t="inlineStr">
        <is>
          <t>ExpectedDamage(perHit)</t>
        </is>
      </c>
      <c r="O2660" s="5" t="inlineStr">
        <is>
          <t>DPS</t>
        </is>
      </c>
      <c r="P2660" s="5" t="inlineStr">
        <is>
          <t>% of Total</t>
        </is>
      </c>
      <c r="Q2660" s="5" t="inlineStr">
        <is>
          <t>InvCooldown</t>
        </is>
      </c>
      <c r="R2660" s="5" t="inlineStr">
        <is>
          <t>CastsInFight</t>
        </is>
      </c>
      <c r="S2660" s="5" t="inlineStr">
        <is>
          <t>HitRate(perSec)</t>
        </is>
      </c>
      <c r="U2660" t="inlineStr">
        <is>
          <t>helpers</t>
        </is>
      </c>
    </row>
    <row r="2661">
      <c r="A2661">
        <f>Skills!A2</f>
        <v/>
      </c>
      <c r="B2661">
        <f>Skills!B2</f>
        <v/>
      </c>
      <c r="C2661">
        <f>Inputs!$B$3&gt;=100</f>
        <v/>
      </c>
      <c r="D2661" t="inlineStr"/>
      <c r="E2661" t="inlineStr"/>
      <c r="F2661">
        <f>U2663+Skills!O2</f>
        <v/>
      </c>
      <c r="G2661">
        <f>Skills!G2*IF(Skills!H2&gt;0,Skills!I2/Skills!H2,1)</f>
        <v/>
      </c>
      <c r="H2661">
        <f>1-(1-Skills!J2/100)^Skills!K2</f>
        <v/>
      </c>
      <c r="I2661" t="inlineStr">
        <is>
          <t>1</t>
        </is>
      </c>
      <c r="J2661">
        <f>((Inputs!$B$6*(1+Inputs!$B$7/100))+(((Inputs!$B$12*(1+Inputs!$B$13/100))-(Inputs!$B$12*(1+Inputs!$B$13/100)))+0.25*(Inputs!$B$14-Inputs!$B$14))*(1+Inputs!$B$7/100))*(F2661/100)</f>
        <v/>
      </c>
      <c r="K2661">
        <f>J2661*(1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2661)</f>
        <v/>
      </c>
      <c r="L2661">
        <f>K2661*(MIN(Inputs!$B$22+((C2679=TRUE)*(F2679-Calc!F20)),(Inputs!$B$23+0+(IF(ArtifactsInput!$M$15,CHOOSE(ArtifactsInput!$N$15+1,25,30,35,40,45,50)/100*(Inputs!$B$11-Inputs!$B$11),0))))/100+(Inputs!$B$23+0+(IF(ArtifactsInput!$M$15,CHOOSE(ArtifactsInput!$N$15+1,25,30,35,40,45,50)/100*(Inputs!$B$11-Inputs!$B$11),0)))/100)/2</f>
        <v/>
      </c>
      <c r="M2661">
        <f>L2661*(1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1">
        <f>L2661*(1-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1">
        <f>(1-Summary!$B$11)*T2661+Summary!$B$11*V2661</f>
        <v/>
      </c>
      <c r="P2661">
        <f>IF(B2695=0,0,O2661/B2695)</f>
        <v/>
      </c>
      <c r="Q2661" t="n">
        <v>0</v>
      </c>
      <c r="R2661" t="n">
        <v>0</v>
      </c>
      <c r="S2661">
        <f>IFERROR(O2661/N2661,0)</f>
        <v/>
      </c>
      <c r="T2661">
        <f>IF(C2661,(Skills!G2*N2661*B2689)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2661*(1-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2661*(1-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1">
        <f>MAX(0,(Inputs!$B$3-100)*3)+Inputs!$B$28+Inputs!$B$29</f>
        <v/>
      </c>
      <c r="V2661">
        <f>IF(C2661,(Skills!G2*N2661*B2689)*IF(Inputs!$B$38="pvp",1,(1+(Inputs!$B$21+Skills!Q2+(IF(ArtifactsInput!$M$33,CHOOSE(ArtifactsInput!$N$33+1,30,36,42,48,54,60),0))+(IF(AND(ArtifactsInput!$M$35,Inputs!$B$4&lt;&gt;"Chapter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2">
      <c r="A2662">
        <f>Skills!A3</f>
        <v/>
      </c>
      <c r="B2662">
        <f>Skills!B3</f>
        <v/>
      </c>
      <c r="C2662">
        <f>Inputs!$B$3&gt;=35</f>
        <v/>
      </c>
      <c r="D2662">
        <f>IF(Skills!C3=1,60+Inputs!$B$25+Inputs!$B$29,IF(Skills!C3=2,90+Inputs!$B$26+Inputs!$B$29,IF(Skills!C3=3,120+Inputs!$B$27+Inputs!$B$29,MAX(0,(Inputs!$B$3-100)*3)+Inputs!$B$28+Inputs!$B$29)))</f>
        <v/>
      </c>
      <c r="E2662">
        <f>INDEX(FactorTable!$B$2:$Y$301, MATCH(ROUND(MIN(300,MAX(1,D2662)),0), FactorTable!$A$2:$A$301,0), Skills!M3+1)</f>
        <v/>
      </c>
      <c r="F2662">
        <f>IF(Skills!N3=TRUE,(Skills!L3/10)*(E2662/1000),Skills!L3/10)+Skills!O3</f>
        <v/>
      </c>
      <c r="G2662">
        <f>Skills!G3*IF(Skills!H3&gt;0,Skills!I3/Skills!H3,1)</f>
        <v/>
      </c>
      <c r="H2662">
        <f>1-(1-Skills!J3/100)^Skills!K3</f>
        <v/>
      </c>
      <c r="I2662" t="inlineStr">
        <is>
          <t>1</t>
        </is>
      </c>
      <c r="J2662">
        <f>((Inputs!$B$6*(1+Inputs!$B$7/100))+(((Inputs!$B$12*(1+Inputs!$B$13/100))-(Inputs!$B$12*(1+Inputs!$B$13/100)))+0.25*(Inputs!$B$14-Inputs!$B$14))*(1+Inputs!$B$7/100))*(F2662/100)</f>
        <v/>
      </c>
      <c r="K2662">
        <f>J2662*(1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2662)</f>
        <v/>
      </c>
      <c r="L2662">
        <f>K2662*(MIN(Inputs!$B$22+((C2679=TRUE)*(F2679-Calc!F20)),(Inputs!$B$23+0+(IF(ArtifactsInput!$M$15,CHOOSE(ArtifactsInput!$N$15+1,25,30,35,40,45,50)/100*(Inputs!$B$11-Inputs!$B$11),0))))/100+(Inputs!$B$23+0+(IF(ArtifactsInput!$M$15,CHOOSE(ArtifactsInput!$N$15+1,25,30,35,40,45,50)/100*(Inputs!$B$11-Inputs!$B$11),0)))/100)/2</f>
        <v/>
      </c>
      <c r="M2662">
        <f>L2662*(1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2">
        <f>L2662*(1-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2662*(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2">
        <f>(1-Summary!$B$11)*T2662+Summary!$B$11*V2662</f>
        <v/>
      </c>
      <c r="P2662">
        <f>IF(B2695=0,0,O2662/B2695)</f>
        <v/>
      </c>
      <c r="Q2662" t="n">
        <v>0</v>
      </c>
      <c r="R2662" t="n">
        <v>0</v>
      </c>
      <c r="S2662">
        <f>IFERROR(O2662/N2662,0)</f>
        <v/>
      </c>
      <c r="T2662">
        <f>IF(C2662,(Skills!G3*H2662*N2662*B2689)*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2662*(1-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2662*(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2662*(1-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2662*(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2">
        <f>INDEX(FactorTable!$B$2:$Y$301, MATCH(ROUND(MIN(300,MAX(1,U2661)),0), FactorTable!$A$2:$A$301,0), 22)</f>
        <v/>
      </c>
      <c r="V2662">
        <f>IF(C2662,(Skills!G3*H2662*N2662*B2689)*IF(Inputs!$B$38="pvp",1,(1+(Inputs!$B$21+Skills!Q3+(IF(ArtifactsInput!$M$33,CHOOSE(ArtifactsInput!$N$33+1,30,36,42,48,54,60),0))+(IF(AND(ArtifactsInput!$M$35,Inputs!$B$4&lt;&gt;"Chapter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3">
      <c r="A2663">
        <f>Skills!A4</f>
        <v/>
      </c>
      <c r="B2663">
        <f>Skills!B4</f>
        <v/>
      </c>
      <c r="C2663">
        <f>Inputs!$B$3&gt;=60</f>
        <v/>
      </c>
      <c r="D2663">
        <f>IF(Skills!C4=1,60+Inputs!$B$25+Inputs!$B$29,IF(Skills!C4=2,90+Inputs!$B$26+Inputs!$B$29,IF(Skills!C4=3,120+Inputs!$B$27+Inputs!$B$29,MAX(0,(Inputs!$B$3-100)*3)+Inputs!$B$28+Inputs!$B$29)))</f>
        <v/>
      </c>
      <c r="E2663">
        <f>INDEX(FactorTable!$B$2:$Y$301, MATCH(ROUND(MIN(300,MAX(1,D2663)),0), FactorTable!$A$2:$A$301,0), Skills!M4+1)</f>
        <v/>
      </c>
      <c r="F2663">
        <f>IF(Skills!N4=TRUE,(Skills!L4/10)*(E2663/1000),Skills!L4/10)+Skills!O4</f>
        <v/>
      </c>
      <c r="G2663">
        <f>Skills!G4*IF(Skills!H4&gt;0,Skills!I4/Skills!H4,1)</f>
        <v/>
      </c>
      <c r="H2663">
        <f>1-(1-Skills!J4/100)^Skills!K4</f>
        <v/>
      </c>
      <c r="I2663" t="inlineStr">
        <is>
          <t>1</t>
        </is>
      </c>
      <c r="J2663">
        <f>((Inputs!$B$6*(1+Inputs!$B$7/100))+(((Inputs!$B$12*(1+Inputs!$B$13/100))-(Inputs!$B$12*(1+Inputs!$B$13/100)))+0.25*(Inputs!$B$14-Inputs!$B$14))*(1+Inputs!$B$7/100))*(F2663/100)</f>
        <v/>
      </c>
      <c r="K2663">
        <f>J2663*(1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2671=TRUE,F2671,0)/100)*(1+(IF(Skills!A4="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2663)</f>
        <v/>
      </c>
      <c r="L2663">
        <f>K2663*(MIN(Inputs!$B$22+((C2679=TRUE)*(F2679-Calc!F20)),(Inputs!$B$23+0+(IF(ArtifactsInput!$M$15,CHOOSE(ArtifactsInput!$N$15+1,25,30,35,40,45,50)/100*(Inputs!$B$11-Inputs!$B$11),0))))/100+(Inputs!$B$23+0+(IF(ArtifactsInput!$M$15,CHOOSE(ArtifactsInput!$N$15+1,25,30,35,40,45,50)/100*(Inputs!$B$11-Inputs!$B$11),0)))/100)/2</f>
        <v/>
      </c>
      <c r="M2663">
        <f>L2663*(1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3">
        <f>L2663*(1-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2663*(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3">
        <f>(1-Summary!$B$11)*T2663+Summary!$B$11*V2663</f>
        <v/>
      </c>
      <c r="P2663">
        <f>IF(B2695=0,0,O2663/B2695)</f>
        <v/>
      </c>
      <c r="Q2663" t="n">
        <v>0</v>
      </c>
      <c r="R2663" t="n">
        <v>0</v>
      </c>
      <c r="S2663">
        <f>IFERROR(O2663/N2663,0)</f>
        <v/>
      </c>
      <c r="T2663">
        <f>IF(C2663,(Skills!G4*H2663*N2663*B2689)*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2663*(1-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2663*(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2663*(1-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2663*(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63">
        <f>290*U2662/1000</f>
        <v/>
      </c>
      <c r="V2663">
        <f>IF(C2663,(Skills!G4*H2663*N2663*B2689)*IF(Inputs!$B$38="pvp",1,(1+(Inputs!$B$21+Skills!Q4+(IF(ArtifactsInput!$M$33,CHOOSE(ArtifactsInput!$N$33+1,30,36,42,48,54,60),0))+(IF(AND(ArtifactsInput!$M$35,Inputs!$B$4&lt;&gt;"Chapter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4">
      <c r="A2664">
        <f>Skills!A5</f>
        <v/>
      </c>
      <c r="B2664">
        <f>Skills!B5</f>
        <v/>
      </c>
      <c r="C2664">
        <f>Inputs!$B$3&gt;=60</f>
        <v/>
      </c>
      <c r="D2664">
        <f>IF(Skills!C5=1,60+Inputs!$B$25+Inputs!$B$29,IF(Skills!C5=2,90+Inputs!$B$26+Inputs!$B$29,IF(Skills!C5=3,120+Inputs!$B$27+Inputs!$B$29,MAX(0,(Inputs!$B$3-100)*3)+Inputs!$B$28+Inputs!$B$29)))</f>
        <v/>
      </c>
      <c r="E2664">
        <f>INDEX(FactorTable!$B$2:$Y$301, MATCH(ROUND(MIN(300,MAX(1,D2664)),0), FactorTable!$A$2:$A$301,0), Skills!M5+1)</f>
        <v/>
      </c>
      <c r="F2664">
        <f>IF(Skills!N5=TRUE,(Skills!L5/10)*(E2664/1000),Skills!L5/10)+Skills!O5</f>
        <v/>
      </c>
      <c r="G2664">
        <f>Skills!G5*IF(Skills!H5&gt;0,Skills!I5/Skills!H5,1)</f>
        <v/>
      </c>
      <c r="H2664">
        <f>1-(1-Skills!J5/100)^Skills!K5</f>
        <v/>
      </c>
      <c r="I2664" t="inlineStr">
        <is>
          <t>1</t>
        </is>
      </c>
      <c r="J2664" t="inlineStr"/>
      <c r="K2664" t="inlineStr"/>
      <c r="L2664" t="inlineStr"/>
      <c r="M2664" t="inlineStr"/>
      <c r="N2664" t="inlineStr"/>
      <c r="O2664">
        <f>(1-Summary!$B$11)*T2664+Summary!$B$11*V2664</f>
        <v/>
      </c>
      <c r="P2664">
        <f>IF(B2695=0,0,O2664/B2695)</f>
        <v/>
      </c>
      <c r="Q2664" t="n">
        <v>0</v>
      </c>
      <c r="R2664" t="n">
        <v>0</v>
      </c>
      <c r="S2664">
        <f>IFERROR(O2664/N2664,0)</f>
        <v/>
      </c>
      <c r="T2664" t="n">
        <v>0</v>
      </c>
      <c r="V2664" t="n">
        <v>0</v>
      </c>
    </row>
    <row r="2665">
      <c r="A2665">
        <f>Skills!A6</f>
        <v/>
      </c>
      <c r="B2665">
        <f>Skills!B6</f>
        <v/>
      </c>
      <c r="C2665">
        <f>Inputs!$B$3&gt;=63</f>
        <v/>
      </c>
      <c r="D2665">
        <f>IF(Skills!C6=1,60+Inputs!$B$25+Inputs!$B$29,IF(Skills!C6=2,90+Inputs!$B$26+Inputs!$B$29,IF(Skills!C6=3,120+Inputs!$B$27+Inputs!$B$29,MAX(0,(Inputs!$B$3-100)*3)+Inputs!$B$28+Inputs!$B$29)))</f>
        <v/>
      </c>
      <c r="E2665">
        <f>INDEX(FactorTable!$B$2:$Y$301, MATCH(ROUND(MIN(300,MAX(1,D2665)),0), FactorTable!$A$2:$A$301,0), Skills!M6+1)</f>
        <v/>
      </c>
      <c r="F2665">
        <f>IF(Skills!N6=TRUE,(Skills!L6/10)*(E2665/1000),Skills!L6/10)+Skills!O6</f>
        <v/>
      </c>
      <c r="G2665">
        <f>Skills!G6*IF(Skills!H6&gt;0,Skills!I6/Skills!H6,1)</f>
        <v/>
      </c>
      <c r="H2665">
        <f>1-(1-Skills!J6/100)^Skills!K6</f>
        <v/>
      </c>
      <c r="I2665" t="inlineStr">
        <is>
          <t>1</t>
        </is>
      </c>
      <c r="J2665">
        <f>((Inputs!$B$6*(1+Inputs!$B$7/100))+(((Inputs!$B$12*(1+Inputs!$B$13/100))-(Inputs!$B$12*(1+Inputs!$B$13/100)))+0.25*(Inputs!$B$14-Inputs!$B$14))*(1+Inputs!$B$7/100))*(F2665/100)</f>
        <v/>
      </c>
      <c r="K2665">
        <f>J2665*(1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2671=TRUE,F2671,0)/100)*(1+(IF(Skills!A6="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2665)</f>
        <v/>
      </c>
      <c r="L2665">
        <f>K2665*(MIN(Inputs!$B$22+((C2679=TRUE)*(F2679-Calc!F20)),(Inputs!$B$23+0+(IF(ArtifactsInput!$M$15,CHOOSE(ArtifactsInput!$N$15+1,25,30,35,40,45,50)/100*(Inputs!$B$11-Inputs!$B$11),0))))/100+(Inputs!$B$23+0+(IF(ArtifactsInput!$M$15,CHOOSE(ArtifactsInput!$N$15+1,25,30,35,40,45,50)/100*(Inputs!$B$11-Inputs!$B$11),0)))/100)/2</f>
        <v/>
      </c>
      <c r="M2665">
        <f>L2665*(1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5">
        <f>L2665*(1-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2665*(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5">
        <f>(1-Summary!$B$11)*T2665+Summary!$B$11*V2665</f>
        <v/>
      </c>
      <c r="P2665">
        <f>IF(B2695=0,0,O2665/B2695)</f>
        <v/>
      </c>
      <c r="Q2665">
        <f>IFERROR(1/(IF(Inputs!$B$38="pvp",15,MAX(0.1,Skills!D6-IF(Skills!E6=TRUE,2.5,0)))*(1-IF(AND(ArtifactsInput!$M$27,Inputs!$B$4="Chapter Hunt"),CHOOSE(ArtifactsInput!$N$27+1,20,24,28,32,36,40),0)/100)),0)</f>
        <v/>
      </c>
      <c r="R2665">
        <f>IF(AND(Inputs!$B$38&lt;&gt;"pvp",Inputs!$B$43&gt;0),IF(MAX(0,Inputs!$B$43-B2692)&lt;=0,0,(INT(MAX(0,Inputs!$B$43-B2692)/(IF(Inputs!$B$38="pvp",15,MAX(0.1,Skills!D6-IF(Skills!E6=TRUE,2.5,0)))*(1-IF(AND(ArtifactsInput!$M$27,Inputs!$B$4="Chapter Hunt"),CHOOSE(ArtifactsInput!$N$27+1,20,24,28,32,36,40),0)/100)))+1)),0)</f>
        <v/>
      </c>
      <c r="S2665">
        <f>IFERROR(O2665/N2665,0)</f>
        <v/>
      </c>
      <c r="T2665">
        <f>IF(C2665,(H2665*N2665*IF(AND(Inputs!$B$38&lt;&gt;"pvp",Inputs!$B$43&gt;0),((Skills!G6*((R2665-1)*IF(Skills!H6&gt;0,Skills!I6/Skills!H6,1)+IF(Skills!H6&gt;0,MIN(Skills!I6,MAX(0,MAX(0,Inputs!$B$43-B2692)-((R2665-1)*(IF(Inputs!$B$38="pvp",15,MAX(0.1,Skills!D6-IF(Skills!E6=TRUE,2.5,0)))*(1-IF(AND(ArtifactsInput!$M$27,Inputs!$B$4="Chapter Hunt"),CHOOSE(ArtifactsInput!$N$27+1,20,24,28,32,36,40),0)/100)))))/Skills!H6,1)))/Inputs!$B$43),G2665*Q2665))*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2665*(1-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2665*(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2665*(1-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2665*(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5">
        <f>IF(C2665,(H2665*N2665*IF(AND(Inputs!$B$38&lt;&gt;"pvp",Inputs!$B$43&gt;0),((Skills!G6*((R2665-1)*IF(Skills!H6&gt;0,Skills!I6/Skills!H6,1)+IF(Skills!H6&gt;0,MIN(Skills!I6,MAX(0,MAX(0,Inputs!$B$43-B2692)-((R2665-1)*(IF(Inputs!$B$38="pvp",15,MAX(0.1,Skills!D6-IF(Skills!E6=TRUE,2.5,0)))*(1-IF(AND(ArtifactsInput!$M$27,Inputs!$B$4="Chapter Hunt"),CHOOSE(ArtifactsInput!$N$27+1,20,24,28,32,36,40),0)/100)))))/Skills!H6,1)))/Inputs!$B$43),G2665*Q2665))*IF(Inputs!$B$38="pvp",1,(1+(Inputs!$B$21+Skills!Q6+(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6">
      <c r="A2666">
        <f>Skills!A7</f>
        <v/>
      </c>
      <c r="B2666">
        <f>Skills!B7</f>
        <v/>
      </c>
      <c r="C2666">
        <f>Inputs!$B$3&gt;=100</f>
        <v/>
      </c>
      <c r="D2666">
        <f>IF(Skills!C7=1,60+Inputs!$B$25+Inputs!$B$29,IF(Skills!C7=2,90+Inputs!$B$26+Inputs!$B$29,IF(Skills!C7=3,120+Inputs!$B$27+Inputs!$B$29,MAX(0,(Inputs!$B$3-100)*3)+Inputs!$B$28+Inputs!$B$29)))</f>
        <v/>
      </c>
      <c r="E2666">
        <f>INDEX(FactorTable!$B$2:$Y$301, MATCH(ROUND(MIN(300,MAX(1,D2666)),0), FactorTable!$A$2:$A$301,0), Skills!M7+1)</f>
        <v/>
      </c>
      <c r="F2666">
        <f>IF(Skills!N7=TRUE,(Skills!L7/10)*(E2666/1000),Skills!L7/10)+Skills!O7</f>
        <v/>
      </c>
      <c r="G2666">
        <f>Skills!G7*IF(Skills!H7&gt;0,Skills!I7/Skills!H7,1)</f>
        <v/>
      </c>
      <c r="H2666">
        <f>1-(1-Skills!J7/100)^Skills!K7</f>
        <v/>
      </c>
      <c r="I2666" t="inlineStr">
        <is>
          <t>1</t>
        </is>
      </c>
      <c r="J2666">
        <f>((Inputs!$B$6*(1+Inputs!$B$7/100))+(((Inputs!$B$12*(1+Inputs!$B$13/100))-(Inputs!$B$12*(1+Inputs!$B$13/100)))+0.25*(Inputs!$B$14-Inputs!$B$14))*(1+Inputs!$B$7/100))*(F2666/100)</f>
        <v/>
      </c>
      <c r="K2666">
        <f>J2666*(1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2666)</f>
        <v/>
      </c>
      <c r="L2666">
        <f>K2666*(MIN(Inputs!$B$22+((C2679=TRUE)*(F2679-Calc!F20)),(Inputs!$B$23+0+(IF(ArtifactsInput!$M$15,CHOOSE(ArtifactsInput!$N$15+1,25,30,35,40,45,50)/100*(Inputs!$B$11-Inputs!$B$11),0))))/100+(Inputs!$B$23+0+(IF(ArtifactsInput!$M$15,CHOOSE(ArtifactsInput!$N$15+1,25,30,35,40,45,50)/100*(Inputs!$B$11-Inputs!$B$11),0)))/100)/2</f>
        <v/>
      </c>
      <c r="M2666">
        <f>L2666*(1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6">
        <f>L2666*(1-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2666*(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6">
        <f>(1-Summary!$B$11)*T2666+Summary!$B$11*V2666</f>
        <v/>
      </c>
      <c r="P2666">
        <f>IF(B2695=0,0,O2666/B2695)</f>
        <v/>
      </c>
      <c r="Q2666">
        <f>IFERROR(1/(IF(Inputs!$B$38="pvp",15,MAX(0.1,Skills!D7-IF(Skills!E7=TRUE,2.5,0)))*(1-IF(AND(ArtifactsInput!$M$27,Inputs!$B$4="Chapter Hunt"),CHOOSE(ArtifactsInput!$N$27+1,20,24,28,32,36,40),0)/100)),0)</f>
        <v/>
      </c>
      <c r="R2666">
        <f>IF(AND(Inputs!$B$38&lt;&gt;"pvp",Inputs!$B$43&gt;0),IF(MAX(0,Inputs!$B$43-B2692)&lt;=0,0,(INT(MAX(0,Inputs!$B$43-B2692)/(IF(Inputs!$B$38="pvp",15,MAX(0.1,Skills!D7-IF(Skills!E7=TRUE,2.5,0)))*(1-IF(AND(ArtifactsInput!$M$27,Inputs!$B$4="Chapter Hunt"),CHOOSE(ArtifactsInput!$N$27+1,20,24,28,32,36,40),0)/100)))+1)),0)</f>
        <v/>
      </c>
      <c r="S2666">
        <f>IFERROR(O2666/N2666,0)</f>
        <v/>
      </c>
      <c r="T2666">
        <f>IF(C2666,(H2666*N2666*IF(AND(Inputs!$B$38&lt;&gt;"pvp",Inputs!$B$43&gt;0),((Skills!G7*((R2666-1)*IF(Skills!H7&gt;0,Skills!I7/Skills!H7,1)+IF(Skills!H7&gt;0,MIN(Skills!I7,MAX(0,MAX(0,Inputs!$B$43-B2692)-((R2666-1)*(IF(Inputs!$B$38="pvp",15,MAX(0.1,Skills!D7-IF(Skills!E7=TRUE,2.5,0)))*(1-IF(AND(ArtifactsInput!$M$27,Inputs!$B$4="Chapter Hunt"),CHOOSE(ArtifactsInput!$N$27+1,20,24,28,32,36,40),0)/100)))))/Skills!H7,1)))/Inputs!$B$43),G2666*Q2666))*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2666*(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2666*(1-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2666*(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6">
        <f>IF(C2666,(H2666*N2666*IF(AND(Inputs!$B$38&lt;&gt;"pvp",Inputs!$B$43&gt;0),((Skills!G7*((R2666-1)*IF(Skills!H7&gt;0,Skills!I7/Skills!H7,1)+IF(Skills!H7&gt;0,MIN(Skills!I7,MAX(0,MAX(0,Inputs!$B$43-B2692)-((R2666-1)*(IF(Inputs!$B$38="pvp",15,MAX(0.1,Skills!D7-IF(Skills!E7=TRUE,2.5,0)))*(1-IF(AND(ArtifactsInput!$M$27,Inputs!$B$4="Chapter Hunt"),CHOOSE(ArtifactsInput!$N$27+1,20,24,28,32,36,40),0)/100)))))/Skills!H7,1)))/Inputs!$B$43),G2666*Q2666))*IF(Inputs!$B$38="pvp",1,(1+(Inputs!$B$21+Skills!Q7+(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7">
      <c r="A2667">
        <f>Skills!A8</f>
        <v/>
      </c>
      <c r="B2667">
        <f>Skills!B8</f>
        <v/>
      </c>
      <c r="C2667">
        <f>Inputs!$B$3&gt;=110</f>
        <v/>
      </c>
      <c r="D2667">
        <f>IF(Skills!C8=1,60+Inputs!$B$25+Inputs!$B$29,IF(Skills!C8=2,90+Inputs!$B$26+Inputs!$B$29,IF(Skills!C8=3,120+Inputs!$B$27+Inputs!$B$29,MAX(0,(Inputs!$B$3-100)*3)+Inputs!$B$28+Inputs!$B$29)))</f>
        <v/>
      </c>
      <c r="E2667">
        <f>INDEX(FactorTable!$B$2:$Y$301, MATCH(ROUND(MIN(300,MAX(1,D2667)),0), FactorTable!$A$2:$A$301,0), Skills!M8+1)</f>
        <v/>
      </c>
      <c r="F2667">
        <f>IF(Skills!N8=TRUE,(Skills!L8/10)*(E2667/1000),Skills!L8/10)+Skills!O8</f>
        <v/>
      </c>
      <c r="G2667">
        <f>Skills!G8*IF(Skills!H8&gt;0,Skills!I8/Skills!H8,1)</f>
        <v/>
      </c>
      <c r="H2667">
        <f>1-(1-Skills!J8/100)^Skills!K8</f>
        <v/>
      </c>
      <c r="I2667" t="inlineStr">
        <is>
          <t>1</t>
        </is>
      </c>
      <c r="J2667">
        <f>((Inputs!$B$6*(1+Inputs!$B$7/100))+(((Inputs!$B$12*(1+Inputs!$B$13/100))-(Inputs!$B$12*(1+Inputs!$B$13/100)))+0.25*(Inputs!$B$14-Inputs!$B$14))*(1+Inputs!$B$7/100))*(F2667/100)</f>
        <v/>
      </c>
      <c r="K2667">
        <f>J2667*(1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2667)</f>
        <v/>
      </c>
      <c r="L2667">
        <f>K2667*(MIN(Inputs!$B$22+((C2679=TRUE)*(F2679-Calc!F20)),(Inputs!$B$23+0+(IF(ArtifactsInput!$M$15,CHOOSE(ArtifactsInput!$N$15+1,25,30,35,40,45,50)/100*(Inputs!$B$11-Inputs!$B$11),0))))/100+(Inputs!$B$23+0+(IF(ArtifactsInput!$M$15,CHOOSE(ArtifactsInput!$N$15+1,25,30,35,40,45,50)/100*(Inputs!$B$11-Inputs!$B$11),0)))/100)/2</f>
        <v/>
      </c>
      <c r="M2667">
        <f>L2667*(1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7">
        <f>L2667*(1-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2667*(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7">
        <f>(1-Summary!$B$11)*T2667+Summary!$B$11*V2667</f>
        <v/>
      </c>
      <c r="P2667">
        <f>IF(B2695=0,0,O2667/B2695)</f>
        <v/>
      </c>
      <c r="Q2667">
        <f>IFERROR(1/(IF(Inputs!$B$38="pvp",15,MAX(0.1,Skills!D8-IF(Skills!E8=TRUE,2.5,0)))*(1-IF(AND(ArtifactsInput!$M$27,Inputs!$B$4="Chapter Hunt"),CHOOSE(ArtifactsInput!$N$27+1,20,24,28,32,36,40),0)/100)),0)</f>
        <v/>
      </c>
      <c r="R2667">
        <f>IF(AND(Inputs!$B$38&lt;&gt;"pvp",Inputs!$B$43&gt;0),IF(MAX(0,Inputs!$B$43-B2692)&lt;=0,0,(INT(MAX(0,Inputs!$B$43-B2692)/(IF(Inputs!$B$38="pvp",15,MAX(0.1,Skills!D8-IF(Skills!E8=TRUE,2.5,0)))*(1-IF(AND(ArtifactsInput!$M$27,Inputs!$B$4="Chapter Hunt"),CHOOSE(ArtifactsInput!$N$27+1,20,24,28,32,36,40),0)/100)))+1)),0)</f>
        <v/>
      </c>
      <c r="S2667">
        <f>IFERROR(O2667/N2667,0)</f>
        <v/>
      </c>
      <c r="T2667">
        <f>IF(C2667,(H2667*N2667*IF(AND(Inputs!$B$38&lt;&gt;"pvp",Inputs!$B$43&gt;0),((Skills!G8*((R2667-1)*IF(Skills!H8&gt;0,Skills!I8/Skills!H8,1)+IF(Skills!H8&gt;0,MIN(Skills!I8,MAX(0,MAX(0,Inputs!$B$43-B2692)-((R2667-1)*(IF(Inputs!$B$38="pvp",15,MAX(0.1,Skills!D8-IF(Skills!E8=TRUE,2.5,0)))*(1-IF(AND(ArtifactsInput!$M$27,Inputs!$B$4="Chapter Hunt"),CHOOSE(ArtifactsInput!$N$27+1,20,24,28,32,36,40),0)/100)))))/Skills!H8,1)))/Inputs!$B$43),G2667*Q2667))*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2667*(1-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2667*(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2667*(1-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2667*(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7">
        <f>IF(C2667,(H2667*N2667*IF(AND(Inputs!$B$38&lt;&gt;"pvp",Inputs!$B$43&gt;0),((Skills!G8*((R2667-1)*IF(Skills!H8&gt;0,Skills!I8/Skills!H8,1)+IF(Skills!H8&gt;0,MIN(Skills!I8,MAX(0,MAX(0,Inputs!$B$43-B2692)-((R2667-1)*(IF(Inputs!$B$38="pvp",15,MAX(0.1,Skills!D8-IF(Skills!E8=TRUE,2.5,0)))*(1-IF(AND(ArtifactsInput!$M$27,Inputs!$B$4="Chapter Hunt"),CHOOSE(ArtifactsInput!$N$27+1,20,24,28,32,36,40),0)/100)))))/Skills!H8,1)))/Inputs!$B$43),G2667*Q2667))*IF(Inputs!$B$38="pvp",1,(1+(Inputs!$B$21+Skills!Q8+(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8">
      <c r="A2668">
        <f>Skills!A9</f>
        <v/>
      </c>
      <c r="B2668">
        <f>Skills!B9</f>
        <v/>
      </c>
      <c r="C2668">
        <f>Inputs!$B$3&gt;=110</f>
        <v/>
      </c>
      <c r="D2668">
        <f>IF(Skills!C9=1,60+Inputs!$B$25+Inputs!$B$29,IF(Skills!C9=2,90+Inputs!$B$26+Inputs!$B$29,IF(Skills!C9=3,120+Inputs!$B$27+Inputs!$B$29,MAX(0,(Inputs!$B$3-100)*3)+Inputs!$B$28+Inputs!$B$29)))</f>
        <v/>
      </c>
      <c r="E2668">
        <f>INDEX(FactorTable!$B$2:$Y$301, MATCH(ROUND(MIN(300,MAX(1,D2668)),0), FactorTable!$A$2:$A$301,0), Skills!M9+1)</f>
        <v/>
      </c>
      <c r="F2668">
        <f>IF(Skills!N9=TRUE,(Skills!L9/10)*(E2668/1000),Skills!L9/10)+Skills!O9</f>
        <v/>
      </c>
      <c r="G2668">
        <f>Skills!G9*IF(Skills!H9&gt;0,Skills!I9/Skills!H9,1)</f>
        <v/>
      </c>
      <c r="H2668">
        <f>1-(1-Skills!J9/100)^Skills!K9</f>
        <v/>
      </c>
      <c r="I2668" t="inlineStr">
        <is>
          <t>1</t>
        </is>
      </c>
      <c r="J2668">
        <f>((Inputs!$B$6*(1+Inputs!$B$7/100))+(((Inputs!$B$12*(1+Inputs!$B$13/100))-(Inputs!$B$12*(1+Inputs!$B$13/100)))+0.25*(Inputs!$B$14-Inputs!$B$14))*(1+Inputs!$B$7/100))*(F2668/100)</f>
        <v/>
      </c>
      <c r="K2668">
        <f>J2668*(1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2668)</f>
        <v/>
      </c>
      <c r="L2668">
        <f>K2668*(MIN(Inputs!$B$22+((C2679=TRUE)*(F2679-Calc!F20)),(Inputs!$B$23+0+(IF(ArtifactsInput!$M$15,CHOOSE(ArtifactsInput!$N$15+1,25,30,35,40,45,50)/100*(Inputs!$B$11-Inputs!$B$11),0))))/100+(Inputs!$B$23+0+(IF(ArtifactsInput!$M$15,CHOOSE(ArtifactsInput!$N$15+1,25,30,35,40,45,50)/100*(Inputs!$B$11-Inputs!$B$11),0)))/100)/2</f>
        <v/>
      </c>
      <c r="M2668">
        <f>L2668*(1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8">
        <f>L2668*(1-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2668*(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8">
        <f>(1-Summary!$B$11)*T2668+Summary!$B$11*V2668</f>
        <v/>
      </c>
      <c r="P2668">
        <f>IF(B2695=0,0,O2668/B2695)</f>
        <v/>
      </c>
      <c r="Q2668">
        <f>IFERROR(1/(IF(Inputs!$B$38="pvp",15,MAX(0.1,Skills!D9-IF(Skills!E9=TRUE,2.5,0)))*(1-IF(AND(ArtifactsInput!$M$27,Inputs!$B$4="Chapter Hunt"),CHOOSE(ArtifactsInput!$N$27+1,20,24,28,32,36,40),0)/100)),0)</f>
        <v/>
      </c>
      <c r="R2668">
        <f>IF(AND(Inputs!$B$38&lt;&gt;"pvp",Inputs!$B$43&gt;0),IF(MAX(0,Inputs!$B$43-B2692)&lt;=0,0,(INT(MAX(0,Inputs!$B$43-B2692)/(IF(Inputs!$B$38="pvp",15,MAX(0.1,Skills!D9-IF(Skills!E9=TRUE,2.5,0)))*(1-IF(AND(ArtifactsInput!$M$27,Inputs!$B$4="Chapter Hunt"),CHOOSE(ArtifactsInput!$N$27+1,20,24,28,32,36,40),0)/100)))+1)),0)</f>
        <v/>
      </c>
      <c r="S2668">
        <f>IFERROR(O2668/N2668,0)</f>
        <v/>
      </c>
      <c r="T2668">
        <f>IF(C2668,(H2668*N2668*IF(AND(Inputs!$B$38&lt;&gt;"pvp",Inputs!$B$43&gt;0),((Skills!G9*((R2668-1)*IF(Skills!H9&gt;0,Skills!I9/Skills!H9,1)+IF(Skills!H9&gt;0,MIN(Skills!I9,MAX(0,MAX(0,Inputs!$B$43-B2692)-((R2668-1)*(IF(Inputs!$B$38="pvp",15,MAX(0.1,Skills!D9-IF(Skills!E9=TRUE,2.5,0)))*(1-IF(AND(ArtifactsInput!$M$27,Inputs!$B$4="Chapter Hunt"),CHOOSE(ArtifactsInput!$N$27+1,20,24,28,32,36,40),0)/100)))))/Skills!H9,1)))/Inputs!$B$43),G2668*Q2668))*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2668*(1-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2668*(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2668*(1-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2668*(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8">
        <f>IF(C2668,(H2668*N2668*IF(AND(Inputs!$B$38&lt;&gt;"pvp",Inputs!$B$43&gt;0),((Skills!G9*((R2668-1)*IF(Skills!H9&gt;0,Skills!I9/Skills!H9,1)+IF(Skills!H9&gt;0,MIN(Skills!I9,MAX(0,MAX(0,Inputs!$B$43-B2692)-((R2668-1)*(IF(Inputs!$B$38="pvp",15,MAX(0.1,Skills!D9-IF(Skills!E9=TRUE,2.5,0)))*(1-IF(AND(ArtifactsInput!$M$27,Inputs!$B$4="Chapter Hunt"),CHOOSE(ArtifactsInput!$N$27+1,20,24,28,32,36,40),0)/100)))))/Skills!H9,1)))/Inputs!$B$43),G2668*Q2668))*IF(Inputs!$B$38="pvp",1,(1+(Inputs!$B$21+Skills!Q9+(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69">
      <c r="A2669">
        <f>Skills!A10</f>
        <v/>
      </c>
      <c r="B2669">
        <f>Skills!B10</f>
        <v/>
      </c>
      <c r="C2669">
        <f>Inputs!$B$3&gt;=103</f>
        <v/>
      </c>
      <c r="D2669">
        <f>IF(Skills!C10=1,60+Inputs!$B$25+Inputs!$B$29,IF(Skills!C10=2,90+Inputs!$B$26+Inputs!$B$29,IF(Skills!C10=3,120+Inputs!$B$27+Inputs!$B$29,MAX(0,(Inputs!$B$3-100)*3)+Inputs!$B$28+Inputs!$B$29)))</f>
        <v/>
      </c>
      <c r="E2669">
        <f>INDEX(FactorTable!$B$2:$Y$301, MATCH(ROUND(MIN(300,MAX(1,D2669)),0), FactorTable!$A$2:$A$301,0), Skills!M10+1)</f>
        <v/>
      </c>
      <c r="F2669">
        <f>IF(Skills!N10=TRUE,(Skills!L10/10)*(E2669/1000),Skills!L10/10)+Skills!O10</f>
        <v/>
      </c>
      <c r="G2669">
        <f>Skills!G10*IF(Skills!H10&gt;0,Skills!I10/Skills!H10,1)</f>
        <v/>
      </c>
      <c r="H2669">
        <f>1-(1-Skills!J10/100)^Skills!K10</f>
        <v/>
      </c>
      <c r="I2669" t="inlineStr">
        <is>
          <t>1</t>
        </is>
      </c>
      <c r="J2669">
        <f>((Inputs!$B$6*(1+Inputs!$B$7/100))+(((Inputs!$B$12*(1+Inputs!$B$13/100))-(Inputs!$B$12*(1+Inputs!$B$13/100)))+0.25*(Inputs!$B$14-Inputs!$B$14))*(1+Inputs!$B$7/100))*(F2669/100)</f>
        <v/>
      </c>
      <c r="K2669">
        <f>J2669*(1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2669)</f>
        <v/>
      </c>
      <c r="L2669">
        <f>K2669*(MIN(Inputs!$B$22+((C2679=TRUE)*(F2679-Calc!F20)),(Inputs!$B$23+0+(IF(ArtifactsInput!$M$15,CHOOSE(ArtifactsInput!$N$15+1,25,30,35,40,45,50)/100*(Inputs!$B$11-Inputs!$B$11),0))))/100+(Inputs!$B$23+0+(IF(ArtifactsInput!$M$15,CHOOSE(ArtifactsInput!$N$15+1,25,30,35,40,45,50)/100*(Inputs!$B$11-Inputs!$B$11),0)))/100)/2</f>
        <v/>
      </c>
      <c r="M2669">
        <f>L2669*(1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69">
        <f>L2669*(1-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2669*(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69">
        <f>(1-Summary!$B$11)*T2669+Summary!$B$11*V2669</f>
        <v/>
      </c>
      <c r="P2669">
        <f>IF(B2695=0,0,O2669/B2695)</f>
        <v/>
      </c>
      <c r="Q2669">
        <f>IFERROR(1/(IF(Inputs!$B$38="pvp",15,MAX(0.1,Skills!D10-IF(Skills!E10=TRUE,2.5,0)))*(1-IF(AND(ArtifactsInput!$M$27,Inputs!$B$4="Chapter Hunt"),CHOOSE(ArtifactsInput!$N$27+1,20,24,28,32,36,40),0)/100)),0)</f>
        <v/>
      </c>
      <c r="R2669">
        <f>IF(AND(Inputs!$B$38&lt;&gt;"pvp",Inputs!$B$43&gt;0),IF(MAX(0,Inputs!$B$43-B2692)&lt;=0,0,(INT(MAX(0,Inputs!$B$43-B2692)/(IF(Inputs!$B$38="pvp",15,MAX(0.1,Skills!D10-IF(Skills!E10=TRUE,2.5,0)))*(1-IF(AND(ArtifactsInput!$M$27,Inputs!$B$4="Chapter Hunt"),CHOOSE(ArtifactsInput!$N$27+1,20,24,28,32,36,40),0)/100)))+1)),0)</f>
        <v/>
      </c>
      <c r="S2669">
        <f>IFERROR(O2669/N2669,0)</f>
        <v/>
      </c>
      <c r="T2669">
        <f>IF(C2669,(H2669*N2669*IF(AND(Inputs!$B$38&lt;&gt;"pvp",Inputs!$B$43&gt;0),((Skills!G10*((R2669-1)*IF(Skills!H10&gt;0,Skills!I10/Skills!H10,1)+IF(Skills!H10&gt;0,MIN(Skills!I10,MAX(0,MAX(0,Inputs!$B$43-B2692)-((R2669-1)*(IF(Inputs!$B$38="pvp",15,MAX(0.1,Skills!D10-IF(Skills!E10=TRUE,2.5,0)))*(1-IF(AND(ArtifactsInput!$M$27,Inputs!$B$4="Chapter Hunt"),CHOOSE(ArtifactsInput!$N$27+1,20,24,28,32,36,40),0)/100)))))/Skills!H10,1)))/Inputs!$B$43),G2669*Q2669))*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2669*(1-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2669*(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2669*(1-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2669*(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69">
        <f>IF(C2669,(H2669*N2669*IF(AND(Inputs!$B$38&lt;&gt;"pvp",Inputs!$B$43&gt;0),((Skills!G10*((R2669-1)*IF(Skills!H10&gt;0,Skills!I10/Skills!H10,1)+IF(Skills!H10&gt;0,MIN(Skills!I10,MAX(0,MAX(0,Inputs!$B$43-B2692)-((R2669-1)*(IF(Inputs!$B$38="pvp",15,MAX(0.1,Skills!D10-IF(Skills!E10=TRUE,2.5,0)))*(1-IF(AND(ArtifactsInput!$M$27,Inputs!$B$4="Chapter Hunt"),CHOOSE(ArtifactsInput!$N$27+1,20,24,28,32,36,40),0)/100)))))/Skills!H10,1)))/Inputs!$B$43),G2669*Q2669))*IF(Inputs!$B$38="pvp",1,(1+(Inputs!$B$21+Skills!Q10+(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0">
      <c r="A2670">
        <f>Skills!A11</f>
        <v/>
      </c>
      <c r="B2670">
        <f>Skills!B11</f>
        <v/>
      </c>
      <c r="C2670">
        <f>Inputs!$B$3&gt;=113</f>
        <v/>
      </c>
      <c r="D2670">
        <f>IF(Skills!C11=1,60+Inputs!$B$25+Inputs!$B$29,IF(Skills!C11=2,90+Inputs!$B$26+Inputs!$B$29,IF(Skills!C11=3,120+Inputs!$B$27+Inputs!$B$29,MAX(0,(Inputs!$B$3-100)*3)+Inputs!$B$28+Inputs!$B$29)))</f>
        <v/>
      </c>
      <c r="E2670">
        <f>INDEX(FactorTable!$B$2:$Y$301, MATCH(ROUND(MIN(300,MAX(1,D2670)),0), FactorTable!$A$2:$A$301,0), Skills!M11+1)</f>
        <v/>
      </c>
      <c r="F2670">
        <f>IF(Skills!N11=TRUE,(Skills!L11/10)*(E2670/1000),Skills!L11/10)+Skills!O11</f>
        <v/>
      </c>
      <c r="G2670">
        <f>Skills!G11*IF(Skills!H11&gt;0,Skills!I11/Skills!H11,1)</f>
        <v/>
      </c>
      <c r="H2670">
        <f>1-(1-Skills!J11/100)^Skills!K11</f>
        <v/>
      </c>
      <c r="I2670" t="inlineStr">
        <is>
          <t>1</t>
        </is>
      </c>
      <c r="J2670">
        <f>((Inputs!$B$6*(1+Inputs!$B$7/100))+(((Inputs!$B$12*(1+Inputs!$B$13/100))-(Inputs!$B$12*(1+Inputs!$B$13/100)))+0.25*(Inputs!$B$14-Inputs!$B$14))*(1+Inputs!$B$7/100))*(F2670/100)</f>
        <v/>
      </c>
      <c r="K2670">
        <f>J2670*(1+((Inputs!$B$12*(1+Inputs!$B$13/100))*0.01+Inputs!$B$14*0.0025)/100)*(1+Inputs!$B$15/100)*(1+Inputs!$B$16/100)*(5000/(6000+Inputs!$B$42*(1-(100*(1-(1-(Inputs!$B$19+0)/100)*(1-CHOOSE(ArtifactsInput!$N$40+1,5,6,7,8,9,10)/100)^(ArtifactsInput!$M$40-ArtifactsInput!$M$40)))/100)))*(1+(Inputs!$B$24+((C2681=TRUE)*(F2681-Calc!F22))+B2691)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2680=TRUE)*(F2680-Calc!F21))+(((IF(AND(ArtifactsInput!$M$42,((Inputs!$B$9+((C2675=TRUE)*(F2675-Calc!F16))+B2685+(ArtifactsInput!$M$24-ArtifactsInput!$M$24)*CHOOSE(ArtifactsInput!$N$24+1,10,12,14,16,18,20)+IF(ArtifactsInput!$M$10,CHOOSE(ArtifactsInput!$N$10+1,15,18,21,24,27,30)*(IF(Inputs!$B$38="pvp",MIN(15,15)/15,IF(AND(Inputs!$B$38&lt;&gt;"pvp",Inputs!$B$43&gt;0),MIN(15,Inputs!$B$43)/(Inputs!$B$43),0))),0)))&gt;=100),MIN(100,((Inputs!$B$9+((C2675=TRUE)*(F2675-Calc!F16))+B2685+(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2675=TRUE)*(F2675-Calc!F16))+B2685+(ArtifactsInput!$M$24-ArtifactsInput!$M$24)*CHOOSE(ArtifactsInput!$N$24+1,10,12,14,16,18,20)+IF(ArtifactsInput!$M$10,CHOOSE(ArtifactsInput!$N$10+1,15,18,21,24,27,30)*(IF(Inputs!$B$38="pvp",MIN(15,15)/15,IF(AND(Inputs!$B$38&lt;&gt;"pvp",Inputs!$B$43&gt;0),MIN(15,Inputs!$B$43)/(Inputs!$B$43),0))),0)))&gt;=100),CHOOSE(ArtifactsInput!$N$42+1,40,48,56,64,72,80),0))))/100)*((1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2670)</f>
        <v/>
      </c>
      <c r="L2670">
        <f>K2670*(MIN(Inputs!$B$22+((C2679=TRUE)*(F2679-Calc!F20)),(Inputs!$B$23+0+(IF(ArtifactsInput!$M$15,CHOOSE(ArtifactsInput!$N$15+1,25,30,35,40,45,50)/100*(Inputs!$B$11-Inputs!$B$11),0))))/100+(Inputs!$B$23+0+(IF(ArtifactsInput!$M$15,CHOOSE(ArtifactsInput!$N$15+1,25,30,35,40,45,50)/100*(Inputs!$B$11-Inputs!$B$11),0)))/100)/2</f>
        <v/>
      </c>
      <c r="M2670">
        <f>L2670*(1+(Inputs!$B$10+0+B2690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70">
        <f>L2670*(1-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2670*(MIN((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70">
        <f>(1-Summary!$B$11)*T2670+Summary!$B$11*V2670</f>
        <v/>
      </c>
      <c r="P2670">
        <f>IF(B2695=0,0,O2670/B2695)</f>
        <v/>
      </c>
      <c r="Q2670">
        <f>IFERROR(1/(IF(Inputs!$B$38="pvp",15,MAX(0.1,Skills!D11-IF(Skills!E11=TRUE,2.5,0)))*(1-IF(AND(ArtifactsInput!$M$27,Inputs!$B$4="Chapter Hunt"),CHOOSE(ArtifactsInput!$N$27+1,20,24,28,32,36,40),0)/100)),0)</f>
        <v/>
      </c>
      <c r="R2670">
        <f>IF(AND(Inputs!$B$38&lt;&gt;"pvp",Inputs!$B$43&gt;0),IF(MAX(0,Inputs!$B$43-B2692)&lt;=0,0,(INT(MAX(0,Inputs!$B$43-B2692)/(IF(Inputs!$B$38="pvp",15,MAX(0.1,Skills!D11-IF(Skills!E11=TRUE,2.5,0)))*(1-IF(AND(ArtifactsInput!$M$27,Inputs!$B$4="Chapter Hunt"),CHOOSE(ArtifactsInput!$N$27+1,20,24,28,32,36,40),0)/100)))+1)),0)</f>
        <v/>
      </c>
      <c r="S2670">
        <f>IFERROR(O2670/N2670,0)</f>
        <v/>
      </c>
      <c r="T2670">
        <f>IF(C2670,(H2670*N2670*IF(AND(Inputs!$B$38&lt;&gt;"pvp",Inputs!$B$43&gt;0),((Skills!G11*((R2670-1)*IF(Skills!H11&gt;0,Skills!I11/Skills!H11,1)+IF(Skills!H11&gt;0,MIN(Skills!I11,MAX(0,MAX(0,Inputs!$B$43-B2692)-((R2670-1)*(IF(Inputs!$B$38="pvp",15,MAX(0.1,Skills!D11-IF(Skills!E11=TRUE,2.5,0)))*(1-IF(AND(ArtifactsInput!$M$27,Inputs!$B$4="Chapter Hunt"),CHOOSE(ArtifactsInput!$N$27+1,20,24,28,32,36,40),0)/100)))))/Skills!H11,1)))/Inputs!$B$43),G2670*Q2670))*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2670*(1-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2670*(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2670*(1-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2670*(MIN(100,(Inputs!$B$9+((C2675=TRUE)*(F2675-Calc!F16))+B2685+(ArtifactsInput!$M$24-ArtifactsInput!$M$24)*CHOOSE(ArtifactsInput!$N$24+1,10,12,14,16,18,20)+(IF(AND(ArtifactsInput!$M$42,((Inputs!$B$9+((C2675=TRUE)*(F2675-Calc!F16))+B2685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70">
        <f>IF(C2670,(H2670*N2670*IF(AND(Inputs!$B$38&lt;&gt;"pvp",Inputs!$B$43&gt;0),((Skills!G11*((R2670-1)*IF(Skills!H11&gt;0,Skills!I11/Skills!H11,1)+IF(Skills!H11&gt;0,MIN(Skills!I11,MAX(0,MAX(0,Inputs!$B$43-B2692)-((R2670-1)*(IF(Inputs!$B$38="pvp",15,MAX(0.1,Skills!D11-IF(Skills!E11=TRUE,2.5,0)))*(1-IF(AND(ArtifactsInput!$M$27,Inputs!$B$4="Chapter Hunt"),CHOOSE(ArtifactsInput!$N$27+1,20,24,28,32,36,40),0)/100)))))/Skills!H11,1)))/Inputs!$B$43),G2670*Q2670))*IF(Inputs!$B$38="pvp",1,(1+(Inputs!$B$21+Skills!Q11+(IF(ArtifactsInput!$M$33,CHOOSE(ArtifactsInput!$N$33+1,30,36,42,48,54,60),0))+(IF(AND(ArtifactsInput!$M$35,Inputs!$B$4&lt;&gt;"Chapter Hunt"),CHOOSE(ArtifactsInput!$N$35+1,15,18,21,24,27,30)*(1-EXP(-(0.2*B2687)*5)),0)+IF(AND(ArtifactsInput!$M$22,Inputs!$B$4&lt;&gt;"Chapter Hunt"),CHOOSE(ArtifactsInput!$N$22+1,10,12,14,16,18,20)*((0*(((0.15*B2687*5))^0/1)+1*(((0.15*B2687*5))^1/1)+2*(((0.15*B2687*5))^2/2)+3*(((0.15*B2687*5))^3/6)+4*(((0.15*B2687*5))^4/24)+5*(((0.15*B2687*5))^5/120))/((((0.15*B2687*5))^0/1)+(((0.15*B2687*5))^1/1)+(((0.15*B2687*5))^2/2)+(((0.15*B2687*5))^3/6)+(((0.15*B2687*5))^4/24)+(((0.15*B2687*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71">
      <c r="A2671">
        <f>Skills!A12</f>
        <v/>
      </c>
      <c r="B2671">
        <f>Skills!B12</f>
        <v/>
      </c>
      <c r="C2671">
        <f>Inputs!$B$3&gt;=100</f>
        <v/>
      </c>
      <c r="D2671">
        <f>IF(Skills!C12=1,60+Inputs!$B$25+Inputs!$B$29,IF(Skills!C12=2,90+Inputs!$B$26+Inputs!$B$29,IF(Skills!C12=3,120+Inputs!$B$27+Inputs!$B$29,MAX(0,(Inputs!$B$3-100)*3)+Inputs!$B$28+Inputs!$B$29)))</f>
        <v/>
      </c>
      <c r="E2671">
        <f>INDEX(FactorTable!$B$2:$Y$301, MATCH(ROUND(MIN(300,MAX(1,D2671)),0), FactorTable!$A$2:$A$301,0), Skills!M12+1)</f>
        <v/>
      </c>
      <c r="F2671">
        <f>IF(Skills!N12=TRUE,(Skills!L12/10)*(E2671/1000),Skills!L12/10)+Skills!O12</f>
        <v/>
      </c>
      <c r="G2671" t="inlineStr"/>
      <c r="H2671" t="inlineStr"/>
      <c r="I2671" t="inlineStr">
        <is>
          <t>1</t>
        </is>
      </c>
      <c r="J2671" t="inlineStr"/>
      <c r="K2671" t="inlineStr"/>
      <c r="L2671" t="inlineStr"/>
      <c r="M2671" t="inlineStr"/>
      <c r="N2671" t="inlineStr"/>
      <c r="O2671" t="inlineStr"/>
      <c r="P2671" t="inlineStr"/>
      <c r="Q2671" t="inlineStr"/>
      <c r="R2671" t="inlineStr"/>
      <c r="S2671" t="inlineStr"/>
      <c r="T2671" t="inlineStr"/>
      <c r="V2671" t="inlineStr"/>
    </row>
    <row r="2672">
      <c r="A2672">
        <f>Skills!A13</f>
        <v/>
      </c>
      <c r="B2672">
        <f>Skills!B13</f>
        <v/>
      </c>
      <c r="C2672">
        <f>Inputs!$B$3&gt;=66</f>
        <v/>
      </c>
      <c r="D2672">
        <f>IF(Skills!C13=1,60+Inputs!$B$25+Inputs!$B$29,IF(Skills!C13=2,90+Inputs!$B$26+Inputs!$B$29,IF(Skills!C13=3,120+Inputs!$B$27+Inputs!$B$29,MAX(0,(Inputs!$B$3-100)*3)+Inputs!$B$28+Inputs!$B$29)))</f>
        <v/>
      </c>
      <c r="E2672">
        <f>INDEX(FactorTable!$B$2:$Y$301, MATCH(ROUND(MIN(300,MAX(1,D2672)),0), FactorTable!$A$2:$A$301,0), Skills!M13+1)</f>
        <v/>
      </c>
      <c r="F2672">
        <f>IF(Skills!N13=TRUE,(Skills!L13/10)*(E2672/1000),Skills!L13/10)+Skills!O13</f>
        <v/>
      </c>
      <c r="G2672">
        <f>Skills!G13*IF(Skills!H13&gt;0,Skills!I13/Skills!H13,1)</f>
        <v/>
      </c>
      <c r="H2672">
        <f>1-(1-Skills!J13/100)^Skills!K13</f>
        <v/>
      </c>
      <c r="I2672" t="inlineStr">
        <is>
          <t>1</t>
        </is>
      </c>
      <c r="J2672" t="inlineStr"/>
      <c r="K2672" t="inlineStr"/>
      <c r="L2672" t="inlineStr"/>
      <c r="M2672" t="inlineStr"/>
      <c r="N2672" t="inlineStr"/>
      <c r="O2672">
        <f>(1-Summary!$B$11)*T2672+Summary!$B$11*V2672</f>
        <v/>
      </c>
      <c r="P2672">
        <f>IF(B2695=0,0,O2672/B2695)</f>
        <v/>
      </c>
      <c r="Q2672" t="n">
        <v>0</v>
      </c>
      <c r="R2672" t="n">
        <v>0</v>
      </c>
      <c r="S2672">
        <f>IFERROR(O2672/N2672,0)</f>
        <v/>
      </c>
      <c r="T2672" t="n">
        <v>0</v>
      </c>
      <c r="V2672" t="n">
        <v>0</v>
      </c>
    </row>
    <row r="2673">
      <c r="A2673">
        <f>Skills!A14</f>
        <v/>
      </c>
      <c r="B2673">
        <f>Skills!B14</f>
        <v/>
      </c>
      <c r="C2673">
        <f>Inputs!$B$3&gt;=107</f>
        <v/>
      </c>
      <c r="D2673">
        <f>IF(Skills!C14=1,60+Inputs!$B$25+Inputs!$B$29,IF(Skills!C14=2,90+Inputs!$B$26+Inputs!$B$29,IF(Skills!C14=3,120+Inputs!$B$27+Inputs!$B$29,MAX(0,(Inputs!$B$3-100)*3)+Inputs!$B$28+Inputs!$B$29)))</f>
        <v/>
      </c>
      <c r="E2673">
        <f>INDEX(FactorTable!$B$2:$Y$301, MATCH(ROUND(MIN(300,MAX(1,D2673)),0), FactorTable!$A$2:$A$301,0), Skills!M14+1)</f>
        <v/>
      </c>
      <c r="F2673">
        <f>IF(Skills!N14=TRUE,(Skills!L14/10)*(E2673/1000),Skills!L14/10)+Skills!O14</f>
        <v/>
      </c>
      <c r="G2673">
        <f>Skills!G14*IF(Skills!H14&gt;0,Skills!I14/Skills!H14,1)</f>
        <v/>
      </c>
      <c r="H2673">
        <f>1-(1-Skills!J14/100)^Skills!K14</f>
        <v/>
      </c>
      <c r="I2673" t="inlineStr">
        <is>
          <t>1</t>
        </is>
      </c>
      <c r="J2673" t="inlineStr"/>
      <c r="K2673" t="inlineStr"/>
      <c r="L2673" t="inlineStr"/>
      <c r="M2673" t="inlineStr"/>
      <c r="N2673" t="inlineStr"/>
      <c r="O2673">
        <f>(1-Summary!$B$11)*T2673+Summary!$B$11*V2673</f>
        <v/>
      </c>
      <c r="P2673">
        <f>IF(B2695=0,0,O2673/B2695)</f>
        <v/>
      </c>
      <c r="Q2673">
        <f>IFERROR(1/(IF(Inputs!$B$38="pvp",15,MAX(0.1,Skills!D14-IF(Skills!E14=TRUE,2.5,0)))*(1-IF(AND(ArtifactsInput!$M$27,Inputs!$B$4="Chapter Hunt"),CHOOSE(ArtifactsInput!$N$27+1,20,24,28,32,36,40),0)/100)),0)</f>
        <v/>
      </c>
      <c r="R2673">
        <f>IF(AND(Inputs!$B$38&lt;&gt;"pvp",Inputs!$B$43&gt;0),IF(Inputs!$B$43&lt;=0,0,(INT(Inputs!$B$43/(IF(Inputs!$B$38="pvp",15,MAX(0.1,Skills!D14-IF(Skills!E14=TRUE,2.5,0)))*(1-IF(AND(ArtifactsInput!$M$27,Inputs!$B$4="Chapter Hunt"),CHOOSE(ArtifactsInput!$N$27+1,20,24,28,32,36,40),0)/100)))+1)),0)</f>
        <v/>
      </c>
      <c r="S2673">
        <f>IFERROR(O2673/N2673,0)</f>
        <v/>
      </c>
      <c r="T2673" t="n">
        <v>0</v>
      </c>
      <c r="V2673" t="n">
        <v>0</v>
      </c>
    </row>
    <row r="2674">
      <c r="A2674">
        <f>Skills!A15</f>
        <v/>
      </c>
      <c r="B2674">
        <f>Skills!B15</f>
        <v/>
      </c>
      <c r="C2674">
        <f>Inputs!$B$3&gt;=115</f>
        <v/>
      </c>
      <c r="D2674">
        <f>IF(Skills!C15=1,60+Inputs!$B$25+Inputs!$B$29,IF(Skills!C15=2,90+Inputs!$B$26+Inputs!$B$29,IF(Skills!C15=3,120+Inputs!$B$27+Inputs!$B$29,MAX(0,(Inputs!$B$3-100)*3)+Inputs!$B$28+Inputs!$B$29)))</f>
        <v/>
      </c>
      <c r="E2674">
        <f>INDEX(FactorTable!$B$2:$Y$301, MATCH(ROUND(MIN(300,MAX(1,D2674)),0), FactorTable!$A$2:$A$301,0), Skills!M15+1)</f>
        <v/>
      </c>
      <c r="F2674">
        <f>IF(Skills!N15=TRUE,(Skills!L15/10)*(E2674/1000),Skills!L15/10)+Skills!O15</f>
        <v/>
      </c>
      <c r="G2674">
        <f>Skills!G15*IF(Skills!H15&gt;0,Skills!I15/Skills!H15,1)</f>
        <v/>
      </c>
      <c r="H2674">
        <f>1-(1-Skills!J15/100)^Skills!K15</f>
        <v/>
      </c>
      <c r="I2674" t="inlineStr">
        <is>
          <t>1</t>
        </is>
      </c>
      <c r="J2674" t="inlineStr"/>
      <c r="K2674" t="inlineStr"/>
      <c r="L2674" t="inlineStr"/>
      <c r="M2674" t="inlineStr"/>
      <c r="N2674" t="inlineStr"/>
      <c r="O2674">
        <f>(1-Summary!$B$11)*T2674+Summary!$B$11*V2674</f>
        <v/>
      </c>
      <c r="P2674">
        <f>IF(B2695=0,0,O2674/B2695)</f>
        <v/>
      </c>
      <c r="Q2674">
        <f>IFERROR(1/(IF(Inputs!$B$38="pvp",15,MAX(0.1,Skills!D15-IF(Skills!E15=TRUE,2.5,0)))*(1-IF(AND(ArtifactsInput!$M$27,Inputs!$B$4="Chapter Hunt"),CHOOSE(ArtifactsInput!$N$27+1,20,24,28,32,36,40),0)/100)),0)</f>
        <v/>
      </c>
      <c r="R2674">
        <f>IF(AND(Inputs!$B$38&lt;&gt;"pvp",Inputs!$B$43&gt;0),IF(Inputs!$B$43&lt;=0,0,(INT(Inputs!$B$43/(IF(Inputs!$B$38="pvp",15,MAX(0.1,Skills!D15-IF(Skills!E15=TRUE,2.5,0)))*(1-IF(AND(ArtifactsInput!$M$27,Inputs!$B$4="Chapter Hunt"),CHOOSE(ArtifactsInput!$N$27+1,20,24,28,32,36,40),0)/100)))+1)),0)</f>
        <v/>
      </c>
      <c r="S2674">
        <f>IFERROR(O2674/N2674,0)</f>
        <v/>
      </c>
      <c r="T2674" t="n">
        <v>0</v>
      </c>
      <c r="V2674" t="n">
        <v>0</v>
      </c>
    </row>
    <row r="2675">
      <c r="A2675">
        <f>Skills!A16</f>
        <v/>
      </c>
      <c r="B2675">
        <f>Skills!B16</f>
        <v/>
      </c>
      <c r="C2675">
        <f>Inputs!$B$3&gt;=15</f>
        <v/>
      </c>
      <c r="D2675">
        <f>IF(Skills!C16=1,60+Inputs!$B$25+Inputs!$B$29,IF(Skills!C16=2,90+Inputs!$B$26+Inputs!$B$29,IF(Skills!C16=3,120+Inputs!$B$27+Inputs!$B$29,MAX(0,(Inputs!$B$3-100)*3)+Inputs!$B$28+Inputs!$B$29)))</f>
        <v/>
      </c>
      <c r="E2675">
        <f>INDEX(FactorTable!$B$2:$Y$301, MATCH(ROUND(MIN(300,MAX(1,D2675)),0), FactorTable!$A$2:$A$301,0), Skills!M16+1)</f>
        <v/>
      </c>
      <c r="F2675">
        <f>IF(Skills!N16=TRUE,(Skills!L16/10)*(E2675/1000),Skills!L16/10)+Skills!O16</f>
        <v/>
      </c>
      <c r="G2675">
        <f>Skills!G16*IF(Skills!H16&gt;0,Skills!I16/Skills!H16,1)</f>
        <v/>
      </c>
      <c r="H2675">
        <f>1-(1-Skills!J16/100)^Skills!K16</f>
        <v/>
      </c>
      <c r="I2675" t="inlineStr">
        <is>
          <t>1</t>
        </is>
      </c>
      <c r="J2675" t="inlineStr"/>
      <c r="K2675" t="inlineStr"/>
      <c r="L2675" t="inlineStr"/>
      <c r="M2675" t="inlineStr"/>
      <c r="N2675" t="inlineStr"/>
      <c r="O2675">
        <f>(1-Summary!$B$11)*T2675+Summary!$B$11*V2675</f>
        <v/>
      </c>
      <c r="P2675">
        <f>IF(B2695=0,0,O2675/B2695)</f>
        <v/>
      </c>
      <c r="Q2675" t="n">
        <v>0</v>
      </c>
      <c r="R2675" t="n">
        <v>0</v>
      </c>
      <c r="S2675">
        <f>IFERROR(O2675/N2675,0)</f>
        <v/>
      </c>
      <c r="T2675" t="n">
        <v>0</v>
      </c>
      <c r="V2675" t="n">
        <v>0</v>
      </c>
    </row>
    <row r="2676">
      <c r="A2676">
        <f>Skills!A17</f>
        <v/>
      </c>
      <c r="B2676">
        <f>Skills!B17</f>
        <v/>
      </c>
      <c r="C2676">
        <f>Inputs!$B$3&gt;=10</f>
        <v/>
      </c>
      <c r="D2676">
        <f>IF(Skills!C17=1,60+Inputs!$B$25+Inputs!$B$29,IF(Skills!C17=2,90+Inputs!$B$26+Inputs!$B$29,IF(Skills!C17=3,120+Inputs!$B$27+Inputs!$B$29,MAX(0,(Inputs!$B$3-100)*3)+Inputs!$B$28+Inputs!$B$29)))</f>
        <v/>
      </c>
      <c r="E2676">
        <f>INDEX(FactorTable!$B$2:$Y$301, MATCH(ROUND(MIN(300,MAX(1,D2676)),0), FactorTable!$A$2:$A$301,0), Skills!M17+1)</f>
        <v/>
      </c>
      <c r="F2676">
        <f>IF(Skills!N17=TRUE,(Skills!L17/10)*(E2676/1000),Skills!L17/10)+Skills!O17</f>
        <v/>
      </c>
      <c r="G2676">
        <f>Skills!G17*IF(Skills!H17&gt;0,Skills!I17/Skills!H17,1)</f>
        <v/>
      </c>
      <c r="H2676">
        <f>1-(1-Skills!J17/100)^Skills!K17</f>
        <v/>
      </c>
      <c r="I2676" t="inlineStr">
        <is>
          <t>1</t>
        </is>
      </c>
      <c r="J2676" t="inlineStr"/>
      <c r="K2676" t="inlineStr"/>
      <c r="L2676" t="inlineStr"/>
      <c r="M2676" t="inlineStr"/>
      <c r="N2676" t="inlineStr"/>
      <c r="O2676">
        <f>(1-Summary!$B$11)*T2676+Summary!$B$11*V2676</f>
        <v/>
      </c>
      <c r="P2676">
        <f>IF(B2695=0,0,O2676/B2695)</f>
        <v/>
      </c>
      <c r="Q2676" t="n">
        <v>0</v>
      </c>
      <c r="R2676" t="n">
        <v>0</v>
      </c>
      <c r="S2676">
        <f>IFERROR(O2676/N2676,0)</f>
        <v/>
      </c>
      <c r="T2676" t="n">
        <v>0</v>
      </c>
      <c r="V2676" t="n">
        <v>0</v>
      </c>
    </row>
    <row r="2677">
      <c r="A2677">
        <f>Skills!A18</f>
        <v/>
      </c>
      <c r="B2677">
        <f>Skills!B18</f>
        <v/>
      </c>
      <c r="C2677">
        <f>Inputs!$B$3&gt;=33</f>
        <v/>
      </c>
      <c r="D2677">
        <f>IF(Skills!C18=1,60+Inputs!$B$25+Inputs!$B$29,IF(Skills!C18=2,90+Inputs!$B$26+Inputs!$B$29,IF(Skills!C18=3,120+Inputs!$B$27+Inputs!$B$29,MAX(0,(Inputs!$B$3-100)*3)+Inputs!$B$28+Inputs!$B$29)))</f>
        <v/>
      </c>
      <c r="E2677">
        <f>INDEX(FactorTable!$B$2:$Y$301, MATCH(ROUND(MIN(300,MAX(1,D2677)),0), FactorTable!$A$2:$A$301,0), Skills!M18+1)</f>
        <v/>
      </c>
      <c r="F2677">
        <f>IF(Skills!N18=TRUE,(Skills!L18/10)*(E2677/1000),Skills!L18/10)+Skills!O18</f>
        <v/>
      </c>
      <c r="G2677">
        <f>Skills!G18*IF(Skills!H18&gt;0,Skills!I18/Skills!H18,1)</f>
        <v/>
      </c>
      <c r="H2677">
        <f>1-(1-Skills!J18/100)^Skills!K18</f>
        <v/>
      </c>
      <c r="I2677" t="inlineStr">
        <is>
          <t>1</t>
        </is>
      </c>
      <c r="J2677" t="inlineStr"/>
      <c r="K2677" t="inlineStr"/>
      <c r="L2677" t="inlineStr"/>
      <c r="M2677" t="inlineStr"/>
      <c r="N2677" t="inlineStr"/>
      <c r="O2677">
        <f>(1-Summary!$B$11)*T2677+Summary!$B$11*V2677</f>
        <v/>
      </c>
      <c r="P2677">
        <f>IF(B2695=0,0,O2677/B2695)</f>
        <v/>
      </c>
      <c r="Q2677" t="n">
        <v>0</v>
      </c>
      <c r="R2677" t="n">
        <v>0</v>
      </c>
      <c r="S2677">
        <f>IFERROR(O2677/N2677,0)</f>
        <v/>
      </c>
      <c r="T2677" t="n">
        <v>0</v>
      </c>
      <c r="V2677" t="n">
        <v>0</v>
      </c>
    </row>
    <row r="2678">
      <c r="A2678">
        <f>Skills!A19</f>
        <v/>
      </c>
      <c r="B2678">
        <f>Skills!B19</f>
        <v/>
      </c>
      <c r="C2678">
        <f>Inputs!$B$3&gt;=40</f>
        <v/>
      </c>
      <c r="D2678">
        <f>IF(Skills!C19=1,60+Inputs!$B$25+Inputs!$B$29,IF(Skills!C19=2,90+Inputs!$B$26+Inputs!$B$29,IF(Skills!C19=3,120+Inputs!$B$27+Inputs!$B$29,MAX(0,(Inputs!$B$3-100)*3)+Inputs!$B$28+Inputs!$B$29)))</f>
        <v/>
      </c>
      <c r="E2678">
        <f>INDEX(FactorTable!$B$2:$Y$301, MATCH(ROUND(MIN(300,MAX(1,D2678)),0), FactorTable!$A$2:$A$301,0), Skills!M19+1)</f>
        <v/>
      </c>
      <c r="F2678">
        <f>IF(Skills!N19=TRUE,(Skills!L19/10)*(E2678/1000),Skills!L19/10)+Skills!O19</f>
        <v/>
      </c>
      <c r="G2678">
        <f>Skills!G19*IF(Skills!H19&gt;0,Skills!I19/Skills!H19,1)</f>
        <v/>
      </c>
      <c r="H2678">
        <f>1-(1-Skills!J19/100)^Skills!K19</f>
        <v/>
      </c>
      <c r="I2678" t="inlineStr">
        <is>
          <t>1</t>
        </is>
      </c>
      <c r="J2678" t="inlineStr"/>
      <c r="K2678" t="inlineStr"/>
      <c r="L2678" t="inlineStr"/>
      <c r="M2678" t="inlineStr"/>
      <c r="N2678" t="inlineStr"/>
      <c r="O2678">
        <f>(1-Summary!$B$11)*T2678+Summary!$B$11*V2678</f>
        <v/>
      </c>
      <c r="P2678">
        <f>IF(B2695=0,0,O2678/B2695)</f>
        <v/>
      </c>
      <c r="Q2678" t="n">
        <v>0</v>
      </c>
      <c r="R2678" t="n">
        <v>0</v>
      </c>
      <c r="S2678">
        <f>IFERROR(O2678/N2678,0)</f>
        <v/>
      </c>
      <c r="T2678" t="n">
        <v>0</v>
      </c>
      <c r="V2678" t="n">
        <v>0</v>
      </c>
    </row>
    <row r="2679">
      <c r="A2679">
        <f>Skills!A20</f>
        <v/>
      </c>
      <c r="B2679">
        <f>Skills!B20</f>
        <v/>
      </c>
      <c r="C2679">
        <f>Inputs!$B$3&gt;=43</f>
        <v/>
      </c>
      <c r="D2679">
        <f>IF(Skills!C20=1,60+Inputs!$B$25+Inputs!$B$29,IF(Skills!C20=2,90+Inputs!$B$26+Inputs!$B$29,IF(Skills!C20=3,120+Inputs!$B$27+Inputs!$B$29,MAX(0,(Inputs!$B$3-100)*3)+Inputs!$B$28+Inputs!$B$29)))</f>
        <v/>
      </c>
      <c r="E2679">
        <f>INDEX(FactorTable!$B$2:$Y$301, MATCH(ROUND(MIN(300,MAX(1,D2679)),0), FactorTable!$A$2:$A$301,0), Skills!M20+1)</f>
        <v/>
      </c>
      <c r="F2679">
        <f>IF(Skills!N20=TRUE,(Skills!L20/10)*(E2679/1000),Skills!L20/10)+Skills!O20</f>
        <v/>
      </c>
      <c r="G2679">
        <f>Skills!G20*IF(Skills!H20&gt;0,Skills!I20/Skills!H20,1)</f>
        <v/>
      </c>
      <c r="H2679">
        <f>1-(1-Skills!J20/100)^Skills!K20</f>
        <v/>
      </c>
      <c r="I2679" t="inlineStr">
        <is>
          <t>1</t>
        </is>
      </c>
      <c r="J2679" t="inlineStr"/>
      <c r="K2679" t="inlineStr"/>
      <c r="L2679" t="inlineStr"/>
      <c r="M2679" t="inlineStr"/>
      <c r="N2679" t="inlineStr"/>
      <c r="O2679">
        <f>(1-Summary!$B$11)*T2679+Summary!$B$11*V2679</f>
        <v/>
      </c>
      <c r="P2679">
        <f>IF(B2695=0,0,O2679/B2695)</f>
        <v/>
      </c>
      <c r="Q2679" t="n">
        <v>0</v>
      </c>
      <c r="R2679" t="n">
        <v>0</v>
      </c>
      <c r="S2679">
        <f>IFERROR(O2679/N2679,0)</f>
        <v/>
      </c>
      <c r="T2679" t="n">
        <v>0</v>
      </c>
      <c r="V2679" t="n">
        <v>0</v>
      </c>
    </row>
    <row r="2680">
      <c r="A2680">
        <f>Skills!A21</f>
        <v/>
      </c>
      <c r="B2680">
        <f>Skills!B21</f>
        <v/>
      </c>
      <c r="C2680">
        <f>Inputs!$B$3&gt;=38</f>
        <v/>
      </c>
      <c r="D2680">
        <f>IF(Skills!C21=1,60+Inputs!$B$25+Inputs!$B$29,IF(Skills!C21=2,90+Inputs!$B$26+Inputs!$B$29,IF(Skills!C21=3,120+Inputs!$B$27+Inputs!$B$29,MAX(0,(Inputs!$B$3-100)*3)+Inputs!$B$28+Inputs!$B$29)))</f>
        <v/>
      </c>
      <c r="E2680">
        <f>INDEX(FactorTable!$B$2:$Y$301, MATCH(ROUND(MIN(300,MAX(1,D2680)),0), FactorTable!$A$2:$A$301,0), Skills!M21+1)</f>
        <v/>
      </c>
      <c r="F2680">
        <f>IF(Skills!N21=TRUE,(Skills!L21/10)*(E2680/1000),Skills!L21/10)+Skills!O21</f>
        <v/>
      </c>
      <c r="G2680">
        <f>Skills!G21*IF(Skills!H21&gt;0,Skills!I21/Skills!H21,1)</f>
        <v/>
      </c>
      <c r="H2680">
        <f>1-(1-Skills!J21/100)^Skills!K21</f>
        <v/>
      </c>
      <c r="I2680" t="inlineStr">
        <is>
          <t>1</t>
        </is>
      </c>
      <c r="J2680" t="inlineStr"/>
      <c r="K2680" t="inlineStr"/>
      <c r="L2680" t="inlineStr"/>
      <c r="M2680" t="inlineStr"/>
      <c r="N2680" t="inlineStr"/>
      <c r="O2680">
        <f>(1-Summary!$B$11)*T2680+Summary!$B$11*V2680</f>
        <v/>
      </c>
      <c r="P2680">
        <f>IF(B2695=0,0,O2680/B2695)</f>
        <v/>
      </c>
      <c r="Q2680" t="n">
        <v>0</v>
      </c>
      <c r="R2680" t="n">
        <v>0</v>
      </c>
      <c r="S2680">
        <f>IFERROR(O2680/N2680,0)</f>
        <v/>
      </c>
      <c r="T2680" t="n">
        <v>0</v>
      </c>
      <c r="V2680" t="n">
        <v>0</v>
      </c>
    </row>
    <row r="2681">
      <c r="A2681">
        <f>Skills!A22</f>
        <v/>
      </c>
      <c r="B2681">
        <f>Skills!B22</f>
        <v/>
      </c>
      <c r="C2681">
        <f>Inputs!$B$3&gt;=75</f>
        <v/>
      </c>
      <c r="D2681">
        <f>IF(Skills!C22=1,60+Inputs!$B$25+Inputs!$B$29,IF(Skills!C22=2,90+Inputs!$B$26+Inputs!$B$29,IF(Skills!C22=3,120+Inputs!$B$27+Inputs!$B$29,MAX(0,(Inputs!$B$3-100)*3)+Inputs!$B$28+Inputs!$B$29)))</f>
        <v/>
      </c>
      <c r="E2681">
        <f>INDEX(FactorTable!$B$2:$Y$301, MATCH(ROUND(MIN(300,MAX(1,D2681)),0), FactorTable!$A$2:$A$301,0), Skills!M22+1)</f>
        <v/>
      </c>
      <c r="F2681">
        <f>IF(Skills!N22=TRUE,(Skills!L22/10)*(E2681/1000),Skills!L22/10)+Skills!O22</f>
        <v/>
      </c>
      <c r="G2681">
        <f>Skills!G22*IF(Skills!H22&gt;0,Skills!I22/Skills!H22,1)</f>
        <v/>
      </c>
      <c r="H2681">
        <f>1-(1-Skills!J22/100)^Skills!K22</f>
        <v/>
      </c>
      <c r="I2681" t="inlineStr">
        <is>
          <t>1</t>
        </is>
      </c>
      <c r="J2681" t="inlineStr"/>
      <c r="K2681" t="inlineStr"/>
      <c r="L2681" t="inlineStr"/>
      <c r="M2681" t="inlineStr"/>
      <c r="N2681" t="inlineStr"/>
      <c r="O2681">
        <f>(1-Summary!$B$11)*T2681+Summary!$B$11*V2681</f>
        <v/>
      </c>
      <c r="P2681">
        <f>IF(B2695=0,0,O2681/B2695)</f>
        <v/>
      </c>
      <c r="Q2681" t="n">
        <v>0</v>
      </c>
      <c r="R2681" t="n">
        <v>0</v>
      </c>
      <c r="S2681">
        <f>IFERROR(O2681/N2681,0)</f>
        <v/>
      </c>
      <c r="T2681" t="n">
        <v>0</v>
      </c>
      <c r="V2681" t="n">
        <v>0</v>
      </c>
    </row>
    <row r="2682">
      <c r="A2682">
        <f>Skills!A23</f>
        <v/>
      </c>
      <c r="B2682">
        <f>Skills!B23</f>
        <v/>
      </c>
      <c r="C2682">
        <f>TRUE</f>
        <v/>
      </c>
      <c r="D2682">
        <f>IF(Skills!C23=1,60+Inputs!$B$25+Inputs!$B$29,IF(Skills!C23=2,90+Inputs!$B$26+Inputs!$B$29,IF(Skills!C23=3,120+Inputs!$B$27+Inputs!$B$29,MAX(0,(Inputs!$B$3-100)*3)+Inputs!$B$28+Inputs!$B$29)))</f>
        <v/>
      </c>
      <c r="E2682">
        <f>INDEX(FactorTable!$B$2:$Y$301, MATCH(ROUND(MIN(300,MAX(1,D2682)),0), FactorTable!$A$2:$A$301,0), Skills!M23+1)</f>
        <v/>
      </c>
      <c r="F2682">
        <f>IF(Skills!N23=TRUE,(Skills!L23/10)*(E2682/1000),Skills!L23/10)+Skills!O23</f>
        <v/>
      </c>
      <c r="G2682">
        <f>Skills!G23*IF(Skills!H23&gt;0,Skills!I23/Skills!H23,1)</f>
        <v/>
      </c>
      <c r="H2682">
        <f>1-(1-Skills!J23/100)^Skills!K23</f>
        <v/>
      </c>
      <c r="I2682" t="inlineStr">
        <is>
          <t>1</t>
        </is>
      </c>
      <c r="J2682" t="inlineStr"/>
      <c r="K2682" t="inlineStr"/>
      <c r="L2682" t="inlineStr"/>
      <c r="M2682" t="inlineStr"/>
      <c r="N2682" t="inlineStr"/>
      <c r="O2682">
        <f>(1-Summary!$B$11)*T2682+Summary!$B$11*V2682</f>
        <v/>
      </c>
      <c r="P2682">
        <f>IF(B2695=0,0,O2682/B2695)</f>
        <v/>
      </c>
      <c r="Q2682">
        <f>IFERROR(1/(IF(Inputs!$B$38="pvp",15,MAX(0.1,Skills!D23-IF(Skills!E23=TRUE,2.5,0)))*(1-IF(AND(ArtifactsInput!$M$27,Inputs!$B$4="Chapter Hunt"),CHOOSE(ArtifactsInput!$N$27+1,20,24,28,32,36,40),0)/100)),0)</f>
        <v/>
      </c>
      <c r="R2682">
        <f>IF(AND(Inputs!$B$38&lt;&gt;"pvp",Inputs!$B$43&gt;0),IF(Inputs!$B$43&lt;=0,0,(INT(Inputs!$B$43/(IF(Inputs!$B$38="pvp",15,MAX(0.1,Skills!D23-IF(Skills!E23=TRUE,2.5,0)))*(1-IF(AND(ArtifactsInput!$M$27,Inputs!$B$4="Chapter Hunt"),CHOOSE(ArtifactsInput!$N$27+1,20,24,28,32,36,40),0)/100)))+1)),0)</f>
        <v/>
      </c>
      <c r="S2682">
        <f>IFERROR(O2682/N2682,0)</f>
        <v/>
      </c>
      <c r="T2682" t="n">
        <v>0</v>
      </c>
      <c r="V2682" t="n">
        <v>0</v>
      </c>
    </row>
    <row r="2684">
      <c r="A2684" t="inlineStr">
        <is>
          <t>Attack% Bucket Multiplier</t>
        </is>
      </c>
      <c r="B2684">
        <f>(1+(((C2672=TRUE)*F2672*5/7)+((C2678=TRUE)*(F2678-Calc!F19))+(IF(ArtifactsInput!$M$21,CHOOSE(ArtifactsInput!$N$21+1,25,30,35,40,45,50)*(IF(OR(Inputs!$B$4="Chapter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85">
      <c r="A2685" t="inlineStr">
        <is>
          <t>Global Crit Rate Bonus %</t>
        </is>
      </c>
      <c r="B2685" t="n">
        <v>0</v>
      </c>
    </row>
    <row r="2686">
      <c r="A2686" t="inlineStr">
        <is>
          <t>Attack Speed Buff Bonus % (Nimble Feet, duty-cycle averaged)</t>
        </is>
      </c>
      <c r="B2686">
        <f>((C2682=TRUE)*F2682*IF(AND(Inputs!$B$38&lt;&gt;"pvp",Inputs!$B$43&gt;0),(((R2682-1)*(Skills!T23*(1+Inputs!$B$34/100))+MIN((Skills!T23*(1+Inputs!$B$34/100)),MAX(0,Inputs!$B$43-((R2682-1)*Skills!D23))))/Inputs!$B$43),IF(Inputs!$B$38="pvp",MIN((Skills!T23*(1+Inputs!$B$34/100)),15)/15,(Skills!T23*(1+Inputs!$B$34/100))/Skills!D23)))</f>
        <v/>
      </c>
    </row>
    <row r="2687">
      <c r="A2687" t="inlineStr">
        <is>
          <t>Actions Per Second</t>
        </is>
      </c>
      <c r="B2687">
        <f>1+MIN(150,150*(1-(1-(Inputs!$B$11+((C2676=TRUE)*(F2676-Calc!F17))+((C2677=TRUE)*(F2677-Calc!F18)))/150)*(1-B2686/150)))/100</f>
        <v/>
      </c>
    </row>
    <row r="2688">
      <c r="A2688" t="inlineStr">
        <is>
          <t>Skill + Buff Cast Rate</t>
        </is>
      </c>
      <c r="B2688">
        <f>IF(AND(Inputs!$B$38&lt;&gt;"pvp",Inputs!$B$43&gt;0),SUMPRODUCT((Skills!E2:E23=TRUE)*(C2661:C2682=TRUE)*R2661:R2682*Skills!F2:F23)/Inputs!$B$43,SUMPRODUCT((Skills!E2:E23=TRUE)*(C2661:C2682=TRUE)*Q2661:Q2682*Skills!F2:F23))</f>
        <v/>
      </c>
    </row>
    <row r="2689">
      <c r="A2689" t="inlineStr">
        <is>
          <t>Hook Bomber Casts Per Second</t>
        </is>
      </c>
      <c r="B2689">
        <f>MAX(0,B2687-B2688)</f>
        <v/>
      </c>
    </row>
    <row r="2690">
      <c r="A2690" t="inlineStr">
        <is>
          <t>Global Critical Damage Bonus % (unused)</t>
        </is>
      </c>
      <c r="B2690" t="n">
        <v>0</v>
      </c>
    </row>
    <row r="2691">
      <c r="A2691" t="inlineStr">
        <is>
          <t>Global Final Damage Bonus % (Serpent Scale + Crossbones + Time Leap + Speed Infusion)</t>
        </is>
      </c>
      <c r="B2691">
        <f>((C2664=TRUE)*F2664*((10+IF(Inputs!$B$3&gt;=94,5,0))/((10+IF(Inputs!$B$3&gt;=94,5,0))+5/(B2689*(1+IF(Inputs!$B$3&gt;=104,1,0))))))+((C2673=TRUE)*F2673*IF(AND(Inputs!$B$38&lt;&gt;"pvp",Inputs!$B$43&gt;0),(((R2673-1)*(Skills!T14*(1+Inputs!$B$34/100))+MIN((Skills!T14*(1+Inputs!$B$34/100)),MAX(0,Inputs!$B$43-((R2673-1)*Skills!D14))))/Inputs!$B$43),IF(Inputs!$B$38="pvp",MIN((Skills!T14*(1+Inputs!$B$34/100)),15)/15,(Skills!T14*(1+Inputs!$B$34/100))/Skills!D14)))+((C2674=TRUE)*F2674*IF(AND(Inputs!$B$38&lt;&gt;"pvp",Inputs!$B$43&gt;0),(((R2674-1)*(Skills!T15*(1+Inputs!$B$34/100))+MIN((Skills!T15*(1+Inputs!$B$34/100)),MAX(0,Inputs!$B$43-((R2674-1)*Skills!D15))))/Inputs!$B$43),IF(Inputs!$B$38="pvp",MIN((Skills!T15*(1+Inputs!$B$34/100)),15)/15,(Skills!T15*(1+Inputs!$B$34/100))/Skills!D15)))+((Inputs!$B$3&gt;=110)*20*(B2687-1)*IF(Inputs!$B$38="pvp",MIN((15*(1+Inputs!$B$34/100)),15)/15,(15*(1+Inputs!$B$34/100))/35))</f>
        <v/>
      </c>
    </row>
    <row r="2692">
      <c r="A2692" t="inlineStr">
        <is>
          <t>Buff-Casting Startup Delay (s, fixed-duration only)</t>
        </is>
      </c>
      <c r="B2692">
        <f>IF(AND(Inputs!$B$38&lt;&gt;"pvp",Inputs!$B$43&gt;0),SUMPRODUCT((Skills!T2:T23&gt;0)*(Skills!E2:E23=TRUE)*(C2661:C2682=TRUE))/B2687,0)</f>
        <v/>
      </c>
    </row>
    <row r="2693">
      <c r="A2693" t="inlineStr">
        <is>
          <t>Boss-Only Total DPS (this block's swept value)</t>
        </is>
      </c>
      <c r="B2693">
        <f>SUM(T2661:T2682)</f>
        <v/>
      </c>
    </row>
    <row r="2694">
      <c r="A2694" t="inlineStr">
        <is>
          <t>Normal-Only Total DPS (this block's swept value)</t>
        </is>
      </c>
      <c r="B2694">
        <f>SUM(V2661:V2682)</f>
        <v/>
      </c>
    </row>
    <row r="2695">
      <c r="A2695" s="6" t="inlineStr">
        <is>
          <t>TOTAL DPS</t>
        </is>
      </c>
      <c r="B2695" s="6">
        <f>SUM(O2661:O2682)</f>
        <v/>
      </c>
    </row>
    <row r="2698">
      <c r="A2698" s="6" t="inlineStr">
        <is>
          <t>Stat: CDR = 3.0s</t>
        </is>
      </c>
    </row>
    <row r="2699">
      <c r="A2699" s="5" t="inlineStr">
        <is>
          <t>Key</t>
        </is>
      </c>
      <c r="B2699" s="5" t="inlineStr">
        <is>
          <t>Name</t>
        </is>
      </c>
      <c r="C2699" s="5" t="inlineStr">
        <is>
          <t>Unlocked</t>
        </is>
      </c>
      <c r="D2699" s="5" t="inlineStr">
        <is>
          <t>InputLevel</t>
        </is>
      </c>
      <c r="E2699" s="5" t="inlineStr">
        <is>
          <t>Factor</t>
        </is>
      </c>
      <c r="F2699" s="5" t="inlineStr">
        <is>
          <t>CoefficientPercent</t>
        </is>
      </c>
      <c r="G2699" s="5" t="inlineStr">
        <is>
          <t>EffectiveHits</t>
        </is>
      </c>
      <c r="H2699" s="5" t="inlineStr">
        <is>
          <t>ProcProbability</t>
        </is>
      </c>
      <c r="I2699" s="5" t="inlineStr">
        <is>
          <t>MapleHeroMultiplier</t>
        </is>
      </c>
      <c r="J2699" s="5" t="inlineStr">
        <is>
          <t>BaseDamage</t>
        </is>
      </c>
      <c r="K2699" s="5" t="inlineStr">
        <is>
          <t>BaseHitDamage</t>
        </is>
      </c>
      <c r="L2699" s="5" t="inlineStr">
        <is>
          <t>NonCritAvg</t>
        </is>
      </c>
      <c r="M2699" s="5" t="inlineStr">
        <is>
          <t>CritAvg</t>
        </is>
      </c>
      <c r="N2699" s="5" t="inlineStr">
        <is>
          <t>ExpectedDamage(perHit)</t>
        </is>
      </c>
      <c r="O2699" s="5" t="inlineStr">
        <is>
          <t>DPS</t>
        </is>
      </c>
      <c r="P2699" s="5" t="inlineStr">
        <is>
          <t>% of Total</t>
        </is>
      </c>
      <c r="Q2699" s="5" t="inlineStr">
        <is>
          <t>InvCooldown</t>
        </is>
      </c>
      <c r="R2699" s="5" t="inlineStr">
        <is>
          <t>CastsInFight</t>
        </is>
      </c>
      <c r="S2699" s="5" t="inlineStr">
        <is>
          <t>HitRate(perSec)</t>
        </is>
      </c>
      <c r="U2699" t="inlineStr">
        <is>
          <t>helpers</t>
        </is>
      </c>
    </row>
    <row r="2700">
      <c r="A2700">
        <f>Skills!A2</f>
        <v/>
      </c>
      <c r="B2700">
        <f>Skills!B2</f>
        <v/>
      </c>
      <c r="C2700">
        <f>Inputs!$B$3&gt;=100</f>
        <v/>
      </c>
      <c r="D2700" t="inlineStr"/>
      <c r="E2700" t="inlineStr"/>
      <c r="F2700">
        <f>U2702+Skills!O2</f>
        <v/>
      </c>
      <c r="G2700">
        <f>Skills!G2*IF(Skills!H2&gt;0,Skills!I2/Skills!H2,1)</f>
        <v/>
      </c>
      <c r="H2700">
        <f>1-(1-Skills!J2/100)^Skills!K2</f>
        <v/>
      </c>
      <c r="I2700" t="inlineStr">
        <is>
          <t>1</t>
        </is>
      </c>
      <c r="J2700">
        <f>((Inputs!$B$6*(1+Inputs!$B$7/100))+(((Inputs!$B$12*(1+Inputs!$B$13/100))-(Inputs!$B$12*(1+Inputs!$B$13/100)))+0.25*(Inputs!$B$14-Inputs!$B$14))*(1+Inputs!$B$7/100))*(F2700/100)</f>
        <v/>
      </c>
      <c r="K2700">
        <f>J2700*(1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2700)</f>
        <v/>
      </c>
      <c r="L2700">
        <f>K2700*(MIN(Inputs!$B$22+((C2718=TRUE)*(F2718-Calc!F20)),(Inputs!$B$23+0+(IF(ArtifactsInput!$M$15,CHOOSE(ArtifactsInput!$N$15+1,25,30,35,40,45,50)/100*(Inputs!$B$11-Inputs!$B$11),0))))/100+(Inputs!$B$23+0+(IF(ArtifactsInput!$M$15,CHOOSE(ArtifactsInput!$N$15+1,25,30,35,40,45,50)/100*(Inputs!$B$11-Inputs!$B$11),0)))/100)/2</f>
        <v/>
      </c>
      <c r="M2700">
        <f>L2700*(1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0">
        <f>L2700*(1-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2700*(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0">
        <f>(1-Summary!$B$11)*T2700+Summary!$B$11*V2700</f>
        <v/>
      </c>
      <c r="P2700">
        <f>IF(B2734=0,0,O2700/B2734)</f>
        <v/>
      </c>
      <c r="Q2700" t="n">
        <v>0</v>
      </c>
      <c r="R2700" t="n">
        <v>0</v>
      </c>
      <c r="S2700">
        <f>IFERROR(O2700/N2700,0)</f>
        <v/>
      </c>
      <c r="T2700">
        <f>IF(C2700,(Skills!G2*N2700*B2728)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2700*(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2700*(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0">
        <f>MAX(0,(Inputs!$B$3-100)*3)+Inputs!$B$28+Inputs!$B$29</f>
        <v/>
      </c>
      <c r="V2700">
        <f>IF(C2700,(Skills!G2*N2700*B2728)*IF(Inputs!$B$38="pvp",1,(1+(Inputs!$B$21+Skills!Q2+(IF(ArtifactsInput!$M$33,CHOOSE(ArtifactsInput!$N$33+1,30,36,42,48,54,60),0))+(IF(AND(ArtifactsInput!$M$35,Inputs!$B$4&lt;&gt;"Chapter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1">
      <c r="A2701">
        <f>Skills!A3</f>
        <v/>
      </c>
      <c r="B2701">
        <f>Skills!B3</f>
        <v/>
      </c>
      <c r="C2701">
        <f>Inputs!$B$3&gt;=35</f>
        <v/>
      </c>
      <c r="D2701">
        <f>IF(Skills!C3=1,60+Inputs!$B$25+Inputs!$B$29,IF(Skills!C3=2,90+Inputs!$B$26+Inputs!$B$29,IF(Skills!C3=3,120+Inputs!$B$27+Inputs!$B$29,MAX(0,(Inputs!$B$3-100)*3)+Inputs!$B$28+Inputs!$B$29)))</f>
        <v/>
      </c>
      <c r="E2701">
        <f>INDEX(FactorTable!$B$2:$Y$301, MATCH(ROUND(MIN(300,MAX(1,D2701)),0), FactorTable!$A$2:$A$301,0), Skills!M3+1)</f>
        <v/>
      </c>
      <c r="F2701">
        <f>IF(Skills!N3=TRUE,(Skills!L3/10)*(E2701/1000),Skills!L3/10)+Skills!O3</f>
        <v/>
      </c>
      <c r="G2701">
        <f>Skills!G3*IF(Skills!H3&gt;0,Skills!I3/Skills!H3,1)</f>
        <v/>
      </c>
      <c r="H2701">
        <f>1-(1-Skills!J3/100)^Skills!K3</f>
        <v/>
      </c>
      <c r="I2701" t="inlineStr">
        <is>
          <t>1</t>
        </is>
      </c>
      <c r="J2701">
        <f>((Inputs!$B$6*(1+Inputs!$B$7/100))+(((Inputs!$B$12*(1+Inputs!$B$13/100))-(Inputs!$B$12*(1+Inputs!$B$13/100)))+0.25*(Inputs!$B$14-Inputs!$B$14))*(1+Inputs!$B$7/100))*(F2701/100)</f>
        <v/>
      </c>
      <c r="K2701">
        <f>J2701*(1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2701)</f>
        <v/>
      </c>
      <c r="L2701">
        <f>K2701*(MIN(Inputs!$B$22+((C2718=TRUE)*(F2718-Calc!F20)),(Inputs!$B$23+0+(IF(ArtifactsInput!$M$15,CHOOSE(ArtifactsInput!$N$15+1,25,30,35,40,45,50)/100*(Inputs!$B$11-Inputs!$B$11),0))))/100+(Inputs!$B$23+0+(IF(ArtifactsInput!$M$15,CHOOSE(ArtifactsInput!$N$15+1,25,30,35,40,45,50)/100*(Inputs!$B$11-Inputs!$B$11),0)))/100)/2</f>
        <v/>
      </c>
      <c r="M2701">
        <f>L2701*(1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1">
        <f>L2701*(1-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1">
        <f>(1-Summary!$B$11)*T2701+Summary!$B$11*V2701</f>
        <v/>
      </c>
      <c r="P2701">
        <f>IF(B2734=0,0,O2701/B2734)</f>
        <v/>
      </c>
      <c r="Q2701" t="n">
        <v>0</v>
      </c>
      <c r="R2701" t="n">
        <v>0</v>
      </c>
      <c r="S2701">
        <f>IFERROR(O2701/N2701,0)</f>
        <v/>
      </c>
      <c r="T2701">
        <f>IF(C2701,(Skills!G3*H2701*N2701*B2728)*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2701*(1-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2701*(1-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1">
        <f>INDEX(FactorTable!$B$2:$Y$301, MATCH(ROUND(MIN(300,MAX(1,U2700)),0), FactorTable!$A$2:$A$301,0), 22)</f>
        <v/>
      </c>
      <c r="V2701">
        <f>IF(C2701,(Skills!G3*H2701*N2701*B2728)*IF(Inputs!$B$38="pvp",1,(1+(Inputs!$B$21+Skills!Q3+(IF(ArtifactsInput!$M$33,CHOOSE(ArtifactsInput!$N$33+1,30,36,42,48,54,60),0))+(IF(AND(ArtifactsInput!$M$35,Inputs!$B$4&lt;&gt;"Chapter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2">
      <c r="A2702">
        <f>Skills!A4</f>
        <v/>
      </c>
      <c r="B2702">
        <f>Skills!B4</f>
        <v/>
      </c>
      <c r="C2702">
        <f>Inputs!$B$3&gt;=60</f>
        <v/>
      </c>
      <c r="D2702">
        <f>IF(Skills!C4=1,60+Inputs!$B$25+Inputs!$B$29,IF(Skills!C4=2,90+Inputs!$B$26+Inputs!$B$29,IF(Skills!C4=3,120+Inputs!$B$27+Inputs!$B$29,MAX(0,(Inputs!$B$3-100)*3)+Inputs!$B$28+Inputs!$B$29)))</f>
        <v/>
      </c>
      <c r="E2702">
        <f>INDEX(FactorTable!$B$2:$Y$301, MATCH(ROUND(MIN(300,MAX(1,D2702)),0), FactorTable!$A$2:$A$301,0), Skills!M4+1)</f>
        <v/>
      </c>
      <c r="F2702">
        <f>IF(Skills!N4=TRUE,(Skills!L4/10)*(E2702/1000),Skills!L4/10)+Skills!O4</f>
        <v/>
      </c>
      <c r="G2702">
        <f>Skills!G4*IF(Skills!H4&gt;0,Skills!I4/Skills!H4,1)</f>
        <v/>
      </c>
      <c r="H2702">
        <f>1-(1-Skills!J4/100)^Skills!K4</f>
        <v/>
      </c>
      <c r="I2702" t="inlineStr">
        <is>
          <t>1</t>
        </is>
      </c>
      <c r="J2702">
        <f>((Inputs!$B$6*(1+Inputs!$B$7/100))+(((Inputs!$B$12*(1+Inputs!$B$13/100))-(Inputs!$B$12*(1+Inputs!$B$13/100)))+0.25*(Inputs!$B$14-Inputs!$B$14))*(1+Inputs!$B$7/100))*(F2702/100)</f>
        <v/>
      </c>
      <c r="K2702">
        <f>J2702*(1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2710=TRUE,F2710,0)/100)*(1+(IF(Skills!A4="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2702)</f>
        <v/>
      </c>
      <c r="L2702">
        <f>K2702*(MIN(Inputs!$B$22+((C2718=TRUE)*(F2718-Calc!F20)),(Inputs!$B$23+0+(IF(ArtifactsInput!$M$15,CHOOSE(ArtifactsInput!$N$15+1,25,30,35,40,45,50)/100*(Inputs!$B$11-Inputs!$B$11),0))))/100+(Inputs!$B$23+0+(IF(ArtifactsInput!$M$15,CHOOSE(ArtifactsInput!$N$15+1,25,30,35,40,45,50)/100*(Inputs!$B$11-Inputs!$B$11),0)))/100)/2</f>
        <v/>
      </c>
      <c r="M2702">
        <f>L2702*(1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2">
        <f>L2702*(1-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2702*(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2">
        <f>(1-Summary!$B$11)*T2702+Summary!$B$11*V2702</f>
        <v/>
      </c>
      <c r="P2702">
        <f>IF(B2734=0,0,O2702/B2734)</f>
        <v/>
      </c>
      <c r="Q2702" t="n">
        <v>0</v>
      </c>
      <c r="R2702" t="n">
        <v>0</v>
      </c>
      <c r="S2702">
        <f>IFERROR(O2702/N2702,0)</f>
        <v/>
      </c>
      <c r="T2702">
        <f>IF(C2702,(Skills!G4*H2702*N2702*B2728)*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2702*(1-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2702*(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2702*(1-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2702*(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02">
        <f>290*U2701/1000</f>
        <v/>
      </c>
      <c r="V2702">
        <f>IF(C2702,(Skills!G4*H2702*N2702*B2728)*IF(Inputs!$B$38="pvp",1,(1+(Inputs!$B$21+Skills!Q4+(IF(ArtifactsInput!$M$33,CHOOSE(ArtifactsInput!$N$33+1,30,36,42,48,54,60),0))+(IF(AND(ArtifactsInput!$M$35,Inputs!$B$4&lt;&gt;"Chapter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3">
      <c r="A2703">
        <f>Skills!A5</f>
        <v/>
      </c>
      <c r="B2703">
        <f>Skills!B5</f>
        <v/>
      </c>
      <c r="C2703">
        <f>Inputs!$B$3&gt;=60</f>
        <v/>
      </c>
      <c r="D2703">
        <f>IF(Skills!C5=1,60+Inputs!$B$25+Inputs!$B$29,IF(Skills!C5=2,90+Inputs!$B$26+Inputs!$B$29,IF(Skills!C5=3,120+Inputs!$B$27+Inputs!$B$29,MAX(0,(Inputs!$B$3-100)*3)+Inputs!$B$28+Inputs!$B$29)))</f>
        <v/>
      </c>
      <c r="E2703">
        <f>INDEX(FactorTable!$B$2:$Y$301, MATCH(ROUND(MIN(300,MAX(1,D2703)),0), FactorTable!$A$2:$A$301,0), Skills!M5+1)</f>
        <v/>
      </c>
      <c r="F2703">
        <f>IF(Skills!N5=TRUE,(Skills!L5/10)*(E2703/1000),Skills!L5/10)+Skills!O5</f>
        <v/>
      </c>
      <c r="G2703">
        <f>Skills!G5*IF(Skills!H5&gt;0,Skills!I5/Skills!H5,1)</f>
        <v/>
      </c>
      <c r="H2703">
        <f>1-(1-Skills!J5/100)^Skills!K5</f>
        <v/>
      </c>
      <c r="I2703" t="inlineStr">
        <is>
          <t>1</t>
        </is>
      </c>
      <c r="J2703" t="inlineStr"/>
      <c r="K2703" t="inlineStr"/>
      <c r="L2703" t="inlineStr"/>
      <c r="M2703" t="inlineStr"/>
      <c r="N2703" t="inlineStr"/>
      <c r="O2703">
        <f>(1-Summary!$B$11)*T2703+Summary!$B$11*V2703</f>
        <v/>
      </c>
      <c r="P2703">
        <f>IF(B2734=0,0,O2703/B2734)</f>
        <v/>
      </c>
      <c r="Q2703" t="n">
        <v>0</v>
      </c>
      <c r="R2703" t="n">
        <v>0</v>
      </c>
      <c r="S2703">
        <f>IFERROR(O2703/N2703,0)</f>
        <v/>
      </c>
      <c r="T2703" t="n">
        <v>0</v>
      </c>
      <c r="V2703" t="n">
        <v>0</v>
      </c>
    </row>
    <row r="2704">
      <c r="A2704">
        <f>Skills!A6</f>
        <v/>
      </c>
      <c r="B2704">
        <f>Skills!B6</f>
        <v/>
      </c>
      <c r="C2704">
        <f>Inputs!$B$3&gt;=63</f>
        <v/>
      </c>
      <c r="D2704">
        <f>IF(Skills!C6=1,60+Inputs!$B$25+Inputs!$B$29,IF(Skills!C6=2,90+Inputs!$B$26+Inputs!$B$29,IF(Skills!C6=3,120+Inputs!$B$27+Inputs!$B$29,MAX(0,(Inputs!$B$3-100)*3)+Inputs!$B$28+Inputs!$B$29)))</f>
        <v/>
      </c>
      <c r="E2704">
        <f>INDEX(FactorTable!$B$2:$Y$301, MATCH(ROUND(MIN(300,MAX(1,D2704)),0), FactorTable!$A$2:$A$301,0), Skills!M6+1)</f>
        <v/>
      </c>
      <c r="F2704">
        <f>IF(Skills!N6=TRUE,(Skills!L6/10)*(E2704/1000),Skills!L6/10)+Skills!O6</f>
        <v/>
      </c>
      <c r="G2704">
        <f>Skills!G6*IF(Skills!H6&gt;0,Skills!I6/Skills!H6,1)</f>
        <v/>
      </c>
      <c r="H2704">
        <f>1-(1-Skills!J6/100)^Skills!K6</f>
        <v/>
      </c>
      <c r="I2704" t="inlineStr">
        <is>
          <t>1</t>
        </is>
      </c>
      <c r="J2704">
        <f>((Inputs!$B$6*(1+Inputs!$B$7/100))+(((Inputs!$B$12*(1+Inputs!$B$13/100))-(Inputs!$B$12*(1+Inputs!$B$13/100)))+0.25*(Inputs!$B$14-Inputs!$B$14))*(1+Inputs!$B$7/100))*(F2704/100)</f>
        <v/>
      </c>
      <c r="K2704">
        <f>J2704*(1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2710=TRUE,F2710,0)/100)*(1+(IF(Skills!A6="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2704)</f>
        <v/>
      </c>
      <c r="L2704">
        <f>K2704*(MIN(Inputs!$B$22+((C2718=TRUE)*(F2718-Calc!F20)),(Inputs!$B$23+0+(IF(ArtifactsInput!$M$15,CHOOSE(ArtifactsInput!$N$15+1,25,30,35,40,45,50)/100*(Inputs!$B$11-Inputs!$B$11),0))))/100+(Inputs!$B$23+0+(IF(ArtifactsInput!$M$15,CHOOSE(ArtifactsInput!$N$15+1,25,30,35,40,45,50)/100*(Inputs!$B$11-Inputs!$B$11),0)))/100)/2</f>
        <v/>
      </c>
      <c r="M2704">
        <f>L2704*(1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4">
        <f>L2704*(1-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2704*(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4">
        <f>(1-Summary!$B$11)*T2704+Summary!$B$11*V2704</f>
        <v/>
      </c>
      <c r="P2704">
        <f>IF(B2734=0,0,O2704/B2734)</f>
        <v/>
      </c>
      <c r="Q2704">
        <f>IFERROR(1/(IF(Inputs!$B$38="pvp",15,MAX(0.1,Skills!D6-IF(Skills!E6=TRUE,3.0,0)))*(1-IF(AND(ArtifactsInput!$M$27,Inputs!$B$4="Chapter Hunt"),CHOOSE(ArtifactsInput!$N$27+1,20,24,28,32,36,40),0)/100)),0)</f>
        <v/>
      </c>
      <c r="R2704">
        <f>IF(AND(Inputs!$B$38&lt;&gt;"pvp",Inputs!$B$43&gt;0),IF(MAX(0,Inputs!$B$43-B2731)&lt;=0,0,(INT(MAX(0,Inputs!$B$43-B2731)/(IF(Inputs!$B$38="pvp",15,MAX(0.1,Skills!D6-IF(Skills!E6=TRUE,3.0,0)))*(1-IF(AND(ArtifactsInput!$M$27,Inputs!$B$4="Chapter Hunt"),CHOOSE(ArtifactsInput!$N$27+1,20,24,28,32,36,40),0)/100)))+1)),0)</f>
        <v/>
      </c>
      <c r="S2704">
        <f>IFERROR(O2704/N2704,0)</f>
        <v/>
      </c>
      <c r="T2704">
        <f>IF(C2704,(H2704*N2704*IF(AND(Inputs!$B$38&lt;&gt;"pvp",Inputs!$B$43&gt;0),((Skills!G6*((R2704-1)*IF(Skills!H6&gt;0,Skills!I6/Skills!H6,1)+IF(Skills!H6&gt;0,MIN(Skills!I6,MAX(0,MAX(0,Inputs!$B$43-B2731)-((R2704-1)*(IF(Inputs!$B$38="pvp",15,MAX(0.1,Skills!D6-IF(Skills!E6=TRUE,3.0,0)))*(1-IF(AND(ArtifactsInput!$M$27,Inputs!$B$4="Chapter Hunt"),CHOOSE(ArtifactsInput!$N$27+1,20,24,28,32,36,40),0)/100)))))/Skills!H6,1)))/Inputs!$B$43),G2704*Q2704))*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2704*(1-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2704*(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2704*(1-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2704*(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4">
        <f>IF(C2704,(H2704*N2704*IF(AND(Inputs!$B$38&lt;&gt;"pvp",Inputs!$B$43&gt;0),((Skills!G6*((R2704-1)*IF(Skills!H6&gt;0,Skills!I6/Skills!H6,1)+IF(Skills!H6&gt;0,MIN(Skills!I6,MAX(0,MAX(0,Inputs!$B$43-B2731)-((R2704-1)*(IF(Inputs!$B$38="pvp",15,MAX(0.1,Skills!D6-IF(Skills!E6=TRUE,3.0,0)))*(1-IF(AND(ArtifactsInput!$M$27,Inputs!$B$4="Chapter Hunt"),CHOOSE(ArtifactsInput!$N$27+1,20,24,28,32,36,40),0)/100)))))/Skills!H6,1)))/Inputs!$B$43),G2704*Q2704))*IF(Inputs!$B$38="pvp",1,(1+(Inputs!$B$21+Skills!Q6+(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5">
      <c r="A2705">
        <f>Skills!A7</f>
        <v/>
      </c>
      <c r="B2705">
        <f>Skills!B7</f>
        <v/>
      </c>
      <c r="C2705">
        <f>Inputs!$B$3&gt;=100</f>
        <v/>
      </c>
      <c r="D2705">
        <f>IF(Skills!C7=1,60+Inputs!$B$25+Inputs!$B$29,IF(Skills!C7=2,90+Inputs!$B$26+Inputs!$B$29,IF(Skills!C7=3,120+Inputs!$B$27+Inputs!$B$29,MAX(0,(Inputs!$B$3-100)*3)+Inputs!$B$28+Inputs!$B$29)))</f>
        <v/>
      </c>
      <c r="E2705">
        <f>INDEX(FactorTable!$B$2:$Y$301, MATCH(ROUND(MIN(300,MAX(1,D2705)),0), FactorTable!$A$2:$A$301,0), Skills!M7+1)</f>
        <v/>
      </c>
      <c r="F2705">
        <f>IF(Skills!N7=TRUE,(Skills!L7/10)*(E2705/1000),Skills!L7/10)+Skills!O7</f>
        <v/>
      </c>
      <c r="G2705">
        <f>Skills!G7*IF(Skills!H7&gt;0,Skills!I7/Skills!H7,1)</f>
        <v/>
      </c>
      <c r="H2705">
        <f>1-(1-Skills!J7/100)^Skills!K7</f>
        <v/>
      </c>
      <c r="I2705" t="inlineStr">
        <is>
          <t>1</t>
        </is>
      </c>
      <c r="J2705">
        <f>((Inputs!$B$6*(1+Inputs!$B$7/100))+(((Inputs!$B$12*(1+Inputs!$B$13/100))-(Inputs!$B$12*(1+Inputs!$B$13/100)))+0.25*(Inputs!$B$14-Inputs!$B$14))*(1+Inputs!$B$7/100))*(F2705/100)</f>
        <v/>
      </c>
      <c r="K2705">
        <f>J2705*(1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2705)</f>
        <v/>
      </c>
      <c r="L2705">
        <f>K2705*(MIN(Inputs!$B$22+((C2718=TRUE)*(F2718-Calc!F20)),(Inputs!$B$23+0+(IF(ArtifactsInput!$M$15,CHOOSE(ArtifactsInput!$N$15+1,25,30,35,40,45,50)/100*(Inputs!$B$11-Inputs!$B$11),0))))/100+(Inputs!$B$23+0+(IF(ArtifactsInput!$M$15,CHOOSE(ArtifactsInput!$N$15+1,25,30,35,40,45,50)/100*(Inputs!$B$11-Inputs!$B$11),0)))/100)/2</f>
        <v/>
      </c>
      <c r="M2705">
        <f>L2705*(1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5">
        <f>L2705*(1-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2705*(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5">
        <f>(1-Summary!$B$11)*T2705+Summary!$B$11*V2705</f>
        <v/>
      </c>
      <c r="P2705">
        <f>IF(B2734=0,0,O2705/B2734)</f>
        <v/>
      </c>
      <c r="Q2705">
        <f>IFERROR(1/(IF(Inputs!$B$38="pvp",15,MAX(0.1,Skills!D7-IF(Skills!E7=TRUE,3.0,0)))*(1-IF(AND(ArtifactsInput!$M$27,Inputs!$B$4="Chapter Hunt"),CHOOSE(ArtifactsInput!$N$27+1,20,24,28,32,36,40),0)/100)),0)</f>
        <v/>
      </c>
      <c r="R2705">
        <f>IF(AND(Inputs!$B$38&lt;&gt;"pvp",Inputs!$B$43&gt;0),IF(MAX(0,Inputs!$B$43-B2731)&lt;=0,0,(INT(MAX(0,Inputs!$B$43-B2731)/(IF(Inputs!$B$38="pvp",15,MAX(0.1,Skills!D7-IF(Skills!E7=TRUE,3.0,0)))*(1-IF(AND(ArtifactsInput!$M$27,Inputs!$B$4="Chapter Hunt"),CHOOSE(ArtifactsInput!$N$27+1,20,24,28,32,36,40),0)/100)))+1)),0)</f>
        <v/>
      </c>
      <c r="S2705">
        <f>IFERROR(O2705/N2705,0)</f>
        <v/>
      </c>
      <c r="T2705">
        <f>IF(C2705,(H2705*N2705*IF(AND(Inputs!$B$38&lt;&gt;"pvp",Inputs!$B$43&gt;0),((Skills!G7*((R2705-1)*IF(Skills!H7&gt;0,Skills!I7/Skills!H7,1)+IF(Skills!H7&gt;0,MIN(Skills!I7,MAX(0,MAX(0,Inputs!$B$43-B2731)-((R2705-1)*(IF(Inputs!$B$38="pvp",15,MAX(0.1,Skills!D7-IF(Skills!E7=TRUE,3.0,0)))*(1-IF(AND(ArtifactsInput!$M$27,Inputs!$B$4="Chapter Hunt"),CHOOSE(ArtifactsInput!$N$27+1,20,24,28,32,36,40),0)/100)))))/Skills!H7,1)))/Inputs!$B$43),G2705*Q2705))*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2705*(1-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2705*(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2705*(1-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2705*(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5">
        <f>IF(C2705,(H2705*N2705*IF(AND(Inputs!$B$38&lt;&gt;"pvp",Inputs!$B$43&gt;0),((Skills!G7*((R2705-1)*IF(Skills!H7&gt;0,Skills!I7/Skills!H7,1)+IF(Skills!H7&gt;0,MIN(Skills!I7,MAX(0,MAX(0,Inputs!$B$43-B2731)-((R2705-1)*(IF(Inputs!$B$38="pvp",15,MAX(0.1,Skills!D7-IF(Skills!E7=TRUE,3.0,0)))*(1-IF(AND(ArtifactsInput!$M$27,Inputs!$B$4="Chapter Hunt"),CHOOSE(ArtifactsInput!$N$27+1,20,24,28,32,36,40),0)/100)))))/Skills!H7,1)))/Inputs!$B$43),G2705*Q2705))*IF(Inputs!$B$38="pvp",1,(1+(Inputs!$B$21+Skills!Q7+(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6">
      <c r="A2706">
        <f>Skills!A8</f>
        <v/>
      </c>
      <c r="B2706">
        <f>Skills!B8</f>
        <v/>
      </c>
      <c r="C2706">
        <f>Inputs!$B$3&gt;=110</f>
        <v/>
      </c>
      <c r="D2706">
        <f>IF(Skills!C8=1,60+Inputs!$B$25+Inputs!$B$29,IF(Skills!C8=2,90+Inputs!$B$26+Inputs!$B$29,IF(Skills!C8=3,120+Inputs!$B$27+Inputs!$B$29,MAX(0,(Inputs!$B$3-100)*3)+Inputs!$B$28+Inputs!$B$29)))</f>
        <v/>
      </c>
      <c r="E2706">
        <f>INDEX(FactorTable!$B$2:$Y$301, MATCH(ROUND(MIN(300,MAX(1,D2706)),0), FactorTable!$A$2:$A$301,0), Skills!M8+1)</f>
        <v/>
      </c>
      <c r="F2706">
        <f>IF(Skills!N8=TRUE,(Skills!L8/10)*(E2706/1000),Skills!L8/10)+Skills!O8</f>
        <v/>
      </c>
      <c r="G2706">
        <f>Skills!G8*IF(Skills!H8&gt;0,Skills!I8/Skills!H8,1)</f>
        <v/>
      </c>
      <c r="H2706">
        <f>1-(1-Skills!J8/100)^Skills!K8</f>
        <v/>
      </c>
      <c r="I2706" t="inlineStr">
        <is>
          <t>1</t>
        </is>
      </c>
      <c r="J2706">
        <f>((Inputs!$B$6*(1+Inputs!$B$7/100))+(((Inputs!$B$12*(1+Inputs!$B$13/100))-(Inputs!$B$12*(1+Inputs!$B$13/100)))+0.25*(Inputs!$B$14-Inputs!$B$14))*(1+Inputs!$B$7/100))*(F2706/100)</f>
        <v/>
      </c>
      <c r="K2706">
        <f>J2706*(1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2706)</f>
        <v/>
      </c>
      <c r="L2706">
        <f>K2706*(MIN(Inputs!$B$22+((C2718=TRUE)*(F2718-Calc!F20)),(Inputs!$B$23+0+(IF(ArtifactsInput!$M$15,CHOOSE(ArtifactsInput!$N$15+1,25,30,35,40,45,50)/100*(Inputs!$B$11-Inputs!$B$11),0))))/100+(Inputs!$B$23+0+(IF(ArtifactsInput!$M$15,CHOOSE(ArtifactsInput!$N$15+1,25,30,35,40,45,50)/100*(Inputs!$B$11-Inputs!$B$11),0)))/100)/2</f>
        <v/>
      </c>
      <c r="M2706">
        <f>L2706*(1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6">
        <f>L2706*(1-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2706*(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6">
        <f>(1-Summary!$B$11)*T2706+Summary!$B$11*V2706</f>
        <v/>
      </c>
      <c r="P2706">
        <f>IF(B2734=0,0,O2706/B2734)</f>
        <v/>
      </c>
      <c r="Q2706">
        <f>IFERROR(1/(IF(Inputs!$B$38="pvp",15,MAX(0.1,Skills!D8-IF(Skills!E8=TRUE,3.0,0)))*(1-IF(AND(ArtifactsInput!$M$27,Inputs!$B$4="Chapter Hunt"),CHOOSE(ArtifactsInput!$N$27+1,20,24,28,32,36,40),0)/100)),0)</f>
        <v/>
      </c>
      <c r="R2706">
        <f>IF(AND(Inputs!$B$38&lt;&gt;"pvp",Inputs!$B$43&gt;0),IF(MAX(0,Inputs!$B$43-B2731)&lt;=0,0,(INT(MAX(0,Inputs!$B$43-B2731)/(IF(Inputs!$B$38="pvp",15,MAX(0.1,Skills!D8-IF(Skills!E8=TRUE,3.0,0)))*(1-IF(AND(ArtifactsInput!$M$27,Inputs!$B$4="Chapter Hunt"),CHOOSE(ArtifactsInput!$N$27+1,20,24,28,32,36,40),0)/100)))+1)),0)</f>
        <v/>
      </c>
      <c r="S2706">
        <f>IFERROR(O2706/N2706,0)</f>
        <v/>
      </c>
      <c r="T2706">
        <f>IF(C2706,(H2706*N2706*IF(AND(Inputs!$B$38&lt;&gt;"pvp",Inputs!$B$43&gt;0),((Skills!G8*((R2706-1)*IF(Skills!H8&gt;0,Skills!I8/Skills!H8,1)+IF(Skills!H8&gt;0,MIN(Skills!I8,MAX(0,MAX(0,Inputs!$B$43-B2731)-((R2706-1)*(IF(Inputs!$B$38="pvp",15,MAX(0.1,Skills!D8-IF(Skills!E8=TRUE,3.0,0)))*(1-IF(AND(ArtifactsInput!$M$27,Inputs!$B$4="Chapter Hunt"),CHOOSE(ArtifactsInput!$N$27+1,20,24,28,32,36,40),0)/100)))))/Skills!H8,1)))/Inputs!$B$43),G2706*Q2706))*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2706*(1-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2706*(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2706*(1-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2706*(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6">
        <f>IF(C2706,(H2706*N2706*IF(AND(Inputs!$B$38&lt;&gt;"pvp",Inputs!$B$43&gt;0),((Skills!G8*((R2706-1)*IF(Skills!H8&gt;0,Skills!I8/Skills!H8,1)+IF(Skills!H8&gt;0,MIN(Skills!I8,MAX(0,MAX(0,Inputs!$B$43-B2731)-((R2706-1)*(IF(Inputs!$B$38="pvp",15,MAX(0.1,Skills!D8-IF(Skills!E8=TRUE,3.0,0)))*(1-IF(AND(ArtifactsInput!$M$27,Inputs!$B$4="Chapter Hunt"),CHOOSE(ArtifactsInput!$N$27+1,20,24,28,32,36,40),0)/100)))))/Skills!H8,1)))/Inputs!$B$43),G2706*Q2706))*IF(Inputs!$B$38="pvp",1,(1+(Inputs!$B$21+Skills!Q8+(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7">
      <c r="A2707">
        <f>Skills!A9</f>
        <v/>
      </c>
      <c r="B2707">
        <f>Skills!B9</f>
        <v/>
      </c>
      <c r="C2707">
        <f>Inputs!$B$3&gt;=110</f>
        <v/>
      </c>
      <c r="D2707">
        <f>IF(Skills!C9=1,60+Inputs!$B$25+Inputs!$B$29,IF(Skills!C9=2,90+Inputs!$B$26+Inputs!$B$29,IF(Skills!C9=3,120+Inputs!$B$27+Inputs!$B$29,MAX(0,(Inputs!$B$3-100)*3)+Inputs!$B$28+Inputs!$B$29)))</f>
        <v/>
      </c>
      <c r="E2707">
        <f>INDEX(FactorTable!$B$2:$Y$301, MATCH(ROUND(MIN(300,MAX(1,D2707)),0), FactorTable!$A$2:$A$301,0), Skills!M9+1)</f>
        <v/>
      </c>
      <c r="F2707">
        <f>IF(Skills!N9=TRUE,(Skills!L9/10)*(E2707/1000),Skills!L9/10)+Skills!O9</f>
        <v/>
      </c>
      <c r="G2707">
        <f>Skills!G9*IF(Skills!H9&gt;0,Skills!I9/Skills!H9,1)</f>
        <v/>
      </c>
      <c r="H2707">
        <f>1-(1-Skills!J9/100)^Skills!K9</f>
        <v/>
      </c>
      <c r="I2707" t="inlineStr">
        <is>
          <t>1</t>
        </is>
      </c>
      <c r="J2707">
        <f>((Inputs!$B$6*(1+Inputs!$B$7/100))+(((Inputs!$B$12*(1+Inputs!$B$13/100))-(Inputs!$B$12*(1+Inputs!$B$13/100)))+0.25*(Inputs!$B$14-Inputs!$B$14))*(1+Inputs!$B$7/100))*(F2707/100)</f>
        <v/>
      </c>
      <c r="K2707">
        <f>J2707*(1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2707)</f>
        <v/>
      </c>
      <c r="L2707">
        <f>K2707*(MIN(Inputs!$B$22+((C2718=TRUE)*(F2718-Calc!F20)),(Inputs!$B$23+0+(IF(ArtifactsInput!$M$15,CHOOSE(ArtifactsInput!$N$15+1,25,30,35,40,45,50)/100*(Inputs!$B$11-Inputs!$B$11),0))))/100+(Inputs!$B$23+0+(IF(ArtifactsInput!$M$15,CHOOSE(ArtifactsInput!$N$15+1,25,30,35,40,45,50)/100*(Inputs!$B$11-Inputs!$B$11),0)))/100)/2</f>
        <v/>
      </c>
      <c r="M2707">
        <f>L2707*(1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7">
        <f>L2707*(1-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2707*(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7">
        <f>(1-Summary!$B$11)*T2707+Summary!$B$11*V2707</f>
        <v/>
      </c>
      <c r="P2707">
        <f>IF(B2734=0,0,O2707/B2734)</f>
        <v/>
      </c>
      <c r="Q2707">
        <f>IFERROR(1/(IF(Inputs!$B$38="pvp",15,MAX(0.1,Skills!D9-IF(Skills!E9=TRUE,3.0,0)))*(1-IF(AND(ArtifactsInput!$M$27,Inputs!$B$4="Chapter Hunt"),CHOOSE(ArtifactsInput!$N$27+1,20,24,28,32,36,40),0)/100)),0)</f>
        <v/>
      </c>
      <c r="R2707">
        <f>IF(AND(Inputs!$B$38&lt;&gt;"pvp",Inputs!$B$43&gt;0),IF(MAX(0,Inputs!$B$43-B2731)&lt;=0,0,(INT(MAX(0,Inputs!$B$43-B2731)/(IF(Inputs!$B$38="pvp",15,MAX(0.1,Skills!D9-IF(Skills!E9=TRUE,3.0,0)))*(1-IF(AND(ArtifactsInput!$M$27,Inputs!$B$4="Chapter Hunt"),CHOOSE(ArtifactsInput!$N$27+1,20,24,28,32,36,40),0)/100)))+1)),0)</f>
        <v/>
      </c>
      <c r="S2707">
        <f>IFERROR(O2707/N2707,0)</f>
        <v/>
      </c>
      <c r="T2707">
        <f>IF(C2707,(H2707*N2707*IF(AND(Inputs!$B$38&lt;&gt;"pvp",Inputs!$B$43&gt;0),((Skills!G9*((R2707-1)*IF(Skills!H9&gt;0,Skills!I9/Skills!H9,1)+IF(Skills!H9&gt;0,MIN(Skills!I9,MAX(0,MAX(0,Inputs!$B$43-B2731)-((R2707-1)*(IF(Inputs!$B$38="pvp",15,MAX(0.1,Skills!D9-IF(Skills!E9=TRUE,3.0,0)))*(1-IF(AND(ArtifactsInput!$M$27,Inputs!$B$4="Chapter Hunt"),CHOOSE(ArtifactsInput!$N$27+1,20,24,28,32,36,40),0)/100)))))/Skills!H9,1)))/Inputs!$B$43),G2707*Q2707))*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2707*(1-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2707*(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2707*(1-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2707*(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7">
        <f>IF(C2707,(H2707*N2707*IF(AND(Inputs!$B$38&lt;&gt;"pvp",Inputs!$B$43&gt;0),((Skills!G9*((R2707-1)*IF(Skills!H9&gt;0,Skills!I9/Skills!H9,1)+IF(Skills!H9&gt;0,MIN(Skills!I9,MAX(0,MAX(0,Inputs!$B$43-B2731)-((R2707-1)*(IF(Inputs!$B$38="pvp",15,MAX(0.1,Skills!D9-IF(Skills!E9=TRUE,3.0,0)))*(1-IF(AND(ArtifactsInput!$M$27,Inputs!$B$4="Chapter Hunt"),CHOOSE(ArtifactsInput!$N$27+1,20,24,28,32,36,40),0)/100)))))/Skills!H9,1)))/Inputs!$B$43),G2707*Q2707))*IF(Inputs!$B$38="pvp",1,(1+(Inputs!$B$21+Skills!Q9+(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8">
      <c r="A2708">
        <f>Skills!A10</f>
        <v/>
      </c>
      <c r="B2708">
        <f>Skills!B10</f>
        <v/>
      </c>
      <c r="C2708">
        <f>Inputs!$B$3&gt;=103</f>
        <v/>
      </c>
      <c r="D2708">
        <f>IF(Skills!C10=1,60+Inputs!$B$25+Inputs!$B$29,IF(Skills!C10=2,90+Inputs!$B$26+Inputs!$B$29,IF(Skills!C10=3,120+Inputs!$B$27+Inputs!$B$29,MAX(0,(Inputs!$B$3-100)*3)+Inputs!$B$28+Inputs!$B$29)))</f>
        <v/>
      </c>
      <c r="E2708">
        <f>INDEX(FactorTable!$B$2:$Y$301, MATCH(ROUND(MIN(300,MAX(1,D2708)),0), FactorTable!$A$2:$A$301,0), Skills!M10+1)</f>
        <v/>
      </c>
      <c r="F2708">
        <f>IF(Skills!N10=TRUE,(Skills!L10/10)*(E2708/1000),Skills!L10/10)+Skills!O10</f>
        <v/>
      </c>
      <c r="G2708">
        <f>Skills!G10*IF(Skills!H10&gt;0,Skills!I10/Skills!H10,1)</f>
        <v/>
      </c>
      <c r="H2708">
        <f>1-(1-Skills!J10/100)^Skills!K10</f>
        <v/>
      </c>
      <c r="I2708" t="inlineStr">
        <is>
          <t>1</t>
        </is>
      </c>
      <c r="J2708">
        <f>((Inputs!$B$6*(1+Inputs!$B$7/100))+(((Inputs!$B$12*(1+Inputs!$B$13/100))-(Inputs!$B$12*(1+Inputs!$B$13/100)))+0.25*(Inputs!$B$14-Inputs!$B$14))*(1+Inputs!$B$7/100))*(F2708/100)</f>
        <v/>
      </c>
      <c r="K2708">
        <f>J2708*(1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2708)</f>
        <v/>
      </c>
      <c r="L2708">
        <f>K2708*(MIN(Inputs!$B$22+((C2718=TRUE)*(F2718-Calc!F20)),(Inputs!$B$23+0+(IF(ArtifactsInput!$M$15,CHOOSE(ArtifactsInput!$N$15+1,25,30,35,40,45,50)/100*(Inputs!$B$11-Inputs!$B$11),0))))/100+(Inputs!$B$23+0+(IF(ArtifactsInput!$M$15,CHOOSE(ArtifactsInput!$N$15+1,25,30,35,40,45,50)/100*(Inputs!$B$11-Inputs!$B$11),0)))/100)/2</f>
        <v/>
      </c>
      <c r="M2708">
        <f>L2708*(1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8">
        <f>L2708*(1-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2708*(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8">
        <f>(1-Summary!$B$11)*T2708+Summary!$B$11*V2708</f>
        <v/>
      </c>
      <c r="P2708">
        <f>IF(B2734=0,0,O2708/B2734)</f>
        <v/>
      </c>
      <c r="Q2708">
        <f>IFERROR(1/(IF(Inputs!$B$38="pvp",15,MAX(0.1,Skills!D10-IF(Skills!E10=TRUE,3.0,0)))*(1-IF(AND(ArtifactsInput!$M$27,Inputs!$B$4="Chapter Hunt"),CHOOSE(ArtifactsInput!$N$27+1,20,24,28,32,36,40),0)/100)),0)</f>
        <v/>
      </c>
      <c r="R2708">
        <f>IF(AND(Inputs!$B$38&lt;&gt;"pvp",Inputs!$B$43&gt;0),IF(MAX(0,Inputs!$B$43-B2731)&lt;=0,0,(INT(MAX(0,Inputs!$B$43-B2731)/(IF(Inputs!$B$38="pvp",15,MAX(0.1,Skills!D10-IF(Skills!E10=TRUE,3.0,0)))*(1-IF(AND(ArtifactsInput!$M$27,Inputs!$B$4="Chapter Hunt"),CHOOSE(ArtifactsInput!$N$27+1,20,24,28,32,36,40),0)/100)))+1)),0)</f>
        <v/>
      </c>
      <c r="S2708">
        <f>IFERROR(O2708/N2708,0)</f>
        <v/>
      </c>
      <c r="T2708">
        <f>IF(C2708,(H2708*N2708*IF(AND(Inputs!$B$38&lt;&gt;"pvp",Inputs!$B$43&gt;0),((Skills!G10*((R2708-1)*IF(Skills!H10&gt;0,Skills!I10/Skills!H10,1)+IF(Skills!H10&gt;0,MIN(Skills!I10,MAX(0,MAX(0,Inputs!$B$43-B2731)-((R2708-1)*(IF(Inputs!$B$38="pvp",15,MAX(0.1,Skills!D10-IF(Skills!E10=TRUE,3.0,0)))*(1-IF(AND(ArtifactsInput!$M$27,Inputs!$B$4="Chapter Hunt"),CHOOSE(ArtifactsInput!$N$27+1,20,24,28,32,36,40),0)/100)))))/Skills!H10,1)))/Inputs!$B$43),G2708*Q2708))*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2708*(1-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2708*(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2708*(1-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2708*(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8">
        <f>IF(C2708,(H2708*N2708*IF(AND(Inputs!$B$38&lt;&gt;"pvp",Inputs!$B$43&gt;0),((Skills!G10*((R2708-1)*IF(Skills!H10&gt;0,Skills!I10/Skills!H10,1)+IF(Skills!H10&gt;0,MIN(Skills!I10,MAX(0,MAX(0,Inputs!$B$43-B2731)-((R2708-1)*(IF(Inputs!$B$38="pvp",15,MAX(0.1,Skills!D10-IF(Skills!E10=TRUE,3.0,0)))*(1-IF(AND(ArtifactsInput!$M$27,Inputs!$B$4="Chapter Hunt"),CHOOSE(ArtifactsInput!$N$27+1,20,24,28,32,36,40),0)/100)))))/Skills!H10,1)))/Inputs!$B$43),G2708*Q2708))*IF(Inputs!$B$38="pvp",1,(1+(Inputs!$B$21+Skills!Q10+(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09">
      <c r="A2709">
        <f>Skills!A11</f>
        <v/>
      </c>
      <c r="B2709">
        <f>Skills!B11</f>
        <v/>
      </c>
      <c r="C2709">
        <f>Inputs!$B$3&gt;=113</f>
        <v/>
      </c>
      <c r="D2709">
        <f>IF(Skills!C11=1,60+Inputs!$B$25+Inputs!$B$29,IF(Skills!C11=2,90+Inputs!$B$26+Inputs!$B$29,IF(Skills!C11=3,120+Inputs!$B$27+Inputs!$B$29,MAX(0,(Inputs!$B$3-100)*3)+Inputs!$B$28+Inputs!$B$29)))</f>
        <v/>
      </c>
      <c r="E2709">
        <f>INDEX(FactorTable!$B$2:$Y$301, MATCH(ROUND(MIN(300,MAX(1,D2709)),0), FactorTable!$A$2:$A$301,0), Skills!M11+1)</f>
        <v/>
      </c>
      <c r="F2709">
        <f>IF(Skills!N11=TRUE,(Skills!L11/10)*(E2709/1000),Skills!L11/10)+Skills!O11</f>
        <v/>
      </c>
      <c r="G2709">
        <f>Skills!G11*IF(Skills!H11&gt;0,Skills!I11/Skills!H11,1)</f>
        <v/>
      </c>
      <c r="H2709">
        <f>1-(1-Skills!J11/100)^Skills!K11</f>
        <v/>
      </c>
      <c r="I2709" t="inlineStr">
        <is>
          <t>1</t>
        </is>
      </c>
      <c r="J2709">
        <f>((Inputs!$B$6*(1+Inputs!$B$7/100))+(((Inputs!$B$12*(1+Inputs!$B$13/100))-(Inputs!$B$12*(1+Inputs!$B$13/100)))+0.25*(Inputs!$B$14-Inputs!$B$14))*(1+Inputs!$B$7/100))*(F2709/100)</f>
        <v/>
      </c>
      <c r="K2709">
        <f>J2709*(1+((Inputs!$B$12*(1+Inputs!$B$13/100))*0.01+Inputs!$B$14*0.0025)/100)*(1+Inputs!$B$15/100)*(1+Inputs!$B$16/100)*(5000/(6000+Inputs!$B$42*(1-(100*(1-(1-(Inputs!$B$19+0)/100)*(1-CHOOSE(ArtifactsInput!$N$40+1,5,6,7,8,9,10)/100)^(ArtifactsInput!$M$40-ArtifactsInput!$M$40)))/100)))*(1+(Inputs!$B$24+((C2720=TRUE)*(F2720-Calc!F22))+B2730)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2719=TRUE)*(F2719-Calc!F21))+(((IF(AND(ArtifactsInput!$M$42,((Inputs!$B$9+((C2714=TRUE)*(F2714-Calc!F16))+B2724+(ArtifactsInput!$M$24-ArtifactsInput!$M$24)*CHOOSE(ArtifactsInput!$N$24+1,10,12,14,16,18,20)+IF(ArtifactsInput!$M$10,CHOOSE(ArtifactsInput!$N$10+1,15,18,21,24,27,30)*(IF(Inputs!$B$38="pvp",MIN(15,15)/15,IF(AND(Inputs!$B$38&lt;&gt;"pvp",Inputs!$B$43&gt;0),MIN(15,Inputs!$B$43)/(Inputs!$B$43),0))),0)))&gt;=100),MIN(100,((Inputs!$B$9+((C2714=TRUE)*(F2714-Calc!F16))+B2724+(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2714=TRUE)*(F2714-Calc!F16))+B2724+(ArtifactsInput!$M$24-ArtifactsInput!$M$24)*CHOOSE(ArtifactsInput!$N$24+1,10,12,14,16,18,20)+IF(ArtifactsInput!$M$10,CHOOSE(ArtifactsInput!$N$10+1,15,18,21,24,27,30)*(IF(Inputs!$B$38="pvp",MIN(15,15)/15,IF(AND(Inputs!$B$38&lt;&gt;"pvp",Inputs!$B$43&gt;0),MIN(15,Inputs!$B$43)/(Inputs!$B$43),0))),0)))&gt;=100),CHOOSE(ArtifactsInput!$N$42+1,40,48,56,64,72,80),0))))/100)*((1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2709)</f>
        <v/>
      </c>
      <c r="L2709">
        <f>K2709*(MIN(Inputs!$B$22+((C2718=TRUE)*(F2718-Calc!F20)),(Inputs!$B$23+0+(IF(ArtifactsInput!$M$15,CHOOSE(ArtifactsInput!$N$15+1,25,30,35,40,45,50)/100*(Inputs!$B$11-Inputs!$B$11),0))))/100+(Inputs!$B$23+0+(IF(ArtifactsInput!$M$15,CHOOSE(ArtifactsInput!$N$15+1,25,30,35,40,45,50)/100*(Inputs!$B$11-Inputs!$B$11),0)))/100)/2</f>
        <v/>
      </c>
      <c r="M2709">
        <f>L2709*(1+(Inputs!$B$10+0+B2729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09">
        <f>L2709*(1-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2709*(MIN((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09">
        <f>(1-Summary!$B$11)*T2709+Summary!$B$11*V2709</f>
        <v/>
      </c>
      <c r="P2709">
        <f>IF(B2734=0,0,O2709/B2734)</f>
        <v/>
      </c>
      <c r="Q2709">
        <f>IFERROR(1/(IF(Inputs!$B$38="pvp",15,MAX(0.1,Skills!D11-IF(Skills!E11=TRUE,3.0,0)))*(1-IF(AND(ArtifactsInput!$M$27,Inputs!$B$4="Chapter Hunt"),CHOOSE(ArtifactsInput!$N$27+1,20,24,28,32,36,40),0)/100)),0)</f>
        <v/>
      </c>
      <c r="R2709">
        <f>IF(AND(Inputs!$B$38&lt;&gt;"pvp",Inputs!$B$43&gt;0),IF(MAX(0,Inputs!$B$43-B2731)&lt;=0,0,(INT(MAX(0,Inputs!$B$43-B2731)/(IF(Inputs!$B$38="pvp",15,MAX(0.1,Skills!D11-IF(Skills!E11=TRUE,3.0,0)))*(1-IF(AND(ArtifactsInput!$M$27,Inputs!$B$4="Chapter Hunt"),CHOOSE(ArtifactsInput!$N$27+1,20,24,28,32,36,40),0)/100)))+1)),0)</f>
        <v/>
      </c>
      <c r="S2709">
        <f>IFERROR(O2709/N2709,0)</f>
        <v/>
      </c>
      <c r="T2709">
        <f>IF(C2709,(H2709*N2709*IF(AND(Inputs!$B$38&lt;&gt;"pvp",Inputs!$B$43&gt;0),((Skills!G11*((R2709-1)*IF(Skills!H11&gt;0,Skills!I11/Skills!H11,1)+IF(Skills!H11&gt;0,MIN(Skills!I11,MAX(0,MAX(0,Inputs!$B$43-B2731)-((R2709-1)*(IF(Inputs!$B$38="pvp",15,MAX(0.1,Skills!D11-IF(Skills!E11=TRUE,3.0,0)))*(1-IF(AND(ArtifactsInput!$M$27,Inputs!$B$4="Chapter Hunt"),CHOOSE(ArtifactsInput!$N$27+1,20,24,28,32,36,40),0)/100)))))/Skills!H11,1)))/Inputs!$B$43),G2709*Q2709))*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2709*(1-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2709*(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2709*(1-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2709*(MIN(100,(Inputs!$B$9+((C2714=TRUE)*(F2714-Calc!F16))+B2724+(ArtifactsInput!$M$24-ArtifactsInput!$M$24)*CHOOSE(ArtifactsInput!$N$24+1,10,12,14,16,18,20)+(IF(AND(ArtifactsInput!$M$42,((Inputs!$B$9+((C2714=TRUE)*(F2714-Calc!F16))+B2724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09">
        <f>IF(C2709,(H2709*N2709*IF(AND(Inputs!$B$38&lt;&gt;"pvp",Inputs!$B$43&gt;0),((Skills!G11*((R2709-1)*IF(Skills!H11&gt;0,Skills!I11/Skills!H11,1)+IF(Skills!H11&gt;0,MIN(Skills!I11,MAX(0,MAX(0,Inputs!$B$43-B2731)-((R2709-1)*(IF(Inputs!$B$38="pvp",15,MAX(0.1,Skills!D11-IF(Skills!E11=TRUE,3.0,0)))*(1-IF(AND(ArtifactsInput!$M$27,Inputs!$B$4="Chapter Hunt"),CHOOSE(ArtifactsInput!$N$27+1,20,24,28,32,36,40),0)/100)))))/Skills!H11,1)))/Inputs!$B$43),G2709*Q2709))*IF(Inputs!$B$38="pvp",1,(1+(Inputs!$B$21+Skills!Q11+(IF(ArtifactsInput!$M$33,CHOOSE(ArtifactsInput!$N$33+1,30,36,42,48,54,60),0))+(IF(AND(ArtifactsInput!$M$35,Inputs!$B$4&lt;&gt;"Chapter Hunt"),CHOOSE(ArtifactsInput!$N$35+1,15,18,21,24,27,30)*(1-EXP(-(0.2*B2726)*5)),0)+IF(AND(ArtifactsInput!$M$22,Inputs!$B$4&lt;&gt;"Chapter Hunt"),CHOOSE(ArtifactsInput!$N$22+1,10,12,14,16,18,20)*((0*(((0.15*B2726*5))^0/1)+1*(((0.15*B2726*5))^1/1)+2*(((0.15*B2726*5))^2/2)+3*(((0.15*B2726*5))^3/6)+4*(((0.15*B2726*5))^4/24)+5*(((0.15*B2726*5))^5/120))/((((0.15*B2726*5))^0/1)+(((0.15*B2726*5))^1/1)+(((0.15*B2726*5))^2/2)+(((0.15*B2726*5))^3/6)+(((0.15*B2726*5))^4/24)+(((0.15*B2726*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10">
      <c r="A2710">
        <f>Skills!A12</f>
        <v/>
      </c>
      <c r="B2710">
        <f>Skills!B12</f>
        <v/>
      </c>
      <c r="C2710">
        <f>Inputs!$B$3&gt;=100</f>
        <v/>
      </c>
      <c r="D2710">
        <f>IF(Skills!C12=1,60+Inputs!$B$25+Inputs!$B$29,IF(Skills!C12=2,90+Inputs!$B$26+Inputs!$B$29,IF(Skills!C12=3,120+Inputs!$B$27+Inputs!$B$29,MAX(0,(Inputs!$B$3-100)*3)+Inputs!$B$28+Inputs!$B$29)))</f>
        <v/>
      </c>
      <c r="E2710">
        <f>INDEX(FactorTable!$B$2:$Y$301, MATCH(ROUND(MIN(300,MAX(1,D2710)),0), FactorTable!$A$2:$A$301,0), Skills!M12+1)</f>
        <v/>
      </c>
      <c r="F2710">
        <f>IF(Skills!N12=TRUE,(Skills!L12/10)*(E2710/1000),Skills!L12/10)+Skills!O12</f>
        <v/>
      </c>
      <c r="G2710" t="inlineStr"/>
      <c r="H2710" t="inlineStr"/>
      <c r="I2710" t="inlineStr">
        <is>
          <t>1</t>
        </is>
      </c>
      <c r="J2710" t="inlineStr"/>
      <c r="K2710" t="inlineStr"/>
      <c r="L2710" t="inlineStr"/>
      <c r="M2710" t="inlineStr"/>
      <c r="N2710" t="inlineStr"/>
      <c r="O2710" t="inlineStr"/>
      <c r="P2710" t="inlineStr"/>
      <c r="Q2710" t="inlineStr"/>
      <c r="R2710" t="inlineStr"/>
      <c r="S2710" t="inlineStr"/>
      <c r="T2710" t="inlineStr"/>
      <c r="V2710" t="inlineStr"/>
    </row>
    <row r="2711">
      <c r="A2711">
        <f>Skills!A13</f>
        <v/>
      </c>
      <c r="B2711">
        <f>Skills!B13</f>
        <v/>
      </c>
      <c r="C2711">
        <f>Inputs!$B$3&gt;=66</f>
        <v/>
      </c>
      <c r="D2711">
        <f>IF(Skills!C13=1,60+Inputs!$B$25+Inputs!$B$29,IF(Skills!C13=2,90+Inputs!$B$26+Inputs!$B$29,IF(Skills!C13=3,120+Inputs!$B$27+Inputs!$B$29,MAX(0,(Inputs!$B$3-100)*3)+Inputs!$B$28+Inputs!$B$29)))</f>
        <v/>
      </c>
      <c r="E2711">
        <f>INDEX(FactorTable!$B$2:$Y$301, MATCH(ROUND(MIN(300,MAX(1,D2711)),0), FactorTable!$A$2:$A$301,0), Skills!M13+1)</f>
        <v/>
      </c>
      <c r="F2711">
        <f>IF(Skills!N13=TRUE,(Skills!L13/10)*(E2711/1000),Skills!L13/10)+Skills!O13</f>
        <v/>
      </c>
      <c r="G2711">
        <f>Skills!G13*IF(Skills!H13&gt;0,Skills!I13/Skills!H13,1)</f>
        <v/>
      </c>
      <c r="H2711">
        <f>1-(1-Skills!J13/100)^Skills!K13</f>
        <v/>
      </c>
      <c r="I2711" t="inlineStr">
        <is>
          <t>1</t>
        </is>
      </c>
      <c r="J2711" t="inlineStr"/>
      <c r="K2711" t="inlineStr"/>
      <c r="L2711" t="inlineStr"/>
      <c r="M2711" t="inlineStr"/>
      <c r="N2711" t="inlineStr"/>
      <c r="O2711">
        <f>(1-Summary!$B$11)*T2711+Summary!$B$11*V2711</f>
        <v/>
      </c>
      <c r="P2711">
        <f>IF(B2734=0,0,O2711/B2734)</f>
        <v/>
      </c>
      <c r="Q2711" t="n">
        <v>0</v>
      </c>
      <c r="R2711" t="n">
        <v>0</v>
      </c>
      <c r="S2711">
        <f>IFERROR(O2711/N2711,0)</f>
        <v/>
      </c>
      <c r="T2711" t="n">
        <v>0</v>
      </c>
      <c r="V2711" t="n">
        <v>0</v>
      </c>
    </row>
    <row r="2712">
      <c r="A2712">
        <f>Skills!A14</f>
        <v/>
      </c>
      <c r="B2712">
        <f>Skills!B14</f>
        <v/>
      </c>
      <c r="C2712">
        <f>Inputs!$B$3&gt;=107</f>
        <v/>
      </c>
      <c r="D2712">
        <f>IF(Skills!C14=1,60+Inputs!$B$25+Inputs!$B$29,IF(Skills!C14=2,90+Inputs!$B$26+Inputs!$B$29,IF(Skills!C14=3,120+Inputs!$B$27+Inputs!$B$29,MAX(0,(Inputs!$B$3-100)*3)+Inputs!$B$28+Inputs!$B$29)))</f>
        <v/>
      </c>
      <c r="E2712">
        <f>INDEX(FactorTable!$B$2:$Y$301, MATCH(ROUND(MIN(300,MAX(1,D2712)),0), FactorTable!$A$2:$A$301,0), Skills!M14+1)</f>
        <v/>
      </c>
      <c r="F2712">
        <f>IF(Skills!N14=TRUE,(Skills!L14/10)*(E2712/1000),Skills!L14/10)+Skills!O14</f>
        <v/>
      </c>
      <c r="G2712">
        <f>Skills!G14*IF(Skills!H14&gt;0,Skills!I14/Skills!H14,1)</f>
        <v/>
      </c>
      <c r="H2712">
        <f>1-(1-Skills!J14/100)^Skills!K14</f>
        <v/>
      </c>
      <c r="I2712" t="inlineStr">
        <is>
          <t>1</t>
        </is>
      </c>
      <c r="J2712" t="inlineStr"/>
      <c r="K2712" t="inlineStr"/>
      <c r="L2712" t="inlineStr"/>
      <c r="M2712" t="inlineStr"/>
      <c r="N2712" t="inlineStr"/>
      <c r="O2712">
        <f>(1-Summary!$B$11)*T2712+Summary!$B$11*V2712</f>
        <v/>
      </c>
      <c r="P2712">
        <f>IF(B2734=0,0,O2712/B2734)</f>
        <v/>
      </c>
      <c r="Q2712">
        <f>IFERROR(1/(IF(Inputs!$B$38="pvp",15,MAX(0.1,Skills!D14-IF(Skills!E14=TRUE,3.0,0)))*(1-IF(AND(ArtifactsInput!$M$27,Inputs!$B$4="Chapter Hunt"),CHOOSE(ArtifactsInput!$N$27+1,20,24,28,32,36,40),0)/100)),0)</f>
        <v/>
      </c>
      <c r="R2712">
        <f>IF(AND(Inputs!$B$38&lt;&gt;"pvp",Inputs!$B$43&gt;0),IF(Inputs!$B$43&lt;=0,0,(INT(Inputs!$B$43/(IF(Inputs!$B$38="pvp",15,MAX(0.1,Skills!D14-IF(Skills!E14=TRUE,3.0,0)))*(1-IF(AND(ArtifactsInput!$M$27,Inputs!$B$4="Chapter Hunt"),CHOOSE(ArtifactsInput!$N$27+1,20,24,28,32,36,40),0)/100)))+1)),0)</f>
        <v/>
      </c>
      <c r="S2712">
        <f>IFERROR(O2712/N2712,0)</f>
        <v/>
      </c>
      <c r="T2712" t="n">
        <v>0</v>
      </c>
      <c r="V2712" t="n">
        <v>0</v>
      </c>
    </row>
    <row r="2713">
      <c r="A2713">
        <f>Skills!A15</f>
        <v/>
      </c>
      <c r="B2713">
        <f>Skills!B15</f>
        <v/>
      </c>
      <c r="C2713">
        <f>Inputs!$B$3&gt;=115</f>
        <v/>
      </c>
      <c r="D2713">
        <f>IF(Skills!C15=1,60+Inputs!$B$25+Inputs!$B$29,IF(Skills!C15=2,90+Inputs!$B$26+Inputs!$B$29,IF(Skills!C15=3,120+Inputs!$B$27+Inputs!$B$29,MAX(0,(Inputs!$B$3-100)*3)+Inputs!$B$28+Inputs!$B$29)))</f>
        <v/>
      </c>
      <c r="E2713">
        <f>INDEX(FactorTable!$B$2:$Y$301, MATCH(ROUND(MIN(300,MAX(1,D2713)),0), FactorTable!$A$2:$A$301,0), Skills!M15+1)</f>
        <v/>
      </c>
      <c r="F2713">
        <f>IF(Skills!N15=TRUE,(Skills!L15/10)*(E2713/1000),Skills!L15/10)+Skills!O15</f>
        <v/>
      </c>
      <c r="G2713">
        <f>Skills!G15*IF(Skills!H15&gt;0,Skills!I15/Skills!H15,1)</f>
        <v/>
      </c>
      <c r="H2713">
        <f>1-(1-Skills!J15/100)^Skills!K15</f>
        <v/>
      </c>
      <c r="I2713" t="inlineStr">
        <is>
          <t>1</t>
        </is>
      </c>
      <c r="J2713" t="inlineStr"/>
      <c r="K2713" t="inlineStr"/>
      <c r="L2713" t="inlineStr"/>
      <c r="M2713" t="inlineStr"/>
      <c r="N2713" t="inlineStr"/>
      <c r="O2713">
        <f>(1-Summary!$B$11)*T2713+Summary!$B$11*V2713</f>
        <v/>
      </c>
      <c r="P2713">
        <f>IF(B2734=0,0,O2713/B2734)</f>
        <v/>
      </c>
      <c r="Q2713">
        <f>IFERROR(1/(IF(Inputs!$B$38="pvp",15,MAX(0.1,Skills!D15-IF(Skills!E15=TRUE,3.0,0)))*(1-IF(AND(ArtifactsInput!$M$27,Inputs!$B$4="Chapter Hunt"),CHOOSE(ArtifactsInput!$N$27+1,20,24,28,32,36,40),0)/100)),0)</f>
        <v/>
      </c>
      <c r="R2713">
        <f>IF(AND(Inputs!$B$38&lt;&gt;"pvp",Inputs!$B$43&gt;0),IF(Inputs!$B$43&lt;=0,0,(INT(Inputs!$B$43/(IF(Inputs!$B$38="pvp",15,MAX(0.1,Skills!D15-IF(Skills!E15=TRUE,3.0,0)))*(1-IF(AND(ArtifactsInput!$M$27,Inputs!$B$4="Chapter Hunt"),CHOOSE(ArtifactsInput!$N$27+1,20,24,28,32,36,40),0)/100)))+1)),0)</f>
        <v/>
      </c>
      <c r="S2713">
        <f>IFERROR(O2713/N2713,0)</f>
        <v/>
      </c>
      <c r="T2713" t="n">
        <v>0</v>
      </c>
      <c r="V2713" t="n">
        <v>0</v>
      </c>
    </row>
    <row r="2714">
      <c r="A2714">
        <f>Skills!A16</f>
        <v/>
      </c>
      <c r="B2714">
        <f>Skills!B16</f>
        <v/>
      </c>
      <c r="C2714">
        <f>Inputs!$B$3&gt;=15</f>
        <v/>
      </c>
      <c r="D2714">
        <f>IF(Skills!C16=1,60+Inputs!$B$25+Inputs!$B$29,IF(Skills!C16=2,90+Inputs!$B$26+Inputs!$B$29,IF(Skills!C16=3,120+Inputs!$B$27+Inputs!$B$29,MAX(0,(Inputs!$B$3-100)*3)+Inputs!$B$28+Inputs!$B$29)))</f>
        <v/>
      </c>
      <c r="E2714">
        <f>INDEX(FactorTable!$B$2:$Y$301, MATCH(ROUND(MIN(300,MAX(1,D2714)),0), FactorTable!$A$2:$A$301,0), Skills!M16+1)</f>
        <v/>
      </c>
      <c r="F2714">
        <f>IF(Skills!N16=TRUE,(Skills!L16/10)*(E2714/1000),Skills!L16/10)+Skills!O16</f>
        <v/>
      </c>
      <c r="G2714">
        <f>Skills!G16*IF(Skills!H16&gt;0,Skills!I16/Skills!H16,1)</f>
        <v/>
      </c>
      <c r="H2714">
        <f>1-(1-Skills!J16/100)^Skills!K16</f>
        <v/>
      </c>
      <c r="I2714" t="inlineStr">
        <is>
          <t>1</t>
        </is>
      </c>
      <c r="J2714" t="inlineStr"/>
      <c r="K2714" t="inlineStr"/>
      <c r="L2714" t="inlineStr"/>
      <c r="M2714" t="inlineStr"/>
      <c r="N2714" t="inlineStr"/>
      <c r="O2714">
        <f>(1-Summary!$B$11)*T2714+Summary!$B$11*V2714</f>
        <v/>
      </c>
      <c r="P2714">
        <f>IF(B2734=0,0,O2714/B2734)</f>
        <v/>
      </c>
      <c r="Q2714" t="n">
        <v>0</v>
      </c>
      <c r="R2714" t="n">
        <v>0</v>
      </c>
      <c r="S2714">
        <f>IFERROR(O2714/N2714,0)</f>
        <v/>
      </c>
      <c r="T2714" t="n">
        <v>0</v>
      </c>
      <c r="V2714" t="n">
        <v>0</v>
      </c>
    </row>
    <row r="2715">
      <c r="A2715">
        <f>Skills!A17</f>
        <v/>
      </c>
      <c r="B2715">
        <f>Skills!B17</f>
        <v/>
      </c>
      <c r="C2715">
        <f>Inputs!$B$3&gt;=10</f>
        <v/>
      </c>
      <c r="D2715">
        <f>IF(Skills!C17=1,60+Inputs!$B$25+Inputs!$B$29,IF(Skills!C17=2,90+Inputs!$B$26+Inputs!$B$29,IF(Skills!C17=3,120+Inputs!$B$27+Inputs!$B$29,MAX(0,(Inputs!$B$3-100)*3)+Inputs!$B$28+Inputs!$B$29)))</f>
        <v/>
      </c>
      <c r="E2715">
        <f>INDEX(FactorTable!$B$2:$Y$301, MATCH(ROUND(MIN(300,MAX(1,D2715)),0), FactorTable!$A$2:$A$301,0), Skills!M17+1)</f>
        <v/>
      </c>
      <c r="F2715">
        <f>IF(Skills!N17=TRUE,(Skills!L17/10)*(E2715/1000),Skills!L17/10)+Skills!O17</f>
        <v/>
      </c>
      <c r="G2715">
        <f>Skills!G17*IF(Skills!H17&gt;0,Skills!I17/Skills!H17,1)</f>
        <v/>
      </c>
      <c r="H2715">
        <f>1-(1-Skills!J17/100)^Skills!K17</f>
        <v/>
      </c>
      <c r="I2715" t="inlineStr">
        <is>
          <t>1</t>
        </is>
      </c>
      <c r="J2715" t="inlineStr"/>
      <c r="K2715" t="inlineStr"/>
      <c r="L2715" t="inlineStr"/>
      <c r="M2715" t="inlineStr"/>
      <c r="N2715" t="inlineStr"/>
      <c r="O2715">
        <f>(1-Summary!$B$11)*T2715+Summary!$B$11*V2715</f>
        <v/>
      </c>
      <c r="P2715">
        <f>IF(B2734=0,0,O2715/B2734)</f>
        <v/>
      </c>
      <c r="Q2715" t="n">
        <v>0</v>
      </c>
      <c r="R2715" t="n">
        <v>0</v>
      </c>
      <c r="S2715">
        <f>IFERROR(O2715/N2715,0)</f>
        <v/>
      </c>
      <c r="T2715" t="n">
        <v>0</v>
      </c>
      <c r="V2715" t="n">
        <v>0</v>
      </c>
    </row>
    <row r="2716">
      <c r="A2716">
        <f>Skills!A18</f>
        <v/>
      </c>
      <c r="B2716">
        <f>Skills!B18</f>
        <v/>
      </c>
      <c r="C2716">
        <f>Inputs!$B$3&gt;=33</f>
        <v/>
      </c>
      <c r="D2716">
        <f>IF(Skills!C18=1,60+Inputs!$B$25+Inputs!$B$29,IF(Skills!C18=2,90+Inputs!$B$26+Inputs!$B$29,IF(Skills!C18=3,120+Inputs!$B$27+Inputs!$B$29,MAX(0,(Inputs!$B$3-100)*3)+Inputs!$B$28+Inputs!$B$29)))</f>
        <v/>
      </c>
      <c r="E2716">
        <f>INDEX(FactorTable!$B$2:$Y$301, MATCH(ROUND(MIN(300,MAX(1,D2716)),0), FactorTable!$A$2:$A$301,0), Skills!M18+1)</f>
        <v/>
      </c>
      <c r="F2716">
        <f>IF(Skills!N18=TRUE,(Skills!L18/10)*(E2716/1000),Skills!L18/10)+Skills!O18</f>
        <v/>
      </c>
      <c r="G2716">
        <f>Skills!G18*IF(Skills!H18&gt;0,Skills!I18/Skills!H18,1)</f>
        <v/>
      </c>
      <c r="H2716">
        <f>1-(1-Skills!J18/100)^Skills!K18</f>
        <v/>
      </c>
      <c r="I2716" t="inlineStr">
        <is>
          <t>1</t>
        </is>
      </c>
      <c r="J2716" t="inlineStr"/>
      <c r="K2716" t="inlineStr"/>
      <c r="L2716" t="inlineStr"/>
      <c r="M2716" t="inlineStr"/>
      <c r="N2716" t="inlineStr"/>
      <c r="O2716">
        <f>(1-Summary!$B$11)*T2716+Summary!$B$11*V2716</f>
        <v/>
      </c>
      <c r="P2716">
        <f>IF(B2734=0,0,O2716/B2734)</f>
        <v/>
      </c>
      <c r="Q2716" t="n">
        <v>0</v>
      </c>
      <c r="R2716" t="n">
        <v>0</v>
      </c>
      <c r="S2716">
        <f>IFERROR(O2716/N2716,0)</f>
        <v/>
      </c>
      <c r="T2716" t="n">
        <v>0</v>
      </c>
      <c r="V2716" t="n">
        <v>0</v>
      </c>
    </row>
    <row r="2717">
      <c r="A2717">
        <f>Skills!A19</f>
        <v/>
      </c>
      <c r="B2717">
        <f>Skills!B19</f>
        <v/>
      </c>
      <c r="C2717">
        <f>Inputs!$B$3&gt;=40</f>
        <v/>
      </c>
      <c r="D2717">
        <f>IF(Skills!C19=1,60+Inputs!$B$25+Inputs!$B$29,IF(Skills!C19=2,90+Inputs!$B$26+Inputs!$B$29,IF(Skills!C19=3,120+Inputs!$B$27+Inputs!$B$29,MAX(0,(Inputs!$B$3-100)*3)+Inputs!$B$28+Inputs!$B$29)))</f>
        <v/>
      </c>
      <c r="E2717">
        <f>INDEX(FactorTable!$B$2:$Y$301, MATCH(ROUND(MIN(300,MAX(1,D2717)),0), FactorTable!$A$2:$A$301,0), Skills!M19+1)</f>
        <v/>
      </c>
      <c r="F2717">
        <f>IF(Skills!N19=TRUE,(Skills!L19/10)*(E2717/1000),Skills!L19/10)+Skills!O19</f>
        <v/>
      </c>
      <c r="G2717">
        <f>Skills!G19*IF(Skills!H19&gt;0,Skills!I19/Skills!H19,1)</f>
        <v/>
      </c>
      <c r="H2717">
        <f>1-(1-Skills!J19/100)^Skills!K19</f>
        <v/>
      </c>
      <c r="I2717" t="inlineStr">
        <is>
          <t>1</t>
        </is>
      </c>
      <c r="J2717" t="inlineStr"/>
      <c r="K2717" t="inlineStr"/>
      <c r="L2717" t="inlineStr"/>
      <c r="M2717" t="inlineStr"/>
      <c r="N2717" t="inlineStr"/>
      <c r="O2717">
        <f>(1-Summary!$B$11)*T2717+Summary!$B$11*V2717</f>
        <v/>
      </c>
      <c r="P2717">
        <f>IF(B2734=0,0,O2717/B2734)</f>
        <v/>
      </c>
      <c r="Q2717" t="n">
        <v>0</v>
      </c>
      <c r="R2717" t="n">
        <v>0</v>
      </c>
      <c r="S2717">
        <f>IFERROR(O2717/N2717,0)</f>
        <v/>
      </c>
      <c r="T2717" t="n">
        <v>0</v>
      </c>
      <c r="V2717" t="n">
        <v>0</v>
      </c>
    </row>
    <row r="2718">
      <c r="A2718">
        <f>Skills!A20</f>
        <v/>
      </c>
      <c r="B2718">
        <f>Skills!B20</f>
        <v/>
      </c>
      <c r="C2718">
        <f>Inputs!$B$3&gt;=43</f>
        <v/>
      </c>
      <c r="D2718">
        <f>IF(Skills!C20=1,60+Inputs!$B$25+Inputs!$B$29,IF(Skills!C20=2,90+Inputs!$B$26+Inputs!$B$29,IF(Skills!C20=3,120+Inputs!$B$27+Inputs!$B$29,MAX(0,(Inputs!$B$3-100)*3)+Inputs!$B$28+Inputs!$B$29)))</f>
        <v/>
      </c>
      <c r="E2718">
        <f>INDEX(FactorTable!$B$2:$Y$301, MATCH(ROUND(MIN(300,MAX(1,D2718)),0), FactorTable!$A$2:$A$301,0), Skills!M20+1)</f>
        <v/>
      </c>
      <c r="F2718">
        <f>IF(Skills!N20=TRUE,(Skills!L20/10)*(E2718/1000),Skills!L20/10)+Skills!O20</f>
        <v/>
      </c>
      <c r="G2718">
        <f>Skills!G20*IF(Skills!H20&gt;0,Skills!I20/Skills!H20,1)</f>
        <v/>
      </c>
      <c r="H2718">
        <f>1-(1-Skills!J20/100)^Skills!K20</f>
        <v/>
      </c>
      <c r="I2718" t="inlineStr">
        <is>
          <t>1</t>
        </is>
      </c>
      <c r="J2718" t="inlineStr"/>
      <c r="K2718" t="inlineStr"/>
      <c r="L2718" t="inlineStr"/>
      <c r="M2718" t="inlineStr"/>
      <c r="N2718" t="inlineStr"/>
      <c r="O2718">
        <f>(1-Summary!$B$11)*T2718+Summary!$B$11*V2718</f>
        <v/>
      </c>
      <c r="P2718">
        <f>IF(B2734=0,0,O2718/B2734)</f>
        <v/>
      </c>
      <c r="Q2718" t="n">
        <v>0</v>
      </c>
      <c r="R2718" t="n">
        <v>0</v>
      </c>
      <c r="S2718">
        <f>IFERROR(O2718/N2718,0)</f>
        <v/>
      </c>
      <c r="T2718" t="n">
        <v>0</v>
      </c>
      <c r="V2718" t="n">
        <v>0</v>
      </c>
    </row>
    <row r="2719">
      <c r="A2719">
        <f>Skills!A21</f>
        <v/>
      </c>
      <c r="B2719">
        <f>Skills!B21</f>
        <v/>
      </c>
      <c r="C2719">
        <f>Inputs!$B$3&gt;=38</f>
        <v/>
      </c>
      <c r="D2719">
        <f>IF(Skills!C21=1,60+Inputs!$B$25+Inputs!$B$29,IF(Skills!C21=2,90+Inputs!$B$26+Inputs!$B$29,IF(Skills!C21=3,120+Inputs!$B$27+Inputs!$B$29,MAX(0,(Inputs!$B$3-100)*3)+Inputs!$B$28+Inputs!$B$29)))</f>
        <v/>
      </c>
      <c r="E2719">
        <f>INDEX(FactorTable!$B$2:$Y$301, MATCH(ROUND(MIN(300,MAX(1,D2719)),0), FactorTable!$A$2:$A$301,0), Skills!M21+1)</f>
        <v/>
      </c>
      <c r="F2719">
        <f>IF(Skills!N21=TRUE,(Skills!L21/10)*(E2719/1000),Skills!L21/10)+Skills!O21</f>
        <v/>
      </c>
      <c r="G2719">
        <f>Skills!G21*IF(Skills!H21&gt;0,Skills!I21/Skills!H21,1)</f>
        <v/>
      </c>
      <c r="H2719">
        <f>1-(1-Skills!J21/100)^Skills!K21</f>
        <v/>
      </c>
      <c r="I2719" t="inlineStr">
        <is>
          <t>1</t>
        </is>
      </c>
      <c r="J2719" t="inlineStr"/>
      <c r="K2719" t="inlineStr"/>
      <c r="L2719" t="inlineStr"/>
      <c r="M2719" t="inlineStr"/>
      <c r="N2719" t="inlineStr"/>
      <c r="O2719">
        <f>(1-Summary!$B$11)*T2719+Summary!$B$11*V2719</f>
        <v/>
      </c>
      <c r="P2719">
        <f>IF(B2734=0,0,O2719/B2734)</f>
        <v/>
      </c>
      <c r="Q2719" t="n">
        <v>0</v>
      </c>
      <c r="R2719" t="n">
        <v>0</v>
      </c>
      <c r="S2719">
        <f>IFERROR(O2719/N2719,0)</f>
        <v/>
      </c>
      <c r="T2719" t="n">
        <v>0</v>
      </c>
      <c r="V2719" t="n">
        <v>0</v>
      </c>
    </row>
    <row r="2720">
      <c r="A2720">
        <f>Skills!A22</f>
        <v/>
      </c>
      <c r="B2720">
        <f>Skills!B22</f>
        <v/>
      </c>
      <c r="C2720">
        <f>Inputs!$B$3&gt;=75</f>
        <v/>
      </c>
      <c r="D2720">
        <f>IF(Skills!C22=1,60+Inputs!$B$25+Inputs!$B$29,IF(Skills!C22=2,90+Inputs!$B$26+Inputs!$B$29,IF(Skills!C22=3,120+Inputs!$B$27+Inputs!$B$29,MAX(0,(Inputs!$B$3-100)*3)+Inputs!$B$28+Inputs!$B$29)))</f>
        <v/>
      </c>
      <c r="E2720">
        <f>INDEX(FactorTable!$B$2:$Y$301, MATCH(ROUND(MIN(300,MAX(1,D2720)),0), FactorTable!$A$2:$A$301,0), Skills!M22+1)</f>
        <v/>
      </c>
      <c r="F2720">
        <f>IF(Skills!N22=TRUE,(Skills!L22/10)*(E2720/1000),Skills!L22/10)+Skills!O22</f>
        <v/>
      </c>
      <c r="G2720">
        <f>Skills!G22*IF(Skills!H22&gt;0,Skills!I22/Skills!H22,1)</f>
        <v/>
      </c>
      <c r="H2720">
        <f>1-(1-Skills!J22/100)^Skills!K22</f>
        <v/>
      </c>
      <c r="I2720" t="inlineStr">
        <is>
          <t>1</t>
        </is>
      </c>
      <c r="J2720" t="inlineStr"/>
      <c r="K2720" t="inlineStr"/>
      <c r="L2720" t="inlineStr"/>
      <c r="M2720" t="inlineStr"/>
      <c r="N2720" t="inlineStr"/>
      <c r="O2720">
        <f>(1-Summary!$B$11)*T2720+Summary!$B$11*V2720</f>
        <v/>
      </c>
      <c r="P2720">
        <f>IF(B2734=0,0,O2720/B2734)</f>
        <v/>
      </c>
      <c r="Q2720" t="n">
        <v>0</v>
      </c>
      <c r="R2720" t="n">
        <v>0</v>
      </c>
      <c r="S2720">
        <f>IFERROR(O2720/N2720,0)</f>
        <v/>
      </c>
      <c r="T2720" t="n">
        <v>0</v>
      </c>
      <c r="V2720" t="n">
        <v>0</v>
      </c>
    </row>
    <row r="2721">
      <c r="A2721">
        <f>Skills!A23</f>
        <v/>
      </c>
      <c r="B2721">
        <f>Skills!B23</f>
        <v/>
      </c>
      <c r="C2721">
        <f>TRUE</f>
        <v/>
      </c>
      <c r="D2721">
        <f>IF(Skills!C23=1,60+Inputs!$B$25+Inputs!$B$29,IF(Skills!C23=2,90+Inputs!$B$26+Inputs!$B$29,IF(Skills!C23=3,120+Inputs!$B$27+Inputs!$B$29,MAX(0,(Inputs!$B$3-100)*3)+Inputs!$B$28+Inputs!$B$29)))</f>
        <v/>
      </c>
      <c r="E2721">
        <f>INDEX(FactorTable!$B$2:$Y$301, MATCH(ROUND(MIN(300,MAX(1,D2721)),0), FactorTable!$A$2:$A$301,0), Skills!M23+1)</f>
        <v/>
      </c>
      <c r="F2721">
        <f>IF(Skills!N23=TRUE,(Skills!L23/10)*(E2721/1000),Skills!L23/10)+Skills!O23</f>
        <v/>
      </c>
      <c r="G2721">
        <f>Skills!G23*IF(Skills!H23&gt;0,Skills!I23/Skills!H23,1)</f>
        <v/>
      </c>
      <c r="H2721">
        <f>1-(1-Skills!J23/100)^Skills!K23</f>
        <v/>
      </c>
      <c r="I2721" t="inlineStr">
        <is>
          <t>1</t>
        </is>
      </c>
      <c r="J2721" t="inlineStr"/>
      <c r="K2721" t="inlineStr"/>
      <c r="L2721" t="inlineStr"/>
      <c r="M2721" t="inlineStr"/>
      <c r="N2721" t="inlineStr"/>
      <c r="O2721">
        <f>(1-Summary!$B$11)*T2721+Summary!$B$11*V2721</f>
        <v/>
      </c>
      <c r="P2721">
        <f>IF(B2734=0,0,O2721/B2734)</f>
        <v/>
      </c>
      <c r="Q2721">
        <f>IFERROR(1/(IF(Inputs!$B$38="pvp",15,MAX(0.1,Skills!D23-IF(Skills!E23=TRUE,3.0,0)))*(1-IF(AND(ArtifactsInput!$M$27,Inputs!$B$4="Chapter Hunt"),CHOOSE(ArtifactsInput!$N$27+1,20,24,28,32,36,40),0)/100)),0)</f>
        <v/>
      </c>
      <c r="R2721">
        <f>IF(AND(Inputs!$B$38&lt;&gt;"pvp",Inputs!$B$43&gt;0),IF(Inputs!$B$43&lt;=0,0,(INT(Inputs!$B$43/(IF(Inputs!$B$38="pvp",15,MAX(0.1,Skills!D23-IF(Skills!E23=TRUE,3.0,0)))*(1-IF(AND(ArtifactsInput!$M$27,Inputs!$B$4="Chapter Hunt"),CHOOSE(ArtifactsInput!$N$27+1,20,24,28,32,36,40),0)/100)))+1)),0)</f>
        <v/>
      </c>
      <c r="S2721">
        <f>IFERROR(O2721/N2721,0)</f>
        <v/>
      </c>
      <c r="T2721" t="n">
        <v>0</v>
      </c>
      <c r="V2721" t="n">
        <v>0</v>
      </c>
    </row>
    <row r="2723">
      <c r="A2723" t="inlineStr">
        <is>
          <t>Attack% Bucket Multiplier</t>
        </is>
      </c>
      <c r="B2723">
        <f>(1+(((C2711=TRUE)*F2711*5/7)+((C2717=TRUE)*(F2717-Calc!F19))+(IF(ArtifactsInput!$M$21,CHOOSE(ArtifactsInput!$N$21+1,25,30,35,40,45,50)*(IF(OR(Inputs!$B$4="Chapter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24">
      <c r="A2724" t="inlineStr">
        <is>
          <t>Global Crit Rate Bonus %</t>
        </is>
      </c>
      <c r="B2724" t="n">
        <v>0</v>
      </c>
    </row>
    <row r="2725">
      <c r="A2725" t="inlineStr">
        <is>
          <t>Attack Speed Buff Bonus % (Nimble Feet, duty-cycle averaged)</t>
        </is>
      </c>
      <c r="B2725">
        <f>((C2721=TRUE)*F2721*IF(AND(Inputs!$B$38&lt;&gt;"pvp",Inputs!$B$43&gt;0),(((R2721-1)*(Skills!T23*(1+Inputs!$B$34/100))+MIN((Skills!T23*(1+Inputs!$B$34/100)),MAX(0,Inputs!$B$43-((R2721-1)*Skills!D23))))/Inputs!$B$43),IF(Inputs!$B$38="pvp",MIN((Skills!T23*(1+Inputs!$B$34/100)),15)/15,(Skills!T23*(1+Inputs!$B$34/100))/Skills!D23)))</f>
        <v/>
      </c>
    </row>
    <row r="2726">
      <c r="A2726" t="inlineStr">
        <is>
          <t>Actions Per Second</t>
        </is>
      </c>
      <c r="B2726">
        <f>1+MIN(150,150*(1-(1-(Inputs!$B$11+((C2715=TRUE)*(F2715-Calc!F17))+((C2716=TRUE)*(F2716-Calc!F18)))/150)*(1-B2725/150)))/100</f>
        <v/>
      </c>
    </row>
    <row r="2727">
      <c r="A2727" t="inlineStr">
        <is>
          <t>Skill + Buff Cast Rate</t>
        </is>
      </c>
      <c r="B2727">
        <f>IF(AND(Inputs!$B$38&lt;&gt;"pvp",Inputs!$B$43&gt;0),SUMPRODUCT((Skills!E2:E23=TRUE)*(C2700:C2721=TRUE)*R2700:R2721*Skills!F2:F23)/Inputs!$B$43,SUMPRODUCT((Skills!E2:E23=TRUE)*(C2700:C2721=TRUE)*Q2700:Q2721*Skills!F2:F23))</f>
        <v/>
      </c>
    </row>
    <row r="2728">
      <c r="A2728" t="inlineStr">
        <is>
          <t>Hook Bomber Casts Per Second</t>
        </is>
      </c>
      <c r="B2728">
        <f>MAX(0,B2726-B2727)</f>
        <v/>
      </c>
    </row>
    <row r="2729">
      <c r="A2729" t="inlineStr">
        <is>
          <t>Global Critical Damage Bonus % (unused)</t>
        </is>
      </c>
      <c r="B2729" t="n">
        <v>0</v>
      </c>
    </row>
    <row r="2730">
      <c r="A2730" t="inlineStr">
        <is>
          <t>Global Final Damage Bonus % (Serpent Scale + Crossbones + Time Leap + Speed Infusion)</t>
        </is>
      </c>
      <c r="B2730">
        <f>((C2703=TRUE)*F2703*((10+IF(Inputs!$B$3&gt;=94,5,0))/((10+IF(Inputs!$B$3&gt;=94,5,0))+5/(B2728*(1+IF(Inputs!$B$3&gt;=104,1,0))))))+((C2712=TRUE)*F2712*IF(AND(Inputs!$B$38&lt;&gt;"pvp",Inputs!$B$43&gt;0),(((R2712-1)*(Skills!T14*(1+Inputs!$B$34/100))+MIN((Skills!T14*(1+Inputs!$B$34/100)),MAX(0,Inputs!$B$43-((R2712-1)*Skills!D14))))/Inputs!$B$43),IF(Inputs!$B$38="pvp",MIN((Skills!T14*(1+Inputs!$B$34/100)),15)/15,(Skills!T14*(1+Inputs!$B$34/100))/Skills!D14)))+((C2713=TRUE)*F2713*IF(AND(Inputs!$B$38&lt;&gt;"pvp",Inputs!$B$43&gt;0),(((R2713-1)*(Skills!T15*(1+Inputs!$B$34/100))+MIN((Skills!T15*(1+Inputs!$B$34/100)),MAX(0,Inputs!$B$43-((R2713-1)*Skills!D15))))/Inputs!$B$43),IF(Inputs!$B$38="pvp",MIN((Skills!T15*(1+Inputs!$B$34/100)),15)/15,(Skills!T15*(1+Inputs!$B$34/100))/Skills!D15)))+((Inputs!$B$3&gt;=110)*20*(B2726-1)*IF(Inputs!$B$38="pvp",MIN((15*(1+Inputs!$B$34/100)),15)/15,(15*(1+Inputs!$B$34/100))/35))</f>
        <v/>
      </c>
    </row>
    <row r="2731">
      <c r="A2731" t="inlineStr">
        <is>
          <t>Buff-Casting Startup Delay (s, fixed-duration only)</t>
        </is>
      </c>
      <c r="B2731">
        <f>IF(AND(Inputs!$B$38&lt;&gt;"pvp",Inputs!$B$43&gt;0),SUMPRODUCT((Skills!T2:T23&gt;0)*(Skills!E2:E23=TRUE)*(C2700:C2721=TRUE))/B2726,0)</f>
        <v/>
      </c>
    </row>
    <row r="2732">
      <c r="A2732" t="inlineStr">
        <is>
          <t>Boss-Only Total DPS (this block's swept value)</t>
        </is>
      </c>
      <c r="B2732">
        <f>SUM(T2700:T2721)</f>
        <v/>
      </c>
    </row>
    <row r="2733">
      <c r="A2733" t="inlineStr">
        <is>
          <t>Normal-Only Total DPS (this block's swept value)</t>
        </is>
      </c>
      <c r="B2733">
        <f>SUM(V2700:V2721)</f>
        <v/>
      </c>
    </row>
    <row r="2734">
      <c r="A2734" s="6" t="inlineStr">
        <is>
          <t>TOTAL DPS</t>
        </is>
      </c>
      <c r="B2734" s="6">
        <f>SUM(O2700:O2721)</f>
        <v/>
      </c>
    </row>
    <row r="2737">
      <c r="A2737" s="6" t="inlineStr">
        <is>
          <t>Stat: CDR = 3.5s</t>
        </is>
      </c>
    </row>
    <row r="2738">
      <c r="A2738" s="5" t="inlineStr">
        <is>
          <t>Key</t>
        </is>
      </c>
      <c r="B2738" s="5" t="inlineStr">
        <is>
          <t>Name</t>
        </is>
      </c>
      <c r="C2738" s="5" t="inlineStr">
        <is>
          <t>Unlocked</t>
        </is>
      </c>
      <c r="D2738" s="5" t="inlineStr">
        <is>
          <t>InputLevel</t>
        </is>
      </c>
      <c r="E2738" s="5" t="inlineStr">
        <is>
          <t>Factor</t>
        </is>
      </c>
      <c r="F2738" s="5" t="inlineStr">
        <is>
          <t>CoefficientPercent</t>
        </is>
      </c>
      <c r="G2738" s="5" t="inlineStr">
        <is>
          <t>EffectiveHits</t>
        </is>
      </c>
      <c r="H2738" s="5" t="inlineStr">
        <is>
          <t>ProcProbability</t>
        </is>
      </c>
      <c r="I2738" s="5" t="inlineStr">
        <is>
          <t>MapleHeroMultiplier</t>
        </is>
      </c>
      <c r="J2738" s="5" t="inlineStr">
        <is>
          <t>BaseDamage</t>
        </is>
      </c>
      <c r="K2738" s="5" t="inlineStr">
        <is>
          <t>BaseHitDamage</t>
        </is>
      </c>
      <c r="L2738" s="5" t="inlineStr">
        <is>
          <t>NonCritAvg</t>
        </is>
      </c>
      <c r="M2738" s="5" t="inlineStr">
        <is>
          <t>CritAvg</t>
        </is>
      </c>
      <c r="N2738" s="5" t="inlineStr">
        <is>
          <t>ExpectedDamage(perHit)</t>
        </is>
      </c>
      <c r="O2738" s="5" t="inlineStr">
        <is>
          <t>DPS</t>
        </is>
      </c>
      <c r="P2738" s="5" t="inlineStr">
        <is>
          <t>% of Total</t>
        </is>
      </c>
      <c r="Q2738" s="5" t="inlineStr">
        <is>
          <t>InvCooldown</t>
        </is>
      </c>
      <c r="R2738" s="5" t="inlineStr">
        <is>
          <t>CastsInFight</t>
        </is>
      </c>
      <c r="S2738" s="5" t="inlineStr">
        <is>
          <t>HitRate(perSec)</t>
        </is>
      </c>
      <c r="U2738" t="inlineStr">
        <is>
          <t>helpers</t>
        </is>
      </c>
    </row>
    <row r="2739">
      <c r="A2739">
        <f>Skills!A2</f>
        <v/>
      </c>
      <c r="B2739">
        <f>Skills!B2</f>
        <v/>
      </c>
      <c r="C2739">
        <f>Inputs!$B$3&gt;=100</f>
        <v/>
      </c>
      <c r="D2739" t="inlineStr"/>
      <c r="E2739" t="inlineStr"/>
      <c r="F2739">
        <f>U2741+Skills!O2</f>
        <v/>
      </c>
      <c r="G2739">
        <f>Skills!G2*IF(Skills!H2&gt;0,Skills!I2/Skills!H2,1)</f>
        <v/>
      </c>
      <c r="H2739">
        <f>1-(1-Skills!J2/100)^Skills!K2</f>
        <v/>
      </c>
      <c r="I2739" t="inlineStr">
        <is>
          <t>1</t>
        </is>
      </c>
      <c r="J2739">
        <f>((Inputs!$B$6*(1+Inputs!$B$7/100))+(((Inputs!$B$12*(1+Inputs!$B$13/100))-(Inputs!$B$12*(1+Inputs!$B$13/100)))+0.25*(Inputs!$B$14-Inputs!$B$14))*(1+Inputs!$B$7/100))*(F2739/100)</f>
        <v/>
      </c>
      <c r="K2739">
        <f>J2739*(1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2739)</f>
        <v/>
      </c>
      <c r="L2739">
        <f>K2739*(MIN(Inputs!$B$22+((C2757=TRUE)*(F2757-Calc!F20)),(Inputs!$B$23+0+(IF(ArtifactsInput!$M$15,CHOOSE(ArtifactsInput!$N$15+1,25,30,35,40,45,50)/100*(Inputs!$B$11-Inputs!$B$11),0))))/100+(Inputs!$B$23+0+(IF(ArtifactsInput!$M$15,CHOOSE(ArtifactsInput!$N$15+1,25,30,35,40,45,50)/100*(Inputs!$B$11-Inputs!$B$11),0)))/100)/2</f>
        <v/>
      </c>
      <c r="M2739">
        <f>L2739*(1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9">
        <f>L2739*(1-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2739*(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9">
        <f>(1-Summary!$B$11)*T2739+Summary!$B$11*V2739</f>
        <v/>
      </c>
      <c r="P2739">
        <f>IF(B2773=0,0,O2739/B2773)</f>
        <v/>
      </c>
      <c r="Q2739" t="n">
        <v>0</v>
      </c>
      <c r="R2739" t="n">
        <v>0</v>
      </c>
      <c r="S2739">
        <f>IFERROR(O2739/N2739,0)</f>
        <v/>
      </c>
      <c r="T2739">
        <f>IF(C2739,(Skills!G2*N2739*B2767)*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2739*(1-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2739*(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2739*(1-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2739*(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9">
        <f>MAX(0,(Inputs!$B$3-100)*3)+Inputs!$B$28+Inputs!$B$29</f>
        <v/>
      </c>
      <c r="V2739">
        <f>IF(C2739,(Skills!G2*N2739*B2767)*IF(Inputs!$B$38="pvp",1,(1+(Inputs!$B$21+Skills!Q2+(IF(ArtifactsInput!$M$33,CHOOSE(ArtifactsInput!$N$33+1,30,36,42,48,54,60),0))+(IF(AND(ArtifactsInput!$M$35,Inputs!$B$4&lt;&gt;"Chapter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0">
      <c r="A2740">
        <f>Skills!A3</f>
        <v/>
      </c>
      <c r="B2740">
        <f>Skills!B3</f>
        <v/>
      </c>
      <c r="C2740">
        <f>Inputs!$B$3&gt;=35</f>
        <v/>
      </c>
      <c r="D2740">
        <f>IF(Skills!C3=1,60+Inputs!$B$25+Inputs!$B$29,IF(Skills!C3=2,90+Inputs!$B$26+Inputs!$B$29,IF(Skills!C3=3,120+Inputs!$B$27+Inputs!$B$29,MAX(0,(Inputs!$B$3-100)*3)+Inputs!$B$28+Inputs!$B$29)))</f>
        <v/>
      </c>
      <c r="E2740">
        <f>INDEX(FactorTable!$B$2:$Y$301, MATCH(ROUND(MIN(300,MAX(1,D2740)),0), FactorTable!$A$2:$A$301,0), Skills!M3+1)</f>
        <v/>
      </c>
      <c r="F2740">
        <f>IF(Skills!N3=TRUE,(Skills!L3/10)*(E2740/1000),Skills!L3/10)+Skills!O3</f>
        <v/>
      </c>
      <c r="G2740">
        <f>Skills!G3*IF(Skills!H3&gt;0,Skills!I3/Skills!H3,1)</f>
        <v/>
      </c>
      <c r="H2740">
        <f>1-(1-Skills!J3/100)^Skills!K3</f>
        <v/>
      </c>
      <c r="I2740" t="inlineStr">
        <is>
          <t>1</t>
        </is>
      </c>
      <c r="J2740">
        <f>((Inputs!$B$6*(1+Inputs!$B$7/100))+(((Inputs!$B$12*(1+Inputs!$B$13/100))-(Inputs!$B$12*(1+Inputs!$B$13/100)))+0.25*(Inputs!$B$14-Inputs!$B$14))*(1+Inputs!$B$7/100))*(F2740/100)</f>
        <v/>
      </c>
      <c r="K2740">
        <f>J2740*(1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2740)</f>
        <v/>
      </c>
      <c r="L2740">
        <f>K2740*(MIN(Inputs!$B$22+((C2757=TRUE)*(F2757-Calc!F20)),(Inputs!$B$23+0+(IF(ArtifactsInput!$M$15,CHOOSE(ArtifactsInput!$N$15+1,25,30,35,40,45,50)/100*(Inputs!$B$11-Inputs!$B$11),0))))/100+(Inputs!$B$23+0+(IF(ArtifactsInput!$M$15,CHOOSE(ArtifactsInput!$N$15+1,25,30,35,40,45,50)/100*(Inputs!$B$11-Inputs!$B$11),0)))/100)/2</f>
        <v/>
      </c>
      <c r="M2740">
        <f>L2740*(1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0">
        <f>L2740*(1-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2740*(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0">
        <f>(1-Summary!$B$11)*T2740+Summary!$B$11*V2740</f>
        <v/>
      </c>
      <c r="P2740">
        <f>IF(B2773=0,0,O2740/B2773)</f>
        <v/>
      </c>
      <c r="Q2740" t="n">
        <v>0</v>
      </c>
      <c r="R2740" t="n">
        <v>0</v>
      </c>
      <c r="S2740">
        <f>IFERROR(O2740/N2740,0)</f>
        <v/>
      </c>
      <c r="T2740">
        <f>IF(C2740,(Skills!G3*H2740*N2740*B2767)*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2740*(1-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2740*(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2740*(1-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2740*(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0">
        <f>INDEX(FactorTable!$B$2:$Y$301, MATCH(ROUND(MIN(300,MAX(1,U2739)),0), FactorTable!$A$2:$A$301,0), 22)</f>
        <v/>
      </c>
      <c r="V2740">
        <f>IF(C2740,(Skills!G3*H2740*N2740*B2767)*IF(Inputs!$B$38="pvp",1,(1+(Inputs!$B$21+Skills!Q3+(IF(ArtifactsInput!$M$33,CHOOSE(ArtifactsInput!$N$33+1,30,36,42,48,54,60),0))+(IF(AND(ArtifactsInput!$M$35,Inputs!$B$4&lt;&gt;"Chapter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1">
      <c r="A2741">
        <f>Skills!A4</f>
        <v/>
      </c>
      <c r="B2741">
        <f>Skills!B4</f>
        <v/>
      </c>
      <c r="C2741">
        <f>Inputs!$B$3&gt;=60</f>
        <v/>
      </c>
      <c r="D2741">
        <f>IF(Skills!C4=1,60+Inputs!$B$25+Inputs!$B$29,IF(Skills!C4=2,90+Inputs!$B$26+Inputs!$B$29,IF(Skills!C4=3,120+Inputs!$B$27+Inputs!$B$29,MAX(0,(Inputs!$B$3-100)*3)+Inputs!$B$28+Inputs!$B$29)))</f>
        <v/>
      </c>
      <c r="E2741">
        <f>INDEX(FactorTable!$B$2:$Y$301, MATCH(ROUND(MIN(300,MAX(1,D2741)),0), FactorTable!$A$2:$A$301,0), Skills!M4+1)</f>
        <v/>
      </c>
      <c r="F2741">
        <f>IF(Skills!N4=TRUE,(Skills!L4/10)*(E2741/1000),Skills!L4/10)+Skills!O4</f>
        <v/>
      </c>
      <c r="G2741">
        <f>Skills!G4*IF(Skills!H4&gt;0,Skills!I4/Skills!H4,1)</f>
        <v/>
      </c>
      <c r="H2741">
        <f>1-(1-Skills!J4/100)^Skills!K4</f>
        <v/>
      </c>
      <c r="I2741" t="inlineStr">
        <is>
          <t>1</t>
        </is>
      </c>
      <c r="J2741">
        <f>((Inputs!$B$6*(1+Inputs!$B$7/100))+(((Inputs!$B$12*(1+Inputs!$B$13/100))-(Inputs!$B$12*(1+Inputs!$B$13/100)))+0.25*(Inputs!$B$14-Inputs!$B$14))*(1+Inputs!$B$7/100))*(F2741/100)</f>
        <v/>
      </c>
      <c r="K2741">
        <f>J2741*(1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2749=TRUE,F2749,0)/100)*(1+(IF(Skills!A4="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2741)</f>
        <v/>
      </c>
      <c r="L2741">
        <f>K2741*(MIN(Inputs!$B$22+((C2757=TRUE)*(F2757-Calc!F20)),(Inputs!$B$23+0+(IF(ArtifactsInput!$M$15,CHOOSE(ArtifactsInput!$N$15+1,25,30,35,40,45,50)/100*(Inputs!$B$11-Inputs!$B$11),0))))/100+(Inputs!$B$23+0+(IF(ArtifactsInput!$M$15,CHOOSE(ArtifactsInput!$N$15+1,25,30,35,40,45,50)/100*(Inputs!$B$11-Inputs!$B$11),0)))/100)/2</f>
        <v/>
      </c>
      <c r="M2741">
        <f>L2741*(1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1">
        <f>L2741*(1-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1">
        <f>(1-Summary!$B$11)*T2741+Summary!$B$11*V2741</f>
        <v/>
      </c>
      <c r="P2741">
        <f>IF(B2773=0,0,O2741/B2773)</f>
        <v/>
      </c>
      <c r="Q2741" t="n">
        <v>0</v>
      </c>
      <c r="R2741" t="n">
        <v>0</v>
      </c>
      <c r="S2741">
        <f>IFERROR(O2741/N2741,0)</f>
        <v/>
      </c>
      <c r="T2741">
        <f>IF(C2741,(Skills!G4*H2741*N2741*B2767)*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2741*(1-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2741*(1-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41">
        <f>290*U2740/1000</f>
        <v/>
      </c>
      <c r="V2741">
        <f>IF(C2741,(Skills!G4*H2741*N2741*B2767)*IF(Inputs!$B$38="pvp",1,(1+(Inputs!$B$21+Skills!Q4+(IF(ArtifactsInput!$M$33,CHOOSE(ArtifactsInput!$N$33+1,30,36,42,48,54,60),0))+(IF(AND(ArtifactsInput!$M$35,Inputs!$B$4&lt;&gt;"Chapter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2">
      <c r="A2742">
        <f>Skills!A5</f>
        <v/>
      </c>
      <c r="B2742">
        <f>Skills!B5</f>
        <v/>
      </c>
      <c r="C2742">
        <f>Inputs!$B$3&gt;=60</f>
        <v/>
      </c>
      <c r="D2742">
        <f>IF(Skills!C5=1,60+Inputs!$B$25+Inputs!$B$29,IF(Skills!C5=2,90+Inputs!$B$26+Inputs!$B$29,IF(Skills!C5=3,120+Inputs!$B$27+Inputs!$B$29,MAX(0,(Inputs!$B$3-100)*3)+Inputs!$B$28+Inputs!$B$29)))</f>
        <v/>
      </c>
      <c r="E2742">
        <f>INDEX(FactorTable!$B$2:$Y$301, MATCH(ROUND(MIN(300,MAX(1,D2742)),0), FactorTable!$A$2:$A$301,0), Skills!M5+1)</f>
        <v/>
      </c>
      <c r="F2742">
        <f>IF(Skills!N5=TRUE,(Skills!L5/10)*(E2742/1000),Skills!L5/10)+Skills!O5</f>
        <v/>
      </c>
      <c r="G2742">
        <f>Skills!G5*IF(Skills!H5&gt;0,Skills!I5/Skills!H5,1)</f>
        <v/>
      </c>
      <c r="H2742">
        <f>1-(1-Skills!J5/100)^Skills!K5</f>
        <v/>
      </c>
      <c r="I2742" t="inlineStr">
        <is>
          <t>1</t>
        </is>
      </c>
      <c r="J2742" t="inlineStr"/>
      <c r="K2742" t="inlineStr"/>
      <c r="L2742" t="inlineStr"/>
      <c r="M2742" t="inlineStr"/>
      <c r="N2742" t="inlineStr"/>
      <c r="O2742">
        <f>(1-Summary!$B$11)*T2742+Summary!$B$11*V2742</f>
        <v/>
      </c>
      <c r="P2742">
        <f>IF(B2773=0,0,O2742/B2773)</f>
        <v/>
      </c>
      <c r="Q2742" t="n">
        <v>0</v>
      </c>
      <c r="R2742" t="n">
        <v>0</v>
      </c>
      <c r="S2742">
        <f>IFERROR(O2742/N2742,0)</f>
        <v/>
      </c>
      <c r="T2742" t="n">
        <v>0</v>
      </c>
      <c r="V2742" t="n">
        <v>0</v>
      </c>
    </row>
    <row r="2743">
      <c r="A2743">
        <f>Skills!A6</f>
        <v/>
      </c>
      <c r="B2743">
        <f>Skills!B6</f>
        <v/>
      </c>
      <c r="C2743">
        <f>Inputs!$B$3&gt;=63</f>
        <v/>
      </c>
      <c r="D2743">
        <f>IF(Skills!C6=1,60+Inputs!$B$25+Inputs!$B$29,IF(Skills!C6=2,90+Inputs!$B$26+Inputs!$B$29,IF(Skills!C6=3,120+Inputs!$B$27+Inputs!$B$29,MAX(0,(Inputs!$B$3-100)*3)+Inputs!$B$28+Inputs!$B$29)))</f>
        <v/>
      </c>
      <c r="E2743">
        <f>INDEX(FactorTable!$B$2:$Y$301, MATCH(ROUND(MIN(300,MAX(1,D2743)),0), FactorTable!$A$2:$A$301,0), Skills!M6+1)</f>
        <v/>
      </c>
      <c r="F2743">
        <f>IF(Skills!N6=TRUE,(Skills!L6/10)*(E2743/1000),Skills!L6/10)+Skills!O6</f>
        <v/>
      </c>
      <c r="G2743">
        <f>Skills!G6*IF(Skills!H6&gt;0,Skills!I6/Skills!H6,1)</f>
        <v/>
      </c>
      <c r="H2743">
        <f>1-(1-Skills!J6/100)^Skills!K6</f>
        <v/>
      </c>
      <c r="I2743" t="inlineStr">
        <is>
          <t>1</t>
        </is>
      </c>
      <c r="J2743">
        <f>((Inputs!$B$6*(1+Inputs!$B$7/100))+(((Inputs!$B$12*(1+Inputs!$B$13/100))-(Inputs!$B$12*(1+Inputs!$B$13/100)))+0.25*(Inputs!$B$14-Inputs!$B$14))*(1+Inputs!$B$7/100))*(F2743/100)</f>
        <v/>
      </c>
      <c r="K2743">
        <f>J2743*(1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2749=TRUE,F2749,0)/100)*(1+(IF(Skills!A6="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2743)</f>
        <v/>
      </c>
      <c r="L2743">
        <f>K2743*(MIN(Inputs!$B$22+((C2757=TRUE)*(F2757-Calc!F20)),(Inputs!$B$23+0+(IF(ArtifactsInput!$M$15,CHOOSE(ArtifactsInput!$N$15+1,25,30,35,40,45,50)/100*(Inputs!$B$11-Inputs!$B$11),0))))/100+(Inputs!$B$23+0+(IF(ArtifactsInput!$M$15,CHOOSE(ArtifactsInput!$N$15+1,25,30,35,40,45,50)/100*(Inputs!$B$11-Inputs!$B$11),0)))/100)/2</f>
        <v/>
      </c>
      <c r="M2743">
        <f>L2743*(1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3">
        <f>L2743*(1-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2743*(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3">
        <f>(1-Summary!$B$11)*T2743+Summary!$B$11*V2743</f>
        <v/>
      </c>
      <c r="P2743">
        <f>IF(B2773=0,0,O2743/B2773)</f>
        <v/>
      </c>
      <c r="Q2743">
        <f>IFERROR(1/(IF(Inputs!$B$38="pvp",15,MAX(0.1,Skills!D6-IF(Skills!E6=TRUE,3.5,0)))*(1-IF(AND(ArtifactsInput!$M$27,Inputs!$B$4="Chapter Hunt"),CHOOSE(ArtifactsInput!$N$27+1,20,24,28,32,36,40),0)/100)),0)</f>
        <v/>
      </c>
      <c r="R2743">
        <f>IF(AND(Inputs!$B$38&lt;&gt;"pvp",Inputs!$B$43&gt;0),IF(MAX(0,Inputs!$B$43-B2770)&lt;=0,0,(INT(MAX(0,Inputs!$B$43-B2770)/(IF(Inputs!$B$38="pvp",15,MAX(0.1,Skills!D6-IF(Skills!E6=TRUE,3.5,0)))*(1-IF(AND(ArtifactsInput!$M$27,Inputs!$B$4="Chapter Hunt"),CHOOSE(ArtifactsInput!$N$27+1,20,24,28,32,36,40),0)/100)))+1)),0)</f>
        <v/>
      </c>
      <c r="S2743">
        <f>IFERROR(O2743/N2743,0)</f>
        <v/>
      </c>
      <c r="T2743">
        <f>IF(C2743,(H2743*N2743*IF(AND(Inputs!$B$38&lt;&gt;"pvp",Inputs!$B$43&gt;0),((Skills!G6*((R2743-1)*IF(Skills!H6&gt;0,Skills!I6/Skills!H6,1)+IF(Skills!H6&gt;0,MIN(Skills!I6,MAX(0,MAX(0,Inputs!$B$43-B2770)-((R2743-1)*(IF(Inputs!$B$38="pvp",15,MAX(0.1,Skills!D6-IF(Skills!E6=TRUE,3.5,0)))*(1-IF(AND(ArtifactsInput!$M$27,Inputs!$B$4="Chapter Hunt"),CHOOSE(ArtifactsInput!$N$27+1,20,24,28,32,36,40),0)/100)))))/Skills!H6,1)))/Inputs!$B$43),G2743*Q2743))*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2743*(1-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2743*(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2743*(1-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2743*(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3">
        <f>IF(C2743,(H2743*N2743*IF(AND(Inputs!$B$38&lt;&gt;"pvp",Inputs!$B$43&gt;0),((Skills!G6*((R2743-1)*IF(Skills!H6&gt;0,Skills!I6/Skills!H6,1)+IF(Skills!H6&gt;0,MIN(Skills!I6,MAX(0,MAX(0,Inputs!$B$43-B2770)-((R2743-1)*(IF(Inputs!$B$38="pvp",15,MAX(0.1,Skills!D6-IF(Skills!E6=TRUE,3.5,0)))*(1-IF(AND(ArtifactsInput!$M$27,Inputs!$B$4="Chapter Hunt"),CHOOSE(ArtifactsInput!$N$27+1,20,24,28,32,36,40),0)/100)))))/Skills!H6,1)))/Inputs!$B$43),G2743*Q2743))*IF(Inputs!$B$38="pvp",1,(1+(Inputs!$B$21+Skills!Q6+(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4">
      <c r="A2744">
        <f>Skills!A7</f>
        <v/>
      </c>
      <c r="B2744">
        <f>Skills!B7</f>
        <v/>
      </c>
      <c r="C2744">
        <f>Inputs!$B$3&gt;=100</f>
        <v/>
      </c>
      <c r="D2744">
        <f>IF(Skills!C7=1,60+Inputs!$B$25+Inputs!$B$29,IF(Skills!C7=2,90+Inputs!$B$26+Inputs!$B$29,IF(Skills!C7=3,120+Inputs!$B$27+Inputs!$B$29,MAX(0,(Inputs!$B$3-100)*3)+Inputs!$B$28+Inputs!$B$29)))</f>
        <v/>
      </c>
      <c r="E2744">
        <f>INDEX(FactorTable!$B$2:$Y$301, MATCH(ROUND(MIN(300,MAX(1,D2744)),0), FactorTable!$A$2:$A$301,0), Skills!M7+1)</f>
        <v/>
      </c>
      <c r="F2744">
        <f>IF(Skills!N7=TRUE,(Skills!L7/10)*(E2744/1000),Skills!L7/10)+Skills!O7</f>
        <v/>
      </c>
      <c r="G2744">
        <f>Skills!G7*IF(Skills!H7&gt;0,Skills!I7/Skills!H7,1)</f>
        <v/>
      </c>
      <c r="H2744">
        <f>1-(1-Skills!J7/100)^Skills!K7</f>
        <v/>
      </c>
      <c r="I2744" t="inlineStr">
        <is>
          <t>1</t>
        </is>
      </c>
      <c r="J2744">
        <f>((Inputs!$B$6*(1+Inputs!$B$7/100))+(((Inputs!$B$12*(1+Inputs!$B$13/100))-(Inputs!$B$12*(1+Inputs!$B$13/100)))+0.25*(Inputs!$B$14-Inputs!$B$14))*(1+Inputs!$B$7/100))*(F2744/100)</f>
        <v/>
      </c>
      <c r="K2744">
        <f>J2744*(1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2744)</f>
        <v/>
      </c>
      <c r="L2744">
        <f>K2744*(MIN(Inputs!$B$22+((C2757=TRUE)*(F2757-Calc!F20)),(Inputs!$B$23+0+(IF(ArtifactsInput!$M$15,CHOOSE(ArtifactsInput!$N$15+1,25,30,35,40,45,50)/100*(Inputs!$B$11-Inputs!$B$11),0))))/100+(Inputs!$B$23+0+(IF(ArtifactsInput!$M$15,CHOOSE(ArtifactsInput!$N$15+1,25,30,35,40,45,50)/100*(Inputs!$B$11-Inputs!$B$11),0)))/100)/2</f>
        <v/>
      </c>
      <c r="M2744">
        <f>L2744*(1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4">
        <f>L2744*(1-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2744*(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4">
        <f>(1-Summary!$B$11)*T2744+Summary!$B$11*V2744</f>
        <v/>
      </c>
      <c r="P2744">
        <f>IF(B2773=0,0,O2744/B2773)</f>
        <v/>
      </c>
      <c r="Q2744">
        <f>IFERROR(1/(IF(Inputs!$B$38="pvp",15,MAX(0.1,Skills!D7-IF(Skills!E7=TRUE,3.5,0)))*(1-IF(AND(ArtifactsInput!$M$27,Inputs!$B$4="Chapter Hunt"),CHOOSE(ArtifactsInput!$N$27+1,20,24,28,32,36,40),0)/100)),0)</f>
        <v/>
      </c>
      <c r="R2744">
        <f>IF(AND(Inputs!$B$38&lt;&gt;"pvp",Inputs!$B$43&gt;0),IF(MAX(0,Inputs!$B$43-B2770)&lt;=0,0,(INT(MAX(0,Inputs!$B$43-B2770)/(IF(Inputs!$B$38="pvp",15,MAX(0.1,Skills!D7-IF(Skills!E7=TRUE,3.5,0)))*(1-IF(AND(ArtifactsInput!$M$27,Inputs!$B$4="Chapter Hunt"),CHOOSE(ArtifactsInput!$N$27+1,20,24,28,32,36,40),0)/100)))+1)),0)</f>
        <v/>
      </c>
      <c r="S2744">
        <f>IFERROR(O2744/N2744,0)</f>
        <v/>
      </c>
      <c r="T2744">
        <f>IF(C2744,(H2744*N2744*IF(AND(Inputs!$B$38&lt;&gt;"pvp",Inputs!$B$43&gt;0),((Skills!G7*((R2744-1)*IF(Skills!H7&gt;0,Skills!I7/Skills!H7,1)+IF(Skills!H7&gt;0,MIN(Skills!I7,MAX(0,MAX(0,Inputs!$B$43-B2770)-((R2744-1)*(IF(Inputs!$B$38="pvp",15,MAX(0.1,Skills!D7-IF(Skills!E7=TRUE,3.5,0)))*(1-IF(AND(ArtifactsInput!$M$27,Inputs!$B$4="Chapter Hunt"),CHOOSE(ArtifactsInput!$N$27+1,20,24,28,32,36,40),0)/100)))))/Skills!H7,1)))/Inputs!$B$43),G2744*Q2744))*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2744*(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2744*(1-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2744*(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4">
        <f>IF(C2744,(H2744*N2744*IF(AND(Inputs!$B$38&lt;&gt;"pvp",Inputs!$B$43&gt;0),((Skills!G7*((R2744-1)*IF(Skills!H7&gt;0,Skills!I7/Skills!H7,1)+IF(Skills!H7&gt;0,MIN(Skills!I7,MAX(0,MAX(0,Inputs!$B$43-B2770)-((R2744-1)*(IF(Inputs!$B$38="pvp",15,MAX(0.1,Skills!D7-IF(Skills!E7=TRUE,3.5,0)))*(1-IF(AND(ArtifactsInput!$M$27,Inputs!$B$4="Chapter Hunt"),CHOOSE(ArtifactsInput!$N$27+1,20,24,28,32,36,40),0)/100)))))/Skills!H7,1)))/Inputs!$B$43),G2744*Q2744))*IF(Inputs!$B$38="pvp",1,(1+(Inputs!$B$21+Skills!Q7+(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5">
      <c r="A2745">
        <f>Skills!A8</f>
        <v/>
      </c>
      <c r="B2745">
        <f>Skills!B8</f>
        <v/>
      </c>
      <c r="C2745">
        <f>Inputs!$B$3&gt;=110</f>
        <v/>
      </c>
      <c r="D2745">
        <f>IF(Skills!C8=1,60+Inputs!$B$25+Inputs!$B$29,IF(Skills!C8=2,90+Inputs!$B$26+Inputs!$B$29,IF(Skills!C8=3,120+Inputs!$B$27+Inputs!$B$29,MAX(0,(Inputs!$B$3-100)*3)+Inputs!$B$28+Inputs!$B$29)))</f>
        <v/>
      </c>
      <c r="E2745">
        <f>INDEX(FactorTable!$B$2:$Y$301, MATCH(ROUND(MIN(300,MAX(1,D2745)),0), FactorTable!$A$2:$A$301,0), Skills!M8+1)</f>
        <v/>
      </c>
      <c r="F2745">
        <f>IF(Skills!N8=TRUE,(Skills!L8/10)*(E2745/1000),Skills!L8/10)+Skills!O8</f>
        <v/>
      </c>
      <c r="G2745">
        <f>Skills!G8*IF(Skills!H8&gt;0,Skills!I8/Skills!H8,1)</f>
        <v/>
      </c>
      <c r="H2745">
        <f>1-(1-Skills!J8/100)^Skills!K8</f>
        <v/>
      </c>
      <c r="I2745" t="inlineStr">
        <is>
          <t>1</t>
        </is>
      </c>
      <c r="J2745">
        <f>((Inputs!$B$6*(1+Inputs!$B$7/100))+(((Inputs!$B$12*(1+Inputs!$B$13/100))-(Inputs!$B$12*(1+Inputs!$B$13/100)))+0.25*(Inputs!$B$14-Inputs!$B$14))*(1+Inputs!$B$7/100))*(F2745/100)</f>
        <v/>
      </c>
      <c r="K2745">
        <f>J2745*(1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2745)</f>
        <v/>
      </c>
      <c r="L2745">
        <f>K2745*(MIN(Inputs!$B$22+((C2757=TRUE)*(F2757-Calc!F20)),(Inputs!$B$23+0+(IF(ArtifactsInput!$M$15,CHOOSE(ArtifactsInput!$N$15+1,25,30,35,40,45,50)/100*(Inputs!$B$11-Inputs!$B$11),0))))/100+(Inputs!$B$23+0+(IF(ArtifactsInput!$M$15,CHOOSE(ArtifactsInput!$N$15+1,25,30,35,40,45,50)/100*(Inputs!$B$11-Inputs!$B$11),0)))/100)/2</f>
        <v/>
      </c>
      <c r="M2745">
        <f>L2745*(1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5">
        <f>L2745*(1-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2745*(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5">
        <f>(1-Summary!$B$11)*T2745+Summary!$B$11*V2745</f>
        <v/>
      </c>
      <c r="P2745">
        <f>IF(B2773=0,0,O2745/B2773)</f>
        <v/>
      </c>
      <c r="Q2745">
        <f>IFERROR(1/(IF(Inputs!$B$38="pvp",15,MAX(0.1,Skills!D8-IF(Skills!E8=TRUE,3.5,0)))*(1-IF(AND(ArtifactsInput!$M$27,Inputs!$B$4="Chapter Hunt"),CHOOSE(ArtifactsInput!$N$27+1,20,24,28,32,36,40),0)/100)),0)</f>
        <v/>
      </c>
      <c r="R2745">
        <f>IF(AND(Inputs!$B$38&lt;&gt;"pvp",Inputs!$B$43&gt;0),IF(MAX(0,Inputs!$B$43-B2770)&lt;=0,0,(INT(MAX(0,Inputs!$B$43-B2770)/(IF(Inputs!$B$38="pvp",15,MAX(0.1,Skills!D8-IF(Skills!E8=TRUE,3.5,0)))*(1-IF(AND(ArtifactsInput!$M$27,Inputs!$B$4="Chapter Hunt"),CHOOSE(ArtifactsInput!$N$27+1,20,24,28,32,36,40),0)/100)))+1)),0)</f>
        <v/>
      </c>
      <c r="S2745">
        <f>IFERROR(O2745/N2745,0)</f>
        <v/>
      </c>
      <c r="T2745">
        <f>IF(C2745,(H2745*N2745*IF(AND(Inputs!$B$38&lt;&gt;"pvp",Inputs!$B$43&gt;0),((Skills!G8*((R2745-1)*IF(Skills!H8&gt;0,Skills!I8/Skills!H8,1)+IF(Skills!H8&gt;0,MIN(Skills!I8,MAX(0,MAX(0,Inputs!$B$43-B2770)-((R2745-1)*(IF(Inputs!$B$38="pvp",15,MAX(0.1,Skills!D8-IF(Skills!E8=TRUE,3.5,0)))*(1-IF(AND(ArtifactsInput!$M$27,Inputs!$B$4="Chapter Hunt"),CHOOSE(ArtifactsInput!$N$27+1,20,24,28,32,36,40),0)/100)))))/Skills!H8,1)))/Inputs!$B$43),G2745*Q2745))*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2745*(1-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2745*(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2745*(1-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2745*(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5">
        <f>IF(C2745,(H2745*N2745*IF(AND(Inputs!$B$38&lt;&gt;"pvp",Inputs!$B$43&gt;0),((Skills!G8*((R2745-1)*IF(Skills!H8&gt;0,Skills!I8/Skills!H8,1)+IF(Skills!H8&gt;0,MIN(Skills!I8,MAX(0,MAX(0,Inputs!$B$43-B2770)-((R2745-1)*(IF(Inputs!$B$38="pvp",15,MAX(0.1,Skills!D8-IF(Skills!E8=TRUE,3.5,0)))*(1-IF(AND(ArtifactsInput!$M$27,Inputs!$B$4="Chapter Hunt"),CHOOSE(ArtifactsInput!$N$27+1,20,24,28,32,36,40),0)/100)))))/Skills!H8,1)))/Inputs!$B$43),G2745*Q2745))*IF(Inputs!$B$38="pvp",1,(1+(Inputs!$B$21+Skills!Q8+(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6">
      <c r="A2746">
        <f>Skills!A9</f>
        <v/>
      </c>
      <c r="B2746">
        <f>Skills!B9</f>
        <v/>
      </c>
      <c r="C2746">
        <f>Inputs!$B$3&gt;=110</f>
        <v/>
      </c>
      <c r="D2746">
        <f>IF(Skills!C9=1,60+Inputs!$B$25+Inputs!$B$29,IF(Skills!C9=2,90+Inputs!$B$26+Inputs!$B$29,IF(Skills!C9=3,120+Inputs!$B$27+Inputs!$B$29,MAX(0,(Inputs!$B$3-100)*3)+Inputs!$B$28+Inputs!$B$29)))</f>
        <v/>
      </c>
      <c r="E2746">
        <f>INDEX(FactorTable!$B$2:$Y$301, MATCH(ROUND(MIN(300,MAX(1,D2746)),0), FactorTable!$A$2:$A$301,0), Skills!M9+1)</f>
        <v/>
      </c>
      <c r="F2746">
        <f>IF(Skills!N9=TRUE,(Skills!L9/10)*(E2746/1000),Skills!L9/10)+Skills!O9</f>
        <v/>
      </c>
      <c r="G2746">
        <f>Skills!G9*IF(Skills!H9&gt;0,Skills!I9/Skills!H9,1)</f>
        <v/>
      </c>
      <c r="H2746">
        <f>1-(1-Skills!J9/100)^Skills!K9</f>
        <v/>
      </c>
      <c r="I2746" t="inlineStr">
        <is>
          <t>1</t>
        </is>
      </c>
      <c r="J2746">
        <f>((Inputs!$B$6*(1+Inputs!$B$7/100))+(((Inputs!$B$12*(1+Inputs!$B$13/100))-(Inputs!$B$12*(1+Inputs!$B$13/100)))+0.25*(Inputs!$B$14-Inputs!$B$14))*(1+Inputs!$B$7/100))*(F2746/100)</f>
        <v/>
      </c>
      <c r="K2746">
        <f>J2746*(1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2746)</f>
        <v/>
      </c>
      <c r="L2746">
        <f>K2746*(MIN(Inputs!$B$22+((C2757=TRUE)*(F2757-Calc!F20)),(Inputs!$B$23+0+(IF(ArtifactsInput!$M$15,CHOOSE(ArtifactsInput!$N$15+1,25,30,35,40,45,50)/100*(Inputs!$B$11-Inputs!$B$11),0))))/100+(Inputs!$B$23+0+(IF(ArtifactsInput!$M$15,CHOOSE(ArtifactsInput!$N$15+1,25,30,35,40,45,50)/100*(Inputs!$B$11-Inputs!$B$11),0)))/100)/2</f>
        <v/>
      </c>
      <c r="M2746">
        <f>L2746*(1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6">
        <f>L2746*(1-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2746*(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6">
        <f>(1-Summary!$B$11)*T2746+Summary!$B$11*V2746</f>
        <v/>
      </c>
      <c r="P2746">
        <f>IF(B2773=0,0,O2746/B2773)</f>
        <v/>
      </c>
      <c r="Q2746">
        <f>IFERROR(1/(IF(Inputs!$B$38="pvp",15,MAX(0.1,Skills!D9-IF(Skills!E9=TRUE,3.5,0)))*(1-IF(AND(ArtifactsInput!$M$27,Inputs!$B$4="Chapter Hunt"),CHOOSE(ArtifactsInput!$N$27+1,20,24,28,32,36,40),0)/100)),0)</f>
        <v/>
      </c>
      <c r="R2746">
        <f>IF(AND(Inputs!$B$38&lt;&gt;"pvp",Inputs!$B$43&gt;0),IF(MAX(0,Inputs!$B$43-B2770)&lt;=0,0,(INT(MAX(0,Inputs!$B$43-B2770)/(IF(Inputs!$B$38="pvp",15,MAX(0.1,Skills!D9-IF(Skills!E9=TRUE,3.5,0)))*(1-IF(AND(ArtifactsInput!$M$27,Inputs!$B$4="Chapter Hunt"),CHOOSE(ArtifactsInput!$N$27+1,20,24,28,32,36,40),0)/100)))+1)),0)</f>
        <v/>
      </c>
      <c r="S2746">
        <f>IFERROR(O2746/N2746,0)</f>
        <v/>
      </c>
      <c r="T2746">
        <f>IF(C2746,(H2746*N2746*IF(AND(Inputs!$B$38&lt;&gt;"pvp",Inputs!$B$43&gt;0),((Skills!G9*((R2746-1)*IF(Skills!H9&gt;0,Skills!I9/Skills!H9,1)+IF(Skills!H9&gt;0,MIN(Skills!I9,MAX(0,MAX(0,Inputs!$B$43-B2770)-((R2746-1)*(IF(Inputs!$B$38="pvp",15,MAX(0.1,Skills!D9-IF(Skills!E9=TRUE,3.5,0)))*(1-IF(AND(ArtifactsInput!$M$27,Inputs!$B$4="Chapter Hunt"),CHOOSE(ArtifactsInput!$N$27+1,20,24,28,32,36,40),0)/100)))))/Skills!H9,1)))/Inputs!$B$43),G2746*Q2746))*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2746*(1-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2746*(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2746*(1-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2746*(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6">
        <f>IF(C2746,(H2746*N2746*IF(AND(Inputs!$B$38&lt;&gt;"pvp",Inputs!$B$43&gt;0),((Skills!G9*((R2746-1)*IF(Skills!H9&gt;0,Skills!I9/Skills!H9,1)+IF(Skills!H9&gt;0,MIN(Skills!I9,MAX(0,MAX(0,Inputs!$B$43-B2770)-((R2746-1)*(IF(Inputs!$B$38="pvp",15,MAX(0.1,Skills!D9-IF(Skills!E9=TRUE,3.5,0)))*(1-IF(AND(ArtifactsInput!$M$27,Inputs!$B$4="Chapter Hunt"),CHOOSE(ArtifactsInput!$N$27+1,20,24,28,32,36,40),0)/100)))))/Skills!H9,1)))/Inputs!$B$43),G2746*Q2746))*IF(Inputs!$B$38="pvp",1,(1+(Inputs!$B$21+Skills!Q9+(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7">
      <c r="A2747">
        <f>Skills!A10</f>
        <v/>
      </c>
      <c r="B2747">
        <f>Skills!B10</f>
        <v/>
      </c>
      <c r="C2747">
        <f>Inputs!$B$3&gt;=103</f>
        <v/>
      </c>
      <c r="D2747">
        <f>IF(Skills!C10=1,60+Inputs!$B$25+Inputs!$B$29,IF(Skills!C10=2,90+Inputs!$B$26+Inputs!$B$29,IF(Skills!C10=3,120+Inputs!$B$27+Inputs!$B$29,MAX(0,(Inputs!$B$3-100)*3)+Inputs!$B$28+Inputs!$B$29)))</f>
        <v/>
      </c>
      <c r="E2747">
        <f>INDEX(FactorTable!$B$2:$Y$301, MATCH(ROUND(MIN(300,MAX(1,D2747)),0), FactorTable!$A$2:$A$301,0), Skills!M10+1)</f>
        <v/>
      </c>
      <c r="F2747">
        <f>IF(Skills!N10=TRUE,(Skills!L10/10)*(E2747/1000),Skills!L10/10)+Skills!O10</f>
        <v/>
      </c>
      <c r="G2747">
        <f>Skills!G10*IF(Skills!H10&gt;0,Skills!I10/Skills!H10,1)</f>
        <v/>
      </c>
      <c r="H2747">
        <f>1-(1-Skills!J10/100)^Skills!K10</f>
        <v/>
      </c>
      <c r="I2747" t="inlineStr">
        <is>
          <t>1</t>
        </is>
      </c>
      <c r="J2747">
        <f>((Inputs!$B$6*(1+Inputs!$B$7/100))+(((Inputs!$B$12*(1+Inputs!$B$13/100))-(Inputs!$B$12*(1+Inputs!$B$13/100)))+0.25*(Inputs!$B$14-Inputs!$B$14))*(1+Inputs!$B$7/100))*(F2747/100)</f>
        <v/>
      </c>
      <c r="K2747">
        <f>J2747*(1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2747)</f>
        <v/>
      </c>
      <c r="L2747">
        <f>K2747*(MIN(Inputs!$B$22+((C2757=TRUE)*(F2757-Calc!F20)),(Inputs!$B$23+0+(IF(ArtifactsInput!$M$15,CHOOSE(ArtifactsInput!$N$15+1,25,30,35,40,45,50)/100*(Inputs!$B$11-Inputs!$B$11),0))))/100+(Inputs!$B$23+0+(IF(ArtifactsInput!$M$15,CHOOSE(ArtifactsInput!$N$15+1,25,30,35,40,45,50)/100*(Inputs!$B$11-Inputs!$B$11),0)))/100)/2</f>
        <v/>
      </c>
      <c r="M2747">
        <f>L2747*(1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7">
        <f>L2747*(1-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2747*(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7">
        <f>(1-Summary!$B$11)*T2747+Summary!$B$11*V2747</f>
        <v/>
      </c>
      <c r="P2747">
        <f>IF(B2773=0,0,O2747/B2773)</f>
        <v/>
      </c>
      <c r="Q2747">
        <f>IFERROR(1/(IF(Inputs!$B$38="pvp",15,MAX(0.1,Skills!D10-IF(Skills!E10=TRUE,3.5,0)))*(1-IF(AND(ArtifactsInput!$M$27,Inputs!$B$4="Chapter Hunt"),CHOOSE(ArtifactsInput!$N$27+1,20,24,28,32,36,40),0)/100)),0)</f>
        <v/>
      </c>
      <c r="R2747">
        <f>IF(AND(Inputs!$B$38&lt;&gt;"pvp",Inputs!$B$43&gt;0),IF(MAX(0,Inputs!$B$43-B2770)&lt;=0,0,(INT(MAX(0,Inputs!$B$43-B2770)/(IF(Inputs!$B$38="pvp",15,MAX(0.1,Skills!D10-IF(Skills!E10=TRUE,3.5,0)))*(1-IF(AND(ArtifactsInput!$M$27,Inputs!$B$4="Chapter Hunt"),CHOOSE(ArtifactsInput!$N$27+1,20,24,28,32,36,40),0)/100)))+1)),0)</f>
        <v/>
      </c>
      <c r="S2747">
        <f>IFERROR(O2747/N2747,0)</f>
        <v/>
      </c>
      <c r="T2747">
        <f>IF(C2747,(H2747*N2747*IF(AND(Inputs!$B$38&lt;&gt;"pvp",Inputs!$B$43&gt;0),((Skills!G10*((R2747-1)*IF(Skills!H10&gt;0,Skills!I10/Skills!H10,1)+IF(Skills!H10&gt;0,MIN(Skills!I10,MAX(0,MAX(0,Inputs!$B$43-B2770)-((R2747-1)*(IF(Inputs!$B$38="pvp",15,MAX(0.1,Skills!D10-IF(Skills!E10=TRUE,3.5,0)))*(1-IF(AND(ArtifactsInput!$M$27,Inputs!$B$4="Chapter Hunt"),CHOOSE(ArtifactsInput!$N$27+1,20,24,28,32,36,40),0)/100)))))/Skills!H10,1)))/Inputs!$B$43),G2747*Q2747))*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2747*(1-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2747*(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2747*(1-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2747*(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7">
        <f>IF(C2747,(H2747*N2747*IF(AND(Inputs!$B$38&lt;&gt;"pvp",Inputs!$B$43&gt;0),((Skills!G10*((R2747-1)*IF(Skills!H10&gt;0,Skills!I10/Skills!H10,1)+IF(Skills!H10&gt;0,MIN(Skills!I10,MAX(0,MAX(0,Inputs!$B$43-B2770)-((R2747-1)*(IF(Inputs!$B$38="pvp",15,MAX(0.1,Skills!D10-IF(Skills!E10=TRUE,3.5,0)))*(1-IF(AND(ArtifactsInput!$M$27,Inputs!$B$4="Chapter Hunt"),CHOOSE(ArtifactsInput!$N$27+1,20,24,28,32,36,40),0)/100)))))/Skills!H10,1)))/Inputs!$B$43),G2747*Q2747))*IF(Inputs!$B$38="pvp",1,(1+(Inputs!$B$21+Skills!Q10+(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8">
      <c r="A2748">
        <f>Skills!A11</f>
        <v/>
      </c>
      <c r="B2748">
        <f>Skills!B11</f>
        <v/>
      </c>
      <c r="C2748">
        <f>Inputs!$B$3&gt;=113</f>
        <v/>
      </c>
      <c r="D2748">
        <f>IF(Skills!C11=1,60+Inputs!$B$25+Inputs!$B$29,IF(Skills!C11=2,90+Inputs!$B$26+Inputs!$B$29,IF(Skills!C11=3,120+Inputs!$B$27+Inputs!$B$29,MAX(0,(Inputs!$B$3-100)*3)+Inputs!$B$28+Inputs!$B$29)))</f>
        <v/>
      </c>
      <c r="E2748">
        <f>INDEX(FactorTable!$B$2:$Y$301, MATCH(ROUND(MIN(300,MAX(1,D2748)),0), FactorTable!$A$2:$A$301,0), Skills!M11+1)</f>
        <v/>
      </c>
      <c r="F2748">
        <f>IF(Skills!N11=TRUE,(Skills!L11/10)*(E2748/1000),Skills!L11/10)+Skills!O11</f>
        <v/>
      </c>
      <c r="G2748">
        <f>Skills!G11*IF(Skills!H11&gt;0,Skills!I11/Skills!H11,1)</f>
        <v/>
      </c>
      <c r="H2748">
        <f>1-(1-Skills!J11/100)^Skills!K11</f>
        <v/>
      </c>
      <c r="I2748" t="inlineStr">
        <is>
          <t>1</t>
        </is>
      </c>
      <c r="J2748">
        <f>((Inputs!$B$6*(1+Inputs!$B$7/100))+(((Inputs!$B$12*(1+Inputs!$B$13/100))-(Inputs!$B$12*(1+Inputs!$B$13/100)))+0.25*(Inputs!$B$14-Inputs!$B$14))*(1+Inputs!$B$7/100))*(F2748/100)</f>
        <v/>
      </c>
      <c r="K2748">
        <f>J2748*(1+((Inputs!$B$12*(1+Inputs!$B$13/100))*0.01+Inputs!$B$14*0.0025)/100)*(1+Inputs!$B$15/100)*(1+Inputs!$B$16/100)*(5000/(6000+Inputs!$B$42*(1-(100*(1-(1-(Inputs!$B$19+0)/100)*(1-CHOOSE(ArtifactsInput!$N$40+1,5,6,7,8,9,10)/100)^(ArtifactsInput!$M$40-ArtifactsInput!$M$40)))/100)))*(1+(Inputs!$B$24+((C2759=TRUE)*(F2759-Calc!F22))+B2769)/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2758=TRUE)*(F2758-Calc!F21))+(((IF(AND(ArtifactsInput!$M$42,((Inputs!$B$9+((C2753=TRUE)*(F2753-Calc!F16))+B2763+(ArtifactsInput!$M$24-ArtifactsInput!$M$24)*CHOOSE(ArtifactsInput!$N$24+1,10,12,14,16,18,20)+IF(ArtifactsInput!$M$10,CHOOSE(ArtifactsInput!$N$10+1,15,18,21,24,27,30)*(IF(Inputs!$B$38="pvp",MIN(15,15)/15,IF(AND(Inputs!$B$38&lt;&gt;"pvp",Inputs!$B$43&gt;0),MIN(15,Inputs!$B$43)/(Inputs!$B$43),0))),0)))&gt;=100),MIN(100,((Inputs!$B$9+((C2753=TRUE)*(F2753-Calc!F16))+B2763+(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2753=TRUE)*(F2753-Calc!F16))+B2763+(ArtifactsInput!$M$24-ArtifactsInput!$M$24)*CHOOSE(ArtifactsInput!$N$24+1,10,12,14,16,18,20)+IF(ArtifactsInput!$M$10,CHOOSE(ArtifactsInput!$N$10+1,15,18,21,24,27,30)*(IF(Inputs!$B$38="pvp",MIN(15,15)/15,IF(AND(Inputs!$B$38&lt;&gt;"pvp",Inputs!$B$43&gt;0),MIN(15,Inputs!$B$43)/(Inputs!$B$43),0))),0)))&gt;=100),CHOOSE(ArtifactsInput!$N$42+1,40,48,56,64,72,80),0))))/100)*((1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2748)</f>
        <v/>
      </c>
      <c r="L2748">
        <f>K2748*(MIN(Inputs!$B$22+((C2757=TRUE)*(F2757-Calc!F20)),(Inputs!$B$23+0+(IF(ArtifactsInput!$M$15,CHOOSE(ArtifactsInput!$N$15+1,25,30,35,40,45,50)/100*(Inputs!$B$11-Inputs!$B$11),0))))/100+(Inputs!$B$23+0+(IF(ArtifactsInput!$M$15,CHOOSE(ArtifactsInput!$N$15+1,25,30,35,40,45,50)/100*(Inputs!$B$11-Inputs!$B$11),0)))/100)/2</f>
        <v/>
      </c>
      <c r="M2748">
        <f>L2748*(1+(Inputs!$B$10+0+B2768+(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48">
        <f>L2748*(1-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2748*(MIN((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48">
        <f>(1-Summary!$B$11)*T2748+Summary!$B$11*V2748</f>
        <v/>
      </c>
      <c r="P2748">
        <f>IF(B2773=0,0,O2748/B2773)</f>
        <v/>
      </c>
      <c r="Q2748">
        <f>IFERROR(1/(IF(Inputs!$B$38="pvp",15,MAX(0.1,Skills!D11-IF(Skills!E11=TRUE,3.5,0)))*(1-IF(AND(ArtifactsInput!$M$27,Inputs!$B$4="Chapter Hunt"),CHOOSE(ArtifactsInput!$N$27+1,20,24,28,32,36,40),0)/100)),0)</f>
        <v/>
      </c>
      <c r="R2748">
        <f>IF(AND(Inputs!$B$38&lt;&gt;"pvp",Inputs!$B$43&gt;0),IF(MAX(0,Inputs!$B$43-B2770)&lt;=0,0,(INT(MAX(0,Inputs!$B$43-B2770)/(IF(Inputs!$B$38="pvp",15,MAX(0.1,Skills!D11-IF(Skills!E11=TRUE,3.5,0)))*(1-IF(AND(ArtifactsInput!$M$27,Inputs!$B$4="Chapter Hunt"),CHOOSE(ArtifactsInput!$N$27+1,20,24,28,32,36,40),0)/100)))+1)),0)</f>
        <v/>
      </c>
      <c r="S2748">
        <f>IFERROR(O2748/N2748,0)</f>
        <v/>
      </c>
      <c r="T2748">
        <f>IF(C2748,(H2748*N2748*IF(AND(Inputs!$B$38&lt;&gt;"pvp",Inputs!$B$43&gt;0),((Skills!G11*((R2748-1)*IF(Skills!H11&gt;0,Skills!I11/Skills!H11,1)+IF(Skills!H11&gt;0,MIN(Skills!I11,MAX(0,MAX(0,Inputs!$B$43-B2770)-((R2748-1)*(IF(Inputs!$B$38="pvp",15,MAX(0.1,Skills!D11-IF(Skills!E11=TRUE,3.5,0)))*(1-IF(AND(ArtifactsInput!$M$27,Inputs!$B$4="Chapter Hunt"),CHOOSE(ArtifactsInput!$N$27+1,20,24,28,32,36,40),0)/100)))))/Skills!H11,1)))/Inputs!$B$43),G2748*Q2748))*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2748*(1-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2748*(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2748*(1-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2748*(MIN(100,(Inputs!$B$9+((C2753=TRUE)*(F2753-Calc!F16))+B2763+(ArtifactsInput!$M$24-ArtifactsInput!$M$24)*CHOOSE(ArtifactsInput!$N$24+1,10,12,14,16,18,20)+(IF(AND(ArtifactsInput!$M$42,((Inputs!$B$9+((C2753=TRUE)*(F2753-Calc!F16))+B2763+(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48">
        <f>IF(C2748,(H2748*N2748*IF(AND(Inputs!$B$38&lt;&gt;"pvp",Inputs!$B$43&gt;0),((Skills!G11*((R2748-1)*IF(Skills!H11&gt;0,Skills!I11/Skills!H11,1)+IF(Skills!H11&gt;0,MIN(Skills!I11,MAX(0,MAX(0,Inputs!$B$43-B2770)-((R2748-1)*(IF(Inputs!$B$38="pvp",15,MAX(0.1,Skills!D11-IF(Skills!E11=TRUE,3.5,0)))*(1-IF(AND(ArtifactsInput!$M$27,Inputs!$B$4="Chapter Hunt"),CHOOSE(ArtifactsInput!$N$27+1,20,24,28,32,36,40),0)/100)))))/Skills!H11,1)))/Inputs!$B$43),G2748*Q2748))*IF(Inputs!$B$38="pvp",1,(1+(Inputs!$B$21+Skills!Q11+(IF(ArtifactsInput!$M$33,CHOOSE(ArtifactsInput!$N$33+1,30,36,42,48,54,60),0))+(IF(AND(ArtifactsInput!$M$35,Inputs!$B$4&lt;&gt;"Chapter Hunt"),CHOOSE(ArtifactsInput!$N$35+1,15,18,21,24,27,30)*(1-EXP(-(0.2*B2765)*5)),0)+IF(AND(ArtifactsInput!$M$22,Inputs!$B$4&lt;&gt;"Chapter Hunt"),CHOOSE(ArtifactsInput!$N$22+1,10,12,14,16,18,20)*((0*(((0.15*B2765*5))^0/1)+1*(((0.15*B2765*5))^1/1)+2*(((0.15*B2765*5))^2/2)+3*(((0.15*B2765*5))^3/6)+4*(((0.15*B2765*5))^4/24)+5*(((0.15*B2765*5))^5/120))/((((0.15*B2765*5))^0/1)+(((0.15*B2765*5))^1/1)+(((0.15*B2765*5))^2/2)+(((0.15*B2765*5))^3/6)+(((0.15*B2765*5))^4/24)+(((0.15*B2765*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49">
      <c r="A2749">
        <f>Skills!A12</f>
        <v/>
      </c>
      <c r="B2749">
        <f>Skills!B12</f>
        <v/>
      </c>
      <c r="C2749">
        <f>Inputs!$B$3&gt;=100</f>
        <v/>
      </c>
      <c r="D2749">
        <f>IF(Skills!C12=1,60+Inputs!$B$25+Inputs!$B$29,IF(Skills!C12=2,90+Inputs!$B$26+Inputs!$B$29,IF(Skills!C12=3,120+Inputs!$B$27+Inputs!$B$29,MAX(0,(Inputs!$B$3-100)*3)+Inputs!$B$28+Inputs!$B$29)))</f>
        <v/>
      </c>
      <c r="E2749">
        <f>INDEX(FactorTable!$B$2:$Y$301, MATCH(ROUND(MIN(300,MAX(1,D2749)),0), FactorTable!$A$2:$A$301,0), Skills!M12+1)</f>
        <v/>
      </c>
      <c r="F2749">
        <f>IF(Skills!N12=TRUE,(Skills!L12/10)*(E2749/1000),Skills!L12/10)+Skills!O12</f>
        <v/>
      </c>
      <c r="G2749" t="inlineStr"/>
      <c r="H2749" t="inlineStr"/>
      <c r="I2749" t="inlineStr">
        <is>
          <t>1</t>
        </is>
      </c>
      <c r="J2749" t="inlineStr"/>
      <c r="K2749" t="inlineStr"/>
      <c r="L2749" t="inlineStr"/>
      <c r="M2749" t="inlineStr"/>
      <c r="N2749" t="inlineStr"/>
      <c r="O2749" t="inlineStr"/>
      <c r="P2749" t="inlineStr"/>
      <c r="Q2749" t="inlineStr"/>
      <c r="R2749" t="inlineStr"/>
      <c r="S2749" t="inlineStr"/>
      <c r="T2749" t="inlineStr"/>
      <c r="V2749" t="inlineStr"/>
    </row>
    <row r="2750">
      <c r="A2750">
        <f>Skills!A13</f>
        <v/>
      </c>
      <c r="B2750">
        <f>Skills!B13</f>
        <v/>
      </c>
      <c r="C2750">
        <f>Inputs!$B$3&gt;=66</f>
        <v/>
      </c>
      <c r="D2750">
        <f>IF(Skills!C13=1,60+Inputs!$B$25+Inputs!$B$29,IF(Skills!C13=2,90+Inputs!$B$26+Inputs!$B$29,IF(Skills!C13=3,120+Inputs!$B$27+Inputs!$B$29,MAX(0,(Inputs!$B$3-100)*3)+Inputs!$B$28+Inputs!$B$29)))</f>
        <v/>
      </c>
      <c r="E2750">
        <f>INDEX(FactorTable!$B$2:$Y$301, MATCH(ROUND(MIN(300,MAX(1,D2750)),0), FactorTable!$A$2:$A$301,0), Skills!M13+1)</f>
        <v/>
      </c>
      <c r="F2750">
        <f>IF(Skills!N13=TRUE,(Skills!L13/10)*(E2750/1000),Skills!L13/10)+Skills!O13</f>
        <v/>
      </c>
      <c r="G2750">
        <f>Skills!G13*IF(Skills!H13&gt;0,Skills!I13/Skills!H13,1)</f>
        <v/>
      </c>
      <c r="H2750">
        <f>1-(1-Skills!J13/100)^Skills!K13</f>
        <v/>
      </c>
      <c r="I2750" t="inlineStr">
        <is>
          <t>1</t>
        </is>
      </c>
      <c r="J2750" t="inlineStr"/>
      <c r="K2750" t="inlineStr"/>
      <c r="L2750" t="inlineStr"/>
      <c r="M2750" t="inlineStr"/>
      <c r="N2750" t="inlineStr"/>
      <c r="O2750">
        <f>(1-Summary!$B$11)*T2750+Summary!$B$11*V2750</f>
        <v/>
      </c>
      <c r="P2750">
        <f>IF(B2773=0,0,O2750/B2773)</f>
        <v/>
      </c>
      <c r="Q2750" t="n">
        <v>0</v>
      </c>
      <c r="R2750" t="n">
        <v>0</v>
      </c>
      <c r="S2750">
        <f>IFERROR(O2750/N2750,0)</f>
        <v/>
      </c>
      <c r="T2750" t="n">
        <v>0</v>
      </c>
      <c r="V2750" t="n">
        <v>0</v>
      </c>
    </row>
    <row r="2751">
      <c r="A2751">
        <f>Skills!A14</f>
        <v/>
      </c>
      <c r="B2751">
        <f>Skills!B14</f>
        <v/>
      </c>
      <c r="C2751">
        <f>Inputs!$B$3&gt;=107</f>
        <v/>
      </c>
      <c r="D2751">
        <f>IF(Skills!C14=1,60+Inputs!$B$25+Inputs!$B$29,IF(Skills!C14=2,90+Inputs!$B$26+Inputs!$B$29,IF(Skills!C14=3,120+Inputs!$B$27+Inputs!$B$29,MAX(0,(Inputs!$B$3-100)*3)+Inputs!$B$28+Inputs!$B$29)))</f>
        <v/>
      </c>
      <c r="E2751">
        <f>INDEX(FactorTable!$B$2:$Y$301, MATCH(ROUND(MIN(300,MAX(1,D2751)),0), FactorTable!$A$2:$A$301,0), Skills!M14+1)</f>
        <v/>
      </c>
      <c r="F2751">
        <f>IF(Skills!N14=TRUE,(Skills!L14/10)*(E2751/1000),Skills!L14/10)+Skills!O14</f>
        <v/>
      </c>
      <c r="G2751">
        <f>Skills!G14*IF(Skills!H14&gt;0,Skills!I14/Skills!H14,1)</f>
        <v/>
      </c>
      <c r="H2751">
        <f>1-(1-Skills!J14/100)^Skills!K14</f>
        <v/>
      </c>
      <c r="I2751" t="inlineStr">
        <is>
          <t>1</t>
        </is>
      </c>
      <c r="J2751" t="inlineStr"/>
      <c r="K2751" t="inlineStr"/>
      <c r="L2751" t="inlineStr"/>
      <c r="M2751" t="inlineStr"/>
      <c r="N2751" t="inlineStr"/>
      <c r="O2751">
        <f>(1-Summary!$B$11)*T2751+Summary!$B$11*V2751</f>
        <v/>
      </c>
      <c r="P2751">
        <f>IF(B2773=0,0,O2751/B2773)</f>
        <v/>
      </c>
      <c r="Q2751">
        <f>IFERROR(1/(IF(Inputs!$B$38="pvp",15,MAX(0.1,Skills!D14-IF(Skills!E14=TRUE,3.5,0)))*(1-IF(AND(ArtifactsInput!$M$27,Inputs!$B$4="Chapter Hunt"),CHOOSE(ArtifactsInput!$N$27+1,20,24,28,32,36,40),0)/100)),0)</f>
        <v/>
      </c>
      <c r="R2751">
        <f>IF(AND(Inputs!$B$38&lt;&gt;"pvp",Inputs!$B$43&gt;0),IF(Inputs!$B$43&lt;=0,0,(INT(Inputs!$B$43/(IF(Inputs!$B$38="pvp",15,MAX(0.1,Skills!D14-IF(Skills!E14=TRUE,3.5,0)))*(1-IF(AND(ArtifactsInput!$M$27,Inputs!$B$4="Chapter Hunt"),CHOOSE(ArtifactsInput!$N$27+1,20,24,28,32,36,40),0)/100)))+1)),0)</f>
        <v/>
      </c>
      <c r="S2751">
        <f>IFERROR(O2751/N2751,0)</f>
        <v/>
      </c>
      <c r="T2751" t="n">
        <v>0</v>
      </c>
      <c r="V2751" t="n">
        <v>0</v>
      </c>
    </row>
    <row r="2752">
      <c r="A2752">
        <f>Skills!A15</f>
        <v/>
      </c>
      <c r="B2752">
        <f>Skills!B15</f>
        <v/>
      </c>
      <c r="C2752">
        <f>Inputs!$B$3&gt;=115</f>
        <v/>
      </c>
      <c r="D2752">
        <f>IF(Skills!C15=1,60+Inputs!$B$25+Inputs!$B$29,IF(Skills!C15=2,90+Inputs!$B$26+Inputs!$B$29,IF(Skills!C15=3,120+Inputs!$B$27+Inputs!$B$29,MAX(0,(Inputs!$B$3-100)*3)+Inputs!$B$28+Inputs!$B$29)))</f>
        <v/>
      </c>
      <c r="E2752">
        <f>INDEX(FactorTable!$B$2:$Y$301, MATCH(ROUND(MIN(300,MAX(1,D2752)),0), FactorTable!$A$2:$A$301,0), Skills!M15+1)</f>
        <v/>
      </c>
      <c r="F2752">
        <f>IF(Skills!N15=TRUE,(Skills!L15/10)*(E2752/1000),Skills!L15/10)+Skills!O15</f>
        <v/>
      </c>
      <c r="G2752">
        <f>Skills!G15*IF(Skills!H15&gt;0,Skills!I15/Skills!H15,1)</f>
        <v/>
      </c>
      <c r="H2752">
        <f>1-(1-Skills!J15/100)^Skills!K15</f>
        <v/>
      </c>
      <c r="I2752" t="inlineStr">
        <is>
          <t>1</t>
        </is>
      </c>
      <c r="J2752" t="inlineStr"/>
      <c r="K2752" t="inlineStr"/>
      <c r="L2752" t="inlineStr"/>
      <c r="M2752" t="inlineStr"/>
      <c r="N2752" t="inlineStr"/>
      <c r="O2752">
        <f>(1-Summary!$B$11)*T2752+Summary!$B$11*V2752</f>
        <v/>
      </c>
      <c r="P2752">
        <f>IF(B2773=0,0,O2752/B2773)</f>
        <v/>
      </c>
      <c r="Q2752">
        <f>IFERROR(1/(IF(Inputs!$B$38="pvp",15,MAX(0.1,Skills!D15-IF(Skills!E15=TRUE,3.5,0)))*(1-IF(AND(ArtifactsInput!$M$27,Inputs!$B$4="Chapter Hunt"),CHOOSE(ArtifactsInput!$N$27+1,20,24,28,32,36,40),0)/100)),0)</f>
        <v/>
      </c>
      <c r="R2752">
        <f>IF(AND(Inputs!$B$38&lt;&gt;"pvp",Inputs!$B$43&gt;0),IF(Inputs!$B$43&lt;=0,0,(INT(Inputs!$B$43/(IF(Inputs!$B$38="pvp",15,MAX(0.1,Skills!D15-IF(Skills!E15=TRUE,3.5,0)))*(1-IF(AND(ArtifactsInput!$M$27,Inputs!$B$4="Chapter Hunt"),CHOOSE(ArtifactsInput!$N$27+1,20,24,28,32,36,40),0)/100)))+1)),0)</f>
        <v/>
      </c>
      <c r="S2752">
        <f>IFERROR(O2752/N2752,0)</f>
        <v/>
      </c>
      <c r="T2752" t="n">
        <v>0</v>
      </c>
      <c r="V2752" t="n">
        <v>0</v>
      </c>
    </row>
    <row r="2753">
      <c r="A2753">
        <f>Skills!A16</f>
        <v/>
      </c>
      <c r="B2753">
        <f>Skills!B16</f>
        <v/>
      </c>
      <c r="C2753">
        <f>Inputs!$B$3&gt;=15</f>
        <v/>
      </c>
      <c r="D2753">
        <f>IF(Skills!C16=1,60+Inputs!$B$25+Inputs!$B$29,IF(Skills!C16=2,90+Inputs!$B$26+Inputs!$B$29,IF(Skills!C16=3,120+Inputs!$B$27+Inputs!$B$29,MAX(0,(Inputs!$B$3-100)*3)+Inputs!$B$28+Inputs!$B$29)))</f>
        <v/>
      </c>
      <c r="E2753">
        <f>INDEX(FactorTable!$B$2:$Y$301, MATCH(ROUND(MIN(300,MAX(1,D2753)),0), FactorTable!$A$2:$A$301,0), Skills!M16+1)</f>
        <v/>
      </c>
      <c r="F2753">
        <f>IF(Skills!N16=TRUE,(Skills!L16/10)*(E2753/1000),Skills!L16/10)+Skills!O16</f>
        <v/>
      </c>
      <c r="G2753">
        <f>Skills!G16*IF(Skills!H16&gt;0,Skills!I16/Skills!H16,1)</f>
        <v/>
      </c>
      <c r="H2753">
        <f>1-(1-Skills!J16/100)^Skills!K16</f>
        <v/>
      </c>
      <c r="I2753" t="inlineStr">
        <is>
          <t>1</t>
        </is>
      </c>
      <c r="J2753" t="inlineStr"/>
      <c r="K2753" t="inlineStr"/>
      <c r="L2753" t="inlineStr"/>
      <c r="M2753" t="inlineStr"/>
      <c r="N2753" t="inlineStr"/>
      <c r="O2753">
        <f>(1-Summary!$B$11)*T2753+Summary!$B$11*V2753</f>
        <v/>
      </c>
      <c r="P2753">
        <f>IF(B2773=0,0,O2753/B2773)</f>
        <v/>
      </c>
      <c r="Q2753" t="n">
        <v>0</v>
      </c>
      <c r="R2753" t="n">
        <v>0</v>
      </c>
      <c r="S2753">
        <f>IFERROR(O2753/N2753,0)</f>
        <v/>
      </c>
      <c r="T2753" t="n">
        <v>0</v>
      </c>
      <c r="V2753" t="n">
        <v>0</v>
      </c>
    </row>
    <row r="2754">
      <c r="A2754">
        <f>Skills!A17</f>
        <v/>
      </c>
      <c r="B2754">
        <f>Skills!B17</f>
        <v/>
      </c>
      <c r="C2754">
        <f>Inputs!$B$3&gt;=10</f>
        <v/>
      </c>
      <c r="D2754">
        <f>IF(Skills!C17=1,60+Inputs!$B$25+Inputs!$B$29,IF(Skills!C17=2,90+Inputs!$B$26+Inputs!$B$29,IF(Skills!C17=3,120+Inputs!$B$27+Inputs!$B$29,MAX(0,(Inputs!$B$3-100)*3)+Inputs!$B$28+Inputs!$B$29)))</f>
        <v/>
      </c>
      <c r="E2754">
        <f>INDEX(FactorTable!$B$2:$Y$301, MATCH(ROUND(MIN(300,MAX(1,D2754)),0), FactorTable!$A$2:$A$301,0), Skills!M17+1)</f>
        <v/>
      </c>
      <c r="F2754">
        <f>IF(Skills!N17=TRUE,(Skills!L17/10)*(E2754/1000),Skills!L17/10)+Skills!O17</f>
        <v/>
      </c>
      <c r="G2754">
        <f>Skills!G17*IF(Skills!H17&gt;0,Skills!I17/Skills!H17,1)</f>
        <v/>
      </c>
      <c r="H2754">
        <f>1-(1-Skills!J17/100)^Skills!K17</f>
        <v/>
      </c>
      <c r="I2754" t="inlineStr">
        <is>
          <t>1</t>
        </is>
      </c>
      <c r="J2754" t="inlineStr"/>
      <c r="K2754" t="inlineStr"/>
      <c r="L2754" t="inlineStr"/>
      <c r="M2754" t="inlineStr"/>
      <c r="N2754" t="inlineStr"/>
      <c r="O2754">
        <f>(1-Summary!$B$11)*T2754+Summary!$B$11*V2754</f>
        <v/>
      </c>
      <c r="P2754">
        <f>IF(B2773=0,0,O2754/B2773)</f>
        <v/>
      </c>
      <c r="Q2754" t="n">
        <v>0</v>
      </c>
      <c r="R2754" t="n">
        <v>0</v>
      </c>
      <c r="S2754">
        <f>IFERROR(O2754/N2754,0)</f>
        <v/>
      </c>
      <c r="T2754" t="n">
        <v>0</v>
      </c>
      <c r="V2754" t="n">
        <v>0</v>
      </c>
    </row>
    <row r="2755">
      <c r="A2755">
        <f>Skills!A18</f>
        <v/>
      </c>
      <c r="B2755">
        <f>Skills!B18</f>
        <v/>
      </c>
      <c r="C2755">
        <f>Inputs!$B$3&gt;=33</f>
        <v/>
      </c>
      <c r="D2755">
        <f>IF(Skills!C18=1,60+Inputs!$B$25+Inputs!$B$29,IF(Skills!C18=2,90+Inputs!$B$26+Inputs!$B$29,IF(Skills!C18=3,120+Inputs!$B$27+Inputs!$B$29,MAX(0,(Inputs!$B$3-100)*3)+Inputs!$B$28+Inputs!$B$29)))</f>
        <v/>
      </c>
      <c r="E2755">
        <f>INDEX(FactorTable!$B$2:$Y$301, MATCH(ROUND(MIN(300,MAX(1,D2755)),0), FactorTable!$A$2:$A$301,0), Skills!M18+1)</f>
        <v/>
      </c>
      <c r="F2755">
        <f>IF(Skills!N18=TRUE,(Skills!L18/10)*(E2755/1000),Skills!L18/10)+Skills!O18</f>
        <v/>
      </c>
      <c r="G2755">
        <f>Skills!G18*IF(Skills!H18&gt;0,Skills!I18/Skills!H18,1)</f>
        <v/>
      </c>
      <c r="H2755">
        <f>1-(1-Skills!J18/100)^Skills!K18</f>
        <v/>
      </c>
      <c r="I2755" t="inlineStr">
        <is>
          <t>1</t>
        </is>
      </c>
      <c r="J2755" t="inlineStr"/>
      <c r="K2755" t="inlineStr"/>
      <c r="L2755" t="inlineStr"/>
      <c r="M2755" t="inlineStr"/>
      <c r="N2755" t="inlineStr"/>
      <c r="O2755">
        <f>(1-Summary!$B$11)*T2755+Summary!$B$11*V2755</f>
        <v/>
      </c>
      <c r="P2755">
        <f>IF(B2773=0,0,O2755/B2773)</f>
        <v/>
      </c>
      <c r="Q2755" t="n">
        <v>0</v>
      </c>
      <c r="R2755" t="n">
        <v>0</v>
      </c>
      <c r="S2755">
        <f>IFERROR(O2755/N2755,0)</f>
        <v/>
      </c>
      <c r="T2755" t="n">
        <v>0</v>
      </c>
      <c r="V2755" t="n">
        <v>0</v>
      </c>
    </row>
    <row r="2756">
      <c r="A2756">
        <f>Skills!A19</f>
        <v/>
      </c>
      <c r="B2756">
        <f>Skills!B19</f>
        <v/>
      </c>
      <c r="C2756">
        <f>Inputs!$B$3&gt;=40</f>
        <v/>
      </c>
      <c r="D2756">
        <f>IF(Skills!C19=1,60+Inputs!$B$25+Inputs!$B$29,IF(Skills!C19=2,90+Inputs!$B$26+Inputs!$B$29,IF(Skills!C19=3,120+Inputs!$B$27+Inputs!$B$29,MAX(0,(Inputs!$B$3-100)*3)+Inputs!$B$28+Inputs!$B$29)))</f>
        <v/>
      </c>
      <c r="E2756">
        <f>INDEX(FactorTable!$B$2:$Y$301, MATCH(ROUND(MIN(300,MAX(1,D2756)),0), FactorTable!$A$2:$A$301,0), Skills!M19+1)</f>
        <v/>
      </c>
      <c r="F2756">
        <f>IF(Skills!N19=TRUE,(Skills!L19/10)*(E2756/1000),Skills!L19/10)+Skills!O19</f>
        <v/>
      </c>
      <c r="G2756">
        <f>Skills!G19*IF(Skills!H19&gt;0,Skills!I19/Skills!H19,1)</f>
        <v/>
      </c>
      <c r="H2756">
        <f>1-(1-Skills!J19/100)^Skills!K19</f>
        <v/>
      </c>
      <c r="I2756" t="inlineStr">
        <is>
          <t>1</t>
        </is>
      </c>
      <c r="J2756" t="inlineStr"/>
      <c r="K2756" t="inlineStr"/>
      <c r="L2756" t="inlineStr"/>
      <c r="M2756" t="inlineStr"/>
      <c r="N2756" t="inlineStr"/>
      <c r="O2756">
        <f>(1-Summary!$B$11)*T2756+Summary!$B$11*V2756</f>
        <v/>
      </c>
      <c r="P2756">
        <f>IF(B2773=0,0,O2756/B2773)</f>
        <v/>
      </c>
      <c r="Q2756" t="n">
        <v>0</v>
      </c>
      <c r="R2756" t="n">
        <v>0</v>
      </c>
      <c r="S2756">
        <f>IFERROR(O2756/N2756,0)</f>
        <v/>
      </c>
      <c r="T2756" t="n">
        <v>0</v>
      </c>
      <c r="V2756" t="n">
        <v>0</v>
      </c>
    </row>
    <row r="2757">
      <c r="A2757">
        <f>Skills!A20</f>
        <v/>
      </c>
      <c r="B2757">
        <f>Skills!B20</f>
        <v/>
      </c>
      <c r="C2757">
        <f>Inputs!$B$3&gt;=43</f>
        <v/>
      </c>
      <c r="D2757">
        <f>IF(Skills!C20=1,60+Inputs!$B$25+Inputs!$B$29,IF(Skills!C20=2,90+Inputs!$B$26+Inputs!$B$29,IF(Skills!C20=3,120+Inputs!$B$27+Inputs!$B$29,MAX(0,(Inputs!$B$3-100)*3)+Inputs!$B$28+Inputs!$B$29)))</f>
        <v/>
      </c>
      <c r="E2757">
        <f>INDEX(FactorTable!$B$2:$Y$301, MATCH(ROUND(MIN(300,MAX(1,D2757)),0), FactorTable!$A$2:$A$301,0), Skills!M20+1)</f>
        <v/>
      </c>
      <c r="F2757">
        <f>IF(Skills!N20=TRUE,(Skills!L20/10)*(E2757/1000),Skills!L20/10)+Skills!O20</f>
        <v/>
      </c>
      <c r="G2757">
        <f>Skills!G20*IF(Skills!H20&gt;0,Skills!I20/Skills!H20,1)</f>
        <v/>
      </c>
      <c r="H2757">
        <f>1-(1-Skills!J20/100)^Skills!K20</f>
        <v/>
      </c>
      <c r="I2757" t="inlineStr">
        <is>
          <t>1</t>
        </is>
      </c>
      <c r="J2757" t="inlineStr"/>
      <c r="K2757" t="inlineStr"/>
      <c r="L2757" t="inlineStr"/>
      <c r="M2757" t="inlineStr"/>
      <c r="N2757" t="inlineStr"/>
      <c r="O2757">
        <f>(1-Summary!$B$11)*T2757+Summary!$B$11*V2757</f>
        <v/>
      </c>
      <c r="P2757">
        <f>IF(B2773=0,0,O2757/B2773)</f>
        <v/>
      </c>
      <c r="Q2757" t="n">
        <v>0</v>
      </c>
      <c r="R2757" t="n">
        <v>0</v>
      </c>
      <c r="S2757">
        <f>IFERROR(O2757/N2757,0)</f>
        <v/>
      </c>
      <c r="T2757" t="n">
        <v>0</v>
      </c>
      <c r="V2757" t="n">
        <v>0</v>
      </c>
    </row>
    <row r="2758">
      <c r="A2758">
        <f>Skills!A21</f>
        <v/>
      </c>
      <c r="B2758">
        <f>Skills!B21</f>
        <v/>
      </c>
      <c r="C2758">
        <f>Inputs!$B$3&gt;=38</f>
        <v/>
      </c>
      <c r="D2758">
        <f>IF(Skills!C21=1,60+Inputs!$B$25+Inputs!$B$29,IF(Skills!C21=2,90+Inputs!$B$26+Inputs!$B$29,IF(Skills!C21=3,120+Inputs!$B$27+Inputs!$B$29,MAX(0,(Inputs!$B$3-100)*3)+Inputs!$B$28+Inputs!$B$29)))</f>
        <v/>
      </c>
      <c r="E2758">
        <f>INDEX(FactorTable!$B$2:$Y$301, MATCH(ROUND(MIN(300,MAX(1,D2758)),0), FactorTable!$A$2:$A$301,0), Skills!M21+1)</f>
        <v/>
      </c>
      <c r="F2758">
        <f>IF(Skills!N21=TRUE,(Skills!L21/10)*(E2758/1000),Skills!L21/10)+Skills!O21</f>
        <v/>
      </c>
      <c r="G2758">
        <f>Skills!G21*IF(Skills!H21&gt;0,Skills!I21/Skills!H21,1)</f>
        <v/>
      </c>
      <c r="H2758">
        <f>1-(1-Skills!J21/100)^Skills!K21</f>
        <v/>
      </c>
      <c r="I2758" t="inlineStr">
        <is>
          <t>1</t>
        </is>
      </c>
      <c r="J2758" t="inlineStr"/>
      <c r="K2758" t="inlineStr"/>
      <c r="L2758" t="inlineStr"/>
      <c r="M2758" t="inlineStr"/>
      <c r="N2758" t="inlineStr"/>
      <c r="O2758">
        <f>(1-Summary!$B$11)*T2758+Summary!$B$11*V2758</f>
        <v/>
      </c>
      <c r="P2758">
        <f>IF(B2773=0,0,O2758/B2773)</f>
        <v/>
      </c>
      <c r="Q2758" t="n">
        <v>0</v>
      </c>
      <c r="R2758" t="n">
        <v>0</v>
      </c>
      <c r="S2758">
        <f>IFERROR(O2758/N2758,0)</f>
        <v/>
      </c>
      <c r="T2758" t="n">
        <v>0</v>
      </c>
      <c r="V2758" t="n">
        <v>0</v>
      </c>
    </row>
    <row r="2759">
      <c r="A2759">
        <f>Skills!A22</f>
        <v/>
      </c>
      <c r="B2759">
        <f>Skills!B22</f>
        <v/>
      </c>
      <c r="C2759">
        <f>Inputs!$B$3&gt;=75</f>
        <v/>
      </c>
      <c r="D2759">
        <f>IF(Skills!C22=1,60+Inputs!$B$25+Inputs!$B$29,IF(Skills!C22=2,90+Inputs!$B$26+Inputs!$B$29,IF(Skills!C22=3,120+Inputs!$B$27+Inputs!$B$29,MAX(0,(Inputs!$B$3-100)*3)+Inputs!$B$28+Inputs!$B$29)))</f>
        <v/>
      </c>
      <c r="E2759">
        <f>INDEX(FactorTable!$B$2:$Y$301, MATCH(ROUND(MIN(300,MAX(1,D2759)),0), FactorTable!$A$2:$A$301,0), Skills!M22+1)</f>
        <v/>
      </c>
      <c r="F2759">
        <f>IF(Skills!N22=TRUE,(Skills!L22/10)*(E2759/1000),Skills!L22/10)+Skills!O22</f>
        <v/>
      </c>
      <c r="G2759">
        <f>Skills!G22*IF(Skills!H22&gt;0,Skills!I22/Skills!H22,1)</f>
        <v/>
      </c>
      <c r="H2759">
        <f>1-(1-Skills!J22/100)^Skills!K22</f>
        <v/>
      </c>
      <c r="I2759" t="inlineStr">
        <is>
          <t>1</t>
        </is>
      </c>
      <c r="J2759" t="inlineStr"/>
      <c r="K2759" t="inlineStr"/>
      <c r="L2759" t="inlineStr"/>
      <c r="M2759" t="inlineStr"/>
      <c r="N2759" t="inlineStr"/>
      <c r="O2759">
        <f>(1-Summary!$B$11)*T2759+Summary!$B$11*V2759</f>
        <v/>
      </c>
      <c r="P2759">
        <f>IF(B2773=0,0,O2759/B2773)</f>
        <v/>
      </c>
      <c r="Q2759" t="n">
        <v>0</v>
      </c>
      <c r="R2759" t="n">
        <v>0</v>
      </c>
      <c r="S2759">
        <f>IFERROR(O2759/N2759,0)</f>
        <v/>
      </c>
      <c r="T2759" t="n">
        <v>0</v>
      </c>
      <c r="V2759" t="n">
        <v>0</v>
      </c>
    </row>
    <row r="2760">
      <c r="A2760">
        <f>Skills!A23</f>
        <v/>
      </c>
      <c r="B2760">
        <f>Skills!B23</f>
        <v/>
      </c>
      <c r="C2760">
        <f>TRUE</f>
        <v/>
      </c>
      <c r="D2760">
        <f>IF(Skills!C23=1,60+Inputs!$B$25+Inputs!$B$29,IF(Skills!C23=2,90+Inputs!$B$26+Inputs!$B$29,IF(Skills!C23=3,120+Inputs!$B$27+Inputs!$B$29,MAX(0,(Inputs!$B$3-100)*3)+Inputs!$B$28+Inputs!$B$29)))</f>
        <v/>
      </c>
      <c r="E2760">
        <f>INDEX(FactorTable!$B$2:$Y$301, MATCH(ROUND(MIN(300,MAX(1,D2760)),0), FactorTable!$A$2:$A$301,0), Skills!M23+1)</f>
        <v/>
      </c>
      <c r="F2760">
        <f>IF(Skills!N23=TRUE,(Skills!L23/10)*(E2760/1000),Skills!L23/10)+Skills!O23</f>
        <v/>
      </c>
      <c r="G2760">
        <f>Skills!G23*IF(Skills!H23&gt;0,Skills!I23/Skills!H23,1)</f>
        <v/>
      </c>
      <c r="H2760">
        <f>1-(1-Skills!J23/100)^Skills!K23</f>
        <v/>
      </c>
      <c r="I2760" t="inlineStr">
        <is>
          <t>1</t>
        </is>
      </c>
      <c r="J2760" t="inlineStr"/>
      <c r="K2760" t="inlineStr"/>
      <c r="L2760" t="inlineStr"/>
      <c r="M2760" t="inlineStr"/>
      <c r="N2760" t="inlineStr"/>
      <c r="O2760">
        <f>(1-Summary!$B$11)*T2760+Summary!$B$11*V2760</f>
        <v/>
      </c>
      <c r="P2760">
        <f>IF(B2773=0,0,O2760/B2773)</f>
        <v/>
      </c>
      <c r="Q2760">
        <f>IFERROR(1/(IF(Inputs!$B$38="pvp",15,MAX(0.1,Skills!D23-IF(Skills!E23=TRUE,3.5,0)))*(1-IF(AND(ArtifactsInput!$M$27,Inputs!$B$4="Chapter Hunt"),CHOOSE(ArtifactsInput!$N$27+1,20,24,28,32,36,40),0)/100)),0)</f>
        <v/>
      </c>
      <c r="R2760">
        <f>IF(AND(Inputs!$B$38&lt;&gt;"pvp",Inputs!$B$43&gt;0),IF(Inputs!$B$43&lt;=0,0,(INT(Inputs!$B$43/(IF(Inputs!$B$38="pvp",15,MAX(0.1,Skills!D23-IF(Skills!E23=TRUE,3.5,0)))*(1-IF(AND(ArtifactsInput!$M$27,Inputs!$B$4="Chapter Hunt"),CHOOSE(ArtifactsInput!$N$27+1,20,24,28,32,36,40),0)/100)))+1)),0)</f>
        <v/>
      </c>
      <c r="S2760">
        <f>IFERROR(O2760/N2760,0)</f>
        <v/>
      </c>
      <c r="T2760" t="n">
        <v>0</v>
      </c>
      <c r="V2760" t="n">
        <v>0</v>
      </c>
    </row>
    <row r="2762">
      <c r="A2762" t="inlineStr">
        <is>
          <t>Attack% Bucket Multiplier</t>
        </is>
      </c>
      <c r="B2762">
        <f>(1+(((C2750=TRUE)*F2750*5/7)+((C2756=TRUE)*(F2756-Calc!F19))+(IF(ArtifactsInput!$M$21,CHOOSE(ArtifactsInput!$N$21+1,25,30,35,40,45,50)*(IF(OR(Inputs!$B$4="Chapter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63">
      <c r="A2763" t="inlineStr">
        <is>
          <t>Global Crit Rate Bonus %</t>
        </is>
      </c>
      <c r="B2763" t="n">
        <v>0</v>
      </c>
    </row>
    <row r="2764">
      <c r="A2764" t="inlineStr">
        <is>
          <t>Attack Speed Buff Bonus % (Nimble Feet, duty-cycle averaged)</t>
        </is>
      </c>
      <c r="B2764">
        <f>((C2760=TRUE)*F2760*IF(AND(Inputs!$B$38&lt;&gt;"pvp",Inputs!$B$43&gt;0),(((R2760-1)*(Skills!T23*(1+Inputs!$B$34/100))+MIN((Skills!T23*(1+Inputs!$B$34/100)),MAX(0,Inputs!$B$43-((R2760-1)*Skills!D23))))/Inputs!$B$43),IF(Inputs!$B$38="pvp",MIN((Skills!T23*(1+Inputs!$B$34/100)),15)/15,(Skills!T23*(1+Inputs!$B$34/100))/Skills!D23)))</f>
        <v/>
      </c>
    </row>
    <row r="2765">
      <c r="A2765" t="inlineStr">
        <is>
          <t>Actions Per Second</t>
        </is>
      </c>
      <c r="B2765">
        <f>1+MIN(150,150*(1-(1-(Inputs!$B$11+((C2754=TRUE)*(F2754-Calc!F17))+((C2755=TRUE)*(F2755-Calc!F18)))/150)*(1-B2764/150)))/100</f>
        <v/>
      </c>
    </row>
    <row r="2766">
      <c r="A2766" t="inlineStr">
        <is>
          <t>Skill + Buff Cast Rate</t>
        </is>
      </c>
      <c r="B2766">
        <f>IF(AND(Inputs!$B$38&lt;&gt;"pvp",Inputs!$B$43&gt;0),SUMPRODUCT((Skills!E2:E23=TRUE)*(C2739:C2760=TRUE)*R2739:R2760*Skills!F2:F23)/Inputs!$B$43,SUMPRODUCT((Skills!E2:E23=TRUE)*(C2739:C2760=TRUE)*Q2739:Q2760*Skills!F2:F23))</f>
        <v/>
      </c>
    </row>
    <row r="2767">
      <c r="A2767" t="inlineStr">
        <is>
          <t>Hook Bomber Casts Per Second</t>
        </is>
      </c>
      <c r="B2767">
        <f>MAX(0,B2765-B2766)</f>
        <v/>
      </c>
    </row>
    <row r="2768">
      <c r="A2768" t="inlineStr">
        <is>
          <t>Global Critical Damage Bonus % (unused)</t>
        </is>
      </c>
      <c r="B2768" t="n">
        <v>0</v>
      </c>
    </row>
    <row r="2769">
      <c r="A2769" t="inlineStr">
        <is>
          <t>Global Final Damage Bonus % (Serpent Scale + Crossbones + Time Leap + Speed Infusion)</t>
        </is>
      </c>
      <c r="B2769">
        <f>((C2742=TRUE)*F2742*((10+IF(Inputs!$B$3&gt;=94,5,0))/((10+IF(Inputs!$B$3&gt;=94,5,0))+5/(B2767*(1+IF(Inputs!$B$3&gt;=104,1,0))))))+((C2751=TRUE)*F2751*IF(AND(Inputs!$B$38&lt;&gt;"pvp",Inputs!$B$43&gt;0),(((R2751-1)*(Skills!T14*(1+Inputs!$B$34/100))+MIN((Skills!T14*(1+Inputs!$B$34/100)),MAX(0,Inputs!$B$43-((R2751-1)*Skills!D14))))/Inputs!$B$43),IF(Inputs!$B$38="pvp",MIN((Skills!T14*(1+Inputs!$B$34/100)),15)/15,(Skills!T14*(1+Inputs!$B$34/100))/Skills!D14)))+((C2752=TRUE)*F2752*IF(AND(Inputs!$B$38&lt;&gt;"pvp",Inputs!$B$43&gt;0),(((R2752-1)*(Skills!T15*(1+Inputs!$B$34/100))+MIN((Skills!T15*(1+Inputs!$B$34/100)),MAX(0,Inputs!$B$43-((R2752-1)*Skills!D15))))/Inputs!$B$43),IF(Inputs!$B$38="pvp",MIN((Skills!T15*(1+Inputs!$B$34/100)),15)/15,(Skills!T15*(1+Inputs!$B$34/100))/Skills!D15)))+((Inputs!$B$3&gt;=110)*20*(B2765-1)*IF(Inputs!$B$38="pvp",MIN((15*(1+Inputs!$B$34/100)),15)/15,(15*(1+Inputs!$B$34/100))/35))</f>
        <v/>
      </c>
    </row>
    <row r="2770">
      <c r="A2770" t="inlineStr">
        <is>
          <t>Buff-Casting Startup Delay (s, fixed-duration only)</t>
        </is>
      </c>
      <c r="B2770">
        <f>IF(AND(Inputs!$B$38&lt;&gt;"pvp",Inputs!$B$43&gt;0),SUMPRODUCT((Skills!T2:T23&gt;0)*(Skills!E2:E23=TRUE)*(C2739:C2760=TRUE))/B2765,0)</f>
        <v/>
      </c>
    </row>
    <row r="2771">
      <c r="A2771" t="inlineStr">
        <is>
          <t>Boss-Only Total DPS (this block's swept value)</t>
        </is>
      </c>
      <c r="B2771">
        <f>SUM(T2739:T2760)</f>
        <v/>
      </c>
    </row>
    <row r="2772">
      <c r="A2772" t="inlineStr">
        <is>
          <t>Normal-Only Total DPS (this block's swept value)</t>
        </is>
      </c>
      <c r="B2772">
        <f>SUM(V2739:V2760)</f>
        <v/>
      </c>
    </row>
    <row r="2773">
      <c r="A2773" s="6" t="inlineStr">
        <is>
          <t>TOTAL DPS</t>
        </is>
      </c>
      <c r="B2773" s="6">
        <f>SUM(O2739:O2760)</f>
        <v/>
      </c>
    </row>
    <row r="2776">
      <c r="A2776" s="6" t="inlineStr">
        <is>
          <t>Stat: CDR = 4.0s</t>
        </is>
      </c>
    </row>
    <row r="2777">
      <c r="A2777" s="5" t="inlineStr">
        <is>
          <t>Key</t>
        </is>
      </c>
      <c r="B2777" s="5" t="inlineStr">
        <is>
          <t>Name</t>
        </is>
      </c>
      <c r="C2777" s="5" t="inlineStr">
        <is>
          <t>Unlocked</t>
        </is>
      </c>
      <c r="D2777" s="5" t="inlineStr">
        <is>
          <t>InputLevel</t>
        </is>
      </c>
      <c r="E2777" s="5" t="inlineStr">
        <is>
          <t>Factor</t>
        </is>
      </c>
      <c r="F2777" s="5" t="inlineStr">
        <is>
          <t>CoefficientPercent</t>
        </is>
      </c>
      <c r="G2777" s="5" t="inlineStr">
        <is>
          <t>EffectiveHits</t>
        </is>
      </c>
      <c r="H2777" s="5" t="inlineStr">
        <is>
          <t>ProcProbability</t>
        </is>
      </c>
      <c r="I2777" s="5" t="inlineStr">
        <is>
          <t>MapleHeroMultiplier</t>
        </is>
      </c>
      <c r="J2777" s="5" t="inlineStr">
        <is>
          <t>BaseDamage</t>
        </is>
      </c>
      <c r="K2777" s="5" t="inlineStr">
        <is>
          <t>BaseHitDamage</t>
        </is>
      </c>
      <c r="L2777" s="5" t="inlineStr">
        <is>
          <t>NonCritAvg</t>
        </is>
      </c>
      <c r="M2777" s="5" t="inlineStr">
        <is>
          <t>CritAvg</t>
        </is>
      </c>
      <c r="N2777" s="5" t="inlineStr">
        <is>
          <t>ExpectedDamage(perHit)</t>
        </is>
      </c>
      <c r="O2777" s="5" t="inlineStr">
        <is>
          <t>DPS</t>
        </is>
      </c>
      <c r="P2777" s="5" t="inlineStr">
        <is>
          <t>% of Total</t>
        </is>
      </c>
      <c r="Q2777" s="5" t="inlineStr">
        <is>
          <t>InvCooldown</t>
        </is>
      </c>
      <c r="R2777" s="5" t="inlineStr">
        <is>
          <t>CastsInFight</t>
        </is>
      </c>
      <c r="S2777" s="5" t="inlineStr">
        <is>
          <t>HitRate(perSec)</t>
        </is>
      </c>
      <c r="U2777" t="inlineStr">
        <is>
          <t>helpers</t>
        </is>
      </c>
    </row>
    <row r="2778">
      <c r="A2778">
        <f>Skills!A2</f>
        <v/>
      </c>
      <c r="B2778">
        <f>Skills!B2</f>
        <v/>
      </c>
      <c r="C2778">
        <f>Inputs!$B$3&gt;=100</f>
        <v/>
      </c>
      <c r="D2778" t="inlineStr"/>
      <c r="E2778" t="inlineStr"/>
      <c r="F2778">
        <f>U2780+Skills!O2</f>
        <v/>
      </c>
      <c r="G2778">
        <f>Skills!G2*IF(Skills!H2&gt;0,Skills!I2/Skills!H2,1)</f>
        <v/>
      </c>
      <c r="H2778">
        <f>1-(1-Skills!J2/100)^Skills!K2</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2796=TRUE)*(F2796-Calc!F20)),(Inputs!$B$23+0+(IF(ArtifactsInput!$M$15,CHOOSE(ArtifactsInput!$N$15+1,25,30,35,40,45,50)/100*(Inputs!$B$11-Inputs!$B$11),0))))/100+(Inputs!$B$23+0+(IF(ArtifactsInput!$M$15,CHOOSE(ArtifactsInput!$N$15+1,25,30,35,40,45,50)/100*(Inputs!$B$11-Inputs!$B$11),0)))/100)/2</f>
        <v/>
      </c>
      <c r="M2778">
        <f>L2778*(1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IF(B2812=0,0,O2778/B2812)</f>
        <v/>
      </c>
      <c r="Q2778" t="n">
        <v>0</v>
      </c>
      <c r="R2778" t="n">
        <v>0</v>
      </c>
      <c r="S2778">
        <f>IFERROR(O2778/N2778,0)</f>
        <v/>
      </c>
      <c r="T2778">
        <f>IF(C2778,(Skills!G2*N2778*B2806)*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8">
        <f>MAX(0,(Inputs!$B$3-100)*3)+Inputs!$B$28+Inputs!$B$29</f>
        <v/>
      </c>
      <c r="V2778">
        <f>IF(C2778,(Skills!G2*N2778*B2806)*IF(Inputs!$B$38="pvp",1,(1+(Inputs!$B$21+Skills!Q2+(IF(ArtifactsInput!$M$33,CHOOSE(ArtifactsInput!$N$33+1,30,36,42,48,54,60),0))+(IF(AND(ArtifactsInput!$M$35,Inputs!$B$4&lt;&gt;"Chapter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Skills!A3</f>
        <v/>
      </c>
      <c r="B2779">
        <f>Skills!B3</f>
        <v/>
      </c>
      <c r="C2779">
        <f>Inputs!$B$3&gt;=35</f>
        <v/>
      </c>
      <c r="D2779">
        <f>IF(Skills!C3=1,60+Inputs!$B$25+Inputs!$B$29,IF(Skills!C3=2,90+Inputs!$B$26+Inputs!$B$29,IF(Skills!C3=3,120+Inputs!$B$27+Inputs!$B$29,MAX(0,(Inputs!$B$3-100)*3)+Inputs!$B$28+Inputs!$B$29)))</f>
        <v/>
      </c>
      <c r="E2779">
        <f>INDEX(FactorTable!$B$2:$Y$301, MATCH(ROUND(MIN(300,MAX(1,D2779)),0), FactorTable!$A$2:$A$301,0), Skills!M3+1)</f>
        <v/>
      </c>
      <c r="F2779">
        <f>IF(Skills!N3=TRUE,(Skills!L3/10)*(E2779/1000),Skills!L3/10)+Skills!O3</f>
        <v/>
      </c>
      <c r="G2779">
        <f>Skills!G3*IF(Skills!H3&gt;0,Skills!I3/Skills!H3,1)</f>
        <v/>
      </c>
      <c r="H2779">
        <f>1-(1-Skills!J3/100)^Skills!K3</f>
        <v/>
      </c>
      <c r="I2779" t="inlineStr">
        <is>
          <t>1</t>
        </is>
      </c>
      <c r="J2779">
        <f>((Inputs!$B$6*(1+Inputs!$B$7/100))+(((Inputs!$B$12*(1+Inputs!$B$13/100))-(Inputs!$B$12*(1+Inputs!$B$13/100)))+0.25*(Inputs!$B$14-Inputs!$B$14))*(1+Inputs!$B$7/100))*(F2779/100)</f>
        <v/>
      </c>
      <c r="K2779">
        <f>J2779*(1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2779)</f>
        <v/>
      </c>
      <c r="L2779">
        <f>K2779*(MIN(Inputs!$B$22+((C2796=TRUE)*(F2796-Calc!F20)),(Inputs!$B$23+0+(IF(ArtifactsInput!$M$15,CHOOSE(ArtifactsInput!$N$15+1,25,30,35,40,45,50)/100*(Inputs!$B$11-Inputs!$B$11),0))))/100+(Inputs!$B$23+0+(IF(ArtifactsInput!$M$15,CHOOSE(ArtifactsInput!$N$15+1,25,30,35,40,45,50)/100*(Inputs!$B$11-Inputs!$B$11),0)))/100)/2</f>
        <v/>
      </c>
      <c r="M2779">
        <f>L2779*(1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IF(B2812=0,0,O2779/B2812)</f>
        <v/>
      </c>
      <c r="Q2779" t="n">
        <v>0</v>
      </c>
      <c r="R2779" t="n">
        <v>0</v>
      </c>
      <c r="S2779">
        <f>IFERROR(O2779/N2779,0)</f>
        <v/>
      </c>
      <c r="T2779">
        <f>IF(C2779,(Skills!G3*H2779*N2779*B2806)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9">
        <f>INDEX(FactorTable!$B$2:$Y$301, MATCH(ROUND(MIN(300,MAX(1,U2778)),0), FactorTable!$A$2:$A$301,0), 22)</f>
        <v/>
      </c>
      <c r="V2779">
        <f>IF(C2779,(Skills!G3*H2779*N2779*B2806)*IF(Inputs!$B$38="pvp",1,(1+(Inputs!$B$21+Skills!Q3+(IF(ArtifactsInput!$M$33,CHOOSE(ArtifactsInput!$N$33+1,30,36,42,48,54,60),0))+(IF(AND(ArtifactsInput!$M$35,Inputs!$B$4&lt;&gt;"Chapter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Skills!A4</f>
        <v/>
      </c>
      <c r="B2780">
        <f>Skills!B4</f>
        <v/>
      </c>
      <c r="C2780">
        <f>Inputs!$B$3&gt;=60</f>
        <v/>
      </c>
      <c r="D2780">
        <f>IF(Skills!C4=1,60+Inputs!$B$25+Inputs!$B$29,IF(Skills!C4=2,90+Inputs!$B$26+Inputs!$B$29,IF(Skills!C4=3,120+Inputs!$B$27+Inputs!$B$29,MAX(0,(Inputs!$B$3-100)*3)+Inputs!$B$28+Inputs!$B$29)))</f>
        <v/>
      </c>
      <c r="E2780">
        <f>INDEX(FactorTable!$B$2:$Y$301, MATCH(ROUND(MIN(300,MAX(1,D2780)),0), FactorTable!$A$2:$A$301,0), Skills!M4+1)</f>
        <v/>
      </c>
      <c r="F2780">
        <f>IF(Skills!N4=TRUE,(Skills!L4/10)*(E2780/1000),Skills!L4/10)+Skills!O4</f>
        <v/>
      </c>
      <c r="G2780">
        <f>Skills!G4*IF(Skills!H4&gt;0,Skills!I4/Skills!H4,1)</f>
        <v/>
      </c>
      <c r="H2780">
        <f>1-(1-Skills!J4/100)^Skills!K4</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2788=TRUE,F2788,0)/100)*(1+(IF(Skills!A4="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2796=TRUE)*(F2796-Calc!F20)),(Inputs!$B$23+0+(IF(ArtifactsInput!$M$15,CHOOSE(ArtifactsInput!$N$15+1,25,30,35,40,45,50)/100*(Inputs!$B$11-Inputs!$B$11),0))))/100+(Inputs!$B$23+0+(IF(ArtifactsInput!$M$15,CHOOSE(ArtifactsInput!$N$15+1,25,30,35,40,45,50)/100*(Inputs!$B$11-Inputs!$B$11),0)))/100)/2</f>
        <v/>
      </c>
      <c r="M2780">
        <f>L2780*(1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IF(B2812=0,0,O2780/B2812)</f>
        <v/>
      </c>
      <c r="Q2780" t="n">
        <v>0</v>
      </c>
      <c r="R2780" t="n">
        <v>0</v>
      </c>
      <c r="S2780">
        <f>IFERROR(O2780/N2780,0)</f>
        <v/>
      </c>
      <c r="T2780">
        <f>IF(C2780,(Skills!G4*H2780*N2780*B2806)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80">
        <f>290*U2779/1000</f>
        <v/>
      </c>
      <c r="V2780">
        <f>IF(C2780,(Skills!G4*H2780*N2780*B2806)*IF(Inputs!$B$38="pvp",1,(1+(Inputs!$B$21+Skills!Q4+(IF(ArtifactsInput!$M$33,CHOOSE(ArtifactsInput!$N$33+1,30,36,42,48,54,60),0))+(IF(AND(ArtifactsInput!$M$35,Inputs!$B$4&lt;&gt;"Chapter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Skills!A5</f>
        <v/>
      </c>
      <c r="B2781">
        <f>Skills!B5</f>
        <v/>
      </c>
      <c r="C2781">
        <f>Inputs!$B$3&gt;=60</f>
        <v/>
      </c>
      <c r="D2781">
        <f>IF(Skills!C5=1,60+Inputs!$B$25+Inputs!$B$29,IF(Skills!C5=2,90+Inputs!$B$26+Inputs!$B$29,IF(Skills!C5=3,120+Inputs!$B$27+Inputs!$B$29,MAX(0,(Inputs!$B$3-100)*3)+Inputs!$B$28+Inputs!$B$29)))</f>
        <v/>
      </c>
      <c r="E2781">
        <f>INDEX(FactorTable!$B$2:$Y$301, MATCH(ROUND(MIN(300,MAX(1,D2781)),0), FactorTable!$A$2:$A$301,0), Skills!M5+1)</f>
        <v/>
      </c>
      <c r="F2781">
        <f>IF(Skills!N5=TRUE,(Skills!L5/10)*(E2781/1000),Skills!L5/10)+Skills!O5</f>
        <v/>
      </c>
      <c r="G2781">
        <f>Skills!G5*IF(Skills!H5&gt;0,Skills!I5/Skills!H5,1)</f>
        <v/>
      </c>
      <c r="H2781">
        <f>1-(1-Skills!J5/100)^Skills!K5</f>
        <v/>
      </c>
      <c r="I2781" t="inlineStr">
        <is>
          <t>1</t>
        </is>
      </c>
      <c r="J2781" t="inlineStr"/>
      <c r="K2781" t="inlineStr"/>
      <c r="L2781" t="inlineStr"/>
      <c r="M2781" t="inlineStr"/>
      <c r="N2781" t="inlineStr"/>
      <c r="O2781">
        <f>(1-Summary!$B$11)*T2781+Summary!$B$11*V2781</f>
        <v/>
      </c>
      <c r="P2781">
        <f>IF(B2812=0,0,O2781/B2812)</f>
        <v/>
      </c>
      <c r="Q2781" t="n">
        <v>0</v>
      </c>
      <c r="R2781" t="n">
        <v>0</v>
      </c>
      <c r="S2781">
        <f>IFERROR(O2781/N2781,0)</f>
        <v/>
      </c>
      <c r="T2781" t="n">
        <v>0</v>
      </c>
      <c r="V2781" t="n">
        <v>0</v>
      </c>
    </row>
    <row r="2782">
      <c r="A2782">
        <f>Skills!A6</f>
        <v/>
      </c>
      <c r="B2782">
        <f>Skills!B6</f>
        <v/>
      </c>
      <c r="C2782">
        <f>Inputs!$B$3&gt;=63</f>
        <v/>
      </c>
      <c r="D2782">
        <f>IF(Skills!C6=1,60+Inputs!$B$25+Inputs!$B$29,IF(Skills!C6=2,90+Inputs!$B$26+Inputs!$B$29,IF(Skills!C6=3,120+Inputs!$B$27+Inputs!$B$29,MAX(0,(Inputs!$B$3-100)*3)+Inputs!$B$28+Inputs!$B$29)))</f>
        <v/>
      </c>
      <c r="E2782">
        <f>INDEX(FactorTable!$B$2:$Y$301, MATCH(ROUND(MIN(300,MAX(1,D2782)),0), FactorTable!$A$2:$A$301,0), Skills!M6+1)</f>
        <v/>
      </c>
      <c r="F2782">
        <f>IF(Skills!N6=TRUE,(Skills!L6/10)*(E2782/1000),Skills!L6/10)+Skills!O6</f>
        <v/>
      </c>
      <c r="G2782">
        <f>Skills!G6*IF(Skills!H6&gt;0,Skills!I6/Skills!H6,1)</f>
        <v/>
      </c>
      <c r="H2782">
        <f>1-(1-Skills!J6/100)^Skills!K6</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2788=TRUE,F2788,0)/100)*(1+(IF(Skills!A6="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2796=TRUE)*(F2796-Calc!F20)),(Inputs!$B$23+0+(IF(ArtifactsInput!$M$15,CHOOSE(ArtifactsInput!$N$15+1,25,30,35,40,45,50)/100*(Inputs!$B$11-Inputs!$B$11),0))))/100+(Inputs!$B$23+0+(IF(ArtifactsInput!$M$15,CHOOSE(ArtifactsInput!$N$15+1,25,30,35,40,45,50)/100*(Inputs!$B$11-Inputs!$B$11),0)))/100)/2</f>
        <v/>
      </c>
      <c r="M2782">
        <f>L2782*(1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IF(B2812=0,0,O2782/B2812)</f>
        <v/>
      </c>
      <c r="Q2782">
        <f>IFERROR(1/(IF(Inputs!$B$38="pvp",15,MAX(0.1,Skills!D6-IF(Skills!E6=TRUE,4.0,0)))*(1-IF(AND(ArtifactsInput!$M$27,Inputs!$B$4="Chapter Hunt"),CHOOSE(ArtifactsInput!$N$27+1,20,24,28,32,36,40),0)/100)),0)</f>
        <v/>
      </c>
      <c r="R2782">
        <f>IF(AND(Inputs!$B$38&lt;&gt;"pvp",Inputs!$B$43&gt;0),IF(MAX(0,Inputs!$B$43-B2809)&lt;=0,0,(INT(MAX(0,Inputs!$B$43-B2809)/(IF(Inputs!$B$38="pvp",15,MAX(0.1,Skills!D6-IF(Skills!E6=TRUE,4.0,0)))*(1-IF(AND(ArtifactsInput!$M$27,Inputs!$B$4="Chapter Hunt"),CHOOSE(ArtifactsInput!$N$27+1,20,24,28,32,36,40),0)/100)))+1)),0)</f>
        <v/>
      </c>
      <c r="S2782">
        <f>IFERROR(O2782/N2782,0)</f>
        <v/>
      </c>
      <c r="T2782">
        <f>IF(C2782,(H2782*N2782*IF(AND(Inputs!$B$38&lt;&gt;"pvp",Inputs!$B$43&gt;0),((Skills!G6*((R2782-1)*IF(Skills!H6&gt;0,Skills!I6/Skills!H6,1)+IF(Skills!H6&gt;0,MIN(Skills!I6,MAX(0,MAX(0,Inputs!$B$43-B2809)-((R2782-1)*(IF(Inputs!$B$38="pvp",15,MAX(0.1,Skills!D6-IF(Skills!E6=TRUE,4.0,0)))*(1-IF(AND(ArtifactsInput!$M$27,Inputs!$B$4="Chapter Hunt"),CHOOSE(ArtifactsInput!$N$27+1,20,24,28,32,36,40),0)/100)))))/Skills!H6,1)))/Inputs!$B$43),G2782*Q2782)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N2782*IF(AND(Inputs!$B$38&lt;&gt;"pvp",Inputs!$B$43&gt;0),((Skills!G6*((R2782-1)*IF(Skills!H6&gt;0,Skills!I6/Skills!H6,1)+IF(Skills!H6&gt;0,MIN(Skills!I6,MAX(0,MAX(0,Inputs!$B$43-B2809)-((R2782-1)*(IF(Inputs!$B$38="pvp",15,MAX(0.1,Skills!D6-IF(Skills!E6=TRUE,4.0,0)))*(1-IF(AND(ArtifactsInput!$M$27,Inputs!$B$4="Chapter Hunt"),CHOOSE(ArtifactsInput!$N$27+1,20,24,28,32,36,40),0)/100)))))/Skills!H6,1)))/Inputs!$B$43),G2782*Q2782))*IF(Inputs!$B$38="pvp",1,(1+(Inputs!$B$21+Skills!Q6+(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Skills!A7</f>
        <v/>
      </c>
      <c r="B2783">
        <f>Skills!B7</f>
        <v/>
      </c>
      <c r="C2783">
        <f>Inputs!$B$3&gt;=100</f>
        <v/>
      </c>
      <c r="D2783">
        <f>IF(Skills!C7=1,60+Inputs!$B$25+Inputs!$B$29,IF(Skills!C7=2,90+Inputs!$B$26+Inputs!$B$29,IF(Skills!C7=3,120+Inputs!$B$27+Inputs!$B$29,MAX(0,(Inputs!$B$3-100)*3)+Inputs!$B$28+Inputs!$B$29)))</f>
        <v/>
      </c>
      <c r="E2783">
        <f>INDEX(FactorTable!$B$2:$Y$301, MATCH(ROUND(MIN(300,MAX(1,D2783)),0), FactorTable!$A$2:$A$301,0), Skills!M7+1)</f>
        <v/>
      </c>
      <c r="F2783">
        <f>IF(Skills!N7=TRUE,(Skills!L7/10)*(E2783/1000),Skills!L7/10)+Skills!O7</f>
        <v/>
      </c>
      <c r="G2783">
        <f>Skills!G7*IF(Skills!H7&gt;0,Skills!I7/Skills!H7,1)</f>
        <v/>
      </c>
      <c r="H2783">
        <f>1-(1-Skills!J7/100)^Skills!K7</f>
        <v/>
      </c>
      <c r="I2783" t="inlineStr">
        <is>
          <t>1</t>
        </is>
      </c>
      <c r="J2783">
        <f>((Inputs!$B$6*(1+Inputs!$B$7/100))+(((Inputs!$B$12*(1+Inputs!$B$13/100))-(Inputs!$B$12*(1+Inputs!$B$13/100)))+0.25*(Inputs!$B$14-Inputs!$B$14))*(1+Inputs!$B$7/100))*(F2783/100)</f>
        <v/>
      </c>
      <c r="K2783">
        <f>J2783*(1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2783)</f>
        <v/>
      </c>
      <c r="L2783">
        <f>K2783*(MIN(Inputs!$B$22+((C2796=TRUE)*(F2796-Calc!F20)),(Inputs!$B$23+0+(IF(ArtifactsInput!$M$15,CHOOSE(ArtifactsInput!$N$15+1,25,30,35,40,45,50)/100*(Inputs!$B$11-Inputs!$B$11),0))))/100+(Inputs!$B$23+0+(IF(ArtifactsInput!$M$15,CHOOSE(ArtifactsInput!$N$15+1,25,30,35,40,45,50)/100*(Inputs!$B$11-Inputs!$B$11),0)))/100)/2</f>
        <v/>
      </c>
      <c r="M2783">
        <f>L2783*(1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3">
        <f>L2783*(1-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2783*(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3">
        <f>(1-Summary!$B$11)*T2783+Summary!$B$11*V2783</f>
        <v/>
      </c>
      <c r="P2783">
        <f>IF(B2812=0,0,O2783/B2812)</f>
        <v/>
      </c>
      <c r="Q2783">
        <f>IFERROR(1/(IF(Inputs!$B$38="pvp",15,MAX(0.1,Skills!D7-IF(Skills!E7=TRUE,4.0,0)))*(1-IF(AND(ArtifactsInput!$M$27,Inputs!$B$4="Chapter Hunt"),CHOOSE(ArtifactsInput!$N$27+1,20,24,28,32,36,40),0)/100)),0)</f>
        <v/>
      </c>
      <c r="R2783">
        <f>IF(AND(Inputs!$B$38&lt;&gt;"pvp",Inputs!$B$43&gt;0),IF(MAX(0,Inputs!$B$43-B2809)&lt;=0,0,(INT(MAX(0,Inputs!$B$43-B2809)/(IF(Inputs!$B$38="pvp",15,MAX(0.1,Skills!D7-IF(Skills!E7=TRUE,4.0,0)))*(1-IF(AND(ArtifactsInput!$M$27,Inputs!$B$4="Chapter Hunt"),CHOOSE(ArtifactsInput!$N$27+1,20,24,28,32,36,40),0)/100)))+1)),0)</f>
        <v/>
      </c>
      <c r="S2783">
        <f>IFERROR(O2783/N2783,0)</f>
        <v/>
      </c>
      <c r="T2783">
        <f>IF(C2783,(H2783*N2783*IF(AND(Inputs!$B$38&lt;&gt;"pvp",Inputs!$B$43&gt;0),((Skills!G7*((R2783-1)*IF(Skills!H7&gt;0,Skills!I7/Skills!H7,1)+IF(Skills!H7&gt;0,MIN(Skills!I7,MAX(0,MAX(0,Inputs!$B$43-B2809)-((R2783-1)*(IF(Inputs!$B$38="pvp",15,MAX(0.1,Skills!D7-IF(Skills!E7=TRUE,4.0,0)))*(1-IF(AND(ArtifactsInput!$M$27,Inputs!$B$4="Chapter Hunt"),CHOOSE(ArtifactsInput!$N$27+1,20,24,28,32,36,40),0)/100)))))/Skills!H7,1)))/Inputs!$B$43),G2783*Q2783)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2783*(1-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2783*(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2783*(1-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2783*(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3">
        <f>IF(C2783,(H2783*N2783*IF(AND(Inputs!$B$38&lt;&gt;"pvp",Inputs!$B$43&gt;0),((Skills!G7*((R2783-1)*IF(Skills!H7&gt;0,Skills!I7/Skills!H7,1)+IF(Skills!H7&gt;0,MIN(Skills!I7,MAX(0,MAX(0,Inputs!$B$43-B2809)-((R2783-1)*(IF(Inputs!$B$38="pvp",15,MAX(0.1,Skills!D7-IF(Skills!E7=TRUE,4.0,0)))*(1-IF(AND(ArtifactsInput!$M$27,Inputs!$B$4="Chapter Hunt"),CHOOSE(ArtifactsInput!$N$27+1,20,24,28,32,36,40),0)/100)))))/Skills!H7,1)))/Inputs!$B$43),G2783*Q2783))*IF(Inputs!$B$38="pvp",1,(1+(Inputs!$B$21+Skills!Q7+(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4">
      <c r="A2784">
        <f>Skills!A8</f>
        <v/>
      </c>
      <c r="B2784">
        <f>Skills!B8</f>
        <v/>
      </c>
      <c r="C2784">
        <f>Inputs!$B$3&gt;=110</f>
        <v/>
      </c>
      <c r="D2784">
        <f>IF(Skills!C8=1,60+Inputs!$B$25+Inputs!$B$29,IF(Skills!C8=2,90+Inputs!$B$26+Inputs!$B$29,IF(Skills!C8=3,120+Inputs!$B$27+Inputs!$B$29,MAX(0,(Inputs!$B$3-100)*3)+Inputs!$B$28+Inputs!$B$29)))</f>
        <v/>
      </c>
      <c r="E2784">
        <f>INDEX(FactorTable!$B$2:$Y$301, MATCH(ROUND(MIN(300,MAX(1,D2784)),0), FactorTable!$A$2:$A$301,0), Skills!M8+1)</f>
        <v/>
      </c>
      <c r="F2784">
        <f>IF(Skills!N8=TRUE,(Skills!L8/10)*(E2784/1000),Skills!L8/10)+Skills!O8</f>
        <v/>
      </c>
      <c r="G2784">
        <f>Skills!G8*IF(Skills!H8&gt;0,Skills!I8/Skills!H8,1)</f>
        <v/>
      </c>
      <c r="H2784">
        <f>1-(1-Skills!J8/100)^Skills!K8</f>
        <v/>
      </c>
      <c r="I2784" t="inlineStr">
        <is>
          <t>1</t>
        </is>
      </c>
      <c r="J2784">
        <f>((Inputs!$B$6*(1+Inputs!$B$7/100))+(((Inputs!$B$12*(1+Inputs!$B$13/100))-(Inputs!$B$12*(1+Inputs!$B$13/100)))+0.25*(Inputs!$B$14-Inputs!$B$14))*(1+Inputs!$B$7/100))*(F2784/100)</f>
        <v/>
      </c>
      <c r="K2784">
        <f>J2784*(1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2784)</f>
        <v/>
      </c>
      <c r="L2784">
        <f>K2784*(MIN(Inputs!$B$22+((C2796=TRUE)*(F2796-Calc!F20)),(Inputs!$B$23+0+(IF(ArtifactsInput!$M$15,CHOOSE(ArtifactsInput!$N$15+1,25,30,35,40,45,50)/100*(Inputs!$B$11-Inputs!$B$11),0))))/100+(Inputs!$B$23+0+(IF(ArtifactsInput!$M$15,CHOOSE(ArtifactsInput!$N$15+1,25,30,35,40,45,50)/100*(Inputs!$B$11-Inputs!$B$11),0)))/100)/2</f>
        <v/>
      </c>
      <c r="M2784">
        <f>L2784*(1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4">
        <f>L2784*(1-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2784*(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4">
        <f>(1-Summary!$B$11)*T2784+Summary!$B$11*V2784</f>
        <v/>
      </c>
      <c r="P2784">
        <f>IF(B2812=0,0,O2784/B2812)</f>
        <v/>
      </c>
      <c r="Q2784">
        <f>IFERROR(1/(IF(Inputs!$B$38="pvp",15,MAX(0.1,Skills!D8-IF(Skills!E8=TRUE,4.0,0)))*(1-IF(AND(ArtifactsInput!$M$27,Inputs!$B$4="Chapter Hunt"),CHOOSE(ArtifactsInput!$N$27+1,20,24,28,32,36,40),0)/100)),0)</f>
        <v/>
      </c>
      <c r="R2784">
        <f>IF(AND(Inputs!$B$38&lt;&gt;"pvp",Inputs!$B$43&gt;0),IF(MAX(0,Inputs!$B$43-B2809)&lt;=0,0,(INT(MAX(0,Inputs!$B$43-B2809)/(IF(Inputs!$B$38="pvp",15,MAX(0.1,Skills!D8-IF(Skills!E8=TRUE,4.0,0)))*(1-IF(AND(ArtifactsInput!$M$27,Inputs!$B$4="Chapter Hunt"),CHOOSE(ArtifactsInput!$N$27+1,20,24,28,32,36,40),0)/100)))+1)),0)</f>
        <v/>
      </c>
      <c r="S2784">
        <f>IFERROR(O2784/N2784,0)</f>
        <v/>
      </c>
      <c r="T2784">
        <f>IF(C2784,(H2784*N2784*IF(AND(Inputs!$B$38&lt;&gt;"pvp",Inputs!$B$43&gt;0),((Skills!G8*((R2784-1)*IF(Skills!H8&gt;0,Skills!I8/Skills!H8,1)+IF(Skills!H8&gt;0,MIN(Skills!I8,MAX(0,MAX(0,Inputs!$B$43-B2809)-((R2784-1)*(IF(Inputs!$B$38="pvp",15,MAX(0.1,Skills!D8-IF(Skills!E8=TRUE,4.0,0)))*(1-IF(AND(ArtifactsInput!$M$27,Inputs!$B$4="Chapter Hunt"),CHOOSE(ArtifactsInput!$N$27+1,20,24,28,32,36,40),0)/100)))))/Skills!H8,1)))/Inputs!$B$43),G2784*Q2784)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2784*(1-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2784*(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2784*(1-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2784*(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4">
        <f>IF(C2784,(H2784*N2784*IF(AND(Inputs!$B$38&lt;&gt;"pvp",Inputs!$B$43&gt;0),((Skills!G8*((R2784-1)*IF(Skills!H8&gt;0,Skills!I8/Skills!H8,1)+IF(Skills!H8&gt;0,MIN(Skills!I8,MAX(0,MAX(0,Inputs!$B$43-B2809)-((R2784-1)*(IF(Inputs!$B$38="pvp",15,MAX(0.1,Skills!D8-IF(Skills!E8=TRUE,4.0,0)))*(1-IF(AND(ArtifactsInput!$M$27,Inputs!$B$4="Chapter Hunt"),CHOOSE(ArtifactsInput!$N$27+1,20,24,28,32,36,40),0)/100)))))/Skills!H8,1)))/Inputs!$B$43),G2784*Q2784))*IF(Inputs!$B$38="pvp",1,(1+(Inputs!$B$21+Skills!Q8+(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5">
      <c r="A2785">
        <f>Skills!A9</f>
        <v/>
      </c>
      <c r="B2785">
        <f>Skills!B9</f>
        <v/>
      </c>
      <c r="C2785">
        <f>Inputs!$B$3&gt;=110</f>
        <v/>
      </c>
      <c r="D2785">
        <f>IF(Skills!C9=1,60+Inputs!$B$25+Inputs!$B$29,IF(Skills!C9=2,90+Inputs!$B$26+Inputs!$B$29,IF(Skills!C9=3,120+Inputs!$B$27+Inputs!$B$29,MAX(0,(Inputs!$B$3-100)*3)+Inputs!$B$28+Inputs!$B$29)))</f>
        <v/>
      </c>
      <c r="E2785">
        <f>INDEX(FactorTable!$B$2:$Y$301, MATCH(ROUND(MIN(300,MAX(1,D2785)),0), FactorTable!$A$2:$A$301,0), Skills!M9+1)</f>
        <v/>
      </c>
      <c r="F2785">
        <f>IF(Skills!N9=TRUE,(Skills!L9/10)*(E2785/1000),Skills!L9/10)+Skills!O9</f>
        <v/>
      </c>
      <c r="G2785">
        <f>Skills!G9*IF(Skills!H9&gt;0,Skills!I9/Skills!H9,1)</f>
        <v/>
      </c>
      <c r="H2785">
        <f>1-(1-Skills!J9/100)^Skills!K9</f>
        <v/>
      </c>
      <c r="I2785" t="inlineStr">
        <is>
          <t>1</t>
        </is>
      </c>
      <c r="J2785">
        <f>((Inputs!$B$6*(1+Inputs!$B$7/100))+(((Inputs!$B$12*(1+Inputs!$B$13/100))-(Inputs!$B$12*(1+Inputs!$B$13/100)))+0.25*(Inputs!$B$14-Inputs!$B$14))*(1+Inputs!$B$7/100))*(F2785/100)</f>
        <v/>
      </c>
      <c r="K2785">
        <f>J2785*(1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2785)</f>
        <v/>
      </c>
      <c r="L2785">
        <f>K2785*(MIN(Inputs!$B$22+((C2796=TRUE)*(F2796-Calc!F20)),(Inputs!$B$23+0+(IF(ArtifactsInput!$M$15,CHOOSE(ArtifactsInput!$N$15+1,25,30,35,40,45,50)/100*(Inputs!$B$11-Inputs!$B$11),0))))/100+(Inputs!$B$23+0+(IF(ArtifactsInput!$M$15,CHOOSE(ArtifactsInput!$N$15+1,25,30,35,40,45,50)/100*(Inputs!$B$11-Inputs!$B$11),0)))/100)/2</f>
        <v/>
      </c>
      <c r="M2785">
        <f>L2785*(1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5">
        <f>L2785*(1-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2785*(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5">
        <f>(1-Summary!$B$11)*T2785+Summary!$B$11*V2785</f>
        <v/>
      </c>
      <c r="P2785">
        <f>IF(B2812=0,0,O2785/B2812)</f>
        <v/>
      </c>
      <c r="Q2785">
        <f>IFERROR(1/(IF(Inputs!$B$38="pvp",15,MAX(0.1,Skills!D9-IF(Skills!E9=TRUE,4.0,0)))*(1-IF(AND(ArtifactsInput!$M$27,Inputs!$B$4="Chapter Hunt"),CHOOSE(ArtifactsInput!$N$27+1,20,24,28,32,36,40),0)/100)),0)</f>
        <v/>
      </c>
      <c r="R2785">
        <f>IF(AND(Inputs!$B$38&lt;&gt;"pvp",Inputs!$B$43&gt;0),IF(MAX(0,Inputs!$B$43-B2809)&lt;=0,0,(INT(MAX(0,Inputs!$B$43-B2809)/(IF(Inputs!$B$38="pvp",15,MAX(0.1,Skills!D9-IF(Skills!E9=TRUE,4.0,0)))*(1-IF(AND(ArtifactsInput!$M$27,Inputs!$B$4="Chapter Hunt"),CHOOSE(ArtifactsInput!$N$27+1,20,24,28,32,36,40),0)/100)))+1)),0)</f>
        <v/>
      </c>
      <c r="S2785">
        <f>IFERROR(O2785/N2785,0)</f>
        <v/>
      </c>
      <c r="T2785">
        <f>IF(C2785,(H2785*N2785*IF(AND(Inputs!$B$38&lt;&gt;"pvp",Inputs!$B$43&gt;0),((Skills!G9*((R2785-1)*IF(Skills!H9&gt;0,Skills!I9/Skills!H9,1)+IF(Skills!H9&gt;0,MIN(Skills!I9,MAX(0,MAX(0,Inputs!$B$43-B2809)-((R2785-1)*(IF(Inputs!$B$38="pvp",15,MAX(0.1,Skills!D9-IF(Skills!E9=TRUE,4.0,0)))*(1-IF(AND(ArtifactsInput!$M$27,Inputs!$B$4="Chapter Hunt"),CHOOSE(ArtifactsInput!$N$27+1,20,24,28,32,36,40),0)/100)))))/Skills!H9,1)))/Inputs!$B$43),G2785*Q2785)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2785*(1-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2785*(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2785*(1-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2785*(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5">
        <f>IF(C2785,(H2785*N2785*IF(AND(Inputs!$B$38&lt;&gt;"pvp",Inputs!$B$43&gt;0),((Skills!G9*((R2785-1)*IF(Skills!H9&gt;0,Skills!I9/Skills!H9,1)+IF(Skills!H9&gt;0,MIN(Skills!I9,MAX(0,MAX(0,Inputs!$B$43-B2809)-((R2785-1)*(IF(Inputs!$B$38="pvp",15,MAX(0.1,Skills!D9-IF(Skills!E9=TRUE,4.0,0)))*(1-IF(AND(ArtifactsInput!$M$27,Inputs!$B$4="Chapter Hunt"),CHOOSE(ArtifactsInput!$N$27+1,20,24,28,32,36,40),0)/100)))))/Skills!H9,1)))/Inputs!$B$43),G2785*Q2785))*IF(Inputs!$B$38="pvp",1,(1+(Inputs!$B$21+Skills!Q9+(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6">
      <c r="A2786">
        <f>Skills!A10</f>
        <v/>
      </c>
      <c r="B2786">
        <f>Skills!B10</f>
        <v/>
      </c>
      <c r="C2786">
        <f>Inputs!$B$3&gt;=103</f>
        <v/>
      </c>
      <c r="D2786">
        <f>IF(Skills!C10=1,60+Inputs!$B$25+Inputs!$B$29,IF(Skills!C10=2,90+Inputs!$B$26+Inputs!$B$29,IF(Skills!C10=3,120+Inputs!$B$27+Inputs!$B$29,MAX(0,(Inputs!$B$3-100)*3)+Inputs!$B$28+Inputs!$B$29)))</f>
        <v/>
      </c>
      <c r="E2786">
        <f>INDEX(FactorTable!$B$2:$Y$301, MATCH(ROUND(MIN(300,MAX(1,D2786)),0), FactorTable!$A$2:$A$301,0), Skills!M10+1)</f>
        <v/>
      </c>
      <c r="F2786">
        <f>IF(Skills!N10=TRUE,(Skills!L10/10)*(E2786/1000),Skills!L10/10)+Skills!O10</f>
        <v/>
      </c>
      <c r="G2786">
        <f>Skills!G10*IF(Skills!H10&gt;0,Skills!I10/Skills!H10,1)</f>
        <v/>
      </c>
      <c r="H2786">
        <f>1-(1-Skills!J10/100)^Skills!K10</f>
        <v/>
      </c>
      <c r="I2786" t="inlineStr">
        <is>
          <t>1</t>
        </is>
      </c>
      <c r="J2786">
        <f>((Inputs!$B$6*(1+Inputs!$B$7/100))+(((Inputs!$B$12*(1+Inputs!$B$13/100))-(Inputs!$B$12*(1+Inputs!$B$13/100)))+0.25*(Inputs!$B$14-Inputs!$B$14))*(1+Inputs!$B$7/100))*(F2786/100)</f>
        <v/>
      </c>
      <c r="K2786">
        <f>J2786*(1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2786)</f>
        <v/>
      </c>
      <c r="L2786">
        <f>K2786*(MIN(Inputs!$B$22+((C2796=TRUE)*(F2796-Calc!F20)),(Inputs!$B$23+0+(IF(ArtifactsInput!$M$15,CHOOSE(ArtifactsInput!$N$15+1,25,30,35,40,45,50)/100*(Inputs!$B$11-Inputs!$B$11),0))))/100+(Inputs!$B$23+0+(IF(ArtifactsInput!$M$15,CHOOSE(ArtifactsInput!$N$15+1,25,30,35,40,45,50)/100*(Inputs!$B$11-Inputs!$B$11),0)))/100)/2</f>
        <v/>
      </c>
      <c r="M2786">
        <f>L2786*(1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6">
        <f>L2786*(1-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2786*(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6">
        <f>(1-Summary!$B$11)*T2786+Summary!$B$11*V2786</f>
        <v/>
      </c>
      <c r="P2786">
        <f>IF(B2812=0,0,O2786/B2812)</f>
        <v/>
      </c>
      <c r="Q2786">
        <f>IFERROR(1/(IF(Inputs!$B$38="pvp",15,MAX(0.1,Skills!D10-IF(Skills!E10=TRUE,4.0,0)))*(1-IF(AND(ArtifactsInput!$M$27,Inputs!$B$4="Chapter Hunt"),CHOOSE(ArtifactsInput!$N$27+1,20,24,28,32,36,40),0)/100)),0)</f>
        <v/>
      </c>
      <c r="R2786">
        <f>IF(AND(Inputs!$B$38&lt;&gt;"pvp",Inputs!$B$43&gt;0),IF(MAX(0,Inputs!$B$43-B2809)&lt;=0,0,(INT(MAX(0,Inputs!$B$43-B2809)/(IF(Inputs!$B$38="pvp",15,MAX(0.1,Skills!D10-IF(Skills!E10=TRUE,4.0,0)))*(1-IF(AND(ArtifactsInput!$M$27,Inputs!$B$4="Chapter Hunt"),CHOOSE(ArtifactsInput!$N$27+1,20,24,28,32,36,40),0)/100)))+1)),0)</f>
        <v/>
      </c>
      <c r="S2786">
        <f>IFERROR(O2786/N2786,0)</f>
        <v/>
      </c>
      <c r="T2786">
        <f>IF(C2786,(H2786*N2786*IF(AND(Inputs!$B$38&lt;&gt;"pvp",Inputs!$B$43&gt;0),((Skills!G10*((R2786-1)*IF(Skills!H10&gt;0,Skills!I10/Skills!H10,1)+IF(Skills!H10&gt;0,MIN(Skills!I10,MAX(0,MAX(0,Inputs!$B$43-B2809)-((R2786-1)*(IF(Inputs!$B$38="pvp",15,MAX(0.1,Skills!D10-IF(Skills!E10=TRUE,4.0,0)))*(1-IF(AND(ArtifactsInput!$M$27,Inputs!$B$4="Chapter Hunt"),CHOOSE(ArtifactsInput!$N$27+1,20,24,28,32,36,40),0)/100)))))/Skills!H10,1)))/Inputs!$B$43),G2786*Q2786)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2786*(1-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2786*(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2786*(1-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2786*(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6">
        <f>IF(C2786,(H2786*N2786*IF(AND(Inputs!$B$38&lt;&gt;"pvp",Inputs!$B$43&gt;0),((Skills!G10*((R2786-1)*IF(Skills!H10&gt;0,Skills!I10/Skills!H10,1)+IF(Skills!H10&gt;0,MIN(Skills!I10,MAX(0,MAX(0,Inputs!$B$43-B2809)-((R2786-1)*(IF(Inputs!$B$38="pvp",15,MAX(0.1,Skills!D10-IF(Skills!E10=TRUE,4.0,0)))*(1-IF(AND(ArtifactsInput!$M$27,Inputs!$B$4="Chapter Hunt"),CHOOSE(ArtifactsInput!$N$27+1,20,24,28,32,36,40),0)/100)))))/Skills!H10,1)))/Inputs!$B$43),G2786*Q2786))*IF(Inputs!$B$38="pvp",1,(1+(Inputs!$B$21+Skills!Q10+(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7">
      <c r="A2787">
        <f>Skills!A11</f>
        <v/>
      </c>
      <c r="B2787">
        <f>Skills!B11</f>
        <v/>
      </c>
      <c r="C2787">
        <f>Inputs!$B$3&gt;=113</f>
        <v/>
      </c>
      <c r="D2787">
        <f>IF(Skills!C11=1,60+Inputs!$B$25+Inputs!$B$29,IF(Skills!C11=2,90+Inputs!$B$26+Inputs!$B$29,IF(Skills!C11=3,120+Inputs!$B$27+Inputs!$B$29,MAX(0,(Inputs!$B$3-100)*3)+Inputs!$B$28+Inputs!$B$29)))</f>
        <v/>
      </c>
      <c r="E2787">
        <f>INDEX(FactorTable!$B$2:$Y$301, MATCH(ROUND(MIN(300,MAX(1,D2787)),0), FactorTable!$A$2:$A$301,0), Skills!M11+1)</f>
        <v/>
      </c>
      <c r="F2787">
        <f>IF(Skills!N11=TRUE,(Skills!L11/10)*(E2787/1000),Skills!L11/10)+Skills!O11</f>
        <v/>
      </c>
      <c r="G2787">
        <f>Skills!G11*IF(Skills!H11&gt;0,Skills!I11/Skills!H11,1)</f>
        <v/>
      </c>
      <c r="H2787">
        <f>1-(1-Skills!J11/100)^Skills!K11</f>
        <v/>
      </c>
      <c r="I2787" t="inlineStr">
        <is>
          <t>1</t>
        </is>
      </c>
      <c r="J2787">
        <f>((Inputs!$B$6*(1+Inputs!$B$7/100))+(((Inputs!$B$12*(1+Inputs!$B$13/100))-(Inputs!$B$12*(1+Inputs!$B$13/100)))+0.25*(Inputs!$B$14-Inputs!$B$14))*(1+Inputs!$B$7/100))*(F2787/100)</f>
        <v/>
      </c>
      <c r="K2787">
        <f>J2787*(1+((Inputs!$B$12*(1+Inputs!$B$13/100))*0.01+Inputs!$B$14*0.0025)/100)*(1+Inputs!$B$15/100)*(1+Inputs!$B$16/100)*(5000/(6000+Inputs!$B$42*(1-(100*(1-(1-(Inputs!$B$19+0)/100)*(1-CHOOSE(ArtifactsInput!$N$40+1,5,6,7,8,9,10)/100)^(ArtifactsInput!$M$40-ArtifactsInput!$M$40)))/100)))*(1+(Inputs!$B$24+((C2798=TRUE)*(F2798-Calc!F22))+B2808)/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2797=TRUE)*(F2797-Calc!F21))+(((IF(AND(ArtifactsInput!$M$42,((Inputs!$B$9+((C2792=TRUE)*(F2792-Calc!F16))+B2802+(ArtifactsInput!$M$24-ArtifactsInput!$M$24)*CHOOSE(ArtifactsInput!$N$24+1,10,12,14,16,18,20)+IF(ArtifactsInput!$M$10,CHOOSE(ArtifactsInput!$N$10+1,15,18,21,24,27,30)*(IF(Inputs!$B$38="pvp",MIN(15,15)/15,IF(AND(Inputs!$B$38&lt;&gt;"pvp",Inputs!$B$43&gt;0),MIN(15,Inputs!$B$43)/(Inputs!$B$43),0))),0)))&gt;=100),MIN(100,((Inputs!$B$9+((C2792=TRUE)*(F2792-Calc!F16))+B2802+(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2792=TRUE)*(F2792-Calc!F16))+B2802+(ArtifactsInput!$M$24-ArtifactsInput!$M$24)*CHOOSE(ArtifactsInput!$N$24+1,10,12,14,16,18,20)+IF(ArtifactsInput!$M$10,CHOOSE(ArtifactsInput!$N$10+1,15,18,21,24,27,30)*(IF(Inputs!$B$38="pvp",MIN(15,15)/15,IF(AND(Inputs!$B$38&lt;&gt;"pvp",Inputs!$B$43&gt;0),MIN(15,Inputs!$B$43)/(Inputs!$B$43),0))),0)))&gt;=100),CHOOSE(ArtifactsInput!$N$42+1,40,48,56,64,72,80),0))))/100)*((1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2787)</f>
        <v/>
      </c>
      <c r="L2787">
        <f>K2787*(MIN(Inputs!$B$22+((C2796=TRUE)*(F2796-Calc!F20)),(Inputs!$B$23+0+(IF(ArtifactsInput!$M$15,CHOOSE(ArtifactsInput!$N$15+1,25,30,35,40,45,50)/100*(Inputs!$B$11-Inputs!$B$11),0))))/100+(Inputs!$B$23+0+(IF(ArtifactsInput!$M$15,CHOOSE(ArtifactsInput!$N$15+1,25,30,35,40,45,50)/100*(Inputs!$B$11-Inputs!$B$11),0)))/100)/2</f>
        <v/>
      </c>
      <c r="M2787">
        <f>L2787*(1+(Inputs!$B$10+0+B2807+(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7">
        <f>L2787*(1-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2787*(MIN((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7">
        <f>(1-Summary!$B$11)*T2787+Summary!$B$11*V2787</f>
        <v/>
      </c>
      <c r="P2787">
        <f>IF(B2812=0,0,O2787/B2812)</f>
        <v/>
      </c>
      <c r="Q2787">
        <f>IFERROR(1/(IF(Inputs!$B$38="pvp",15,MAX(0.1,Skills!D11-IF(Skills!E11=TRUE,4.0,0)))*(1-IF(AND(ArtifactsInput!$M$27,Inputs!$B$4="Chapter Hunt"),CHOOSE(ArtifactsInput!$N$27+1,20,24,28,32,36,40),0)/100)),0)</f>
        <v/>
      </c>
      <c r="R2787">
        <f>IF(AND(Inputs!$B$38&lt;&gt;"pvp",Inputs!$B$43&gt;0),IF(MAX(0,Inputs!$B$43-B2809)&lt;=0,0,(INT(MAX(0,Inputs!$B$43-B2809)/(IF(Inputs!$B$38="pvp",15,MAX(0.1,Skills!D11-IF(Skills!E11=TRUE,4.0,0)))*(1-IF(AND(ArtifactsInput!$M$27,Inputs!$B$4="Chapter Hunt"),CHOOSE(ArtifactsInput!$N$27+1,20,24,28,32,36,40),0)/100)))+1)),0)</f>
        <v/>
      </c>
      <c r="S2787">
        <f>IFERROR(O2787/N2787,0)</f>
        <v/>
      </c>
      <c r="T2787">
        <f>IF(C2787,(H2787*N2787*IF(AND(Inputs!$B$38&lt;&gt;"pvp",Inputs!$B$43&gt;0),((Skills!G11*((R2787-1)*IF(Skills!H11&gt;0,Skills!I11/Skills!H11,1)+IF(Skills!H11&gt;0,MIN(Skills!I11,MAX(0,MAX(0,Inputs!$B$43-B2809)-((R2787-1)*(IF(Inputs!$B$38="pvp",15,MAX(0.1,Skills!D11-IF(Skills!E11=TRUE,4.0,0)))*(1-IF(AND(ArtifactsInput!$M$27,Inputs!$B$4="Chapter Hunt"),CHOOSE(ArtifactsInput!$N$27+1,20,24,28,32,36,40),0)/100)))))/Skills!H11,1)))/Inputs!$B$43),G2787*Q2787)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2787*(1-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2787*(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2787*(1-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2787*(MIN(100,(Inputs!$B$9+((C2792=TRUE)*(F2792-Calc!F16))+B2802+(ArtifactsInput!$M$24-ArtifactsInput!$M$24)*CHOOSE(ArtifactsInput!$N$24+1,10,12,14,16,18,20)+(IF(AND(ArtifactsInput!$M$42,((Inputs!$B$9+((C2792=TRUE)*(F2792-Calc!F16))+B2802+(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7">
        <f>IF(C2787,(H2787*N2787*IF(AND(Inputs!$B$38&lt;&gt;"pvp",Inputs!$B$43&gt;0),((Skills!G11*((R2787-1)*IF(Skills!H11&gt;0,Skills!I11/Skills!H11,1)+IF(Skills!H11&gt;0,MIN(Skills!I11,MAX(0,MAX(0,Inputs!$B$43-B2809)-((R2787-1)*(IF(Inputs!$B$38="pvp",15,MAX(0.1,Skills!D11-IF(Skills!E11=TRUE,4.0,0)))*(1-IF(AND(ArtifactsInput!$M$27,Inputs!$B$4="Chapter Hunt"),CHOOSE(ArtifactsInput!$N$27+1,20,24,28,32,36,40),0)/100)))))/Skills!H11,1)))/Inputs!$B$43),G2787*Q2787))*IF(Inputs!$B$38="pvp",1,(1+(Inputs!$B$21+Skills!Q11+(IF(ArtifactsInput!$M$33,CHOOSE(ArtifactsInput!$N$33+1,30,36,42,48,54,60),0))+(IF(AND(ArtifactsInput!$M$35,Inputs!$B$4&lt;&gt;"Chapter Hunt"),CHOOSE(ArtifactsInput!$N$35+1,15,18,21,24,27,30)*(1-EXP(-(0.2*B2804)*5)),0)+IF(AND(ArtifactsInput!$M$22,Inputs!$B$4&lt;&gt;"Chapter Hunt"),CHOOSE(ArtifactsInput!$N$22+1,10,12,14,16,18,20)*((0*(((0.15*B2804*5))^0/1)+1*(((0.15*B2804*5))^1/1)+2*(((0.15*B2804*5))^2/2)+3*(((0.15*B2804*5))^3/6)+4*(((0.15*B2804*5))^4/24)+5*(((0.15*B2804*5))^5/120))/((((0.15*B2804*5))^0/1)+(((0.15*B2804*5))^1/1)+(((0.15*B2804*5))^2/2)+(((0.15*B2804*5))^3/6)+(((0.15*B2804*5))^4/24)+(((0.15*B2804*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8">
      <c r="A2788">
        <f>Skills!A12</f>
        <v/>
      </c>
      <c r="B2788">
        <f>Skills!B12</f>
        <v/>
      </c>
      <c r="C2788">
        <f>Inputs!$B$3&gt;=100</f>
        <v/>
      </c>
      <c r="D2788">
        <f>IF(Skills!C12=1,60+Inputs!$B$25+Inputs!$B$29,IF(Skills!C12=2,90+Inputs!$B$26+Inputs!$B$29,IF(Skills!C12=3,120+Inputs!$B$27+Inputs!$B$29,MAX(0,(Inputs!$B$3-100)*3)+Inputs!$B$28+Inputs!$B$29)))</f>
        <v/>
      </c>
      <c r="E2788">
        <f>INDEX(FactorTable!$B$2:$Y$301, MATCH(ROUND(MIN(300,MAX(1,D2788)),0), FactorTable!$A$2:$A$301,0), Skills!M12+1)</f>
        <v/>
      </c>
      <c r="F2788">
        <f>IF(Skills!N12=TRUE,(Skills!L12/10)*(E2788/1000),Skills!L12/10)+Skills!O12</f>
        <v/>
      </c>
      <c r="G2788" t="inlineStr"/>
      <c r="H2788" t="inlineStr"/>
      <c r="I2788" t="inlineStr">
        <is>
          <t>1</t>
        </is>
      </c>
      <c r="J2788" t="inlineStr"/>
      <c r="K2788" t="inlineStr"/>
      <c r="L2788" t="inlineStr"/>
      <c r="M2788" t="inlineStr"/>
      <c r="N2788" t="inlineStr"/>
      <c r="O2788" t="inlineStr"/>
      <c r="P2788" t="inlineStr"/>
      <c r="Q2788" t="inlineStr"/>
      <c r="R2788" t="inlineStr"/>
      <c r="S2788" t="inlineStr"/>
      <c r="T2788" t="inlineStr"/>
      <c r="V2788" t="inlineStr"/>
    </row>
    <row r="2789">
      <c r="A2789">
        <f>Skills!A13</f>
        <v/>
      </c>
      <c r="B2789">
        <f>Skills!B13</f>
        <v/>
      </c>
      <c r="C2789">
        <f>Inputs!$B$3&gt;=66</f>
        <v/>
      </c>
      <c r="D2789">
        <f>IF(Skills!C13=1,60+Inputs!$B$25+Inputs!$B$29,IF(Skills!C13=2,90+Inputs!$B$26+Inputs!$B$29,IF(Skills!C13=3,120+Inputs!$B$27+Inputs!$B$29,MAX(0,(Inputs!$B$3-100)*3)+Inputs!$B$28+Inputs!$B$29)))</f>
        <v/>
      </c>
      <c r="E2789">
        <f>INDEX(FactorTable!$B$2:$Y$301, MATCH(ROUND(MIN(300,MAX(1,D2789)),0), FactorTable!$A$2:$A$301,0), Skills!M13+1)</f>
        <v/>
      </c>
      <c r="F2789">
        <f>IF(Skills!N13=TRUE,(Skills!L13/10)*(E2789/1000),Skills!L13/10)+Skills!O13</f>
        <v/>
      </c>
      <c r="G2789">
        <f>Skills!G13*IF(Skills!H13&gt;0,Skills!I13/Skills!H13,1)</f>
        <v/>
      </c>
      <c r="H2789">
        <f>1-(1-Skills!J13/100)^Skills!K13</f>
        <v/>
      </c>
      <c r="I2789" t="inlineStr">
        <is>
          <t>1</t>
        </is>
      </c>
      <c r="J2789" t="inlineStr"/>
      <c r="K2789" t="inlineStr"/>
      <c r="L2789" t="inlineStr"/>
      <c r="M2789" t="inlineStr"/>
      <c r="N2789" t="inlineStr"/>
      <c r="O2789">
        <f>(1-Summary!$B$11)*T2789+Summary!$B$11*V2789</f>
        <v/>
      </c>
      <c r="P2789">
        <f>IF(B2812=0,0,O2789/B2812)</f>
        <v/>
      </c>
      <c r="Q2789" t="n">
        <v>0</v>
      </c>
      <c r="R2789" t="n">
        <v>0</v>
      </c>
      <c r="S2789">
        <f>IFERROR(O2789/N2789,0)</f>
        <v/>
      </c>
      <c r="T2789" t="n">
        <v>0</v>
      </c>
      <c r="V2789" t="n">
        <v>0</v>
      </c>
    </row>
    <row r="2790">
      <c r="A2790">
        <f>Skills!A14</f>
        <v/>
      </c>
      <c r="B2790">
        <f>Skills!B14</f>
        <v/>
      </c>
      <c r="C2790">
        <f>Inputs!$B$3&gt;=107</f>
        <v/>
      </c>
      <c r="D2790">
        <f>IF(Skills!C14=1,60+Inputs!$B$25+Inputs!$B$29,IF(Skills!C14=2,90+Inputs!$B$26+Inputs!$B$29,IF(Skills!C14=3,120+Inputs!$B$27+Inputs!$B$29,MAX(0,(Inputs!$B$3-100)*3)+Inputs!$B$28+Inputs!$B$29)))</f>
        <v/>
      </c>
      <c r="E2790">
        <f>INDEX(FactorTable!$B$2:$Y$301, MATCH(ROUND(MIN(300,MAX(1,D2790)),0), FactorTable!$A$2:$A$301,0), Skills!M14+1)</f>
        <v/>
      </c>
      <c r="F2790">
        <f>IF(Skills!N14=TRUE,(Skills!L14/10)*(E2790/1000),Skills!L14/10)+Skills!O14</f>
        <v/>
      </c>
      <c r="G2790">
        <f>Skills!G14*IF(Skills!H14&gt;0,Skills!I14/Skills!H14,1)</f>
        <v/>
      </c>
      <c r="H2790">
        <f>1-(1-Skills!J14/100)^Skills!K14</f>
        <v/>
      </c>
      <c r="I2790" t="inlineStr">
        <is>
          <t>1</t>
        </is>
      </c>
      <c r="J2790" t="inlineStr"/>
      <c r="K2790" t="inlineStr"/>
      <c r="L2790" t="inlineStr"/>
      <c r="M2790" t="inlineStr"/>
      <c r="N2790" t="inlineStr"/>
      <c r="O2790">
        <f>(1-Summary!$B$11)*T2790+Summary!$B$11*V2790</f>
        <v/>
      </c>
      <c r="P2790">
        <f>IF(B2812=0,0,O2790/B2812)</f>
        <v/>
      </c>
      <c r="Q2790">
        <f>IFERROR(1/(IF(Inputs!$B$38="pvp",15,MAX(0.1,Skills!D14-IF(Skills!E14=TRUE,4.0,0)))*(1-IF(AND(ArtifactsInput!$M$27,Inputs!$B$4="Chapter Hunt"),CHOOSE(ArtifactsInput!$N$27+1,20,24,28,32,36,40),0)/100)),0)</f>
        <v/>
      </c>
      <c r="R2790">
        <f>IF(AND(Inputs!$B$38&lt;&gt;"pvp",Inputs!$B$43&gt;0),IF(Inputs!$B$43&lt;=0,0,(INT(Inputs!$B$43/(IF(Inputs!$B$38="pvp",15,MAX(0.1,Skills!D14-IF(Skills!E14=TRUE,4.0,0)))*(1-IF(AND(ArtifactsInput!$M$27,Inputs!$B$4="Chapter Hunt"),CHOOSE(ArtifactsInput!$N$27+1,20,24,28,32,36,40),0)/100)))+1)),0)</f>
        <v/>
      </c>
      <c r="S2790">
        <f>IFERROR(O2790/N2790,0)</f>
        <v/>
      </c>
      <c r="T2790" t="n">
        <v>0</v>
      </c>
      <c r="V2790" t="n">
        <v>0</v>
      </c>
    </row>
    <row r="2791">
      <c r="A2791">
        <f>Skills!A15</f>
        <v/>
      </c>
      <c r="B2791">
        <f>Skills!B15</f>
        <v/>
      </c>
      <c r="C2791">
        <f>Inputs!$B$3&gt;=115</f>
        <v/>
      </c>
      <c r="D2791">
        <f>IF(Skills!C15=1,60+Inputs!$B$25+Inputs!$B$29,IF(Skills!C15=2,90+Inputs!$B$26+Inputs!$B$29,IF(Skills!C15=3,120+Inputs!$B$27+Inputs!$B$29,MAX(0,(Inputs!$B$3-100)*3)+Inputs!$B$28+Inputs!$B$29)))</f>
        <v/>
      </c>
      <c r="E2791">
        <f>INDEX(FactorTable!$B$2:$Y$301, MATCH(ROUND(MIN(300,MAX(1,D2791)),0), FactorTable!$A$2:$A$301,0), Skills!M15+1)</f>
        <v/>
      </c>
      <c r="F2791">
        <f>IF(Skills!N15=TRUE,(Skills!L15/10)*(E2791/1000),Skills!L15/10)+Skills!O15</f>
        <v/>
      </c>
      <c r="G2791">
        <f>Skills!G15*IF(Skills!H15&gt;0,Skills!I15/Skills!H15,1)</f>
        <v/>
      </c>
      <c r="H2791">
        <f>1-(1-Skills!J15/100)^Skills!K15</f>
        <v/>
      </c>
      <c r="I2791" t="inlineStr">
        <is>
          <t>1</t>
        </is>
      </c>
      <c r="J2791" t="inlineStr"/>
      <c r="K2791" t="inlineStr"/>
      <c r="L2791" t="inlineStr"/>
      <c r="M2791" t="inlineStr"/>
      <c r="N2791" t="inlineStr"/>
      <c r="O2791">
        <f>(1-Summary!$B$11)*T2791+Summary!$B$11*V2791</f>
        <v/>
      </c>
      <c r="P2791">
        <f>IF(B2812=0,0,O2791/B2812)</f>
        <v/>
      </c>
      <c r="Q2791">
        <f>IFERROR(1/(IF(Inputs!$B$38="pvp",15,MAX(0.1,Skills!D15-IF(Skills!E15=TRUE,4.0,0)))*(1-IF(AND(ArtifactsInput!$M$27,Inputs!$B$4="Chapter Hunt"),CHOOSE(ArtifactsInput!$N$27+1,20,24,28,32,36,40),0)/100)),0)</f>
        <v/>
      </c>
      <c r="R2791">
        <f>IF(AND(Inputs!$B$38&lt;&gt;"pvp",Inputs!$B$43&gt;0),IF(Inputs!$B$43&lt;=0,0,(INT(Inputs!$B$43/(IF(Inputs!$B$38="pvp",15,MAX(0.1,Skills!D15-IF(Skills!E15=TRUE,4.0,0)))*(1-IF(AND(ArtifactsInput!$M$27,Inputs!$B$4="Chapter Hunt"),CHOOSE(ArtifactsInput!$N$27+1,20,24,28,32,36,40),0)/100)))+1)),0)</f>
        <v/>
      </c>
      <c r="S2791">
        <f>IFERROR(O2791/N2791,0)</f>
        <v/>
      </c>
      <c r="T2791" t="n">
        <v>0</v>
      </c>
      <c r="V2791" t="n">
        <v>0</v>
      </c>
    </row>
    <row r="2792">
      <c r="A2792">
        <f>Skills!A16</f>
        <v/>
      </c>
      <c r="B2792">
        <f>Skills!B16</f>
        <v/>
      </c>
      <c r="C2792">
        <f>Inputs!$B$3&gt;=15</f>
        <v/>
      </c>
      <c r="D2792">
        <f>IF(Skills!C16=1,60+Inputs!$B$25+Inputs!$B$29,IF(Skills!C16=2,90+Inputs!$B$26+Inputs!$B$29,IF(Skills!C16=3,120+Inputs!$B$27+Inputs!$B$29,MAX(0,(Inputs!$B$3-100)*3)+Inputs!$B$28+Inputs!$B$29)))</f>
        <v/>
      </c>
      <c r="E2792">
        <f>INDEX(FactorTable!$B$2:$Y$301, MATCH(ROUND(MIN(300,MAX(1,D2792)),0), FactorTable!$A$2:$A$301,0), Skills!M16+1)</f>
        <v/>
      </c>
      <c r="F2792">
        <f>IF(Skills!N16=TRUE,(Skills!L16/10)*(E2792/1000),Skills!L16/10)+Skills!O16</f>
        <v/>
      </c>
      <c r="G2792">
        <f>Skills!G16*IF(Skills!H16&gt;0,Skills!I16/Skills!H16,1)</f>
        <v/>
      </c>
      <c r="H2792">
        <f>1-(1-Skills!J16/100)^Skills!K16</f>
        <v/>
      </c>
      <c r="I2792" t="inlineStr">
        <is>
          <t>1</t>
        </is>
      </c>
      <c r="J2792" t="inlineStr"/>
      <c r="K2792" t="inlineStr"/>
      <c r="L2792" t="inlineStr"/>
      <c r="M2792" t="inlineStr"/>
      <c r="N2792" t="inlineStr"/>
      <c r="O2792">
        <f>(1-Summary!$B$11)*T2792+Summary!$B$11*V2792</f>
        <v/>
      </c>
      <c r="P2792">
        <f>IF(B2812=0,0,O2792/B2812)</f>
        <v/>
      </c>
      <c r="Q2792" t="n">
        <v>0</v>
      </c>
      <c r="R2792" t="n">
        <v>0</v>
      </c>
      <c r="S2792">
        <f>IFERROR(O2792/N2792,0)</f>
        <v/>
      </c>
      <c r="T2792" t="n">
        <v>0</v>
      </c>
      <c r="V2792" t="n">
        <v>0</v>
      </c>
    </row>
    <row r="2793">
      <c r="A2793">
        <f>Skills!A17</f>
        <v/>
      </c>
      <c r="B2793">
        <f>Skills!B17</f>
        <v/>
      </c>
      <c r="C2793">
        <f>Inputs!$B$3&gt;=10</f>
        <v/>
      </c>
      <c r="D2793">
        <f>IF(Skills!C17=1,60+Inputs!$B$25+Inputs!$B$29,IF(Skills!C17=2,90+Inputs!$B$26+Inputs!$B$29,IF(Skills!C17=3,120+Inputs!$B$27+Inputs!$B$29,MAX(0,(Inputs!$B$3-100)*3)+Inputs!$B$28+Inputs!$B$29)))</f>
        <v/>
      </c>
      <c r="E2793">
        <f>INDEX(FactorTable!$B$2:$Y$301, MATCH(ROUND(MIN(300,MAX(1,D2793)),0), FactorTable!$A$2:$A$301,0), Skills!M17+1)</f>
        <v/>
      </c>
      <c r="F2793">
        <f>IF(Skills!N17=TRUE,(Skills!L17/10)*(E2793/1000),Skills!L17/10)+Skills!O17</f>
        <v/>
      </c>
      <c r="G2793">
        <f>Skills!G17*IF(Skills!H17&gt;0,Skills!I17/Skills!H17,1)</f>
        <v/>
      </c>
      <c r="H2793">
        <f>1-(1-Skills!J17/100)^Skills!K17</f>
        <v/>
      </c>
      <c r="I2793" t="inlineStr">
        <is>
          <t>1</t>
        </is>
      </c>
      <c r="J2793" t="inlineStr"/>
      <c r="K2793" t="inlineStr"/>
      <c r="L2793" t="inlineStr"/>
      <c r="M2793" t="inlineStr"/>
      <c r="N2793" t="inlineStr"/>
      <c r="O2793">
        <f>(1-Summary!$B$11)*T2793+Summary!$B$11*V2793</f>
        <v/>
      </c>
      <c r="P2793">
        <f>IF(B2812=0,0,O2793/B2812)</f>
        <v/>
      </c>
      <c r="Q2793" t="n">
        <v>0</v>
      </c>
      <c r="R2793" t="n">
        <v>0</v>
      </c>
      <c r="S2793">
        <f>IFERROR(O2793/N2793,0)</f>
        <v/>
      </c>
      <c r="T2793" t="n">
        <v>0</v>
      </c>
      <c r="V2793" t="n">
        <v>0</v>
      </c>
    </row>
    <row r="2794">
      <c r="A2794">
        <f>Skills!A18</f>
        <v/>
      </c>
      <c r="B2794">
        <f>Skills!B18</f>
        <v/>
      </c>
      <c r="C2794">
        <f>Inputs!$B$3&gt;=33</f>
        <v/>
      </c>
      <c r="D2794">
        <f>IF(Skills!C18=1,60+Inputs!$B$25+Inputs!$B$29,IF(Skills!C18=2,90+Inputs!$B$26+Inputs!$B$29,IF(Skills!C18=3,120+Inputs!$B$27+Inputs!$B$29,MAX(0,(Inputs!$B$3-100)*3)+Inputs!$B$28+Inputs!$B$29)))</f>
        <v/>
      </c>
      <c r="E2794">
        <f>INDEX(FactorTable!$B$2:$Y$301, MATCH(ROUND(MIN(300,MAX(1,D2794)),0), FactorTable!$A$2:$A$301,0), Skills!M18+1)</f>
        <v/>
      </c>
      <c r="F2794">
        <f>IF(Skills!N18=TRUE,(Skills!L18/10)*(E2794/1000),Skills!L18/10)+Skills!O18</f>
        <v/>
      </c>
      <c r="G2794">
        <f>Skills!G18*IF(Skills!H18&gt;0,Skills!I18/Skills!H18,1)</f>
        <v/>
      </c>
      <c r="H2794">
        <f>1-(1-Skills!J18/100)^Skills!K18</f>
        <v/>
      </c>
      <c r="I2794" t="inlineStr">
        <is>
          <t>1</t>
        </is>
      </c>
      <c r="J2794" t="inlineStr"/>
      <c r="K2794" t="inlineStr"/>
      <c r="L2794" t="inlineStr"/>
      <c r="M2794" t="inlineStr"/>
      <c r="N2794" t="inlineStr"/>
      <c r="O2794">
        <f>(1-Summary!$B$11)*T2794+Summary!$B$11*V2794</f>
        <v/>
      </c>
      <c r="P2794">
        <f>IF(B2812=0,0,O2794/B2812)</f>
        <v/>
      </c>
      <c r="Q2794" t="n">
        <v>0</v>
      </c>
      <c r="R2794" t="n">
        <v>0</v>
      </c>
      <c r="S2794">
        <f>IFERROR(O2794/N2794,0)</f>
        <v/>
      </c>
      <c r="T2794" t="n">
        <v>0</v>
      </c>
      <c r="V2794" t="n">
        <v>0</v>
      </c>
    </row>
    <row r="2795">
      <c r="A2795">
        <f>Skills!A19</f>
        <v/>
      </c>
      <c r="B2795">
        <f>Skills!B19</f>
        <v/>
      </c>
      <c r="C2795">
        <f>Inputs!$B$3&gt;=40</f>
        <v/>
      </c>
      <c r="D2795">
        <f>IF(Skills!C19=1,60+Inputs!$B$25+Inputs!$B$29,IF(Skills!C19=2,90+Inputs!$B$26+Inputs!$B$29,IF(Skills!C19=3,120+Inputs!$B$27+Inputs!$B$29,MAX(0,(Inputs!$B$3-100)*3)+Inputs!$B$28+Inputs!$B$29)))</f>
        <v/>
      </c>
      <c r="E2795">
        <f>INDEX(FactorTable!$B$2:$Y$301, MATCH(ROUND(MIN(300,MAX(1,D2795)),0), FactorTable!$A$2:$A$301,0), Skills!M19+1)</f>
        <v/>
      </c>
      <c r="F2795">
        <f>IF(Skills!N19=TRUE,(Skills!L19/10)*(E2795/1000),Skills!L19/10)+Skills!O19</f>
        <v/>
      </c>
      <c r="G2795">
        <f>Skills!G19*IF(Skills!H19&gt;0,Skills!I19/Skills!H19,1)</f>
        <v/>
      </c>
      <c r="H2795">
        <f>1-(1-Skills!J19/100)^Skills!K19</f>
        <v/>
      </c>
      <c r="I2795" t="inlineStr">
        <is>
          <t>1</t>
        </is>
      </c>
      <c r="J2795" t="inlineStr"/>
      <c r="K2795" t="inlineStr"/>
      <c r="L2795" t="inlineStr"/>
      <c r="M2795" t="inlineStr"/>
      <c r="N2795" t="inlineStr"/>
      <c r="O2795">
        <f>(1-Summary!$B$11)*T2795+Summary!$B$11*V2795</f>
        <v/>
      </c>
      <c r="P2795">
        <f>IF(B2812=0,0,O2795/B2812)</f>
        <v/>
      </c>
      <c r="Q2795" t="n">
        <v>0</v>
      </c>
      <c r="R2795" t="n">
        <v>0</v>
      </c>
      <c r="S2795">
        <f>IFERROR(O2795/N2795,0)</f>
        <v/>
      </c>
      <c r="T2795" t="n">
        <v>0</v>
      </c>
      <c r="V2795" t="n">
        <v>0</v>
      </c>
    </row>
    <row r="2796">
      <c r="A2796">
        <f>Skills!A20</f>
        <v/>
      </c>
      <c r="B2796">
        <f>Skills!B20</f>
        <v/>
      </c>
      <c r="C2796">
        <f>Inputs!$B$3&gt;=43</f>
        <v/>
      </c>
      <c r="D2796">
        <f>IF(Skills!C20=1,60+Inputs!$B$25+Inputs!$B$29,IF(Skills!C20=2,90+Inputs!$B$26+Inputs!$B$29,IF(Skills!C20=3,120+Inputs!$B$27+Inputs!$B$29,MAX(0,(Inputs!$B$3-100)*3)+Inputs!$B$28+Inputs!$B$29)))</f>
        <v/>
      </c>
      <c r="E2796">
        <f>INDEX(FactorTable!$B$2:$Y$301, MATCH(ROUND(MIN(300,MAX(1,D2796)),0), FactorTable!$A$2:$A$301,0), Skills!M20+1)</f>
        <v/>
      </c>
      <c r="F2796">
        <f>IF(Skills!N20=TRUE,(Skills!L20/10)*(E2796/1000),Skills!L20/10)+Skills!O20</f>
        <v/>
      </c>
      <c r="G2796">
        <f>Skills!G20*IF(Skills!H20&gt;0,Skills!I20/Skills!H20,1)</f>
        <v/>
      </c>
      <c r="H2796">
        <f>1-(1-Skills!J20/100)^Skills!K20</f>
        <v/>
      </c>
      <c r="I2796" t="inlineStr">
        <is>
          <t>1</t>
        </is>
      </c>
      <c r="J2796" t="inlineStr"/>
      <c r="K2796" t="inlineStr"/>
      <c r="L2796" t="inlineStr"/>
      <c r="M2796" t="inlineStr"/>
      <c r="N2796" t="inlineStr"/>
      <c r="O2796">
        <f>(1-Summary!$B$11)*T2796+Summary!$B$11*V2796</f>
        <v/>
      </c>
      <c r="P2796">
        <f>IF(B2812=0,0,O2796/B2812)</f>
        <v/>
      </c>
      <c r="Q2796" t="n">
        <v>0</v>
      </c>
      <c r="R2796" t="n">
        <v>0</v>
      </c>
      <c r="S2796">
        <f>IFERROR(O2796/N2796,0)</f>
        <v/>
      </c>
      <c r="T2796" t="n">
        <v>0</v>
      </c>
      <c r="V2796" t="n">
        <v>0</v>
      </c>
    </row>
    <row r="2797">
      <c r="A2797">
        <f>Skills!A21</f>
        <v/>
      </c>
      <c r="B2797">
        <f>Skills!B21</f>
        <v/>
      </c>
      <c r="C2797">
        <f>Inputs!$B$3&gt;=38</f>
        <v/>
      </c>
      <c r="D2797">
        <f>IF(Skills!C21=1,60+Inputs!$B$25+Inputs!$B$29,IF(Skills!C21=2,90+Inputs!$B$26+Inputs!$B$29,IF(Skills!C21=3,120+Inputs!$B$27+Inputs!$B$29,MAX(0,(Inputs!$B$3-100)*3)+Inputs!$B$28+Inputs!$B$29)))</f>
        <v/>
      </c>
      <c r="E2797">
        <f>INDEX(FactorTable!$B$2:$Y$301, MATCH(ROUND(MIN(300,MAX(1,D2797)),0), FactorTable!$A$2:$A$301,0), Skills!M21+1)</f>
        <v/>
      </c>
      <c r="F2797">
        <f>IF(Skills!N21=TRUE,(Skills!L21/10)*(E2797/1000),Skills!L21/10)+Skills!O21</f>
        <v/>
      </c>
      <c r="G2797">
        <f>Skills!G21*IF(Skills!H21&gt;0,Skills!I21/Skills!H21,1)</f>
        <v/>
      </c>
      <c r="H2797">
        <f>1-(1-Skills!J21/100)^Skills!K21</f>
        <v/>
      </c>
      <c r="I2797" t="inlineStr">
        <is>
          <t>1</t>
        </is>
      </c>
      <c r="J2797" t="inlineStr"/>
      <c r="K2797" t="inlineStr"/>
      <c r="L2797" t="inlineStr"/>
      <c r="M2797" t="inlineStr"/>
      <c r="N2797" t="inlineStr"/>
      <c r="O2797">
        <f>(1-Summary!$B$11)*T2797+Summary!$B$11*V2797</f>
        <v/>
      </c>
      <c r="P2797">
        <f>IF(B2812=0,0,O2797/B2812)</f>
        <v/>
      </c>
      <c r="Q2797" t="n">
        <v>0</v>
      </c>
      <c r="R2797" t="n">
        <v>0</v>
      </c>
      <c r="S2797">
        <f>IFERROR(O2797/N2797,0)</f>
        <v/>
      </c>
      <c r="T2797" t="n">
        <v>0</v>
      </c>
      <c r="V2797" t="n">
        <v>0</v>
      </c>
    </row>
    <row r="2798">
      <c r="A2798">
        <f>Skills!A22</f>
        <v/>
      </c>
      <c r="B2798">
        <f>Skills!B22</f>
        <v/>
      </c>
      <c r="C2798">
        <f>Inputs!$B$3&gt;=75</f>
        <v/>
      </c>
      <c r="D2798">
        <f>IF(Skills!C22=1,60+Inputs!$B$25+Inputs!$B$29,IF(Skills!C22=2,90+Inputs!$B$26+Inputs!$B$29,IF(Skills!C22=3,120+Inputs!$B$27+Inputs!$B$29,MAX(0,(Inputs!$B$3-100)*3)+Inputs!$B$28+Inputs!$B$29)))</f>
        <v/>
      </c>
      <c r="E2798">
        <f>INDEX(FactorTable!$B$2:$Y$301, MATCH(ROUND(MIN(300,MAX(1,D2798)),0), FactorTable!$A$2:$A$301,0), Skills!M22+1)</f>
        <v/>
      </c>
      <c r="F2798">
        <f>IF(Skills!N22=TRUE,(Skills!L22/10)*(E2798/1000),Skills!L22/10)+Skills!O22</f>
        <v/>
      </c>
      <c r="G2798">
        <f>Skills!G22*IF(Skills!H22&gt;0,Skills!I22/Skills!H22,1)</f>
        <v/>
      </c>
      <c r="H2798">
        <f>1-(1-Skills!J22/100)^Skills!K22</f>
        <v/>
      </c>
      <c r="I2798" t="inlineStr">
        <is>
          <t>1</t>
        </is>
      </c>
      <c r="J2798" t="inlineStr"/>
      <c r="K2798" t="inlineStr"/>
      <c r="L2798" t="inlineStr"/>
      <c r="M2798" t="inlineStr"/>
      <c r="N2798" t="inlineStr"/>
      <c r="O2798">
        <f>(1-Summary!$B$11)*T2798+Summary!$B$11*V2798</f>
        <v/>
      </c>
      <c r="P2798">
        <f>IF(B2812=0,0,O2798/B2812)</f>
        <v/>
      </c>
      <c r="Q2798" t="n">
        <v>0</v>
      </c>
      <c r="R2798" t="n">
        <v>0</v>
      </c>
      <c r="S2798">
        <f>IFERROR(O2798/N2798,0)</f>
        <v/>
      </c>
      <c r="T2798" t="n">
        <v>0</v>
      </c>
      <c r="V2798" t="n">
        <v>0</v>
      </c>
    </row>
    <row r="2799">
      <c r="A2799">
        <f>Skills!A23</f>
        <v/>
      </c>
      <c r="B2799">
        <f>Skills!B23</f>
        <v/>
      </c>
      <c r="C2799">
        <f>TRUE</f>
        <v/>
      </c>
      <c r="D2799">
        <f>IF(Skills!C23=1,60+Inputs!$B$25+Inputs!$B$29,IF(Skills!C23=2,90+Inputs!$B$26+Inputs!$B$29,IF(Skills!C23=3,120+Inputs!$B$27+Inputs!$B$29,MAX(0,(Inputs!$B$3-100)*3)+Inputs!$B$28+Inputs!$B$29)))</f>
        <v/>
      </c>
      <c r="E2799">
        <f>INDEX(FactorTable!$B$2:$Y$301, MATCH(ROUND(MIN(300,MAX(1,D2799)),0), FactorTable!$A$2:$A$301,0), Skills!M23+1)</f>
        <v/>
      </c>
      <c r="F2799">
        <f>IF(Skills!N23=TRUE,(Skills!L23/10)*(E2799/1000),Skills!L23/10)+Skills!O23</f>
        <v/>
      </c>
      <c r="G2799">
        <f>Skills!G23*IF(Skills!H23&gt;0,Skills!I23/Skills!H23,1)</f>
        <v/>
      </c>
      <c r="H2799">
        <f>1-(1-Skills!J23/100)^Skills!K23</f>
        <v/>
      </c>
      <c r="I2799" t="inlineStr">
        <is>
          <t>1</t>
        </is>
      </c>
      <c r="J2799" t="inlineStr"/>
      <c r="K2799" t="inlineStr"/>
      <c r="L2799" t="inlineStr"/>
      <c r="M2799" t="inlineStr"/>
      <c r="N2799" t="inlineStr"/>
      <c r="O2799">
        <f>(1-Summary!$B$11)*T2799+Summary!$B$11*V2799</f>
        <v/>
      </c>
      <c r="P2799">
        <f>IF(B2812=0,0,O2799/B2812)</f>
        <v/>
      </c>
      <c r="Q2799">
        <f>IFERROR(1/(IF(Inputs!$B$38="pvp",15,MAX(0.1,Skills!D23-IF(Skills!E23=TRUE,4.0,0)))*(1-IF(AND(ArtifactsInput!$M$27,Inputs!$B$4="Chapter Hunt"),CHOOSE(ArtifactsInput!$N$27+1,20,24,28,32,36,40),0)/100)),0)</f>
        <v/>
      </c>
      <c r="R2799">
        <f>IF(AND(Inputs!$B$38&lt;&gt;"pvp",Inputs!$B$43&gt;0),IF(Inputs!$B$43&lt;=0,0,(INT(Inputs!$B$43/(IF(Inputs!$B$38="pvp",15,MAX(0.1,Skills!D23-IF(Skills!E23=TRUE,4.0,0)))*(1-IF(AND(ArtifactsInput!$M$27,Inputs!$B$4="Chapter Hunt"),CHOOSE(ArtifactsInput!$N$27+1,20,24,28,32,36,40),0)/100)))+1)),0)</f>
        <v/>
      </c>
      <c r="S2799">
        <f>IFERROR(O2799/N2799,0)</f>
        <v/>
      </c>
      <c r="T2799" t="n">
        <v>0</v>
      </c>
      <c r="V2799" t="n">
        <v>0</v>
      </c>
    </row>
    <row r="2801">
      <c r="A2801" t="inlineStr">
        <is>
          <t>Attack% Bucket Multiplier</t>
        </is>
      </c>
      <c r="B2801">
        <f>(1+(((C2789=TRUE)*F2789*5/7)+((C2795=TRUE)*(F2795-Calc!F19))+(IF(ArtifactsInput!$M$21,CHOOSE(ArtifactsInput!$N$21+1,25,30,35,40,45,50)*(IF(OR(Inputs!$B$4="Chapter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2">
      <c r="A2802" t="inlineStr">
        <is>
          <t>Global Crit Rate Bonus %</t>
        </is>
      </c>
      <c r="B2802" t="n">
        <v>0</v>
      </c>
    </row>
    <row r="2803">
      <c r="A2803" t="inlineStr">
        <is>
          <t>Attack Speed Buff Bonus % (Nimble Feet, duty-cycle averaged)</t>
        </is>
      </c>
      <c r="B2803">
        <f>((C2799=TRUE)*F2799*IF(AND(Inputs!$B$38&lt;&gt;"pvp",Inputs!$B$43&gt;0),(((R2799-1)*(Skills!T23*(1+Inputs!$B$34/100))+MIN((Skills!T23*(1+Inputs!$B$34/100)),MAX(0,Inputs!$B$43-((R2799-1)*Skills!D23))))/Inputs!$B$43),IF(Inputs!$B$38="pvp",MIN((Skills!T23*(1+Inputs!$B$34/100)),15)/15,(Skills!T23*(1+Inputs!$B$34/100))/Skills!D23)))</f>
        <v/>
      </c>
    </row>
    <row r="2804">
      <c r="A2804" t="inlineStr">
        <is>
          <t>Actions Per Second</t>
        </is>
      </c>
      <c r="B2804">
        <f>1+MIN(150,150*(1-(1-(Inputs!$B$11+((C2793=TRUE)*(F2793-Calc!F17))+((C2794=TRUE)*(F2794-Calc!F18)))/150)*(1-B2803/150)))/100</f>
        <v/>
      </c>
    </row>
    <row r="2805">
      <c r="A2805" t="inlineStr">
        <is>
          <t>Skill + Buff Cast Rate</t>
        </is>
      </c>
      <c r="B2805">
        <f>IF(AND(Inputs!$B$38&lt;&gt;"pvp",Inputs!$B$43&gt;0),SUMPRODUCT((Skills!E2:E23=TRUE)*(C2778:C2799=TRUE)*R2778:R2799*Skills!F2:F23)/Inputs!$B$43,SUMPRODUCT((Skills!E2:E23=TRUE)*(C2778:C2799=TRUE)*Q2778:Q2799*Skills!F2:F23))</f>
        <v/>
      </c>
    </row>
    <row r="2806">
      <c r="A2806" t="inlineStr">
        <is>
          <t>Hook Bomber Casts Per Second</t>
        </is>
      </c>
      <c r="B2806">
        <f>MAX(0,B2804-B2805)</f>
        <v/>
      </c>
    </row>
    <row r="2807">
      <c r="A2807" t="inlineStr">
        <is>
          <t>Global Critical Damage Bonus % (unused)</t>
        </is>
      </c>
      <c r="B2807" t="n">
        <v>0</v>
      </c>
    </row>
    <row r="2808">
      <c r="A2808" t="inlineStr">
        <is>
          <t>Global Final Damage Bonus % (Serpent Scale + Crossbones + Time Leap + Speed Infusion)</t>
        </is>
      </c>
      <c r="B2808">
        <f>((C2781=TRUE)*F2781*((10+IF(Inputs!$B$3&gt;=94,5,0))/((10+IF(Inputs!$B$3&gt;=94,5,0))+5/(B2806*(1+IF(Inputs!$B$3&gt;=104,1,0))))))+((C2790=TRUE)*F2790*IF(AND(Inputs!$B$38&lt;&gt;"pvp",Inputs!$B$43&gt;0),(((R2790-1)*(Skills!T14*(1+Inputs!$B$34/100))+MIN((Skills!T14*(1+Inputs!$B$34/100)),MAX(0,Inputs!$B$43-((R2790-1)*Skills!D14))))/Inputs!$B$43),IF(Inputs!$B$38="pvp",MIN((Skills!T14*(1+Inputs!$B$34/100)),15)/15,(Skills!T14*(1+Inputs!$B$34/100))/Skills!D14)))+((C2791=TRUE)*F2791*IF(AND(Inputs!$B$38&lt;&gt;"pvp",Inputs!$B$43&gt;0),(((R2791-1)*(Skills!T15*(1+Inputs!$B$34/100))+MIN((Skills!T15*(1+Inputs!$B$34/100)),MAX(0,Inputs!$B$43-((R2791-1)*Skills!D15))))/Inputs!$B$43),IF(Inputs!$B$38="pvp",MIN((Skills!T15*(1+Inputs!$B$34/100)),15)/15,(Skills!T15*(1+Inputs!$B$34/100))/Skills!D15)))+((Inputs!$B$3&gt;=110)*20*(B2804-1)*IF(Inputs!$B$38="pvp",MIN((15*(1+Inputs!$B$34/100)),15)/15,(15*(1+Inputs!$B$34/100))/35))</f>
        <v/>
      </c>
    </row>
    <row r="2809">
      <c r="A2809" t="inlineStr">
        <is>
          <t>Buff-Casting Startup Delay (s, fixed-duration only)</t>
        </is>
      </c>
      <c r="B2809">
        <f>IF(AND(Inputs!$B$38&lt;&gt;"pvp",Inputs!$B$43&gt;0),SUMPRODUCT((Skills!T2:T23&gt;0)*(Skills!E2:E23=TRUE)*(C2778:C2799=TRUE))/B2804,0)</f>
        <v/>
      </c>
    </row>
    <row r="2810">
      <c r="A2810" t="inlineStr">
        <is>
          <t>Boss-Only Total DPS (this block's swept value)</t>
        </is>
      </c>
      <c r="B2810">
        <f>SUM(T2778:T2799)</f>
        <v/>
      </c>
    </row>
    <row r="2811">
      <c r="A2811" t="inlineStr">
        <is>
          <t>Normal-Only Total DPS (this block's swept value)</t>
        </is>
      </c>
      <c r="B2811">
        <f>SUM(V2778:V2799)</f>
        <v/>
      </c>
    </row>
    <row r="2812">
      <c r="A2812" s="6" t="inlineStr">
        <is>
          <t>TOTAL DPS</t>
        </is>
      </c>
      <c r="B2812" s="6">
        <f>SUM(O2778:O2799)</f>
        <v/>
      </c>
    </row>
    <row r="2815">
      <c r="A2815" s="6" t="inlineStr">
        <is>
          <t>Stat: CDR = 4.5s</t>
        </is>
      </c>
    </row>
    <row r="2816">
      <c r="A2816" s="5" t="inlineStr">
        <is>
          <t>Key</t>
        </is>
      </c>
      <c r="B2816" s="5" t="inlineStr">
        <is>
          <t>Name</t>
        </is>
      </c>
      <c r="C2816" s="5" t="inlineStr">
        <is>
          <t>Unlocked</t>
        </is>
      </c>
      <c r="D2816" s="5" t="inlineStr">
        <is>
          <t>InputLevel</t>
        </is>
      </c>
      <c r="E2816" s="5" t="inlineStr">
        <is>
          <t>Factor</t>
        </is>
      </c>
      <c r="F2816" s="5" t="inlineStr">
        <is>
          <t>CoefficientPercent</t>
        </is>
      </c>
      <c r="G2816" s="5" t="inlineStr">
        <is>
          <t>EffectiveHits</t>
        </is>
      </c>
      <c r="H2816" s="5" t="inlineStr">
        <is>
          <t>ProcProbability</t>
        </is>
      </c>
      <c r="I2816" s="5" t="inlineStr">
        <is>
          <t>MapleHeroMultiplier</t>
        </is>
      </c>
      <c r="J2816" s="5" t="inlineStr">
        <is>
          <t>BaseDamage</t>
        </is>
      </c>
      <c r="K2816" s="5" t="inlineStr">
        <is>
          <t>BaseHitDamage</t>
        </is>
      </c>
      <c r="L2816" s="5" t="inlineStr">
        <is>
          <t>NonCritAvg</t>
        </is>
      </c>
      <c r="M2816" s="5" t="inlineStr">
        <is>
          <t>CritAvg</t>
        </is>
      </c>
      <c r="N2816" s="5" t="inlineStr">
        <is>
          <t>ExpectedDamage(perHit)</t>
        </is>
      </c>
      <c r="O2816" s="5" t="inlineStr">
        <is>
          <t>DPS</t>
        </is>
      </c>
      <c r="P2816" s="5" t="inlineStr">
        <is>
          <t>% of Total</t>
        </is>
      </c>
      <c r="Q2816" s="5" t="inlineStr">
        <is>
          <t>InvCooldown</t>
        </is>
      </c>
      <c r="R2816" s="5" t="inlineStr">
        <is>
          <t>CastsInFight</t>
        </is>
      </c>
      <c r="S2816" s="5" t="inlineStr">
        <is>
          <t>HitRate(perSec)</t>
        </is>
      </c>
      <c r="U2816" t="inlineStr">
        <is>
          <t>helpers</t>
        </is>
      </c>
    </row>
    <row r="2817">
      <c r="A2817">
        <f>Skills!A2</f>
        <v/>
      </c>
      <c r="B2817">
        <f>Skills!B2</f>
        <v/>
      </c>
      <c r="C2817">
        <f>Inputs!$B$3&gt;=100</f>
        <v/>
      </c>
      <c r="D2817" t="inlineStr"/>
      <c r="E2817" t="inlineStr"/>
      <c r="F2817">
        <f>U2819+Skills!O2</f>
        <v/>
      </c>
      <c r="G2817">
        <f>Skills!G2*IF(Skills!H2&gt;0,Skills!I2/Skills!H2,1)</f>
        <v/>
      </c>
      <c r="H2817">
        <f>1-(1-Skills!J2/100)^Skills!K2</f>
        <v/>
      </c>
      <c r="I2817" t="inlineStr">
        <is>
          <t>1</t>
        </is>
      </c>
      <c r="J2817">
        <f>((Inputs!$B$6*(1+Inputs!$B$7/100))+(((Inputs!$B$12*(1+Inputs!$B$13/100))-(Inputs!$B$12*(1+Inputs!$B$13/100)))+0.25*(Inputs!$B$14-Inputs!$B$14))*(1+Inputs!$B$7/100))*(F2817/100)</f>
        <v/>
      </c>
      <c r="K2817">
        <f>J2817*(1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2817)</f>
        <v/>
      </c>
      <c r="L2817">
        <f>K2817*(MIN(Inputs!$B$22+((C2835=TRUE)*(F2835-Calc!F20)),(Inputs!$B$23+0+(IF(ArtifactsInput!$M$15,CHOOSE(ArtifactsInput!$N$15+1,25,30,35,40,45,50)/100*(Inputs!$B$11-Inputs!$B$11),0))))/100+(Inputs!$B$23+0+(IF(ArtifactsInput!$M$15,CHOOSE(ArtifactsInput!$N$15+1,25,30,35,40,45,50)/100*(Inputs!$B$11-Inputs!$B$11),0)))/100)/2</f>
        <v/>
      </c>
      <c r="M2817">
        <f>L2817*(1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7">
        <f>L2817*(1-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2817*(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7">
        <f>(1-Summary!$B$11)*T2817+Summary!$B$11*V2817</f>
        <v/>
      </c>
      <c r="P2817">
        <f>IF(B2851=0,0,O2817/B2851)</f>
        <v/>
      </c>
      <c r="Q2817" t="n">
        <v>0</v>
      </c>
      <c r="R2817" t="n">
        <v>0</v>
      </c>
      <c r="S2817">
        <f>IFERROR(O2817/N2817,0)</f>
        <v/>
      </c>
      <c r="T2817">
        <f>IF(C2817,(Skills!G2*N2817*B2845)*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2817*(1-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2817*(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2817*(1-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2817*(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7">
        <f>MAX(0,(Inputs!$B$3-100)*3)+Inputs!$B$28+Inputs!$B$29</f>
        <v/>
      </c>
      <c r="V2817">
        <f>IF(C2817,(Skills!G2*N2817*B2845)*IF(Inputs!$B$38="pvp",1,(1+(Inputs!$B$21+Skills!Q2+(IF(ArtifactsInput!$M$33,CHOOSE(ArtifactsInput!$N$33+1,30,36,42,48,54,60),0))+(IF(AND(ArtifactsInput!$M$35,Inputs!$B$4&lt;&gt;"Chapter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8">
      <c r="A2818">
        <f>Skills!A3</f>
        <v/>
      </c>
      <c r="B2818">
        <f>Skills!B3</f>
        <v/>
      </c>
      <c r="C2818">
        <f>Inputs!$B$3&gt;=35</f>
        <v/>
      </c>
      <c r="D2818">
        <f>IF(Skills!C3=1,60+Inputs!$B$25+Inputs!$B$29,IF(Skills!C3=2,90+Inputs!$B$26+Inputs!$B$29,IF(Skills!C3=3,120+Inputs!$B$27+Inputs!$B$29,MAX(0,(Inputs!$B$3-100)*3)+Inputs!$B$28+Inputs!$B$29)))</f>
        <v/>
      </c>
      <c r="E2818">
        <f>INDEX(FactorTable!$B$2:$Y$301, MATCH(ROUND(MIN(300,MAX(1,D2818)),0), FactorTable!$A$2:$A$301,0), Skills!M3+1)</f>
        <v/>
      </c>
      <c r="F2818">
        <f>IF(Skills!N3=TRUE,(Skills!L3/10)*(E2818/1000),Skills!L3/10)+Skills!O3</f>
        <v/>
      </c>
      <c r="G2818">
        <f>Skills!G3*IF(Skills!H3&gt;0,Skills!I3/Skills!H3,1)</f>
        <v/>
      </c>
      <c r="H2818">
        <f>1-(1-Skills!J3/100)^Skills!K3</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2835=TRUE)*(F2835-Calc!F20)),(Inputs!$B$23+0+(IF(ArtifactsInput!$M$15,CHOOSE(ArtifactsInput!$N$15+1,25,30,35,40,45,50)/100*(Inputs!$B$11-Inputs!$B$11),0))))/100+(Inputs!$B$23+0+(IF(ArtifactsInput!$M$15,CHOOSE(ArtifactsInput!$N$15+1,25,30,35,40,45,50)/100*(Inputs!$B$11-Inputs!$B$11),0)))/100)/2</f>
        <v/>
      </c>
      <c r="M2818">
        <f>L2818*(1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IF(B2851=0,0,O2818/B2851)</f>
        <v/>
      </c>
      <c r="Q2818" t="n">
        <v>0</v>
      </c>
      <c r="R2818" t="n">
        <v>0</v>
      </c>
      <c r="S2818">
        <f>IFERROR(O2818/N2818,0)</f>
        <v/>
      </c>
      <c r="T2818">
        <f>IF(C2818,(Skills!G3*H2818*N2818*B2845)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INDEX(FactorTable!$B$2:$Y$301, MATCH(ROUND(MIN(300,MAX(1,U2817)),0), FactorTable!$A$2:$A$301,0), 22)</f>
        <v/>
      </c>
      <c r="V2818">
        <f>IF(C2818,(Skills!G3*H2818*N2818*B2845)*IF(Inputs!$B$38="pvp",1,(1+(Inputs!$B$21+Skills!Q3+(IF(ArtifactsInput!$M$33,CHOOSE(ArtifactsInput!$N$33+1,30,36,42,48,54,60),0))+(IF(AND(ArtifactsInput!$M$35,Inputs!$B$4&lt;&gt;"Chapter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Skills!A4</f>
        <v/>
      </c>
      <c r="B2819">
        <f>Skills!B4</f>
        <v/>
      </c>
      <c r="C2819">
        <f>Inputs!$B$3&gt;=60</f>
        <v/>
      </c>
      <c r="D2819">
        <f>IF(Skills!C4=1,60+Inputs!$B$25+Inputs!$B$29,IF(Skills!C4=2,90+Inputs!$B$26+Inputs!$B$29,IF(Skills!C4=3,120+Inputs!$B$27+Inputs!$B$29,MAX(0,(Inputs!$B$3-100)*3)+Inputs!$B$28+Inputs!$B$29)))</f>
        <v/>
      </c>
      <c r="E2819">
        <f>INDEX(FactorTable!$B$2:$Y$301, MATCH(ROUND(MIN(300,MAX(1,D2819)),0), FactorTable!$A$2:$A$301,0), Skills!M4+1)</f>
        <v/>
      </c>
      <c r="F2819">
        <f>IF(Skills!N4=TRUE,(Skills!L4/10)*(E2819/1000),Skills!L4/10)+Skills!O4</f>
        <v/>
      </c>
      <c r="G2819">
        <f>Skills!G4*IF(Skills!H4&gt;0,Skills!I4/Skills!H4,1)</f>
        <v/>
      </c>
      <c r="H2819">
        <f>1-(1-Skills!J4/100)^Skills!K4</f>
        <v/>
      </c>
      <c r="I2819" t="inlineStr">
        <is>
          <t>1</t>
        </is>
      </c>
      <c r="J2819">
        <f>((Inputs!$B$6*(1+Inputs!$B$7/100))+(((Inputs!$B$12*(1+Inputs!$B$13/100))-(Inputs!$B$12*(1+Inputs!$B$13/100)))+0.25*(Inputs!$B$14-Inputs!$B$14))*(1+Inputs!$B$7/100))*(F2819/100)</f>
        <v/>
      </c>
      <c r="K2819">
        <f>J2819*(1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2827=TRUE,F2827,0)/100)*(1+(IF(Skills!A4="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2835=TRUE)*(F2835-Calc!F20)),(Inputs!$B$23+0+(IF(ArtifactsInput!$M$15,CHOOSE(ArtifactsInput!$N$15+1,25,30,35,40,45,50)/100*(Inputs!$B$11-Inputs!$B$11),0))))/100+(Inputs!$B$23+0+(IF(ArtifactsInput!$M$15,CHOOSE(ArtifactsInput!$N$15+1,25,30,35,40,45,50)/100*(Inputs!$B$11-Inputs!$B$11),0)))/100)/2</f>
        <v/>
      </c>
      <c r="M2819">
        <f>L2819*(1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IF(B2851=0,0,O2819/B2851)</f>
        <v/>
      </c>
      <c r="Q2819" t="n">
        <v>0</v>
      </c>
      <c r="R2819" t="n">
        <v>0</v>
      </c>
      <c r="S2819">
        <f>IFERROR(O2819/N2819,0)</f>
        <v/>
      </c>
      <c r="T2819">
        <f>IF(C2819,(Skills!G4*H2819*N2819*B2845)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290*U2818/1000</f>
        <v/>
      </c>
      <c r="V2819">
        <f>IF(C2819,(Skills!G4*H2819*N2819*B2845)*IF(Inputs!$B$38="pvp",1,(1+(Inputs!$B$21+Skills!Q4+(IF(ArtifactsInput!$M$33,CHOOSE(ArtifactsInput!$N$33+1,30,36,42,48,54,60),0))+(IF(AND(ArtifactsInput!$M$35,Inputs!$B$4&lt;&gt;"Chapter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Skills!A5</f>
        <v/>
      </c>
      <c r="B2820">
        <f>Skills!B5</f>
        <v/>
      </c>
      <c r="C2820">
        <f>Inputs!$B$3&gt;=60</f>
        <v/>
      </c>
      <c r="D2820">
        <f>IF(Skills!C5=1,60+Inputs!$B$25+Inputs!$B$29,IF(Skills!C5=2,90+Inputs!$B$26+Inputs!$B$29,IF(Skills!C5=3,120+Inputs!$B$27+Inputs!$B$29,MAX(0,(Inputs!$B$3-100)*3)+Inputs!$B$28+Inputs!$B$29)))</f>
        <v/>
      </c>
      <c r="E2820">
        <f>INDEX(FactorTable!$B$2:$Y$301, MATCH(ROUND(MIN(300,MAX(1,D2820)),0), FactorTable!$A$2:$A$301,0), Skills!M5+1)</f>
        <v/>
      </c>
      <c r="F2820">
        <f>IF(Skills!N5=TRUE,(Skills!L5/10)*(E2820/1000),Skills!L5/10)+Skills!O5</f>
        <v/>
      </c>
      <c r="G2820">
        <f>Skills!G5*IF(Skills!H5&gt;0,Skills!I5/Skills!H5,1)</f>
        <v/>
      </c>
      <c r="H2820">
        <f>1-(1-Skills!J5/100)^Skills!K5</f>
        <v/>
      </c>
      <c r="I2820" t="inlineStr">
        <is>
          <t>1</t>
        </is>
      </c>
      <c r="J2820" t="inlineStr"/>
      <c r="K2820" t="inlineStr"/>
      <c r="L2820" t="inlineStr"/>
      <c r="M2820" t="inlineStr"/>
      <c r="N2820" t="inlineStr"/>
      <c r="O2820">
        <f>(1-Summary!$B$11)*T2820+Summary!$B$11*V2820</f>
        <v/>
      </c>
      <c r="P2820">
        <f>IF(B2851=0,0,O2820/B2851)</f>
        <v/>
      </c>
      <c r="Q2820" t="n">
        <v>0</v>
      </c>
      <c r="R2820" t="n">
        <v>0</v>
      </c>
      <c r="S2820">
        <f>IFERROR(O2820/N2820,0)</f>
        <v/>
      </c>
      <c r="T2820" t="n">
        <v>0</v>
      </c>
      <c r="V2820" t="n">
        <v>0</v>
      </c>
    </row>
    <row r="2821">
      <c r="A2821">
        <f>Skills!A6</f>
        <v/>
      </c>
      <c r="B2821">
        <f>Skills!B6</f>
        <v/>
      </c>
      <c r="C2821">
        <f>Inputs!$B$3&gt;=63</f>
        <v/>
      </c>
      <c r="D2821">
        <f>IF(Skills!C6=1,60+Inputs!$B$25+Inputs!$B$29,IF(Skills!C6=2,90+Inputs!$B$26+Inputs!$B$29,IF(Skills!C6=3,120+Inputs!$B$27+Inputs!$B$29,MAX(0,(Inputs!$B$3-100)*3)+Inputs!$B$28+Inputs!$B$29)))</f>
        <v/>
      </c>
      <c r="E2821">
        <f>INDEX(FactorTable!$B$2:$Y$301, MATCH(ROUND(MIN(300,MAX(1,D2821)),0), FactorTable!$A$2:$A$301,0), Skills!M6+1)</f>
        <v/>
      </c>
      <c r="F2821">
        <f>IF(Skills!N6=TRUE,(Skills!L6/10)*(E2821/1000),Skills!L6/10)+Skills!O6</f>
        <v/>
      </c>
      <c r="G2821">
        <f>Skills!G6*IF(Skills!H6&gt;0,Skills!I6/Skills!H6,1)</f>
        <v/>
      </c>
      <c r="H2821">
        <f>1-(1-Skills!J6/100)^Skills!K6</f>
        <v/>
      </c>
      <c r="I2821" t="inlineStr">
        <is>
          <t>1</t>
        </is>
      </c>
      <c r="J2821">
        <f>((Inputs!$B$6*(1+Inputs!$B$7/100))+(((Inputs!$B$12*(1+Inputs!$B$13/100))-(Inputs!$B$12*(1+Inputs!$B$13/100)))+0.25*(Inputs!$B$14-Inputs!$B$14))*(1+Inputs!$B$7/100))*(F2821/100)</f>
        <v/>
      </c>
      <c r="K2821">
        <f>J2821*(1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2827=TRUE,F2827,0)/100)*(1+(IF(Skills!A6="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2821)</f>
        <v/>
      </c>
      <c r="L2821">
        <f>K2821*(MIN(Inputs!$B$22+((C2835=TRUE)*(F2835-Calc!F20)),(Inputs!$B$23+0+(IF(ArtifactsInput!$M$15,CHOOSE(ArtifactsInput!$N$15+1,25,30,35,40,45,50)/100*(Inputs!$B$11-Inputs!$B$11),0))))/100+(Inputs!$B$23+0+(IF(ArtifactsInput!$M$15,CHOOSE(ArtifactsInput!$N$15+1,25,30,35,40,45,50)/100*(Inputs!$B$11-Inputs!$B$11),0)))/100)/2</f>
        <v/>
      </c>
      <c r="M2821">
        <f>L2821*(1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1">
        <f>L2821*(1-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1">
        <f>(1-Summary!$B$11)*T2821+Summary!$B$11*V2821</f>
        <v/>
      </c>
      <c r="P2821">
        <f>IF(B2851=0,0,O2821/B2851)</f>
        <v/>
      </c>
      <c r="Q2821">
        <f>IFERROR(1/(IF(Inputs!$B$38="pvp",15,MAX(0.1,Skills!D6-IF(Skills!E6=TRUE,4.5,0)))*(1-IF(AND(ArtifactsInput!$M$27,Inputs!$B$4="Chapter Hunt"),CHOOSE(ArtifactsInput!$N$27+1,20,24,28,32,36,40),0)/100)),0)</f>
        <v/>
      </c>
      <c r="R2821">
        <f>IF(AND(Inputs!$B$38&lt;&gt;"pvp",Inputs!$B$43&gt;0),IF(MAX(0,Inputs!$B$43-B2848)&lt;=0,0,(INT(MAX(0,Inputs!$B$43-B2848)/(IF(Inputs!$B$38="pvp",15,MAX(0.1,Skills!D6-IF(Skills!E6=TRUE,4.5,0)))*(1-IF(AND(ArtifactsInput!$M$27,Inputs!$B$4="Chapter Hunt"),CHOOSE(ArtifactsInput!$N$27+1,20,24,28,32,36,40),0)/100)))+1)),0)</f>
        <v/>
      </c>
      <c r="S2821">
        <f>IFERROR(O2821/N2821,0)</f>
        <v/>
      </c>
      <c r="T2821">
        <f>IF(C2821,(H2821*N2821*IF(AND(Inputs!$B$38&lt;&gt;"pvp",Inputs!$B$43&gt;0),((Skills!G6*((R2821-1)*IF(Skills!H6&gt;0,Skills!I6/Skills!H6,1)+IF(Skills!H6&gt;0,MIN(Skills!I6,MAX(0,MAX(0,Inputs!$B$43-B2848)-((R2821-1)*(IF(Inputs!$B$38="pvp",15,MAX(0.1,Skills!D6-IF(Skills!E6=TRUE,4.5,0)))*(1-IF(AND(ArtifactsInput!$M$27,Inputs!$B$4="Chapter Hunt"),CHOOSE(ArtifactsInput!$N$27+1,20,24,28,32,36,40),0)/100)))))/Skills!H6,1)))/Inputs!$B$43),G2821*Q2821)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2821*(1-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2821*(1-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1">
        <f>IF(C2821,(H2821*N2821*IF(AND(Inputs!$B$38&lt;&gt;"pvp",Inputs!$B$43&gt;0),((Skills!G6*((R2821-1)*IF(Skills!H6&gt;0,Skills!I6/Skills!H6,1)+IF(Skills!H6&gt;0,MIN(Skills!I6,MAX(0,MAX(0,Inputs!$B$43-B2848)-((R2821-1)*(IF(Inputs!$B$38="pvp",15,MAX(0.1,Skills!D6-IF(Skills!E6=TRUE,4.5,0)))*(1-IF(AND(ArtifactsInput!$M$27,Inputs!$B$4="Chapter Hunt"),CHOOSE(ArtifactsInput!$N$27+1,20,24,28,32,36,40),0)/100)))))/Skills!H6,1)))/Inputs!$B$43),G2821*Q2821))*IF(Inputs!$B$38="pvp",1,(1+(Inputs!$B$21+Skills!Q6+(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2">
      <c r="A2822">
        <f>Skills!A7</f>
        <v/>
      </c>
      <c r="B2822">
        <f>Skills!B7</f>
        <v/>
      </c>
      <c r="C2822">
        <f>Inputs!$B$3&gt;=100</f>
        <v/>
      </c>
      <c r="D2822">
        <f>IF(Skills!C7=1,60+Inputs!$B$25+Inputs!$B$29,IF(Skills!C7=2,90+Inputs!$B$26+Inputs!$B$29,IF(Skills!C7=3,120+Inputs!$B$27+Inputs!$B$29,MAX(0,(Inputs!$B$3-100)*3)+Inputs!$B$28+Inputs!$B$29)))</f>
        <v/>
      </c>
      <c r="E2822">
        <f>INDEX(FactorTable!$B$2:$Y$301, MATCH(ROUND(MIN(300,MAX(1,D2822)),0), FactorTable!$A$2:$A$301,0), Skills!M7+1)</f>
        <v/>
      </c>
      <c r="F2822">
        <f>IF(Skills!N7=TRUE,(Skills!L7/10)*(E2822/1000),Skills!L7/10)+Skills!O7</f>
        <v/>
      </c>
      <c r="G2822">
        <f>Skills!G7*IF(Skills!H7&gt;0,Skills!I7/Skills!H7,1)</f>
        <v/>
      </c>
      <c r="H2822">
        <f>1-(1-Skills!J7/100)^Skills!K7</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2835=TRUE)*(F2835-Calc!F20)),(Inputs!$B$23+0+(IF(ArtifactsInput!$M$15,CHOOSE(ArtifactsInput!$N$15+1,25,30,35,40,45,50)/100*(Inputs!$B$11-Inputs!$B$11),0))))/100+(Inputs!$B$23+0+(IF(ArtifactsInput!$M$15,CHOOSE(ArtifactsInput!$N$15+1,25,30,35,40,45,50)/100*(Inputs!$B$11-Inputs!$B$11),0)))/100)/2</f>
        <v/>
      </c>
      <c r="M2822">
        <f>L2822*(1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IF(B2851=0,0,O2822/B2851)</f>
        <v/>
      </c>
      <c r="Q2822">
        <f>IFERROR(1/(IF(Inputs!$B$38="pvp",15,MAX(0.1,Skills!D7-IF(Skills!E7=TRUE,4.5,0)))*(1-IF(AND(ArtifactsInput!$M$27,Inputs!$B$4="Chapter Hunt"),CHOOSE(ArtifactsInput!$N$27+1,20,24,28,32,36,40),0)/100)),0)</f>
        <v/>
      </c>
      <c r="R2822">
        <f>IF(AND(Inputs!$B$38&lt;&gt;"pvp",Inputs!$B$43&gt;0),IF(MAX(0,Inputs!$B$43-B2848)&lt;=0,0,(INT(MAX(0,Inputs!$B$43-B2848)/(IF(Inputs!$B$38="pvp",15,MAX(0.1,Skills!D7-IF(Skills!E7=TRUE,4.5,0)))*(1-IF(AND(ArtifactsInput!$M$27,Inputs!$B$4="Chapter Hunt"),CHOOSE(ArtifactsInput!$N$27+1,20,24,28,32,36,40),0)/100)))+1)),0)</f>
        <v/>
      </c>
      <c r="S2822">
        <f>IFERROR(O2822/N2822,0)</f>
        <v/>
      </c>
      <c r="T2822">
        <f>IF(C2822,(H2822*N2822*IF(AND(Inputs!$B$38&lt;&gt;"pvp",Inputs!$B$43&gt;0),((Skills!G7*((R2822-1)*IF(Skills!H7&gt;0,Skills!I7/Skills!H7,1)+IF(Skills!H7&gt;0,MIN(Skills!I7,MAX(0,MAX(0,Inputs!$B$43-B2848)-((R2822-1)*(IF(Inputs!$B$38="pvp",15,MAX(0.1,Skills!D7-IF(Skills!E7=TRUE,4.5,0)))*(1-IF(AND(ArtifactsInput!$M$27,Inputs!$B$4="Chapter Hunt"),CHOOSE(ArtifactsInput!$N$27+1,20,24,28,32,36,40),0)/100)))))/Skills!H7,1)))/Inputs!$B$43),G2822*Q2822)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7*((R2822-1)*IF(Skills!H7&gt;0,Skills!I7/Skills!H7,1)+IF(Skills!H7&gt;0,MIN(Skills!I7,MAX(0,MAX(0,Inputs!$B$43-B2848)-((R2822-1)*(IF(Inputs!$B$38="pvp",15,MAX(0.1,Skills!D7-IF(Skills!E7=TRUE,4.5,0)))*(1-IF(AND(ArtifactsInput!$M$27,Inputs!$B$4="Chapter Hunt"),CHOOSE(ArtifactsInput!$N$27+1,20,24,28,32,36,40),0)/100)))))/Skills!H7,1)))/Inputs!$B$43),G2822*Q2822))*IF(Inputs!$B$38="pvp",1,(1+(Inputs!$B$21+Skills!Q7+(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Skills!A8</f>
        <v/>
      </c>
      <c r="B2823">
        <f>Skills!B8</f>
        <v/>
      </c>
      <c r="C2823">
        <f>Inputs!$B$3&gt;=110</f>
        <v/>
      </c>
      <c r="D2823">
        <f>IF(Skills!C8=1,60+Inputs!$B$25+Inputs!$B$29,IF(Skills!C8=2,90+Inputs!$B$26+Inputs!$B$29,IF(Skills!C8=3,120+Inputs!$B$27+Inputs!$B$29,MAX(0,(Inputs!$B$3-100)*3)+Inputs!$B$28+Inputs!$B$29)))</f>
        <v/>
      </c>
      <c r="E2823">
        <f>INDEX(FactorTable!$B$2:$Y$301, MATCH(ROUND(MIN(300,MAX(1,D2823)),0), FactorTable!$A$2:$A$301,0), Skills!M8+1)</f>
        <v/>
      </c>
      <c r="F2823">
        <f>IF(Skills!N8=TRUE,(Skills!L8/10)*(E2823/1000),Skills!L8/10)+Skills!O8</f>
        <v/>
      </c>
      <c r="G2823">
        <f>Skills!G8*IF(Skills!H8&gt;0,Skills!I8/Skills!H8,1)</f>
        <v/>
      </c>
      <c r="H2823">
        <f>1-(1-Skills!J8/100)^Skills!K8</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2835=TRUE)*(F2835-Calc!F20)),(Inputs!$B$23+0+(IF(ArtifactsInput!$M$15,CHOOSE(ArtifactsInput!$N$15+1,25,30,35,40,45,50)/100*(Inputs!$B$11-Inputs!$B$11),0))))/100+(Inputs!$B$23+0+(IF(ArtifactsInput!$M$15,CHOOSE(ArtifactsInput!$N$15+1,25,30,35,40,45,50)/100*(Inputs!$B$11-Inputs!$B$11),0)))/100)/2</f>
        <v/>
      </c>
      <c r="M2823">
        <f>L2823*(1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IF(B2851=0,0,O2823/B2851)</f>
        <v/>
      </c>
      <c r="Q2823">
        <f>IFERROR(1/(IF(Inputs!$B$38="pvp",15,MAX(0.1,Skills!D8-IF(Skills!E8=TRUE,4.5,0)))*(1-IF(AND(ArtifactsInput!$M$27,Inputs!$B$4="Chapter Hunt"),CHOOSE(ArtifactsInput!$N$27+1,20,24,28,32,36,40),0)/100)),0)</f>
        <v/>
      </c>
      <c r="R2823">
        <f>IF(AND(Inputs!$B$38&lt;&gt;"pvp",Inputs!$B$43&gt;0),IF(MAX(0,Inputs!$B$43-B2848)&lt;=0,0,(INT(MAX(0,Inputs!$B$43-B2848)/(IF(Inputs!$B$38="pvp",15,MAX(0.1,Skills!D8-IF(Skills!E8=TRUE,4.5,0)))*(1-IF(AND(ArtifactsInput!$M$27,Inputs!$B$4="Chapter Hunt"),CHOOSE(ArtifactsInput!$N$27+1,20,24,28,32,36,40),0)/100)))+1)),0)</f>
        <v/>
      </c>
      <c r="S2823">
        <f>IFERROR(O2823/N2823,0)</f>
        <v/>
      </c>
      <c r="T2823">
        <f>IF(C2823,(H2823*N2823*IF(AND(Inputs!$B$38&lt;&gt;"pvp",Inputs!$B$43&gt;0),((Skills!G8*((R2823-1)*IF(Skills!H8&gt;0,Skills!I8/Skills!H8,1)+IF(Skills!H8&gt;0,MIN(Skills!I8,MAX(0,MAX(0,Inputs!$B$43-B2848)-((R2823-1)*(IF(Inputs!$B$38="pvp",15,MAX(0.1,Skills!D8-IF(Skills!E8=TRUE,4.5,0)))*(1-IF(AND(ArtifactsInput!$M$27,Inputs!$B$4="Chapter Hunt"),CHOOSE(ArtifactsInput!$N$27+1,20,24,28,32,36,40),0)/100)))))/Skills!H8,1)))/Inputs!$B$43),G2823*Q2823)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8*((R2823-1)*IF(Skills!H8&gt;0,Skills!I8/Skills!H8,1)+IF(Skills!H8&gt;0,MIN(Skills!I8,MAX(0,MAX(0,Inputs!$B$43-B2848)-((R2823-1)*(IF(Inputs!$B$38="pvp",15,MAX(0.1,Skills!D8-IF(Skills!E8=TRUE,4.5,0)))*(1-IF(AND(ArtifactsInput!$M$27,Inputs!$B$4="Chapter Hunt"),CHOOSE(ArtifactsInput!$N$27+1,20,24,28,32,36,40),0)/100)))))/Skills!H8,1)))/Inputs!$B$43),G2823*Q2823))*IF(Inputs!$B$38="pvp",1,(1+(Inputs!$B$21+Skills!Q8+(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Skills!A9</f>
        <v/>
      </c>
      <c r="B2824">
        <f>Skills!B9</f>
        <v/>
      </c>
      <c r="C2824">
        <f>Inputs!$B$3&gt;=110</f>
        <v/>
      </c>
      <c r="D2824">
        <f>IF(Skills!C9=1,60+Inputs!$B$25+Inputs!$B$29,IF(Skills!C9=2,90+Inputs!$B$26+Inputs!$B$29,IF(Skills!C9=3,120+Inputs!$B$27+Inputs!$B$29,MAX(0,(Inputs!$B$3-100)*3)+Inputs!$B$28+Inputs!$B$29)))</f>
        <v/>
      </c>
      <c r="E2824">
        <f>INDEX(FactorTable!$B$2:$Y$301, MATCH(ROUND(MIN(300,MAX(1,D2824)),0), FactorTable!$A$2:$A$301,0), Skills!M9+1)</f>
        <v/>
      </c>
      <c r="F2824">
        <f>IF(Skills!N9=TRUE,(Skills!L9/10)*(E2824/1000),Skills!L9/10)+Skills!O9</f>
        <v/>
      </c>
      <c r="G2824">
        <f>Skills!G9*IF(Skills!H9&gt;0,Skills!I9/Skills!H9,1)</f>
        <v/>
      </c>
      <c r="H2824">
        <f>1-(1-Skills!J9/100)^Skills!K9</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2835=TRUE)*(F2835-Calc!F20)),(Inputs!$B$23+0+(IF(ArtifactsInput!$M$15,CHOOSE(ArtifactsInput!$N$15+1,25,30,35,40,45,50)/100*(Inputs!$B$11-Inputs!$B$11),0))))/100+(Inputs!$B$23+0+(IF(ArtifactsInput!$M$15,CHOOSE(ArtifactsInput!$N$15+1,25,30,35,40,45,50)/100*(Inputs!$B$11-Inputs!$B$11),0)))/100)/2</f>
        <v/>
      </c>
      <c r="M2824">
        <f>L2824*(1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IF(B2851=0,0,O2824/B2851)</f>
        <v/>
      </c>
      <c r="Q2824">
        <f>IFERROR(1/(IF(Inputs!$B$38="pvp",15,MAX(0.1,Skills!D9-IF(Skills!E9=TRUE,4.5,0)))*(1-IF(AND(ArtifactsInput!$M$27,Inputs!$B$4="Chapter Hunt"),CHOOSE(ArtifactsInput!$N$27+1,20,24,28,32,36,40),0)/100)),0)</f>
        <v/>
      </c>
      <c r="R2824">
        <f>IF(AND(Inputs!$B$38&lt;&gt;"pvp",Inputs!$B$43&gt;0),IF(MAX(0,Inputs!$B$43-B2848)&lt;=0,0,(INT(MAX(0,Inputs!$B$43-B2848)/(IF(Inputs!$B$38="pvp",15,MAX(0.1,Skills!D9-IF(Skills!E9=TRUE,4.5,0)))*(1-IF(AND(ArtifactsInput!$M$27,Inputs!$B$4="Chapter Hunt"),CHOOSE(ArtifactsInput!$N$27+1,20,24,28,32,36,40),0)/100)))+1)),0)</f>
        <v/>
      </c>
      <c r="S2824">
        <f>IFERROR(O2824/N2824,0)</f>
        <v/>
      </c>
      <c r="T2824">
        <f>IF(C2824,(H2824*N2824*IF(AND(Inputs!$B$38&lt;&gt;"pvp",Inputs!$B$43&gt;0),((Skills!G9*((R2824-1)*IF(Skills!H9&gt;0,Skills!I9/Skills!H9,1)+IF(Skills!H9&gt;0,MIN(Skills!I9,MAX(0,MAX(0,Inputs!$B$43-B2848)-((R2824-1)*(IF(Inputs!$B$38="pvp",15,MAX(0.1,Skills!D9-IF(Skills!E9=TRUE,4.5,0)))*(1-IF(AND(ArtifactsInput!$M$27,Inputs!$B$4="Chapter Hunt"),CHOOSE(ArtifactsInput!$N$27+1,20,24,28,32,36,40),0)/100)))))/Skills!H9,1)))/Inputs!$B$43),G2824*Q2824)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9*((R2824-1)*IF(Skills!H9&gt;0,Skills!I9/Skills!H9,1)+IF(Skills!H9&gt;0,MIN(Skills!I9,MAX(0,MAX(0,Inputs!$B$43-B2848)-((R2824-1)*(IF(Inputs!$B$38="pvp",15,MAX(0.1,Skills!D9-IF(Skills!E9=TRUE,4.5,0)))*(1-IF(AND(ArtifactsInput!$M$27,Inputs!$B$4="Chapter Hunt"),CHOOSE(ArtifactsInput!$N$27+1,20,24,28,32,36,40),0)/100)))))/Skills!H9,1)))/Inputs!$B$43),G2824*Q2824))*IF(Inputs!$B$38="pvp",1,(1+(Inputs!$B$21+Skills!Q9+(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Skills!A10</f>
        <v/>
      </c>
      <c r="B2825">
        <f>Skills!B10</f>
        <v/>
      </c>
      <c r="C2825">
        <f>Inputs!$B$3&gt;=103</f>
        <v/>
      </c>
      <c r="D2825">
        <f>IF(Skills!C10=1,60+Inputs!$B$25+Inputs!$B$29,IF(Skills!C10=2,90+Inputs!$B$26+Inputs!$B$29,IF(Skills!C10=3,120+Inputs!$B$27+Inputs!$B$29,MAX(0,(Inputs!$B$3-100)*3)+Inputs!$B$28+Inputs!$B$29)))</f>
        <v/>
      </c>
      <c r="E2825">
        <f>INDEX(FactorTable!$B$2:$Y$301, MATCH(ROUND(MIN(300,MAX(1,D2825)),0), FactorTable!$A$2:$A$301,0), Skills!M10+1)</f>
        <v/>
      </c>
      <c r="F2825">
        <f>IF(Skills!N10=TRUE,(Skills!L10/10)*(E2825/1000),Skills!L10/10)+Skills!O10</f>
        <v/>
      </c>
      <c r="G2825">
        <f>Skills!G10*IF(Skills!H10&gt;0,Skills!I10/Skills!H10,1)</f>
        <v/>
      </c>
      <c r="H2825">
        <f>1-(1-Skills!J10/100)^Skills!K10</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2835=TRUE)*(F2835-Calc!F20)),(Inputs!$B$23+0+(IF(ArtifactsInput!$M$15,CHOOSE(ArtifactsInput!$N$15+1,25,30,35,40,45,50)/100*(Inputs!$B$11-Inputs!$B$11),0))))/100+(Inputs!$B$23+0+(IF(ArtifactsInput!$M$15,CHOOSE(ArtifactsInput!$N$15+1,25,30,35,40,45,50)/100*(Inputs!$B$11-Inputs!$B$11),0)))/100)/2</f>
        <v/>
      </c>
      <c r="M2825">
        <f>L2825*(1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IF(B2851=0,0,O2825/B2851)</f>
        <v/>
      </c>
      <c r="Q2825">
        <f>IFERROR(1/(IF(Inputs!$B$38="pvp",15,MAX(0.1,Skills!D10-IF(Skills!E10=TRUE,4.5,0)))*(1-IF(AND(ArtifactsInput!$M$27,Inputs!$B$4="Chapter Hunt"),CHOOSE(ArtifactsInput!$N$27+1,20,24,28,32,36,40),0)/100)),0)</f>
        <v/>
      </c>
      <c r="R2825">
        <f>IF(AND(Inputs!$B$38&lt;&gt;"pvp",Inputs!$B$43&gt;0),IF(MAX(0,Inputs!$B$43-B2848)&lt;=0,0,(INT(MAX(0,Inputs!$B$43-B2848)/(IF(Inputs!$B$38="pvp",15,MAX(0.1,Skills!D10-IF(Skills!E10=TRUE,4.5,0)))*(1-IF(AND(ArtifactsInput!$M$27,Inputs!$B$4="Chapter Hunt"),CHOOSE(ArtifactsInput!$N$27+1,20,24,28,32,36,40),0)/100)))+1)),0)</f>
        <v/>
      </c>
      <c r="S2825">
        <f>IFERROR(O2825/N2825,0)</f>
        <v/>
      </c>
      <c r="T2825">
        <f>IF(C2825,(H2825*N2825*IF(AND(Inputs!$B$38&lt;&gt;"pvp",Inputs!$B$43&gt;0),((Skills!G10*((R2825-1)*IF(Skills!H10&gt;0,Skills!I10/Skills!H10,1)+IF(Skills!H10&gt;0,MIN(Skills!I10,MAX(0,MAX(0,Inputs!$B$43-B2848)-((R2825-1)*(IF(Inputs!$B$38="pvp",15,MAX(0.1,Skills!D10-IF(Skills!E10=TRUE,4.5,0)))*(1-IF(AND(ArtifactsInput!$M$27,Inputs!$B$4="Chapter Hunt"),CHOOSE(ArtifactsInput!$N$27+1,20,24,28,32,36,40),0)/100)))))/Skills!H10,1)))/Inputs!$B$43),G2825*Q2825)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10*((R2825-1)*IF(Skills!H10&gt;0,Skills!I10/Skills!H10,1)+IF(Skills!H10&gt;0,MIN(Skills!I10,MAX(0,MAX(0,Inputs!$B$43-B2848)-((R2825-1)*(IF(Inputs!$B$38="pvp",15,MAX(0.1,Skills!D10-IF(Skills!E10=TRUE,4.5,0)))*(1-IF(AND(ArtifactsInput!$M$27,Inputs!$B$4="Chapter Hunt"),CHOOSE(ArtifactsInput!$N$27+1,20,24,28,32,36,40),0)/100)))))/Skills!H10,1)))/Inputs!$B$43),G2825*Q2825))*IF(Inputs!$B$38="pvp",1,(1+(Inputs!$B$21+Skills!Q10+(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Skills!A11</f>
        <v/>
      </c>
      <c r="B2826">
        <f>Skills!B11</f>
        <v/>
      </c>
      <c r="C2826">
        <f>Inputs!$B$3&gt;=113</f>
        <v/>
      </c>
      <c r="D2826">
        <f>IF(Skills!C11=1,60+Inputs!$B$25+Inputs!$B$29,IF(Skills!C11=2,90+Inputs!$B$26+Inputs!$B$29,IF(Skills!C11=3,120+Inputs!$B$27+Inputs!$B$29,MAX(0,(Inputs!$B$3-100)*3)+Inputs!$B$28+Inputs!$B$29)))</f>
        <v/>
      </c>
      <c r="E2826">
        <f>INDEX(FactorTable!$B$2:$Y$301, MATCH(ROUND(MIN(300,MAX(1,D2826)),0), FactorTable!$A$2:$A$301,0), Skills!M11+1)</f>
        <v/>
      </c>
      <c r="F2826">
        <f>IF(Skills!N11=TRUE,(Skills!L11/10)*(E2826/1000),Skills!L11/10)+Skills!O11</f>
        <v/>
      </c>
      <c r="G2826">
        <f>Skills!G11*IF(Skills!H11&gt;0,Skills!I11/Skills!H11,1)</f>
        <v/>
      </c>
      <c r="H2826">
        <f>1-(1-Skills!J11/100)^Skills!K11</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2837=TRUE)*(F2837-Calc!F22))+B2847)/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2836=TRUE)*(F2836-Calc!F21))+(((IF(AND(ArtifactsInput!$M$42,((Inputs!$B$9+((C2831=TRUE)*(F2831-Calc!F16))+B2841+(ArtifactsInput!$M$24-ArtifactsInput!$M$24)*CHOOSE(ArtifactsInput!$N$24+1,10,12,14,16,18,20)+IF(ArtifactsInput!$M$10,CHOOSE(ArtifactsInput!$N$10+1,15,18,21,24,27,30)*(IF(Inputs!$B$38="pvp",MIN(15,15)/15,IF(AND(Inputs!$B$38&lt;&gt;"pvp",Inputs!$B$43&gt;0),MIN(15,Inputs!$B$43)/(Inputs!$B$43),0))),0)))&gt;=100),MIN(100,((Inputs!$B$9+((C2831=TRUE)*(F2831-Calc!F16))+B2841+(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2831=TRUE)*(F2831-Calc!F16))+B2841+(ArtifactsInput!$M$24-ArtifactsInput!$M$24)*CHOOSE(ArtifactsInput!$N$24+1,10,12,14,16,18,20)+IF(ArtifactsInput!$M$10,CHOOSE(ArtifactsInput!$N$10+1,15,18,21,24,27,30)*(IF(Inputs!$B$38="pvp",MIN(15,15)/15,IF(AND(Inputs!$B$38&lt;&gt;"pvp",Inputs!$B$43&gt;0),MIN(15,Inputs!$B$43)/(Inputs!$B$43),0))),0)))&gt;=100),CHOOSE(ArtifactsInput!$N$42+1,40,48,56,64,72,80),0))))/100)*((1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2835=TRUE)*(F2835-Calc!F20)),(Inputs!$B$23+0+(IF(ArtifactsInput!$M$15,CHOOSE(ArtifactsInput!$N$15+1,25,30,35,40,45,50)/100*(Inputs!$B$11-Inputs!$B$11),0))))/100+(Inputs!$B$23+0+(IF(ArtifactsInput!$M$15,CHOOSE(ArtifactsInput!$N$15+1,25,30,35,40,45,50)/100*(Inputs!$B$11-Inputs!$B$11),0)))/100)/2</f>
        <v/>
      </c>
      <c r="M2826">
        <f>L2826*(1+(Inputs!$B$10+0+B2846+(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IF(B2851=0,0,O2826/B2851)</f>
        <v/>
      </c>
      <c r="Q2826">
        <f>IFERROR(1/(IF(Inputs!$B$38="pvp",15,MAX(0.1,Skills!D11-IF(Skills!E11=TRUE,4.5,0)))*(1-IF(AND(ArtifactsInput!$M$27,Inputs!$B$4="Chapter Hunt"),CHOOSE(ArtifactsInput!$N$27+1,20,24,28,32,36,40),0)/100)),0)</f>
        <v/>
      </c>
      <c r="R2826">
        <f>IF(AND(Inputs!$B$38&lt;&gt;"pvp",Inputs!$B$43&gt;0),IF(MAX(0,Inputs!$B$43-B2848)&lt;=0,0,(INT(MAX(0,Inputs!$B$43-B2848)/(IF(Inputs!$B$38="pvp",15,MAX(0.1,Skills!D11-IF(Skills!E11=TRUE,4.5,0)))*(1-IF(AND(ArtifactsInput!$M$27,Inputs!$B$4="Chapter Hunt"),CHOOSE(ArtifactsInput!$N$27+1,20,24,28,32,36,40),0)/100)))+1)),0)</f>
        <v/>
      </c>
      <c r="S2826">
        <f>IFERROR(O2826/N2826,0)</f>
        <v/>
      </c>
      <c r="T2826">
        <f>IF(C2826,(H2826*N2826*IF(AND(Inputs!$B$38&lt;&gt;"pvp",Inputs!$B$43&gt;0),((Skills!G11*((R2826-1)*IF(Skills!H11&gt;0,Skills!I11/Skills!H11,1)+IF(Skills!H11&gt;0,MIN(Skills!I11,MAX(0,MAX(0,Inputs!$B$43-B2848)-((R2826-1)*(IF(Inputs!$B$38="pvp",15,MAX(0.1,Skills!D11-IF(Skills!E11=TRUE,4.5,0)))*(1-IF(AND(ArtifactsInput!$M$27,Inputs!$B$4="Chapter Hunt"),CHOOSE(ArtifactsInput!$N$27+1,20,24,28,32,36,40),0)/100)))))/Skills!H11,1)))/Inputs!$B$43),G2826*Q2826)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2831=TRUE)*(F2831-Calc!F16))+B2841+(ArtifactsInput!$M$24-ArtifactsInput!$M$24)*CHOOSE(ArtifactsInput!$N$24+1,10,12,14,16,18,20)+(IF(AND(ArtifactsInput!$M$42,((Inputs!$B$9+((C2831=TRUE)*(F2831-Calc!F16))+B2841+(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11*((R2826-1)*IF(Skills!H11&gt;0,Skills!I11/Skills!H11,1)+IF(Skills!H11&gt;0,MIN(Skills!I11,MAX(0,MAX(0,Inputs!$B$43-B2848)-((R2826-1)*(IF(Inputs!$B$38="pvp",15,MAX(0.1,Skills!D11-IF(Skills!E11=TRUE,4.5,0)))*(1-IF(AND(ArtifactsInput!$M$27,Inputs!$B$4="Chapter Hunt"),CHOOSE(ArtifactsInput!$N$27+1,20,24,28,32,36,40),0)/100)))))/Skills!H11,1)))/Inputs!$B$43),G2826*Q2826))*IF(Inputs!$B$38="pvp",1,(1+(Inputs!$B$21+Skills!Q11+(IF(ArtifactsInput!$M$33,CHOOSE(ArtifactsInput!$N$33+1,30,36,42,48,54,60),0))+(IF(AND(ArtifactsInput!$M$35,Inputs!$B$4&lt;&gt;"Chapter Hunt"),CHOOSE(ArtifactsInput!$N$35+1,15,18,21,24,27,30)*(1-EXP(-(0.2*B2843)*5)),0)+IF(AND(ArtifactsInput!$M$22,Inputs!$B$4&lt;&gt;"Chapter Hunt"),CHOOSE(ArtifactsInput!$N$22+1,10,12,14,16,18,20)*((0*(((0.15*B2843*5))^0/1)+1*(((0.15*B2843*5))^1/1)+2*(((0.15*B2843*5))^2/2)+3*(((0.15*B2843*5))^3/6)+4*(((0.15*B2843*5))^4/24)+5*(((0.15*B2843*5))^5/120))/((((0.15*B2843*5))^0/1)+(((0.15*B2843*5))^1/1)+(((0.15*B2843*5))^2/2)+(((0.15*B2843*5))^3/6)+(((0.15*B2843*5))^4/24)+(((0.15*B2843*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Skills!A12</f>
        <v/>
      </c>
      <c r="B2827">
        <f>Skills!B12</f>
        <v/>
      </c>
      <c r="C2827">
        <f>Inputs!$B$3&gt;=100</f>
        <v/>
      </c>
      <c r="D2827">
        <f>IF(Skills!C12=1,60+Inputs!$B$25+Inputs!$B$29,IF(Skills!C12=2,90+Inputs!$B$26+Inputs!$B$29,IF(Skills!C12=3,120+Inputs!$B$27+Inputs!$B$29,MAX(0,(Inputs!$B$3-100)*3)+Inputs!$B$28+Inputs!$B$29)))</f>
        <v/>
      </c>
      <c r="E2827">
        <f>INDEX(FactorTable!$B$2:$Y$301, MATCH(ROUND(MIN(300,MAX(1,D2827)),0), FactorTable!$A$2:$A$301,0), Skills!M12+1)</f>
        <v/>
      </c>
      <c r="F2827">
        <f>IF(Skills!N12=TRUE,(Skills!L12/10)*(E2827/1000),Skills!L12/10)+Skills!O12</f>
        <v/>
      </c>
      <c r="G2827" t="inlineStr"/>
      <c r="H2827" t="inlineStr"/>
      <c r="I2827" t="inlineStr">
        <is>
          <t>1</t>
        </is>
      </c>
      <c r="J2827" t="inlineStr"/>
      <c r="K2827" t="inlineStr"/>
      <c r="L2827" t="inlineStr"/>
      <c r="M2827" t="inlineStr"/>
      <c r="N2827" t="inlineStr"/>
      <c r="O2827" t="inlineStr"/>
      <c r="P2827" t="inlineStr"/>
      <c r="Q2827" t="inlineStr"/>
      <c r="R2827" t="inlineStr"/>
      <c r="S2827" t="inlineStr"/>
      <c r="T2827" t="inlineStr"/>
      <c r="V2827" t="inlineStr"/>
    </row>
    <row r="2828">
      <c r="A2828">
        <f>Skills!A13</f>
        <v/>
      </c>
      <c r="B2828">
        <f>Skills!B13</f>
        <v/>
      </c>
      <c r="C2828">
        <f>Inputs!$B$3&gt;=66</f>
        <v/>
      </c>
      <c r="D2828">
        <f>IF(Skills!C13=1,60+Inputs!$B$25+Inputs!$B$29,IF(Skills!C13=2,90+Inputs!$B$26+Inputs!$B$29,IF(Skills!C13=3,120+Inputs!$B$27+Inputs!$B$29,MAX(0,(Inputs!$B$3-100)*3)+Inputs!$B$28+Inputs!$B$29)))</f>
        <v/>
      </c>
      <c r="E2828">
        <f>INDEX(FactorTable!$B$2:$Y$301, MATCH(ROUND(MIN(300,MAX(1,D2828)),0), FactorTable!$A$2:$A$301,0), Skills!M13+1)</f>
        <v/>
      </c>
      <c r="F2828">
        <f>IF(Skills!N13=TRUE,(Skills!L13/10)*(E2828/1000),Skills!L13/10)+Skills!O13</f>
        <v/>
      </c>
      <c r="G2828">
        <f>Skills!G13*IF(Skills!H13&gt;0,Skills!I13/Skills!H13,1)</f>
        <v/>
      </c>
      <c r="H2828">
        <f>1-(1-Skills!J13/100)^Skills!K13</f>
        <v/>
      </c>
      <c r="I2828" t="inlineStr">
        <is>
          <t>1</t>
        </is>
      </c>
      <c r="J2828" t="inlineStr"/>
      <c r="K2828" t="inlineStr"/>
      <c r="L2828" t="inlineStr"/>
      <c r="M2828" t="inlineStr"/>
      <c r="N2828" t="inlineStr"/>
      <c r="O2828">
        <f>(1-Summary!$B$11)*T2828+Summary!$B$11*V2828</f>
        <v/>
      </c>
      <c r="P2828">
        <f>IF(B2851=0,0,O2828/B2851)</f>
        <v/>
      </c>
      <c r="Q2828" t="n">
        <v>0</v>
      </c>
      <c r="R2828" t="n">
        <v>0</v>
      </c>
      <c r="S2828">
        <f>IFERROR(O2828/N2828,0)</f>
        <v/>
      </c>
      <c r="T2828" t="n">
        <v>0</v>
      </c>
      <c r="V2828" t="n">
        <v>0</v>
      </c>
    </row>
    <row r="2829">
      <c r="A2829">
        <f>Skills!A14</f>
        <v/>
      </c>
      <c r="B2829">
        <f>Skills!B14</f>
        <v/>
      </c>
      <c r="C2829">
        <f>Inputs!$B$3&gt;=107</f>
        <v/>
      </c>
      <c r="D2829">
        <f>IF(Skills!C14=1,60+Inputs!$B$25+Inputs!$B$29,IF(Skills!C14=2,90+Inputs!$B$26+Inputs!$B$29,IF(Skills!C14=3,120+Inputs!$B$27+Inputs!$B$29,MAX(0,(Inputs!$B$3-100)*3)+Inputs!$B$28+Inputs!$B$29)))</f>
        <v/>
      </c>
      <c r="E2829">
        <f>INDEX(FactorTable!$B$2:$Y$301, MATCH(ROUND(MIN(300,MAX(1,D2829)),0), FactorTable!$A$2:$A$301,0), Skills!M14+1)</f>
        <v/>
      </c>
      <c r="F2829">
        <f>IF(Skills!N14=TRUE,(Skills!L14/10)*(E2829/1000),Skills!L14/10)+Skills!O14</f>
        <v/>
      </c>
      <c r="G2829">
        <f>Skills!G14*IF(Skills!H14&gt;0,Skills!I14/Skills!H14,1)</f>
        <v/>
      </c>
      <c r="H2829">
        <f>1-(1-Skills!J14/100)^Skills!K14</f>
        <v/>
      </c>
      <c r="I2829" t="inlineStr">
        <is>
          <t>1</t>
        </is>
      </c>
      <c r="J2829" t="inlineStr"/>
      <c r="K2829" t="inlineStr"/>
      <c r="L2829" t="inlineStr"/>
      <c r="M2829" t="inlineStr"/>
      <c r="N2829" t="inlineStr"/>
      <c r="O2829">
        <f>(1-Summary!$B$11)*T2829+Summary!$B$11*V2829</f>
        <v/>
      </c>
      <c r="P2829">
        <f>IF(B2851=0,0,O2829/B2851)</f>
        <v/>
      </c>
      <c r="Q2829">
        <f>IFERROR(1/(IF(Inputs!$B$38="pvp",15,MAX(0.1,Skills!D14-IF(Skills!E14=TRUE,4.5,0)))*(1-IF(AND(ArtifactsInput!$M$27,Inputs!$B$4="Chapter Hunt"),CHOOSE(ArtifactsInput!$N$27+1,20,24,28,32,36,40),0)/100)),0)</f>
        <v/>
      </c>
      <c r="R2829">
        <f>IF(AND(Inputs!$B$38&lt;&gt;"pvp",Inputs!$B$43&gt;0),IF(Inputs!$B$43&lt;=0,0,(INT(Inputs!$B$43/(IF(Inputs!$B$38="pvp",15,MAX(0.1,Skills!D14-IF(Skills!E14=TRUE,4.5,0)))*(1-IF(AND(ArtifactsInput!$M$27,Inputs!$B$4="Chapter Hunt"),CHOOSE(ArtifactsInput!$N$27+1,20,24,28,32,36,40),0)/100)))+1)),0)</f>
        <v/>
      </c>
      <c r="S2829">
        <f>IFERROR(O2829/N2829,0)</f>
        <v/>
      </c>
      <c r="T2829" t="n">
        <v>0</v>
      </c>
      <c r="V2829" t="n">
        <v>0</v>
      </c>
    </row>
    <row r="2830">
      <c r="A2830">
        <f>Skills!A15</f>
        <v/>
      </c>
      <c r="B2830">
        <f>Skills!B15</f>
        <v/>
      </c>
      <c r="C2830">
        <f>Inputs!$B$3&gt;=115</f>
        <v/>
      </c>
      <c r="D2830">
        <f>IF(Skills!C15=1,60+Inputs!$B$25+Inputs!$B$29,IF(Skills!C15=2,90+Inputs!$B$26+Inputs!$B$29,IF(Skills!C15=3,120+Inputs!$B$27+Inputs!$B$29,MAX(0,(Inputs!$B$3-100)*3)+Inputs!$B$28+Inputs!$B$29)))</f>
        <v/>
      </c>
      <c r="E2830">
        <f>INDEX(FactorTable!$B$2:$Y$301, MATCH(ROUND(MIN(300,MAX(1,D2830)),0), FactorTable!$A$2:$A$301,0), Skills!M15+1)</f>
        <v/>
      </c>
      <c r="F2830">
        <f>IF(Skills!N15=TRUE,(Skills!L15/10)*(E2830/1000),Skills!L15/10)+Skills!O15</f>
        <v/>
      </c>
      <c r="G2830">
        <f>Skills!G15*IF(Skills!H15&gt;0,Skills!I15/Skills!H15,1)</f>
        <v/>
      </c>
      <c r="H2830">
        <f>1-(1-Skills!J15/100)^Skills!K15</f>
        <v/>
      </c>
      <c r="I2830" t="inlineStr">
        <is>
          <t>1</t>
        </is>
      </c>
      <c r="J2830" t="inlineStr"/>
      <c r="K2830" t="inlineStr"/>
      <c r="L2830" t="inlineStr"/>
      <c r="M2830" t="inlineStr"/>
      <c r="N2830" t="inlineStr"/>
      <c r="O2830">
        <f>(1-Summary!$B$11)*T2830+Summary!$B$11*V2830</f>
        <v/>
      </c>
      <c r="P2830">
        <f>IF(B2851=0,0,O2830/B2851)</f>
        <v/>
      </c>
      <c r="Q2830">
        <f>IFERROR(1/(IF(Inputs!$B$38="pvp",15,MAX(0.1,Skills!D15-IF(Skills!E15=TRUE,4.5,0)))*(1-IF(AND(ArtifactsInput!$M$27,Inputs!$B$4="Chapter Hunt"),CHOOSE(ArtifactsInput!$N$27+1,20,24,28,32,36,40),0)/100)),0)</f>
        <v/>
      </c>
      <c r="R2830">
        <f>IF(AND(Inputs!$B$38&lt;&gt;"pvp",Inputs!$B$43&gt;0),IF(Inputs!$B$43&lt;=0,0,(INT(Inputs!$B$43/(IF(Inputs!$B$38="pvp",15,MAX(0.1,Skills!D15-IF(Skills!E15=TRUE,4.5,0)))*(1-IF(AND(ArtifactsInput!$M$27,Inputs!$B$4="Chapter Hunt"),CHOOSE(ArtifactsInput!$N$27+1,20,24,28,32,36,40),0)/100)))+1)),0)</f>
        <v/>
      </c>
      <c r="S2830">
        <f>IFERROR(O2830/N2830,0)</f>
        <v/>
      </c>
      <c r="T2830" t="n">
        <v>0</v>
      </c>
      <c r="V2830" t="n">
        <v>0</v>
      </c>
    </row>
    <row r="2831">
      <c r="A2831">
        <f>Skills!A16</f>
        <v/>
      </c>
      <c r="B2831">
        <f>Skills!B16</f>
        <v/>
      </c>
      <c r="C2831">
        <f>Inputs!$B$3&gt;=15</f>
        <v/>
      </c>
      <c r="D2831">
        <f>IF(Skills!C16=1,60+Inputs!$B$25+Inputs!$B$29,IF(Skills!C16=2,90+Inputs!$B$26+Inputs!$B$29,IF(Skills!C16=3,120+Inputs!$B$27+Inputs!$B$29,MAX(0,(Inputs!$B$3-100)*3)+Inputs!$B$28+Inputs!$B$29)))</f>
        <v/>
      </c>
      <c r="E2831">
        <f>INDEX(FactorTable!$B$2:$Y$301, MATCH(ROUND(MIN(300,MAX(1,D2831)),0), FactorTable!$A$2:$A$301,0), Skills!M16+1)</f>
        <v/>
      </c>
      <c r="F2831">
        <f>IF(Skills!N16=TRUE,(Skills!L16/10)*(E2831/1000),Skills!L16/10)+Skills!O16</f>
        <v/>
      </c>
      <c r="G2831">
        <f>Skills!G16*IF(Skills!H16&gt;0,Skills!I16/Skills!H16,1)</f>
        <v/>
      </c>
      <c r="H2831">
        <f>1-(1-Skills!J16/100)^Skills!K16</f>
        <v/>
      </c>
      <c r="I2831" t="inlineStr">
        <is>
          <t>1</t>
        </is>
      </c>
      <c r="J2831" t="inlineStr"/>
      <c r="K2831" t="inlineStr"/>
      <c r="L2831" t="inlineStr"/>
      <c r="M2831" t="inlineStr"/>
      <c r="N2831" t="inlineStr"/>
      <c r="O2831">
        <f>(1-Summary!$B$11)*T2831+Summary!$B$11*V2831</f>
        <v/>
      </c>
      <c r="P2831">
        <f>IF(B2851=0,0,O2831/B2851)</f>
        <v/>
      </c>
      <c r="Q2831" t="n">
        <v>0</v>
      </c>
      <c r="R2831" t="n">
        <v>0</v>
      </c>
      <c r="S2831">
        <f>IFERROR(O2831/N2831,0)</f>
        <v/>
      </c>
      <c r="T2831" t="n">
        <v>0</v>
      </c>
      <c r="V2831" t="n">
        <v>0</v>
      </c>
    </row>
    <row r="2832">
      <c r="A2832">
        <f>Skills!A17</f>
        <v/>
      </c>
      <c r="B2832">
        <f>Skills!B17</f>
        <v/>
      </c>
      <c r="C2832">
        <f>Inputs!$B$3&gt;=10</f>
        <v/>
      </c>
      <c r="D2832">
        <f>IF(Skills!C17=1,60+Inputs!$B$25+Inputs!$B$29,IF(Skills!C17=2,90+Inputs!$B$26+Inputs!$B$29,IF(Skills!C17=3,120+Inputs!$B$27+Inputs!$B$29,MAX(0,(Inputs!$B$3-100)*3)+Inputs!$B$28+Inputs!$B$29)))</f>
        <v/>
      </c>
      <c r="E2832">
        <f>INDEX(FactorTable!$B$2:$Y$301, MATCH(ROUND(MIN(300,MAX(1,D2832)),0), FactorTable!$A$2:$A$301,0), Skills!M17+1)</f>
        <v/>
      </c>
      <c r="F2832">
        <f>IF(Skills!N17=TRUE,(Skills!L17/10)*(E2832/1000),Skills!L17/10)+Skills!O17</f>
        <v/>
      </c>
      <c r="G2832">
        <f>Skills!G17*IF(Skills!H17&gt;0,Skills!I17/Skills!H17,1)</f>
        <v/>
      </c>
      <c r="H2832">
        <f>1-(1-Skills!J17/100)^Skills!K17</f>
        <v/>
      </c>
      <c r="I2832" t="inlineStr">
        <is>
          <t>1</t>
        </is>
      </c>
      <c r="J2832" t="inlineStr"/>
      <c r="K2832" t="inlineStr"/>
      <c r="L2832" t="inlineStr"/>
      <c r="M2832" t="inlineStr"/>
      <c r="N2832" t="inlineStr"/>
      <c r="O2832">
        <f>(1-Summary!$B$11)*T2832+Summary!$B$11*V2832</f>
        <v/>
      </c>
      <c r="P2832">
        <f>IF(B2851=0,0,O2832/B2851)</f>
        <v/>
      </c>
      <c r="Q2832" t="n">
        <v>0</v>
      </c>
      <c r="R2832" t="n">
        <v>0</v>
      </c>
      <c r="S2832">
        <f>IFERROR(O2832/N2832,0)</f>
        <v/>
      </c>
      <c r="T2832" t="n">
        <v>0</v>
      </c>
      <c r="V2832" t="n">
        <v>0</v>
      </c>
    </row>
    <row r="2833">
      <c r="A2833">
        <f>Skills!A18</f>
        <v/>
      </c>
      <c r="B2833">
        <f>Skills!B18</f>
        <v/>
      </c>
      <c r="C2833">
        <f>Inputs!$B$3&gt;=33</f>
        <v/>
      </c>
      <c r="D2833">
        <f>IF(Skills!C18=1,60+Inputs!$B$25+Inputs!$B$29,IF(Skills!C18=2,90+Inputs!$B$26+Inputs!$B$29,IF(Skills!C18=3,120+Inputs!$B$27+Inputs!$B$29,MAX(0,(Inputs!$B$3-100)*3)+Inputs!$B$28+Inputs!$B$29)))</f>
        <v/>
      </c>
      <c r="E2833">
        <f>INDEX(FactorTable!$B$2:$Y$301, MATCH(ROUND(MIN(300,MAX(1,D2833)),0), FactorTable!$A$2:$A$301,0), Skills!M18+1)</f>
        <v/>
      </c>
      <c r="F2833">
        <f>IF(Skills!N18=TRUE,(Skills!L18/10)*(E2833/1000),Skills!L18/10)+Skills!O18</f>
        <v/>
      </c>
      <c r="G2833">
        <f>Skills!G18*IF(Skills!H18&gt;0,Skills!I18/Skills!H18,1)</f>
        <v/>
      </c>
      <c r="H2833">
        <f>1-(1-Skills!J18/100)^Skills!K18</f>
        <v/>
      </c>
      <c r="I2833" t="inlineStr">
        <is>
          <t>1</t>
        </is>
      </c>
      <c r="J2833" t="inlineStr"/>
      <c r="K2833" t="inlineStr"/>
      <c r="L2833" t="inlineStr"/>
      <c r="M2833" t="inlineStr"/>
      <c r="N2833" t="inlineStr"/>
      <c r="O2833">
        <f>(1-Summary!$B$11)*T2833+Summary!$B$11*V2833</f>
        <v/>
      </c>
      <c r="P2833">
        <f>IF(B2851=0,0,O2833/B2851)</f>
        <v/>
      </c>
      <c r="Q2833" t="n">
        <v>0</v>
      </c>
      <c r="R2833" t="n">
        <v>0</v>
      </c>
      <c r="S2833">
        <f>IFERROR(O2833/N2833,0)</f>
        <v/>
      </c>
      <c r="T2833" t="n">
        <v>0</v>
      </c>
      <c r="V2833" t="n">
        <v>0</v>
      </c>
    </row>
    <row r="2834">
      <c r="A2834">
        <f>Skills!A19</f>
        <v/>
      </c>
      <c r="B2834">
        <f>Skills!B19</f>
        <v/>
      </c>
      <c r="C2834">
        <f>Inputs!$B$3&gt;=40</f>
        <v/>
      </c>
      <c r="D2834">
        <f>IF(Skills!C19=1,60+Inputs!$B$25+Inputs!$B$29,IF(Skills!C19=2,90+Inputs!$B$26+Inputs!$B$29,IF(Skills!C19=3,120+Inputs!$B$27+Inputs!$B$29,MAX(0,(Inputs!$B$3-100)*3)+Inputs!$B$28+Inputs!$B$29)))</f>
        <v/>
      </c>
      <c r="E2834">
        <f>INDEX(FactorTable!$B$2:$Y$301, MATCH(ROUND(MIN(300,MAX(1,D2834)),0), FactorTable!$A$2:$A$301,0), Skills!M19+1)</f>
        <v/>
      </c>
      <c r="F2834">
        <f>IF(Skills!N19=TRUE,(Skills!L19/10)*(E2834/1000),Skills!L19/10)+Skills!O19</f>
        <v/>
      </c>
      <c r="G2834">
        <f>Skills!G19*IF(Skills!H19&gt;0,Skills!I19/Skills!H19,1)</f>
        <v/>
      </c>
      <c r="H2834">
        <f>1-(1-Skills!J19/100)^Skills!K19</f>
        <v/>
      </c>
      <c r="I2834" t="inlineStr">
        <is>
          <t>1</t>
        </is>
      </c>
      <c r="J2834" t="inlineStr"/>
      <c r="K2834" t="inlineStr"/>
      <c r="L2834" t="inlineStr"/>
      <c r="M2834" t="inlineStr"/>
      <c r="N2834" t="inlineStr"/>
      <c r="O2834">
        <f>(1-Summary!$B$11)*T2834+Summary!$B$11*V2834</f>
        <v/>
      </c>
      <c r="P2834">
        <f>IF(B2851=0,0,O2834/B2851)</f>
        <v/>
      </c>
      <c r="Q2834" t="n">
        <v>0</v>
      </c>
      <c r="R2834" t="n">
        <v>0</v>
      </c>
      <c r="S2834">
        <f>IFERROR(O2834/N2834,0)</f>
        <v/>
      </c>
      <c r="T2834" t="n">
        <v>0</v>
      </c>
      <c r="V2834" t="n">
        <v>0</v>
      </c>
    </row>
    <row r="2835">
      <c r="A2835">
        <f>Skills!A20</f>
        <v/>
      </c>
      <c r="B2835">
        <f>Skills!B20</f>
        <v/>
      </c>
      <c r="C2835">
        <f>Inputs!$B$3&gt;=43</f>
        <v/>
      </c>
      <c r="D2835">
        <f>IF(Skills!C20=1,60+Inputs!$B$25+Inputs!$B$29,IF(Skills!C20=2,90+Inputs!$B$26+Inputs!$B$29,IF(Skills!C20=3,120+Inputs!$B$27+Inputs!$B$29,MAX(0,(Inputs!$B$3-100)*3)+Inputs!$B$28+Inputs!$B$29)))</f>
        <v/>
      </c>
      <c r="E2835">
        <f>INDEX(FactorTable!$B$2:$Y$301, MATCH(ROUND(MIN(300,MAX(1,D2835)),0), FactorTable!$A$2:$A$301,0), Skills!M20+1)</f>
        <v/>
      </c>
      <c r="F2835">
        <f>IF(Skills!N20=TRUE,(Skills!L20/10)*(E2835/1000),Skills!L20/10)+Skills!O20</f>
        <v/>
      </c>
      <c r="G2835">
        <f>Skills!G20*IF(Skills!H20&gt;0,Skills!I20/Skills!H20,1)</f>
        <v/>
      </c>
      <c r="H2835">
        <f>1-(1-Skills!J20/100)^Skills!K20</f>
        <v/>
      </c>
      <c r="I2835" t="inlineStr">
        <is>
          <t>1</t>
        </is>
      </c>
      <c r="J2835" t="inlineStr"/>
      <c r="K2835" t="inlineStr"/>
      <c r="L2835" t="inlineStr"/>
      <c r="M2835" t="inlineStr"/>
      <c r="N2835" t="inlineStr"/>
      <c r="O2835">
        <f>(1-Summary!$B$11)*T2835+Summary!$B$11*V2835</f>
        <v/>
      </c>
      <c r="P2835">
        <f>IF(B2851=0,0,O2835/B2851)</f>
        <v/>
      </c>
      <c r="Q2835" t="n">
        <v>0</v>
      </c>
      <c r="R2835" t="n">
        <v>0</v>
      </c>
      <c r="S2835">
        <f>IFERROR(O2835/N2835,0)</f>
        <v/>
      </c>
      <c r="T2835" t="n">
        <v>0</v>
      </c>
      <c r="V2835" t="n">
        <v>0</v>
      </c>
    </row>
    <row r="2836">
      <c r="A2836">
        <f>Skills!A21</f>
        <v/>
      </c>
      <c r="B2836">
        <f>Skills!B21</f>
        <v/>
      </c>
      <c r="C2836">
        <f>Inputs!$B$3&gt;=38</f>
        <v/>
      </c>
      <c r="D2836">
        <f>IF(Skills!C21=1,60+Inputs!$B$25+Inputs!$B$29,IF(Skills!C21=2,90+Inputs!$B$26+Inputs!$B$29,IF(Skills!C21=3,120+Inputs!$B$27+Inputs!$B$29,MAX(0,(Inputs!$B$3-100)*3)+Inputs!$B$28+Inputs!$B$29)))</f>
        <v/>
      </c>
      <c r="E2836">
        <f>INDEX(FactorTable!$B$2:$Y$301, MATCH(ROUND(MIN(300,MAX(1,D2836)),0), FactorTable!$A$2:$A$301,0), Skills!M21+1)</f>
        <v/>
      </c>
      <c r="F2836">
        <f>IF(Skills!N21=TRUE,(Skills!L21/10)*(E2836/1000),Skills!L21/10)+Skills!O21</f>
        <v/>
      </c>
      <c r="G2836">
        <f>Skills!G21*IF(Skills!H21&gt;0,Skills!I21/Skills!H21,1)</f>
        <v/>
      </c>
      <c r="H2836">
        <f>1-(1-Skills!J21/100)^Skills!K21</f>
        <v/>
      </c>
      <c r="I2836" t="inlineStr">
        <is>
          <t>1</t>
        </is>
      </c>
      <c r="J2836" t="inlineStr"/>
      <c r="K2836" t="inlineStr"/>
      <c r="L2836" t="inlineStr"/>
      <c r="M2836" t="inlineStr"/>
      <c r="N2836" t="inlineStr"/>
      <c r="O2836">
        <f>(1-Summary!$B$11)*T2836+Summary!$B$11*V2836</f>
        <v/>
      </c>
      <c r="P2836">
        <f>IF(B2851=0,0,O2836/B2851)</f>
        <v/>
      </c>
      <c r="Q2836" t="n">
        <v>0</v>
      </c>
      <c r="R2836" t="n">
        <v>0</v>
      </c>
      <c r="S2836">
        <f>IFERROR(O2836/N2836,0)</f>
        <v/>
      </c>
      <c r="T2836" t="n">
        <v>0</v>
      </c>
      <c r="V2836" t="n">
        <v>0</v>
      </c>
    </row>
    <row r="2837">
      <c r="A2837">
        <f>Skills!A22</f>
        <v/>
      </c>
      <c r="B2837">
        <f>Skills!B22</f>
        <v/>
      </c>
      <c r="C2837">
        <f>Inputs!$B$3&gt;=75</f>
        <v/>
      </c>
      <c r="D2837">
        <f>IF(Skills!C22=1,60+Inputs!$B$25+Inputs!$B$29,IF(Skills!C22=2,90+Inputs!$B$26+Inputs!$B$29,IF(Skills!C22=3,120+Inputs!$B$27+Inputs!$B$29,MAX(0,(Inputs!$B$3-100)*3)+Inputs!$B$28+Inputs!$B$29)))</f>
        <v/>
      </c>
      <c r="E2837">
        <f>INDEX(FactorTable!$B$2:$Y$301, MATCH(ROUND(MIN(300,MAX(1,D2837)),0), FactorTable!$A$2:$A$301,0), Skills!M22+1)</f>
        <v/>
      </c>
      <c r="F2837">
        <f>IF(Skills!N22=TRUE,(Skills!L22/10)*(E2837/1000),Skills!L22/10)+Skills!O22</f>
        <v/>
      </c>
      <c r="G2837">
        <f>Skills!G22*IF(Skills!H22&gt;0,Skills!I22/Skills!H22,1)</f>
        <v/>
      </c>
      <c r="H2837">
        <f>1-(1-Skills!J22/100)^Skills!K22</f>
        <v/>
      </c>
      <c r="I2837" t="inlineStr">
        <is>
          <t>1</t>
        </is>
      </c>
      <c r="J2837" t="inlineStr"/>
      <c r="K2837" t="inlineStr"/>
      <c r="L2837" t="inlineStr"/>
      <c r="M2837" t="inlineStr"/>
      <c r="N2837" t="inlineStr"/>
      <c r="O2837">
        <f>(1-Summary!$B$11)*T2837+Summary!$B$11*V2837</f>
        <v/>
      </c>
      <c r="P2837">
        <f>IF(B2851=0,0,O2837/B2851)</f>
        <v/>
      </c>
      <c r="Q2837" t="n">
        <v>0</v>
      </c>
      <c r="R2837" t="n">
        <v>0</v>
      </c>
      <c r="S2837">
        <f>IFERROR(O2837/N2837,0)</f>
        <v/>
      </c>
      <c r="T2837" t="n">
        <v>0</v>
      </c>
      <c r="V2837" t="n">
        <v>0</v>
      </c>
    </row>
    <row r="2838">
      <c r="A2838">
        <f>Skills!A23</f>
        <v/>
      </c>
      <c r="B2838">
        <f>Skills!B23</f>
        <v/>
      </c>
      <c r="C2838">
        <f>TRUE</f>
        <v/>
      </c>
      <c r="D2838">
        <f>IF(Skills!C23=1,60+Inputs!$B$25+Inputs!$B$29,IF(Skills!C23=2,90+Inputs!$B$26+Inputs!$B$29,IF(Skills!C23=3,120+Inputs!$B$27+Inputs!$B$29,MAX(0,(Inputs!$B$3-100)*3)+Inputs!$B$28+Inputs!$B$29)))</f>
        <v/>
      </c>
      <c r="E2838">
        <f>INDEX(FactorTable!$B$2:$Y$301, MATCH(ROUND(MIN(300,MAX(1,D2838)),0), FactorTable!$A$2:$A$301,0), Skills!M23+1)</f>
        <v/>
      </c>
      <c r="F2838">
        <f>IF(Skills!N23=TRUE,(Skills!L23/10)*(E2838/1000),Skills!L23/10)+Skills!O23</f>
        <v/>
      </c>
      <c r="G2838">
        <f>Skills!G23*IF(Skills!H23&gt;0,Skills!I23/Skills!H23,1)</f>
        <v/>
      </c>
      <c r="H2838">
        <f>1-(1-Skills!J23/100)^Skills!K23</f>
        <v/>
      </c>
      <c r="I2838" t="inlineStr">
        <is>
          <t>1</t>
        </is>
      </c>
      <c r="J2838" t="inlineStr"/>
      <c r="K2838" t="inlineStr"/>
      <c r="L2838" t="inlineStr"/>
      <c r="M2838" t="inlineStr"/>
      <c r="N2838" t="inlineStr"/>
      <c r="O2838">
        <f>(1-Summary!$B$11)*T2838+Summary!$B$11*V2838</f>
        <v/>
      </c>
      <c r="P2838">
        <f>IF(B2851=0,0,O2838/B2851)</f>
        <v/>
      </c>
      <c r="Q2838">
        <f>IFERROR(1/(IF(Inputs!$B$38="pvp",15,MAX(0.1,Skills!D23-IF(Skills!E23=TRUE,4.5,0)))*(1-IF(AND(ArtifactsInput!$M$27,Inputs!$B$4="Chapter Hunt"),CHOOSE(ArtifactsInput!$N$27+1,20,24,28,32,36,40),0)/100)),0)</f>
        <v/>
      </c>
      <c r="R2838">
        <f>IF(AND(Inputs!$B$38&lt;&gt;"pvp",Inputs!$B$43&gt;0),IF(Inputs!$B$43&lt;=0,0,(INT(Inputs!$B$43/(IF(Inputs!$B$38="pvp",15,MAX(0.1,Skills!D23-IF(Skills!E23=TRUE,4.5,0)))*(1-IF(AND(ArtifactsInput!$M$27,Inputs!$B$4="Chapter Hunt"),CHOOSE(ArtifactsInput!$N$27+1,20,24,28,32,36,40),0)/100)))+1)),0)</f>
        <v/>
      </c>
      <c r="S2838">
        <f>IFERROR(O2838/N2838,0)</f>
        <v/>
      </c>
      <c r="T2838" t="n">
        <v>0</v>
      </c>
      <c r="V2838" t="n">
        <v>0</v>
      </c>
    </row>
    <row r="2840">
      <c r="A2840" t="inlineStr">
        <is>
          <t>Attack% Bucket Multiplier</t>
        </is>
      </c>
      <c r="B2840">
        <f>(1+(((C2828=TRUE)*F2828*5/7)+((C2834=TRUE)*(F2834-Calc!F19))+(IF(ArtifactsInput!$M$21,CHOOSE(ArtifactsInput!$N$21+1,25,30,35,40,45,50)*(IF(OR(Inputs!$B$4="Chapter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1">
      <c r="A2841" t="inlineStr">
        <is>
          <t>Global Crit Rate Bonus %</t>
        </is>
      </c>
      <c r="B2841" t="n">
        <v>0</v>
      </c>
    </row>
    <row r="2842">
      <c r="A2842" t="inlineStr">
        <is>
          <t>Attack Speed Buff Bonus % (Nimble Feet, duty-cycle averaged)</t>
        </is>
      </c>
      <c r="B2842">
        <f>((C2838=TRUE)*F2838*IF(AND(Inputs!$B$38&lt;&gt;"pvp",Inputs!$B$43&gt;0),(((R2838-1)*(Skills!T23*(1+Inputs!$B$34/100))+MIN((Skills!T23*(1+Inputs!$B$34/100)),MAX(0,Inputs!$B$43-((R2838-1)*Skills!D23))))/Inputs!$B$43),IF(Inputs!$B$38="pvp",MIN((Skills!T23*(1+Inputs!$B$34/100)),15)/15,(Skills!T23*(1+Inputs!$B$34/100))/Skills!D23)))</f>
        <v/>
      </c>
    </row>
    <row r="2843">
      <c r="A2843" t="inlineStr">
        <is>
          <t>Actions Per Second</t>
        </is>
      </c>
      <c r="B2843">
        <f>1+MIN(150,150*(1-(1-(Inputs!$B$11+((C2832=TRUE)*(F2832-Calc!F17))+((C2833=TRUE)*(F2833-Calc!F18)))/150)*(1-B2842/150)))/100</f>
        <v/>
      </c>
    </row>
    <row r="2844">
      <c r="A2844" t="inlineStr">
        <is>
          <t>Skill + Buff Cast Rate</t>
        </is>
      </c>
      <c r="B2844">
        <f>IF(AND(Inputs!$B$38&lt;&gt;"pvp",Inputs!$B$43&gt;0),SUMPRODUCT((Skills!E2:E23=TRUE)*(C2817:C2838=TRUE)*R2817:R2838*Skills!F2:F23)/Inputs!$B$43,SUMPRODUCT((Skills!E2:E23=TRUE)*(C2817:C2838=TRUE)*Q2817:Q2838*Skills!F2:F23))</f>
        <v/>
      </c>
    </row>
    <row r="2845">
      <c r="A2845" t="inlineStr">
        <is>
          <t>Hook Bomber Casts Per Second</t>
        </is>
      </c>
      <c r="B2845">
        <f>MAX(0,B2843-B2844)</f>
        <v/>
      </c>
    </row>
    <row r="2846">
      <c r="A2846" t="inlineStr">
        <is>
          <t>Global Critical Damage Bonus % (unused)</t>
        </is>
      </c>
      <c r="B2846" t="n">
        <v>0</v>
      </c>
    </row>
    <row r="2847">
      <c r="A2847" t="inlineStr">
        <is>
          <t>Global Final Damage Bonus % (Serpent Scale + Crossbones + Time Leap + Speed Infusion)</t>
        </is>
      </c>
      <c r="B2847">
        <f>((C2820=TRUE)*F2820*((10+IF(Inputs!$B$3&gt;=94,5,0))/((10+IF(Inputs!$B$3&gt;=94,5,0))+5/(B2845*(1+IF(Inputs!$B$3&gt;=104,1,0))))))+((C2829=TRUE)*F2829*IF(AND(Inputs!$B$38&lt;&gt;"pvp",Inputs!$B$43&gt;0),(((R2829-1)*(Skills!T14*(1+Inputs!$B$34/100))+MIN((Skills!T14*(1+Inputs!$B$34/100)),MAX(0,Inputs!$B$43-((R2829-1)*Skills!D14))))/Inputs!$B$43),IF(Inputs!$B$38="pvp",MIN((Skills!T14*(1+Inputs!$B$34/100)),15)/15,(Skills!T14*(1+Inputs!$B$34/100))/Skills!D14)))+((C2830=TRUE)*F2830*IF(AND(Inputs!$B$38&lt;&gt;"pvp",Inputs!$B$43&gt;0),(((R2830-1)*(Skills!T15*(1+Inputs!$B$34/100))+MIN((Skills!T15*(1+Inputs!$B$34/100)),MAX(0,Inputs!$B$43-((R2830-1)*Skills!D15))))/Inputs!$B$43),IF(Inputs!$B$38="pvp",MIN((Skills!T15*(1+Inputs!$B$34/100)),15)/15,(Skills!T15*(1+Inputs!$B$34/100))/Skills!D15)))+((Inputs!$B$3&gt;=110)*20*(B2843-1)*IF(Inputs!$B$38="pvp",MIN((15*(1+Inputs!$B$34/100)),15)/15,(15*(1+Inputs!$B$34/100))/35))</f>
        <v/>
      </c>
    </row>
    <row r="2848">
      <c r="A2848" t="inlineStr">
        <is>
          <t>Buff-Casting Startup Delay (s, fixed-duration only)</t>
        </is>
      </c>
      <c r="B2848">
        <f>IF(AND(Inputs!$B$38&lt;&gt;"pvp",Inputs!$B$43&gt;0),SUMPRODUCT((Skills!T2:T23&gt;0)*(Skills!E2:E23=TRUE)*(C2817:C2838=TRUE))/B2843,0)</f>
        <v/>
      </c>
    </row>
    <row r="2849">
      <c r="A2849" t="inlineStr">
        <is>
          <t>Boss-Only Total DPS (this block's swept value)</t>
        </is>
      </c>
      <c r="B2849">
        <f>SUM(T2817:T2838)</f>
        <v/>
      </c>
    </row>
    <row r="2850">
      <c r="A2850" t="inlineStr">
        <is>
          <t>Normal-Only Total DPS (this block's swept value)</t>
        </is>
      </c>
      <c r="B2850">
        <f>SUM(V2817:V2838)</f>
        <v/>
      </c>
    </row>
    <row r="2851">
      <c r="A2851" s="6" t="inlineStr">
        <is>
          <t>TOTAL DPS</t>
        </is>
      </c>
      <c r="B2851" s="6">
        <f>SUM(O2817:O2838)</f>
        <v/>
      </c>
    </row>
    <row r="2854">
      <c r="A2854" s="6" t="inlineStr">
        <is>
          <t>Stat: CDR = 5.0s</t>
        </is>
      </c>
    </row>
    <row r="2855">
      <c r="A2855" s="5" t="inlineStr">
        <is>
          <t>Key</t>
        </is>
      </c>
      <c r="B2855" s="5" t="inlineStr">
        <is>
          <t>Name</t>
        </is>
      </c>
      <c r="C2855" s="5" t="inlineStr">
        <is>
          <t>Unlocked</t>
        </is>
      </c>
      <c r="D2855" s="5" t="inlineStr">
        <is>
          <t>InputLevel</t>
        </is>
      </c>
      <c r="E2855" s="5" t="inlineStr">
        <is>
          <t>Factor</t>
        </is>
      </c>
      <c r="F2855" s="5" t="inlineStr">
        <is>
          <t>CoefficientPercent</t>
        </is>
      </c>
      <c r="G2855" s="5" t="inlineStr">
        <is>
          <t>EffectiveHits</t>
        </is>
      </c>
      <c r="H2855" s="5" t="inlineStr">
        <is>
          <t>ProcProbability</t>
        </is>
      </c>
      <c r="I2855" s="5" t="inlineStr">
        <is>
          <t>MapleHeroMultiplier</t>
        </is>
      </c>
      <c r="J2855" s="5" t="inlineStr">
        <is>
          <t>BaseDamage</t>
        </is>
      </c>
      <c r="K2855" s="5" t="inlineStr">
        <is>
          <t>BaseHitDamage</t>
        </is>
      </c>
      <c r="L2855" s="5" t="inlineStr">
        <is>
          <t>NonCritAvg</t>
        </is>
      </c>
      <c r="M2855" s="5" t="inlineStr">
        <is>
          <t>CritAvg</t>
        </is>
      </c>
      <c r="N2855" s="5" t="inlineStr">
        <is>
          <t>ExpectedDamage(perHit)</t>
        </is>
      </c>
      <c r="O2855" s="5" t="inlineStr">
        <is>
          <t>DPS</t>
        </is>
      </c>
      <c r="P2855" s="5" t="inlineStr">
        <is>
          <t>% of Total</t>
        </is>
      </c>
      <c r="Q2855" s="5" t="inlineStr">
        <is>
          <t>InvCooldown</t>
        </is>
      </c>
      <c r="R2855" s="5" t="inlineStr">
        <is>
          <t>CastsInFight</t>
        </is>
      </c>
      <c r="S2855" s="5" t="inlineStr">
        <is>
          <t>HitRate(perSec)</t>
        </is>
      </c>
      <c r="U2855" t="inlineStr">
        <is>
          <t>helpers</t>
        </is>
      </c>
    </row>
    <row r="2856">
      <c r="A2856">
        <f>Skills!A2</f>
        <v/>
      </c>
      <c r="B2856">
        <f>Skills!B2</f>
        <v/>
      </c>
      <c r="C2856">
        <f>Inputs!$B$3&gt;=100</f>
        <v/>
      </c>
      <c r="D2856" t="inlineStr"/>
      <c r="E2856" t="inlineStr"/>
      <c r="F2856">
        <f>U2858+Skills!O2</f>
        <v/>
      </c>
      <c r="G2856">
        <f>Skills!G2*IF(Skills!H2&gt;0,Skills!I2/Skills!H2,1)</f>
        <v/>
      </c>
      <c r="H2856">
        <f>1-(1-Skills!J2/100)^Skills!K2</f>
        <v/>
      </c>
      <c r="I2856" t="inlineStr">
        <is>
          <t>1</t>
        </is>
      </c>
      <c r="J2856">
        <f>((Inputs!$B$6*(1+Inputs!$B$7/100))+(((Inputs!$B$12*(1+Inputs!$B$13/100))-(Inputs!$B$12*(1+Inputs!$B$13/100)))+0.25*(Inputs!$B$14-Inputs!$B$14))*(1+Inputs!$B$7/100))*(F2856/100)</f>
        <v/>
      </c>
      <c r="K2856">
        <f>J2856*(1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2856)</f>
        <v/>
      </c>
      <c r="L2856">
        <f>K2856*(MIN(Inputs!$B$22+((C2874=TRUE)*(F2874-Calc!F20)),(Inputs!$B$23+0+(IF(ArtifactsInput!$M$15,CHOOSE(ArtifactsInput!$N$15+1,25,30,35,40,45,50)/100*(Inputs!$B$11-Inputs!$B$11),0))))/100+(Inputs!$B$23+0+(IF(ArtifactsInput!$M$15,CHOOSE(ArtifactsInput!$N$15+1,25,30,35,40,45,50)/100*(Inputs!$B$11-Inputs!$B$11),0)))/100)/2</f>
        <v/>
      </c>
      <c r="M2856">
        <f>L2856*(1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6">
        <f>L2856*(1-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2856*(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6">
        <f>(1-Summary!$B$11)*T2856+Summary!$B$11*V2856</f>
        <v/>
      </c>
      <c r="P2856">
        <f>IF(B2890=0,0,O2856/B2890)</f>
        <v/>
      </c>
      <c r="Q2856" t="n">
        <v>0</v>
      </c>
      <c r="R2856" t="n">
        <v>0</v>
      </c>
      <c r="S2856">
        <f>IFERROR(O2856/N2856,0)</f>
        <v/>
      </c>
      <c r="T2856">
        <f>IF(C2856,(Skills!G2*N2856*B2884)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2856*(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2856*(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6">
        <f>MAX(0,(Inputs!$B$3-100)*3)+Inputs!$B$28+Inputs!$B$29</f>
        <v/>
      </c>
      <c r="V2856">
        <f>IF(C2856,(Skills!G2*N2856*B2884)*IF(Inputs!$B$38="pvp",1,(1+(Inputs!$B$21+Skills!Q2+(IF(ArtifactsInput!$M$33,CHOOSE(ArtifactsInput!$N$33+1,30,36,42,48,54,60),0))+(IF(AND(ArtifactsInput!$M$35,Inputs!$B$4&lt;&gt;"Chapter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7">
      <c r="A2857">
        <f>Skills!A3</f>
        <v/>
      </c>
      <c r="B2857">
        <f>Skills!B3</f>
        <v/>
      </c>
      <c r="C2857">
        <f>Inputs!$B$3&gt;=35</f>
        <v/>
      </c>
      <c r="D2857">
        <f>IF(Skills!C3=1,60+Inputs!$B$25+Inputs!$B$29,IF(Skills!C3=2,90+Inputs!$B$26+Inputs!$B$29,IF(Skills!C3=3,120+Inputs!$B$27+Inputs!$B$29,MAX(0,(Inputs!$B$3-100)*3)+Inputs!$B$28+Inputs!$B$29)))</f>
        <v/>
      </c>
      <c r="E2857">
        <f>INDEX(FactorTable!$B$2:$Y$301, MATCH(ROUND(MIN(300,MAX(1,D2857)),0), FactorTable!$A$2:$A$301,0), Skills!M3+1)</f>
        <v/>
      </c>
      <c r="F2857">
        <f>IF(Skills!N3=TRUE,(Skills!L3/10)*(E2857/1000),Skills!L3/10)+Skills!O3</f>
        <v/>
      </c>
      <c r="G2857">
        <f>Skills!G3*IF(Skills!H3&gt;0,Skills!I3/Skills!H3,1)</f>
        <v/>
      </c>
      <c r="H2857">
        <f>1-(1-Skills!J3/100)^Skills!K3</f>
        <v/>
      </c>
      <c r="I2857" t="inlineStr">
        <is>
          <t>1</t>
        </is>
      </c>
      <c r="J2857">
        <f>((Inputs!$B$6*(1+Inputs!$B$7/100))+(((Inputs!$B$12*(1+Inputs!$B$13/100))-(Inputs!$B$12*(1+Inputs!$B$13/100)))+0.25*(Inputs!$B$14-Inputs!$B$14))*(1+Inputs!$B$7/100))*(F2857/100)</f>
        <v/>
      </c>
      <c r="K2857">
        <f>J2857*(1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3="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2857)</f>
        <v/>
      </c>
      <c r="L2857">
        <f>K2857*(MIN(Inputs!$B$22+((C2874=TRUE)*(F2874-Calc!F20)),(Inputs!$B$23+0+(IF(ArtifactsInput!$M$15,CHOOSE(ArtifactsInput!$N$15+1,25,30,35,40,45,50)/100*(Inputs!$B$11-Inputs!$B$11),0))))/100+(Inputs!$B$23+0+(IF(ArtifactsInput!$M$15,CHOOSE(ArtifactsInput!$N$15+1,25,30,35,40,45,50)/100*(Inputs!$B$11-Inputs!$B$11),0)))/100)/2</f>
        <v/>
      </c>
      <c r="M2857">
        <f>L2857*(1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7">
        <f>L2857*(1-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2857*(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7">
        <f>(1-Summary!$B$11)*T2857+Summary!$B$11*V2857</f>
        <v/>
      </c>
      <c r="P2857">
        <f>IF(B2890=0,0,O2857/B2890)</f>
        <v/>
      </c>
      <c r="Q2857" t="n">
        <v>0</v>
      </c>
      <c r="R2857" t="n">
        <v>0</v>
      </c>
      <c r="S2857">
        <f>IFERROR(O2857/N2857,0)</f>
        <v/>
      </c>
      <c r="T2857">
        <f>IF(C2857,(Skills!G3*H2857*N2857*B2884)*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2857*(1-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2857*(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2857*(1-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2857*(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7">
        <f>INDEX(FactorTable!$B$2:$Y$301, MATCH(ROUND(MIN(300,MAX(1,U2856)),0), FactorTable!$A$2:$A$301,0), 22)</f>
        <v/>
      </c>
      <c r="V2857">
        <f>IF(C2857,(Skills!G3*H2857*N2857*B2884)*IF(Inputs!$B$38="pvp",1,(1+(Inputs!$B$21+Skills!Q3+(IF(ArtifactsInput!$M$33,CHOOSE(ArtifactsInput!$N$33+1,30,36,42,48,54,60),0))+(IF(AND(ArtifactsInput!$M$35,Inputs!$B$4&lt;&gt;"Chapter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8">
      <c r="A2858">
        <f>Skills!A4</f>
        <v/>
      </c>
      <c r="B2858">
        <f>Skills!B4</f>
        <v/>
      </c>
      <c r="C2858">
        <f>Inputs!$B$3&gt;=60</f>
        <v/>
      </c>
      <c r="D2858">
        <f>IF(Skills!C4=1,60+Inputs!$B$25+Inputs!$B$29,IF(Skills!C4=2,90+Inputs!$B$26+Inputs!$B$29,IF(Skills!C4=3,120+Inputs!$B$27+Inputs!$B$29,MAX(0,(Inputs!$B$3-100)*3)+Inputs!$B$28+Inputs!$B$29)))</f>
        <v/>
      </c>
      <c r="E2858">
        <f>INDEX(FactorTable!$B$2:$Y$301, MATCH(ROUND(MIN(300,MAX(1,D2858)),0), FactorTable!$A$2:$A$301,0), Skills!M4+1)</f>
        <v/>
      </c>
      <c r="F2858">
        <f>IF(Skills!N4=TRUE,(Skills!L4/10)*(E2858/1000),Skills!L4/10)+Skills!O4</f>
        <v/>
      </c>
      <c r="G2858">
        <f>Skills!G4*IF(Skills!H4&gt;0,Skills!I4/Skills!H4,1)</f>
        <v/>
      </c>
      <c r="H2858">
        <f>1-(1-Skills!J4/100)^Skills!K4</f>
        <v/>
      </c>
      <c r="I2858" t="inlineStr">
        <is>
          <t>1</t>
        </is>
      </c>
      <c r="J2858">
        <f>((Inputs!$B$6*(1+Inputs!$B$7/100))+(((Inputs!$B$12*(1+Inputs!$B$13/100))-(Inputs!$B$12*(1+Inputs!$B$13/100)))+0.25*(Inputs!$B$14-Inputs!$B$14))*(1+Inputs!$B$7/100))*(F2858/100)</f>
        <v/>
      </c>
      <c r="K2858">
        <f>J2858*(1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2866=TRUE,F2866,0)/100)*(1+(IF(Skills!A4="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2858)</f>
        <v/>
      </c>
      <c r="L2858">
        <f>K2858*(MIN(Inputs!$B$22+((C2874=TRUE)*(F2874-Calc!F20)),(Inputs!$B$23+0+(IF(ArtifactsInput!$M$15,CHOOSE(ArtifactsInput!$N$15+1,25,30,35,40,45,50)/100*(Inputs!$B$11-Inputs!$B$11),0))))/100+(Inputs!$B$23+0+(IF(ArtifactsInput!$M$15,CHOOSE(ArtifactsInput!$N$15+1,25,30,35,40,45,50)/100*(Inputs!$B$11-Inputs!$B$11),0)))/100)/2</f>
        <v/>
      </c>
      <c r="M2858">
        <f>L2858*(1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58">
        <f>L2858*(1-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2858*(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58">
        <f>(1-Summary!$B$11)*T2858+Summary!$B$11*V2858</f>
        <v/>
      </c>
      <c r="P2858">
        <f>IF(B2890=0,0,O2858/B2890)</f>
        <v/>
      </c>
      <c r="Q2858" t="n">
        <v>0</v>
      </c>
      <c r="R2858" t="n">
        <v>0</v>
      </c>
      <c r="S2858">
        <f>IFERROR(O2858/N2858,0)</f>
        <v/>
      </c>
      <c r="T2858">
        <f>IF(C2858,(Skills!G4*H2858*N2858*B2884)*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2858*(1-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2858*(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2858*(1-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2858*(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58">
        <f>290*U2857/1000</f>
        <v/>
      </c>
      <c r="V2858">
        <f>IF(C2858,(Skills!G4*H2858*N2858*B2884)*IF(Inputs!$B$38="pvp",1,(1+(Inputs!$B$21+Skills!Q4+(IF(ArtifactsInput!$M$33,CHOOSE(ArtifactsInput!$N$33+1,30,36,42,48,54,60),0))+(IF(AND(ArtifactsInput!$M$35,Inputs!$B$4&lt;&gt;"Chapter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59">
      <c r="A2859">
        <f>Skills!A5</f>
        <v/>
      </c>
      <c r="B2859">
        <f>Skills!B5</f>
        <v/>
      </c>
      <c r="C2859">
        <f>Inputs!$B$3&gt;=60</f>
        <v/>
      </c>
      <c r="D2859">
        <f>IF(Skills!C5=1,60+Inputs!$B$25+Inputs!$B$29,IF(Skills!C5=2,90+Inputs!$B$26+Inputs!$B$29,IF(Skills!C5=3,120+Inputs!$B$27+Inputs!$B$29,MAX(0,(Inputs!$B$3-100)*3)+Inputs!$B$28+Inputs!$B$29)))</f>
        <v/>
      </c>
      <c r="E2859">
        <f>INDEX(FactorTable!$B$2:$Y$301, MATCH(ROUND(MIN(300,MAX(1,D2859)),0), FactorTable!$A$2:$A$301,0), Skills!M5+1)</f>
        <v/>
      </c>
      <c r="F2859">
        <f>IF(Skills!N5=TRUE,(Skills!L5/10)*(E2859/1000),Skills!L5/10)+Skills!O5</f>
        <v/>
      </c>
      <c r="G2859">
        <f>Skills!G5*IF(Skills!H5&gt;0,Skills!I5/Skills!H5,1)</f>
        <v/>
      </c>
      <c r="H2859">
        <f>1-(1-Skills!J5/100)^Skills!K5</f>
        <v/>
      </c>
      <c r="I2859" t="inlineStr">
        <is>
          <t>1</t>
        </is>
      </c>
      <c r="J2859" t="inlineStr"/>
      <c r="K2859" t="inlineStr"/>
      <c r="L2859" t="inlineStr"/>
      <c r="M2859" t="inlineStr"/>
      <c r="N2859" t="inlineStr"/>
      <c r="O2859">
        <f>(1-Summary!$B$11)*T2859+Summary!$B$11*V2859</f>
        <v/>
      </c>
      <c r="P2859">
        <f>IF(B2890=0,0,O2859/B2890)</f>
        <v/>
      </c>
      <c r="Q2859" t="n">
        <v>0</v>
      </c>
      <c r="R2859" t="n">
        <v>0</v>
      </c>
      <c r="S2859">
        <f>IFERROR(O2859/N2859,0)</f>
        <v/>
      </c>
      <c r="T2859" t="n">
        <v>0</v>
      </c>
      <c r="V2859" t="n">
        <v>0</v>
      </c>
    </row>
    <row r="2860">
      <c r="A2860">
        <f>Skills!A6</f>
        <v/>
      </c>
      <c r="B2860">
        <f>Skills!B6</f>
        <v/>
      </c>
      <c r="C2860">
        <f>Inputs!$B$3&gt;=63</f>
        <v/>
      </c>
      <c r="D2860">
        <f>IF(Skills!C6=1,60+Inputs!$B$25+Inputs!$B$29,IF(Skills!C6=2,90+Inputs!$B$26+Inputs!$B$29,IF(Skills!C6=3,120+Inputs!$B$27+Inputs!$B$29,MAX(0,(Inputs!$B$3-100)*3)+Inputs!$B$28+Inputs!$B$29)))</f>
        <v/>
      </c>
      <c r="E2860">
        <f>INDEX(FactorTable!$B$2:$Y$301, MATCH(ROUND(MIN(300,MAX(1,D2860)),0), FactorTable!$A$2:$A$301,0), Skills!M6+1)</f>
        <v/>
      </c>
      <c r="F2860">
        <f>IF(Skills!N6=TRUE,(Skills!L6/10)*(E2860/1000),Skills!L6/10)+Skills!O6</f>
        <v/>
      </c>
      <c r="G2860">
        <f>Skills!G6*IF(Skills!H6&gt;0,Skills!I6/Skills!H6,1)</f>
        <v/>
      </c>
      <c r="H2860">
        <f>1-(1-Skills!J6/100)^Skills!K6</f>
        <v/>
      </c>
      <c r="I2860" t="inlineStr">
        <is>
          <t>1</t>
        </is>
      </c>
      <c r="J2860">
        <f>((Inputs!$B$6*(1+Inputs!$B$7/100))+(((Inputs!$B$12*(1+Inputs!$B$13/100))-(Inputs!$B$12*(1+Inputs!$B$13/100)))+0.25*(Inputs!$B$14-Inputs!$B$14))*(1+Inputs!$B$7/100))*(F2860/100)</f>
        <v/>
      </c>
      <c r="K2860">
        <f>J2860*(1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2866=TRUE,F2866,0)/100)*(1+(IF(Skills!A6="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2860)</f>
        <v/>
      </c>
      <c r="L2860">
        <f>K2860*(MIN(Inputs!$B$22+((C2874=TRUE)*(F2874-Calc!F20)),(Inputs!$B$23+0+(IF(ArtifactsInput!$M$15,CHOOSE(ArtifactsInput!$N$15+1,25,30,35,40,45,50)/100*(Inputs!$B$11-Inputs!$B$11),0))))/100+(Inputs!$B$23+0+(IF(ArtifactsInput!$M$15,CHOOSE(ArtifactsInput!$N$15+1,25,30,35,40,45,50)/100*(Inputs!$B$11-Inputs!$B$11),0)))/100)/2</f>
        <v/>
      </c>
      <c r="M2860">
        <f>L2860*(1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0">
        <f>L2860*(1-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2860*(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0">
        <f>(1-Summary!$B$11)*T2860+Summary!$B$11*V2860</f>
        <v/>
      </c>
      <c r="P2860">
        <f>IF(B2890=0,0,O2860/B2890)</f>
        <v/>
      </c>
      <c r="Q2860">
        <f>IFERROR(1/(IF(Inputs!$B$38="pvp",15,MAX(0.1,Skills!D6-IF(Skills!E6=TRUE,5.0,0)))*(1-IF(AND(ArtifactsInput!$M$27,Inputs!$B$4="Chapter Hunt"),CHOOSE(ArtifactsInput!$N$27+1,20,24,28,32,36,40),0)/100)),0)</f>
        <v/>
      </c>
      <c r="R2860">
        <f>IF(AND(Inputs!$B$38&lt;&gt;"pvp",Inputs!$B$43&gt;0),IF(MAX(0,Inputs!$B$43-B2887)&lt;=0,0,(INT(MAX(0,Inputs!$B$43-B2887)/(IF(Inputs!$B$38="pvp",15,MAX(0.1,Skills!D6-IF(Skills!E6=TRUE,5.0,0)))*(1-IF(AND(ArtifactsInput!$M$27,Inputs!$B$4="Chapter Hunt"),CHOOSE(ArtifactsInput!$N$27+1,20,24,28,32,36,40),0)/100)))+1)),0)</f>
        <v/>
      </c>
      <c r="S2860">
        <f>IFERROR(O2860/N2860,0)</f>
        <v/>
      </c>
      <c r="T2860">
        <f>IF(C2860,(H2860*N2860*IF(AND(Inputs!$B$38&lt;&gt;"pvp",Inputs!$B$43&gt;0),((Skills!G6*((R2860-1)*IF(Skills!H6&gt;0,Skills!I6/Skills!H6,1)+IF(Skills!H6&gt;0,MIN(Skills!I6,MAX(0,MAX(0,Inputs!$B$43-B2887)-((R2860-1)*(IF(Inputs!$B$38="pvp",15,MAX(0.1,Skills!D6-IF(Skills!E6=TRUE,5.0,0)))*(1-IF(AND(ArtifactsInput!$M$27,Inputs!$B$4="Chapter Hunt"),CHOOSE(ArtifactsInput!$N$27+1,20,24,28,32,36,40),0)/100)))))/Skills!H6,1)))/Inputs!$B$43),G2860*Q2860))*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2860*(1-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2860*(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2860*(1-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2860*(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0">
        <f>IF(C2860,(H2860*N2860*IF(AND(Inputs!$B$38&lt;&gt;"pvp",Inputs!$B$43&gt;0),((Skills!G6*((R2860-1)*IF(Skills!H6&gt;0,Skills!I6/Skills!H6,1)+IF(Skills!H6&gt;0,MIN(Skills!I6,MAX(0,MAX(0,Inputs!$B$43-B2887)-((R2860-1)*(IF(Inputs!$B$38="pvp",15,MAX(0.1,Skills!D6-IF(Skills!E6=TRUE,5.0,0)))*(1-IF(AND(ArtifactsInput!$M$27,Inputs!$B$4="Chapter Hunt"),CHOOSE(ArtifactsInput!$N$27+1,20,24,28,32,36,40),0)/100)))))/Skills!H6,1)))/Inputs!$B$43),G2860*Q2860))*IF(Inputs!$B$38="pvp",1,(1+(Inputs!$B$21+Skills!Q6+(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1">
      <c r="A2861">
        <f>Skills!A7</f>
        <v/>
      </c>
      <c r="B2861">
        <f>Skills!B7</f>
        <v/>
      </c>
      <c r="C2861">
        <f>Inputs!$B$3&gt;=100</f>
        <v/>
      </c>
      <c r="D2861">
        <f>IF(Skills!C7=1,60+Inputs!$B$25+Inputs!$B$29,IF(Skills!C7=2,90+Inputs!$B$26+Inputs!$B$29,IF(Skills!C7=3,120+Inputs!$B$27+Inputs!$B$29,MAX(0,(Inputs!$B$3-100)*3)+Inputs!$B$28+Inputs!$B$29)))</f>
        <v/>
      </c>
      <c r="E2861">
        <f>INDEX(FactorTable!$B$2:$Y$301, MATCH(ROUND(MIN(300,MAX(1,D2861)),0), FactorTable!$A$2:$A$301,0), Skills!M7+1)</f>
        <v/>
      </c>
      <c r="F2861">
        <f>IF(Skills!N7=TRUE,(Skills!L7/10)*(E2861/1000),Skills!L7/10)+Skills!O7</f>
        <v/>
      </c>
      <c r="G2861">
        <f>Skills!G7*IF(Skills!H7&gt;0,Skills!I7/Skills!H7,1)</f>
        <v/>
      </c>
      <c r="H2861">
        <f>1-(1-Skills!J7/100)^Skills!K7</f>
        <v/>
      </c>
      <c r="I2861" t="inlineStr">
        <is>
          <t>1</t>
        </is>
      </c>
      <c r="J2861">
        <f>((Inputs!$B$6*(1+Inputs!$B$7/100))+(((Inputs!$B$12*(1+Inputs!$B$13/100))-(Inputs!$B$12*(1+Inputs!$B$13/100)))+0.25*(Inputs!$B$14-Inputs!$B$14))*(1+Inputs!$B$7/100))*(F2861/100)</f>
        <v/>
      </c>
      <c r="K2861">
        <f>J2861*(1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2861)</f>
        <v/>
      </c>
      <c r="L2861">
        <f>K2861*(MIN(Inputs!$B$22+((C2874=TRUE)*(F2874-Calc!F20)),(Inputs!$B$23+0+(IF(ArtifactsInput!$M$15,CHOOSE(ArtifactsInput!$N$15+1,25,30,35,40,45,50)/100*(Inputs!$B$11-Inputs!$B$11),0))))/100+(Inputs!$B$23+0+(IF(ArtifactsInput!$M$15,CHOOSE(ArtifactsInput!$N$15+1,25,30,35,40,45,50)/100*(Inputs!$B$11-Inputs!$B$11),0)))/100)/2</f>
        <v/>
      </c>
      <c r="M2861">
        <f>L2861*(1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1">
        <f>L2861*(1-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1">
        <f>(1-Summary!$B$11)*T2861+Summary!$B$11*V2861</f>
        <v/>
      </c>
      <c r="P2861">
        <f>IF(B2890=0,0,O2861/B2890)</f>
        <v/>
      </c>
      <c r="Q2861">
        <f>IFERROR(1/(IF(Inputs!$B$38="pvp",15,MAX(0.1,Skills!D7-IF(Skills!E7=TRUE,5.0,0)))*(1-IF(AND(ArtifactsInput!$M$27,Inputs!$B$4="Chapter Hunt"),CHOOSE(ArtifactsInput!$N$27+1,20,24,28,32,36,40),0)/100)),0)</f>
        <v/>
      </c>
      <c r="R2861">
        <f>IF(AND(Inputs!$B$38&lt;&gt;"pvp",Inputs!$B$43&gt;0),IF(MAX(0,Inputs!$B$43-B2887)&lt;=0,0,(INT(MAX(0,Inputs!$B$43-B2887)/(IF(Inputs!$B$38="pvp",15,MAX(0.1,Skills!D7-IF(Skills!E7=TRUE,5.0,0)))*(1-IF(AND(ArtifactsInput!$M$27,Inputs!$B$4="Chapter Hunt"),CHOOSE(ArtifactsInput!$N$27+1,20,24,28,32,36,40),0)/100)))+1)),0)</f>
        <v/>
      </c>
      <c r="S2861">
        <f>IFERROR(O2861/N2861,0)</f>
        <v/>
      </c>
      <c r="T2861">
        <f>IF(C2861,(H2861*N2861*IF(AND(Inputs!$B$38&lt;&gt;"pvp",Inputs!$B$43&gt;0),((Skills!G7*((R2861-1)*IF(Skills!H7&gt;0,Skills!I7/Skills!H7,1)+IF(Skills!H7&gt;0,MIN(Skills!I7,MAX(0,MAX(0,Inputs!$B$43-B2887)-((R2861-1)*(IF(Inputs!$B$38="pvp",15,MAX(0.1,Skills!D7-IF(Skills!E7=TRUE,5.0,0)))*(1-IF(AND(ArtifactsInput!$M$27,Inputs!$B$4="Chapter Hunt"),CHOOSE(ArtifactsInput!$N$27+1,20,24,28,32,36,40),0)/100)))))/Skills!H7,1)))/Inputs!$B$43),G2861*Q2861))*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2861*(1-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2861*(1-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1">
        <f>IF(C2861,(H2861*N2861*IF(AND(Inputs!$B$38&lt;&gt;"pvp",Inputs!$B$43&gt;0),((Skills!G7*((R2861-1)*IF(Skills!H7&gt;0,Skills!I7/Skills!H7,1)+IF(Skills!H7&gt;0,MIN(Skills!I7,MAX(0,MAX(0,Inputs!$B$43-B2887)-((R2861-1)*(IF(Inputs!$B$38="pvp",15,MAX(0.1,Skills!D7-IF(Skills!E7=TRUE,5.0,0)))*(1-IF(AND(ArtifactsInput!$M$27,Inputs!$B$4="Chapter Hunt"),CHOOSE(ArtifactsInput!$N$27+1,20,24,28,32,36,40),0)/100)))))/Skills!H7,1)))/Inputs!$B$43),G2861*Q2861))*IF(Inputs!$B$38="pvp",1,(1+(Inputs!$B$21+Skills!Q7+(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2">
      <c r="A2862">
        <f>Skills!A8</f>
        <v/>
      </c>
      <c r="B2862">
        <f>Skills!B8</f>
        <v/>
      </c>
      <c r="C2862">
        <f>Inputs!$B$3&gt;=110</f>
        <v/>
      </c>
      <c r="D2862">
        <f>IF(Skills!C8=1,60+Inputs!$B$25+Inputs!$B$29,IF(Skills!C8=2,90+Inputs!$B$26+Inputs!$B$29,IF(Skills!C8=3,120+Inputs!$B$27+Inputs!$B$29,MAX(0,(Inputs!$B$3-100)*3)+Inputs!$B$28+Inputs!$B$29)))</f>
        <v/>
      </c>
      <c r="E2862">
        <f>INDEX(FactorTable!$B$2:$Y$301, MATCH(ROUND(MIN(300,MAX(1,D2862)),0), FactorTable!$A$2:$A$301,0), Skills!M8+1)</f>
        <v/>
      </c>
      <c r="F2862">
        <f>IF(Skills!N8=TRUE,(Skills!L8/10)*(E2862/1000),Skills!L8/10)+Skills!O8</f>
        <v/>
      </c>
      <c r="G2862">
        <f>Skills!G8*IF(Skills!H8&gt;0,Skills!I8/Skills!H8,1)</f>
        <v/>
      </c>
      <c r="H2862">
        <f>1-(1-Skills!J8/100)^Skills!K8</f>
        <v/>
      </c>
      <c r="I2862" t="inlineStr">
        <is>
          <t>1</t>
        </is>
      </c>
      <c r="J2862">
        <f>((Inputs!$B$6*(1+Inputs!$B$7/100))+(((Inputs!$B$12*(1+Inputs!$B$13/100))-(Inputs!$B$12*(1+Inputs!$B$13/100)))+0.25*(Inputs!$B$14-Inputs!$B$14))*(1+Inputs!$B$7/100))*(F2862/100)</f>
        <v/>
      </c>
      <c r="K2862">
        <f>J2862*(1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2862)</f>
        <v/>
      </c>
      <c r="L2862">
        <f>K2862*(MIN(Inputs!$B$22+((C2874=TRUE)*(F2874-Calc!F20)),(Inputs!$B$23+0+(IF(ArtifactsInput!$M$15,CHOOSE(ArtifactsInput!$N$15+1,25,30,35,40,45,50)/100*(Inputs!$B$11-Inputs!$B$11),0))))/100+(Inputs!$B$23+0+(IF(ArtifactsInput!$M$15,CHOOSE(ArtifactsInput!$N$15+1,25,30,35,40,45,50)/100*(Inputs!$B$11-Inputs!$B$11),0)))/100)/2</f>
        <v/>
      </c>
      <c r="M2862">
        <f>L2862*(1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2">
        <f>L2862*(1-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2862*(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2">
        <f>(1-Summary!$B$11)*T2862+Summary!$B$11*V2862</f>
        <v/>
      </c>
      <c r="P2862">
        <f>IF(B2890=0,0,O2862/B2890)</f>
        <v/>
      </c>
      <c r="Q2862">
        <f>IFERROR(1/(IF(Inputs!$B$38="pvp",15,MAX(0.1,Skills!D8-IF(Skills!E8=TRUE,5.0,0)))*(1-IF(AND(ArtifactsInput!$M$27,Inputs!$B$4="Chapter Hunt"),CHOOSE(ArtifactsInput!$N$27+1,20,24,28,32,36,40),0)/100)),0)</f>
        <v/>
      </c>
      <c r="R2862">
        <f>IF(AND(Inputs!$B$38&lt;&gt;"pvp",Inputs!$B$43&gt;0),IF(MAX(0,Inputs!$B$43-B2887)&lt;=0,0,(INT(MAX(0,Inputs!$B$43-B2887)/(IF(Inputs!$B$38="pvp",15,MAX(0.1,Skills!D8-IF(Skills!E8=TRUE,5.0,0)))*(1-IF(AND(ArtifactsInput!$M$27,Inputs!$B$4="Chapter Hunt"),CHOOSE(ArtifactsInput!$N$27+1,20,24,28,32,36,40),0)/100)))+1)),0)</f>
        <v/>
      </c>
      <c r="S2862">
        <f>IFERROR(O2862/N2862,0)</f>
        <v/>
      </c>
      <c r="T2862">
        <f>IF(C2862,(H2862*N2862*IF(AND(Inputs!$B$38&lt;&gt;"pvp",Inputs!$B$43&gt;0),((Skills!G8*((R2862-1)*IF(Skills!H8&gt;0,Skills!I8/Skills!H8,1)+IF(Skills!H8&gt;0,MIN(Skills!I8,MAX(0,MAX(0,Inputs!$B$43-B2887)-((R2862-1)*(IF(Inputs!$B$38="pvp",15,MAX(0.1,Skills!D8-IF(Skills!E8=TRUE,5.0,0)))*(1-IF(AND(ArtifactsInput!$M$27,Inputs!$B$4="Chapter Hunt"),CHOOSE(ArtifactsInput!$N$27+1,20,24,28,32,36,40),0)/100)))))/Skills!H8,1)))/Inputs!$B$43),G2862*Q2862))*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2862*(1-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2862*(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2862*(1-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2862*(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2">
        <f>IF(C2862,(H2862*N2862*IF(AND(Inputs!$B$38&lt;&gt;"pvp",Inputs!$B$43&gt;0),((Skills!G8*((R2862-1)*IF(Skills!H8&gt;0,Skills!I8/Skills!H8,1)+IF(Skills!H8&gt;0,MIN(Skills!I8,MAX(0,MAX(0,Inputs!$B$43-B2887)-((R2862-1)*(IF(Inputs!$B$38="pvp",15,MAX(0.1,Skills!D8-IF(Skills!E8=TRUE,5.0,0)))*(1-IF(AND(ArtifactsInput!$M$27,Inputs!$B$4="Chapter Hunt"),CHOOSE(ArtifactsInput!$N$27+1,20,24,28,32,36,40),0)/100)))))/Skills!H8,1)))/Inputs!$B$43),G2862*Q2862))*IF(Inputs!$B$38="pvp",1,(1+(Inputs!$B$21+Skills!Q8+(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3">
      <c r="A2863">
        <f>Skills!A9</f>
        <v/>
      </c>
      <c r="B2863">
        <f>Skills!B9</f>
        <v/>
      </c>
      <c r="C2863">
        <f>Inputs!$B$3&gt;=110</f>
        <v/>
      </c>
      <c r="D2863">
        <f>IF(Skills!C9=1,60+Inputs!$B$25+Inputs!$B$29,IF(Skills!C9=2,90+Inputs!$B$26+Inputs!$B$29,IF(Skills!C9=3,120+Inputs!$B$27+Inputs!$B$29,MAX(0,(Inputs!$B$3-100)*3)+Inputs!$B$28+Inputs!$B$29)))</f>
        <v/>
      </c>
      <c r="E2863">
        <f>INDEX(FactorTable!$B$2:$Y$301, MATCH(ROUND(MIN(300,MAX(1,D2863)),0), FactorTable!$A$2:$A$301,0), Skills!M9+1)</f>
        <v/>
      </c>
      <c r="F2863">
        <f>IF(Skills!N9=TRUE,(Skills!L9/10)*(E2863/1000),Skills!L9/10)+Skills!O9</f>
        <v/>
      </c>
      <c r="G2863">
        <f>Skills!G9*IF(Skills!H9&gt;0,Skills!I9/Skills!H9,1)</f>
        <v/>
      </c>
      <c r="H2863">
        <f>1-(1-Skills!J9/100)^Skills!K9</f>
        <v/>
      </c>
      <c r="I2863" t="inlineStr">
        <is>
          <t>1</t>
        </is>
      </c>
      <c r="J2863">
        <f>((Inputs!$B$6*(1+Inputs!$B$7/100))+(((Inputs!$B$12*(1+Inputs!$B$13/100))-(Inputs!$B$12*(1+Inputs!$B$13/100)))+0.25*(Inputs!$B$14-Inputs!$B$14))*(1+Inputs!$B$7/100))*(F2863/100)</f>
        <v/>
      </c>
      <c r="K2863">
        <f>J2863*(1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2863)</f>
        <v/>
      </c>
      <c r="L2863">
        <f>K2863*(MIN(Inputs!$B$22+((C2874=TRUE)*(F2874-Calc!F20)),(Inputs!$B$23+0+(IF(ArtifactsInput!$M$15,CHOOSE(ArtifactsInput!$N$15+1,25,30,35,40,45,50)/100*(Inputs!$B$11-Inputs!$B$11),0))))/100+(Inputs!$B$23+0+(IF(ArtifactsInput!$M$15,CHOOSE(ArtifactsInput!$N$15+1,25,30,35,40,45,50)/100*(Inputs!$B$11-Inputs!$B$11),0)))/100)/2</f>
        <v/>
      </c>
      <c r="M2863">
        <f>L2863*(1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3">
        <f>L2863*(1-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2863*(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3">
        <f>(1-Summary!$B$11)*T2863+Summary!$B$11*V2863</f>
        <v/>
      </c>
      <c r="P2863">
        <f>IF(B2890=0,0,O2863/B2890)</f>
        <v/>
      </c>
      <c r="Q2863">
        <f>IFERROR(1/(IF(Inputs!$B$38="pvp",15,MAX(0.1,Skills!D9-IF(Skills!E9=TRUE,5.0,0)))*(1-IF(AND(ArtifactsInput!$M$27,Inputs!$B$4="Chapter Hunt"),CHOOSE(ArtifactsInput!$N$27+1,20,24,28,32,36,40),0)/100)),0)</f>
        <v/>
      </c>
      <c r="R2863">
        <f>IF(AND(Inputs!$B$38&lt;&gt;"pvp",Inputs!$B$43&gt;0),IF(MAX(0,Inputs!$B$43-B2887)&lt;=0,0,(INT(MAX(0,Inputs!$B$43-B2887)/(IF(Inputs!$B$38="pvp",15,MAX(0.1,Skills!D9-IF(Skills!E9=TRUE,5.0,0)))*(1-IF(AND(ArtifactsInput!$M$27,Inputs!$B$4="Chapter Hunt"),CHOOSE(ArtifactsInput!$N$27+1,20,24,28,32,36,40),0)/100)))+1)),0)</f>
        <v/>
      </c>
      <c r="S2863">
        <f>IFERROR(O2863/N2863,0)</f>
        <v/>
      </c>
      <c r="T2863">
        <f>IF(C2863,(H2863*N2863*IF(AND(Inputs!$B$38&lt;&gt;"pvp",Inputs!$B$43&gt;0),((Skills!G9*((R2863-1)*IF(Skills!H9&gt;0,Skills!I9/Skills!H9,1)+IF(Skills!H9&gt;0,MIN(Skills!I9,MAX(0,MAX(0,Inputs!$B$43-B2887)-((R2863-1)*(IF(Inputs!$B$38="pvp",15,MAX(0.1,Skills!D9-IF(Skills!E9=TRUE,5.0,0)))*(1-IF(AND(ArtifactsInput!$M$27,Inputs!$B$4="Chapter Hunt"),CHOOSE(ArtifactsInput!$N$27+1,20,24,28,32,36,40),0)/100)))))/Skills!H9,1)))/Inputs!$B$43),G2863*Q2863))*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2863*(1-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2863*(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2863*(1-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2863*(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3">
        <f>IF(C2863,(H2863*N2863*IF(AND(Inputs!$B$38&lt;&gt;"pvp",Inputs!$B$43&gt;0),((Skills!G9*((R2863-1)*IF(Skills!H9&gt;0,Skills!I9/Skills!H9,1)+IF(Skills!H9&gt;0,MIN(Skills!I9,MAX(0,MAX(0,Inputs!$B$43-B2887)-((R2863-1)*(IF(Inputs!$B$38="pvp",15,MAX(0.1,Skills!D9-IF(Skills!E9=TRUE,5.0,0)))*(1-IF(AND(ArtifactsInput!$M$27,Inputs!$B$4="Chapter Hunt"),CHOOSE(ArtifactsInput!$N$27+1,20,24,28,32,36,40),0)/100)))))/Skills!H9,1)))/Inputs!$B$43),G2863*Q2863))*IF(Inputs!$B$38="pvp",1,(1+(Inputs!$B$21+Skills!Q9+(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4">
      <c r="A2864">
        <f>Skills!A10</f>
        <v/>
      </c>
      <c r="B2864">
        <f>Skills!B10</f>
        <v/>
      </c>
      <c r="C2864">
        <f>Inputs!$B$3&gt;=103</f>
        <v/>
      </c>
      <c r="D2864">
        <f>IF(Skills!C10=1,60+Inputs!$B$25+Inputs!$B$29,IF(Skills!C10=2,90+Inputs!$B$26+Inputs!$B$29,IF(Skills!C10=3,120+Inputs!$B$27+Inputs!$B$29,MAX(0,(Inputs!$B$3-100)*3)+Inputs!$B$28+Inputs!$B$29)))</f>
        <v/>
      </c>
      <c r="E2864">
        <f>INDEX(FactorTable!$B$2:$Y$301, MATCH(ROUND(MIN(300,MAX(1,D2864)),0), FactorTable!$A$2:$A$301,0), Skills!M10+1)</f>
        <v/>
      </c>
      <c r="F2864">
        <f>IF(Skills!N10=TRUE,(Skills!L10/10)*(E2864/1000),Skills!L10/10)+Skills!O10</f>
        <v/>
      </c>
      <c r="G2864">
        <f>Skills!G10*IF(Skills!H10&gt;0,Skills!I10/Skills!H10,1)</f>
        <v/>
      </c>
      <c r="H2864">
        <f>1-(1-Skills!J10/100)^Skills!K10</f>
        <v/>
      </c>
      <c r="I2864" t="inlineStr">
        <is>
          <t>1</t>
        </is>
      </c>
      <c r="J2864">
        <f>((Inputs!$B$6*(1+Inputs!$B$7/100))+(((Inputs!$B$12*(1+Inputs!$B$13/100))-(Inputs!$B$12*(1+Inputs!$B$13/100)))+0.25*(Inputs!$B$14-Inputs!$B$14))*(1+Inputs!$B$7/100))*(F2864/100)</f>
        <v/>
      </c>
      <c r="K2864">
        <f>J2864*(1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2864)</f>
        <v/>
      </c>
      <c r="L2864">
        <f>K2864*(MIN(Inputs!$B$22+((C2874=TRUE)*(F2874-Calc!F20)),(Inputs!$B$23+0+(IF(ArtifactsInput!$M$15,CHOOSE(ArtifactsInput!$N$15+1,25,30,35,40,45,50)/100*(Inputs!$B$11-Inputs!$B$11),0))))/100+(Inputs!$B$23+0+(IF(ArtifactsInput!$M$15,CHOOSE(ArtifactsInput!$N$15+1,25,30,35,40,45,50)/100*(Inputs!$B$11-Inputs!$B$11),0)))/100)/2</f>
        <v/>
      </c>
      <c r="M2864">
        <f>L2864*(1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4">
        <f>L2864*(1-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2864*(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4">
        <f>(1-Summary!$B$11)*T2864+Summary!$B$11*V2864</f>
        <v/>
      </c>
      <c r="P2864">
        <f>IF(B2890=0,0,O2864/B2890)</f>
        <v/>
      </c>
      <c r="Q2864">
        <f>IFERROR(1/(IF(Inputs!$B$38="pvp",15,MAX(0.1,Skills!D10-IF(Skills!E10=TRUE,5.0,0)))*(1-IF(AND(ArtifactsInput!$M$27,Inputs!$B$4="Chapter Hunt"),CHOOSE(ArtifactsInput!$N$27+1,20,24,28,32,36,40),0)/100)),0)</f>
        <v/>
      </c>
      <c r="R2864">
        <f>IF(AND(Inputs!$B$38&lt;&gt;"pvp",Inputs!$B$43&gt;0),IF(MAX(0,Inputs!$B$43-B2887)&lt;=0,0,(INT(MAX(0,Inputs!$B$43-B2887)/(IF(Inputs!$B$38="pvp",15,MAX(0.1,Skills!D10-IF(Skills!E10=TRUE,5.0,0)))*(1-IF(AND(ArtifactsInput!$M$27,Inputs!$B$4="Chapter Hunt"),CHOOSE(ArtifactsInput!$N$27+1,20,24,28,32,36,40),0)/100)))+1)),0)</f>
        <v/>
      </c>
      <c r="S2864">
        <f>IFERROR(O2864/N2864,0)</f>
        <v/>
      </c>
      <c r="T2864">
        <f>IF(C2864,(H2864*N2864*IF(AND(Inputs!$B$38&lt;&gt;"pvp",Inputs!$B$43&gt;0),((Skills!G10*((R2864-1)*IF(Skills!H10&gt;0,Skills!I10/Skills!H10,1)+IF(Skills!H10&gt;0,MIN(Skills!I10,MAX(0,MAX(0,Inputs!$B$43-B2887)-((R2864-1)*(IF(Inputs!$B$38="pvp",15,MAX(0.1,Skills!D10-IF(Skills!E10=TRUE,5.0,0)))*(1-IF(AND(ArtifactsInput!$M$27,Inputs!$B$4="Chapter Hunt"),CHOOSE(ArtifactsInput!$N$27+1,20,24,28,32,36,40),0)/100)))))/Skills!H10,1)))/Inputs!$B$43),G2864*Q2864))*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2864*(1-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2864*(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2864*(1-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2864*(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4">
        <f>IF(C2864,(H2864*N2864*IF(AND(Inputs!$B$38&lt;&gt;"pvp",Inputs!$B$43&gt;0),((Skills!G10*((R2864-1)*IF(Skills!H10&gt;0,Skills!I10/Skills!H10,1)+IF(Skills!H10&gt;0,MIN(Skills!I10,MAX(0,MAX(0,Inputs!$B$43-B2887)-((R2864-1)*(IF(Inputs!$B$38="pvp",15,MAX(0.1,Skills!D10-IF(Skills!E10=TRUE,5.0,0)))*(1-IF(AND(ArtifactsInput!$M$27,Inputs!$B$4="Chapter Hunt"),CHOOSE(ArtifactsInput!$N$27+1,20,24,28,32,36,40),0)/100)))))/Skills!H10,1)))/Inputs!$B$43),G2864*Q2864))*IF(Inputs!$B$38="pvp",1,(1+(Inputs!$B$21+Skills!Q10+(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5">
      <c r="A2865">
        <f>Skills!A11</f>
        <v/>
      </c>
      <c r="B2865">
        <f>Skills!B11</f>
        <v/>
      </c>
      <c r="C2865">
        <f>Inputs!$B$3&gt;=113</f>
        <v/>
      </c>
      <c r="D2865">
        <f>IF(Skills!C11=1,60+Inputs!$B$25+Inputs!$B$29,IF(Skills!C11=2,90+Inputs!$B$26+Inputs!$B$29,IF(Skills!C11=3,120+Inputs!$B$27+Inputs!$B$29,MAX(0,(Inputs!$B$3-100)*3)+Inputs!$B$28+Inputs!$B$29)))</f>
        <v/>
      </c>
      <c r="E2865">
        <f>INDEX(FactorTable!$B$2:$Y$301, MATCH(ROUND(MIN(300,MAX(1,D2865)),0), FactorTable!$A$2:$A$301,0), Skills!M11+1)</f>
        <v/>
      </c>
      <c r="F2865">
        <f>IF(Skills!N11=TRUE,(Skills!L11/10)*(E2865/1000),Skills!L11/10)+Skills!O11</f>
        <v/>
      </c>
      <c r="G2865">
        <f>Skills!G11*IF(Skills!H11&gt;0,Skills!I11/Skills!H11,1)</f>
        <v/>
      </c>
      <c r="H2865">
        <f>1-(1-Skills!J11/100)^Skills!K11</f>
        <v/>
      </c>
      <c r="I2865" t="inlineStr">
        <is>
          <t>1</t>
        </is>
      </c>
      <c r="J2865">
        <f>((Inputs!$B$6*(1+Inputs!$B$7/100))+(((Inputs!$B$12*(1+Inputs!$B$13/100))-(Inputs!$B$12*(1+Inputs!$B$13/100)))+0.25*(Inputs!$B$14-Inputs!$B$14))*(1+Inputs!$B$7/100))*(F2865/100)</f>
        <v/>
      </c>
      <c r="K2865">
        <f>J2865*(1+((Inputs!$B$12*(1+Inputs!$B$13/100))*0.01+Inputs!$B$14*0.0025)/100)*(1+Inputs!$B$15/100)*(1+Inputs!$B$16/100)*(5000/(6000+Inputs!$B$42*(1-(100*(1-(1-(Inputs!$B$19+0)/100)*(1-CHOOSE(ArtifactsInput!$N$40+1,5,6,7,8,9,10)/100)^(ArtifactsInput!$M$40-ArtifactsInput!$M$40)))/100)))*(1+(Inputs!$B$24+((C2876=TRUE)*(F2876-Calc!F22))+B2886)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2875=TRUE)*(F2875-Calc!F21))+(((IF(AND(ArtifactsInput!$M$42,((Inputs!$B$9+((C2870=TRUE)*(F2870-Calc!F16))+B2880+(ArtifactsInput!$M$24-ArtifactsInput!$M$24)*CHOOSE(ArtifactsInput!$N$24+1,10,12,14,16,18,20)+IF(ArtifactsInput!$M$10,CHOOSE(ArtifactsInput!$N$10+1,15,18,21,24,27,30)*(IF(Inputs!$B$38="pvp",MIN(15,15)/15,IF(AND(Inputs!$B$38&lt;&gt;"pvp",Inputs!$B$43&gt;0),MIN(15,Inputs!$B$43)/(Inputs!$B$43),0))),0)))&gt;=100),MIN(100,((Inputs!$B$9+((C2870=TRUE)*(F2870-Calc!F16))+B2880+(ArtifactsInput!$M$24-ArtifactsInput!$M$24)*CHOOSE(ArtifactsInput!$N$24+1,10,12,14,16,18,20)+IF(ArtifactsInput!$M$10,CHOOSE(ArtifactsInput!$N$10+1,15,18,21,24,27,30)*(IF(Inputs!$B$38="pvp",MIN(15,15)/15,IF(AND(Inputs!$B$38&lt;&gt;"pvp",Inputs!$B$43&gt;0),MIN(15,Inputs!$B$43)/(Inputs!$B$43),0))),0)))-100),0))*CHOOSE(ArtifactsInput!$N$42+1,0.6,0.72,0.84,0.96,1.08,1.2))),Inputs!$B$18+0+(IF(AND(ArtifactsInput!$M$42,((Inputs!$B$9+((C2870=TRUE)*(F2870-Calc!F16))+B2880+(ArtifactsInput!$M$24-ArtifactsInput!$M$24)*CHOOSE(ArtifactsInput!$N$24+1,10,12,14,16,18,20)+IF(ArtifactsInput!$M$10,CHOOSE(ArtifactsInput!$N$10+1,15,18,21,24,27,30)*(IF(Inputs!$B$38="pvp",MIN(15,15)/15,IF(AND(Inputs!$B$38&lt;&gt;"pvp",Inputs!$B$43&gt;0),MIN(15,Inputs!$B$43)/(Inputs!$B$43),0))),0)))&gt;=100),CHOOSE(ArtifactsInput!$N$42+1,40,48,56,64,72,80),0))))/100)*((1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2865)</f>
        <v/>
      </c>
      <c r="L2865">
        <f>K2865*(MIN(Inputs!$B$22+((C2874=TRUE)*(F2874-Calc!F20)),(Inputs!$B$23+0+(IF(ArtifactsInput!$M$15,CHOOSE(ArtifactsInput!$N$15+1,25,30,35,40,45,50)/100*(Inputs!$B$11-Inputs!$B$11),0))))/100+(Inputs!$B$23+0+(IF(ArtifactsInput!$M$15,CHOOSE(ArtifactsInput!$N$15+1,25,30,35,40,45,50)/100*(Inputs!$B$11-Inputs!$B$11),0)))/100)/2</f>
        <v/>
      </c>
      <c r="M2865">
        <f>L2865*(1+(Inputs!$B$10+0+B2885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65">
        <f>L2865*(1-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2865*(MIN((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65">
        <f>(1-Summary!$B$11)*T2865+Summary!$B$11*V2865</f>
        <v/>
      </c>
      <c r="P2865">
        <f>IF(B2890=0,0,O2865/B2890)</f>
        <v/>
      </c>
      <c r="Q2865">
        <f>IFERROR(1/(IF(Inputs!$B$38="pvp",15,MAX(0.1,Skills!D11-IF(Skills!E11=TRUE,5.0,0)))*(1-IF(AND(ArtifactsInput!$M$27,Inputs!$B$4="Chapter Hunt"),CHOOSE(ArtifactsInput!$N$27+1,20,24,28,32,36,40),0)/100)),0)</f>
        <v/>
      </c>
      <c r="R2865">
        <f>IF(AND(Inputs!$B$38&lt;&gt;"pvp",Inputs!$B$43&gt;0),IF(MAX(0,Inputs!$B$43-B2887)&lt;=0,0,(INT(MAX(0,Inputs!$B$43-B2887)/(IF(Inputs!$B$38="pvp",15,MAX(0.1,Skills!D11-IF(Skills!E11=TRUE,5.0,0)))*(1-IF(AND(ArtifactsInput!$M$27,Inputs!$B$4="Chapter Hunt"),CHOOSE(ArtifactsInput!$N$27+1,20,24,28,32,36,40),0)/100)))+1)),0)</f>
        <v/>
      </c>
      <c r="S2865">
        <f>IFERROR(O2865/N2865,0)</f>
        <v/>
      </c>
      <c r="T2865">
        <f>IF(C2865,(H2865*N2865*IF(AND(Inputs!$B$38&lt;&gt;"pvp",Inputs!$B$43&gt;0),((Skills!G11*((R2865-1)*IF(Skills!H11&gt;0,Skills!I11/Skills!H11,1)+IF(Skills!H11&gt;0,MIN(Skills!I11,MAX(0,MAX(0,Inputs!$B$43-B2887)-((R2865-1)*(IF(Inputs!$B$38="pvp",15,MAX(0.1,Skills!D11-IF(Skills!E11=TRUE,5.0,0)))*(1-IF(AND(ArtifactsInput!$M$27,Inputs!$B$4="Chapter Hunt"),CHOOSE(ArtifactsInput!$N$27+1,20,24,28,32,36,40),0)/100)))))/Skills!H11,1)))/Inputs!$B$43),G2865*Q2865))*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2865*(1-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2865*(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2865*(1-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2865*(MIN(100,(Inputs!$B$9+((C2870=TRUE)*(F2870-Calc!F16))+B2880+(ArtifactsInput!$M$24-ArtifactsInput!$M$24)*CHOOSE(ArtifactsInput!$N$24+1,10,12,14,16,18,20)+(IF(AND(ArtifactsInput!$M$42,((Inputs!$B$9+((C2870=TRUE)*(F2870-Calc!F16))+B2880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65">
        <f>IF(C2865,(H2865*N2865*IF(AND(Inputs!$B$38&lt;&gt;"pvp",Inputs!$B$43&gt;0),((Skills!G11*((R2865-1)*IF(Skills!H11&gt;0,Skills!I11/Skills!H11,1)+IF(Skills!H11&gt;0,MIN(Skills!I11,MAX(0,MAX(0,Inputs!$B$43-B2887)-((R2865-1)*(IF(Inputs!$B$38="pvp",15,MAX(0.1,Skills!D11-IF(Skills!E11=TRUE,5.0,0)))*(1-IF(AND(ArtifactsInput!$M$27,Inputs!$B$4="Chapter Hunt"),CHOOSE(ArtifactsInput!$N$27+1,20,24,28,32,36,40),0)/100)))))/Skills!H11,1)))/Inputs!$B$43),G2865*Q2865))*IF(Inputs!$B$38="pvp",1,(1+(Inputs!$B$21+Skills!Q11+(IF(ArtifactsInput!$M$33,CHOOSE(ArtifactsInput!$N$33+1,30,36,42,48,54,60),0))+(IF(AND(ArtifactsInput!$M$35,Inputs!$B$4&lt;&gt;"Chapter Hunt"),CHOOSE(ArtifactsInput!$N$35+1,15,18,21,24,27,30)*(1-EXP(-(0.2*B2882)*5)),0)+IF(AND(ArtifactsInput!$M$22,Inputs!$B$4&lt;&gt;"Chapter Hunt"),CHOOSE(ArtifactsInput!$N$22+1,10,12,14,16,18,20)*((0*(((0.15*B2882*5))^0/1)+1*(((0.15*B2882*5))^1/1)+2*(((0.15*B2882*5))^2/2)+3*(((0.15*B2882*5))^3/6)+4*(((0.15*B2882*5))^4/24)+5*(((0.15*B2882*5))^5/120))/((((0.15*B2882*5))^0/1)+(((0.15*B2882*5))^1/1)+(((0.15*B2882*5))^2/2)+(((0.15*B2882*5))^3/6)+(((0.15*B2882*5))^4/24)+(((0.15*B2882*5))^5/120))),0)))/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66">
      <c r="A2866">
        <f>Skills!A12</f>
        <v/>
      </c>
      <c r="B2866">
        <f>Skills!B12</f>
        <v/>
      </c>
      <c r="C2866">
        <f>Inputs!$B$3&gt;=100</f>
        <v/>
      </c>
      <c r="D2866">
        <f>IF(Skills!C12=1,60+Inputs!$B$25+Inputs!$B$29,IF(Skills!C12=2,90+Inputs!$B$26+Inputs!$B$29,IF(Skills!C12=3,120+Inputs!$B$27+Inputs!$B$29,MAX(0,(Inputs!$B$3-100)*3)+Inputs!$B$28+Inputs!$B$29)))</f>
        <v/>
      </c>
      <c r="E2866">
        <f>INDEX(FactorTable!$B$2:$Y$301, MATCH(ROUND(MIN(300,MAX(1,D2866)),0), FactorTable!$A$2:$A$301,0), Skills!M12+1)</f>
        <v/>
      </c>
      <c r="F2866">
        <f>IF(Skills!N12=TRUE,(Skills!L12/10)*(E2866/1000),Skills!L12/10)+Skills!O12</f>
        <v/>
      </c>
      <c r="G2866" t="inlineStr"/>
      <c r="H2866" t="inlineStr"/>
      <c r="I2866" t="inlineStr">
        <is>
          <t>1</t>
        </is>
      </c>
      <c r="J2866" t="inlineStr"/>
      <c r="K2866" t="inlineStr"/>
      <c r="L2866" t="inlineStr"/>
      <c r="M2866" t="inlineStr"/>
      <c r="N2866" t="inlineStr"/>
      <c r="O2866" t="inlineStr"/>
      <c r="P2866" t="inlineStr"/>
      <c r="Q2866" t="inlineStr"/>
      <c r="R2866" t="inlineStr"/>
      <c r="S2866" t="inlineStr"/>
      <c r="T2866" t="inlineStr"/>
      <c r="V2866" t="inlineStr"/>
    </row>
    <row r="2867">
      <c r="A2867">
        <f>Skills!A13</f>
        <v/>
      </c>
      <c r="B2867">
        <f>Skills!B13</f>
        <v/>
      </c>
      <c r="C2867">
        <f>Inputs!$B$3&gt;=66</f>
        <v/>
      </c>
      <c r="D2867">
        <f>IF(Skills!C13=1,60+Inputs!$B$25+Inputs!$B$29,IF(Skills!C13=2,90+Inputs!$B$26+Inputs!$B$29,IF(Skills!C13=3,120+Inputs!$B$27+Inputs!$B$29,MAX(0,(Inputs!$B$3-100)*3)+Inputs!$B$28+Inputs!$B$29)))</f>
        <v/>
      </c>
      <c r="E2867">
        <f>INDEX(FactorTable!$B$2:$Y$301, MATCH(ROUND(MIN(300,MAX(1,D2867)),0), FactorTable!$A$2:$A$301,0), Skills!M13+1)</f>
        <v/>
      </c>
      <c r="F2867">
        <f>IF(Skills!N13=TRUE,(Skills!L13/10)*(E2867/1000),Skills!L13/10)+Skills!O13</f>
        <v/>
      </c>
      <c r="G2867">
        <f>Skills!G13*IF(Skills!H13&gt;0,Skills!I13/Skills!H13,1)</f>
        <v/>
      </c>
      <c r="H2867">
        <f>1-(1-Skills!J13/100)^Skills!K13</f>
        <v/>
      </c>
      <c r="I2867" t="inlineStr">
        <is>
          <t>1</t>
        </is>
      </c>
      <c r="J2867" t="inlineStr"/>
      <c r="K2867" t="inlineStr"/>
      <c r="L2867" t="inlineStr"/>
      <c r="M2867" t="inlineStr"/>
      <c r="N2867" t="inlineStr"/>
      <c r="O2867">
        <f>(1-Summary!$B$11)*T2867+Summary!$B$11*V2867</f>
        <v/>
      </c>
      <c r="P2867">
        <f>IF(B2890=0,0,O2867/B2890)</f>
        <v/>
      </c>
      <c r="Q2867" t="n">
        <v>0</v>
      </c>
      <c r="R2867" t="n">
        <v>0</v>
      </c>
      <c r="S2867">
        <f>IFERROR(O2867/N2867,0)</f>
        <v/>
      </c>
      <c r="T2867" t="n">
        <v>0</v>
      </c>
      <c r="V2867" t="n">
        <v>0</v>
      </c>
    </row>
    <row r="2868">
      <c r="A2868">
        <f>Skills!A14</f>
        <v/>
      </c>
      <c r="B2868">
        <f>Skills!B14</f>
        <v/>
      </c>
      <c r="C2868">
        <f>Inputs!$B$3&gt;=107</f>
        <v/>
      </c>
      <c r="D2868">
        <f>IF(Skills!C14=1,60+Inputs!$B$25+Inputs!$B$29,IF(Skills!C14=2,90+Inputs!$B$26+Inputs!$B$29,IF(Skills!C14=3,120+Inputs!$B$27+Inputs!$B$29,MAX(0,(Inputs!$B$3-100)*3)+Inputs!$B$28+Inputs!$B$29)))</f>
        <v/>
      </c>
      <c r="E2868">
        <f>INDEX(FactorTable!$B$2:$Y$301, MATCH(ROUND(MIN(300,MAX(1,D2868)),0), FactorTable!$A$2:$A$301,0), Skills!M14+1)</f>
        <v/>
      </c>
      <c r="F2868">
        <f>IF(Skills!N14=TRUE,(Skills!L14/10)*(E2868/1000),Skills!L14/10)+Skills!O14</f>
        <v/>
      </c>
      <c r="G2868">
        <f>Skills!G14*IF(Skills!H14&gt;0,Skills!I14/Skills!H14,1)</f>
        <v/>
      </c>
      <c r="H2868">
        <f>1-(1-Skills!J14/100)^Skills!K14</f>
        <v/>
      </c>
      <c r="I2868" t="inlineStr">
        <is>
          <t>1</t>
        </is>
      </c>
      <c r="J2868" t="inlineStr"/>
      <c r="K2868" t="inlineStr"/>
      <c r="L2868" t="inlineStr"/>
      <c r="M2868" t="inlineStr"/>
      <c r="N2868" t="inlineStr"/>
      <c r="O2868">
        <f>(1-Summary!$B$11)*T2868+Summary!$B$11*V2868</f>
        <v/>
      </c>
      <c r="P2868">
        <f>IF(B2890=0,0,O2868/B2890)</f>
        <v/>
      </c>
      <c r="Q2868">
        <f>IFERROR(1/(IF(Inputs!$B$38="pvp",15,MAX(0.1,Skills!D14-IF(Skills!E14=TRUE,5.0,0)))*(1-IF(AND(ArtifactsInput!$M$27,Inputs!$B$4="Chapter Hunt"),CHOOSE(ArtifactsInput!$N$27+1,20,24,28,32,36,40),0)/100)),0)</f>
        <v/>
      </c>
      <c r="R2868">
        <f>IF(AND(Inputs!$B$38&lt;&gt;"pvp",Inputs!$B$43&gt;0),IF(Inputs!$B$43&lt;=0,0,(INT(Inputs!$B$43/(IF(Inputs!$B$38="pvp",15,MAX(0.1,Skills!D14-IF(Skills!E14=TRUE,5.0,0)))*(1-IF(AND(ArtifactsInput!$M$27,Inputs!$B$4="Chapter Hunt"),CHOOSE(ArtifactsInput!$N$27+1,20,24,28,32,36,40),0)/100)))+1)),0)</f>
        <v/>
      </c>
      <c r="S2868">
        <f>IFERROR(O2868/N2868,0)</f>
        <v/>
      </c>
      <c r="T2868" t="n">
        <v>0</v>
      </c>
      <c r="V2868" t="n">
        <v>0</v>
      </c>
    </row>
    <row r="2869">
      <c r="A2869">
        <f>Skills!A15</f>
        <v/>
      </c>
      <c r="B2869">
        <f>Skills!B15</f>
        <v/>
      </c>
      <c r="C2869">
        <f>Inputs!$B$3&gt;=115</f>
        <v/>
      </c>
      <c r="D2869">
        <f>IF(Skills!C15=1,60+Inputs!$B$25+Inputs!$B$29,IF(Skills!C15=2,90+Inputs!$B$26+Inputs!$B$29,IF(Skills!C15=3,120+Inputs!$B$27+Inputs!$B$29,MAX(0,(Inputs!$B$3-100)*3)+Inputs!$B$28+Inputs!$B$29)))</f>
        <v/>
      </c>
      <c r="E2869">
        <f>INDEX(FactorTable!$B$2:$Y$301, MATCH(ROUND(MIN(300,MAX(1,D2869)),0), FactorTable!$A$2:$A$301,0), Skills!M15+1)</f>
        <v/>
      </c>
      <c r="F2869">
        <f>IF(Skills!N15=TRUE,(Skills!L15/10)*(E2869/1000),Skills!L15/10)+Skills!O15</f>
        <v/>
      </c>
      <c r="G2869">
        <f>Skills!G15*IF(Skills!H15&gt;0,Skills!I15/Skills!H15,1)</f>
        <v/>
      </c>
      <c r="H2869">
        <f>1-(1-Skills!J15/100)^Skills!K15</f>
        <v/>
      </c>
      <c r="I2869" t="inlineStr">
        <is>
          <t>1</t>
        </is>
      </c>
      <c r="J2869" t="inlineStr"/>
      <c r="K2869" t="inlineStr"/>
      <c r="L2869" t="inlineStr"/>
      <c r="M2869" t="inlineStr"/>
      <c r="N2869" t="inlineStr"/>
      <c r="O2869">
        <f>(1-Summary!$B$11)*T2869+Summary!$B$11*V2869</f>
        <v/>
      </c>
      <c r="P2869">
        <f>IF(B2890=0,0,O2869/B2890)</f>
        <v/>
      </c>
      <c r="Q2869">
        <f>IFERROR(1/(IF(Inputs!$B$38="pvp",15,MAX(0.1,Skills!D15-IF(Skills!E15=TRUE,5.0,0)))*(1-IF(AND(ArtifactsInput!$M$27,Inputs!$B$4="Chapter Hunt"),CHOOSE(ArtifactsInput!$N$27+1,20,24,28,32,36,40),0)/100)),0)</f>
        <v/>
      </c>
      <c r="R2869">
        <f>IF(AND(Inputs!$B$38&lt;&gt;"pvp",Inputs!$B$43&gt;0),IF(Inputs!$B$43&lt;=0,0,(INT(Inputs!$B$43/(IF(Inputs!$B$38="pvp",15,MAX(0.1,Skills!D15-IF(Skills!E15=TRUE,5.0,0)))*(1-IF(AND(ArtifactsInput!$M$27,Inputs!$B$4="Chapter Hunt"),CHOOSE(ArtifactsInput!$N$27+1,20,24,28,32,36,40),0)/100)))+1)),0)</f>
        <v/>
      </c>
      <c r="S2869">
        <f>IFERROR(O2869/N2869,0)</f>
        <v/>
      </c>
      <c r="T2869" t="n">
        <v>0</v>
      </c>
      <c r="V2869" t="n">
        <v>0</v>
      </c>
    </row>
    <row r="2870">
      <c r="A2870">
        <f>Skills!A16</f>
        <v/>
      </c>
      <c r="B2870">
        <f>Skills!B16</f>
        <v/>
      </c>
      <c r="C2870">
        <f>Inputs!$B$3&gt;=15</f>
        <v/>
      </c>
      <c r="D2870">
        <f>IF(Skills!C16=1,60+Inputs!$B$25+Inputs!$B$29,IF(Skills!C16=2,90+Inputs!$B$26+Inputs!$B$29,IF(Skills!C16=3,120+Inputs!$B$27+Inputs!$B$29,MAX(0,(Inputs!$B$3-100)*3)+Inputs!$B$28+Inputs!$B$29)))</f>
        <v/>
      </c>
      <c r="E2870">
        <f>INDEX(FactorTable!$B$2:$Y$301, MATCH(ROUND(MIN(300,MAX(1,D2870)),0), FactorTable!$A$2:$A$301,0), Skills!M16+1)</f>
        <v/>
      </c>
      <c r="F2870">
        <f>IF(Skills!N16=TRUE,(Skills!L16/10)*(E2870/1000),Skills!L16/10)+Skills!O16</f>
        <v/>
      </c>
      <c r="G2870">
        <f>Skills!G16*IF(Skills!H16&gt;0,Skills!I16/Skills!H16,1)</f>
        <v/>
      </c>
      <c r="H2870">
        <f>1-(1-Skills!J16/100)^Skills!K16</f>
        <v/>
      </c>
      <c r="I2870" t="inlineStr">
        <is>
          <t>1</t>
        </is>
      </c>
      <c r="J2870" t="inlineStr"/>
      <c r="K2870" t="inlineStr"/>
      <c r="L2870" t="inlineStr"/>
      <c r="M2870" t="inlineStr"/>
      <c r="N2870" t="inlineStr"/>
      <c r="O2870">
        <f>(1-Summary!$B$11)*T2870+Summary!$B$11*V2870</f>
        <v/>
      </c>
      <c r="P2870">
        <f>IF(B2890=0,0,O2870/B2890)</f>
        <v/>
      </c>
      <c r="Q2870" t="n">
        <v>0</v>
      </c>
      <c r="R2870" t="n">
        <v>0</v>
      </c>
      <c r="S2870">
        <f>IFERROR(O2870/N2870,0)</f>
        <v/>
      </c>
      <c r="T2870" t="n">
        <v>0</v>
      </c>
      <c r="V2870" t="n">
        <v>0</v>
      </c>
    </row>
    <row r="2871">
      <c r="A2871">
        <f>Skills!A17</f>
        <v/>
      </c>
      <c r="B2871">
        <f>Skills!B17</f>
        <v/>
      </c>
      <c r="C2871">
        <f>Inputs!$B$3&gt;=10</f>
        <v/>
      </c>
      <c r="D2871">
        <f>IF(Skills!C17=1,60+Inputs!$B$25+Inputs!$B$29,IF(Skills!C17=2,90+Inputs!$B$26+Inputs!$B$29,IF(Skills!C17=3,120+Inputs!$B$27+Inputs!$B$29,MAX(0,(Inputs!$B$3-100)*3)+Inputs!$B$28+Inputs!$B$29)))</f>
        <v/>
      </c>
      <c r="E2871">
        <f>INDEX(FactorTable!$B$2:$Y$301, MATCH(ROUND(MIN(300,MAX(1,D2871)),0), FactorTable!$A$2:$A$301,0), Skills!M17+1)</f>
        <v/>
      </c>
      <c r="F2871">
        <f>IF(Skills!N17=TRUE,(Skills!L17/10)*(E2871/1000),Skills!L17/10)+Skills!O17</f>
        <v/>
      </c>
      <c r="G2871">
        <f>Skills!G17*IF(Skills!H17&gt;0,Skills!I17/Skills!H17,1)</f>
        <v/>
      </c>
      <c r="H2871">
        <f>1-(1-Skills!J17/100)^Skills!K17</f>
        <v/>
      </c>
      <c r="I2871" t="inlineStr">
        <is>
          <t>1</t>
        </is>
      </c>
      <c r="J2871" t="inlineStr"/>
      <c r="K2871" t="inlineStr"/>
      <c r="L2871" t="inlineStr"/>
      <c r="M2871" t="inlineStr"/>
      <c r="N2871" t="inlineStr"/>
      <c r="O2871">
        <f>(1-Summary!$B$11)*T2871+Summary!$B$11*V2871</f>
        <v/>
      </c>
      <c r="P2871">
        <f>IF(B2890=0,0,O2871/B2890)</f>
        <v/>
      </c>
      <c r="Q2871" t="n">
        <v>0</v>
      </c>
      <c r="R2871" t="n">
        <v>0</v>
      </c>
      <c r="S2871">
        <f>IFERROR(O2871/N2871,0)</f>
        <v/>
      </c>
      <c r="T2871" t="n">
        <v>0</v>
      </c>
      <c r="V2871" t="n">
        <v>0</v>
      </c>
    </row>
    <row r="2872">
      <c r="A2872">
        <f>Skills!A18</f>
        <v/>
      </c>
      <c r="B2872">
        <f>Skills!B18</f>
        <v/>
      </c>
      <c r="C2872">
        <f>Inputs!$B$3&gt;=33</f>
        <v/>
      </c>
      <c r="D2872">
        <f>IF(Skills!C18=1,60+Inputs!$B$25+Inputs!$B$29,IF(Skills!C18=2,90+Inputs!$B$26+Inputs!$B$29,IF(Skills!C18=3,120+Inputs!$B$27+Inputs!$B$29,MAX(0,(Inputs!$B$3-100)*3)+Inputs!$B$28+Inputs!$B$29)))</f>
        <v/>
      </c>
      <c r="E2872">
        <f>INDEX(FactorTable!$B$2:$Y$301, MATCH(ROUND(MIN(300,MAX(1,D2872)),0), FactorTable!$A$2:$A$301,0), Skills!M18+1)</f>
        <v/>
      </c>
      <c r="F2872">
        <f>IF(Skills!N18=TRUE,(Skills!L18/10)*(E2872/1000),Skills!L18/10)+Skills!O18</f>
        <v/>
      </c>
      <c r="G2872">
        <f>Skills!G18*IF(Skills!H18&gt;0,Skills!I18/Skills!H18,1)</f>
        <v/>
      </c>
      <c r="H2872">
        <f>1-(1-Skills!J18/100)^Skills!K18</f>
        <v/>
      </c>
      <c r="I2872" t="inlineStr">
        <is>
          <t>1</t>
        </is>
      </c>
      <c r="J2872" t="inlineStr"/>
      <c r="K2872" t="inlineStr"/>
      <c r="L2872" t="inlineStr"/>
      <c r="M2872" t="inlineStr"/>
      <c r="N2872" t="inlineStr"/>
      <c r="O2872">
        <f>(1-Summary!$B$11)*T2872+Summary!$B$11*V2872</f>
        <v/>
      </c>
      <c r="P2872">
        <f>IF(B2890=0,0,O2872/B2890)</f>
        <v/>
      </c>
      <c r="Q2872" t="n">
        <v>0</v>
      </c>
      <c r="R2872" t="n">
        <v>0</v>
      </c>
      <c r="S2872">
        <f>IFERROR(O2872/N2872,0)</f>
        <v/>
      </c>
      <c r="T2872" t="n">
        <v>0</v>
      </c>
      <c r="V2872" t="n">
        <v>0</v>
      </c>
    </row>
    <row r="2873">
      <c r="A2873">
        <f>Skills!A19</f>
        <v/>
      </c>
      <c r="B2873">
        <f>Skills!B19</f>
        <v/>
      </c>
      <c r="C2873">
        <f>Inputs!$B$3&gt;=40</f>
        <v/>
      </c>
      <c r="D2873">
        <f>IF(Skills!C19=1,60+Inputs!$B$25+Inputs!$B$29,IF(Skills!C19=2,90+Inputs!$B$26+Inputs!$B$29,IF(Skills!C19=3,120+Inputs!$B$27+Inputs!$B$29,MAX(0,(Inputs!$B$3-100)*3)+Inputs!$B$28+Inputs!$B$29)))</f>
        <v/>
      </c>
      <c r="E2873">
        <f>INDEX(FactorTable!$B$2:$Y$301, MATCH(ROUND(MIN(300,MAX(1,D2873)),0), FactorTable!$A$2:$A$301,0), Skills!M19+1)</f>
        <v/>
      </c>
      <c r="F2873">
        <f>IF(Skills!N19=TRUE,(Skills!L19/10)*(E2873/1000),Skills!L19/10)+Skills!O19</f>
        <v/>
      </c>
      <c r="G2873">
        <f>Skills!G19*IF(Skills!H19&gt;0,Skills!I19/Skills!H19,1)</f>
        <v/>
      </c>
      <c r="H2873">
        <f>1-(1-Skills!J19/100)^Skills!K19</f>
        <v/>
      </c>
      <c r="I2873" t="inlineStr">
        <is>
          <t>1</t>
        </is>
      </c>
      <c r="J2873" t="inlineStr"/>
      <c r="K2873" t="inlineStr"/>
      <c r="L2873" t="inlineStr"/>
      <c r="M2873" t="inlineStr"/>
      <c r="N2873" t="inlineStr"/>
      <c r="O2873">
        <f>(1-Summary!$B$11)*T2873+Summary!$B$11*V2873</f>
        <v/>
      </c>
      <c r="P2873">
        <f>IF(B2890=0,0,O2873/B2890)</f>
        <v/>
      </c>
      <c r="Q2873" t="n">
        <v>0</v>
      </c>
      <c r="R2873" t="n">
        <v>0</v>
      </c>
      <c r="S2873">
        <f>IFERROR(O2873/N2873,0)</f>
        <v/>
      </c>
      <c r="T2873" t="n">
        <v>0</v>
      </c>
      <c r="V2873" t="n">
        <v>0</v>
      </c>
    </row>
    <row r="2874">
      <c r="A2874">
        <f>Skills!A20</f>
        <v/>
      </c>
      <c r="B2874">
        <f>Skills!B20</f>
        <v/>
      </c>
      <c r="C2874">
        <f>Inputs!$B$3&gt;=43</f>
        <v/>
      </c>
      <c r="D2874">
        <f>IF(Skills!C20=1,60+Inputs!$B$25+Inputs!$B$29,IF(Skills!C20=2,90+Inputs!$B$26+Inputs!$B$29,IF(Skills!C20=3,120+Inputs!$B$27+Inputs!$B$29,MAX(0,(Inputs!$B$3-100)*3)+Inputs!$B$28+Inputs!$B$29)))</f>
        <v/>
      </c>
      <c r="E2874">
        <f>INDEX(FactorTable!$B$2:$Y$301, MATCH(ROUND(MIN(300,MAX(1,D2874)),0), FactorTable!$A$2:$A$301,0), Skills!M20+1)</f>
        <v/>
      </c>
      <c r="F2874">
        <f>IF(Skills!N20=TRUE,(Skills!L20/10)*(E2874/1000),Skills!L20/10)+Skills!O20</f>
        <v/>
      </c>
      <c r="G2874">
        <f>Skills!G20*IF(Skills!H20&gt;0,Skills!I20/Skills!H20,1)</f>
        <v/>
      </c>
      <c r="H2874">
        <f>1-(1-Skills!J20/100)^Skills!K20</f>
        <v/>
      </c>
      <c r="I2874" t="inlineStr">
        <is>
          <t>1</t>
        </is>
      </c>
      <c r="J2874" t="inlineStr"/>
      <c r="K2874" t="inlineStr"/>
      <c r="L2874" t="inlineStr"/>
      <c r="M2874" t="inlineStr"/>
      <c r="N2874" t="inlineStr"/>
      <c r="O2874">
        <f>(1-Summary!$B$11)*T2874+Summary!$B$11*V2874</f>
        <v/>
      </c>
      <c r="P2874">
        <f>IF(B2890=0,0,O2874/B2890)</f>
        <v/>
      </c>
      <c r="Q2874" t="n">
        <v>0</v>
      </c>
      <c r="R2874" t="n">
        <v>0</v>
      </c>
      <c r="S2874">
        <f>IFERROR(O2874/N2874,0)</f>
        <v/>
      </c>
      <c r="T2874" t="n">
        <v>0</v>
      </c>
      <c r="V2874" t="n">
        <v>0</v>
      </c>
    </row>
    <row r="2875">
      <c r="A2875">
        <f>Skills!A21</f>
        <v/>
      </c>
      <c r="B2875">
        <f>Skills!B21</f>
        <v/>
      </c>
      <c r="C2875">
        <f>Inputs!$B$3&gt;=38</f>
        <v/>
      </c>
      <c r="D2875">
        <f>IF(Skills!C21=1,60+Inputs!$B$25+Inputs!$B$29,IF(Skills!C21=2,90+Inputs!$B$26+Inputs!$B$29,IF(Skills!C21=3,120+Inputs!$B$27+Inputs!$B$29,MAX(0,(Inputs!$B$3-100)*3)+Inputs!$B$28+Inputs!$B$29)))</f>
        <v/>
      </c>
      <c r="E2875">
        <f>INDEX(FactorTable!$B$2:$Y$301, MATCH(ROUND(MIN(300,MAX(1,D2875)),0), FactorTable!$A$2:$A$301,0), Skills!M21+1)</f>
        <v/>
      </c>
      <c r="F2875">
        <f>IF(Skills!N21=TRUE,(Skills!L21/10)*(E2875/1000),Skills!L21/10)+Skills!O21</f>
        <v/>
      </c>
      <c r="G2875">
        <f>Skills!G21*IF(Skills!H21&gt;0,Skills!I21/Skills!H21,1)</f>
        <v/>
      </c>
      <c r="H2875">
        <f>1-(1-Skills!J21/100)^Skills!K21</f>
        <v/>
      </c>
      <c r="I2875" t="inlineStr">
        <is>
          <t>1</t>
        </is>
      </c>
      <c r="J2875" t="inlineStr"/>
      <c r="K2875" t="inlineStr"/>
      <c r="L2875" t="inlineStr"/>
      <c r="M2875" t="inlineStr"/>
      <c r="N2875" t="inlineStr"/>
      <c r="O2875">
        <f>(1-Summary!$B$11)*T2875+Summary!$B$11*V2875</f>
        <v/>
      </c>
      <c r="P2875">
        <f>IF(B2890=0,0,O2875/B2890)</f>
        <v/>
      </c>
      <c r="Q2875" t="n">
        <v>0</v>
      </c>
      <c r="R2875" t="n">
        <v>0</v>
      </c>
      <c r="S2875">
        <f>IFERROR(O2875/N2875,0)</f>
        <v/>
      </c>
      <c r="T2875" t="n">
        <v>0</v>
      </c>
      <c r="V2875" t="n">
        <v>0</v>
      </c>
    </row>
    <row r="2876">
      <c r="A2876">
        <f>Skills!A22</f>
        <v/>
      </c>
      <c r="B2876">
        <f>Skills!B22</f>
        <v/>
      </c>
      <c r="C2876">
        <f>Inputs!$B$3&gt;=75</f>
        <v/>
      </c>
      <c r="D2876">
        <f>IF(Skills!C22=1,60+Inputs!$B$25+Inputs!$B$29,IF(Skills!C22=2,90+Inputs!$B$26+Inputs!$B$29,IF(Skills!C22=3,120+Inputs!$B$27+Inputs!$B$29,MAX(0,(Inputs!$B$3-100)*3)+Inputs!$B$28+Inputs!$B$29)))</f>
        <v/>
      </c>
      <c r="E2876">
        <f>INDEX(FactorTable!$B$2:$Y$301, MATCH(ROUND(MIN(300,MAX(1,D2876)),0), FactorTable!$A$2:$A$301,0), Skills!M22+1)</f>
        <v/>
      </c>
      <c r="F2876">
        <f>IF(Skills!N22=TRUE,(Skills!L22/10)*(E2876/1000),Skills!L22/10)+Skills!O22</f>
        <v/>
      </c>
      <c r="G2876">
        <f>Skills!G22*IF(Skills!H22&gt;0,Skills!I22/Skills!H22,1)</f>
        <v/>
      </c>
      <c r="H2876">
        <f>1-(1-Skills!J22/100)^Skills!K22</f>
        <v/>
      </c>
      <c r="I2876" t="inlineStr">
        <is>
          <t>1</t>
        </is>
      </c>
      <c r="J2876" t="inlineStr"/>
      <c r="K2876" t="inlineStr"/>
      <c r="L2876" t="inlineStr"/>
      <c r="M2876" t="inlineStr"/>
      <c r="N2876" t="inlineStr"/>
      <c r="O2876">
        <f>(1-Summary!$B$11)*T2876+Summary!$B$11*V2876</f>
        <v/>
      </c>
      <c r="P2876">
        <f>IF(B2890=0,0,O2876/B2890)</f>
        <v/>
      </c>
      <c r="Q2876" t="n">
        <v>0</v>
      </c>
      <c r="R2876" t="n">
        <v>0</v>
      </c>
      <c r="S2876">
        <f>IFERROR(O2876/N2876,0)</f>
        <v/>
      </c>
      <c r="T2876" t="n">
        <v>0</v>
      </c>
      <c r="V2876" t="n">
        <v>0</v>
      </c>
    </row>
    <row r="2877">
      <c r="A2877">
        <f>Skills!A23</f>
        <v/>
      </c>
      <c r="B2877">
        <f>Skills!B23</f>
        <v/>
      </c>
      <c r="C2877">
        <f>TRUE</f>
        <v/>
      </c>
      <c r="D2877">
        <f>IF(Skills!C23=1,60+Inputs!$B$25+Inputs!$B$29,IF(Skills!C23=2,90+Inputs!$B$26+Inputs!$B$29,IF(Skills!C23=3,120+Inputs!$B$27+Inputs!$B$29,MAX(0,(Inputs!$B$3-100)*3)+Inputs!$B$28+Inputs!$B$29)))</f>
        <v/>
      </c>
      <c r="E2877">
        <f>INDEX(FactorTable!$B$2:$Y$301, MATCH(ROUND(MIN(300,MAX(1,D2877)),0), FactorTable!$A$2:$A$301,0), Skills!M23+1)</f>
        <v/>
      </c>
      <c r="F2877">
        <f>IF(Skills!N23=TRUE,(Skills!L23/10)*(E2877/1000),Skills!L23/10)+Skills!O23</f>
        <v/>
      </c>
      <c r="G2877">
        <f>Skills!G23*IF(Skills!H23&gt;0,Skills!I23/Skills!H23,1)</f>
        <v/>
      </c>
      <c r="H2877">
        <f>1-(1-Skills!J23/100)^Skills!K23</f>
        <v/>
      </c>
      <c r="I2877" t="inlineStr">
        <is>
          <t>1</t>
        </is>
      </c>
      <c r="J2877" t="inlineStr"/>
      <c r="K2877" t="inlineStr"/>
      <c r="L2877" t="inlineStr"/>
      <c r="M2877" t="inlineStr"/>
      <c r="N2877" t="inlineStr"/>
      <c r="O2877">
        <f>(1-Summary!$B$11)*T2877+Summary!$B$11*V2877</f>
        <v/>
      </c>
      <c r="P2877">
        <f>IF(B2890=0,0,O2877/B2890)</f>
        <v/>
      </c>
      <c r="Q2877">
        <f>IFERROR(1/(IF(Inputs!$B$38="pvp",15,MAX(0.1,Skills!D23-IF(Skills!E23=TRUE,5.0,0)))*(1-IF(AND(ArtifactsInput!$M$27,Inputs!$B$4="Chapter Hunt"),CHOOSE(ArtifactsInput!$N$27+1,20,24,28,32,36,40),0)/100)),0)</f>
        <v/>
      </c>
      <c r="R2877">
        <f>IF(AND(Inputs!$B$38&lt;&gt;"pvp",Inputs!$B$43&gt;0),IF(Inputs!$B$43&lt;=0,0,(INT(Inputs!$B$43/(IF(Inputs!$B$38="pvp",15,MAX(0.1,Skills!D23-IF(Skills!E23=TRUE,5.0,0)))*(1-IF(AND(ArtifactsInput!$M$27,Inputs!$B$4="Chapter Hunt"),CHOOSE(ArtifactsInput!$N$27+1,20,24,28,32,36,40),0)/100)))+1)),0)</f>
        <v/>
      </c>
      <c r="S2877">
        <f>IFERROR(O2877/N2877,0)</f>
        <v/>
      </c>
      <c r="T2877" t="n">
        <v>0</v>
      </c>
      <c r="V2877" t="n">
        <v>0</v>
      </c>
    </row>
    <row r="2879">
      <c r="A2879" t="inlineStr">
        <is>
          <t>Attack% Bucket Multiplier</t>
        </is>
      </c>
      <c r="B2879">
        <f>(1+(((C2867=TRUE)*F2867*5/7)+((C2873=TRUE)*(F2873-Calc!F19))+(IF(ArtifactsInput!$M$21,CHOOSE(ArtifactsInput!$N$21+1,25,30,35,40,45,50)*(IF(OR(Inputs!$B$4="Chapter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80">
      <c r="A2880" t="inlineStr">
        <is>
          <t>Global Crit Rate Bonus %</t>
        </is>
      </c>
      <c r="B2880" t="n">
        <v>0</v>
      </c>
    </row>
    <row r="2881">
      <c r="A2881" t="inlineStr">
        <is>
          <t>Attack Speed Buff Bonus % (Nimble Feet, duty-cycle averaged)</t>
        </is>
      </c>
      <c r="B2881">
        <f>((C2877=TRUE)*F2877*IF(AND(Inputs!$B$38&lt;&gt;"pvp",Inputs!$B$43&gt;0),(((R2877-1)*(Skills!T23*(1+Inputs!$B$34/100))+MIN((Skills!T23*(1+Inputs!$B$34/100)),MAX(0,Inputs!$B$43-((R2877-1)*Skills!D23))))/Inputs!$B$43),IF(Inputs!$B$38="pvp",MIN((Skills!T23*(1+Inputs!$B$34/100)),15)/15,(Skills!T23*(1+Inputs!$B$34/100))/Skills!D23)))</f>
        <v/>
      </c>
    </row>
    <row r="2882">
      <c r="A2882" t="inlineStr">
        <is>
          <t>Actions Per Second</t>
        </is>
      </c>
      <c r="B2882">
        <f>1+MIN(150,150*(1-(1-(Inputs!$B$11+((C2871=TRUE)*(F2871-Calc!F17))+((C2872=TRUE)*(F2872-Calc!F18)))/150)*(1-B2881/150)))/100</f>
        <v/>
      </c>
    </row>
    <row r="2883">
      <c r="A2883" t="inlineStr">
        <is>
          <t>Skill + Buff Cast Rate</t>
        </is>
      </c>
      <c r="B2883">
        <f>IF(AND(Inputs!$B$38&lt;&gt;"pvp",Inputs!$B$43&gt;0),SUMPRODUCT((Skills!E2:E23=TRUE)*(C2856:C2877=TRUE)*R2856:R2877*Skills!F2:F23)/Inputs!$B$43,SUMPRODUCT((Skills!E2:E23=TRUE)*(C2856:C2877=TRUE)*Q2856:Q2877*Skills!F2:F23))</f>
        <v/>
      </c>
    </row>
    <row r="2884">
      <c r="A2884" t="inlineStr">
        <is>
          <t>Hook Bomber Casts Per Second</t>
        </is>
      </c>
      <c r="B2884">
        <f>MAX(0,B2882-B2883)</f>
        <v/>
      </c>
    </row>
    <row r="2885">
      <c r="A2885" t="inlineStr">
        <is>
          <t>Global Critical Damage Bonus % (unused)</t>
        </is>
      </c>
      <c r="B2885" t="n">
        <v>0</v>
      </c>
    </row>
    <row r="2886">
      <c r="A2886" t="inlineStr">
        <is>
          <t>Global Final Damage Bonus % (Serpent Scale + Crossbones + Time Leap + Speed Infusion)</t>
        </is>
      </c>
      <c r="B2886">
        <f>((C2859=TRUE)*F2859*((10+IF(Inputs!$B$3&gt;=94,5,0))/((10+IF(Inputs!$B$3&gt;=94,5,0))+5/(B2884*(1+IF(Inputs!$B$3&gt;=104,1,0))))))+((C2868=TRUE)*F2868*IF(AND(Inputs!$B$38&lt;&gt;"pvp",Inputs!$B$43&gt;0),(((R2868-1)*(Skills!T14*(1+Inputs!$B$34/100))+MIN((Skills!T14*(1+Inputs!$B$34/100)),MAX(0,Inputs!$B$43-((R2868-1)*Skills!D14))))/Inputs!$B$43),IF(Inputs!$B$38="pvp",MIN((Skills!T14*(1+Inputs!$B$34/100)),15)/15,(Skills!T14*(1+Inputs!$B$34/100))/Skills!D14)))+((C2869=TRUE)*F2869*IF(AND(Inputs!$B$38&lt;&gt;"pvp",Inputs!$B$43&gt;0),(((R2869-1)*(Skills!T15*(1+Inputs!$B$34/100))+MIN((Skills!T15*(1+Inputs!$B$34/100)),MAX(0,Inputs!$B$43-((R2869-1)*Skills!D15))))/Inputs!$B$43),IF(Inputs!$B$38="pvp",MIN((Skills!T15*(1+Inputs!$B$34/100)),15)/15,(Skills!T15*(1+Inputs!$B$34/100))/Skills!D15)))+((Inputs!$B$3&gt;=110)*20*(B2882-1)*IF(Inputs!$B$38="pvp",MIN((15*(1+Inputs!$B$34/100)),15)/15,(15*(1+Inputs!$B$34/100))/35))</f>
        <v/>
      </c>
    </row>
    <row r="2887">
      <c r="A2887" t="inlineStr">
        <is>
          <t>Buff-Casting Startup Delay (s, fixed-duration only)</t>
        </is>
      </c>
      <c r="B2887">
        <f>IF(AND(Inputs!$B$38&lt;&gt;"pvp",Inputs!$B$43&gt;0),SUMPRODUCT((Skills!T2:T23&gt;0)*(Skills!E2:E23=TRUE)*(C2856:C2877=TRUE))/B2882,0)</f>
        <v/>
      </c>
    </row>
    <row r="2888">
      <c r="A2888" t="inlineStr">
        <is>
          <t>Boss-Only Total DPS (this block's swept value)</t>
        </is>
      </c>
      <c r="B2888">
        <f>SUM(T2856:T2877)</f>
        <v/>
      </c>
    </row>
    <row r="2889">
      <c r="A2889" t="inlineStr">
        <is>
          <t>Normal-Only Total DPS (this block's swept value)</t>
        </is>
      </c>
      <c r="B2889">
        <f>SUM(V2856:V2877)</f>
        <v/>
      </c>
    </row>
    <row r="2890">
      <c r="A2890" s="6" t="inlineStr">
        <is>
          <t>TOTAL DPS</t>
        </is>
      </c>
      <c r="B2890" s="6">
        <f>SUM(O2856:O2877)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Buccaneer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%",IF(Inputs!$B$9&gt;=100,Sensitivity!H16,Sensitivity!H15),IF(B6="Critical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%",IF(Inputs!$B$9&gt;=100,Sensitivity!H16,Sensitivity!H15),IF(I6="Critical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%",IF(Inputs!$B$9&gt;=100,Sensitivity!H16,Sensitivity!H15),IF(B7="Critical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%",IF(Inputs!$B$9&gt;=100,Sensitivity!H16,Sensitivity!H15),IF(I7="Critical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%",IF(Inputs!$B$9&gt;=100,Sensitivity!H16,Sensitivity!H15),IF(B8="Critical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%",IF(Inputs!$B$9&gt;=100,Sensitivity!H16,Sensitivity!H15),IF(I8="Critical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%",IF(Inputs!$B$9&gt;=100,Sensitivity!H16,Sensitivity!H15),IF(B9="Critical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%",IF(Inputs!$B$9&gt;=100,Sensitivity!H16,Sensitivity!H15),IF(I9="Critical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%",IF(Inputs!$B$9&gt;=100,Sensitivity!H16,Sensitivity!H15),IF(B10="Critical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%",IF(Inputs!$B$9&gt;=100,Sensitivity!H16,Sensitivity!H15),IF(I10="Critical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f>Sensitivity!H7</f>
        <v/>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f>Sensitivity!H7</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f>Sensitivity!H7</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f>Sensitivity!H7</f>
        <v/>
      </c>
    </row>
    <row r="79">
      <c r="A79" t="inlineStr">
        <is>
          <t>ALL</t>
        </is>
      </c>
      <c r="B79" t="inlineStr">
        <is>
          <t>rare</t>
        </is>
      </c>
      <c r="C79" t="n">
        <v>2</v>
      </c>
      <c r="D79" t="inlineStr">
        <is>
          <t>Dex %</t>
        </is>
      </c>
      <c r="E79" t="n">
        <v>4.5</v>
      </c>
      <c r="F79" t="n">
        <v>1.08</v>
      </c>
      <c r="G79" t="b">
        <v>1</v>
      </c>
      <c r="H79">
        <f>Sensitivity!H7</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f>Sensitivity!H7</f>
        <v/>
      </c>
    </row>
    <row r="111">
      <c r="A111" t="inlineStr">
        <is>
          <t>ALL</t>
        </is>
      </c>
      <c r="B111" t="inlineStr">
        <is>
          <t>rare</t>
        </is>
      </c>
      <c r="C111" t="n">
        <v>3</v>
      </c>
      <c r="D111" t="inlineStr">
        <is>
          <t>Dex %</t>
        </is>
      </c>
      <c r="E111" t="n">
        <v>4.5</v>
      </c>
      <c r="F111" t="n">
        <v>0.36</v>
      </c>
      <c r="G111" t="b">
        <v>1</v>
      </c>
      <c r="H111">
        <f>Sensitivity!H7</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f>Sensitivity!H7</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f>Sensitivity!H7</f>
        <v/>
      </c>
    </row>
    <row r="159">
      <c r="A159" t="inlineStr">
        <is>
          <t>ALL</t>
        </is>
      </c>
      <c r="B159" t="inlineStr">
        <is>
          <t>epic</t>
        </is>
      </c>
      <c r="C159" t="n">
        <v>2</v>
      </c>
      <c r="D159" t="inlineStr">
        <is>
          <t>Dex %</t>
        </is>
      </c>
      <c r="E159" t="n">
        <v>6</v>
      </c>
      <c r="F159" t="n">
        <v>1.08</v>
      </c>
      <c r="G159" t="b">
        <v>1</v>
      </c>
      <c r="H159">
        <f>Sensitivity!H7</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f>Sensitivity!H7</f>
        <v/>
      </c>
    </row>
    <row r="191">
      <c r="A191" t="inlineStr">
        <is>
          <t>ALL</t>
        </is>
      </c>
      <c r="B191" t="inlineStr">
        <is>
          <t>epic</t>
        </is>
      </c>
      <c r="C191" t="n">
        <v>3</v>
      </c>
      <c r="D191" t="inlineStr">
        <is>
          <t>Dex %</t>
        </is>
      </c>
      <c r="E191" t="n">
        <v>6</v>
      </c>
      <c r="F191" t="n">
        <v>0.36</v>
      </c>
      <c r="G191" t="b">
        <v>1</v>
      </c>
      <c r="H191">
        <f>Sensitivity!H7</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f>Sensitivity!H7</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f>Sensitivity!H7</f>
        <v/>
      </c>
    </row>
    <row r="239">
      <c r="A239" t="inlineStr">
        <is>
          <t>ALL</t>
        </is>
      </c>
      <c r="B239" t="inlineStr">
        <is>
          <t>unique</t>
        </is>
      </c>
      <c r="C239" t="n">
        <v>2</v>
      </c>
      <c r="D239" t="inlineStr">
        <is>
          <t>Dex %</t>
        </is>
      </c>
      <c r="E239" t="n">
        <v>9</v>
      </c>
      <c r="F239" t="n">
        <v>1.08</v>
      </c>
      <c r="G239" t="b">
        <v>1</v>
      </c>
      <c r="H239">
        <f>Sensitivity!H7</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f>Sensitivity!H7</f>
        <v/>
      </c>
    </row>
    <row r="271">
      <c r="A271" t="inlineStr">
        <is>
          <t>ALL</t>
        </is>
      </c>
      <c r="B271" t="inlineStr">
        <is>
          <t>unique</t>
        </is>
      </c>
      <c r="C271" t="n">
        <v>3</v>
      </c>
      <c r="D271" t="inlineStr">
        <is>
          <t>Dex %</t>
        </is>
      </c>
      <c r="E271" t="n">
        <v>9</v>
      </c>
      <c r="F271" t="n">
        <v>0.36</v>
      </c>
      <c r="G271" t="b">
        <v>1</v>
      </c>
      <c r="H271">
        <f>Sensitivity!H7</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f>Sensitivity!H7</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f>Sensitivity!H7</f>
        <v/>
      </c>
    </row>
    <row r="319">
      <c r="A319" t="inlineStr">
        <is>
          <t>ALL</t>
        </is>
      </c>
      <c r="B319" t="inlineStr">
        <is>
          <t>legendary</t>
        </is>
      </c>
      <c r="C319" t="n">
        <v>2</v>
      </c>
      <c r="D319" t="inlineStr">
        <is>
          <t>Dex %</t>
        </is>
      </c>
      <c r="E319" t="n">
        <v>12</v>
      </c>
      <c r="F319" t="n">
        <v>1.08</v>
      </c>
      <c r="G319" t="b">
        <v>1</v>
      </c>
      <c r="H319">
        <f>Sensitivity!H7</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f>Sensitivity!H7</f>
        <v/>
      </c>
    </row>
    <row r="351">
      <c r="A351" t="inlineStr">
        <is>
          <t>ALL</t>
        </is>
      </c>
      <c r="B351" t="inlineStr">
        <is>
          <t>legendary</t>
        </is>
      </c>
      <c r="C351" t="n">
        <v>3</v>
      </c>
      <c r="D351" t="inlineStr">
        <is>
          <t>Dex %</t>
        </is>
      </c>
      <c r="E351" t="n">
        <v>12</v>
      </c>
      <c r="F351" t="n">
        <v>0.36</v>
      </c>
      <c r="G351" t="b">
        <v>1</v>
      </c>
      <c r="H351">
        <f>Sensitivity!H7</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f>Sensitivity!H7</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f>Sensitivity!H7</f>
        <v/>
      </c>
    </row>
    <row r="399">
      <c r="A399" t="inlineStr">
        <is>
          <t>ALL</t>
        </is>
      </c>
      <c r="B399" t="inlineStr">
        <is>
          <t>mystic</t>
        </is>
      </c>
      <c r="C399" t="n">
        <v>2</v>
      </c>
      <c r="D399" t="inlineStr">
        <is>
          <t>Dex %</t>
        </is>
      </c>
      <c r="E399" t="n">
        <v>15</v>
      </c>
      <c r="F399" t="n">
        <v>1.08</v>
      </c>
      <c r="G399" t="b">
        <v>1</v>
      </c>
      <c r="H399">
        <f>Sensitivity!H7</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f>Sensitivity!H7</f>
        <v/>
      </c>
    </row>
    <row r="431">
      <c r="A431" t="inlineStr">
        <is>
          <t>ALL</t>
        </is>
      </c>
      <c r="B431" t="inlineStr">
        <is>
          <t>mystic</t>
        </is>
      </c>
      <c r="C431" t="n">
        <v>3</v>
      </c>
      <c r="D431" t="inlineStr">
        <is>
          <t>Dex %</t>
        </is>
      </c>
      <c r="E431" t="n">
        <v>15</v>
      </c>
      <c r="F431" t="n">
        <v>0.36</v>
      </c>
      <c r="G431" t="b">
        <v>1</v>
      </c>
      <c r="H431">
        <f>Sensitivity!H7</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Buccaneer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2026-10-04T08:14:12Z</dcterms:created>
  <dcterms:modified xsi:type="dcterms:W3CDTF">2026-10-04T08:14:12Z</dcterms:modified>
</cp:coreProperties>
</file>