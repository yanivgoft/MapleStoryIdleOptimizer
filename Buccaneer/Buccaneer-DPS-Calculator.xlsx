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Data source (2026-10-21 audit): Buccaneer's numbers come from maplestoryidle.info's GAME CAPTURE (skill text + the game's own tables: ratios, factorIndices, hit/target counts, cooldowns, trigger rules), which beats the wiki (no Req.Level/Cooldown/Mastery data there). Unlock levels, cooldowns, factorIndices and the full mastery table are real; the few exceptions are marked FLAGGED ASSUMPTION in the Skills sheet notes (Serpent Assault / Raging Serpent Assault / Greater Sea Serpent I's 430% line use factorIndex 12 — no table ratio exists for them).</t>
        </is>
      </c>
    </row>
    <row r="12">
      <c r="A12" s="2" t="inlineStr">
        <is>
          <t>Sea Serpent Burst is an OnAttack passive on BASIC attacks with a 7s cooldown (5s from Lv78, 3s from Lv118) — NOT one burst per basic attack. Each activation grants 1 Serpent Scale (2 from Lv104); 5 scales -&gt; Assault Mode for 10s (15s from Lv94) with +25% Final Damage, during which the SAME trigger fires Serpent Assault instead (shared cooldown) and no scales are gained. Modeled as a smoothed steady-state cycle: activation interval T = cooldown + half a basic-attack period, Assault uptime u = A/(A + N*T). Greater Sea Serpent I (Lv72) / II (Lv110) are implemented (430% / +2 targets each / +100% Final Damage on Sea Serpent Burst only). Corkscrew Blow / Octopunch / Nautilus Strike / Speed Infusion / Crossbones / Time Leap cost action slots, which lowers the basic-attack rate and therefore lengthens T.</t>
        </is>
      </c>
    </row>
    <row r="13">
      <c r="A13" s="2" t="inlineStr">
        <is>
          <t>Octopunch + Sea Serpent's Rage (fires on every Octopunch, leaves an Assault Mark = +15% x f21 damage taken for 5s) + Raging Serpent Assault (only while in Assault Mode; 2 hits per 1s tick for 5s) all share Octopunch's live cooldown (16s, -30% from Lv134).</t>
        </is>
      </c>
    </row>
    <row r="14">
      <c r="A14" s="2" t="inlineStr">
        <is>
          <t>Nautilus Strike - Final Attack (Lv113): 30% chance per attack, 1s internal cooldown, modeled as (c*R)/(1+ICD*c*R) with R = the combined cast rate of Hook Bomber + Corkscrew Blow + Octopunch + Nautilus Strike (summons/passive procs excluded — assumption). Groggy Mastery's Aug-13 patch is a mechanic-TYPE change (generic 'damage +25%' became 'Final Damage +8%'); its Lv98 conditional +5% Final Damage (needs status effects) is not modeled.</t>
        </is>
      </c>
    </row>
    <row r="15">
      <c r="A15" s="2" t="inlineStr">
        <is>
          <t>Maple Hero: Serpent Assault 60%, Corkscrew Blow 40% (the earlier 'truncated text' gap is closed). Skill Cooldown Decrease applies to every cooldown (skills, buffs and passives alike).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(Corkscrew Blow's stun), Accuracy, Evasion, Defense, HP recovery, movement speed,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Somersault Kick/Shotgun Punch/Turning Kick): 290% damage to 6 target(s) in front 5 time(s). factorIndex 21, baseDamage 2900 tenths% (game table). HitsPerCast=5, bumping to 6 once Mastery Lv.136 'Hook Bomber - Strike' unlocks. Damage mastery chain (102/106/116/120/128/132): every tier is its own add-on (user-confirmed 2026-10-21: raw +10/+11/+12/+13/+14/+15 = 75% at max) and Boss Monster Damage chain (111/124, +10% each). No 'Final Attack' skill exists in Buccaneer's own kit (Nautilus Strike - Final Attack is separate).</t>
        </is>
      </c>
    </row>
    <row r="3">
      <c r="A3" t="inlineStr">
        <is>
          <t>SEA_SERPENT_BURST</t>
        </is>
      </c>
      <c r="B3" t="inlineStr">
        <is>
          <t>Sea Serpent Burst</t>
        </is>
      </c>
      <c r="C3">
        <f>IF(Inputs!$B$3&gt;=72,3,2)</f>
        <v/>
      </c>
      <c r="D3">
        <f>7-IF(Inputs!$B$3&gt;=78,2,0)-IF(Inputs!$B$3&gt;=118,2,0)</f>
        <v/>
      </c>
      <c r="E3" t="b">
        <v>0</v>
      </c>
      <c r="F3" t="n">
        <v>1</v>
      </c>
      <c r="G3">
        <f>2+IF(Inputs!$B$3&gt;=118,1,0)</f>
        <v/>
      </c>
      <c r="H3" t="n">
        <v>0</v>
      </c>
      <c r="I3" t="n">
        <v>0</v>
      </c>
      <c r="J3" t="n">
        <v>100</v>
      </c>
      <c r="K3" t="n">
        <v>1</v>
      </c>
      <c r="L3">
        <f>IF(Inputs!$B$3&gt;=72,4300,1300)</f>
        <v/>
      </c>
      <c r="M3" t="n">
        <v>12</v>
      </c>
      <c r="N3" t="b">
        <v>1</v>
      </c>
      <c r="O3">
        <f>SUMPRODUCT((Inputs!$B$3&gt;={39})*{50})</f>
        <v/>
      </c>
      <c r="P3" t="n">
        <v>0</v>
      </c>
      <c r="Q3" t="n">
        <v>0</v>
      </c>
      <c r="R3">
        <f>5+IF(Inputs!$B$3&gt;=72,2,0)+IF(Inputs!$B$3&gt;=110,2,0)</f>
        <v/>
      </c>
      <c r="S3" t="inlineStr"/>
      <c r="T3" t="n">
        <v>0</v>
      </c>
      <c r="U3" t="inlineStr"/>
      <c r="V3" t="inlineStr"/>
      <c r="W3" t="inlineStr">
        <is>
          <t>Game capture (maplestoryidle.info): 'When attacking with Basic Attack, Sea Serpent's waves always spread to deal 130% additional damage to 5 target(s) in front 2 time(s)', 7s COOLDOWN (game table cooldownMs 7000; PATCHED 40% chance -&gt; guaranteed). An earlier version fired it on EVERY basic attack with no cooldown (a large overcount of the whole Serpent kit). Modeled as an activation every T = cooldown + half a basic-attack period (Summary!SERPENT_T), weighted (1-u) by the Assault Mode uptime u (Summary!ASSAULT_U) — see the Assault-Mode economy comment in the build script (before Serpent Assault is unlocked at Lv69 nothing replaces it during Assault Mode, so it fires on every activation). Greater Sea Serpent I (Lv72, assumed slotted once unlocked): damage 130% -&gt; 430% (scaling with GSS I's 3rd-job skill level, so JobStep switches 2-&gt;3 and BaseDamage 1300-&gt;4300 at Lv72; factorIndex 12 is the burst convention — the 430% line has no ratio in the game tables, FLAGGED ASSUMPTION) and +2 max targets; Greater Sea Serpent II (Lv110): +2 more targets, +100% Final Damage (GSS_II_FD helper row, multiplicative on THIS row only). Masteries: Sea Serpent Burst - Damage +50% @39; GSS I - Reuse -2s @78; GSS II - Strike &amp; Reuse (+1 strike, -2s) @118.</t>
        </is>
      </c>
    </row>
    <row r="4">
      <c r="A4" t="inlineStr">
        <is>
          <t>SERPENT_ASSAULT</t>
        </is>
      </c>
      <c r="B4" t="inlineStr">
        <is>
          <t>Serpent Assault</t>
        </is>
      </c>
      <c r="C4" t="n">
        <v>3</v>
      </c>
      <c r="D4" t="inlineStr"/>
      <c r="E4" t="b">
        <v>0</v>
      </c>
      <c r="F4" t="n">
        <v>1</v>
      </c>
      <c r="G4" t="n">
        <v>3</v>
      </c>
      <c r="H4" t="n">
        <v>0</v>
      </c>
      <c r="I4" t="n">
        <v>0</v>
      </c>
      <c r="J4" t="n">
        <v>100</v>
      </c>
      <c r="K4" t="n">
        <v>1</v>
      </c>
      <c r="L4" t="n">
        <v>4800</v>
      </c>
      <c r="M4" t="n">
        <v>12</v>
      </c>
      <c r="N4" t="b">
        <v>1</v>
      </c>
      <c r="O4">
        <f>SUMPRODUCT((Inputs!$B$3&gt;={82})*{50})</f>
        <v/>
      </c>
      <c r="P4" t="n">
        <v>0</v>
      </c>
      <c r="Q4" t="n">
        <v>0</v>
      </c>
      <c r="R4" t="n">
        <v>12</v>
      </c>
      <c r="S4" t="inlineStr"/>
      <c r="T4" t="n">
        <v>0</v>
      </c>
      <c r="U4" t="n">
        <v>600</v>
      </c>
      <c r="V4" t="n">
        <v>23</v>
      </c>
      <c r="W4" t="inlineStr">
        <is>
          <t>Game capture: 'When attacking with Basic Attack in Assault Mode, activates instead of Sea Serpent Burst to deal 480% additional damage to 12 nearby target(s) 3 time(s)' — a 3rd-job skill (JobStep 3; an earlier version used JobStep 2). Shares Sea Serpent Burst's trigger and cooldown (game table), so it activates u/T per second (Assault uptime u, interval T). baseDamage 4800 tenths% (the real level-1 value; an earlier version doubled it to 4800 = 2 x 2400 to mimic GSS II, but GSS II's +100% Final Damage only applies to Sea Serpent Burst per the game table — Serpent Assault only receives Maple Hero). factorIndex 12 (burst convention — no ratio in the tables, FLAGGED ASSUMPTION). Mastery Lv.82 'Serpent Assault - Damage' +50%. Maple Hero 60% share (ratio 1.0) — see MAPLE_HERO_RATIOS.</t>
        </is>
      </c>
    </row>
    <row r="5">
      <c r="A5" t="inlineStr">
        <is>
          <t>SERPENT_SCALE_FD</t>
        </is>
      </c>
      <c r="B5" t="inlineStr">
        <is>
          <t>Serpent Scale (Assault Mode Final Damage)</t>
        </is>
      </c>
      <c r="C5" t="n">
        <v>3</v>
      </c>
      <c r="D5" t="inlineStr"/>
      <c r="E5" t="b">
        <v>0</v>
      </c>
      <c r="F5" t="n">
        <v>1</v>
      </c>
      <c r="G5" t="n">
        <v>1</v>
      </c>
      <c r="H5" t="n">
        <v>0</v>
      </c>
      <c r="I5" t="n">
        <v>0</v>
      </c>
      <c r="J5" t="n">
        <v>100</v>
      </c>
      <c r="K5" t="n">
        <v>1</v>
      </c>
      <c r="L5" t="n">
        <v>250</v>
      </c>
      <c r="M5" t="n">
        <v>21</v>
      </c>
      <c r="N5" t="b">
        <v>1</v>
      </c>
      <c r="O5" t="n">
        <v>0</v>
      </c>
      <c r="P5" t="n">
        <v>0</v>
      </c>
      <c r="Q5" t="n">
        <v>0</v>
      </c>
      <c r="R5" t="n">
        <v>0</v>
      </c>
      <c r="S5" t="inlineStr">
        <is>
          <t>FINAL_DAMAGE</t>
        </is>
      </c>
      <c r="T5" t="n">
        <v>0</v>
      </c>
      <c r="U5" t="inlineStr"/>
      <c r="V5" t="inlineStr"/>
      <c r="W5" t="inlineStr">
        <is>
          <t>'[5 Serpent Scales Required] Consumes all Serpent Scales to enter Assault Mode for 10 sec and increases Final Damage by 25%. [Serpent Scale in Slot] When Sea Serpent Burst is activated, obtains Serpent Scale and increases Final Damage by 2%. This stacks up to 5 times, and Serpent Scales cannot be obtained in Assault Mode.' 3rd-job skill, factorIndex 21 (game table; was 22), baseDamage 250 tenths%. The 25% applies for the Assault uptime fraction u; the pre-Assault +2% per held scale is modeled as the average 2 scales held while rebuilding = +4% for (1-u) of the time (flat, the table shows no scaling for it). Both are read directly by the Summary FD bucket (not the standard cooldown-driven buff helper: resource-stack economy, not a player cooldown).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for 1.8 sec' (stun not modeled), 21s cooldown (game table). factorIndex 12, baseDamage 3400 tenths%. Mastery Lv.73 'Corkscrew Blow - Damage' +80%. Its CostsActionSlot=True consumes basic-attack action-slot time, which lowers Hook Bomber's cast rate (and so lengthens the Assault-Mode activation interval T) — a genuine emergent interaction, not a bug. Maple Hero 40% share (game table: 'Serpent Assault 60%, Corkscrew Blow 40%', ratio 40/60) — see MAPLE_HERO_RATIOS.</t>
        </is>
      </c>
    </row>
    <row r="7">
      <c r="A7" t="inlineStr">
        <is>
          <t>OCTOPUNCH</t>
        </is>
      </c>
      <c r="B7" t="inlineStr">
        <is>
          <t>Octopunch</t>
        </is>
      </c>
      <c r="C7" t="n">
        <v>4</v>
      </c>
      <c r="D7">
        <f>IF(Inputs!$B$3&gt;=134,16*0.7,16)</f>
        <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If the target is a boss, deals the same damage 2 more time(s).' 16s cooldown (game table); Lv.103 unlock (was 100). factorIndex 12, baseDamage 9000 tenths%. Mastery Lv.108 'Octopunch - Damage' +50%; Lv.134 'Octopunch - Reuse' -30% cooldown (16s -&gt; 11.2s, baked into the Cooldown(s) formula; Sea Serpent's Rage / Raging Serpent Assault / the Assault Mark debuff follow it). The boss clause is HitsPerCast (3, +2 vs boss/PvP).</t>
        </is>
      </c>
    </row>
    <row r="8">
      <c r="A8" t="inlineStr">
        <is>
          <t>SEA_SERPENTS_RAGE</t>
        </is>
      </c>
      <c r="B8" t="inlineStr">
        <is>
          <t>Sea Serpent's Rage</t>
        </is>
      </c>
      <c r="C8" t="n">
        <v>4</v>
      </c>
      <c r="D8">
        <f>Skills!D7</f>
        <v/>
      </c>
      <c r="E8" t="b">
        <v>0</v>
      </c>
      <c r="F8" t="n">
        <v>1</v>
      </c>
      <c r="G8" t="n">
        <v>2</v>
      </c>
      <c r="H8" t="n">
        <v>0</v>
      </c>
      <c r="I8" t="n">
        <v>0</v>
      </c>
      <c r="J8" t="n">
        <v>100</v>
      </c>
      <c r="K8" t="n">
        <v>1</v>
      </c>
      <c r="L8" t="n">
        <v>17000</v>
      </c>
      <c r="M8" t="n">
        <v>21</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and leaves an Assault Mark on the hit targets to increase their damage taken by 15% for 5 sec.' Lv.117 unlock (was 110). Fires on every Octopunch cast (game table trigger OnActiveSkill = Octopunch), so its Cooldown(s) is a LIVE reference to Octopunch's (incl. the Lv.134 Reuse) and it takes Octopunch's CDR eligibility. factorIndex 21 (game table; was 12), baseDamage 17000 tenths%. Mastery Lv.122 'Sea Serpent's Rage - Damage' +100%. The Assault Mark (+15% damage taken, scales with level, factorIndex 21) is the SSR_WEAKEN helper row, folded into Summary's monster-damage-taken bucket.</t>
        </is>
      </c>
    </row>
    <row r="9">
      <c r="A9" t="inlineStr">
        <is>
          <t>RAGING_SERPENT_ASSAULT</t>
        </is>
      </c>
      <c r="B9" t="inlineStr">
        <is>
          <t>Raging Serpent Assault</t>
        </is>
      </c>
      <c r="C9" t="n">
        <v>4</v>
      </c>
      <c r="D9">
        <f>Skills!D7</f>
        <v/>
      </c>
      <c r="E9" t="b">
        <v>0</v>
      </c>
      <c r="F9" t="n">
        <v>1</v>
      </c>
      <c r="G9" t="n">
        <v>2</v>
      </c>
      <c r="H9" t="n">
        <v>1</v>
      </c>
      <c r="I9" t="n">
        <v>5</v>
      </c>
      <c r="J9">
        <f>100*Summary!$B$27</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 in front for 5 sec to deal 1300% damage to 9 nearby target(s) 2 time(s) every 1 sec.' Lv.120 unlock (was 110). HitsPerCast=2 per tick (the game capture says '2 time(s) every 1 sec'; an earlier version used 1), ICD 1s, 5s window = 5 ticks x 2 hits per cast. Shares Octopunch's live cooldown (it follows each Sea Serpent's Rage) and is gated by the Assault-Mode uptime u (ProcChance% = 100*u, Summary!ASSAULT_U). factorIndex 12 (no ratio in the tables, FLAGGED ASSUMPTION), baseDamage 13000 tenths%. Mastery Lv.130 'Raging Serpent Assault - Damage' +50%.</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inlineStr"/>
      <c r="E11" t="b">
        <v>0</v>
      </c>
      <c r="F11" t="n">
        <v>1</v>
      </c>
      <c r="G11" t="n">
        <v>1</v>
      </c>
      <c r="H11" t="n">
        <v>1</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'[Nautilus Strike in Slot] When attacking, deals 850% additional damage with a 30% chance and a 1-sec cooldown' (PATCHED 15% -&gt; 30%, 'cooldown set to 1s'). ANY attack can trigger it (same wording/mechanic as FP-Mage's Meteor Shower FA and Ice/Lightning's Blizzard FA), so it is modeled as a steady-state proc: rate = (Chance*R)/(1+ICD*Chance*R) with R = the combined cast rate of the triggering attacks (Summary!NAUTILUS_TRIGGER_RATE: Hook Bomber + Corkscrew Blow + Octopunch + Nautilus Strike). The earlier cooldown-gated model (Chance/1s = 0.3 per second regardless of attack rate) undercounted by ~20-25%. Summons / passive procs (Sea Serpent Burst etc.) are NOT counted as triggers — ASSUMPTION mirroring FP-Mage's user-confirmed trigger set. This row has no cooldown of its own (ICD(s)=1 is the internal cooldown, RollsPerCast=1, ActiveWindow=0 so EffectiveHits is unused). factorIndex 21, baseDamage 8500 tenths% (LITERAL percent reading, consistent with Blizzard/Meteor FA). Gated at Lv.113 (the mastery's own level).</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and Corkscrew Blow's Final Damage chain. RESOLVED 2026-10-21 via the game capture/tables: 'Increases Final Damage of the following skills: Serpent Assault 60%, Corkscrew Blow 40%.' (only two skills). factorIndex 23 (universal Maple Hero convention), baseDamage 600 tenths% = the 60% share at ratio 1.0; Corkscrew Blow uses ratio 40/60. No independent DPS row (Calc J-N blank; D/E/F read by the Serpent Assault / Corkscrew Blow K formulas).</t>
        </is>
      </c>
    </row>
    <row r="13">
      <c r="A13" t="inlineStr">
        <is>
          <t>ROLL_OF_THE_DICE_DICE</t>
        </is>
      </c>
      <c r="B13" t="inlineStr">
        <is>
          <t>Roll of the Dice (dice component)</t>
        </is>
      </c>
      <c r="C13" t="n">
        <v>3</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'Increases Attack by 20%. Rolls a six-sided die every 7 sec to increase Attack by 0-5% in proportion to the number on the die for 5 sec. A number that has appeared once does not appear again for 30 sec.' 3rd-job skill (JobStep 3; was 2), Lv.74 unlock (was 66). The flat +20% Attack is Magic-Critical-pattern (already in Inputs!ATTACK_PCT, see PASSIVE_DELTA_SLOT) — this row models ONLY the random dice component: the no-repeat rule makes the long-run face frequency uniform, so the mean roll is exactly 2.5% (baseDamage 25 tenths%, factorIndex 22 per the game table's 10/20/30/40/50 raw values x f22); active 5 of every 7 seconds (x5/7 at the use site). Mastery Lv.90 'Roll of the Dice - Attack' (+5%p) adds to the flat Attack component, i.e. already inside your Inputs!ATTACK_PCT — not modeled separately.</t>
        </is>
      </c>
    </row>
    <row r="14">
      <c r="A14" t="inlineStr">
        <is>
          <t>CROSSBONES_FD</t>
        </is>
      </c>
      <c r="B14" t="inlineStr">
        <is>
          <t>Crossbones</t>
        </is>
      </c>
      <c r="C14" t="n">
        <v>4</v>
      </c>
      <c r="D14" t="n">
        <v>28</v>
      </c>
      <c r="E14" t="b">
        <v>1</v>
      </c>
      <c r="F14" t="n">
        <v>1</v>
      </c>
      <c r="G14" t="n">
        <v>1</v>
      </c>
      <c r="H14" t="n">
        <v>0</v>
      </c>
      <c r="I14" t="n">
        <v>0</v>
      </c>
      <c r="J14" t="n">
        <v>100</v>
      </c>
      <c r="K14" t="n">
        <v>1</v>
      </c>
      <c r="L14" t="n">
        <v>100</v>
      </c>
      <c r="M14" t="n">
        <v>21</v>
      </c>
      <c r="N14" t="b">
        <v>1</v>
      </c>
      <c r="O14" t="n">
        <v>0</v>
      </c>
      <c r="P14" t="n">
        <v>0</v>
      </c>
      <c r="Q14" t="n">
        <v>0</v>
      </c>
      <c r="R14" t="n">
        <v>0</v>
      </c>
      <c r="S14" t="inlineStr">
        <is>
          <t>FINAL_DAMAGE</t>
        </is>
      </c>
      <c r="T14" t="n">
        <v>12</v>
      </c>
      <c r="U14" t="inlineStr"/>
      <c r="V14" t="inlineStr"/>
      <c r="W14" t="inlineStr">
        <is>
          <t>Active cast (28s cooldown, 12s duration): 'Increases Final Damage by 10% and Defense Penetration by 5% for 12 sec.' Lv.115 unlock (was 107). factorIndex 21 (game table; was 22), baseDamage 100 tenths%. Duty-cycle averaged by the standard buff_uptime() helper. Only the Final Damage component is modeled (no live per-skill Defense-Penetration mechanism exists in this project).</t>
        </is>
      </c>
    </row>
    <row r="15">
      <c r="A15" t="inlineStr">
        <is>
          <t>TIME_LEAP_FD</t>
        </is>
      </c>
      <c r="B15" t="inlineStr">
        <is>
          <t>Time Leap</t>
        </is>
      </c>
      <c r="C15" t="n">
        <v>4</v>
      </c>
      <c r="D15" t="n">
        <v>65</v>
      </c>
      <c r="E15" t="b">
        <v>1</v>
      </c>
      <c r="F15" t="n">
        <v>1</v>
      </c>
      <c r="G15" t="n">
        <v>1</v>
      </c>
      <c r="H15" t="n">
        <v>0</v>
      </c>
      <c r="I15" t="n">
        <v>0</v>
      </c>
      <c r="J15" t="n">
        <v>100</v>
      </c>
      <c r="K15" t="n">
        <v>1</v>
      </c>
      <c r="L15" t="n">
        <v>150</v>
      </c>
      <c r="M15" t="n">
        <v>21</v>
      </c>
      <c r="N15" t="b">
        <v>1</v>
      </c>
      <c r="O15">
        <f>SUMPRODUCT((Inputs!$B$3&gt;={138})*{10})</f>
        <v/>
      </c>
      <c r="P15" t="n">
        <v>0</v>
      </c>
      <c r="Q15" t="n">
        <v>0</v>
      </c>
      <c r="R15" t="n">
        <v>0</v>
      </c>
      <c r="S15" t="inlineStr">
        <is>
          <t>FINAL_DAMAGE</t>
        </is>
      </c>
      <c r="T15" t="n">
        <v>40</v>
      </c>
      <c r="U15" t="inlineStr"/>
      <c r="V15" t="inlineStr"/>
      <c r="W15" t="inlineStr">
        <is>
          <t>Active cast (65s cooldown, 40s duration): 'Instantly decreases the cooldown of Active Skills by 50% and increases Final Damage by 15% for 40 sec. When this skill is in slot, a 12-sec cooldown is applied at the start of battle.' Lv.125 unlock (was 115). PATCHED FD 30% -&gt; 15% (baseDamage 150 tenths% = the patched value). factorIndex 21 (game table; was 22). Mastery Lv.138 'Time Leap - Grant': +10%p to this Final Damage boost (SkillMasteryBonus%; its ally-cooldown-grant effect is not modeled). Duty-cycle averaged by buff_uptime(). Not modeled: the one-time 50% cooldown refund of your own active skills and the 12s start-of-battle delay.</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3</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row r="24">
      <c r="A24" t="inlineStr">
        <is>
          <t>SPEED_INFUSION</t>
        </is>
      </c>
      <c r="B24" t="inlineStr">
        <is>
          <t>Speed Infusion</t>
        </is>
      </c>
      <c r="C24" t="n">
        <v>4</v>
      </c>
      <c r="D24" t="n">
        <v>35</v>
      </c>
      <c r="E24" t="b">
        <v>1</v>
      </c>
      <c r="F24" t="n">
        <v>1</v>
      </c>
      <c r="G24" t="n">
        <v>1</v>
      </c>
      <c r="H24" t="n">
        <v>0</v>
      </c>
      <c r="I24" t="n">
        <v>0</v>
      </c>
      <c r="J24" t="n">
        <v>100</v>
      </c>
      <c r="K24" t="n">
        <v>1</v>
      </c>
      <c r="L24" t="n">
        <v>200</v>
      </c>
      <c r="M24" t="n">
        <v>21</v>
      </c>
      <c r="N24" t="b">
        <v>1</v>
      </c>
      <c r="O24" t="n">
        <v>0</v>
      </c>
      <c r="P24" t="n">
        <v>0</v>
      </c>
      <c r="Q24" t="n">
        <v>0</v>
      </c>
      <c r="R24" t="n">
        <v>0</v>
      </c>
      <c r="S24" t="inlineStr">
        <is>
          <t>ATTACK_SPEED</t>
        </is>
      </c>
      <c r="T24" t="n">
        <v>15</v>
      </c>
      <c r="U24" t="inlineStr"/>
      <c r="V24" t="inlineStr"/>
      <c r="W24" t="inlineStr">
        <is>
          <t>Active cast (35s cooldown, 15s duration, Lv.107): 'Increases Attack Speed by 20% and Final Damage by 20% of Attack Speed for 15 sec.' Game table: Attack Speed 20% x factorIndex 21 (scales with level). The earlier version only had a Summary-level Final Damage formula (unlocked at an assumed Lv.110, no cast cost) and omitted the Attack Speed component entirely. Now a real action-costing buff row: its AS% (duty-cycled by buff_uptime(), like Nimble Feet) joins the Attack Speed stack in Summary!AS_BONUS, and the Final Damage component = 20 x (Actions-per-second DURING the buff - 1) x uptime joins Summary's FD bucket. Its cast also costs an action slot (reducing Hook Bomber's cast rate) and counts in the buff-casting startup delay.</t>
        </is>
      </c>
    </row>
    <row r="25">
      <c r="A25" t="inlineStr">
        <is>
          <t>GSS_II_FD</t>
        </is>
      </c>
      <c r="B25" t="inlineStr">
        <is>
          <t>Greater Sea Serpent II (Sea Serpent Burst Final Damage helper)</t>
        </is>
      </c>
      <c r="C25" t="n">
        <v>4</v>
      </c>
      <c r="D25" t="inlineStr"/>
      <c r="E25" t="b">
        <v>0</v>
      </c>
      <c r="F25" t="n">
        <v>1</v>
      </c>
      <c r="G25" t="n">
        <v>1</v>
      </c>
      <c r="H25" t="n">
        <v>0</v>
      </c>
      <c r="I25" t="n">
        <v>0</v>
      </c>
      <c r="J25" t="n">
        <v>100</v>
      </c>
      <c r="K25" t="n">
        <v>1</v>
      </c>
      <c r="L25" t="n">
        <v>1000</v>
      </c>
      <c r="M25" t="n">
        <v>22</v>
      </c>
      <c r="N25" t="b">
        <v>1</v>
      </c>
      <c r="O25" t="n">
        <v>0</v>
      </c>
      <c r="P25" t="n">
        <v>0</v>
      </c>
      <c r="Q25" t="n">
        <v>0</v>
      </c>
      <c r="R25" t="n">
        <v>0</v>
      </c>
      <c r="S25" t="inlineStr"/>
      <c r="T25" t="n">
        <v>0</v>
      </c>
      <c r="U25" t="inlineStr"/>
      <c r="V25" t="inlineStr"/>
      <c r="W25" t="inlineStr">
        <is>
          <t>Helper row (no independent DPS): GSS II's '+100% Final Damage' on Sea Serpent Burst (game table ModSkillStat FinalDamage, 1000 raw = 100% x factorIndex 22, scales with GSS II's 4th-job skill level). Lv.110 unlock. Only Sea Serpent Burst's own K formula reads this row's F (multiplicative per-row Final Damage, same shape as Maple Hero); Serpent Assault does NOT receive it.</t>
        </is>
      </c>
    </row>
    <row r="26">
      <c r="A26" t="inlineStr">
        <is>
          <t>SSR_WEAKEN</t>
        </is>
      </c>
      <c r="B26" t="inlineStr">
        <is>
          <t>Sea Serpent's Rage - Assault Mark (Weakness helper)</t>
        </is>
      </c>
      <c r="C26" t="n">
        <v>4</v>
      </c>
      <c r="D26" t="inlineStr"/>
      <c r="E26" t="b">
        <v>0</v>
      </c>
      <c r="F26" t="n">
        <v>1</v>
      </c>
      <c r="G26" t="n">
        <v>1</v>
      </c>
      <c r="H26" t="n">
        <v>0</v>
      </c>
      <c r="I26" t="n">
        <v>0</v>
      </c>
      <c r="J26" t="n">
        <v>100</v>
      </c>
      <c r="K26" t="n">
        <v>1</v>
      </c>
      <c r="L26" t="n">
        <v>150</v>
      </c>
      <c r="M26" t="n">
        <v>21</v>
      </c>
      <c r="N26" t="b">
        <v>1</v>
      </c>
      <c r="O26" t="n">
        <v>0</v>
      </c>
      <c r="P26" t="n">
        <v>0</v>
      </c>
      <c r="Q26" t="n">
        <v>0</v>
      </c>
      <c r="R26" t="n">
        <v>0</v>
      </c>
      <c r="S26" t="inlineStr"/>
      <c r="T26" t="n">
        <v>5</v>
      </c>
      <c r="U26" t="inlineStr"/>
      <c r="V26" t="inlineStr"/>
      <c r="W26" t="inlineStr">
        <is>
          <t>Helper row (no independent DPS): the Assault Mark Sea Serpent's Rage leaves on hit targets, 'increase their damage taken by 15% for 5 sec' (game table Weakness 15% x factorIndex 21, scales with level; Lv.117). Applied once per Octopunch cast, so its uptime is MIN(1, 5s x (1+Buff Duration%) / Octopunch's effective cooldown) — read by Summary's Monster Damage-Taken bucket (both the main sheet and each Sensitivity block).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25=TRUE,F25,0)/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IFERROR(1/(IF(Inputs!$B$38="pvp",15,MAX(0.1,Skills!D3-IF(TRUE=TRUE,Inputs!$B$32,0)))*(1-IF(AND(ArtifactsInput!$M$27,Inputs!$B$4="Chapter Hunt"),CHOOSE(ArtifactsInput!$N$27+1,20,24,28,32,36,40),0)/100)),0)</f>
        <v/>
      </c>
      <c r="R3">
        <f>IF(AND(Inputs!$B$38&lt;&gt;"pvp",Inputs!$B$43&gt;0),IF(MAX(0,Inputs!$B$43-Summary!$B$23)&lt;=0,0,(INT(MAX(0,Inputs!$B$43-Summary!$B$23)/(IF(Inputs!$B$38="pvp",15,MAX(0.1,Skills!D3-IF(TRUE=TRUE,Inputs!$B$32,0)))*(1-IF(AND(ArtifactsInput!$M$27,Inputs!$B$4="Chapter Hunt"),CHOOSE(ArtifactsInput!$N$27+1,20,24,28,32,36,40),0)/100)))+1)),0)</f>
        <v/>
      </c>
      <c r="S3">
        <f>IFERROR(O3/N3,0)</f>
        <v/>
      </c>
      <c r="T3">
        <f>IF(C3,(Skills!G3*N3*IF(C4=TRUE,1-Summary!$B$27,1)/Summary!$B$26)*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IF(C3,(Skills!G3*N3*IF(C4=TRUE,1-Summary!$B$27,1)/Summary!$B$26)*IF(Inputs!$B$38="pvp",1,(1+(Inputs!$B$21+Skills!Q3+Summary!$B$15+Artifacts!$B$80)/100)*(MIN(Skills!R3,Inputs!$B$37)))*((1+Artifacts!$B$53/100)),0)</f>
        <v/>
      </c>
    </row>
    <row r="4">
      <c r="A4">
        <f>Skills!A4</f>
        <v/>
      </c>
      <c r="B4">
        <f>Skills!B4</f>
        <v/>
      </c>
      <c r="C4">
        <f>Inputs!$B$3&gt;=69</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N4*Summary!$B$27/Summary!$B$26)*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IF(C4,(Skills!G4*N4*Summary!$B$27/Summary!$B$26)*IF(Inputs!$B$38="pvp",1,(1+(Inputs!$B$21+Skills!Q4+Summary!$B$15+Artifacts!$B$80)/100)*(MIN(Skills!R4,Inputs!$B$37)))*((1+Artifacts!$B$53/100)),0)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Inputs!$B$3&gt;=103</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Inputs!$B$3&gt;=105</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t="n">
        <v>0</v>
      </c>
      <c r="R11" t="n">
        <v>0</v>
      </c>
      <c r="S11">
        <f>IFERROR(O11/N11,0)</f>
        <v/>
      </c>
      <c r="T11">
        <f>IF(C11,((H11*Summary!$B$28)/(1+Skills!H11*H11*Summary!$B$28)*N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IF(C11,((H11*Summary!$B$28)/(1+Skills!H11*H11*Summary!$B$28)*N11)*IF(Inputs!$B$38="pvp",1,(1+(Inputs!$B$21+Skills!Q11+Summary!$B$15+Artifacts!$B$80)/100)*(MIN(Skills!R11,Inputs!$B$37)))*((1+Artifacts!$B$53/100)),0)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IFERROR(1/(IF(Inputs!$B$38="pvp",15,MAX(0.1,Skills!D14-IF(TRUE=TRUE,Inputs!$B$32,0)))*(1-IF(AND(ArtifactsInput!$M$27,Inputs!$B$4="Chapter Hunt"),CHOOSE(ArtifactsInput!$N$27+1,20,24,28,32,36,40),0)/100)),0)</f>
        <v/>
      </c>
      <c r="R14">
        <f>IF(AND(Inputs!$B$38&lt;&gt;"pvp",Inputs!$B$43&gt;0),IF(Inputs!$B$43&lt;=0,0,(INT(Inputs!$B$43/(IF(Inputs!$B$38="pvp",15,MAX(0.1,Skills!D14-IF(TRUE=TRUE,Inputs!$B$32,0)))*(1-IF(AND(ArtifactsInput!$M$27,Inputs!$B$4="Chapter Hunt"),CHOOSE(ArtifactsInput!$N$27+1,20,24,28,32,36,40),0)/100)))+1)),0)</f>
        <v/>
      </c>
      <c r="S14">
        <f>IFERROR(O14/N14,0)</f>
        <v/>
      </c>
      <c r="T14" t="n">
        <v>0</v>
      </c>
      <c r="V14" t="n">
        <v>0</v>
      </c>
    </row>
    <row r="15">
      <c r="A15">
        <f>Skills!A15</f>
        <v/>
      </c>
      <c r="B15">
        <f>Skills!B15</f>
        <v/>
      </c>
      <c r="C15">
        <f>Inputs!$B$3&gt;=125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IFERROR(1/(IF(Inputs!$B$38="pvp",15,MAX(0.1,Skills!D23-IF(TRUE=TRUE,Inputs!$B$32,0)))*(1-IF(AND(ArtifactsInput!$M$27,Inputs!$B$4="Chapter Hunt"),CHOOSE(ArtifactsInput!$N$27+1,20,24,28,32,36,40),0)/100)),0)</f>
        <v/>
      </c>
      <c r="R23">
        <f>IF(AND(Inputs!$B$38&lt;&gt;"pvp",Inputs!$B$43&gt;0),IF(Inputs!$B$43&lt;=0,0,(INT(Inputs!$B$43/(IF(Inputs!$B$38="pvp",15,MAX(0.1,Skills!D23-IF(TRUE=TRUE,Inputs!$B$32,0)))*(1-IF(AND(ArtifactsInput!$M$27,Inputs!$B$4="Chapter Hunt"),CHOOSE(ArtifactsInput!$N$27+1,20,24,28,32,36,40),0)/100)))+1)),0)</f>
        <v/>
      </c>
      <c r="S23">
        <f>IFERROR(O23/N23,0)</f>
        <v/>
      </c>
      <c r="T23" t="n">
        <v>0</v>
      </c>
      <c r="V23" t="n">
        <v>0</v>
      </c>
    </row>
    <row r="24">
      <c r="A24">
        <f>Skills!A24</f>
        <v/>
      </c>
      <c r="B24">
        <f>Skills!B24</f>
        <v/>
      </c>
      <c r="C24">
        <f>Inputs!$B$3&gt;=107</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f>IFERROR(1/(IF(Inputs!$B$38="pvp",15,MAX(0.1,Skills!D24-IF(TRUE=TRUE,Inputs!$B$32,0)))*(1-IF(AND(ArtifactsInput!$M$27,Inputs!$B$4="Chapter Hunt"),CHOOSE(ArtifactsInput!$N$27+1,20,24,28,32,36,40),0)/100)),0)</f>
        <v/>
      </c>
      <c r="R24">
        <f>IF(AND(Inputs!$B$38&lt;&gt;"pvp",Inputs!$B$43&gt;0),IF(Inputs!$B$43&lt;=0,0,(INT(Inputs!$B$43/(IF(Inputs!$B$38="pvp",15,MAX(0.1,Skills!D24-IF(TRUE=TRUE,Inputs!$B$32,0)))*(1-IF(AND(ArtifactsInput!$M$27,Inputs!$B$4="Chapter Hunt"),CHOOSE(ArtifactsInput!$N$27+1,20,24,28,32,36,40),0)/100)))+1)),0)</f>
        <v/>
      </c>
      <c r="S24">
        <f>IFERROR(O24/N24,0)</f>
        <v/>
      </c>
      <c r="T24" t="n">
        <v>0</v>
      </c>
      <c r="V24" t="n">
        <v>0</v>
      </c>
    </row>
    <row r="25">
      <c r="A25">
        <f>Skills!A25</f>
        <v/>
      </c>
      <c r="B25">
        <f>Skills!B25</f>
        <v/>
      </c>
      <c r="C25">
        <f>Inputs!$B$3&gt;=110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t="inlineStr"/>
      <c r="H25" t="inlineStr"/>
      <c r="I25" t="inlineStr">
        <is>
          <t>1</t>
        </is>
      </c>
      <c r="J25" t="inlineStr"/>
      <c r="K25" t="inlineStr"/>
      <c r="L25" t="inlineStr"/>
      <c r="M25" t="inlineStr"/>
      <c r="N25" t="inlineStr"/>
      <c r="O25" t="inlineStr"/>
      <c r="P25" t="inlineStr"/>
      <c r="Q25" t="inlineStr"/>
      <c r="R25" t="inlineStr"/>
      <c r="S25" t="inlineStr"/>
      <c r="T25" t="inlineStr"/>
      <c r="V25" t="inlineStr"/>
    </row>
    <row r="26">
      <c r="A26">
        <f>Skills!A26</f>
        <v/>
      </c>
      <c r="B26">
        <f>Skills!B26</f>
        <v/>
      </c>
      <c r="C26">
        <f>Inputs!$B$3&gt;=117</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t="inlineStr"/>
      <c r="H26" t="inlineStr"/>
      <c r="I26" t="inlineStr">
        <is>
          <t>1</t>
        </is>
      </c>
      <c r="J26" t="inlineStr"/>
      <c r="K26" t="inlineStr"/>
      <c r="L26" t="inlineStr"/>
      <c r="M26" t="inlineStr"/>
      <c r="N26" t="inlineStr"/>
      <c r="O26" t="inlineStr"/>
      <c r="P26" t="inlineStr"/>
      <c r="Q26" t="inlineStr"/>
      <c r="R26" t="inlineStr"/>
      <c r="S26" t="inlineStr"/>
      <c r="T26" t="inlineStr"/>
      <c r="V26"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(Sea Serpent's Rage Assault Mark + Artifact Enemy Damage Taken Bonus)</t>
        </is>
      </c>
      <c r="B15">
        <f>((Calc!C26=TRUE)*Calc!F26*MIN(1,5*(1+Inputs!$B$34/100)*Calc!Q7))+Artifacts!$B$36</f>
        <v/>
      </c>
    </row>
    <row r="16">
      <c r="A16" t="inlineStr">
        <is>
          <t>Attack Speed Buff Bonus % (Nimble Feet + Speed Infusion, duty-cycle averaged)</t>
        </is>
      </c>
      <c r="B16">
        <f>((Calc!C23=TRUE)*Calc!F23*IF(AND(Inputs!$B$38&lt;&gt;"pvp",Inputs!$B$43&gt;0),(((Calc!R23-1)*MIN((Skills!T23*(1+Inputs!$B$34/100)),(1/Calc!Q23))+MIN((Skills!T23*(1+Inputs!$B$34/100)),MAX(0,Inputs!$B$43-((Calc!R23-1)*(1/Calc!Q23)))))/Inputs!$B$43),IF(Inputs!$B$38="pvp",MIN((Skills!T23*(1+Inputs!$B$34/100)),15)/15,MIN(1,(Skills!T23*(1+Inputs!$B$34/100))/(1/Calc!Q23)))))+((Calc!C24=TRUE)*Calc!F24*IF(AND(Inputs!$B$38&lt;&gt;"pvp",Inputs!$B$43&gt;0),(((Calc!R24-1)*MIN((Skills!T24*(1+Inputs!$B$34/100)),(1/Calc!Q24))+MIN((Skills!T24*(1+Inputs!$B$34/100)),MAX(0,Inputs!$B$43-((Calc!R24-1)*(1/Calc!Q24)))))/Inputs!$B$43),IF(Inputs!$B$38="pvp",MIN((Skills!T24*(1+Inputs!$B$34/100)),15)/15,MIN(1,(Skills!T24*(1+Inputs!$B$34/100))/(1/Calc!Q24)))))</f>
        <v/>
      </c>
    </row>
    <row r="17">
      <c r="A17" t="inlineStr">
        <is>
          <t>Actions Per Second</t>
        </is>
      </c>
      <c r="B17">
        <f>1+MIN(150,150*(1-(1-Inputs!$B$11/150)*(1-B16/150)))/100</f>
        <v/>
      </c>
    </row>
    <row r="18">
      <c r="A18" t="inlineStr">
        <is>
          <t>Skill + Buff Cast Rate (subtracted from Hook Bomber, 1/s)</t>
        </is>
      </c>
      <c r="B18">
        <f>IF(AND(Inputs!$B$38&lt;&gt;"pvp",Inputs!$B$43&gt;0),SUMPRODUCT((Skills!E2:E26=TRUE)*(Calc!C2:C26=TRUE)*Calc!R2:R26*Skills!F2:F26)/Inputs!$B$43,SUMPRODUCT((Skills!E2:E26=TRUE)*(Calc!C2:C26=TRUE)*Calc!Q2:Q26*Skills!F2:F26))</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B27+4*(1-B27)))+((Calc!C14=TRUE)*Calc!F14*IF(AND(Inputs!$B$38&lt;&gt;"pvp",Inputs!$B$43&gt;0),(((Calc!R14-1)*MIN((Skills!T14*(1+Inputs!$B$34/100)),(1/Calc!Q14))+MIN((Skills!T14*(1+Inputs!$B$34/100)),MAX(0,Inputs!$B$43-((Calc!R14-1)*(1/Calc!Q14)))))/Inputs!$B$43),IF(Inputs!$B$38="pvp",MIN((Skills!T14*(1+Inputs!$B$34/100)),15)/15,MIN(1,(Skills!T14*(1+Inputs!$B$34/100))/(1/Calc!Q14)))))+((Calc!C15=TRUE)*Calc!F15*IF(AND(Inputs!$B$38&lt;&gt;"pvp",Inputs!$B$43&gt;0),(((Calc!R15-1)*MIN((Skills!T15*(1+Inputs!$B$34/100)),(1/Calc!Q15))+MIN((Skills!T15*(1+Inputs!$B$34/100)),MAX(0,Inputs!$B$43-((Calc!R15-1)*(1/Calc!Q15)))))/Inputs!$B$43),IF(Inputs!$B$38="pvp",MIN((Skills!T15*(1+Inputs!$B$34/100)),15)/15,MIN(1,(Skills!T15*(1+Inputs!$B$34/100))/(1/Calc!Q15)))))+((Calc!C24=TRUE)*20*((1+MIN(150,150*(1-(1-Inputs!$B$11/150)*(1-(((Calc!C23=TRUE)*Calc!F23*IF(AND(Inputs!$B$38&lt;&gt;"pvp",Inputs!$B$43&gt;0),(((Calc!R23-1)*MIN((Skills!T23*(1+Inputs!$B$34/100)),(1/Calc!Q23))+MIN((Skills!T23*(1+Inputs!$B$34/100)),MAX(0,Inputs!$B$43-((Calc!R23-1)*(1/Calc!Q23)))))/Inputs!$B$43),IF(Inputs!$B$38="pvp",MIN((Skills!T23*(1+Inputs!$B$34/100)),15)/15,MIN(1,(Skills!T23*(1+Inputs!$B$34/100))/(1/Calc!Q23)))))+Calc!F24)/150)))/100)-1)*IF(AND(Inputs!$B$38&lt;&gt;"pvp",Inputs!$B$43&gt;0),(((Calc!R24-1)*MIN((Skills!T24*(1+Inputs!$B$34/100)),(1/Calc!Q24))+MIN((Skills!T24*(1+Inputs!$B$34/100)),MAX(0,Inputs!$B$43-((Calc!R24-1)*(1/Calc!Q24)))))/Inputs!$B$43),IF(Inputs!$B$38="pvp",MIN((Skills!T24*(1+Inputs!$B$34/100)),15)/15,MIN(1,(Skills!T24*(1+Inputs!$B$34/100))/(1/Calc!Q24)))))</f>
        <v/>
      </c>
    </row>
    <row r="22">
      <c r="A22" t="inlineStr">
        <is>
          <t>Hook Bomber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6">
      <c r="A26" t="inlineStr">
        <is>
          <t>Sea Serpent Burst / Serpent Assault activation interval T (s) = shared trigger cooldown + 0.5 x basic-attack period</t>
        </is>
      </c>
      <c r="B26">
        <f>((1/Calc!Q3)+IFERROR(0.5/B19,0))</f>
        <v/>
      </c>
    </row>
    <row r="27">
      <c r="A27" t="inlineStr">
        <is>
          <t>Assault Mode steady-state uptime u = A/(A + activations_to_rebuild x T)</t>
        </is>
      </c>
      <c r="B27">
        <f>IF(Calc!C5=TRUE,(10+IF(Inputs!$B$3&gt;=94,5,0))/((10+IF(Inputs!$B$3&gt;=94,5,0))+IF(Inputs!$B$3&gt;=104,3,5)*B26),0)</f>
        <v/>
      </c>
    </row>
    <row r="28">
      <c r="A28" t="inlineStr">
        <is>
          <t>Nautilus Strike - Final Attack: triggering attacks' combined cast rate, incl. Hook Bomber (1/s)</t>
        </is>
      </c>
      <c r="B28">
        <f>IF(AND(Inputs!$B$38&lt;&gt;"pvp",Inputs!$B$43&gt;0),(((Calc!C6=TRUE)*Calc!R6)+((Calc!C7=TRUE)*Calc!R7)+((Calc!C10=TRUE)*Calc!R10))/Inputs!$B$43,((Calc!C6=TRUE)*Calc!Q6)+((Calc!C7=TRUE)*Calc!Q7)+((Calc!C10=TRUE)*Calc!Q10))+B19</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Calc!B6</f>
        <v/>
      </c>
      <c r="B35">
        <f>Calc!O6</f>
        <v/>
      </c>
      <c r="C35">
        <f>Calc!P6*100</f>
        <v/>
      </c>
    </row>
    <row r="36">
      <c r="A36">
        <f>Calc!B7</f>
        <v/>
      </c>
      <c r="B36">
        <f>Calc!O7</f>
        <v/>
      </c>
      <c r="C36">
        <f>Calc!P7*100</f>
        <v/>
      </c>
    </row>
    <row r="37">
      <c r="A37">
        <f>Calc!B8</f>
        <v/>
      </c>
      <c r="B37">
        <f>Calc!O8</f>
        <v/>
      </c>
      <c r="C37">
        <f>Calc!P8*100</f>
        <v/>
      </c>
    </row>
    <row r="38">
      <c r="A38">
        <f>Calc!B9</f>
        <v/>
      </c>
      <c r="B38">
        <f>Calc!O9</f>
        <v/>
      </c>
      <c r="C38">
        <f>Calc!P9*100</f>
        <v/>
      </c>
    </row>
    <row r="39">
      <c r="A39">
        <f>Calc!B10</f>
        <v/>
      </c>
      <c r="B39">
        <f>Calc!O10</f>
        <v/>
      </c>
      <c r="C39">
        <f>Calc!P10*100</f>
        <v/>
      </c>
    </row>
    <row r="40">
      <c r="A40">
        <f>Calc!B11</f>
        <v/>
      </c>
      <c r="B40">
        <f>Calc!O11</f>
        <v/>
      </c>
      <c r="C40">
        <f>Calc!P11*100</f>
        <v/>
      </c>
    </row>
    <row r="41">
      <c r="A41" s="9" t="inlineStr">
        <is>
          <t>Marginal DPS &amp; Stat Value (see Sensitivity for full detail)</t>
        </is>
      </c>
    </row>
    <row r="43">
      <c r="A43" s="5" t="inlineStr">
        <is>
          <t>Stat</t>
        </is>
      </c>
      <c r="B43" s="5" t="inlineStr">
        <is>
          <t>DPS per +1</t>
        </is>
      </c>
      <c r="C43" s="5" t="inlineStr">
        <is>
          <t>Units per +1% DPS</t>
        </is>
      </c>
    </row>
    <row r="44">
      <c r="A44">
        <f>Sensitivity!A5</f>
        <v/>
      </c>
      <c r="B44">
        <f>Sensitivity!H5</f>
        <v/>
      </c>
      <c r="C44">
        <f>Sensitivity!B5</f>
        <v/>
      </c>
    </row>
    <row r="45">
      <c r="A45">
        <f>Sensitivity!A6</f>
        <v/>
      </c>
      <c r="B45">
        <f>Sensitivity!H6</f>
        <v/>
      </c>
      <c r="C45">
        <f>Sensitivity!B6</f>
        <v/>
      </c>
    </row>
    <row r="46">
      <c r="A46">
        <f>Sensitivity!A7</f>
        <v/>
      </c>
      <c r="B46">
        <f>Sensitivity!H7</f>
        <v/>
      </c>
      <c r="C46">
        <f>Sensitivity!B7</f>
        <v/>
      </c>
    </row>
    <row r="47">
      <c r="A47">
        <f>Sensitivity!A8</f>
        <v/>
      </c>
      <c r="B47">
        <f>Sensitivity!H8</f>
        <v/>
      </c>
      <c r="C47">
        <f>Sensitivity!B8</f>
        <v/>
      </c>
    </row>
    <row r="48">
      <c r="A48">
        <f>Sensitivity!A9</f>
        <v/>
      </c>
      <c r="B48">
        <f>Sensitivity!H9</f>
        <v/>
      </c>
      <c r="C48">
        <f>Sensitivity!B9</f>
        <v/>
      </c>
    </row>
    <row r="49">
      <c r="A49">
        <f>Sensitivity!A10</f>
        <v/>
      </c>
      <c r="B49">
        <f>Sensitivity!H10</f>
        <v/>
      </c>
      <c r="C49">
        <f>Sensitivity!B10</f>
        <v/>
      </c>
    </row>
    <row r="50">
      <c r="A50">
        <f>Sensitivity!A11</f>
        <v/>
      </c>
      <c r="B50">
        <f>Sensitivity!H11</f>
        <v/>
      </c>
      <c r="C50">
        <f>Sensitivity!B11</f>
        <v/>
      </c>
    </row>
    <row r="51">
      <c r="A51">
        <f>Sensitivity!A12</f>
        <v/>
      </c>
      <c r="B51">
        <f>Sensitivity!H12</f>
        <v/>
      </c>
      <c r="C51">
        <f>Sensitivity!B12</f>
        <v/>
      </c>
    </row>
    <row r="52">
      <c r="A52">
        <f>Sensitivity!A13</f>
        <v/>
      </c>
      <c r="B52">
        <f>Sensitivity!H13</f>
        <v/>
      </c>
      <c r="C52">
        <f>Sensitivity!B13</f>
        <v/>
      </c>
    </row>
    <row r="53">
      <c r="A53">
        <f>Sensitivity!A14</f>
        <v/>
      </c>
      <c r="B53">
        <f>Sensitivity!H14</f>
        <v/>
      </c>
      <c r="C53">
        <f>Sensitivity!B14</f>
        <v/>
      </c>
    </row>
    <row r="54">
      <c r="A54">
        <f>Sensitivity!A15</f>
        <v/>
      </c>
      <c r="B54">
        <f>Sensitivity!H15</f>
        <v/>
      </c>
      <c r="C54">
        <f>Sensitivity!B15</f>
        <v/>
      </c>
    </row>
    <row r="55">
      <c r="A55">
        <f>Sensitivity!A16</f>
        <v/>
      </c>
      <c r="B55">
        <f>Sensitivity!H16</f>
        <v/>
      </c>
      <c r="C55">
        <f>Sensitivity!B16</f>
        <v/>
      </c>
    </row>
    <row r="56">
      <c r="A56">
        <f>Sensitivity!A17</f>
        <v/>
      </c>
      <c r="B56">
        <f>Sensitivity!H17</f>
        <v/>
      </c>
      <c r="C56">
        <f>Sensitivity!B17</f>
        <v/>
      </c>
    </row>
    <row r="57">
      <c r="A57">
        <f>Sensitivity!A18</f>
        <v/>
      </c>
      <c r="B57">
        <f>Sensitivity!H18</f>
        <v/>
      </c>
      <c r="C57">
        <f>Sensitivity!B18</f>
        <v/>
      </c>
    </row>
    <row r="58">
      <c r="A58">
        <f>Sensitivity!A19</f>
        <v/>
      </c>
      <c r="B58">
        <f>Sensitivity!H19</f>
        <v/>
      </c>
      <c r="C58">
        <f>Sensitivity!B19</f>
        <v/>
      </c>
    </row>
    <row r="59">
      <c r="A59">
        <f>Sensitivity!A20</f>
        <v/>
      </c>
      <c r="B59">
        <f>Sensitivity!H20</f>
        <v/>
      </c>
      <c r="C59">
        <f>Sensitivity!B20</f>
        <v/>
      </c>
    </row>
    <row r="60">
      <c r="A60">
        <f>Sensitivity!A21</f>
        <v/>
      </c>
      <c r="B60">
        <f>Sensitivity!H21</f>
        <v/>
      </c>
      <c r="C60">
        <f>Sensitivity!B21</f>
        <v/>
      </c>
    </row>
    <row r="61">
      <c r="A61">
        <f>Sensitivity!A22</f>
        <v/>
      </c>
      <c r="B61">
        <f>Sensitivity!H22</f>
        <v/>
      </c>
      <c r="C61">
        <f>Sensitivity!B22</f>
        <v/>
      </c>
    </row>
    <row r="62">
      <c r="A62">
        <f>Sensitivity!A23</f>
        <v/>
      </c>
      <c r="B62">
        <f>Sensitivity!H23</f>
        <v/>
      </c>
      <c r="C62">
        <f>Sensitivity!B23</f>
        <v/>
      </c>
    </row>
    <row r="63">
      <c r="A63">
        <f>Sensitivity!A24</f>
        <v/>
      </c>
      <c r="B63">
        <f>Sensitivity!H24</f>
        <v/>
      </c>
      <c r="C63">
        <f>Sensitivity!B24</f>
        <v/>
      </c>
    </row>
    <row r="64">
      <c r="A64">
        <f>Sensitivity!A25</f>
        <v/>
      </c>
      <c r="B64">
        <f>Sensitivity!H25</f>
        <v/>
      </c>
      <c r="C64">
        <f>Sensitivity!B25</f>
        <v/>
      </c>
    </row>
    <row r="65">
      <c r="A65">
        <f>Sensitivity!A26</f>
        <v/>
      </c>
      <c r="B65">
        <f>Sensitivity!H26</f>
        <v/>
      </c>
      <c r="C65">
        <f>Sensitivity!B26</f>
        <v/>
      </c>
    </row>
    <row r="66">
      <c r="A66">
        <f>Sensitivity!A27</f>
        <v/>
      </c>
      <c r="B66">
        <f>Sensitivity!H27</f>
        <v/>
      </c>
      <c r="C66">
        <f>Sensitivity!B27</f>
        <v/>
      </c>
    </row>
    <row r="67">
      <c r="A67">
        <f>Sensitivity!A28</f>
        <v/>
      </c>
      <c r="B67">
        <f>Sensitivity!H28</f>
        <v/>
      </c>
      <c r="C67">
        <f>Sensitivity!B28</f>
        <v/>
      </c>
    </row>
    <row r="68">
      <c r="A68">
        <f>Sensitivity!A29</f>
        <v/>
      </c>
      <c r="B68">
        <f>Sensitivity!H29</f>
        <v/>
      </c>
      <c r="C68">
        <f>Sensitivity!B29</f>
        <v/>
      </c>
    </row>
    <row r="69">
      <c r="A69">
        <f>Sensitivity!A30</f>
        <v/>
      </c>
      <c r="B69">
        <f>Sensitivity!H30</f>
        <v/>
      </c>
      <c r="C69">
        <f>Sensitivity!B30</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Sensitivity!A33</f>
        <v/>
      </c>
      <c r="B73">
        <f>Sensitivity!B33</f>
        <v/>
      </c>
      <c r="C73">
        <f>Sensitivity!C33</f>
        <v/>
      </c>
    </row>
    <row r="74">
      <c r="A74">
        <f>Sensitivity!A34</f>
        <v/>
      </c>
      <c r="B74">
        <f>Sensitivity!B34</f>
        <v/>
      </c>
      <c r="C74">
        <f>Sensitivity!C34</f>
        <v/>
      </c>
    </row>
    <row r="75">
      <c r="A75">
        <f>Sensitivity!A35</f>
        <v/>
      </c>
      <c r="B75">
        <f>Sensitivity!B35</f>
        <v/>
      </c>
      <c r="C75">
        <f>Sensitivity!C35</f>
        <v/>
      </c>
    </row>
    <row r="76">
      <c r="A76">
        <f>Sensitivity!A36</f>
        <v/>
      </c>
      <c r="B76">
        <f>Sensitivity!B36</f>
        <v/>
      </c>
      <c r="C76">
        <f>Sensitivity!C36</f>
        <v/>
      </c>
    </row>
    <row r="77">
      <c r="A77">
        <f>Sensitivity!A37</f>
        <v/>
      </c>
      <c r="B77">
        <f>Sensitivity!B37</f>
        <v/>
      </c>
      <c r="C77">
        <f>Sensitivity!C37</f>
        <v/>
      </c>
    </row>
    <row r="78">
      <c r="A78">
        <f>Sensitivity!A38</f>
        <v/>
      </c>
      <c r="B78">
        <f>Sensitivity!B38</f>
        <v/>
      </c>
      <c r="C78">
        <f>Sensitivity!C38</f>
        <v/>
      </c>
    </row>
    <row r="79">
      <c r="A79">
        <f>Sensitivity!A39</f>
        <v/>
      </c>
      <c r="B79">
        <f>Sensitivity!B39</f>
        <v/>
      </c>
      <c r="C79">
        <f>Sensitivity!C39</f>
        <v/>
      </c>
    </row>
    <row r="80">
      <c r="A80">
        <f>Sensitivity!A40</f>
        <v/>
      </c>
      <c r="B80">
        <f>Sensitivity!B40</f>
        <v/>
      </c>
      <c r="C80">
        <f>Sensitivity!C40</f>
        <v/>
      </c>
    </row>
    <row r="81">
      <c r="A81">
        <f>Sensitivity!A41</f>
        <v/>
      </c>
      <c r="B81">
        <f>Sensitivity!B41</f>
        <v/>
      </c>
      <c r="C81">
        <f>Sensitivity!C41</f>
        <v/>
      </c>
    </row>
    <row r="82">
      <c r="A82">
        <f>Sensitivity!A42</f>
        <v/>
      </c>
      <c r="B82">
        <f>Sensitivity!B42</f>
        <v/>
      </c>
      <c r="C82">
        <f>Sensitivity!C42</f>
        <v/>
      </c>
    </row>
    <row r="83">
      <c r="A83">
        <f>Sensitivity!A43</f>
        <v/>
      </c>
      <c r="B83">
        <f>Sensitivity!B43</f>
        <v/>
      </c>
      <c r="C83">
        <f>Sensitivity!C43</f>
        <v/>
      </c>
    </row>
    <row r="84">
      <c r="A84">
        <f>Sensitivity!A44</f>
        <v/>
      </c>
      <c r="B84">
        <f>Sensitivity!B44</f>
        <v/>
      </c>
      <c r="C84">
        <f>Sensitivity!C44</f>
        <v/>
      </c>
    </row>
    <row r="85">
      <c r="A85">
        <f>Sensitivity!A45</f>
        <v/>
      </c>
      <c r="B85">
        <f>Sensitivity!B45</f>
        <v/>
      </c>
      <c r="C85">
        <f>Sensitivity!C45</f>
        <v/>
      </c>
    </row>
    <row r="86">
      <c r="A86">
        <f>Sensitivity!A46</f>
        <v/>
      </c>
      <c r="B86">
        <f>Sensitivity!B46</f>
        <v/>
      </c>
      <c r="C86">
        <f>Sensitivity!C46</f>
        <v/>
      </c>
    </row>
    <row r="87">
      <c r="A87">
        <f>Sensitivity!A47</f>
        <v/>
      </c>
      <c r="B87">
        <f>Sensitivity!B47</f>
        <v/>
      </c>
      <c r="C87">
        <f>Sensitivity!C47</f>
        <v/>
      </c>
    </row>
    <row r="88">
      <c r="A88">
        <f>Sensitivity!A48</f>
        <v/>
      </c>
      <c r="B88">
        <f>Sensitivity!B48</f>
        <v/>
      </c>
      <c r="C88">
        <f>Sensitivity!C48</f>
        <v/>
      </c>
    </row>
    <row r="89">
      <c r="A89">
        <f>Sensitivity!A49</f>
        <v/>
      </c>
      <c r="B89">
        <f>Sensitivity!B49</f>
        <v/>
      </c>
      <c r="C89">
        <f>Sensitivity!C49</f>
        <v/>
      </c>
    </row>
    <row r="90">
      <c r="A90">
        <f>Sensitivity!A50</f>
        <v/>
      </c>
      <c r="B90">
        <f>Sensitivity!B50</f>
        <v/>
      </c>
      <c r="C90">
        <f>Sensitivity!C50</f>
        <v/>
      </c>
    </row>
    <row r="91">
      <c r="A91">
        <f>Sensitivity!A51</f>
        <v/>
      </c>
      <c r="B91">
        <f>Sensitivity!B51</f>
        <v/>
      </c>
      <c r="C91">
        <f>Sensitivity!C51</f>
        <v/>
      </c>
    </row>
    <row r="92">
      <c r="A92">
        <f>Sensitivity!A52</f>
        <v/>
      </c>
      <c r="B92">
        <f>Sensitivity!B52</f>
        <v/>
      </c>
      <c r="C92">
        <f>Sensitivity!C52</f>
        <v/>
      </c>
    </row>
    <row r="93">
      <c r="A93">
        <f>Sensitivity!A53</f>
        <v/>
      </c>
      <c r="B93">
        <f>Sensitivity!B53</f>
        <v/>
      </c>
      <c r="C93">
        <f>Sensitivity!C53</f>
        <v/>
      </c>
    </row>
    <row r="94">
      <c r="A94">
        <f>Sensitivity!A54</f>
        <v/>
      </c>
      <c r="B94">
        <f>Sensitivity!B54</f>
        <v/>
      </c>
      <c r="C94">
        <f>Sensitivity!C54</f>
        <v/>
      </c>
    </row>
    <row r="95">
      <c r="A95">
        <f>Sensitivity!A55</f>
        <v/>
      </c>
      <c r="B95">
        <f>Sensitivity!B55</f>
        <v/>
      </c>
      <c r="C95">
        <f>Sensitivity!C55</f>
        <v/>
      </c>
    </row>
    <row r="96">
      <c r="A96">
        <f>Sensitivity!A56</f>
        <v/>
      </c>
      <c r="B96">
        <f>Sensitivity!B56</f>
        <v/>
      </c>
      <c r="C96">
        <f>Sensitivity!C56</f>
        <v/>
      </c>
    </row>
    <row r="97">
      <c r="A97">
        <f>Sensitivity!A57</f>
        <v/>
      </c>
      <c r="B97">
        <f>Sensitivity!B57</f>
        <v/>
      </c>
      <c r="C97">
        <f>Sensitivity!C57</f>
        <v/>
      </c>
    </row>
    <row r="98">
      <c r="A98">
        <f>Sensitivity!A58</f>
        <v/>
      </c>
      <c r="B98">
        <f>Sensitivity!B58</f>
        <v/>
      </c>
      <c r="C98">
        <f>Sensitivity!C58</f>
        <v/>
      </c>
    </row>
    <row r="99">
      <c r="A99">
        <f>Sensitivity!A59</f>
        <v/>
      </c>
      <c r="B99">
        <f>Sensitivity!B59</f>
        <v/>
      </c>
      <c r="C99">
        <f>Sensitivity!C59</f>
        <v/>
      </c>
    </row>
    <row r="100">
      <c r="A100">
        <f>Sensitivity!A60</f>
        <v/>
      </c>
      <c r="B100">
        <f>Sensitivity!B60</f>
        <v/>
      </c>
      <c r="C100">
        <f>Sensitivity!C60</f>
        <v/>
      </c>
    </row>
    <row r="101">
      <c r="A101">
        <f>Sensitivity!A61</f>
        <v/>
      </c>
      <c r="B101">
        <f>Sensitivity!B61</f>
        <v/>
      </c>
      <c r="C101">
        <f>Sensitivity!C61</f>
        <v/>
      </c>
    </row>
    <row r="102">
      <c r="A102">
        <f>Sensitivity!A62</f>
        <v/>
      </c>
      <c r="B102">
        <f>Sensitivity!B62</f>
        <v/>
      </c>
      <c r="C102">
        <f>Sensitivity!C62</f>
        <v/>
      </c>
    </row>
    <row r="103">
      <c r="A103">
        <f>Sensitivity!A63</f>
        <v/>
      </c>
      <c r="B103">
        <f>Sensitivity!B63</f>
        <v/>
      </c>
      <c r="C103">
        <f>Sensitivity!C63</f>
        <v/>
      </c>
    </row>
    <row r="104">
      <c r="A104">
        <f>Sensitivity!A64</f>
        <v/>
      </c>
      <c r="B104">
        <f>Sensitivity!B64</f>
        <v/>
      </c>
      <c r="C104">
        <f>Sensitivity!C64</f>
        <v/>
      </c>
    </row>
    <row r="105">
      <c r="A105">
        <f>Sensitivity!A65</f>
        <v/>
      </c>
      <c r="B105">
        <f>Sensitivity!B65</f>
        <v/>
      </c>
      <c r="C105">
        <f>Sensitivity!C65</f>
        <v/>
      </c>
    </row>
    <row r="106">
      <c r="A106">
        <f>Sensitivity!A66</f>
        <v/>
      </c>
      <c r="B106">
        <f>Sensitivity!B66</f>
        <v/>
      </c>
      <c r="C106">
        <f>Sensitivity!C66</f>
        <v/>
      </c>
    </row>
    <row r="107">
      <c r="A107">
        <f>Sensitivity!A67</f>
        <v/>
      </c>
      <c r="B107">
        <f>Sensitivity!B67</f>
        <v/>
      </c>
      <c r="C107">
        <f>Sensitivity!C67</f>
        <v/>
      </c>
    </row>
    <row r="108">
      <c r="A108">
        <f>Sensitivity!A68</f>
        <v/>
      </c>
      <c r="B108">
        <f>Sensitivity!B68</f>
        <v/>
      </c>
      <c r="C108">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B155</f>
        <v/>
      </c>
      <c r="H6">
        <f>Summary!$B$3*(((1-Summary!$B$11)*IFERROR(B153/Summary!$B$24,1)+Summary!$B$11*IFERROR(B154/Summary!$B$25,1))-1)</f>
        <v/>
      </c>
      <c r="I6">
        <f>((1-Summary!$B$11)*IFERROR(B153/Summary!$B$24,1)+Summary!$B$11*IFERROR(B154/Summary!$B$25,1))*100</f>
        <v/>
      </c>
    </row>
    <row r="7">
      <c r="A7" t="inlineStr">
        <is>
          <t>DEX</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B245</f>
        <v/>
      </c>
      <c r="H8">
        <f>Summary!$B$3*(((1-Summary!$B$11)*IFERROR(B243/Summary!$B$24,1)+Summary!$B$11*IFERROR(B244/Summary!$B$25,1))-1)</f>
        <v/>
      </c>
      <c r="I8">
        <f>((1-Summary!$B$11)*IFERROR(B243/Summary!$B$24,1)+Summary!$B$11*IFERROR(B244/Summary!$B$25,1))*100</f>
        <v/>
      </c>
    </row>
    <row r="9">
      <c r="A9" t="inlineStr">
        <is>
          <t>DAMAGE_AMP %</t>
        </is>
      </c>
      <c r="B9">
        <f>IFERROR(1/(I9-100),"n/a")</f>
        <v/>
      </c>
      <c r="C9" t="inlineStr">
        <is>
          <t>pct</t>
        </is>
      </c>
      <c r="D9">
        <f>Inputs!$B$16+0</f>
        <v/>
      </c>
      <c r="E9">
        <f>(Inputs!$B$16+1)+0</f>
        <v/>
      </c>
      <c r="F9">
        <f>Summary!$B$3</f>
        <v/>
      </c>
      <c r="G9">
        <f>B290</f>
        <v/>
      </c>
      <c r="H9">
        <f>Summary!$B$3*(((1-Summary!$B$11)*IFERROR(B288/Summary!$B$24,1)+Summary!$B$11*IFERROR(B289/Summary!$B$25,1))-1)</f>
        <v/>
      </c>
      <c r="I9">
        <f>((1-Summary!$B$11)*IFERROR(B288/Summary!$B$24,1)+Summary!$B$11*IFERROR(B289/Summary!$B$25,1))*100</f>
        <v/>
      </c>
    </row>
    <row r="10">
      <c r="A10" t="inlineStr">
        <is>
          <t>BOSS_DAMAGE %</t>
        </is>
      </c>
      <c r="B10">
        <f>IFERROR(1/(I10-100),"n/a")</f>
        <v/>
      </c>
      <c r="C10" t="inlineStr">
        <is>
          <t>pct</t>
        </is>
      </c>
      <c r="D10">
        <f>Inputs!$B$20+0</f>
        <v/>
      </c>
      <c r="E10">
        <f>(Inputs!$B$20+1)+0</f>
        <v/>
      </c>
      <c r="F10">
        <f>Summary!$B$3</f>
        <v/>
      </c>
      <c r="G10">
        <f>B335</f>
        <v/>
      </c>
      <c r="H10">
        <f>Summary!$B$3*(((1-Summary!$B$11)*IFERROR(B333/Summary!$B$24,1)+Summary!$B$11*IFERROR(B334/Summary!$B$25,1))-1)</f>
        <v/>
      </c>
      <c r="I10">
        <f>((1-Summary!$B$11)*IFERROR(B333/Summary!$B$24,1)+Summary!$B$11*IFERROR(B334/Summary!$B$25,1))*100</f>
        <v/>
      </c>
    </row>
    <row r="11">
      <c r="A11" t="inlineStr">
        <is>
          <t>NORMAL_DAMAGE %</t>
        </is>
      </c>
      <c r="B11">
        <f>IFERROR(1/(I11-100),"n/a")</f>
        <v/>
      </c>
      <c r="C11" t="inlineStr">
        <is>
          <t>pct</t>
        </is>
      </c>
      <c r="D11">
        <f>Inputs!$B$21+0</f>
        <v/>
      </c>
      <c r="E11">
        <f>(Inputs!$B$21+1)+0</f>
        <v/>
      </c>
      <c r="F11">
        <f>Summary!$B$3</f>
        <v/>
      </c>
      <c r="G11">
        <f>B380</f>
        <v/>
      </c>
      <c r="H11">
        <f>Summary!$B$3*(((1-Summary!$B$11)*IFERROR(B378/Summary!$B$24,1)+Summary!$B$11*IFERROR(B379/Summary!$B$25,1))-1)</f>
        <v/>
      </c>
      <c r="I11">
        <f>((1-Summary!$B$11)*IFERROR(B378/Summary!$B$24,1)+Summary!$B$11*IFERROR(B379/Summary!$B$25,1))*100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B425</f>
        <v/>
      </c>
      <c r="H12">
        <f>Summary!$B$3*(((1-Summary!$B$11)*IFERROR(B423/Summary!$B$24,1)+Summary!$B$11*IFERROR(B424/Summary!$B$25,1))-1)</f>
        <v/>
      </c>
      <c r="I12">
        <f>((1-Summary!$B$11)*IFERROR(B423/Summary!$B$24,1)+Summary!$B$11*IFERROR(B424/Summary!$B$25,1))*100</f>
        <v/>
      </c>
    </row>
    <row r="13">
      <c r="A13" t="inlineStr">
        <is>
          <t>MIN_DAMAGE %</t>
        </is>
      </c>
      <c r="B13">
        <f>IFERROR(1/(I13-100),"n/a")</f>
        <v/>
      </c>
      <c r="C13" t="inlineStr">
        <is>
          <t>pct</t>
        </is>
      </c>
      <c r="D13">
        <f>Inputs!$B$22+0</f>
        <v/>
      </c>
      <c r="E13">
        <f>(Inputs!$B$22+1)+0</f>
        <v/>
      </c>
      <c r="F13">
        <f>Summary!$B$3</f>
        <v/>
      </c>
      <c r="G13">
        <f>B470</f>
        <v/>
      </c>
      <c r="H13">
        <f>Summary!$B$3*(((1-Summary!$B$11)*IFERROR(B468/Summary!$B$24,1)+Summary!$B$11*IFERROR(B469/Summary!$B$25,1))-1)</f>
        <v/>
      </c>
      <c r="I13">
        <f>((1-Summary!$B$11)*IFERROR(B468/Summary!$B$24,1)+Summary!$B$11*IFERROR(B469/Summary!$B$25,1))*100</f>
        <v/>
      </c>
    </row>
    <row r="14">
      <c r="A14" t="inlineStr">
        <is>
          <t>MAX_DAMAGE %</t>
        </is>
      </c>
      <c r="B14">
        <f>IFERROR(1/(I14-100),"n/a")</f>
        <v/>
      </c>
      <c r="C14" t="inlineStr">
        <is>
          <t>pct</t>
        </is>
      </c>
      <c r="D14">
        <f>Inputs!$B$23+0</f>
        <v/>
      </c>
      <c r="E14">
        <f>(Inputs!$B$23+1)+0</f>
        <v/>
      </c>
      <c r="F14">
        <f>Summary!$B$3</f>
        <v/>
      </c>
      <c r="G14">
        <f>B515</f>
        <v/>
      </c>
      <c r="H14">
        <f>Summary!$B$3*(((1-Summary!$B$11)*IFERROR(B513/Summary!$B$24,1)+Summary!$B$11*IFERROR(B514/Summary!$B$25,1))-1)</f>
        <v/>
      </c>
      <c r="I14">
        <f>((1-Summary!$B$11)*IFERROR(B513/Summary!$B$24,1)+Summary!$B$11*IFERROR(B514/Summary!$B$25,1))*100</f>
        <v/>
      </c>
    </row>
    <row r="15">
      <c r="A15" t="inlineStr">
        <is>
          <t>CRIT_RATE %</t>
        </is>
      </c>
      <c r="B15">
        <f>IFERROR(1/(I15-100),"n/a")</f>
        <v/>
      </c>
      <c r="C15" t="inlineStr">
        <is>
          <t>pct</t>
        </is>
      </c>
      <c r="D15">
        <f>Inputs!$B$9+0</f>
        <v/>
      </c>
      <c r="E15">
        <f>(Inputs!$B$9+1)+0</f>
        <v/>
      </c>
      <c r="F15">
        <f>Summary!$B$3</f>
        <v/>
      </c>
      <c r="G15">
        <f>B560</f>
        <v/>
      </c>
      <c r="H15">
        <f>Summary!$B$3*(((1-Summary!$B$11)*IFERROR(B558/Summary!$B$24,1)+Summary!$B$11*IFERROR(B559/Summary!$B$25,1))-1)</f>
        <v/>
      </c>
      <c r="I15">
        <f>((1-Summary!$B$11)*IFERROR(B558/Summary!$B$24,1)+Summary!$B$11*IFERROR(B559/Summary!$B$25,1))*100</f>
        <v/>
      </c>
    </row>
    <row r="16">
      <c r="A16" t="inlineStr">
        <is>
          <t>CRIT_DAMAGE %</t>
        </is>
      </c>
      <c r="B16">
        <f>IFERROR(1/(I16-100),"n/a")</f>
        <v/>
      </c>
      <c r="C16" t="inlineStr">
        <is>
          <t>pct</t>
        </is>
      </c>
      <c r="D16">
        <f>Inputs!$B$10+0</f>
        <v/>
      </c>
      <c r="E16">
        <f>(Inputs!$B$10+1)+0</f>
        <v/>
      </c>
      <c r="F16">
        <f>Summary!$B$3</f>
        <v/>
      </c>
      <c r="G16">
        <f>B605</f>
        <v/>
      </c>
      <c r="H16">
        <f>Summary!$B$3*(((1-Summary!$B$11)*IFERROR(B603/Summary!$B$24,1)+Summary!$B$11*IFERROR(B604/Summary!$B$25,1))-1)</f>
        <v/>
      </c>
      <c r="I16">
        <f>((1-Summary!$B$11)*IFERROR(B603/Summary!$B$24,1)+Summary!$B$11*IFERROR(B604/Summary!$B$25,1))*100</f>
        <v/>
      </c>
    </row>
    <row r="17">
      <c r="A17" t="inlineStr">
        <is>
          <t>ATTACK_SPEED % (diminishing returns, factor 150)</t>
        </is>
      </c>
      <c r="B17">
        <f>IFERROR(1/(I17-100),"n/a")</f>
        <v/>
      </c>
      <c r="C17" t="inlineStr">
        <is>
          <t>dr150</t>
        </is>
      </c>
      <c r="D17">
        <f>Inputs!$B$11+0</f>
        <v/>
      </c>
      <c r="E17">
        <f>((1-(1-Inputs!$B$11/150)*(1-1/150))*150)+0</f>
        <v/>
      </c>
      <c r="F17">
        <f>Summary!$B$3</f>
        <v/>
      </c>
      <c r="G17">
        <f>B650</f>
        <v/>
      </c>
      <c r="H17">
        <f>Summary!$B$3*(((1-Summary!$B$11)*IFERROR(B648/Summary!$B$24,1)+Summary!$B$11*IFERROR(B649/Summary!$B$25,1))-1)</f>
        <v/>
      </c>
      <c r="I17">
        <f>((1-Summary!$B$11)*IFERROR(B648/Summary!$B$24,1)+Summary!$B$11*IFERROR(B649/Summary!$B$25,1))*100</f>
        <v/>
      </c>
    </row>
    <row r="18">
      <c r="A18" t="inlineStr">
        <is>
          <t>DEF_PEN % (diminishing returns, factor 100)</t>
        </is>
      </c>
      <c r="B18">
        <f>IFERROR(1/(I18-100),"n/a")</f>
        <v/>
      </c>
      <c r="C18" t="inlineStr">
        <is>
          <t>dr100</t>
        </is>
      </c>
      <c r="D18">
        <f>Inputs!$B$19+0</f>
        <v/>
      </c>
      <c r="E18">
        <f>((1-(1-Inputs!$B$19/100)*(1-1/100))*100)+0</f>
        <v/>
      </c>
      <c r="F18">
        <f>Summary!$B$3</f>
        <v/>
      </c>
      <c r="G18">
        <f>B695</f>
        <v/>
      </c>
      <c r="H18">
        <f>Summary!$B$3*(((1-Summary!$B$11)*IFERROR(B693/Summary!$B$24,1)+Summary!$B$11*IFERROR(B694/Summary!$B$25,1))-1)</f>
        <v/>
      </c>
      <c r="I18">
        <f>((1-Summary!$B$11)*IFERROR(B693/Summary!$B$24,1)+Summary!$B$11*IFERROR(B694/Summary!$B$25,1))*100</f>
        <v/>
      </c>
    </row>
    <row r="19">
      <c r="A19" t="inlineStr">
        <is>
          <t>BASIC_ATTACK_DAMAGE %</t>
        </is>
      </c>
      <c r="B19">
        <f>IFERROR(1/(I19-100),"n/a")</f>
        <v/>
      </c>
      <c r="C19" t="inlineStr">
        <is>
          <t>pct</t>
        </is>
      </c>
      <c r="D19">
        <f>Inputs!$B$17+0</f>
        <v/>
      </c>
      <c r="E19">
        <f>(Inputs!$B$17+1)+0</f>
        <v/>
      </c>
      <c r="F19">
        <f>Summary!$B$3</f>
        <v/>
      </c>
      <c r="G19">
        <f>B740</f>
        <v/>
      </c>
      <c r="H19">
        <f>Summary!$B$3*(((1-Summary!$B$11)*IFERROR(B738/Summary!$B$24,1)+Summary!$B$11*IFERROR(B739/Summary!$B$25,1))-1)</f>
        <v/>
      </c>
      <c r="I19">
        <f>((1-Summary!$B$11)*IFERROR(B738/Summary!$B$24,1)+Summary!$B$11*IFERROR(B739/Summary!$B$25,1))*100</f>
        <v/>
      </c>
    </row>
    <row r="20">
      <c r="A20" t="inlineStr">
        <is>
          <t>SKILL_DAMAGE %</t>
        </is>
      </c>
      <c r="B20">
        <f>IFERROR(1/(I20-100),"n/a")</f>
        <v/>
      </c>
      <c r="C20" t="inlineStr">
        <is>
          <t>pct</t>
        </is>
      </c>
      <c r="D20">
        <f>Inputs!$B$18+0</f>
        <v/>
      </c>
      <c r="E20">
        <f>(Inputs!$B$18+1)+0</f>
        <v/>
      </c>
      <c r="F20">
        <f>Summary!$B$3</f>
        <v/>
      </c>
      <c r="G20">
        <f>B785</f>
        <v/>
      </c>
      <c r="H20">
        <f>Summary!$B$3*(((1-Summary!$B$11)*IFERROR(B783/Summary!$B$24,1)+Summary!$B$11*IFERROR(B784/Summary!$B$25,1))-1)</f>
        <v/>
      </c>
      <c r="I20">
        <f>((1-Summary!$B$11)*IFERROR(B783/Summary!$B$24,1)+Summary!$B$11*IFERROR(B784/Summary!$B$25,1))*100</f>
        <v/>
      </c>
    </row>
    <row r="21">
      <c r="A21" t="inlineStr">
        <is>
          <t>Skill Level Bonus — 1st Job</t>
        </is>
      </c>
      <c r="B21">
        <f>IFERROR(1/(I21-100),"n/a")</f>
        <v/>
      </c>
      <c r="C21" t="inlineStr">
        <is>
          <t>level</t>
        </is>
      </c>
      <c r="D21">
        <f>Inputs!$B$25+0</f>
        <v/>
      </c>
      <c r="E21">
        <f>(Inputs!$B$25+1)+0</f>
        <v/>
      </c>
      <c r="F21">
        <f>Summary!$B$3</f>
        <v/>
      </c>
      <c r="G21">
        <f>B830</f>
        <v/>
      </c>
      <c r="H21">
        <f>Summary!$B$3*(((1-Summary!$B$11)*IFERROR(B828/Summary!$B$24,1)+Summary!$B$11*IFERROR(B829/Summary!$B$25,1))-1)</f>
        <v/>
      </c>
      <c r="I21">
        <f>((1-Summary!$B$11)*IFERROR(B828/Summary!$B$24,1)+Summary!$B$11*IFERROR(B829/Summary!$B$25,1))*100</f>
        <v/>
      </c>
    </row>
    <row r="22">
      <c r="A22" t="inlineStr">
        <is>
          <t>Skill Level Bonus — 2nd Job</t>
        </is>
      </c>
      <c r="B22">
        <f>IFERROR(1/(I22-100),"n/a")</f>
        <v/>
      </c>
      <c r="C22" t="inlineStr">
        <is>
          <t>level</t>
        </is>
      </c>
      <c r="D22">
        <f>Inputs!$B$26+0</f>
        <v/>
      </c>
      <c r="E22">
        <f>(Inputs!$B$26+1)+0</f>
        <v/>
      </c>
      <c r="F22">
        <f>Summary!$B$3</f>
        <v/>
      </c>
      <c r="G22">
        <f>B875</f>
        <v/>
      </c>
      <c r="H22">
        <f>Summary!$B$3*(((1-Summary!$B$11)*IFERROR(B873/Summary!$B$24,1)+Summary!$B$11*IFERROR(B874/Summary!$B$25,1))-1)</f>
        <v/>
      </c>
      <c r="I22">
        <f>((1-Summary!$B$11)*IFERROR(B873/Summary!$B$24,1)+Summary!$B$11*IFERROR(B874/Summary!$B$25,1))*100</f>
        <v/>
      </c>
    </row>
    <row r="23">
      <c r="A23" t="inlineStr">
        <is>
          <t>Skill Level Bonus — 3rd Job</t>
        </is>
      </c>
      <c r="B23">
        <f>IFERROR(1/(I23-100),"n/a")</f>
        <v/>
      </c>
      <c r="C23" t="inlineStr">
        <is>
          <t>level</t>
        </is>
      </c>
      <c r="D23">
        <f>Inputs!$B$27+0</f>
        <v/>
      </c>
      <c r="E23">
        <f>(Inputs!$B$27+1)+0</f>
        <v/>
      </c>
      <c r="F23">
        <f>Summary!$B$3</f>
        <v/>
      </c>
      <c r="G23">
        <f>B920</f>
        <v/>
      </c>
      <c r="H23">
        <f>Summary!$B$3*(((1-Summary!$B$11)*IFERROR(B918/Summary!$B$24,1)+Summary!$B$11*IFERROR(B919/Summary!$B$25,1))-1)</f>
        <v/>
      </c>
      <c r="I23">
        <f>((1-Summary!$B$11)*IFERROR(B918/Summary!$B$24,1)+Summary!$B$11*IFERROR(B919/Summary!$B$25,1))*100</f>
        <v/>
      </c>
    </row>
    <row r="24">
      <c r="A24" t="inlineStr">
        <is>
          <t>Skill Level Bonus — 4th Job</t>
        </is>
      </c>
      <c r="B24">
        <f>IFERROR(1/(I24-100),"n/a")</f>
        <v/>
      </c>
      <c r="C24" t="inlineStr">
        <is>
          <t>level</t>
        </is>
      </c>
      <c r="D24">
        <f>Inputs!$B$28+0</f>
        <v/>
      </c>
      <c r="E24">
        <f>(Inputs!$B$28+1)+0</f>
        <v/>
      </c>
      <c r="F24">
        <f>Summary!$B$3</f>
        <v/>
      </c>
      <c r="G24">
        <f>B965</f>
        <v/>
      </c>
      <c r="H24">
        <f>Summary!$B$3*(((1-Summary!$B$11)*IFERROR(B963/Summary!$B$24,1)+Summary!$B$11*IFERROR(B964/Summary!$B$25,1))-1)</f>
        <v/>
      </c>
      <c r="I24">
        <f>((1-Summary!$B$11)*IFERROR(B963/Summary!$B$24,1)+Summary!$B$11*IFERROR(B964/Summary!$B$25,1))*100</f>
        <v/>
      </c>
    </row>
    <row r="25">
      <c r="A25" t="inlineStr">
        <is>
          <t>Skill Level Bonus — All Skills</t>
        </is>
      </c>
      <c r="B25">
        <f>IFERROR(1/(I25-100),"n/a")</f>
        <v/>
      </c>
      <c r="C25" t="inlineStr">
        <is>
          <t>level</t>
        </is>
      </c>
      <c r="D25">
        <f>Inputs!$B$29+0</f>
        <v/>
      </c>
      <c r="E25">
        <f>(Inputs!$B$29+1)+0</f>
        <v/>
      </c>
      <c r="F25">
        <f>Summary!$B$3</f>
        <v/>
      </c>
      <c r="G25">
        <f>B1010</f>
        <v/>
      </c>
      <c r="H25">
        <f>Summary!$B$3*(((1-Summary!$B$11)*IFERROR(B1008/Summary!$B$24,1)+Summary!$B$11*IFERROR(B1009/Summary!$B$25,1))-1)</f>
        <v/>
      </c>
      <c r="I25">
        <f>((1-Summary!$B$11)*IFERROR(B1008/Summary!$B$24,1)+Summary!$B$11*IFERROR(B1009/Summary!$B$25,1))*100</f>
        <v/>
      </c>
    </row>
    <row r="26">
      <c r="A26" t="inlineStr">
        <is>
          <t>Flat ATTACK</t>
        </is>
      </c>
      <c r="B26">
        <f>IFERROR(1/(I26-100),"n/a")</f>
        <v/>
      </c>
      <c r="C26" t="inlineStr">
        <is>
          <t>flat</t>
        </is>
      </c>
      <c r="D26">
        <f>Inputs!$B$6+0</f>
        <v/>
      </c>
      <c r="E26">
        <f>(Inputs!$B$6+1)+0</f>
        <v/>
      </c>
      <c r="F26">
        <f>Summary!$B$3</f>
        <v/>
      </c>
      <c r="G26">
        <f>B1055</f>
        <v/>
      </c>
      <c r="H26">
        <f>Summary!$B$3*(((1-Summary!$B$11)*IFERROR(B1053/Summary!$B$24,1)+Summary!$B$11*IFERROR(B1054/Summary!$B$25,1))-1)</f>
        <v/>
      </c>
      <c r="I26">
        <f>((1-Summary!$B$11)*IFERROR(B1053/Summary!$B$24,1)+Summary!$B$11*IFERROR(B1054/Summary!$B$25,1))*100</f>
        <v/>
      </c>
    </row>
    <row r="27">
      <c r="A27" t="inlineStr">
        <is>
          <t>ATTACK %</t>
        </is>
      </c>
      <c r="B27">
        <f>IFERROR(1/(I27-100),"n/a")</f>
        <v/>
      </c>
      <c r="C27" t="inlineStr">
        <is>
          <t>pct</t>
        </is>
      </c>
      <c r="D27">
        <f>Inputs!$B$7+0</f>
        <v/>
      </c>
      <c r="E27">
        <f>(Inputs!$B$7+1)+0</f>
        <v/>
      </c>
      <c r="F27">
        <f>Summary!$B$3</f>
        <v/>
      </c>
      <c r="G27">
        <f>B1100</f>
        <v/>
      </c>
      <c r="H27">
        <f>Summary!$B$3*(((1-Summary!$B$11)*IFERROR(B1098/Summary!$B$24,1)+Summary!$B$11*IFERROR(B1099/Summary!$B$25,1))-1)</f>
        <v/>
      </c>
      <c r="I27">
        <f>((1-Summary!$B$11)*IFERROR(B1098/Summary!$B$24,1)+Summary!$B$11*IFERROR(B1099/Summary!$B$25,1))*100</f>
        <v/>
      </c>
    </row>
    <row r="28">
      <c r="A28" t="inlineStr">
        <is>
          <t>Skill Cooldown Decrease (seconds)</t>
        </is>
      </c>
      <c r="B28">
        <f>IFERROR(1/(I28-100),"n/a")</f>
        <v/>
      </c>
      <c r="C28" t="inlineStr">
        <is>
          <t>flat</t>
        </is>
      </c>
      <c r="D28">
        <f>Inputs!$B$32+0</f>
        <v/>
      </c>
      <c r="E28">
        <f>(Inputs!$B$32+1)+0</f>
        <v/>
      </c>
      <c r="F28">
        <f>Summary!$B$3</f>
        <v/>
      </c>
      <c r="G28">
        <f>B1145</f>
        <v/>
      </c>
      <c r="H28">
        <f>Summary!$B$3*(((1-Summary!$B$11)*IFERROR(B1143/Summary!$B$24,1)+Summary!$B$11*IFERROR(B1144/Summary!$B$25,1))-1)</f>
        <v/>
      </c>
      <c r="I28">
        <f>((1-Summary!$B$11)*IFERROR(B1143/Summary!$B$24,1)+Summary!$B$11*IFERROR(B1144/Summary!$B$25,1))*100</f>
        <v/>
      </c>
    </row>
    <row r="29">
      <c r="A29" t="inlineStr">
        <is>
          <t>Basic Attack Target Increase (flat)</t>
        </is>
      </c>
      <c r="B29">
        <f>IFERROR(1/(I29-100),"n/a")</f>
        <v/>
      </c>
      <c r="C29" t="inlineStr">
        <is>
          <t>flat</t>
        </is>
      </c>
      <c r="D29">
        <f>Inputs!$B$33+0</f>
        <v/>
      </c>
      <c r="E29">
        <f>(Inputs!$B$33+1)+0</f>
        <v/>
      </c>
      <c r="F29">
        <f>Summary!$B$3</f>
        <v/>
      </c>
      <c r="G29">
        <f>B1190</f>
        <v/>
      </c>
      <c r="H29">
        <f>Summary!$B$3*(((1-Summary!$B$11)*IFERROR(B1188/Summary!$B$24,1)+Summary!$B$11*IFERROR(B1189/Summary!$B$25,1))-1)</f>
        <v/>
      </c>
      <c r="I29">
        <f>((1-Summary!$B$11)*IFERROR(B1188/Summary!$B$24,1)+Summary!$B$11*IFERROR(B1189/Summary!$B$25,1))*100</f>
        <v/>
      </c>
    </row>
    <row r="30">
      <c r="A30" t="inlineStr">
        <is>
          <t>Buff Duration Increase %</t>
        </is>
      </c>
      <c r="B30">
        <f>IFERROR(1/(I30-100),"n/a")</f>
        <v/>
      </c>
      <c r="C30" t="inlineStr">
        <is>
          <t>pct</t>
        </is>
      </c>
      <c r="D30">
        <f>Inputs!$B$34+0</f>
        <v/>
      </c>
      <c r="E30">
        <f>(Inputs!$B$34+1)+0</f>
        <v/>
      </c>
      <c r="F30">
        <f>Summary!$B$3</f>
        <v/>
      </c>
      <c r="G30">
        <f>B1235</f>
        <v/>
      </c>
      <c r="H30">
        <f>Summary!$B$3*(((1-Summary!$B$11)*IFERROR(B1233/Summary!$B$24,1)+Summary!$B$11*IFERROR(B1234/Summary!$B$25,1))-1)</f>
        <v/>
      </c>
      <c r="I30">
        <f>((1-Summary!$B$11)*IFERROR(B1233/Summary!$B$24,1)+Summary!$B$11*IFERROR(B1234/Summary!$B$25,1))*100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(IF(ArtifactsInput!$M$5,-1,1)*Summary!$B$3*(((1-Summary!$B$11)*IFERROR(B1278/Summary!$B$24,1)+Summary!$B$11*IFERROR(B1279/Summary!$B$25,1))-1)+ArtifactsInput!$L$5)</f>
        <v/>
      </c>
      <c r="AC33">
        <f>IF(ArtifactsInput!$M$5,Summary!$B$3/(Summary!$B$3-(IF(ArtifactsInput!$M$5,-1,1)*Summary!$B$3*(((1-Summary!$B$11)*IFERROR(B1278/Summary!$B$24,1)+Summary!$B$11*IFERROR(B1279/Summary!$B$25,1))-1)+ArtifactsInput!$L$5))*100,(Summary!$B$3+(IF(ArtifactsInput!$M$5,-1,1)*Summary!$B$3*(((1-Summary!$B$11)*IFERROR(B1278/Summary!$B$24,1)+Summary!$B$11*IFERROR(B1279/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(IF(ArtifactsInput!$M$6,-1,1)*Summary!$B$3*(((1-Summary!$B$11)*IFERROR(B1323/Summary!$B$24,1)+Summary!$B$11*IFERROR(B1324/Summary!$B$25,1))-1)+ArtifactsInput!$L$6)</f>
        <v/>
      </c>
      <c r="AC34">
        <f>IF(ArtifactsInput!$M$6,Summary!$B$3/(Summary!$B$3-(IF(ArtifactsInput!$M$6,-1,1)*Summary!$B$3*(((1-Summary!$B$11)*IFERROR(B1323/Summary!$B$24,1)+Summary!$B$11*IFERROR(B1324/Summary!$B$25,1))-1)+ArtifactsInput!$L$6))*100,(Summary!$B$3+(IF(ArtifactsInput!$M$6,-1,1)*Summary!$B$3*(((1-Summary!$B$11)*IFERROR(B1323/Summary!$B$24,1)+Summary!$B$11*IFERROR(B1324/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(IF(ArtifactsInput!$M$7,-1,1)*Summary!$B$3*(((1-Summary!$B$11)*IFERROR(B1368/Summary!$B$24,1)+Summary!$B$11*IFERROR(B1369/Summary!$B$25,1))-1)+ArtifactsInput!$L$7)</f>
        <v/>
      </c>
      <c r="AC35">
        <f>IF(ArtifactsInput!$M$7,Summary!$B$3/(Summary!$B$3-(IF(ArtifactsInput!$M$7,-1,1)*Summary!$B$3*(((1-Summary!$B$11)*IFERROR(B1368/Summary!$B$24,1)+Summary!$B$11*IFERROR(B1369/Summary!$B$25,1))-1)+ArtifactsInput!$L$7))*100,(Summary!$B$3+(IF(ArtifactsInput!$M$7,-1,1)*Summary!$B$3*(((1-Summary!$B$11)*IFERROR(B1368/Summary!$B$24,1)+Summary!$B$11*IFERROR(B1369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(IF(ArtifactsInput!$M$8,-1,1)*Summary!$B$3*(((1-Summary!$B$11)*IFERROR(B1413/Summary!$B$24,1)+Summary!$B$11*IFERROR(B1414/Summary!$B$25,1))-1)+ArtifactsInput!$L$8)</f>
        <v/>
      </c>
      <c r="AC36">
        <f>IF(ArtifactsInput!$M$8,Summary!$B$3/(Summary!$B$3-(IF(ArtifactsInput!$M$8,-1,1)*Summary!$B$3*(((1-Summary!$B$11)*IFERROR(B1413/Summary!$B$24,1)+Summary!$B$11*IFERROR(B1414/Summary!$B$25,1))-1)+ArtifactsInput!$L$8))*100,(Summary!$B$3+(IF(ArtifactsInput!$M$8,-1,1)*Summary!$B$3*(((1-Summary!$B$11)*IFERROR(B1413/Summary!$B$24,1)+Summary!$B$11*IFERROR(B1414/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(IF(ArtifactsInput!$M$10,-1,1)*Summary!$B$3*(((1-Summary!$B$11)*IFERROR(B1458/Summary!$B$24,1)+Summary!$B$11*IFERROR(B1459/Summary!$B$25,1))-1)+ArtifactsInput!$L$10)</f>
        <v/>
      </c>
      <c r="AC37">
        <f>IF(ArtifactsInput!$M$10,Summary!$B$3/(Summary!$B$3-(IF(ArtifactsInput!$M$10,-1,1)*Summary!$B$3*(((1-Summary!$B$11)*IFERROR(B1458/Summary!$B$24,1)+Summary!$B$11*IFERROR(B1459/Summary!$B$25,1))-1)+ArtifactsInput!$L$10))*100,(Summary!$B$3+(IF(ArtifactsInput!$M$10,-1,1)*Summary!$B$3*(((1-Summary!$B$11)*IFERROR(B1458/Summary!$B$24,1)+Summary!$B$11*IFERROR(B1459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(IF(ArtifactsInput!$M$11,-1,1)*Summary!$B$3*(((1-Summary!$B$11)*IFERROR(B1503/Summary!$B$24,1)+Summary!$B$11*IFERROR(B1504/Summary!$B$25,1))-1)+ArtifactsInput!$L$11)</f>
        <v/>
      </c>
      <c r="AC38">
        <f>IF(ArtifactsInput!$M$11,Summary!$B$3/(Summary!$B$3-(IF(ArtifactsInput!$M$11,-1,1)*Summary!$B$3*(((1-Summary!$B$11)*IFERROR(B1503/Summary!$B$24,1)+Summary!$B$11*IFERROR(B1504/Summary!$B$25,1))-1)+ArtifactsInput!$L$11))*100,(Summary!$B$3+(IF(ArtifactsInput!$M$11,-1,1)*Summary!$B$3*(((1-Summary!$B$11)*IFERROR(B1503/Summary!$B$24,1)+Summary!$B$11*IFERROR(B1504/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(IF(ArtifactsInput!$M$12,-1,1)*Summary!$B$3*(((1-Summary!$B$11)*IFERROR(B1548/Summary!$B$24,1)+Summary!$B$11*IFERROR(B1549/Summary!$B$25,1))-1)+ArtifactsInput!$L$12)</f>
        <v/>
      </c>
      <c r="AC39">
        <f>IF(ArtifactsInput!$M$12,Summary!$B$3/(Summary!$B$3-(IF(ArtifactsInput!$M$12,-1,1)*Summary!$B$3*(((1-Summary!$B$11)*IFERROR(B1548/Summary!$B$24,1)+Summary!$B$11*IFERROR(B1549/Summary!$B$25,1))-1)+ArtifactsInput!$L$12))*100,(Summary!$B$3+(IF(ArtifactsInput!$M$12,-1,1)*Summary!$B$3*(((1-Summary!$B$11)*IFERROR(B1548/Summary!$B$24,1)+Summary!$B$11*IFERROR(B1549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(IF(ArtifactsInput!$M$13,-1,1)*Summary!$B$3*(((1-Summary!$B$11)*IFERROR(B1593/Summary!$B$24,1)+Summary!$B$11*IFERROR(B1594/Summary!$B$25,1))-1)+ArtifactsInput!$L$13)</f>
        <v/>
      </c>
      <c r="AC40">
        <f>IF(ArtifactsInput!$M$13,Summary!$B$3/(Summary!$B$3-(IF(ArtifactsInput!$M$13,-1,1)*Summary!$B$3*(((1-Summary!$B$11)*IFERROR(B1593/Summary!$B$24,1)+Summary!$B$11*IFERROR(B1594/Summary!$B$25,1))-1)+ArtifactsInput!$L$13))*100,(Summary!$B$3+(IF(ArtifactsInput!$M$13,-1,1)*Summary!$B$3*(((1-Summary!$B$11)*IFERROR(B1593/Summary!$B$24,1)+Summary!$B$11*IFERROR(B1594/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(IF(ArtifactsInput!$M$14,-1,1)*Summary!$B$3*(((1-Summary!$B$11)*IFERROR(B1638/Summary!$B$24,1)+Summary!$B$11*IFERROR(B1639/Summary!$B$25,1))-1)+ArtifactsInput!$L$14)</f>
        <v/>
      </c>
      <c r="AC41">
        <f>IF(ArtifactsInput!$M$14,Summary!$B$3/(Summary!$B$3-(IF(ArtifactsInput!$M$14,-1,1)*Summary!$B$3*(((1-Summary!$B$11)*IFERROR(B1638/Summary!$B$24,1)+Summary!$B$11*IFERROR(B1639/Summary!$B$25,1))-1)+ArtifactsInput!$L$14))*100,(Summary!$B$3+(IF(ArtifactsInput!$M$14,-1,1)*Summary!$B$3*(((1-Summary!$B$11)*IFERROR(B1638/Summary!$B$24,1)+Summary!$B$11*IFERROR(B1639/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(IF(ArtifactsInput!$M$15,-1,1)*Summary!$B$3*(((1-Summary!$B$11)*IFERROR(B1683/Summary!$B$24,1)+Summary!$B$11*IFERROR(B1684/Summary!$B$25,1))-1)+ArtifactsInput!$L$15)</f>
        <v/>
      </c>
      <c r="AC42">
        <f>IF(ArtifactsInput!$M$15,Summary!$B$3/(Summary!$B$3-(IF(ArtifactsInput!$M$15,-1,1)*Summary!$B$3*(((1-Summary!$B$11)*IFERROR(B1683/Summary!$B$24,1)+Summary!$B$11*IFERROR(B1684/Summary!$B$25,1))-1)+ArtifactsInput!$L$15))*100,(Summary!$B$3+(IF(ArtifactsInput!$M$15,-1,1)*Summary!$B$3*(((1-Summary!$B$11)*IFERROR(B1683/Summary!$B$24,1)+Summary!$B$11*IFERROR(B1684/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(IF(ArtifactsInput!$M$16,-1,1)*Summary!$B$3*(((1-Summary!$B$11)*IFERROR(B1728/Summary!$B$24,1)+Summary!$B$11*IFERROR(B1729/Summary!$B$25,1))-1)+ArtifactsInput!$L$16)</f>
        <v/>
      </c>
      <c r="AC43">
        <f>IF(ArtifactsInput!$M$16,Summary!$B$3/(Summary!$B$3-(IF(ArtifactsInput!$M$16,-1,1)*Summary!$B$3*(((1-Summary!$B$11)*IFERROR(B1728/Summary!$B$24,1)+Summary!$B$11*IFERROR(B1729/Summary!$B$25,1))-1)+ArtifactsInput!$L$16))*100,(Summary!$B$3+(IF(ArtifactsInput!$M$16,-1,1)*Summary!$B$3*(((1-Summary!$B$11)*IFERROR(B1728/Summary!$B$24,1)+Summary!$B$11*IFERROR(B1729/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(IF(ArtifactsInput!$M$17,-1,1)*Summary!$B$3*(((1-Summary!$B$11)*IFERROR(B1773/Summary!$B$24,1)+Summary!$B$11*IFERROR(B1774/Summary!$B$25,1))-1)+ArtifactsInput!$L$17)</f>
        <v/>
      </c>
      <c r="AC44">
        <f>IF(ArtifactsInput!$M$17,Summary!$B$3/(Summary!$B$3-(IF(ArtifactsInput!$M$17,-1,1)*Summary!$B$3*(((1-Summary!$B$11)*IFERROR(B1773/Summary!$B$24,1)+Summary!$B$11*IFERROR(B1774/Summary!$B$25,1))-1)+ArtifactsInput!$L$17))*100,(Summary!$B$3+(IF(ArtifactsInput!$M$17,-1,1)*Summary!$B$3*(((1-Summary!$B$11)*IFERROR(B1773/Summary!$B$24,1)+Summary!$B$11*IFERROR(B1774/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(IF(ArtifactsInput!$M$18,-1,1)*Summary!$B$3*(((1-Summary!$B$11)*IFERROR(B1818/Summary!$B$24,1)+Summary!$B$11*IFERROR(B1819/Summary!$B$25,1))-1)+ArtifactsInput!$L$18)</f>
        <v/>
      </c>
      <c r="AC45">
        <f>IF(ArtifactsInput!$M$18,Summary!$B$3/(Summary!$B$3-(IF(ArtifactsInput!$M$18,-1,1)*Summary!$B$3*(((1-Summary!$B$11)*IFERROR(B1818/Summary!$B$24,1)+Summary!$B$11*IFERROR(B1819/Summary!$B$25,1))-1)+ArtifactsInput!$L$18))*100,(Summary!$B$3+(IF(ArtifactsInput!$M$18,-1,1)*Summary!$B$3*(((1-Summary!$B$11)*IFERROR(B1818/Summary!$B$24,1)+Summary!$B$11*IFERROR(B1819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(IF(ArtifactsInput!$M$20,-1,1)*Summary!$B$3*(((1-Summary!$B$11)*IFERROR(B1863/Summary!$B$24,1)+Summary!$B$11*IFERROR(B1864/Summary!$B$25,1))-1)+ArtifactsInput!$L$20)</f>
        <v/>
      </c>
      <c r="AC46">
        <f>IF(ArtifactsInput!$M$20,Summary!$B$3/(Summary!$B$3-(IF(ArtifactsInput!$M$20,-1,1)*Summary!$B$3*(((1-Summary!$B$11)*IFERROR(B1863/Summary!$B$24,1)+Summary!$B$11*IFERROR(B1864/Summary!$B$25,1))-1)+ArtifactsInput!$L$20))*100,(Summary!$B$3+(IF(ArtifactsInput!$M$20,-1,1)*Summary!$B$3*(((1-Summary!$B$11)*IFERROR(B1863/Summary!$B$24,1)+Summary!$B$11*IFERROR(B1864/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(IF(ArtifactsInput!$M$21,-1,1)*Summary!$B$3*(((1-Summary!$B$11)*IFERROR(B1908/Summary!$B$24,1)+Summary!$B$11*IFERROR(B1909/Summary!$B$25,1))-1)+ArtifactsInput!$L$21)</f>
        <v/>
      </c>
      <c r="AC47">
        <f>IF(ArtifactsInput!$M$21,Summary!$B$3/(Summary!$B$3-(IF(ArtifactsInput!$M$21,-1,1)*Summary!$B$3*(((1-Summary!$B$11)*IFERROR(B1908/Summary!$B$24,1)+Summary!$B$11*IFERROR(B1909/Summary!$B$25,1))-1)+ArtifactsInput!$L$21))*100,(Summary!$B$3+(IF(ArtifactsInput!$M$21,-1,1)*Summary!$B$3*(((1-Summary!$B$11)*IFERROR(B1908/Summary!$B$24,1)+Summary!$B$11*IFERROR(B1909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(IF(ArtifactsInput!$M$22,-1,1)*Summary!$B$3*(((1-Summary!$B$11)*IFERROR(B1953/Summary!$B$24,1)+Summary!$B$11*IFERROR(B1954/Summary!$B$25,1))-1)+ArtifactsInput!$L$22)</f>
        <v/>
      </c>
      <c r="AC48">
        <f>IF(ArtifactsInput!$M$22,Summary!$B$3/(Summary!$B$3-(IF(ArtifactsInput!$M$22,-1,1)*Summary!$B$3*(((1-Summary!$B$11)*IFERROR(B1953/Summary!$B$24,1)+Summary!$B$11*IFERROR(B1954/Summary!$B$25,1))-1)+ArtifactsInput!$L$22))*100,(Summary!$B$3+(IF(ArtifactsInput!$M$22,-1,1)*Summary!$B$3*(((1-Summary!$B$11)*IFERROR(B1953/Summary!$B$24,1)+Summary!$B$11*IFERROR(B1954/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(IF(ArtifactsInput!$M$23,-1,1)*Summary!$B$3*(((1-Summary!$B$11)*IFERROR(B1998/Summary!$B$24,1)+Summary!$B$11*IFERROR(B1999/Summary!$B$25,1))-1)+ArtifactsInput!$L$23)</f>
        <v/>
      </c>
      <c r="AC49">
        <f>IF(ArtifactsInput!$M$23,Summary!$B$3/(Summary!$B$3-(IF(ArtifactsInput!$M$23,-1,1)*Summary!$B$3*(((1-Summary!$B$11)*IFERROR(B1998/Summary!$B$24,1)+Summary!$B$11*IFERROR(B1999/Summary!$B$25,1))-1)+ArtifactsInput!$L$23))*100,(Summary!$B$3+(IF(ArtifactsInput!$M$23,-1,1)*Summary!$B$3*(((1-Summary!$B$11)*IFERROR(B1998/Summary!$B$24,1)+Summary!$B$11*IFERROR(B1999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(IF(ArtifactsInput!$M$24,-1,1)*Summary!$B$3*(((1-Summary!$B$11)*IFERROR(B2043/Summary!$B$24,1)+Summary!$B$11*IFERROR(B2044/Summary!$B$25,1))-1)+ArtifactsInput!$L$24)</f>
        <v/>
      </c>
      <c r="AC50">
        <f>IF(ArtifactsInput!$M$24,Summary!$B$3/(Summary!$B$3-(IF(ArtifactsInput!$M$24,-1,1)*Summary!$B$3*(((1-Summary!$B$11)*IFERROR(B2043/Summary!$B$24,1)+Summary!$B$11*IFERROR(B2044/Summary!$B$25,1))-1)+ArtifactsInput!$L$24))*100,(Summary!$B$3+(IF(ArtifactsInput!$M$24,-1,1)*Summary!$B$3*(((1-Summary!$B$11)*IFERROR(B2043/Summary!$B$24,1)+Summary!$B$11*IFERROR(B2044/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(IF(ArtifactsInput!$M$25,-1,1)*Summary!$B$3*(((1-Summary!$B$11)*IFERROR(B2088/Summary!$B$24,1)+Summary!$B$11*IFERROR(B2089/Summary!$B$25,1))-1)+ArtifactsInput!$L$25)</f>
        <v/>
      </c>
      <c r="AC51">
        <f>IF(ArtifactsInput!$M$25,Summary!$B$3/(Summary!$B$3-(IF(ArtifactsInput!$M$25,-1,1)*Summary!$B$3*(((1-Summary!$B$11)*IFERROR(B2088/Summary!$B$24,1)+Summary!$B$11*IFERROR(B2089/Summary!$B$25,1))-1)+ArtifactsInput!$L$25))*100,(Summary!$B$3+(IF(ArtifactsInput!$M$25,-1,1)*Summary!$B$3*(((1-Summary!$B$11)*IFERROR(B2088/Summary!$B$24,1)+Summary!$B$11*IFERROR(B2089/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(IF(ArtifactsInput!$M$26,-1,1)*Summary!$B$3*(((1-Summary!$B$11)*IFERROR(B2133/Summary!$B$24,1)+Summary!$B$11*IFERROR(B2134/Summary!$B$25,1))-1)+ArtifactsInput!$L$26)</f>
        <v/>
      </c>
      <c r="AC52">
        <f>IF(ArtifactsInput!$M$26,Summary!$B$3/(Summary!$B$3-(IF(ArtifactsInput!$M$26,-1,1)*Summary!$B$3*(((1-Summary!$B$11)*IFERROR(B2133/Summary!$B$24,1)+Summary!$B$11*IFERROR(B2134/Summary!$B$25,1))-1)+ArtifactsInput!$L$26))*100,(Summary!$B$3+(IF(ArtifactsInput!$M$26,-1,1)*Summary!$B$3*(((1-Summary!$B$11)*IFERROR(B2133/Summary!$B$24,1)+Summary!$B$11*IFERROR(B2134/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(IF(ArtifactsInput!$M$27,-1,1)*Summary!$B$3*(((1-Summary!$B$11)*IFERROR(B2178/Summary!$B$24,1)+Summary!$B$11*IFERROR(B2179/Summary!$B$25,1))-1)+ArtifactsInput!$L$27)</f>
        <v/>
      </c>
      <c r="AC53">
        <f>IF(ArtifactsInput!$M$27,Summary!$B$3/(Summary!$B$3-(IF(ArtifactsInput!$M$27,-1,1)*Summary!$B$3*(((1-Summary!$B$11)*IFERROR(B2178/Summary!$B$24,1)+Summary!$B$11*IFERROR(B2179/Summary!$B$25,1))-1)+ArtifactsInput!$L$27))*100,(Summary!$B$3+(IF(ArtifactsInput!$M$27,-1,1)*Summary!$B$3*(((1-Summary!$B$11)*IFERROR(B2178/Summary!$B$24,1)+Summary!$B$11*IFERROR(B2179/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(IF(ArtifactsInput!$M$28,-1,1)*Summary!$B$3*(((1-Summary!$B$11)*IFERROR(B2223/Summary!$B$24,1)+Summary!$B$11*IFERROR(B2224/Summary!$B$25,1))-1)+ArtifactsInput!$L$28)</f>
        <v/>
      </c>
      <c r="AC54">
        <f>IF(ArtifactsInput!$M$28,Summary!$B$3/(Summary!$B$3-(IF(ArtifactsInput!$M$28,-1,1)*Summary!$B$3*(((1-Summary!$B$11)*IFERROR(B2223/Summary!$B$24,1)+Summary!$B$11*IFERROR(B2224/Summary!$B$25,1))-1)+ArtifactsInput!$L$28))*100,(Summary!$B$3+(IF(ArtifactsInput!$M$28,-1,1)*Summary!$B$3*(((1-Summary!$B$11)*IFERROR(B2223/Summary!$B$24,1)+Summary!$B$11*IFERROR(B2224/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(IF(ArtifactsInput!$M$29,-1,1)*Summary!$B$3*(((1-Summary!$B$11)*IFERROR(B2268/Summary!$B$24,1)+Summary!$B$11*IFERROR(B2269/Summary!$B$25,1))-1)+ArtifactsInput!$L$29)</f>
        <v/>
      </c>
      <c r="AC55">
        <f>IF(ArtifactsInput!$M$29,Summary!$B$3/(Summary!$B$3-(IF(ArtifactsInput!$M$29,-1,1)*Summary!$B$3*(((1-Summary!$B$11)*IFERROR(B2268/Summary!$B$24,1)+Summary!$B$11*IFERROR(B2269/Summary!$B$25,1))-1)+ArtifactsInput!$L$29))*100,(Summary!$B$3+(IF(ArtifactsInput!$M$29,-1,1)*Summary!$B$3*(((1-Summary!$B$11)*IFERROR(B2268/Summary!$B$24,1)+Summary!$B$11*IFERROR(B2269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(IF(ArtifactsInput!$M$30,-1,1)*Summary!$B$3*(((1-Summary!$B$11)*IFERROR(B2313/Summary!$B$24,1)+Summary!$B$11*IFERROR(B2314/Summary!$B$25,1))-1)+ArtifactsInput!$L$30)</f>
        <v/>
      </c>
      <c r="AC56">
        <f>IF(ArtifactsInput!$M$30,Summary!$B$3/(Summary!$B$3-(IF(ArtifactsInput!$M$30,-1,1)*Summary!$B$3*(((1-Summary!$B$11)*IFERROR(B2313/Summary!$B$24,1)+Summary!$B$11*IFERROR(B2314/Summary!$B$25,1))-1)+ArtifactsInput!$L$30))*100,(Summary!$B$3+(IF(ArtifactsInput!$M$30,-1,1)*Summary!$B$3*(((1-Summary!$B$11)*IFERROR(B2313/Summary!$B$24,1)+Summary!$B$11*IFERROR(B2314/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(IF(ArtifactsInput!$M$31,-1,1)*Summary!$B$3*(((1-Summary!$B$11)*IFERROR(B2358/Summary!$B$24,1)+Summary!$B$11*IFERROR(B2359/Summary!$B$25,1))-1)+ArtifactsInput!$L$31)</f>
        <v/>
      </c>
      <c r="AC57">
        <f>IF(ArtifactsInput!$M$31,Summary!$B$3/(Summary!$B$3-(IF(ArtifactsInput!$M$31,-1,1)*Summary!$B$3*(((1-Summary!$B$11)*IFERROR(B2358/Summary!$B$24,1)+Summary!$B$11*IFERROR(B2359/Summary!$B$25,1))-1)+ArtifactsInput!$L$31))*100,(Summary!$B$3+(IF(ArtifactsInput!$M$31,-1,1)*Summary!$B$3*(((1-Summary!$B$11)*IFERROR(B2358/Summary!$B$24,1)+Summary!$B$11*IFERROR(B2359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(IF(ArtifactsInput!$M$32,-1,1)*Summary!$B$3*(((1-Summary!$B$11)*IFERROR(B2403/Summary!$B$24,1)+Summary!$B$11*IFERROR(B2404/Summary!$B$25,1))-1)+ArtifactsInput!$L$32)</f>
        <v/>
      </c>
      <c r="AC58">
        <f>IF(ArtifactsInput!$M$32,Summary!$B$3/(Summary!$B$3-(IF(ArtifactsInput!$M$32,-1,1)*Summary!$B$3*(((1-Summary!$B$11)*IFERROR(B2403/Summary!$B$24,1)+Summary!$B$11*IFERROR(B2404/Summary!$B$25,1))-1)+ArtifactsInput!$L$32))*100,(Summary!$B$3+(IF(ArtifactsInput!$M$32,-1,1)*Summary!$B$3*(((1-Summary!$B$11)*IFERROR(B2403/Summary!$B$24,1)+Summary!$B$11*IFERROR(B2404/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(IF(ArtifactsInput!$M$33,-1,1)*Summary!$B$3*(((1-Summary!$B$11)*IFERROR(B2448/Summary!$B$24,1)+Summary!$B$11*IFERROR(B2449/Summary!$B$25,1))-1)+ArtifactsInput!$L$33)</f>
        <v/>
      </c>
      <c r="AC59">
        <f>IF(ArtifactsInput!$M$33,Summary!$B$3/(Summary!$B$3-(IF(ArtifactsInput!$M$33,-1,1)*Summary!$B$3*(((1-Summary!$B$11)*IFERROR(B2448/Summary!$B$24,1)+Summary!$B$11*IFERROR(B2449/Summary!$B$25,1))-1)+ArtifactsInput!$L$33))*100,(Summary!$B$3+(IF(ArtifactsInput!$M$33,-1,1)*Summary!$B$3*(((1-Summary!$B$11)*IFERROR(B2448/Summary!$B$24,1)+Summary!$B$11*IFERROR(B2449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(IF(ArtifactsInput!$M$34,-1,1)*Summary!$B$3*(((1-Summary!$B$11)*IFERROR(B2493/Summary!$B$24,1)+Summary!$B$11*IFERROR(B2494/Summary!$B$25,1))-1)+ArtifactsInput!$L$34)</f>
        <v/>
      </c>
      <c r="AC60">
        <f>IF(ArtifactsInput!$M$34,Summary!$B$3/(Summary!$B$3-(IF(ArtifactsInput!$M$34,-1,1)*Summary!$B$3*(((1-Summary!$B$11)*IFERROR(B2493/Summary!$B$24,1)+Summary!$B$11*IFERROR(B2494/Summary!$B$25,1))-1)+ArtifactsInput!$L$34))*100,(Summary!$B$3+(IF(ArtifactsInput!$M$34,-1,1)*Summary!$B$3*(((1-Summary!$B$11)*IFERROR(B2493/Summary!$B$24,1)+Summary!$B$11*IFERROR(B2494/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(IF(ArtifactsInput!$M$35,-1,1)*Summary!$B$3*(((1-Summary!$B$11)*IFERROR(B2538/Summary!$B$24,1)+Summary!$B$11*IFERROR(B2539/Summary!$B$25,1))-1)+ArtifactsInput!$L$35)</f>
        <v/>
      </c>
      <c r="AC61">
        <f>IF(ArtifactsInput!$M$35,Summary!$B$3/(Summary!$B$3-(IF(ArtifactsInput!$M$35,-1,1)*Summary!$B$3*(((1-Summary!$B$11)*IFERROR(B2538/Summary!$B$24,1)+Summary!$B$11*IFERROR(B2539/Summary!$B$25,1))-1)+ArtifactsInput!$L$35))*100,(Summary!$B$3+(IF(ArtifactsInput!$M$35,-1,1)*Summary!$B$3*(((1-Summary!$B$11)*IFERROR(B2538/Summary!$B$24,1)+Summary!$B$11*IFERROR(B2539/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(IF(ArtifactsInput!$M$36,-1,1)*Summary!$B$3*(((1-Summary!$B$11)*IFERROR(B2583/Summary!$B$24,1)+Summary!$B$11*IFERROR(B2584/Summary!$B$25,1))-1)+ArtifactsInput!$L$36)</f>
        <v/>
      </c>
      <c r="AC62">
        <f>IF(ArtifactsInput!$M$36,Summary!$B$3/(Summary!$B$3-(IF(ArtifactsInput!$M$36,-1,1)*Summary!$B$3*(((1-Summary!$B$11)*IFERROR(B2583/Summary!$B$24,1)+Summary!$B$11*IFERROR(B2584/Summary!$B$25,1))-1)+ArtifactsInput!$L$36))*100,(Summary!$B$3+(IF(ArtifactsInput!$M$36,-1,1)*Summary!$B$3*(((1-Summary!$B$11)*IFERROR(B2583/Summary!$B$24,1)+Summary!$B$11*IFERROR(B2584/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(IF(ArtifactsInput!$M$37,-1,1)*Summary!$B$3*(((1-Summary!$B$11)*IFERROR(B2628/Summary!$B$24,1)+Summary!$B$11*IFERROR(B2629/Summary!$B$25,1))-1)+ArtifactsInput!$L$37)</f>
        <v/>
      </c>
      <c r="AC63">
        <f>IF(ArtifactsInput!$M$37,Summary!$B$3/(Summary!$B$3-(IF(ArtifactsInput!$M$37,-1,1)*Summary!$B$3*(((1-Summary!$B$11)*IFERROR(B2628/Summary!$B$24,1)+Summary!$B$11*IFERROR(B2629/Summary!$B$25,1))-1)+ArtifactsInput!$L$37))*100,(Summary!$B$3+(IF(ArtifactsInput!$M$37,-1,1)*Summary!$B$3*(((1-Summary!$B$11)*IFERROR(B2628/Summary!$B$24,1)+Summary!$B$11*IFERROR(B2629/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(IF(ArtifactsInput!$M$38,-1,1)*Summary!$B$3*(((1-Summary!$B$11)*IFERROR(B2673/Summary!$B$24,1)+Summary!$B$11*IFERROR(B2674/Summary!$B$25,1))-1)+ArtifactsInput!$L$38)</f>
        <v/>
      </c>
      <c r="AC64">
        <f>IF(ArtifactsInput!$M$38,Summary!$B$3/(Summary!$B$3-(IF(ArtifactsInput!$M$38,-1,1)*Summary!$B$3*(((1-Summary!$B$11)*IFERROR(B2673/Summary!$B$24,1)+Summary!$B$11*IFERROR(B2674/Summary!$B$25,1))-1)+ArtifactsInput!$L$38))*100,(Summary!$B$3+(IF(ArtifactsInput!$M$38,-1,1)*Summary!$B$3*(((1-Summary!$B$11)*IFERROR(B2673/Summary!$B$24,1)+Summary!$B$11*IFERROR(B2674/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(IF(ArtifactsInput!$M$39,-1,1)*Summary!$B$3*(((1-Summary!$B$11)*IFERROR(B2718/Summary!$B$24,1)+Summary!$B$11*IFERROR(B2719/Summary!$B$25,1))-1)+ArtifactsInput!$L$39)</f>
        <v/>
      </c>
      <c r="AC65">
        <f>IF(ArtifactsInput!$M$39,Summary!$B$3/(Summary!$B$3-(IF(ArtifactsInput!$M$39,-1,1)*Summary!$B$3*(((1-Summary!$B$11)*IFERROR(B2718/Summary!$B$24,1)+Summary!$B$11*IFERROR(B2719/Summary!$B$25,1))-1)+ArtifactsInput!$L$39))*100,(Summary!$B$3+(IF(ArtifactsInput!$M$39,-1,1)*Summary!$B$3*(((1-Summary!$B$11)*IFERROR(B2718/Summary!$B$24,1)+Summary!$B$11*IFERROR(B2719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(IF(ArtifactsInput!$M$40,-1,1)*Summary!$B$3*(((1-Summary!$B$11)*IFERROR(B2763/Summary!$B$24,1)+Summary!$B$11*IFERROR(B2764/Summary!$B$25,1))-1)+ArtifactsInput!$L$40)</f>
        <v/>
      </c>
      <c r="AC66">
        <f>IF(ArtifactsInput!$M$40,Summary!$B$3/(Summary!$B$3-(IF(ArtifactsInput!$M$40,-1,1)*Summary!$B$3*(((1-Summary!$B$11)*IFERROR(B2763/Summary!$B$24,1)+Summary!$B$11*IFERROR(B2764/Summary!$B$25,1))-1)+ArtifactsInput!$L$40))*100,(Summary!$B$3+(IF(ArtifactsInput!$M$40,-1,1)*Summary!$B$3*(((1-Summary!$B$11)*IFERROR(B2763/Summary!$B$24,1)+Summary!$B$11*IFERROR(B2764/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(IF(ArtifactsInput!$M$41,-1,1)*Summary!$B$3*(((1-Summary!$B$11)*IFERROR(B2808/Summary!$B$24,1)+Summary!$B$11*IFERROR(B2809/Summary!$B$25,1))-1)+ArtifactsInput!$L$41)</f>
        <v/>
      </c>
      <c r="AC67">
        <f>IF(ArtifactsInput!$M$41,Summary!$B$3/(Summary!$B$3-(IF(ArtifactsInput!$M$41,-1,1)*Summary!$B$3*(((1-Summary!$B$11)*IFERROR(B2808/Summary!$B$24,1)+Summary!$B$11*IFERROR(B2809/Summary!$B$25,1))-1)+ArtifactsInput!$L$41))*100,(Summary!$B$3+(IF(ArtifactsInput!$M$41,-1,1)*Summary!$B$3*(((1-Summary!$B$11)*IFERROR(B2808/Summary!$B$24,1)+Summary!$B$11*IFERROR(B2809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(IF(ArtifactsInput!$M$42,-1,1)*Summary!$B$3*(((1-Summary!$B$11)*IFERROR(B2853/Summary!$B$24,1)+Summary!$B$11*IFERROR(B2854/Summary!$B$25,1))-1)+ArtifactsInput!$L$42)</f>
        <v/>
      </c>
      <c r="AC68">
        <f>IF(ArtifactsInput!$M$42,Summary!$B$3/(Summary!$B$3-(IF(ArtifactsInput!$M$42,-1,1)*Summary!$B$3*(((1-Summary!$B$11)*IFERROR(B2853/Summary!$B$24,1)+Summary!$B$11*IFERROR(B2854/Summary!$B$25,1))-1)+ArtifactsInput!$L$42))*100,(Summary!$B$3+(IF(ArtifactsInput!$M$42,-1,1)*Summary!$B$3*(((1-Summary!$B$11)*IFERROR(B2853/Summary!$B$24,1)+Summary!$B$11*IFERROR(B2854/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TRUE,F96,0)/100)*(1+(IF(Skills!A3="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IF(B110=0,0,O74/B110)</f>
        <v/>
      </c>
      <c r="Q74">
        <f>IFERROR(1/(IF(Inputs!$B$38="pvp",15,MAX(0.1,Skills!D3-IF(TRUE=TRUE,Inputs!$B$32,0)))*(1-IF(AND(ArtifactsInput!$M$27,Inputs!$B$4="Chapter Hunt"),CHOOSE(ArtifactsInput!$N$27+1,20,24,28,32,36,40),0)/100)),0)</f>
        <v/>
      </c>
      <c r="R74">
        <f>IF(AND(Inputs!$B$38&lt;&gt;"pvp",Inputs!$B$43&gt;0),IF(MAX(0,Inputs!$B$43-B107)&lt;=0,0,(INT(MAX(0,Inputs!$B$43-B107)/(IF(Inputs!$B$38="pvp",15,MAX(0.1,Skills!D3-IF(TRUE=TRUE,Inputs!$B$32,0)))*(1-IF(AND(ArtifactsInput!$M$27,Inputs!$B$4="Chapter Hunt"),CHOOSE(ArtifactsInput!$N$27+1,20,24,28,32,36,40),0)/100)))+1)),0)</f>
        <v/>
      </c>
      <c r="S74">
        <f>IFERROR(O74/N74,0)</f>
        <v/>
      </c>
      <c r="T74">
        <f>IF(C74,(Skills!G3*N74*IF(C75=TRUE,1-B112,1)/B111)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IF(C74,(Skills!G3*N74*IF(C75=TRUE,1-B112,1)/B111)*IF(Inputs!$B$38="pvp",1,(1+(Inputs!$B$21+Skills!Q3+(IF(ArtifactsInput!$M$33,CHOOSE(ArtifactsInput!$N$33+1,30,36,42,48,54,60),0))+(IF(AND(ArtifactsInput!$M$35,Inputs!$B$4&lt;&gt;"Chapter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Inputs!$B$3&gt;=69</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IF(B110=0,0,O75/B110)</f>
        <v/>
      </c>
      <c r="Q75" t="n">
        <v>0</v>
      </c>
      <c r="R75" t="n">
        <v>0</v>
      </c>
      <c r="S75">
        <f>IFERROR(O75/N75,0)</f>
        <v/>
      </c>
      <c r="T75">
        <f>IF(C75,(Skills!G4*N75*B112/B111)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IF(C75,(Skills!G4*N75*B112/B111)*IF(Inputs!$B$38="pvp",1,(1+(Inputs!$B$21+Skills!Q4+(IF(ArtifactsInput!$M$33,CHOOSE(ArtifactsInput!$N$33+1,30,36,42,48,54,60),0))+(IF(AND(ArtifactsInput!$M$35,Inputs!$B$4&lt;&gt;"Chapter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IF(B110=0,0,O76/B110)</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Inputs!$B$3&gt;=103</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B112</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IFERROR(1/(IF(Inputs!$B$38="pvp",15,MAX(0.1,Skills!D9-IF(TRUE=TRUE,Inputs!$B$32,0)))*(1-IF(AND(ArtifactsInput!$M$27,Inputs!$B$4="Chapter Hunt"),CHOOSE(ArtifactsInput!$N$27+1,20,24,28,32,36,40),0)/100)),0)</f>
        <v/>
      </c>
      <c r="R80">
        <f>IF(AND(Inputs!$B$38&lt;&gt;"pvp",Inputs!$B$43&gt;0),IF(MAX(0,Inputs!$B$43-B107)&lt;=0,0,(INT(MAX(0,Inputs!$B$43-B107)/(IF(Inputs!$B$38="pvp",15,MAX(0.1,Skills!D9-IF(TRUE=TRUE,Inputs!$B$32,0)))*(1-IF(AND(ArtifactsInput!$M$27,Inputs!$B$4="Chapter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Inputs!$B$3&gt;=105</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t="n">
        <v>0</v>
      </c>
      <c r="R82" t="n">
        <v>0</v>
      </c>
      <c r="S82">
        <f>IFERROR(O82/N82,0)</f>
        <v/>
      </c>
      <c r="T82">
        <f>IF(C82,((H82*B113)/(1+Skills!H11*H82*B113)*N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IF(C82,((H82*B113)/(1+Skills!H11*H82*B113)*N82)*IF(Inputs!$B$38="pvp",1,(1+(Inputs!$B$21+Skills!Q11+(IF(ArtifactsInput!$M$33,CHOOSE(ArtifactsInput!$N$33+1,30,36,42,48,54,60),0))+(IF(AND(ArtifactsInput!$M$35,Inputs!$B$4&lt;&gt;"Chapter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Inputs!$B$3&gt;=115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f>IFERROR(1/(IF(Inputs!$B$38="pvp",15,MAX(0.1,Skills!D14-IF(TRUE=TRUE,Inputs!$B$32,0)))*(1-IF(AND(ArtifactsInput!$M$27,Inputs!$B$4="Chapter Hunt"),CHOOSE(ArtifactsInput!$N$27+1,20,24,28,32,36,40),0)/100)),0)</f>
        <v/>
      </c>
      <c r="R85">
        <f>IF(AND(Inputs!$B$38&lt;&gt;"pvp",Inputs!$B$43&gt;0),IF(Inputs!$B$43&lt;=0,0,(INT(Inputs!$B$43/(IF(Inputs!$B$38="pvp",15,MAX(0.1,Skills!D14-IF(TRUE=TRUE,Inputs!$B$32,0)))*(1-IF(AND(ArtifactsInput!$M$27,Inputs!$B$4="Chapter Hunt"),CHOOSE(ArtifactsInput!$N$27+1,20,24,28,32,36,40),0)/100)))+1)),0)</f>
        <v/>
      </c>
      <c r="S85">
        <f>IFERROR(O85/N85,0)</f>
        <v/>
      </c>
      <c r="T85" t="n">
        <v>0</v>
      </c>
      <c r="V85" t="n">
        <v>0</v>
      </c>
    </row>
    <row r="86">
      <c r="A86">
        <f>Skills!A15</f>
        <v/>
      </c>
      <c r="B86">
        <f>Skills!B15</f>
        <v/>
      </c>
      <c r="C86">
        <f>Inputs!$B$3&gt;=125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Inputs!$B$3&gt;=10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t="n">
        <v>0</v>
      </c>
      <c r="R87" t="n">
        <v>0</v>
      </c>
      <c r="S87">
        <f>IFERROR(O87/N87,0)</f>
        <v/>
      </c>
      <c r="T87" t="n">
        <v>0</v>
      </c>
      <c r="V87" t="n">
        <v>0</v>
      </c>
    </row>
    <row r="88">
      <c r="A88">
        <f>Skills!A17</f>
        <v/>
      </c>
      <c r="B88">
        <f>Skills!B17</f>
        <v/>
      </c>
      <c r="C88">
        <f>Inputs!$B$3&gt;=15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f>IFERROR(1/(IF(Inputs!$B$38="pvp",15,MAX(0.1,Skills!D23-IF(TRUE=TRUE,Inputs!$B$32,0)))*(1-IF(AND(ArtifactsInput!$M$27,Inputs!$B$4="Chapter Hunt"),CHOOSE(ArtifactsInput!$N$27+1,20,24,28,32,36,40),0)/100)),0)</f>
        <v/>
      </c>
      <c r="R94">
        <f>IF(AND(Inputs!$B$38&lt;&gt;"pvp",Inputs!$B$43&gt;0),IF(Inputs!$B$43&lt;=0,0,(INT(Inputs!$B$43/(IF(Inputs!$B$38="pvp",15,MAX(0.1,Skills!D23-IF(TRUE=TRUE,Inputs!$B$32,0)))*(1-IF(AND(ArtifactsInput!$M$27,Inputs!$B$4="Chapter Hunt"),CHOOSE(ArtifactsInput!$N$27+1,20,24,28,32,36,40),0)/100)))+1)),0)</f>
        <v/>
      </c>
      <c r="S94">
        <f>IFERROR(O94/N94,0)</f>
        <v/>
      </c>
      <c r="T94" t="n">
        <v>0</v>
      </c>
      <c r="V94" t="n">
        <v>0</v>
      </c>
    </row>
    <row r="95">
      <c r="A95">
        <f>Skills!A24</f>
        <v/>
      </c>
      <c r="B95">
        <f>Skills!B24</f>
        <v/>
      </c>
      <c r="C95">
        <f>Inputs!$B$3&gt;=107</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f>IFERROR(1/(IF(Inputs!$B$38="pvp",15,MAX(0.1,Skills!D24-IF(TRUE=TRUE,Inputs!$B$32,0)))*(1-IF(AND(ArtifactsInput!$M$27,Inputs!$B$4="Chapter Hunt"),CHOOSE(ArtifactsInput!$N$27+1,20,24,28,32,36,40),0)/100)),0)</f>
        <v/>
      </c>
      <c r="R95">
        <f>IF(AND(Inputs!$B$38&lt;&gt;"pvp",Inputs!$B$43&gt;0),IF(Inputs!$B$43&lt;=0,0,(INT(Inputs!$B$43/(IF(Inputs!$B$38="pvp",15,MAX(0.1,Skills!D24-IF(TRUE=TRUE,Inputs!$B$32,0)))*(1-IF(AND(ArtifactsInput!$M$27,Inputs!$B$4="Chapter Hunt"),CHOOSE(ArtifactsInput!$N$27+1,20,24,28,32,36,40),0)/100)))+1)),0)</f>
        <v/>
      </c>
      <c r="S95">
        <f>IFERROR(O95/N95,0)</f>
        <v/>
      </c>
      <c r="T95" t="n">
        <v>0</v>
      </c>
      <c r="V95" t="n">
        <v>0</v>
      </c>
    </row>
    <row r="96">
      <c r="A96">
        <f>Skills!A25</f>
        <v/>
      </c>
      <c r="B96">
        <f>Skills!B25</f>
        <v/>
      </c>
      <c r="C96">
        <f>Inputs!$B$3&gt;=110</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t="inlineStr"/>
      <c r="H96" t="inlineStr"/>
      <c r="I96" t="inlineStr">
        <is>
          <t>1</t>
        </is>
      </c>
      <c r="J96" t="inlineStr"/>
      <c r="K96" t="inlineStr"/>
      <c r="L96" t="inlineStr"/>
      <c r="M96" t="inlineStr"/>
      <c r="N96" t="inlineStr"/>
      <c r="O96" t="inlineStr"/>
      <c r="P96" t="inlineStr"/>
      <c r="Q96" t="inlineStr"/>
      <c r="R96" t="inlineStr"/>
      <c r="S96" t="inlineStr"/>
      <c r="T96" t="inlineStr"/>
      <c r="V96" t="inlineStr"/>
    </row>
    <row r="97">
      <c r="A97">
        <f>Skills!A26</f>
        <v/>
      </c>
      <c r="B97">
        <f>Skills!B26</f>
        <v/>
      </c>
      <c r="C97">
        <f>Inputs!$B$3&gt;=117</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t="inlineStr"/>
      <c r="H97" t="inlineStr"/>
      <c r="I97" t="inlineStr">
        <is>
          <t>1</t>
        </is>
      </c>
      <c r="J97" t="inlineStr"/>
      <c r="K97" t="inlineStr"/>
      <c r="L97" t="inlineStr"/>
      <c r="M97" t="inlineStr"/>
      <c r="N97" t="inlineStr"/>
      <c r="O97" t="inlineStr"/>
      <c r="P97" t="inlineStr"/>
      <c r="Q97" t="inlineStr"/>
      <c r="R97" t="inlineStr"/>
      <c r="S97" t="inlineStr"/>
      <c r="T97" t="inlineStr"/>
      <c r="V97" t="inlineStr"/>
    </row>
    <row r="99">
      <c r="A99" t="inlineStr">
        <is>
          <t>Attack% Bucket Multiplier</t>
        </is>
      </c>
      <c r="B99">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 (Nimble Feet + Speed Infusion, duty-cycle averaged)</t>
        </is>
      </c>
      <c r="B101">
        <f>((C94=TRUE)*F94*IF(AND(Inputs!$B$38&lt;&gt;"pvp",Inputs!$B$43&gt;0),(((R94-1)*MIN((Skills!T23*(1+Inputs!$B$34/100)),(1/Q94))+MIN((Skills!T23*(1+Inputs!$B$34/100)),MAX(0,Inputs!$B$43-((R94-1)*(1/Q94)))))/Inputs!$B$43),IF(Inputs!$B$38="pvp",MIN((Skills!T23*(1+Inputs!$B$34/100)),15)/15,MIN(1,(Skills!T23*(1+Inputs!$B$34/100))/(1/Q94)))))+((C95=TRUE)*F95*IF(AND(Inputs!$B$38&lt;&gt;"pvp",Inputs!$B$43&gt;0),(((R95-1)*MIN((Skills!T24*(1+Inputs!$B$34/100)),(1/Q95))+MIN((Skills!T24*(1+Inputs!$B$34/100)),MAX(0,Inputs!$B$43-((R95-1)*(1/Q95)))))/Inputs!$B$43),IF(Inputs!$B$38="pvp",MIN((Skills!T24*(1+Inputs!$B$34/100)),15)/15,MIN(1,(Skills!T24*(1+Inputs!$B$34/100))/(1/Q95)))))</f>
        <v/>
      </c>
    </row>
    <row r="102">
      <c r="A102" t="inlineStr">
        <is>
          <t>Actions Per Second</t>
        </is>
      </c>
      <c r="B102">
        <f>1+MIN(150,150*(1-(1-(Inputs!$B$11+((C88=TRUE)*(F88-Calc!F17))+((C89=TRUE)*(F89-Calc!F18)))/150)*(1-B101/150)))/100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Hook Bomber Casts Per Second</t>
        </is>
      </c>
      <c r="B104">
        <f>MAX(0,B102-B103)</f>
        <v/>
      </c>
    </row>
    <row r="105">
      <c r="A105" t="inlineStr">
        <is>
          <t>Global Critical Damage Bonus % (unused)</t>
        </is>
      </c>
      <c r="B105" t="n">
        <v>0</v>
      </c>
    </row>
    <row r="106">
      <c r="A106" t="inlineStr">
        <is>
          <t>Global Final Damage Bonus % (Serpent Scale + Crossbones + Time Leap + Speed Infusion)</t>
        </is>
      </c>
      <c r="B106">
        <f>((C76=TRUE)*(F76*B112+4*(1-B112)))+((C85=TRUE)*F85*IF(AND(Inputs!$B$38&lt;&gt;"pvp",Inputs!$B$43&gt;0),(((R85-1)*MIN((Skills!T14*(1+Inputs!$B$34/100)),(1/Q85))+MIN((Skills!T14*(1+Inputs!$B$34/100)),MAX(0,Inputs!$B$43-((R85-1)*(1/Q85)))))/Inputs!$B$43),IF(Inputs!$B$38="pvp",MIN((Skills!T14*(1+Inputs!$B$34/100)),15)/15,MIN(1,(Skills!T14*(1+Inputs!$B$34/100))/(1/Q85)))))+((C86=TRUE)*F86*IF(AND(Inputs!$B$38&lt;&gt;"pvp",Inputs!$B$43&gt;0),(((R86-1)*MIN((Skills!T15*(1+Inputs!$B$34/100)),(1/Q86))+MIN((Skills!T15*(1+Inputs!$B$34/100)),MAX(0,Inputs!$B$43-((R86-1)*(1/Q86)))))/Inputs!$B$43),IF(Inputs!$B$38="pvp",MIN((Skills!T15*(1+Inputs!$B$34/100)),15)/15,MIN(1,(Skills!T15*(1+Inputs!$B$34/100))/(1/Q86)))))+((C95=TRUE)*20*((1+MIN(150,150*(1-(1-(Inputs!$B$11+((C88=TRUE)*(F88-Calc!F17))+((C89=TRUE)*(F89-Calc!F18)))/150)*(1-(((C94=TRUE)*F94*IF(AND(Inputs!$B$38&lt;&gt;"pvp",Inputs!$B$43&gt;0),(((R94-1)*MIN((Skills!T23*(1+Inputs!$B$34/100)),(1/Q94))+MIN((Skills!T23*(1+Inputs!$B$34/100)),MAX(0,Inputs!$B$43-((R94-1)*(1/Q94)))))/Inputs!$B$43),IF(Inputs!$B$38="pvp",MIN((Skills!T23*(1+Inputs!$B$34/100)),15)/15,MIN(1,(Skills!T23*(1+Inputs!$B$34/100))/(1/Q94)))))+F95)/150)))/100)-1)*IF(AND(Inputs!$B$38&lt;&gt;"pvp",Inputs!$B$43&gt;0),(((R95-1)*MIN((Skills!T24*(1+Inputs!$B$34/100)),(1/Q95))+MIN((Skills!T24*(1+Inputs!$B$34/100)),MAX(0,Inputs!$B$43-((R95-1)*(1/Q95)))))/Inputs!$B$43),IF(Inputs!$B$38="pvp",MIN((Skills!T24*(1+Inputs!$B$34/100)),15)/15,MIN(1,(Skills!T24*(1+Inputs!$B$34/100))/(1/Q95)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1">
      <c r="A111" t="inlineStr">
        <is>
          <t>Serpent activation interval T (this block's own Hook Bomber rate)</t>
        </is>
      </c>
      <c r="B111">
        <f>((1/Q74)+IFERROR(0.5/B104,0))</f>
        <v/>
      </c>
    </row>
    <row r="112">
      <c r="A112" t="inlineStr">
        <is>
          <t>Assault Mode uptime u (this block)</t>
        </is>
      </c>
      <c r="B112">
        <f>IF(C76=TRUE,(10+IF(Inputs!$B$3&gt;=94,5,0))/((10+IF(Inputs!$B$3&gt;=94,5,0))+IF(Inputs!$B$3&gt;=104,3,5)*B111),0)</f>
        <v/>
      </c>
    </row>
    <row r="113">
      <c r="A113" t="inlineStr">
        <is>
          <t>Nautilus Strike - Final Attack trigger rate (this block's own Q/R)</t>
        </is>
      </c>
      <c r="B113">
        <f>IF(AND(Inputs!$B$38&lt;&gt;"pvp",Inputs!$B$43&gt;0),(((C77=TRUE)*R77)+((C78=TRUE)*R78)+((C81=TRUE)*R81))/Inputs!$B$43,((C77=TRUE)*Q77)+((C78=TRUE)*Q78)+((C81=TRUE)*Q81))+B104</f>
        <v/>
      </c>
    </row>
    <row r="116">
      <c r="A116" s="6" t="inlineStr">
        <is>
          <t>Stat: STR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136=TRUE)*(F136-Calc!F20)),(Inputs!$B$23+0+(IF(ArtifactsInput!$M$15,CHOOSE(ArtifactsInput!$N$15+1,25,30,35,40,45,50)/100*(Inputs!$B$11-Inputs!$B$11),0))))/100+(Inputs!$B$23+0+(IF(ArtifactsInput!$M$15,CHOOSE(ArtifactsInput!$N$15+1,25,30,35,40,45,50)/100*(Inputs!$B$11-Inputs!$B$11),0)))/100)/2</f>
        <v/>
      </c>
      <c r="M118">
        <f>L118*(1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IF(B155=0,0,O118/B155)</f>
        <v/>
      </c>
      <c r="Q118" t="n">
        <v>0</v>
      </c>
      <c r="R118" t="n">
        <v>0</v>
      </c>
      <c r="S118">
        <f>IFERROR(O118/N118,0)</f>
        <v/>
      </c>
      <c r="T118">
        <f>IF(C118,(Skills!G2*N118*B149)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IF(C118,(Skills!G2*N118*B149)*IF(Inputs!$B$38="pvp",1,(1+(Inputs!$B$21+Skills!Q2+(IF(ArtifactsInput!$M$33,CHOOSE(ArtifactsInput!$N$33+1,30,36,42,48,54,60),0))+(IF(AND(ArtifactsInput!$M$35,Inputs!$B$4&lt;&gt;"Chapter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Inputs!$B$3&gt;=35</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f>Skills!G3*IF(Skills!H3&gt;0,Skills!I3/Skills!H3,1)</f>
        <v/>
      </c>
      <c r="H119">
        <f>1-(1-Skills!J3/100)^Skills!K3</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TRUE,F141,0)/100)*(1+(IF(Skills!A3="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136=TRUE)*(F136-Calc!F20)),(Inputs!$B$23+0+(IF(ArtifactsInput!$M$15,CHOOSE(ArtifactsInput!$N$15+1,25,30,35,40,45,50)/100*(Inputs!$B$11-Inputs!$B$11),0))))/100+(Inputs!$B$23+0+(IF(ArtifactsInput!$M$15,CHOOSE(ArtifactsInput!$N$15+1,25,30,35,40,45,50)/100*(Inputs!$B$11-Inputs!$B$11),0)))/100)/2</f>
        <v/>
      </c>
      <c r="M119">
        <f>L119*(1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IF(B155=0,0,O119/B155)</f>
        <v/>
      </c>
      <c r="Q119">
        <f>IFERROR(1/(IF(Inputs!$B$38="pvp",15,MAX(0.1,Skills!D3-IF(TRUE=TRUE,Inputs!$B$32,0)))*(1-IF(AND(ArtifactsInput!$M$27,Inputs!$B$4="Chapter Hunt"),CHOOSE(ArtifactsInput!$N$27+1,20,24,28,32,36,40),0)/100)),0)</f>
        <v/>
      </c>
      <c r="R119">
        <f>IF(AND(Inputs!$B$38&lt;&gt;"pvp",Inputs!$B$43&gt;0),IF(MAX(0,Inputs!$B$43-B152)&lt;=0,0,(INT(MAX(0,Inputs!$B$43-B152)/(IF(Inputs!$B$38="pvp",15,MAX(0.1,Skills!D3-IF(TRUE=TRUE,Inputs!$B$32,0)))*(1-IF(AND(ArtifactsInput!$M$27,Inputs!$B$4="Chapter Hunt"),CHOOSE(ArtifactsInput!$N$27+1,20,24,28,32,36,40),0)/100)))+1)),0)</f>
        <v/>
      </c>
      <c r="S119">
        <f>IFERROR(O119/N119,0)</f>
        <v/>
      </c>
      <c r="T119">
        <f>IF(C119,(Skills!G3*N119*IF(C120=TRUE,1-B157,1)/B156)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INDEX(FactorTable!$B$2:$Y$301, MATCH(ROUND(MIN(300,MAX(1,U118)),0), FactorTable!$A$2:$A$301,0), 22)</f>
        <v/>
      </c>
      <c r="V119">
        <f>IF(C119,(Skills!G3*N119*IF(C120=TRUE,1-B157,1)/B156)*IF(Inputs!$B$38="pvp",1,(1+(Inputs!$B$21+Skills!Q3+(IF(ArtifactsInput!$M$33,CHOOSE(ArtifactsInput!$N$33+1,30,36,42,48,54,60),0))+(IF(AND(ArtifactsInput!$M$35,Inputs!$B$4&lt;&gt;"Chapter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Skills!A4</f>
        <v/>
      </c>
      <c r="B120">
        <f>Skills!B4</f>
        <v/>
      </c>
      <c r="C120">
        <f>Inputs!$B$3&gt;=69</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f>Skills!G4*IF(Skills!H4&gt;0,Skills!I4/Skills!H4,1)</f>
        <v/>
      </c>
      <c r="H120">
        <f>1-(1-Skills!J4/100)^Skills!K4</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TRUE,F128,0)/100)*(1+(IF(Skills!A4="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136=TRUE)*(F136-Calc!F20)),(Inputs!$B$23+0+(IF(ArtifactsInput!$M$15,CHOOSE(ArtifactsInput!$N$15+1,25,30,35,40,45,50)/100*(Inputs!$B$11-Inputs!$B$11),0))))/100+(Inputs!$B$23+0+(IF(ArtifactsInput!$M$15,CHOOSE(ArtifactsInput!$N$15+1,25,30,35,40,45,50)/100*(Inputs!$B$11-Inputs!$B$11),0)))/100)/2</f>
        <v/>
      </c>
      <c r="M120">
        <f>L120*(1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IF(B155=0,0,O120/B155)</f>
        <v/>
      </c>
      <c r="Q120" t="n">
        <v>0</v>
      </c>
      <c r="R120" t="n">
        <v>0</v>
      </c>
      <c r="S120">
        <f>IFERROR(O120/N120,0)</f>
        <v/>
      </c>
      <c r="T120">
        <f>IF(C120,(Skills!G4*N120*B157/B156)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290*U119/1000</f>
        <v/>
      </c>
      <c r="V120">
        <f>IF(C120,(Skills!G4*N120*B157/B156)*IF(Inputs!$B$38="pvp",1,(1+(Inputs!$B$21+Skills!Q4+(IF(ArtifactsInput!$M$33,CHOOSE(ArtifactsInput!$N$33+1,30,36,42,48,54,60),0))+(IF(AND(ArtifactsInput!$M$35,Inputs!$B$4&lt;&gt;"Chapter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Skills!A5</f>
        <v/>
      </c>
      <c r="B121">
        <f>Skills!B5</f>
        <v/>
      </c>
      <c r="C121">
        <f>Inputs!$B$3&gt;=66</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t="inlineStr"/>
      <c r="K121" t="inlineStr"/>
      <c r="L121" t="inlineStr"/>
      <c r="M121" t="inlineStr"/>
      <c r="N121" t="inlineStr"/>
      <c r="O121">
        <f>(1-Summary!$B$11)*T121+Summary!$B$11*V121</f>
        <v/>
      </c>
      <c r="P121">
        <f>IF(B155=0,0,O121/B155)</f>
        <v/>
      </c>
      <c r="Q121" t="n">
        <v>0</v>
      </c>
      <c r="R121" t="n">
        <v>0</v>
      </c>
      <c r="S121">
        <f>IFERROR(O121/N121,0)</f>
        <v/>
      </c>
      <c r="T121" t="n">
        <v>0</v>
      </c>
      <c r="V121" t="n">
        <v>0</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128=TRUE,F128,0)/100)*(1+(IF(Skills!A6="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136=TRUE)*(F136-Calc!F20)),(Inputs!$B$23+0+(IF(ArtifactsInput!$M$15,CHOOSE(ArtifactsInput!$N$15+1,25,30,35,40,45,50)/100*(Inputs!$B$11-Inputs!$B$11),0))))/100+(Inputs!$B$23+0+(IF(ArtifactsInput!$M$15,CHOOSE(ArtifactsInput!$N$15+1,25,30,35,40,45,50)/100*(Inputs!$B$11-Inputs!$B$11),0)))/100)/2</f>
        <v/>
      </c>
      <c r="M122">
        <f>L122*(1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IF(B155=0,0,O122/B155)</f>
        <v/>
      </c>
      <c r="Q122">
        <f>IFERROR(1/(IF(Inputs!$B$38="pvp",15,MAX(0.1,Skills!D6-IF(TRUE=TRUE,Inputs!$B$32,0)))*(1-IF(AND(ArtifactsInput!$M$27,Inputs!$B$4="Chapter Hunt"),CHOOSE(ArtifactsInput!$N$27+1,20,24,28,32,36,40),0)/100)),0)</f>
        <v/>
      </c>
      <c r="R122">
        <f>IF(AND(Inputs!$B$38&lt;&gt;"pvp",Inputs!$B$43&gt;0),IF(MAX(0,Inputs!$B$43-B152)&lt;=0,0,(INT(MAX(0,Inputs!$B$43-B152)/(IF(Inputs!$B$38="pvp",15,MAX(0.1,Skills!D6-IF(TRUE=TRUE,Inputs!$B$32,0)))*(1-IF(AND(ArtifactsInput!$M$27,Inputs!$B$4="Chapter Hunt"),CHOOSE(ArtifactsInput!$N$27+1,20,24,28,32,36,40),0)/100)))+1)),0)</f>
        <v/>
      </c>
      <c r="S122">
        <f>IFERROR(O122/N122,0)</f>
        <v/>
      </c>
      <c r="T122">
        <f>IF(C122,(H122*N122*IF(AND(Inputs!$B$38&lt;&gt;"pvp",Inputs!$B$43&gt;0),((Skills!G6*((R122-1)*IF(Skills!H6&gt;0,Skills!I6/Skills!H6,1)+IF(Skills!H6&gt;0,MIN(Skills!I6,MAX(0,MAX(0,Inputs!$B$43-B152)-((R122-1)*(IF(Inputs!$B$38="pvp",15,MAX(0.1,Skills!D6-IF(TRUE=TRUE,Inputs!$B$32,0)))*(1-IF(AND(ArtifactsInput!$M$27,Inputs!$B$4="Chapter Hunt"),CHOOSE(ArtifactsInput!$N$27+1,20,24,28,32,36,40),0)/100)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152)-((R122-1)*(IF(Inputs!$B$38="pvp",15,MAX(0.1,Skills!D6-IF(TRUE=TRUE,Inputs!$B$32,0)))*(1-IF(AND(ArtifactsInput!$M$27,Inputs!$B$4="Chapter Hunt"),CHOOSE(ArtifactsInput!$N$27+1,20,24,28,32,36,40),0)/100)))))/Skills!H6,1)))/Inputs!$B$43),G122*Q122))*IF(Inputs!$B$38="pvp",1,(1+(Inputs!$B$21+Skills!Q6+(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Inputs!$B$3&gt;=103</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136=TRUE)*(F136-Calc!F20)),(Inputs!$B$23+0+(IF(ArtifactsInput!$M$15,CHOOSE(ArtifactsInput!$N$15+1,25,30,35,40,45,50)/100*(Inputs!$B$11-Inputs!$B$11),0))))/100+(Inputs!$B$23+0+(IF(ArtifactsInput!$M$15,CHOOSE(ArtifactsInput!$N$15+1,25,30,35,40,45,50)/100*(Inputs!$B$11-Inputs!$B$11),0)))/100)/2</f>
        <v/>
      </c>
      <c r="M123">
        <f>L123*(1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IF(B155=0,0,O123/B155)</f>
        <v/>
      </c>
      <c r="Q123">
        <f>IFERROR(1/(IF(Inputs!$B$38="pvp",15,MAX(0.1,Skills!D7-IF(TRUE=TRUE,Inputs!$B$32,0)))*(1-IF(AND(ArtifactsInput!$M$27,Inputs!$B$4="Chapter Hunt"),CHOOSE(ArtifactsInput!$N$27+1,20,24,28,32,36,40),0)/100)),0)</f>
        <v/>
      </c>
      <c r="R123">
        <f>IF(AND(Inputs!$B$38&lt;&gt;"pvp",Inputs!$B$43&gt;0),IF(MAX(0,Inputs!$B$43-B152)&lt;=0,0,(INT(MAX(0,Inputs!$B$43-B152)/(IF(Inputs!$B$38="pvp",15,MAX(0.1,Skills!D7-IF(TRUE=TRUE,Inputs!$B$32,0)))*(1-IF(AND(ArtifactsInput!$M$27,Inputs!$B$4="Chapter Hunt"),CHOOSE(ArtifactsInput!$N$27+1,20,24,28,32,36,40),0)/100)))+1)),0)</f>
        <v/>
      </c>
      <c r="S123">
        <f>IFERROR(O123/N123,0)</f>
        <v/>
      </c>
      <c r="T123">
        <f>IF(C123,(H123*N123*IF(AND(Inputs!$B$38&lt;&gt;"pvp",Inputs!$B$43&gt;0),((Skills!G7*((R123-1)*IF(Skills!H7&gt;0,Skills!I7/Skills!H7,1)+IF(Skills!H7&gt;0,MIN(Skills!I7,MAX(0,MAX(0,Inputs!$B$43-B152)-((R123-1)*(IF(Inputs!$B$38="pvp",15,MAX(0.1,Skills!D7-IF(TRUE=TRUE,Inputs!$B$32,0)))*(1-IF(AND(ArtifactsInput!$M$27,Inputs!$B$4="Chapter Hunt"),CHOOSE(ArtifactsInput!$N$27+1,20,24,28,32,36,40),0)/100)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152)-((R123-1)*(IF(Inputs!$B$38="pvp",15,MAX(0.1,Skills!D7-IF(TRUE=TRUE,Inputs!$B$32,0)))*(1-IF(AND(ArtifactsInput!$M$27,Inputs!$B$4="Chapter Hunt"),CHOOSE(ArtifactsInput!$N$27+1,20,24,28,32,36,40),0)/100)))))/Skills!H7,1)))/Inputs!$B$43),G123*Q123))*IF(Inputs!$B$38="pvp",1,(1+(Inputs!$B$21+Skills!Q7+(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Inputs!$B$3&gt;=117</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f>Skills!G8*IF(Skills!H8&gt;0,Skills!I8/Skills!H8,1)</f>
        <v/>
      </c>
      <c r="H124">
        <f>1-(1-Skills!J8/100)^Skills!K8</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136=TRUE)*(F136-Calc!F20)),(Inputs!$B$23+0+(IF(ArtifactsInput!$M$15,CHOOSE(ArtifactsInput!$N$15+1,25,30,35,40,45,50)/100*(Inputs!$B$11-Inputs!$B$11),0))))/100+(Inputs!$B$23+0+(IF(ArtifactsInput!$M$15,CHOOSE(ArtifactsInput!$N$15+1,25,30,35,40,45,50)/100*(Inputs!$B$11-Inputs!$B$11),0)))/100)/2</f>
        <v/>
      </c>
      <c r="M124">
        <f>L124*(1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IF(B155=0,0,O124/B155)</f>
        <v/>
      </c>
      <c r="Q124">
        <f>IFERROR(1/(IF(Inputs!$B$38="pvp",15,MAX(0.1,Skills!D8-IF(TRUE=TRUE,Inputs!$B$32,0)))*(1-IF(AND(ArtifactsInput!$M$27,Inputs!$B$4="Chapter Hunt"),CHOOSE(ArtifactsInput!$N$27+1,20,24,28,32,36,40),0)/100)),0)</f>
        <v/>
      </c>
      <c r="R124">
        <f>IF(AND(Inputs!$B$38&lt;&gt;"pvp",Inputs!$B$43&gt;0),IF(MAX(0,Inputs!$B$43-B152)&lt;=0,0,(INT(MAX(0,Inputs!$B$43-B152)/(IF(Inputs!$B$38="pvp",15,MAX(0.1,Skills!D8-IF(TRUE=TRUE,Inputs!$B$32,0)))*(1-IF(AND(ArtifactsInput!$M$27,Inputs!$B$4="Chapter Hunt"),CHOOSE(ArtifactsInput!$N$27+1,20,24,28,32,36,40),0)/100)))+1)),0)</f>
        <v/>
      </c>
      <c r="S124">
        <f>IFERROR(O124/N124,0)</f>
        <v/>
      </c>
      <c r="T124">
        <f>IF(C124,(H124*N124*IF(AND(Inputs!$B$38&lt;&gt;"pvp",Inputs!$B$43&gt;0),((Skills!G8*((R124-1)*IF(Skills!H8&gt;0,Skills!I8/Skills!H8,1)+IF(Skills!H8&gt;0,MIN(Skills!I8,MAX(0,MAX(0,Inputs!$B$43-B152)-((R124-1)*(IF(Inputs!$B$38="pvp",15,MAX(0.1,Skills!D8-IF(TRUE=TRUE,Inputs!$B$32,0)))*(1-IF(AND(ArtifactsInput!$M$27,Inputs!$B$4="Chapter Hunt"),CHOOSE(ArtifactsInput!$N$27+1,20,24,28,32,36,40),0)/100)))))/Skills!H8,1)))/Inputs!$B$43),G124*Q124)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8*((R124-1)*IF(Skills!H8&gt;0,Skills!I8/Skills!H8,1)+IF(Skills!H8&gt;0,MIN(Skills!I8,MAX(0,MAX(0,Inputs!$B$43-B152)-((R124-1)*(IF(Inputs!$B$38="pvp",15,MAX(0.1,Skills!D8-IF(TRUE=TRUE,Inputs!$B$32,0)))*(1-IF(AND(ArtifactsInput!$M$27,Inputs!$B$4="Chapter Hunt"),CHOOSE(ArtifactsInput!$N$27+1,20,24,28,32,36,40),0)/100)))))/Skills!H8,1)))/Inputs!$B$43),G124*Q124))*IF(Inputs!$B$38="pvp",1,(1+(Inputs!$B$21+Skills!Q8+(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Skills!A9</f>
        <v/>
      </c>
      <c r="B125">
        <f>Skills!B9</f>
        <v/>
      </c>
      <c r="C125">
        <f>Inputs!$B$3&gt;=120</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B157</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136=TRUE)*(F136-Calc!F20)),(Inputs!$B$23+0+(IF(ArtifactsInput!$M$15,CHOOSE(ArtifactsInput!$N$15+1,25,30,35,40,45,50)/100*(Inputs!$B$11-Inputs!$B$11),0))))/100+(Inputs!$B$23+0+(IF(ArtifactsInput!$M$15,CHOOSE(ArtifactsInput!$N$15+1,25,30,35,40,45,50)/100*(Inputs!$B$11-Inputs!$B$11),0)))/100)/2</f>
        <v/>
      </c>
      <c r="M125">
        <f>L125*(1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IF(B155=0,0,O125/B155)</f>
        <v/>
      </c>
      <c r="Q125">
        <f>IFERROR(1/(IF(Inputs!$B$38="pvp",15,MAX(0.1,Skills!D9-IF(TRUE=TRUE,Inputs!$B$32,0)))*(1-IF(AND(ArtifactsInput!$M$27,Inputs!$B$4="Chapter Hunt"),CHOOSE(ArtifactsInput!$N$27+1,20,24,28,32,36,40),0)/100)),0)</f>
        <v/>
      </c>
      <c r="R125">
        <f>IF(AND(Inputs!$B$38&lt;&gt;"pvp",Inputs!$B$43&gt;0),IF(MAX(0,Inputs!$B$43-B152)&lt;=0,0,(INT(MAX(0,Inputs!$B$43-B152)/(IF(Inputs!$B$38="pvp",15,MAX(0.1,Skills!D9-IF(TRUE=TRUE,Inputs!$B$32,0)))*(1-IF(AND(ArtifactsInput!$M$27,Inputs!$B$4="Chapter Hunt"),CHOOSE(ArtifactsInput!$N$27+1,20,24,28,32,36,40),0)/100)))+1)),0)</f>
        <v/>
      </c>
      <c r="S125">
        <f>IFERROR(O125/N125,0)</f>
        <v/>
      </c>
      <c r="T125">
        <f>IF(C125,(H125*N125*IF(AND(Inputs!$B$38&lt;&gt;"pvp",Inputs!$B$43&gt;0),((Skills!G9*((R125-1)*IF(Skills!H9&gt;0,Skills!I9/Skills!H9,1)+IF(Skills!H9&gt;0,MIN(Skills!I9,MAX(0,MAX(0,Inputs!$B$43-B152)-((R125-1)*(IF(Inputs!$B$38="pvp",15,MAX(0.1,Skills!D9-IF(TRUE=TRUE,Inputs!$B$32,0)))*(1-IF(AND(ArtifactsInput!$M$27,Inputs!$B$4="Chapter Hunt"),CHOOSE(ArtifactsInput!$N$27+1,20,24,28,32,36,40),0)/100)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152)-((R125-1)*(IF(Inputs!$B$38="pvp",15,MAX(0.1,Skills!D9-IF(TRUE=TRUE,Inputs!$B$32,0)))*(1-IF(AND(ArtifactsInput!$M$27,Inputs!$B$4="Chapter Hunt"),CHOOSE(ArtifactsInput!$N$27+1,20,24,28,32,36,40),0)/100)))))/Skills!H9,1)))/Inputs!$B$43),G125*Q125))*IF(Inputs!$B$38="pvp",1,(1+(Inputs!$B$21+Skills!Q9+(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Inputs!$B$3&gt;=105</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136=TRUE)*(F136-Calc!F20)),(Inputs!$B$23+0+(IF(ArtifactsInput!$M$15,CHOOSE(ArtifactsInput!$N$15+1,25,30,35,40,45,50)/100*(Inputs!$B$11-Inputs!$B$11),0))))/100+(Inputs!$B$23+0+(IF(ArtifactsInput!$M$15,CHOOSE(ArtifactsInput!$N$15+1,25,30,35,40,45,50)/100*(Inputs!$B$11-Inputs!$B$11),0)))/100)/2</f>
        <v/>
      </c>
      <c r="M126">
        <f>L126*(1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IF(B155=0,0,O126/B155)</f>
        <v/>
      </c>
      <c r="Q126">
        <f>IFERROR(1/(IF(Inputs!$B$38="pvp",15,MAX(0.1,Skills!D10-IF(TRUE=TRUE,Inputs!$B$32,0)))*(1-IF(AND(ArtifactsInput!$M$27,Inputs!$B$4="Chapter Hunt"),CHOOSE(ArtifactsInput!$N$27+1,20,24,28,32,36,40),0)/100)),0)</f>
        <v/>
      </c>
      <c r="R126">
        <f>IF(AND(Inputs!$B$38&lt;&gt;"pvp",Inputs!$B$43&gt;0),IF(MAX(0,Inputs!$B$43-B152)&lt;=0,0,(INT(MAX(0,Inputs!$B$43-B152)/(IF(Inputs!$B$38="pvp",15,MAX(0.1,Skills!D10-IF(TRUE=TRUE,Inputs!$B$32,0)))*(1-IF(AND(ArtifactsInput!$M$27,Inputs!$B$4="Chapter Hunt"),CHOOSE(ArtifactsInput!$N$27+1,20,24,28,32,36,40),0)/100)))+1)),0)</f>
        <v/>
      </c>
      <c r="S126">
        <f>IFERROR(O126/N126,0)</f>
        <v/>
      </c>
      <c r="T126">
        <f>IF(C126,(H126*N126*IF(AND(Inputs!$B$38&lt;&gt;"pvp",Inputs!$B$43&gt;0),((Skills!G10*((R126-1)*IF(Skills!H10&gt;0,Skills!I10/Skills!H10,1)+IF(Skills!H10&gt;0,MIN(Skills!I10,MAX(0,MAX(0,Inputs!$B$43-B152)-((R126-1)*(IF(Inputs!$B$38="pvp",15,MAX(0.1,Skills!D10-IF(TRUE=TRUE,Inputs!$B$32,0)))*(1-IF(AND(ArtifactsInput!$M$27,Inputs!$B$4="Chapter Hunt"),CHOOSE(ArtifactsInput!$N$27+1,20,24,28,32,36,40),0)/100)))))/Skills!H10,1)))/Inputs!$B$43),G126*Q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10*((R126-1)*IF(Skills!H10&gt;0,Skills!I10/Skills!H10,1)+IF(Skills!H10&gt;0,MIN(Skills!I10,MAX(0,MAX(0,Inputs!$B$43-B152)-((R126-1)*(IF(Inputs!$B$38="pvp",15,MAX(0.1,Skills!D10-IF(TRUE=TRUE,Inputs!$B$32,0)))*(1-IF(AND(ArtifactsInput!$M$27,Inputs!$B$4="Chapter Hunt"),CHOOSE(ArtifactsInput!$N$27+1,20,24,28,32,36,40),0)/100)))))/Skills!H10,1)))/Inputs!$B$43),G126*Q126))*IF(Inputs!$B$38="pvp",1,(1+(Inputs!$B$21+Skills!Q10+(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Inputs!$B$3&gt;=113</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136=TRUE)*(F136-Calc!F20)),(Inputs!$B$23+0+(IF(ArtifactsInput!$M$15,CHOOSE(ArtifactsInput!$N$15+1,25,30,35,40,45,50)/100*(Inputs!$B$11-Inputs!$B$11),0))))/100+(Inputs!$B$23+0+(IF(ArtifactsInput!$M$15,CHOOSE(ArtifactsInput!$N$15+1,25,30,35,40,45,50)/100*(Inputs!$B$11-Inputs!$B$11),0)))/100)/2</f>
        <v/>
      </c>
      <c r="M127">
        <f>L127*(1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IF(B155=0,0,O127/B155)</f>
        <v/>
      </c>
      <c r="Q127" t="n">
        <v>0</v>
      </c>
      <c r="R127" t="n">
        <v>0</v>
      </c>
      <c r="S127">
        <f>IFERROR(O127/N127,0)</f>
        <v/>
      </c>
      <c r="T127">
        <f>IF(C127,((H127*B158)/(1+Skills!H11*H127*B158)*N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IF(C127,((H127*B158)/(1+Skills!H11*H127*B158)*N127)*IF(Inputs!$B$38="pvp",1,(1+(Inputs!$B$21+Skills!Q11+(IF(ArtifactsInput!$M$33,CHOOSE(ArtifactsInput!$N$33+1,30,36,42,48,54,60),0))+(IF(AND(ArtifactsInput!$M$35,Inputs!$B$4&lt;&gt;"Chapter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Inputs!$B$3&gt;=100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t="inlineStr"/>
      <c r="H128" t="inlineStr"/>
      <c r="I128" t="inlineStr">
        <is>
          <t>1</t>
        </is>
      </c>
      <c r="J128" t="inlineStr"/>
      <c r="K128" t="inlineStr"/>
      <c r="L128" t="inlineStr"/>
      <c r="M128" t="inlineStr"/>
      <c r="N128" t="inlineStr"/>
      <c r="O128" t="inlineStr"/>
      <c r="P128" t="inlineStr"/>
      <c r="Q128" t="inlineStr"/>
      <c r="R128" t="inlineStr"/>
      <c r="S128" t="inlineStr"/>
      <c r="T128" t="inlineStr"/>
      <c r="V128" t="inlineStr"/>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IF(B155=0,0,O129/B155)</f>
        <v/>
      </c>
      <c r="Q129" t="n">
        <v>0</v>
      </c>
      <c r="R129" t="n">
        <v>0</v>
      </c>
      <c r="S129">
        <f>IFERROR(O129/N129,0)</f>
        <v/>
      </c>
      <c r="T129" t="n">
        <v>0</v>
      </c>
      <c r="V129" t="n">
        <v>0</v>
      </c>
    </row>
    <row r="130">
      <c r="A130">
        <f>Skills!A14</f>
        <v/>
      </c>
      <c r="B130">
        <f>Skills!B14</f>
        <v/>
      </c>
      <c r="C130">
        <f>Inputs!$B$3&gt;=115</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IF(B155=0,0,O130/B155)</f>
        <v/>
      </c>
      <c r="Q130">
        <f>IFERROR(1/(IF(Inputs!$B$38="pvp",15,MAX(0.1,Skills!D14-IF(TRUE=TRUE,Inputs!$B$32,0)))*(1-IF(AND(ArtifactsInput!$M$27,Inputs!$B$4="Chapter Hunt"),CHOOSE(ArtifactsInput!$N$27+1,20,24,28,32,36,40),0)/100)),0)</f>
        <v/>
      </c>
      <c r="R130">
        <f>IF(AND(Inputs!$B$38&lt;&gt;"pvp",Inputs!$B$43&gt;0),IF(Inputs!$B$43&lt;=0,0,(INT(Inputs!$B$43/(IF(Inputs!$B$38="pvp",15,MAX(0.1,Skills!D14-IF(TRUE=TRUE,Inputs!$B$32,0)))*(1-IF(AND(ArtifactsInput!$M$27,Inputs!$B$4="Chapter Hunt"),CHOOSE(ArtifactsInput!$N$27+1,20,24,28,32,36,40),0)/100)))+1)),0)</f>
        <v/>
      </c>
      <c r="S130">
        <f>IFERROR(O130/N130,0)</f>
        <v/>
      </c>
      <c r="T130" t="n">
        <v>0</v>
      </c>
      <c r="V130" t="n">
        <v>0</v>
      </c>
    </row>
    <row r="131">
      <c r="A131">
        <f>Skills!A15</f>
        <v/>
      </c>
      <c r="B131">
        <f>Skills!B15</f>
        <v/>
      </c>
      <c r="C131">
        <f>Inputs!$B$3&gt;=125</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IF(B155=0,0,O131/B155)</f>
        <v/>
      </c>
      <c r="Q131">
        <f>IFERROR(1/(IF(Inputs!$B$38="pvp",15,MAX(0.1,Skills!D15-IF(TRUE=TRUE,Inputs!$B$32,0)))*(1-IF(AND(ArtifactsInput!$M$27,Inputs!$B$4="Chapter Hunt"),CHOOSE(ArtifactsInput!$N$27+1,20,24,28,32,36,40),0)/100)),0)</f>
        <v/>
      </c>
      <c r="R131">
        <f>IF(AND(Inputs!$B$38&lt;&gt;"pvp",Inputs!$B$43&gt;0),IF(Inputs!$B$43&lt;=0,0,(INT(Inputs!$B$43/(IF(Inputs!$B$38="pvp",15,MAX(0.1,Skills!D15-IF(TRUE=TRUE,Inputs!$B$32,0)))*(1-IF(AND(ArtifactsInput!$M$27,Inputs!$B$4="Chapter Hunt"),CHOOSE(ArtifactsInput!$N$27+1,20,24,28,32,36,40),0)/100)))+1)),0)</f>
        <v/>
      </c>
      <c r="S131">
        <f>IFERROR(O131/N131,0)</f>
        <v/>
      </c>
      <c r="T131" t="n">
        <v>0</v>
      </c>
      <c r="V131" t="n">
        <v>0</v>
      </c>
    </row>
    <row r="132">
      <c r="A132">
        <f>Skills!A16</f>
        <v/>
      </c>
      <c r="B132">
        <f>Skills!B16</f>
        <v/>
      </c>
      <c r="C132">
        <f>Inputs!$B$3&gt;=10</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IF(B155=0,0,O132/B155)</f>
        <v/>
      </c>
      <c r="Q132" t="n">
        <v>0</v>
      </c>
      <c r="R132" t="n">
        <v>0</v>
      </c>
      <c r="S132">
        <f>IFERROR(O132/N132,0)</f>
        <v/>
      </c>
      <c r="T132" t="n">
        <v>0</v>
      </c>
      <c r="V132" t="n">
        <v>0</v>
      </c>
    </row>
    <row r="133">
      <c r="A133">
        <f>Skills!A17</f>
        <v/>
      </c>
      <c r="B133">
        <f>Skills!B17</f>
        <v/>
      </c>
      <c r="C133">
        <f>Inputs!$B$3&gt;=15</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IF(B155=0,0,O133/B155)</f>
        <v/>
      </c>
      <c r="Q133" t="n">
        <v>0</v>
      </c>
      <c r="R133" t="n">
        <v>0</v>
      </c>
      <c r="S133">
        <f>IFERROR(O133/N133,0)</f>
        <v/>
      </c>
      <c r="T133" t="n">
        <v>0</v>
      </c>
      <c r="V133" t="n">
        <v>0</v>
      </c>
    </row>
    <row r="134">
      <c r="A134">
        <f>Skills!A18</f>
        <v/>
      </c>
      <c r="B134">
        <f>Skills!B18</f>
        <v/>
      </c>
      <c r="C134">
        <f>Inputs!$B$3&gt;=33</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IF(B155=0,0,O134/B155)</f>
        <v/>
      </c>
      <c r="Q134" t="n">
        <v>0</v>
      </c>
      <c r="R134" t="n">
        <v>0</v>
      </c>
      <c r="S134">
        <f>IFERROR(O134/N134,0)</f>
        <v/>
      </c>
      <c r="T134" t="n">
        <v>0</v>
      </c>
      <c r="V134" t="n">
        <v>0</v>
      </c>
    </row>
    <row r="135">
      <c r="A135">
        <f>Skills!A19</f>
        <v/>
      </c>
      <c r="B135">
        <f>Skills!B19</f>
        <v/>
      </c>
      <c r="C135">
        <f>Inputs!$B$3&gt;=40</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IF(B155=0,0,O135/B155)</f>
        <v/>
      </c>
      <c r="Q135" t="n">
        <v>0</v>
      </c>
      <c r="R135" t="n">
        <v>0</v>
      </c>
      <c r="S135">
        <f>IFERROR(O135/N135,0)</f>
        <v/>
      </c>
      <c r="T135" t="n">
        <v>0</v>
      </c>
      <c r="V135" t="n">
        <v>0</v>
      </c>
    </row>
    <row r="136">
      <c r="A136">
        <f>Skills!A20</f>
        <v/>
      </c>
      <c r="B136">
        <f>Skills!B20</f>
        <v/>
      </c>
      <c r="C136">
        <f>Inputs!$B$3&gt;=43</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IF(B155=0,0,O136/B155)</f>
        <v/>
      </c>
      <c r="Q136" t="n">
        <v>0</v>
      </c>
      <c r="R136" t="n">
        <v>0</v>
      </c>
      <c r="S136">
        <f>IFERROR(O136/N136,0)</f>
        <v/>
      </c>
      <c r="T136" t="n">
        <v>0</v>
      </c>
      <c r="V136" t="n">
        <v>0</v>
      </c>
    </row>
    <row r="137">
      <c r="A137">
        <f>Skills!A21</f>
        <v/>
      </c>
      <c r="B137">
        <f>Skills!B21</f>
        <v/>
      </c>
      <c r="C137">
        <f>Inputs!$B$3&gt;=38</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IF(B155=0,0,O137/B155)</f>
        <v/>
      </c>
      <c r="Q137" t="n">
        <v>0</v>
      </c>
      <c r="R137" t="n">
        <v>0</v>
      </c>
      <c r="S137">
        <f>IFERROR(O137/N137,0)</f>
        <v/>
      </c>
      <c r="T137" t="n">
        <v>0</v>
      </c>
      <c r="V137" t="n">
        <v>0</v>
      </c>
    </row>
    <row r="138">
      <c r="A138">
        <f>Skills!A22</f>
        <v/>
      </c>
      <c r="B138">
        <f>Skills!B22</f>
        <v/>
      </c>
      <c r="C138">
        <f>Inputs!$B$3&gt;=75</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IF(B155=0,0,O138/B155)</f>
        <v/>
      </c>
      <c r="Q138" t="n">
        <v>0</v>
      </c>
      <c r="R138" t="n">
        <v>0</v>
      </c>
      <c r="S138">
        <f>IFERROR(O138/N138,0)</f>
        <v/>
      </c>
      <c r="T138" t="n">
        <v>0</v>
      </c>
      <c r="V138" t="n">
        <v>0</v>
      </c>
    </row>
    <row r="139">
      <c r="A139">
        <f>Skills!A23</f>
        <v/>
      </c>
      <c r="B139">
        <f>Skills!B23</f>
        <v/>
      </c>
      <c r="C139">
        <f>TRUE</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IF(B155=0,0,O139/B155)</f>
        <v/>
      </c>
      <c r="Q139">
        <f>IFERROR(1/(IF(Inputs!$B$38="pvp",15,MAX(0.1,Skills!D23-IF(TRUE=TRUE,Inputs!$B$32,0)))*(1-IF(AND(ArtifactsInput!$M$27,Inputs!$B$4="Chapter Hunt"),CHOOSE(ArtifactsInput!$N$27+1,20,24,28,32,36,40),0)/100)),0)</f>
        <v/>
      </c>
      <c r="R139">
        <f>IF(AND(Inputs!$B$38&lt;&gt;"pvp",Inputs!$B$43&gt;0),IF(Inputs!$B$43&lt;=0,0,(INT(Inputs!$B$43/(IF(Inputs!$B$38="pvp",15,MAX(0.1,Skills!D23-IF(TRUE=TRUE,Inputs!$B$32,0)))*(1-IF(AND(ArtifactsInput!$M$27,Inputs!$B$4="Chapter Hunt"),CHOOSE(ArtifactsInput!$N$27+1,20,24,28,32,36,40),0)/100)))+1)),0)</f>
        <v/>
      </c>
      <c r="S139">
        <f>IFERROR(O139/N139,0)</f>
        <v/>
      </c>
      <c r="T139" t="n">
        <v>0</v>
      </c>
      <c r="V139" t="n">
        <v>0</v>
      </c>
    </row>
    <row r="140">
      <c r="A140">
        <f>Skills!A24</f>
        <v/>
      </c>
      <c r="B140">
        <f>Skills!B24</f>
        <v/>
      </c>
      <c r="C140">
        <f>Inputs!$B$3&gt;=107</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IF(B155=0,0,O140/B155)</f>
        <v/>
      </c>
      <c r="Q140">
        <f>IFERROR(1/(IF(Inputs!$B$38="pvp",15,MAX(0.1,Skills!D24-IF(TRUE=TRUE,Inputs!$B$32,0)))*(1-IF(AND(ArtifactsInput!$M$27,Inputs!$B$4="Chapter Hunt"),CHOOSE(ArtifactsInput!$N$27+1,20,24,28,32,36,40),0)/100)),0)</f>
        <v/>
      </c>
      <c r="R140">
        <f>IF(AND(Inputs!$B$38&lt;&gt;"pvp",Inputs!$B$43&gt;0),IF(Inputs!$B$43&lt;=0,0,(INT(Inputs!$B$43/(IF(Inputs!$B$38="pvp",15,MAX(0.1,Skills!D24-IF(TRUE=TRUE,Inputs!$B$32,0)))*(1-IF(AND(ArtifactsInput!$M$27,Inputs!$B$4="Chapter Hunt"),CHOOSE(ArtifactsInput!$N$27+1,20,24,28,32,36,40),0)/100)))+1)),0)</f>
        <v/>
      </c>
      <c r="S140">
        <f>IFERROR(O140/N140,0)</f>
        <v/>
      </c>
      <c r="T140" t="n">
        <v>0</v>
      </c>
      <c r="V140" t="n">
        <v>0</v>
      </c>
    </row>
    <row r="141">
      <c r="A141">
        <f>Skills!A25</f>
        <v/>
      </c>
      <c r="B141">
        <f>Skills!B25</f>
        <v/>
      </c>
      <c r="C141">
        <f>Inputs!$B$3&gt;=110</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t="inlineStr"/>
      <c r="H141" t="inlineStr"/>
      <c r="I141" t="inlineStr">
        <is>
          <t>1</t>
        </is>
      </c>
      <c r="J141" t="inlineStr"/>
      <c r="K141" t="inlineStr"/>
      <c r="L141" t="inlineStr"/>
      <c r="M141" t="inlineStr"/>
      <c r="N141" t="inlineStr"/>
      <c r="O141" t="inlineStr"/>
      <c r="P141" t="inlineStr"/>
      <c r="Q141" t="inlineStr"/>
      <c r="R141" t="inlineStr"/>
      <c r="S141" t="inlineStr"/>
      <c r="T141" t="inlineStr"/>
      <c r="V141" t="inlineStr"/>
    </row>
    <row r="142">
      <c r="A142">
        <f>Skills!A26</f>
        <v/>
      </c>
      <c r="B142">
        <f>Skills!B26</f>
        <v/>
      </c>
      <c r="C142">
        <f>Inputs!$B$3&gt;=117</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t="inlineStr"/>
      <c r="H142" t="inlineStr"/>
      <c r="I142" t="inlineStr">
        <is>
          <t>1</t>
        </is>
      </c>
      <c r="J142" t="inlineStr"/>
      <c r="K142" t="inlineStr"/>
      <c r="L142" t="inlineStr"/>
      <c r="M142" t="inlineStr"/>
      <c r="N142" t="inlineStr"/>
      <c r="O142" t="inlineStr"/>
      <c r="P142" t="inlineStr"/>
      <c r="Q142" t="inlineStr"/>
      <c r="R142" t="inlineStr"/>
      <c r="S142" t="inlineStr"/>
      <c r="T142" t="inlineStr"/>
      <c r="V142" t="inlineStr"/>
    </row>
    <row r="144">
      <c r="A144" t="inlineStr">
        <is>
          <t>Attack% Bucket Multiplier</t>
        </is>
      </c>
      <c r="B144">
        <f>(1+(((C129=TRUE)*F129*5/7)+((C135=TRUE)*(F135-Calc!F19))+(IF(ArtifactsInput!$M$21,CHOOSE(ArtifactsInput!$N$21+1,25,30,35,40,45,50)*(IF(OR(Inputs!$B$4="Chapter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
      <c r="A145" t="inlineStr">
        <is>
          <t>Global Crit Rate Bonus %</t>
        </is>
      </c>
      <c r="B145" t="n">
        <v>0</v>
      </c>
    </row>
    <row r="146">
      <c r="A146" t="inlineStr">
        <is>
          <t>Attack Speed Buff Bonus % (Nimble Feet + Speed Infusion, duty-cycle averaged)</t>
        </is>
      </c>
      <c r="B146">
        <f>((C139=TRUE)*F139*IF(AND(Inputs!$B$38&lt;&gt;"pvp",Inputs!$B$43&gt;0),(((R139-1)*MIN((Skills!T23*(1+Inputs!$B$34/100)),(1/Q139))+MIN((Skills!T23*(1+Inputs!$B$34/100)),MAX(0,Inputs!$B$43-((R139-1)*(1/Q139)))))/Inputs!$B$43),IF(Inputs!$B$38="pvp",MIN((Skills!T23*(1+Inputs!$B$34/100)),15)/15,MIN(1,(Skills!T23*(1+Inputs!$B$34/100))/(1/Q139)))))+((C140=TRUE)*F140*IF(AND(Inputs!$B$38&lt;&gt;"pvp",Inputs!$B$43&gt;0),(((R140-1)*MIN((Skills!T24*(1+Inputs!$B$34/100)),(1/Q140))+MIN((Skills!T24*(1+Inputs!$B$34/100)),MAX(0,Inputs!$B$43-((R140-1)*(1/Q140)))))/Inputs!$B$43),IF(Inputs!$B$38="pvp",MIN((Skills!T24*(1+Inputs!$B$34/100)),15)/15,MIN(1,(Skills!T24*(1+Inputs!$B$34/100))/(1/Q140)))))</f>
        <v/>
      </c>
    </row>
    <row r="147">
      <c r="A147" t="inlineStr">
        <is>
          <t>Actions Per Second</t>
        </is>
      </c>
      <c r="B147">
        <f>1+MIN(150,150*(1-(1-(Inputs!$B$11+((C133=TRUE)*(F133-Calc!F17))+((C134=TRUE)*(F134-Calc!F18)))/150)*(1-B146/150)))/100</f>
        <v/>
      </c>
    </row>
    <row r="148">
      <c r="A148" t="inlineStr">
        <is>
          <t>Skill + Buff Cast Rate</t>
        </is>
      </c>
      <c r="B148">
        <f>IF(AND(Inputs!$B$38&lt;&gt;"pvp",Inputs!$B$43&gt;0),SUMPRODUCT((Skills!E2:E26=TRUE)*(C118:C142=TRUE)*R118:R142*Skills!F2:F26)/Inputs!$B$43,SUMPRODUCT((Skills!E2:E26=TRUE)*(C118:C142=TRUE)*Q118:Q142*Skills!F2:F26))</f>
        <v/>
      </c>
    </row>
    <row r="149">
      <c r="A149" t="inlineStr">
        <is>
          <t>Hook Bomber Casts Per Second</t>
        </is>
      </c>
      <c r="B149">
        <f>MAX(0,B147-B148)</f>
        <v/>
      </c>
    </row>
    <row r="150">
      <c r="A150" t="inlineStr">
        <is>
          <t>Global Critical Damage Bonus % (unused)</t>
        </is>
      </c>
      <c r="B150" t="n">
        <v>0</v>
      </c>
    </row>
    <row r="151">
      <c r="A151" t="inlineStr">
        <is>
          <t>Global Final Damage Bonus % (Serpent Scale + Crossbones + Time Leap + Speed Infusion)</t>
        </is>
      </c>
      <c r="B151">
        <f>((C121=TRUE)*(F121*B157+4*(1-B157)))+((C130=TRUE)*F130*IF(AND(Inputs!$B$38&lt;&gt;"pvp",Inputs!$B$43&gt;0),(((R130-1)*MIN((Skills!T14*(1+Inputs!$B$34/100)),(1/Q130))+MIN((Skills!T14*(1+Inputs!$B$34/100)),MAX(0,Inputs!$B$43-((R130-1)*(1/Q130)))))/Inputs!$B$43),IF(Inputs!$B$38="pvp",MIN((Skills!T14*(1+Inputs!$B$34/100)),15)/15,MIN(1,(Skills!T14*(1+Inputs!$B$34/100))/(1/Q130)))))+((C131=TRUE)*F131*IF(AND(Inputs!$B$38&lt;&gt;"pvp",Inputs!$B$43&gt;0),(((R131-1)*MIN((Skills!T15*(1+Inputs!$B$34/100)),(1/Q131))+MIN((Skills!T15*(1+Inputs!$B$34/100)),MAX(0,Inputs!$B$43-((R131-1)*(1/Q131)))))/Inputs!$B$43),IF(Inputs!$B$38="pvp",MIN((Skills!T15*(1+Inputs!$B$34/100)),15)/15,MIN(1,(Skills!T15*(1+Inputs!$B$34/100))/(1/Q131)))))+((C140=TRUE)*20*((1+MIN(150,150*(1-(1-(Inputs!$B$11+((C133=TRUE)*(F133-Calc!F17))+((C134=TRUE)*(F134-Calc!F18)))/150)*(1-(((C139=TRUE)*F139*IF(AND(Inputs!$B$38&lt;&gt;"pvp",Inputs!$B$43&gt;0),(((R139-1)*MIN((Skills!T23*(1+Inputs!$B$34/100)),(1/Q139))+MIN((Skills!T23*(1+Inputs!$B$34/100)),MAX(0,Inputs!$B$43-((R139-1)*(1/Q139)))))/Inputs!$B$43),IF(Inputs!$B$38="pvp",MIN((Skills!T23*(1+Inputs!$B$34/100)),15)/15,MIN(1,(Skills!T23*(1+Inputs!$B$34/100))/(1/Q139)))))+F140)/150)))/100)-1)*IF(AND(Inputs!$B$38&lt;&gt;"pvp",Inputs!$B$43&gt;0),(((R140-1)*MIN((Skills!T24*(1+Inputs!$B$34/100)),(1/Q140))+MIN((Skills!T24*(1+Inputs!$B$34/100)),MAX(0,Inputs!$B$43-((R140-1)*(1/Q140)))))/Inputs!$B$43),IF(Inputs!$B$38="pvp",MIN((Skills!T24*(1+Inputs!$B$34/100)),15)/15,MIN(1,(Skills!T24*(1+Inputs!$B$34/100))/(1/Q140)))))</f>
        <v/>
      </c>
    </row>
    <row r="152">
      <c r="A152" t="inlineStr">
        <is>
          <t>Buff-Casting Startup Delay (s, fixed-duration only)</t>
        </is>
      </c>
      <c r="B152">
        <f>IF(AND(Inputs!$B$38&lt;&gt;"pvp",Inputs!$B$43&gt;0),SUMPRODUCT((Skills!T2:T26&gt;0)*(Skills!E2:E26=TRUE)*(C118:C142=TRUE))/B147,0)</f>
        <v/>
      </c>
    </row>
    <row r="153">
      <c r="A153" t="inlineStr">
        <is>
          <t>Boss-Only Total DPS (this block's swept value)</t>
        </is>
      </c>
      <c r="B153">
        <f>SUM(T118:T142)</f>
        <v/>
      </c>
    </row>
    <row r="154">
      <c r="A154" t="inlineStr">
        <is>
          <t>Normal-Only Total DPS (this block's swept value)</t>
        </is>
      </c>
      <c r="B154">
        <f>SUM(V118:V142)</f>
        <v/>
      </c>
    </row>
    <row r="155">
      <c r="A155" s="6" t="inlineStr">
        <is>
          <t>TOTAL DPS</t>
        </is>
      </c>
      <c r="B155" s="6">
        <f>SUM(O118:O142)</f>
        <v/>
      </c>
    </row>
    <row r="156">
      <c r="A156" t="inlineStr">
        <is>
          <t>Serpent activation interval T (this block's own Hook Bomber rate)</t>
        </is>
      </c>
      <c r="B156">
        <f>((1/Q119)+IFERROR(0.5/B149,0))</f>
        <v/>
      </c>
    </row>
    <row r="157">
      <c r="A157" t="inlineStr">
        <is>
          <t>Assault Mode uptime u (this block)</t>
        </is>
      </c>
      <c r="B157">
        <f>IF(C121=TRUE,(10+IF(Inputs!$B$3&gt;=94,5,0))/((10+IF(Inputs!$B$3&gt;=94,5,0))+IF(Inputs!$B$3&gt;=104,3,5)*B156),0)</f>
        <v/>
      </c>
    </row>
    <row r="158">
      <c r="A158" t="inlineStr">
        <is>
          <t>Nautilus Strike - Final Attack trigger rate (this block's own Q/R)</t>
        </is>
      </c>
      <c r="B158">
        <f>IF(AND(Inputs!$B$38&lt;&gt;"pvp",Inputs!$B$43&gt;0),(((C122=TRUE)*R122)+((C123=TRUE)*R123)+((C126=TRUE)*R126))/Inputs!$B$43,((C122=TRUE)*Q122)+((C123=TRUE)*Q123)+((C126=TRUE)*Q126))+B149</f>
        <v/>
      </c>
    </row>
    <row r="161">
      <c r="A161" s="6" t="inlineStr">
        <is>
          <t>Stat: DEX</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20)),(Inputs!$B$23+0+(IF(ArtifactsInput!$M$15,CHOOSE(ArtifactsInput!$N$15+1,25,30,35,40,45,50)/100*(Inputs!$B$11-Inputs!$B$11),0))))/100+(Inputs!$B$23+0+(IF(ArtifactsInput!$M$15,CHOOSE(ArtifactsInput!$N$15+1,25,30,35,40,45,50)/100*(Inputs!$B$11-Inputs!$B$11),0)))/100)/2</f>
        <v/>
      </c>
      <c r="M163">
        <f>L163*(1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t="n">
        <v>0</v>
      </c>
      <c r="R163" t="n">
        <v>0</v>
      </c>
      <c r="S163">
        <f>IFERROR(O163/N163,0)</f>
        <v/>
      </c>
      <c r="T163">
        <f>IF(C163,(Skills!G2*N163*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Inputs!$B$3&gt;=35</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f>Skills!G3*IF(Skills!H3&gt;0,Skills!I3/Skills!H3,1)</f>
        <v/>
      </c>
      <c r="H164">
        <f>1-(1-Skills!J3/100)^Skills!K3</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TRUE,F186,0)/100)*(1+(IF(Skills!A3="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20)),(Inputs!$B$23+0+(IF(ArtifactsInput!$M$15,CHOOSE(ArtifactsInput!$N$15+1,25,30,35,40,45,50)/100*(Inputs!$B$11-Inputs!$B$11),0))))/100+(Inputs!$B$23+0+(IF(ArtifactsInput!$M$15,CHOOSE(ArtifactsInput!$N$15+1,25,30,35,40,45,50)/100*(Inputs!$B$11-Inputs!$B$11),0)))/100)/2</f>
        <v/>
      </c>
      <c r="M164">
        <f>L164*(1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IFERROR(1/(IF(Inputs!$B$38="pvp",15,MAX(0.1,Skills!D3-IF(TRUE=TRUE,Inputs!$B$32,0)))*(1-IF(AND(ArtifactsInput!$M$27,Inputs!$B$4="Chapter Hunt"),CHOOSE(ArtifactsInput!$N$27+1,20,24,28,32,36,40),0)/100)),0)</f>
        <v/>
      </c>
      <c r="R164">
        <f>IF(AND(Inputs!$B$38&lt;&gt;"pvp",Inputs!$B$43&gt;0),IF(MAX(0,Inputs!$B$43-B197)&lt;=0,0,(INT(MAX(0,Inputs!$B$43-B197)/(IF(Inputs!$B$38="pvp",15,MAX(0.1,Skills!D3-IF(TRUE=TRUE,Inputs!$B$32,0)))*(1-IF(AND(ArtifactsInput!$M$27,Inputs!$B$4="Chapter Hunt"),CHOOSE(ArtifactsInput!$N$27+1,20,24,28,32,36,40),0)/100)))+1)),0)</f>
        <v/>
      </c>
      <c r="S164">
        <f>IFERROR(O164/N164,0)</f>
        <v/>
      </c>
      <c r="T164">
        <f>IF(C164,(Skills!G3*N164*IF(C165=TRUE,1-B202,1)/B201)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
        <f>INDEX(FactorTable!$B$2:$Y$301, MATCH(ROUND(MIN(300,MAX(1,U163)),0), FactorTable!$A$2:$A$301,0), 22)</f>
        <v/>
      </c>
      <c r="V164">
        <f>IF(C164,(Skills!G3*N164*IF(C165=TRUE,1-B202,1)/B201)*IF(Inputs!$B$38="pvp",1,(1+(Inputs!$B$21+Skills!Q3+(IF(ArtifactsInput!$M$33,CHOOSE(ArtifactsInput!$N$33+1,30,36,42,48,54,60),0))+(IF(AND(ArtifactsInput!$M$35,Inputs!$B$4&lt;&gt;"Chapter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Skills!A4</f>
        <v/>
      </c>
      <c r="B165">
        <f>Skills!B4</f>
        <v/>
      </c>
      <c r="C165">
        <f>Inputs!$B$3&gt;=69</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f>Skills!G4*IF(Skills!H4&gt;0,Skills!I4/Skills!H4,1)</f>
        <v/>
      </c>
      <c r="H165">
        <f>1-(1-Skills!J4/100)^Skills!K4</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4="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20)),(Inputs!$B$23+0+(IF(ArtifactsInput!$M$15,CHOOSE(ArtifactsInput!$N$15+1,25,30,35,40,45,50)/100*(Inputs!$B$11-Inputs!$B$11),0))))/100+(Inputs!$B$23+0+(IF(ArtifactsInput!$M$15,CHOOSE(ArtifactsInput!$N$15+1,25,30,35,40,45,50)/100*(Inputs!$B$11-Inputs!$B$11),0)))/100)/2</f>
        <v/>
      </c>
      <c r="M165">
        <f>L165*(1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t="n">
        <v>0</v>
      </c>
      <c r="R165" t="n">
        <v>0</v>
      </c>
      <c r="S165">
        <f>IFERROR(O165/N165,0)</f>
        <v/>
      </c>
      <c r="T165">
        <f>IF(C165,(Skills!G4*N165*B202/B201)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290*U164/1000</f>
        <v/>
      </c>
      <c r="V165">
        <f>IF(C165,(Skills!G4*N165*B202/B201)*IF(Inputs!$B$38="pvp",1,(1+(Inputs!$B$21+Skills!Q4+(IF(ArtifactsInput!$M$33,CHOOSE(ArtifactsInput!$N$33+1,30,36,42,48,54,60),0))+(IF(AND(ArtifactsInput!$M$35,Inputs!$B$4&lt;&gt;"Chapter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Skills!A5</f>
        <v/>
      </c>
      <c r="B166">
        <f>Skills!B5</f>
        <v/>
      </c>
      <c r="C166">
        <f>Inputs!$B$3&gt;=66</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t="inlineStr"/>
      <c r="K166" t="inlineStr"/>
      <c r="L166" t="inlineStr"/>
      <c r="M166" t="inlineStr"/>
      <c r="N166" t="inlineStr"/>
      <c r="O166">
        <f>(1-Summary!$B$11)*T166+Summary!$B$11*V166</f>
        <v/>
      </c>
      <c r="P166">
        <f>IF(B200=0,0,O166/B200)</f>
        <v/>
      </c>
      <c r="Q166" t="n">
        <v>0</v>
      </c>
      <c r="R166" t="n">
        <v>0</v>
      </c>
      <c r="S166">
        <f>IFERROR(O166/N166,0)</f>
        <v/>
      </c>
      <c r="T166" t="n">
        <v>0</v>
      </c>
      <c r="V166" t="n">
        <v>0</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173=TRUE,F173,0)/100)*(1+(IF(Skills!A6="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20)),(Inputs!$B$23+0+(IF(ArtifactsInput!$M$15,CHOOSE(ArtifactsInput!$N$15+1,25,30,35,40,45,50)/100*(Inputs!$B$11-Inputs!$B$11),0))))/100+(Inputs!$B$23+0+(IF(ArtifactsInput!$M$15,CHOOSE(ArtifactsInput!$N$15+1,25,30,35,40,45,50)/100*(Inputs!$B$11-Inputs!$B$11),0)))/100)/2</f>
        <v/>
      </c>
      <c r="M167">
        <f>L167*(1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IFERROR(1/(IF(Inputs!$B$38="pvp",15,MAX(0.1,Skills!D6-IF(TRUE=TRUE,Inputs!$B$32,0)))*(1-IF(AND(ArtifactsInput!$M$27,Inputs!$B$4="Chapter Hunt"),CHOOSE(ArtifactsInput!$N$27+1,20,24,28,32,36,40),0)/100)),0)</f>
        <v/>
      </c>
      <c r="R167">
        <f>IF(AND(Inputs!$B$38&lt;&gt;"pvp",Inputs!$B$43&gt;0),IF(MAX(0,Inputs!$B$43-B197)&lt;=0,0,(INT(MAX(0,Inputs!$B$43-B197)/(IF(Inputs!$B$38="pvp",15,MAX(0.1,Skills!D6-IF(TRUE=TRUE,Inputs!$B$32,0)))*(1-IF(AND(ArtifactsInput!$M$27,Inputs!$B$4="Chapter Hunt"),CHOOSE(ArtifactsInput!$N$27+1,20,24,28,32,36,40),0)/100)))+1)),0)</f>
        <v/>
      </c>
      <c r="S167">
        <f>IFERROR(O167/N167,0)</f>
        <v/>
      </c>
      <c r="T167">
        <f>IF(C167,(H167*N167*IF(AND(Inputs!$B$38&lt;&gt;"pvp",Inputs!$B$43&gt;0),((Skills!G6*((R167-1)*IF(Skills!H6&gt;0,Skills!I6/Skills!H6,1)+IF(Skills!H6&gt;0,MIN(Skills!I6,MAX(0,MAX(0,Inputs!$B$43-B197)-((R167-1)*(IF(Inputs!$B$38="pvp",15,MAX(0.1,Skills!D6-IF(TRUE=TRUE,Inputs!$B$32,0)))*(1-IF(AND(ArtifactsInput!$M$27,Inputs!$B$4="Chapter Hunt"),CHOOSE(ArtifactsInput!$N$27+1,20,24,28,32,36,40),0)/100)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197)-((R167-1)*(IF(Inputs!$B$38="pvp",15,MAX(0.1,Skills!D6-IF(TRUE=TRUE,Inputs!$B$32,0)))*(1-IF(AND(ArtifactsInput!$M$27,Inputs!$B$4="Chapter Hunt"),CHOOSE(ArtifactsInput!$N$27+1,20,24,28,32,36,40),0)/100)))))/Skills!H6,1)))/Inputs!$B$43),G167*Q167))*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Inputs!$B$3&gt;=103</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20)),(Inputs!$B$23+0+(IF(ArtifactsInput!$M$15,CHOOSE(ArtifactsInput!$N$15+1,25,30,35,40,45,50)/100*(Inputs!$B$11-Inputs!$B$11),0))))/100+(Inputs!$B$23+0+(IF(ArtifactsInput!$M$15,CHOOSE(ArtifactsInput!$N$15+1,25,30,35,40,45,50)/100*(Inputs!$B$11-Inputs!$B$11),0)))/100)/2</f>
        <v/>
      </c>
      <c r="M168">
        <f>L168*(1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IFERROR(1/(IF(Inputs!$B$38="pvp",15,MAX(0.1,Skills!D7-IF(TRUE=TRUE,Inputs!$B$32,0)))*(1-IF(AND(ArtifactsInput!$M$27,Inputs!$B$4="Chapter Hunt"),CHOOSE(ArtifactsInput!$N$27+1,20,24,28,32,36,40),0)/100)),0)</f>
        <v/>
      </c>
      <c r="R168">
        <f>IF(AND(Inputs!$B$38&lt;&gt;"pvp",Inputs!$B$43&gt;0),IF(MAX(0,Inputs!$B$43-B197)&lt;=0,0,(INT(MAX(0,Inputs!$B$43-B197)/(IF(Inputs!$B$38="pvp",15,MAX(0.1,Skills!D7-IF(TRUE=TRUE,Inputs!$B$32,0)))*(1-IF(AND(ArtifactsInput!$M$27,Inputs!$B$4="Chapter Hunt"),CHOOSE(ArtifactsInput!$N$27+1,20,24,28,32,36,40),0)/100)))+1)),0)</f>
        <v/>
      </c>
      <c r="S168">
        <f>IFERROR(O168/N168,0)</f>
        <v/>
      </c>
      <c r="T168">
        <f>IF(C168,(H168*N168*IF(AND(Inputs!$B$38&lt;&gt;"pvp",Inputs!$B$43&gt;0),((Skills!G7*((R168-1)*IF(Skills!H7&gt;0,Skills!I7/Skills!H7,1)+IF(Skills!H7&gt;0,MIN(Skills!I7,MAX(0,MAX(0,Inputs!$B$43-B197)-((R168-1)*(IF(Inputs!$B$38="pvp",15,MAX(0.1,Skills!D7-IF(TRUE=TRUE,Inputs!$B$32,0)))*(1-IF(AND(ArtifactsInput!$M$27,Inputs!$B$4="Chapter Hunt"),CHOOSE(ArtifactsInput!$N$27+1,20,24,28,32,36,40),0)/100)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197)-((R168-1)*(IF(Inputs!$B$38="pvp",15,MAX(0.1,Skills!D7-IF(TRUE=TRUE,Inputs!$B$32,0)))*(1-IF(AND(ArtifactsInput!$M$27,Inputs!$B$4="Chapter Hunt"),CHOOSE(ArtifactsInput!$N$27+1,20,24,28,32,36,40),0)/100)))))/Skills!H7,1)))/Inputs!$B$43),G168*Q168))*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Inputs!$B$3&gt;=117</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f>Skills!G8*IF(Skills!H8&gt;0,Skills!I8/Skills!H8,1)</f>
        <v/>
      </c>
      <c r="H169">
        <f>1-(1-Skills!J8/100)^Skills!K8</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20)),(Inputs!$B$23+0+(IF(ArtifactsInput!$M$15,CHOOSE(ArtifactsInput!$N$15+1,25,30,35,40,45,50)/100*(Inputs!$B$11-Inputs!$B$11),0))))/100+(Inputs!$B$23+0+(IF(ArtifactsInput!$M$15,CHOOSE(ArtifactsInput!$N$15+1,25,30,35,40,45,50)/100*(Inputs!$B$11-Inputs!$B$11),0)))/100)/2</f>
        <v/>
      </c>
      <c r="M169">
        <f>L169*(1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IFERROR(1/(IF(Inputs!$B$38="pvp",15,MAX(0.1,Skills!D8-IF(TRUE=TRUE,Inputs!$B$32,0)))*(1-IF(AND(ArtifactsInput!$M$27,Inputs!$B$4="Chapter Hunt"),CHOOSE(ArtifactsInput!$N$27+1,20,24,28,32,36,40),0)/100)),0)</f>
        <v/>
      </c>
      <c r="R169">
        <f>IF(AND(Inputs!$B$38&lt;&gt;"pvp",Inputs!$B$43&gt;0),IF(MAX(0,Inputs!$B$43-B197)&lt;=0,0,(INT(MAX(0,Inputs!$B$43-B197)/(IF(Inputs!$B$38="pvp",15,MAX(0.1,Skills!D8-IF(TRUE=TRUE,Inputs!$B$32,0)))*(1-IF(AND(ArtifactsInput!$M$27,Inputs!$B$4="Chapter Hunt"),CHOOSE(ArtifactsInput!$N$27+1,20,24,28,32,36,40),0)/100)))+1)),0)</f>
        <v/>
      </c>
      <c r="S169">
        <f>IFERROR(O169/N169,0)</f>
        <v/>
      </c>
      <c r="T169">
        <f>IF(C169,(H169*N169*IF(AND(Inputs!$B$38&lt;&gt;"pvp",Inputs!$B$43&gt;0),((Skills!G8*((R169-1)*IF(Skills!H8&gt;0,Skills!I8/Skills!H8,1)+IF(Skills!H8&gt;0,MIN(Skills!I8,MAX(0,MAX(0,Inputs!$B$43-B197)-((R169-1)*(IF(Inputs!$B$38="pvp",15,MAX(0.1,Skills!D8-IF(TRUE=TRUE,Inputs!$B$32,0)))*(1-IF(AND(ArtifactsInput!$M$27,Inputs!$B$4="Chapter Hunt"),CHOOSE(ArtifactsInput!$N$27+1,20,24,28,32,36,40),0)/100)))))/Skills!H8,1)))/Inputs!$B$43),G169*Q169)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8*((R169-1)*IF(Skills!H8&gt;0,Skills!I8/Skills!H8,1)+IF(Skills!H8&gt;0,MIN(Skills!I8,MAX(0,MAX(0,Inputs!$B$43-B197)-((R169-1)*(IF(Inputs!$B$38="pvp",15,MAX(0.1,Skills!D8-IF(TRUE=TRUE,Inputs!$B$32,0)))*(1-IF(AND(ArtifactsInput!$M$27,Inputs!$B$4="Chapter Hunt"),CHOOSE(ArtifactsInput!$N$27+1,20,24,28,32,36,40),0)/100)))))/Skills!H8,1)))/Inputs!$B$43),G169*Q169))*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Skills!A9</f>
        <v/>
      </c>
      <c r="B170">
        <f>Skills!B9</f>
        <v/>
      </c>
      <c r="C170">
        <f>Inputs!$B$3&gt;=120</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B202</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20)),(Inputs!$B$23+0+(IF(ArtifactsInput!$M$15,CHOOSE(ArtifactsInput!$N$15+1,25,30,35,40,45,50)/100*(Inputs!$B$11-Inputs!$B$11),0))))/100+(Inputs!$B$23+0+(IF(ArtifactsInput!$M$15,CHOOSE(ArtifactsInput!$N$15+1,25,30,35,40,45,50)/100*(Inputs!$B$11-Inputs!$B$11),0)))/100)/2</f>
        <v/>
      </c>
      <c r="M170">
        <f>L170*(1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IFERROR(1/(IF(Inputs!$B$38="pvp",15,MAX(0.1,Skills!D9-IF(TRUE=TRUE,Inputs!$B$32,0)))*(1-IF(AND(ArtifactsInput!$M$27,Inputs!$B$4="Chapter Hunt"),CHOOSE(ArtifactsInput!$N$27+1,20,24,28,32,36,40),0)/100)),0)</f>
        <v/>
      </c>
      <c r="R170">
        <f>IF(AND(Inputs!$B$38&lt;&gt;"pvp",Inputs!$B$43&gt;0),IF(MAX(0,Inputs!$B$43-B197)&lt;=0,0,(INT(MAX(0,Inputs!$B$43-B197)/(IF(Inputs!$B$38="pvp",15,MAX(0.1,Skills!D9-IF(TRUE=TRUE,Inputs!$B$32,0)))*(1-IF(AND(ArtifactsInput!$M$27,Inputs!$B$4="Chapter Hunt"),CHOOSE(ArtifactsInput!$N$27+1,20,24,28,32,36,40),0)/100)))+1)),0)</f>
        <v/>
      </c>
      <c r="S170">
        <f>IFERROR(O170/N170,0)</f>
        <v/>
      </c>
      <c r="T170">
        <f>IF(C170,(H170*N170*IF(AND(Inputs!$B$38&lt;&gt;"pvp",Inputs!$B$43&gt;0),((Skills!G9*((R170-1)*IF(Skills!H9&gt;0,Skills!I9/Skills!H9,1)+IF(Skills!H9&gt;0,MIN(Skills!I9,MAX(0,MAX(0,Inputs!$B$43-B197)-((R170-1)*(IF(Inputs!$B$38="pvp",15,MAX(0.1,Skills!D9-IF(TRUE=TRUE,Inputs!$B$32,0)))*(1-IF(AND(ArtifactsInput!$M$27,Inputs!$B$4="Chapter Hunt"),CHOOSE(ArtifactsInput!$N$27+1,20,24,28,32,36,40),0)/100)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197)-((R170-1)*(IF(Inputs!$B$38="pvp",15,MAX(0.1,Skills!D9-IF(TRUE=TRUE,Inputs!$B$32,0)))*(1-IF(AND(ArtifactsInput!$M$27,Inputs!$B$4="Chapter Hunt"),CHOOSE(ArtifactsInput!$N$27+1,20,24,28,32,36,40),0)/100)))))/Skills!H9,1)))/Inputs!$B$43),G170*Q170))*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Inputs!$B$3&gt;=105</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20)),(Inputs!$B$23+0+(IF(ArtifactsInput!$M$15,CHOOSE(ArtifactsInput!$N$15+1,25,30,35,40,45,50)/100*(Inputs!$B$11-Inputs!$B$11),0))))/100+(Inputs!$B$23+0+(IF(ArtifactsInput!$M$15,CHOOSE(ArtifactsInput!$N$15+1,25,30,35,40,45,50)/100*(Inputs!$B$11-Inputs!$B$11),0)))/100)/2</f>
        <v/>
      </c>
      <c r="M171">
        <f>L171*(1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IFERROR(1/(IF(Inputs!$B$38="pvp",15,MAX(0.1,Skills!D10-IF(TRUE=TRUE,Inputs!$B$32,0)))*(1-IF(AND(ArtifactsInput!$M$27,Inputs!$B$4="Chapter Hunt"),CHOOSE(ArtifactsInput!$N$27+1,20,24,28,32,36,40),0)/100)),0)</f>
        <v/>
      </c>
      <c r="R171">
        <f>IF(AND(Inputs!$B$38&lt;&gt;"pvp",Inputs!$B$43&gt;0),IF(MAX(0,Inputs!$B$43-B197)&lt;=0,0,(INT(MAX(0,Inputs!$B$43-B197)/(IF(Inputs!$B$38="pvp",15,MAX(0.1,Skills!D10-IF(TRUE=TRUE,Inputs!$B$32,0)))*(1-IF(AND(ArtifactsInput!$M$27,Inputs!$B$4="Chapter Hunt"),CHOOSE(ArtifactsInput!$N$27+1,20,24,28,32,36,40),0)/100)))+1)),0)</f>
        <v/>
      </c>
      <c r="S171">
        <f>IFERROR(O171/N171,0)</f>
        <v/>
      </c>
      <c r="T171">
        <f>IF(C171,(H171*N171*IF(AND(Inputs!$B$38&lt;&gt;"pvp",Inputs!$B$43&gt;0),((Skills!G10*((R171-1)*IF(Skills!H10&gt;0,Skills!I10/Skills!H10,1)+IF(Skills!H10&gt;0,MIN(Skills!I10,MAX(0,MAX(0,Inputs!$B$43-B197)-((R171-1)*(IF(Inputs!$B$38="pvp",15,MAX(0.1,Skills!D10-IF(TRUE=TRUE,Inputs!$B$32,0)))*(1-IF(AND(ArtifactsInput!$M$27,Inputs!$B$4="Chapter Hunt"),CHOOSE(ArtifactsInput!$N$27+1,20,24,28,32,36,40),0)/100)))))/Skills!H10,1)))/Inputs!$B$43),G171*Q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10*((R171-1)*IF(Skills!H10&gt;0,Skills!I10/Skills!H10,1)+IF(Skills!H10&gt;0,MIN(Skills!I10,MAX(0,MAX(0,Inputs!$B$43-B197)-((R171-1)*(IF(Inputs!$B$38="pvp",15,MAX(0.1,Skills!D10-IF(TRUE=TRUE,Inputs!$B$32,0)))*(1-IF(AND(ArtifactsInput!$M$27,Inputs!$B$4="Chapter Hunt"),CHOOSE(ArtifactsInput!$N$27+1,20,24,28,32,36,40),0)/100)))))/Skills!H10,1)))/Inputs!$B$43),G171*Q171))*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Inputs!$B$3&gt;=113</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20)),(Inputs!$B$23+0+(IF(ArtifactsInput!$M$15,CHOOSE(ArtifactsInput!$N$15+1,25,30,35,40,45,50)/100*(Inputs!$B$11-Inputs!$B$11),0))))/100+(Inputs!$B$23+0+(IF(ArtifactsInput!$M$15,CHOOSE(ArtifactsInput!$N$15+1,25,30,35,40,45,50)/100*(Inputs!$B$11-Inputs!$B$11),0)))/100)/2</f>
        <v/>
      </c>
      <c r="M172">
        <f>L172*(1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t="n">
        <v>0</v>
      </c>
      <c r="R172" t="n">
        <v>0</v>
      </c>
      <c r="S172">
        <f>IFERROR(O172/N172,0)</f>
        <v/>
      </c>
      <c r="T172">
        <f>IF(C172,((H172*B203)/(1+Skills!H11*H172*B203)*N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IF(C172,((H172*B203)/(1+Skills!H11*H172*B203)*N172)*IF(Inputs!$B$38="pvp",1,(1+(Inputs!$B$21+Skills!Q11+(IF(ArtifactsInput!$M$33,CHOOSE(ArtifactsInput!$N$33+1,30,36,42,48,54,60),0))+(IF(AND(ArtifactsInput!$M$35,Inputs!$B$4&lt;&gt;"Chapter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Inputs!$B$3&gt;=100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t="inlineStr"/>
      <c r="H173" t="inlineStr"/>
      <c r="I173" t="inlineStr">
        <is>
          <t>1</t>
        </is>
      </c>
      <c r="J173" t="inlineStr"/>
      <c r="K173" t="inlineStr"/>
      <c r="L173" t="inlineStr"/>
      <c r="M173" t="inlineStr"/>
      <c r="N173" t="inlineStr"/>
      <c r="O173" t="inlineStr"/>
      <c r="P173" t="inlineStr"/>
      <c r="Q173" t="inlineStr"/>
      <c r="R173" t="inlineStr"/>
      <c r="S173" t="inlineStr"/>
      <c r="T173" t="inlineStr"/>
      <c r="V173" t="inlineStr"/>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IF(B200=0,0,O174/B200)</f>
        <v/>
      </c>
      <c r="Q174" t="n">
        <v>0</v>
      </c>
      <c r="R174" t="n">
        <v>0</v>
      </c>
      <c r="S174">
        <f>IFERROR(O174/N174,0)</f>
        <v/>
      </c>
      <c r="T174" t="n">
        <v>0</v>
      </c>
      <c r="V174" t="n">
        <v>0</v>
      </c>
    </row>
    <row r="175">
      <c r="A175">
        <f>Skills!A14</f>
        <v/>
      </c>
      <c r="B175">
        <f>Skills!B14</f>
        <v/>
      </c>
      <c r="C175">
        <f>Inputs!$B$3&gt;=115</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IF(B200=0,0,O175/B200)</f>
        <v/>
      </c>
      <c r="Q175">
        <f>IFERROR(1/(IF(Inputs!$B$38="pvp",15,MAX(0.1,Skills!D14-IF(TRUE=TRUE,Inputs!$B$32,0)))*(1-IF(AND(ArtifactsInput!$M$27,Inputs!$B$4="Chapter Hunt"),CHOOSE(ArtifactsInput!$N$27+1,20,24,28,32,36,40),0)/100)),0)</f>
        <v/>
      </c>
      <c r="R175">
        <f>IF(AND(Inputs!$B$38&lt;&gt;"pvp",Inputs!$B$43&gt;0),IF(Inputs!$B$43&lt;=0,0,(INT(Inputs!$B$43/(IF(Inputs!$B$38="pvp",15,MAX(0.1,Skills!D14-IF(TRUE=TRUE,Inputs!$B$32,0)))*(1-IF(AND(ArtifactsInput!$M$27,Inputs!$B$4="Chapter Hunt"),CHOOSE(ArtifactsInput!$N$27+1,20,24,28,32,36,40),0)/100)))+1)),0)</f>
        <v/>
      </c>
      <c r="S175">
        <f>IFERROR(O175/N175,0)</f>
        <v/>
      </c>
      <c r="T175" t="n">
        <v>0</v>
      </c>
      <c r="V175" t="n">
        <v>0</v>
      </c>
    </row>
    <row r="176">
      <c r="A176">
        <f>Skills!A15</f>
        <v/>
      </c>
      <c r="B176">
        <f>Skills!B15</f>
        <v/>
      </c>
      <c r="C176">
        <f>Inputs!$B$3&gt;=125</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IF(B200=0,0,O176/B200)</f>
        <v/>
      </c>
      <c r="Q176">
        <f>IFERROR(1/(IF(Inputs!$B$38="pvp",15,MAX(0.1,Skills!D15-IF(TRUE=TRUE,Inputs!$B$32,0)))*(1-IF(AND(ArtifactsInput!$M$27,Inputs!$B$4="Chapter Hunt"),CHOOSE(ArtifactsInput!$N$27+1,20,24,28,32,36,40),0)/100)),0)</f>
        <v/>
      </c>
      <c r="R176">
        <f>IF(AND(Inputs!$B$38&lt;&gt;"pvp",Inputs!$B$43&gt;0),IF(Inputs!$B$43&lt;=0,0,(INT(Inputs!$B$43/(IF(Inputs!$B$38="pvp",15,MAX(0.1,Skills!D15-IF(TRUE=TRUE,Inputs!$B$32,0)))*(1-IF(AND(ArtifactsInput!$M$27,Inputs!$B$4="Chapter Hunt"),CHOOSE(ArtifactsInput!$N$27+1,20,24,28,32,36,40),0)/100)))+1)),0)</f>
        <v/>
      </c>
      <c r="S176">
        <f>IFERROR(O176/N176,0)</f>
        <v/>
      </c>
      <c r="T176" t="n">
        <v>0</v>
      </c>
      <c r="V176" t="n">
        <v>0</v>
      </c>
    </row>
    <row r="177">
      <c r="A177">
        <f>Skills!A16</f>
        <v/>
      </c>
      <c r="B177">
        <f>Skills!B16</f>
        <v/>
      </c>
      <c r="C177">
        <f>Inputs!$B$3&gt;=10</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IF(B200=0,0,O177/B200)</f>
        <v/>
      </c>
      <c r="Q177" t="n">
        <v>0</v>
      </c>
      <c r="R177" t="n">
        <v>0</v>
      </c>
      <c r="S177">
        <f>IFERROR(O177/N177,0)</f>
        <v/>
      </c>
      <c r="T177" t="n">
        <v>0</v>
      </c>
      <c r="V177" t="n">
        <v>0</v>
      </c>
    </row>
    <row r="178">
      <c r="A178">
        <f>Skills!A17</f>
        <v/>
      </c>
      <c r="B178">
        <f>Skills!B17</f>
        <v/>
      </c>
      <c r="C178">
        <f>Inputs!$B$3&gt;=15</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Skills!A18</f>
        <v/>
      </c>
      <c r="B179">
        <f>Skills!B18</f>
        <v/>
      </c>
      <c r="C179">
        <f>Inputs!$B$3&gt;=33</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Skills!A19</f>
        <v/>
      </c>
      <c r="B180">
        <f>Skills!B19</f>
        <v/>
      </c>
      <c r="C180">
        <f>Inputs!$B$3&gt;=40</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Skills!A20</f>
        <v/>
      </c>
      <c r="B181">
        <f>Skills!B20</f>
        <v/>
      </c>
      <c r="C181">
        <f>Inputs!$B$3&gt;=43</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Skills!A21</f>
        <v/>
      </c>
      <c r="B182">
        <f>Skills!B21</f>
        <v/>
      </c>
      <c r="C182">
        <f>Inputs!$B$3&gt;=38</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Skills!A22</f>
        <v/>
      </c>
      <c r="B183">
        <f>Skills!B22</f>
        <v/>
      </c>
      <c r="C183">
        <f>Inputs!$B$3&gt;=75</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Skills!A23</f>
        <v/>
      </c>
      <c r="B184">
        <f>Skills!B23</f>
        <v/>
      </c>
      <c r="C184">
        <f>TRUE</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IF(B200=0,0,O184/B200)</f>
        <v/>
      </c>
      <c r="Q184">
        <f>IFERROR(1/(IF(Inputs!$B$38="pvp",15,MAX(0.1,Skills!D23-IF(TRUE=TRUE,Inputs!$B$32,0)))*(1-IF(AND(ArtifactsInput!$M$27,Inputs!$B$4="Chapter Hunt"),CHOOSE(ArtifactsInput!$N$27+1,20,24,28,32,36,40),0)/100)),0)</f>
        <v/>
      </c>
      <c r="R184">
        <f>IF(AND(Inputs!$B$38&lt;&gt;"pvp",Inputs!$B$43&gt;0),IF(Inputs!$B$43&lt;=0,0,(INT(Inputs!$B$43/(IF(Inputs!$B$38="pvp",15,MAX(0.1,Skills!D23-IF(TRUE=TRUE,Inputs!$B$32,0)))*(1-IF(AND(ArtifactsInput!$M$27,Inputs!$B$4="Chapter Hunt"),CHOOSE(ArtifactsInput!$N$27+1,20,24,28,32,36,40),0)/100)))+1)),0)</f>
        <v/>
      </c>
      <c r="S184">
        <f>IFERROR(O184/N184,0)</f>
        <v/>
      </c>
      <c r="T184" t="n">
        <v>0</v>
      </c>
      <c r="V184" t="n">
        <v>0</v>
      </c>
    </row>
    <row r="185">
      <c r="A185">
        <f>Skills!A24</f>
        <v/>
      </c>
      <c r="B185">
        <f>Skills!B24</f>
        <v/>
      </c>
      <c r="C185">
        <f>Inputs!$B$3&gt;=107</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IF(B200=0,0,O185/B200)</f>
        <v/>
      </c>
      <c r="Q185">
        <f>IFERROR(1/(IF(Inputs!$B$38="pvp",15,MAX(0.1,Skills!D24-IF(TRUE=TRUE,Inputs!$B$32,0)))*(1-IF(AND(ArtifactsInput!$M$27,Inputs!$B$4="Chapter Hunt"),CHOOSE(ArtifactsInput!$N$27+1,20,24,28,32,36,40),0)/100)),0)</f>
        <v/>
      </c>
      <c r="R185">
        <f>IF(AND(Inputs!$B$38&lt;&gt;"pvp",Inputs!$B$43&gt;0),IF(Inputs!$B$43&lt;=0,0,(INT(Inputs!$B$43/(IF(Inputs!$B$38="pvp",15,MAX(0.1,Skills!D24-IF(TRUE=TRUE,Inputs!$B$32,0)))*(1-IF(AND(ArtifactsInput!$M$27,Inputs!$B$4="Chapter Hunt"),CHOOSE(ArtifactsInput!$N$27+1,20,24,28,32,36,40),0)/100)))+1)),0)</f>
        <v/>
      </c>
      <c r="S185">
        <f>IFERROR(O185/N185,0)</f>
        <v/>
      </c>
      <c r="T185" t="n">
        <v>0</v>
      </c>
      <c r="V185" t="n">
        <v>0</v>
      </c>
    </row>
    <row r="186">
      <c r="A186">
        <f>Skills!A25</f>
        <v/>
      </c>
      <c r="B186">
        <f>Skills!B25</f>
        <v/>
      </c>
      <c r="C186">
        <f>Inputs!$B$3&gt;=110</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t="inlineStr"/>
      <c r="H186" t="inlineStr"/>
      <c r="I186" t="inlineStr">
        <is>
          <t>1</t>
        </is>
      </c>
      <c r="J186" t="inlineStr"/>
      <c r="K186" t="inlineStr"/>
      <c r="L186" t="inlineStr"/>
      <c r="M186" t="inlineStr"/>
      <c r="N186" t="inlineStr"/>
      <c r="O186" t="inlineStr"/>
      <c r="P186" t="inlineStr"/>
      <c r="Q186" t="inlineStr"/>
      <c r="R186" t="inlineStr"/>
      <c r="S186" t="inlineStr"/>
      <c r="T186" t="inlineStr"/>
      <c r="V186" t="inlineStr"/>
    </row>
    <row r="187">
      <c r="A187">
        <f>Skills!A26</f>
        <v/>
      </c>
      <c r="B187">
        <f>Skills!B26</f>
        <v/>
      </c>
      <c r="C187">
        <f>Inputs!$B$3&gt;=117</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t="inlineStr"/>
      <c r="H187" t="inlineStr"/>
      <c r="I187" t="inlineStr">
        <is>
          <t>1</t>
        </is>
      </c>
      <c r="J187" t="inlineStr"/>
      <c r="K187" t="inlineStr"/>
      <c r="L187" t="inlineStr"/>
      <c r="M187" t="inlineStr"/>
      <c r="N187" t="inlineStr"/>
      <c r="O187" t="inlineStr"/>
      <c r="P187" t="inlineStr"/>
      <c r="Q187" t="inlineStr"/>
      <c r="R187" t="inlineStr"/>
      <c r="S187" t="inlineStr"/>
      <c r="T187" t="inlineStr"/>
      <c r="V187" t="inlineStr"/>
    </row>
    <row r="189">
      <c r="A189" t="inlineStr">
        <is>
          <t>Attack% Bucket Multiplier</t>
        </is>
      </c>
      <c r="B189">
        <f>(1+(((C174=TRUE)*F174*5/7)+((C180=TRUE)*(F180-Calc!F19))+(IF(ArtifactsInput!$M$21,CHOOSE(ArtifactsInput!$N$21+1,25,30,35,40,45,50)*(IF(OR(Inputs!$B$4="Chapter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 Speed Infusion, duty-cycle averaged)</t>
        </is>
      </c>
      <c r="B191">
        <f>((C184=TRUE)*F184*IF(AND(Inputs!$B$38&lt;&gt;"pvp",Inputs!$B$43&gt;0),(((R184-1)*MIN((Skills!T23*(1+Inputs!$B$34/100)),(1/Q184))+MIN((Skills!T23*(1+Inputs!$B$34/100)),MAX(0,Inputs!$B$43-((R184-1)*(1/Q184)))))/Inputs!$B$43),IF(Inputs!$B$38="pvp",MIN((Skills!T23*(1+Inputs!$B$34/100)),15)/15,MIN(1,(Skills!T23*(1+Inputs!$B$34/100))/(1/Q184)))))+((C185=TRUE)*F185*IF(AND(Inputs!$B$38&lt;&gt;"pvp",Inputs!$B$43&gt;0),(((R185-1)*MIN((Skills!T24*(1+Inputs!$B$34/100)),(1/Q185))+MIN((Skills!T24*(1+Inputs!$B$34/100)),MAX(0,Inputs!$B$43-((R185-1)*(1/Q185)))))/Inputs!$B$43),IF(Inputs!$B$38="pvp",MIN((Skills!T24*(1+Inputs!$B$34/100)),15)/15,MIN(1,(Skills!T24*(1+Inputs!$B$34/100))/(1/Q185)))))</f>
        <v/>
      </c>
    </row>
    <row r="192">
      <c r="A192" t="inlineStr">
        <is>
          <t>Actions Per Second</t>
        </is>
      </c>
      <c r="B192">
        <f>1+MIN(150,150*(1-(1-(Inputs!$B$11+((C178=TRUE)*(F178-Calc!F17))+((C179=TRUE)*(F179-Calc!F18)))/150)*(1-B191/150)))/100</f>
        <v/>
      </c>
    </row>
    <row r="193">
      <c r="A193" t="inlineStr">
        <is>
          <t>Skill + Buff Cast Rate</t>
        </is>
      </c>
      <c r="B193">
        <f>IF(AND(Inputs!$B$38&lt;&gt;"pvp",Inputs!$B$43&gt;0),SUMPRODUCT((Skills!E2:E26=TRUE)*(C163:C187=TRUE)*R163:R187*Skills!F2:F26)/Inputs!$B$43,SUMPRODUCT((Skills!E2:E26=TRUE)*(C163:C187=TRUE)*Q163:Q187*Skills!F2:F26))</f>
        <v/>
      </c>
    </row>
    <row r="194">
      <c r="A194" t="inlineStr">
        <is>
          <t>Hook Bomber Casts Per Second</t>
        </is>
      </c>
      <c r="B194">
        <f>MAX(0,B192-B193)</f>
        <v/>
      </c>
    </row>
    <row r="195">
      <c r="A195" t="inlineStr">
        <is>
          <t>Global Critical Damage Bonus % (unused)</t>
        </is>
      </c>
      <c r="B195" t="n">
        <v>0</v>
      </c>
    </row>
    <row r="196">
      <c r="A196" t="inlineStr">
        <is>
          <t>Global Final Damage Bonus % (Serpent Scale + Crossbones + Time Leap + Speed Infusion)</t>
        </is>
      </c>
      <c r="B196">
        <f>((C166=TRUE)*(F166*B202+4*(1-B202)))+((C175=TRUE)*F175*IF(AND(Inputs!$B$38&lt;&gt;"pvp",Inputs!$B$43&gt;0),(((R175-1)*MIN((Skills!T14*(1+Inputs!$B$34/100)),(1/Q175))+MIN((Skills!T14*(1+Inputs!$B$34/100)),MAX(0,Inputs!$B$43-((R175-1)*(1/Q175)))))/Inputs!$B$43),IF(Inputs!$B$38="pvp",MIN((Skills!T14*(1+Inputs!$B$34/100)),15)/15,MIN(1,(Skills!T14*(1+Inputs!$B$34/100))/(1/Q175)))))+((C176=TRUE)*F176*IF(AND(Inputs!$B$38&lt;&gt;"pvp",Inputs!$B$43&gt;0),(((R176-1)*MIN((Skills!T15*(1+Inputs!$B$34/100)),(1/Q176))+MIN((Skills!T15*(1+Inputs!$B$34/100)),MAX(0,Inputs!$B$43-((R176-1)*(1/Q176)))))/Inputs!$B$43),IF(Inputs!$B$38="pvp",MIN((Skills!T15*(1+Inputs!$B$34/100)),15)/15,MIN(1,(Skills!T15*(1+Inputs!$B$34/100))/(1/Q176)))))+((C185=TRUE)*20*((1+MIN(150,150*(1-(1-(Inputs!$B$11+((C178=TRUE)*(F178-Calc!F17))+((C179=TRUE)*(F179-Calc!F18)))/150)*(1-(((C184=TRUE)*F184*IF(AND(Inputs!$B$38&lt;&gt;"pvp",Inputs!$B$43&gt;0),(((R184-1)*MIN((Skills!T23*(1+Inputs!$B$34/100)),(1/Q184))+MIN((Skills!T23*(1+Inputs!$B$34/100)),MAX(0,Inputs!$B$43-((R184-1)*(1/Q184)))))/Inputs!$B$43),IF(Inputs!$B$38="pvp",MIN((Skills!T23*(1+Inputs!$B$34/100)),15)/15,MIN(1,(Skills!T23*(1+Inputs!$B$34/100))/(1/Q184)))))+F185)/150)))/100)-1)*IF(AND(Inputs!$B$38&lt;&gt;"pvp",Inputs!$B$43&gt;0),(((R185-1)*MIN((Skills!T24*(1+Inputs!$B$34/100)),(1/Q185))+MIN((Skills!T24*(1+Inputs!$B$34/100)),MAX(0,Inputs!$B$43-((R185-1)*(1/Q185)))))/Inputs!$B$43),IF(Inputs!$B$38="pvp",MIN((Skills!T24*(1+Inputs!$B$34/100)),15)/15,MIN(1,(Skills!T24*(1+Inputs!$B$34/100))/(1/Q185)))))</f>
        <v/>
      </c>
    </row>
    <row r="197">
      <c r="A197" t="inlineStr">
        <is>
          <t>Buff-Casting Startup Delay (s, fixed-duration only)</t>
        </is>
      </c>
      <c r="B197">
        <f>IF(AND(Inputs!$B$38&lt;&gt;"pvp",Inputs!$B$43&gt;0),SUMPRODUCT((Skills!T2:T26&gt;0)*(Skills!E2:E26=TRUE)*(C163:C187=TRUE))/B192,0)</f>
        <v/>
      </c>
    </row>
    <row r="198">
      <c r="A198" t="inlineStr">
        <is>
          <t>Boss-Only Total DPS (this block's swept value)</t>
        </is>
      </c>
      <c r="B198">
        <f>SUM(T163:T187)</f>
        <v/>
      </c>
    </row>
    <row r="199">
      <c r="A199" t="inlineStr">
        <is>
          <t>Normal-Only Total DPS (this block's swept value)</t>
        </is>
      </c>
      <c r="B199">
        <f>SUM(V163:V187)</f>
        <v/>
      </c>
    </row>
    <row r="200">
      <c r="A200" s="6" t="inlineStr">
        <is>
          <t>TOTAL DPS</t>
        </is>
      </c>
      <c r="B200" s="6">
        <f>SUM(O163:O187)</f>
        <v/>
      </c>
    </row>
    <row r="201">
      <c r="A201" t="inlineStr">
        <is>
          <t>Serpent activation interval T (this block's own Hook Bomber rate)</t>
        </is>
      </c>
      <c r="B201">
        <f>((1/Q164)+IFERROR(0.5/B194,0))</f>
        <v/>
      </c>
    </row>
    <row r="202">
      <c r="A202" t="inlineStr">
        <is>
          <t>Assault Mode uptime u (this block)</t>
        </is>
      </c>
      <c r="B202">
        <f>IF(C166=TRUE,(10+IF(Inputs!$B$3&gt;=94,5,0))/((10+IF(Inputs!$B$3&gt;=94,5,0))+IF(Inputs!$B$3&gt;=104,3,5)*B201),0)</f>
        <v/>
      </c>
    </row>
    <row r="203">
      <c r="A203" t="inlineStr">
        <is>
          <t>Nautilus Strike - Final Attack trigger rate (this block's own Q/R)</t>
        </is>
      </c>
      <c r="B203">
        <f>IF(AND(Inputs!$B$38&lt;&gt;"pvp",Inputs!$B$43&gt;0),(((C167=TRUE)*R167)+((C168=TRUE)*R168)+((C171=TRUE)*R171))/Inputs!$B$43,((C167=TRUE)*Q167)+((C168=TRUE)*Q168)+((C171=TRUE)*Q171))+B194</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226=TRUE)*(F226-Calc!F20)),(Inputs!$B$23+0+(IF(ArtifactsInput!$M$15,CHOOSE(ArtifactsInput!$N$15+1,25,30,35,40,45,50)/100*(Inputs!$B$11-Inputs!$B$11),0))))/100+(Inputs!$B$23+0+(IF(ArtifactsInput!$M$15,CHOOSE(ArtifactsInput!$N$15+1,25,30,35,40,45,50)/100*(Inputs!$B$11-Inputs!$B$11),0)))/100)/2</f>
        <v/>
      </c>
      <c r="M208">
        <f>L208*(1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IF(B245=0,0,O208/B245)</f>
        <v/>
      </c>
      <c r="Q208" t="n">
        <v>0</v>
      </c>
      <c r="R208" t="n">
        <v>0</v>
      </c>
      <c r="S208">
        <f>IFERROR(O208/N208,0)</f>
        <v/>
      </c>
      <c r="T208">
        <f>IF(C208,(Skills!G2*N208*B239)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IF(C208,(Skills!G2*N208*B239)*IF(Inputs!$B$38="pvp",1,(1+(Inputs!$B$21+Skills!Q2+(IF(ArtifactsInput!$M$33,CHOOSE(ArtifactsInput!$N$33+1,30,36,42,48,54,60),0))+(IF(AND(ArtifactsInput!$M$35,Inputs!$B$4&lt;&gt;"Chapter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Inputs!$B$3&gt;=35</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f>Skills!G3*IF(Skills!H3&gt;0,Skills!I3/Skills!H3,1)</f>
        <v/>
      </c>
      <c r="H209">
        <f>1-(1-Skills!J3/100)^Skills!K3</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231=TRUE,F231,0)/100)*(1+(IF(Skills!A3="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226=TRUE)*(F226-Calc!F20)),(Inputs!$B$23+0+(IF(ArtifactsInput!$M$15,CHOOSE(ArtifactsInput!$N$15+1,25,30,35,40,45,50)/100*(Inputs!$B$11-Inputs!$B$11),0))))/100+(Inputs!$B$23+0+(IF(ArtifactsInput!$M$15,CHOOSE(ArtifactsInput!$N$15+1,25,30,35,40,45,50)/100*(Inputs!$B$11-Inputs!$B$11),0)))/100)/2</f>
        <v/>
      </c>
      <c r="M209">
        <f>L209*(1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IF(B245=0,0,O209/B245)</f>
        <v/>
      </c>
      <c r="Q209">
        <f>IFERROR(1/(IF(Inputs!$B$38="pvp",15,MAX(0.1,Skills!D3-IF(TRUE=TRUE,Inputs!$B$32,0)))*(1-IF(AND(ArtifactsInput!$M$27,Inputs!$B$4="Chapter Hunt"),CHOOSE(ArtifactsInput!$N$27+1,20,24,28,32,36,40),0)/100)),0)</f>
        <v/>
      </c>
      <c r="R209">
        <f>IF(AND(Inputs!$B$38&lt;&gt;"pvp",Inputs!$B$43&gt;0),IF(MAX(0,Inputs!$B$43-B242)&lt;=0,0,(INT(MAX(0,Inputs!$B$43-B242)/(IF(Inputs!$B$38="pvp",15,MAX(0.1,Skills!D3-IF(TRUE=TRUE,Inputs!$B$32,0)))*(1-IF(AND(ArtifactsInput!$M$27,Inputs!$B$4="Chapter Hunt"),CHOOSE(ArtifactsInput!$N$27+1,20,24,28,32,36,40),0)/100)))+1)),0)</f>
        <v/>
      </c>
      <c r="S209">
        <f>IFERROR(O209/N209,0)</f>
        <v/>
      </c>
      <c r="T209">
        <f>IF(C209,(Skills!G3*N209*IF(C210=TRUE,1-B247,1)/B246)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INDEX(FactorTable!$B$2:$Y$301, MATCH(ROUND(MIN(300,MAX(1,U208)),0), FactorTable!$A$2:$A$301,0), 22)</f>
        <v/>
      </c>
      <c r="V209">
        <f>IF(C209,(Skills!G3*N209*IF(C210=TRUE,1-B247,1)/B246)*IF(Inputs!$B$38="pvp",1,(1+(Inputs!$B$21+Skills!Q3+(IF(ArtifactsInput!$M$33,CHOOSE(ArtifactsInput!$N$33+1,30,36,42,48,54,60),0))+(IF(AND(ArtifactsInput!$M$35,Inputs!$B$4&lt;&gt;"Chapter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Skills!A4</f>
        <v/>
      </c>
      <c r="B210">
        <f>Skills!B4</f>
        <v/>
      </c>
      <c r="C210">
        <f>Inputs!$B$3&gt;=69</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f>Skills!G4*IF(Skills!H4&gt;0,Skills!I4/Skills!H4,1)</f>
        <v/>
      </c>
      <c r="H210">
        <f>1-(1-Skills!J4/100)^Skills!K4</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4="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226=TRUE)*(F226-Calc!F20)),(Inputs!$B$23+0+(IF(ArtifactsInput!$M$15,CHOOSE(ArtifactsInput!$N$15+1,25,30,35,40,45,50)/100*(Inputs!$B$11-Inputs!$B$11),0))))/100+(Inputs!$B$23+0+(IF(ArtifactsInput!$M$15,CHOOSE(ArtifactsInput!$N$15+1,25,30,35,40,45,50)/100*(Inputs!$B$11-Inputs!$B$11),0)))/100)/2</f>
        <v/>
      </c>
      <c r="M210">
        <f>L210*(1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IF(B245=0,0,O210/B245)</f>
        <v/>
      </c>
      <c r="Q210" t="n">
        <v>0</v>
      </c>
      <c r="R210" t="n">
        <v>0</v>
      </c>
      <c r="S210">
        <f>IFERROR(O210/N210,0)</f>
        <v/>
      </c>
      <c r="T210">
        <f>IF(C210,(Skills!G4*N210*B247/B246)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290*U209/1000</f>
        <v/>
      </c>
      <c r="V210">
        <f>IF(C210,(Skills!G4*N210*B247/B246)*IF(Inputs!$B$38="pvp",1,(1+(Inputs!$B$21+Skills!Q4+(IF(ArtifactsInput!$M$33,CHOOSE(ArtifactsInput!$N$33+1,30,36,42,48,54,60),0))+(IF(AND(ArtifactsInput!$M$35,Inputs!$B$4&lt;&gt;"Chapter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Skills!A5</f>
        <v/>
      </c>
      <c r="B211">
        <f>Skills!B5</f>
        <v/>
      </c>
      <c r="C211">
        <f>Inputs!$B$3&gt;=66</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t="inlineStr"/>
      <c r="K211" t="inlineStr"/>
      <c r="L211" t="inlineStr"/>
      <c r="M211" t="inlineStr"/>
      <c r="N211" t="inlineStr"/>
      <c r="O211">
        <f>(1-Summary!$B$11)*T211+Summary!$B$11*V211</f>
        <v/>
      </c>
      <c r="P211">
        <f>IF(B245=0,0,O211/B245)</f>
        <v/>
      </c>
      <c r="Q211" t="n">
        <v>0</v>
      </c>
      <c r="R211" t="n">
        <v>0</v>
      </c>
      <c r="S211">
        <f>IFERROR(O211/N211,0)</f>
        <v/>
      </c>
      <c r="T211" t="n">
        <v>0</v>
      </c>
      <c r="V211" t="n">
        <v>0</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TRUE,F218,0)/100)*(1+(IF(Skills!A6="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226=TRUE)*(F226-Calc!F20)),(Inputs!$B$23+0+(IF(ArtifactsInput!$M$15,CHOOSE(ArtifactsInput!$N$15+1,25,30,35,40,45,50)/100*(Inputs!$B$11-Inputs!$B$11),0))))/100+(Inputs!$B$23+0+(IF(ArtifactsInput!$M$15,CHOOSE(ArtifactsInput!$N$15+1,25,30,35,40,45,50)/100*(Inputs!$B$11-Inputs!$B$11),0)))/100)/2</f>
        <v/>
      </c>
      <c r="M212">
        <f>L212*(1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IF(B245=0,0,O212/B245)</f>
        <v/>
      </c>
      <c r="Q212">
        <f>IFERROR(1/(IF(Inputs!$B$38="pvp",15,MAX(0.1,Skills!D6-IF(TRUE=TRUE,Inputs!$B$32,0)))*(1-IF(AND(ArtifactsInput!$M$27,Inputs!$B$4="Chapter Hunt"),CHOOSE(ArtifactsInput!$N$27+1,20,24,28,32,36,40),0)/100)),0)</f>
        <v/>
      </c>
      <c r="R212">
        <f>IF(AND(Inputs!$B$38&lt;&gt;"pvp",Inputs!$B$43&gt;0),IF(MAX(0,Inputs!$B$43-B242)&lt;=0,0,(INT(MAX(0,Inputs!$B$43-B242)/(IF(Inputs!$B$38="pvp",15,MAX(0.1,Skills!D6-IF(TRUE=TRUE,Inputs!$B$32,0)))*(1-IF(AND(ArtifactsInput!$M$27,Inputs!$B$4="Chapter Hunt"),CHOOSE(ArtifactsInput!$N$27+1,20,24,28,32,36,40),0)/100)))+1)),0)</f>
        <v/>
      </c>
      <c r="S212">
        <f>IFERROR(O212/N212,0)</f>
        <v/>
      </c>
      <c r="T212">
        <f>IF(C212,(H212*N212*IF(AND(Inputs!$B$38&lt;&gt;"pvp",Inputs!$B$43&gt;0),((Skills!G6*((R212-1)*IF(Skills!H6&gt;0,Skills!I6/Skills!H6,1)+IF(Skills!H6&gt;0,MIN(Skills!I6,MAX(0,MAX(0,Inputs!$B$43-B242)-((R212-1)*(IF(Inputs!$B$38="pvp",15,MAX(0.1,Skills!D6-IF(TRUE=TRUE,Inputs!$B$32,0)))*(1-IF(AND(ArtifactsInput!$M$27,Inputs!$B$4="Chapter Hunt"),CHOOSE(ArtifactsInput!$N$27+1,20,24,28,32,36,40),0)/100)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242)-((R212-1)*(IF(Inputs!$B$38="pvp",15,MAX(0.1,Skills!D6-IF(TRUE=TRUE,Inputs!$B$32,0)))*(1-IF(AND(ArtifactsInput!$M$27,Inputs!$B$4="Chapter Hunt"),CHOOSE(ArtifactsInput!$N$27+1,20,24,28,32,36,40),0)/100)))))/Skills!H6,1)))/Inputs!$B$43),G212*Q212))*IF(Inputs!$B$38="pvp",1,(1+(Inputs!$B$21+Skills!Q6+(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Inputs!$B$3&gt;=103</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226=TRUE)*(F226-Calc!F20)),(Inputs!$B$23+0+(IF(ArtifactsInput!$M$15,CHOOSE(ArtifactsInput!$N$15+1,25,30,35,40,45,50)/100*(Inputs!$B$11-Inputs!$B$11),0))))/100+(Inputs!$B$23+0+(IF(ArtifactsInput!$M$15,CHOOSE(ArtifactsInput!$N$15+1,25,30,35,40,45,50)/100*(Inputs!$B$11-Inputs!$B$11),0)))/100)/2</f>
        <v/>
      </c>
      <c r="M213">
        <f>L213*(1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IF(B245=0,0,O213/B245)</f>
        <v/>
      </c>
      <c r="Q213">
        <f>IFERROR(1/(IF(Inputs!$B$38="pvp",15,MAX(0.1,Skills!D7-IF(TRUE=TRUE,Inputs!$B$32,0)))*(1-IF(AND(ArtifactsInput!$M$27,Inputs!$B$4="Chapter Hunt"),CHOOSE(ArtifactsInput!$N$27+1,20,24,28,32,36,40),0)/100)),0)</f>
        <v/>
      </c>
      <c r="R213">
        <f>IF(AND(Inputs!$B$38&lt;&gt;"pvp",Inputs!$B$43&gt;0),IF(MAX(0,Inputs!$B$43-B242)&lt;=0,0,(INT(MAX(0,Inputs!$B$43-B242)/(IF(Inputs!$B$38="pvp",15,MAX(0.1,Skills!D7-IF(TRUE=TRUE,Inputs!$B$32,0)))*(1-IF(AND(ArtifactsInput!$M$27,Inputs!$B$4="Chapter Hunt"),CHOOSE(ArtifactsInput!$N$27+1,20,24,28,32,36,40),0)/100)))+1)),0)</f>
        <v/>
      </c>
      <c r="S213">
        <f>IFERROR(O213/N213,0)</f>
        <v/>
      </c>
      <c r="T213">
        <f>IF(C213,(H213*N213*IF(AND(Inputs!$B$38&lt;&gt;"pvp",Inputs!$B$43&gt;0),((Skills!G7*((R213-1)*IF(Skills!H7&gt;0,Skills!I7/Skills!H7,1)+IF(Skills!H7&gt;0,MIN(Skills!I7,MAX(0,MAX(0,Inputs!$B$43-B242)-((R213-1)*(IF(Inputs!$B$38="pvp",15,MAX(0.1,Skills!D7-IF(TRUE=TRUE,Inputs!$B$32,0)))*(1-IF(AND(ArtifactsInput!$M$27,Inputs!$B$4="Chapter Hunt"),CHOOSE(ArtifactsInput!$N$27+1,20,24,28,32,36,40),0)/100)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242)-((R213-1)*(IF(Inputs!$B$38="pvp",15,MAX(0.1,Skills!D7-IF(TRUE=TRUE,Inputs!$B$32,0)))*(1-IF(AND(ArtifactsInput!$M$27,Inputs!$B$4="Chapter Hunt"),CHOOSE(ArtifactsInput!$N$27+1,20,24,28,32,36,40),0)/100)))))/Skills!H7,1)))/Inputs!$B$43),G213*Q213))*IF(Inputs!$B$38="pvp",1,(1+(Inputs!$B$21+Skills!Q7+(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Inputs!$B$3&gt;=117</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f>Skills!G8*IF(Skills!H8&gt;0,Skills!I8/Skills!H8,1)</f>
        <v/>
      </c>
      <c r="H214">
        <f>1-(1-Skills!J8/100)^Skills!K8</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226=TRUE)*(F226-Calc!F20)),(Inputs!$B$23+0+(IF(ArtifactsInput!$M$15,CHOOSE(ArtifactsInput!$N$15+1,25,30,35,40,45,50)/100*(Inputs!$B$11-Inputs!$B$11),0))))/100+(Inputs!$B$23+0+(IF(ArtifactsInput!$M$15,CHOOSE(ArtifactsInput!$N$15+1,25,30,35,40,45,50)/100*(Inputs!$B$11-Inputs!$B$11),0)))/100)/2</f>
        <v/>
      </c>
      <c r="M214">
        <f>L214*(1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IF(B245=0,0,O214/B245)</f>
        <v/>
      </c>
      <c r="Q214">
        <f>IFERROR(1/(IF(Inputs!$B$38="pvp",15,MAX(0.1,Skills!D8-IF(TRUE=TRUE,Inputs!$B$32,0)))*(1-IF(AND(ArtifactsInput!$M$27,Inputs!$B$4="Chapter Hunt"),CHOOSE(ArtifactsInput!$N$27+1,20,24,28,32,36,40),0)/100)),0)</f>
        <v/>
      </c>
      <c r="R214">
        <f>IF(AND(Inputs!$B$38&lt;&gt;"pvp",Inputs!$B$43&gt;0),IF(MAX(0,Inputs!$B$43-B242)&lt;=0,0,(INT(MAX(0,Inputs!$B$43-B242)/(IF(Inputs!$B$38="pvp",15,MAX(0.1,Skills!D8-IF(TRUE=TRUE,Inputs!$B$32,0)))*(1-IF(AND(ArtifactsInput!$M$27,Inputs!$B$4="Chapter Hunt"),CHOOSE(ArtifactsInput!$N$27+1,20,24,28,32,36,40),0)/100)))+1)),0)</f>
        <v/>
      </c>
      <c r="S214">
        <f>IFERROR(O214/N214,0)</f>
        <v/>
      </c>
      <c r="T214">
        <f>IF(C214,(H214*N214*IF(AND(Inputs!$B$38&lt;&gt;"pvp",Inputs!$B$43&gt;0),((Skills!G8*((R214-1)*IF(Skills!H8&gt;0,Skills!I8/Skills!H8,1)+IF(Skills!H8&gt;0,MIN(Skills!I8,MAX(0,MAX(0,Inputs!$B$43-B242)-((R214-1)*(IF(Inputs!$B$38="pvp",15,MAX(0.1,Skills!D8-IF(TRUE=TRUE,Inputs!$B$32,0)))*(1-IF(AND(ArtifactsInput!$M$27,Inputs!$B$4="Chapter Hunt"),CHOOSE(ArtifactsInput!$N$27+1,20,24,28,32,36,40),0)/100)))))/Skills!H8,1)))/Inputs!$B$43),G214*Q214)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8*((R214-1)*IF(Skills!H8&gt;0,Skills!I8/Skills!H8,1)+IF(Skills!H8&gt;0,MIN(Skills!I8,MAX(0,MAX(0,Inputs!$B$43-B242)-((R214-1)*(IF(Inputs!$B$38="pvp",15,MAX(0.1,Skills!D8-IF(TRUE=TRUE,Inputs!$B$32,0)))*(1-IF(AND(ArtifactsInput!$M$27,Inputs!$B$4="Chapter Hunt"),CHOOSE(ArtifactsInput!$N$27+1,20,24,28,32,36,40),0)/100)))))/Skills!H8,1)))/Inputs!$B$43),G214*Q214))*IF(Inputs!$B$38="pvp",1,(1+(Inputs!$B$21+Skills!Q8+(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Skills!A9</f>
        <v/>
      </c>
      <c r="B215">
        <f>Skills!B9</f>
        <v/>
      </c>
      <c r="C215">
        <f>Inputs!$B$3&gt;=120</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B247</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226=TRUE)*(F226-Calc!F20)),(Inputs!$B$23+0+(IF(ArtifactsInput!$M$15,CHOOSE(ArtifactsInput!$N$15+1,25,30,35,40,45,50)/100*(Inputs!$B$11-Inputs!$B$11),0))))/100+(Inputs!$B$23+0+(IF(ArtifactsInput!$M$15,CHOOSE(ArtifactsInput!$N$15+1,25,30,35,40,45,50)/100*(Inputs!$B$11-Inputs!$B$11),0)))/100)/2</f>
        <v/>
      </c>
      <c r="M215">
        <f>L215*(1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IF(B245=0,0,O215/B245)</f>
        <v/>
      </c>
      <c r="Q215">
        <f>IFERROR(1/(IF(Inputs!$B$38="pvp",15,MAX(0.1,Skills!D9-IF(TRUE=TRUE,Inputs!$B$32,0)))*(1-IF(AND(ArtifactsInput!$M$27,Inputs!$B$4="Chapter Hunt"),CHOOSE(ArtifactsInput!$N$27+1,20,24,28,32,36,40),0)/100)),0)</f>
        <v/>
      </c>
      <c r="R215">
        <f>IF(AND(Inputs!$B$38&lt;&gt;"pvp",Inputs!$B$43&gt;0),IF(MAX(0,Inputs!$B$43-B242)&lt;=0,0,(INT(MAX(0,Inputs!$B$43-B242)/(IF(Inputs!$B$38="pvp",15,MAX(0.1,Skills!D9-IF(TRUE=TRUE,Inputs!$B$32,0)))*(1-IF(AND(ArtifactsInput!$M$27,Inputs!$B$4="Chapter Hunt"),CHOOSE(ArtifactsInput!$N$27+1,20,24,28,32,36,40),0)/100)))+1)),0)</f>
        <v/>
      </c>
      <c r="S215">
        <f>IFERROR(O215/N215,0)</f>
        <v/>
      </c>
      <c r="T215">
        <f>IF(C215,(H215*N215*IF(AND(Inputs!$B$38&lt;&gt;"pvp",Inputs!$B$43&gt;0),((Skills!G9*((R215-1)*IF(Skills!H9&gt;0,Skills!I9/Skills!H9,1)+IF(Skills!H9&gt;0,MIN(Skills!I9,MAX(0,MAX(0,Inputs!$B$43-B242)-((R215-1)*(IF(Inputs!$B$38="pvp",15,MAX(0.1,Skills!D9-IF(TRUE=TRUE,Inputs!$B$32,0)))*(1-IF(AND(ArtifactsInput!$M$27,Inputs!$B$4="Chapter Hunt"),CHOOSE(ArtifactsInput!$N$27+1,20,24,28,32,36,40),0)/100)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242)-((R215-1)*(IF(Inputs!$B$38="pvp",15,MAX(0.1,Skills!D9-IF(TRUE=TRUE,Inputs!$B$32,0)))*(1-IF(AND(ArtifactsInput!$M$27,Inputs!$B$4="Chapter Hunt"),CHOOSE(ArtifactsInput!$N$27+1,20,24,28,32,36,40),0)/100)))))/Skills!H9,1)))/Inputs!$B$43),G215*Q215))*IF(Inputs!$B$38="pvp",1,(1+(Inputs!$B$21+Skills!Q9+(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Inputs!$B$3&gt;=105</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226=TRUE)*(F226-Calc!F20)),(Inputs!$B$23+0+(IF(ArtifactsInput!$M$15,CHOOSE(ArtifactsInput!$N$15+1,25,30,35,40,45,50)/100*(Inputs!$B$11-Inputs!$B$11),0))))/100+(Inputs!$B$23+0+(IF(ArtifactsInput!$M$15,CHOOSE(ArtifactsInput!$N$15+1,25,30,35,40,45,50)/100*(Inputs!$B$11-Inputs!$B$11),0)))/100)/2</f>
        <v/>
      </c>
      <c r="M216">
        <f>L216*(1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IF(B245=0,0,O216/B245)</f>
        <v/>
      </c>
      <c r="Q216">
        <f>IFERROR(1/(IF(Inputs!$B$38="pvp",15,MAX(0.1,Skills!D10-IF(TRUE=TRUE,Inputs!$B$32,0)))*(1-IF(AND(ArtifactsInput!$M$27,Inputs!$B$4="Chapter Hunt"),CHOOSE(ArtifactsInput!$N$27+1,20,24,28,32,36,40),0)/100)),0)</f>
        <v/>
      </c>
      <c r="R216">
        <f>IF(AND(Inputs!$B$38&lt;&gt;"pvp",Inputs!$B$43&gt;0),IF(MAX(0,Inputs!$B$43-B242)&lt;=0,0,(INT(MAX(0,Inputs!$B$43-B242)/(IF(Inputs!$B$38="pvp",15,MAX(0.1,Skills!D10-IF(TRUE=TRUE,Inputs!$B$32,0)))*(1-IF(AND(ArtifactsInput!$M$27,Inputs!$B$4="Chapter Hunt"),CHOOSE(ArtifactsInput!$N$27+1,20,24,28,32,36,40),0)/100)))+1)),0)</f>
        <v/>
      </c>
      <c r="S216">
        <f>IFERROR(O216/N216,0)</f>
        <v/>
      </c>
      <c r="T216">
        <f>IF(C216,(H216*N216*IF(AND(Inputs!$B$38&lt;&gt;"pvp",Inputs!$B$43&gt;0),((Skills!G10*((R216-1)*IF(Skills!H10&gt;0,Skills!I10/Skills!H10,1)+IF(Skills!H10&gt;0,MIN(Skills!I10,MAX(0,MAX(0,Inputs!$B$43-B242)-((R216-1)*(IF(Inputs!$B$38="pvp",15,MAX(0.1,Skills!D10-IF(TRUE=TRUE,Inputs!$B$32,0)))*(1-IF(AND(ArtifactsInput!$M$27,Inputs!$B$4="Chapter Hunt"),CHOOSE(ArtifactsInput!$N$27+1,20,24,28,32,36,40),0)/100)))))/Skills!H10,1)))/Inputs!$B$43),G216*Q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10*((R216-1)*IF(Skills!H10&gt;0,Skills!I10/Skills!H10,1)+IF(Skills!H10&gt;0,MIN(Skills!I10,MAX(0,MAX(0,Inputs!$B$43-B242)-((R216-1)*(IF(Inputs!$B$38="pvp",15,MAX(0.1,Skills!D10-IF(TRUE=TRUE,Inputs!$B$32,0)))*(1-IF(AND(ArtifactsInput!$M$27,Inputs!$B$4="Chapter Hunt"),CHOOSE(ArtifactsInput!$N$27+1,20,24,28,32,36,40),0)/100)))))/Skills!H10,1)))/Inputs!$B$43),G216*Q216))*IF(Inputs!$B$38="pvp",1,(1+(Inputs!$B$21+Skills!Q10+(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Inputs!$B$3&gt;=113</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226=TRUE)*(F226-Calc!F20)),(Inputs!$B$23+0+(IF(ArtifactsInput!$M$15,CHOOSE(ArtifactsInput!$N$15+1,25,30,35,40,45,50)/100*(Inputs!$B$11-Inputs!$B$11),0))))/100+(Inputs!$B$23+0+(IF(ArtifactsInput!$M$15,CHOOSE(ArtifactsInput!$N$15+1,25,30,35,40,45,50)/100*(Inputs!$B$11-Inputs!$B$11),0)))/100)/2</f>
        <v/>
      </c>
      <c r="M217">
        <f>L217*(1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IF(B245=0,0,O217/B245)</f>
        <v/>
      </c>
      <c r="Q217" t="n">
        <v>0</v>
      </c>
      <c r="R217" t="n">
        <v>0</v>
      </c>
      <c r="S217">
        <f>IFERROR(O217/N217,0)</f>
        <v/>
      </c>
      <c r="T217">
        <f>IF(C217,((H217*B248)/(1+Skills!H11*H217*B248)*N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IF(C217,((H217*B248)/(1+Skills!H11*H217*B248)*N217)*IF(Inputs!$B$38="pvp",1,(1+(Inputs!$B$21+Skills!Q11+(IF(ArtifactsInput!$M$33,CHOOSE(ArtifactsInput!$N$33+1,30,36,42,48,54,60),0))+(IF(AND(ArtifactsInput!$M$35,Inputs!$B$4&lt;&gt;"Chapter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Inputs!$B$3&gt;=100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t="inlineStr"/>
      <c r="H218" t="inlineStr"/>
      <c r="I218" t="inlineStr">
        <is>
          <t>1</t>
        </is>
      </c>
      <c r="J218" t="inlineStr"/>
      <c r="K218" t="inlineStr"/>
      <c r="L218" t="inlineStr"/>
      <c r="M218" t="inlineStr"/>
      <c r="N218" t="inlineStr"/>
      <c r="O218" t="inlineStr"/>
      <c r="P218" t="inlineStr"/>
      <c r="Q218" t="inlineStr"/>
      <c r="R218" t="inlineStr"/>
      <c r="S218" t="inlineStr"/>
      <c r="T218" t="inlineStr"/>
      <c r="V218" t="inlineStr"/>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IF(B245=0,0,O219/B245)</f>
        <v/>
      </c>
      <c r="Q219" t="n">
        <v>0</v>
      </c>
      <c r="R219" t="n">
        <v>0</v>
      </c>
      <c r="S219">
        <f>IFERROR(O219/N219,0)</f>
        <v/>
      </c>
      <c r="T219" t="n">
        <v>0</v>
      </c>
      <c r="V219" t="n">
        <v>0</v>
      </c>
    </row>
    <row r="220">
      <c r="A220">
        <f>Skills!A14</f>
        <v/>
      </c>
      <c r="B220">
        <f>Skills!B14</f>
        <v/>
      </c>
      <c r="C220">
        <f>Inputs!$B$3&gt;=115</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IF(B245=0,0,O220/B245)</f>
        <v/>
      </c>
      <c r="Q220">
        <f>IFERROR(1/(IF(Inputs!$B$38="pvp",15,MAX(0.1,Skills!D14-IF(TRUE=TRUE,Inputs!$B$32,0)))*(1-IF(AND(ArtifactsInput!$M$27,Inputs!$B$4="Chapter Hunt"),CHOOSE(ArtifactsInput!$N$27+1,20,24,28,32,36,40),0)/100)),0)</f>
        <v/>
      </c>
      <c r="R220">
        <f>IF(AND(Inputs!$B$38&lt;&gt;"pvp",Inputs!$B$43&gt;0),IF(Inputs!$B$43&lt;=0,0,(INT(Inputs!$B$43/(IF(Inputs!$B$38="pvp",15,MAX(0.1,Skills!D14-IF(TRUE=TRUE,Inputs!$B$32,0)))*(1-IF(AND(ArtifactsInput!$M$27,Inputs!$B$4="Chapter Hunt"),CHOOSE(ArtifactsInput!$N$27+1,20,24,28,32,36,40),0)/100)))+1)),0)</f>
        <v/>
      </c>
      <c r="S220">
        <f>IFERROR(O220/N220,0)</f>
        <v/>
      </c>
      <c r="T220" t="n">
        <v>0</v>
      </c>
      <c r="V220" t="n">
        <v>0</v>
      </c>
    </row>
    <row r="221">
      <c r="A221">
        <f>Skills!A15</f>
        <v/>
      </c>
      <c r="B221">
        <f>Skills!B15</f>
        <v/>
      </c>
      <c r="C221">
        <f>Inputs!$B$3&gt;=125</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IF(B245=0,0,O221/B245)</f>
        <v/>
      </c>
      <c r="Q221">
        <f>IFERROR(1/(IF(Inputs!$B$38="pvp",15,MAX(0.1,Skills!D15-IF(TRUE=TRUE,Inputs!$B$32,0)))*(1-IF(AND(ArtifactsInput!$M$27,Inputs!$B$4="Chapter Hunt"),CHOOSE(ArtifactsInput!$N$27+1,20,24,28,32,36,40),0)/100)),0)</f>
        <v/>
      </c>
      <c r="R221">
        <f>IF(AND(Inputs!$B$38&lt;&gt;"pvp",Inputs!$B$43&gt;0),IF(Inputs!$B$43&lt;=0,0,(INT(Inputs!$B$43/(IF(Inputs!$B$38="pvp",15,MAX(0.1,Skills!D15-IF(TRUE=TRUE,Inputs!$B$32,0)))*(1-IF(AND(ArtifactsInput!$M$27,Inputs!$B$4="Chapter Hunt"),CHOOSE(ArtifactsInput!$N$27+1,20,24,28,32,36,40),0)/100)))+1)),0)</f>
        <v/>
      </c>
      <c r="S221">
        <f>IFERROR(O221/N221,0)</f>
        <v/>
      </c>
      <c r="T221" t="n">
        <v>0</v>
      </c>
      <c r="V221" t="n">
        <v>0</v>
      </c>
    </row>
    <row r="222">
      <c r="A222">
        <f>Skills!A16</f>
        <v/>
      </c>
      <c r="B222">
        <f>Skills!B16</f>
        <v/>
      </c>
      <c r="C222">
        <f>Inputs!$B$3&gt;=10</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IF(B245=0,0,O222/B245)</f>
        <v/>
      </c>
      <c r="Q222" t="n">
        <v>0</v>
      </c>
      <c r="R222" t="n">
        <v>0</v>
      </c>
      <c r="S222">
        <f>IFERROR(O222/N222,0)</f>
        <v/>
      </c>
      <c r="T222" t="n">
        <v>0</v>
      </c>
      <c r="V222" t="n">
        <v>0</v>
      </c>
    </row>
    <row r="223">
      <c r="A223">
        <f>Skills!A17</f>
        <v/>
      </c>
      <c r="B223">
        <f>Skills!B17</f>
        <v/>
      </c>
      <c r="C223">
        <f>Inputs!$B$3&gt;=15</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IF(B245=0,0,O223/B245)</f>
        <v/>
      </c>
      <c r="Q223" t="n">
        <v>0</v>
      </c>
      <c r="R223" t="n">
        <v>0</v>
      </c>
      <c r="S223">
        <f>IFERROR(O223/N223,0)</f>
        <v/>
      </c>
      <c r="T223" t="n">
        <v>0</v>
      </c>
      <c r="V223" t="n">
        <v>0</v>
      </c>
    </row>
    <row r="224">
      <c r="A224">
        <f>Skills!A18</f>
        <v/>
      </c>
      <c r="B224">
        <f>Skills!B18</f>
        <v/>
      </c>
      <c r="C224">
        <f>Inputs!$B$3&gt;=33</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IF(B245=0,0,O224/B245)</f>
        <v/>
      </c>
      <c r="Q224" t="n">
        <v>0</v>
      </c>
      <c r="R224" t="n">
        <v>0</v>
      </c>
      <c r="S224">
        <f>IFERROR(O224/N224,0)</f>
        <v/>
      </c>
      <c r="T224" t="n">
        <v>0</v>
      </c>
      <c r="V224" t="n">
        <v>0</v>
      </c>
    </row>
    <row r="225">
      <c r="A225">
        <f>Skills!A19</f>
        <v/>
      </c>
      <c r="B225">
        <f>Skills!B19</f>
        <v/>
      </c>
      <c r="C225">
        <f>Inputs!$B$3&gt;=40</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IF(B245=0,0,O225/B245)</f>
        <v/>
      </c>
      <c r="Q225" t="n">
        <v>0</v>
      </c>
      <c r="R225" t="n">
        <v>0</v>
      </c>
      <c r="S225">
        <f>IFERROR(O225/N225,0)</f>
        <v/>
      </c>
      <c r="T225" t="n">
        <v>0</v>
      </c>
      <c r="V225" t="n">
        <v>0</v>
      </c>
    </row>
    <row r="226">
      <c r="A226">
        <f>Skills!A20</f>
        <v/>
      </c>
      <c r="B226">
        <f>Skills!B20</f>
        <v/>
      </c>
      <c r="C226">
        <f>Inputs!$B$3&gt;=43</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IF(B245=0,0,O226/B245)</f>
        <v/>
      </c>
      <c r="Q226" t="n">
        <v>0</v>
      </c>
      <c r="R226" t="n">
        <v>0</v>
      </c>
      <c r="S226">
        <f>IFERROR(O226/N226,0)</f>
        <v/>
      </c>
      <c r="T226" t="n">
        <v>0</v>
      </c>
      <c r="V226" t="n">
        <v>0</v>
      </c>
    </row>
    <row r="227">
      <c r="A227">
        <f>Skills!A21</f>
        <v/>
      </c>
      <c r="B227">
        <f>Skills!B21</f>
        <v/>
      </c>
      <c r="C227">
        <f>Inputs!$B$3&gt;=38</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IF(B245=0,0,O227/B245)</f>
        <v/>
      </c>
      <c r="Q227" t="n">
        <v>0</v>
      </c>
      <c r="R227" t="n">
        <v>0</v>
      </c>
      <c r="S227">
        <f>IFERROR(O227/N227,0)</f>
        <v/>
      </c>
      <c r="T227" t="n">
        <v>0</v>
      </c>
      <c r="V227" t="n">
        <v>0</v>
      </c>
    </row>
    <row r="228">
      <c r="A228">
        <f>Skills!A22</f>
        <v/>
      </c>
      <c r="B228">
        <f>Skills!B22</f>
        <v/>
      </c>
      <c r="C228">
        <f>Inputs!$B$3&gt;=75</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IF(B245=0,0,O228/B245)</f>
        <v/>
      </c>
      <c r="Q228" t="n">
        <v>0</v>
      </c>
      <c r="R228" t="n">
        <v>0</v>
      </c>
      <c r="S228">
        <f>IFERROR(O228/N228,0)</f>
        <v/>
      </c>
      <c r="T228" t="n">
        <v>0</v>
      </c>
      <c r="V228" t="n">
        <v>0</v>
      </c>
    </row>
    <row r="229">
      <c r="A229">
        <f>Skills!A23</f>
        <v/>
      </c>
      <c r="B229">
        <f>Skills!B23</f>
        <v/>
      </c>
      <c r="C229">
        <f>TRUE</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IF(B245=0,0,O229/B245)</f>
        <v/>
      </c>
      <c r="Q229">
        <f>IFERROR(1/(IF(Inputs!$B$38="pvp",15,MAX(0.1,Skills!D23-IF(TRUE=TRUE,Inputs!$B$32,0)))*(1-IF(AND(ArtifactsInput!$M$27,Inputs!$B$4="Chapter Hunt"),CHOOSE(ArtifactsInput!$N$27+1,20,24,28,32,36,40),0)/100)),0)</f>
        <v/>
      </c>
      <c r="R229">
        <f>IF(AND(Inputs!$B$38&lt;&gt;"pvp",Inputs!$B$43&gt;0),IF(Inputs!$B$43&lt;=0,0,(INT(Inputs!$B$43/(IF(Inputs!$B$38="pvp",15,MAX(0.1,Skills!D23-IF(TRUE=TRUE,Inputs!$B$32,0)))*(1-IF(AND(ArtifactsInput!$M$27,Inputs!$B$4="Chapter Hunt"),CHOOSE(ArtifactsInput!$N$27+1,20,24,28,32,36,40),0)/100)))+1)),0)</f>
        <v/>
      </c>
      <c r="S229">
        <f>IFERROR(O229/N229,0)</f>
        <v/>
      </c>
      <c r="T229" t="n">
        <v>0</v>
      </c>
      <c r="V229" t="n">
        <v>0</v>
      </c>
    </row>
    <row r="230">
      <c r="A230">
        <f>Skills!A24</f>
        <v/>
      </c>
      <c r="B230">
        <f>Skills!B24</f>
        <v/>
      </c>
      <c r="C230">
        <f>Inputs!$B$3&gt;=107</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IF(B245=0,0,O230/B245)</f>
        <v/>
      </c>
      <c r="Q230">
        <f>IFERROR(1/(IF(Inputs!$B$38="pvp",15,MAX(0.1,Skills!D24-IF(TRUE=TRUE,Inputs!$B$32,0)))*(1-IF(AND(ArtifactsInput!$M$27,Inputs!$B$4="Chapter Hunt"),CHOOSE(ArtifactsInput!$N$27+1,20,24,28,32,36,40),0)/100)),0)</f>
        <v/>
      </c>
      <c r="R230">
        <f>IF(AND(Inputs!$B$38&lt;&gt;"pvp",Inputs!$B$43&gt;0),IF(Inputs!$B$43&lt;=0,0,(INT(Inputs!$B$43/(IF(Inputs!$B$38="pvp",15,MAX(0.1,Skills!D24-IF(TRUE=TRUE,Inputs!$B$32,0)))*(1-IF(AND(ArtifactsInput!$M$27,Inputs!$B$4="Chapter Hunt"),CHOOSE(ArtifactsInput!$N$27+1,20,24,28,32,36,40),0)/100)))+1)),0)</f>
        <v/>
      </c>
      <c r="S230">
        <f>IFERROR(O230/N230,0)</f>
        <v/>
      </c>
      <c r="T230" t="n">
        <v>0</v>
      </c>
      <c r="V230" t="n">
        <v>0</v>
      </c>
    </row>
    <row r="231">
      <c r="A231">
        <f>Skills!A25</f>
        <v/>
      </c>
      <c r="B231">
        <f>Skills!B25</f>
        <v/>
      </c>
      <c r="C231">
        <f>Inputs!$B$3&gt;=110</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t="inlineStr"/>
      <c r="H231" t="inlineStr"/>
      <c r="I231" t="inlineStr">
        <is>
          <t>1</t>
        </is>
      </c>
      <c r="J231" t="inlineStr"/>
      <c r="K231" t="inlineStr"/>
      <c r="L231" t="inlineStr"/>
      <c r="M231" t="inlineStr"/>
      <c r="N231" t="inlineStr"/>
      <c r="O231" t="inlineStr"/>
      <c r="P231" t="inlineStr"/>
      <c r="Q231" t="inlineStr"/>
      <c r="R231" t="inlineStr"/>
      <c r="S231" t="inlineStr"/>
      <c r="T231" t="inlineStr"/>
      <c r="V231" t="inlineStr"/>
    </row>
    <row r="232">
      <c r="A232">
        <f>Skills!A26</f>
        <v/>
      </c>
      <c r="B232">
        <f>Skills!B26</f>
        <v/>
      </c>
      <c r="C232">
        <f>Inputs!$B$3&gt;=117</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t="inlineStr"/>
      <c r="H232" t="inlineStr"/>
      <c r="I232" t="inlineStr">
        <is>
          <t>1</t>
        </is>
      </c>
      <c r="J232" t="inlineStr"/>
      <c r="K232" t="inlineStr"/>
      <c r="L232" t="inlineStr"/>
      <c r="M232" t="inlineStr"/>
      <c r="N232" t="inlineStr"/>
      <c r="O232" t="inlineStr"/>
      <c r="P232" t="inlineStr"/>
      <c r="Q232" t="inlineStr"/>
      <c r="R232" t="inlineStr"/>
      <c r="S232" t="inlineStr"/>
      <c r="T232" t="inlineStr"/>
      <c r="V232" t="inlineStr"/>
    </row>
    <row r="234">
      <c r="A234" t="inlineStr">
        <is>
          <t>Attack% Bucket Multiplier</t>
        </is>
      </c>
      <c r="B234">
        <f>(1+(((C219=TRUE)*F219*5/7)+((C225=TRUE)*(F225-Calc!F19))+(IF(ArtifactsInput!$M$21,CHOOSE(ArtifactsInput!$N$21+1,25,30,35,40,45,50)*(IF(OR(Inputs!$B$4="Chapter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
      <c r="A235" t="inlineStr">
        <is>
          <t>Global Crit Rate Bonus %</t>
        </is>
      </c>
      <c r="B235" t="n">
        <v>0</v>
      </c>
    </row>
    <row r="236">
      <c r="A236" t="inlineStr">
        <is>
          <t>Attack Speed Buff Bonus % (Nimble Feet + Speed Infusion, duty-cycle averaged)</t>
        </is>
      </c>
      <c r="B236">
        <f>((C229=TRUE)*F229*IF(AND(Inputs!$B$38&lt;&gt;"pvp",Inputs!$B$43&gt;0),(((R229-1)*MIN((Skills!T23*(1+Inputs!$B$34/100)),(1/Q229))+MIN((Skills!T23*(1+Inputs!$B$34/100)),MAX(0,Inputs!$B$43-((R229-1)*(1/Q229)))))/Inputs!$B$43),IF(Inputs!$B$38="pvp",MIN((Skills!T23*(1+Inputs!$B$34/100)),15)/15,MIN(1,(Skills!T23*(1+Inputs!$B$34/100))/(1/Q229)))))+((C230=TRUE)*F230*IF(AND(Inputs!$B$38&lt;&gt;"pvp",Inputs!$B$43&gt;0),(((R230-1)*MIN((Skills!T24*(1+Inputs!$B$34/100)),(1/Q230))+MIN((Skills!T24*(1+Inputs!$B$34/100)),MAX(0,Inputs!$B$43-((R230-1)*(1/Q230)))))/Inputs!$B$43),IF(Inputs!$B$38="pvp",MIN((Skills!T24*(1+Inputs!$B$34/100)),15)/15,MIN(1,(Skills!T24*(1+Inputs!$B$34/100))/(1/Q230)))))</f>
        <v/>
      </c>
    </row>
    <row r="237">
      <c r="A237" t="inlineStr">
        <is>
          <t>Actions Per Second</t>
        </is>
      </c>
      <c r="B237">
        <f>1+MIN(150,150*(1-(1-(Inputs!$B$11+((C223=TRUE)*(F223-Calc!F17))+((C224=TRUE)*(F224-Calc!F18)))/150)*(1-B236/150)))/100</f>
        <v/>
      </c>
    </row>
    <row r="238">
      <c r="A238" t="inlineStr">
        <is>
          <t>Skill + Buff Cast Rate</t>
        </is>
      </c>
      <c r="B238">
        <f>IF(AND(Inputs!$B$38&lt;&gt;"pvp",Inputs!$B$43&gt;0),SUMPRODUCT((Skills!E2:E26=TRUE)*(C208:C232=TRUE)*R208:R232*Skills!F2:F26)/Inputs!$B$43,SUMPRODUCT((Skills!E2:E26=TRUE)*(C208:C232=TRUE)*Q208:Q232*Skills!F2:F26))</f>
        <v/>
      </c>
    </row>
    <row r="239">
      <c r="A239" t="inlineStr">
        <is>
          <t>Hook Bomber Casts Per Second</t>
        </is>
      </c>
      <c r="B239">
        <f>MAX(0,B237-B238)</f>
        <v/>
      </c>
    </row>
    <row r="240">
      <c r="A240" t="inlineStr">
        <is>
          <t>Global Critical Damage Bonus % (unused)</t>
        </is>
      </c>
      <c r="B240" t="n">
        <v>0</v>
      </c>
    </row>
    <row r="241">
      <c r="A241" t="inlineStr">
        <is>
          <t>Global Final Damage Bonus % (Serpent Scale + Crossbones + Time Leap + Speed Infusion)</t>
        </is>
      </c>
      <c r="B241">
        <f>((C211=TRUE)*(F211*B247+4*(1-B247)))+((C220=TRUE)*F220*IF(AND(Inputs!$B$38&lt;&gt;"pvp",Inputs!$B$43&gt;0),(((R220-1)*MIN((Skills!T14*(1+Inputs!$B$34/100)),(1/Q220))+MIN((Skills!T14*(1+Inputs!$B$34/100)),MAX(0,Inputs!$B$43-((R220-1)*(1/Q220)))))/Inputs!$B$43),IF(Inputs!$B$38="pvp",MIN((Skills!T14*(1+Inputs!$B$34/100)),15)/15,MIN(1,(Skills!T14*(1+Inputs!$B$34/100))/(1/Q220)))))+((C221=TRUE)*F221*IF(AND(Inputs!$B$38&lt;&gt;"pvp",Inputs!$B$43&gt;0),(((R221-1)*MIN((Skills!T15*(1+Inputs!$B$34/100)),(1/Q221))+MIN((Skills!T15*(1+Inputs!$B$34/100)),MAX(0,Inputs!$B$43-((R221-1)*(1/Q221)))))/Inputs!$B$43),IF(Inputs!$B$38="pvp",MIN((Skills!T15*(1+Inputs!$B$34/100)),15)/15,MIN(1,(Skills!T15*(1+Inputs!$B$34/100))/(1/Q221)))))+((C230=TRUE)*20*((1+MIN(150,150*(1-(1-(Inputs!$B$11+((C223=TRUE)*(F223-Calc!F17))+((C224=TRUE)*(F224-Calc!F18)))/150)*(1-(((C229=TRUE)*F229*IF(AND(Inputs!$B$38&lt;&gt;"pvp",Inputs!$B$43&gt;0),(((R229-1)*MIN((Skills!T23*(1+Inputs!$B$34/100)),(1/Q229))+MIN((Skills!T23*(1+Inputs!$B$34/100)),MAX(0,Inputs!$B$43-((R229-1)*(1/Q229)))))/Inputs!$B$43),IF(Inputs!$B$38="pvp",MIN((Skills!T23*(1+Inputs!$B$34/100)),15)/15,MIN(1,(Skills!T23*(1+Inputs!$B$34/100))/(1/Q229)))))+F230)/150)))/100)-1)*IF(AND(Inputs!$B$38&lt;&gt;"pvp",Inputs!$B$43&gt;0),(((R230-1)*MIN((Skills!T24*(1+Inputs!$B$34/100)),(1/Q230))+MIN((Skills!T24*(1+Inputs!$B$34/100)),MAX(0,Inputs!$B$43-((R230-1)*(1/Q230)))))/Inputs!$B$43),IF(Inputs!$B$38="pvp",MIN((Skills!T24*(1+Inputs!$B$34/100)),15)/15,MIN(1,(Skills!T24*(1+Inputs!$B$34/100))/(1/Q230)))))</f>
        <v/>
      </c>
    </row>
    <row r="242">
      <c r="A242" t="inlineStr">
        <is>
          <t>Buff-Casting Startup Delay (s, fixed-duration only)</t>
        </is>
      </c>
      <c r="B242">
        <f>IF(AND(Inputs!$B$38&lt;&gt;"pvp",Inputs!$B$43&gt;0),SUMPRODUCT((Skills!T2:T26&gt;0)*(Skills!E2:E26=TRUE)*(C208:C232=TRUE))/B237,0)</f>
        <v/>
      </c>
    </row>
    <row r="243">
      <c r="A243" t="inlineStr">
        <is>
          <t>Boss-Only Total DPS (this block's swept value)</t>
        </is>
      </c>
      <c r="B243">
        <f>SUM(T208:T232)</f>
        <v/>
      </c>
    </row>
    <row r="244">
      <c r="A244" t="inlineStr">
        <is>
          <t>Normal-Only Total DPS (this block's swept value)</t>
        </is>
      </c>
      <c r="B244">
        <f>SUM(V208:V232)</f>
        <v/>
      </c>
    </row>
    <row r="245">
      <c r="A245" s="6" t="inlineStr">
        <is>
          <t>TOTAL DPS</t>
        </is>
      </c>
      <c r="B245" s="6">
        <f>SUM(O208:O232)</f>
        <v/>
      </c>
    </row>
    <row r="246">
      <c r="A246" t="inlineStr">
        <is>
          <t>Serpent activation interval T (this block's own Hook Bomber rate)</t>
        </is>
      </c>
      <c r="B246">
        <f>((1/Q209)+IFERROR(0.5/B239,0))</f>
        <v/>
      </c>
    </row>
    <row r="247">
      <c r="A247" t="inlineStr">
        <is>
          <t>Assault Mode uptime u (this block)</t>
        </is>
      </c>
      <c r="B247">
        <f>IF(C211=TRUE,(10+IF(Inputs!$B$3&gt;=94,5,0))/((10+IF(Inputs!$B$3&gt;=94,5,0))+IF(Inputs!$B$3&gt;=104,3,5)*B246),0)</f>
        <v/>
      </c>
    </row>
    <row r="248">
      <c r="A248" t="inlineStr">
        <is>
          <t>Nautilus Strike - Final Attack trigger rate (this block's own Q/R)</t>
        </is>
      </c>
      <c r="B248">
        <f>IF(AND(Inputs!$B$38&lt;&gt;"pvp",Inputs!$B$43&gt;0),(((C212=TRUE)*R212)+((C213=TRUE)*R213)+((C216=TRUE)*R216))/Inputs!$B$43,((C212=TRUE)*Q212)+((C213=TRUE)*Q213)+((C216=TRUE)*Q216))+B239</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271=TRUE)*(F271-Calc!F20)),(Inputs!$B$23+0+(IF(ArtifactsInput!$M$15,CHOOSE(ArtifactsInput!$N$15+1,25,30,35,40,45,50)/100*(Inputs!$B$11-Inputs!$B$11),0))))/100+(Inputs!$B$23+0+(IF(ArtifactsInput!$M$15,CHOOSE(ArtifactsInput!$N$15+1,25,30,35,40,45,50)/100*(Inputs!$B$11-Inputs!$B$11),0)))/100)/2</f>
        <v/>
      </c>
      <c r="M253">
        <f>L253*(1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IF(B290=0,0,O253/B290)</f>
        <v/>
      </c>
      <c r="Q253" t="n">
        <v>0</v>
      </c>
      <c r="R253" t="n">
        <v>0</v>
      </c>
      <c r="S253">
        <f>IFERROR(O253/N253,0)</f>
        <v/>
      </c>
      <c r="T253">
        <f>IF(C253,(Skills!G2*N253*B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IF(C253,(Skills!G2*N253*B284)*IF(Inputs!$B$38="pvp",1,(1+(Inputs!$B$21+Skills!Q2+(IF(ArtifactsInput!$M$33,CHOOSE(ArtifactsInput!$N$33+1,30,36,42,48,54,60),0))+(IF(AND(ArtifactsInput!$M$35,Inputs!$B$4&lt;&gt;"Chapter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Inputs!$B$3&gt;=35</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f>Skills!G3*IF(Skills!H3&gt;0,Skills!I3/Skills!H3,1)</f>
        <v/>
      </c>
      <c r="H254">
        <f>1-(1-Skills!J3/100)^Skills!K3</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TRUE,F276,0)/100)*(1+(IF(Skills!A3="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271=TRUE)*(F271-Calc!F20)),(Inputs!$B$23+0+(IF(ArtifactsInput!$M$15,CHOOSE(ArtifactsInput!$N$15+1,25,30,35,40,45,50)/100*(Inputs!$B$11-Inputs!$B$11),0))))/100+(Inputs!$B$23+0+(IF(ArtifactsInput!$M$15,CHOOSE(ArtifactsInput!$N$15+1,25,30,35,40,45,50)/100*(Inputs!$B$11-Inputs!$B$11),0)))/100)/2</f>
        <v/>
      </c>
      <c r="M254">
        <f>L254*(1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IF(B290=0,0,O254/B290)</f>
        <v/>
      </c>
      <c r="Q254">
        <f>IFERROR(1/(IF(Inputs!$B$38="pvp",15,MAX(0.1,Skills!D3-IF(TRUE=TRUE,Inputs!$B$32,0)))*(1-IF(AND(ArtifactsInput!$M$27,Inputs!$B$4="Chapter Hunt"),CHOOSE(ArtifactsInput!$N$27+1,20,24,28,32,36,40),0)/100)),0)</f>
        <v/>
      </c>
      <c r="R254">
        <f>IF(AND(Inputs!$B$38&lt;&gt;"pvp",Inputs!$B$43&gt;0),IF(MAX(0,Inputs!$B$43-B287)&lt;=0,0,(INT(MAX(0,Inputs!$B$43-B287)/(IF(Inputs!$B$38="pvp",15,MAX(0.1,Skills!D3-IF(TRUE=TRUE,Inputs!$B$32,0)))*(1-IF(AND(ArtifactsInput!$M$27,Inputs!$B$4="Chapter Hunt"),CHOOSE(ArtifactsInput!$N$27+1,20,24,28,32,36,40),0)/100)))+1)),0)</f>
        <v/>
      </c>
      <c r="S254">
        <f>IFERROR(O254/N254,0)</f>
        <v/>
      </c>
      <c r="T254">
        <f>IF(C254,(Skills!G3*N254*IF(C255=TRUE,1-B292,1)/B291)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INDEX(FactorTable!$B$2:$Y$301, MATCH(ROUND(MIN(300,MAX(1,U253)),0), FactorTable!$A$2:$A$301,0), 22)</f>
        <v/>
      </c>
      <c r="V254">
        <f>IF(C254,(Skills!G3*N254*IF(C255=TRUE,1-B292,1)/B291)*IF(Inputs!$B$38="pvp",1,(1+(Inputs!$B$21+Skills!Q3+(IF(ArtifactsInput!$M$33,CHOOSE(ArtifactsInput!$N$33+1,30,36,42,48,54,60),0))+(IF(AND(ArtifactsInput!$M$35,Inputs!$B$4&lt;&gt;"Chapter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Skills!A4</f>
        <v/>
      </c>
      <c r="B255">
        <f>Skills!B4</f>
        <v/>
      </c>
      <c r="C255">
        <f>Inputs!$B$3&gt;=69</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f>Skills!G4*IF(Skills!H4&gt;0,Skills!I4/Skills!H4,1)</f>
        <v/>
      </c>
      <c r="H255">
        <f>1-(1-Skills!J4/100)^Skills!K4</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271=TRUE)*(F271-Calc!F20)),(Inputs!$B$23+0+(IF(ArtifactsInput!$M$15,CHOOSE(ArtifactsInput!$N$15+1,25,30,35,40,45,50)/100*(Inputs!$B$11-Inputs!$B$11),0))))/100+(Inputs!$B$23+0+(IF(ArtifactsInput!$M$15,CHOOSE(ArtifactsInput!$N$15+1,25,30,35,40,45,50)/100*(Inputs!$B$11-Inputs!$B$11),0)))/100)/2</f>
        <v/>
      </c>
      <c r="M255">
        <f>L255*(1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IF(B290=0,0,O255/B290)</f>
        <v/>
      </c>
      <c r="Q255" t="n">
        <v>0</v>
      </c>
      <c r="R255" t="n">
        <v>0</v>
      </c>
      <c r="S255">
        <f>IFERROR(O255/N255,0)</f>
        <v/>
      </c>
      <c r="T255">
        <f>IF(C255,(Skills!G4*N255*B292/B291)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290*U254/1000</f>
        <v/>
      </c>
      <c r="V255">
        <f>IF(C255,(Skills!G4*N255*B292/B291)*IF(Inputs!$B$38="pvp",1,(1+(Inputs!$B$21+Skills!Q4+(IF(ArtifactsInput!$M$33,CHOOSE(ArtifactsInput!$N$33+1,30,36,42,48,54,60),0))+(IF(AND(ArtifactsInput!$M$35,Inputs!$B$4&lt;&gt;"Chapter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Skills!A5</f>
        <v/>
      </c>
      <c r="B256">
        <f>Skills!B5</f>
        <v/>
      </c>
      <c r="C256">
        <f>Inputs!$B$3&gt;=66</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t="inlineStr"/>
      <c r="K256" t="inlineStr"/>
      <c r="L256" t="inlineStr"/>
      <c r="M256" t="inlineStr"/>
      <c r="N256" t="inlineStr"/>
      <c r="O256">
        <f>(1-Summary!$B$11)*T256+Summary!$B$11*V256</f>
        <v/>
      </c>
      <c r="P256">
        <f>IF(B290=0,0,O256/B290)</f>
        <v/>
      </c>
      <c r="Q256" t="n">
        <v>0</v>
      </c>
      <c r="R256" t="n">
        <v>0</v>
      </c>
      <c r="S256">
        <f>IFERROR(O256/N256,0)</f>
        <v/>
      </c>
      <c r="T256" t="n">
        <v>0</v>
      </c>
      <c r="V256" t="n">
        <v>0</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TRUE,F263,0)/100)*(1+(IF(Skills!A6="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271=TRUE)*(F271-Calc!F20)),(Inputs!$B$23+0+(IF(ArtifactsInput!$M$15,CHOOSE(ArtifactsInput!$N$15+1,25,30,35,40,45,50)/100*(Inputs!$B$11-Inputs!$B$11),0))))/100+(Inputs!$B$23+0+(IF(ArtifactsInput!$M$15,CHOOSE(ArtifactsInput!$N$15+1,25,30,35,40,45,50)/100*(Inputs!$B$11-Inputs!$B$11),0)))/100)/2</f>
        <v/>
      </c>
      <c r="M257">
        <f>L257*(1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IF(B290=0,0,O257/B290)</f>
        <v/>
      </c>
      <c r="Q257">
        <f>IFERROR(1/(IF(Inputs!$B$38="pvp",15,MAX(0.1,Skills!D6-IF(TRUE=TRUE,Inputs!$B$32,0)))*(1-IF(AND(ArtifactsInput!$M$27,Inputs!$B$4="Chapter Hunt"),CHOOSE(ArtifactsInput!$N$27+1,20,24,28,32,36,40),0)/100)),0)</f>
        <v/>
      </c>
      <c r="R257">
        <f>IF(AND(Inputs!$B$38&lt;&gt;"pvp",Inputs!$B$43&gt;0),IF(MAX(0,Inputs!$B$43-B287)&lt;=0,0,(INT(MAX(0,Inputs!$B$43-B287)/(IF(Inputs!$B$38="pvp",15,MAX(0.1,Skills!D6-IF(TRUE=TRUE,Inputs!$B$32,0)))*(1-IF(AND(ArtifactsInput!$M$27,Inputs!$B$4="Chapter Hunt"),CHOOSE(ArtifactsInput!$N$27+1,20,24,28,32,36,40),0)/100)))+1)),0)</f>
        <v/>
      </c>
      <c r="S257">
        <f>IFERROR(O257/N257,0)</f>
        <v/>
      </c>
      <c r="T257">
        <f>IF(C257,(H257*N257*IF(AND(Inputs!$B$38&lt;&gt;"pvp",Inputs!$B$43&gt;0),((Skills!G6*((R257-1)*IF(Skills!H6&gt;0,Skills!I6/Skills!H6,1)+IF(Skills!H6&gt;0,MIN(Skills!I6,MAX(0,MAX(0,Inputs!$B$43-B287)-((R257-1)*(IF(Inputs!$B$38="pvp",15,MAX(0.1,Skills!D6-IF(TRUE=TRUE,Inputs!$B$32,0)))*(1-IF(AND(ArtifactsInput!$M$27,Inputs!$B$4="Chapter Hunt"),CHOOSE(ArtifactsInput!$N$27+1,20,24,28,32,36,40),0)/100)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287)-((R257-1)*(IF(Inputs!$B$38="pvp",15,MAX(0.1,Skills!D6-IF(TRUE=TRUE,Inputs!$B$32,0)))*(1-IF(AND(ArtifactsInput!$M$27,Inputs!$B$4="Chapter Hunt"),CHOOSE(ArtifactsInput!$N$27+1,20,24,28,32,36,40),0)/100)))))/Skills!H6,1)))/Inputs!$B$43),G257*Q257))*IF(Inputs!$B$38="pvp",1,(1+(Inputs!$B$21+Skills!Q6+(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Inputs!$B$3&gt;=103</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271=TRUE)*(F271-Calc!F20)),(Inputs!$B$23+0+(IF(ArtifactsInput!$M$15,CHOOSE(ArtifactsInput!$N$15+1,25,30,35,40,45,50)/100*(Inputs!$B$11-Inputs!$B$11),0))))/100+(Inputs!$B$23+0+(IF(ArtifactsInput!$M$15,CHOOSE(ArtifactsInput!$N$15+1,25,30,35,40,45,50)/100*(Inputs!$B$11-Inputs!$B$11),0)))/100)/2</f>
        <v/>
      </c>
      <c r="M258">
        <f>L258*(1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IF(B290=0,0,O258/B290)</f>
        <v/>
      </c>
      <c r="Q258">
        <f>IFERROR(1/(IF(Inputs!$B$38="pvp",15,MAX(0.1,Skills!D7-IF(TRUE=TRUE,Inputs!$B$32,0)))*(1-IF(AND(ArtifactsInput!$M$27,Inputs!$B$4="Chapter Hunt"),CHOOSE(ArtifactsInput!$N$27+1,20,24,28,32,36,40),0)/100)),0)</f>
        <v/>
      </c>
      <c r="R258">
        <f>IF(AND(Inputs!$B$38&lt;&gt;"pvp",Inputs!$B$43&gt;0),IF(MAX(0,Inputs!$B$43-B287)&lt;=0,0,(INT(MAX(0,Inputs!$B$43-B287)/(IF(Inputs!$B$38="pvp",15,MAX(0.1,Skills!D7-IF(TRUE=TRUE,Inputs!$B$32,0)))*(1-IF(AND(ArtifactsInput!$M$27,Inputs!$B$4="Chapter Hunt"),CHOOSE(ArtifactsInput!$N$27+1,20,24,28,32,36,40),0)/100)))+1)),0)</f>
        <v/>
      </c>
      <c r="S258">
        <f>IFERROR(O258/N258,0)</f>
        <v/>
      </c>
      <c r="T258">
        <f>IF(C258,(H258*N258*IF(AND(Inputs!$B$38&lt;&gt;"pvp",Inputs!$B$43&gt;0),((Skills!G7*((R258-1)*IF(Skills!H7&gt;0,Skills!I7/Skills!H7,1)+IF(Skills!H7&gt;0,MIN(Skills!I7,MAX(0,MAX(0,Inputs!$B$43-B287)-((R258-1)*(IF(Inputs!$B$38="pvp",15,MAX(0.1,Skills!D7-IF(TRUE=TRUE,Inputs!$B$32,0)))*(1-IF(AND(ArtifactsInput!$M$27,Inputs!$B$4="Chapter Hunt"),CHOOSE(ArtifactsInput!$N$27+1,20,24,28,32,36,40),0)/100)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287)-((R258-1)*(IF(Inputs!$B$38="pvp",15,MAX(0.1,Skills!D7-IF(TRUE=TRUE,Inputs!$B$32,0)))*(1-IF(AND(ArtifactsInput!$M$27,Inputs!$B$4="Chapter Hunt"),CHOOSE(ArtifactsInput!$N$27+1,20,24,28,32,36,40),0)/100)))))/Skills!H7,1)))/Inputs!$B$43),G258*Q258))*IF(Inputs!$B$38="pvp",1,(1+(Inputs!$B$21+Skills!Q7+(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Inputs!$B$3&gt;=117</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f>Skills!G8*IF(Skills!H8&gt;0,Skills!I8/Skills!H8,1)</f>
        <v/>
      </c>
      <c r="H259">
        <f>1-(1-Skills!J8/100)^Skills!K8</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271=TRUE)*(F271-Calc!F20)),(Inputs!$B$23+0+(IF(ArtifactsInput!$M$15,CHOOSE(ArtifactsInput!$N$15+1,25,30,35,40,45,50)/100*(Inputs!$B$11-Inputs!$B$11),0))))/100+(Inputs!$B$23+0+(IF(ArtifactsInput!$M$15,CHOOSE(ArtifactsInput!$N$15+1,25,30,35,40,45,50)/100*(Inputs!$B$11-Inputs!$B$11),0)))/100)/2</f>
        <v/>
      </c>
      <c r="M259">
        <f>L259*(1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IF(B290=0,0,O259/B290)</f>
        <v/>
      </c>
      <c r="Q259">
        <f>IFERROR(1/(IF(Inputs!$B$38="pvp",15,MAX(0.1,Skills!D8-IF(TRUE=TRUE,Inputs!$B$32,0)))*(1-IF(AND(ArtifactsInput!$M$27,Inputs!$B$4="Chapter Hunt"),CHOOSE(ArtifactsInput!$N$27+1,20,24,28,32,36,40),0)/100)),0)</f>
        <v/>
      </c>
      <c r="R259">
        <f>IF(AND(Inputs!$B$38&lt;&gt;"pvp",Inputs!$B$43&gt;0),IF(MAX(0,Inputs!$B$43-B287)&lt;=0,0,(INT(MAX(0,Inputs!$B$43-B287)/(IF(Inputs!$B$38="pvp",15,MAX(0.1,Skills!D8-IF(TRUE=TRUE,Inputs!$B$32,0)))*(1-IF(AND(ArtifactsInput!$M$27,Inputs!$B$4="Chapter Hunt"),CHOOSE(ArtifactsInput!$N$27+1,20,24,28,32,36,40),0)/100)))+1)),0)</f>
        <v/>
      </c>
      <c r="S259">
        <f>IFERROR(O259/N259,0)</f>
        <v/>
      </c>
      <c r="T259">
        <f>IF(C259,(H259*N259*IF(AND(Inputs!$B$38&lt;&gt;"pvp",Inputs!$B$43&gt;0),((Skills!G8*((R259-1)*IF(Skills!H8&gt;0,Skills!I8/Skills!H8,1)+IF(Skills!H8&gt;0,MIN(Skills!I8,MAX(0,MAX(0,Inputs!$B$43-B287)-((R259-1)*(IF(Inputs!$B$38="pvp",15,MAX(0.1,Skills!D8-IF(TRUE=TRUE,Inputs!$B$32,0)))*(1-IF(AND(ArtifactsInput!$M$27,Inputs!$B$4="Chapter Hunt"),CHOOSE(ArtifactsInput!$N$27+1,20,24,28,32,36,40),0)/100)))))/Skills!H8,1)))/Inputs!$B$43),G259*Q259)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8*((R259-1)*IF(Skills!H8&gt;0,Skills!I8/Skills!H8,1)+IF(Skills!H8&gt;0,MIN(Skills!I8,MAX(0,MAX(0,Inputs!$B$43-B287)-((R259-1)*(IF(Inputs!$B$38="pvp",15,MAX(0.1,Skills!D8-IF(TRUE=TRUE,Inputs!$B$32,0)))*(1-IF(AND(ArtifactsInput!$M$27,Inputs!$B$4="Chapter Hunt"),CHOOSE(ArtifactsInput!$N$27+1,20,24,28,32,36,40),0)/100)))))/Skills!H8,1)))/Inputs!$B$43),G259*Q259))*IF(Inputs!$B$38="pvp",1,(1+(Inputs!$B$21+Skills!Q8+(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Skills!A9</f>
        <v/>
      </c>
      <c r="B260">
        <f>Skills!B9</f>
        <v/>
      </c>
      <c r="C260">
        <f>Inputs!$B$3&gt;=120</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B292</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271=TRUE)*(F271-Calc!F20)),(Inputs!$B$23+0+(IF(ArtifactsInput!$M$15,CHOOSE(ArtifactsInput!$N$15+1,25,30,35,40,45,50)/100*(Inputs!$B$11-Inputs!$B$11),0))))/100+(Inputs!$B$23+0+(IF(ArtifactsInput!$M$15,CHOOSE(ArtifactsInput!$N$15+1,25,30,35,40,45,50)/100*(Inputs!$B$11-Inputs!$B$11),0)))/100)/2</f>
        <v/>
      </c>
      <c r="M260">
        <f>L260*(1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IF(B290=0,0,O260/B290)</f>
        <v/>
      </c>
      <c r="Q260">
        <f>IFERROR(1/(IF(Inputs!$B$38="pvp",15,MAX(0.1,Skills!D9-IF(TRUE=TRUE,Inputs!$B$32,0)))*(1-IF(AND(ArtifactsInput!$M$27,Inputs!$B$4="Chapter Hunt"),CHOOSE(ArtifactsInput!$N$27+1,20,24,28,32,36,40),0)/100)),0)</f>
        <v/>
      </c>
      <c r="R260">
        <f>IF(AND(Inputs!$B$38&lt;&gt;"pvp",Inputs!$B$43&gt;0),IF(MAX(0,Inputs!$B$43-B287)&lt;=0,0,(INT(MAX(0,Inputs!$B$43-B287)/(IF(Inputs!$B$38="pvp",15,MAX(0.1,Skills!D9-IF(TRUE=TRUE,Inputs!$B$32,0)))*(1-IF(AND(ArtifactsInput!$M$27,Inputs!$B$4="Chapter Hunt"),CHOOSE(ArtifactsInput!$N$27+1,20,24,28,32,36,40),0)/100)))+1)),0)</f>
        <v/>
      </c>
      <c r="S260">
        <f>IFERROR(O260/N260,0)</f>
        <v/>
      </c>
      <c r="T260">
        <f>IF(C260,(H260*N260*IF(AND(Inputs!$B$38&lt;&gt;"pvp",Inputs!$B$43&gt;0),((Skills!G9*((R260-1)*IF(Skills!H9&gt;0,Skills!I9/Skills!H9,1)+IF(Skills!H9&gt;0,MIN(Skills!I9,MAX(0,MAX(0,Inputs!$B$43-B287)-((R260-1)*(IF(Inputs!$B$38="pvp",15,MAX(0.1,Skills!D9-IF(TRUE=TRUE,Inputs!$B$32,0)))*(1-IF(AND(ArtifactsInput!$M$27,Inputs!$B$4="Chapter Hunt"),CHOOSE(ArtifactsInput!$N$27+1,20,24,28,32,36,40),0)/100)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287)-((R260-1)*(IF(Inputs!$B$38="pvp",15,MAX(0.1,Skills!D9-IF(TRUE=TRUE,Inputs!$B$32,0)))*(1-IF(AND(ArtifactsInput!$M$27,Inputs!$B$4="Chapter Hunt"),CHOOSE(ArtifactsInput!$N$27+1,20,24,28,32,36,40),0)/100)))))/Skills!H9,1)))/Inputs!$B$43),G260*Q260))*IF(Inputs!$B$38="pvp",1,(1+(Inputs!$B$21+Skills!Q9+(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Inputs!$B$3&gt;=105</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271=TRUE)*(F271-Calc!F20)),(Inputs!$B$23+0+(IF(ArtifactsInput!$M$15,CHOOSE(ArtifactsInput!$N$15+1,25,30,35,40,45,50)/100*(Inputs!$B$11-Inputs!$B$11),0))))/100+(Inputs!$B$23+0+(IF(ArtifactsInput!$M$15,CHOOSE(ArtifactsInput!$N$15+1,25,30,35,40,45,50)/100*(Inputs!$B$11-Inputs!$B$11),0)))/100)/2</f>
        <v/>
      </c>
      <c r="M261">
        <f>L261*(1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IF(B290=0,0,O261/B290)</f>
        <v/>
      </c>
      <c r="Q261">
        <f>IFERROR(1/(IF(Inputs!$B$38="pvp",15,MAX(0.1,Skills!D10-IF(TRUE=TRUE,Inputs!$B$32,0)))*(1-IF(AND(ArtifactsInput!$M$27,Inputs!$B$4="Chapter Hunt"),CHOOSE(ArtifactsInput!$N$27+1,20,24,28,32,36,40),0)/100)),0)</f>
        <v/>
      </c>
      <c r="R261">
        <f>IF(AND(Inputs!$B$38&lt;&gt;"pvp",Inputs!$B$43&gt;0),IF(MAX(0,Inputs!$B$43-B287)&lt;=0,0,(INT(MAX(0,Inputs!$B$43-B287)/(IF(Inputs!$B$38="pvp",15,MAX(0.1,Skills!D10-IF(TRUE=TRUE,Inputs!$B$32,0)))*(1-IF(AND(ArtifactsInput!$M$27,Inputs!$B$4="Chapter Hunt"),CHOOSE(ArtifactsInput!$N$27+1,20,24,28,32,36,40),0)/100)))+1)),0)</f>
        <v/>
      </c>
      <c r="S261">
        <f>IFERROR(O261/N261,0)</f>
        <v/>
      </c>
      <c r="T261">
        <f>IF(C261,(H261*N261*IF(AND(Inputs!$B$38&lt;&gt;"pvp",Inputs!$B$43&gt;0),((Skills!G10*((R261-1)*IF(Skills!H10&gt;0,Skills!I10/Skills!H10,1)+IF(Skills!H10&gt;0,MIN(Skills!I10,MAX(0,MAX(0,Inputs!$B$43-B287)-((R261-1)*(IF(Inputs!$B$38="pvp",15,MAX(0.1,Skills!D10-IF(TRUE=TRUE,Inputs!$B$32,0)))*(1-IF(AND(ArtifactsInput!$M$27,Inputs!$B$4="Chapter Hunt"),CHOOSE(ArtifactsInput!$N$27+1,20,24,28,32,36,40),0)/100)))))/Skills!H10,1)))/Inputs!$B$43),G261*Q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10*((R261-1)*IF(Skills!H10&gt;0,Skills!I10/Skills!H10,1)+IF(Skills!H10&gt;0,MIN(Skills!I10,MAX(0,MAX(0,Inputs!$B$43-B287)-((R261-1)*(IF(Inputs!$B$38="pvp",15,MAX(0.1,Skills!D10-IF(TRUE=TRUE,Inputs!$B$32,0)))*(1-IF(AND(ArtifactsInput!$M$27,Inputs!$B$4="Chapter Hunt"),CHOOSE(ArtifactsInput!$N$27+1,20,24,28,32,36,40),0)/100)))))/Skills!H10,1)))/Inputs!$B$43),G261*Q261))*IF(Inputs!$B$38="pvp",1,(1+(Inputs!$B$21+Skills!Q10+(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Inputs!$B$3&gt;=113</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271=TRUE)*(F271-Calc!F20)),(Inputs!$B$23+0+(IF(ArtifactsInput!$M$15,CHOOSE(ArtifactsInput!$N$15+1,25,30,35,40,45,50)/100*(Inputs!$B$11-Inputs!$B$11),0))))/100+(Inputs!$B$23+0+(IF(ArtifactsInput!$M$15,CHOOSE(ArtifactsInput!$N$15+1,25,30,35,40,45,50)/100*(Inputs!$B$11-Inputs!$B$11),0)))/100)/2</f>
        <v/>
      </c>
      <c r="M262">
        <f>L262*(1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IF(B290=0,0,O262/B290)</f>
        <v/>
      </c>
      <c r="Q262" t="n">
        <v>0</v>
      </c>
      <c r="R262" t="n">
        <v>0</v>
      </c>
      <c r="S262">
        <f>IFERROR(O262/N262,0)</f>
        <v/>
      </c>
      <c r="T262">
        <f>IF(C262,((H262*B293)/(1+Skills!H11*H262*B293)*N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IF(C262,((H262*B293)/(1+Skills!H11*H262*B293)*N262)*IF(Inputs!$B$38="pvp",1,(1+(Inputs!$B$21+Skills!Q11+(IF(ArtifactsInput!$M$33,CHOOSE(ArtifactsInput!$N$33+1,30,36,42,48,54,60),0))+(IF(AND(ArtifactsInput!$M$35,Inputs!$B$4&lt;&gt;"Chapter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Inputs!$B$3&gt;=100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V263" t="inlineStr"/>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IF(B290=0,0,O264/B290)</f>
        <v/>
      </c>
      <c r="Q264" t="n">
        <v>0</v>
      </c>
      <c r="R264" t="n">
        <v>0</v>
      </c>
      <c r="S264">
        <f>IFERROR(O264/N264,0)</f>
        <v/>
      </c>
      <c r="T264" t="n">
        <v>0</v>
      </c>
      <c r="V264" t="n">
        <v>0</v>
      </c>
    </row>
    <row r="265">
      <c r="A265">
        <f>Skills!A14</f>
        <v/>
      </c>
      <c r="B265">
        <f>Skills!B14</f>
        <v/>
      </c>
      <c r="C265">
        <f>Inputs!$B$3&gt;=115</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IF(B290=0,0,O265/B290)</f>
        <v/>
      </c>
      <c r="Q265">
        <f>IFERROR(1/(IF(Inputs!$B$38="pvp",15,MAX(0.1,Skills!D14-IF(TRUE=TRUE,Inputs!$B$32,0)))*(1-IF(AND(ArtifactsInput!$M$27,Inputs!$B$4="Chapter Hunt"),CHOOSE(ArtifactsInput!$N$27+1,20,24,28,32,36,40),0)/100)),0)</f>
        <v/>
      </c>
      <c r="R265">
        <f>IF(AND(Inputs!$B$38&lt;&gt;"pvp",Inputs!$B$43&gt;0),IF(Inputs!$B$43&lt;=0,0,(INT(Inputs!$B$43/(IF(Inputs!$B$38="pvp",15,MAX(0.1,Skills!D14-IF(TRUE=TRUE,Inputs!$B$32,0)))*(1-IF(AND(ArtifactsInput!$M$27,Inputs!$B$4="Chapter Hunt"),CHOOSE(ArtifactsInput!$N$27+1,20,24,28,32,36,40),0)/100)))+1)),0)</f>
        <v/>
      </c>
      <c r="S265">
        <f>IFERROR(O265/N265,0)</f>
        <v/>
      </c>
      <c r="T265" t="n">
        <v>0</v>
      </c>
      <c r="V265" t="n">
        <v>0</v>
      </c>
    </row>
    <row r="266">
      <c r="A266">
        <f>Skills!A15</f>
        <v/>
      </c>
      <c r="B266">
        <f>Skills!B15</f>
        <v/>
      </c>
      <c r="C266">
        <f>Inputs!$B$3&gt;=125</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IF(B290=0,0,O266/B290)</f>
        <v/>
      </c>
      <c r="Q266">
        <f>IFERROR(1/(IF(Inputs!$B$38="pvp",15,MAX(0.1,Skills!D15-IF(TRUE=TRUE,Inputs!$B$32,0)))*(1-IF(AND(ArtifactsInput!$M$27,Inputs!$B$4="Chapter Hunt"),CHOOSE(ArtifactsInput!$N$27+1,20,24,28,32,36,40),0)/100)),0)</f>
        <v/>
      </c>
      <c r="R266">
        <f>IF(AND(Inputs!$B$38&lt;&gt;"pvp",Inputs!$B$43&gt;0),IF(Inputs!$B$43&lt;=0,0,(INT(Inputs!$B$43/(IF(Inputs!$B$38="pvp",15,MAX(0.1,Skills!D15-IF(TRUE=TRUE,Inputs!$B$32,0)))*(1-IF(AND(ArtifactsInput!$M$27,Inputs!$B$4="Chapter Hunt"),CHOOSE(ArtifactsInput!$N$27+1,20,24,28,32,36,40),0)/100)))+1)),0)</f>
        <v/>
      </c>
      <c r="S266">
        <f>IFERROR(O266/N266,0)</f>
        <v/>
      </c>
      <c r="T266" t="n">
        <v>0</v>
      </c>
      <c r="V266" t="n">
        <v>0</v>
      </c>
    </row>
    <row r="267">
      <c r="A267">
        <f>Skills!A16</f>
        <v/>
      </c>
      <c r="B267">
        <f>Skills!B16</f>
        <v/>
      </c>
      <c r="C267">
        <f>Inputs!$B$3&gt;=10</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IF(B290=0,0,O267/B290)</f>
        <v/>
      </c>
      <c r="Q267" t="n">
        <v>0</v>
      </c>
      <c r="R267" t="n">
        <v>0</v>
      </c>
      <c r="S267">
        <f>IFERROR(O267/N267,0)</f>
        <v/>
      </c>
      <c r="T267" t="n">
        <v>0</v>
      </c>
      <c r="V267" t="n">
        <v>0</v>
      </c>
    </row>
    <row r="268">
      <c r="A268">
        <f>Skills!A17</f>
        <v/>
      </c>
      <c r="B268">
        <f>Skills!B17</f>
        <v/>
      </c>
      <c r="C268">
        <f>Inputs!$B$3&gt;=15</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IF(B290=0,0,O268/B290)</f>
        <v/>
      </c>
      <c r="Q268" t="n">
        <v>0</v>
      </c>
      <c r="R268" t="n">
        <v>0</v>
      </c>
      <c r="S268">
        <f>IFERROR(O268/N268,0)</f>
        <v/>
      </c>
      <c r="T268" t="n">
        <v>0</v>
      </c>
      <c r="V268" t="n">
        <v>0</v>
      </c>
    </row>
    <row r="269">
      <c r="A269">
        <f>Skills!A18</f>
        <v/>
      </c>
      <c r="B269">
        <f>Skills!B18</f>
        <v/>
      </c>
      <c r="C269">
        <f>Inputs!$B$3&gt;=33</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IF(B290=0,0,O269/B290)</f>
        <v/>
      </c>
      <c r="Q269" t="n">
        <v>0</v>
      </c>
      <c r="R269" t="n">
        <v>0</v>
      </c>
      <c r="S269">
        <f>IFERROR(O269/N269,0)</f>
        <v/>
      </c>
      <c r="T269" t="n">
        <v>0</v>
      </c>
      <c r="V269" t="n">
        <v>0</v>
      </c>
    </row>
    <row r="270">
      <c r="A270">
        <f>Skills!A19</f>
        <v/>
      </c>
      <c r="B270">
        <f>Skills!B19</f>
        <v/>
      </c>
      <c r="C270">
        <f>Inputs!$B$3&gt;=40</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IF(B290=0,0,O270/B290)</f>
        <v/>
      </c>
      <c r="Q270" t="n">
        <v>0</v>
      </c>
      <c r="R270" t="n">
        <v>0</v>
      </c>
      <c r="S270">
        <f>IFERROR(O270/N270,0)</f>
        <v/>
      </c>
      <c r="T270" t="n">
        <v>0</v>
      </c>
      <c r="V270" t="n">
        <v>0</v>
      </c>
    </row>
    <row r="271">
      <c r="A271">
        <f>Skills!A20</f>
        <v/>
      </c>
      <c r="B271">
        <f>Skills!B20</f>
        <v/>
      </c>
      <c r="C271">
        <f>Inputs!$B$3&gt;=43</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IF(B290=0,0,O271/B290)</f>
        <v/>
      </c>
      <c r="Q271" t="n">
        <v>0</v>
      </c>
      <c r="R271" t="n">
        <v>0</v>
      </c>
      <c r="S271">
        <f>IFERROR(O271/N271,0)</f>
        <v/>
      </c>
      <c r="T271" t="n">
        <v>0</v>
      </c>
      <c r="V271" t="n">
        <v>0</v>
      </c>
    </row>
    <row r="272">
      <c r="A272">
        <f>Skills!A21</f>
        <v/>
      </c>
      <c r="B272">
        <f>Skills!B21</f>
        <v/>
      </c>
      <c r="C272">
        <f>Inputs!$B$3&gt;=38</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IF(B290=0,0,O272/B290)</f>
        <v/>
      </c>
      <c r="Q272" t="n">
        <v>0</v>
      </c>
      <c r="R272" t="n">
        <v>0</v>
      </c>
      <c r="S272">
        <f>IFERROR(O272/N272,0)</f>
        <v/>
      </c>
      <c r="T272" t="n">
        <v>0</v>
      </c>
      <c r="V272" t="n">
        <v>0</v>
      </c>
    </row>
    <row r="273">
      <c r="A273">
        <f>Skills!A22</f>
        <v/>
      </c>
      <c r="B273">
        <f>Skills!B22</f>
        <v/>
      </c>
      <c r="C273">
        <f>Inputs!$B$3&gt;=75</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IF(B290=0,0,O273/B290)</f>
        <v/>
      </c>
      <c r="Q273" t="n">
        <v>0</v>
      </c>
      <c r="R273" t="n">
        <v>0</v>
      </c>
      <c r="S273">
        <f>IFERROR(O273/N273,0)</f>
        <v/>
      </c>
      <c r="T273" t="n">
        <v>0</v>
      </c>
      <c r="V273" t="n">
        <v>0</v>
      </c>
    </row>
    <row r="274">
      <c r="A274">
        <f>Skills!A23</f>
        <v/>
      </c>
      <c r="B274">
        <f>Skills!B23</f>
        <v/>
      </c>
      <c r="C274">
        <f>TRUE</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IF(B290=0,0,O274/B290)</f>
        <v/>
      </c>
      <c r="Q274">
        <f>IFERROR(1/(IF(Inputs!$B$38="pvp",15,MAX(0.1,Skills!D23-IF(TRUE=TRUE,Inputs!$B$32,0)))*(1-IF(AND(ArtifactsInput!$M$27,Inputs!$B$4="Chapter Hunt"),CHOOSE(ArtifactsInput!$N$27+1,20,24,28,32,36,40),0)/100)),0)</f>
        <v/>
      </c>
      <c r="R274">
        <f>IF(AND(Inputs!$B$38&lt;&gt;"pvp",Inputs!$B$43&gt;0),IF(Inputs!$B$43&lt;=0,0,(INT(Inputs!$B$43/(IF(Inputs!$B$38="pvp",15,MAX(0.1,Skills!D23-IF(TRUE=TRUE,Inputs!$B$32,0)))*(1-IF(AND(ArtifactsInput!$M$27,Inputs!$B$4="Chapter Hunt"),CHOOSE(ArtifactsInput!$N$27+1,20,24,28,32,36,40),0)/100)))+1)),0)</f>
        <v/>
      </c>
      <c r="S274">
        <f>IFERROR(O274/N274,0)</f>
        <v/>
      </c>
      <c r="T274" t="n">
        <v>0</v>
      </c>
      <c r="V274" t="n">
        <v>0</v>
      </c>
    </row>
    <row r="275">
      <c r="A275">
        <f>Skills!A24</f>
        <v/>
      </c>
      <c r="B275">
        <f>Skills!B24</f>
        <v/>
      </c>
      <c r="C275">
        <f>Inputs!$B$3&gt;=107</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IF(B290=0,0,O275/B290)</f>
        <v/>
      </c>
      <c r="Q275">
        <f>IFERROR(1/(IF(Inputs!$B$38="pvp",15,MAX(0.1,Skills!D24-IF(TRUE=TRUE,Inputs!$B$32,0)))*(1-IF(AND(ArtifactsInput!$M$27,Inputs!$B$4="Chapter Hunt"),CHOOSE(ArtifactsInput!$N$27+1,20,24,28,32,36,40),0)/100)),0)</f>
        <v/>
      </c>
      <c r="R275">
        <f>IF(AND(Inputs!$B$38&lt;&gt;"pvp",Inputs!$B$43&gt;0),IF(Inputs!$B$43&lt;=0,0,(INT(Inputs!$B$43/(IF(Inputs!$B$38="pvp",15,MAX(0.1,Skills!D24-IF(TRUE=TRUE,Inputs!$B$32,0)))*(1-IF(AND(ArtifactsInput!$M$27,Inputs!$B$4="Chapter Hunt"),CHOOSE(ArtifactsInput!$N$27+1,20,24,28,32,36,40),0)/100)))+1)),0)</f>
        <v/>
      </c>
      <c r="S275">
        <f>IFERROR(O275/N275,0)</f>
        <v/>
      </c>
      <c r="T275" t="n">
        <v>0</v>
      </c>
      <c r="V275" t="n">
        <v>0</v>
      </c>
    </row>
    <row r="276">
      <c r="A276">
        <f>Skills!A25</f>
        <v/>
      </c>
      <c r="B276">
        <f>Skills!B25</f>
        <v/>
      </c>
      <c r="C276">
        <f>Inputs!$B$3&gt;=110</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t="inlineStr"/>
      <c r="H276" t="inlineStr"/>
      <c r="I276" t="inlineStr">
        <is>
          <t>1</t>
        </is>
      </c>
      <c r="J276" t="inlineStr"/>
      <c r="K276" t="inlineStr"/>
      <c r="L276" t="inlineStr"/>
      <c r="M276" t="inlineStr"/>
      <c r="N276" t="inlineStr"/>
      <c r="O276" t="inlineStr"/>
      <c r="P276" t="inlineStr"/>
      <c r="Q276" t="inlineStr"/>
      <c r="R276" t="inlineStr"/>
      <c r="S276" t="inlineStr"/>
      <c r="T276" t="inlineStr"/>
      <c r="V276" t="inlineStr"/>
    </row>
    <row r="277">
      <c r="A277">
        <f>Skills!A26</f>
        <v/>
      </c>
      <c r="B277">
        <f>Skills!B26</f>
        <v/>
      </c>
      <c r="C277">
        <f>Inputs!$B$3&gt;=117</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t="inlineStr"/>
      <c r="H277" t="inlineStr"/>
      <c r="I277" t="inlineStr">
        <is>
          <t>1</t>
        </is>
      </c>
      <c r="J277" t="inlineStr"/>
      <c r="K277" t="inlineStr"/>
      <c r="L277" t="inlineStr"/>
      <c r="M277" t="inlineStr"/>
      <c r="N277" t="inlineStr"/>
      <c r="O277" t="inlineStr"/>
      <c r="P277" t="inlineStr"/>
      <c r="Q277" t="inlineStr"/>
      <c r="R277" t="inlineStr"/>
      <c r="S277" t="inlineStr"/>
      <c r="T277" t="inlineStr"/>
      <c r="V277" t="inlineStr"/>
    </row>
    <row r="279">
      <c r="A279" t="inlineStr">
        <is>
          <t>Attack% Bucket Multiplier</t>
        </is>
      </c>
      <c r="B279">
        <f>(1+(((C264=TRUE)*F264*5/7)+((C270=TRUE)*(F270-Calc!F19))+(IF(ArtifactsInput!$M$21,CHOOSE(ArtifactsInput!$N$21+1,25,30,35,40,45,50)*(IF(OR(Inputs!$B$4="Chapter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
      <c r="A280" t="inlineStr">
        <is>
          <t>Global Crit Rate Bonus %</t>
        </is>
      </c>
      <c r="B280" t="n">
        <v>0</v>
      </c>
    </row>
    <row r="281">
      <c r="A281" t="inlineStr">
        <is>
          <t>Attack Speed Buff Bonus % (Nimble Feet + Speed Infusion, duty-cycle averaged)</t>
        </is>
      </c>
      <c r="B281">
        <f>((C274=TRUE)*F274*IF(AND(Inputs!$B$38&lt;&gt;"pvp",Inputs!$B$43&gt;0),(((R274-1)*MIN((Skills!T23*(1+Inputs!$B$34/100)),(1/Q274))+MIN((Skills!T23*(1+Inputs!$B$34/100)),MAX(0,Inputs!$B$43-((R274-1)*(1/Q274)))))/Inputs!$B$43),IF(Inputs!$B$38="pvp",MIN((Skills!T23*(1+Inputs!$B$34/100)),15)/15,MIN(1,(Skills!T23*(1+Inputs!$B$34/100))/(1/Q274)))))+((C275=TRUE)*F275*IF(AND(Inputs!$B$38&lt;&gt;"pvp",Inputs!$B$43&gt;0),(((R275-1)*MIN((Skills!T24*(1+Inputs!$B$34/100)),(1/Q275))+MIN((Skills!T24*(1+Inputs!$B$34/100)),MAX(0,Inputs!$B$43-((R275-1)*(1/Q275)))))/Inputs!$B$43),IF(Inputs!$B$38="pvp",MIN((Skills!T24*(1+Inputs!$B$34/100)),15)/15,MIN(1,(Skills!T24*(1+Inputs!$B$34/100))/(1/Q275)))))</f>
        <v/>
      </c>
    </row>
    <row r="282">
      <c r="A282" t="inlineStr">
        <is>
          <t>Actions Per Second</t>
        </is>
      </c>
      <c r="B282">
        <f>1+MIN(150,150*(1-(1-(Inputs!$B$11+((C268=TRUE)*(F268-Calc!F17))+((C269=TRUE)*(F269-Calc!F18)))/150)*(1-B281/150)))/100</f>
        <v/>
      </c>
    </row>
    <row r="283">
      <c r="A283" t="inlineStr">
        <is>
          <t>Skill + Buff Cast Rate</t>
        </is>
      </c>
      <c r="B283">
        <f>IF(AND(Inputs!$B$38&lt;&gt;"pvp",Inputs!$B$43&gt;0),SUMPRODUCT((Skills!E2:E26=TRUE)*(C253:C277=TRUE)*R253:R277*Skills!F2:F26)/Inputs!$B$43,SUMPRODUCT((Skills!E2:E26=TRUE)*(C253:C277=TRUE)*Q253:Q277*Skills!F2:F26))</f>
        <v/>
      </c>
    </row>
    <row r="284">
      <c r="A284" t="inlineStr">
        <is>
          <t>Hook Bomber Casts Per Second</t>
        </is>
      </c>
      <c r="B284">
        <f>MAX(0,B282-B283)</f>
        <v/>
      </c>
    </row>
    <row r="285">
      <c r="A285" t="inlineStr">
        <is>
          <t>Global Critical Damage Bonus % (unused)</t>
        </is>
      </c>
      <c r="B285" t="n">
        <v>0</v>
      </c>
    </row>
    <row r="286">
      <c r="A286" t="inlineStr">
        <is>
          <t>Global Final Damage Bonus % (Serpent Scale + Crossbones + Time Leap + Speed Infusion)</t>
        </is>
      </c>
      <c r="B286">
        <f>((C256=TRUE)*(F256*B292+4*(1-B292)))+((C265=TRUE)*F265*IF(AND(Inputs!$B$38&lt;&gt;"pvp",Inputs!$B$43&gt;0),(((R265-1)*MIN((Skills!T14*(1+Inputs!$B$34/100)),(1/Q265))+MIN((Skills!T14*(1+Inputs!$B$34/100)),MAX(0,Inputs!$B$43-((R265-1)*(1/Q265)))))/Inputs!$B$43),IF(Inputs!$B$38="pvp",MIN((Skills!T14*(1+Inputs!$B$34/100)),15)/15,MIN(1,(Skills!T14*(1+Inputs!$B$34/100))/(1/Q265)))))+((C266=TRUE)*F266*IF(AND(Inputs!$B$38&lt;&gt;"pvp",Inputs!$B$43&gt;0),(((R266-1)*MIN((Skills!T15*(1+Inputs!$B$34/100)),(1/Q266))+MIN((Skills!T15*(1+Inputs!$B$34/100)),MAX(0,Inputs!$B$43-((R266-1)*(1/Q266)))))/Inputs!$B$43),IF(Inputs!$B$38="pvp",MIN((Skills!T15*(1+Inputs!$B$34/100)),15)/15,MIN(1,(Skills!T15*(1+Inputs!$B$34/100))/(1/Q266)))))+((C275=TRUE)*20*((1+MIN(150,150*(1-(1-(Inputs!$B$11+((C268=TRUE)*(F268-Calc!F17))+((C269=TRUE)*(F269-Calc!F18)))/150)*(1-(((C274=TRUE)*F274*IF(AND(Inputs!$B$38&lt;&gt;"pvp",Inputs!$B$43&gt;0),(((R274-1)*MIN((Skills!T23*(1+Inputs!$B$34/100)),(1/Q274))+MIN((Skills!T23*(1+Inputs!$B$34/100)),MAX(0,Inputs!$B$43-((R274-1)*(1/Q274)))))/Inputs!$B$43),IF(Inputs!$B$38="pvp",MIN((Skills!T23*(1+Inputs!$B$34/100)),15)/15,MIN(1,(Skills!T23*(1+Inputs!$B$34/100))/(1/Q274)))))+F275)/150)))/100)-1)*IF(AND(Inputs!$B$38&lt;&gt;"pvp",Inputs!$B$43&gt;0),(((R275-1)*MIN((Skills!T24*(1+Inputs!$B$34/100)),(1/Q275))+MIN((Skills!T24*(1+Inputs!$B$34/100)),MAX(0,Inputs!$B$43-((R275-1)*(1/Q275)))))/Inputs!$B$43),IF(Inputs!$B$38="pvp",MIN((Skills!T24*(1+Inputs!$B$34/100)),15)/15,MIN(1,(Skills!T24*(1+Inputs!$B$34/100))/(1/Q275)))))</f>
        <v/>
      </c>
    </row>
    <row r="287">
      <c r="A287" t="inlineStr">
        <is>
          <t>Buff-Casting Startup Delay (s, fixed-duration only)</t>
        </is>
      </c>
      <c r="B287">
        <f>IF(AND(Inputs!$B$38&lt;&gt;"pvp",Inputs!$B$43&gt;0),SUMPRODUCT((Skills!T2:T26&gt;0)*(Skills!E2:E26=TRUE)*(C253:C277=TRUE))/B282,0)</f>
        <v/>
      </c>
    </row>
    <row r="288">
      <c r="A288" t="inlineStr">
        <is>
          <t>Boss-Only Total DPS (this block's swept value)</t>
        </is>
      </c>
      <c r="B288">
        <f>SUM(T253:T277)</f>
        <v/>
      </c>
    </row>
    <row r="289">
      <c r="A289" t="inlineStr">
        <is>
          <t>Normal-Only Total DPS (this block's swept value)</t>
        </is>
      </c>
      <c r="B289">
        <f>SUM(V253:V277)</f>
        <v/>
      </c>
    </row>
    <row r="290">
      <c r="A290" s="6" t="inlineStr">
        <is>
          <t>TOTAL DPS</t>
        </is>
      </c>
      <c r="B290" s="6">
        <f>SUM(O253:O277)</f>
        <v/>
      </c>
    </row>
    <row r="291">
      <c r="A291" t="inlineStr">
        <is>
          <t>Serpent activation interval T (this block's own Hook Bomber rate)</t>
        </is>
      </c>
      <c r="B291">
        <f>((1/Q254)+IFERROR(0.5/B284,0))</f>
        <v/>
      </c>
    </row>
    <row r="292">
      <c r="A292" t="inlineStr">
        <is>
          <t>Assault Mode uptime u (this block)</t>
        </is>
      </c>
      <c r="B292">
        <f>IF(C256=TRUE,(10+IF(Inputs!$B$3&gt;=94,5,0))/((10+IF(Inputs!$B$3&gt;=94,5,0))+IF(Inputs!$B$3&gt;=104,3,5)*B291),0)</f>
        <v/>
      </c>
    </row>
    <row r="293">
      <c r="A293" t="inlineStr">
        <is>
          <t>Nautilus Strike - Final Attack trigger rate (this block's own Q/R)</t>
        </is>
      </c>
      <c r="B293">
        <f>IF(AND(Inputs!$B$38&lt;&gt;"pvp",Inputs!$B$43&gt;0),(((C257=TRUE)*R257)+((C258=TRUE)*R258)+((C261=TRUE)*R261))/Inputs!$B$43,((C257=TRUE)*Q257)+((C258=TRUE)*Q258)+((C261=TRUE)*Q261))+B284</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316=TRUE)*(F316-Calc!F20)),(Inputs!$B$23+0+(IF(ArtifactsInput!$M$15,CHOOSE(ArtifactsInput!$N$15+1,25,30,35,40,45,50)/100*(Inputs!$B$11-Inputs!$B$11),0))))/100+(Inputs!$B$23+0+(IF(ArtifactsInput!$M$15,CHOOSE(ArtifactsInput!$N$15+1,25,30,35,40,45,50)/100*(Inputs!$B$11-Inputs!$B$11),0)))/100)/2</f>
        <v/>
      </c>
      <c r="M298">
        <f>L298*(1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IF(B335=0,0,O298/B335)</f>
        <v/>
      </c>
      <c r="Q298" t="n">
        <v>0</v>
      </c>
      <c r="R298" t="n">
        <v>0</v>
      </c>
      <c r="S298">
        <f>IFERROR(O298/N298,0)</f>
        <v/>
      </c>
      <c r="T298">
        <f>IF(C298,(Skills!G2*N298*B329)*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IF(C298,(Skills!G2*N298*B329)*IF(Inputs!$B$38="pvp",1,(1+(Inputs!$B$21+Skills!Q2+(IF(ArtifactsInput!$M$33,CHOOSE(ArtifactsInput!$N$33+1,30,36,42,48,54,60),0))+(IF(AND(ArtifactsInput!$M$35,Inputs!$B$4&lt;&gt;"Chapter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Inputs!$B$3&gt;=35</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f>Skills!G3*IF(Skills!H3&gt;0,Skills!I3/Skills!H3,1)</f>
        <v/>
      </c>
      <c r="H299">
        <f>1-(1-Skills!J3/100)^Skills!K3</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TRUE,F321,0)/100)*(1+(IF(Skills!A3="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316=TRUE)*(F316-Calc!F20)),(Inputs!$B$23+0+(IF(ArtifactsInput!$M$15,CHOOSE(ArtifactsInput!$N$15+1,25,30,35,40,45,50)/100*(Inputs!$B$11-Inputs!$B$11),0))))/100+(Inputs!$B$23+0+(IF(ArtifactsInput!$M$15,CHOOSE(ArtifactsInput!$N$15+1,25,30,35,40,45,50)/100*(Inputs!$B$11-Inputs!$B$11),0)))/100)/2</f>
        <v/>
      </c>
      <c r="M299">
        <f>L299*(1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IF(B335=0,0,O299/B335)</f>
        <v/>
      </c>
      <c r="Q299">
        <f>IFERROR(1/(IF(Inputs!$B$38="pvp",15,MAX(0.1,Skills!D3-IF(TRUE=TRUE,Inputs!$B$32,0)))*(1-IF(AND(ArtifactsInput!$M$27,Inputs!$B$4="Chapter Hunt"),CHOOSE(ArtifactsInput!$N$27+1,20,24,28,32,36,40),0)/100)),0)</f>
        <v/>
      </c>
      <c r="R299">
        <f>IF(AND(Inputs!$B$38&lt;&gt;"pvp",Inputs!$B$43&gt;0),IF(MAX(0,Inputs!$B$43-B332)&lt;=0,0,(INT(MAX(0,Inputs!$B$43-B332)/(IF(Inputs!$B$38="pvp",15,MAX(0.1,Skills!D3-IF(TRUE=TRUE,Inputs!$B$32,0)))*(1-IF(AND(ArtifactsInput!$M$27,Inputs!$B$4="Chapter Hunt"),CHOOSE(ArtifactsInput!$N$27+1,20,24,28,32,36,40),0)/100)))+1)),0)</f>
        <v/>
      </c>
      <c r="S299">
        <f>IFERROR(O299/N299,0)</f>
        <v/>
      </c>
      <c r="T299">
        <f>IF(C299,(Skills!G3*N299*IF(C300=TRUE,1-B337,1)/B336)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INDEX(FactorTable!$B$2:$Y$301, MATCH(ROUND(MIN(300,MAX(1,U298)),0), FactorTable!$A$2:$A$301,0), 22)</f>
        <v/>
      </c>
      <c r="V299">
        <f>IF(C299,(Skills!G3*N299*IF(C300=TRUE,1-B337,1)/B336)*IF(Inputs!$B$38="pvp",1,(1+(Inputs!$B$21+Skills!Q3+(IF(ArtifactsInput!$M$33,CHOOSE(ArtifactsInput!$N$33+1,30,36,42,48,54,60),0))+(IF(AND(ArtifactsInput!$M$35,Inputs!$B$4&lt;&gt;"Chapter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Skills!A4</f>
        <v/>
      </c>
      <c r="B300">
        <f>Skills!B4</f>
        <v/>
      </c>
      <c r="C300">
        <f>Inputs!$B$3&gt;=69</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f>Skills!G4*IF(Skills!H4&gt;0,Skills!I4/Skills!H4,1)</f>
        <v/>
      </c>
      <c r="H300">
        <f>1-(1-Skills!J4/100)^Skills!K4</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TRUE,F308,0)/100)*(1+(IF(Skills!A4="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316=TRUE)*(F316-Calc!F20)),(Inputs!$B$23+0+(IF(ArtifactsInput!$M$15,CHOOSE(ArtifactsInput!$N$15+1,25,30,35,40,45,50)/100*(Inputs!$B$11-Inputs!$B$11),0))))/100+(Inputs!$B$23+0+(IF(ArtifactsInput!$M$15,CHOOSE(ArtifactsInput!$N$15+1,25,30,35,40,45,50)/100*(Inputs!$B$11-Inputs!$B$11),0)))/100)/2</f>
        <v/>
      </c>
      <c r="M300">
        <f>L300*(1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IF(B335=0,0,O300/B335)</f>
        <v/>
      </c>
      <c r="Q300" t="n">
        <v>0</v>
      </c>
      <c r="R300" t="n">
        <v>0</v>
      </c>
      <c r="S300">
        <f>IFERROR(O300/N300,0)</f>
        <v/>
      </c>
      <c r="T300">
        <f>IF(C300,(Skills!G4*N300*B337/B336)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290*U299/1000</f>
        <v/>
      </c>
      <c r="V300">
        <f>IF(C300,(Skills!G4*N300*B337/B336)*IF(Inputs!$B$38="pvp",1,(1+(Inputs!$B$21+Skills!Q4+(IF(ArtifactsInput!$M$33,CHOOSE(ArtifactsInput!$N$33+1,30,36,42,48,54,60),0))+(IF(AND(ArtifactsInput!$M$35,Inputs!$B$4&lt;&gt;"Chapter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Skills!A5</f>
        <v/>
      </c>
      <c r="B301">
        <f>Skills!B5</f>
        <v/>
      </c>
      <c r="C301">
        <f>Inputs!$B$3&gt;=66</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t="inlineStr"/>
      <c r="K301" t="inlineStr"/>
      <c r="L301" t="inlineStr"/>
      <c r="M301" t="inlineStr"/>
      <c r="N301" t="inlineStr"/>
      <c r="O301">
        <f>(1-Summary!$B$11)*T301+Summary!$B$11*V301</f>
        <v/>
      </c>
      <c r="P301">
        <f>IF(B335=0,0,O301/B335)</f>
        <v/>
      </c>
      <c r="Q301" t="n">
        <v>0</v>
      </c>
      <c r="R301" t="n">
        <v>0</v>
      </c>
      <c r="S301">
        <f>IFERROR(O301/N301,0)</f>
        <v/>
      </c>
      <c r="T301" t="n">
        <v>0</v>
      </c>
      <c r="V301" t="n">
        <v>0</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308=TRUE,F308,0)/100)*(1+(IF(Skills!A6="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316=TRUE)*(F316-Calc!F20)),(Inputs!$B$23+0+(IF(ArtifactsInput!$M$15,CHOOSE(ArtifactsInput!$N$15+1,25,30,35,40,45,50)/100*(Inputs!$B$11-Inputs!$B$11),0))))/100+(Inputs!$B$23+0+(IF(ArtifactsInput!$M$15,CHOOSE(ArtifactsInput!$N$15+1,25,30,35,40,45,50)/100*(Inputs!$B$11-Inputs!$B$11),0)))/100)/2</f>
        <v/>
      </c>
      <c r="M302">
        <f>L302*(1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IF(B335=0,0,O302/B335)</f>
        <v/>
      </c>
      <c r="Q302">
        <f>IFERROR(1/(IF(Inputs!$B$38="pvp",15,MAX(0.1,Skills!D6-IF(TRUE=TRUE,Inputs!$B$32,0)))*(1-IF(AND(ArtifactsInput!$M$27,Inputs!$B$4="Chapter Hunt"),CHOOSE(ArtifactsInput!$N$27+1,20,24,28,32,36,40),0)/100)),0)</f>
        <v/>
      </c>
      <c r="R302">
        <f>IF(AND(Inputs!$B$38&lt;&gt;"pvp",Inputs!$B$43&gt;0),IF(MAX(0,Inputs!$B$43-B332)&lt;=0,0,(INT(MAX(0,Inputs!$B$43-B332)/(IF(Inputs!$B$38="pvp",15,MAX(0.1,Skills!D6-IF(TRUE=TRUE,Inputs!$B$32,0)))*(1-IF(AND(ArtifactsInput!$M$27,Inputs!$B$4="Chapter Hunt"),CHOOSE(ArtifactsInput!$N$27+1,20,24,28,32,36,40),0)/100)))+1)),0)</f>
        <v/>
      </c>
      <c r="S302">
        <f>IFERROR(O302/N302,0)</f>
        <v/>
      </c>
      <c r="T302">
        <f>IF(C302,(H302*N302*IF(AND(Inputs!$B$38&lt;&gt;"pvp",Inputs!$B$43&gt;0),((Skills!G6*((R302-1)*IF(Skills!H6&gt;0,Skills!I6/Skills!H6,1)+IF(Skills!H6&gt;0,MIN(Skills!I6,MAX(0,MAX(0,Inputs!$B$43-B332)-((R302-1)*(IF(Inputs!$B$38="pvp",15,MAX(0.1,Skills!D6-IF(TRUE=TRUE,Inputs!$B$32,0)))*(1-IF(AND(ArtifactsInput!$M$27,Inputs!$B$4="Chapter Hunt"),CHOOSE(ArtifactsInput!$N$27+1,20,24,28,32,36,40),0)/100)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332)-((R302-1)*(IF(Inputs!$B$38="pvp",15,MAX(0.1,Skills!D6-IF(TRUE=TRUE,Inputs!$B$32,0)))*(1-IF(AND(ArtifactsInput!$M$27,Inputs!$B$4="Chapter Hunt"),CHOOSE(ArtifactsInput!$N$27+1,20,24,28,32,36,40),0)/100)))))/Skills!H6,1)))/Inputs!$B$43),G302*Q302))*IF(Inputs!$B$38="pvp",1,(1+(Inputs!$B$21+Skills!Q6+(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Inputs!$B$3&gt;=103</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316=TRUE)*(F316-Calc!F20)),(Inputs!$B$23+0+(IF(ArtifactsInput!$M$15,CHOOSE(ArtifactsInput!$N$15+1,25,30,35,40,45,50)/100*(Inputs!$B$11-Inputs!$B$11),0))))/100+(Inputs!$B$23+0+(IF(ArtifactsInput!$M$15,CHOOSE(ArtifactsInput!$N$15+1,25,30,35,40,45,50)/100*(Inputs!$B$11-Inputs!$B$11),0)))/100)/2</f>
        <v/>
      </c>
      <c r="M303">
        <f>L303*(1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IF(B335=0,0,O303/B335)</f>
        <v/>
      </c>
      <c r="Q303">
        <f>IFERROR(1/(IF(Inputs!$B$38="pvp",15,MAX(0.1,Skills!D7-IF(TRUE=TRUE,Inputs!$B$32,0)))*(1-IF(AND(ArtifactsInput!$M$27,Inputs!$B$4="Chapter Hunt"),CHOOSE(ArtifactsInput!$N$27+1,20,24,28,32,36,40),0)/100)),0)</f>
        <v/>
      </c>
      <c r="R303">
        <f>IF(AND(Inputs!$B$38&lt;&gt;"pvp",Inputs!$B$43&gt;0),IF(MAX(0,Inputs!$B$43-B332)&lt;=0,0,(INT(MAX(0,Inputs!$B$43-B332)/(IF(Inputs!$B$38="pvp",15,MAX(0.1,Skills!D7-IF(TRUE=TRUE,Inputs!$B$32,0)))*(1-IF(AND(ArtifactsInput!$M$27,Inputs!$B$4="Chapter Hunt"),CHOOSE(ArtifactsInput!$N$27+1,20,24,28,32,36,40),0)/100)))+1)),0)</f>
        <v/>
      </c>
      <c r="S303">
        <f>IFERROR(O303/N303,0)</f>
        <v/>
      </c>
      <c r="T303">
        <f>IF(C303,(H303*N303*IF(AND(Inputs!$B$38&lt;&gt;"pvp",Inputs!$B$43&gt;0),((Skills!G7*((R303-1)*IF(Skills!H7&gt;0,Skills!I7/Skills!H7,1)+IF(Skills!H7&gt;0,MIN(Skills!I7,MAX(0,MAX(0,Inputs!$B$43-B332)-((R303-1)*(IF(Inputs!$B$38="pvp",15,MAX(0.1,Skills!D7-IF(TRUE=TRUE,Inputs!$B$32,0)))*(1-IF(AND(ArtifactsInput!$M$27,Inputs!$B$4="Chapter Hunt"),CHOOSE(ArtifactsInput!$N$27+1,20,24,28,32,36,40),0)/100)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332)-((R303-1)*(IF(Inputs!$B$38="pvp",15,MAX(0.1,Skills!D7-IF(TRUE=TRUE,Inputs!$B$32,0)))*(1-IF(AND(ArtifactsInput!$M$27,Inputs!$B$4="Chapter Hunt"),CHOOSE(ArtifactsInput!$N$27+1,20,24,28,32,36,40),0)/100)))))/Skills!H7,1)))/Inputs!$B$43),G303*Q303))*IF(Inputs!$B$38="pvp",1,(1+(Inputs!$B$21+Skills!Q7+(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Inputs!$B$3&gt;=117</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f>Skills!G8*IF(Skills!H8&gt;0,Skills!I8/Skills!H8,1)</f>
        <v/>
      </c>
      <c r="H304">
        <f>1-(1-Skills!J8/100)^Skills!K8</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316=TRUE)*(F316-Calc!F20)),(Inputs!$B$23+0+(IF(ArtifactsInput!$M$15,CHOOSE(ArtifactsInput!$N$15+1,25,30,35,40,45,50)/100*(Inputs!$B$11-Inputs!$B$11),0))))/100+(Inputs!$B$23+0+(IF(ArtifactsInput!$M$15,CHOOSE(ArtifactsInput!$N$15+1,25,30,35,40,45,50)/100*(Inputs!$B$11-Inputs!$B$11),0)))/100)/2</f>
        <v/>
      </c>
      <c r="M304">
        <f>L304*(1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IF(B335=0,0,O304/B335)</f>
        <v/>
      </c>
      <c r="Q304">
        <f>IFERROR(1/(IF(Inputs!$B$38="pvp",15,MAX(0.1,Skills!D8-IF(TRUE=TRUE,Inputs!$B$32,0)))*(1-IF(AND(ArtifactsInput!$M$27,Inputs!$B$4="Chapter Hunt"),CHOOSE(ArtifactsInput!$N$27+1,20,24,28,32,36,40),0)/100)),0)</f>
        <v/>
      </c>
      <c r="R304">
        <f>IF(AND(Inputs!$B$38&lt;&gt;"pvp",Inputs!$B$43&gt;0),IF(MAX(0,Inputs!$B$43-B332)&lt;=0,0,(INT(MAX(0,Inputs!$B$43-B332)/(IF(Inputs!$B$38="pvp",15,MAX(0.1,Skills!D8-IF(TRUE=TRUE,Inputs!$B$32,0)))*(1-IF(AND(ArtifactsInput!$M$27,Inputs!$B$4="Chapter Hunt"),CHOOSE(ArtifactsInput!$N$27+1,20,24,28,32,36,40),0)/100)))+1)),0)</f>
        <v/>
      </c>
      <c r="S304">
        <f>IFERROR(O304/N304,0)</f>
        <v/>
      </c>
      <c r="T304">
        <f>IF(C304,(H304*N304*IF(AND(Inputs!$B$38&lt;&gt;"pvp",Inputs!$B$43&gt;0),((Skills!G8*((R304-1)*IF(Skills!H8&gt;0,Skills!I8/Skills!H8,1)+IF(Skills!H8&gt;0,MIN(Skills!I8,MAX(0,MAX(0,Inputs!$B$43-B332)-((R304-1)*(IF(Inputs!$B$38="pvp",15,MAX(0.1,Skills!D8-IF(TRUE=TRUE,Inputs!$B$32,0)))*(1-IF(AND(ArtifactsInput!$M$27,Inputs!$B$4="Chapter Hunt"),CHOOSE(ArtifactsInput!$N$27+1,20,24,28,32,36,40),0)/100)))))/Skills!H8,1)))/Inputs!$B$43),G304*Q304)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8*((R304-1)*IF(Skills!H8&gt;0,Skills!I8/Skills!H8,1)+IF(Skills!H8&gt;0,MIN(Skills!I8,MAX(0,MAX(0,Inputs!$B$43-B332)-((R304-1)*(IF(Inputs!$B$38="pvp",15,MAX(0.1,Skills!D8-IF(TRUE=TRUE,Inputs!$B$32,0)))*(1-IF(AND(ArtifactsInput!$M$27,Inputs!$B$4="Chapter Hunt"),CHOOSE(ArtifactsInput!$N$27+1,20,24,28,32,36,40),0)/100)))))/Skills!H8,1)))/Inputs!$B$43),G304*Q304))*IF(Inputs!$B$38="pvp",1,(1+(Inputs!$B$21+Skills!Q8+(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Skills!A9</f>
        <v/>
      </c>
      <c r="B305">
        <f>Skills!B9</f>
        <v/>
      </c>
      <c r="C305">
        <f>Inputs!$B$3&gt;=120</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B337</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316=TRUE)*(F316-Calc!F20)),(Inputs!$B$23+0+(IF(ArtifactsInput!$M$15,CHOOSE(ArtifactsInput!$N$15+1,25,30,35,40,45,50)/100*(Inputs!$B$11-Inputs!$B$11),0))))/100+(Inputs!$B$23+0+(IF(ArtifactsInput!$M$15,CHOOSE(ArtifactsInput!$N$15+1,25,30,35,40,45,50)/100*(Inputs!$B$11-Inputs!$B$11),0)))/100)/2</f>
        <v/>
      </c>
      <c r="M305">
        <f>L305*(1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IF(B335=0,0,O305/B335)</f>
        <v/>
      </c>
      <c r="Q305">
        <f>IFERROR(1/(IF(Inputs!$B$38="pvp",15,MAX(0.1,Skills!D9-IF(TRUE=TRUE,Inputs!$B$32,0)))*(1-IF(AND(ArtifactsInput!$M$27,Inputs!$B$4="Chapter Hunt"),CHOOSE(ArtifactsInput!$N$27+1,20,24,28,32,36,40),0)/100)),0)</f>
        <v/>
      </c>
      <c r="R305">
        <f>IF(AND(Inputs!$B$38&lt;&gt;"pvp",Inputs!$B$43&gt;0),IF(MAX(0,Inputs!$B$43-B332)&lt;=0,0,(INT(MAX(0,Inputs!$B$43-B332)/(IF(Inputs!$B$38="pvp",15,MAX(0.1,Skills!D9-IF(TRUE=TRUE,Inputs!$B$32,0)))*(1-IF(AND(ArtifactsInput!$M$27,Inputs!$B$4="Chapter Hunt"),CHOOSE(ArtifactsInput!$N$27+1,20,24,28,32,36,40),0)/100)))+1)),0)</f>
        <v/>
      </c>
      <c r="S305">
        <f>IFERROR(O305/N305,0)</f>
        <v/>
      </c>
      <c r="T305">
        <f>IF(C305,(H305*N305*IF(AND(Inputs!$B$38&lt;&gt;"pvp",Inputs!$B$43&gt;0),((Skills!G9*((R305-1)*IF(Skills!H9&gt;0,Skills!I9/Skills!H9,1)+IF(Skills!H9&gt;0,MIN(Skills!I9,MAX(0,MAX(0,Inputs!$B$43-B332)-((R305-1)*(IF(Inputs!$B$38="pvp",15,MAX(0.1,Skills!D9-IF(TRUE=TRUE,Inputs!$B$32,0)))*(1-IF(AND(ArtifactsInput!$M$27,Inputs!$B$4="Chapter Hunt"),CHOOSE(ArtifactsInput!$N$27+1,20,24,28,32,36,40),0)/100)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332)-((R305-1)*(IF(Inputs!$B$38="pvp",15,MAX(0.1,Skills!D9-IF(TRUE=TRUE,Inputs!$B$32,0)))*(1-IF(AND(ArtifactsInput!$M$27,Inputs!$B$4="Chapter Hunt"),CHOOSE(ArtifactsInput!$N$27+1,20,24,28,32,36,40),0)/100)))))/Skills!H9,1)))/Inputs!$B$43),G305*Q305))*IF(Inputs!$B$38="pvp",1,(1+(Inputs!$B$21+Skills!Q9+(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Inputs!$B$3&gt;=105</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316=TRUE)*(F316-Calc!F20)),(Inputs!$B$23+0+(IF(ArtifactsInput!$M$15,CHOOSE(ArtifactsInput!$N$15+1,25,30,35,40,45,50)/100*(Inputs!$B$11-Inputs!$B$11),0))))/100+(Inputs!$B$23+0+(IF(ArtifactsInput!$M$15,CHOOSE(ArtifactsInput!$N$15+1,25,30,35,40,45,50)/100*(Inputs!$B$11-Inputs!$B$11),0)))/100)/2</f>
        <v/>
      </c>
      <c r="M306">
        <f>L306*(1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IF(B335=0,0,O306/B335)</f>
        <v/>
      </c>
      <c r="Q306">
        <f>IFERROR(1/(IF(Inputs!$B$38="pvp",15,MAX(0.1,Skills!D10-IF(TRUE=TRUE,Inputs!$B$32,0)))*(1-IF(AND(ArtifactsInput!$M$27,Inputs!$B$4="Chapter Hunt"),CHOOSE(ArtifactsInput!$N$27+1,20,24,28,32,36,40),0)/100)),0)</f>
        <v/>
      </c>
      <c r="R306">
        <f>IF(AND(Inputs!$B$38&lt;&gt;"pvp",Inputs!$B$43&gt;0),IF(MAX(0,Inputs!$B$43-B332)&lt;=0,0,(INT(MAX(0,Inputs!$B$43-B332)/(IF(Inputs!$B$38="pvp",15,MAX(0.1,Skills!D10-IF(TRUE=TRUE,Inputs!$B$32,0)))*(1-IF(AND(ArtifactsInput!$M$27,Inputs!$B$4="Chapter Hunt"),CHOOSE(ArtifactsInput!$N$27+1,20,24,28,32,36,40),0)/100)))+1)),0)</f>
        <v/>
      </c>
      <c r="S306">
        <f>IFERROR(O306/N306,0)</f>
        <v/>
      </c>
      <c r="T306">
        <f>IF(C306,(H306*N306*IF(AND(Inputs!$B$38&lt;&gt;"pvp",Inputs!$B$43&gt;0),((Skills!G10*((R306-1)*IF(Skills!H10&gt;0,Skills!I10/Skills!H10,1)+IF(Skills!H10&gt;0,MIN(Skills!I10,MAX(0,MAX(0,Inputs!$B$43-B332)-((R306-1)*(IF(Inputs!$B$38="pvp",15,MAX(0.1,Skills!D10-IF(TRUE=TRUE,Inputs!$B$32,0)))*(1-IF(AND(ArtifactsInput!$M$27,Inputs!$B$4="Chapter Hunt"),CHOOSE(ArtifactsInput!$N$27+1,20,24,28,32,36,40),0)/100)))))/Skills!H10,1)))/Inputs!$B$43),G306*Q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10*((R306-1)*IF(Skills!H10&gt;0,Skills!I10/Skills!H10,1)+IF(Skills!H10&gt;0,MIN(Skills!I10,MAX(0,MAX(0,Inputs!$B$43-B332)-((R306-1)*(IF(Inputs!$B$38="pvp",15,MAX(0.1,Skills!D10-IF(TRUE=TRUE,Inputs!$B$32,0)))*(1-IF(AND(ArtifactsInput!$M$27,Inputs!$B$4="Chapter Hunt"),CHOOSE(ArtifactsInput!$N$27+1,20,24,28,32,36,40),0)/100)))))/Skills!H10,1)))/Inputs!$B$43),G306*Q306))*IF(Inputs!$B$38="pvp",1,(1+(Inputs!$B$21+Skills!Q10+(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Inputs!$B$3&gt;=113</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316=TRUE)*(F316-Calc!F20)),(Inputs!$B$23+0+(IF(ArtifactsInput!$M$15,CHOOSE(ArtifactsInput!$N$15+1,25,30,35,40,45,50)/100*(Inputs!$B$11-Inputs!$B$11),0))))/100+(Inputs!$B$23+0+(IF(ArtifactsInput!$M$15,CHOOSE(ArtifactsInput!$N$15+1,25,30,35,40,45,50)/100*(Inputs!$B$11-Inputs!$B$11),0)))/100)/2</f>
        <v/>
      </c>
      <c r="M307">
        <f>L307*(1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IF(B335=0,0,O307/B335)</f>
        <v/>
      </c>
      <c r="Q307" t="n">
        <v>0</v>
      </c>
      <c r="R307" t="n">
        <v>0</v>
      </c>
      <c r="S307">
        <f>IFERROR(O307/N307,0)</f>
        <v/>
      </c>
      <c r="T307">
        <f>IF(C307,((H307*B338)/(1+Skills!H11*H307*B338)*N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IF(C307,((H307*B338)/(1+Skills!H11*H307*B338)*N307)*IF(Inputs!$B$38="pvp",1,(1+(Inputs!$B$21+Skills!Q11+(IF(ArtifactsInput!$M$33,CHOOSE(ArtifactsInput!$N$33+1,30,36,42,48,54,60),0))+(IF(AND(ArtifactsInput!$M$35,Inputs!$B$4&lt;&gt;"Chapter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Inputs!$B$3&gt;=100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t="inlineStr"/>
      <c r="H308" t="inlineStr"/>
      <c r="I308" t="inlineStr">
        <is>
          <t>1</t>
        </is>
      </c>
      <c r="J308" t="inlineStr"/>
      <c r="K308" t="inlineStr"/>
      <c r="L308" t="inlineStr"/>
      <c r="M308" t="inlineStr"/>
      <c r="N308" t="inlineStr"/>
      <c r="O308" t="inlineStr"/>
      <c r="P308" t="inlineStr"/>
      <c r="Q308" t="inlineStr"/>
      <c r="R308" t="inlineStr"/>
      <c r="S308" t="inlineStr"/>
      <c r="T308" t="inlineStr"/>
      <c r="V308" t="inlineStr"/>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IF(B335=0,0,O309/B335)</f>
        <v/>
      </c>
      <c r="Q309" t="n">
        <v>0</v>
      </c>
      <c r="R309" t="n">
        <v>0</v>
      </c>
      <c r="S309">
        <f>IFERROR(O309/N309,0)</f>
        <v/>
      </c>
      <c r="T309" t="n">
        <v>0</v>
      </c>
      <c r="V309" t="n">
        <v>0</v>
      </c>
    </row>
    <row r="310">
      <c r="A310">
        <f>Skills!A14</f>
        <v/>
      </c>
      <c r="B310">
        <f>Skills!B14</f>
        <v/>
      </c>
      <c r="C310">
        <f>Inputs!$B$3&gt;=115</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IF(B335=0,0,O310/B335)</f>
        <v/>
      </c>
      <c r="Q310">
        <f>IFERROR(1/(IF(Inputs!$B$38="pvp",15,MAX(0.1,Skills!D14-IF(TRUE=TRUE,Inputs!$B$32,0)))*(1-IF(AND(ArtifactsInput!$M$27,Inputs!$B$4="Chapter Hunt"),CHOOSE(ArtifactsInput!$N$27+1,20,24,28,32,36,40),0)/100)),0)</f>
        <v/>
      </c>
      <c r="R310">
        <f>IF(AND(Inputs!$B$38&lt;&gt;"pvp",Inputs!$B$43&gt;0),IF(Inputs!$B$43&lt;=0,0,(INT(Inputs!$B$43/(IF(Inputs!$B$38="pvp",15,MAX(0.1,Skills!D14-IF(TRUE=TRUE,Inputs!$B$32,0)))*(1-IF(AND(ArtifactsInput!$M$27,Inputs!$B$4="Chapter Hunt"),CHOOSE(ArtifactsInput!$N$27+1,20,24,28,32,36,40),0)/100)))+1)),0)</f>
        <v/>
      </c>
      <c r="S310">
        <f>IFERROR(O310/N310,0)</f>
        <v/>
      </c>
      <c r="T310" t="n">
        <v>0</v>
      </c>
      <c r="V310" t="n">
        <v>0</v>
      </c>
    </row>
    <row r="311">
      <c r="A311">
        <f>Skills!A15</f>
        <v/>
      </c>
      <c r="B311">
        <f>Skills!B15</f>
        <v/>
      </c>
      <c r="C311">
        <f>Inputs!$B$3&gt;=125</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IF(B335=0,0,O311/B335)</f>
        <v/>
      </c>
      <c r="Q311">
        <f>IFERROR(1/(IF(Inputs!$B$38="pvp",15,MAX(0.1,Skills!D15-IF(TRUE=TRUE,Inputs!$B$32,0)))*(1-IF(AND(ArtifactsInput!$M$27,Inputs!$B$4="Chapter Hunt"),CHOOSE(ArtifactsInput!$N$27+1,20,24,28,32,36,40),0)/100)),0)</f>
        <v/>
      </c>
      <c r="R311">
        <f>IF(AND(Inputs!$B$38&lt;&gt;"pvp",Inputs!$B$43&gt;0),IF(Inputs!$B$43&lt;=0,0,(INT(Inputs!$B$43/(IF(Inputs!$B$38="pvp",15,MAX(0.1,Skills!D15-IF(TRUE=TRUE,Inputs!$B$32,0)))*(1-IF(AND(ArtifactsInput!$M$27,Inputs!$B$4="Chapter Hunt"),CHOOSE(ArtifactsInput!$N$27+1,20,24,28,32,36,40),0)/100)))+1)),0)</f>
        <v/>
      </c>
      <c r="S311">
        <f>IFERROR(O311/N311,0)</f>
        <v/>
      </c>
      <c r="T311" t="n">
        <v>0</v>
      </c>
      <c r="V311" t="n">
        <v>0</v>
      </c>
    </row>
    <row r="312">
      <c r="A312">
        <f>Skills!A16</f>
        <v/>
      </c>
      <c r="B312">
        <f>Skills!B16</f>
        <v/>
      </c>
      <c r="C312">
        <f>Inputs!$B$3&gt;=10</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IF(B335=0,0,O312/B335)</f>
        <v/>
      </c>
      <c r="Q312" t="n">
        <v>0</v>
      </c>
      <c r="R312" t="n">
        <v>0</v>
      </c>
      <c r="S312">
        <f>IFERROR(O312/N312,0)</f>
        <v/>
      </c>
      <c r="T312" t="n">
        <v>0</v>
      </c>
      <c r="V312" t="n">
        <v>0</v>
      </c>
    </row>
    <row r="313">
      <c r="A313">
        <f>Skills!A17</f>
        <v/>
      </c>
      <c r="B313">
        <f>Skills!B17</f>
        <v/>
      </c>
      <c r="C313">
        <f>Inputs!$B$3&gt;=15</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IF(B335=0,0,O313/B335)</f>
        <v/>
      </c>
      <c r="Q313" t="n">
        <v>0</v>
      </c>
      <c r="R313" t="n">
        <v>0</v>
      </c>
      <c r="S313">
        <f>IFERROR(O313/N313,0)</f>
        <v/>
      </c>
      <c r="T313" t="n">
        <v>0</v>
      </c>
      <c r="V313" t="n">
        <v>0</v>
      </c>
    </row>
    <row r="314">
      <c r="A314">
        <f>Skills!A18</f>
        <v/>
      </c>
      <c r="B314">
        <f>Skills!B18</f>
        <v/>
      </c>
      <c r="C314">
        <f>Inputs!$B$3&gt;=33</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IF(B335=0,0,O314/B335)</f>
        <v/>
      </c>
      <c r="Q314" t="n">
        <v>0</v>
      </c>
      <c r="R314" t="n">
        <v>0</v>
      </c>
      <c r="S314">
        <f>IFERROR(O314/N314,0)</f>
        <v/>
      </c>
      <c r="T314" t="n">
        <v>0</v>
      </c>
      <c r="V314" t="n">
        <v>0</v>
      </c>
    </row>
    <row r="315">
      <c r="A315">
        <f>Skills!A19</f>
        <v/>
      </c>
      <c r="B315">
        <f>Skills!B19</f>
        <v/>
      </c>
      <c r="C315">
        <f>Inputs!$B$3&gt;=40</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IF(B335=0,0,O315/B335)</f>
        <v/>
      </c>
      <c r="Q315" t="n">
        <v>0</v>
      </c>
      <c r="R315" t="n">
        <v>0</v>
      </c>
      <c r="S315">
        <f>IFERROR(O315/N315,0)</f>
        <v/>
      </c>
      <c r="T315" t="n">
        <v>0</v>
      </c>
      <c r="V315" t="n">
        <v>0</v>
      </c>
    </row>
    <row r="316">
      <c r="A316">
        <f>Skills!A20</f>
        <v/>
      </c>
      <c r="B316">
        <f>Skills!B20</f>
        <v/>
      </c>
      <c r="C316">
        <f>Inputs!$B$3&gt;=43</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IF(B335=0,0,O316/B335)</f>
        <v/>
      </c>
      <c r="Q316" t="n">
        <v>0</v>
      </c>
      <c r="R316" t="n">
        <v>0</v>
      </c>
      <c r="S316">
        <f>IFERROR(O316/N316,0)</f>
        <v/>
      </c>
      <c r="T316" t="n">
        <v>0</v>
      </c>
      <c r="V316" t="n">
        <v>0</v>
      </c>
    </row>
    <row r="317">
      <c r="A317">
        <f>Skills!A21</f>
        <v/>
      </c>
      <c r="B317">
        <f>Skills!B21</f>
        <v/>
      </c>
      <c r="C317">
        <f>Inputs!$B$3&gt;=38</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IF(B335=0,0,O317/B335)</f>
        <v/>
      </c>
      <c r="Q317" t="n">
        <v>0</v>
      </c>
      <c r="R317" t="n">
        <v>0</v>
      </c>
      <c r="S317">
        <f>IFERROR(O317/N317,0)</f>
        <v/>
      </c>
      <c r="T317" t="n">
        <v>0</v>
      </c>
      <c r="V317" t="n">
        <v>0</v>
      </c>
    </row>
    <row r="318">
      <c r="A318">
        <f>Skills!A22</f>
        <v/>
      </c>
      <c r="B318">
        <f>Skills!B22</f>
        <v/>
      </c>
      <c r="C318">
        <f>Inputs!$B$3&gt;=75</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IF(B335=0,0,O318/B335)</f>
        <v/>
      </c>
      <c r="Q318" t="n">
        <v>0</v>
      </c>
      <c r="R318" t="n">
        <v>0</v>
      </c>
      <c r="S318">
        <f>IFERROR(O318/N318,0)</f>
        <v/>
      </c>
      <c r="T318" t="n">
        <v>0</v>
      </c>
      <c r="V318" t="n">
        <v>0</v>
      </c>
    </row>
    <row r="319">
      <c r="A319">
        <f>Skills!A23</f>
        <v/>
      </c>
      <c r="B319">
        <f>Skills!B23</f>
        <v/>
      </c>
      <c r="C319">
        <f>TRUE</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IF(B335=0,0,O319/B335)</f>
        <v/>
      </c>
      <c r="Q319">
        <f>IFERROR(1/(IF(Inputs!$B$38="pvp",15,MAX(0.1,Skills!D23-IF(TRUE=TRUE,Inputs!$B$32,0)))*(1-IF(AND(ArtifactsInput!$M$27,Inputs!$B$4="Chapter Hunt"),CHOOSE(ArtifactsInput!$N$27+1,20,24,28,32,36,40),0)/100)),0)</f>
        <v/>
      </c>
      <c r="R319">
        <f>IF(AND(Inputs!$B$38&lt;&gt;"pvp",Inputs!$B$43&gt;0),IF(Inputs!$B$43&lt;=0,0,(INT(Inputs!$B$43/(IF(Inputs!$B$38="pvp",15,MAX(0.1,Skills!D23-IF(TRUE=TRUE,Inputs!$B$32,0)))*(1-IF(AND(ArtifactsInput!$M$27,Inputs!$B$4="Chapter Hunt"),CHOOSE(ArtifactsInput!$N$27+1,20,24,28,32,36,40),0)/100)))+1)),0)</f>
        <v/>
      </c>
      <c r="S319">
        <f>IFERROR(O319/N319,0)</f>
        <v/>
      </c>
      <c r="T319" t="n">
        <v>0</v>
      </c>
      <c r="V319" t="n">
        <v>0</v>
      </c>
    </row>
    <row r="320">
      <c r="A320">
        <f>Skills!A24</f>
        <v/>
      </c>
      <c r="B320">
        <f>Skills!B24</f>
        <v/>
      </c>
      <c r="C320">
        <f>Inputs!$B$3&gt;=107</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IF(B335=0,0,O320/B335)</f>
        <v/>
      </c>
      <c r="Q320">
        <f>IFERROR(1/(IF(Inputs!$B$38="pvp",15,MAX(0.1,Skills!D24-IF(TRUE=TRUE,Inputs!$B$32,0)))*(1-IF(AND(ArtifactsInput!$M$27,Inputs!$B$4="Chapter Hunt"),CHOOSE(ArtifactsInput!$N$27+1,20,24,28,32,36,40),0)/100)),0)</f>
        <v/>
      </c>
      <c r="R320">
        <f>IF(AND(Inputs!$B$38&lt;&gt;"pvp",Inputs!$B$43&gt;0),IF(Inputs!$B$43&lt;=0,0,(INT(Inputs!$B$43/(IF(Inputs!$B$38="pvp",15,MAX(0.1,Skills!D24-IF(TRUE=TRUE,Inputs!$B$32,0)))*(1-IF(AND(ArtifactsInput!$M$27,Inputs!$B$4="Chapter Hunt"),CHOOSE(ArtifactsInput!$N$27+1,20,24,28,32,36,40),0)/100)))+1)),0)</f>
        <v/>
      </c>
      <c r="S320">
        <f>IFERROR(O320/N320,0)</f>
        <v/>
      </c>
      <c r="T320" t="n">
        <v>0</v>
      </c>
      <c r="V320" t="n">
        <v>0</v>
      </c>
    </row>
    <row r="321">
      <c r="A321">
        <f>Skills!A25</f>
        <v/>
      </c>
      <c r="B321">
        <f>Skills!B25</f>
        <v/>
      </c>
      <c r="C321">
        <f>Inputs!$B$3&gt;=110</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t="inlineStr"/>
      <c r="H321" t="inlineStr"/>
      <c r="I321" t="inlineStr">
        <is>
          <t>1</t>
        </is>
      </c>
      <c r="J321" t="inlineStr"/>
      <c r="K321" t="inlineStr"/>
      <c r="L321" t="inlineStr"/>
      <c r="M321" t="inlineStr"/>
      <c r="N321" t="inlineStr"/>
      <c r="O321" t="inlineStr"/>
      <c r="P321" t="inlineStr"/>
      <c r="Q321" t="inlineStr"/>
      <c r="R321" t="inlineStr"/>
      <c r="S321" t="inlineStr"/>
      <c r="T321" t="inlineStr"/>
      <c r="V321" t="inlineStr"/>
    </row>
    <row r="322">
      <c r="A322">
        <f>Skills!A26</f>
        <v/>
      </c>
      <c r="B322">
        <f>Skills!B26</f>
        <v/>
      </c>
      <c r="C322">
        <f>Inputs!$B$3&gt;=117</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t="inlineStr"/>
      <c r="H322" t="inlineStr"/>
      <c r="I322" t="inlineStr">
        <is>
          <t>1</t>
        </is>
      </c>
      <c r="J322" t="inlineStr"/>
      <c r="K322" t="inlineStr"/>
      <c r="L322" t="inlineStr"/>
      <c r="M322" t="inlineStr"/>
      <c r="N322" t="inlineStr"/>
      <c r="O322" t="inlineStr"/>
      <c r="P322" t="inlineStr"/>
      <c r="Q322" t="inlineStr"/>
      <c r="R322" t="inlineStr"/>
      <c r="S322" t="inlineStr"/>
      <c r="T322" t="inlineStr"/>
      <c r="V322" t="inlineStr"/>
    </row>
    <row r="324">
      <c r="A324" t="inlineStr">
        <is>
          <t>Attack% Bucket Multiplier</t>
        </is>
      </c>
      <c r="B324">
        <f>(1+(((C309=TRUE)*F309*5/7)+((C315=TRUE)*(F315-Calc!F19))+(IF(ArtifactsInput!$M$21,CHOOSE(ArtifactsInput!$N$21+1,25,30,35,40,45,50)*(IF(OR(Inputs!$B$4="Chapter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5">
      <c r="A325" t="inlineStr">
        <is>
          <t>Global Crit Rate Bonus %</t>
        </is>
      </c>
      <c r="B325" t="n">
        <v>0</v>
      </c>
    </row>
    <row r="326">
      <c r="A326" t="inlineStr">
        <is>
          <t>Attack Speed Buff Bonus % (Nimble Feet + Speed Infusion, duty-cycle averaged)</t>
        </is>
      </c>
      <c r="B326">
        <f>((C319=TRUE)*F319*IF(AND(Inputs!$B$38&lt;&gt;"pvp",Inputs!$B$43&gt;0),(((R319-1)*MIN((Skills!T23*(1+Inputs!$B$34/100)),(1/Q319))+MIN((Skills!T23*(1+Inputs!$B$34/100)),MAX(0,Inputs!$B$43-((R319-1)*(1/Q319)))))/Inputs!$B$43),IF(Inputs!$B$38="pvp",MIN((Skills!T23*(1+Inputs!$B$34/100)),15)/15,MIN(1,(Skills!T23*(1+Inputs!$B$34/100))/(1/Q319)))))+((C320=TRUE)*F320*IF(AND(Inputs!$B$38&lt;&gt;"pvp",Inputs!$B$43&gt;0),(((R320-1)*MIN((Skills!T24*(1+Inputs!$B$34/100)),(1/Q320))+MIN((Skills!T24*(1+Inputs!$B$34/100)),MAX(0,Inputs!$B$43-((R320-1)*(1/Q320)))))/Inputs!$B$43),IF(Inputs!$B$38="pvp",MIN((Skills!T24*(1+Inputs!$B$34/100)),15)/15,MIN(1,(Skills!T24*(1+Inputs!$B$34/100))/(1/Q320)))))</f>
        <v/>
      </c>
    </row>
    <row r="327">
      <c r="A327" t="inlineStr">
        <is>
          <t>Actions Per Second</t>
        </is>
      </c>
      <c r="B327">
        <f>1+MIN(150,150*(1-(1-(Inputs!$B$11+((C313=TRUE)*(F313-Calc!F17))+((C314=TRUE)*(F314-Calc!F18)))/150)*(1-B326/150)))/100</f>
        <v/>
      </c>
    </row>
    <row r="328">
      <c r="A328" t="inlineStr">
        <is>
          <t>Skill + Buff Cast Rate</t>
        </is>
      </c>
      <c r="B328">
        <f>IF(AND(Inputs!$B$38&lt;&gt;"pvp",Inputs!$B$43&gt;0),SUMPRODUCT((Skills!E2:E26=TRUE)*(C298:C322=TRUE)*R298:R322*Skills!F2:F26)/Inputs!$B$43,SUMPRODUCT((Skills!E2:E26=TRUE)*(C298:C322=TRUE)*Q298:Q322*Skills!F2:F26))</f>
        <v/>
      </c>
    </row>
    <row r="329">
      <c r="A329" t="inlineStr">
        <is>
          <t>Hook Bomber Casts Per Second</t>
        </is>
      </c>
      <c r="B329">
        <f>MAX(0,B327-B328)</f>
        <v/>
      </c>
    </row>
    <row r="330">
      <c r="A330" t="inlineStr">
        <is>
          <t>Global Critical Damage Bonus % (unused)</t>
        </is>
      </c>
      <c r="B330" t="n">
        <v>0</v>
      </c>
    </row>
    <row r="331">
      <c r="A331" t="inlineStr">
        <is>
          <t>Global Final Damage Bonus % (Serpent Scale + Crossbones + Time Leap + Speed Infusion)</t>
        </is>
      </c>
      <c r="B331">
        <f>((C301=TRUE)*(F301*B337+4*(1-B337)))+((C310=TRUE)*F310*IF(AND(Inputs!$B$38&lt;&gt;"pvp",Inputs!$B$43&gt;0),(((R310-1)*MIN((Skills!T14*(1+Inputs!$B$34/100)),(1/Q310))+MIN((Skills!T14*(1+Inputs!$B$34/100)),MAX(0,Inputs!$B$43-((R310-1)*(1/Q310)))))/Inputs!$B$43),IF(Inputs!$B$38="pvp",MIN((Skills!T14*(1+Inputs!$B$34/100)),15)/15,MIN(1,(Skills!T14*(1+Inputs!$B$34/100))/(1/Q310)))))+((C311=TRUE)*F311*IF(AND(Inputs!$B$38&lt;&gt;"pvp",Inputs!$B$43&gt;0),(((R311-1)*MIN((Skills!T15*(1+Inputs!$B$34/100)),(1/Q311))+MIN((Skills!T15*(1+Inputs!$B$34/100)),MAX(0,Inputs!$B$43-((R311-1)*(1/Q311)))))/Inputs!$B$43),IF(Inputs!$B$38="pvp",MIN((Skills!T15*(1+Inputs!$B$34/100)),15)/15,MIN(1,(Skills!T15*(1+Inputs!$B$34/100))/(1/Q311)))))+((C320=TRUE)*20*((1+MIN(150,150*(1-(1-(Inputs!$B$11+((C313=TRUE)*(F313-Calc!F17))+((C314=TRUE)*(F314-Calc!F18)))/150)*(1-(((C319=TRUE)*F319*IF(AND(Inputs!$B$38&lt;&gt;"pvp",Inputs!$B$43&gt;0),(((R319-1)*MIN((Skills!T23*(1+Inputs!$B$34/100)),(1/Q319))+MIN((Skills!T23*(1+Inputs!$B$34/100)),MAX(0,Inputs!$B$43-((R319-1)*(1/Q319)))))/Inputs!$B$43),IF(Inputs!$B$38="pvp",MIN((Skills!T23*(1+Inputs!$B$34/100)),15)/15,MIN(1,(Skills!T23*(1+Inputs!$B$34/100))/(1/Q319)))))+F320)/150)))/100)-1)*IF(AND(Inputs!$B$38&lt;&gt;"pvp",Inputs!$B$43&gt;0),(((R320-1)*MIN((Skills!T24*(1+Inputs!$B$34/100)),(1/Q320))+MIN((Skills!T24*(1+Inputs!$B$34/100)),MAX(0,Inputs!$B$43-((R320-1)*(1/Q320)))))/Inputs!$B$43),IF(Inputs!$B$38="pvp",MIN((Skills!T24*(1+Inputs!$B$34/100)),15)/15,MIN(1,(Skills!T24*(1+Inputs!$B$34/100))/(1/Q320)))))</f>
        <v/>
      </c>
    </row>
    <row r="332">
      <c r="A332" t="inlineStr">
        <is>
          <t>Buff-Casting Startup Delay (s, fixed-duration only)</t>
        </is>
      </c>
      <c r="B332">
        <f>IF(AND(Inputs!$B$38&lt;&gt;"pvp",Inputs!$B$43&gt;0),SUMPRODUCT((Skills!T2:T26&gt;0)*(Skills!E2:E26=TRUE)*(C298:C322=TRUE))/B327,0)</f>
        <v/>
      </c>
    </row>
    <row r="333">
      <c r="A333" t="inlineStr">
        <is>
          <t>Boss-Only Total DPS (this block's swept value)</t>
        </is>
      </c>
      <c r="B333">
        <f>SUM(T298:T322)</f>
        <v/>
      </c>
    </row>
    <row r="334">
      <c r="A334" t="inlineStr">
        <is>
          <t>Normal-Only Total DPS (this block's swept value)</t>
        </is>
      </c>
      <c r="B334">
        <f>SUM(V298:V322)</f>
        <v/>
      </c>
    </row>
    <row r="335">
      <c r="A335" s="6" t="inlineStr">
        <is>
          <t>TOTAL DPS</t>
        </is>
      </c>
      <c r="B335" s="6">
        <f>SUM(O298:O322)</f>
        <v/>
      </c>
    </row>
    <row r="336">
      <c r="A336" t="inlineStr">
        <is>
          <t>Serpent activation interval T (this block's own Hook Bomber rate)</t>
        </is>
      </c>
      <c r="B336">
        <f>((1/Q299)+IFERROR(0.5/B329,0))</f>
        <v/>
      </c>
    </row>
    <row r="337">
      <c r="A337" t="inlineStr">
        <is>
          <t>Assault Mode uptime u (this block)</t>
        </is>
      </c>
      <c r="B337">
        <f>IF(C301=TRUE,(10+IF(Inputs!$B$3&gt;=94,5,0))/((10+IF(Inputs!$B$3&gt;=94,5,0))+IF(Inputs!$B$3&gt;=104,3,5)*B336),0)</f>
        <v/>
      </c>
    </row>
    <row r="338">
      <c r="A338" t="inlineStr">
        <is>
          <t>Nautilus Strike - Final Attack trigger rate (this block's own Q/R)</t>
        </is>
      </c>
      <c r="B338">
        <f>IF(AND(Inputs!$B$38&lt;&gt;"pvp",Inputs!$B$43&gt;0),(((C302=TRUE)*R302)+((C303=TRUE)*R303)+((C306=TRUE)*R306))/Inputs!$B$43,((C302=TRUE)*Q302)+((C303=TRUE)*Q303)+((C306=TRUE)*Q306))+B329</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361=TRUE)*(F361-Calc!F20)),(Inputs!$B$23+0+(IF(ArtifactsInput!$M$15,CHOOSE(ArtifactsInput!$N$15+1,25,30,35,40,45,50)/100*(Inputs!$B$11-Inputs!$B$11),0))))/100+(Inputs!$B$23+0+(IF(ArtifactsInput!$M$15,CHOOSE(ArtifactsInput!$N$15+1,25,30,35,40,45,50)/100*(Inputs!$B$11-Inputs!$B$11),0)))/100)/2</f>
        <v/>
      </c>
      <c r="M343">
        <f>L343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IF(B380=0,0,O343/B380)</f>
        <v/>
      </c>
      <c r="Q343" t="n">
        <v>0</v>
      </c>
      <c r="R343" t="n">
        <v>0</v>
      </c>
      <c r="S343">
        <f>IFERROR(O343/N343,0)</f>
        <v/>
      </c>
      <c r="T343">
        <f>IF(C343,(Skills!G2*N343*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IF(C343,(Skills!G2*N343*B374)*IF(Inputs!$B$38="pvp",1,(1+((Inputs!$B$21+1)+Skills!Q2+(IF(ArtifactsInput!$M$33,CHOOSE(ArtifactsInput!$N$33+1,30,36,42,48,54,60),0))+(IF(AND(ArtifactsInput!$M$35,Inputs!$B$4&lt;&gt;"Chapter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Inputs!$B$3&gt;=35</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f>Skills!G3*IF(Skills!H3&gt;0,Skills!I3/Skills!H3,1)</f>
        <v/>
      </c>
      <c r="H344">
        <f>1-(1-Skills!J3/100)^Skills!K3</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3="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361=TRUE)*(F361-Calc!F20)),(Inputs!$B$23+0+(IF(ArtifactsInput!$M$15,CHOOSE(ArtifactsInput!$N$15+1,25,30,35,40,45,50)/100*(Inputs!$B$11-Inputs!$B$11),0))))/100+(Inputs!$B$23+0+(IF(ArtifactsInput!$M$15,CHOOSE(ArtifactsInput!$N$15+1,25,30,35,40,45,50)/100*(Inputs!$B$11-Inputs!$B$11),0)))/100)/2</f>
        <v/>
      </c>
      <c r="M344">
        <f>L344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IF(B380=0,0,O344/B380)</f>
        <v/>
      </c>
      <c r="Q344">
        <f>IFERROR(1/(IF(Inputs!$B$38="pvp",15,MAX(0.1,Skills!D3-IF(TRUE=TRUE,Inputs!$B$32,0)))*(1-IF(AND(ArtifactsInput!$M$27,Inputs!$B$4="Chapter Hunt"),CHOOSE(ArtifactsInput!$N$27+1,20,24,28,32,36,40),0)/100)),0)</f>
        <v/>
      </c>
      <c r="R344">
        <f>IF(AND(Inputs!$B$38&lt;&gt;"pvp",Inputs!$B$43&gt;0),IF(MAX(0,Inputs!$B$43-B377)&lt;=0,0,(INT(MAX(0,Inputs!$B$43-B377)/(IF(Inputs!$B$38="pvp",15,MAX(0.1,Skills!D3-IF(TRUE=TRUE,Inputs!$B$32,0)))*(1-IF(AND(ArtifactsInput!$M$27,Inputs!$B$4="Chapter Hunt"),CHOOSE(ArtifactsInput!$N$27+1,20,24,28,32,36,40),0)/100)))+1)),0)</f>
        <v/>
      </c>
      <c r="S344">
        <f>IFERROR(O344/N344,0)</f>
        <v/>
      </c>
      <c r="T344">
        <f>IF(C344,(Skills!G3*N344*IF(C345=TRUE,1-B382,1)/B381)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INDEX(FactorTable!$B$2:$Y$301, MATCH(ROUND(MIN(300,MAX(1,U343)),0), FactorTable!$A$2:$A$301,0), 22)</f>
        <v/>
      </c>
      <c r="V344">
        <f>IF(C344,(Skills!G3*N344*IF(C345=TRUE,1-B382,1)/B381)*IF(Inputs!$B$38="pvp",1,(1+((Inputs!$B$21+1)+Skills!Q3+(IF(ArtifactsInput!$M$33,CHOOSE(ArtifactsInput!$N$33+1,30,36,42,48,54,60),0))+(IF(AND(ArtifactsInput!$M$35,Inputs!$B$4&lt;&gt;"Chapter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Skills!A4</f>
        <v/>
      </c>
      <c r="B345">
        <f>Skills!B4</f>
        <v/>
      </c>
      <c r="C345">
        <f>Inputs!$B$3&gt;=69</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f>Skills!G4*IF(Skills!H4&gt;0,Skills!I4/Skills!H4,1)</f>
        <v/>
      </c>
      <c r="H345">
        <f>1-(1-Skills!J4/100)^Skills!K4</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353=TRUE,F353,0)/100)*(1+(IF(Skills!A4="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361=TRUE)*(F361-Calc!F20)),(Inputs!$B$23+0+(IF(ArtifactsInput!$M$15,CHOOSE(ArtifactsInput!$N$15+1,25,30,35,40,45,50)/100*(Inputs!$B$11-Inputs!$B$11),0))))/100+(Inputs!$B$23+0+(IF(ArtifactsInput!$M$15,CHOOSE(ArtifactsInput!$N$15+1,25,30,35,40,45,50)/100*(Inputs!$B$11-Inputs!$B$11),0)))/100)/2</f>
        <v/>
      </c>
      <c r="M345">
        <f>L345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IF(B380=0,0,O345/B380)</f>
        <v/>
      </c>
      <c r="Q345" t="n">
        <v>0</v>
      </c>
      <c r="R345" t="n">
        <v>0</v>
      </c>
      <c r="S345">
        <f>IFERROR(O345/N345,0)</f>
        <v/>
      </c>
      <c r="T345">
        <f>IF(C345,(Skills!G4*N345*B382/B381)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5">
        <f>290*U344/1000</f>
        <v/>
      </c>
      <c r="V345">
        <f>IF(C345,(Skills!G4*N345*B382/B381)*IF(Inputs!$B$38="pvp",1,(1+((Inputs!$B$21+1)+Skills!Q4+(IF(ArtifactsInput!$M$33,CHOOSE(ArtifactsInput!$N$33+1,30,36,42,48,54,60),0))+(IF(AND(ArtifactsInput!$M$35,Inputs!$B$4&lt;&gt;"Chapter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Skills!A5</f>
        <v/>
      </c>
      <c r="B346">
        <f>Skills!B5</f>
        <v/>
      </c>
      <c r="C346">
        <f>Inputs!$B$3&gt;=66</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t="inlineStr"/>
      <c r="K346" t="inlineStr"/>
      <c r="L346" t="inlineStr"/>
      <c r="M346" t="inlineStr"/>
      <c r="N346" t="inlineStr"/>
      <c r="O346">
        <f>(1-Summary!$B$11)*T346+Summary!$B$11*V346</f>
        <v/>
      </c>
      <c r="P346">
        <f>IF(B380=0,0,O346/B380)</f>
        <v/>
      </c>
      <c r="Q346" t="n">
        <v>0</v>
      </c>
      <c r="R346" t="n">
        <v>0</v>
      </c>
      <c r="S346">
        <f>IFERROR(O346/N346,0)</f>
        <v/>
      </c>
      <c r="T346" t="n">
        <v>0</v>
      </c>
      <c r="V346" t="n">
        <v>0</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353=TRUE,F353,0)/100)*(1+(IF(Skills!A6="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361=TRUE)*(F361-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f>IFERROR(1/(IF(Inputs!$B$38="pvp",15,MAX(0.1,Skills!D6-IF(TRUE=TRUE,Inputs!$B$32,0)))*(1-IF(AND(ArtifactsInput!$M$27,Inputs!$B$4="Chapter Hunt"),CHOOSE(ArtifactsInput!$N$27+1,20,24,28,32,36,40),0)/100)),0)</f>
        <v/>
      </c>
      <c r="R347">
        <f>IF(AND(Inputs!$B$38&lt;&gt;"pvp",Inputs!$B$43&gt;0),IF(MAX(0,Inputs!$B$43-B377)&lt;=0,0,(INT(MAX(0,Inputs!$B$43-B377)/(IF(Inputs!$B$38="pvp",15,MAX(0.1,Skills!D6-IF(TRUE=TRUE,Inputs!$B$32,0)))*(1-IF(AND(ArtifactsInput!$M$27,Inputs!$B$4="Chapter Hunt"),CHOOSE(ArtifactsInput!$N$27+1,20,24,28,32,36,40),0)/100)))+1)),0)</f>
        <v/>
      </c>
      <c r="S347">
        <f>IFERROR(O347/N347,0)</f>
        <v/>
      </c>
      <c r="T347">
        <f>IF(C347,(H347*N347*IF(AND(Inputs!$B$38&lt;&gt;"pvp",Inputs!$B$43&gt;0),((Skills!G6*((R347-1)*IF(Skills!H6&gt;0,Skills!I6/Skills!H6,1)+IF(Skills!H6&gt;0,MIN(Skills!I6,MAX(0,MAX(0,Inputs!$B$43-B377)-((R347-1)*(IF(Inputs!$B$38="pvp",15,MAX(0.1,Skills!D6-IF(TRUE=TRUE,Inputs!$B$32,0)))*(1-IF(AND(ArtifactsInput!$M$27,Inputs!$B$4="Chapter Hunt"),CHOOSE(ArtifactsInput!$N$27+1,20,24,28,32,36,40),0)/100)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377)-((R347-1)*(IF(Inputs!$B$38="pvp",15,MAX(0.1,Skills!D6-IF(TRUE=TRUE,Inputs!$B$32,0)))*(1-IF(AND(ArtifactsInput!$M$27,Inputs!$B$4="Chapter Hunt"),CHOOSE(ArtifactsInput!$N$27+1,20,24,28,32,36,40),0)/100)))))/Skills!H6,1)))/Inputs!$B$43),G347*Q347))*IF(Inputs!$B$38="pvp",1,(1+((Inputs!$B$21+1)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Inputs!$B$3&gt;=103</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361=TRUE)*(F361-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f>IFERROR(1/(IF(Inputs!$B$38="pvp",15,MAX(0.1,Skills!D7-IF(TRUE=TRUE,Inputs!$B$32,0)))*(1-IF(AND(ArtifactsInput!$M$27,Inputs!$B$4="Chapter Hunt"),CHOOSE(ArtifactsInput!$N$27+1,20,24,28,32,36,40),0)/100)),0)</f>
        <v/>
      </c>
      <c r="R348">
        <f>IF(AND(Inputs!$B$38&lt;&gt;"pvp",Inputs!$B$43&gt;0),IF(MAX(0,Inputs!$B$43-B377)&lt;=0,0,(INT(MAX(0,Inputs!$B$43-B377)/(IF(Inputs!$B$38="pvp",15,MAX(0.1,Skills!D7-IF(TRUE=TRUE,Inputs!$B$32,0)))*(1-IF(AND(ArtifactsInput!$M$27,Inputs!$B$4="Chapter Hunt"),CHOOSE(ArtifactsInput!$N$27+1,20,24,28,32,36,40),0)/100)))+1)),0)</f>
        <v/>
      </c>
      <c r="S348">
        <f>IFERROR(O348/N348,0)</f>
        <v/>
      </c>
      <c r="T348">
        <f>IF(C348,(H348*N348*IF(AND(Inputs!$B$38&lt;&gt;"pvp",Inputs!$B$43&gt;0),((Skills!G7*((R348-1)*IF(Skills!H7&gt;0,Skills!I7/Skills!H7,1)+IF(Skills!H7&gt;0,MIN(Skills!I7,MAX(0,MAX(0,Inputs!$B$43-B377)-((R348-1)*(IF(Inputs!$B$38="pvp",15,MAX(0.1,Skills!D7-IF(TRUE=TRUE,Inputs!$B$32,0)))*(1-IF(AND(ArtifactsInput!$M$27,Inputs!$B$4="Chapter Hunt"),CHOOSE(ArtifactsInput!$N$27+1,20,24,28,32,36,40),0)/100)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377)-((R348-1)*(IF(Inputs!$B$38="pvp",15,MAX(0.1,Skills!D7-IF(TRUE=TRUE,Inputs!$B$32,0)))*(1-IF(AND(ArtifactsInput!$M$27,Inputs!$B$4="Chapter Hunt"),CHOOSE(ArtifactsInput!$N$27+1,20,24,28,32,36,40),0)/100)))))/Skills!H7,1)))/Inputs!$B$43),G348*Q348))*IF(Inputs!$B$38="pvp",1,(1+((Inputs!$B$21+1)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Inputs!$B$3&gt;=117</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361=TRUE)*(F361-Calc!F20)),(Inputs!$B$23+0+(IF(ArtifactsInput!$M$15,CHOOSE(ArtifactsInput!$N$15+1,25,30,35,40,45,50)/100*(Inputs!$B$11-Inputs!$B$11),0))))/100+(Inputs!$B$23+0+(IF(ArtifactsInput!$M$15,CHOOSE(ArtifactsInput!$N$15+1,25,30,35,40,45,50)/100*(Inputs!$B$11-Inputs!$B$11),0)))/100)/2</f>
        <v/>
      </c>
      <c r="M349">
        <f>L349*(1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IF(B380=0,0,O349/B380)</f>
        <v/>
      </c>
      <c r="Q349">
        <f>IFERROR(1/(IF(Inputs!$B$38="pvp",15,MAX(0.1,Skills!D8-IF(TRUE=TRUE,Inputs!$B$32,0)))*(1-IF(AND(ArtifactsInput!$M$27,Inputs!$B$4="Chapter Hunt"),CHOOSE(ArtifactsInput!$N$27+1,20,24,28,32,36,40),0)/100)),0)</f>
        <v/>
      </c>
      <c r="R349">
        <f>IF(AND(Inputs!$B$38&lt;&gt;"pvp",Inputs!$B$43&gt;0),IF(MAX(0,Inputs!$B$43-B377)&lt;=0,0,(INT(MAX(0,Inputs!$B$43-B377)/(IF(Inputs!$B$38="pvp",15,MAX(0.1,Skills!D8-IF(TRUE=TRUE,Inputs!$B$32,0)))*(1-IF(AND(ArtifactsInput!$M$27,Inputs!$B$4="Chapter Hunt"),CHOOSE(ArtifactsInput!$N$27+1,20,24,28,32,36,40),0)/100)))+1)),0)</f>
        <v/>
      </c>
      <c r="S349">
        <f>IFERROR(O349/N349,0)</f>
        <v/>
      </c>
      <c r="T349">
        <f>IF(C349,(H349*N349*IF(AND(Inputs!$B$38&lt;&gt;"pvp",Inputs!$B$43&gt;0),((Skills!G8*((R349-1)*IF(Skills!H8&gt;0,Skills!I8/Skills!H8,1)+IF(Skills!H8&gt;0,MIN(Skills!I8,MAX(0,MAX(0,Inputs!$B$43-B377)-((R349-1)*(IF(Inputs!$B$38="pvp",15,MAX(0.1,Skills!D8-IF(TRUE=TRUE,Inputs!$B$32,0)))*(1-IF(AND(ArtifactsInput!$M$27,Inputs!$B$4="Chapter Hunt"),CHOOSE(ArtifactsInput!$N$27+1,20,24,28,32,36,40),0)/100)))))/Skills!H8,1)))/Inputs!$B$43),G349*Q349)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IF(AND(Inputs!$B$38&lt;&gt;"pvp",Inputs!$B$43&gt;0),((Skills!G8*((R349-1)*IF(Skills!H8&gt;0,Skills!I8/Skills!H8,1)+IF(Skills!H8&gt;0,MIN(Skills!I8,MAX(0,MAX(0,Inputs!$B$43-B377)-((R349-1)*(IF(Inputs!$B$38="pvp",15,MAX(0.1,Skills!D8-IF(TRUE=TRUE,Inputs!$B$32,0)))*(1-IF(AND(ArtifactsInput!$M$27,Inputs!$B$4="Chapter Hunt"),CHOOSE(ArtifactsInput!$N$27+1,20,24,28,32,36,40),0)/100)))))/Skills!H8,1)))/Inputs!$B$43),G349*Q349))*IF(Inputs!$B$38="pvp",1,(1+((Inputs!$B$21+1)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Skills!A9</f>
        <v/>
      </c>
      <c r="B350">
        <f>Skills!B9</f>
        <v/>
      </c>
      <c r="C350">
        <f>Inputs!$B$3&gt;=120</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B382</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361=TRUE)*(F361-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IFERROR(1/(IF(Inputs!$B$38="pvp",15,MAX(0.1,Skills!D9-IF(TRUE=TRUE,Inputs!$B$32,0)))*(1-IF(AND(ArtifactsInput!$M$27,Inputs!$B$4="Chapter Hunt"),CHOOSE(ArtifactsInput!$N$27+1,20,24,28,32,36,40),0)/100)),0)</f>
        <v/>
      </c>
      <c r="R350">
        <f>IF(AND(Inputs!$B$38&lt;&gt;"pvp",Inputs!$B$43&gt;0),IF(MAX(0,Inputs!$B$43-B377)&lt;=0,0,(INT(MAX(0,Inputs!$B$43-B377)/(IF(Inputs!$B$38="pvp",15,MAX(0.1,Skills!D9-IF(TRUE=TRUE,Inputs!$B$32,0)))*(1-IF(AND(ArtifactsInput!$M$27,Inputs!$B$4="Chapter Hunt"),CHOOSE(ArtifactsInput!$N$27+1,20,24,28,32,36,40),0)/100)))+1)),0)</f>
        <v/>
      </c>
      <c r="S350">
        <f>IFERROR(O350/N350,0)</f>
        <v/>
      </c>
      <c r="T350">
        <f>IF(C350,(H350*N350*IF(AND(Inputs!$B$38&lt;&gt;"pvp",Inputs!$B$43&gt;0),((Skills!G9*((R350-1)*IF(Skills!H9&gt;0,Skills!I9/Skills!H9,1)+IF(Skills!H9&gt;0,MIN(Skills!I9,MAX(0,MAX(0,Inputs!$B$43-B377)-((R350-1)*(IF(Inputs!$B$38="pvp",15,MAX(0.1,Skills!D9-IF(TRUE=TRUE,Inputs!$B$32,0)))*(1-IF(AND(ArtifactsInput!$M$27,Inputs!$B$4="Chapter Hunt"),CHOOSE(ArtifactsInput!$N$27+1,20,24,28,32,36,40),0)/100)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377)-((R350-1)*(IF(Inputs!$B$38="pvp",15,MAX(0.1,Skills!D9-IF(TRUE=TRUE,Inputs!$B$32,0)))*(1-IF(AND(ArtifactsInput!$M$27,Inputs!$B$4="Chapter Hunt"),CHOOSE(ArtifactsInput!$N$27+1,20,24,28,32,36,40),0)/100)))))/Skills!H9,1)))/Inputs!$B$43),G350*Q350))*IF(Inputs!$B$38="pvp",1,(1+((Inputs!$B$21+1)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Inputs!$B$3&gt;=105</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361=TRUE)*(F361-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IFERROR(1/(IF(Inputs!$B$38="pvp",15,MAX(0.1,Skills!D10-IF(TRUE=TRUE,Inputs!$B$32,0)))*(1-IF(AND(ArtifactsInput!$M$27,Inputs!$B$4="Chapter Hunt"),CHOOSE(ArtifactsInput!$N$27+1,20,24,28,32,36,40),0)/100)),0)</f>
        <v/>
      </c>
      <c r="R351">
        <f>IF(AND(Inputs!$B$38&lt;&gt;"pvp",Inputs!$B$43&gt;0),IF(MAX(0,Inputs!$B$43-B377)&lt;=0,0,(INT(MAX(0,Inputs!$B$43-B377)/(IF(Inputs!$B$38="pvp",15,MAX(0.1,Skills!D10-IF(TRUE=TRUE,Inputs!$B$32,0)))*(1-IF(AND(ArtifactsInput!$M$27,Inputs!$B$4="Chapter Hunt"),CHOOSE(ArtifactsInput!$N$27+1,20,24,28,32,36,40),0)/100)))+1)),0)</f>
        <v/>
      </c>
      <c r="S351">
        <f>IFERROR(O351/N351,0)</f>
        <v/>
      </c>
      <c r="T351">
        <f>IF(C351,(H351*N351*IF(AND(Inputs!$B$38&lt;&gt;"pvp",Inputs!$B$43&gt;0),((Skills!G10*((R351-1)*IF(Skills!H10&gt;0,Skills!I10/Skills!H10,1)+IF(Skills!H10&gt;0,MIN(Skills!I10,MAX(0,MAX(0,Inputs!$B$43-B377)-((R351-1)*(IF(Inputs!$B$38="pvp",15,MAX(0.1,Skills!D10-IF(TRUE=TRUE,Inputs!$B$32,0)))*(1-IF(AND(ArtifactsInput!$M$27,Inputs!$B$4="Chapter Hunt"),CHOOSE(ArtifactsInput!$N$27+1,20,24,28,32,36,40),0)/100)))))/Skills!H10,1)))/Inputs!$B$43),G351*Q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10*((R351-1)*IF(Skills!H10&gt;0,Skills!I10/Skills!H10,1)+IF(Skills!H10&gt;0,MIN(Skills!I10,MAX(0,MAX(0,Inputs!$B$43-B377)-((R351-1)*(IF(Inputs!$B$38="pvp",15,MAX(0.1,Skills!D10-IF(TRUE=TRUE,Inputs!$B$32,0)))*(1-IF(AND(ArtifactsInput!$M$27,Inputs!$B$4="Chapter Hunt"),CHOOSE(ArtifactsInput!$N$27+1,20,24,28,32,36,40),0)/100)))))/Skills!H10,1)))/Inputs!$B$43),G351*Q351))*IF(Inputs!$B$38="pvp",1,(1+((Inputs!$B$21+1)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Inputs!$B$3&gt;=113</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361=TRUE)*(F361-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t="n">
        <v>0</v>
      </c>
      <c r="R352" t="n">
        <v>0</v>
      </c>
      <c r="S352">
        <f>IFERROR(O352/N352,0)</f>
        <v/>
      </c>
      <c r="T352">
        <f>IF(C352,((H352*B383)/(1+Skills!H11*H352*B383)*N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IF(C352,((H352*B383)/(1+Skills!H11*H352*B383)*N352)*IF(Inputs!$B$38="pvp",1,(1+((Inputs!$B$21+1)+Skills!Q11+(IF(ArtifactsInput!$M$33,CHOOSE(ArtifactsInput!$N$33+1,30,36,42,48,54,60),0))+(IF(AND(ArtifactsInput!$M$35,Inputs!$B$4&lt;&gt;"Chapter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Inputs!$B$3&gt;=100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c r="T353" t="inlineStr"/>
      <c r="V353" t="inlineStr"/>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IF(B380=0,0,O354/B380)</f>
        <v/>
      </c>
      <c r="Q354" t="n">
        <v>0</v>
      </c>
      <c r="R354" t="n">
        <v>0</v>
      </c>
      <c r="S354">
        <f>IFERROR(O354/N354,0)</f>
        <v/>
      </c>
      <c r="T354" t="n">
        <v>0</v>
      </c>
      <c r="V354" t="n">
        <v>0</v>
      </c>
    </row>
    <row r="355">
      <c r="A355">
        <f>Skills!A14</f>
        <v/>
      </c>
      <c r="B355">
        <f>Skills!B14</f>
        <v/>
      </c>
      <c r="C355">
        <f>Inputs!$B$3&gt;=115</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IF(B380=0,0,O355/B380)</f>
        <v/>
      </c>
      <c r="Q355">
        <f>IFERROR(1/(IF(Inputs!$B$38="pvp",15,MAX(0.1,Skills!D14-IF(TRUE=TRUE,Inputs!$B$32,0)))*(1-IF(AND(ArtifactsInput!$M$27,Inputs!$B$4="Chapter Hunt"),CHOOSE(ArtifactsInput!$N$27+1,20,24,28,32,36,40),0)/100)),0)</f>
        <v/>
      </c>
      <c r="R355">
        <f>IF(AND(Inputs!$B$38&lt;&gt;"pvp",Inputs!$B$43&gt;0),IF(Inputs!$B$43&lt;=0,0,(INT(Inputs!$B$43/(IF(Inputs!$B$38="pvp",15,MAX(0.1,Skills!D14-IF(TRUE=TRUE,Inputs!$B$32,0)))*(1-IF(AND(ArtifactsInput!$M$27,Inputs!$B$4="Chapter Hunt"),CHOOSE(ArtifactsInput!$N$27+1,20,24,28,32,36,40),0)/100)))+1)),0)</f>
        <v/>
      </c>
      <c r="S355">
        <f>IFERROR(O355/N355,0)</f>
        <v/>
      </c>
      <c r="T355" t="n">
        <v>0</v>
      </c>
      <c r="V355" t="n">
        <v>0</v>
      </c>
    </row>
    <row r="356">
      <c r="A356">
        <f>Skills!A15</f>
        <v/>
      </c>
      <c r="B356">
        <f>Skills!B15</f>
        <v/>
      </c>
      <c r="C356">
        <f>Inputs!$B$3&gt;=125</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IF(B380=0,0,O356/B380)</f>
        <v/>
      </c>
      <c r="Q356">
        <f>IFERROR(1/(IF(Inputs!$B$38="pvp",15,MAX(0.1,Skills!D15-IF(TRUE=TRUE,Inputs!$B$32,0)))*(1-IF(AND(ArtifactsInput!$M$27,Inputs!$B$4="Chapter Hunt"),CHOOSE(ArtifactsInput!$N$27+1,20,24,28,32,36,40),0)/100)),0)</f>
        <v/>
      </c>
      <c r="R356">
        <f>IF(AND(Inputs!$B$38&lt;&gt;"pvp",Inputs!$B$43&gt;0),IF(Inputs!$B$43&lt;=0,0,(INT(Inputs!$B$43/(IF(Inputs!$B$38="pvp",15,MAX(0.1,Skills!D15-IF(TRUE=TRUE,Inputs!$B$32,0)))*(1-IF(AND(ArtifactsInput!$M$27,Inputs!$B$4="Chapter Hunt"),CHOOSE(ArtifactsInput!$N$27+1,20,24,28,32,36,40),0)/100)))+1)),0)</f>
        <v/>
      </c>
      <c r="S356">
        <f>IFERROR(O356/N356,0)</f>
        <v/>
      </c>
      <c r="T356" t="n">
        <v>0</v>
      </c>
      <c r="V356" t="n">
        <v>0</v>
      </c>
    </row>
    <row r="357">
      <c r="A357">
        <f>Skills!A16</f>
        <v/>
      </c>
      <c r="B357">
        <f>Skills!B16</f>
        <v/>
      </c>
      <c r="C357">
        <f>Inputs!$B$3&gt;=10</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Skills!A17</f>
        <v/>
      </c>
      <c r="B358">
        <f>Skills!B17</f>
        <v/>
      </c>
      <c r="C358">
        <f>Inputs!$B$3&gt;=15</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IF(B380=0,0,O358/B380)</f>
        <v/>
      </c>
      <c r="Q358" t="n">
        <v>0</v>
      </c>
      <c r="R358" t="n">
        <v>0</v>
      </c>
      <c r="S358">
        <f>IFERROR(O358/N358,0)</f>
        <v/>
      </c>
      <c r="T358" t="n">
        <v>0</v>
      </c>
      <c r="V358" t="n">
        <v>0</v>
      </c>
    </row>
    <row r="359">
      <c r="A359">
        <f>Skills!A18</f>
        <v/>
      </c>
      <c r="B359">
        <f>Skills!B18</f>
        <v/>
      </c>
      <c r="C359">
        <f>Inputs!$B$3&gt;=33</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IF(B380=0,0,O359/B380)</f>
        <v/>
      </c>
      <c r="Q359" t="n">
        <v>0</v>
      </c>
      <c r="R359" t="n">
        <v>0</v>
      </c>
      <c r="S359">
        <f>IFERROR(O359/N359,0)</f>
        <v/>
      </c>
      <c r="T359" t="n">
        <v>0</v>
      </c>
      <c r="V359" t="n">
        <v>0</v>
      </c>
    </row>
    <row r="360">
      <c r="A360">
        <f>Skills!A19</f>
        <v/>
      </c>
      <c r="B360">
        <f>Skills!B19</f>
        <v/>
      </c>
      <c r="C360">
        <f>Inputs!$B$3&gt;=40</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Skills!A20</f>
        <v/>
      </c>
      <c r="B361">
        <f>Skills!B20</f>
        <v/>
      </c>
      <c r="C361">
        <f>Inputs!$B$3&gt;=43</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Skills!A21</f>
        <v/>
      </c>
      <c r="B362">
        <f>Skills!B21</f>
        <v/>
      </c>
      <c r="C362">
        <f>Inputs!$B$3&gt;=38</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Skills!A22</f>
        <v/>
      </c>
      <c r="B363">
        <f>Skills!B22</f>
        <v/>
      </c>
      <c r="C363">
        <f>Inputs!$B$3&gt;=75</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Skills!A23</f>
        <v/>
      </c>
      <c r="B364">
        <f>Skills!B23</f>
        <v/>
      </c>
      <c r="C364">
        <f>TRUE</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IF(B380=0,0,O364/B380)</f>
        <v/>
      </c>
      <c r="Q364">
        <f>IFERROR(1/(IF(Inputs!$B$38="pvp",15,MAX(0.1,Skills!D23-IF(TRUE=TRUE,Inputs!$B$32,0)))*(1-IF(AND(ArtifactsInput!$M$27,Inputs!$B$4="Chapter Hunt"),CHOOSE(ArtifactsInput!$N$27+1,20,24,28,32,36,40),0)/100)),0)</f>
        <v/>
      </c>
      <c r="R364">
        <f>IF(AND(Inputs!$B$38&lt;&gt;"pvp",Inputs!$B$43&gt;0),IF(Inputs!$B$43&lt;=0,0,(INT(Inputs!$B$43/(IF(Inputs!$B$38="pvp",15,MAX(0.1,Skills!D23-IF(TRUE=TRUE,Inputs!$B$32,0)))*(1-IF(AND(ArtifactsInput!$M$27,Inputs!$B$4="Chapter Hunt"),CHOOSE(ArtifactsInput!$N$27+1,20,24,28,32,36,40),0)/100)))+1)),0)</f>
        <v/>
      </c>
      <c r="S364">
        <f>IFERROR(O364/N364,0)</f>
        <v/>
      </c>
      <c r="T364" t="n">
        <v>0</v>
      </c>
      <c r="V364" t="n">
        <v>0</v>
      </c>
    </row>
    <row r="365">
      <c r="A365">
        <f>Skills!A24</f>
        <v/>
      </c>
      <c r="B365">
        <f>Skills!B24</f>
        <v/>
      </c>
      <c r="C365">
        <f>Inputs!$B$3&gt;=107</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IF(B380=0,0,O365/B380)</f>
        <v/>
      </c>
      <c r="Q365">
        <f>IFERROR(1/(IF(Inputs!$B$38="pvp",15,MAX(0.1,Skills!D24-IF(TRUE=TRUE,Inputs!$B$32,0)))*(1-IF(AND(ArtifactsInput!$M$27,Inputs!$B$4="Chapter Hunt"),CHOOSE(ArtifactsInput!$N$27+1,20,24,28,32,36,40),0)/100)),0)</f>
        <v/>
      </c>
      <c r="R365">
        <f>IF(AND(Inputs!$B$38&lt;&gt;"pvp",Inputs!$B$43&gt;0),IF(Inputs!$B$43&lt;=0,0,(INT(Inputs!$B$43/(IF(Inputs!$B$38="pvp",15,MAX(0.1,Skills!D24-IF(TRUE=TRUE,Inputs!$B$32,0)))*(1-IF(AND(ArtifactsInput!$M$27,Inputs!$B$4="Chapter Hunt"),CHOOSE(ArtifactsInput!$N$27+1,20,24,28,32,36,40),0)/100)))+1)),0)</f>
        <v/>
      </c>
      <c r="S365">
        <f>IFERROR(O365/N365,0)</f>
        <v/>
      </c>
      <c r="T365" t="n">
        <v>0</v>
      </c>
      <c r="V365" t="n">
        <v>0</v>
      </c>
    </row>
    <row r="366">
      <c r="A366">
        <f>Skills!A25</f>
        <v/>
      </c>
      <c r="B366">
        <f>Skills!B25</f>
        <v/>
      </c>
      <c r="C366">
        <f>Inputs!$B$3&gt;=110</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Skills!A26</f>
        <v/>
      </c>
      <c r="B367">
        <f>Skills!B26</f>
        <v/>
      </c>
      <c r="C367">
        <f>Inputs!$B$3&gt;=117</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t="inlineStr"/>
      <c r="H367" t="inlineStr"/>
      <c r="I367" t="inlineStr">
        <is>
          <t>1</t>
        </is>
      </c>
      <c r="J367" t="inlineStr"/>
      <c r="K367" t="inlineStr"/>
      <c r="L367" t="inlineStr"/>
      <c r="M367" t="inlineStr"/>
      <c r="N367" t="inlineStr"/>
      <c r="O367" t="inlineStr"/>
      <c r="P367" t="inlineStr"/>
      <c r="Q367" t="inlineStr"/>
      <c r="R367" t="inlineStr"/>
      <c r="S367" t="inlineStr"/>
      <c r="T367" t="inlineStr"/>
      <c r="V367" t="inlineStr"/>
    </row>
    <row r="369">
      <c r="A369" t="inlineStr">
        <is>
          <t>Attack% Bucket Multiplier</t>
        </is>
      </c>
      <c r="B369">
        <f>(1+(((C354=TRUE)*F354*5/7)+((C360=TRUE)*(F360-Calc!F19))+(IF(ArtifactsInput!$M$21,CHOOSE(ArtifactsInput!$N$21+1,25,30,35,40,45,50)*(IF(OR(Inputs!$B$4="Chapter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 Speed Infusion, duty-cycle averaged)</t>
        </is>
      </c>
      <c r="B371">
        <f>((C364=TRUE)*F364*IF(AND(Inputs!$B$38&lt;&gt;"pvp",Inputs!$B$43&gt;0),(((R364-1)*MIN((Skills!T23*(1+Inputs!$B$34/100)),(1/Q364))+MIN((Skills!T23*(1+Inputs!$B$34/100)),MAX(0,Inputs!$B$43-((R364-1)*(1/Q364)))))/Inputs!$B$43),IF(Inputs!$B$38="pvp",MIN((Skills!T23*(1+Inputs!$B$34/100)),15)/15,MIN(1,(Skills!T23*(1+Inputs!$B$34/100))/(1/Q364)))))+((C365=TRUE)*F365*IF(AND(Inputs!$B$38&lt;&gt;"pvp",Inputs!$B$43&gt;0),(((R365-1)*MIN((Skills!T24*(1+Inputs!$B$34/100)),(1/Q365))+MIN((Skills!T24*(1+Inputs!$B$34/100)),MAX(0,Inputs!$B$43-((R365-1)*(1/Q365)))))/Inputs!$B$43),IF(Inputs!$B$38="pvp",MIN((Skills!T24*(1+Inputs!$B$34/100)),15)/15,MIN(1,(Skills!T24*(1+Inputs!$B$34/100))/(1/Q365)))))</f>
        <v/>
      </c>
    </row>
    <row r="372">
      <c r="A372" t="inlineStr">
        <is>
          <t>Actions Per Second</t>
        </is>
      </c>
      <c r="B372">
        <f>1+MIN(150,150*(1-(1-(Inputs!$B$11+((C358=TRUE)*(F358-Calc!F17))+((C359=TRUE)*(F359-Calc!F18)))/150)*(1-B371/150)))/100</f>
        <v/>
      </c>
    </row>
    <row r="373">
      <c r="A373" t="inlineStr">
        <is>
          <t>Skill + Buff Cast Rate</t>
        </is>
      </c>
      <c r="B373">
        <f>IF(AND(Inputs!$B$38&lt;&gt;"pvp",Inputs!$B$43&gt;0),SUMPRODUCT((Skills!E2:E26=TRUE)*(C343:C367=TRUE)*R343:R367*Skills!F2:F26)/Inputs!$B$43,SUMPRODUCT((Skills!E2:E26=TRUE)*(C343:C367=TRUE)*Q343:Q367*Skills!F2:F26))</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346=TRUE)*(F346*B382+4*(1-B382)))+((C355=TRUE)*F355*IF(AND(Inputs!$B$38&lt;&gt;"pvp",Inputs!$B$43&gt;0),(((R355-1)*MIN((Skills!T14*(1+Inputs!$B$34/100)),(1/Q355))+MIN((Skills!T14*(1+Inputs!$B$34/100)),MAX(0,Inputs!$B$43-((R355-1)*(1/Q355)))))/Inputs!$B$43),IF(Inputs!$B$38="pvp",MIN((Skills!T14*(1+Inputs!$B$34/100)),15)/15,MIN(1,(Skills!T14*(1+Inputs!$B$34/100))/(1/Q355)))))+((C356=TRUE)*F356*IF(AND(Inputs!$B$38&lt;&gt;"pvp",Inputs!$B$43&gt;0),(((R356-1)*MIN((Skills!T15*(1+Inputs!$B$34/100)),(1/Q356))+MIN((Skills!T15*(1+Inputs!$B$34/100)),MAX(0,Inputs!$B$43-((R356-1)*(1/Q356)))))/Inputs!$B$43),IF(Inputs!$B$38="pvp",MIN((Skills!T15*(1+Inputs!$B$34/100)),15)/15,MIN(1,(Skills!T15*(1+Inputs!$B$34/100))/(1/Q356)))))+((C365=TRUE)*20*((1+MIN(150,150*(1-(1-(Inputs!$B$11+((C358=TRUE)*(F358-Calc!F17))+((C359=TRUE)*(F359-Calc!F18)))/150)*(1-(((C364=TRUE)*F364*IF(AND(Inputs!$B$38&lt;&gt;"pvp",Inputs!$B$43&gt;0),(((R364-1)*MIN((Skills!T23*(1+Inputs!$B$34/100)),(1/Q364))+MIN((Skills!T23*(1+Inputs!$B$34/100)),MAX(0,Inputs!$B$43-((R364-1)*(1/Q364)))))/Inputs!$B$43),IF(Inputs!$B$38="pvp",MIN((Skills!T23*(1+Inputs!$B$34/100)),15)/15,MIN(1,(Skills!T23*(1+Inputs!$B$34/100))/(1/Q364)))))+F365)/150)))/100)-1)*IF(AND(Inputs!$B$38&lt;&gt;"pvp",Inputs!$B$43&gt;0),(((R365-1)*MIN((Skills!T24*(1+Inputs!$B$34/100)),(1/Q365))+MIN((Skills!T24*(1+Inputs!$B$34/100)),MAX(0,Inputs!$B$43-((R365-1)*(1/Q365)))))/Inputs!$B$43),IF(Inputs!$B$38="pvp",MIN((Skills!T24*(1+Inputs!$B$34/100)),15)/15,MIN(1,(Skills!T24*(1+Inputs!$B$34/100))/(1/Q365)))))</f>
        <v/>
      </c>
    </row>
    <row r="377">
      <c r="A377" t="inlineStr">
        <is>
          <t>Buff-Casting Startup Delay (s, fixed-duration only)</t>
        </is>
      </c>
      <c r="B377">
        <f>IF(AND(Inputs!$B$38&lt;&gt;"pvp",Inputs!$B$43&gt;0),SUMPRODUCT((Skills!T2:T26&gt;0)*(Skills!E2:E26=TRUE)*(C343:C367=TRUE))/B372,0)</f>
        <v/>
      </c>
    </row>
    <row r="378">
      <c r="A378" t="inlineStr">
        <is>
          <t>Boss-Only Total DPS (this block's swept value)</t>
        </is>
      </c>
      <c r="B378">
        <f>SUM(T343:T367)</f>
        <v/>
      </c>
    </row>
    <row r="379">
      <c r="A379" t="inlineStr">
        <is>
          <t>Normal-Only Total DPS (this block's swept value)</t>
        </is>
      </c>
      <c r="B379">
        <f>SUM(V343:V367)</f>
        <v/>
      </c>
    </row>
    <row r="380">
      <c r="A380" s="6" t="inlineStr">
        <is>
          <t>TOTAL DPS</t>
        </is>
      </c>
      <c r="B380" s="6">
        <f>SUM(O343:O367)</f>
        <v/>
      </c>
    </row>
    <row r="381">
      <c r="A381" t="inlineStr">
        <is>
          <t>Serpent activation interval T (this block's own Hook Bomber rate)</t>
        </is>
      </c>
      <c r="B381">
        <f>((1/Q344)+IFERROR(0.5/B374,0))</f>
        <v/>
      </c>
    </row>
    <row r="382">
      <c r="A382" t="inlineStr">
        <is>
          <t>Assault Mode uptime u (this block)</t>
        </is>
      </c>
      <c r="B382">
        <f>IF(C346=TRUE,(10+IF(Inputs!$B$3&gt;=94,5,0))/((10+IF(Inputs!$B$3&gt;=94,5,0))+IF(Inputs!$B$3&gt;=104,3,5)*B381),0)</f>
        <v/>
      </c>
    </row>
    <row r="383">
      <c r="A383" t="inlineStr">
        <is>
          <t>Nautilus Strike - Final Attack trigger rate (this block's own Q/R)</t>
        </is>
      </c>
      <c r="B383">
        <f>IF(AND(Inputs!$B$38&lt;&gt;"pvp",Inputs!$B$43&gt;0),(((C347=TRUE)*R347)+((C348=TRUE)*R348)+((C351=TRUE)*R351))/Inputs!$B$43,((C347=TRUE)*Q347)+((C348=TRUE)*Q348)+((C351=TRUE)*Q351))+B374</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406=TRUE)*(F406-Calc!F20)),(Inputs!$B$23+0+(IF(ArtifactsInput!$M$15,CHOOSE(ArtifactsInput!$N$15+1,25,30,35,40,45,50)/100*(Inputs!$B$11-Inputs!$B$11),0))))/100+(Inputs!$B$23+0+(IF(ArtifactsInput!$M$15,CHOOSE(ArtifactsInput!$N$15+1,25,30,35,40,45,50)/100*(Inputs!$B$11-Inputs!$B$11),0)))/100)/2</f>
        <v/>
      </c>
      <c r="M388">
        <f>L388*(1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IF(B425=0,0,O388/B425)</f>
        <v/>
      </c>
      <c r="Q388" t="n">
        <v>0</v>
      </c>
      <c r="R388" t="n">
        <v>0</v>
      </c>
      <c r="S388">
        <f>IFERROR(O388/N388,0)</f>
        <v/>
      </c>
      <c r="T388">
        <f>IF(C388,(Skills!G2*N388*B419)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IF(C388,(Skills!G2*N388*B419)*IF(Inputs!$B$38="pvp",1,(1+(Inputs!$B$21+Skills!Q2+(IF(ArtifactsInput!$M$33,CHOOSE(ArtifactsInput!$N$33+1,30,36,42,48,54,60),0))+(IF(AND(ArtifactsInput!$M$35,Inputs!$B$4&lt;&gt;"Chapter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Inputs!$B$3&gt;=35</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f>Skills!G3*IF(Skills!H3&gt;0,Skills!I3/Skills!H3,1)</f>
        <v/>
      </c>
      <c r="H389">
        <f>1-(1-Skills!J3/100)^Skills!K3</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411=TRUE,F411,0)/100)*(1+(IF(Skills!A3="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406=TRUE)*(F406-Calc!F20)),(Inputs!$B$23+0+(IF(ArtifactsInput!$M$15,CHOOSE(ArtifactsInput!$N$15+1,25,30,35,40,45,50)/100*(Inputs!$B$11-Inputs!$B$11),0))))/100+(Inputs!$B$23+0+(IF(ArtifactsInput!$M$15,CHOOSE(ArtifactsInput!$N$15+1,25,30,35,40,45,50)/100*(Inputs!$B$11-Inputs!$B$11),0)))/100)/2</f>
        <v/>
      </c>
      <c r="M389">
        <f>L389*(1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IF(B425=0,0,O389/B425)</f>
        <v/>
      </c>
      <c r="Q389">
        <f>IFERROR(1/(IF(Inputs!$B$38="pvp",15,MAX(0.1,Skills!D3-IF(TRUE=TRUE,Inputs!$B$32,0)))*(1-IF(AND(ArtifactsInput!$M$27,Inputs!$B$4="Chapter Hunt"),CHOOSE(ArtifactsInput!$N$27+1,20,24,28,32,36,40),0)/100)),0)</f>
        <v/>
      </c>
      <c r="R389">
        <f>IF(AND(Inputs!$B$38&lt;&gt;"pvp",Inputs!$B$43&gt;0),IF(MAX(0,Inputs!$B$43-B422)&lt;=0,0,(INT(MAX(0,Inputs!$B$43-B422)/(IF(Inputs!$B$38="pvp",15,MAX(0.1,Skills!D3-IF(TRUE=TRUE,Inputs!$B$32,0)))*(1-IF(AND(ArtifactsInput!$M$27,Inputs!$B$4="Chapter Hunt"),CHOOSE(ArtifactsInput!$N$27+1,20,24,28,32,36,40),0)/100)))+1)),0)</f>
        <v/>
      </c>
      <c r="S389">
        <f>IFERROR(O389/N389,0)</f>
        <v/>
      </c>
      <c r="T389">
        <f>IF(C389,(Skills!G3*N389*IF(C390=TRUE,1-B427,1)/B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9">
        <f>INDEX(FactorTable!$B$2:$Y$301, MATCH(ROUND(MIN(300,MAX(1,U388)),0), FactorTable!$A$2:$A$301,0), 22)</f>
        <v/>
      </c>
      <c r="V389">
        <f>IF(C389,(Skills!G3*N389*IF(C390=TRUE,1-B427,1)/B426)*IF(Inputs!$B$38="pvp",1,(1+(Inputs!$B$21+Skills!Q3+(IF(ArtifactsInput!$M$33,CHOOSE(ArtifactsInput!$N$33+1,30,36,42,48,54,60),0))+(IF(AND(ArtifactsInput!$M$35,Inputs!$B$4&lt;&gt;"Chapter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Skills!A4</f>
        <v/>
      </c>
      <c r="B390">
        <f>Skills!B4</f>
        <v/>
      </c>
      <c r="C390">
        <f>Inputs!$B$3&gt;=69</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f>Skills!G4*IF(Skills!H4&gt;0,Skills!I4/Skills!H4,1)</f>
        <v/>
      </c>
      <c r="H390">
        <f>1-(1-Skills!J4/100)^Skills!K4</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398=TRUE,F398,0)/100)*(1+(IF(Skills!A4="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406=TRUE)*(F406-Calc!F20)),(Inputs!$B$23+0+(IF(ArtifactsInput!$M$15,CHOOSE(ArtifactsInput!$N$15+1,25,30,35,40,45,50)/100*(Inputs!$B$11-Inputs!$B$11),0))))/100+(Inputs!$B$23+0+(IF(ArtifactsInput!$M$15,CHOOSE(ArtifactsInput!$N$15+1,25,30,35,40,45,50)/100*(Inputs!$B$11-Inputs!$B$11),0)))/100)/2</f>
        <v/>
      </c>
      <c r="M390">
        <f>L390*(1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IF(B425=0,0,O390/B425)</f>
        <v/>
      </c>
      <c r="Q390" t="n">
        <v>0</v>
      </c>
      <c r="R390" t="n">
        <v>0</v>
      </c>
      <c r="S390">
        <f>IFERROR(O390/N390,0)</f>
        <v/>
      </c>
      <c r="T390">
        <f>IF(C390,(Skills!G4*N390*B427/B426)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0">
        <f>290*U389/1000</f>
        <v/>
      </c>
      <c r="V390">
        <f>IF(C390,(Skills!G4*N390*B427/B426)*IF(Inputs!$B$38="pvp",1,(1+(Inputs!$B$21+Skills!Q4+(IF(ArtifactsInput!$M$33,CHOOSE(ArtifactsInput!$N$33+1,30,36,42,48,54,60),0))+(IF(AND(ArtifactsInput!$M$35,Inputs!$B$4&lt;&gt;"Chapter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Skills!A5</f>
        <v/>
      </c>
      <c r="B391">
        <f>Skills!B5</f>
        <v/>
      </c>
      <c r="C391">
        <f>Inputs!$B$3&gt;=66</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t="inlineStr"/>
      <c r="K391" t="inlineStr"/>
      <c r="L391" t="inlineStr"/>
      <c r="M391" t="inlineStr"/>
      <c r="N391" t="inlineStr"/>
      <c r="O391">
        <f>(1-Summary!$B$11)*T391+Summary!$B$11*V391</f>
        <v/>
      </c>
      <c r="P391">
        <f>IF(B425=0,0,O391/B425)</f>
        <v/>
      </c>
      <c r="Q391" t="n">
        <v>0</v>
      </c>
      <c r="R391" t="n">
        <v>0</v>
      </c>
      <c r="S391">
        <f>IFERROR(O391/N391,0)</f>
        <v/>
      </c>
      <c r="T391" t="n">
        <v>0</v>
      </c>
      <c r="V391" t="n">
        <v>0</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398=TRUE,F398,0)/100)*(1+(IF(Skills!A6="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406=TRUE)*(F406-Calc!F20)),(Inputs!$B$23+0+(IF(ArtifactsInput!$M$15,CHOOSE(ArtifactsInput!$N$15+1,25,30,35,40,45,50)/100*(Inputs!$B$11-Inputs!$B$11),0))))/100+(Inputs!$B$23+0+(IF(ArtifactsInput!$M$15,CHOOSE(ArtifactsInput!$N$15+1,25,30,35,40,45,50)/100*(Inputs!$B$11-Inputs!$B$11),0)))/100)/2</f>
        <v/>
      </c>
      <c r="M392">
        <f>L392*(1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IF(B425=0,0,O392/B425)</f>
        <v/>
      </c>
      <c r="Q392">
        <f>IFERROR(1/(IF(Inputs!$B$38="pvp",15,MAX(0.1,Skills!D6-IF(TRUE=TRUE,Inputs!$B$32,0)))*(1-IF(AND(ArtifactsInput!$M$27,Inputs!$B$4="Chapter Hunt"),CHOOSE(ArtifactsInput!$N$27+1,20,24,28,32,36,40),0)/100)),0)</f>
        <v/>
      </c>
      <c r="R392">
        <f>IF(AND(Inputs!$B$38&lt;&gt;"pvp",Inputs!$B$43&gt;0),IF(MAX(0,Inputs!$B$43-B422)&lt;=0,0,(INT(MAX(0,Inputs!$B$43-B422)/(IF(Inputs!$B$38="pvp",15,MAX(0.1,Skills!D6-IF(TRUE=TRUE,Inputs!$B$32,0)))*(1-IF(AND(ArtifactsInput!$M$27,Inputs!$B$4="Chapter Hunt"),CHOOSE(ArtifactsInput!$N$27+1,20,24,28,32,36,40),0)/100)))+1)),0)</f>
        <v/>
      </c>
      <c r="S392">
        <f>IFERROR(O392/N392,0)</f>
        <v/>
      </c>
      <c r="T392">
        <f>IF(C392,(H392*N392*IF(AND(Inputs!$B$38&lt;&gt;"pvp",Inputs!$B$43&gt;0),((Skills!G6*((R392-1)*IF(Skills!H6&gt;0,Skills!I6/Skills!H6,1)+IF(Skills!H6&gt;0,MIN(Skills!I6,MAX(0,MAX(0,Inputs!$B$43-B422)-((R392-1)*(IF(Inputs!$B$38="pvp",15,MAX(0.1,Skills!D6-IF(TRUE=TRUE,Inputs!$B$32,0)))*(1-IF(AND(ArtifactsInput!$M$27,Inputs!$B$4="Chapter Hunt"),CHOOSE(ArtifactsInput!$N$27+1,20,24,28,32,36,40),0)/100)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422)-((R392-1)*(IF(Inputs!$B$38="pvp",15,MAX(0.1,Skills!D6-IF(TRUE=TRUE,Inputs!$B$32,0)))*(1-IF(AND(ArtifactsInput!$M$27,Inputs!$B$4="Chapter Hunt"),CHOOSE(ArtifactsInput!$N$27+1,20,24,28,32,36,40),0)/100)))))/Skills!H6,1)))/Inputs!$B$43),G392*Q392))*IF(Inputs!$B$38="pvp",1,(1+(Inputs!$B$21+Skills!Q6+(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Inputs!$B$3&gt;=103</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406=TRUE)*(F406-Calc!F20)),(Inputs!$B$23+0+(IF(ArtifactsInput!$M$15,CHOOSE(ArtifactsInput!$N$15+1,25,30,35,40,45,50)/100*(Inputs!$B$11-Inputs!$B$11),0))))/100+(Inputs!$B$23+0+(IF(ArtifactsInput!$M$15,CHOOSE(ArtifactsInput!$N$15+1,25,30,35,40,45,50)/100*(Inputs!$B$11-Inputs!$B$11),0)))/100)/2</f>
        <v/>
      </c>
      <c r="M393">
        <f>L393*(1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IF(B425=0,0,O393/B425)</f>
        <v/>
      </c>
      <c r="Q393">
        <f>IFERROR(1/(IF(Inputs!$B$38="pvp",15,MAX(0.1,Skills!D7-IF(TRUE=TRUE,Inputs!$B$32,0)))*(1-IF(AND(ArtifactsInput!$M$27,Inputs!$B$4="Chapter Hunt"),CHOOSE(ArtifactsInput!$N$27+1,20,24,28,32,36,40),0)/100)),0)</f>
        <v/>
      </c>
      <c r="R393">
        <f>IF(AND(Inputs!$B$38&lt;&gt;"pvp",Inputs!$B$43&gt;0),IF(MAX(0,Inputs!$B$43-B422)&lt;=0,0,(INT(MAX(0,Inputs!$B$43-B422)/(IF(Inputs!$B$38="pvp",15,MAX(0.1,Skills!D7-IF(TRUE=TRUE,Inputs!$B$32,0)))*(1-IF(AND(ArtifactsInput!$M$27,Inputs!$B$4="Chapter Hunt"),CHOOSE(ArtifactsInput!$N$27+1,20,24,28,32,36,40),0)/100)))+1)),0)</f>
        <v/>
      </c>
      <c r="S393">
        <f>IFERROR(O393/N393,0)</f>
        <v/>
      </c>
      <c r="T393">
        <f>IF(C393,(H393*N393*IF(AND(Inputs!$B$38&lt;&gt;"pvp",Inputs!$B$43&gt;0),((Skills!G7*((R393-1)*IF(Skills!H7&gt;0,Skills!I7/Skills!H7,1)+IF(Skills!H7&gt;0,MIN(Skills!I7,MAX(0,MAX(0,Inputs!$B$43-B422)-((R393-1)*(IF(Inputs!$B$38="pvp",15,MAX(0.1,Skills!D7-IF(TRUE=TRUE,Inputs!$B$32,0)))*(1-IF(AND(ArtifactsInput!$M$27,Inputs!$B$4="Chapter Hunt"),CHOOSE(ArtifactsInput!$N$27+1,20,24,28,32,36,40),0)/100)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422)-((R393-1)*(IF(Inputs!$B$38="pvp",15,MAX(0.1,Skills!D7-IF(TRUE=TRUE,Inputs!$B$32,0)))*(1-IF(AND(ArtifactsInput!$M$27,Inputs!$B$4="Chapter Hunt"),CHOOSE(ArtifactsInput!$N$27+1,20,24,28,32,36,40),0)/100)))))/Skills!H7,1)))/Inputs!$B$43),G393*Q393))*IF(Inputs!$B$38="pvp",1,(1+(Inputs!$B$21+Skills!Q7+(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Inputs!$B$3&gt;=117</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f>Skills!G8*IF(Skills!H8&gt;0,Skills!I8/Skills!H8,1)</f>
        <v/>
      </c>
      <c r="H394">
        <f>1-(1-Skills!J8/100)^Skills!K8</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C406=TRUE)*(F406-Calc!F20)),(Inputs!$B$23+0+(IF(ArtifactsInput!$M$15,CHOOSE(ArtifactsInput!$N$15+1,25,30,35,40,45,50)/100*(Inputs!$B$11-Inputs!$B$11),0))))/100+(Inputs!$B$23+0+(IF(ArtifactsInput!$M$15,CHOOSE(ArtifactsInput!$N$15+1,25,30,35,40,45,50)/100*(Inputs!$B$11-Inputs!$B$11),0)))/100)/2</f>
        <v/>
      </c>
      <c r="M394">
        <f>L394*(1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IF(B425=0,0,O394/B425)</f>
        <v/>
      </c>
      <c r="Q394">
        <f>IFERROR(1/(IF(Inputs!$B$38="pvp",15,MAX(0.1,Skills!D8-IF(TRUE=TRUE,Inputs!$B$32,0)))*(1-IF(AND(ArtifactsInput!$M$27,Inputs!$B$4="Chapter Hunt"),CHOOSE(ArtifactsInput!$N$27+1,20,24,28,32,36,40),0)/100)),0)</f>
        <v/>
      </c>
      <c r="R394">
        <f>IF(AND(Inputs!$B$38&lt;&gt;"pvp",Inputs!$B$43&gt;0),IF(MAX(0,Inputs!$B$43-B422)&lt;=0,0,(INT(MAX(0,Inputs!$B$43-B422)/(IF(Inputs!$B$38="pvp",15,MAX(0.1,Skills!D8-IF(TRUE=TRUE,Inputs!$B$32,0)))*(1-IF(AND(ArtifactsInput!$M$27,Inputs!$B$4="Chapter Hunt"),CHOOSE(ArtifactsInput!$N$27+1,20,24,28,32,36,40),0)/100)))+1)),0)</f>
        <v/>
      </c>
      <c r="S394">
        <f>IFERROR(O394/N394,0)</f>
        <v/>
      </c>
      <c r="T394">
        <f>IF(C394,(H394*N394*IF(AND(Inputs!$B$38&lt;&gt;"pvp",Inputs!$B$43&gt;0),((Skills!G8*((R394-1)*IF(Skills!H8&gt;0,Skills!I8/Skills!H8,1)+IF(Skills!H8&gt;0,MIN(Skills!I8,MAX(0,MAX(0,Inputs!$B$43-B422)-((R394-1)*(IF(Inputs!$B$38="pvp",15,MAX(0.1,Skills!D8-IF(TRUE=TRUE,Inputs!$B$32,0)))*(1-IF(AND(ArtifactsInput!$M$27,Inputs!$B$4="Chapter Hunt"),CHOOSE(ArtifactsInput!$N$27+1,20,24,28,32,36,40),0)/100)))))/Skills!H8,1)))/Inputs!$B$43),G394*Q394)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8*((R394-1)*IF(Skills!H8&gt;0,Skills!I8/Skills!H8,1)+IF(Skills!H8&gt;0,MIN(Skills!I8,MAX(0,MAX(0,Inputs!$B$43-B422)-((R394-1)*(IF(Inputs!$B$38="pvp",15,MAX(0.1,Skills!D8-IF(TRUE=TRUE,Inputs!$B$32,0)))*(1-IF(AND(ArtifactsInput!$M$27,Inputs!$B$4="Chapter Hunt"),CHOOSE(ArtifactsInput!$N$27+1,20,24,28,32,36,40),0)/100)))))/Skills!H8,1)))/Inputs!$B$43),G394*Q394))*IF(Inputs!$B$38="pvp",1,(1+(Inputs!$B$21+Skills!Q8+(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Skills!A9</f>
        <v/>
      </c>
      <c r="B395">
        <f>Skills!B9</f>
        <v/>
      </c>
      <c r="C395">
        <f>Inputs!$B$3&gt;=120</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B427</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406=TRUE)*(F406-Calc!F20)),(Inputs!$B$23+0+(IF(ArtifactsInput!$M$15,CHOOSE(ArtifactsInput!$N$15+1,25,30,35,40,45,50)/100*(Inputs!$B$11-Inputs!$B$11),0))))/100+(Inputs!$B$23+0+(IF(ArtifactsInput!$M$15,CHOOSE(ArtifactsInput!$N$15+1,25,30,35,40,45,50)/100*(Inputs!$B$11-Inputs!$B$11),0)))/100)/2</f>
        <v/>
      </c>
      <c r="M395">
        <f>L395*(1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IF(B425=0,0,O395/B425)</f>
        <v/>
      </c>
      <c r="Q395">
        <f>IFERROR(1/(IF(Inputs!$B$38="pvp",15,MAX(0.1,Skills!D9-IF(TRUE=TRUE,Inputs!$B$32,0)))*(1-IF(AND(ArtifactsInput!$M$27,Inputs!$B$4="Chapter Hunt"),CHOOSE(ArtifactsInput!$N$27+1,20,24,28,32,36,40),0)/100)),0)</f>
        <v/>
      </c>
      <c r="R395">
        <f>IF(AND(Inputs!$B$38&lt;&gt;"pvp",Inputs!$B$43&gt;0),IF(MAX(0,Inputs!$B$43-B422)&lt;=0,0,(INT(MAX(0,Inputs!$B$43-B422)/(IF(Inputs!$B$38="pvp",15,MAX(0.1,Skills!D9-IF(TRUE=TRUE,Inputs!$B$32,0)))*(1-IF(AND(ArtifactsInput!$M$27,Inputs!$B$4="Chapter Hunt"),CHOOSE(ArtifactsInput!$N$27+1,20,24,28,32,36,40),0)/100)))+1)),0)</f>
        <v/>
      </c>
      <c r="S395">
        <f>IFERROR(O395/N395,0)</f>
        <v/>
      </c>
      <c r="T395">
        <f>IF(C395,(H395*N395*IF(AND(Inputs!$B$38&lt;&gt;"pvp",Inputs!$B$43&gt;0),((Skills!G9*((R395-1)*IF(Skills!H9&gt;0,Skills!I9/Skills!H9,1)+IF(Skills!H9&gt;0,MIN(Skills!I9,MAX(0,MAX(0,Inputs!$B$43-B422)-((R395-1)*(IF(Inputs!$B$38="pvp",15,MAX(0.1,Skills!D9-IF(TRUE=TRUE,Inputs!$B$32,0)))*(1-IF(AND(ArtifactsInput!$M$27,Inputs!$B$4="Chapter Hunt"),CHOOSE(ArtifactsInput!$N$27+1,20,24,28,32,36,40),0)/100)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422)-((R395-1)*(IF(Inputs!$B$38="pvp",15,MAX(0.1,Skills!D9-IF(TRUE=TRUE,Inputs!$B$32,0)))*(1-IF(AND(ArtifactsInput!$M$27,Inputs!$B$4="Chapter Hunt"),CHOOSE(ArtifactsInput!$N$27+1,20,24,28,32,36,40),0)/100)))))/Skills!H9,1)))/Inputs!$B$43),G395*Q395))*IF(Inputs!$B$38="pvp",1,(1+(Inputs!$B$21+Skills!Q9+(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Inputs!$B$3&gt;=105</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406=TRUE)*(F406-Calc!F20)),(Inputs!$B$23+0+(IF(ArtifactsInput!$M$15,CHOOSE(ArtifactsInput!$N$15+1,25,30,35,40,45,50)/100*(Inputs!$B$11-Inputs!$B$11),0))))/100+(Inputs!$B$23+0+(IF(ArtifactsInput!$M$15,CHOOSE(ArtifactsInput!$N$15+1,25,30,35,40,45,50)/100*(Inputs!$B$11-Inputs!$B$11),0)))/100)/2</f>
        <v/>
      </c>
      <c r="M396">
        <f>L396*(1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IF(B425=0,0,O396/B425)</f>
        <v/>
      </c>
      <c r="Q396">
        <f>IFERROR(1/(IF(Inputs!$B$38="pvp",15,MAX(0.1,Skills!D10-IF(TRUE=TRUE,Inputs!$B$32,0)))*(1-IF(AND(ArtifactsInput!$M$27,Inputs!$B$4="Chapter Hunt"),CHOOSE(ArtifactsInput!$N$27+1,20,24,28,32,36,40),0)/100)),0)</f>
        <v/>
      </c>
      <c r="R396">
        <f>IF(AND(Inputs!$B$38&lt;&gt;"pvp",Inputs!$B$43&gt;0),IF(MAX(0,Inputs!$B$43-B422)&lt;=0,0,(INT(MAX(0,Inputs!$B$43-B422)/(IF(Inputs!$B$38="pvp",15,MAX(0.1,Skills!D10-IF(TRUE=TRUE,Inputs!$B$32,0)))*(1-IF(AND(ArtifactsInput!$M$27,Inputs!$B$4="Chapter Hunt"),CHOOSE(ArtifactsInput!$N$27+1,20,24,28,32,36,40),0)/100)))+1)),0)</f>
        <v/>
      </c>
      <c r="S396">
        <f>IFERROR(O396/N396,0)</f>
        <v/>
      </c>
      <c r="T396">
        <f>IF(C396,(H396*N396*IF(AND(Inputs!$B$38&lt;&gt;"pvp",Inputs!$B$43&gt;0),((Skills!G10*((R396-1)*IF(Skills!H10&gt;0,Skills!I10/Skills!H10,1)+IF(Skills!H10&gt;0,MIN(Skills!I10,MAX(0,MAX(0,Inputs!$B$43-B422)-((R396-1)*(IF(Inputs!$B$38="pvp",15,MAX(0.1,Skills!D10-IF(TRUE=TRUE,Inputs!$B$32,0)))*(1-IF(AND(ArtifactsInput!$M$27,Inputs!$B$4="Chapter Hunt"),CHOOSE(ArtifactsInput!$N$27+1,20,24,28,32,36,40),0)/100)))))/Skills!H10,1)))/Inputs!$B$43),G396*Q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10*((R396-1)*IF(Skills!H10&gt;0,Skills!I10/Skills!H10,1)+IF(Skills!H10&gt;0,MIN(Skills!I10,MAX(0,MAX(0,Inputs!$B$43-B422)-((R396-1)*(IF(Inputs!$B$38="pvp",15,MAX(0.1,Skills!D10-IF(TRUE=TRUE,Inputs!$B$32,0)))*(1-IF(AND(ArtifactsInput!$M$27,Inputs!$B$4="Chapter Hunt"),CHOOSE(ArtifactsInput!$N$27+1,20,24,28,32,36,40),0)/100)))))/Skills!H10,1)))/Inputs!$B$43),G396*Q396))*IF(Inputs!$B$38="pvp",1,(1+(Inputs!$B$21+Skills!Q10+(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Inputs!$B$3&gt;=113</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406=TRUE)*(F406-Calc!F20)),(Inputs!$B$23+0+(IF(ArtifactsInput!$M$15,CHOOSE(ArtifactsInput!$N$15+1,25,30,35,40,45,50)/100*(Inputs!$B$11-Inputs!$B$11),0))))/100+(Inputs!$B$23+0+(IF(ArtifactsInput!$M$15,CHOOSE(ArtifactsInput!$N$15+1,25,30,35,40,45,50)/100*(Inputs!$B$11-Inputs!$B$11),0)))/100)/2</f>
        <v/>
      </c>
      <c r="M397">
        <f>L397*(1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IF(B425=0,0,O397/B425)</f>
        <v/>
      </c>
      <c r="Q397" t="n">
        <v>0</v>
      </c>
      <c r="R397" t="n">
        <v>0</v>
      </c>
      <c r="S397">
        <f>IFERROR(O397/N397,0)</f>
        <v/>
      </c>
      <c r="T397">
        <f>IF(C397,((H397*B428)/(1+Skills!H11*H397*B428)*N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IF(C397,((H397*B428)/(1+Skills!H11*H397*B428)*N397)*IF(Inputs!$B$38="pvp",1,(1+(Inputs!$B$21+Skills!Q11+(IF(ArtifactsInput!$M$33,CHOOSE(ArtifactsInput!$N$33+1,30,36,42,48,54,60),0))+(IF(AND(ArtifactsInput!$M$35,Inputs!$B$4&lt;&gt;"Chapter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Inputs!$B$3&gt;=100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t="inlineStr"/>
      <c r="H398" t="inlineStr"/>
      <c r="I398" t="inlineStr">
        <is>
          <t>1</t>
        </is>
      </c>
      <c r="J398" t="inlineStr"/>
      <c r="K398" t="inlineStr"/>
      <c r="L398" t="inlineStr"/>
      <c r="M398" t="inlineStr"/>
      <c r="N398" t="inlineStr"/>
      <c r="O398" t="inlineStr"/>
      <c r="P398" t="inlineStr"/>
      <c r="Q398" t="inlineStr"/>
      <c r="R398" t="inlineStr"/>
      <c r="S398" t="inlineStr"/>
      <c r="T398" t="inlineStr"/>
      <c r="V398" t="inlineStr"/>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IF(B425=0,0,O399/B425)</f>
        <v/>
      </c>
      <c r="Q399" t="n">
        <v>0</v>
      </c>
      <c r="R399" t="n">
        <v>0</v>
      </c>
      <c r="S399">
        <f>IFERROR(O399/N399,0)</f>
        <v/>
      </c>
      <c r="T399" t="n">
        <v>0</v>
      </c>
      <c r="V399" t="n">
        <v>0</v>
      </c>
    </row>
    <row r="400">
      <c r="A400">
        <f>Skills!A14</f>
        <v/>
      </c>
      <c r="B400">
        <f>Skills!B14</f>
        <v/>
      </c>
      <c r="C400">
        <f>Inputs!$B$3&gt;=115</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IF(B425=0,0,O400/B425)</f>
        <v/>
      </c>
      <c r="Q400">
        <f>IFERROR(1/(IF(Inputs!$B$38="pvp",15,MAX(0.1,Skills!D14-IF(TRUE=TRUE,Inputs!$B$32,0)))*(1-IF(AND(ArtifactsInput!$M$27,Inputs!$B$4="Chapter Hunt"),CHOOSE(ArtifactsInput!$N$27+1,20,24,28,32,36,40),0)/100)),0)</f>
        <v/>
      </c>
      <c r="R400">
        <f>IF(AND(Inputs!$B$38&lt;&gt;"pvp",Inputs!$B$43&gt;0),IF(Inputs!$B$43&lt;=0,0,(INT(Inputs!$B$43/(IF(Inputs!$B$38="pvp",15,MAX(0.1,Skills!D14-IF(TRUE=TRUE,Inputs!$B$32,0)))*(1-IF(AND(ArtifactsInput!$M$27,Inputs!$B$4="Chapter Hunt"),CHOOSE(ArtifactsInput!$N$27+1,20,24,28,32,36,40),0)/100)))+1)),0)</f>
        <v/>
      </c>
      <c r="S400">
        <f>IFERROR(O400/N400,0)</f>
        <v/>
      </c>
      <c r="T400" t="n">
        <v>0</v>
      </c>
      <c r="V400" t="n">
        <v>0</v>
      </c>
    </row>
    <row r="401">
      <c r="A401">
        <f>Skills!A15</f>
        <v/>
      </c>
      <c r="B401">
        <f>Skills!B15</f>
        <v/>
      </c>
      <c r="C401">
        <f>Inputs!$B$3&gt;=125</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IF(B425=0,0,O401/B425)</f>
        <v/>
      </c>
      <c r="Q401">
        <f>IFERROR(1/(IF(Inputs!$B$38="pvp",15,MAX(0.1,Skills!D15-IF(TRUE=TRUE,Inputs!$B$32,0)))*(1-IF(AND(ArtifactsInput!$M$27,Inputs!$B$4="Chapter Hunt"),CHOOSE(ArtifactsInput!$N$27+1,20,24,28,32,36,40),0)/100)),0)</f>
        <v/>
      </c>
      <c r="R401">
        <f>IF(AND(Inputs!$B$38&lt;&gt;"pvp",Inputs!$B$43&gt;0),IF(Inputs!$B$43&lt;=0,0,(INT(Inputs!$B$43/(IF(Inputs!$B$38="pvp",15,MAX(0.1,Skills!D15-IF(TRUE=TRUE,Inputs!$B$32,0)))*(1-IF(AND(ArtifactsInput!$M$27,Inputs!$B$4="Chapter Hunt"),CHOOSE(ArtifactsInput!$N$27+1,20,24,28,32,36,40),0)/100)))+1)),0)</f>
        <v/>
      </c>
      <c r="S401">
        <f>IFERROR(O401/N401,0)</f>
        <v/>
      </c>
      <c r="T401" t="n">
        <v>0</v>
      </c>
      <c r="V401" t="n">
        <v>0</v>
      </c>
    </row>
    <row r="402">
      <c r="A402">
        <f>Skills!A16</f>
        <v/>
      </c>
      <c r="B402">
        <f>Skills!B16</f>
        <v/>
      </c>
      <c r="C402">
        <f>Inputs!$B$3&gt;=10</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IF(B425=0,0,O402/B425)</f>
        <v/>
      </c>
      <c r="Q402" t="n">
        <v>0</v>
      </c>
      <c r="R402" t="n">
        <v>0</v>
      </c>
      <c r="S402">
        <f>IFERROR(O402/N402,0)</f>
        <v/>
      </c>
      <c r="T402" t="n">
        <v>0</v>
      </c>
      <c r="V402" t="n">
        <v>0</v>
      </c>
    </row>
    <row r="403">
      <c r="A403">
        <f>Skills!A17</f>
        <v/>
      </c>
      <c r="B403">
        <f>Skills!B17</f>
        <v/>
      </c>
      <c r="C403">
        <f>Inputs!$B$3&gt;=15</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IF(B425=0,0,O403/B425)</f>
        <v/>
      </c>
      <c r="Q403" t="n">
        <v>0</v>
      </c>
      <c r="R403" t="n">
        <v>0</v>
      </c>
      <c r="S403">
        <f>IFERROR(O403/N403,0)</f>
        <v/>
      </c>
      <c r="T403" t="n">
        <v>0</v>
      </c>
      <c r="V403" t="n">
        <v>0</v>
      </c>
    </row>
    <row r="404">
      <c r="A404">
        <f>Skills!A18</f>
        <v/>
      </c>
      <c r="B404">
        <f>Skills!B18</f>
        <v/>
      </c>
      <c r="C404">
        <f>Inputs!$B$3&gt;=33</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IF(B425=0,0,O404/B425)</f>
        <v/>
      </c>
      <c r="Q404" t="n">
        <v>0</v>
      </c>
      <c r="R404" t="n">
        <v>0</v>
      </c>
      <c r="S404">
        <f>IFERROR(O404/N404,0)</f>
        <v/>
      </c>
      <c r="T404" t="n">
        <v>0</v>
      </c>
      <c r="V404" t="n">
        <v>0</v>
      </c>
    </row>
    <row r="405">
      <c r="A405">
        <f>Skills!A19</f>
        <v/>
      </c>
      <c r="B405">
        <f>Skills!B19</f>
        <v/>
      </c>
      <c r="C405">
        <f>Inputs!$B$3&gt;=40</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IF(B425=0,0,O405/B425)</f>
        <v/>
      </c>
      <c r="Q405" t="n">
        <v>0</v>
      </c>
      <c r="R405" t="n">
        <v>0</v>
      </c>
      <c r="S405">
        <f>IFERROR(O405/N405,0)</f>
        <v/>
      </c>
      <c r="T405" t="n">
        <v>0</v>
      </c>
      <c r="V405" t="n">
        <v>0</v>
      </c>
    </row>
    <row r="406">
      <c r="A406">
        <f>Skills!A20</f>
        <v/>
      </c>
      <c r="B406">
        <f>Skills!B20</f>
        <v/>
      </c>
      <c r="C406">
        <f>Inputs!$B$3&gt;=43</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IF(B425=0,0,O406/B425)</f>
        <v/>
      </c>
      <c r="Q406" t="n">
        <v>0</v>
      </c>
      <c r="R406" t="n">
        <v>0</v>
      </c>
      <c r="S406">
        <f>IFERROR(O406/N406,0)</f>
        <v/>
      </c>
      <c r="T406" t="n">
        <v>0</v>
      </c>
      <c r="V406" t="n">
        <v>0</v>
      </c>
    </row>
    <row r="407">
      <c r="A407">
        <f>Skills!A21</f>
        <v/>
      </c>
      <c r="B407">
        <f>Skills!B21</f>
        <v/>
      </c>
      <c r="C407">
        <f>Inputs!$B$3&gt;=38</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IF(B425=0,0,O407/B425)</f>
        <v/>
      </c>
      <c r="Q407" t="n">
        <v>0</v>
      </c>
      <c r="R407" t="n">
        <v>0</v>
      </c>
      <c r="S407">
        <f>IFERROR(O407/N407,0)</f>
        <v/>
      </c>
      <c r="T407" t="n">
        <v>0</v>
      </c>
      <c r="V407" t="n">
        <v>0</v>
      </c>
    </row>
    <row r="408">
      <c r="A408">
        <f>Skills!A22</f>
        <v/>
      </c>
      <c r="B408">
        <f>Skills!B22</f>
        <v/>
      </c>
      <c r="C408">
        <f>Inputs!$B$3&gt;=75</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IF(B425=0,0,O408/B425)</f>
        <v/>
      </c>
      <c r="Q408" t="n">
        <v>0</v>
      </c>
      <c r="R408" t="n">
        <v>0</v>
      </c>
      <c r="S408">
        <f>IFERROR(O408/N408,0)</f>
        <v/>
      </c>
      <c r="T408" t="n">
        <v>0</v>
      </c>
      <c r="V408" t="n">
        <v>0</v>
      </c>
    </row>
    <row r="409">
      <c r="A409">
        <f>Skills!A23</f>
        <v/>
      </c>
      <c r="B409">
        <f>Skills!B23</f>
        <v/>
      </c>
      <c r="C409">
        <f>TRUE</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IF(B425=0,0,O409/B425)</f>
        <v/>
      </c>
      <c r="Q409">
        <f>IFERROR(1/(IF(Inputs!$B$38="pvp",15,MAX(0.1,Skills!D23-IF(TRUE=TRUE,Inputs!$B$32,0)))*(1-IF(AND(ArtifactsInput!$M$27,Inputs!$B$4="Chapter Hunt"),CHOOSE(ArtifactsInput!$N$27+1,20,24,28,32,36,40),0)/100)),0)</f>
        <v/>
      </c>
      <c r="R409">
        <f>IF(AND(Inputs!$B$38&lt;&gt;"pvp",Inputs!$B$43&gt;0),IF(Inputs!$B$43&lt;=0,0,(INT(Inputs!$B$43/(IF(Inputs!$B$38="pvp",15,MAX(0.1,Skills!D23-IF(TRUE=TRUE,Inputs!$B$32,0)))*(1-IF(AND(ArtifactsInput!$M$27,Inputs!$B$4="Chapter Hunt"),CHOOSE(ArtifactsInput!$N$27+1,20,24,28,32,36,40),0)/100)))+1)),0)</f>
        <v/>
      </c>
      <c r="S409">
        <f>IFERROR(O409/N409,0)</f>
        <v/>
      </c>
      <c r="T409" t="n">
        <v>0</v>
      </c>
      <c r="V409" t="n">
        <v>0</v>
      </c>
    </row>
    <row r="410">
      <c r="A410">
        <f>Skills!A24</f>
        <v/>
      </c>
      <c r="B410">
        <f>Skills!B24</f>
        <v/>
      </c>
      <c r="C410">
        <f>Inputs!$B$3&gt;=107</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IF(B425=0,0,O410/B425)</f>
        <v/>
      </c>
      <c r="Q410">
        <f>IFERROR(1/(IF(Inputs!$B$38="pvp",15,MAX(0.1,Skills!D24-IF(TRUE=TRUE,Inputs!$B$32,0)))*(1-IF(AND(ArtifactsInput!$M$27,Inputs!$B$4="Chapter Hunt"),CHOOSE(ArtifactsInput!$N$27+1,20,24,28,32,36,40),0)/100)),0)</f>
        <v/>
      </c>
      <c r="R410">
        <f>IF(AND(Inputs!$B$38&lt;&gt;"pvp",Inputs!$B$43&gt;0),IF(Inputs!$B$43&lt;=0,0,(INT(Inputs!$B$43/(IF(Inputs!$B$38="pvp",15,MAX(0.1,Skills!D24-IF(TRUE=TRUE,Inputs!$B$32,0)))*(1-IF(AND(ArtifactsInput!$M$27,Inputs!$B$4="Chapter Hunt"),CHOOSE(ArtifactsInput!$N$27+1,20,24,28,32,36,40),0)/100)))+1)),0)</f>
        <v/>
      </c>
      <c r="S410">
        <f>IFERROR(O410/N410,0)</f>
        <v/>
      </c>
      <c r="T410" t="n">
        <v>0</v>
      </c>
      <c r="V410" t="n">
        <v>0</v>
      </c>
    </row>
    <row r="411">
      <c r="A411">
        <f>Skills!A25</f>
        <v/>
      </c>
      <c r="B411">
        <f>Skills!B25</f>
        <v/>
      </c>
      <c r="C411">
        <f>Inputs!$B$3&gt;=110</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Skills!A26</f>
        <v/>
      </c>
      <c r="B412">
        <f>Skills!B26</f>
        <v/>
      </c>
      <c r="C412">
        <f>Inputs!$B$3&gt;=117</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t="inlineStr"/>
      <c r="H412" t="inlineStr"/>
      <c r="I412" t="inlineStr">
        <is>
          <t>1</t>
        </is>
      </c>
      <c r="J412" t="inlineStr"/>
      <c r="K412" t="inlineStr"/>
      <c r="L412" t="inlineStr"/>
      <c r="M412" t="inlineStr"/>
      <c r="N412" t="inlineStr"/>
      <c r="O412" t="inlineStr"/>
      <c r="P412" t="inlineStr"/>
      <c r="Q412" t="inlineStr"/>
      <c r="R412" t="inlineStr"/>
      <c r="S412" t="inlineStr"/>
      <c r="T412" t="inlineStr"/>
      <c r="V412" t="inlineStr"/>
    </row>
    <row r="414">
      <c r="A414" t="inlineStr">
        <is>
          <t>Attack% Bucket Multiplier</t>
        </is>
      </c>
      <c r="B414">
        <f>(1+(((C399=TRUE)*F399*5/7)+((C405=TRUE)*(F405-Calc!F19))+(IF(ArtifactsInput!$M$21,CHOOSE(ArtifactsInput!$N$21+1,25,30,35,40,45,50)*(IF(OR(Inputs!$B$4="Chapter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5">
      <c r="A415" t="inlineStr">
        <is>
          <t>Global Crit Rate Bonus %</t>
        </is>
      </c>
      <c r="B415" t="n">
        <v>0</v>
      </c>
    </row>
    <row r="416">
      <c r="A416" t="inlineStr">
        <is>
          <t>Attack Speed Buff Bonus % (Nimble Feet + Speed Infusion, duty-cycle averaged)</t>
        </is>
      </c>
      <c r="B416">
        <f>((C409=TRUE)*F409*IF(AND(Inputs!$B$38&lt;&gt;"pvp",Inputs!$B$43&gt;0),(((R409-1)*MIN((Skills!T23*(1+Inputs!$B$34/100)),(1/Q409))+MIN((Skills!T23*(1+Inputs!$B$34/100)),MAX(0,Inputs!$B$43-((R409-1)*(1/Q409)))))/Inputs!$B$43),IF(Inputs!$B$38="pvp",MIN((Skills!T23*(1+Inputs!$B$34/100)),15)/15,MIN(1,(Skills!T23*(1+Inputs!$B$34/100))/(1/Q409)))))+((C410=TRUE)*F410*IF(AND(Inputs!$B$38&lt;&gt;"pvp",Inputs!$B$43&gt;0),(((R410-1)*MIN((Skills!T24*(1+Inputs!$B$34/100)),(1/Q410))+MIN((Skills!T24*(1+Inputs!$B$34/100)),MAX(0,Inputs!$B$43-((R410-1)*(1/Q410)))))/Inputs!$B$43),IF(Inputs!$B$38="pvp",MIN((Skills!T24*(1+Inputs!$B$34/100)),15)/15,MIN(1,(Skills!T24*(1+Inputs!$B$34/100))/(1/Q410)))))</f>
        <v/>
      </c>
    </row>
    <row r="417">
      <c r="A417" t="inlineStr">
        <is>
          <t>Actions Per Second</t>
        </is>
      </c>
      <c r="B417">
        <f>1+MIN(150,150*(1-(1-(Inputs!$B$11+((C403=TRUE)*(F403-Calc!F17))+((C404=TRUE)*(F404-Calc!F18)))/150)*(1-B416/150)))/100</f>
        <v/>
      </c>
    </row>
    <row r="418">
      <c r="A418" t="inlineStr">
        <is>
          <t>Skill + Buff Cast Rate</t>
        </is>
      </c>
      <c r="B418">
        <f>IF(AND(Inputs!$B$38&lt;&gt;"pvp",Inputs!$B$43&gt;0),SUMPRODUCT((Skills!E2:E26=TRUE)*(C388:C412=TRUE)*R388:R412*Skills!F2:F26)/Inputs!$B$43,SUMPRODUCT((Skills!E2:E26=TRUE)*(C388:C412=TRUE)*Q388:Q412*Skills!F2:F26))</f>
        <v/>
      </c>
    </row>
    <row r="419">
      <c r="A419" t="inlineStr">
        <is>
          <t>Hook Bomber Casts Per Second</t>
        </is>
      </c>
      <c r="B419">
        <f>MAX(0,B417-B418)</f>
        <v/>
      </c>
    </row>
    <row r="420">
      <c r="A420" t="inlineStr">
        <is>
          <t>Global Critical Damage Bonus % (unused)</t>
        </is>
      </c>
      <c r="B420" t="n">
        <v>0</v>
      </c>
    </row>
    <row r="421">
      <c r="A421" t="inlineStr">
        <is>
          <t>Global Final Damage Bonus % (Serpent Scale + Crossbones + Time Leap + Speed Infusion)</t>
        </is>
      </c>
      <c r="B421">
        <f>((C391=TRUE)*(F391*B427+4*(1-B427)))+((C400=TRUE)*F400*IF(AND(Inputs!$B$38&lt;&gt;"pvp",Inputs!$B$43&gt;0),(((R400-1)*MIN((Skills!T14*(1+Inputs!$B$34/100)),(1/Q400))+MIN((Skills!T14*(1+Inputs!$B$34/100)),MAX(0,Inputs!$B$43-((R400-1)*(1/Q400)))))/Inputs!$B$43),IF(Inputs!$B$38="pvp",MIN((Skills!T14*(1+Inputs!$B$34/100)),15)/15,MIN(1,(Skills!T14*(1+Inputs!$B$34/100))/(1/Q400)))))+((C401=TRUE)*F401*IF(AND(Inputs!$B$38&lt;&gt;"pvp",Inputs!$B$43&gt;0),(((R401-1)*MIN((Skills!T15*(1+Inputs!$B$34/100)),(1/Q401))+MIN((Skills!T15*(1+Inputs!$B$34/100)),MAX(0,Inputs!$B$43-((R401-1)*(1/Q401)))))/Inputs!$B$43),IF(Inputs!$B$38="pvp",MIN((Skills!T15*(1+Inputs!$B$34/100)),15)/15,MIN(1,(Skills!T15*(1+Inputs!$B$34/100))/(1/Q401)))))+((C410=TRUE)*20*((1+MIN(150,150*(1-(1-(Inputs!$B$11+((C403=TRUE)*(F403-Calc!F17))+((C404=TRUE)*(F404-Calc!F18)))/150)*(1-(((C409=TRUE)*F409*IF(AND(Inputs!$B$38&lt;&gt;"pvp",Inputs!$B$43&gt;0),(((R409-1)*MIN((Skills!T23*(1+Inputs!$B$34/100)),(1/Q409))+MIN((Skills!T23*(1+Inputs!$B$34/100)),MAX(0,Inputs!$B$43-((R409-1)*(1/Q409)))))/Inputs!$B$43),IF(Inputs!$B$38="pvp",MIN((Skills!T23*(1+Inputs!$B$34/100)),15)/15,MIN(1,(Skills!T23*(1+Inputs!$B$34/100))/(1/Q409)))))+F410)/150)))/100)-1)*IF(AND(Inputs!$B$38&lt;&gt;"pvp",Inputs!$B$43&gt;0),(((R410-1)*MIN((Skills!T24*(1+Inputs!$B$34/100)),(1/Q410))+MIN((Skills!T24*(1+Inputs!$B$34/100)),MAX(0,Inputs!$B$43-((R410-1)*(1/Q410)))))/Inputs!$B$43),IF(Inputs!$B$38="pvp",MIN((Skills!T24*(1+Inputs!$B$34/100)),15)/15,MIN(1,(Skills!T24*(1+Inputs!$B$34/100))/(1/Q410)))))</f>
        <v/>
      </c>
    </row>
    <row r="422">
      <c r="A422" t="inlineStr">
        <is>
          <t>Buff-Casting Startup Delay (s, fixed-duration only)</t>
        </is>
      </c>
      <c r="B422">
        <f>IF(AND(Inputs!$B$38&lt;&gt;"pvp",Inputs!$B$43&gt;0),SUMPRODUCT((Skills!T2:T26&gt;0)*(Skills!E2:E26=TRUE)*(C388:C412=TRUE))/B417,0)</f>
        <v/>
      </c>
    </row>
    <row r="423">
      <c r="A423" t="inlineStr">
        <is>
          <t>Boss-Only Total DPS (this block's swept value)</t>
        </is>
      </c>
      <c r="B423">
        <f>SUM(T388:T412)</f>
        <v/>
      </c>
    </row>
    <row r="424">
      <c r="A424" t="inlineStr">
        <is>
          <t>Normal-Only Total DPS (this block's swept value)</t>
        </is>
      </c>
      <c r="B424">
        <f>SUM(V388:V412)</f>
        <v/>
      </c>
    </row>
    <row r="425">
      <c r="A425" s="6" t="inlineStr">
        <is>
          <t>TOTAL DPS</t>
        </is>
      </c>
      <c r="B425" s="6">
        <f>SUM(O388:O412)</f>
        <v/>
      </c>
    </row>
    <row r="426">
      <c r="A426" t="inlineStr">
        <is>
          <t>Serpent activation interval T (this block's own Hook Bomber rate)</t>
        </is>
      </c>
      <c r="B426">
        <f>((1/Q389)+IFERROR(0.5/B419,0))</f>
        <v/>
      </c>
    </row>
    <row r="427">
      <c r="A427" t="inlineStr">
        <is>
          <t>Assault Mode uptime u (this block)</t>
        </is>
      </c>
      <c r="B427">
        <f>IF(C391=TRUE,(10+IF(Inputs!$B$3&gt;=94,5,0))/((10+IF(Inputs!$B$3&gt;=94,5,0))+IF(Inputs!$B$3&gt;=104,3,5)*B426),0)</f>
        <v/>
      </c>
    </row>
    <row r="428">
      <c r="A428" t="inlineStr">
        <is>
          <t>Nautilus Strike - Final Attack trigger rate (this block's own Q/R)</t>
        </is>
      </c>
      <c r="B428">
        <f>IF(AND(Inputs!$B$38&lt;&gt;"pvp",Inputs!$B$43&gt;0),(((C392=TRUE)*R392)+((C393=TRUE)*R393)+((C396=TRUE)*R396))/Inputs!$B$43,((C392=TRUE)*Q392)+((C393=TRUE)*Q393)+((C396=TRUE)*Q396))+B419</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451=TRUE)*(F451-Calc!F20)),(Inputs!$B$23+0+(IF(ArtifactsInput!$M$15,CHOOSE(ArtifactsInput!$N$15+1,25,30,35,40,45,50)/100*(Inputs!$B$11-Inputs!$B$11),0))))/100+(Inputs!$B$23+0+(IF(ArtifactsInput!$M$15,CHOOSE(ArtifactsInput!$N$15+1,25,30,35,40,45,50)/100*(Inputs!$B$11-Inputs!$B$11),0)))/100)/2</f>
        <v/>
      </c>
      <c r="M433">
        <f>L433*(1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IF(B470=0,0,O433/B470)</f>
        <v/>
      </c>
      <c r="Q433" t="n">
        <v>0</v>
      </c>
      <c r="R433" t="n">
        <v>0</v>
      </c>
      <c r="S433">
        <f>IFERROR(O433/N433,0)</f>
        <v/>
      </c>
      <c r="T433">
        <f>IF(C433,(Skills!G2*N433*B464)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IF(C433,(Skills!G2*N433*B464)*IF(Inputs!$B$38="pvp",1,(1+(Inputs!$B$21+Skills!Q2+(IF(ArtifactsInput!$M$33,CHOOSE(ArtifactsInput!$N$33+1,30,36,42,48,54,60),0))+(IF(AND(ArtifactsInput!$M$35,Inputs!$B$4&lt;&gt;"Chapter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Inputs!$B$3&gt;=35</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f>Skills!G3*IF(Skills!H3&gt;0,Skills!I3/Skills!H3,1)</f>
        <v/>
      </c>
      <c r="H434">
        <f>1-(1-Skills!J3/100)^Skills!K3</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456=TRUE,F456,0)/100)*(1+(IF(Skills!A3="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451=TRUE)*(F451-Calc!F20)),(Inputs!$B$23+0+(IF(ArtifactsInput!$M$15,CHOOSE(ArtifactsInput!$N$15+1,25,30,35,40,45,50)/100*(Inputs!$B$11-Inputs!$B$11),0))))/100+(Inputs!$B$23+0+(IF(ArtifactsInput!$M$15,CHOOSE(ArtifactsInput!$N$15+1,25,30,35,40,45,50)/100*(Inputs!$B$11-Inputs!$B$11),0)))/100)/2</f>
        <v/>
      </c>
      <c r="M434">
        <f>L434*(1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IF(B470=0,0,O434/B470)</f>
        <v/>
      </c>
      <c r="Q434">
        <f>IFERROR(1/(IF(Inputs!$B$38="pvp",15,MAX(0.1,Skills!D3-IF(TRUE=TRUE,Inputs!$B$32,0)))*(1-IF(AND(ArtifactsInput!$M$27,Inputs!$B$4="Chapter Hunt"),CHOOSE(ArtifactsInput!$N$27+1,20,24,28,32,36,40),0)/100)),0)</f>
        <v/>
      </c>
      <c r="R434">
        <f>IF(AND(Inputs!$B$38&lt;&gt;"pvp",Inputs!$B$43&gt;0),IF(MAX(0,Inputs!$B$43-B467)&lt;=0,0,(INT(MAX(0,Inputs!$B$43-B467)/(IF(Inputs!$B$38="pvp",15,MAX(0.1,Skills!D3-IF(TRUE=TRUE,Inputs!$B$32,0)))*(1-IF(AND(ArtifactsInput!$M$27,Inputs!$B$4="Chapter Hunt"),CHOOSE(ArtifactsInput!$N$27+1,20,24,28,32,36,40),0)/100)))+1)),0)</f>
        <v/>
      </c>
      <c r="S434">
        <f>IFERROR(O434/N434,0)</f>
        <v/>
      </c>
      <c r="T434">
        <f>IF(C434,(Skills!G3*N434*IF(C435=TRUE,1-B472,1)/B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4">
        <f>INDEX(FactorTable!$B$2:$Y$301, MATCH(ROUND(MIN(300,MAX(1,U433)),0), FactorTable!$A$2:$A$301,0), 22)</f>
        <v/>
      </c>
      <c r="V434">
        <f>IF(C434,(Skills!G3*N434*IF(C435=TRUE,1-B472,1)/B471)*IF(Inputs!$B$38="pvp",1,(1+(Inputs!$B$21+Skills!Q3+(IF(ArtifactsInput!$M$33,CHOOSE(ArtifactsInput!$N$33+1,30,36,42,48,54,60),0))+(IF(AND(ArtifactsInput!$M$35,Inputs!$B$4&lt;&gt;"Chapter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Skills!A4</f>
        <v/>
      </c>
      <c r="B435">
        <f>Skills!B4</f>
        <v/>
      </c>
      <c r="C435">
        <f>Inputs!$B$3&gt;=69</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4="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451=TRUE)*(F451-Calc!F20)),(Inputs!$B$23+0+(IF(ArtifactsInput!$M$15,CHOOSE(ArtifactsInput!$N$15+1,25,30,35,40,45,50)/100*(Inputs!$B$11-Inputs!$B$11),0))))/100+(Inputs!$B$23+0+(IF(ArtifactsInput!$M$15,CHOOSE(ArtifactsInput!$N$15+1,25,30,35,40,45,50)/100*(Inputs!$B$11-Inputs!$B$11),0)))/100)/2</f>
        <v/>
      </c>
      <c r="M435">
        <f>L435*(1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IF(B470=0,0,O435/B470)</f>
        <v/>
      </c>
      <c r="Q435" t="n">
        <v>0</v>
      </c>
      <c r="R435" t="n">
        <v>0</v>
      </c>
      <c r="S435">
        <f>IFERROR(O435/N435,0)</f>
        <v/>
      </c>
      <c r="T435">
        <f>IF(C435,(Skills!G4*N435*B472/B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IF(C435,(Skills!G4*N435*B472/B471)*IF(Inputs!$B$38="pvp",1,(1+(Inputs!$B$21+Skills!Q4+(IF(ArtifactsInput!$M$33,CHOOSE(ArtifactsInput!$N$33+1,30,36,42,48,54,60),0))+(IF(AND(ArtifactsInput!$M$35,Inputs!$B$4&lt;&gt;"Chapter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t="inlineStr"/>
      <c r="K436" t="inlineStr"/>
      <c r="L436" t="inlineStr"/>
      <c r="M436" t="inlineStr"/>
      <c r="N436" t="inlineStr"/>
      <c r="O436">
        <f>(1-Summary!$B$11)*T436+Summary!$B$11*V436</f>
        <v/>
      </c>
      <c r="P436">
        <f>IF(B470=0,0,O436/B470)</f>
        <v/>
      </c>
      <c r="Q436" t="n">
        <v>0</v>
      </c>
      <c r="R436" t="n">
        <v>0</v>
      </c>
      <c r="S436">
        <f>IFERROR(O436/N436,0)</f>
        <v/>
      </c>
      <c r="T436" t="n">
        <v>0</v>
      </c>
      <c r="V436" t="n">
        <v>0</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443=TRUE,F443,0)/100)*(1+(IF(Skills!A6="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451=TRUE)*(F451-Calc!F20)),(Inputs!$B$23+0+(IF(ArtifactsInput!$M$15,CHOOSE(ArtifactsInput!$N$15+1,25,30,35,40,45,50)/100*(Inputs!$B$11-Inputs!$B$11),0))))/100+(Inputs!$B$23+0+(IF(ArtifactsInput!$M$15,CHOOSE(ArtifactsInput!$N$15+1,25,30,35,40,45,50)/100*(Inputs!$B$11-Inputs!$B$11),0)))/100)/2</f>
        <v/>
      </c>
      <c r="M437">
        <f>L437*(1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IF(B470=0,0,O437/B470)</f>
        <v/>
      </c>
      <c r="Q437">
        <f>IFERROR(1/(IF(Inputs!$B$38="pvp",15,MAX(0.1,Skills!D6-IF(TRUE=TRUE,Inputs!$B$32,0)))*(1-IF(AND(ArtifactsInput!$M$27,Inputs!$B$4="Chapter Hunt"),CHOOSE(ArtifactsInput!$N$27+1,20,24,28,32,36,40),0)/100)),0)</f>
        <v/>
      </c>
      <c r="R437">
        <f>IF(AND(Inputs!$B$38&lt;&gt;"pvp",Inputs!$B$43&gt;0),IF(MAX(0,Inputs!$B$43-B467)&lt;=0,0,(INT(MAX(0,Inputs!$B$43-B467)/(IF(Inputs!$B$38="pvp",15,MAX(0.1,Skills!D6-IF(TRUE=TRUE,Inputs!$B$32,0)))*(1-IF(AND(ArtifactsInput!$M$27,Inputs!$B$4="Chapter Hunt"),CHOOSE(ArtifactsInput!$N$27+1,20,24,28,32,36,40),0)/100)))+1)),0)</f>
        <v/>
      </c>
      <c r="S437">
        <f>IFERROR(O437/N437,0)</f>
        <v/>
      </c>
      <c r="T437">
        <f>IF(C437,(H437*N437*IF(AND(Inputs!$B$38&lt;&gt;"pvp",Inputs!$B$43&gt;0),((Skills!G6*((R437-1)*IF(Skills!H6&gt;0,Skills!I6/Skills!H6,1)+IF(Skills!H6&gt;0,MIN(Skills!I6,MAX(0,MAX(0,Inputs!$B$43-B467)-((R437-1)*(IF(Inputs!$B$38="pvp",15,MAX(0.1,Skills!D6-IF(TRUE=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467)-((R437-1)*(IF(Inputs!$B$38="pvp",15,MAX(0.1,Skills!D6-IF(TRUE=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Inputs!$B$3&gt;=103</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451=TRUE)*(F451-Calc!F20)),(Inputs!$B$23+0+(IF(ArtifactsInput!$M$15,CHOOSE(ArtifactsInput!$N$15+1,25,30,35,40,45,50)/100*(Inputs!$B$11-Inputs!$B$11),0))))/100+(Inputs!$B$23+0+(IF(ArtifactsInput!$M$15,CHOOSE(ArtifactsInput!$N$15+1,25,30,35,40,45,50)/100*(Inputs!$B$11-Inputs!$B$11),0)))/100)/2</f>
        <v/>
      </c>
      <c r="M438">
        <f>L438*(1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IF(B470=0,0,O438/B470)</f>
        <v/>
      </c>
      <c r="Q438">
        <f>IFERROR(1/(IF(Inputs!$B$38="pvp",15,MAX(0.1,Skills!D7-IF(TRUE=TRUE,Inputs!$B$32,0)))*(1-IF(AND(ArtifactsInput!$M$27,Inputs!$B$4="Chapter Hunt"),CHOOSE(ArtifactsInput!$N$27+1,20,24,28,32,36,40),0)/100)),0)</f>
        <v/>
      </c>
      <c r="R438">
        <f>IF(AND(Inputs!$B$38&lt;&gt;"pvp",Inputs!$B$43&gt;0),IF(MAX(0,Inputs!$B$43-B467)&lt;=0,0,(INT(MAX(0,Inputs!$B$43-B467)/(IF(Inputs!$B$38="pvp",15,MAX(0.1,Skills!D7-IF(TRUE=TRUE,Inputs!$B$32,0)))*(1-IF(AND(ArtifactsInput!$M$27,Inputs!$B$4="Chapter Hunt"),CHOOSE(ArtifactsInput!$N$27+1,20,24,28,32,36,40),0)/100)))+1)),0)</f>
        <v/>
      </c>
      <c r="S438">
        <f>IFERROR(O438/N438,0)</f>
        <v/>
      </c>
      <c r="T438">
        <f>IF(C438,(H438*N438*IF(AND(Inputs!$B$38&lt;&gt;"pvp",Inputs!$B$43&gt;0),((Skills!G7*((R438-1)*IF(Skills!H7&gt;0,Skills!I7/Skills!H7,1)+IF(Skills!H7&gt;0,MIN(Skills!I7,MAX(0,MAX(0,Inputs!$B$43-B467)-((R438-1)*(IF(Inputs!$B$38="pvp",15,MAX(0.1,Skills!D7-IF(TRUE=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467)-((R438-1)*(IF(Inputs!$B$38="pvp",15,MAX(0.1,Skills!D7-IF(TRUE=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Inputs!$B$3&gt;=117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+1)+((C451=TRUE)*(F451-Calc!F20)),(Inputs!$B$23+0+(IF(ArtifactsInput!$M$15,CHOOSE(ArtifactsInput!$N$15+1,25,30,35,40,45,50)/100*(Inputs!$B$11-Inputs!$B$11),0))))/100+(Inputs!$B$23+0+(IF(ArtifactsInput!$M$15,CHOOSE(ArtifactsInput!$N$15+1,25,30,35,40,45,50)/100*(Inputs!$B$11-Inputs!$B$11),0)))/100)/2</f>
        <v/>
      </c>
      <c r="M439">
        <f>L439*(1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IF(B470=0,0,O439/B470)</f>
        <v/>
      </c>
      <c r="Q439">
        <f>IFERROR(1/(IF(Inputs!$B$38="pvp",15,MAX(0.1,Skills!D8-IF(TRUE=TRUE,Inputs!$B$32,0)))*(1-IF(AND(ArtifactsInput!$M$27,Inputs!$B$4="Chapter Hunt"),CHOOSE(ArtifactsInput!$N$27+1,20,24,28,32,36,40),0)/100)),0)</f>
        <v/>
      </c>
      <c r="R439">
        <f>IF(AND(Inputs!$B$38&lt;&gt;"pvp",Inputs!$B$43&gt;0),IF(MAX(0,Inputs!$B$43-B467)&lt;=0,0,(INT(MAX(0,Inputs!$B$43-B467)/(IF(Inputs!$B$38="pvp",15,MAX(0.1,Skills!D8-IF(TRUE=TRUE,Inputs!$B$32,0)))*(1-IF(AND(ArtifactsInput!$M$27,Inputs!$B$4="Chapter Hunt"),CHOOSE(ArtifactsInput!$N$27+1,20,24,28,32,36,40),0)/100)))+1)),0)</f>
        <v/>
      </c>
      <c r="S439">
        <f>IFERROR(O439/N439,0)</f>
        <v/>
      </c>
      <c r="T439">
        <f>IF(C439,(H439*N439*IF(AND(Inputs!$B$38&lt;&gt;"pvp",Inputs!$B$43&gt;0),((Skills!G8*((R439-1)*IF(Skills!H8&gt;0,Skills!I8/Skills!H8,1)+IF(Skills!H8&gt;0,MIN(Skills!I8,MAX(0,MAX(0,Inputs!$B$43-B467)-((R439-1)*(IF(Inputs!$B$38="pvp",15,MAX(0.1,Skills!D8-IF(TRUE=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467)-((R439-1)*(IF(Inputs!$B$38="pvp",15,MAX(0.1,Skills!D8-IF(TRUE=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Inputs!$B$3&gt;=120</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B472</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451=TRUE)*(F451-Calc!F20)),(Inputs!$B$23+0+(IF(ArtifactsInput!$M$15,CHOOSE(ArtifactsInput!$N$15+1,25,30,35,40,45,50)/100*(Inputs!$B$11-Inputs!$B$11),0))))/100+(Inputs!$B$23+0+(IF(ArtifactsInput!$M$15,CHOOSE(ArtifactsInput!$N$15+1,25,30,35,40,45,50)/100*(Inputs!$B$11-Inputs!$B$11),0)))/100)/2</f>
        <v/>
      </c>
      <c r="M440">
        <f>L440*(1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IF(B470=0,0,O440/B470)</f>
        <v/>
      </c>
      <c r="Q440">
        <f>IFERROR(1/(IF(Inputs!$B$38="pvp",15,MAX(0.1,Skills!D9-IF(TRUE=TRUE,Inputs!$B$32,0)))*(1-IF(AND(ArtifactsInput!$M$27,Inputs!$B$4="Chapter Hunt"),CHOOSE(ArtifactsInput!$N$27+1,20,24,28,32,36,40),0)/100)),0)</f>
        <v/>
      </c>
      <c r="R440">
        <f>IF(AND(Inputs!$B$38&lt;&gt;"pvp",Inputs!$B$43&gt;0),IF(MAX(0,Inputs!$B$43-B467)&lt;=0,0,(INT(MAX(0,Inputs!$B$43-B467)/(IF(Inputs!$B$38="pvp",15,MAX(0.1,Skills!D9-IF(TRUE=TRUE,Inputs!$B$32,0)))*(1-IF(AND(ArtifactsInput!$M$27,Inputs!$B$4="Chapter Hunt"),CHOOSE(ArtifactsInput!$N$27+1,20,24,28,32,36,40),0)/100)))+1)),0)</f>
        <v/>
      </c>
      <c r="S440">
        <f>IFERROR(O440/N440,0)</f>
        <v/>
      </c>
      <c r="T440">
        <f>IF(C440,(H440*N440*IF(AND(Inputs!$B$38&lt;&gt;"pvp",Inputs!$B$43&gt;0),((Skills!G9*((R440-1)*IF(Skills!H9&gt;0,Skills!I9/Skills!H9,1)+IF(Skills!H9&gt;0,MIN(Skills!I9,MAX(0,MAX(0,Inputs!$B$43-B467)-((R440-1)*(IF(Inputs!$B$38="pvp",15,MAX(0.1,Skills!D9-IF(TRUE=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467)-((R440-1)*(IF(Inputs!$B$38="pvp",15,MAX(0.1,Skills!D9-IF(TRUE=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Inputs!$B$3&gt;=105</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451=TRUE)*(F451-Calc!F20)),(Inputs!$B$23+0+(IF(ArtifactsInput!$M$15,CHOOSE(ArtifactsInput!$N$15+1,25,30,35,40,45,50)/100*(Inputs!$B$11-Inputs!$B$11),0))))/100+(Inputs!$B$23+0+(IF(ArtifactsInput!$M$15,CHOOSE(ArtifactsInput!$N$15+1,25,30,35,40,45,50)/100*(Inputs!$B$11-Inputs!$B$11),0)))/100)/2</f>
        <v/>
      </c>
      <c r="M441">
        <f>L441*(1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IF(B470=0,0,O441/B470)</f>
        <v/>
      </c>
      <c r="Q441">
        <f>IFERROR(1/(IF(Inputs!$B$38="pvp",15,MAX(0.1,Skills!D10-IF(TRUE=TRUE,Inputs!$B$32,0)))*(1-IF(AND(ArtifactsInput!$M$27,Inputs!$B$4="Chapter Hunt"),CHOOSE(ArtifactsInput!$N$27+1,20,24,28,32,36,40),0)/100)),0)</f>
        <v/>
      </c>
      <c r="R441">
        <f>IF(AND(Inputs!$B$38&lt;&gt;"pvp",Inputs!$B$43&gt;0),IF(MAX(0,Inputs!$B$43-B467)&lt;=0,0,(INT(MAX(0,Inputs!$B$43-B467)/(IF(Inputs!$B$38="pvp",15,MAX(0.1,Skills!D10-IF(TRUE=TRUE,Inputs!$B$32,0)))*(1-IF(AND(ArtifactsInput!$M$27,Inputs!$B$4="Chapter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467)-((R441-1)*(IF(Inputs!$B$38="pvp",15,MAX(0.1,Skills!D10-IF(TRUE=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467)-((R441-1)*(IF(Inputs!$B$38="pvp",15,MAX(0.1,Skills!D10-IF(TRUE=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451=TRUE)*(F451-Calc!F20)),(Inputs!$B$23+0+(IF(ArtifactsInput!$M$15,CHOOSE(ArtifactsInput!$N$15+1,25,30,35,40,45,50)/100*(Inputs!$B$11-Inputs!$B$11),0))))/100+(Inputs!$B$23+0+(IF(ArtifactsInput!$M$15,CHOOSE(ArtifactsInput!$N$15+1,25,30,35,40,45,50)/100*(Inputs!$B$11-Inputs!$B$11),0)))/100)/2</f>
        <v/>
      </c>
      <c r="M442">
        <f>L442*(1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IF(B470=0,0,O442/B470)</f>
        <v/>
      </c>
      <c r="Q442" t="n">
        <v>0</v>
      </c>
      <c r="R442" t="n">
        <v>0</v>
      </c>
      <c r="S442">
        <f>IFERROR(O442/N442,0)</f>
        <v/>
      </c>
      <c r="T442">
        <f>IF(C442,((H442*B473)/(1+Skills!H11*H442*B473)*N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IF(C442,((H442*B473)/(1+Skills!H11*H442*B473)*N442)*IF(Inputs!$B$38="pvp",1,(1+(Inputs!$B$21+Skills!Q11+(IF(ArtifactsInput!$M$33,CHOOSE(ArtifactsInput!$N$33+1,30,36,42,48,54,60),0))+(IF(AND(ArtifactsInput!$M$35,Inputs!$B$4&lt;&gt;"Chapter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c r="T443" t="inlineStr"/>
      <c r="V443" t="inlineStr"/>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IF(B470=0,0,O444/B470)</f>
        <v/>
      </c>
      <c r="Q444" t="n">
        <v>0</v>
      </c>
      <c r="R444" t="n">
        <v>0</v>
      </c>
      <c r="S444">
        <f>IFERROR(O444/N444,0)</f>
        <v/>
      </c>
      <c r="T444" t="n">
        <v>0</v>
      </c>
      <c r="V444" t="n">
        <v>0</v>
      </c>
    </row>
    <row r="445">
      <c r="A445">
        <f>Skills!A14</f>
        <v/>
      </c>
      <c r="B445">
        <f>Skills!B14</f>
        <v/>
      </c>
      <c r="C445">
        <f>Inputs!$B$3&gt;=115</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IF(B470=0,0,O445/B470)</f>
        <v/>
      </c>
      <c r="Q445">
        <f>IFERROR(1/(IF(Inputs!$B$38="pvp",15,MAX(0.1,Skills!D14-IF(TRUE=TRUE,Inputs!$B$32,0)))*(1-IF(AND(ArtifactsInput!$M$27,Inputs!$B$4="Chapter Hunt"),CHOOSE(ArtifactsInput!$N$27+1,20,24,28,32,36,40),0)/100)),0)</f>
        <v/>
      </c>
      <c r="R445">
        <f>IF(AND(Inputs!$B$38&lt;&gt;"pvp",Inputs!$B$43&gt;0),IF(Inputs!$B$43&lt;=0,0,(INT(Inputs!$B$43/(IF(Inputs!$B$38="pvp",15,MAX(0.1,Skills!D14-IF(TRUE=TRUE,Inputs!$B$32,0)))*(1-IF(AND(ArtifactsInput!$M$27,Inputs!$B$4="Chapter Hunt"),CHOOSE(ArtifactsInput!$N$27+1,20,24,28,32,36,40),0)/100)))+1)),0)</f>
        <v/>
      </c>
      <c r="S445">
        <f>IFERROR(O445/N445,0)</f>
        <v/>
      </c>
      <c r="T445" t="n">
        <v>0</v>
      </c>
      <c r="V445" t="n">
        <v>0</v>
      </c>
    </row>
    <row r="446">
      <c r="A446">
        <f>Skills!A15</f>
        <v/>
      </c>
      <c r="B446">
        <f>Skills!B15</f>
        <v/>
      </c>
      <c r="C446">
        <f>Inputs!$B$3&gt;=125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IF(B470=0,0,O446/B470)</f>
        <v/>
      </c>
      <c r="Q446">
        <f>IFERROR(1/(IF(Inputs!$B$38="pvp",15,MAX(0.1,Skills!D15-IF(TRUE=TRUE,Inputs!$B$32,0)))*(1-IF(AND(ArtifactsInput!$M$27,Inputs!$B$4="Chapter Hunt"),CHOOSE(ArtifactsInput!$N$27+1,20,24,28,32,36,40),0)/100)),0)</f>
        <v/>
      </c>
      <c r="R446">
        <f>IF(AND(Inputs!$B$38&lt;&gt;"pvp",Inputs!$B$43&gt;0),IF(Inputs!$B$43&lt;=0,0,(INT(Inputs!$B$43/(IF(Inputs!$B$38="pvp",15,MAX(0.1,Skills!D15-IF(TRUE=TRUE,Inputs!$B$32,0)))*(1-IF(AND(ArtifactsInput!$M$27,Inputs!$B$4="Chapter Hunt"),CHOOSE(ArtifactsInput!$N$27+1,20,24,28,32,36,40),0)/100)))+1)),0)</f>
        <v/>
      </c>
      <c r="S446">
        <f>IFERROR(O446/N446,0)</f>
        <v/>
      </c>
      <c r="T446" t="n">
        <v>0</v>
      </c>
      <c r="V446" t="n">
        <v>0</v>
      </c>
    </row>
    <row r="447">
      <c r="A447">
        <f>Skills!A16</f>
        <v/>
      </c>
      <c r="B447">
        <f>Skills!B16</f>
        <v/>
      </c>
      <c r="C447">
        <f>Inputs!$B$3&gt;=10</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IF(B470=0,0,O447/B470)</f>
        <v/>
      </c>
      <c r="Q447" t="n">
        <v>0</v>
      </c>
      <c r="R447" t="n">
        <v>0</v>
      </c>
      <c r="S447">
        <f>IFERROR(O447/N447,0)</f>
        <v/>
      </c>
      <c r="T447" t="n">
        <v>0</v>
      </c>
      <c r="V447" t="n">
        <v>0</v>
      </c>
    </row>
    <row r="448">
      <c r="A448">
        <f>Skills!A17</f>
        <v/>
      </c>
      <c r="B448">
        <f>Skills!B17</f>
        <v/>
      </c>
      <c r="C448">
        <f>Inputs!$B$3&gt;=15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IF(B470=0,0,O448/B470)</f>
        <v/>
      </c>
      <c r="Q448" t="n">
        <v>0</v>
      </c>
      <c r="R448" t="n">
        <v>0</v>
      </c>
      <c r="S448">
        <f>IFERROR(O448/N448,0)</f>
        <v/>
      </c>
      <c r="T448" t="n">
        <v>0</v>
      </c>
      <c r="V448" t="n">
        <v>0</v>
      </c>
    </row>
    <row r="449">
      <c r="A449">
        <f>Skills!A18</f>
        <v/>
      </c>
      <c r="B449">
        <f>Skills!B18</f>
        <v/>
      </c>
      <c r="C449">
        <f>Inputs!$B$3&gt;=33</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IF(B470=0,0,O449/B470)</f>
        <v/>
      </c>
      <c r="Q449" t="n">
        <v>0</v>
      </c>
      <c r="R449" t="n">
        <v>0</v>
      </c>
      <c r="S449">
        <f>IFERROR(O449/N449,0)</f>
        <v/>
      </c>
      <c r="T449" t="n">
        <v>0</v>
      </c>
      <c r="V449" t="n">
        <v>0</v>
      </c>
    </row>
    <row r="450">
      <c r="A450">
        <f>Skills!A19</f>
        <v/>
      </c>
      <c r="B450">
        <f>Skills!B19</f>
        <v/>
      </c>
      <c r="C450">
        <f>Inputs!$B$3&gt;=40</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IF(B470=0,0,O450/B470)</f>
        <v/>
      </c>
      <c r="Q450" t="n">
        <v>0</v>
      </c>
      <c r="R450" t="n">
        <v>0</v>
      </c>
      <c r="S450">
        <f>IFERROR(O450/N450,0)</f>
        <v/>
      </c>
      <c r="T450" t="n">
        <v>0</v>
      </c>
      <c r="V450" t="n">
        <v>0</v>
      </c>
    </row>
    <row r="451">
      <c r="A451">
        <f>Skills!A20</f>
        <v/>
      </c>
      <c r="B451">
        <f>Skills!B20</f>
        <v/>
      </c>
      <c r="C451">
        <f>Inputs!$B$3&gt;=43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IF(B470=0,0,O451/B470)</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IF(B470=0,0,O452/B470)</f>
        <v/>
      </c>
      <c r="Q452" t="n">
        <v>0</v>
      </c>
      <c r="R452" t="n">
        <v>0</v>
      </c>
      <c r="S452">
        <f>IFERROR(O452/N452,0)</f>
        <v/>
      </c>
      <c r="T452" t="n">
        <v>0</v>
      </c>
      <c r="V452" t="n">
        <v>0</v>
      </c>
    </row>
    <row r="453">
      <c r="A453">
        <f>Skills!A22</f>
        <v/>
      </c>
      <c r="B453">
        <f>Skills!B22</f>
        <v/>
      </c>
      <c r="C453">
        <f>Inputs!$B$3&gt;=75</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IF(B470=0,0,O453/B470)</f>
        <v/>
      </c>
      <c r="Q453" t="n">
        <v>0</v>
      </c>
      <c r="R453" t="n">
        <v>0</v>
      </c>
      <c r="S453">
        <f>IFERROR(O453/N453,0)</f>
        <v/>
      </c>
      <c r="T453" t="n">
        <v>0</v>
      </c>
      <c r="V453" t="n">
        <v>0</v>
      </c>
    </row>
    <row r="454">
      <c r="A454">
        <f>Skills!A23</f>
        <v/>
      </c>
      <c r="B454">
        <f>Skills!B23</f>
        <v/>
      </c>
      <c r="C454">
        <f>TRUE</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IF(B470=0,0,O454/B470)</f>
        <v/>
      </c>
      <c r="Q454">
        <f>IFERROR(1/(IF(Inputs!$B$38="pvp",15,MAX(0.1,Skills!D23-IF(TRUE=TRUE,Inputs!$B$32,0)))*(1-IF(AND(ArtifactsInput!$M$27,Inputs!$B$4="Chapter Hunt"),CHOOSE(ArtifactsInput!$N$27+1,20,24,28,32,36,40),0)/100)),0)</f>
        <v/>
      </c>
      <c r="R454">
        <f>IF(AND(Inputs!$B$38&lt;&gt;"pvp",Inputs!$B$43&gt;0),IF(Inputs!$B$43&lt;=0,0,(INT(Inputs!$B$43/(IF(Inputs!$B$38="pvp",15,MAX(0.1,Skills!D23-IF(TRUE=TRUE,Inputs!$B$32,0)))*(1-IF(AND(ArtifactsInput!$M$27,Inputs!$B$4="Chapter Hunt"),CHOOSE(ArtifactsInput!$N$27+1,20,24,28,32,36,40),0)/100)))+1)),0)</f>
        <v/>
      </c>
      <c r="S454">
        <f>IFERROR(O454/N454,0)</f>
        <v/>
      </c>
      <c r="T454" t="n">
        <v>0</v>
      </c>
      <c r="V454" t="n">
        <v>0</v>
      </c>
    </row>
    <row r="455">
      <c r="A455">
        <f>Skills!A24</f>
        <v/>
      </c>
      <c r="B455">
        <f>Skills!B24</f>
        <v/>
      </c>
      <c r="C455">
        <f>Inputs!$B$3&gt;=107</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IF(B470=0,0,O455/B470)</f>
        <v/>
      </c>
      <c r="Q455">
        <f>IFERROR(1/(IF(Inputs!$B$38="pvp",15,MAX(0.1,Skills!D24-IF(TRUE=TRUE,Inputs!$B$32,0)))*(1-IF(AND(ArtifactsInput!$M$27,Inputs!$B$4="Chapter Hunt"),CHOOSE(ArtifactsInput!$N$27+1,20,24,28,32,36,40),0)/100)),0)</f>
        <v/>
      </c>
      <c r="R455">
        <f>IF(AND(Inputs!$B$38&lt;&gt;"pvp",Inputs!$B$43&gt;0),IF(Inputs!$B$43&lt;=0,0,(INT(Inputs!$B$43/(IF(Inputs!$B$38="pvp",15,MAX(0.1,Skills!D24-IF(TRUE=TRUE,Inputs!$B$32,0)))*(1-IF(AND(ArtifactsInput!$M$27,Inputs!$B$4="Chapter Hunt"),CHOOSE(ArtifactsInput!$N$27+1,20,24,28,32,36,40),0)/100)))+1)),0)</f>
        <v/>
      </c>
      <c r="S455">
        <f>IFERROR(O455/N455,0)</f>
        <v/>
      </c>
      <c r="T455" t="n">
        <v>0</v>
      </c>
      <c r="V455" t="n">
        <v>0</v>
      </c>
    </row>
    <row r="456">
      <c r="A456">
        <f>Skills!A25</f>
        <v/>
      </c>
      <c r="B456">
        <f>Skills!B25</f>
        <v/>
      </c>
      <c r="C456">
        <f>Inputs!$B$3&gt;=110</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t="inlineStr"/>
      <c r="H456" t="inlineStr"/>
      <c r="I456" t="inlineStr">
        <is>
          <t>1</t>
        </is>
      </c>
      <c r="J456" t="inlineStr"/>
      <c r="K456" t="inlineStr"/>
      <c r="L456" t="inlineStr"/>
      <c r="M456" t="inlineStr"/>
      <c r="N456" t="inlineStr"/>
      <c r="O456" t="inlineStr"/>
      <c r="P456" t="inlineStr"/>
      <c r="Q456" t="inlineStr"/>
      <c r="R456" t="inlineStr"/>
      <c r="S456" t="inlineStr"/>
      <c r="T456" t="inlineStr"/>
      <c r="V456" t="inlineStr"/>
    </row>
    <row r="457">
      <c r="A457">
        <f>Skills!A26</f>
        <v/>
      </c>
      <c r="B457">
        <f>Skills!B26</f>
        <v/>
      </c>
      <c r="C457">
        <f>Inputs!$B$3&gt;=117</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t="inlineStr"/>
      <c r="H457" t="inlineStr"/>
      <c r="I457" t="inlineStr">
        <is>
          <t>1</t>
        </is>
      </c>
      <c r="J457" t="inlineStr"/>
      <c r="K457" t="inlineStr"/>
      <c r="L457" t="inlineStr"/>
      <c r="M457" t="inlineStr"/>
      <c r="N457" t="inlineStr"/>
      <c r="O457" t="inlineStr"/>
      <c r="P457" t="inlineStr"/>
      <c r="Q457" t="inlineStr"/>
      <c r="R457" t="inlineStr"/>
      <c r="S457" t="inlineStr"/>
      <c r="T457" t="inlineStr"/>
      <c r="V457" t="inlineStr"/>
    </row>
    <row r="459">
      <c r="A459" t="inlineStr">
        <is>
          <t>Attack% Bucket Multiplier</t>
        </is>
      </c>
      <c r="B459">
        <f>(1+(((C444=TRUE)*F444*5/7)+((C450=TRUE)*(F450-Calc!F19))+(IF(ArtifactsInput!$M$21,CHOOSE(ArtifactsInput!$N$21+1,25,30,35,40,45,50)*(IF(OR(Inputs!$B$4="Chapter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0">
      <c r="A460" t="inlineStr">
        <is>
          <t>Global Crit Rate Bonus %</t>
        </is>
      </c>
      <c r="B460" t="n">
        <v>0</v>
      </c>
    </row>
    <row r="461">
      <c r="A461" t="inlineStr">
        <is>
          <t>Attack Speed Buff Bonus % (Nimble Feet + Speed Infusion, duty-cycle averaged)</t>
        </is>
      </c>
      <c r="B461">
        <f>((C454=TRUE)*F454*IF(AND(Inputs!$B$38&lt;&gt;"pvp",Inputs!$B$43&gt;0),(((R454-1)*MIN((Skills!T23*(1+Inputs!$B$34/100)),(1/Q454))+MIN((Skills!T23*(1+Inputs!$B$34/100)),MAX(0,Inputs!$B$43-((R454-1)*(1/Q454)))))/Inputs!$B$43),IF(Inputs!$B$38="pvp",MIN((Skills!T23*(1+Inputs!$B$34/100)),15)/15,MIN(1,(Skills!T23*(1+Inputs!$B$34/100))/(1/Q454)))))+((C455=TRUE)*F455*IF(AND(Inputs!$B$38&lt;&gt;"pvp",Inputs!$B$43&gt;0),(((R455-1)*MIN((Skills!T24*(1+Inputs!$B$34/100)),(1/Q455))+MIN((Skills!T24*(1+Inputs!$B$34/100)),MAX(0,Inputs!$B$43-((R455-1)*(1/Q455)))))/Inputs!$B$43),IF(Inputs!$B$38="pvp",MIN((Skills!T24*(1+Inputs!$B$34/100)),15)/15,MIN(1,(Skills!T24*(1+Inputs!$B$34/100))/(1/Q455)))))</f>
        <v/>
      </c>
    </row>
    <row r="462">
      <c r="A462" t="inlineStr">
        <is>
          <t>Actions Per Second</t>
        </is>
      </c>
      <c r="B462">
        <f>1+MIN(150,150*(1-(1-(Inputs!$B$11+((C448=TRUE)*(F448-Calc!F17))+((C449=TRUE)*(F449-Calc!F18)))/150)*(1-B461/150)))/100</f>
        <v/>
      </c>
    </row>
    <row r="463">
      <c r="A463" t="inlineStr">
        <is>
          <t>Skill + Buff Cast Rate</t>
        </is>
      </c>
      <c r="B463">
        <f>IF(AND(Inputs!$B$38&lt;&gt;"pvp",Inputs!$B$43&gt;0),SUMPRODUCT((Skills!E2:E26=TRUE)*(C433:C457=TRUE)*R433:R457*Skills!F2:F26)/Inputs!$B$43,SUMPRODUCT((Skills!E2:E26=TRUE)*(C433:C457=TRUE)*Q433:Q457*Skills!F2:F26))</f>
        <v/>
      </c>
    </row>
    <row r="464">
      <c r="A464" t="inlineStr">
        <is>
          <t>Hook Bomber Casts Per Second</t>
        </is>
      </c>
      <c r="B464">
        <f>MAX(0,B462-B463)</f>
        <v/>
      </c>
    </row>
    <row r="465">
      <c r="A465" t="inlineStr">
        <is>
          <t>Global Critical Damage Bonus % (unused)</t>
        </is>
      </c>
      <c r="B465" t="n">
        <v>0</v>
      </c>
    </row>
    <row r="466">
      <c r="A466" t="inlineStr">
        <is>
          <t>Global Final Damage Bonus % (Serpent Scale + Crossbones + Time Leap + Speed Infusion)</t>
        </is>
      </c>
      <c r="B466">
        <f>((C436=TRUE)*(F436*B472+4*(1-B472)))+((C445=TRUE)*F445*IF(AND(Inputs!$B$38&lt;&gt;"pvp",Inputs!$B$43&gt;0),(((R445-1)*MIN((Skills!T14*(1+Inputs!$B$34/100)),(1/Q445))+MIN((Skills!T14*(1+Inputs!$B$34/100)),MAX(0,Inputs!$B$43-((R445-1)*(1/Q445)))))/Inputs!$B$43),IF(Inputs!$B$38="pvp",MIN((Skills!T14*(1+Inputs!$B$34/100)),15)/15,MIN(1,(Skills!T14*(1+Inputs!$B$34/100))/(1/Q445)))))+((C446=TRUE)*F446*IF(AND(Inputs!$B$38&lt;&gt;"pvp",Inputs!$B$43&gt;0),(((R446-1)*MIN((Skills!T15*(1+Inputs!$B$34/100)),(1/Q446))+MIN((Skills!T15*(1+Inputs!$B$34/100)),MAX(0,Inputs!$B$43-((R446-1)*(1/Q446)))))/Inputs!$B$43),IF(Inputs!$B$38="pvp",MIN((Skills!T15*(1+Inputs!$B$34/100)),15)/15,MIN(1,(Skills!T15*(1+Inputs!$B$34/100))/(1/Q446)))))+((C455=TRUE)*20*((1+MIN(150,150*(1-(1-(Inputs!$B$11+((C448=TRUE)*(F448-Calc!F17))+((C449=TRUE)*(F449-Calc!F18)))/150)*(1-(((C454=TRUE)*F454*IF(AND(Inputs!$B$38&lt;&gt;"pvp",Inputs!$B$43&gt;0),(((R454-1)*MIN((Skills!T23*(1+Inputs!$B$34/100)),(1/Q454))+MIN((Skills!T23*(1+Inputs!$B$34/100)),MAX(0,Inputs!$B$43-((R454-1)*(1/Q454)))))/Inputs!$B$43),IF(Inputs!$B$38="pvp",MIN((Skills!T23*(1+Inputs!$B$34/100)),15)/15,MIN(1,(Skills!T23*(1+Inputs!$B$34/100))/(1/Q454)))))+F455)/150)))/100)-1)*IF(AND(Inputs!$B$38&lt;&gt;"pvp",Inputs!$B$43&gt;0),(((R455-1)*MIN((Skills!T24*(1+Inputs!$B$34/100)),(1/Q455))+MIN((Skills!T24*(1+Inputs!$B$34/100)),MAX(0,Inputs!$B$43-((R455-1)*(1/Q455)))))/Inputs!$B$43),IF(Inputs!$B$38="pvp",MIN((Skills!T24*(1+Inputs!$B$34/100)),15)/15,MIN(1,(Skills!T24*(1+Inputs!$B$34/100))/(1/Q455)))))</f>
        <v/>
      </c>
    </row>
    <row r="467">
      <c r="A467" t="inlineStr">
        <is>
          <t>Buff-Casting Startup Delay (s, fixed-duration only)</t>
        </is>
      </c>
      <c r="B467">
        <f>IF(AND(Inputs!$B$38&lt;&gt;"pvp",Inputs!$B$43&gt;0),SUMPRODUCT((Skills!T2:T26&gt;0)*(Skills!E2:E26=TRUE)*(C433:C457=TRUE))/B462,0)</f>
        <v/>
      </c>
    </row>
    <row r="468">
      <c r="A468" t="inlineStr">
        <is>
          <t>Boss-Only Total DPS (this block's swept value)</t>
        </is>
      </c>
      <c r="B468">
        <f>SUM(T433:T457)</f>
        <v/>
      </c>
    </row>
    <row r="469">
      <c r="A469" t="inlineStr">
        <is>
          <t>Normal-Only Total DPS (this block's swept value)</t>
        </is>
      </c>
      <c r="B469">
        <f>SUM(V433:V457)</f>
        <v/>
      </c>
    </row>
    <row r="470">
      <c r="A470" s="6" t="inlineStr">
        <is>
          <t>TOTAL DPS</t>
        </is>
      </c>
      <c r="B470" s="6">
        <f>SUM(O433:O457)</f>
        <v/>
      </c>
    </row>
    <row r="471">
      <c r="A471" t="inlineStr">
        <is>
          <t>Serpent activation interval T (this block's own Hook Bomber rate)</t>
        </is>
      </c>
      <c r="B471">
        <f>((1/Q434)+IFERROR(0.5/B464,0))</f>
        <v/>
      </c>
    </row>
    <row r="472">
      <c r="A472" t="inlineStr">
        <is>
          <t>Assault Mode uptime u (this block)</t>
        </is>
      </c>
      <c r="B472">
        <f>IF(C436=TRUE,(10+IF(Inputs!$B$3&gt;=94,5,0))/((10+IF(Inputs!$B$3&gt;=94,5,0))+IF(Inputs!$B$3&gt;=104,3,5)*B471),0)</f>
        <v/>
      </c>
    </row>
    <row r="473">
      <c r="A473" t="inlineStr">
        <is>
          <t>Nautilus Strike - Final Attack trigger rate (this block's own Q/R)</t>
        </is>
      </c>
      <c r="B473">
        <f>IF(AND(Inputs!$B$38&lt;&gt;"pvp",Inputs!$B$43&gt;0),(((C437=TRUE)*R437)+((C438=TRUE)*R438)+((C441=TRUE)*R441))/Inputs!$B$43,((C437=TRUE)*Q437)+((C438=TRUE)*Q438)+((C441=TRUE)*Q441))+B464</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496=TRUE)*(F496-Calc!F20)),((Inputs!$B$23+1)+0+(IF(ArtifactsInput!$M$15,CHOOSE(ArtifactsInput!$N$15+1,25,30,35,40,45,50)/100*(Inputs!$B$11-Inputs!$B$11),0))))/100+((Inputs!$B$23+1)+0+(IF(ArtifactsInput!$M$15,CHOOSE(ArtifactsInput!$N$15+1,25,30,35,40,45,50)/100*(Inputs!$B$11-Inputs!$B$11),0)))/100)/2</f>
        <v/>
      </c>
      <c r="M478">
        <f>L478*(1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IF(B515=0,0,O478/B515)</f>
        <v/>
      </c>
      <c r="Q478" t="n">
        <v>0</v>
      </c>
      <c r="R478" t="n">
        <v>0</v>
      </c>
      <c r="S478">
        <f>IFERROR(O478/N478,0)</f>
        <v/>
      </c>
      <c r="T478">
        <f>IF(C478,(Skills!G2*N478*B509)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IF(C478,(Skills!G2*N478*B509)*IF(Inputs!$B$38="pvp",1,(1+(Inputs!$B$21+Skills!Q2+(IF(ArtifactsInput!$M$33,CHOOSE(ArtifactsInput!$N$33+1,30,36,42,48,54,60),0))+(IF(AND(ArtifactsInput!$M$35,Inputs!$B$4&lt;&gt;"Chapter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Inputs!$B$3&gt;=35</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f>Skills!G3*IF(Skills!H3&gt;0,Skills!I3/Skills!H3,1)</f>
        <v/>
      </c>
      <c r="H479">
        <f>1-(1-Skills!J3/100)^Skills!K3</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3="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496=TRUE)*(F496-Calc!F20)),((Inputs!$B$23+1)+0+(IF(ArtifactsInput!$M$15,CHOOSE(ArtifactsInput!$N$15+1,25,30,35,40,45,50)/100*(Inputs!$B$11-Inputs!$B$11),0))))/100+((Inputs!$B$23+1)+0+(IF(ArtifactsInput!$M$15,CHOOSE(ArtifactsInput!$N$15+1,25,30,35,40,45,50)/100*(Inputs!$B$11-Inputs!$B$11),0)))/100)/2</f>
        <v/>
      </c>
      <c r="M479">
        <f>L479*(1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IF(B515=0,0,O479/B515)</f>
        <v/>
      </c>
      <c r="Q479">
        <f>IFERROR(1/(IF(Inputs!$B$38="pvp",15,MAX(0.1,Skills!D3-IF(TRUE=TRUE,Inputs!$B$32,0)))*(1-IF(AND(ArtifactsInput!$M$27,Inputs!$B$4="Chapter Hunt"),CHOOSE(ArtifactsInput!$N$27+1,20,24,28,32,36,40),0)/100)),0)</f>
        <v/>
      </c>
      <c r="R479">
        <f>IF(AND(Inputs!$B$38&lt;&gt;"pvp",Inputs!$B$43&gt;0),IF(MAX(0,Inputs!$B$43-B512)&lt;=0,0,(INT(MAX(0,Inputs!$B$43-B512)/(IF(Inputs!$B$38="pvp",15,MAX(0.1,Skills!D3-IF(TRUE=TRUE,Inputs!$B$32,0)))*(1-IF(AND(ArtifactsInput!$M$27,Inputs!$B$4="Chapter Hunt"),CHOOSE(ArtifactsInput!$N$27+1,20,24,28,32,36,40),0)/100)))+1)),0)</f>
        <v/>
      </c>
      <c r="S479">
        <f>IFERROR(O479/N479,0)</f>
        <v/>
      </c>
      <c r="T479">
        <f>IF(C479,(Skills!G3*N479*IF(C480=TRUE,1-B517,1)/B516)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INDEX(FactorTable!$B$2:$Y$301, MATCH(ROUND(MIN(300,MAX(1,U478)),0), FactorTable!$A$2:$A$301,0), 22)</f>
        <v/>
      </c>
      <c r="V479">
        <f>IF(C479,(Skills!G3*N479*IF(C480=TRUE,1-B517,1)/B516)*IF(Inputs!$B$38="pvp",1,(1+(Inputs!$B$21+Skills!Q3+(IF(ArtifactsInput!$M$33,CHOOSE(ArtifactsInput!$N$33+1,30,36,42,48,54,60),0))+(IF(AND(ArtifactsInput!$M$35,Inputs!$B$4&lt;&gt;"Chapter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Skills!A4</f>
        <v/>
      </c>
      <c r="B480">
        <f>Skills!B4</f>
        <v/>
      </c>
      <c r="C480">
        <f>Inputs!$B$3&gt;=69</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f>Skills!G4*IF(Skills!H4&gt;0,Skills!I4/Skills!H4,1)</f>
        <v/>
      </c>
      <c r="H480">
        <f>1-(1-Skills!J4/100)^Skills!K4</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4="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496=TRUE)*(F496-Calc!F20)),((Inputs!$B$23+1)+0+(IF(ArtifactsInput!$M$15,CHOOSE(ArtifactsInput!$N$15+1,25,30,35,40,45,50)/100*(Inputs!$B$11-Inputs!$B$11),0))))/100+((Inputs!$B$23+1)+0+(IF(ArtifactsInput!$M$15,CHOOSE(ArtifactsInput!$N$15+1,25,30,35,40,45,50)/100*(Inputs!$B$11-Inputs!$B$11),0)))/100)/2</f>
        <v/>
      </c>
      <c r="M480">
        <f>L480*(1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IF(B515=0,0,O480/B515)</f>
        <v/>
      </c>
      <c r="Q480" t="n">
        <v>0</v>
      </c>
      <c r="R480" t="n">
        <v>0</v>
      </c>
      <c r="S480">
        <f>IFERROR(O480/N480,0)</f>
        <v/>
      </c>
      <c r="T480">
        <f>IF(C480,(Skills!G4*N480*B517/B516)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290*U479/1000</f>
        <v/>
      </c>
      <c r="V480">
        <f>IF(C480,(Skills!G4*N480*B517/B516)*IF(Inputs!$B$38="pvp",1,(1+(Inputs!$B$21+Skills!Q4+(IF(ArtifactsInput!$M$33,CHOOSE(ArtifactsInput!$N$33+1,30,36,42,48,54,60),0))+(IF(AND(ArtifactsInput!$M$35,Inputs!$B$4&lt;&gt;"Chapter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Skills!A5</f>
        <v/>
      </c>
      <c r="B481">
        <f>Skills!B5</f>
        <v/>
      </c>
      <c r="C481">
        <f>Inputs!$B$3&gt;=66</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t="inlineStr"/>
      <c r="K481" t="inlineStr"/>
      <c r="L481" t="inlineStr"/>
      <c r="M481" t="inlineStr"/>
      <c r="N481" t="inlineStr"/>
      <c r="O481">
        <f>(1-Summary!$B$11)*T481+Summary!$B$11*V481</f>
        <v/>
      </c>
      <c r="P481">
        <f>IF(B515=0,0,O481/B515)</f>
        <v/>
      </c>
      <c r="Q481" t="n">
        <v>0</v>
      </c>
      <c r="R481" t="n">
        <v>0</v>
      </c>
      <c r="S481">
        <f>IFERROR(O481/N481,0)</f>
        <v/>
      </c>
      <c r="T481" t="n">
        <v>0</v>
      </c>
      <c r="V481" t="n">
        <v>0</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488=TRUE,F488,0)/100)*(1+(IF(Skills!A6="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496=TRUE)*(F496-Calc!F20)),((Inputs!$B$23+1)+0+(IF(ArtifactsInput!$M$15,CHOOSE(ArtifactsInput!$N$15+1,25,30,35,40,45,50)/100*(Inputs!$B$11-Inputs!$B$11),0))))/100+((Inputs!$B$23+1)+0+(IF(ArtifactsInput!$M$15,CHOOSE(ArtifactsInput!$N$15+1,25,30,35,40,45,50)/100*(Inputs!$B$11-Inputs!$B$11),0)))/100)/2</f>
        <v/>
      </c>
      <c r="M482">
        <f>L482*(1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IF(B515=0,0,O482/B515)</f>
        <v/>
      </c>
      <c r="Q482">
        <f>IFERROR(1/(IF(Inputs!$B$38="pvp",15,MAX(0.1,Skills!D6-IF(TRUE=TRUE,Inputs!$B$32,0)))*(1-IF(AND(ArtifactsInput!$M$27,Inputs!$B$4="Chapter Hunt"),CHOOSE(ArtifactsInput!$N$27+1,20,24,28,32,36,40),0)/100)),0)</f>
        <v/>
      </c>
      <c r="R482">
        <f>IF(AND(Inputs!$B$38&lt;&gt;"pvp",Inputs!$B$43&gt;0),IF(MAX(0,Inputs!$B$43-B512)&lt;=0,0,(INT(MAX(0,Inputs!$B$43-B512)/(IF(Inputs!$B$38="pvp",15,MAX(0.1,Skills!D6-IF(TRUE=TRUE,Inputs!$B$32,0)))*(1-IF(AND(ArtifactsInput!$M$27,Inputs!$B$4="Chapter Hunt"),CHOOSE(ArtifactsInput!$N$27+1,20,24,28,32,36,40),0)/100)))+1)),0)</f>
        <v/>
      </c>
      <c r="S482">
        <f>IFERROR(O482/N482,0)</f>
        <v/>
      </c>
      <c r="T482">
        <f>IF(C482,(H482*N482*IF(AND(Inputs!$B$38&lt;&gt;"pvp",Inputs!$B$43&gt;0),((Skills!G6*((R482-1)*IF(Skills!H6&gt;0,Skills!I6/Skills!H6,1)+IF(Skills!H6&gt;0,MIN(Skills!I6,MAX(0,MAX(0,Inputs!$B$43-B512)-((R482-1)*(IF(Inputs!$B$38="pvp",15,MAX(0.1,Skills!D6-IF(TRUE=TRUE,Inputs!$B$32,0)))*(1-IF(AND(ArtifactsInput!$M$27,Inputs!$B$4="Chapter Hunt"),CHOOSE(ArtifactsInput!$N$27+1,20,24,28,32,36,40),0)/100)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512)-((R482-1)*(IF(Inputs!$B$38="pvp",15,MAX(0.1,Skills!D6-IF(TRUE=TRUE,Inputs!$B$32,0)))*(1-IF(AND(ArtifactsInput!$M$27,Inputs!$B$4="Chapter Hunt"),CHOOSE(ArtifactsInput!$N$27+1,20,24,28,32,36,40),0)/100)))))/Skills!H6,1)))/Inputs!$B$43),G482*Q482))*IF(Inputs!$B$38="pvp",1,(1+(Inputs!$B$21+Skills!Q6+(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Inputs!$B$3&gt;=103</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496=TRUE)*(F496-Calc!F20)),((Inputs!$B$23+1)+0+(IF(ArtifactsInput!$M$15,CHOOSE(ArtifactsInput!$N$15+1,25,30,35,40,45,50)/100*(Inputs!$B$11-Inputs!$B$11),0))))/100+((Inputs!$B$23+1)+0+(IF(ArtifactsInput!$M$15,CHOOSE(ArtifactsInput!$N$15+1,25,30,35,40,45,50)/100*(Inputs!$B$11-Inputs!$B$11),0)))/100)/2</f>
        <v/>
      </c>
      <c r="M483">
        <f>L483*(1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IF(B515=0,0,O483/B515)</f>
        <v/>
      </c>
      <c r="Q483">
        <f>IFERROR(1/(IF(Inputs!$B$38="pvp",15,MAX(0.1,Skills!D7-IF(TRUE=TRUE,Inputs!$B$32,0)))*(1-IF(AND(ArtifactsInput!$M$27,Inputs!$B$4="Chapter Hunt"),CHOOSE(ArtifactsInput!$N$27+1,20,24,28,32,36,40),0)/100)),0)</f>
        <v/>
      </c>
      <c r="R483">
        <f>IF(AND(Inputs!$B$38&lt;&gt;"pvp",Inputs!$B$43&gt;0),IF(MAX(0,Inputs!$B$43-B512)&lt;=0,0,(INT(MAX(0,Inputs!$B$43-B512)/(IF(Inputs!$B$38="pvp",15,MAX(0.1,Skills!D7-IF(TRUE=TRUE,Inputs!$B$32,0)))*(1-IF(AND(ArtifactsInput!$M$27,Inputs!$B$4="Chapter Hunt"),CHOOSE(ArtifactsInput!$N$27+1,20,24,28,32,36,40),0)/100)))+1)),0)</f>
        <v/>
      </c>
      <c r="S483">
        <f>IFERROR(O483/N483,0)</f>
        <v/>
      </c>
      <c r="T483">
        <f>IF(C483,(H483*N483*IF(AND(Inputs!$B$38&lt;&gt;"pvp",Inputs!$B$43&gt;0),((Skills!G7*((R483-1)*IF(Skills!H7&gt;0,Skills!I7/Skills!H7,1)+IF(Skills!H7&gt;0,MIN(Skills!I7,MAX(0,MAX(0,Inputs!$B$43-B512)-((R483-1)*(IF(Inputs!$B$38="pvp",15,MAX(0.1,Skills!D7-IF(TRUE=TRUE,Inputs!$B$32,0)))*(1-IF(AND(ArtifactsInput!$M$27,Inputs!$B$4="Chapter Hunt"),CHOOSE(ArtifactsInput!$N$27+1,20,24,28,32,36,40),0)/100)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512)-((R483-1)*(IF(Inputs!$B$38="pvp",15,MAX(0.1,Skills!D7-IF(TRUE=TRUE,Inputs!$B$32,0)))*(1-IF(AND(ArtifactsInput!$M$27,Inputs!$B$4="Chapter Hunt"),CHOOSE(ArtifactsInput!$N$27+1,20,24,28,32,36,40),0)/100)))))/Skills!H7,1)))/Inputs!$B$43),G483*Q483))*IF(Inputs!$B$38="pvp",1,(1+(Inputs!$B$21+Skills!Q7+(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Inputs!$B$3&gt;=117</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f>Skills!G8*IF(Skills!H8&gt;0,Skills!I8/Skills!H8,1)</f>
        <v/>
      </c>
      <c r="H484">
        <f>1-(1-Skills!J8/100)^Skills!K8</f>
        <v/>
      </c>
      <c r="I484" t="inlineStr">
        <is>
          <t>1</t>
        </is>
      </c>
      <c r="J484">
        <f>((Inputs!$B$6*(1+Inputs!$B$7/100))+(((Inputs!$B$12*(1+Inputs!$B$13/100))-(Inputs!$B$12*(1+Inputs!$B$13/100)))+0.25*(Inputs!$B$14-Inputs!$B$14))*(1+Inputs!$B$7/100))*(F484/100)</f>
        <v/>
      </c>
      <c r="K484">
        <f>J484*(1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484)</f>
        <v/>
      </c>
      <c r="L484">
        <f>K484*(MIN(Inputs!$B$22+((C496=TRUE)*(F496-Calc!F20)),((Inputs!$B$23+1)+0+(IF(ArtifactsInput!$M$15,CHOOSE(ArtifactsInput!$N$15+1,25,30,35,40,45,50)/100*(Inputs!$B$11-Inputs!$B$11),0))))/100+((Inputs!$B$23+1)+0+(IF(ArtifactsInput!$M$15,CHOOSE(ArtifactsInput!$N$15+1,25,30,35,40,45,50)/100*(Inputs!$B$11-Inputs!$B$11),0)))/100)/2</f>
        <v/>
      </c>
      <c r="M484">
        <f>L484*(1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4">
        <f>L484*(1-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484*(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4">
        <f>(1-Summary!$B$11)*T484+Summary!$B$11*V484</f>
        <v/>
      </c>
      <c r="P484">
        <f>IF(B515=0,0,O484/B515)</f>
        <v/>
      </c>
      <c r="Q484">
        <f>IFERROR(1/(IF(Inputs!$B$38="pvp",15,MAX(0.1,Skills!D8-IF(TRUE=TRUE,Inputs!$B$32,0)))*(1-IF(AND(ArtifactsInput!$M$27,Inputs!$B$4="Chapter Hunt"),CHOOSE(ArtifactsInput!$N$27+1,20,24,28,32,36,40),0)/100)),0)</f>
        <v/>
      </c>
      <c r="R484">
        <f>IF(AND(Inputs!$B$38&lt;&gt;"pvp",Inputs!$B$43&gt;0),IF(MAX(0,Inputs!$B$43-B512)&lt;=0,0,(INT(MAX(0,Inputs!$B$43-B512)/(IF(Inputs!$B$38="pvp",15,MAX(0.1,Skills!D8-IF(TRUE=TRUE,Inputs!$B$32,0)))*(1-IF(AND(ArtifactsInput!$M$27,Inputs!$B$4="Chapter Hunt"),CHOOSE(ArtifactsInput!$N$27+1,20,24,28,32,36,40),0)/100)))+1)),0)</f>
        <v/>
      </c>
      <c r="S484">
        <f>IFERROR(O484/N484,0)</f>
        <v/>
      </c>
      <c r="T484">
        <f>IF(C484,(H484*N484*IF(AND(Inputs!$B$38&lt;&gt;"pvp",Inputs!$B$43&gt;0),((Skills!G8*((R484-1)*IF(Skills!H8&gt;0,Skills!I8/Skills!H8,1)+IF(Skills!H8&gt;0,MIN(Skills!I8,MAX(0,MAX(0,Inputs!$B$43-B512)-((R484-1)*(IF(Inputs!$B$38="pvp",15,MAX(0.1,Skills!D8-IF(TRUE=TRUE,Inputs!$B$32,0)))*(1-IF(AND(ArtifactsInput!$M$27,Inputs!$B$4="Chapter Hunt"),CHOOSE(ArtifactsInput!$N$27+1,20,24,28,32,36,40),0)/100)))))/Skills!H8,1)))/Inputs!$B$43),G484*Q484)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484*(1-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484*(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484*(1-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484*(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4">
        <f>IF(C484,(H484*N484*IF(AND(Inputs!$B$38&lt;&gt;"pvp",Inputs!$B$43&gt;0),((Skills!G8*((R484-1)*IF(Skills!H8&gt;0,Skills!I8/Skills!H8,1)+IF(Skills!H8&gt;0,MIN(Skills!I8,MAX(0,MAX(0,Inputs!$B$43-B512)-((R484-1)*(IF(Inputs!$B$38="pvp",15,MAX(0.1,Skills!D8-IF(TRUE=TRUE,Inputs!$B$32,0)))*(1-IF(AND(ArtifactsInput!$M$27,Inputs!$B$4="Chapter Hunt"),CHOOSE(ArtifactsInput!$N$27+1,20,24,28,32,36,40),0)/100)))))/Skills!H8,1)))/Inputs!$B$43),G484*Q484))*IF(Inputs!$B$38="pvp",1,(1+(Inputs!$B$21+Skills!Q8+(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5">
      <c r="A485">
        <f>Skills!A9</f>
        <v/>
      </c>
      <c r="B485">
        <f>Skills!B9</f>
        <v/>
      </c>
      <c r="C485">
        <f>Inputs!$B$3&gt;=120</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B517</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496=TRUE)*(F496-Calc!F20)),((Inputs!$B$23+1)+0+(IF(ArtifactsInput!$M$15,CHOOSE(ArtifactsInput!$N$15+1,25,30,35,40,45,50)/100*(Inputs!$B$11-Inputs!$B$11),0))))/100+((Inputs!$B$23+1)+0+(IF(ArtifactsInput!$M$15,CHOOSE(ArtifactsInput!$N$15+1,25,30,35,40,45,50)/100*(Inputs!$B$11-Inputs!$B$11),0)))/100)/2</f>
        <v/>
      </c>
      <c r="M485">
        <f>L485*(1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IF(B515=0,0,O485/B515)</f>
        <v/>
      </c>
      <c r="Q485">
        <f>IFERROR(1/(IF(Inputs!$B$38="pvp",15,MAX(0.1,Skills!D9-IF(TRUE=TRUE,Inputs!$B$32,0)))*(1-IF(AND(ArtifactsInput!$M$27,Inputs!$B$4="Chapter Hunt"),CHOOSE(ArtifactsInput!$N$27+1,20,24,28,32,36,40),0)/100)),0)</f>
        <v/>
      </c>
      <c r="R485">
        <f>IF(AND(Inputs!$B$38&lt;&gt;"pvp",Inputs!$B$43&gt;0),IF(MAX(0,Inputs!$B$43-B512)&lt;=0,0,(INT(MAX(0,Inputs!$B$43-B512)/(IF(Inputs!$B$38="pvp",15,MAX(0.1,Skills!D9-IF(TRUE=TRUE,Inputs!$B$32,0)))*(1-IF(AND(ArtifactsInput!$M$27,Inputs!$B$4="Chapter Hunt"),CHOOSE(ArtifactsInput!$N$27+1,20,24,28,32,36,40),0)/100)))+1)),0)</f>
        <v/>
      </c>
      <c r="S485">
        <f>IFERROR(O485/N485,0)</f>
        <v/>
      </c>
      <c r="T485">
        <f>IF(C485,(H485*N485*IF(AND(Inputs!$B$38&lt;&gt;"pvp",Inputs!$B$43&gt;0),((Skills!G9*((R485-1)*IF(Skills!H9&gt;0,Skills!I9/Skills!H9,1)+IF(Skills!H9&gt;0,MIN(Skills!I9,MAX(0,MAX(0,Inputs!$B$43-B512)-((R485-1)*(IF(Inputs!$B$38="pvp",15,MAX(0.1,Skills!D9-IF(TRUE=TRUE,Inputs!$B$32,0)))*(1-IF(AND(ArtifactsInput!$M$27,Inputs!$B$4="Chapter Hunt"),CHOOSE(ArtifactsInput!$N$27+1,20,24,28,32,36,40),0)/100)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512)-((R485-1)*(IF(Inputs!$B$38="pvp",15,MAX(0.1,Skills!D9-IF(TRUE=TRUE,Inputs!$B$32,0)))*(1-IF(AND(ArtifactsInput!$M$27,Inputs!$B$4="Chapter Hunt"),CHOOSE(ArtifactsInput!$N$27+1,20,24,28,32,36,40),0)/100)))))/Skills!H9,1)))/Inputs!$B$43),G485*Q485))*IF(Inputs!$B$38="pvp",1,(1+(Inputs!$B$21+Skills!Q9+(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Inputs!$B$3&gt;=105</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496=TRUE)*(F496-Calc!F20)),((Inputs!$B$23+1)+0+(IF(ArtifactsInput!$M$15,CHOOSE(ArtifactsInput!$N$15+1,25,30,35,40,45,50)/100*(Inputs!$B$11-Inputs!$B$11),0))))/100+((Inputs!$B$23+1)+0+(IF(ArtifactsInput!$M$15,CHOOSE(ArtifactsInput!$N$15+1,25,30,35,40,45,50)/100*(Inputs!$B$11-Inputs!$B$11),0)))/100)/2</f>
        <v/>
      </c>
      <c r="M486">
        <f>L486*(1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IF(B515=0,0,O486/B515)</f>
        <v/>
      </c>
      <c r="Q486">
        <f>IFERROR(1/(IF(Inputs!$B$38="pvp",15,MAX(0.1,Skills!D10-IF(TRUE=TRUE,Inputs!$B$32,0)))*(1-IF(AND(ArtifactsInput!$M$27,Inputs!$B$4="Chapter Hunt"),CHOOSE(ArtifactsInput!$N$27+1,20,24,28,32,36,40),0)/100)),0)</f>
        <v/>
      </c>
      <c r="R486">
        <f>IF(AND(Inputs!$B$38&lt;&gt;"pvp",Inputs!$B$43&gt;0),IF(MAX(0,Inputs!$B$43-B512)&lt;=0,0,(INT(MAX(0,Inputs!$B$43-B512)/(IF(Inputs!$B$38="pvp",15,MAX(0.1,Skills!D10-IF(TRUE=TRUE,Inputs!$B$32,0)))*(1-IF(AND(ArtifactsInput!$M$27,Inputs!$B$4="Chapter Hunt"),CHOOSE(ArtifactsInput!$N$27+1,20,24,28,32,36,40),0)/100)))+1)),0)</f>
        <v/>
      </c>
      <c r="S486">
        <f>IFERROR(O486/N486,0)</f>
        <v/>
      </c>
      <c r="T486">
        <f>IF(C486,(H486*N486*IF(AND(Inputs!$B$38&lt;&gt;"pvp",Inputs!$B$43&gt;0),((Skills!G10*((R486-1)*IF(Skills!H10&gt;0,Skills!I10/Skills!H10,1)+IF(Skills!H10&gt;0,MIN(Skills!I10,MAX(0,MAX(0,Inputs!$B$43-B512)-((R486-1)*(IF(Inputs!$B$38="pvp",15,MAX(0.1,Skills!D10-IF(TRUE=TRUE,Inputs!$B$32,0)))*(1-IF(AND(ArtifactsInput!$M$27,Inputs!$B$4="Chapter Hunt"),CHOOSE(ArtifactsInput!$N$27+1,20,24,28,32,36,40),0)/100)))))/Skills!H10,1)))/Inputs!$B$43),G486*Q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H486*N486*IF(AND(Inputs!$B$38&lt;&gt;"pvp",Inputs!$B$43&gt;0),((Skills!G10*((R486-1)*IF(Skills!H10&gt;0,Skills!I10/Skills!H10,1)+IF(Skills!H10&gt;0,MIN(Skills!I10,MAX(0,MAX(0,Inputs!$B$43-B512)-((R486-1)*(IF(Inputs!$B$38="pvp",15,MAX(0.1,Skills!D10-IF(TRUE=TRUE,Inputs!$B$32,0)))*(1-IF(AND(ArtifactsInput!$M$27,Inputs!$B$4="Chapter Hunt"),CHOOSE(ArtifactsInput!$N$27+1,20,24,28,32,36,40),0)/100)))))/Skills!H10,1)))/Inputs!$B$43),G486*Q486))*IF(Inputs!$B$38="pvp",1,(1+(Inputs!$B$21+Skills!Q10+(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Inputs!$B$3&gt;=113</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496=TRUE)*(F496-Calc!F20)),((Inputs!$B$23+1)+0+(IF(ArtifactsInput!$M$15,CHOOSE(ArtifactsInput!$N$15+1,25,30,35,40,45,50)/100*(Inputs!$B$11-Inputs!$B$11),0))))/100+((Inputs!$B$23+1)+0+(IF(ArtifactsInput!$M$15,CHOOSE(ArtifactsInput!$N$15+1,25,30,35,40,45,50)/100*(Inputs!$B$11-Inputs!$B$11),0)))/100)/2</f>
        <v/>
      </c>
      <c r="M487">
        <f>L487*(1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IF(B515=0,0,O487/B515)</f>
        <v/>
      </c>
      <c r="Q487" t="n">
        <v>0</v>
      </c>
      <c r="R487" t="n">
        <v>0</v>
      </c>
      <c r="S487">
        <f>IFERROR(O487/N487,0)</f>
        <v/>
      </c>
      <c r="T487">
        <f>IF(C487,((H487*B518)/(1+Skills!H11*H487*B518)*N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IF(C487,((H487*B518)/(1+Skills!H11*H487*B518)*N487)*IF(Inputs!$B$38="pvp",1,(1+(Inputs!$B$21+Skills!Q11+(IF(ArtifactsInput!$M$33,CHOOSE(ArtifactsInput!$N$33+1,30,36,42,48,54,60),0))+(IF(AND(ArtifactsInput!$M$35,Inputs!$B$4&lt;&gt;"Chapter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Inputs!$B$3&gt;=100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t="inlineStr"/>
      <c r="H488" t="inlineStr"/>
      <c r="I488" t="inlineStr">
        <is>
          <t>1</t>
        </is>
      </c>
      <c r="J488" t="inlineStr"/>
      <c r="K488" t="inlineStr"/>
      <c r="L488" t="inlineStr"/>
      <c r="M488" t="inlineStr"/>
      <c r="N488" t="inlineStr"/>
      <c r="O488" t="inlineStr"/>
      <c r="P488" t="inlineStr"/>
      <c r="Q488" t="inlineStr"/>
      <c r="R488" t="inlineStr"/>
      <c r="S488" t="inlineStr"/>
      <c r="T488" t="inlineStr"/>
      <c r="V488" t="inlineStr"/>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IF(B515=0,0,O489/B515)</f>
        <v/>
      </c>
      <c r="Q489" t="n">
        <v>0</v>
      </c>
      <c r="R489" t="n">
        <v>0</v>
      </c>
      <c r="S489">
        <f>IFERROR(O489/N489,0)</f>
        <v/>
      </c>
      <c r="T489" t="n">
        <v>0</v>
      </c>
      <c r="V489" t="n">
        <v>0</v>
      </c>
    </row>
    <row r="490">
      <c r="A490">
        <f>Skills!A14</f>
        <v/>
      </c>
      <c r="B490">
        <f>Skills!B14</f>
        <v/>
      </c>
      <c r="C490">
        <f>Inputs!$B$3&gt;=115</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IF(B515=0,0,O490/B515)</f>
        <v/>
      </c>
      <c r="Q490">
        <f>IFERROR(1/(IF(Inputs!$B$38="pvp",15,MAX(0.1,Skills!D14-IF(TRUE=TRUE,Inputs!$B$32,0)))*(1-IF(AND(ArtifactsInput!$M$27,Inputs!$B$4="Chapter Hunt"),CHOOSE(ArtifactsInput!$N$27+1,20,24,28,32,36,40),0)/100)),0)</f>
        <v/>
      </c>
      <c r="R490">
        <f>IF(AND(Inputs!$B$38&lt;&gt;"pvp",Inputs!$B$43&gt;0),IF(Inputs!$B$43&lt;=0,0,(INT(Inputs!$B$43/(IF(Inputs!$B$38="pvp",15,MAX(0.1,Skills!D14-IF(TRUE=TRUE,Inputs!$B$32,0)))*(1-IF(AND(ArtifactsInput!$M$27,Inputs!$B$4="Chapter Hunt"),CHOOSE(ArtifactsInput!$N$27+1,20,24,28,32,36,40),0)/100)))+1)),0)</f>
        <v/>
      </c>
      <c r="S490">
        <f>IFERROR(O490/N490,0)</f>
        <v/>
      </c>
      <c r="T490" t="n">
        <v>0</v>
      </c>
      <c r="V490" t="n">
        <v>0</v>
      </c>
    </row>
    <row r="491">
      <c r="A491">
        <f>Skills!A15</f>
        <v/>
      </c>
      <c r="B491">
        <f>Skills!B15</f>
        <v/>
      </c>
      <c r="C491">
        <f>Inputs!$B$3&gt;=125</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IF(B515=0,0,O491/B515)</f>
        <v/>
      </c>
      <c r="Q491">
        <f>IFERROR(1/(IF(Inputs!$B$38="pvp",15,MAX(0.1,Skills!D15-IF(TRUE=TRUE,Inputs!$B$32,0)))*(1-IF(AND(ArtifactsInput!$M$27,Inputs!$B$4="Chapter Hunt"),CHOOSE(ArtifactsInput!$N$27+1,20,24,28,32,36,40),0)/100)),0)</f>
        <v/>
      </c>
      <c r="R491">
        <f>IF(AND(Inputs!$B$38&lt;&gt;"pvp",Inputs!$B$43&gt;0),IF(Inputs!$B$43&lt;=0,0,(INT(Inputs!$B$43/(IF(Inputs!$B$38="pvp",15,MAX(0.1,Skills!D15-IF(TRUE=TRUE,Inputs!$B$32,0)))*(1-IF(AND(ArtifactsInput!$M$27,Inputs!$B$4="Chapter Hunt"),CHOOSE(ArtifactsInput!$N$27+1,20,24,28,32,36,40),0)/100)))+1)),0)</f>
        <v/>
      </c>
      <c r="S491">
        <f>IFERROR(O491/N491,0)</f>
        <v/>
      </c>
      <c r="T491" t="n">
        <v>0</v>
      </c>
      <c r="V491" t="n">
        <v>0</v>
      </c>
    </row>
    <row r="492">
      <c r="A492">
        <f>Skills!A16</f>
        <v/>
      </c>
      <c r="B492">
        <f>Skills!B16</f>
        <v/>
      </c>
      <c r="C492">
        <f>Inputs!$B$3&gt;=10</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Skills!A17</f>
        <v/>
      </c>
      <c r="B493">
        <f>Skills!B17</f>
        <v/>
      </c>
      <c r="C493">
        <f>Inputs!$B$3&gt;=15</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Skills!A18</f>
        <v/>
      </c>
      <c r="B494">
        <f>Skills!B18</f>
        <v/>
      </c>
      <c r="C494">
        <f>Inputs!$B$3&gt;=33</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Skills!A19</f>
        <v/>
      </c>
      <c r="B495">
        <f>Skills!B19</f>
        <v/>
      </c>
      <c r="C495">
        <f>Inputs!$B$3&gt;=40</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Skills!A20</f>
        <v/>
      </c>
      <c r="B496">
        <f>Skills!B20</f>
        <v/>
      </c>
      <c r="C496">
        <f>Inputs!$B$3&gt;=43</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Skills!A21</f>
        <v/>
      </c>
      <c r="B497">
        <f>Skills!B21</f>
        <v/>
      </c>
      <c r="C497">
        <f>Inputs!$B$3&gt;=38</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Skills!A22</f>
        <v/>
      </c>
      <c r="B498">
        <f>Skills!B22</f>
        <v/>
      </c>
      <c r="C498">
        <f>Inputs!$B$3&gt;=75</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Skills!A23</f>
        <v/>
      </c>
      <c r="B499">
        <f>Skills!B23</f>
        <v/>
      </c>
      <c r="C499">
        <f>TRUE</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IF(B515=0,0,O499/B515)</f>
        <v/>
      </c>
      <c r="Q499">
        <f>IFERROR(1/(IF(Inputs!$B$38="pvp",15,MAX(0.1,Skills!D23-IF(TRUE=TRUE,Inputs!$B$32,0)))*(1-IF(AND(ArtifactsInput!$M$27,Inputs!$B$4="Chapter Hunt"),CHOOSE(ArtifactsInput!$N$27+1,20,24,28,32,36,40),0)/100)),0)</f>
        <v/>
      </c>
      <c r="R499">
        <f>IF(AND(Inputs!$B$38&lt;&gt;"pvp",Inputs!$B$43&gt;0),IF(Inputs!$B$43&lt;=0,0,(INT(Inputs!$B$43/(IF(Inputs!$B$38="pvp",15,MAX(0.1,Skills!D23-IF(TRUE=TRUE,Inputs!$B$32,0)))*(1-IF(AND(ArtifactsInput!$M$27,Inputs!$B$4="Chapter Hunt"),CHOOSE(ArtifactsInput!$N$27+1,20,24,28,32,36,40),0)/100)))+1)),0)</f>
        <v/>
      </c>
      <c r="S499">
        <f>IFERROR(O499/N499,0)</f>
        <v/>
      </c>
      <c r="T499" t="n">
        <v>0</v>
      </c>
      <c r="V499" t="n">
        <v>0</v>
      </c>
    </row>
    <row r="500">
      <c r="A500">
        <f>Skills!A24</f>
        <v/>
      </c>
      <c r="B500">
        <f>Skills!B24</f>
        <v/>
      </c>
      <c r="C500">
        <f>Inputs!$B$3&gt;=107</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IF(B515=0,0,O500/B515)</f>
        <v/>
      </c>
      <c r="Q500">
        <f>IFERROR(1/(IF(Inputs!$B$38="pvp",15,MAX(0.1,Skills!D24-IF(TRUE=TRUE,Inputs!$B$32,0)))*(1-IF(AND(ArtifactsInput!$M$27,Inputs!$B$4="Chapter Hunt"),CHOOSE(ArtifactsInput!$N$27+1,20,24,28,32,36,40),0)/100)),0)</f>
        <v/>
      </c>
      <c r="R500">
        <f>IF(AND(Inputs!$B$38&lt;&gt;"pvp",Inputs!$B$43&gt;0),IF(Inputs!$B$43&lt;=0,0,(INT(Inputs!$B$43/(IF(Inputs!$B$38="pvp",15,MAX(0.1,Skills!D24-IF(TRUE=TRUE,Inputs!$B$32,0)))*(1-IF(AND(ArtifactsInput!$M$27,Inputs!$B$4="Chapter Hunt"),CHOOSE(ArtifactsInput!$N$27+1,20,24,28,32,36,40),0)/100)))+1)),0)</f>
        <v/>
      </c>
      <c r="S500">
        <f>IFERROR(O500/N500,0)</f>
        <v/>
      </c>
      <c r="T500" t="n">
        <v>0</v>
      </c>
      <c r="V500" t="n">
        <v>0</v>
      </c>
    </row>
    <row r="501">
      <c r="A501">
        <f>Skills!A25</f>
        <v/>
      </c>
      <c r="B501">
        <f>Skills!B25</f>
        <v/>
      </c>
      <c r="C501">
        <f>Inputs!$B$3&gt;=110</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Skills!A26</f>
        <v/>
      </c>
      <c r="B502">
        <f>Skills!B26</f>
        <v/>
      </c>
      <c r="C502">
        <f>Inputs!$B$3&gt;=117</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t="inlineStr"/>
      <c r="H502" t="inlineStr"/>
      <c r="I502" t="inlineStr">
        <is>
          <t>1</t>
        </is>
      </c>
      <c r="J502" t="inlineStr"/>
      <c r="K502" t="inlineStr"/>
      <c r="L502" t="inlineStr"/>
      <c r="M502" t="inlineStr"/>
      <c r="N502" t="inlineStr"/>
      <c r="O502" t="inlineStr"/>
      <c r="P502" t="inlineStr"/>
      <c r="Q502" t="inlineStr"/>
      <c r="R502" t="inlineStr"/>
      <c r="S502" t="inlineStr"/>
      <c r="T502" t="inlineStr"/>
      <c r="V502" t="inlineStr"/>
    </row>
    <row r="504">
      <c r="A504" t="inlineStr">
        <is>
          <t>Attack% Bucket Multiplier</t>
        </is>
      </c>
      <c r="B504">
        <f>(1+(((C489=TRUE)*F489*5/7)+((C495=TRUE)*(F495-Calc!F19))+(IF(ArtifactsInput!$M$21,CHOOSE(ArtifactsInput!$N$21+1,25,30,35,40,45,50)*(IF(OR(Inputs!$B$4="Chapter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5">
      <c r="A505" t="inlineStr">
        <is>
          <t>Global Crit Rate Bonus %</t>
        </is>
      </c>
      <c r="B505" t="n">
        <v>0</v>
      </c>
    </row>
    <row r="506">
      <c r="A506" t="inlineStr">
        <is>
          <t>Attack Speed Buff Bonus % (Nimble Feet + Speed Infusion, duty-cycle averaged)</t>
        </is>
      </c>
      <c r="B506">
        <f>((C499=TRUE)*F499*IF(AND(Inputs!$B$38&lt;&gt;"pvp",Inputs!$B$43&gt;0),(((R499-1)*MIN((Skills!T23*(1+Inputs!$B$34/100)),(1/Q499))+MIN((Skills!T23*(1+Inputs!$B$34/100)),MAX(0,Inputs!$B$43-((R499-1)*(1/Q499)))))/Inputs!$B$43),IF(Inputs!$B$38="pvp",MIN((Skills!T23*(1+Inputs!$B$34/100)),15)/15,MIN(1,(Skills!T23*(1+Inputs!$B$34/100))/(1/Q499)))))+((C500=TRUE)*F500*IF(AND(Inputs!$B$38&lt;&gt;"pvp",Inputs!$B$43&gt;0),(((R500-1)*MIN((Skills!T24*(1+Inputs!$B$34/100)),(1/Q500))+MIN((Skills!T24*(1+Inputs!$B$34/100)),MAX(0,Inputs!$B$43-((R500-1)*(1/Q500)))))/Inputs!$B$43),IF(Inputs!$B$38="pvp",MIN((Skills!T24*(1+Inputs!$B$34/100)),15)/15,MIN(1,(Skills!T24*(1+Inputs!$B$34/100))/(1/Q500)))))</f>
        <v/>
      </c>
    </row>
    <row r="507">
      <c r="A507" t="inlineStr">
        <is>
          <t>Actions Per Second</t>
        </is>
      </c>
      <c r="B507">
        <f>1+MIN(150,150*(1-(1-(Inputs!$B$11+((C493=TRUE)*(F493-Calc!F17))+((C494=TRUE)*(F494-Calc!F18)))/150)*(1-B506/150)))/100</f>
        <v/>
      </c>
    </row>
    <row r="508">
      <c r="A508" t="inlineStr">
        <is>
          <t>Skill + Buff Cast Rate</t>
        </is>
      </c>
      <c r="B508">
        <f>IF(AND(Inputs!$B$38&lt;&gt;"pvp",Inputs!$B$43&gt;0),SUMPRODUCT((Skills!E2:E26=TRUE)*(C478:C502=TRUE)*R478:R502*Skills!F2:F26)/Inputs!$B$43,SUMPRODUCT((Skills!E2:E26=TRUE)*(C478:C502=TRUE)*Q478:Q502*Skills!F2:F26))</f>
        <v/>
      </c>
    </row>
    <row r="509">
      <c r="A509" t="inlineStr">
        <is>
          <t>Hook Bomber Casts Per Second</t>
        </is>
      </c>
      <c r="B509">
        <f>MAX(0,B507-B508)</f>
        <v/>
      </c>
    </row>
    <row r="510">
      <c r="A510" t="inlineStr">
        <is>
          <t>Global Critical Damage Bonus % (unused)</t>
        </is>
      </c>
      <c r="B510" t="n">
        <v>0</v>
      </c>
    </row>
    <row r="511">
      <c r="A511" t="inlineStr">
        <is>
          <t>Global Final Damage Bonus % (Serpent Scale + Crossbones + Time Leap + Speed Infusion)</t>
        </is>
      </c>
      <c r="B511">
        <f>((C481=TRUE)*(F481*B517+4*(1-B517)))+((C490=TRUE)*F490*IF(AND(Inputs!$B$38&lt;&gt;"pvp",Inputs!$B$43&gt;0),(((R490-1)*MIN((Skills!T14*(1+Inputs!$B$34/100)),(1/Q490))+MIN((Skills!T14*(1+Inputs!$B$34/100)),MAX(0,Inputs!$B$43-((R490-1)*(1/Q490)))))/Inputs!$B$43),IF(Inputs!$B$38="pvp",MIN((Skills!T14*(1+Inputs!$B$34/100)),15)/15,MIN(1,(Skills!T14*(1+Inputs!$B$34/100))/(1/Q490)))))+((C491=TRUE)*F491*IF(AND(Inputs!$B$38&lt;&gt;"pvp",Inputs!$B$43&gt;0),(((R491-1)*MIN((Skills!T15*(1+Inputs!$B$34/100)),(1/Q491))+MIN((Skills!T15*(1+Inputs!$B$34/100)),MAX(0,Inputs!$B$43-((R491-1)*(1/Q491)))))/Inputs!$B$43),IF(Inputs!$B$38="pvp",MIN((Skills!T15*(1+Inputs!$B$34/100)),15)/15,MIN(1,(Skills!T15*(1+Inputs!$B$34/100))/(1/Q491)))))+((C500=TRUE)*20*((1+MIN(150,150*(1-(1-(Inputs!$B$11+((C493=TRUE)*(F493-Calc!F17))+((C494=TRUE)*(F494-Calc!F18)))/150)*(1-(((C499=TRUE)*F499*IF(AND(Inputs!$B$38&lt;&gt;"pvp",Inputs!$B$43&gt;0),(((R499-1)*MIN((Skills!T23*(1+Inputs!$B$34/100)),(1/Q499))+MIN((Skills!T23*(1+Inputs!$B$34/100)),MAX(0,Inputs!$B$43-((R499-1)*(1/Q499)))))/Inputs!$B$43),IF(Inputs!$B$38="pvp",MIN((Skills!T23*(1+Inputs!$B$34/100)),15)/15,MIN(1,(Skills!T23*(1+Inputs!$B$34/100))/(1/Q499)))))+F500)/150)))/100)-1)*IF(AND(Inputs!$B$38&lt;&gt;"pvp",Inputs!$B$43&gt;0),(((R500-1)*MIN((Skills!T24*(1+Inputs!$B$34/100)),(1/Q500))+MIN((Skills!T24*(1+Inputs!$B$34/100)),MAX(0,Inputs!$B$43-((R500-1)*(1/Q500)))))/Inputs!$B$43),IF(Inputs!$B$38="pvp",MIN((Skills!T24*(1+Inputs!$B$34/100)),15)/15,MIN(1,(Skills!T24*(1+Inputs!$B$34/100))/(1/Q500)))))</f>
        <v/>
      </c>
    </row>
    <row r="512">
      <c r="A512" t="inlineStr">
        <is>
          <t>Buff-Casting Startup Delay (s, fixed-duration only)</t>
        </is>
      </c>
      <c r="B512">
        <f>IF(AND(Inputs!$B$38&lt;&gt;"pvp",Inputs!$B$43&gt;0),SUMPRODUCT((Skills!T2:T26&gt;0)*(Skills!E2:E26=TRUE)*(C478:C502=TRUE))/B507,0)</f>
        <v/>
      </c>
    </row>
    <row r="513">
      <c r="A513" t="inlineStr">
        <is>
          <t>Boss-Only Total DPS (this block's swept value)</t>
        </is>
      </c>
      <c r="B513">
        <f>SUM(T478:T502)</f>
        <v/>
      </c>
    </row>
    <row r="514">
      <c r="A514" t="inlineStr">
        <is>
          <t>Normal-Only Total DPS (this block's swept value)</t>
        </is>
      </c>
      <c r="B514">
        <f>SUM(V478:V502)</f>
        <v/>
      </c>
    </row>
    <row r="515">
      <c r="A515" s="6" t="inlineStr">
        <is>
          <t>TOTAL DPS</t>
        </is>
      </c>
      <c r="B515" s="6">
        <f>SUM(O478:O502)</f>
        <v/>
      </c>
    </row>
    <row r="516">
      <c r="A516" t="inlineStr">
        <is>
          <t>Serpent activation interval T (this block's own Hook Bomber rate)</t>
        </is>
      </c>
      <c r="B516">
        <f>((1/Q479)+IFERROR(0.5/B509,0))</f>
        <v/>
      </c>
    </row>
    <row r="517">
      <c r="A517" t="inlineStr">
        <is>
          <t>Assault Mode uptime u (this block)</t>
        </is>
      </c>
      <c r="B517">
        <f>IF(C481=TRUE,(10+IF(Inputs!$B$3&gt;=94,5,0))/((10+IF(Inputs!$B$3&gt;=94,5,0))+IF(Inputs!$B$3&gt;=104,3,5)*B516),0)</f>
        <v/>
      </c>
    </row>
    <row r="518">
      <c r="A518" t="inlineStr">
        <is>
          <t>Nautilus Strike - Final Attack trigger rate (this block's own Q/R)</t>
        </is>
      </c>
      <c r="B518">
        <f>IF(AND(Inputs!$B$38&lt;&gt;"pvp",Inputs!$B$43&gt;0),(((C482=TRUE)*R482)+((C483=TRUE)*R483)+((C486=TRUE)*R486))/Inputs!$B$43,((C482=TRUE)*Q482)+((C483=TRUE)*Q483)+((C486=TRUE)*Q486))+B509</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541=TRUE)*(F541-Calc!F20)),(Inputs!$B$23+0+(IF(ArtifactsInput!$M$15,CHOOSE(ArtifactsInput!$N$15+1,25,30,35,40,45,50)/100*(Inputs!$B$11-Inputs!$B$11),0))))/100+(Inputs!$B$23+0+(IF(ArtifactsInput!$M$15,CHOOSE(ArtifactsInput!$N$15+1,25,30,35,40,45,50)/100*(Inputs!$B$11-Inputs!$B$11),0)))/100)/2</f>
        <v/>
      </c>
      <c r="M523">
        <f>L523*(1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IF(B560=0,0,O523/B560)</f>
        <v/>
      </c>
      <c r="Q523" t="n">
        <v>0</v>
      </c>
      <c r="R523" t="n">
        <v>0</v>
      </c>
      <c r="S523">
        <f>IFERROR(O523/N523,0)</f>
        <v/>
      </c>
      <c r="T523">
        <f>IF(C523,(Skills!G2*N523*B554)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IF(C523,(Skills!G2*N523*B554)*IF(Inputs!$B$38="pvp",1,(1+(Inputs!$B$21+Skills!Q2+(IF(ArtifactsInput!$M$33,CHOOSE(ArtifactsInput!$N$33+1,30,36,42,48,54,60),0))+(IF(AND(ArtifactsInput!$M$35,Inputs!$B$4&lt;&gt;"Chapter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Inputs!$B$3&gt;=35</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f>Skills!G3*IF(Skills!H3&gt;0,Skills!I3/Skills!H3,1)</f>
        <v/>
      </c>
      <c r="H524">
        <f>1-(1-Skills!J3/100)^Skills!K3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546=TRUE,F546,0)/100)*(1+(IF(Skills!A3="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541=TRUE)*(F541-Calc!F20)),(Inputs!$B$23+0+(IF(ArtifactsInput!$M$15,CHOOSE(ArtifactsInput!$N$15+1,25,30,35,40,45,50)/100*(Inputs!$B$11-Inputs!$B$11),0))))/100+(Inputs!$B$23+0+(IF(ArtifactsInput!$M$15,CHOOSE(ArtifactsInput!$N$15+1,25,30,35,40,45,50)/100*(Inputs!$B$11-Inputs!$B$11),0)))/100)/2</f>
        <v/>
      </c>
      <c r="M524">
        <f>L524*(1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IF(B560=0,0,O524/B560)</f>
        <v/>
      </c>
      <c r="Q524">
        <f>IFERROR(1/(IF(Inputs!$B$38="pvp",15,MAX(0.1,Skills!D3-IF(TRUE=TRUE,Inputs!$B$32,0)))*(1-IF(AND(ArtifactsInput!$M$27,Inputs!$B$4="Chapter Hunt"),CHOOSE(ArtifactsInput!$N$27+1,20,24,28,32,36,40),0)/100)),0)</f>
        <v/>
      </c>
      <c r="R524">
        <f>IF(AND(Inputs!$B$38&lt;&gt;"pvp",Inputs!$B$43&gt;0),IF(MAX(0,Inputs!$B$43-B557)&lt;=0,0,(INT(MAX(0,Inputs!$B$43-B557)/(IF(Inputs!$B$38="pvp",15,MAX(0.1,Skills!D3-IF(TRUE=TRUE,Inputs!$B$32,0)))*(1-IF(AND(ArtifactsInput!$M$27,Inputs!$B$4="Chapter Hunt"),CHOOSE(ArtifactsInput!$N$27+1,20,24,28,32,36,40),0)/100)))+1)),0)</f>
        <v/>
      </c>
      <c r="S524">
        <f>IFERROR(O524/N524,0)</f>
        <v/>
      </c>
      <c r="T524">
        <f>IF(C524,(Skills!G3*N524*IF(C525=TRUE,1-B562,1)/B561)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INDEX(FactorTable!$B$2:$Y$301, MATCH(ROUND(MIN(300,MAX(1,U523)),0), FactorTable!$A$2:$A$301,0), 22)</f>
        <v/>
      </c>
      <c r="V524">
        <f>IF(C524,(Skills!G3*N524*IF(C525=TRUE,1-B562,1)/B561)*IF(Inputs!$B$38="pvp",1,(1+(Inputs!$B$21+Skills!Q3+(IF(ArtifactsInput!$M$33,CHOOSE(ArtifactsInput!$N$33+1,30,36,42,48,54,60),0))+(IF(AND(ArtifactsInput!$M$35,Inputs!$B$4&lt;&gt;"Chapter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Skills!A4</f>
        <v/>
      </c>
      <c r="B525">
        <f>Skills!B4</f>
        <v/>
      </c>
      <c r="C525">
        <f>Inputs!$B$3&gt;=69</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f>Skills!G4*IF(Skills!H4&gt;0,Skills!I4/Skills!H4,1)</f>
        <v/>
      </c>
      <c r="H525">
        <f>1-(1-Skills!J4/100)^Skills!K4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533=TRUE,F533,0)/100)*(1+(IF(Skills!A4="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541=TRUE)*(F541-Calc!F20)),(Inputs!$B$23+0+(IF(ArtifactsInput!$M$15,CHOOSE(ArtifactsInput!$N$15+1,25,30,35,40,45,50)/100*(Inputs!$B$11-Inputs!$B$11),0))))/100+(Inputs!$B$23+0+(IF(ArtifactsInput!$M$15,CHOOSE(ArtifactsInput!$N$15+1,25,30,35,40,45,50)/100*(Inputs!$B$11-Inputs!$B$11),0)))/100)/2</f>
        <v/>
      </c>
      <c r="M525">
        <f>L525*(1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IF(B560=0,0,O525/B560)</f>
        <v/>
      </c>
      <c r="Q525" t="n">
        <v>0</v>
      </c>
      <c r="R525" t="n">
        <v>0</v>
      </c>
      <c r="S525">
        <f>IFERROR(O525/N525,0)</f>
        <v/>
      </c>
      <c r="T525">
        <f>IF(C525,(Skills!G4*N525*B562/B561)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290*U524/1000</f>
        <v/>
      </c>
      <c r="V525">
        <f>IF(C525,(Skills!G4*N525*B562/B561)*IF(Inputs!$B$38="pvp",1,(1+(Inputs!$B$21+Skills!Q4+(IF(ArtifactsInput!$M$33,CHOOSE(ArtifactsInput!$N$33+1,30,36,42,48,54,60),0))+(IF(AND(ArtifactsInput!$M$35,Inputs!$B$4&lt;&gt;"Chapter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Skills!A5</f>
        <v/>
      </c>
      <c r="B526">
        <f>Skills!B5</f>
        <v/>
      </c>
      <c r="C526">
        <f>Inputs!$B$3&gt;=66</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t="inlineStr"/>
      <c r="K526" t="inlineStr"/>
      <c r="L526" t="inlineStr"/>
      <c r="M526" t="inlineStr"/>
      <c r="N526" t="inlineStr"/>
      <c r="O526">
        <f>(1-Summary!$B$11)*T526+Summary!$B$11*V526</f>
        <v/>
      </c>
      <c r="P526">
        <f>IF(B560=0,0,O526/B560)</f>
        <v/>
      </c>
      <c r="Q526" t="n">
        <v>0</v>
      </c>
      <c r="R526" t="n">
        <v>0</v>
      </c>
      <c r="S526">
        <f>IFERROR(O526/N526,0)</f>
        <v/>
      </c>
      <c r="T526" t="n">
        <v>0</v>
      </c>
      <c r="V526" t="n">
        <v>0</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533=TRUE,F533,0)/100)*(1+(IF(Skills!A6="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541=TRUE)*(F541-Calc!F20)),(Inputs!$B$23+0+(IF(ArtifactsInput!$M$15,CHOOSE(ArtifactsInput!$N$15+1,25,30,35,40,45,50)/100*(Inputs!$B$11-Inputs!$B$11),0))))/100+(Inputs!$B$23+0+(IF(ArtifactsInput!$M$15,CHOOSE(ArtifactsInput!$N$15+1,25,30,35,40,45,50)/100*(Inputs!$B$11-Inputs!$B$11),0)))/100)/2</f>
        <v/>
      </c>
      <c r="M527">
        <f>L527*(1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IF(B560=0,0,O527/B560)</f>
        <v/>
      </c>
      <c r="Q527">
        <f>IFERROR(1/(IF(Inputs!$B$38="pvp",15,MAX(0.1,Skills!D6-IF(TRUE=TRUE,Inputs!$B$32,0)))*(1-IF(AND(ArtifactsInput!$M$27,Inputs!$B$4="Chapter Hunt"),CHOOSE(ArtifactsInput!$N$27+1,20,24,28,32,36,40),0)/100)),0)</f>
        <v/>
      </c>
      <c r="R527">
        <f>IF(AND(Inputs!$B$38&lt;&gt;"pvp",Inputs!$B$43&gt;0),IF(MAX(0,Inputs!$B$43-B557)&lt;=0,0,(INT(MAX(0,Inputs!$B$43-B557)/(IF(Inputs!$B$38="pvp",15,MAX(0.1,Skills!D6-IF(TRUE=TRUE,Inputs!$B$32,0)))*(1-IF(AND(ArtifactsInput!$M$27,Inputs!$B$4="Chapter Hunt"),CHOOSE(ArtifactsInput!$N$27+1,20,24,28,32,36,40),0)/100)))+1)),0)</f>
        <v/>
      </c>
      <c r="S527">
        <f>IFERROR(O527/N527,0)</f>
        <v/>
      </c>
      <c r="T527">
        <f>IF(C527,(H527*N527*IF(AND(Inputs!$B$38&lt;&gt;"pvp",Inputs!$B$43&gt;0),((Skills!G6*((R527-1)*IF(Skills!H6&gt;0,Skills!I6/Skills!H6,1)+IF(Skills!H6&gt;0,MIN(Skills!I6,MAX(0,MAX(0,Inputs!$B$43-B557)-((R527-1)*(IF(Inputs!$B$38="pvp",15,MAX(0.1,Skills!D6-IF(TRUE=TRUE,Inputs!$B$32,0)))*(1-IF(AND(ArtifactsInput!$M$27,Inputs!$B$4="Chapter Hunt"),CHOOSE(ArtifactsInput!$N$27+1,20,24,28,32,36,40),0)/100)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557)-((R527-1)*(IF(Inputs!$B$38="pvp",15,MAX(0.1,Skills!D6-IF(TRUE=TRUE,Inputs!$B$32,0)))*(1-IF(AND(ArtifactsInput!$M$27,Inputs!$B$4="Chapter Hunt"),CHOOSE(ArtifactsInput!$N$27+1,20,24,28,32,36,40),0)/100)))))/Skills!H6,1)))/Inputs!$B$43),G527*Q527))*IF(Inputs!$B$38="pvp",1,(1+(Inputs!$B$21+Skills!Q6+(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Inputs!$B$3&gt;=103</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541=TRUE)*(F541-Calc!F20)),(Inputs!$B$23+0+(IF(ArtifactsInput!$M$15,CHOOSE(ArtifactsInput!$N$15+1,25,30,35,40,45,50)/100*(Inputs!$B$11-Inputs!$B$11),0))))/100+(Inputs!$B$23+0+(IF(ArtifactsInput!$M$15,CHOOSE(ArtifactsInput!$N$15+1,25,30,35,40,45,50)/100*(Inputs!$B$11-Inputs!$B$11),0)))/100)/2</f>
        <v/>
      </c>
      <c r="M528">
        <f>L528*(1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IF(B560=0,0,O528/B560)</f>
        <v/>
      </c>
      <c r="Q528">
        <f>IFERROR(1/(IF(Inputs!$B$38="pvp",15,MAX(0.1,Skills!D7-IF(TRUE=TRUE,Inputs!$B$32,0)))*(1-IF(AND(ArtifactsInput!$M$27,Inputs!$B$4="Chapter Hunt"),CHOOSE(ArtifactsInput!$N$27+1,20,24,28,32,36,40),0)/100)),0)</f>
        <v/>
      </c>
      <c r="R528">
        <f>IF(AND(Inputs!$B$38&lt;&gt;"pvp",Inputs!$B$43&gt;0),IF(MAX(0,Inputs!$B$43-B557)&lt;=0,0,(INT(MAX(0,Inputs!$B$43-B557)/(IF(Inputs!$B$38="pvp",15,MAX(0.1,Skills!D7-IF(TRUE=TRUE,Inputs!$B$32,0)))*(1-IF(AND(ArtifactsInput!$M$27,Inputs!$B$4="Chapter Hunt"),CHOOSE(ArtifactsInput!$N$27+1,20,24,28,32,36,40),0)/100)))+1)),0)</f>
        <v/>
      </c>
      <c r="S528">
        <f>IFERROR(O528/N528,0)</f>
        <v/>
      </c>
      <c r="T528">
        <f>IF(C528,(H528*N528*IF(AND(Inputs!$B$38&lt;&gt;"pvp",Inputs!$B$43&gt;0),((Skills!G7*((R528-1)*IF(Skills!H7&gt;0,Skills!I7/Skills!H7,1)+IF(Skills!H7&gt;0,MIN(Skills!I7,MAX(0,MAX(0,Inputs!$B$43-B557)-((R528-1)*(IF(Inputs!$B$38="pvp",15,MAX(0.1,Skills!D7-IF(TRUE=TRUE,Inputs!$B$32,0)))*(1-IF(AND(ArtifactsInput!$M$27,Inputs!$B$4="Chapter Hunt"),CHOOSE(ArtifactsInput!$N$27+1,20,24,28,32,36,40),0)/100)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557)-((R528-1)*(IF(Inputs!$B$38="pvp",15,MAX(0.1,Skills!D7-IF(TRUE=TRUE,Inputs!$B$32,0)))*(1-IF(AND(ArtifactsInput!$M$27,Inputs!$B$4="Chapter Hunt"),CHOOSE(ArtifactsInput!$N$27+1,20,24,28,32,36,40),0)/100)))))/Skills!H7,1)))/Inputs!$B$43),G528*Q528))*IF(Inputs!$B$38="pvp",1,(1+(Inputs!$B$21+Skills!Q7+(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Inputs!$B$3&gt;=117</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f>Skills!G8*IF(Skills!H8&gt;0,Skills!I8/Skills!H8,1)</f>
        <v/>
      </c>
      <c r="H529">
        <f>1-(1-Skills!J8/100)^Skills!K8</f>
        <v/>
      </c>
      <c r="I529" t="inlineStr">
        <is>
          <t>1</t>
        </is>
      </c>
      <c r="J529">
        <f>((Inputs!$B$6*(1+Inputs!$B$7/100))+(((Inputs!$B$12*(1+Inputs!$B$13/100))-(Inputs!$B$12*(1+Inputs!$B$13/100)))+0.25*(Inputs!$B$14-Inputs!$B$14))*(1+Inputs!$B$7/100))*(F529/100)</f>
        <v/>
      </c>
      <c r="K529">
        <f>J529*(1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C541=TRUE)*(F541-Calc!F20)),(Inputs!$B$23+0+(IF(ArtifactsInput!$M$15,CHOOSE(ArtifactsInput!$N$15+1,25,30,35,40,45,50)/100*(Inputs!$B$11-Inputs!$B$11),0))))/100+(Inputs!$B$23+0+(IF(ArtifactsInput!$M$15,CHOOSE(ArtifactsInput!$N$15+1,25,30,35,40,45,50)/100*(Inputs!$B$11-Inputs!$B$11),0)))/100)/2</f>
        <v/>
      </c>
      <c r="M529">
        <f>L529*(1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9">
        <f>L529*(1-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(1-Summary!$B$11)*T529+Summary!$B$11*V529</f>
        <v/>
      </c>
      <c r="P529">
        <f>IF(B560=0,0,O529/B560)</f>
        <v/>
      </c>
      <c r="Q529">
        <f>IFERROR(1/(IF(Inputs!$B$38="pvp",15,MAX(0.1,Skills!D8-IF(TRUE=TRUE,Inputs!$B$32,0)))*(1-IF(AND(ArtifactsInput!$M$27,Inputs!$B$4="Chapter Hunt"),CHOOSE(ArtifactsInput!$N$27+1,20,24,28,32,36,40),0)/100)),0)</f>
        <v/>
      </c>
      <c r="R529">
        <f>IF(AND(Inputs!$B$38&lt;&gt;"pvp",Inputs!$B$43&gt;0),IF(MAX(0,Inputs!$B$43-B557)&lt;=0,0,(INT(MAX(0,Inputs!$B$43-B557)/(IF(Inputs!$B$38="pvp",15,MAX(0.1,Skills!D8-IF(TRUE=TRUE,Inputs!$B$32,0)))*(1-IF(AND(ArtifactsInput!$M$27,Inputs!$B$4="Chapter Hunt"),CHOOSE(ArtifactsInput!$N$27+1,20,24,28,32,36,40),0)/100)))+1)),0)</f>
        <v/>
      </c>
      <c r="S529">
        <f>IFERROR(O529/N529,0)</f>
        <v/>
      </c>
      <c r="T529">
        <f>IF(C529,(H529*N529*IF(AND(Inputs!$B$38&lt;&gt;"pvp",Inputs!$B$43&gt;0),((Skills!G8*((R529-1)*IF(Skills!H8&gt;0,Skills!I8/Skills!H8,1)+IF(Skills!H8&gt;0,MIN(Skills!I8,MAX(0,MAX(0,Inputs!$B$43-B557)-((R529-1)*(IF(Inputs!$B$38="pvp",15,MAX(0.1,Skills!D8-IF(TRUE=TRUE,Inputs!$B$32,0)))*(1-IF(AND(ArtifactsInput!$M$27,Inputs!$B$4="Chapter Hunt"),CHOOSE(ArtifactsInput!$N$27+1,20,24,28,32,36,40),0)/100)))))/Skills!H8,1)))/Inputs!$B$43),G529*Q529)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529*(1-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9">
        <f>IF(C529,(H529*N529*IF(AND(Inputs!$B$38&lt;&gt;"pvp",Inputs!$B$43&gt;0),((Skills!G8*((R529-1)*IF(Skills!H8&gt;0,Skills!I8/Skills!H8,1)+IF(Skills!H8&gt;0,MIN(Skills!I8,MAX(0,MAX(0,Inputs!$B$43-B557)-((R529-1)*(IF(Inputs!$B$38="pvp",15,MAX(0.1,Skills!D8-IF(TRUE=TRUE,Inputs!$B$32,0)))*(1-IF(AND(ArtifactsInput!$M$27,Inputs!$B$4="Chapter Hunt"),CHOOSE(ArtifactsInput!$N$27+1,20,24,28,32,36,40),0)/100)))))/Skills!H8,1)))/Inputs!$B$43),G529*Q529))*IF(Inputs!$B$38="pvp",1,(1+(Inputs!$B$21+Skills!Q8+(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Skills!A9</f>
        <v/>
      </c>
      <c r="B530">
        <f>Skills!B9</f>
        <v/>
      </c>
      <c r="C530">
        <f>Inputs!$B$3&gt;=120</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B562</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541=TRUE)*(F541-Calc!F20)),(Inputs!$B$23+0+(IF(ArtifactsInput!$M$15,CHOOSE(ArtifactsInput!$N$15+1,25,30,35,40,45,50)/100*(Inputs!$B$11-Inputs!$B$11),0))))/100+(Inputs!$B$23+0+(IF(ArtifactsInput!$M$15,CHOOSE(ArtifactsInput!$N$15+1,25,30,35,40,45,50)/100*(Inputs!$B$11-Inputs!$B$11),0)))/100)/2</f>
        <v/>
      </c>
      <c r="M530">
        <f>L530*(1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IF(B560=0,0,O530/B560)</f>
        <v/>
      </c>
      <c r="Q530">
        <f>IFERROR(1/(IF(Inputs!$B$38="pvp",15,MAX(0.1,Skills!D9-IF(TRUE=TRUE,Inputs!$B$32,0)))*(1-IF(AND(ArtifactsInput!$M$27,Inputs!$B$4="Chapter Hunt"),CHOOSE(ArtifactsInput!$N$27+1,20,24,28,32,36,40),0)/100)),0)</f>
        <v/>
      </c>
      <c r="R530">
        <f>IF(AND(Inputs!$B$38&lt;&gt;"pvp",Inputs!$B$43&gt;0),IF(MAX(0,Inputs!$B$43-B557)&lt;=0,0,(INT(MAX(0,Inputs!$B$43-B557)/(IF(Inputs!$B$38="pvp",15,MAX(0.1,Skills!D9-IF(TRUE=TRUE,Inputs!$B$32,0)))*(1-IF(AND(ArtifactsInput!$M$27,Inputs!$B$4="Chapter Hunt"),CHOOSE(ArtifactsInput!$N$27+1,20,24,28,32,36,40),0)/100)))+1)),0)</f>
        <v/>
      </c>
      <c r="S530">
        <f>IFERROR(O530/N530,0)</f>
        <v/>
      </c>
      <c r="T530">
        <f>IF(C530,(H530*N530*IF(AND(Inputs!$B$38&lt;&gt;"pvp",Inputs!$B$43&gt;0),((Skills!G9*((R530-1)*IF(Skills!H9&gt;0,Skills!I9/Skills!H9,1)+IF(Skills!H9&gt;0,MIN(Skills!I9,MAX(0,MAX(0,Inputs!$B$43-B557)-((R530-1)*(IF(Inputs!$B$38="pvp",15,MAX(0.1,Skills!D9-IF(TRUE=TRUE,Inputs!$B$32,0)))*(1-IF(AND(ArtifactsInput!$M$27,Inputs!$B$4="Chapter Hunt"),CHOOSE(ArtifactsInput!$N$27+1,20,24,28,32,36,40),0)/100)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557)-((R530-1)*(IF(Inputs!$B$38="pvp",15,MAX(0.1,Skills!D9-IF(TRUE=TRUE,Inputs!$B$32,0)))*(1-IF(AND(ArtifactsInput!$M$27,Inputs!$B$4="Chapter Hunt"),CHOOSE(ArtifactsInput!$N$27+1,20,24,28,32,36,40),0)/100)))))/Skills!H9,1)))/Inputs!$B$43),G530*Q530))*IF(Inputs!$B$38="pvp",1,(1+(Inputs!$B$21+Skills!Q9+(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Inputs!$B$3&gt;=105</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541=TRUE)*(F541-Calc!F20)),(Inputs!$B$23+0+(IF(ArtifactsInput!$M$15,CHOOSE(ArtifactsInput!$N$15+1,25,30,35,40,45,50)/100*(Inputs!$B$11-Inputs!$B$11),0))))/100+(Inputs!$B$23+0+(IF(ArtifactsInput!$M$15,CHOOSE(ArtifactsInput!$N$15+1,25,30,35,40,45,50)/100*(Inputs!$B$11-Inputs!$B$11),0)))/100)/2</f>
        <v/>
      </c>
      <c r="M531">
        <f>L531*(1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IF(B560=0,0,O531/B560)</f>
        <v/>
      </c>
      <c r="Q531">
        <f>IFERROR(1/(IF(Inputs!$B$38="pvp",15,MAX(0.1,Skills!D10-IF(TRUE=TRUE,Inputs!$B$32,0)))*(1-IF(AND(ArtifactsInput!$M$27,Inputs!$B$4="Chapter Hunt"),CHOOSE(ArtifactsInput!$N$27+1,20,24,28,32,36,40),0)/100)),0)</f>
        <v/>
      </c>
      <c r="R531">
        <f>IF(AND(Inputs!$B$38&lt;&gt;"pvp",Inputs!$B$43&gt;0),IF(MAX(0,Inputs!$B$43-B557)&lt;=0,0,(INT(MAX(0,Inputs!$B$43-B557)/(IF(Inputs!$B$38="pvp",15,MAX(0.1,Skills!D10-IF(TRUE=TRUE,Inputs!$B$32,0)))*(1-IF(AND(ArtifactsInput!$M$27,Inputs!$B$4="Chapter Hunt"),CHOOSE(ArtifactsInput!$N$27+1,20,24,28,32,36,40),0)/100)))+1)),0)</f>
        <v/>
      </c>
      <c r="S531">
        <f>IFERROR(O531/N531,0)</f>
        <v/>
      </c>
      <c r="T531">
        <f>IF(C531,(H531*N531*IF(AND(Inputs!$B$38&lt;&gt;"pvp",Inputs!$B$43&gt;0),((Skills!G10*((R531-1)*IF(Skills!H10&gt;0,Skills!I10/Skills!H10,1)+IF(Skills!H10&gt;0,MIN(Skills!I10,MAX(0,MAX(0,Inputs!$B$43-B557)-((R531-1)*(IF(Inputs!$B$38="pvp",15,MAX(0.1,Skills!D10-IF(TRUE=TRUE,Inputs!$B$32,0)))*(1-IF(AND(ArtifactsInput!$M$27,Inputs!$B$4="Chapter Hunt"),CHOOSE(ArtifactsInput!$N$27+1,20,24,28,32,36,40),0)/100)))))/Skills!H10,1)))/Inputs!$B$43),G531*Q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H531*N531*IF(AND(Inputs!$B$38&lt;&gt;"pvp",Inputs!$B$43&gt;0),((Skills!G10*((R531-1)*IF(Skills!H10&gt;0,Skills!I10/Skills!H10,1)+IF(Skills!H10&gt;0,MIN(Skills!I10,MAX(0,MAX(0,Inputs!$B$43-B557)-((R531-1)*(IF(Inputs!$B$38="pvp",15,MAX(0.1,Skills!D10-IF(TRUE=TRUE,Inputs!$B$32,0)))*(1-IF(AND(ArtifactsInput!$M$27,Inputs!$B$4="Chapter Hunt"),CHOOSE(ArtifactsInput!$N$27+1,20,24,28,32,36,40),0)/100)))))/Skills!H10,1)))/Inputs!$B$43),G531*Q531))*IF(Inputs!$B$38="pvp",1,(1+(Inputs!$B$21+Skills!Q10+(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Inputs!$B$3&gt;=113</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541=TRUE)*(F541-Calc!F20)),(Inputs!$B$23+0+(IF(ArtifactsInput!$M$15,CHOOSE(ArtifactsInput!$N$15+1,25,30,35,40,45,50)/100*(Inputs!$B$11-Inputs!$B$11),0))))/100+(Inputs!$B$23+0+(IF(ArtifactsInput!$M$15,CHOOSE(ArtifactsInput!$N$15+1,25,30,35,40,45,50)/100*(Inputs!$B$11-Inputs!$B$11),0)))/100)/2</f>
        <v/>
      </c>
      <c r="M532">
        <f>L532*(1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IF(B560=0,0,O532/B560)</f>
        <v/>
      </c>
      <c r="Q532" t="n">
        <v>0</v>
      </c>
      <c r="R532" t="n">
        <v>0</v>
      </c>
      <c r="S532">
        <f>IFERROR(O532/N532,0)</f>
        <v/>
      </c>
      <c r="T532">
        <f>IF(C532,((H532*B563)/(1+Skills!H11*H532*B563)*N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IF(C532,((H532*B563)/(1+Skills!H11*H532*B563)*N532)*IF(Inputs!$B$38="pvp",1,(1+(Inputs!$B$21+Skills!Q11+(IF(ArtifactsInput!$M$33,CHOOSE(ArtifactsInput!$N$33+1,30,36,42,48,54,60),0))+(IF(AND(ArtifactsInput!$M$35,Inputs!$B$4&lt;&gt;"Chapter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Inputs!$B$3&gt;=100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t="inlineStr"/>
      <c r="H533" t="inlineStr"/>
      <c r="I533" t="inlineStr">
        <is>
          <t>1</t>
        </is>
      </c>
      <c r="J533" t="inlineStr"/>
      <c r="K533" t="inlineStr"/>
      <c r="L533" t="inlineStr"/>
      <c r="M533" t="inlineStr"/>
      <c r="N533" t="inlineStr"/>
      <c r="O533" t="inlineStr"/>
      <c r="P533" t="inlineStr"/>
      <c r="Q533" t="inlineStr"/>
      <c r="R533" t="inlineStr"/>
      <c r="S533" t="inlineStr"/>
      <c r="T533" t="inlineStr"/>
      <c r="V533" t="inlineStr"/>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IF(B560=0,0,O534/B560)</f>
        <v/>
      </c>
      <c r="Q534" t="n">
        <v>0</v>
      </c>
      <c r="R534" t="n">
        <v>0</v>
      </c>
      <c r="S534">
        <f>IFERROR(O534/N534,0)</f>
        <v/>
      </c>
      <c r="T534" t="n">
        <v>0</v>
      </c>
      <c r="V534" t="n">
        <v>0</v>
      </c>
    </row>
    <row r="535">
      <c r="A535">
        <f>Skills!A14</f>
        <v/>
      </c>
      <c r="B535">
        <f>Skills!B14</f>
        <v/>
      </c>
      <c r="C535">
        <f>Inputs!$B$3&gt;=115</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IF(B560=0,0,O535/B560)</f>
        <v/>
      </c>
      <c r="Q535">
        <f>IFERROR(1/(IF(Inputs!$B$38="pvp",15,MAX(0.1,Skills!D14-IF(TRUE=TRUE,Inputs!$B$32,0)))*(1-IF(AND(ArtifactsInput!$M$27,Inputs!$B$4="Chapter Hunt"),CHOOSE(ArtifactsInput!$N$27+1,20,24,28,32,36,40),0)/100)),0)</f>
        <v/>
      </c>
      <c r="R535">
        <f>IF(AND(Inputs!$B$38&lt;&gt;"pvp",Inputs!$B$43&gt;0),IF(Inputs!$B$43&lt;=0,0,(INT(Inputs!$B$43/(IF(Inputs!$B$38="pvp",15,MAX(0.1,Skills!D14-IF(TRUE=TRUE,Inputs!$B$32,0)))*(1-IF(AND(ArtifactsInput!$M$27,Inputs!$B$4="Chapter Hunt"),CHOOSE(ArtifactsInput!$N$27+1,20,24,28,32,36,40),0)/100)))+1)),0)</f>
        <v/>
      </c>
      <c r="S535">
        <f>IFERROR(O535/N535,0)</f>
        <v/>
      </c>
      <c r="T535" t="n">
        <v>0</v>
      </c>
      <c r="V535" t="n">
        <v>0</v>
      </c>
    </row>
    <row r="536">
      <c r="A536">
        <f>Skills!A15</f>
        <v/>
      </c>
      <c r="B536">
        <f>Skills!B15</f>
        <v/>
      </c>
      <c r="C536">
        <f>Inputs!$B$3&gt;=125</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IF(B560=0,0,O536/B560)</f>
        <v/>
      </c>
      <c r="Q536">
        <f>IFERROR(1/(IF(Inputs!$B$38="pvp",15,MAX(0.1,Skills!D15-IF(TRUE=TRUE,Inputs!$B$32,0)))*(1-IF(AND(ArtifactsInput!$M$27,Inputs!$B$4="Chapter Hunt"),CHOOSE(ArtifactsInput!$N$27+1,20,24,28,32,36,40),0)/100)),0)</f>
        <v/>
      </c>
      <c r="R536">
        <f>IF(AND(Inputs!$B$38&lt;&gt;"pvp",Inputs!$B$43&gt;0),IF(Inputs!$B$43&lt;=0,0,(INT(Inputs!$B$43/(IF(Inputs!$B$38="pvp",15,MAX(0.1,Skills!D15-IF(TRUE=TRUE,Inputs!$B$32,0)))*(1-IF(AND(ArtifactsInput!$M$27,Inputs!$B$4="Chapter Hunt"),CHOOSE(ArtifactsInput!$N$27+1,20,24,28,32,36,40),0)/100)))+1)),0)</f>
        <v/>
      </c>
      <c r="S536">
        <f>IFERROR(O536/N536,0)</f>
        <v/>
      </c>
      <c r="T536" t="n">
        <v>0</v>
      </c>
      <c r="V536" t="n">
        <v>0</v>
      </c>
    </row>
    <row r="537">
      <c r="A537">
        <f>Skills!A16</f>
        <v/>
      </c>
      <c r="B537">
        <f>Skills!B16</f>
        <v/>
      </c>
      <c r="C537">
        <f>Inputs!$B$3&gt;=10</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IF(B560=0,0,O537/B560)</f>
        <v/>
      </c>
      <c r="Q537" t="n">
        <v>0</v>
      </c>
      <c r="R537" t="n">
        <v>0</v>
      </c>
      <c r="S537">
        <f>IFERROR(O537/N537,0)</f>
        <v/>
      </c>
      <c r="T537" t="n">
        <v>0</v>
      </c>
      <c r="V537" t="n">
        <v>0</v>
      </c>
    </row>
    <row r="538">
      <c r="A538">
        <f>Skills!A17</f>
        <v/>
      </c>
      <c r="B538">
        <f>Skills!B17</f>
        <v/>
      </c>
      <c r="C538">
        <f>Inputs!$B$3&gt;=15</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IF(B560=0,0,O538/B560)</f>
        <v/>
      </c>
      <c r="Q538" t="n">
        <v>0</v>
      </c>
      <c r="R538" t="n">
        <v>0</v>
      </c>
      <c r="S538">
        <f>IFERROR(O538/N538,0)</f>
        <v/>
      </c>
      <c r="T538" t="n">
        <v>0</v>
      </c>
      <c r="V538" t="n">
        <v>0</v>
      </c>
    </row>
    <row r="539">
      <c r="A539">
        <f>Skills!A18</f>
        <v/>
      </c>
      <c r="B539">
        <f>Skills!B18</f>
        <v/>
      </c>
      <c r="C539">
        <f>Inputs!$B$3&gt;=33</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IF(B560=0,0,O539/B560)</f>
        <v/>
      </c>
      <c r="Q539" t="n">
        <v>0</v>
      </c>
      <c r="R539" t="n">
        <v>0</v>
      </c>
      <c r="S539">
        <f>IFERROR(O539/N539,0)</f>
        <v/>
      </c>
      <c r="T539" t="n">
        <v>0</v>
      </c>
      <c r="V539" t="n">
        <v>0</v>
      </c>
    </row>
    <row r="540">
      <c r="A540">
        <f>Skills!A19</f>
        <v/>
      </c>
      <c r="B540">
        <f>Skills!B19</f>
        <v/>
      </c>
      <c r="C540">
        <f>Inputs!$B$3&gt;=40</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IF(B560=0,0,O540/B560)</f>
        <v/>
      </c>
      <c r="Q540" t="n">
        <v>0</v>
      </c>
      <c r="R540" t="n">
        <v>0</v>
      </c>
      <c r="S540">
        <f>IFERROR(O540/N540,0)</f>
        <v/>
      </c>
      <c r="T540" t="n">
        <v>0</v>
      </c>
      <c r="V540" t="n">
        <v>0</v>
      </c>
    </row>
    <row r="541">
      <c r="A541">
        <f>Skills!A20</f>
        <v/>
      </c>
      <c r="B541">
        <f>Skills!B20</f>
        <v/>
      </c>
      <c r="C541">
        <f>Inputs!$B$3&gt;=43</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IF(B560=0,0,O541/B560)</f>
        <v/>
      </c>
      <c r="Q541" t="n">
        <v>0</v>
      </c>
      <c r="R541" t="n">
        <v>0</v>
      </c>
      <c r="S541">
        <f>IFERROR(O541/N541,0)</f>
        <v/>
      </c>
      <c r="T541" t="n">
        <v>0</v>
      </c>
      <c r="V541" t="n">
        <v>0</v>
      </c>
    </row>
    <row r="542">
      <c r="A542">
        <f>Skills!A21</f>
        <v/>
      </c>
      <c r="B542">
        <f>Skills!B21</f>
        <v/>
      </c>
      <c r="C542">
        <f>Inputs!$B$3&gt;=38</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IF(B560=0,0,O542/B560)</f>
        <v/>
      </c>
      <c r="Q542" t="n">
        <v>0</v>
      </c>
      <c r="R542" t="n">
        <v>0</v>
      </c>
      <c r="S542">
        <f>IFERROR(O542/N542,0)</f>
        <v/>
      </c>
      <c r="T542" t="n">
        <v>0</v>
      </c>
      <c r="V542" t="n">
        <v>0</v>
      </c>
    </row>
    <row r="543">
      <c r="A543">
        <f>Skills!A22</f>
        <v/>
      </c>
      <c r="B543">
        <f>Skills!B22</f>
        <v/>
      </c>
      <c r="C543">
        <f>Inputs!$B$3&gt;=75</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IF(B560=0,0,O543/B560)</f>
        <v/>
      </c>
      <c r="Q543" t="n">
        <v>0</v>
      </c>
      <c r="R543" t="n">
        <v>0</v>
      </c>
      <c r="S543">
        <f>IFERROR(O543/N543,0)</f>
        <v/>
      </c>
      <c r="T543" t="n">
        <v>0</v>
      </c>
      <c r="V543" t="n">
        <v>0</v>
      </c>
    </row>
    <row r="544">
      <c r="A544">
        <f>Skills!A23</f>
        <v/>
      </c>
      <c r="B544">
        <f>Skills!B23</f>
        <v/>
      </c>
      <c r="C544">
        <f>TRUE</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IF(B560=0,0,O544/B560)</f>
        <v/>
      </c>
      <c r="Q544">
        <f>IFERROR(1/(IF(Inputs!$B$38="pvp",15,MAX(0.1,Skills!D23-IF(TRUE=TRUE,Inputs!$B$32,0)))*(1-IF(AND(ArtifactsInput!$M$27,Inputs!$B$4="Chapter Hunt"),CHOOSE(ArtifactsInput!$N$27+1,20,24,28,32,36,40),0)/100)),0)</f>
        <v/>
      </c>
      <c r="R544">
        <f>IF(AND(Inputs!$B$38&lt;&gt;"pvp",Inputs!$B$43&gt;0),IF(Inputs!$B$43&lt;=0,0,(INT(Inputs!$B$43/(IF(Inputs!$B$38="pvp",15,MAX(0.1,Skills!D23-IF(TRUE=TRUE,Inputs!$B$32,0)))*(1-IF(AND(ArtifactsInput!$M$27,Inputs!$B$4="Chapter Hunt"),CHOOSE(ArtifactsInput!$N$27+1,20,24,28,32,36,40),0)/100)))+1)),0)</f>
        <v/>
      </c>
      <c r="S544">
        <f>IFERROR(O544/N544,0)</f>
        <v/>
      </c>
      <c r="T544" t="n">
        <v>0</v>
      </c>
      <c r="V544" t="n">
        <v>0</v>
      </c>
    </row>
    <row r="545">
      <c r="A545">
        <f>Skills!A24</f>
        <v/>
      </c>
      <c r="B545">
        <f>Skills!B24</f>
        <v/>
      </c>
      <c r="C545">
        <f>Inputs!$B$3&gt;=107</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IF(B560=0,0,O545/B560)</f>
        <v/>
      </c>
      <c r="Q545">
        <f>IFERROR(1/(IF(Inputs!$B$38="pvp",15,MAX(0.1,Skills!D24-IF(TRUE=TRUE,Inputs!$B$32,0)))*(1-IF(AND(ArtifactsInput!$M$27,Inputs!$B$4="Chapter Hunt"),CHOOSE(ArtifactsInput!$N$27+1,20,24,28,32,36,40),0)/100)),0)</f>
        <v/>
      </c>
      <c r="R545">
        <f>IF(AND(Inputs!$B$38&lt;&gt;"pvp",Inputs!$B$43&gt;0),IF(Inputs!$B$43&lt;=0,0,(INT(Inputs!$B$43/(IF(Inputs!$B$38="pvp",15,MAX(0.1,Skills!D24-IF(TRUE=TRUE,Inputs!$B$32,0)))*(1-IF(AND(ArtifactsInput!$M$27,Inputs!$B$4="Chapter Hunt"),CHOOSE(ArtifactsInput!$N$27+1,20,24,28,32,36,40),0)/100)))+1)),0)</f>
        <v/>
      </c>
      <c r="S545">
        <f>IFERROR(O545/N545,0)</f>
        <v/>
      </c>
      <c r="T545" t="n">
        <v>0</v>
      </c>
      <c r="V545" t="n">
        <v>0</v>
      </c>
    </row>
    <row r="546">
      <c r="A546">
        <f>Skills!A25</f>
        <v/>
      </c>
      <c r="B546">
        <f>Skills!B25</f>
        <v/>
      </c>
      <c r="C546">
        <f>Inputs!$B$3&gt;=110</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t="inlineStr"/>
      <c r="H546" t="inlineStr"/>
      <c r="I546" t="inlineStr">
        <is>
          <t>1</t>
        </is>
      </c>
      <c r="J546" t="inlineStr"/>
      <c r="K546" t="inlineStr"/>
      <c r="L546" t="inlineStr"/>
      <c r="M546" t="inlineStr"/>
      <c r="N546" t="inlineStr"/>
      <c r="O546" t="inlineStr"/>
      <c r="P546" t="inlineStr"/>
      <c r="Q546" t="inlineStr"/>
      <c r="R546" t="inlineStr"/>
      <c r="S546" t="inlineStr"/>
      <c r="T546" t="inlineStr"/>
      <c r="V546" t="inlineStr"/>
    </row>
    <row r="547">
      <c r="A547">
        <f>Skills!A26</f>
        <v/>
      </c>
      <c r="B547">
        <f>Skills!B26</f>
        <v/>
      </c>
      <c r="C547">
        <f>Inputs!$B$3&gt;=117</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t="inlineStr"/>
      <c r="H547" t="inlineStr"/>
      <c r="I547" t="inlineStr">
        <is>
          <t>1</t>
        </is>
      </c>
      <c r="J547" t="inlineStr"/>
      <c r="K547" t="inlineStr"/>
      <c r="L547" t="inlineStr"/>
      <c r="M547" t="inlineStr"/>
      <c r="N547" t="inlineStr"/>
      <c r="O547" t="inlineStr"/>
      <c r="P547" t="inlineStr"/>
      <c r="Q547" t="inlineStr"/>
      <c r="R547" t="inlineStr"/>
      <c r="S547" t="inlineStr"/>
      <c r="T547" t="inlineStr"/>
      <c r="V547" t="inlineStr"/>
    </row>
    <row r="549">
      <c r="A549" t="inlineStr">
        <is>
          <t>Attack% Bucket Multiplier</t>
        </is>
      </c>
      <c r="B549">
        <f>(1+(((C534=TRUE)*F534*5/7)+((C540=TRUE)*(F540-Calc!F19))+(IF(ArtifactsInput!$M$21,CHOOSE(ArtifactsInput!$N$21+1,25,30,35,40,45,50)*(IF(OR(Inputs!$B$4="Chapter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0">
      <c r="A550" t="inlineStr">
        <is>
          <t>Global Crit Rate Bonus %</t>
        </is>
      </c>
      <c r="B550" t="n">
        <v>0</v>
      </c>
    </row>
    <row r="551">
      <c r="A551" t="inlineStr">
        <is>
          <t>Attack Speed Buff Bonus % (Nimble Feet + Speed Infusion, duty-cycle averaged)</t>
        </is>
      </c>
      <c r="B551">
        <f>((C544=TRUE)*F544*IF(AND(Inputs!$B$38&lt;&gt;"pvp",Inputs!$B$43&gt;0),(((R544-1)*MIN((Skills!T23*(1+Inputs!$B$34/100)),(1/Q544))+MIN((Skills!T23*(1+Inputs!$B$34/100)),MAX(0,Inputs!$B$43-((R544-1)*(1/Q544)))))/Inputs!$B$43),IF(Inputs!$B$38="pvp",MIN((Skills!T23*(1+Inputs!$B$34/100)),15)/15,MIN(1,(Skills!T23*(1+Inputs!$B$34/100))/(1/Q544)))))+((C545=TRUE)*F545*IF(AND(Inputs!$B$38&lt;&gt;"pvp",Inputs!$B$43&gt;0),(((R545-1)*MIN((Skills!T24*(1+Inputs!$B$34/100)),(1/Q545))+MIN((Skills!T24*(1+Inputs!$B$34/100)),MAX(0,Inputs!$B$43-((R545-1)*(1/Q545)))))/Inputs!$B$43),IF(Inputs!$B$38="pvp",MIN((Skills!T24*(1+Inputs!$B$34/100)),15)/15,MIN(1,(Skills!T24*(1+Inputs!$B$34/100))/(1/Q545)))))</f>
        <v/>
      </c>
    </row>
    <row r="552">
      <c r="A552" t="inlineStr">
        <is>
          <t>Actions Per Second</t>
        </is>
      </c>
      <c r="B552">
        <f>1+MIN(150,150*(1-(1-(Inputs!$B$11+((C538=TRUE)*(F538-Calc!F17))+((C539=TRUE)*(F539-Calc!F18)))/150)*(1-B551/150)))/100</f>
        <v/>
      </c>
    </row>
    <row r="553">
      <c r="A553" t="inlineStr">
        <is>
          <t>Skill + Buff Cast Rate</t>
        </is>
      </c>
      <c r="B553">
        <f>IF(AND(Inputs!$B$38&lt;&gt;"pvp",Inputs!$B$43&gt;0),SUMPRODUCT((Skills!E2:E26=TRUE)*(C523:C547=TRUE)*R523:R547*Skills!F2:F26)/Inputs!$B$43,SUMPRODUCT((Skills!E2:E26=TRUE)*(C523:C547=TRUE)*Q523:Q547*Skills!F2:F26))</f>
        <v/>
      </c>
    </row>
    <row r="554">
      <c r="A554" t="inlineStr">
        <is>
          <t>Hook Bomber Casts Per Second</t>
        </is>
      </c>
      <c r="B554">
        <f>MAX(0,B552-B553)</f>
        <v/>
      </c>
    </row>
    <row r="555">
      <c r="A555" t="inlineStr">
        <is>
          <t>Global Critical Damage Bonus % (unused)</t>
        </is>
      </c>
      <c r="B555" t="n">
        <v>0</v>
      </c>
    </row>
    <row r="556">
      <c r="A556" t="inlineStr">
        <is>
          <t>Global Final Damage Bonus % (Serpent Scale + Crossbones + Time Leap + Speed Infusion)</t>
        </is>
      </c>
      <c r="B556">
        <f>((C526=TRUE)*(F526*B562+4*(1-B562)))+((C535=TRUE)*F535*IF(AND(Inputs!$B$38&lt;&gt;"pvp",Inputs!$B$43&gt;0),(((R535-1)*MIN((Skills!T14*(1+Inputs!$B$34/100)),(1/Q535))+MIN((Skills!T14*(1+Inputs!$B$34/100)),MAX(0,Inputs!$B$43-((R535-1)*(1/Q535)))))/Inputs!$B$43),IF(Inputs!$B$38="pvp",MIN((Skills!T14*(1+Inputs!$B$34/100)),15)/15,MIN(1,(Skills!T14*(1+Inputs!$B$34/100))/(1/Q535)))))+((C536=TRUE)*F536*IF(AND(Inputs!$B$38&lt;&gt;"pvp",Inputs!$B$43&gt;0),(((R536-1)*MIN((Skills!T15*(1+Inputs!$B$34/100)),(1/Q536))+MIN((Skills!T15*(1+Inputs!$B$34/100)),MAX(0,Inputs!$B$43-((R536-1)*(1/Q536)))))/Inputs!$B$43),IF(Inputs!$B$38="pvp",MIN((Skills!T15*(1+Inputs!$B$34/100)),15)/15,MIN(1,(Skills!T15*(1+Inputs!$B$34/100))/(1/Q536)))))+((C545=TRUE)*20*((1+MIN(150,150*(1-(1-(Inputs!$B$11+((C538=TRUE)*(F538-Calc!F17))+((C539=TRUE)*(F539-Calc!F18)))/150)*(1-(((C544=TRUE)*F544*IF(AND(Inputs!$B$38&lt;&gt;"pvp",Inputs!$B$43&gt;0),(((R544-1)*MIN((Skills!T23*(1+Inputs!$B$34/100)),(1/Q544))+MIN((Skills!T23*(1+Inputs!$B$34/100)),MAX(0,Inputs!$B$43-((R544-1)*(1/Q544)))))/Inputs!$B$43),IF(Inputs!$B$38="pvp",MIN((Skills!T23*(1+Inputs!$B$34/100)),15)/15,MIN(1,(Skills!T23*(1+Inputs!$B$34/100))/(1/Q544)))))+F545)/150)))/100)-1)*IF(AND(Inputs!$B$38&lt;&gt;"pvp",Inputs!$B$43&gt;0),(((R545-1)*MIN((Skills!T24*(1+Inputs!$B$34/100)),(1/Q545))+MIN((Skills!T24*(1+Inputs!$B$34/100)),MAX(0,Inputs!$B$43-((R545-1)*(1/Q545)))))/Inputs!$B$43),IF(Inputs!$B$38="pvp",MIN((Skills!T24*(1+Inputs!$B$34/100)),15)/15,MIN(1,(Skills!T24*(1+Inputs!$B$34/100))/(1/Q545)))))</f>
        <v/>
      </c>
    </row>
    <row r="557">
      <c r="A557" t="inlineStr">
        <is>
          <t>Buff-Casting Startup Delay (s, fixed-duration only)</t>
        </is>
      </c>
      <c r="B557">
        <f>IF(AND(Inputs!$B$38&lt;&gt;"pvp",Inputs!$B$43&gt;0),SUMPRODUCT((Skills!T2:T26&gt;0)*(Skills!E2:E26=TRUE)*(C523:C547=TRUE))/B552,0)</f>
        <v/>
      </c>
    </row>
    <row r="558">
      <c r="A558" t="inlineStr">
        <is>
          <t>Boss-Only Total DPS (this block's swept value)</t>
        </is>
      </c>
      <c r="B558">
        <f>SUM(T523:T547)</f>
        <v/>
      </c>
    </row>
    <row r="559">
      <c r="A559" t="inlineStr">
        <is>
          <t>Normal-Only Total DPS (this block's swept value)</t>
        </is>
      </c>
      <c r="B559">
        <f>SUM(V523:V547)</f>
        <v/>
      </c>
    </row>
    <row r="560">
      <c r="A560" s="6" t="inlineStr">
        <is>
          <t>TOTAL DPS</t>
        </is>
      </c>
      <c r="B560" s="6">
        <f>SUM(O523:O547)</f>
        <v/>
      </c>
    </row>
    <row r="561">
      <c r="A561" t="inlineStr">
        <is>
          <t>Serpent activation interval T (this block's own Hook Bomber rate)</t>
        </is>
      </c>
      <c r="B561">
        <f>((1/Q524)+IFERROR(0.5/B554,0))</f>
        <v/>
      </c>
    </row>
    <row r="562">
      <c r="A562" t="inlineStr">
        <is>
          <t>Assault Mode uptime u (this block)</t>
        </is>
      </c>
      <c r="B562">
        <f>IF(C526=TRUE,(10+IF(Inputs!$B$3&gt;=94,5,0))/((10+IF(Inputs!$B$3&gt;=94,5,0))+IF(Inputs!$B$3&gt;=104,3,5)*B561),0)</f>
        <v/>
      </c>
    </row>
    <row r="563">
      <c r="A563" t="inlineStr">
        <is>
          <t>Nautilus Strike - Final Attack trigger rate (this block's own Q/R)</t>
        </is>
      </c>
      <c r="B563">
        <f>IF(AND(Inputs!$B$38&lt;&gt;"pvp",Inputs!$B$43&gt;0),(((C527=TRUE)*R527)+((C528=TRUE)*R528)+((C531=TRUE)*R531))/Inputs!$B$43,((C527=TRUE)*Q527)+((C528=TRUE)*Q528)+((C531=TRUE)*Q531))+B554</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586=TRUE)*(F586-Calc!F20)),(Inputs!$B$23+0+(IF(ArtifactsInput!$M$15,CHOOSE(ArtifactsInput!$N$15+1,25,30,35,40,45,50)/100*(Inputs!$B$11-Inputs!$B$11),0))))/100+(Inputs!$B$23+0+(IF(ArtifactsInput!$M$15,CHOOSE(ArtifactsInput!$N$15+1,25,30,35,40,45,50)/100*(Inputs!$B$11-Inputs!$B$11),0)))/100)/2</f>
        <v/>
      </c>
      <c r="M568">
        <f>L568*(1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IF(B605=0,0,O568/B605)</f>
        <v/>
      </c>
      <c r="Q568" t="n">
        <v>0</v>
      </c>
      <c r="R568" t="n">
        <v>0</v>
      </c>
      <c r="S568">
        <f>IFERROR(O568/N568,0)</f>
        <v/>
      </c>
      <c r="T568">
        <f>IF(C568,(Skills!G2*N568*B599)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IF(C568,(Skills!G2*N568*B599)*IF(Inputs!$B$38="pvp",1,(1+(Inputs!$B$21+Skills!Q2+(IF(ArtifactsInput!$M$33,CHOOSE(ArtifactsInput!$N$33+1,30,36,42,48,54,60),0))+(IF(AND(ArtifactsInput!$M$35,Inputs!$B$4&lt;&gt;"Chapter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Inputs!$B$3&gt;=35</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591=TRUE,F591,0)/100)*(1+(IF(Skills!A3="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586=TRUE)*(F586-Calc!F20)),(Inputs!$B$23+0+(IF(ArtifactsInput!$M$15,CHOOSE(ArtifactsInput!$N$15+1,25,30,35,40,45,50)/100*(Inputs!$B$11-Inputs!$B$11),0))))/100+(Inputs!$B$23+0+(IF(ArtifactsInput!$M$15,CHOOSE(ArtifactsInput!$N$15+1,25,30,35,40,45,50)/100*(Inputs!$B$11-Inputs!$B$11),0)))/100)/2</f>
        <v/>
      </c>
      <c r="M569">
        <f>L569*(1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IF(B605=0,0,O569/B605)</f>
        <v/>
      </c>
      <c r="Q569">
        <f>IFERROR(1/(IF(Inputs!$B$38="pvp",15,MAX(0.1,Skills!D3-IF(TRUE=TRUE,Inputs!$B$32,0)))*(1-IF(AND(ArtifactsInput!$M$27,Inputs!$B$4="Chapter Hunt"),CHOOSE(ArtifactsInput!$N$27+1,20,24,28,32,36,40),0)/100)),0)</f>
        <v/>
      </c>
      <c r="R569">
        <f>IF(AND(Inputs!$B$38&lt;&gt;"pvp",Inputs!$B$43&gt;0),IF(MAX(0,Inputs!$B$43-B602)&lt;=0,0,(INT(MAX(0,Inputs!$B$43-B602)/(IF(Inputs!$B$38="pvp",15,MAX(0.1,Skills!D3-IF(TRUE=TRUE,Inputs!$B$32,0)))*(1-IF(AND(ArtifactsInput!$M$27,Inputs!$B$4="Chapter Hunt"),CHOOSE(ArtifactsInput!$N$27+1,20,24,28,32,36,40),0)/100)))+1)),0)</f>
        <v/>
      </c>
      <c r="S569">
        <f>IFERROR(O569/N569,0)</f>
        <v/>
      </c>
      <c r="T569">
        <f>IF(C569,(Skills!G3*N569*IF(C570=TRUE,1-B607,1)/B606)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INDEX(FactorTable!$B$2:$Y$301, MATCH(ROUND(MIN(300,MAX(1,U568)),0), FactorTable!$A$2:$A$301,0), 22)</f>
        <v/>
      </c>
      <c r="V569">
        <f>IF(C569,(Skills!G3*N569*IF(C570=TRUE,1-B607,1)/B606)*IF(Inputs!$B$38="pvp",1,(1+(Inputs!$B$21+Skills!Q3+(IF(ArtifactsInput!$M$33,CHOOSE(ArtifactsInput!$N$33+1,30,36,42,48,54,60),0))+(IF(AND(ArtifactsInput!$M$35,Inputs!$B$4&lt;&gt;"Chapter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Skills!A4</f>
        <v/>
      </c>
      <c r="B570">
        <f>Skills!B4</f>
        <v/>
      </c>
      <c r="C570">
        <f>Inputs!$B$3&gt;=69</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((Inputs!$B$6*(1+Inputs!$B$7/100))+(((Inputs!$B$12*(1+Inputs!$B$13/100))-(Inputs!$B$12*(1+Inputs!$B$13/100)))+0.25*(Inputs!$B$14-Inputs!$B$14))*(1+Inputs!$B$7/100))*(F570/100)</f>
        <v/>
      </c>
      <c r="K570">
        <f>J570*(1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578=TRUE,F578,0)/100)*(1+(IF(Skills!A4="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C586=TRUE)*(F586-Calc!F20)),(Inputs!$B$23+0+(IF(ArtifactsInput!$M$15,CHOOSE(ArtifactsInput!$N$15+1,25,30,35,40,45,50)/100*(Inputs!$B$11-Inputs!$B$11),0))))/100+(Inputs!$B$23+0+(IF(ArtifactsInput!$M$15,CHOOSE(ArtifactsInput!$N$15+1,25,30,35,40,45,50)/100*(Inputs!$B$11-Inputs!$B$11),0)))/100)/2</f>
        <v/>
      </c>
      <c r="M570">
        <f>L570*(1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(1-Summary!$B$11)*T570+Summary!$B$11*V570</f>
        <v/>
      </c>
      <c r="P570">
        <f>IF(B605=0,0,O570/B605)</f>
        <v/>
      </c>
      <c r="Q570" t="n">
        <v>0</v>
      </c>
      <c r="R570" t="n">
        <v>0</v>
      </c>
      <c r="S570">
        <f>IFERROR(O570/N570,0)</f>
        <v/>
      </c>
      <c r="T570">
        <f>IF(C570,(Skills!G4*N570*B607/B606)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570*(1-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290*U569/1000</f>
        <v/>
      </c>
      <c r="V570">
        <f>IF(C570,(Skills!G4*N570*B607/B606)*IF(Inputs!$B$38="pvp",1,(1+(Inputs!$B$21+Skills!Q4+(IF(ArtifactsInput!$M$33,CHOOSE(ArtifactsInput!$N$33+1,30,36,42,48,54,60),0))+(IF(AND(ArtifactsInput!$M$35,Inputs!$B$4&lt;&gt;"Chapter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Skills!A5</f>
        <v/>
      </c>
      <c r="B571">
        <f>Skills!B5</f>
        <v/>
      </c>
      <c r="C571">
        <f>Inputs!$B$3&gt;=66</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t="inlineStr"/>
      <c r="K571" t="inlineStr"/>
      <c r="L571" t="inlineStr"/>
      <c r="M571" t="inlineStr"/>
      <c r="N571" t="inlineStr"/>
      <c r="O571">
        <f>(1-Summary!$B$11)*T571+Summary!$B$11*V571</f>
        <v/>
      </c>
      <c r="P571">
        <f>IF(B605=0,0,O571/B605)</f>
        <v/>
      </c>
      <c r="Q571" t="n">
        <v>0</v>
      </c>
      <c r="R571" t="n">
        <v>0</v>
      </c>
      <c r="S571">
        <f>IFERROR(O571/N571,0)</f>
        <v/>
      </c>
      <c r="T571" t="n">
        <v>0</v>
      </c>
      <c r="V571" t="n">
        <v>0</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578=TRUE,F578,0)/100)*(1+(IF(Skills!A6="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586=TRUE)*(F586-Calc!F20)),(Inputs!$B$23+0+(IF(ArtifactsInput!$M$15,CHOOSE(ArtifactsInput!$N$15+1,25,30,35,40,45,50)/100*(Inputs!$B$11-Inputs!$B$11),0))))/100+(Inputs!$B$23+0+(IF(ArtifactsInput!$M$15,CHOOSE(ArtifactsInput!$N$15+1,25,30,35,40,45,50)/100*(Inputs!$B$11-Inputs!$B$11),0)))/100)/2</f>
        <v/>
      </c>
      <c r="M572">
        <f>L572*(1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IF(B605=0,0,O572/B605)</f>
        <v/>
      </c>
      <c r="Q572">
        <f>IFERROR(1/(IF(Inputs!$B$38="pvp",15,MAX(0.1,Skills!D6-IF(TRUE=TRUE,Inputs!$B$32,0)))*(1-IF(AND(ArtifactsInput!$M$27,Inputs!$B$4="Chapter Hunt"),CHOOSE(ArtifactsInput!$N$27+1,20,24,28,32,36,40),0)/100)),0)</f>
        <v/>
      </c>
      <c r="R572">
        <f>IF(AND(Inputs!$B$38&lt;&gt;"pvp",Inputs!$B$43&gt;0),IF(MAX(0,Inputs!$B$43-B602)&lt;=0,0,(INT(MAX(0,Inputs!$B$43-B602)/(IF(Inputs!$B$38="pvp",15,MAX(0.1,Skills!D6-IF(TRUE=TRUE,Inputs!$B$32,0)))*(1-IF(AND(ArtifactsInput!$M$27,Inputs!$B$4="Chapter Hunt"),CHOOSE(ArtifactsInput!$N$27+1,20,24,28,32,36,40),0)/100)))+1)),0)</f>
        <v/>
      </c>
      <c r="S572">
        <f>IFERROR(O572/N572,0)</f>
        <v/>
      </c>
      <c r="T572">
        <f>IF(C572,(H572*N572*IF(AND(Inputs!$B$38&lt;&gt;"pvp",Inputs!$B$43&gt;0),((Skills!G6*((R572-1)*IF(Skills!H6&gt;0,Skills!I6/Skills!H6,1)+IF(Skills!H6&gt;0,MIN(Skills!I6,MAX(0,MAX(0,Inputs!$B$43-B602)-((R572-1)*(IF(Inputs!$B$38="pvp",15,MAX(0.1,Skills!D6-IF(TRUE=TRUE,Inputs!$B$32,0)))*(1-IF(AND(ArtifactsInput!$M$27,Inputs!$B$4="Chapter Hunt"),CHOOSE(ArtifactsInput!$N$27+1,20,24,28,32,36,40),0)/100)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602)-((R572-1)*(IF(Inputs!$B$38="pvp",15,MAX(0.1,Skills!D6-IF(TRUE=TRUE,Inputs!$B$32,0)))*(1-IF(AND(ArtifactsInput!$M$27,Inputs!$B$4="Chapter Hunt"),CHOOSE(ArtifactsInput!$N$27+1,20,24,28,32,36,40),0)/100)))))/Skills!H6,1)))/Inputs!$B$43),G572*Q572))*IF(Inputs!$B$38="pvp",1,(1+(Inputs!$B$21+Skills!Q6+(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Inputs!$B$3&gt;=103</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586=TRUE)*(F586-Calc!F20)),(Inputs!$B$23+0+(IF(ArtifactsInput!$M$15,CHOOSE(ArtifactsInput!$N$15+1,25,30,35,40,45,50)/100*(Inputs!$B$11-Inputs!$B$11),0))))/100+(Inputs!$B$23+0+(IF(ArtifactsInput!$M$15,CHOOSE(ArtifactsInput!$N$15+1,25,30,35,40,45,50)/100*(Inputs!$B$11-Inputs!$B$11),0)))/100)/2</f>
        <v/>
      </c>
      <c r="M573">
        <f>L573*(1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IF(B605=0,0,O573/B605)</f>
        <v/>
      </c>
      <c r="Q573">
        <f>IFERROR(1/(IF(Inputs!$B$38="pvp",15,MAX(0.1,Skills!D7-IF(TRUE=TRUE,Inputs!$B$32,0)))*(1-IF(AND(ArtifactsInput!$M$27,Inputs!$B$4="Chapter Hunt"),CHOOSE(ArtifactsInput!$N$27+1,20,24,28,32,36,40),0)/100)),0)</f>
        <v/>
      </c>
      <c r="R573">
        <f>IF(AND(Inputs!$B$38&lt;&gt;"pvp",Inputs!$B$43&gt;0),IF(MAX(0,Inputs!$B$43-B602)&lt;=0,0,(INT(MAX(0,Inputs!$B$43-B602)/(IF(Inputs!$B$38="pvp",15,MAX(0.1,Skills!D7-IF(TRUE=TRUE,Inputs!$B$32,0)))*(1-IF(AND(ArtifactsInput!$M$27,Inputs!$B$4="Chapter Hunt"),CHOOSE(ArtifactsInput!$N$27+1,20,24,28,32,36,40),0)/100)))+1)),0)</f>
        <v/>
      </c>
      <c r="S573">
        <f>IFERROR(O573/N573,0)</f>
        <v/>
      </c>
      <c r="T573">
        <f>IF(C573,(H573*N573*IF(AND(Inputs!$B$38&lt;&gt;"pvp",Inputs!$B$43&gt;0),((Skills!G7*((R573-1)*IF(Skills!H7&gt;0,Skills!I7/Skills!H7,1)+IF(Skills!H7&gt;0,MIN(Skills!I7,MAX(0,MAX(0,Inputs!$B$43-B602)-((R573-1)*(IF(Inputs!$B$38="pvp",15,MAX(0.1,Skills!D7-IF(TRUE=TRUE,Inputs!$B$32,0)))*(1-IF(AND(ArtifactsInput!$M$27,Inputs!$B$4="Chapter Hunt"),CHOOSE(ArtifactsInput!$N$27+1,20,24,28,32,36,40),0)/100)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602)-((R573-1)*(IF(Inputs!$B$38="pvp",15,MAX(0.1,Skills!D7-IF(TRUE=TRUE,Inputs!$B$32,0)))*(1-IF(AND(ArtifactsInput!$M$27,Inputs!$B$4="Chapter Hunt"),CHOOSE(ArtifactsInput!$N$27+1,20,24,28,32,36,40),0)/100)))))/Skills!H7,1)))/Inputs!$B$43),G573*Q573))*IF(Inputs!$B$38="pvp",1,(1+(Inputs!$B$21+Skills!Q7+(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Inputs!$B$3&gt;=117</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((Inputs!$B$6*(1+Inputs!$B$7/100))+(((Inputs!$B$12*(1+Inputs!$B$13/100))-(Inputs!$B$12*(1+Inputs!$B$13/100)))+0.25*(Inputs!$B$14-Inputs!$B$14))*(1+Inputs!$B$7/100))*(F574/100)</f>
        <v/>
      </c>
      <c r="K574">
        <f>J574*(1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C586=TRUE)*(F586-Calc!F20)),(Inputs!$B$23+0+(IF(ArtifactsInput!$M$15,CHOOSE(ArtifactsInput!$N$15+1,25,30,35,40,45,50)/100*(Inputs!$B$11-Inputs!$B$11),0))))/100+(Inputs!$B$23+0+(IF(ArtifactsInput!$M$15,CHOOSE(ArtifactsInput!$N$15+1,25,30,35,40,45,50)/100*(Inputs!$B$11-Inputs!$B$11),0)))/100)/2</f>
        <v/>
      </c>
      <c r="M574">
        <f>L574*(1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(1-Summary!$B$11)*T574+Summary!$B$11*V574</f>
        <v/>
      </c>
      <c r="P574">
        <f>IF(B605=0,0,O574/B605)</f>
        <v/>
      </c>
      <c r="Q574">
        <f>IFERROR(1/(IF(Inputs!$B$38="pvp",15,MAX(0.1,Skills!D8-IF(TRUE=TRUE,Inputs!$B$32,0)))*(1-IF(AND(ArtifactsInput!$M$27,Inputs!$B$4="Chapter Hunt"),CHOOSE(ArtifactsInput!$N$27+1,20,24,28,32,36,40),0)/100)),0)</f>
        <v/>
      </c>
      <c r="R574">
        <f>IF(AND(Inputs!$B$38&lt;&gt;"pvp",Inputs!$B$43&gt;0),IF(MAX(0,Inputs!$B$43-B602)&lt;=0,0,(INT(MAX(0,Inputs!$B$43-B602)/(IF(Inputs!$B$38="pvp",15,MAX(0.1,Skills!D8-IF(TRUE=TRUE,Inputs!$B$32,0)))*(1-IF(AND(ArtifactsInput!$M$27,Inputs!$B$4="Chapter Hunt"),CHOOSE(ArtifactsInput!$N$27+1,20,24,28,32,36,40),0)/100)))+1)),0)</f>
        <v/>
      </c>
      <c r="S574">
        <f>IFERROR(O574/N574,0)</f>
        <v/>
      </c>
      <c r="T574">
        <f>IF(C574,(H574*N574*IF(AND(Inputs!$B$38&lt;&gt;"pvp",Inputs!$B$43&gt;0),((Skills!G8*((R574-1)*IF(Skills!H8&gt;0,Skills!I8/Skills!H8,1)+IF(Skills!H8&gt;0,MIN(Skills!I8,MAX(0,MAX(0,Inputs!$B$43-B602)-((R574-1)*(IF(Inputs!$B$38="pvp",15,MAX(0.1,Skills!D8-IF(TRUE=TRUE,Inputs!$B$32,0)))*(1-IF(AND(ArtifactsInput!$M$27,Inputs!$B$4="Chapter Hunt"),CHOOSE(ArtifactsInput!$N$27+1,20,24,28,32,36,40),0)/100)))))/Skills!H8,1)))/Inputs!$B$43),G574*Q574)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574*(1-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4">
        <f>IF(C574,(H574*N574*IF(AND(Inputs!$B$38&lt;&gt;"pvp",Inputs!$B$43&gt;0),((Skills!G8*((R574-1)*IF(Skills!H8&gt;0,Skills!I8/Skills!H8,1)+IF(Skills!H8&gt;0,MIN(Skills!I8,MAX(0,MAX(0,Inputs!$B$43-B602)-((R574-1)*(IF(Inputs!$B$38="pvp",15,MAX(0.1,Skills!D8-IF(TRUE=TRUE,Inputs!$B$32,0)))*(1-IF(AND(ArtifactsInput!$M$27,Inputs!$B$4="Chapter Hunt"),CHOOSE(ArtifactsInput!$N$27+1,20,24,28,32,36,40),0)/100)))))/Skills!H8,1)))/Inputs!$B$43),G574*Q574))*IF(Inputs!$B$38="pvp",1,(1+(Inputs!$B$21+Skills!Q8+(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Skills!A9</f>
        <v/>
      </c>
      <c r="B575">
        <f>Skills!B9</f>
        <v/>
      </c>
      <c r="C575">
        <f>Inputs!$B$3&gt;=120</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B607</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586=TRUE)*(F586-Calc!F20)),(Inputs!$B$23+0+(IF(ArtifactsInput!$M$15,CHOOSE(ArtifactsInput!$N$15+1,25,30,35,40,45,50)/100*(Inputs!$B$11-Inputs!$B$11),0))))/100+(Inputs!$B$23+0+(IF(ArtifactsInput!$M$15,CHOOSE(ArtifactsInput!$N$15+1,25,30,35,40,45,50)/100*(Inputs!$B$11-Inputs!$B$11),0)))/100)/2</f>
        <v/>
      </c>
      <c r="M575">
        <f>L575*(1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IF(B605=0,0,O575/B605)</f>
        <v/>
      </c>
      <c r="Q575">
        <f>IFERROR(1/(IF(Inputs!$B$38="pvp",15,MAX(0.1,Skills!D9-IF(TRUE=TRUE,Inputs!$B$32,0)))*(1-IF(AND(ArtifactsInput!$M$27,Inputs!$B$4="Chapter Hunt"),CHOOSE(ArtifactsInput!$N$27+1,20,24,28,32,36,40),0)/100)),0)</f>
        <v/>
      </c>
      <c r="R575">
        <f>IF(AND(Inputs!$B$38&lt;&gt;"pvp",Inputs!$B$43&gt;0),IF(MAX(0,Inputs!$B$43-B602)&lt;=0,0,(INT(MAX(0,Inputs!$B$43-B602)/(IF(Inputs!$B$38="pvp",15,MAX(0.1,Skills!D9-IF(TRUE=TRUE,Inputs!$B$32,0)))*(1-IF(AND(ArtifactsInput!$M$27,Inputs!$B$4="Chapter Hunt"),CHOOSE(ArtifactsInput!$N$27+1,20,24,28,32,36,40),0)/100)))+1)),0)</f>
        <v/>
      </c>
      <c r="S575">
        <f>IFERROR(O575/N575,0)</f>
        <v/>
      </c>
      <c r="T575">
        <f>IF(C575,(H575*N575*IF(AND(Inputs!$B$38&lt;&gt;"pvp",Inputs!$B$43&gt;0),((Skills!G9*((R575-1)*IF(Skills!H9&gt;0,Skills!I9/Skills!H9,1)+IF(Skills!H9&gt;0,MIN(Skills!I9,MAX(0,MAX(0,Inputs!$B$43-B602)-((R575-1)*(IF(Inputs!$B$38="pvp",15,MAX(0.1,Skills!D9-IF(TRUE=TRUE,Inputs!$B$32,0)))*(1-IF(AND(ArtifactsInput!$M$27,Inputs!$B$4="Chapter Hunt"),CHOOSE(ArtifactsInput!$N$27+1,20,24,28,32,36,40),0)/100)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602)-((R575-1)*(IF(Inputs!$B$38="pvp",15,MAX(0.1,Skills!D9-IF(TRUE=TRUE,Inputs!$B$32,0)))*(1-IF(AND(ArtifactsInput!$M$27,Inputs!$B$4="Chapter Hunt"),CHOOSE(ArtifactsInput!$N$27+1,20,24,28,32,36,40),0)/100)))))/Skills!H9,1)))/Inputs!$B$43),G575*Q575))*IF(Inputs!$B$38="pvp",1,(1+(Inputs!$B$21+Skills!Q9+(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Inputs!$B$3&gt;=105</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586=TRUE)*(F586-Calc!F20)),(Inputs!$B$23+0+(IF(ArtifactsInput!$M$15,CHOOSE(ArtifactsInput!$N$15+1,25,30,35,40,45,50)/100*(Inputs!$B$11-Inputs!$B$11),0))))/100+(Inputs!$B$23+0+(IF(ArtifactsInput!$M$15,CHOOSE(ArtifactsInput!$N$15+1,25,30,35,40,45,50)/100*(Inputs!$B$11-Inputs!$B$11),0)))/100)/2</f>
        <v/>
      </c>
      <c r="M576">
        <f>L576*(1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IF(B605=0,0,O576/B605)</f>
        <v/>
      </c>
      <c r="Q576">
        <f>IFERROR(1/(IF(Inputs!$B$38="pvp",15,MAX(0.1,Skills!D10-IF(TRUE=TRUE,Inputs!$B$32,0)))*(1-IF(AND(ArtifactsInput!$M$27,Inputs!$B$4="Chapter Hunt"),CHOOSE(ArtifactsInput!$N$27+1,20,24,28,32,36,40),0)/100)),0)</f>
        <v/>
      </c>
      <c r="R576">
        <f>IF(AND(Inputs!$B$38&lt;&gt;"pvp",Inputs!$B$43&gt;0),IF(MAX(0,Inputs!$B$43-B602)&lt;=0,0,(INT(MAX(0,Inputs!$B$43-B602)/(IF(Inputs!$B$38="pvp",15,MAX(0.1,Skills!D10-IF(TRUE=TRUE,Inputs!$B$32,0)))*(1-IF(AND(ArtifactsInput!$M$27,Inputs!$B$4="Chapter Hunt"),CHOOSE(ArtifactsInput!$N$27+1,20,24,28,32,36,40),0)/100)))+1)),0)</f>
        <v/>
      </c>
      <c r="S576">
        <f>IFERROR(O576/N576,0)</f>
        <v/>
      </c>
      <c r="T576">
        <f>IF(C576,(H576*N576*IF(AND(Inputs!$B$38&lt;&gt;"pvp",Inputs!$B$43&gt;0),((Skills!G10*((R576-1)*IF(Skills!H10&gt;0,Skills!I10/Skills!H10,1)+IF(Skills!H10&gt;0,MIN(Skills!I10,MAX(0,MAX(0,Inputs!$B$43-B602)-((R576-1)*(IF(Inputs!$B$38="pvp",15,MAX(0.1,Skills!D10-IF(TRUE=TRUE,Inputs!$B$32,0)))*(1-IF(AND(ArtifactsInput!$M$27,Inputs!$B$4="Chapter Hunt"),CHOOSE(ArtifactsInput!$N$27+1,20,24,28,32,36,40),0)/100)))))/Skills!H10,1)))/Inputs!$B$43),G576*Q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H576*N576*IF(AND(Inputs!$B$38&lt;&gt;"pvp",Inputs!$B$43&gt;0),((Skills!G10*((R576-1)*IF(Skills!H10&gt;0,Skills!I10/Skills!H10,1)+IF(Skills!H10&gt;0,MIN(Skills!I10,MAX(0,MAX(0,Inputs!$B$43-B602)-((R576-1)*(IF(Inputs!$B$38="pvp",15,MAX(0.1,Skills!D10-IF(TRUE=TRUE,Inputs!$B$32,0)))*(1-IF(AND(ArtifactsInput!$M$27,Inputs!$B$4="Chapter Hunt"),CHOOSE(ArtifactsInput!$N$27+1,20,24,28,32,36,40),0)/100)))))/Skills!H10,1)))/Inputs!$B$43),G576*Q576))*IF(Inputs!$B$38="pvp",1,(1+(Inputs!$B$21+Skills!Q10+(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Inputs!$B$3&gt;=113</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586=TRUE)*(F586-Calc!F20)),(Inputs!$B$23+0+(IF(ArtifactsInput!$M$15,CHOOSE(ArtifactsInput!$N$15+1,25,30,35,40,45,50)/100*(Inputs!$B$11-Inputs!$B$11),0))))/100+(Inputs!$B$23+0+(IF(ArtifactsInput!$M$15,CHOOSE(ArtifactsInput!$N$15+1,25,30,35,40,45,50)/100*(Inputs!$B$11-Inputs!$B$11),0)))/100)/2</f>
        <v/>
      </c>
      <c r="M577">
        <f>L577*(1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IF(B605=0,0,O577/B605)</f>
        <v/>
      </c>
      <c r="Q577" t="n">
        <v>0</v>
      </c>
      <c r="R577" t="n">
        <v>0</v>
      </c>
      <c r="S577">
        <f>IFERROR(O577/N577,0)</f>
        <v/>
      </c>
      <c r="T577">
        <f>IF(C577,((H577*B608)/(1+Skills!H11*H577*B608)*N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IF(C577,((H577*B608)/(1+Skills!H11*H577*B608)*N577)*IF(Inputs!$B$38="pvp",1,(1+(Inputs!$B$21+Skills!Q11+(IF(ArtifactsInput!$M$33,CHOOSE(ArtifactsInput!$N$33+1,30,36,42,48,54,60),0))+(IF(AND(ArtifactsInput!$M$35,Inputs!$B$4&lt;&gt;"Chapter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Inputs!$B$3&gt;=100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t="inlineStr"/>
      <c r="H578" t="inlineStr"/>
      <c r="I578" t="inlineStr">
        <is>
          <t>1</t>
        </is>
      </c>
      <c r="J578" t="inlineStr"/>
      <c r="K578" t="inlineStr"/>
      <c r="L578" t="inlineStr"/>
      <c r="M578" t="inlineStr"/>
      <c r="N578" t="inlineStr"/>
      <c r="O578" t="inlineStr"/>
      <c r="P578" t="inlineStr"/>
      <c r="Q578" t="inlineStr"/>
      <c r="R578" t="inlineStr"/>
      <c r="S578" t="inlineStr"/>
      <c r="T578" t="inlineStr"/>
      <c r="V578" t="inlineStr"/>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IF(B605=0,0,O579/B605)</f>
        <v/>
      </c>
      <c r="Q579" t="n">
        <v>0</v>
      </c>
      <c r="R579" t="n">
        <v>0</v>
      </c>
      <c r="S579">
        <f>IFERROR(O579/N579,0)</f>
        <v/>
      </c>
      <c r="T579" t="n">
        <v>0</v>
      </c>
      <c r="V579" t="n">
        <v>0</v>
      </c>
    </row>
    <row r="580">
      <c r="A580">
        <f>Skills!A14</f>
        <v/>
      </c>
      <c r="B580">
        <f>Skills!B14</f>
        <v/>
      </c>
      <c r="C580">
        <f>Inputs!$B$3&gt;=115</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IF(B605=0,0,O580/B605)</f>
        <v/>
      </c>
      <c r="Q580">
        <f>IFERROR(1/(IF(Inputs!$B$38="pvp",15,MAX(0.1,Skills!D14-IF(TRUE=TRUE,Inputs!$B$32,0)))*(1-IF(AND(ArtifactsInput!$M$27,Inputs!$B$4="Chapter Hunt"),CHOOSE(ArtifactsInput!$N$27+1,20,24,28,32,36,40),0)/100)),0)</f>
        <v/>
      </c>
      <c r="R580">
        <f>IF(AND(Inputs!$B$38&lt;&gt;"pvp",Inputs!$B$43&gt;0),IF(Inputs!$B$43&lt;=0,0,(INT(Inputs!$B$43/(IF(Inputs!$B$38="pvp",15,MAX(0.1,Skills!D14-IF(TRUE=TRUE,Inputs!$B$32,0)))*(1-IF(AND(ArtifactsInput!$M$27,Inputs!$B$4="Chapter Hunt"),CHOOSE(ArtifactsInput!$N$27+1,20,24,28,32,36,40),0)/100)))+1)),0)</f>
        <v/>
      </c>
      <c r="S580">
        <f>IFERROR(O580/N580,0)</f>
        <v/>
      </c>
      <c r="T580" t="n">
        <v>0</v>
      </c>
      <c r="V580" t="n">
        <v>0</v>
      </c>
    </row>
    <row r="581">
      <c r="A581">
        <f>Skills!A15</f>
        <v/>
      </c>
      <c r="B581">
        <f>Skills!B15</f>
        <v/>
      </c>
      <c r="C581">
        <f>Inputs!$B$3&gt;=125</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IF(B605=0,0,O581/B605)</f>
        <v/>
      </c>
      <c r="Q581">
        <f>IFERROR(1/(IF(Inputs!$B$38="pvp",15,MAX(0.1,Skills!D15-IF(TRUE=TRUE,Inputs!$B$32,0)))*(1-IF(AND(ArtifactsInput!$M$27,Inputs!$B$4="Chapter Hunt"),CHOOSE(ArtifactsInput!$N$27+1,20,24,28,32,36,40),0)/100)),0)</f>
        <v/>
      </c>
      <c r="R581">
        <f>IF(AND(Inputs!$B$38&lt;&gt;"pvp",Inputs!$B$43&gt;0),IF(Inputs!$B$43&lt;=0,0,(INT(Inputs!$B$43/(IF(Inputs!$B$38="pvp",15,MAX(0.1,Skills!D15-IF(TRUE=TRUE,Inputs!$B$32,0)))*(1-IF(AND(ArtifactsInput!$M$27,Inputs!$B$4="Chapter Hunt"),CHOOSE(ArtifactsInput!$N$27+1,20,24,28,32,36,40),0)/100)))+1)),0)</f>
        <v/>
      </c>
      <c r="S581">
        <f>IFERROR(O581/N581,0)</f>
        <v/>
      </c>
      <c r="T581" t="n">
        <v>0</v>
      </c>
      <c r="V581" t="n">
        <v>0</v>
      </c>
    </row>
    <row r="582">
      <c r="A582">
        <f>Skills!A16</f>
        <v/>
      </c>
      <c r="B582">
        <f>Skills!B16</f>
        <v/>
      </c>
      <c r="C582">
        <f>Inputs!$B$3&gt;=10</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IF(B605=0,0,O582/B605)</f>
        <v/>
      </c>
      <c r="Q582" t="n">
        <v>0</v>
      </c>
      <c r="R582" t="n">
        <v>0</v>
      </c>
      <c r="S582">
        <f>IFERROR(O582/N582,0)</f>
        <v/>
      </c>
      <c r="T582" t="n">
        <v>0</v>
      </c>
      <c r="V582" t="n">
        <v>0</v>
      </c>
    </row>
    <row r="583">
      <c r="A583">
        <f>Skills!A17</f>
        <v/>
      </c>
      <c r="B583">
        <f>Skills!B17</f>
        <v/>
      </c>
      <c r="C583">
        <f>Inputs!$B$3&gt;=15</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IF(B605=0,0,O583/B605)</f>
        <v/>
      </c>
      <c r="Q583" t="n">
        <v>0</v>
      </c>
      <c r="R583" t="n">
        <v>0</v>
      </c>
      <c r="S583">
        <f>IFERROR(O583/N583,0)</f>
        <v/>
      </c>
      <c r="T583" t="n">
        <v>0</v>
      </c>
      <c r="V583" t="n">
        <v>0</v>
      </c>
    </row>
    <row r="584">
      <c r="A584">
        <f>Skills!A18</f>
        <v/>
      </c>
      <c r="B584">
        <f>Skills!B18</f>
        <v/>
      </c>
      <c r="C584">
        <f>Inputs!$B$3&gt;=33</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IF(B605=0,0,O584/B605)</f>
        <v/>
      </c>
      <c r="Q584" t="n">
        <v>0</v>
      </c>
      <c r="R584" t="n">
        <v>0</v>
      </c>
      <c r="S584">
        <f>IFERROR(O584/N584,0)</f>
        <v/>
      </c>
      <c r="T584" t="n">
        <v>0</v>
      </c>
      <c r="V584" t="n">
        <v>0</v>
      </c>
    </row>
    <row r="585">
      <c r="A585">
        <f>Skills!A19</f>
        <v/>
      </c>
      <c r="B585">
        <f>Skills!B19</f>
        <v/>
      </c>
      <c r="C585">
        <f>Inputs!$B$3&gt;=40</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IF(B605=0,0,O585/B605)</f>
        <v/>
      </c>
      <c r="Q585" t="n">
        <v>0</v>
      </c>
      <c r="R585" t="n">
        <v>0</v>
      </c>
      <c r="S585">
        <f>IFERROR(O585/N585,0)</f>
        <v/>
      </c>
      <c r="T585" t="n">
        <v>0</v>
      </c>
      <c r="V585" t="n">
        <v>0</v>
      </c>
    </row>
    <row r="586">
      <c r="A586">
        <f>Skills!A20</f>
        <v/>
      </c>
      <c r="B586">
        <f>Skills!B20</f>
        <v/>
      </c>
      <c r="C586">
        <f>Inputs!$B$3&gt;=43</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IF(B605=0,0,O586/B605)</f>
        <v/>
      </c>
      <c r="Q586" t="n">
        <v>0</v>
      </c>
      <c r="R586" t="n">
        <v>0</v>
      </c>
      <c r="S586">
        <f>IFERROR(O586/N586,0)</f>
        <v/>
      </c>
      <c r="T586" t="n">
        <v>0</v>
      </c>
      <c r="V586" t="n">
        <v>0</v>
      </c>
    </row>
    <row r="587">
      <c r="A587">
        <f>Skills!A21</f>
        <v/>
      </c>
      <c r="B587">
        <f>Skills!B21</f>
        <v/>
      </c>
      <c r="C587">
        <f>Inputs!$B$3&gt;=38</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IF(B605=0,0,O587/B605)</f>
        <v/>
      </c>
      <c r="Q587" t="n">
        <v>0</v>
      </c>
      <c r="R587" t="n">
        <v>0</v>
      </c>
      <c r="S587">
        <f>IFERROR(O587/N587,0)</f>
        <v/>
      </c>
      <c r="T587" t="n">
        <v>0</v>
      </c>
      <c r="V587" t="n">
        <v>0</v>
      </c>
    </row>
    <row r="588">
      <c r="A588">
        <f>Skills!A22</f>
        <v/>
      </c>
      <c r="B588">
        <f>Skills!B22</f>
        <v/>
      </c>
      <c r="C588">
        <f>Inputs!$B$3&gt;=75</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IF(B605=0,0,O588/B605)</f>
        <v/>
      </c>
      <c r="Q588" t="n">
        <v>0</v>
      </c>
      <c r="R588" t="n">
        <v>0</v>
      </c>
      <c r="S588">
        <f>IFERROR(O588/N588,0)</f>
        <v/>
      </c>
      <c r="T588" t="n">
        <v>0</v>
      </c>
      <c r="V588" t="n">
        <v>0</v>
      </c>
    </row>
    <row r="589">
      <c r="A589">
        <f>Skills!A23</f>
        <v/>
      </c>
      <c r="B589">
        <f>Skills!B23</f>
        <v/>
      </c>
      <c r="C589">
        <f>TRUE</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IF(B605=0,0,O589/B605)</f>
        <v/>
      </c>
      <c r="Q589">
        <f>IFERROR(1/(IF(Inputs!$B$38="pvp",15,MAX(0.1,Skills!D23-IF(TRUE=TRUE,Inputs!$B$32,0)))*(1-IF(AND(ArtifactsInput!$M$27,Inputs!$B$4="Chapter Hunt"),CHOOSE(ArtifactsInput!$N$27+1,20,24,28,32,36,40),0)/100)),0)</f>
        <v/>
      </c>
      <c r="R589">
        <f>IF(AND(Inputs!$B$38&lt;&gt;"pvp",Inputs!$B$43&gt;0),IF(Inputs!$B$43&lt;=0,0,(INT(Inputs!$B$43/(IF(Inputs!$B$38="pvp",15,MAX(0.1,Skills!D23-IF(TRUE=TRUE,Inputs!$B$32,0)))*(1-IF(AND(ArtifactsInput!$M$27,Inputs!$B$4="Chapter Hunt"),CHOOSE(ArtifactsInput!$N$27+1,20,24,28,32,36,40),0)/100)))+1)),0)</f>
        <v/>
      </c>
      <c r="S589">
        <f>IFERROR(O589/N589,0)</f>
        <v/>
      </c>
      <c r="T589" t="n">
        <v>0</v>
      </c>
      <c r="V589" t="n">
        <v>0</v>
      </c>
    </row>
    <row r="590">
      <c r="A590">
        <f>Skills!A24</f>
        <v/>
      </c>
      <c r="B590">
        <f>Skills!B24</f>
        <v/>
      </c>
      <c r="C590">
        <f>Inputs!$B$3&gt;=107</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IF(B605=0,0,O590/B605)</f>
        <v/>
      </c>
      <c r="Q590">
        <f>IFERROR(1/(IF(Inputs!$B$38="pvp",15,MAX(0.1,Skills!D24-IF(TRUE=TRUE,Inputs!$B$32,0)))*(1-IF(AND(ArtifactsInput!$M$27,Inputs!$B$4="Chapter Hunt"),CHOOSE(ArtifactsInput!$N$27+1,20,24,28,32,36,40),0)/100)),0)</f>
        <v/>
      </c>
      <c r="R590">
        <f>IF(AND(Inputs!$B$38&lt;&gt;"pvp",Inputs!$B$43&gt;0),IF(Inputs!$B$43&lt;=0,0,(INT(Inputs!$B$43/(IF(Inputs!$B$38="pvp",15,MAX(0.1,Skills!D24-IF(TRUE=TRUE,Inputs!$B$32,0)))*(1-IF(AND(ArtifactsInput!$M$27,Inputs!$B$4="Chapter Hunt"),CHOOSE(ArtifactsInput!$N$27+1,20,24,28,32,36,40),0)/100)))+1)),0)</f>
        <v/>
      </c>
      <c r="S590">
        <f>IFERROR(O590/N590,0)</f>
        <v/>
      </c>
      <c r="T590" t="n">
        <v>0</v>
      </c>
      <c r="V590" t="n">
        <v>0</v>
      </c>
    </row>
    <row r="591">
      <c r="A591">
        <f>Skills!A25</f>
        <v/>
      </c>
      <c r="B591">
        <f>Skills!B25</f>
        <v/>
      </c>
      <c r="C591">
        <f>Inputs!$B$3&gt;=110</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t="inlineStr"/>
      <c r="H591" t="inlineStr"/>
      <c r="I591" t="inlineStr">
        <is>
          <t>1</t>
        </is>
      </c>
      <c r="J591" t="inlineStr"/>
      <c r="K591" t="inlineStr"/>
      <c r="L591" t="inlineStr"/>
      <c r="M591" t="inlineStr"/>
      <c r="N591" t="inlineStr"/>
      <c r="O591" t="inlineStr"/>
      <c r="P591" t="inlineStr"/>
      <c r="Q591" t="inlineStr"/>
      <c r="R591" t="inlineStr"/>
      <c r="S591" t="inlineStr"/>
      <c r="T591" t="inlineStr"/>
      <c r="V591" t="inlineStr"/>
    </row>
    <row r="592">
      <c r="A592">
        <f>Skills!A26</f>
        <v/>
      </c>
      <c r="B592">
        <f>Skills!B26</f>
        <v/>
      </c>
      <c r="C592">
        <f>Inputs!$B$3&gt;=117</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V592" t="inlineStr"/>
    </row>
    <row r="594">
      <c r="A594" t="inlineStr">
        <is>
          <t>Attack% Bucket Multiplier</t>
        </is>
      </c>
      <c r="B594">
        <f>(1+(((C579=TRUE)*F579*5/7)+((C585=TRUE)*(F585-Calc!F19))+(IF(ArtifactsInput!$M$21,CHOOSE(ArtifactsInput!$N$21+1,25,30,35,40,45,50)*(IF(OR(Inputs!$B$4="Chapter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5">
      <c r="A595" t="inlineStr">
        <is>
          <t>Global Crit Rate Bonus %</t>
        </is>
      </c>
      <c r="B595" t="n">
        <v>0</v>
      </c>
    </row>
    <row r="596">
      <c r="A596" t="inlineStr">
        <is>
          <t>Attack Speed Buff Bonus % (Nimble Feet + Speed Infusion, duty-cycle averaged)</t>
        </is>
      </c>
      <c r="B596">
        <f>((C589=TRUE)*F589*IF(AND(Inputs!$B$38&lt;&gt;"pvp",Inputs!$B$43&gt;0),(((R589-1)*MIN((Skills!T23*(1+Inputs!$B$34/100)),(1/Q589))+MIN((Skills!T23*(1+Inputs!$B$34/100)),MAX(0,Inputs!$B$43-((R589-1)*(1/Q589)))))/Inputs!$B$43),IF(Inputs!$B$38="pvp",MIN((Skills!T23*(1+Inputs!$B$34/100)),15)/15,MIN(1,(Skills!T23*(1+Inputs!$B$34/100))/(1/Q589)))))+((C590=TRUE)*F590*IF(AND(Inputs!$B$38&lt;&gt;"pvp",Inputs!$B$43&gt;0),(((R590-1)*MIN((Skills!T24*(1+Inputs!$B$34/100)),(1/Q590))+MIN((Skills!T24*(1+Inputs!$B$34/100)),MAX(0,Inputs!$B$43-((R590-1)*(1/Q590)))))/Inputs!$B$43),IF(Inputs!$B$38="pvp",MIN((Skills!T24*(1+Inputs!$B$34/100)),15)/15,MIN(1,(Skills!T24*(1+Inputs!$B$34/100))/(1/Q590)))))</f>
        <v/>
      </c>
    </row>
    <row r="597">
      <c r="A597" t="inlineStr">
        <is>
          <t>Actions Per Second</t>
        </is>
      </c>
      <c r="B597">
        <f>1+MIN(150,150*(1-(1-(Inputs!$B$11+((C583=TRUE)*(F583-Calc!F17))+((C584=TRUE)*(F584-Calc!F18)))/150)*(1-B596/150)))/100</f>
        <v/>
      </c>
    </row>
    <row r="598">
      <c r="A598" t="inlineStr">
        <is>
          <t>Skill + Buff Cast Rate</t>
        </is>
      </c>
      <c r="B598">
        <f>IF(AND(Inputs!$B$38&lt;&gt;"pvp",Inputs!$B$43&gt;0),SUMPRODUCT((Skills!E2:E26=TRUE)*(C568:C592=TRUE)*R568:R592*Skills!F2:F26)/Inputs!$B$43,SUMPRODUCT((Skills!E2:E26=TRUE)*(C568:C592=TRUE)*Q568:Q592*Skills!F2:F26))</f>
        <v/>
      </c>
    </row>
    <row r="599">
      <c r="A599" t="inlineStr">
        <is>
          <t>Hook Bomber Casts Per Second</t>
        </is>
      </c>
      <c r="B599">
        <f>MAX(0,B597-B598)</f>
        <v/>
      </c>
    </row>
    <row r="600">
      <c r="A600" t="inlineStr">
        <is>
          <t>Global Critical Damage Bonus % (unused)</t>
        </is>
      </c>
      <c r="B600" t="n">
        <v>0</v>
      </c>
    </row>
    <row r="601">
      <c r="A601" t="inlineStr">
        <is>
          <t>Global Final Damage Bonus % (Serpent Scale + Crossbones + Time Leap + Speed Infusion)</t>
        </is>
      </c>
      <c r="B601">
        <f>((C571=TRUE)*(F571*B607+4*(1-B607)))+((C580=TRUE)*F580*IF(AND(Inputs!$B$38&lt;&gt;"pvp",Inputs!$B$43&gt;0),(((R580-1)*MIN((Skills!T14*(1+Inputs!$B$34/100)),(1/Q580))+MIN((Skills!T14*(1+Inputs!$B$34/100)),MAX(0,Inputs!$B$43-((R580-1)*(1/Q580)))))/Inputs!$B$43),IF(Inputs!$B$38="pvp",MIN((Skills!T14*(1+Inputs!$B$34/100)),15)/15,MIN(1,(Skills!T14*(1+Inputs!$B$34/100))/(1/Q580)))))+((C581=TRUE)*F581*IF(AND(Inputs!$B$38&lt;&gt;"pvp",Inputs!$B$43&gt;0),(((R581-1)*MIN((Skills!T15*(1+Inputs!$B$34/100)),(1/Q581))+MIN((Skills!T15*(1+Inputs!$B$34/100)),MAX(0,Inputs!$B$43-((R581-1)*(1/Q581)))))/Inputs!$B$43),IF(Inputs!$B$38="pvp",MIN((Skills!T15*(1+Inputs!$B$34/100)),15)/15,MIN(1,(Skills!T15*(1+Inputs!$B$34/100))/(1/Q581)))))+((C590=TRUE)*20*((1+MIN(150,150*(1-(1-(Inputs!$B$11+((C583=TRUE)*(F583-Calc!F17))+((C584=TRUE)*(F584-Calc!F18)))/150)*(1-(((C589=TRUE)*F589*IF(AND(Inputs!$B$38&lt;&gt;"pvp",Inputs!$B$43&gt;0),(((R589-1)*MIN((Skills!T23*(1+Inputs!$B$34/100)),(1/Q589))+MIN((Skills!T23*(1+Inputs!$B$34/100)),MAX(0,Inputs!$B$43-((R589-1)*(1/Q589)))))/Inputs!$B$43),IF(Inputs!$B$38="pvp",MIN((Skills!T23*(1+Inputs!$B$34/100)),15)/15,MIN(1,(Skills!T23*(1+Inputs!$B$34/100))/(1/Q589)))))+F590)/150)))/100)-1)*IF(AND(Inputs!$B$38&lt;&gt;"pvp",Inputs!$B$43&gt;0),(((R590-1)*MIN((Skills!T24*(1+Inputs!$B$34/100)),(1/Q590))+MIN((Skills!T24*(1+Inputs!$B$34/100)),MAX(0,Inputs!$B$43-((R590-1)*(1/Q590)))))/Inputs!$B$43),IF(Inputs!$B$38="pvp",MIN((Skills!T24*(1+Inputs!$B$34/100)),15)/15,MIN(1,(Skills!T24*(1+Inputs!$B$34/100))/(1/Q590)))))</f>
        <v/>
      </c>
    </row>
    <row r="602">
      <c r="A602" t="inlineStr">
        <is>
          <t>Buff-Casting Startup Delay (s, fixed-duration only)</t>
        </is>
      </c>
      <c r="B602">
        <f>IF(AND(Inputs!$B$38&lt;&gt;"pvp",Inputs!$B$43&gt;0),SUMPRODUCT((Skills!T2:T26&gt;0)*(Skills!E2:E26=TRUE)*(C568:C592=TRUE))/B597,0)</f>
        <v/>
      </c>
    </row>
    <row r="603">
      <c r="A603" t="inlineStr">
        <is>
          <t>Boss-Only Total DPS (this block's swept value)</t>
        </is>
      </c>
      <c r="B603">
        <f>SUM(T568:T592)</f>
        <v/>
      </c>
    </row>
    <row r="604">
      <c r="A604" t="inlineStr">
        <is>
          <t>Normal-Only Total DPS (this block's swept value)</t>
        </is>
      </c>
      <c r="B604">
        <f>SUM(V568:V592)</f>
        <v/>
      </c>
    </row>
    <row r="605">
      <c r="A605" s="6" t="inlineStr">
        <is>
          <t>TOTAL DPS</t>
        </is>
      </c>
      <c r="B605" s="6">
        <f>SUM(O568:O592)</f>
        <v/>
      </c>
    </row>
    <row r="606">
      <c r="A606" t="inlineStr">
        <is>
          <t>Serpent activation interval T (this block's own Hook Bomber rate)</t>
        </is>
      </c>
      <c r="B606">
        <f>((1/Q569)+IFERROR(0.5/B599,0))</f>
        <v/>
      </c>
    </row>
    <row r="607">
      <c r="A607" t="inlineStr">
        <is>
          <t>Assault Mode uptime u (this block)</t>
        </is>
      </c>
      <c r="B607">
        <f>IF(C571=TRUE,(10+IF(Inputs!$B$3&gt;=94,5,0))/((10+IF(Inputs!$B$3&gt;=94,5,0))+IF(Inputs!$B$3&gt;=104,3,5)*B606),0)</f>
        <v/>
      </c>
    </row>
    <row r="608">
      <c r="A608" t="inlineStr">
        <is>
          <t>Nautilus Strike - Final Attack trigger rate (this block's own Q/R)</t>
        </is>
      </c>
      <c r="B608">
        <f>IF(AND(Inputs!$B$38&lt;&gt;"pvp",Inputs!$B$43&gt;0),(((C572=TRUE)*R572)+((C573=TRUE)*R573)+((C576=TRUE)*R576))/Inputs!$B$43,((C572=TRUE)*Q572)+((C573=TRUE)*Q573)+((C576=TRUE)*Q576))+B599</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631=TRUE)*(F631-Calc!F20)),(Inputs!$B$23+0+(IF(ArtifactsInput!$M$15,CHOOSE(ArtifactsInput!$N$15+1,25,30,35,40,45,50)/100*(((1-(1-Inputs!$B$11/150)*(1-1/150))*150)-Inputs!$B$11),0))))/100+(Inputs!$B$23+0+(IF(ArtifactsInput!$M$15,CHOOSE(ArtifactsInput!$N$15+1,25,30,35,40,45,50)/100*(((1-(1-Inputs!$B$11/150)*(1-1/150))*150)-Inputs!$B$11),0)))/100)/2</f>
        <v/>
      </c>
      <c r="M613">
        <f>L613*(1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IF(B650=0,0,O613/B650)</f>
        <v/>
      </c>
      <c r="Q613" t="n">
        <v>0</v>
      </c>
      <c r="R613" t="n">
        <v>0</v>
      </c>
      <c r="S613">
        <f>IFERROR(O613/N613,0)</f>
        <v/>
      </c>
      <c r="T613">
        <f>IF(C613,(Skills!G2*N613*B644)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IF(C613,(Skills!G2*N613*B644)*IF(Inputs!$B$38="pvp",1,(1+(Inputs!$B$21+Skills!Q2+(IF(ArtifactsInput!$M$33,CHOOSE(ArtifactsInput!$N$33+1,30,36,42,48,54,60),0))+(IF(AND(ArtifactsInput!$M$35,Inputs!$B$4&lt;&gt;"Chapter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Skills!G3*IF(Skills!H3&gt;0,Skills!I3/Skills!H3,1)</f>
        <v/>
      </c>
      <c r="H614">
        <f>1-(1-Skills!J3/100)^Skills!K3</f>
        <v/>
      </c>
      <c r="I614" t="inlineStr">
        <is>
          <t>1</t>
        </is>
      </c>
      <c r="J614">
        <f>((Inputs!$B$6*(1+Inputs!$B$7/100))+(((Inputs!$B$12*(1+Inputs!$B$13/100))-(Inputs!$B$12*(1+Inputs!$B$13/100)))+0.25*(Inputs!$B$14-Inputs!$B$14))*(1+Inputs!$B$7/100))*(F614/100)</f>
        <v/>
      </c>
      <c r="K614">
        <f>J614*(1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636=TRUE,F636,0)/100)*(1+(IF(Skills!A3="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C631=TRUE)*(F631-Calc!F20)),(Inputs!$B$23+0+(IF(ArtifactsInput!$M$15,CHOOSE(ArtifactsInput!$N$15+1,25,30,35,40,45,50)/100*(((1-(1-Inputs!$B$11/150)*(1-1/150))*150)-Inputs!$B$11),0))))/100+(Inputs!$B$23+0+(IF(ArtifactsInput!$M$15,CHOOSE(ArtifactsInput!$N$15+1,25,30,35,40,45,50)/100*(((1-(1-Inputs!$B$11/150)*(1-1/150))*150)-Inputs!$B$11),0)))/100)/2</f>
        <v/>
      </c>
      <c r="M614">
        <f>L614*(1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(1-Summary!$B$11)*T614+Summary!$B$11*V614</f>
        <v/>
      </c>
      <c r="P614">
        <f>IF(B650=0,0,O614/B650)</f>
        <v/>
      </c>
      <c r="Q614">
        <f>IFERROR(1/(IF(Inputs!$B$38="pvp",15,MAX(0.1,Skills!D3-IF(TRUE=TRUE,Inputs!$B$32,0)))*(1-IF(AND(ArtifactsInput!$M$27,Inputs!$B$4="Chapter Hunt"),CHOOSE(ArtifactsInput!$N$27+1,20,24,28,32,36,40),0)/100)),0)</f>
        <v/>
      </c>
      <c r="R614">
        <f>IF(AND(Inputs!$B$38&lt;&gt;"pvp",Inputs!$B$43&gt;0),IF(MAX(0,Inputs!$B$43-B647)&lt;=0,0,(INT(MAX(0,Inputs!$B$43-B647)/(IF(Inputs!$B$38="pvp",15,MAX(0.1,Skills!D3-IF(TRUE=TRUE,Inputs!$B$32,0)))*(1-IF(AND(ArtifactsInput!$M$27,Inputs!$B$4="Chapter Hunt"),CHOOSE(ArtifactsInput!$N$27+1,20,24,28,32,36,40),0)/100)))+1)),0)</f>
        <v/>
      </c>
      <c r="S614">
        <f>IFERROR(O614/N614,0)</f>
        <v/>
      </c>
      <c r="T614">
        <f>IF(C614,(Skills!G3*N614*IF(C615=TRUE,1-B652,1)/B651)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614*(1-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INDEX(FactorTable!$B$2:$Y$301, MATCH(ROUND(MIN(300,MAX(1,U613)),0), FactorTable!$A$2:$A$301,0), 22)</f>
        <v/>
      </c>
      <c r="V614">
        <f>IF(C614,(Skills!G3*N614*IF(C615=TRUE,1-B652,1)/B651)*IF(Inputs!$B$38="pvp",1,(1+(Inputs!$B$21+Skills!Q3+(IF(ArtifactsInput!$M$33,CHOOSE(ArtifactsInput!$N$33+1,30,36,42,48,54,60),0))+(IF(AND(ArtifactsInput!$M$35,Inputs!$B$4&lt;&gt;"Chapter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Skills!A4</f>
        <v/>
      </c>
      <c r="B615">
        <f>Skills!B4</f>
        <v/>
      </c>
      <c r="C615">
        <f>Inputs!$B$3&gt;=69</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Skills!G4*IF(Skills!H4&gt;0,Skills!I4/Skills!H4,1)</f>
        <v/>
      </c>
      <c r="H615">
        <f>1-(1-Skills!J4/100)^Skills!K4</f>
        <v/>
      </c>
      <c r="I615" t="inlineStr">
        <is>
          <t>1</t>
        </is>
      </c>
      <c r="J615">
        <f>((Inputs!$B$6*(1+Inputs!$B$7/100))+(((Inputs!$B$12*(1+Inputs!$B$13/100))-(Inputs!$B$12*(1+Inputs!$B$13/100)))+0.25*(Inputs!$B$14-Inputs!$B$14))*(1+Inputs!$B$7/100))*(F615/100)</f>
        <v/>
      </c>
      <c r="K615">
        <f>J615*(1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623=TRUE,F623,0)/100)*(1+(IF(Skills!A4="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615)</f>
        <v/>
      </c>
      <c r="L615">
        <f>K615*(MIN(Inputs!$B$22+((C631=TRUE)*(F631-Calc!F20)),(Inputs!$B$23+0+(IF(ArtifactsInput!$M$15,CHOOSE(ArtifactsInput!$N$15+1,25,30,35,40,45,50)/100*(((1-(1-Inputs!$B$11/150)*(1-1/150))*150)-Inputs!$B$11),0))))/100+(Inputs!$B$23+0+(IF(ArtifactsInput!$M$15,CHOOSE(ArtifactsInput!$N$15+1,25,30,35,40,45,50)/100*(((1-(1-Inputs!$B$11/150)*(1-1/150))*150)-Inputs!$B$11),0)))/100)/2</f>
        <v/>
      </c>
      <c r="M615">
        <f>L615*(1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5">
        <f>L615*(1-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615*(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5">
        <f>(1-Summary!$B$11)*T615+Summary!$B$11*V615</f>
        <v/>
      </c>
      <c r="P615">
        <f>IF(B650=0,0,O615/B650)</f>
        <v/>
      </c>
      <c r="Q615" t="n">
        <v>0</v>
      </c>
      <c r="R615" t="n">
        <v>0</v>
      </c>
      <c r="S615">
        <f>IFERROR(O615/N615,0)</f>
        <v/>
      </c>
      <c r="T615">
        <f>IF(C615,(Skills!G4*N615*B652/B651)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615*(1-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615*(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615*(1-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615*(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5">
        <f>290*U614/1000</f>
        <v/>
      </c>
      <c r="V615">
        <f>IF(C615,(Skills!G4*N615*B652/B651)*IF(Inputs!$B$38="pvp",1,(1+(Inputs!$B$21+Skills!Q4+(IF(ArtifactsInput!$M$33,CHOOSE(ArtifactsInput!$N$33+1,30,36,42,48,54,60),0))+(IF(AND(ArtifactsInput!$M$35,Inputs!$B$4&lt;&gt;"Chapter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6">
      <c r="A616">
        <f>Skills!A5</f>
        <v/>
      </c>
      <c r="B616">
        <f>Skills!B5</f>
        <v/>
      </c>
      <c r="C616">
        <f>Inputs!$B$3&gt;=66</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t="inlineStr"/>
      <c r="K616" t="inlineStr"/>
      <c r="L616" t="inlineStr"/>
      <c r="M616" t="inlineStr"/>
      <c r="N616" t="inlineStr"/>
      <c r="O616">
        <f>(1-Summary!$B$11)*T616+Summary!$B$11*V616</f>
        <v/>
      </c>
      <c r="P616">
        <f>IF(B650=0,0,O616/B650)</f>
        <v/>
      </c>
      <c r="Q616" t="n">
        <v>0</v>
      </c>
      <c r="R616" t="n">
        <v>0</v>
      </c>
      <c r="S616">
        <f>IFERROR(O616/N616,0)</f>
        <v/>
      </c>
      <c r="T616" t="n">
        <v>0</v>
      </c>
      <c r="V616" t="n">
        <v>0</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623=TRUE,F623,0)/100)*(1+(IF(Skills!A6="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631=TRUE)*(F631-Calc!F20)),(Inputs!$B$23+0+(IF(ArtifactsInput!$M$15,CHOOSE(ArtifactsInput!$N$15+1,25,30,35,40,45,50)/100*(((1-(1-Inputs!$B$11/150)*(1-1/150))*150)-Inputs!$B$11),0))))/100+(Inputs!$B$23+0+(IF(ArtifactsInput!$M$15,CHOOSE(ArtifactsInput!$N$15+1,25,30,35,40,45,50)/100*(((1-(1-Inputs!$B$11/150)*(1-1/150))*150)-Inputs!$B$11),0)))/100)/2</f>
        <v/>
      </c>
      <c r="M617">
        <f>L617*(1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IF(B650=0,0,O617/B650)</f>
        <v/>
      </c>
      <c r="Q617">
        <f>IFERROR(1/(IF(Inputs!$B$38="pvp",15,MAX(0.1,Skills!D6-IF(TRUE=TRUE,Inputs!$B$32,0)))*(1-IF(AND(ArtifactsInput!$M$27,Inputs!$B$4="Chapter Hunt"),CHOOSE(ArtifactsInput!$N$27+1,20,24,28,32,36,40),0)/100)),0)</f>
        <v/>
      </c>
      <c r="R617">
        <f>IF(AND(Inputs!$B$38&lt;&gt;"pvp",Inputs!$B$43&gt;0),IF(MAX(0,Inputs!$B$43-B647)&lt;=0,0,(INT(MAX(0,Inputs!$B$43-B647)/(IF(Inputs!$B$38="pvp",15,MAX(0.1,Skills!D6-IF(TRUE=TRUE,Inputs!$B$32,0)))*(1-IF(AND(ArtifactsInput!$M$27,Inputs!$B$4="Chapter Hunt"),CHOOSE(ArtifactsInput!$N$27+1,20,24,28,32,36,40),0)/100)))+1)),0)</f>
        <v/>
      </c>
      <c r="S617">
        <f>IFERROR(O617/N617,0)</f>
        <v/>
      </c>
      <c r="T617">
        <f>IF(C617,(H617*N617*IF(AND(Inputs!$B$38&lt;&gt;"pvp",Inputs!$B$43&gt;0),((Skills!G6*((R617-1)*IF(Skills!H6&gt;0,Skills!I6/Skills!H6,1)+IF(Skills!H6&gt;0,MIN(Skills!I6,MAX(0,MAX(0,Inputs!$B$43-B647)-((R617-1)*(IF(Inputs!$B$38="pvp",15,MAX(0.1,Skills!D6-IF(TRUE=TRUE,Inputs!$B$32,0)))*(1-IF(AND(ArtifactsInput!$M$27,Inputs!$B$4="Chapter Hunt"),CHOOSE(ArtifactsInput!$N$27+1,20,24,28,32,36,40),0)/100)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647)-((R617-1)*(IF(Inputs!$B$38="pvp",15,MAX(0.1,Skills!D6-IF(TRUE=TRUE,Inputs!$B$32,0)))*(1-IF(AND(ArtifactsInput!$M$27,Inputs!$B$4="Chapter Hunt"),CHOOSE(ArtifactsInput!$N$27+1,20,24,28,32,36,40),0)/100)))))/Skills!H6,1)))/Inputs!$B$43),G617*Q617))*IF(Inputs!$B$38="pvp",1,(1+(Inputs!$B$21+Skills!Q6+(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Inputs!$B$3&gt;=103</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631=TRUE)*(F631-Calc!F20)),(Inputs!$B$23+0+(IF(ArtifactsInput!$M$15,CHOOSE(ArtifactsInput!$N$15+1,25,30,35,40,45,50)/100*(((1-(1-Inputs!$B$11/150)*(1-1/150))*150)-Inputs!$B$11),0))))/100+(Inputs!$B$23+0+(IF(ArtifactsInput!$M$15,CHOOSE(ArtifactsInput!$N$15+1,25,30,35,40,45,50)/100*(((1-(1-Inputs!$B$11/150)*(1-1/150))*150)-Inputs!$B$11),0)))/100)/2</f>
        <v/>
      </c>
      <c r="M618">
        <f>L618*(1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IF(B650=0,0,O618/B650)</f>
        <v/>
      </c>
      <c r="Q618">
        <f>IFERROR(1/(IF(Inputs!$B$38="pvp",15,MAX(0.1,Skills!D7-IF(TRUE=TRUE,Inputs!$B$32,0)))*(1-IF(AND(ArtifactsInput!$M$27,Inputs!$B$4="Chapter Hunt"),CHOOSE(ArtifactsInput!$N$27+1,20,24,28,32,36,40),0)/100)),0)</f>
        <v/>
      </c>
      <c r="R618">
        <f>IF(AND(Inputs!$B$38&lt;&gt;"pvp",Inputs!$B$43&gt;0),IF(MAX(0,Inputs!$B$43-B647)&lt;=0,0,(INT(MAX(0,Inputs!$B$43-B647)/(IF(Inputs!$B$38="pvp",15,MAX(0.1,Skills!D7-IF(TRUE=TRUE,Inputs!$B$32,0)))*(1-IF(AND(ArtifactsInput!$M$27,Inputs!$B$4="Chapter Hunt"),CHOOSE(ArtifactsInput!$N$27+1,20,24,28,32,36,40),0)/100)))+1)),0)</f>
        <v/>
      </c>
      <c r="S618">
        <f>IFERROR(O618/N618,0)</f>
        <v/>
      </c>
      <c r="T618">
        <f>IF(C618,(H618*N618*IF(AND(Inputs!$B$38&lt;&gt;"pvp",Inputs!$B$43&gt;0),((Skills!G7*((R618-1)*IF(Skills!H7&gt;0,Skills!I7/Skills!H7,1)+IF(Skills!H7&gt;0,MIN(Skills!I7,MAX(0,MAX(0,Inputs!$B$43-B647)-((R618-1)*(IF(Inputs!$B$38="pvp",15,MAX(0.1,Skills!D7-IF(TRUE=TRUE,Inputs!$B$32,0)))*(1-IF(AND(ArtifactsInput!$M$27,Inputs!$B$4="Chapter Hunt"),CHOOSE(ArtifactsInput!$N$27+1,20,24,28,32,36,40),0)/100)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647)-((R618-1)*(IF(Inputs!$B$38="pvp",15,MAX(0.1,Skills!D7-IF(TRUE=TRUE,Inputs!$B$32,0)))*(1-IF(AND(ArtifactsInput!$M$27,Inputs!$B$4="Chapter Hunt"),CHOOSE(ArtifactsInput!$N$27+1,20,24,28,32,36,40),0)/100)))))/Skills!H7,1)))/Inputs!$B$43),G618*Q618))*IF(Inputs!$B$38="pvp",1,(1+(Inputs!$B$21+Skills!Q7+(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Inputs!$B$3&gt;=117</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Skills!G8*IF(Skills!H8&gt;0,Skills!I8/Skills!H8,1)</f>
        <v/>
      </c>
      <c r="H619">
        <f>1-(1-Skills!J8/100)^Skills!K8</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631=TRUE)*(F631-Calc!F20)),(Inputs!$B$23+0+(IF(ArtifactsInput!$M$15,CHOOSE(ArtifactsInput!$N$15+1,25,30,35,40,45,50)/100*(((1-(1-Inputs!$B$11/150)*(1-1/150))*150)-Inputs!$B$11),0))))/100+(Inputs!$B$23+0+(IF(ArtifactsInput!$M$15,CHOOSE(ArtifactsInput!$N$15+1,25,30,35,40,45,50)/100*(((1-(1-Inputs!$B$11/150)*(1-1/150))*150)-Inputs!$B$11),0)))/100)/2</f>
        <v/>
      </c>
      <c r="M619">
        <f>L619*(1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IF(B650=0,0,O619/B650)</f>
        <v/>
      </c>
      <c r="Q619">
        <f>IFERROR(1/(IF(Inputs!$B$38="pvp",15,MAX(0.1,Skills!D8-IF(TRUE=TRUE,Inputs!$B$32,0)))*(1-IF(AND(ArtifactsInput!$M$27,Inputs!$B$4="Chapter Hunt"),CHOOSE(ArtifactsInput!$N$27+1,20,24,28,32,36,40),0)/100)),0)</f>
        <v/>
      </c>
      <c r="R619">
        <f>IF(AND(Inputs!$B$38&lt;&gt;"pvp",Inputs!$B$43&gt;0),IF(MAX(0,Inputs!$B$43-B647)&lt;=0,0,(INT(MAX(0,Inputs!$B$43-B647)/(IF(Inputs!$B$38="pvp",15,MAX(0.1,Skills!D8-IF(TRUE=TRUE,Inputs!$B$32,0)))*(1-IF(AND(ArtifactsInput!$M$27,Inputs!$B$4="Chapter Hunt"),CHOOSE(ArtifactsInput!$N$27+1,20,24,28,32,36,40),0)/100)))+1)),0)</f>
        <v/>
      </c>
      <c r="S619">
        <f>IFERROR(O619/N619,0)</f>
        <v/>
      </c>
      <c r="T619">
        <f>IF(C619,(H619*N619*IF(AND(Inputs!$B$38&lt;&gt;"pvp",Inputs!$B$43&gt;0),((Skills!G8*((R619-1)*IF(Skills!H8&gt;0,Skills!I8/Skills!H8,1)+IF(Skills!H8&gt;0,MIN(Skills!I8,MAX(0,MAX(0,Inputs!$B$43-B647)-((R619-1)*(IF(Inputs!$B$38="pvp",15,MAX(0.1,Skills!D8-IF(TRUE=TRUE,Inputs!$B$32,0)))*(1-IF(AND(ArtifactsInput!$M$27,Inputs!$B$4="Chapter Hunt"),CHOOSE(ArtifactsInput!$N$27+1,20,24,28,32,36,40),0)/100)))))/Skills!H8,1)))/Inputs!$B$43),G619*Q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9">
        <f>IF(C619,(H619*N619*IF(AND(Inputs!$B$38&lt;&gt;"pvp",Inputs!$B$43&gt;0),((Skills!G8*((R619-1)*IF(Skills!H8&gt;0,Skills!I8/Skills!H8,1)+IF(Skills!H8&gt;0,MIN(Skills!I8,MAX(0,MAX(0,Inputs!$B$43-B647)-((R619-1)*(IF(Inputs!$B$38="pvp",15,MAX(0.1,Skills!D8-IF(TRUE=TRUE,Inputs!$B$32,0)))*(1-IF(AND(ArtifactsInput!$M$27,Inputs!$B$4="Chapter Hunt"),CHOOSE(ArtifactsInput!$N$27+1,20,24,28,32,36,40),0)/100)))))/Skills!H8,1)))/Inputs!$B$43),G619*Q619))*IF(Inputs!$B$38="pvp",1,(1+(Inputs!$B$21+Skills!Q8+(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Skills!A9</f>
        <v/>
      </c>
      <c r="B620">
        <f>Skills!B9</f>
        <v/>
      </c>
      <c r="C620">
        <f>Inputs!$B$3&gt;=120</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B652</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631=TRUE)*(F631-Calc!F20)),(Inputs!$B$23+0+(IF(ArtifactsInput!$M$15,CHOOSE(ArtifactsInput!$N$15+1,25,30,35,40,45,50)/100*(((1-(1-Inputs!$B$11/150)*(1-1/150))*150)-Inputs!$B$11),0))))/100+(Inputs!$B$23+0+(IF(ArtifactsInput!$M$15,CHOOSE(ArtifactsInput!$N$15+1,25,30,35,40,45,50)/100*(((1-(1-Inputs!$B$11/150)*(1-1/150))*150)-Inputs!$B$11),0)))/100)/2</f>
        <v/>
      </c>
      <c r="M620">
        <f>L620*(1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IF(B650=0,0,O620/B650)</f>
        <v/>
      </c>
      <c r="Q620">
        <f>IFERROR(1/(IF(Inputs!$B$38="pvp",15,MAX(0.1,Skills!D9-IF(TRUE=TRUE,Inputs!$B$32,0)))*(1-IF(AND(ArtifactsInput!$M$27,Inputs!$B$4="Chapter Hunt"),CHOOSE(ArtifactsInput!$N$27+1,20,24,28,32,36,40),0)/100)),0)</f>
        <v/>
      </c>
      <c r="R620">
        <f>IF(AND(Inputs!$B$38&lt;&gt;"pvp",Inputs!$B$43&gt;0),IF(MAX(0,Inputs!$B$43-B647)&lt;=0,0,(INT(MAX(0,Inputs!$B$43-B647)/(IF(Inputs!$B$38="pvp",15,MAX(0.1,Skills!D9-IF(TRUE=TRUE,Inputs!$B$32,0)))*(1-IF(AND(ArtifactsInput!$M$27,Inputs!$B$4="Chapter Hunt"),CHOOSE(ArtifactsInput!$N$27+1,20,24,28,32,36,40),0)/100)))+1)),0)</f>
        <v/>
      </c>
      <c r="S620">
        <f>IFERROR(O620/N620,0)</f>
        <v/>
      </c>
      <c r="T620">
        <f>IF(C620,(H620*N620*IF(AND(Inputs!$B$38&lt;&gt;"pvp",Inputs!$B$43&gt;0),((Skills!G9*((R620-1)*IF(Skills!H9&gt;0,Skills!I9/Skills!H9,1)+IF(Skills!H9&gt;0,MIN(Skills!I9,MAX(0,MAX(0,Inputs!$B$43-B647)-((R620-1)*(IF(Inputs!$B$38="pvp",15,MAX(0.1,Skills!D9-IF(TRUE=TRUE,Inputs!$B$32,0)))*(1-IF(AND(ArtifactsInput!$M$27,Inputs!$B$4="Chapter Hunt"),CHOOSE(ArtifactsInput!$N$27+1,20,24,28,32,36,40),0)/100)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647)-((R620-1)*(IF(Inputs!$B$38="pvp",15,MAX(0.1,Skills!D9-IF(TRUE=TRUE,Inputs!$B$32,0)))*(1-IF(AND(ArtifactsInput!$M$27,Inputs!$B$4="Chapter Hunt"),CHOOSE(ArtifactsInput!$N$27+1,20,24,28,32,36,40),0)/100)))))/Skills!H9,1)))/Inputs!$B$43),G620*Q620))*IF(Inputs!$B$38="pvp",1,(1+(Inputs!$B$21+Skills!Q9+(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Inputs!$B$3&gt;=105</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631=TRUE)*(F631-Calc!F20)),(Inputs!$B$23+0+(IF(ArtifactsInput!$M$15,CHOOSE(ArtifactsInput!$N$15+1,25,30,35,40,45,50)/100*(((1-(1-Inputs!$B$11/150)*(1-1/150))*150)-Inputs!$B$11),0))))/100+(Inputs!$B$23+0+(IF(ArtifactsInput!$M$15,CHOOSE(ArtifactsInput!$N$15+1,25,30,35,40,45,50)/100*(((1-(1-Inputs!$B$11/150)*(1-1/150))*150)-Inputs!$B$11),0)))/100)/2</f>
        <v/>
      </c>
      <c r="M621">
        <f>L621*(1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IF(B650=0,0,O621/B650)</f>
        <v/>
      </c>
      <c r="Q621">
        <f>IFERROR(1/(IF(Inputs!$B$38="pvp",15,MAX(0.1,Skills!D10-IF(TRUE=TRUE,Inputs!$B$32,0)))*(1-IF(AND(ArtifactsInput!$M$27,Inputs!$B$4="Chapter Hunt"),CHOOSE(ArtifactsInput!$N$27+1,20,24,28,32,36,40),0)/100)),0)</f>
        <v/>
      </c>
      <c r="R621">
        <f>IF(AND(Inputs!$B$38&lt;&gt;"pvp",Inputs!$B$43&gt;0),IF(MAX(0,Inputs!$B$43-B647)&lt;=0,0,(INT(MAX(0,Inputs!$B$43-B647)/(IF(Inputs!$B$38="pvp",15,MAX(0.1,Skills!D10-IF(TRUE=TRUE,Inputs!$B$32,0)))*(1-IF(AND(ArtifactsInput!$M$27,Inputs!$B$4="Chapter Hunt"),CHOOSE(ArtifactsInput!$N$27+1,20,24,28,32,36,40),0)/100)))+1)),0)</f>
        <v/>
      </c>
      <c r="S621">
        <f>IFERROR(O621/N621,0)</f>
        <v/>
      </c>
      <c r="T621">
        <f>IF(C621,(H621*N621*IF(AND(Inputs!$B$38&lt;&gt;"pvp",Inputs!$B$43&gt;0),((Skills!G10*((R621-1)*IF(Skills!H10&gt;0,Skills!I10/Skills!H10,1)+IF(Skills!H10&gt;0,MIN(Skills!I10,MAX(0,MAX(0,Inputs!$B$43-B647)-((R621-1)*(IF(Inputs!$B$38="pvp",15,MAX(0.1,Skills!D10-IF(TRUE=TRUE,Inputs!$B$32,0)))*(1-IF(AND(ArtifactsInput!$M$27,Inputs!$B$4="Chapter Hunt"),CHOOSE(ArtifactsInput!$N$27+1,20,24,28,32,36,40),0)/100)))))/Skills!H10,1)))/Inputs!$B$43),G621*Q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H621*N621*IF(AND(Inputs!$B$38&lt;&gt;"pvp",Inputs!$B$43&gt;0),((Skills!G10*((R621-1)*IF(Skills!H10&gt;0,Skills!I10/Skills!H10,1)+IF(Skills!H10&gt;0,MIN(Skills!I10,MAX(0,MAX(0,Inputs!$B$43-B647)-((R621-1)*(IF(Inputs!$B$38="pvp",15,MAX(0.1,Skills!D10-IF(TRUE=TRUE,Inputs!$B$32,0)))*(1-IF(AND(ArtifactsInput!$M$27,Inputs!$B$4="Chapter Hunt"),CHOOSE(ArtifactsInput!$N$27+1,20,24,28,32,36,40),0)/100)))))/Skills!H10,1)))/Inputs!$B$43),G621*Q621))*IF(Inputs!$B$38="pvp",1,(1+(Inputs!$B$21+Skills!Q10+(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Inputs!$B$3&gt;=113</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631=TRUE)*(F631-Calc!F20)),(Inputs!$B$23+0+(IF(ArtifactsInput!$M$15,CHOOSE(ArtifactsInput!$N$15+1,25,30,35,40,45,50)/100*(((1-(1-Inputs!$B$11/150)*(1-1/150))*150)-Inputs!$B$11),0))))/100+(Inputs!$B$23+0+(IF(ArtifactsInput!$M$15,CHOOSE(ArtifactsInput!$N$15+1,25,30,35,40,45,50)/100*(((1-(1-Inputs!$B$11/150)*(1-1/150))*150)-Inputs!$B$11),0)))/100)/2</f>
        <v/>
      </c>
      <c r="M622">
        <f>L622*(1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IF(B650=0,0,O622/B650)</f>
        <v/>
      </c>
      <c r="Q622" t="n">
        <v>0</v>
      </c>
      <c r="R622" t="n">
        <v>0</v>
      </c>
      <c r="S622">
        <f>IFERROR(O622/N622,0)</f>
        <v/>
      </c>
      <c r="T622">
        <f>IF(C622,((H622*B653)/(1+Skills!H11*H622*B653)*N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IF(C622,((H622*B653)/(1+Skills!H11*H622*B653)*N622)*IF(Inputs!$B$38="pvp",1,(1+(Inputs!$B$21+Skills!Q11+(IF(ArtifactsInput!$M$33,CHOOSE(ArtifactsInput!$N$33+1,30,36,42,48,54,60),0))+(IF(AND(ArtifactsInput!$M$35,Inputs!$B$4&lt;&gt;"Chapter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Inputs!$B$3&gt;=100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t="inlineStr"/>
      <c r="H623" t="inlineStr"/>
      <c r="I623" t="inlineStr">
        <is>
          <t>1</t>
        </is>
      </c>
      <c r="J623" t="inlineStr"/>
      <c r="K623" t="inlineStr"/>
      <c r="L623" t="inlineStr"/>
      <c r="M623" t="inlineStr"/>
      <c r="N623" t="inlineStr"/>
      <c r="O623" t="inlineStr"/>
      <c r="P623" t="inlineStr"/>
      <c r="Q623" t="inlineStr"/>
      <c r="R623" t="inlineStr"/>
      <c r="S623" t="inlineStr"/>
      <c r="T623" t="inlineStr"/>
      <c r="V623" t="inlineStr"/>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IF(B650=0,0,O624/B650)</f>
        <v/>
      </c>
      <c r="Q624" t="n">
        <v>0</v>
      </c>
      <c r="R624" t="n">
        <v>0</v>
      </c>
      <c r="S624">
        <f>IFERROR(O624/N624,0)</f>
        <v/>
      </c>
      <c r="T624" t="n">
        <v>0</v>
      </c>
      <c r="V624" t="n">
        <v>0</v>
      </c>
    </row>
    <row r="625">
      <c r="A625">
        <f>Skills!A14</f>
        <v/>
      </c>
      <c r="B625">
        <f>Skills!B14</f>
        <v/>
      </c>
      <c r="C625">
        <f>Inputs!$B$3&gt;=115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IF(B650=0,0,O625/B650)</f>
        <v/>
      </c>
      <c r="Q625">
        <f>IFERROR(1/(IF(Inputs!$B$38="pvp",15,MAX(0.1,Skills!D14-IF(TRUE=TRUE,Inputs!$B$32,0)))*(1-IF(AND(ArtifactsInput!$M$27,Inputs!$B$4="Chapter Hunt"),CHOOSE(ArtifactsInput!$N$27+1,20,24,28,32,36,40),0)/100)),0)</f>
        <v/>
      </c>
      <c r="R625">
        <f>IF(AND(Inputs!$B$38&lt;&gt;"pvp",Inputs!$B$43&gt;0),IF(Inputs!$B$43&lt;=0,0,(INT(Inputs!$B$43/(IF(Inputs!$B$38="pvp",15,MAX(0.1,Skills!D14-IF(TRUE=TRUE,Inputs!$B$32,0)))*(1-IF(AND(ArtifactsInput!$M$27,Inputs!$B$4="Chapter Hunt"),CHOOSE(ArtifactsInput!$N$27+1,20,24,28,32,36,40),0)/100)))+1)),0)</f>
        <v/>
      </c>
      <c r="S625">
        <f>IFERROR(O625/N625,0)</f>
        <v/>
      </c>
      <c r="T625" t="n">
        <v>0</v>
      </c>
      <c r="V625" t="n">
        <v>0</v>
      </c>
    </row>
    <row r="626">
      <c r="A626">
        <f>Skills!A15</f>
        <v/>
      </c>
      <c r="B626">
        <f>Skills!B15</f>
        <v/>
      </c>
      <c r="C626">
        <f>Inputs!$B$3&gt;=125</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IF(B650=0,0,O626/B650)</f>
        <v/>
      </c>
      <c r="Q626">
        <f>IFERROR(1/(IF(Inputs!$B$38="pvp",15,MAX(0.1,Skills!D15-IF(TRUE=TRUE,Inputs!$B$32,0)))*(1-IF(AND(ArtifactsInput!$M$27,Inputs!$B$4="Chapter Hunt"),CHOOSE(ArtifactsInput!$N$27+1,20,24,28,32,36,40),0)/100)),0)</f>
        <v/>
      </c>
      <c r="R626">
        <f>IF(AND(Inputs!$B$38&lt;&gt;"pvp",Inputs!$B$43&gt;0),IF(Inputs!$B$43&lt;=0,0,(INT(Inputs!$B$43/(IF(Inputs!$B$38="pvp",15,MAX(0.1,Skills!D15-IF(TRUE=TRUE,Inputs!$B$32,0)))*(1-IF(AND(ArtifactsInput!$M$27,Inputs!$B$4="Chapter Hunt"),CHOOSE(ArtifactsInput!$N$27+1,20,24,28,32,36,40),0)/100)))+1)),0)</f>
        <v/>
      </c>
      <c r="S626">
        <f>IFERROR(O626/N626,0)</f>
        <v/>
      </c>
      <c r="T626" t="n">
        <v>0</v>
      </c>
      <c r="V626" t="n">
        <v>0</v>
      </c>
    </row>
    <row r="627">
      <c r="A627">
        <f>Skills!A16</f>
        <v/>
      </c>
      <c r="B627">
        <f>Skills!B16</f>
        <v/>
      </c>
      <c r="C627">
        <f>Inputs!$B$3&gt;=10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IF(B650=0,0,O627/B650)</f>
        <v/>
      </c>
      <c r="Q627" t="n">
        <v>0</v>
      </c>
      <c r="R627" t="n">
        <v>0</v>
      </c>
      <c r="S627">
        <f>IFERROR(O627/N627,0)</f>
        <v/>
      </c>
      <c r="T627" t="n">
        <v>0</v>
      </c>
      <c r="V627" t="n">
        <v>0</v>
      </c>
    </row>
    <row r="628">
      <c r="A628">
        <f>Skills!A17</f>
        <v/>
      </c>
      <c r="B628">
        <f>Skills!B17</f>
        <v/>
      </c>
      <c r="C628">
        <f>Inputs!$B$3&gt;=15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IF(B650=0,0,O628/B650)</f>
        <v/>
      </c>
      <c r="Q628" t="n">
        <v>0</v>
      </c>
      <c r="R628" t="n">
        <v>0</v>
      </c>
      <c r="S628">
        <f>IFERROR(O628/N628,0)</f>
        <v/>
      </c>
      <c r="T628" t="n">
        <v>0</v>
      </c>
      <c r="V628" t="n">
        <v>0</v>
      </c>
    </row>
    <row r="629">
      <c r="A629">
        <f>Skills!A18</f>
        <v/>
      </c>
      <c r="B629">
        <f>Skills!B18</f>
        <v/>
      </c>
      <c r="C629">
        <f>Inputs!$B$3&gt;=33</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IF(B650=0,0,O629/B650)</f>
        <v/>
      </c>
      <c r="Q629" t="n">
        <v>0</v>
      </c>
      <c r="R629" t="n">
        <v>0</v>
      </c>
      <c r="S629">
        <f>IFERROR(O629/N629,0)</f>
        <v/>
      </c>
      <c r="T629" t="n">
        <v>0</v>
      </c>
      <c r="V629" t="n">
        <v>0</v>
      </c>
    </row>
    <row r="630">
      <c r="A630">
        <f>Skills!A19</f>
        <v/>
      </c>
      <c r="B630">
        <f>Skills!B19</f>
        <v/>
      </c>
      <c r="C630">
        <f>Inputs!$B$3&gt;=40</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IF(B650=0,0,O630/B650)</f>
        <v/>
      </c>
      <c r="Q630" t="n">
        <v>0</v>
      </c>
      <c r="R630" t="n">
        <v>0</v>
      </c>
      <c r="S630">
        <f>IFERROR(O630/N630,0)</f>
        <v/>
      </c>
      <c r="T630" t="n">
        <v>0</v>
      </c>
      <c r="V630" t="n">
        <v>0</v>
      </c>
    </row>
    <row r="631">
      <c r="A631">
        <f>Skills!A20</f>
        <v/>
      </c>
      <c r="B631">
        <f>Skills!B20</f>
        <v/>
      </c>
      <c r="C631">
        <f>Inputs!$B$3&gt;=43</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IF(B650=0,0,O631/B650)</f>
        <v/>
      </c>
      <c r="Q631" t="n">
        <v>0</v>
      </c>
      <c r="R631" t="n">
        <v>0</v>
      </c>
      <c r="S631">
        <f>IFERROR(O631/N631,0)</f>
        <v/>
      </c>
      <c r="T631" t="n">
        <v>0</v>
      </c>
      <c r="V631" t="n">
        <v>0</v>
      </c>
    </row>
    <row r="632">
      <c r="A632">
        <f>Skills!A21</f>
        <v/>
      </c>
      <c r="B632">
        <f>Skills!B21</f>
        <v/>
      </c>
      <c r="C632">
        <f>Inputs!$B$3&gt;=38</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IF(B650=0,0,O632/B650)</f>
        <v/>
      </c>
      <c r="Q632" t="n">
        <v>0</v>
      </c>
      <c r="R632" t="n">
        <v>0</v>
      </c>
      <c r="S632">
        <f>IFERROR(O632/N632,0)</f>
        <v/>
      </c>
      <c r="T632" t="n">
        <v>0</v>
      </c>
      <c r="V632" t="n">
        <v>0</v>
      </c>
    </row>
    <row r="633">
      <c r="A633">
        <f>Skills!A22</f>
        <v/>
      </c>
      <c r="B633">
        <f>Skills!B22</f>
        <v/>
      </c>
      <c r="C633">
        <f>Inputs!$B$3&gt;=75</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IF(B650=0,0,O633/B650)</f>
        <v/>
      </c>
      <c r="Q633" t="n">
        <v>0</v>
      </c>
      <c r="R633" t="n">
        <v>0</v>
      </c>
      <c r="S633">
        <f>IFERROR(O633/N633,0)</f>
        <v/>
      </c>
      <c r="T633" t="n">
        <v>0</v>
      </c>
      <c r="V633" t="n">
        <v>0</v>
      </c>
    </row>
    <row r="634">
      <c r="A634">
        <f>Skills!A23</f>
        <v/>
      </c>
      <c r="B634">
        <f>Skills!B23</f>
        <v/>
      </c>
      <c r="C634">
        <f>TRUE</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IF(B650=0,0,O634/B650)</f>
        <v/>
      </c>
      <c r="Q634">
        <f>IFERROR(1/(IF(Inputs!$B$38="pvp",15,MAX(0.1,Skills!D23-IF(TRUE=TRUE,Inputs!$B$32,0)))*(1-IF(AND(ArtifactsInput!$M$27,Inputs!$B$4="Chapter Hunt"),CHOOSE(ArtifactsInput!$N$27+1,20,24,28,32,36,40),0)/100)),0)</f>
        <v/>
      </c>
      <c r="R634">
        <f>IF(AND(Inputs!$B$38&lt;&gt;"pvp",Inputs!$B$43&gt;0),IF(Inputs!$B$43&lt;=0,0,(INT(Inputs!$B$43/(IF(Inputs!$B$38="pvp",15,MAX(0.1,Skills!D23-IF(TRUE=TRUE,Inputs!$B$32,0)))*(1-IF(AND(ArtifactsInput!$M$27,Inputs!$B$4="Chapter Hunt"),CHOOSE(ArtifactsInput!$N$27+1,20,24,28,32,36,40),0)/100)))+1)),0)</f>
        <v/>
      </c>
      <c r="S634">
        <f>IFERROR(O634/N634,0)</f>
        <v/>
      </c>
      <c r="T634" t="n">
        <v>0</v>
      </c>
      <c r="V634" t="n">
        <v>0</v>
      </c>
    </row>
    <row r="635">
      <c r="A635">
        <f>Skills!A24</f>
        <v/>
      </c>
      <c r="B635">
        <f>Skills!B24</f>
        <v/>
      </c>
      <c r="C635">
        <f>Inputs!$B$3&gt;=107</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IF(B650=0,0,O635/B650)</f>
        <v/>
      </c>
      <c r="Q635">
        <f>IFERROR(1/(IF(Inputs!$B$38="pvp",15,MAX(0.1,Skills!D24-IF(TRUE=TRUE,Inputs!$B$32,0)))*(1-IF(AND(ArtifactsInput!$M$27,Inputs!$B$4="Chapter Hunt"),CHOOSE(ArtifactsInput!$N$27+1,20,24,28,32,36,40),0)/100)),0)</f>
        <v/>
      </c>
      <c r="R635">
        <f>IF(AND(Inputs!$B$38&lt;&gt;"pvp",Inputs!$B$43&gt;0),IF(Inputs!$B$43&lt;=0,0,(INT(Inputs!$B$43/(IF(Inputs!$B$38="pvp",15,MAX(0.1,Skills!D24-IF(TRUE=TRUE,Inputs!$B$32,0)))*(1-IF(AND(ArtifactsInput!$M$27,Inputs!$B$4="Chapter Hunt"),CHOOSE(ArtifactsInput!$N$27+1,20,24,28,32,36,40),0)/100)))+1)),0)</f>
        <v/>
      </c>
      <c r="S635">
        <f>IFERROR(O635/N635,0)</f>
        <v/>
      </c>
      <c r="T635" t="n">
        <v>0</v>
      </c>
      <c r="V635" t="n">
        <v>0</v>
      </c>
    </row>
    <row r="636">
      <c r="A636">
        <f>Skills!A25</f>
        <v/>
      </c>
      <c r="B636">
        <f>Skills!B25</f>
        <v/>
      </c>
      <c r="C636">
        <f>Inputs!$B$3&gt;=110</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t="inlineStr"/>
      <c r="H636" t="inlineStr"/>
      <c r="I636" t="inlineStr">
        <is>
          <t>1</t>
        </is>
      </c>
      <c r="J636" t="inlineStr"/>
      <c r="K636" t="inlineStr"/>
      <c r="L636" t="inlineStr"/>
      <c r="M636" t="inlineStr"/>
      <c r="N636" t="inlineStr"/>
      <c r="O636" t="inlineStr"/>
      <c r="P636" t="inlineStr"/>
      <c r="Q636" t="inlineStr"/>
      <c r="R636" t="inlineStr"/>
      <c r="S636" t="inlineStr"/>
      <c r="T636" t="inlineStr"/>
      <c r="V636" t="inlineStr"/>
    </row>
    <row r="637">
      <c r="A637">
        <f>Skills!A26</f>
        <v/>
      </c>
      <c r="B637">
        <f>Skills!B26</f>
        <v/>
      </c>
      <c r="C637">
        <f>Inputs!$B$3&gt;=117</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t="inlineStr"/>
      <c r="H637" t="inlineStr"/>
      <c r="I637" t="inlineStr">
        <is>
          <t>1</t>
        </is>
      </c>
      <c r="J637" t="inlineStr"/>
      <c r="K637" t="inlineStr"/>
      <c r="L637" t="inlineStr"/>
      <c r="M637" t="inlineStr"/>
      <c r="N637" t="inlineStr"/>
      <c r="O637" t="inlineStr"/>
      <c r="P637" t="inlineStr"/>
      <c r="Q637" t="inlineStr"/>
      <c r="R637" t="inlineStr"/>
      <c r="S637" t="inlineStr"/>
      <c r="T637" t="inlineStr"/>
      <c r="V637" t="inlineStr"/>
    </row>
    <row r="639">
      <c r="A639" t="inlineStr">
        <is>
          <t>Attack% Bucket Multiplier</t>
        </is>
      </c>
      <c r="B639">
        <f>(1+(((C624=TRUE)*F624*5/7)+((C630=TRUE)*(F630-Calc!F19))+(IF(ArtifactsInput!$M$21,CHOOSE(ArtifactsInput!$N$21+1,25,30,35,40,45,50)*(IF(OR(Inputs!$B$4="Chapter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0">
      <c r="A640" t="inlineStr">
        <is>
          <t>Global Crit Rate Bonus %</t>
        </is>
      </c>
      <c r="B640" t="n">
        <v>0</v>
      </c>
    </row>
    <row r="641">
      <c r="A641" t="inlineStr">
        <is>
          <t>Attack Speed Buff Bonus % (Nimble Feet + Speed Infusion, duty-cycle averaged)</t>
        </is>
      </c>
      <c r="B641">
        <f>((C634=TRUE)*F634*IF(AND(Inputs!$B$38&lt;&gt;"pvp",Inputs!$B$43&gt;0),(((R634-1)*MIN((Skills!T23*(1+Inputs!$B$34/100)),(1/Q634))+MIN((Skills!T23*(1+Inputs!$B$34/100)),MAX(0,Inputs!$B$43-((R634-1)*(1/Q634)))))/Inputs!$B$43),IF(Inputs!$B$38="pvp",MIN((Skills!T23*(1+Inputs!$B$34/100)),15)/15,MIN(1,(Skills!T23*(1+Inputs!$B$34/100))/(1/Q634)))))+((C635=TRUE)*F635*IF(AND(Inputs!$B$38&lt;&gt;"pvp",Inputs!$B$43&gt;0),(((R635-1)*MIN((Skills!T24*(1+Inputs!$B$34/100)),(1/Q635))+MIN((Skills!T24*(1+Inputs!$B$34/100)),MAX(0,Inputs!$B$43-((R635-1)*(1/Q635)))))/Inputs!$B$43),IF(Inputs!$B$38="pvp",MIN((Skills!T24*(1+Inputs!$B$34/100)),15)/15,MIN(1,(Skills!T24*(1+Inputs!$B$34/100))/(1/Q635)))))</f>
        <v/>
      </c>
    </row>
    <row r="642">
      <c r="A642" t="inlineStr">
        <is>
          <t>Actions Per Second</t>
        </is>
      </c>
      <c r="B642">
        <f>1+MIN(150,150*(1-(1-(((1-(1-Inputs!$B$11/150)*(1-1/150))*150)+((C628=TRUE)*(F628-Calc!F17))+((C629=TRUE)*(F629-Calc!F18)))/150)*(1-B641/150)))/100</f>
        <v/>
      </c>
    </row>
    <row r="643">
      <c r="A643" t="inlineStr">
        <is>
          <t>Skill + Buff Cast Rate</t>
        </is>
      </c>
      <c r="B643">
        <f>IF(AND(Inputs!$B$38&lt;&gt;"pvp",Inputs!$B$43&gt;0),SUMPRODUCT((Skills!E2:E26=TRUE)*(C613:C637=TRUE)*R613:R637*Skills!F2:F26)/Inputs!$B$43,SUMPRODUCT((Skills!E2:E26=TRUE)*(C613:C637=TRUE)*Q613:Q637*Skills!F2:F26))</f>
        <v/>
      </c>
    </row>
    <row r="644">
      <c r="A644" t="inlineStr">
        <is>
          <t>Hook Bomber Casts Per Second</t>
        </is>
      </c>
      <c r="B644">
        <f>MAX(0,B642-B643)</f>
        <v/>
      </c>
    </row>
    <row r="645">
      <c r="A645" t="inlineStr">
        <is>
          <t>Global Critical Damage Bonus % (unused)</t>
        </is>
      </c>
      <c r="B645" t="n">
        <v>0</v>
      </c>
    </row>
    <row r="646">
      <c r="A646" t="inlineStr">
        <is>
          <t>Global Final Damage Bonus % (Serpent Scale + Crossbones + Time Leap + Speed Infusion)</t>
        </is>
      </c>
      <c r="B646">
        <f>((C616=TRUE)*(F616*B652+4*(1-B652)))+((C625=TRUE)*F625*IF(AND(Inputs!$B$38&lt;&gt;"pvp",Inputs!$B$43&gt;0),(((R625-1)*MIN((Skills!T14*(1+Inputs!$B$34/100)),(1/Q625))+MIN((Skills!T14*(1+Inputs!$B$34/100)),MAX(0,Inputs!$B$43-((R625-1)*(1/Q625)))))/Inputs!$B$43),IF(Inputs!$B$38="pvp",MIN((Skills!T14*(1+Inputs!$B$34/100)),15)/15,MIN(1,(Skills!T14*(1+Inputs!$B$34/100))/(1/Q625)))))+((C626=TRUE)*F626*IF(AND(Inputs!$B$38&lt;&gt;"pvp",Inputs!$B$43&gt;0),(((R626-1)*MIN((Skills!T15*(1+Inputs!$B$34/100)),(1/Q626))+MIN((Skills!T15*(1+Inputs!$B$34/100)),MAX(0,Inputs!$B$43-((R626-1)*(1/Q626)))))/Inputs!$B$43),IF(Inputs!$B$38="pvp",MIN((Skills!T15*(1+Inputs!$B$34/100)),15)/15,MIN(1,(Skills!T15*(1+Inputs!$B$34/100))/(1/Q626)))))+((C635=TRUE)*20*((1+MIN(150,150*(1-(1-(((1-(1-Inputs!$B$11/150)*(1-1/150))*150)+((C628=TRUE)*(F628-Calc!F17))+((C629=TRUE)*(F629-Calc!F18)))/150)*(1-(((C634=TRUE)*F634*IF(AND(Inputs!$B$38&lt;&gt;"pvp",Inputs!$B$43&gt;0),(((R634-1)*MIN((Skills!T23*(1+Inputs!$B$34/100)),(1/Q634))+MIN((Skills!T23*(1+Inputs!$B$34/100)),MAX(0,Inputs!$B$43-((R634-1)*(1/Q634)))))/Inputs!$B$43),IF(Inputs!$B$38="pvp",MIN((Skills!T23*(1+Inputs!$B$34/100)),15)/15,MIN(1,(Skills!T23*(1+Inputs!$B$34/100))/(1/Q634)))))+F635)/150)))/100)-1)*IF(AND(Inputs!$B$38&lt;&gt;"pvp",Inputs!$B$43&gt;0),(((R635-1)*MIN((Skills!T24*(1+Inputs!$B$34/100)),(1/Q635))+MIN((Skills!T24*(1+Inputs!$B$34/100)),MAX(0,Inputs!$B$43-((R635-1)*(1/Q635)))))/Inputs!$B$43),IF(Inputs!$B$38="pvp",MIN((Skills!T24*(1+Inputs!$B$34/100)),15)/15,MIN(1,(Skills!T24*(1+Inputs!$B$34/100))/(1/Q635)))))</f>
        <v/>
      </c>
    </row>
    <row r="647">
      <c r="A647" t="inlineStr">
        <is>
          <t>Buff-Casting Startup Delay (s, fixed-duration only)</t>
        </is>
      </c>
      <c r="B647">
        <f>IF(AND(Inputs!$B$38&lt;&gt;"pvp",Inputs!$B$43&gt;0),SUMPRODUCT((Skills!T2:T26&gt;0)*(Skills!E2:E26=TRUE)*(C613:C637=TRUE))/B642,0)</f>
        <v/>
      </c>
    </row>
    <row r="648">
      <c r="A648" t="inlineStr">
        <is>
          <t>Boss-Only Total DPS (this block's swept value)</t>
        </is>
      </c>
      <c r="B648">
        <f>SUM(T613:T637)</f>
        <v/>
      </c>
    </row>
    <row r="649">
      <c r="A649" t="inlineStr">
        <is>
          <t>Normal-Only Total DPS (this block's swept value)</t>
        </is>
      </c>
      <c r="B649">
        <f>SUM(V613:V637)</f>
        <v/>
      </c>
    </row>
    <row r="650">
      <c r="A650" s="6" t="inlineStr">
        <is>
          <t>TOTAL DPS</t>
        </is>
      </c>
      <c r="B650" s="6">
        <f>SUM(O613:O637)</f>
        <v/>
      </c>
    </row>
    <row r="651">
      <c r="A651" t="inlineStr">
        <is>
          <t>Serpent activation interval T (this block's own Hook Bomber rate)</t>
        </is>
      </c>
      <c r="B651">
        <f>((1/Q614)+IFERROR(0.5/B644,0))</f>
        <v/>
      </c>
    </row>
    <row r="652">
      <c r="A652" t="inlineStr">
        <is>
          <t>Assault Mode uptime u (this block)</t>
        </is>
      </c>
      <c r="B652">
        <f>IF(C616=TRUE,(10+IF(Inputs!$B$3&gt;=94,5,0))/((10+IF(Inputs!$B$3&gt;=94,5,0))+IF(Inputs!$B$3&gt;=104,3,5)*B651),0)</f>
        <v/>
      </c>
    </row>
    <row r="653">
      <c r="A653" t="inlineStr">
        <is>
          <t>Nautilus Strike - Final Attack trigger rate (this block's own Q/R)</t>
        </is>
      </c>
      <c r="B653">
        <f>IF(AND(Inputs!$B$38&lt;&gt;"pvp",Inputs!$B$43&gt;0),(((C617=TRUE)*R617)+((C618=TRUE)*R618)+((C621=TRUE)*R621))/Inputs!$B$43,((C617=TRUE)*Q617)+((C618=TRUE)*Q618)+((C621=TRUE)*Q621))+B644</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IF(B695=0,0,O658/B695)</f>
        <v/>
      </c>
      <c r="Q658" t="n">
        <v>0</v>
      </c>
      <c r="R658" t="n">
        <v>0</v>
      </c>
      <c r="S658">
        <f>IFERROR(O658/N658,0)</f>
        <v/>
      </c>
      <c r="T658">
        <f>IF(C658,(Skills!G2*N658*B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IF(C658,(Skills!G2*N658*B689)*IF(Inputs!$B$38="pvp",1,(1+(Inputs!$B$21+Skills!Q2+(IF(ArtifactsInput!$M$33,CHOOSE(ArtifactsInput!$N$33+1,30,36,42,48,54,60),0))+(IF(AND(ArtifactsInput!$M$35,Inputs!$B$4&lt;&gt;"Chapter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681=TRUE,F681,0)/100)*(1+(IF(Skills!A3="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IF(B695=0,0,O659/B695)</f>
        <v/>
      </c>
      <c r="Q659">
        <f>IFERROR(1/(IF(Inputs!$B$38="pvp",15,MAX(0.1,Skills!D3-IF(TRUE=TRUE,Inputs!$B$32,0)))*(1-IF(AND(ArtifactsInput!$M$27,Inputs!$B$4="Chapter Hunt"),CHOOSE(ArtifactsInput!$N$27+1,20,24,28,32,36,40),0)/100)),0)</f>
        <v/>
      </c>
      <c r="R659">
        <f>IF(AND(Inputs!$B$38&lt;&gt;"pvp",Inputs!$B$43&gt;0),IF(MAX(0,Inputs!$B$43-B692)&lt;=0,0,(INT(MAX(0,Inputs!$B$43-B692)/(IF(Inputs!$B$38="pvp",15,MAX(0.1,Skills!D3-IF(TRUE=TRUE,Inputs!$B$32,0)))*(1-IF(AND(ArtifactsInput!$M$27,Inputs!$B$4="Chapter Hunt"),CHOOSE(ArtifactsInput!$N$27+1,20,24,28,32,36,40),0)/100)))+1)),0)</f>
        <v/>
      </c>
      <c r="S659">
        <f>IFERROR(O659/N659,0)</f>
        <v/>
      </c>
      <c r="T659">
        <f>IF(C659,(Skills!G3*N659*IF(C660=TRUE,1-B697,1)/B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659*(1-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IF(C659,(Skills!G3*N659*IF(C660=TRUE,1-B697,1)/B696)*IF(Inputs!$B$38="pvp",1,(1+(Inputs!$B$21+Skills!Q3+(IF(ArtifactsInput!$M$33,CHOOSE(ArtifactsInput!$N$33+1,30,36,42,48,54,60),0))+(IF(AND(ArtifactsInput!$M$35,Inputs!$B$4&lt;&gt;"Chapter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Inputs!$B$3&gt;=69</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IF(B695=0,0,O660/B695)</f>
        <v/>
      </c>
      <c r="Q660" t="n">
        <v>0</v>
      </c>
      <c r="R660" t="n">
        <v>0</v>
      </c>
      <c r="S660">
        <f>IFERROR(O660/N660,0)</f>
        <v/>
      </c>
      <c r="T660">
        <f>IF(C660,(Skills!G4*N660*B697/B696)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660*(1-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IF(C660,(Skills!G4*N660*B697/B696)*IF(Inputs!$B$38="pvp",1,(1+(Inputs!$B$21+Skills!Q4+(IF(ArtifactsInput!$M$33,CHOOSE(ArtifactsInput!$N$33+1,30,36,42,48,54,60),0))+(IF(AND(ArtifactsInput!$M$35,Inputs!$B$4&lt;&gt;"Chapter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Inputs!$B$3&gt;=66</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IF(B695=0,0,O661/B695)</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IF(B695=0,0,O662/B695)</f>
        <v/>
      </c>
      <c r="Q662">
        <f>IFERROR(1/(IF(Inputs!$B$38="pvp",15,MAX(0.1,Skills!D6-IF(TRUE=TRUE,Inputs!$B$32,0)))*(1-IF(AND(ArtifactsInput!$M$27,Inputs!$B$4="Chapter Hunt"),CHOOSE(ArtifactsInput!$N$27+1,20,24,28,32,36,40),0)/100)),0)</f>
        <v/>
      </c>
      <c r="R662">
        <f>IF(AND(Inputs!$B$38&lt;&gt;"pvp",Inputs!$B$43&gt;0),IF(MAX(0,Inputs!$B$43-B692)&lt;=0,0,(INT(MAX(0,Inputs!$B$43-B692)/(IF(Inputs!$B$38="pvp",15,MAX(0.1,Skills!D6-IF(TRUE=TRUE,Inputs!$B$32,0)))*(1-IF(AND(ArtifactsInput!$M$27,Inputs!$B$4="Chapter Hunt"),CHOOSE(ArtifactsInput!$N$27+1,20,24,28,32,36,40),0)/100)))+1)),0)</f>
        <v/>
      </c>
      <c r="S662">
        <f>IFERROR(O662/N662,0)</f>
        <v/>
      </c>
      <c r="T662">
        <f>IF(C662,(H662*N662*IF(AND(Inputs!$B$38&lt;&gt;"pvp",Inputs!$B$43&gt;0),((Skills!G6*((R662-1)*IF(Skills!H6&gt;0,Skills!I6/Skills!H6,1)+IF(Skills!H6&gt;0,MIN(Skills!I6,MAX(0,MAX(0,Inputs!$B$43-B692)-((R662-1)*(IF(Inputs!$B$38="pvp",15,MAX(0.1,Skills!D6-IF(TRUE=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692)-((R662-1)*(IF(Inputs!$B$38="pvp",15,MAX(0.1,Skills!D6-IF(TRUE=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Inputs!$B$3&gt;=103</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IF(B695=0,0,O663/B695)</f>
        <v/>
      </c>
      <c r="Q663">
        <f>IFERROR(1/(IF(Inputs!$B$38="pvp",15,MAX(0.1,Skills!D7-IF(TRUE=TRUE,Inputs!$B$32,0)))*(1-IF(AND(ArtifactsInput!$M$27,Inputs!$B$4="Chapter Hunt"),CHOOSE(ArtifactsInput!$N$27+1,20,24,28,32,36,40),0)/100)),0)</f>
        <v/>
      </c>
      <c r="R663">
        <f>IF(AND(Inputs!$B$38&lt;&gt;"pvp",Inputs!$B$43&gt;0),IF(MAX(0,Inputs!$B$43-B692)&lt;=0,0,(INT(MAX(0,Inputs!$B$43-B692)/(IF(Inputs!$B$38="pvp",15,MAX(0.1,Skills!D7-IF(TRUE=TRUE,Inputs!$B$32,0)))*(1-IF(AND(ArtifactsInput!$M$27,Inputs!$B$4="Chapter Hunt"),CHOOSE(ArtifactsInput!$N$27+1,20,24,28,32,36,40),0)/100)))+1)),0)</f>
        <v/>
      </c>
      <c r="S663">
        <f>IFERROR(O663/N663,0)</f>
        <v/>
      </c>
      <c r="T663">
        <f>IF(C663,(H663*N663*IF(AND(Inputs!$B$38&lt;&gt;"pvp",Inputs!$B$43&gt;0),((Skills!G7*((R663-1)*IF(Skills!H7&gt;0,Skills!I7/Skills!H7,1)+IF(Skills!H7&gt;0,MIN(Skills!I7,MAX(0,MAX(0,Inputs!$B$43-B692)-((R663-1)*(IF(Inputs!$B$38="pvp",15,MAX(0.1,Skills!D7-IF(TRUE=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692)-((R663-1)*(IF(Inputs!$B$38="pvp",15,MAX(0.1,Skills!D7-IF(TRUE=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Inputs!$B$3&gt;=117</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IF(B695=0,0,O664/B695)</f>
        <v/>
      </c>
      <c r="Q664">
        <f>IFERROR(1/(IF(Inputs!$B$38="pvp",15,MAX(0.1,Skills!D8-IF(TRUE=TRUE,Inputs!$B$32,0)))*(1-IF(AND(ArtifactsInput!$M$27,Inputs!$B$4="Chapter Hunt"),CHOOSE(ArtifactsInput!$N$27+1,20,24,28,32,36,40),0)/100)),0)</f>
        <v/>
      </c>
      <c r="R664">
        <f>IF(AND(Inputs!$B$38&lt;&gt;"pvp",Inputs!$B$43&gt;0),IF(MAX(0,Inputs!$B$43-B692)&lt;=0,0,(INT(MAX(0,Inputs!$B$43-B692)/(IF(Inputs!$B$38="pvp",15,MAX(0.1,Skills!D8-IF(TRUE=TRUE,Inputs!$B$32,0)))*(1-IF(AND(ArtifactsInput!$M$27,Inputs!$B$4="Chapter Hunt"),CHOOSE(ArtifactsInput!$N$27+1,20,24,28,32,36,40),0)/100)))+1)),0)</f>
        <v/>
      </c>
      <c r="S664">
        <f>IFERROR(O664/N664,0)</f>
        <v/>
      </c>
      <c r="T664">
        <f>IF(C664,(H664*N664*IF(AND(Inputs!$B$38&lt;&gt;"pvp",Inputs!$B$43&gt;0),((Skills!G8*((R664-1)*IF(Skills!H8&gt;0,Skills!I8/Skills!H8,1)+IF(Skills!H8&gt;0,MIN(Skills!I8,MAX(0,MAX(0,Inputs!$B$43-B692)-((R664-1)*(IF(Inputs!$B$38="pvp",15,MAX(0.1,Skills!D8-IF(TRUE=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664*(1-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692)-((R664-1)*(IF(Inputs!$B$38="pvp",15,MAX(0.1,Skills!D8-IF(TRUE=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Inputs!$B$3&gt;=120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B697</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IF(B695=0,0,O665/B695)</f>
        <v/>
      </c>
      <c r="Q665">
        <f>IFERROR(1/(IF(Inputs!$B$38="pvp",15,MAX(0.1,Skills!D9-IF(TRUE=TRUE,Inputs!$B$32,0)))*(1-IF(AND(ArtifactsInput!$M$27,Inputs!$B$4="Chapter Hunt"),CHOOSE(ArtifactsInput!$N$27+1,20,24,28,32,36,40),0)/100)),0)</f>
        <v/>
      </c>
      <c r="R665">
        <f>IF(AND(Inputs!$B$38&lt;&gt;"pvp",Inputs!$B$43&gt;0),IF(MAX(0,Inputs!$B$43-B692)&lt;=0,0,(INT(MAX(0,Inputs!$B$43-B692)/(IF(Inputs!$B$38="pvp",15,MAX(0.1,Skills!D9-IF(TRUE=TRUE,Inputs!$B$32,0)))*(1-IF(AND(ArtifactsInput!$M$27,Inputs!$B$4="Chapter Hunt"),CHOOSE(ArtifactsInput!$N$27+1,20,24,28,32,36,40),0)/100)))+1)),0)</f>
        <v/>
      </c>
      <c r="S665">
        <f>IFERROR(O665/N665,0)</f>
        <v/>
      </c>
      <c r="T665">
        <f>IF(C665,(H665*N665*IF(AND(Inputs!$B$38&lt;&gt;"pvp",Inputs!$B$43&gt;0),((Skills!G9*((R665-1)*IF(Skills!H9&gt;0,Skills!I9/Skills!H9,1)+IF(Skills!H9&gt;0,MIN(Skills!I9,MAX(0,MAX(0,Inputs!$B$43-B692)-((R665-1)*(IF(Inputs!$B$38="pvp",15,MAX(0.1,Skills!D9-IF(TRUE=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692)-((R665-1)*(IF(Inputs!$B$38="pvp",15,MAX(0.1,Skills!D9-IF(TRUE=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Inputs!$B$3&gt;=105</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IF(B695=0,0,O666/B695)</f>
        <v/>
      </c>
      <c r="Q666">
        <f>IFERROR(1/(IF(Inputs!$B$38="pvp",15,MAX(0.1,Skills!D10-IF(TRUE=TRUE,Inputs!$B$32,0)))*(1-IF(AND(ArtifactsInput!$M$27,Inputs!$B$4="Chapter Hunt"),CHOOSE(ArtifactsInput!$N$27+1,20,24,28,32,36,40),0)/100)),0)</f>
        <v/>
      </c>
      <c r="R666">
        <f>IF(AND(Inputs!$B$38&lt;&gt;"pvp",Inputs!$B$43&gt;0),IF(MAX(0,Inputs!$B$43-B692)&lt;=0,0,(INT(MAX(0,Inputs!$B$43-B692)/(IF(Inputs!$B$38="pvp",15,MAX(0.1,Skills!D10-IF(TRUE=TRUE,Inputs!$B$32,0)))*(1-IF(AND(ArtifactsInput!$M$27,Inputs!$B$4="Chapter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692)-((R666-1)*(IF(Inputs!$B$38="pvp",15,MAX(0.1,Skills!D10-IF(TRUE=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692)-((R666-1)*(IF(Inputs!$B$38="pvp",15,MAX(0.1,Skills!D10-IF(TRUE=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IF(B695=0,0,O667/B695)</f>
        <v/>
      </c>
      <c r="Q667" t="n">
        <v>0</v>
      </c>
      <c r="R667" t="n">
        <v>0</v>
      </c>
      <c r="S667">
        <f>IFERROR(O667/N667,0)</f>
        <v/>
      </c>
      <c r="T667">
        <f>IF(C667,((H667*B698)/(1+Skills!H11*H667*B698)*N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IF(C667,((H667*B698)/(1+Skills!H11*H667*B698)*N667)*IF(Inputs!$B$38="pvp",1,(1+(Inputs!$B$21+Skills!Q11+(IF(ArtifactsInput!$M$33,CHOOSE(ArtifactsInput!$N$33+1,30,36,42,48,54,60),0))+(IF(AND(ArtifactsInput!$M$35,Inputs!$B$4&lt;&gt;"Chapter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IF(B695=0,0,O669/B695)</f>
        <v/>
      </c>
      <c r="Q669" t="n">
        <v>0</v>
      </c>
      <c r="R669" t="n">
        <v>0</v>
      </c>
      <c r="S669">
        <f>IFERROR(O669/N669,0)</f>
        <v/>
      </c>
      <c r="T669" t="n">
        <v>0</v>
      </c>
      <c r="V669" t="n">
        <v>0</v>
      </c>
    </row>
    <row r="670">
      <c r="A670">
        <f>Skills!A14</f>
        <v/>
      </c>
      <c r="B670">
        <f>Skills!B14</f>
        <v/>
      </c>
      <c r="C670">
        <f>Inputs!$B$3&gt;=115</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IF(B695=0,0,O670/B695)</f>
        <v/>
      </c>
      <c r="Q670">
        <f>IFERROR(1/(IF(Inputs!$B$38="pvp",15,MAX(0.1,Skills!D14-IF(TRUE=TRUE,Inputs!$B$32,0)))*(1-IF(AND(ArtifactsInput!$M$27,Inputs!$B$4="Chapter Hunt"),CHOOSE(ArtifactsInput!$N$27+1,20,24,28,32,36,40),0)/100)),0)</f>
        <v/>
      </c>
      <c r="R670">
        <f>IF(AND(Inputs!$B$38&lt;&gt;"pvp",Inputs!$B$43&gt;0),IF(Inputs!$B$43&lt;=0,0,(INT(Inputs!$B$43/(IF(Inputs!$B$38="pvp",15,MAX(0.1,Skills!D14-IF(TRUE=TRUE,Inputs!$B$32,0)))*(1-IF(AND(ArtifactsInput!$M$27,Inputs!$B$4="Chapter Hunt"),CHOOSE(ArtifactsInput!$N$27+1,20,24,28,32,36,40),0)/100)))+1)),0)</f>
        <v/>
      </c>
      <c r="S670">
        <f>IFERROR(O670/N670,0)</f>
        <v/>
      </c>
      <c r="T670" t="n">
        <v>0</v>
      </c>
      <c r="V670" t="n">
        <v>0</v>
      </c>
    </row>
    <row r="671">
      <c r="A671">
        <f>Skills!A15</f>
        <v/>
      </c>
      <c r="B671">
        <f>Skills!B15</f>
        <v/>
      </c>
      <c r="C671">
        <f>Inputs!$B$3&gt;=125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IF(B695=0,0,O671/B695)</f>
        <v/>
      </c>
      <c r="Q671">
        <f>IFERROR(1/(IF(Inputs!$B$38="pvp",15,MAX(0.1,Skills!D15-IF(TRUE=TRUE,Inputs!$B$32,0)))*(1-IF(AND(ArtifactsInput!$M$27,Inputs!$B$4="Chapter Hunt"),CHOOSE(ArtifactsInput!$N$27+1,20,24,28,32,36,40),0)/100)),0)</f>
        <v/>
      </c>
      <c r="R671">
        <f>IF(AND(Inputs!$B$38&lt;&gt;"pvp",Inputs!$B$43&gt;0),IF(Inputs!$B$43&lt;=0,0,(INT(Inputs!$B$43/(IF(Inputs!$B$38="pvp",15,MAX(0.1,Skills!D15-IF(TRUE=TRUE,Inputs!$B$32,0)))*(1-IF(AND(ArtifactsInput!$M$27,Inputs!$B$4="Chapter Hunt"),CHOOSE(ArtifactsInput!$N$27+1,20,24,28,32,36,40),0)/100)))+1)),0)</f>
        <v/>
      </c>
      <c r="S671">
        <f>IFERROR(O671/N671,0)</f>
        <v/>
      </c>
      <c r="T671" t="n">
        <v>0</v>
      </c>
      <c r="V671" t="n">
        <v>0</v>
      </c>
    </row>
    <row r="672">
      <c r="A672">
        <f>Skills!A16</f>
        <v/>
      </c>
      <c r="B672">
        <f>Skills!B16</f>
        <v/>
      </c>
      <c r="C672">
        <f>Inputs!$B$3&gt;=10</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IF(B695=0,0,O672/B695)</f>
        <v/>
      </c>
      <c r="Q672" t="n">
        <v>0</v>
      </c>
      <c r="R672" t="n">
        <v>0</v>
      </c>
      <c r="S672">
        <f>IFERROR(O672/N672,0)</f>
        <v/>
      </c>
      <c r="T672" t="n">
        <v>0</v>
      </c>
      <c r="V672" t="n">
        <v>0</v>
      </c>
    </row>
    <row r="673">
      <c r="A673">
        <f>Skills!A17</f>
        <v/>
      </c>
      <c r="B673">
        <f>Skills!B17</f>
        <v/>
      </c>
      <c r="C673">
        <f>Inputs!$B$3&gt;=15</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IF(B695=0,0,O673/B695)</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IF(B695=0,0,O674/B695)</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IF(B695=0,0,O675/B695)</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IF(B695=0,0,O676/B695)</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IF(B695=0,0,O677/B695)</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IF(B695=0,0,O678/B695)</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IF(B695=0,0,O679/B695)</f>
        <v/>
      </c>
      <c r="Q679">
        <f>IFERROR(1/(IF(Inputs!$B$38="pvp",15,MAX(0.1,Skills!D23-IF(TRUE=TRUE,Inputs!$B$32,0)))*(1-IF(AND(ArtifactsInput!$M$27,Inputs!$B$4="Chapter Hunt"),CHOOSE(ArtifactsInput!$N$27+1,20,24,28,32,36,40),0)/100)),0)</f>
        <v/>
      </c>
      <c r="R679">
        <f>IF(AND(Inputs!$B$38&lt;&gt;"pvp",Inputs!$B$43&gt;0),IF(Inputs!$B$43&lt;=0,0,(INT(Inputs!$B$43/(IF(Inputs!$B$38="pvp",15,MAX(0.1,Skills!D23-IF(TRUE=TRUE,Inputs!$B$32,0)))*(1-IF(AND(ArtifactsInput!$M$27,Inputs!$B$4="Chapter Hunt"),CHOOSE(ArtifactsInput!$N$27+1,20,24,28,32,36,40),0)/100)))+1)),0)</f>
        <v/>
      </c>
      <c r="S679">
        <f>IFERROR(O679/N679,0)</f>
        <v/>
      </c>
      <c r="T679" t="n">
        <v>0</v>
      </c>
      <c r="V679" t="n">
        <v>0</v>
      </c>
    </row>
    <row r="680">
      <c r="A680">
        <f>Skills!A24</f>
        <v/>
      </c>
      <c r="B680">
        <f>Skills!B24</f>
        <v/>
      </c>
      <c r="C680">
        <f>Inputs!$B$3&gt;=107</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IF(B695=0,0,O680/B695)</f>
        <v/>
      </c>
      <c r="Q680">
        <f>IFERROR(1/(IF(Inputs!$B$38="pvp",15,MAX(0.1,Skills!D24-IF(TRUE=TRUE,Inputs!$B$32,0)))*(1-IF(AND(ArtifactsInput!$M$27,Inputs!$B$4="Chapter Hunt"),CHOOSE(ArtifactsInput!$N$27+1,20,24,28,32,36,40),0)/100)),0)</f>
        <v/>
      </c>
      <c r="R680">
        <f>IF(AND(Inputs!$B$38&lt;&gt;"pvp",Inputs!$B$43&gt;0),IF(Inputs!$B$43&lt;=0,0,(INT(Inputs!$B$43/(IF(Inputs!$B$38="pvp",15,MAX(0.1,Skills!D24-IF(TRUE=TRUE,Inputs!$B$32,0)))*(1-IF(AND(ArtifactsInput!$M$27,Inputs!$B$4="Chapter Hunt"),CHOOSE(ArtifactsInput!$N$27+1,20,24,28,32,36,40),0)/100)))+1)),0)</f>
        <v/>
      </c>
      <c r="S680">
        <f>IFERROR(O680/N680,0)</f>
        <v/>
      </c>
      <c r="T680" t="n">
        <v>0</v>
      </c>
      <c r="V680" t="n">
        <v>0</v>
      </c>
    </row>
    <row r="681">
      <c r="A681">
        <f>Skills!A25</f>
        <v/>
      </c>
      <c r="B681">
        <f>Skills!B25</f>
        <v/>
      </c>
      <c r="C681">
        <f>Inputs!$B$3&gt;=110</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t="inlineStr"/>
      <c r="H681" t="inlineStr"/>
      <c r="I681" t="inlineStr">
        <is>
          <t>1</t>
        </is>
      </c>
      <c r="J681" t="inlineStr"/>
      <c r="K681" t="inlineStr"/>
      <c r="L681" t="inlineStr"/>
      <c r="M681" t="inlineStr"/>
      <c r="N681" t="inlineStr"/>
      <c r="O681" t="inlineStr"/>
      <c r="P681" t="inlineStr"/>
      <c r="Q681" t="inlineStr"/>
      <c r="R681" t="inlineStr"/>
      <c r="S681" t="inlineStr"/>
      <c r="T681" t="inlineStr"/>
      <c r="V681" t="inlineStr"/>
    </row>
    <row r="682">
      <c r="A682">
        <f>Skills!A26</f>
        <v/>
      </c>
      <c r="B682">
        <f>Skills!B26</f>
        <v/>
      </c>
      <c r="C682">
        <f>Inputs!$B$3&gt;=117</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t="inlineStr"/>
      <c r="H682" t="inlineStr"/>
      <c r="I682" t="inlineStr">
        <is>
          <t>1</t>
        </is>
      </c>
      <c r="J682" t="inlineStr"/>
      <c r="K682" t="inlineStr"/>
      <c r="L682" t="inlineStr"/>
      <c r="M682" t="inlineStr"/>
      <c r="N682" t="inlineStr"/>
      <c r="O682" t="inlineStr"/>
      <c r="P682" t="inlineStr"/>
      <c r="Q682" t="inlineStr"/>
      <c r="R682" t="inlineStr"/>
      <c r="S682" t="inlineStr"/>
      <c r="T682" t="inlineStr"/>
      <c r="V682" t="inlineStr"/>
    </row>
    <row r="684">
      <c r="A684" t="inlineStr">
        <is>
          <t>Attack% Bucket Multiplier</t>
        </is>
      </c>
      <c r="B684">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5">
      <c r="A685" t="inlineStr">
        <is>
          <t>Global Crit Rate Bonus %</t>
        </is>
      </c>
      <c r="B685" t="n">
        <v>0</v>
      </c>
    </row>
    <row r="686">
      <c r="A686" t="inlineStr">
        <is>
          <t>Attack Speed Buff Bonus % (Nimble Feet + Speed Infusion, duty-cycle averaged)</t>
        </is>
      </c>
      <c r="B686">
        <f>((C679=TRUE)*F679*IF(AND(Inputs!$B$38&lt;&gt;"pvp",Inputs!$B$43&gt;0),(((R679-1)*MIN((Skills!T23*(1+Inputs!$B$34/100)),(1/Q679))+MIN((Skills!T23*(1+Inputs!$B$34/100)),MAX(0,Inputs!$B$43-((R679-1)*(1/Q679)))))/Inputs!$B$43),IF(Inputs!$B$38="pvp",MIN((Skills!T23*(1+Inputs!$B$34/100)),15)/15,MIN(1,(Skills!T23*(1+Inputs!$B$34/100))/(1/Q679)))))+((C680=TRUE)*F680*IF(AND(Inputs!$B$38&lt;&gt;"pvp",Inputs!$B$43&gt;0),(((R680-1)*MIN((Skills!T24*(1+Inputs!$B$34/100)),(1/Q680))+MIN((Skills!T24*(1+Inputs!$B$34/100)),MAX(0,Inputs!$B$43-((R680-1)*(1/Q680)))))/Inputs!$B$43),IF(Inputs!$B$38="pvp",MIN((Skills!T24*(1+Inputs!$B$34/100)),15)/15,MIN(1,(Skills!T24*(1+Inputs!$B$34/100))/(1/Q680)))))</f>
        <v/>
      </c>
    </row>
    <row r="687">
      <c r="A687" t="inlineStr">
        <is>
          <t>Actions Per Second</t>
        </is>
      </c>
      <c r="B687">
        <f>1+MIN(150,150*(1-(1-(Inputs!$B$11+((C673=TRUE)*(F673-Calc!F17))+((C674=TRUE)*(F674-Calc!F18)))/150)*(1-B686/150)))/100</f>
        <v/>
      </c>
    </row>
    <row r="688">
      <c r="A688" t="inlineStr">
        <is>
          <t>Skill + Buff Cast Rate</t>
        </is>
      </c>
      <c r="B688">
        <f>IF(AND(Inputs!$B$38&lt;&gt;"pvp",Inputs!$B$43&gt;0),SUMPRODUCT((Skills!E2:E26=TRUE)*(C658:C682=TRUE)*R658:R682*Skills!F2:F26)/Inputs!$B$43,SUMPRODUCT((Skills!E2:E26=TRUE)*(C658:C682=TRUE)*Q658:Q682*Skills!F2:F26))</f>
        <v/>
      </c>
    </row>
    <row r="689">
      <c r="A689" t="inlineStr">
        <is>
          <t>Hook Bomber Casts Per Second</t>
        </is>
      </c>
      <c r="B689">
        <f>MAX(0,B687-B688)</f>
        <v/>
      </c>
    </row>
    <row r="690">
      <c r="A690" t="inlineStr">
        <is>
          <t>Global Critical Damage Bonus % (unused)</t>
        </is>
      </c>
      <c r="B690" t="n">
        <v>0</v>
      </c>
    </row>
    <row r="691">
      <c r="A691" t="inlineStr">
        <is>
          <t>Global Final Damage Bonus % (Serpent Scale + Crossbones + Time Leap + Speed Infusion)</t>
        </is>
      </c>
      <c r="B691">
        <f>((C661=TRUE)*(F661*B697+4*(1-B697)))+((C670=TRUE)*F670*IF(AND(Inputs!$B$38&lt;&gt;"pvp",Inputs!$B$43&gt;0),(((R670-1)*MIN((Skills!T14*(1+Inputs!$B$34/100)),(1/Q670))+MIN((Skills!T14*(1+Inputs!$B$34/100)),MAX(0,Inputs!$B$43-((R670-1)*(1/Q670)))))/Inputs!$B$43),IF(Inputs!$B$38="pvp",MIN((Skills!T14*(1+Inputs!$B$34/100)),15)/15,MIN(1,(Skills!T14*(1+Inputs!$B$34/100))/(1/Q670)))))+((C671=TRUE)*F671*IF(AND(Inputs!$B$38&lt;&gt;"pvp",Inputs!$B$43&gt;0),(((R671-1)*MIN((Skills!T15*(1+Inputs!$B$34/100)),(1/Q671))+MIN((Skills!T15*(1+Inputs!$B$34/100)),MAX(0,Inputs!$B$43-((R671-1)*(1/Q671)))))/Inputs!$B$43),IF(Inputs!$B$38="pvp",MIN((Skills!T15*(1+Inputs!$B$34/100)),15)/15,MIN(1,(Skills!T15*(1+Inputs!$B$34/100))/(1/Q671)))))+((C680=TRUE)*20*((1+MIN(150,150*(1-(1-(Inputs!$B$11+((C673=TRUE)*(F673-Calc!F17))+((C674=TRUE)*(F674-Calc!F18)))/150)*(1-(((C679=TRUE)*F679*IF(AND(Inputs!$B$38&lt;&gt;"pvp",Inputs!$B$43&gt;0),(((R679-1)*MIN((Skills!T23*(1+Inputs!$B$34/100)),(1/Q679))+MIN((Skills!T23*(1+Inputs!$B$34/100)),MAX(0,Inputs!$B$43-((R679-1)*(1/Q679)))))/Inputs!$B$43),IF(Inputs!$B$38="pvp",MIN((Skills!T23*(1+Inputs!$B$34/100)),15)/15,MIN(1,(Skills!T23*(1+Inputs!$B$34/100))/(1/Q679)))))+F680)/150)))/100)-1)*IF(AND(Inputs!$B$38&lt;&gt;"pvp",Inputs!$B$43&gt;0),(((R680-1)*MIN((Skills!T24*(1+Inputs!$B$34/100)),(1/Q680))+MIN((Skills!T24*(1+Inputs!$B$34/100)),MAX(0,Inputs!$B$43-((R680-1)*(1/Q680)))))/Inputs!$B$43),IF(Inputs!$B$38="pvp",MIN((Skills!T24*(1+Inputs!$B$34/100)),15)/15,MIN(1,(Skills!T24*(1+Inputs!$B$34/100))/(1/Q680)))))</f>
        <v/>
      </c>
    </row>
    <row r="692">
      <c r="A692" t="inlineStr">
        <is>
          <t>Buff-Casting Startup Delay (s, fixed-duration only)</t>
        </is>
      </c>
      <c r="B692">
        <f>IF(AND(Inputs!$B$38&lt;&gt;"pvp",Inputs!$B$43&gt;0),SUMPRODUCT((Skills!T2:T26&gt;0)*(Skills!E2:E26=TRUE)*(C658:C682=TRUE))/B687,0)</f>
        <v/>
      </c>
    </row>
    <row r="693">
      <c r="A693" t="inlineStr">
        <is>
          <t>Boss-Only Total DPS (this block's swept value)</t>
        </is>
      </c>
      <c r="B693">
        <f>SUM(T658:T682)</f>
        <v/>
      </c>
    </row>
    <row r="694">
      <c r="A694" t="inlineStr">
        <is>
          <t>Normal-Only Total DPS (this block's swept value)</t>
        </is>
      </c>
      <c r="B694">
        <f>SUM(V658:V682)</f>
        <v/>
      </c>
    </row>
    <row r="695">
      <c r="A695" s="6" t="inlineStr">
        <is>
          <t>TOTAL DPS</t>
        </is>
      </c>
      <c r="B695" s="6">
        <f>SUM(O658:O682)</f>
        <v/>
      </c>
    </row>
    <row r="696">
      <c r="A696" t="inlineStr">
        <is>
          <t>Serpent activation interval T (this block's own Hook Bomber rate)</t>
        </is>
      </c>
      <c r="B696">
        <f>((1/Q659)+IFERROR(0.5/B689,0))</f>
        <v/>
      </c>
    </row>
    <row r="697">
      <c r="A697" t="inlineStr">
        <is>
          <t>Assault Mode uptime u (this block)</t>
        </is>
      </c>
      <c r="B697">
        <f>IF(C661=TRUE,(10+IF(Inputs!$B$3&gt;=94,5,0))/((10+IF(Inputs!$B$3&gt;=94,5,0))+IF(Inputs!$B$3&gt;=104,3,5)*B696),0)</f>
        <v/>
      </c>
    </row>
    <row r="698">
      <c r="A698" t="inlineStr">
        <is>
          <t>Nautilus Strike - Final Attack trigger rate (this block's own Q/R)</t>
        </is>
      </c>
      <c r="B698">
        <f>IF(AND(Inputs!$B$38&lt;&gt;"pvp",Inputs!$B$43&gt;0),(((C662=TRUE)*R662)+((C663=TRUE)*R663)+((C666=TRUE)*R666))/Inputs!$B$43,((C662=TRUE)*Q662)+((C663=TRUE)*Q663)+((C666=TRUE)*Q666))+B689</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721=TRUE)*(F721-Calc!F20)),(Inputs!$B$23+0+(IF(ArtifactsInput!$M$15,CHOOSE(ArtifactsInput!$N$15+1,25,30,35,40,45,50)/100*(Inputs!$B$11-Inputs!$B$11),0))))/100+(Inputs!$B$23+0+(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Inputs!$B$3&gt;=35</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f>Skills!G3*IF(Skills!H3&gt;0,Skills!I3/Skills!H3,1)</f>
        <v/>
      </c>
      <c r="H704">
        <f>1-(1-Skills!J3/100)^Skills!K3</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726=TRUE,F726,0)/100)*(1+(IF(Skills!A3="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721=TRUE)*(F721-Calc!F20)),(Inputs!$B$23+0+(IF(ArtifactsInput!$M$15,CHOOSE(ArtifactsInput!$N$15+1,25,30,35,40,45,50)/100*(Inputs!$B$11-Inputs!$B$11),0))))/100+(Inputs!$B$23+0+(IF(ArtifactsInput!$M$15,CHOOSE(ArtifactsInput!$N$15+1,25,30,35,40,45,50)/100*(Inputs!$B$11-Inputs!$B$11),0)))/100)/2</f>
        <v/>
      </c>
      <c r="M704">
        <f>L704*(1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IF(B740=0,0,O704/B740)</f>
        <v/>
      </c>
      <c r="Q704">
        <f>IFERROR(1/(IF(Inputs!$B$38="pvp",15,MAX(0.1,Skills!D3-IF(TRUE=TRUE,Inputs!$B$32,0)))*(1-IF(AND(ArtifactsInput!$M$27,Inputs!$B$4="Chapter Hunt"),CHOOSE(ArtifactsInput!$N$27+1,20,24,28,32,36,40),0)/100)),0)</f>
        <v/>
      </c>
      <c r="R704">
        <f>IF(AND(Inputs!$B$38&lt;&gt;"pvp",Inputs!$B$43&gt;0),IF(MAX(0,Inputs!$B$43-B737)&lt;=0,0,(INT(MAX(0,Inputs!$B$43-B737)/(IF(Inputs!$B$38="pvp",15,MAX(0.1,Skills!D3-IF(TRUE=TRUE,Inputs!$B$32,0)))*(1-IF(AND(ArtifactsInput!$M$27,Inputs!$B$4="Chapter Hunt"),CHOOSE(ArtifactsInput!$N$27+1,20,24,28,32,36,40),0)/100)))+1)),0)</f>
        <v/>
      </c>
      <c r="S704">
        <f>IFERROR(O704/N704,0)</f>
        <v/>
      </c>
      <c r="T704">
        <f>IF(C704,(Skills!G3*N704*IF(C705=TRUE,1-B742,1)/B741)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4">
        <f>INDEX(FactorTable!$B$2:$Y$301, MATCH(ROUND(MIN(300,MAX(1,U703)),0), FactorTable!$A$2:$A$301,0), 22)</f>
        <v/>
      </c>
      <c r="V704">
        <f>IF(C704,(Skills!G3*N704*IF(C705=TRUE,1-B742,1)/B741)*IF(Inputs!$B$38="pvp",1,(1+(Inputs!$B$21+Skills!Q3+(IF(ArtifactsInput!$M$33,CHOOSE(ArtifactsInput!$N$33+1,30,36,42,48,54,60),0))+(IF(AND(ArtifactsInput!$M$35,Inputs!$B$4&lt;&gt;"Chapter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Skills!A4</f>
        <v/>
      </c>
      <c r="B705">
        <f>Skills!B4</f>
        <v/>
      </c>
      <c r="C705">
        <f>Inputs!$B$3&gt;=69</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f>Skills!G4*IF(Skills!H4&gt;0,Skills!I4/Skills!H4,1)</f>
        <v/>
      </c>
      <c r="H705">
        <f>1-(1-Skills!J4/100)^Skills!K4</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4="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721=TRUE)*(F721-Calc!F20)),(Inputs!$B$23+0+(IF(ArtifactsInput!$M$15,CHOOSE(ArtifactsInput!$N$15+1,25,30,35,40,45,50)/100*(Inputs!$B$11-Inputs!$B$11),0))))/100+(Inputs!$B$23+0+(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t="n">
        <v>0</v>
      </c>
      <c r="R705" t="n">
        <v>0</v>
      </c>
      <c r="S705">
        <f>IFERROR(O705/N705,0)</f>
        <v/>
      </c>
      <c r="T705">
        <f>IF(C705,(Skills!G4*N705*B742/B741)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290*U704/1000</f>
        <v/>
      </c>
      <c r="V705">
        <f>IF(C705,(Skills!G4*N705*B742/B741)*IF(Inputs!$B$38="pvp",1,(1+(Inputs!$B$21+Skills!Q4+(IF(ArtifactsInput!$M$33,CHOOSE(ArtifactsInput!$N$33+1,30,36,42,48,54,60),0))+(IF(AND(ArtifactsInput!$M$35,Inputs!$B$4&lt;&gt;"Chapter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Skills!A5</f>
        <v/>
      </c>
      <c r="B706">
        <f>Skills!B5</f>
        <v/>
      </c>
      <c r="C706">
        <f>Inputs!$B$3&gt;=66</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t="inlineStr"/>
      <c r="K706" t="inlineStr"/>
      <c r="L706" t="inlineStr"/>
      <c r="M706" t="inlineStr"/>
      <c r="N706" t="inlineStr"/>
      <c r="O706">
        <f>(1-Summary!$B$11)*T706+Summary!$B$11*V706</f>
        <v/>
      </c>
      <c r="P706">
        <f>IF(B740=0,0,O706/B740)</f>
        <v/>
      </c>
      <c r="Q706" t="n">
        <v>0</v>
      </c>
      <c r="R706" t="n">
        <v>0</v>
      </c>
      <c r="S706">
        <f>IFERROR(O706/N706,0)</f>
        <v/>
      </c>
      <c r="T706" t="n">
        <v>0</v>
      </c>
      <c r="V706" t="n">
        <v>0</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713=TRUE,F713,0)/100)*(1+(IF(Skills!A6="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721=TRUE)*(F721-Calc!F20)),(Inputs!$B$23+0+(IF(ArtifactsInput!$M$15,CHOOSE(ArtifactsInput!$N$15+1,25,30,35,40,45,50)/100*(Inputs!$B$11-Inputs!$B$11),0))))/100+(Inputs!$B$23+0+(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Inputs!$B$3&gt;=103</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721=TRUE)*(F721-Calc!F20)),(Inputs!$B$23+0+(IF(ArtifactsInput!$M$15,CHOOSE(ArtifactsInput!$N$15+1,25,30,35,40,45,50)/100*(Inputs!$B$11-Inputs!$B$11),0))))/100+(Inputs!$B$23+0+(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$21+Skills!Q7+(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709)</f>
        <v/>
      </c>
      <c r="L709">
        <f>K709*(MIN(Inputs!$B$22+((C721=TRUE)*(F721-Calc!F20)),(Inputs!$B$23+0+(IF(ArtifactsInput!$M$15,CHOOSE(ArtifactsInput!$N$15+1,25,30,35,40,45,50)/100*(Inputs!$B$11-Inputs!$B$11),0))))/100+(Inputs!$B$23+0+(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Inputs!$B$3&gt;=120</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B742</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721=TRUE)*(F721-Calc!F20)),(Inputs!$B$23+0+(IF(ArtifactsInput!$M$15,CHOOSE(ArtifactsInput!$N$15+1,25,30,35,40,45,50)/100*(Inputs!$B$11-Inputs!$B$11),0))))/100+(Inputs!$B$23+0+(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IFERROR(1/(IF(Inputs!$B$38="pvp",15,MAX(0.1,Skills!D9-IF(TRUE=TRUE,Inputs!$B$32,0)))*(1-IF(AND(ArtifactsInput!$M$27,Inputs!$B$4="Chapter Hunt"),CHOOSE(ArtifactsInput!$N$27+1,20,24,28,32,36,40),0)/100)),0)</f>
        <v/>
      </c>
      <c r="R710">
        <f>IF(AND(Inputs!$B$38&lt;&gt;"pvp",Inputs!$B$43&gt;0),IF(MAX(0,Inputs!$B$43-B737)&lt;=0,0,(INT(MAX(0,Inputs!$B$43-B737)/(IF(Inputs!$B$38="pvp",15,MAX(0.1,Skills!D9-IF(TRUE=TRUE,Inputs!$B$32,0)))*(1-IF(AND(ArtifactsInput!$M$27,Inputs!$B$4="Chapter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Inputs!$B$3&gt;=105</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721=TRUE)*(F721-Calc!F20)),(Inputs!$B$23+0+(IF(ArtifactsInput!$M$15,CHOOSE(ArtifactsInput!$N$15+1,25,30,35,40,45,50)/100*(Inputs!$B$11-Inputs!$B$11),0))))/100+(Inputs!$B$23+0+(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Inputs!$B$3&gt;=113</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721=TRUE)*(F721-Calc!F20)),(Inputs!$B$23+0+(IF(ArtifactsInput!$M$15,CHOOSE(ArtifactsInput!$N$15+1,25,30,35,40,45,50)/100*(Inputs!$B$11-Inputs!$B$11),0))))/100+(Inputs!$B$23+0+(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t="n">
        <v>0</v>
      </c>
      <c r="R712" t="n">
        <v>0</v>
      </c>
      <c r="S712">
        <f>IFERROR(O712/N712,0)</f>
        <v/>
      </c>
      <c r="T712">
        <f>IF(C712,((H712*B743)/(1+Skills!H11*H712*B743)*N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IF(C712,((H712*B743)/(1+Skills!H11*H712*B743)*N712)*IF(Inputs!$B$38="pvp",1,(1+(Inputs!$B$21+Skills!Q11+(IF(ArtifactsInput!$M$33,CHOOSE(ArtifactsInput!$N$33+1,30,36,42,48,54,60),0))+(IF(AND(ArtifactsInput!$M$35,Inputs!$B$4&lt;&gt;"Chapter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c r="T713" t="inlineStr"/>
      <c r="V713" t="inlineStr"/>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Inputs!$B$3&gt;=115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f>IFERROR(1/(IF(Inputs!$B$38="pvp",15,MAX(0.1,Skills!D14-IF(TRUE=TRUE,Inputs!$B$32,0)))*(1-IF(AND(ArtifactsInput!$M$27,Inputs!$B$4="Chapter Hunt"),CHOOSE(ArtifactsInput!$N$27+1,20,24,28,32,36,40),0)/100)),0)</f>
        <v/>
      </c>
      <c r="R715">
        <f>IF(AND(Inputs!$B$38&lt;&gt;"pvp",Inputs!$B$43&gt;0),IF(Inputs!$B$43&lt;=0,0,(INT(Inputs!$B$43/(IF(Inputs!$B$38="pvp",15,MAX(0.1,Skills!D14-IF(TRUE=TRUE,Inputs!$B$32,0)))*(1-IF(AND(ArtifactsInput!$M$27,Inputs!$B$4="Chapter Hunt"),CHOOSE(ArtifactsInput!$N$27+1,20,24,28,32,36,40),0)/100)))+1)),0)</f>
        <v/>
      </c>
      <c r="S715">
        <f>IFERROR(O715/N715,0)</f>
        <v/>
      </c>
      <c r="T715" t="n">
        <v>0</v>
      </c>
      <c r="V715" t="n">
        <v>0</v>
      </c>
    </row>
    <row r="716">
      <c r="A716">
        <f>Skills!A15</f>
        <v/>
      </c>
      <c r="B716">
        <f>Skills!B15</f>
        <v/>
      </c>
      <c r="C716">
        <f>Inputs!$B$3&gt;=125</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Inputs!$B$3&gt;=10</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t="n">
        <v>0</v>
      </c>
      <c r="R717" t="n">
        <v>0</v>
      </c>
      <c r="S717">
        <f>IFERROR(O717/N717,0)</f>
        <v/>
      </c>
      <c r="T717" t="n">
        <v>0</v>
      </c>
      <c r="V717" t="n">
        <v>0</v>
      </c>
    </row>
    <row r="718">
      <c r="A718">
        <f>Skills!A17</f>
        <v/>
      </c>
      <c r="B718">
        <f>Skills!B17</f>
        <v/>
      </c>
      <c r="C718">
        <f>Inputs!$B$3&gt;=15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t="n">
        <v>0</v>
      </c>
      <c r="R718" t="n">
        <v>0</v>
      </c>
      <c r="S718">
        <f>IFERROR(O718/N718,0)</f>
        <v/>
      </c>
      <c r="T718" t="n">
        <v>0</v>
      </c>
      <c r="V718" t="n">
        <v>0</v>
      </c>
    </row>
    <row r="719">
      <c r="A719">
        <f>Skills!A18</f>
        <v/>
      </c>
      <c r="B719">
        <f>Skills!B18</f>
        <v/>
      </c>
      <c r="C719">
        <f>Inputs!$B$3&gt;=33</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t="n">
        <v>0</v>
      </c>
      <c r="R719" t="n">
        <v>0</v>
      </c>
      <c r="S719">
        <f>IFERROR(O719/N719,0)</f>
        <v/>
      </c>
      <c r="T719" t="n">
        <v>0</v>
      </c>
      <c r="V719" t="n">
        <v>0</v>
      </c>
    </row>
    <row r="720">
      <c r="A720">
        <f>Skills!A19</f>
        <v/>
      </c>
      <c r="B720">
        <f>Skills!B19</f>
        <v/>
      </c>
      <c r="C720">
        <f>Inputs!$B$3&gt;=40</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t="n">
        <v>0</v>
      </c>
      <c r="R720" t="n">
        <v>0</v>
      </c>
      <c r="S720">
        <f>IFERROR(O720/N720,0)</f>
        <v/>
      </c>
      <c r="T720" t="n">
        <v>0</v>
      </c>
      <c r="V720" t="n">
        <v>0</v>
      </c>
    </row>
    <row r="721">
      <c r="A721">
        <f>Skills!A20</f>
        <v/>
      </c>
      <c r="B721">
        <f>Skills!B20</f>
        <v/>
      </c>
      <c r="C721">
        <f>Inputs!$B$3&gt;=43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Inputs!$B$3&gt;=75</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TRUE</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f>IFERROR(1/(IF(Inputs!$B$38="pvp",15,MAX(0.1,Skills!D23-IF(TRUE=TRUE,Inputs!$B$32,0)))*(1-IF(AND(ArtifactsInput!$M$27,Inputs!$B$4="Chapter Hunt"),CHOOSE(ArtifactsInput!$N$27+1,20,24,28,32,36,40),0)/100)),0)</f>
        <v/>
      </c>
      <c r="R724">
        <f>IF(AND(Inputs!$B$38&lt;&gt;"pvp",Inputs!$B$43&gt;0),IF(Inputs!$B$43&lt;=0,0,(INT(Inputs!$B$43/(IF(Inputs!$B$38="pvp",15,MAX(0.1,Skills!D23-IF(TRUE=TRUE,Inputs!$B$32,0)))*(1-IF(AND(ArtifactsInput!$M$27,Inputs!$B$4="Chapter Hunt"),CHOOSE(ArtifactsInput!$N$27+1,20,24,28,32,36,40),0)/100)))+1)),0)</f>
        <v/>
      </c>
      <c r="S724">
        <f>IFERROR(O724/N724,0)</f>
        <v/>
      </c>
      <c r="T724" t="n">
        <v>0</v>
      </c>
      <c r="V724" t="n">
        <v>0</v>
      </c>
    </row>
    <row r="725">
      <c r="A725">
        <f>Skills!A24</f>
        <v/>
      </c>
      <c r="B725">
        <f>Skills!B24</f>
        <v/>
      </c>
      <c r="C725">
        <f>Inputs!$B$3&gt;=107</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f>IFERROR(1/(IF(Inputs!$B$38="pvp",15,MAX(0.1,Skills!D24-IF(TRUE=TRUE,Inputs!$B$32,0)))*(1-IF(AND(ArtifactsInput!$M$27,Inputs!$B$4="Chapter Hunt"),CHOOSE(ArtifactsInput!$N$27+1,20,24,28,32,36,40),0)/100)),0)</f>
        <v/>
      </c>
      <c r="R725">
        <f>IF(AND(Inputs!$B$38&lt;&gt;"pvp",Inputs!$B$43&gt;0),IF(Inputs!$B$43&lt;=0,0,(INT(Inputs!$B$43/(IF(Inputs!$B$38="pvp",15,MAX(0.1,Skills!D24-IF(TRUE=TRUE,Inputs!$B$32,0)))*(1-IF(AND(ArtifactsInput!$M$27,Inputs!$B$4="Chapter Hunt"),CHOOSE(ArtifactsInput!$N$27+1,20,24,28,32,36,40),0)/100)))+1)),0)</f>
        <v/>
      </c>
      <c r="S725">
        <f>IFERROR(O725/N725,0)</f>
        <v/>
      </c>
      <c r="T725" t="n">
        <v>0</v>
      </c>
      <c r="V725" t="n">
        <v>0</v>
      </c>
    </row>
    <row r="726">
      <c r="A726">
        <f>Skills!A25</f>
        <v/>
      </c>
      <c r="B726">
        <f>Skills!B25</f>
        <v/>
      </c>
      <c r="C726">
        <f>Inputs!$B$3&gt;=110</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t="inlineStr"/>
      <c r="H726" t="inlineStr"/>
      <c r="I726" t="inlineStr">
        <is>
          <t>1</t>
        </is>
      </c>
      <c r="J726" t="inlineStr"/>
      <c r="K726" t="inlineStr"/>
      <c r="L726" t="inlineStr"/>
      <c r="M726" t="inlineStr"/>
      <c r="N726" t="inlineStr"/>
      <c r="O726" t="inlineStr"/>
      <c r="P726" t="inlineStr"/>
      <c r="Q726" t="inlineStr"/>
      <c r="R726" t="inlineStr"/>
      <c r="S726" t="inlineStr"/>
      <c r="T726" t="inlineStr"/>
      <c r="V726" t="inlineStr"/>
    </row>
    <row r="727">
      <c r="A727">
        <f>Skills!A26</f>
        <v/>
      </c>
      <c r="B727">
        <f>Skills!B26</f>
        <v/>
      </c>
      <c r="C727">
        <f>Inputs!$B$3&gt;=117</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t="inlineStr"/>
      <c r="H727" t="inlineStr"/>
      <c r="I727" t="inlineStr">
        <is>
          <t>1</t>
        </is>
      </c>
      <c r="J727" t="inlineStr"/>
      <c r="K727" t="inlineStr"/>
      <c r="L727" t="inlineStr"/>
      <c r="M727" t="inlineStr"/>
      <c r="N727" t="inlineStr"/>
      <c r="O727" t="inlineStr"/>
      <c r="P727" t="inlineStr"/>
      <c r="Q727" t="inlineStr"/>
      <c r="R727" t="inlineStr"/>
      <c r="S727" t="inlineStr"/>
      <c r="T727" t="inlineStr"/>
      <c r="V727" t="inlineStr"/>
    </row>
    <row r="729">
      <c r="A729" t="inlineStr">
        <is>
          <t>Attack% Bucket Multiplier</t>
        </is>
      </c>
      <c r="B729">
        <f>(1+(((C714=TRUE)*F714*5/7)+((C720=TRUE)*(F720-Calc!F19))+(IF(ArtifactsInput!$M$21,CHOOSE(ArtifactsInput!$N$21+1,25,30,35,40,45,50)*(IF(OR(Inputs!$B$4="Chapter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 (Nimble Feet + Speed Infusion, duty-cycle averaged)</t>
        </is>
      </c>
      <c r="B731">
        <f>((C724=TRUE)*F724*IF(AND(Inputs!$B$38&lt;&gt;"pvp",Inputs!$B$43&gt;0),(((R724-1)*MIN((Skills!T23*(1+Inputs!$B$34/100)),(1/Q724))+MIN((Skills!T23*(1+Inputs!$B$34/100)),MAX(0,Inputs!$B$43-((R724-1)*(1/Q724)))))/Inputs!$B$43),IF(Inputs!$B$38="pvp",MIN((Skills!T23*(1+Inputs!$B$34/100)),15)/15,MIN(1,(Skills!T23*(1+Inputs!$B$34/100))/(1/Q724)))))+((C725=TRUE)*F725*IF(AND(Inputs!$B$38&lt;&gt;"pvp",Inputs!$B$43&gt;0),(((R725-1)*MIN((Skills!T24*(1+Inputs!$B$34/100)),(1/Q725))+MIN((Skills!T24*(1+Inputs!$B$34/100)),MAX(0,Inputs!$B$43-((R725-1)*(1/Q725)))))/Inputs!$B$43),IF(Inputs!$B$38="pvp",MIN((Skills!T24*(1+Inputs!$B$34/100)),15)/15,MIN(1,(Skills!T24*(1+Inputs!$B$34/100))/(1/Q725)))))</f>
        <v/>
      </c>
    </row>
    <row r="732">
      <c r="A732" t="inlineStr">
        <is>
          <t>Actions Per Second</t>
        </is>
      </c>
      <c r="B732">
        <f>1+MIN(150,150*(1-(1-(Inputs!$B$11+((C718=TRUE)*(F718-Calc!F17))+((C719=TRUE)*(F719-Calc!F18)))/150)*(1-B731/150)))/100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Hook Bomber Casts Per Second</t>
        </is>
      </c>
      <c r="B734">
        <f>MAX(0,B732-B733)</f>
        <v/>
      </c>
    </row>
    <row r="735">
      <c r="A735" t="inlineStr">
        <is>
          <t>Global Critical Damage Bonus % (unused)</t>
        </is>
      </c>
      <c r="B735" t="n">
        <v>0</v>
      </c>
    </row>
    <row r="736">
      <c r="A736" t="inlineStr">
        <is>
          <t>Global Final Damage Bonus % (Serpent Scale + Crossbones + Time Leap + Speed Infusion)</t>
        </is>
      </c>
      <c r="B736">
        <f>((C706=TRUE)*(F706*B742+4*(1-B742)))+((C715=TRUE)*F715*IF(AND(Inputs!$B$38&lt;&gt;"pvp",Inputs!$B$43&gt;0),(((R715-1)*MIN((Skills!T14*(1+Inputs!$B$34/100)),(1/Q715))+MIN((Skills!T14*(1+Inputs!$B$34/100)),MAX(0,Inputs!$B$43-((R715-1)*(1/Q715)))))/Inputs!$B$43),IF(Inputs!$B$38="pvp",MIN((Skills!T14*(1+Inputs!$B$34/100)),15)/15,MIN(1,(Skills!T14*(1+Inputs!$B$34/100))/(1/Q715)))))+((C716=TRUE)*F716*IF(AND(Inputs!$B$38&lt;&gt;"pvp",Inputs!$B$43&gt;0),(((R716-1)*MIN((Skills!T15*(1+Inputs!$B$34/100)),(1/Q716))+MIN((Skills!T15*(1+Inputs!$B$34/100)),MAX(0,Inputs!$B$43-((R716-1)*(1/Q716)))))/Inputs!$B$43),IF(Inputs!$B$38="pvp",MIN((Skills!T15*(1+Inputs!$B$34/100)),15)/15,MIN(1,(Skills!T15*(1+Inputs!$B$34/100))/(1/Q716)))))+((C725=TRUE)*20*((1+MIN(150,150*(1-(1-(Inputs!$B$11+((C718=TRUE)*(F718-Calc!F17))+((C719=TRUE)*(F719-Calc!F18)))/150)*(1-(((C724=TRUE)*F724*IF(AND(Inputs!$B$38&lt;&gt;"pvp",Inputs!$B$43&gt;0),(((R724-1)*MIN((Skills!T23*(1+Inputs!$B$34/100)),(1/Q724))+MIN((Skills!T23*(1+Inputs!$B$34/100)),MAX(0,Inputs!$B$43-((R724-1)*(1/Q724)))))/Inputs!$B$43),IF(Inputs!$B$38="pvp",MIN((Skills!T23*(1+Inputs!$B$34/100)),15)/15,MIN(1,(Skills!T23*(1+Inputs!$B$34/100))/(1/Q724)))))+F725)/150)))/100)-1)*IF(AND(Inputs!$B$38&lt;&gt;"pvp",Inputs!$B$43&gt;0),(((R725-1)*MIN((Skills!T24*(1+Inputs!$B$34/100)),(1/Q725))+MIN((Skills!T24*(1+Inputs!$B$34/100)),MAX(0,Inputs!$B$43-((R725-1)*(1/Q725)))))/Inputs!$B$43),IF(Inputs!$B$38="pvp",MIN((Skills!T24*(1+Inputs!$B$34/100)),15)/15,MIN(1,(Skills!T24*(1+Inputs!$B$34/100))/(1/Q725)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1">
      <c r="A741" t="inlineStr">
        <is>
          <t>Serpent activation interval T (this block's own Hook Bomber rate)</t>
        </is>
      </c>
      <c r="B741">
        <f>((1/Q704)+IFERROR(0.5/B734,0))</f>
        <v/>
      </c>
    </row>
    <row r="742">
      <c r="A742" t="inlineStr">
        <is>
          <t>Assault Mode uptime u (this block)</t>
        </is>
      </c>
      <c r="B742">
        <f>IF(C706=TRUE,(10+IF(Inputs!$B$3&gt;=94,5,0))/((10+IF(Inputs!$B$3&gt;=94,5,0))+IF(Inputs!$B$3&gt;=104,3,5)*B741),0)</f>
        <v/>
      </c>
    </row>
    <row r="743">
      <c r="A743" t="inlineStr">
        <is>
          <t>Nautilus Strike - Final Attack trigger rate (this block's own Q/R)</t>
        </is>
      </c>
      <c r="B743">
        <f>IF(AND(Inputs!$B$38&lt;&gt;"pvp",Inputs!$B$43&gt;0),(((C707=TRUE)*R707)+((C708=TRUE)*R708)+((C711=TRUE)*R711))/Inputs!$B$43,((C707=TRUE)*Q707)+((C708=TRUE)*Q708)+((C711=TRUE)*Q711))+B734</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766=TRUE)*(F766-Calc!F20)),(Inputs!$B$23+0+(IF(ArtifactsInput!$M$15,CHOOSE(ArtifactsInput!$N$15+1,25,30,35,40,45,50)/100*(Inputs!$B$11-Inputs!$B$11),0))))/100+(Inputs!$B$23+0+(IF(ArtifactsInput!$M$15,CHOOSE(ArtifactsInput!$N$15+1,25,30,35,40,45,50)/100*(Inputs!$B$11-Inputs!$B$11),0)))/100)/2</f>
        <v/>
      </c>
      <c r="M748">
        <f>L748*(1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IF(B785=0,0,O748/B785)</f>
        <v/>
      </c>
      <c r="Q748" t="n">
        <v>0</v>
      </c>
      <c r="R748" t="n">
        <v>0</v>
      </c>
      <c r="S748">
        <f>IFERROR(O748/N748,0)</f>
        <v/>
      </c>
      <c r="T748">
        <f>IF(C748,(Skills!G2*N748*B779)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IF(C748,(Skills!G2*N748*B779)*IF(Inputs!$B$38="pvp",1,(1+(Inputs!$B$21+Skills!Q2+(IF(ArtifactsInput!$M$33,CHOOSE(ArtifactsInput!$N$33+1,30,36,42,48,54,60),0))+(IF(AND(ArtifactsInput!$M$35,Inputs!$B$4&lt;&gt;"Chapter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Inputs!$B$3&gt;=35</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f>Skills!G3*IF(Skills!H3&gt;0,Skills!I3/Skills!H3,1)</f>
        <v/>
      </c>
      <c r="H749">
        <f>1-(1-Skills!J3/100)^Skills!K3</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771=TRUE,F771,0)/100)*(1+(IF(Skills!A3="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766=TRUE)*(F766-Calc!F20)),(Inputs!$B$23+0+(IF(ArtifactsInput!$M$15,CHOOSE(ArtifactsInput!$N$15+1,25,30,35,40,45,50)/100*(Inputs!$B$11-Inputs!$B$11),0))))/100+(Inputs!$B$23+0+(IF(ArtifactsInput!$M$15,CHOOSE(ArtifactsInput!$N$15+1,25,30,35,40,45,50)/100*(Inputs!$B$11-Inputs!$B$11),0)))/100)/2</f>
        <v/>
      </c>
      <c r="M749">
        <f>L749*(1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IF(B785=0,0,O749/B785)</f>
        <v/>
      </c>
      <c r="Q749">
        <f>IFERROR(1/(IF(Inputs!$B$38="pvp",15,MAX(0.1,Skills!D3-IF(TRUE=TRUE,Inputs!$B$32,0)))*(1-IF(AND(ArtifactsInput!$M$27,Inputs!$B$4="Chapter Hunt"),CHOOSE(ArtifactsInput!$N$27+1,20,24,28,32,36,40),0)/100)),0)</f>
        <v/>
      </c>
      <c r="R749">
        <f>IF(AND(Inputs!$B$38&lt;&gt;"pvp",Inputs!$B$43&gt;0),IF(MAX(0,Inputs!$B$43-B782)&lt;=0,0,(INT(MAX(0,Inputs!$B$43-B782)/(IF(Inputs!$B$38="pvp",15,MAX(0.1,Skills!D3-IF(TRUE=TRUE,Inputs!$B$32,0)))*(1-IF(AND(ArtifactsInput!$M$27,Inputs!$B$4="Chapter Hunt"),CHOOSE(ArtifactsInput!$N$27+1,20,24,28,32,36,40),0)/100)))+1)),0)</f>
        <v/>
      </c>
      <c r="S749">
        <f>IFERROR(O749/N749,0)</f>
        <v/>
      </c>
      <c r="T749">
        <f>IF(C749,(Skills!G3*N749*IF(C750=TRUE,1-B787,1)/B786)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9">
        <f>INDEX(FactorTable!$B$2:$Y$301, MATCH(ROUND(MIN(300,MAX(1,U748)),0), FactorTable!$A$2:$A$301,0), 22)</f>
        <v/>
      </c>
      <c r="V749">
        <f>IF(C749,(Skills!G3*N749*IF(C750=TRUE,1-B787,1)/B786)*IF(Inputs!$B$38="pvp",1,(1+(Inputs!$B$21+Skills!Q3+(IF(ArtifactsInput!$M$33,CHOOSE(ArtifactsInput!$N$33+1,30,36,42,48,54,60),0))+(IF(AND(ArtifactsInput!$M$35,Inputs!$B$4&lt;&gt;"Chapter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Skills!A4</f>
        <v/>
      </c>
      <c r="B750">
        <f>Skills!B4</f>
        <v/>
      </c>
      <c r="C750">
        <f>Inputs!$B$3&gt;=69</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f>Skills!G4*IF(Skills!H4&gt;0,Skills!I4/Skills!H4,1)</f>
        <v/>
      </c>
      <c r="H750">
        <f>1-(1-Skills!J4/100)^Skills!K4</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758=TRUE,F758,0)/100)*(1+(IF(Skills!A4="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750)</f>
        <v/>
      </c>
      <c r="L750">
        <f>K750*(MIN(Inputs!$B$22+((C766=TRUE)*(F766-Calc!F20)),(Inputs!$B$23+0+(IF(ArtifactsInput!$M$15,CHOOSE(ArtifactsInput!$N$15+1,25,30,35,40,45,50)/100*(Inputs!$B$11-Inputs!$B$11),0))))/100+(Inputs!$B$23+0+(IF(ArtifactsInput!$M$15,CHOOSE(ArtifactsInput!$N$15+1,25,30,35,40,45,50)/100*(Inputs!$B$11-Inputs!$B$11),0)))/100)/2</f>
        <v/>
      </c>
      <c r="M750">
        <f>L750*(1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IF(B785=0,0,O750/B785)</f>
        <v/>
      </c>
      <c r="Q750" t="n">
        <v>0</v>
      </c>
      <c r="R750" t="n">
        <v>0</v>
      </c>
      <c r="S750">
        <f>IFERROR(O750/N750,0)</f>
        <v/>
      </c>
      <c r="T750">
        <f>IF(C750,(Skills!G4*N750*B787/B786)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0">
        <f>290*U749/1000</f>
        <v/>
      </c>
      <c r="V750">
        <f>IF(C750,(Skills!G4*N750*B787/B786)*IF(Inputs!$B$38="pvp",1,(1+(Inputs!$B$21+Skills!Q4+(IF(ArtifactsInput!$M$33,CHOOSE(ArtifactsInput!$N$33+1,30,36,42,48,54,60),0))+(IF(AND(ArtifactsInput!$M$35,Inputs!$B$4&lt;&gt;"Chapter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Skills!A5</f>
        <v/>
      </c>
      <c r="B751">
        <f>Skills!B5</f>
        <v/>
      </c>
      <c r="C751">
        <f>Inputs!$B$3&gt;=66</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t="inlineStr"/>
      <c r="K751" t="inlineStr"/>
      <c r="L751" t="inlineStr"/>
      <c r="M751" t="inlineStr"/>
      <c r="N751" t="inlineStr"/>
      <c r="O751">
        <f>(1-Summary!$B$11)*T751+Summary!$B$11*V751</f>
        <v/>
      </c>
      <c r="P751">
        <f>IF(B785=0,0,O751/B785)</f>
        <v/>
      </c>
      <c r="Q751" t="n">
        <v>0</v>
      </c>
      <c r="R751" t="n">
        <v>0</v>
      </c>
      <c r="S751">
        <f>IFERROR(O751/N751,0)</f>
        <v/>
      </c>
      <c r="T751" t="n">
        <v>0</v>
      </c>
      <c r="V751" t="n">
        <v>0</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758=TRUE,F758,0)/100)*(1+(IF(Skills!A6="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766=TRUE)*(F766-Calc!F20)),(Inputs!$B$23+0+(IF(ArtifactsInput!$M$15,CHOOSE(ArtifactsInput!$N$15+1,25,30,35,40,45,50)/100*(Inputs!$B$11-Inputs!$B$11),0))))/100+(Inputs!$B$23+0+(IF(ArtifactsInput!$M$15,CHOOSE(ArtifactsInput!$N$15+1,25,30,35,40,45,50)/100*(Inputs!$B$11-Inputs!$B$11),0)))/100)/2</f>
        <v/>
      </c>
      <c r="M752">
        <f>L752*(1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IF(B785=0,0,O752/B785)</f>
        <v/>
      </c>
      <c r="Q752">
        <f>IFERROR(1/(IF(Inputs!$B$38="pvp",15,MAX(0.1,Skills!D6-IF(TRUE=TRUE,Inputs!$B$32,0)))*(1-IF(AND(ArtifactsInput!$M$27,Inputs!$B$4="Chapter Hunt"),CHOOSE(ArtifactsInput!$N$27+1,20,24,28,32,36,40),0)/100)),0)</f>
        <v/>
      </c>
      <c r="R752">
        <f>IF(AND(Inputs!$B$38&lt;&gt;"pvp",Inputs!$B$43&gt;0),IF(MAX(0,Inputs!$B$43-B782)&lt;=0,0,(INT(MAX(0,Inputs!$B$43-B782)/(IF(Inputs!$B$38="pvp",15,MAX(0.1,Skills!D6-IF(TRUE=TRUE,Inputs!$B$32,0)))*(1-IF(AND(ArtifactsInput!$M$27,Inputs!$B$4="Chapter Hunt"),CHOOSE(ArtifactsInput!$N$27+1,20,24,28,32,36,40),0)/100)))+1)),0)</f>
        <v/>
      </c>
      <c r="S752">
        <f>IFERROR(O752/N752,0)</f>
        <v/>
      </c>
      <c r="T752">
        <f>IF(C752,(H752*N752*IF(AND(Inputs!$B$38&lt;&gt;"pvp",Inputs!$B$43&gt;0),((Skills!G6*((R752-1)*IF(Skills!H6&gt;0,Skills!I6/Skills!H6,1)+IF(Skills!H6&gt;0,MIN(Skills!I6,MAX(0,MAX(0,Inputs!$B$43-B782)-((R752-1)*(IF(Inputs!$B$38="pvp",15,MAX(0.1,Skills!D6-IF(TRUE=TRUE,Inputs!$B$32,0)))*(1-IF(AND(ArtifactsInput!$M$27,Inputs!$B$4="Chapter Hunt"),CHOOSE(ArtifactsInput!$N$27+1,20,24,28,32,36,40),0)/100)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782)-((R752-1)*(IF(Inputs!$B$38="pvp",15,MAX(0.1,Skills!D6-IF(TRUE=TRUE,Inputs!$B$32,0)))*(1-IF(AND(ArtifactsInput!$M$27,Inputs!$B$4="Chapter Hunt"),CHOOSE(ArtifactsInput!$N$27+1,20,24,28,32,36,40),0)/100)))))/Skills!H6,1)))/Inputs!$B$43),G752*Q752))*IF(Inputs!$B$38="pvp",1,(1+(Inputs!$B$21+Skills!Q6+(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Inputs!$B$3&gt;=103</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766=TRUE)*(F766-Calc!F20)),(Inputs!$B$23+0+(IF(ArtifactsInput!$M$15,CHOOSE(ArtifactsInput!$N$15+1,25,30,35,40,45,50)/100*(Inputs!$B$11-Inputs!$B$11),0))))/100+(Inputs!$B$23+0+(IF(ArtifactsInput!$M$15,CHOOSE(ArtifactsInput!$N$15+1,25,30,35,40,45,50)/100*(Inputs!$B$11-Inputs!$B$11),0)))/100)/2</f>
        <v/>
      </c>
      <c r="M753">
        <f>L753*(1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IF(B785=0,0,O753/B785)</f>
        <v/>
      </c>
      <c r="Q753">
        <f>IFERROR(1/(IF(Inputs!$B$38="pvp",15,MAX(0.1,Skills!D7-IF(TRUE=TRUE,Inputs!$B$32,0)))*(1-IF(AND(ArtifactsInput!$M$27,Inputs!$B$4="Chapter Hunt"),CHOOSE(ArtifactsInput!$N$27+1,20,24,28,32,36,40),0)/100)),0)</f>
        <v/>
      </c>
      <c r="R753">
        <f>IF(AND(Inputs!$B$38&lt;&gt;"pvp",Inputs!$B$43&gt;0),IF(MAX(0,Inputs!$B$43-B782)&lt;=0,0,(INT(MAX(0,Inputs!$B$43-B782)/(IF(Inputs!$B$38="pvp",15,MAX(0.1,Skills!D7-IF(TRUE=TRUE,Inputs!$B$32,0)))*(1-IF(AND(ArtifactsInput!$M$27,Inputs!$B$4="Chapter Hunt"),CHOOSE(ArtifactsInput!$N$27+1,20,24,28,32,36,40),0)/100)))+1)),0)</f>
        <v/>
      </c>
      <c r="S753">
        <f>IFERROR(O753/N753,0)</f>
        <v/>
      </c>
      <c r="T753">
        <f>IF(C753,(H753*N753*IF(AND(Inputs!$B$38&lt;&gt;"pvp",Inputs!$B$43&gt;0),((Skills!G7*((R753-1)*IF(Skills!H7&gt;0,Skills!I7/Skills!H7,1)+IF(Skills!H7&gt;0,MIN(Skills!I7,MAX(0,MAX(0,Inputs!$B$43-B782)-((R753-1)*(IF(Inputs!$B$38="pvp",15,MAX(0.1,Skills!D7-IF(TRUE=TRUE,Inputs!$B$32,0)))*(1-IF(AND(ArtifactsInput!$M$27,Inputs!$B$4="Chapter Hunt"),CHOOSE(ArtifactsInput!$N$27+1,20,24,28,32,36,40),0)/100)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782)-((R753-1)*(IF(Inputs!$B$38="pvp",15,MAX(0.1,Skills!D7-IF(TRUE=TRUE,Inputs!$B$32,0)))*(1-IF(AND(ArtifactsInput!$M$27,Inputs!$B$4="Chapter Hunt"),CHOOSE(ArtifactsInput!$N$27+1,20,24,28,32,36,40),0)/100)))))/Skills!H7,1)))/Inputs!$B$43),G753*Q753))*IF(Inputs!$B$38="pvp",1,(1+(Inputs!$B$21+Skills!Q7+(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Inputs!$B$3&gt;=117</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f>Skills!G8*IF(Skills!H8&gt;0,Skills!I8/Skills!H8,1)</f>
        <v/>
      </c>
      <c r="H754">
        <f>1-(1-Skills!J8/100)^Skills!K8</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766=TRUE)*(F766-Calc!F20)),(Inputs!$B$23+0+(IF(ArtifactsInput!$M$15,CHOOSE(ArtifactsInput!$N$15+1,25,30,35,40,45,50)/100*(Inputs!$B$11-Inputs!$B$11),0))))/100+(Inputs!$B$23+0+(IF(ArtifactsInput!$M$15,CHOOSE(ArtifactsInput!$N$15+1,25,30,35,40,45,50)/100*(Inputs!$B$11-Inputs!$B$11),0)))/100)/2</f>
        <v/>
      </c>
      <c r="M754">
        <f>L754*(1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IF(B785=0,0,O754/B785)</f>
        <v/>
      </c>
      <c r="Q754">
        <f>IFERROR(1/(IF(Inputs!$B$38="pvp",15,MAX(0.1,Skills!D8-IF(TRUE=TRUE,Inputs!$B$32,0)))*(1-IF(AND(ArtifactsInput!$M$27,Inputs!$B$4="Chapter Hunt"),CHOOSE(ArtifactsInput!$N$27+1,20,24,28,32,36,40),0)/100)),0)</f>
        <v/>
      </c>
      <c r="R754">
        <f>IF(AND(Inputs!$B$38&lt;&gt;"pvp",Inputs!$B$43&gt;0),IF(MAX(0,Inputs!$B$43-B782)&lt;=0,0,(INT(MAX(0,Inputs!$B$43-B782)/(IF(Inputs!$B$38="pvp",15,MAX(0.1,Skills!D8-IF(TRUE=TRUE,Inputs!$B$32,0)))*(1-IF(AND(ArtifactsInput!$M$27,Inputs!$B$4="Chapter Hunt"),CHOOSE(ArtifactsInput!$N$27+1,20,24,28,32,36,40),0)/100)))+1)),0)</f>
        <v/>
      </c>
      <c r="S754">
        <f>IFERROR(O754/N754,0)</f>
        <v/>
      </c>
      <c r="T754">
        <f>IF(C754,(H754*N754*IF(AND(Inputs!$B$38&lt;&gt;"pvp",Inputs!$B$43&gt;0),((Skills!G8*((R754-1)*IF(Skills!H8&gt;0,Skills!I8/Skills!H8,1)+IF(Skills!H8&gt;0,MIN(Skills!I8,MAX(0,MAX(0,Inputs!$B$43-B782)-((R754-1)*(IF(Inputs!$B$38="pvp",15,MAX(0.1,Skills!D8-IF(TRUE=TRUE,Inputs!$B$32,0)))*(1-IF(AND(ArtifactsInput!$M$27,Inputs!$B$4="Chapter Hunt"),CHOOSE(ArtifactsInput!$N$27+1,20,24,28,32,36,40),0)/100)))))/Skills!H8,1)))/Inputs!$B$43),G754*Q754)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8*((R754-1)*IF(Skills!H8&gt;0,Skills!I8/Skills!H8,1)+IF(Skills!H8&gt;0,MIN(Skills!I8,MAX(0,MAX(0,Inputs!$B$43-B782)-((R754-1)*(IF(Inputs!$B$38="pvp",15,MAX(0.1,Skills!D8-IF(TRUE=TRUE,Inputs!$B$32,0)))*(1-IF(AND(ArtifactsInput!$M$27,Inputs!$B$4="Chapter Hunt"),CHOOSE(ArtifactsInput!$N$27+1,20,24,28,32,36,40),0)/100)))))/Skills!H8,1)))/Inputs!$B$43),G754*Q754))*IF(Inputs!$B$38="pvp",1,(1+(Inputs!$B$21+Skills!Q8+(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Skills!A9</f>
        <v/>
      </c>
      <c r="B755">
        <f>Skills!B9</f>
        <v/>
      </c>
      <c r="C755">
        <f>Inputs!$B$3&gt;=120</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B787</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766=TRUE)*(F766-Calc!F20)),(Inputs!$B$23+0+(IF(ArtifactsInput!$M$15,CHOOSE(ArtifactsInput!$N$15+1,25,30,35,40,45,50)/100*(Inputs!$B$11-Inputs!$B$11),0))))/100+(Inputs!$B$23+0+(IF(ArtifactsInput!$M$15,CHOOSE(ArtifactsInput!$N$15+1,25,30,35,40,45,50)/100*(Inputs!$B$11-Inputs!$B$11),0)))/100)/2</f>
        <v/>
      </c>
      <c r="M755">
        <f>L755*(1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IF(B785=0,0,O755/B785)</f>
        <v/>
      </c>
      <c r="Q755">
        <f>IFERROR(1/(IF(Inputs!$B$38="pvp",15,MAX(0.1,Skills!D9-IF(TRUE=TRUE,Inputs!$B$32,0)))*(1-IF(AND(ArtifactsInput!$M$27,Inputs!$B$4="Chapter Hunt"),CHOOSE(ArtifactsInput!$N$27+1,20,24,28,32,36,40),0)/100)),0)</f>
        <v/>
      </c>
      <c r="R755">
        <f>IF(AND(Inputs!$B$38&lt;&gt;"pvp",Inputs!$B$43&gt;0),IF(MAX(0,Inputs!$B$43-B782)&lt;=0,0,(INT(MAX(0,Inputs!$B$43-B782)/(IF(Inputs!$B$38="pvp",15,MAX(0.1,Skills!D9-IF(TRUE=TRUE,Inputs!$B$32,0)))*(1-IF(AND(ArtifactsInput!$M$27,Inputs!$B$4="Chapter Hunt"),CHOOSE(ArtifactsInput!$N$27+1,20,24,28,32,36,40),0)/100)))+1)),0)</f>
        <v/>
      </c>
      <c r="S755">
        <f>IFERROR(O755/N755,0)</f>
        <v/>
      </c>
      <c r="T755">
        <f>IF(C755,(H755*N755*IF(AND(Inputs!$B$38&lt;&gt;"pvp",Inputs!$B$43&gt;0),((Skills!G9*((R755-1)*IF(Skills!H9&gt;0,Skills!I9/Skills!H9,1)+IF(Skills!H9&gt;0,MIN(Skills!I9,MAX(0,MAX(0,Inputs!$B$43-B782)-((R755-1)*(IF(Inputs!$B$38="pvp",15,MAX(0.1,Skills!D9-IF(TRUE=TRUE,Inputs!$B$32,0)))*(1-IF(AND(ArtifactsInput!$M$27,Inputs!$B$4="Chapter Hunt"),CHOOSE(ArtifactsInput!$N$27+1,20,24,28,32,36,40),0)/100)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782)-((R755-1)*(IF(Inputs!$B$38="pvp",15,MAX(0.1,Skills!D9-IF(TRUE=TRUE,Inputs!$B$32,0)))*(1-IF(AND(ArtifactsInput!$M$27,Inputs!$B$4="Chapter Hunt"),CHOOSE(ArtifactsInput!$N$27+1,20,24,28,32,36,40),0)/100)))))/Skills!H9,1)))/Inputs!$B$43),G755*Q755))*IF(Inputs!$B$38="pvp",1,(1+(Inputs!$B$21+Skills!Q9+(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Inputs!$B$3&gt;=105</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766=TRUE)*(F766-Calc!F20)),(Inputs!$B$23+0+(IF(ArtifactsInput!$M$15,CHOOSE(ArtifactsInput!$N$15+1,25,30,35,40,45,50)/100*(Inputs!$B$11-Inputs!$B$11),0))))/100+(Inputs!$B$23+0+(IF(ArtifactsInput!$M$15,CHOOSE(ArtifactsInput!$N$15+1,25,30,35,40,45,50)/100*(Inputs!$B$11-Inputs!$B$11),0)))/100)/2</f>
        <v/>
      </c>
      <c r="M756">
        <f>L756*(1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IF(B785=0,0,O756/B785)</f>
        <v/>
      </c>
      <c r="Q756">
        <f>IFERROR(1/(IF(Inputs!$B$38="pvp",15,MAX(0.1,Skills!D10-IF(TRUE=TRUE,Inputs!$B$32,0)))*(1-IF(AND(ArtifactsInput!$M$27,Inputs!$B$4="Chapter Hunt"),CHOOSE(ArtifactsInput!$N$27+1,20,24,28,32,36,40),0)/100)),0)</f>
        <v/>
      </c>
      <c r="R756">
        <f>IF(AND(Inputs!$B$38&lt;&gt;"pvp",Inputs!$B$43&gt;0),IF(MAX(0,Inputs!$B$43-B782)&lt;=0,0,(INT(MAX(0,Inputs!$B$43-B782)/(IF(Inputs!$B$38="pvp",15,MAX(0.1,Skills!D10-IF(TRUE=TRUE,Inputs!$B$32,0)))*(1-IF(AND(ArtifactsInput!$M$27,Inputs!$B$4="Chapter Hunt"),CHOOSE(ArtifactsInput!$N$27+1,20,24,28,32,36,40),0)/100)))+1)),0)</f>
        <v/>
      </c>
      <c r="S756">
        <f>IFERROR(O756/N756,0)</f>
        <v/>
      </c>
      <c r="T756">
        <f>IF(C756,(H756*N756*IF(AND(Inputs!$B$38&lt;&gt;"pvp",Inputs!$B$43&gt;0),((Skills!G10*((R756-1)*IF(Skills!H10&gt;0,Skills!I10/Skills!H10,1)+IF(Skills!H10&gt;0,MIN(Skills!I10,MAX(0,MAX(0,Inputs!$B$43-B782)-((R756-1)*(IF(Inputs!$B$38="pvp",15,MAX(0.1,Skills!D10-IF(TRUE=TRUE,Inputs!$B$32,0)))*(1-IF(AND(ArtifactsInput!$M$27,Inputs!$B$4="Chapter Hunt"),CHOOSE(ArtifactsInput!$N$27+1,20,24,28,32,36,40),0)/100)))))/Skills!H10,1)))/Inputs!$B$43),G756*Q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10*((R756-1)*IF(Skills!H10&gt;0,Skills!I10/Skills!H10,1)+IF(Skills!H10&gt;0,MIN(Skills!I10,MAX(0,MAX(0,Inputs!$B$43-B782)-((R756-1)*(IF(Inputs!$B$38="pvp",15,MAX(0.1,Skills!D10-IF(TRUE=TRUE,Inputs!$B$32,0)))*(1-IF(AND(ArtifactsInput!$M$27,Inputs!$B$4="Chapter Hunt"),CHOOSE(ArtifactsInput!$N$27+1,20,24,28,32,36,40),0)/100)))))/Skills!H10,1)))/Inputs!$B$43),G756*Q756))*IF(Inputs!$B$38="pvp",1,(1+(Inputs!$B$21+Skills!Q10+(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Inputs!$B$3&gt;=113</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766=TRUE)*(F766-Calc!F20)),(Inputs!$B$23+0+(IF(ArtifactsInput!$M$15,CHOOSE(ArtifactsInput!$N$15+1,25,30,35,40,45,50)/100*(Inputs!$B$11-Inputs!$B$11),0))))/100+(Inputs!$B$23+0+(IF(ArtifactsInput!$M$15,CHOOSE(ArtifactsInput!$N$15+1,25,30,35,40,45,50)/100*(Inputs!$B$11-Inputs!$B$11),0)))/100)/2</f>
        <v/>
      </c>
      <c r="M757">
        <f>L757*(1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IF(B785=0,0,O757/B785)</f>
        <v/>
      </c>
      <c r="Q757" t="n">
        <v>0</v>
      </c>
      <c r="R757" t="n">
        <v>0</v>
      </c>
      <c r="S757">
        <f>IFERROR(O757/N757,0)</f>
        <v/>
      </c>
      <c r="T757">
        <f>IF(C757,((H757*B788)/(1+Skills!H11*H757*B788)*N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IF(C757,((H757*B788)/(1+Skills!H11*H757*B788)*N757)*IF(Inputs!$B$38="pvp",1,(1+(Inputs!$B$21+Skills!Q11+(IF(ArtifactsInput!$M$33,CHOOSE(ArtifactsInput!$N$33+1,30,36,42,48,54,60),0))+(IF(AND(ArtifactsInput!$M$35,Inputs!$B$4&lt;&gt;"Chapter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Inputs!$B$3&gt;=100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t="inlineStr"/>
      <c r="H758" t="inlineStr"/>
      <c r="I758" t="inlineStr">
        <is>
          <t>1</t>
        </is>
      </c>
      <c r="J758" t="inlineStr"/>
      <c r="K758" t="inlineStr"/>
      <c r="L758" t="inlineStr"/>
      <c r="M758" t="inlineStr"/>
      <c r="N758" t="inlineStr"/>
      <c r="O758" t="inlineStr"/>
      <c r="P758" t="inlineStr"/>
      <c r="Q758" t="inlineStr"/>
      <c r="R758" t="inlineStr"/>
      <c r="S758" t="inlineStr"/>
      <c r="T758" t="inlineStr"/>
      <c r="V758" t="inlineStr"/>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IF(B785=0,0,O759/B785)</f>
        <v/>
      </c>
      <c r="Q759" t="n">
        <v>0</v>
      </c>
      <c r="R759" t="n">
        <v>0</v>
      </c>
      <c r="S759">
        <f>IFERROR(O759/N759,0)</f>
        <v/>
      </c>
      <c r="T759" t="n">
        <v>0</v>
      </c>
      <c r="V759" t="n">
        <v>0</v>
      </c>
    </row>
    <row r="760">
      <c r="A760">
        <f>Skills!A14</f>
        <v/>
      </c>
      <c r="B760">
        <f>Skills!B14</f>
        <v/>
      </c>
      <c r="C760">
        <f>Inputs!$B$3&gt;=115</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IF(B785=0,0,O760/B785)</f>
        <v/>
      </c>
      <c r="Q760">
        <f>IFERROR(1/(IF(Inputs!$B$38="pvp",15,MAX(0.1,Skills!D14-IF(TRUE=TRUE,Inputs!$B$32,0)))*(1-IF(AND(ArtifactsInput!$M$27,Inputs!$B$4="Chapter Hunt"),CHOOSE(ArtifactsInput!$N$27+1,20,24,28,32,36,40),0)/100)),0)</f>
        <v/>
      </c>
      <c r="R760">
        <f>IF(AND(Inputs!$B$38&lt;&gt;"pvp",Inputs!$B$43&gt;0),IF(Inputs!$B$43&lt;=0,0,(INT(Inputs!$B$43/(IF(Inputs!$B$38="pvp",15,MAX(0.1,Skills!D14-IF(TRUE=TRUE,Inputs!$B$32,0)))*(1-IF(AND(ArtifactsInput!$M$27,Inputs!$B$4="Chapter Hunt"),CHOOSE(ArtifactsInput!$N$27+1,20,24,28,32,36,40),0)/100)))+1)),0)</f>
        <v/>
      </c>
      <c r="S760">
        <f>IFERROR(O760/N760,0)</f>
        <v/>
      </c>
      <c r="T760" t="n">
        <v>0</v>
      </c>
      <c r="V760" t="n">
        <v>0</v>
      </c>
    </row>
    <row r="761">
      <c r="A761">
        <f>Skills!A15</f>
        <v/>
      </c>
      <c r="B761">
        <f>Skills!B15</f>
        <v/>
      </c>
      <c r="C761">
        <f>Inputs!$B$3&gt;=125</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IF(B785=0,0,O761/B785)</f>
        <v/>
      </c>
      <c r="Q761">
        <f>IFERROR(1/(IF(Inputs!$B$38="pvp",15,MAX(0.1,Skills!D15-IF(TRUE=TRUE,Inputs!$B$32,0)))*(1-IF(AND(ArtifactsInput!$M$27,Inputs!$B$4="Chapter Hunt"),CHOOSE(ArtifactsInput!$N$27+1,20,24,28,32,36,40),0)/100)),0)</f>
        <v/>
      </c>
      <c r="R761">
        <f>IF(AND(Inputs!$B$38&lt;&gt;"pvp",Inputs!$B$43&gt;0),IF(Inputs!$B$43&lt;=0,0,(INT(Inputs!$B$43/(IF(Inputs!$B$38="pvp",15,MAX(0.1,Skills!D15-IF(TRUE=TRUE,Inputs!$B$32,0)))*(1-IF(AND(ArtifactsInput!$M$27,Inputs!$B$4="Chapter Hunt"),CHOOSE(ArtifactsInput!$N$27+1,20,24,28,32,36,40),0)/100)))+1)),0)</f>
        <v/>
      </c>
      <c r="S761">
        <f>IFERROR(O761/N761,0)</f>
        <v/>
      </c>
      <c r="T761" t="n">
        <v>0</v>
      </c>
      <c r="V761" t="n">
        <v>0</v>
      </c>
    </row>
    <row r="762">
      <c r="A762">
        <f>Skills!A16</f>
        <v/>
      </c>
      <c r="B762">
        <f>Skills!B16</f>
        <v/>
      </c>
      <c r="C762">
        <f>Inputs!$B$3&gt;=10</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IF(B785=0,0,O762/B785)</f>
        <v/>
      </c>
      <c r="Q762" t="n">
        <v>0</v>
      </c>
      <c r="R762" t="n">
        <v>0</v>
      </c>
      <c r="S762">
        <f>IFERROR(O762/N762,0)</f>
        <v/>
      </c>
      <c r="T762" t="n">
        <v>0</v>
      </c>
      <c r="V762" t="n">
        <v>0</v>
      </c>
    </row>
    <row r="763">
      <c r="A763">
        <f>Skills!A17</f>
        <v/>
      </c>
      <c r="B763">
        <f>Skills!B17</f>
        <v/>
      </c>
      <c r="C763">
        <f>Inputs!$B$3&gt;=15</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IF(B785=0,0,O763/B785)</f>
        <v/>
      </c>
      <c r="Q763" t="n">
        <v>0</v>
      </c>
      <c r="R763" t="n">
        <v>0</v>
      </c>
      <c r="S763">
        <f>IFERROR(O763/N763,0)</f>
        <v/>
      </c>
      <c r="T763" t="n">
        <v>0</v>
      </c>
      <c r="V763" t="n">
        <v>0</v>
      </c>
    </row>
    <row r="764">
      <c r="A764">
        <f>Skills!A18</f>
        <v/>
      </c>
      <c r="B764">
        <f>Skills!B18</f>
        <v/>
      </c>
      <c r="C764">
        <f>Inputs!$B$3&gt;=33</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IF(B785=0,0,O764/B785)</f>
        <v/>
      </c>
      <c r="Q764" t="n">
        <v>0</v>
      </c>
      <c r="R764" t="n">
        <v>0</v>
      </c>
      <c r="S764">
        <f>IFERROR(O764/N764,0)</f>
        <v/>
      </c>
      <c r="T764" t="n">
        <v>0</v>
      </c>
      <c r="V764" t="n">
        <v>0</v>
      </c>
    </row>
    <row r="765">
      <c r="A765">
        <f>Skills!A19</f>
        <v/>
      </c>
      <c r="B765">
        <f>Skills!B19</f>
        <v/>
      </c>
      <c r="C765">
        <f>Inputs!$B$3&gt;=40</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IF(B785=0,0,O765/B785)</f>
        <v/>
      </c>
      <c r="Q765" t="n">
        <v>0</v>
      </c>
      <c r="R765" t="n">
        <v>0</v>
      </c>
      <c r="S765">
        <f>IFERROR(O765/N765,0)</f>
        <v/>
      </c>
      <c r="T765" t="n">
        <v>0</v>
      </c>
      <c r="V765" t="n">
        <v>0</v>
      </c>
    </row>
    <row r="766">
      <c r="A766">
        <f>Skills!A20</f>
        <v/>
      </c>
      <c r="B766">
        <f>Skills!B20</f>
        <v/>
      </c>
      <c r="C766">
        <f>Inputs!$B$3&gt;=43</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IF(B785=0,0,O766/B785)</f>
        <v/>
      </c>
      <c r="Q766" t="n">
        <v>0</v>
      </c>
      <c r="R766" t="n">
        <v>0</v>
      </c>
      <c r="S766">
        <f>IFERROR(O766/N766,0)</f>
        <v/>
      </c>
      <c r="T766" t="n">
        <v>0</v>
      </c>
      <c r="V766" t="n">
        <v>0</v>
      </c>
    </row>
    <row r="767">
      <c r="A767">
        <f>Skills!A21</f>
        <v/>
      </c>
      <c r="B767">
        <f>Skills!B21</f>
        <v/>
      </c>
      <c r="C767">
        <f>Inputs!$B$3&gt;=38</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IF(B785=0,0,O767/B785)</f>
        <v/>
      </c>
      <c r="Q767" t="n">
        <v>0</v>
      </c>
      <c r="R767" t="n">
        <v>0</v>
      </c>
      <c r="S767">
        <f>IFERROR(O767/N767,0)</f>
        <v/>
      </c>
      <c r="T767" t="n">
        <v>0</v>
      </c>
      <c r="V767" t="n">
        <v>0</v>
      </c>
    </row>
    <row r="768">
      <c r="A768">
        <f>Skills!A22</f>
        <v/>
      </c>
      <c r="B768">
        <f>Skills!B22</f>
        <v/>
      </c>
      <c r="C768">
        <f>Inputs!$B$3&gt;=75</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IF(B785=0,0,O768/B785)</f>
        <v/>
      </c>
      <c r="Q768" t="n">
        <v>0</v>
      </c>
      <c r="R768" t="n">
        <v>0</v>
      </c>
      <c r="S768">
        <f>IFERROR(O768/N768,0)</f>
        <v/>
      </c>
      <c r="T768" t="n">
        <v>0</v>
      </c>
      <c r="V768" t="n">
        <v>0</v>
      </c>
    </row>
    <row r="769">
      <c r="A769">
        <f>Skills!A23</f>
        <v/>
      </c>
      <c r="B769">
        <f>Skills!B23</f>
        <v/>
      </c>
      <c r="C769">
        <f>TRUE</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IF(B785=0,0,O769/B785)</f>
        <v/>
      </c>
      <c r="Q769">
        <f>IFERROR(1/(IF(Inputs!$B$38="pvp",15,MAX(0.1,Skills!D23-IF(TRUE=TRUE,Inputs!$B$32,0)))*(1-IF(AND(ArtifactsInput!$M$27,Inputs!$B$4="Chapter Hunt"),CHOOSE(ArtifactsInput!$N$27+1,20,24,28,32,36,40),0)/100)),0)</f>
        <v/>
      </c>
      <c r="R769">
        <f>IF(AND(Inputs!$B$38&lt;&gt;"pvp",Inputs!$B$43&gt;0),IF(Inputs!$B$43&lt;=0,0,(INT(Inputs!$B$43/(IF(Inputs!$B$38="pvp",15,MAX(0.1,Skills!D23-IF(TRUE=TRUE,Inputs!$B$32,0)))*(1-IF(AND(ArtifactsInput!$M$27,Inputs!$B$4="Chapter Hunt"),CHOOSE(ArtifactsInput!$N$27+1,20,24,28,32,36,40),0)/100)))+1)),0)</f>
        <v/>
      </c>
      <c r="S769">
        <f>IFERROR(O769/N769,0)</f>
        <v/>
      </c>
      <c r="T769" t="n">
        <v>0</v>
      </c>
      <c r="V769" t="n">
        <v>0</v>
      </c>
    </row>
    <row r="770">
      <c r="A770">
        <f>Skills!A24</f>
        <v/>
      </c>
      <c r="B770">
        <f>Skills!B24</f>
        <v/>
      </c>
      <c r="C770">
        <f>Inputs!$B$3&gt;=107</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IF(B785=0,0,O770/B785)</f>
        <v/>
      </c>
      <c r="Q770">
        <f>IFERROR(1/(IF(Inputs!$B$38="pvp",15,MAX(0.1,Skills!D24-IF(TRUE=TRUE,Inputs!$B$32,0)))*(1-IF(AND(ArtifactsInput!$M$27,Inputs!$B$4="Chapter Hunt"),CHOOSE(ArtifactsInput!$N$27+1,20,24,28,32,36,40),0)/100)),0)</f>
        <v/>
      </c>
      <c r="R770">
        <f>IF(AND(Inputs!$B$38&lt;&gt;"pvp",Inputs!$B$43&gt;0),IF(Inputs!$B$43&lt;=0,0,(INT(Inputs!$B$43/(IF(Inputs!$B$38="pvp",15,MAX(0.1,Skills!D24-IF(TRUE=TRUE,Inputs!$B$32,0)))*(1-IF(AND(ArtifactsInput!$M$27,Inputs!$B$4="Chapter Hunt"),CHOOSE(ArtifactsInput!$N$27+1,20,24,28,32,36,40),0)/100)))+1)),0)</f>
        <v/>
      </c>
      <c r="S770">
        <f>IFERROR(O770/N770,0)</f>
        <v/>
      </c>
      <c r="T770" t="n">
        <v>0</v>
      </c>
      <c r="V770" t="n">
        <v>0</v>
      </c>
    </row>
    <row r="771">
      <c r="A771">
        <f>Skills!A25</f>
        <v/>
      </c>
      <c r="B771">
        <f>Skills!B25</f>
        <v/>
      </c>
      <c r="C771">
        <f>Inputs!$B$3&gt;=110</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t="inlineStr"/>
      <c r="H771" t="inlineStr"/>
      <c r="I771" t="inlineStr">
        <is>
          <t>1</t>
        </is>
      </c>
      <c r="J771" t="inlineStr"/>
      <c r="K771" t="inlineStr"/>
      <c r="L771" t="inlineStr"/>
      <c r="M771" t="inlineStr"/>
      <c r="N771" t="inlineStr"/>
      <c r="O771" t="inlineStr"/>
      <c r="P771" t="inlineStr"/>
      <c r="Q771" t="inlineStr"/>
      <c r="R771" t="inlineStr"/>
      <c r="S771" t="inlineStr"/>
      <c r="T771" t="inlineStr"/>
      <c r="V771" t="inlineStr"/>
    </row>
    <row r="772">
      <c r="A772">
        <f>Skills!A26</f>
        <v/>
      </c>
      <c r="B772">
        <f>Skills!B26</f>
        <v/>
      </c>
      <c r="C772">
        <f>Inputs!$B$3&gt;=117</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t="inlineStr"/>
      <c r="H772" t="inlineStr"/>
      <c r="I772" t="inlineStr">
        <is>
          <t>1</t>
        </is>
      </c>
      <c r="J772" t="inlineStr"/>
      <c r="K772" t="inlineStr"/>
      <c r="L772" t="inlineStr"/>
      <c r="M772" t="inlineStr"/>
      <c r="N772" t="inlineStr"/>
      <c r="O772" t="inlineStr"/>
      <c r="P772" t="inlineStr"/>
      <c r="Q772" t="inlineStr"/>
      <c r="R772" t="inlineStr"/>
      <c r="S772" t="inlineStr"/>
      <c r="T772" t="inlineStr"/>
      <c r="V772" t="inlineStr"/>
    </row>
    <row r="774">
      <c r="A774" t="inlineStr">
        <is>
          <t>Attack% Bucket Multiplier</t>
        </is>
      </c>
      <c r="B774">
        <f>(1+(((C759=TRUE)*F759*5/7)+((C765=TRUE)*(F765-Calc!F19))+(IF(ArtifactsInput!$M$21,CHOOSE(ArtifactsInput!$N$21+1,25,30,35,40,45,50)*(IF(OR(Inputs!$B$4="Chapter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5">
      <c r="A775" t="inlineStr">
        <is>
          <t>Global Crit Rate Bonus %</t>
        </is>
      </c>
      <c r="B775" t="n">
        <v>0</v>
      </c>
    </row>
    <row r="776">
      <c r="A776" t="inlineStr">
        <is>
          <t>Attack Speed Buff Bonus % (Nimble Feet + Speed Infusion, duty-cycle averaged)</t>
        </is>
      </c>
      <c r="B776">
        <f>((C769=TRUE)*F769*IF(AND(Inputs!$B$38&lt;&gt;"pvp",Inputs!$B$43&gt;0),(((R769-1)*MIN((Skills!T23*(1+Inputs!$B$34/100)),(1/Q769))+MIN((Skills!T23*(1+Inputs!$B$34/100)),MAX(0,Inputs!$B$43-((R769-1)*(1/Q769)))))/Inputs!$B$43),IF(Inputs!$B$38="pvp",MIN((Skills!T23*(1+Inputs!$B$34/100)),15)/15,MIN(1,(Skills!T23*(1+Inputs!$B$34/100))/(1/Q769)))))+((C770=TRUE)*F770*IF(AND(Inputs!$B$38&lt;&gt;"pvp",Inputs!$B$43&gt;0),(((R770-1)*MIN((Skills!T24*(1+Inputs!$B$34/100)),(1/Q770))+MIN((Skills!T24*(1+Inputs!$B$34/100)),MAX(0,Inputs!$B$43-((R770-1)*(1/Q770)))))/Inputs!$B$43),IF(Inputs!$B$38="pvp",MIN((Skills!T24*(1+Inputs!$B$34/100)),15)/15,MIN(1,(Skills!T24*(1+Inputs!$B$34/100))/(1/Q770)))))</f>
        <v/>
      </c>
    </row>
    <row r="777">
      <c r="A777" t="inlineStr">
        <is>
          <t>Actions Per Second</t>
        </is>
      </c>
      <c r="B777">
        <f>1+MIN(150,150*(1-(1-(Inputs!$B$11+((C763=TRUE)*(F763-Calc!F17))+((C764=TRUE)*(F764-Calc!F18)))/150)*(1-B776/150)))/100</f>
        <v/>
      </c>
    </row>
    <row r="778">
      <c r="A778" t="inlineStr">
        <is>
          <t>Skill + Buff Cast Rate</t>
        </is>
      </c>
      <c r="B778">
        <f>IF(AND(Inputs!$B$38&lt;&gt;"pvp",Inputs!$B$43&gt;0),SUMPRODUCT((Skills!E2:E26=TRUE)*(C748:C772=TRUE)*R748:R772*Skills!F2:F26)/Inputs!$B$43,SUMPRODUCT((Skills!E2:E26=TRUE)*(C748:C772=TRUE)*Q748:Q772*Skills!F2:F26))</f>
        <v/>
      </c>
    </row>
    <row r="779">
      <c r="A779" t="inlineStr">
        <is>
          <t>Hook Bomber Casts Per Second</t>
        </is>
      </c>
      <c r="B779">
        <f>MAX(0,B777-B778)</f>
        <v/>
      </c>
    </row>
    <row r="780">
      <c r="A780" t="inlineStr">
        <is>
          <t>Global Critical Damage Bonus % (unused)</t>
        </is>
      </c>
      <c r="B780" t="n">
        <v>0</v>
      </c>
    </row>
    <row r="781">
      <c r="A781" t="inlineStr">
        <is>
          <t>Global Final Damage Bonus % (Serpent Scale + Crossbones + Time Leap + Speed Infusion)</t>
        </is>
      </c>
      <c r="B781">
        <f>((C751=TRUE)*(F751*B787+4*(1-B787)))+((C760=TRUE)*F760*IF(AND(Inputs!$B$38&lt;&gt;"pvp",Inputs!$B$43&gt;0),(((R760-1)*MIN((Skills!T14*(1+Inputs!$B$34/100)),(1/Q760))+MIN((Skills!T14*(1+Inputs!$B$34/100)),MAX(0,Inputs!$B$43-((R760-1)*(1/Q760)))))/Inputs!$B$43),IF(Inputs!$B$38="pvp",MIN((Skills!T14*(1+Inputs!$B$34/100)),15)/15,MIN(1,(Skills!T14*(1+Inputs!$B$34/100))/(1/Q760)))))+((C761=TRUE)*F761*IF(AND(Inputs!$B$38&lt;&gt;"pvp",Inputs!$B$43&gt;0),(((R761-1)*MIN((Skills!T15*(1+Inputs!$B$34/100)),(1/Q761))+MIN((Skills!T15*(1+Inputs!$B$34/100)),MAX(0,Inputs!$B$43-((R761-1)*(1/Q761)))))/Inputs!$B$43),IF(Inputs!$B$38="pvp",MIN((Skills!T15*(1+Inputs!$B$34/100)),15)/15,MIN(1,(Skills!T15*(1+Inputs!$B$34/100))/(1/Q761)))))+((C770=TRUE)*20*((1+MIN(150,150*(1-(1-(Inputs!$B$11+((C763=TRUE)*(F763-Calc!F17))+((C764=TRUE)*(F764-Calc!F18)))/150)*(1-(((C769=TRUE)*F769*IF(AND(Inputs!$B$38&lt;&gt;"pvp",Inputs!$B$43&gt;0),(((R769-1)*MIN((Skills!T23*(1+Inputs!$B$34/100)),(1/Q769))+MIN((Skills!T23*(1+Inputs!$B$34/100)),MAX(0,Inputs!$B$43-((R769-1)*(1/Q769)))))/Inputs!$B$43),IF(Inputs!$B$38="pvp",MIN((Skills!T23*(1+Inputs!$B$34/100)),15)/15,MIN(1,(Skills!T23*(1+Inputs!$B$34/100))/(1/Q769)))))+F770)/150)))/100)-1)*IF(AND(Inputs!$B$38&lt;&gt;"pvp",Inputs!$B$43&gt;0),(((R770-1)*MIN((Skills!T24*(1+Inputs!$B$34/100)),(1/Q770))+MIN((Skills!T24*(1+Inputs!$B$34/100)),MAX(0,Inputs!$B$43-((R770-1)*(1/Q770)))))/Inputs!$B$43),IF(Inputs!$B$38="pvp",MIN((Skills!T24*(1+Inputs!$B$34/100)),15)/15,MIN(1,(Skills!T24*(1+Inputs!$B$34/100))/(1/Q770)))))</f>
        <v/>
      </c>
    </row>
    <row r="782">
      <c r="A782" t="inlineStr">
        <is>
          <t>Buff-Casting Startup Delay (s, fixed-duration only)</t>
        </is>
      </c>
      <c r="B782">
        <f>IF(AND(Inputs!$B$38&lt;&gt;"pvp",Inputs!$B$43&gt;0),SUMPRODUCT((Skills!T2:T26&gt;0)*(Skills!E2:E26=TRUE)*(C748:C772=TRUE))/B777,0)</f>
        <v/>
      </c>
    </row>
    <row r="783">
      <c r="A783" t="inlineStr">
        <is>
          <t>Boss-Only Total DPS (this block's swept value)</t>
        </is>
      </c>
      <c r="B783">
        <f>SUM(T748:T772)</f>
        <v/>
      </c>
    </row>
    <row r="784">
      <c r="A784" t="inlineStr">
        <is>
          <t>Normal-Only Total DPS (this block's swept value)</t>
        </is>
      </c>
      <c r="B784">
        <f>SUM(V748:V772)</f>
        <v/>
      </c>
    </row>
    <row r="785">
      <c r="A785" s="6" t="inlineStr">
        <is>
          <t>TOTAL DPS</t>
        </is>
      </c>
      <c r="B785" s="6">
        <f>SUM(O748:O772)</f>
        <v/>
      </c>
    </row>
    <row r="786">
      <c r="A786" t="inlineStr">
        <is>
          <t>Serpent activation interval T (this block's own Hook Bomber rate)</t>
        </is>
      </c>
      <c r="B786">
        <f>((1/Q749)+IFERROR(0.5/B779,0))</f>
        <v/>
      </c>
    </row>
    <row r="787">
      <c r="A787" t="inlineStr">
        <is>
          <t>Assault Mode uptime u (this block)</t>
        </is>
      </c>
      <c r="B787">
        <f>IF(C751=TRUE,(10+IF(Inputs!$B$3&gt;=94,5,0))/((10+IF(Inputs!$B$3&gt;=94,5,0))+IF(Inputs!$B$3&gt;=104,3,5)*B786),0)</f>
        <v/>
      </c>
    </row>
    <row r="788">
      <c r="A788" t="inlineStr">
        <is>
          <t>Nautilus Strike - Final Attack trigger rate (this block's own Q/R)</t>
        </is>
      </c>
      <c r="B788">
        <f>IF(AND(Inputs!$B$38&lt;&gt;"pvp",Inputs!$B$43&gt;0),(((C752=TRUE)*R752)+((C753=TRUE)*R753)+((C756=TRUE)*R756))/Inputs!$B$43,((C752=TRUE)*Q752)+((C753=TRUE)*Q753)+((C756=TRUE)*Q756))+B779</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811=TRUE)*(F811-Calc!F20)),(Inputs!$B$23+0+(IF(ArtifactsInput!$M$15,CHOOSE(ArtifactsInput!$N$15+1,25,30,35,40,45,50)/100*(Inputs!$B$11-Inputs!$B$11),0))))/100+(Inputs!$B$23+0+(IF(ArtifactsInput!$M$15,CHOOSE(ArtifactsInput!$N$15+1,25,30,35,40,45,50)/100*(Inputs!$B$11-Inputs!$B$11),0)))/100)/2</f>
        <v/>
      </c>
      <c r="M793">
        <f>L793*(1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IF(B830=0,0,O793/B830)</f>
        <v/>
      </c>
      <c r="Q793" t="n">
        <v>0</v>
      </c>
      <c r="R793" t="n">
        <v>0</v>
      </c>
      <c r="S793">
        <f>IFERROR(O793/N793,0)</f>
        <v/>
      </c>
      <c r="T793">
        <f>IF(C793,(Skills!G2*N793*B824)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IF(C793,(Skills!G2*N793*B824)*IF(Inputs!$B$38="pvp",1,(1+(Inputs!$B$21+Skills!Q2+(IF(ArtifactsInput!$M$33,CHOOSE(ArtifactsInput!$N$33+1,30,36,42,48,54,60),0))+(IF(AND(ArtifactsInput!$M$35,Inputs!$B$4&lt;&gt;"Chapter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Inputs!$B$3&gt;=35</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f>Skills!G3*IF(Skills!H3&gt;0,Skills!I3/Skills!H3,1)</f>
        <v/>
      </c>
      <c r="H794">
        <f>1-(1-Skills!J3/100)^Skills!K3</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816=TRUE,F816,0)/100)*(1+(IF(Skills!A3="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811=TRUE)*(F811-Calc!F20)),(Inputs!$B$23+0+(IF(ArtifactsInput!$M$15,CHOOSE(ArtifactsInput!$N$15+1,25,30,35,40,45,50)/100*(Inputs!$B$11-Inputs!$B$11),0))))/100+(Inputs!$B$23+0+(IF(ArtifactsInput!$M$15,CHOOSE(ArtifactsInput!$N$15+1,25,30,35,40,45,50)/100*(Inputs!$B$11-Inputs!$B$11),0)))/100)/2</f>
        <v/>
      </c>
      <c r="M794">
        <f>L794*(1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IF(B830=0,0,O794/B830)</f>
        <v/>
      </c>
      <c r="Q794">
        <f>IFERROR(1/(IF(Inputs!$B$38="pvp",15,MAX(0.1,Skills!D3-IF(TRUE=TRUE,Inputs!$B$32,0)))*(1-IF(AND(ArtifactsInput!$M$27,Inputs!$B$4="Chapter Hunt"),CHOOSE(ArtifactsInput!$N$27+1,20,24,28,32,36,40),0)/100)),0)</f>
        <v/>
      </c>
      <c r="R794">
        <f>IF(AND(Inputs!$B$38&lt;&gt;"pvp",Inputs!$B$43&gt;0),IF(MAX(0,Inputs!$B$43-B827)&lt;=0,0,(INT(MAX(0,Inputs!$B$43-B827)/(IF(Inputs!$B$38="pvp",15,MAX(0.1,Skills!D3-IF(TRUE=TRUE,Inputs!$B$32,0)))*(1-IF(AND(ArtifactsInput!$M$27,Inputs!$B$4="Chapter Hunt"),CHOOSE(ArtifactsInput!$N$27+1,20,24,28,32,36,40),0)/100)))+1)),0)</f>
        <v/>
      </c>
      <c r="S794">
        <f>IFERROR(O794/N794,0)</f>
        <v/>
      </c>
      <c r="T794">
        <f>IF(C794,(Skills!G3*N794*IF(C795=TRUE,1-B832,1)/B831)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4">
        <f>INDEX(FactorTable!$B$2:$Y$301, MATCH(ROUND(MIN(300,MAX(1,U793)),0), FactorTable!$A$2:$A$301,0), 22)</f>
        <v/>
      </c>
      <c r="V794">
        <f>IF(C794,(Skills!G3*N794*IF(C795=TRUE,1-B832,1)/B831)*IF(Inputs!$B$38="pvp",1,(1+(Inputs!$B$21+Skills!Q3+(IF(ArtifactsInput!$M$33,CHOOSE(ArtifactsInput!$N$33+1,30,36,42,48,54,60),0))+(IF(AND(ArtifactsInput!$M$35,Inputs!$B$4&lt;&gt;"Chapter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Skills!A4</f>
        <v/>
      </c>
      <c r="B795">
        <f>Skills!B4</f>
        <v/>
      </c>
      <c r="C795">
        <f>Inputs!$B$3&gt;=69</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4="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811=TRUE)*(F811-Calc!F20)),(Inputs!$B$23+0+(IF(ArtifactsInput!$M$15,CHOOSE(ArtifactsInput!$N$15+1,25,30,35,40,45,50)/100*(Inputs!$B$11-Inputs!$B$11),0))))/100+(Inputs!$B$23+0+(IF(ArtifactsInput!$M$15,CHOOSE(ArtifactsInput!$N$15+1,25,30,35,40,45,50)/100*(Inputs!$B$11-Inputs!$B$11),0)))/100)/2</f>
        <v/>
      </c>
      <c r="M795">
        <f>L795*(1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IF(B830=0,0,O795/B830)</f>
        <v/>
      </c>
      <c r="Q795" t="n">
        <v>0</v>
      </c>
      <c r="R795" t="n">
        <v>0</v>
      </c>
      <c r="S795">
        <f>IFERROR(O795/N795,0)</f>
        <v/>
      </c>
      <c r="T795">
        <f>IF(C795,(Skills!G4*N795*B832/B831)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IF(C795,(Skills!G4*N795*B832/B831)*IF(Inputs!$B$38="pvp",1,(1+(Inputs!$B$21+Skills!Q4+(IF(ArtifactsInput!$M$33,CHOOSE(ArtifactsInput!$N$33+1,30,36,42,48,54,60),0))+(IF(AND(ArtifactsInput!$M$35,Inputs!$B$4&lt;&gt;"Chapter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t="inlineStr"/>
      <c r="K796" t="inlineStr"/>
      <c r="L796" t="inlineStr"/>
      <c r="M796" t="inlineStr"/>
      <c r="N796" t="inlineStr"/>
      <c r="O796">
        <f>(1-Summary!$B$11)*T796+Summary!$B$11*V796</f>
        <v/>
      </c>
      <c r="P796">
        <f>IF(B830=0,0,O796/B830)</f>
        <v/>
      </c>
      <c r="Q796" t="n">
        <v>0</v>
      </c>
      <c r="R796" t="n">
        <v>0</v>
      </c>
      <c r="S796">
        <f>IFERROR(O796/N796,0)</f>
        <v/>
      </c>
      <c r="T796" t="n">
        <v>0</v>
      </c>
      <c r="V796" t="n">
        <v>0</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803=TRUE,F803,0)/100)*(1+(IF(Skills!A6="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811=TRUE)*(F811-Calc!F20)),(Inputs!$B$23+0+(IF(ArtifactsInput!$M$15,CHOOSE(ArtifactsInput!$N$15+1,25,30,35,40,45,50)/100*(Inputs!$B$11-Inputs!$B$11),0))))/100+(Inputs!$B$23+0+(IF(ArtifactsInput!$M$15,CHOOSE(ArtifactsInput!$N$15+1,25,30,35,40,45,50)/100*(Inputs!$B$11-Inputs!$B$11),0)))/100)/2</f>
        <v/>
      </c>
      <c r="M797">
        <f>L797*(1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IF(B830=0,0,O797/B830)</f>
        <v/>
      </c>
      <c r="Q797">
        <f>IFERROR(1/(IF(Inputs!$B$38="pvp",15,MAX(0.1,Skills!D6-IF(TRUE=TRUE,Inputs!$B$32,0)))*(1-IF(AND(ArtifactsInput!$M$27,Inputs!$B$4="Chapter Hunt"),CHOOSE(ArtifactsInput!$N$27+1,20,24,28,32,36,40),0)/100)),0)</f>
        <v/>
      </c>
      <c r="R797">
        <f>IF(AND(Inputs!$B$38&lt;&gt;"pvp",Inputs!$B$43&gt;0),IF(MAX(0,Inputs!$B$43-B827)&lt;=0,0,(INT(MAX(0,Inputs!$B$43-B827)/(IF(Inputs!$B$38="pvp",15,MAX(0.1,Skills!D6-IF(TRUE=TRUE,Inputs!$B$32,0)))*(1-IF(AND(ArtifactsInput!$M$27,Inputs!$B$4="Chapter Hunt"),CHOOSE(ArtifactsInput!$N$27+1,20,24,28,32,36,40),0)/100)))+1)),0)</f>
        <v/>
      </c>
      <c r="S797">
        <f>IFERROR(O797/N797,0)</f>
        <v/>
      </c>
      <c r="T797">
        <f>IF(C797,(H797*N797*IF(AND(Inputs!$B$38&lt;&gt;"pvp",Inputs!$B$43&gt;0),((Skills!G6*((R797-1)*IF(Skills!H6&gt;0,Skills!I6/Skills!H6,1)+IF(Skills!H6&gt;0,MIN(Skills!I6,MAX(0,MAX(0,Inputs!$B$43-B827)-((R797-1)*(IF(Inputs!$B$38="pvp",15,MAX(0.1,Skills!D6-IF(TRUE=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827)-((R797-1)*(IF(Inputs!$B$38="pvp",15,MAX(0.1,Skills!D6-IF(TRUE=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Inputs!$B$3&gt;=103</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811=TRUE)*(F811-Calc!F20)),(Inputs!$B$23+0+(IF(ArtifactsInput!$M$15,CHOOSE(ArtifactsInput!$N$15+1,25,30,35,40,45,50)/100*(Inputs!$B$11-Inputs!$B$11),0))))/100+(Inputs!$B$23+0+(IF(ArtifactsInput!$M$15,CHOOSE(ArtifactsInput!$N$15+1,25,30,35,40,45,50)/100*(Inputs!$B$11-Inputs!$B$11),0)))/100)/2</f>
        <v/>
      </c>
      <c r="M798">
        <f>L798*(1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IF(B830=0,0,O798/B830)</f>
        <v/>
      </c>
      <c r="Q798">
        <f>IFERROR(1/(IF(Inputs!$B$38="pvp",15,MAX(0.1,Skills!D7-IF(TRUE=TRUE,Inputs!$B$32,0)))*(1-IF(AND(ArtifactsInput!$M$27,Inputs!$B$4="Chapter Hunt"),CHOOSE(ArtifactsInput!$N$27+1,20,24,28,32,36,40),0)/100)),0)</f>
        <v/>
      </c>
      <c r="R798">
        <f>IF(AND(Inputs!$B$38&lt;&gt;"pvp",Inputs!$B$43&gt;0),IF(MAX(0,Inputs!$B$43-B827)&lt;=0,0,(INT(MAX(0,Inputs!$B$43-B827)/(IF(Inputs!$B$38="pvp",15,MAX(0.1,Skills!D7-IF(TRUE=TRUE,Inputs!$B$32,0)))*(1-IF(AND(ArtifactsInput!$M$27,Inputs!$B$4="Chapter Hunt"),CHOOSE(ArtifactsInput!$N$27+1,20,24,28,32,36,40),0)/100)))+1)),0)</f>
        <v/>
      </c>
      <c r="S798">
        <f>IFERROR(O798/N798,0)</f>
        <v/>
      </c>
      <c r="T798">
        <f>IF(C798,(H798*N798*IF(AND(Inputs!$B$38&lt;&gt;"pvp",Inputs!$B$43&gt;0),((Skills!G7*((R798-1)*IF(Skills!H7&gt;0,Skills!I7/Skills!H7,1)+IF(Skills!H7&gt;0,MIN(Skills!I7,MAX(0,MAX(0,Inputs!$B$43-B827)-((R798-1)*(IF(Inputs!$B$38="pvp",15,MAX(0.1,Skills!D7-IF(TRUE=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827)-((R798-1)*(IF(Inputs!$B$38="pvp",15,MAX(0.1,Skills!D7-IF(TRUE=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Inputs!$B$3&gt;=117</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811=TRUE)*(F811-Calc!F20)),(Inputs!$B$23+0+(IF(ArtifactsInput!$M$15,CHOOSE(ArtifactsInput!$N$15+1,25,30,35,40,45,50)/100*(Inputs!$B$11-Inputs!$B$11),0))))/100+(Inputs!$B$23+0+(IF(ArtifactsInput!$M$15,CHOOSE(ArtifactsInput!$N$15+1,25,30,35,40,45,50)/100*(Inputs!$B$11-Inputs!$B$11),0)))/100)/2</f>
        <v/>
      </c>
      <c r="M799">
        <f>L799*(1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IF(B830=0,0,O799/B830)</f>
        <v/>
      </c>
      <c r="Q799">
        <f>IFERROR(1/(IF(Inputs!$B$38="pvp",15,MAX(0.1,Skills!D8-IF(TRUE=TRUE,Inputs!$B$32,0)))*(1-IF(AND(ArtifactsInput!$M$27,Inputs!$B$4="Chapter Hunt"),CHOOSE(ArtifactsInput!$N$27+1,20,24,28,32,36,40),0)/100)),0)</f>
        <v/>
      </c>
      <c r="R799">
        <f>IF(AND(Inputs!$B$38&lt;&gt;"pvp",Inputs!$B$43&gt;0),IF(MAX(0,Inputs!$B$43-B827)&lt;=0,0,(INT(MAX(0,Inputs!$B$43-B827)/(IF(Inputs!$B$38="pvp",15,MAX(0.1,Skills!D8-IF(TRUE=TRUE,Inputs!$B$32,0)))*(1-IF(AND(ArtifactsInput!$M$27,Inputs!$B$4="Chapter Hunt"),CHOOSE(ArtifactsInput!$N$27+1,20,24,28,32,36,40),0)/100)))+1)),0)</f>
        <v/>
      </c>
      <c r="S799">
        <f>IFERROR(O799/N799,0)</f>
        <v/>
      </c>
      <c r="T799">
        <f>IF(C799,(H799*N799*IF(AND(Inputs!$B$38&lt;&gt;"pvp",Inputs!$B$43&gt;0),((Skills!G8*((R799-1)*IF(Skills!H8&gt;0,Skills!I8/Skills!H8,1)+IF(Skills!H8&gt;0,MIN(Skills!I8,MAX(0,MAX(0,Inputs!$B$43-B827)-((R799-1)*(IF(Inputs!$B$38="pvp",15,MAX(0.1,Skills!D8-IF(TRUE=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827)-((R799-1)*(IF(Inputs!$B$38="pvp",15,MAX(0.1,Skills!D8-IF(TRUE=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Inputs!$B$3&gt;=120</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B832</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811=TRUE)*(F811-Calc!F20)),(Inputs!$B$23+0+(IF(ArtifactsInput!$M$15,CHOOSE(ArtifactsInput!$N$15+1,25,30,35,40,45,50)/100*(Inputs!$B$11-Inputs!$B$11),0))))/100+(Inputs!$B$23+0+(IF(ArtifactsInput!$M$15,CHOOSE(ArtifactsInput!$N$15+1,25,30,35,40,45,50)/100*(Inputs!$B$11-Inputs!$B$11),0)))/100)/2</f>
        <v/>
      </c>
      <c r="M800">
        <f>L800*(1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IF(B830=0,0,O800/B830)</f>
        <v/>
      </c>
      <c r="Q800">
        <f>IFERROR(1/(IF(Inputs!$B$38="pvp",15,MAX(0.1,Skills!D9-IF(TRUE=TRUE,Inputs!$B$32,0)))*(1-IF(AND(ArtifactsInput!$M$27,Inputs!$B$4="Chapter Hunt"),CHOOSE(ArtifactsInput!$N$27+1,20,24,28,32,36,40),0)/100)),0)</f>
        <v/>
      </c>
      <c r="R800">
        <f>IF(AND(Inputs!$B$38&lt;&gt;"pvp",Inputs!$B$43&gt;0),IF(MAX(0,Inputs!$B$43-B827)&lt;=0,0,(INT(MAX(0,Inputs!$B$43-B827)/(IF(Inputs!$B$38="pvp",15,MAX(0.1,Skills!D9-IF(TRUE=TRUE,Inputs!$B$32,0)))*(1-IF(AND(ArtifactsInput!$M$27,Inputs!$B$4="Chapter Hunt"),CHOOSE(ArtifactsInput!$N$27+1,20,24,28,32,36,40),0)/100)))+1)),0)</f>
        <v/>
      </c>
      <c r="S800">
        <f>IFERROR(O800/N800,0)</f>
        <v/>
      </c>
      <c r="T800">
        <f>IF(C800,(H800*N800*IF(AND(Inputs!$B$38&lt;&gt;"pvp",Inputs!$B$43&gt;0),((Skills!G9*((R800-1)*IF(Skills!H9&gt;0,Skills!I9/Skills!H9,1)+IF(Skills!H9&gt;0,MIN(Skills!I9,MAX(0,MAX(0,Inputs!$B$43-B827)-((R800-1)*(IF(Inputs!$B$38="pvp",15,MAX(0.1,Skills!D9-IF(TRUE=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827)-((R800-1)*(IF(Inputs!$B$38="pvp",15,MAX(0.1,Skills!D9-IF(TRUE=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Inputs!$B$3&gt;=105</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811=TRUE)*(F811-Calc!F20)),(Inputs!$B$23+0+(IF(ArtifactsInput!$M$15,CHOOSE(ArtifactsInput!$N$15+1,25,30,35,40,45,50)/100*(Inputs!$B$11-Inputs!$B$11),0))))/100+(Inputs!$B$23+0+(IF(ArtifactsInput!$M$15,CHOOSE(ArtifactsInput!$N$15+1,25,30,35,40,45,50)/100*(Inputs!$B$11-Inputs!$B$11),0)))/100)/2</f>
        <v/>
      </c>
      <c r="M801">
        <f>L801*(1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IF(B830=0,0,O801/B830)</f>
        <v/>
      </c>
      <c r="Q801">
        <f>IFERROR(1/(IF(Inputs!$B$38="pvp",15,MAX(0.1,Skills!D10-IF(TRUE=TRUE,Inputs!$B$32,0)))*(1-IF(AND(ArtifactsInput!$M$27,Inputs!$B$4="Chapter Hunt"),CHOOSE(ArtifactsInput!$N$27+1,20,24,28,32,36,40),0)/100)),0)</f>
        <v/>
      </c>
      <c r="R801">
        <f>IF(AND(Inputs!$B$38&lt;&gt;"pvp",Inputs!$B$43&gt;0),IF(MAX(0,Inputs!$B$43-B827)&lt;=0,0,(INT(MAX(0,Inputs!$B$43-B827)/(IF(Inputs!$B$38="pvp",15,MAX(0.1,Skills!D10-IF(TRUE=TRUE,Inputs!$B$32,0)))*(1-IF(AND(ArtifactsInput!$M$27,Inputs!$B$4="Chapter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827)-((R801-1)*(IF(Inputs!$B$38="pvp",15,MAX(0.1,Skills!D10-IF(TRUE=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827)-((R801-1)*(IF(Inputs!$B$38="pvp",15,MAX(0.1,Skills!D10-IF(TRUE=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Inputs!$B$3&gt;=113</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811=TRUE)*(F811-Calc!F20)),(Inputs!$B$23+0+(IF(ArtifactsInput!$M$15,CHOOSE(ArtifactsInput!$N$15+1,25,30,35,40,45,50)/100*(Inputs!$B$11-Inputs!$B$11),0))))/100+(Inputs!$B$23+0+(IF(ArtifactsInput!$M$15,CHOOSE(ArtifactsInput!$N$15+1,25,30,35,40,45,50)/100*(Inputs!$B$11-Inputs!$B$11),0)))/100)/2</f>
        <v/>
      </c>
      <c r="M802">
        <f>L802*(1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IF(B830=0,0,O802/B830)</f>
        <v/>
      </c>
      <c r="Q802" t="n">
        <v>0</v>
      </c>
      <c r="R802" t="n">
        <v>0</v>
      </c>
      <c r="S802">
        <f>IFERROR(O802/N802,0)</f>
        <v/>
      </c>
      <c r="T802">
        <f>IF(C802,((H802*B833)/(1+Skills!H11*H802*B833)*N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IF(C802,((H802*B833)/(1+Skills!H11*H802*B833)*N802)*IF(Inputs!$B$38="pvp",1,(1+(Inputs!$B$21+Skills!Q11+(IF(ArtifactsInput!$M$33,CHOOSE(ArtifactsInput!$N$33+1,30,36,42,48,54,60),0))+(IF(AND(ArtifactsInput!$M$35,Inputs!$B$4&lt;&gt;"Chapter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c r="T803" t="inlineStr"/>
      <c r="V803" t="inlineStr"/>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IF(B830=0,0,O804/B830)</f>
        <v/>
      </c>
      <c r="Q804" t="n">
        <v>0</v>
      </c>
      <c r="R804" t="n">
        <v>0</v>
      </c>
      <c r="S804">
        <f>IFERROR(O804/N804,0)</f>
        <v/>
      </c>
      <c r="T804" t="n">
        <v>0</v>
      </c>
      <c r="V804" t="n">
        <v>0</v>
      </c>
    </row>
    <row r="805">
      <c r="A805">
        <f>Skills!A14</f>
        <v/>
      </c>
      <c r="B805">
        <f>Skills!B14</f>
        <v/>
      </c>
      <c r="C805">
        <f>Inputs!$B$3&gt;=115</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IF(B830=0,0,O805/B830)</f>
        <v/>
      </c>
      <c r="Q805">
        <f>IFERROR(1/(IF(Inputs!$B$38="pvp",15,MAX(0.1,Skills!D14-IF(TRUE=TRUE,Inputs!$B$32,0)))*(1-IF(AND(ArtifactsInput!$M$27,Inputs!$B$4="Chapter Hunt"),CHOOSE(ArtifactsInput!$N$27+1,20,24,28,32,36,40),0)/100)),0)</f>
        <v/>
      </c>
      <c r="R805">
        <f>IF(AND(Inputs!$B$38&lt;&gt;"pvp",Inputs!$B$43&gt;0),IF(Inputs!$B$43&lt;=0,0,(INT(Inputs!$B$43/(IF(Inputs!$B$38="pvp",15,MAX(0.1,Skills!D14-IF(TRUE=TRUE,Inputs!$B$32,0)))*(1-IF(AND(ArtifactsInput!$M$27,Inputs!$B$4="Chapter Hunt"),CHOOSE(ArtifactsInput!$N$27+1,20,24,28,32,36,40),0)/100)))+1)),0)</f>
        <v/>
      </c>
      <c r="S805">
        <f>IFERROR(O805/N805,0)</f>
        <v/>
      </c>
      <c r="T805" t="n">
        <v>0</v>
      </c>
      <c r="V805" t="n">
        <v>0</v>
      </c>
    </row>
    <row r="806">
      <c r="A806">
        <f>Skills!A15</f>
        <v/>
      </c>
      <c r="B806">
        <f>Skills!B15</f>
        <v/>
      </c>
      <c r="C806">
        <f>Inputs!$B$3&gt;=125</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IF(B830=0,0,O806/B830)</f>
        <v/>
      </c>
      <c r="Q806">
        <f>IFERROR(1/(IF(Inputs!$B$38="pvp",15,MAX(0.1,Skills!D15-IF(TRUE=TRUE,Inputs!$B$32,0)))*(1-IF(AND(ArtifactsInput!$M$27,Inputs!$B$4="Chapter Hunt"),CHOOSE(ArtifactsInput!$N$27+1,20,24,28,32,36,40),0)/100)),0)</f>
        <v/>
      </c>
      <c r="R806">
        <f>IF(AND(Inputs!$B$38&lt;&gt;"pvp",Inputs!$B$43&gt;0),IF(Inputs!$B$43&lt;=0,0,(INT(Inputs!$B$43/(IF(Inputs!$B$38="pvp",15,MAX(0.1,Skills!D15-IF(TRUE=TRUE,Inputs!$B$32,0)))*(1-IF(AND(ArtifactsInput!$M$27,Inputs!$B$4="Chapter Hunt"),CHOOSE(ArtifactsInput!$N$27+1,20,24,28,32,36,40),0)/100)))+1)),0)</f>
        <v/>
      </c>
      <c r="S806">
        <f>IFERROR(O806/N806,0)</f>
        <v/>
      </c>
      <c r="T806" t="n">
        <v>0</v>
      </c>
      <c r="V806" t="n">
        <v>0</v>
      </c>
    </row>
    <row r="807">
      <c r="A807">
        <f>Skills!A16</f>
        <v/>
      </c>
      <c r="B807">
        <f>Skills!B16</f>
        <v/>
      </c>
      <c r="C807">
        <f>Inputs!$B$3&gt;=10</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IF(B830=0,0,O807/B830)</f>
        <v/>
      </c>
      <c r="Q807" t="n">
        <v>0</v>
      </c>
      <c r="R807" t="n">
        <v>0</v>
      </c>
      <c r="S807">
        <f>IFERROR(O807/N807,0)</f>
        <v/>
      </c>
      <c r="T807" t="n">
        <v>0</v>
      </c>
      <c r="V807" t="n">
        <v>0</v>
      </c>
    </row>
    <row r="808">
      <c r="A808">
        <f>Skills!A17</f>
        <v/>
      </c>
      <c r="B808">
        <f>Skills!B17</f>
        <v/>
      </c>
      <c r="C808">
        <f>Inputs!$B$3&gt;=15</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IF(B830=0,0,O808/B830)</f>
        <v/>
      </c>
      <c r="Q808" t="n">
        <v>0</v>
      </c>
      <c r="R808" t="n">
        <v>0</v>
      </c>
      <c r="S808">
        <f>IFERROR(O808/N808,0)</f>
        <v/>
      </c>
      <c r="T808" t="n">
        <v>0</v>
      </c>
      <c r="V808" t="n">
        <v>0</v>
      </c>
    </row>
    <row r="809">
      <c r="A809">
        <f>Skills!A18</f>
        <v/>
      </c>
      <c r="B809">
        <f>Skills!B18</f>
        <v/>
      </c>
      <c r="C809">
        <f>Inputs!$B$3&gt;=33</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IF(B830=0,0,O809/B830)</f>
        <v/>
      </c>
      <c r="Q809" t="n">
        <v>0</v>
      </c>
      <c r="R809" t="n">
        <v>0</v>
      </c>
      <c r="S809">
        <f>IFERROR(O809/N809,0)</f>
        <v/>
      </c>
      <c r="T809" t="n">
        <v>0</v>
      </c>
      <c r="V809" t="n">
        <v>0</v>
      </c>
    </row>
    <row r="810">
      <c r="A810">
        <f>Skills!A19</f>
        <v/>
      </c>
      <c r="B810">
        <f>Skills!B19</f>
        <v/>
      </c>
      <c r="C810">
        <f>Inputs!$B$3&gt;=40</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IF(B830=0,0,O810/B830)</f>
        <v/>
      </c>
      <c r="Q810" t="n">
        <v>0</v>
      </c>
      <c r="R810" t="n">
        <v>0</v>
      </c>
      <c r="S810">
        <f>IFERROR(O810/N810,0)</f>
        <v/>
      </c>
      <c r="T810" t="n">
        <v>0</v>
      </c>
      <c r="V810" t="n">
        <v>0</v>
      </c>
    </row>
    <row r="811">
      <c r="A811">
        <f>Skills!A20</f>
        <v/>
      </c>
      <c r="B811">
        <f>Skills!B20</f>
        <v/>
      </c>
      <c r="C811">
        <f>Inputs!$B$3&gt;=43</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IF(B830=0,0,O811/B830)</f>
        <v/>
      </c>
      <c r="Q811" t="n">
        <v>0</v>
      </c>
      <c r="R811" t="n">
        <v>0</v>
      </c>
      <c r="S811">
        <f>IFERROR(O811/N811,0)</f>
        <v/>
      </c>
      <c r="T811" t="n">
        <v>0</v>
      </c>
      <c r="V811" t="n">
        <v>0</v>
      </c>
    </row>
    <row r="812">
      <c r="A812">
        <f>Skills!A21</f>
        <v/>
      </c>
      <c r="B812">
        <f>Skills!B21</f>
        <v/>
      </c>
      <c r="C812">
        <f>Inputs!$B$3&gt;=38</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IF(B830=0,0,O812/B830)</f>
        <v/>
      </c>
      <c r="Q812" t="n">
        <v>0</v>
      </c>
      <c r="R812" t="n">
        <v>0</v>
      </c>
      <c r="S812">
        <f>IFERROR(O812/N812,0)</f>
        <v/>
      </c>
      <c r="T812" t="n">
        <v>0</v>
      </c>
      <c r="V812" t="n">
        <v>0</v>
      </c>
    </row>
    <row r="813">
      <c r="A813">
        <f>Skills!A22</f>
        <v/>
      </c>
      <c r="B813">
        <f>Skills!B22</f>
        <v/>
      </c>
      <c r="C813">
        <f>Inputs!$B$3&gt;=75</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IF(B830=0,0,O813/B830)</f>
        <v/>
      </c>
      <c r="Q813" t="n">
        <v>0</v>
      </c>
      <c r="R813" t="n">
        <v>0</v>
      </c>
      <c r="S813">
        <f>IFERROR(O813/N813,0)</f>
        <v/>
      </c>
      <c r="T813" t="n">
        <v>0</v>
      </c>
      <c r="V813" t="n">
        <v>0</v>
      </c>
    </row>
    <row r="814">
      <c r="A814">
        <f>Skills!A23</f>
        <v/>
      </c>
      <c r="B814">
        <f>Skills!B23</f>
        <v/>
      </c>
      <c r="C814">
        <f>TRUE</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IF(B830=0,0,O814/B830)</f>
        <v/>
      </c>
      <c r="Q814">
        <f>IFERROR(1/(IF(Inputs!$B$38="pvp",15,MAX(0.1,Skills!D23-IF(TRUE=TRUE,Inputs!$B$32,0)))*(1-IF(AND(ArtifactsInput!$M$27,Inputs!$B$4="Chapter Hunt"),CHOOSE(ArtifactsInput!$N$27+1,20,24,28,32,36,40),0)/100)),0)</f>
        <v/>
      </c>
      <c r="R814">
        <f>IF(AND(Inputs!$B$38&lt;&gt;"pvp",Inputs!$B$43&gt;0),IF(Inputs!$B$43&lt;=0,0,(INT(Inputs!$B$43/(IF(Inputs!$B$38="pvp",15,MAX(0.1,Skills!D23-IF(TRUE=TRUE,Inputs!$B$32,0)))*(1-IF(AND(ArtifactsInput!$M$27,Inputs!$B$4="Chapter Hunt"),CHOOSE(ArtifactsInput!$N$27+1,20,24,28,32,36,40),0)/100)))+1)),0)</f>
        <v/>
      </c>
      <c r="S814">
        <f>IFERROR(O814/N814,0)</f>
        <v/>
      </c>
      <c r="T814" t="n">
        <v>0</v>
      </c>
      <c r="V814" t="n">
        <v>0</v>
      </c>
    </row>
    <row r="815">
      <c r="A815">
        <f>Skills!A24</f>
        <v/>
      </c>
      <c r="B815">
        <f>Skills!B24</f>
        <v/>
      </c>
      <c r="C815">
        <f>Inputs!$B$3&gt;=107</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IF(B830=0,0,O815/B830)</f>
        <v/>
      </c>
      <c r="Q815">
        <f>IFERROR(1/(IF(Inputs!$B$38="pvp",15,MAX(0.1,Skills!D24-IF(TRUE=TRUE,Inputs!$B$32,0)))*(1-IF(AND(ArtifactsInput!$M$27,Inputs!$B$4="Chapter Hunt"),CHOOSE(ArtifactsInput!$N$27+1,20,24,28,32,36,40),0)/100)),0)</f>
        <v/>
      </c>
      <c r="R815">
        <f>IF(AND(Inputs!$B$38&lt;&gt;"pvp",Inputs!$B$43&gt;0),IF(Inputs!$B$43&lt;=0,0,(INT(Inputs!$B$43/(IF(Inputs!$B$38="pvp",15,MAX(0.1,Skills!D24-IF(TRUE=TRUE,Inputs!$B$32,0)))*(1-IF(AND(ArtifactsInput!$M$27,Inputs!$B$4="Chapter Hunt"),CHOOSE(ArtifactsInput!$N$27+1,20,24,28,32,36,40),0)/100)))+1)),0)</f>
        <v/>
      </c>
      <c r="S815">
        <f>IFERROR(O815/N815,0)</f>
        <v/>
      </c>
      <c r="T815" t="n">
        <v>0</v>
      </c>
      <c r="V815" t="n">
        <v>0</v>
      </c>
    </row>
    <row r="816">
      <c r="A816">
        <f>Skills!A25</f>
        <v/>
      </c>
      <c r="B816">
        <f>Skills!B25</f>
        <v/>
      </c>
      <c r="C816">
        <f>Inputs!$B$3&gt;=110</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t="inlineStr"/>
      <c r="H816" t="inlineStr"/>
      <c r="I816" t="inlineStr">
        <is>
          <t>1</t>
        </is>
      </c>
      <c r="J816" t="inlineStr"/>
      <c r="K816" t="inlineStr"/>
      <c r="L816" t="inlineStr"/>
      <c r="M816" t="inlineStr"/>
      <c r="N816" t="inlineStr"/>
      <c r="O816" t="inlineStr"/>
      <c r="P816" t="inlineStr"/>
      <c r="Q816" t="inlineStr"/>
      <c r="R816" t="inlineStr"/>
      <c r="S816" t="inlineStr"/>
      <c r="T816" t="inlineStr"/>
      <c r="V816" t="inlineStr"/>
    </row>
    <row r="817">
      <c r="A817">
        <f>Skills!A26</f>
        <v/>
      </c>
      <c r="B817">
        <f>Skills!B26</f>
        <v/>
      </c>
      <c r="C817">
        <f>Inputs!$B$3&gt;=117</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t="inlineStr"/>
      <c r="H817" t="inlineStr"/>
      <c r="I817" t="inlineStr">
        <is>
          <t>1</t>
        </is>
      </c>
      <c r="J817" t="inlineStr"/>
      <c r="K817" t="inlineStr"/>
      <c r="L817" t="inlineStr"/>
      <c r="M817" t="inlineStr"/>
      <c r="N817" t="inlineStr"/>
      <c r="O817" t="inlineStr"/>
      <c r="P817" t="inlineStr"/>
      <c r="Q817" t="inlineStr"/>
      <c r="R817" t="inlineStr"/>
      <c r="S817" t="inlineStr"/>
      <c r="T817" t="inlineStr"/>
      <c r="V817" t="inlineStr"/>
    </row>
    <row r="819">
      <c r="A819" t="inlineStr">
        <is>
          <t>Attack% Bucket Multiplier</t>
        </is>
      </c>
      <c r="B819">
        <f>(1+(((C804=TRUE)*F804*5/7)+((C810=TRUE)*(F810-Calc!F19))+(IF(ArtifactsInput!$M$21,CHOOSE(ArtifactsInput!$N$21+1,25,30,35,40,45,50)*(IF(OR(Inputs!$B$4="Chapter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0">
      <c r="A820" t="inlineStr">
        <is>
          <t>Global Crit Rate Bonus %</t>
        </is>
      </c>
      <c r="B820" t="n">
        <v>0</v>
      </c>
    </row>
    <row r="821">
      <c r="A821" t="inlineStr">
        <is>
          <t>Attack Speed Buff Bonus % (Nimble Feet + Speed Infusion, duty-cycle averaged)</t>
        </is>
      </c>
      <c r="B821">
        <f>((C814=TRUE)*F814*IF(AND(Inputs!$B$38&lt;&gt;"pvp",Inputs!$B$43&gt;0),(((R814-1)*MIN((Skills!T23*(1+Inputs!$B$34/100)),(1/Q814))+MIN((Skills!T23*(1+Inputs!$B$34/100)),MAX(0,Inputs!$B$43-((R814-1)*(1/Q814)))))/Inputs!$B$43),IF(Inputs!$B$38="pvp",MIN((Skills!T23*(1+Inputs!$B$34/100)),15)/15,MIN(1,(Skills!T23*(1+Inputs!$B$34/100))/(1/Q814)))))+((C815=TRUE)*F815*IF(AND(Inputs!$B$38&lt;&gt;"pvp",Inputs!$B$43&gt;0),(((R815-1)*MIN((Skills!T24*(1+Inputs!$B$34/100)),(1/Q815))+MIN((Skills!T24*(1+Inputs!$B$34/100)),MAX(0,Inputs!$B$43-((R815-1)*(1/Q815)))))/Inputs!$B$43),IF(Inputs!$B$38="pvp",MIN((Skills!T24*(1+Inputs!$B$34/100)),15)/15,MIN(1,(Skills!T24*(1+Inputs!$B$34/100))/(1/Q815)))))</f>
        <v/>
      </c>
    </row>
    <row r="822">
      <c r="A822" t="inlineStr">
        <is>
          <t>Actions Per Second</t>
        </is>
      </c>
      <c r="B822">
        <f>1+MIN(150,150*(1-(1-(Inputs!$B$11+((C808=TRUE)*(F808-Calc!F17))+((C809=TRUE)*(F809-Calc!F18)))/150)*(1-B821/150)))/100</f>
        <v/>
      </c>
    </row>
    <row r="823">
      <c r="A823" t="inlineStr">
        <is>
          <t>Skill + Buff Cast Rate</t>
        </is>
      </c>
      <c r="B823">
        <f>IF(AND(Inputs!$B$38&lt;&gt;"pvp",Inputs!$B$43&gt;0),SUMPRODUCT((Skills!E2:E26=TRUE)*(C793:C817=TRUE)*R793:R817*Skills!F2:F26)/Inputs!$B$43,SUMPRODUCT((Skills!E2:E26=TRUE)*(C793:C817=TRUE)*Q793:Q817*Skills!F2:F26))</f>
        <v/>
      </c>
    </row>
    <row r="824">
      <c r="A824" t="inlineStr">
        <is>
          <t>Hook Bomber Casts Per Second</t>
        </is>
      </c>
      <c r="B824">
        <f>MAX(0,B822-B823)</f>
        <v/>
      </c>
    </row>
    <row r="825">
      <c r="A825" t="inlineStr">
        <is>
          <t>Global Critical Damage Bonus % (unused)</t>
        </is>
      </c>
      <c r="B825" t="n">
        <v>0</v>
      </c>
    </row>
    <row r="826">
      <c r="A826" t="inlineStr">
        <is>
          <t>Global Final Damage Bonus % (Serpent Scale + Crossbones + Time Leap + Speed Infusion)</t>
        </is>
      </c>
      <c r="B826">
        <f>((C796=TRUE)*(F796*B832+4*(1-B832)))+((C805=TRUE)*F805*IF(AND(Inputs!$B$38&lt;&gt;"pvp",Inputs!$B$43&gt;0),(((R805-1)*MIN((Skills!T14*(1+Inputs!$B$34/100)),(1/Q805))+MIN((Skills!T14*(1+Inputs!$B$34/100)),MAX(0,Inputs!$B$43-((R805-1)*(1/Q805)))))/Inputs!$B$43),IF(Inputs!$B$38="pvp",MIN((Skills!T14*(1+Inputs!$B$34/100)),15)/15,MIN(1,(Skills!T14*(1+Inputs!$B$34/100))/(1/Q805)))))+((C806=TRUE)*F806*IF(AND(Inputs!$B$38&lt;&gt;"pvp",Inputs!$B$43&gt;0),(((R806-1)*MIN((Skills!T15*(1+Inputs!$B$34/100)),(1/Q806))+MIN((Skills!T15*(1+Inputs!$B$34/100)),MAX(0,Inputs!$B$43-((R806-1)*(1/Q806)))))/Inputs!$B$43),IF(Inputs!$B$38="pvp",MIN((Skills!T15*(1+Inputs!$B$34/100)),15)/15,MIN(1,(Skills!T15*(1+Inputs!$B$34/100))/(1/Q806)))))+((C815=TRUE)*20*((1+MIN(150,150*(1-(1-(Inputs!$B$11+((C808=TRUE)*(F808-Calc!F17))+((C809=TRUE)*(F809-Calc!F18)))/150)*(1-(((C814=TRUE)*F814*IF(AND(Inputs!$B$38&lt;&gt;"pvp",Inputs!$B$43&gt;0),(((R814-1)*MIN((Skills!T23*(1+Inputs!$B$34/100)),(1/Q814))+MIN((Skills!T23*(1+Inputs!$B$34/100)),MAX(0,Inputs!$B$43-((R814-1)*(1/Q814)))))/Inputs!$B$43),IF(Inputs!$B$38="pvp",MIN((Skills!T23*(1+Inputs!$B$34/100)),15)/15,MIN(1,(Skills!T23*(1+Inputs!$B$34/100))/(1/Q814)))))+F815)/150)))/100)-1)*IF(AND(Inputs!$B$38&lt;&gt;"pvp",Inputs!$B$43&gt;0),(((R815-1)*MIN((Skills!T24*(1+Inputs!$B$34/100)),(1/Q815))+MIN((Skills!T24*(1+Inputs!$B$34/100)),MAX(0,Inputs!$B$43-((R815-1)*(1/Q815)))))/Inputs!$B$43),IF(Inputs!$B$38="pvp",MIN((Skills!T24*(1+Inputs!$B$34/100)),15)/15,MIN(1,(Skills!T24*(1+Inputs!$B$34/100))/(1/Q815)))))</f>
        <v/>
      </c>
    </row>
    <row r="827">
      <c r="A827" t="inlineStr">
        <is>
          <t>Buff-Casting Startup Delay (s, fixed-duration only)</t>
        </is>
      </c>
      <c r="B827">
        <f>IF(AND(Inputs!$B$38&lt;&gt;"pvp",Inputs!$B$43&gt;0),SUMPRODUCT((Skills!T2:T26&gt;0)*(Skills!E2:E26=TRUE)*(C793:C817=TRUE))/B822,0)</f>
        <v/>
      </c>
    </row>
    <row r="828">
      <c r="A828" t="inlineStr">
        <is>
          <t>Boss-Only Total DPS (this block's swept value)</t>
        </is>
      </c>
      <c r="B828">
        <f>SUM(T793:T817)</f>
        <v/>
      </c>
    </row>
    <row r="829">
      <c r="A829" t="inlineStr">
        <is>
          <t>Normal-Only Total DPS (this block's swept value)</t>
        </is>
      </c>
      <c r="B829">
        <f>SUM(V793:V817)</f>
        <v/>
      </c>
    </row>
    <row r="830">
      <c r="A830" s="6" t="inlineStr">
        <is>
          <t>TOTAL DPS</t>
        </is>
      </c>
      <c r="B830" s="6">
        <f>SUM(O793:O817)</f>
        <v/>
      </c>
    </row>
    <row r="831">
      <c r="A831" t="inlineStr">
        <is>
          <t>Serpent activation interval T (this block's own Hook Bomber rate)</t>
        </is>
      </c>
      <c r="B831">
        <f>((1/Q794)+IFERROR(0.5/B824,0))</f>
        <v/>
      </c>
    </row>
    <row r="832">
      <c r="A832" t="inlineStr">
        <is>
          <t>Assault Mode uptime u (this block)</t>
        </is>
      </c>
      <c r="B832">
        <f>IF(C796=TRUE,(10+IF(Inputs!$B$3&gt;=94,5,0))/((10+IF(Inputs!$B$3&gt;=94,5,0))+IF(Inputs!$B$3&gt;=104,3,5)*B831),0)</f>
        <v/>
      </c>
    </row>
    <row r="833">
      <c r="A833" t="inlineStr">
        <is>
          <t>Nautilus Strike - Final Attack trigger rate (this block's own Q/R)</t>
        </is>
      </c>
      <c r="B833">
        <f>IF(AND(Inputs!$B$38&lt;&gt;"pvp",Inputs!$B$43&gt;0),(((C797=TRUE)*R797)+((C798=TRUE)*R798)+((C801=TRUE)*R801))/Inputs!$B$43,((C797=TRUE)*Q797)+((C798=TRUE)*Q798)+((C801=TRUE)*Q801))+B824</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856=TRUE)*(F856-Calc!F20)),(Inputs!$B$23+0+(IF(ArtifactsInput!$M$15,CHOOSE(ArtifactsInput!$N$15+1,25,30,35,40,45,50)/100*(Inputs!$B$11-Inputs!$B$11),0))))/100+(Inputs!$B$23+0+(IF(ArtifactsInput!$M$15,CHOOSE(ArtifactsInput!$N$15+1,25,30,35,40,45,50)/100*(Inputs!$B$11-Inputs!$B$11),0)))/100)/2</f>
        <v/>
      </c>
      <c r="M838">
        <f>L838*(1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IF(B875=0,0,O838/B875)</f>
        <v/>
      </c>
      <c r="Q838" t="n">
        <v>0</v>
      </c>
      <c r="R838" t="n">
        <v>0</v>
      </c>
      <c r="S838">
        <f>IFERROR(O838/N838,0)</f>
        <v/>
      </c>
      <c r="T838">
        <f>IF(C838,(Skills!G2*N838*B869)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IF(C838,(Skills!G2*N838*B869)*IF(Inputs!$B$38="pvp",1,(1+(Inputs!$B$21+Skills!Q2+(IF(ArtifactsInput!$M$33,CHOOSE(ArtifactsInput!$N$33+1,30,36,42,48,54,60),0))+(IF(AND(ArtifactsInput!$M$35,Inputs!$B$4&lt;&gt;"Chapter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Inputs!$B$3&gt;=35</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f>Skills!G3*IF(Skills!H3&gt;0,Skills!I3/Skills!H3,1)</f>
        <v/>
      </c>
      <c r="H839">
        <f>1-(1-Skills!J3/100)^Skills!K3</f>
        <v/>
      </c>
      <c r="I839" t="inlineStr">
        <is>
          <t>1</t>
        </is>
      </c>
      <c r="J839">
        <f>((Inputs!$B$6*(1+Inputs!$B$7/100))+(((Inputs!$B$12*(1+Inputs!$B$13/100))-(Inputs!$B$12*(1+Inputs!$B$13/100)))+0.25*(Inputs!$B$14-Inputs!$B$14))*(1+Inputs!$B$7/100))*(F839/100)</f>
        <v/>
      </c>
      <c r="K839">
        <f>J839*(1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861=TRUE,F861,0)/100)*(1+(IF(Skills!A3="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856=TRUE)*(F856-Calc!F20)),(Inputs!$B$23+0+(IF(ArtifactsInput!$M$15,CHOOSE(ArtifactsInput!$N$15+1,25,30,35,40,45,50)/100*(Inputs!$B$11-Inputs!$B$11),0))))/100+(Inputs!$B$23+0+(IF(ArtifactsInput!$M$15,CHOOSE(ArtifactsInput!$N$15+1,25,30,35,40,45,50)/100*(Inputs!$B$11-Inputs!$B$11),0)))/100)/2</f>
        <v/>
      </c>
      <c r="M839">
        <f>L839*(1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IF(B875=0,0,O839/B875)</f>
        <v/>
      </c>
      <c r="Q839">
        <f>IFERROR(1/(IF(Inputs!$B$38="pvp",15,MAX(0.1,Skills!D3-IF(TRUE=TRUE,Inputs!$B$32,0)))*(1-IF(AND(ArtifactsInput!$M$27,Inputs!$B$4="Chapter Hunt"),CHOOSE(ArtifactsInput!$N$27+1,20,24,28,32,36,40),0)/100)),0)</f>
        <v/>
      </c>
      <c r="R839">
        <f>IF(AND(Inputs!$B$38&lt;&gt;"pvp",Inputs!$B$43&gt;0),IF(MAX(0,Inputs!$B$43-B872)&lt;=0,0,(INT(MAX(0,Inputs!$B$43-B872)/(IF(Inputs!$B$38="pvp",15,MAX(0.1,Skills!D3-IF(TRUE=TRUE,Inputs!$B$32,0)))*(1-IF(AND(ArtifactsInput!$M$27,Inputs!$B$4="Chapter Hunt"),CHOOSE(ArtifactsInput!$N$27+1,20,24,28,32,36,40),0)/100)))+1)),0)</f>
        <v/>
      </c>
      <c r="S839">
        <f>IFERROR(O839/N839,0)</f>
        <v/>
      </c>
      <c r="T839">
        <f>IF(C839,(Skills!G3*N839*IF(C840=TRUE,1-B877,1)/B876)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INDEX(FactorTable!$B$2:$Y$301, MATCH(ROUND(MIN(300,MAX(1,U838)),0), FactorTable!$A$2:$A$301,0), 22)</f>
        <v/>
      </c>
      <c r="V839">
        <f>IF(C839,(Skills!G3*N839*IF(C840=TRUE,1-B877,1)/B876)*IF(Inputs!$B$38="pvp",1,(1+(Inputs!$B$21+Skills!Q3+(IF(ArtifactsInput!$M$33,CHOOSE(ArtifactsInput!$N$33+1,30,36,42,48,54,60),0))+(IF(AND(ArtifactsInput!$M$35,Inputs!$B$4&lt;&gt;"Chapter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Skills!A4</f>
        <v/>
      </c>
      <c r="B840">
        <f>Skills!B4</f>
        <v/>
      </c>
      <c r="C840">
        <f>Inputs!$B$3&gt;=69</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f>Skills!G4*IF(Skills!H4&gt;0,Skills!I4/Skills!H4,1)</f>
        <v/>
      </c>
      <c r="H840">
        <f>1-(1-Skills!J4/100)^Skills!K4</f>
        <v/>
      </c>
      <c r="I840" t="inlineStr">
        <is>
          <t>1</t>
        </is>
      </c>
      <c r="J840">
        <f>((Inputs!$B$6*(1+Inputs!$B$7/100))+(((Inputs!$B$12*(1+Inputs!$B$13/100))-(Inputs!$B$12*(1+Inputs!$B$13/100)))+0.25*(Inputs!$B$14-Inputs!$B$14))*(1+Inputs!$B$7/100))*(F840/100)</f>
        <v/>
      </c>
      <c r="K840">
        <f>J840*(1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848=TRUE,F848,0)/100)*(1+(IF(Skills!A4="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856=TRUE)*(F856-Calc!F20)),(Inputs!$B$23+0+(IF(ArtifactsInput!$M$15,CHOOSE(ArtifactsInput!$N$15+1,25,30,35,40,45,50)/100*(Inputs!$B$11-Inputs!$B$11),0))))/100+(Inputs!$B$23+0+(IF(ArtifactsInput!$M$15,CHOOSE(ArtifactsInput!$N$15+1,25,30,35,40,45,50)/100*(Inputs!$B$11-Inputs!$B$11),0)))/100)/2</f>
        <v/>
      </c>
      <c r="M840">
        <f>L840*(1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IF(B875=0,0,O840/B875)</f>
        <v/>
      </c>
      <c r="Q840" t="n">
        <v>0</v>
      </c>
      <c r="R840" t="n">
        <v>0</v>
      </c>
      <c r="S840">
        <f>IFERROR(O840/N840,0)</f>
        <v/>
      </c>
      <c r="T840">
        <f>IF(C840,(Skills!G4*N840*B877/B876)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290*U839/1000</f>
        <v/>
      </c>
      <c r="V840">
        <f>IF(C840,(Skills!G4*N840*B877/B876)*IF(Inputs!$B$38="pvp",1,(1+(Inputs!$B$21+Skills!Q4+(IF(ArtifactsInput!$M$33,CHOOSE(ArtifactsInput!$N$33+1,30,36,42,48,54,60),0))+(IF(AND(ArtifactsInput!$M$35,Inputs!$B$4&lt;&gt;"Chapter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Skills!A5</f>
        <v/>
      </c>
      <c r="B841">
        <f>Skills!B5</f>
        <v/>
      </c>
      <c r="C841">
        <f>Inputs!$B$3&gt;=66</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t="inlineStr"/>
      <c r="K841" t="inlineStr"/>
      <c r="L841" t="inlineStr"/>
      <c r="M841" t="inlineStr"/>
      <c r="N841" t="inlineStr"/>
      <c r="O841">
        <f>(1-Summary!$B$11)*T841+Summary!$B$11*V841</f>
        <v/>
      </c>
      <c r="P841">
        <f>IF(B875=0,0,O841/B875)</f>
        <v/>
      </c>
      <c r="Q841" t="n">
        <v>0</v>
      </c>
      <c r="R841" t="n">
        <v>0</v>
      </c>
      <c r="S841">
        <f>IFERROR(O841/N841,0)</f>
        <v/>
      </c>
      <c r="T841" t="n">
        <v>0</v>
      </c>
      <c r="V841" t="n">
        <v>0</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848=TRUE,F848,0)/100)*(1+(IF(Skills!A6="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856=TRUE)*(F856-Calc!F20)),(Inputs!$B$23+0+(IF(ArtifactsInput!$M$15,CHOOSE(ArtifactsInput!$N$15+1,25,30,35,40,45,50)/100*(Inputs!$B$11-Inputs!$B$11),0))))/100+(Inputs!$B$23+0+(IF(ArtifactsInput!$M$15,CHOOSE(ArtifactsInput!$N$15+1,25,30,35,40,45,50)/100*(Inputs!$B$11-Inputs!$B$11),0)))/100)/2</f>
        <v/>
      </c>
      <c r="M842">
        <f>L842*(1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IF(B875=0,0,O842/B875)</f>
        <v/>
      </c>
      <c r="Q842">
        <f>IFERROR(1/(IF(Inputs!$B$38="pvp",15,MAX(0.1,Skills!D6-IF(TRUE=TRUE,Inputs!$B$32,0)))*(1-IF(AND(ArtifactsInput!$M$27,Inputs!$B$4="Chapter Hunt"),CHOOSE(ArtifactsInput!$N$27+1,20,24,28,32,36,40),0)/100)),0)</f>
        <v/>
      </c>
      <c r="R842">
        <f>IF(AND(Inputs!$B$38&lt;&gt;"pvp",Inputs!$B$43&gt;0),IF(MAX(0,Inputs!$B$43-B872)&lt;=0,0,(INT(MAX(0,Inputs!$B$43-B872)/(IF(Inputs!$B$38="pvp",15,MAX(0.1,Skills!D6-IF(TRUE=TRUE,Inputs!$B$32,0)))*(1-IF(AND(ArtifactsInput!$M$27,Inputs!$B$4="Chapter Hunt"),CHOOSE(ArtifactsInput!$N$27+1,20,24,28,32,36,40),0)/100)))+1)),0)</f>
        <v/>
      </c>
      <c r="S842">
        <f>IFERROR(O842/N842,0)</f>
        <v/>
      </c>
      <c r="T842">
        <f>IF(C842,(H842*N842*IF(AND(Inputs!$B$38&lt;&gt;"pvp",Inputs!$B$43&gt;0),((Skills!G6*((R842-1)*IF(Skills!H6&gt;0,Skills!I6/Skills!H6,1)+IF(Skills!H6&gt;0,MIN(Skills!I6,MAX(0,MAX(0,Inputs!$B$43-B872)-((R842-1)*(IF(Inputs!$B$38="pvp",15,MAX(0.1,Skills!D6-IF(TRUE=TRUE,Inputs!$B$32,0)))*(1-IF(AND(ArtifactsInput!$M$27,Inputs!$B$4="Chapter Hunt"),CHOOSE(ArtifactsInput!$N$27+1,20,24,28,32,36,40),0)/100)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872)-((R842-1)*(IF(Inputs!$B$38="pvp",15,MAX(0.1,Skills!D6-IF(TRUE=TRUE,Inputs!$B$32,0)))*(1-IF(AND(ArtifactsInput!$M$27,Inputs!$B$4="Chapter Hunt"),CHOOSE(ArtifactsInput!$N$27+1,20,24,28,32,36,40),0)/100)))))/Skills!H6,1)))/Inputs!$B$43),G842*Q842))*IF(Inputs!$B$38="pvp",1,(1+(Inputs!$B$21+Skills!Q6+(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Inputs!$B$3&gt;=103</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856=TRUE)*(F856-Calc!F20)),(Inputs!$B$23+0+(IF(ArtifactsInput!$M$15,CHOOSE(ArtifactsInput!$N$15+1,25,30,35,40,45,50)/100*(Inputs!$B$11-Inputs!$B$11),0))))/100+(Inputs!$B$23+0+(IF(ArtifactsInput!$M$15,CHOOSE(ArtifactsInput!$N$15+1,25,30,35,40,45,50)/100*(Inputs!$B$11-Inputs!$B$11),0)))/100)/2</f>
        <v/>
      </c>
      <c r="M843">
        <f>L843*(1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IF(B875=0,0,O843/B875)</f>
        <v/>
      </c>
      <c r="Q843">
        <f>IFERROR(1/(IF(Inputs!$B$38="pvp",15,MAX(0.1,Skills!D7-IF(TRUE=TRUE,Inputs!$B$32,0)))*(1-IF(AND(ArtifactsInput!$M$27,Inputs!$B$4="Chapter Hunt"),CHOOSE(ArtifactsInput!$N$27+1,20,24,28,32,36,40),0)/100)),0)</f>
        <v/>
      </c>
      <c r="R843">
        <f>IF(AND(Inputs!$B$38&lt;&gt;"pvp",Inputs!$B$43&gt;0),IF(MAX(0,Inputs!$B$43-B872)&lt;=0,0,(INT(MAX(0,Inputs!$B$43-B872)/(IF(Inputs!$B$38="pvp",15,MAX(0.1,Skills!D7-IF(TRUE=TRUE,Inputs!$B$32,0)))*(1-IF(AND(ArtifactsInput!$M$27,Inputs!$B$4="Chapter Hunt"),CHOOSE(ArtifactsInput!$N$27+1,20,24,28,32,36,40),0)/100)))+1)),0)</f>
        <v/>
      </c>
      <c r="S843">
        <f>IFERROR(O843/N843,0)</f>
        <v/>
      </c>
      <c r="T843">
        <f>IF(C843,(H843*N843*IF(AND(Inputs!$B$38&lt;&gt;"pvp",Inputs!$B$43&gt;0),((Skills!G7*((R843-1)*IF(Skills!H7&gt;0,Skills!I7/Skills!H7,1)+IF(Skills!H7&gt;0,MIN(Skills!I7,MAX(0,MAX(0,Inputs!$B$43-B872)-((R843-1)*(IF(Inputs!$B$38="pvp",15,MAX(0.1,Skills!D7-IF(TRUE=TRUE,Inputs!$B$32,0)))*(1-IF(AND(ArtifactsInput!$M$27,Inputs!$B$4="Chapter Hunt"),CHOOSE(ArtifactsInput!$N$27+1,20,24,28,32,36,40),0)/100)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872)-((R843-1)*(IF(Inputs!$B$38="pvp",15,MAX(0.1,Skills!D7-IF(TRUE=TRUE,Inputs!$B$32,0)))*(1-IF(AND(ArtifactsInput!$M$27,Inputs!$B$4="Chapter Hunt"),CHOOSE(ArtifactsInput!$N$27+1,20,24,28,32,36,40),0)/100)))))/Skills!H7,1)))/Inputs!$B$43),G843*Q843))*IF(Inputs!$B$38="pvp",1,(1+(Inputs!$B$21+Skills!Q7+(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Inputs!$B$3&gt;=117</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f>Skills!G8*IF(Skills!H8&gt;0,Skills!I8/Skills!H8,1)</f>
        <v/>
      </c>
      <c r="H844">
        <f>1-(1-Skills!J8/100)^Skills!K8</f>
        <v/>
      </c>
      <c r="I844" t="inlineStr">
        <is>
          <t>1</t>
        </is>
      </c>
      <c r="J844">
        <f>((Inputs!$B$6*(1+Inputs!$B$7/100))+(((Inputs!$B$12*(1+Inputs!$B$13/100))-(Inputs!$B$12*(1+Inputs!$B$13/100)))+0.25*(Inputs!$B$14-Inputs!$B$14))*(1+Inputs!$B$7/100))*(F844/100)</f>
        <v/>
      </c>
      <c r="K844">
        <f>J844*(1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844)</f>
        <v/>
      </c>
      <c r="L844">
        <f>K844*(MIN(Inputs!$B$22+((C856=TRUE)*(F856-Calc!F20)),(Inputs!$B$23+0+(IF(ArtifactsInput!$M$15,CHOOSE(ArtifactsInput!$N$15+1,25,30,35,40,45,50)/100*(Inputs!$B$11-Inputs!$B$11),0))))/100+(Inputs!$B$23+0+(IF(ArtifactsInput!$M$15,CHOOSE(ArtifactsInput!$N$15+1,25,30,35,40,45,50)/100*(Inputs!$B$11-Inputs!$B$11),0)))/100)/2</f>
        <v/>
      </c>
      <c r="M844">
        <f>L844*(1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4">
        <f>L844*(1-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844*(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4">
        <f>(1-Summary!$B$11)*T844+Summary!$B$11*V844</f>
        <v/>
      </c>
      <c r="P844">
        <f>IF(B875=0,0,O844/B875)</f>
        <v/>
      </c>
      <c r="Q844">
        <f>IFERROR(1/(IF(Inputs!$B$38="pvp",15,MAX(0.1,Skills!D8-IF(TRUE=TRUE,Inputs!$B$32,0)))*(1-IF(AND(ArtifactsInput!$M$27,Inputs!$B$4="Chapter Hunt"),CHOOSE(ArtifactsInput!$N$27+1,20,24,28,32,36,40),0)/100)),0)</f>
        <v/>
      </c>
      <c r="R844">
        <f>IF(AND(Inputs!$B$38&lt;&gt;"pvp",Inputs!$B$43&gt;0),IF(MAX(0,Inputs!$B$43-B872)&lt;=0,0,(INT(MAX(0,Inputs!$B$43-B872)/(IF(Inputs!$B$38="pvp",15,MAX(0.1,Skills!D8-IF(TRUE=TRUE,Inputs!$B$32,0)))*(1-IF(AND(ArtifactsInput!$M$27,Inputs!$B$4="Chapter Hunt"),CHOOSE(ArtifactsInput!$N$27+1,20,24,28,32,36,40),0)/100)))+1)),0)</f>
        <v/>
      </c>
      <c r="S844">
        <f>IFERROR(O844/N844,0)</f>
        <v/>
      </c>
      <c r="T844">
        <f>IF(C844,(H844*N844*IF(AND(Inputs!$B$38&lt;&gt;"pvp",Inputs!$B$43&gt;0),((Skills!G8*((R844-1)*IF(Skills!H8&gt;0,Skills!I8/Skills!H8,1)+IF(Skills!H8&gt;0,MIN(Skills!I8,MAX(0,MAX(0,Inputs!$B$43-B872)-((R844-1)*(IF(Inputs!$B$38="pvp",15,MAX(0.1,Skills!D8-IF(TRUE=TRUE,Inputs!$B$32,0)))*(1-IF(AND(ArtifactsInput!$M$27,Inputs!$B$4="Chapter Hunt"),CHOOSE(ArtifactsInput!$N$27+1,20,24,28,32,36,40),0)/100)))))/Skills!H8,1)))/Inputs!$B$43),G844*Q844)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844*(1-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844*(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844*(1-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844*(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4">
        <f>IF(C844,(H844*N844*IF(AND(Inputs!$B$38&lt;&gt;"pvp",Inputs!$B$43&gt;0),((Skills!G8*((R844-1)*IF(Skills!H8&gt;0,Skills!I8/Skills!H8,1)+IF(Skills!H8&gt;0,MIN(Skills!I8,MAX(0,MAX(0,Inputs!$B$43-B872)-((R844-1)*(IF(Inputs!$B$38="pvp",15,MAX(0.1,Skills!D8-IF(TRUE=TRUE,Inputs!$B$32,0)))*(1-IF(AND(ArtifactsInput!$M$27,Inputs!$B$4="Chapter Hunt"),CHOOSE(ArtifactsInput!$N$27+1,20,24,28,32,36,40),0)/100)))))/Skills!H8,1)))/Inputs!$B$43),G844*Q844))*IF(Inputs!$B$38="pvp",1,(1+(Inputs!$B$21+Skills!Q8+(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5">
      <c r="A845">
        <f>Skills!A9</f>
        <v/>
      </c>
      <c r="B845">
        <f>Skills!B9</f>
        <v/>
      </c>
      <c r="C845">
        <f>Inputs!$B$3&gt;=120</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B877</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856=TRUE)*(F856-Calc!F20)),(Inputs!$B$23+0+(IF(ArtifactsInput!$M$15,CHOOSE(ArtifactsInput!$N$15+1,25,30,35,40,45,50)/100*(Inputs!$B$11-Inputs!$B$11),0))))/100+(Inputs!$B$23+0+(IF(ArtifactsInput!$M$15,CHOOSE(ArtifactsInput!$N$15+1,25,30,35,40,45,50)/100*(Inputs!$B$11-Inputs!$B$11),0)))/100)/2</f>
        <v/>
      </c>
      <c r="M845">
        <f>L845*(1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IF(B875=0,0,O845/B875)</f>
        <v/>
      </c>
      <c r="Q845">
        <f>IFERROR(1/(IF(Inputs!$B$38="pvp",15,MAX(0.1,Skills!D9-IF(TRUE=TRUE,Inputs!$B$32,0)))*(1-IF(AND(ArtifactsInput!$M$27,Inputs!$B$4="Chapter Hunt"),CHOOSE(ArtifactsInput!$N$27+1,20,24,28,32,36,40),0)/100)),0)</f>
        <v/>
      </c>
      <c r="R845">
        <f>IF(AND(Inputs!$B$38&lt;&gt;"pvp",Inputs!$B$43&gt;0),IF(MAX(0,Inputs!$B$43-B872)&lt;=0,0,(INT(MAX(0,Inputs!$B$43-B872)/(IF(Inputs!$B$38="pvp",15,MAX(0.1,Skills!D9-IF(TRUE=TRUE,Inputs!$B$32,0)))*(1-IF(AND(ArtifactsInput!$M$27,Inputs!$B$4="Chapter Hunt"),CHOOSE(ArtifactsInput!$N$27+1,20,24,28,32,36,40),0)/100)))+1)),0)</f>
        <v/>
      </c>
      <c r="S845">
        <f>IFERROR(O845/N845,0)</f>
        <v/>
      </c>
      <c r="T845">
        <f>IF(C845,(H845*N845*IF(AND(Inputs!$B$38&lt;&gt;"pvp",Inputs!$B$43&gt;0),((Skills!G9*((R845-1)*IF(Skills!H9&gt;0,Skills!I9/Skills!H9,1)+IF(Skills!H9&gt;0,MIN(Skills!I9,MAX(0,MAX(0,Inputs!$B$43-B872)-((R845-1)*(IF(Inputs!$B$38="pvp",15,MAX(0.1,Skills!D9-IF(TRUE=TRUE,Inputs!$B$32,0)))*(1-IF(AND(ArtifactsInput!$M$27,Inputs!$B$4="Chapter Hunt"),CHOOSE(ArtifactsInput!$N$27+1,20,24,28,32,36,40),0)/100)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872)-((R845-1)*(IF(Inputs!$B$38="pvp",15,MAX(0.1,Skills!D9-IF(TRUE=TRUE,Inputs!$B$32,0)))*(1-IF(AND(ArtifactsInput!$M$27,Inputs!$B$4="Chapter Hunt"),CHOOSE(ArtifactsInput!$N$27+1,20,24,28,32,36,40),0)/100)))))/Skills!H9,1)))/Inputs!$B$43),G845*Q845))*IF(Inputs!$B$38="pvp",1,(1+(Inputs!$B$21+Skills!Q9+(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Inputs!$B$3&gt;=105</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856=TRUE)*(F856-Calc!F20)),(Inputs!$B$23+0+(IF(ArtifactsInput!$M$15,CHOOSE(ArtifactsInput!$N$15+1,25,30,35,40,45,50)/100*(Inputs!$B$11-Inputs!$B$11),0))))/100+(Inputs!$B$23+0+(IF(ArtifactsInput!$M$15,CHOOSE(ArtifactsInput!$N$15+1,25,30,35,40,45,50)/100*(Inputs!$B$11-Inputs!$B$11),0)))/100)/2</f>
        <v/>
      </c>
      <c r="M846">
        <f>L846*(1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IF(B875=0,0,O846/B875)</f>
        <v/>
      </c>
      <c r="Q846">
        <f>IFERROR(1/(IF(Inputs!$B$38="pvp",15,MAX(0.1,Skills!D10-IF(TRUE=TRUE,Inputs!$B$32,0)))*(1-IF(AND(ArtifactsInput!$M$27,Inputs!$B$4="Chapter Hunt"),CHOOSE(ArtifactsInput!$N$27+1,20,24,28,32,36,40),0)/100)),0)</f>
        <v/>
      </c>
      <c r="R846">
        <f>IF(AND(Inputs!$B$38&lt;&gt;"pvp",Inputs!$B$43&gt;0),IF(MAX(0,Inputs!$B$43-B872)&lt;=0,0,(INT(MAX(0,Inputs!$B$43-B872)/(IF(Inputs!$B$38="pvp",15,MAX(0.1,Skills!D10-IF(TRUE=TRUE,Inputs!$B$32,0)))*(1-IF(AND(ArtifactsInput!$M$27,Inputs!$B$4="Chapter Hunt"),CHOOSE(ArtifactsInput!$N$27+1,20,24,28,32,36,40),0)/100)))+1)),0)</f>
        <v/>
      </c>
      <c r="S846">
        <f>IFERROR(O846/N846,0)</f>
        <v/>
      </c>
      <c r="T846">
        <f>IF(C846,(H846*N846*IF(AND(Inputs!$B$38&lt;&gt;"pvp",Inputs!$B$43&gt;0),((Skills!G10*((R846-1)*IF(Skills!H10&gt;0,Skills!I10/Skills!H10,1)+IF(Skills!H10&gt;0,MIN(Skills!I10,MAX(0,MAX(0,Inputs!$B$43-B872)-((R846-1)*(IF(Inputs!$B$38="pvp",15,MAX(0.1,Skills!D10-IF(TRUE=TRUE,Inputs!$B$32,0)))*(1-IF(AND(ArtifactsInput!$M$27,Inputs!$B$4="Chapter Hunt"),CHOOSE(ArtifactsInput!$N$27+1,20,24,28,32,36,40),0)/100)))))/Skills!H10,1)))/Inputs!$B$43),G846*Q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H846*N846*IF(AND(Inputs!$B$38&lt;&gt;"pvp",Inputs!$B$43&gt;0),((Skills!G10*((R846-1)*IF(Skills!H10&gt;0,Skills!I10/Skills!H10,1)+IF(Skills!H10&gt;0,MIN(Skills!I10,MAX(0,MAX(0,Inputs!$B$43-B872)-((R846-1)*(IF(Inputs!$B$38="pvp",15,MAX(0.1,Skills!D10-IF(TRUE=TRUE,Inputs!$B$32,0)))*(1-IF(AND(ArtifactsInput!$M$27,Inputs!$B$4="Chapter Hunt"),CHOOSE(ArtifactsInput!$N$27+1,20,24,28,32,36,40),0)/100)))))/Skills!H10,1)))/Inputs!$B$43),G846*Q846))*IF(Inputs!$B$38="pvp",1,(1+(Inputs!$B$21+Skills!Q10+(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Inputs!$B$3&gt;=113</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856=TRUE)*(F856-Calc!F20)),(Inputs!$B$23+0+(IF(ArtifactsInput!$M$15,CHOOSE(ArtifactsInput!$N$15+1,25,30,35,40,45,50)/100*(Inputs!$B$11-Inputs!$B$11),0))))/100+(Inputs!$B$23+0+(IF(ArtifactsInput!$M$15,CHOOSE(ArtifactsInput!$N$15+1,25,30,35,40,45,50)/100*(Inputs!$B$11-Inputs!$B$11),0)))/100)/2</f>
        <v/>
      </c>
      <c r="M847">
        <f>L847*(1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IF(B875=0,0,O847/B875)</f>
        <v/>
      </c>
      <c r="Q847" t="n">
        <v>0</v>
      </c>
      <c r="R847" t="n">
        <v>0</v>
      </c>
      <c r="S847">
        <f>IFERROR(O847/N847,0)</f>
        <v/>
      </c>
      <c r="T847">
        <f>IF(C847,((H847*B878)/(1+Skills!H11*H847*B878)*N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IF(C847,((H847*B878)/(1+Skills!H11*H847*B878)*N847)*IF(Inputs!$B$38="pvp",1,(1+(Inputs!$B$21+Skills!Q11+(IF(ArtifactsInput!$M$33,CHOOSE(ArtifactsInput!$N$33+1,30,36,42,48,54,60),0))+(IF(AND(ArtifactsInput!$M$35,Inputs!$B$4&lt;&gt;"Chapter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Inputs!$B$3&gt;=100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t="inlineStr"/>
      <c r="H848" t="inlineStr"/>
      <c r="I848" t="inlineStr">
        <is>
          <t>1</t>
        </is>
      </c>
      <c r="J848" t="inlineStr"/>
      <c r="K848" t="inlineStr"/>
      <c r="L848" t="inlineStr"/>
      <c r="M848" t="inlineStr"/>
      <c r="N848" t="inlineStr"/>
      <c r="O848" t="inlineStr"/>
      <c r="P848" t="inlineStr"/>
      <c r="Q848" t="inlineStr"/>
      <c r="R848" t="inlineStr"/>
      <c r="S848" t="inlineStr"/>
      <c r="T848" t="inlineStr"/>
      <c r="V848" t="inlineStr"/>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IF(B875=0,0,O849/B875)</f>
        <v/>
      </c>
      <c r="Q849" t="n">
        <v>0</v>
      </c>
      <c r="R849" t="n">
        <v>0</v>
      </c>
      <c r="S849">
        <f>IFERROR(O849/N849,0)</f>
        <v/>
      </c>
      <c r="T849" t="n">
        <v>0</v>
      </c>
      <c r="V849" t="n">
        <v>0</v>
      </c>
    </row>
    <row r="850">
      <c r="A850">
        <f>Skills!A14</f>
        <v/>
      </c>
      <c r="B850">
        <f>Skills!B14</f>
        <v/>
      </c>
      <c r="C850">
        <f>Inputs!$B$3&gt;=115</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IF(B875=0,0,O850/B875)</f>
        <v/>
      </c>
      <c r="Q850">
        <f>IFERROR(1/(IF(Inputs!$B$38="pvp",15,MAX(0.1,Skills!D14-IF(TRUE=TRUE,Inputs!$B$32,0)))*(1-IF(AND(ArtifactsInput!$M$27,Inputs!$B$4="Chapter Hunt"),CHOOSE(ArtifactsInput!$N$27+1,20,24,28,32,36,40),0)/100)),0)</f>
        <v/>
      </c>
      <c r="R850">
        <f>IF(AND(Inputs!$B$38&lt;&gt;"pvp",Inputs!$B$43&gt;0),IF(Inputs!$B$43&lt;=0,0,(INT(Inputs!$B$43/(IF(Inputs!$B$38="pvp",15,MAX(0.1,Skills!D14-IF(TRUE=TRUE,Inputs!$B$32,0)))*(1-IF(AND(ArtifactsInput!$M$27,Inputs!$B$4="Chapter Hunt"),CHOOSE(ArtifactsInput!$N$27+1,20,24,28,32,36,40),0)/100)))+1)),0)</f>
        <v/>
      </c>
      <c r="S850">
        <f>IFERROR(O850/N850,0)</f>
        <v/>
      </c>
      <c r="T850" t="n">
        <v>0</v>
      </c>
      <c r="V850" t="n">
        <v>0</v>
      </c>
    </row>
    <row r="851">
      <c r="A851">
        <f>Skills!A15</f>
        <v/>
      </c>
      <c r="B851">
        <f>Skills!B15</f>
        <v/>
      </c>
      <c r="C851">
        <f>Inputs!$B$3&gt;=125</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IF(B875=0,0,O851/B875)</f>
        <v/>
      </c>
      <c r="Q851">
        <f>IFERROR(1/(IF(Inputs!$B$38="pvp",15,MAX(0.1,Skills!D15-IF(TRUE=TRUE,Inputs!$B$32,0)))*(1-IF(AND(ArtifactsInput!$M$27,Inputs!$B$4="Chapter Hunt"),CHOOSE(ArtifactsInput!$N$27+1,20,24,28,32,36,40),0)/100)),0)</f>
        <v/>
      </c>
      <c r="R851">
        <f>IF(AND(Inputs!$B$38&lt;&gt;"pvp",Inputs!$B$43&gt;0),IF(Inputs!$B$43&lt;=0,0,(INT(Inputs!$B$43/(IF(Inputs!$B$38="pvp",15,MAX(0.1,Skills!D15-IF(TRUE=TRUE,Inputs!$B$32,0)))*(1-IF(AND(ArtifactsInput!$M$27,Inputs!$B$4="Chapter Hunt"),CHOOSE(ArtifactsInput!$N$27+1,20,24,28,32,36,40),0)/100)))+1)),0)</f>
        <v/>
      </c>
      <c r="S851">
        <f>IFERROR(O851/N851,0)</f>
        <v/>
      </c>
      <c r="T851" t="n">
        <v>0</v>
      </c>
      <c r="V851" t="n">
        <v>0</v>
      </c>
    </row>
    <row r="852">
      <c r="A852">
        <f>Skills!A16</f>
        <v/>
      </c>
      <c r="B852">
        <f>Skills!B16</f>
        <v/>
      </c>
      <c r="C852">
        <f>Inputs!$B$3&gt;=10</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IF(B875=0,0,O852/B875)</f>
        <v/>
      </c>
      <c r="Q852" t="n">
        <v>0</v>
      </c>
      <c r="R852" t="n">
        <v>0</v>
      </c>
      <c r="S852">
        <f>IFERROR(O852/N852,0)</f>
        <v/>
      </c>
      <c r="T852" t="n">
        <v>0</v>
      </c>
      <c r="V852" t="n">
        <v>0</v>
      </c>
    </row>
    <row r="853">
      <c r="A853">
        <f>Skills!A17</f>
        <v/>
      </c>
      <c r="B853">
        <f>Skills!B17</f>
        <v/>
      </c>
      <c r="C853">
        <f>Inputs!$B$3&gt;=15</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IF(B875=0,0,O853/B875)</f>
        <v/>
      </c>
      <c r="Q853" t="n">
        <v>0</v>
      </c>
      <c r="R853" t="n">
        <v>0</v>
      </c>
      <c r="S853">
        <f>IFERROR(O853/N853,0)</f>
        <v/>
      </c>
      <c r="T853" t="n">
        <v>0</v>
      </c>
      <c r="V853" t="n">
        <v>0</v>
      </c>
    </row>
    <row r="854">
      <c r="A854">
        <f>Skills!A18</f>
        <v/>
      </c>
      <c r="B854">
        <f>Skills!B18</f>
        <v/>
      </c>
      <c r="C854">
        <f>Inputs!$B$3&gt;=33</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IF(B875=0,0,O854/B875)</f>
        <v/>
      </c>
      <c r="Q854" t="n">
        <v>0</v>
      </c>
      <c r="R854" t="n">
        <v>0</v>
      </c>
      <c r="S854">
        <f>IFERROR(O854/N854,0)</f>
        <v/>
      </c>
      <c r="T854" t="n">
        <v>0</v>
      </c>
      <c r="V854" t="n">
        <v>0</v>
      </c>
    </row>
    <row r="855">
      <c r="A855">
        <f>Skills!A19</f>
        <v/>
      </c>
      <c r="B855">
        <f>Skills!B19</f>
        <v/>
      </c>
      <c r="C855">
        <f>Inputs!$B$3&gt;=40</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IF(B875=0,0,O855/B875)</f>
        <v/>
      </c>
      <c r="Q855" t="n">
        <v>0</v>
      </c>
      <c r="R855" t="n">
        <v>0</v>
      </c>
      <c r="S855">
        <f>IFERROR(O855/N855,0)</f>
        <v/>
      </c>
      <c r="T855" t="n">
        <v>0</v>
      </c>
      <c r="V855" t="n">
        <v>0</v>
      </c>
    </row>
    <row r="856">
      <c r="A856">
        <f>Skills!A20</f>
        <v/>
      </c>
      <c r="B856">
        <f>Skills!B20</f>
        <v/>
      </c>
      <c r="C856">
        <f>Inputs!$B$3&gt;=43</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IF(B875=0,0,O856/B875)</f>
        <v/>
      </c>
      <c r="Q856" t="n">
        <v>0</v>
      </c>
      <c r="R856" t="n">
        <v>0</v>
      </c>
      <c r="S856">
        <f>IFERROR(O856/N856,0)</f>
        <v/>
      </c>
      <c r="T856" t="n">
        <v>0</v>
      </c>
      <c r="V856" t="n">
        <v>0</v>
      </c>
    </row>
    <row r="857">
      <c r="A857">
        <f>Skills!A21</f>
        <v/>
      </c>
      <c r="B857">
        <f>Skills!B21</f>
        <v/>
      </c>
      <c r="C857">
        <f>Inputs!$B$3&gt;=38</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IF(B875=0,0,O857/B875)</f>
        <v/>
      </c>
      <c r="Q857" t="n">
        <v>0</v>
      </c>
      <c r="R857" t="n">
        <v>0</v>
      </c>
      <c r="S857">
        <f>IFERROR(O857/N857,0)</f>
        <v/>
      </c>
      <c r="T857" t="n">
        <v>0</v>
      </c>
      <c r="V857" t="n">
        <v>0</v>
      </c>
    </row>
    <row r="858">
      <c r="A858">
        <f>Skills!A22</f>
        <v/>
      </c>
      <c r="B858">
        <f>Skills!B22</f>
        <v/>
      </c>
      <c r="C858">
        <f>Inputs!$B$3&gt;=75</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IF(B875=0,0,O858/B875)</f>
        <v/>
      </c>
      <c r="Q858" t="n">
        <v>0</v>
      </c>
      <c r="R858" t="n">
        <v>0</v>
      </c>
      <c r="S858">
        <f>IFERROR(O858/N858,0)</f>
        <v/>
      </c>
      <c r="T858" t="n">
        <v>0</v>
      </c>
      <c r="V858" t="n">
        <v>0</v>
      </c>
    </row>
    <row r="859">
      <c r="A859">
        <f>Skills!A23</f>
        <v/>
      </c>
      <c r="B859">
        <f>Skills!B23</f>
        <v/>
      </c>
      <c r="C859">
        <f>TRUE</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IF(B875=0,0,O859/B875)</f>
        <v/>
      </c>
      <c r="Q859">
        <f>IFERROR(1/(IF(Inputs!$B$38="pvp",15,MAX(0.1,Skills!D23-IF(TRUE=TRUE,Inputs!$B$32,0)))*(1-IF(AND(ArtifactsInput!$M$27,Inputs!$B$4="Chapter Hunt"),CHOOSE(ArtifactsInput!$N$27+1,20,24,28,32,36,40),0)/100)),0)</f>
        <v/>
      </c>
      <c r="R859">
        <f>IF(AND(Inputs!$B$38&lt;&gt;"pvp",Inputs!$B$43&gt;0),IF(Inputs!$B$43&lt;=0,0,(INT(Inputs!$B$43/(IF(Inputs!$B$38="pvp",15,MAX(0.1,Skills!D23-IF(TRUE=TRUE,Inputs!$B$32,0)))*(1-IF(AND(ArtifactsInput!$M$27,Inputs!$B$4="Chapter Hunt"),CHOOSE(ArtifactsInput!$N$27+1,20,24,28,32,36,40),0)/100)))+1)),0)</f>
        <v/>
      </c>
      <c r="S859">
        <f>IFERROR(O859/N859,0)</f>
        <v/>
      </c>
      <c r="T859" t="n">
        <v>0</v>
      </c>
      <c r="V859" t="n">
        <v>0</v>
      </c>
    </row>
    <row r="860">
      <c r="A860">
        <f>Skills!A24</f>
        <v/>
      </c>
      <c r="B860">
        <f>Skills!B24</f>
        <v/>
      </c>
      <c r="C860">
        <f>Inputs!$B$3&gt;=107</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IF(B875=0,0,O860/B875)</f>
        <v/>
      </c>
      <c r="Q860">
        <f>IFERROR(1/(IF(Inputs!$B$38="pvp",15,MAX(0.1,Skills!D24-IF(TRUE=TRUE,Inputs!$B$32,0)))*(1-IF(AND(ArtifactsInput!$M$27,Inputs!$B$4="Chapter Hunt"),CHOOSE(ArtifactsInput!$N$27+1,20,24,28,32,36,40),0)/100)),0)</f>
        <v/>
      </c>
      <c r="R860">
        <f>IF(AND(Inputs!$B$38&lt;&gt;"pvp",Inputs!$B$43&gt;0),IF(Inputs!$B$43&lt;=0,0,(INT(Inputs!$B$43/(IF(Inputs!$B$38="pvp",15,MAX(0.1,Skills!D24-IF(TRUE=TRUE,Inputs!$B$32,0)))*(1-IF(AND(ArtifactsInput!$M$27,Inputs!$B$4="Chapter Hunt"),CHOOSE(ArtifactsInput!$N$27+1,20,24,28,32,36,40),0)/100)))+1)),0)</f>
        <v/>
      </c>
      <c r="S860">
        <f>IFERROR(O860/N860,0)</f>
        <v/>
      </c>
      <c r="T860" t="n">
        <v>0</v>
      </c>
      <c r="V860" t="n">
        <v>0</v>
      </c>
    </row>
    <row r="861">
      <c r="A861">
        <f>Skills!A25</f>
        <v/>
      </c>
      <c r="B861">
        <f>Skills!B25</f>
        <v/>
      </c>
      <c r="C861">
        <f>Inputs!$B$3&gt;=110</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t="inlineStr"/>
      <c r="H861" t="inlineStr"/>
      <c r="I861" t="inlineStr">
        <is>
          <t>1</t>
        </is>
      </c>
      <c r="J861" t="inlineStr"/>
      <c r="K861" t="inlineStr"/>
      <c r="L861" t="inlineStr"/>
      <c r="M861" t="inlineStr"/>
      <c r="N861" t="inlineStr"/>
      <c r="O861" t="inlineStr"/>
      <c r="P861" t="inlineStr"/>
      <c r="Q861" t="inlineStr"/>
      <c r="R861" t="inlineStr"/>
      <c r="S861" t="inlineStr"/>
      <c r="T861" t="inlineStr"/>
      <c r="V861" t="inlineStr"/>
    </row>
    <row r="862">
      <c r="A862">
        <f>Skills!A26</f>
        <v/>
      </c>
      <c r="B862">
        <f>Skills!B26</f>
        <v/>
      </c>
      <c r="C862">
        <f>Inputs!$B$3&gt;=117</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t="inlineStr"/>
      <c r="H862" t="inlineStr"/>
      <c r="I862" t="inlineStr">
        <is>
          <t>1</t>
        </is>
      </c>
      <c r="J862" t="inlineStr"/>
      <c r="K862" t="inlineStr"/>
      <c r="L862" t="inlineStr"/>
      <c r="M862" t="inlineStr"/>
      <c r="N862" t="inlineStr"/>
      <c r="O862" t="inlineStr"/>
      <c r="P862" t="inlineStr"/>
      <c r="Q862" t="inlineStr"/>
      <c r="R862" t="inlineStr"/>
      <c r="S862" t="inlineStr"/>
      <c r="T862" t="inlineStr"/>
      <c r="V862" t="inlineStr"/>
    </row>
    <row r="864">
      <c r="A864" t="inlineStr">
        <is>
          <t>Attack% Bucket Multiplier</t>
        </is>
      </c>
      <c r="B864">
        <f>(1+(((C849=TRUE)*F849*5/7)+((C855=TRUE)*(F855-Calc!F19))+(IF(ArtifactsInput!$M$21,CHOOSE(ArtifactsInput!$N$21+1,25,30,35,40,45,50)*(IF(OR(Inputs!$B$4="Chapter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5">
      <c r="A865" t="inlineStr">
        <is>
          <t>Global Crit Rate Bonus %</t>
        </is>
      </c>
      <c r="B865" t="n">
        <v>0</v>
      </c>
    </row>
    <row r="866">
      <c r="A866" t="inlineStr">
        <is>
          <t>Attack Speed Buff Bonus % (Nimble Feet + Speed Infusion, duty-cycle averaged)</t>
        </is>
      </c>
      <c r="B866">
        <f>((C859=TRUE)*F859*IF(AND(Inputs!$B$38&lt;&gt;"pvp",Inputs!$B$43&gt;0),(((R859-1)*MIN((Skills!T23*(1+Inputs!$B$34/100)),(1/Q859))+MIN((Skills!T23*(1+Inputs!$B$34/100)),MAX(0,Inputs!$B$43-((R859-1)*(1/Q859)))))/Inputs!$B$43),IF(Inputs!$B$38="pvp",MIN((Skills!T23*(1+Inputs!$B$34/100)),15)/15,MIN(1,(Skills!T23*(1+Inputs!$B$34/100))/(1/Q859)))))+((C860=TRUE)*F860*IF(AND(Inputs!$B$38&lt;&gt;"pvp",Inputs!$B$43&gt;0),(((R860-1)*MIN((Skills!T24*(1+Inputs!$B$34/100)),(1/Q860))+MIN((Skills!T24*(1+Inputs!$B$34/100)),MAX(0,Inputs!$B$43-((R860-1)*(1/Q860)))))/Inputs!$B$43),IF(Inputs!$B$38="pvp",MIN((Skills!T24*(1+Inputs!$B$34/100)),15)/15,MIN(1,(Skills!T24*(1+Inputs!$B$34/100))/(1/Q860)))))</f>
        <v/>
      </c>
    </row>
    <row r="867">
      <c r="A867" t="inlineStr">
        <is>
          <t>Actions Per Second</t>
        </is>
      </c>
      <c r="B867">
        <f>1+MIN(150,150*(1-(1-(Inputs!$B$11+((C853=TRUE)*(F853-Calc!F17))+((C854=TRUE)*(F854-Calc!F18)))/150)*(1-B866/150)))/100</f>
        <v/>
      </c>
    </row>
    <row r="868">
      <c r="A868" t="inlineStr">
        <is>
          <t>Skill + Buff Cast Rate</t>
        </is>
      </c>
      <c r="B868">
        <f>IF(AND(Inputs!$B$38&lt;&gt;"pvp",Inputs!$B$43&gt;0),SUMPRODUCT((Skills!E2:E26=TRUE)*(C838:C862=TRUE)*R838:R862*Skills!F2:F26)/Inputs!$B$43,SUMPRODUCT((Skills!E2:E26=TRUE)*(C838:C862=TRUE)*Q838:Q862*Skills!F2:F26))</f>
        <v/>
      </c>
    </row>
    <row r="869">
      <c r="A869" t="inlineStr">
        <is>
          <t>Hook Bomber Casts Per Second</t>
        </is>
      </c>
      <c r="B869">
        <f>MAX(0,B867-B868)</f>
        <v/>
      </c>
    </row>
    <row r="870">
      <c r="A870" t="inlineStr">
        <is>
          <t>Global Critical Damage Bonus % (unused)</t>
        </is>
      </c>
      <c r="B870" t="n">
        <v>0</v>
      </c>
    </row>
    <row r="871">
      <c r="A871" t="inlineStr">
        <is>
          <t>Global Final Damage Bonus % (Serpent Scale + Crossbones + Time Leap + Speed Infusion)</t>
        </is>
      </c>
      <c r="B871">
        <f>((C841=TRUE)*(F841*B877+4*(1-B877)))+((C850=TRUE)*F850*IF(AND(Inputs!$B$38&lt;&gt;"pvp",Inputs!$B$43&gt;0),(((R850-1)*MIN((Skills!T14*(1+Inputs!$B$34/100)),(1/Q850))+MIN((Skills!T14*(1+Inputs!$B$34/100)),MAX(0,Inputs!$B$43-((R850-1)*(1/Q850)))))/Inputs!$B$43),IF(Inputs!$B$38="pvp",MIN((Skills!T14*(1+Inputs!$B$34/100)),15)/15,MIN(1,(Skills!T14*(1+Inputs!$B$34/100))/(1/Q850)))))+((C851=TRUE)*F851*IF(AND(Inputs!$B$38&lt;&gt;"pvp",Inputs!$B$43&gt;0),(((R851-1)*MIN((Skills!T15*(1+Inputs!$B$34/100)),(1/Q851))+MIN((Skills!T15*(1+Inputs!$B$34/100)),MAX(0,Inputs!$B$43-((R851-1)*(1/Q851)))))/Inputs!$B$43),IF(Inputs!$B$38="pvp",MIN((Skills!T15*(1+Inputs!$B$34/100)),15)/15,MIN(1,(Skills!T15*(1+Inputs!$B$34/100))/(1/Q851)))))+((C860=TRUE)*20*((1+MIN(150,150*(1-(1-(Inputs!$B$11+((C853=TRUE)*(F853-Calc!F17))+((C854=TRUE)*(F854-Calc!F18)))/150)*(1-(((C859=TRUE)*F859*IF(AND(Inputs!$B$38&lt;&gt;"pvp",Inputs!$B$43&gt;0),(((R859-1)*MIN((Skills!T23*(1+Inputs!$B$34/100)),(1/Q859))+MIN((Skills!T23*(1+Inputs!$B$34/100)),MAX(0,Inputs!$B$43-((R859-1)*(1/Q859)))))/Inputs!$B$43),IF(Inputs!$B$38="pvp",MIN((Skills!T23*(1+Inputs!$B$34/100)),15)/15,MIN(1,(Skills!T23*(1+Inputs!$B$34/100))/(1/Q859)))))+F860)/150)))/100)-1)*IF(AND(Inputs!$B$38&lt;&gt;"pvp",Inputs!$B$43&gt;0),(((R860-1)*MIN((Skills!T24*(1+Inputs!$B$34/100)),(1/Q860))+MIN((Skills!T24*(1+Inputs!$B$34/100)),MAX(0,Inputs!$B$43-((R860-1)*(1/Q860)))))/Inputs!$B$43),IF(Inputs!$B$38="pvp",MIN((Skills!T24*(1+Inputs!$B$34/100)),15)/15,MIN(1,(Skills!T24*(1+Inputs!$B$34/100))/(1/Q860)))))</f>
        <v/>
      </c>
    </row>
    <row r="872">
      <c r="A872" t="inlineStr">
        <is>
          <t>Buff-Casting Startup Delay (s, fixed-duration only)</t>
        </is>
      </c>
      <c r="B872">
        <f>IF(AND(Inputs!$B$38&lt;&gt;"pvp",Inputs!$B$43&gt;0),SUMPRODUCT((Skills!T2:T26&gt;0)*(Skills!E2:E26=TRUE)*(C838:C862=TRUE))/B867,0)</f>
        <v/>
      </c>
    </row>
    <row r="873">
      <c r="A873" t="inlineStr">
        <is>
          <t>Boss-Only Total DPS (this block's swept value)</t>
        </is>
      </c>
      <c r="B873">
        <f>SUM(T838:T862)</f>
        <v/>
      </c>
    </row>
    <row r="874">
      <c r="A874" t="inlineStr">
        <is>
          <t>Normal-Only Total DPS (this block's swept value)</t>
        </is>
      </c>
      <c r="B874">
        <f>SUM(V838:V862)</f>
        <v/>
      </c>
    </row>
    <row r="875">
      <c r="A875" s="6" t="inlineStr">
        <is>
          <t>TOTAL DPS</t>
        </is>
      </c>
      <c r="B875" s="6">
        <f>SUM(O838:O862)</f>
        <v/>
      </c>
    </row>
    <row r="876">
      <c r="A876" t="inlineStr">
        <is>
          <t>Serpent activation interval T (this block's own Hook Bomber rate)</t>
        </is>
      </c>
      <c r="B876">
        <f>((1/Q839)+IFERROR(0.5/B869,0))</f>
        <v/>
      </c>
    </row>
    <row r="877">
      <c r="A877" t="inlineStr">
        <is>
          <t>Assault Mode uptime u (this block)</t>
        </is>
      </c>
      <c r="B877">
        <f>IF(C841=TRUE,(10+IF(Inputs!$B$3&gt;=94,5,0))/((10+IF(Inputs!$B$3&gt;=94,5,0))+IF(Inputs!$B$3&gt;=104,3,5)*B876),0)</f>
        <v/>
      </c>
    </row>
    <row r="878">
      <c r="A878" t="inlineStr">
        <is>
          <t>Nautilus Strike - Final Attack trigger rate (this block's own Q/R)</t>
        </is>
      </c>
      <c r="B878">
        <f>IF(AND(Inputs!$B$38&lt;&gt;"pvp",Inputs!$B$43&gt;0),(((C842=TRUE)*R842)+((C843=TRUE)*R843)+((C846=TRUE)*R846))/Inputs!$B$43,((C842=TRUE)*Q842)+((C843=TRUE)*Q843)+((C846=TRUE)*Q846))+B869</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901=TRUE)*(F901-Calc!F20)),(Inputs!$B$23+0+(IF(ArtifactsInput!$M$15,CHOOSE(ArtifactsInput!$N$15+1,25,30,35,40,45,50)/100*(Inputs!$B$11-Inputs!$B$11),0))))/100+(Inputs!$B$23+0+(IF(ArtifactsInput!$M$15,CHOOSE(ArtifactsInput!$N$15+1,25,30,35,40,45,50)/100*(Inputs!$B$11-Inputs!$B$11),0)))/100)/2</f>
        <v/>
      </c>
      <c r="M883">
        <f>L883*(1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IF(B920=0,0,O883/B920)</f>
        <v/>
      </c>
      <c r="Q883" t="n">
        <v>0</v>
      </c>
      <c r="R883" t="n">
        <v>0</v>
      </c>
      <c r="S883">
        <f>IFERROR(O883/N883,0)</f>
        <v/>
      </c>
      <c r="T883">
        <f>IF(C883,(Skills!G2*N883*B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IF(C883,(Skills!G2*N883*B914)*IF(Inputs!$B$38="pvp",1,(1+(Inputs!$B$21+Skills!Q2+(IF(ArtifactsInput!$M$33,CHOOSE(ArtifactsInput!$N$33+1,30,36,42,48,54,60),0))+(IF(AND(ArtifactsInput!$M$35,Inputs!$B$4&lt;&gt;"Chapter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Inputs!$B$3&gt;=35</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f>Skills!G3*IF(Skills!H3&gt;0,Skills!I3/Skills!H3,1)</f>
        <v/>
      </c>
      <c r="H884">
        <f>1-(1-Skills!J3/100)^Skills!K3</f>
        <v/>
      </c>
      <c r="I884" t="inlineStr">
        <is>
          <t>1</t>
        </is>
      </c>
      <c r="J884">
        <f>((Inputs!$B$6*(1+Inputs!$B$7/100))+(((Inputs!$B$12*(1+Inputs!$B$13/100))-(Inputs!$B$12*(1+Inputs!$B$13/100)))+0.25*(Inputs!$B$14-Inputs!$B$14))*(1+Inputs!$B$7/100))*(F884/100)</f>
        <v/>
      </c>
      <c r="K884">
        <f>J884*(1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906=TRUE,F906,0)/100)*(1+(IF(Skills!A3="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884)</f>
        <v/>
      </c>
      <c r="L884">
        <f>K884*(MIN(Inputs!$B$22+((C901=TRUE)*(F901-Calc!F20)),(Inputs!$B$23+0+(IF(ArtifactsInput!$M$15,CHOOSE(ArtifactsInput!$N$15+1,25,30,35,40,45,50)/100*(Inputs!$B$11-Inputs!$B$11),0))))/100+(Inputs!$B$23+0+(IF(ArtifactsInput!$M$15,CHOOSE(ArtifactsInput!$N$15+1,25,30,35,40,45,50)/100*(Inputs!$B$11-Inputs!$B$11),0)))/100)/2</f>
        <v/>
      </c>
      <c r="M884">
        <f>L884*(1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4">
        <f>L884*(1-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884*(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4">
        <f>(1-Summary!$B$11)*T884+Summary!$B$11*V884</f>
        <v/>
      </c>
      <c r="P884">
        <f>IF(B920=0,0,O884/B920)</f>
        <v/>
      </c>
      <c r="Q884">
        <f>IFERROR(1/(IF(Inputs!$B$38="pvp",15,MAX(0.1,Skills!D3-IF(TRUE=TRUE,Inputs!$B$32,0)))*(1-IF(AND(ArtifactsInput!$M$27,Inputs!$B$4="Chapter Hunt"),CHOOSE(ArtifactsInput!$N$27+1,20,24,28,32,36,40),0)/100)),0)</f>
        <v/>
      </c>
      <c r="R884">
        <f>IF(AND(Inputs!$B$38&lt;&gt;"pvp",Inputs!$B$43&gt;0),IF(MAX(0,Inputs!$B$43-B917)&lt;=0,0,(INT(MAX(0,Inputs!$B$43-B917)/(IF(Inputs!$B$38="pvp",15,MAX(0.1,Skills!D3-IF(TRUE=TRUE,Inputs!$B$32,0)))*(1-IF(AND(ArtifactsInput!$M$27,Inputs!$B$4="Chapter Hunt"),CHOOSE(ArtifactsInput!$N$27+1,20,24,28,32,36,40),0)/100)))+1)),0)</f>
        <v/>
      </c>
      <c r="S884">
        <f>IFERROR(O884/N884,0)</f>
        <v/>
      </c>
      <c r="T884">
        <f>IF(C884,(Skills!G3*N884*IF(C885=TRUE,1-B922,1)/B921)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884*(1-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884*(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884*(1-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884*(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4">
        <f>INDEX(FactorTable!$B$2:$Y$301, MATCH(ROUND(MIN(300,MAX(1,U883)),0), FactorTable!$A$2:$A$301,0), 22)</f>
        <v/>
      </c>
      <c r="V884">
        <f>IF(C884,(Skills!G3*N884*IF(C885=TRUE,1-B922,1)/B921)*IF(Inputs!$B$38="pvp",1,(1+(Inputs!$B$21+Skills!Q3+(IF(ArtifactsInput!$M$33,CHOOSE(ArtifactsInput!$N$33+1,30,36,42,48,54,60),0))+(IF(AND(ArtifactsInput!$M$35,Inputs!$B$4&lt;&gt;"Chapter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5">
      <c r="A885">
        <f>Skills!A4</f>
        <v/>
      </c>
      <c r="B885">
        <f>Skills!B4</f>
        <v/>
      </c>
      <c r="C885">
        <f>Inputs!$B$3&gt;=69</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f>Skills!G4*IF(Skills!H4&gt;0,Skills!I4/Skills!H4,1)</f>
        <v/>
      </c>
      <c r="H885">
        <f>1-(1-Skills!J4/100)^Skills!K4</f>
        <v/>
      </c>
      <c r="I885" t="inlineStr">
        <is>
          <t>1</t>
        </is>
      </c>
      <c r="J885">
        <f>((Inputs!$B$6*(1+Inputs!$B$7/100))+(((Inputs!$B$12*(1+Inputs!$B$13/100))-(Inputs!$B$12*(1+Inputs!$B$13/100)))+0.25*(Inputs!$B$14-Inputs!$B$14))*(1+Inputs!$B$7/100))*(F885/100)</f>
        <v/>
      </c>
      <c r="K885">
        <f>J885*(1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893=TRUE,F893,0)/100)*(1+(IF(Skills!A4="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885)</f>
        <v/>
      </c>
      <c r="L885">
        <f>K885*(MIN(Inputs!$B$22+((C901=TRUE)*(F901-Calc!F20)),(Inputs!$B$23+0+(IF(ArtifactsInput!$M$15,CHOOSE(ArtifactsInput!$N$15+1,25,30,35,40,45,50)/100*(Inputs!$B$11-Inputs!$B$11),0))))/100+(Inputs!$B$23+0+(IF(ArtifactsInput!$M$15,CHOOSE(ArtifactsInput!$N$15+1,25,30,35,40,45,50)/100*(Inputs!$B$11-Inputs!$B$11),0)))/100)/2</f>
        <v/>
      </c>
      <c r="M885">
        <f>L885*(1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5">
        <f>L885*(1-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885*(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5">
        <f>(1-Summary!$B$11)*T885+Summary!$B$11*V885</f>
        <v/>
      </c>
      <c r="P885">
        <f>IF(B920=0,0,O885/B920)</f>
        <v/>
      </c>
      <c r="Q885" t="n">
        <v>0</v>
      </c>
      <c r="R885" t="n">
        <v>0</v>
      </c>
      <c r="S885">
        <f>IFERROR(O885/N885,0)</f>
        <v/>
      </c>
      <c r="T885">
        <f>IF(C885,(Skills!G4*N885*B922/B921)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885*(1-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885*(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885*(1-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885*(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5">
        <f>290*U884/1000</f>
        <v/>
      </c>
      <c r="V885">
        <f>IF(C885,(Skills!G4*N885*B922/B921)*IF(Inputs!$B$38="pvp",1,(1+(Inputs!$B$21+Skills!Q4+(IF(ArtifactsInput!$M$33,CHOOSE(ArtifactsInput!$N$33+1,30,36,42,48,54,60),0))+(IF(AND(ArtifactsInput!$M$35,Inputs!$B$4&lt;&gt;"Chapter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6">
      <c r="A886">
        <f>Skills!A5</f>
        <v/>
      </c>
      <c r="B886">
        <f>Skills!B5</f>
        <v/>
      </c>
      <c r="C886">
        <f>Inputs!$B$3&gt;=66</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t="inlineStr"/>
      <c r="K886" t="inlineStr"/>
      <c r="L886" t="inlineStr"/>
      <c r="M886" t="inlineStr"/>
      <c r="N886" t="inlineStr"/>
      <c r="O886">
        <f>(1-Summary!$B$11)*T886+Summary!$B$11*V886</f>
        <v/>
      </c>
      <c r="P886">
        <f>IF(B920=0,0,O886/B920)</f>
        <v/>
      </c>
      <c r="Q886" t="n">
        <v>0</v>
      </c>
      <c r="R886" t="n">
        <v>0</v>
      </c>
      <c r="S886">
        <f>IFERROR(O886/N886,0)</f>
        <v/>
      </c>
      <c r="T886" t="n">
        <v>0</v>
      </c>
      <c r="V886" t="n">
        <v>0</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893=TRUE,F893,0)/100)*(1+(IF(Skills!A6="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901=TRUE)*(F901-Calc!F20)),(Inputs!$B$23+0+(IF(ArtifactsInput!$M$15,CHOOSE(ArtifactsInput!$N$15+1,25,30,35,40,45,50)/100*(Inputs!$B$11-Inputs!$B$11),0))))/100+(Inputs!$B$23+0+(IF(ArtifactsInput!$M$15,CHOOSE(ArtifactsInput!$N$15+1,25,30,35,40,45,50)/100*(Inputs!$B$11-Inputs!$B$11),0)))/100)/2</f>
        <v/>
      </c>
      <c r="M887">
        <f>L887*(1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IF(B920=0,0,O887/B920)</f>
        <v/>
      </c>
      <c r="Q887">
        <f>IFERROR(1/(IF(Inputs!$B$38="pvp",15,MAX(0.1,Skills!D6-IF(TRUE=TRUE,Inputs!$B$32,0)))*(1-IF(AND(ArtifactsInput!$M$27,Inputs!$B$4="Chapter Hunt"),CHOOSE(ArtifactsInput!$N$27+1,20,24,28,32,36,40),0)/100)),0)</f>
        <v/>
      </c>
      <c r="R887">
        <f>IF(AND(Inputs!$B$38&lt;&gt;"pvp",Inputs!$B$43&gt;0),IF(MAX(0,Inputs!$B$43-B917)&lt;=0,0,(INT(MAX(0,Inputs!$B$43-B917)/(IF(Inputs!$B$38="pvp",15,MAX(0.1,Skills!D6-IF(TRUE=TRUE,Inputs!$B$32,0)))*(1-IF(AND(ArtifactsInput!$M$27,Inputs!$B$4="Chapter Hunt"),CHOOSE(ArtifactsInput!$N$27+1,20,24,28,32,36,40),0)/100)))+1)),0)</f>
        <v/>
      </c>
      <c r="S887">
        <f>IFERROR(O887/N887,0)</f>
        <v/>
      </c>
      <c r="T887">
        <f>IF(C887,(H887*N887*IF(AND(Inputs!$B$38&lt;&gt;"pvp",Inputs!$B$43&gt;0),((Skills!G6*((R887-1)*IF(Skills!H6&gt;0,Skills!I6/Skills!H6,1)+IF(Skills!H6&gt;0,MIN(Skills!I6,MAX(0,MAX(0,Inputs!$B$43-B917)-((R887-1)*(IF(Inputs!$B$38="pvp",15,MAX(0.1,Skills!D6-IF(TRUE=TRUE,Inputs!$B$32,0)))*(1-IF(AND(ArtifactsInput!$M$27,Inputs!$B$4="Chapter Hunt"),CHOOSE(ArtifactsInput!$N$27+1,20,24,28,32,36,40),0)/100)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917)-((R887-1)*(IF(Inputs!$B$38="pvp",15,MAX(0.1,Skills!D6-IF(TRUE=TRUE,Inputs!$B$32,0)))*(1-IF(AND(ArtifactsInput!$M$27,Inputs!$B$4="Chapter Hunt"),CHOOSE(ArtifactsInput!$N$27+1,20,24,28,32,36,40),0)/100)))))/Skills!H6,1)))/Inputs!$B$43),G887*Q887))*IF(Inputs!$B$38="pvp",1,(1+(Inputs!$B$21+Skills!Q6+(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Inputs!$B$3&gt;=103</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901=TRUE)*(F901-Calc!F20)),(Inputs!$B$23+0+(IF(ArtifactsInput!$M$15,CHOOSE(ArtifactsInput!$N$15+1,25,30,35,40,45,50)/100*(Inputs!$B$11-Inputs!$B$11),0))))/100+(Inputs!$B$23+0+(IF(ArtifactsInput!$M$15,CHOOSE(ArtifactsInput!$N$15+1,25,30,35,40,45,50)/100*(Inputs!$B$11-Inputs!$B$11),0)))/100)/2</f>
        <v/>
      </c>
      <c r="M888">
        <f>L888*(1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IF(B920=0,0,O888/B920)</f>
        <v/>
      </c>
      <c r="Q888">
        <f>IFERROR(1/(IF(Inputs!$B$38="pvp",15,MAX(0.1,Skills!D7-IF(TRUE=TRUE,Inputs!$B$32,0)))*(1-IF(AND(ArtifactsInput!$M$27,Inputs!$B$4="Chapter Hunt"),CHOOSE(ArtifactsInput!$N$27+1,20,24,28,32,36,40),0)/100)),0)</f>
        <v/>
      </c>
      <c r="R888">
        <f>IF(AND(Inputs!$B$38&lt;&gt;"pvp",Inputs!$B$43&gt;0),IF(MAX(0,Inputs!$B$43-B917)&lt;=0,0,(INT(MAX(0,Inputs!$B$43-B917)/(IF(Inputs!$B$38="pvp",15,MAX(0.1,Skills!D7-IF(TRUE=TRUE,Inputs!$B$32,0)))*(1-IF(AND(ArtifactsInput!$M$27,Inputs!$B$4="Chapter Hunt"),CHOOSE(ArtifactsInput!$N$27+1,20,24,28,32,36,40),0)/100)))+1)),0)</f>
        <v/>
      </c>
      <c r="S888">
        <f>IFERROR(O888/N888,0)</f>
        <v/>
      </c>
      <c r="T888">
        <f>IF(C888,(H888*N888*IF(AND(Inputs!$B$38&lt;&gt;"pvp",Inputs!$B$43&gt;0),((Skills!G7*((R888-1)*IF(Skills!H7&gt;0,Skills!I7/Skills!H7,1)+IF(Skills!H7&gt;0,MIN(Skills!I7,MAX(0,MAX(0,Inputs!$B$43-B917)-((R888-1)*(IF(Inputs!$B$38="pvp",15,MAX(0.1,Skills!D7-IF(TRUE=TRUE,Inputs!$B$32,0)))*(1-IF(AND(ArtifactsInput!$M$27,Inputs!$B$4="Chapter Hunt"),CHOOSE(ArtifactsInput!$N$27+1,20,24,28,32,36,40),0)/100)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917)-((R888-1)*(IF(Inputs!$B$38="pvp",15,MAX(0.1,Skills!D7-IF(TRUE=TRUE,Inputs!$B$32,0)))*(1-IF(AND(ArtifactsInput!$M$27,Inputs!$B$4="Chapter Hunt"),CHOOSE(ArtifactsInput!$N$27+1,20,24,28,32,36,40),0)/100)))))/Skills!H7,1)))/Inputs!$B$43),G888*Q888))*IF(Inputs!$B$38="pvp",1,(1+(Inputs!$B$21+Skills!Q7+(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Inputs!$B$3&gt;=117</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f>Skills!G8*IF(Skills!H8&gt;0,Skills!I8/Skills!H8,1)</f>
        <v/>
      </c>
      <c r="H889">
        <f>1-(1-Skills!J8/100)^Skills!K8</f>
        <v/>
      </c>
      <c r="I889" t="inlineStr">
        <is>
          <t>1</t>
        </is>
      </c>
      <c r="J889">
        <f>((Inputs!$B$6*(1+Inputs!$B$7/100))+(((Inputs!$B$12*(1+Inputs!$B$13/100))-(Inputs!$B$12*(1+Inputs!$B$13/100)))+0.25*(Inputs!$B$14-Inputs!$B$14))*(1+Inputs!$B$7/100))*(F889/100)</f>
        <v/>
      </c>
      <c r="K889">
        <f>J889*(1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889)</f>
        <v/>
      </c>
      <c r="L889">
        <f>K889*(MIN(Inputs!$B$22+((C901=TRUE)*(F901-Calc!F20)),(Inputs!$B$23+0+(IF(ArtifactsInput!$M$15,CHOOSE(ArtifactsInput!$N$15+1,25,30,35,40,45,50)/100*(Inputs!$B$11-Inputs!$B$11),0))))/100+(Inputs!$B$23+0+(IF(ArtifactsInput!$M$15,CHOOSE(ArtifactsInput!$N$15+1,25,30,35,40,45,50)/100*(Inputs!$B$11-Inputs!$B$11),0)))/100)/2</f>
        <v/>
      </c>
      <c r="M889">
        <f>L889*(1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9">
        <f>L889*(1-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889*(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9">
        <f>(1-Summary!$B$11)*T889+Summary!$B$11*V889</f>
        <v/>
      </c>
      <c r="P889">
        <f>IF(B920=0,0,O889/B920)</f>
        <v/>
      </c>
      <c r="Q889">
        <f>IFERROR(1/(IF(Inputs!$B$38="pvp",15,MAX(0.1,Skills!D8-IF(TRUE=TRUE,Inputs!$B$32,0)))*(1-IF(AND(ArtifactsInput!$M$27,Inputs!$B$4="Chapter Hunt"),CHOOSE(ArtifactsInput!$N$27+1,20,24,28,32,36,40),0)/100)),0)</f>
        <v/>
      </c>
      <c r="R889">
        <f>IF(AND(Inputs!$B$38&lt;&gt;"pvp",Inputs!$B$43&gt;0),IF(MAX(0,Inputs!$B$43-B917)&lt;=0,0,(INT(MAX(0,Inputs!$B$43-B917)/(IF(Inputs!$B$38="pvp",15,MAX(0.1,Skills!D8-IF(TRUE=TRUE,Inputs!$B$32,0)))*(1-IF(AND(ArtifactsInput!$M$27,Inputs!$B$4="Chapter Hunt"),CHOOSE(ArtifactsInput!$N$27+1,20,24,28,32,36,40),0)/100)))+1)),0)</f>
        <v/>
      </c>
      <c r="S889">
        <f>IFERROR(O889/N889,0)</f>
        <v/>
      </c>
      <c r="T889">
        <f>IF(C889,(H889*N889*IF(AND(Inputs!$B$38&lt;&gt;"pvp",Inputs!$B$43&gt;0),((Skills!G8*((R889-1)*IF(Skills!H8&gt;0,Skills!I8/Skills!H8,1)+IF(Skills!H8&gt;0,MIN(Skills!I8,MAX(0,MAX(0,Inputs!$B$43-B917)-((R889-1)*(IF(Inputs!$B$38="pvp",15,MAX(0.1,Skills!D8-IF(TRUE=TRUE,Inputs!$B$32,0)))*(1-IF(AND(ArtifactsInput!$M$27,Inputs!$B$4="Chapter Hunt"),CHOOSE(ArtifactsInput!$N$27+1,20,24,28,32,36,40),0)/100)))))/Skills!H8,1)))/Inputs!$B$43),G889*Q889)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889*(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889*(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9">
        <f>IF(C889,(H889*N889*IF(AND(Inputs!$B$38&lt;&gt;"pvp",Inputs!$B$43&gt;0),((Skills!G8*((R889-1)*IF(Skills!H8&gt;0,Skills!I8/Skills!H8,1)+IF(Skills!H8&gt;0,MIN(Skills!I8,MAX(0,MAX(0,Inputs!$B$43-B917)-((R889-1)*(IF(Inputs!$B$38="pvp",15,MAX(0.1,Skills!D8-IF(TRUE=TRUE,Inputs!$B$32,0)))*(1-IF(AND(ArtifactsInput!$M$27,Inputs!$B$4="Chapter Hunt"),CHOOSE(ArtifactsInput!$N$27+1,20,24,28,32,36,40),0)/100)))))/Skills!H8,1)))/Inputs!$B$43),G889*Q889))*IF(Inputs!$B$38="pvp",1,(1+(Inputs!$B$21+Skills!Q8+(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0">
      <c r="A890">
        <f>Skills!A9</f>
        <v/>
      </c>
      <c r="B890">
        <f>Skills!B9</f>
        <v/>
      </c>
      <c r="C890">
        <f>Inputs!$B$3&gt;=120</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B922</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901=TRUE)*(F901-Calc!F20)),(Inputs!$B$23+0+(IF(ArtifactsInput!$M$15,CHOOSE(ArtifactsInput!$N$15+1,25,30,35,40,45,50)/100*(Inputs!$B$11-Inputs!$B$11),0))))/100+(Inputs!$B$23+0+(IF(ArtifactsInput!$M$15,CHOOSE(ArtifactsInput!$N$15+1,25,30,35,40,45,50)/100*(Inputs!$B$11-Inputs!$B$11),0)))/100)/2</f>
        <v/>
      </c>
      <c r="M890">
        <f>L890*(1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IF(B920=0,0,O890/B920)</f>
        <v/>
      </c>
      <c r="Q890">
        <f>IFERROR(1/(IF(Inputs!$B$38="pvp",15,MAX(0.1,Skills!D9-IF(TRUE=TRUE,Inputs!$B$32,0)))*(1-IF(AND(ArtifactsInput!$M$27,Inputs!$B$4="Chapter Hunt"),CHOOSE(ArtifactsInput!$N$27+1,20,24,28,32,36,40),0)/100)),0)</f>
        <v/>
      </c>
      <c r="R890">
        <f>IF(AND(Inputs!$B$38&lt;&gt;"pvp",Inputs!$B$43&gt;0),IF(MAX(0,Inputs!$B$43-B917)&lt;=0,0,(INT(MAX(0,Inputs!$B$43-B917)/(IF(Inputs!$B$38="pvp",15,MAX(0.1,Skills!D9-IF(TRUE=TRUE,Inputs!$B$32,0)))*(1-IF(AND(ArtifactsInput!$M$27,Inputs!$B$4="Chapter Hunt"),CHOOSE(ArtifactsInput!$N$27+1,20,24,28,32,36,40),0)/100)))+1)),0)</f>
        <v/>
      </c>
      <c r="S890">
        <f>IFERROR(O890/N890,0)</f>
        <v/>
      </c>
      <c r="T890">
        <f>IF(C890,(H890*N890*IF(AND(Inputs!$B$38&lt;&gt;"pvp",Inputs!$B$43&gt;0),((Skills!G9*((R890-1)*IF(Skills!H9&gt;0,Skills!I9/Skills!H9,1)+IF(Skills!H9&gt;0,MIN(Skills!I9,MAX(0,MAX(0,Inputs!$B$43-B917)-((R890-1)*(IF(Inputs!$B$38="pvp",15,MAX(0.1,Skills!D9-IF(TRUE=TRUE,Inputs!$B$32,0)))*(1-IF(AND(ArtifactsInput!$M$27,Inputs!$B$4="Chapter Hunt"),CHOOSE(ArtifactsInput!$N$27+1,20,24,28,32,36,40),0)/100)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917)-((R890-1)*(IF(Inputs!$B$38="pvp",15,MAX(0.1,Skills!D9-IF(TRUE=TRUE,Inputs!$B$32,0)))*(1-IF(AND(ArtifactsInput!$M$27,Inputs!$B$4="Chapter Hunt"),CHOOSE(ArtifactsInput!$N$27+1,20,24,28,32,36,40),0)/100)))))/Skills!H9,1)))/Inputs!$B$43),G890*Q890))*IF(Inputs!$B$38="pvp",1,(1+(Inputs!$B$21+Skills!Q9+(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Inputs!$B$3&gt;=105</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901=TRUE)*(F901-Calc!F20)),(Inputs!$B$23+0+(IF(ArtifactsInput!$M$15,CHOOSE(ArtifactsInput!$N$15+1,25,30,35,40,45,50)/100*(Inputs!$B$11-Inputs!$B$11),0))))/100+(Inputs!$B$23+0+(IF(ArtifactsInput!$M$15,CHOOSE(ArtifactsInput!$N$15+1,25,30,35,40,45,50)/100*(Inputs!$B$11-Inputs!$B$11),0)))/100)/2</f>
        <v/>
      </c>
      <c r="M891">
        <f>L891*(1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IF(B920=0,0,O891/B920)</f>
        <v/>
      </c>
      <c r="Q891">
        <f>IFERROR(1/(IF(Inputs!$B$38="pvp",15,MAX(0.1,Skills!D10-IF(TRUE=TRUE,Inputs!$B$32,0)))*(1-IF(AND(ArtifactsInput!$M$27,Inputs!$B$4="Chapter Hunt"),CHOOSE(ArtifactsInput!$N$27+1,20,24,28,32,36,40),0)/100)),0)</f>
        <v/>
      </c>
      <c r="R891">
        <f>IF(AND(Inputs!$B$38&lt;&gt;"pvp",Inputs!$B$43&gt;0),IF(MAX(0,Inputs!$B$43-B917)&lt;=0,0,(INT(MAX(0,Inputs!$B$43-B917)/(IF(Inputs!$B$38="pvp",15,MAX(0.1,Skills!D10-IF(TRUE=TRUE,Inputs!$B$32,0)))*(1-IF(AND(ArtifactsInput!$M$27,Inputs!$B$4="Chapter Hunt"),CHOOSE(ArtifactsInput!$N$27+1,20,24,28,32,36,40),0)/100)))+1)),0)</f>
        <v/>
      </c>
      <c r="S891">
        <f>IFERROR(O891/N891,0)</f>
        <v/>
      </c>
      <c r="T891">
        <f>IF(C891,(H891*N891*IF(AND(Inputs!$B$38&lt;&gt;"pvp",Inputs!$B$43&gt;0),((Skills!G10*((R891-1)*IF(Skills!H10&gt;0,Skills!I10/Skills!H10,1)+IF(Skills!H10&gt;0,MIN(Skills!I10,MAX(0,MAX(0,Inputs!$B$43-B917)-((R891-1)*(IF(Inputs!$B$38="pvp",15,MAX(0.1,Skills!D10-IF(TRUE=TRUE,Inputs!$B$32,0)))*(1-IF(AND(ArtifactsInput!$M$27,Inputs!$B$4="Chapter Hunt"),CHOOSE(ArtifactsInput!$N$27+1,20,24,28,32,36,40),0)/100)))))/Skills!H10,1)))/Inputs!$B$43),G891*Q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H891*N891*IF(AND(Inputs!$B$38&lt;&gt;"pvp",Inputs!$B$43&gt;0),((Skills!G10*((R891-1)*IF(Skills!H10&gt;0,Skills!I10/Skills!H10,1)+IF(Skills!H10&gt;0,MIN(Skills!I10,MAX(0,MAX(0,Inputs!$B$43-B917)-((R891-1)*(IF(Inputs!$B$38="pvp",15,MAX(0.1,Skills!D10-IF(TRUE=TRUE,Inputs!$B$32,0)))*(1-IF(AND(ArtifactsInput!$M$27,Inputs!$B$4="Chapter Hunt"),CHOOSE(ArtifactsInput!$N$27+1,20,24,28,32,36,40),0)/100)))))/Skills!H10,1)))/Inputs!$B$43),G891*Q891))*IF(Inputs!$B$38="pvp",1,(1+(Inputs!$B$21+Skills!Q10+(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Inputs!$B$3&gt;=113</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901=TRUE)*(F901-Calc!F20)),(Inputs!$B$23+0+(IF(ArtifactsInput!$M$15,CHOOSE(ArtifactsInput!$N$15+1,25,30,35,40,45,50)/100*(Inputs!$B$11-Inputs!$B$11),0))))/100+(Inputs!$B$23+0+(IF(ArtifactsInput!$M$15,CHOOSE(ArtifactsInput!$N$15+1,25,30,35,40,45,50)/100*(Inputs!$B$11-Inputs!$B$11),0)))/100)/2</f>
        <v/>
      </c>
      <c r="M892">
        <f>L892*(1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IF(B920=0,0,O892/B920)</f>
        <v/>
      </c>
      <c r="Q892" t="n">
        <v>0</v>
      </c>
      <c r="R892" t="n">
        <v>0</v>
      </c>
      <c r="S892">
        <f>IFERROR(O892/N892,0)</f>
        <v/>
      </c>
      <c r="T892">
        <f>IF(C892,((H892*B923)/(1+Skills!H11*H892*B923)*N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IF(C892,((H892*B923)/(1+Skills!H11*H892*B923)*N892)*IF(Inputs!$B$38="pvp",1,(1+(Inputs!$B$21+Skills!Q11+(IF(ArtifactsInput!$M$33,CHOOSE(ArtifactsInput!$N$33+1,30,36,42,48,54,60),0))+(IF(AND(ArtifactsInput!$M$35,Inputs!$B$4&lt;&gt;"Chapter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Inputs!$B$3&gt;=100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t="inlineStr"/>
      <c r="H893" t="inlineStr"/>
      <c r="I893" t="inlineStr">
        <is>
          <t>1</t>
        </is>
      </c>
      <c r="J893" t="inlineStr"/>
      <c r="K893" t="inlineStr"/>
      <c r="L893" t="inlineStr"/>
      <c r="M893" t="inlineStr"/>
      <c r="N893" t="inlineStr"/>
      <c r="O893" t="inlineStr"/>
      <c r="P893" t="inlineStr"/>
      <c r="Q893" t="inlineStr"/>
      <c r="R893" t="inlineStr"/>
      <c r="S893" t="inlineStr"/>
      <c r="T893" t="inlineStr"/>
      <c r="V893" t="inlineStr"/>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IF(B920=0,0,O894/B920)</f>
        <v/>
      </c>
      <c r="Q894" t="n">
        <v>0</v>
      </c>
      <c r="R894" t="n">
        <v>0</v>
      </c>
      <c r="S894">
        <f>IFERROR(O894/N894,0)</f>
        <v/>
      </c>
      <c r="T894" t="n">
        <v>0</v>
      </c>
      <c r="V894" t="n">
        <v>0</v>
      </c>
    </row>
    <row r="895">
      <c r="A895">
        <f>Skills!A14</f>
        <v/>
      </c>
      <c r="B895">
        <f>Skills!B14</f>
        <v/>
      </c>
      <c r="C895">
        <f>Inputs!$B$3&gt;=115</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IF(B920=0,0,O895/B920)</f>
        <v/>
      </c>
      <c r="Q895">
        <f>IFERROR(1/(IF(Inputs!$B$38="pvp",15,MAX(0.1,Skills!D14-IF(TRUE=TRUE,Inputs!$B$32,0)))*(1-IF(AND(ArtifactsInput!$M$27,Inputs!$B$4="Chapter Hunt"),CHOOSE(ArtifactsInput!$N$27+1,20,24,28,32,36,40),0)/100)),0)</f>
        <v/>
      </c>
      <c r="R895">
        <f>IF(AND(Inputs!$B$38&lt;&gt;"pvp",Inputs!$B$43&gt;0),IF(Inputs!$B$43&lt;=0,0,(INT(Inputs!$B$43/(IF(Inputs!$B$38="pvp",15,MAX(0.1,Skills!D14-IF(TRUE=TRUE,Inputs!$B$32,0)))*(1-IF(AND(ArtifactsInput!$M$27,Inputs!$B$4="Chapter Hunt"),CHOOSE(ArtifactsInput!$N$27+1,20,24,28,32,36,40),0)/100)))+1)),0)</f>
        <v/>
      </c>
      <c r="S895">
        <f>IFERROR(O895/N895,0)</f>
        <v/>
      </c>
      <c r="T895" t="n">
        <v>0</v>
      </c>
      <c r="V895" t="n">
        <v>0</v>
      </c>
    </row>
    <row r="896">
      <c r="A896">
        <f>Skills!A15</f>
        <v/>
      </c>
      <c r="B896">
        <f>Skills!B15</f>
        <v/>
      </c>
      <c r="C896">
        <f>Inputs!$B$3&gt;=125</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IF(B920=0,0,O896/B920)</f>
        <v/>
      </c>
      <c r="Q896">
        <f>IFERROR(1/(IF(Inputs!$B$38="pvp",15,MAX(0.1,Skills!D15-IF(TRUE=TRUE,Inputs!$B$32,0)))*(1-IF(AND(ArtifactsInput!$M$27,Inputs!$B$4="Chapter Hunt"),CHOOSE(ArtifactsInput!$N$27+1,20,24,28,32,36,40),0)/100)),0)</f>
        <v/>
      </c>
      <c r="R896">
        <f>IF(AND(Inputs!$B$38&lt;&gt;"pvp",Inputs!$B$43&gt;0),IF(Inputs!$B$43&lt;=0,0,(INT(Inputs!$B$43/(IF(Inputs!$B$38="pvp",15,MAX(0.1,Skills!D15-IF(TRUE=TRUE,Inputs!$B$32,0)))*(1-IF(AND(ArtifactsInput!$M$27,Inputs!$B$4="Chapter Hunt"),CHOOSE(ArtifactsInput!$N$27+1,20,24,28,32,36,40),0)/100)))+1)),0)</f>
        <v/>
      </c>
      <c r="S896">
        <f>IFERROR(O896/N896,0)</f>
        <v/>
      </c>
      <c r="T896" t="n">
        <v>0</v>
      </c>
      <c r="V896" t="n">
        <v>0</v>
      </c>
    </row>
    <row r="897">
      <c r="A897">
        <f>Skills!A16</f>
        <v/>
      </c>
      <c r="B897">
        <f>Skills!B16</f>
        <v/>
      </c>
      <c r="C897">
        <f>Inputs!$B$3&gt;=10</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IF(B920=0,0,O897/B920)</f>
        <v/>
      </c>
      <c r="Q897" t="n">
        <v>0</v>
      </c>
      <c r="R897" t="n">
        <v>0</v>
      </c>
      <c r="S897">
        <f>IFERROR(O897/N897,0)</f>
        <v/>
      </c>
      <c r="T897" t="n">
        <v>0</v>
      </c>
      <c r="V897" t="n">
        <v>0</v>
      </c>
    </row>
    <row r="898">
      <c r="A898">
        <f>Skills!A17</f>
        <v/>
      </c>
      <c r="B898">
        <f>Skills!B17</f>
        <v/>
      </c>
      <c r="C898">
        <f>Inputs!$B$3&gt;=15</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IF(B920=0,0,O898/B920)</f>
        <v/>
      </c>
      <c r="Q898" t="n">
        <v>0</v>
      </c>
      <c r="R898" t="n">
        <v>0</v>
      </c>
      <c r="S898">
        <f>IFERROR(O898/N898,0)</f>
        <v/>
      </c>
      <c r="T898" t="n">
        <v>0</v>
      </c>
      <c r="V898" t="n">
        <v>0</v>
      </c>
    </row>
    <row r="899">
      <c r="A899">
        <f>Skills!A18</f>
        <v/>
      </c>
      <c r="B899">
        <f>Skills!B18</f>
        <v/>
      </c>
      <c r="C899">
        <f>Inputs!$B$3&gt;=33</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IF(B920=0,0,O899/B920)</f>
        <v/>
      </c>
      <c r="Q899" t="n">
        <v>0</v>
      </c>
      <c r="R899" t="n">
        <v>0</v>
      </c>
      <c r="S899">
        <f>IFERROR(O899/N899,0)</f>
        <v/>
      </c>
      <c r="T899" t="n">
        <v>0</v>
      </c>
      <c r="V899" t="n">
        <v>0</v>
      </c>
    </row>
    <row r="900">
      <c r="A900">
        <f>Skills!A19</f>
        <v/>
      </c>
      <c r="B900">
        <f>Skills!B19</f>
        <v/>
      </c>
      <c r="C900">
        <f>Inputs!$B$3&gt;=40</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IF(B920=0,0,O900/B920)</f>
        <v/>
      </c>
      <c r="Q900" t="n">
        <v>0</v>
      </c>
      <c r="R900" t="n">
        <v>0</v>
      </c>
      <c r="S900">
        <f>IFERROR(O900/N900,0)</f>
        <v/>
      </c>
      <c r="T900" t="n">
        <v>0</v>
      </c>
      <c r="V900" t="n">
        <v>0</v>
      </c>
    </row>
    <row r="901">
      <c r="A901">
        <f>Skills!A20</f>
        <v/>
      </c>
      <c r="B901">
        <f>Skills!B20</f>
        <v/>
      </c>
      <c r="C901">
        <f>Inputs!$B$3&gt;=43</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IF(B920=0,0,O901/B920)</f>
        <v/>
      </c>
      <c r="Q901" t="n">
        <v>0</v>
      </c>
      <c r="R901" t="n">
        <v>0</v>
      </c>
      <c r="S901">
        <f>IFERROR(O901/N901,0)</f>
        <v/>
      </c>
      <c r="T901" t="n">
        <v>0</v>
      </c>
      <c r="V901" t="n">
        <v>0</v>
      </c>
    </row>
    <row r="902">
      <c r="A902">
        <f>Skills!A21</f>
        <v/>
      </c>
      <c r="B902">
        <f>Skills!B21</f>
        <v/>
      </c>
      <c r="C902">
        <f>Inputs!$B$3&gt;=38</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IF(B920=0,0,O902/B920)</f>
        <v/>
      </c>
      <c r="Q902" t="n">
        <v>0</v>
      </c>
      <c r="R902" t="n">
        <v>0</v>
      </c>
      <c r="S902">
        <f>IFERROR(O902/N902,0)</f>
        <v/>
      </c>
      <c r="T902" t="n">
        <v>0</v>
      </c>
      <c r="V902" t="n">
        <v>0</v>
      </c>
    </row>
    <row r="903">
      <c r="A903">
        <f>Skills!A22</f>
        <v/>
      </c>
      <c r="B903">
        <f>Skills!B22</f>
        <v/>
      </c>
      <c r="C903">
        <f>Inputs!$B$3&gt;=75</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IF(B920=0,0,O903/B920)</f>
        <v/>
      </c>
      <c r="Q903" t="n">
        <v>0</v>
      </c>
      <c r="R903" t="n">
        <v>0</v>
      </c>
      <c r="S903">
        <f>IFERROR(O903/N903,0)</f>
        <v/>
      </c>
      <c r="T903" t="n">
        <v>0</v>
      </c>
      <c r="V903" t="n">
        <v>0</v>
      </c>
    </row>
    <row r="904">
      <c r="A904">
        <f>Skills!A23</f>
        <v/>
      </c>
      <c r="B904">
        <f>Skills!B23</f>
        <v/>
      </c>
      <c r="C904">
        <f>TRUE</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IF(B920=0,0,O904/B920)</f>
        <v/>
      </c>
      <c r="Q904">
        <f>IFERROR(1/(IF(Inputs!$B$38="pvp",15,MAX(0.1,Skills!D23-IF(TRUE=TRUE,Inputs!$B$32,0)))*(1-IF(AND(ArtifactsInput!$M$27,Inputs!$B$4="Chapter Hunt"),CHOOSE(ArtifactsInput!$N$27+1,20,24,28,32,36,40),0)/100)),0)</f>
        <v/>
      </c>
      <c r="R904">
        <f>IF(AND(Inputs!$B$38&lt;&gt;"pvp",Inputs!$B$43&gt;0),IF(Inputs!$B$43&lt;=0,0,(INT(Inputs!$B$43/(IF(Inputs!$B$38="pvp",15,MAX(0.1,Skills!D23-IF(TRUE=TRUE,Inputs!$B$32,0)))*(1-IF(AND(ArtifactsInput!$M$27,Inputs!$B$4="Chapter Hunt"),CHOOSE(ArtifactsInput!$N$27+1,20,24,28,32,36,40),0)/100)))+1)),0)</f>
        <v/>
      </c>
      <c r="S904">
        <f>IFERROR(O904/N904,0)</f>
        <v/>
      </c>
      <c r="T904" t="n">
        <v>0</v>
      </c>
      <c r="V904" t="n">
        <v>0</v>
      </c>
    </row>
    <row r="905">
      <c r="A905">
        <f>Skills!A24</f>
        <v/>
      </c>
      <c r="B905">
        <f>Skills!B24</f>
        <v/>
      </c>
      <c r="C905">
        <f>Inputs!$B$3&gt;=107</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IF(B920=0,0,O905/B920)</f>
        <v/>
      </c>
      <c r="Q905">
        <f>IFERROR(1/(IF(Inputs!$B$38="pvp",15,MAX(0.1,Skills!D24-IF(TRUE=TRUE,Inputs!$B$32,0)))*(1-IF(AND(ArtifactsInput!$M$27,Inputs!$B$4="Chapter Hunt"),CHOOSE(ArtifactsInput!$N$27+1,20,24,28,32,36,40),0)/100)),0)</f>
        <v/>
      </c>
      <c r="R905">
        <f>IF(AND(Inputs!$B$38&lt;&gt;"pvp",Inputs!$B$43&gt;0),IF(Inputs!$B$43&lt;=0,0,(INT(Inputs!$B$43/(IF(Inputs!$B$38="pvp",15,MAX(0.1,Skills!D24-IF(TRUE=TRUE,Inputs!$B$32,0)))*(1-IF(AND(ArtifactsInput!$M$27,Inputs!$B$4="Chapter Hunt"),CHOOSE(ArtifactsInput!$N$27+1,20,24,28,32,36,40),0)/100)))+1)),0)</f>
        <v/>
      </c>
      <c r="S905">
        <f>IFERROR(O905/N905,0)</f>
        <v/>
      </c>
      <c r="T905" t="n">
        <v>0</v>
      </c>
      <c r="V905" t="n">
        <v>0</v>
      </c>
    </row>
    <row r="906">
      <c r="A906">
        <f>Skills!A25</f>
        <v/>
      </c>
      <c r="B906">
        <f>Skills!B25</f>
        <v/>
      </c>
      <c r="C906">
        <f>Inputs!$B$3&gt;=110</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t="inlineStr"/>
      <c r="H906" t="inlineStr"/>
      <c r="I906" t="inlineStr">
        <is>
          <t>1</t>
        </is>
      </c>
      <c r="J906" t="inlineStr"/>
      <c r="K906" t="inlineStr"/>
      <c r="L906" t="inlineStr"/>
      <c r="M906" t="inlineStr"/>
      <c r="N906" t="inlineStr"/>
      <c r="O906" t="inlineStr"/>
      <c r="P906" t="inlineStr"/>
      <c r="Q906" t="inlineStr"/>
      <c r="R906" t="inlineStr"/>
      <c r="S906" t="inlineStr"/>
      <c r="T906" t="inlineStr"/>
      <c r="V906" t="inlineStr"/>
    </row>
    <row r="907">
      <c r="A907">
        <f>Skills!A26</f>
        <v/>
      </c>
      <c r="B907">
        <f>Skills!B26</f>
        <v/>
      </c>
      <c r="C907">
        <f>Inputs!$B$3&gt;=117</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t="inlineStr"/>
      <c r="H907" t="inlineStr"/>
      <c r="I907" t="inlineStr">
        <is>
          <t>1</t>
        </is>
      </c>
      <c r="J907" t="inlineStr"/>
      <c r="K907" t="inlineStr"/>
      <c r="L907" t="inlineStr"/>
      <c r="M907" t="inlineStr"/>
      <c r="N907" t="inlineStr"/>
      <c r="O907" t="inlineStr"/>
      <c r="P907" t="inlineStr"/>
      <c r="Q907" t="inlineStr"/>
      <c r="R907" t="inlineStr"/>
      <c r="S907" t="inlineStr"/>
      <c r="T907" t="inlineStr"/>
      <c r="V907" t="inlineStr"/>
    </row>
    <row r="909">
      <c r="A909" t="inlineStr">
        <is>
          <t>Attack% Bucket Multiplier</t>
        </is>
      </c>
      <c r="B909">
        <f>(1+(((C894=TRUE)*F894*5/7)+((C900=TRUE)*(F900-Calc!F19))+(IF(ArtifactsInput!$M$21,CHOOSE(ArtifactsInput!$N$21+1,25,30,35,40,45,50)*(IF(OR(Inputs!$B$4="Chapter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0">
      <c r="A910" t="inlineStr">
        <is>
          <t>Global Crit Rate Bonus %</t>
        </is>
      </c>
      <c r="B910" t="n">
        <v>0</v>
      </c>
    </row>
    <row r="911">
      <c r="A911" t="inlineStr">
        <is>
          <t>Attack Speed Buff Bonus % (Nimble Feet + Speed Infusion, duty-cycle averaged)</t>
        </is>
      </c>
      <c r="B911">
        <f>((C904=TRUE)*F904*IF(AND(Inputs!$B$38&lt;&gt;"pvp",Inputs!$B$43&gt;0),(((R904-1)*MIN((Skills!T23*(1+Inputs!$B$34/100)),(1/Q904))+MIN((Skills!T23*(1+Inputs!$B$34/100)),MAX(0,Inputs!$B$43-((R904-1)*(1/Q904)))))/Inputs!$B$43),IF(Inputs!$B$38="pvp",MIN((Skills!T23*(1+Inputs!$B$34/100)),15)/15,MIN(1,(Skills!T23*(1+Inputs!$B$34/100))/(1/Q904)))))+((C905=TRUE)*F905*IF(AND(Inputs!$B$38&lt;&gt;"pvp",Inputs!$B$43&gt;0),(((R905-1)*MIN((Skills!T24*(1+Inputs!$B$34/100)),(1/Q905))+MIN((Skills!T24*(1+Inputs!$B$34/100)),MAX(0,Inputs!$B$43-((R905-1)*(1/Q905)))))/Inputs!$B$43),IF(Inputs!$B$38="pvp",MIN((Skills!T24*(1+Inputs!$B$34/100)),15)/15,MIN(1,(Skills!T24*(1+Inputs!$B$34/100))/(1/Q905)))))</f>
        <v/>
      </c>
    </row>
    <row r="912">
      <c r="A912" t="inlineStr">
        <is>
          <t>Actions Per Second</t>
        </is>
      </c>
      <c r="B912">
        <f>1+MIN(150,150*(1-(1-(Inputs!$B$11+((C898=TRUE)*(F898-Calc!F17))+((C899=TRUE)*(F899-Calc!F18)))/150)*(1-B911/150)))/100</f>
        <v/>
      </c>
    </row>
    <row r="913">
      <c r="A913" t="inlineStr">
        <is>
          <t>Skill + Buff Cast Rate</t>
        </is>
      </c>
      <c r="B913">
        <f>IF(AND(Inputs!$B$38&lt;&gt;"pvp",Inputs!$B$43&gt;0),SUMPRODUCT((Skills!E2:E26=TRUE)*(C883:C907=TRUE)*R883:R907*Skills!F2:F26)/Inputs!$B$43,SUMPRODUCT((Skills!E2:E26=TRUE)*(C883:C907=TRUE)*Q883:Q907*Skills!F2:F26))</f>
        <v/>
      </c>
    </row>
    <row r="914">
      <c r="A914" t="inlineStr">
        <is>
          <t>Hook Bomber Casts Per Second</t>
        </is>
      </c>
      <c r="B914">
        <f>MAX(0,B912-B913)</f>
        <v/>
      </c>
    </row>
    <row r="915">
      <c r="A915" t="inlineStr">
        <is>
          <t>Global Critical Damage Bonus % (unused)</t>
        </is>
      </c>
      <c r="B915" t="n">
        <v>0</v>
      </c>
    </row>
    <row r="916">
      <c r="A916" t="inlineStr">
        <is>
          <t>Global Final Damage Bonus % (Serpent Scale + Crossbones + Time Leap + Speed Infusion)</t>
        </is>
      </c>
      <c r="B916">
        <f>((C886=TRUE)*(F886*B922+4*(1-B922)))+((C895=TRUE)*F895*IF(AND(Inputs!$B$38&lt;&gt;"pvp",Inputs!$B$43&gt;0),(((R895-1)*MIN((Skills!T14*(1+Inputs!$B$34/100)),(1/Q895))+MIN((Skills!T14*(1+Inputs!$B$34/100)),MAX(0,Inputs!$B$43-((R895-1)*(1/Q895)))))/Inputs!$B$43),IF(Inputs!$B$38="pvp",MIN((Skills!T14*(1+Inputs!$B$34/100)),15)/15,MIN(1,(Skills!T14*(1+Inputs!$B$34/100))/(1/Q895)))))+((C896=TRUE)*F896*IF(AND(Inputs!$B$38&lt;&gt;"pvp",Inputs!$B$43&gt;0),(((R896-1)*MIN((Skills!T15*(1+Inputs!$B$34/100)),(1/Q896))+MIN((Skills!T15*(1+Inputs!$B$34/100)),MAX(0,Inputs!$B$43-((R896-1)*(1/Q896)))))/Inputs!$B$43),IF(Inputs!$B$38="pvp",MIN((Skills!T15*(1+Inputs!$B$34/100)),15)/15,MIN(1,(Skills!T15*(1+Inputs!$B$34/100))/(1/Q896)))))+((C905=TRUE)*20*((1+MIN(150,150*(1-(1-(Inputs!$B$11+((C898=TRUE)*(F898-Calc!F17))+((C899=TRUE)*(F899-Calc!F18)))/150)*(1-(((C904=TRUE)*F904*IF(AND(Inputs!$B$38&lt;&gt;"pvp",Inputs!$B$43&gt;0),(((R904-1)*MIN((Skills!T23*(1+Inputs!$B$34/100)),(1/Q904))+MIN((Skills!T23*(1+Inputs!$B$34/100)),MAX(0,Inputs!$B$43-((R904-1)*(1/Q904)))))/Inputs!$B$43),IF(Inputs!$B$38="pvp",MIN((Skills!T23*(1+Inputs!$B$34/100)),15)/15,MIN(1,(Skills!T23*(1+Inputs!$B$34/100))/(1/Q904)))))+F905)/150)))/100)-1)*IF(AND(Inputs!$B$38&lt;&gt;"pvp",Inputs!$B$43&gt;0),(((R905-1)*MIN((Skills!T24*(1+Inputs!$B$34/100)),(1/Q905))+MIN((Skills!T24*(1+Inputs!$B$34/100)),MAX(0,Inputs!$B$43-((R905-1)*(1/Q905)))))/Inputs!$B$43),IF(Inputs!$B$38="pvp",MIN((Skills!T24*(1+Inputs!$B$34/100)),15)/15,MIN(1,(Skills!T24*(1+Inputs!$B$34/100))/(1/Q905)))))</f>
        <v/>
      </c>
    </row>
    <row r="917">
      <c r="A917" t="inlineStr">
        <is>
          <t>Buff-Casting Startup Delay (s, fixed-duration only)</t>
        </is>
      </c>
      <c r="B917">
        <f>IF(AND(Inputs!$B$38&lt;&gt;"pvp",Inputs!$B$43&gt;0),SUMPRODUCT((Skills!T2:T26&gt;0)*(Skills!E2:E26=TRUE)*(C883:C907=TRUE))/B912,0)</f>
        <v/>
      </c>
    </row>
    <row r="918">
      <c r="A918" t="inlineStr">
        <is>
          <t>Boss-Only Total DPS (this block's swept value)</t>
        </is>
      </c>
      <c r="B918">
        <f>SUM(T883:T907)</f>
        <v/>
      </c>
    </row>
    <row r="919">
      <c r="A919" t="inlineStr">
        <is>
          <t>Normal-Only Total DPS (this block's swept value)</t>
        </is>
      </c>
      <c r="B919">
        <f>SUM(V883:V907)</f>
        <v/>
      </c>
    </row>
    <row r="920">
      <c r="A920" s="6" t="inlineStr">
        <is>
          <t>TOTAL DPS</t>
        </is>
      </c>
      <c r="B920" s="6">
        <f>SUM(O883:O907)</f>
        <v/>
      </c>
    </row>
    <row r="921">
      <c r="A921" t="inlineStr">
        <is>
          <t>Serpent activation interval T (this block's own Hook Bomber rate)</t>
        </is>
      </c>
      <c r="B921">
        <f>((1/Q884)+IFERROR(0.5/B914,0))</f>
        <v/>
      </c>
    </row>
    <row r="922">
      <c r="A922" t="inlineStr">
        <is>
          <t>Assault Mode uptime u (this block)</t>
        </is>
      </c>
      <c r="B922">
        <f>IF(C886=TRUE,(10+IF(Inputs!$B$3&gt;=94,5,0))/((10+IF(Inputs!$B$3&gt;=94,5,0))+IF(Inputs!$B$3&gt;=104,3,5)*B921),0)</f>
        <v/>
      </c>
    </row>
    <row r="923">
      <c r="A923" t="inlineStr">
        <is>
          <t>Nautilus Strike - Final Attack trigger rate (this block's own Q/R)</t>
        </is>
      </c>
      <c r="B923">
        <f>IF(AND(Inputs!$B$38&lt;&gt;"pvp",Inputs!$B$43&gt;0),(((C887=TRUE)*R887)+((C888=TRUE)*R888)+((C891=TRUE)*R891))/Inputs!$B$43,((C887=TRUE)*Q887)+((C888=TRUE)*Q888)+((C891=TRUE)*Q891))+B914</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946=TRUE)*(F946-Calc!F20)),(Inputs!$B$23+0+(IF(ArtifactsInput!$M$15,CHOOSE(ArtifactsInput!$N$15+1,25,30,35,40,45,50)/100*(Inputs!$B$11-Inputs!$B$11),0))))/100+(Inputs!$B$23+0+(IF(ArtifactsInput!$M$15,CHOOSE(ArtifactsInput!$N$15+1,25,30,35,40,45,50)/100*(Inputs!$B$11-Inputs!$B$11),0)))/100)/2</f>
        <v/>
      </c>
      <c r="M928">
        <f>L928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IF(B965=0,0,O928/B965)</f>
        <v/>
      </c>
      <c r="Q928" t="n">
        <v>0</v>
      </c>
      <c r="R928" t="n">
        <v>0</v>
      </c>
      <c r="S928">
        <f>IFERROR(O928/N928,0)</f>
        <v/>
      </c>
      <c r="T928">
        <f>IF(C928,(Skills!G2*N928*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Inputs!$B$3&gt;=35</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f>Skills!G3*IF(Skills!H3&gt;0,Skills!I3/Skills!H3,1)</f>
        <v/>
      </c>
      <c r="H929">
        <f>1-(1-Skills!J3/100)^Skills!K3</f>
        <v/>
      </c>
      <c r="I929" t="inlineStr">
        <is>
          <t>1</t>
        </is>
      </c>
      <c r="J929">
        <f>((Inputs!$B$6*(1+Inputs!$B$7/100))+(((Inputs!$B$12*(1+Inputs!$B$13/100))-(Inputs!$B$12*(1+Inputs!$B$13/100)))+0.25*(Inputs!$B$14-Inputs!$B$14))*(1+Inputs!$B$7/100))*(F929/100)</f>
        <v/>
      </c>
      <c r="K929">
        <f>J929*(1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951=TRUE,F951,0)/100)*(1+(IF(Skills!A3="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946=TRUE)*(F946-Calc!F20)),(Inputs!$B$23+0+(IF(ArtifactsInput!$M$15,CHOOSE(ArtifactsInput!$N$15+1,25,30,35,40,45,50)/100*(Inputs!$B$11-Inputs!$B$11),0))))/100+(Inputs!$B$23+0+(IF(ArtifactsInput!$M$15,CHOOSE(ArtifactsInput!$N$15+1,25,30,35,40,45,50)/100*(Inputs!$B$11-Inputs!$B$11),0)))/100)/2</f>
        <v/>
      </c>
      <c r="M929">
        <f>L929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IF(B965=0,0,O929/B965)</f>
        <v/>
      </c>
      <c r="Q929">
        <f>IFERROR(1/(IF(Inputs!$B$38="pvp",15,MAX(0.1,Skills!D3-IF(TRUE=TRUE,Inputs!$B$32,0)))*(1-IF(AND(ArtifactsInput!$M$27,Inputs!$B$4="Chapter Hunt"),CHOOSE(ArtifactsInput!$N$27+1,20,24,28,32,36,40),0)/100)),0)</f>
        <v/>
      </c>
      <c r="R929">
        <f>IF(AND(Inputs!$B$38&lt;&gt;"pvp",Inputs!$B$43&gt;0),IF(MAX(0,Inputs!$B$43-B962)&lt;=0,0,(INT(MAX(0,Inputs!$B$43-B962)/(IF(Inputs!$B$38="pvp",15,MAX(0.1,Skills!D3-IF(TRUE=TRUE,Inputs!$B$32,0)))*(1-IF(AND(ArtifactsInput!$M$27,Inputs!$B$4="Chapter Hunt"),CHOOSE(ArtifactsInput!$N$27+1,20,24,28,32,36,40),0)/100)))+1)),0)</f>
        <v/>
      </c>
      <c r="S929">
        <f>IFERROR(O929/N929,0)</f>
        <v/>
      </c>
      <c r="T929">
        <f>IF(C929,(Skills!G3*N929*IF(C930=TRUE,1-B967,1)/B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929*(1-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9">
        <f>INDEX(FactorTable!$B$2:$Y$301, MATCH(ROUND(MIN(300,MAX(1,U928)),0), FactorTable!$A$2:$A$301,0), 22)</f>
        <v/>
      </c>
      <c r="V929">
        <f>IF(C929,(Skills!G3*N929*IF(C930=TRUE,1-B967,1)/B966)*IF(Inputs!$B$38="pvp",1,(1+(Inputs!$B$21+Skills!Q3+(IF(ArtifactsInput!$M$33,CHOOSE(ArtifactsInput!$N$33+1,30,36,42,48,54,60),0))+(IF(AND(ArtifactsInput!$M$35,Inputs!$B$4&lt;&gt;"Chapter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Skills!A4</f>
        <v/>
      </c>
      <c r="B930">
        <f>Skills!B4</f>
        <v/>
      </c>
      <c r="C930">
        <f>Inputs!$B$3&gt;=69</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f>Skills!G4*IF(Skills!H4&gt;0,Skills!I4/Skills!H4,1)</f>
        <v/>
      </c>
      <c r="H930">
        <f>1-(1-Skills!J4/100)^Skills!K4</f>
        <v/>
      </c>
      <c r="I930" t="inlineStr">
        <is>
          <t>1</t>
        </is>
      </c>
      <c r="J930">
        <f>((Inputs!$B$6*(1+Inputs!$B$7/100))+(((Inputs!$B$12*(1+Inputs!$B$13/100))-(Inputs!$B$12*(1+Inputs!$B$13/100)))+0.25*(Inputs!$B$14-Inputs!$B$14))*(1+Inputs!$B$7/100))*(F930/100)</f>
        <v/>
      </c>
      <c r="K930">
        <f>J930*(1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4="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C946=TRUE)*(F946-Calc!F20)),(Inputs!$B$23+0+(IF(ArtifactsInput!$M$15,CHOOSE(ArtifactsInput!$N$15+1,25,30,35,40,45,50)/100*(Inputs!$B$11-Inputs!$B$11),0))))/100+(Inputs!$B$23+0+(IF(ArtifactsInput!$M$15,CHOOSE(ArtifactsInput!$N$15+1,25,30,35,40,45,50)/100*(Inputs!$B$11-Inputs!$B$11),0)))/100)/2</f>
        <v/>
      </c>
      <c r="M930">
        <f>L930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(1-Summary!$B$11)*T930+Summary!$B$11*V930</f>
        <v/>
      </c>
      <c r="P930">
        <f>IF(B965=0,0,O930/B965)</f>
        <v/>
      </c>
      <c r="Q930" t="n">
        <v>0</v>
      </c>
      <c r="R930" t="n">
        <v>0</v>
      </c>
      <c r="S930">
        <f>IFERROR(O930/N930,0)</f>
        <v/>
      </c>
      <c r="T930">
        <f>IF(C930,(Skills!G4*N930*B967/B966)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930*(1-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290*U929/1000</f>
        <v/>
      </c>
      <c r="V930">
        <f>IF(C930,(Skills!G4*N930*B967/B966)*IF(Inputs!$B$38="pvp",1,(1+(Inputs!$B$21+Skills!Q4+(IF(ArtifactsInput!$M$33,CHOOSE(ArtifactsInput!$N$33+1,30,36,42,48,54,60),0))+(IF(AND(ArtifactsInput!$M$35,Inputs!$B$4&lt;&gt;"Chapter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Skills!A5</f>
        <v/>
      </c>
      <c r="B931">
        <f>Skills!B5</f>
        <v/>
      </c>
      <c r="C931">
        <f>Inputs!$B$3&gt;=66</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t="inlineStr"/>
      <c r="K931" t="inlineStr"/>
      <c r="L931" t="inlineStr"/>
      <c r="M931" t="inlineStr"/>
      <c r="N931" t="inlineStr"/>
      <c r="O931">
        <f>(1-Summary!$B$11)*T931+Summary!$B$11*V931</f>
        <v/>
      </c>
      <c r="P931">
        <f>IF(B965=0,0,O931/B965)</f>
        <v/>
      </c>
      <c r="Q931" t="n">
        <v>0</v>
      </c>
      <c r="R931" t="n">
        <v>0</v>
      </c>
      <c r="S931">
        <f>IFERROR(O931/N931,0)</f>
        <v/>
      </c>
      <c r="T931" t="n">
        <v>0</v>
      </c>
      <c r="V931" t="n">
        <v>0</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938=TRUE,F938,0)/100)*(1+(IF(Skills!A6="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946=TRUE)*(F946-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f>IFERROR(1/(IF(Inputs!$B$38="pvp",15,MAX(0.1,Skills!D6-IF(TRUE=TRUE,Inputs!$B$32,0)))*(1-IF(AND(ArtifactsInput!$M$27,Inputs!$B$4="Chapter Hunt"),CHOOSE(ArtifactsInput!$N$27+1,20,24,28,32,36,40),0)/100)),0)</f>
        <v/>
      </c>
      <c r="R932">
        <f>IF(AND(Inputs!$B$38&lt;&gt;"pvp",Inputs!$B$43&gt;0),IF(MAX(0,Inputs!$B$43-B962)&lt;=0,0,(INT(MAX(0,Inputs!$B$43-B962)/(IF(Inputs!$B$38="pvp",15,MAX(0.1,Skills!D6-IF(TRUE=TRUE,Inputs!$B$32,0)))*(1-IF(AND(ArtifactsInput!$M$27,Inputs!$B$4="Chapter Hunt"),CHOOSE(ArtifactsInput!$N$27+1,20,24,28,32,36,40),0)/100)))+1)),0)</f>
        <v/>
      </c>
      <c r="S932">
        <f>IFERROR(O932/N932,0)</f>
        <v/>
      </c>
      <c r="T932">
        <f>IF(C932,(H932*N932*IF(AND(Inputs!$B$38&lt;&gt;"pvp",Inputs!$B$43&gt;0),((Skills!G6*((R932-1)*IF(Skills!H6&gt;0,Skills!I6/Skills!H6,1)+IF(Skills!H6&gt;0,MIN(Skills!I6,MAX(0,MAX(0,Inputs!$B$43-B962)-((R932-1)*(IF(Inputs!$B$38="pvp",15,MAX(0.1,Skills!D6-IF(TRUE=TRUE,Inputs!$B$32,0)))*(1-IF(AND(ArtifactsInput!$M$27,Inputs!$B$4="Chapter Hunt"),CHOOSE(ArtifactsInput!$N$27+1,20,24,28,32,36,40),0)/100)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962)-((R932-1)*(IF(Inputs!$B$38="pvp",15,MAX(0.1,Skills!D6-IF(TRUE=TRUE,Inputs!$B$32,0)))*(1-IF(AND(ArtifactsInput!$M$27,Inputs!$B$4="Chapter Hunt"),CHOOSE(ArtifactsInput!$N$27+1,20,24,28,32,36,40),0)/100)))))/Skills!H6,1)))/Inputs!$B$43),G932*Q932))*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Inputs!$B$3&gt;=103</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946=TRUE)*(F946-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f>IFERROR(1/(IF(Inputs!$B$38="pvp",15,MAX(0.1,Skills!D7-IF(TRUE=TRUE,Inputs!$B$32,0)))*(1-IF(AND(ArtifactsInput!$M$27,Inputs!$B$4="Chapter Hunt"),CHOOSE(ArtifactsInput!$N$27+1,20,24,28,32,36,40),0)/100)),0)</f>
        <v/>
      </c>
      <c r="R933">
        <f>IF(AND(Inputs!$B$38&lt;&gt;"pvp",Inputs!$B$43&gt;0),IF(MAX(0,Inputs!$B$43-B962)&lt;=0,0,(INT(MAX(0,Inputs!$B$43-B962)/(IF(Inputs!$B$38="pvp",15,MAX(0.1,Skills!D7-IF(TRUE=TRUE,Inputs!$B$32,0)))*(1-IF(AND(ArtifactsInput!$M$27,Inputs!$B$4="Chapter Hunt"),CHOOSE(ArtifactsInput!$N$27+1,20,24,28,32,36,40),0)/100)))+1)),0)</f>
        <v/>
      </c>
      <c r="S933">
        <f>IFERROR(O933/N933,0)</f>
        <v/>
      </c>
      <c r="T933">
        <f>IF(C933,(H933*N933*IF(AND(Inputs!$B$38&lt;&gt;"pvp",Inputs!$B$43&gt;0),((Skills!G7*((R933-1)*IF(Skills!H7&gt;0,Skills!I7/Skills!H7,1)+IF(Skills!H7&gt;0,MIN(Skills!I7,MAX(0,MAX(0,Inputs!$B$43-B962)-((R933-1)*(IF(Inputs!$B$38="pvp",15,MAX(0.1,Skills!D7-IF(TRUE=TRUE,Inputs!$B$32,0)))*(1-IF(AND(ArtifactsInput!$M$27,Inputs!$B$4="Chapter Hunt"),CHOOSE(ArtifactsInput!$N$27+1,20,24,28,32,36,40),0)/100)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962)-((R933-1)*(IF(Inputs!$B$38="pvp",15,MAX(0.1,Skills!D7-IF(TRUE=TRUE,Inputs!$B$32,0)))*(1-IF(AND(ArtifactsInput!$M$27,Inputs!$B$4="Chapter Hunt"),CHOOSE(ArtifactsInput!$N$27+1,20,24,28,32,36,40),0)/100)))))/Skills!H7,1)))/Inputs!$B$43),G933*Q933))*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Inputs!$B$3&gt;=117</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f>Skills!G8*IF(Skills!H8&gt;0,Skills!I8/Skills!H8,1)</f>
        <v/>
      </c>
      <c r="H934">
        <f>1-(1-Skills!J8/100)^Skills!K8</f>
        <v/>
      </c>
      <c r="I934" t="inlineStr">
        <is>
          <t>1</t>
        </is>
      </c>
      <c r="J934">
        <f>((Inputs!$B$6*(1+Inputs!$B$7/100))+(((Inputs!$B$12*(1+Inputs!$B$13/100))-(Inputs!$B$12*(1+Inputs!$B$13/100)))+0.25*(Inputs!$B$14-Inputs!$B$14))*(1+Inputs!$B$7/100))*(F934/100)</f>
        <v/>
      </c>
      <c r="K934">
        <f>J934*(1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C946=TRUE)*(F946-Calc!F20)),(Inputs!$B$23+0+(IF(ArtifactsInput!$M$15,CHOOSE(ArtifactsInput!$N$15+1,25,30,35,40,45,50)/100*(Inputs!$B$11-Inputs!$B$11),0))))/100+(Inputs!$B$23+0+(IF(ArtifactsInput!$M$15,CHOOSE(ArtifactsInput!$N$15+1,25,30,35,40,45,50)/100*(Inputs!$B$11-Inputs!$B$11),0)))/100)/2</f>
        <v/>
      </c>
      <c r="M934">
        <f>L934*(1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(1-Summary!$B$11)*T934+Summary!$B$11*V934</f>
        <v/>
      </c>
      <c r="P934">
        <f>IF(B965=0,0,O934/B965)</f>
        <v/>
      </c>
      <c r="Q934">
        <f>IFERROR(1/(IF(Inputs!$B$38="pvp",15,MAX(0.1,Skills!D8-IF(TRUE=TRUE,Inputs!$B$32,0)))*(1-IF(AND(ArtifactsInput!$M$27,Inputs!$B$4="Chapter Hunt"),CHOOSE(ArtifactsInput!$N$27+1,20,24,28,32,36,40),0)/100)),0)</f>
        <v/>
      </c>
      <c r="R934">
        <f>IF(AND(Inputs!$B$38&lt;&gt;"pvp",Inputs!$B$43&gt;0),IF(MAX(0,Inputs!$B$43-B962)&lt;=0,0,(INT(MAX(0,Inputs!$B$43-B962)/(IF(Inputs!$B$38="pvp",15,MAX(0.1,Skills!D8-IF(TRUE=TRUE,Inputs!$B$32,0)))*(1-IF(AND(ArtifactsInput!$M$27,Inputs!$B$4="Chapter Hunt"),CHOOSE(ArtifactsInput!$N$27+1,20,24,28,32,36,40),0)/100)))+1)),0)</f>
        <v/>
      </c>
      <c r="S934">
        <f>IFERROR(O934/N934,0)</f>
        <v/>
      </c>
      <c r="T934">
        <f>IF(C934,(H934*N934*IF(AND(Inputs!$B$38&lt;&gt;"pvp",Inputs!$B$43&gt;0),((Skills!G8*((R934-1)*IF(Skills!H8&gt;0,Skills!I8/Skills!H8,1)+IF(Skills!H8&gt;0,MIN(Skills!I8,MAX(0,MAX(0,Inputs!$B$43-B962)-((R934-1)*(IF(Inputs!$B$38="pvp",15,MAX(0.1,Skills!D8-IF(TRUE=TRUE,Inputs!$B$32,0)))*(1-IF(AND(ArtifactsInput!$M$27,Inputs!$B$4="Chapter Hunt"),CHOOSE(ArtifactsInput!$N$27+1,20,24,28,32,36,40),0)/100)))))/Skills!H8,1)))/Inputs!$B$43),G934*Q934)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934*(1-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4">
        <f>IF(C934,(H934*N934*IF(AND(Inputs!$B$38&lt;&gt;"pvp",Inputs!$B$43&gt;0),((Skills!G8*((R934-1)*IF(Skills!H8&gt;0,Skills!I8/Skills!H8,1)+IF(Skills!H8&gt;0,MIN(Skills!I8,MAX(0,MAX(0,Inputs!$B$43-B962)-((R934-1)*(IF(Inputs!$B$38="pvp",15,MAX(0.1,Skills!D8-IF(TRUE=TRUE,Inputs!$B$32,0)))*(1-IF(AND(ArtifactsInput!$M$27,Inputs!$B$4="Chapter Hunt"),CHOOSE(ArtifactsInput!$N$27+1,20,24,28,32,36,40),0)/100)))))/Skills!H8,1)))/Inputs!$B$43),G934*Q934))*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Skills!A9</f>
        <v/>
      </c>
      <c r="B935">
        <f>Skills!B9</f>
        <v/>
      </c>
      <c r="C935">
        <f>Inputs!$B$3&gt;=120</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B967</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946=TRUE)*(F946-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IFERROR(1/(IF(Inputs!$B$38="pvp",15,MAX(0.1,Skills!D9-IF(TRUE=TRUE,Inputs!$B$32,0)))*(1-IF(AND(ArtifactsInput!$M$27,Inputs!$B$4="Chapter Hunt"),CHOOSE(ArtifactsInput!$N$27+1,20,24,28,32,36,40),0)/100)),0)</f>
        <v/>
      </c>
      <c r="R935">
        <f>IF(AND(Inputs!$B$38&lt;&gt;"pvp",Inputs!$B$43&gt;0),IF(MAX(0,Inputs!$B$43-B962)&lt;=0,0,(INT(MAX(0,Inputs!$B$43-B962)/(IF(Inputs!$B$38="pvp",15,MAX(0.1,Skills!D9-IF(TRUE=TRUE,Inputs!$B$32,0)))*(1-IF(AND(ArtifactsInput!$M$27,Inputs!$B$4="Chapter Hunt"),CHOOSE(ArtifactsInput!$N$27+1,20,24,28,32,36,40),0)/100)))+1)),0)</f>
        <v/>
      </c>
      <c r="S935">
        <f>IFERROR(O935/N935,0)</f>
        <v/>
      </c>
      <c r="T935">
        <f>IF(C935,(H935*N935*IF(AND(Inputs!$B$38&lt;&gt;"pvp",Inputs!$B$43&gt;0),((Skills!G9*((R935-1)*IF(Skills!H9&gt;0,Skills!I9/Skills!H9,1)+IF(Skills!H9&gt;0,MIN(Skills!I9,MAX(0,MAX(0,Inputs!$B$43-B962)-((R935-1)*(IF(Inputs!$B$38="pvp",15,MAX(0.1,Skills!D9-IF(TRUE=TRUE,Inputs!$B$32,0)))*(1-IF(AND(ArtifactsInput!$M$27,Inputs!$B$4="Chapter Hunt"),CHOOSE(ArtifactsInput!$N$27+1,20,24,28,32,36,40),0)/100)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962)-((R935-1)*(IF(Inputs!$B$38="pvp",15,MAX(0.1,Skills!D9-IF(TRUE=TRUE,Inputs!$B$32,0)))*(1-IF(AND(ArtifactsInput!$M$27,Inputs!$B$4="Chapter Hunt"),CHOOSE(ArtifactsInput!$N$27+1,20,24,28,32,36,40),0)/100)))))/Skills!H9,1)))/Inputs!$B$43),G935*Q935))*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Inputs!$B$3&gt;=105</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946=TRUE)*(F946-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IFERROR(1/(IF(Inputs!$B$38="pvp",15,MAX(0.1,Skills!D10-IF(TRUE=TRUE,Inputs!$B$32,0)))*(1-IF(AND(ArtifactsInput!$M$27,Inputs!$B$4="Chapter Hunt"),CHOOSE(ArtifactsInput!$N$27+1,20,24,28,32,36,40),0)/100)),0)</f>
        <v/>
      </c>
      <c r="R936">
        <f>IF(AND(Inputs!$B$38&lt;&gt;"pvp",Inputs!$B$43&gt;0),IF(MAX(0,Inputs!$B$43-B962)&lt;=0,0,(INT(MAX(0,Inputs!$B$43-B962)/(IF(Inputs!$B$38="pvp",15,MAX(0.1,Skills!D10-IF(TRUE=TRUE,Inputs!$B$32,0)))*(1-IF(AND(ArtifactsInput!$M$27,Inputs!$B$4="Chapter Hunt"),CHOOSE(ArtifactsInput!$N$27+1,20,24,28,32,36,40),0)/100)))+1)),0)</f>
        <v/>
      </c>
      <c r="S936">
        <f>IFERROR(O936/N936,0)</f>
        <v/>
      </c>
      <c r="T936">
        <f>IF(C936,(H936*N936*IF(AND(Inputs!$B$38&lt;&gt;"pvp",Inputs!$B$43&gt;0),((Skills!G10*((R936-1)*IF(Skills!H10&gt;0,Skills!I10/Skills!H10,1)+IF(Skills!H10&gt;0,MIN(Skills!I10,MAX(0,MAX(0,Inputs!$B$43-B962)-((R936-1)*(IF(Inputs!$B$38="pvp",15,MAX(0.1,Skills!D10-IF(TRUE=TRUE,Inputs!$B$32,0)))*(1-IF(AND(ArtifactsInput!$M$27,Inputs!$B$4="Chapter Hunt"),CHOOSE(ArtifactsInput!$N$27+1,20,24,28,32,36,40),0)/100)))))/Skills!H10,1)))/Inputs!$B$43),G936*Q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10*((R936-1)*IF(Skills!H10&gt;0,Skills!I10/Skills!H10,1)+IF(Skills!H10&gt;0,MIN(Skills!I10,MAX(0,MAX(0,Inputs!$B$43-B962)-((R936-1)*(IF(Inputs!$B$38="pvp",15,MAX(0.1,Skills!D10-IF(TRUE=TRUE,Inputs!$B$32,0)))*(1-IF(AND(ArtifactsInput!$M$27,Inputs!$B$4="Chapter Hunt"),CHOOSE(ArtifactsInput!$N$27+1,20,24,28,32,36,40),0)/100)))))/Skills!H10,1)))/Inputs!$B$43),G936*Q936))*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Inputs!$B$3&gt;=113</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946=TRUE)*(F946-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t="n">
        <v>0</v>
      </c>
      <c r="R937" t="n">
        <v>0</v>
      </c>
      <c r="S937">
        <f>IFERROR(O937/N937,0)</f>
        <v/>
      </c>
      <c r="T937">
        <f>IF(C937,((H937*B968)/(1+Skills!H11*H937*B968)*N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IF(C937,((H937*B968)/(1+Skills!H11*H937*B968)*N937)*IF(Inputs!$B$38="pvp",1,(1+(Inputs!$B$21+Skills!Q11+(IF(ArtifactsInput!$M$33,CHOOSE(ArtifactsInput!$N$33+1,30,36,42,48,54,60),0))+(IF(AND(ArtifactsInput!$M$35,Inputs!$B$4&lt;&gt;"Chapter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Inputs!$B$3&gt;=100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t="inlineStr"/>
      <c r="H938" t="inlineStr"/>
      <c r="I938" t="inlineStr">
        <is>
          <t>1</t>
        </is>
      </c>
      <c r="J938" t="inlineStr"/>
      <c r="K938" t="inlineStr"/>
      <c r="L938" t="inlineStr"/>
      <c r="M938" t="inlineStr"/>
      <c r="N938" t="inlineStr"/>
      <c r="O938" t="inlineStr"/>
      <c r="P938" t="inlineStr"/>
      <c r="Q938" t="inlineStr"/>
      <c r="R938" t="inlineStr"/>
      <c r="S938" t="inlineStr"/>
      <c r="T938" t="inlineStr"/>
      <c r="V938" t="inlineStr"/>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IF(B965=0,0,O939/B965)</f>
        <v/>
      </c>
      <c r="Q939" t="n">
        <v>0</v>
      </c>
      <c r="R939" t="n">
        <v>0</v>
      </c>
      <c r="S939">
        <f>IFERROR(O939/N939,0)</f>
        <v/>
      </c>
      <c r="T939" t="n">
        <v>0</v>
      </c>
      <c r="V939" t="n">
        <v>0</v>
      </c>
    </row>
    <row r="940">
      <c r="A940">
        <f>Skills!A14</f>
        <v/>
      </c>
      <c r="B940">
        <f>Skills!B14</f>
        <v/>
      </c>
      <c r="C940">
        <f>Inputs!$B$3&gt;=115</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IF(B965=0,0,O940/B965)</f>
        <v/>
      </c>
      <c r="Q940">
        <f>IFERROR(1/(IF(Inputs!$B$38="pvp",15,MAX(0.1,Skills!D14-IF(TRUE=TRUE,Inputs!$B$32,0)))*(1-IF(AND(ArtifactsInput!$M$27,Inputs!$B$4="Chapter Hunt"),CHOOSE(ArtifactsInput!$N$27+1,20,24,28,32,36,40),0)/100)),0)</f>
        <v/>
      </c>
      <c r="R940">
        <f>IF(AND(Inputs!$B$38&lt;&gt;"pvp",Inputs!$B$43&gt;0),IF(Inputs!$B$43&lt;=0,0,(INT(Inputs!$B$43/(IF(Inputs!$B$38="pvp",15,MAX(0.1,Skills!D14-IF(TRUE=TRUE,Inputs!$B$32,0)))*(1-IF(AND(ArtifactsInput!$M$27,Inputs!$B$4="Chapter Hunt"),CHOOSE(ArtifactsInput!$N$27+1,20,24,28,32,36,40),0)/100)))+1)),0)</f>
        <v/>
      </c>
      <c r="S940">
        <f>IFERROR(O940/N940,0)</f>
        <v/>
      </c>
      <c r="T940" t="n">
        <v>0</v>
      </c>
      <c r="V940" t="n">
        <v>0</v>
      </c>
    </row>
    <row r="941">
      <c r="A941">
        <f>Skills!A15</f>
        <v/>
      </c>
      <c r="B941">
        <f>Skills!B15</f>
        <v/>
      </c>
      <c r="C941">
        <f>Inputs!$B$3&gt;=125</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IF(B965=0,0,O941/B965)</f>
        <v/>
      </c>
      <c r="Q941">
        <f>IFERROR(1/(IF(Inputs!$B$38="pvp",15,MAX(0.1,Skills!D15-IF(TRUE=TRUE,Inputs!$B$32,0)))*(1-IF(AND(ArtifactsInput!$M$27,Inputs!$B$4="Chapter Hunt"),CHOOSE(ArtifactsInput!$N$27+1,20,24,28,32,36,40),0)/100)),0)</f>
        <v/>
      </c>
      <c r="R941">
        <f>IF(AND(Inputs!$B$38&lt;&gt;"pvp",Inputs!$B$43&gt;0),IF(Inputs!$B$43&lt;=0,0,(INT(Inputs!$B$43/(IF(Inputs!$B$38="pvp",15,MAX(0.1,Skills!D15-IF(TRUE=TRUE,Inputs!$B$32,0)))*(1-IF(AND(ArtifactsInput!$M$27,Inputs!$B$4="Chapter Hunt"),CHOOSE(ArtifactsInput!$N$27+1,20,24,28,32,36,40),0)/100)))+1)),0)</f>
        <v/>
      </c>
      <c r="S941">
        <f>IFERROR(O941/N941,0)</f>
        <v/>
      </c>
      <c r="T941" t="n">
        <v>0</v>
      </c>
      <c r="V941" t="n">
        <v>0</v>
      </c>
    </row>
    <row r="942">
      <c r="A942">
        <f>Skills!A16</f>
        <v/>
      </c>
      <c r="B942">
        <f>Skills!B16</f>
        <v/>
      </c>
      <c r="C942">
        <f>Inputs!$B$3&gt;=10</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Skills!A17</f>
        <v/>
      </c>
      <c r="B943">
        <f>Skills!B17</f>
        <v/>
      </c>
      <c r="C943">
        <f>Inputs!$B$3&gt;=15</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Skills!A18</f>
        <v/>
      </c>
      <c r="B944">
        <f>Skills!B18</f>
        <v/>
      </c>
      <c r="C944">
        <f>Inputs!$B$3&gt;=33</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Skills!A19</f>
        <v/>
      </c>
      <c r="B945">
        <f>Skills!B19</f>
        <v/>
      </c>
      <c r="C945">
        <f>Inputs!$B$3&gt;=40</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Skills!A20</f>
        <v/>
      </c>
      <c r="B946">
        <f>Skills!B20</f>
        <v/>
      </c>
      <c r="C946">
        <f>Inputs!$B$3&gt;=43</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Skills!A21</f>
        <v/>
      </c>
      <c r="B947">
        <f>Skills!B21</f>
        <v/>
      </c>
      <c r="C947">
        <f>Inputs!$B$3&gt;=38</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Skills!A22</f>
        <v/>
      </c>
      <c r="B948">
        <f>Skills!B22</f>
        <v/>
      </c>
      <c r="C948">
        <f>Inputs!$B$3&gt;=75</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Skills!A23</f>
        <v/>
      </c>
      <c r="B949">
        <f>Skills!B23</f>
        <v/>
      </c>
      <c r="C949">
        <f>TRUE</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IF(B965=0,0,O949/B965)</f>
        <v/>
      </c>
      <c r="Q949">
        <f>IFERROR(1/(IF(Inputs!$B$38="pvp",15,MAX(0.1,Skills!D23-IF(TRUE=TRUE,Inputs!$B$32,0)))*(1-IF(AND(ArtifactsInput!$M$27,Inputs!$B$4="Chapter Hunt"),CHOOSE(ArtifactsInput!$N$27+1,20,24,28,32,36,40),0)/100)),0)</f>
        <v/>
      </c>
      <c r="R949">
        <f>IF(AND(Inputs!$B$38&lt;&gt;"pvp",Inputs!$B$43&gt;0),IF(Inputs!$B$43&lt;=0,0,(INT(Inputs!$B$43/(IF(Inputs!$B$38="pvp",15,MAX(0.1,Skills!D23-IF(TRUE=TRUE,Inputs!$B$32,0)))*(1-IF(AND(ArtifactsInput!$M$27,Inputs!$B$4="Chapter Hunt"),CHOOSE(ArtifactsInput!$N$27+1,20,24,28,32,36,40),0)/100)))+1)),0)</f>
        <v/>
      </c>
      <c r="S949">
        <f>IFERROR(O949/N949,0)</f>
        <v/>
      </c>
      <c r="T949" t="n">
        <v>0</v>
      </c>
      <c r="V949" t="n">
        <v>0</v>
      </c>
    </row>
    <row r="950">
      <c r="A950">
        <f>Skills!A24</f>
        <v/>
      </c>
      <c r="B950">
        <f>Skills!B24</f>
        <v/>
      </c>
      <c r="C950">
        <f>Inputs!$B$3&gt;=107</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IF(B965=0,0,O950/B965)</f>
        <v/>
      </c>
      <c r="Q950">
        <f>IFERROR(1/(IF(Inputs!$B$38="pvp",15,MAX(0.1,Skills!D24-IF(TRUE=TRUE,Inputs!$B$32,0)))*(1-IF(AND(ArtifactsInput!$M$27,Inputs!$B$4="Chapter Hunt"),CHOOSE(ArtifactsInput!$N$27+1,20,24,28,32,36,40),0)/100)),0)</f>
        <v/>
      </c>
      <c r="R950">
        <f>IF(AND(Inputs!$B$38&lt;&gt;"pvp",Inputs!$B$43&gt;0),IF(Inputs!$B$43&lt;=0,0,(INT(Inputs!$B$43/(IF(Inputs!$B$38="pvp",15,MAX(0.1,Skills!D24-IF(TRUE=TRUE,Inputs!$B$32,0)))*(1-IF(AND(ArtifactsInput!$M$27,Inputs!$B$4="Chapter Hunt"),CHOOSE(ArtifactsInput!$N$27+1,20,24,28,32,36,40),0)/100)))+1)),0)</f>
        <v/>
      </c>
      <c r="S950">
        <f>IFERROR(O950/N950,0)</f>
        <v/>
      </c>
      <c r="T950" t="n">
        <v>0</v>
      </c>
      <c r="V950" t="n">
        <v>0</v>
      </c>
    </row>
    <row r="951">
      <c r="A951">
        <f>Skills!A25</f>
        <v/>
      </c>
      <c r="B951">
        <f>Skills!B25</f>
        <v/>
      </c>
      <c r="C951">
        <f>Inputs!$B$3&gt;=110</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t="inlineStr"/>
      <c r="H951" t="inlineStr"/>
      <c r="I951" t="inlineStr">
        <is>
          <t>1</t>
        </is>
      </c>
      <c r="J951" t="inlineStr"/>
      <c r="K951" t="inlineStr"/>
      <c r="L951" t="inlineStr"/>
      <c r="M951" t="inlineStr"/>
      <c r="N951" t="inlineStr"/>
      <c r="O951" t="inlineStr"/>
      <c r="P951" t="inlineStr"/>
      <c r="Q951" t="inlineStr"/>
      <c r="R951" t="inlineStr"/>
      <c r="S951" t="inlineStr"/>
      <c r="T951" t="inlineStr"/>
      <c r="V951" t="inlineStr"/>
    </row>
    <row r="952">
      <c r="A952">
        <f>Skills!A26</f>
        <v/>
      </c>
      <c r="B952">
        <f>Skills!B26</f>
        <v/>
      </c>
      <c r="C952">
        <f>Inputs!$B$3&gt;=117</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t="inlineStr"/>
      <c r="H952" t="inlineStr"/>
      <c r="I952" t="inlineStr">
        <is>
          <t>1</t>
        </is>
      </c>
      <c r="J952" t="inlineStr"/>
      <c r="K952" t="inlineStr"/>
      <c r="L952" t="inlineStr"/>
      <c r="M952" t="inlineStr"/>
      <c r="N952" t="inlineStr"/>
      <c r="O952" t="inlineStr"/>
      <c r="P952" t="inlineStr"/>
      <c r="Q952" t="inlineStr"/>
      <c r="R952" t="inlineStr"/>
      <c r="S952" t="inlineStr"/>
      <c r="T952" t="inlineStr"/>
      <c r="V952" t="inlineStr"/>
    </row>
    <row r="954">
      <c r="A954" t="inlineStr">
        <is>
          <t>Attack% Bucket Multiplier</t>
        </is>
      </c>
      <c r="B954">
        <f>(1+(((C939=TRUE)*F939*5/7)+((C945=TRUE)*(F945-Calc!F19))+(IF(ArtifactsInput!$M$21,CHOOSE(ArtifactsInput!$N$21+1,25,30,35,40,45,50)*(IF(OR(Inputs!$B$4="Chapter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 Speed Infusion, duty-cycle averaged)</t>
        </is>
      </c>
      <c r="B956">
        <f>((C949=TRUE)*F949*IF(AND(Inputs!$B$38&lt;&gt;"pvp",Inputs!$B$43&gt;0),(((R949-1)*MIN((Skills!T23*(1+Inputs!$B$34/100)),(1/Q949))+MIN((Skills!T23*(1+Inputs!$B$34/100)),MAX(0,Inputs!$B$43-((R949-1)*(1/Q949)))))/Inputs!$B$43),IF(Inputs!$B$38="pvp",MIN((Skills!T23*(1+Inputs!$B$34/100)),15)/15,MIN(1,(Skills!T23*(1+Inputs!$B$34/100))/(1/Q949)))))+((C950=TRUE)*F950*IF(AND(Inputs!$B$38&lt;&gt;"pvp",Inputs!$B$43&gt;0),(((R950-1)*MIN((Skills!T24*(1+Inputs!$B$34/100)),(1/Q950))+MIN((Skills!T24*(1+Inputs!$B$34/100)),MAX(0,Inputs!$B$43-((R950-1)*(1/Q950)))))/Inputs!$B$43),IF(Inputs!$B$38="pvp",MIN((Skills!T24*(1+Inputs!$B$34/100)),15)/15,MIN(1,(Skills!T24*(1+Inputs!$B$34/100))/(1/Q950)))))</f>
        <v/>
      </c>
    </row>
    <row r="957">
      <c r="A957" t="inlineStr">
        <is>
          <t>Actions Per Second</t>
        </is>
      </c>
      <c r="B957">
        <f>1+MIN(150,150*(1-(1-(Inputs!$B$11+((C943=TRUE)*(F943-Calc!F17))+((C944=TRUE)*(F944-Calc!F18)))/150)*(1-B956/150)))/100</f>
        <v/>
      </c>
    </row>
    <row r="958">
      <c r="A958" t="inlineStr">
        <is>
          <t>Skill + Buff Cast Rate</t>
        </is>
      </c>
      <c r="B958">
        <f>IF(AND(Inputs!$B$38&lt;&gt;"pvp",Inputs!$B$43&gt;0),SUMPRODUCT((Skills!E2:E26=TRUE)*(C928:C952=TRUE)*R928:R952*Skills!F2:F26)/Inputs!$B$43,SUMPRODUCT((Skills!E2:E26=TRUE)*(C928:C952=TRUE)*Q928:Q952*Skills!F2:F26))</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931=TRUE)*(F931*B967+4*(1-B967)))+((C940=TRUE)*F940*IF(AND(Inputs!$B$38&lt;&gt;"pvp",Inputs!$B$43&gt;0),(((R940-1)*MIN((Skills!T14*(1+Inputs!$B$34/100)),(1/Q940))+MIN((Skills!T14*(1+Inputs!$B$34/100)),MAX(0,Inputs!$B$43-((R940-1)*(1/Q940)))))/Inputs!$B$43),IF(Inputs!$B$38="pvp",MIN((Skills!T14*(1+Inputs!$B$34/100)),15)/15,MIN(1,(Skills!T14*(1+Inputs!$B$34/100))/(1/Q940)))))+((C941=TRUE)*F941*IF(AND(Inputs!$B$38&lt;&gt;"pvp",Inputs!$B$43&gt;0),(((R941-1)*MIN((Skills!T15*(1+Inputs!$B$34/100)),(1/Q941))+MIN((Skills!T15*(1+Inputs!$B$34/100)),MAX(0,Inputs!$B$43-((R941-1)*(1/Q941)))))/Inputs!$B$43),IF(Inputs!$B$38="pvp",MIN((Skills!T15*(1+Inputs!$B$34/100)),15)/15,MIN(1,(Skills!T15*(1+Inputs!$B$34/100))/(1/Q941)))))+((C950=TRUE)*20*((1+MIN(150,150*(1-(1-(Inputs!$B$11+((C943=TRUE)*(F943-Calc!F17))+((C944=TRUE)*(F944-Calc!F18)))/150)*(1-(((C949=TRUE)*F949*IF(AND(Inputs!$B$38&lt;&gt;"pvp",Inputs!$B$43&gt;0),(((R949-1)*MIN((Skills!T23*(1+Inputs!$B$34/100)),(1/Q949))+MIN((Skills!T23*(1+Inputs!$B$34/100)),MAX(0,Inputs!$B$43-((R949-1)*(1/Q949)))))/Inputs!$B$43),IF(Inputs!$B$38="pvp",MIN((Skills!T23*(1+Inputs!$B$34/100)),15)/15,MIN(1,(Skills!T23*(1+Inputs!$B$34/100))/(1/Q949)))))+F950)/150)))/100)-1)*IF(AND(Inputs!$B$38&lt;&gt;"pvp",Inputs!$B$43&gt;0),(((R950-1)*MIN((Skills!T24*(1+Inputs!$B$34/100)),(1/Q950))+MIN((Skills!T24*(1+Inputs!$B$34/100)),MAX(0,Inputs!$B$43-((R950-1)*(1/Q950)))))/Inputs!$B$43),IF(Inputs!$B$38="pvp",MIN((Skills!T24*(1+Inputs!$B$34/100)),15)/15,MIN(1,(Skills!T24*(1+Inputs!$B$34/100))/(1/Q950)))))</f>
        <v/>
      </c>
    </row>
    <row r="962">
      <c r="A962" t="inlineStr">
        <is>
          <t>Buff-Casting Startup Delay (s, fixed-duration only)</t>
        </is>
      </c>
      <c r="B962">
        <f>IF(AND(Inputs!$B$38&lt;&gt;"pvp",Inputs!$B$43&gt;0),SUMPRODUCT((Skills!T2:T26&gt;0)*(Skills!E2:E26=TRUE)*(C928:C952=TRUE))/B957,0)</f>
        <v/>
      </c>
    </row>
    <row r="963">
      <c r="A963" t="inlineStr">
        <is>
          <t>Boss-Only Total DPS (this block's swept value)</t>
        </is>
      </c>
      <c r="B963">
        <f>SUM(T928:T952)</f>
        <v/>
      </c>
    </row>
    <row r="964">
      <c r="A964" t="inlineStr">
        <is>
          <t>Normal-Only Total DPS (this block's swept value)</t>
        </is>
      </c>
      <c r="B964">
        <f>SUM(V928:V952)</f>
        <v/>
      </c>
    </row>
    <row r="965">
      <c r="A965" s="6" t="inlineStr">
        <is>
          <t>TOTAL DPS</t>
        </is>
      </c>
      <c r="B965" s="6">
        <f>SUM(O928:O952)</f>
        <v/>
      </c>
    </row>
    <row r="966">
      <c r="A966" t="inlineStr">
        <is>
          <t>Serpent activation interval T (this block's own Hook Bomber rate)</t>
        </is>
      </c>
      <c r="B966">
        <f>((1/Q929)+IFERROR(0.5/B959,0))</f>
        <v/>
      </c>
    </row>
    <row r="967">
      <c r="A967" t="inlineStr">
        <is>
          <t>Assault Mode uptime u (this block)</t>
        </is>
      </c>
      <c r="B967">
        <f>IF(C931=TRUE,(10+IF(Inputs!$B$3&gt;=94,5,0))/((10+IF(Inputs!$B$3&gt;=94,5,0))+IF(Inputs!$B$3&gt;=104,3,5)*B966),0)</f>
        <v/>
      </c>
    </row>
    <row r="968">
      <c r="A968" t="inlineStr">
        <is>
          <t>Nautilus Strike - Final Attack trigger rate (this block's own Q/R)</t>
        </is>
      </c>
      <c r="B968">
        <f>IF(AND(Inputs!$B$38&lt;&gt;"pvp",Inputs!$B$43&gt;0),(((C932=TRUE)*R932)+((C933=TRUE)*R933)+((C936=TRUE)*R936))/Inputs!$B$43,((C932=TRUE)*Q932)+((C933=TRUE)*Q933)+((C936=TRUE)*Q936))+B959</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991=TRUE)*(F991-Calc!F20)),(Inputs!$B$23+0+(IF(ArtifactsInput!$M$15,CHOOSE(ArtifactsInput!$N$15+1,25,30,35,40,45,50)/100*(Inputs!$B$11-Inputs!$B$11),0))))/100+(Inputs!$B$23+0+(IF(ArtifactsInput!$M$15,CHOOSE(ArtifactsInput!$N$15+1,25,30,35,40,45,50)/100*(Inputs!$B$11-Inputs!$B$11),0)))/100)/2</f>
        <v/>
      </c>
      <c r="M973">
        <f>L973*(1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IF(B1010=0,0,O973/B1010)</f>
        <v/>
      </c>
      <c r="Q973" t="n">
        <v>0</v>
      </c>
      <c r="R973" t="n">
        <v>0</v>
      </c>
      <c r="S973">
        <f>IFERROR(O973/N973,0)</f>
        <v/>
      </c>
      <c r="T973">
        <f>IF(C973,(Skills!G2*N973*B1004)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IF(C973,(Skills!G2*N973*B1004)*IF(Inputs!$B$38="pvp",1,(1+(Inputs!$B$21+Skills!Q2+(IF(ArtifactsInput!$M$33,CHOOSE(ArtifactsInput!$N$33+1,30,36,42,48,54,60),0))+(IF(AND(ArtifactsInput!$M$35,Inputs!$B$4&lt;&gt;"Chapter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Inputs!$B$3&gt;=35</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f>Skills!G3*IF(Skills!H3&gt;0,Skills!I3/Skills!H3,1)</f>
        <v/>
      </c>
      <c r="H974">
        <f>1-(1-Skills!J3/100)^Skills!K3</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996=TRUE,F996,0)/100)*(1+(IF(Skills!A3="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991=TRUE)*(F991-Calc!F20)),(Inputs!$B$23+0+(IF(ArtifactsInput!$M$15,CHOOSE(ArtifactsInput!$N$15+1,25,30,35,40,45,50)/100*(Inputs!$B$11-Inputs!$B$11),0))))/100+(Inputs!$B$23+0+(IF(ArtifactsInput!$M$15,CHOOSE(ArtifactsInput!$N$15+1,25,30,35,40,45,50)/100*(Inputs!$B$11-Inputs!$B$11),0)))/100)/2</f>
        <v/>
      </c>
      <c r="M974">
        <f>L974*(1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IF(B1010=0,0,O974/B1010)</f>
        <v/>
      </c>
      <c r="Q974">
        <f>IFERROR(1/(IF(Inputs!$B$38="pvp",15,MAX(0.1,Skills!D3-IF(TRUE=TRUE,Inputs!$B$32,0)))*(1-IF(AND(ArtifactsInput!$M$27,Inputs!$B$4="Chapter Hunt"),CHOOSE(ArtifactsInput!$N$27+1,20,24,28,32,36,40),0)/100)),0)</f>
        <v/>
      </c>
      <c r="R974">
        <f>IF(AND(Inputs!$B$38&lt;&gt;"pvp",Inputs!$B$43&gt;0),IF(MAX(0,Inputs!$B$43-B1007)&lt;=0,0,(INT(MAX(0,Inputs!$B$43-B1007)/(IF(Inputs!$B$38="pvp",15,MAX(0.1,Skills!D3-IF(TRUE=TRUE,Inputs!$B$32,0)))*(1-IF(AND(ArtifactsInput!$M$27,Inputs!$B$4="Chapter Hunt"),CHOOSE(ArtifactsInput!$N$27+1,20,24,28,32,36,40),0)/100)))+1)),0)</f>
        <v/>
      </c>
      <c r="S974">
        <f>IFERROR(O974/N974,0)</f>
        <v/>
      </c>
      <c r="T974">
        <f>IF(C974,(Skills!G3*N974*IF(C975=TRUE,1-B1012,1)/B1011)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INDEX(FactorTable!$B$2:$Y$301, MATCH(ROUND(MIN(300,MAX(1,U973)),0), FactorTable!$A$2:$A$301,0), 22)</f>
        <v/>
      </c>
      <c r="V974">
        <f>IF(C974,(Skills!G3*N974*IF(C975=TRUE,1-B1012,1)/B1011)*IF(Inputs!$B$38="pvp",1,(1+(Inputs!$B$21+Skills!Q3+(IF(ArtifactsInput!$M$33,CHOOSE(ArtifactsInput!$N$33+1,30,36,42,48,54,60),0))+(IF(AND(ArtifactsInput!$M$35,Inputs!$B$4&lt;&gt;"Chapter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Skills!A4</f>
        <v/>
      </c>
      <c r="B975">
        <f>Skills!B4</f>
        <v/>
      </c>
      <c r="C975">
        <f>Inputs!$B$3&gt;=69</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f>Skills!G4*IF(Skills!H4&gt;0,Skills!I4/Skills!H4,1)</f>
        <v/>
      </c>
      <c r="H975">
        <f>1-(1-Skills!J4/100)^Skills!K4</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983=TRUE,F983,0)/100)*(1+(IF(Skills!A4="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991=TRUE)*(F991-Calc!F20)),(Inputs!$B$23+0+(IF(ArtifactsInput!$M$15,CHOOSE(ArtifactsInput!$N$15+1,25,30,35,40,45,50)/100*(Inputs!$B$11-Inputs!$B$11),0))))/100+(Inputs!$B$23+0+(IF(ArtifactsInput!$M$15,CHOOSE(ArtifactsInput!$N$15+1,25,30,35,40,45,50)/100*(Inputs!$B$11-Inputs!$B$11),0)))/100)/2</f>
        <v/>
      </c>
      <c r="M975">
        <f>L975*(1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IF(B1010=0,0,O975/B1010)</f>
        <v/>
      </c>
      <c r="Q975" t="n">
        <v>0</v>
      </c>
      <c r="R975" t="n">
        <v>0</v>
      </c>
      <c r="S975">
        <f>IFERROR(O975/N975,0)</f>
        <v/>
      </c>
      <c r="T975">
        <f>IF(C975,(Skills!G4*N975*B1012/B1011)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5">
        <f>290*U974/1000</f>
        <v/>
      </c>
      <c r="V975">
        <f>IF(C975,(Skills!G4*N975*B1012/B1011)*IF(Inputs!$B$38="pvp",1,(1+(Inputs!$B$21+Skills!Q4+(IF(ArtifactsInput!$M$33,CHOOSE(ArtifactsInput!$N$33+1,30,36,42,48,54,60),0))+(IF(AND(ArtifactsInput!$M$35,Inputs!$B$4&lt;&gt;"Chapter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Skills!A5</f>
        <v/>
      </c>
      <c r="B976">
        <f>Skills!B5</f>
        <v/>
      </c>
      <c r="C976">
        <f>Inputs!$B$3&gt;=66</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t="inlineStr"/>
      <c r="K976" t="inlineStr"/>
      <c r="L976" t="inlineStr"/>
      <c r="M976" t="inlineStr"/>
      <c r="N976" t="inlineStr"/>
      <c r="O976">
        <f>(1-Summary!$B$11)*T976+Summary!$B$11*V976</f>
        <v/>
      </c>
      <c r="P976">
        <f>IF(B1010=0,0,O976/B1010)</f>
        <v/>
      </c>
      <c r="Q976" t="n">
        <v>0</v>
      </c>
      <c r="R976" t="n">
        <v>0</v>
      </c>
      <c r="S976">
        <f>IFERROR(O976/N976,0)</f>
        <v/>
      </c>
      <c r="T976" t="n">
        <v>0</v>
      </c>
      <c r="V976" t="n">
        <v>0</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983=TRUE,F983,0)/100)*(1+(IF(Skills!A6="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991=TRUE)*(F991-Calc!F20)),(Inputs!$B$23+0+(IF(ArtifactsInput!$M$15,CHOOSE(ArtifactsInput!$N$15+1,25,30,35,40,45,50)/100*(Inputs!$B$11-Inputs!$B$11),0))))/100+(Inputs!$B$23+0+(IF(ArtifactsInput!$M$15,CHOOSE(ArtifactsInput!$N$15+1,25,30,35,40,45,50)/100*(Inputs!$B$11-Inputs!$B$11),0)))/100)/2</f>
        <v/>
      </c>
      <c r="M977">
        <f>L977*(1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IF(B1010=0,0,O977/B1010)</f>
        <v/>
      </c>
      <c r="Q977">
        <f>IFERROR(1/(IF(Inputs!$B$38="pvp",15,MAX(0.1,Skills!D6-IF(TRUE=TRUE,Inputs!$B$32,0)))*(1-IF(AND(ArtifactsInput!$M$27,Inputs!$B$4="Chapter Hunt"),CHOOSE(ArtifactsInput!$N$27+1,20,24,28,32,36,40),0)/100)),0)</f>
        <v/>
      </c>
      <c r="R977">
        <f>IF(AND(Inputs!$B$38&lt;&gt;"pvp",Inputs!$B$43&gt;0),IF(MAX(0,Inputs!$B$43-B1007)&lt;=0,0,(INT(MAX(0,Inputs!$B$43-B1007)/(IF(Inputs!$B$38="pvp",15,MAX(0.1,Skills!D6-IF(TRUE=TRUE,Inputs!$B$32,0)))*(1-IF(AND(ArtifactsInput!$M$27,Inputs!$B$4="Chapter Hunt"),CHOOSE(ArtifactsInput!$N$27+1,20,24,28,32,36,40),0)/100)))+1)),0)</f>
        <v/>
      </c>
      <c r="S977">
        <f>IFERROR(O977/N977,0)</f>
        <v/>
      </c>
      <c r="T977">
        <f>IF(C977,(H977*N977*IF(AND(Inputs!$B$38&lt;&gt;"pvp",Inputs!$B$43&gt;0),((Skills!G6*((R977-1)*IF(Skills!H6&gt;0,Skills!I6/Skills!H6,1)+IF(Skills!H6&gt;0,MIN(Skills!I6,MAX(0,MAX(0,Inputs!$B$43-B1007)-((R977-1)*(IF(Inputs!$B$38="pvp",15,MAX(0.1,Skills!D6-IF(TRUE=TRUE,Inputs!$B$32,0)))*(1-IF(AND(ArtifactsInput!$M$27,Inputs!$B$4="Chapter Hunt"),CHOOSE(ArtifactsInput!$N$27+1,20,24,28,32,36,40),0)/100)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1007)-((R977-1)*(IF(Inputs!$B$38="pvp",15,MAX(0.1,Skills!D6-IF(TRUE=TRUE,Inputs!$B$32,0)))*(1-IF(AND(ArtifactsInput!$M$27,Inputs!$B$4="Chapter Hunt"),CHOOSE(ArtifactsInput!$N$27+1,20,24,28,32,36,40),0)/100)))))/Skills!H6,1)))/Inputs!$B$43),G977*Q977))*IF(Inputs!$B$38="pvp",1,(1+(Inputs!$B$21+Skills!Q6+(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Inputs!$B$3&gt;=103</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991=TRUE)*(F991-Calc!F20)),(Inputs!$B$23+0+(IF(ArtifactsInput!$M$15,CHOOSE(ArtifactsInput!$N$15+1,25,30,35,40,45,50)/100*(Inputs!$B$11-Inputs!$B$11),0))))/100+(Inputs!$B$23+0+(IF(ArtifactsInput!$M$15,CHOOSE(ArtifactsInput!$N$15+1,25,30,35,40,45,50)/100*(Inputs!$B$11-Inputs!$B$11),0)))/100)/2</f>
        <v/>
      </c>
      <c r="M978">
        <f>L978*(1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IF(B1010=0,0,O978/B1010)</f>
        <v/>
      </c>
      <c r="Q978">
        <f>IFERROR(1/(IF(Inputs!$B$38="pvp",15,MAX(0.1,Skills!D7-IF(TRUE=TRUE,Inputs!$B$32,0)))*(1-IF(AND(ArtifactsInput!$M$27,Inputs!$B$4="Chapter Hunt"),CHOOSE(ArtifactsInput!$N$27+1,20,24,28,32,36,40),0)/100)),0)</f>
        <v/>
      </c>
      <c r="R978">
        <f>IF(AND(Inputs!$B$38&lt;&gt;"pvp",Inputs!$B$43&gt;0),IF(MAX(0,Inputs!$B$43-B1007)&lt;=0,0,(INT(MAX(0,Inputs!$B$43-B1007)/(IF(Inputs!$B$38="pvp",15,MAX(0.1,Skills!D7-IF(TRUE=TRUE,Inputs!$B$32,0)))*(1-IF(AND(ArtifactsInput!$M$27,Inputs!$B$4="Chapter Hunt"),CHOOSE(ArtifactsInput!$N$27+1,20,24,28,32,36,40),0)/100)))+1)),0)</f>
        <v/>
      </c>
      <c r="S978">
        <f>IFERROR(O978/N978,0)</f>
        <v/>
      </c>
      <c r="T978">
        <f>IF(C978,(H978*N978*IF(AND(Inputs!$B$38&lt;&gt;"pvp",Inputs!$B$43&gt;0),((Skills!G7*((R978-1)*IF(Skills!H7&gt;0,Skills!I7/Skills!H7,1)+IF(Skills!H7&gt;0,MIN(Skills!I7,MAX(0,MAX(0,Inputs!$B$43-B1007)-((R978-1)*(IF(Inputs!$B$38="pvp",15,MAX(0.1,Skills!D7-IF(TRUE=TRUE,Inputs!$B$32,0)))*(1-IF(AND(ArtifactsInput!$M$27,Inputs!$B$4="Chapter Hunt"),CHOOSE(ArtifactsInput!$N$27+1,20,24,28,32,36,40),0)/100)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1007)-((R978-1)*(IF(Inputs!$B$38="pvp",15,MAX(0.1,Skills!D7-IF(TRUE=TRUE,Inputs!$B$32,0)))*(1-IF(AND(ArtifactsInput!$M$27,Inputs!$B$4="Chapter Hunt"),CHOOSE(ArtifactsInput!$N$27+1,20,24,28,32,36,40),0)/100)))))/Skills!H7,1)))/Inputs!$B$43),G978*Q978))*IF(Inputs!$B$38="pvp",1,(1+(Inputs!$B$21+Skills!Q7+(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Inputs!$B$3&gt;=117</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f>Skills!G8*IF(Skills!H8&gt;0,Skills!I8/Skills!H8,1)</f>
        <v/>
      </c>
      <c r="H979">
        <f>1-(1-Skills!J8/100)^Skills!K8</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991=TRUE)*(F991-Calc!F20)),(Inputs!$B$23+0+(IF(ArtifactsInput!$M$15,CHOOSE(ArtifactsInput!$N$15+1,25,30,35,40,45,50)/100*(Inputs!$B$11-Inputs!$B$11),0))))/100+(Inputs!$B$23+0+(IF(ArtifactsInput!$M$15,CHOOSE(ArtifactsInput!$N$15+1,25,30,35,40,45,50)/100*(Inputs!$B$11-Inputs!$B$11),0)))/100)/2</f>
        <v/>
      </c>
      <c r="M979">
        <f>L979*(1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IF(B1010=0,0,O979/B1010)</f>
        <v/>
      </c>
      <c r="Q979">
        <f>IFERROR(1/(IF(Inputs!$B$38="pvp",15,MAX(0.1,Skills!D8-IF(TRUE=TRUE,Inputs!$B$32,0)))*(1-IF(AND(ArtifactsInput!$M$27,Inputs!$B$4="Chapter Hunt"),CHOOSE(ArtifactsInput!$N$27+1,20,24,28,32,36,40),0)/100)),0)</f>
        <v/>
      </c>
      <c r="R979">
        <f>IF(AND(Inputs!$B$38&lt;&gt;"pvp",Inputs!$B$43&gt;0),IF(MAX(0,Inputs!$B$43-B1007)&lt;=0,0,(INT(MAX(0,Inputs!$B$43-B1007)/(IF(Inputs!$B$38="pvp",15,MAX(0.1,Skills!D8-IF(TRUE=TRUE,Inputs!$B$32,0)))*(1-IF(AND(ArtifactsInput!$M$27,Inputs!$B$4="Chapter Hunt"),CHOOSE(ArtifactsInput!$N$27+1,20,24,28,32,36,40),0)/100)))+1)),0)</f>
        <v/>
      </c>
      <c r="S979">
        <f>IFERROR(O979/N979,0)</f>
        <v/>
      </c>
      <c r="T979">
        <f>IF(C979,(H979*N979*IF(AND(Inputs!$B$38&lt;&gt;"pvp",Inputs!$B$43&gt;0),((Skills!G8*((R979-1)*IF(Skills!H8&gt;0,Skills!I8/Skills!H8,1)+IF(Skills!H8&gt;0,MIN(Skills!I8,MAX(0,MAX(0,Inputs!$B$43-B1007)-((R979-1)*(IF(Inputs!$B$38="pvp",15,MAX(0.1,Skills!D8-IF(TRUE=TRUE,Inputs!$B$32,0)))*(1-IF(AND(ArtifactsInput!$M$27,Inputs!$B$4="Chapter Hunt"),CHOOSE(ArtifactsInput!$N$27+1,20,24,28,32,36,40),0)/100)))))/Skills!H8,1)))/Inputs!$B$43),G979*Q979)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8*((R979-1)*IF(Skills!H8&gt;0,Skills!I8/Skills!H8,1)+IF(Skills!H8&gt;0,MIN(Skills!I8,MAX(0,MAX(0,Inputs!$B$43-B1007)-((R979-1)*(IF(Inputs!$B$38="pvp",15,MAX(0.1,Skills!D8-IF(TRUE=TRUE,Inputs!$B$32,0)))*(1-IF(AND(ArtifactsInput!$M$27,Inputs!$B$4="Chapter Hunt"),CHOOSE(ArtifactsInput!$N$27+1,20,24,28,32,36,40),0)/100)))))/Skills!H8,1)))/Inputs!$B$43),G979*Q979))*IF(Inputs!$B$38="pvp",1,(1+(Inputs!$B$21+Skills!Q8+(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Skills!A9</f>
        <v/>
      </c>
      <c r="B980">
        <f>Skills!B9</f>
        <v/>
      </c>
      <c r="C980">
        <f>Inputs!$B$3&gt;=120</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B1012</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991=TRUE)*(F991-Calc!F20)),(Inputs!$B$23+0+(IF(ArtifactsInput!$M$15,CHOOSE(ArtifactsInput!$N$15+1,25,30,35,40,45,50)/100*(Inputs!$B$11-Inputs!$B$11),0))))/100+(Inputs!$B$23+0+(IF(ArtifactsInput!$M$15,CHOOSE(ArtifactsInput!$N$15+1,25,30,35,40,45,50)/100*(Inputs!$B$11-Inputs!$B$11),0)))/100)/2</f>
        <v/>
      </c>
      <c r="M980">
        <f>L980*(1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IF(B1010=0,0,O980/B1010)</f>
        <v/>
      </c>
      <c r="Q980">
        <f>IFERROR(1/(IF(Inputs!$B$38="pvp",15,MAX(0.1,Skills!D9-IF(TRUE=TRUE,Inputs!$B$32,0)))*(1-IF(AND(ArtifactsInput!$M$27,Inputs!$B$4="Chapter Hunt"),CHOOSE(ArtifactsInput!$N$27+1,20,24,28,32,36,40),0)/100)),0)</f>
        <v/>
      </c>
      <c r="R980">
        <f>IF(AND(Inputs!$B$38&lt;&gt;"pvp",Inputs!$B$43&gt;0),IF(MAX(0,Inputs!$B$43-B1007)&lt;=0,0,(INT(MAX(0,Inputs!$B$43-B1007)/(IF(Inputs!$B$38="pvp",15,MAX(0.1,Skills!D9-IF(TRUE=TRUE,Inputs!$B$32,0)))*(1-IF(AND(ArtifactsInput!$M$27,Inputs!$B$4="Chapter Hunt"),CHOOSE(ArtifactsInput!$N$27+1,20,24,28,32,36,40),0)/100)))+1)),0)</f>
        <v/>
      </c>
      <c r="S980">
        <f>IFERROR(O980/N980,0)</f>
        <v/>
      </c>
      <c r="T980">
        <f>IF(C980,(H980*N980*IF(AND(Inputs!$B$38&lt;&gt;"pvp",Inputs!$B$43&gt;0),((Skills!G9*((R980-1)*IF(Skills!H9&gt;0,Skills!I9/Skills!H9,1)+IF(Skills!H9&gt;0,MIN(Skills!I9,MAX(0,MAX(0,Inputs!$B$43-B1007)-((R980-1)*(IF(Inputs!$B$38="pvp",15,MAX(0.1,Skills!D9-IF(TRUE=TRUE,Inputs!$B$32,0)))*(1-IF(AND(ArtifactsInput!$M$27,Inputs!$B$4="Chapter Hunt"),CHOOSE(ArtifactsInput!$N$27+1,20,24,28,32,36,40),0)/100)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1007)-((R980-1)*(IF(Inputs!$B$38="pvp",15,MAX(0.1,Skills!D9-IF(TRUE=TRUE,Inputs!$B$32,0)))*(1-IF(AND(ArtifactsInput!$M$27,Inputs!$B$4="Chapter Hunt"),CHOOSE(ArtifactsInput!$N$27+1,20,24,28,32,36,40),0)/100)))))/Skills!H9,1)))/Inputs!$B$43),G980*Q980))*IF(Inputs!$B$38="pvp",1,(1+(Inputs!$B$21+Skills!Q9+(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Inputs!$B$3&gt;=105</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991=TRUE)*(F991-Calc!F20)),(Inputs!$B$23+0+(IF(ArtifactsInput!$M$15,CHOOSE(ArtifactsInput!$N$15+1,25,30,35,40,45,50)/100*(Inputs!$B$11-Inputs!$B$11),0))))/100+(Inputs!$B$23+0+(IF(ArtifactsInput!$M$15,CHOOSE(ArtifactsInput!$N$15+1,25,30,35,40,45,50)/100*(Inputs!$B$11-Inputs!$B$11),0)))/100)/2</f>
        <v/>
      </c>
      <c r="M981">
        <f>L981*(1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IF(B1010=0,0,O981/B1010)</f>
        <v/>
      </c>
      <c r="Q981">
        <f>IFERROR(1/(IF(Inputs!$B$38="pvp",15,MAX(0.1,Skills!D10-IF(TRUE=TRUE,Inputs!$B$32,0)))*(1-IF(AND(ArtifactsInput!$M$27,Inputs!$B$4="Chapter Hunt"),CHOOSE(ArtifactsInput!$N$27+1,20,24,28,32,36,40),0)/100)),0)</f>
        <v/>
      </c>
      <c r="R981">
        <f>IF(AND(Inputs!$B$38&lt;&gt;"pvp",Inputs!$B$43&gt;0),IF(MAX(0,Inputs!$B$43-B1007)&lt;=0,0,(INT(MAX(0,Inputs!$B$43-B1007)/(IF(Inputs!$B$38="pvp",15,MAX(0.1,Skills!D10-IF(TRUE=TRUE,Inputs!$B$32,0)))*(1-IF(AND(ArtifactsInput!$M$27,Inputs!$B$4="Chapter Hunt"),CHOOSE(ArtifactsInput!$N$27+1,20,24,28,32,36,40),0)/100)))+1)),0)</f>
        <v/>
      </c>
      <c r="S981">
        <f>IFERROR(O981/N981,0)</f>
        <v/>
      </c>
      <c r="T981">
        <f>IF(C981,(H981*N981*IF(AND(Inputs!$B$38&lt;&gt;"pvp",Inputs!$B$43&gt;0),((Skills!G10*((R981-1)*IF(Skills!H10&gt;0,Skills!I10/Skills!H10,1)+IF(Skills!H10&gt;0,MIN(Skills!I10,MAX(0,MAX(0,Inputs!$B$43-B1007)-((R981-1)*(IF(Inputs!$B$38="pvp",15,MAX(0.1,Skills!D10-IF(TRUE=TRUE,Inputs!$B$32,0)))*(1-IF(AND(ArtifactsInput!$M$27,Inputs!$B$4="Chapter Hunt"),CHOOSE(ArtifactsInput!$N$27+1,20,24,28,32,36,40),0)/100)))))/Skills!H10,1)))/Inputs!$B$43),G981*Q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H981*N981*IF(AND(Inputs!$B$38&lt;&gt;"pvp",Inputs!$B$43&gt;0),((Skills!G10*((R981-1)*IF(Skills!H10&gt;0,Skills!I10/Skills!H10,1)+IF(Skills!H10&gt;0,MIN(Skills!I10,MAX(0,MAX(0,Inputs!$B$43-B1007)-((R981-1)*(IF(Inputs!$B$38="pvp",15,MAX(0.1,Skills!D10-IF(TRUE=TRUE,Inputs!$B$32,0)))*(1-IF(AND(ArtifactsInput!$M$27,Inputs!$B$4="Chapter Hunt"),CHOOSE(ArtifactsInput!$N$27+1,20,24,28,32,36,40),0)/100)))))/Skills!H10,1)))/Inputs!$B$43),G981*Q981))*IF(Inputs!$B$38="pvp",1,(1+(Inputs!$B$21+Skills!Q10+(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Inputs!$B$3&gt;=113</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991=TRUE)*(F991-Calc!F20)),(Inputs!$B$23+0+(IF(ArtifactsInput!$M$15,CHOOSE(ArtifactsInput!$N$15+1,25,30,35,40,45,50)/100*(Inputs!$B$11-Inputs!$B$11),0))))/100+(Inputs!$B$23+0+(IF(ArtifactsInput!$M$15,CHOOSE(ArtifactsInput!$N$15+1,25,30,35,40,45,50)/100*(Inputs!$B$11-Inputs!$B$11),0)))/100)/2</f>
        <v/>
      </c>
      <c r="M982">
        <f>L982*(1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IF(B1010=0,0,O982/B1010)</f>
        <v/>
      </c>
      <c r="Q982" t="n">
        <v>0</v>
      </c>
      <c r="R982" t="n">
        <v>0</v>
      </c>
      <c r="S982">
        <f>IFERROR(O982/N982,0)</f>
        <v/>
      </c>
      <c r="T982">
        <f>IF(C982,((H982*B1013)/(1+Skills!H11*H982*B1013)*N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IF(C982,((H982*B1013)/(1+Skills!H11*H982*B1013)*N982)*IF(Inputs!$B$38="pvp",1,(1+(Inputs!$B$21+Skills!Q11+(IF(ArtifactsInput!$M$33,CHOOSE(ArtifactsInput!$N$33+1,30,36,42,48,54,60),0))+(IF(AND(ArtifactsInput!$M$35,Inputs!$B$4&lt;&gt;"Chapter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Inputs!$B$3&gt;=100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t="inlineStr"/>
      <c r="H983" t="inlineStr"/>
      <c r="I983" t="inlineStr">
        <is>
          <t>1</t>
        </is>
      </c>
      <c r="J983" t="inlineStr"/>
      <c r="K983" t="inlineStr"/>
      <c r="L983" t="inlineStr"/>
      <c r="M983" t="inlineStr"/>
      <c r="N983" t="inlineStr"/>
      <c r="O983" t="inlineStr"/>
      <c r="P983" t="inlineStr"/>
      <c r="Q983" t="inlineStr"/>
      <c r="R983" t="inlineStr"/>
      <c r="S983" t="inlineStr"/>
      <c r="T983" t="inlineStr"/>
      <c r="V983" t="inlineStr"/>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IF(B1010=0,0,O984/B1010)</f>
        <v/>
      </c>
      <c r="Q984" t="n">
        <v>0</v>
      </c>
      <c r="R984" t="n">
        <v>0</v>
      </c>
      <c r="S984">
        <f>IFERROR(O984/N984,0)</f>
        <v/>
      </c>
      <c r="T984" t="n">
        <v>0</v>
      </c>
      <c r="V984" t="n">
        <v>0</v>
      </c>
    </row>
    <row r="985">
      <c r="A985">
        <f>Skills!A14</f>
        <v/>
      </c>
      <c r="B985">
        <f>Skills!B14</f>
        <v/>
      </c>
      <c r="C985">
        <f>Inputs!$B$3&gt;=115</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IF(B1010=0,0,O985/B1010)</f>
        <v/>
      </c>
      <c r="Q985">
        <f>IFERROR(1/(IF(Inputs!$B$38="pvp",15,MAX(0.1,Skills!D14-IF(TRUE=TRUE,Inputs!$B$32,0)))*(1-IF(AND(ArtifactsInput!$M$27,Inputs!$B$4="Chapter Hunt"),CHOOSE(ArtifactsInput!$N$27+1,20,24,28,32,36,40),0)/100)),0)</f>
        <v/>
      </c>
      <c r="R985">
        <f>IF(AND(Inputs!$B$38&lt;&gt;"pvp",Inputs!$B$43&gt;0),IF(Inputs!$B$43&lt;=0,0,(INT(Inputs!$B$43/(IF(Inputs!$B$38="pvp",15,MAX(0.1,Skills!D14-IF(TRUE=TRUE,Inputs!$B$32,0)))*(1-IF(AND(ArtifactsInput!$M$27,Inputs!$B$4="Chapter Hunt"),CHOOSE(ArtifactsInput!$N$27+1,20,24,28,32,36,40),0)/100)))+1)),0)</f>
        <v/>
      </c>
      <c r="S985">
        <f>IFERROR(O985/N985,0)</f>
        <v/>
      </c>
      <c r="T985" t="n">
        <v>0</v>
      </c>
      <c r="V985" t="n">
        <v>0</v>
      </c>
    </row>
    <row r="986">
      <c r="A986">
        <f>Skills!A15</f>
        <v/>
      </c>
      <c r="B986">
        <f>Skills!B15</f>
        <v/>
      </c>
      <c r="C986">
        <f>Inputs!$B$3&gt;=125</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IF(B1010=0,0,O986/B1010)</f>
        <v/>
      </c>
      <c r="Q986">
        <f>IFERROR(1/(IF(Inputs!$B$38="pvp",15,MAX(0.1,Skills!D15-IF(TRUE=TRUE,Inputs!$B$32,0)))*(1-IF(AND(ArtifactsInput!$M$27,Inputs!$B$4="Chapter Hunt"),CHOOSE(ArtifactsInput!$N$27+1,20,24,28,32,36,40),0)/100)),0)</f>
        <v/>
      </c>
      <c r="R986">
        <f>IF(AND(Inputs!$B$38&lt;&gt;"pvp",Inputs!$B$43&gt;0),IF(Inputs!$B$43&lt;=0,0,(INT(Inputs!$B$43/(IF(Inputs!$B$38="pvp",15,MAX(0.1,Skills!D15-IF(TRUE=TRUE,Inputs!$B$32,0)))*(1-IF(AND(ArtifactsInput!$M$27,Inputs!$B$4="Chapter Hunt"),CHOOSE(ArtifactsInput!$N$27+1,20,24,28,32,36,40),0)/100)))+1)),0)</f>
        <v/>
      </c>
      <c r="S986">
        <f>IFERROR(O986/N986,0)</f>
        <v/>
      </c>
      <c r="T986" t="n">
        <v>0</v>
      </c>
      <c r="V986" t="n">
        <v>0</v>
      </c>
    </row>
    <row r="987">
      <c r="A987">
        <f>Skills!A16</f>
        <v/>
      </c>
      <c r="B987">
        <f>Skills!B16</f>
        <v/>
      </c>
      <c r="C987">
        <f>Inputs!$B$3&gt;=10</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IF(B1010=0,0,O987/B1010)</f>
        <v/>
      </c>
      <c r="Q987" t="n">
        <v>0</v>
      </c>
      <c r="R987" t="n">
        <v>0</v>
      </c>
      <c r="S987">
        <f>IFERROR(O987/N987,0)</f>
        <v/>
      </c>
      <c r="T987" t="n">
        <v>0</v>
      </c>
      <c r="V987" t="n">
        <v>0</v>
      </c>
    </row>
    <row r="988">
      <c r="A988">
        <f>Skills!A17</f>
        <v/>
      </c>
      <c r="B988">
        <f>Skills!B17</f>
        <v/>
      </c>
      <c r="C988">
        <f>Inputs!$B$3&gt;=15</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IF(B1010=0,0,O988/B1010)</f>
        <v/>
      </c>
      <c r="Q988" t="n">
        <v>0</v>
      </c>
      <c r="R988" t="n">
        <v>0</v>
      </c>
      <c r="S988">
        <f>IFERROR(O988/N988,0)</f>
        <v/>
      </c>
      <c r="T988" t="n">
        <v>0</v>
      </c>
      <c r="V988" t="n">
        <v>0</v>
      </c>
    </row>
    <row r="989">
      <c r="A989">
        <f>Skills!A18</f>
        <v/>
      </c>
      <c r="B989">
        <f>Skills!B18</f>
        <v/>
      </c>
      <c r="C989">
        <f>Inputs!$B$3&gt;=33</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IF(B1010=0,0,O989/B1010)</f>
        <v/>
      </c>
      <c r="Q989" t="n">
        <v>0</v>
      </c>
      <c r="R989" t="n">
        <v>0</v>
      </c>
      <c r="S989">
        <f>IFERROR(O989/N989,0)</f>
        <v/>
      </c>
      <c r="T989" t="n">
        <v>0</v>
      </c>
      <c r="V989" t="n">
        <v>0</v>
      </c>
    </row>
    <row r="990">
      <c r="A990">
        <f>Skills!A19</f>
        <v/>
      </c>
      <c r="B990">
        <f>Skills!B19</f>
        <v/>
      </c>
      <c r="C990">
        <f>Inputs!$B$3&gt;=40</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IF(B1010=0,0,O990/B1010)</f>
        <v/>
      </c>
      <c r="Q990" t="n">
        <v>0</v>
      </c>
      <c r="R990" t="n">
        <v>0</v>
      </c>
      <c r="S990">
        <f>IFERROR(O990/N990,0)</f>
        <v/>
      </c>
      <c r="T990" t="n">
        <v>0</v>
      </c>
      <c r="V990" t="n">
        <v>0</v>
      </c>
    </row>
    <row r="991">
      <c r="A991">
        <f>Skills!A20</f>
        <v/>
      </c>
      <c r="B991">
        <f>Skills!B20</f>
        <v/>
      </c>
      <c r="C991">
        <f>Inputs!$B$3&gt;=43</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IF(B1010=0,0,O991/B1010)</f>
        <v/>
      </c>
      <c r="Q991" t="n">
        <v>0</v>
      </c>
      <c r="R991" t="n">
        <v>0</v>
      </c>
      <c r="S991">
        <f>IFERROR(O991/N991,0)</f>
        <v/>
      </c>
      <c r="T991" t="n">
        <v>0</v>
      </c>
      <c r="V991" t="n">
        <v>0</v>
      </c>
    </row>
    <row r="992">
      <c r="A992">
        <f>Skills!A21</f>
        <v/>
      </c>
      <c r="B992">
        <f>Skills!B21</f>
        <v/>
      </c>
      <c r="C992">
        <f>Inputs!$B$3&gt;=38</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IF(B1010=0,0,O992/B1010)</f>
        <v/>
      </c>
      <c r="Q992" t="n">
        <v>0</v>
      </c>
      <c r="R992" t="n">
        <v>0</v>
      </c>
      <c r="S992">
        <f>IFERROR(O992/N992,0)</f>
        <v/>
      </c>
      <c r="T992" t="n">
        <v>0</v>
      </c>
      <c r="V992" t="n">
        <v>0</v>
      </c>
    </row>
    <row r="993">
      <c r="A993">
        <f>Skills!A22</f>
        <v/>
      </c>
      <c r="B993">
        <f>Skills!B22</f>
        <v/>
      </c>
      <c r="C993">
        <f>Inputs!$B$3&gt;=75</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IF(B1010=0,0,O993/B1010)</f>
        <v/>
      </c>
      <c r="Q993" t="n">
        <v>0</v>
      </c>
      <c r="R993" t="n">
        <v>0</v>
      </c>
      <c r="S993">
        <f>IFERROR(O993/N993,0)</f>
        <v/>
      </c>
      <c r="T993" t="n">
        <v>0</v>
      </c>
      <c r="V993" t="n">
        <v>0</v>
      </c>
    </row>
    <row r="994">
      <c r="A994">
        <f>Skills!A23</f>
        <v/>
      </c>
      <c r="B994">
        <f>Skills!B23</f>
        <v/>
      </c>
      <c r="C994">
        <f>TRUE</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IF(B1010=0,0,O994/B1010)</f>
        <v/>
      </c>
      <c r="Q994">
        <f>IFERROR(1/(IF(Inputs!$B$38="pvp",15,MAX(0.1,Skills!D23-IF(TRUE=TRUE,Inputs!$B$32,0)))*(1-IF(AND(ArtifactsInput!$M$27,Inputs!$B$4="Chapter Hunt"),CHOOSE(ArtifactsInput!$N$27+1,20,24,28,32,36,40),0)/100)),0)</f>
        <v/>
      </c>
      <c r="R994">
        <f>IF(AND(Inputs!$B$38&lt;&gt;"pvp",Inputs!$B$43&gt;0),IF(Inputs!$B$43&lt;=0,0,(INT(Inputs!$B$43/(IF(Inputs!$B$38="pvp",15,MAX(0.1,Skills!D23-IF(TRUE=TRUE,Inputs!$B$32,0)))*(1-IF(AND(ArtifactsInput!$M$27,Inputs!$B$4="Chapter Hunt"),CHOOSE(ArtifactsInput!$N$27+1,20,24,28,32,36,40),0)/100)))+1)),0)</f>
        <v/>
      </c>
      <c r="S994">
        <f>IFERROR(O994/N994,0)</f>
        <v/>
      </c>
      <c r="T994" t="n">
        <v>0</v>
      </c>
      <c r="V994" t="n">
        <v>0</v>
      </c>
    </row>
    <row r="995">
      <c r="A995">
        <f>Skills!A24</f>
        <v/>
      </c>
      <c r="B995">
        <f>Skills!B24</f>
        <v/>
      </c>
      <c r="C995">
        <f>Inputs!$B$3&gt;=107</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IF(B1010=0,0,O995/B1010)</f>
        <v/>
      </c>
      <c r="Q995">
        <f>IFERROR(1/(IF(Inputs!$B$38="pvp",15,MAX(0.1,Skills!D24-IF(TRUE=TRUE,Inputs!$B$32,0)))*(1-IF(AND(ArtifactsInput!$M$27,Inputs!$B$4="Chapter Hunt"),CHOOSE(ArtifactsInput!$N$27+1,20,24,28,32,36,40),0)/100)),0)</f>
        <v/>
      </c>
      <c r="R995">
        <f>IF(AND(Inputs!$B$38&lt;&gt;"pvp",Inputs!$B$43&gt;0),IF(Inputs!$B$43&lt;=0,0,(INT(Inputs!$B$43/(IF(Inputs!$B$38="pvp",15,MAX(0.1,Skills!D24-IF(TRUE=TRUE,Inputs!$B$32,0)))*(1-IF(AND(ArtifactsInput!$M$27,Inputs!$B$4="Chapter Hunt"),CHOOSE(ArtifactsInput!$N$27+1,20,24,28,32,36,40),0)/100)))+1)),0)</f>
        <v/>
      </c>
      <c r="S995">
        <f>IFERROR(O995/N995,0)</f>
        <v/>
      </c>
      <c r="T995" t="n">
        <v>0</v>
      </c>
      <c r="V995" t="n">
        <v>0</v>
      </c>
    </row>
    <row r="996">
      <c r="A996">
        <f>Skills!A25</f>
        <v/>
      </c>
      <c r="B996">
        <f>Skills!B25</f>
        <v/>
      </c>
      <c r="C996">
        <f>Inputs!$B$3&gt;=110</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t="inlineStr"/>
      <c r="H996" t="inlineStr"/>
      <c r="I996" t="inlineStr">
        <is>
          <t>1</t>
        </is>
      </c>
      <c r="J996" t="inlineStr"/>
      <c r="K996" t="inlineStr"/>
      <c r="L996" t="inlineStr"/>
      <c r="M996" t="inlineStr"/>
      <c r="N996" t="inlineStr"/>
      <c r="O996" t="inlineStr"/>
      <c r="P996" t="inlineStr"/>
      <c r="Q996" t="inlineStr"/>
      <c r="R996" t="inlineStr"/>
      <c r="S996" t="inlineStr"/>
      <c r="T996" t="inlineStr"/>
      <c r="V996" t="inlineStr"/>
    </row>
    <row r="997">
      <c r="A997">
        <f>Skills!A26</f>
        <v/>
      </c>
      <c r="B997">
        <f>Skills!B26</f>
        <v/>
      </c>
      <c r="C997">
        <f>Inputs!$B$3&gt;=117</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t="inlineStr"/>
      <c r="H997" t="inlineStr"/>
      <c r="I997" t="inlineStr">
        <is>
          <t>1</t>
        </is>
      </c>
      <c r="J997" t="inlineStr"/>
      <c r="K997" t="inlineStr"/>
      <c r="L997" t="inlineStr"/>
      <c r="M997" t="inlineStr"/>
      <c r="N997" t="inlineStr"/>
      <c r="O997" t="inlineStr"/>
      <c r="P997" t="inlineStr"/>
      <c r="Q997" t="inlineStr"/>
      <c r="R997" t="inlineStr"/>
      <c r="S997" t="inlineStr"/>
      <c r="T997" t="inlineStr"/>
      <c r="V997" t="inlineStr"/>
    </row>
    <row r="999">
      <c r="A999" t="inlineStr">
        <is>
          <t>Attack% Bucket Multiplier</t>
        </is>
      </c>
      <c r="B999">
        <f>(1+(((C984=TRUE)*F984*5/7)+((C990=TRUE)*(F990-Calc!F19))+(IF(ArtifactsInput!$M$21,CHOOSE(ArtifactsInput!$N$21+1,25,30,35,40,45,50)*(IF(OR(Inputs!$B$4="Chapter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0">
      <c r="A1000" t="inlineStr">
        <is>
          <t>Global Crit Rate Bonus %</t>
        </is>
      </c>
      <c r="B1000" t="n">
        <v>0</v>
      </c>
    </row>
    <row r="1001">
      <c r="A1001" t="inlineStr">
        <is>
          <t>Attack Speed Buff Bonus % (Nimble Feet + Speed Infusion, duty-cycle averaged)</t>
        </is>
      </c>
      <c r="B1001">
        <f>((C994=TRUE)*F994*IF(AND(Inputs!$B$38&lt;&gt;"pvp",Inputs!$B$43&gt;0),(((R994-1)*MIN((Skills!T23*(1+Inputs!$B$34/100)),(1/Q994))+MIN((Skills!T23*(1+Inputs!$B$34/100)),MAX(0,Inputs!$B$43-((R994-1)*(1/Q994)))))/Inputs!$B$43),IF(Inputs!$B$38="pvp",MIN((Skills!T23*(1+Inputs!$B$34/100)),15)/15,MIN(1,(Skills!T23*(1+Inputs!$B$34/100))/(1/Q994)))))+((C995=TRUE)*F995*IF(AND(Inputs!$B$38&lt;&gt;"pvp",Inputs!$B$43&gt;0),(((R995-1)*MIN((Skills!T24*(1+Inputs!$B$34/100)),(1/Q995))+MIN((Skills!T24*(1+Inputs!$B$34/100)),MAX(0,Inputs!$B$43-((R995-1)*(1/Q995)))))/Inputs!$B$43),IF(Inputs!$B$38="pvp",MIN((Skills!T24*(1+Inputs!$B$34/100)),15)/15,MIN(1,(Skills!T24*(1+Inputs!$B$34/100))/(1/Q995)))))</f>
        <v/>
      </c>
    </row>
    <row r="1002">
      <c r="A1002" t="inlineStr">
        <is>
          <t>Actions Per Second</t>
        </is>
      </c>
      <c r="B1002">
        <f>1+MIN(150,150*(1-(1-(Inputs!$B$11+((C988=TRUE)*(F988-Calc!F17))+((C989=TRUE)*(F989-Calc!F18)))/150)*(1-B1001/150)))/100</f>
        <v/>
      </c>
    </row>
    <row r="1003">
      <c r="A1003" t="inlineStr">
        <is>
          <t>Skill + Buff Cast Rate</t>
        </is>
      </c>
      <c r="B1003">
        <f>IF(AND(Inputs!$B$38&lt;&gt;"pvp",Inputs!$B$43&gt;0),SUMPRODUCT((Skills!E2:E26=TRUE)*(C973:C997=TRUE)*R973:R997*Skills!F2:F26)/Inputs!$B$43,SUMPRODUCT((Skills!E2:E26=TRUE)*(C973:C997=TRUE)*Q973:Q997*Skills!F2:F26))</f>
        <v/>
      </c>
    </row>
    <row r="1004">
      <c r="A1004" t="inlineStr">
        <is>
          <t>Hook Bomber Casts Per Second</t>
        </is>
      </c>
      <c r="B1004">
        <f>MAX(0,B1002-B1003)</f>
        <v/>
      </c>
    </row>
    <row r="1005">
      <c r="A1005" t="inlineStr">
        <is>
          <t>Global Critical Damage Bonus % (unused)</t>
        </is>
      </c>
      <c r="B1005" t="n">
        <v>0</v>
      </c>
    </row>
    <row r="1006">
      <c r="A1006" t="inlineStr">
        <is>
          <t>Global Final Damage Bonus % (Serpent Scale + Crossbones + Time Leap + Speed Infusion)</t>
        </is>
      </c>
      <c r="B1006">
        <f>((C976=TRUE)*(F976*B1012+4*(1-B1012)))+((C985=TRUE)*F985*IF(AND(Inputs!$B$38&lt;&gt;"pvp",Inputs!$B$43&gt;0),(((R985-1)*MIN((Skills!T14*(1+Inputs!$B$34/100)),(1/Q985))+MIN((Skills!T14*(1+Inputs!$B$34/100)),MAX(0,Inputs!$B$43-((R985-1)*(1/Q985)))))/Inputs!$B$43),IF(Inputs!$B$38="pvp",MIN((Skills!T14*(1+Inputs!$B$34/100)),15)/15,MIN(1,(Skills!T14*(1+Inputs!$B$34/100))/(1/Q985)))))+((C986=TRUE)*F986*IF(AND(Inputs!$B$38&lt;&gt;"pvp",Inputs!$B$43&gt;0),(((R986-1)*MIN((Skills!T15*(1+Inputs!$B$34/100)),(1/Q986))+MIN((Skills!T15*(1+Inputs!$B$34/100)),MAX(0,Inputs!$B$43-((R986-1)*(1/Q986)))))/Inputs!$B$43),IF(Inputs!$B$38="pvp",MIN((Skills!T15*(1+Inputs!$B$34/100)),15)/15,MIN(1,(Skills!T15*(1+Inputs!$B$34/100))/(1/Q986)))))+((C995=TRUE)*20*((1+MIN(150,150*(1-(1-(Inputs!$B$11+((C988=TRUE)*(F988-Calc!F17))+((C989=TRUE)*(F989-Calc!F18)))/150)*(1-(((C994=TRUE)*F994*IF(AND(Inputs!$B$38&lt;&gt;"pvp",Inputs!$B$43&gt;0),(((R994-1)*MIN((Skills!T23*(1+Inputs!$B$34/100)),(1/Q994))+MIN((Skills!T23*(1+Inputs!$B$34/100)),MAX(0,Inputs!$B$43-((R994-1)*(1/Q994)))))/Inputs!$B$43),IF(Inputs!$B$38="pvp",MIN((Skills!T23*(1+Inputs!$B$34/100)),15)/15,MIN(1,(Skills!T23*(1+Inputs!$B$34/100))/(1/Q994)))))+F995)/150)))/100)-1)*IF(AND(Inputs!$B$38&lt;&gt;"pvp",Inputs!$B$43&gt;0),(((R995-1)*MIN((Skills!T24*(1+Inputs!$B$34/100)),(1/Q995))+MIN((Skills!T24*(1+Inputs!$B$34/100)),MAX(0,Inputs!$B$43-((R995-1)*(1/Q995)))))/Inputs!$B$43),IF(Inputs!$B$38="pvp",MIN((Skills!T24*(1+Inputs!$B$34/100)),15)/15,MIN(1,(Skills!T24*(1+Inputs!$B$34/100))/(1/Q995)))))</f>
        <v/>
      </c>
    </row>
    <row r="1007">
      <c r="A1007" t="inlineStr">
        <is>
          <t>Buff-Casting Startup Delay (s, fixed-duration only)</t>
        </is>
      </c>
      <c r="B1007">
        <f>IF(AND(Inputs!$B$38&lt;&gt;"pvp",Inputs!$B$43&gt;0),SUMPRODUCT((Skills!T2:T26&gt;0)*(Skills!E2:E26=TRUE)*(C973:C997=TRUE))/B1002,0)</f>
        <v/>
      </c>
    </row>
    <row r="1008">
      <c r="A1008" t="inlineStr">
        <is>
          <t>Boss-Only Total DPS (this block's swept value)</t>
        </is>
      </c>
      <c r="B1008">
        <f>SUM(T973:T997)</f>
        <v/>
      </c>
    </row>
    <row r="1009">
      <c r="A1009" t="inlineStr">
        <is>
          <t>Normal-Only Total DPS (this block's swept value)</t>
        </is>
      </c>
      <c r="B1009">
        <f>SUM(V973:V997)</f>
        <v/>
      </c>
    </row>
    <row r="1010">
      <c r="A1010" s="6" t="inlineStr">
        <is>
          <t>TOTAL DPS</t>
        </is>
      </c>
      <c r="B1010" s="6">
        <f>SUM(O973:O997)</f>
        <v/>
      </c>
    </row>
    <row r="1011">
      <c r="A1011" t="inlineStr">
        <is>
          <t>Serpent activation interval T (this block's own Hook Bomber rate)</t>
        </is>
      </c>
      <c r="B1011">
        <f>((1/Q974)+IFERROR(0.5/B1004,0))</f>
        <v/>
      </c>
    </row>
    <row r="1012">
      <c r="A1012" t="inlineStr">
        <is>
          <t>Assault Mode uptime u (this block)</t>
        </is>
      </c>
      <c r="B1012">
        <f>IF(C976=TRUE,(10+IF(Inputs!$B$3&gt;=94,5,0))/((10+IF(Inputs!$B$3&gt;=94,5,0))+IF(Inputs!$B$3&gt;=104,3,5)*B1011),0)</f>
        <v/>
      </c>
    </row>
    <row r="1013">
      <c r="A1013" t="inlineStr">
        <is>
          <t>Nautilus Strike - Final Attack trigger rate (this block's own Q/R)</t>
        </is>
      </c>
      <c r="B1013">
        <f>IF(AND(Inputs!$B$38&lt;&gt;"pvp",Inputs!$B$43&gt;0),(((C977=TRUE)*R977)+((C978=TRUE)*R978)+((C981=TRUE)*R981))/Inputs!$B$43,((C977=TRUE)*Q977)+((C978=TRUE)*Q978)+((C981=TRUE)*Q981))+B1004</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1036=TRUE)*(F1036-Calc!F20)),(Inputs!$B$23+0+(IF(ArtifactsInput!$M$15,CHOOSE(ArtifactsInput!$N$15+1,25,30,35,40,45,50)/100*(Inputs!$B$11-Inputs!$B$11),0))))/100+(Inputs!$B$23+0+(IF(ArtifactsInput!$M$15,CHOOSE(ArtifactsInput!$N$15+1,25,30,35,40,45,50)/100*(Inputs!$B$11-Inputs!$B$11),0)))/100)/2</f>
        <v/>
      </c>
      <c r="M1018">
        <f>L1018*(1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IF(B1055=0,0,O1018/B1055)</f>
        <v/>
      </c>
      <c r="Q1018" t="n">
        <v>0</v>
      </c>
      <c r="R1018" t="n">
        <v>0</v>
      </c>
      <c r="S1018">
        <f>IFERROR(O1018/N1018,0)</f>
        <v/>
      </c>
      <c r="T1018">
        <f>IF(C1018,(Skills!G2*N1018*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Inputs!$B$3&gt;=35</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f>Skills!G3*IF(Skills!H3&gt;0,Skills!I3/Skills!H3,1)</f>
        <v/>
      </c>
      <c r="H1019">
        <f>1-(1-Skills!J3/100)^Skills!K3</f>
        <v/>
      </c>
      <c r="I1019" t="inlineStr">
        <is>
          <t>1</t>
        </is>
      </c>
      <c r="J1019">
        <f>(((Inputs!$B$6+1)*(1+Inputs!$B$7/100))+(((Inputs!$B$12*(1+Inputs!$B$13/100))-(Inputs!$B$12*(1+Inputs!$B$13/100)))+0.25*(Inputs!$B$14-Inputs!$B$14))*(1+Inputs!$B$7/100))*(F1019/100)</f>
        <v/>
      </c>
      <c r="K1019">
        <f>J1019*(1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1041=TRUE,F1041,0)/100)*(1+(IF(Skills!A3="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20)),(Inputs!$B$23+0+(IF(ArtifactsInput!$M$15,CHOOSE(ArtifactsInput!$N$15+1,25,30,35,40,45,50)/100*(Inputs!$B$11-Inputs!$B$11),0))))/100+(Inputs!$B$23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IFERROR(1/(IF(Inputs!$B$38="pvp",15,MAX(0.1,Skills!D3-IF(TRUE=TRUE,Inputs!$B$32,0)))*(1-IF(AND(ArtifactsInput!$M$27,Inputs!$B$4="Chapter Hunt"),CHOOSE(ArtifactsInput!$N$27+1,20,24,28,32,36,40),0)/100)),0)</f>
        <v/>
      </c>
      <c r="R1019">
        <f>IF(AND(Inputs!$B$38&lt;&gt;"pvp",Inputs!$B$43&gt;0),IF(MAX(0,Inputs!$B$43-B1052)&lt;=0,0,(INT(MAX(0,Inputs!$B$43-B1052)/(IF(Inputs!$B$38="pvp",15,MAX(0.1,Skills!D3-IF(TRUE=TRUE,Inputs!$B$32,0)))*(1-IF(AND(ArtifactsInput!$M$27,Inputs!$B$4="Chapter Hunt"),CHOOSE(ArtifactsInput!$N$27+1,20,24,28,32,36,40),0)/100)))+1)),0)</f>
        <v/>
      </c>
      <c r="S1019">
        <f>IFERROR(O1019/N1019,0)</f>
        <v/>
      </c>
      <c r="T1019">
        <f>IF(C1019,(Skills!G3*N1019*IF(C1020=TRUE,1-B1057,1)/B1056)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1019*(1-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INDEX(FactorTable!$B$2:$Y$301, MATCH(ROUND(MIN(300,MAX(1,U1018)),0), FactorTable!$A$2:$A$301,0), 22)</f>
        <v/>
      </c>
      <c r="V1019">
        <f>IF(C1019,(Skills!G3*N1019*IF(C1020=TRUE,1-B1057,1)/B1056)*IF(Inputs!$B$38="pvp",1,(1+(Inputs!$B$21+Skills!Q3+(IF(ArtifactsInput!$M$33,CHOOSE(ArtifactsInput!$N$33+1,30,36,42,48,54,60),0))+(IF(AND(ArtifactsInput!$M$35,Inputs!$B$4&lt;&gt;"Chapter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Skills!A4</f>
        <v/>
      </c>
      <c r="B1020">
        <f>Skills!B4</f>
        <v/>
      </c>
      <c r="C1020">
        <f>Inputs!$B$3&gt;=69</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f>Skills!G4*IF(Skills!H4&gt;0,Skills!I4/Skills!H4,1)</f>
        <v/>
      </c>
      <c r="H1020">
        <f>1-(1-Skills!J4/100)^Skills!K4</f>
        <v/>
      </c>
      <c r="I1020" t="inlineStr">
        <is>
          <t>1</t>
        </is>
      </c>
      <c r="J1020">
        <f>(((Inputs!$B$6+1)*(1+Inputs!$B$7/100))+(((Inputs!$B$12*(1+Inputs!$B$13/100))-(Inputs!$B$12*(1+Inputs!$B$13/100)))+0.25*(Inputs!$B$14-Inputs!$B$14))*(1+Inputs!$B$7/100))*(F1020/100)</f>
        <v/>
      </c>
      <c r="K1020">
        <f>J1020*(1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1028=TRUE,F1028,0)/100)*(1+(IF(Skills!A4="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20)),(Inputs!$B$23+0+(IF(ArtifactsInput!$M$15,CHOOSE(ArtifactsInput!$N$15+1,25,30,35,40,45,50)/100*(Inputs!$B$11-Inputs!$B$11),0))))/100+(Inputs!$B$23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t="n">
        <v>0</v>
      </c>
      <c r="R1020" t="n">
        <v>0</v>
      </c>
      <c r="S1020">
        <f>IFERROR(O1020/N1020,0)</f>
        <v/>
      </c>
      <c r="T1020">
        <f>IF(C1020,(Skills!G4*N1020*B1057/B1056)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1020*(1-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290*U1019/1000</f>
        <v/>
      </c>
      <c r="V1020">
        <f>IF(C1020,(Skills!G4*N1020*B1057/B1056)*IF(Inputs!$B$38="pvp",1,(1+(Inputs!$B$21+Skills!Q4+(IF(ArtifactsInput!$M$33,CHOOSE(ArtifactsInput!$N$33+1,30,36,42,48,54,60),0))+(IF(AND(ArtifactsInput!$M$35,Inputs!$B$4&lt;&gt;"Chapter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Skills!A5</f>
        <v/>
      </c>
      <c r="B1021">
        <f>Skills!B5</f>
        <v/>
      </c>
      <c r="C1021">
        <f>Inputs!$B$3&gt;=66</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t="inlineStr"/>
      <c r="K1021" t="inlineStr"/>
      <c r="L1021" t="inlineStr"/>
      <c r="M1021" t="inlineStr"/>
      <c r="N1021" t="inlineStr"/>
      <c r="O1021">
        <f>(1-Summary!$B$11)*T1021+Summary!$B$11*V1021</f>
        <v/>
      </c>
      <c r="P1021">
        <f>IF(B1055=0,0,O1021/B1055)</f>
        <v/>
      </c>
      <c r="Q1021" t="n">
        <v>0</v>
      </c>
      <c r="R1021" t="n">
        <v>0</v>
      </c>
      <c r="S1021">
        <f>IFERROR(O1021/N1021,0)</f>
        <v/>
      </c>
      <c r="T1021" t="n">
        <v>0</v>
      </c>
      <c r="V1021" t="n">
        <v>0</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1028=TRUE,F1028,0)/100)*(1+(IF(Skills!A6="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1036=TRUE)*(F1036-Calc!F20)),(Inputs!$B$23+0+(IF(ArtifactsInput!$M$15,CHOOSE(ArtifactsInput!$N$15+1,25,30,35,40,45,50)/100*(Inputs!$B$11-Inputs!$B$11),0))))/100+(Inputs!$B$23+0+(IF(ArtifactsInput!$M$15,CHOOSE(ArtifactsInput!$N$15+1,25,30,35,40,45,50)/100*(Inputs!$B$11-Inputs!$B$11),0)))/100)/2</f>
        <v/>
      </c>
      <c r="M1022">
        <f>L1022*(1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IF(B1055=0,0,O1022/B1055)</f>
        <v/>
      </c>
      <c r="Q1022">
        <f>IFERROR(1/(IF(Inputs!$B$38="pvp",15,MAX(0.1,Skills!D6-IF(TRUE=TRUE,Inputs!$B$32,0)))*(1-IF(AND(ArtifactsInput!$M$27,Inputs!$B$4="Chapter Hunt"),CHOOSE(ArtifactsInput!$N$27+1,20,24,28,32,36,40),0)/100)),0)</f>
        <v/>
      </c>
      <c r="R1022">
        <f>IF(AND(Inputs!$B$38&lt;&gt;"pvp",Inputs!$B$43&gt;0),IF(MAX(0,Inputs!$B$43-B1052)&lt;=0,0,(INT(MAX(0,Inputs!$B$43-B1052)/(IF(Inputs!$B$38="pvp",15,MAX(0.1,Skills!D6-IF(TRUE=TRUE,Inputs!$B$32,0)))*(1-IF(AND(ArtifactsInput!$M$27,Inputs!$B$4="Chapter Hunt"),CHOOSE(ArtifactsInput!$N$27+1,20,24,28,32,36,40),0)/100)))+1)),0)</f>
        <v/>
      </c>
      <c r="S1022">
        <f>IFERROR(O1022/N1022,0)</f>
        <v/>
      </c>
      <c r="T1022">
        <f>IF(C1022,(H1022*N1022*IF(AND(Inputs!$B$38&lt;&gt;"pvp",Inputs!$B$43&gt;0),((Skills!G6*((R1022-1)*IF(Skills!H6&gt;0,Skills!I6/Skills!H6,1)+IF(Skills!H6&gt;0,MIN(Skills!I6,MAX(0,MAX(0,Inputs!$B$43-B1052)-((R1022-1)*(IF(Inputs!$B$38="pvp",15,MAX(0.1,Skills!D6-IF(TRUE=TRUE,Inputs!$B$32,0)))*(1-IF(AND(ArtifactsInput!$M$27,Inputs!$B$4="Chapter Hunt"),CHOOSE(ArtifactsInput!$N$27+1,20,24,28,32,36,40),0)/100)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1052)-((R1022-1)*(IF(Inputs!$B$38="pvp",15,MAX(0.1,Skills!D6-IF(TRUE=TRUE,Inputs!$B$32,0)))*(1-IF(AND(ArtifactsInput!$M$27,Inputs!$B$4="Chapter Hunt"),CHOOSE(ArtifactsInput!$N$27+1,20,24,28,32,36,40),0)/100)))))/Skills!H6,1)))/Inputs!$B$43),G1022*Q1022))*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Inputs!$B$3&gt;=103</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20)),(Inputs!$B$23+0+(IF(ArtifactsInput!$M$15,CHOOSE(ArtifactsInput!$N$15+1,25,30,35,40,45,50)/100*(Inputs!$B$11-Inputs!$B$11),0))))/100+(Inputs!$B$23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IFERROR(1/(IF(Inputs!$B$38="pvp",15,MAX(0.1,Skills!D7-IF(TRUE=TRUE,Inputs!$B$32,0)))*(1-IF(AND(ArtifactsInput!$M$27,Inputs!$B$4="Chapter Hunt"),CHOOSE(ArtifactsInput!$N$27+1,20,24,28,32,36,40),0)/100)),0)</f>
        <v/>
      </c>
      <c r="R1023">
        <f>IF(AND(Inputs!$B$38&lt;&gt;"pvp",Inputs!$B$43&gt;0),IF(MAX(0,Inputs!$B$43-B1052)&lt;=0,0,(INT(MAX(0,Inputs!$B$43-B1052)/(IF(Inputs!$B$38="pvp",15,MAX(0.1,Skills!D7-IF(TRUE=TRUE,Inputs!$B$32,0)))*(1-IF(AND(ArtifactsInput!$M$27,Inputs!$B$4="Chapter Hunt"),CHOOSE(ArtifactsInput!$N$27+1,20,24,28,32,36,40),0)/100)))+1)),0)</f>
        <v/>
      </c>
      <c r="S1023">
        <f>IFERROR(O1023/N1023,0)</f>
        <v/>
      </c>
      <c r="T1023">
        <f>IF(C1023,(H1023*N1023*IF(AND(Inputs!$B$38&lt;&gt;"pvp",Inputs!$B$43&gt;0),((Skills!G7*((R1023-1)*IF(Skills!H7&gt;0,Skills!I7/Skills!H7,1)+IF(Skills!H7&gt;0,MIN(Skills!I7,MAX(0,MAX(0,Inputs!$B$43-B1052)-((R1023-1)*(IF(Inputs!$B$38="pvp",15,MAX(0.1,Skills!D7-IF(TRUE=TRUE,Inputs!$B$32,0)))*(1-IF(AND(ArtifactsInput!$M$27,Inputs!$B$4="Chapter Hunt"),CHOOSE(ArtifactsInput!$N$27+1,20,24,28,32,36,40),0)/100)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1052)-((R1023-1)*(IF(Inputs!$B$38="pvp",15,MAX(0.1,Skills!D7-IF(TRUE=TRUE,Inputs!$B$32,0)))*(1-IF(AND(ArtifactsInput!$M$27,Inputs!$B$4="Chapter Hunt"),CHOOSE(ArtifactsInput!$N$27+1,20,24,28,32,36,40),0)/100)))))/Skills!H7,1)))/Inputs!$B$43),G1023*Q1023))*IF(Inputs!$B$38="pvp",1,(1+(Inputs!$B$21+Skills!Q7+(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Inputs!$B$3&gt;=117</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f>Skills!G8*IF(Skills!H8&gt;0,Skills!I8/Skills!H8,1)</f>
        <v/>
      </c>
      <c r="H1024">
        <f>1-(1-Skills!J8/100)^Skills!K8</f>
        <v/>
      </c>
      <c r="I1024" t="inlineStr">
        <is>
          <t>1</t>
        </is>
      </c>
      <c r="J1024">
        <f>(((Inputs!$B$6+1)*(1+Inputs!$B$7/100))+(((Inputs!$B$12*(1+Inputs!$B$13/100))-(Inputs!$B$12*(1+Inputs!$B$13/100)))+0.25*(Inputs!$B$14-Inputs!$B$14))*(1+Inputs!$B$7/100))*(F1024/100)</f>
        <v/>
      </c>
      <c r="K1024">
        <f>J1024*(1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1036=TRUE)*(F1036-Calc!F20)),(Inputs!$B$23+0+(IF(ArtifactsInput!$M$15,CHOOSE(ArtifactsInput!$N$15+1,25,30,35,40,45,50)/100*(Inputs!$B$11-Inputs!$B$11),0))))/100+(Inputs!$B$23+0+(IF(ArtifactsInput!$M$15,CHOOSE(ArtifactsInput!$N$15+1,25,30,35,40,45,50)/100*(Inputs!$B$11-Inputs!$B$11),0)))/100)/2</f>
        <v/>
      </c>
      <c r="M1024">
        <f>L1024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IF(B1055=0,0,O1024/B1055)</f>
        <v/>
      </c>
      <c r="Q1024">
        <f>IFERROR(1/(IF(Inputs!$B$38="pvp",15,MAX(0.1,Skills!D8-IF(TRUE=TRUE,Inputs!$B$32,0)))*(1-IF(AND(ArtifactsInput!$M$27,Inputs!$B$4="Chapter Hunt"),CHOOSE(ArtifactsInput!$N$27+1,20,24,28,32,36,40),0)/100)),0)</f>
        <v/>
      </c>
      <c r="R1024">
        <f>IF(AND(Inputs!$B$38&lt;&gt;"pvp",Inputs!$B$43&gt;0),IF(MAX(0,Inputs!$B$43-B1052)&lt;=0,0,(INT(MAX(0,Inputs!$B$43-B1052)/(IF(Inputs!$B$38="pvp",15,MAX(0.1,Skills!D8-IF(TRUE=TRUE,Inputs!$B$32,0)))*(1-IF(AND(ArtifactsInput!$M$27,Inputs!$B$4="Chapter Hunt"),CHOOSE(ArtifactsInput!$N$27+1,20,24,28,32,36,40),0)/100)))+1)),0)</f>
        <v/>
      </c>
      <c r="S1024">
        <f>IFERROR(O1024/N1024,0)</f>
        <v/>
      </c>
      <c r="T1024">
        <f>IF(C1024,(H1024*N1024*IF(AND(Inputs!$B$38&lt;&gt;"pvp",Inputs!$B$43&gt;0),((Skills!G8*((R1024-1)*IF(Skills!H8&gt;0,Skills!I8/Skills!H8,1)+IF(Skills!H8&gt;0,MIN(Skills!I8,MAX(0,MAX(0,Inputs!$B$43-B1052)-((R1024-1)*(IF(Inputs!$B$38="pvp",15,MAX(0.1,Skills!D8-IF(TRUE=TRUE,Inputs!$B$32,0)))*(1-IF(AND(ArtifactsInput!$M$27,Inputs!$B$4="Chapter Hunt"),CHOOSE(ArtifactsInput!$N$27+1,20,24,28,32,36,40),0)/100)))))/Skills!H8,1)))/Inputs!$B$43),G1024*Q1024)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4">
        <f>IF(C1024,(H1024*N1024*IF(AND(Inputs!$B$38&lt;&gt;"pvp",Inputs!$B$43&gt;0),((Skills!G8*((R1024-1)*IF(Skills!H8&gt;0,Skills!I8/Skills!H8,1)+IF(Skills!H8&gt;0,MIN(Skills!I8,MAX(0,MAX(0,Inputs!$B$43-B1052)-((R1024-1)*(IF(Inputs!$B$38="pvp",15,MAX(0.1,Skills!D8-IF(TRUE=TRUE,Inputs!$B$32,0)))*(1-IF(AND(ArtifactsInput!$M$27,Inputs!$B$4="Chapter Hunt"),CHOOSE(ArtifactsInput!$N$27+1,20,24,28,32,36,40),0)/100)))))/Skills!H8,1)))/Inputs!$B$43),G1024*Q1024))*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Skills!A9</f>
        <v/>
      </c>
      <c r="B1025">
        <f>Skills!B9</f>
        <v/>
      </c>
      <c r="C1025">
        <f>Inputs!$B$3&gt;=120</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B1057</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1036=TRUE)*(F1036-Calc!F20)),(Inputs!$B$23+0+(IF(ArtifactsInput!$M$15,CHOOSE(ArtifactsInput!$N$15+1,25,30,35,40,45,50)/100*(Inputs!$B$11-Inputs!$B$11),0))))/100+(Inputs!$B$23+0+(IF(ArtifactsInput!$M$15,CHOOSE(ArtifactsInput!$N$15+1,25,30,35,40,45,50)/100*(Inputs!$B$11-Inputs!$B$11),0)))/100)/2</f>
        <v/>
      </c>
      <c r="M1025">
        <f>L1025*(1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IF(B1055=0,0,O1025/B1055)</f>
        <v/>
      </c>
      <c r="Q1025">
        <f>IFERROR(1/(IF(Inputs!$B$38="pvp",15,MAX(0.1,Skills!D9-IF(TRUE=TRUE,Inputs!$B$32,0)))*(1-IF(AND(ArtifactsInput!$M$27,Inputs!$B$4="Chapter Hunt"),CHOOSE(ArtifactsInput!$N$27+1,20,24,28,32,36,40),0)/100)),0)</f>
        <v/>
      </c>
      <c r="R1025">
        <f>IF(AND(Inputs!$B$38&lt;&gt;"pvp",Inputs!$B$43&gt;0),IF(MAX(0,Inputs!$B$43-B1052)&lt;=0,0,(INT(MAX(0,Inputs!$B$43-B1052)/(IF(Inputs!$B$38="pvp",15,MAX(0.1,Skills!D9-IF(TRUE=TRUE,Inputs!$B$32,0)))*(1-IF(AND(ArtifactsInput!$M$27,Inputs!$B$4="Chapter Hunt"),CHOOSE(ArtifactsInput!$N$27+1,20,24,28,32,36,40),0)/100)))+1)),0)</f>
        <v/>
      </c>
      <c r="S1025">
        <f>IFERROR(O1025/N1025,0)</f>
        <v/>
      </c>
      <c r="T1025">
        <f>IF(C1025,(H1025*N1025*IF(AND(Inputs!$B$38&lt;&gt;"pvp",Inputs!$B$43&gt;0),((Skills!G9*((R1025-1)*IF(Skills!H9&gt;0,Skills!I9/Skills!H9,1)+IF(Skills!H9&gt;0,MIN(Skills!I9,MAX(0,MAX(0,Inputs!$B$43-B1052)-((R1025-1)*(IF(Inputs!$B$38="pvp",15,MAX(0.1,Skills!D9-IF(TRUE=TRUE,Inputs!$B$32,0)))*(1-IF(AND(ArtifactsInput!$M$27,Inputs!$B$4="Chapter Hunt"),CHOOSE(ArtifactsInput!$N$27+1,20,24,28,32,36,40),0)/100)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1052)-((R1025-1)*(IF(Inputs!$B$38="pvp",15,MAX(0.1,Skills!D9-IF(TRUE=TRUE,Inputs!$B$32,0)))*(1-IF(AND(ArtifactsInput!$M$27,Inputs!$B$4="Chapter Hunt"),CHOOSE(ArtifactsInput!$N$27+1,20,24,28,32,36,40),0)/100)))))/Skills!H9,1)))/Inputs!$B$43),G1025*Q1025))*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Inputs!$B$3&gt;=105</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1036=TRUE)*(F1036-Calc!F20)),(Inputs!$B$23+0+(IF(ArtifactsInput!$M$15,CHOOSE(ArtifactsInput!$N$15+1,25,30,35,40,45,50)/100*(Inputs!$B$11-Inputs!$B$11),0))))/100+(Inputs!$B$23+0+(IF(ArtifactsInput!$M$15,CHOOSE(ArtifactsInput!$N$15+1,25,30,35,40,45,50)/100*(Inputs!$B$11-Inputs!$B$11),0)))/100)/2</f>
        <v/>
      </c>
      <c r="M1026">
        <f>L1026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IF(B1055=0,0,O1026/B1055)</f>
        <v/>
      </c>
      <c r="Q1026">
        <f>IFERROR(1/(IF(Inputs!$B$38="pvp",15,MAX(0.1,Skills!D10-IF(TRUE=TRUE,Inputs!$B$32,0)))*(1-IF(AND(ArtifactsInput!$M$27,Inputs!$B$4="Chapter Hunt"),CHOOSE(ArtifactsInput!$N$27+1,20,24,28,32,36,40),0)/100)),0)</f>
        <v/>
      </c>
      <c r="R1026">
        <f>IF(AND(Inputs!$B$38&lt;&gt;"pvp",Inputs!$B$43&gt;0),IF(MAX(0,Inputs!$B$43-B1052)&lt;=0,0,(INT(MAX(0,Inputs!$B$43-B1052)/(IF(Inputs!$B$38="pvp",15,MAX(0.1,Skills!D10-IF(TRUE=TRUE,Inputs!$B$32,0)))*(1-IF(AND(ArtifactsInput!$M$27,Inputs!$B$4="Chapter Hunt"),CHOOSE(ArtifactsInput!$N$27+1,20,24,28,32,36,40),0)/100)))+1)),0)</f>
        <v/>
      </c>
      <c r="S1026">
        <f>IFERROR(O1026/N1026,0)</f>
        <v/>
      </c>
      <c r="T1026">
        <f>IF(C1026,(H1026*N1026*IF(AND(Inputs!$B$38&lt;&gt;"pvp",Inputs!$B$43&gt;0),((Skills!G10*((R1026-1)*IF(Skills!H10&gt;0,Skills!I10/Skills!H10,1)+IF(Skills!H10&gt;0,MIN(Skills!I10,MAX(0,MAX(0,Inputs!$B$43-B1052)-((R1026-1)*(IF(Inputs!$B$38="pvp",15,MAX(0.1,Skills!D10-IF(TRUE=TRUE,Inputs!$B$32,0)))*(1-IF(AND(ArtifactsInput!$M$27,Inputs!$B$4="Chapter Hunt"),CHOOSE(ArtifactsInput!$N$27+1,20,24,28,32,36,40),0)/100)))))/Skills!H10,1)))/Inputs!$B$43),G1026*Q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H1026*N1026*IF(AND(Inputs!$B$38&lt;&gt;"pvp",Inputs!$B$43&gt;0),((Skills!G10*((R1026-1)*IF(Skills!H10&gt;0,Skills!I10/Skills!H10,1)+IF(Skills!H10&gt;0,MIN(Skills!I10,MAX(0,MAX(0,Inputs!$B$43-B1052)-((R1026-1)*(IF(Inputs!$B$38="pvp",15,MAX(0.1,Skills!D10-IF(TRUE=TRUE,Inputs!$B$32,0)))*(1-IF(AND(ArtifactsInput!$M$27,Inputs!$B$4="Chapter Hunt"),CHOOSE(ArtifactsInput!$N$27+1,20,24,28,32,36,40),0)/100)))))/Skills!H10,1)))/Inputs!$B$43),G1026*Q1026))*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Inputs!$B$3&gt;=113</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1036=TRUE)*(F1036-Calc!F20)),(Inputs!$B$23+0+(IF(ArtifactsInput!$M$15,CHOOSE(ArtifactsInput!$N$15+1,25,30,35,40,45,50)/100*(Inputs!$B$11-Inputs!$B$11),0))))/100+(Inputs!$B$23+0+(IF(ArtifactsInput!$M$15,CHOOSE(ArtifactsInput!$N$15+1,25,30,35,40,45,50)/100*(Inputs!$B$11-Inputs!$B$11),0)))/100)/2</f>
        <v/>
      </c>
      <c r="M1027">
        <f>L1027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IF(B1055=0,0,O1027/B1055)</f>
        <v/>
      </c>
      <c r="Q1027" t="n">
        <v>0</v>
      </c>
      <c r="R1027" t="n">
        <v>0</v>
      </c>
      <c r="S1027">
        <f>IFERROR(O1027/N1027,0)</f>
        <v/>
      </c>
      <c r="T1027">
        <f>IF(C1027,((H1027*B1058)/(1+Skills!H11*H1027*B1058)*N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IF(C1027,((H1027*B1058)/(1+Skills!H11*H1027*B1058)*N1027)*IF(Inputs!$B$38="pvp",1,(1+(Inputs!$B$21+Skills!Q11+(IF(ArtifactsInput!$M$33,CHOOSE(ArtifactsInput!$N$33+1,30,36,42,48,54,60),0))+(IF(AND(ArtifactsInput!$M$35,Inputs!$B$4&lt;&gt;"Chapter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Inputs!$B$3&gt;=100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t="inlineStr"/>
      <c r="H1028" t="inlineStr"/>
      <c r="I1028" t="inlineStr">
        <is>
          <t>1</t>
        </is>
      </c>
      <c r="J1028" t="inlineStr"/>
      <c r="K1028" t="inlineStr"/>
      <c r="L1028" t="inlineStr"/>
      <c r="M1028" t="inlineStr"/>
      <c r="N1028" t="inlineStr"/>
      <c r="O1028" t="inlineStr"/>
      <c r="P1028" t="inlineStr"/>
      <c r="Q1028" t="inlineStr"/>
      <c r="R1028" t="inlineStr"/>
      <c r="S1028" t="inlineStr"/>
      <c r="T1028" t="inlineStr"/>
      <c r="V1028" t="inlineStr"/>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Skills!A14</f>
        <v/>
      </c>
      <c r="B1030">
        <f>Skills!B14</f>
        <v/>
      </c>
      <c r="C1030">
        <f>Inputs!$B$3&gt;=115</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IF(B1055=0,0,O1030/B1055)</f>
        <v/>
      </c>
      <c r="Q1030">
        <f>IFERROR(1/(IF(Inputs!$B$38="pvp",15,MAX(0.1,Skills!D14-IF(TRUE=TRUE,Inputs!$B$32,0)))*(1-IF(AND(ArtifactsInput!$M$27,Inputs!$B$4="Chapter Hunt"),CHOOSE(ArtifactsInput!$N$27+1,20,24,28,32,36,40),0)/100)),0)</f>
        <v/>
      </c>
      <c r="R1030">
        <f>IF(AND(Inputs!$B$38&lt;&gt;"pvp",Inputs!$B$43&gt;0),IF(Inputs!$B$43&lt;=0,0,(INT(Inputs!$B$43/(IF(Inputs!$B$38="pvp",15,MAX(0.1,Skills!D14-IF(TRUE=TRUE,Inputs!$B$32,0)))*(1-IF(AND(ArtifactsInput!$M$27,Inputs!$B$4="Chapter Hunt"),CHOOSE(ArtifactsInput!$N$27+1,20,24,28,32,36,40),0)/100)))+1)),0)</f>
        <v/>
      </c>
      <c r="S1030">
        <f>IFERROR(O1030/N1030,0)</f>
        <v/>
      </c>
      <c r="T1030" t="n">
        <v>0</v>
      </c>
      <c r="V1030" t="n">
        <v>0</v>
      </c>
    </row>
    <row r="1031">
      <c r="A1031">
        <f>Skills!A15</f>
        <v/>
      </c>
      <c r="B1031">
        <f>Skills!B15</f>
        <v/>
      </c>
      <c r="C1031">
        <f>Inputs!$B$3&gt;=125</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IF(B1055=0,0,O1031/B1055)</f>
        <v/>
      </c>
      <c r="Q1031">
        <f>IFERROR(1/(IF(Inputs!$B$38="pvp",15,MAX(0.1,Skills!D15-IF(TRUE=TRUE,Inputs!$B$32,0)))*(1-IF(AND(ArtifactsInput!$M$27,Inputs!$B$4="Chapter Hunt"),CHOOSE(ArtifactsInput!$N$27+1,20,24,28,32,36,40),0)/100)),0)</f>
        <v/>
      </c>
      <c r="R1031">
        <f>IF(AND(Inputs!$B$38&lt;&gt;"pvp",Inputs!$B$43&gt;0),IF(Inputs!$B$43&lt;=0,0,(INT(Inputs!$B$43/(IF(Inputs!$B$38="pvp",15,MAX(0.1,Skills!D15-IF(TRUE=TRUE,Inputs!$B$32,0)))*(1-IF(AND(ArtifactsInput!$M$27,Inputs!$B$4="Chapter Hunt"),CHOOSE(ArtifactsInput!$N$27+1,20,24,28,32,36,40),0)/100)))+1)),0)</f>
        <v/>
      </c>
      <c r="S1031">
        <f>IFERROR(O1031/N1031,0)</f>
        <v/>
      </c>
      <c r="T1031" t="n">
        <v>0</v>
      </c>
      <c r="V1031" t="n">
        <v>0</v>
      </c>
    </row>
    <row r="1032">
      <c r="A1032">
        <f>Skills!A16</f>
        <v/>
      </c>
      <c r="B1032">
        <f>Skills!B16</f>
        <v/>
      </c>
      <c r="C1032">
        <f>Inputs!$B$3&gt;=10</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Skills!A17</f>
        <v/>
      </c>
      <c r="B1033">
        <f>Skills!B17</f>
        <v/>
      </c>
      <c r="C1033">
        <f>Inputs!$B$3&gt;=15</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Skills!A18</f>
        <v/>
      </c>
      <c r="B1034">
        <f>Skills!B18</f>
        <v/>
      </c>
      <c r="C1034">
        <f>Inputs!$B$3&gt;=33</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Skills!A19</f>
        <v/>
      </c>
      <c r="B1035">
        <f>Skills!B19</f>
        <v/>
      </c>
      <c r="C1035">
        <f>Inputs!$B$3&gt;=40</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Skills!A20</f>
        <v/>
      </c>
      <c r="B1036">
        <f>Skills!B20</f>
        <v/>
      </c>
      <c r="C1036">
        <f>Inputs!$B$3&gt;=43</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Skills!A21</f>
        <v/>
      </c>
      <c r="B1037">
        <f>Skills!B21</f>
        <v/>
      </c>
      <c r="C1037">
        <f>Inputs!$B$3&gt;=38</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Skills!A22</f>
        <v/>
      </c>
      <c r="B1038">
        <f>Skills!B22</f>
        <v/>
      </c>
      <c r="C1038">
        <f>Inputs!$B$3&gt;=75</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Skills!A23</f>
        <v/>
      </c>
      <c r="B1039">
        <f>Skills!B23</f>
        <v/>
      </c>
      <c r="C1039">
        <f>TRUE</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IF(B1055=0,0,O1039/B1055)</f>
        <v/>
      </c>
      <c r="Q1039">
        <f>IFERROR(1/(IF(Inputs!$B$38="pvp",15,MAX(0.1,Skills!D23-IF(TRUE=TRUE,Inputs!$B$32,0)))*(1-IF(AND(ArtifactsInput!$M$27,Inputs!$B$4="Chapter Hunt"),CHOOSE(ArtifactsInput!$N$27+1,20,24,28,32,36,40),0)/100)),0)</f>
        <v/>
      </c>
      <c r="R1039">
        <f>IF(AND(Inputs!$B$38&lt;&gt;"pvp",Inputs!$B$43&gt;0),IF(Inputs!$B$43&lt;=0,0,(INT(Inputs!$B$43/(IF(Inputs!$B$38="pvp",15,MAX(0.1,Skills!D23-IF(TRUE=TRUE,Inputs!$B$32,0)))*(1-IF(AND(ArtifactsInput!$M$27,Inputs!$B$4="Chapter Hunt"),CHOOSE(ArtifactsInput!$N$27+1,20,24,28,32,36,40),0)/100)))+1)),0)</f>
        <v/>
      </c>
      <c r="S1039">
        <f>IFERROR(O1039/N1039,0)</f>
        <v/>
      </c>
      <c r="T1039" t="n">
        <v>0</v>
      </c>
      <c r="V1039" t="n">
        <v>0</v>
      </c>
    </row>
    <row r="1040">
      <c r="A1040">
        <f>Skills!A24</f>
        <v/>
      </c>
      <c r="B1040">
        <f>Skills!B24</f>
        <v/>
      </c>
      <c r="C1040">
        <f>Inputs!$B$3&gt;=107</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IF(B1055=0,0,O1040/B1055)</f>
        <v/>
      </c>
      <c r="Q1040">
        <f>IFERROR(1/(IF(Inputs!$B$38="pvp",15,MAX(0.1,Skills!D24-IF(TRUE=TRUE,Inputs!$B$32,0)))*(1-IF(AND(ArtifactsInput!$M$27,Inputs!$B$4="Chapter Hunt"),CHOOSE(ArtifactsInput!$N$27+1,20,24,28,32,36,40),0)/100)),0)</f>
        <v/>
      </c>
      <c r="R1040">
        <f>IF(AND(Inputs!$B$38&lt;&gt;"pvp",Inputs!$B$43&gt;0),IF(Inputs!$B$43&lt;=0,0,(INT(Inputs!$B$43/(IF(Inputs!$B$38="pvp",15,MAX(0.1,Skills!D24-IF(TRUE=TRUE,Inputs!$B$32,0)))*(1-IF(AND(ArtifactsInput!$M$27,Inputs!$B$4="Chapter Hunt"),CHOOSE(ArtifactsInput!$N$27+1,20,24,28,32,36,40),0)/100)))+1)),0)</f>
        <v/>
      </c>
      <c r="S1040">
        <f>IFERROR(O1040/N1040,0)</f>
        <v/>
      </c>
      <c r="T1040" t="n">
        <v>0</v>
      </c>
      <c r="V1040" t="n">
        <v>0</v>
      </c>
    </row>
    <row r="1041">
      <c r="A1041">
        <f>Skills!A25</f>
        <v/>
      </c>
      <c r="B1041">
        <f>Skills!B25</f>
        <v/>
      </c>
      <c r="C1041">
        <f>Inputs!$B$3&gt;=110</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T1041" t="inlineStr"/>
      <c r="V1041" t="inlineStr"/>
    </row>
    <row r="1042">
      <c r="A1042">
        <f>Skills!A26</f>
        <v/>
      </c>
      <c r="B1042">
        <f>Skills!B26</f>
        <v/>
      </c>
      <c r="C1042">
        <f>Inputs!$B$3&gt;=117</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T1042" t="inlineStr"/>
      <c r="V1042" t="inlineStr"/>
    </row>
    <row r="1044">
      <c r="A1044" t="inlineStr">
        <is>
          <t>Attack% Bucket Multiplier</t>
        </is>
      </c>
      <c r="B1044">
        <f>(1+(((C1029=TRUE)*F1029*5/7)+((C1035=TRUE)*(F1035-Calc!F19))+(IF(ArtifactsInput!$M$21,CHOOSE(ArtifactsInput!$N$21+1,25,30,35,40,45,50)*(IF(OR(Inputs!$B$4="Chapter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t="n">
        <v>0</v>
      </c>
    </row>
    <row r="1046">
      <c r="A1046" t="inlineStr">
        <is>
          <t>Attack Speed Buff Bonus % (Nimble Feet + Speed Infusion, duty-cycle averaged)</t>
        </is>
      </c>
      <c r="B1046">
        <f>((C1039=TRUE)*F1039*IF(AND(Inputs!$B$38&lt;&gt;"pvp",Inputs!$B$43&gt;0),(((R1039-1)*MIN((Skills!T23*(1+Inputs!$B$34/100)),(1/Q1039))+MIN((Skills!T23*(1+Inputs!$B$34/100)),MAX(0,Inputs!$B$43-((R1039-1)*(1/Q1039)))))/Inputs!$B$43),IF(Inputs!$B$38="pvp",MIN((Skills!T23*(1+Inputs!$B$34/100)),15)/15,MIN(1,(Skills!T23*(1+Inputs!$B$34/100))/(1/Q1039)))))+((C1040=TRUE)*F1040*IF(AND(Inputs!$B$38&lt;&gt;"pvp",Inputs!$B$43&gt;0),(((R1040-1)*MIN((Skills!T24*(1+Inputs!$B$34/100)),(1/Q1040))+MIN((Skills!T24*(1+Inputs!$B$34/100)),MAX(0,Inputs!$B$43-((R1040-1)*(1/Q1040)))))/Inputs!$B$43),IF(Inputs!$B$38="pvp",MIN((Skills!T24*(1+Inputs!$B$34/100)),15)/15,MIN(1,(Skills!T24*(1+Inputs!$B$34/100))/(1/Q1040)))))</f>
        <v/>
      </c>
    </row>
    <row r="1047">
      <c r="A1047" t="inlineStr">
        <is>
          <t>Actions Per Second</t>
        </is>
      </c>
      <c r="B1047">
        <f>1+MIN(150,150*(1-(1-(Inputs!$B$11+((C1033=TRUE)*(F1033-Calc!F17))+((C1034=TRUE)*(F1034-Calc!F18)))/150)*(1-B1046/150)))/100</f>
        <v/>
      </c>
    </row>
    <row r="1048">
      <c r="A1048" t="inlineStr">
        <is>
          <t>Skill + Buff Cast Rate</t>
        </is>
      </c>
      <c r="B1048">
        <f>IF(AND(Inputs!$B$38&lt;&gt;"pvp",Inputs!$B$43&gt;0),SUMPRODUCT((Skills!E2:E26=TRUE)*(C1018:C1042=TRUE)*R1018:R1042*Skills!F2:F26)/Inputs!$B$43,SUMPRODUCT((Skills!E2:E26=TRUE)*(C1018:C1042=TRUE)*Q1018:Q1042*Skills!F2:F26))</f>
        <v/>
      </c>
    </row>
    <row r="1049">
      <c r="A1049" t="inlineStr">
        <is>
          <t>Hook Bomber Casts Per Second</t>
        </is>
      </c>
      <c r="B1049">
        <f>MAX(0,B1047-B1048)</f>
        <v/>
      </c>
    </row>
    <row r="1050">
      <c r="A1050" t="inlineStr">
        <is>
          <t>Global Critical Damage Bonus % (unused)</t>
        </is>
      </c>
      <c r="B1050" t="n">
        <v>0</v>
      </c>
    </row>
    <row r="1051">
      <c r="A1051" t="inlineStr">
        <is>
          <t>Global Final Damage Bonus % (Serpent Scale + Crossbones + Time Leap + Speed Infusion)</t>
        </is>
      </c>
      <c r="B1051">
        <f>((C1021=TRUE)*(F1021*B1057+4*(1-B1057)))+((C1030=TRUE)*F1030*IF(AND(Inputs!$B$38&lt;&gt;"pvp",Inputs!$B$43&gt;0),(((R1030-1)*MIN((Skills!T14*(1+Inputs!$B$34/100)),(1/Q1030))+MIN((Skills!T14*(1+Inputs!$B$34/100)),MAX(0,Inputs!$B$43-((R1030-1)*(1/Q1030)))))/Inputs!$B$43),IF(Inputs!$B$38="pvp",MIN((Skills!T14*(1+Inputs!$B$34/100)),15)/15,MIN(1,(Skills!T14*(1+Inputs!$B$34/100))/(1/Q1030)))))+((C1031=TRUE)*F1031*IF(AND(Inputs!$B$38&lt;&gt;"pvp",Inputs!$B$43&gt;0),(((R1031-1)*MIN((Skills!T15*(1+Inputs!$B$34/100)),(1/Q1031))+MIN((Skills!T15*(1+Inputs!$B$34/100)),MAX(0,Inputs!$B$43-((R1031-1)*(1/Q1031)))))/Inputs!$B$43),IF(Inputs!$B$38="pvp",MIN((Skills!T15*(1+Inputs!$B$34/100)),15)/15,MIN(1,(Skills!T15*(1+Inputs!$B$34/100))/(1/Q1031)))))+((C1040=TRUE)*20*((1+MIN(150,150*(1-(1-(Inputs!$B$11+((C1033=TRUE)*(F1033-Calc!F17))+((C1034=TRUE)*(F1034-Calc!F18)))/150)*(1-(((C1039=TRUE)*F1039*IF(AND(Inputs!$B$38&lt;&gt;"pvp",Inputs!$B$43&gt;0),(((R1039-1)*MIN((Skills!T23*(1+Inputs!$B$34/100)),(1/Q1039))+MIN((Skills!T23*(1+Inputs!$B$34/100)),MAX(0,Inputs!$B$43-((R1039-1)*(1/Q1039)))))/Inputs!$B$43),IF(Inputs!$B$38="pvp",MIN((Skills!T23*(1+Inputs!$B$34/100)),15)/15,MIN(1,(Skills!T23*(1+Inputs!$B$34/100))/(1/Q1039)))))+F1040)/150)))/100)-1)*IF(AND(Inputs!$B$38&lt;&gt;"pvp",Inputs!$B$43&gt;0),(((R1040-1)*MIN((Skills!T24*(1+Inputs!$B$34/100)),(1/Q1040))+MIN((Skills!T24*(1+Inputs!$B$34/100)),MAX(0,Inputs!$B$43-((R1040-1)*(1/Q1040)))))/Inputs!$B$43),IF(Inputs!$B$38="pvp",MIN((Skills!T24*(1+Inputs!$B$34/100)),15)/15,MIN(1,(Skills!T24*(1+Inputs!$B$34/100))/(1/Q1040)))))</f>
        <v/>
      </c>
    </row>
    <row r="1052">
      <c r="A1052" t="inlineStr">
        <is>
          <t>Buff-Casting Startup Delay (s, fixed-duration only)</t>
        </is>
      </c>
      <c r="B1052">
        <f>IF(AND(Inputs!$B$38&lt;&gt;"pvp",Inputs!$B$43&gt;0),SUMPRODUCT((Skills!T2:T26&gt;0)*(Skills!E2:E26=TRUE)*(C1018:C1042=TRUE))/B1047,0)</f>
        <v/>
      </c>
    </row>
    <row r="1053">
      <c r="A1053" t="inlineStr">
        <is>
          <t>Boss-Only Total DPS (this block's swept value)</t>
        </is>
      </c>
      <c r="B1053">
        <f>SUM(T1018:T1042)</f>
        <v/>
      </c>
    </row>
    <row r="1054">
      <c r="A1054" t="inlineStr">
        <is>
          <t>Normal-Only Total DPS (this block's swept value)</t>
        </is>
      </c>
      <c r="B1054">
        <f>SUM(V1018:V1042)</f>
        <v/>
      </c>
    </row>
    <row r="1055">
      <c r="A1055" s="6" t="inlineStr">
        <is>
          <t>TOTAL DPS</t>
        </is>
      </c>
      <c r="B1055" s="6">
        <f>SUM(O1018:O1042)</f>
        <v/>
      </c>
    </row>
    <row r="1056">
      <c r="A1056" t="inlineStr">
        <is>
          <t>Serpent activation interval T (this block's own Hook Bomber rate)</t>
        </is>
      </c>
      <c r="B1056">
        <f>((1/Q1019)+IFERROR(0.5/B1049,0))</f>
        <v/>
      </c>
    </row>
    <row r="1057">
      <c r="A1057" t="inlineStr">
        <is>
          <t>Assault Mode uptime u (this block)</t>
        </is>
      </c>
      <c r="B1057">
        <f>IF(C1021=TRUE,(10+IF(Inputs!$B$3&gt;=94,5,0))/((10+IF(Inputs!$B$3&gt;=94,5,0))+IF(Inputs!$B$3&gt;=104,3,5)*B1056),0)</f>
        <v/>
      </c>
    </row>
    <row r="1058">
      <c r="A1058" t="inlineStr">
        <is>
          <t>Nautilus Strike - Final Attack trigger rate (this block's own Q/R)</t>
        </is>
      </c>
      <c r="B1058">
        <f>IF(AND(Inputs!$B$38&lt;&gt;"pvp",Inputs!$B$43&gt;0),(((C1022=TRUE)*R1022)+((C1023=TRUE)*R1023)+((C1026=TRUE)*R1026))/Inputs!$B$43,((C1022=TRUE)*Q1022)+((C1023=TRUE)*Q1023)+((C1026=TRUE)*Q1026))+B1049</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1081=TRUE)*(F1081-Calc!F20)),(Inputs!$B$23+0+(IF(ArtifactsInput!$M$15,CHOOSE(ArtifactsInput!$N$15+1,25,30,35,40,45,50)/100*(Inputs!$B$11-Inputs!$B$11),0))))/100+(Inputs!$B$23+0+(IF(ArtifactsInput!$M$15,CHOOSE(ArtifactsInput!$N$15+1,25,30,35,40,45,50)/100*(Inputs!$B$11-Inputs!$B$11),0)))/100)/2</f>
        <v/>
      </c>
      <c r="M1063">
        <f>L1063*(1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IF(B1100=0,0,O1063/B1100)</f>
        <v/>
      </c>
      <c r="Q1063" t="n">
        <v>0</v>
      </c>
      <c r="R1063" t="n">
        <v>0</v>
      </c>
      <c r="S1063">
        <f>IFERROR(O1063/N1063,0)</f>
        <v/>
      </c>
      <c r="T1063">
        <f>IF(C1063,(Skills!G2*N1063*B1094)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IF(C1063,(Skills!G2*N1063*B1094)*IF(Inputs!$B$38="pvp",1,(1+(Inputs!$B$21+Skills!Q2+(IF(ArtifactsInput!$M$33,CHOOSE(ArtifactsInput!$N$33+1,30,36,42,48,54,60),0))+(IF(AND(ArtifactsInput!$M$35,Inputs!$B$4&lt;&gt;"Chapter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Inputs!$B$3&gt;=35</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f>Skills!G3*IF(Skills!H3&gt;0,Skills!I3/Skills!H3,1)</f>
        <v/>
      </c>
      <c r="H1064">
        <f>1-(1-Skills!J3/100)^Skills!K3</f>
        <v/>
      </c>
      <c r="I1064" t="inlineStr">
        <is>
          <t>1</t>
        </is>
      </c>
      <c r="J1064">
        <f>((Inputs!$B$6*(1+(Inputs!$B$7+1)/100))+(((Inputs!$B$12*(1+Inputs!$B$13/100))-(Inputs!$B$12*(1+Inputs!$B$13/100)))+0.25*(Inputs!$B$14-Inputs!$B$14))*(1+(Inputs!$B$7+1)/100))*(F1064/100)</f>
        <v/>
      </c>
      <c r="K1064">
        <f>J1064*(1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1086=TRUE,F1086,0)/100)*(1+(IF(Skills!A3="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1081=TRUE)*(F1081-Calc!F20)),(Inputs!$B$23+0+(IF(ArtifactsInput!$M$15,CHOOSE(ArtifactsInput!$N$15+1,25,30,35,40,45,50)/100*(Inputs!$B$11-Inputs!$B$11),0))))/100+(Inputs!$B$23+0+(IF(ArtifactsInput!$M$15,CHOOSE(ArtifactsInput!$N$15+1,25,30,35,40,45,50)/100*(Inputs!$B$11-Inputs!$B$11),0)))/100)/2</f>
        <v/>
      </c>
      <c r="M1064">
        <f>L1064*(1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IF(B1100=0,0,O1064/B1100)</f>
        <v/>
      </c>
      <c r="Q1064">
        <f>IFERROR(1/(IF(Inputs!$B$38="pvp",15,MAX(0.1,Skills!D3-IF(TRUE=TRUE,Inputs!$B$32,0)))*(1-IF(AND(ArtifactsInput!$M$27,Inputs!$B$4="Chapter Hunt"),CHOOSE(ArtifactsInput!$N$27+1,20,24,28,32,36,40),0)/100)),0)</f>
        <v/>
      </c>
      <c r="R1064">
        <f>IF(AND(Inputs!$B$38&lt;&gt;"pvp",Inputs!$B$43&gt;0),IF(MAX(0,Inputs!$B$43-B1097)&lt;=0,0,(INT(MAX(0,Inputs!$B$43-B1097)/(IF(Inputs!$B$38="pvp",15,MAX(0.1,Skills!D3-IF(TRUE=TRUE,Inputs!$B$32,0)))*(1-IF(AND(ArtifactsInput!$M$27,Inputs!$B$4="Chapter Hunt"),CHOOSE(ArtifactsInput!$N$27+1,20,24,28,32,36,40),0)/100)))+1)),0)</f>
        <v/>
      </c>
      <c r="S1064">
        <f>IFERROR(O1064/N1064,0)</f>
        <v/>
      </c>
      <c r="T1064">
        <f>IF(C1064,(Skills!G3*N1064*IF(C1065=TRUE,1-B1102,1)/B1101)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1064*(1-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INDEX(FactorTable!$B$2:$Y$301, MATCH(ROUND(MIN(300,MAX(1,U1063)),0), FactorTable!$A$2:$A$301,0), 22)</f>
        <v/>
      </c>
      <c r="V1064">
        <f>IF(C1064,(Skills!G3*N1064*IF(C1065=TRUE,1-B1102,1)/B1101)*IF(Inputs!$B$38="pvp",1,(1+(Inputs!$B$21+Skills!Q3+(IF(ArtifactsInput!$M$33,CHOOSE(ArtifactsInput!$N$33+1,30,36,42,48,54,60),0))+(IF(AND(ArtifactsInput!$M$35,Inputs!$B$4&lt;&gt;"Chapter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Skills!A4</f>
        <v/>
      </c>
      <c r="B1065">
        <f>Skills!B4</f>
        <v/>
      </c>
      <c r="C1065">
        <f>Inputs!$B$3&gt;=69</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f>Skills!G4*IF(Skills!H4&gt;0,Skills!I4/Skills!H4,1)</f>
        <v/>
      </c>
      <c r="H1065">
        <f>1-(1-Skills!J4/100)^Skills!K4</f>
        <v/>
      </c>
      <c r="I1065" t="inlineStr">
        <is>
          <t>1</t>
        </is>
      </c>
      <c r="J1065">
        <f>((Inputs!$B$6*(1+(Inputs!$B$7+1)/100))+(((Inputs!$B$12*(1+Inputs!$B$13/100))-(Inputs!$B$12*(1+Inputs!$B$13/100)))+0.25*(Inputs!$B$14-Inputs!$B$14))*(1+(Inputs!$B$7+1)/100))*(F1065/100)</f>
        <v/>
      </c>
      <c r="K1065">
        <f>J1065*(1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1073=TRUE,F1073,0)/100)*(1+(IF(Skills!A4="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1081=TRUE)*(F1081-Calc!F20)),(Inputs!$B$23+0+(IF(ArtifactsInput!$M$15,CHOOSE(ArtifactsInput!$N$15+1,25,30,35,40,45,50)/100*(Inputs!$B$11-Inputs!$B$11),0))))/100+(Inputs!$B$23+0+(IF(ArtifactsInput!$M$15,CHOOSE(ArtifactsInput!$N$15+1,25,30,35,40,45,50)/100*(Inputs!$B$11-Inputs!$B$11),0)))/100)/2</f>
        <v/>
      </c>
      <c r="M1065">
        <f>L1065*(1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IF(B1100=0,0,O1065/B1100)</f>
        <v/>
      </c>
      <c r="Q1065" t="n">
        <v>0</v>
      </c>
      <c r="R1065" t="n">
        <v>0</v>
      </c>
      <c r="S1065">
        <f>IFERROR(O1065/N1065,0)</f>
        <v/>
      </c>
      <c r="T1065">
        <f>IF(C1065,(Skills!G4*N1065*B1102/B1101)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5">
        <f>290*U1064/1000</f>
        <v/>
      </c>
      <c r="V1065">
        <f>IF(C1065,(Skills!G4*N1065*B1102/B1101)*IF(Inputs!$B$38="pvp",1,(1+(Inputs!$B$21+Skills!Q4+(IF(ArtifactsInput!$M$33,CHOOSE(ArtifactsInput!$N$33+1,30,36,42,48,54,60),0))+(IF(AND(ArtifactsInput!$M$35,Inputs!$B$4&lt;&gt;"Chapter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Skills!A5</f>
        <v/>
      </c>
      <c r="B1066">
        <f>Skills!B5</f>
        <v/>
      </c>
      <c r="C1066">
        <f>Inputs!$B$3&gt;=66</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t="inlineStr"/>
      <c r="K1066" t="inlineStr"/>
      <c r="L1066" t="inlineStr"/>
      <c r="M1066" t="inlineStr"/>
      <c r="N1066" t="inlineStr"/>
      <c r="O1066">
        <f>(1-Summary!$B$11)*T1066+Summary!$B$11*V1066</f>
        <v/>
      </c>
      <c r="P1066">
        <f>IF(B1100=0,0,O1066/B1100)</f>
        <v/>
      </c>
      <c r="Q1066" t="n">
        <v>0</v>
      </c>
      <c r="R1066" t="n">
        <v>0</v>
      </c>
      <c r="S1066">
        <f>IFERROR(O1066/N1066,0)</f>
        <v/>
      </c>
      <c r="T1066" t="n">
        <v>0</v>
      </c>
      <c r="V1066" t="n">
        <v>0</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1073=TRUE,F1073,0)/100)*(1+(IF(Skills!A6="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1081=TRUE)*(F1081-Calc!F20)),(Inputs!$B$23+0+(IF(ArtifactsInput!$M$15,CHOOSE(ArtifactsInput!$N$15+1,25,30,35,40,45,50)/100*(Inputs!$B$11-Inputs!$B$11),0))))/100+(Inputs!$B$23+0+(IF(ArtifactsInput!$M$15,CHOOSE(ArtifactsInput!$N$15+1,25,30,35,40,45,50)/100*(Inputs!$B$11-Inputs!$B$11),0)))/100)/2</f>
        <v/>
      </c>
      <c r="M1067">
        <f>L1067*(1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IF(B1100=0,0,O1067/B1100)</f>
        <v/>
      </c>
      <c r="Q1067">
        <f>IFERROR(1/(IF(Inputs!$B$38="pvp",15,MAX(0.1,Skills!D6-IF(TRUE=TRUE,Inputs!$B$32,0)))*(1-IF(AND(ArtifactsInput!$M$27,Inputs!$B$4="Chapter Hunt"),CHOOSE(ArtifactsInput!$N$27+1,20,24,28,32,36,40),0)/100)),0)</f>
        <v/>
      </c>
      <c r="R1067">
        <f>IF(AND(Inputs!$B$38&lt;&gt;"pvp",Inputs!$B$43&gt;0),IF(MAX(0,Inputs!$B$43-B1097)&lt;=0,0,(INT(MAX(0,Inputs!$B$43-B1097)/(IF(Inputs!$B$38="pvp",15,MAX(0.1,Skills!D6-IF(TRUE=TRUE,Inputs!$B$32,0)))*(1-IF(AND(ArtifactsInput!$M$27,Inputs!$B$4="Chapter Hunt"),CHOOSE(ArtifactsInput!$N$27+1,20,24,28,32,36,40),0)/100)))+1)),0)</f>
        <v/>
      </c>
      <c r="S1067">
        <f>IFERROR(O1067/N1067,0)</f>
        <v/>
      </c>
      <c r="T1067">
        <f>IF(C1067,(H1067*N1067*IF(AND(Inputs!$B$38&lt;&gt;"pvp",Inputs!$B$43&gt;0),((Skills!G6*((R1067-1)*IF(Skills!H6&gt;0,Skills!I6/Skills!H6,1)+IF(Skills!H6&gt;0,MIN(Skills!I6,MAX(0,MAX(0,Inputs!$B$43-B1097)-((R1067-1)*(IF(Inputs!$B$38="pvp",15,MAX(0.1,Skills!D6-IF(TRUE=TRUE,Inputs!$B$32,0)))*(1-IF(AND(ArtifactsInput!$M$27,Inputs!$B$4="Chapter Hunt"),CHOOSE(ArtifactsInput!$N$27+1,20,24,28,32,36,40),0)/100)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1097)-((R1067-1)*(IF(Inputs!$B$38="pvp",15,MAX(0.1,Skills!D6-IF(TRUE=TRUE,Inputs!$B$32,0)))*(1-IF(AND(ArtifactsInput!$M$27,Inputs!$B$4="Chapter Hunt"),CHOOSE(ArtifactsInput!$N$27+1,20,24,28,32,36,40),0)/100)))))/Skills!H6,1)))/Inputs!$B$43),G1067*Q1067))*IF(Inputs!$B$38="pvp",1,(1+(Inputs!$B$21+Skills!Q6+(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Inputs!$B$3&gt;=103</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1081=TRUE)*(F1081-Calc!F20)),(Inputs!$B$23+0+(IF(ArtifactsInput!$M$15,CHOOSE(ArtifactsInput!$N$15+1,25,30,35,40,45,50)/100*(Inputs!$B$11-Inputs!$B$11),0))))/100+(Inputs!$B$23+0+(IF(ArtifactsInput!$M$15,CHOOSE(ArtifactsInput!$N$15+1,25,30,35,40,45,50)/100*(Inputs!$B$11-Inputs!$B$11),0)))/100)/2</f>
        <v/>
      </c>
      <c r="M1068">
        <f>L1068*(1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IF(B1100=0,0,O1068/B1100)</f>
        <v/>
      </c>
      <c r="Q1068">
        <f>IFERROR(1/(IF(Inputs!$B$38="pvp",15,MAX(0.1,Skills!D7-IF(TRUE=TRUE,Inputs!$B$32,0)))*(1-IF(AND(ArtifactsInput!$M$27,Inputs!$B$4="Chapter Hunt"),CHOOSE(ArtifactsInput!$N$27+1,20,24,28,32,36,40),0)/100)),0)</f>
        <v/>
      </c>
      <c r="R1068">
        <f>IF(AND(Inputs!$B$38&lt;&gt;"pvp",Inputs!$B$43&gt;0),IF(MAX(0,Inputs!$B$43-B1097)&lt;=0,0,(INT(MAX(0,Inputs!$B$43-B1097)/(IF(Inputs!$B$38="pvp",15,MAX(0.1,Skills!D7-IF(TRUE=TRUE,Inputs!$B$32,0)))*(1-IF(AND(ArtifactsInput!$M$27,Inputs!$B$4="Chapter Hunt"),CHOOSE(ArtifactsInput!$N$27+1,20,24,28,32,36,40),0)/100)))+1)),0)</f>
        <v/>
      </c>
      <c r="S1068">
        <f>IFERROR(O1068/N1068,0)</f>
        <v/>
      </c>
      <c r="T1068">
        <f>IF(C1068,(H1068*N1068*IF(AND(Inputs!$B$38&lt;&gt;"pvp",Inputs!$B$43&gt;0),((Skills!G7*((R1068-1)*IF(Skills!H7&gt;0,Skills!I7/Skills!H7,1)+IF(Skills!H7&gt;0,MIN(Skills!I7,MAX(0,MAX(0,Inputs!$B$43-B1097)-((R1068-1)*(IF(Inputs!$B$38="pvp",15,MAX(0.1,Skills!D7-IF(TRUE=TRUE,Inputs!$B$32,0)))*(1-IF(AND(ArtifactsInput!$M$27,Inputs!$B$4="Chapter Hunt"),CHOOSE(ArtifactsInput!$N$27+1,20,24,28,32,36,40),0)/100)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1097)-((R1068-1)*(IF(Inputs!$B$38="pvp",15,MAX(0.1,Skills!D7-IF(TRUE=TRUE,Inputs!$B$32,0)))*(1-IF(AND(ArtifactsInput!$M$27,Inputs!$B$4="Chapter Hunt"),CHOOSE(ArtifactsInput!$N$27+1,20,24,28,32,36,40),0)/100)))))/Skills!H7,1)))/Inputs!$B$43),G1068*Q1068))*IF(Inputs!$B$38="pvp",1,(1+(Inputs!$B$21+Skills!Q7+(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Inputs!$B$3&gt;=117</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f>Skills!G8*IF(Skills!H8&gt;0,Skills!I8/Skills!H8,1)</f>
        <v/>
      </c>
      <c r="H1069">
        <f>1-(1-Skills!J8/100)^Skills!K8</f>
        <v/>
      </c>
      <c r="I1069" t="inlineStr">
        <is>
          <t>1</t>
        </is>
      </c>
      <c r="J1069">
        <f>((Inputs!$B$6*(1+(Inputs!$B$7+1)/100))+(((Inputs!$B$12*(1+Inputs!$B$13/100))-(Inputs!$B$12*(1+Inputs!$B$13/100)))+0.25*(Inputs!$B$14-Inputs!$B$14))*(1+(Inputs!$B$7+1)/100))*(F1069/100)</f>
        <v/>
      </c>
      <c r="K1069">
        <f>J1069*(1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1081=TRUE)*(F1081-Calc!F20)),(Inputs!$B$23+0+(IF(ArtifactsInput!$M$15,CHOOSE(ArtifactsInput!$N$15+1,25,30,35,40,45,50)/100*(Inputs!$B$11-Inputs!$B$11),0))))/100+(Inputs!$B$23+0+(IF(ArtifactsInput!$M$15,CHOOSE(ArtifactsInput!$N$15+1,25,30,35,40,45,50)/100*(Inputs!$B$11-Inputs!$B$11),0)))/100)/2</f>
        <v/>
      </c>
      <c r="M1069">
        <f>L1069*(1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IF(B1100=0,0,O1069/B1100)</f>
        <v/>
      </c>
      <c r="Q1069">
        <f>IFERROR(1/(IF(Inputs!$B$38="pvp",15,MAX(0.1,Skills!D8-IF(TRUE=TRUE,Inputs!$B$32,0)))*(1-IF(AND(ArtifactsInput!$M$27,Inputs!$B$4="Chapter Hunt"),CHOOSE(ArtifactsInput!$N$27+1,20,24,28,32,36,40),0)/100)),0)</f>
        <v/>
      </c>
      <c r="R1069">
        <f>IF(AND(Inputs!$B$38&lt;&gt;"pvp",Inputs!$B$43&gt;0),IF(MAX(0,Inputs!$B$43-B1097)&lt;=0,0,(INT(MAX(0,Inputs!$B$43-B1097)/(IF(Inputs!$B$38="pvp",15,MAX(0.1,Skills!D8-IF(TRUE=TRUE,Inputs!$B$32,0)))*(1-IF(AND(ArtifactsInput!$M$27,Inputs!$B$4="Chapter Hunt"),CHOOSE(ArtifactsInput!$N$27+1,20,24,28,32,36,40),0)/100)))+1)),0)</f>
        <v/>
      </c>
      <c r="S1069">
        <f>IFERROR(O1069/N1069,0)</f>
        <v/>
      </c>
      <c r="T1069">
        <f>IF(C1069,(H1069*N1069*IF(AND(Inputs!$B$38&lt;&gt;"pvp",Inputs!$B$43&gt;0),((Skills!G8*((R1069-1)*IF(Skills!H8&gt;0,Skills!I8/Skills!H8,1)+IF(Skills!H8&gt;0,MIN(Skills!I8,MAX(0,MAX(0,Inputs!$B$43-B1097)-((R1069-1)*(IF(Inputs!$B$38="pvp",15,MAX(0.1,Skills!D8-IF(TRUE=TRUE,Inputs!$B$32,0)))*(1-IF(AND(ArtifactsInput!$M$27,Inputs!$B$4="Chapter Hunt"),CHOOSE(ArtifactsInput!$N$27+1,20,24,28,32,36,40),0)/100)))))/Skills!H8,1)))/Inputs!$B$43),G1069*Q1069)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8*((R1069-1)*IF(Skills!H8&gt;0,Skills!I8/Skills!H8,1)+IF(Skills!H8&gt;0,MIN(Skills!I8,MAX(0,MAX(0,Inputs!$B$43-B1097)-((R1069-1)*(IF(Inputs!$B$38="pvp",15,MAX(0.1,Skills!D8-IF(TRUE=TRUE,Inputs!$B$32,0)))*(1-IF(AND(ArtifactsInput!$M$27,Inputs!$B$4="Chapter Hunt"),CHOOSE(ArtifactsInput!$N$27+1,20,24,28,32,36,40),0)/100)))))/Skills!H8,1)))/Inputs!$B$43),G1069*Q1069))*IF(Inputs!$B$38="pvp",1,(1+(Inputs!$B$21+Skills!Q8+(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Skills!A9</f>
        <v/>
      </c>
      <c r="B1070">
        <f>Skills!B9</f>
        <v/>
      </c>
      <c r="C1070">
        <f>Inputs!$B$3&gt;=120</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B1102</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1081=TRUE)*(F1081-Calc!F20)),(Inputs!$B$23+0+(IF(ArtifactsInput!$M$15,CHOOSE(ArtifactsInput!$N$15+1,25,30,35,40,45,50)/100*(Inputs!$B$11-Inputs!$B$11),0))))/100+(Inputs!$B$23+0+(IF(ArtifactsInput!$M$15,CHOOSE(ArtifactsInput!$N$15+1,25,30,35,40,45,50)/100*(Inputs!$B$11-Inputs!$B$11),0)))/100)/2</f>
        <v/>
      </c>
      <c r="M1070">
        <f>L1070*(1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IF(B1100=0,0,O1070/B1100)</f>
        <v/>
      </c>
      <c r="Q1070">
        <f>IFERROR(1/(IF(Inputs!$B$38="pvp",15,MAX(0.1,Skills!D9-IF(TRUE=TRUE,Inputs!$B$32,0)))*(1-IF(AND(ArtifactsInput!$M$27,Inputs!$B$4="Chapter Hunt"),CHOOSE(ArtifactsInput!$N$27+1,20,24,28,32,36,40),0)/100)),0)</f>
        <v/>
      </c>
      <c r="R1070">
        <f>IF(AND(Inputs!$B$38&lt;&gt;"pvp",Inputs!$B$43&gt;0),IF(MAX(0,Inputs!$B$43-B1097)&lt;=0,0,(INT(MAX(0,Inputs!$B$43-B1097)/(IF(Inputs!$B$38="pvp",15,MAX(0.1,Skills!D9-IF(TRUE=TRUE,Inputs!$B$32,0)))*(1-IF(AND(ArtifactsInput!$M$27,Inputs!$B$4="Chapter Hunt"),CHOOSE(ArtifactsInput!$N$27+1,20,24,28,32,36,40),0)/100)))+1)),0)</f>
        <v/>
      </c>
      <c r="S1070">
        <f>IFERROR(O1070/N1070,0)</f>
        <v/>
      </c>
      <c r="T1070">
        <f>IF(C1070,(H1070*N1070*IF(AND(Inputs!$B$38&lt;&gt;"pvp",Inputs!$B$43&gt;0),((Skills!G9*((R1070-1)*IF(Skills!H9&gt;0,Skills!I9/Skills!H9,1)+IF(Skills!H9&gt;0,MIN(Skills!I9,MAX(0,MAX(0,Inputs!$B$43-B1097)-((R1070-1)*(IF(Inputs!$B$38="pvp",15,MAX(0.1,Skills!D9-IF(TRUE=TRUE,Inputs!$B$32,0)))*(1-IF(AND(ArtifactsInput!$M$27,Inputs!$B$4="Chapter Hunt"),CHOOSE(ArtifactsInput!$N$27+1,20,24,28,32,36,40),0)/100)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1097)-((R1070-1)*(IF(Inputs!$B$38="pvp",15,MAX(0.1,Skills!D9-IF(TRUE=TRUE,Inputs!$B$32,0)))*(1-IF(AND(ArtifactsInput!$M$27,Inputs!$B$4="Chapter Hunt"),CHOOSE(ArtifactsInput!$N$27+1,20,24,28,32,36,40),0)/100)))))/Skills!H9,1)))/Inputs!$B$43),G1070*Q1070))*IF(Inputs!$B$38="pvp",1,(1+(Inputs!$B$21+Skills!Q9+(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Inputs!$B$3&gt;=105</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1081=TRUE)*(F1081-Calc!F20)),(Inputs!$B$23+0+(IF(ArtifactsInput!$M$15,CHOOSE(ArtifactsInput!$N$15+1,25,30,35,40,45,50)/100*(Inputs!$B$11-Inputs!$B$11),0))))/100+(Inputs!$B$23+0+(IF(ArtifactsInput!$M$15,CHOOSE(ArtifactsInput!$N$15+1,25,30,35,40,45,50)/100*(Inputs!$B$11-Inputs!$B$11),0)))/100)/2</f>
        <v/>
      </c>
      <c r="M1071">
        <f>L1071*(1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IF(B1100=0,0,O1071/B1100)</f>
        <v/>
      </c>
      <c r="Q1071">
        <f>IFERROR(1/(IF(Inputs!$B$38="pvp",15,MAX(0.1,Skills!D10-IF(TRUE=TRUE,Inputs!$B$32,0)))*(1-IF(AND(ArtifactsInput!$M$27,Inputs!$B$4="Chapter Hunt"),CHOOSE(ArtifactsInput!$N$27+1,20,24,28,32,36,40),0)/100)),0)</f>
        <v/>
      </c>
      <c r="R1071">
        <f>IF(AND(Inputs!$B$38&lt;&gt;"pvp",Inputs!$B$43&gt;0),IF(MAX(0,Inputs!$B$43-B1097)&lt;=0,0,(INT(MAX(0,Inputs!$B$43-B1097)/(IF(Inputs!$B$38="pvp",15,MAX(0.1,Skills!D10-IF(TRUE=TRUE,Inputs!$B$32,0)))*(1-IF(AND(ArtifactsInput!$M$27,Inputs!$B$4="Chapter Hunt"),CHOOSE(ArtifactsInput!$N$27+1,20,24,28,32,36,40),0)/100)))+1)),0)</f>
        <v/>
      </c>
      <c r="S1071">
        <f>IFERROR(O1071/N1071,0)</f>
        <v/>
      </c>
      <c r="T1071">
        <f>IF(C1071,(H1071*N1071*IF(AND(Inputs!$B$38&lt;&gt;"pvp",Inputs!$B$43&gt;0),((Skills!G10*((R1071-1)*IF(Skills!H10&gt;0,Skills!I10/Skills!H10,1)+IF(Skills!H10&gt;0,MIN(Skills!I10,MAX(0,MAX(0,Inputs!$B$43-B1097)-((R1071-1)*(IF(Inputs!$B$38="pvp",15,MAX(0.1,Skills!D10-IF(TRUE=TRUE,Inputs!$B$32,0)))*(1-IF(AND(ArtifactsInput!$M$27,Inputs!$B$4="Chapter Hunt"),CHOOSE(ArtifactsInput!$N$27+1,20,24,28,32,36,40),0)/100)))))/Skills!H10,1)))/Inputs!$B$43),G1071*Q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H1071*N1071*IF(AND(Inputs!$B$38&lt;&gt;"pvp",Inputs!$B$43&gt;0),((Skills!G10*((R1071-1)*IF(Skills!H10&gt;0,Skills!I10/Skills!H10,1)+IF(Skills!H10&gt;0,MIN(Skills!I10,MAX(0,MAX(0,Inputs!$B$43-B1097)-((R1071-1)*(IF(Inputs!$B$38="pvp",15,MAX(0.1,Skills!D10-IF(TRUE=TRUE,Inputs!$B$32,0)))*(1-IF(AND(ArtifactsInput!$M$27,Inputs!$B$4="Chapter Hunt"),CHOOSE(ArtifactsInput!$N$27+1,20,24,28,32,36,40),0)/100)))))/Skills!H10,1)))/Inputs!$B$43),G1071*Q1071))*IF(Inputs!$B$38="pvp",1,(1+(Inputs!$B$21+Skills!Q10+(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Inputs!$B$3&gt;=113</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1081=TRUE)*(F1081-Calc!F20)),(Inputs!$B$23+0+(IF(ArtifactsInput!$M$15,CHOOSE(ArtifactsInput!$N$15+1,25,30,35,40,45,50)/100*(Inputs!$B$11-Inputs!$B$11),0))))/100+(Inputs!$B$23+0+(IF(ArtifactsInput!$M$15,CHOOSE(ArtifactsInput!$N$15+1,25,30,35,40,45,50)/100*(Inputs!$B$11-Inputs!$B$11),0)))/100)/2</f>
        <v/>
      </c>
      <c r="M1072">
        <f>L1072*(1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IF(B1100=0,0,O1072/B1100)</f>
        <v/>
      </c>
      <c r="Q1072" t="n">
        <v>0</v>
      </c>
      <c r="R1072" t="n">
        <v>0</v>
      </c>
      <c r="S1072">
        <f>IFERROR(O1072/N1072,0)</f>
        <v/>
      </c>
      <c r="T1072">
        <f>IF(C1072,((H1072*B1103)/(1+Skills!H11*H1072*B1103)*N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IF(C1072,((H1072*B1103)/(1+Skills!H11*H1072*B1103)*N1072)*IF(Inputs!$B$38="pvp",1,(1+(Inputs!$B$21+Skills!Q11+(IF(ArtifactsInput!$M$33,CHOOSE(ArtifactsInput!$N$33+1,30,36,42,48,54,60),0))+(IF(AND(ArtifactsInput!$M$35,Inputs!$B$4&lt;&gt;"Chapter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Inputs!$B$3&gt;=100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t="inlineStr"/>
      <c r="H1073" t="inlineStr"/>
      <c r="I1073" t="inlineStr">
        <is>
          <t>1</t>
        </is>
      </c>
      <c r="J1073" t="inlineStr"/>
      <c r="K1073" t="inlineStr"/>
      <c r="L1073" t="inlineStr"/>
      <c r="M1073" t="inlineStr"/>
      <c r="N1073" t="inlineStr"/>
      <c r="O1073" t="inlineStr"/>
      <c r="P1073" t="inlineStr"/>
      <c r="Q1073" t="inlineStr"/>
      <c r="R1073" t="inlineStr"/>
      <c r="S1073" t="inlineStr"/>
      <c r="T1073" t="inlineStr"/>
      <c r="V1073" t="inlineStr"/>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IF(B1100=0,0,O1074/B1100)</f>
        <v/>
      </c>
      <c r="Q1074" t="n">
        <v>0</v>
      </c>
      <c r="R1074" t="n">
        <v>0</v>
      </c>
      <c r="S1074">
        <f>IFERROR(O1074/N1074,0)</f>
        <v/>
      </c>
      <c r="T1074" t="n">
        <v>0</v>
      </c>
      <c r="V1074" t="n">
        <v>0</v>
      </c>
    </row>
    <row r="1075">
      <c r="A1075">
        <f>Skills!A14</f>
        <v/>
      </c>
      <c r="B1075">
        <f>Skills!B14</f>
        <v/>
      </c>
      <c r="C1075">
        <f>Inputs!$B$3&gt;=115</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IF(B1100=0,0,O1075/B1100)</f>
        <v/>
      </c>
      <c r="Q1075">
        <f>IFERROR(1/(IF(Inputs!$B$38="pvp",15,MAX(0.1,Skills!D14-IF(TRUE=TRUE,Inputs!$B$32,0)))*(1-IF(AND(ArtifactsInput!$M$27,Inputs!$B$4="Chapter Hunt"),CHOOSE(ArtifactsInput!$N$27+1,20,24,28,32,36,40),0)/100)),0)</f>
        <v/>
      </c>
      <c r="R1075">
        <f>IF(AND(Inputs!$B$38&lt;&gt;"pvp",Inputs!$B$43&gt;0),IF(Inputs!$B$43&lt;=0,0,(INT(Inputs!$B$43/(IF(Inputs!$B$38="pvp",15,MAX(0.1,Skills!D14-IF(TRUE=TRUE,Inputs!$B$32,0)))*(1-IF(AND(ArtifactsInput!$M$27,Inputs!$B$4="Chapter Hunt"),CHOOSE(ArtifactsInput!$N$27+1,20,24,28,32,36,40),0)/100)))+1)),0)</f>
        <v/>
      </c>
      <c r="S1075">
        <f>IFERROR(O1075/N1075,0)</f>
        <v/>
      </c>
      <c r="T1075" t="n">
        <v>0</v>
      </c>
      <c r="V1075" t="n">
        <v>0</v>
      </c>
    </row>
    <row r="1076">
      <c r="A1076">
        <f>Skills!A15</f>
        <v/>
      </c>
      <c r="B1076">
        <f>Skills!B15</f>
        <v/>
      </c>
      <c r="C1076">
        <f>Inputs!$B$3&gt;=125</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IF(B1100=0,0,O1076/B1100)</f>
        <v/>
      </c>
      <c r="Q1076">
        <f>IFERROR(1/(IF(Inputs!$B$38="pvp",15,MAX(0.1,Skills!D15-IF(TRUE=TRUE,Inputs!$B$32,0)))*(1-IF(AND(ArtifactsInput!$M$27,Inputs!$B$4="Chapter Hunt"),CHOOSE(ArtifactsInput!$N$27+1,20,24,28,32,36,40),0)/100)),0)</f>
        <v/>
      </c>
      <c r="R1076">
        <f>IF(AND(Inputs!$B$38&lt;&gt;"pvp",Inputs!$B$43&gt;0),IF(Inputs!$B$43&lt;=0,0,(INT(Inputs!$B$43/(IF(Inputs!$B$38="pvp",15,MAX(0.1,Skills!D15-IF(TRUE=TRUE,Inputs!$B$32,0)))*(1-IF(AND(ArtifactsInput!$M$27,Inputs!$B$4="Chapter Hunt"),CHOOSE(ArtifactsInput!$N$27+1,20,24,28,32,36,40),0)/100)))+1)),0)</f>
        <v/>
      </c>
      <c r="S1076">
        <f>IFERROR(O1076/N1076,0)</f>
        <v/>
      </c>
      <c r="T1076" t="n">
        <v>0</v>
      </c>
      <c r="V1076" t="n">
        <v>0</v>
      </c>
    </row>
    <row r="1077">
      <c r="A1077">
        <f>Skills!A16</f>
        <v/>
      </c>
      <c r="B1077">
        <f>Skills!B16</f>
        <v/>
      </c>
      <c r="C1077">
        <f>Inputs!$B$3&gt;=10</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IF(B1100=0,0,O1077/B1100)</f>
        <v/>
      </c>
      <c r="Q1077" t="n">
        <v>0</v>
      </c>
      <c r="R1077" t="n">
        <v>0</v>
      </c>
      <c r="S1077">
        <f>IFERROR(O1077/N1077,0)</f>
        <v/>
      </c>
      <c r="T1077" t="n">
        <v>0</v>
      </c>
      <c r="V1077" t="n">
        <v>0</v>
      </c>
    </row>
    <row r="1078">
      <c r="A1078">
        <f>Skills!A17</f>
        <v/>
      </c>
      <c r="B1078">
        <f>Skills!B17</f>
        <v/>
      </c>
      <c r="C1078">
        <f>Inputs!$B$3&gt;=15</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IF(B1100=0,0,O1078/B1100)</f>
        <v/>
      </c>
      <c r="Q1078" t="n">
        <v>0</v>
      </c>
      <c r="R1078" t="n">
        <v>0</v>
      </c>
      <c r="S1078">
        <f>IFERROR(O1078/N1078,0)</f>
        <v/>
      </c>
      <c r="T1078" t="n">
        <v>0</v>
      </c>
      <c r="V1078" t="n">
        <v>0</v>
      </c>
    </row>
    <row r="1079">
      <c r="A1079">
        <f>Skills!A18</f>
        <v/>
      </c>
      <c r="B1079">
        <f>Skills!B18</f>
        <v/>
      </c>
      <c r="C1079">
        <f>Inputs!$B$3&gt;=33</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IF(B1100=0,0,O1079/B1100)</f>
        <v/>
      </c>
      <c r="Q1079" t="n">
        <v>0</v>
      </c>
      <c r="R1079" t="n">
        <v>0</v>
      </c>
      <c r="S1079">
        <f>IFERROR(O1079/N1079,0)</f>
        <v/>
      </c>
      <c r="T1079" t="n">
        <v>0</v>
      </c>
      <c r="V1079" t="n">
        <v>0</v>
      </c>
    </row>
    <row r="1080">
      <c r="A1080">
        <f>Skills!A19</f>
        <v/>
      </c>
      <c r="B1080">
        <f>Skills!B19</f>
        <v/>
      </c>
      <c r="C1080">
        <f>Inputs!$B$3&gt;=40</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IF(B1100=0,0,O1080/B1100)</f>
        <v/>
      </c>
      <c r="Q1080" t="n">
        <v>0</v>
      </c>
      <c r="R1080" t="n">
        <v>0</v>
      </c>
      <c r="S1080">
        <f>IFERROR(O1080/N1080,0)</f>
        <v/>
      </c>
      <c r="T1080" t="n">
        <v>0</v>
      </c>
      <c r="V1080" t="n">
        <v>0</v>
      </c>
    </row>
    <row r="1081">
      <c r="A1081">
        <f>Skills!A20</f>
        <v/>
      </c>
      <c r="B1081">
        <f>Skills!B20</f>
        <v/>
      </c>
      <c r="C1081">
        <f>Inputs!$B$3&gt;=43</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IF(B1100=0,0,O1081/B1100)</f>
        <v/>
      </c>
      <c r="Q1081" t="n">
        <v>0</v>
      </c>
      <c r="R1081" t="n">
        <v>0</v>
      </c>
      <c r="S1081">
        <f>IFERROR(O1081/N1081,0)</f>
        <v/>
      </c>
      <c r="T1081" t="n">
        <v>0</v>
      </c>
      <c r="V1081" t="n">
        <v>0</v>
      </c>
    </row>
    <row r="1082">
      <c r="A1082">
        <f>Skills!A21</f>
        <v/>
      </c>
      <c r="B1082">
        <f>Skills!B21</f>
        <v/>
      </c>
      <c r="C1082">
        <f>Inputs!$B$3&gt;=38</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IF(B1100=0,0,O1082/B1100)</f>
        <v/>
      </c>
      <c r="Q1082" t="n">
        <v>0</v>
      </c>
      <c r="R1082" t="n">
        <v>0</v>
      </c>
      <c r="S1082">
        <f>IFERROR(O1082/N1082,0)</f>
        <v/>
      </c>
      <c r="T1082" t="n">
        <v>0</v>
      </c>
      <c r="V1082" t="n">
        <v>0</v>
      </c>
    </row>
    <row r="1083">
      <c r="A1083">
        <f>Skills!A22</f>
        <v/>
      </c>
      <c r="B1083">
        <f>Skills!B22</f>
        <v/>
      </c>
      <c r="C1083">
        <f>Inputs!$B$3&gt;=75</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IF(B1100=0,0,O1083/B1100)</f>
        <v/>
      </c>
      <c r="Q1083" t="n">
        <v>0</v>
      </c>
      <c r="R1083" t="n">
        <v>0</v>
      </c>
      <c r="S1083">
        <f>IFERROR(O1083/N1083,0)</f>
        <v/>
      </c>
      <c r="T1083" t="n">
        <v>0</v>
      </c>
      <c r="V1083" t="n">
        <v>0</v>
      </c>
    </row>
    <row r="1084">
      <c r="A1084">
        <f>Skills!A23</f>
        <v/>
      </c>
      <c r="B1084">
        <f>Skills!B23</f>
        <v/>
      </c>
      <c r="C1084">
        <f>TRUE</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IF(B1100=0,0,O1084/B1100)</f>
        <v/>
      </c>
      <c r="Q1084">
        <f>IFERROR(1/(IF(Inputs!$B$38="pvp",15,MAX(0.1,Skills!D23-IF(TRUE=TRUE,Inputs!$B$32,0)))*(1-IF(AND(ArtifactsInput!$M$27,Inputs!$B$4="Chapter Hunt"),CHOOSE(ArtifactsInput!$N$27+1,20,24,28,32,36,40),0)/100)),0)</f>
        <v/>
      </c>
      <c r="R1084">
        <f>IF(AND(Inputs!$B$38&lt;&gt;"pvp",Inputs!$B$43&gt;0),IF(Inputs!$B$43&lt;=0,0,(INT(Inputs!$B$43/(IF(Inputs!$B$38="pvp",15,MAX(0.1,Skills!D23-IF(TRUE=TRUE,Inputs!$B$32,0)))*(1-IF(AND(ArtifactsInput!$M$27,Inputs!$B$4="Chapter Hunt"),CHOOSE(ArtifactsInput!$N$27+1,20,24,28,32,36,40),0)/100)))+1)),0)</f>
        <v/>
      </c>
      <c r="S1084">
        <f>IFERROR(O1084/N1084,0)</f>
        <v/>
      </c>
      <c r="T1084" t="n">
        <v>0</v>
      </c>
      <c r="V1084" t="n">
        <v>0</v>
      </c>
    </row>
    <row r="1085">
      <c r="A1085">
        <f>Skills!A24</f>
        <v/>
      </c>
      <c r="B1085">
        <f>Skills!B24</f>
        <v/>
      </c>
      <c r="C1085">
        <f>Inputs!$B$3&gt;=107</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IF(B1100=0,0,O1085/B1100)</f>
        <v/>
      </c>
      <c r="Q1085">
        <f>IFERROR(1/(IF(Inputs!$B$38="pvp",15,MAX(0.1,Skills!D24-IF(TRUE=TRUE,Inputs!$B$32,0)))*(1-IF(AND(ArtifactsInput!$M$27,Inputs!$B$4="Chapter Hunt"),CHOOSE(ArtifactsInput!$N$27+1,20,24,28,32,36,40),0)/100)),0)</f>
        <v/>
      </c>
      <c r="R1085">
        <f>IF(AND(Inputs!$B$38&lt;&gt;"pvp",Inputs!$B$43&gt;0),IF(Inputs!$B$43&lt;=0,0,(INT(Inputs!$B$43/(IF(Inputs!$B$38="pvp",15,MAX(0.1,Skills!D24-IF(TRUE=TRUE,Inputs!$B$32,0)))*(1-IF(AND(ArtifactsInput!$M$27,Inputs!$B$4="Chapter Hunt"),CHOOSE(ArtifactsInput!$N$27+1,20,24,28,32,36,40),0)/100)))+1)),0)</f>
        <v/>
      </c>
      <c r="S1085">
        <f>IFERROR(O1085/N1085,0)</f>
        <v/>
      </c>
      <c r="T1085" t="n">
        <v>0</v>
      </c>
      <c r="V1085" t="n">
        <v>0</v>
      </c>
    </row>
    <row r="1086">
      <c r="A1086">
        <f>Skills!A25</f>
        <v/>
      </c>
      <c r="B1086">
        <f>Skills!B25</f>
        <v/>
      </c>
      <c r="C1086">
        <f>Inputs!$B$3&gt;=110</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V1086" t="inlineStr"/>
    </row>
    <row r="1087">
      <c r="A1087">
        <f>Skills!A26</f>
        <v/>
      </c>
      <c r="B1087">
        <f>Skills!B26</f>
        <v/>
      </c>
      <c r="C1087">
        <f>Inputs!$B$3&gt;=117</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t="inlineStr"/>
      <c r="H1087" t="inlineStr"/>
      <c r="I1087" t="inlineStr">
        <is>
          <t>1</t>
        </is>
      </c>
      <c r="J1087" t="inlineStr"/>
      <c r="K1087" t="inlineStr"/>
      <c r="L1087" t="inlineStr"/>
      <c r="M1087" t="inlineStr"/>
      <c r="N1087" t="inlineStr"/>
      <c r="O1087" t="inlineStr"/>
      <c r="P1087" t="inlineStr"/>
      <c r="Q1087" t="inlineStr"/>
      <c r="R1087" t="inlineStr"/>
      <c r="S1087" t="inlineStr"/>
      <c r="T1087" t="inlineStr"/>
      <c r="V1087" t="inlineStr"/>
    </row>
    <row r="1089">
      <c r="A1089" t="inlineStr">
        <is>
          <t>Attack% Bucket Multiplier</t>
        </is>
      </c>
      <c r="B1089">
        <f>(1+(((C1074=TRUE)*F1074*5/7)+((C1080=TRUE)*(F1080-Calc!F19))+(IF(ArtifactsInput!$M$21,CHOOSE(ArtifactsInput!$N$21+1,25,30,35,40,45,50)*(IF(OR(Inputs!$B$4="Chapter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0">
      <c r="A1090" t="inlineStr">
        <is>
          <t>Global Crit Rate Bonus %</t>
        </is>
      </c>
      <c r="B1090" t="n">
        <v>0</v>
      </c>
    </row>
    <row r="1091">
      <c r="A1091" t="inlineStr">
        <is>
          <t>Attack Speed Buff Bonus % (Nimble Feet + Speed Infusion, duty-cycle averaged)</t>
        </is>
      </c>
      <c r="B1091">
        <f>((C1084=TRUE)*F1084*IF(AND(Inputs!$B$38&lt;&gt;"pvp",Inputs!$B$43&gt;0),(((R1084-1)*MIN((Skills!T23*(1+Inputs!$B$34/100)),(1/Q1084))+MIN((Skills!T23*(1+Inputs!$B$34/100)),MAX(0,Inputs!$B$43-((R1084-1)*(1/Q1084)))))/Inputs!$B$43),IF(Inputs!$B$38="pvp",MIN((Skills!T23*(1+Inputs!$B$34/100)),15)/15,MIN(1,(Skills!T23*(1+Inputs!$B$34/100))/(1/Q1084)))))+((C1085=TRUE)*F1085*IF(AND(Inputs!$B$38&lt;&gt;"pvp",Inputs!$B$43&gt;0),(((R1085-1)*MIN((Skills!T24*(1+Inputs!$B$34/100)),(1/Q1085))+MIN((Skills!T24*(1+Inputs!$B$34/100)),MAX(0,Inputs!$B$43-((R1085-1)*(1/Q1085)))))/Inputs!$B$43),IF(Inputs!$B$38="pvp",MIN((Skills!T24*(1+Inputs!$B$34/100)),15)/15,MIN(1,(Skills!T24*(1+Inputs!$B$34/100))/(1/Q1085)))))</f>
        <v/>
      </c>
    </row>
    <row r="1092">
      <c r="A1092" t="inlineStr">
        <is>
          <t>Actions Per Second</t>
        </is>
      </c>
      <c r="B1092">
        <f>1+MIN(150,150*(1-(1-(Inputs!$B$11+((C1078=TRUE)*(F1078-Calc!F17))+((C1079=TRUE)*(F1079-Calc!F18)))/150)*(1-B1091/150)))/100</f>
        <v/>
      </c>
    </row>
    <row r="1093">
      <c r="A1093" t="inlineStr">
        <is>
          <t>Skill + Buff Cast Rate</t>
        </is>
      </c>
      <c r="B1093">
        <f>IF(AND(Inputs!$B$38&lt;&gt;"pvp",Inputs!$B$43&gt;0),SUMPRODUCT((Skills!E2:E26=TRUE)*(C1063:C1087=TRUE)*R1063:R1087*Skills!F2:F26)/Inputs!$B$43,SUMPRODUCT((Skills!E2:E26=TRUE)*(C1063:C1087=TRUE)*Q1063:Q1087*Skills!F2:F26))</f>
        <v/>
      </c>
    </row>
    <row r="1094">
      <c r="A1094" t="inlineStr">
        <is>
          <t>Hook Bomber Casts Per Second</t>
        </is>
      </c>
      <c r="B1094">
        <f>MAX(0,B1092-B1093)</f>
        <v/>
      </c>
    </row>
    <row r="1095">
      <c r="A1095" t="inlineStr">
        <is>
          <t>Global Critical Damage Bonus % (unused)</t>
        </is>
      </c>
      <c r="B1095" t="n">
        <v>0</v>
      </c>
    </row>
    <row r="1096">
      <c r="A1096" t="inlineStr">
        <is>
          <t>Global Final Damage Bonus % (Serpent Scale + Crossbones + Time Leap + Speed Infusion)</t>
        </is>
      </c>
      <c r="B1096">
        <f>((C1066=TRUE)*(F1066*B1102+4*(1-B1102)))+((C1075=TRUE)*F1075*IF(AND(Inputs!$B$38&lt;&gt;"pvp",Inputs!$B$43&gt;0),(((R1075-1)*MIN((Skills!T14*(1+Inputs!$B$34/100)),(1/Q1075))+MIN((Skills!T14*(1+Inputs!$B$34/100)),MAX(0,Inputs!$B$43-((R1075-1)*(1/Q1075)))))/Inputs!$B$43),IF(Inputs!$B$38="pvp",MIN((Skills!T14*(1+Inputs!$B$34/100)),15)/15,MIN(1,(Skills!T14*(1+Inputs!$B$34/100))/(1/Q1075)))))+((C1076=TRUE)*F1076*IF(AND(Inputs!$B$38&lt;&gt;"pvp",Inputs!$B$43&gt;0),(((R1076-1)*MIN((Skills!T15*(1+Inputs!$B$34/100)),(1/Q1076))+MIN((Skills!T15*(1+Inputs!$B$34/100)),MAX(0,Inputs!$B$43-((R1076-1)*(1/Q1076)))))/Inputs!$B$43),IF(Inputs!$B$38="pvp",MIN((Skills!T15*(1+Inputs!$B$34/100)),15)/15,MIN(1,(Skills!T15*(1+Inputs!$B$34/100))/(1/Q1076)))))+((C1085=TRUE)*20*((1+MIN(150,150*(1-(1-(Inputs!$B$11+((C1078=TRUE)*(F1078-Calc!F17))+((C1079=TRUE)*(F1079-Calc!F18)))/150)*(1-(((C1084=TRUE)*F1084*IF(AND(Inputs!$B$38&lt;&gt;"pvp",Inputs!$B$43&gt;0),(((R1084-1)*MIN((Skills!T23*(1+Inputs!$B$34/100)),(1/Q1084))+MIN((Skills!T23*(1+Inputs!$B$34/100)),MAX(0,Inputs!$B$43-((R1084-1)*(1/Q1084)))))/Inputs!$B$43),IF(Inputs!$B$38="pvp",MIN((Skills!T23*(1+Inputs!$B$34/100)),15)/15,MIN(1,(Skills!T23*(1+Inputs!$B$34/100))/(1/Q1084)))))+F1085)/150)))/100)-1)*IF(AND(Inputs!$B$38&lt;&gt;"pvp",Inputs!$B$43&gt;0),(((R1085-1)*MIN((Skills!T24*(1+Inputs!$B$34/100)),(1/Q1085))+MIN((Skills!T24*(1+Inputs!$B$34/100)),MAX(0,Inputs!$B$43-((R1085-1)*(1/Q1085)))))/Inputs!$B$43),IF(Inputs!$B$38="pvp",MIN((Skills!T24*(1+Inputs!$B$34/100)),15)/15,MIN(1,(Skills!T24*(1+Inputs!$B$34/100))/(1/Q1085)))))</f>
        <v/>
      </c>
    </row>
    <row r="1097">
      <c r="A1097" t="inlineStr">
        <is>
          <t>Buff-Casting Startup Delay (s, fixed-duration only)</t>
        </is>
      </c>
      <c r="B1097">
        <f>IF(AND(Inputs!$B$38&lt;&gt;"pvp",Inputs!$B$43&gt;0),SUMPRODUCT((Skills!T2:T26&gt;0)*(Skills!E2:E26=TRUE)*(C1063:C1087=TRUE))/B1092,0)</f>
        <v/>
      </c>
    </row>
    <row r="1098">
      <c r="A1098" t="inlineStr">
        <is>
          <t>Boss-Only Total DPS (this block's swept value)</t>
        </is>
      </c>
      <c r="B1098">
        <f>SUM(T1063:T1087)</f>
        <v/>
      </c>
    </row>
    <row r="1099">
      <c r="A1099" t="inlineStr">
        <is>
          <t>Normal-Only Total DPS (this block's swept value)</t>
        </is>
      </c>
      <c r="B1099">
        <f>SUM(V1063:V1087)</f>
        <v/>
      </c>
    </row>
    <row r="1100">
      <c r="A1100" s="6" t="inlineStr">
        <is>
          <t>TOTAL DPS</t>
        </is>
      </c>
      <c r="B1100" s="6">
        <f>SUM(O1063:O1087)</f>
        <v/>
      </c>
    </row>
    <row r="1101">
      <c r="A1101" t="inlineStr">
        <is>
          <t>Serpent activation interval T (this block's own Hook Bomber rate)</t>
        </is>
      </c>
      <c r="B1101">
        <f>((1/Q1064)+IFERROR(0.5/B1094,0))</f>
        <v/>
      </c>
    </row>
    <row r="1102">
      <c r="A1102" t="inlineStr">
        <is>
          <t>Assault Mode uptime u (this block)</t>
        </is>
      </c>
      <c r="B1102">
        <f>IF(C1066=TRUE,(10+IF(Inputs!$B$3&gt;=94,5,0))/((10+IF(Inputs!$B$3&gt;=94,5,0))+IF(Inputs!$B$3&gt;=104,3,5)*B1101),0)</f>
        <v/>
      </c>
    </row>
    <row r="1103">
      <c r="A1103" t="inlineStr">
        <is>
          <t>Nautilus Strike - Final Attack trigger rate (this block's own Q/R)</t>
        </is>
      </c>
      <c r="B1103">
        <f>IF(AND(Inputs!$B$38&lt;&gt;"pvp",Inputs!$B$43&gt;0),(((C1067=TRUE)*R1067)+((C1068=TRUE)*R1068)+((C1071=TRUE)*R1071))/Inputs!$B$43,((C1067=TRUE)*Q1067)+((C1068=TRUE)*Q1068)+((C1071=TRUE)*Q1071))+B1094</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1126=TRUE)*(F1126-Calc!F20)),(Inputs!$B$23+0+(IF(ArtifactsInput!$M$15,CHOOSE(ArtifactsInput!$N$15+1,25,30,35,40,45,50)/100*(Inputs!$B$11-Inputs!$B$11),0))))/100+(Inputs!$B$23+0+(IF(ArtifactsInput!$M$15,CHOOSE(ArtifactsInput!$N$15+1,25,30,35,40,45,50)/100*(Inputs!$B$11-Inputs!$B$11),0)))/100)/2</f>
        <v/>
      </c>
      <c r="M1108">
        <f>L1108*(1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IF(B1145=0,0,O1108/B1145)</f>
        <v/>
      </c>
      <c r="Q1108" t="n">
        <v>0</v>
      </c>
      <c r="R1108" t="n">
        <v>0</v>
      </c>
      <c r="S1108">
        <f>IFERROR(O1108/N1108,0)</f>
        <v/>
      </c>
      <c r="T1108">
        <f>IF(C1108,(Skills!G2*N1108*B1139)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IF(C1108,(Skills!G2*N1108*B1139)*IF(Inputs!$B$38="pvp",1,(1+(Inputs!$B$21+Skills!Q2+(IF(ArtifactsInput!$M$33,CHOOSE(ArtifactsInput!$N$33+1,30,36,42,48,54,60),0))+(IF(AND(ArtifactsInput!$M$35,Inputs!$B$4&lt;&gt;"Chapter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Inputs!$B$3&gt;=35</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f>Skills!G3*IF(Skills!H3&gt;0,Skills!I3/Skills!H3,1)</f>
        <v/>
      </c>
      <c r="H1109">
        <f>1-(1-Skills!J3/100)^Skills!K3</f>
        <v/>
      </c>
      <c r="I1109" t="inlineStr">
        <is>
          <t>1</t>
        </is>
      </c>
      <c r="J1109">
        <f>((Inputs!$B$6*(1+Inputs!$B$7/100))+(((Inputs!$B$12*(1+Inputs!$B$13/100))-(Inputs!$B$12*(1+Inputs!$B$13/100)))+0.25*(Inputs!$B$14-Inputs!$B$14))*(1+Inputs!$B$7/100))*(F1109/100)</f>
        <v/>
      </c>
      <c r="K1109">
        <f>J1109*(1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1131=TRUE,F1131,0)/100)*(1+(IF(Skills!A3="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1109)</f>
        <v/>
      </c>
      <c r="L1109">
        <f>K1109*(MIN(Inputs!$B$22+((C1126=TRUE)*(F1126-Calc!F20)),(Inputs!$B$23+0+(IF(ArtifactsInput!$M$15,CHOOSE(ArtifactsInput!$N$15+1,25,30,35,40,45,50)/100*(Inputs!$B$11-Inputs!$B$11),0))))/100+(Inputs!$B$23+0+(IF(ArtifactsInput!$M$15,CHOOSE(ArtifactsInput!$N$15+1,25,30,35,40,45,50)/100*(Inputs!$B$11-Inputs!$B$11),0)))/100)/2</f>
        <v/>
      </c>
      <c r="M1109">
        <f>L1109*(1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9">
        <f>L1109*(1-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1109*(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9">
        <f>(1-Summary!$B$11)*T1109+Summary!$B$11*V1109</f>
        <v/>
      </c>
      <c r="P1109">
        <f>IF(B1145=0,0,O1109/B1145)</f>
        <v/>
      </c>
      <c r="Q1109">
        <f>IFERROR(1/(IF(Inputs!$B$38="pvp",15,MAX(0.1,Skills!D3-IF(TRUE=TRUE,(Inputs!$B$32+1),0)))*(1-IF(AND(ArtifactsInput!$M$27,Inputs!$B$4="Chapter Hunt"),CHOOSE(ArtifactsInput!$N$27+1,20,24,28,32,36,40),0)/100)),0)</f>
        <v/>
      </c>
      <c r="R1109">
        <f>IF(AND(Inputs!$B$38&lt;&gt;"pvp",Inputs!$B$43&gt;0),IF(MAX(0,Inputs!$B$43-B1142)&lt;=0,0,(INT(MAX(0,Inputs!$B$43-B1142)/(IF(Inputs!$B$38="pvp",15,MAX(0.1,Skills!D3-IF(TRUE=TRUE,(Inputs!$B$32+1),0)))*(1-IF(AND(ArtifactsInput!$M$27,Inputs!$B$4="Chapter Hunt"),CHOOSE(ArtifactsInput!$N$27+1,20,24,28,32,36,40),0)/100)))+1)),0)</f>
        <v/>
      </c>
      <c r="S1109">
        <f>IFERROR(O1109/N1109,0)</f>
        <v/>
      </c>
      <c r="T1109">
        <f>IF(C1109,(Skills!G3*N1109*IF(C1110=TRUE,1-B1147,1)/B1146)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1109*(1-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1109*(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1109*(1-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1109*(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9">
        <f>INDEX(FactorTable!$B$2:$Y$301, MATCH(ROUND(MIN(300,MAX(1,U1108)),0), FactorTable!$A$2:$A$301,0), 22)</f>
        <v/>
      </c>
      <c r="V1109">
        <f>IF(C1109,(Skills!G3*N1109*IF(C1110=TRUE,1-B1147,1)/B1146)*IF(Inputs!$B$38="pvp",1,(1+(Inputs!$B$21+Skills!Q3+(IF(ArtifactsInput!$M$33,CHOOSE(ArtifactsInput!$N$33+1,30,36,42,48,54,60),0))+(IF(AND(ArtifactsInput!$M$35,Inputs!$B$4&lt;&gt;"Chapter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0">
      <c r="A1110">
        <f>Skills!A4</f>
        <v/>
      </c>
      <c r="B1110">
        <f>Skills!B4</f>
        <v/>
      </c>
      <c r="C1110">
        <f>Inputs!$B$3&gt;=69</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f>Skills!G4*IF(Skills!H4&gt;0,Skills!I4/Skills!H4,1)</f>
        <v/>
      </c>
      <c r="H1110">
        <f>1-(1-Skills!J4/100)^Skills!K4</f>
        <v/>
      </c>
      <c r="I1110" t="inlineStr">
        <is>
          <t>1</t>
        </is>
      </c>
      <c r="J1110">
        <f>((Inputs!$B$6*(1+Inputs!$B$7/100))+(((Inputs!$B$12*(1+Inputs!$B$13/100))-(Inputs!$B$12*(1+Inputs!$B$13/100)))+0.25*(Inputs!$B$14-Inputs!$B$14))*(1+Inputs!$B$7/100))*(F1110/100)</f>
        <v/>
      </c>
      <c r="K1110">
        <f>J1110*(1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1118=TRUE,F1118,0)/100)*(1+(IF(Skills!A4="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1126=TRUE)*(F1126-Calc!F20)),(Inputs!$B$23+0+(IF(ArtifactsInput!$M$15,CHOOSE(ArtifactsInput!$N$15+1,25,30,35,40,45,50)/100*(Inputs!$B$11-Inputs!$B$11),0))))/100+(Inputs!$B$23+0+(IF(ArtifactsInput!$M$15,CHOOSE(ArtifactsInput!$N$15+1,25,30,35,40,45,50)/100*(Inputs!$B$11-Inputs!$B$11),0)))/100)/2</f>
        <v/>
      </c>
      <c r="M1110">
        <f>L1110*(1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IF(B1145=0,0,O1110/B1145)</f>
        <v/>
      </c>
      <c r="Q1110" t="n">
        <v>0</v>
      </c>
      <c r="R1110" t="n">
        <v>0</v>
      </c>
      <c r="S1110">
        <f>IFERROR(O1110/N1110,0)</f>
        <v/>
      </c>
      <c r="T1110">
        <f>IF(C1110,(Skills!G4*N1110*B1147/B1146)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1110*(1-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290*U1109/1000</f>
        <v/>
      </c>
      <c r="V1110">
        <f>IF(C1110,(Skills!G4*N1110*B1147/B1146)*IF(Inputs!$B$38="pvp",1,(1+(Inputs!$B$21+Skills!Q4+(IF(ArtifactsInput!$M$33,CHOOSE(ArtifactsInput!$N$33+1,30,36,42,48,54,60),0))+(IF(AND(ArtifactsInput!$M$35,Inputs!$B$4&lt;&gt;"Chapter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Skills!A5</f>
        <v/>
      </c>
      <c r="B1111">
        <f>Skills!B5</f>
        <v/>
      </c>
      <c r="C1111">
        <f>Inputs!$B$3&gt;=66</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t="inlineStr"/>
      <c r="K1111" t="inlineStr"/>
      <c r="L1111" t="inlineStr"/>
      <c r="M1111" t="inlineStr"/>
      <c r="N1111" t="inlineStr"/>
      <c r="O1111">
        <f>(1-Summary!$B$11)*T1111+Summary!$B$11*V1111</f>
        <v/>
      </c>
      <c r="P1111">
        <f>IF(B1145=0,0,O1111/B1145)</f>
        <v/>
      </c>
      <c r="Q1111" t="n">
        <v>0</v>
      </c>
      <c r="R1111" t="n">
        <v>0</v>
      </c>
      <c r="S1111">
        <f>IFERROR(O1111/N1111,0)</f>
        <v/>
      </c>
      <c r="T1111" t="n">
        <v>0</v>
      </c>
      <c r="V1111" t="n">
        <v>0</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1118=TRUE,F1118,0)/100)*(1+(IF(Skills!A6="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1126=TRUE)*(F1126-Calc!F20)),(Inputs!$B$23+0+(IF(ArtifactsInput!$M$15,CHOOSE(ArtifactsInput!$N$15+1,25,30,35,40,45,50)/100*(Inputs!$B$11-Inputs!$B$11),0))))/100+(Inputs!$B$23+0+(IF(ArtifactsInput!$M$15,CHOOSE(ArtifactsInput!$N$15+1,25,30,35,40,45,50)/100*(Inputs!$B$11-Inputs!$B$11),0)))/100)/2</f>
        <v/>
      </c>
      <c r="M1112">
        <f>L1112*(1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IF(B1145=0,0,O1112/B1145)</f>
        <v/>
      </c>
      <c r="Q1112">
        <f>IFERROR(1/(IF(Inputs!$B$38="pvp",15,MAX(0.1,Skills!D6-IF(TRUE=TRUE,(Inputs!$B$32+1),0)))*(1-IF(AND(ArtifactsInput!$M$27,Inputs!$B$4="Chapter Hunt"),CHOOSE(ArtifactsInput!$N$27+1,20,24,28,32,36,40),0)/100)),0)</f>
        <v/>
      </c>
      <c r="R1112">
        <f>IF(AND(Inputs!$B$38&lt;&gt;"pvp",Inputs!$B$43&gt;0),IF(MAX(0,Inputs!$B$43-B1142)&lt;=0,0,(INT(MAX(0,Inputs!$B$43-B1142)/(IF(Inputs!$B$38="pvp",15,MAX(0.1,Skills!D6-IF(TRUE=TRUE,(Inputs!$B$32+1),0)))*(1-IF(AND(ArtifactsInput!$M$27,Inputs!$B$4="Chapter Hunt"),CHOOSE(ArtifactsInput!$N$27+1,20,24,28,32,36,40),0)/100)))+1)),0)</f>
        <v/>
      </c>
      <c r="S1112">
        <f>IFERROR(O1112/N1112,0)</f>
        <v/>
      </c>
      <c r="T1112">
        <f>IF(C1112,(H1112*N1112*IF(AND(Inputs!$B$38&lt;&gt;"pvp",Inputs!$B$43&gt;0),((Skills!G6*((R1112-1)*IF(Skills!H6&gt;0,Skills!I6/Skills!H6,1)+IF(Skills!H6&gt;0,MIN(Skills!I6,MAX(0,MAX(0,Inputs!$B$43-B1142)-((R1112-1)*(IF(Inputs!$B$38="pvp",15,MAX(0.1,Skills!D6-IF(TRUE=TRUE,(Inputs!$B$32+1),0)))*(1-IF(AND(ArtifactsInput!$M$27,Inputs!$B$4="Chapter Hunt"),CHOOSE(ArtifactsInput!$N$27+1,20,24,28,32,36,40),0)/100)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1142)-((R1112-1)*(IF(Inputs!$B$38="pvp",15,MAX(0.1,Skills!D6-IF(TRUE=TRUE,(Inputs!$B$32+1),0)))*(1-IF(AND(ArtifactsInput!$M$27,Inputs!$B$4="Chapter Hunt"),CHOOSE(ArtifactsInput!$N$27+1,20,24,28,32,36,40),0)/100)))))/Skills!H6,1)))/Inputs!$B$43),G1112*Q1112))*IF(Inputs!$B$38="pvp",1,(1+(Inputs!$B$21+Skills!Q6+(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Inputs!$B$3&gt;=103</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1126=TRUE)*(F1126-Calc!F20)),(Inputs!$B$23+0+(IF(ArtifactsInput!$M$15,CHOOSE(ArtifactsInput!$N$15+1,25,30,35,40,45,50)/100*(Inputs!$B$11-Inputs!$B$11),0))))/100+(Inputs!$B$23+0+(IF(ArtifactsInput!$M$15,CHOOSE(ArtifactsInput!$N$15+1,25,30,35,40,45,50)/100*(Inputs!$B$11-Inputs!$B$11),0)))/100)/2</f>
        <v/>
      </c>
      <c r="M1113">
        <f>L1113*(1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IF(B1145=0,0,O1113/B1145)</f>
        <v/>
      </c>
      <c r="Q1113">
        <f>IFERROR(1/(IF(Inputs!$B$38="pvp",15,MAX(0.1,Skills!D7-IF(TRUE=TRUE,(Inputs!$B$32+1),0)))*(1-IF(AND(ArtifactsInput!$M$27,Inputs!$B$4="Chapter Hunt"),CHOOSE(ArtifactsInput!$N$27+1,20,24,28,32,36,40),0)/100)),0)</f>
        <v/>
      </c>
      <c r="R1113">
        <f>IF(AND(Inputs!$B$38&lt;&gt;"pvp",Inputs!$B$43&gt;0),IF(MAX(0,Inputs!$B$43-B1142)&lt;=0,0,(INT(MAX(0,Inputs!$B$43-B1142)/(IF(Inputs!$B$38="pvp",15,MAX(0.1,Skills!D7-IF(TRUE=TRUE,(Inputs!$B$32+1),0)))*(1-IF(AND(ArtifactsInput!$M$27,Inputs!$B$4="Chapter Hunt"),CHOOSE(ArtifactsInput!$N$27+1,20,24,28,32,36,40),0)/100)))+1)),0)</f>
        <v/>
      </c>
      <c r="S1113">
        <f>IFERROR(O1113/N1113,0)</f>
        <v/>
      </c>
      <c r="T1113">
        <f>IF(C1113,(H1113*N1113*IF(AND(Inputs!$B$38&lt;&gt;"pvp",Inputs!$B$43&gt;0),((Skills!G7*((R1113-1)*IF(Skills!H7&gt;0,Skills!I7/Skills!H7,1)+IF(Skills!H7&gt;0,MIN(Skills!I7,MAX(0,MAX(0,Inputs!$B$43-B1142)-((R1113-1)*(IF(Inputs!$B$38="pvp",15,MAX(0.1,Skills!D7-IF(TRUE=TRUE,(Inputs!$B$32+1),0)))*(1-IF(AND(ArtifactsInput!$M$27,Inputs!$B$4="Chapter Hunt"),CHOOSE(ArtifactsInput!$N$27+1,20,24,28,32,36,40),0)/100)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1142)-((R1113-1)*(IF(Inputs!$B$38="pvp",15,MAX(0.1,Skills!D7-IF(TRUE=TRUE,(Inputs!$B$32+1),0)))*(1-IF(AND(ArtifactsInput!$M$27,Inputs!$B$4="Chapter Hunt"),CHOOSE(ArtifactsInput!$N$27+1,20,24,28,32,36,40),0)/100)))))/Skills!H7,1)))/Inputs!$B$43),G1113*Q1113))*IF(Inputs!$B$38="pvp",1,(1+(Inputs!$B$21+Skills!Q7+(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Inputs!$B$3&gt;=117</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f>Skills!G8*IF(Skills!H8&gt;0,Skills!I8/Skills!H8,1)</f>
        <v/>
      </c>
      <c r="H1114">
        <f>1-(1-Skills!J8/100)^Skills!K8</f>
        <v/>
      </c>
      <c r="I1114" t="inlineStr">
        <is>
          <t>1</t>
        </is>
      </c>
      <c r="J1114">
        <f>((Inputs!$B$6*(1+Inputs!$B$7/100))+(((Inputs!$B$12*(1+Inputs!$B$13/100))-(Inputs!$B$12*(1+Inputs!$B$13/100)))+0.25*(Inputs!$B$14-Inputs!$B$14))*(1+Inputs!$B$7/100))*(F1114/100)</f>
        <v/>
      </c>
      <c r="K1114">
        <f>J1114*(1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1126=TRUE)*(F1126-Calc!F20)),(Inputs!$B$23+0+(IF(ArtifactsInput!$M$15,CHOOSE(ArtifactsInput!$N$15+1,25,30,35,40,45,50)/100*(Inputs!$B$11-Inputs!$B$11),0))))/100+(Inputs!$B$23+0+(IF(ArtifactsInput!$M$15,CHOOSE(ArtifactsInput!$N$15+1,25,30,35,40,45,50)/100*(Inputs!$B$11-Inputs!$B$11),0)))/100)/2</f>
        <v/>
      </c>
      <c r="M1114">
        <f>L1114*(1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IF(B1145=0,0,O1114/B1145)</f>
        <v/>
      </c>
      <c r="Q1114">
        <f>IFERROR(1/(IF(Inputs!$B$38="pvp",15,MAX(0.1,Skills!D8-IF(TRUE=TRUE,(Inputs!$B$32+1),0)))*(1-IF(AND(ArtifactsInput!$M$27,Inputs!$B$4="Chapter Hunt"),CHOOSE(ArtifactsInput!$N$27+1,20,24,28,32,36,40),0)/100)),0)</f>
        <v/>
      </c>
      <c r="R1114">
        <f>IF(AND(Inputs!$B$38&lt;&gt;"pvp",Inputs!$B$43&gt;0),IF(MAX(0,Inputs!$B$43-B1142)&lt;=0,0,(INT(MAX(0,Inputs!$B$43-B1142)/(IF(Inputs!$B$38="pvp",15,MAX(0.1,Skills!D8-IF(TRUE=TRUE,(Inputs!$B$32+1),0)))*(1-IF(AND(ArtifactsInput!$M$27,Inputs!$B$4="Chapter Hunt"),CHOOSE(ArtifactsInput!$N$27+1,20,24,28,32,36,40),0)/100)))+1)),0)</f>
        <v/>
      </c>
      <c r="S1114">
        <f>IFERROR(O1114/N1114,0)</f>
        <v/>
      </c>
      <c r="T1114">
        <f>IF(C1114,(H1114*N1114*IF(AND(Inputs!$B$38&lt;&gt;"pvp",Inputs!$B$43&gt;0),((Skills!G8*((R1114-1)*IF(Skills!H8&gt;0,Skills!I8/Skills!H8,1)+IF(Skills!H8&gt;0,MIN(Skills!I8,MAX(0,MAX(0,Inputs!$B$43-B1142)-((R1114-1)*(IF(Inputs!$B$38="pvp",15,MAX(0.1,Skills!D8-IF(TRUE=TRUE,(Inputs!$B$32+1),0)))*(1-IF(AND(ArtifactsInput!$M$27,Inputs!$B$4="Chapter Hunt"),CHOOSE(ArtifactsInput!$N$27+1,20,24,28,32,36,40),0)/100)))))/Skills!H8,1)))/Inputs!$B$43),G1114*Q1114)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1114*(1-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8*((R1114-1)*IF(Skills!H8&gt;0,Skills!I8/Skills!H8,1)+IF(Skills!H8&gt;0,MIN(Skills!I8,MAX(0,MAX(0,Inputs!$B$43-B1142)-((R1114-1)*(IF(Inputs!$B$38="pvp",15,MAX(0.1,Skills!D8-IF(TRUE=TRUE,(Inputs!$B$32+1),0)))*(1-IF(AND(ArtifactsInput!$M$27,Inputs!$B$4="Chapter Hunt"),CHOOSE(ArtifactsInput!$N$27+1,20,24,28,32,36,40),0)/100)))))/Skills!H8,1)))/Inputs!$B$43),G1114*Q1114))*IF(Inputs!$B$38="pvp",1,(1+(Inputs!$B$21+Skills!Q8+(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Skills!A9</f>
        <v/>
      </c>
      <c r="B1115">
        <f>Skills!B9</f>
        <v/>
      </c>
      <c r="C1115">
        <f>Inputs!$B$3&gt;=120</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B1147</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1126=TRUE)*(F1126-Calc!F20)),(Inputs!$B$23+0+(IF(ArtifactsInput!$M$15,CHOOSE(ArtifactsInput!$N$15+1,25,30,35,40,45,50)/100*(Inputs!$B$11-Inputs!$B$11),0))))/100+(Inputs!$B$23+0+(IF(ArtifactsInput!$M$15,CHOOSE(ArtifactsInput!$N$15+1,25,30,35,40,45,50)/100*(Inputs!$B$11-Inputs!$B$11),0)))/100)/2</f>
        <v/>
      </c>
      <c r="M1115">
        <f>L1115*(1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IF(B1145=0,0,O1115/B1145)</f>
        <v/>
      </c>
      <c r="Q1115">
        <f>IFERROR(1/(IF(Inputs!$B$38="pvp",15,MAX(0.1,Skills!D9-IF(TRUE=TRUE,(Inputs!$B$32+1),0)))*(1-IF(AND(ArtifactsInput!$M$27,Inputs!$B$4="Chapter Hunt"),CHOOSE(ArtifactsInput!$N$27+1,20,24,28,32,36,40),0)/100)),0)</f>
        <v/>
      </c>
      <c r="R1115">
        <f>IF(AND(Inputs!$B$38&lt;&gt;"pvp",Inputs!$B$43&gt;0),IF(MAX(0,Inputs!$B$43-B1142)&lt;=0,0,(INT(MAX(0,Inputs!$B$43-B1142)/(IF(Inputs!$B$38="pvp",15,MAX(0.1,Skills!D9-IF(TRUE=TRUE,(Inputs!$B$32+1),0)))*(1-IF(AND(ArtifactsInput!$M$27,Inputs!$B$4="Chapter Hunt"),CHOOSE(ArtifactsInput!$N$27+1,20,24,28,32,36,40),0)/100)))+1)),0)</f>
        <v/>
      </c>
      <c r="S1115">
        <f>IFERROR(O1115/N1115,0)</f>
        <v/>
      </c>
      <c r="T1115">
        <f>IF(C1115,(H1115*N1115*IF(AND(Inputs!$B$38&lt;&gt;"pvp",Inputs!$B$43&gt;0),((Skills!G9*((R1115-1)*IF(Skills!H9&gt;0,Skills!I9/Skills!H9,1)+IF(Skills!H9&gt;0,MIN(Skills!I9,MAX(0,MAX(0,Inputs!$B$43-B1142)-((R1115-1)*(IF(Inputs!$B$38="pvp",15,MAX(0.1,Skills!D9-IF(TRUE=TRUE,(Inputs!$B$32+1),0)))*(1-IF(AND(ArtifactsInput!$M$27,Inputs!$B$4="Chapter Hunt"),CHOOSE(ArtifactsInput!$N$27+1,20,24,28,32,36,40),0)/100)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1142)-((R1115-1)*(IF(Inputs!$B$38="pvp",15,MAX(0.1,Skills!D9-IF(TRUE=TRUE,(Inputs!$B$32+1),0)))*(1-IF(AND(ArtifactsInput!$M$27,Inputs!$B$4="Chapter Hunt"),CHOOSE(ArtifactsInput!$N$27+1,20,24,28,32,36,40),0)/100)))))/Skills!H9,1)))/Inputs!$B$43),G1115*Q1115))*IF(Inputs!$B$38="pvp",1,(1+(Inputs!$B$21+Skills!Q9+(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Inputs!$B$3&gt;=105</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1126=TRUE)*(F1126-Calc!F20)),(Inputs!$B$23+0+(IF(ArtifactsInput!$M$15,CHOOSE(ArtifactsInput!$N$15+1,25,30,35,40,45,50)/100*(Inputs!$B$11-Inputs!$B$11),0))))/100+(Inputs!$B$23+0+(IF(ArtifactsInput!$M$15,CHOOSE(ArtifactsInput!$N$15+1,25,30,35,40,45,50)/100*(Inputs!$B$11-Inputs!$B$11),0)))/100)/2</f>
        <v/>
      </c>
      <c r="M1116">
        <f>L1116*(1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IF(B1145=0,0,O1116/B1145)</f>
        <v/>
      </c>
      <c r="Q1116">
        <f>IFERROR(1/(IF(Inputs!$B$38="pvp",15,MAX(0.1,Skills!D10-IF(TRUE=TRUE,(Inputs!$B$32+1),0)))*(1-IF(AND(ArtifactsInput!$M$27,Inputs!$B$4="Chapter Hunt"),CHOOSE(ArtifactsInput!$N$27+1,20,24,28,32,36,40),0)/100)),0)</f>
        <v/>
      </c>
      <c r="R1116">
        <f>IF(AND(Inputs!$B$38&lt;&gt;"pvp",Inputs!$B$43&gt;0),IF(MAX(0,Inputs!$B$43-B1142)&lt;=0,0,(INT(MAX(0,Inputs!$B$43-B1142)/(IF(Inputs!$B$38="pvp",15,MAX(0.1,Skills!D10-IF(TRUE=TRUE,(Inputs!$B$32+1),0)))*(1-IF(AND(ArtifactsInput!$M$27,Inputs!$B$4="Chapter Hunt"),CHOOSE(ArtifactsInput!$N$27+1,20,24,28,32,36,40),0)/100)))+1)),0)</f>
        <v/>
      </c>
      <c r="S1116">
        <f>IFERROR(O1116/N1116,0)</f>
        <v/>
      </c>
      <c r="T1116">
        <f>IF(C1116,(H1116*N1116*IF(AND(Inputs!$B$38&lt;&gt;"pvp",Inputs!$B$43&gt;0),((Skills!G10*((R1116-1)*IF(Skills!H10&gt;0,Skills!I10/Skills!H10,1)+IF(Skills!H10&gt;0,MIN(Skills!I10,MAX(0,MAX(0,Inputs!$B$43-B1142)-((R1116-1)*(IF(Inputs!$B$38="pvp",15,MAX(0.1,Skills!D10-IF(TRUE=TRUE,(Inputs!$B$32+1),0)))*(1-IF(AND(ArtifactsInput!$M$27,Inputs!$B$4="Chapter Hunt"),CHOOSE(ArtifactsInput!$N$27+1,20,24,28,32,36,40),0)/100)))))/Skills!H10,1)))/Inputs!$B$43),G1116*Q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10*((R1116-1)*IF(Skills!H10&gt;0,Skills!I10/Skills!H10,1)+IF(Skills!H10&gt;0,MIN(Skills!I10,MAX(0,MAX(0,Inputs!$B$43-B1142)-((R1116-1)*(IF(Inputs!$B$38="pvp",15,MAX(0.1,Skills!D10-IF(TRUE=TRUE,(Inputs!$B$32+1),0)))*(1-IF(AND(ArtifactsInput!$M$27,Inputs!$B$4="Chapter Hunt"),CHOOSE(ArtifactsInput!$N$27+1,20,24,28,32,36,40),0)/100)))))/Skills!H10,1)))/Inputs!$B$43),G1116*Q1116))*IF(Inputs!$B$38="pvp",1,(1+(Inputs!$B$21+Skills!Q10+(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Inputs!$B$3&gt;=113</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1126=TRUE)*(F1126-Calc!F20)),(Inputs!$B$23+0+(IF(ArtifactsInput!$M$15,CHOOSE(ArtifactsInput!$N$15+1,25,30,35,40,45,50)/100*(Inputs!$B$11-Inputs!$B$11),0))))/100+(Inputs!$B$23+0+(IF(ArtifactsInput!$M$15,CHOOSE(ArtifactsInput!$N$15+1,25,30,35,40,45,50)/100*(Inputs!$B$11-Inputs!$B$11),0)))/100)/2</f>
        <v/>
      </c>
      <c r="M1117">
        <f>L1117*(1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IF(B1145=0,0,O1117/B1145)</f>
        <v/>
      </c>
      <c r="Q1117" t="n">
        <v>0</v>
      </c>
      <c r="R1117" t="n">
        <v>0</v>
      </c>
      <c r="S1117">
        <f>IFERROR(O1117/N1117,0)</f>
        <v/>
      </c>
      <c r="T1117">
        <f>IF(C1117,((H1117*B1148)/(1+Skills!H11*H1117*B1148)*N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IF(C1117,((H1117*B1148)/(1+Skills!H11*H1117*B1148)*N1117)*IF(Inputs!$B$38="pvp",1,(1+(Inputs!$B$21+Skills!Q11+(IF(ArtifactsInput!$M$33,CHOOSE(ArtifactsInput!$N$33+1,30,36,42,48,54,60),0))+(IF(AND(ArtifactsInput!$M$35,Inputs!$B$4&lt;&gt;"Chapter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Inputs!$B$3&gt;=100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Skills!A14</f>
        <v/>
      </c>
      <c r="B1120">
        <f>Skills!B14</f>
        <v/>
      </c>
      <c r="C1120">
        <f>Inputs!$B$3&gt;=115</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IF(B1145=0,0,O1120/B1145)</f>
        <v/>
      </c>
      <c r="Q1120">
        <f>IFERROR(1/(IF(Inputs!$B$38="pvp",15,MAX(0.1,Skills!D14-IF(TRUE=TRUE,(Inputs!$B$32+1),0)))*(1-IF(AND(ArtifactsInput!$M$27,Inputs!$B$4="Chapter Hunt"),CHOOSE(ArtifactsInput!$N$27+1,20,24,28,32,36,40),0)/100)),0)</f>
        <v/>
      </c>
      <c r="R1120">
        <f>IF(AND(Inputs!$B$38&lt;&gt;"pvp",Inputs!$B$43&gt;0),IF(Inputs!$B$43&lt;=0,0,(INT(Inputs!$B$43/(IF(Inputs!$B$38="pvp",15,MAX(0.1,Skills!D14-IF(TRUE=TRUE,(Inputs!$B$32+1),0)))*(1-IF(AND(ArtifactsInput!$M$27,Inputs!$B$4="Chapter Hunt"),CHOOSE(ArtifactsInput!$N$27+1,20,24,28,32,36,40),0)/100)))+1)),0)</f>
        <v/>
      </c>
      <c r="S1120">
        <f>IFERROR(O1120/N1120,0)</f>
        <v/>
      </c>
      <c r="T1120" t="n">
        <v>0</v>
      </c>
      <c r="V1120" t="n">
        <v>0</v>
      </c>
    </row>
    <row r="1121">
      <c r="A1121">
        <f>Skills!A15</f>
        <v/>
      </c>
      <c r="B1121">
        <f>Skills!B15</f>
        <v/>
      </c>
      <c r="C1121">
        <f>Inputs!$B$3&gt;=125</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IF(B1145=0,0,O1121/B1145)</f>
        <v/>
      </c>
      <c r="Q1121">
        <f>IFERROR(1/(IF(Inputs!$B$38="pvp",15,MAX(0.1,Skills!D15-IF(TRUE=TRUE,(Inputs!$B$32+1),0)))*(1-IF(AND(ArtifactsInput!$M$27,Inputs!$B$4="Chapter Hunt"),CHOOSE(ArtifactsInput!$N$27+1,20,24,28,32,36,40),0)/100)),0)</f>
        <v/>
      </c>
      <c r="R1121">
        <f>IF(AND(Inputs!$B$38&lt;&gt;"pvp",Inputs!$B$43&gt;0),IF(Inputs!$B$43&lt;=0,0,(INT(Inputs!$B$43/(IF(Inputs!$B$38="pvp",15,MAX(0.1,Skills!D15-IF(TRUE=TRUE,(Inputs!$B$32+1),0)))*(1-IF(AND(ArtifactsInput!$M$27,Inputs!$B$4="Chapter Hunt"),CHOOSE(ArtifactsInput!$N$27+1,20,24,28,32,36,40),0)/100)))+1)),0)</f>
        <v/>
      </c>
      <c r="S1121">
        <f>IFERROR(O1121/N1121,0)</f>
        <v/>
      </c>
      <c r="T1121" t="n">
        <v>0</v>
      </c>
      <c r="V1121" t="n">
        <v>0</v>
      </c>
    </row>
    <row r="1122">
      <c r="A1122">
        <f>Skills!A16</f>
        <v/>
      </c>
      <c r="B1122">
        <f>Skills!B16</f>
        <v/>
      </c>
      <c r="C1122">
        <f>Inputs!$B$3&gt;=10</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IF(B1145=0,0,O1122/B1145)</f>
        <v/>
      </c>
      <c r="Q1122" t="n">
        <v>0</v>
      </c>
      <c r="R1122" t="n">
        <v>0</v>
      </c>
      <c r="S1122">
        <f>IFERROR(O1122/N1122,0)</f>
        <v/>
      </c>
      <c r="T1122" t="n">
        <v>0</v>
      </c>
      <c r="V1122" t="n">
        <v>0</v>
      </c>
    </row>
    <row r="1123">
      <c r="A1123">
        <f>Skills!A17</f>
        <v/>
      </c>
      <c r="B1123">
        <f>Skills!B17</f>
        <v/>
      </c>
      <c r="C1123">
        <f>Inputs!$B$3&gt;=15</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Skills!A18</f>
        <v/>
      </c>
      <c r="B1124">
        <f>Skills!B18</f>
        <v/>
      </c>
      <c r="C1124">
        <f>Inputs!$B$3&gt;=33</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Skills!A19</f>
        <v/>
      </c>
      <c r="B1125">
        <f>Skills!B19</f>
        <v/>
      </c>
      <c r="C1125">
        <f>Inputs!$B$3&gt;=40</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Skills!A20</f>
        <v/>
      </c>
      <c r="B1126">
        <f>Skills!B20</f>
        <v/>
      </c>
      <c r="C1126">
        <f>Inputs!$B$3&gt;=43</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Skills!A21</f>
        <v/>
      </c>
      <c r="B1127">
        <f>Skills!B21</f>
        <v/>
      </c>
      <c r="C1127">
        <f>Inputs!$B$3&gt;=38</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Skills!A22</f>
        <v/>
      </c>
      <c r="B1128">
        <f>Skills!B22</f>
        <v/>
      </c>
      <c r="C1128">
        <f>Inputs!$B$3&gt;=75</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Skills!A23</f>
        <v/>
      </c>
      <c r="B1129">
        <f>Skills!B23</f>
        <v/>
      </c>
      <c r="C1129">
        <f>TRUE</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IF(B1145=0,0,O1129/B1145)</f>
        <v/>
      </c>
      <c r="Q1129">
        <f>IFERROR(1/(IF(Inputs!$B$38="pvp",15,MAX(0.1,Skills!D23-IF(TRUE=TRUE,(Inputs!$B$32+1),0)))*(1-IF(AND(ArtifactsInput!$M$27,Inputs!$B$4="Chapter Hunt"),CHOOSE(ArtifactsInput!$N$27+1,20,24,28,32,36,40),0)/100)),0)</f>
        <v/>
      </c>
      <c r="R1129">
        <f>IF(AND(Inputs!$B$38&lt;&gt;"pvp",Inputs!$B$43&gt;0),IF(Inputs!$B$43&lt;=0,0,(INT(Inputs!$B$43/(IF(Inputs!$B$38="pvp",15,MAX(0.1,Skills!D23-IF(TRUE=TRUE,(Inputs!$B$32+1),0)))*(1-IF(AND(ArtifactsInput!$M$27,Inputs!$B$4="Chapter Hunt"),CHOOSE(ArtifactsInput!$N$27+1,20,24,28,32,36,40),0)/100)))+1)),0)</f>
        <v/>
      </c>
      <c r="S1129">
        <f>IFERROR(O1129/N1129,0)</f>
        <v/>
      </c>
      <c r="T1129" t="n">
        <v>0</v>
      </c>
      <c r="V1129" t="n">
        <v>0</v>
      </c>
    </row>
    <row r="1130">
      <c r="A1130">
        <f>Skills!A24</f>
        <v/>
      </c>
      <c r="B1130">
        <f>Skills!B24</f>
        <v/>
      </c>
      <c r="C1130">
        <f>Inputs!$B$3&gt;=107</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IF(B1145=0,0,O1130/B1145)</f>
        <v/>
      </c>
      <c r="Q1130">
        <f>IFERROR(1/(IF(Inputs!$B$38="pvp",15,MAX(0.1,Skills!D24-IF(TRUE=TRUE,(Inputs!$B$32+1),0)))*(1-IF(AND(ArtifactsInput!$M$27,Inputs!$B$4="Chapter Hunt"),CHOOSE(ArtifactsInput!$N$27+1,20,24,28,32,36,40),0)/100)),0)</f>
        <v/>
      </c>
      <c r="R1130">
        <f>IF(AND(Inputs!$B$38&lt;&gt;"pvp",Inputs!$B$43&gt;0),IF(Inputs!$B$43&lt;=0,0,(INT(Inputs!$B$43/(IF(Inputs!$B$38="pvp",15,MAX(0.1,Skills!D24-IF(TRUE=TRUE,(Inputs!$B$32+1),0)))*(1-IF(AND(ArtifactsInput!$M$27,Inputs!$B$4="Chapter Hunt"),CHOOSE(ArtifactsInput!$N$27+1,20,24,28,32,36,40),0)/100)))+1)),0)</f>
        <v/>
      </c>
      <c r="S1130">
        <f>IFERROR(O1130/N1130,0)</f>
        <v/>
      </c>
      <c r="T1130" t="n">
        <v>0</v>
      </c>
      <c r="V1130" t="n">
        <v>0</v>
      </c>
    </row>
    <row r="1131">
      <c r="A1131">
        <f>Skills!A25</f>
        <v/>
      </c>
      <c r="B1131">
        <f>Skills!B25</f>
        <v/>
      </c>
      <c r="C1131">
        <f>Inputs!$B$3&gt;=110</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T1131" t="inlineStr"/>
      <c r="V1131" t="inlineStr"/>
    </row>
    <row r="1132">
      <c r="A1132">
        <f>Skills!A26</f>
        <v/>
      </c>
      <c r="B1132">
        <f>Skills!B26</f>
        <v/>
      </c>
      <c r="C1132">
        <f>Inputs!$B$3&gt;=117</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t="inlineStr"/>
      <c r="H1132" t="inlineStr"/>
      <c r="I1132" t="inlineStr">
        <is>
          <t>1</t>
        </is>
      </c>
      <c r="J1132" t="inlineStr"/>
      <c r="K1132" t="inlineStr"/>
      <c r="L1132" t="inlineStr"/>
      <c r="M1132" t="inlineStr"/>
      <c r="N1132" t="inlineStr"/>
      <c r="O1132" t="inlineStr"/>
      <c r="P1132" t="inlineStr"/>
      <c r="Q1132" t="inlineStr"/>
      <c r="R1132" t="inlineStr"/>
      <c r="S1132" t="inlineStr"/>
      <c r="T1132" t="inlineStr"/>
      <c r="V1132" t="inlineStr"/>
    </row>
    <row r="1134">
      <c r="A1134" t="inlineStr">
        <is>
          <t>Attack% Bucket Multiplier</t>
        </is>
      </c>
      <c r="B1134">
        <f>(1+(((C1119=TRUE)*F1119*5/7)+((C1125=TRUE)*(F1125-Calc!F19))+(IF(ArtifactsInput!$M$21,CHOOSE(ArtifactsInput!$N$21+1,25,30,35,40,45,50)*(IF(OR(Inputs!$B$4="Chapter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5">
      <c r="A1135" t="inlineStr">
        <is>
          <t>Global Crit Rate Bonus %</t>
        </is>
      </c>
      <c r="B1135" t="n">
        <v>0</v>
      </c>
    </row>
    <row r="1136">
      <c r="A1136" t="inlineStr">
        <is>
          <t>Attack Speed Buff Bonus % (Nimble Feet + Speed Infusion, duty-cycle averaged)</t>
        </is>
      </c>
      <c r="B1136">
        <f>((C1129=TRUE)*F1129*IF(AND(Inputs!$B$38&lt;&gt;"pvp",Inputs!$B$43&gt;0),(((R1129-1)*MIN((Skills!T23*(1+Inputs!$B$34/100)),(1/Q1129))+MIN((Skills!T23*(1+Inputs!$B$34/100)),MAX(0,Inputs!$B$43-((R1129-1)*(1/Q1129)))))/Inputs!$B$43),IF(Inputs!$B$38="pvp",MIN((Skills!T23*(1+Inputs!$B$34/100)),15)/15,MIN(1,(Skills!T23*(1+Inputs!$B$34/100))/(1/Q1129)))))+((C1130=TRUE)*F1130*IF(AND(Inputs!$B$38&lt;&gt;"pvp",Inputs!$B$43&gt;0),(((R1130-1)*MIN((Skills!T24*(1+Inputs!$B$34/100)),(1/Q1130))+MIN((Skills!T24*(1+Inputs!$B$34/100)),MAX(0,Inputs!$B$43-((R1130-1)*(1/Q1130)))))/Inputs!$B$43),IF(Inputs!$B$38="pvp",MIN((Skills!T24*(1+Inputs!$B$34/100)),15)/15,MIN(1,(Skills!T24*(1+Inputs!$B$34/100))/(1/Q1130)))))</f>
        <v/>
      </c>
    </row>
    <row r="1137">
      <c r="A1137" t="inlineStr">
        <is>
          <t>Actions Per Second</t>
        </is>
      </c>
      <c r="B1137">
        <f>1+MIN(150,150*(1-(1-(Inputs!$B$11+((C1123=TRUE)*(F1123-Calc!F17))+((C1124=TRUE)*(F1124-Calc!F18)))/150)*(1-B1136/150)))/100</f>
        <v/>
      </c>
    </row>
    <row r="1138">
      <c r="A1138" t="inlineStr">
        <is>
          <t>Skill + Buff Cast Rate</t>
        </is>
      </c>
      <c r="B1138">
        <f>IF(AND(Inputs!$B$38&lt;&gt;"pvp",Inputs!$B$43&gt;0),SUMPRODUCT((Skills!E2:E26=TRUE)*(C1108:C1132=TRUE)*R1108:R1132*Skills!F2:F26)/Inputs!$B$43,SUMPRODUCT((Skills!E2:E26=TRUE)*(C1108:C1132=TRUE)*Q1108:Q1132*Skills!F2:F26))</f>
        <v/>
      </c>
    </row>
    <row r="1139">
      <c r="A1139" t="inlineStr">
        <is>
          <t>Hook Bomber Casts Per Second</t>
        </is>
      </c>
      <c r="B1139">
        <f>MAX(0,B1137-B1138)</f>
        <v/>
      </c>
    </row>
    <row r="1140">
      <c r="A1140" t="inlineStr">
        <is>
          <t>Global Critical Damage Bonus % (unused)</t>
        </is>
      </c>
      <c r="B1140" t="n">
        <v>0</v>
      </c>
    </row>
    <row r="1141">
      <c r="A1141" t="inlineStr">
        <is>
          <t>Global Final Damage Bonus % (Serpent Scale + Crossbones + Time Leap + Speed Infusion)</t>
        </is>
      </c>
      <c r="B1141">
        <f>((C1111=TRUE)*(F1111*B1147+4*(1-B1147)))+((C1120=TRUE)*F1120*IF(AND(Inputs!$B$38&lt;&gt;"pvp",Inputs!$B$43&gt;0),(((R1120-1)*MIN((Skills!T14*(1+Inputs!$B$34/100)),(1/Q1120))+MIN((Skills!T14*(1+Inputs!$B$34/100)),MAX(0,Inputs!$B$43-((R1120-1)*(1/Q1120)))))/Inputs!$B$43),IF(Inputs!$B$38="pvp",MIN((Skills!T14*(1+Inputs!$B$34/100)),15)/15,MIN(1,(Skills!T14*(1+Inputs!$B$34/100))/(1/Q1120)))))+((C1121=TRUE)*F1121*IF(AND(Inputs!$B$38&lt;&gt;"pvp",Inputs!$B$43&gt;0),(((R1121-1)*MIN((Skills!T15*(1+Inputs!$B$34/100)),(1/Q1121))+MIN((Skills!T15*(1+Inputs!$B$34/100)),MAX(0,Inputs!$B$43-((R1121-1)*(1/Q1121)))))/Inputs!$B$43),IF(Inputs!$B$38="pvp",MIN((Skills!T15*(1+Inputs!$B$34/100)),15)/15,MIN(1,(Skills!T15*(1+Inputs!$B$34/100))/(1/Q1121)))))+((C1130=TRUE)*20*((1+MIN(150,150*(1-(1-(Inputs!$B$11+((C1123=TRUE)*(F1123-Calc!F17))+((C1124=TRUE)*(F1124-Calc!F18)))/150)*(1-(((C1129=TRUE)*F1129*IF(AND(Inputs!$B$38&lt;&gt;"pvp",Inputs!$B$43&gt;0),(((R1129-1)*MIN((Skills!T23*(1+Inputs!$B$34/100)),(1/Q1129))+MIN((Skills!T23*(1+Inputs!$B$34/100)),MAX(0,Inputs!$B$43-((R1129-1)*(1/Q1129)))))/Inputs!$B$43),IF(Inputs!$B$38="pvp",MIN((Skills!T23*(1+Inputs!$B$34/100)),15)/15,MIN(1,(Skills!T23*(1+Inputs!$B$34/100))/(1/Q1129)))))+F1130)/150)))/100)-1)*IF(AND(Inputs!$B$38&lt;&gt;"pvp",Inputs!$B$43&gt;0),(((R1130-1)*MIN((Skills!T24*(1+Inputs!$B$34/100)),(1/Q1130))+MIN((Skills!T24*(1+Inputs!$B$34/100)),MAX(0,Inputs!$B$43-((R1130-1)*(1/Q1130)))))/Inputs!$B$43),IF(Inputs!$B$38="pvp",MIN((Skills!T24*(1+Inputs!$B$34/100)),15)/15,MIN(1,(Skills!T24*(1+Inputs!$B$34/100))/(1/Q1130)))))</f>
        <v/>
      </c>
    </row>
    <row r="1142">
      <c r="A1142" t="inlineStr">
        <is>
          <t>Buff-Casting Startup Delay (s, fixed-duration only)</t>
        </is>
      </c>
      <c r="B1142">
        <f>IF(AND(Inputs!$B$38&lt;&gt;"pvp",Inputs!$B$43&gt;0),SUMPRODUCT((Skills!T2:T26&gt;0)*(Skills!E2:E26=TRUE)*(C1108:C1132=TRUE))/B1137,0)</f>
        <v/>
      </c>
    </row>
    <row r="1143">
      <c r="A1143" t="inlineStr">
        <is>
          <t>Boss-Only Total DPS (this block's swept value)</t>
        </is>
      </c>
      <c r="B1143">
        <f>SUM(T1108:T1132)</f>
        <v/>
      </c>
    </row>
    <row r="1144">
      <c r="A1144" t="inlineStr">
        <is>
          <t>Normal-Only Total DPS (this block's swept value)</t>
        </is>
      </c>
      <c r="B1144">
        <f>SUM(V1108:V1132)</f>
        <v/>
      </c>
    </row>
    <row r="1145">
      <c r="A1145" s="6" t="inlineStr">
        <is>
          <t>TOTAL DPS</t>
        </is>
      </c>
      <c r="B1145" s="6">
        <f>SUM(O1108:O1132)</f>
        <v/>
      </c>
    </row>
    <row r="1146">
      <c r="A1146" t="inlineStr">
        <is>
          <t>Serpent activation interval T (this block's own Hook Bomber rate)</t>
        </is>
      </c>
      <c r="B1146">
        <f>((1/Q1109)+IFERROR(0.5/B1139,0))</f>
        <v/>
      </c>
    </row>
    <row r="1147">
      <c r="A1147" t="inlineStr">
        <is>
          <t>Assault Mode uptime u (this block)</t>
        </is>
      </c>
      <c r="B1147">
        <f>IF(C1111=TRUE,(10+IF(Inputs!$B$3&gt;=94,5,0))/((10+IF(Inputs!$B$3&gt;=94,5,0))+IF(Inputs!$B$3&gt;=104,3,5)*B1146),0)</f>
        <v/>
      </c>
    </row>
    <row r="1148">
      <c r="A1148" t="inlineStr">
        <is>
          <t>Nautilus Strike - Final Attack trigger rate (this block's own Q/R)</t>
        </is>
      </c>
      <c r="B1148">
        <f>IF(AND(Inputs!$B$38&lt;&gt;"pvp",Inputs!$B$43&gt;0),(((C1112=TRUE)*R1112)+((C1113=TRUE)*R1113)+((C1116=TRUE)*R1116))/Inputs!$B$43,((C1112=TRUE)*Q1112)+((C1113=TRUE)*Q1113)+((C1116=TRUE)*Q1116))+B1139</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1171=TRUE)*(F1171-Calc!F20)),(Inputs!$B$23+0+(IF(ArtifactsInput!$M$15,CHOOSE(ArtifactsInput!$N$15+1,25,30,35,40,45,50)/100*(Inputs!$B$11-Inputs!$B$11),0))))/100+(Inputs!$B$23+0+(IF(ArtifactsInput!$M$15,CHOOSE(ArtifactsInput!$N$15+1,25,30,35,40,45,50)/100*(Inputs!$B$11-Inputs!$B$11),0)))/100)/2</f>
        <v/>
      </c>
      <c r="M1153">
        <f>L1153*(1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IF(B1190=0,0,O1153/B1190)</f>
        <v/>
      </c>
      <c r="Q1153" t="n">
        <v>0</v>
      </c>
      <c r="R1153" t="n">
        <v>0</v>
      </c>
      <c r="S1153">
        <f>IFERROR(O1153/N1153,0)</f>
        <v/>
      </c>
      <c r="T1153">
        <f>IF(C1153,(Skills!G2*N1153*B1184)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IF(C1153,(Skills!G2*N1153*B1184)*IF(Inputs!$B$38="pvp",1,(1+(Inputs!$B$21+Skills!Q2+(IF(ArtifactsInput!$M$33,CHOOSE(ArtifactsInput!$N$33+1,30,36,42,48,54,60),0))+(IF(AND(ArtifactsInput!$M$35,Inputs!$B$4&lt;&gt;"Chapter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Inputs!$B$3&gt;=35</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f>Skills!G3*IF(Skills!H3&gt;0,Skills!I3/Skills!H3,1)</f>
        <v/>
      </c>
      <c r="H1154">
        <f>1-(1-Skills!J3/100)^Skills!K3</f>
        <v/>
      </c>
      <c r="I1154" t="inlineStr">
        <is>
          <t>1</t>
        </is>
      </c>
      <c r="J1154">
        <f>((Inputs!$B$6*(1+Inputs!$B$7/100))+(((Inputs!$B$12*(1+Inputs!$B$13/100))-(Inputs!$B$12*(1+Inputs!$B$13/100)))+0.25*(Inputs!$B$14-Inputs!$B$14))*(1+Inputs!$B$7/100))*(F1154/100)</f>
        <v/>
      </c>
      <c r="K1154">
        <f>J1154*(1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1176=TRUE,F1176,0)/100)*(1+(IF(Skills!A3="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1171=TRUE)*(F1171-Calc!F20)),(Inputs!$B$23+0+(IF(ArtifactsInput!$M$15,CHOOSE(ArtifactsInput!$N$15+1,25,30,35,40,45,50)/100*(Inputs!$B$11-Inputs!$B$11),0))))/100+(Inputs!$B$23+0+(IF(ArtifactsInput!$M$15,CHOOSE(ArtifactsInput!$N$15+1,25,30,35,40,45,50)/100*(Inputs!$B$11-Inputs!$B$11),0)))/100)/2</f>
        <v/>
      </c>
      <c r="M1154">
        <f>L1154*(1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IF(B1190=0,0,O1154/B1190)</f>
        <v/>
      </c>
      <c r="Q1154">
        <f>IFERROR(1/(IF(Inputs!$B$38="pvp",15,MAX(0.1,Skills!D3-IF(TRUE=TRUE,Inputs!$B$32,0)))*(1-IF(AND(ArtifactsInput!$M$27,Inputs!$B$4="Chapter Hunt"),CHOOSE(ArtifactsInput!$N$27+1,20,24,28,32,36,40),0)/100)),0)</f>
        <v/>
      </c>
      <c r="R1154">
        <f>IF(AND(Inputs!$B$38&lt;&gt;"pvp",Inputs!$B$43&gt;0),IF(MAX(0,Inputs!$B$43-B1187)&lt;=0,0,(INT(MAX(0,Inputs!$B$43-B1187)/(IF(Inputs!$B$38="pvp",15,MAX(0.1,Skills!D3-IF(TRUE=TRUE,Inputs!$B$32,0)))*(1-IF(AND(ArtifactsInput!$M$27,Inputs!$B$4="Chapter Hunt"),CHOOSE(ArtifactsInput!$N$27+1,20,24,28,32,36,40),0)/100)))+1)),0)</f>
        <v/>
      </c>
      <c r="S1154">
        <f>IFERROR(O1154/N1154,0)</f>
        <v/>
      </c>
      <c r="T1154">
        <f>IF(C1154,(Skills!G3*N1154*IF(C1155=TRUE,1-B1192,1)/B1191)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1154*(1-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INDEX(FactorTable!$B$2:$Y$301, MATCH(ROUND(MIN(300,MAX(1,U1153)),0), FactorTable!$A$2:$A$301,0), 22)</f>
        <v/>
      </c>
      <c r="V1154">
        <f>IF(C1154,(Skills!G3*N1154*IF(C1155=TRUE,1-B1192,1)/B1191)*IF(Inputs!$B$38="pvp",1,(1+(Inputs!$B$21+Skills!Q3+(IF(ArtifactsInput!$M$33,CHOOSE(ArtifactsInput!$N$33+1,30,36,42,48,54,60),0))+(IF(AND(ArtifactsInput!$M$35,Inputs!$B$4&lt;&gt;"Chapter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Skills!A4</f>
        <v/>
      </c>
      <c r="B1155">
        <f>Skills!B4</f>
        <v/>
      </c>
      <c r="C1155">
        <f>Inputs!$B$3&gt;=69</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4="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1171=TRUE)*(F1171-Calc!F20)),(Inputs!$B$23+0+(IF(ArtifactsInput!$M$15,CHOOSE(ArtifactsInput!$N$15+1,25,30,35,40,45,50)/100*(Inputs!$B$11-Inputs!$B$11),0))))/100+(Inputs!$B$23+0+(IF(ArtifactsInput!$M$15,CHOOSE(ArtifactsInput!$N$15+1,25,30,35,40,45,50)/100*(Inputs!$B$11-Inputs!$B$11),0)))/100)/2</f>
        <v/>
      </c>
      <c r="M1155">
        <f>L1155*(1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IF(B1190=0,0,O1155/B1190)</f>
        <v/>
      </c>
      <c r="Q1155" t="n">
        <v>0</v>
      </c>
      <c r="R1155" t="n">
        <v>0</v>
      </c>
      <c r="S1155">
        <f>IFERROR(O1155/N1155,0)</f>
        <v/>
      </c>
      <c r="T1155">
        <f>IF(C1155,(Skills!G4*N1155*B1192/B1191)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IF(C1155,(Skills!G4*N1155*B1192/B1191)*IF(Inputs!$B$38="pvp",1,(1+(Inputs!$B$21+Skills!Q4+(IF(ArtifactsInput!$M$33,CHOOSE(ArtifactsInput!$N$33+1,30,36,42,48,54,60),0))+(IF(AND(ArtifactsInput!$M$35,Inputs!$B$4&lt;&gt;"Chapter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t="inlineStr"/>
      <c r="K1156" t="inlineStr"/>
      <c r="L1156" t="inlineStr"/>
      <c r="M1156" t="inlineStr"/>
      <c r="N1156" t="inlineStr"/>
      <c r="O1156">
        <f>(1-Summary!$B$11)*T1156+Summary!$B$11*V1156</f>
        <v/>
      </c>
      <c r="P1156">
        <f>IF(B1190=0,0,O1156/B1190)</f>
        <v/>
      </c>
      <c r="Q1156" t="n">
        <v>0</v>
      </c>
      <c r="R1156" t="n">
        <v>0</v>
      </c>
      <c r="S1156">
        <f>IFERROR(O1156/N1156,0)</f>
        <v/>
      </c>
      <c r="T1156" t="n">
        <v>0</v>
      </c>
      <c r="V1156" t="n">
        <v>0</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1163=TRUE,F1163,0)/100)*(1+(IF(Skills!A6="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1171=TRUE)*(F1171-Calc!F20)),(Inputs!$B$23+0+(IF(ArtifactsInput!$M$15,CHOOSE(ArtifactsInput!$N$15+1,25,30,35,40,45,50)/100*(Inputs!$B$11-Inputs!$B$11),0))))/100+(Inputs!$B$23+0+(IF(ArtifactsInput!$M$15,CHOOSE(ArtifactsInput!$N$15+1,25,30,35,40,45,50)/100*(Inputs!$B$11-Inputs!$B$11),0)))/100)/2</f>
        <v/>
      </c>
      <c r="M1157">
        <f>L1157*(1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IF(B1190=0,0,O1157/B1190)</f>
        <v/>
      </c>
      <c r="Q1157">
        <f>IFERROR(1/(IF(Inputs!$B$38="pvp",15,MAX(0.1,Skills!D6-IF(TRUE=TRUE,Inputs!$B$32,0)))*(1-IF(AND(ArtifactsInput!$M$27,Inputs!$B$4="Chapter Hunt"),CHOOSE(ArtifactsInput!$N$27+1,20,24,28,32,36,40),0)/100)),0)</f>
        <v/>
      </c>
      <c r="R1157">
        <f>IF(AND(Inputs!$B$38&lt;&gt;"pvp",Inputs!$B$43&gt;0),IF(MAX(0,Inputs!$B$43-B1187)&lt;=0,0,(INT(MAX(0,Inputs!$B$43-B1187)/(IF(Inputs!$B$38="pvp",15,MAX(0.1,Skills!D6-IF(TRUE=TRUE,Inputs!$B$32,0)))*(1-IF(AND(ArtifactsInput!$M$27,Inputs!$B$4="Chapter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1187)-((R1157-1)*(IF(Inputs!$B$38="pvp",15,MAX(0.1,Skills!D6-IF(TRUE=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1187)-((R1157-1)*(IF(Inputs!$B$38="pvp",15,MAX(0.1,Skills!D6-IF(TRUE=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Inputs!$B$3&gt;=103</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1171=TRUE)*(F1171-Calc!F20)),(Inputs!$B$23+0+(IF(ArtifactsInput!$M$15,CHOOSE(ArtifactsInput!$N$15+1,25,30,35,40,45,50)/100*(Inputs!$B$11-Inputs!$B$11),0))))/100+(Inputs!$B$23+0+(IF(ArtifactsInput!$M$15,CHOOSE(ArtifactsInput!$N$15+1,25,30,35,40,45,50)/100*(Inputs!$B$11-Inputs!$B$11),0)))/100)/2</f>
        <v/>
      </c>
      <c r="M1158">
        <f>L1158*(1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IF(B1190=0,0,O1158/B1190)</f>
        <v/>
      </c>
      <c r="Q1158">
        <f>IFERROR(1/(IF(Inputs!$B$38="pvp",15,MAX(0.1,Skills!D7-IF(TRUE=TRUE,Inputs!$B$32,0)))*(1-IF(AND(ArtifactsInput!$M$27,Inputs!$B$4="Chapter Hunt"),CHOOSE(ArtifactsInput!$N$27+1,20,24,28,32,36,40),0)/100)),0)</f>
        <v/>
      </c>
      <c r="R1158">
        <f>IF(AND(Inputs!$B$38&lt;&gt;"pvp",Inputs!$B$43&gt;0),IF(MAX(0,Inputs!$B$43-B1187)&lt;=0,0,(INT(MAX(0,Inputs!$B$43-B1187)/(IF(Inputs!$B$38="pvp",15,MAX(0.1,Skills!D7-IF(TRUE=TRUE,Inputs!$B$32,0)))*(1-IF(AND(ArtifactsInput!$M$27,Inputs!$B$4="Chapter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1187)-((R1158-1)*(IF(Inputs!$B$38="pvp",15,MAX(0.1,Skills!D7-IF(TRUE=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1187)-((R1158-1)*(IF(Inputs!$B$38="pvp",15,MAX(0.1,Skills!D7-IF(TRUE=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Inputs!$B$3&gt;=117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1171=TRUE)*(F1171-Calc!F20)),(Inputs!$B$23+0+(IF(ArtifactsInput!$M$15,CHOOSE(ArtifactsInput!$N$15+1,25,30,35,40,45,50)/100*(Inputs!$B$11-Inputs!$B$11),0))))/100+(Inputs!$B$23+0+(IF(ArtifactsInput!$M$15,CHOOSE(ArtifactsInput!$N$15+1,25,30,35,40,45,50)/100*(Inputs!$B$11-Inputs!$B$11),0)))/100)/2</f>
        <v/>
      </c>
      <c r="M1159">
        <f>L1159*(1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IF(B1190=0,0,O1159/B1190)</f>
        <v/>
      </c>
      <c r="Q1159">
        <f>IFERROR(1/(IF(Inputs!$B$38="pvp",15,MAX(0.1,Skills!D8-IF(TRUE=TRUE,Inputs!$B$32,0)))*(1-IF(AND(ArtifactsInput!$M$27,Inputs!$B$4="Chapter Hunt"),CHOOSE(ArtifactsInput!$N$27+1,20,24,28,32,36,40),0)/100)),0)</f>
        <v/>
      </c>
      <c r="R1159">
        <f>IF(AND(Inputs!$B$38&lt;&gt;"pvp",Inputs!$B$43&gt;0),IF(MAX(0,Inputs!$B$43-B1187)&lt;=0,0,(INT(MAX(0,Inputs!$B$43-B1187)/(IF(Inputs!$B$38="pvp",15,MAX(0.1,Skills!D8-IF(TRUE=TRUE,Inputs!$B$32,0)))*(1-IF(AND(ArtifactsInput!$M$27,Inputs!$B$4="Chapter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1187)-((R1159-1)*(IF(Inputs!$B$38="pvp",15,MAX(0.1,Skills!D8-IF(TRUE=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1187)-((R1159-1)*(IF(Inputs!$B$38="pvp",15,MAX(0.1,Skills!D8-IF(TRUE=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Inputs!$B$3&gt;=120</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B1192</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1171=TRUE)*(F1171-Calc!F20)),(Inputs!$B$23+0+(IF(ArtifactsInput!$M$15,CHOOSE(ArtifactsInput!$N$15+1,25,30,35,40,45,50)/100*(Inputs!$B$11-Inputs!$B$11),0))))/100+(Inputs!$B$23+0+(IF(ArtifactsInput!$M$15,CHOOSE(ArtifactsInput!$N$15+1,25,30,35,40,45,50)/100*(Inputs!$B$11-Inputs!$B$11),0)))/100)/2</f>
        <v/>
      </c>
      <c r="M1160">
        <f>L1160*(1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IF(B1190=0,0,O1160/B1190)</f>
        <v/>
      </c>
      <c r="Q1160">
        <f>IFERROR(1/(IF(Inputs!$B$38="pvp",15,MAX(0.1,Skills!D9-IF(TRUE=TRUE,Inputs!$B$32,0)))*(1-IF(AND(ArtifactsInput!$M$27,Inputs!$B$4="Chapter Hunt"),CHOOSE(ArtifactsInput!$N$27+1,20,24,28,32,36,40),0)/100)),0)</f>
        <v/>
      </c>
      <c r="R1160">
        <f>IF(AND(Inputs!$B$38&lt;&gt;"pvp",Inputs!$B$43&gt;0),IF(MAX(0,Inputs!$B$43-B1187)&lt;=0,0,(INT(MAX(0,Inputs!$B$43-B1187)/(IF(Inputs!$B$38="pvp",15,MAX(0.1,Skills!D9-IF(TRUE=TRUE,Inputs!$B$32,0)))*(1-IF(AND(ArtifactsInput!$M$27,Inputs!$B$4="Chapter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1187)-((R1160-1)*(IF(Inputs!$B$38="pvp",15,MAX(0.1,Skills!D9-IF(TRUE=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1187)-((R1160-1)*(IF(Inputs!$B$38="pvp",15,MAX(0.1,Skills!D9-IF(TRUE=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Inputs!$B$3&gt;=105</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1171=TRUE)*(F1171-Calc!F20)),(Inputs!$B$23+0+(IF(ArtifactsInput!$M$15,CHOOSE(ArtifactsInput!$N$15+1,25,30,35,40,45,50)/100*(Inputs!$B$11-Inputs!$B$11),0))))/100+(Inputs!$B$23+0+(IF(ArtifactsInput!$M$15,CHOOSE(ArtifactsInput!$N$15+1,25,30,35,40,45,50)/100*(Inputs!$B$11-Inputs!$B$11),0)))/100)/2</f>
        <v/>
      </c>
      <c r="M1161">
        <f>L1161*(1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IF(B1190=0,0,O1161/B1190)</f>
        <v/>
      </c>
      <c r="Q1161">
        <f>IFERROR(1/(IF(Inputs!$B$38="pvp",15,MAX(0.1,Skills!D10-IF(TRUE=TRUE,Inputs!$B$32,0)))*(1-IF(AND(ArtifactsInput!$M$27,Inputs!$B$4="Chapter Hunt"),CHOOSE(ArtifactsInput!$N$27+1,20,24,28,32,36,40),0)/100)),0)</f>
        <v/>
      </c>
      <c r="R1161">
        <f>IF(AND(Inputs!$B$38&lt;&gt;"pvp",Inputs!$B$43&gt;0),IF(MAX(0,Inputs!$B$43-B1187)&lt;=0,0,(INT(MAX(0,Inputs!$B$43-B1187)/(IF(Inputs!$B$38="pvp",15,MAX(0.1,Skills!D10-IF(TRUE=TRUE,Inputs!$B$32,0)))*(1-IF(AND(ArtifactsInput!$M$27,Inputs!$B$4="Chapter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1187)-((R1161-1)*(IF(Inputs!$B$38="pvp",15,MAX(0.1,Skills!D10-IF(TRUE=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1187)-((R1161-1)*(IF(Inputs!$B$38="pvp",15,MAX(0.1,Skills!D10-IF(TRUE=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1171=TRUE)*(F1171-Calc!F20)),(Inputs!$B$23+0+(IF(ArtifactsInput!$M$15,CHOOSE(ArtifactsInput!$N$15+1,25,30,35,40,45,50)/100*(Inputs!$B$11-Inputs!$B$11),0))))/100+(Inputs!$B$23+0+(IF(ArtifactsInput!$M$15,CHOOSE(ArtifactsInput!$N$15+1,25,30,35,40,45,50)/100*(Inputs!$B$11-Inputs!$B$11),0)))/100)/2</f>
        <v/>
      </c>
      <c r="M1162">
        <f>L1162*(1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IF(B1190=0,0,O1162/B1190)</f>
        <v/>
      </c>
      <c r="Q1162" t="n">
        <v>0</v>
      </c>
      <c r="R1162" t="n">
        <v>0</v>
      </c>
      <c r="S1162">
        <f>IFERROR(O1162/N1162,0)</f>
        <v/>
      </c>
      <c r="T1162">
        <f>IF(C1162,((H1162*B1193)/(1+Skills!H11*H1162*B1193)*N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IF(C1162,((H1162*B1193)/(1+Skills!H11*H1162*B1193)*N1162)*IF(Inputs!$B$38="pvp",1,(1+(Inputs!$B$21+Skills!Q11+(IF(ArtifactsInput!$M$33,CHOOSE(ArtifactsInput!$N$33+1,30,36,42,48,54,60),0))+(IF(AND(ArtifactsInput!$M$35,Inputs!$B$4&lt;&gt;"Chapter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IF(B1190=0,0,O1164/B1190)</f>
        <v/>
      </c>
      <c r="Q1164" t="n">
        <v>0</v>
      </c>
      <c r="R1164" t="n">
        <v>0</v>
      </c>
      <c r="S1164">
        <f>IFERROR(O1164/N1164,0)</f>
        <v/>
      </c>
      <c r="T1164" t="n">
        <v>0</v>
      </c>
      <c r="V1164" t="n">
        <v>0</v>
      </c>
    </row>
    <row r="1165">
      <c r="A1165">
        <f>Skills!A14</f>
        <v/>
      </c>
      <c r="B1165">
        <f>Skills!B14</f>
        <v/>
      </c>
      <c r="C1165">
        <f>Inputs!$B$3&gt;=115</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IF(B1190=0,0,O1165/B1190)</f>
        <v/>
      </c>
      <c r="Q1165">
        <f>IFERROR(1/(IF(Inputs!$B$38="pvp",15,MAX(0.1,Skills!D14-IF(TRUE=TRUE,Inputs!$B$32,0)))*(1-IF(AND(ArtifactsInput!$M$27,Inputs!$B$4="Chapter Hunt"),CHOOSE(ArtifactsInput!$N$27+1,20,24,28,32,36,40),0)/100)),0)</f>
        <v/>
      </c>
      <c r="R1165">
        <f>IF(AND(Inputs!$B$38&lt;&gt;"pvp",Inputs!$B$43&gt;0),IF(Inputs!$B$43&lt;=0,0,(INT(Inputs!$B$43/(IF(Inputs!$B$38="pvp",15,MAX(0.1,Skills!D14-IF(TRUE=TRUE,Inputs!$B$32,0)))*(1-IF(AND(ArtifactsInput!$M$27,Inputs!$B$4="Chapter Hunt"),CHOOSE(ArtifactsInput!$N$27+1,20,24,28,32,36,40),0)/100)))+1)),0)</f>
        <v/>
      </c>
      <c r="S1165">
        <f>IFERROR(O1165/N1165,0)</f>
        <v/>
      </c>
      <c r="T1165" t="n">
        <v>0</v>
      </c>
      <c r="V1165" t="n">
        <v>0</v>
      </c>
    </row>
    <row r="1166">
      <c r="A1166">
        <f>Skills!A15</f>
        <v/>
      </c>
      <c r="B1166">
        <f>Skills!B15</f>
        <v/>
      </c>
      <c r="C1166">
        <f>Inputs!$B$3&gt;=125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IF(B1190=0,0,O1166/B1190)</f>
        <v/>
      </c>
      <c r="Q1166">
        <f>IFERROR(1/(IF(Inputs!$B$38="pvp",15,MAX(0.1,Skills!D15-IF(TRUE=TRUE,Inputs!$B$32,0)))*(1-IF(AND(ArtifactsInput!$M$27,Inputs!$B$4="Chapter Hunt"),CHOOSE(ArtifactsInput!$N$27+1,20,24,28,32,36,40),0)/100)),0)</f>
        <v/>
      </c>
      <c r="R1166">
        <f>IF(AND(Inputs!$B$38&lt;&gt;"pvp",Inputs!$B$43&gt;0),IF(Inputs!$B$43&lt;=0,0,(INT(Inputs!$B$43/(IF(Inputs!$B$38="pvp",15,MAX(0.1,Skills!D15-IF(TRUE=TRUE,Inputs!$B$32,0)))*(1-IF(AND(ArtifactsInput!$M$27,Inputs!$B$4="Chapter Hunt"),CHOOSE(ArtifactsInput!$N$27+1,20,24,28,32,36,40),0)/100)))+1)),0)</f>
        <v/>
      </c>
      <c r="S1166">
        <f>IFERROR(O1166/N1166,0)</f>
        <v/>
      </c>
      <c r="T1166" t="n">
        <v>0</v>
      </c>
      <c r="V1166" t="n">
        <v>0</v>
      </c>
    </row>
    <row r="1167">
      <c r="A1167">
        <f>Skills!A16</f>
        <v/>
      </c>
      <c r="B1167">
        <f>Skills!B16</f>
        <v/>
      </c>
      <c r="C1167">
        <f>Inputs!$B$3&gt;=10</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IF(B1190=0,0,O1167/B1190)</f>
        <v/>
      </c>
      <c r="Q1167" t="n">
        <v>0</v>
      </c>
      <c r="R1167" t="n">
        <v>0</v>
      </c>
      <c r="S1167">
        <f>IFERROR(O1167/N1167,0)</f>
        <v/>
      </c>
      <c r="T1167" t="n">
        <v>0</v>
      </c>
      <c r="V1167" t="n">
        <v>0</v>
      </c>
    </row>
    <row r="1168">
      <c r="A1168">
        <f>Skills!A17</f>
        <v/>
      </c>
      <c r="B1168">
        <f>Skills!B17</f>
        <v/>
      </c>
      <c r="C1168">
        <f>Inputs!$B$3&gt;=15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IF(B1190=0,0,O1168/B1190)</f>
        <v/>
      </c>
      <c r="Q1168" t="n">
        <v>0</v>
      </c>
      <c r="R1168" t="n">
        <v>0</v>
      </c>
      <c r="S1168">
        <f>IFERROR(O1168/N1168,0)</f>
        <v/>
      </c>
      <c r="T1168" t="n">
        <v>0</v>
      </c>
      <c r="V1168" t="n">
        <v>0</v>
      </c>
    </row>
    <row r="1169">
      <c r="A1169">
        <f>Skills!A18</f>
        <v/>
      </c>
      <c r="B1169">
        <f>Skills!B18</f>
        <v/>
      </c>
      <c r="C1169">
        <f>Inputs!$B$3&gt;=33</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IF(B1190=0,0,O1169/B1190)</f>
        <v/>
      </c>
      <c r="Q1169" t="n">
        <v>0</v>
      </c>
      <c r="R1169" t="n">
        <v>0</v>
      </c>
      <c r="S1169">
        <f>IFERROR(O1169/N1169,0)</f>
        <v/>
      </c>
      <c r="T1169" t="n">
        <v>0</v>
      </c>
      <c r="V1169" t="n">
        <v>0</v>
      </c>
    </row>
    <row r="1170">
      <c r="A1170">
        <f>Skills!A19</f>
        <v/>
      </c>
      <c r="B1170">
        <f>Skills!B19</f>
        <v/>
      </c>
      <c r="C1170">
        <f>Inputs!$B$3&gt;=40</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IF(B1190=0,0,O1170/B1190)</f>
        <v/>
      </c>
      <c r="Q1170" t="n">
        <v>0</v>
      </c>
      <c r="R1170" t="n">
        <v>0</v>
      </c>
      <c r="S1170">
        <f>IFERROR(O1170/N1170,0)</f>
        <v/>
      </c>
      <c r="T1170" t="n">
        <v>0</v>
      </c>
      <c r="V1170" t="n">
        <v>0</v>
      </c>
    </row>
    <row r="1171">
      <c r="A1171">
        <f>Skills!A20</f>
        <v/>
      </c>
      <c r="B1171">
        <f>Skills!B20</f>
        <v/>
      </c>
      <c r="C1171">
        <f>Inputs!$B$3&gt;=43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IF(B1190=0,0,O1171/B1190)</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IF(B1190=0,0,O1172/B1190)</f>
        <v/>
      </c>
      <c r="Q1172" t="n">
        <v>0</v>
      </c>
      <c r="R1172" t="n">
        <v>0</v>
      </c>
      <c r="S1172">
        <f>IFERROR(O1172/N1172,0)</f>
        <v/>
      </c>
      <c r="T1172" t="n">
        <v>0</v>
      </c>
      <c r="V1172" t="n">
        <v>0</v>
      </c>
    </row>
    <row r="1173">
      <c r="A1173">
        <f>Skills!A22</f>
        <v/>
      </c>
      <c r="B1173">
        <f>Skills!B22</f>
        <v/>
      </c>
      <c r="C1173">
        <f>Inputs!$B$3&gt;=75</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IF(B1190=0,0,O1173/B1190)</f>
        <v/>
      </c>
      <c r="Q1173" t="n">
        <v>0</v>
      </c>
      <c r="R1173" t="n">
        <v>0</v>
      </c>
      <c r="S1173">
        <f>IFERROR(O1173/N1173,0)</f>
        <v/>
      </c>
      <c r="T1173" t="n">
        <v>0</v>
      </c>
      <c r="V1173" t="n">
        <v>0</v>
      </c>
    </row>
    <row r="1174">
      <c r="A1174">
        <f>Skills!A23</f>
        <v/>
      </c>
      <c r="B1174">
        <f>Skills!B23</f>
        <v/>
      </c>
      <c r="C1174">
        <f>TRUE</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IF(B1190=0,0,O1174/B1190)</f>
        <v/>
      </c>
      <c r="Q1174">
        <f>IFERROR(1/(IF(Inputs!$B$38="pvp",15,MAX(0.1,Skills!D23-IF(TRUE=TRUE,Inputs!$B$32,0)))*(1-IF(AND(ArtifactsInput!$M$27,Inputs!$B$4="Chapter Hunt"),CHOOSE(ArtifactsInput!$N$27+1,20,24,28,32,36,40),0)/100)),0)</f>
        <v/>
      </c>
      <c r="R1174">
        <f>IF(AND(Inputs!$B$38&lt;&gt;"pvp",Inputs!$B$43&gt;0),IF(Inputs!$B$43&lt;=0,0,(INT(Inputs!$B$43/(IF(Inputs!$B$38="pvp",15,MAX(0.1,Skills!D23-IF(TRUE=TRUE,Inputs!$B$32,0)))*(1-IF(AND(ArtifactsInput!$M$27,Inputs!$B$4="Chapter Hunt"),CHOOSE(ArtifactsInput!$N$27+1,20,24,28,32,36,40),0)/100)))+1)),0)</f>
        <v/>
      </c>
      <c r="S1174">
        <f>IFERROR(O1174/N1174,0)</f>
        <v/>
      </c>
      <c r="T1174" t="n">
        <v>0</v>
      </c>
      <c r="V1174" t="n">
        <v>0</v>
      </c>
    </row>
    <row r="1175">
      <c r="A1175">
        <f>Skills!A24</f>
        <v/>
      </c>
      <c r="B1175">
        <f>Skills!B24</f>
        <v/>
      </c>
      <c r="C1175">
        <f>Inputs!$B$3&gt;=107</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IF(B1190=0,0,O1175/B1190)</f>
        <v/>
      </c>
      <c r="Q1175">
        <f>IFERROR(1/(IF(Inputs!$B$38="pvp",15,MAX(0.1,Skills!D24-IF(TRUE=TRUE,Inputs!$B$32,0)))*(1-IF(AND(ArtifactsInput!$M$27,Inputs!$B$4="Chapter Hunt"),CHOOSE(ArtifactsInput!$N$27+1,20,24,28,32,36,40),0)/100)),0)</f>
        <v/>
      </c>
      <c r="R1175">
        <f>IF(AND(Inputs!$B$38&lt;&gt;"pvp",Inputs!$B$43&gt;0),IF(Inputs!$B$43&lt;=0,0,(INT(Inputs!$B$43/(IF(Inputs!$B$38="pvp",15,MAX(0.1,Skills!D24-IF(TRUE=TRUE,Inputs!$B$32,0)))*(1-IF(AND(ArtifactsInput!$M$27,Inputs!$B$4="Chapter Hunt"),CHOOSE(ArtifactsInput!$N$27+1,20,24,28,32,36,40),0)/100)))+1)),0)</f>
        <v/>
      </c>
      <c r="S1175">
        <f>IFERROR(O1175/N1175,0)</f>
        <v/>
      </c>
      <c r="T1175" t="n">
        <v>0</v>
      </c>
      <c r="V1175" t="n">
        <v>0</v>
      </c>
    </row>
    <row r="1176">
      <c r="A1176">
        <f>Skills!A25</f>
        <v/>
      </c>
      <c r="B1176">
        <f>Skills!B25</f>
        <v/>
      </c>
      <c r="C1176">
        <f>Inputs!$B$3&gt;=110</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t="inlineStr"/>
      <c r="H1176" t="inlineStr"/>
      <c r="I1176" t="inlineStr">
        <is>
          <t>1</t>
        </is>
      </c>
      <c r="J1176" t="inlineStr"/>
      <c r="K1176" t="inlineStr"/>
      <c r="L1176" t="inlineStr"/>
      <c r="M1176" t="inlineStr"/>
      <c r="N1176" t="inlineStr"/>
      <c r="O1176" t="inlineStr"/>
      <c r="P1176" t="inlineStr"/>
      <c r="Q1176" t="inlineStr"/>
      <c r="R1176" t="inlineStr"/>
      <c r="S1176" t="inlineStr"/>
      <c r="T1176" t="inlineStr"/>
      <c r="V1176" t="inlineStr"/>
    </row>
    <row r="1177">
      <c r="A1177">
        <f>Skills!A26</f>
        <v/>
      </c>
      <c r="B1177">
        <f>Skills!B26</f>
        <v/>
      </c>
      <c r="C1177">
        <f>Inputs!$B$3&gt;=117</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t="inlineStr"/>
      <c r="H1177" t="inlineStr"/>
      <c r="I1177" t="inlineStr">
        <is>
          <t>1</t>
        </is>
      </c>
      <c r="J1177" t="inlineStr"/>
      <c r="K1177" t="inlineStr"/>
      <c r="L1177" t="inlineStr"/>
      <c r="M1177" t="inlineStr"/>
      <c r="N1177" t="inlineStr"/>
      <c r="O1177" t="inlineStr"/>
      <c r="P1177" t="inlineStr"/>
      <c r="Q1177" t="inlineStr"/>
      <c r="R1177" t="inlineStr"/>
      <c r="S1177" t="inlineStr"/>
      <c r="T1177" t="inlineStr"/>
      <c r="V1177" t="inlineStr"/>
    </row>
    <row r="1179">
      <c r="A1179" t="inlineStr">
        <is>
          <t>Attack% Bucket Multiplier</t>
        </is>
      </c>
      <c r="B1179">
        <f>(1+(((C1164=TRUE)*F1164*5/7)+((C1170=TRUE)*(F1170-Calc!F19))+(IF(ArtifactsInput!$M$21,CHOOSE(ArtifactsInput!$N$21+1,25,30,35,40,45,50)*(IF(OR(Inputs!$B$4="Chapter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0">
      <c r="A1180" t="inlineStr">
        <is>
          <t>Global Crit Rate Bonus %</t>
        </is>
      </c>
      <c r="B1180" t="n">
        <v>0</v>
      </c>
    </row>
    <row r="1181">
      <c r="A1181" t="inlineStr">
        <is>
          <t>Attack Speed Buff Bonus % (Nimble Feet + Speed Infusion, duty-cycle averaged)</t>
        </is>
      </c>
      <c r="B1181">
        <f>((C1174=TRUE)*F1174*IF(AND(Inputs!$B$38&lt;&gt;"pvp",Inputs!$B$43&gt;0),(((R1174-1)*MIN((Skills!T23*(1+Inputs!$B$34/100)),(1/Q1174))+MIN((Skills!T23*(1+Inputs!$B$34/100)),MAX(0,Inputs!$B$43-((R1174-1)*(1/Q1174)))))/Inputs!$B$43),IF(Inputs!$B$38="pvp",MIN((Skills!T23*(1+Inputs!$B$34/100)),15)/15,MIN(1,(Skills!T23*(1+Inputs!$B$34/100))/(1/Q1174)))))+((C1175=TRUE)*F1175*IF(AND(Inputs!$B$38&lt;&gt;"pvp",Inputs!$B$43&gt;0),(((R1175-1)*MIN((Skills!T24*(1+Inputs!$B$34/100)),(1/Q1175))+MIN((Skills!T24*(1+Inputs!$B$34/100)),MAX(0,Inputs!$B$43-((R1175-1)*(1/Q1175)))))/Inputs!$B$43),IF(Inputs!$B$38="pvp",MIN((Skills!T24*(1+Inputs!$B$34/100)),15)/15,MIN(1,(Skills!T24*(1+Inputs!$B$34/100))/(1/Q1175)))))</f>
        <v/>
      </c>
    </row>
    <row r="1182">
      <c r="A1182" t="inlineStr">
        <is>
          <t>Actions Per Second</t>
        </is>
      </c>
      <c r="B1182">
        <f>1+MIN(150,150*(1-(1-(Inputs!$B$11+((C1168=TRUE)*(F1168-Calc!F17))+((C1169=TRUE)*(F1169-Calc!F18)))/150)*(1-B1181/150)))/100</f>
        <v/>
      </c>
    </row>
    <row r="1183">
      <c r="A1183" t="inlineStr">
        <is>
          <t>Skill + Buff Cast Rate</t>
        </is>
      </c>
      <c r="B1183">
        <f>IF(AND(Inputs!$B$38&lt;&gt;"pvp",Inputs!$B$43&gt;0),SUMPRODUCT((Skills!E2:E26=TRUE)*(C1153:C1177=TRUE)*R1153:R1177*Skills!F2:F26)/Inputs!$B$43,SUMPRODUCT((Skills!E2:E26=TRUE)*(C1153:C1177=TRUE)*Q1153:Q1177*Skills!F2:F26))</f>
        <v/>
      </c>
    </row>
    <row r="1184">
      <c r="A1184" t="inlineStr">
        <is>
          <t>Hook Bomber Casts Per Second</t>
        </is>
      </c>
      <c r="B1184">
        <f>MAX(0,B1182-B1183)</f>
        <v/>
      </c>
    </row>
    <row r="1185">
      <c r="A1185" t="inlineStr">
        <is>
          <t>Global Critical Damage Bonus % (unused)</t>
        </is>
      </c>
      <c r="B1185" t="n">
        <v>0</v>
      </c>
    </row>
    <row r="1186">
      <c r="A1186" t="inlineStr">
        <is>
          <t>Global Final Damage Bonus % (Serpent Scale + Crossbones + Time Leap + Speed Infusion)</t>
        </is>
      </c>
      <c r="B1186">
        <f>((C1156=TRUE)*(F1156*B1192+4*(1-B1192)))+((C1165=TRUE)*F1165*IF(AND(Inputs!$B$38&lt;&gt;"pvp",Inputs!$B$43&gt;0),(((R1165-1)*MIN((Skills!T14*(1+Inputs!$B$34/100)),(1/Q1165))+MIN((Skills!T14*(1+Inputs!$B$34/100)),MAX(0,Inputs!$B$43-((R1165-1)*(1/Q1165)))))/Inputs!$B$43),IF(Inputs!$B$38="pvp",MIN((Skills!T14*(1+Inputs!$B$34/100)),15)/15,MIN(1,(Skills!T14*(1+Inputs!$B$34/100))/(1/Q1165)))))+((C1166=TRUE)*F1166*IF(AND(Inputs!$B$38&lt;&gt;"pvp",Inputs!$B$43&gt;0),(((R1166-1)*MIN((Skills!T15*(1+Inputs!$B$34/100)),(1/Q1166))+MIN((Skills!T15*(1+Inputs!$B$34/100)),MAX(0,Inputs!$B$43-((R1166-1)*(1/Q1166)))))/Inputs!$B$43),IF(Inputs!$B$38="pvp",MIN((Skills!T15*(1+Inputs!$B$34/100)),15)/15,MIN(1,(Skills!T15*(1+Inputs!$B$34/100))/(1/Q1166)))))+((C1175=TRUE)*20*((1+MIN(150,150*(1-(1-(Inputs!$B$11+((C1168=TRUE)*(F1168-Calc!F17))+((C1169=TRUE)*(F1169-Calc!F18)))/150)*(1-(((C1174=TRUE)*F1174*IF(AND(Inputs!$B$38&lt;&gt;"pvp",Inputs!$B$43&gt;0),(((R1174-1)*MIN((Skills!T23*(1+Inputs!$B$34/100)),(1/Q1174))+MIN((Skills!T23*(1+Inputs!$B$34/100)),MAX(0,Inputs!$B$43-((R1174-1)*(1/Q1174)))))/Inputs!$B$43),IF(Inputs!$B$38="pvp",MIN((Skills!T23*(1+Inputs!$B$34/100)),15)/15,MIN(1,(Skills!T23*(1+Inputs!$B$34/100))/(1/Q1174)))))+F1175)/150)))/100)-1)*IF(AND(Inputs!$B$38&lt;&gt;"pvp",Inputs!$B$43&gt;0),(((R1175-1)*MIN((Skills!T24*(1+Inputs!$B$34/100)),(1/Q1175))+MIN((Skills!T24*(1+Inputs!$B$34/100)),MAX(0,Inputs!$B$43-((R1175-1)*(1/Q1175)))))/Inputs!$B$43),IF(Inputs!$B$38="pvp",MIN((Skills!T24*(1+Inputs!$B$34/100)),15)/15,MIN(1,(Skills!T24*(1+Inputs!$B$34/100))/(1/Q1175)))))</f>
        <v/>
      </c>
    </row>
    <row r="1187">
      <c r="A1187" t="inlineStr">
        <is>
          <t>Buff-Casting Startup Delay (s, fixed-duration only)</t>
        </is>
      </c>
      <c r="B1187">
        <f>IF(AND(Inputs!$B$38&lt;&gt;"pvp",Inputs!$B$43&gt;0),SUMPRODUCT((Skills!T2:T26&gt;0)*(Skills!E2:E26=TRUE)*(C1153:C1177=TRUE))/B1182,0)</f>
        <v/>
      </c>
    </row>
    <row r="1188">
      <c r="A1188" t="inlineStr">
        <is>
          <t>Boss-Only Total DPS (this block's swept value)</t>
        </is>
      </c>
      <c r="B1188">
        <f>SUM(T1153:T1177)</f>
        <v/>
      </c>
    </row>
    <row r="1189">
      <c r="A1189" t="inlineStr">
        <is>
          <t>Normal-Only Total DPS (this block's swept value)</t>
        </is>
      </c>
      <c r="B1189">
        <f>SUM(V1153:V1177)</f>
        <v/>
      </c>
    </row>
    <row r="1190">
      <c r="A1190" s="6" t="inlineStr">
        <is>
          <t>TOTAL DPS</t>
        </is>
      </c>
      <c r="B1190" s="6">
        <f>SUM(O1153:O1177)</f>
        <v/>
      </c>
    </row>
    <row r="1191">
      <c r="A1191" t="inlineStr">
        <is>
          <t>Serpent activation interval T (this block's own Hook Bomber rate)</t>
        </is>
      </c>
      <c r="B1191">
        <f>((1/Q1154)+IFERROR(0.5/B1184,0))</f>
        <v/>
      </c>
    </row>
    <row r="1192">
      <c r="A1192" t="inlineStr">
        <is>
          <t>Assault Mode uptime u (this block)</t>
        </is>
      </c>
      <c r="B1192">
        <f>IF(C1156=TRUE,(10+IF(Inputs!$B$3&gt;=94,5,0))/((10+IF(Inputs!$B$3&gt;=94,5,0))+IF(Inputs!$B$3&gt;=104,3,5)*B1191),0)</f>
        <v/>
      </c>
    </row>
    <row r="1193">
      <c r="A1193" t="inlineStr">
        <is>
          <t>Nautilus Strike - Final Attack trigger rate (this block's own Q/R)</t>
        </is>
      </c>
      <c r="B1193">
        <f>IF(AND(Inputs!$B$38&lt;&gt;"pvp",Inputs!$B$43&gt;0),(((C1157=TRUE)*R1157)+((C1158=TRUE)*R1158)+((C1161=TRUE)*R1161))/Inputs!$B$43,((C1157=TRUE)*Q1157)+((C1158=TRUE)*Q1158)+((C1161=TRUE)*Q1161))+B1184</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1216=TRUE)*(F1216-Calc!F20)),(Inputs!$B$23+0+(IF(ArtifactsInput!$M$15,CHOOSE(ArtifactsInput!$N$15+1,25,30,35,40,45,50)/100*(Inputs!$B$11-Inputs!$B$11),0))))/100+(Inputs!$B$23+0+(IF(ArtifactsInput!$M$15,CHOOSE(ArtifactsInput!$N$15+1,25,30,35,40,45,50)/100*(Inputs!$B$11-Inputs!$B$11),0)))/100)/2</f>
        <v/>
      </c>
      <c r="M1198">
        <f>L1198*(1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IF(B1235=0,0,O1198/B1235)</f>
        <v/>
      </c>
      <c r="Q1198" t="n">
        <v>0</v>
      </c>
      <c r="R1198" t="n">
        <v>0</v>
      </c>
      <c r="S1198">
        <f>IFERROR(O1198/N1198,0)</f>
        <v/>
      </c>
      <c r="T1198">
        <f>IF(C1198,(Skills!G2*N1198*B1229)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IF(C1198,(Skills!G2*N1198*B1229)*IF(Inputs!$B$38="pvp",1,(1+(Inputs!$B$21+Skills!Q2+(IF(ArtifactsInput!$M$33,CHOOSE(ArtifactsInput!$N$33+1,30,36,42,48,54,60),0))+(IF(AND(ArtifactsInput!$M$35,Inputs!$B$4&lt;&gt;"Chapter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Inputs!$B$3&gt;=35</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f>Skills!G3*IF(Skills!H3&gt;0,Skills!I3/Skills!H3,1)</f>
        <v/>
      </c>
      <c r="H1199">
        <f>1-(1-Skills!J3/100)^Skills!K3</f>
        <v/>
      </c>
      <c r="I1199" t="inlineStr">
        <is>
          <t>1</t>
        </is>
      </c>
      <c r="J1199">
        <f>((Inputs!$B$6*(1+Inputs!$B$7/100))+(((Inputs!$B$12*(1+Inputs!$B$13/100))-(Inputs!$B$12*(1+Inputs!$B$13/100)))+0.25*(Inputs!$B$14-Inputs!$B$14))*(1+Inputs!$B$7/100))*(F1199/100)</f>
        <v/>
      </c>
      <c r="K1199">
        <f>J1199*(1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1221=TRUE,F1221,0)/100)*(1+(IF(Skills!A3="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1216=TRUE)*(F1216-Calc!F20)),(Inputs!$B$23+0+(IF(ArtifactsInput!$M$15,CHOOSE(ArtifactsInput!$N$15+1,25,30,35,40,45,50)/100*(Inputs!$B$11-Inputs!$B$11),0))))/100+(Inputs!$B$23+0+(IF(ArtifactsInput!$M$15,CHOOSE(ArtifactsInput!$N$15+1,25,30,35,40,45,50)/100*(Inputs!$B$11-Inputs!$B$11),0)))/100)/2</f>
        <v/>
      </c>
      <c r="M1199">
        <f>L1199*(1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IF(B1235=0,0,O1199/B1235)</f>
        <v/>
      </c>
      <c r="Q1199">
        <f>IFERROR(1/(IF(Inputs!$B$38="pvp",15,MAX(0.1,Skills!D3-IF(TRUE=TRUE,Inputs!$B$32,0)))*(1-IF(AND(ArtifactsInput!$M$27,Inputs!$B$4="Chapter Hunt"),CHOOSE(ArtifactsInput!$N$27+1,20,24,28,32,36,40),0)/100)),0)</f>
        <v/>
      </c>
      <c r="R1199">
        <f>IF(AND(Inputs!$B$38&lt;&gt;"pvp",Inputs!$B$43&gt;0),IF(MAX(0,Inputs!$B$43-B1232)&lt;=0,0,(INT(MAX(0,Inputs!$B$43-B1232)/(IF(Inputs!$B$38="pvp",15,MAX(0.1,Skills!D3-IF(TRUE=TRUE,Inputs!$B$32,0)))*(1-IF(AND(ArtifactsInput!$M$27,Inputs!$B$4="Chapter Hunt"),CHOOSE(ArtifactsInput!$N$27+1,20,24,28,32,36,40),0)/100)))+1)),0)</f>
        <v/>
      </c>
      <c r="S1199">
        <f>IFERROR(O1199/N1199,0)</f>
        <v/>
      </c>
      <c r="T1199">
        <f>IF(C1199,(Skills!G3*N1199*IF(C1200=TRUE,1-B1237,1)/B1236)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INDEX(FactorTable!$B$2:$Y$301, MATCH(ROUND(MIN(300,MAX(1,U1198)),0), FactorTable!$A$2:$A$301,0), 22)</f>
        <v/>
      </c>
      <c r="V1199">
        <f>IF(C1199,(Skills!G3*N1199*IF(C1200=TRUE,1-B1237,1)/B1236)*IF(Inputs!$B$38="pvp",1,(1+(Inputs!$B$21+Skills!Q3+(IF(ArtifactsInput!$M$33,CHOOSE(ArtifactsInput!$N$33+1,30,36,42,48,54,60),0))+(IF(AND(ArtifactsInput!$M$35,Inputs!$B$4&lt;&gt;"Chapter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Skills!A4</f>
        <v/>
      </c>
      <c r="B1200">
        <f>Skills!B4</f>
        <v/>
      </c>
      <c r="C1200">
        <f>Inputs!$B$3&gt;=69</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f>Skills!G4*IF(Skills!H4&gt;0,Skills!I4/Skills!H4,1)</f>
        <v/>
      </c>
      <c r="H1200">
        <f>1-(1-Skills!J4/100)^Skills!K4</f>
        <v/>
      </c>
      <c r="I1200" t="inlineStr">
        <is>
          <t>1</t>
        </is>
      </c>
      <c r="J1200">
        <f>((Inputs!$B$6*(1+Inputs!$B$7/100))+(((Inputs!$B$12*(1+Inputs!$B$13/100))-(Inputs!$B$12*(1+Inputs!$B$13/100)))+0.25*(Inputs!$B$14-Inputs!$B$14))*(1+Inputs!$B$7/100))*(F1200/100)</f>
        <v/>
      </c>
      <c r="K1200">
        <f>J1200*(1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1208=TRUE,F1208,0)/100)*(1+(IF(Skills!A4="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1216=TRUE)*(F1216-Calc!F20)),(Inputs!$B$23+0+(IF(ArtifactsInput!$M$15,CHOOSE(ArtifactsInput!$N$15+1,25,30,35,40,45,50)/100*(Inputs!$B$11-Inputs!$B$11),0))))/100+(Inputs!$B$23+0+(IF(ArtifactsInput!$M$15,CHOOSE(ArtifactsInput!$N$15+1,25,30,35,40,45,50)/100*(Inputs!$B$11-Inputs!$B$11),0)))/100)/2</f>
        <v/>
      </c>
      <c r="M1200">
        <f>L1200*(1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IF(B1235=0,0,O1200/B1235)</f>
        <v/>
      </c>
      <c r="Q1200" t="n">
        <v>0</v>
      </c>
      <c r="R1200" t="n">
        <v>0</v>
      </c>
      <c r="S1200">
        <f>IFERROR(O1200/N1200,0)</f>
        <v/>
      </c>
      <c r="T1200">
        <f>IF(C1200,(Skills!G4*N1200*B1237/B1236)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290*U1199/1000</f>
        <v/>
      </c>
      <c r="V1200">
        <f>IF(C1200,(Skills!G4*N1200*B1237/B1236)*IF(Inputs!$B$38="pvp",1,(1+(Inputs!$B$21+Skills!Q4+(IF(ArtifactsInput!$M$33,CHOOSE(ArtifactsInput!$N$33+1,30,36,42,48,54,60),0))+(IF(AND(ArtifactsInput!$M$35,Inputs!$B$4&lt;&gt;"Chapter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Skills!A5</f>
        <v/>
      </c>
      <c r="B1201">
        <f>Skills!B5</f>
        <v/>
      </c>
      <c r="C1201">
        <f>Inputs!$B$3&gt;=66</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t="inlineStr"/>
      <c r="K1201" t="inlineStr"/>
      <c r="L1201" t="inlineStr"/>
      <c r="M1201" t="inlineStr"/>
      <c r="N1201" t="inlineStr"/>
      <c r="O1201">
        <f>(1-Summary!$B$11)*T1201+Summary!$B$11*V1201</f>
        <v/>
      </c>
      <c r="P1201">
        <f>IF(B1235=0,0,O1201/B1235)</f>
        <v/>
      </c>
      <c r="Q1201" t="n">
        <v>0</v>
      </c>
      <c r="R1201" t="n">
        <v>0</v>
      </c>
      <c r="S1201">
        <f>IFERROR(O1201/N1201,0)</f>
        <v/>
      </c>
      <c r="T1201" t="n">
        <v>0</v>
      </c>
      <c r="V1201" t="n">
        <v>0</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1208=TRUE,F1208,0)/100)*(1+(IF(Skills!A6="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1216=TRUE)*(F1216-Calc!F20)),(Inputs!$B$23+0+(IF(ArtifactsInput!$M$15,CHOOSE(ArtifactsInput!$N$15+1,25,30,35,40,45,50)/100*(Inputs!$B$11-Inputs!$B$11),0))))/100+(Inputs!$B$23+0+(IF(ArtifactsInput!$M$15,CHOOSE(ArtifactsInput!$N$15+1,25,30,35,40,45,50)/100*(Inputs!$B$11-Inputs!$B$11),0)))/100)/2</f>
        <v/>
      </c>
      <c r="M1202">
        <f>L1202*(1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IF(B1235=0,0,O1202/B1235)</f>
        <v/>
      </c>
      <c r="Q1202">
        <f>IFERROR(1/(IF(Inputs!$B$38="pvp",15,MAX(0.1,Skills!D6-IF(TRUE=TRUE,Inputs!$B$32,0)))*(1-IF(AND(ArtifactsInput!$M$27,Inputs!$B$4="Chapter Hunt"),CHOOSE(ArtifactsInput!$N$27+1,20,24,28,32,36,40),0)/100)),0)</f>
        <v/>
      </c>
      <c r="R1202">
        <f>IF(AND(Inputs!$B$38&lt;&gt;"pvp",Inputs!$B$43&gt;0),IF(MAX(0,Inputs!$B$43-B1232)&lt;=0,0,(INT(MAX(0,Inputs!$B$43-B1232)/(IF(Inputs!$B$38="pvp",15,MAX(0.1,Skills!D6-IF(TRUE=TRUE,Inputs!$B$32,0)))*(1-IF(AND(ArtifactsInput!$M$27,Inputs!$B$4="Chapter Hunt"),CHOOSE(ArtifactsInput!$N$27+1,20,24,28,32,36,40),0)/100)))+1)),0)</f>
        <v/>
      </c>
      <c r="S1202">
        <f>IFERROR(O1202/N1202,0)</f>
        <v/>
      </c>
      <c r="T1202">
        <f>IF(C1202,(H1202*N1202*IF(AND(Inputs!$B$38&lt;&gt;"pvp",Inputs!$B$43&gt;0),((Skills!G6*((R1202-1)*IF(Skills!H6&gt;0,Skills!I6/Skills!H6,1)+IF(Skills!H6&gt;0,MIN(Skills!I6,MAX(0,MAX(0,Inputs!$B$43-B1232)-((R1202-1)*(IF(Inputs!$B$38="pvp",15,MAX(0.1,Skills!D6-IF(TRUE=TRUE,Inputs!$B$32,0)))*(1-IF(AND(ArtifactsInput!$M$27,Inputs!$B$4="Chapter Hunt"),CHOOSE(ArtifactsInput!$N$27+1,20,24,28,32,36,40),0)/100)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1232)-((R1202-1)*(IF(Inputs!$B$38="pvp",15,MAX(0.1,Skills!D6-IF(TRUE=TRUE,Inputs!$B$32,0)))*(1-IF(AND(ArtifactsInput!$M$27,Inputs!$B$4="Chapter Hunt"),CHOOSE(ArtifactsInput!$N$27+1,20,24,28,32,36,40),0)/100)))))/Skills!H6,1)))/Inputs!$B$43),G1202*Q1202))*IF(Inputs!$B$38="pvp",1,(1+(Inputs!$B$21+Skills!Q6+(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Inputs!$B$3&gt;=103</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1216=TRUE)*(F1216-Calc!F20)),(Inputs!$B$23+0+(IF(ArtifactsInput!$M$15,CHOOSE(ArtifactsInput!$N$15+1,25,30,35,40,45,50)/100*(Inputs!$B$11-Inputs!$B$11),0))))/100+(Inputs!$B$23+0+(IF(ArtifactsInput!$M$15,CHOOSE(ArtifactsInput!$N$15+1,25,30,35,40,45,50)/100*(Inputs!$B$11-Inputs!$B$11),0)))/100)/2</f>
        <v/>
      </c>
      <c r="M1203">
        <f>L1203*(1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IF(B1235=0,0,O1203/B1235)</f>
        <v/>
      </c>
      <c r="Q1203">
        <f>IFERROR(1/(IF(Inputs!$B$38="pvp",15,MAX(0.1,Skills!D7-IF(TRUE=TRUE,Inputs!$B$32,0)))*(1-IF(AND(ArtifactsInput!$M$27,Inputs!$B$4="Chapter Hunt"),CHOOSE(ArtifactsInput!$N$27+1,20,24,28,32,36,40),0)/100)),0)</f>
        <v/>
      </c>
      <c r="R1203">
        <f>IF(AND(Inputs!$B$38&lt;&gt;"pvp",Inputs!$B$43&gt;0),IF(MAX(0,Inputs!$B$43-B1232)&lt;=0,0,(INT(MAX(0,Inputs!$B$43-B1232)/(IF(Inputs!$B$38="pvp",15,MAX(0.1,Skills!D7-IF(TRUE=TRUE,Inputs!$B$32,0)))*(1-IF(AND(ArtifactsInput!$M$27,Inputs!$B$4="Chapter Hunt"),CHOOSE(ArtifactsInput!$N$27+1,20,24,28,32,36,40),0)/100)))+1)),0)</f>
        <v/>
      </c>
      <c r="S1203">
        <f>IFERROR(O1203/N1203,0)</f>
        <v/>
      </c>
      <c r="T1203">
        <f>IF(C1203,(H1203*N1203*IF(AND(Inputs!$B$38&lt;&gt;"pvp",Inputs!$B$43&gt;0),((Skills!G7*((R1203-1)*IF(Skills!H7&gt;0,Skills!I7/Skills!H7,1)+IF(Skills!H7&gt;0,MIN(Skills!I7,MAX(0,MAX(0,Inputs!$B$43-B1232)-((R1203-1)*(IF(Inputs!$B$38="pvp",15,MAX(0.1,Skills!D7-IF(TRUE=TRUE,Inputs!$B$32,0)))*(1-IF(AND(ArtifactsInput!$M$27,Inputs!$B$4="Chapter Hunt"),CHOOSE(ArtifactsInput!$N$27+1,20,24,28,32,36,40),0)/100)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1232)-((R1203-1)*(IF(Inputs!$B$38="pvp",15,MAX(0.1,Skills!D7-IF(TRUE=TRUE,Inputs!$B$32,0)))*(1-IF(AND(ArtifactsInput!$M$27,Inputs!$B$4="Chapter Hunt"),CHOOSE(ArtifactsInput!$N$27+1,20,24,28,32,36,40),0)/100)))))/Skills!H7,1)))/Inputs!$B$43),G1203*Q1203))*IF(Inputs!$B$38="pvp",1,(1+(Inputs!$B$21+Skills!Q7+(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Inputs!$B$3&gt;=117</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f>Skills!G8*IF(Skills!H8&gt;0,Skills!I8/Skills!H8,1)</f>
        <v/>
      </c>
      <c r="H1204">
        <f>1-(1-Skills!J8/100)^Skills!K8</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1216=TRUE)*(F1216-Calc!F20)),(Inputs!$B$23+0+(IF(ArtifactsInput!$M$15,CHOOSE(ArtifactsInput!$N$15+1,25,30,35,40,45,50)/100*(Inputs!$B$11-Inputs!$B$11),0))))/100+(Inputs!$B$23+0+(IF(ArtifactsInput!$M$15,CHOOSE(ArtifactsInput!$N$15+1,25,30,35,40,45,50)/100*(Inputs!$B$11-Inputs!$B$11),0)))/100)/2</f>
        <v/>
      </c>
      <c r="M1204">
        <f>L1204*(1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IF(B1235=0,0,O1204/B1235)</f>
        <v/>
      </c>
      <c r="Q1204">
        <f>IFERROR(1/(IF(Inputs!$B$38="pvp",15,MAX(0.1,Skills!D8-IF(TRUE=TRUE,Inputs!$B$32,0)))*(1-IF(AND(ArtifactsInput!$M$27,Inputs!$B$4="Chapter Hunt"),CHOOSE(ArtifactsInput!$N$27+1,20,24,28,32,36,40),0)/100)),0)</f>
        <v/>
      </c>
      <c r="R1204">
        <f>IF(AND(Inputs!$B$38&lt;&gt;"pvp",Inputs!$B$43&gt;0),IF(MAX(0,Inputs!$B$43-B1232)&lt;=0,0,(INT(MAX(0,Inputs!$B$43-B1232)/(IF(Inputs!$B$38="pvp",15,MAX(0.1,Skills!D8-IF(TRUE=TRUE,Inputs!$B$32,0)))*(1-IF(AND(ArtifactsInput!$M$27,Inputs!$B$4="Chapter Hunt"),CHOOSE(ArtifactsInput!$N$27+1,20,24,28,32,36,40),0)/100)))+1)),0)</f>
        <v/>
      </c>
      <c r="S1204">
        <f>IFERROR(O1204/N1204,0)</f>
        <v/>
      </c>
      <c r="T1204">
        <f>IF(C1204,(H1204*N1204*IF(AND(Inputs!$B$38&lt;&gt;"pvp",Inputs!$B$43&gt;0),((Skills!G8*((R1204-1)*IF(Skills!H8&gt;0,Skills!I8/Skills!H8,1)+IF(Skills!H8&gt;0,MIN(Skills!I8,MAX(0,MAX(0,Inputs!$B$43-B1232)-((R1204-1)*(IF(Inputs!$B$38="pvp",15,MAX(0.1,Skills!D8-IF(TRUE=TRUE,Inputs!$B$32,0)))*(1-IF(AND(ArtifactsInput!$M$27,Inputs!$B$4="Chapter Hunt"),CHOOSE(ArtifactsInput!$N$27+1,20,24,28,32,36,40),0)/100)))))/Skills!H8,1)))/Inputs!$B$43),G1204*Q1204)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8*((R1204-1)*IF(Skills!H8&gt;0,Skills!I8/Skills!H8,1)+IF(Skills!H8&gt;0,MIN(Skills!I8,MAX(0,MAX(0,Inputs!$B$43-B1232)-((R1204-1)*(IF(Inputs!$B$38="pvp",15,MAX(0.1,Skills!D8-IF(TRUE=TRUE,Inputs!$B$32,0)))*(1-IF(AND(ArtifactsInput!$M$27,Inputs!$B$4="Chapter Hunt"),CHOOSE(ArtifactsInput!$N$27+1,20,24,28,32,36,40),0)/100)))))/Skills!H8,1)))/Inputs!$B$43),G1204*Q1204))*IF(Inputs!$B$38="pvp",1,(1+(Inputs!$B$21+Skills!Q8+(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Skills!A9</f>
        <v/>
      </c>
      <c r="B1205">
        <f>Skills!B9</f>
        <v/>
      </c>
      <c r="C1205">
        <f>Inputs!$B$3&gt;=120</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B1237</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1216=TRUE)*(F1216-Calc!F20)),(Inputs!$B$23+0+(IF(ArtifactsInput!$M$15,CHOOSE(ArtifactsInput!$N$15+1,25,30,35,40,45,50)/100*(Inputs!$B$11-Inputs!$B$11),0))))/100+(Inputs!$B$23+0+(IF(ArtifactsInput!$M$15,CHOOSE(ArtifactsInput!$N$15+1,25,30,35,40,45,50)/100*(Inputs!$B$11-Inputs!$B$11),0)))/100)/2</f>
        <v/>
      </c>
      <c r="M1205">
        <f>L1205*(1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IF(B1235=0,0,O1205/B1235)</f>
        <v/>
      </c>
      <c r="Q1205">
        <f>IFERROR(1/(IF(Inputs!$B$38="pvp",15,MAX(0.1,Skills!D9-IF(TRUE=TRUE,Inputs!$B$32,0)))*(1-IF(AND(ArtifactsInput!$M$27,Inputs!$B$4="Chapter Hunt"),CHOOSE(ArtifactsInput!$N$27+1,20,24,28,32,36,40),0)/100)),0)</f>
        <v/>
      </c>
      <c r="R1205">
        <f>IF(AND(Inputs!$B$38&lt;&gt;"pvp",Inputs!$B$43&gt;0),IF(MAX(0,Inputs!$B$43-B1232)&lt;=0,0,(INT(MAX(0,Inputs!$B$43-B1232)/(IF(Inputs!$B$38="pvp",15,MAX(0.1,Skills!D9-IF(TRUE=TRUE,Inputs!$B$32,0)))*(1-IF(AND(ArtifactsInput!$M$27,Inputs!$B$4="Chapter Hunt"),CHOOSE(ArtifactsInput!$N$27+1,20,24,28,32,36,40),0)/100)))+1)),0)</f>
        <v/>
      </c>
      <c r="S1205">
        <f>IFERROR(O1205/N1205,0)</f>
        <v/>
      </c>
      <c r="T1205">
        <f>IF(C1205,(H1205*N1205*IF(AND(Inputs!$B$38&lt;&gt;"pvp",Inputs!$B$43&gt;0),((Skills!G9*((R1205-1)*IF(Skills!H9&gt;0,Skills!I9/Skills!H9,1)+IF(Skills!H9&gt;0,MIN(Skills!I9,MAX(0,MAX(0,Inputs!$B$43-B1232)-((R1205-1)*(IF(Inputs!$B$38="pvp",15,MAX(0.1,Skills!D9-IF(TRUE=TRUE,Inputs!$B$32,0)))*(1-IF(AND(ArtifactsInput!$M$27,Inputs!$B$4="Chapter Hunt"),CHOOSE(ArtifactsInput!$N$27+1,20,24,28,32,36,40),0)/100)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1232)-((R1205-1)*(IF(Inputs!$B$38="pvp",15,MAX(0.1,Skills!D9-IF(TRUE=TRUE,Inputs!$B$32,0)))*(1-IF(AND(ArtifactsInput!$M$27,Inputs!$B$4="Chapter Hunt"),CHOOSE(ArtifactsInput!$N$27+1,20,24,28,32,36,40),0)/100)))))/Skills!H9,1)))/Inputs!$B$43),G1205*Q1205))*IF(Inputs!$B$38="pvp",1,(1+(Inputs!$B$21+Skills!Q9+(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Inputs!$B$3&gt;=105</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1216=TRUE)*(F1216-Calc!F20)),(Inputs!$B$23+0+(IF(ArtifactsInput!$M$15,CHOOSE(ArtifactsInput!$N$15+1,25,30,35,40,45,50)/100*(Inputs!$B$11-Inputs!$B$11),0))))/100+(Inputs!$B$23+0+(IF(ArtifactsInput!$M$15,CHOOSE(ArtifactsInput!$N$15+1,25,30,35,40,45,50)/100*(Inputs!$B$11-Inputs!$B$11),0)))/100)/2</f>
        <v/>
      </c>
      <c r="M1206">
        <f>L1206*(1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IF(B1235=0,0,O1206/B1235)</f>
        <v/>
      </c>
      <c r="Q1206">
        <f>IFERROR(1/(IF(Inputs!$B$38="pvp",15,MAX(0.1,Skills!D10-IF(TRUE=TRUE,Inputs!$B$32,0)))*(1-IF(AND(ArtifactsInput!$M$27,Inputs!$B$4="Chapter Hunt"),CHOOSE(ArtifactsInput!$N$27+1,20,24,28,32,36,40),0)/100)),0)</f>
        <v/>
      </c>
      <c r="R1206">
        <f>IF(AND(Inputs!$B$38&lt;&gt;"pvp",Inputs!$B$43&gt;0),IF(MAX(0,Inputs!$B$43-B1232)&lt;=0,0,(INT(MAX(0,Inputs!$B$43-B1232)/(IF(Inputs!$B$38="pvp",15,MAX(0.1,Skills!D10-IF(TRUE=TRUE,Inputs!$B$32,0)))*(1-IF(AND(ArtifactsInput!$M$27,Inputs!$B$4="Chapter Hunt"),CHOOSE(ArtifactsInput!$N$27+1,20,24,28,32,36,40),0)/100)))+1)),0)</f>
        <v/>
      </c>
      <c r="S1206">
        <f>IFERROR(O1206/N1206,0)</f>
        <v/>
      </c>
      <c r="T1206">
        <f>IF(C1206,(H1206*N1206*IF(AND(Inputs!$B$38&lt;&gt;"pvp",Inputs!$B$43&gt;0),((Skills!G10*((R1206-1)*IF(Skills!H10&gt;0,Skills!I10/Skills!H10,1)+IF(Skills!H10&gt;0,MIN(Skills!I10,MAX(0,MAX(0,Inputs!$B$43-B1232)-((R1206-1)*(IF(Inputs!$B$38="pvp",15,MAX(0.1,Skills!D10-IF(TRUE=TRUE,Inputs!$B$32,0)))*(1-IF(AND(ArtifactsInput!$M$27,Inputs!$B$4="Chapter Hunt"),CHOOSE(ArtifactsInput!$N$27+1,20,24,28,32,36,40),0)/100)))))/Skills!H10,1)))/Inputs!$B$43),G1206*Q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H1206*N1206*IF(AND(Inputs!$B$38&lt;&gt;"pvp",Inputs!$B$43&gt;0),((Skills!G10*((R1206-1)*IF(Skills!H10&gt;0,Skills!I10/Skills!H10,1)+IF(Skills!H10&gt;0,MIN(Skills!I10,MAX(0,MAX(0,Inputs!$B$43-B1232)-((R1206-1)*(IF(Inputs!$B$38="pvp",15,MAX(0.1,Skills!D10-IF(TRUE=TRUE,Inputs!$B$32,0)))*(1-IF(AND(ArtifactsInput!$M$27,Inputs!$B$4="Chapter Hunt"),CHOOSE(ArtifactsInput!$N$27+1,20,24,28,32,36,40),0)/100)))))/Skills!H10,1)))/Inputs!$B$43),G1206*Q1206))*IF(Inputs!$B$38="pvp",1,(1+(Inputs!$B$21+Skills!Q10+(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Inputs!$B$3&gt;=113</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1216=TRUE)*(F1216-Calc!F20)),(Inputs!$B$23+0+(IF(ArtifactsInput!$M$15,CHOOSE(ArtifactsInput!$N$15+1,25,30,35,40,45,50)/100*(Inputs!$B$11-Inputs!$B$11),0))))/100+(Inputs!$B$23+0+(IF(ArtifactsInput!$M$15,CHOOSE(ArtifactsInput!$N$15+1,25,30,35,40,45,50)/100*(Inputs!$B$11-Inputs!$B$11),0)))/100)/2</f>
        <v/>
      </c>
      <c r="M1207">
        <f>L1207*(1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IF(B1235=0,0,O1207/B1235)</f>
        <v/>
      </c>
      <c r="Q1207" t="n">
        <v>0</v>
      </c>
      <c r="R1207" t="n">
        <v>0</v>
      </c>
      <c r="S1207">
        <f>IFERROR(O1207/N1207,0)</f>
        <v/>
      </c>
      <c r="T1207">
        <f>IF(C1207,((H1207*B1238)/(1+Skills!H11*H1207*B1238)*N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IF(C1207,((H1207*B1238)/(1+Skills!H11*H1207*B1238)*N1207)*IF(Inputs!$B$38="pvp",1,(1+(Inputs!$B$21+Skills!Q11+(IF(ArtifactsInput!$M$33,CHOOSE(ArtifactsInput!$N$33+1,30,36,42,48,54,60),0))+(IF(AND(ArtifactsInput!$M$35,Inputs!$B$4&lt;&gt;"Chapter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Inputs!$B$3&gt;=100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T1208" t="inlineStr"/>
      <c r="V1208" t="inlineStr"/>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IF(B1235=0,0,O1209/B1235)</f>
        <v/>
      </c>
      <c r="Q1209" t="n">
        <v>0</v>
      </c>
      <c r="R1209" t="n">
        <v>0</v>
      </c>
      <c r="S1209">
        <f>IFERROR(O1209/N1209,0)</f>
        <v/>
      </c>
      <c r="T1209" t="n">
        <v>0</v>
      </c>
      <c r="V1209" t="n">
        <v>0</v>
      </c>
    </row>
    <row r="1210">
      <c r="A1210">
        <f>Skills!A14</f>
        <v/>
      </c>
      <c r="B1210">
        <f>Skills!B14</f>
        <v/>
      </c>
      <c r="C1210">
        <f>Inputs!$B$3&gt;=115</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IF(B1235=0,0,O1210/B1235)</f>
        <v/>
      </c>
      <c r="Q1210">
        <f>IFERROR(1/(IF(Inputs!$B$38="pvp",15,MAX(0.1,Skills!D14-IF(TRUE=TRUE,Inputs!$B$32,0)))*(1-IF(AND(ArtifactsInput!$M$27,Inputs!$B$4="Chapter Hunt"),CHOOSE(ArtifactsInput!$N$27+1,20,24,28,32,36,40),0)/100)),0)</f>
        <v/>
      </c>
      <c r="R1210">
        <f>IF(AND(Inputs!$B$38&lt;&gt;"pvp",Inputs!$B$43&gt;0),IF(Inputs!$B$43&lt;=0,0,(INT(Inputs!$B$43/(IF(Inputs!$B$38="pvp",15,MAX(0.1,Skills!D14-IF(TRUE=TRUE,Inputs!$B$32,0)))*(1-IF(AND(ArtifactsInput!$M$27,Inputs!$B$4="Chapter Hunt"),CHOOSE(ArtifactsInput!$N$27+1,20,24,28,32,36,40),0)/100)))+1)),0)</f>
        <v/>
      </c>
      <c r="S1210">
        <f>IFERROR(O1210/N1210,0)</f>
        <v/>
      </c>
      <c r="T1210" t="n">
        <v>0</v>
      </c>
      <c r="V1210" t="n">
        <v>0</v>
      </c>
    </row>
    <row r="1211">
      <c r="A1211">
        <f>Skills!A15</f>
        <v/>
      </c>
      <c r="B1211">
        <f>Skills!B15</f>
        <v/>
      </c>
      <c r="C1211">
        <f>Inputs!$B$3&gt;=125</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IF(B1235=0,0,O1211/B1235)</f>
        <v/>
      </c>
      <c r="Q1211">
        <f>IFERROR(1/(IF(Inputs!$B$38="pvp",15,MAX(0.1,Skills!D15-IF(TRUE=TRUE,Inputs!$B$32,0)))*(1-IF(AND(ArtifactsInput!$M$27,Inputs!$B$4="Chapter Hunt"),CHOOSE(ArtifactsInput!$N$27+1,20,24,28,32,36,40),0)/100)),0)</f>
        <v/>
      </c>
      <c r="R1211">
        <f>IF(AND(Inputs!$B$38&lt;&gt;"pvp",Inputs!$B$43&gt;0),IF(Inputs!$B$43&lt;=0,0,(INT(Inputs!$B$43/(IF(Inputs!$B$38="pvp",15,MAX(0.1,Skills!D15-IF(TRUE=TRUE,Inputs!$B$32,0)))*(1-IF(AND(ArtifactsInput!$M$27,Inputs!$B$4="Chapter Hunt"),CHOOSE(ArtifactsInput!$N$27+1,20,24,28,32,36,40),0)/100)))+1)),0)</f>
        <v/>
      </c>
      <c r="S1211">
        <f>IFERROR(O1211/N1211,0)</f>
        <v/>
      </c>
      <c r="T1211" t="n">
        <v>0</v>
      </c>
      <c r="V1211" t="n">
        <v>0</v>
      </c>
    </row>
    <row r="1212">
      <c r="A1212">
        <f>Skills!A16</f>
        <v/>
      </c>
      <c r="B1212">
        <f>Skills!B16</f>
        <v/>
      </c>
      <c r="C1212">
        <f>Inputs!$B$3&gt;=10</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IF(B1235=0,0,O1212/B1235)</f>
        <v/>
      </c>
      <c r="Q1212" t="n">
        <v>0</v>
      </c>
      <c r="R1212" t="n">
        <v>0</v>
      </c>
      <c r="S1212">
        <f>IFERROR(O1212/N1212,0)</f>
        <v/>
      </c>
      <c r="T1212" t="n">
        <v>0</v>
      </c>
      <c r="V1212" t="n">
        <v>0</v>
      </c>
    </row>
    <row r="1213">
      <c r="A1213">
        <f>Skills!A17</f>
        <v/>
      </c>
      <c r="B1213">
        <f>Skills!B17</f>
        <v/>
      </c>
      <c r="C1213">
        <f>Inputs!$B$3&gt;=15</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IF(B1235=0,0,O1213/B1235)</f>
        <v/>
      </c>
      <c r="Q1213" t="n">
        <v>0</v>
      </c>
      <c r="R1213" t="n">
        <v>0</v>
      </c>
      <c r="S1213">
        <f>IFERROR(O1213/N1213,0)</f>
        <v/>
      </c>
      <c r="T1213" t="n">
        <v>0</v>
      </c>
      <c r="V1213" t="n">
        <v>0</v>
      </c>
    </row>
    <row r="1214">
      <c r="A1214">
        <f>Skills!A18</f>
        <v/>
      </c>
      <c r="B1214">
        <f>Skills!B18</f>
        <v/>
      </c>
      <c r="C1214">
        <f>Inputs!$B$3&gt;=33</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IF(B1235=0,0,O1214/B1235)</f>
        <v/>
      </c>
      <c r="Q1214" t="n">
        <v>0</v>
      </c>
      <c r="R1214" t="n">
        <v>0</v>
      </c>
      <c r="S1214">
        <f>IFERROR(O1214/N1214,0)</f>
        <v/>
      </c>
      <c r="T1214" t="n">
        <v>0</v>
      </c>
      <c r="V1214" t="n">
        <v>0</v>
      </c>
    </row>
    <row r="1215">
      <c r="A1215">
        <f>Skills!A19</f>
        <v/>
      </c>
      <c r="B1215">
        <f>Skills!B19</f>
        <v/>
      </c>
      <c r="C1215">
        <f>Inputs!$B$3&gt;=40</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IF(B1235=0,0,O1215/B1235)</f>
        <v/>
      </c>
      <c r="Q1215" t="n">
        <v>0</v>
      </c>
      <c r="R1215" t="n">
        <v>0</v>
      </c>
      <c r="S1215">
        <f>IFERROR(O1215/N1215,0)</f>
        <v/>
      </c>
      <c r="T1215" t="n">
        <v>0</v>
      </c>
      <c r="V1215" t="n">
        <v>0</v>
      </c>
    </row>
    <row r="1216">
      <c r="A1216">
        <f>Skills!A20</f>
        <v/>
      </c>
      <c r="B1216">
        <f>Skills!B20</f>
        <v/>
      </c>
      <c r="C1216">
        <f>Inputs!$B$3&gt;=43</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IF(B1235=0,0,O1216/B1235)</f>
        <v/>
      </c>
      <c r="Q1216" t="n">
        <v>0</v>
      </c>
      <c r="R1216" t="n">
        <v>0</v>
      </c>
      <c r="S1216">
        <f>IFERROR(O1216/N1216,0)</f>
        <v/>
      </c>
      <c r="T1216" t="n">
        <v>0</v>
      </c>
      <c r="V1216" t="n">
        <v>0</v>
      </c>
    </row>
    <row r="1217">
      <c r="A1217">
        <f>Skills!A21</f>
        <v/>
      </c>
      <c r="B1217">
        <f>Skills!B21</f>
        <v/>
      </c>
      <c r="C1217">
        <f>Inputs!$B$3&gt;=38</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IF(B1235=0,0,O1217/B1235)</f>
        <v/>
      </c>
      <c r="Q1217" t="n">
        <v>0</v>
      </c>
      <c r="R1217" t="n">
        <v>0</v>
      </c>
      <c r="S1217">
        <f>IFERROR(O1217/N1217,0)</f>
        <v/>
      </c>
      <c r="T1217" t="n">
        <v>0</v>
      </c>
      <c r="V1217" t="n">
        <v>0</v>
      </c>
    </row>
    <row r="1218">
      <c r="A1218">
        <f>Skills!A22</f>
        <v/>
      </c>
      <c r="B1218">
        <f>Skills!B22</f>
        <v/>
      </c>
      <c r="C1218">
        <f>Inputs!$B$3&gt;=75</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IF(B1235=0,0,O1218/B1235)</f>
        <v/>
      </c>
      <c r="Q1218" t="n">
        <v>0</v>
      </c>
      <c r="R1218" t="n">
        <v>0</v>
      </c>
      <c r="S1218">
        <f>IFERROR(O1218/N1218,0)</f>
        <v/>
      </c>
      <c r="T1218" t="n">
        <v>0</v>
      </c>
      <c r="V1218" t="n">
        <v>0</v>
      </c>
    </row>
    <row r="1219">
      <c r="A1219">
        <f>Skills!A23</f>
        <v/>
      </c>
      <c r="B1219">
        <f>Skills!B23</f>
        <v/>
      </c>
      <c r="C1219">
        <f>TRUE</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IF(B1235=0,0,O1219/B1235)</f>
        <v/>
      </c>
      <c r="Q1219">
        <f>IFERROR(1/(IF(Inputs!$B$38="pvp",15,MAX(0.1,Skills!D23-IF(TRUE=TRUE,Inputs!$B$32,0)))*(1-IF(AND(ArtifactsInput!$M$27,Inputs!$B$4="Chapter Hunt"),CHOOSE(ArtifactsInput!$N$27+1,20,24,28,32,36,40),0)/100)),0)</f>
        <v/>
      </c>
      <c r="R1219">
        <f>IF(AND(Inputs!$B$38&lt;&gt;"pvp",Inputs!$B$43&gt;0),IF(Inputs!$B$43&lt;=0,0,(INT(Inputs!$B$43/(IF(Inputs!$B$38="pvp",15,MAX(0.1,Skills!D23-IF(TRUE=TRUE,Inputs!$B$32,0)))*(1-IF(AND(ArtifactsInput!$M$27,Inputs!$B$4="Chapter Hunt"),CHOOSE(ArtifactsInput!$N$27+1,20,24,28,32,36,40),0)/100)))+1)),0)</f>
        <v/>
      </c>
      <c r="S1219">
        <f>IFERROR(O1219/N1219,0)</f>
        <v/>
      </c>
      <c r="T1219" t="n">
        <v>0</v>
      </c>
      <c r="V1219" t="n">
        <v>0</v>
      </c>
    </row>
    <row r="1220">
      <c r="A1220">
        <f>Skills!A24</f>
        <v/>
      </c>
      <c r="B1220">
        <f>Skills!B24</f>
        <v/>
      </c>
      <c r="C1220">
        <f>Inputs!$B$3&gt;=107</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IF(B1235=0,0,O1220/B1235)</f>
        <v/>
      </c>
      <c r="Q1220">
        <f>IFERROR(1/(IF(Inputs!$B$38="pvp",15,MAX(0.1,Skills!D24-IF(TRUE=TRUE,Inputs!$B$32,0)))*(1-IF(AND(ArtifactsInput!$M$27,Inputs!$B$4="Chapter Hunt"),CHOOSE(ArtifactsInput!$N$27+1,20,24,28,32,36,40),0)/100)),0)</f>
        <v/>
      </c>
      <c r="R1220">
        <f>IF(AND(Inputs!$B$38&lt;&gt;"pvp",Inputs!$B$43&gt;0),IF(Inputs!$B$43&lt;=0,0,(INT(Inputs!$B$43/(IF(Inputs!$B$38="pvp",15,MAX(0.1,Skills!D24-IF(TRUE=TRUE,Inputs!$B$32,0)))*(1-IF(AND(ArtifactsInput!$M$27,Inputs!$B$4="Chapter Hunt"),CHOOSE(ArtifactsInput!$N$27+1,20,24,28,32,36,40),0)/100)))+1)),0)</f>
        <v/>
      </c>
      <c r="S1220">
        <f>IFERROR(O1220/N1220,0)</f>
        <v/>
      </c>
      <c r="T1220" t="n">
        <v>0</v>
      </c>
      <c r="V1220" t="n">
        <v>0</v>
      </c>
    </row>
    <row r="1221">
      <c r="A1221">
        <f>Skills!A25</f>
        <v/>
      </c>
      <c r="B1221">
        <f>Skills!B25</f>
        <v/>
      </c>
      <c r="C1221">
        <f>Inputs!$B$3&gt;=110</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t="inlineStr"/>
      <c r="H1221" t="inlineStr"/>
      <c r="I1221" t="inlineStr">
        <is>
          <t>1</t>
        </is>
      </c>
      <c r="J1221" t="inlineStr"/>
      <c r="K1221" t="inlineStr"/>
      <c r="L1221" t="inlineStr"/>
      <c r="M1221" t="inlineStr"/>
      <c r="N1221" t="inlineStr"/>
      <c r="O1221" t="inlineStr"/>
      <c r="P1221" t="inlineStr"/>
      <c r="Q1221" t="inlineStr"/>
      <c r="R1221" t="inlineStr"/>
      <c r="S1221" t="inlineStr"/>
      <c r="T1221" t="inlineStr"/>
      <c r="V1221" t="inlineStr"/>
    </row>
    <row r="1222">
      <c r="A1222">
        <f>Skills!A26</f>
        <v/>
      </c>
      <c r="B1222">
        <f>Skills!B26</f>
        <v/>
      </c>
      <c r="C1222">
        <f>Inputs!$B$3&gt;=117</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t="inlineStr"/>
      <c r="H1222" t="inlineStr"/>
      <c r="I1222" t="inlineStr">
        <is>
          <t>1</t>
        </is>
      </c>
      <c r="J1222" t="inlineStr"/>
      <c r="K1222" t="inlineStr"/>
      <c r="L1222" t="inlineStr"/>
      <c r="M1222" t="inlineStr"/>
      <c r="N1222" t="inlineStr"/>
      <c r="O1222" t="inlineStr"/>
      <c r="P1222" t="inlineStr"/>
      <c r="Q1222" t="inlineStr"/>
      <c r="R1222" t="inlineStr"/>
      <c r="S1222" t="inlineStr"/>
      <c r="T1222" t="inlineStr"/>
      <c r="V1222" t="inlineStr"/>
    </row>
    <row r="1224">
      <c r="A1224" t="inlineStr">
        <is>
          <t>Attack% Bucket Multiplier</t>
        </is>
      </c>
      <c r="B1224">
        <f>(1+(((C1209=TRUE)*F1209*5/7)+((C1215=TRUE)*(F1215-Calc!F19))+(IF(ArtifactsInput!$M$21,CHOOSE(ArtifactsInput!$N$21+1,25,30,35,40,45,50)*(IF(OR(Inputs!$B$4="Chapter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5">
      <c r="A1225" t="inlineStr">
        <is>
          <t>Global Crit Rate Bonus %</t>
        </is>
      </c>
      <c r="B1225" t="n">
        <v>0</v>
      </c>
    </row>
    <row r="1226">
      <c r="A1226" t="inlineStr">
        <is>
          <t>Attack Speed Buff Bonus % (Nimble Feet + Speed Infusion, duty-cycle averaged)</t>
        </is>
      </c>
      <c r="B1226">
        <f>((C1219=TRUE)*F1219*IF(AND(Inputs!$B$38&lt;&gt;"pvp",Inputs!$B$43&gt;0),(((R1219-1)*MIN((Skills!T23*(1+(Inputs!$B$34+1)/100)),(1/Q1219))+MIN((Skills!T23*(1+(Inputs!$B$34+1)/100)),MAX(0,Inputs!$B$43-((R1219-1)*(1/Q1219)))))/Inputs!$B$43),IF(Inputs!$B$38="pvp",MIN((Skills!T23*(1+(Inputs!$B$34+1)/100)),15)/15,MIN(1,(Skills!T23*(1+(Inputs!$B$34+1)/100))/(1/Q1219)))))+((C1220=TRUE)*F1220*IF(AND(Inputs!$B$38&lt;&gt;"pvp",Inputs!$B$43&gt;0),(((R1220-1)*MIN((Skills!T24*(1+(Inputs!$B$34+1)/100)),(1/Q1220))+MIN((Skills!T24*(1+(Inputs!$B$34+1)/100)),MAX(0,Inputs!$B$43-((R1220-1)*(1/Q1220)))))/Inputs!$B$43),IF(Inputs!$B$38="pvp",MIN((Skills!T24*(1+(Inputs!$B$34+1)/100)),15)/15,MIN(1,(Skills!T24*(1+(Inputs!$B$34+1)/100))/(1/Q1220)))))</f>
        <v/>
      </c>
    </row>
    <row r="1227">
      <c r="A1227" t="inlineStr">
        <is>
          <t>Actions Per Second</t>
        </is>
      </c>
      <c r="B1227">
        <f>1+MIN(150,150*(1-(1-(Inputs!$B$11+((C1213=TRUE)*(F1213-Calc!F17))+((C1214=TRUE)*(F1214-Calc!F18)))/150)*(1-B1226/150)))/100</f>
        <v/>
      </c>
    </row>
    <row r="1228">
      <c r="A1228" t="inlineStr">
        <is>
          <t>Skill + Buff Cast Rate</t>
        </is>
      </c>
      <c r="B1228">
        <f>IF(AND(Inputs!$B$38&lt;&gt;"pvp",Inputs!$B$43&gt;0),SUMPRODUCT((Skills!E2:E26=TRUE)*(C1198:C1222=TRUE)*R1198:R1222*Skills!F2:F26)/Inputs!$B$43,SUMPRODUCT((Skills!E2:E26=TRUE)*(C1198:C1222=TRUE)*Q1198:Q1222*Skills!F2:F26))</f>
        <v/>
      </c>
    </row>
    <row r="1229">
      <c r="A1229" t="inlineStr">
        <is>
          <t>Hook Bomber Casts Per Second</t>
        </is>
      </c>
      <c r="B1229">
        <f>MAX(0,B1227-B1228)</f>
        <v/>
      </c>
    </row>
    <row r="1230">
      <c r="A1230" t="inlineStr">
        <is>
          <t>Global Critical Damage Bonus % (unused)</t>
        </is>
      </c>
      <c r="B1230" t="n">
        <v>0</v>
      </c>
    </row>
    <row r="1231">
      <c r="A1231" t="inlineStr">
        <is>
          <t>Global Final Damage Bonus % (Serpent Scale + Crossbones + Time Leap + Speed Infusion)</t>
        </is>
      </c>
      <c r="B1231">
        <f>((C1201=TRUE)*(F1201*B1237+4*(1-B1237)))+((C1210=TRUE)*F1210*IF(AND(Inputs!$B$38&lt;&gt;"pvp",Inputs!$B$43&gt;0),(((R1210-1)*MIN((Skills!T14*(1+(Inputs!$B$34+1)/100)),(1/Q1210))+MIN((Skills!T14*(1+(Inputs!$B$34+1)/100)),MAX(0,Inputs!$B$43-((R1210-1)*(1/Q1210)))))/Inputs!$B$43),IF(Inputs!$B$38="pvp",MIN((Skills!T14*(1+(Inputs!$B$34+1)/100)),15)/15,MIN(1,(Skills!T14*(1+(Inputs!$B$34+1)/100))/(1/Q1210)))))+((C1211=TRUE)*F1211*IF(AND(Inputs!$B$38&lt;&gt;"pvp",Inputs!$B$43&gt;0),(((R1211-1)*MIN((Skills!T15*(1+(Inputs!$B$34+1)/100)),(1/Q1211))+MIN((Skills!T15*(1+(Inputs!$B$34+1)/100)),MAX(0,Inputs!$B$43-((R1211-1)*(1/Q1211)))))/Inputs!$B$43),IF(Inputs!$B$38="pvp",MIN((Skills!T15*(1+(Inputs!$B$34+1)/100)),15)/15,MIN(1,(Skills!T15*(1+(Inputs!$B$34+1)/100))/(1/Q1211)))))+((C1220=TRUE)*20*((1+MIN(150,150*(1-(1-(Inputs!$B$11+((C1213=TRUE)*(F1213-Calc!F17))+((C1214=TRUE)*(F1214-Calc!F18)))/150)*(1-(((C1219=TRUE)*F1219*IF(AND(Inputs!$B$38&lt;&gt;"pvp",Inputs!$B$43&gt;0),(((R1219-1)*MIN((Skills!T23*(1+(Inputs!$B$34+1)/100)),(1/Q1219))+MIN((Skills!T23*(1+(Inputs!$B$34+1)/100)),MAX(0,Inputs!$B$43-((R1219-1)*(1/Q1219)))))/Inputs!$B$43),IF(Inputs!$B$38="pvp",MIN((Skills!T23*(1+(Inputs!$B$34+1)/100)),15)/15,MIN(1,(Skills!T23*(1+(Inputs!$B$34+1)/100))/(1/Q1219)))))+F1220)/150)))/100)-1)*IF(AND(Inputs!$B$38&lt;&gt;"pvp",Inputs!$B$43&gt;0),(((R1220-1)*MIN((Skills!T24*(1+(Inputs!$B$34+1)/100)),(1/Q1220))+MIN((Skills!T24*(1+(Inputs!$B$34+1)/100)),MAX(0,Inputs!$B$43-((R1220-1)*(1/Q1220)))))/Inputs!$B$43),IF(Inputs!$B$38="pvp",MIN((Skills!T24*(1+(Inputs!$B$34+1)/100)),15)/15,MIN(1,(Skills!T24*(1+(Inputs!$B$34+1)/100))/(1/Q1220)))))</f>
        <v/>
      </c>
    </row>
    <row r="1232">
      <c r="A1232" t="inlineStr">
        <is>
          <t>Buff-Casting Startup Delay (s, fixed-duration only)</t>
        </is>
      </c>
      <c r="B1232">
        <f>IF(AND(Inputs!$B$38&lt;&gt;"pvp",Inputs!$B$43&gt;0),SUMPRODUCT((Skills!T2:T26&gt;0)*(Skills!E2:E26=TRUE)*(C1198:C1222=TRUE))/B1227,0)</f>
        <v/>
      </c>
    </row>
    <row r="1233">
      <c r="A1233" t="inlineStr">
        <is>
          <t>Boss-Only Total DPS (this block's swept value)</t>
        </is>
      </c>
      <c r="B1233">
        <f>SUM(T1198:T1222)</f>
        <v/>
      </c>
    </row>
    <row r="1234">
      <c r="A1234" t="inlineStr">
        <is>
          <t>Normal-Only Total DPS (this block's swept value)</t>
        </is>
      </c>
      <c r="B1234">
        <f>SUM(V1198:V1222)</f>
        <v/>
      </c>
    </row>
    <row r="1235">
      <c r="A1235" s="6" t="inlineStr">
        <is>
          <t>TOTAL DPS</t>
        </is>
      </c>
      <c r="B1235" s="6">
        <f>SUM(O1198:O1222)</f>
        <v/>
      </c>
    </row>
    <row r="1236">
      <c r="A1236" t="inlineStr">
        <is>
          <t>Serpent activation interval T (this block's own Hook Bomber rate)</t>
        </is>
      </c>
      <c r="B1236">
        <f>((1/Q1199)+IFERROR(0.5/B1229,0))</f>
        <v/>
      </c>
    </row>
    <row r="1237">
      <c r="A1237" t="inlineStr">
        <is>
          <t>Assault Mode uptime u (this block)</t>
        </is>
      </c>
      <c r="B1237">
        <f>IF(C1201=TRUE,(10+IF(Inputs!$B$3&gt;=94,5,0))/((10+IF(Inputs!$B$3&gt;=94,5,0))+IF(Inputs!$B$3&gt;=104,3,5)*B1236),0)</f>
        <v/>
      </c>
    </row>
    <row r="1238">
      <c r="A1238" t="inlineStr">
        <is>
          <t>Nautilus Strike - Final Attack trigger rate (this block's own Q/R)</t>
        </is>
      </c>
      <c r="B1238">
        <f>IF(AND(Inputs!$B$38&lt;&gt;"pvp",Inputs!$B$43&gt;0),(((C1202=TRUE)*R1202)+((C1203=TRUE)*R1203)+((C1206=TRUE)*R1206))/Inputs!$B$43,((C1202=TRUE)*Q1202)+((C1203=TRUE)*Q1203)+((C1206=TRUE)*Q1206))+B1229</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IF(B1280=0,0,O1243/B1280)</f>
        <v/>
      </c>
      <c r="Q1243" t="n">
        <v>0</v>
      </c>
      <c r="R1243" t="n">
        <v>0</v>
      </c>
      <c r="S1243">
        <f>IFERROR(O1243/N1243,0)</f>
        <v/>
      </c>
      <c r="T1243">
        <f>IF(C1243,(Skills!G2*N1243*B1274)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IF(C1243,(Skills!G2*N1243*B1274)*IF(Inputs!$B$38="pvp",1,(1+(Inputs!$B$21+Skills!Q2+(IF(ArtifactsInput!$M$33,CHOOSE(ArtifactsInput!$N$33+1,30,36,42,48,54,60),0))+(IF(AND(ArtifactsInput!$M$35,Inputs!$B$4&lt;&gt;"Chapter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1266=TRUE,F1266,0)/100)*(1+(IF(Skills!A3="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4">
        <f>L1244*(1-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1244*(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4">
        <f>(1-Summary!$B$11)*T1244+Summary!$B$11*V1244</f>
        <v/>
      </c>
      <c r="P1244">
        <f>IF(B1280=0,0,O1244/B1280)</f>
        <v/>
      </c>
      <c r="Q1244">
        <f>IFERROR(1/(IF(Inputs!$B$38="pvp",15,MAX(0.1,Skills!D3-IF(TRUE=TRUE,Inputs!$B$32,0)))*(1-IF(AND(ArtifactsInput!$M$27,Inputs!$B$4="Chapter Hunt"),CHOOSE(ArtifactsInput!$N$27+1,20,24,28,32,36,40),0)/100)),0)</f>
        <v/>
      </c>
      <c r="R1244">
        <f>IF(AND(Inputs!$B$38&lt;&gt;"pvp",Inputs!$B$43&gt;0),IF(MAX(0,Inputs!$B$43-B1277)&lt;=0,0,(INT(MAX(0,Inputs!$B$43-B1277)/(IF(Inputs!$B$38="pvp",15,MAX(0.1,Skills!D3-IF(TRUE=TRUE,Inputs!$B$32,0)))*(1-IF(AND(ArtifactsInput!$M$27,Inputs!$B$4="Chapter Hunt"),CHOOSE(ArtifactsInput!$N$27+1,20,24,28,32,36,40),0)/100)))+1)),0)</f>
        <v/>
      </c>
      <c r="S1244">
        <f>IFERROR(O1244/N1244,0)</f>
        <v/>
      </c>
      <c r="T1244">
        <f>IF(C1244,(Skills!G3*N1244*IF(C1245=TRUE,1-B1282,1)/B1281)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1244*(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1244*(1-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1244*(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IF(C1244,(Skills!G3*N1244*IF(C1245=TRUE,1-B1282,1)/B1281)*IF(Inputs!$B$38="pvp",1,(1+(Inputs!$B$21+Skills!Q3+(IF(ArtifactsInput!$M$33,CHOOSE(ArtifactsInput!$N$33+1,30,36,42,48,54,60),0))+(IF(AND(ArtifactsInput!$M$35,Inputs!$B$4&lt;&gt;"Chapter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Inputs!$B$3&gt;=69</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(1-Summary!$B$11)*T1245+Summary!$B$11*V1245</f>
        <v/>
      </c>
      <c r="P1245">
        <f>IF(B1280=0,0,O1245/B1280)</f>
        <v/>
      </c>
      <c r="Q1245" t="n">
        <v>0</v>
      </c>
      <c r="R1245" t="n">
        <v>0</v>
      </c>
      <c r="S1245">
        <f>IFERROR(O1245/N1245,0)</f>
        <v/>
      </c>
      <c r="T1245">
        <f>IF(C1245,(Skills!G4*N1245*B1282/B1281)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IF(C1245,(Skills!G4*N1245*B1282/B1281)*IF(Inputs!$B$38="pvp",1,(1+(Inputs!$B$21+Skills!Q4+(IF(ArtifactsInput!$M$33,CHOOSE(ArtifactsInput!$N$33+1,30,36,42,48,54,60),0))+(IF(AND(ArtifactsInput!$M$35,Inputs!$B$4&lt;&gt;"Chapter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Inputs!$B$3&gt;=66</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IF(B1280=0,0,O1246/B1280)</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IF(B1280=0,0,O1247/B1280)</f>
        <v/>
      </c>
      <c r="Q1247">
        <f>IFERROR(1/(IF(Inputs!$B$38="pvp",15,MAX(0.1,Skills!D6-IF(TRUE=TRUE,Inputs!$B$32,0)))*(1-IF(AND(ArtifactsInput!$M$27,Inputs!$B$4="Chapter Hunt"),CHOOSE(ArtifactsInput!$N$27+1,20,24,28,32,36,40),0)/100)),0)</f>
        <v/>
      </c>
      <c r="R1247">
        <f>IF(AND(Inputs!$B$38&lt;&gt;"pvp",Inputs!$B$43&gt;0),IF(MAX(0,Inputs!$B$43-B1277)&lt;=0,0,(INT(MAX(0,Inputs!$B$43-B1277)/(IF(Inputs!$B$38="pvp",15,MAX(0.1,Skills!D6-IF(TRUE=TRUE,Inputs!$B$32,0)))*(1-IF(AND(ArtifactsInput!$M$27,Inputs!$B$4="Chapter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1277)-((R1247-1)*(IF(Inputs!$B$38="pvp",15,MAX(0.1,Skills!D6-IF(TRUE=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1277)-((R1247-1)*(IF(Inputs!$B$38="pvp",15,MAX(0.1,Skills!D6-IF(TRUE=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Inputs!$B$3&gt;=103</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IF(B1280=0,0,O1248/B1280)</f>
        <v/>
      </c>
      <c r="Q1248">
        <f>IFERROR(1/(IF(Inputs!$B$38="pvp",15,MAX(0.1,Skills!D7-IF(TRUE=TRUE,Inputs!$B$32,0)))*(1-IF(AND(ArtifactsInput!$M$27,Inputs!$B$4="Chapter Hunt"),CHOOSE(ArtifactsInput!$N$27+1,20,24,28,32,36,40),0)/100)),0)</f>
        <v/>
      </c>
      <c r="R1248">
        <f>IF(AND(Inputs!$B$38&lt;&gt;"pvp",Inputs!$B$43&gt;0),IF(MAX(0,Inputs!$B$43-B1277)&lt;=0,0,(INT(MAX(0,Inputs!$B$43-B1277)/(IF(Inputs!$B$38="pvp",15,MAX(0.1,Skills!D7-IF(TRUE=TRUE,Inputs!$B$32,0)))*(1-IF(AND(ArtifactsInput!$M$27,Inputs!$B$4="Chapter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1277)-((R1248-1)*(IF(Inputs!$B$38="pvp",15,MAX(0.1,Skills!D7-IF(TRUE=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1277)-((R1248-1)*(IF(Inputs!$B$38="pvp",15,MAX(0.1,Skills!D7-IF(TRUE=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Inputs!$B$3&gt;=117</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IF(B1280=0,0,O1249/B1280)</f>
        <v/>
      </c>
      <c r="Q1249">
        <f>IFERROR(1/(IF(Inputs!$B$38="pvp",15,MAX(0.1,Skills!D8-IF(TRUE=TRUE,Inputs!$B$32,0)))*(1-IF(AND(ArtifactsInput!$M$27,Inputs!$B$4="Chapter Hunt"),CHOOSE(ArtifactsInput!$N$27+1,20,24,28,32,36,40),0)/100)),0)</f>
        <v/>
      </c>
      <c r="R1249">
        <f>IF(AND(Inputs!$B$38&lt;&gt;"pvp",Inputs!$B$43&gt;0),IF(MAX(0,Inputs!$B$43-B1277)&lt;=0,0,(INT(MAX(0,Inputs!$B$43-B1277)/(IF(Inputs!$B$38="pvp",15,MAX(0.1,Skills!D8-IF(TRUE=TRUE,Inputs!$B$32,0)))*(1-IF(AND(ArtifactsInput!$M$27,Inputs!$B$4="Chapter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1277)-((R1249-1)*(IF(Inputs!$B$38="pvp",15,MAX(0.1,Skills!D8-IF(TRUE=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1277)-((R1249-1)*(IF(Inputs!$B$38="pvp",15,MAX(0.1,Skills!D8-IF(TRUE=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Inputs!$B$3&gt;=120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B1282</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IF(B1280=0,0,O1250/B1280)</f>
        <v/>
      </c>
      <c r="Q1250">
        <f>IFERROR(1/(IF(Inputs!$B$38="pvp",15,MAX(0.1,Skills!D9-IF(TRUE=TRUE,Inputs!$B$32,0)))*(1-IF(AND(ArtifactsInput!$M$27,Inputs!$B$4="Chapter Hunt"),CHOOSE(ArtifactsInput!$N$27+1,20,24,28,32,36,40),0)/100)),0)</f>
        <v/>
      </c>
      <c r="R1250">
        <f>IF(AND(Inputs!$B$38&lt;&gt;"pvp",Inputs!$B$43&gt;0),IF(MAX(0,Inputs!$B$43-B1277)&lt;=0,0,(INT(MAX(0,Inputs!$B$43-B1277)/(IF(Inputs!$B$38="pvp",15,MAX(0.1,Skills!D9-IF(TRUE=TRUE,Inputs!$B$32,0)))*(1-IF(AND(ArtifactsInput!$M$27,Inputs!$B$4="Chapter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1277)-((R1250-1)*(IF(Inputs!$B$38="pvp",15,MAX(0.1,Skills!D9-IF(TRUE=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1277)-((R1250-1)*(IF(Inputs!$B$38="pvp",15,MAX(0.1,Skills!D9-IF(TRUE=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Inputs!$B$3&gt;=105</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IF(B1280=0,0,O1251/B1280)</f>
        <v/>
      </c>
      <c r="Q1251">
        <f>IFERROR(1/(IF(Inputs!$B$38="pvp",15,MAX(0.1,Skills!D10-IF(TRUE=TRUE,Inputs!$B$32,0)))*(1-IF(AND(ArtifactsInput!$M$27,Inputs!$B$4="Chapter Hunt"),CHOOSE(ArtifactsInput!$N$27+1,20,24,28,32,36,40),0)/100)),0)</f>
        <v/>
      </c>
      <c r="R1251">
        <f>IF(AND(Inputs!$B$38&lt;&gt;"pvp",Inputs!$B$43&gt;0),IF(MAX(0,Inputs!$B$43-B1277)&lt;=0,0,(INT(MAX(0,Inputs!$B$43-B1277)/(IF(Inputs!$B$38="pvp",15,MAX(0.1,Skills!D10-IF(TRUE=TRUE,Inputs!$B$32,0)))*(1-IF(AND(ArtifactsInput!$M$27,Inputs!$B$4="Chapter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1277)-((R1251-1)*(IF(Inputs!$B$38="pvp",15,MAX(0.1,Skills!D10-IF(TRUE=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1277)-((R1251-1)*(IF(Inputs!$B$38="pvp",15,MAX(0.1,Skills!D10-IF(TRUE=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IF(B1280=0,0,O1252/B1280)</f>
        <v/>
      </c>
      <c r="Q1252" t="n">
        <v>0</v>
      </c>
      <c r="R1252" t="n">
        <v>0</v>
      </c>
      <c r="S1252">
        <f>IFERROR(O1252/N1252,0)</f>
        <v/>
      </c>
      <c r="T1252">
        <f>IF(C1252,((H1252*B1283)/(1+Skills!H11*H1252*B1283)*N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IF(C1252,((H1252*B1283)/(1+Skills!H11*H1252*B1283)*N1252)*IF(Inputs!$B$38="pvp",1,(1+(Inputs!$B$21+Skills!Q11+(IF(ArtifactsInput!$M$33,CHOOSE(ArtifactsInput!$N$33+1,30,36,42,48,54,60),0))+(IF(AND(ArtifactsInput!$M$35,Inputs!$B$4&lt;&gt;"Chapter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IF(B1280=0,0,O1254/B1280)</f>
        <v/>
      </c>
      <c r="Q1254" t="n">
        <v>0</v>
      </c>
      <c r="R1254" t="n">
        <v>0</v>
      </c>
      <c r="S1254">
        <f>IFERROR(O1254/N1254,0)</f>
        <v/>
      </c>
      <c r="T1254" t="n">
        <v>0</v>
      </c>
      <c r="V1254" t="n">
        <v>0</v>
      </c>
    </row>
    <row r="1255">
      <c r="A1255">
        <f>Skills!A14</f>
        <v/>
      </c>
      <c r="B1255">
        <f>Skills!B14</f>
        <v/>
      </c>
      <c r="C1255">
        <f>Inputs!$B$3&gt;=115</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IF(B1280=0,0,O1255/B1280)</f>
        <v/>
      </c>
      <c r="Q1255">
        <f>IFERROR(1/(IF(Inputs!$B$38="pvp",15,MAX(0.1,Skills!D14-IF(TRUE=TRUE,Inputs!$B$32,0)))*(1-IF(AND(ArtifactsInput!$M$27,Inputs!$B$4="Chapter Hunt"),CHOOSE(ArtifactsInput!$N$27+1,20,24,28,32,36,40),0)/100)),0)</f>
        <v/>
      </c>
      <c r="R1255">
        <f>IF(AND(Inputs!$B$38&lt;&gt;"pvp",Inputs!$B$43&gt;0),IF(Inputs!$B$43&lt;=0,0,(INT(Inputs!$B$43/(IF(Inputs!$B$38="pvp",15,MAX(0.1,Skills!D14-IF(TRUE=TRUE,Inputs!$B$32,0)))*(1-IF(AND(ArtifactsInput!$M$27,Inputs!$B$4="Chapter Hunt"),CHOOSE(ArtifactsInput!$N$27+1,20,24,28,32,36,40),0)/100)))+1)),0)</f>
        <v/>
      </c>
      <c r="S1255">
        <f>IFERROR(O1255/N1255,0)</f>
        <v/>
      </c>
      <c r="T1255" t="n">
        <v>0</v>
      </c>
      <c r="V1255" t="n">
        <v>0</v>
      </c>
    </row>
    <row r="1256">
      <c r="A1256">
        <f>Skills!A15</f>
        <v/>
      </c>
      <c r="B1256">
        <f>Skills!B15</f>
        <v/>
      </c>
      <c r="C1256">
        <f>Inputs!$B$3&gt;=125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IF(B1280=0,0,O1256/B1280)</f>
        <v/>
      </c>
      <c r="Q1256">
        <f>IFERROR(1/(IF(Inputs!$B$38="pvp",15,MAX(0.1,Skills!D15-IF(TRUE=TRUE,Inputs!$B$32,0)))*(1-IF(AND(ArtifactsInput!$M$27,Inputs!$B$4="Chapter Hunt"),CHOOSE(ArtifactsInput!$N$27+1,20,24,28,32,36,40),0)/100)),0)</f>
        <v/>
      </c>
      <c r="R1256">
        <f>IF(AND(Inputs!$B$38&lt;&gt;"pvp",Inputs!$B$43&gt;0),IF(Inputs!$B$43&lt;=0,0,(INT(Inputs!$B$43/(IF(Inputs!$B$38="pvp",15,MAX(0.1,Skills!D15-IF(TRUE=TRUE,Inputs!$B$32,0)))*(1-IF(AND(ArtifactsInput!$M$27,Inputs!$B$4="Chapter Hunt"),CHOOSE(ArtifactsInput!$N$27+1,20,24,28,32,36,40),0)/100)))+1)),0)</f>
        <v/>
      </c>
      <c r="S1256">
        <f>IFERROR(O1256/N1256,0)</f>
        <v/>
      </c>
      <c r="T1256" t="n">
        <v>0</v>
      </c>
      <c r="V1256" t="n">
        <v>0</v>
      </c>
    </row>
    <row r="1257">
      <c r="A1257">
        <f>Skills!A16</f>
        <v/>
      </c>
      <c r="B1257">
        <f>Skills!B16</f>
        <v/>
      </c>
      <c r="C1257">
        <f>Inputs!$B$3&gt;=10</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IF(B1280=0,0,O1257/B1280)</f>
        <v/>
      </c>
      <c r="Q1257" t="n">
        <v>0</v>
      </c>
      <c r="R1257" t="n">
        <v>0</v>
      </c>
      <c r="S1257">
        <f>IFERROR(O1257/N1257,0)</f>
        <v/>
      </c>
      <c r="T1257" t="n">
        <v>0</v>
      </c>
      <c r="V1257" t="n">
        <v>0</v>
      </c>
    </row>
    <row r="1258">
      <c r="A1258">
        <f>Skills!A17</f>
        <v/>
      </c>
      <c r="B1258">
        <f>Skills!B17</f>
        <v/>
      </c>
      <c r="C1258">
        <f>Inputs!$B$3&gt;=15</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IF(B1280=0,0,O1258/B1280)</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IF(B1280=0,0,O1259/B1280)</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IF(B1280=0,0,O1260/B1280)</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IF(B1280=0,0,O1261/B1280)</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IF(B1280=0,0,O1262/B1280)</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IF(B1280=0,0,O1263/B1280)</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IF(B1280=0,0,O1264/B1280)</f>
        <v/>
      </c>
      <c r="Q1264">
        <f>IFERROR(1/(IF(Inputs!$B$38="pvp",15,MAX(0.1,Skills!D23-IF(TRUE=TRUE,Inputs!$B$32,0)))*(1-IF(AND(ArtifactsInput!$M$27,Inputs!$B$4="Chapter Hunt"),CHOOSE(ArtifactsInput!$N$27+1,20,24,28,32,36,40),0)/100)),0)</f>
        <v/>
      </c>
      <c r="R1264">
        <f>IF(AND(Inputs!$B$38&lt;&gt;"pvp",Inputs!$B$43&gt;0),IF(Inputs!$B$43&lt;=0,0,(INT(Inputs!$B$43/(IF(Inputs!$B$38="pvp",15,MAX(0.1,Skills!D23-IF(TRUE=TRUE,Inputs!$B$32,0)))*(1-IF(AND(ArtifactsInput!$M$27,Inputs!$B$4="Chapter Hunt"),CHOOSE(ArtifactsInput!$N$27+1,20,24,28,32,36,40),0)/100)))+1)),0)</f>
        <v/>
      </c>
      <c r="S1264">
        <f>IFERROR(O1264/N1264,0)</f>
        <v/>
      </c>
      <c r="T1264" t="n">
        <v>0</v>
      </c>
      <c r="V1264" t="n">
        <v>0</v>
      </c>
    </row>
    <row r="1265">
      <c r="A1265">
        <f>Skills!A24</f>
        <v/>
      </c>
      <c r="B1265">
        <f>Skills!B24</f>
        <v/>
      </c>
      <c r="C1265">
        <f>Inputs!$B$3&gt;=107</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IF(B1280=0,0,O1265/B1280)</f>
        <v/>
      </c>
      <c r="Q1265">
        <f>IFERROR(1/(IF(Inputs!$B$38="pvp",15,MAX(0.1,Skills!D24-IF(TRUE=TRUE,Inputs!$B$32,0)))*(1-IF(AND(ArtifactsInput!$M$27,Inputs!$B$4="Chapter Hunt"),CHOOSE(ArtifactsInput!$N$27+1,20,24,28,32,36,40),0)/100)),0)</f>
        <v/>
      </c>
      <c r="R1265">
        <f>IF(AND(Inputs!$B$38&lt;&gt;"pvp",Inputs!$B$43&gt;0),IF(Inputs!$B$43&lt;=0,0,(INT(Inputs!$B$43/(IF(Inputs!$B$38="pvp",15,MAX(0.1,Skills!D24-IF(TRUE=TRUE,Inputs!$B$32,0)))*(1-IF(AND(ArtifactsInput!$M$27,Inputs!$B$4="Chapter Hunt"),CHOOSE(ArtifactsInput!$N$27+1,20,24,28,32,36,40),0)/100)))+1)),0)</f>
        <v/>
      </c>
      <c r="S1265">
        <f>IFERROR(O1265/N1265,0)</f>
        <v/>
      </c>
      <c r="T1265" t="n">
        <v>0</v>
      </c>
      <c r="V1265" t="n">
        <v>0</v>
      </c>
    </row>
    <row r="1266">
      <c r="A1266">
        <f>Skills!A25</f>
        <v/>
      </c>
      <c r="B1266">
        <f>Skills!B25</f>
        <v/>
      </c>
      <c r="C1266">
        <f>Inputs!$B$3&gt;=110</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t="inlineStr"/>
      <c r="H1266" t="inlineStr"/>
      <c r="I1266" t="inlineStr">
        <is>
          <t>1</t>
        </is>
      </c>
      <c r="J1266" t="inlineStr"/>
      <c r="K1266" t="inlineStr"/>
      <c r="L1266" t="inlineStr"/>
      <c r="M1266" t="inlineStr"/>
      <c r="N1266" t="inlineStr"/>
      <c r="O1266" t="inlineStr"/>
      <c r="P1266" t="inlineStr"/>
      <c r="Q1266" t="inlineStr"/>
      <c r="R1266" t="inlineStr"/>
      <c r="S1266" t="inlineStr"/>
      <c r="T1266" t="inlineStr"/>
      <c r="V1266" t="inlineStr"/>
    </row>
    <row r="1267">
      <c r="A1267">
        <f>Skills!A26</f>
        <v/>
      </c>
      <c r="B1267">
        <f>Skills!B26</f>
        <v/>
      </c>
      <c r="C1267">
        <f>Inputs!$B$3&gt;=117</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t="inlineStr"/>
      <c r="H1267" t="inlineStr"/>
      <c r="I1267" t="inlineStr">
        <is>
          <t>1</t>
        </is>
      </c>
      <c r="J1267" t="inlineStr"/>
      <c r="K1267" t="inlineStr"/>
      <c r="L1267" t="inlineStr"/>
      <c r="M1267" t="inlineStr"/>
      <c r="N1267" t="inlineStr"/>
      <c r="O1267" t="inlineStr"/>
      <c r="P1267" t="inlineStr"/>
      <c r="Q1267" t="inlineStr"/>
      <c r="R1267" t="inlineStr"/>
      <c r="S1267" t="inlineStr"/>
      <c r="T1267" t="inlineStr"/>
      <c r="V1267" t="inlineStr"/>
    </row>
    <row r="1269">
      <c r="A1269" t="inlineStr">
        <is>
          <t>Attack% Bucket Multiplier</t>
        </is>
      </c>
      <c r="B1269">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0">
      <c r="A1270" t="inlineStr">
        <is>
          <t>Global Crit Rate Bonus %</t>
        </is>
      </c>
      <c r="B1270" t="n">
        <v>0</v>
      </c>
    </row>
    <row r="1271">
      <c r="A1271" t="inlineStr">
        <is>
          <t>Attack Speed Buff Bonus % (Nimble Feet + Speed Infusion, duty-cycle averaged)</t>
        </is>
      </c>
      <c r="B1271">
        <f>((C1264=TRUE)*F1264*IF(AND(Inputs!$B$38&lt;&gt;"pvp",Inputs!$B$43&gt;0),(((R1264-1)*MIN((Skills!T23*(1+Inputs!$B$34/100)),(1/Q1264))+MIN((Skills!T23*(1+Inputs!$B$34/100)),MAX(0,Inputs!$B$43-((R1264-1)*(1/Q1264)))))/Inputs!$B$43),IF(Inputs!$B$38="pvp",MIN((Skills!T23*(1+Inputs!$B$34/100)),15)/15,MIN(1,(Skills!T23*(1+Inputs!$B$34/100))/(1/Q1264)))))+((C1265=TRUE)*F1265*IF(AND(Inputs!$B$38&lt;&gt;"pvp",Inputs!$B$43&gt;0),(((R1265-1)*MIN((Skills!T24*(1+Inputs!$B$34/100)),(1/Q1265))+MIN((Skills!T24*(1+Inputs!$B$34/100)),MAX(0,Inputs!$B$43-((R1265-1)*(1/Q1265)))))/Inputs!$B$43),IF(Inputs!$B$38="pvp",MIN((Skills!T24*(1+Inputs!$B$34/100)),15)/15,MIN(1,(Skills!T24*(1+Inputs!$B$34/100))/(1/Q1265)))))</f>
        <v/>
      </c>
    </row>
    <row r="1272">
      <c r="A1272" t="inlineStr">
        <is>
          <t>Actions Per Second</t>
        </is>
      </c>
      <c r="B1272">
        <f>1+MIN(150,150*(1-(1-(Inputs!$B$11+((C1258=TRUE)*(F1258-Calc!F17))+((C1259=TRUE)*(F1259-Calc!F18)))/150)*(1-B1271/150)))/100</f>
        <v/>
      </c>
    </row>
    <row r="1273">
      <c r="A1273" t="inlineStr">
        <is>
          <t>Skill + Buff Cast Rate</t>
        </is>
      </c>
      <c r="B1273">
        <f>IF(AND(Inputs!$B$38&lt;&gt;"pvp",Inputs!$B$43&gt;0),SUMPRODUCT((Skills!E2:E26=TRUE)*(C1243:C1267=TRUE)*R1243:R1267*Skills!F2:F26)/Inputs!$B$43,SUMPRODUCT((Skills!E2:E26=TRUE)*(C1243:C1267=TRUE)*Q1243:Q1267*Skills!F2:F26))</f>
        <v/>
      </c>
    </row>
    <row r="1274">
      <c r="A1274" t="inlineStr">
        <is>
          <t>Hook Bomber Casts Per Second</t>
        </is>
      </c>
      <c r="B1274">
        <f>MAX(0,B1272-B1273)</f>
        <v/>
      </c>
    </row>
    <row r="1275">
      <c r="A1275" t="inlineStr">
        <is>
          <t>Global Critical Damage Bonus % (unused)</t>
        </is>
      </c>
      <c r="B1275" t="n">
        <v>0</v>
      </c>
    </row>
    <row r="1276">
      <c r="A1276" t="inlineStr">
        <is>
          <t>Global Final Damage Bonus % (Serpent Scale + Crossbones + Time Leap + Speed Infusion)</t>
        </is>
      </c>
      <c r="B1276">
        <f>((C1246=TRUE)*(F1246*B1282+4*(1-B1282)))+((C1255=TRUE)*F1255*IF(AND(Inputs!$B$38&lt;&gt;"pvp",Inputs!$B$43&gt;0),(((R1255-1)*MIN((Skills!T14*(1+Inputs!$B$34/100)),(1/Q1255))+MIN((Skills!T14*(1+Inputs!$B$34/100)),MAX(0,Inputs!$B$43-((R1255-1)*(1/Q1255)))))/Inputs!$B$43),IF(Inputs!$B$38="pvp",MIN((Skills!T14*(1+Inputs!$B$34/100)),15)/15,MIN(1,(Skills!T14*(1+Inputs!$B$34/100))/(1/Q1255)))))+((C1256=TRUE)*F1256*IF(AND(Inputs!$B$38&lt;&gt;"pvp",Inputs!$B$43&gt;0),(((R1256-1)*MIN((Skills!T15*(1+Inputs!$B$34/100)),(1/Q1256))+MIN((Skills!T15*(1+Inputs!$B$34/100)),MAX(0,Inputs!$B$43-((R1256-1)*(1/Q1256)))))/Inputs!$B$43),IF(Inputs!$B$38="pvp",MIN((Skills!T15*(1+Inputs!$B$34/100)),15)/15,MIN(1,(Skills!T15*(1+Inputs!$B$34/100))/(1/Q1256)))))+((C1265=TRUE)*20*((1+MIN(150,150*(1-(1-(Inputs!$B$11+((C1258=TRUE)*(F1258-Calc!F17))+((C1259=TRUE)*(F1259-Calc!F18)))/150)*(1-(((C1264=TRUE)*F1264*IF(AND(Inputs!$B$38&lt;&gt;"pvp",Inputs!$B$43&gt;0),(((R1264-1)*MIN((Skills!T23*(1+Inputs!$B$34/100)),(1/Q1264))+MIN((Skills!T23*(1+Inputs!$B$34/100)),MAX(0,Inputs!$B$43-((R1264-1)*(1/Q1264)))))/Inputs!$B$43),IF(Inputs!$B$38="pvp",MIN((Skills!T23*(1+Inputs!$B$34/100)),15)/15,MIN(1,(Skills!T23*(1+Inputs!$B$34/100))/(1/Q1264)))))+F1265)/150)))/100)-1)*IF(AND(Inputs!$B$38&lt;&gt;"pvp",Inputs!$B$43&gt;0),(((R1265-1)*MIN((Skills!T24*(1+Inputs!$B$34/100)),(1/Q1265))+MIN((Skills!T24*(1+Inputs!$B$34/100)),MAX(0,Inputs!$B$43-((R1265-1)*(1/Q1265)))))/Inputs!$B$43),IF(Inputs!$B$38="pvp",MIN((Skills!T24*(1+Inputs!$B$34/100)),15)/15,MIN(1,(Skills!T24*(1+Inputs!$B$34/100))/(1/Q1265)))))</f>
        <v/>
      </c>
    </row>
    <row r="1277">
      <c r="A1277" t="inlineStr">
        <is>
          <t>Buff-Casting Startup Delay (s, fixed-duration only)</t>
        </is>
      </c>
      <c r="B1277">
        <f>IF(AND(Inputs!$B$38&lt;&gt;"pvp",Inputs!$B$43&gt;0),SUMPRODUCT((Skills!T2:T26&gt;0)*(Skills!E2:E26=TRUE)*(C1243:C1267=TRUE))/B1272,0)</f>
        <v/>
      </c>
    </row>
    <row r="1278">
      <c r="A1278" t="inlineStr">
        <is>
          <t>Boss-Only Total DPS (this block's swept value)</t>
        </is>
      </c>
      <c r="B1278">
        <f>SUM(T1243:T1267)</f>
        <v/>
      </c>
    </row>
    <row r="1279">
      <c r="A1279" t="inlineStr">
        <is>
          <t>Normal-Only Total DPS (this block's swept value)</t>
        </is>
      </c>
      <c r="B1279">
        <f>SUM(V1243:V1267)</f>
        <v/>
      </c>
    </row>
    <row r="1280">
      <c r="A1280" s="6" t="inlineStr">
        <is>
          <t>TOTAL DPS</t>
        </is>
      </c>
      <c r="B1280" s="6">
        <f>SUM(O1243:O1267)</f>
        <v/>
      </c>
    </row>
    <row r="1281">
      <c r="A1281" t="inlineStr">
        <is>
          <t>Serpent activation interval T (this block's own Hook Bomber rate)</t>
        </is>
      </c>
      <c r="B1281">
        <f>((1/Q1244)+IFERROR(0.5/B1274,0))</f>
        <v/>
      </c>
    </row>
    <row r="1282">
      <c r="A1282" t="inlineStr">
        <is>
          <t>Assault Mode uptime u (this block)</t>
        </is>
      </c>
      <c r="B1282">
        <f>IF(C1246=TRUE,(10+IF(Inputs!$B$3&gt;=94,5,0))/((10+IF(Inputs!$B$3&gt;=94,5,0))+IF(Inputs!$B$3&gt;=104,3,5)*B1281),0)</f>
        <v/>
      </c>
    </row>
    <row r="1283">
      <c r="A1283" t="inlineStr">
        <is>
          <t>Nautilus Strike - Final Attack trigger rate (this block's own Q/R)</t>
        </is>
      </c>
      <c r="B1283">
        <f>IF(AND(Inputs!$B$38&lt;&gt;"pvp",Inputs!$B$43&gt;0),(((C1247=TRUE)*R1247)+((C1248=TRUE)*R1248)+((C1251=TRUE)*R1251))/Inputs!$B$43,((C1247=TRUE)*Q1247)+((C1248=TRUE)*Q1248)+((C1251=TRUE)*Q1251))+B1274</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1306=TRUE)*(F1306-Calc!F20)),(Inputs!$B$23+0+(IF(ArtifactsInput!$M$15,CHOOSE(ArtifactsInput!$N$15+1,25,30,35,40,45,50)/100*(Inputs!$B$11-Inputs!$B$11),0))))/100+(Inputs!$B$23+0+(IF(ArtifactsInput!$M$15,CHOOSE(ArtifactsInput!$N$15+1,25,30,35,40,45,50)/100*(Inputs!$B$11-Inputs!$B$11),0)))/100)/2</f>
        <v/>
      </c>
      <c r="M1288">
        <f>L1288*(1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IF(B1325=0,0,O1288/B1325)</f>
        <v/>
      </c>
      <c r="Q1288" t="n">
        <v>0</v>
      </c>
      <c r="R1288" t="n">
        <v>0</v>
      </c>
      <c r="S1288">
        <f>IFERROR(O1288/N1288,0)</f>
        <v/>
      </c>
      <c r="T1288">
        <f>IF(C1288,(Skills!G2*N1288*B1319)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IF(C1288,(Skills!G2*N1288*B1319)*IF(Inputs!$B$38="pvp",1,(1+(Inputs!$B$21+Skills!Q2+(IF(ArtifactsInput!$M$33,CHOOSE(ArtifactsInput!$N$33+1,30,36,42,48,54,60),0))+(IF(AND(ArtifactsInput!$M$35,Inputs!$B$4&lt;&gt;"Chapter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Inputs!$B$3&gt;=35</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f>Skills!G3*IF(Skills!H3&gt;0,Skills!I3/Skills!H3,1)</f>
        <v/>
      </c>
      <c r="H1289">
        <f>1-(1-Skills!J3/100)^Skills!K3</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1311=TRUE,F1311,0)/100)*(1+(IF(Skills!A3="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1306=TRUE)*(F1306-Calc!F20)),(Inputs!$B$23+0+(IF(ArtifactsInput!$M$15,CHOOSE(ArtifactsInput!$N$15+1,25,30,35,40,45,50)/100*(Inputs!$B$11-Inputs!$B$11),0))))/100+(Inputs!$B$23+0+(IF(ArtifactsInput!$M$15,CHOOSE(ArtifactsInput!$N$15+1,25,30,35,40,45,50)/100*(Inputs!$B$11-Inputs!$B$11),0)))/100)/2</f>
        <v/>
      </c>
      <c r="M1289">
        <f>L1289*(1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IF(B1325=0,0,O1289/B1325)</f>
        <v/>
      </c>
      <c r="Q1289">
        <f>IFERROR(1/(IF(Inputs!$B$38="pvp",15,MAX(0.1,Skills!D3-IF(TRUE=TRUE,Inputs!$B$32,0)))*(1-IF(AND(ArtifactsInput!$M$27,Inputs!$B$4="Chapter Hunt"),CHOOSE(ArtifactsInput!$N$27+1,20,24,28,32,36,40),0)/100)),0)</f>
        <v/>
      </c>
      <c r="R1289">
        <f>IF(AND(Inputs!$B$38&lt;&gt;"pvp",Inputs!$B$43&gt;0),IF(MAX(0,Inputs!$B$43-B1322)&lt;=0,0,(INT(MAX(0,Inputs!$B$43-B1322)/(IF(Inputs!$B$38="pvp",15,MAX(0.1,Skills!D3-IF(TRUE=TRUE,Inputs!$B$32,0)))*(1-IF(AND(ArtifactsInput!$M$27,Inputs!$B$4="Chapter Hunt"),CHOOSE(ArtifactsInput!$N$27+1,20,24,28,32,36,40),0)/100)))+1)),0)</f>
        <v/>
      </c>
      <c r="S1289">
        <f>IFERROR(O1289/N1289,0)</f>
        <v/>
      </c>
      <c r="T1289">
        <f>IF(C1289,(Skills!G3*N1289*IF(C1290=TRUE,1-B1327,1)/B1326)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INDEX(FactorTable!$B$2:$Y$301, MATCH(ROUND(MIN(300,MAX(1,U1288)),0), FactorTable!$A$2:$A$301,0), 22)</f>
        <v/>
      </c>
      <c r="V1289">
        <f>IF(C1289,(Skills!G3*N1289*IF(C1290=TRUE,1-B1327,1)/B1326)*IF(Inputs!$B$38="pvp",1,(1+(Inputs!$B$21+Skills!Q3+(IF(ArtifactsInput!$M$33,CHOOSE(ArtifactsInput!$N$33+1,30,36,42,48,54,60),0))+(IF(AND(ArtifactsInput!$M$35,Inputs!$B$4&lt;&gt;"Chapter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Skills!A4</f>
        <v/>
      </c>
      <c r="B1290">
        <f>Skills!B4</f>
        <v/>
      </c>
      <c r="C1290">
        <f>Inputs!$B$3&gt;=69</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f>Skills!G4*IF(Skills!H4&gt;0,Skills!I4/Skills!H4,1)</f>
        <v/>
      </c>
      <c r="H1290">
        <f>1-(1-Skills!J4/100)^Skills!K4</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1298=TRUE,F1298,0)/100)*(1+(IF(Skills!A4="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1306=TRUE)*(F1306-Calc!F20)),(Inputs!$B$23+0+(IF(ArtifactsInput!$M$15,CHOOSE(ArtifactsInput!$N$15+1,25,30,35,40,45,50)/100*(Inputs!$B$11-Inputs!$B$11),0))))/100+(Inputs!$B$23+0+(IF(ArtifactsInput!$M$15,CHOOSE(ArtifactsInput!$N$15+1,25,30,35,40,45,50)/100*(Inputs!$B$11-Inputs!$B$11),0)))/100)/2</f>
        <v/>
      </c>
      <c r="M1290">
        <f>L1290*(1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IF(B1325=0,0,O1290/B1325)</f>
        <v/>
      </c>
      <c r="Q1290" t="n">
        <v>0</v>
      </c>
      <c r="R1290" t="n">
        <v>0</v>
      </c>
      <c r="S1290">
        <f>IFERROR(O1290/N1290,0)</f>
        <v/>
      </c>
      <c r="T1290">
        <f>IF(C1290,(Skills!G4*N1290*B1327/B1326)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290*U1289/1000</f>
        <v/>
      </c>
      <c r="V1290">
        <f>IF(C1290,(Skills!G4*N1290*B1327/B1326)*IF(Inputs!$B$38="pvp",1,(1+(Inputs!$B$21+Skills!Q4+(IF(ArtifactsInput!$M$33,CHOOSE(ArtifactsInput!$N$33+1,30,36,42,48,54,60),0))+(IF(AND(ArtifactsInput!$M$35,Inputs!$B$4&lt;&gt;"Chapter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Skills!A5</f>
        <v/>
      </c>
      <c r="B1291">
        <f>Skills!B5</f>
        <v/>
      </c>
      <c r="C1291">
        <f>Inputs!$B$3&gt;=66</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t="inlineStr"/>
      <c r="K1291" t="inlineStr"/>
      <c r="L1291" t="inlineStr"/>
      <c r="M1291" t="inlineStr"/>
      <c r="N1291" t="inlineStr"/>
      <c r="O1291">
        <f>(1-Summary!$B$11)*T1291+Summary!$B$11*V1291</f>
        <v/>
      </c>
      <c r="P1291">
        <f>IF(B1325=0,0,O1291/B1325)</f>
        <v/>
      </c>
      <c r="Q1291" t="n">
        <v>0</v>
      </c>
      <c r="R1291" t="n">
        <v>0</v>
      </c>
      <c r="S1291">
        <f>IFERROR(O1291/N1291,0)</f>
        <v/>
      </c>
      <c r="T1291" t="n">
        <v>0</v>
      </c>
      <c r="V1291" t="n">
        <v>0</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1298=TRUE,F1298,0)/100)*(1+(IF(Skills!A6="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1306=TRUE)*(F1306-Calc!F20)),(Inputs!$B$23+0+(IF(ArtifactsInput!$M$15,CHOOSE(ArtifactsInput!$N$15+1,25,30,35,40,45,50)/100*(Inputs!$B$11-Inputs!$B$11),0))))/100+(Inputs!$B$23+0+(IF(ArtifactsInput!$M$15,CHOOSE(ArtifactsInput!$N$15+1,25,30,35,40,45,50)/100*(Inputs!$B$11-Inputs!$B$11),0)))/100)/2</f>
        <v/>
      </c>
      <c r="M1292">
        <f>L1292*(1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IF(B1325=0,0,O1292/B1325)</f>
        <v/>
      </c>
      <c r="Q1292">
        <f>IFERROR(1/(IF(Inputs!$B$38="pvp",15,MAX(0.1,Skills!D6-IF(TRUE=TRUE,Inputs!$B$32,0)))*(1-IF(AND(ArtifactsInput!$M$27,Inputs!$B$4="Chapter Hunt"),CHOOSE(ArtifactsInput!$N$27+1,20,24,28,32,36,40),0)/100)),0)</f>
        <v/>
      </c>
      <c r="R1292">
        <f>IF(AND(Inputs!$B$38&lt;&gt;"pvp",Inputs!$B$43&gt;0),IF(MAX(0,Inputs!$B$43-B1322)&lt;=0,0,(INT(MAX(0,Inputs!$B$43-B1322)/(IF(Inputs!$B$38="pvp",15,MAX(0.1,Skills!D6-IF(TRUE=TRUE,Inputs!$B$32,0)))*(1-IF(AND(ArtifactsInput!$M$27,Inputs!$B$4="Chapter Hunt"),CHOOSE(ArtifactsInput!$N$27+1,20,24,28,32,36,40),0)/100)))+1)),0)</f>
        <v/>
      </c>
      <c r="S1292">
        <f>IFERROR(O1292/N1292,0)</f>
        <v/>
      </c>
      <c r="T1292">
        <f>IF(C1292,(H1292*N1292*IF(AND(Inputs!$B$38&lt;&gt;"pvp",Inputs!$B$43&gt;0),((Skills!G6*((R1292-1)*IF(Skills!H6&gt;0,Skills!I6/Skills!H6,1)+IF(Skills!H6&gt;0,MIN(Skills!I6,MAX(0,MAX(0,Inputs!$B$43-B1322)-((R1292-1)*(IF(Inputs!$B$38="pvp",15,MAX(0.1,Skills!D6-IF(TRUE=TRUE,Inputs!$B$32,0)))*(1-IF(AND(ArtifactsInput!$M$27,Inputs!$B$4="Chapter Hunt"),CHOOSE(ArtifactsInput!$N$27+1,20,24,28,32,36,40),0)/100)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1322)-((R1292-1)*(IF(Inputs!$B$38="pvp",15,MAX(0.1,Skills!D6-IF(TRUE=TRUE,Inputs!$B$32,0)))*(1-IF(AND(ArtifactsInput!$M$27,Inputs!$B$4="Chapter Hunt"),CHOOSE(ArtifactsInput!$N$27+1,20,24,28,32,36,40),0)/100)))))/Skills!H6,1)))/Inputs!$B$43),G1292*Q1292))*IF(Inputs!$B$38="pvp",1,(1+(Inputs!$B$21+Skills!Q6+(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Inputs!$B$3&gt;=103</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1306=TRUE)*(F1306-Calc!F20)),(Inputs!$B$23+0+(IF(ArtifactsInput!$M$15,CHOOSE(ArtifactsInput!$N$15+1,25,30,35,40,45,50)/100*(Inputs!$B$11-Inputs!$B$11),0))))/100+(Inputs!$B$23+0+(IF(ArtifactsInput!$M$15,CHOOSE(ArtifactsInput!$N$15+1,25,30,35,40,45,50)/100*(Inputs!$B$11-Inputs!$B$11),0)))/100)/2</f>
        <v/>
      </c>
      <c r="M1293">
        <f>L1293*(1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IF(B1325=0,0,O1293/B1325)</f>
        <v/>
      </c>
      <c r="Q1293">
        <f>IFERROR(1/(IF(Inputs!$B$38="pvp",15,MAX(0.1,Skills!D7-IF(TRUE=TRUE,Inputs!$B$32,0)))*(1-IF(AND(ArtifactsInput!$M$27,Inputs!$B$4="Chapter Hunt"),CHOOSE(ArtifactsInput!$N$27+1,20,24,28,32,36,40),0)/100)),0)</f>
        <v/>
      </c>
      <c r="R1293">
        <f>IF(AND(Inputs!$B$38&lt;&gt;"pvp",Inputs!$B$43&gt;0),IF(MAX(0,Inputs!$B$43-B1322)&lt;=0,0,(INT(MAX(0,Inputs!$B$43-B1322)/(IF(Inputs!$B$38="pvp",15,MAX(0.1,Skills!D7-IF(TRUE=TRUE,Inputs!$B$32,0)))*(1-IF(AND(ArtifactsInput!$M$27,Inputs!$B$4="Chapter Hunt"),CHOOSE(ArtifactsInput!$N$27+1,20,24,28,32,36,40),0)/100)))+1)),0)</f>
        <v/>
      </c>
      <c r="S1293">
        <f>IFERROR(O1293/N1293,0)</f>
        <v/>
      </c>
      <c r="T1293">
        <f>IF(C1293,(H1293*N1293*IF(AND(Inputs!$B$38&lt;&gt;"pvp",Inputs!$B$43&gt;0),((Skills!G7*((R1293-1)*IF(Skills!H7&gt;0,Skills!I7/Skills!H7,1)+IF(Skills!H7&gt;0,MIN(Skills!I7,MAX(0,MAX(0,Inputs!$B$43-B1322)-((R1293-1)*(IF(Inputs!$B$38="pvp",15,MAX(0.1,Skills!D7-IF(TRUE=TRUE,Inputs!$B$32,0)))*(1-IF(AND(ArtifactsInput!$M$27,Inputs!$B$4="Chapter Hunt"),CHOOSE(ArtifactsInput!$N$27+1,20,24,28,32,36,40),0)/100)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1322)-((R1293-1)*(IF(Inputs!$B$38="pvp",15,MAX(0.1,Skills!D7-IF(TRUE=TRUE,Inputs!$B$32,0)))*(1-IF(AND(ArtifactsInput!$M$27,Inputs!$B$4="Chapter Hunt"),CHOOSE(ArtifactsInput!$N$27+1,20,24,28,32,36,40),0)/100)))))/Skills!H7,1)))/Inputs!$B$43),G1293*Q1293))*IF(Inputs!$B$38="pvp",1,(1+(Inputs!$B$21+Skills!Q7+(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Inputs!$B$3&gt;=117</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f>Skills!G8*IF(Skills!H8&gt;0,Skills!I8/Skills!H8,1)</f>
        <v/>
      </c>
      <c r="H1294">
        <f>1-(1-Skills!J8/100)^Skills!K8</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1306=TRUE)*(F1306-Calc!F20)),(Inputs!$B$23+0+(IF(ArtifactsInput!$M$15,CHOOSE(ArtifactsInput!$N$15+1,25,30,35,40,45,50)/100*(Inputs!$B$11-Inputs!$B$11),0))))/100+(Inputs!$B$23+0+(IF(ArtifactsInput!$M$15,CHOOSE(ArtifactsInput!$N$15+1,25,30,35,40,45,50)/100*(Inputs!$B$11-Inputs!$B$11),0)))/100)/2</f>
        <v/>
      </c>
      <c r="M1294">
        <f>L1294*(1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IF(B1325=0,0,O1294/B1325)</f>
        <v/>
      </c>
      <c r="Q1294">
        <f>IFERROR(1/(IF(Inputs!$B$38="pvp",15,MAX(0.1,Skills!D8-IF(TRUE=TRUE,Inputs!$B$32,0)))*(1-IF(AND(ArtifactsInput!$M$27,Inputs!$B$4="Chapter Hunt"),CHOOSE(ArtifactsInput!$N$27+1,20,24,28,32,36,40),0)/100)),0)</f>
        <v/>
      </c>
      <c r="R1294">
        <f>IF(AND(Inputs!$B$38&lt;&gt;"pvp",Inputs!$B$43&gt;0),IF(MAX(0,Inputs!$B$43-B1322)&lt;=0,0,(INT(MAX(0,Inputs!$B$43-B1322)/(IF(Inputs!$B$38="pvp",15,MAX(0.1,Skills!D8-IF(TRUE=TRUE,Inputs!$B$32,0)))*(1-IF(AND(ArtifactsInput!$M$27,Inputs!$B$4="Chapter Hunt"),CHOOSE(ArtifactsInput!$N$27+1,20,24,28,32,36,40),0)/100)))+1)),0)</f>
        <v/>
      </c>
      <c r="S1294">
        <f>IFERROR(O1294/N1294,0)</f>
        <v/>
      </c>
      <c r="T1294">
        <f>IF(C1294,(H1294*N1294*IF(AND(Inputs!$B$38&lt;&gt;"pvp",Inputs!$B$43&gt;0),((Skills!G8*((R1294-1)*IF(Skills!H8&gt;0,Skills!I8/Skills!H8,1)+IF(Skills!H8&gt;0,MIN(Skills!I8,MAX(0,MAX(0,Inputs!$B$43-B1322)-((R1294-1)*(IF(Inputs!$B$38="pvp",15,MAX(0.1,Skills!D8-IF(TRUE=TRUE,Inputs!$B$32,0)))*(1-IF(AND(ArtifactsInput!$M$27,Inputs!$B$4="Chapter Hunt"),CHOOSE(ArtifactsInput!$N$27+1,20,24,28,32,36,40),0)/100)))))/Skills!H8,1)))/Inputs!$B$43),G1294*Q1294)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1294*(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1294*(1-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8*((R1294-1)*IF(Skills!H8&gt;0,Skills!I8/Skills!H8,1)+IF(Skills!H8&gt;0,MIN(Skills!I8,MAX(0,MAX(0,Inputs!$B$43-B1322)-((R1294-1)*(IF(Inputs!$B$38="pvp",15,MAX(0.1,Skills!D8-IF(TRUE=TRUE,Inputs!$B$32,0)))*(1-IF(AND(ArtifactsInput!$M$27,Inputs!$B$4="Chapter Hunt"),CHOOSE(ArtifactsInput!$N$27+1,20,24,28,32,36,40),0)/100)))))/Skills!H8,1)))/Inputs!$B$43),G1294*Q1294))*IF(Inputs!$B$38="pvp",1,(1+(Inputs!$B$21+Skills!Q8+(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Skills!A9</f>
        <v/>
      </c>
      <c r="B1295">
        <f>Skills!B9</f>
        <v/>
      </c>
      <c r="C1295">
        <f>Inputs!$B$3&gt;=120</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B1327</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1306=TRUE)*(F1306-Calc!F20)),(Inputs!$B$23+0+(IF(ArtifactsInput!$M$15,CHOOSE(ArtifactsInput!$N$15+1,25,30,35,40,45,50)/100*(Inputs!$B$11-Inputs!$B$11),0))))/100+(Inputs!$B$23+0+(IF(ArtifactsInput!$M$15,CHOOSE(ArtifactsInput!$N$15+1,25,30,35,40,45,50)/100*(Inputs!$B$11-Inputs!$B$11),0)))/100)/2</f>
        <v/>
      </c>
      <c r="M1295">
        <f>L1295*(1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IF(B1325=0,0,O1295/B1325)</f>
        <v/>
      </c>
      <c r="Q1295">
        <f>IFERROR(1/(IF(Inputs!$B$38="pvp",15,MAX(0.1,Skills!D9-IF(TRUE=TRUE,Inputs!$B$32,0)))*(1-IF(AND(ArtifactsInput!$M$27,Inputs!$B$4="Chapter Hunt"),CHOOSE(ArtifactsInput!$N$27+1,20,24,28,32,36,40),0)/100)),0)</f>
        <v/>
      </c>
      <c r="R1295">
        <f>IF(AND(Inputs!$B$38&lt;&gt;"pvp",Inputs!$B$43&gt;0),IF(MAX(0,Inputs!$B$43-B1322)&lt;=0,0,(INT(MAX(0,Inputs!$B$43-B1322)/(IF(Inputs!$B$38="pvp",15,MAX(0.1,Skills!D9-IF(TRUE=TRUE,Inputs!$B$32,0)))*(1-IF(AND(ArtifactsInput!$M$27,Inputs!$B$4="Chapter Hunt"),CHOOSE(ArtifactsInput!$N$27+1,20,24,28,32,36,40),0)/100)))+1)),0)</f>
        <v/>
      </c>
      <c r="S1295">
        <f>IFERROR(O1295/N1295,0)</f>
        <v/>
      </c>
      <c r="T1295">
        <f>IF(C1295,(H1295*N1295*IF(AND(Inputs!$B$38&lt;&gt;"pvp",Inputs!$B$43&gt;0),((Skills!G9*((R1295-1)*IF(Skills!H9&gt;0,Skills!I9/Skills!H9,1)+IF(Skills!H9&gt;0,MIN(Skills!I9,MAX(0,MAX(0,Inputs!$B$43-B1322)-((R1295-1)*(IF(Inputs!$B$38="pvp",15,MAX(0.1,Skills!D9-IF(TRUE=TRUE,Inputs!$B$32,0)))*(1-IF(AND(ArtifactsInput!$M$27,Inputs!$B$4="Chapter Hunt"),CHOOSE(ArtifactsInput!$N$27+1,20,24,28,32,36,40),0)/100)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1322)-((R1295-1)*(IF(Inputs!$B$38="pvp",15,MAX(0.1,Skills!D9-IF(TRUE=TRUE,Inputs!$B$32,0)))*(1-IF(AND(ArtifactsInput!$M$27,Inputs!$B$4="Chapter Hunt"),CHOOSE(ArtifactsInput!$N$27+1,20,24,28,32,36,40),0)/100)))))/Skills!H9,1)))/Inputs!$B$43),G1295*Q1295))*IF(Inputs!$B$38="pvp",1,(1+(Inputs!$B$21+Skills!Q9+(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Inputs!$B$3&gt;=105</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1306=TRUE)*(F1306-Calc!F20)),(Inputs!$B$23+0+(IF(ArtifactsInput!$M$15,CHOOSE(ArtifactsInput!$N$15+1,25,30,35,40,45,50)/100*(Inputs!$B$11-Inputs!$B$11),0))))/100+(Inputs!$B$23+0+(IF(ArtifactsInput!$M$15,CHOOSE(ArtifactsInput!$N$15+1,25,30,35,40,45,50)/100*(Inputs!$B$11-Inputs!$B$11),0)))/100)/2</f>
        <v/>
      </c>
      <c r="M1296">
        <f>L1296*(1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IF(B1325=0,0,O1296/B1325)</f>
        <v/>
      </c>
      <c r="Q1296">
        <f>IFERROR(1/(IF(Inputs!$B$38="pvp",15,MAX(0.1,Skills!D10-IF(TRUE=TRUE,Inputs!$B$32,0)))*(1-IF(AND(ArtifactsInput!$M$27,Inputs!$B$4="Chapter Hunt"),CHOOSE(ArtifactsInput!$N$27+1,20,24,28,32,36,40),0)/100)),0)</f>
        <v/>
      </c>
      <c r="R1296">
        <f>IF(AND(Inputs!$B$38&lt;&gt;"pvp",Inputs!$B$43&gt;0),IF(MAX(0,Inputs!$B$43-B1322)&lt;=0,0,(INT(MAX(0,Inputs!$B$43-B1322)/(IF(Inputs!$B$38="pvp",15,MAX(0.1,Skills!D10-IF(TRUE=TRUE,Inputs!$B$32,0)))*(1-IF(AND(ArtifactsInput!$M$27,Inputs!$B$4="Chapter Hunt"),CHOOSE(ArtifactsInput!$N$27+1,20,24,28,32,36,40),0)/100)))+1)),0)</f>
        <v/>
      </c>
      <c r="S1296">
        <f>IFERROR(O1296/N1296,0)</f>
        <v/>
      </c>
      <c r="T1296">
        <f>IF(C1296,(H1296*N1296*IF(AND(Inputs!$B$38&lt;&gt;"pvp",Inputs!$B$43&gt;0),((Skills!G10*((R1296-1)*IF(Skills!H10&gt;0,Skills!I10/Skills!H10,1)+IF(Skills!H10&gt;0,MIN(Skills!I10,MAX(0,MAX(0,Inputs!$B$43-B1322)-((R1296-1)*(IF(Inputs!$B$38="pvp",15,MAX(0.1,Skills!D10-IF(TRUE=TRUE,Inputs!$B$32,0)))*(1-IF(AND(ArtifactsInput!$M$27,Inputs!$B$4="Chapter Hunt"),CHOOSE(ArtifactsInput!$N$27+1,20,24,28,32,36,40),0)/100)))))/Skills!H10,1)))/Inputs!$B$43),G1296*Q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10*((R1296-1)*IF(Skills!H10&gt;0,Skills!I10/Skills!H10,1)+IF(Skills!H10&gt;0,MIN(Skills!I10,MAX(0,MAX(0,Inputs!$B$43-B1322)-((R1296-1)*(IF(Inputs!$B$38="pvp",15,MAX(0.1,Skills!D10-IF(TRUE=TRUE,Inputs!$B$32,0)))*(1-IF(AND(ArtifactsInput!$M$27,Inputs!$B$4="Chapter Hunt"),CHOOSE(ArtifactsInput!$N$27+1,20,24,28,32,36,40),0)/100)))))/Skills!H10,1)))/Inputs!$B$43),G1296*Q1296))*IF(Inputs!$B$38="pvp",1,(1+(Inputs!$B$21+Skills!Q10+(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Inputs!$B$3&gt;=113</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1306=TRUE)*(F1306-Calc!F20)),(Inputs!$B$23+0+(IF(ArtifactsInput!$M$15,CHOOSE(ArtifactsInput!$N$15+1,25,30,35,40,45,50)/100*(Inputs!$B$11-Inputs!$B$11),0))))/100+(Inputs!$B$23+0+(IF(ArtifactsInput!$M$15,CHOOSE(ArtifactsInput!$N$15+1,25,30,35,40,45,50)/100*(Inputs!$B$11-Inputs!$B$11),0)))/100)/2</f>
        <v/>
      </c>
      <c r="M1297">
        <f>L1297*(1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IF(B1325=0,0,O1297/B1325)</f>
        <v/>
      </c>
      <c r="Q1297" t="n">
        <v>0</v>
      </c>
      <c r="R1297" t="n">
        <v>0</v>
      </c>
      <c r="S1297">
        <f>IFERROR(O1297/N1297,0)</f>
        <v/>
      </c>
      <c r="T1297">
        <f>IF(C1297,((H1297*B1328)/(1+Skills!H11*H1297*B1328)*N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IF(C1297,((H1297*B1328)/(1+Skills!H11*H1297*B1328)*N1297)*IF(Inputs!$B$38="pvp",1,(1+(Inputs!$B$21+Skills!Q11+(IF(ArtifactsInput!$M$33,CHOOSE(ArtifactsInput!$N$33+1,30,36,42,48,54,60),0))+(IF(AND(ArtifactsInput!$M$35,Inputs!$B$4&lt;&gt;"Chapter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Inputs!$B$3&gt;=100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t="inlineStr"/>
      <c r="H1298" t="inlineStr"/>
      <c r="I1298" t="inlineStr">
        <is>
          <t>1</t>
        </is>
      </c>
      <c r="J1298" t="inlineStr"/>
      <c r="K1298" t="inlineStr"/>
      <c r="L1298" t="inlineStr"/>
      <c r="M1298" t="inlineStr"/>
      <c r="N1298" t="inlineStr"/>
      <c r="O1298" t="inlineStr"/>
      <c r="P1298" t="inlineStr"/>
      <c r="Q1298" t="inlineStr"/>
      <c r="R1298" t="inlineStr"/>
      <c r="S1298" t="inlineStr"/>
      <c r="T1298" t="inlineStr"/>
      <c r="V1298" t="inlineStr"/>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IF(B1325=0,0,O1299/B1325)</f>
        <v/>
      </c>
      <c r="Q1299" t="n">
        <v>0</v>
      </c>
      <c r="R1299" t="n">
        <v>0</v>
      </c>
      <c r="S1299">
        <f>IFERROR(O1299/N1299,0)</f>
        <v/>
      </c>
      <c r="T1299" t="n">
        <v>0</v>
      </c>
      <c r="V1299" t="n">
        <v>0</v>
      </c>
    </row>
    <row r="1300">
      <c r="A1300">
        <f>Skills!A14</f>
        <v/>
      </c>
      <c r="B1300">
        <f>Skills!B14</f>
        <v/>
      </c>
      <c r="C1300">
        <f>Inputs!$B$3&gt;=115</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IF(B1325=0,0,O1300/B1325)</f>
        <v/>
      </c>
      <c r="Q1300">
        <f>IFERROR(1/(IF(Inputs!$B$38="pvp",15,MAX(0.1,Skills!D14-IF(TRUE=TRUE,Inputs!$B$32,0)))*(1-IF(AND(ArtifactsInput!$M$27,Inputs!$B$4="Chapter Hunt"),CHOOSE(ArtifactsInput!$N$27+1,20,24,28,32,36,40),0)/100)),0)</f>
        <v/>
      </c>
      <c r="R1300">
        <f>IF(AND(Inputs!$B$38&lt;&gt;"pvp",Inputs!$B$43&gt;0),IF(Inputs!$B$43&lt;=0,0,(INT(Inputs!$B$43/(IF(Inputs!$B$38="pvp",15,MAX(0.1,Skills!D14-IF(TRUE=TRUE,Inputs!$B$32,0)))*(1-IF(AND(ArtifactsInput!$M$27,Inputs!$B$4="Chapter Hunt"),CHOOSE(ArtifactsInput!$N$27+1,20,24,28,32,36,40),0)/100)))+1)),0)</f>
        <v/>
      </c>
      <c r="S1300">
        <f>IFERROR(O1300/N1300,0)</f>
        <v/>
      </c>
      <c r="T1300" t="n">
        <v>0</v>
      </c>
      <c r="V1300" t="n">
        <v>0</v>
      </c>
    </row>
    <row r="1301">
      <c r="A1301">
        <f>Skills!A15</f>
        <v/>
      </c>
      <c r="B1301">
        <f>Skills!B15</f>
        <v/>
      </c>
      <c r="C1301">
        <f>Inputs!$B$3&gt;=125</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IF(B1325=0,0,O1301/B1325)</f>
        <v/>
      </c>
      <c r="Q1301">
        <f>IFERROR(1/(IF(Inputs!$B$38="pvp",15,MAX(0.1,Skills!D15-IF(TRUE=TRUE,Inputs!$B$32,0)))*(1-IF(AND(ArtifactsInput!$M$27,Inputs!$B$4="Chapter Hunt"),CHOOSE(ArtifactsInput!$N$27+1,20,24,28,32,36,40),0)/100)),0)</f>
        <v/>
      </c>
      <c r="R1301">
        <f>IF(AND(Inputs!$B$38&lt;&gt;"pvp",Inputs!$B$43&gt;0),IF(Inputs!$B$43&lt;=0,0,(INT(Inputs!$B$43/(IF(Inputs!$B$38="pvp",15,MAX(0.1,Skills!D15-IF(TRUE=TRUE,Inputs!$B$32,0)))*(1-IF(AND(ArtifactsInput!$M$27,Inputs!$B$4="Chapter Hunt"),CHOOSE(ArtifactsInput!$N$27+1,20,24,28,32,36,40),0)/100)))+1)),0)</f>
        <v/>
      </c>
      <c r="S1301">
        <f>IFERROR(O1301/N1301,0)</f>
        <v/>
      </c>
      <c r="T1301" t="n">
        <v>0</v>
      </c>
      <c r="V1301" t="n">
        <v>0</v>
      </c>
    </row>
    <row r="1302">
      <c r="A1302">
        <f>Skills!A16</f>
        <v/>
      </c>
      <c r="B1302">
        <f>Skills!B16</f>
        <v/>
      </c>
      <c r="C1302">
        <f>Inputs!$B$3&gt;=10</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IF(B1325=0,0,O1302/B1325)</f>
        <v/>
      </c>
      <c r="Q1302" t="n">
        <v>0</v>
      </c>
      <c r="R1302" t="n">
        <v>0</v>
      </c>
      <c r="S1302">
        <f>IFERROR(O1302/N1302,0)</f>
        <v/>
      </c>
      <c r="T1302" t="n">
        <v>0</v>
      </c>
      <c r="V1302" t="n">
        <v>0</v>
      </c>
    </row>
    <row r="1303">
      <c r="A1303">
        <f>Skills!A17</f>
        <v/>
      </c>
      <c r="B1303">
        <f>Skills!B17</f>
        <v/>
      </c>
      <c r="C1303">
        <f>Inputs!$B$3&gt;=15</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IF(B1325=0,0,O1303/B1325)</f>
        <v/>
      </c>
      <c r="Q1303" t="n">
        <v>0</v>
      </c>
      <c r="R1303" t="n">
        <v>0</v>
      </c>
      <c r="S1303">
        <f>IFERROR(O1303/N1303,0)</f>
        <v/>
      </c>
      <c r="T1303" t="n">
        <v>0</v>
      </c>
      <c r="V1303" t="n">
        <v>0</v>
      </c>
    </row>
    <row r="1304">
      <c r="A1304">
        <f>Skills!A18</f>
        <v/>
      </c>
      <c r="B1304">
        <f>Skills!B18</f>
        <v/>
      </c>
      <c r="C1304">
        <f>Inputs!$B$3&gt;=33</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IF(B1325=0,0,O1304/B1325)</f>
        <v/>
      </c>
      <c r="Q1304" t="n">
        <v>0</v>
      </c>
      <c r="R1304" t="n">
        <v>0</v>
      </c>
      <c r="S1304">
        <f>IFERROR(O1304/N1304,0)</f>
        <v/>
      </c>
      <c r="T1304" t="n">
        <v>0</v>
      </c>
      <c r="V1304" t="n">
        <v>0</v>
      </c>
    </row>
    <row r="1305">
      <c r="A1305">
        <f>Skills!A19</f>
        <v/>
      </c>
      <c r="B1305">
        <f>Skills!B19</f>
        <v/>
      </c>
      <c r="C1305">
        <f>Inputs!$B$3&gt;=40</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IF(B1325=0,0,O1305/B1325)</f>
        <v/>
      </c>
      <c r="Q1305" t="n">
        <v>0</v>
      </c>
      <c r="R1305" t="n">
        <v>0</v>
      </c>
      <c r="S1305">
        <f>IFERROR(O1305/N1305,0)</f>
        <v/>
      </c>
      <c r="T1305" t="n">
        <v>0</v>
      </c>
      <c r="V1305" t="n">
        <v>0</v>
      </c>
    </row>
    <row r="1306">
      <c r="A1306">
        <f>Skills!A20</f>
        <v/>
      </c>
      <c r="B1306">
        <f>Skills!B20</f>
        <v/>
      </c>
      <c r="C1306">
        <f>Inputs!$B$3&gt;=43</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IF(B1325=0,0,O1306/B1325)</f>
        <v/>
      </c>
      <c r="Q1306" t="n">
        <v>0</v>
      </c>
      <c r="R1306" t="n">
        <v>0</v>
      </c>
      <c r="S1306">
        <f>IFERROR(O1306/N1306,0)</f>
        <v/>
      </c>
      <c r="T1306" t="n">
        <v>0</v>
      </c>
      <c r="V1306" t="n">
        <v>0</v>
      </c>
    </row>
    <row r="1307">
      <c r="A1307">
        <f>Skills!A21</f>
        <v/>
      </c>
      <c r="B1307">
        <f>Skills!B21</f>
        <v/>
      </c>
      <c r="C1307">
        <f>Inputs!$B$3&gt;=38</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IF(B1325=0,0,O1307/B1325)</f>
        <v/>
      </c>
      <c r="Q1307" t="n">
        <v>0</v>
      </c>
      <c r="R1307" t="n">
        <v>0</v>
      </c>
      <c r="S1307">
        <f>IFERROR(O1307/N1307,0)</f>
        <v/>
      </c>
      <c r="T1307" t="n">
        <v>0</v>
      </c>
      <c r="V1307" t="n">
        <v>0</v>
      </c>
    </row>
    <row r="1308">
      <c r="A1308">
        <f>Skills!A22</f>
        <v/>
      </c>
      <c r="B1308">
        <f>Skills!B22</f>
        <v/>
      </c>
      <c r="C1308">
        <f>Inputs!$B$3&gt;=75</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IF(B1325=0,0,O1308/B1325)</f>
        <v/>
      </c>
      <c r="Q1308" t="n">
        <v>0</v>
      </c>
      <c r="R1308" t="n">
        <v>0</v>
      </c>
      <c r="S1308">
        <f>IFERROR(O1308/N1308,0)</f>
        <v/>
      </c>
      <c r="T1308" t="n">
        <v>0</v>
      </c>
      <c r="V1308" t="n">
        <v>0</v>
      </c>
    </row>
    <row r="1309">
      <c r="A1309">
        <f>Skills!A23</f>
        <v/>
      </c>
      <c r="B1309">
        <f>Skills!B23</f>
        <v/>
      </c>
      <c r="C1309">
        <f>TRUE</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IF(B1325=0,0,O1309/B1325)</f>
        <v/>
      </c>
      <c r="Q1309">
        <f>IFERROR(1/(IF(Inputs!$B$38="pvp",15,MAX(0.1,Skills!D23-IF(TRUE=TRUE,Inputs!$B$32,0)))*(1-IF(AND(ArtifactsInput!$M$27,Inputs!$B$4="Chapter Hunt"),CHOOSE(ArtifactsInput!$N$27+1,20,24,28,32,36,40),0)/100)),0)</f>
        <v/>
      </c>
      <c r="R1309">
        <f>IF(AND(Inputs!$B$38&lt;&gt;"pvp",Inputs!$B$43&gt;0),IF(Inputs!$B$43&lt;=0,0,(INT(Inputs!$B$43/(IF(Inputs!$B$38="pvp",15,MAX(0.1,Skills!D23-IF(TRUE=TRUE,Inputs!$B$32,0)))*(1-IF(AND(ArtifactsInput!$M$27,Inputs!$B$4="Chapter Hunt"),CHOOSE(ArtifactsInput!$N$27+1,20,24,28,32,36,40),0)/100)))+1)),0)</f>
        <v/>
      </c>
      <c r="S1309">
        <f>IFERROR(O1309/N1309,0)</f>
        <v/>
      </c>
      <c r="T1309" t="n">
        <v>0</v>
      </c>
      <c r="V1309" t="n">
        <v>0</v>
      </c>
    </row>
    <row r="1310">
      <c r="A1310">
        <f>Skills!A24</f>
        <v/>
      </c>
      <c r="B1310">
        <f>Skills!B24</f>
        <v/>
      </c>
      <c r="C1310">
        <f>Inputs!$B$3&gt;=107</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IF(B1325=0,0,O1310/B1325)</f>
        <v/>
      </c>
      <c r="Q1310">
        <f>IFERROR(1/(IF(Inputs!$B$38="pvp",15,MAX(0.1,Skills!D24-IF(TRUE=TRUE,Inputs!$B$32,0)))*(1-IF(AND(ArtifactsInput!$M$27,Inputs!$B$4="Chapter Hunt"),CHOOSE(ArtifactsInput!$N$27+1,20,24,28,32,36,40),0)/100)),0)</f>
        <v/>
      </c>
      <c r="R1310">
        <f>IF(AND(Inputs!$B$38&lt;&gt;"pvp",Inputs!$B$43&gt;0),IF(Inputs!$B$43&lt;=0,0,(INT(Inputs!$B$43/(IF(Inputs!$B$38="pvp",15,MAX(0.1,Skills!D24-IF(TRUE=TRUE,Inputs!$B$32,0)))*(1-IF(AND(ArtifactsInput!$M$27,Inputs!$B$4="Chapter Hunt"),CHOOSE(ArtifactsInput!$N$27+1,20,24,28,32,36,40),0)/100)))+1)),0)</f>
        <v/>
      </c>
      <c r="S1310">
        <f>IFERROR(O1310/N1310,0)</f>
        <v/>
      </c>
      <c r="T1310" t="n">
        <v>0</v>
      </c>
      <c r="V1310" t="n">
        <v>0</v>
      </c>
    </row>
    <row r="1311">
      <c r="A1311">
        <f>Skills!A25</f>
        <v/>
      </c>
      <c r="B1311">
        <f>Skills!B25</f>
        <v/>
      </c>
      <c r="C1311">
        <f>Inputs!$B$3&gt;=110</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t="inlineStr"/>
      <c r="H1311" t="inlineStr"/>
      <c r="I1311" t="inlineStr">
        <is>
          <t>1</t>
        </is>
      </c>
      <c r="J1311" t="inlineStr"/>
      <c r="K1311" t="inlineStr"/>
      <c r="L1311" t="inlineStr"/>
      <c r="M1311" t="inlineStr"/>
      <c r="N1311" t="inlineStr"/>
      <c r="O1311" t="inlineStr"/>
      <c r="P1311" t="inlineStr"/>
      <c r="Q1311" t="inlineStr"/>
      <c r="R1311" t="inlineStr"/>
      <c r="S1311" t="inlineStr"/>
      <c r="T1311" t="inlineStr"/>
      <c r="V1311" t="inlineStr"/>
    </row>
    <row r="1312">
      <c r="A1312">
        <f>Skills!A26</f>
        <v/>
      </c>
      <c r="B1312">
        <f>Skills!B26</f>
        <v/>
      </c>
      <c r="C1312">
        <f>Inputs!$B$3&gt;=117</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t="inlineStr"/>
      <c r="H1312" t="inlineStr"/>
      <c r="I1312" t="inlineStr">
        <is>
          <t>1</t>
        </is>
      </c>
      <c r="J1312" t="inlineStr"/>
      <c r="K1312" t="inlineStr"/>
      <c r="L1312" t="inlineStr"/>
      <c r="M1312" t="inlineStr"/>
      <c r="N1312" t="inlineStr"/>
      <c r="O1312" t="inlineStr"/>
      <c r="P1312" t="inlineStr"/>
      <c r="Q1312" t="inlineStr"/>
      <c r="R1312" t="inlineStr"/>
      <c r="S1312" t="inlineStr"/>
      <c r="T1312" t="inlineStr"/>
      <c r="V1312" t="inlineStr"/>
    </row>
    <row r="1314">
      <c r="A1314" t="inlineStr">
        <is>
          <t>Attack% Bucket Multiplier</t>
        </is>
      </c>
      <c r="B1314">
        <f>(1+(((C1299=TRUE)*F1299*5/7)+((C1305=TRUE)*(F1305-Calc!F19))+(IF(ArtifactsInput!$M$21,CHOOSE(ArtifactsInput!$N$21+1,25,30,35,40,45,50)*(IF(OR(Inputs!$B$4="Chapter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5">
      <c r="A1315" t="inlineStr">
        <is>
          <t>Global Crit Rate Bonus %</t>
        </is>
      </c>
      <c r="B1315" t="n">
        <v>0</v>
      </c>
    </row>
    <row r="1316">
      <c r="A1316" t="inlineStr">
        <is>
          <t>Attack Speed Buff Bonus % (Nimble Feet + Speed Infusion, duty-cycle averaged)</t>
        </is>
      </c>
      <c r="B1316">
        <f>((C1309=TRUE)*F1309*IF(AND(Inputs!$B$38&lt;&gt;"pvp",Inputs!$B$43&gt;0),(((R1309-1)*MIN((Skills!T23*(1+Inputs!$B$34/100)),(1/Q1309))+MIN((Skills!T23*(1+Inputs!$B$34/100)),MAX(0,Inputs!$B$43-((R1309-1)*(1/Q1309)))))/Inputs!$B$43),IF(Inputs!$B$38="pvp",MIN((Skills!T23*(1+Inputs!$B$34/100)),15)/15,MIN(1,(Skills!T23*(1+Inputs!$B$34/100))/(1/Q1309)))))+((C1310=TRUE)*F1310*IF(AND(Inputs!$B$38&lt;&gt;"pvp",Inputs!$B$43&gt;0),(((R1310-1)*MIN((Skills!T24*(1+Inputs!$B$34/100)),(1/Q1310))+MIN((Skills!T24*(1+Inputs!$B$34/100)),MAX(0,Inputs!$B$43-((R1310-1)*(1/Q1310)))))/Inputs!$B$43),IF(Inputs!$B$38="pvp",MIN((Skills!T24*(1+Inputs!$B$34/100)),15)/15,MIN(1,(Skills!T24*(1+Inputs!$B$34/100))/(1/Q1310)))))</f>
        <v/>
      </c>
    </row>
    <row r="1317">
      <c r="A1317" t="inlineStr">
        <is>
          <t>Actions Per Second</t>
        </is>
      </c>
      <c r="B1317">
        <f>1+MIN(150,150*(1-(1-(Inputs!$B$11+((C1303=TRUE)*(F1303-Calc!F17))+((C1304=TRUE)*(F1304-Calc!F18)))/150)*(1-B1316/150)))/100</f>
        <v/>
      </c>
    </row>
    <row r="1318">
      <c r="A1318" t="inlineStr">
        <is>
          <t>Skill + Buff Cast Rate</t>
        </is>
      </c>
      <c r="B1318">
        <f>IF(AND(Inputs!$B$38&lt;&gt;"pvp",Inputs!$B$43&gt;0),SUMPRODUCT((Skills!E2:E26=TRUE)*(C1288:C1312=TRUE)*R1288:R1312*Skills!F2:F26)/Inputs!$B$43,SUMPRODUCT((Skills!E2:E26=TRUE)*(C1288:C1312=TRUE)*Q1288:Q1312*Skills!F2:F26))</f>
        <v/>
      </c>
    </row>
    <row r="1319">
      <c r="A1319" t="inlineStr">
        <is>
          <t>Hook Bomber Casts Per Second</t>
        </is>
      </c>
      <c r="B1319">
        <f>MAX(0,B1317-B1318)</f>
        <v/>
      </c>
    </row>
    <row r="1320">
      <c r="A1320" t="inlineStr">
        <is>
          <t>Global Critical Damage Bonus % (unused)</t>
        </is>
      </c>
      <c r="B1320" t="n">
        <v>0</v>
      </c>
    </row>
    <row r="1321">
      <c r="A1321" t="inlineStr">
        <is>
          <t>Global Final Damage Bonus % (Serpent Scale + Crossbones + Time Leap + Speed Infusion)</t>
        </is>
      </c>
      <c r="B1321">
        <f>((C1291=TRUE)*(F1291*B1327+4*(1-B1327)))+((C1300=TRUE)*F1300*IF(AND(Inputs!$B$38&lt;&gt;"pvp",Inputs!$B$43&gt;0),(((R1300-1)*MIN((Skills!T14*(1+Inputs!$B$34/100)),(1/Q1300))+MIN((Skills!T14*(1+Inputs!$B$34/100)),MAX(0,Inputs!$B$43-((R1300-1)*(1/Q1300)))))/Inputs!$B$43),IF(Inputs!$B$38="pvp",MIN((Skills!T14*(1+Inputs!$B$34/100)),15)/15,MIN(1,(Skills!T14*(1+Inputs!$B$34/100))/(1/Q1300)))))+((C1301=TRUE)*F1301*IF(AND(Inputs!$B$38&lt;&gt;"pvp",Inputs!$B$43&gt;0),(((R1301-1)*MIN((Skills!T15*(1+Inputs!$B$34/100)),(1/Q1301))+MIN((Skills!T15*(1+Inputs!$B$34/100)),MAX(0,Inputs!$B$43-((R1301-1)*(1/Q1301)))))/Inputs!$B$43),IF(Inputs!$B$38="pvp",MIN((Skills!T15*(1+Inputs!$B$34/100)),15)/15,MIN(1,(Skills!T15*(1+Inputs!$B$34/100))/(1/Q1301)))))+((C1310=TRUE)*20*((1+MIN(150,150*(1-(1-(Inputs!$B$11+((C1303=TRUE)*(F1303-Calc!F17))+((C1304=TRUE)*(F1304-Calc!F18)))/150)*(1-(((C1309=TRUE)*F1309*IF(AND(Inputs!$B$38&lt;&gt;"pvp",Inputs!$B$43&gt;0),(((R1309-1)*MIN((Skills!T23*(1+Inputs!$B$34/100)),(1/Q1309))+MIN((Skills!T23*(1+Inputs!$B$34/100)),MAX(0,Inputs!$B$43-((R1309-1)*(1/Q1309)))))/Inputs!$B$43),IF(Inputs!$B$38="pvp",MIN((Skills!T23*(1+Inputs!$B$34/100)),15)/15,MIN(1,(Skills!T23*(1+Inputs!$B$34/100))/(1/Q1309)))))+F1310)/150)))/100)-1)*IF(AND(Inputs!$B$38&lt;&gt;"pvp",Inputs!$B$43&gt;0),(((R1310-1)*MIN((Skills!T24*(1+Inputs!$B$34/100)),(1/Q1310))+MIN((Skills!T24*(1+Inputs!$B$34/100)),MAX(0,Inputs!$B$43-((R1310-1)*(1/Q1310)))))/Inputs!$B$43),IF(Inputs!$B$38="pvp",MIN((Skills!T24*(1+Inputs!$B$34/100)),15)/15,MIN(1,(Skills!T24*(1+Inputs!$B$34/100))/(1/Q1310)))))</f>
        <v/>
      </c>
    </row>
    <row r="1322">
      <c r="A1322" t="inlineStr">
        <is>
          <t>Buff-Casting Startup Delay (s, fixed-duration only)</t>
        </is>
      </c>
      <c r="B1322">
        <f>IF(AND(Inputs!$B$38&lt;&gt;"pvp",Inputs!$B$43&gt;0),SUMPRODUCT((Skills!T2:T26&gt;0)*(Skills!E2:E26=TRUE)*(C1288:C1312=TRUE))/B1317,0)</f>
        <v/>
      </c>
    </row>
    <row r="1323">
      <c r="A1323" t="inlineStr">
        <is>
          <t>Boss-Only Total DPS (this block's swept value)</t>
        </is>
      </c>
      <c r="B1323">
        <f>SUM(T1288:T1312)</f>
        <v/>
      </c>
    </row>
    <row r="1324">
      <c r="A1324" t="inlineStr">
        <is>
          <t>Normal-Only Total DPS (this block's swept value)</t>
        </is>
      </c>
      <c r="B1324">
        <f>SUM(V1288:V1312)</f>
        <v/>
      </c>
    </row>
    <row r="1325">
      <c r="A1325" s="6" t="inlineStr">
        <is>
          <t>TOTAL DPS</t>
        </is>
      </c>
      <c r="B1325" s="6">
        <f>SUM(O1288:O1312)</f>
        <v/>
      </c>
    </row>
    <row r="1326">
      <c r="A1326" t="inlineStr">
        <is>
          <t>Serpent activation interval T (this block's own Hook Bomber rate)</t>
        </is>
      </c>
      <c r="B1326">
        <f>((1/Q1289)+IFERROR(0.5/B1319,0))</f>
        <v/>
      </c>
    </row>
    <row r="1327">
      <c r="A1327" t="inlineStr">
        <is>
          <t>Assault Mode uptime u (this block)</t>
        </is>
      </c>
      <c r="B1327">
        <f>IF(C1291=TRUE,(10+IF(Inputs!$B$3&gt;=94,5,0))/((10+IF(Inputs!$B$3&gt;=94,5,0))+IF(Inputs!$B$3&gt;=104,3,5)*B1326),0)</f>
        <v/>
      </c>
    </row>
    <row r="1328">
      <c r="A1328" t="inlineStr">
        <is>
          <t>Nautilus Strike - Final Attack trigger rate (this block's own Q/R)</t>
        </is>
      </c>
      <c r="B1328">
        <f>IF(AND(Inputs!$B$38&lt;&gt;"pvp",Inputs!$B$43&gt;0),(((C1292=TRUE)*R1292)+((C1293=TRUE)*R1293)+((C1296=TRUE)*R1296))/Inputs!$B$43,((C1292=TRUE)*Q1292)+((C1293=TRUE)*Q1293)+((C1296=TRUE)*Q1296))+B1319</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1351=TRUE)*(F1351-Calc!F20)),(Inputs!$B$23+0+(IF(ArtifactsInput!$M$15,CHOOSE(ArtifactsInput!$N$15+1,25,30,35,40,45,50)/100*(Inputs!$B$11-Inputs!$B$11),0))))/100+(Inputs!$B$23+0+(IF(ArtifactsInput!$M$15,CHOOSE(ArtifactsInput!$N$15+1,25,30,35,40,45,50)/100*(Inputs!$B$11-Inputs!$B$11),0)))/100)/2</f>
        <v/>
      </c>
      <c r="M1333">
        <f>L1333*(1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Inputs!$B$3&gt;=35</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f>Skills!G3*IF(Skills!H3&gt;0,Skills!I3/Skills!H3,1)</f>
        <v/>
      </c>
      <c r="H1334">
        <f>1-(1-Skills!J3/100)^Skills!K3</f>
        <v/>
      </c>
      <c r="I1334" t="inlineStr">
        <is>
          <t>1</t>
        </is>
      </c>
      <c r="J1334">
        <f>((Inputs!$B$6*(1+Inputs!$B$7/100))+(((Inputs!$B$12*(1+Inputs!$B$13/100))-(Inputs!$B$12*(1+Inputs!$B$13/100)))+0.25*(Inputs!$B$14-Inputs!$B$14))*(1+Inputs!$B$7/100))*(F1334/100)</f>
        <v/>
      </c>
      <c r="K1334">
        <f>J1334*(1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Skills!A3="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1334)</f>
        <v/>
      </c>
      <c r="L1334">
        <f>K1334*(MIN(Inputs!$B$22+((C1351=TRUE)*(F1351-Calc!F20)),(Inputs!$B$23+0+(IF(ArtifactsInput!$M$15,CHOOSE(ArtifactsInput!$N$15+1,25,30,35,40,45,50)/100*(Inputs!$B$11-Inputs!$B$11),0))))/100+(Inputs!$B$23+0+(IF(ArtifactsInput!$M$15,CHOOSE(ArtifactsInput!$N$15+1,25,30,35,40,45,50)/100*(Inputs!$B$11-Inputs!$B$11),0)))/100)/2</f>
        <v/>
      </c>
      <c r="M1334">
        <f>L1334*(1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4">
        <f>L1334*(1-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1334*(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4">
        <f>(1-Summary!$B$11)*T1334+Summary!$B$11*V1334</f>
        <v/>
      </c>
      <c r="P1334">
        <f>IF(B1370=0,0,O1334/B1370)</f>
        <v/>
      </c>
      <c r="Q1334">
        <f>IFERROR(1/(IF(Inputs!$B$38="pvp",15,MAX(0.1,Skills!D3-IF(TRUE=TRUE,Inputs!$B$32,0)))*(1-IF(AND(ArtifactsInput!$M$27,Inputs!$B$4="Chapter Hunt"),CHOOSE(ArtifactsInput!$N$27+1,20,24,28,32,36,40),0)/100)),0)</f>
        <v/>
      </c>
      <c r="R1334">
        <f>IF(AND(Inputs!$B$38&lt;&gt;"pvp",Inputs!$B$43&gt;0),IF(MAX(0,Inputs!$B$43-B1367)&lt;=0,0,(INT(MAX(0,Inputs!$B$43-B1367)/(IF(Inputs!$B$38="pvp",15,MAX(0.1,Skills!D3-IF(TRUE=TRUE,Inputs!$B$32,0)))*(1-IF(AND(ArtifactsInput!$M$27,Inputs!$B$4="Chapter Hunt"),CHOOSE(ArtifactsInput!$N$27+1,20,24,28,32,36,40),0)/100)))+1)),0)</f>
        <v/>
      </c>
      <c r="S1334">
        <f>IFERROR(O1334/N1334,0)</f>
        <v/>
      </c>
      <c r="T1334">
        <f>IF(C1334,(Skills!G3*N1334*IF(C1335=TRUE,1-B1372,1)/B1371)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1334*(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1334*(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4">
        <f>INDEX(FactorTable!$B$2:$Y$301, MATCH(ROUND(MIN(300,MAX(1,U1333)),0), FactorTable!$A$2:$A$301,0), 22)</f>
        <v/>
      </c>
      <c r="V1334">
        <f>IF(C1334,(Skills!G3*N1334*IF(C1335=TRUE,1-B1372,1)/B1371)*IF(Inputs!$B$38="pvp",1,(1+(Inputs!$B$21+Skills!Q3+(IF(ArtifactsInput!$M$33,CHOOSE(ArtifactsInput!$N$33+1,30,36,42,48,54,60),0))+(IF(AND(ArtifactsInput!$M$35,Inputs!$B$4&lt;&gt;"Chapter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5">
      <c r="A1335">
        <f>Skills!A4</f>
        <v/>
      </c>
      <c r="B1335">
        <f>Skills!B4</f>
        <v/>
      </c>
      <c r="C1335">
        <f>Inputs!$B$3&gt;=69</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f>Skills!G4*IF(Skills!H4&gt;0,Skills!I4/Skills!H4,1)</f>
        <v/>
      </c>
      <c r="H1335">
        <f>1-(1-Skills!J4/100)^Skills!K4</f>
        <v/>
      </c>
      <c r="I1335" t="inlineStr">
        <is>
          <t>1</t>
        </is>
      </c>
      <c r="J1335">
        <f>((Inputs!$B$6*(1+Inputs!$B$7/100))+(((Inputs!$B$12*(1+Inputs!$B$13/100))-(Inputs!$B$12*(1+Inputs!$B$13/100)))+0.25*(Inputs!$B$14-Inputs!$B$14))*(1+Inputs!$B$7/100))*(F1335/100)</f>
        <v/>
      </c>
      <c r="K1335">
        <f>J1335*(1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4="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1351=TRUE)*(F1351-Calc!F20)),(Inputs!$B$23+0+(IF(ArtifactsInput!$M$15,CHOOSE(ArtifactsInput!$N$15+1,25,30,35,40,45,50)/100*(Inputs!$B$11-Inputs!$B$11),0))))/100+(Inputs!$B$23+0+(IF(ArtifactsInput!$M$15,CHOOSE(ArtifactsInput!$N$15+1,25,30,35,40,45,50)/100*(Inputs!$B$11-Inputs!$B$11),0)))/100)/2</f>
        <v/>
      </c>
      <c r="M1335">
        <f>L1335*(1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5">
        <f>L1335*(1-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1335*(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5">
        <f>(1-Summary!$B$11)*T1335+Summary!$B$11*V1335</f>
        <v/>
      </c>
      <c r="P1335">
        <f>IF(B1370=0,0,O1335/B1370)</f>
        <v/>
      </c>
      <c r="Q1335" t="n">
        <v>0</v>
      </c>
      <c r="R1335" t="n">
        <v>0</v>
      </c>
      <c r="S1335">
        <f>IFERROR(O1335/N1335,0)</f>
        <v/>
      </c>
      <c r="T1335">
        <f>IF(C1335,(Skills!G4*N1335*B1372/B1371)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1335*(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1335*(1-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1335*(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5">
        <f>290*U1334/1000</f>
        <v/>
      </c>
      <c r="V1335">
        <f>IF(C1335,(Skills!G4*N1335*B1372/B1371)*IF(Inputs!$B$38="pvp",1,(1+(Inputs!$B$21+Skills!Q4+(IF(ArtifactsInput!$M$33,CHOOSE(ArtifactsInput!$N$33+1,30,36,42,48,54,60),0))+(IF(AND(ArtifactsInput!$M$35,Inputs!$B$4&lt;&gt;"Chapter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Skills!A5</f>
        <v/>
      </c>
      <c r="B1336">
        <f>Skills!B5</f>
        <v/>
      </c>
      <c r="C1336">
        <f>Inputs!$B$3&gt;=66</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t="inlineStr"/>
      <c r="K1336" t="inlineStr"/>
      <c r="L1336" t="inlineStr"/>
      <c r="M1336" t="inlineStr"/>
      <c r="N1336" t="inlineStr"/>
      <c r="O1336">
        <f>(1-Summary!$B$11)*T1336+Summary!$B$11*V1336</f>
        <v/>
      </c>
      <c r="P1336">
        <f>IF(B1370=0,0,O1336/B1370)</f>
        <v/>
      </c>
      <c r="Q1336" t="n">
        <v>0</v>
      </c>
      <c r="R1336" t="n">
        <v>0</v>
      </c>
      <c r="S1336">
        <f>IFERROR(O1336/N1336,0)</f>
        <v/>
      </c>
      <c r="T1336" t="n">
        <v>0</v>
      </c>
      <c r="V1336" t="n">
        <v>0</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1343=TRUE,F1343,0)/100)*(1+(IF(Skills!A6="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1351=TRUE)*(F1351-Calc!F20)),(Inputs!$B$23+0+(IF(ArtifactsInput!$M$15,CHOOSE(ArtifactsInput!$N$15+1,25,30,35,40,45,50)/100*(Inputs!$B$11-Inputs!$B$11),0))))/100+(Inputs!$B$23+0+(IF(ArtifactsInput!$M$15,CHOOSE(ArtifactsInput!$N$15+1,25,30,35,40,45,50)/100*(Inputs!$B$11-Inputs!$B$11),0)))/100)/2</f>
        <v/>
      </c>
      <c r="M1337">
        <f>L1337*(1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$21+Skills!Q6+(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Inputs!$B$3&gt;=103</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1351=TRUE)*(F1351-Calc!F20)),(Inputs!$B$23+0+(IF(ArtifactsInput!$M$15,CHOOSE(ArtifactsInput!$N$15+1,25,30,35,40,45,50)/100*(Inputs!$B$11-Inputs!$B$11),0))))/100+(Inputs!$B$23+0+(IF(ArtifactsInput!$M$15,CHOOSE(ArtifactsInput!$N$15+1,25,30,35,40,45,50)/100*(Inputs!$B$11-Inputs!$B$11),0)))/100)/2</f>
        <v/>
      </c>
      <c r="M1338">
        <f>L1338*(1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$21+Skills!Q7+(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1339)</f>
        <v/>
      </c>
      <c r="L1339">
        <f>K1339*(MIN(Inputs!$B$22+((C1351=TRUE)*(F1351-Calc!F20)),(Inputs!$B$23+0+(IF(ArtifactsInput!$M$15,CHOOSE(ArtifactsInput!$N$15+1,25,30,35,40,45,50)/100*(Inputs!$B$11-Inputs!$B$11),0))))/100+(Inputs!$B$23+0+(IF(ArtifactsInput!$M$15,CHOOSE(ArtifactsInput!$N$15+1,25,30,35,40,45,50)/100*(Inputs!$B$11-Inputs!$B$11),0)))/100)/2</f>
        <v/>
      </c>
      <c r="M1339">
        <f>L1339*(1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9">
        <f>L1339*(1-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1339*(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1339*(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1339*(1-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1339*(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$21+Skills!Q8+(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Inputs!$B$3&gt;=120</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B1372</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1351=TRUE)*(F1351-Calc!F20)),(Inputs!$B$23+0+(IF(ArtifactsInput!$M$15,CHOOSE(ArtifactsInput!$N$15+1,25,30,35,40,45,50)/100*(Inputs!$B$11-Inputs!$B$11),0))))/100+(Inputs!$B$23+0+(IF(ArtifactsInput!$M$15,CHOOSE(ArtifactsInput!$N$15+1,25,30,35,40,45,50)/100*(Inputs!$B$11-Inputs!$B$11),0)))/100)/2</f>
        <v/>
      </c>
      <c r="M1340">
        <f>L1340*(1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IF(B1370=0,0,O1340/B1370)</f>
        <v/>
      </c>
      <c r="Q1340">
        <f>IFERROR(1/(IF(Inputs!$B$38="pvp",15,MAX(0.1,Skills!D9-IF(TRUE=TRUE,Inputs!$B$32,0)))*(1-IF(AND(ArtifactsInput!$M$27,Inputs!$B$4="Chapter Hunt"),CHOOSE(ArtifactsInput!$N$27+1,20,24,28,32,36,40),0)/100)),0)</f>
        <v/>
      </c>
      <c r="R1340">
        <f>IF(AND(Inputs!$B$38&lt;&gt;"pvp",Inputs!$B$43&gt;0),IF(MAX(0,Inputs!$B$43-B1367)&lt;=0,0,(INT(MAX(0,Inputs!$B$43-B1367)/(IF(Inputs!$B$38="pvp",15,MAX(0.1,Skills!D9-IF(TRUE=TRUE,Inputs!$B$32,0)))*(1-IF(AND(ArtifactsInput!$M$27,Inputs!$B$4="Chapter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$21+Skills!Q9+(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Inputs!$B$3&gt;=105</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1351=TRUE)*(F1351-Calc!F20)),(Inputs!$B$23+0+(IF(ArtifactsInput!$M$15,CHOOSE(ArtifactsInput!$N$15+1,25,30,35,40,45,50)/100*(Inputs!$B$11-Inputs!$B$11),0))))/100+(Inputs!$B$23+0+(IF(ArtifactsInput!$M$15,CHOOSE(ArtifactsInput!$N$15+1,25,30,35,40,45,50)/100*(Inputs!$B$11-Inputs!$B$11),0)))/100)/2</f>
        <v/>
      </c>
      <c r="M1341">
        <f>L1341*(1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$21+Skills!Q10+(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Inputs!$B$3&gt;=113</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1351=TRUE)*(F1351-Calc!F20)),(Inputs!$B$23+0+(IF(ArtifactsInput!$M$15,CHOOSE(ArtifactsInput!$N$15+1,25,30,35,40,45,50)/100*(Inputs!$B$11-Inputs!$B$11),0))))/100+(Inputs!$B$23+0+(IF(ArtifactsInput!$M$15,CHOOSE(ArtifactsInput!$N$15+1,25,30,35,40,45,50)/100*(Inputs!$B$11-Inputs!$B$11),0)))/100)/2</f>
        <v/>
      </c>
      <c r="M1342">
        <f>L1342*(1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IF(B1370=0,0,O1342/B1370)</f>
        <v/>
      </c>
      <c r="Q1342" t="n">
        <v>0</v>
      </c>
      <c r="R1342" t="n">
        <v>0</v>
      </c>
      <c r="S1342">
        <f>IFERROR(O1342/N1342,0)</f>
        <v/>
      </c>
      <c r="T1342">
        <f>IF(C1342,((H1342*B1373)/(1+Skills!H11*H1342*B1373)*N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IF(C1342,((H1342*B1373)/(1+Skills!H11*H1342*B1373)*N1342)*IF(Inputs!$B$38="pvp",1,(1+(Inputs!$B$21+Skills!Q11+(IF(ArtifactsInput!$M$33,CHOOSE(ArtifactsInput!$N$33+1,30,36,42,48,54,60),0))+(IF(AND(ArtifactsInput!$M$35,Inputs!$B$4&lt;&gt;"Chapter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c r="T1343" t="inlineStr"/>
      <c r="V1343" t="inlineStr"/>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Inputs!$B$3&gt;=115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f>IFERROR(1/(IF(Inputs!$B$38="pvp",15,MAX(0.1,Skills!D14-IF(TRUE=TRUE,Inputs!$B$32,0)))*(1-IF(AND(ArtifactsInput!$M$27,Inputs!$B$4="Chapter Hunt"),CHOOSE(ArtifactsInput!$N$27+1,20,24,28,32,36,40),0)/100)),0)</f>
        <v/>
      </c>
      <c r="R1345">
        <f>IF(AND(Inputs!$B$38&lt;&gt;"pvp",Inputs!$B$43&gt;0),IF(Inputs!$B$43&lt;=0,0,(INT(Inputs!$B$43/(IF(Inputs!$B$38="pvp",15,MAX(0.1,Skills!D14-IF(TRUE=TRUE,Inputs!$B$32,0)))*(1-IF(AND(ArtifactsInput!$M$27,Inputs!$B$4="Chapter Hunt"),CHOOSE(ArtifactsInput!$N$27+1,20,24,28,32,36,40),0)/100)))+1)),0)</f>
        <v/>
      </c>
      <c r="S1345">
        <f>IFERROR(O1345/N1345,0)</f>
        <v/>
      </c>
      <c r="T1345" t="n">
        <v>0</v>
      </c>
      <c r="V1345" t="n">
        <v>0</v>
      </c>
    </row>
    <row r="1346">
      <c r="A1346">
        <f>Skills!A15</f>
        <v/>
      </c>
      <c r="B1346">
        <f>Skills!B15</f>
        <v/>
      </c>
      <c r="C1346">
        <f>Inputs!$B$3&gt;=125</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Inputs!$B$3&gt;=10</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t="n">
        <v>0</v>
      </c>
      <c r="R1347" t="n">
        <v>0</v>
      </c>
      <c r="S1347">
        <f>IFERROR(O1347/N1347,0)</f>
        <v/>
      </c>
      <c r="T1347" t="n">
        <v>0</v>
      </c>
      <c r="V1347" t="n">
        <v>0</v>
      </c>
    </row>
    <row r="1348">
      <c r="A1348">
        <f>Skills!A17</f>
        <v/>
      </c>
      <c r="B1348">
        <f>Skills!B17</f>
        <v/>
      </c>
      <c r="C1348">
        <f>Inputs!$B$3&gt;=15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t="n">
        <v>0</v>
      </c>
      <c r="R1348" t="n">
        <v>0</v>
      </c>
      <c r="S1348">
        <f>IFERROR(O1348/N1348,0)</f>
        <v/>
      </c>
      <c r="T1348" t="n">
        <v>0</v>
      </c>
      <c r="V1348" t="n">
        <v>0</v>
      </c>
    </row>
    <row r="1349">
      <c r="A1349">
        <f>Skills!A18</f>
        <v/>
      </c>
      <c r="B1349">
        <f>Skills!B18</f>
        <v/>
      </c>
      <c r="C1349">
        <f>Inputs!$B$3&gt;=33</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t="n">
        <v>0</v>
      </c>
      <c r="R1349" t="n">
        <v>0</v>
      </c>
      <c r="S1349">
        <f>IFERROR(O1349/N1349,0)</f>
        <v/>
      </c>
      <c r="T1349" t="n">
        <v>0</v>
      </c>
      <c r="V1349" t="n">
        <v>0</v>
      </c>
    </row>
    <row r="1350">
      <c r="A1350">
        <f>Skills!A19</f>
        <v/>
      </c>
      <c r="B1350">
        <f>Skills!B19</f>
        <v/>
      </c>
      <c r="C1350">
        <f>Inputs!$B$3&gt;=40</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t="n">
        <v>0</v>
      </c>
      <c r="R1350" t="n">
        <v>0</v>
      </c>
      <c r="S1350">
        <f>IFERROR(O1350/N1350,0)</f>
        <v/>
      </c>
      <c r="T1350" t="n">
        <v>0</v>
      </c>
      <c r="V1350" t="n">
        <v>0</v>
      </c>
    </row>
    <row r="1351">
      <c r="A1351">
        <f>Skills!A20</f>
        <v/>
      </c>
      <c r="B1351">
        <f>Skills!B20</f>
        <v/>
      </c>
      <c r="C1351">
        <f>Inputs!$B$3&gt;=43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Inputs!$B$3&gt;=75</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TRUE</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f>IFERROR(1/(IF(Inputs!$B$38="pvp",15,MAX(0.1,Skills!D23-IF(TRUE=TRUE,Inputs!$B$32,0)))*(1-IF(AND(ArtifactsInput!$M$27,Inputs!$B$4="Chapter Hunt"),CHOOSE(ArtifactsInput!$N$27+1,20,24,28,32,36,40),0)/100)),0)</f>
        <v/>
      </c>
      <c r="R1354">
        <f>IF(AND(Inputs!$B$38&lt;&gt;"pvp",Inputs!$B$43&gt;0),IF(Inputs!$B$43&lt;=0,0,(INT(Inputs!$B$43/(IF(Inputs!$B$38="pvp",15,MAX(0.1,Skills!D23-IF(TRUE=TRUE,Inputs!$B$32,0)))*(1-IF(AND(ArtifactsInput!$M$27,Inputs!$B$4="Chapter Hunt"),CHOOSE(ArtifactsInput!$N$27+1,20,24,28,32,36,40),0)/100)))+1)),0)</f>
        <v/>
      </c>
      <c r="S1354">
        <f>IFERROR(O1354/N1354,0)</f>
        <v/>
      </c>
      <c r="T1354" t="n">
        <v>0</v>
      </c>
      <c r="V1354" t="n">
        <v>0</v>
      </c>
    </row>
    <row r="1355">
      <c r="A1355">
        <f>Skills!A24</f>
        <v/>
      </c>
      <c r="B1355">
        <f>Skills!B24</f>
        <v/>
      </c>
      <c r="C1355">
        <f>Inputs!$B$3&gt;=107</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f>IFERROR(1/(IF(Inputs!$B$38="pvp",15,MAX(0.1,Skills!D24-IF(TRUE=TRUE,Inputs!$B$32,0)))*(1-IF(AND(ArtifactsInput!$M$27,Inputs!$B$4="Chapter Hunt"),CHOOSE(ArtifactsInput!$N$27+1,20,24,28,32,36,40),0)/100)),0)</f>
        <v/>
      </c>
      <c r="R1355">
        <f>IF(AND(Inputs!$B$38&lt;&gt;"pvp",Inputs!$B$43&gt;0),IF(Inputs!$B$43&lt;=0,0,(INT(Inputs!$B$43/(IF(Inputs!$B$38="pvp",15,MAX(0.1,Skills!D24-IF(TRUE=TRUE,Inputs!$B$32,0)))*(1-IF(AND(ArtifactsInput!$M$27,Inputs!$B$4="Chapter Hunt"),CHOOSE(ArtifactsInput!$N$27+1,20,24,28,32,36,40),0)/100)))+1)),0)</f>
        <v/>
      </c>
      <c r="S1355">
        <f>IFERROR(O1355/N1355,0)</f>
        <v/>
      </c>
      <c r="T1355" t="n">
        <v>0</v>
      </c>
      <c r="V1355" t="n">
        <v>0</v>
      </c>
    </row>
    <row r="1356">
      <c r="A1356">
        <f>Skills!A25</f>
        <v/>
      </c>
      <c r="B1356">
        <f>Skills!B25</f>
        <v/>
      </c>
      <c r="C1356">
        <f>Inputs!$B$3&gt;=110</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t="inlineStr"/>
      <c r="H1356" t="inlineStr"/>
      <c r="I1356" t="inlineStr">
        <is>
          <t>1</t>
        </is>
      </c>
      <c r="J1356" t="inlineStr"/>
      <c r="K1356" t="inlineStr"/>
      <c r="L1356" t="inlineStr"/>
      <c r="M1356" t="inlineStr"/>
      <c r="N1356" t="inlineStr"/>
      <c r="O1356" t="inlineStr"/>
      <c r="P1356" t="inlineStr"/>
      <c r="Q1356" t="inlineStr"/>
      <c r="R1356" t="inlineStr"/>
      <c r="S1356" t="inlineStr"/>
      <c r="T1356" t="inlineStr"/>
      <c r="V1356" t="inlineStr"/>
    </row>
    <row r="1357">
      <c r="A1357">
        <f>Skills!A26</f>
        <v/>
      </c>
      <c r="B1357">
        <f>Skills!B26</f>
        <v/>
      </c>
      <c r="C1357">
        <f>Inputs!$B$3&gt;=117</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t="inlineStr"/>
      <c r="H1357" t="inlineStr"/>
      <c r="I1357" t="inlineStr">
        <is>
          <t>1</t>
        </is>
      </c>
      <c r="J1357" t="inlineStr"/>
      <c r="K1357" t="inlineStr"/>
      <c r="L1357" t="inlineStr"/>
      <c r="M1357" t="inlineStr"/>
      <c r="N1357" t="inlineStr"/>
      <c r="O1357" t="inlineStr"/>
      <c r="P1357" t="inlineStr"/>
      <c r="Q1357" t="inlineStr"/>
      <c r="R1357" t="inlineStr"/>
      <c r="S1357" t="inlineStr"/>
      <c r="T1357" t="inlineStr"/>
      <c r="V1357" t="inlineStr"/>
    </row>
    <row r="1359">
      <c r="A1359" t="inlineStr">
        <is>
          <t>Attack% Bucket Multiplier</t>
        </is>
      </c>
      <c r="B1359">
        <f>(1+(((C1344=TRUE)*F1344*5/7)+((C1350=TRUE)*(F1350-Calc!F19))+(IF(ArtifactsInput!$M$21,CHOOSE(ArtifactsInput!$N$21+1,25,30,35,40,45,50)*(IF(OR(Inputs!$B$4="Chapter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 (Nimble Feet + Speed Infusion, duty-cycle averaged)</t>
        </is>
      </c>
      <c r="B1361">
        <f>((C1354=TRUE)*F1354*IF(AND(Inputs!$B$38&lt;&gt;"pvp",Inputs!$B$43&gt;0),(((R1354-1)*MIN((Skills!T23*(1+Inputs!$B$34/100)),(1/Q1354))+MIN((Skills!T23*(1+Inputs!$B$34/100)),MAX(0,Inputs!$B$43-((R1354-1)*(1/Q1354)))))/Inputs!$B$43),IF(Inputs!$B$38="pvp",MIN((Skills!T23*(1+Inputs!$B$34/100)),15)/15,MIN(1,(Skills!T23*(1+Inputs!$B$34/100))/(1/Q1354)))))+((C1355=TRUE)*F1355*IF(AND(Inputs!$B$38&lt;&gt;"pvp",Inputs!$B$43&gt;0),(((R1355-1)*MIN((Skills!T24*(1+Inputs!$B$34/100)),(1/Q1355))+MIN((Skills!T24*(1+Inputs!$B$34/100)),MAX(0,Inputs!$B$43-((R1355-1)*(1/Q1355)))))/Inputs!$B$43),IF(Inputs!$B$38="pvp",MIN((Skills!T24*(1+Inputs!$B$34/100)),15)/15,MIN(1,(Skills!T24*(1+Inputs!$B$34/100))/(1/Q1355)))))</f>
        <v/>
      </c>
    </row>
    <row r="1362">
      <c r="A1362" t="inlineStr">
        <is>
          <t>Actions Per Second</t>
        </is>
      </c>
      <c r="B1362">
        <f>1+MIN(150,150*(1-(1-(Inputs!$B$11+((C1348=TRUE)*(F1348-Calc!F17))+((C1349=TRUE)*(F1349-Calc!F18)))/150)*(1-B1361/150)))/100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Hook Bomber Casts Per Second</t>
        </is>
      </c>
      <c r="B1364">
        <f>MAX(0,B1362-B1363)</f>
        <v/>
      </c>
    </row>
    <row r="1365">
      <c r="A1365" t="inlineStr">
        <is>
          <t>Global Critical Damage Bonus % (unused)</t>
        </is>
      </c>
      <c r="B1365" t="n">
        <v>0</v>
      </c>
    </row>
    <row r="1366">
      <c r="A1366" t="inlineStr">
        <is>
          <t>Global Final Damage Bonus % (Serpent Scale + Crossbones + Time Leap + Speed Infusion)</t>
        </is>
      </c>
      <c r="B1366">
        <f>((C1336=TRUE)*(F1336*B1372+4*(1-B1372)))+((C1345=TRUE)*F1345*IF(AND(Inputs!$B$38&lt;&gt;"pvp",Inputs!$B$43&gt;0),(((R1345-1)*MIN((Skills!T14*(1+Inputs!$B$34/100)),(1/Q1345))+MIN((Skills!T14*(1+Inputs!$B$34/100)),MAX(0,Inputs!$B$43-((R1345-1)*(1/Q1345)))))/Inputs!$B$43),IF(Inputs!$B$38="pvp",MIN((Skills!T14*(1+Inputs!$B$34/100)),15)/15,MIN(1,(Skills!T14*(1+Inputs!$B$34/100))/(1/Q1345)))))+((C1346=TRUE)*F1346*IF(AND(Inputs!$B$38&lt;&gt;"pvp",Inputs!$B$43&gt;0),(((R1346-1)*MIN((Skills!T15*(1+Inputs!$B$34/100)),(1/Q1346))+MIN((Skills!T15*(1+Inputs!$B$34/100)),MAX(0,Inputs!$B$43-((R1346-1)*(1/Q1346)))))/Inputs!$B$43),IF(Inputs!$B$38="pvp",MIN((Skills!T15*(1+Inputs!$B$34/100)),15)/15,MIN(1,(Skills!T15*(1+Inputs!$B$34/100))/(1/Q1346)))))+((C1355=TRUE)*20*((1+MIN(150,150*(1-(1-(Inputs!$B$11+((C1348=TRUE)*(F1348-Calc!F17))+((C1349=TRUE)*(F1349-Calc!F18)))/150)*(1-(((C1354=TRUE)*F1354*IF(AND(Inputs!$B$38&lt;&gt;"pvp",Inputs!$B$43&gt;0),(((R1354-1)*MIN((Skills!T23*(1+Inputs!$B$34/100)),(1/Q1354))+MIN((Skills!T23*(1+Inputs!$B$34/100)),MAX(0,Inputs!$B$43-((R1354-1)*(1/Q1354)))))/Inputs!$B$43),IF(Inputs!$B$38="pvp",MIN((Skills!T23*(1+Inputs!$B$34/100)),15)/15,MIN(1,(Skills!T23*(1+Inputs!$B$34/100))/(1/Q1354)))))+F1355)/150)))/100)-1)*IF(AND(Inputs!$B$38&lt;&gt;"pvp",Inputs!$B$43&gt;0),(((R1355-1)*MIN((Skills!T24*(1+Inputs!$B$34/100)),(1/Q1355))+MIN((Skills!T24*(1+Inputs!$B$34/100)),MAX(0,Inputs!$B$43-((R1355-1)*(1/Q1355)))))/Inputs!$B$43),IF(Inputs!$B$38="pvp",MIN((Skills!T24*(1+Inputs!$B$34/100)),15)/15,MIN(1,(Skills!T24*(1+Inputs!$B$34/100))/(1/Q1355)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1">
      <c r="A1371" t="inlineStr">
        <is>
          <t>Serpent activation interval T (this block's own Hook Bomber rate)</t>
        </is>
      </c>
      <c r="B1371">
        <f>((1/Q1334)+IFERROR(0.5/B1364,0))</f>
        <v/>
      </c>
    </row>
    <row r="1372">
      <c r="A1372" t="inlineStr">
        <is>
          <t>Assault Mode uptime u (this block)</t>
        </is>
      </c>
      <c r="B1372">
        <f>IF(C1336=TRUE,(10+IF(Inputs!$B$3&gt;=94,5,0))/((10+IF(Inputs!$B$3&gt;=94,5,0))+IF(Inputs!$B$3&gt;=104,3,5)*B1371),0)</f>
        <v/>
      </c>
    </row>
    <row r="1373">
      <c r="A1373" t="inlineStr">
        <is>
          <t>Nautilus Strike - Final Attack trigger rate (this block's own Q/R)</t>
        </is>
      </c>
      <c r="B1373">
        <f>IF(AND(Inputs!$B$38&lt;&gt;"pvp",Inputs!$B$43&gt;0),(((C1337=TRUE)*R1337)+((C1338=TRUE)*R1338)+((C1341=TRUE)*R1341))/Inputs!$B$43,((C1337=TRUE)*Q1337)+((C1338=TRUE)*Q1338)+((C1341=TRUE)*Q1341))+B1364</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1396=TRUE)*(F1396-Calc!F20)),(Inputs!$B$23+0+(IF(ArtifactsInput!$M$15,CHOOSE(ArtifactsInput!$N$15+1,25,30,35,40,45,50)/100*(Inputs!$B$11-Inputs!$B$11),0))))/100+(Inputs!$B$23+0+(IF(ArtifactsInput!$M$15,CHOOSE(ArtifactsInput!$N$15+1,25,30,35,40,45,50)/100*(Inputs!$B$11-Inputs!$B$11),0)))/100)/2</f>
        <v/>
      </c>
      <c r="M1378">
        <f>L1378*(1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IF(B1415=0,0,O1378/B1415)</f>
        <v/>
      </c>
      <c r="Q1378" t="n">
        <v>0</v>
      </c>
      <c r="R1378" t="n">
        <v>0</v>
      </c>
      <c r="S1378">
        <f>IFERROR(O1378/N1378,0)</f>
        <v/>
      </c>
      <c r="T1378">
        <f>IF(C1378,(Skills!G2*N1378*B1409)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IF(C1378,(Skills!G2*N1378*B1409)*IF(Inputs!$B$38="pvp",1,(1+(Inputs!$B$21+Skills!Q2+(IF(ArtifactsInput!$M$33,CHOOSE(ArtifactsInput!$N$33+1,30,36,42,48,54,60),0))+(IF(AND(ArtifactsInput!$M$35,Inputs!$B$4&lt;&gt;"Chapter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Inputs!$B$3&gt;=35</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f>Skills!G3*IF(Skills!H3&gt;0,Skills!I3/Skills!H3,1)</f>
        <v/>
      </c>
      <c r="H1379">
        <f>1-(1-Skills!J3/100)^Skills!K3</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1401=TRUE,F1401,0)/100)*(1+(IF(Skills!A3="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1379)</f>
        <v/>
      </c>
      <c r="L1379">
        <f>K1379*(MIN(Inputs!$B$22+((C1396=TRUE)*(F1396-Calc!F20)),(Inputs!$B$23+0+(IF(ArtifactsInput!$M$15,CHOOSE(ArtifactsInput!$N$15+1,25,30,35,40,45,50)/100*(Inputs!$B$11-Inputs!$B$11),0))))/100+(Inputs!$B$23+0+(IF(ArtifactsInput!$M$15,CHOOSE(ArtifactsInput!$N$15+1,25,30,35,40,45,50)/100*(Inputs!$B$11-Inputs!$B$11),0)))/100)/2</f>
        <v/>
      </c>
      <c r="M1379">
        <f>L1379*(1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IF(B1415=0,0,O1379/B1415)</f>
        <v/>
      </c>
      <c r="Q1379">
        <f>IFERROR(1/(IF(Inputs!$B$38="pvp",15,MAX(0.1,Skills!D3-IF(TRUE=TRUE,Inputs!$B$32,0)))*(1-IF(AND(ArtifactsInput!$M$27,Inputs!$B$4="Chapter Hunt"),CHOOSE(ArtifactsInput!$N$27+1,20,24,28,32,36,40),0)/100)),0)</f>
        <v/>
      </c>
      <c r="R1379">
        <f>IF(AND(Inputs!$B$38&lt;&gt;"pvp",Inputs!$B$43&gt;0),IF(MAX(0,Inputs!$B$43-B1412)&lt;=0,0,(INT(MAX(0,Inputs!$B$43-B1412)/(IF(Inputs!$B$38="pvp",15,MAX(0.1,Skills!D3-IF(TRUE=TRUE,Inputs!$B$32,0)))*(1-IF(AND(ArtifactsInput!$M$27,Inputs!$B$4="Chapter Hunt"),CHOOSE(ArtifactsInput!$N$27+1,20,24,28,32,36,40),0)/100)))+1)),0)</f>
        <v/>
      </c>
      <c r="S1379">
        <f>IFERROR(O1379/N1379,0)</f>
        <v/>
      </c>
      <c r="T1379">
        <f>IF(C1379,(Skills!G3*N1379*IF(C1380=TRUE,1-B1417,1)/B1416)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1379*(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1379*(1-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9">
        <f>INDEX(FactorTable!$B$2:$Y$301, MATCH(ROUND(MIN(300,MAX(1,U1378)),0), FactorTable!$A$2:$A$301,0), 22)</f>
        <v/>
      </c>
      <c r="V1379">
        <f>IF(C1379,(Skills!G3*N1379*IF(C1380=TRUE,1-B1417,1)/B1416)*IF(Inputs!$B$38="pvp",1,(1+(Inputs!$B$21+Skills!Q3+(IF(ArtifactsInput!$M$33,CHOOSE(ArtifactsInput!$N$33+1,30,36,42,48,54,60),0))+(IF(AND(ArtifactsInput!$M$35,Inputs!$B$4&lt;&gt;"Chapter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Skills!A4</f>
        <v/>
      </c>
      <c r="B1380">
        <f>Skills!B4</f>
        <v/>
      </c>
      <c r="C1380">
        <f>Inputs!$B$3&gt;=69</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f>Skills!G4*IF(Skills!H4&gt;0,Skills!I4/Skills!H4,1)</f>
        <v/>
      </c>
      <c r="H1380">
        <f>1-(1-Skills!J4/100)^Skills!K4</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4="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1396=TRUE)*(F1396-Calc!F20)),(Inputs!$B$23+0+(IF(ArtifactsInput!$M$15,CHOOSE(ArtifactsInput!$N$15+1,25,30,35,40,45,50)/100*(Inputs!$B$11-Inputs!$B$11),0))))/100+(Inputs!$B$23+0+(IF(ArtifactsInput!$M$15,CHOOSE(ArtifactsInput!$N$15+1,25,30,35,40,45,50)/100*(Inputs!$B$11-Inputs!$B$11),0)))/100)/2</f>
        <v/>
      </c>
      <c r="M1380">
        <f>L1380*(1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IF(B1415=0,0,O1380/B1415)</f>
        <v/>
      </c>
      <c r="Q1380" t="n">
        <v>0</v>
      </c>
      <c r="R1380" t="n">
        <v>0</v>
      </c>
      <c r="S1380">
        <f>IFERROR(O1380/N1380,0)</f>
        <v/>
      </c>
      <c r="T1380">
        <f>IF(C1380,(Skills!G4*N1380*B1417/B1416)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1380*(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1380*(1-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0">
        <f>290*U1379/1000</f>
        <v/>
      </c>
      <c r="V1380">
        <f>IF(C1380,(Skills!G4*N1380*B1417/B1416)*IF(Inputs!$B$38="pvp",1,(1+(Inputs!$B$21+Skills!Q4+(IF(ArtifactsInput!$M$33,CHOOSE(ArtifactsInput!$N$33+1,30,36,42,48,54,60),0))+(IF(AND(ArtifactsInput!$M$35,Inputs!$B$4&lt;&gt;"Chapter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Skills!A5</f>
        <v/>
      </c>
      <c r="B1381">
        <f>Skills!B5</f>
        <v/>
      </c>
      <c r="C1381">
        <f>Inputs!$B$3&gt;=66</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t="inlineStr"/>
      <c r="K1381" t="inlineStr"/>
      <c r="L1381" t="inlineStr"/>
      <c r="M1381" t="inlineStr"/>
      <c r="N1381" t="inlineStr"/>
      <c r="O1381">
        <f>(1-Summary!$B$11)*T1381+Summary!$B$11*V1381</f>
        <v/>
      </c>
      <c r="P1381">
        <f>IF(B1415=0,0,O1381/B1415)</f>
        <v/>
      </c>
      <c r="Q1381" t="n">
        <v>0</v>
      </c>
      <c r="R1381" t="n">
        <v>0</v>
      </c>
      <c r="S1381">
        <f>IFERROR(O1381/N1381,0)</f>
        <v/>
      </c>
      <c r="T1381" t="n">
        <v>0</v>
      </c>
      <c r="V1381" t="n">
        <v>0</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1388=TRUE,F1388,0)/100)*(1+(IF(Skills!A6="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1396=TRUE)*(F1396-Calc!F20)),(Inputs!$B$23+0+(IF(ArtifactsInput!$M$15,CHOOSE(ArtifactsInput!$N$15+1,25,30,35,40,45,50)/100*(Inputs!$B$11-Inputs!$B$11),0))))/100+(Inputs!$B$23+0+(IF(ArtifactsInput!$M$15,CHOOSE(ArtifactsInput!$N$15+1,25,30,35,40,45,50)/100*(Inputs!$B$11-Inputs!$B$11),0)))/100)/2</f>
        <v/>
      </c>
      <c r="M1382">
        <f>L1382*(1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IF(B1415=0,0,O1382/B1415)</f>
        <v/>
      </c>
      <c r="Q1382">
        <f>IFERROR(1/(IF(Inputs!$B$38="pvp",15,MAX(0.1,Skills!D6-IF(TRUE=TRUE,Inputs!$B$32,0)))*(1-IF(AND(ArtifactsInput!$M$27,Inputs!$B$4="Chapter Hunt"),CHOOSE(ArtifactsInput!$N$27+1,20,24,28,32,36,40),0)/100)),0)</f>
        <v/>
      </c>
      <c r="R1382">
        <f>IF(AND(Inputs!$B$38&lt;&gt;"pvp",Inputs!$B$43&gt;0),IF(MAX(0,Inputs!$B$43-B1412)&lt;=0,0,(INT(MAX(0,Inputs!$B$43-B1412)/(IF(Inputs!$B$38="pvp",15,MAX(0.1,Skills!D6-IF(TRUE=TRUE,Inputs!$B$32,0)))*(1-IF(AND(ArtifactsInput!$M$27,Inputs!$B$4="Chapter Hunt"),CHOOSE(ArtifactsInput!$N$27+1,20,24,28,32,36,40),0)/100)))+1)),0)</f>
        <v/>
      </c>
      <c r="S1382">
        <f>IFERROR(O1382/N1382,0)</f>
        <v/>
      </c>
      <c r="T1382">
        <f>IF(C1382,(H1382*N1382*IF(AND(Inputs!$B$38&lt;&gt;"pvp",Inputs!$B$43&gt;0),((Skills!G6*((R1382-1)*IF(Skills!H6&gt;0,Skills!I6/Skills!H6,1)+IF(Skills!H6&gt;0,MIN(Skills!I6,MAX(0,MAX(0,Inputs!$B$43-B1412)-((R1382-1)*(IF(Inputs!$B$38="pvp",15,MAX(0.1,Skills!D6-IF(TRUE=TRUE,Inputs!$B$32,0)))*(1-IF(AND(ArtifactsInput!$M$27,Inputs!$B$4="Chapter Hunt"),CHOOSE(ArtifactsInput!$N$27+1,20,24,28,32,36,40),0)/100)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1412)-((R1382-1)*(IF(Inputs!$B$38="pvp",15,MAX(0.1,Skills!D6-IF(TRUE=TRUE,Inputs!$B$32,0)))*(1-IF(AND(ArtifactsInput!$M$27,Inputs!$B$4="Chapter Hunt"),CHOOSE(ArtifactsInput!$N$27+1,20,24,28,32,36,40),0)/100)))))/Skills!H6,1)))/Inputs!$B$43),G1382*Q1382))*IF(Inputs!$B$38="pvp",1,(1+(Inputs!$B$21+Skills!Q6+(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Inputs!$B$3&gt;=103</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1396=TRUE)*(F1396-Calc!F20)),(Inputs!$B$23+0+(IF(ArtifactsInput!$M$15,CHOOSE(ArtifactsInput!$N$15+1,25,30,35,40,45,50)/100*(Inputs!$B$11-Inputs!$B$11),0))))/100+(Inputs!$B$23+0+(IF(ArtifactsInput!$M$15,CHOOSE(ArtifactsInput!$N$15+1,25,30,35,40,45,50)/100*(Inputs!$B$11-Inputs!$B$11),0)))/100)/2</f>
        <v/>
      </c>
      <c r="M1383">
        <f>L1383*(1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IF(B1415=0,0,O1383/B1415)</f>
        <v/>
      </c>
      <c r="Q1383">
        <f>IFERROR(1/(IF(Inputs!$B$38="pvp",15,MAX(0.1,Skills!D7-IF(TRUE=TRUE,Inputs!$B$32,0)))*(1-IF(AND(ArtifactsInput!$M$27,Inputs!$B$4="Chapter Hunt"),CHOOSE(ArtifactsInput!$N$27+1,20,24,28,32,36,40),0)/100)),0)</f>
        <v/>
      </c>
      <c r="R1383">
        <f>IF(AND(Inputs!$B$38&lt;&gt;"pvp",Inputs!$B$43&gt;0),IF(MAX(0,Inputs!$B$43-B1412)&lt;=0,0,(INT(MAX(0,Inputs!$B$43-B1412)/(IF(Inputs!$B$38="pvp",15,MAX(0.1,Skills!D7-IF(TRUE=TRUE,Inputs!$B$32,0)))*(1-IF(AND(ArtifactsInput!$M$27,Inputs!$B$4="Chapter Hunt"),CHOOSE(ArtifactsInput!$N$27+1,20,24,28,32,36,40),0)/100)))+1)),0)</f>
        <v/>
      </c>
      <c r="S1383">
        <f>IFERROR(O1383/N1383,0)</f>
        <v/>
      </c>
      <c r="T1383">
        <f>IF(C1383,(H1383*N1383*IF(AND(Inputs!$B$38&lt;&gt;"pvp",Inputs!$B$43&gt;0),((Skills!G7*((R1383-1)*IF(Skills!H7&gt;0,Skills!I7/Skills!H7,1)+IF(Skills!H7&gt;0,MIN(Skills!I7,MAX(0,MAX(0,Inputs!$B$43-B1412)-((R1383-1)*(IF(Inputs!$B$38="pvp",15,MAX(0.1,Skills!D7-IF(TRUE=TRUE,Inputs!$B$32,0)))*(1-IF(AND(ArtifactsInput!$M$27,Inputs!$B$4="Chapter Hunt"),CHOOSE(ArtifactsInput!$N$27+1,20,24,28,32,36,40),0)/100)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1412)-((R1383-1)*(IF(Inputs!$B$38="pvp",15,MAX(0.1,Skills!D7-IF(TRUE=TRUE,Inputs!$B$32,0)))*(1-IF(AND(ArtifactsInput!$M$27,Inputs!$B$4="Chapter Hunt"),CHOOSE(ArtifactsInput!$N$27+1,20,24,28,32,36,40),0)/100)))))/Skills!H7,1)))/Inputs!$B$43),G1383*Q1383))*IF(Inputs!$B$38="pvp",1,(1+(Inputs!$B$21+Skills!Q7+(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Inputs!$B$3&gt;=117</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f>Skills!G8*IF(Skills!H8&gt;0,Skills!I8/Skills!H8,1)</f>
        <v/>
      </c>
      <c r="H1384">
        <f>1-(1-Skills!J8/100)^Skills!K8</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C1396=TRUE)*(F1396-Calc!F20)),(Inputs!$B$23+0+(IF(ArtifactsInput!$M$15,CHOOSE(ArtifactsInput!$N$15+1,25,30,35,40,45,50)/100*(Inputs!$B$11-Inputs!$B$11),0))))/100+(Inputs!$B$23+0+(IF(ArtifactsInput!$M$15,CHOOSE(ArtifactsInput!$N$15+1,25,30,35,40,45,50)/100*(Inputs!$B$11-Inputs!$B$11),0)))/100)/2</f>
        <v/>
      </c>
      <c r="M1384">
        <f>L1384*(1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IF(B1415=0,0,O1384/B1415)</f>
        <v/>
      </c>
      <c r="Q1384">
        <f>IFERROR(1/(IF(Inputs!$B$38="pvp",15,MAX(0.1,Skills!D8-IF(TRUE=TRUE,Inputs!$B$32,0)))*(1-IF(AND(ArtifactsInput!$M$27,Inputs!$B$4="Chapter Hunt"),CHOOSE(ArtifactsInput!$N$27+1,20,24,28,32,36,40),0)/100)),0)</f>
        <v/>
      </c>
      <c r="R1384">
        <f>IF(AND(Inputs!$B$38&lt;&gt;"pvp",Inputs!$B$43&gt;0),IF(MAX(0,Inputs!$B$43-B1412)&lt;=0,0,(INT(MAX(0,Inputs!$B$43-B1412)/(IF(Inputs!$B$38="pvp",15,MAX(0.1,Skills!D8-IF(TRUE=TRUE,Inputs!$B$32,0)))*(1-IF(AND(ArtifactsInput!$M$27,Inputs!$B$4="Chapter Hunt"),CHOOSE(ArtifactsInput!$N$27+1,20,24,28,32,36,40),0)/100)))+1)),0)</f>
        <v/>
      </c>
      <c r="S1384">
        <f>IFERROR(O1384/N1384,0)</f>
        <v/>
      </c>
      <c r="T1384">
        <f>IF(C1384,(H1384*N1384*IF(AND(Inputs!$B$38&lt;&gt;"pvp",Inputs!$B$43&gt;0),((Skills!G8*((R1384-1)*IF(Skills!H8&gt;0,Skills!I8/Skills!H8,1)+IF(Skills!H8&gt;0,MIN(Skills!I8,MAX(0,MAX(0,Inputs!$B$43-B1412)-((R1384-1)*(IF(Inputs!$B$38="pvp",15,MAX(0.1,Skills!D8-IF(TRUE=TRUE,Inputs!$B$32,0)))*(1-IF(AND(ArtifactsInput!$M$27,Inputs!$B$4="Chapter Hunt"),CHOOSE(ArtifactsInput!$N$27+1,20,24,28,32,36,40),0)/100)))))/Skills!H8,1)))/Inputs!$B$43),G1384*Q1384)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1384*(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1384*(1-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8*((R1384-1)*IF(Skills!H8&gt;0,Skills!I8/Skills!H8,1)+IF(Skills!H8&gt;0,MIN(Skills!I8,MAX(0,MAX(0,Inputs!$B$43-B1412)-((R1384-1)*(IF(Inputs!$B$38="pvp",15,MAX(0.1,Skills!D8-IF(TRUE=TRUE,Inputs!$B$32,0)))*(1-IF(AND(ArtifactsInput!$M$27,Inputs!$B$4="Chapter Hunt"),CHOOSE(ArtifactsInput!$N$27+1,20,24,28,32,36,40),0)/100)))))/Skills!H8,1)))/Inputs!$B$43),G1384*Q1384))*IF(Inputs!$B$38="pvp",1,(1+(Inputs!$B$21+Skills!Q8+(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Skills!A9</f>
        <v/>
      </c>
      <c r="B1385">
        <f>Skills!B9</f>
        <v/>
      </c>
      <c r="C1385">
        <f>Inputs!$B$3&gt;=120</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B1417</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1396=TRUE)*(F1396-Calc!F20)),(Inputs!$B$23+0+(IF(ArtifactsInput!$M$15,CHOOSE(ArtifactsInput!$N$15+1,25,30,35,40,45,50)/100*(Inputs!$B$11-Inputs!$B$11),0))))/100+(Inputs!$B$23+0+(IF(ArtifactsInput!$M$15,CHOOSE(ArtifactsInput!$N$15+1,25,30,35,40,45,50)/100*(Inputs!$B$11-Inputs!$B$11),0)))/100)/2</f>
        <v/>
      </c>
      <c r="M1385">
        <f>L1385*(1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IF(B1415=0,0,O1385/B1415)</f>
        <v/>
      </c>
      <c r="Q1385">
        <f>IFERROR(1/(IF(Inputs!$B$38="pvp",15,MAX(0.1,Skills!D9-IF(TRUE=TRUE,Inputs!$B$32,0)))*(1-IF(AND(ArtifactsInput!$M$27,Inputs!$B$4="Chapter Hunt"),CHOOSE(ArtifactsInput!$N$27+1,20,24,28,32,36,40),0)/100)),0)</f>
        <v/>
      </c>
      <c r="R1385">
        <f>IF(AND(Inputs!$B$38&lt;&gt;"pvp",Inputs!$B$43&gt;0),IF(MAX(0,Inputs!$B$43-B1412)&lt;=0,0,(INT(MAX(0,Inputs!$B$43-B1412)/(IF(Inputs!$B$38="pvp",15,MAX(0.1,Skills!D9-IF(TRUE=TRUE,Inputs!$B$32,0)))*(1-IF(AND(ArtifactsInput!$M$27,Inputs!$B$4="Chapter Hunt"),CHOOSE(ArtifactsInput!$N$27+1,20,24,28,32,36,40),0)/100)))+1)),0)</f>
        <v/>
      </c>
      <c r="S1385">
        <f>IFERROR(O1385/N1385,0)</f>
        <v/>
      </c>
      <c r="T1385">
        <f>IF(C1385,(H1385*N1385*IF(AND(Inputs!$B$38&lt;&gt;"pvp",Inputs!$B$43&gt;0),((Skills!G9*((R1385-1)*IF(Skills!H9&gt;0,Skills!I9/Skills!H9,1)+IF(Skills!H9&gt;0,MIN(Skills!I9,MAX(0,MAX(0,Inputs!$B$43-B1412)-((R1385-1)*(IF(Inputs!$B$38="pvp",15,MAX(0.1,Skills!D9-IF(TRUE=TRUE,Inputs!$B$32,0)))*(1-IF(AND(ArtifactsInput!$M$27,Inputs!$B$4="Chapter Hunt"),CHOOSE(ArtifactsInput!$N$27+1,20,24,28,32,36,40),0)/100)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1412)-((R1385-1)*(IF(Inputs!$B$38="pvp",15,MAX(0.1,Skills!D9-IF(TRUE=TRUE,Inputs!$B$32,0)))*(1-IF(AND(ArtifactsInput!$M$27,Inputs!$B$4="Chapter Hunt"),CHOOSE(ArtifactsInput!$N$27+1,20,24,28,32,36,40),0)/100)))))/Skills!H9,1)))/Inputs!$B$43),G1385*Q1385))*IF(Inputs!$B$38="pvp",1,(1+(Inputs!$B$21+Skills!Q9+(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Inputs!$B$3&gt;=105</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1396=TRUE)*(F1396-Calc!F20)),(Inputs!$B$23+0+(IF(ArtifactsInput!$M$15,CHOOSE(ArtifactsInput!$N$15+1,25,30,35,40,45,50)/100*(Inputs!$B$11-Inputs!$B$11),0))))/100+(Inputs!$B$23+0+(IF(ArtifactsInput!$M$15,CHOOSE(ArtifactsInput!$N$15+1,25,30,35,40,45,50)/100*(Inputs!$B$11-Inputs!$B$11),0)))/100)/2</f>
        <v/>
      </c>
      <c r="M1386">
        <f>L1386*(1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IF(B1415=0,0,O1386/B1415)</f>
        <v/>
      </c>
      <c r="Q1386">
        <f>IFERROR(1/(IF(Inputs!$B$38="pvp",15,MAX(0.1,Skills!D10-IF(TRUE=TRUE,Inputs!$B$32,0)))*(1-IF(AND(ArtifactsInput!$M$27,Inputs!$B$4="Chapter Hunt"),CHOOSE(ArtifactsInput!$N$27+1,20,24,28,32,36,40),0)/100)),0)</f>
        <v/>
      </c>
      <c r="R1386">
        <f>IF(AND(Inputs!$B$38&lt;&gt;"pvp",Inputs!$B$43&gt;0),IF(MAX(0,Inputs!$B$43-B1412)&lt;=0,0,(INT(MAX(0,Inputs!$B$43-B1412)/(IF(Inputs!$B$38="pvp",15,MAX(0.1,Skills!D10-IF(TRUE=TRUE,Inputs!$B$32,0)))*(1-IF(AND(ArtifactsInput!$M$27,Inputs!$B$4="Chapter Hunt"),CHOOSE(ArtifactsInput!$N$27+1,20,24,28,32,36,40),0)/100)))+1)),0)</f>
        <v/>
      </c>
      <c r="S1386">
        <f>IFERROR(O1386/N1386,0)</f>
        <v/>
      </c>
      <c r="T1386">
        <f>IF(C1386,(H1386*N1386*IF(AND(Inputs!$B$38&lt;&gt;"pvp",Inputs!$B$43&gt;0),((Skills!G10*((R1386-1)*IF(Skills!H10&gt;0,Skills!I10/Skills!H10,1)+IF(Skills!H10&gt;0,MIN(Skills!I10,MAX(0,MAX(0,Inputs!$B$43-B1412)-((R1386-1)*(IF(Inputs!$B$38="pvp",15,MAX(0.1,Skills!D10-IF(TRUE=TRUE,Inputs!$B$32,0)))*(1-IF(AND(ArtifactsInput!$M$27,Inputs!$B$4="Chapter Hunt"),CHOOSE(ArtifactsInput!$N$27+1,20,24,28,32,36,40),0)/100)))))/Skills!H10,1)))/Inputs!$B$43),G1386*Q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H1386*N1386*IF(AND(Inputs!$B$38&lt;&gt;"pvp",Inputs!$B$43&gt;0),((Skills!G10*((R1386-1)*IF(Skills!H10&gt;0,Skills!I10/Skills!H10,1)+IF(Skills!H10&gt;0,MIN(Skills!I10,MAX(0,MAX(0,Inputs!$B$43-B1412)-((R1386-1)*(IF(Inputs!$B$38="pvp",15,MAX(0.1,Skills!D10-IF(TRUE=TRUE,Inputs!$B$32,0)))*(1-IF(AND(ArtifactsInput!$M$27,Inputs!$B$4="Chapter Hunt"),CHOOSE(ArtifactsInput!$N$27+1,20,24,28,32,36,40),0)/100)))))/Skills!H10,1)))/Inputs!$B$43),G1386*Q1386))*IF(Inputs!$B$38="pvp",1,(1+(Inputs!$B$21+Skills!Q10+(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Inputs!$B$3&gt;=113</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1396=TRUE)*(F1396-Calc!F20)),(Inputs!$B$23+0+(IF(ArtifactsInput!$M$15,CHOOSE(ArtifactsInput!$N$15+1,25,30,35,40,45,50)/100*(Inputs!$B$11-Inputs!$B$11),0))))/100+(Inputs!$B$23+0+(IF(ArtifactsInput!$M$15,CHOOSE(ArtifactsInput!$N$15+1,25,30,35,40,45,50)/100*(Inputs!$B$11-Inputs!$B$11),0)))/100)/2</f>
        <v/>
      </c>
      <c r="M1387">
        <f>L1387*(1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IF(B1415=0,0,O1387/B1415)</f>
        <v/>
      </c>
      <c r="Q1387" t="n">
        <v>0</v>
      </c>
      <c r="R1387" t="n">
        <v>0</v>
      </c>
      <c r="S1387">
        <f>IFERROR(O1387/N1387,0)</f>
        <v/>
      </c>
      <c r="T1387">
        <f>IF(C1387,((H1387*B1418)/(1+Skills!H11*H1387*B1418)*N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IF(C1387,((H1387*B1418)/(1+Skills!H11*H1387*B1418)*N1387)*IF(Inputs!$B$38="pvp",1,(1+(Inputs!$B$21+Skills!Q11+(IF(ArtifactsInput!$M$33,CHOOSE(ArtifactsInput!$N$33+1,30,36,42,48,54,60),0))+(IF(AND(ArtifactsInput!$M$35,Inputs!$B$4&lt;&gt;"Chapter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Inputs!$B$3&gt;=100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t="inlineStr"/>
      <c r="H1388" t="inlineStr"/>
      <c r="I1388" t="inlineStr">
        <is>
          <t>1</t>
        </is>
      </c>
      <c r="J1388" t="inlineStr"/>
      <c r="K1388" t="inlineStr"/>
      <c r="L1388" t="inlineStr"/>
      <c r="M1388" t="inlineStr"/>
      <c r="N1388" t="inlineStr"/>
      <c r="O1388" t="inlineStr"/>
      <c r="P1388" t="inlineStr"/>
      <c r="Q1388" t="inlineStr"/>
      <c r="R1388" t="inlineStr"/>
      <c r="S1388" t="inlineStr"/>
      <c r="T1388" t="inlineStr"/>
      <c r="V1388" t="inlineStr"/>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IF(B1415=0,0,O1389/B1415)</f>
        <v/>
      </c>
      <c r="Q1389" t="n">
        <v>0</v>
      </c>
      <c r="R1389" t="n">
        <v>0</v>
      </c>
      <c r="S1389">
        <f>IFERROR(O1389/N1389,0)</f>
        <v/>
      </c>
      <c r="T1389" t="n">
        <v>0</v>
      </c>
      <c r="V1389" t="n">
        <v>0</v>
      </c>
    </row>
    <row r="1390">
      <c r="A1390">
        <f>Skills!A14</f>
        <v/>
      </c>
      <c r="B1390">
        <f>Skills!B14</f>
        <v/>
      </c>
      <c r="C1390">
        <f>Inputs!$B$3&gt;=115</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IF(B1415=0,0,O1390/B1415)</f>
        <v/>
      </c>
      <c r="Q1390">
        <f>IFERROR(1/(IF(Inputs!$B$38="pvp",15,MAX(0.1,Skills!D14-IF(TRUE=TRUE,Inputs!$B$32,0)))*(1-IF(AND(ArtifactsInput!$M$27,Inputs!$B$4="Chapter Hunt"),CHOOSE(ArtifactsInput!$N$27+1,20,24,28,32,36,40),0)/100)),0)</f>
        <v/>
      </c>
      <c r="R1390">
        <f>IF(AND(Inputs!$B$38&lt;&gt;"pvp",Inputs!$B$43&gt;0),IF(Inputs!$B$43&lt;=0,0,(INT(Inputs!$B$43/(IF(Inputs!$B$38="pvp",15,MAX(0.1,Skills!D14-IF(TRUE=TRUE,Inputs!$B$32,0)))*(1-IF(AND(ArtifactsInput!$M$27,Inputs!$B$4="Chapter Hunt"),CHOOSE(ArtifactsInput!$N$27+1,20,24,28,32,36,40),0)/100)))+1)),0)</f>
        <v/>
      </c>
      <c r="S1390">
        <f>IFERROR(O1390/N1390,0)</f>
        <v/>
      </c>
      <c r="T1390" t="n">
        <v>0</v>
      </c>
      <c r="V1390" t="n">
        <v>0</v>
      </c>
    </row>
    <row r="1391">
      <c r="A1391">
        <f>Skills!A15</f>
        <v/>
      </c>
      <c r="B1391">
        <f>Skills!B15</f>
        <v/>
      </c>
      <c r="C1391">
        <f>Inputs!$B$3&gt;=125</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IF(B1415=0,0,O1391/B1415)</f>
        <v/>
      </c>
      <c r="Q1391">
        <f>IFERROR(1/(IF(Inputs!$B$38="pvp",15,MAX(0.1,Skills!D15-IF(TRUE=TRUE,Inputs!$B$32,0)))*(1-IF(AND(ArtifactsInput!$M$27,Inputs!$B$4="Chapter Hunt"),CHOOSE(ArtifactsInput!$N$27+1,20,24,28,32,36,40),0)/100)),0)</f>
        <v/>
      </c>
      <c r="R1391">
        <f>IF(AND(Inputs!$B$38&lt;&gt;"pvp",Inputs!$B$43&gt;0),IF(Inputs!$B$43&lt;=0,0,(INT(Inputs!$B$43/(IF(Inputs!$B$38="pvp",15,MAX(0.1,Skills!D15-IF(TRUE=TRUE,Inputs!$B$32,0)))*(1-IF(AND(ArtifactsInput!$M$27,Inputs!$B$4="Chapter Hunt"),CHOOSE(ArtifactsInput!$N$27+1,20,24,28,32,36,40),0)/100)))+1)),0)</f>
        <v/>
      </c>
      <c r="S1391">
        <f>IFERROR(O1391/N1391,0)</f>
        <v/>
      </c>
      <c r="T1391" t="n">
        <v>0</v>
      </c>
      <c r="V1391" t="n">
        <v>0</v>
      </c>
    </row>
    <row r="1392">
      <c r="A1392">
        <f>Skills!A16</f>
        <v/>
      </c>
      <c r="B1392">
        <f>Skills!B16</f>
        <v/>
      </c>
      <c r="C1392">
        <f>Inputs!$B$3&gt;=10</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Skills!A17</f>
        <v/>
      </c>
      <c r="B1393">
        <f>Skills!B17</f>
        <v/>
      </c>
      <c r="C1393">
        <f>Inputs!$B$3&gt;=15</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Skills!A18</f>
        <v/>
      </c>
      <c r="B1394">
        <f>Skills!B18</f>
        <v/>
      </c>
      <c r="C1394">
        <f>Inputs!$B$3&gt;=33</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Skills!A19</f>
        <v/>
      </c>
      <c r="B1395">
        <f>Skills!B19</f>
        <v/>
      </c>
      <c r="C1395">
        <f>Inputs!$B$3&gt;=40</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Skills!A20</f>
        <v/>
      </c>
      <c r="B1396">
        <f>Skills!B20</f>
        <v/>
      </c>
      <c r="C1396">
        <f>Inputs!$B$3&gt;=43</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Skills!A21</f>
        <v/>
      </c>
      <c r="B1397">
        <f>Skills!B21</f>
        <v/>
      </c>
      <c r="C1397">
        <f>Inputs!$B$3&gt;=38</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Skills!A22</f>
        <v/>
      </c>
      <c r="B1398">
        <f>Skills!B22</f>
        <v/>
      </c>
      <c r="C1398">
        <f>Inputs!$B$3&gt;=75</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Skills!A23</f>
        <v/>
      </c>
      <c r="B1399">
        <f>Skills!B23</f>
        <v/>
      </c>
      <c r="C1399">
        <f>TRUE</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IF(B1415=0,0,O1399/B1415)</f>
        <v/>
      </c>
      <c r="Q1399">
        <f>IFERROR(1/(IF(Inputs!$B$38="pvp",15,MAX(0.1,Skills!D23-IF(TRUE=TRUE,Inputs!$B$32,0)))*(1-IF(AND(ArtifactsInput!$M$27,Inputs!$B$4="Chapter Hunt"),CHOOSE(ArtifactsInput!$N$27+1,20,24,28,32,36,40),0)/100)),0)</f>
        <v/>
      </c>
      <c r="R1399">
        <f>IF(AND(Inputs!$B$38&lt;&gt;"pvp",Inputs!$B$43&gt;0),IF(Inputs!$B$43&lt;=0,0,(INT(Inputs!$B$43/(IF(Inputs!$B$38="pvp",15,MAX(0.1,Skills!D23-IF(TRUE=TRUE,Inputs!$B$32,0)))*(1-IF(AND(ArtifactsInput!$M$27,Inputs!$B$4="Chapter Hunt"),CHOOSE(ArtifactsInput!$N$27+1,20,24,28,32,36,40),0)/100)))+1)),0)</f>
        <v/>
      </c>
      <c r="S1399">
        <f>IFERROR(O1399/N1399,0)</f>
        <v/>
      </c>
      <c r="T1399" t="n">
        <v>0</v>
      </c>
      <c r="V1399" t="n">
        <v>0</v>
      </c>
    </row>
    <row r="1400">
      <c r="A1400">
        <f>Skills!A24</f>
        <v/>
      </c>
      <c r="B1400">
        <f>Skills!B24</f>
        <v/>
      </c>
      <c r="C1400">
        <f>Inputs!$B$3&gt;=107</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IF(B1415=0,0,O1400/B1415)</f>
        <v/>
      </c>
      <c r="Q1400">
        <f>IFERROR(1/(IF(Inputs!$B$38="pvp",15,MAX(0.1,Skills!D24-IF(TRUE=TRUE,Inputs!$B$32,0)))*(1-IF(AND(ArtifactsInput!$M$27,Inputs!$B$4="Chapter Hunt"),CHOOSE(ArtifactsInput!$N$27+1,20,24,28,32,36,40),0)/100)),0)</f>
        <v/>
      </c>
      <c r="R1400">
        <f>IF(AND(Inputs!$B$38&lt;&gt;"pvp",Inputs!$B$43&gt;0),IF(Inputs!$B$43&lt;=0,0,(INT(Inputs!$B$43/(IF(Inputs!$B$38="pvp",15,MAX(0.1,Skills!D24-IF(TRUE=TRUE,Inputs!$B$32,0)))*(1-IF(AND(ArtifactsInput!$M$27,Inputs!$B$4="Chapter Hunt"),CHOOSE(ArtifactsInput!$N$27+1,20,24,28,32,36,40),0)/100)))+1)),0)</f>
        <v/>
      </c>
      <c r="S1400">
        <f>IFERROR(O1400/N1400,0)</f>
        <v/>
      </c>
      <c r="T1400" t="n">
        <v>0</v>
      </c>
      <c r="V1400" t="n">
        <v>0</v>
      </c>
    </row>
    <row r="1401">
      <c r="A1401">
        <f>Skills!A25</f>
        <v/>
      </c>
      <c r="B1401">
        <f>Skills!B25</f>
        <v/>
      </c>
      <c r="C1401">
        <f>Inputs!$B$3&gt;=110</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t="inlineStr"/>
      <c r="H1401" t="inlineStr"/>
      <c r="I1401" t="inlineStr">
        <is>
          <t>1</t>
        </is>
      </c>
      <c r="J1401" t="inlineStr"/>
      <c r="K1401" t="inlineStr"/>
      <c r="L1401" t="inlineStr"/>
      <c r="M1401" t="inlineStr"/>
      <c r="N1401" t="inlineStr"/>
      <c r="O1401" t="inlineStr"/>
      <c r="P1401" t="inlineStr"/>
      <c r="Q1401" t="inlineStr"/>
      <c r="R1401" t="inlineStr"/>
      <c r="S1401" t="inlineStr"/>
      <c r="T1401" t="inlineStr"/>
      <c r="V1401" t="inlineStr"/>
    </row>
    <row r="1402">
      <c r="A1402">
        <f>Skills!A26</f>
        <v/>
      </c>
      <c r="B1402">
        <f>Skills!B26</f>
        <v/>
      </c>
      <c r="C1402">
        <f>Inputs!$B$3&gt;=117</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t="inlineStr"/>
      <c r="H1402" t="inlineStr"/>
      <c r="I1402" t="inlineStr">
        <is>
          <t>1</t>
        </is>
      </c>
      <c r="J1402" t="inlineStr"/>
      <c r="K1402" t="inlineStr"/>
      <c r="L1402" t="inlineStr"/>
      <c r="M1402" t="inlineStr"/>
      <c r="N1402" t="inlineStr"/>
      <c r="O1402" t="inlineStr"/>
      <c r="P1402" t="inlineStr"/>
      <c r="Q1402" t="inlineStr"/>
      <c r="R1402" t="inlineStr"/>
      <c r="S1402" t="inlineStr"/>
      <c r="T1402" t="inlineStr"/>
      <c r="V1402" t="inlineStr"/>
    </row>
    <row r="1404">
      <c r="A1404" t="inlineStr">
        <is>
          <t>Attack% Bucket Multiplier</t>
        </is>
      </c>
      <c r="B1404">
        <f>(1+(((C1389=TRUE)*F1389*5/7)+((C1395=TRUE)*(F1395-Calc!F19))+(IF(ArtifactsInput!$M$21,CHOOSE(ArtifactsInput!$N$21+1,25,30,35,40,45,50)*(IF(OR(Inputs!$B$4="Chapter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5">
      <c r="A1405" t="inlineStr">
        <is>
          <t>Global Crit Rate Bonus %</t>
        </is>
      </c>
      <c r="B1405" t="n">
        <v>0</v>
      </c>
    </row>
    <row r="1406">
      <c r="A1406" t="inlineStr">
        <is>
          <t>Attack Speed Buff Bonus % (Nimble Feet + Speed Infusion, duty-cycle averaged)</t>
        </is>
      </c>
      <c r="B1406">
        <f>((C1399=TRUE)*F1399*IF(AND(Inputs!$B$38&lt;&gt;"pvp",Inputs!$B$43&gt;0),(((R1399-1)*MIN((Skills!T23*(1+Inputs!$B$34/100)),(1/Q1399))+MIN((Skills!T23*(1+Inputs!$B$34/100)),MAX(0,Inputs!$B$43-((R1399-1)*(1/Q1399)))))/Inputs!$B$43),IF(Inputs!$B$38="pvp",MIN((Skills!T23*(1+Inputs!$B$34/100)),15)/15,MIN(1,(Skills!T23*(1+Inputs!$B$34/100))/(1/Q1399)))))+((C1400=TRUE)*F1400*IF(AND(Inputs!$B$38&lt;&gt;"pvp",Inputs!$B$43&gt;0),(((R1400-1)*MIN((Skills!T24*(1+Inputs!$B$34/100)),(1/Q1400))+MIN((Skills!T24*(1+Inputs!$B$34/100)),MAX(0,Inputs!$B$43-((R1400-1)*(1/Q1400)))))/Inputs!$B$43),IF(Inputs!$B$38="pvp",MIN((Skills!T24*(1+Inputs!$B$34/100)),15)/15,MIN(1,(Skills!T24*(1+Inputs!$B$34/100))/(1/Q1400)))))</f>
        <v/>
      </c>
    </row>
    <row r="1407">
      <c r="A1407" t="inlineStr">
        <is>
          <t>Actions Per Second</t>
        </is>
      </c>
      <c r="B1407">
        <f>1+MIN(150,150*(1-(1-(Inputs!$B$11+((C1393=TRUE)*(F1393-Calc!F17))+((C1394=TRUE)*(F1394-Calc!F18)))/150)*(1-B1406/150)))/100</f>
        <v/>
      </c>
    </row>
    <row r="1408">
      <c r="A1408" t="inlineStr">
        <is>
          <t>Skill + Buff Cast Rate</t>
        </is>
      </c>
      <c r="B1408">
        <f>IF(AND(Inputs!$B$38&lt;&gt;"pvp",Inputs!$B$43&gt;0),SUMPRODUCT((Skills!E2:E26=TRUE)*(C1378:C1402=TRUE)*R1378:R1402*Skills!F2:F26)/Inputs!$B$43,SUMPRODUCT((Skills!E2:E26=TRUE)*(C1378:C1402=TRUE)*Q1378:Q1402*Skills!F2:F26))</f>
        <v/>
      </c>
    </row>
    <row r="1409">
      <c r="A1409" t="inlineStr">
        <is>
          <t>Hook Bomber Casts Per Second</t>
        </is>
      </c>
      <c r="B1409">
        <f>MAX(0,B1407-B1408)</f>
        <v/>
      </c>
    </row>
    <row r="1410">
      <c r="A1410" t="inlineStr">
        <is>
          <t>Global Critical Damage Bonus % (unused)</t>
        </is>
      </c>
      <c r="B1410" t="n">
        <v>0</v>
      </c>
    </row>
    <row r="1411">
      <c r="A1411" t="inlineStr">
        <is>
          <t>Global Final Damage Bonus % (Serpent Scale + Crossbones + Time Leap + Speed Infusion)</t>
        </is>
      </c>
      <c r="B1411">
        <f>((C1381=TRUE)*(F1381*B1417+4*(1-B1417)))+((C1390=TRUE)*F1390*IF(AND(Inputs!$B$38&lt;&gt;"pvp",Inputs!$B$43&gt;0),(((R1390-1)*MIN((Skills!T14*(1+Inputs!$B$34/100)),(1/Q1390))+MIN((Skills!T14*(1+Inputs!$B$34/100)),MAX(0,Inputs!$B$43-((R1390-1)*(1/Q1390)))))/Inputs!$B$43),IF(Inputs!$B$38="pvp",MIN((Skills!T14*(1+Inputs!$B$34/100)),15)/15,MIN(1,(Skills!T14*(1+Inputs!$B$34/100))/(1/Q1390)))))+((C1391=TRUE)*F1391*IF(AND(Inputs!$B$38&lt;&gt;"pvp",Inputs!$B$43&gt;0),(((R1391-1)*MIN((Skills!T15*(1+Inputs!$B$34/100)),(1/Q1391))+MIN((Skills!T15*(1+Inputs!$B$34/100)),MAX(0,Inputs!$B$43-((R1391-1)*(1/Q1391)))))/Inputs!$B$43),IF(Inputs!$B$38="pvp",MIN((Skills!T15*(1+Inputs!$B$34/100)),15)/15,MIN(1,(Skills!T15*(1+Inputs!$B$34/100))/(1/Q1391)))))+((C1400=TRUE)*20*((1+MIN(150,150*(1-(1-(Inputs!$B$11+((C1393=TRUE)*(F1393-Calc!F17))+((C1394=TRUE)*(F1394-Calc!F18)))/150)*(1-(((C1399=TRUE)*F1399*IF(AND(Inputs!$B$38&lt;&gt;"pvp",Inputs!$B$43&gt;0),(((R1399-1)*MIN((Skills!T23*(1+Inputs!$B$34/100)),(1/Q1399))+MIN((Skills!T23*(1+Inputs!$B$34/100)),MAX(0,Inputs!$B$43-((R1399-1)*(1/Q1399)))))/Inputs!$B$43),IF(Inputs!$B$38="pvp",MIN((Skills!T23*(1+Inputs!$B$34/100)),15)/15,MIN(1,(Skills!T23*(1+Inputs!$B$34/100))/(1/Q1399)))))+F1400)/150)))/100)-1)*IF(AND(Inputs!$B$38&lt;&gt;"pvp",Inputs!$B$43&gt;0),(((R1400-1)*MIN((Skills!T24*(1+Inputs!$B$34/100)),(1/Q1400))+MIN((Skills!T24*(1+Inputs!$B$34/100)),MAX(0,Inputs!$B$43-((R1400-1)*(1/Q1400)))))/Inputs!$B$43),IF(Inputs!$B$38="pvp",MIN((Skills!T24*(1+Inputs!$B$34/100)),15)/15,MIN(1,(Skills!T24*(1+Inputs!$B$34/100))/(1/Q1400)))))</f>
        <v/>
      </c>
    </row>
    <row r="1412">
      <c r="A1412" t="inlineStr">
        <is>
          <t>Buff-Casting Startup Delay (s, fixed-duration only)</t>
        </is>
      </c>
      <c r="B1412">
        <f>IF(AND(Inputs!$B$38&lt;&gt;"pvp",Inputs!$B$43&gt;0),SUMPRODUCT((Skills!T2:T26&gt;0)*(Skills!E2:E26=TRUE)*(C1378:C1402=TRUE))/B1407,0)</f>
        <v/>
      </c>
    </row>
    <row r="1413">
      <c r="A1413" t="inlineStr">
        <is>
          <t>Boss-Only Total DPS (this block's swept value)</t>
        </is>
      </c>
      <c r="B1413">
        <f>SUM(T1378:T1402)</f>
        <v/>
      </c>
    </row>
    <row r="1414">
      <c r="A1414" t="inlineStr">
        <is>
          <t>Normal-Only Total DPS (this block's swept value)</t>
        </is>
      </c>
      <c r="B1414">
        <f>SUM(V1378:V1402)</f>
        <v/>
      </c>
    </row>
    <row r="1415">
      <c r="A1415" s="6" t="inlineStr">
        <is>
          <t>TOTAL DPS</t>
        </is>
      </c>
      <c r="B1415" s="6">
        <f>SUM(O1378:O1402)</f>
        <v/>
      </c>
    </row>
    <row r="1416">
      <c r="A1416" t="inlineStr">
        <is>
          <t>Serpent activation interval T (this block's own Hook Bomber rate)</t>
        </is>
      </c>
      <c r="B1416">
        <f>((1/Q1379)+IFERROR(0.5/B1409,0))</f>
        <v/>
      </c>
    </row>
    <row r="1417">
      <c r="A1417" t="inlineStr">
        <is>
          <t>Assault Mode uptime u (this block)</t>
        </is>
      </c>
      <c r="B1417">
        <f>IF(C1381=TRUE,(10+IF(Inputs!$B$3&gt;=94,5,0))/((10+IF(Inputs!$B$3&gt;=94,5,0))+IF(Inputs!$B$3&gt;=104,3,5)*B1416),0)</f>
        <v/>
      </c>
    </row>
    <row r="1418">
      <c r="A1418" t="inlineStr">
        <is>
          <t>Nautilus Strike - Final Attack trigger rate (this block's own Q/R)</t>
        </is>
      </c>
      <c r="B1418">
        <f>IF(AND(Inputs!$B$38&lt;&gt;"pvp",Inputs!$B$43&gt;0),(((C1382=TRUE)*R1382)+((C1383=TRUE)*R1383)+((C1386=TRUE)*R1386))/Inputs!$B$43,((C1382=TRUE)*Q1382)+((C1383=TRUE)*Q1383)+((C1386=TRUE)*Q1386))+B1409</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1441=TRUE)*(F1441-Calc!F20)),(Inputs!$B$23+0+(IF(ArtifactsInput!$M$15,CHOOSE(ArtifactsInput!$N$15+1,25,30,35,40,45,50)/100*(Inputs!$B$11-Inputs!$B$11),0))))/100+(Inputs!$B$23+0+(IF(ArtifactsInput!$M$15,CHOOSE(ArtifactsInput!$N$15+1,25,30,35,40,45,50)/100*(Inputs!$B$11-Inputs!$B$11),0)))/100)/2</f>
        <v/>
      </c>
      <c r="M1423">
        <f>L1423*(1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IF(B1460=0,0,O1423/B1460)</f>
        <v/>
      </c>
      <c r="Q1423" t="n">
        <v>0</v>
      </c>
      <c r="R1423" t="n">
        <v>0</v>
      </c>
      <c r="S1423">
        <f>IFERROR(O1423/N1423,0)</f>
        <v/>
      </c>
      <c r="T1423">
        <f>IF(C1423,(Skills!G2*N1423*B1454)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IF(C1423,(Skills!G2*N1423*B1454)*IF(Inputs!$B$38="pvp",1,(1+(Inputs!$B$21+Skills!Q2+(IF(ArtifactsInput!$M$33,CHOOSE(ArtifactsInput!$N$33+1,30,36,42,48,54,60),0))+(IF(AND(ArtifactsInput!$M$35,Inputs!$B$4&lt;&gt;"Chapter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Inputs!$B$3&gt;=35</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f>Skills!G3*IF(Skills!H3&gt;0,Skills!I3/Skills!H3,1)</f>
        <v/>
      </c>
      <c r="H1424">
        <f>1-(1-Skills!J3/100)^Skills!K3</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1446=TRUE,F1446,0)/100)*(1+(IF(Skills!A3="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1441=TRUE)*(F1441-Calc!F20)),(Inputs!$B$23+0+(IF(ArtifactsInput!$M$15,CHOOSE(ArtifactsInput!$N$15+1,25,30,35,40,45,50)/100*(Inputs!$B$11-Inputs!$B$11),0))))/100+(Inputs!$B$23+0+(IF(ArtifactsInput!$M$15,CHOOSE(ArtifactsInput!$N$15+1,25,30,35,40,45,50)/100*(Inputs!$B$11-Inputs!$B$11),0)))/100)/2</f>
        <v/>
      </c>
      <c r="M1424">
        <f>L1424*(1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4">
        <f>L1424*(1-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1424*(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4">
        <f>(1-Summary!$B$11)*T1424+Summary!$B$11*V1424</f>
        <v/>
      </c>
      <c r="P1424">
        <f>IF(B1460=0,0,O1424/B1460)</f>
        <v/>
      </c>
      <c r="Q1424">
        <f>IFERROR(1/(IF(Inputs!$B$38="pvp",15,MAX(0.1,Skills!D3-IF(TRUE=TRUE,Inputs!$B$32,0)))*(1-IF(AND(ArtifactsInput!$M$27,Inputs!$B$4="Chapter Hunt"),CHOOSE(ArtifactsInput!$N$27+1,20,24,28,32,36,40),0)/100)),0)</f>
        <v/>
      </c>
      <c r="R1424">
        <f>IF(AND(Inputs!$B$38&lt;&gt;"pvp",Inputs!$B$43&gt;0),IF(MAX(0,Inputs!$B$43-B1457)&lt;=0,0,(INT(MAX(0,Inputs!$B$43-B1457)/(IF(Inputs!$B$38="pvp",15,MAX(0.1,Skills!D3-IF(TRUE=TRUE,Inputs!$B$32,0)))*(1-IF(AND(ArtifactsInput!$M$27,Inputs!$B$4="Chapter Hunt"),CHOOSE(ArtifactsInput!$N$27+1,20,24,28,32,36,40),0)/100)))+1)),0)</f>
        <v/>
      </c>
      <c r="S1424">
        <f>IFERROR(O1424/N1424,0)</f>
        <v/>
      </c>
      <c r="T1424">
        <f>IF(C1424,(Skills!G3*N1424*IF(C1425=TRUE,1-B1462,1)/B1461)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1424*(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1424*(1-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1424*(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4">
        <f>INDEX(FactorTable!$B$2:$Y$301, MATCH(ROUND(MIN(300,MAX(1,U1423)),0), FactorTable!$A$2:$A$301,0), 22)</f>
        <v/>
      </c>
      <c r="V1424">
        <f>IF(C1424,(Skills!G3*N1424*IF(C1425=TRUE,1-B1462,1)/B1461)*IF(Inputs!$B$38="pvp",1,(1+(Inputs!$B$21+Skills!Q3+(IF(ArtifactsInput!$M$33,CHOOSE(ArtifactsInput!$N$33+1,30,36,42,48,54,60),0))+(IF(AND(ArtifactsInput!$M$35,Inputs!$B$4&lt;&gt;"Chapter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Skills!A4</f>
        <v/>
      </c>
      <c r="B1425">
        <f>Skills!B4</f>
        <v/>
      </c>
      <c r="C1425">
        <f>Inputs!$B$3&gt;=69</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f>Skills!G4*IF(Skills!H4&gt;0,Skills!I4/Skills!H4,1)</f>
        <v/>
      </c>
      <c r="H1425">
        <f>1-(1-Skills!J4/100)^Skills!K4</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1433=TRUE,F1433,0)/100)*(1+(IF(Skills!A4="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1441=TRUE)*(F1441-Calc!F20)),(Inputs!$B$23+0+(IF(ArtifactsInput!$M$15,CHOOSE(ArtifactsInput!$N$15+1,25,30,35,40,45,50)/100*(Inputs!$B$11-Inputs!$B$11),0))))/100+(Inputs!$B$23+0+(IF(ArtifactsInput!$M$15,CHOOSE(ArtifactsInput!$N$15+1,25,30,35,40,45,50)/100*(Inputs!$B$11-Inputs!$B$11),0)))/100)/2</f>
        <v/>
      </c>
      <c r="M1425">
        <f>L1425*(1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5">
        <f>L1425*(1-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1425*(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5">
        <f>(1-Summary!$B$11)*T1425+Summary!$B$11*V1425</f>
        <v/>
      </c>
      <c r="P1425">
        <f>IF(B1460=0,0,O1425/B1460)</f>
        <v/>
      </c>
      <c r="Q1425" t="n">
        <v>0</v>
      </c>
      <c r="R1425" t="n">
        <v>0</v>
      </c>
      <c r="S1425">
        <f>IFERROR(O1425/N1425,0)</f>
        <v/>
      </c>
      <c r="T1425">
        <f>IF(C1425,(Skills!G4*N1425*B1462/B1461)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1425*(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1425*(1-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1425*(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5">
        <f>290*U1424/1000</f>
        <v/>
      </c>
      <c r="V1425">
        <f>IF(C1425,(Skills!G4*N1425*B1462/B1461)*IF(Inputs!$B$38="pvp",1,(1+(Inputs!$B$21+Skills!Q4+(IF(ArtifactsInput!$M$33,CHOOSE(ArtifactsInput!$N$33+1,30,36,42,48,54,60),0))+(IF(AND(ArtifactsInput!$M$35,Inputs!$B$4&lt;&gt;"Chapter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Skills!A5</f>
        <v/>
      </c>
      <c r="B1426">
        <f>Skills!B5</f>
        <v/>
      </c>
      <c r="C1426">
        <f>Inputs!$B$3&gt;=66</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t="inlineStr"/>
      <c r="K1426" t="inlineStr"/>
      <c r="L1426" t="inlineStr"/>
      <c r="M1426" t="inlineStr"/>
      <c r="N1426" t="inlineStr"/>
      <c r="O1426">
        <f>(1-Summary!$B$11)*T1426+Summary!$B$11*V1426</f>
        <v/>
      </c>
      <c r="P1426">
        <f>IF(B1460=0,0,O1426/B1460)</f>
        <v/>
      </c>
      <c r="Q1426" t="n">
        <v>0</v>
      </c>
      <c r="R1426" t="n">
        <v>0</v>
      </c>
      <c r="S1426">
        <f>IFERROR(O1426/N1426,0)</f>
        <v/>
      </c>
      <c r="T1426" t="n">
        <v>0</v>
      </c>
      <c r="V1426" t="n">
        <v>0</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1433=TRUE,F1433,0)/100)*(1+(IF(Skills!A6="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1441=TRUE)*(F1441-Calc!F20)),(Inputs!$B$23+0+(IF(ArtifactsInput!$M$15,CHOOSE(ArtifactsInput!$N$15+1,25,30,35,40,45,50)/100*(Inputs!$B$11-Inputs!$B$11),0))))/100+(Inputs!$B$23+0+(IF(ArtifactsInput!$M$15,CHOOSE(ArtifactsInput!$N$15+1,25,30,35,40,45,50)/100*(Inputs!$B$11-Inputs!$B$11),0)))/100)/2</f>
        <v/>
      </c>
      <c r="M1427">
        <f>L1427*(1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IF(B1460=0,0,O1427/B1460)</f>
        <v/>
      </c>
      <c r="Q1427">
        <f>IFERROR(1/(IF(Inputs!$B$38="pvp",15,MAX(0.1,Skills!D6-IF(TRUE=TRUE,Inputs!$B$32,0)))*(1-IF(AND(ArtifactsInput!$M$27,Inputs!$B$4="Chapter Hunt"),CHOOSE(ArtifactsInput!$N$27+1,20,24,28,32,36,40),0)/100)),0)</f>
        <v/>
      </c>
      <c r="R1427">
        <f>IF(AND(Inputs!$B$38&lt;&gt;"pvp",Inputs!$B$43&gt;0),IF(MAX(0,Inputs!$B$43-B1457)&lt;=0,0,(INT(MAX(0,Inputs!$B$43-B1457)/(IF(Inputs!$B$38="pvp",15,MAX(0.1,Skills!D6-IF(TRUE=TRUE,Inputs!$B$32,0)))*(1-IF(AND(ArtifactsInput!$M$27,Inputs!$B$4="Chapter Hunt"),CHOOSE(ArtifactsInput!$N$27+1,20,24,28,32,36,40),0)/100)))+1)),0)</f>
        <v/>
      </c>
      <c r="S1427">
        <f>IFERROR(O1427/N1427,0)</f>
        <v/>
      </c>
      <c r="T1427">
        <f>IF(C1427,(H1427*N1427*IF(AND(Inputs!$B$38&lt;&gt;"pvp",Inputs!$B$43&gt;0),((Skills!G6*((R1427-1)*IF(Skills!H6&gt;0,Skills!I6/Skills!H6,1)+IF(Skills!H6&gt;0,MIN(Skills!I6,MAX(0,MAX(0,Inputs!$B$43-B1457)-((R1427-1)*(IF(Inputs!$B$38="pvp",15,MAX(0.1,Skills!D6-IF(TRUE=TRUE,Inputs!$B$32,0)))*(1-IF(AND(ArtifactsInput!$M$27,Inputs!$B$4="Chapter Hunt"),CHOOSE(ArtifactsInput!$N$27+1,20,24,28,32,36,40),0)/100)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1457)-((R1427-1)*(IF(Inputs!$B$38="pvp",15,MAX(0.1,Skills!D6-IF(TRUE=TRUE,Inputs!$B$32,0)))*(1-IF(AND(ArtifactsInput!$M$27,Inputs!$B$4="Chapter Hunt"),CHOOSE(ArtifactsInput!$N$27+1,20,24,28,32,36,40),0)/100)))))/Skills!H6,1)))/Inputs!$B$43),G1427*Q1427))*IF(Inputs!$B$38="pvp",1,(1+(Inputs!$B$21+Skills!Q6+(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Inputs!$B$3&gt;=103</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1441=TRUE)*(F1441-Calc!F20)),(Inputs!$B$23+0+(IF(ArtifactsInput!$M$15,CHOOSE(ArtifactsInput!$N$15+1,25,30,35,40,45,50)/100*(Inputs!$B$11-Inputs!$B$11),0))))/100+(Inputs!$B$23+0+(IF(ArtifactsInput!$M$15,CHOOSE(ArtifactsInput!$N$15+1,25,30,35,40,45,50)/100*(Inputs!$B$11-Inputs!$B$11),0)))/100)/2</f>
        <v/>
      </c>
      <c r="M1428">
        <f>L1428*(1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IF(B1460=0,0,O1428/B1460)</f>
        <v/>
      </c>
      <c r="Q1428">
        <f>IFERROR(1/(IF(Inputs!$B$38="pvp",15,MAX(0.1,Skills!D7-IF(TRUE=TRUE,Inputs!$B$32,0)))*(1-IF(AND(ArtifactsInput!$M$27,Inputs!$B$4="Chapter Hunt"),CHOOSE(ArtifactsInput!$N$27+1,20,24,28,32,36,40),0)/100)),0)</f>
        <v/>
      </c>
      <c r="R1428">
        <f>IF(AND(Inputs!$B$38&lt;&gt;"pvp",Inputs!$B$43&gt;0),IF(MAX(0,Inputs!$B$43-B1457)&lt;=0,0,(INT(MAX(0,Inputs!$B$43-B1457)/(IF(Inputs!$B$38="pvp",15,MAX(0.1,Skills!D7-IF(TRUE=TRUE,Inputs!$B$32,0)))*(1-IF(AND(ArtifactsInput!$M$27,Inputs!$B$4="Chapter Hunt"),CHOOSE(ArtifactsInput!$N$27+1,20,24,28,32,36,40),0)/100)))+1)),0)</f>
        <v/>
      </c>
      <c r="S1428">
        <f>IFERROR(O1428/N1428,0)</f>
        <v/>
      </c>
      <c r="T1428">
        <f>IF(C1428,(H1428*N1428*IF(AND(Inputs!$B$38&lt;&gt;"pvp",Inputs!$B$43&gt;0),((Skills!G7*((R1428-1)*IF(Skills!H7&gt;0,Skills!I7/Skills!H7,1)+IF(Skills!H7&gt;0,MIN(Skills!I7,MAX(0,MAX(0,Inputs!$B$43-B1457)-((R1428-1)*(IF(Inputs!$B$38="pvp",15,MAX(0.1,Skills!D7-IF(TRUE=TRUE,Inputs!$B$32,0)))*(1-IF(AND(ArtifactsInput!$M$27,Inputs!$B$4="Chapter Hunt"),CHOOSE(ArtifactsInput!$N$27+1,20,24,28,32,36,40),0)/100)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1457)-((R1428-1)*(IF(Inputs!$B$38="pvp",15,MAX(0.1,Skills!D7-IF(TRUE=TRUE,Inputs!$B$32,0)))*(1-IF(AND(ArtifactsInput!$M$27,Inputs!$B$4="Chapter Hunt"),CHOOSE(ArtifactsInput!$N$27+1,20,24,28,32,36,40),0)/100)))))/Skills!H7,1)))/Inputs!$B$43),G1428*Q1428))*IF(Inputs!$B$38="pvp",1,(1+(Inputs!$B$21+Skills!Q7+(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Inputs!$B$3&gt;=117</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f>Skills!G8*IF(Skills!H8&gt;0,Skills!I8/Skills!H8,1)</f>
        <v/>
      </c>
      <c r="H1429">
        <f>1-(1-Skills!J8/100)^Skills!K8</f>
        <v/>
      </c>
      <c r="I1429" t="inlineStr">
        <is>
          <t>1</t>
        </is>
      </c>
      <c r="J1429">
        <f>((Inputs!$B$6*(1+Inputs!$B$7/100))+(((Inputs!$B$12*(1+Inputs!$B$13/100))-(Inputs!$B$12*(1+Inputs!$B$13/100)))+0.25*(Inputs!$B$14-Inputs!$B$14))*(1+Inputs!$B$7/100))*(F1429/100)</f>
        <v/>
      </c>
      <c r="K1429">
        <f>J1429*(1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1429)</f>
        <v/>
      </c>
      <c r="L1429">
        <f>K1429*(MIN(Inputs!$B$22+((C1441=TRUE)*(F1441-Calc!F20)),(Inputs!$B$23+0+(IF(ArtifactsInput!$M$15,CHOOSE(ArtifactsInput!$N$15+1,25,30,35,40,45,50)/100*(Inputs!$B$11-Inputs!$B$11),0))))/100+(Inputs!$B$23+0+(IF(ArtifactsInput!$M$15,CHOOSE(ArtifactsInput!$N$15+1,25,30,35,40,45,50)/100*(Inputs!$B$11-Inputs!$B$11),0)))/100)/2</f>
        <v/>
      </c>
      <c r="M1429">
        <f>L1429*(1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9">
        <f>L1429*(1-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1429*(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9">
        <f>(1-Summary!$B$11)*T1429+Summary!$B$11*V1429</f>
        <v/>
      </c>
      <c r="P1429">
        <f>IF(B1460=0,0,O1429/B1460)</f>
        <v/>
      </c>
      <c r="Q1429">
        <f>IFERROR(1/(IF(Inputs!$B$38="pvp",15,MAX(0.1,Skills!D8-IF(TRUE=TRUE,Inputs!$B$32,0)))*(1-IF(AND(ArtifactsInput!$M$27,Inputs!$B$4="Chapter Hunt"),CHOOSE(ArtifactsInput!$N$27+1,20,24,28,32,36,40),0)/100)),0)</f>
        <v/>
      </c>
      <c r="R1429">
        <f>IF(AND(Inputs!$B$38&lt;&gt;"pvp",Inputs!$B$43&gt;0),IF(MAX(0,Inputs!$B$43-B1457)&lt;=0,0,(INT(MAX(0,Inputs!$B$43-B1457)/(IF(Inputs!$B$38="pvp",15,MAX(0.1,Skills!D8-IF(TRUE=TRUE,Inputs!$B$32,0)))*(1-IF(AND(ArtifactsInput!$M$27,Inputs!$B$4="Chapter Hunt"),CHOOSE(ArtifactsInput!$N$27+1,20,24,28,32,36,40),0)/100)))+1)),0)</f>
        <v/>
      </c>
      <c r="S1429">
        <f>IFERROR(O1429/N1429,0)</f>
        <v/>
      </c>
      <c r="T1429">
        <f>IF(C1429,(H1429*N1429*IF(AND(Inputs!$B$38&lt;&gt;"pvp",Inputs!$B$43&gt;0),((Skills!G8*((R1429-1)*IF(Skills!H8&gt;0,Skills!I8/Skills!H8,1)+IF(Skills!H8&gt;0,MIN(Skills!I8,MAX(0,MAX(0,Inputs!$B$43-B1457)-((R1429-1)*(IF(Inputs!$B$38="pvp",15,MAX(0.1,Skills!D8-IF(TRUE=TRUE,Inputs!$B$32,0)))*(1-IF(AND(ArtifactsInput!$M$27,Inputs!$B$4="Chapter Hunt"),CHOOSE(ArtifactsInput!$N$27+1,20,24,28,32,36,40),0)/100)))))/Skills!H8,1)))/Inputs!$B$43),G1429*Q1429)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1429*(1-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1429*(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1429*(1-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1429*(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9">
        <f>IF(C1429,(H1429*N1429*IF(AND(Inputs!$B$38&lt;&gt;"pvp",Inputs!$B$43&gt;0),((Skills!G8*((R1429-1)*IF(Skills!H8&gt;0,Skills!I8/Skills!H8,1)+IF(Skills!H8&gt;0,MIN(Skills!I8,MAX(0,MAX(0,Inputs!$B$43-B1457)-((R1429-1)*(IF(Inputs!$B$38="pvp",15,MAX(0.1,Skills!D8-IF(TRUE=TRUE,Inputs!$B$32,0)))*(1-IF(AND(ArtifactsInput!$M$27,Inputs!$B$4="Chapter Hunt"),CHOOSE(ArtifactsInput!$N$27+1,20,24,28,32,36,40),0)/100)))))/Skills!H8,1)))/Inputs!$B$43),G1429*Q1429))*IF(Inputs!$B$38="pvp",1,(1+(Inputs!$B$21+Skills!Q8+(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0">
      <c r="A1430">
        <f>Skills!A9</f>
        <v/>
      </c>
      <c r="B1430">
        <f>Skills!B9</f>
        <v/>
      </c>
      <c r="C1430">
        <f>Inputs!$B$3&gt;=120</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B1462</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1441=TRUE)*(F1441-Calc!F20)),(Inputs!$B$23+0+(IF(ArtifactsInput!$M$15,CHOOSE(ArtifactsInput!$N$15+1,25,30,35,40,45,50)/100*(Inputs!$B$11-Inputs!$B$11),0))))/100+(Inputs!$B$23+0+(IF(ArtifactsInput!$M$15,CHOOSE(ArtifactsInput!$N$15+1,25,30,35,40,45,50)/100*(Inputs!$B$11-Inputs!$B$11),0)))/100)/2</f>
        <v/>
      </c>
      <c r="M1430">
        <f>L1430*(1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IF(B1460=0,0,O1430/B1460)</f>
        <v/>
      </c>
      <c r="Q1430">
        <f>IFERROR(1/(IF(Inputs!$B$38="pvp",15,MAX(0.1,Skills!D9-IF(TRUE=TRUE,Inputs!$B$32,0)))*(1-IF(AND(ArtifactsInput!$M$27,Inputs!$B$4="Chapter Hunt"),CHOOSE(ArtifactsInput!$N$27+1,20,24,28,32,36,40),0)/100)),0)</f>
        <v/>
      </c>
      <c r="R1430">
        <f>IF(AND(Inputs!$B$38&lt;&gt;"pvp",Inputs!$B$43&gt;0),IF(MAX(0,Inputs!$B$43-B1457)&lt;=0,0,(INT(MAX(0,Inputs!$B$43-B1457)/(IF(Inputs!$B$38="pvp",15,MAX(0.1,Skills!D9-IF(TRUE=TRUE,Inputs!$B$32,0)))*(1-IF(AND(ArtifactsInput!$M$27,Inputs!$B$4="Chapter Hunt"),CHOOSE(ArtifactsInput!$N$27+1,20,24,28,32,36,40),0)/100)))+1)),0)</f>
        <v/>
      </c>
      <c r="S1430">
        <f>IFERROR(O1430/N1430,0)</f>
        <v/>
      </c>
      <c r="T1430">
        <f>IF(C1430,(H1430*N1430*IF(AND(Inputs!$B$38&lt;&gt;"pvp",Inputs!$B$43&gt;0),((Skills!G9*((R1430-1)*IF(Skills!H9&gt;0,Skills!I9/Skills!H9,1)+IF(Skills!H9&gt;0,MIN(Skills!I9,MAX(0,MAX(0,Inputs!$B$43-B1457)-((R1430-1)*(IF(Inputs!$B$38="pvp",15,MAX(0.1,Skills!D9-IF(TRUE=TRUE,Inputs!$B$32,0)))*(1-IF(AND(ArtifactsInput!$M$27,Inputs!$B$4="Chapter Hunt"),CHOOSE(ArtifactsInput!$N$27+1,20,24,28,32,36,40),0)/100)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1457)-((R1430-1)*(IF(Inputs!$B$38="pvp",15,MAX(0.1,Skills!D9-IF(TRUE=TRUE,Inputs!$B$32,0)))*(1-IF(AND(ArtifactsInput!$M$27,Inputs!$B$4="Chapter Hunt"),CHOOSE(ArtifactsInput!$N$27+1,20,24,28,32,36,40),0)/100)))))/Skills!H9,1)))/Inputs!$B$43),G1430*Q1430))*IF(Inputs!$B$38="pvp",1,(1+(Inputs!$B$21+Skills!Q9+(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Inputs!$B$3&gt;=105</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1441=TRUE)*(F1441-Calc!F20)),(Inputs!$B$23+0+(IF(ArtifactsInput!$M$15,CHOOSE(ArtifactsInput!$N$15+1,25,30,35,40,45,50)/100*(Inputs!$B$11-Inputs!$B$11),0))))/100+(Inputs!$B$23+0+(IF(ArtifactsInput!$M$15,CHOOSE(ArtifactsInput!$N$15+1,25,30,35,40,45,50)/100*(Inputs!$B$11-Inputs!$B$11),0)))/100)/2</f>
        <v/>
      </c>
      <c r="M1431">
        <f>L1431*(1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IF(B1460=0,0,O1431/B1460)</f>
        <v/>
      </c>
      <c r="Q1431">
        <f>IFERROR(1/(IF(Inputs!$B$38="pvp",15,MAX(0.1,Skills!D10-IF(TRUE=TRUE,Inputs!$B$32,0)))*(1-IF(AND(ArtifactsInput!$M$27,Inputs!$B$4="Chapter Hunt"),CHOOSE(ArtifactsInput!$N$27+1,20,24,28,32,36,40),0)/100)),0)</f>
        <v/>
      </c>
      <c r="R1431">
        <f>IF(AND(Inputs!$B$38&lt;&gt;"pvp",Inputs!$B$43&gt;0),IF(MAX(0,Inputs!$B$43-B1457)&lt;=0,0,(INT(MAX(0,Inputs!$B$43-B1457)/(IF(Inputs!$B$38="pvp",15,MAX(0.1,Skills!D10-IF(TRUE=TRUE,Inputs!$B$32,0)))*(1-IF(AND(ArtifactsInput!$M$27,Inputs!$B$4="Chapter Hunt"),CHOOSE(ArtifactsInput!$N$27+1,20,24,28,32,36,40),0)/100)))+1)),0)</f>
        <v/>
      </c>
      <c r="S1431">
        <f>IFERROR(O1431/N1431,0)</f>
        <v/>
      </c>
      <c r="T1431">
        <f>IF(C1431,(H1431*N1431*IF(AND(Inputs!$B$38&lt;&gt;"pvp",Inputs!$B$43&gt;0),((Skills!G10*((R1431-1)*IF(Skills!H10&gt;0,Skills!I10/Skills!H10,1)+IF(Skills!H10&gt;0,MIN(Skills!I10,MAX(0,MAX(0,Inputs!$B$43-B1457)-((R1431-1)*(IF(Inputs!$B$38="pvp",15,MAX(0.1,Skills!D10-IF(TRUE=TRUE,Inputs!$B$32,0)))*(1-IF(AND(ArtifactsInput!$M$27,Inputs!$B$4="Chapter Hunt"),CHOOSE(ArtifactsInput!$N$27+1,20,24,28,32,36,40),0)/100)))))/Skills!H10,1)))/Inputs!$B$43),G1431*Q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H1431*N1431*IF(AND(Inputs!$B$38&lt;&gt;"pvp",Inputs!$B$43&gt;0),((Skills!G10*((R1431-1)*IF(Skills!H10&gt;0,Skills!I10/Skills!H10,1)+IF(Skills!H10&gt;0,MIN(Skills!I10,MAX(0,MAX(0,Inputs!$B$43-B1457)-((R1431-1)*(IF(Inputs!$B$38="pvp",15,MAX(0.1,Skills!D10-IF(TRUE=TRUE,Inputs!$B$32,0)))*(1-IF(AND(ArtifactsInput!$M$27,Inputs!$B$4="Chapter Hunt"),CHOOSE(ArtifactsInput!$N$27+1,20,24,28,32,36,40),0)/100)))))/Skills!H10,1)))/Inputs!$B$43),G1431*Q1431))*IF(Inputs!$B$38="pvp",1,(1+(Inputs!$B$21+Skills!Q10+(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Inputs!$B$3&gt;=113</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1441=TRUE)*(F1441-Calc!F20)),(Inputs!$B$23+0+(IF(ArtifactsInput!$M$15,CHOOSE(ArtifactsInput!$N$15+1,25,30,35,40,45,50)/100*(Inputs!$B$11-Inputs!$B$11),0))))/100+(Inputs!$B$23+0+(IF(ArtifactsInput!$M$15,CHOOSE(ArtifactsInput!$N$15+1,25,30,35,40,45,50)/100*(Inputs!$B$11-Inputs!$B$11),0)))/100)/2</f>
        <v/>
      </c>
      <c r="M1432">
        <f>L1432*(1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IF(B1460=0,0,O1432/B1460)</f>
        <v/>
      </c>
      <c r="Q1432" t="n">
        <v>0</v>
      </c>
      <c r="R1432" t="n">
        <v>0</v>
      </c>
      <c r="S1432">
        <f>IFERROR(O1432/N1432,0)</f>
        <v/>
      </c>
      <c r="T1432">
        <f>IF(C1432,((H1432*B1463)/(1+Skills!H11*H1432*B1463)*N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IF(C1432,((H1432*B1463)/(1+Skills!H11*H1432*B1463)*N1432)*IF(Inputs!$B$38="pvp",1,(1+(Inputs!$B$21+Skills!Q11+(IF(ArtifactsInput!$M$33,CHOOSE(ArtifactsInput!$N$33+1,30,36,42,48,54,60),0))+(IF(AND(ArtifactsInput!$M$35,Inputs!$B$4&lt;&gt;"Chapter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Inputs!$B$3&gt;=100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t="inlineStr"/>
      <c r="H1433" t="inlineStr"/>
      <c r="I1433" t="inlineStr">
        <is>
          <t>1</t>
        </is>
      </c>
      <c r="J1433" t="inlineStr"/>
      <c r="K1433" t="inlineStr"/>
      <c r="L1433" t="inlineStr"/>
      <c r="M1433" t="inlineStr"/>
      <c r="N1433" t="inlineStr"/>
      <c r="O1433" t="inlineStr"/>
      <c r="P1433" t="inlineStr"/>
      <c r="Q1433" t="inlineStr"/>
      <c r="R1433" t="inlineStr"/>
      <c r="S1433" t="inlineStr"/>
      <c r="T1433" t="inlineStr"/>
      <c r="V1433" t="inlineStr"/>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IF(B1460=0,0,O1434/B1460)</f>
        <v/>
      </c>
      <c r="Q1434" t="n">
        <v>0</v>
      </c>
      <c r="R1434" t="n">
        <v>0</v>
      </c>
      <c r="S1434">
        <f>IFERROR(O1434/N1434,0)</f>
        <v/>
      </c>
      <c r="T1434" t="n">
        <v>0</v>
      </c>
      <c r="V1434" t="n">
        <v>0</v>
      </c>
    </row>
    <row r="1435">
      <c r="A1435">
        <f>Skills!A14</f>
        <v/>
      </c>
      <c r="B1435">
        <f>Skills!B14</f>
        <v/>
      </c>
      <c r="C1435">
        <f>Inputs!$B$3&gt;=115</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IF(B1460=0,0,O1435/B1460)</f>
        <v/>
      </c>
      <c r="Q1435">
        <f>IFERROR(1/(IF(Inputs!$B$38="pvp",15,MAX(0.1,Skills!D14-IF(TRUE=TRUE,Inputs!$B$32,0)))*(1-IF(AND(ArtifactsInput!$M$27,Inputs!$B$4="Chapter Hunt"),CHOOSE(ArtifactsInput!$N$27+1,20,24,28,32,36,40),0)/100)),0)</f>
        <v/>
      </c>
      <c r="R1435">
        <f>IF(AND(Inputs!$B$38&lt;&gt;"pvp",Inputs!$B$43&gt;0),IF(Inputs!$B$43&lt;=0,0,(INT(Inputs!$B$43/(IF(Inputs!$B$38="pvp",15,MAX(0.1,Skills!D14-IF(TRUE=TRUE,Inputs!$B$32,0)))*(1-IF(AND(ArtifactsInput!$M$27,Inputs!$B$4="Chapter Hunt"),CHOOSE(ArtifactsInput!$N$27+1,20,24,28,32,36,40),0)/100)))+1)),0)</f>
        <v/>
      </c>
      <c r="S1435">
        <f>IFERROR(O1435/N1435,0)</f>
        <v/>
      </c>
      <c r="T1435" t="n">
        <v>0</v>
      </c>
      <c r="V1435" t="n">
        <v>0</v>
      </c>
    </row>
    <row r="1436">
      <c r="A1436">
        <f>Skills!A15</f>
        <v/>
      </c>
      <c r="B1436">
        <f>Skills!B15</f>
        <v/>
      </c>
      <c r="C1436">
        <f>Inputs!$B$3&gt;=125</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IF(B1460=0,0,O1436/B1460)</f>
        <v/>
      </c>
      <c r="Q1436">
        <f>IFERROR(1/(IF(Inputs!$B$38="pvp",15,MAX(0.1,Skills!D15-IF(TRUE=TRUE,Inputs!$B$32,0)))*(1-IF(AND(ArtifactsInput!$M$27,Inputs!$B$4="Chapter Hunt"),CHOOSE(ArtifactsInput!$N$27+1,20,24,28,32,36,40),0)/100)),0)</f>
        <v/>
      </c>
      <c r="R1436">
        <f>IF(AND(Inputs!$B$38&lt;&gt;"pvp",Inputs!$B$43&gt;0),IF(Inputs!$B$43&lt;=0,0,(INT(Inputs!$B$43/(IF(Inputs!$B$38="pvp",15,MAX(0.1,Skills!D15-IF(TRUE=TRUE,Inputs!$B$32,0)))*(1-IF(AND(ArtifactsInput!$M$27,Inputs!$B$4="Chapter Hunt"),CHOOSE(ArtifactsInput!$N$27+1,20,24,28,32,36,40),0)/100)))+1)),0)</f>
        <v/>
      </c>
      <c r="S1436">
        <f>IFERROR(O1436/N1436,0)</f>
        <v/>
      </c>
      <c r="T1436" t="n">
        <v>0</v>
      </c>
      <c r="V1436" t="n">
        <v>0</v>
      </c>
    </row>
    <row r="1437">
      <c r="A1437">
        <f>Skills!A16</f>
        <v/>
      </c>
      <c r="B1437">
        <f>Skills!B16</f>
        <v/>
      </c>
      <c r="C1437">
        <f>Inputs!$B$3&gt;=10</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IF(B1460=0,0,O1437/B1460)</f>
        <v/>
      </c>
      <c r="Q1437" t="n">
        <v>0</v>
      </c>
      <c r="R1437" t="n">
        <v>0</v>
      </c>
      <c r="S1437">
        <f>IFERROR(O1437/N1437,0)</f>
        <v/>
      </c>
      <c r="T1437" t="n">
        <v>0</v>
      </c>
      <c r="V1437" t="n">
        <v>0</v>
      </c>
    </row>
    <row r="1438">
      <c r="A1438">
        <f>Skills!A17</f>
        <v/>
      </c>
      <c r="B1438">
        <f>Skills!B17</f>
        <v/>
      </c>
      <c r="C1438">
        <f>Inputs!$B$3&gt;=15</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IF(B1460=0,0,O1438/B1460)</f>
        <v/>
      </c>
      <c r="Q1438" t="n">
        <v>0</v>
      </c>
      <c r="R1438" t="n">
        <v>0</v>
      </c>
      <c r="S1438">
        <f>IFERROR(O1438/N1438,0)</f>
        <v/>
      </c>
      <c r="T1438" t="n">
        <v>0</v>
      </c>
      <c r="V1438" t="n">
        <v>0</v>
      </c>
    </row>
    <row r="1439">
      <c r="A1439">
        <f>Skills!A18</f>
        <v/>
      </c>
      <c r="B1439">
        <f>Skills!B18</f>
        <v/>
      </c>
      <c r="C1439">
        <f>Inputs!$B$3&gt;=33</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IF(B1460=0,0,O1439/B1460)</f>
        <v/>
      </c>
      <c r="Q1439" t="n">
        <v>0</v>
      </c>
      <c r="R1439" t="n">
        <v>0</v>
      </c>
      <c r="S1439">
        <f>IFERROR(O1439/N1439,0)</f>
        <v/>
      </c>
      <c r="T1439" t="n">
        <v>0</v>
      </c>
      <c r="V1439" t="n">
        <v>0</v>
      </c>
    </row>
    <row r="1440">
      <c r="A1440">
        <f>Skills!A19</f>
        <v/>
      </c>
      <c r="B1440">
        <f>Skills!B19</f>
        <v/>
      </c>
      <c r="C1440">
        <f>Inputs!$B$3&gt;=40</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IF(B1460=0,0,O1440/B1460)</f>
        <v/>
      </c>
      <c r="Q1440" t="n">
        <v>0</v>
      </c>
      <c r="R1440" t="n">
        <v>0</v>
      </c>
      <c r="S1440">
        <f>IFERROR(O1440/N1440,0)</f>
        <v/>
      </c>
      <c r="T1440" t="n">
        <v>0</v>
      </c>
      <c r="V1440" t="n">
        <v>0</v>
      </c>
    </row>
    <row r="1441">
      <c r="A1441">
        <f>Skills!A20</f>
        <v/>
      </c>
      <c r="B1441">
        <f>Skills!B20</f>
        <v/>
      </c>
      <c r="C1441">
        <f>Inputs!$B$3&gt;=43</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IF(B1460=0,0,O1441/B1460)</f>
        <v/>
      </c>
      <c r="Q1441" t="n">
        <v>0</v>
      </c>
      <c r="R1441" t="n">
        <v>0</v>
      </c>
      <c r="S1441">
        <f>IFERROR(O1441/N1441,0)</f>
        <v/>
      </c>
      <c r="T1441" t="n">
        <v>0</v>
      </c>
      <c r="V1441" t="n">
        <v>0</v>
      </c>
    </row>
    <row r="1442">
      <c r="A1442">
        <f>Skills!A21</f>
        <v/>
      </c>
      <c r="B1442">
        <f>Skills!B21</f>
        <v/>
      </c>
      <c r="C1442">
        <f>Inputs!$B$3&gt;=38</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IF(B1460=0,0,O1442/B1460)</f>
        <v/>
      </c>
      <c r="Q1442" t="n">
        <v>0</v>
      </c>
      <c r="R1442" t="n">
        <v>0</v>
      </c>
      <c r="S1442">
        <f>IFERROR(O1442/N1442,0)</f>
        <v/>
      </c>
      <c r="T1442" t="n">
        <v>0</v>
      </c>
      <c r="V1442" t="n">
        <v>0</v>
      </c>
    </row>
    <row r="1443">
      <c r="A1443">
        <f>Skills!A22</f>
        <v/>
      </c>
      <c r="B1443">
        <f>Skills!B22</f>
        <v/>
      </c>
      <c r="C1443">
        <f>Inputs!$B$3&gt;=75</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IF(B1460=0,0,O1443/B1460)</f>
        <v/>
      </c>
      <c r="Q1443" t="n">
        <v>0</v>
      </c>
      <c r="R1443" t="n">
        <v>0</v>
      </c>
      <c r="S1443">
        <f>IFERROR(O1443/N1443,0)</f>
        <v/>
      </c>
      <c r="T1443" t="n">
        <v>0</v>
      </c>
      <c r="V1443" t="n">
        <v>0</v>
      </c>
    </row>
    <row r="1444">
      <c r="A1444">
        <f>Skills!A23</f>
        <v/>
      </c>
      <c r="B1444">
        <f>Skills!B23</f>
        <v/>
      </c>
      <c r="C1444">
        <f>TRUE</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IF(B1460=0,0,O1444/B1460)</f>
        <v/>
      </c>
      <c r="Q1444">
        <f>IFERROR(1/(IF(Inputs!$B$38="pvp",15,MAX(0.1,Skills!D23-IF(TRUE=TRUE,Inputs!$B$32,0)))*(1-IF(AND(ArtifactsInput!$M$27,Inputs!$B$4="Chapter Hunt"),CHOOSE(ArtifactsInput!$N$27+1,20,24,28,32,36,40),0)/100)),0)</f>
        <v/>
      </c>
      <c r="R1444">
        <f>IF(AND(Inputs!$B$38&lt;&gt;"pvp",Inputs!$B$43&gt;0),IF(Inputs!$B$43&lt;=0,0,(INT(Inputs!$B$43/(IF(Inputs!$B$38="pvp",15,MAX(0.1,Skills!D23-IF(TRUE=TRUE,Inputs!$B$32,0)))*(1-IF(AND(ArtifactsInput!$M$27,Inputs!$B$4="Chapter Hunt"),CHOOSE(ArtifactsInput!$N$27+1,20,24,28,32,36,40),0)/100)))+1)),0)</f>
        <v/>
      </c>
      <c r="S1444">
        <f>IFERROR(O1444/N1444,0)</f>
        <v/>
      </c>
      <c r="T1444" t="n">
        <v>0</v>
      </c>
      <c r="V1444" t="n">
        <v>0</v>
      </c>
    </row>
    <row r="1445">
      <c r="A1445">
        <f>Skills!A24</f>
        <v/>
      </c>
      <c r="B1445">
        <f>Skills!B24</f>
        <v/>
      </c>
      <c r="C1445">
        <f>Inputs!$B$3&gt;=107</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IF(B1460=0,0,O1445/B1460)</f>
        <v/>
      </c>
      <c r="Q1445">
        <f>IFERROR(1/(IF(Inputs!$B$38="pvp",15,MAX(0.1,Skills!D24-IF(TRUE=TRUE,Inputs!$B$32,0)))*(1-IF(AND(ArtifactsInput!$M$27,Inputs!$B$4="Chapter Hunt"),CHOOSE(ArtifactsInput!$N$27+1,20,24,28,32,36,40),0)/100)),0)</f>
        <v/>
      </c>
      <c r="R1445">
        <f>IF(AND(Inputs!$B$38&lt;&gt;"pvp",Inputs!$B$43&gt;0),IF(Inputs!$B$43&lt;=0,0,(INT(Inputs!$B$43/(IF(Inputs!$B$38="pvp",15,MAX(0.1,Skills!D24-IF(TRUE=TRUE,Inputs!$B$32,0)))*(1-IF(AND(ArtifactsInput!$M$27,Inputs!$B$4="Chapter Hunt"),CHOOSE(ArtifactsInput!$N$27+1,20,24,28,32,36,40),0)/100)))+1)),0)</f>
        <v/>
      </c>
      <c r="S1445">
        <f>IFERROR(O1445/N1445,0)</f>
        <v/>
      </c>
      <c r="T1445" t="n">
        <v>0</v>
      </c>
      <c r="V1445" t="n">
        <v>0</v>
      </c>
    </row>
    <row r="1446">
      <c r="A1446">
        <f>Skills!A25</f>
        <v/>
      </c>
      <c r="B1446">
        <f>Skills!B25</f>
        <v/>
      </c>
      <c r="C1446">
        <f>Inputs!$B$3&gt;=110</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t="inlineStr"/>
      <c r="H1446" t="inlineStr"/>
      <c r="I1446" t="inlineStr">
        <is>
          <t>1</t>
        </is>
      </c>
      <c r="J1446" t="inlineStr"/>
      <c r="K1446" t="inlineStr"/>
      <c r="L1446" t="inlineStr"/>
      <c r="M1446" t="inlineStr"/>
      <c r="N1446" t="inlineStr"/>
      <c r="O1446" t="inlineStr"/>
      <c r="P1446" t="inlineStr"/>
      <c r="Q1446" t="inlineStr"/>
      <c r="R1446" t="inlineStr"/>
      <c r="S1446" t="inlineStr"/>
      <c r="T1446" t="inlineStr"/>
      <c r="V1446" t="inlineStr"/>
    </row>
    <row r="1447">
      <c r="A1447">
        <f>Skills!A26</f>
        <v/>
      </c>
      <c r="B1447">
        <f>Skills!B26</f>
        <v/>
      </c>
      <c r="C1447">
        <f>Inputs!$B$3&gt;=117</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9">
      <c r="A1449" t="inlineStr">
        <is>
          <t>Attack% Bucket Multiplier</t>
        </is>
      </c>
      <c r="B1449">
        <f>(1+(((C1434=TRUE)*F1434*5/7)+((C1440=TRUE)*(F1440-Calc!F19))+(IF(ArtifactsInput!$M$21,CHOOSE(ArtifactsInput!$N$21+1,25,30,35,40,45,50)*(IF(OR(Inputs!$B$4="Chapter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0">
      <c r="A1450" t="inlineStr">
        <is>
          <t>Global Crit Rate Bonus %</t>
        </is>
      </c>
      <c r="B1450" t="n">
        <v>0</v>
      </c>
    </row>
    <row r="1451">
      <c r="A1451" t="inlineStr">
        <is>
          <t>Attack Speed Buff Bonus % (Nimble Feet + Speed Infusion, duty-cycle averaged)</t>
        </is>
      </c>
      <c r="B1451">
        <f>((C1444=TRUE)*F1444*IF(AND(Inputs!$B$38&lt;&gt;"pvp",Inputs!$B$43&gt;0),(((R1444-1)*MIN((Skills!T23*(1+Inputs!$B$34/100)),(1/Q1444))+MIN((Skills!T23*(1+Inputs!$B$34/100)),MAX(0,Inputs!$B$43-((R1444-1)*(1/Q1444)))))/Inputs!$B$43),IF(Inputs!$B$38="pvp",MIN((Skills!T23*(1+Inputs!$B$34/100)),15)/15,MIN(1,(Skills!T23*(1+Inputs!$B$34/100))/(1/Q1444)))))+((C1445=TRUE)*F1445*IF(AND(Inputs!$B$38&lt;&gt;"pvp",Inputs!$B$43&gt;0),(((R1445-1)*MIN((Skills!T24*(1+Inputs!$B$34/100)),(1/Q1445))+MIN((Skills!T24*(1+Inputs!$B$34/100)),MAX(0,Inputs!$B$43-((R1445-1)*(1/Q1445)))))/Inputs!$B$43),IF(Inputs!$B$38="pvp",MIN((Skills!T24*(1+Inputs!$B$34/100)),15)/15,MIN(1,(Skills!T24*(1+Inputs!$B$34/100))/(1/Q1445)))))</f>
        <v/>
      </c>
    </row>
    <row r="1452">
      <c r="A1452" t="inlineStr">
        <is>
          <t>Actions Per Second</t>
        </is>
      </c>
      <c r="B1452">
        <f>1+MIN(150,150*(1-(1-(Inputs!$B$11+((C1438=TRUE)*(F1438-Calc!F17))+((C1439=TRUE)*(F1439-Calc!F18)))/150)*(1-B1451/150)))/100</f>
        <v/>
      </c>
    </row>
    <row r="1453">
      <c r="A1453" t="inlineStr">
        <is>
          <t>Skill + Buff Cast Rate</t>
        </is>
      </c>
      <c r="B1453">
        <f>IF(AND(Inputs!$B$38&lt;&gt;"pvp",Inputs!$B$43&gt;0),SUMPRODUCT((Skills!E2:E26=TRUE)*(C1423:C1447=TRUE)*R1423:R1447*Skills!F2:F26)/Inputs!$B$43,SUMPRODUCT((Skills!E2:E26=TRUE)*(C1423:C1447=TRUE)*Q1423:Q1447*Skills!F2:F26))</f>
        <v/>
      </c>
    </row>
    <row r="1454">
      <c r="A1454" t="inlineStr">
        <is>
          <t>Hook Bomber Casts Per Second</t>
        </is>
      </c>
      <c r="B1454">
        <f>MAX(0,B1452-B1453)</f>
        <v/>
      </c>
    </row>
    <row r="1455">
      <c r="A1455" t="inlineStr">
        <is>
          <t>Global Critical Damage Bonus % (unused)</t>
        </is>
      </c>
      <c r="B1455" t="n">
        <v>0</v>
      </c>
    </row>
    <row r="1456">
      <c r="A1456" t="inlineStr">
        <is>
          <t>Global Final Damage Bonus % (Serpent Scale + Crossbones + Time Leap + Speed Infusion)</t>
        </is>
      </c>
      <c r="B1456">
        <f>((C1426=TRUE)*(F1426*B1462+4*(1-B1462)))+((C1435=TRUE)*F1435*IF(AND(Inputs!$B$38&lt;&gt;"pvp",Inputs!$B$43&gt;0),(((R1435-1)*MIN((Skills!T14*(1+Inputs!$B$34/100)),(1/Q1435))+MIN((Skills!T14*(1+Inputs!$B$34/100)),MAX(0,Inputs!$B$43-((R1435-1)*(1/Q1435)))))/Inputs!$B$43),IF(Inputs!$B$38="pvp",MIN((Skills!T14*(1+Inputs!$B$34/100)),15)/15,MIN(1,(Skills!T14*(1+Inputs!$B$34/100))/(1/Q1435)))))+((C1436=TRUE)*F1436*IF(AND(Inputs!$B$38&lt;&gt;"pvp",Inputs!$B$43&gt;0),(((R1436-1)*MIN((Skills!T15*(1+Inputs!$B$34/100)),(1/Q1436))+MIN((Skills!T15*(1+Inputs!$B$34/100)),MAX(0,Inputs!$B$43-((R1436-1)*(1/Q1436)))))/Inputs!$B$43),IF(Inputs!$B$38="pvp",MIN((Skills!T15*(1+Inputs!$B$34/100)),15)/15,MIN(1,(Skills!T15*(1+Inputs!$B$34/100))/(1/Q1436)))))+((C1445=TRUE)*20*((1+MIN(150,150*(1-(1-(Inputs!$B$11+((C1438=TRUE)*(F1438-Calc!F17))+((C1439=TRUE)*(F1439-Calc!F18)))/150)*(1-(((C1444=TRUE)*F1444*IF(AND(Inputs!$B$38&lt;&gt;"pvp",Inputs!$B$43&gt;0),(((R1444-1)*MIN((Skills!T23*(1+Inputs!$B$34/100)),(1/Q1444))+MIN((Skills!T23*(1+Inputs!$B$34/100)),MAX(0,Inputs!$B$43-((R1444-1)*(1/Q1444)))))/Inputs!$B$43),IF(Inputs!$B$38="pvp",MIN((Skills!T23*(1+Inputs!$B$34/100)),15)/15,MIN(1,(Skills!T23*(1+Inputs!$B$34/100))/(1/Q1444)))))+F1445)/150)))/100)-1)*IF(AND(Inputs!$B$38&lt;&gt;"pvp",Inputs!$B$43&gt;0),(((R1445-1)*MIN((Skills!T24*(1+Inputs!$B$34/100)),(1/Q1445))+MIN((Skills!T24*(1+Inputs!$B$34/100)),MAX(0,Inputs!$B$43-((R1445-1)*(1/Q1445)))))/Inputs!$B$43),IF(Inputs!$B$38="pvp",MIN((Skills!T24*(1+Inputs!$B$34/100)),15)/15,MIN(1,(Skills!T24*(1+Inputs!$B$34/100))/(1/Q1445)))))</f>
        <v/>
      </c>
    </row>
    <row r="1457">
      <c r="A1457" t="inlineStr">
        <is>
          <t>Buff-Casting Startup Delay (s, fixed-duration only)</t>
        </is>
      </c>
      <c r="B1457">
        <f>IF(AND(Inputs!$B$38&lt;&gt;"pvp",Inputs!$B$43&gt;0),SUMPRODUCT((Skills!T2:T26&gt;0)*(Skills!E2:E26=TRUE)*(C1423:C1447=TRUE))/B1452,0)</f>
        <v/>
      </c>
    </row>
    <row r="1458">
      <c r="A1458" t="inlineStr">
        <is>
          <t>Boss-Only Total DPS (this block's swept value)</t>
        </is>
      </c>
      <c r="B1458">
        <f>SUM(T1423:T1447)</f>
        <v/>
      </c>
    </row>
    <row r="1459">
      <c r="A1459" t="inlineStr">
        <is>
          <t>Normal-Only Total DPS (this block's swept value)</t>
        </is>
      </c>
      <c r="B1459">
        <f>SUM(V1423:V1447)</f>
        <v/>
      </c>
    </row>
    <row r="1460">
      <c r="A1460" s="6" t="inlineStr">
        <is>
          <t>TOTAL DPS</t>
        </is>
      </c>
      <c r="B1460" s="6">
        <f>SUM(O1423:O1447)</f>
        <v/>
      </c>
    </row>
    <row r="1461">
      <c r="A1461" t="inlineStr">
        <is>
          <t>Serpent activation interval T (this block's own Hook Bomber rate)</t>
        </is>
      </c>
      <c r="B1461">
        <f>((1/Q1424)+IFERROR(0.5/B1454,0))</f>
        <v/>
      </c>
    </row>
    <row r="1462">
      <c r="A1462" t="inlineStr">
        <is>
          <t>Assault Mode uptime u (this block)</t>
        </is>
      </c>
      <c r="B1462">
        <f>IF(C1426=TRUE,(10+IF(Inputs!$B$3&gt;=94,5,0))/((10+IF(Inputs!$B$3&gt;=94,5,0))+IF(Inputs!$B$3&gt;=104,3,5)*B1461),0)</f>
        <v/>
      </c>
    </row>
    <row r="1463">
      <c r="A1463" t="inlineStr">
        <is>
          <t>Nautilus Strike - Final Attack trigger rate (this block's own Q/R)</t>
        </is>
      </c>
      <c r="B1463">
        <f>IF(AND(Inputs!$B$38&lt;&gt;"pvp",Inputs!$B$43&gt;0),(((C1427=TRUE)*R1427)+((C1428=TRUE)*R1428)+((C1431=TRUE)*R1431))/Inputs!$B$43,((C1427=TRUE)*Q1427)+((C1428=TRUE)*Q1428)+((C1431=TRUE)*Q1431))+B1454</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1486=TRUE)*(F1486-Calc!F20)),(Inputs!$B$23+0+(IF(ArtifactsInput!$M$15,CHOOSE(ArtifactsInput!$N$15+1,25,30,35,40,45,50)/100*(Inputs!$B$11-Inputs!$B$11),0))))/100+(Inputs!$B$23+0+(IF(ArtifactsInput!$M$15,CHOOSE(ArtifactsInput!$N$15+1,25,30,35,40,45,50)/100*(Inputs!$B$11-Inputs!$B$11),0)))/100)/2</f>
        <v/>
      </c>
      <c r="M1468">
        <f>L1468*(1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IF(B1505=0,0,O1468/B1505)</f>
        <v/>
      </c>
      <c r="Q1468" t="n">
        <v>0</v>
      </c>
      <c r="R1468" t="n">
        <v>0</v>
      </c>
      <c r="S1468">
        <f>IFERROR(O1468/N1468,0)</f>
        <v/>
      </c>
      <c r="T1468">
        <f>IF(C1468,(Skills!G2*N1468*B1499)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IF(C1468,(Skills!G2*N1468*B1499)*IF(Inputs!$B$38="pvp",1,(1+(Inputs!$B$21+Skills!Q2+(IF(ArtifactsInput!$M$33,CHOOSE(ArtifactsInput!$N$33+1,30,36,42,48,54,60),0))+(IF(AND(ArtifactsInput!$M$35,Inputs!$B$4&lt;&gt;"Chapter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Inputs!$B$3&gt;=35</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f>Skills!G3*IF(Skills!H3&gt;0,Skills!I3/Skills!H3,1)</f>
        <v/>
      </c>
      <c r="H1469">
        <f>1-(1-Skills!J3/100)^Skills!K3</f>
        <v/>
      </c>
      <c r="I1469" t="inlineStr">
        <is>
          <t>1</t>
        </is>
      </c>
      <c r="J1469">
        <f>((Inputs!$B$6*(1+Inputs!$B$7/100))+(((Inputs!$B$12*(1+Inputs!$B$13/100))-(Inputs!$B$12*(1+Inputs!$B$13/100)))+0.25*(Inputs!$B$14-Inputs!$B$14))*(1+Inputs!$B$7/100))*(F1469/100)</f>
        <v/>
      </c>
      <c r="K1469">
        <f>J1469*(1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1491=TRUE,F1491,0)/100)*(1+(IF(Skills!A3="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C1486=TRUE)*(F1486-Calc!F20)),(Inputs!$B$23+0+(IF(ArtifactsInput!$M$15,CHOOSE(ArtifactsInput!$N$15+1,25,30,35,40,45,50)/100*(Inputs!$B$11-Inputs!$B$11),0))))/100+(Inputs!$B$23+0+(IF(ArtifactsInput!$M$15,CHOOSE(ArtifactsInput!$N$15+1,25,30,35,40,45,50)/100*(Inputs!$B$11-Inputs!$B$11),0)))/100)/2</f>
        <v/>
      </c>
      <c r="M1469">
        <f>L1469*(1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(1-Summary!$B$11)*T1469+Summary!$B$11*V1469</f>
        <v/>
      </c>
      <c r="P1469">
        <f>IF(B1505=0,0,O1469/B1505)</f>
        <v/>
      </c>
      <c r="Q1469">
        <f>IFERROR(1/(IF(Inputs!$B$38="pvp",15,MAX(0.1,Skills!D3-IF(TRUE=TRUE,Inputs!$B$32,0)))*(1-IF(AND(ArtifactsInput!$M$27,Inputs!$B$4="Chapter Hunt"),CHOOSE(ArtifactsInput!$N$27+1,20,24,28,32,36,40),0)/100)),0)</f>
        <v/>
      </c>
      <c r="R1469">
        <f>IF(AND(Inputs!$B$38&lt;&gt;"pvp",Inputs!$B$43&gt;0),IF(MAX(0,Inputs!$B$43-B1502)&lt;=0,0,(INT(MAX(0,Inputs!$B$43-B1502)/(IF(Inputs!$B$38="pvp",15,MAX(0.1,Skills!D3-IF(TRUE=TRUE,Inputs!$B$32,0)))*(1-IF(AND(ArtifactsInput!$M$27,Inputs!$B$4="Chapter Hunt"),CHOOSE(ArtifactsInput!$N$27+1,20,24,28,32,36,40),0)/100)))+1)),0)</f>
        <v/>
      </c>
      <c r="S1469">
        <f>IFERROR(O1469/N1469,0)</f>
        <v/>
      </c>
      <c r="T1469">
        <f>IF(C1469,(Skills!G3*N1469*IF(C1470=TRUE,1-B1507,1)/B1506)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1469*(1-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1469*(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1469*(1-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9">
        <f>INDEX(FactorTable!$B$2:$Y$301, MATCH(ROUND(MIN(300,MAX(1,U1468)),0), FactorTable!$A$2:$A$301,0), 22)</f>
        <v/>
      </c>
      <c r="V1469">
        <f>IF(C1469,(Skills!G3*N1469*IF(C1470=TRUE,1-B1507,1)/B1506)*IF(Inputs!$B$38="pvp",1,(1+(Inputs!$B$21+Skills!Q3+(IF(ArtifactsInput!$M$33,CHOOSE(ArtifactsInput!$N$33+1,30,36,42,48,54,60),0))+(IF(AND(ArtifactsInput!$M$35,Inputs!$B$4&lt;&gt;"Chapter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Skills!A4</f>
        <v/>
      </c>
      <c r="B1470">
        <f>Skills!B4</f>
        <v/>
      </c>
      <c r="C1470">
        <f>Inputs!$B$3&gt;=69</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f>Skills!G4*IF(Skills!H4&gt;0,Skills!I4/Skills!H4,1)</f>
        <v/>
      </c>
      <c r="H1470">
        <f>1-(1-Skills!J4/100)^Skills!K4</f>
        <v/>
      </c>
      <c r="I1470" t="inlineStr">
        <is>
          <t>1</t>
        </is>
      </c>
      <c r="J1470">
        <f>((Inputs!$B$6*(1+Inputs!$B$7/100))+(((Inputs!$B$12*(1+Inputs!$B$13/100))-(Inputs!$B$12*(1+Inputs!$B$13/100)))+0.25*(Inputs!$B$14-Inputs!$B$14))*(1+Inputs!$B$7/100))*(F1470/100)</f>
        <v/>
      </c>
      <c r="K1470">
        <f>J1470*(1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1478=TRUE,F1478,0)/100)*(1+(IF(Skills!A4="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1470)</f>
        <v/>
      </c>
      <c r="L1470">
        <f>K1470*(MIN(Inputs!$B$22+((C1486=TRUE)*(F1486-Calc!F20)),(Inputs!$B$23+0+(IF(ArtifactsInput!$M$15,CHOOSE(ArtifactsInput!$N$15+1,25,30,35,40,45,50)/100*(Inputs!$B$11-Inputs!$B$11),0))))/100+(Inputs!$B$23+0+(IF(ArtifactsInput!$M$15,CHOOSE(ArtifactsInput!$N$15+1,25,30,35,40,45,50)/100*(Inputs!$B$11-Inputs!$B$11),0)))/100)/2</f>
        <v/>
      </c>
      <c r="M1470">
        <f>L1470*(1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0">
        <f>L1470*(1-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1470*(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0">
        <f>(1-Summary!$B$11)*T1470+Summary!$B$11*V1470</f>
        <v/>
      </c>
      <c r="P1470">
        <f>IF(B1505=0,0,O1470/B1505)</f>
        <v/>
      </c>
      <c r="Q1470" t="n">
        <v>0</v>
      </c>
      <c r="R1470" t="n">
        <v>0</v>
      </c>
      <c r="S1470">
        <f>IFERROR(O1470/N1470,0)</f>
        <v/>
      </c>
      <c r="T1470">
        <f>IF(C1470,(Skills!G4*N1470*B1507/B1506)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1470*(1-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1470*(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1470*(1-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1470*(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0">
        <f>290*U1469/1000</f>
        <v/>
      </c>
      <c r="V1470">
        <f>IF(C1470,(Skills!G4*N1470*B1507/B1506)*IF(Inputs!$B$38="pvp",1,(1+(Inputs!$B$21+Skills!Q4+(IF(ArtifactsInput!$M$33,CHOOSE(ArtifactsInput!$N$33+1,30,36,42,48,54,60),0))+(IF(AND(ArtifactsInput!$M$35,Inputs!$B$4&lt;&gt;"Chapter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1">
      <c r="A1471">
        <f>Skills!A5</f>
        <v/>
      </c>
      <c r="B1471">
        <f>Skills!B5</f>
        <v/>
      </c>
      <c r="C1471">
        <f>Inputs!$B$3&gt;=66</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t="inlineStr"/>
      <c r="K1471" t="inlineStr"/>
      <c r="L1471" t="inlineStr"/>
      <c r="M1471" t="inlineStr"/>
      <c r="N1471" t="inlineStr"/>
      <c r="O1471">
        <f>(1-Summary!$B$11)*T1471+Summary!$B$11*V1471</f>
        <v/>
      </c>
      <c r="P1471">
        <f>IF(B1505=0,0,O1471/B1505)</f>
        <v/>
      </c>
      <c r="Q1471" t="n">
        <v>0</v>
      </c>
      <c r="R1471" t="n">
        <v>0</v>
      </c>
      <c r="S1471">
        <f>IFERROR(O1471/N1471,0)</f>
        <v/>
      </c>
      <c r="T1471" t="n">
        <v>0</v>
      </c>
      <c r="V1471" t="n">
        <v>0</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1478=TRUE,F1478,0)/100)*(1+(IF(Skills!A6="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1486=TRUE)*(F1486-Calc!F20)),(Inputs!$B$23+0+(IF(ArtifactsInput!$M$15,CHOOSE(ArtifactsInput!$N$15+1,25,30,35,40,45,50)/100*(Inputs!$B$11-Inputs!$B$11),0))))/100+(Inputs!$B$23+0+(IF(ArtifactsInput!$M$15,CHOOSE(ArtifactsInput!$N$15+1,25,30,35,40,45,50)/100*(Inputs!$B$11-Inputs!$B$11),0)))/100)/2</f>
        <v/>
      </c>
      <c r="M1472">
        <f>L1472*(1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IF(B1505=0,0,O1472/B1505)</f>
        <v/>
      </c>
      <c r="Q1472">
        <f>IFERROR(1/(IF(Inputs!$B$38="pvp",15,MAX(0.1,Skills!D6-IF(TRUE=TRUE,Inputs!$B$32,0)))*(1-IF(AND(ArtifactsInput!$M$27,Inputs!$B$4="Chapter Hunt"),CHOOSE(ArtifactsInput!$N$27+1,20,24,28,32,36,40),0)/100)),0)</f>
        <v/>
      </c>
      <c r="R1472">
        <f>IF(AND(Inputs!$B$38&lt;&gt;"pvp",Inputs!$B$43&gt;0),IF(MAX(0,Inputs!$B$43-B1502)&lt;=0,0,(INT(MAX(0,Inputs!$B$43-B1502)/(IF(Inputs!$B$38="pvp",15,MAX(0.1,Skills!D6-IF(TRUE=TRUE,Inputs!$B$32,0)))*(1-IF(AND(ArtifactsInput!$M$27,Inputs!$B$4="Chapter Hunt"),CHOOSE(ArtifactsInput!$N$27+1,20,24,28,32,36,40),0)/100)))+1)),0)</f>
        <v/>
      </c>
      <c r="S1472">
        <f>IFERROR(O1472/N1472,0)</f>
        <v/>
      </c>
      <c r="T1472">
        <f>IF(C1472,(H1472*N1472*IF(AND(Inputs!$B$38&lt;&gt;"pvp",Inputs!$B$43&gt;0),((Skills!G6*((R1472-1)*IF(Skills!H6&gt;0,Skills!I6/Skills!H6,1)+IF(Skills!H6&gt;0,MIN(Skills!I6,MAX(0,MAX(0,Inputs!$B$43-B1502)-((R1472-1)*(IF(Inputs!$B$38="pvp",15,MAX(0.1,Skills!D6-IF(TRUE=TRUE,Inputs!$B$32,0)))*(1-IF(AND(ArtifactsInput!$M$27,Inputs!$B$4="Chapter Hunt"),CHOOSE(ArtifactsInput!$N$27+1,20,24,28,32,36,40),0)/100)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1502)-((R1472-1)*(IF(Inputs!$B$38="pvp",15,MAX(0.1,Skills!D6-IF(TRUE=TRUE,Inputs!$B$32,0)))*(1-IF(AND(ArtifactsInput!$M$27,Inputs!$B$4="Chapter Hunt"),CHOOSE(ArtifactsInput!$N$27+1,20,24,28,32,36,40),0)/100)))))/Skills!H6,1)))/Inputs!$B$43),G1472*Q1472))*IF(Inputs!$B$38="pvp",1,(1+(Inputs!$B$21+Skills!Q6+(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Inputs!$B$3&gt;=103</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1486=TRUE)*(F1486-Calc!F20)),(Inputs!$B$23+0+(IF(ArtifactsInput!$M$15,CHOOSE(ArtifactsInput!$N$15+1,25,30,35,40,45,50)/100*(Inputs!$B$11-Inputs!$B$11),0))))/100+(Inputs!$B$23+0+(IF(ArtifactsInput!$M$15,CHOOSE(ArtifactsInput!$N$15+1,25,30,35,40,45,50)/100*(Inputs!$B$11-Inputs!$B$11),0)))/100)/2</f>
        <v/>
      </c>
      <c r="M1473">
        <f>L1473*(1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IF(B1505=0,0,O1473/B1505)</f>
        <v/>
      </c>
      <c r="Q1473">
        <f>IFERROR(1/(IF(Inputs!$B$38="pvp",15,MAX(0.1,Skills!D7-IF(TRUE=TRUE,Inputs!$B$32,0)))*(1-IF(AND(ArtifactsInput!$M$27,Inputs!$B$4="Chapter Hunt"),CHOOSE(ArtifactsInput!$N$27+1,20,24,28,32,36,40),0)/100)),0)</f>
        <v/>
      </c>
      <c r="R1473">
        <f>IF(AND(Inputs!$B$38&lt;&gt;"pvp",Inputs!$B$43&gt;0),IF(MAX(0,Inputs!$B$43-B1502)&lt;=0,0,(INT(MAX(0,Inputs!$B$43-B1502)/(IF(Inputs!$B$38="pvp",15,MAX(0.1,Skills!D7-IF(TRUE=TRUE,Inputs!$B$32,0)))*(1-IF(AND(ArtifactsInput!$M$27,Inputs!$B$4="Chapter Hunt"),CHOOSE(ArtifactsInput!$N$27+1,20,24,28,32,36,40),0)/100)))+1)),0)</f>
        <v/>
      </c>
      <c r="S1473">
        <f>IFERROR(O1473/N1473,0)</f>
        <v/>
      </c>
      <c r="T1473">
        <f>IF(C1473,(H1473*N1473*IF(AND(Inputs!$B$38&lt;&gt;"pvp",Inputs!$B$43&gt;0),((Skills!G7*((R1473-1)*IF(Skills!H7&gt;0,Skills!I7/Skills!H7,1)+IF(Skills!H7&gt;0,MIN(Skills!I7,MAX(0,MAX(0,Inputs!$B$43-B1502)-((R1473-1)*(IF(Inputs!$B$38="pvp",15,MAX(0.1,Skills!D7-IF(TRUE=TRUE,Inputs!$B$32,0)))*(1-IF(AND(ArtifactsInput!$M$27,Inputs!$B$4="Chapter Hunt"),CHOOSE(ArtifactsInput!$N$27+1,20,24,28,32,36,40),0)/100)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1502)-((R1473-1)*(IF(Inputs!$B$38="pvp",15,MAX(0.1,Skills!D7-IF(TRUE=TRUE,Inputs!$B$32,0)))*(1-IF(AND(ArtifactsInput!$M$27,Inputs!$B$4="Chapter Hunt"),CHOOSE(ArtifactsInput!$N$27+1,20,24,28,32,36,40),0)/100)))))/Skills!H7,1)))/Inputs!$B$43),G1473*Q1473))*IF(Inputs!$B$38="pvp",1,(1+(Inputs!$B$21+Skills!Q7+(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Inputs!$B$3&gt;=117</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f>Skills!G8*IF(Skills!H8&gt;0,Skills!I8/Skills!H8,1)</f>
        <v/>
      </c>
      <c r="H1474">
        <f>1-(1-Skills!J8/100)^Skills!K8</f>
        <v/>
      </c>
      <c r="I1474" t="inlineStr">
        <is>
          <t>1</t>
        </is>
      </c>
      <c r="J1474">
        <f>((Inputs!$B$6*(1+Inputs!$B$7/100))+(((Inputs!$B$12*(1+Inputs!$B$13/100))-(Inputs!$B$12*(1+Inputs!$B$13/100)))+0.25*(Inputs!$B$14-Inputs!$B$14))*(1+Inputs!$B$7/100))*(F1474/100)</f>
        <v/>
      </c>
      <c r="K1474">
        <f>J1474*(1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C1486=TRUE)*(F1486-Calc!F20)),(Inputs!$B$23+0+(IF(ArtifactsInput!$M$15,CHOOSE(ArtifactsInput!$N$15+1,25,30,35,40,45,50)/100*(Inputs!$B$11-Inputs!$B$11),0))))/100+(Inputs!$B$23+0+(IF(ArtifactsInput!$M$15,CHOOSE(ArtifactsInput!$N$15+1,25,30,35,40,45,50)/100*(Inputs!$B$11-Inputs!$B$11),0)))/100)/2</f>
        <v/>
      </c>
      <c r="M1474">
        <f>L1474*(1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(1-Summary!$B$11)*T1474+Summary!$B$11*V1474</f>
        <v/>
      </c>
      <c r="P1474">
        <f>IF(B1505=0,0,O1474/B1505)</f>
        <v/>
      </c>
      <c r="Q1474">
        <f>IFERROR(1/(IF(Inputs!$B$38="pvp",15,MAX(0.1,Skills!D8-IF(TRUE=TRUE,Inputs!$B$32,0)))*(1-IF(AND(ArtifactsInput!$M$27,Inputs!$B$4="Chapter Hunt"),CHOOSE(ArtifactsInput!$N$27+1,20,24,28,32,36,40),0)/100)),0)</f>
        <v/>
      </c>
      <c r="R1474">
        <f>IF(AND(Inputs!$B$38&lt;&gt;"pvp",Inputs!$B$43&gt;0),IF(MAX(0,Inputs!$B$43-B1502)&lt;=0,0,(INT(MAX(0,Inputs!$B$43-B1502)/(IF(Inputs!$B$38="pvp",15,MAX(0.1,Skills!D8-IF(TRUE=TRUE,Inputs!$B$32,0)))*(1-IF(AND(ArtifactsInput!$M$27,Inputs!$B$4="Chapter Hunt"),CHOOSE(ArtifactsInput!$N$27+1,20,24,28,32,36,40),0)/100)))+1)),0)</f>
        <v/>
      </c>
      <c r="S1474">
        <f>IFERROR(O1474/N1474,0)</f>
        <v/>
      </c>
      <c r="T1474">
        <f>IF(C1474,(H1474*N1474*IF(AND(Inputs!$B$38&lt;&gt;"pvp",Inputs!$B$43&gt;0),((Skills!G8*((R1474-1)*IF(Skills!H8&gt;0,Skills!I8/Skills!H8,1)+IF(Skills!H8&gt;0,MIN(Skills!I8,MAX(0,MAX(0,Inputs!$B$43-B1502)-((R1474-1)*(IF(Inputs!$B$38="pvp",15,MAX(0.1,Skills!D8-IF(TRUE=TRUE,Inputs!$B$32,0)))*(1-IF(AND(ArtifactsInput!$M$27,Inputs!$B$4="Chapter Hunt"),CHOOSE(ArtifactsInput!$N$27+1,20,24,28,32,36,40),0)/100)))))/Skills!H8,1)))/Inputs!$B$43),G1474*Q1474)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1474*(1-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1474*(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1474*(1-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4">
        <f>IF(C1474,(H1474*N1474*IF(AND(Inputs!$B$38&lt;&gt;"pvp",Inputs!$B$43&gt;0),((Skills!G8*((R1474-1)*IF(Skills!H8&gt;0,Skills!I8/Skills!H8,1)+IF(Skills!H8&gt;0,MIN(Skills!I8,MAX(0,MAX(0,Inputs!$B$43-B1502)-((R1474-1)*(IF(Inputs!$B$38="pvp",15,MAX(0.1,Skills!D8-IF(TRUE=TRUE,Inputs!$B$32,0)))*(1-IF(AND(ArtifactsInput!$M$27,Inputs!$B$4="Chapter Hunt"),CHOOSE(ArtifactsInput!$N$27+1,20,24,28,32,36,40),0)/100)))))/Skills!H8,1)))/Inputs!$B$43),G1474*Q1474))*IF(Inputs!$B$38="pvp",1,(1+(Inputs!$B$21+Skills!Q8+(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Skills!A9</f>
        <v/>
      </c>
      <c r="B1475">
        <f>Skills!B9</f>
        <v/>
      </c>
      <c r="C1475">
        <f>Inputs!$B$3&gt;=120</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B1507</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1486=TRUE)*(F1486-Calc!F20)),(Inputs!$B$23+0+(IF(ArtifactsInput!$M$15,CHOOSE(ArtifactsInput!$N$15+1,25,30,35,40,45,50)/100*(Inputs!$B$11-Inputs!$B$11),0))))/100+(Inputs!$B$23+0+(IF(ArtifactsInput!$M$15,CHOOSE(ArtifactsInput!$N$15+1,25,30,35,40,45,50)/100*(Inputs!$B$11-Inputs!$B$11),0)))/100)/2</f>
        <v/>
      </c>
      <c r="M1475">
        <f>L1475*(1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IF(B1505=0,0,O1475/B1505)</f>
        <v/>
      </c>
      <c r="Q1475">
        <f>IFERROR(1/(IF(Inputs!$B$38="pvp",15,MAX(0.1,Skills!D9-IF(TRUE=TRUE,Inputs!$B$32,0)))*(1-IF(AND(ArtifactsInput!$M$27,Inputs!$B$4="Chapter Hunt"),CHOOSE(ArtifactsInput!$N$27+1,20,24,28,32,36,40),0)/100)),0)</f>
        <v/>
      </c>
      <c r="R1475">
        <f>IF(AND(Inputs!$B$38&lt;&gt;"pvp",Inputs!$B$43&gt;0),IF(MAX(0,Inputs!$B$43-B1502)&lt;=0,0,(INT(MAX(0,Inputs!$B$43-B1502)/(IF(Inputs!$B$38="pvp",15,MAX(0.1,Skills!D9-IF(TRUE=TRUE,Inputs!$B$32,0)))*(1-IF(AND(ArtifactsInput!$M$27,Inputs!$B$4="Chapter Hunt"),CHOOSE(ArtifactsInput!$N$27+1,20,24,28,32,36,40),0)/100)))+1)),0)</f>
        <v/>
      </c>
      <c r="S1475">
        <f>IFERROR(O1475/N1475,0)</f>
        <v/>
      </c>
      <c r="T1475">
        <f>IF(C1475,(H1475*N1475*IF(AND(Inputs!$B$38&lt;&gt;"pvp",Inputs!$B$43&gt;0),((Skills!G9*((R1475-1)*IF(Skills!H9&gt;0,Skills!I9/Skills!H9,1)+IF(Skills!H9&gt;0,MIN(Skills!I9,MAX(0,MAX(0,Inputs!$B$43-B1502)-((R1475-1)*(IF(Inputs!$B$38="pvp",15,MAX(0.1,Skills!D9-IF(TRUE=TRUE,Inputs!$B$32,0)))*(1-IF(AND(ArtifactsInput!$M$27,Inputs!$B$4="Chapter Hunt"),CHOOSE(ArtifactsInput!$N$27+1,20,24,28,32,36,40),0)/100)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1502)-((R1475-1)*(IF(Inputs!$B$38="pvp",15,MAX(0.1,Skills!D9-IF(TRUE=TRUE,Inputs!$B$32,0)))*(1-IF(AND(ArtifactsInput!$M$27,Inputs!$B$4="Chapter Hunt"),CHOOSE(ArtifactsInput!$N$27+1,20,24,28,32,36,40),0)/100)))))/Skills!H9,1)))/Inputs!$B$43),G1475*Q1475))*IF(Inputs!$B$38="pvp",1,(1+(Inputs!$B$21+Skills!Q9+(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Inputs!$B$3&gt;=105</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1486=TRUE)*(F1486-Calc!F20)),(Inputs!$B$23+0+(IF(ArtifactsInput!$M$15,CHOOSE(ArtifactsInput!$N$15+1,25,30,35,40,45,50)/100*(Inputs!$B$11-Inputs!$B$11),0))))/100+(Inputs!$B$23+0+(IF(ArtifactsInput!$M$15,CHOOSE(ArtifactsInput!$N$15+1,25,30,35,40,45,50)/100*(Inputs!$B$11-Inputs!$B$11),0)))/100)/2</f>
        <v/>
      </c>
      <c r="M1476">
        <f>L1476*(1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IF(B1505=0,0,O1476/B1505)</f>
        <v/>
      </c>
      <c r="Q1476">
        <f>IFERROR(1/(IF(Inputs!$B$38="pvp",15,MAX(0.1,Skills!D10-IF(TRUE=TRUE,Inputs!$B$32,0)))*(1-IF(AND(ArtifactsInput!$M$27,Inputs!$B$4="Chapter Hunt"),CHOOSE(ArtifactsInput!$N$27+1,20,24,28,32,36,40),0)/100)),0)</f>
        <v/>
      </c>
      <c r="R1476">
        <f>IF(AND(Inputs!$B$38&lt;&gt;"pvp",Inputs!$B$43&gt;0),IF(MAX(0,Inputs!$B$43-B1502)&lt;=0,0,(INT(MAX(0,Inputs!$B$43-B1502)/(IF(Inputs!$B$38="pvp",15,MAX(0.1,Skills!D10-IF(TRUE=TRUE,Inputs!$B$32,0)))*(1-IF(AND(ArtifactsInput!$M$27,Inputs!$B$4="Chapter Hunt"),CHOOSE(ArtifactsInput!$N$27+1,20,24,28,32,36,40),0)/100)))+1)),0)</f>
        <v/>
      </c>
      <c r="S1476">
        <f>IFERROR(O1476/N1476,0)</f>
        <v/>
      </c>
      <c r="T1476">
        <f>IF(C1476,(H1476*N1476*IF(AND(Inputs!$B$38&lt;&gt;"pvp",Inputs!$B$43&gt;0),((Skills!G10*((R1476-1)*IF(Skills!H10&gt;0,Skills!I10/Skills!H10,1)+IF(Skills!H10&gt;0,MIN(Skills!I10,MAX(0,MAX(0,Inputs!$B$43-B1502)-((R1476-1)*(IF(Inputs!$B$38="pvp",15,MAX(0.1,Skills!D10-IF(TRUE=TRUE,Inputs!$B$32,0)))*(1-IF(AND(ArtifactsInput!$M$27,Inputs!$B$4="Chapter Hunt"),CHOOSE(ArtifactsInput!$N$27+1,20,24,28,32,36,40),0)/100)))))/Skills!H10,1)))/Inputs!$B$43),G1476*Q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10*((R1476-1)*IF(Skills!H10&gt;0,Skills!I10/Skills!H10,1)+IF(Skills!H10&gt;0,MIN(Skills!I10,MAX(0,MAX(0,Inputs!$B$43-B1502)-((R1476-1)*(IF(Inputs!$B$38="pvp",15,MAX(0.1,Skills!D10-IF(TRUE=TRUE,Inputs!$B$32,0)))*(1-IF(AND(ArtifactsInput!$M$27,Inputs!$B$4="Chapter Hunt"),CHOOSE(ArtifactsInput!$N$27+1,20,24,28,32,36,40),0)/100)))))/Skills!H10,1)))/Inputs!$B$43),G1476*Q1476))*IF(Inputs!$B$38="pvp",1,(1+(Inputs!$B$21+Skills!Q10+(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Inputs!$B$3&gt;=113</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1486=TRUE)*(F1486-Calc!F20)),(Inputs!$B$23+0+(IF(ArtifactsInput!$M$15,CHOOSE(ArtifactsInput!$N$15+1,25,30,35,40,45,50)/100*(Inputs!$B$11-Inputs!$B$11),0))))/100+(Inputs!$B$23+0+(IF(ArtifactsInput!$M$15,CHOOSE(ArtifactsInput!$N$15+1,25,30,35,40,45,50)/100*(Inputs!$B$11-Inputs!$B$11),0)))/100)/2</f>
        <v/>
      </c>
      <c r="M1477">
        <f>L1477*(1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IF(B1505=0,0,O1477/B1505)</f>
        <v/>
      </c>
      <c r="Q1477" t="n">
        <v>0</v>
      </c>
      <c r="R1477" t="n">
        <v>0</v>
      </c>
      <c r="S1477">
        <f>IFERROR(O1477/N1477,0)</f>
        <v/>
      </c>
      <c r="T1477">
        <f>IF(C1477,((H1477*B1508)/(1+Skills!H11*H1477*B1508)*N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IF(C1477,((H1477*B1508)/(1+Skills!H11*H1477*B1508)*N1477)*IF(Inputs!$B$38="pvp",1,(1+(Inputs!$B$21+Skills!Q11+(IF(ArtifactsInput!$M$33,CHOOSE(ArtifactsInput!$N$33+1,30,36,42,48,54,60),0))+(IF(AND(ArtifactsInput!$M$35,Inputs!$B$4&lt;&gt;"Chapter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Inputs!$B$3&gt;=100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t="inlineStr"/>
      <c r="H1478" t="inlineStr"/>
      <c r="I1478" t="inlineStr">
        <is>
          <t>1</t>
        </is>
      </c>
      <c r="J1478" t="inlineStr"/>
      <c r="K1478" t="inlineStr"/>
      <c r="L1478" t="inlineStr"/>
      <c r="M1478" t="inlineStr"/>
      <c r="N1478" t="inlineStr"/>
      <c r="O1478" t="inlineStr"/>
      <c r="P1478" t="inlineStr"/>
      <c r="Q1478" t="inlineStr"/>
      <c r="R1478" t="inlineStr"/>
      <c r="S1478" t="inlineStr"/>
      <c r="T1478" t="inlineStr"/>
      <c r="V1478" t="inlineStr"/>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IF(B1505=0,0,O1479/B1505)</f>
        <v/>
      </c>
      <c r="Q1479" t="n">
        <v>0</v>
      </c>
      <c r="R1479" t="n">
        <v>0</v>
      </c>
      <c r="S1479">
        <f>IFERROR(O1479/N1479,0)</f>
        <v/>
      </c>
      <c r="T1479" t="n">
        <v>0</v>
      </c>
      <c r="V1479" t="n">
        <v>0</v>
      </c>
    </row>
    <row r="1480">
      <c r="A1480">
        <f>Skills!A14</f>
        <v/>
      </c>
      <c r="B1480">
        <f>Skills!B14</f>
        <v/>
      </c>
      <c r="C1480">
        <f>Inputs!$B$3&gt;=115</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IF(B1505=0,0,O1480/B1505)</f>
        <v/>
      </c>
      <c r="Q1480">
        <f>IFERROR(1/(IF(Inputs!$B$38="pvp",15,MAX(0.1,Skills!D14-IF(TRUE=TRUE,Inputs!$B$32,0)))*(1-IF(AND(ArtifactsInput!$M$27,Inputs!$B$4="Chapter Hunt"),CHOOSE(ArtifactsInput!$N$27+1,20,24,28,32,36,40),0)/100)),0)</f>
        <v/>
      </c>
      <c r="R1480">
        <f>IF(AND(Inputs!$B$38&lt;&gt;"pvp",Inputs!$B$43&gt;0),IF(Inputs!$B$43&lt;=0,0,(INT(Inputs!$B$43/(IF(Inputs!$B$38="pvp",15,MAX(0.1,Skills!D14-IF(TRUE=TRUE,Inputs!$B$32,0)))*(1-IF(AND(ArtifactsInput!$M$27,Inputs!$B$4="Chapter Hunt"),CHOOSE(ArtifactsInput!$N$27+1,20,24,28,32,36,40),0)/100)))+1)),0)</f>
        <v/>
      </c>
      <c r="S1480">
        <f>IFERROR(O1480/N1480,0)</f>
        <v/>
      </c>
      <c r="T1480" t="n">
        <v>0</v>
      </c>
      <c r="V1480" t="n">
        <v>0</v>
      </c>
    </row>
    <row r="1481">
      <c r="A1481">
        <f>Skills!A15</f>
        <v/>
      </c>
      <c r="B1481">
        <f>Skills!B15</f>
        <v/>
      </c>
      <c r="C1481">
        <f>Inputs!$B$3&gt;=125</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IF(B1505=0,0,O1481/B1505)</f>
        <v/>
      </c>
      <c r="Q1481">
        <f>IFERROR(1/(IF(Inputs!$B$38="pvp",15,MAX(0.1,Skills!D15-IF(TRUE=TRUE,Inputs!$B$32,0)))*(1-IF(AND(ArtifactsInput!$M$27,Inputs!$B$4="Chapter Hunt"),CHOOSE(ArtifactsInput!$N$27+1,20,24,28,32,36,40),0)/100)),0)</f>
        <v/>
      </c>
      <c r="R1481">
        <f>IF(AND(Inputs!$B$38&lt;&gt;"pvp",Inputs!$B$43&gt;0),IF(Inputs!$B$43&lt;=0,0,(INT(Inputs!$B$43/(IF(Inputs!$B$38="pvp",15,MAX(0.1,Skills!D15-IF(TRUE=TRUE,Inputs!$B$32,0)))*(1-IF(AND(ArtifactsInput!$M$27,Inputs!$B$4="Chapter Hunt"),CHOOSE(ArtifactsInput!$N$27+1,20,24,28,32,36,40),0)/100)))+1)),0)</f>
        <v/>
      </c>
      <c r="S1481">
        <f>IFERROR(O1481/N1481,0)</f>
        <v/>
      </c>
      <c r="T1481" t="n">
        <v>0</v>
      </c>
      <c r="V1481" t="n">
        <v>0</v>
      </c>
    </row>
    <row r="1482">
      <c r="A1482">
        <f>Skills!A16</f>
        <v/>
      </c>
      <c r="B1482">
        <f>Skills!B16</f>
        <v/>
      </c>
      <c r="C1482">
        <f>Inputs!$B$3&gt;=10</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IF(B1505=0,0,O1482/B1505)</f>
        <v/>
      </c>
      <c r="Q1482" t="n">
        <v>0</v>
      </c>
      <c r="R1482" t="n">
        <v>0</v>
      </c>
      <c r="S1482">
        <f>IFERROR(O1482/N1482,0)</f>
        <v/>
      </c>
      <c r="T1482" t="n">
        <v>0</v>
      </c>
      <c r="V1482" t="n">
        <v>0</v>
      </c>
    </row>
    <row r="1483">
      <c r="A1483">
        <f>Skills!A17</f>
        <v/>
      </c>
      <c r="B1483">
        <f>Skills!B17</f>
        <v/>
      </c>
      <c r="C1483">
        <f>Inputs!$B$3&gt;=15</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IF(B1505=0,0,O1483/B1505)</f>
        <v/>
      </c>
      <c r="Q1483" t="n">
        <v>0</v>
      </c>
      <c r="R1483" t="n">
        <v>0</v>
      </c>
      <c r="S1483">
        <f>IFERROR(O1483/N1483,0)</f>
        <v/>
      </c>
      <c r="T1483" t="n">
        <v>0</v>
      </c>
      <c r="V1483" t="n">
        <v>0</v>
      </c>
    </row>
    <row r="1484">
      <c r="A1484">
        <f>Skills!A18</f>
        <v/>
      </c>
      <c r="B1484">
        <f>Skills!B18</f>
        <v/>
      </c>
      <c r="C1484">
        <f>Inputs!$B$3&gt;=33</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IF(B1505=0,0,O1484/B1505)</f>
        <v/>
      </c>
      <c r="Q1484" t="n">
        <v>0</v>
      </c>
      <c r="R1484" t="n">
        <v>0</v>
      </c>
      <c r="S1484">
        <f>IFERROR(O1484/N1484,0)</f>
        <v/>
      </c>
      <c r="T1484" t="n">
        <v>0</v>
      </c>
      <c r="V1484" t="n">
        <v>0</v>
      </c>
    </row>
    <row r="1485">
      <c r="A1485">
        <f>Skills!A19</f>
        <v/>
      </c>
      <c r="B1485">
        <f>Skills!B19</f>
        <v/>
      </c>
      <c r="C1485">
        <f>Inputs!$B$3&gt;=40</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IF(B1505=0,0,O1485/B1505)</f>
        <v/>
      </c>
      <c r="Q1485" t="n">
        <v>0</v>
      </c>
      <c r="R1485" t="n">
        <v>0</v>
      </c>
      <c r="S1485">
        <f>IFERROR(O1485/N1485,0)</f>
        <v/>
      </c>
      <c r="T1485" t="n">
        <v>0</v>
      </c>
      <c r="V1485" t="n">
        <v>0</v>
      </c>
    </row>
    <row r="1486">
      <c r="A1486">
        <f>Skills!A20</f>
        <v/>
      </c>
      <c r="B1486">
        <f>Skills!B20</f>
        <v/>
      </c>
      <c r="C1486">
        <f>Inputs!$B$3&gt;=43</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IF(B1505=0,0,O1486/B1505)</f>
        <v/>
      </c>
      <c r="Q1486" t="n">
        <v>0</v>
      </c>
      <c r="R1486" t="n">
        <v>0</v>
      </c>
      <c r="S1486">
        <f>IFERROR(O1486/N1486,0)</f>
        <v/>
      </c>
      <c r="T1486" t="n">
        <v>0</v>
      </c>
      <c r="V1486" t="n">
        <v>0</v>
      </c>
    </row>
    <row r="1487">
      <c r="A1487">
        <f>Skills!A21</f>
        <v/>
      </c>
      <c r="B1487">
        <f>Skills!B21</f>
        <v/>
      </c>
      <c r="C1487">
        <f>Inputs!$B$3&gt;=38</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IF(B1505=0,0,O1487/B1505)</f>
        <v/>
      </c>
      <c r="Q1487" t="n">
        <v>0</v>
      </c>
      <c r="R1487" t="n">
        <v>0</v>
      </c>
      <c r="S1487">
        <f>IFERROR(O1487/N1487,0)</f>
        <v/>
      </c>
      <c r="T1487" t="n">
        <v>0</v>
      </c>
      <c r="V1487" t="n">
        <v>0</v>
      </c>
    </row>
    <row r="1488">
      <c r="A1488">
        <f>Skills!A22</f>
        <v/>
      </c>
      <c r="B1488">
        <f>Skills!B22</f>
        <v/>
      </c>
      <c r="C1488">
        <f>Inputs!$B$3&gt;=75</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IF(B1505=0,0,O1488/B1505)</f>
        <v/>
      </c>
      <c r="Q1488" t="n">
        <v>0</v>
      </c>
      <c r="R1488" t="n">
        <v>0</v>
      </c>
      <c r="S1488">
        <f>IFERROR(O1488/N1488,0)</f>
        <v/>
      </c>
      <c r="T1488" t="n">
        <v>0</v>
      </c>
      <c r="V1488" t="n">
        <v>0</v>
      </c>
    </row>
    <row r="1489">
      <c r="A1489">
        <f>Skills!A23</f>
        <v/>
      </c>
      <c r="B1489">
        <f>Skills!B23</f>
        <v/>
      </c>
      <c r="C1489">
        <f>TRUE</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IF(B1505=0,0,O1489/B1505)</f>
        <v/>
      </c>
      <c r="Q1489">
        <f>IFERROR(1/(IF(Inputs!$B$38="pvp",15,MAX(0.1,Skills!D23-IF(TRUE=TRUE,Inputs!$B$32,0)))*(1-IF(AND(ArtifactsInput!$M$27,Inputs!$B$4="Chapter Hunt"),CHOOSE(ArtifactsInput!$N$27+1,20,24,28,32,36,40),0)/100)),0)</f>
        <v/>
      </c>
      <c r="R1489">
        <f>IF(AND(Inputs!$B$38&lt;&gt;"pvp",Inputs!$B$43&gt;0),IF(Inputs!$B$43&lt;=0,0,(INT(Inputs!$B$43/(IF(Inputs!$B$38="pvp",15,MAX(0.1,Skills!D23-IF(TRUE=TRUE,Inputs!$B$32,0)))*(1-IF(AND(ArtifactsInput!$M$27,Inputs!$B$4="Chapter Hunt"),CHOOSE(ArtifactsInput!$N$27+1,20,24,28,32,36,40),0)/100)))+1)),0)</f>
        <v/>
      </c>
      <c r="S1489">
        <f>IFERROR(O1489/N1489,0)</f>
        <v/>
      </c>
      <c r="T1489" t="n">
        <v>0</v>
      </c>
      <c r="V1489" t="n">
        <v>0</v>
      </c>
    </row>
    <row r="1490">
      <c r="A1490">
        <f>Skills!A24</f>
        <v/>
      </c>
      <c r="B1490">
        <f>Skills!B24</f>
        <v/>
      </c>
      <c r="C1490">
        <f>Inputs!$B$3&gt;=107</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IF(B1505=0,0,O1490/B1505)</f>
        <v/>
      </c>
      <c r="Q1490">
        <f>IFERROR(1/(IF(Inputs!$B$38="pvp",15,MAX(0.1,Skills!D24-IF(TRUE=TRUE,Inputs!$B$32,0)))*(1-IF(AND(ArtifactsInput!$M$27,Inputs!$B$4="Chapter Hunt"),CHOOSE(ArtifactsInput!$N$27+1,20,24,28,32,36,40),0)/100)),0)</f>
        <v/>
      </c>
      <c r="R1490">
        <f>IF(AND(Inputs!$B$38&lt;&gt;"pvp",Inputs!$B$43&gt;0),IF(Inputs!$B$43&lt;=0,0,(INT(Inputs!$B$43/(IF(Inputs!$B$38="pvp",15,MAX(0.1,Skills!D24-IF(TRUE=TRUE,Inputs!$B$32,0)))*(1-IF(AND(ArtifactsInput!$M$27,Inputs!$B$4="Chapter Hunt"),CHOOSE(ArtifactsInput!$N$27+1,20,24,28,32,36,40),0)/100)))+1)),0)</f>
        <v/>
      </c>
      <c r="S1490">
        <f>IFERROR(O1490/N1490,0)</f>
        <v/>
      </c>
      <c r="T1490" t="n">
        <v>0</v>
      </c>
      <c r="V1490" t="n">
        <v>0</v>
      </c>
    </row>
    <row r="1491">
      <c r="A1491">
        <f>Skills!A25</f>
        <v/>
      </c>
      <c r="B1491">
        <f>Skills!B25</f>
        <v/>
      </c>
      <c r="C1491">
        <f>Inputs!$B$3&gt;=110</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t="inlineStr"/>
      <c r="H1491" t="inlineStr"/>
      <c r="I1491" t="inlineStr">
        <is>
          <t>1</t>
        </is>
      </c>
      <c r="J1491" t="inlineStr"/>
      <c r="K1491" t="inlineStr"/>
      <c r="L1491" t="inlineStr"/>
      <c r="M1491" t="inlineStr"/>
      <c r="N1491" t="inlineStr"/>
      <c r="O1491" t="inlineStr"/>
      <c r="P1491" t="inlineStr"/>
      <c r="Q1491" t="inlineStr"/>
      <c r="R1491" t="inlineStr"/>
      <c r="S1491" t="inlineStr"/>
      <c r="T1491" t="inlineStr"/>
      <c r="V1491" t="inlineStr"/>
    </row>
    <row r="1492">
      <c r="A1492">
        <f>Skills!A26</f>
        <v/>
      </c>
      <c r="B1492">
        <f>Skills!B26</f>
        <v/>
      </c>
      <c r="C1492">
        <f>Inputs!$B$3&gt;=117</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4">
      <c r="A1494" t="inlineStr">
        <is>
          <t>Attack% Bucket Multiplier</t>
        </is>
      </c>
      <c r="B1494">
        <f>(1+(((C1479=TRUE)*F1479*5/7)+((C1485=TRUE)*(F1485-Calc!F19))+(IF(ArtifactsInput!$M$21,CHOOSE(ArtifactsInput!$N$21+1,25,30,35,40,45,50)*(IF(OR(Inputs!$B$4="Chapter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5">
      <c r="A1495" t="inlineStr">
        <is>
          <t>Global Crit Rate Bonus %</t>
        </is>
      </c>
      <c r="B1495" t="n">
        <v>0</v>
      </c>
    </row>
    <row r="1496">
      <c r="A1496" t="inlineStr">
        <is>
          <t>Attack Speed Buff Bonus % (Nimble Feet + Speed Infusion, duty-cycle averaged)</t>
        </is>
      </c>
      <c r="B1496">
        <f>((C1489=TRUE)*F1489*IF(AND(Inputs!$B$38&lt;&gt;"pvp",Inputs!$B$43&gt;0),(((R1489-1)*MIN((Skills!T23*(1+Inputs!$B$34/100)),(1/Q1489))+MIN((Skills!T23*(1+Inputs!$B$34/100)),MAX(0,Inputs!$B$43-((R1489-1)*(1/Q1489)))))/Inputs!$B$43),IF(Inputs!$B$38="pvp",MIN((Skills!T23*(1+Inputs!$B$34/100)),15)/15,MIN(1,(Skills!T23*(1+Inputs!$B$34/100))/(1/Q1489)))))+((C1490=TRUE)*F1490*IF(AND(Inputs!$B$38&lt;&gt;"pvp",Inputs!$B$43&gt;0),(((R1490-1)*MIN((Skills!T24*(1+Inputs!$B$34/100)),(1/Q1490))+MIN((Skills!T24*(1+Inputs!$B$34/100)),MAX(0,Inputs!$B$43-((R1490-1)*(1/Q1490)))))/Inputs!$B$43),IF(Inputs!$B$38="pvp",MIN((Skills!T24*(1+Inputs!$B$34/100)),15)/15,MIN(1,(Skills!T24*(1+Inputs!$B$34/100))/(1/Q1490)))))</f>
        <v/>
      </c>
    </row>
    <row r="1497">
      <c r="A1497" t="inlineStr">
        <is>
          <t>Actions Per Second</t>
        </is>
      </c>
      <c r="B1497">
        <f>1+MIN(150,150*(1-(1-(Inputs!$B$11+((C1483=TRUE)*(F1483-Calc!F17))+((C1484=TRUE)*(F1484-Calc!F18)))/150)*(1-B1496/150)))/100</f>
        <v/>
      </c>
    </row>
    <row r="1498">
      <c r="A1498" t="inlineStr">
        <is>
          <t>Skill + Buff Cast Rate</t>
        </is>
      </c>
      <c r="B1498">
        <f>IF(AND(Inputs!$B$38&lt;&gt;"pvp",Inputs!$B$43&gt;0),SUMPRODUCT((Skills!E2:E26=TRUE)*(C1468:C1492=TRUE)*R1468:R1492*Skills!F2:F26)/Inputs!$B$43,SUMPRODUCT((Skills!E2:E26=TRUE)*(C1468:C1492=TRUE)*Q1468:Q1492*Skills!F2:F26))</f>
        <v/>
      </c>
    </row>
    <row r="1499">
      <c r="A1499" t="inlineStr">
        <is>
          <t>Hook Bomber Casts Per Second</t>
        </is>
      </c>
      <c r="B1499">
        <f>MAX(0,B1497-B1498)</f>
        <v/>
      </c>
    </row>
    <row r="1500">
      <c r="A1500" t="inlineStr">
        <is>
          <t>Global Critical Damage Bonus % (unused)</t>
        </is>
      </c>
      <c r="B1500" t="n">
        <v>0</v>
      </c>
    </row>
    <row r="1501">
      <c r="A1501" t="inlineStr">
        <is>
          <t>Global Final Damage Bonus % (Serpent Scale + Crossbones + Time Leap + Speed Infusion)</t>
        </is>
      </c>
      <c r="B1501">
        <f>((C1471=TRUE)*(F1471*B1507+4*(1-B1507)))+((C1480=TRUE)*F1480*IF(AND(Inputs!$B$38&lt;&gt;"pvp",Inputs!$B$43&gt;0),(((R1480-1)*MIN((Skills!T14*(1+Inputs!$B$34/100)),(1/Q1480))+MIN((Skills!T14*(1+Inputs!$B$34/100)),MAX(0,Inputs!$B$43-((R1480-1)*(1/Q1480)))))/Inputs!$B$43),IF(Inputs!$B$38="pvp",MIN((Skills!T14*(1+Inputs!$B$34/100)),15)/15,MIN(1,(Skills!T14*(1+Inputs!$B$34/100))/(1/Q1480)))))+((C1481=TRUE)*F1481*IF(AND(Inputs!$B$38&lt;&gt;"pvp",Inputs!$B$43&gt;0),(((R1481-1)*MIN((Skills!T15*(1+Inputs!$B$34/100)),(1/Q1481))+MIN((Skills!T15*(1+Inputs!$B$34/100)),MAX(0,Inputs!$B$43-((R1481-1)*(1/Q1481)))))/Inputs!$B$43),IF(Inputs!$B$38="pvp",MIN((Skills!T15*(1+Inputs!$B$34/100)),15)/15,MIN(1,(Skills!T15*(1+Inputs!$B$34/100))/(1/Q1481)))))+((C1490=TRUE)*20*((1+MIN(150,150*(1-(1-(Inputs!$B$11+((C1483=TRUE)*(F1483-Calc!F17))+((C1484=TRUE)*(F1484-Calc!F18)))/150)*(1-(((C1489=TRUE)*F1489*IF(AND(Inputs!$B$38&lt;&gt;"pvp",Inputs!$B$43&gt;0),(((R1489-1)*MIN((Skills!T23*(1+Inputs!$B$34/100)),(1/Q1489))+MIN((Skills!T23*(1+Inputs!$B$34/100)),MAX(0,Inputs!$B$43-((R1489-1)*(1/Q1489)))))/Inputs!$B$43),IF(Inputs!$B$38="pvp",MIN((Skills!T23*(1+Inputs!$B$34/100)),15)/15,MIN(1,(Skills!T23*(1+Inputs!$B$34/100))/(1/Q1489)))))+F1490)/150)))/100)-1)*IF(AND(Inputs!$B$38&lt;&gt;"pvp",Inputs!$B$43&gt;0),(((R1490-1)*MIN((Skills!T24*(1+Inputs!$B$34/100)),(1/Q1490))+MIN((Skills!T24*(1+Inputs!$B$34/100)),MAX(0,Inputs!$B$43-((R1490-1)*(1/Q1490)))))/Inputs!$B$43),IF(Inputs!$B$38="pvp",MIN((Skills!T24*(1+Inputs!$B$34/100)),15)/15,MIN(1,(Skills!T24*(1+Inputs!$B$34/100))/(1/Q1490)))))</f>
        <v/>
      </c>
    </row>
    <row r="1502">
      <c r="A1502" t="inlineStr">
        <is>
          <t>Buff-Casting Startup Delay (s, fixed-duration only)</t>
        </is>
      </c>
      <c r="B1502">
        <f>IF(AND(Inputs!$B$38&lt;&gt;"pvp",Inputs!$B$43&gt;0),SUMPRODUCT((Skills!T2:T26&gt;0)*(Skills!E2:E26=TRUE)*(C1468:C1492=TRUE))/B1497,0)</f>
        <v/>
      </c>
    </row>
    <row r="1503">
      <c r="A1503" t="inlineStr">
        <is>
          <t>Boss-Only Total DPS (this block's swept value)</t>
        </is>
      </c>
      <c r="B1503">
        <f>SUM(T1468:T1492)</f>
        <v/>
      </c>
    </row>
    <row r="1504">
      <c r="A1504" t="inlineStr">
        <is>
          <t>Normal-Only Total DPS (this block's swept value)</t>
        </is>
      </c>
      <c r="B1504">
        <f>SUM(V1468:V1492)</f>
        <v/>
      </c>
    </row>
    <row r="1505">
      <c r="A1505" s="6" t="inlineStr">
        <is>
          <t>TOTAL DPS</t>
        </is>
      </c>
      <c r="B1505" s="6">
        <f>SUM(O1468:O1492)</f>
        <v/>
      </c>
    </row>
    <row r="1506">
      <c r="A1506" t="inlineStr">
        <is>
          <t>Serpent activation interval T (this block's own Hook Bomber rate)</t>
        </is>
      </c>
      <c r="B1506">
        <f>((1/Q1469)+IFERROR(0.5/B1499,0))</f>
        <v/>
      </c>
    </row>
    <row r="1507">
      <c r="A1507" t="inlineStr">
        <is>
          <t>Assault Mode uptime u (this block)</t>
        </is>
      </c>
      <c r="B1507">
        <f>IF(C1471=TRUE,(10+IF(Inputs!$B$3&gt;=94,5,0))/((10+IF(Inputs!$B$3&gt;=94,5,0))+IF(Inputs!$B$3&gt;=104,3,5)*B1506),0)</f>
        <v/>
      </c>
    </row>
    <row r="1508">
      <c r="A1508" t="inlineStr">
        <is>
          <t>Nautilus Strike - Final Attack trigger rate (this block's own Q/R)</t>
        </is>
      </c>
      <c r="B1508">
        <f>IF(AND(Inputs!$B$38&lt;&gt;"pvp",Inputs!$B$43&gt;0),(((C1472=TRUE)*R1472)+((C1473=TRUE)*R1473)+((C1476=TRUE)*R1476))/Inputs!$B$43,((C1472=TRUE)*Q1472)+((C1473=TRUE)*Q1473)+((C1476=TRUE)*Q1476))+B1499</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1531=TRUE)*(F1531-Calc!F20)),(Inputs!$B$23+0+(IF(ArtifactsInput!$M$15,CHOOSE(ArtifactsInput!$N$15+1,25,30,35,40,45,50)/100*(Inputs!$B$11-Inputs!$B$11),0))))/100+(Inputs!$B$23+0+(IF(ArtifactsInput!$M$15,CHOOSE(ArtifactsInput!$N$15+1,25,30,35,40,45,50)/100*(Inputs!$B$11-Inputs!$B$11),0)))/100)/2</f>
        <v/>
      </c>
      <c r="M1513">
        <f>L1513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IF(B1550=0,0,O1513/B1550)</f>
        <v/>
      </c>
      <c r="Q1513" t="n">
        <v>0</v>
      </c>
      <c r="R1513" t="n">
        <v>0</v>
      </c>
      <c r="S1513">
        <f>IFERROR(O1513/N1513,0)</f>
        <v/>
      </c>
      <c r="T1513">
        <f>IF(C1513,(Skills!G2*N1513*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Inputs!$B$3&gt;=35</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f>Skills!G3*IF(Skills!H3&gt;0,Skills!I3/Skills!H3,1)</f>
        <v/>
      </c>
      <c r="H1514">
        <f>1-(1-Skills!J3/100)^Skills!K3</f>
        <v/>
      </c>
      <c r="I1514" t="inlineStr">
        <is>
          <t>1</t>
        </is>
      </c>
      <c r="J1514">
        <f>((Inputs!$B$6*(1+Inputs!$B$7/100))+(((Inputs!$B$12*(1+Inputs!$B$13/100))-(Inputs!$B$12*(1+Inputs!$B$13/100)))+0.25*(Inputs!$B$14-Inputs!$B$14))*(1+Inputs!$B$7/100))*(F1514/100)</f>
        <v/>
      </c>
      <c r="K1514">
        <f>J1514*(1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1536=TRUE,F1536,0)/100)*(1+(IF(Skills!A3="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C1531=TRUE)*(F1531-Calc!F20)),(Inputs!$B$23+0+(IF(ArtifactsInput!$M$15,CHOOSE(ArtifactsInput!$N$15+1,25,30,35,40,45,50)/100*(Inputs!$B$11-Inputs!$B$11),0))))/100+(Inputs!$B$23+0+(IF(ArtifactsInput!$M$15,CHOOSE(ArtifactsInput!$N$15+1,25,30,35,40,45,50)/100*(Inputs!$B$11-Inputs!$B$11),0)))/100)/2</f>
        <v/>
      </c>
      <c r="M1514">
        <f>L1514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4">
        <f>L1514*(1-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1514*(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4">
        <f>(1-Summary!$B$11)*T1514+Summary!$B$11*V1514</f>
        <v/>
      </c>
      <c r="P1514">
        <f>IF(B1550=0,0,O1514/B1550)</f>
        <v/>
      </c>
      <c r="Q1514">
        <f>IFERROR(1/(IF(Inputs!$B$38="pvp",15,MAX(0.1,Skills!D3-IF(TRUE=TRUE,Inputs!$B$32,0)))*(1-IF(AND(ArtifactsInput!$M$27,Inputs!$B$4="Chapter Hunt"),CHOOSE(ArtifactsInput!$N$27+1,20,24,28,32,36,40),0)/100)),0)</f>
        <v/>
      </c>
      <c r="R1514">
        <f>IF(AND(Inputs!$B$38&lt;&gt;"pvp",Inputs!$B$43&gt;0),IF(MAX(0,Inputs!$B$43-B1547)&lt;=0,0,(INT(MAX(0,Inputs!$B$43-B1547)/(IF(Inputs!$B$38="pvp",15,MAX(0.1,Skills!D3-IF(TRUE=TRUE,Inputs!$B$32,0)))*(1-IF(AND(ArtifactsInput!$M$27,Inputs!$B$4="Chapter Hunt"),CHOOSE(ArtifactsInput!$N$27+1,20,24,28,32,36,40),0)/100)))+1)),0)</f>
        <v/>
      </c>
      <c r="S1514">
        <f>IFERROR(O1514/N1514,0)</f>
        <v/>
      </c>
      <c r="T1514">
        <f>IF(C1514,(Skills!G3*N1514*IF(C1515=TRUE,1-B1552,1)/B1551)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1514*(1-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1514*(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1514*(1-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1514*(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INDEX(FactorTable!$B$2:$Y$301, MATCH(ROUND(MIN(300,MAX(1,U1513)),0), FactorTable!$A$2:$A$301,0), 22)</f>
        <v/>
      </c>
      <c r="V1514">
        <f>IF(C1514,(Skills!G3*N1514*IF(C1515=TRUE,1-B1552,1)/B1551)*IF(Inputs!$B$38="pvp",1,(1+(Inputs!$B$21+Skills!Q3+(IF(ArtifactsInput!$M$33,CHOOSE(ArtifactsInput!$N$33+1,30,36,42,48,54,60),0))+(IF(AND(ArtifactsInput!$M$35,Inputs!$B$4&lt;&gt;"Chapter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Skills!A4</f>
        <v/>
      </c>
      <c r="B1515">
        <f>Skills!B4</f>
        <v/>
      </c>
      <c r="C1515">
        <f>Inputs!$B$3&gt;=69</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4="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1531=TRUE)*(F1531-Calc!F20)),(Inputs!$B$23+0+(IF(ArtifactsInput!$M$15,CHOOSE(ArtifactsInput!$N$15+1,25,30,35,40,45,50)/100*(Inputs!$B$11-Inputs!$B$11),0))))/100+(Inputs!$B$23+0+(IF(ArtifactsInput!$M$15,CHOOSE(ArtifactsInput!$N$15+1,25,30,35,40,45,50)/100*(Inputs!$B$11-Inputs!$B$11),0)))/100)/2</f>
        <v/>
      </c>
      <c r="M1515">
        <f>L1515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IF(B1550=0,0,O1515/B1550)</f>
        <v/>
      </c>
      <c r="Q1515" t="n">
        <v>0</v>
      </c>
      <c r="R1515" t="n">
        <v>0</v>
      </c>
      <c r="S1515">
        <f>IFERROR(O1515/N1515,0)</f>
        <v/>
      </c>
      <c r="T1515">
        <f>IF(C1515,(Skills!G4*N1515*B1552/B1551)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IF(C1515,(Skills!G4*N1515*B1552/B1551)*IF(Inputs!$B$38="pvp",1,(1+(Inputs!$B$21+Skills!Q4+(IF(ArtifactsInput!$M$33,CHOOSE(ArtifactsInput!$N$33+1,30,36,42,48,54,60),0))+(IF(AND(ArtifactsInput!$M$35,Inputs!$B$4&lt;&gt;"Chapter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t="inlineStr"/>
      <c r="K1516" t="inlineStr"/>
      <c r="L1516" t="inlineStr"/>
      <c r="M1516" t="inlineStr"/>
      <c r="N1516" t="inlineStr"/>
      <c r="O1516">
        <f>(1-Summary!$B$11)*T1516+Summary!$B$11*V1516</f>
        <v/>
      </c>
      <c r="P1516">
        <f>IF(B1550=0,0,O1516/B1550)</f>
        <v/>
      </c>
      <c r="Q1516" t="n">
        <v>0</v>
      </c>
      <c r="R1516" t="n">
        <v>0</v>
      </c>
      <c r="S1516">
        <f>IFERROR(O1516/N1516,0)</f>
        <v/>
      </c>
      <c r="T1516" t="n">
        <v>0</v>
      </c>
      <c r="V1516" t="n">
        <v>0</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1523=TRUE,F1523,0)/100)*(1+(IF(Skills!A6="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1531=TRUE)*(F1531-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f>IFERROR(1/(IF(Inputs!$B$38="pvp",15,MAX(0.1,Skills!D6-IF(TRUE=TRUE,Inputs!$B$32,0)))*(1-IF(AND(ArtifactsInput!$M$27,Inputs!$B$4="Chapter Hunt"),CHOOSE(ArtifactsInput!$N$27+1,20,24,28,32,36,40),0)/100)),0)</f>
        <v/>
      </c>
      <c r="R1517">
        <f>IF(AND(Inputs!$B$38&lt;&gt;"pvp",Inputs!$B$43&gt;0),IF(MAX(0,Inputs!$B$43-B1547)&lt;=0,0,(INT(MAX(0,Inputs!$B$43-B1547)/(IF(Inputs!$B$38="pvp",15,MAX(0.1,Skills!D6-IF(TRUE=TRUE,Inputs!$B$32,0)))*(1-IF(AND(ArtifactsInput!$M$27,Inputs!$B$4="Chapter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1547)-((R1517-1)*(IF(Inputs!$B$38="pvp",15,MAX(0.1,Skills!D6-IF(TRUE=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1547)-((R1517-1)*(IF(Inputs!$B$38="pvp",15,MAX(0.1,Skills!D6-IF(TRUE=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Inputs!$B$3&gt;=103</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1531=TRUE)*(F1531-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f>IFERROR(1/(IF(Inputs!$B$38="pvp",15,MAX(0.1,Skills!D7-IF(TRUE=TRUE,Inputs!$B$32,0)))*(1-IF(AND(ArtifactsInput!$M$27,Inputs!$B$4="Chapter Hunt"),CHOOSE(ArtifactsInput!$N$27+1,20,24,28,32,36,40),0)/100)),0)</f>
        <v/>
      </c>
      <c r="R1518">
        <f>IF(AND(Inputs!$B$38&lt;&gt;"pvp",Inputs!$B$43&gt;0),IF(MAX(0,Inputs!$B$43-B1547)&lt;=0,0,(INT(MAX(0,Inputs!$B$43-B1547)/(IF(Inputs!$B$38="pvp",15,MAX(0.1,Skills!D7-IF(TRUE=TRUE,Inputs!$B$32,0)))*(1-IF(AND(ArtifactsInput!$M$27,Inputs!$B$4="Chapter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1547)-((R1518-1)*(IF(Inputs!$B$38="pvp",15,MAX(0.1,Skills!D7-IF(TRUE=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1547)-((R1518-1)*(IF(Inputs!$B$38="pvp",15,MAX(0.1,Skills!D7-IF(TRUE=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Inputs!$B$3&gt;=117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1531=TRUE)*(F1531-Calc!F20)),(Inputs!$B$23+0+(IF(ArtifactsInput!$M$15,CHOOSE(ArtifactsInput!$N$15+1,25,30,35,40,45,50)/100*(Inputs!$B$11-Inputs!$B$11),0))))/100+(Inputs!$B$23+0+(IF(ArtifactsInput!$M$15,CHOOSE(ArtifactsInput!$N$15+1,25,30,35,40,45,50)/100*(Inputs!$B$11-Inputs!$B$11),0)))/100)/2</f>
        <v/>
      </c>
      <c r="M1519">
        <f>L1519*(1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IF(B1550=0,0,O1519/B1550)</f>
        <v/>
      </c>
      <c r="Q1519">
        <f>IFERROR(1/(IF(Inputs!$B$38="pvp",15,MAX(0.1,Skills!D8-IF(TRUE=TRUE,Inputs!$B$32,0)))*(1-IF(AND(ArtifactsInput!$M$27,Inputs!$B$4="Chapter Hunt"),CHOOSE(ArtifactsInput!$N$27+1,20,24,28,32,36,40),0)/100)),0)</f>
        <v/>
      </c>
      <c r="R1519">
        <f>IF(AND(Inputs!$B$38&lt;&gt;"pvp",Inputs!$B$43&gt;0),IF(MAX(0,Inputs!$B$43-B1547)&lt;=0,0,(INT(MAX(0,Inputs!$B$43-B1547)/(IF(Inputs!$B$38="pvp",15,MAX(0.1,Skills!D8-IF(TRUE=TRUE,Inputs!$B$32,0)))*(1-IF(AND(ArtifactsInput!$M$27,Inputs!$B$4="Chapter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1547)-((R1519-1)*(IF(Inputs!$B$38="pvp",15,MAX(0.1,Skills!D8-IF(TRUE=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1547)-((R1519-1)*(IF(Inputs!$B$38="pvp",15,MAX(0.1,Skills!D8-IF(TRUE=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Inputs!$B$3&gt;=120</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B1552</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1531=TRUE)*(F1531-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IFERROR(1/(IF(Inputs!$B$38="pvp",15,MAX(0.1,Skills!D9-IF(TRUE=TRUE,Inputs!$B$32,0)))*(1-IF(AND(ArtifactsInput!$M$27,Inputs!$B$4="Chapter Hunt"),CHOOSE(ArtifactsInput!$N$27+1,20,24,28,32,36,40),0)/100)),0)</f>
        <v/>
      </c>
      <c r="R1520">
        <f>IF(AND(Inputs!$B$38&lt;&gt;"pvp",Inputs!$B$43&gt;0),IF(MAX(0,Inputs!$B$43-B1547)&lt;=0,0,(INT(MAX(0,Inputs!$B$43-B1547)/(IF(Inputs!$B$38="pvp",15,MAX(0.1,Skills!D9-IF(TRUE=TRUE,Inputs!$B$32,0)))*(1-IF(AND(ArtifactsInput!$M$27,Inputs!$B$4="Chapter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1547)-((R1520-1)*(IF(Inputs!$B$38="pvp",15,MAX(0.1,Skills!D9-IF(TRUE=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1547)-((R1520-1)*(IF(Inputs!$B$38="pvp",15,MAX(0.1,Skills!D9-IF(TRUE=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Inputs!$B$3&gt;=105</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1531=TRUE)*(F1531-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IFERROR(1/(IF(Inputs!$B$38="pvp",15,MAX(0.1,Skills!D10-IF(TRUE=TRUE,Inputs!$B$32,0)))*(1-IF(AND(ArtifactsInput!$M$27,Inputs!$B$4="Chapter Hunt"),CHOOSE(ArtifactsInput!$N$27+1,20,24,28,32,36,40),0)/100)),0)</f>
        <v/>
      </c>
      <c r="R1521">
        <f>IF(AND(Inputs!$B$38&lt;&gt;"pvp",Inputs!$B$43&gt;0),IF(MAX(0,Inputs!$B$43-B1547)&lt;=0,0,(INT(MAX(0,Inputs!$B$43-B1547)/(IF(Inputs!$B$38="pvp",15,MAX(0.1,Skills!D10-IF(TRUE=TRUE,Inputs!$B$32,0)))*(1-IF(AND(ArtifactsInput!$M$27,Inputs!$B$4="Chapter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1547)-((R1521-1)*(IF(Inputs!$B$38="pvp",15,MAX(0.1,Skills!D10-IF(TRUE=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1547)-((R1521-1)*(IF(Inputs!$B$38="pvp",15,MAX(0.1,Skills!D10-IF(TRUE=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1531=TRUE)*(F1531-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t="n">
        <v>0</v>
      </c>
      <c r="R1522" t="n">
        <v>0</v>
      </c>
      <c r="S1522">
        <f>IFERROR(O1522/N1522,0)</f>
        <v/>
      </c>
      <c r="T1522">
        <f>IF(C1522,((H1522*B1553)/(1+Skills!H11*H1522*B1553)*N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IF(C1522,((H1522*B1553)/(1+Skills!H11*H1522*B1553)*N1522)*IF(Inputs!$B$38="pvp",1,(1+(Inputs!$B$21+Skills!Q11+(IF(ArtifactsInput!$M$33,CHOOSE(ArtifactsInput!$N$33+1,30,36,42,48,54,60),0))+(IF(AND(ArtifactsInput!$M$35,Inputs!$B$4&lt;&gt;"Chapter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V1523" t="inlineStr"/>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IF(B1550=0,0,O1524/B1550)</f>
        <v/>
      </c>
      <c r="Q1524" t="n">
        <v>0</v>
      </c>
      <c r="R1524" t="n">
        <v>0</v>
      </c>
      <c r="S1524">
        <f>IFERROR(O1524/N1524,0)</f>
        <v/>
      </c>
      <c r="T1524" t="n">
        <v>0</v>
      </c>
      <c r="V1524" t="n">
        <v>0</v>
      </c>
    </row>
    <row r="1525">
      <c r="A1525">
        <f>Skills!A14</f>
        <v/>
      </c>
      <c r="B1525">
        <f>Skills!B14</f>
        <v/>
      </c>
      <c r="C1525">
        <f>Inputs!$B$3&gt;=115</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IF(B1550=0,0,O1525/B1550)</f>
        <v/>
      </c>
      <c r="Q1525">
        <f>IFERROR(1/(IF(Inputs!$B$38="pvp",15,MAX(0.1,Skills!D14-IF(TRUE=TRUE,Inputs!$B$32,0)))*(1-IF(AND(ArtifactsInput!$M$27,Inputs!$B$4="Chapter Hunt"),CHOOSE(ArtifactsInput!$N$27+1,20,24,28,32,36,40),0)/100)),0)</f>
        <v/>
      </c>
      <c r="R1525">
        <f>IF(AND(Inputs!$B$38&lt;&gt;"pvp",Inputs!$B$43&gt;0),IF(Inputs!$B$43&lt;=0,0,(INT(Inputs!$B$43/(IF(Inputs!$B$38="pvp",15,MAX(0.1,Skills!D14-IF(TRUE=TRUE,Inputs!$B$32,0)))*(1-IF(AND(ArtifactsInput!$M$27,Inputs!$B$4="Chapter Hunt"),CHOOSE(ArtifactsInput!$N$27+1,20,24,28,32,36,40),0)/100)))+1)),0)</f>
        <v/>
      </c>
      <c r="S1525">
        <f>IFERROR(O1525/N1525,0)</f>
        <v/>
      </c>
      <c r="T1525" t="n">
        <v>0</v>
      </c>
      <c r="V1525" t="n">
        <v>0</v>
      </c>
    </row>
    <row r="1526">
      <c r="A1526">
        <f>Skills!A15</f>
        <v/>
      </c>
      <c r="B1526">
        <f>Skills!B15</f>
        <v/>
      </c>
      <c r="C1526">
        <f>Inputs!$B$3&gt;=125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IF(B1550=0,0,O1526/B1550)</f>
        <v/>
      </c>
      <c r="Q1526">
        <f>IFERROR(1/(IF(Inputs!$B$38="pvp",15,MAX(0.1,Skills!D15-IF(TRUE=TRUE,Inputs!$B$32,0)))*(1-IF(AND(ArtifactsInput!$M$27,Inputs!$B$4="Chapter Hunt"),CHOOSE(ArtifactsInput!$N$27+1,20,24,28,32,36,40),0)/100)),0)</f>
        <v/>
      </c>
      <c r="R1526">
        <f>IF(AND(Inputs!$B$38&lt;&gt;"pvp",Inputs!$B$43&gt;0),IF(Inputs!$B$43&lt;=0,0,(INT(Inputs!$B$43/(IF(Inputs!$B$38="pvp",15,MAX(0.1,Skills!D15-IF(TRUE=TRUE,Inputs!$B$32,0)))*(1-IF(AND(ArtifactsInput!$M$27,Inputs!$B$4="Chapter Hunt"),CHOOSE(ArtifactsInput!$N$27+1,20,24,28,32,36,40),0)/100)))+1)),0)</f>
        <v/>
      </c>
      <c r="S1526">
        <f>IFERROR(O1526/N1526,0)</f>
        <v/>
      </c>
      <c r="T1526" t="n">
        <v>0</v>
      </c>
      <c r="V1526" t="n">
        <v>0</v>
      </c>
    </row>
    <row r="1527">
      <c r="A1527">
        <f>Skills!A16</f>
        <v/>
      </c>
      <c r="B1527">
        <f>Skills!B16</f>
        <v/>
      </c>
      <c r="C1527">
        <f>Inputs!$B$3&gt;=10</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Skills!A17</f>
        <v/>
      </c>
      <c r="B1528">
        <f>Skills!B17</f>
        <v/>
      </c>
      <c r="C1528">
        <f>Inputs!$B$3&gt;=15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Skills!A18</f>
        <v/>
      </c>
      <c r="B1529">
        <f>Skills!B18</f>
        <v/>
      </c>
      <c r="C1529">
        <f>Inputs!$B$3&gt;=33</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Skills!A19</f>
        <v/>
      </c>
      <c r="B1530">
        <f>Skills!B19</f>
        <v/>
      </c>
      <c r="C1530">
        <f>Inputs!$B$3&gt;=40</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Skills!A20</f>
        <v/>
      </c>
      <c r="B1531">
        <f>Skills!B20</f>
        <v/>
      </c>
      <c r="C1531">
        <f>Inputs!$B$3&gt;=43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Skills!A22</f>
        <v/>
      </c>
      <c r="B1533">
        <f>Skills!B22</f>
        <v/>
      </c>
      <c r="C1533">
        <f>Inputs!$B$3&gt;=75</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Skills!A23</f>
        <v/>
      </c>
      <c r="B1534">
        <f>Skills!B23</f>
        <v/>
      </c>
      <c r="C1534">
        <f>TRUE</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IF(B1550=0,0,O1534/B1550)</f>
        <v/>
      </c>
      <c r="Q1534">
        <f>IFERROR(1/(IF(Inputs!$B$38="pvp",15,MAX(0.1,Skills!D23-IF(TRUE=TRUE,Inputs!$B$32,0)))*(1-IF(AND(ArtifactsInput!$M$27,Inputs!$B$4="Chapter Hunt"),CHOOSE(ArtifactsInput!$N$27+1,20,24,28,32,36,40),0)/100)),0)</f>
        <v/>
      </c>
      <c r="R1534">
        <f>IF(AND(Inputs!$B$38&lt;&gt;"pvp",Inputs!$B$43&gt;0),IF(Inputs!$B$43&lt;=0,0,(INT(Inputs!$B$43/(IF(Inputs!$B$38="pvp",15,MAX(0.1,Skills!D23-IF(TRUE=TRUE,Inputs!$B$32,0)))*(1-IF(AND(ArtifactsInput!$M$27,Inputs!$B$4="Chapter Hunt"),CHOOSE(ArtifactsInput!$N$27+1,20,24,28,32,36,40),0)/100)))+1)),0)</f>
        <v/>
      </c>
      <c r="S1534">
        <f>IFERROR(O1534/N1534,0)</f>
        <v/>
      </c>
      <c r="T1534" t="n">
        <v>0</v>
      </c>
      <c r="V1534" t="n">
        <v>0</v>
      </c>
    </row>
    <row r="1535">
      <c r="A1535">
        <f>Skills!A24</f>
        <v/>
      </c>
      <c r="B1535">
        <f>Skills!B24</f>
        <v/>
      </c>
      <c r="C1535">
        <f>Inputs!$B$3&gt;=107</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IF(B1550=0,0,O1535/B1550)</f>
        <v/>
      </c>
      <c r="Q1535">
        <f>IFERROR(1/(IF(Inputs!$B$38="pvp",15,MAX(0.1,Skills!D24-IF(TRUE=TRUE,Inputs!$B$32,0)))*(1-IF(AND(ArtifactsInput!$M$27,Inputs!$B$4="Chapter Hunt"),CHOOSE(ArtifactsInput!$N$27+1,20,24,28,32,36,40),0)/100)),0)</f>
        <v/>
      </c>
      <c r="R1535">
        <f>IF(AND(Inputs!$B$38&lt;&gt;"pvp",Inputs!$B$43&gt;0),IF(Inputs!$B$43&lt;=0,0,(INT(Inputs!$B$43/(IF(Inputs!$B$38="pvp",15,MAX(0.1,Skills!D24-IF(TRUE=TRUE,Inputs!$B$32,0)))*(1-IF(AND(ArtifactsInput!$M$27,Inputs!$B$4="Chapter Hunt"),CHOOSE(ArtifactsInput!$N$27+1,20,24,28,32,36,40),0)/100)))+1)),0)</f>
        <v/>
      </c>
      <c r="S1535">
        <f>IFERROR(O1535/N1535,0)</f>
        <v/>
      </c>
      <c r="T1535" t="n">
        <v>0</v>
      </c>
      <c r="V1535" t="n">
        <v>0</v>
      </c>
    </row>
    <row r="1536">
      <c r="A1536">
        <f>Skills!A25</f>
        <v/>
      </c>
      <c r="B1536">
        <f>Skills!B25</f>
        <v/>
      </c>
      <c r="C1536">
        <f>Inputs!$B$3&gt;=110</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t="inlineStr"/>
      <c r="H1536" t="inlineStr"/>
      <c r="I1536" t="inlineStr">
        <is>
          <t>1</t>
        </is>
      </c>
      <c r="J1536" t="inlineStr"/>
      <c r="K1536" t="inlineStr"/>
      <c r="L1536" t="inlineStr"/>
      <c r="M1536" t="inlineStr"/>
      <c r="N1536" t="inlineStr"/>
      <c r="O1536" t="inlineStr"/>
      <c r="P1536" t="inlineStr"/>
      <c r="Q1536" t="inlineStr"/>
      <c r="R1536" t="inlineStr"/>
      <c r="S1536" t="inlineStr"/>
      <c r="T1536" t="inlineStr"/>
      <c r="V1536" t="inlineStr"/>
    </row>
    <row r="1537">
      <c r="A1537">
        <f>Skills!A26</f>
        <v/>
      </c>
      <c r="B1537">
        <f>Skills!B26</f>
        <v/>
      </c>
      <c r="C1537">
        <f>Inputs!$B$3&gt;=117</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t="inlineStr"/>
      <c r="H1537" t="inlineStr"/>
      <c r="I1537" t="inlineStr">
        <is>
          <t>1</t>
        </is>
      </c>
      <c r="J1537" t="inlineStr"/>
      <c r="K1537" t="inlineStr"/>
      <c r="L1537" t="inlineStr"/>
      <c r="M1537" t="inlineStr"/>
      <c r="N1537" t="inlineStr"/>
      <c r="O1537" t="inlineStr"/>
      <c r="P1537" t="inlineStr"/>
      <c r="Q1537" t="inlineStr"/>
      <c r="R1537" t="inlineStr"/>
      <c r="S1537" t="inlineStr"/>
      <c r="T1537" t="inlineStr"/>
      <c r="V1537" t="inlineStr"/>
    </row>
    <row r="1539">
      <c r="A1539" t="inlineStr">
        <is>
          <t>Attack% Bucket Multiplier</t>
        </is>
      </c>
      <c r="B1539">
        <f>(1+(((C1524=TRUE)*F1524*5/7)+((C1530=TRUE)*(F1530-Calc!F19))+(IF(ArtifactsInput!$M$21,CHOOSE(ArtifactsInput!$N$21+1,25,30,35,40,45,50)*(IF(OR(Inputs!$B$4="Chapter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 Speed Infusion, duty-cycle averaged)</t>
        </is>
      </c>
      <c r="B1541">
        <f>((C1534=TRUE)*F1534*IF(AND(Inputs!$B$38&lt;&gt;"pvp",Inputs!$B$43&gt;0),(((R1534-1)*MIN((Skills!T23*(1+Inputs!$B$34/100)),(1/Q1534))+MIN((Skills!T23*(1+Inputs!$B$34/100)),MAX(0,Inputs!$B$43-((R1534-1)*(1/Q1534)))))/Inputs!$B$43),IF(Inputs!$B$38="pvp",MIN((Skills!T23*(1+Inputs!$B$34/100)),15)/15,MIN(1,(Skills!T23*(1+Inputs!$B$34/100))/(1/Q1534)))))+((C1535=TRUE)*F1535*IF(AND(Inputs!$B$38&lt;&gt;"pvp",Inputs!$B$43&gt;0),(((R1535-1)*MIN((Skills!T24*(1+Inputs!$B$34/100)),(1/Q1535))+MIN((Skills!T24*(1+Inputs!$B$34/100)),MAX(0,Inputs!$B$43-((R1535-1)*(1/Q1535)))))/Inputs!$B$43),IF(Inputs!$B$38="pvp",MIN((Skills!T24*(1+Inputs!$B$34/100)),15)/15,MIN(1,(Skills!T24*(1+Inputs!$B$34/100))/(1/Q1535)))))</f>
        <v/>
      </c>
    </row>
    <row r="1542">
      <c r="A1542" t="inlineStr">
        <is>
          <t>Actions Per Second</t>
        </is>
      </c>
      <c r="B1542">
        <f>1+MIN(150,150*(1-(1-(Inputs!$B$11+((C1528=TRUE)*(F1528-Calc!F17))+((C1529=TRUE)*(F1529-Calc!F18)))/150)*(1-B1541/150)))/100</f>
        <v/>
      </c>
    </row>
    <row r="1543">
      <c r="A1543" t="inlineStr">
        <is>
          <t>Skill + Buff Cast Rate</t>
        </is>
      </c>
      <c r="B1543">
        <f>IF(AND(Inputs!$B$38&lt;&gt;"pvp",Inputs!$B$43&gt;0),SUMPRODUCT((Skills!E2:E26=TRUE)*(C1513:C1537=TRUE)*R1513:R1537*Skills!F2:F26)/Inputs!$B$43,SUMPRODUCT((Skills!E2:E26=TRUE)*(C1513:C1537=TRUE)*Q1513:Q1537*Skills!F2:F26))</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1516=TRUE)*(F1516*B1552+4*(1-B1552)))+((C1525=TRUE)*F1525*IF(AND(Inputs!$B$38&lt;&gt;"pvp",Inputs!$B$43&gt;0),(((R1525-1)*MIN((Skills!T14*(1+Inputs!$B$34/100)),(1/Q1525))+MIN((Skills!T14*(1+Inputs!$B$34/100)),MAX(0,Inputs!$B$43-((R1525-1)*(1/Q1525)))))/Inputs!$B$43),IF(Inputs!$B$38="pvp",MIN((Skills!T14*(1+Inputs!$B$34/100)),15)/15,MIN(1,(Skills!T14*(1+Inputs!$B$34/100))/(1/Q1525)))))+((C1526=TRUE)*F1526*IF(AND(Inputs!$B$38&lt;&gt;"pvp",Inputs!$B$43&gt;0),(((R1526-1)*MIN((Skills!T15*(1+Inputs!$B$34/100)),(1/Q1526))+MIN((Skills!T15*(1+Inputs!$B$34/100)),MAX(0,Inputs!$B$43-((R1526-1)*(1/Q1526)))))/Inputs!$B$43),IF(Inputs!$B$38="pvp",MIN((Skills!T15*(1+Inputs!$B$34/100)),15)/15,MIN(1,(Skills!T15*(1+Inputs!$B$34/100))/(1/Q1526)))))+((C1535=TRUE)*20*((1+MIN(150,150*(1-(1-(Inputs!$B$11+((C1528=TRUE)*(F1528-Calc!F17))+((C1529=TRUE)*(F1529-Calc!F18)))/150)*(1-(((C1534=TRUE)*F1534*IF(AND(Inputs!$B$38&lt;&gt;"pvp",Inputs!$B$43&gt;0),(((R1534-1)*MIN((Skills!T23*(1+Inputs!$B$34/100)),(1/Q1534))+MIN((Skills!T23*(1+Inputs!$B$34/100)),MAX(0,Inputs!$B$43-((R1534-1)*(1/Q1534)))))/Inputs!$B$43),IF(Inputs!$B$38="pvp",MIN((Skills!T23*(1+Inputs!$B$34/100)),15)/15,MIN(1,(Skills!T23*(1+Inputs!$B$34/100))/(1/Q1534)))))+F1535)/150)))/100)-1)*IF(AND(Inputs!$B$38&lt;&gt;"pvp",Inputs!$B$43&gt;0),(((R1535-1)*MIN((Skills!T24*(1+Inputs!$B$34/100)),(1/Q1535))+MIN((Skills!T24*(1+Inputs!$B$34/100)),MAX(0,Inputs!$B$43-((R1535-1)*(1/Q1535)))))/Inputs!$B$43),IF(Inputs!$B$38="pvp",MIN((Skills!T24*(1+Inputs!$B$34/100)),15)/15,MIN(1,(Skills!T24*(1+Inputs!$B$34/100))/(1/Q1535)))))</f>
        <v/>
      </c>
    </row>
    <row r="1547">
      <c r="A1547" t="inlineStr">
        <is>
          <t>Buff-Casting Startup Delay (s, fixed-duration only)</t>
        </is>
      </c>
      <c r="B1547">
        <f>IF(AND(Inputs!$B$38&lt;&gt;"pvp",Inputs!$B$43&gt;0),SUMPRODUCT((Skills!T2:T26&gt;0)*(Skills!E2:E26=TRUE)*(C1513:C1537=TRUE))/B1542,0)</f>
        <v/>
      </c>
    </row>
    <row r="1548">
      <c r="A1548" t="inlineStr">
        <is>
          <t>Boss-Only Total DPS (this block's swept value)</t>
        </is>
      </c>
      <c r="B1548">
        <f>SUM(T1513:T1537)</f>
        <v/>
      </c>
    </row>
    <row r="1549">
      <c r="A1549" t="inlineStr">
        <is>
          <t>Normal-Only Total DPS (this block's swept value)</t>
        </is>
      </c>
      <c r="B1549">
        <f>SUM(V1513:V1537)</f>
        <v/>
      </c>
    </row>
    <row r="1550">
      <c r="A1550" s="6" t="inlineStr">
        <is>
          <t>TOTAL DPS</t>
        </is>
      </c>
      <c r="B1550" s="6">
        <f>SUM(O1513:O1537)</f>
        <v/>
      </c>
    </row>
    <row r="1551">
      <c r="A1551" t="inlineStr">
        <is>
          <t>Serpent activation interval T (this block's own Hook Bomber rate)</t>
        </is>
      </c>
      <c r="B1551">
        <f>((1/Q1514)+IFERROR(0.5/B1544,0))</f>
        <v/>
      </c>
    </row>
    <row r="1552">
      <c r="A1552" t="inlineStr">
        <is>
          <t>Assault Mode uptime u (this block)</t>
        </is>
      </c>
      <c r="B1552">
        <f>IF(C1516=TRUE,(10+IF(Inputs!$B$3&gt;=94,5,0))/((10+IF(Inputs!$B$3&gt;=94,5,0))+IF(Inputs!$B$3&gt;=104,3,5)*B1551),0)</f>
        <v/>
      </c>
    </row>
    <row r="1553">
      <c r="A1553" t="inlineStr">
        <is>
          <t>Nautilus Strike - Final Attack trigger rate (this block's own Q/R)</t>
        </is>
      </c>
      <c r="B1553">
        <f>IF(AND(Inputs!$B$38&lt;&gt;"pvp",Inputs!$B$43&gt;0),(((C1517=TRUE)*R1517)+((C1518=TRUE)*R1518)+((C1521=TRUE)*R1521))/Inputs!$B$43,((C1517=TRUE)*Q1517)+((C1518=TRUE)*Q1518)+((C1521=TRUE)*Q1521))+B1544</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1576=TRUE)*(F1576-Calc!F20)),(Inputs!$B$23+0+(IF(ArtifactsInput!$M$15,CHOOSE(ArtifactsInput!$N$15+1,25,30,35,40,45,50)/100*(Inputs!$B$11-Inputs!$B$11),0))))/100+(Inputs!$B$23+0+(IF(ArtifactsInput!$M$15,CHOOSE(ArtifactsInput!$N$15+1,25,30,35,40,45,50)/100*(Inputs!$B$11-Inputs!$B$11),0)))/100)/2</f>
        <v/>
      </c>
      <c r="M1558">
        <f>L1558*(1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IF(B1595=0,0,O1558/B1595)</f>
        <v/>
      </c>
      <c r="Q1558" t="n">
        <v>0</v>
      </c>
      <c r="R1558" t="n">
        <v>0</v>
      </c>
      <c r="S1558">
        <f>IFERROR(O1558/N1558,0)</f>
        <v/>
      </c>
      <c r="T1558">
        <f>IF(C1558,(Skills!G2*N1558*B1589)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IF(C1558,(Skills!G2*N1558*B1589)*IF(Inputs!$B$38="pvp",1,(1+(Inputs!$B$21+Skills!Q2+(IF(ArtifactsInput!$M$33,CHOOSE(ArtifactsInput!$N$33+1,30,36,42,48,54,60),0))+(IF(AND(ArtifactsInput!$M$35,Inputs!$B$4&lt;&gt;"Chapter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Inputs!$B$3&gt;=35</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f>Skills!G3*IF(Skills!H3&gt;0,Skills!I3/Skills!H3,1)</f>
        <v/>
      </c>
      <c r="H1559">
        <f>1-(1-Skills!J3/100)^Skills!K3</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1581=TRUE,F1581,0)/100)*(1+(IF(Skills!A3="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1576=TRUE)*(F1576-Calc!F20)),(Inputs!$B$23+0+(IF(ArtifactsInput!$M$15,CHOOSE(ArtifactsInput!$N$15+1,25,30,35,40,45,50)/100*(Inputs!$B$11-Inputs!$B$11),0))))/100+(Inputs!$B$23+0+(IF(ArtifactsInput!$M$15,CHOOSE(ArtifactsInput!$N$15+1,25,30,35,40,45,50)/100*(Inputs!$B$11-Inputs!$B$11),0)))/100)/2</f>
        <v/>
      </c>
      <c r="M1559">
        <f>L1559*(1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IF(B1595=0,0,O1559/B1595)</f>
        <v/>
      </c>
      <c r="Q1559">
        <f>IFERROR(1/(IF(Inputs!$B$38="pvp",15,MAX(0.1,Skills!D3-IF(TRUE=TRUE,Inputs!$B$32,0)))*(1-IF(AND(ArtifactsInput!$M$27,Inputs!$B$4="Chapter Hunt"),CHOOSE(ArtifactsInput!$N$27+1,20,24,28,32,36,40),0)/100)),0)</f>
        <v/>
      </c>
      <c r="R1559">
        <f>IF(AND(Inputs!$B$38&lt;&gt;"pvp",Inputs!$B$43&gt;0),IF(MAX(0,Inputs!$B$43-B1592)&lt;=0,0,(INT(MAX(0,Inputs!$B$43-B1592)/(IF(Inputs!$B$38="pvp",15,MAX(0.1,Skills!D3-IF(TRUE=TRUE,Inputs!$B$32,0)))*(1-IF(AND(ArtifactsInput!$M$27,Inputs!$B$4="Chapter Hunt"),CHOOSE(ArtifactsInput!$N$27+1,20,24,28,32,36,40),0)/100)))+1)),0)</f>
        <v/>
      </c>
      <c r="S1559">
        <f>IFERROR(O1559/N1559,0)</f>
        <v/>
      </c>
      <c r="T1559">
        <f>IF(C1559,(Skills!G3*N1559*IF(C1560=TRUE,1-B1597,1)/B1596)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INDEX(FactorTable!$B$2:$Y$301, MATCH(ROUND(MIN(300,MAX(1,U1558)),0), FactorTable!$A$2:$A$301,0), 22)</f>
        <v/>
      </c>
      <c r="V1559">
        <f>IF(C1559,(Skills!G3*N1559*IF(C1560=TRUE,1-B1597,1)/B1596)*IF(Inputs!$B$38="pvp",1,(1+(Inputs!$B$21+Skills!Q3+(IF(ArtifactsInput!$M$33,CHOOSE(ArtifactsInput!$N$33+1,30,36,42,48,54,60),0))+(IF(AND(ArtifactsInput!$M$35,Inputs!$B$4&lt;&gt;"Chapter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Skills!A4</f>
        <v/>
      </c>
      <c r="B1560">
        <f>Skills!B4</f>
        <v/>
      </c>
      <c r="C1560">
        <f>Inputs!$B$3&gt;=69</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f>Skills!G4*IF(Skills!H4&gt;0,Skills!I4/Skills!H4,1)</f>
        <v/>
      </c>
      <c r="H1560">
        <f>1-(1-Skills!J4/100)^Skills!K4</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1568=TRUE,F1568,0)/100)*(1+(IF(Skills!A4="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1576=TRUE)*(F1576-Calc!F20)),(Inputs!$B$23+0+(IF(ArtifactsInput!$M$15,CHOOSE(ArtifactsInput!$N$15+1,25,30,35,40,45,50)/100*(Inputs!$B$11-Inputs!$B$11),0))))/100+(Inputs!$B$23+0+(IF(ArtifactsInput!$M$15,CHOOSE(ArtifactsInput!$N$15+1,25,30,35,40,45,50)/100*(Inputs!$B$11-Inputs!$B$11),0)))/100)/2</f>
        <v/>
      </c>
      <c r="M1560">
        <f>L1560*(1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IF(B1595=0,0,O1560/B1595)</f>
        <v/>
      </c>
      <c r="Q1560" t="n">
        <v>0</v>
      </c>
      <c r="R1560" t="n">
        <v>0</v>
      </c>
      <c r="S1560">
        <f>IFERROR(O1560/N1560,0)</f>
        <v/>
      </c>
      <c r="T1560">
        <f>IF(C1560,(Skills!G4*N1560*B1597/B1596)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290*U1559/1000</f>
        <v/>
      </c>
      <c r="V1560">
        <f>IF(C1560,(Skills!G4*N1560*B1597/B1596)*IF(Inputs!$B$38="pvp",1,(1+(Inputs!$B$21+Skills!Q4+(IF(ArtifactsInput!$M$33,CHOOSE(ArtifactsInput!$N$33+1,30,36,42,48,54,60),0))+(IF(AND(ArtifactsInput!$M$35,Inputs!$B$4&lt;&gt;"Chapter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Skills!A5</f>
        <v/>
      </c>
      <c r="B1561">
        <f>Skills!B5</f>
        <v/>
      </c>
      <c r="C1561">
        <f>Inputs!$B$3&gt;=66</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t="inlineStr"/>
      <c r="K1561" t="inlineStr"/>
      <c r="L1561" t="inlineStr"/>
      <c r="M1561" t="inlineStr"/>
      <c r="N1561" t="inlineStr"/>
      <c r="O1561">
        <f>(1-Summary!$B$11)*T1561+Summary!$B$11*V1561</f>
        <v/>
      </c>
      <c r="P1561">
        <f>IF(B1595=0,0,O1561/B1595)</f>
        <v/>
      </c>
      <c r="Q1561" t="n">
        <v>0</v>
      </c>
      <c r="R1561" t="n">
        <v>0</v>
      </c>
      <c r="S1561">
        <f>IFERROR(O1561/N1561,0)</f>
        <v/>
      </c>
      <c r="T1561" t="n">
        <v>0</v>
      </c>
      <c r="V1561" t="n">
        <v>0</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1568=TRUE,F1568,0)/100)*(1+(IF(Skills!A6="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1576=TRUE)*(F1576-Calc!F20)),(Inputs!$B$23+0+(IF(ArtifactsInput!$M$15,CHOOSE(ArtifactsInput!$N$15+1,25,30,35,40,45,50)/100*(Inputs!$B$11-Inputs!$B$11),0))))/100+(Inputs!$B$23+0+(IF(ArtifactsInput!$M$15,CHOOSE(ArtifactsInput!$N$15+1,25,30,35,40,45,50)/100*(Inputs!$B$11-Inputs!$B$11),0)))/100)/2</f>
        <v/>
      </c>
      <c r="M1562">
        <f>L1562*(1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IF(B1595=0,0,O1562/B1595)</f>
        <v/>
      </c>
      <c r="Q1562">
        <f>IFERROR(1/(IF(Inputs!$B$38="pvp",15,MAX(0.1,Skills!D6-IF(TRUE=TRUE,Inputs!$B$32,0)))*(1-IF(AND(ArtifactsInput!$M$27,Inputs!$B$4="Chapter Hunt"),CHOOSE(ArtifactsInput!$N$27+1,20,24,28,32,36,40),0)/100)),0)</f>
        <v/>
      </c>
      <c r="R1562">
        <f>IF(AND(Inputs!$B$38&lt;&gt;"pvp",Inputs!$B$43&gt;0),IF(MAX(0,Inputs!$B$43-B1592)&lt;=0,0,(INT(MAX(0,Inputs!$B$43-B1592)/(IF(Inputs!$B$38="pvp",15,MAX(0.1,Skills!D6-IF(TRUE=TRUE,Inputs!$B$32,0)))*(1-IF(AND(ArtifactsInput!$M$27,Inputs!$B$4="Chapter Hunt"),CHOOSE(ArtifactsInput!$N$27+1,20,24,28,32,36,40),0)/100)))+1)),0)</f>
        <v/>
      </c>
      <c r="S1562">
        <f>IFERROR(O1562/N1562,0)</f>
        <v/>
      </c>
      <c r="T1562">
        <f>IF(C1562,(H1562*N1562*IF(AND(Inputs!$B$38&lt;&gt;"pvp",Inputs!$B$43&gt;0),((Skills!G6*((R1562-1)*IF(Skills!H6&gt;0,Skills!I6/Skills!H6,1)+IF(Skills!H6&gt;0,MIN(Skills!I6,MAX(0,MAX(0,Inputs!$B$43-B1592)-((R1562-1)*(IF(Inputs!$B$38="pvp",15,MAX(0.1,Skills!D6-IF(TRUE=TRUE,Inputs!$B$32,0)))*(1-IF(AND(ArtifactsInput!$M$27,Inputs!$B$4="Chapter Hunt"),CHOOSE(ArtifactsInput!$N$27+1,20,24,28,32,36,40),0)/100)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1592)-((R1562-1)*(IF(Inputs!$B$38="pvp",15,MAX(0.1,Skills!D6-IF(TRUE=TRUE,Inputs!$B$32,0)))*(1-IF(AND(ArtifactsInput!$M$27,Inputs!$B$4="Chapter Hunt"),CHOOSE(ArtifactsInput!$N$27+1,20,24,28,32,36,40),0)/100)))))/Skills!H6,1)))/Inputs!$B$43),G1562*Q1562))*IF(Inputs!$B$38="pvp",1,(1+(Inputs!$B$21+Skills!Q6+(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Inputs!$B$3&gt;=103</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1576=TRUE)*(F1576-Calc!F20)),(Inputs!$B$23+0+(IF(ArtifactsInput!$M$15,CHOOSE(ArtifactsInput!$N$15+1,25,30,35,40,45,50)/100*(Inputs!$B$11-Inputs!$B$11),0))))/100+(Inputs!$B$23+0+(IF(ArtifactsInput!$M$15,CHOOSE(ArtifactsInput!$N$15+1,25,30,35,40,45,50)/100*(Inputs!$B$11-Inputs!$B$11),0)))/100)/2</f>
        <v/>
      </c>
      <c r="M1563">
        <f>L1563*(1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IF(B1595=0,0,O1563/B1595)</f>
        <v/>
      </c>
      <c r="Q1563">
        <f>IFERROR(1/(IF(Inputs!$B$38="pvp",15,MAX(0.1,Skills!D7-IF(TRUE=TRUE,Inputs!$B$32,0)))*(1-IF(AND(ArtifactsInput!$M$27,Inputs!$B$4="Chapter Hunt"),CHOOSE(ArtifactsInput!$N$27+1,20,24,28,32,36,40),0)/100)),0)</f>
        <v/>
      </c>
      <c r="R1563">
        <f>IF(AND(Inputs!$B$38&lt;&gt;"pvp",Inputs!$B$43&gt;0),IF(MAX(0,Inputs!$B$43-B1592)&lt;=0,0,(INT(MAX(0,Inputs!$B$43-B1592)/(IF(Inputs!$B$38="pvp",15,MAX(0.1,Skills!D7-IF(TRUE=TRUE,Inputs!$B$32,0)))*(1-IF(AND(ArtifactsInput!$M$27,Inputs!$B$4="Chapter Hunt"),CHOOSE(ArtifactsInput!$N$27+1,20,24,28,32,36,40),0)/100)))+1)),0)</f>
        <v/>
      </c>
      <c r="S1563">
        <f>IFERROR(O1563/N1563,0)</f>
        <v/>
      </c>
      <c r="T1563">
        <f>IF(C1563,(H1563*N1563*IF(AND(Inputs!$B$38&lt;&gt;"pvp",Inputs!$B$43&gt;0),((Skills!G7*((R1563-1)*IF(Skills!H7&gt;0,Skills!I7/Skills!H7,1)+IF(Skills!H7&gt;0,MIN(Skills!I7,MAX(0,MAX(0,Inputs!$B$43-B1592)-((R1563-1)*(IF(Inputs!$B$38="pvp",15,MAX(0.1,Skills!D7-IF(TRUE=TRUE,Inputs!$B$32,0)))*(1-IF(AND(ArtifactsInput!$M$27,Inputs!$B$4="Chapter Hunt"),CHOOSE(ArtifactsInput!$N$27+1,20,24,28,32,36,40),0)/100)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1592)-((R1563-1)*(IF(Inputs!$B$38="pvp",15,MAX(0.1,Skills!D7-IF(TRUE=TRUE,Inputs!$B$32,0)))*(1-IF(AND(ArtifactsInput!$M$27,Inputs!$B$4="Chapter Hunt"),CHOOSE(ArtifactsInput!$N$27+1,20,24,28,32,36,40),0)/100)))))/Skills!H7,1)))/Inputs!$B$43),G1563*Q1563))*IF(Inputs!$B$38="pvp",1,(1+(Inputs!$B$21+Skills!Q7+(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Inputs!$B$3&gt;=117</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f>Skills!G8*IF(Skills!H8&gt;0,Skills!I8/Skills!H8,1)</f>
        <v/>
      </c>
      <c r="H1564">
        <f>1-(1-Skills!J8/100)^Skills!K8</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1576=TRUE)*(F1576-Calc!F20)),(Inputs!$B$23+0+(IF(ArtifactsInput!$M$15,CHOOSE(ArtifactsInput!$N$15+1,25,30,35,40,45,50)/100*(Inputs!$B$11-Inputs!$B$11),0))))/100+(Inputs!$B$23+0+(IF(ArtifactsInput!$M$15,CHOOSE(ArtifactsInput!$N$15+1,25,30,35,40,45,50)/100*(Inputs!$B$11-Inputs!$B$11),0)))/100)/2</f>
        <v/>
      </c>
      <c r="M1564">
        <f>L1564*(1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IF(B1595=0,0,O1564/B1595)</f>
        <v/>
      </c>
      <c r="Q1564">
        <f>IFERROR(1/(IF(Inputs!$B$38="pvp",15,MAX(0.1,Skills!D8-IF(TRUE=TRUE,Inputs!$B$32,0)))*(1-IF(AND(ArtifactsInput!$M$27,Inputs!$B$4="Chapter Hunt"),CHOOSE(ArtifactsInput!$N$27+1,20,24,28,32,36,40),0)/100)),0)</f>
        <v/>
      </c>
      <c r="R1564">
        <f>IF(AND(Inputs!$B$38&lt;&gt;"pvp",Inputs!$B$43&gt;0),IF(MAX(0,Inputs!$B$43-B1592)&lt;=0,0,(INT(MAX(0,Inputs!$B$43-B1592)/(IF(Inputs!$B$38="pvp",15,MAX(0.1,Skills!D8-IF(TRUE=TRUE,Inputs!$B$32,0)))*(1-IF(AND(ArtifactsInput!$M$27,Inputs!$B$4="Chapter Hunt"),CHOOSE(ArtifactsInput!$N$27+1,20,24,28,32,36,40),0)/100)))+1)),0)</f>
        <v/>
      </c>
      <c r="S1564">
        <f>IFERROR(O1564/N1564,0)</f>
        <v/>
      </c>
      <c r="T1564">
        <f>IF(C1564,(H1564*N1564*IF(AND(Inputs!$B$38&lt;&gt;"pvp",Inputs!$B$43&gt;0),((Skills!G8*((R1564-1)*IF(Skills!H8&gt;0,Skills!I8/Skills!H8,1)+IF(Skills!H8&gt;0,MIN(Skills!I8,MAX(0,MAX(0,Inputs!$B$43-B1592)-((R1564-1)*(IF(Inputs!$B$38="pvp",15,MAX(0.1,Skills!D8-IF(TRUE=TRUE,Inputs!$B$32,0)))*(1-IF(AND(ArtifactsInput!$M$27,Inputs!$B$4="Chapter Hunt"),CHOOSE(ArtifactsInput!$N$27+1,20,24,28,32,36,40),0)/100)))))/Skills!H8,1)))/Inputs!$B$43),G1564*Q1564)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8*((R1564-1)*IF(Skills!H8&gt;0,Skills!I8/Skills!H8,1)+IF(Skills!H8&gt;0,MIN(Skills!I8,MAX(0,MAX(0,Inputs!$B$43-B1592)-((R1564-1)*(IF(Inputs!$B$38="pvp",15,MAX(0.1,Skills!D8-IF(TRUE=TRUE,Inputs!$B$32,0)))*(1-IF(AND(ArtifactsInput!$M$27,Inputs!$B$4="Chapter Hunt"),CHOOSE(ArtifactsInput!$N$27+1,20,24,28,32,36,40),0)/100)))))/Skills!H8,1)))/Inputs!$B$43),G1564*Q1564))*IF(Inputs!$B$38="pvp",1,(1+(Inputs!$B$21+Skills!Q8+(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Skills!A9</f>
        <v/>
      </c>
      <c r="B1565">
        <f>Skills!B9</f>
        <v/>
      </c>
      <c r="C1565">
        <f>Inputs!$B$3&gt;=120</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B1597</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1576=TRUE)*(F1576-Calc!F20)),(Inputs!$B$23+0+(IF(ArtifactsInput!$M$15,CHOOSE(ArtifactsInput!$N$15+1,25,30,35,40,45,50)/100*(Inputs!$B$11-Inputs!$B$11),0))))/100+(Inputs!$B$23+0+(IF(ArtifactsInput!$M$15,CHOOSE(ArtifactsInput!$N$15+1,25,30,35,40,45,50)/100*(Inputs!$B$11-Inputs!$B$11),0)))/100)/2</f>
        <v/>
      </c>
      <c r="M1565">
        <f>L1565*(1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IF(B1595=0,0,O1565/B1595)</f>
        <v/>
      </c>
      <c r="Q1565">
        <f>IFERROR(1/(IF(Inputs!$B$38="pvp",15,MAX(0.1,Skills!D9-IF(TRUE=TRUE,Inputs!$B$32,0)))*(1-IF(AND(ArtifactsInput!$M$27,Inputs!$B$4="Chapter Hunt"),CHOOSE(ArtifactsInput!$N$27+1,20,24,28,32,36,40),0)/100)),0)</f>
        <v/>
      </c>
      <c r="R1565">
        <f>IF(AND(Inputs!$B$38&lt;&gt;"pvp",Inputs!$B$43&gt;0),IF(MAX(0,Inputs!$B$43-B1592)&lt;=0,0,(INT(MAX(0,Inputs!$B$43-B1592)/(IF(Inputs!$B$38="pvp",15,MAX(0.1,Skills!D9-IF(TRUE=TRUE,Inputs!$B$32,0)))*(1-IF(AND(ArtifactsInput!$M$27,Inputs!$B$4="Chapter Hunt"),CHOOSE(ArtifactsInput!$N$27+1,20,24,28,32,36,40),0)/100)))+1)),0)</f>
        <v/>
      </c>
      <c r="S1565">
        <f>IFERROR(O1565/N1565,0)</f>
        <v/>
      </c>
      <c r="T1565">
        <f>IF(C1565,(H1565*N1565*IF(AND(Inputs!$B$38&lt;&gt;"pvp",Inputs!$B$43&gt;0),((Skills!G9*((R1565-1)*IF(Skills!H9&gt;0,Skills!I9/Skills!H9,1)+IF(Skills!H9&gt;0,MIN(Skills!I9,MAX(0,MAX(0,Inputs!$B$43-B1592)-((R1565-1)*(IF(Inputs!$B$38="pvp",15,MAX(0.1,Skills!D9-IF(TRUE=TRUE,Inputs!$B$32,0)))*(1-IF(AND(ArtifactsInput!$M$27,Inputs!$B$4="Chapter Hunt"),CHOOSE(ArtifactsInput!$N$27+1,20,24,28,32,36,40),0)/100)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1592)-((R1565-1)*(IF(Inputs!$B$38="pvp",15,MAX(0.1,Skills!D9-IF(TRUE=TRUE,Inputs!$B$32,0)))*(1-IF(AND(ArtifactsInput!$M$27,Inputs!$B$4="Chapter Hunt"),CHOOSE(ArtifactsInput!$N$27+1,20,24,28,32,36,40),0)/100)))))/Skills!H9,1)))/Inputs!$B$43),G1565*Q1565))*IF(Inputs!$B$38="pvp",1,(1+(Inputs!$B$21+Skills!Q9+(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Inputs!$B$3&gt;=105</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1576=TRUE)*(F1576-Calc!F20)),(Inputs!$B$23+0+(IF(ArtifactsInput!$M$15,CHOOSE(ArtifactsInput!$N$15+1,25,30,35,40,45,50)/100*(Inputs!$B$11-Inputs!$B$11),0))))/100+(Inputs!$B$23+0+(IF(ArtifactsInput!$M$15,CHOOSE(ArtifactsInput!$N$15+1,25,30,35,40,45,50)/100*(Inputs!$B$11-Inputs!$B$11),0)))/100)/2</f>
        <v/>
      </c>
      <c r="M1566">
        <f>L1566*(1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IF(B1595=0,0,O1566/B1595)</f>
        <v/>
      </c>
      <c r="Q1566">
        <f>IFERROR(1/(IF(Inputs!$B$38="pvp",15,MAX(0.1,Skills!D10-IF(TRUE=TRUE,Inputs!$B$32,0)))*(1-IF(AND(ArtifactsInput!$M$27,Inputs!$B$4="Chapter Hunt"),CHOOSE(ArtifactsInput!$N$27+1,20,24,28,32,36,40),0)/100)),0)</f>
        <v/>
      </c>
      <c r="R1566">
        <f>IF(AND(Inputs!$B$38&lt;&gt;"pvp",Inputs!$B$43&gt;0),IF(MAX(0,Inputs!$B$43-B1592)&lt;=0,0,(INT(MAX(0,Inputs!$B$43-B1592)/(IF(Inputs!$B$38="pvp",15,MAX(0.1,Skills!D10-IF(TRUE=TRUE,Inputs!$B$32,0)))*(1-IF(AND(ArtifactsInput!$M$27,Inputs!$B$4="Chapter Hunt"),CHOOSE(ArtifactsInput!$N$27+1,20,24,28,32,36,40),0)/100)))+1)),0)</f>
        <v/>
      </c>
      <c r="S1566">
        <f>IFERROR(O1566/N1566,0)</f>
        <v/>
      </c>
      <c r="T1566">
        <f>IF(C1566,(H1566*N1566*IF(AND(Inputs!$B$38&lt;&gt;"pvp",Inputs!$B$43&gt;0),((Skills!G10*((R1566-1)*IF(Skills!H10&gt;0,Skills!I10/Skills!H10,1)+IF(Skills!H10&gt;0,MIN(Skills!I10,MAX(0,MAX(0,Inputs!$B$43-B1592)-((R1566-1)*(IF(Inputs!$B$38="pvp",15,MAX(0.1,Skills!D10-IF(TRUE=TRUE,Inputs!$B$32,0)))*(1-IF(AND(ArtifactsInput!$M$27,Inputs!$B$4="Chapter Hunt"),CHOOSE(ArtifactsInput!$N$27+1,20,24,28,32,36,40),0)/100)))))/Skills!H10,1)))/Inputs!$B$43),G1566*Q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H1566*N1566*IF(AND(Inputs!$B$38&lt;&gt;"pvp",Inputs!$B$43&gt;0),((Skills!G10*((R1566-1)*IF(Skills!H10&gt;0,Skills!I10/Skills!H10,1)+IF(Skills!H10&gt;0,MIN(Skills!I10,MAX(0,MAX(0,Inputs!$B$43-B1592)-((R1566-1)*(IF(Inputs!$B$38="pvp",15,MAX(0.1,Skills!D10-IF(TRUE=TRUE,Inputs!$B$32,0)))*(1-IF(AND(ArtifactsInput!$M$27,Inputs!$B$4="Chapter Hunt"),CHOOSE(ArtifactsInput!$N$27+1,20,24,28,32,36,40),0)/100)))))/Skills!H10,1)))/Inputs!$B$43),G1566*Q1566))*IF(Inputs!$B$38="pvp",1,(1+(Inputs!$B$21+Skills!Q10+(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Inputs!$B$3&gt;=113</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1576=TRUE)*(F1576-Calc!F20)),(Inputs!$B$23+0+(IF(ArtifactsInput!$M$15,CHOOSE(ArtifactsInput!$N$15+1,25,30,35,40,45,50)/100*(Inputs!$B$11-Inputs!$B$11),0))))/100+(Inputs!$B$23+0+(IF(ArtifactsInput!$M$15,CHOOSE(ArtifactsInput!$N$15+1,25,30,35,40,45,50)/100*(Inputs!$B$11-Inputs!$B$11),0)))/100)/2</f>
        <v/>
      </c>
      <c r="M1567">
        <f>L1567*(1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IF(B1595=0,0,O1567/B1595)</f>
        <v/>
      </c>
      <c r="Q1567" t="n">
        <v>0</v>
      </c>
      <c r="R1567" t="n">
        <v>0</v>
      </c>
      <c r="S1567">
        <f>IFERROR(O1567/N1567,0)</f>
        <v/>
      </c>
      <c r="T1567">
        <f>IF(C1567,((H1567*B1598)/(1+Skills!H11*H1567*B1598)*N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IF(C1567,((H1567*B1598)/(1+Skills!H11*H1567*B1598)*N1567)*IF(Inputs!$B$38="pvp",1,(1+(Inputs!$B$21+Skills!Q11+(IF(ArtifactsInput!$M$33,CHOOSE(ArtifactsInput!$N$33+1,30,36,42,48,54,60),0))+(IF(AND(ArtifactsInput!$M$35,Inputs!$B$4&lt;&gt;"Chapter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Inputs!$B$3&gt;=100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t="inlineStr"/>
      <c r="H1568" t="inlineStr"/>
      <c r="I1568" t="inlineStr">
        <is>
          <t>1</t>
        </is>
      </c>
      <c r="J1568" t="inlineStr"/>
      <c r="K1568" t="inlineStr"/>
      <c r="L1568" t="inlineStr"/>
      <c r="M1568" t="inlineStr"/>
      <c r="N1568" t="inlineStr"/>
      <c r="O1568" t="inlineStr"/>
      <c r="P1568" t="inlineStr"/>
      <c r="Q1568" t="inlineStr"/>
      <c r="R1568" t="inlineStr"/>
      <c r="S1568" t="inlineStr"/>
      <c r="T1568" t="inlineStr"/>
      <c r="V1568" t="inlineStr"/>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IF(B1595=0,0,O1569/B1595)</f>
        <v/>
      </c>
      <c r="Q1569" t="n">
        <v>0</v>
      </c>
      <c r="R1569" t="n">
        <v>0</v>
      </c>
      <c r="S1569">
        <f>IFERROR(O1569/N1569,0)</f>
        <v/>
      </c>
      <c r="T1569" t="n">
        <v>0</v>
      </c>
      <c r="V1569" t="n">
        <v>0</v>
      </c>
    </row>
    <row r="1570">
      <c r="A1570">
        <f>Skills!A14</f>
        <v/>
      </c>
      <c r="B1570">
        <f>Skills!B14</f>
        <v/>
      </c>
      <c r="C1570">
        <f>Inputs!$B$3&gt;=115</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IF(B1595=0,0,O1570/B1595)</f>
        <v/>
      </c>
      <c r="Q1570">
        <f>IFERROR(1/(IF(Inputs!$B$38="pvp",15,MAX(0.1,Skills!D14-IF(TRUE=TRUE,Inputs!$B$32,0)))*(1-IF(AND(ArtifactsInput!$M$27,Inputs!$B$4="Chapter Hunt"),CHOOSE(ArtifactsInput!$N$27+1,20,24,28,32,36,40),0)/100)),0)</f>
        <v/>
      </c>
      <c r="R1570">
        <f>IF(AND(Inputs!$B$38&lt;&gt;"pvp",Inputs!$B$43&gt;0),IF(Inputs!$B$43&lt;=0,0,(INT(Inputs!$B$43/(IF(Inputs!$B$38="pvp",15,MAX(0.1,Skills!D14-IF(TRUE=TRUE,Inputs!$B$32,0)))*(1-IF(AND(ArtifactsInput!$M$27,Inputs!$B$4="Chapter Hunt"),CHOOSE(ArtifactsInput!$N$27+1,20,24,28,32,36,40),0)/100)))+1)),0)</f>
        <v/>
      </c>
      <c r="S1570">
        <f>IFERROR(O1570/N1570,0)</f>
        <v/>
      </c>
      <c r="T1570" t="n">
        <v>0</v>
      </c>
      <c r="V1570" t="n">
        <v>0</v>
      </c>
    </row>
    <row r="1571">
      <c r="A1571">
        <f>Skills!A15</f>
        <v/>
      </c>
      <c r="B1571">
        <f>Skills!B15</f>
        <v/>
      </c>
      <c r="C1571">
        <f>Inputs!$B$3&gt;=125</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IF(B1595=0,0,O1571/B1595)</f>
        <v/>
      </c>
      <c r="Q1571">
        <f>IFERROR(1/(IF(Inputs!$B$38="pvp",15,MAX(0.1,Skills!D15-IF(TRUE=TRUE,Inputs!$B$32,0)))*(1-IF(AND(ArtifactsInput!$M$27,Inputs!$B$4="Chapter Hunt"),CHOOSE(ArtifactsInput!$N$27+1,20,24,28,32,36,40),0)/100)),0)</f>
        <v/>
      </c>
      <c r="R1571">
        <f>IF(AND(Inputs!$B$38&lt;&gt;"pvp",Inputs!$B$43&gt;0),IF(Inputs!$B$43&lt;=0,0,(INT(Inputs!$B$43/(IF(Inputs!$B$38="pvp",15,MAX(0.1,Skills!D15-IF(TRUE=TRUE,Inputs!$B$32,0)))*(1-IF(AND(ArtifactsInput!$M$27,Inputs!$B$4="Chapter Hunt"),CHOOSE(ArtifactsInput!$N$27+1,20,24,28,32,36,40),0)/100)))+1)),0)</f>
        <v/>
      </c>
      <c r="S1571">
        <f>IFERROR(O1571/N1571,0)</f>
        <v/>
      </c>
      <c r="T1571" t="n">
        <v>0</v>
      </c>
      <c r="V1571" t="n">
        <v>0</v>
      </c>
    </row>
    <row r="1572">
      <c r="A1572">
        <f>Skills!A16</f>
        <v/>
      </c>
      <c r="B1572">
        <f>Skills!B16</f>
        <v/>
      </c>
      <c r="C1572">
        <f>Inputs!$B$3&gt;=10</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IF(B1595=0,0,O1572/B1595)</f>
        <v/>
      </c>
      <c r="Q1572" t="n">
        <v>0</v>
      </c>
      <c r="R1572" t="n">
        <v>0</v>
      </c>
      <c r="S1572">
        <f>IFERROR(O1572/N1572,0)</f>
        <v/>
      </c>
      <c r="T1572" t="n">
        <v>0</v>
      </c>
      <c r="V1572" t="n">
        <v>0</v>
      </c>
    </row>
    <row r="1573">
      <c r="A1573">
        <f>Skills!A17</f>
        <v/>
      </c>
      <c r="B1573">
        <f>Skills!B17</f>
        <v/>
      </c>
      <c r="C1573">
        <f>Inputs!$B$3&gt;=15</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IF(B1595=0,0,O1573/B1595)</f>
        <v/>
      </c>
      <c r="Q1573" t="n">
        <v>0</v>
      </c>
      <c r="R1573" t="n">
        <v>0</v>
      </c>
      <c r="S1573">
        <f>IFERROR(O1573/N1573,0)</f>
        <v/>
      </c>
      <c r="T1573" t="n">
        <v>0</v>
      </c>
      <c r="V1573" t="n">
        <v>0</v>
      </c>
    </row>
    <row r="1574">
      <c r="A1574">
        <f>Skills!A18</f>
        <v/>
      </c>
      <c r="B1574">
        <f>Skills!B18</f>
        <v/>
      </c>
      <c r="C1574">
        <f>Inputs!$B$3&gt;=33</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IF(B1595=0,0,O1574/B1595)</f>
        <v/>
      </c>
      <c r="Q1574" t="n">
        <v>0</v>
      </c>
      <c r="R1574" t="n">
        <v>0</v>
      </c>
      <c r="S1574">
        <f>IFERROR(O1574/N1574,0)</f>
        <v/>
      </c>
      <c r="T1574" t="n">
        <v>0</v>
      </c>
      <c r="V1574" t="n">
        <v>0</v>
      </c>
    </row>
    <row r="1575">
      <c r="A1575">
        <f>Skills!A19</f>
        <v/>
      </c>
      <c r="B1575">
        <f>Skills!B19</f>
        <v/>
      </c>
      <c r="C1575">
        <f>Inputs!$B$3&gt;=40</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IF(B1595=0,0,O1575/B1595)</f>
        <v/>
      </c>
      <c r="Q1575" t="n">
        <v>0</v>
      </c>
      <c r="R1575" t="n">
        <v>0</v>
      </c>
      <c r="S1575">
        <f>IFERROR(O1575/N1575,0)</f>
        <v/>
      </c>
      <c r="T1575" t="n">
        <v>0</v>
      </c>
      <c r="V1575" t="n">
        <v>0</v>
      </c>
    </row>
    <row r="1576">
      <c r="A1576">
        <f>Skills!A20</f>
        <v/>
      </c>
      <c r="B1576">
        <f>Skills!B20</f>
        <v/>
      </c>
      <c r="C1576">
        <f>Inputs!$B$3&gt;=43</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IF(B1595=0,0,O1576/B1595)</f>
        <v/>
      </c>
      <c r="Q1576" t="n">
        <v>0</v>
      </c>
      <c r="R1576" t="n">
        <v>0</v>
      </c>
      <c r="S1576">
        <f>IFERROR(O1576/N1576,0)</f>
        <v/>
      </c>
      <c r="T1576" t="n">
        <v>0</v>
      </c>
      <c r="V1576" t="n">
        <v>0</v>
      </c>
    </row>
    <row r="1577">
      <c r="A1577">
        <f>Skills!A21</f>
        <v/>
      </c>
      <c r="B1577">
        <f>Skills!B21</f>
        <v/>
      </c>
      <c r="C1577">
        <f>Inputs!$B$3&gt;=38</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IF(B1595=0,0,O1577/B1595)</f>
        <v/>
      </c>
      <c r="Q1577" t="n">
        <v>0</v>
      </c>
      <c r="R1577" t="n">
        <v>0</v>
      </c>
      <c r="S1577">
        <f>IFERROR(O1577/N1577,0)</f>
        <v/>
      </c>
      <c r="T1577" t="n">
        <v>0</v>
      </c>
      <c r="V1577" t="n">
        <v>0</v>
      </c>
    </row>
    <row r="1578">
      <c r="A1578">
        <f>Skills!A22</f>
        <v/>
      </c>
      <c r="B1578">
        <f>Skills!B22</f>
        <v/>
      </c>
      <c r="C1578">
        <f>Inputs!$B$3&gt;=75</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IF(B1595=0,0,O1578/B1595)</f>
        <v/>
      </c>
      <c r="Q1578" t="n">
        <v>0</v>
      </c>
      <c r="R1578" t="n">
        <v>0</v>
      </c>
      <c r="S1578">
        <f>IFERROR(O1578/N1578,0)</f>
        <v/>
      </c>
      <c r="T1578" t="n">
        <v>0</v>
      </c>
      <c r="V1578" t="n">
        <v>0</v>
      </c>
    </row>
    <row r="1579">
      <c r="A1579">
        <f>Skills!A23</f>
        <v/>
      </c>
      <c r="B1579">
        <f>Skills!B23</f>
        <v/>
      </c>
      <c r="C1579">
        <f>TRUE</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IF(B1595=0,0,O1579/B1595)</f>
        <v/>
      </c>
      <c r="Q1579">
        <f>IFERROR(1/(IF(Inputs!$B$38="pvp",15,MAX(0.1,Skills!D23-IF(TRUE=TRUE,Inputs!$B$32,0)))*(1-IF(AND(ArtifactsInput!$M$27,Inputs!$B$4="Chapter Hunt"),CHOOSE(ArtifactsInput!$N$27+1,20,24,28,32,36,40),0)/100)),0)</f>
        <v/>
      </c>
      <c r="R1579">
        <f>IF(AND(Inputs!$B$38&lt;&gt;"pvp",Inputs!$B$43&gt;0),IF(Inputs!$B$43&lt;=0,0,(INT(Inputs!$B$43/(IF(Inputs!$B$38="pvp",15,MAX(0.1,Skills!D23-IF(TRUE=TRUE,Inputs!$B$32,0)))*(1-IF(AND(ArtifactsInput!$M$27,Inputs!$B$4="Chapter Hunt"),CHOOSE(ArtifactsInput!$N$27+1,20,24,28,32,36,40),0)/100)))+1)),0)</f>
        <v/>
      </c>
      <c r="S1579">
        <f>IFERROR(O1579/N1579,0)</f>
        <v/>
      </c>
      <c r="T1579" t="n">
        <v>0</v>
      </c>
      <c r="V1579" t="n">
        <v>0</v>
      </c>
    </row>
    <row r="1580">
      <c r="A1580">
        <f>Skills!A24</f>
        <v/>
      </c>
      <c r="B1580">
        <f>Skills!B24</f>
        <v/>
      </c>
      <c r="C1580">
        <f>Inputs!$B$3&gt;=107</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IF(B1595=0,0,O1580/B1595)</f>
        <v/>
      </c>
      <c r="Q1580">
        <f>IFERROR(1/(IF(Inputs!$B$38="pvp",15,MAX(0.1,Skills!D24-IF(TRUE=TRUE,Inputs!$B$32,0)))*(1-IF(AND(ArtifactsInput!$M$27,Inputs!$B$4="Chapter Hunt"),CHOOSE(ArtifactsInput!$N$27+1,20,24,28,32,36,40),0)/100)),0)</f>
        <v/>
      </c>
      <c r="R1580">
        <f>IF(AND(Inputs!$B$38&lt;&gt;"pvp",Inputs!$B$43&gt;0),IF(Inputs!$B$43&lt;=0,0,(INT(Inputs!$B$43/(IF(Inputs!$B$38="pvp",15,MAX(0.1,Skills!D24-IF(TRUE=TRUE,Inputs!$B$32,0)))*(1-IF(AND(ArtifactsInput!$M$27,Inputs!$B$4="Chapter Hunt"),CHOOSE(ArtifactsInput!$N$27+1,20,24,28,32,36,40),0)/100)))+1)),0)</f>
        <v/>
      </c>
      <c r="S1580">
        <f>IFERROR(O1580/N1580,0)</f>
        <v/>
      </c>
      <c r="T1580" t="n">
        <v>0</v>
      </c>
      <c r="V1580" t="n">
        <v>0</v>
      </c>
    </row>
    <row r="1581">
      <c r="A1581">
        <f>Skills!A25</f>
        <v/>
      </c>
      <c r="B1581">
        <f>Skills!B25</f>
        <v/>
      </c>
      <c r="C1581">
        <f>Inputs!$B$3&gt;=110</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t="inlineStr"/>
      <c r="H1581" t="inlineStr"/>
      <c r="I1581" t="inlineStr">
        <is>
          <t>1</t>
        </is>
      </c>
      <c r="J1581" t="inlineStr"/>
      <c r="K1581" t="inlineStr"/>
      <c r="L1581" t="inlineStr"/>
      <c r="M1581" t="inlineStr"/>
      <c r="N1581" t="inlineStr"/>
      <c r="O1581" t="inlineStr"/>
      <c r="P1581" t="inlineStr"/>
      <c r="Q1581" t="inlineStr"/>
      <c r="R1581" t="inlineStr"/>
      <c r="S1581" t="inlineStr"/>
      <c r="T1581" t="inlineStr"/>
      <c r="V1581" t="inlineStr"/>
    </row>
    <row r="1582">
      <c r="A1582">
        <f>Skills!A26</f>
        <v/>
      </c>
      <c r="B1582">
        <f>Skills!B26</f>
        <v/>
      </c>
      <c r="C1582">
        <f>Inputs!$B$3&gt;=117</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4">
      <c r="A1584" t="inlineStr">
        <is>
          <t>Attack% Bucket Multiplier</t>
        </is>
      </c>
      <c r="B1584">
        <f>(1+(((C1569=TRUE)*F1569*5/7)+((C1575=TRUE)*(F1575-Calc!F19))+(IF(ArtifactsInput!$M$21,CHOOSE(ArtifactsInput!$N$21+1,25,30,35,40,45,50)*(IF(OR(Inputs!$B$4="Chapter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5">
      <c r="A1585" t="inlineStr">
        <is>
          <t>Global Crit Rate Bonus %</t>
        </is>
      </c>
      <c r="B1585" t="n">
        <v>0</v>
      </c>
    </row>
    <row r="1586">
      <c r="A1586" t="inlineStr">
        <is>
          <t>Attack Speed Buff Bonus % (Nimble Feet + Speed Infusion, duty-cycle averaged)</t>
        </is>
      </c>
      <c r="B1586">
        <f>((C1579=TRUE)*F1579*IF(AND(Inputs!$B$38&lt;&gt;"pvp",Inputs!$B$43&gt;0),(((R1579-1)*MIN((Skills!T23*(1+Inputs!$B$34/100)),(1/Q1579))+MIN((Skills!T23*(1+Inputs!$B$34/100)),MAX(0,Inputs!$B$43-((R1579-1)*(1/Q1579)))))/Inputs!$B$43),IF(Inputs!$B$38="pvp",MIN((Skills!T23*(1+Inputs!$B$34/100)),15)/15,MIN(1,(Skills!T23*(1+Inputs!$B$34/100))/(1/Q1579)))))+((C1580=TRUE)*F1580*IF(AND(Inputs!$B$38&lt;&gt;"pvp",Inputs!$B$43&gt;0),(((R1580-1)*MIN((Skills!T24*(1+Inputs!$B$34/100)),(1/Q1580))+MIN((Skills!T24*(1+Inputs!$B$34/100)),MAX(0,Inputs!$B$43-((R1580-1)*(1/Q1580)))))/Inputs!$B$43),IF(Inputs!$B$38="pvp",MIN((Skills!T24*(1+Inputs!$B$34/100)),15)/15,MIN(1,(Skills!T24*(1+Inputs!$B$34/100))/(1/Q1580)))))</f>
        <v/>
      </c>
    </row>
    <row r="1587">
      <c r="A1587" t="inlineStr">
        <is>
          <t>Actions Per Second</t>
        </is>
      </c>
      <c r="B1587">
        <f>1+MIN(150,150*(1-(1-(Inputs!$B$11+((C1573=TRUE)*(F1573-Calc!F17))+((C1574=TRUE)*(F1574-Calc!F18)))/150)*(1-B1586/150)))/100</f>
        <v/>
      </c>
    </row>
    <row r="1588">
      <c r="A1588" t="inlineStr">
        <is>
          <t>Skill + Buff Cast Rate</t>
        </is>
      </c>
      <c r="B1588">
        <f>IF(AND(Inputs!$B$38&lt;&gt;"pvp",Inputs!$B$43&gt;0),SUMPRODUCT((Skills!E2:E26=TRUE)*(C1558:C1582=TRUE)*R1558:R1582*Skills!F2:F26)/Inputs!$B$43,SUMPRODUCT((Skills!E2:E26=TRUE)*(C1558:C1582=TRUE)*Q1558:Q1582*Skills!F2:F26))</f>
        <v/>
      </c>
    </row>
    <row r="1589">
      <c r="A1589" t="inlineStr">
        <is>
          <t>Hook Bomber Casts Per Second</t>
        </is>
      </c>
      <c r="B1589">
        <f>MAX(0,B1587-B1588)</f>
        <v/>
      </c>
    </row>
    <row r="1590">
      <c r="A1590" t="inlineStr">
        <is>
          <t>Global Critical Damage Bonus % (unused)</t>
        </is>
      </c>
      <c r="B1590" t="n">
        <v>0</v>
      </c>
    </row>
    <row r="1591">
      <c r="A1591" t="inlineStr">
        <is>
          <t>Global Final Damage Bonus % (Serpent Scale + Crossbones + Time Leap + Speed Infusion)</t>
        </is>
      </c>
      <c r="B1591">
        <f>((C1561=TRUE)*(F1561*B1597+4*(1-B1597)))+((C1570=TRUE)*F1570*IF(AND(Inputs!$B$38&lt;&gt;"pvp",Inputs!$B$43&gt;0),(((R1570-1)*MIN((Skills!T14*(1+Inputs!$B$34/100)),(1/Q1570))+MIN((Skills!T14*(1+Inputs!$B$34/100)),MAX(0,Inputs!$B$43-((R1570-1)*(1/Q1570)))))/Inputs!$B$43),IF(Inputs!$B$38="pvp",MIN((Skills!T14*(1+Inputs!$B$34/100)),15)/15,MIN(1,(Skills!T14*(1+Inputs!$B$34/100))/(1/Q1570)))))+((C1571=TRUE)*F1571*IF(AND(Inputs!$B$38&lt;&gt;"pvp",Inputs!$B$43&gt;0),(((R1571-1)*MIN((Skills!T15*(1+Inputs!$B$34/100)),(1/Q1571))+MIN((Skills!T15*(1+Inputs!$B$34/100)),MAX(0,Inputs!$B$43-((R1571-1)*(1/Q1571)))))/Inputs!$B$43),IF(Inputs!$B$38="pvp",MIN((Skills!T15*(1+Inputs!$B$34/100)),15)/15,MIN(1,(Skills!T15*(1+Inputs!$B$34/100))/(1/Q1571)))))+((C1580=TRUE)*20*((1+MIN(150,150*(1-(1-(Inputs!$B$11+((C1573=TRUE)*(F1573-Calc!F17))+((C1574=TRUE)*(F1574-Calc!F18)))/150)*(1-(((C1579=TRUE)*F1579*IF(AND(Inputs!$B$38&lt;&gt;"pvp",Inputs!$B$43&gt;0),(((R1579-1)*MIN((Skills!T23*(1+Inputs!$B$34/100)),(1/Q1579))+MIN((Skills!T23*(1+Inputs!$B$34/100)),MAX(0,Inputs!$B$43-((R1579-1)*(1/Q1579)))))/Inputs!$B$43),IF(Inputs!$B$38="pvp",MIN((Skills!T23*(1+Inputs!$B$34/100)),15)/15,MIN(1,(Skills!T23*(1+Inputs!$B$34/100))/(1/Q1579)))))+F1580)/150)))/100)-1)*IF(AND(Inputs!$B$38&lt;&gt;"pvp",Inputs!$B$43&gt;0),(((R1580-1)*MIN((Skills!T24*(1+Inputs!$B$34/100)),(1/Q1580))+MIN((Skills!T24*(1+Inputs!$B$34/100)),MAX(0,Inputs!$B$43-((R1580-1)*(1/Q1580)))))/Inputs!$B$43),IF(Inputs!$B$38="pvp",MIN((Skills!T24*(1+Inputs!$B$34/100)),15)/15,MIN(1,(Skills!T24*(1+Inputs!$B$34/100))/(1/Q1580)))))</f>
        <v/>
      </c>
    </row>
    <row r="1592">
      <c r="A1592" t="inlineStr">
        <is>
          <t>Buff-Casting Startup Delay (s, fixed-duration only)</t>
        </is>
      </c>
      <c r="B1592">
        <f>IF(AND(Inputs!$B$38&lt;&gt;"pvp",Inputs!$B$43&gt;0),SUMPRODUCT((Skills!T2:T26&gt;0)*(Skills!E2:E26=TRUE)*(C1558:C1582=TRUE))/B1587,0)</f>
        <v/>
      </c>
    </row>
    <row r="1593">
      <c r="A1593" t="inlineStr">
        <is>
          <t>Boss-Only Total DPS (this block's swept value)</t>
        </is>
      </c>
      <c r="B1593">
        <f>SUM(T1558:T1582)</f>
        <v/>
      </c>
    </row>
    <row r="1594">
      <c r="A1594" t="inlineStr">
        <is>
          <t>Normal-Only Total DPS (this block's swept value)</t>
        </is>
      </c>
      <c r="B1594">
        <f>SUM(V1558:V1582)</f>
        <v/>
      </c>
    </row>
    <row r="1595">
      <c r="A1595" s="6" t="inlineStr">
        <is>
          <t>TOTAL DPS</t>
        </is>
      </c>
      <c r="B1595" s="6">
        <f>SUM(O1558:O1582)</f>
        <v/>
      </c>
    </row>
    <row r="1596">
      <c r="A1596" t="inlineStr">
        <is>
          <t>Serpent activation interval T (this block's own Hook Bomber rate)</t>
        </is>
      </c>
      <c r="B1596">
        <f>((1/Q1559)+IFERROR(0.5/B1589,0))</f>
        <v/>
      </c>
    </row>
    <row r="1597">
      <c r="A1597" t="inlineStr">
        <is>
          <t>Assault Mode uptime u (this block)</t>
        </is>
      </c>
      <c r="B1597">
        <f>IF(C1561=TRUE,(10+IF(Inputs!$B$3&gt;=94,5,0))/((10+IF(Inputs!$B$3&gt;=94,5,0))+IF(Inputs!$B$3&gt;=104,3,5)*B1596),0)</f>
        <v/>
      </c>
    </row>
    <row r="1598">
      <c r="A1598" t="inlineStr">
        <is>
          <t>Nautilus Strike - Final Attack trigger rate (this block's own Q/R)</t>
        </is>
      </c>
      <c r="B1598">
        <f>IF(AND(Inputs!$B$38&lt;&gt;"pvp",Inputs!$B$43&gt;0),(((C1562=TRUE)*R1562)+((C1563=TRUE)*R1563)+((C1566=TRUE)*R1566))/Inputs!$B$43,((C1562=TRUE)*Q1562)+((C1563=TRUE)*Q1563)+((C1566=TRUE)*Q1566))+B1589</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1621=TRUE)*(F1621-Calc!F20)),(Inputs!$B$23+0+(IF(ArtifactsInput!$M$15,CHOOSE(ArtifactsInput!$N$15+1,25,30,35,40,45,50)/100*(Inputs!$B$11-Inputs!$B$11),0))))/100+(Inputs!$B$23+0+(IF(ArtifactsInput!$M$15,CHOOSE(ArtifactsInput!$N$15+1,25,30,35,40,45,50)/100*(Inputs!$B$11-Inputs!$B$11),0)))/100)/2</f>
        <v/>
      </c>
      <c r="M1603">
        <f>L1603*(1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IF(B1640=0,0,O1603/B1640)</f>
        <v/>
      </c>
      <c r="Q1603" t="n">
        <v>0</v>
      </c>
      <c r="R1603" t="n">
        <v>0</v>
      </c>
      <c r="S1603">
        <f>IFERROR(O1603/N1603,0)</f>
        <v/>
      </c>
      <c r="T1603">
        <f>IF(C1603,(Skills!G2*N1603*B1634)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IF(C1603,(Skills!G2*N1603*B1634)*IF(Inputs!$B$38="pvp",1,(1+(Inputs!$B$21+Skills!Q2+(IF(ArtifactsInput!$M$33,CHOOSE(ArtifactsInput!$N$33+1,30,36,42,48,54,60),0))+(IF(AND(ArtifactsInput!$M$35,Inputs!$B$4&lt;&gt;"Chapter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Inputs!$B$3&gt;=35</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f>Skills!G3*IF(Skills!H3&gt;0,Skills!I3/Skills!H3,1)</f>
        <v/>
      </c>
      <c r="H1604">
        <f>1-(1-Skills!J3/100)^Skills!K3</f>
        <v/>
      </c>
      <c r="I1604" t="inlineStr">
        <is>
          <t>1</t>
        </is>
      </c>
      <c r="J1604">
        <f>((Inputs!$B$6*(1+Inputs!$B$7/100))+(((Inputs!$B$12*(1+Inputs!$B$13/100))-(Inputs!$B$12*(1+Inputs!$B$13/100)))+0.25*(Inputs!$B$14-Inputs!$B$14))*(1+Inputs!$B$7/100))*(F1604/100)</f>
        <v/>
      </c>
      <c r="K1604">
        <f>J1604*(1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1604)</f>
        <v/>
      </c>
      <c r="L1604">
        <f>K1604*(MIN(Inputs!$B$22+((C1621=TRUE)*(F1621-Calc!F20)),(Inputs!$B$23+0+(IF(ArtifactsInput!$M$15,CHOOSE(ArtifactsInput!$N$15+1,25,30,35,40,45,50)/100*(Inputs!$B$11-Inputs!$B$11),0))))/100+(Inputs!$B$23+0+(IF(ArtifactsInput!$M$15,CHOOSE(ArtifactsInput!$N$15+1,25,30,35,40,45,50)/100*(Inputs!$B$11-Inputs!$B$11),0)))/100)/2</f>
        <v/>
      </c>
      <c r="M1604">
        <f>L1604*(1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4">
        <f>L1604*(1-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1604*(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4">
        <f>(1-Summary!$B$11)*T1604+Summary!$B$11*V1604</f>
        <v/>
      </c>
      <c r="P1604">
        <f>IF(B1640=0,0,O1604/B1640)</f>
        <v/>
      </c>
      <c r="Q1604">
        <f>IFERROR(1/(IF(Inputs!$B$38="pvp",15,MAX(0.1,Skills!D3-IF(TRUE=TRUE,Inputs!$B$32,0)))*(1-IF(AND(ArtifactsInput!$M$27,Inputs!$B$4="Chapter Hunt"),CHOOSE(ArtifactsInput!$N$27+1,20,24,28,32,36,40),0)/100)),0)</f>
        <v/>
      </c>
      <c r="R1604">
        <f>IF(AND(Inputs!$B$38&lt;&gt;"pvp",Inputs!$B$43&gt;0),IF(MAX(0,Inputs!$B$43-B1637)&lt;=0,0,(INT(MAX(0,Inputs!$B$43-B1637)/(IF(Inputs!$B$38="pvp",15,MAX(0.1,Skills!D3-IF(TRUE=TRUE,Inputs!$B$32,0)))*(1-IF(AND(ArtifactsInput!$M$27,Inputs!$B$4="Chapter Hunt"),CHOOSE(ArtifactsInput!$N$27+1,20,24,28,32,36,40),0)/100)))+1)),0)</f>
        <v/>
      </c>
      <c r="S1604">
        <f>IFERROR(O1604/N1604,0)</f>
        <v/>
      </c>
      <c r="T1604">
        <f>IF(C1604,(Skills!G3*N1604*IF(C1605=TRUE,1-B1642,1)/B1641)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1604*(1-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1604*(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1604*(1-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1604*(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4">
        <f>INDEX(FactorTable!$B$2:$Y$301, MATCH(ROUND(MIN(300,MAX(1,U1603)),0), FactorTable!$A$2:$A$301,0), 22)</f>
        <v/>
      </c>
      <c r="V1604">
        <f>IF(C1604,(Skills!G3*N1604*IF(C1605=TRUE,1-B1642,1)/B1641)*IF(Inputs!$B$38="pvp",1,(1+(Inputs!$B$21+Skills!Q3+(IF(ArtifactsInput!$M$33,CHOOSE(ArtifactsInput!$N$33+1,30,36,42,48,54,60),0))+(IF(AND(ArtifactsInput!$M$35,Inputs!$B$4&lt;&gt;"Chapter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5">
      <c r="A1605">
        <f>Skills!A4</f>
        <v/>
      </c>
      <c r="B1605">
        <f>Skills!B4</f>
        <v/>
      </c>
      <c r="C1605">
        <f>Inputs!$B$3&gt;=69</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f>Skills!G4*IF(Skills!H4&gt;0,Skills!I4/Skills!H4,1)</f>
        <v/>
      </c>
      <c r="H1605">
        <f>1-(1-Skills!J4/100)^Skills!K4</f>
        <v/>
      </c>
      <c r="I1605" t="inlineStr">
        <is>
          <t>1</t>
        </is>
      </c>
      <c r="J1605">
        <f>((Inputs!$B$6*(1+Inputs!$B$7/100))+(((Inputs!$B$12*(1+Inputs!$B$13/100))-(Inputs!$B$12*(1+Inputs!$B$13/100)))+0.25*(Inputs!$B$14-Inputs!$B$14))*(1+Inputs!$B$7/100))*(F1605/100)</f>
        <v/>
      </c>
      <c r="K1605">
        <f>J1605*(1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1613=TRUE,F1613,0)/100)*(1+(IF(Skills!A4="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1605)</f>
        <v/>
      </c>
      <c r="L1605">
        <f>K1605*(MIN(Inputs!$B$22+((C1621=TRUE)*(F1621-Calc!F20)),(Inputs!$B$23+0+(IF(ArtifactsInput!$M$15,CHOOSE(ArtifactsInput!$N$15+1,25,30,35,40,45,50)/100*(Inputs!$B$11-Inputs!$B$11),0))))/100+(Inputs!$B$23+0+(IF(ArtifactsInput!$M$15,CHOOSE(ArtifactsInput!$N$15+1,25,30,35,40,45,50)/100*(Inputs!$B$11-Inputs!$B$11),0)))/100)/2</f>
        <v/>
      </c>
      <c r="M1605">
        <f>L1605*(1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5">
        <f>L1605*(1-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1605*(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5">
        <f>(1-Summary!$B$11)*T1605+Summary!$B$11*V1605</f>
        <v/>
      </c>
      <c r="P1605">
        <f>IF(B1640=0,0,O1605/B1640)</f>
        <v/>
      </c>
      <c r="Q1605" t="n">
        <v>0</v>
      </c>
      <c r="R1605" t="n">
        <v>0</v>
      </c>
      <c r="S1605">
        <f>IFERROR(O1605/N1605,0)</f>
        <v/>
      </c>
      <c r="T1605">
        <f>IF(C1605,(Skills!G4*N1605*B1642/B1641)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1605*(1-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1605*(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1605*(1-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1605*(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5">
        <f>290*U1604/1000</f>
        <v/>
      </c>
      <c r="V1605">
        <f>IF(C1605,(Skills!G4*N1605*B1642/B1641)*IF(Inputs!$B$38="pvp",1,(1+(Inputs!$B$21+Skills!Q4+(IF(ArtifactsInput!$M$33,CHOOSE(ArtifactsInput!$N$33+1,30,36,42,48,54,60),0))+(IF(AND(ArtifactsInput!$M$35,Inputs!$B$4&lt;&gt;"Chapter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6">
      <c r="A1606">
        <f>Skills!A5</f>
        <v/>
      </c>
      <c r="B1606">
        <f>Skills!B5</f>
        <v/>
      </c>
      <c r="C1606">
        <f>Inputs!$B$3&gt;=66</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t="inlineStr"/>
      <c r="K1606" t="inlineStr"/>
      <c r="L1606" t="inlineStr"/>
      <c r="M1606" t="inlineStr"/>
      <c r="N1606" t="inlineStr"/>
      <c r="O1606">
        <f>(1-Summary!$B$11)*T1606+Summary!$B$11*V1606</f>
        <v/>
      </c>
      <c r="P1606">
        <f>IF(B1640=0,0,O1606/B1640)</f>
        <v/>
      </c>
      <c r="Q1606" t="n">
        <v>0</v>
      </c>
      <c r="R1606" t="n">
        <v>0</v>
      </c>
      <c r="S1606">
        <f>IFERROR(O1606/N1606,0)</f>
        <v/>
      </c>
      <c r="T1606" t="n">
        <v>0</v>
      </c>
      <c r="V1606" t="n">
        <v>0</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1613=TRUE,F1613,0)/100)*(1+(IF(Skills!A6="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1621=TRUE)*(F1621-Calc!F20)),(Inputs!$B$23+0+(IF(ArtifactsInput!$M$15,CHOOSE(ArtifactsInput!$N$15+1,25,30,35,40,45,50)/100*(Inputs!$B$11-Inputs!$B$11),0))))/100+(Inputs!$B$23+0+(IF(ArtifactsInput!$M$15,CHOOSE(ArtifactsInput!$N$15+1,25,30,35,40,45,50)/100*(Inputs!$B$11-Inputs!$B$11),0)))/100)/2</f>
        <v/>
      </c>
      <c r="M1607">
        <f>L1607*(1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IF(B1640=0,0,O1607/B1640)</f>
        <v/>
      </c>
      <c r="Q1607">
        <f>IFERROR(1/(IF(Inputs!$B$38="pvp",15,MAX(0.1,Skills!D6-IF(TRUE=TRUE,Inputs!$B$32,0)))*(1-IF(AND(ArtifactsInput!$M$27,Inputs!$B$4="Chapter Hunt"),CHOOSE(ArtifactsInput!$N$27+1,20,24,28,32,36,40),0)/100)),0)</f>
        <v/>
      </c>
      <c r="R1607">
        <f>IF(AND(Inputs!$B$38&lt;&gt;"pvp",Inputs!$B$43&gt;0),IF(MAX(0,Inputs!$B$43-B1637)&lt;=0,0,(INT(MAX(0,Inputs!$B$43-B1637)/(IF(Inputs!$B$38="pvp",15,MAX(0.1,Skills!D6-IF(TRUE=TRUE,Inputs!$B$32,0)))*(1-IF(AND(ArtifactsInput!$M$27,Inputs!$B$4="Chapter Hunt"),CHOOSE(ArtifactsInput!$N$27+1,20,24,28,32,36,40),0)/100)))+1)),0)</f>
        <v/>
      </c>
      <c r="S1607">
        <f>IFERROR(O1607/N1607,0)</f>
        <v/>
      </c>
      <c r="T1607">
        <f>IF(C1607,(H1607*N1607*IF(AND(Inputs!$B$38&lt;&gt;"pvp",Inputs!$B$43&gt;0),((Skills!G6*((R1607-1)*IF(Skills!H6&gt;0,Skills!I6/Skills!H6,1)+IF(Skills!H6&gt;0,MIN(Skills!I6,MAX(0,MAX(0,Inputs!$B$43-B1637)-((R1607-1)*(IF(Inputs!$B$38="pvp",15,MAX(0.1,Skills!D6-IF(TRUE=TRUE,Inputs!$B$32,0)))*(1-IF(AND(ArtifactsInput!$M$27,Inputs!$B$4="Chapter Hunt"),CHOOSE(ArtifactsInput!$N$27+1,20,24,28,32,36,40),0)/100)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1637)-((R1607-1)*(IF(Inputs!$B$38="pvp",15,MAX(0.1,Skills!D6-IF(TRUE=TRUE,Inputs!$B$32,0)))*(1-IF(AND(ArtifactsInput!$M$27,Inputs!$B$4="Chapter Hunt"),CHOOSE(ArtifactsInput!$N$27+1,20,24,28,32,36,40),0)/100)))))/Skills!H6,1)))/Inputs!$B$43),G1607*Q1607))*IF(Inputs!$B$38="pvp",1,(1+(Inputs!$B$21+Skills!Q6+(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Inputs!$B$3&gt;=103</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1621=TRUE)*(F1621-Calc!F20)),(Inputs!$B$23+0+(IF(ArtifactsInput!$M$15,CHOOSE(ArtifactsInput!$N$15+1,25,30,35,40,45,50)/100*(Inputs!$B$11-Inputs!$B$11),0))))/100+(Inputs!$B$23+0+(IF(ArtifactsInput!$M$15,CHOOSE(ArtifactsInput!$N$15+1,25,30,35,40,45,50)/100*(Inputs!$B$11-Inputs!$B$11),0)))/100)/2</f>
        <v/>
      </c>
      <c r="M1608">
        <f>L1608*(1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IF(B1640=0,0,O1608/B1640)</f>
        <v/>
      </c>
      <c r="Q1608">
        <f>IFERROR(1/(IF(Inputs!$B$38="pvp",15,MAX(0.1,Skills!D7-IF(TRUE=TRUE,Inputs!$B$32,0)))*(1-IF(AND(ArtifactsInput!$M$27,Inputs!$B$4="Chapter Hunt"),CHOOSE(ArtifactsInput!$N$27+1,20,24,28,32,36,40),0)/100)),0)</f>
        <v/>
      </c>
      <c r="R1608">
        <f>IF(AND(Inputs!$B$38&lt;&gt;"pvp",Inputs!$B$43&gt;0),IF(MAX(0,Inputs!$B$43-B1637)&lt;=0,0,(INT(MAX(0,Inputs!$B$43-B1637)/(IF(Inputs!$B$38="pvp",15,MAX(0.1,Skills!D7-IF(TRUE=TRUE,Inputs!$B$32,0)))*(1-IF(AND(ArtifactsInput!$M$27,Inputs!$B$4="Chapter Hunt"),CHOOSE(ArtifactsInput!$N$27+1,20,24,28,32,36,40),0)/100)))+1)),0)</f>
        <v/>
      </c>
      <c r="S1608">
        <f>IFERROR(O1608/N1608,0)</f>
        <v/>
      </c>
      <c r="T1608">
        <f>IF(C1608,(H1608*N1608*IF(AND(Inputs!$B$38&lt;&gt;"pvp",Inputs!$B$43&gt;0),((Skills!G7*((R1608-1)*IF(Skills!H7&gt;0,Skills!I7/Skills!H7,1)+IF(Skills!H7&gt;0,MIN(Skills!I7,MAX(0,MAX(0,Inputs!$B$43-B1637)-((R1608-1)*(IF(Inputs!$B$38="pvp",15,MAX(0.1,Skills!D7-IF(TRUE=TRUE,Inputs!$B$32,0)))*(1-IF(AND(ArtifactsInput!$M$27,Inputs!$B$4="Chapter Hunt"),CHOOSE(ArtifactsInput!$N$27+1,20,24,28,32,36,40),0)/100)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1637)-((R1608-1)*(IF(Inputs!$B$38="pvp",15,MAX(0.1,Skills!D7-IF(TRUE=TRUE,Inputs!$B$32,0)))*(1-IF(AND(ArtifactsInput!$M$27,Inputs!$B$4="Chapter Hunt"),CHOOSE(ArtifactsInput!$N$27+1,20,24,28,32,36,40),0)/100)))))/Skills!H7,1)))/Inputs!$B$43),G1608*Q1608))*IF(Inputs!$B$38="pvp",1,(1+(Inputs!$B$21+Skills!Q7+(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Inputs!$B$3&gt;=117</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f>Skills!G8*IF(Skills!H8&gt;0,Skills!I8/Skills!H8,1)</f>
        <v/>
      </c>
      <c r="H1609">
        <f>1-(1-Skills!J8/100)^Skills!K8</f>
        <v/>
      </c>
      <c r="I1609" t="inlineStr">
        <is>
          <t>1</t>
        </is>
      </c>
      <c r="J1609">
        <f>((Inputs!$B$6*(1+Inputs!$B$7/100))+(((Inputs!$B$12*(1+Inputs!$B$13/100))-(Inputs!$B$12*(1+Inputs!$B$13/100)))+0.25*(Inputs!$B$14-Inputs!$B$14))*(1+Inputs!$B$7/100))*(F1609/100)</f>
        <v/>
      </c>
      <c r="K1609">
        <f>J1609*(1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1609)</f>
        <v/>
      </c>
      <c r="L1609">
        <f>K1609*(MIN(Inputs!$B$22+((C1621=TRUE)*(F1621-Calc!F20)),(Inputs!$B$23+0+(IF(ArtifactsInput!$M$15,CHOOSE(ArtifactsInput!$N$15+1,25,30,35,40,45,50)/100*(Inputs!$B$11-Inputs!$B$11),0))))/100+(Inputs!$B$23+0+(IF(ArtifactsInput!$M$15,CHOOSE(ArtifactsInput!$N$15+1,25,30,35,40,45,50)/100*(Inputs!$B$11-Inputs!$B$11),0)))/100)/2</f>
        <v/>
      </c>
      <c r="M1609">
        <f>L1609*(1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9">
        <f>L1609*(1-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1609*(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9">
        <f>(1-Summary!$B$11)*T1609+Summary!$B$11*V1609</f>
        <v/>
      </c>
      <c r="P1609">
        <f>IF(B1640=0,0,O1609/B1640)</f>
        <v/>
      </c>
      <c r="Q1609">
        <f>IFERROR(1/(IF(Inputs!$B$38="pvp",15,MAX(0.1,Skills!D8-IF(TRUE=TRUE,Inputs!$B$32,0)))*(1-IF(AND(ArtifactsInput!$M$27,Inputs!$B$4="Chapter Hunt"),CHOOSE(ArtifactsInput!$N$27+1,20,24,28,32,36,40),0)/100)),0)</f>
        <v/>
      </c>
      <c r="R1609">
        <f>IF(AND(Inputs!$B$38&lt;&gt;"pvp",Inputs!$B$43&gt;0),IF(MAX(0,Inputs!$B$43-B1637)&lt;=0,0,(INT(MAX(0,Inputs!$B$43-B1637)/(IF(Inputs!$B$38="pvp",15,MAX(0.1,Skills!D8-IF(TRUE=TRUE,Inputs!$B$32,0)))*(1-IF(AND(ArtifactsInput!$M$27,Inputs!$B$4="Chapter Hunt"),CHOOSE(ArtifactsInput!$N$27+1,20,24,28,32,36,40),0)/100)))+1)),0)</f>
        <v/>
      </c>
      <c r="S1609">
        <f>IFERROR(O1609/N1609,0)</f>
        <v/>
      </c>
      <c r="T1609">
        <f>IF(C1609,(H1609*N1609*IF(AND(Inputs!$B$38&lt;&gt;"pvp",Inputs!$B$43&gt;0),((Skills!G8*((R1609-1)*IF(Skills!H8&gt;0,Skills!I8/Skills!H8,1)+IF(Skills!H8&gt;0,MIN(Skills!I8,MAX(0,MAX(0,Inputs!$B$43-B1637)-((R1609-1)*(IF(Inputs!$B$38="pvp",15,MAX(0.1,Skills!D8-IF(TRUE=TRUE,Inputs!$B$32,0)))*(1-IF(AND(ArtifactsInput!$M$27,Inputs!$B$4="Chapter Hunt"),CHOOSE(ArtifactsInput!$N$27+1,20,24,28,32,36,40),0)/100)))))/Skills!H8,1)))/Inputs!$B$43),G1609*Q1609)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1609*(1-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1609*(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1609*(1-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1609*(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9">
        <f>IF(C1609,(H1609*N1609*IF(AND(Inputs!$B$38&lt;&gt;"pvp",Inputs!$B$43&gt;0),((Skills!G8*((R1609-1)*IF(Skills!H8&gt;0,Skills!I8/Skills!H8,1)+IF(Skills!H8&gt;0,MIN(Skills!I8,MAX(0,MAX(0,Inputs!$B$43-B1637)-((R1609-1)*(IF(Inputs!$B$38="pvp",15,MAX(0.1,Skills!D8-IF(TRUE=TRUE,Inputs!$B$32,0)))*(1-IF(AND(ArtifactsInput!$M$27,Inputs!$B$4="Chapter Hunt"),CHOOSE(ArtifactsInput!$N$27+1,20,24,28,32,36,40),0)/100)))))/Skills!H8,1)))/Inputs!$B$43),G1609*Q1609))*IF(Inputs!$B$38="pvp",1,(1+(Inputs!$B$21+Skills!Q8+(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0">
      <c r="A1610">
        <f>Skills!A9</f>
        <v/>
      </c>
      <c r="B1610">
        <f>Skills!B9</f>
        <v/>
      </c>
      <c r="C1610">
        <f>Inputs!$B$3&gt;=120</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B1642</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1621=TRUE)*(F1621-Calc!F20)),(Inputs!$B$23+0+(IF(ArtifactsInput!$M$15,CHOOSE(ArtifactsInput!$N$15+1,25,30,35,40,45,50)/100*(Inputs!$B$11-Inputs!$B$11),0))))/100+(Inputs!$B$23+0+(IF(ArtifactsInput!$M$15,CHOOSE(ArtifactsInput!$N$15+1,25,30,35,40,45,50)/100*(Inputs!$B$11-Inputs!$B$11),0)))/100)/2</f>
        <v/>
      </c>
      <c r="M1610">
        <f>L1610*(1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IF(B1640=0,0,O1610/B1640)</f>
        <v/>
      </c>
      <c r="Q1610">
        <f>IFERROR(1/(IF(Inputs!$B$38="pvp",15,MAX(0.1,Skills!D9-IF(TRUE=TRUE,Inputs!$B$32,0)))*(1-IF(AND(ArtifactsInput!$M$27,Inputs!$B$4="Chapter Hunt"),CHOOSE(ArtifactsInput!$N$27+1,20,24,28,32,36,40),0)/100)),0)</f>
        <v/>
      </c>
      <c r="R1610">
        <f>IF(AND(Inputs!$B$38&lt;&gt;"pvp",Inputs!$B$43&gt;0),IF(MAX(0,Inputs!$B$43-B1637)&lt;=0,0,(INT(MAX(0,Inputs!$B$43-B1637)/(IF(Inputs!$B$38="pvp",15,MAX(0.1,Skills!D9-IF(TRUE=TRUE,Inputs!$B$32,0)))*(1-IF(AND(ArtifactsInput!$M$27,Inputs!$B$4="Chapter Hunt"),CHOOSE(ArtifactsInput!$N$27+1,20,24,28,32,36,40),0)/100)))+1)),0)</f>
        <v/>
      </c>
      <c r="S1610">
        <f>IFERROR(O1610/N1610,0)</f>
        <v/>
      </c>
      <c r="T1610">
        <f>IF(C1610,(H1610*N1610*IF(AND(Inputs!$B$38&lt;&gt;"pvp",Inputs!$B$43&gt;0),((Skills!G9*((R1610-1)*IF(Skills!H9&gt;0,Skills!I9/Skills!H9,1)+IF(Skills!H9&gt;0,MIN(Skills!I9,MAX(0,MAX(0,Inputs!$B$43-B1637)-((R1610-1)*(IF(Inputs!$B$38="pvp",15,MAX(0.1,Skills!D9-IF(TRUE=TRUE,Inputs!$B$32,0)))*(1-IF(AND(ArtifactsInput!$M$27,Inputs!$B$4="Chapter Hunt"),CHOOSE(ArtifactsInput!$N$27+1,20,24,28,32,36,40),0)/100)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1637)-((R1610-1)*(IF(Inputs!$B$38="pvp",15,MAX(0.1,Skills!D9-IF(TRUE=TRUE,Inputs!$B$32,0)))*(1-IF(AND(ArtifactsInput!$M$27,Inputs!$B$4="Chapter Hunt"),CHOOSE(ArtifactsInput!$N$27+1,20,24,28,32,36,40),0)/100)))))/Skills!H9,1)))/Inputs!$B$43),G1610*Q1610))*IF(Inputs!$B$38="pvp",1,(1+(Inputs!$B$21+Skills!Q9+(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Inputs!$B$3&gt;=105</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1621=TRUE)*(F1621-Calc!F20)),(Inputs!$B$23+0+(IF(ArtifactsInput!$M$15,CHOOSE(ArtifactsInput!$N$15+1,25,30,35,40,45,50)/100*(Inputs!$B$11-Inputs!$B$11),0))))/100+(Inputs!$B$23+0+(IF(ArtifactsInput!$M$15,CHOOSE(ArtifactsInput!$N$15+1,25,30,35,40,45,50)/100*(Inputs!$B$11-Inputs!$B$11),0)))/100)/2</f>
        <v/>
      </c>
      <c r="M1611">
        <f>L1611*(1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IF(B1640=0,0,O1611/B1640)</f>
        <v/>
      </c>
      <c r="Q1611">
        <f>IFERROR(1/(IF(Inputs!$B$38="pvp",15,MAX(0.1,Skills!D10-IF(TRUE=TRUE,Inputs!$B$32,0)))*(1-IF(AND(ArtifactsInput!$M$27,Inputs!$B$4="Chapter Hunt"),CHOOSE(ArtifactsInput!$N$27+1,20,24,28,32,36,40),0)/100)),0)</f>
        <v/>
      </c>
      <c r="R1611">
        <f>IF(AND(Inputs!$B$38&lt;&gt;"pvp",Inputs!$B$43&gt;0),IF(MAX(0,Inputs!$B$43-B1637)&lt;=0,0,(INT(MAX(0,Inputs!$B$43-B1637)/(IF(Inputs!$B$38="pvp",15,MAX(0.1,Skills!D10-IF(TRUE=TRUE,Inputs!$B$32,0)))*(1-IF(AND(ArtifactsInput!$M$27,Inputs!$B$4="Chapter Hunt"),CHOOSE(ArtifactsInput!$N$27+1,20,24,28,32,36,40),0)/100)))+1)),0)</f>
        <v/>
      </c>
      <c r="S1611">
        <f>IFERROR(O1611/N1611,0)</f>
        <v/>
      </c>
      <c r="T1611">
        <f>IF(C1611,(H1611*N1611*IF(AND(Inputs!$B$38&lt;&gt;"pvp",Inputs!$B$43&gt;0),((Skills!G10*((R1611-1)*IF(Skills!H10&gt;0,Skills!I10/Skills!H10,1)+IF(Skills!H10&gt;0,MIN(Skills!I10,MAX(0,MAX(0,Inputs!$B$43-B1637)-((R1611-1)*(IF(Inputs!$B$38="pvp",15,MAX(0.1,Skills!D10-IF(TRUE=TRUE,Inputs!$B$32,0)))*(1-IF(AND(ArtifactsInput!$M$27,Inputs!$B$4="Chapter Hunt"),CHOOSE(ArtifactsInput!$N$27+1,20,24,28,32,36,40),0)/100)))))/Skills!H10,1)))/Inputs!$B$43),G1611*Q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H1611*N1611*IF(AND(Inputs!$B$38&lt;&gt;"pvp",Inputs!$B$43&gt;0),((Skills!G10*((R1611-1)*IF(Skills!H10&gt;0,Skills!I10/Skills!H10,1)+IF(Skills!H10&gt;0,MIN(Skills!I10,MAX(0,MAX(0,Inputs!$B$43-B1637)-((R1611-1)*(IF(Inputs!$B$38="pvp",15,MAX(0.1,Skills!D10-IF(TRUE=TRUE,Inputs!$B$32,0)))*(1-IF(AND(ArtifactsInput!$M$27,Inputs!$B$4="Chapter Hunt"),CHOOSE(ArtifactsInput!$N$27+1,20,24,28,32,36,40),0)/100)))))/Skills!H10,1)))/Inputs!$B$43),G1611*Q1611))*IF(Inputs!$B$38="pvp",1,(1+(Inputs!$B$21+Skills!Q10+(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Inputs!$B$3&gt;=113</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1621=TRUE)*(F1621-Calc!F20)),(Inputs!$B$23+0+(IF(ArtifactsInput!$M$15,CHOOSE(ArtifactsInput!$N$15+1,25,30,35,40,45,50)/100*(Inputs!$B$11-Inputs!$B$11),0))))/100+(Inputs!$B$23+0+(IF(ArtifactsInput!$M$15,CHOOSE(ArtifactsInput!$N$15+1,25,30,35,40,45,50)/100*(Inputs!$B$11-Inputs!$B$11),0)))/100)/2</f>
        <v/>
      </c>
      <c r="M1612">
        <f>L1612*(1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IF(B1640=0,0,O1612/B1640)</f>
        <v/>
      </c>
      <c r="Q1612" t="n">
        <v>0</v>
      </c>
      <c r="R1612" t="n">
        <v>0</v>
      </c>
      <c r="S1612">
        <f>IFERROR(O1612/N1612,0)</f>
        <v/>
      </c>
      <c r="T1612">
        <f>IF(C1612,((H1612*B1643)/(1+Skills!H11*H1612*B1643)*N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IF(C1612,((H1612*B1643)/(1+Skills!H11*H1612*B1643)*N1612)*IF(Inputs!$B$38="pvp",1,(1+(Inputs!$B$21+Skills!Q11+(IF(ArtifactsInput!$M$33,CHOOSE(ArtifactsInput!$N$33+1,30,36,42,48,54,60),0))+(IF(AND(ArtifactsInput!$M$35,Inputs!$B$4&lt;&gt;"Chapter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Inputs!$B$3&gt;=100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t="inlineStr"/>
      <c r="H1613" t="inlineStr"/>
      <c r="I1613" t="inlineStr">
        <is>
          <t>1</t>
        </is>
      </c>
      <c r="J1613" t="inlineStr"/>
      <c r="K1613" t="inlineStr"/>
      <c r="L1613" t="inlineStr"/>
      <c r="M1613" t="inlineStr"/>
      <c r="N1613" t="inlineStr"/>
      <c r="O1613" t="inlineStr"/>
      <c r="P1613" t="inlineStr"/>
      <c r="Q1613" t="inlineStr"/>
      <c r="R1613" t="inlineStr"/>
      <c r="S1613" t="inlineStr"/>
      <c r="T1613" t="inlineStr"/>
      <c r="V1613" t="inlineStr"/>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IF(B1640=0,0,O1614/B1640)</f>
        <v/>
      </c>
      <c r="Q1614" t="n">
        <v>0</v>
      </c>
      <c r="R1614" t="n">
        <v>0</v>
      </c>
      <c r="S1614">
        <f>IFERROR(O1614/N1614,0)</f>
        <v/>
      </c>
      <c r="T1614" t="n">
        <v>0</v>
      </c>
      <c r="V1614" t="n">
        <v>0</v>
      </c>
    </row>
    <row r="1615">
      <c r="A1615">
        <f>Skills!A14</f>
        <v/>
      </c>
      <c r="B1615">
        <f>Skills!B14</f>
        <v/>
      </c>
      <c r="C1615">
        <f>Inputs!$B$3&gt;=115</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IF(B1640=0,0,O1615/B1640)</f>
        <v/>
      </c>
      <c r="Q1615">
        <f>IFERROR(1/(IF(Inputs!$B$38="pvp",15,MAX(0.1,Skills!D14-IF(TRUE=TRUE,Inputs!$B$32,0)))*(1-IF(AND(ArtifactsInput!$M$27,Inputs!$B$4="Chapter Hunt"),CHOOSE(ArtifactsInput!$N$27+1,20,24,28,32,36,40),0)/100)),0)</f>
        <v/>
      </c>
      <c r="R1615">
        <f>IF(AND(Inputs!$B$38&lt;&gt;"pvp",Inputs!$B$43&gt;0),IF(Inputs!$B$43&lt;=0,0,(INT(Inputs!$B$43/(IF(Inputs!$B$38="pvp",15,MAX(0.1,Skills!D14-IF(TRUE=TRUE,Inputs!$B$32,0)))*(1-IF(AND(ArtifactsInput!$M$27,Inputs!$B$4="Chapter Hunt"),CHOOSE(ArtifactsInput!$N$27+1,20,24,28,32,36,40),0)/100)))+1)),0)</f>
        <v/>
      </c>
      <c r="S1615">
        <f>IFERROR(O1615/N1615,0)</f>
        <v/>
      </c>
      <c r="T1615" t="n">
        <v>0</v>
      </c>
      <c r="V1615" t="n">
        <v>0</v>
      </c>
    </row>
    <row r="1616">
      <c r="A1616">
        <f>Skills!A15</f>
        <v/>
      </c>
      <c r="B1616">
        <f>Skills!B15</f>
        <v/>
      </c>
      <c r="C1616">
        <f>Inputs!$B$3&gt;=125</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IF(B1640=0,0,O1616/B1640)</f>
        <v/>
      </c>
      <c r="Q1616">
        <f>IFERROR(1/(IF(Inputs!$B$38="pvp",15,MAX(0.1,Skills!D15-IF(TRUE=TRUE,Inputs!$B$32,0)))*(1-IF(AND(ArtifactsInput!$M$27,Inputs!$B$4="Chapter Hunt"),CHOOSE(ArtifactsInput!$N$27+1,20,24,28,32,36,40),0)/100)),0)</f>
        <v/>
      </c>
      <c r="R1616">
        <f>IF(AND(Inputs!$B$38&lt;&gt;"pvp",Inputs!$B$43&gt;0),IF(Inputs!$B$43&lt;=0,0,(INT(Inputs!$B$43/(IF(Inputs!$B$38="pvp",15,MAX(0.1,Skills!D15-IF(TRUE=TRUE,Inputs!$B$32,0)))*(1-IF(AND(ArtifactsInput!$M$27,Inputs!$B$4="Chapter Hunt"),CHOOSE(ArtifactsInput!$N$27+1,20,24,28,32,36,40),0)/100)))+1)),0)</f>
        <v/>
      </c>
      <c r="S1616">
        <f>IFERROR(O1616/N1616,0)</f>
        <v/>
      </c>
      <c r="T1616" t="n">
        <v>0</v>
      </c>
      <c r="V1616" t="n">
        <v>0</v>
      </c>
    </row>
    <row r="1617">
      <c r="A1617">
        <f>Skills!A16</f>
        <v/>
      </c>
      <c r="B1617">
        <f>Skills!B16</f>
        <v/>
      </c>
      <c r="C1617">
        <f>Inputs!$B$3&gt;=10</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IF(B1640=0,0,O1617/B1640)</f>
        <v/>
      </c>
      <c r="Q1617" t="n">
        <v>0</v>
      </c>
      <c r="R1617" t="n">
        <v>0</v>
      </c>
      <c r="S1617">
        <f>IFERROR(O1617/N1617,0)</f>
        <v/>
      </c>
      <c r="T1617" t="n">
        <v>0</v>
      </c>
      <c r="V1617" t="n">
        <v>0</v>
      </c>
    </row>
    <row r="1618">
      <c r="A1618">
        <f>Skills!A17</f>
        <v/>
      </c>
      <c r="B1618">
        <f>Skills!B17</f>
        <v/>
      </c>
      <c r="C1618">
        <f>Inputs!$B$3&gt;=15</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IF(B1640=0,0,O1618/B1640)</f>
        <v/>
      </c>
      <c r="Q1618" t="n">
        <v>0</v>
      </c>
      <c r="R1618" t="n">
        <v>0</v>
      </c>
      <c r="S1618">
        <f>IFERROR(O1618/N1618,0)</f>
        <v/>
      </c>
      <c r="T1618" t="n">
        <v>0</v>
      </c>
      <c r="V1618" t="n">
        <v>0</v>
      </c>
    </row>
    <row r="1619">
      <c r="A1619">
        <f>Skills!A18</f>
        <v/>
      </c>
      <c r="B1619">
        <f>Skills!B18</f>
        <v/>
      </c>
      <c r="C1619">
        <f>Inputs!$B$3&gt;=33</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IF(B1640=0,0,O1619/B1640)</f>
        <v/>
      </c>
      <c r="Q1619" t="n">
        <v>0</v>
      </c>
      <c r="R1619" t="n">
        <v>0</v>
      </c>
      <c r="S1619">
        <f>IFERROR(O1619/N1619,0)</f>
        <v/>
      </c>
      <c r="T1619" t="n">
        <v>0</v>
      </c>
      <c r="V1619" t="n">
        <v>0</v>
      </c>
    </row>
    <row r="1620">
      <c r="A1620">
        <f>Skills!A19</f>
        <v/>
      </c>
      <c r="B1620">
        <f>Skills!B19</f>
        <v/>
      </c>
      <c r="C1620">
        <f>Inputs!$B$3&gt;=40</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IF(B1640=0,0,O1620/B1640)</f>
        <v/>
      </c>
      <c r="Q1620" t="n">
        <v>0</v>
      </c>
      <c r="R1620" t="n">
        <v>0</v>
      </c>
      <c r="S1620">
        <f>IFERROR(O1620/N1620,0)</f>
        <v/>
      </c>
      <c r="T1620" t="n">
        <v>0</v>
      </c>
      <c r="V1620" t="n">
        <v>0</v>
      </c>
    </row>
    <row r="1621">
      <c r="A1621">
        <f>Skills!A20</f>
        <v/>
      </c>
      <c r="B1621">
        <f>Skills!B20</f>
        <v/>
      </c>
      <c r="C1621">
        <f>Inputs!$B$3&gt;=43</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IF(B1640=0,0,O1621/B1640)</f>
        <v/>
      </c>
      <c r="Q1621" t="n">
        <v>0</v>
      </c>
      <c r="R1621" t="n">
        <v>0</v>
      </c>
      <c r="S1621">
        <f>IFERROR(O1621/N1621,0)</f>
        <v/>
      </c>
      <c r="T1621" t="n">
        <v>0</v>
      </c>
      <c r="V1621" t="n">
        <v>0</v>
      </c>
    </row>
    <row r="1622">
      <c r="A1622">
        <f>Skills!A21</f>
        <v/>
      </c>
      <c r="B1622">
        <f>Skills!B21</f>
        <v/>
      </c>
      <c r="C1622">
        <f>Inputs!$B$3&gt;=38</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IF(B1640=0,0,O1622/B1640)</f>
        <v/>
      </c>
      <c r="Q1622" t="n">
        <v>0</v>
      </c>
      <c r="R1622" t="n">
        <v>0</v>
      </c>
      <c r="S1622">
        <f>IFERROR(O1622/N1622,0)</f>
        <v/>
      </c>
      <c r="T1622" t="n">
        <v>0</v>
      </c>
      <c r="V1622" t="n">
        <v>0</v>
      </c>
    </row>
    <row r="1623">
      <c r="A1623">
        <f>Skills!A22</f>
        <v/>
      </c>
      <c r="B1623">
        <f>Skills!B22</f>
        <v/>
      </c>
      <c r="C1623">
        <f>Inputs!$B$3&gt;=75</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IF(B1640=0,0,O1623/B1640)</f>
        <v/>
      </c>
      <c r="Q1623" t="n">
        <v>0</v>
      </c>
      <c r="R1623" t="n">
        <v>0</v>
      </c>
      <c r="S1623">
        <f>IFERROR(O1623/N1623,0)</f>
        <v/>
      </c>
      <c r="T1623" t="n">
        <v>0</v>
      </c>
      <c r="V1623" t="n">
        <v>0</v>
      </c>
    </row>
    <row r="1624">
      <c r="A1624">
        <f>Skills!A23</f>
        <v/>
      </c>
      <c r="B1624">
        <f>Skills!B23</f>
        <v/>
      </c>
      <c r="C1624">
        <f>TRUE</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IF(B1640=0,0,O1624/B1640)</f>
        <v/>
      </c>
      <c r="Q1624">
        <f>IFERROR(1/(IF(Inputs!$B$38="pvp",15,MAX(0.1,Skills!D23-IF(TRUE=TRUE,Inputs!$B$32,0)))*(1-IF(AND(ArtifactsInput!$M$27,Inputs!$B$4="Chapter Hunt"),CHOOSE(ArtifactsInput!$N$27+1,20,24,28,32,36,40),0)/100)),0)</f>
        <v/>
      </c>
      <c r="R1624">
        <f>IF(AND(Inputs!$B$38&lt;&gt;"pvp",Inputs!$B$43&gt;0),IF(Inputs!$B$43&lt;=0,0,(INT(Inputs!$B$43/(IF(Inputs!$B$38="pvp",15,MAX(0.1,Skills!D23-IF(TRUE=TRUE,Inputs!$B$32,0)))*(1-IF(AND(ArtifactsInput!$M$27,Inputs!$B$4="Chapter Hunt"),CHOOSE(ArtifactsInput!$N$27+1,20,24,28,32,36,40),0)/100)))+1)),0)</f>
        <v/>
      </c>
      <c r="S1624">
        <f>IFERROR(O1624/N1624,0)</f>
        <v/>
      </c>
      <c r="T1624" t="n">
        <v>0</v>
      </c>
      <c r="V1624" t="n">
        <v>0</v>
      </c>
    </row>
    <row r="1625">
      <c r="A1625">
        <f>Skills!A24</f>
        <v/>
      </c>
      <c r="B1625">
        <f>Skills!B24</f>
        <v/>
      </c>
      <c r="C1625">
        <f>Inputs!$B$3&gt;=107</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IF(B1640=0,0,O1625/B1640)</f>
        <v/>
      </c>
      <c r="Q1625">
        <f>IFERROR(1/(IF(Inputs!$B$38="pvp",15,MAX(0.1,Skills!D24-IF(TRUE=TRUE,Inputs!$B$32,0)))*(1-IF(AND(ArtifactsInput!$M$27,Inputs!$B$4="Chapter Hunt"),CHOOSE(ArtifactsInput!$N$27+1,20,24,28,32,36,40),0)/100)),0)</f>
        <v/>
      </c>
      <c r="R1625">
        <f>IF(AND(Inputs!$B$38&lt;&gt;"pvp",Inputs!$B$43&gt;0),IF(Inputs!$B$43&lt;=0,0,(INT(Inputs!$B$43/(IF(Inputs!$B$38="pvp",15,MAX(0.1,Skills!D24-IF(TRUE=TRUE,Inputs!$B$32,0)))*(1-IF(AND(ArtifactsInput!$M$27,Inputs!$B$4="Chapter Hunt"),CHOOSE(ArtifactsInput!$N$27+1,20,24,28,32,36,40),0)/100)))+1)),0)</f>
        <v/>
      </c>
      <c r="S1625">
        <f>IFERROR(O1625/N1625,0)</f>
        <v/>
      </c>
      <c r="T1625" t="n">
        <v>0</v>
      </c>
      <c r="V1625" t="n">
        <v>0</v>
      </c>
    </row>
    <row r="1626">
      <c r="A1626">
        <f>Skills!A25</f>
        <v/>
      </c>
      <c r="B1626">
        <f>Skills!B25</f>
        <v/>
      </c>
      <c r="C1626">
        <f>Inputs!$B$3&gt;=110</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V1626" t="inlineStr"/>
    </row>
    <row r="1627">
      <c r="A1627">
        <f>Skills!A26</f>
        <v/>
      </c>
      <c r="B1627">
        <f>Skills!B26</f>
        <v/>
      </c>
      <c r="C1627">
        <f>Inputs!$B$3&gt;=117</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t="inlineStr"/>
      <c r="H1627" t="inlineStr"/>
      <c r="I1627" t="inlineStr">
        <is>
          <t>1</t>
        </is>
      </c>
      <c r="J1627" t="inlineStr"/>
      <c r="K1627" t="inlineStr"/>
      <c r="L1627" t="inlineStr"/>
      <c r="M1627" t="inlineStr"/>
      <c r="N1627" t="inlineStr"/>
      <c r="O1627" t="inlineStr"/>
      <c r="P1627" t="inlineStr"/>
      <c r="Q1627" t="inlineStr"/>
      <c r="R1627" t="inlineStr"/>
      <c r="S1627" t="inlineStr"/>
      <c r="T1627" t="inlineStr"/>
      <c r="V1627" t="inlineStr"/>
    </row>
    <row r="1629">
      <c r="A1629" t="inlineStr">
        <is>
          <t>Attack% Bucket Multiplier</t>
        </is>
      </c>
      <c r="B1629">
        <f>(1+(((C1614=TRUE)*F1614*5/7)+((C1620=TRUE)*(F1620-Calc!F19))+(IF(ArtifactsInput!$M$21,CHOOSE(ArtifactsInput!$N$21+1,25,30,35,40,45,50)*(IF(OR(Inputs!$B$4="Chapter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0">
      <c r="A1630" t="inlineStr">
        <is>
          <t>Global Crit Rate Bonus %</t>
        </is>
      </c>
      <c r="B1630" t="n">
        <v>0</v>
      </c>
    </row>
    <row r="1631">
      <c r="A1631" t="inlineStr">
        <is>
          <t>Attack Speed Buff Bonus % (Nimble Feet + Speed Infusion, duty-cycle averaged)</t>
        </is>
      </c>
      <c r="B1631">
        <f>((C1624=TRUE)*F1624*IF(AND(Inputs!$B$38&lt;&gt;"pvp",Inputs!$B$43&gt;0),(((R1624-1)*MIN((Skills!T23*(1+Inputs!$B$34/100)),(1/Q1624))+MIN((Skills!T23*(1+Inputs!$B$34/100)),MAX(0,Inputs!$B$43-((R1624-1)*(1/Q1624)))))/Inputs!$B$43),IF(Inputs!$B$38="pvp",MIN((Skills!T23*(1+Inputs!$B$34/100)),15)/15,MIN(1,(Skills!T23*(1+Inputs!$B$34/100))/(1/Q1624)))))+((C1625=TRUE)*F1625*IF(AND(Inputs!$B$38&lt;&gt;"pvp",Inputs!$B$43&gt;0),(((R1625-1)*MIN((Skills!T24*(1+Inputs!$B$34/100)),(1/Q1625))+MIN((Skills!T24*(1+Inputs!$B$34/100)),MAX(0,Inputs!$B$43-((R1625-1)*(1/Q1625)))))/Inputs!$B$43),IF(Inputs!$B$38="pvp",MIN((Skills!T24*(1+Inputs!$B$34/100)),15)/15,MIN(1,(Skills!T24*(1+Inputs!$B$34/100))/(1/Q1625)))))</f>
        <v/>
      </c>
    </row>
    <row r="1632">
      <c r="A1632" t="inlineStr">
        <is>
          <t>Actions Per Second</t>
        </is>
      </c>
      <c r="B1632">
        <f>1+MIN(150,150*(1-(1-(Inputs!$B$11+((C1618=TRUE)*(F1618-Calc!F17))+((C1619=TRUE)*(F1619-Calc!F18)))/150)*(1-B1631/150)))/100</f>
        <v/>
      </c>
    </row>
    <row r="1633">
      <c r="A1633" t="inlineStr">
        <is>
          <t>Skill + Buff Cast Rate</t>
        </is>
      </c>
      <c r="B1633">
        <f>IF(AND(Inputs!$B$38&lt;&gt;"pvp",Inputs!$B$43&gt;0),SUMPRODUCT((Skills!E2:E26=TRUE)*(C1603:C1627=TRUE)*R1603:R1627*Skills!F2:F26)/Inputs!$B$43,SUMPRODUCT((Skills!E2:E26=TRUE)*(C1603:C1627=TRUE)*Q1603:Q1627*Skills!F2:F26))</f>
        <v/>
      </c>
    </row>
    <row r="1634">
      <c r="A1634" t="inlineStr">
        <is>
          <t>Hook Bomber Casts Per Second</t>
        </is>
      </c>
      <c r="B1634">
        <f>MAX(0,B1632-B1633)</f>
        <v/>
      </c>
    </row>
    <row r="1635">
      <c r="A1635" t="inlineStr">
        <is>
          <t>Global Critical Damage Bonus % (unused)</t>
        </is>
      </c>
      <c r="B1635" t="n">
        <v>0</v>
      </c>
    </row>
    <row r="1636">
      <c r="A1636" t="inlineStr">
        <is>
          <t>Global Final Damage Bonus % (Serpent Scale + Crossbones + Time Leap + Speed Infusion)</t>
        </is>
      </c>
      <c r="B1636">
        <f>((C1606=TRUE)*(F1606*B1642+4*(1-B1642)))+((C1615=TRUE)*F1615*IF(AND(Inputs!$B$38&lt;&gt;"pvp",Inputs!$B$43&gt;0),(((R1615-1)*MIN((Skills!T14*(1+Inputs!$B$34/100)),(1/Q1615))+MIN((Skills!T14*(1+Inputs!$B$34/100)),MAX(0,Inputs!$B$43-((R1615-1)*(1/Q1615)))))/Inputs!$B$43),IF(Inputs!$B$38="pvp",MIN((Skills!T14*(1+Inputs!$B$34/100)),15)/15,MIN(1,(Skills!T14*(1+Inputs!$B$34/100))/(1/Q1615)))))+((C1616=TRUE)*F1616*IF(AND(Inputs!$B$38&lt;&gt;"pvp",Inputs!$B$43&gt;0),(((R1616-1)*MIN((Skills!T15*(1+Inputs!$B$34/100)),(1/Q1616))+MIN((Skills!T15*(1+Inputs!$B$34/100)),MAX(0,Inputs!$B$43-((R1616-1)*(1/Q1616)))))/Inputs!$B$43),IF(Inputs!$B$38="pvp",MIN((Skills!T15*(1+Inputs!$B$34/100)),15)/15,MIN(1,(Skills!T15*(1+Inputs!$B$34/100))/(1/Q1616)))))+((C1625=TRUE)*20*((1+MIN(150,150*(1-(1-(Inputs!$B$11+((C1618=TRUE)*(F1618-Calc!F17))+((C1619=TRUE)*(F1619-Calc!F18)))/150)*(1-(((C1624=TRUE)*F1624*IF(AND(Inputs!$B$38&lt;&gt;"pvp",Inputs!$B$43&gt;0),(((R1624-1)*MIN((Skills!T23*(1+Inputs!$B$34/100)),(1/Q1624))+MIN((Skills!T23*(1+Inputs!$B$34/100)),MAX(0,Inputs!$B$43-((R1624-1)*(1/Q1624)))))/Inputs!$B$43),IF(Inputs!$B$38="pvp",MIN((Skills!T23*(1+Inputs!$B$34/100)),15)/15,MIN(1,(Skills!T23*(1+Inputs!$B$34/100))/(1/Q1624)))))+F1625)/150)))/100)-1)*IF(AND(Inputs!$B$38&lt;&gt;"pvp",Inputs!$B$43&gt;0),(((R1625-1)*MIN((Skills!T24*(1+Inputs!$B$34/100)),(1/Q1625))+MIN((Skills!T24*(1+Inputs!$B$34/100)),MAX(0,Inputs!$B$43-((R1625-1)*(1/Q1625)))))/Inputs!$B$43),IF(Inputs!$B$38="pvp",MIN((Skills!T24*(1+Inputs!$B$34/100)),15)/15,MIN(1,(Skills!T24*(1+Inputs!$B$34/100))/(1/Q1625)))))</f>
        <v/>
      </c>
    </row>
    <row r="1637">
      <c r="A1637" t="inlineStr">
        <is>
          <t>Buff-Casting Startup Delay (s, fixed-duration only)</t>
        </is>
      </c>
      <c r="B1637">
        <f>IF(AND(Inputs!$B$38&lt;&gt;"pvp",Inputs!$B$43&gt;0),SUMPRODUCT((Skills!T2:T26&gt;0)*(Skills!E2:E26=TRUE)*(C1603:C1627=TRUE))/B1632,0)</f>
        <v/>
      </c>
    </row>
    <row r="1638">
      <c r="A1638" t="inlineStr">
        <is>
          <t>Boss-Only Total DPS (this block's swept value)</t>
        </is>
      </c>
      <c r="B1638">
        <f>SUM(T1603:T1627)</f>
        <v/>
      </c>
    </row>
    <row r="1639">
      <c r="A1639" t="inlineStr">
        <is>
          <t>Normal-Only Total DPS (this block's swept value)</t>
        </is>
      </c>
      <c r="B1639">
        <f>SUM(V1603:V1627)</f>
        <v/>
      </c>
    </row>
    <row r="1640">
      <c r="A1640" s="6" t="inlineStr">
        <is>
          <t>TOTAL DPS</t>
        </is>
      </c>
      <c r="B1640" s="6">
        <f>SUM(O1603:O1627)</f>
        <v/>
      </c>
    </row>
    <row r="1641">
      <c r="A1641" t="inlineStr">
        <is>
          <t>Serpent activation interval T (this block's own Hook Bomber rate)</t>
        </is>
      </c>
      <c r="B1641">
        <f>((1/Q1604)+IFERROR(0.5/B1634,0))</f>
        <v/>
      </c>
    </row>
    <row r="1642">
      <c r="A1642" t="inlineStr">
        <is>
          <t>Assault Mode uptime u (this block)</t>
        </is>
      </c>
      <c r="B1642">
        <f>IF(C1606=TRUE,(10+IF(Inputs!$B$3&gt;=94,5,0))/((10+IF(Inputs!$B$3&gt;=94,5,0))+IF(Inputs!$B$3&gt;=104,3,5)*B1641),0)</f>
        <v/>
      </c>
    </row>
    <row r="1643">
      <c r="A1643" t="inlineStr">
        <is>
          <t>Nautilus Strike - Final Attack trigger rate (this block's own Q/R)</t>
        </is>
      </c>
      <c r="B1643">
        <f>IF(AND(Inputs!$B$38&lt;&gt;"pvp",Inputs!$B$43&gt;0),(((C1607=TRUE)*R1607)+((C1608=TRUE)*R1608)+((C1611=TRUE)*R1611))/Inputs!$B$43,((C1607=TRUE)*Q1607)+((C1608=TRUE)*Q1608)+((C1611=TRUE)*Q1611))+B1634</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48">
        <f>L1648*(1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IF(B1685=0,0,O1648/B1685)</f>
        <v/>
      </c>
      <c r="Q1648" t="n">
        <v>0</v>
      </c>
      <c r="R1648" t="n">
        <v>0</v>
      </c>
      <c r="S1648">
        <f>IFERROR(O1648/N1648,0)</f>
        <v/>
      </c>
      <c r="T1648">
        <f>IF(C1648,(Skills!G2*N1648*B1679)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IF(C1648,(Skills!G2*N1648*B1679)*IF(Inputs!$B$38="pvp",1,(1+(Inputs!$B$21+Skills!Q2+(IF(ArtifactsInput!$M$33,CHOOSE(ArtifactsInput!$N$33+1,30,36,42,48,54,60),0))+(IF(AND(ArtifactsInput!$M$35,Inputs!$B$4&lt;&gt;"Chapter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Inputs!$B$3&gt;=35</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f>Skills!G3*IF(Skills!H3&gt;0,Skills!I3/Skills!H3,1)</f>
        <v/>
      </c>
      <c r="H1649">
        <f>1-(1-Skills!J3/100)^Skills!K3</f>
        <v/>
      </c>
      <c r="I1649" t="inlineStr">
        <is>
          <t>1</t>
        </is>
      </c>
      <c r="J1649">
        <f>((Inputs!$B$6*(1+Inputs!$B$7/100))+(((Inputs!$B$12*(1+Inputs!$B$13/100))-(Inputs!$B$12*(1+Inputs!$B$13/100)))+0.25*(Inputs!$B$14-Inputs!$B$14))*(1+Inputs!$B$7/100))*(F1649/100)</f>
        <v/>
      </c>
      <c r="K1649">
        <f>J1649*(1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1671=TRUE,F1671,0)/100)*(1+(IF(Skills!A3="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1649)</f>
        <v/>
      </c>
      <c r="L1649">
        <f>K1649*(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49">
        <f>L1649*(1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9">
        <f>L1649*(1-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1649*(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9">
        <f>(1-Summary!$B$11)*T1649+Summary!$B$11*V1649</f>
        <v/>
      </c>
      <c r="P1649">
        <f>IF(B1685=0,0,O1649/B1685)</f>
        <v/>
      </c>
      <c r="Q1649">
        <f>IFERROR(1/(IF(Inputs!$B$38="pvp",15,MAX(0.1,Skills!D3-IF(TRUE=TRUE,Inputs!$B$32,0)))*(1-IF(AND(ArtifactsInput!$M$27,Inputs!$B$4="Chapter Hunt"),CHOOSE(ArtifactsInput!$N$27+1,20,24,28,32,36,40),0)/100)),0)</f>
        <v/>
      </c>
      <c r="R1649">
        <f>IF(AND(Inputs!$B$38&lt;&gt;"pvp",Inputs!$B$43&gt;0),IF(MAX(0,Inputs!$B$43-B1682)&lt;=0,0,(INT(MAX(0,Inputs!$B$43-B1682)/(IF(Inputs!$B$38="pvp",15,MAX(0.1,Skills!D3-IF(TRUE=TRUE,Inputs!$B$32,0)))*(1-IF(AND(ArtifactsInput!$M$27,Inputs!$B$4="Chapter Hunt"),CHOOSE(ArtifactsInput!$N$27+1,20,24,28,32,36,40),0)/100)))+1)),0)</f>
        <v/>
      </c>
      <c r="S1649">
        <f>IFERROR(O1649/N1649,0)</f>
        <v/>
      </c>
      <c r="T1649">
        <f>IF(C1649,(Skills!G3*N1649*IF(C1650=TRUE,1-B1687,1)/B1686)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1649*(1-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1649*(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1649*(1-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1649*(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9">
        <f>INDEX(FactorTable!$B$2:$Y$301, MATCH(ROUND(MIN(300,MAX(1,U1648)),0), FactorTable!$A$2:$A$301,0), 22)</f>
        <v/>
      </c>
      <c r="V1649">
        <f>IF(C1649,(Skills!G3*N1649*IF(C1650=TRUE,1-B1687,1)/B1686)*IF(Inputs!$B$38="pvp",1,(1+(Inputs!$B$21+Skills!Q3+(IF(ArtifactsInput!$M$33,CHOOSE(ArtifactsInput!$N$33+1,30,36,42,48,54,60),0))+(IF(AND(ArtifactsInput!$M$35,Inputs!$B$4&lt;&gt;"Chapter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0">
      <c r="A1650">
        <f>Skills!A4</f>
        <v/>
      </c>
      <c r="B1650">
        <f>Skills!B4</f>
        <v/>
      </c>
      <c r="C1650">
        <f>Inputs!$B$3&gt;=69</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f>Skills!G4*IF(Skills!H4&gt;0,Skills!I4/Skills!H4,1)</f>
        <v/>
      </c>
      <c r="H1650">
        <f>1-(1-Skills!J4/100)^Skills!K4</f>
        <v/>
      </c>
      <c r="I1650" t="inlineStr">
        <is>
          <t>1</t>
        </is>
      </c>
      <c r="J1650">
        <f>((Inputs!$B$6*(1+Inputs!$B$7/100))+(((Inputs!$B$12*(1+Inputs!$B$13/100))-(Inputs!$B$12*(1+Inputs!$B$13/100)))+0.25*(Inputs!$B$14-Inputs!$B$14))*(1+Inputs!$B$7/100))*(F1650/100)</f>
        <v/>
      </c>
      <c r="K1650">
        <f>J1650*(1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1658=TRUE,F1658,0)/100)*(1+(IF(Skills!A4="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1650)</f>
        <v/>
      </c>
      <c r="L1650">
        <f>K1650*(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0">
        <f>L1650*(1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0">
        <f>L1650*(1-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1650*(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0">
        <f>(1-Summary!$B$11)*T1650+Summary!$B$11*V1650</f>
        <v/>
      </c>
      <c r="P1650">
        <f>IF(B1685=0,0,O1650/B1685)</f>
        <v/>
      </c>
      <c r="Q1650" t="n">
        <v>0</v>
      </c>
      <c r="R1650" t="n">
        <v>0</v>
      </c>
      <c r="S1650">
        <f>IFERROR(O1650/N1650,0)</f>
        <v/>
      </c>
      <c r="T1650">
        <f>IF(C1650,(Skills!G4*N1650*B1687/B1686)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1650*(1-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1650*(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1650*(1-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1650*(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0">
        <f>290*U1649/1000</f>
        <v/>
      </c>
      <c r="V1650">
        <f>IF(C1650,(Skills!G4*N1650*B1687/B1686)*IF(Inputs!$B$38="pvp",1,(1+(Inputs!$B$21+Skills!Q4+(IF(ArtifactsInput!$M$33,CHOOSE(ArtifactsInput!$N$33+1,30,36,42,48,54,60),0))+(IF(AND(ArtifactsInput!$M$35,Inputs!$B$4&lt;&gt;"Chapter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1">
      <c r="A1651">
        <f>Skills!A5</f>
        <v/>
      </c>
      <c r="B1651">
        <f>Skills!B5</f>
        <v/>
      </c>
      <c r="C1651">
        <f>Inputs!$B$3&gt;=66</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t="inlineStr"/>
      <c r="K1651" t="inlineStr"/>
      <c r="L1651" t="inlineStr"/>
      <c r="M1651" t="inlineStr"/>
      <c r="N1651" t="inlineStr"/>
      <c r="O1651">
        <f>(1-Summary!$B$11)*T1651+Summary!$B$11*V1651</f>
        <v/>
      </c>
      <c r="P1651">
        <f>IF(B1685=0,0,O1651/B1685)</f>
        <v/>
      </c>
      <c r="Q1651" t="n">
        <v>0</v>
      </c>
      <c r="R1651" t="n">
        <v>0</v>
      </c>
      <c r="S1651">
        <f>IFERROR(O1651/N1651,0)</f>
        <v/>
      </c>
      <c r="T1651" t="n">
        <v>0</v>
      </c>
      <c r="V1651" t="n">
        <v>0</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1658=TRUE,F1658,0)/100)*(1+(IF(Skills!A6="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2">
        <f>L1652*(1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IF(B1685=0,0,O1652/B1685)</f>
        <v/>
      </c>
      <c r="Q1652">
        <f>IFERROR(1/(IF(Inputs!$B$38="pvp",15,MAX(0.1,Skills!D6-IF(TRUE=TRUE,Inputs!$B$32,0)))*(1-IF(AND(ArtifactsInput!$M$27,Inputs!$B$4="Chapter Hunt"),CHOOSE(ArtifactsInput!$N$27+1,20,24,28,32,36,40),0)/100)),0)</f>
        <v/>
      </c>
      <c r="R1652">
        <f>IF(AND(Inputs!$B$38&lt;&gt;"pvp",Inputs!$B$43&gt;0),IF(MAX(0,Inputs!$B$43-B1682)&lt;=0,0,(INT(MAX(0,Inputs!$B$43-B1682)/(IF(Inputs!$B$38="pvp",15,MAX(0.1,Skills!D6-IF(TRUE=TRUE,Inputs!$B$32,0)))*(1-IF(AND(ArtifactsInput!$M$27,Inputs!$B$4="Chapter Hunt"),CHOOSE(ArtifactsInput!$N$27+1,20,24,28,32,36,40),0)/100)))+1)),0)</f>
        <v/>
      </c>
      <c r="S1652">
        <f>IFERROR(O1652/N1652,0)</f>
        <v/>
      </c>
      <c r="T1652">
        <f>IF(C1652,(H1652*N1652*IF(AND(Inputs!$B$38&lt;&gt;"pvp",Inputs!$B$43&gt;0),((Skills!G6*((R1652-1)*IF(Skills!H6&gt;0,Skills!I6/Skills!H6,1)+IF(Skills!H6&gt;0,MIN(Skills!I6,MAX(0,MAX(0,Inputs!$B$43-B1682)-((R1652-1)*(IF(Inputs!$B$38="pvp",15,MAX(0.1,Skills!D6-IF(TRUE=TRUE,Inputs!$B$32,0)))*(1-IF(AND(ArtifactsInput!$M$27,Inputs!$B$4="Chapter Hunt"),CHOOSE(ArtifactsInput!$N$27+1,20,24,28,32,36,40),0)/100)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1682)-((R1652-1)*(IF(Inputs!$B$38="pvp",15,MAX(0.1,Skills!D6-IF(TRUE=TRUE,Inputs!$B$32,0)))*(1-IF(AND(ArtifactsInput!$M$27,Inputs!$B$4="Chapter Hunt"),CHOOSE(ArtifactsInput!$N$27+1,20,24,28,32,36,40),0)/100)))))/Skills!H6,1)))/Inputs!$B$43),G1652*Q1652))*IF(Inputs!$B$38="pvp",1,(1+(Inputs!$B$21+Skills!Q6+(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Inputs!$B$3&gt;=103</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3">
        <f>L1653*(1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IF(B1685=0,0,O1653/B1685)</f>
        <v/>
      </c>
      <c r="Q1653">
        <f>IFERROR(1/(IF(Inputs!$B$38="pvp",15,MAX(0.1,Skills!D7-IF(TRUE=TRUE,Inputs!$B$32,0)))*(1-IF(AND(ArtifactsInput!$M$27,Inputs!$B$4="Chapter Hunt"),CHOOSE(ArtifactsInput!$N$27+1,20,24,28,32,36,40),0)/100)),0)</f>
        <v/>
      </c>
      <c r="R1653">
        <f>IF(AND(Inputs!$B$38&lt;&gt;"pvp",Inputs!$B$43&gt;0),IF(MAX(0,Inputs!$B$43-B1682)&lt;=0,0,(INT(MAX(0,Inputs!$B$43-B1682)/(IF(Inputs!$B$38="pvp",15,MAX(0.1,Skills!D7-IF(TRUE=TRUE,Inputs!$B$32,0)))*(1-IF(AND(ArtifactsInput!$M$27,Inputs!$B$4="Chapter Hunt"),CHOOSE(ArtifactsInput!$N$27+1,20,24,28,32,36,40),0)/100)))+1)),0)</f>
        <v/>
      </c>
      <c r="S1653">
        <f>IFERROR(O1653/N1653,0)</f>
        <v/>
      </c>
      <c r="T1653">
        <f>IF(C1653,(H1653*N1653*IF(AND(Inputs!$B$38&lt;&gt;"pvp",Inputs!$B$43&gt;0),((Skills!G7*((R1653-1)*IF(Skills!H7&gt;0,Skills!I7/Skills!H7,1)+IF(Skills!H7&gt;0,MIN(Skills!I7,MAX(0,MAX(0,Inputs!$B$43-B1682)-((R1653-1)*(IF(Inputs!$B$38="pvp",15,MAX(0.1,Skills!D7-IF(TRUE=TRUE,Inputs!$B$32,0)))*(1-IF(AND(ArtifactsInput!$M$27,Inputs!$B$4="Chapter Hunt"),CHOOSE(ArtifactsInput!$N$27+1,20,24,28,32,36,40),0)/100)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1682)-((R1653-1)*(IF(Inputs!$B$38="pvp",15,MAX(0.1,Skills!D7-IF(TRUE=TRUE,Inputs!$B$32,0)))*(1-IF(AND(ArtifactsInput!$M$27,Inputs!$B$4="Chapter Hunt"),CHOOSE(ArtifactsInput!$N$27+1,20,24,28,32,36,40),0)/100)))))/Skills!H7,1)))/Inputs!$B$43),G1653*Q1653))*IF(Inputs!$B$38="pvp",1,(1+(Inputs!$B$21+Skills!Q7+(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Inputs!$B$3&gt;=117</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f>Skills!G8*IF(Skills!H8&gt;0,Skills!I8/Skills!H8,1)</f>
        <v/>
      </c>
      <c r="H1654">
        <f>1-(1-Skills!J8/100)^Skills!K8</f>
        <v/>
      </c>
      <c r="I1654" t="inlineStr">
        <is>
          <t>1</t>
        </is>
      </c>
      <c r="J1654">
        <f>((Inputs!$B$6*(1+Inputs!$B$7/100))+(((Inputs!$B$12*(1+Inputs!$B$13/100))-(Inputs!$B$12*(1+Inputs!$B$13/100)))+0.25*(Inputs!$B$14-Inputs!$B$14))*(1+Inputs!$B$7/100))*(F1654/100)</f>
        <v/>
      </c>
      <c r="K1654">
        <f>J1654*(1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1654)</f>
        <v/>
      </c>
      <c r="L1654">
        <f>K1654*(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4">
        <f>L1654*(1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4">
        <f>L1654*(1-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1654*(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4">
        <f>(1-Summary!$B$11)*T1654+Summary!$B$11*V1654</f>
        <v/>
      </c>
      <c r="P1654">
        <f>IF(B1685=0,0,O1654/B1685)</f>
        <v/>
      </c>
      <c r="Q1654">
        <f>IFERROR(1/(IF(Inputs!$B$38="pvp",15,MAX(0.1,Skills!D8-IF(TRUE=TRUE,Inputs!$B$32,0)))*(1-IF(AND(ArtifactsInput!$M$27,Inputs!$B$4="Chapter Hunt"),CHOOSE(ArtifactsInput!$N$27+1,20,24,28,32,36,40),0)/100)),0)</f>
        <v/>
      </c>
      <c r="R1654">
        <f>IF(AND(Inputs!$B$38&lt;&gt;"pvp",Inputs!$B$43&gt;0),IF(MAX(0,Inputs!$B$43-B1682)&lt;=0,0,(INT(MAX(0,Inputs!$B$43-B1682)/(IF(Inputs!$B$38="pvp",15,MAX(0.1,Skills!D8-IF(TRUE=TRUE,Inputs!$B$32,0)))*(1-IF(AND(ArtifactsInput!$M$27,Inputs!$B$4="Chapter Hunt"),CHOOSE(ArtifactsInput!$N$27+1,20,24,28,32,36,40),0)/100)))+1)),0)</f>
        <v/>
      </c>
      <c r="S1654">
        <f>IFERROR(O1654/N1654,0)</f>
        <v/>
      </c>
      <c r="T1654">
        <f>IF(C1654,(H1654*N1654*IF(AND(Inputs!$B$38&lt;&gt;"pvp",Inputs!$B$43&gt;0),((Skills!G8*((R1654-1)*IF(Skills!H8&gt;0,Skills!I8/Skills!H8,1)+IF(Skills!H8&gt;0,MIN(Skills!I8,MAX(0,MAX(0,Inputs!$B$43-B1682)-((R1654-1)*(IF(Inputs!$B$38="pvp",15,MAX(0.1,Skills!D8-IF(TRUE=TRUE,Inputs!$B$32,0)))*(1-IF(AND(ArtifactsInput!$M$27,Inputs!$B$4="Chapter Hunt"),CHOOSE(ArtifactsInput!$N$27+1,20,24,28,32,36,40),0)/100)))))/Skills!H8,1)))/Inputs!$B$43),G1654*Q1654)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1654*(1-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1654*(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1654*(1-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1654*(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4">
        <f>IF(C1654,(H1654*N1654*IF(AND(Inputs!$B$38&lt;&gt;"pvp",Inputs!$B$43&gt;0),((Skills!G8*((R1654-1)*IF(Skills!H8&gt;0,Skills!I8/Skills!H8,1)+IF(Skills!H8&gt;0,MIN(Skills!I8,MAX(0,MAX(0,Inputs!$B$43-B1682)-((R1654-1)*(IF(Inputs!$B$38="pvp",15,MAX(0.1,Skills!D8-IF(TRUE=TRUE,Inputs!$B$32,0)))*(1-IF(AND(ArtifactsInput!$M$27,Inputs!$B$4="Chapter Hunt"),CHOOSE(ArtifactsInput!$N$27+1,20,24,28,32,36,40),0)/100)))))/Skills!H8,1)))/Inputs!$B$43),G1654*Q1654))*IF(Inputs!$B$38="pvp",1,(1+(Inputs!$B$21+Skills!Q8+(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5">
      <c r="A1655">
        <f>Skills!A9</f>
        <v/>
      </c>
      <c r="B1655">
        <f>Skills!B9</f>
        <v/>
      </c>
      <c r="C1655">
        <f>Inputs!$B$3&gt;=120</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B1687</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5">
        <f>L1655*(1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IF(B1685=0,0,O1655/B1685)</f>
        <v/>
      </c>
      <c r="Q1655">
        <f>IFERROR(1/(IF(Inputs!$B$38="pvp",15,MAX(0.1,Skills!D9-IF(TRUE=TRUE,Inputs!$B$32,0)))*(1-IF(AND(ArtifactsInput!$M$27,Inputs!$B$4="Chapter Hunt"),CHOOSE(ArtifactsInput!$N$27+1,20,24,28,32,36,40),0)/100)),0)</f>
        <v/>
      </c>
      <c r="R1655">
        <f>IF(AND(Inputs!$B$38&lt;&gt;"pvp",Inputs!$B$43&gt;0),IF(MAX(0,Inputs!$B$43-B1682)&lt;=0,0,(INT(MAX(0,Inputs!$B$43-B1682)/(IF(Inputs!$B$38="pvp",15,MAX(0.1,Skills!D9-IF(TRUE=TRUE,Inputs!$B$32,0)))*(1-IF(AND(ArtifactsInput!$M$27,Inputs!$B$4="Chapter Hunt"),CHOOSE(ArtifactsInput!$N$27+1,20,24,28,32,36,40),0)/100)))+1)),0)</f>
        <v/>
      </c>
      <c r="S1655">
        <f>IFERROR(O1655/N1655,0)</f>
        <v/>
      </c>
      <c r="T1655">
        <f>IF(C1655,(H1655*N1655*IF(AND(Inputs!$B$38&lt;&gt;"pvp",Inputs!$B$43&gt;0),((Skills!G9*((R1655-1)*IF(Skills!H9&gt;0,Skills!I9/Skills!H9,1)+IF(Skills!H9&gt;0,MIN(Skills!I9,MAX(0,MAX(0,Inputs!$B$43-B1682)-((R1655-1)*(IF(Inputs!$B$38="pvp",15,MAX(0.1,Skills!D9-IF(TRUE=TRUE,Inputs!$B$32,0)))*(1-IF(AND(ArtifactsInput!$M$27,Inputs!$B$4="Chapter Hunt"),CHOOSE(ArtifactsInput!$N$27+1,20,24,28,32,36,40),0)/100)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1682)-((R1655-1)*(IF(Inputs!$B$38="pvp",15,MAX(0.1,Skills!D9-IF(TRUE=TRUE,Inputs!$B$32,0)))*(1-IF(AND(ArtifactsInput!$M$27,Inputs!$B$4="Chapter Hunt"),CHOOSE(ArtifactsInput!$N$27+1,20,24,28,32,36,40),0)/100)))))/Skills!H9,1)))/Inputs!$B$43),G1655*Q1655))*IF(Inputs!$B$38="pvp",1,(1+(Inputs!$B$21+Skills!Q9+(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Inputs!$B$3&gt;=105</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6">
        <f>L1656*(1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IF(B1685=0,0,O1656/B1685)</f>
        <v/>
      </c>
      <c r="Q1656">
        <f>IFERROR(1/(IF(Inputs!$B$38="pvp",15,MAX(0.1,Skills!D10-IF(TRUE=TRUE,Inputs!$B$32,0)))*(1-IF(AND(ArtifactsInput!$M$27,Inputs!$B$4="Chapter Hunt"),CHOOSE(ArtifactsInput!$N$27+1,20,24,28,32,36,40),0)/100)),0)</f>
        <v/>
      </c>
      <c r="R1656">
        <f>IF(AND(Inputs!$B$38&lt;&gt;"pvp",Inputs!$B$43&gt;0),IF(MAX(0,Inputs!$B$43-B1682)&lt;=0,0,(INT(MAX(0,Inputs!$B$43-B1682)/(IF(Inputs!$B$38="pvp",15,MAX(0.1,Skills!D10-IF(TRUE=TRUE,Inputs!$B$32,0)))*(1-IF(AND(ArtifactsInput!$M$27,Inputs!$B$4="Chapter Hunt"),CHOOSE(ArtifactsInput!$N$27+1,20,24,28,32,36,40),0)/100)))+1)),0)</f>
        <v/>
      </c>
      <c r="S1656">
        <f>IFERROR(O1656/N1656,0)</f>
        <v/>
      </c>
      <c r="T1656">
        <f>IF(C1656,(H1656*N1656*IF(AND(Inputs!$B$38&lt;&gt;"pvp",Inputs!$B$43&gt;0),((Skills!G10*((R1656-1)*IF(Skills!H10&gt;0,Skills!I10/Skills!H10,1)+IF(Skills!H10&gt;0,MIN(Skills!I10,MAX(0,MAX(0,Inputs!$B$43-B1682)-((R1656-1)*(IF(Inputs!$B$38="pvp",15,MAX(0.1,Skills!D10-IF(TRUE=TRUE,Inputs!$B$32,0)))*(1-IF(AND(ArtifactsInput!$M$27,Inputs!$B$4="Chapter Hunt"),CHOOSE(ArtifactsInput!$N$27+1,20,24,28,32,36,40),0)/100)))))/Skills!H10,1)))/Inputs!$B$43),G1656*Q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H1656*N1656*IF(AND(Inputs!$B$38&lt;&gt;"pvp",Inputs!$B$43&gt;0),((Skills!G10*((R1656-1)*IF(Skills!H10&gt;0,Skills!I10/Skills!H10,1)+IF(Skills!H10&gt;0,MIN(Skills!I10,MAX(0,MAX(0,Inputs!$B$43-B1682)-((R1656-1)*(IF(Inputs!$B$38="pvp",15,MAX(0.1,Skills!D10-IF(TRUE=TRUE,Inputs!$B$32,0)))*(1-IF(AND(ArtifactsInput!$M$27,Inputs!$B$4="Chapter Hunt"),CHOOSE(ArtifactsInput!$N$27+1,20,24,28,32,36,40),0)/100)))))/Skills!H10,1)))/Inputs!$B$43),G1656*Q1656))*IF(Inputs!$B$38="pvp",1,(1+(Inputs!$B$21+Skills!Q10+(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Inputs!$B$3&gt;=113</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7">
        <f>L1657*(1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IF(B1685=0,0,O1657/B1685)</f>
        <v/>
      </c>
      <c r="Q1657" t="n">
        <v>0</v>
      </c>
      <c r="R1657" t="n">
        <v>0</v>
      </c>
      <c r="S1657">
        <f>IFERROR(O1657/N1657,0)</f>
        <v/>
      </c>
      <c r="T1657">
        <f>IF(C1657,((H1657*B1688)/(1+Skills!H11*H1657*B1688)*N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IF(C1657,((H1657*B1688)/(1+Skills!H11*H1657*B1688)*N1657)*IF(Inputs!$B$38="pvp",1,(1+(Inputs!$B$21+Skills!Q11+(IF(ArtifactsInput!$M$33,CHOOSE(ArtifactsInput!$N$33+1,30,36,42,48,54,60),0))+(IF(AND(ArtifactsInput!$M$35,Inputs!$B$4&lt;&gt;"Chapter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Inputs!$B$3&gt;=100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t="inlineStr"/>
      <c r="H1658" t="inlineStr"/>
      <c r="I1658" t="inlineStr">
        <is>
          <t>1</t>
        </is>
      </c>
      <c r="J1658" t="inlineStr"/>
      <c r="K1658" t="inlineStr"/>
      <c r="L1658" t="inlineStr"/>
      <c r="M1658" t="inlineStr"/>
      <c r="N1658" t="inlineStr"/>
      <c r="O1658" t="inlineStr"/>
      <c r="P1658" t="inlineStr"/>
      <c r="Q1658" t="inlineStr"/>
      <c r="R1658" t="inlineStr"/>
      <c r="S1658" t="inlineStr"/>
      <c r="T1658" t="inlineStr"/>
      <c r="V1658" t="inlineStr"/>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IF(B1685=0,0,O1659/B1685)</f>
        <v/>
      </c>
      <c r="Q1659" t="n">
        <v>0</v>
      </c>
      <c r="R1659" t="n">
        <v>0</v>
      </c>
      <c r="S1659">
        <f>IFERROR(O1659/N1659,0)</f>
        <v/>
      </c>
      <c r="T1659" t="n">
        <v>0</v>
      </c>
      <c r="V1659" t="n">
        <v>0</v>
      </c>
    </row>
    <row r="1660">
      <c r="A1660">
        <f>Skills!A14</f>
        <v/>
      </c>
      <c r="B1660">
        <f>Skills!B14</f>
        <v/>
      </c>
      <c r="C1660">
        <f>Inputs!$B$3&gt;=115</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IF(B1685=0,0,O1660/B1685)</f>
        <v/>
      </c>
      <c r="Q1660">
        <f>IFERROR(1/(IF(Inputs!$B$38="pvp",15,MAX(0.1,Skills!D14-IF(TRUE=TRUE,Inputs!$B$32,0)))*(1-IF(AND(ArtifactsInput!$M$27,Inputs!$B$4="Chapter Hunt"),CHOOSE(ArtifactsInput!$N$27+1,20,24,28,32,36,40),0)/100)),0)</f>
        <v/>
      </c>
      <c r="R1660">
        <f>IF(AND(Inputs!$B$38&lt;&gt;"pvp",Inputs!$B$43&gt;0),IF(Inputs!$B$43&lt;=0,0,(INT(Inputs!$B$43/(IF(Inputs!$B$38="pvp",15,MAX(0.1,Skills!D14-IF(TRUE=TRUE,Inputs!$B$32,0)))*(1-IF(AND(ArtifactsInput!$M$27,Inputs!$B$4="Chapter Hunt"),CHOOSE(ArtifactsInput!$N$27+1,20,24,28,32,36,40),0)/100)))+1)),0)</f>
        <v/>
      </c>
      <c r="S1660">
        <f>IFERROR(O1660/N1660,0)</f>
        <v/>
      </c>
      <c r="T1660" t="n">
        <v>0</v>
      </c>
      <c r="V1660" t="n">
        <v>0</v>
      </c>
    </row>
    <row r="1661">
      <c r="A1661">
        <f>Skills!A15</f>
        <v/>
      </c>
      <c r="B1661">
        <f>Skills!B15</f>
        <v/>
      </c>
      <c r="C1661">
        <f>Inputs!$B$3&gt;=125</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IF(B1685=0,0,O1661/B1685)</f>
        <v/>
      </c>
      <c r="Q1661">
        <f>IFERROR(1/(IF(Inputs!$B$38="pvp",15,MAX(0.1,Skills!D15-IF(TRUE=TRUE,Inputs!$B$32,0)))*(1-IF(AND(ArtifactsInput!$M$27,Inputs!$B$4="Chapter Hunt"),CHOOSE(ArtifactsInput!$N$27+1,20,24,28,32,36,40),0)/100)),0)</f>
        <v/>
      </c>
      <c r="R1661">
        <f>IF(AND(Inputs!$B$38&lt;&gt;"pvp",Inputs!$B$43&gt;0),IF(Inputs!$B$43&lt;=0,0,(INT(Inputs!$B$43/(IF(Inputs!$B$38="pvp",15,MAX(0.1,Skills!D15-IF(TRUE=TRUE,Inputs!$B$32,0)))*(1-IF(AND(ArtifactsInput!$M$27,Inputs!$B$4="Chapter Hunt"),CHOOSE(ArtifactsInput!$N$27+1,20,24,28,32,36,40),0)/100)))+1)),0)</f>
        <v/>
      </c>
      <c r="S1661">
        <f>IFERROR(O1661/N1661,0)</f>
        <v/>
      </c>
      <c r="T1661" t="n">
        <v>0</v>
      </c>
      <c r="V1661" t="n">
        <v>0</v>
      </c>
    </row>
    <row r="1662">
      <c r="A1662">
        <f>Skills!A16</f>
        <v/>
      </c>
      <c r="B1662">
        <f>Skills!B16</f>
        <v/>
      </c>
      <c r="C1662">
        <f>Inputs!$B$3&gt;=10</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IF(B1685=0,0,O1662/B1685)</f>
        <v/>
      </c>
      <c r="Q1662" t="n">
        <v>0</v>
      </c>
      <c r="R1662" t="n">
        <v>0</v>
      </c>
      <c r="S1662">
        <f>IFERROR(O1662/N1662,0)</f>
        <v/>
      </c>
      <c r="T1662" t="n">
        <v>0</v>
      </c>
      <c r="V1662" t="n">
        <v>0</v>
      </c>
    </row>
    <row r="1663">
      <c r="A1663">
        <f>Skills!A17</f>
        <v/>
      </c>
      <c r="B1663">
        <f>Skills!B17</f>
        <v/>
      </c>
      <c r="C1663">
        <f>Inputs!$B$3&gt;=15</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IF(B1685=0,0,O1663/B1685)</f>
        <v/>
      </c>
      <c r="Q1663" t="n">
        <v>0</v>
      </c>
      <c r="R1663" t="n">
        <v>0</v>
      </c>
      <c r="S1663">
        <f>IFERROR(O1663/N1663,0)</f>
        <v/>
      </c>
      <c r="T1663" t="n">
        <v>0</v>
      </c>
      <c r="V1663" t="n">
        <v>0</v>
      </c>
    </row>
    <row r="1664">
      <c r="A1664">
        <f>Skills!A18</f>
        <v/>
      </c>
      <c r="B1664">
        <f>Skills!B18</f>
        <v/>
      </c>
      <c r="C1664">
        <f>Inputs!$B$3&gt;=33</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IF(B1685=0,0,O1664/B1685)</f>
        <v/>
      </c>
      <c r="Q1664" t="n">
        <v>0</v>
      </c>
      <c r="R1664" t="n">
        <v>0</v>
      </c>
      <c r="S1664">
        <f>IFERROR(O1664/N1664,0)</f>
        <v/>
      </c>
      <c r="T1664" t="n">
        <v>0</v>
      </c>
      <c r="V1664" t="n">
        <v>0</v>
      </c>
    </row>
    <row r="1665">
      <c r="A1665">
        <f>Skills!A19</f>
        <v/>
      </c>
      <c r="B1665">
        <f>Skills!B19</f>
        <v/>
      </c>
      <c r="C1665">
        <f>Inputs!$B$3&gt;=40</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IF(B1685=0,0,O1665/B1685)</f>
        <v/>
      </c>
      <c r="Q1665" t="n">
        <v>0</v>
      </c>
      <c r="R1665" t="n">
        <v>0</v>
      </c>
      <c r="S1665">
        <f>IFERROR(O1665/N1665,0)</f>
        <v/>
      </c>
      <c r="T1665" t="n">
        <v>0</v>
      </c>
      <c r="V1665" t="n">
        <v>0</v>
      </c>
    </row>
    <row r="1666">
      <c r="A1666">
        <f>Skills!A20</f>
        <v/>
      </c>
      <c r="B1666">
        <f>Skills!B20</f>
        <v/>
      </c>
      <c r="C1666">
        <f>Inputs!$B$3&gt;=43</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IF(B1685=0,0,O1666/B1685)</f>
        <v/>
      </c>
      <c r="Q1666" t="n">
        <v>0</v>
      </c>
      <c r="R1666" t="n">
        <v>0</v>
      </c>
      <c r="S1666">
        <f>IFERROR(O1666/N1666,0)</f>
        <v/>
      </c>
      <c r="T1666" t="n">
        <v>0</v>
      </c>
      <c r="V1666" t="n">
        <v>0</v>
      </c>
    </row>
    <row r="1667">
      <c r="A1667">
        <f>Skills!A21</f>
        <v/>
      </c>
      <c r="B1667">
        <f>Skills!B21</f>
        <v/>
      </c>
      <c r="C1667">
        <f>Inputs!$B$3&gt;=38</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IF(B1685=0,0,O1667/B1685)</f>
        <v/>
      </c>
      <c r="Q1667" t="n">
        <v>0</v>
      </c>
      <c r="R1667" t="n">
        <v>0</v>
      </c>
      <c r="S1667">
        <f>IFERROR(O1667/N1667,0)</f>
        <v/>
      </c>
      <c r="T1667" t="n">
        <v>0</v>
      </c>
      <c r="V1667" t="n">
        <v>0</v>
      </c>
    </row>
    <row r="1668">
      <c r="A1668">
        <f>Skills!A22</f>
        <v/>
      </c>
      <c r="B1668">
        <f>Skills!B22</f>
        <v/>
      </c>
      <c r="C1668">
        <f>Inputs!$B$3&gt;=75</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IF(B1685=0,0,O1668/B1685)</f>
        <v/>
      </c>
      <c r="Q1668" t="n">
        <v>0</v>
      </c>
      <c r="R1668" t="n">
        <v>0</v>
      </c>
      <c r="S1668">
        <f>IFERROR(O1668/N1668,0)</f>
        <v/>
      </c>
      <c r="T1668" t="n">
        <v>0</v>
      </c>
      <c r="V1668" t="n">
        <v>0</v>
      </c>
    </row>
    <row r="1669">
      <c r="A1669">
        <f>Skills!A23</f>
        <v/>
      </c>
      <c r="B1669">
        <f>Skills!B23</f>
        <v/>
      </c>
      <c r="C1669">
        <f>TRUE</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IF(B1685=0,0,O1669/B1685)</f>
        <v/>
      </c>
      <c r="Q1669">
        <f>IFERROR(1/(IF(Inputs!$B$38="pvp",15,MAX(0.1,Skills!D23-IF(TRUE=TRUE,Inputs!$B$32,0)))*(1-IF(AND(ArtifactsInput!$M$27,Inputs!$B$4="Chapter Hunt"),CHOOSE(ArtifactsInput!$N$27+1,20,24,28,32,36,40),0)/100)),0)</f>
        <v/>
      </c>
      <c r="R1669">
        <f>IF(AND(Inputs!$B$38&lt;&gt;"pvp",Inputs!$B$43&gt;0),IF(Inputs!$B$43&lt;=0,0,(INT(Inputs!$B$43/(IF(Inputs!$B$38="pvp",15,MAX(0.1,Skills!D23-IF(TRUE=TRUE,Inputs!$B$32,0)))*(1-IF(AND(ArtifactsInput!$M$27,Inputs!$B$4="Chapter Hunt"),CHOOSE(ArtifactsInput!$N$27+1,20,24,28,32,36,40),0)/100)))+1)),0)</f>
        <v/>
      </c>
      <c r="S1669">
        <f>IFERROR(O1669/N1669,0)</f>
        <v/>
      </c>
      <c r="T1669" t="n">
        <v>0</v>
      </c>
      <c r="V1669" t="n">
        <v>0</v>
      </c>
    </row>
    <row r="1670">
      <c r="A1670">
        <f>Skills!A24</f>
        <v/>
      </c>
      <c r="B1670">
        <f>Skills!B24</f>
        <v/>
      </c>
      <c r="C1670">
        <f>Inputs!$B$3&gt;=107</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IF(B1685=0,0,O1670/B1685)</f>
        <v/>
      </c>
      <c r="Q1670">
        <f>IFERROR(1/(IF(Inputs!$B$38="pvp",15,MAX(0.1,Skills!D24-IF(TRUE=TRUE,Inputs!$B$32,0)))*(1-IF(AND(ArtifactsInput!$M$27,Inputs!$B$4="Chapter Hunt"),CHOOSE(ArtifactsInput!$N$27+1,20,24,28,32,36,40),0)/100)),0)</f>
        <v/>
      </c>
      <c r="R1670">
        <f>IF(AND(Inputs!$B$38&lt;&gt;"pvp",Inputs!$B$43&gt;0),IF(Inputs!$B$43&lt;=0,0,(INT(Inputs!$B$43/(IF(Inputs!$B$38="pvp",15,MAX(0.1,Skills!D24-IF(TRUE=TRUE,Inputs!$B$32,0)))*(1-IF(AND(ArtifactsInput!$M$27,Inputs!$B$4="Chapter Hunt"),CHOOSE(ArtifactsInput!$N$27+1,20,24,28,32,36,40),0)/100)))+1)),0)</f>
        <v/>
      </c>
      <c r="S1670">
        <f>IFERROR(O1670/N1670,0)</f>
        <v/>
      </c>
      <c r="T1670" t="n">
        <v>0</v>
      </c>
      <c r="V1670" t="n">
        <v>0</v>
      </c>
    </row>
    <row r="1671">
      <c r="A1671">
        <f>Skills!A25</f>
        <v/>
      </c>
      <c r="B1671">
        <f>Skills!B25</f>
        <v/>
      </c>
      <c r="C1671">
        <f>Inputs!$B$3&gt;=110</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T1671" t="inlineStr"/>
      <c r="V1671" t="inlineStr"/>
    </row>
    <row r="1672">
      <c r="A1672">
        <f>Skills!A26</f>
        <v/>
      </c>
      <c r="B1672">
        <f>Skills!B26</f>
        <v/>
      </c>
      <c r="C1672">
        <f>Inputs!$B$3&gt;=117</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T1672" t="inlineStr"/>
      <c r="V1672" t="inlineStr"/>
    </row>
    <row r="1674">
      <c r="A1674" t="inlineStr">
        <is>
          <t>Attack% Bucket Multiplier</t>
        </is>
      </c>
      <c r="B1674">
        <f>(1+(((C1659=TRUE)*F1659*5/7)+((C1665=TRUE)*(F1665-Calc!F19))+(IF(ArtifactsInput!$M$21,CHOOSE(ArtifactsInput!$N$21+1,25,30,35,40,45,50)*(IF(OR(Inputs!$B$4="Chapter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5">
      <c r="A1675" t="inlineStr">
        <is>
          <t>Global Crit Rate Bonus %</t>
        </is>
      </c>
      <c r="B1675" t="n">
        <v>0</v>
      </c>
    </row>
    <row r="1676">
      <c r="A1676" t="inlineStr">
        <is>
          <t>Attack Speed Buff Bonus % (Nimble Feet + Speed Infusion, duty-cycle averaged)</t>
        </is>
      </c>
      <c r="B1676">
        <f>((C1669=TRUE)*F1669*IF(AND(Inputs!$B$38&lt;&gt;"pvp",Inputs!$B$43&gt;0),(((R1669-1)*MIN((Skills!T23*(1+Inputs!$B$34/100)),(1/Q1669))+MIN((Skills!T23*(1+Inputs!$B$34/100)),MAX(0,Inputs!$B$43-((R1669-1)*(1/Q1669)))))/Inputs!$B$43),IF(Inputs!$B$38="pvp",MIN((Skills!T23*(1+Inputs!$B$34/100)),15)/15,MIN(1,(Skills!T23*(1+Inputs!$B$34/100))/(1/Q1669)))))+((C1670=TRUE)*F1670*IF(AND(Inputs!$B$38&lt;&gt;"pvp",Inputs!$B$43&gt;0),(((R1670-1)*MIN((Skills!T24*(1+Inputs!$B$34/100)),(1/Q1670))+MIN((Skills!T24*(1+Inputs!$B$34/100)),MAX(0,Inputs!$B$43-((R1670-1)*(1/Q1670)))))/Inputs!$B$43),IF(Inputs!$B$38="pvp",MIN((Skills!T24*(1+Inputs!$B$34/100)),15)/15,MIN(1,(Skills!T24*(1+Inputs!$B$34/100))/(1/Q1670)))))</f>
        <v/>
      </c>
    </row>
    <row r="1677">
      <c r="A1677" t="inlineStr">
        <is>
          <t>Actions Per Second</t>
        </is>
      </c>
      <c r="B1677">
        <f>1+MIN(150,150*(1-(1-(Inputs!$B$11+((C1663=TRUE)*(F1663-Calc!F17))+((C1664=TRUE)*(F1664-Calc!F18)))/150)*(1-B1676/150)))/100</f>
        <v/>
      </c>
    </row>
    <row r="1678">
      <c r="A1678" t="inlineStr">
        <is>
          <t>Skill + Buff Cast Rate</t>
        </is>
      </c>
      <c r="B1678">
        <f>IF(AND(Inputs!$B$38&lt;&gt;"pvp",Inputs!$B$43&gt;0),SUMPRODUCT((Skills!E2:E26=TRUE)*(C1648:C1672=TRUE)*R1648:R1672*Skills!F2:F26)/Inputs!$B$43,SUMPRODUCT((Skills!E2:E26=TRUE)*(C1648:C1672=TRUE)*Q1648:Q1672*Skills!F2:F26))</f>
        <v/>
      </c>
    </row>
    <row r="1679">
      <c r="A1679" t="inlineStr">
        <is>
          <t>Hook Bomber Casts Per Second</t>
        </is>
      </c>
      <c r="B1679">
        <f>MAX(0,B1677-B1678)</f>
        <v/>
      </c>
    </row>
    <row r="1680">
      <c r="A1680" t="inlineStr">
        <is>
          <t>Global Critical Damage Bonus % (unused)</t>
        </is>
      </c>
      <c r="B1680" t="n">
        <v>0</v>
      </c>
    </row>
    <row r="1681">
      <c r="A1681" t="inlineStr">
        <is>
          <t>Global Final Damage Bonus % (Serpent Scale + Crossbones + Time Leap + Speed Infusion)</t>
        </is>
      </c>
      <c r="B1681">
        <f>((C1651=TRUE)*(F1651*B1687+4*(1-B1687)))+((C1660=TRUE)*F1660*IF(AND(Inputs!$B$38&lt;&gt;"pvp",Inputs!$B$43&gt;0),(((R1660-1)*MIN((Skills!T14*(1+Inputs!$B$34/100)),(1/Q1660))+MIN((Skills!T14*(1+Inputs!$B$34/100)),MAX(0,Inputs!$B$43-((R1660-1)*(1/Q1660)))))/Inputs!$B$43),IF(Inputs!$B$38="pvp",MIN((Skills!T14*(1+Inputs!$B$34/100)),15)/15,MIN(1,(Skills!T14*(1+Inputs!$B$34/100))/(1/Q1660)))))+((C1661=TRUE)*F1661*IF(AND(Inputs!$B$38&lt;&gt;"pvp",Inputs!$B$43&gt;0),(((R1661-1)*MIN((Skills!T15*(1+Inputs!$B$34/100)),(1/Q1661))+MIN((Skills!T15*(1+Inputs!$B$34/100)),MAX(0,Inputs!$B$43-((R1661-1)*(1/Q1661)))))/Inputs!$B$43),IF(Inputs!$B$38="pvp",MIN((Skills!T15*(1+Inputs!$B$34/100)),15)/15,MIN(1,(Skills!T15*(1+Inputs!$B$34/100))/(1/Q1661)))))+((C1670=TRUE)*20*((1+MIN(150,150*(1-(1-(Inputs!$B$11+((C1663=TRUE)*(F1663-Calc!F17))+((C1664=TRUE)*(F1664-Calc!F18)))/150)*(1-(((C1669=TRUE)*F1669*IF(AND(Inputs!$B$38&lt;&gt;"pvp",Inputs!$B$43&gt;0),(((R1669-1)*MIN((Skills!T23*(1+Inputs!$B$34/100)),(1/Q1669))+MIN((Skills!T23*(1+Inputs!$B$34/100)),MAX(0,Inputs!$B$43-((R1669-1)*(1/Q1669)))))/Inputs!$B$43),IF(Inputs!$B$38="pvp",MIN((Skills!T23*(1+Inputs!$B$34/100)),15)/15,MIN(1,(Skills!T23*(1+Inputs!$B$34/100))/(1/Q1669)))))+F1670)/150)))/100)-1)*IF(AND(Inputs!$B$38&lt;&gt;"pvp",Inputs!$B$43&gt;0),(((R1670-1)*MIN((Skills!T24*(1+Inputs!$B$34/100)),(1/Q1670))+MIN((Skills!T24*(1+Inputs!$B$34/100)),MAX(0,Inputs!$B$43-((R1670-1)*(1/Q1670)))))/Inputs!$B$43),IF(Inputs!$B$38="pvp",MIN((Skills!T24*(1+Inputs!$B$34/100)),15)/15,MIN(1,(Skills!T24*(1+Inputs!$B$34/100))/(1/Q1670)))))</f>
        <v/>
      </c>
    </row>
    <row r="1682">
      <c r="A1682" t="inlineStr">
        <is>
          <t>Buff-Casting Startup Delay (s, fixed-duration only)</t>
        </is>
      </c>
      <c r="B1682">
        <f>IF(AND(Inputs!$B$38&lt;&gt;"pvp",Inputs!$B$43&gt;0),SUMPRODUCT((Skills!T2:T26&gt;0)*(Skills!E2:E26=TRUE)*(C1648:C1672=TRUE))/B1677,0)</f>
        <v/>
      </c>
    </row>
    <row r="1683">
      <c r="A1683" t="inlineStr">
        <is>
          <t>Boss-Only Total DPS (this block's swept value)</t>
        </is>
      </c>
      <c r="B1683">
        <f>SUM(T1648:T1672)</f>
        <v/>
      </c>
    </row>
    <row r="1684">
      <c r="A1684" t="inlineStr">
        <is>
          <t>Normal-Only Total DPS (this block's swept value)</t>
        </is>
      </c>
      <c r="B1684">
        <f>SUM(V1648:V1672)</f>
        <v/>
      </c>
    </row>
    <row r="1685">
      <c r="A1685" s="6" t="inlineStr">
        <is>
          <t>TOTAL DPS</t>
        </is>
      </c>
      <c r="B1685" s="6">
        <f>SUM(O1648:O1672)</f>
        <v/>
      </c>
    </row>
    <row r="1686">
      <c r="A1686" t="inlineStr">
        <is>
          <t>Serpent activation interval T (this block's own Hook Bomber rate)</t>
        </is>
      </c>
      <c r="B1686">
        <f>((1/Q1649)+IFERROR(0.5/B1679,0))</f>
        <v/>
      </c>
    </row>
    <row r="1687">
      <c r="A1687" t="inlineStr">
        <is>
          <t>Assault Mode uptime u (this block)</t>
        </is>
      </c>
      <c r="B1687">
        <f>IF(C1651=TRUE,(10+IF(Inputs!$B$3&gt;=94,5,0))/((10+IF(Inputs!$B$3&gt;=94,5,0))+IF(Inputs!$B$3&gt;=104,3,5)*B1686),0)</f>
        <v/>
      </c>
    </row>
    <row r="1688">
      <c r="A1688" t="inlineStr">
        <is>
          <t>Nautilus Strike - Final Attack trigger rate (this block's own Q/R)</t>
        </is>
      </c>
      <c r="B1688">
        <f>IF(AND(Inputs!$B$38&lt;&gt;"pvp",Inputs!$B$43&gt;0),(((C1652=TRUE)*R1652)+((C1653=TRUE)*R1653)+((C1656=TRUE)*R1656))/Inputs!$B$43,((C1652=TRUE)*Q1652)+((C1653=TRUE)*Q1653)+((C1656=TRUE)*Q1656))+B1679</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1711=TRUE)*(F1711-Calc!F20)),(Inputs!$B$23+0+(IF(ArtifactsInput!$M$15,CHOOSE(ArtifactsInput!$N$15+1,25,30,35,40,45,50)/100*(Inputs!$B$11-Inputs!$B$11),0))))/100+(Inputs!$B$23+0+(IF(ArtifactsInput!$M$15,CHOOSE(ArtifactsInput!$N$15+1,25,30,35,40,45,50)/100*(Inputs!$B$11-Inputs!$B$11),0)))/100)/2</f>
        <v/>
      </c>
      <c r="M1693">
        <f>L1693*(1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IF(B1730=0,0,O1693/B1730)</f>
        <v/>
      </c>
      <c r="Q1693" t="n">
        <v>0</v>
      </c>
      <c r="R1693" t="n">
        <v>0</v>
      </c>
      <c r="S1693">
        <f>IFERROR(O1693/N1693,0)</f>
        <v/>
      </c>
      <c r="T1693">
        <f>IF(C1693,(Skills!G2*N1693*B1724)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IF(C1693,(Skills!G2*N1693*B1724)*IF(Inputs!$B$38="pvp",1,(1+(Inputs!$B$21+Skills!Q2+(IF(ArtifactsInput!$M$33,CHOOSE(ArtifactsInput!$N$33+1,30,36,42,48,54,60),0))+(IF(AND(ArtifactsInput!$M$35,Inputs!$B$4&lt;&gt;"Chapter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Inputs!$B$3&gt;=35</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f>Skills!G3*IF(Skills!H3&gt;0,Skills!I3/Skills!H3,1)</f>
        <v/>
      </c>
      <c r="H1694">
        <f>1-(1-Skills!J3/100)^Skills!K3</f>
        <v/>
      </c>
      <c r="I1694" t="inlineStr">
        <is>
          <t>1</t>
        </is>
      </c>
      <c r="J1694">
        <f>((Inputs!$B$6*(1+Inputs!$B$7/100))+(((Inputs!$B$12*(1+Inputs!$B$13/100))-(Inputs!$B$12*(1+Inputs!$B$13/100)))+0.25*(Inputs!$B$14-Inputs!$B$14))*(1+Inputs!$B$7/100))*(F1694/100)</f>
        <v/>
      </c>
      <c r="K1694">
        <f>J1694*(1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1716=TRUE,F1716,0)/100)*(1+(IF(Skills!A3="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1694)</f>
        <v/>
      </c>
      <c r="L1694">
        <f>K1694*(MIN(Inputs!$B$22+((C1711=TRUE)*(F1711-Calc!F20)),(Inputs!$B$23+0+(IF(ArtifactsInput!$M$15,CHOOSE(ArtifactsInput!$N$15+1,25,30,35,40,45,50)/100*(Inputs!$B$11-Inputs!$B$11),0))))/100+(Inputs!$B$23+0+(IF(ArtifactsInput!$M$15,CHOOSE(ArtifactsInput!$N$15+1,25,30,35,40,45,50)/100*(Inputs!$B$11-Inputs!$B$11),0)))/100)/2</f>
        <v/>
      </c>
      <c r="M1694">
        <f>L1694*(1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4">
        <f>L1694*(1-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1694*(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4">
        <f>(1-Summary!$B$11)*T1694+Summary!$B$11*V1694</f>
        <v/>
      </c>
      <c r="P1694">
        <f>IF(B1730=0,0,O1694/B1730)</f>
        <v/>
      </c>
      <c r="Q1694">
        <f>IFERROR(1/(IF(Inputs!$B$38="pvp",15,MAX(0.1,Skills!D3-IF(TRUE=TRUE,Inputs!$B$32,0)))*(1-IF(AND(ArtifactsInput!$M$27,Inputs!$B$4="Chapter Hunt"),CHOOSE(ArtifactsInput!$N$27+1,20,24,28,32,36,40),0)/100)),0)</f>
        <v/>
      </c>
      <c r="R1694">
        <f>IF(AND(Inputs!$B$38&lt;&gt;"pvp",Inputs!$B$43&gt;0),IF(MAX(0,Inputs!$B$43-B1727)&lt;=0,0,(INT(MAX(0,Inputs!$B$43-B1727)/(IF(Inputs!$B$38="pvp",15,MAX(0.1,Skills!D3-IF(TRUE=TRUE,Inputs!$B$32,0)))*(1-IF(AND(ArtifactsInput!$M$27,Inputs!$B$4="Chapter Hunt"),CHOOSE(ArtifactsInput!$N$27+1,20,24,28,32,36,40),0)/100)))+1)),0)</f>
        <v/>
      </c>
      <c r="S1694">
        <f>IFERROR(O1694/N1694,0)</f>
        <v/>
      </c>
      <c r="T1694">
        <f>IF(C1694,(Skills!G3*N1694*IF(C1695=TRUE,1-B1732,1)/B1731)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1694*(1-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1694*(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1694*(1-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1694*(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4">
        <f>INDEX(FactorTable!$B$2:$Y$301, MATCH(ROUND(MIN(300,MAX(1,U1693)),0), FactorTable!$A$2:$A$301,0), 22)</f>
        <v/>
      </c>
      <c r="V1694">
        <f>IF(C1694,(Skills!G3*N1694*IF(C1695=TRUE,1-B1732,1)/B1731)*IF(Inputs!$B$38="pvp",1,(1+(Inputs!$B$21+Skills!Q3+(IF(ArtifactsInput!$M$33,CHOOSE(ArtifactsInput!$N$33+1,30,36,42,48,54,60),0))+(IF(AND(ArtifactsInput!$M$35,Inputs!$B$4&lt;&gt;"Chapter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5">
      <c r="A1695">
        <f>Skills!A4</f>
        <v/>
      </c>
      <c r="B1695">
        <f>Skills!B4</f>
        <v/>
      </c>
      <c r="C1695">
        <f>Inputs!$B$3&gt;=69</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f>Skills!G4*IF(Skills!H4&gt;0,Skills!I4/Skills!H4,1)</f>
        <v/>
      </c>
      <c r="H1695">
        <f>1-(1-Skills!J4/100)^Skills!K4</f>
        <v/>
      </c>
      <c r="I1695" t="inlineStr">
        <is>
          <t>1</t>
        </is>
      </c>
      <c r="J1695">
        <f>((Inputs!$B$6*(1+Inputs!$B$7/100))+(((Inputs!$B$12*(1+Inputs!$B$13/100))-(Inputs!$B$12*(1+Inputs!$B$13/100)))+0.25*(Inputs!$B$14-Inputs!$B$14))*(1+Inputs!$B$7/100))*(F1695/100)</f>
        <v/>
      </c>
      <c r="K1695">
        <f>J1695*(1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1703=TRUE,F1703,0)/100)*(1+(IF(Skills!A4="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1695)</f>
        <v/>
      </c>
      <c r="L1695">
        <f>K1695*(MIN(Inputs!$B$22+((C1711=TRUE)*(F1711-Calc!F20)),(Inputs!$B$23+0+(IF(ArtifactsInput!$M$15,CHOOSE(ArtifactsInput!$N$15+1,25,30,35,40,45,50)/100*(Inputs!$B$11-Inputs!$B$11),0))))/100+(Inputs!$B$23+0+(IF(ArtifactsInput!$M$15,CHOOSE(ArtifactsInput!$N$15+1,25,30,35,40,45,50)/100*(Inputs!$B$11-Inputs!$B$11),0)))/100)/2</f>
        <v/>
      </c>
      <c r="M1695">
        <f>L1695*(1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5">
        <f>L1695*(1-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1695*(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5">
        <f>(1-Summary!$B$11)*T1695+Summary!$B$11*V1695</f>
        <v/>
      </c>
      <c r="P1695">
        <f>IF(B1730=0,0,O1695/B1730)</f>
        <v/>
      </c>
      <c r="Q1695" t="n">
        <v>0</v>
      </c>
      <c r="R1695" t="n">
        <v>0</v>
      </c>
      <c r="S1695">
        <f>IFERROR(O1695/N1695,0)</f>
        <v/>
      </c>
      <c r="T1695">
        <f>IF(C1695,(Skills!G4*N1695*B1732/B1731)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1695*(1-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1695*(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1695*(1-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1695*(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5">
        <f>290*U1694/1000</f>
        <v/>
      </c>
      <c r="V1695">
        <f>IF(C1695,(Skills!G4*N1695*B1732/B1731)*IF(Inputs!$B$38="pvp",1,(1+(Inputs!$B$21+Skills!Q4+(IF(ArtifactsInput!$M$33,CHOOSE(ArtifactsInput!$N$33+1,30,36,42,48,54,60),0))+(IF(AND(ArtifactsInput!$M$35,Inputs!$B$4&lt;&gt;"Chapter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6">
      <c r="A1696">
        <f>Skills!A5</f>
        <v/>
      </c>
      <c r="B1696">
        <f>Skills!B5</f>
        <v/>
      </c>
      <c r="C1696">
        <f>Inputs!$B$3&gt;=66</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t="inlineStr"/>
      <c r="K1696" t="inlineStr"/>
      <c r="L1696" t="inlineStr"/>
      <c r="M1696" t="inlineStr"/>
      <c r="N1696" t="inlineStr"/>
      <c r="O1696">
        <f>(1-Summary!$B$11)*T1696+Summary!$B$11*V1696</f>
        <v/>
      </c>
      <c r="P1696">
        <f>IF(B1730=0,0,O1696/B1730)</f>
        <v/>
      </c>
      <c r="Q1696" t="n">
        <v>0</v>
      </c>
      <c r="R1696" t="n">
        <v>0</v>
      </c>
      <c r="S1696">
        <f>IFERROR(O1696/N1696,0)</f>
        <v/>
      </c>
      <c r="T1696" t="n">
        <v>0</v>
      </c>
      <c r="V1696" t="n">
        <v>0</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1703=TRUE,F1703,0)/100)*(1+(IF(Skills!A6="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1711=TRUE)*(F1711-Calc!F20)),(Inputs!$B$23+0+(IF(ArtifactsInput!$M$15,CHOOSE(ArtifactsInput!$N$15+1,25,30,35,40,45,50)/100*(Inputs!$B$11-Inputs!$B$11),0))))/100+(Inputs!$B$23+0+(IF(ArtifactsInput!$M$15,CHOOSE(ArtifactsInput!$N$15+1,25,30,35,40,45,50)/100*(Inputs!$B$11-Inputs!$B$11),0)))/100)/2</f>
        <v/>
      </c>
      <c r="M1697">
        <f>L1697*(1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IF(B1730=0,0,O1697/B1730)</f>
        <v/>
      </c>
      <c r="Q1697">
        <f>IFERROR(1/(IF(Inputs!$B$38="pvp",15,MAX(0.1,Skills!D6-IF(TRUE=TRUE,Inputs!$B$32,0)))*(1-IF(AND(ArtifactsInput!$M$27,Inputs!$B$4="Chapter Hunt"),CHOOSE(ArtifactsInput!$N$27+1,20,24,28,32,36,40),0)/100)),0)</f>
        <v/>
      </c>
      <c r="R1697">
        <f>IF(AND(Inputs!$B$38&lt;&gt;"pvp",Inputs!$B$43&gt;0),IF(MAX(0,Inputs!$B$43-B1727)&lt;=0,0,(INT(MAX(0,Inputs!$B$43-B1727)/(IF(Inputs!$B$38="pvp",15,MAX(0.1,Skills!D6-IF(TRUE=TRUE,Inputs!$B$32,0)))*(1-IF(AND(ArtifactsInput!$M$27,Inputs!$B$4="Chapter Hunt"),CHOOSE(ArtifactsInput!$N$27+1,20,24,28,32,36,40),0)/100)))+1)),0)</f>
        <v/>
      </c>
      <c r="S1697">
        <f>IFERROR(O1697/N1697,0)</f>
        <v/>
      </c>
      <c r="T1697">
        <f>IF(C1697,(H1697*N1697*IF(AND(Inputs!$B$38&lt;&gt;"pvp",Inputs!$B$43&gt;0),((Skills!G6*((R1697-1)*IF(Skills!H6&gt;0,Skills!I6/Skills!H6,1)+IF(Skills!H6&gt;0,MIN(Skills!I6,MAX(0,MAX(0,Inputs!$B$43-B1727)-((R1697-1)*(IF(Inputs!$B$38="pvp",15,MAX(0.1,Skills!D6-IF(TRUE=TRUE,Inputs!$B$32,0)))*(1-IF(AND(ArtifactsInput!$M$27,Inputs!$B$4="Chapter Hunt"),CHOOSE(ArtifactsInput!$N$27+1,20,24,28,32,36,40),0)/100)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1727)-((R1697-1)*(IF(Inputs!$B$38="pvp",15,MAX(0.1,Skills!D6-IF(TRUE=TRUE,Inputs!$B$32,0)))*(1-IF(AND(ArtifactsInput!$M$27,Inputs!$B$4="Chapter Hunt"),CHOOSE(ArtifactsInput!$N$27+1,20,24,28,32,36,40),0)/100)))))/Skills!H6,1)))/Inputs!$B$43),G1697*Q1697))*IF(Inputs!$B$38="pvp",1,(1+(Inputs!$B$21+Skills!Q6+(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Inputs!$B$3&gt;=103</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1711=TRUE)*(F1711-Calc!F20)),(Inputs!$B$23+0+(IF(ArtifactsInput!$M$15,CHOOSE(ArtifactsInput!$N$15+1,25,30,35,40,45,50)/100*(Inputs!$B$11-Inputs!$B$11),0))))/100+(Inputs!$B$23+0+(IF(ArtifactsInput!$M$15,CHOOSE(ArtifactsInput!$N$15+1,25,30,35,40,45,50)/100*(Inputs!$B$11-Inputs!$B$11),0)))/100)/2</f>
        <v/>
      </c>
      <c r="M1698">
        <f>L1698*(1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IF(B1730=0,0,O1698/B1730)</f>
        <v/>
      </c>
      <c r="Q1698">
        <f>IFERROR(1/(IF(Inputs!$B$38="pvp",15,MAX(0.1,Skills!D7-IF(TRUE=TRUE,Inputs!$B$32,0)))*(1-IF(AND(ArtifactsInput!$M$27,Inputs!$B$4="Chapter Hunt"),CHOOSE(ArtifactsInput!$N$27+1,20,24,28,32,36,40),0)/100)),0)</f>
        <v/>
      </c>
      <c r="R1698">
        <f>IF(AND(Inputs!$B$38&lt;&gt;"pvp",Inputs!$B$43&gt;0),IF(MAX(0,Inputs!$B$43-B1727)&lt;=0,0,(INT(MAX(0,Inputs!$B$43-B1727)/(IF(Inputs!$B$38="pvp",15,MAX(0.1,Skills!D7-IF(TRUE=TRUE,Inputs!$B$32,0)))*(1-IF(AND(ArtifactsInput!$M$27,Inputs!$B$4="Chapter Hunt"),CHOOSE(ArtifactsInput!$N$27+1,20,24,28,32,36,40),0)/100)))+1)),0)</f>
        <v/>
      </c>
      <c r="S1698">
        <f>IFERROR(O1698/N1698,0)</f>
        <v/>
      </c>
      <c r="T1698">
        <f>IF(C1698,(H1698*N1698*IF(AND(Inputs!$B$38&lt;&gt;"pvp",Inputs!$B$43&gt;0),((Skills!G7*((R1698-1)*IF(Skills!H7&gt;0,Skills!I7/Skills!H7,1)+IF(Skills!H7&gt;0,MIN(Skills!I7,MAX(0,MAX(0,Inputs!$B$43-B1727)-((R1698-1)*(IF(Inputs!$B$38="pvp",15,MAX(0.1,Skills!D7-IF(TRUE=TRUE,Inputs!$B$32,0)))*(1-IF(AND(ArtifactsInput!$M$27,Inputs!$B$4="Chapter Hunt"),CHOOSE(ArtifactsInput!$N$27+1,20,24,28,32,36,40),0)/100)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1727)-((R1698-1)*(IF(Inputs!$B$38="pvp",15,MAX(0.1,Skills!D7-IF(TRUE=TRUE,Inputs!$B$32,0)))*(1-IF(AND(ArtifactsInput!$M$27,Inputs!$B$4="Chapter Hunt"),CHOOSE(ArtifactsInput!$N$27+1,20,24,28,32,36,40),0)/100)))))/Skills!H7,1)))/Inputs!$B$43),G1698*Q1698))*IF(Inputs!$B$38="pvp",1,(1+(Inputs!$B$21+Skills!Q7+(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Inputs!$B$3&gt;=117</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f>Skills!G8*IF(Skills!H8&gt;0,Skills!I8/Skills!H8,1)</f>
        <v/>
      </c>
      <c r="H1699">
        <f>1-(1-Skills!J8/100)^Skills!K8</f>
        <v/>
      </c>
      <c r="I1699" t="inlineStr">
        <is>
          <t>1</t>
        </is>
      </c>
      <c r="J1699">
        <f>((Inputs!$B$6*(1+Inputs!$B$7/100))+(((Inputs!$B$12*(1+Inputs!$B$13/100))-(Inputs!$B$12*(1+Inputs!$B$13/100)))+0.25*(Inputs!$B$14-Inputs!$B$14))*(1+Inputs!$B$7/100))*(F1699/100)</f>
        <v/>
      </c>
      <c r="K1699">
        <f>J1699*(1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1699)</f>
        <v/>
      </c>
      <c r="L1699">
        <f>K1699*(MIN(Inputs!$B$22+((C1711=TRUE)*(F1711-Calc!F20)),(Inputs!$B$23+0+(IF(ArtifactsInput!$M$15,CHOOSE(ArtifactsInput!$N$15+1,25,30,35,40,45,50)/100*(Inputs!$B$11-Inputs!$B$11),0))))/100+(Inputs!$B$23+0+(IF(ArtifactsInput!$M$15,CHOOSE(ArtifactsInput!$N$15+1,25,30,35,40,45,50)/100*(Inputs!$B$11-Inputs!$B$11),0)))/100)/2</f>
        <v/>
      </c>
      <c r="M1699">
        <f>L1699*(1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9">
        <f>L1699*(1-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1699*(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9">
        <f>(1-Summary!$B$11)*T1699+Summary!$B$11*V1699</f>
        <v/>
      </c>
      <c r="P1699">
        <f>IF(B1730=0,0,O1699/B1730)</f>
        <v/>
      </c>
      <c r="Q1699">
        <f>IFERROR(1/(IF(Inputs!$B$38="pvp",15,MAX(0.1,Skills!D8-IF(TRUE=TRUE,Inputs!$B$32,0)))*(1-IF(AND(ArtifactsInput!$M$27,Inputs!$B$4="Chapter Hunt"),CHOOSE(ArtifactsInput!$N$27+1,20,24,28,32,36,40),0)/100)),0)</f>
        <v/>
      </c>
      <c r="R1699">
        <f>IF(AND(Inputs!$B$38&lt;&gt;"pvp",Inputs!$B$43&gt;0),IF(MAX(0,Inputs!$B$43-B1727)&lt;=0,0,(INT(MAX(0,Inputs!$B$43-B1727)/(IF(Inputs!$B$38="pvp",15,MAX(0.1,Skills!D8-IF(TRUE=TRUE,Inputs!$B$32,0)))*(1-IF(AND(ArtifactsInput!$M$27,Inputs!$B$4="Chapter Hunt"),CHOOSE(ArtifactsInput!$N$27+1,20,24,28,32,36,40),0)/100)))+1)),0)</f>
        <v/>
      </c>
      <c r="S1699">
        <f>IFERROR(O1699/N1699,0)</f>
        <v/>
      </c>
      <c r="T1699">
        <f>IF(C1699,(H1699*N1699*IF(AND(Inputs!$B$38&lt;&gt;"pvp",Inputs!$B$43&gt;0),((Skills!G8*((R1699-1)*IF(Skills!H8&gt;0,Skills!I8/Skills!H8,1)+IF(Skills!H8&gt;0,MIN(Skills!I8,MAX(0,MAX(0,Inputs!$B$43-B1727)-((R1699-1)*(IF(Inputs!$B$38="pvp",15,MAX(0.1,Skills!D8-IF(TRUE=TRUE,Inputs!$B$32,0)))*(1-IF(AND(ArtifactsInput!$M$27,Inputs!$B$4="Chapter Hunt"),CHOOSE(ArtifactsInput!$N$27+1,20,24,28,32,36,40),0)/100)))))/Skills!H8,1)))/Inputs!$B$43),G1699*Q1699)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1699*(1-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1699*(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1699*(1-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1699*(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9">
        <f>IF(C1699,(H1699*N1699*IF(AND(Inputs!$B$38&lt;&gt;"pvp",Inputs!$B$43&gt;0),((Skills!G8*((R1699-1)*IF(Skills!H8&gt;0,Skills!I8/Skills!H8,1)+IF(Skills!H8&gt;0,MIN(Skills!I8,MAX(0,MAX(0,Inputs!$B$43-B1727)-((R1699-1)*(IF(Inputs!$B$38="pvp",15,MAX(0.1,Skills!D8-IF(TRUE=TRUE,Inputs!$B$32,0)))*(1-IF(AND(ArtifactsInput!$M$27,Inputs!$B$4="Chapter Hunt"),CHOOSE(ArtifactsInput!$N$27+1,20,24,28,32,36,40),0)/100)))))/Skills!H8,1)))/Inputs!$B$43),G1699*Q1699))*IF(Inputs!$B$38="pvp",1,(1+(Inputs!$B$21+Skills!Q8+(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0">
      <c r="A1700">
        <f>Skills!A9</f>
        <v/>
      </c>
      <c r="B1700">
        <f>Skills!B9</f>
        <v/>
      </c>
      <c r="C1700">
        <f>Inputs!$B$3&gt;=120</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B1732</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1711=TRUE)*(F1711-Calc!F20)),(Inputs!$B$23+0+(IF(ArtifactsInput!$M$15,CHOOSE(ArtifactsInput!$N$15+1,25,30,35,40,45,50)/100*(Inputs!$B$11-Inputs!$B$11),0))))/100+(Inputs!$B$23+0+(IF(ArtifactsInput!$M$15,CHOOSE(ArtifactsInput!$N$15+1,25,30,35,40,45,50)/100*(Inputs!$B$11-Inputs!$B$11),0)))/100)/2</f>
        <v/>
      </c>
      <c r="M1700">
        <f>L1700*(1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IF(B1730=0,0,O1700/B1730)</f>
        <v/>
      </c>
      <c r="Q1700">
        <f>IFERROR(1/(IF(Inputs!$B$38="pvp",15,MAX(0.1,Skills!D9-IF(TRUE=TRUE,Inputs!$B$32,0)))*(1-IF(AND(ArtifactsInput!$M$27,Inputs!$B$4="Chapter Hunt"),CHOOSE(ArtifactsInput!$N$27+1,20,24,28,32,36,40),0)/100)),0)</f>
        <v/>
      </c>
      <c r="R1700">
        <f>IF(AND(Inputs!$B$38&lt;&gt;"pvp",Inputs!$B$43&gt;0),IF(MAX(0,Inputs!$B$43-B1727)&lt;=0,0,(INT(MAX(0,Inputs!$B$43-B1727)/(IF(Inputs!$B$38="pvp",15,MAX(0.1,Skills!D9-IF(TRUE=TRUE,Inputs!$B$32,0)))*(1-IF(AND(ArtifactsInput!$M$27,Inputs!$B$4="Chapter Hunt"),CHOOSE(ArtifactsInput!$N$27+1,20,24,28,32,36,40),0)/100)))+1)),0)</f>
        <v/>
      </c>
      <c r="S1700">
        <f>IFERROR(O1700/N1700,0)</f>
        <v/>
      </c>
      <c r="T1700">
        <f>IF(C1700,(H1700*N1700*IF(AND(Inputs!$B$38&lt;&gt;"pvp",Inputs!$B$43&gt;0),((Skills!G9*((R1700-1)*IF(Skills!H9&gt;0,Skills!I9/Skills!H9,1)+IF(Skills!H9&gt;0,MIN(Skills!I9,MAX(0,MAX(0,Inputs!$B$43-B1727)-((R1700-1)*(IF(Inputs!$B$38="pvp",15,MAX(0.1,Skills!D9-IF(TRUE=TRUE,Inputs!$B$32,0)))*(1-IF(AND(ArtifactsInput!$M$27,Inputs!$B$4="Chapter Hunt"),CHOOSE(ArtifactsInput!$N$27+1,20,24,28,32,36,40),0)/100)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1727)-((R1700-1)*(IF(Inputs!$B$38="pvp",15,MAX(0.1,Skills!D9-IF(TRUE=TRUE,Inputs!$B$32,0)))*(1-IF(AND(ArtifactsInput!$M$27,Inputs!$B$4="Chapter Hunt"),CHOOSE(ArtifactsInput!$N$27+1,20,24,28,32,36,40),0)/100)))))/Skills!H9,1)))/Inputs!$B$43),G1700*Q1700))*IF(Inputs!$B$38="pvp",1,(1+(Inputs!$B$21+Skills!Q9+(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Inputs!$B$3&gt;=105</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1711=TRUE)*(F1711-Calc!F20)),(Inputs!$B$23+0+(IF(ArtifactsInput!$M$15,CHOOSE(ArtifactsInput!$N$15+1,25,30,35,40,45,50)/100*(Inputs!$B$11-Inputs!$B$11),0))))/100+(Inputs!$B$23+0+(IF(ArtifactsInput!$M$15,CHOOSE(ArtifactsInput!$N$15+1,25,30,35,40,45,50)/100*(Inputs!$B$11-Inputs!$B$11),0)))/100)/2</f>
        <v/>
      </c>
      <c r="M1701">
        <f>L1701*(1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IF(B1730=0,0,O1701/B1730)</f>
        <v/>
      </c>
      <c r="Q1701">
        <f>IFERROR(1/(IF(Inputs!$B$38="pvp",15,MAX(0.1,Skills!D10-IF(TRUE=TRUE,Inputs!$B$32,0)))*(1-IF(AND(ArtifactsInput!$M$27,Inputs!$B$4="Chapter Hunt"),CHOOSE(ArtifactsInput!$N$27+1,20,24,28,32,36,40),0)/100)),0)</f>
        <v/>
      </c>
      <c r="R1701">
        <f>IF(AND(Inputs!$B$38&lt;&gt;"pvp",Inputs!$B$43&gt;0),IF(MAX(0,Inputs!$B$43-B1727)&lt;=0,0,(INT(MAX(0,Inputs!$B$43-B1727)/(IF(Inputs!$B$38="pvp",15,MAX(0.1,Skills!D10-IF(TRUE=TRUE,Inputs!$B$32,0)))*(1-IF(AND(ArtifactsInput!$M$27,Inputs!$B$4="Chapter Hunt"),CHOOSE(ArtifactsInput!$N$27+1,20,24,28,32,36,40),0)/100)))+1)),0)</f>
        <v/>
      </c>
      <c r="S1701">
        <f>IFERROR(O1701/N1701,0)</f>
        <v/>
      </c>
      <c r="T1701">
        <f>IF(C1701,(H1701*N1701*IF(AND(Inputs!$B$38&lt;&gt;"pvp",Inputs!$B$43&gt;0),((Skills!G10*((R1701-1)*IF(Skills!H10&gt;0,Skills!I10/Skills!H10,1)+IF(Skills!H10&gt;0,MIN(Skills!I10,MAX(0,MAX(0,Inputs!$B$43-B1727)-((R1701-1)*(IF(Inputs!$B$38="pvp",15,MAX(0.1,Skills!D10-IF(TRUE=TRUE,Inputs!$B$32,0)))*(1-IF(AND(ArtifactsInput!$M$27,Inputs!$B$4="Chapter Hunt"),CHOOSE(ArtifactsInput!$N$27+1,20,24,28,32,36,40),0)/100)))))/Skills!H10,1)))/Inputs!$B$43),G1701*Q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H1701*N1701*IF(AND(Inputs!$B$38&lt;&gt;"pvp",Inputs!$B$43&gt;0),((Skills!G10*((R1701-1)*IF(Skills!H10&gt;0,Skills!I10/Skills!H10,1)+IF(Skills!H10&gt;0,MIN(Skills!I10,MAX(0,MAX(0,Inputs!$B$43-B1727)-((R1701-1)*(IF(Inputs!$B$38="pvp",15,MAX(0.1,Skills!D10-IF(TRUE=TRUE,Inputs!$B$32,0)))*(1-IF(AND(ArtifactsInput!$M$27,Inputs!$B$4="Chapter Hunt"),CHOOSE(ArtifactsInput!$N$27+1,20,24,28,32,36,40),0)/100)))))/Skills!H10,1)))/Inputs!$B$43),G1701*Q1701))*IF(Inputs!$B$38="pvp",1,(1+(Inputs!$B$21+Skills!Q10+(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Inputs!$B$3&gt;=113</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1711=TRUE)*(F1711-Calc!F20)),(Inputs!$B$23+0+(IF(ArtifactsInput!$M$15,CHOOSE(ArtifactsInput!$N$15+1,25,30,35,40,45,50)/100*(Inputs!$B$11-Inputs!$B$11),0))))/100+(Inputs!$B$23+0+(IF(ArtifactsInput!$M$15,CHOOSE(ArtifactsInput!$N$15+1,25,30,35,40,45,50)/100*(Inputs!$B$11-Inputs!$B$11),0)))/100)/2</f>
        <v/>
      </c>
      <c r="M1702">
        <f>L1702*(1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IF(B1730=0,0,O1702/B1730)</f>
        <v/>
      </c>
      <c r="Q1702" t="n">
        <v>0</v>
      </c>
      <c r="R1702" t="n">
        <v>0</v>
      </c>
      <c r="S1702">
        <f>IFERROR(O1702/N1702,0)</f>
        <v/>
      </c>
      <c r="T1702">
        <f>IF(C1702,((H1702*B1733)/(1+Skills!H11*H1702*B1733)*N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IF(C1702,((H1702*B1733)/(1+Skills!H11*H1702*B1733)*N1702)*IF(Inputs!$B$38="pvp",1,(1+(Inputs!$B$21+Skills!Q11+(IF(ArtifactsInput!$M$33,CHOOSE(ArtifactsInput!$N$33+1,30,36,42,48,54,60),0))+(IF(AND(ArtifactsInput!$M$35,Inputs!$B$4&lt;&gt;"Chapter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Inputs!$B$3&gt;=100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t="inlineStr"/>
      <c r="H1703" t="inlineStr"/>
      <c r="I1703" t="inlineStr">
        <is>
          <t>1</t>
        </is>
      </c>
      <c r="J1703" t="inlineStr"/>
      <c r="K1703" t="inlineStr"/>
      <c r="L1703" t="inlineStr"/>
      <c r="M1703" t="inlineStr"/>
      <c r="N1703" t="inlineStr"/>
      <c r="O1703" t="inlineStr"/>
      <c r="P1703" t="inlineStr"/>
      <c r="Q1703" t="inlineStr"/>
      <c r="R1703" t="inlineStr"/>
      <c r="S1703" t="inlineStr"/>
      <c r="T1703" t="inlineStr"/>
      <c r="V1703" t="inlineStr"/>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IF(B1730=0,0,O1704/B1730)</f>
        <v/>
      </c>
      <c r="Q1704" t="n">
        <v>0</v>
      </c>
      <c r="R1704" t="n">
        <v>0</v>
      </c>
      <c r="S1704">
        <f>IFERROR(O1704/N1704,0)</f>
        <v/>
      </c>
      <c r="T1704" t="n">
        <v>0</v>
      </c>
      <c r="V1704" t="n">
        <v>0</v>
      </c>
    </row>
    <row r="1705">
      <c r="A1705">
        <f>Skills!A14</f>
        <v/>
      </c>
      <c r="B1705">
        <f>Skills!B14</f>
        <v/>
      </c>
      <c r="C1705">
        <f>Inputs!$B$3&gt;=115</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IF(B1730=0,0,O1705/B1730)</f>
        <v/>
      </c>
      <c r="Q1705">
        <f>IFERROR(1/(IF(Inputs!$B$38="pvp",15,MAX(0.1,Skills!D14-IF(TRUE=TRUE,Inputs!$B$32,0)))*(1-IF(AND(ArtifactsInput!$M$27,Inputs!$B$4="Chapter Hunt"),CHOOSE(ArtifactsInput!$N$27+1,20,24,28,32,36,40),0)/100)),0)</f>
        <v/>
      </c>
      <c r="R1705">
        <f>IF(AND(Inputs!$B$38&lt;&gt;"pvp",Inputs!$B$43&gt;0),IF(Inputs!$B$43&lt;=0,0,(INT(Inputs!$B$43/(IF(Inputs!$B$38="pvp",15,MAX(0.1,Skills!D14-IF(TRUE=TRUE,Inputs!$B$32,0)))*(1-IF(AND(ArtifactsInput!$M$27,Inputs!$B$4="Chapter Hunt"),CHOOSE(ArtifactsInput!$N$27+1,20,24,28,32,36,40),0)/100)))+1)),0)</f>
        <v/>
      </c>
      <c r="S1705">
        <f>IFERROR(O1705/N1705,0)</f>
        <v/>
      </c>
      <c r="T1705" t="n">
        <v>0</v>
      </c>
      <c r="V1705" t="n">
        <v>0</v>
      </c>
    </row>
    <row r="1706">
      <c r="A1706">
        <f>Skills!A15</f>
        <v/>
      </c>
      <c r="B1706">
        <f>Skills!B15</f>
        <v/>
      </c>
      <c r="C1706">
        <f>Inputs!$B$3&gt;=125</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IF(B1730=0,0,O1706/B1730)</f>
        <v/>
      </c>
      <c r="Q1706">
        <f>IFERROR(1/(IF(Inputs!$B$38="pvp",15,MAX(0.1,Skills!D15-IF(TRUE=TRUE,Inputs!$B$32,0)))*(1-IF(AND(ArtifactsInput!$M$27,Inputs!$B$4="Chapter Hunt"),CHOOSE(ArtifactsInput!$N$27+1,20,24,28,32,36,40),0)/100)),0)</f>
        <v/>
      </c>
      <c r="R1706">
        <f>IF(AND(Inputs!$B$38&lt;&gt;"pvp",Inputs!$B$43&gt;0),IF(Inputs!$B$43&lt;=0,0,(INT(Inputs!$B$43/(IF(Inputs!$B$38="pvp",15,MAX(0.1,Skills!D15-IF(TRUE=TRUE,Inputs!$B$32,0)))*(1-IF(AND(ArtifactsInput!$M$27,Inputs!$B$4="Chapter Hunt"),CHOOSE(ArtifactsInput!$N$27+1,20,24,28,32,36,40),0)/100)))+1)),0)</f>
        <v/>
      </c>
      <c r="S1706">
        <f>IFERROR(O1706/N1706,0)</f>
        <v/>
      </c>
      <c r="T1706" t="n">
        <v>0</v>
      </c>
      <c r="V1706" t="n">
        <v>0</v>
      </c>
    </row>
    <row r="1707">
      <c r="A1707">
        <f>Skills!A16</f>
        <v/>
      </c>
      <c r="B1707">
        <f>Skills!B16</f>
        <v/>
      </c>
      <c r="C1707">
        <f>Inputs!$B$3&gt;=10</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IF(B1730=0,0,O1707/B1730)</f>
        <v/>
      </c>
      <c r="Q1707" t="n">
        <v>0</v>
      </c>
      <c r="R1707" t="n">
        <v>0</v>
      </c>
      <c r="S1707">
        <f>IFERROR(O1707/N1707,0)</f>
        <v/>
      </c>
      <c r="T1707" t="n">
        <v>0</v>
      </c>
      <c r="V1707" t="n">
        <v>0</v>
      </c>
    </row>
    <row r="1708">
      <c r="A1708">
        <f>Skills!A17</f>
        <v/>
      </c>
      <c r="B1708">
        <f>Skills!B17</f>
        <v/>
      </c>
      <c r="C1708">
        <f>Inputs!$B$3&gt;=15</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IF(B1730=0,0,O1708/B1730)</f>
        <v/>
      </c>
      <c r="Q1708" t="n">
        <v>0</v>
      </c>
      <c r="R1708" t="n">
        <v>0</v>
      </c>
      <c r="S1708">
        <f>IFERROR(O1708/N1708,0)</f>
        <v/>
      </c>
      <c r="T1708" t="n">
        <v>0</v>
      </c>
      <c r="V1708" t="n">
        <v>0</v>
      </c>
    </row>
    <row r="1709">
      <c r="A1709">
        <f>Skills!A18</f>
        <v/>
      </c>
      <c r="B1709">
        <f>Skills!B18</f>
        <v/>
      </c>
      <c r="C1709">
        <f>Inputs!$B$3&gt;=33</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IF(B1730=0,0,O1709/B1730)</f>
        <v/>
      </c>
      <c r="Q1709" t="n">
        <v>0</v>
      </c>
      <c r="R1709" t="n">
        <v>0</v>
      </c>
      <c r="S1709">
        <f>IFERROR(O1709/N1709,0)</f>
        <v/>
      </c>
      <c r="T1709" t="n">
        <v>0</v>
      </c>
      <c r="V1709" t="n">
        <v>0</v>
      </c>
    </row>
    <row r="1710">
      <c r="A1710">
        <f>Skills!A19</f>
        <v/>
      </c>
      <c r="B1710">
        <f>Skills!B19</f>
        <v/>
      </c>
      <c r="C1710">
        <f>Inputs!$B$3&gt;=40</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IF(B1730=0,0,O1710/B1730)</f>
        <v/>
      </c>
      <c r="Q1710" t="n">
        <v>0</v>
      </c>
      <c r="R1710" t="n">
        <v>0</v>
      </c>
      <c r="S1710">
        <f>IFERROR(O1710/N1710,0)</f>
        <v/>
      </c>
      <c r="T1710" t="n">
        <v>0</v>
      </c>
      <c r="V1710" t="n">
        <v>0</v>
      </c>
    </row>
    <row r="1711">
      <c r="A1711">
        <f>Skills!A20</f>
        <v/>
      </c>
      <c r="B1711">
        <f>Skills!B20</f>
        <v/>
      </c>
      <c r="C1711">
        <f>Inputs!$B$3&gt;=43</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IF(B1730=0,0,O1711/B1730)</f>
        <v/>
      </c>
      <c r="Q1711" t="n">
        <v>0</v>
      </c>
      <c r="R1711" t="n">
        <v>0</v>
      </c>
      <c r="S1711">
        <f>IFERROR(O1711/N1711,0)</f>
        <v/>
      </c>
      <c r="T1711" t="n">
        <v>0</v>
      </c>
      <c r="V1711" t="n">
        <v>0</v>
      </c>
    </row>
    <row r="1712">
      <c r="A1712">
        <f>Skills!A21</f>
        <v/>
      </c>
      <c r="B1712">
        <f>Skills!B21</f>
        <v/>
      </c>
      <c r="C1712">
        <f>Inputs!$B$3&gt;=38</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IF(B1730=0,0,O1712/B1730)</f>
        <v/>
      </c>
      <c r="Q1712" t="n">
        <v>0</v>
      </c>
      <c r="R1712" t="n">
        <v>0</v>
      </c>
      <c r="S1712">
        <f>IFERROR(O1712/N1712,0)</f>
        <v/>
      </c>
      <c r="T1712" t="n">
        <v>0</v>
      </c>
      <c r="V1712" t="n">
        <v>0</v>
      </c>
    </row>
    <row r="1713">
      <c r="A1713">
        <f>Skills!A22</f>
        <v/>
      </c>
      <c r="B1713">
        <f>Skills!B22</f>
        <v/>
      </c>
      <c r="C1713">
        <f>Inputs!$B$3&gt;=75</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IF(B1730=0,0,O1713/B1730)</f>
        <v/>
      </c>
      <c r="Q1713" t="n">
        <v>0</v>
      </c>
      <c r="R1713" t="n">
        <v>0</v>
      </c>
      <c r="S1713">
        <f>IFERROR(O1713/N1713,0)</f>
        <v/>
      </c>
      <c r="T1713" t="n">
        <v>0</v>
      </c>
      <c r="V1713" t="n">
        <v>0</v>
      </c>
    </row>
    <row r="1714">
      <c r="A1714">
        <f>Skills!A23</f>
        <v/>
      </c>
      <c r="B1714">
        <f>Skills!B23</f>
        <v/>
      </c>
      <c r="C1714">
        <f>TRUE</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IF(B1730=0,0,O1714/B1730)</f>
        <v/>
      </c>
      <c r="Q1714">
        <f>IFERROR(1/(IF(Inputs!$B$38="pvp",15,MAX(0.1,Skills!D23-IF(TRUE=TRUE,Inputs!$B$32,0)))*(1-IF(AND(ArtifactsInput!$M$27,Inputs!$B$4="Chapter Hunt"),CHOOSE(ArtifactsInput!$N$27+1,20,24,28,32,36,40),0)/100)),0)</f>
        <v/>
      </c>
      <c r="R1714">
        <f>IF(AND(Inputs!$B$38&lt;&gt;"pvp",Inputs!$B$43&gt;0),IF(Inputs!$B$43&lt;=0,0,(INT(Inputs!$B$43/(IF(Inputs!$B$38="pvp",15,MAX(0.1,Skills!D23-IF(TRUE=TRUE,Inputs!$B$32,0)))*(1-IF(AND(ArtifactsInput!$M$27,Inputs!$B$4="Chapter Hunt"),CHOOSE(ArtifactsInput!$N$27+1,20,24,28,32,36,40),0)/100)))+1)),0)</f>
        <v/>
      </c>
      <c r="S1714">
        <f>IFERROR(O1714/N1714,0)</f>
        <v/>
      </c>
      <c r="T1714" t="n">
        <v>0</v>
      </c>
      <c r="V1714" t="n">
        <v>0</v>
      </c>
    </row>
    <row r="1715">
      <c r="A1715">
        <f>Skills!A24</f>
        <v/>
      </c>
      <c r="B1715">
        <f>Skills!B24</f>
        <v/>
      </c>
      <c r="C1715">
        <f>Inputs!$B$3&gt;=107</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IF(B1730=0,0,O1715/B1730)</f>
        <v/>
      </c>
      <c r="Q1715">
        <f>IFERROR(1/(IF(Inputs!$B$38="pvp",15,MAX(0.1,Skills!D24-IF(TRUE=TRUE,Inputs!$B$32,0)))*(1-IF(AND(ArtifactsInput!$M$27,Inputs!$B$4="Chapter Hunt"),CHOOSE(ArtifactsInput!$N$27+1,20,24,28,32,36,40),0)/100)),0)</f>
        <v/>
      </c>
      <c r="R1715">
        <f>IF(AND(Inputs!$B$38&lt;&gt;"pvp",Inputs!$B$43&gt;0),IF(Inputs!$B$43&lt;=0,0,(INT(Inputs!$B$43/(IF(Inputs!$B$38="pvp",15,MAX(0.1,Skills!D24-IF(TRUE=TRUE,Inputs!$B$32,0)))*(1-IF(AND(ArtifactsInput!$M$27,Inputs!$B$4="Chapter Hunt"),CHOOSE(ArtifactsInput!$N$27+1,20,24,28,32,36,40),0)/100)))+1)),0)</f>
        <v/>
      </c>
      <c r="S1715">
        <f>IFERROR(O1715/N1715,0)</f>
        <v/>
      </c>
      <c r="T1715" t="n">
        <v>0</v>
      </c>
      <c r="V1715" t="n">
        <v>0</v>
      </c>
    </row>
    <row r="1716">
      <c r="A1716">
        <f>Skills!A25</f>
        <v/>
      </c>
      <c r="B1716">
        <f>Skills!B25</f>
        <v/>
      </c>
      <c r="C1716">
        <f>Inputs!$B$3&gt;=110</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t="inlineStr"/>
      <c r="H1716" t="inlineStr"/>
      <c r="I1716" t="inlineStr">
        <is>
          <t>1</t>
        </is>
      </c>
      <c r="J1716" t="inlineStr"/>
      <c r="K1716" t="inlineStr"/>
      <c r="L1716" t="inlineStr"/>
      <c r="M1716" t="inlineStr"/>
      <c r="N1716" t="inlineStr"/>
      <c r="O1716" t="inlineStr"/>
      <c r="P1716" t="inlineStr"/>
      <c r="Q1716" t="inlineStr"/>
      <c r="R1716" t="inlineStr"/>
      <c r="S1716" t="inlineStr"/>
      <c r="T1716" t="inlineStr"/>
      <c r="V1716" t="inlineStr"/>
    </row>
    <row r="1717">
      <c r="A1717">
        <f>Skills!A26</f>
        <v/>
      </c>
      <c r="B1717">
        <f>Skills!B26</f>
        <v/>
      </c>
      <c r="C1717">
        <f>Inputs!$B$3&gt;=117</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9">
      <c r="A1719" t="inlineStr">
        <is>
          <t>Attack% Bucket Multiplier</t>
        </is>
      </c>
      <c r="B1719">
        <f>(1+(((C1704=TRUE)*F1704*5/7)+((C1710=TRUE)*(F1710-Calc!F19))+(IF(ArtifactsInput!$M$21,CHOOSE(ArtifactsInput!$N$21+1,25,30,35,40,45,50)*(IF(OR(Inputs!$B$4="Chapter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0">
      <c r="A1720" t="inlineStr">
        <is>
          <t>Global Crit Rate Bonus %</t>
        </is>
      </c>
      <c r="B1720" t="n">
        <v>0</v>
      </c>
    </row>
    <row r="1721">
      <c r="A1721" t="inlineStr">
        <is>
          <t>Attack Speed Buff Bonus % (Nimble Feet + Speed Infusion, duty-cycle averaged)</t>
        </is>
      </c>
      <c r="B1721">
        <f>((C1714=TRUE)*F1714*IF(AND(Inputs!$B$38&lt;&gt;"pvp",Inputs!$B$43&gt;0),(((R1714-1)*MIN((Skills!T23*(1+Inputs!$B$34/100)),(1/Q1714))+MIN((Skills!T23*(1+Inputs!$B$34/100)),MAX(0,Inputs!$B$43-((R1714-1)*(1/Q1714)))))/Inputs!$B$43),IF(Inputs!$B$38="pvp",MIN((Skills!T23*(1+Inputs!$B$34/100)),15)/15,MIN(1,(Skills!T23*(1+Inputs!$B$34/100))/(1/Q1714)))))+((C1715=TRUE)*F1715*IF(AND(Inputs!$B$38&lt;&gt;"pvp",Inputs!$B$43&gt;0),(((R1715-1)*MIN((Skills!T24*(1+Inputs!$B$34/100)),(1/Q1715))+MIN((Skills!T24*(1+Inputs!$B$34/100)),MAX(0,Inputs!$B$43-((R1715-1)*(1/Q1715)))))/Inputs!$B$43),IF(Inputs!$B$38="pvp",MIN((Skills!T24*(1+Inputs!$B$34/100)),15)/15,MIN(1,(Skills!T24*(1+Inputs!$B$34/100))/(1/Q1715)))))</f>
        <v/>
      </c>
    </row>
    <row r="1722">
      <c r="A1722" t="inlineStr">
        <is>
          <t>Actions Per Second</t>
        </is>
      </c>
      <c r="B1722">
        <f>1+MIN(150,150*(1-(1-(Inputs!$B$11+((C1708=TRUE)*(F1708-Calc!F17))+((C1709=TRUE)*(F1709-Calc!F18)))/150)*(1-B1721/150)))/100</f>
        <v/>
      </c>
    </row>
    <row r="1723">
      <c r="A1723" t="inlineStr">
        <is>
          <t>Skill + Buff Cast Rate</t>
        </is>
      </c>
      <c r="B1723">
        <f>IF(AND(Inputs!$B$38&lt;&gt;"pvp",Inputs!$B$43&gt;0),SUMPRODUCT((Skills!E2:E26=TRUE)*(C1693:C1717=TRUE)*R1693:R1717*Skills!F2:F26)/Inputs!$B$43,SUMPRODUCT((Skills!E2:E26=TRUE)*(C1693:C1717=TRUE)*Q1693:Q1717*Skills!F2:F26))</f>
        <v/>
      </c>
    </row>
    <row r="1724">
      <c r="A1724" t="inlineStr">
        <is>
          <t>Hook Bomber Casts Per Second</t>
        </is>
      </c>
      <c r="B1724">
        <f>MAX(0,B1722-B1723)</f>
        <v/>
      </c>
    </row>
    <row r="1725">
      <c r="A1725" t="inlineStr">
        <is>
          <t>Global Critical Damage Bonus % (unused)</t>
        </is>
      </c>
      <c r="B1725" t="n">
        <v>0</v>
      </c>
    </row>
    <row r="1726">
      <c r="A1726" t="inlineStr">
        <is>
          <t>Global Final Damage Bonus % (Serpent Scale + Crossbones + Time Leap + Speed Infusion)</t>
        </is>
      </c>
      <c r="B1726">
        <f>((C1696=TRUE)*(F1696*B1732+4*(1-B1732)))+((C1705=TRUE)*F1705*IF(AND(Inputs!$B$38&lt;&gt;"pvp",Inputs!$B$43&gt;0),(((R1705-1)*MIN((Skills!T14*(1+Inputs!$B$34/100)),(1/Q1705))+MIN((Skills!T14*(1+Inputs!$B$34/100)),MAX(0,Inputs!$B$43-((R1705-1)*(1/Q1705)))))/Inputs!$B$43),IF(Inputs!$B$38="pvp",MIN((Skills!T14*(1+Inputs!$B$34/100)),15)/15,MIN(1,(Skills!T14*(1+Inputs!$B$34/100))/(1/Q1705)))))+((C1706=TRUE)*F1706*IF(AND(Inputs!$B$38&lt;&gt;"pvp",Inputs!$B$43&gt;0),(((R1706-1)*MIN((Skills!T15*(1+Inputs!$B$34/100)),(1/Q1706))+MIN((Skills!T15*(1+Inputs!$B$34/100)),MAX(0,Inputs!$B$43-((R1706-1)*(1/Q1706)))))/Inputs!$B$43),IF(Inputs!$B$38="pvp",MIN((Skills!T15*(1+Inputs!$B$34/100)),15)/15,MIN(1,(Skills!T15*(1+Inputs!$B$34/100))/(1/Q1706)))))+((C1715=TRUE)*20*((1+MIN(150,150*(1-(1-(Inputs!$B$11+((C1708=TRUE)*(F1708-Calc!F17))+((C1709=TRUE)*(F1709-Calc!F18)))/150)*(1-(((C1714=TRUE)*F1714*IF(AND(Inputs!$B$38&lt;&gt;"pvp",Inputs!$B$43&gt;0),(((R1714-1)*MIN((Skills!T23*(1+Inputs!$B$34/100)),(1/Q1714))+MIN((Skills!T23*(1+Inputs!$B$34/100)),MAX(0,Inputs!$B$43-((R1714-1)*(1/Q1714)))))/Inputs!$B$43),IF(Inputs!$B$38="pvp",MIN((Skills!T23*(1+Inputs!$B$34/100)),15)/15,MIN(1,(Skills!T23*(1+Inputs!$B$34/100))/(1/Q1714)))))+F1715)/150)))/100)-1)*IF(AND(Inputs!$B$38&lt;&gt;"pvp",Inputs!$B$43&gt;0),(((R1715-1)*MIN((Skills!T24*(1+Inputs!$B$34/100)),(1/Q1715))+MIN((Skills!T24*(1+Inputs!$B$34/100)),MAX(0,Inputs!$B$43-((R1715-1)*(1/Q1715)))))/Inputs!$B$43),IF(Inputs!$B$38="pvp",MIN((Skills!T24*(1+Inputs!$B$34/100)),15)/15,MIN(1,(Skills!T24*(1+Inputs!$B$34/100))/(1/Q1715)))))</f>
        <v/>
      </c>
    </row>
    <row r="1727">
      <c r="A1727" t="inlineStr">
        <is>
          <t>Buff-Casting Startup Delay (s, fixed-duration only)</t>
        </is>
      </c>
      <c r="B1727">
        <f>IF(AND(Inputs!$B$38&lt;&gt;"pvp",Inputs!$B$43&gt;0),SUMPRODUCT((Skills!T2:T26&gt;0)*(Skills!E2:E26=TRUE)*(C1693:C1717=TRUE))/B1722,0)</f>
        <v/>
      </c>
    </row>
    <row r="1728">
      <c r="A1728" t="inlineStr">
        <is>
          <t>Boss-Only Total DPS (this block's swept value)</t>
        </is>
      </c>
      <c r="B1728">
        <f>SUM(T1693:T1717)</f>
        <v/>
      </c>
    </row>
    <row r="1729">
      <c r="A1729" t="inlineStr">
        <is>
          <t>Normal-Only Total DPS (this block's swept value)</t>
        </is>
      </c>
      <c r="B1729">
        <f>SUM(V1693:V1717)</f>
        <v/>
      </c>
    </row>
    <row r="1730">
      <c r="A1730" s="6" t="inlineStr">
        <is>
          <t>TOTAL DPS</t>
        </is>
      </c>
      <c r="B1730" s="6">
        <f>SUM(O1693:O1717)</f>
        <v/>
      </c>
    </row>
    <row r="1731">
      <c r="A1731" t="inlineStr">
        <is>
          <t>Serpent activation interval T (this block's own Hook Bomber rate)</t>
        </is>
      </c>
      <c r="B1731">
        <f>((1/Q1694)+IFERROR(0.5/B1724,0))</f>
        <v/>
      </c>
    </row>
    <row r="1732">
      <c r="A1732" t="inlineStr">
        <is>
          <t>Assault Mode uptime u (this block)</t>
        </is>
      </c>
      <c r="B1732">
        <f>IF(C1696=TRUE,(10+IF(Inputs!$B$3&gt;=94,5,0))/((10+IF(Inputs!$B$3&gt;=94,5,0))+IF(Inputs!$B$3&gt;=104,3,5)*B1731),0)</f>
        <v/>
      </c>
    </row>
    <row r="1733">
      <c r="A1733" t="inlineStr">
        <is>
          <t>Nautilus Strike - Final Attack trigger rate (this block's own Q/R)</t>
        </is>
      </c>
      <c r="B1733">
        <f>IF(AND(Inputs!$B$38&lt;&gt;"pvp",Inputs!$B$43&gt;0),(((C1697=TRUE)*R1697)+((C1698=TRUE)*R1698)+((C1701=TRUE)*R1701))/Inputs!$B$43,((C1697=TRUE)*Q1697)+((C1698=TRUE)*Q1698)+((C1701=TRUE)*Q1701))+B1724</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1756=TRUE)*(F1756-Calc!F20)),(Inputs!$B$23+0+(IF(ArtifactsInput!$M$15,CHOOSE(ArtifactsInput!$N$15+1,25,30,35,40,45,50)/100*(Inputs!$B$11-Inputs!$B$11),0))))/100+(Inputs!$B$23+0+(IF(ArtifactsInput!$M$15,CHOOSE(ArtifactsInput!$N$15+1,25,30,35,40,45,50)/100*(Inputs!$B$11-Inputs!$B$11),0)))/100)/2</f>
        <v/>
      </c>
      <c r="M1738">
        <f>L1738*(1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IF(B1775=0,0,O1738/B1775)</f>
        <v/>
      </c>
      <c r="Q1738" t="n">
        <v>0</v>
      </c>
      <c r="R1738" t="n">
        <v>0</v>
      </c>
      <c r="S1738">
        <f>IFERROR(O1738/N1738,0)</f>
        <v/>
      </c>
      <c r="T1738">
        <f>IF(C1738,(Skills!G2*N1738*B1769)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IF(C1738,(Skills!G2*N1738*B1769)*IF(Inputs!$B$38="pvp",1,(1+(Inputs!$B$21+Skills!Q2+(IF(ArtifactsInput!$M$33,CHOOSE(ArtifactsInput!$N$33+1,30,36,42,48,54,60),0))+(IF(AND(ArtifactsInput!$M$35,Inputs!$B$4&lt;&gt;"Chapter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Inputs!$B$3&gt;=35</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f>Skills!G3*IF(Skills!H3&gt;0,Skills!I3/Skills!H3,1)</f>
        <v/>
      </c>
      <c r="H1739">
        <f>1-(1-Skills!J3/100)^Skills!K3</f>
        <v/>
      </c>
      <c r="I1739" t="inlineStr">
        <is>
          <t>1</t>
        </is>
      </c>
      <c r="J1739">
        <f>((Inputs!$B$6*(1+Inputs!$B$7/100))+(((Inputs!$B$12*(1+Inputs!$B$13/100))-(Inputs!$B$12*(1+Inputs!$B$13/100)))+0.25*(Inputs!$B$14-Inputs!$B$14))*(1+Inputs!$B$7/100))*(F1739/100)</f>
        <v/>
      </c>
      <c r="K1739">
        <f>J1739*(1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1761=TRUE,F1761,0)/100)*(1+(IF(Skills!A3="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1739)</f>
        <v/>
      </c>
      <c r="L1739">
        <f>K1739*(MIN(Inputs!$B$22+((C1756=TRUE)*(F1756-Calc!F20)),(Inputs!$B$23+0+(IF(ArtifactsInput!$M$15,CHOOSE(ArtifactsInput!$N$15+1,25,30,35,40,45,50)/100*(Inputs!$B$11-Inputs!$B$11),0))))/100+(Inputs!$B$23+0+(IF(ArtifactsInput!$M$15,CHOOSE(ArtifactsInput!$N$15+1,25,30,35,40,45,50)/100*(Inputs!$B$11-Inputs!$B$11),0)))/100)/2</f>
        <v/>
      </c>
      <c r="M1739">
        <f>L1739*(1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9">
        <f>L1739*(1-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1739*(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9">
        <f>(1-Summary!$B$11)*T1739+Summary!$B$11*V1739</f>
        <v/>
      </c>
      <c r="P1739">
        <f>IF(B1775=0,0,O1739/B1775)</f>
        <v/>
      </c>
      <c r="Q1739">
        <f>IFERROR(1/(IF(Inputs!$B$38="pvp",15,MAX(0.1,Skills!D3-IF(TRUE=TRUE,Inputs!$B$32,0)))*(1-IF(AND(ArtifactsInput!$M$27,Inputs!$B$4="Chapter Hunt"),CHOOSE(ArtifactsInput!$N$27+1,20,24,28,32,36,40),0)/100)),0)</f>
        <v/>
      </c>
      <c r="R1739">
        <f>IF(AND(Inputs!$B$38&lt;&gt;"pvp",Inputs!$B$43&gt;0),IF(MAX(0,Inputs!$B$43-B1772)&lt;=0,0,(INT(MAX(0,Inputs!$B$43-B1772)/(IF(Inputs!$B$38="pvp",15,MAX(0.1,Skills!D3-IF(TRUE=TRUE,Inputs!$B$32,0)))*(1-IF(AND(ArtifactsInput!$M$27,Inputs!$B$4="Chapter Hunt"),CHOOSE(ArtifactsInput!$N$27+1,20,24,28,32,36,40),0)/100)))+1)),0)</f>
        <v/>
      </c>
      <c r="S1739">
        <f>IFERROR(O1739/N1739,0)</f>
        <v/>
      </c>
      <c r="T1739">
        <f>IF(C1739,(Skills!G3*N1739*IF(C1740=TRUE,1-B1777,1)/B1776)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1739*(1-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1739*(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1739*(1-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1739*(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9">
        <f>INDEX(FactorTable!$B$2:$Y$301, MATCH(ROUND(MIN(300,MAX(1,U1738)),0), FactorTable!$A$2:$A$301,0), 22)</f>
        <v/>
      </c>
      <c r="V1739">
        <f>IF(C1739,(Skills!G3*N1739*IF(C1740=TRUE,1-B1777,1)/B1776)*IF(Inputs!$B$38="pvp",1,(1+(Inputs!$B$21+Skills!Q3+(IF(ArtifactsInput!$M$33,CHOOSE(ArtifactsInput!$N$33+1,30,36,42,48,54,60),0))+(IF(AND(ArtifactsInput!$M$35,Inputs!$B$4&lt;&gt;"Chapter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0">
      <c r="A1740">
        <f>Skills!A4</f>
        <v/>
      </c>
      <c r="B1740">
        <f>Skills!B4</f>
        <v/>
      </c>
      <c r="C1740">
        <f>Inputs!$B$3&gt;=69</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f>Skills!G4*IF(Skills!H4&gt;0,Skills!I4/Skills!H4,1)</f>
        <v/>
      </c>
      <c r="H1740">
        <f>1-(1-Skills!J4/100)^Skills!K4</f>
        <v/>
      </c>
      <c r="I1740" t="inlineStr">
        <is>
          <t>1</t>
        </is>
      </c>
      <c r="J1740">
        <f>((Inputs!$B$6*(1+Inputs!$B$7/100))+(((Inputs!$B$12*(1+Inputs!$B$13/100))-(Inputs!$B$12*(1+Inputs!$B$13/100)))+0.25*(Inputs!$B$14-Inputs!$B$14))*(1+Inputs!$B$7/100))*(F1740/100)</f>
        <v/>
      </c>
      <c r="K1740">
        <f>J1740*(1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1748=TRUE,F1748,0)/100)*(1+(IF(Skills!A4="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1740)</f>
        <v/>
      </c>
      <c r="L1740">
        <f>K1740*(MIN(Inputs!$B$22+((C1756=TRUE)*(F1756-Calc!F20)),(Inputs!$B$23+0+(IF(ArtifactsInput!$M$15,CHOOSE(ArtifactsInput!$N$15+1,25,30,35,40,45,50)/100*(Inputs!$B$11-Inputs!$B$11),0))))/100+(Inputs!$B$23+0+(IF(ArtifactsInput!$M$15,CHOOSE(ArtifactsInput!$N$15+1,25,30,35,40,45,50)/100*(Inputs!$B$11-Inputs!$B$11),0)))/100)/2</f>
        <v/>
      </c>
      <c r="M1740">
        <f>L1740*(1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0">
        <f>L1740*(1-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1740*(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0">
        <f>(1-Summary!$B$11)*T1740+Summary!$B$11*V1740</f>
        <v/>
      </c>
      <c r="P1740">
        <f>IF(B1775=0,0,O1740/B1775)</f>
        <v/>
      </c>
      <c r="Q1740" t="n">
        <v>0</v>
      </c>
      <c r="R1740" t="n">
        <v>0</v>
      </c>
      <c r="S1740">
        <f>IFERROR(O1740/N1740,0)</f>
        <v/>
      </c>
      <c r="T1740">
        <f>IF(C1740,(Skills!G4*N1740*B1777/B1776)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1740*(1-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1740*(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1740*(1-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1740*(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0">
        <f>290*U1739/1000</f>
        <v/>
      </c>
      <c r="V1740">
        <f>IF(C1740,(Skills!G4*N1740*B1777/B1776)*IF(Inputs!$B$38="pvp",1,(1+(Inputs!$B$21+Skills!Q4+(IF(ArtifactsInput!$M$33,CHOOSE(ArtifactsInput!$N$33+1,30,36,42,48,54,60),0))+(IF(AND(ArtifactsInput!$M$35,Inputs!$B$4&lt;&gt;"Chapter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1">
      <c r="A1741">
        <f>Skills!A5</f>
        <v/>
      </c>
      <c r="B1741">
        <f>Skills!B5</f>
        <v/>
      </c>
      <c r="C1741">
        <f>Inputs!$B$3&gt;=66</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t="inlineStr"/>
      <c r="K1741" t="inlineStr"/>
      <c r="L1741" t="inlineStr"/>
      <c r="M1741" t="inlineStr"/>
      <c r="N1741" t="inlineStr"/>
      <c r="O1741">
        <f>(1-Summary!$B$11)*T1741+Summary!$B$11*V1741</f>
        <v/>
      </c>
      <c r="P1741">
        <f>IF(B1775=0,0,O1741/B1775)</f>
        <v/>
      </c>
      <c r="Q1741" t="n">
        <v>0</v>
      </c>
      <c r="R1741" t="n">
        <v>0</v>
      </c>
      <c r="S1741">
        <f>IFERROR(O1741/N1741,0)</f>
        <v/>
      </c>
      <c r="T1741" t="n">
        <v>0</v>
      </c>
      <c r="V1741" t="n">
        <v>0</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1748=TRUE,F1748,0)/100)*(1+(IF(Skills!A6="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1756=TRUE)*(F1756-Calc!F20)),(Inputs!$B$23+0+(IF(ArtifactsInput!$M$15,CHOOSE(ArtifactsInput!$N$15+1,25,30,35,40,45,50)/100*(Inputs!$B$11-Inputs!$B$11),0))))/100+(Inputs!$B$23+0+(IF(ArtifactsInput!$M$15,CHOOSE(ArtifactsInput!$N$15+1,25,30,35,40,45,50)/100*(Inputs!$B$11-Inputs!$B$11),0)))/100)/2</f>
        <v/>
      </c>
      <c r="M1742">
        <f>L1742*(1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IF(B1775=0,0,O1742/B1775)</f>
        <v/>
      </c>
      <c r="Q1742">
        <f>IFERROR(1/(IF(Inputs!$B$38="pvp",15,MAX(0.1,Skills!D6-IF(TRUE=TRUE,Inputs!$B$32,0)))*(1-IF(AND(ArtifactsInput!$M$27,Inputs!$B$4="Chapter Hunt"),CHOOSE(ArtifactsInput!$N$27+1,20,24,28,32,36,40),0)/100)),0)</f>
        <v/>
      </c>
      <c r="R1742">
        <f>IF(AND(Inputs!$B$38&lt;&gt;"pvp",Inputs!$B$43&gt;0),IF(MAX(0,Inputs!$B$43-B1772)&lt;=0,0,(INT(MAX(0,Inputs!$B$43-B1772)/(IF(Inputs!$B$38="pvp",15,MAX(0.1,Skills!D6-IF(TRUE=TRUE,Inputs!$B$32,0)))*(1-IF(AND(ArtifactsInput!$M$27,Inputs!$B$4="Chapter Hunt"),CHOOSE(ArtifactsInput!$N$27+1,20,24,28,32,36,40),0)/100)))+1)),0)</f>
        <v/>
      </c>
      <c r="S1742">
        <f>IFERROR(O1742/N1742,0)</f>
        <v/>
      </c>
      <c r="T1742">
        <f>IF(C1742,(H1742*N1742*IF(AND(Inputs!$B$38&lt;&gt;"pvp",Inputs!$B$43&gt;0),((Skills!G6*((R1742-1)*IF(Skills!H6&gt;0,Skills!I6/Skills!H6,1)+IF(Skills!H6&gt;0,MIN(Skills!I6,MAX(0,MAX(0,Inputs!$B$43-B1772)-((R1742-1)*(IF(Inputs!$B$38="pvp",15,MAX(0.1,Skills!D6-IF(TRUE=TRUE,Inputs!$B$32,0)))*(1-IF(AND(ArtifactsInput!$M$27,Inputs!$B$4="Chapter Hunt"),CHOOSE(ArtifactsInput!$N$27+1,20,24,28,32,36,40),0)/100)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1772)-((R1742-1)*(IF(Inputs!$B$38="pvp",15,MAX(0.1,Skills!D6-IF(TRUE=TRUE,Inputs!$B$32,0)))*(1-IF(AND(ArtifactsInput!$M$27,Inputs!$B$4="Chapter Hunt"),CHOOSE(ArtifactsInput!$N$27+1,20,24,28,32,36,40),0)/100)))))/Skills!H6,1)))/Inputs!$B$43),G1742*Q1742))*IF(Inputs!$B$38="pvp",1,(1+(Inputs!$B$21+Skills!Q6+(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Inputs!$B$3&gt;=103</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1756=TRUE)*(F1756-Calc!F20)),(Inputs!$B$23+0+(IF(ArtifactsInput!$M$15,CHOOSE(ArtifactsInput!$N$15+1,25,30,35,40,45,50)/100*(Inputs!$B$11-Inputs!$B$11),0))))/100+(Inputs!$B$23+0+(IF(ArtifactsInput!$M$15,CHOOSE(ArtifactsInput!$N$15+1,25,30,35,40,45,50)/100*(Inputs!$B$11-Inputs!$B$11),0)))/100)/2</f>
        <v/>
      </c>
      <c r="M1743">
        <f>L1743*(1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IF(B1775=0,0,O1743/B1775)</f>
        <v/>
      </c>
      <c r="Q1743">
        <f>IFERROR(1/(IF(Inputs!$B$38="pvp",15,MAX(0.1,Skills!D7-IF(TRUE=TRUE,Inputs!$B$32,0)))*(1-IF(AND(ArtifactsInput!$M$27,Inputs!$B$4="Chapter Hunt"),CHOOSE(ArtifactsInput!$N$27+1,20,24,28,32,36,40),0)/100)),0)</f>
        <v/>
      </c>
      <c r="R1743">
        <f>IF(AND(Inputs!$B$38&lt;&gt;"pvp",Inputs!$B$43&gt;0),IF(MAX(0,Inputs!$B$43-B1772)&lt;=0,0,(INT(MAX(0,Inputs!$B$43-B1772)/(IF(Inputs!$B$38="pvp",15,MAX(0.1,Skills!D7-IF(TRUE=TRUE,Inputs!$B$32,0)))*(1-IF(AND(ArtifactsInput!$M$27,Inputs!$B$4="Chapter Hunt"),CHOOSE(ArtifactsInput!$N$27+1,20,24,28,32,36,40),0)/100)))+1)),0)</f>
        <v/>
      </c>
      <c r="S1743">
        <f>IFERROR(O1743/N1743,0)</f>
        <v/>
      </c>
      <c r="T1743">
        <f>IF(C1743,(H1743*N1743*IF(AND(Inputs!$B$38&lt;&gt;"pvp",Inputs!$B$43&gt;0),((Skills!G7*((R1743-1)*IF(Skills!H7&gt;0,Skills!I7/Skills!H7,1)+IF(Skills!H7&gt;0,MIN(Skills!I7,MAX(0,MAX(0,Inputs!$B$43-B1772)-((R1743-1)*(IF(Inputs!$B$38="pvp",15,MAX(0.1,Skills!D7-IF(TRUE=TRUE,Inputs!$B$32,0)))*(1-IF(AND(ArtifactsInput!$M$27,Inputs!$B$4="Chapter Hunt"),CHOOSE(ArtifactsInput!$N$27+1,20,24,28,32,36,40),0)/100)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1772)-((R1743-1)*(IF(Inputs!$B$38="pvp",15,MAX(0.1,Skills!D7-IF(TRUE=TRUE,Inputs!$B$32,0)))*(1-IF(AND(ArtifactsInput!$M$27,Inputs!$B$4="Chapter Hunt"),CHOOSE(ArtifactsInput!$N$27+1,20,24,28,32,36,40),0)/100)))))/Skills!H7,1)))/Inputs!$B$43),G1743*Q1743))*IF(Inputs!$B$38="pvp",1,(1+(Inputs!$B$21+Skills!Q7+(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Inputs!$B$3&gt;=117</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f>Skills!G8*IF(Skills!H8&gt;0,Skills!I8/Skills!H8,1)</f>
        <v/>
      </c>
      <c r="H1744">
        <f>1-(1-Skills!J8/100)^Skills!K8</f>
        <v/>
      </c>
      <c r="I1744" t="inlineStr">
        <is>
          <t>1</t>
        </is>
      </c>
      <c r="J1744">
        <f>((Inputs!$B$6*(1+Inputs!$B$7/100))+(((Inputs!$B$12*(1+Inputs!$B$13/100))-(Inputs!$B$12*(1+Inputs!$B$13/100)))+0.25*(Inputs!$B$14-Inputs!$B$14))*(1+Inputs!$B$7/100))*(F1744/100)</f>
        <v/>
      </c>
      <c r="K1744">
        <f>J1744*(1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C1756=TRUE)*(F1756-Calc!F20)),(Inputs!$B$23+0+(IF(ArtifactsInput!$M$15,CHOOSE(ArtifactsInput!$N$15+1,25,30,35,40,45,50)/100*(Inputs!$B$11-Inputs!$B$11),0))))/100+(Inputs!$B$23+0+(IF(ArtifactsInput!$M$15,CHOOSE(ArtifactsInput!$N$15+1,25,30,35,40,45,50)/100*(Inputs!$B$11-Inputs!$B$11),0)))/100)/2</f>
        <v/>
      </c>
      <c r="M1744">
        <f>L1744*(1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(1-Summary!$B$11)*T1744+Summary!$B$11*V1744</f>
        <v/>
      </c>
      <c r="P1744">
        <f>IF(B1775=0,0,O1744/B1775)</f>
        <v/>
      </c>
      <c r="Q1744">
        <f>IFERROR(1/(IF(Inputs!$B$38="pvp",15,MAX(0.1,Skills!D8-IF(TRUE=TRUE,Inputs!$B$32,0)))*(1-IF(AND(ArtifactsInput!$M$27,Inputs!$B$4="Chapter Hunt"),CHOOSE(ArtifactsInput!$N$27+1,20,24,28,32,36,40),0)/100)),0)</f>
        <v/>
      </c>
      <c r="R1744">
        <f>IF(AND(Inputs!$B$38&lt;&gt;"pvp",Inputs!$B$43&gt;0),IF(MAX(0,Inputs!$B$43-B1772)&lt;=0,0,(INT(MAX(0,Inputs!$B$43-B1772)/(IF(Inputs!$B$38="pvp",15,MAX(0.1,Skills!D8-IF(TRUE=TRUE,Inputs!$B$32,0)))*(1-IF(AND(ArtifactsInput!$M$27,Inputs!$B$4="Chapter Hunt"),CHOOSE(ArtifactsInput!$N$27+1,20,24,28,32,36,40),0)/100)))+1)),0)</f>
        <v/>
      </c>
      <c r="S1744">
        <f>IFERROR(O1744/N1744,0)</f>
        <v/>
      </c>
      <c r="T1744">
        <f>IF(C1744,(H1744*N1744*IF(AND(Inputs!$B$38&lt;&gt;"pvp",Inputs!$B$43&gt;0),((Skills!G8*((R1744-1)*IF(Skills!H8&gt;0,Skills!I8/Skills!H8,1)+IF(Skills!H8&gt;0,MIN(Skills!I8,MAX(0,MAX(0,Inputs!$B$43-B1772)-((R1744-1)*(IF(Inputs!$B$38="pvp",15,MAX(0.1,Skills!D8-IF(TRUE=TRUE,Inputs!$B$32,0)))*(1-IF(AND(ArtifactsInput!$M$27,Inputs!$B$4="Chapter Hunt"),CHOOSE(ArtifactsInput!$N$27+1,20,24,28,32,36,40),0)/100)))))/Skills!H8,1)))/Inputs!$B$43),G1744*Q1744)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1744*(1-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4">
        <f>IF(C1744,(H1744*N1744*IF(AND(Inputs!$B$38&lt;&gt;"pvp",Inputs!$B$43&gt;0),((Skills!G8*((R1744-1)*IF(Skills!H8&gt;0,Skills!I8/Skills!H8,1)+IF(Skills!H8&gt;0,MIN(Skills!I8,MAX(0,MAX(0,Inputs!$B$43-B1772)-((R1744-1)*(IF(Inputs!$B$38="pvp",15,MAX(0.1,Skills!D8-IF(TRUE=TRUE,Inputs!$B$32,0)))*(1-IF(AND(ArtifactsInput!$M$27,Inputs!$B$4="Chapter Hunt"),CHOOSE(ArtifactsInput!$N$27+1,20,24,28,32,36,40),0)/100)))))/Skills!H8,1)))/Inputs!$B$43),G1744*Q1744))*IF(Inputs!$B$38="pvp",1,(1+(Inputs!$B$21+Skills!Q8+(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5">
      <c r="A1745">
        <f>Skills!A9</f>
        <v/>
      </c>
      <c r="B1745">
        <f>Skills!B9</f>
        <v/>
      </c>
      <c r="C1745">
        <f>Inputs!$B$3&gt;=120</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B1777</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1756=TRUE)*(F1756-Calc!F20)),(Inputs!$B$23+0+(IF(ArtifactsInput!$M$15,CHOOSE(ArtifactsInput!$N$15+1,25,30,35,40,45,50)/100*(Inputs!$B$11-Inputs!$B$11),0))))/100+(Inputs!$B$23+0+(IF(ArtifactsInput!$M$15,CHOOSE(ArtifactsInput!$N$15+1,25,30,35,40,45,50)/100*(Inputs!$B$11-Inputs!$B$11),0)))/100)/2</f>
        <v/>
      </c>
      <c r="M1745">
        <f>L1745*(1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IF(B1775=0,0,O1745/B1775)</f>
        <v/>
      </c>
      <c r="Q1745">
        <f>IFERROR(1/(IF(Inputs!$B$38="pvp",15,MAX(0.1,Skills!D9-IF(TRUE=TRUE,Inputs!$B$32,0)))*(1-IF(AND(ArtifactsInput!$M$27,Inputs!$B$4="Chapter Hunt"),CHOOSE(ArtifactsInput!$N$27+1,20,24,28,32,36,40),0)/100)),0)</f>
        <v/>
      </c>
      <c r="R1745">
        <f>IF(AND(Inputs!$B$38&lt;&gt;"pvp",Inputs!$B$43&gt;0),IF(MAX(0,Inputs!$B$43-B1772)&lt;=0,0,(INT(MAX(0,Inputs!$B$43-B1772)/(IF(Inputs!$B$38="pvp",15,MAX(0.1,Skills!D9-IF(TRUE=TRUE,Inputs!$B$32,0)))*(1-IF(AND(ArtifactsInput!$M$27,Inputs!$B$4="Chapter Hunt"),CHOOSE(ArtifactsInput!$N$27+1,20,24,28,32,36,40),0)/100)))+1)),0)</f>
        <v/>
      </c>
      <c r="S1745">
        <f>IFERROR(O1745/N1745,0)</f>
        <v/>
      </c>
      <c r="T1745">
        <f>IF(C1745,(H1745*N1745*IF(AND(Inputs!$B$38&lt;&gt;"pvp",Inputs!$B$43&gt;0),((Skills!G9*((R1745-1)*IF(Skills!H9&gt;0,Skills!I9/Skills!H9,1)+IF(Skills!H9&gt;0,MIN(Skills!I9,MAX(0,MAX(0,Inputs!$B$43-B1772)-((R1745-1)*(IF(Inputs!$B$38="pvp",15,MAX(0.1,Skills!D9-IF(TRUE=TRUE,Inputs!$B$32,0)))*(1-IF(AND(ArtifactsInput!$M$27,Inputs!$B$4="Chapter Hunt"),CHOOSE(ArtifactsInput!$N$27+1,20,24,28,32,36,40),0)/100)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1772)-((R1745-1)*(IF(Inputs!$B$38="pvp",15,MAX(0.1,Skills!D9-IF(TRUE=TRUE,Inputs!$B$32,0)))*(1-IF(AND(ArtifactsInput!$M$27,Inputs!$B$4="Chapter Hunt"),CHOOSE(ArtifactsInput!$N$27+1,20,24,28,32,36,40),0)/100)))))/Skills!H9,1)))/Inputs!$B$43),G1745*Q1745))*IF(Inputs!$B$38="pvp",1,(1+(Inputs!$B$21+Skills!Q9+(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Inputs!$B$3&gt;=105</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1756=TRUE)*(F1756-Calc!F20)),(Inputs!$B$23+0+(IF(ArtifactsInput!$M$15,CHOOSE(ArtifactsInput!$N$15+1,25,30,35,40,45,50)/100*(Inputs!$B$11-Inputs!$B$11),0))))/100+(Inputs!$B$23+0+(IF(ArtifactsInput!$M$15,CHOOSE(ArtifactsInput!$N$15+1,25,30,35,40,45,50)/100*(Inputs!$B$11-Inputs!$B$11),0)))/100)/2</f>
        <v/>
      </c>
      <c r="M1746">
        <f>L1746*(1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IF(B1775=0,0,O1746/B1775)</f>
        <v/>
      </c>
      <c r="Q1746">
        <f>IFERROR(1/(IF(Inputs!$B$38="pvp",15,MAX(0.1,Skills!D10-IF(TRUE=TRUE,Inputs!$B$32,0)))*(1-IF(AND(ArtifactsInput!$M$27,Inputs!$B$4="Chapter Hunt"),CHOOSE(ArtifactsInput!$N$27+1,20,24,28,32,36,40),0)/100)),0)</f>
        <v/>
      </c>
      <c r="R1746">
        <f>IF(AND(Inputs!$B$38&lt;&gt;"pvp",Inputs!$B$43&gt;0),IF(MAX(0,Inputs!$B$43-B1772)&lt;=0,0,(INT(MAX(0,Inputs!$B$43-B1772)/(IF(Inputs!$B$38="pvp",15,MAX(0.1,Skills!D10-IF(TRUE=TRUE,Inputs!$B$32,0)))*(1-IF(AND(ArtifactsInput!$M$27,Inputs!$B$4="Chapter Hunt"),CHOOSE(ArtifactsInput!$N$27+1,20,24,28,32,36,40),0)/100)))+1)),0)</f>
        <v/>
      </c>
      <c r="S1746">
        <f>IFERROR(O1746/N1746,0)</f>
        <v/>
      </c>
      <c r="T1746">
        <f>IF(C1746,(H1746*N1746*IF(AND(Inputs!$B$38&lt;&gt;"pvp",Inputs!$B$43&gt;0),((Skills!G10*((R1746-1)*IF(Skills!H10&gt;0,Skills!I10/Skills!H10,1)+IF(Skills!H10&gt;0,MIN(Skills!I10,MAX(0,MAX(0,Inputs!$B$43-B1772)-((R1746-1)*(IF(Inputs!$B$38="pvp",15,MAX(0.1,Skills!D10-IF(TRUE=TRUE,Inputs!$B$32,0)))*(1-IF(AND(ArtifactsInput!$M$27,Inputs!$B$4="Chapter Hunt"),CHOOSE(ArtifactsInput!$N$27+1,20,24,28,32,36,40),0)/100)))))/Skills!H10,1)))/Inputs!$B$43),G1746*Q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H1746*N1746*IF(AND(Inputs!$B$38&lt;&gt;"pvp",Inputs!$B$43&gt;0),((Skills!G10*((R1746-1)*IF(Skills!H10&gt;0,Skills!I10/Skills!H10,1)+IF(Skills!H10&gt;0,MIN(Skills!I10,MAX(0,MAX(0,Inputs!$B$43-B1772)-((R1746-1)*(IF(Inputs!$B$38="pvp",15,MAX(0.1,Skills!D10-IF(TRUE=TRUE,Inputs!$B$32,0)))*(1-IF(AND(ArtifactsInput!$M$27,Inputs!$B$4="Chapter Hunt"),CHOOSE(ArtifactsInput!$N$27+1,20,24,28,32,36,40),0)/100)))))/Skills!H10,1)))/Inputs!$B$43),G1746*Q1746))*IF(Inputs!$B$38="pvp",1,(1+(Inputs!$B$21+Skills!Q10+(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Inputs!$B$3&gt;=113</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1756=TRUE)*(F1756-Calc!F20)),(Inputs!$B$23+0+(IF(ArtifactsInput!$M$15,CHOOSE(ArtifactsInput!$N$15+1,25,30,35,40,45,50)/100*(Inputs!$B$11-Inputs!$B$11),0))))/100+(Inputs!$B$23+0+(IF(ArtifactsInput!$M$15,CHOOSE(ArtifactsInput!$N$15+1,25,30,35,40,45,50)/100*(Inputs!$B$11-Inputs!$B$11),0)))/100)/2</f>
        <v/>
      </c>
      <c r="M1747">
        <f>L1747*(1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IF(B1775=0,0,O1747/B1775)</f>
        <v/>
      </c>
      <c r="Q1747" t="n">
        <v>0</v>
      </c>
      <c r="R1747" t="n">
        <v>0</v>
      </c>
      <c r="S1747">
        <f>IFERROR(O1747/N1747,0)</f>
        <v/>
      </c>
      <c r="T1747">
        <f>IF(C1747,((H1747*B1778)/(1+Skills!H11*H1747*B1778)*N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IF(C1747,((H1747*B1778)/(1+Skills!H11*H1747*B1778)*N1747)*IF(Inputs!$B$38="pvp",1,(1+(Inputs!$B$21+Skills!Q11+(IF(ArtifactsInput!$M$33,CHOOSE(ArtifactsInput!$N$33+1,30,36,42,48,54,60),0))+(IF(AND(ArtifactsInput!$M$35,Inputs!$B$4&lt;&gt;"Chapter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Inputs!$B$3&gt;=100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t="inlineStr"/>
      <c r="H1748" t="inlineStr"/>
      <c r="I1748" t="inlineStr">
        <is>
          <t>1</t>
        </is>
      </c>
      <c r="J1748" t="inlineStr"/>
      <c r="K1748" t="inlineStr"/>
      <c r="L1748" t="inlineStr"/>
      <c r="M1748" t="inlineStr"/>
      <c r="N1748" t="inlineStr"/>
      <c r="O1748" t="inlineStr"/>
      <c r="P1748" t="inlineStr"/>
      <c r="Q1748" t="inlineStr"/>
      <c r="R1748" t="inlineStr"/>
      <c r="S1748" t="inlineStr"/>
      <c r="T1748" t="inlineStr"/>
      <c r="V1748" t="inlineStr"/>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IF(B1775=0,0,O1749/B1775)</f>
        <v/>
      </c>
      <c r="Q1749" t="n">
        <v>0</v>
      </c>
      <c r="R1749" t="n">
        <v>0</v>
      </c>
      <c r="S1749">
        <f>IFERROR(O1749/N1749,0)</f>
        <v/>
      </c>
      <c r="T1749" t="n">
        <v>0</v>
      </c>
      <c r="V1749" t="n">
        <v>0</v>
      </c>
    </row>
    <row r="1750">
      <c r="A1750">
        <f>Skills!A14</f>
        <v/>
      </c>
      <c r="B1750">
        <f>Skills!B14</f>
        <v/>
      </c>
      <c r="C1750">
        <f>Inputs!$B$3&gt;=115</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IF(B1775=0,0,O1750/B1775)</f>
        <v/>
      </c>
      <c r="Q1750">
        <f>IFERROR(1/(IF(Inputs!$B$38="pvp",15,MAX(0.1,Skills!D14-IF(TRUE=TRUE,Inputs!$B$32,0)))*(1-IF(AND(ArtifactsInput!$M$27,Inputs!$B$4="Chapter Hunt"),CHOOSE(ArtifactsInput!$N$27+1,20,24,28,32,36,40),0)/100)),0)</f>
        <v/>
      </c>
      <c r="R1750">
        <f>IF(AND(Inputs!$B$38&lt;&gt;"pvp",Inputs!$B$43&gt;0),IF(Inputs!$B$43&lt;=0,0,(INT(Inputs!$B$43/(IF(Inputs!$B$38="pvp",15,MAX(0.1,Skills!D14-IF(TRUE=TRUE,Inputs!$B$32,0)))*(1-IF(AND(ArtifactsInput!$M$27,Inputs!$B$4="Chapter Hunt"),CHOOSE(ArtifactsInput!$N$27+1,20,24,28,32,36,40),0)/100)))+1)),0)</f>
        <v/>
      </c>
      <c r="S1750">
        <f>IFERROR(O1750/N1750,0)</f>
        <v/>
      </c>
      <c r="T1750" t="n">
        <v>0</v>
      </c>
      <c r="V1750" t="n">
        <v>0</v>
      </c>
    </row>
    <row r="1751">
      <c r="A1751">
        <f>Skills!A15</f>
        <v/>
      </c>
      <c r="B1751">
        <f>Skills!B15</f>
        <v/>
      </c>
      <c r="C1751">
        <f>Inputs!$B$3&gt;=125</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IF(B1775=0,0,O1751/B1775)</f>
        <v/>
      </c>
      <c r="Q1751">
        <f>IFERROR(1/(IF(Inputs!$B$38="pvp",15,MAX(0.1,Skills!D15-IF(TRUE=TRUE,Inputs!$B$32,0)))*(1-IF(AND(ArtifactsInput!$M$27,Inputs!$B$4="Chapter Hunt"),CHOOSE(ArtifactsInput!$N$27+1,20,24,28,32,36,40),0)/100)),0)</f>
        <v/>
      </c>
      <c r="R1751">
        <f>IF(AND(Inputs!$B$38&lt;&gt;"pvp",Inputs!$B$43&gt;0),IF(Inputs!$B$43&lt;=0,0,(INT(Inputs!$B$43/(IF(Inputs!$B$38="pvp",15,MAX(0.1,Skills!D15-IF(TRUE=TRUE,Inputs!$B$32,0)))*(1-IF(AND(ArtifactsInput!$M$27,Inputs!$B$4="Chapter Hunt"),CHOOSE(ArtifactsInput!$N$27+1,20,24,28,32,36,40),0)/100)))+1)),0)</f>
        <v/>
      </c>
      <c r="S1751">
        <f>IFERROR(O1751/N1751,0)</f>
        <v/>
      </c>
      <c r="T1751" t="n">
        <v>0</v>
      </c>
      <c r="V1751" t="n">
        <v>0</v>
      </c>
    </row>
    <row r="1752">
      <c r="A1752">
        <f>Skills!A16</f>
        <v/>
      </c>
      <c r="B1752">
        <f>Skills!B16</f>
        <v/>
      </c>
      <c r="C1752">
        <f>Inputs!$B$3&gt;=10</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IF(B1775=0,0,O1752/B1775)</f>
        <v/>
      </c>
      <c r="Q1752" t="n">
        <v>0</v>
      </c>
      <c r="R1752" t="n">
        <v>0</v>
      </c>
      <c r="S1752">
        <f>IFERROR(O1752/N1752,0)</f>
        <v/>
      </c>
      <c r="T1752" t="n">
        <v>0</v>
      </c>
      <c r="V1752" t="n">
        <v>0</v>
      </c>
    </row>
    <row r="1753">
      <c r="A1753">
        <f>Skills!A17</f>
        <v/>
      </c>
      <c r="B1753">
        <f>Skills!B17</f>
        <v/>
      </c>
      <c r="C1753">
        <f>Inputs!$B$3&gt;=15</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IF(B1775=0,0,O1753/B1775)</f>
        <v/>
      </c>
      <c r="Q1753" t="n">
        <v>0</v>
      </c>
      <c r="R1753" t="n">
        <v>0</v>
      </c>
      <c r="S1753">
        <f>IFERROR(O1753/N1753,0)</f>
        <v/>
      </c>
      <c r="T1753" t="n">
        <v>0</v>
      </c>
      <c r="V1753" t="n">
        <v>0</v>
      </c>
    </row>
    <row r="1754">
      <c r="A1754">
        <f>Skills!A18</f>
        <v/>
      </c>
      <c r="B1754">
        <f>Skills!B18</f>
        <v/>
      </c>
      <c r="C1754">
        <f>Inputs!$B$3&gt;=33</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IF(B1775=0,0,O1754/B1775)</f>
        <v/>
      </c>
      <c r="Q1754" t="n">
        <v>0</v>
      </c>
      <c r="R1754" t="n">
        <v>0</v>
      </c>
      <c r="S1754">
        <f>IFERROR(O1754/N1754,0)</f>
        <v/>
      </c>
      <c r="T1754" t="n">
        <v>0</v>
      </c>
      <c r="V1754" t="n">
        <v>0</v>
      </c>
    </row>
    <row r="1755">
      <c r="A1755">
        <f>Skills!A19</f>
        <v/>
      </c>
      <c r="B1755">
        <f>Skills!B19</f>
        <v/>
      </c>
      <c r="C1755">
        <f>Inputs!$B$3&gt;=40</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IF(B1775=0,0,O1755/B1775)</f>
        <v/>
      </c>
      <c r="Q1755" t="n">
        <v>0</v>
      </c>
      <c r="R1755" t="n">
        <v>0</v>
      </c>
      <c r="S1755">
        <f>IFERROR(O1755/N1755,0)</f>
        <v/>
      </c>
      <c r="T1755" t="n">
        <v>0</v>
      </c>
      <c r="V1755" t="n">
        <v>0</v>
      </c>
    </row>
    <row r="1756">
      <c r="A1756">
        <f>Skills!A20</f>
        <v/>
      </c>
      <c r="B1756">
        <f>Skills!B20</f>
        <v/>
      </c>
      <c r="C1756">
        <f>Inputs!$B$3&gt;=43</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IF(B1775=0,0,O1756/B1775)</f>
        <v/>
      </c>
      <c r="Q1756" t="n">
        <v>0</v>
      </c>
      <c r="R1756" t="n">
        <v>0</v>
      </c>
      <c r="S1756">
        <f>IFERROR(O1756/N1756,0)</f>
        <v/>
      </c>
      <c r="T1756" t="n">
        <v>0</v>
      </c>
      <c r="V1756" t="n">
        <v>0</v>
      </c>
    </row>
    <row r="1757">
      <c r="A1757">
        <f>Skills!A21</f>
        <v/>
      </c>
      <c r="B1757">
        <f>Skills!B21</f>
        <v/>
      </c>
      <c r="C1757">
        <f>Inputs!$B$3&gt;=38</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IF(B1775=0,0,O1757/B1775)</f>
        <v/>
      </c>
      <c r="Q1757" t="n">
        <v>0</v>
      </c>
      <c r="R1757" t="n">
        <v>0</v>
      </c>
      <c r="S1757">
        <f>IFERROR(O1757/N1757,0)</f>
        <v/>
      </c>
      <c r="T1757" t="n">
        <v>0</v>
      </c>
      <c r="V1757" t="n">
        <v>0</v>
      </c>
    </row>
    <row r="1758">
      <c r="A1758">
        <f>Skills!A22</f>
        <v/>
      </c>
      <c r="B1758">
        <f>Skills!B22</f>
        <v/>
      </c>
      <c r="C1758">
        <f>Inputs!$B$3&gt;=75</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IF(B1775=0,0,O1758/B1775)</f>
        <v/>
      </c>
      <c r="Q1758" t="n">
        <v>0</v>
      </c>
      <c r="R1758" t="n">
        <v>0</v>
      </c>
      <c r="S1758">
        <f>IFERROR(O1758/N1758,0)</f>
        <v/>
      </c>
      <c r="T1758" t="n">
        <v>0</v>
      </c>
      <c r="V1758" t="n">
        <v>0</v>
      </c>
    </row>
    <row r="1759">
      <c r="A1759">
        <f>Skills!A23</f>
        <v/>
      </c>
      <c r="B1759">
        <f>Skills!B23</f>
        <v/>
      </c>
      <c r="C1759">
        <f>TRUE</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IF(B1775=0,0,O1759/B1775)</f>
        <v/>
      </c>
      <c r="Q1759">
        <f>IFERROR(1/(IF(Inputs!$B$38="pvp",15,MAX(0.1,Skills!D23-IF(TRUE=TRUE,Inputs!$B$32,0)))*(1-IF(AND(ArtifactsInput!$M$27,Inputs!$B$4="Chapter Hunt"),CHOOSE(ArtifactsInput!$N$27+1,20,24,28,32,36,40),0)/100)),0)</f>
        <v/>
      </c>
      <c r="R1759">
        <f>IF(AND(Inputs!$B$38&lt;&gt;"pvp",Inputs!$B$43&gt;0),IF(Inputs!$B$43&lt;=0,0,(INT(Inputs!$B$43/(IF(Inputs!$B$38="pvp",15,MAX(0.1,Skills!D23-IF(TRUE=TRUE,Inputs!$B$32,0)))*(1-IF(AND(ArtifactsInput!$M$27,Inputs!$B$4="Chapter Hunt"),CHOOSE(ArtifactsInput!$N$27+1,20,24,28,32,36,40),0)/100)))+1)),0)</f>
        <v/>
      </c>
      <c r="S1759">
        <f>IFERROR(O1759/N1759,0)</f>
        <v/>
      </c>
      <c r="T1759" t="n">
        <v>0</v>
      </c>
      <c r="V1759" t="n">
        <v>0</v>
      </c>
    </row>
    <row r="1760">
      <c r="A1760">
        <f>Skills!A24</f>
        <v/>
      </c>
      <c r="B1760">
        <f>Skills!B24</f>
        <v/>
      </c>
      <c r="C1760">
        <f>Inputs!$B$3&gt;=107</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IF(B1775=0,0,O1760/B1775)</f>
        <v/>
      </c>
      <c r="Q1760">
        <f>IFERROR(1/(IF(Inputs!$B$38="pvp",15,MAX(0.1,Skills!D24-IF(TRUE=TRUE,Inputs!$B$32,0)))*(1-IF(AND(ArtifactsInput!$M$27,Inputs!$B$4="Chapter Hunt"),CHOOSE(ArtifactsInput!$N$27+1,20,24,28,32,36,40),0)/100)),0)</f>
        <v/>
      </c>
      <c r="R1760">
        <f>IF(AND(Inputs!$B$38&lt;&gt;"pvp",Inputs!$B$43&gt;0),IF(Inputs!$B$43&lt;=0,0,(INT(Inputs!$B$43/(IF(Inputs!$B$38="pvp",15,MAX(0.1,Skills!D24-IF(TRUE=TRUE,Inputs!$B$32,0)))*(1-IF(AND(ArtifactsInput!$M$27,Inputs!$B$4="Chapter Hunt"),CHOOSE(ArtifactsInput!$N$27+1,20,24,28,32,36,40),0)/100)))+1)),0)</f>
        <v/>
      </c>
      <c r="S1760">
        <f>IFERROR(O1760/N1760,0)</f>
        <v/>
      </c>
      <c r="T1760" t="n">
        <v>0</v>
      </c>
      <c r="V1760" t="n">
        <v>0</v>
      </c>
    </row>
    <row r="1761">
      <c r="A1761">
        <f>Skills!A25</f>
        <v/>
      </c>
      <c r="B1761">
        <f>Skills!B25</f>
        <v/>
      </c>
      <c r="C1761">
        <f>Inputs!$B$3&gt;=110</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t="inlineStr"/>
      <c r="H1761" t="inlineStr"/>
      <c r="I1761" t="inlineStr">
        <is>
          <t>1</t>
        </is>
      </c>
      <c r="J1761" t="inlineStr"/>
      <c r="K1761" t="inlineStr"/>
      <c r="L1761" t="inlineStr"/>
      <c r="M1761" t="inlineStr"/>
      <c r="N1761" t="inlineStr"/>
      <c r="O1761" t="inlineStr"/>
      <c r="P1761" t="inlineStr"/>
      <c r="Q1761" t="inlineStr"/>
      <c r="R1761" t="inlineStr"/>
      <c r="S1761" t="inlineStr"/>
      <c r="T1761" t="inlineStr"/>
      <c r="V1761" t="inlineStr"/>
    </row>
    <row r="1762">
      <c r="A1762">
        <f>Skills!A26</f>
        <v/>
      </c>
      <c r="B1762">
        <f>Skills!B26</f>
        <v/>
      </c>
      <c r="C1762">
        <f>Inputs!$B$3&gt;=117</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t="inlineStr"/>
      <c r="H1762" t="inlineStr"/>
      <c r="I1762" t="inlineStr">
        <is>
          <t>1</t>
        </is>
      </c>
      <c r="J1762" t="inlineStr"/>
      <c r="K1762" t="inlineStr"/>
      <c r="L1762" t="inlineStr"/>
      <c r="M1762" t="inlineStr"/>
      <c r="N1762" t="inlineStr"/>
      <c r="O1762" t="inlineStr"/>
      <c r="P1762" t="inlineStr"/>
      <c r="Q1762" t="inlineStr"/>
      <c r="R1762" t="inlineStr"/>
      <c r="S1762" t="inlineStr"/>
      <c r="T1762" t="inlineStr"/>
      <c r="V1762" t="inlineStr"/>
    </row>
    <row r="1764">
      <c r="A1764" t="inlineStr">
        <is>
          <t>Attack% Bucket Multiplier</t>
        </is>
      </c>
      <c r="B1764">
        <f>(1+(((C1749=TRUE)*F1749*5/7)+((C1755=TRUE)*(F1755-Calc!F19))+(IF(ArtifactsInput!$M$21,CHOOSE(ArtifactsInput!$N$21+1,25,30,35,40,45,50)*(IF(OR(Inputs!$B$4="Chapter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5">
      <c r="A1765" t="inlineStr">
        <is>
          <t>Global Crit Rate Bonus %</t>
        </is>
      </c>
      <c r="B1765" t="n">
        <v>0</v>
      </c>
    </row>
    <row r="1766">
      <c r="A1766" t="inlineStr">
        <is>
          <t>Attack Speed Buff Bonus % (Nimble Feet + Speed Infusion, duty-cycle averaged)</t>
        </is>
      </c>
      <c r="B1766">
        <f>((C1759=TRUE)*F1759*IF(AND(Inputs!$B$38&lt;&gt;"pvp",Inputs!$B$43&gt;0),(((R1759-1)*MIN((Skills!T23*(1+Inputs!$B$34/100)),(1/Q1759))+MIN((Skills!T23*(1+Inputs!$B$34/100)),MAX(0,Inputs!$B$43-((R1759-1)*(1/Q1759)))))/Inputs!$B$43),IF(Inputs!$B$38="pvp",MIN((Skills!T23*(1+Inputs!$B$34/100)),15)/15,MIN(1,(Skills!T23*(1+Inputs!$B$34/100))/(1/Q1759)))))+((C1760=TRUE)*F1760*IF(AND(Inputs!$B$38&lt;&gt;"pvp",Inputs!$B$43&gt;0),(((R1760-1)*MIN((Skills!T24*(1+Inputs!$B$34/100)),(1/Q1760))+MIN((Skills!T24*(1+Inputs!$B$34/100)),MAX(0,Inputs!$B$43-((R1760-1)*(1/Q1760)))))/Inputs!$B$43),IF(Inputs!$B$38="pvp",MIN((Skills!T24*(1+Inputs!$B$34/100)),15)/15,MIN(1,(Skills!T24*(1+Inputs!$B$34/100))/(1/Q1760)))))</f>
        <v/>
      </c>
    </row>
    <row r="1767">
      <c r="A1767" t="inlineStr">
        <is>
          <t>Actions Per Second</t>
        </is>
      </c>
      <c r="B1767">
        <f>1+MIN(150,150*(1-(1-(Inputs!$B$11+((C1753=TRUE)*(F1753-Calc!F17))+((C1754=TRUE)*(F1754-Calc!F18)))/150)*(1-B1766/150)))/100</f>
        <v/>
      </c>
    </row>
    <row r="1768">
      <c r="A1768" t="inlineStr">
        <is>
          <t>Skill + Buff Cast Rate</t>
        </is>
      </c>
      <c r="B1768">
        <f>IF(AND(Inputs!$B$38&lt;&gt;"pvp",Inputs!$B$43&gt;0),SUMPRODUCT((Skills!E2:E26=TRUE)*(C1738:C1762=TRUE)*R1738:R1762*Skills!F2:F26)/Inputs!$B$43,SUMPRODUCT((Skills!E2:E26=TRUE)*(C1738:C1762=TRUE)*Q1738:Q1762*Skills!F2:F26))</f>
        <v/>
      </c>
    </row>
    <row r="1769">
      <c r="A1769" t="inlineStr">
        <is>
          <t>Hook Bomber Casts Per Second</t>
        </is>
      </c>
      <c r="B1769">
        <f>MAX(0,B1767-B1768)</f>
        <v/>
      </c>
    </row>
    <row r="1770">
      <c r="A1770" t="inlineStr">
        <is>
          <t>Global Critical Damage Bonus % (unused)</t>
        </is>
      </c>
      <c r="B1770" t="n">
        <v>0</v>
      </c>
    </row>
    <row r="1771">
      <c r="A1771" t="inlineStr">
        <is>
          <t>Global Final Damage Bonus % (Serpent Scale + Crossbones + Time Leap + Speed Infusion)</t>
        </is>
      </c>
      <c r="B1771">
        <f>((C1741=TRUE)*(F1741*B1777+4*(1-B1777)))+((C1750=TRUE)*F1750*IF(AND(Inputs!$B$38&lt;&gt;"pvp",Inputs!$B$43&gt;0),(((R1750-1)*MIN((Skills!T14*(1+Inputs!$B$34/100)),(1/Q1750))+MIN((Skills!T14*(1+Inputs!$B$34/100)),MAX(0,Inputs!$B$43-((R1750-1)*(1/Q1750)))))/Inputs!$B$43),IF(Inputs!$B$38="pvp",MIN((Skills!T14*(1+Inputs!$B$34/100)),15)/15,MIN(1,(Skills!T14*(1+Inputs!$B$34/100))/(1/Q1750)))))+((C1751=TRUE)*F1751*IF(AND(Inputs!$B$38&lt;&gt;"pvp",Inputs!$B$43&gt;0),(((R1751-1)*MIN((Skills!T15*(1+Inputs!$B$34/100)),(1/Q1751))+MIN((Skills!T15*(1+Inputs!$B$34/100)),MAX(0,Inputs!$B$43-((R1751-1)*(1/Q1751)))))/Inputs!$B$43),IF(Inputs!$B$38="pvp",MIN((Skills!T15*(1+Inputs!$B$34/100)),15)/15,MIN(1,(Skills!T15*(1+Inputs!$B$34/100))/(1/Q1751)))))+((C1760=TRUE)*20*((1+MIN(150,150*(1-(1-(Inputs!$B$11+((C1753=TRUE)*(F1753-Calc!F17))+((C1754=TRUE)*(F1754-Calc!F18)))/150)*(1-(((C1759=TRUE)*F1759*IF(AND(Inputs!$B$38&lt;&gt;"pvp",Inputs!$B$43&gt;0),(((R1759-1)*MIN((Skills!T23*(1+Inputs!$B$34/100)),(1/Q1759))+MIN((Skills!T23*(1+Inputs!$B$34/100)),MAX(0,Inputs!$B$43-((R1759-1)*(1/Q1759)))))/Inputs!$B$43),IF(Inputs!$B$38="pvp",MIN((Skills!T23*(1+Inputs!$B$34/100)),15)/15,MIN(1,(Skills!T23*(1+Inputs!$B$34/100))/(1/Q1759)))))+F1760)/150)))/100)-1)*IF(AND(Inputs!$B$38&lt;&gt;"pvp",Inputs!$B$43&gt;0),(((R1760-1)*MIN((Skills!T24*(1+Inputs!$B$34/100)),(1/Q1760))+MIN((Skills!T24*(1+Inputs!$B$34/100)),MAX(0,Inputs!$B$43-((R1760-1)*(1/Q1760)))))/Inputs!$B$43),IF(Inputs!$B$38="pvp",MIN((Skills!T24*(1+Inputs!$B$34/100)),15)/15,MIN(1,(Skills!T24*(1+Inputs!$B$34/100))/(1/Q1760)))))</f>
        <v/>
      </c>
    </row>
    <row r="1772">
      <c r="A1772" t="inlineStr">
        <is>
          <t>Buff-Casting Startup Delay (s, fixed-duration only)</t>
        </is>
      </c>
      <c r="B1772">
        <f>IF(AND(Inputs!$B$38&lt;&gt;"pvp",Inputs!$B$43&gt;0),SUMPRODUCT((Skills!T2:T26&gt;0)*(Skills!E2:E26=TRUE)*(C1738:C1762=TRUE))/B1767,0)</f>
        <v/>
      </c>
    </row>
    <row r="1773">
      <c r="A1773" t="inlineStr">
        <is>
          <t>Boss-Only Total DPS (this block's swept value)</t>
        </is>
      </c>
      <c r="B1773">
        <f>SUM(T1738:T1762)</f>
        <v/>
      </c>
    </row>
    <row r="1774">
      <c r="A1774" t="inlineStr">
        <is>
          <t>Normal-Only Total DPS (this block's swept value)</t>
        </is>
      </c>
      <c r="B1774">
        <f>SUM(V1738:V1762)</f>
        <v/>
      </c>
    </row>
    <row r="1775">
      <c r="A1775" s="6" t="inlineStr">
        <is>
          <t>TOTAL DPS</t>
        </is>
      </c>
      <c r="B1775" s="6">
        <f>SUM(O1738:O1762)</f>
        <v/>
      </c>
    </row>
    <row r="1776">
      <c r="A1776" t="inlineStr">
        <is>
          <t>Serpent activation interval T (this block's own Hook Bomber rate)</t>
        </is>
      </c>
      <c r="B1776">
        <f>((1/Q1739)+IFERROR(0.5/B1769,0))</f>
        <v/>
      </c>
    </row>
    <row r="1777">
      <c r="A1777" t="inlineStr">
        <is>
          <t>Assault Mode uptime u (this block)</t>
        </is>
      </c>
      <c r="B1777">
        <f>IF(C1741=TRUE,(10+IF(Inputs!$B$3&gt;=94,5,0))/((10+IF(Inputs!$B$3&gt;=94,5,0))+IF(Inputs!$B$3&gt;=104,3,5)*B1776),0)</f>
        <v/>
      </c>
    </row>
    <row r="1778">
      <c r="A1778" t="inlineStr">
        <is>
          <t>Nautilus Strike - Final Attack trigger rate (this block's own Q/R)</t>
        </is>
      </c>
      <c r="B1778">
        <f>IF(AND(Inputs!$B$38&lt;&gt;"pvp",Inputs!$B$43&gt;0),(((C1742=TRUE)*R1742)+((C1743=TRUE)*R1743)+((C1746=TRUE)*R1746))/Inputs!$B$43,((C1742=TRUE)*Q1742)+((C1743=TRUE)*Q1743)+((C1746=TRUE)*Q1746))+B1769</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1801=TRUE)*(F1801-Calc!F20)),(Inputs!$B$23+0+(IF(ArtifactsInput!$M$15,CHOOSE(ArtifactsInput!$N$15+1,25,30,35,40,45,50)/100*(Inputs!$B$11-Inputs!$B$11),0))))/100+(Inputs!$B$23+0+(IF(ArtifactsInput!$M$15,CHOOSE(ArtifactsInput!$N$15+1,25,30,35,40,45,50)/100*(Inputs!$B$11-Inputs!$B$11),0)))/100)/2</f>
        <v/>
      </c>
      <c r="M1783">
        <f>L1783*(1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IF(B1820=0,0,O1783/B1820)</f>
        <v/>
      </c>
      <c r="Q1783" t="n">
        <v>0</v>
      </c>
      <c r="R1783" t="n">
        <v>0</v>
      </c>
      <c r="S1783">
        <f>IFERROR(O1783/N1783,0)</f>
        <v/>
      </c>
      <c r="T1783">
        <f>IF(C1783,(Skills!G2*N1783*B1814)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IF(C1783,(Skills!G2*N1783*B1814)*IF(Inputs!$B$38="pvp",1,(1+(Inputs!$B$21+Skills!Q2+(IF(ArtifactsInput!$M$33,CHOOSE(ArtifactsInput!$N$33+1,30,36,42,48,54,60),0))+(IF(AND(ArtifactsInput!$M$35,Inputs!$B$4&lt;&gt;"Chapter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Inputs!$B$3&gt;=35</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f>Skills!G3*IF(Skills!H3&gt;0,Skills!I3/Skills!H3,1)</f>
        <v/>
      </c>
      <c r="H1784">
        <f>1-(1-Skills!J3/100)^Skills!K3</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1806=TRUE,F1806,0)/100)*(1+(IF(Skills!A3="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1801=TRUE)*(F1801-Calc!F20)),(Inputs!$B$23+0+(IF(ArtifactsInput!$M$15,CHOOSE(ArtifactsInput!$N$15+1,25,30,35,40,45,50)/100*(Inputs!$B$11-Inputs!$B$11),0))))/100+(Inputs!$B$23+0+(IF(ArtifactsInput!$M$15,CHOOSE(ArtifactsInput!$N$15+1,25,30,35,40,45,50)/100*(Inputs!$B$11-Inputs!$B$11),0)))/100)/2</f>
        <v/>
      </c>
      <c r="M1784">
        <f>L1784*(1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IF(B1820=0,0,O1784/B1820)</f>
        <v/>
      </c>
      <c r="Q1784">
        <f>IFERROR(1/(IF(Inputs!$B$38="pvp",15,MAX(0.1,Skills!D3-IF(TRUE=TRUE,Inputs!$B$32,0)))*(1-IF(AND(ArtifactsInput!$M$27,Inputs!$B$4="Chapter Hunt"),CHOOSE(ArtifactsInput!$N$27+1,20,24,28,32,36,40),0)/100)),0)</f>
        <v/>
      </c>
      <c r="R1784">
        <f>IF(AND(Inputs!$B$38&lt;&gt;"pvp",Inputs!$B$43&gt;0),IF(MAX(0,Inputs!$B$43-B1817)&lt;=0,0,(INT(MAX(0,Inputs!$B$43-B1817)/(IF(Inputs!$B$38="pvp",15,MAX(0.1,Skills!D3-IF(TRUE=TRUE,Inputs!$B$32,0)))*(1-IF(AND(ArtifactsInput!$M$27,Inputs!$B$4="Chapter Hunt"),CHOOSE(ArtifactsInput!$N$27+1,20,24,28,32,36,40),0)/100)))+1)),0)</f>
        <v/>
      </c>
      <c r="S1784">
        <f>IFERROR(O1784/N1784,0)</f>
        <v/>
      </c>
      <c r="T1784">
        <f>IF(C1784,(Skills!G3*N1784*IF(C1785=TRUE,1-B1822,1)/B1821)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4">
        <f>INDEX(FactorTable!$B$2:$Y$301, MATCH(ROUND(MIN(300,MAX(1,U1783)),0), FactorTable!$A$2:$A$301,0), 22)</f>
        <v/>
      </c>
      <c r="V1784">
        <f>IF(C1784,(Skills!G3*N1784*IF(C1785=TRUE,1-B1822,1)/B1821)*IF(Inputs!$B$38="pvp",1,(1+(Inputs!$B$21+Skills!Q3+(IF(ArtifactsInput!$M$33,CHOOSE(ArtifactsInput!$N$33+1,30,36,42,48,54,60),0))+(IF(AND(ArtifactsInput!$M$35,Inputs!$B$4&lt;&gt;"Chapter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Skills!A4</f>
        <v/>
      </c>
      <c r="B1785">
        <f>Skills!B4</f>
        <v/>
      </c>
      <c r="C1785">
        <f>Inputs!$B$3&gt;=69</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f>Skills!G4*IF(Skills!H4&gt;0,Skills!I4/Skills!H4,1)</f>
        <v/>
      </c>
      <c r="H1785">
        <f>1-(1-Skills!J4/100)^Skills!K4</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1793=TRUE,F1793,0)/100)*(1+(IF(Skills!A4="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1801=TRUE)*(F1801-Calc!F20)),(Inputs!$B$23+0+(IF(ArtifactsInput!$M$15,CHOOSE(ArtifactsInput!$N$15+1,25,30,35,40,45,50)/100*(Inputs!$B$11-Inputs!$B$11),0))))/100+(Inputs!$B$23+0+(IF(ArtifactsInput!$M$15,CHOOSE(ArtifactsInput!$N$15+1,25,30,35,40,45,50)/100*(Inputs!$B$11-Inputs!$B$11),0)))/100)/2</f>
        <v/>
      </c>
      <c r="M1785">
        <f>L1785*(1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IF(B1820=0,0,O1785/B1820)</f>
        <v/>
      </c>
      <c r="Q1785" t="n">
        <v>0</v>
      </c>
      <c r="R1785" t="n">
        <v>0</v>
      </c>
      <c r="S1785">
        <f>IFERROR(O1785/N1785,0)</f>
        <v/>
      </c>
      <c r="T1785">
        <f>IF(C1785,(Skills!G4*N1785*B1822/B1821)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5">
        <f>290*U1784/1000</f>
        <v/>
      </c>
      <c r="V1785">
        <f>IF(C1785,(Skills!G4*N1785*B1822/B1821)*IF(Inputs!$B$38="pvp",1,(1+(Inputs!$B$21+Skills!Q4+(IF(ArtifactsInput!$M$33,CHOOSE(ArtifactsInput!$N$33+1,30,36,42,48,54,60),0))+(IF(AND(ArtifactsInput!$M$35,Inputs!$B$4&lt;&gt;"Chapter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Skills!A5</f>
        <v/>
      </c>
      <c r="B1786">
        <f>Skills!B5</f>
        <v/>
      </c>
      <c r="C1786">
        <f>Inputs!$B$3&gt;=66</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t="inlineStr"/>
      <c r="K1786" t="inlineStr"/>
      <c r="L1786" t="inlineStr"/>
      <c r="M1786" t="inlineStr"/>
      <c r="N1786" t="inlineStr"/>
      <c r="O1786">
        <f>(1-Summary!$B$11)*T1786+Summary!$B$11*V1786</f>
        <v/>
      </c>
      <c r="P1786">
        <f>IF(B1820=0,0,O1786/B1820)</f>
        <v/>
      </c>
      <c r="Q1786" t="n">
        <v>0</v>
      </c>
      <c r="R1786" t="n">
        <v>0</v>
      </c>
      <c r="S1786">
        <f>IFERROR(O1786/N1786,0)</f>
        <v/>
      </c>
      <c r="T1786" t="n">
        <v>0</v>
      </c>
      <c r="V1786" t="n">
        <v>0</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1793=TRUE,F1793,0)/100)*(1+(IF(Skills!A6="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1801=TRUE)*(F1801-Calc!F20)),(Inputs!$B$23+0+(IF(ArtifactsInput!$M$15,CHOOSE(ArtifactsInput!$N$15+1,25,30,35,40,45,50)/100*(Inputs!$B$11-Inputs!$B$11),0))))/100+(Inputs!$B$23+0+(IF(ArtifactsInput!$M$15,CHOOSE(ArtifactsInput!$N$15+1,25,30,35,40,45,50)/100*(Inputs!$B$11-Inputs!$B$11),0)))/100)/2</f>
        <v/>
      </c>
      <c r="M1787">
        <f>L1787*(1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IF(B1820=0,0,O1787/B1820)</f>
        <v/>
      </c>
      <c r="Q1787">
        <f>IFERROR(1/(IF(Inputs!$B$38="pvp",15,MAX(0.1,Skills!D6-IF(TRUE=TRUE,Inputs!$B$32,0)))*(1-IF(AND(ArtifactsInput!$M$27,Inputs!$B$4="Chapter Hunt"),CHOOSE(ArtifactsInput!$N$27+1,20,24,28,32,36,40),0)/100)),0)</f>
        <v/>
      </c>
      <c r="R1787">
        <f>IF(AND(Inputs!$B$38&lt;&gt;"pvp",Inputs!$B$43&gt;0),IF(MAX(0,Inputs!$B$43-B1817)&lt;=0,0,(INT(MAX(0,Inputs!$B$43-B1817)/(IF(Inputs!$B$38="pvp",15,MAX(0.1,Skills!D6-IF(TRUE=TRUE,Inputs!$B$32,0)))*(1-IF(AND(ArtifactsInput!$M$27,Inputs!$B$4="Chapter Hunt"),CHOOSE(ArtifactsInput!$N$27+1,20,24,28,32,36,40),0)/100)))+1)),0)</f>
        <v/>
      </c>
      <c r="S1787">
        <f>IFERROR(O1787/N1787,0)</f>
        <v/>
      </c>
      <c r="T1787">
        <f>IF(C1787,(H1787*N1787*IF(AND(Inputs!$B$38&lt;&gt;"pvp",Inputs!$B$43&gt;0),((Skills!G6*((R1787-1)*IF(Skills!H6&gt;0,Skills!I6/Skills!H6,1)+IF(Skills!H6&gt;0,MIN(Skills!I6,MAX(0,MAX(0,Inputs!$B$43-B1817)-((R1787-1)*(IF(Inputs!$B$38="pvp",15,MAX(0.1,Skills!D6-IF(TRUE=TRUE,Inputs!$B$32,0)))*(1-IF(AND(ArtifactsInput!$M$27,Inputs!$B$4="Chapter Hunt"),CHOOSE(ArtifactsInput!$N$27+1,20,24,28,32,36,40),0)/100)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1817)-((R1787-1)*(IF(Inputs!$B$38="pvp",15,MAX(0.1,Skills!D6-IF(TRUE=TRUE,Inputs!$B$32,0)))*(1-IF(AND(ArtifactsInput!$M$27,Inputs!$B$4="Chapter Hunt"),CHOOSE(ArtifactsInput!$N$27+1,20,24,28,32,36,40),0)/100)))))/Skills!H6,1)))/Inputs!$B$43),G1787*Q1787))*IF(Inputs!$B$38="pvp",1,(1+(Inputs!$B$21+Skills!Q6+(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Inputs!$B$3&gt;=103</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1801=TRUE)*(F1801-Calc!F20)),(Inputs!$B$23+0+(IF(ArtifactsInput!$M$15,CHOOSE(ArtifactsInput!$N$15+1,25,30,35,40,45,50)/100*(Inputs!$B$11-Inputs!$B$11),0))))/100+(Inputs!$B$23+0+(IF(ArtifactsInput!$M$15,CHOOSE(ArtifactsInput!$N$15+1,25,30,35,40,45,50)/100*(Inputs!$B$11-Inputs!$B$11),0)))/100)/2</f>
        <v/>
      </c>
      <c r="M1788">
        <f>L1788*(1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IF(B1820=0,0,O1788/B1820)</f>
        <v/>
      </c>
      <c r="Q1788">
        <f>IFERROR(1/(IF(Inputs!$B$38="pvp",15,MAX(0.1,Skills!D7-IF(TRUE=TRUE,Inputs!$B$32,0)))*(1-IF(AND(ArtifactsInput!$M$27,Inputs!$B$4="Chapter Hunt"),CHOOSE(ArtifactsInput!$N$27+1,20,24,28,32,36,40),0)/100)),0)</f>
        <v/>
      </c>
      <c r="R1788">
        <f>IF(AND(Inputs!$B$38&lt;&gt;"pvp",Inputs!$B$43&gt;0),IF(MAX(0,Inputs!$B$43-B1817)&lt;=0,0,(INT(MAX(0,Inputs!$B$43-B1817)/(IF(Inputs!$B$38="pvp",15,MAX(0.1,Skills!D7-IF(TRUE=TRUE,Inputs!$B$32,0)))*(1-IF(AND(ArtifactsInput!$M$27,Inputs!$B$4="Chapter Hunt"),CHOOSE(ArtifactsInput!$N$27+1,20,24,28,32,36,40),0)/100)))+1)),0)</f>
        <v/>
      </c>
      <c r="S1788">
        <f>IFERROR(O1788/N1788,0)</f>
        <v/>
      </c>
      <c r="T1788">
        <f>IF(C1788,(H1788*N1788*IF(AND(Inputs!$B$38&lt;&gt;"pvp",Inputs!$B$43&gt;0),((Skills!G7*((R1788-1)*IF(Skills!H7&gt;0,Skills!I7/Skills!H7,1)+IF(Skills!H7&gt;0,MIN(Skills!I7,MAX(0,MAX(0,Inputs!$B$43-B1817)-((R1788-1)*(IF(Inputs!$B$38="pvp",15,MAX(0.1,Skills!D7-IF(TRUE=TRUE,Inputs!$B$32,0)))*(1-IF(AND(ArtifactsInput!$M$27,Inputs!$B$4="Chapter Hunt"),CHOOSE(ArtifactsInput!$N$27+1,20,24,28,32,36,40),0)/100)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1817)-((R1788-1)*(IF(Inputs!$B$38="pvp",15,MAX(0.1,Skills!D7-IF(TRUE=TRUE,Inputs!$B$32,0)))*(1-IF(AND(ArtifactsInput!$M$27,Inputs!$B$4="Chapter Hunt"),CHOOSE(ArtifactsInput!$N$27+1,20,24,28,32,36,40),0)/100)))))/Skills!H7,1)))/Inputs!$B$43),G1788*Q1788))*IF(Inputs!$B$38="pvp",1,(1+(Inputs!$B$21+Skills!Q7+(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Inputs!$B$3&gt;=117</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f>Skills!G8*IF(Skills!H8&gt;0,Skills!I8/Skills!H8,1)</f>
        <v/>
      </c>
      <c r="H1789">
        <f>1-(1-Skills!J8/100)^Skills!K8</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1801=TRUE)*(F1801-Calc!F20)),(Inputs!$B$23+0+(IF(ArtifactsInput!$M$15,CHOOSE(ArtifactsInput!$N$15+1,25,30,35,40,45,50)/100*(Inputs!$B$11-Inputs!$B$11),0))))/100+(Inputs!$B$23+0+(IF(ArtifactsInput!$M$15,CHOOSE(ArtifactsInput!$N$15+1,25,30,35,40,45,50)/100*(Inputs!$B$11-Inputs!$B$11),0)))/100)/2</f>
        <v/>
      </c>
      <c r="M1789">
        <f>L1789*(1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IF(B1820=0,0,O1789/B1820)</f>
        <v/>
      </c>
      <c r="Q1789">
        <f>IFERROR(1/(IF(Inputs!$B$38="pvp",15,MAX(0.1,Skills!D8-IF(TRUE=TRUE,Inputs!$B$32,0)))*(1-IF(AND(ArtifactsInput!$M$27,Inputs!$B$4="Chapter Hunt"),CHOOSE(ArtifactsInput!$N$27+1,20,24,28,32,36,40),0)/100)),0)</f>
        <v/>
      </c>
      <c r="R1789">
        <f>IF(AND(Inputs!$B$38&lt;&gt;"pvp",Inputs!$B$43&gt;0),IF(MAX(0,Inputs!$B$43-B1817)&lt;=0,0,(INT(MAX(0,Inputs!$B$43-B1817)/(IF(Inputs!$B$38="pvp",15,MAX(0.1,Skills!D8-IF(TRUE=TRUE,Inputs!$B$32,0)))*(1-IF(AND(ArtifactsInput!$M$27,Inputs!$B$4="Chapter Hunt"),CHOOSE(ArtifactsInput!$N$27+1,20,24,28,32,36,40),0)/100)))+1)),0)</f>
        <v/>
      </c>
      <c r="S1789">
        <f>IFERROR(O1789/N1789,0)</f>
        <v/>
      </c>
      <c r="T1789">
        <f>IF(C1789,(H1789*N1789*IF(AND(Inputs!$B$38&lt;&gt;"pvp",Inputs!$B$43&gt;0),((Skills!G8*((R1789-1)*IF(Skills!H8&gt;0,Skills!I8/Skills!H8,1)+IF(Skills!H8&gt;0,MIN(Skills!I8,MAX(0,MAX(0,Inputs!$B$43-B1817)-((R1789-1)*(IF(Inputs!$B$38="pvp",15,MAX(0.1,Skills!D8-IF(TRUE=TRUE,Inputs!$B$32,0)))*(1-IF(AND(ArtifactsInput!$M$27,Inputs!$B$4="Chapter Hunt"),CHOOSE(ArtifactsInput!$N$27+1,20,24,28,32,36,40),0)/100)))))/Skills!H8,1)))/Inputs!$B$43),G1789*Q1789)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9">
        <f>IF(C1789,(H1789*N1789*IF(AND(Inputs!$B$38&lt;&gt;"pvp",Inputs!$B$43&gt;0),((Skills!G8*((R1789-1)*IF(Skills!H8&gt;0,Skills!I8/Skills!H8,1)+IF(Skills!H8&gt;0,MIN(Skills!I8,MAX(0,MAX(0,Inputs!$B$43-B1817)-((R1789-1)*(IF(Inputs!$B$38="pvp",15,MAX(0.1,Skills!D8-IF(TRUE=TRUE,Inputs!$B$32,0)))*(1-IF(AND(ArtifactsInput!$M$27,Inputs!$B$4="Chapter Hunt"),CHOOSE(ArtifactsInput!$N$27+1,20,24,28,32,36,40),0)/100)))))/Skills!H8,1)))/Inputs!$B$43),G1789*Q1789))*IF(Inputs!$B$38="pvp",1,(1+(Inputs!$B$21+Skills!Q8+(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Skills!A9</f>
        <v/>
      </c>
      <c r="B1790">
        <f>Skills!B9</f>
        <v/>
      </c>
      <c r="C1790">
        <f>Inputs!$B$3&gt;=120</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B1822</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1801=TRUE)*(F1801-Calc!F20)),(Inputs!$B$23+0+(IF(ArtifactsInput!$M$15,CHOOSE(ArtifactsInput!$N$15+1,25,30,35,40,45,50)/100*(Inputs!$B$11-Inputs!$B$11),0))))/100+(Inputs!$B$23+0+(IF(ArtifactsInput!$M$15,CHOOSE(ArtifactsInput!$N$15+1,25,30,35,40,45,50)/100*(Inputs!$B$11-Inputs!$B$11),0)))/100)/2</f>
        <v/>
      </c>
      <c r="M1790">
        <f>L1790*(1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IF(B1820=0,0,O1790/B1820)</f>
        <v/>
      </c>
      <c r="Q1790">
        <f>IFERROR(1/(IF(Inputs!$B$38="pvp",15,MAX(0.1,Skills!D9-IF(TRUE=TRUE,Inputs!$B$32,0)))*(1-IF(AND(ArtifactsInput!$M$27,Inputs!$B$4="Chapter Hunt"),CHOOSE(ArtifactsInput!$N$27+1,20,24,28,32,36,40),0)/100)),0)</f>
        <v/>
      </c>
      <c r="R1790">
        <f>IF(AND(Inputs!$B$38&lt;&gt;"pvp",Inputs!$B$43&gt;0),IF(MAX(0,Inputs!$B$43-B1817)&lt;=0,0,(INT(MAX(0,Inputs!$B$43-B1817)/(IF(Inputs!$B$38="pvp",15,MAX(0.1,Skills!D9-IF(TRUE=TRUE,Inputs!$B$32,0)))*(1-IF(AND(ArtifactsInput!$M$27,Inputs!$B$4="Chapter Hunt"),CHOOSE(ArtifactsInput!$N$27+1,20,24,28,32,36,40),0)/100)))+1)),0)</f>
        <v/>
      </c>
      <c r="S1790">
        <f>IFERROR(O1790/N1790,0)</f>
        <v/>
      </c>
      <c r="T1790">
        <f>IF(C1790,(H1790*N1790*IF(AND(Inputs!$B$38&lt;&gt;"pvp",Inputs!$B$43&gt;0),((Skills!G9*((R1790-1)*IF(Skills!H9&gt;0,Skills!I9/Skills!H9,1)+IF(Skills!H9&gt;0,MIN(Skills!I9,MAX(0,MAX(0,Inputs!$B$43-B1817)-((R1790-1)*(IF(Inputs!$B$38="pvp",15,MAX(0.1,Skills!D9-IF(TRUE=TRUE,Inputs!$B$32,0)))*(1-IF(AND(ArtifactsInput!$M$27,Inputs!$B$4="Chapter Hunt"),CHOOSE(ArtifactsInput!$N$27+1,20,24,28,32,36,40),0)/100)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1817)-((R1790-1)*(IF(Inputs!$B$38="pvp",15,MAX(0.1,Skills!D9-IF(TRUE=TRUE,Inputs!$B$32,0)))*(1-IF(AND(ArtifactsInput!$M$27,Inputs!$B$4="Chapter Hunt"),CHOOSE(ArtifactsInput!$N$27+1,20,24,28,32,36,40),0)/100)))))/Skills!H9,1)))/Inputs!$B$43),G1790*Q1790))*IF(Inputs!$B$38="pvp",1,(1+(Inputs!$B$21+Skills!Q9+(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Inputs!$B$3&gt;=105</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1801=TRUE)*(F1801-Calc!F20)),(Inputs!$B$23+0+(IF(ArtifactsInput!$M$15,CHOOSE(ArtifactsInput!$N$15+1,25,30,35,40,45,50)/100*(Inputs!$B$11-Inputs!$B$11),0))))/100+(Inputs!$B$23+0+(IF(ArtifactsInput!$M$15,CHOOSE(ArtifactsInput!$N$15+1,25,30,35,40,45,50)/100*(Inputs!$B$11-Inputs!$B$11),0)))/100)/2</f>
        <v/>
      </c>
      <c r="M1791">
        <f>L1791*(1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IF(B1820=0,0,O1791/B1820)</f>
        <v/>
      </c>
      <c r="Q1791">
        <f>IFERROR(1/(IF(Inputs!$B$38="pvp",15,MAX(0.1,Skills!D10-IF(TRUE=TRUE,Inputs!$B$32,0)))*(1-IF(AND(ArtifactsInput!$M$27,Inputs!$B$4="Chapter Hunt"),CHOOSE(ArtifactsInput!$N$27+1,20,24,28,32,36,40),0)/100)),0)</f>
        <v/>
      </c>
      <c r="R1791">
        <f>IF(AND(Inputs!$B$38&lt;&gt;"pvp",Inputs!$B$43&gt;0),IF(MAX(0,Inputs!$B$43-B1817)&lt;=0,0,(INT(MAX(0,Inputs!$B$43-B1817)/(IF(Inputs!$B$38="pvp",15,MAX(0.1,Skills!D10-IF(TRUE=TRUE,Inputs!$B$32,0)))*(1-IF(AND(ArtifactsInput!$M$27,Inputs!$B$4="Chapter Hunt"),CHOOSE(ArtifactsInput!$N$27+1,20,24,28,32,36,40),0)/100)))+1)),0)</f>
        <v/>
      </c>
      <c r="S1791">
        <f>IFERROR(O1791/N1791,0)</f>
        <v/>
      </c>
      <c r="T1791">
        <f>IF(C1791,(H1791*N1791*IF(AND(Inputs!$B$38&lt;&gt;"pvp",Inputs!$B$43&gt;0),((Skills!G10*((R1791-1)*IF(Skills!H10&gt;0,Skills!I10/Skills!H10,1)+IF(Skills!H10&gt;0,MIN(Skills!I10,MAX(0,MAX(0,Inputs!$B$43-B1817)-((R1791-1)*(IF(Inputs!$B$38="pvp",15,MAX(0.1,Skills!D10-IF(TRUE=TRUE,Inputs!$B$32,0)))*(1-IF(AND(ArtifactsInput!$M$27,Inputs!$B$4="Chapter Hunt"),CHOOSE(ArtifactsInput!$N$27+1,20,24,28,32,36,40),0)/100)))))/Skills!H10,1)))/Inputs!$B$43),G1791*Q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H1791*N1791*IF(AND(Inputs!$B$38&lt;&gt;"pvp",Inputs!$B$43&gt;0),((Skills!G10*((R1791-1)*IF(Skills!H10&gt;0,Skills!I10/Skills!H10,1)+IF(Skills!H10&gt;0,MIN(Skills!I10,MAX(0,MAX(0,Inputs!$B$43-B1817)-((R1791-1)*(IF(Inputs!$B$38="pvp",15,MAX(0.1,Skills!D10-IF(TRUE=TRUE,Inputs!$B$32,0)))*(1-IF(AND(ArtifactsInput!$M$27,Inputs!$B$4="Chapter Hunt"),CHOOSE(ArtifactsInput!$N$27+1,20,24,28,32,36,40),0)/100)))))/Skills!H10,1)))/Inputs!$B$43),G1791*Q1791))*IF(Inputs!$B$38="pvp",1,(1+(Inputs!$B$21+Skills!Q10+(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Inputs!$B$3&gt;=113</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1801=TRUE)*(F1801-Calc!F20)),(Inputs!$B$23+0+(IF(ArtifactsInput!$M$15,CHOOSE(ArtifactsInput!$N$15+1,25,30,35,40,45,50)/100*(Inputs!$B$11-Inputs!$B$11),0))))/100+(Inputs!$B$23+0+(IF(ArtifactsInput!$M$15,CHOOSE(ArtifactsInput!$N$15+1,25,30,35,40,45,50)/100*(Inputs!$B$11-Inputs!$B$11),0)))/100)/2</f>
        <v/>
      </c>
      <c r="M1792">
        <f>L1792*(1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IF(B1820=0,0,O1792/B1820)</f>
        <v/>
      </c>
      <c r="Q1792" t="n">
        <v>0</v>
      </c>
      <c r="R1792" t="n">
        <v>0</v>
      </c>
      <c r="S1792">
        <f>IFERROR(O1792/N1792,0)</f>
        <v/>
      </c>
      <c r="T1792">
        <f>IF(C1792,((H1792*B1823)/(1+Skills!H11*H1792*B1823)*N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IF(C1792,((H1792*B1823)/(1+Skills!H11*H1792*B1823)*N1792)*IF(Inputs!$B$38="pvp",1,(1+(Inputs!$B$21+Skills!Q11+(IF(ArtifactsInput!$M$33,CHOOSE(ArtifactsInput!$N$33+1,30,36,42,48,54,60),0))+(IF(AND(ArtifactsInput!$M$35,Inputs!$B$4&lt;&gt;"Chapter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Inputs!$B$3&gt;=100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t="inlineStr"/>
      <c r="H1793" t="inlineStr"/>
      <c r="I1793" t="inlineStr">
        <is>
          <t>1</t>
        </is>
      </c>
      <c r="J1793" t="inlineStr"/>
      <c r="K1793" t="inlineStr"/>
      <c r="L1793" t="inlineStr"/>
      <c r="M1793" t="inlineStr"/>
      <c r="N1793" t="inlineStr"/>
      <c r="O1793" t="inlineStr"/>
      <c r="P1793" t="inlineStr"/>
      <c r="Q1793" t="inlineStr"/>
      <c r="R1793" t="inlineStr"/>
      <c r="S1793" t="inlineStr"/>
      <c r="T1793" t="inlineStr"/>
      <c r="V1793" t="inlineStr"/>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IF(B1820=0,0,O1794/B1820)</f>
        <v/>
      </c>
      <c r="Q1794" t="n">
        <v>0</v>
      </c>
      <c r="R1794" t="n">
        <v>0</v>
      </c>
      <c r="S1794">
        <f>IFERROR(O1794/N1794,0)</f>
        <v/>
      </c>
      <c r="T1794" t="n">
        <v>0</v>
      </c>
      <c r="V1794" t="n">
        <v>0</v>
      </c>
    </row>
    <row r="1795">
      <c r="A1795">
        <f>Skills!A14</f>
        <v/>
      </c>
      <c r="B1795">
        <f>Skills!B14</f>
        <v/>
      </c>
      <c r="C1795">
        <f>Inputs!$B$3&gt;=115</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IF(B1820=0,0,O1795/B1820)</f>
        <v/>
      </c>
      <c r="Q1795">
        <f>IFERROR(1/(IF(Inputs!$B$38="pvp",15,MAX(0.1,Skills!D14-IF(TRUE=TRUE,Inputs!$B$32,0)))*(1-IF(AND(ArtifactsInput!$M$27,Inputs!$B$4="Chapter Hunt"),CHOOSE(ArtifactsInput!$N$27+1,20,24,28,32,36,40),0)/100)),0)</f>
        <v/>
      </c>
      <c r="R1795">
        <f>IF(AND(Inputs!$B$38&lt;&gt;"pvp",Inputs!$B$43&gt;0),IF(Inputs!$B$43&lt;=0,0,(INT(Inputs!$B$43/(IF(Inputs!$B$38="pvp",15,MAX(0.1,Skills!D14-IF(TRUE=TRUE,Inputs!$B$32,0)))*(1-IF(AND(ArtifactsInput!$M$27,Inputs!$B$4="Chapter Hunt"),CHOOSE(ArtifactsInput!$N$27+1,20,24,28,32,36,40),0)/100)))+1)),0)</f>
        <v/>
      </c>
      <c r="S1795">
        <f>IFERROR(O1795/N1795,0)</f>
        <v/>
      </c>
      <c r="T1795" t="n">
        <v>0</v>
      </c>
      <c r="V1795" t="n">
        <v>0</v>
      </c>
    </row>
    <row r="1796">
      <c r="A1796">
        <f>Skills!A15</f>
        <v/>
      </c>
      <c r="B1796">
        <f>Skills!B15</f>
        <v/>
      </c>
      <c r="C1796">
        <f>Inputs!$B$3&gt;=125</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IF(B1820=0,0,O1796/B1820)</f>
        <v/>
      </c>
      <c r="Q1796">
        <f>IFERROR(1/(IF(Inputs!$B$38="pvp",15,MAX(0.1,Skills!D15-IF(TRUE=TRUE,Inputs!$B$32,0)))*(1-IF(AND(ArtifactsInput!$M$27,Inputs!$B$4="Chapter Hunt"),CHOOSE(ArtifactsInput!$N$27+1,20,24,28,32,36,40),0)/100)),0)</f>
        <v/>
      </c>
      <c r="R1796">
        <f>IF(AND(Inputs!$B$38&lt;&gt;"pvp",Inputs!$B$43&gt;0),IF(Inputs!$B$43&lt;=0,0,(INT(Inputs!$B$43/(IF(Inputs!$B$38="pvp",15,MAX(0.1,Skills!D15-IF(TRUE=TRUE,Inputs!$B$32,0)))*(1-IF(AND(ArtifactsInput!$M$27,Inputs!$B$4="Chapter Hunt"),CHOOSE(ArtifactsInput!$N$27+1,20,24,28,32,36,40),0)/100)))+1)),0)</f>
        <v/>
      </c>
      <c r="S1796">
        <f>IFERROR(O1796/N1796,0)</f>
        <v/>
      </c>
      <c r="T1796" t="n">
        <v>0</v>
      </c>
      <c r="V1796" t="n">
        <v>0</v>
      </c>
    </row>
    <row r="1797">
      <c r="A1797">
        <f>Skills!A16</f>
        <v/>
      </c>
      <c r="B1797">
        <f>Skills!B16</f>
        <v/>
      </c>
      <c r="C1797">
        <f>Inputs!$B$3&gt;=10</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IF(B1820=0,0,O1797/B1820)</f>
        <v/>
      </c>
      <c r="Q1797" t="n">
        <v>0</v>
      </c>
      <c r="R1797" t="n">
        <v>0</v>
      </c>
      <c r="S1797">
        <f>IFERROR(O1797/N1797,0)</f>
        <v/>
      </c>
      <c r="T1797" t="n">
        <v>0</v>
      </c>
      <c r="V1797" t="n">
        <v>0</v>
      </c>
    </row>
    <row r="1798">
      <c r="A1798">
        <f>Skills!A17</f>
        <v/>
      </c>
      <c r="B1798">
        <f>Skills!B17</f>
        <v/>
      </c>
      <c r="C1798">
        <f>Inputs!$B$3&gt;=15</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IF(B1820=0,0,O1798/B1820)</f>
        <v/>
      </c>
      <c r="Q1798" t="n">
        <v>0</v>
      </c>
      <c r="R1798" t="n">
        <v>0</v>
      </c>
      <c r="S1798">
        <f>IFERROR(O1798/N1798,0)</f>
        <v/>
      </c>
      <c r="T1798" t="n">
        <v>0</v>
      </c>
      <c r="V1798" t="n">
        <v>0</v>
      </c>
    </row>
    <row r="1799">
      <c r="A1799">
        <f>Skills!A18</f>
        <v/>
      </c>
      <c r="B1799">
        <f>Skills!B18</f>
        <v/>
      </c>
      <c r="C1799">
        <f>Inputs!$B$3&gt;=33</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IF(B1820=0,0,O1799/B1820)</f>
        <v/>
      </c>
      <c r="Q1799" t="n">
        <v>0</v>
      </c>
      <c r="R1799" t="n">
        <v>0</v>
      </c>
      <c r="S1799">
        <f>IFERROR(O1799/N1799,0)</f>
        <v/>
      </c>
      <c r="T1799" t="n">
        <v>0</v>
      </c>
      <c r="V1799" t="n">
        <v>0</v>
      </c>
    </row>
    <row r="1800">
      <c r="A1800">
        <f>Skills!A19</f>
        <v/>
      </c>
      <c r="B1800">
        <f>Skills!B19</f>
        <v/>
      </c>
      <c r="C1800">
        <f>Inputs!$B$3&gt;=40</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IF(B1820=0,0,O1800/B1820)</f>
        <v/>
      </c>
      <c r="Q1800" t="n">
        <v>0</v>
      </c>
      <c r="R1800" t="n">
        <v>0</v>
      </c>
      <c r="S1800">
        <f>IFERROR(O1800/N1800,0)</f>
        <v/>
      </c>
      <c r="T1800" t="n">
        <v>0</v>
      </c>
      <c r="V1800" t="n">
        <v>0</v>
      </c>
    </row>
    <row r="1801">
      <c r="A1801">
        <f>Skills!A20</f>
        <v/>
      </c>
      <c r="B1801">
        <f>Skills!B20</f>
        <v/>
      </c>
      <c r="C1801">
        <f>Inputs!$B$3&gt;=43</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IF(B1820=0,0,O1801/B1820)</f>
        <v/>
      </c>
      <c r="Q1801" t="n">
        <v>0</v>
      </c>
      <c r="R1801" t="n">
        <v>0</v>
      </c>
      <c r="S1801">
        <f>IFERROR(O1801/N1801,0)</f>
        <v/>
      </c>
      <c r="T1801" t="n">
        <v>0</v>
      </c>
      <c r="V1801" t="n">
        <v>0</v>
      </c>
    </row>
    <row r="1802">
      <c r="A1802">
        <f>Skills!A21</f>
        <v/>
      </c>
      <c r="B1802">
        <f>Skills!B21</f>
        <v/>
      </c>
      <c r="C1802">
        <f>Inputs!$B$3&gt;=38</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IF(B1820=0,0,O1802/B1820)</f>
        <v/>
      </c>
      <c r="Q1802" t="n">
        <v>0</v>
      </c>
      <c r="R1802" t="n">
        <v>0</v>
      </c>
      <c r="S1802">
        <f>IFERROR(O1802/N1802,0)</f>
        <v/>
      </c>
      <c r="T1802" t="n">
        <v>0</v>
      </c>
      <c r="V1802" t="n">
        <v>0</v>
      </c>
    </row>
    <row r="1803">
      <c r="A1803">
        <f>Skills!A22</f>
        <v/>
      </c>
      <c r="B1803">
        <f>Skills!B22</f>
        <v/>
      </c>
      <c r="C1803">
        <f>Inputs!$B$3&gt;=75</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IF(B1820=0,0,O1803/B1820)</f>
        <v/>
      </c>
      <c r="Q1803" t="n">
        <v>0</v>
      </c>
      <c r="R1803" t="n">
        <v>0</v>
      </c>
      <c r="S1803">
        <f>IFERROR(O1803/N1803,0)</f>
        <v/>
      </c>
      <c r="T1803" t="n">
        <v>0</v>
      </c>
      <c r="V1803" t="n">
        <v>0</v>
      </c>
    </row>
    <row r="1804">
      <c r="A1804">
        <f>Skills!A23</f>
        <v/>
      </c>
      <c r="B1804">
        <f>Skills!B23</f>
        <v/>
      </c>
      <c r="C1804">
        <f>TRUE</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IF(B1820=0,0,O1804/B1820)</f>
        <v/>
      </c>
      <c r="Q1804">
        <f>IFERROR(1/(IF(Inputs!$B$38="pvp",15,MAX(0.1,Skills!D23-IF(TRUE=TRUE,Inputs!$B$32,0)))*(1-IF(AND(ArtifactsInput!$M$27,Inputs!$B$4="Chapter Hunt"),CHOOSE(ArtifactsInput!$N$27+1,20,24,28,32,36,40),0)/100)),0)</f>
        <v/>
      </c>
      <c r="R1804">
        <f>IF(AND(Inputs!$B$38&lt;&gt;"pvp",Inputs!$B$43&gt;0),IF(Inputs!$B$43&lt;=0,0,(INT(Inputs!$B$43/(IF(Inputs!$B$38="pvp",15,MAX(0.1,Skills!D23-IF(TRUE=TRUE,Inputs!$B$32,0)))*(1-IF(AND(ArtifactsInput!$M$27,Inputs!$B$4="Chapter Hunt"),CHOOSE(ArtifactsInput!$N$27+1,20,24,28,32,36,40),0)/100)))+1)),0)</f>
        <v/>
      </c>
      <c r="S1804">
        <f>IFERROR(O1804/N1804,0)</f>
        <v/>
      </c>
      <c r="T1804" t="n">
        <v>0</v>
      </c>
      <c r="V1804" t="n">
        <v>0</v>
      </c>
    </row>
    <row r="1805">
      <c r="A1805">
        <f>Skills!A24</f>
        <v/>
      </c>
      <c r="B1805">
        <f>Skills!B24</f>
        <v/>
      </c>
      <c r="C1805">
        <f>Inputs!$B$3&gt;=107</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IF(B1820=0,0,O1805/B1820)</f>
        <v/>
      </c>
      <c r="Q1805">
        <f>IFERROR(1/(IF(Inputs!$B$38="pvp",15,MAX(0.1,Skills!D24-IF(TRUE=TRUE,Inputs!$B$32,0)))*(1-IF(AND(ArtifactsInput!$M$27,Inputs!$B$4="Chapter Hunt"),CHOOSE(ArtifactsInput!$N$27+1,20,24,28,32,36,40),0)/100)),0)</f>
        <v/>
      </c>
      <c r="R1805">
        <f>IF(AND(Inputs!$B$38&lt;&gt;"pvp",Inputs!$B$43&gt;0),IF(Inputs!$B$43&lt;=0,0,(INT(Inputs!$B$43/(IF(Inputs!$B$38="pvp",15,MAX(0.1,Skills!D24-IF(TRUE=TRUE,Inputs!$B$32,0)))*(1-IF(AND(ArtifactsInput!$M$27,Inputs!$B$4="Chapter Hunt"),CHOOSE(ArtifactsInput!$N$27+1,20,24,28,32,36,40),0)/100)))+1)),0)</f>
        <v/>
      </c>
      <c r="S1805">
        <f>IFERROR(O1805/N1805,0)</f>
        <v/>
      </c>
      <c r="T1805" t="n">
        <v>0</v>
      </c>
      <c r="V1805" t="n">
        <v>0</v>
      </c>
    </row>
    <row r="1806">
      <c r="A1806">
        <f>Skills!A25</f>
        <v/>
      </c>
      <c r="B1806">
        <f>Skills!B25</f>
        <v/>
      </c>
      <c r="C1806">
        <f>Inputs!$B$3&gt;=110</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t="inlineStr"/>
      <c r="H1806" t="inlineStr"/>
      <c r="I1806" t="inlineStr">
        <is>
          <t>1</t>
        </is>
      </c>
      <c r="J1806" t="inlineStr"/>
      <c r="K1806" t="inlineStr"/>
      <c r="L1806" t="inlineStr"/>
      <c r="M1806" t="inlineStr"/>
      <c r="N1806" t="inlineStr"/>
      <c r="O1806" t="inlineStr"/>
      <c r="P1806" t="inlineStr"/>
      <c r="Q1806" t="inlineStr"/>
      <c r="R1806" t="inlineStr"/>
      <c r="S1806" t="inlineStr"/>
      <c r="T1806" t="inlineStr"/>
      <c r="V1806" t="inlineStr"/>
    </row>
    <row r="1807">
      <c r="A1807">
        <f>Skills!A26</f>
        <v/>
      </c>
      <c r="B1807">
        <f>Skills!B26</f>
        <v/>
      </c>
      <c r="C1807">
        <f>Inputs!$B$3&gt;=117</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t="inlineStr"/>
      <c r="H1807" t="inlineStr"/>
      <c r="I1807" t="inlineStr">
        <is>
          <t>1</t>
        </is>
      </c>
      <c r="J1807" t="inlineStr"/>
      <c r="K1807" t="inlineStr"/>
      <c r="L1807" t="inlineStr"/>
      <c r="M1807" t="inlineStr"/>
      <c r="N1807" t="inlineStr"/>
      <c r="O1807" t="inlineStr"/>
      <c r="P1807" t="inlineStr"/>
      <c r="Q1807" t="inlineStr"/>
      <c r="R1807" t="inlineStr"/>
      <c r="S1807" t="inlineStr"/>
      <c r="T1807" t="inlineStr"/>
      <c r="V1807" t="inlineStr"/>
    </row>
    <row r="1809">
      <c r="A1809" t="inlineStr">
        <is>
          <t>Attack% Bucket Multiplier</t>
        </is>
      </c>
      <c r="B1809">
        <f>(1+(((C1794=TRUE)*F1794*5/7)+((C1800=TRUE)*(F1800-Calc!F19))+(IF(ArtifactsInput!$M$21,CHOOSE(ArtifactsInput!$N$21+1,25,30,35,40,45,50)*(IF(OR(Inputs!$B$4="Chapter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0">
      <c r="A1810" t="inlineStr">
        <is>
          <t>Global Crit Rate Bonus %</t>
        </is>
      </c>
      <c r="B1810" t="n">
        <v>0</v>
      </c>
    </row>
    <row r="1811">
      <c r="A1811" t="inlineStr">
        <is>
          <t>Attack Speed Buff Bonus % (Nimble Feet + Speed Infusion, duty-cycle averaged)</t>
        </is>
      </c>
      <c r="B1811">
        <f>((C1804=TRUE)*F1804*IF(AND(Inputs!$B$38&lt;&gt;"pvp",Inputs!$B$43&gt;0),(((R1804-1)*MIN((Skills!T23*(1+Inputs!$B$34/100)),(1/Q1804))+MIN((Skills!T23*(1+Inputs!$B$34/100)),MAX(0,Inputs!$B$43-((R1804-1)*(1/Q1804)))))/Inputs!$B$43),IF(Inputs!$B$38="pvp",MIN((Skills!T23*(1+Inputs!$B$34/100)),15)/15,MIN(1,(Skills!T23*(1+Inputs!$B$34/100))/(1/Q1804)))))+((C1805=TRUE)*F1805*IF(AND(Inputs!$B$38&lt;&gt;"pvp",Inputs!$B$43&gt;0),(((R1805-1)*MIN((Skills!T24*(1+Inputs!$B$34/100)),(1/Q1805))+MIN((Skills!T24*(1+Inputs!$B$34/100)),MAX(0,Inputs!$B$43-((R1805-1)*(1/Q1805)))))/Inputs!$B$43),IF(Inputs!$B$38="pvp",MIN((Skills!T24*(1+Inputs!$B$34/100)),15)/15,MIN(1,(Skills!T24*(1+Inputs!$B$34/100))/(1/Q1805)))))</f>
        <v/>
      </c>
    </row>
    <row r="1812">
      <c r="A1812" t="inlineStr">
        <is>
          <t>Actions Per Second</t>
        </is>
      </c>
      <c r="B1812">
        <f>1+MIN(150,150*(1-(1-(Inputs!$B$11+((C1798=TRUE)*(F1798-Calc!F17))+((C1799=TRUE)*(F1799-Calc!F18)))/150)*(1-B1811/150)))/100</f>
        <v/>
      </c>
    </row>
    <row r="1813">
      <c r="A1813" t="inlineStr">
        <is>
          <t>Skill + Buff Cast Rate</t>
        </is>
      </c>
      <c r="B1813">
        <f>IF(AND(Inputs!$B$38&lt;&gt;"pvp",Inputs!$B$43&gt;0),SUMPRODUCT((Skills!E2:E26=TRUE)*(C1783:C1807=TRUE)*R1783:R1807*Skills!F2:F26)/Inputs!$B$43,SUMPRODUCT((Skills!E2:E26=TRUE)*(C1783:C1807=TRUE)*Q1783:Q1807*Skills!F2:F26))</f>
        <v/>
      </c>
    </row>
    <row r="1814">
      <c r="A1814" t="inlineStr">
        <is>
          <t>Hook Bomber Casts Per Second</t>
        </is>
      </c>
      <c r="B1814">
        <f>MAX(0,B1812-B1813)</f>
        <v/>
      </c>
    </row>
    <row r="1815">
      <c r="A1815" t="inlineStr">
        <is>
          <t>Global Critical Damage Bonus % (unused)</t>
        </is>
      </c>
      <c r="B1815" t="n">
        <v>0</v>
      </c>
    </row>
    <row r="1816">
      <c r="A1816" t="inlineStr">
        <is>
          <t>Global Final Damage Bonus % (Serpent Scale + Crossbones + Time Leap + Speed Infusion)</t>
        </is>
      </c>
      <c r="B1816">
        <f>((C1786=TRUE)*(F1786*B1822+4*(1-B1822)))+((C1795=TRUE)*F1795*IF(AND(Inputs!$B$38&lt;&gt;"pvp",Inputs!$B$43&gt;0),(((R1795-1)*MIN((Skills!T14*(1+Inputs!$B$34/100)),(1/Q1795))+MIN((Skills!T14*(1+Inputs!$B$34/100)),MAX(0,Inputs!$B$43-((R1795-1)*(1/Q1795)))))/Inputs!$B$43),IF(Inputs!$B$38="pvp",MIN((Skills!T14*(1+Inputs!$B$34/100)),15)/15,MIN(1,(Skills!T14*(1+Inputs!$B$34/100))/(1/Q1795)))))+((C1796=TRUE)*F1796*IF(AND(Inputs!$B$38&lt;&gt;"pvp",Inputs!$B$43&gt;0),(((R1796-1)*MIN((Skills!T15*(1+Inputs!$B$34/100)),(1/Q1796))+MIN((Skills!T15*(1+Inputs!$B$34/100)),MAX(0,Inputs!$B$43-((R1796-1)*(1/Q1796)))))/Inputs!$B$43),IF(Inputs!$B$38="pvp",MIN((Skills!T15*(1+Inputs!$B$34/100)),15)/15,MIN(1,(Skills!T15*(1+Inputs!$B$34/100))/(1/Q1796)))))+((C1805=TRUE)*20*((1+MIN(150,150*(1-(1-(Inputs!$B$11+((C1798=TRUE)*(F1798-Calc!F17))+((C1799=TRUE)*(F1799-Calc!F18)))/150)*(1-(((C1804=TRUE)*F1804*IF(AND(Inputs!$B$38&lt;&gt;"pvp",Inputs!$B$43&gt;0),(((R1804-1)*MIN((Skills!T23*(1+Inputs!$B$34/100)),(1/Q1804))+MIN((Skills!T23*(1+Inputs!$B$34/100)),MAX(0,Inputs!$B$43-((R1804-1)*(1/Q1804)))))/Inputs!$B$43),IF(Inputs!$B$38="pvp",MIN((Skills!T23*(1+Inputs!$B$34/100)),15)/15,MIN(1,(Skills!T23*(1+Inputs!$B$34/100))/(1/Q1804)))))+F1805)/150)))/100)-1)*IF(AND(Inputs!$B$38&lt;&gt;"pvp",Inputs!$B$43&gt;0),(((R1805-1)*MIN((Skills!T24*(1+Inputs!$B$34/100)),(1/Q1805))+MIN((Skills!T24*(1+Inputs!$B$34/100)),MAX(0,Inputs!$B$43-((R1805-1)*(1/Q1805)))))/Inputs!$B$43),IF(Inputs!$B$38="pvp",MIN((Skills!T24*(1+Inputs!$B$34/100)),15)/15,MIN(1,(Skills!T24*(1+Inputs!$B$34/100))/(1/Q1805)))))</f>
        <v/>
      </c>
    </row>
    <row r="1817">
      <c r="A1817" t="inlineStr">
        <is>
          <t>Buff-Casting Startup Delay (s, fixed-duration only)</t>
        </is>
      </c>
      <c r="B1817">
        <f>IF(AND(Inputs!$B$38&lt;&gt;"pvp",Inputs!$B$43&gt;0),SUMPRODUCT((Skills!T2:T26&gt;0)*(Skills!E2:E26=TRUE)*(C1783:C1807=TRUE))/B1812,0)</f>
        <v/>
      </c>
    </row>
    <row r="1818">
      <c r="A1818" t="inlineStr">
        <is>
          <t>Boss-Only Total DPS (this block's swept value)</t>
        </is>
      </c>
      <c r="B1818">
        <f>SUM(T1783:T1807)</f>
        <v/>
      </c>
    </row>
    <row r="1819">
      <c r="A1819" t="inlineStr">
        <is>
          <t>Normal-Only Total DPS (this block's swept value)</t>
        </is>
      </c>
      <c r="B1819">
        <f>SUM(V1783:V1807)</f>
        <v/>
      </c>
    </row>
    <row r="1820">
      <c r="A1820" s="6" t="inlineStr">
        <is>
          <t>TOTAL DPS</t>
        </is>
      </c>
      <c r="B1820" s="6">
        <f>SUM(O1783:O1807)</f>
        <v/>
      </c>
    </row>
    <row r="1821">
      <c r="A1821" t="inlineStr">
        <is>
          <t>Serpent activation interval T (this block's own Hook Bomber rate)</t>
        </is>
      </c>
      <c r="B1821">
        <f>((1/Q1784)+IFERROR(0.5/B1814,0))</f>
        <v/>
      </c>
    </row>
    <row r="1822">
      <c r="A1822" t="inlineStr">
        <is>
          <t>Assault Mode uptime u (this block)</t>
        </is>
      </c>
      <c r="B1822">
        <f>IF(C1786=TRUE,(10+IF(Inputs!$B$3&gt;=94,5,0))/((10+IF(Inputs!$B$3&gt;=94,5,0))+IF(Inputs!$B$3&gt;=104,3,5)*B1821),0)</f>
        <v/>
      </c>
    </row>
    <row r="1823">
      <c r="A1823" t="inlineStr">
        <is>
          <t>Nautilus Strike - Final Attack trigger rate (this block's own Q/R)</t>
        </is>
      </c>
      <c r="B1823">
        <f>IF(AND(Inputs!$B$38&lt;&gt;"pvp",Inputs!$B$43&gt;0),(((C1787=TRUE)*R1787)+((C1788=TRUE)*R1788)+((C1791=TRUE)*R1791))/Inputs!$B$43,((C1787=TRUE)*Q1787)+((C1788=TRUE)*Q1788)+((C1791=TRUE)*Q1791))+B1814</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IF(B1865=0,0,O1828/B1865)</f>
        <v/>
      </c>
      <c r="Q1828" t="n">
        <v>0</v>
      </c>
      <c r="R1828" t="n">
        <v>0</v>
      </c>
      <c r="S1828">
        <f>IFERROR(O1828/N1828,0)</f>
        <v/>
      </c>
      <c r="T1828">
        <f>IF(C1828,(Skills!G2*N1828*B1859)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IF(C1828,(Skills!G2*N1828*B1859)*IF(Inputs!$B$38="pvp",1,(1+(Inputs!$B$21+Skills!Q2+(IF(ArtifactsInput!$M$33,CHOOSE(ArtifactsInput!$N$33+1,30,36,42,48,54,60),0))+(IF(AND(ArtifactsInput!$M$35,Inputs!$B$4&lt;&gt;"Chapter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1851=TRUE,F1851,0)/100)*(1+(IF(Skills!A3="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IF(B1865=0,0,O1829/B1865)</f>
        <v/>
      </c>
      <c r="Q1829">
        <f>IFERROR(1/(IF(Inputs!$B$38="pvp",15,MAX(0.1,Skills!D3-IF(TRUE=TRUE,Inputs!$B$32,0)))*(1-IF(AND(ArtifactsInput!$M$27,Inputs!$B$4="Chapter Hunt"),CHOOSE(ArtifactsInput!$N$27+1,20,24,28,32,36,40),0)/100)),0)</f>
        <v/>
      </c>
      <c r="R1829">
        <f>IF(AND(Inputs!$B$38&lt;&gt;"pvp",Inputs!$B$43&gt;0),IF(MAX(0,Inputs!$B$43-B1862)&lt;=0,0,(INT(MAX(0,Inputs!$B$43-B1862)/(IF(Inputs!$B$38="pvp",15,MAX(0.1,Skills!D3-IF(TRUE=TRUE,Inputs!$B$32,0)))*(1-IF(AND(ArtifactsInput!$M$27,Inputs!$B$4="Chapter Hunt"),CHOOSE(ArtifactsInput!$N$27+1,20,24,28,32,36,40),0)/100)))+1)),0)</f>
        <v/>
      </c>
      <c r="S1829">
        <f>IFERROR(O1829/N1829,0)</f>
        <v/>
      </c>
      <c r="T1829">
        <f>IF(C1829,(Skills!G3*N1829*IF(C1830=TRUE,1-B1867,1)/B1866)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IF(C1829,(Skills!G3*N1829*IF(C1830=TRUE,1-B1867,1)/B1866)*IF(Inputs!$B$38="pvp",1,(1+(Inputs!$B$21+Skills!Q3+(IF(ArtifactsInput!$M$33,CHOOSE(ArtifactsInput!$N$33+1,30,36,42,48,54,60),0))+(IF(AND(ArtifactsInput!$M$35,Inputs!$B$4&lt;&gt;"Chapter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Inputs!$B$3&gt;=69</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IF(B1865=0,0,O1830/B1865)</f>
        <v/>
      </c>
      <c r="Q1830" t="n">
        <v>0</v>
      </c>
      <c r="R1830" t="n">
        <v>0</v>
      </c>
      <c r="S1830">
        <f>IFERROR(O1830/N1830,0)</f>
        <v/>
      </c>
      <c r="T1830">
        <f>IF(C1830,(Skills!G4*N1830*B1867/B1866)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IF(C1830,(Skills!G4*N1830*B1867/B1866)*IF(Inputs!$B$38="pvp",1,(1+(Inputs!$B$21+Skills!Q4+(IF(ArtifactsInput!$M$33,CHOOSE(ArtifactsInput!$N$33+1,30,36,42,48,54,60),0))+(IF(AND(ArtifactsInput!$M$35,Inputs!$B$4&lt;&gt;"Chapter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Inputs!$B$3&gt;=66</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IF(B1865=0,0,O1831/B1865)</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IF(B1865=0,0,O1832/B1865)</f>
        <v/>
      </c>
      <c r="Q1832">
        <f>IFERROR(1/(IF(Inputs!$B$38="pvp",15,MAX(0.1,Skills!D6-IF(TRUE=TRUE,Inputs!$B$32,0)))*(1-IF(AND(ArtifactsInput!$M$27,Inputs!$B$4="Chapter Hunt"),CHOOSE(ArtifactsInput!$N$27+1,20,24,28,32,36,40),0)/100)),0)</f>
        <v/>
      </c>
      <c r="R1832">
        <f>IF(AND(Inputs!$B$38&lt;&gt;"pvp",Inputs!$B$43&gt;0),IF(MAX(0,Inputs!$B$43-B1862)&lt;=0,0,(INT(MAX(0,Inputs!$B$43-B1862)/(IF(Inputs!$B$38="pvp",15,MAX(0.1,Skills!D6-IF(TRUE=TRUE,Inputs!$B$32,0)))*(1-IF(AND(ArtifactsInput!$M$27,Inputs!$B$4="Chapter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1862)-((R1832-1)*(IF(Inputs!$B$38="pvp",15,MAX(0.1,Skills!D6-IF(TRUE=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1862)-((R1832-1)*(IF(Inputs!$B$38="pvp",15,MAX(0.1,Skills!D6-IF(TRUE=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Inputs!$B$3&gt;=103</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IF(B1865=0,0,O1833/B1865)</f>
        <v/>
      </c>
      <c r="Q1833">
        <f>IFERROR(1/(IF(Inputs!$B$38="pvp",15,MAX(0.1,Skills!D7-IF(TRUE=TRUE,Inputs!$B$32,0)))*(1-IF(AND(ArtifactsInput!$M$27,Inputs!$B$4="Chapter Hunt"),CHOOSE(ArtifactsInput!$N$27+1,20,24,28,32,36,40),0)/100)),0)</f>
        <v/>
      </c>
      <c r="R1833">
        <f>IF(AND(Inputs!$B$38&lt;&gt;"pvp",Inputs!$B$43&gt;0),IF(MAX(0,Inputs!$B$43-B1862)&lt;=0,0,(INT(MAX(0,Inputs!$B$43-B1862)/(IF(Inputs!$B$38="pvp",15,MAX(0.1,Skills!D7-IF(TRUE=TRUE,Inputs!$B$32,0)))*(1-IF(AND(ArtifactsInput!$M$27,Inputs!$B$4="Chapter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1862)-((R1833-1)*(IF(Inputs!$B$38="pvp",15,MAX(0.1,Skills!D7-IF(TRUE=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1862)-((R1833-1)*(IF(Inputs!$B$38="pvp",15,MAX(0.1,Skills!D7-IF(TRUE=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Inputs!$B$3&gt;=117</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IF(B1865=0,0,O1834/B1865)</f>
        <v/>
      </c>
      <c r="Q1834">
        <f>IFERROR(1/(IF(Inputs!$B$38="pvp",15,MAX(0.1,Skills!D8-IF(TRUE=TRUE,Inputs!$B$32,0)))*(1-IF(AND(ArtifactsInput!$M$27,Inputs!$B$4="Chapter Hunt"),CHOOSE(ArtifactsInput!$N$27+1,20,24,28,32,36,40),0)/100)),0)</f>
        <v/>
      </c>
      <c r="R1834">
        <f>IF(AND(Inputs!$B$38&lt;&gt;"pvp",Inputs!$B$43&gt;0),IF(MAX(0,Inputs!$B$43-B1862)&lt;=0,0,(INT(MAX(0,Inputs!$B$43-B1862)/(IF(Inputs!$B$38="pvp",15,MAX(0.1,Skills!D8-IF(TRUE=TRUE,Inputs!$B$32,0)))*(1-IF(AND(ArtifactsInput!$M$27,Inputs!$B$4="Chapter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1862)-((R1834-1)*(IF(Inputs!$B$38="pvp",15,MAX(0.1,Skills!D8-IF(TRUE=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1862)-((R1834-1)*(IF(Inputs!$B$38="pvp",15,MAX(0.1,Skills!D8-IF(TRUE=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Inputs!$B$3&gt;=120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B1867</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IF(B1865=0,0,O1835/B1865)</f>
        <v/>
      </c>
      <c r="Q1835">
        <f>IFERROR(1/(IF(Inputs!$B$38="pvp",15,MAX(0.1,Skills!D9-IF(TRUE=TRUE,Inputs!$B$32,0)))*(1-IF(AND(ArtifactsInput!$M$27,Inputs!$B$4="Chapter Hunt"),CHOOSE(ArtifactsInput!$N$27+1,20,24,28,32,36,40),0)/100)),0)</f>
        <v/>
      </c>
      <c r="R1835">
        <f>IF(AND(Inputs!$B$38&lt;&gt;"pvp",Inputs!$B$43&gt;0),IF(MAX(0,Inputs!$B$43-B1862)&lt;=0,0,(INT(MAX(0,Inputs!$B$43-B1862)/(IF(Inputs!$B$38="pvp",15,MAX(0.1,Skills!D9-IF(TRUE=TRUE,Inputs!$B$32,0)))*(1-IF(AND(ArtifactsInput!$M$27,Inputs!$B$4="Chapter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1862)-((R1835-1)*(IF(Inputs!$B$38="pvp",15,MAX(0.1,Skills!D9-IF(TRUE=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1862)-((R1835-1)*(IF(Inputs!$B$38="pvp",15,MAX(0.1,Skills!D9-IF(TRUE=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Inputs!$B$3&gt;=105</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IF(B1865=0,0,O1836/B1865)</f>
        <v/>
      </c>
      <c r="Q1836">
        <f>IFERROR(1/(IF(Inputs!$B$38="pvp",15,MAX(0.1,Skills!D10-IF(TRUE=TRUE,Inputs!$B$32,0)))*(1-IF(AND(ArtifactsInput!$M$27,Inputs!$B$4="Chapter Hunt"),CHOOSE(ArtifactsInput!$N$27+1,20,24,28,32,36,40),0)/100)),0)</f>
        <v/>
      </c>
      <c r="R1836">
        <f>IF(AND(Inputs!$B$38&lt;&gt;"pvp",Inputs!$B$43&gt;0),IF(MAX(0,Inputs!$B$43-B1862)&lt;=0,0,(INT(MAX(0,Inputs!$B$43-B1862)/(IF(Inputs!$B$38="pvp",15,MAX(0.1,Skills!D10-IF(TRUE=TRUE,Inputs!$B$32,0)))*(1-IF(AND(ArtifactsInput!$M$27,Inputs!$B$4="Chapter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1862)-((R1836-1)*(IF(Inputs!$B$38="pvp",15,MAX(0.1,Skills!D10-IF(TRUE=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1862)-((R1836-1)*(IF(Inputs!$B$38="pvp",15,MAX(0.1,Skills!D10-IF(TRUE=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IF(B1865=0,0,O1837/B1865)</f>
        <v/>
      </c>
      <c r="Q1837" t="n">
        <v>0</v>
      </c>
      <c r="R1837" t="n">
        <v>0</v>
      </c>
      <c r="S1837">
        <f>IFERROR(O1837/N1837,0)</f>
        <v/>
      </c>
      <c r="T1837">
        <f>IF(C1837,((H1837*B1868)/(1+Skills!H11*H1837*B1868)*N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IF(C1837,((H1837*B1868)/(1+Skills!H11*H1837*B1868)*N1837)*IF(Inputs!$B$38="pvp",1,(1+(Inputs!$B$21+Skills!Q11+(IF(ArtifactsInput!$M$33,CHOOSE(ArtifactsInput!$N$33+1,30,36,42,48,54,60),0))+(IF(AND(ArtifactsInput!$M$35,Inputs!$B$4&lt;&gt;"Chapter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IF(B1865=0,0,O1839/B1865)</f>
        <v/>
      </c>
      <c r="Q1839" t="n">
        <v>0</v>
      </c>
      <c r="R1839" t="n">
        <v>0</v>
      </c>
      <c r="S1839">
        <f>IFERROR(O1839/N1839,0)</f>
        <v/>
      </c>
      <c r="T1839" t="n">
        <v>0</v>
      </c>
      <c r="V1839" t="n">
        <v>0</v>
      </c>
    </row>
    <row r="1840">
      <c r="A1840">
        <f>Skills!A14</f>
        <v/>
      </c>
      <c r="B1840">
        <f>Skills!B14</f>
        <v/>
      </c>
      <c r="C1840">
        <f>Inputs!$B$3&gt;=115</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IF(B1865=0,0,O1840/B1865)</f>
        <v/>
      </c>
      <c r="Q1840">
        <f>IFERROR(1/(IF(Inputs!$B$38="pvp",15,MAX(0.1,Skills!D14-IF(TRUE=TRUE,Inputs!$B$32,0)))*(1-IF(AND(ArtifactsInput!$M$27,Inputs!$B$4="Chapter Hunt"),CHOOSE(ArtifactsInput!$N$27+1,20,24,28,32,36,40),0)/100)),0)</f>
        <v/>
      </c>
      <c r="R1840">
        <f>IF(AND(Inputs!$B$38&lt;&gt;"pvp",Inputs!$B$43&gt;0),IF(Inputs!$B$43&lt;=0,0,(INT(Inputs!$B$43/(IF(Inputs!$B$38="pvp",15,MAX(0.1,Skills!D14-IF(TRUE=TRUE,Inputs!$B$32,0)))*(1-IF(AND(ArtifactsInput!$M$27,Inputs!$B$4="Chapter Hunt"),CHOOSE(ArtifactsInput!$N$27+1,20,24,28,32,36,40),0)/100)))+1)),0)</f>
        <v/>
      </c>
      <c r="S1840">
        <f>IFERROR(O1840/N1840,0)</f>
        <v/>
      </c>
      <c r="T1840" t="n">
        <v>0</v>
      </c>
      <c r="V1840" t="n">
        <v>0</v>
      </c>
    </row>
    <row r="1841">
      <c r="A1841">
        <f>Skills!A15</f>
        <v/>
      </c>
      <c r="B1841">
        <f>Skills!B15</f>
        <v/>
      </c>
      <c r="C1841">
        <f>Inputs!$B$3&gt;=125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IF(B1865=0,0,O1841/B1865)</f>
        <v/>
      </c>
      <c r="Q1841">
        <f>IFERROR(1/(IF(Inputs!$B$38="pvp",15,MAX(0.1,Skills!D15-IF(TRUE=TRUE,Inputs!$B$32,0)))*(1-IF(AND(ArtifactsInput!$M$27,Inputs!$B$4="Chapter Hunt"),CHOOSE(ArtifactsInput!$N$27+1,20,24,28,32,36,40),0)/100)),0)</f>
        <v/>
      </c>
      <c r="R1841">
        <f>IF(AND(Inputs!$B$38&lt;&gt;"pvp",Inputs!$B$43&gt;0),IF(Inputs!$B$43&lt;=0,0,(INT(Inputs!$B$43/(IF(Inputs!$B$38="pvp",15,MAX(0.1,Skills!D15-IF(TRUE=TRUE,Inputs!$B$32,0)))*(1-IF(AND(ArtifactsInput!$M$27,Inputs!$B$4="Chapter Hunt"),CHOOSE(ArtifactsInput!$N$27+1,20,24,28,32,36,40),0)/100)))+1)),0)</f>
        <v/>
      </c>
      <c r="S1841">
        <f>IFERROR(O1841/N1841,0)</f>
        <v/>
      </c>
      <c r="T1841" t="n">
        <v>0</v>
      </c>
      <c r="V1841" t="n">
        <v>0</v>
      </c>
    </row>
    <row r="1842">
      <c r="A1842">
        <f>Skills!A16</f>
        <v/>
      </c>
      <c r="B1842">
        <f>Skills!B16</f>
        <v/>
      </c>
      <c r="C1842">
        <f>Inputs!$B$3&gt;=10</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Skills!A17</f>
        <v/>
      </c>
      <c r="B1843">
        <f>Skills!B17</f>
        <v/>
      </c>
      <c r="C1843">
        <f>Inputs!$B$3&gt;=15</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IF(B1865=0,0,O1849/B1865)</f>
        <v/>
      </c>
      <c r="Q1849">
        <f>IFERROR(1/(IF(Inputs!$B$38="pvp",15,MAX(0.1,Skills!D23-IF(TRUE=TRUE,Inputs!$B$32,0)))*(1-IF(AND(ArtifactsInput!$M$27,Inputs!$B$4="Chapter Hunt"),CHOOSE(ArtifactsInput!$N$27+1,20,24,28,32,36,40),0)/100)),0)</f>
        <v/>
      </c>
      <c r="R1849">
        <f>IF(AND(Inputs!$B$38&lt;&gt;"pvp",Inputs!$B$43&gt;0),IF(Inputs!$B$43&lt;=0,0,(INT(Inputs!$B$43/(IF(Inputs!$B$38="pvp",15,MAX(0.1,Skills!D23-IF(TRUE=TRUE,Inputs!$B$32,0)))*(1-IF(AND(ArtifactsInput!$M$27,Inputs!$B$4="Chapter Hunt"),CHOOSE(ArtifactsInput!$N$27+1,20,24,28,32,36,40),0)/100)))+1)),0)</f>
        <v/>
      </c>
      <c r="S1849">
        <f>IFERROR(O1849/N1849,0)</f>
        <v/>
      </c>
      <c r="T1849" t="n">
        <v>0</v>
      </c>
      <c r="V1849" t="n">
        <v>0</v>
      </c>
    </row>
    <row r="1850">
      <c r="A1850">
        <f>Skills!A24</f>
        <v/>
      </c>
      <c r="B1850">
        <f>Skills!B24</f>
        <v/>
      </c>
      <c r="C1850">
        <f>Inputs!$B$3&gt;=107</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IF(B1865=0,0,O1850/B1865)</f>
        <v/>
      </c>
      <c r="Q1850">
        <f>IFERROR(1/(IF(Inputs!$B$38="pvp",15,MAX(0.1,Skills!D24-IF(TRUE=TRUE,Inputs!$B$32,0)))*(1-IF(AND(ArtifactsInput!$M$27,Inputs!$B$4="Chapter Hunt"),CHOOSE(ArtifactsInput!$N$27+1,20,24,28,32,36,40),0)/100)),0)</f>
        <v/>
      </c>
      <c r="R1850">
        <f>IF(AND(Inputs!$B$38&lt;&gt;"pvp",Inputs!$B$43&gt;0),IF(Inputs!$B$43&lt;=0,0,(INT(Inputs!$B$43/(IF(Inputs!$B$38="pvp",15,MAX(0.1,Skills!D24-IF(TRUE=TRUE,Inputs!$B$32,0)))*(1-IF(AND(ArtifactsInput!$M$27,Inputs!$B$4="Chapter Hunt"),CHOOSE(ArtifactsInput!$N$27+1,20,24,28,32,36,40),0)/100)))+1)),0)</f>
        <v/>
      </c>
      <c r="S1850">
        <f>IFERROR(O1850/N1850,0)</f>
        <v/>
      </c>
      <c r="T1850" t="n">
        <v>0</v>
      </c>
      <c r="V1850" t="n">
        <v>0</v>
      </c>
    </row>
    <row r="1851">
      <c r="A1851">
        <f>Skills!A25</f>
        <v/>
      </c>
      <c r="B1851">
        <f>Skills!B25</f>
        <v/>
      </c>
      <c r="C1851">
        <f>Inputs!$B$3&gt;=110</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t="inlineStr"/>
      <c r="H1851" t="inlineStr"/>
      <c r="I1851" t="inlineStr">
        <is>
          <t>1</t>
        </is>
      </c>
      <c r="J1851" t="inlineStr"/>
      <c r="K1851" t="inlineStr"/>
      <c r="L1851" t="inlineStr"/>
      <c r="M1851" t="inlineStr"/>
      <c r="N1851" t="inlineStr"/>
      <c r="O1851" t="inlineStr"/>
      <c r="P1851" t="inlineStr"/>
      <c r="Q1851" t="inlineStr"/>
      <c r="R1851" t="inlineStr"/>
      <c r="S1851" t="inlineStr"/>
      <c r="T1851" t="inlineStr"/>
      <c r="V1851" t="inlineStr"/>
    </row>
    <row r="1852">
      <c r="A1852">
        <f>Skills!A26</f>
        <v/>
      </c>
      <c r="B1852">
        <f>Skills!B26</f>
        <v/>
      </c>
      <c r="C1852">
        <f>Inputs!$B$3&gt;=117</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t="inlineStr"/>
      <c r="H1852" t="inlineStr"/>
      <c r="I1852" t="inlineStr">
        <is>
          <t>1</t>
        </is>
      </c>
      <c r="J1852" t="inlineStr"/>
      <c r="K1852" t="inlineStr"/>
      <c r="L1852" t="inlineStr"/>
      <c r="M1852" t="inlineStr"/>
      <c r="N1852" t="inlineStr"/>
      <c r="O1852" t="inlineStr"/>
      <c r="P1852" t="inlineStr"/>
      <c r="Q1852" t="inlineStr"/>
      <c r="R1852" t="inlineStr"/>
      <c r="S1852" t="inlineStr"/>
      <c r="T1852" t="inlineStr"/>
      <c r="V1852" t="inlineStr"/>
    </row>
    <row r="1854">
      <c r="A1854" t="inlineStr">
        <is>
          <t>Attack% Bucket Multiplier</t>
        </is>
      </c>
      <c r="B1854">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5">
      <c r="A1855" t="inlineStr">
        <is>
          <t>Global Crit Rate Bonus %</t>
        </is>
      </c>
      <c r="B1855" t="n">
        <v>0</v>
      </c>
    </row>
    <row r="1856">
      <c r="A1856" t="inlineStr">
        <is>
          <t>Attack Speed Buff Bonus % (Nimble Feet + Speed Infusion, duty-cycle averaged)</t>
        </is>
      </c>
      <c r="B1856">
        <f>((C1849=TRUE)*F1849*IF(AND(Inputs!$B$38&lt;&gt;"pvp",Inputs!$B$43&gt;0),(((R1849-1)*MIN((Skills!T23*(1+Inputs!$B$34/100)),(1/Q1849))+MIN((Skills!T23*(1+Inputs!$B$34/100)),MAX(0,Inputs!$B$43-((R1849-1)*(1/Q1849)))))/Inputs!$B$43),IF(Inputs!$B$38="pvp",MIN((Skills!T23*(1+Inputs!$B$34/100)),15)/15,MIN(1,(Skills!T23*(1+Inputs!$B$34/100))/(1/Q1849)))))+((C1850=TRUE)*F1850*IF(AND(Inputs!$B$38&lt;&gt;"pvp",Inputs!$B$43&gt;0),(((R1850-1)*MIN((Skills!T24*(1+Inputs!$B$34/100)),(1/Q1850))+MIN((Skills!T24*(1+Inputs!$B$34/100)),MAX(0,Inputs!$B$43-((R1850-1)*(1/Q1850)))))/Inputs!$B$43),IF(Inputs!$B$38="pvp",MIN((Skills!T24*(1+Inputs!$B$34/100)),15)/15,MIN(1,(Skills!T24*(1+Inputs!$B$34/100))/(1/Q1850)))))</f>
        <v/>
      </c>
    </row>
    <row r="1857">
      <c r="A1857" t="inlineStr">
        <is>
          <t>Actions Per Second</t>
        </is>
      </c>
      <c r="B1857">
        <f>1+MIN(150,150*(1-(1-(Inputs!$B$11+((C1843=TRUE)*(F1843-Calc!F17))+((C1844=TRUE)*(F1844-Calc!F18)))/150)*(1-B1856/150)))/100</f>
        <v/>
      </c>
    </row>
    <row r="1858">
      <c r="A1858" t="inlineStr">
        <is>
          <t>Skill + Buff Cast Rate</t>
        </is>
      </c>
      <c r="B1858">
        <f>IF(AND(Inputs!$B$38&lt;&gt;"pvp",Inputs!$B$43&gt;0),SUMPRODUCT((Skills!E2:E26=TRUE)*(C1828:C1852=TRUE)*R1828:R1852*Skills!F2:F26)/Inputs!$B$43,SUMPRODUCT((Skills!E2:E26=TRUE)*(C1828:C1852=TRUE)*Q1828:Q1852*Skills!F2:F26))</f>
        <v/>
      </c>
    </row>
    <row r="1859">
      <c r="A1859" t="inlineStr">
        <is>
          <t>Hook Bomber Casts Per Second</t>
        </is>
      </c>
      <c r="B1859">
        <f>MAX(0,B1857-B1858)</f>
        <v/>
      </c>
    </row>
    <row r="1860">
      <c r="A1860" t="inlineStr">
        <is>
          <t>Global Critical Damage Bonus % (unused)</t>
        </is>
      </c>
      <c r="B1860" t="n">
        <v>0</v>
      </c>
    </row>
    <row r="1861">
      <c r="A1861" t="inlineStr">
        <is>
          <t>Global Final Damage Bonus % (Serpent Scale + Crossbones + Time Leap + Speed Infusion)</t>
        </is>
      </c>
      <c r="B1861">
        <f>((C1831=TRUE)*(F1831*B1867+4*(1-B1867)))+((C1840=TRUE)*F1840*IF(AND(Inputs!$B$38&lt;&gt;"pvp",Inputs!$B$43&gt;0),(((R1840-1)*MIN((Skills!T14*(1+Inputs!$B$34/100)),(1/Q1840))+MIN((Skills!T14*(1+Inputs!$B$34/100)),MAX(0,Inputs!$B$43-((R1840-1)*(1/Q1840)))))/Inputs!$B$43),IF(Inputs!$B$38="pvp",MIN((Skills!T14*(1+Inputs!$B$34/100)),15)/15,MIN(1,(Skills!T14*(1+Inputs!$B$34/100))/(1/Q1840)))))+((C1841=TRUE)*F1841*IF(AND(Inputs!$B$38&lt;&gt;"pvp",Inputs!$B$43&gt;0),(((R1841-1)*MIN((Skills!T15*(1+Inputs!$B$34/100)),(1/Q1841))+MIN((Skills!T15*(1+Inputs!$B$34/100)),MAX(0,Inputs!$B$43-((R1841-1)*(1/Q1841)))))/Inputs!$B$43),IF(Inputs!$B$38="pvp",MIN((Skills!T15*(1+Inputs!$B$34/100)),15)/15,MIN(1,(Skills!T15*(1+Inputs!$B$34/100))/(1/Q1841)))))+((C1850=TRUE)*20*((1+MIN(150,150*(1-(1-(Inputs!$B$11+((C1843=TRUE)*(F1843-Calc!F17))+((C1844=TRUE)*(F1844-Calc!F18)))/150)*(1-(((C1849=TRUE)*F1849*IF(AND(Inputs!$B$38&lt;&gt;"pvp",Inputs!$B$43&gt;0),(((R1849-1)*MIN((Skills!T23*(1+Inputs!$B$34/100)),(1/Q1849))+MIN((Skills!T23*(1+Inputs!$B$34/100)),MAX(0,Inputs!$B$43-((R1849-1)*(1/Q1849)))))/Inputs!$B$43),IF(Inputs!$B$38="pvp",MIN((Skills!T23*(1+Inputs!$B$34/100)),15)/15,MIN(1,(Skills!T23*(1+Inputs!$B$34/100))/(1/Q1849)))))+F1850)/150)))/100)-1)*IF(AND(Inputs!$B$38&lt;&gt;"pvp",Inputs!$B$43&gt;0),(((R1850-1)*MIN((Skills!T24*(1+Inputs!$B$34/100)),(1/Q1850))+MIN((Skills!T24*(1+Inputs!$B$34/100)),MAX(0,Inputs!$B$43-((R1850-1)*(1/Q1850)))))/Inputs!$B$43),IF(Inputs!$B$38="pvp",MIN((Skills!T24*(1+Inputs!$B$34/100)),15)/15,MIN(1,(Skills!T24*(1+Inputs!$B$34/100))/(1/Q1850)))))</f>
        <v/>
      </c>
    </row>
    <row r="1862">
      <c r="A1862" t="inlineStr">
        <is>
          <t>Buff-Casting Startup Delay (s, fixed-duration only)</t>
        </is>
      </c>
      <c r="B1862">
        <f>IF(AND(Inputs!$B$38&lt;&gt;"pvp",Inputs!$B$43&gt;0),SUMPRODUCT((Skills!T2:T26&gt;0)*(Skills!E2:E26=TRUE)*(C1828:C1852=TRUE))/B1857,0)</f>
        <v/>
      </c>
    </row>
    <row r="1863">
      <c r="A1863" t="inlineStr">
        <is>
          <t>Boss-Only Total DPS (this block's swept value)</t>
        </is>
      </c>
      <c r="B1863">
        <f>SUM(T1828:T1852)</f>
        <v/>
      </c>
    </row>
    <row r="1864">
      <c r="A1864" t="inlineStr">
        <is>
          <t>Normal-Only Total DPS (this block's swept value)</t>
        </is>
      </c>
      <c r="B1864">
        <f>SUM(V1828:V1852)</f>
        <v/>
      </c>
    </row>
    <row r="1865">
      <c r="A1865" s="6" t="inlineStr">
        <is>
          <t>TOTAL DPS</t>
        </is>
      </c>
      <c r="B1865" s="6">
        <f>SUM(O1828:O1852)</f>
        <v/>
      </c>
    </row>
    <row r="1866">
      <c r="A1866" t="inlineStr">
        <is>
          <t>Serpent activation interval T (this block's own Hook Bomber rate)</t>
        </is>
      </c>
      <c r="B1866">
        <f>((1/Q1829)+IFERROR(0.5/B1859,0))</f>
        <v/>
      </c>
    </row>
    <row r="1867">
      <c r="A1867" t="inlineStr">
        <is>
          <t>Assault Mode uptime u (this block)</t>
        </is>
      </c>
      <c r="B1867">
        <f>IF(C1831=TRUE,(10+IF(Inputs!$B$3&gt;=94,5,0))/((10+IF(Inputs!$B$3&gt;=94,5,0))+IF(Inputs!$B$3&gt;=104,3,5)*B1866),0)</f>
        <v/>
      </c>
    </row>
    <row r="1868">
      <c r="A1868" t="inlineStr">
        <is>
          <t>Nautilus Strike - Final Attack trigger rate (this block's own Q/R)</t>
        </is>
      </c>
      <c r="B1868">
        <f>IF(AND(Inputs!$B$38&lt;&gt;"pvp",Inputs!$B$43&gt;0),(((C1832=TRUE)*R1832)+((C1833=TRUE)*R1833)+((C1836=TRUE)*R1836))/Inputs!$B$43,((C1832=TRUE)*Q1832)+((C1833=TRUE)*Q1833)+((C1836=TRUE)*Q1836))+B1859</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1891=TRUE)*(F1891-Calc!F20)),(Inputs!$B$23+0+(IF(ArtifactsInput!$M$15,CHOOSE(ArtifactsInput!$N$15+1,25,30,35,40,45,50)/100*(Inputs!$B$11-Inputs!$B$11),0))))/100+(Inputs!$B$23+0+(IF(ArtifactsInput!$M$15,CHOOSE(ArtifactsInput!$N$15+1,25,30,35,40,45,50)/100*(Inputs!$B$11-Inputs!$B$11),0)))/100)/2</f>
        <v/>
      </c>
      <c r="M1873">
        <f>L1873*(1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IF(B1910=0,0,O1873/B1910)</f>
        <v/>
      </c>
      <c r="Q1873" t="n">
        <v>0</v>
      </c>
      <c r="R1873" t="n">
        <v>0</v>
      </c>
      <c r="S1873">
        <f>IFERROR(O1873/N1873,0)</f>
        <v/>
      </c>
      <c r="T1873">
        <f>IF(C1873,(Skills!G2*N1873*B1904)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IF(C1873,(Skills!G2*N1873*B1904)*IF(Inputs!$B$38="pvp",1,(1+(Inputs!$B$21+Skills!Q2+(IF(ArtifactsInput!$M$33,CHOOSE(ArtifactsInput!$N$33+1,30,36,42,48,54,60),0))+(IF(AND(ArtifactsInput!$M$35,Inputs!$B$4&lt;&gt;"Chapter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Inputs!$B$3&gt;=35</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f>Skills!G3*IF(Skills!H3&gt;0,Skills!I3/Skills!H3,1)</f>
        <v/>
      </c>
      <c r="H1874">
        <f>1-(1-Skills!J3/100)^Skills!K3</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1896=TRUE,F1896,0)/100)*(1+(IF(Skills!A3="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1891=TRUE)*(F1891-Calc!F20)),(Inputs!$B$23+0+(IF(ArtifactsInput!$M$15,CHOOSE(ArtifactsInput!$N$15+1,25,30,35,40,45,50)/100*(Inputs!$B$11-Inputs!$B$11),0))))/100+(Inputs!$B$23+0+(IF(ArtifactsInput!$M$15,CHOOSE(ArtifactsInput!$N$15+1,25,30,35,40,45,50)/100*(Inputs!$B$11-Inputs!$B$11),0)))/100)/2</f>
        <v/>
      </c>
      <c r="M1874">
        <f>L1874*(1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IF(B1910=0,0,O1874/B1910)</f>
        <v/>
      </c>
      <c r="Q1874">
        <f>IFERROR(1/(IF(Inputs!$B$38="pvp",15,MAX(0.1,Skills!D3-IF(TRUE=TRUE,Inputs!$B$32,0)))*(1-IF(AND(ArtifactsInput!$M$27,Inputs!$B$4="Chapter Hunt"),CHOOSE(ArtifactsInput!$N$27+1,20,24,28,32,36,40),0)/100)),0)</f>
        <v/>
      </c>
      <c r="R1874">
        <f>IF(AND(Inputs!$B$38&lt;&gt;"pvp",Inputs!$B$43&gt;0),IF(MAX(0,Inputs!$B$43-B1907)&lt;=0,0,(INT(MAX(0,Inputs!$B$43-B1907)/(IF(Inputs!$B$38="pvp",15,MAX(0.1,Skills!D3-IF(TRUE=TRUE,Inputs!$B$32,0)))*(1-IF(AND(ArtifactsInput!$M$27,Inputs!$B$4="Chapter Hunt"),CHOOSE(ArtifactsInput!$N$27+1,20,24,28,32,36,40),0)/100)))+1)),0)</f>
        <v/>
      </c>
      <c r="S1874">
        <f>IFERROR(O1874/N1874,0)</f>
        <v/>
      </c>
      <c r="T1874">
        <f>IF(C1874,(Skills!G3*N1874*IF(C1875=TRUE,1-B1912,1)/B1911)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4">
        <f>INDEX(FactorTable!$B$2:$Y$301, MATCH(ROUND(MIN(300,MAX(1,U1873)),0), FactorTable!$A$2:$A$301,0), 22)</f>
        <v/>
      </c>
      <c r="V1874">
        <f>IF(C1874,(Skills!G3*N1874*IF(C1875=TRUE,1-B1912,1)/B1911)*IF(Inputs!$B$38="pvp",1,(1+(Inputs!$B$21+Skills!Q3+(IF(ArtifactsInput!$M$33,CHOOSE(ArtifactsInput!$N$33+1,30,36,42,48,54,60),0))+(IF(AND(ArtifactsInput!$M$35,Inputs!$B$4&lt;&gt;"Chapter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Skills!A4</f>
        <v/>
      </c>
      <c r="B1875">
        <f>Skills!B4</f>
        <v/>
      </c>
      <c r="C1875">
        <f>Inputs!$B$3&gt;=69</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4="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1891=TRUE)*(F1891-Calc!F20)),(Inputs!$B$23+0+(IF(ArtifactsInput!$M$15,CHOOSE(ArtifactsInput!$N$15+1,25,30,35,40,45,50)/100*(Inputs!$B$11-Inputs!$B$11),0))))/100+(Inputs!$B$23+0+(IF(ArtifactsInput!$M$15,CHOOSE(ArtifactsInput!$N$15+1,25,30,35,40,45,50)/100*(Inputs!$B$11-Inputs!$B$11),0)))/100)/2</f>
        <v/>
      </c>
      <c r="M1875">
        <f>L1875*(1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IF(B1910=0,0,O1875/B1910)</f>
        <v/>
      </c>
      <c r="Q1875" t="n">
        <v>0</v>
      </c>
      <c r="R1875" t="n">
        <v>0</v>
      </c>
      <c r="S1875">
        <f>IFERROR(O1875/N1875,0)</f>
        <v/>
      </c>
      <c r="T1875">
        <f>IF(C1875,(Skills!G4*N1875*B1912/B1911)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IF(C1875,(Skills!G4*N1875*B1912/B1911)*IF(Inputs!$B$38="pvp",1,(1+(Inputs!$B$21+Skills!Q4+(IF(ArtifactsInput!$M$33,CHOOSE(ArtifactsInput!$N$33+1,30,36,42,48,54,60),0))+(IF(AND(ArtifactsInput!$M$35,Inputs!$B$4&lt;&gt;"Chapter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t="inlineStr"/>
      <c r="K1876" t="inlineStr"/>
      <c r="L1876" t="inlineStr"/>
      <c r="M1876" t="inlineStr"/>
      <c r="N1876" t="inlineStr"/>
      <c r="O1876">
        <f>(1-Summary!$B$11)*T1876+Summary!$B$11*V1876</f>
        <v/>
      </c>
      <c r="P1876">
        <f>IF(B1910=0,0,O1876/B1910)</f>
        <v/>
      </c>
      <c r="Q1876" t="n">
        <v>0</v>
      </c>
      <c r="R1876" t="n">
        <v>0</v>
      </c>
      <c r="S1876">
        <f>IFERROR(O1876/N1876,0)</f>
        <v/>
      </c>
      <c r="T1876" t="n">
        <v>0</v>
      </c>
      <c r="V1876" t="n">
        <v>0</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1883=TRUE,F1883,0)/100)*(1+(IF(Skills!A6="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1891=TRUE)*(F1891-Calc!F20)),(Inputs!$B$23+0+(IF(ArtifactsInput!$M$15,CHOOSE(ArtifactsInput!$N$15+1,25,30,35,40,45,50)/100*(Inputs!$B$11-Inputs!$B$11),0))))/100+(Inputs!$B$23+0+(IF(ArtifactsInput!$M$15,CHOOSE(ArtifactsInput!$N$15+1,25,30,35,40,45,50)/100*(Inputs!$B$11-Inputs!$B$11),0)))/100)/2</f>
        <v/>
      </c>
      <c r="M1877">
        <f>L1877*(1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IF(B1910=0,0,O1877/B1910)</f>
        <v/>
      </c>
      <c r="Q1877">
        <f>IFERROR(1/(IF(Inputs!$B$38="pvp",15,MAX(0.1,Skills!D6-IF(TRUE=TRUE,Inputs!$B$32,0)))*(1-IF(AND(ArtifactsInput!$M$27,Inputs!$B$4="Chapter Hunt"),CHOOSE(ArtifactsInput!$N$27+1,20,24,28,32,36,40),0)/100)),0)</f>
        <v/>
      </c>
      <c r="R1877">
        <f>IF(AND(Inputs!$B$38&lt;&gt;"pvp",Inputs!$B$43&gt;0),IF(MAX(0,Inputs!$B$43-B1907)&lt;=0,0,(INT(MAX(0,Inputs!$B$43-B1907)/(IF(Inputs!$B$38="pvp",15,MAX(0.1,Skills!D6-IF(TRUE=TRUE,Inputs!$B$32,0)))*(1-IF(AND(ArtifactsInput!$M$27,Inputs!$B$4="Chapter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1907)-((R1877-1)*(IF(Inputs!$B$38="pvp",15,MAX(0.1,Skills!D6-IF(TRUE=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1907)-((R1877-1)*(IF(Inputs!$B$38="pvp",15,MAX(0.1,Skills!D6-IF(TRUE=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Inputs!$B$3&gt;=103</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1891=TRUE)*(F1891-Calc!F20)),(Inputs!$B$23+0+(IF(ArtifactsInput!$M$15,CHOOSE(ArtifactsInput!$N$15+1,25,30,35,40,45,50)/100*(Inputs!$B$11-Inputs!$B$11),0))))/100+(Inputs!$B$23+0+(IF(ArtifactsInput!$M$15,CHOOSE(ArtifactsInput!$N$15+1,25,30,35,40,45,50)/100*(Inputs!$B$11-Inputs!$B$11),0)))/100)/2</f>
        <v/>
      </c>
      <c r="M1878">
        <f>L1878*(1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IF(B1910=0,0,O1878/B1910)</f>
        <v/>
      </c>
      <c r="Q1878">
        <f>IFERROR(1/(IF(Inputs!$B$38="pvp",15,MAX(0.1,Skills!D7-IF(TRUE=TRUE,Inputs!$B$32,0)))*(1-IF(AND(ArtifactsInput!$M$27,Inputs!$B$4="Chapter Hunt"),CHOOSE(ArtifactsInput!$N$27+1,20,24,28,32,36,40),0)/100)),0)</f>
        <v/>
      </c>
      <c r="R1878">
        <f>IF(AND(Inputs!$B$38&lt;&gt;"pvp",Inputs!$B$43&gt;0),IF(MAX(0,Inputs!$B$43-B1907)&lt;=0,0,(INT(MAX(0,Inputs!$B$43-B1907)/(IF(Inputs!$B$38="pvp",15,MAX(0.1,Skills!D7-IF(TRUE=TRUE,Inputs!$B$32,0)))*(1-IF(AND(ArtifactsInput!$M$27,Inputs!$B$4="Chapter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1907)-((R1878-1)*(IF(Inputs!$B$38="pvp",15,MAX(0.1,Skills!D7-IF(TRUE=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1907)-((R1878-1)*(IF(Inputs!$B$38="pvp",15,MAX(0.1,Skills!D7-IF(TRUE=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Inputs!$B$3&gt;=117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1891=TRUE)*(F1891-Calc!F20)),(Inputs!$B$23+0+(IF(ArtifactsInput!$M$15,CHOOSE(ArtifactsInput!$N$15+1,25,30,35,40,45,50)/100*(Inputs!$B$11-Inputs!$B$11),0))))/100+(Inputs!$B$23+0+(IF(ArtifactsInput!$M$15,CHOOSE(ArtifactsInput!$N$15+1,25,30,35,40,45,50)/100*(Inputs!$B$11-Inputs!$B$11),0)))/100)/2</f>
        <v/>
      </c>
      <c r="M1879">
        <f>L1879*(1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IF(B1910=0,0,O1879/B1910)</f>
        <v/>
      </c>
      <c r="Q1879">
        <f>IFERROR(1/(IF(Inputs!$B$38="pvp",15,MAX(0.1,Skills!D8-IF(TRUE=TRUE,Inputs!$B$32,0)))*(1-IF(AND(ArtifactsInput!$M$27,Inputs!$B$4="Chapter Hunt"),CHOOSE(ArtifactsInput!$N$27+1,20,24,28,32,36,40),0)/100)),0)</f>
        <v/>
      </c>
      <c r="R1879">
        <f>IF(AND(Inputs!$B$38&lt;&gt;"pvp",Inputs!$B$43&gt;0),IF(MAX(0,Inputs!$B$43-B1907)&lt;=0,0,(INT(MAX(0,Inputs!$B$43-B1907)/(IF(Inputs!$B$38="pvp",15,MAX(0.1,Skills!D8-IF(TRUE=TRUE,Inputs!$B$32,0)))*(1-IF(AND(ArtifactsInput!$M$27,Inputs!$B$4="Chapter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1907)-((R1879-1)*(IF(Inputs!$B$38="pvp",15,MAX(0.1,Skills!D8-IF(TRUE=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1907)-((R1879-1)*(IF(Inputs!$B$38="pvp",15,MAX(0.1,Skills!D8-IF(TRUE=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Inputs!$B$3&gt;=120</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B1912</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1891=TRUE)*(F1891-Calc!F20)),(Inputs!$B$23+0+(IF(ArtifactsInput!$M$15,CHOOSE(ArtifactsInput!$N$15+1,25,30,35,40,45,50)/100*(Inputs!$B$11-Inputs!$B$11),0))))/100+(Inputs!$B$23+0+(IF(ArtifactsInput!$M$15,CHOOSE(ArtifactsInput!$N$15+1,25,30,35,40,45,50)/100*(Inputs!$B$11-Inputs!$B$11),0)))/100)/2</f>
        <v/>
      </c>
      <c r="M1880">
        <f>L1880*(1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IF(B1910=0,0,O1880/B1910)</f>
        <v/>
      </c>
      <c r="Q1880">
        <f>IFERROR(1/(IF(Inputs!$B$38="pvp",15,MAX(0.1,Skills!D9-IF(TRUE=TRUE,Inputs!$B$32,0)))*(1-IF(AND(ArtifactsInput!$M$27,Inputs!$B$4="Chapter Hunt"),CHOOSE(ArtifactsInput!$N$27+1,20,24,28,32,36,40),0)/100)),0)</f>
        <v/>
      </c>
      <c r="R1880">
        <f>IF(AND(Inputs!$B$38&lt;&gt;"pvp",Inputs!$B$43&gt;0),IF(MAX(0,Inputs!$B$43-B1907)&lt;=0,0,(INT(MAX(0,Inputs!$B$43-B1907)/(IF(Inputs!$B$38="pvp",15,MAX(0.1,Skills!D9-IF(TRUE=TRUE,Inputs!$B$32,0)))*(1-IF(AND(ArtifactsInput!$M$27,Inputs!$B$4="Chapter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1907)-((R1880-1)*(IF(Inputs!$B$38="pvp",15,MAX(0.1,Skills!D9-IF(TRUE=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1907)-((R1880-1)*(IF(Inputs!$B$38="pvp",15,MAX(0.1,Skills!D9-IF(TRUE=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Inputs!$B$3&gt;=105</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1891=TRUE)*(F1891-Calc!F20)),(Inputs!$B$23+0+(IF(ArtifactsInput!$M$15,CHOOSE(ArtifactsInput!$N$15+1,25,30,35,40,45,50)/100*(Inputs!$B$11-Inputs!$B$11),0))))/100+(Inputs!$B$23+0+(IF(ArtifactsInput!$M$15,CHOOSE(ArtifactsInput!$N$15+1,25,30,35,40,45,50)/100*(Inputs!$B$11-Inputs!$B$11),0)))/100)/2</f>
        <v/>
      </c>
      <c r="M1881">
        <f>L1881*(1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IF(B1910=0,0,O1881/B1910)</f>
        <v/>
      </c>
      <c r="Q1881">
        <f>IFERROR(1/(IF(Inputs!$B$38="pvp",15,MAX(0.1,Skills!D10-IF(TRUE=TRUE,Inputs!$B$32,0)))*(1-IF(AND(ArtifactsInput!$M$27,Inputs!$B$4="Chapter Hunt"),CHOOSE(ArtifactsInput!$N$27+1,20,24,28,32,36,40),0)/100)),0)</f>
        <v/>
      </c>
      <c r="R1881">
        <f>IF(AND(Inputs!$B$38&lt;&gt;"pvp",Inputs!$B$43&gt;0),IF(MAX(0,Inputs!$B$43-B1907)&lt;=0,0,(INT(MAX(0,Inputs!$B$43-B1907)/(IF(Inputs!$B$38="pvp",15,MAX(0.1,Skills!D10-IF(TRUE=TRUE,Inputs!$B$32,0)))*(1-IF(AND(ArtifactsInput!$M$27,Inputs!$B$4="Chapter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1907)-((R1881-1)*(IF(Inputs!$B$38="pvp",15,MAX(0.1,Skills!D10-IF(TRUE=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1907)-((R1881-1)*(IF(Inputs!$B$38="pvp",15,MAX(0.1,Skills!D10-IF(TRUE=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1891=TRUE)*(F1891-Calc!F20)),(Inputs!$B$23+0+(IF(ArtifactsInput!$M$15,CHOOSE(ArtifactsInput!$N$15+1,25,30,35,40,45,50)/100*(Inputs!$B$11-Inputs!$B$11),0))))/100+(Inputs!$B$23+0+(IF(ArtifactsInput!$M$15,CHOOSE(ArtifactsInput!$N$15+1,25,30,35,40,45,50)/100*(Inputs!$B$11-Inputs!$B$11),0)))/100)/2</f>
        <v/>
      </c>
      <c r="M1882">
        <f>L1882*(1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IF(B1910=0,0,O1882/B1910)</f>
        <v/>
      </c>
      <c r="Q1882" t="n">
        <v>0</v>
      </c>
      <c r="R1882" t="n">
        <v>0</v>
      </c>
      <c r="S1882">
        <f>IFERROR(O1882/N1882,0)</f>
        <v/>
      </c>
      <c r="T1882">
        <f>IF(C1882,((H1882*B1913)/(1+Skills!H11*H1882*B1913)*N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IF(C1882,((H1882*B1913)/(1+Skills!H11*H1882*B1913)*N1882)*IF(Inputs!$B$38="pvp",1,(1+(Inputs!$B$21+Skills!Q11+(IF(ArtifactsInput!$M$33,CHOOSE(ArtifactsInput!$N$33+1,30,36,42,48,54,60),0))+(IF(AND(ArtifactsInput!$M$35,Inputs!$B$4&lt;&gt;"Chapter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T1883" t="inlineStr"/>
      <c r="V1883" t="inlineStr"/>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IF(B1910=0,0,O1884/B1910)</f>
        <v/>
      </c>
      <c r="Q1884" t="n">
        <v>0</v>
      </c>
      <c r="R1884" t="n">
        <v>0</v>
      </c>
      <c r="S1884">
        <f>IFERROR(O1884/N1884,0)</f>
        <v/>
      </c>
      <c r="T1884" t="n">
        <v>0</v>
      </c>
      <c r="V1884" t="n">
        <v>0</v>
      </c>
    </row>
    <row r="1885">
      <c r="A1885">
        <f>Skills!A14</f>
        <v/>
      </c>
      <c r="B1885">
        <f>Skills!B14</f>
        <v/>
      </c>
      <c r="C1885">
        <f>Inputs!$B$3&gt;=115</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IF(B1910=0,0,O1885/B1910)</f>
        <v/>
      </c>
      <c r="Q1885">
        <f>IFERROR(1/(IF(Inputs!$B$38="pvp",15,MAX(0.1,Skills!D14-IF(TRUE=TRUE,Inputs!$B$32,0)))*(1-IF(AND(ArtifactsInput!$M$27,Inputs!$B$4="Chapter Hunt"),CHOOSE(ArtifactsInput!$N$27+1,20,24,28,32,36,40),0)/100)),0)</f>
        <v/>
      </c>
      <c r="R1885">
        <f>IF(AND(Inputs!$B$38&lt;&gt;"pvp",Inputs!$B$43&gt;0),IF(Inputs!$B$43&lt;=0,0,(INT(Inputs!$B$43/(IF(Inputs!$B$38="pvp",15,MAX(0.1,Skills!D14-IF(TRUE=TRUE,Inputs!$B$32,0)))*(1-IF(AND(ArtifactsInput!$M$27,Inputs!$B$4="Chapter Hunt"),CHOOSE(ArtifactsInput!$N$27+1,20,24,28,32,36,40),0)/100)))+1)),0)</f>
        <v/>
      </c>
      <c r="S1885">
        <f>IFERROR(O1885/N1885,0)</f>
        <v/>
      </c>
      <c r="T1885" t="n">
        <v>0</v>
      </c>
      <c r="V1885" t="n">
        <v>0</v>
      </c>
    </row>
    <row r="1886">
      <c r="A1886">
        <f>Skills!A15</f>
        <v/>
      </c>
      <c r="B1886">
        <f>Skills!B15</f>
        <v/>
      </c>
      <c r="C1886">
        <f>Inputs!$B$3&gt;=125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IF(B1910=0,0,O1886/B1910)</f>
        <v/>
      </c>
      <c r="Q1886">
        <f>IFERROR(1/(IF(Inputs!$B$38="pvp",15,MAX(0.1,Skills!D15-IF(TRUE=TRUE,Inputs!$B$32,0)))*(1-IF(AND(ArtifactsInput!$M$27,Inputs!$B$4="Chapter Hunt"),CHOOSE(ArtifactsInput!$N$27+1,20,24,28,32,36,40),0)/100)),0)</f>
        <v/>
      </c>
      <c r="R1886">
        <f>IF(AND(Inputs!$B$38&lt;&gt;"pvp",Inputs!$B$43&gt;0),IF(Inputs!$B$43&lt;=0,0,(INT(Inputs!$B$43/(IF(Inputs!$B$38="pvp",15,MAX(0.1,Skills!D15-IF(TRUE=TRUE,Inputs!$B$32,0)))*(1-IF(AND(ArtifactsInput!$M$27,Inputs!$B$4="Chapter Hunt"),CHOOSE(ArtifactsInput!$N$27+1,20,24,28,32,36,40),0)/100)))+1)),0)</f>
        <v/>
      </c>
      <c r="S1886">
        <f>IFERROR(O1886/N1886,0)</f>
        <v/>
      </c>
      <c r="T1886" t="n">
        <v>0</v>
      </c>
      <c r="V1886" t="n">
        <v>0</v>
      </c>
    </row>
    <row r="1887">
      <c r="A1887">
        <f>Skills!A16</f>
        <v/>
      </c>
      <c r="B1887">
        <f>Skills!B16</f>
        <v/>
      </c>
      <c r="C1887">
        <f>Inputs!$B$3&gt;=10</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IF(B1910=0,0,O1887/B1910)</f>
        <v/>
      </c>
      <c r="Q1887" t="n">
        <v>0</v>
      </c>
      <c r="R1887" t="n">
        <v>0</v>
      </c>
      <c r="S1887">
        <f>IFERROR(O1887/N1887,0)</f>
        <v/>
      </c>
      <c r="T1887" t="n">
        <v>0</v>
      </c>
      <c r="V1887" t="n">
        <v>0</v>
      </c>
    </row>
    <row r="1888">
      <c r="A1888">
        <f>Skills!A17</f>
        <v/>
      </c>
      <c r="B1888">
        <f>Skills!B17</f>
        <v/>
      </c>
      <c r="C1888">
        <f>Inputs!$B$3&gt;=15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IF(B1910=0,0,O1888/B1910)</f>
        <v/>
      </c>
      <c r="Q1888" t="n">
        <v>0</v>
      </c>
      <c r="R1888" t="n">
        <v>0</v>
      </c>
      <c r="S1888">
        <f>IFERROR(O1888/N1888,0)</f>
        <v/>
      </c>
      <c r="T1888" t="n">
        <v>0</v>
      </c>
      <c r="V1888" t="n">
        <v>0</v>
      </c>
    </row>
    <row r="1889">
      <c r="A1889">
        <f>Skills!A18</f>
        <v/>
      </c>
      <c r="B1889">
        <f>Skills!B18</f>
        <v/>
      </c>
      <c r="C1889">
        <f>Inputs!$B$3&gt;=33</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IF(B1910=0,0,O1889/B1910)</f>
        <v/>
      </c>
      <c r="Q1889" t="n">
        <v>0</v>
      </c>
      <c r="R1889" t="n">
        <v>0</v>
      </c>
      <c r="S1889">
        <f>IFERROR(O1889/N1889,0)</f>
        <v/>
      </c>
      <c r="T1889" t="n">
        <v>0</v>
      </c>
      <c r="V1889" t="n">
        <v>0</v>
      </c>
    </row>
    <row r="1890">
      <c r="A1890">
        <f>Skills!A19</f>
        <v/>
      </c>
      <c r="B1890">
        <f>Skills!B19</f>
        <v/>
      </c>
      <c r="C1890">
        <f>Inputs!$B$3&gt;=40</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IF(B1910=0,0,O1890/B1910)</f>
        <v/>
      </c>
      <c r="Q1890" t="n">
        <v>0</v>
      </c>
      <c r="R1890" t="n">
        <v>0</v>
      </c>
      <c r="S1890">
        <f>IFERROR(O1890/N1890,0)</f>
        <v/>
      </c>
      <c r="T1890" t="n">
        <v>0</v>
      </c>
      <c r="V1890" t="n">
        <v>0</v>
      </c>
    </row>
    <row r="1891">
      <c r="A1891">
        <f>Skills!A20</f>
        <v/>
      </c>
      <c r="B1891">
        <f>Skills!B20</f>
        <v/>
      </c>
      <c r="C1891">
        <f>Inputs!$B$3&gt;=43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IF(B1910=0,0,O1891/B1910)</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IF(B1910=0,0,O1892/B1910)</f>
        <v/>
      </c>
      <c r="Q1892" t="n">
        <v>0</v>
      </c>
      <c r="R1892" t="n">
        <v>0</v>
      </c>
      <c r="S1892">
        <f>IFERROR(O1892/N1892,0)</f>
        <v/>
      </c>
      <c r="T1892" t="n">
        <v>0</v>
      </c>
      <c r="V1892" t="n">
        <v>0</v>
      </c>
    </row>
    <row r="1893">
      <c r="A1893">
        <f>Skills!A22</f>
        <v/>
      </c>
      <c r="B1893">
        <f>Skills!B22</f>
        <v/>
      </c>
      <c r="C1893">
        <f>Inputs!$B$3&gt;=75</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IF(B1910=0,0,O1893/B1910)</f>
        <v/>
      </c>
      <c r="Q1893" t="n">
        <v>0</v>
      </c>
      <c r="R1893" t="n">
        <v>0</v>
      </c>
      <c r="S1893">
        <f>IFERROR(O1893/N1893,0)</f>
        <v/>
      </c>
      <c r="T1893" t="n">
        <v>0</v>
      </c>
      <c r="V1893" t="n">
        <v>0</v>
      </c>
    </row>
    <row r="1894">
      <c r="A1894">
        <f>Skills!A23</f>
        <v/>
      </c>
      <c r="B1894">
        <f>Skills!B23</f>
        <v/>
      </c>
      <c r="C1894">
        <f>TRUE</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IF(B1910=0,0,O1894/B1910)</f>
        <v/>
      </c>
      <c r="Q1894">
        <f>IFERROR(1/(IF(Inputs!$B$38="pvp",15,MAX(0.1,Skills!D23-IF(TRUE=TRUE,Inputs!$B$32,0)))*(1-IF(AND(ArtifactsInput!$M$27,Inputs!$B$4="Chapter Hunt"),CHOOSE(ArtifactsInput!$N$27+1,20,24,28,32,36,40),0)/100)),0)</f>
        <v/>
      </c>
      <c r="R1894">
        <f>IF(AND(Inputs!$B$38&lt;&gt;"pvp",Inputs!$B$43&gt;0),IF(Inputs!$B$43&lt;=0,0,(INT(Inputs!$B$43/(IF(Inputs!$B$38="pvp",15,MAX(0.1,Skills!D23-IF(TRUE=TRUE,Inputs!$B$32,0)))*(1-IF(AND(ArtifactsInput!$M$27,Inputs!$B$4="Chapter Hunt"),CHOOSE(ArtifactsInput!$N$27+1,20,24,28,32,36,40),0)/100)))+1)),0)</f>
        <v/>
      </c>
      <c r="S1894">
        <f>IFERROR(O1894/N1894,0)</f>
        <v/>
      </c>
      <c r="T1894" t="n">
        <v>0</v>
      </c>
      <c r="V1894" t="n">
        <v>0</v>
      </c>
    </row>
    <row r="1895">
      <c r="A1895">
        <f>Skills!A24</f>
        <v/>
      </c>
      <c r="B1895">
        <f>Skills!B24</f>
        <v/>
      </c>
      <c r="C1895">
        <f>Inputs!$B$3&gt;=107</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IF(B1910=0,0,O1895/B1910)</f>
        <v/>
      </c>
      <c r="Q1895">
        <f>IFERROR(1/(IF(Inputs!$B$38="pvp",15,MAX(0.1,Skills!D24-IF(TRUE=TRUE,Inputs!$B$32,0)))*(1-IF(AND(ArtifactsInput!$M$27,Inputs!$B$4="Chapter Hunt"),CHOOSE(ArtifactsInput!$N$27+1,20,24,28,32,36,40),0)/100)),0)</f>
        <v/>
      </c>
      <c r="R1895">
        <f>IF(AND(Inputs!$B$38&lt;&gt;"pvp",Inputs!$B$43&gt;0),IF(Inputs!$B$43&lt;=0,0,(INT(Inputs!$B$43/(IF(Inputs!$B$38="pvp",15,MAX(0.1,Skills!D24-IF(TRUE=TRUE,Inputs!$B$32,0)))*(1-IF(AND(ArtifactsInput!$M$27,Inputs!$B$4="Chapter Hunt"),CHOOSE(ArtifactsInput!$N$27+1,20,24,28,32,36,40),0)/100)))+1)),0)</f>
        <v/>
      </c>
      <c r="S1895">
        <f>IFERROR(O1895/N1895,0)</f>
        <v/>
      </c>
      <c r="T1895" t="n">
        <v>0</v>
      </c>
      <c r="V1895" t="n">
        <v>0</v>
      </c>
    </row>
    <row r="1896">
      <c r="A1896">
        <f>Skills!A25</f>
        <v/>
      </c>
      <c r="B1896">
        <f>Skills!B25</f>
        <v/>
      </c>
      <c r="C1896">
        <f>Inputs!$B$3&gt;=110</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t="inlineStr"/>
      <c r="H1896" t="inlineStr"/>
      <c r="I1896" t="inlineStr">
        <is>
          <t>1</t>
        </is>
      </c>
      <c r="J1896" t="inlineStr"/>
      <c r="K1896" t="inlineStr"/>
      <c r="L1896" t="inlineStr"/>
      <c r="M1896" t="inlineStr"/>
      <c r="N1896" t="inlineStr"/>
      <c r="O1896" t="inlineStr"/>
      <c r="P1896" t="inlineStr"/>
      <c r="Q1896" t="inlineStr"/>
      <c r="R1896" t="inlineStr"/>
      <c r="S1896" t="inlineStr"/>
      <c r="T1896" t="inlineStr"/>
      <c r="V1896" t="inlineStr"/>
    </row>
    <row r="1897">
      <c r="A1897">
        <f>Skills!A26</f>
        <v/>
      </c>
      <c r="B1897">
        <f>Skills!B26</f>
        <v/>
      </c>
      <c r="C1897">
        <f>Inputs!$B$3&gt;=117</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t="inlineStr"/>
      <c r="H1897" t="inlineStr"/>
      <c r="I1897" t="inlineStr">
        <is>
          <t>1</t>
        </is>
      </c>
      <c r="J1897" t="inlineStr"/>
      <c r="K1897" t="inlineStr"/>
      <c r="L1897" t="inlineStr"/>
      <c r="M1897" t="inlineStr"/>
      <c r="N1897" t="inlineStr"/>
      <c r="O1897" t="inlineStr"/>
      <c r="P1897" t="inlineStr"/>
      <c r="Q1897" t="inlineStr"/>
      <c r="R1897" t="inlineStr"/>
      <c r="S1897" t="inlineStr"/>
      <c r="T1897" t="inlineStr"/>
      <c r="V1897" t="inlineStr"/>
    </row>
    <row r="1899">
      <c r="A1899" t="inlineStr">
        <is>
          <t>Attack% Bucket Multiplier</t>
        </is>
      </c>
      <c r="B1899">
        <f>(1+(((C1884=TRUE)*F1884*5/7)+((C1890=TRUE)*(F1890-Calc!F19))+(IF(IF(ArtifactsInput!$M$21,FALSE,TRUE),CHOOSE(ArtifactsInput!$N$21+1,25,30,35,40,45,50)*(IF(OR(Inputs!$B$4="Chapter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0">
      <c r="A1900" t="inlineStr">
        <is>
          <t>Global Crit Rate Bonus %</t>
        </is>
      </c>
      <c r="B1900" t="n">
        <v>0</v>
      </c>
    </row>
    <row r="1901">
      <c r="A1901" t="inlineStr">
        <is>
          <t>Attack Speed Buff Bonus % (Nimble Feet + Speed Infusion, duty-cycle averaged)</t>
        </is>
      </c>
      <c r="B1901">
        <f>((C1894=TRUE)*F1894*IF(AND(Inputs!$B$38&lt;&gt;"pvp",Inputs!$B$43&gt;0),(((R1894-1)*MIN((Skills!T23*(1+Inputs!$B$34/100)),(1/Q1894))+MIN((Skills!T23*(1+Inputs!$B$34/100)),MAX(0,Inputs!$B$43-((R1894-1)*(1/Q1894)))))/Inputs!$B$43),IF(Inputs!$B$38="pvp",MIN((Skills!T23*(1+Inputs!$B$34/100)),15)/15,MIN(1,(Skills!T23*(1+Inputs!$B$34/100))/(1/Q1894)))))+((C1895=TRUE)*F1895*IF(AND(Inputs!$B$38&lt;&gt;"pvp",Inputs!$B$43&gt;0),(((R1895-1)*MIN((Skills!T24*(1+Inputs!$B$34/100)),(1/Q1895))+MIN((Skills!T24*(1+Inputs!$B$34/100)),MAX(0,Inputs!$B$43-((R1895-1)*(1/Q1895)))))/Inputs!$B$43),IF(Inputs!$B$38="pvp",MIN((Skills!T24*(1+Inputs!$B$34/100)),15)/15,MIN(1,(Skills!T24*(1+Inputs!$B$34/100))/(1/Q1895)))))</f>
        <v/>
      </c>
    </row>
    <row r="1902">
      <c r="A1902" t="inlineStr">
        <is>
          <t>Actions Per Second</t>
        </is>
      </c>
      <c r="B1902">
        <f>1+MIN(150,150*(1-(1-(Inputs!$B$11+((C1888=TRUE)*(F1888-Calc!F17))+((C1889=TRUE)*(F1889-Calc!F18)))/150)*(1-B1901/150)))/100</f>
        <v/>
      </c>
    </row>
    <row r="1903">
      <c r="A1903" t="inlineStr">
        <is>
          <t>Skill + Buff Cast Rate</t>
        </is>
      </c>
      <c r="B1903">
        <f>IF(AND(Inputs!$B$38&lt;&gt;"pvp",Inputs!$B$43&gt;0),SUMPRODUCT((Skills!E2:E26=TRUE)*(C1873:C1897=TRUE)*R1873:R1897*Skills!F2:F26)/Inputs!$B$43,SUMPRODUCT((Skills!E2:E26=TRUE)*(C1873:C1897=TRUE)*Q1873:Q1897*Skills!F2:F26))</f>
        <v/>
      </c>
    </row>
    <row r="1904">
      <c r="A1904" t="inlineStr">
        <is>
          <t>Hook Bomber Casts Per Second</t>
        </is>
      </c>
      <c r="B1904">
        <f>MAX(0,B1902-B1903)</f>
        <v/>
      </c>
    </row>
    <row r="1905">
      <c r="A1905" t="inlineStr">
        <is>
          <t>Global Critical Damage Bonus % (unused)</t>
        </is>
      </c>
      <c r="B1905" t="n">
        <v>0</v>
      </c>
    </row>
    <row r="1906">
      <c r="A1906" t="inlineStr">
        <is>
          <t>Global Final Damage Bonus % (Serpent Scale + Crossbones + Time Leap + Speed Infusion)</t>
        </is>
      </c>
      <c r="B1906">
        <f>((C1876=TRUE)*(F1876*B1912+4*(1-B1912)))+((C1885=TRUE)*F1885*IF(AND(Inputs!$B$38&lt;&gt;"pvp",Inputs!$B$43&gt;0),(((R1885-1)*MIN((Skills!T14*(1+Inputs!$B$34/100)),(1/Q1885))+MIN((Skills!T14*(1+Inputs!$B$34/100)),MAX(0,Inputs!$B$43-((R1885-1)*(1/Q1885)))))/Inputs!$B$43),IF(Inputs!$B$38="pvp",MIN((Skills!T14*(1+Inputs!$B$34/100)),15)/15,MIN(1,(Skills!T14*(1+Inputs!$B$34/100))/(1/Q1885)))))+((C1886=TRUE)*F1886*IF(AND(Inputs!$B$38&lt;&gt;"pvp",Inputs!$B$43&gt;0),(((R1886-1)*MIN((Skills!T15*(1+Inputs!$B$34/100)),(1/Q1886))+MIN((Skills!T15*(1+Inputs!$B$34/100)),MAX(0,Inputs!$B$43-((R1886-1)*(1/Q1886)))))/Inputs!$B$43),IF(Inputs!$B$38="pvp",MIN((Skills!T15*(1+Inputs!$B$34/100)),15)/15,MIN(1,(Skills!T15*(1+Inputs!$B$34/100))/(1/Q1886)))))+((C1895=TRUE)*20*((1+MIN(150,150*(1-(1-(Inputs!$B$11+((C1888=TRUE)*(F1888-Calc!F17))+((C1889=TRUE)*(F1889-Calc!F18)))/150)*(1-(((C1894=TRUE)*F1894*IF(AND(Inputs!$B$38&lt;&gt;"pvp",Inputs!$B$43&gt;0),(((R1894-1)*MIN((Skills!T23*(1+Inputs!$B$34/100)),(1/Q1894))+MIN((Skills!T23*(1+Inputs!$B$34/100)),MAX(0,Inputs!$B$43-((R1894-1)*(1/Q1894)))))/Inputs!$B$43),IF(Inputs!$B$38="pvp",MIN((Skills!T23*(1+Inputs!$B$34/100)),15)/15,MIN(1,(Skills!T23*(1+Inputs!$B$34/100))/(1/Q1894)))))+F1895)/150)))/100)-1)*IF(AND(Inputs!$B$38&lt;&gt;"pvp",Inputs!$B$43&gt;0),(((R1895-1)*MIN((Skills!T24*(1+Inputs!$B$34/100)),(1/Q1895))+MIN((Skills!T24*(1+Inputs!$B$34/100)),MAX(0,Inputs!$B$43-((R1895-1)*(1/Q1895)))))/Inputs!$B$43),IF(Inputs!$B$38="pvp",MIN((Skills!T24*(1+Inputs!$B$34/100)),15)/15,MIN(1,(Skills!T24*(1+Inputs!$B$34/100))/(1/Q1895)))))</f>
        <v/>
      </c>
    </row>
    <row r="1907">
      <c r="A1907" t="inlineStr">
        <is>
          <t>Buff-Casting Startup Delay (s, fixed-duration only)</t>
        </is>
      </c>
      <c r="B1907">
        <f>IF(AND(Inputs!$B$38&lt;&gt;"pvp",Inputs!$B$43&gt;0),SUMPRODUCT((Skills!T2:T26&gt;0)*(Skills!E2:E26=TRUE)*(C1873:C1897=TRUE))/B1902,0)</f>
        <v/>
      </c>
    </row>
    <row r="1908">
      <c r="A1908" t="inlineStr">
        <is>
          <t>Boss-Only Total DPS (this block's swept value)</t>
        </is>
      </c>
      <c r="B1908">
        <f>SUM(T1873:T1897)</f>
        <v/>
      </c>
    </row>
    <row r="1909">
      <c r="A1909" t="inlineStr">
        <is>
          <t>Normal-Only Total DPS (this block's swept value)</t>
        </is>
      </c>
      <c r="B1909">
        <f>SUM(V1873:V1897)</f>
        <v/>
      </c>
    </row>
    <row r="1910">
      <c r="A1910" s="6" t="inlineStr">
        <is>
          <t>TOTAL DPS</t>
        </is>
      </c>
      <c r="B1910" s="6">
        <f>SUM(O1873:O1897)</f>
        <v/>
      </c>
    </row>
    <row r="1911">
      <c r="A1911" t="inlineStr">
        <is>
          <t>Serpent activation interval T (this block's own Hook Bomber rate)</t>
        </is>
      </c>
      <c r="B1911">
        <f>((1/Q1874)+IFERROR(0.5/B1904,0))</f>
        <v/>
      </c>
    </row>
    <row r="1912">
      <c r="A1912" t="inlineStr">
        <is>
          <t>Assault Mode uptime u (this block)</t>
        </is>
      </c>
      <c r="B1912">
        <f>IF(C1876=TRUE,(10+IF(Inputs!$B$3&gt;=94,5,0))/((10+IF(Inputs!$B$3&gt;=94,5,0))+IF(Inputs!$B$3&gt;=104,3,5)*B1911),0)</f>
        <v/>
      </c>
    </row>
    <row r="1913">
      <c r="A1913" t="inlineStr">
        <is>
          <t>Nautilus Strike - Final Attack trigger rate (this block's own Q/R)</t>
        </is>
      </c>
      <c r="B1913">
        <f>IF(AND(Inputs!$B$38&lt;&gt;"pvp",Inputs!$B$43&gt;0),(((C1877=TRUE)*R1877)+((C1878=TRUE)*R1878)+((C1881=TRUE)*R1881))/Inputs!$B$43,((C1877=TRUE)*Q1877)+((C1878=TRUE)*Q1878)+((C1881=TRUE)*Q1881))+B1904</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1936=TRUE)*(F1936-Calc!F20)),(Inputs!$B$23+0+(IF(ArtifactsInput!$M$15,CHOOSE(ArtifactsInput!$N$15+1,25,30,35,40,45,50)/100*(Inputs!$B$11-Inputs!$B$11),0))))/100+(Inputs!$B$23+0+(IF(ArtifactsInput!$M$15,CHOOSE(ArtifactsInput!$N$15+1,25,30,35,40,45,50)/100*(Inputs!$B$11-Inputs!$B$11),0)))/100)/2</f>
        <v/>
      </c>
      <c r="M1918">
        <f>L1918*(1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IF(B1955=0,0,O1918/B1955)</f>
        <v/>
      </c>
      <c r="Q1918" t="n">
        <v>0</v>
      </c>
      <c r="R1918" t="n">
        <v>0</v>
      </c>
      <c r="S1918">
        <f>IFERROR(O1918/N1918,0)</f>
        <v/>
      </c>
      <c r="T1918">
        <f>IF(C1918,(Skills!G2*N1918*B1949)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IF(C1918,(Skills!G2*N1918*B1949)*IF(Inputs!$B$38="pvp",1,(1+(Inputs!$B$21+Skills!Q2+(IF(ArtifactsInput!$M$33,CHOOSE(ArtifactsInput!$N$33+1,30,36,42,48,54,60),0))+(IF(AND(ArtifactsInput!$M$35,Inputs!$B$4&lt;&gt;"Chapter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Inputs!$B$3&gt;=35</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f>Skills!G3*IF(Skills!H3&gt;0,Skills!I3/Skills!H3,1)</f>
        <v/>
      </c>
      <c r="H1919">
        <f>1-(1-Skills!J3/100)^Skills!K3</f>
        <v/>
      </c>
      <c r="I1919" t="inlineStr">
        <is>
          <t>1</t>
        </is>
      </c>
      <c r="J1919">
        <f>((Inputs!$B$6*(1+Inputs!$B$7/100))+(((Inputs!$B$12*(1+Inputs!$B$13/100))-(Inputs!$B$12*(1+Inputs!$B$13/100)))+0.25*(Inputs!$B$14-Inputs!$B$14))*(1+Inputs!$B$7/100))*(F1919/100)</f>
        <v/>
      </c>
      <c r="K1919">
        <f>J1919*(1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1941=TRUE,F1941,0)/100)*(1+(IF(Skills!A3="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1936=TRUE)*(F1936-Calc!F20)),(Inputs!$B$23+0+(IF(ArtifactsInput!$M$15,CHOOSE(ArtifactsInput!$N$15+1,25,30,35,40,45,50)/100*(Inputs!$B$11-Inputs!$B$11),0))))/100+(Inputs!$B$23+0+(IF(ArtifactsInput!$M$15,CHOOSE(ArtifactsInput!$N$15+1,25,30,35,40,45,50)/100*(Inputs!$B$11-Inputs!$B$11),0)))/100)/2</f>
        <v/>
      </c>
      <c r="M1919">
        <f>L1919*(1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IF(B1955=0,0,O1919/B1955)</f>
        <v/>
      </c>
      <c r="Q1919">
        <f>IFERROR(1/(IF(Inputs!$B$38="pvp",15,MAX(0.1,Skills!D3-IF(TRUE=TRUE,Inputs!$B$32,0)))*(1-IF(AND(ArtifactsInput!$M$27,Inputs!$B$4="Chapter Hunt"),CHOOSE(ArtifactsInput!$N$27+1,20,24,28,32,36,40),0)/100)),0)</f>
        <v/>
      </c>
      <c r="R1919">
        <f>IF(AND(Inputs!$B$38&lt;&gt;"pvp",Inputs!$B$43&gt;0),IF(MAX(0,Inputs!$B$43-B1952)&lt;=0,0,(INT(MAX(0,Inputs!$B$43-B1952)/(IF(Inputs!$B$38="pvp",15,MAX(0.1,Skills!D3-IF(TRUE=TRUE,Inputs!$B$32,0)))*(1-IF(AND(ArtifactsInput!$M$27,Inputs!$B$4="Chapter Hunt"),CHOOSE(ArtifactsInput!$N$27+1,20,24,28,32,36,40),0)/100)))+1)),0)</f>
        <v/>
      </c>
      <c r="S1919">
        <f>IFERROR(O1919/N1919,0)</f>
        <v/>
      </c>
      <c r="T1919">
        <f>IF(C1919,(Skills!G3*N1919*IF(C1920=TRUE,1-B1957,1)/B1956)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INDEX(FactorTable!$B$2:$Y$301, MATCH(ROUND(MIN(300,MAX(1,U1918)),0), FactorTable!$A$2:$A$301,0), 22)</f>
        <v/>
      </c>
      <c r="V1919">
        <f>IF(C1919,(Skills!G3*N1919*IF(C1920=TRUE,1-B1957,1)/B1956)*IF(Inputs!$B$38="pvp",1,(1+(Inputs!$B$21+Skills!Q3+(IF(ArtifactsInput!$M$33,CHOOSE(ArtifactsInput!$N$33+1,30,36,42,48,54,60),0))+(IF(AND(ArtifactsInput!$M$35,Inputs!$B$4&lt;&gt;"Chapter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Skills!A4</f>
        <v/>
      </c>
      <c r="B1920">
        <f>Skills!B4</f>
        <v/>
      </c>
      <c r="C1920">
        <f>Inputs!$B$3&gt;=69</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f>Skills!G4*IF(Skills!H4&gt;0,Skills!I4/Skills!H4,1)</f>
        <v/>
      </c>
      <c r="H1920">
        <f>1-(1-Skills!J4/100)^Skills!K4</f>
        <v/>
      </c>
      <c r="I1920" t="inlineStr">
        <is>
          <t>1</t>
        </is>
      </c>
      <c r="J1920">
        <f>((Inputs!$B$6*(1+Inputs!$B$7/100))+(((Inputs!$B$12*(1+Inputs!$B$13/100))-(Inputs!$B$12*(1+Inputs!$B$13/100)))+0.25*(Inputs!$B$14-Inputs!$B$14))*(1+Inputs!$B$7/100))*(F1920/100)</f>
        <v/>
      </c>
      <c r="K1920">
        <f>J1920*(1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1928=TRUE,F1928,0)/100)*(1+(IF(Skills!A4="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1936=TRUE)*(F1936-Calc!F20)),(Inputs!$B$23+0+(IF(ArtifactsInput!$M$15,CHOOSE(ArtifactsInput!$N$15+1,25,30,35,40,45,50)/100*(Inputs!$B$11-Inputs!$B$11),0))))/100+(Inputs!$B$23+0+(IF(ArtifactsInput!$M$15,CHOOSE(ArtifactsInput!$N$15+1,25,30,35,40,45,50)/100*(Inputs!$B$11-Inputs!$B$11),0)))/100)/2</f>
        <v/>
      </c>
      <c r="M1920">
        <f>L1920*(1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IF(B1955=0,0,O1920/B1955)</f>
        <v/>
      </c>
      <c r="Q1920" t="n">
        <v>0</v>
      </c>
      <c r="R1920" t="n">
        <v>0</v>
      </c>
      <c r="S1920">
        <f>IFERROR(O1920/N1920,0)</f>
        <v/>
      </c>
      <c r="T1920">
        <f>IF(C1920,(Skills!G4*N1920*B1957/B1956)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290*U1919/1000</f>
        <v/>
      </c>
      <c r="V1920">
        <f>IF(C1920,(Skills!G4*N1920*B1957/B1956)*IF(Inputs!$B$38="pvp",1,(1+(Inputs!$B$21+Skills!Q4+(IF(ArtifactsInput!$M$33,CHOOSE(ArtifactsInput!$N$33+1,30,36,42,48,54,60),0))+(IF(AND(ArtifactsInput!$M$35,Inputs!$B$4&lt;&gt;"Chapter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Skills!A5</f>
        <v/>
      </c>
      <c r="B1921">
        <f>Skills!B5</f>
        <v/>
      </c>
      <c r="C1921">
        <f>Inputs!$B$3&gt;=66</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t="inlineStr"/>
      <c r="K1921" t="inlineStr"/>
      <c r="L1921" t="inlineStr"/>
      <c r="M1921" t="inlineStr"/>
      <c r="N1921" t="inlineStr"/>
      <c r="O1921">
        <f>(1-Summary!$B$11)*T1921+Summary!$B$11*V1921</f>
        <v/>
      </c>
      <c r="P1921">
        <f>IF(B1955=0,0,O1921/B1955)</f>
        <v/>
      </c>
      <c r="Q1921" t="n">
        <v>0</v>
      </c>
      <c r="R1921" t="n">
        <v>0</v>
      </c>
      <c r="S1921">
        <f>IFERROR(O1921/N1921,0)</f>
        <v/>
      </c>
      <c r="T1921" t="n">
        <v>0</v>
      </c>
      <c r="V1921" t="n">
        <v>0</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1928=TRUE,F1928,0)/100)*(1+(IF(Skills!A6="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1936=TRUE)*(F1936-Calc!F20)),(Inputs!$B$23+0+(IF(ArtifactsInput!$M$15,CHOOSE(ArtifactsInput!$N$15+1,25,30,35,40,45,50)/100*(Inputs!$B$11-Inputs!$B$11),0))))/100+(Inputs!$B$23+0+(IF(ArtifactsInput!$M$15,CHOOSE(ArtifactsInput!$N$15+1,25,30,35,40,45,50)/100*(Inputs!$B$11-Inputs!$B$11),0)))/100)/2</f>
        <v/>
      </c>
      <c r="M1922">
        <f>L1922*(1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IF(B1955=0,0,O1922/B1955)</f>
        <v/>
      </c>
      <c r="Q1922">
        <f>IFERROR(1/(IF(Inputs!$B$38="pvp",15,MAX(0.1,Skills!D6-IF(TRUE=TRUE,Inputs!$B$32,0)))*(1-IF(AND(ArtifactsInput!$M$27,Inputs!$B$4="Chapter Hunt"),CHOOSE(ArtifactsInput!$N$27+1,20,24,28,32,36,40),0)/100)),0)</f>
        <v/>
      </c>
      <c r="R1922">
        <f>IF(AND(Inputs!$B$38&lt;&gt;"pvp",Inputs!$B$43&gt;0),IF(MAX(0,Inputs!$B$43-B1952)&lt;=0,0,(INT(MAX(0,Inputs!$B$43-B1952)/(IF(Inputs!$B$38="pvp",15,MAX(0.1,Skills!D6-IF(TRUE=TRUE,Inputs!$B$32,0)))*(1-IF(AND(ArtifactsInput!$M$27,Inputs!$B$4="Chapter Hunt"),CHOOSE(ArtifactsInput!$N$27+1,20,24,28,32,36,40),0)/100)))+1)),0)</f>
        <v/>
      </c>
      <c r="S1922">
        <f>IFERROR(O1922/N1922,0)</f>
        <v/>
      </c>
      <c r="T1922">
        <f>IF(C1922,(H1922*N1922*IF(AND(Inputs!$B$38&lt;&gt;"pvp",Inputs!$B$43&gt;0),((Skills!G6*((R1922-1)*IF(Skills!H6&gt;0,Skills!I6/Skills!H6,1)+IF(Skills!H6&gt;0,MIN(Skills!I6,MAX(0,MAX(0,Inputs!$B$43-B1952)-((R1922-1)*(IF(Inputs!$B$38="pvp",15,MAX(0.1,Skills!D6-IF(TRUE=TRUE,Inputs!$B$32,0)))*(1-IF(AND(ArtifactsInput!$M$27,Inputs!$B$4="Chapter Hunt"),CHOOSE(ArtifactsInput!$N$27+1,20,24,28,32,36,40),0)/100)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1952)-((R1922-1)*(IF(Inputs!$B$38="pvp",15,MAX(0.1,Skills!D6-IF(TRUE=TRUE,Inputs!$B$32,0)))*(1-IF(AND(ArtifactsInput!$M$27,Inputs!$B$4="Chapter Hunt"),CHOOSE(ArtifactsInput!$N$27+1,20,24,28,32,36,40),0)/100)))))/Skills!H6,1)))/Inputs!$B$43),G1922*Q1922))*IF(Inputs!$B$38="pvp",1,(1+(Inputs!$B$21+Skills!Q6+(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Inputs!$B$3&gt;=103</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1936=TRUE)*(F1936-Calc!F20)),(Inputs!$B$23+0+(IF(ArtifactsInput!$M$15,CHOOSE(ArtifactsInput!$N$15+1,25,30,35,40,45,50)/100*(Inputs!$B$11-Inputs!$B$11),0))))/100+(Inputs!$B$23+0+(IF(ArtifactsInput!$M$15,CHOOSE(ArtifactsInput!$N$15+1,25,30,35,40,45,50)/100*(Inputs!$B$11-Inputs!$B$11),0)))/100)/2</f>
        <v/>
      </c>
      <c r="M1923">
        <f>L1923*(1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IF(B1955=0,0,O1923/B1955)</f>
        <v/>
      </c>
      <c r="Q1923">
        <f>IFERROR(1/(IF(Inputs!$B$38="pvp",15,MAX(0.1,Skills!D7-IF(TRUE=TRUE,Inputs!$B$32,0)))*(1-IF(AND(ArtifactsInput!$M$27,Inputs!$B$4="Chapter Hunt"),CHOOSE(ArtifactsInput!$N$27+1,20,24,28,32,36,40),0)/100)),0)</f>
        <v/>
      </c>
      <c r="R1923">
        <f>IF(AND(Inputs!$B$38&lt;&gt;"pvp",Inputs!$B$43&gt;0),IF(MAX(0,Inputs!$B$43-B1952)&lt;=0,0,(INT(MAX(0,Inputs!$B$43-B1952)/(IF(Inputs!$B$38="pvp",15,MAX(0.1,Skills!D7-IF(TRUE=TRUE,Inputs!$B$32,0)))*(1-IF(AND(ArtifactsInput!$M$27,Inputs!$B$4="Chapter Hunt"),CHOOSE(ArtifactsInput!$N$27+1,20,24,28,32,36,40),0)/100)))+1)),0)</f>
        <v/>
      </c>
      <c r="S1923">
        <f>IFERROR(O1923/N1923,0)</f>
        <v/>
      </c>
      <c r="T1923">
        <f>IF(C1923,(H1923*N1923*IF(AND(Inputs!$B$38&lt;&gt;"pvp",Inputs!$B$43&gt;0),((Skills!G7*((R1923-1)*IF(Skills!H7&gt;0,Skills!I7/Skills!H7,1)+IF(Skills!H7&gt;0,MIN(Skills!I7,MAX(0,MAX(0,Inputs!$B$43-B1952)-((R1923-1)*(IF(Inputs!$B$38="pvp",15,MAX(0.1,Skills!D7-IF(TRUE=TRUE,Inputs!$B$32,0)))*(1-IF(AND(ArtifactsInput!$M$27,Inputs!$B$4="Chapter Hunt"),CHOOSE(ArtifactsInput!$N$27+1,20,24,28,32,36,40),0)/100)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1952)-((R1923-1)*(IF(Inputs!$B$38="pvp",15,MAX(0.1,Skills!D7-IF(TRUE=TRUE,Inputs!$B$32,0)))*(1-IF(AND(ArtifactsInput!$M$27,Inputs!$B$4="Chapter Hunt"),CHOOSE(ArtifactsInput!$N$27+1,20,24,28,32,36,40),0)/100)))))/Skills!H7,1)))/Inputs!$B$43),G1923*Q1923))*IF(Inputs!$B$38="pvp",1,(1+(Inputs!$B$21+Skills!Q7+(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Inputs!$B$3&gt;=117</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f>Skills!G8*IF(Skills!H8&gt;0,Skills!I8/Skills!H8,1)</f>
        <v/>
      </c>
      <c r="H1924">
        <f>1-(1-Skills!J8/100)^Skills!K8</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1936=TRUE)*(F1936-Calc!F20)),(Inputs!$B$23+0+(IF(ArtifactsInput!$M$15,CHOOSE(ArtifactsInput!$N$15+1,25,30,35,40,45,50)/100*(Inputs!$B$11-Inputs!$B$11),0))))/100+(Inputs!$B$23+0+(IF(ArtifactsInput!$M$15,CHOOSE(ArtifactsInput!$N$15+1,25,30,35,40,45,50)/100*(Inputs!$B$11-Inputs!$B$11),0)))/100)/2</f>
        <v/>
      </c>
      <c r="M1924">
        <f>L1924*(1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IF(B1955=0,0,O1924/B1955)</f>
        <v/>
      </c>
      <c r="Q1924">
        <f>IFERROR(1/(IF(Inputs!$B$38="pvp",15,MAX(0.1,Skills!D8-IF(TRUE=TRUE,Inputs!$B$32,0)))*(1-IF(AND(ArtifactsInput!$M$27,Inputs!$B$4="Chapter Hunt"),CHOOSE(ArtifactsInput!$N$27+1,20,24,28,32,36,40),0)/100)),0)</f>
        <v/>
      </c>
      <c r="R1924">
        <f>IF(AND(Inputs!$B$38&lt;&gt;"pvp",Inputs!$B$43&gt;0),IF(MAX(0,Inputs!$B$43-B1952)&lt;=0,0,(INT(MAX(0,Inputs!$B$43-B1952)/(IF(Inputs!$B$38="pvp",15,MAX(0.1,Skills!D8-IF(TRUE=TRUE,Inputs!$B$32,0)))*(1-IF(AND(ArtifactsInput!$M$27,Inputs!$B$4="Chapter Hunt"),CHOOSE(ArtifactsInput!$N$27+1,20,24,28,32,36,40),0)/100)))+1)),0)</f>
        <v/>
      </c>
      <c r="S1924">
        <f>IFERROR(O1924/N1924,0)</f>
        <v/>
      </c>
      <c r="T1924">
        <f>IF(C1924,(H1924*N1924*IF(AND(Inputs!$B$38&lt;&gt;"pvp",Inputs!$B$43&gt;0),((Skills!G8*((R1924-1)*IF(Skills!H8&gt;0,Skills!I8/Skills!H8,1)+IF(Skills!H8&gt;0,MIN(Skills!I8,MAX(0,MAX(0,Inputs!$B$43-B1952)-((R1924-1)*(IF(Inputs!$B$38="pvp",15,MAX(0.1,Skills!D8-IF(TRUE=TRUE,Inputs!$B$32,0)))*(1-IF(AND(ArtifactsInput!$M$27,Inputs!$B$4="Chapter Hunt"),CHOOSE(ArtifactsInput!$N$27+1,20,24,28,32,36,40),0)/100)))))/Skills!H8,1)))/Inputs!$B$43),G1924*Q1924)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8*((R1924-1)*IF(Skills!H8&gt;0,Skills!I8/Skills!H8,1)+IF(Skills!H8&gt;0,MIN(Skills!I8,MAX(0,MAX(0,Inputs!$B$43-B1952)-((R1924-1)*(IF(Inputs!$B$38="pvp",15,MAX(0.1,Skills!D8-IF(TRUE=TRUE,Inputs!$B$32,0)))*(1-IF(AND(ArtifactsInput!$M$27,Inputs!$B$4="Chapter Hunt"),CHOOSE(ArtifactsInput!$N$27+1,20,24,28,32,36,40),0)/100)))))/Skills!H8,1)))/Inputs!$B$43),G1924*Q1924))*IF(Inputs!$B$38="pvp",1,(1+(Inputs!$B$21+Skills!Q8+(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Skills!A9</f>
        <v/>
      </c>
      <c r="B1925">
        <f>Skills!B9</f>
        <v/>
      </c>
      <c r="C1925">
        <f>Inputs!$B$3&gt;=120</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B1957</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1936=TRUE)*(F1936-Calc!F20)),(Inputs!$B$23+0+(IF(ArtifactsInput!$M$15,CHOOSE(ArtifactsInput!$N$15+1,25,30,35,40,45,50)/100*(Inputs!$B$11-Inputs!$B$11),0))))/100+(Inputs!$B$23+0+(IF(ArtifactsInput!$M$15,CHOOSE(ArtifactsInput!$N$15+1,25,30,35,40,45,50)/100*(Inputs!$B$11-Inputs!$B$11),0)))/100)/2</f>
        <v/>
      </c>
      <c r="M1925">
        <f>L1925*(1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IF(B1955=0,0,O1925/B1955)</f>
        <v/>
      </c>
      <c r="Q1925">
        <f>IFERROR(1/(IF(Inputs!$B$38="pvp",15,MAX(0.1,Skills!D9-IF(TRUE=TRUE,Inputs!$B$32,0)))*(1-IF(AND(ArtifactsInput!$M$27,Inputs!$B$4="Chapter Hunt"),CHOOSE(ArtifactsInput!$N$27+1,20,24,28,32,36,40),0)/100)),0)</f>
        <v/>
      </c>
      <c r="R1925">
        <f>IF(AND(Inputs!$B$38&lt;&gt;"pvp",Inputs!$B$43&gt;0),IF(MAX(0,Inputs!$B$43-B1952)&lt;=0,0,(INT(MAX(0,Inputs!$B$43-B1952)/(IF(Inputs!$B$38="pvp",15,MAX(0.1,Skills!D9-IF(TRUE=TRUE,Inputs!$B$32,0)))*(1-IF(AND(ArtifactsInput!$M$27,Inputs!$B$4="Chapter Hunt"),CHOOSE(ArtifactsInput!$N$27+1,20,24,28,32,36,40),0)/100)))+1)),0)</f>
        <v/>
      </c>
      <c r="S1925">
        <f>IFERROR(O1925/N1925,0)</f>
        <v/>
      </c>
      <c r="T1925">
        <f>IF(C1925,(H1925*N1925*IF(AND(Inputs!$B$38&lt;&gt;"pvp",Inputs!$B$43&gt;0),((Skills!G9*((R1925-1)*IF(Skills!H9&gt;0,Skills!I9/Skills!H9,1)+IF(Skills!H9&gt;0,MIN(Skills!I9,MAX(0,MAX(0,Inputs!$B$43-B1952)-((R1925-1)*(IF(Inputs!$B$38="pvp",15,MAX(0.1,Skills!D9-IF(TRUE=TRUE,Inputs!$B$32,0)))*(1-IF(AND(ArtifactsInput!$M$27,Inputs!$B$4="Chapter Hunt"),CHOOSE(ArtifactsInput!$N$27+1,20,24,28,32,36,40),0)/100)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1952)-((R1925-1)*(IF(Inputs!$B$38="pvp",15,MAX(0.1,Skills!D9-IF(TRUE=TRUE,Inputs!$B$32,0)))*(1-IF(AND(ArtifactsInput!$M$27,Inputs!$B$4="Chapter Hunt"),CHOOSE(ArtifactsInput!$N$27+1,20,24,28,32,36,40),0)/100)))))/Skills!H9,1)))/Inputs!$B$43),G1925*Q1925))*IF(Inputs!$B$38="pvp",1,(1+(Inputs!$B$21+Skills!Q9+(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Inputs!$B$3&gt;=105</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1936=TRUE)*(F1936-Calc!F20)),(Inputs!$B$23+0+(IF(ArtifactsInput!$M$15,CHOOSE(ArtifactsInput!$N$15+1,25,30,35,40,45,50)/100*(Inputs!$B$11-Inputs!$B$11),0))))/100+(Inputs!$B$23+0+(IF(ArtifactsInput!$M$15,CHOOSE(ArtifactsInput!$N$15+1,25,30,35,40,45,50)/100*(Inputs!$B$11-Inputs!$B$11),0)))/100)/2</f>
        <v/>
      </c>
      <c r="M1926">
        <f>L1926*(1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IF(B1955=0,0,O1926/B1955)</f>
        <v/>
      </c>
      <c r="Q1926">
        <f>IFERROR(1/(IF(Inputs!$B$38="pvp",15,MAX(0.1,Skills!D10-IF(TRUE=TRUE,Inputs!$B$32,0)))*(1-IF(AND(ArtifactsInput!$M$27,Inputs!$B$4="Chapter Hunt"),CHOOSE(ArtifactsInput!$N$27+1,20,24,28,32,36,40),0)/100)),0)</f>
        <v/>
      </c>
      <c r="R1926">
        <f>IF(AND(Inputs!$B$38&lt;&gt;"pvp",Inputs!$B$43&gt;0),IF(MAX(0,Inputs!$B$43-B1952)&lt;=0,0,(INT(MAX(0,Inputs!$B$43-B1952)/(IF(Inputs!$B$38="pvp",15,MAX(0.1,Skills!D10-IF(TRUE=TRUE,Inputs!$B$32,0)))*(1-IF(AND(ArtifactsInput!$M$27,Inputs!$B$4="Chapter Hunt"),CHOOSE(ArtifactsInput!$N$27+1,20,24,28,32,36,40),0)/100)))+1)),0)</f>
        <v/>
      </c>
      <c r="S1926">
        <f>IFERROR(O1926/N1926,0)</f>
        <v/>
      </c>
      <c r="T1926">
        <f>IF(C1926,(H1926*N1926*IF(AND(Inputs!$B$38&lt;&gt;"pvp",Inputs!$B$43&gt;0),((Skills!G10*((R1926-1)*IF(Skills!H10&gt;0,Skills!I10/Skills!H10,1)+IF(Skills!H10&gt;0,MIN(Skills!I10,MAX(0,MAX(0,Inputs!$B$43-B1952)-((R1926-1)*(IF(Inputs!$B$38="pvp",15,MAX(0.1,Skills!D10-IF(TRUE=TRUE,Inputs!$B$32,0)))*(1-IF(AND(ArtifactsInput!$M$27,Inputs!$B$4="Chapter Hunt"),CHOOSE(ArtifactsInput!$N$27+1,20,24,28,32,36,40),0)/100)))))/Skills!H10,1)))/Inputs!$B$43),G1926*Q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10*((R1926-1)*IF(Skills!H10&gt;0,Skills!I10/Skills!H10,1)+IF(Skills!H10&gt;0,MIN(Skills!I10,MAX(0,MAX(0,Inputs!$B$43-B1952)-((R1926-1)*(IF(Inputs!$B$38="pvp",15,MAX(0.1,Skills!D10-IF(TRUE=TRUE,Inputs!$B$32,0)))*(1-IF(AND(ArtifactsInput!$M$27,Inputs!$B$4="Chapter Hunt"),CHOOSE(ArtifactsInput!$N$27+1,20,24,28,32,36,40),0)/100)))))/Skills!H10,1)))/Inputs!$B$43),G1926*Q1926))*IF(Inputs!$B$38="pvp",1,(1+(Inputs!$B$21+Skills!Q10+(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Inputs!$B$3&gt;=113</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1936=TRUE)*(F1936-Calc!F20)),(Inputs!$B$23+0+(IF(ArtifactsInput!$M$15,CHOOSE(ArtifactsInput!$N$15+1,25,30,35,40,45,50)/100*(Inputs!$B$11-Inputs!$B$11),0))))/100+(Inputs!$B$23+0+(IF(ArtifactsInput!$M$15,CHOOSE(ArtifactsInput!$N$15+1,25,30,35,40,45,50)/100*(Inputs!$B$11-Inputs!$B$11),0)))/100)/2</f>
        <v/>
      </c>
      <c r="M1927">
        <f>L1927*(1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IF(B1955=0,0,O1927/B1955)</f>
        <v/>
      </c>
      <c r="Q1927" t="n">
        <v>0</v>
      </c>
      <c r="R1927" t="n">
        <v>0</v>
      </c>
      <c r="S1927">
        <f>IFERROR(O1927/N1927,0)</f>
        <v/>
      </c>
      <c r="T1927">
        <f>IF(C1927,((H1927*B1958)/(1+Skills!H11*H1927*B1958)*N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IF(C1927,((H1927*B1958)/(1+Skills!H11*H1927*B1958)*N1927)*IF(Inputs!$B$38="pvp",1,(1+(Inputs!$B$21+Skills!Q11+(IF(ArtifactsInput!$M$33,CHOOSE(ArtifactsInput!$N$33+1,30,36,42,48,54,60),0))+(IF(AND(ArtifactsInput!$M$35,Inputs!$B$4&lt;&gt;"Chapter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Inputs!$B$3&gt;=100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t="inlineStr"/>
      <c r="H1928" t="inlineStr"/>
      <c r="I1928" t="inlineStr">
        <is>
          <t>1</t>
        </is>
      </c>
      <c r="J1928" t="inlineStr"/>
      <c r="K1928" t="inlineStr"/>
      <c r="L1928" t="inlineStr"/>
      <c r="M1928" t="inlineStr"/>
      <c r="N1928" t="inlineStr"/>
      <c r="O1928" t="inlineStr"/>
      <c r="P1928" t="inlineStr"/>
      <c r="Q1928" t="inlineStr"/>
      <c r="R1928" t="inlineStr"/>
      <c r="S1928" t="inlineStr"/>
      <c r="T1928" t="inlineStr"/>
      <c r="V1928" t="inlineStr"/>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IF(B1955=0,0,O1929/B1955)</f>
        <v/>
      </c>
      <c r="Q1929" t="n">
        <v>0</v>
      </c>
      <c r="R1929" t="n">
        <v>0</v>
      </c>
      <c r="S1929">
        <f>IFERROR(O1929/N1929,0)</f>
        <v/>
      </c>
      <c r="T1929" t="n">
        <v>0</v>
      </c>
      <c r="V1929" t="n">
        <v>0</v>
      </c>
    </row>
    <row r="1930">
      <c r="A1930">
        <f>Skills!A14</f>
        <v/>
      </c>
      <c r="B1930">
        <f>Skills!B14</f>
        <v/>
      </c>
      <c r="C1930">
        <f>Inputs!$B$3&gt;=115</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IF(B1955=0,0,O1930/B1955)</f>
        <v/>
      </c>
      <c r="Q1930">
        <f>IFERROR(1/(IF(Inputs!$B$38="pvp",15,MAX(0.1,Skills!D14-IF(TRUE=TRUE,Inputs!$B$32,0)))*(1-IF(AND(ArtifactsInput!$M$27,Inputs!$B$4="Chapter Hunt"),CHOOSE(ArtifactsInput!$N$27+1,20,24,28,32,36,40),0)/100)),0)</f>
        <v/>
      </c>
      <c r="R1930">
        <f>IF(AND(Inputs!$B$38&lt;&gt;"pvp",Inputs!$B$43&gt;0),IF(Inputs!$B$43&lt;=0,0,(INT(Inputs!$B$43/(IF(Inputs!$B$38="pvp",15,MAX(0.1,Skills!D14-IF(TRUE=TRUE,Inputs!$B$32,0)))*(1-IF(AND(ArtifactsInput!$M$27,Inputs!$B$4="Chapter Hunt"),CHOOSE(ArtifactsInput!$N$27+1,20,24,28,32,36,40),0)/100)))+1)),0)</f>
        <v/>
      </c>
      <c r="S1930">
        <f>IFERROR(O1930/N1930,0)</f>
        <v/>
      </c>
      <c r="T1930" t="n">
        <v>0</v>
      </c>
      <c r="V1930" t="n">
        <v>0</v>
      </c>
    </row>
    <row r="1931">
      <c r="A1931">
        <f>Skills!A15</f>
        <v/>
      </c>
      <c r="B1931">
        <f>Skills!B15</f>
        <v/>
      </c>
      <c r="C1931">
        <f>Inputs!$B$3&gt;=125</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IF(B1955=0,0,O1931/B1955)</f>
        <v/>
      </c>
      <c r="Q1931">
        <f>IFERROR(1/(IF(Inputs!$B$38="pvp",15,MAX(0.1,Skills!D15-IF(TRUE=TRUE,Inputs!$B$32,0)))*(1-IF(AND(ArtifactsInput!$M$27,Inputs!$B$4="Chapter Hunt"),CHOOSE(ArtifactsInput!$N$27+1,20,24,28,32,36,40),0)/100)),0)</f>
        <v/>
      </c>
      <c r="R1931">
        <f>IF(AND(Inputs!$B$38&lt;&gt;"pvp",Inputs!$B$43&gt;0),IF(Inputs!$B$43&lt;=0,0,(INT(Inputs!$B$43/(IF(Inputs!$B$38="pvp",15,MAX(0.1,Skills!D15-IF(TRUE=TRUE,Inputs!$B$32,0)))*(1-IF(AND(ArtifactsInput!$M$27,Inputs!$B$4="Chapter Hunt"),CHOOSE(ArtifactsInput!$N$27+1,20,24,28,32,36,40),0)/100)))+1)),0)</f>
        <v/>
      </c>
      <c r="S1931">
        <f>IFERROR(O1931/N1931,0)</f>
        <v/>
      </c>
      <c r="T1931" t="n">
        <v>0</v>
      </c>
      <c r="V1931" t="n">
        <v>0</v>
      </c>
    </row>
    <row r="1932">
      <c r="A1932">
        <f>Skills!A16</f>
        <v/>
      </c>
      <c r="B1932">
        <f>Skills!B16</f>
        <v/>
      </c>
      <c r="C1932">
        <f>Inputs!$B$3&gt;=10</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IF(B1955=0,0,O1932/B1955)</f>
        <v/>
      </c>
      <c r="Q1932" t="n">
        <v>0</v>
      </c>
      <c r="R1932" t="n">
        <v>0</v>
      </c>
      <c r="S1932">
        <f>IFERROR(O1932/N1932,0)</f>
        <v/>
      </c>
      <c r="T1932" t="n">
        <v>0</v>
      </c>
      <c r="V1932" t="n">
        <v>0</v>
      </c>
    </row>
    <row r="1933">
      <c r="A1933">
        <f>Skills!A17</f>
        <v/>
      </c>
      <c r="B1933">
        <f>Skills!B17</f>
        <v/>
      </c>
      <c r="C1933">
        <f>Inputs!$B$3&gt;=15</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IF(B1955=0,0,O1933/B1955)</f>
        <v/>
      </c>
      <c r="Q1933" t="n">
        <v>0</v>
      </c>
      <c r="R1933" t="n">
        <v>0</v>
      </c>
      <c r="S1933">
        <f>IFERROR(O1933/N1933,0)</f>
        <v/>
      </c>
      <c r="T1933" t="n">
        <v>0</v>
      </c>
      <c r="V1933" t="n">
        <v>0</v>
      </c>
    </row>
    <row r="1934">
      <c r="A1934">
        <f>Skills!A18</f>
        <v/>
      </c>
      <c r="B1934">
        <f>Skills!B18</f>
        <v/>
      </c>
      <c r="C1934">
        <f>Inputs!$B$3&gt;=33</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IF(B1955=0,0,O1934/B1955)</f>
        <v/>
      </c>
      <c r="Q1934" t="n">
        <v>0</v>
      </c>
      <c r="R1934" t="n">
        <v>0</v>
      </c>
      <c r="S1934">
        <f>IFERROR(O1934/N1934,0)</f>
        <v/>
      </c>
      <c r="T1934" t="n">
        <v>0</v>
      </c>
      <c r="V1934" t="n">
        <v>0</v>
      </c>
    </row>
    <row r="1935">
      <c r="A1935">
        <f>Skills!A19</f>
        <v/>
      </c>
      <c r="B1935">
        <f>Skills!B19</f>
        <v/>
      </c>
      <c r="C1935">
        <f>Inputs!$B$3&gt;=40</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IF(B1955=0,0,O1935/B1955)</f>
        <v/>
      </c>
      <c r="Q1935" t="n">
        <v>0</v>
      </c>
      <c r="R1935" t="n">
        <v>0</v>
      </c>
      <c r="S1935">
        <f>IFERROR(O1935/N1935,0)</f>
        <v/>
      </c>
      <c r="T1935" t="n">
        <v>0</v>
      </c>
      <c r="V1935" t="n">
        <v>0</v>
      </c>
    </row>
    <row r="1936">
      <c r="A1936">
        <f>Skills!A20</f>
        <v/>
      </c>
      <c r="B1936">
        <f>Skills!B20</f>
        <v/>
      </c>
      <c r="C1936">
        <f>Inputs!$B$3&gt;=43</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IF(B1955=0,0,O1936/B1955)</f>
        <v/>
      </c>
      <c r="Q1936" t="n">
        <v>0</v>
      </c>
      <c r="R1936" t="n">
        <v>0</v>
      </c>
      <c r="S1936">
        <f>IFERROR(O1936/N1936,0)</f>
        <v/>
      </c>
      <c r="T1936" t="n">
        <v>0</v>
      </c>
      <c r="V1936" t="n">
        <v>0</v>
      </c>
    </row>
    <row r="1937">
      <c r="A1937">
        <f>Skills!A21</f>
        <v/>
      </c>
      <c r="B1937">
        <f>Skills!B21</f>
        <v/>
      </c>
      <c r="C1937">
        <f>Inputs!$B$3&gt;=38</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IF(B1955=0,0,O1937/B1955)</f>
        <v/>
      </c>
      <c r="Q1937" t="n">
        <v>0</v>
      </c>
      <c r="R1937" t="n">
        <v>0</v>
      </c>
      <c r="S1937">
        <f>IFERROR(O1937/N1937,0)</f>
        <v/>
      </c>
      <c r="T1937" t="n">
        <v>0</v>
      </c>
      <c r="V1937" t="n">
        <v>0</v>
      </c>
    </row>
    <row r="1938">
      <c r="A1938">
        <f>Skills!A22</f>
        <v/>
      </c>
      <c r="B1938">
        <f>Skills!B22</f>
        <v/>
      </c>
      <c r="C1938">
        <f>Inputs!$B$3&gt;=75</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IF(B1955=0,0,O1938/B1955)</f>
        <v/>
      </c>
      <c r="Q1938" t="n">
        <v>0</v>
      </c>
      <c r="R1938" t="n">
        <v>0</v>
      </c>
      <c r="S1938">
        <f>IFERROR(O1938/N1938,0)</f>
        <v/>
      </c>
      <c r="T1938" t="n">
        <v>0</v>
      </c>
      <c r="V1938" t="n">
        <v>0</v>
      </c>
    </row>
    <row r="1939">
      <c r="A1939">
        <f>Skills!A23</f>
        <v/>
      </c>
      <c r="B1939">
        <f>Skills!B23</f>
        <v/>
      </c>
      <c r="C1939">
        <f>TRUE</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IF(B1955=0,0,O1939/B1955)</f>
        <v/>
      </c>
      <c r="Q1939">
        <f>IFERROR(1/(IF(Inputs!$B$38="pvp",15,MAX(0.1,Skills!D23-IF(TRUE=TRUE,Inputs!$B$32,0)))*(1-IF(AND(ArtifactsInput!$M$27,Inputs!$B$4="Chapter Hunt"),CHOOSE(ArtifactsInput!$N$27+1,20,24,28,32,36,40),0)/100)),0)</f>
        <v/>
      </c>
      <c r="R1939">
        <f>IF(AND(Inputs!$B$38&lt;&gt;"pvp",Inputs!$B$43&gt;0),IF(Inputs!$B$43&lt;=0,0,(INT(Inputs!$B$43/(IF(Inputs!$B$38="pvp",15,MAX(0.1,Skills!D23-IF(TRUE=TRUE,Inputs!$B$32,0)))*(1-IF(AND(ArtifactsInput!$M$27,Inputs!$B$4="Chapter Hunt"),CHOOSE(ArtifactsInput!$N$27+1,20,24,28,32,36,40),0)/100)))+1)),0)</f>
        <v/>
      </c>
      <c r="S1939">
        <f>IFERROR(O1939/N1939,0)</f>
        <v/>
      </c>
      <c r="T1939" t="n">
        <v>0</v>
      </c>
      <c r="V1939" t="n">
        <v>0</v>
      </c>
    </row>
    <row r="1940">
      <c r="A1940">
        <f>Skills!A24</f>
        <v/>
      </c>
      <c r="B1940">
        <f>Skills!B24</f>
        <v/>
      </c>
      <c r="C1940">
        <f>Inputs!$B$3&gt;=107</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IF(B1955=0,0,O1940/B1955)</f>
        <v/>
      </c>
      <c r="Q1940">
        <f>IFERROR(1/(IF(Inputs!$B$38="pvp",15,MAX(0.1,Skills!D24-IF(TRUE=TRUE,Inputs!$B$32,0)))*(1-IF(AND(ArtifactsInput!$M$27,Inputs!$B$4="Chapter Hunt"),CHOOSE(ArtifactsInput!$N$27+1,20,24,28,32,36,40),0)/100)),0)</f>
        <v/>
      </c>
      <c r="R1940">
        <f>IF(AND(Inputs!$B$38&lt;&gt;"pvp",Inputs!$B$43&gt;0),IF(Inputs!$B$43&lt;=0,0,(INT(Inputs!$B$43/(IF(Inputs!$B$38="pvp",15,MAX(0.1,Skills!D24-IF(TRUE=TRUE,Inputs!$B$32,0)))*(1-IF(AND(ArtifactsInput!$M$27,Inputs!$B$4="Chapter Hunt"),CHOOSE(ArtifactsInput!$N$27+1,20,24,28,32,36,40),0)/100)))+1)),0)</f>
        <v/>
      </c>
      <c r="S1940">
        <f>IFERROR(O1940/N1940,0)</f>
        <v/>
      </c>
      <c r="T1940" t="n">
        <v>0</v>
      </c>
      <c r="V1940" t="n">
        <v>0</v>
      </c>
    </row>
    <row r="1941">
      <c r="A1941">
        <f>Skills!A25</f>
        <v/>
      </c>
      <c r="B1941">
        <f>Skills!B25</f>
        <v/>
      </c>
      <c r="C1941">
        <f>Inputs!$B$3&gt;=110</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t="inlineStr"/>
      <c r="H1941" t="inlineStr"/>
      <c r="I1941" t="inlineStr">
        <is>
          <t>1</t>
        </is>
      </c>
      <c r="J1941" t="inlineStr"/>
      <c r="K1941" t="inlineStr"/>
      <c r="L1941" t="inlineStr"/>
      <c r="M1941" t="inlineStr"/>
      <c r="N1941" t="inlineStr"/>
      <c r="O1941" t="inlineStr"/>
      <c r="P1941" t="inlineStr"/>
      <c r="Q1941" t="inlineStr"/>
      <c r="R1941" t="inlineStr"/>
      <c r="S1941" t="inlineStr"/>
      <c r="T1941" t="inlineStr"/>
      <c r="V1941" t="inlineStr"/>
    </row>
    <row r="1942">
      <c r="A1942">
        <f>Skills!A26</f>
        <v/>
      </c>
      <c r="B1942">
        <f>Skills!B26</f>
        <v/>
      </c>
      <c r="C1942">
        <f>Inputs!$B$3&gt;=117</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t="inlineStr"/>
      <c r="H1942" t="inlineStr"/>
      <c r="I1942" t="inlineStr">
        <is>
          <t>1</t>
        </is>
      </c>
      <c r="J1942" t="inlineStr"/>
      <c r="K1942" t="inlineStr"/>
      <c r="L1942" t="inlineStr"/>
      <c r="M1942" t="inlineStr"/>
      <c r="N1942" t="inlineStr"/>
      <c r="O1942" t="inlineStr"/>
      <c r="P1942" t="inlineStr"/>
      <c r="Q1942" t="inlineStr"/>
      <c r="R1942" t="inlineStr"/>
      <c r="S1942" t="inlineStr"/>
      <c r="T1942" t="inlineStr"/>
      <c r="V1942" t="inlineStr"/>
    </row>
    <row r="1944">
      <c r="A1944" t="inlineStr">
        <is>
          <t>Attack% Bucket Multiplier</t>
        </is>
      </c>
      <c r="B1944">
        <f>(1+(((C1929=TRUE)*F1929*5/7)+((C1935=TRUE)*(F1935-Calc!F19))+(IF(ArtifactsInput!$M$21,CHOOSE(ArtifactsInput!$N$21+1,25,30,35,40,45,50)*(IF(OR(Inputs!$B$4="Chapter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5">
      <c r="A1945" t="inlineStr">
        <is>
          <t>Global Crit Rate Bonus %</t>
        </is>
      </c>
      <c r="B1945" t="n">
        <v>0</v>
      </c>
    </row>
    <row r="1946">
      <c r="A1946" t="inlineStr">
        <is>
          <t>Attack Speed Buff Bonus % (Nimble Feet + Speed Infusion, duty-cycle averaged)</t>
        </is>
      </c>
      <c r="B1946">
        <f>((C1939=TRUE)*F1939*IF(AND(Inputs!$B$38&lt;&gt;"pvp",Inputs!$B$43&gt;0),(((R1939-1)*MIN((Skills!T23*(1+Inputs!$B$34/100)),(1/Q1939))+MIN((Skills!T23*(1+Inputs!$B$34/100)),MAX(0,Inputs!$B$43-((R1939-1)*(1/Q1939)))))/Inputs!$B$43),IF(Inputs!$B$38="pvp",MIN((Skills!T23*(1+Inputs!$B$34/100)),15)/15,MIN(1,(Skills!T23*(1+Inputs!$B$34/100))/(1/Q1939)))))+((C1940=TRUE)*F1940*IF(AND(Inputs!$B$38&lt;&gt;"pvp",Inputs!$B$43&gt;0),(((R1940-1)*MIN((Skills!T24*(1+Inputs!$B$34/100)),(1/Q1940))+MIN((Skills!T24*(1+Inputs!$B$34/100)),MAX(0,Inputs!$B$43-((R1940-1)*(1/Q1940)))))/Inputs!$B$43),IF(Inputs!$B$38="pvp",MIN((Skills!T24*(1+Inputs!$B$34/100)),15)/15,MIN(1,(Skills!T24*(1+Inputs!$B$34/100))/(1/Q1940)))))</f>
        <v/>
      </c>
    </row>
    <row r="1947">
      <c r="A1947" t="inlineStr">
        <is>
          <t>Actions Per Second</t>
        </is>
      </c>
      <c r="B1947">
        <f>1+MIN(150,150*(1-(1-(Inputs!$B$11+((C1933=TRUE)*(F1933-Calc!F17))+((C1934=TRUE)*(F1934-Calc!F18)))/150)*(1-B1946/150)))/100</f>
        <v/>
      </c>
    </row>
    <row r="1948">
      <c r="A1948" t="inlineStr">
        <is>
          <t>Skill + Buff Cast Rate</t>
        </is>
      </c>
      <c r="B1948">
        <f>IF(AND(Inputs!$B$38&lt;&gt;"pvp",Inputs!$B$43&gt;0),SUMPRODUCT((Skills!E2:E26=TRUE)*(C1918:C1942=TRUE)*R1918:R1942*Skills!F2:F26)/Inputs!$B$43,SUMPRODUCT((Skills!E2:E26=TRUE)*(C1918:C1942=TRUE)*Q1918:Q1942*Skills!F2:F26))</f>
        <v/>
      </c>
    </row>
    <row r="1949">
      <c r="A1949" t="inlineStr">
        <is>
          <t>Hook Bomber Casts Per Second</t>
        </is>
      </c>
      <c r="B1949">
        <f>MAX(0,B1947-B1948)</f>
        <v/>
      </c>
    </row>
    <row r="1950">
      <c r="A1950" t="inlineStr">
        <is>
          <t>Global Critical Damage Bonus % (unused)</t>
        </is>
      </c>
      <c r="B1950" t="n">
        <v>0</v>
      </c>
    </row>
    <row r="1951">
      <c r="A1951" t="inlineStr">
        <is>
          <t>Global Final Damage Bonus % (Serpent Scale + Crossbones + Time Leap + Speed Infusion)</t>
        </is>
      </c>
      <c r="B1951">
        <f>((C1921=TRUE)*(F1921*B1957+4*(1-B1957)))+((C1930=TRUE)*F1930*IF(AND(Inputs!$B$38&lt;&gt;"pvp",Inputs!$B$43&gt;0),(((R1930-1)*MIN((Skills!T14*(1+Inputs!$B$34/100)),(1/Q1930))+MIN((Skills!T14*(1+Inputs!$B$34/100)),MAX(0,Inputs!$B$43-((R1930-1)*(1/Q1930)))))/Inputs!$B$43),IF(Inputs!$B$38="pvp",MIN((Skills!T14*(1+Inputs!$B$34/100)),15)/15,MIN(1,(Skills!T14*(1+Inputs!$B$34/100))/(1/Q1930)))))+((C1931=TRUE)*F1931*IF(AND(Inputs!$B$38&lt;&gt;"pvp",Inputs!$B$43&gt;0),(((R1931-1)*MIN((Skills!T15*(1+Inputs!$B$34/100)),(1/Q1931))+MIN((Skills!T15*(1+Inputs!$B$34/100)),MAX(0,Inputs!$B$43-((R1931-1)*(1/Q1931)))))/Inputs!$B$43),IF(Inputs!$B$38="pvp",MIN((Skills!T15*(1+Inputs!$B$34/100)),15)/15,MIN(1,(Skills!T15*(1+Inputs!$B$34/100))/(1/Q1931)))))+((C1940=TRUE)*20*((1+MIN(150,150*(1-(1-(Inputs!$B$11+((C1933=TRUE)*(F1933-Calc!F17))+((C1934=TRUE)*(F1934-Calc!F18)))/150)*(1-(((C1939=TRUE)*F1939*IF(AND(Inputs!$B$38&lt;&gt;"pvp",Inputs!$B$43&gt;0),(((R1939-1)*MIN((Skills!T23*(1+Inputs!$B$34/100)),(1/Q1939))+MIN((Skills!T23*(1+Inputs!$B$34/100)),MAX(0,Inputs!$B$43-((R1939-1)*(1/Q1939)))))/Inputs!$B$43),IF(Inputs!$B$38="pvp",MIN((Skills!T23*(1+Inputs!$B$34/100)),15)/15,MIN(1,(Skills!T23*(1+Inputs!$B$34/100))/(1/Q1939)))))+F1940)/150)))/100)-1)*IF(AND(Inputs!$B$38&lt;&gt;"pvp",Inputs!$B$43&gt;0),(((R1940-1)*MIN((Skills!T24*(1+Inputs!$B$34/100)),(1/Q1940))+MIN((Skills!T24*(1+Inputs!$B$34/100)),MAX(0,Inputs!$B$43-((R1940-1)*(1/Q1940)))))/Inputs!$B$43),IF(Inputs!$B$38="pvp",MIN((Skills!T24*(1+Inputs!$B$34/100)),15)/15,MIN(1,(Skills!T24*(1+Inputs!$B$34/100))/(1/Q1940)))))</f>
        <v/>
      </c>
    </row>
    <row r="1952">
      <c r="A1952" t="inlineStr">
        <is>
          <t>Buff-Casting Startup Delay (s, fixed-duration only)</t>
        </is>
      </c>
      <c r="B1952">
        <f>IF(AND(Inputs!$B$38&lt;&gt;"pvp",Inputs!$B$43&gt;0),SUMPRODUCT((Skills!T2:T26&gt;0)*(Skills!E2:E26=TRUE)*(C1918:C1942=TRUE))/B1947,0)</f>
        <v/>
      </c>
    </row>
    <row r="1953">
      <c r="A1953" t="inlineStr">
        <is>
          <t>Boss-Only Total DPS (this block's swept value)</t>
        </is>
      </c>
      <c r="B1953">
        <f>SUM(T1918:T1942)</f>
        <v/>
      </c>
    </row>
    <row r="1954">
      <c r="A1954" t="inlineStr">
        <is>
          <t>Normal-Only Total DPS (this block's swept value)</t>
        </is>
      </c>
      <c r="B1954">
        <f>SUM(V1918:V1942)</f>
        <v/>
      </c>
    </row>
    <row r="1955">
      <c r="A1955" s="6" t="inlineStr">
        <is>
          <t>TOTAL DPS</t>
        </is>
      </c>
      <c r="B1955" s="6">
        <f>SUM(O1918:O1942)</f>
        <v/>
      </c>
    </row>
    <row r="1956">
      <c r="A1956" t="inlineStr">
        <is>
          <t>Serpent activation interval T (this block's own Hook Bomber rate)</t>
        </is>
      </c>
      <c r="B1956">
        <f>((1/Q1919)+IFERROR(0.5/B1949,0))</f>
        <v/>
      </c>
    </row>
    <row r="1957">
      <c r="A1957" t="inlineStr">
        <is>
          <t>Assault Mode uptime u (this block)</t>
        </is>
      </c>
      <c r="B1957">
        <f>IF(C1921=TRUE,(10+IF(Inputs!$B$3&gt;=94,5,0))/((10+IF(Inputs!$B$3&gt;=94,5,0))+IF(Inputs!$B$3&gt;=104,3,5)*B1956),0)</f>
        <v/>
      </c>
    </row>
    <row r="1958">
      <c r="A1958" t="inlineStr">
        <is>
          <t>Nautilus Strike - Final Attack trigger rate (this block's own Q/R)</t>
        </is>
      </c>
      <c r="B1958">
        <f>IF(AND(Inputs!$B$38&lt;&gt;"pvp",Inputs!$B$43&gt;0),(((C1922=TRUE)*R1922)+((C1923=TRUE)*R1923)+((C1926=TRUE)*R1926))/Inputs!$B$43,((C1922=TRUE)*Q1922)+((C1923=TRUE)*Q1923)+((C1926=TRUE)*Q1926))+B1949</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1981=TRUE)*(F1981-Calc!F20)),(Inputs!$B$23+0+(IF(ArtifactsInput!$M$15,CHOOSE(ArtifactsInput!$N$15+1,25,30,35,40,45,50)/100*(Inputs!$B$11-Inputs!$B$11),0))))/100+(Inputs!$B$23+0+(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Inputs!$B$3&gt;=35</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f>Skills!G3*IF(Skills!H3&gt;0,Skills!I3/Skills!H3,1)</f>
        <v/>
      </c>
      <c r="H1964">
        <f>1-(1-Skills!J3/100)^Skills!K3</f>
        <v/>
      </c>
      <c r="I1964" t="inlineStr">
        <is>
          <t>1</t>
        </is>
      </c>
      <c r="J1964">
        <f>((Inputs!$B$6*(1+Inputs!$B$7/100))+(((Inputs!$B$12*(1+Inputs!$B$13/100))-(Inputs!$B$12*(1+Inputs!$B$13/100)))+0.25*(Inputs!$B$14-Inputs!$B$14))*(1+Inputs!$B$7/100))*(F1964/100)</f>
        <v/>
      </c>
      <c r="K1964">
        <f>J1964*(1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1986=TRUE,F1986,0)/100)*(1+(IF(Skills!A3="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C1981=TRUE)*(F1981-Calc!F20)),(Inputs!$B$23+0+(IF(ArtifactsInput!$M$15,CHOOSE(ArtifactsInput!$N$15+1,25,30,35,40,45,50)/100*(Inputs!$B$11-Inputs!$B$11),0))))/100+(Inputs!$B$23+0+(IF(ArtifactsInput!$M$15,CHOOSE(ArtifactsInput!$N$15+1,25,30,35,40,45,50)/100*(Inputs!$B$11-Inputs!$B$11),0)))/100)/2</f>
        <v/>
      </c>
      <c r="M1964">
        <f>L1964*(1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(1-Summary!$B$11)*T1964+Summary!$B$11*V1964</f>
        <v/>
      </c>
      <c r="P1964">
        <f>IF(B2000=0,0,O1964/B2000)</f>
        <v/>
      </c>
      <c r="Q1964">
        <f>IFERROR(1/(IF(Inputs!$B$38="pvp",15,MAX(0.1,Skills!D3-IF(TRUE=TRUE,Inputs!$B$32,0)))*(1-IF(AND(ArtifactsInput!$M$27,Inputs!$B$4="Chapter Hunt"),CHOOSE(ArtifactsInput!$N$27+1,20,24,28,32,36,40),0)/100)),0)</f>
        <v/>
      </c>
      <c r="R1964">
        <f>IF(AND(Inputs!$B$38&lt;&gt;"pvp",Inputs!$B$43&gt;0),IF(MAX(0,Inputs!$B$43-B1997)&lt;=0,0,(INT(MAX(0,Inputs!$B$43-B1997)/(IF(Inputs!$B$38="pvp",15,MAX(0.1,Skills!D3-IF(TRUE=TRUE,Inputs!$B$32,0)))*(1-IF(AND(ArtifactsInput!$M$27,Inputs!$B$4="Chapter Hunt"),CHOOSE(ArtifactsInput!$N$27+1,20,24,28,32,36,40),0)/100)))+1)),0)</f>
        <v/>
      </c>
      <c r="S1964">
        <f>IFERROR(O1964/N1964,0)</f>
        <v/>
      </c>
      <c r="T1964">
        <f>IF(C1964,(Skills!G3*N1964*IF(C1965=TRUE,1-B2002,1)/B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1964*(1-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4">
        <f>INDEX(FactorTable!$B$2:$Y$301, MATCH(ROUND(MIN(300,MAX(1,U1963)),0), FactorTable!$A$2:$A$301,0), 22)</f>
        <v/>
      </c>
      <c r="V1964">
        <f>IF(C1964,(Skills!G3*N1964*IF(C1965=TRUE,1-B2002,1)/B2001)*IF(Inputs!$B$38="pvp",1,(1+(Inputs!$B$21+Skills!Q3+(IF(ArtifactsInput!$M$33,CHOOSE(ArtifactsInput!$N$33+1,30,36,42,48,54,60),0))+(IF(AND(ArtifactsInput!$M$35,Inputs!$B$4&lt;&gt;"Chapter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Skills!A4</f>
        <v/>
      </c>
      <c r="B1965">
        <f>Skills!B4</f>
        <v/>
      </c>
      <c r="C1965">
        <f>Inputs!$B$3&gt;=69</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f>Skills!G4*IF(Skills!H4&gt;0,Skills!I4/Skills!H4,1)</f>
        <v/>
      </c>
      <c r="H1965">
        <f>1-(1-Skills!J4/100)^Skills!K4</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4="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1981=TRUE)*(F1981-Calc!F20)),(Inputs!$B$23+0+(IF(ArtifactsInput!$M$15,CHOOSE(ArtifactsInput!$N$15+1,25,30,35,40,45,50)/100*(Inputs!$B$11-Inputs!$B$11),0))))/100+(Inputs!$B$23+0+(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t="n">
        <v>0</v>
      </c>
      <c r="R1965" t="n">
        <v>0</v>
      </c>
      <c r="S1965">
        <f>IFERROR(O1965/N1965,0)</f>
        <v/>
      </c>
      <c r="T1965">
        <f>IF(C1965,(Skills!G4*N1965*B2002/B2001)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290*U1964/1000</f>
        <v/>
      </c>
      <c r="V1965">
        <f>IF(C1965,(Skills!G4*N1965*B2002/B2001)*IF(Inputs!$B$38="pvp",1,(1+(Inputs!$B$21+Skills!Q4+(IF(ArtifactsInput!$M$33,CHOOSE(ArtifactsInput!$N$33+1,30,36,42,48,54,60),0))+(IF(AND(ArtifactsInput!$M$35,Inputs!$B$4&lt;&gt;"Chapter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Skills!A5</f>
        <v/>
      </c>
      <c r="B1966">
        <f>Skills!B5</f>
        <v/>
      </c>
      <c r="C1966">
        <f>Inputs!$B$3&gt;=66</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t="inlineStr"/>
      <c r="K1966" t="inlineStr"/>
      <c r="L1966" t="inlineStr"/>
      <c r="M1966" t="inlineStr"/>
      <c r="N1966" t="inlineStr"/>
      <c r="O1966">
        <f>(1-Summary!$B$11)*T1966+Summary!$B$11*V1966</f>
        <v/>
      </c>
      <c r="P1966">
        <f>IF(B2000=0,0,O1966/B2000)</f>
        <v/>
      </c>
      <c r="Q1966" t="n">
        <v>0</v>
      </c>
      <c r="R1966" t="n">
        <v>0</v>
      </c>
      <c r="S1966">
        <f>IFERROR(O1966/N1966,0)</f>
        <v/>
      </c>
      <c r="T1966" t="n">
        <v>0</v>
      </c>
      <c r="V1966" t="n">
        <v>0</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1973=TRUE,F1973,0)/100)*(1+(IF(Skills!A6="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1981=TRUE)*(F1981-Calc!F20)),(Inputs!$B$23+0+(IF(ArtifactsInput!$M$15,CHOOSE(ArtifactsInput!$N$15+1,25,30,35,40,45,50)/100*(Inputs!$B$11-Inputs!$B$11),0))))/100+(Inputs!$B$23+0+(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$21+Skills!Q6+(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Inputs!$B$3&gt;=103</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1981=TRUE)*(F1981-Calc!F20)),(Inputs!$B$23+0+(IF(ArtifactsInput!$M$15,CHOOSE(ArtifactsInput!$N$15+1,25,30,35,40,45,50)/100*(Inputs!$B$11-Inputs!$B$11),0))))/100+(Inputs!$B$23+0+(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$21+Skills!Q7+(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1981=TRUE)*(F1981-Calc!F20)),(Inputs!$B$23+0+(IF(ArtifactsInput!$M$15,CHOOSE(ArtifactsInput!$N$15+1,25,30,35,40,45,50)/100*(Inputs!$B$11-Inputs!$B$11),0))))/100+(Inputs!$B$23+0+(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$21+Skills!Q8+(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Inputs!$B$3&gt;=120</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B2002</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1981=TRUE)*(F1981-Calc!F20)),(Inputs!$B$23+0+(IF(ArtifactsInput!$M$15,CHOOSE(ArtifactsInput!$N$15+1,25,30,35,40,45,50)/100*(Inputs!$B$11-Inputs!$B$11),0))))/100+(Inputs!$B$23+0+(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IFERROR(1/(IF(Inputs!$B$38="pvp",15,MAX(0.1,Skills!D9-IF(TRUE=TRUE,Inputs!$B$32,0)))*(1-IF(AND(ArtifactsInput!$M$27,Inputs!$B$4="Chapter Hunt"),CHOOSE(ArtifactsInput!$N$27+1,20,24,28,32,36,40),0)/100)),0)</f>
        <v/>
      </c>
      <c r="R1970">
        <f>IF(AND(Inputs!$B$38&lt;&gt;"pvp",Inputs!$B$43&gt;0),IF(MAX(0,Inputs!$B$43-B1997)&lt;=0,0,(INT(MAX(0,Inputs!$B$43-B1997)/(IF(Inputs!$B$38="pvp",15,MAX(0.1,Skills!D9-IF(TRUE=TRUE,Inputs!$B$32,0)))*(1-IF(AND(ArtifactsInput!$M$27,Inputs!$B$4="Chapter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$21+Skills!Q9+(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Inputs!$B$3&gt;=105</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1981=TRUE)*(F1981-Calc!F20)),(Inputs!$B$23+0+(IF(ArtifactsInput!$M$15,CHOOSE(ArtifactsInput!$N$15+1,25,30,35,40,45,50)/100*(Inputs!$B$11-Inputs!$B$11),0))))/100+(Inputs!$B$23+0+(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$21+Skills!Q10+(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Inputs!$B$3&gt;=113</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1981=TRUE)*(F1981-Calc!F20)),(Inputs!$B$23+0+(IF(ArtifactsInput!$M$15,CHOOSE(ArtifactsInput!$N$15+1,25,30,35,40,45,50)/100*(Inputs!$B$11-Inputs!$B$11),0))))/100+(Inputs!$B$23+0+(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t="n">
        <v>0</v>
      </c>
      <c r="R1972" t="n">
        <v>0</v>
      </c>
      <c r="S1972">
        <f>IFERROR(O1972/N1972,0)</f>
        <v/>
      </c>
      <c r="T1972">
        <f>IF(C1972,((H1972*B2003)/(1+Skills!H11*H1972*B2003)*N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IF(C1972,((H1972*B2003)/(1+Skills!H11*H1972*B2003)*N1972)*IF(Inputs!$B$38="pvp",1,(1+(Inputs!$B$21+Skills!Q11+(IF(ArtifactsInput!$M$33,CHOOSE(ArtifactsInput!$N$33+1,30,36,42,48,54,60),0))+(IF(AND(ArtifactsInput!$M$35,Inputs!$B$4&lt;&gt;"Chapter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c r="T1973" t="inlineStr"/>
      <c r="V1973" t="inlineStr"/>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Inputs!$B$3&gt;=115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f>IFERROR(1/(IF(Inputs!$B$38="pvp",15,MAX(0.1,Skills!D14-IF(TRUE=TRUE,Inputs!$B$32,0)))*(1-IF(AND(ArtifactsInput!$M$27,Inputs!$B$4="Chapter Hunt"),CHOOSE(ArtifactsInput!$N$27+1,20,24,28,32,36,40),0)/100)),0)</f>
        <v/>
      </c>
      <c r="R1975">
        <f>IF(AND(Inputs!$B$38&lt;&gt;"pvp",Inputs!$B$43&gt;0),IF(Inputs!$B$43&lt;=0,0,(INT(Inputs!$B$43/(IF(Inputs!$B$38="pvp",15,MAX(0.1,Skills!D14-IF(TRUE=TRUE,Inputs!$B$32,0)))*(1-IF(AND(ArtifactsInput!$M$27,Inputs!$B$4="Chapter Hunt"),CHOOSE(ArtifactsInput!$N$27+1,20,24,28,32,36,40),0)/100)))+1)),0)</f>
        <v/>
      </c>
      <c r="S1975">
        <f>IFERROR(O1975/N1975,0)</f>
        <v/>
      </c>
      <c r="T1975" t="n">
        <v>0</v>
      </c>
      <c r="V1975" t="n">
        <v>0</v>
      </c>
    </row>
    <row r="1976">
      <c r="A1976">
        <f>Skills!A15</f>
        <v/>
      </c>
      <c r="B1976">
        <f>Skills!B15</f>
        <v/>
      </c>
      <c r="C1976">
        <f>Inputs!$B$3&gt;=125</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Inputs!$B$3&gt;=10</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t="n">
        <v>0</v>
      </c>
      <c r="R1977" t="n">
        <v>0</v>
      </c>
      <c r="S1977">
        <f>IFERROR(O1977/N1977,0)</f>
        <v/>
      </c>
      <c r="T1977" t="n">
        <v>0</v>
      </c>
      <c r="V1977" t="n">
        <v>0</v>
      </c>
    </row>
    <row r="1978">
      <c r="A1978">
        <f>Skills!A17</f>
        <v/>
      </c>
      <c r="B1978">
        <f>Skills!B17</f>
        <v/>
      </c>
      <c r="C1978">
        <f>Inputs!$B$3&gt;=15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t="n">
        <v>0</v>
      </c>
      <c r="R1978" t="n">
        <v>0</v>
      </c>
      <c r="S1978">
        <f>IFERROR(O1978/N1978,0)</f>
        <v/>
      </c>
      <c r="T1978" t="n">
        <v>0</v>
      </c>
      <c r="V1978" t="n">
        <v>0</v>
      </c>
    </row>
    <row r="1979">
      <c r="A1979">
        <f>Skills!A18</f>
        <v/>
      </c>
      <c r="B1979">
        <f>Skills!B18</f>
        <v/>
      </c>
      <c r="C1979">
        <f>Inputs!$B$3&gt;=33</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t="n">
        <v>0</v>
      </c>
      <c r="R1979" t="n">
        <v>0</v>
      </c>
      <c r="S1979">
        <f>IFERROR(O1979/N1979,0)</f>
        <v/>
      </c>
      <c r="T1979" t="n">
        <v>0</v>
      </c>
      <c r="V1979" t="n">
        <v>0</v>
      </c>
    </row>
    <row r="1980">
      <c r="A1980">
        <f>Skills!A19</f>
        <v/>
      </c>
      <c r="B1980">
        <f>Skills!B19</f>
        <v/>
      </c>
      <c r="C1980">
        <f>Inputs!$B$3&gt;=40</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t="n">
        <v>0</v>
      </c>
      <c r="R1980" t="n">
        <v>0</v>
      </c>
      <c r="S1980">
        <f>IFERROR(O1980/N1980,0)</f>
        <v/>
      </c>
      <c r="T1980" t="n">
        <v>0</v>
      </c>
      <c r="V1980" t="n">
        <v>0</v>
      </c>
    </row>
    <row r="1981">
      <c r="A1981">
        <f>Skills!A20</f>
        <v/>
      </c>
      <c r="B1981">
        <f>Skills!B20</f>
        <v/>
      </c>
      <c r="C1981">
        <f>Inputs!$B$3&gt;=43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Inputs!$B$3&gt;=75</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TRUE</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f>IFERROR(1/(IF(Inputs!$B$38="pvp",15,MAX(0.1,Skills!D23-IF(TRUE=TRUE,Inputs!$B$32,0)))*(1-IF(AND(ArtifactsInput!$M$27,Inputs!$B$4="Chapter Hunt"),CHOOSE(ArtifactsInput!$N$27+1,20,24,28,32,36,40),0)/100)),0)</f>
        <v/>
      </c>
      <c r="R1984">
        <f>IF(AND(Inputs!$B$38&lt;&gt;"pvp",Inputs!$B$43&gt;0),IF(Inputs!$B$43&lt;=0,0,(INT(Inputs!$B$43/(IF(Inputs!$B$38="pvp",15,MAX(0.1,Skills!D23-IF(TRUE=TRUE,Inputs!$B$32,0)))*(1-IF(AND(ArtifactsInput!$M$27,Inputs!$B$4="Chapter Hunt"),CHOOSE(ArtifactsInput!$N$27+1,20,24,28,32,36,40),0)/100)))+1)),0)</f>
        <v/>
      </c>
      <c r="S1984">
        <f>IFERROR(O1984/N1984,0)</f>
        <v/>
      </c>
      <c r="T1984" t="n">
        <v>0</v>
      </c>
      <c r="V1984" t="n">
        <v>0</v>
      </c>
    </row>
    <row r="1985">
      <c r="A1985">
        <f>Skills!A24</f>
        <v/>
      </c>
      <c r="B1985">
        <f>Skills!B24</f>
        <v/>
      </c>
      <c r="C1985">
        <f>Inputs!$B$3&gt;=107</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f>IFERROR(1/(IF(Inputs!$B$38="pvp",15,MAX(0.1,Skills!D24-IF(TRUE=TRUE,Inputs!$B$32,0)))*(1-IF(AND(ArtifactsInput!$M$27,Inputs!$B$4="Chapter Hunt"),CHOOSE(ArtifactsInput!$N$27+1,20,24,28,32,36,40),0)/100)),0)</f>
        <v/>
      </c>
      <c r="R1985">
        <f>IF(AND(Inputs!$B$38&lt;&gt;"pvp",Inputs!$B$43&gt;0),IF(Inputs!$B$43&lt;=0,0,(INT(Inputs!$B$43/(IF(Inputs!$B$38="pvp",15,MAX(0.1,Skills!D24-IF(TRUE=TRUE,Inputs!$B$32,0)))*(1-IF(AND(ArtifactsInput!$M$27,Inputs!$B$4="Chapter Hunt"),CHOOSE(ArtifactsInput!$N$27+1,20,24,28,32,36,40),0)/100)))+1)),0)</f>
        <v/>
      </c>
      <c r="S1985">
        <f>IFERROR(O1985/N1985,0)</f>
        <v/>
      </c>
      <c r="T1985" t="n">
        <v>0</v>
      </c>
      <c r="V1985" t="n">
        <v>0</v>
      </c>
    </row>
    <row r="1986">
      <c r="A1986">
        <f>Skills!A25</f>
        <v/>
      </c>
      <c r="B1986">
        <f>Skills!B25</f>
        <v/>
      </c>
      <c r="C1986">
        <f>Inputs!$B$3&gt;=110</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t="inlineStr"/>
      <c r="H1986" t="inlineStr"/>
      <c r="I1986" t="inlineStr">
        <is>
          <t>1</t>
        </is>
      </c>
      <c r="J1986" t="inlineStr"/>
      <c r="K1986" t="inlineStr"/>
      <c r="L1986" t="inlineStr"/>
      <c r="M1986" t="inlineStr"/>
      <c r="N1986" t="inlineStr"/>
      <c r="O1986" t="inlineStr"/>
      <c r="P1986" t="inlineStr"/>
      <c r="Q1986" t="inlineStr"/>
      <c r="R1986" t="inlineStr"/>
      <c r="S1986" t="inlineStr"/>
      <c r="T1986" t="inlineStr"/>
      <c r="V1986" t="inlineStr"/>
    </row>
    <row r="1987">
      <c r="A1987">
        <f>Skills!A26</f>
        <v/>
      </c>
      <c r="B1987">
        <f>Skills!B26</f>
        <v/>
      </c>
      <c r="C1987">
        <f>Inputs!$B$3&gt;=117</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t="inlineStr"/>
      <c r="H1987" t="inlineStr"/>
      <c r="I1987" t="inlineStr">
        <is>
          <t>1</t>
        </is>
      </c>
      <c r="J1987" t="inlineStr"/>
      <c r="K1987" t="inlineStr"/>
      <c r="L1987" t="inlineStr"/>
      <c r="M1987" t="inlineStr"/>
      <c r="N1987" t="inlineStr"/>
      <c r="O1987" t="inlineStr"/>
      <c r="P1987" t="inlineStr"/>
      <c r="Q1987" t="inlineStr"/>
      <c r="R1987" t="inlineStr"/>
      <c r="S1987" t="inlineStr"/>
      <c r="T1987" t="inlineStr"/>
      <c r="V1987" t="inlineStr"/>
    </row>
    <row r="1989">
      <c r="A1989" t="inlineStr">
        <is>
          <t>Attack% Bucket Multiplier</t>
        </is>
      </c>
      <c r="B1989">
        <f>(1+(((C1974=TRUE)*F1974*5/7)+((C1980=TRUE)*(F1980-Calc!F19))+(IF(ArtifactsInput!$M$21,CHOOSE(ArtifactsInput!$N$21+1,25,30,35,40,45,50)*(IF(OR(Inputs!$B$4="Chapter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 (Nimble Feet + Speed Infusion, duty-cycle averaged)</t>
        </is>
      </c>
      <c r="B1991">
        <f>((C1984=TRUE)*F1984*IF(AND(Inputs!$B$38&lt;&gt;"pvp",Inputs!$B$43&gt;0),(((R1984-1)*MIN((Skills!T23*(1+Inputs!$B$34/100)),(1/Q1984))+MIN((Skills!T23*(1+Inputs!$B$34/100)),MAX(0,Inputs!$B$43-((R1984-1)*(1/Q1984)))))/Inputs!$B$43),IF(Inputs!$B$38="pvp",MIN((Skills!T23*(1+Inputs!$B$34/100)),15)/15,MIN(1,(Skills!T23*(1+Inputs!$B$34/100))/(1/Q1984)))))+((C1985=TRUE)*F1985*IF(AND(Inputs!$B$38&lt;&gt;"pvp",Inputs!$B$43&gt;0),(((R1985-1)*MIN((Skills!T24*(1+Inputs!$B$34/100)),(1/Q1985))+MIN((Skills!T24*(1+Inputs!$B$34/100)),MAX(0,Inputs!$B$43-((R1985-1)*(1/Q1985)))))/Inputs!$B$43),IF(Inputs!$B$38="pvp",MIN((Skills!T24*(1+Inputs!$B$34/100)),15)/15,MIN(1,(Skills!T24*(1+Inputs!$B$34/100))/(1/Q1985)))))</f>
        <v/>
      </c>
    </row>
    <row r="1992">
      <c r="A1992" t="inlineStr">
        <is>
          <t>Actions Per Second</t>
        </is>
      </c>
      <c r="B1992">
        <f>1+MIN(150,150*(1-(1-(Inputs!$B$11+((C1978=TRUE)*(F1978-Calc!F17))+((C1979=TRUE)*(F1979-Calc!F18)))/150)*(1-B1991/150)))/100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Hook Bomber Casts Per Second</t>
        </is>
      </c>
      <c r="B1994">
        <f>MAX(0,B1992-B1993)</f>
        <v/>
      </c>
    </row>
    <row r="1995">
      <c r="A1995" t="inlineStr">
        <is>
          <t>Global Critical Damage Bonus % (unused)</t>
        </is>
      </c>
      <c r="B1995" t="n">
        <v>0</v>
      </c>
    </row>
    <row r="1996">
      <c r="A1996" t="inlineStr">
        <is>
          <t>Global Final Damage Bonus % (Serpent Scale + Crossbones + Time Leap + Speed Infusion)</t>
        </is>
      </c>
      <c r="B1996">
        <f>((C1966=TRUE)*(F1966*B2002+4*(1-B2002)))+((C1975=TRUE)*F1975*IF(AND(Inputs!$B$38&lt;&gt;"pvp",Inputs!$B$43&gt;0),(((R1975-1)*MIN((Skills!T14*(1+Inputs!$B$34/100)),(1/Q1975))+MIN((Skills!T14*(1+Inputs!$B$34/100)),MAX(0,Inputs!$B$43-((R1975-1)*(1/Q1975)))))/Inputs!$B$43),IF(Inputs!$B$38="pvp",MIN((Skills!T14*(1+Inputs!$B$34/100)),15)/15,MIN(1,(Skills!T14*(1+Inputs!$B$34/100))/(1/Q1975)))))+((C1976=TRUE)*F1976*IF(AND(Inputs!$B$38&lt;&gt;"pvp",Inputs!$B$43&gt;0),(((R1976-1)*MIN((Skills!T15*(1+Inputs!$B$34/100)),(1/Q1976))+MIN((Skills!T15*(1+Inputs!$B$34/100)),MAX(0,Inputs!$B$43-((R1976-1)*(1/Q1976)))))/Inputs!$B$43),IF(Inputs!$B$38="pvp",MIN((Skills!T15*(1+Inputs!$B$34/100)),15)/15,MIN(1,(Skills!T15*(1+Inputs!$B$34/100))/(1/Q1976)))))+((C1985=TRUE)*20*((1+MIN(150,150*(1-(1-(Inputs!$B$11+((C1978=TRUE)*(F1978-Calc!F17))+((C1979=TRUE)*(F1979-Calc!F18)))/150)*(1-(((C1984=TRUE)*F1984*IF(AND(Inputs!$B$38&lt;&gt;"pvp",Inputs!$B$43&gt;0),(((R1984-1)*MIN((Skills!T23*(1+Inputs!$B$34/100)),(1/Q1984))+MIN((Skills!T23*(1+Inputs!$B$34/100)),MAX(0,Inputs!$B$43-((R1984-1)*(1/Q1984)))))/Inputs!$B$43),IF(Inputs!$B$38="pvp",MIN((Skills!T23*(1+Inputs!$B$34/100)),15)/15,MIN(1,(Skills!T23*(1+Inputs!$B$34/100))/(1/Q1984)))))+F1985)/150)))/100)-1)*IF(AND(Inputs!$B$38&lt;&gt;"pvp",Inputs!$B$43&gt;0),(((R1985-1)*MIN((Skills!T24*(1+Inputs!$B$34/100)),(1/Q1985))+MIN((Skills!T24*(1+Inputs!$B$34/100)),MAX(0,Inputs!$B$43-((R1985-1)*(1/Q1985)))))/Inputs!$B$43),IF(Inputs!$B$38="pvp",MIN((Skills!T24*(1+Inputs!$B$34/100)),15)/15,MIN(1,(Skills!T24*(1+Inputs!$B$34/100))/(1/Q1985)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1">
      <c r="A2001" t="inlineStr">
        <is>
          <t>Serpent activation interval T (this block's own Hook Bomber rate)</t>
        </is>
      </c>
      <c r="B2001">
        <f>((1/Q1964)+IFERROR(0.5/B1994,0))</f>
        <v/>
      </c>
    </row>
    <row r="2002">
      <c r="A2002" t="inlineStr">
        <is>
          <t>Assault Mode uptime u (this block)</t>
        </is>
      </c>
      <c r="B2002">
        <f>IF(C1966=TRUE,(10+IF(Inputs!$B$3&gt;=94,5,0))/((10+IF(Inputs!$B$3&gt;=94,5,0))+IF(Inputs!$B$3&gt;=104,3,5)*B2001),0)</f>
        <v/>
      </c>
    </row>
    <row r="2003">
      <c r="A2003" t="inlineStr">
        <is>
          <t>Nautilus Strike - Final Attack trigger rate (this block's own Q/R)</t>
        </is>
      </c>
      <c r="B2003">
        <f>IF(AND(Inputs!$B$38&lt;&gt;"pvp",Inputs!$B$43&gt;0),(((C1967=TRUE)*R1967)+((C1968=TRUE)*R1968)+((C1971=TRUE)*R1971))/Inputs!$B$43,((C1967=TRUE)*Q1967)+((C1968=TRUE)*Q1968)+((C1971=TRUE)*Q1971))+B1994</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2026=TRUE)*(F2026-Calc!F20)),(Inputs!$B$23+0+(IF(ArtifactsInput!$M$15,CHOOSE(ArtifactsInput!$N$15+1,25,30,35,40,45,50)/100*(Inputs!$B$11-Inputs!$B$11),0))))/100+(Inputs!$B$23+0+(IF(ArtifactsInput!$M$15,CHOOSE(ArtifactsInput!$N$15+1,25,30,35,40,45,50)/100*(Inputs!$B$11-Inputs!$B$11),0)))/100)/2</f>
        <v/>
      </c>
      <c r="M2008">
        <f>L2008*(1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IF(B2045=0,0,O2008/B2045)</f>
        <v/>
      </c>
      <c r="Q2008" t="n">
        <v>0</v>
      </c>
      <c r="R2008" t="n">
        <v>0</v>
      </c>
      <c r="S2008">
        <f>IFERROR(O2008/N2008,0)</f>
        <v/>
      </c>
      <c r="T2008">
        <f>IF(C2008,(Skills!G2*N2008*B2039)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IF(C2008,(Skills!G2*N2008*B2039)*IF(Inputs!$B$38="pvp",1,(1+(Inputs!$B$21+Skills!Q2+(IF(ArtifactsInput!$M$33,CHOOSE(ArtifactsInput!$N$33+1,30,36,42,48,54,60),0))+(IF(AND(ArtifactsInput!$M$35,Inputs!$B$4&lt;&gt;"Chapter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Inputs!$B$3&gt;=35</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Skills!G3*IF(Skills!H3&gt;0,Skills!I3/Skills!H3,1)</f>
        <v/>
      </c>
      <c r="H2009">
        <f>1-(1-Skills!J3/100)^Skills!K3</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2031=TRUE,F2031,0)/100)*(1+(IF(Skills!A3="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2026=TRUE)*(F2026-Calc!F20)),(Inputs!$B$23+0+(IF(ArtifactsInput!$M$15,CHOOSE(ArtifactsInput!$N$15+1,25,30,35,40,45,50)/100*(Inputs!$B$11-Inputs!$B$11),0))))/100+(Inputs!$B$23+0+(IF(ArtifactsInput!$M$15,CHOOSE(ArtifactsInput!$N$15+1,25,30,35,40,45,50)/100*(Inputs!$B$11-Inputs!$B$11),0)))/100)/2</f>
        <v/>
      </c>
      <c r="M2009">
        <f>L2009*(1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9">
        <f>L2009*(1-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IF(B2045=0,0,O2009/B2045)</f>
        <v/>
      </c>
      <c r="Q2009">
        <f>IFERROR(1/(IF(Inputs!$B$38="pvp",15,MAX(0.1,Skills!D3-IF(TRUE=TRUE,Inputs!$B$32,0)))*(1-IF(AND(ArtifactsInput!$M$27,Inputs!$B$4="Chapter Hunt"),CHOOSE(ArtifactsInput!$N$27+1,20,24,28,32,36,40),0)/100)),0)</f>
        <v/>
      </c>
      <c r="R2009">
        <f>IF(AND(Inputs!$B$38&lt;&gt;"pvp",Inputs!$B$43&gt;0),IF(MAX(0,Inputs!$B$43-B2042)&lt;=0,0,(INT(MAX(0,Inputs!$B$43-B2042)/(IF(Inputs!$B$38="pvp",15,MAX(0.1,Skills!D3-IF(TRUE=TRUE,Inputs!$B$32,0)))*(1-IF(AND(ArtifactsInput!$M$27,Inputs!$B$4="Chapter Hunt"),CHOOSE(ArtifactsInput!$N$27+1,20,24,28,32,36,40),0)/100)))+1)),0)</f>
        <v/>
      </c>
      <c r="S2009">
        <f>IFERROR(O2009/N2009,0)</f>
        <v/>
      </c>
      <c r="T2009">
        <f>IF(C2009,(Skills!G3*N2009*IF(C2010=TRUE,1-B2047,1)/B2046)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INDEX(FactorTable!$B$2:$Y$301, MATCH(ROUND(MIN(300,MAX(1,U2008)),0), FactorTable!$A$2:$A$301,0), 22)</f>
        <v/>
      </c>
      <c r="V2009">
        <f>IF(C2009,(Skills!G3*N2009*IF(C2010=TRUE,1-B2047,1)/B2046)*IF(Inputs!$B$38="pvp",1,(1+(Inputs!$B$21+Skills!Q3+(IF(ArtifactsInput!$M$33,CHOOSE(ArtifactsInput!$N$33+1,30,36,42,48,54,60),0))+(IF(AND(ArtifactsInput!$M$35,Inputs!$B$4&lt;&gt;"Chapter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Skills!A4</f>
        <v/>
      </c>
      <c r="B2010">
        <f>Skills!B4</f>
        <v/>
      </c>
      <c r="C2010">
        <f>Inputs!$B$3&gt;=69</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Skills!G4*IF(Skills!H4&gt;0,Skills!I4/Skills!H4,1)</f>
        <v/>
      </c>
      <c r="H2010">
        <f>1-(1-Skills!J4/100)^Skills!K4</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2018=TRUE,F2018,0)/100)*(1+(IF(Skills!A4="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2026=TRUE)*(F2026-Calc!F20)),(Inputs!$B$23+0+(IF(ArtifactsInput!$M$15,CHOOSE(ArtifactsInput!$N$15+1,25,30,35,40,45,50)/100*(Inputs!$B$11-Inputs!$B$11),0))))/100+(Inputs!$B$23+0+(IF(ArtifactsInput!$M$15,CHOOSE(ArtifactsInput!$N$15+1,25,30,35,40,45,50)/100*(Inputs!$B$11-Inputs!$B$11),0)))/100)/2</f>
        <v/>
      </c>
      <c r="M2010">
        <f>L2010*(1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0">
        <f>L2010*(1-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IF(B2045=0,0,O2010/B2045)</f>
        <v/>
      </c>
      <c r="Q2010" t="n">
        <v>0</v>
      </c>
      <c r="R2010" t="n">
        <v>0</v>
      </c>
      <c r="S2010">
        <f>IFERROR(O2010/N2010,0)</f>
        <v/>
      </c>
      <c r="T2010">
        <f>IF(C2010,(Skills!G4*N2010*B2047/B2046)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290*U2009/1000</f>
        <v/>
      </c>
      <c r="V2010">
        <f>IF(C2010,(Skills!G4*N2010*B2047/B2046)*IF(Inputs!$B$38="pvp",1,(1+(Inputs!$B$21+Skills!Q4+(IF(ArtifactsInput!$M$33,CHOOSE(ArtifactsInput!$N$33+1,30,36,42,48,54,60),0))+(IF(AND(ArtifactsInput!$M$35,Inputs!$B$4&lt;&gt;"Chapter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Inputs!$B$3&gt;=66</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t="inlineStr"/>
      <c r="K2011" t="inlineStr"/>
      <c r="L2011" t="inlineStr"/>
      <c r="M2011" t="inlineStr"/>
      <c r="N2011" t="inlineStr"/>
      <c r="O2011">
        <f>(1-Summary!$B$11)*T2011+Summary!$B$11*V2011</f>
        <v/>
      </c>
      <c r="P2011">
        <f>IF(B2045=0,0,O2011/B2045)</f>
        <v/>
      </c>
      <c r="Q2011" t="n">
        <v>0</v>
      </c>
      <c r="R2011" t="n">
        <v>0</v>
      </c>
      <c r="S2011">
        <f>IFERROR(O2011/N2011,0)</f>
        <v/>
      </c>
      <c r="T2011" t="n">
        <v>0</v>
      </c>
      <c r="V2011" t="n">
        <v>0</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2018=TRUE,F2018,0)/100)*(1+(IF(Skills!A6="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2026=TRUE)*(F2026-Calc!F20)),(Inputs!$B$23+0+(IF(ArtifactsInput!$M$15,CHOOSE(ArtifactsInput!$N$15+1,25,30,35,40,45,50)/100*(Inputs!$B$11-Inputs!$B$11),0))))/100+(Inputs!$B$23+0+(IF(ArtifactsInput!$M$15,CHOOSE(ArtifactsInput!$N$15+1,25,30,35,40,45,50)/100*(Inputs!$B$11-Inputs!$B$11),0)))/100)/2</f>
        <v/>
      </c>
      <c r="M2012">
        <f>L2012*(1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IF(B2045=0,0,O2012/B2045)</f>
        <v/>
      </c>
      <c r="Q2012">
        <f>IFERROR(1/(IF(Inputs!$B$38="pvp",15,MAX(0.1,Skills!D6-IF(TRUE=TRUE,Inputs!$B$32,0)))*(1-IF(AND(ArtifactsInput!$M$27,Inputs!$B$4="Chapter Hunt"),CHOOSE(ArtifactsInput!$N$27+1,20,24,28,32,36,40),0)/100)),0)</f>
        <v/>
      </c>
      <c r="R2012">
        <f>IF(AND(Inputs!$B$38&lt;&gt;"pvp",Inputs!$B$43&gt;0),IF(MAX(0,Inputs!$B$43-B2042)&lt;=0,0,(INT(MAX(0,Inputs!$B$43-B2042)/(IF(Inputs!$B$38="pvp",15,MAX(0.1,Skills!D6-IF(TRUE=TRUE,Inputs!$B$32,0)))*(1-IF(AND(ArtifactsInput!$M$27,Inputs!$B$4="Chapter Hunt"),CHOOSE(ArtifactsInput!$N$27+1,20,24,28,32,36,40),0)/100)))+1)),0)</f>
        <v/>
      </c>
      <c r="S2012">
        <f>IFERROR(O2012/N2012,0)</f>
        <v/>
      </c>
      <c r="T2012">
        <f>IF(C2012,(H2012*N2012*IF(AND(Inputs!$B$38&lt;&gt;"pvp",Inputs!$B$43&gt;0),((Skills!G6*((R2012-1)*IF(Skills!H6&gt;0,Skills!I6/Skills!H6,1)+IF(Skills!H6&gt;0,MIN(Skills!I6,MAX(0,MAX(0,Inputs!$B$43-B2042)-((R2012-1)*(IF(Inputs!$B$38="pvp",15,MAX(0.1,Skills!D6-IF(TRUE=TRUE,Inputs!$B$32,0)))*(1-IF(AND(ArtifactsInput!$M$27,Inputs!$B$4="Chapter Hunt"),CHOOSE(ArtifactsInput!$N$27+1,20,24,28,32,36,40),0)/100)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2042)-((R2012-1)*(IF(Inputs!$B$38="pvp",15,MAX(0.1,Skills!D6-IF(TRUE=TRUE,Inputs!$B$32,0)))*(1-IF(AND(ArtifactsInput!$M$27,Inputs!$B$4="Chapter Hunt"),CHOOSE(ArtifactsInput!$N$27+1,20,24,28,32,36,40),0)/100)))))/Skills!H6,1)))/Inputs!$B$43),G2012*Q2012))*IF(Inputs!$B$38="pvp",1,(1+(Inputs!$B$21+Skills!Q6+(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Inputs!$B$3&gt;=103</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2026=TRUE)*(F2026-Calc!F20)),(Inputs!$B$23+0+(IF(ArtifactsInput!$M$15,CHOOSE(ArtifactsInput!$N$15+1,25,30,35,40,45,50)/100*(Inputs!$B$11-Inputs!$B$11),0))))/100+(Inputs!$B$23+0+(IF(ArtifactsInput!$M$15,CHOOSE(ArtifactsInput!$N$15+1,25,30,35,40,45,50)/100*(Inputs!$B$11-Inputs!$B$11),0)))/100)/2</f>
        <v/>
      </c>
      <c r="M2013">
        <f>L2013*(1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IF(B2045=0,0,O2013/B2045)</f>
        <v/>
      </c>
      <c r="Q2013">
        <f>IFERROR(1/(IF(Inputs!$B$38="pvp",15,MAX(0.1,Skills!D7-IF(TRUE=TRUE,Inputs!$B$32,0)))*(1-IF(AND(ArtifactsInput!$M$27,Inputs!$B$4="Chapter Hunt"),CHOOSE(ArtifactsInput!$N$27+1,20,24,28,32,36,40),0)/100)),0)</f>
        <v/>
      </c>
      <c r="R2013">
        <f>IF(AND(Inputs!$B$38&lt;&gt;"pvp",Inputs!$B$43&gt;0),IF(MAX(0,Inputs!$B$43-B2042)&lt;=0,0,(INT(MAX(0,Inputs!$B$43-B2042)/(IF(Inputs!$B$38="pvp",15,MAX(0.1,Skills!D7-IF(TRUE=TRUE,Inputs!$B$32,0)))*(1-IF(AND(ArtifactsInput!$M$27,Inputs!$B$4="Chapter Hunt"),CHOOSE(ArtifactsInput!$N$27+1,20,24,28,32,36,40),0)/100)))+1)),0)</f>
        <v/>
      </c>
      <c r="S2013">
        <f>IFERROR(O2013/N2013,0)</f>
        <v/>
      </c>
      <c r="T2013">
        <f>IF(C2013,(H2013*N2013*IF(AND(Inputs!$B$38&lt;&gt;"pvp",Inputs!$B$43&gt;0),((Skills!G7*((R2013-1)*IF(Skills!H7&gt;0,Skills!I7/Skills!H7,1)+IF(Skills!H7&gt;0,MIN(Skills!I7,MAX(0,MAX(0,Inputs!$B$43-B2042)-((R2013-1)*(IF(Inputs!$B$38="pvp",15,MAX(0.1,Skills!D7-IF(TRUE=TRUE,Inputs!$B$32,0)))*(1-IF(AND(ArtifactsInput!$M$27,Inputs!$B$4="Chapter Hunt"),CHOOSE(ArtifactsInput!$N$27+1,20,24,28,32,36,40),0)/100)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2042)-((R2013-1)*(IF(Inputs!$B$38="pvp",15,MAX(0.1,Skills!D7-IF(TRUE=TRUE,Inputs!$B$32,0)))*(1-IF(AND(ArtifactsInput!$M$27,Inputs!$B$4="Chapter Hunt"),CHOOSE(ArtifactsInput!$N$27+1,20,24,28,32,36,40),0)/100)))))/Skills!H7,1)))/Inputs!$B$43),G2013*Q2013))*IF(Inputs!$B$38="pvp",1,(1+(Inputs!$B$21+Skills!Q7+(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Inputs!$B$3&gt;=117</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Skills!G8*IF(Skills!H8&gt;0,Skills!I8/Skills!H8,1)</f>
        <v/>
      </c>
      <c r="H2014">
        <f>1-(1-Skills!J8/100)^Skills!K8</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2026=TRUE)*(F2026-Calc!F20)),(Inputs!$B$23+0+(IF(ArtifactsInput!$M$15,CHOOSE(ArtifactsInput!$N$15+1,25,30,35,40,45,50)/100*(Inputs!$B$11-Inputs!$B$11),0))))/100+(Inputs!$B$23+0+(IF(ArtifactsInput!$M$15,CHOOSE(ArtifactsInput!$N$15+1,25,30,35,40,45,50)/100*(Inputs!$B$11-Inputs!$B$11),0)))/100)/2</f>
        <v/>
      </c>
      <c r="M2014">
        <f>L2014*(1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4">
        <f>L2014*(1-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IF(B2045=0,0,O2014/B2045)</f>
        <v/>
      </c>
      <c r="Q2014">
        <f>IFERROR(1/(IF(Inputs!$B$38="pvp",15,MAX(0.1,Skills!D8-IF(TRUE=TRUE,Inputs!$B$32,0)))*(1-IF(AND(ArtifactsInput!$M$27,Inputs!$B$4="Chapter Hunt"),CHOOSE(ArtifactsInput!$N$27+1,20,24,28,32,36,40),0)/100)),0)</f>
        <v/>
      </c>
      <c r="R2014">
        <f>IF(AND(Inputs!$B$38&lt;&gt;"pvp",Inputs!$B$43&gt;0),IF(MAX(0,Inputs!$B$43-B2042)&lt;=0,0,(INT(MAX(0,Inputs!$B$43-B2042)/(IF(Inputs!$B$38="pvp",15,MAX(0.1,Skills!D8-IF(TRUE=TRUE,Inputs!$B$32,0)))*(1-IF(AND(ArtifactsInput!$M$27,Inputs!$B$4="Chapter Hunt"),CHOOSE(ArtifactsInput!$N$27+1,20,24,28,32,36,40),0)/100)))+1)),0)</f>
        <v/>
      </c>
      <c r="S2014">
        <f>IFERROR(O2014/N2014,0)</f>
        <v/>
      </c>
      <c r="T2014">
        <f>IF(C2014,(H2014*N2014*IF(AND(Inputs!$B$38&lt;&gt;"pvp",Inputs!$B$43&gt;0),((Skills!G8*((R2014-1)*IF(Skills!H8&gt;0,Skills!I8/Skills!H8,1)+IF(Skills!H8&gt;0,MIN(Skills!I8,MAX(0,MAX(0,Inputs!$B$43-B2042)-((R2014-1)*(IF(Inputs!$B$38="pvp",15,MAX(0.1,Skills!D8-IF(TRUE=TRUE,Inputs!$B$32,0)))*(1-IF(AND(ArtifactsInput!$M$27,Inputs!$B$4="Chapter Hunt"),CHOOSE(ArtifactsInput!$N$27+1,20,24,28,32,36,40),0)/100)))))/Skills!H8,1)))/Inputs!$B$43),G2014*Q2014)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8*((R2014-1)*IF(Skills!H8&gt;0,Skills!I8/Skills!H8,1)+IF(Skills!H8&gt;0,MIN(Skills!I8,MAX(0,MAX(0,Inputs!$B$43-B2042)-((R2014-1)*(IF(Inputs!$B$38="pvp",15,MAX(0.1,Skills!D8-IF(TRUE=TRUE,Inputs!$B$32,0)))*(1-IF(AND(ArtifactsInput!$M$27,Inputs!$B$4="Chapter Hunt"),CHOOSE(ArtifactsInput!$N$27+1,20,24,28,32,36,40),0)/100)))))/Skills!H8,1)))/Inputs!$B$43),G2014*Q2014))*IF(Inputs!$B$38="pvp",1,(1+(Inputs!$B$21+Skills!Q8+(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Inputs!$B$3&gt;=120</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B2047</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2026=TRUE)*(F2026-Calc!F20)),(Inputs!$B$23+0+(IF(ArtifactsInput!$M$15,CHOOSE(ArtifactsInput!$N$15+1,25,30,35,40,45,50)/100*(Inputs!$B$11-Inputs!$B$11),0))))/100+(Inputs!$B$23+0+(IF(ArtifactsInput!$M$15,CHOOSE(ArtifactsInput!$N$15+1,25,30,35,40,45,50)/100*(Inputs!$B$11-Inputs!$B$11),0)))/100)/2</f>
        <v/>
      </c>
      <c r="M2015">
        <f>L2015*(1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IF(B2045=0,0,O2015/B2045)</f>
        <v/>
      </c>
      <c r="Q2015">
        <f>IFERROR(1/(IF(Inputs!$B$38="pvp",15,MAX(0.1,Skills!D9-IF(TRUE=TRUE,Inputs!$B$32,0)))*(1-IF(AND(ArtifactsInput!$M$27,Inputs!$B$4="Chapter Hunt"),CHOOSE(ArtifactsInput!$N$27+1,20,24,28,32,36,40),0)/100)),0)</f>
        <v/>
      </c>
      <c r="R2015">
        <f>IF(AND(Inputs!$B$38&lt;&gt;"pvp",Inputs!$B$43&gt;0),IF(MAX(0,Inputs!$B$43-B2042)&lt;=0,0,(INT(MAX(0,Inputs!$B$43-B2042)/(IF(Inputs!$B$38="pvp",15,MAX(0.1,Skills!D9-IF(TRUE=TRUE,Inputs!$B$32,0)))*(1-IF(AND(ArtifactsInput!$M$27,Inputs!$B$4="Chapter Hunt"),CHOOSE(ArtifactsInput!$N$27+1,20,24,28,32,36,40),0)/100)))+1)),0)</f>
        <v/>
      </c>
      <c r="S2015">
        <f>IFERROR(O2015/N2015,0)</f>
        <v/>
      </c>
      <c r="T2015">
        <f>IF(C2015,(H2015*N2015*IF(AND(Inputs!$B$38&lt;&gt;"pvp",Inputs!$B$43&gt;0),((Skills!G9*((R2015-1)*IF(Skills!H9&gt;0,Skills!I9/Skills!H9,1)+IF(Skills!H9&gt;0,MIN(Skills!I9,MAX(0,MAX(0,Inputs!$B$43-B2042)-((R2015-1)*(IF(Inputs!$B$38="pvp",15,MAX(0.1,Skills!D9-IF(TRUE=TRUE,Inputs!$B$32,0)))*(1-IF(AND(ArtifactsInput!$M$27,Inputs!$B$4="Chapter Hunt"),CHOOSE(ArtifactsInput!$N$27+1,20,24,28,32,36,40),0)/100)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2042)-((R2015-1)*(IF(Inputs!$B$38="pvp",15,MAX(0.1,Skills!D9-IF(TRUE=TRUE,Inputs!$B$32,0)))*(1-IF(AND(ArtifactsInput!$M$27,Inputs!$B$4="Chapter Hunt"),CHOOSE(ArtifactsInput!$N$27+1,20,24,28,32,36,40),0)/100)))))/Skills!H9,1)))/Inputs!$B$43),G2015*Q2015))*IF(Inputs!$B$38="pvp",1,(1+(Inputs!$B$21+Skills!Q9+(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Inputs!$B$3&gt;=105</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2026=TRUE)*(F2026-Calc!F20)),(Inputs!$B$23+0+(IF(ArtifactsInput!$M$15,CHOOSE(ArtifactsInput!$N$15+1,25,30,35,40,45,50)/100*(Inputs!$B$11-Inputs!$B$11),0))))/100+(Inputs!$B$23+0+(IF(ArtifactsInput!$M$15,CHOOSE(ArtifactsInput!$N$15+1,25,30,35,40,45,50)/100*(Inputs!$B$11-Inputs!$B$11),0)))/100)/2</f>
        <v/>
      </c>
      <c r="M2016">
        <f>L2016*(1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IF(B2045=0,0,O2016/B2045)</f>
        <v/>
      </c>
      <c r="Q2016">
        <f>IFERROR(1/(IF(Inputs!$B$38="pvp",15,MAX(0.1,Skills!D10-IF(TRUE=TRUE,Inputs!$B$32,0)))*(1-IF(AND(ArtifactsInput!$M$27,Inputs!$B$4="Chapter Hunt"),CHOOSE(ArtifactsInput!$N$27+1,20,24,28,32,36,40),0)/100)),0)</f>
        <v/>
      </c>
      <c r="R2016">
        <f>IF(AND(Inputs!$B$38&lt;&gt;"pvp",Inputs!$B$43&gt;0),IF(MAX(0,Inputs!$B$43-B2042)&lt;=0,0,(INT(MAX(0,Inputs!$B$43-B2042)/(IF(Inputs!$B$38="pvp",15,MAX(0.1,Skills!D10-IF(TRUE=TRUE,Inputs!$B$32,0)))*(1-IF(AND(ArtifactsInput!$M$27,Inputs!$B$4="Chapter Hunt"),CHOOSE(ArtifactsInput!$N$27+1,20,24,28,32,36,40),0)/100)))+1)),0)</f>
        <v/>
      </c>
      <c r="S2016">
        <f>IFERROR(O2016/N2016,0)</f>
        <v/>
      </c>
      <c r="T2016">
        <f>IF(C2016,(H2016*N2016*IF(AND(Inputs!$B$38&lt;&gt;"pvp",Inputs!$B$43&gt;0),((Skills!G10*((R2016-1)*IF(Skills!H10&gt;0,Skills!I10/Skills!H10,1)+IF(Skills!H10&gt;0,MIN(Skills!I10,MAX(0,MAX(0,Inputs!$B$43-B2042)-((R2016-1)*(IF(Inputs!$B$38="pvp",15,MAX(0.1,Skills!D10-IF(TRUE=TRUE,Inputs!$B$32,0)))*(1-IF(AND(ArtifactsInput!$M$27,Inputs!$B$4="Chapter Hunt"),CHOOSE(ArtifactsInput!$N$27+1,20,24,28,32,36,40),0)/100)))))/Skills!H10,1)))/Inputs!$B$43),G2016*Q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10*((R2016-1)*IF(Skills!H10&gt;0,Skills!I10/Skills!H10,1)+IF(Skills!H10&gt;0,MIN(Skills!I10,MAX(0,MAX(0,Inputs!$B$43-B2042)-((R2016-1)*(IF(Inputs!$B$38="pvp",15,MAX(0.1,Skills!D10-IF(TRUE=TRUE,Inputs!$B$32,0)))*(1-IF(AND(ArtifactsInput!$M$27,Inputs!$B$4="Chapter Hunt"),CHOOSE(ArtifactsInput!$N$27+1,20,24,28,32,36,40),0)/100)))))/Skills!H10,1)))/Inputs!$B$43),G2016*Q2016))*IF(Inputs!$B$38="pvp",1,(1+(Inputs!$B$21+Skills!Q10+(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Inputs!$B$3&gt;=113</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2026=TRUE)*(F2026-Calc!F20)),(Inputs!$B$23+0+(IF(ArtifactsInput!$M$15,CHOOSE(ArtifactsInput!$N$15+1,25,30,35,40,45,50)/100*(Inputs!$B$11-Inputs!$B$11),0))))/100+(Inputs!$B$23+0+(IF(ArtifactsInput!$M$15,CHOOSE(ArtifactsInput!$N$15+1,25,30,35,40,45,50)/100*(Inputs!$B$11-Inputs!$B$11),0)))/100)/2</f>
        <v/>
      </c>
      <c r="M2017">
        <f>L2017*(1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IF(B2045=0,0,O2017/B2045)</f>
        <v/>
      </c>
      <c r="Q2017" t="n">
        <v>0</v>
      </c>
      <c r="R2017" t="n">
        <v>0</v>
      </c>
      <c r="S2017">
        <f>IFERROR(O2017/N2017,0)</f>
        <v/>
      </c>
      <c r="T2017">
        <f>IF(C2017,((H2017*B2048)/(1+Skills!H11*H2017*B2048)*N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IF(C2017,((H2017*B2048)/(1+Skills!H11*H2017*B2048)*N2017)*IF(Inputs!$B$38="pvp",1,(1+(Inputs!$B$21+Skills!Q11+(IF(ArtifactsInput!$M$33,CHOOSE(ArtifactsInput!$N$33+1,30,36,42,48,54,60),0))+(IF(AND(ArtifactsInput!$M$35,Inputs!$B$4&lt;&gt;"Chapter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Inputs!$B$3&gt;=100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t="inlineStr"/>
      <c r="H2018" t="inlineStr"/>
      <c r="I2018" t="inlineStr">
        <is>
          <t>1</t>
        </is>
      </c>
      <c r="J2018" t="inlineStr"/>
      <c r="K2018" t="inlineStr"/>
      <c r="L2018" t="inlineStr"/>
      <c r="M2018" t="inlineStr"/>
      <c r="N2018" t="inlineStr"/>
      <c r="O2018" t="inlineStr"/>
      <c r="P2018" t="inlineStr"/>
      <c r="Q2018" t="inlineStr"/>
      <c r="R2018" t="inlineStr"/>
      <c r="S2018" t="inlineStr"/>
      <c r="T2018" t="inlineStr"/>
      <c r="V2018" t="inlineStr"/>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IF(B2045=0,0,O2019/B2045)</f>
        <v/>
      </c>
      <c r="Q2019" t="n">
        <v>0</v>
      </c>
      <c r="R2019" t="n">
        <v>0</v>
      </c>
      <c r="S2019">
        <f>IFERROR(O2019/N2019,0)</f>
        <v/>
      </c>
      <c r="T2019" t="n">
        <v>0</v>
      </c>
      <c r="V2019" t="n">
        <v>0</v>
      </c>
    </row>
    <row r="2020">
      <c r="A2020">
        <f>Skills!A14</f>
        <v/>
      </c>
      <c r="B2020">
        <f>Skills!B14</f>
        <v/>
      </c>
      <c r="C2020">
        <f>Inputs!$B$3&gt;=115</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IF(B2045=0,0,O2020/B2045)</f>
        <v/>
      </c>
      <c r="Q2020">
        <f>IFERROR(1/(IF(Inputs!$B$38="pvp",15,MAX(0.1,Skills!D14-IF(TRUE=TRUE,Inputs!$B$32,0)))*(1-IF(AND(ArtifactsInput!$M$27,Inputs!$B$4="Chapter Hunt"),CHOOSE(ArtifactsInput!$N$27+1,20,24,28,32,36,40),0)/100)),0)</f>
        <v/>
      </c>
      <c r="R2020">
        <f>IF(AND(Inputs!$B$38&lt;&gt;"pvp",Inputs!$B$43&gt;0),IF(Inputs!$B$43&lt;=0,0,(INT(Inputs!$B$43/(IF(Inputs!$B$38="pvp",15,MAX(0.1,Skills!D14-IF(TRUE=TRUE,Inputs!$B$32,0)))*(1-IF(AND(ArtifactsInput!$M$27,Inputs!$B$4="Chapter Hunt"),CHOOSE(ArtifactsInput!$N$27+1,20,24,28,32,36,40),0)/100)))+1)),0)</f>
        <v/>
      </c>
      <c r="S2020">
        <f>IFERROR(O2020/N2020,0)</f>
        <v/>
      </c>
      <c r="T2020" t="n">
        <v>0</v>
      </c>
      <c r="V2020" t="n">
        <v>0</v>
      </c>
    </row>
    <row r="2021">
      <c r="A2021">
        <f>Skills!A15</f>
        <v/>
      </c>
      <c r="B2021">
        <f>Skills!B15</f>
        <v/>
      </c>
      <c r="C2021">
        <f>Inputs!$B$3&gt;=125</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IF(B2045=0,0,O2021/B2045)</f>
        <v/>
      </c>
      <c r="Q2021">
        <f>IFERROR(1/(IF(Inputs!$B$38="pvp",15,MAX(0.1,Skills!D15-IF(TRUE=TRUE,Inputs!$B$32,0)))*(1-IF(AND(ArtifactsInput!$M$27,Inputs!$B$4="Chapter Hunt"),CHOOSE(ArtifactsInput!$N$27+1,20,24,28,32,36,40),0)/100)),0)</f>
        <v/>
      </c>
      <c r="R2021">
        <f>IF(AND(Inputs!$B$38&lt;&gt;"pvp",Inputs!$B$43&gt;0),IF(Inputs!$B$43&lt;=0,0,(INT(Inputs!$B$43/(IF(Inputs!$B$38="pvp",15,MAX(0.1,Skills!D15-IF(TRUE=TRUE,Inputs!$B$32,0)))*(1-IF(AND(ArtifactsInput!$M$27,Inputs!$B$4="Chapter Hunt"),CHOOSE(ArtifactsInput!$N$27+1,20,24,28,32,36,40),0)/100)))+1)),0)</f>
        <v/>
      </c>
      <c r="S2021">
        <f>IFERROR(O2021/N2021,0)</f>
        <v/>
      </c>
      <c r="T2021" t="n">
        <v>0</v>
      </c>
      <c r="V2021" t="n">
        <v>0</v>
      </c>
    </row>
    <row r="2022">
      <c r="A2022">
        <f>Skills!A16</f>
        <v/>
      </c>
      <c r="B2022">
        <f>Skills!B16</f>
        <v/>
      </c>
      <c r="C2022">
        <f>Inputs!$B$3&gt;=10</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IF(B2045=0,0,O2022/B2045)</f>
        <v/>
      </c>
      <c r="Q2022" t="n">
        <v>0</v>
      </c>
      <c r="R2022" t="n">
        <v>0</v>
      </c>
      <c r="S2022">
        <f>IFERROR(O2022/N2022,0)</f>
        <v/>
      </c>
      <c r="T2022" t="n">
        <v>0</v>
      </c>
      <c r="V2022" t="n">
        <v>0</v>
      </c>
    </row>
    <row r="2023">
      <c r="A2023">
        <f>Skills!A17</f>
        <v/>
      </c>
      <c r="B2023">
        <f>Skills!B17</f>
        <v/>
      </c>
      <c r="C2023">
        <f>Inputs!$B$3&gt;=15</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IF(B2045=0,0,O2023/B2045)</f>
        <v/>
      </c>
      <c r="Q2023" t="n">
        <v>0</v>
      </c>
      <c r="R2023" t="n">
        <v>0</v>
      </c>
      <c r="S2023">
        <f>IFERROR(O2023/N2023,0)</f>
        <v/>
      </c>
      <c r="T2023" t="n">
        <v>0</v>
      </c>
      <c r="V2023" t="n">
        <v>0</v>
      </c>
    </row>
    <row r="2024">
      <c r="A2024">
        <f>Skills!A18</f>
        <v/>
      </c>
      <c r="B2024">
        <f>Skills!B18</f>
        <v/>
      </c>
      <c r="C2024">
        <f>Inputs!$B$3&gt;=33</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IF(B2045=0,0,O2024/B2045)</f>
        <v/>
      </c>
      <c r="Q2024" t="n">
        <v>0</v>
      </c>
      <c r="R2024" t="n">
        <v>0</v>
      </c>
      <c r="S2024">
        <f>IFERROR(O2024/N2024,0)</f>
        <v/>
      </c>
      <c r="T2024" t="n">
        <v>0</v>
      </c>
      <c r="V2024" t="n">
        <v>0</v>
      </c>
    </row>
    <row r="2025">
      <c r="A2025">
        <f>Skills!A19</f>
        <v/>
      </c>
      <c r="B2025">
        <f>Skills!B19</f>
        <v/>
      </c>
      <c r="C2025">
        <f>Inputs!$B$3&gt;=40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IF(B2045=0,0,O2025/B2045)</f>
        <v/>
      </c>
      <c r="Q2025" t="n">
        <v>0</v>
      </c>
      <c r="R2025" t="n">
        <v>0</v>
      </c>
      <c r="S2025">
        <f>IFERROR(O2025/N2025,0)</f>
        <v/>
      </c>
      <c r="T2025" t="n">
        <v>0</v>
      </c>
      <c r="V2025" t="n">
        <v>0</v>
      </c>
    </row>
    <row r="2026">
      <c r="A2026">
        <f>Skills!A20</f>
        <v/>
      </c>
      <c r="B2026">
        <f>Skills!B20</f>
        <v/>
      </c>
      <c r="C2026">
        <f>Inputs!$B$3&gt;=43</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IF(B2045=0,0,O2026/B2045)</f>
        <v/>
      </c>
      <c r="Q2026" t="n">
        <v>0</v>
      </c>
      <c r="R2026" t="n">
        <v>0</v>
      </c>
      <c r="S2026">
        <f>IFERROR(O2026/N2026,0)</f>
        <v/>
      </c>
      <c r="T2026" t="n">
        <v>0</v>
      </c>
      <c r="V2026" t="n">
        <v>0</v>
      </c>
    </row>
    <row r="2027">
      <c r="A2027">
        <f>Skills!A21</f>
        <v/>
      </c>
      <c r="B2027">
        <f>Skills!B21</f>
        <v/>
      </c>
      <c r="C2027">
        <f>Inputs!$B$3&gt;=38</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IF(B2045=0,0,O2027/B2045)</f>
        <v/>
      </c>
      <c r="Q2027" t="n">
        <v>0</v>
      </c>
      <c r="R2027" t="n">
        <v>0</v>
      </c>
      <c r="S2027">
        <f>IFERROR(O2027/N2027,0)</f>
        <v/>
      </c>
      <c r="T2027" t="n">
        <v>0</v>
      </c>
      <c r="V2027" t="n">
        <v>0</v>
      </c>
    </row>
    <row r="2028">
      <c r="A2028">
        <f>Skills!A22</f>
        <v/>
      </c>
      <c r="B2028">
        <f>Skills!B22</f>
        <v/>
      </c>
      <c r="C2028">
        <f>Inputs!$B$3&gt;=75</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IF(B2045=0,0,O2028/B2045)</f>
        <v/>
      </c>
      <c r="Q2028" t="n">
        <v>0</v>
      </c>
      <c r="R2028" t="n">
        <v>0</v>
      </c>
      <c r="S2028">
        <f>IFERROR(O2028/N2028,0)</f>
        <v/>
      </c>
      <c r="T2028" t="n">
        <v>0</v>
      </c>
      <c r="V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IF(B2045=0,0,O2029/B2045)</f>
        <v/>
      </c>
      <c r="Q2029">
        <f>IFERROR(1/(IF(Inputs!$B$38="pvp",15,MAX(0.1,Skills!D23-IF(TRUE=TRUE,Inputs!$B$32,0)))*(1-IF(AND(ArtifactsInput!$M$27,Inputs!$B$4="Chapter Hunt"),CHOOSE(ArtifactsInput!$N$27+1,20,24,28,32,36,40),0)/100)),0)</f>
        <v/>
      </c>
      <c r="R2029">
        <f>IF(AND(Inputs!$B$38&lt;&gt;"pvp",Inputs!$B$43&gt;0),IF(Inputs!$B$43&lt;=0,0,(INT(Inputs!$B$43/(IF(Inputs!$B$38="pvp",15,MAX(0.1,Skills!D23-IF(TRUE=TRUE,Inputs!$B$32,0)))*(1-IF(AND(ArtifactsInput!$M$27,Inputs!$B$4="Chapter Hunt"),CHOOSE(ArtifactsInput!$N$27+1,20,24,28,32,36,40),0)/100)))+1)),0)</f>
        <v/>
      </c>
      <c r="S2029">
        <f>IFERROR(O2029/N2029,0)</f>
        <v/>
      </c>
      <c r="T2029" t="n">
        <v>0</v>
      </c>
      <c r="V2029" t="n">
        <v>0</v>
      </c>
    </row>
    <row r="2030">
      <c r="A2030">
        <f>Skills!A24</f>
        <v/>
      </c>
      <c r="B2030">
        <f>Skills!B24</f>
        <v/>
      </c>
      <c r="C2030">
        <f>Inputs!$B$3&gt;=107</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IF(B2045=0,0,O2030/B2045)</f>
        <v/>
      </c>
      <c r="Q2030">
        <f>IFERROR(1/(IF(Inputs!$B$38="pvp",15,MAX(0.1,Skills!D24-IF(TRUE=TRUE,Inputs!$B$32,0)))*(1-IF(AND(ArtifactsInput!$M$27,Inputs!$B$4="Chapter Hunt"),CHOOSE(ArtifactsInput!$N$27+1,20,24,28,32,36,40),0)/100)),0)</f>
        <v/>
      </c>
      <c r="R2030">
        <f>IF(AND(Inputs!$B$38&lt;&gt;"pvp",Inputs!$B$43&gt;0),IF(Inputs!$B$43&lt;=0,0,(INT(Inputs!$B$43/(IF(Inputs!$B$38="pvp",15,MAX(0.1,Skills!D24-IF(TRUE=TRUE,Inputs!$B$32,0)))*(1-IF(AND(ArtifactsInput!$M$27,Inputs!$B$4="Chapter Hunt"),CHOOSE(ArtifactsInput!$N$27+1,20,24,28,32,36,40),0)/100)))+1)),0)</f>
        <v/>
      </c>
      <c r="S2030">
        <f>IFERROR(O2030/N2030,0)</f>
        <v/>
      </c>
      <c r="T2030" t="n">
        <v>0</v>
      </c>
      <c r="V2030" t="n">
        <v>0</v>
      </c>
    </row>
    <row r="2031">
      <c r="A2031">
        <f>Skills!A25</f>
        <v/>
      </c>
      <c r="B2031">
        <f>Skills!B25</f>
        <v/>
      </c>
      <c r="C2031">
        <f>Inputs!$B$3&gt;=110</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t="inlineStr"/>
      <c r="H2031" t="inlineStr"/>
      <c r="I2031" t="inlineStr">
        <is>
          <t>1</t>
        </is>
      </c>
      <c r="J2031" t="inlineStr"/>
      <c r="K2031" t="inlineStr"/>
      <c r="L2031" t="inlineStr"/>
      <c r="M2031" t="inlineStr"/>
      <c r="N2031" t="inlineStr"/>
      <c r="O2031" t="inlineStr"/>
      <c r="P2031" t="inlineStr"/>
      <c r="Q2031" t="inlineStr"/>
      <c r="R2031" t="inlineStr"/>
      <c r="S2031" t="inlineStr"/>
      <c r="T2031" t="inlineStr"/>
      <c r="V2031" t="inlineStr"/>
    </row>
    <row r="2032">
      <c r="A2032">
        <f>Skills!A26</f>
        <v/>
      </c>
      <c r="B2032">
        <f>Skills!B26</f>
        <v/>
      </c>
      <c r="C2032">
        <f>Inputs!$B$3&gt;=117</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t="inlineStr"/>
      <c r="H2032" t="inlineStr"/>
      <c r="I2032" t="inlineStr">
        <is>
          <t>1</t>
        </is>
      </c>
      <c r="J2032" t="inlineStr"/>
      <c r="K2032" t="inlineStr"/>
      <c r="L2032" t="inlineStr"/>
      <c r="M2032" t="inlineStr"/>
      <c r="N2032" t="inlineStr"/>
      <c r="O2032" t="inlineStr"/>
      <c r="P2032" t="inlineStr"/>
      <c r="Q2032" t="inlineStr"/>
      <c r="R2032" t="inlineStr"/>
      <c r="S2032" t="inlineStr"/>
      <c r="T2032" t="inlineStr"/>
      <c r="V2032" t="inlineStr"/>
    </row>
    <row r="2034">
      <c r="A2034" t="inlineStr">
        <is>
          <t>Attack% Bucket Multiplier</t>
        </is>
      </c>
      <c r="B2034">
        <f>(1+(((C2019=TRUE)*F2019*5/7)+((C2025=TRUE)*(F2025-Calc!F19))+(IF(ArtifactsInput!$M$21,CHOOSE(ArtifactsInput!$N$21+1,25,30,35,40,45,50)*(IF(OR(Inputs!$B$4="Chapter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5">
      <c r="A2035" t="inlineStr">
        <is>
          <t>Global Crit Rate Bonus %</t>
        </is>
      </c>
      <c r="B2035" t="n">
        <v>0</v>
      </c>
    </row>
    <row r="2036">
      <c r="A2036" t="inlineStr">
        <is>
          <t>Attack Speed Buff Bonus % (Nimble Feet + Speed Infusion, duty-cycle averaged)</t>
        </is>
      </c>
      <c r="B2036">
        <f>((C2029=TRUE)*F2029*IF(AND(Inputs!$B$38&lt;&gt;"pvp",Inputs!$B$43&gt;0),(((R2029-1)*MIN((Skills!T23*(1+Inputs!$B$34/100)),(1/Q2029))+MIN((Skills!T23*(1+Inputs!$B$34/100)),MAX(0,Inputs!$B$43-((R2029-1)*(1/Q2029)))))/Inputs!$B$43),IF(Inputs!$B$38="pvp",MIN((Skills!T23*(1+Inputs!$B$34/100)),15)/15,MIN(1,(Skills!T23*(1+Inputs!$B$34/100))/(1/Q2029)))))+((C2030=TRUE)*F2030*IF(AND(Inputs!$B$38&lt;&gt;"pvp",Inputs!$B$43&gt;0),(((R2030-1)*MIN((Skills!T24*(1+Inputs!$B$34/100)),(1/Q2030))+MIN((Skills!T24*(1+Inputs!$B$34/100)),MAX(0,Inputs!$B$43-((R2030-1)*(1/Q2030)))))/Inputs!$B$43),IF(Inputs!$B$38="pvp",MIN((Skills!T24*(1+Inputs!$B$34/100)),15)/15,MIN(1,(Skills!T24*(1+Inputs!$B$34/100))/(1/Q2030)))))</f>
        <v/>
      </c>
    </row>
    <row r="2037">
      <c r="A2037" t="inlineStr">
        <is>
          <t>Actions Per Second</t>
        </is>
      </c>
      <c r="B2037">
        <f>1+MIN(150,150*(1-(1-(Inputs!$B$11+((C2023=TRUE)*(F2023-Calc!F17))+((C2024=TRUE)*(F2024-Calc!F18)))/150)*(1-B2036/150)))/100</f>
        <v/>
      </c>
    </row>
    <row r="2038">
      <c r="A2038" t="inlineStr">
        <is>
          <t>Skill + Buff Cast Rate</t>
        </is>
      </c>
      <c r="B2038">
        <f>IF(AND(Inputs!$B$38&lt;&gt;"pvp",Inputs!$B$43&gt;0),SUMPRODUCT((Skills!E2:E26=TRUE)*(C2008:C2032=TRUE)*R2008:R2032*Skills!F2:F26)/Inputs!$B$43,SUMPRODUCT((Skills!E2:E26=TRUE)*(C2008:C2032=TRUE)*Q2008:Q2032*Skills!F2:F26))</f>
        <v/>
      </c>
    </row>
    <row r="2039">
      <c r="A2039" t="inlineStr">
        <is>
          <t>Hook Bomber Casts Per Second</t>
        </is>
      </c>
      <c r="B2039">
        <f>MAX(0,B2037-B2038)</f>
        <v/>
      </c>
    </row>
    <row r="2040">
      <c r="A2040" t="inlineStr">
        <is>
          <t>Global Critical Damage Bonus % (unused)</t>
        </is>
      </c>
      <c r="B2040" t="n">
        <v>0</v>
      </c>
    </row>
    <row r="2041">
      <c r="A2041" t="inlineStr">
        <is>
          <t>Global Final Damage Bonus % (Serpent Scale + Crossbones + Time Leap + Speed Infusion)</t>
        </is>
      </c>
      <c r="B2041">
        <f>((C2011=TRUE)*(F2011*B2047+4*(1-B2047)))+((C2020=TRUE)*F2020*IF(AND(Inputs!$B$38&lt;&gt;"pvp",Inputs!$B$43&gt;0),(((R2020-1)*MIN((Skills!T14*(1+Inputs!$B$34/100)),(1/Q2020))+MIN((Skills!T14*(1+Inputs!$B$34/100)),MAX(0,Inputs!$B$43-((R2020-1)*(1/Q2020)))))/Inputs!$B$43),IF(Inputs!$B$38="pvp",MIN((Skills!T14*(1+Inputs!$B$34/100)),15)/15,MIN(1,(Skills!T14*(1+Inputs!$B$34/100))/(1/Q2020)))))+((C2021=TRUE)*F2021*IF(AND(Inputs!$B$38&lt;&gt;"pvp",Inputs!$B$43&gt;0),(((R2021-1)*MIN((Skills!T15*(1+Inputs!$B$34/100)),(1/Q2021))+MIN((Skills!T15*(1+Inputs!$B$34/100)),MAX(0,Inputs!$B$43-((R2021-1)*(1/Q2021)))))/Inputs!$B$43),IF(Inputs!$B$38="pvp",MIN((Skills!T15*(1+Inputs!$B$34/100)),15)/15,MIN(1,(Skills!T15*(1+Inputs!$B$34/100))/(1/Q2021)))))+((C2030=TRUE)*20*((1+MIN(150,150*(1-(1-(Inputs!$B$11+((C2023=TRUE)*(F2023-Calc!F17))+((C2024=TRUE)*(F2024-Calc!F18)))/150)*(1-(((C2029=TRUE)*F2029*IF(AND(Inputs!$B$38&lt;&gt;"pvp",Inputs!$B$43&gt;0),(((R2029-1)*MIN((Skills!T23*(1+Inputs!$B$34/100)),(1/Q2029))+MIN((Skills!T23*(1+Inputs!$B$34/100)),MAX(0,Inputs!$B$43-((R2029-1)*(1/Q2029)))))/Inputs!$B$43),IF(Inputs!$B$38="pvp",MIN((Skills!T23*(1+Inputs!$B$34/100)),15)/15,MIN(1,(Skills!T23*(1+Inputs!$B$34/100))/(1/Q2029)))))+F2030)/150)))/100)-1)*IF(AND(Inputs!$B$38&lt;&gt;"pvp",Inputs!$B$43&gt;0),(((R2030-1)*MIN((Skills!T24*(1+Inputs!$B$34/100)),(1/Q2030))+MIN((Skills!T24*(1+Inputs!$B$34/100)),MAX(0,Inputs!$B$43-((R2030-1)*(1/Q2030)))))/Inputs!$B$43),IF(Inputs!$B$38="pvp",MIN((Skills!T24*(1+Inputs!$B$34/100)),15)/15,MIN(1,(Skills!T24*(1+Inputs!$B$34/100))/(1/Q2030)))))</f>
        <v/>
      </c>
    </row>
    <row r="2042">
      <c r="A2042" t="inlineStr">
        <is>
          <t>Buff-Casting Startup Delay (s, fixed-duration only)</t>
        </is>
      </c>
      <c r="B2042">
        <f>IF(AND(Inputs!$B$38&lt;&gt;"pvp",Inputs!$B$43&gt;0),SUMPRODUCT((Skills!T2:T26&gt;0)*(Skills!E2:E26=TRUE)*(C2008:C2032=TRUE))/B2037,0)</f>
        <v/>
      </c>
    </row>
    <row r="2043">
      <c r="A2043" t="inlineStr">
        <is>
          <t>Boss-Only Total DPS (this block's swept value)</t>
        </is>
      </c>
      <c r="B2043">
        <f>SUM(T2008:T2032)</f>
        <v/>
      </c>
    </row>
    <row r="2044">
      <c r="A2044" t="inlineStr">
        <is>
          <t>Normal-Only Total DPS (this block's swept value)</t>
        </is>
      </c>
      <c r="B2044">
        <f>SUM(V2008:V2032)</f>
        <v/>
      </c>
    </row>
    <row r="2045">
      <c r="A2045" s="6" t="inlineStr">
        <is>
          <t>TOTAL DPS</t>
        </is>
      </c>
      <c r="B2045" s="6">
        <f>SUM(O2008:O2032)</f>
        <v/>
      </c>
    </row>
    <row r="2046">
      <c r="A2046" t="inlineStr">
        <is>
          <t>Serpent activation interval T (this block's own Hook Bomber rate)</t>
        </is>
      </c>
      <c r="B2046">
        <f>((1/Q2009)+IFERROR(0.5/B2039,0))</f>
        <v/>
      </c>
    </row>
    <row r="2047">
      <c r="A2047" t="inlineStr">
        <is>
          <t>Assault Mode uptime u (this block)</t>
        </is>
      </c>
      <c r="B2047">
        <f>IF(C2011=TRUE,(10+IF(Inputs!$B$3&gt;=94,5,0))/((10+IF(Inputs!$B$3&gt;=94,5,0))+IF(Inputs!$B$3&gt;=104,3,5)*B2046),0)</f>
        <v/>
      </c>
    </row>
    <row r="2048">
      <c r="A2048" t="inlineStr">
        <is>
          <t>Nautilus Strike - Final Attack trigger rate (this block's own Q/R)</t>
        </is>
      </c>
      <c r="B2048">
        <f>IF(AND(Inputs!$B$38&lt;&gt;"pvp",Inputs!$B$43&gt;0),(((C2012=TRUE)*R2012)+((C2013=TRUE)*R2013)+((C2016=TRUE)*R2016))/Inputs!$B$43,((C2012=TRUE)*Q2012)+((C2013=TRUE)*Q2013)+((C2016=TRUE)*Q2016))+B2039</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20)),(Inputs!$B$23+0+(IF(ArtifactsInput!$M$15,CHOOSE(ArtifactsInput!$N$15+1,25,30,35,40,45,50)/100*(Inputs!$B$11-Inputs!$B$11),0))))/100+(Inputs!$B$23+0+(IF(ArtifactsInput!$M$15,CHOOSE(ArtifactsInput!$N$15+1,25,30,35,40,45,50)/100*(Inputs!$B$11-Inputs!$B$11),0)))/100)/2</f>
        <v/>
      </c>
      <c r="M2053">
        <f>L2053*(1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IF(B2090=0,0,O2053/B2090)</f>
        <v/>
      </c>
      <c r="Q2053" t="n">
        <v>0</v>
      </c>
      <c r="R2053" t="n">
        <v>0</v>
      </c>
      <c r="S2053">
        <f>IFERROR(O2053/N2053,0)</f>
        <v/>
      </c>
      <c r="T2053">
        <f>IF(C2053,(Skills!G2*N2053*B2084)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IF(C2053,(Skills!G2*N2053*B2084)*IF(Inputs!$B$38="pvp",1,(1+(Inputs!$B$21+Skills!Q2+(IF(ArtifactsInput!$M$33,CHOOSE(ArtifactsInput!$N$33+1,30,36,42,48,54,60),0))+(IF(AND(ArtifactsInput!$M$35,Inputs!$B$4&lt;&gt;"Chapter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2076=TRUE,F2076,0)/100)*(1+(IF(Skills!A3="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20)),(Inputs!$B$23+0+(IF(ArtifactsInput!$M$15,CHOOSE(ArtifactsInput!$N$15+1,25,30,35,40,45,50)/100*(Inputs!$B$11-Inputs!$B$11),0))))/100+(Inputs!$B$23+0+(IF(ArtifactsInput!$M$15,CHOOSE(ArtifactsInput!$N$15+1,25,30,35,40,45,50)/100*(Inputs!$B$11-Inputs!$B$11),0)))/100)/2</f>
        <v/>
      </c>
      <c r="M2054">
        <f>L2054*(1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IF(B2090=0,0,O2054/B2090)</f>
        <v/>
      </c>
      <c r="Q2054">
        <f>IFERROR(1/(IF(Inputs!$B$38="pvp",15,MAX(0.1,Skills!D3-IF(TRUE=TRUE,Inputs!$B$32,0)))*(1-IF(AND(ArtifactsInput!$M$27,Inputs!$B$4="Chapter Hunt"),CHOOSE(ArtifactsInput!$N$27+1,20,24,28,32,36,40),0)/100)),0)</f>
        <v/>
      </c>
      <c r="R2054">
        <f>IF(AND(Inputs!$B$38&lt;&gt;"pvp",Inputs!$B$43&gt;0),IF(MAX(0,Inputs!$B$43-B2087)&lt;=0,0,(INT(MAX(0,Inputs!$B$43-B2087)/(IF(Inputs!$B$38="pvp",15,MAX(0.1,Skills!D3-IF(TRUE=TRUE,Inputs!$B$32,0)))*(1-IF(AND(ArtifactsInput!$M$27,Inputs!$B$4="Chapter Hunt"),CHOOSE(ArtifactsInput!$N$27+1,20,24,28,32,36,40),0)/100)))+1)),0)</f>
        <v/>
      </c>
      <c r="S2054">
        <f>IFERROR(O2054/N2054,0)</f>
        <v/>
      </c>
      <c r="T2054">
        <f>IF(C2054,(Skills!G3*N2054*IF(C2055=TRUE,1-B2092,1)/B2091)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IF(C2054,(Skills!G3*N2054*IF(C2055=TRUE,1-B2092,1)/B2091)*IF(Inputs!$B$38="pvp",1,(1+(Inputs!$B$21+Skills!Q3+(IF(ArtifactsInput!$M$33,CHOOSE(ArtifactsInput!$N$33+1,30,36,42,48,54,60),0))+(IF(AND(ArtifactsInput!$M$35,Inputs!$B$4&lt;&gt;"Chapter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Inputs!$B$3&gt;=69</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2063=TRUE,F2063,0)/100)*(1+(IF(Skills!A4="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20)),(Inputs!$B$23+0+(IF(ArtifactsInput!$M$15,CHOOSE(ArtifactsInput!$N$15+1,25,30,35,40,45,50)/100*(Inputs!$B$11-Inputs!$B$11),0))))/100+(Inputs!$B$23+0+(IF(ArtifactsInput!$M$15,CHOOSE(ArtifactsInput!$N$15+1,25,30,35,40,45,50)/100*(Inputs!$B$11-Inputs!$B$11),0)))/100)/2</f>
        <v/>
      </c>
      <c r="M2055">
        <f>L2055*(1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IF(B2090=0,0,O2055/B2090)</f>
        <v/>
      </c>
      <c r="Q2055" t="n">
        <v>0</v>
      </c>
      <c r="R2055" t="n">
        <v>0</v>
      </c>
      <c r="S2055">
        <f>IFERROR(O2055/N2055,0)</f>
        <v/>
      </c>
      <c r="T2055">
        <f>IF(C2055,(Skills!G4*N2055*B2092/B2091)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IF(C2055,(Skills!G4*N2055*B2092/B2091)*IF(Inputs!$B$38="pvp",1,(1+(Inputs!$B$21+Skills!Q4+(IF(ArtifactsInput!$M$33,CHOOSE(ArtifactsInput!$N$33+1,30,36,42,48,54,60),0))+(IF(AND(ArtifactsInput!$M$35,Inputs!$B$4&lt;&gt;"Chapter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Inputs!$B$3&gt;=66</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t="inlineStr"/>
      <c r="K2056" t="inlineStr"/>
      <c r="L2056" t="inlineStr"/>
      <c r="M2056" t="inlineStr"/>
      <c r="N2056" t="inlineStr"/>
      <c r="O2056">
        <f>(1-Summary!$B$11)*T2056+Summary!$B$11*V2056</f>
        <v/>
      </c>
      <c r="P2056">
        <f>IF(B2090=0,0,O2056/B2090)</f>
        <v/>
      </c>
      <c r="Q2056" t="n">
        <v>0</v>
      </c>
      <c r="R2056" t="n">
        <v>0</v>
      </c>
      <c r="S2056">
        <f>IFERROR(O2056/N2056,0)</f>
        <v/>
      </c>
      <c r="T2056" t="n">
        <v>0</v>
      </c>
      <c r="V2056" t="n">
        <v>0</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2063=TRUE,F2063,0)/100)*(1+(IF(Skills!A6="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20)),(Inputs!$B$23+0+(IF(ArtifactsInput!$M$15,CHOOSE(ArtifactsInput!$N$15+1,25,30,35,40,45,50)/100*(Inputs!$B$11-Inputs!$B$11),0))))/100+(Inputs!$B$23+0+(IF(ArtifactsInput!$M$15,CHOOSE(ArtifactsInput!$N$15+1,25,30,35,40,45,50)/100*(Inputs!$B$11-Inputs!$B$11),0)))/100)/2</f>
        <v/>
      </c>
      <c r="M2057">
        <f>L2057*(1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IF(B2090=0,0,O2057/B2090)</f>
        <v/>
      </c>
      <c r="Q2057">
        <f>IFERROR(1/(IF(Inputs!$B$38="pvp",15,MAX(0.1,Skills!D6-IF(TRUE=TRUE,Inputs!$B$32,0)))*(1-IF(AND(ArtifactsInput!$M$27,Inputs!$B$4="Chapter Hunt"),CHOOSE(ArtifactsInput!$N$27+1,20,24,28,32,36,40),0)/100)),0)</f>
        <v/>
      </c>
      <c r="R2057">
        <f>IF(AND(Inputs!$B$38&lt;&gt;"pvp",Inputs!$B$43&gt;0),IF(MAX(0,Inputs!$B$43-B2087)&lt;=0,0,(INT(MAX(0,Inputs!$B$43-B2087)/(IF(Inputs!$B$38="pvp",15,MAX(0.1,Skills!D6-IF(TRUE=TRUE,Inputs!$B$32,0)))*(1-IF(AND(ArtifactsInput!$M$27,Inputs!$B$4="Chapter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2087)-((R2057-1)*(IF(Inputs!$B$38="pvp",15,MAX(0.1,Skills!D6-IF(TRUE=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2087)-((R2057-1)*(IF(Inputs!$B$38="pvp",15,MAX(0.1,Skills!D6-IF(TRUE=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Inputs!$B$3&gt;=103</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20)),(Inputs!$B$23+0+(IF(ArtifactsInput!$M$15,CHOOSE(ArtifactsInput!$N$15+1,25,30,35,40,45,50)/100*(Inputs!$B$11-Inputs!$B$11),0))))/100+(Inputs!$B$23+0+(IF(ArtifactsInput!$M$15,CHOOSE(ArtifactsInput!$N$15+1,25,30,35,40,45,50)/100*(Inputs!$B$11-Inputs!$B$11),0)))/100)/2</f>
        <v/>
      </c>
      <c r="M2058">
        <f>L2058*(1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IF(B2090=0,0,O2058/B2090)</f>
        <v/>
      </c>
      <c r="Q2058">
        <f>IFERROR(1/(IF(Inputs!$B$38="pvp",15,MAX(0.1,Skills!D7-IF(TRUE=TRUE,Inputs!$B$32,0)))*(1-IF(AND(ArtifactsInput!$M$27,Inputs!$B$4="Chapter Hunt"),CHOOSE(ArtifactsInput!$N$27+1,20,24,28,32,36,40),0)/100)),0)</f>
        <v/>
      </c>
      <c r="R2058">
        <f>IF(AND(Inputs!$B$38&lt;&gt;"pvp",Inputs!$B$43&gt;0),IF(MAX(0,Inputs!$B$43-B2087)&lt;=0,0,(INT(MAX(0,Inputs!$B$43-B2087)/(IF(Inputs!$B$38="pvp",15,MAX(0.1,Skills!D7-IF(TRUE=TRUE,Inputs!$B$32,0)))*(1-IF(AND(ArtifactsInput!$M$27,Inputs!$B$4="Chapter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2087)-((R2058-1)*(IF(Inputs!$B$38="pvp",15,MAX(0.1,Skills!D7-IF(TRUE=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2087)-((R2058-1)*(IF(Inputs!$B$38="pvp",15,MAX(0.1,Skills!D7-IF(TRUE=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Inputs!$B$3&gt;=117</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20)),(Inputs!$B$23+0+(IF(ArtifactsInput!$M$15,CHOOSE(ArtifactsInput!$N$15+1,25,30,35,40,45,50)/100*(Inputs!$B$11-Inputs!$B$11),0))))/100+(Inputs!$B$23+0+(IF(ArtifactsInput!$M$15,CHOOSE(ArtifactsInput!$N$15+1,25,30,35,40,45,50)/100*(Inputs!$B$11-Inputs!$B$11),0)))/100)/2</f>
        <v/>
      </c>
      <c r="M2059">
        <f>L2059*(1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IF(B2090=0,0,O2059/B2090)</f>
        <v/>
      </c>
      <c r="Q2059">
        <f>IFERROR(1/(IF(Inputs!$B$38="pvp",15,MAX(0.1,Skills!D8-IF(TRUE=TRUE,Inputs!$B$32,0)))*(1-IF(AND(ArtifactsInput!$M$27,Inputs!$B$4="Chapter Hunt"),CHOOSE(ArtifactsInput!$N$27+1,20,24,28,32,36,40),0)/100)),0)</f>
        <v/>
      </c>
      <c r="R2059">
        <f>IF(AND(Inputs!$B$38&lt;&gt;"pvp",Inputs!$B$43&gt;0),IF(MAX(0,Inputs!$B$43-B2087)&lt;=0,0,(INT(MAX(0,Inputs!$B$43-B2087)/(IF(Inputs!$B$38="pvp",15,MAX(0.1,Skills!D8-IF(TRUE=TRUE,Inputs!$B$32,0)))*(1-IF(AND(ArtifactsInput!$M$27,Inputs!$B$4="Chapter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2087)-((R2059-1)*(IF(Inputs!$B$38="pvp",15,MAX(0.1,Skills!D8-IF(TRUE=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2087)-((R2059-1)*(IF(Inputs!$B$38="pvp",15,MAX(0.1,Skills!D8-IF(TRUE=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Inputs!$B$3&gt;=120</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B2092</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20)),(Inputs!$B$23+0+(IF(ArtifactsInput!$M$15,CHOOSE(ArtifactsInput!$N$15+1,25,30,35,40,45,50)/100*(Inputs!$B$11-Inputs!$B$11),0))))/100+(Inputs!$B$23+0+(IF(ArtifactsInput!$M$15,CHOOSE(ArtifactsInput!$N$15+1,25,30,35,40,45,50)/100*(Inputs!$B$11-Inputs!$B$11),0)))/100)/2</f>
        <v/>
      </c>
      <c r="M2060">
        <f>L2060*(1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IF(B2090=0,0,O2060/B2090)</f>
        <v/>
      </c>
      <c r="Q2060">
        <f>IFERROR(1/(IF(Inputs!$B$38="pvp",15,MAX(0.1,Skills!D9-IF(TRUE=TRUE,Inputs!$B$32,0)))*(1-IF(AND(ArtifactsInput!$M$27,Inputs!$B$4="Chapter Hunt"),CHOOSE(ArtifactsInput!$N$27+1,20,24,28,32,36,40),0)/100)),0)</f>
        <v/>
      </c>
      <c r="R2060">
        <f>IF(AND(Inputs!$B$38&lt;&gt;"pvp",Inputs!$B$43&gt;0),IF(MAX(0,Inputs!$B$43-B2087)&lt;=0,0,(INT(MAX(0,Inputs!$B$43-B2087)/(IF(Inputs!$B$38="pvp",15,MAX(0.1,Skills!D9-IF(TRUE=TRUE,Inputs!$B$32,0)))*(1-IF(AND(ArtifactsInput!$M$27,Inputs!$B$4="Chapter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2087)-((R2060-1)*(IF(Inputs!$B$38="pvp",15,MAX(0.1,Skills!D9-IF(TRUE=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2087)-((R2060-1)*(IF(Inputs!$B$38="pvp",15,MAX(0.1,Skills!D9-IF(TRUE=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Inputs!$B$3&gt;=105</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20)),(Inputs!$B$23+0+(IF(ArtifactsInput!$M$15,CHOOSE(ArtifactsInput!$N$15+1,25,30,35,40,45,50)/100*(Inputs!$B$11-Inputs!$B$11),0))))/100+(Inputs!$B$23+0+(IF(ArtifactsInput!$M$15,CHOOSE(ArtifactsInput!$N$15+1,25,30,35,40,45,50)/100*(Inputs!$B$11-Inputs!$B$11),0)))/100)/2</f>
        <v/>
      </c>
      <c r="M2061">
        <f>L2061*(1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IF(B2090=0,0,O2061/B2090)</f>
        <v/>
      </c>
      <c r="Q2061">
        <f>IFERROR(1/(IF(Inputs!$B$38="pvp",15,MAX(0.1,Skills!D10-IF(TRUE=TRUE,Inputs!$B$32,0)))*(1-IF(AND(ArtifactsInput!$M$27,Inputs!$B$4="Chapter Hunt"),CHOOSE(ArtifactsInput!$N$27+1,20,24,28,32,36,40),0)/100)),0)</f>
        <v/>
      </c>
      <c r="R2061">
        <f>IF(AND(Inputs!$B$38&lt;&gt;"pvp",Inputs!$B$43&gt;0),IF(MAX(0,Inputs!$B$43-B2087)&lt;=0,0,(INT(MAX(0,Inputs!$B$43-B2087)/(IF(Inputs!$B$38="pvp",15,MAX(0.1,Skills!D10-IF(TRUE=TRUE,Inputs!$B$32,0)))*(1-IF(AND(ArtifactsInput!$M$27,Inputs!$B$4="Chapter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2087)-((R2061-1)*(IF(Inputs!$B$38="pvp",15,MAX(0.1,Skills!D10-IF(TRUE=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2087)-((R2061-1)*(IF(Inputs!$B$38="pvp",15,MAX(0.1,Skills!D10-IF(TRUE=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Inputs!$B$3&gt;=113</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20)),(Inputs!$B$23+0+(IF(ArtifactsInput!$M$15,CHOOSE(ArtifactsInput!$N$15+1,25,30,35,40,45,50)/100*(Inputs!$B$11-Inputs!$B$11),0))))/100+(Inputs!$B$23+0+(IF(ArtifactsInput!$M$15,CHOOSE(ArtifactsInput!$N$15+1,25,30,35,40,45,50)/100*(Inputs!$B$11-Inputs!$B$11),0)))/100)/2</f>
        <v/>
      </c>
      <c r="M2062">
        <f>L2062*(1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IF(B2090=0,0,O2062/B2090)</f>
        <v/>
      </c>
      <c r="Q2062" t="n">
        <v>0</v>
      </c>
      <c r="R2062" t="n">
        <v>0</v>
      </c>
      <c r="S2062">
        <f>IFERROR(O2062/N2062,0)</f>
        <v/>
      </c>
      <c r="T2062">
        <f>IF(C2062,((H2062*B2093)/(1+Skills!H11*H2062*B2093)*N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IF(C2062,((H2062*B2093)/(1+Skills!H11*H2062*B2093)*N2062)*IF(Inputs!$B$38="pvp",1,(1+(Inputs!$B$21+Skills!Q11+(IF(ArtifactsInput!$M$33,CHOOSE(ArtifactsInput!$N$33+1,30,36,42,48,54,60),0))+(IF(AND(ArtifactsInput!$M$35,Inputs!$B$4&lt;&gt;"Chapter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Inputs!$B$3&gt;=100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t="inlineStr"/>
      <c r="H2063" t="inlineStr"/>
      <c r="I2063" t="inlineStr">
        <is>
          <t>1</t>
        </is>
      </c>
      <c r="J2063" t="inlineStr"/>
      <c r="K2063" t="inlineStr"/>
      <c r="L2063" t="inlineStr"/>
      <c r="M2063" t="inlineStr"/>
      <c r="N2063" t="inlineStr"/>
      <c r="O2063" t="inlineStr"/>
      <c r="P2063" t="inlineStr"/>
      <c r="Q2063" t="inlineStr"/>
      <c r="R2063" t="inlineStr"/>
      <c r="S2063" t="inlineStr"/>
      <c r="T2063" t="inlineStr"/>
      <c r="V2063" t="inlineStr"/>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IF(B2090=0,0,O2064/B2090)</f>
        <v/>
      </c>
      <c r="Q2064" t="n">
        <v>0</v>
      </c>
      <c r="R2064" t="n">
        <v>0</v>
      </c>
      <c r="S2064">
        <f>IFERROR(O2064/N2064,0)</f>
        <v/>
      </c>
      <c r="T2064" t="n">
        <v>0</v>
      </c>
      <c r="V2064" t="n">
        <v>0</v>
      </c>
    </row>
    <row r="2065">
      <c r="A2065">
        <f>Skills!A14</f>
        <v/>
      </c>
      <c r="B2065">
        <f>Skills!B14</f>
        <v/>
      </c>
      <c r="C2065">
        <f>Inputs!$B$3&gt;=115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IF(B2090=0,0,O2065/B2090)</f>
        <v/>
      </c>
      <c r="Q2065">
        <f>IFERROR(1/(IF(Inputs!$B$38="pvp",15,MAX(0.1,Skills!D14-IF(TRUE=TRUE,Inputs!$B$32,0)))*(1-IF(AND(ArtifactsInput!$M$27,Inputs!$B$4="Chapter Hunt"),CHOOSE(ArtifactsInput!$N$27+1,20,24,28,32,36,40),0)/100)),0)</f>
        <v/>
      </c>
      <c r="R2065">
        <f>IF(AND(Inputs!$B$38&lt;&gt;"pvp",Inputs!$B$43&gt;0),IF(Inputs!$B$43&lt;=0,0,(INT(Inputs!$B$43/(IF(Inputs!$B$38="pvp",15,MAX(0.1,Skills!D14-IF(TRUE=TRUE,Inputs!$B$32,0)))*(1-IF(AND(ArtifactsInput!$M$27,Inputs!$B$4="Chapter Hunt"),CHOOSE(ArtifactsInput!$N$27+1,20,24,28,32,36,40),0)/100)))+1)),0)</f>
        <v/>
      </c>
      <c r="S2065">
        <f>IFERROR(O2065/N2065,0)</f>
        <v/>
      </c>
      <c r="T2065" t="n">
        <v>0</v>
      </c>
      <c r="V2065" t="n">
        <v>0</v>
      </c>
    </row>
    <row r="2066">
      <c r="A2066">
        <f>Skills!A15</f>
        <v/>
      </c>
      <c r="B2066">
        <f>Skills!B15</f>
        <v/>
      </c>
      <c r="C2066">
        <f>Inputs!$B$3&gt;=125</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IF(B2090=0,0,O2066/B2090)</f>
        <v/>
      </c>
      <c r="Q2066">
        <f>IFERROR(1/(IF(Inputs!$B$38="pvp",15,MAX(0.1,Skills!D15-IF(TRUE=TRUE,Inputs!$B$32,0)))*(1-IF(AND(ArtifactsInput!$M$27,Inputs!$B$4="Chapter Hunt"),CHOOSE(ArtifactsInput!$N$27+1,20,24,28,32,36,40),0)/100)),0)</f>
        <v/>
      </c>
      <c r="R2066">
        <f>IF(AND(Inputs!$B$38&lt;&gt;"pvp",Inputs!$B$43&gt;0),IF(Inputs!$B$43&lt;=0,0,(INT(Inputs!$B$43/(IF(Inputs!$B$38="pvp",15,MAX(0.1,Skills!D15-IF(TRUE=TRUE,Inputs!$B$32,0)))*(1-IF(AND(ArtifactsInput!$M$27,Inputs!$B$4="Chapter Hunt"),CHOOSE(ArtifactsInput!$N$27+1,20,24,28,32,36,40),0)/100)))+1)),0)</f>
        <v/>
      </c>
      <c r="S2066">
        <f>IFERROR(O2066/N2066,0)</f>
        <v/>
      </c>
      <c r="T2066" t="n">
        <v>0</v>
      </c>
      <c r="V2066" t="n">
        <v>0</v>
      </c>
    </row>
    <row r="2067">
      <c r="A2067">
        <f>Skills!A16</f>
        <v/>
      </c>
      <c r="B2067">
        <f>Skills!B16</f>
        <v/>
      </c>
      <c r="C2067">
        <f>Inputs!$B$3&gt;=10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IF(B2090=0,0,O2067/B2090)</f>
        <v/>
      </c>
      <c r="Q2067" t="n">
        <v>0</v>
      </c>
      <c r="R2067" t="n">
        <v>0</v>
      </c>
      <c r="S2067">
        <f>IFERROR(O2067/N2067,0)</f>
        <v/>
      </c>
      <c r="T2067" t="n">
        <v>0</v>
      </c>
      <c r="V2067" t="n">
        <v>0</v>
      </c>
    </row>
    <row r="2068">
      <c r="A2068">
        <f>Skills!A17</f>
        <v/>
      </c>
      <c r="B2068">
        <f>Skills!B17</f>
        <v/>
      </c>
      <c r="C2068">
        <f>Inputs!$B$3&gt;=15</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IF(B2090=0,0,O2068/B2090)</f>
        <v/>
      </c>
      <c r="Q2068" t="n">
        <v>0</v>
      </c>
      <c r="R2068" t="n">
        <v>0</v>
      </c>
      <c r="S2068">
        <f>IFERROR(O2068/N2068,0)</f>
        <v/>
      </c>
      <c r="T2068" t="n">
        <v>0</v>
      </c>
      <c r="V2068" t="n">
        <v>0</v>
      </c>
    </row>
    <row r="2069">
      <c r="A2069">
        <f>Skills!A18</f>
        <v/>
      </c>
      <c r="B2069">
        <f>Skills!B18</f>
        <v/>
      </c>
      <c r="C2069">
        <f>Inputs!$B$3&gt;=33</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IF(B2090=0,0,O2069/B2090)</f>
        <v/>
      </c>
      <c r="Q2069" t="n">
        <v>0</v>
      </c>
      <c r="R2069" t="n">
        <v>0</v>
      </c>
      <c r="S2069">
        <f>IFERROR(O2069/N2069,0)</f>
        <v/>
      </c>
      <c r="T2069" t="n">
        <v>0</v>
      </c>
      <c r="V2069" t="n">
        <v>0</v>
      </c>
    </row>
    <row r="2070">
      <c r="A2070">
        <f>Skills!A19</f>
        <v/>
      </c>
      <c r="B2070">
        <f>Skills!B19</f>
        <v/>
      </c>
      <c r="C2070">
        <f>Inputs!$B$3&gt;=40</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IF(B2090=0,0,O2070/B2090)</f>
        <v/>
      </c>
      <c r="Q2070" t="n">
        <v>0</v>
      </c>
      <c r="R2070" t="n">
        <v>0</v>
      </c>
      <c r="S2070">
        <f>IFERROR(O2070/N2070,0)</f>
        <v/>
      </c>
      <c r="T2070" t="n">
        <v>0</v>
      </c>
      <c r="V2070" t="n">
        <v>0</v>
      </c>
    </row>
    <row r="2071">
      <c r="A2071">
        <f>Skills!A20</f>
        <v/>
      </c>
      <c r="B2071">
        <f>Skills!B20</f>
        <v/>
      </c>
      <c r="C2071">
        <f>Inputs!$B$3&gt;=43</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IF(B2090=0,0,O2071/B2090)</f>
        <v/>
      </c>
      <c r="Q2071" t="n">
        <v>0</v>
      </c>
      <c r="R2071" t="n">
        <v>0</v>
      </c>
      <c r="S2071">
        <f>IFERROR(O2071/N2071,0)</f>
        <v/>
      </c>
      <c r="T2071" t="n">
        <v>0</v>
      </c>
      <c r="V2071" t="n">
        <v>0</v>
      </c>
    </row>
    <row r="2072">
      <c r="A2072">
        <f>Skills!A21</f>
        <v/>
      </c>
      <c r="B2072">
        <f>Skills!B21</f>
        <v/>
      </c>
      <c r="C2072">
        <f>Inputs!$B$3&gt;=38</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IF(B2090=0,0,O2072/B2090)</f>
        <v/>
      </c>
      <c r="Q2072" t="n">
        <v>0</v>
      </c>
      <c r="R2072" t="n">
        <v>0</v>
      </c>
      <c r="S2072">
        <f>IFERROR(O2072/N2072,0)</f>
        <v/>
      </c>
      <c r="T2072" t="n">
        <v>0</v>
      </c>
      <c r="V2072" t="n">
        <v>0</v>
      </c>
    </row>
    <row r="2073">
      <c r="A2073">
        <f>Skills!A22</f>
        <v/>
      </c>
      <c r="B2073">
        <f>Skills!B22</f>
        <v/>
      </c>
      <c r="C2073">
        <f>Inputs!$B$3&gt;=75</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IF(B2090=0,0,O2073/B2090)</f>
        <v/>
      </c>
      <c r="Q2073" t="n">
        <v>0</v>
      </c>
      <c r="R2073" t="n">
        <v>0</v>
      </c>
      <c r="S2073">
        <f>IFERROR(O2073/N2073,0)</f>
        <v/>
      </c>
      <c r="T2073" t="n">
        <v>0</v>
      </c>
      <c r="V2073" t="n">
        <v>0</v>
      </c>
    </row>
    <row r="2074">
      <c r="A2074">
        <f>Skills!A23</f>
        <v/>
      </c>
      <c r="B2074">
        <f>Skills!B23</f>
        <v/>
      </c>
      <c r="C2074">
        <f>TRUE</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IF(B2090=0,0,O2074/B2090)</f>
        <v/>
      </c>
      <c r="Q2074">
        <f>IFERROR(1/(IF(Inputs!$B$38="pvp",15,MAX(0.1,Skills!D23-IF(TRUE=TRUE,Inputs!$B$32,0)))*(1-IF(AND(ArtifactsInput!$M$27,Inputs!$B$4="Chapter Hunt"),CHOOSE(ArtifactsInput!$N$27+1,20,24,28,32,36,40),0)/100)),0)</f>
        <v/>
      </c>
      <c r="R2074">
        <f>IF(AND(Inputs!$B$38&lt;&gt;"pvp",Inputs!$B$43&gt;0),IF(Inputs!$B$43&lt;=0,0,(INT(Inputs!$B$43/(IF(Inputs!$B$38="pvp",15,MAX(0.1,Skills!D23-IF(TRUE=TRUE,Inputs!$B$32,0)))*(1-IF(AND(ArtifactsInput!$M$27,Inputs!$B$4="Chapter Hunt"),CHOOSE(ArtifactsInput!$N$27+1,20,24,28,32,36,40),0)/100)))+1)),0)</f>
        <v/>
      </c>
      <c r="S2074">
        <f>IFERROR(O2074/N2074,0)</f>
        <v/>
      </c>
      <c r="T2074" t="n">
        <v>0</v>
      </c>
      <c r="V2074" t="n">
        <v>0</v>
      </c>
    </row>
    <row r="2075">
      <c r="A2075">
        <f>Skills!A24</f>
        <v/>
      </c>
      <c r="B2075">
        <f>Skills!B24</f>
        <v/>
      </c>
      <c r="C2075">
        <f>Inputs!$B$3&gt;=107</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IF(B2090=0,0,O2075/B2090)</f>
        <v/>
      </c>
      <c r="Q2075">
        <f>IFERROR(1/(IF(Inputs!$B$38="pvp",15,MAX(0.1,Skills!D24-IF(TRUE=TRUE,Inputs!$B$32,0)))*(1-IF(AND(ArtifactsInput!$M$27,Inputs!$B$4="Chapter Hunt"),CHOOSE(ArtifactsInput!$N$27+1,20,24,28,32,36,40),0)/100)),0)</f>
        <v/>
      </c>
      <c r="R2075">
        <f>IF(AND(Inputs!$B$38&lt;&gt;"pvp",Inputs!$B$43&gt;0),IF(Inputs!$B$43&lt;=0,0,(INT(Inputs!$B$43/(IF(Inputs!$B$38="pvp",15,MAX(0.1,Skills!D24-IF(TRUE=TRUE,Inputs!$B$32,0)))*(1-IF(AND(ArtifactsInput!$M$27,Inputs!$B$4="Chapter Hunt"),CHOOSE(ArtifactsInput!$N$27+1,20,24,28,32,36,40),0)/100)))+1)),0)</f>
        <v/>
      </c>
      <c r="S2075">
        <f>IFERROR(O2075/N2075,0)</f>
        <v/>
      </c>
      <c r="T2075" t="n">
        <v>0</v>
      </c>
      <c r="V2075" t="n">
        <v>0</v>
      </c>
    </row>
    <row r="2076">
      <c r="A2076">
        <f>Skills!A25</f>
        <v/>
      </c>
      <c r="B2076">
        <f>Skills!B25</f>
        <v/>
      </c>
      <c r="C2076">
        <f>Inputs!$B$3&gt;=110</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t="inlineStr"/>
      <c r="H2076" t="inlineStr"/>
      <c r="I2076" t="inlineStr">
        <is>
          <t>1</t>
        </is>
      </c>
      <c r="J2076" t="inlineStr"/>
      <c r="K2076" t="inlineStr"/>
      <c r="L2076" t="inlineStr"/>
      <c r="M2076" t="inlineStr"/>
      <c r="N2076" t="inlineStr"/>
      <c r="O2076" t="inlineStr"/>
      <c r="P2076" t="inlineStr"/>
      <c r="Q2076" t="inlineStr"/>
      <c r="R2076" t="inlineStr"/>
      <c r="S2076" t="inlineStr"/>
      <c r="T2076" t="inlineStr"/>
      <c r="V2076" t="inlineStr"/>
    </row>
    <row r="2077">
      <c r="A2077">
        <f>Skills!A26</f>
        <v/>
      </c>
      <c r="B2077">
        <f>Skills!B26</f>
        <v/>
      </c>
      <c r="C2077">
        <f>Inputs!$B$3&gt;=117</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t="inlineStr"/>
      <c r="H2077" t="inlineStr"/>
      <c r="I2077" t="inlineStr">
        <is>
          <t>1</t>
        </is>
      </c>
      <c r="J2077" t="inlineStr"/>
      <c r="K2077" t="inlineStr"/>
      <c r="L2077" t="inlineStr"/>
      <c r="M2077" t="inlineStr"/>
      <c r="N2077" t="inlineStr"/>
      <c r="O2077" t="inlineStr"/>
      <c r="P2077" t="inlineStr"/>
      <c r="Q2077" t="inlineStr"/>
      <c r="R2077" t="inlineStr"/>
      <c r="S2077" t="inlineStr"/>
      <c r="T2077" t="inlineStr"/>
      <c r="V2077" t="inlineStr"/>
    </row>
    <row r="2079">
      <c r="A2079" t="inlineStr">
        <is>
          <t>Attack% Bucket Multiplier</t>
        </is>
      </c>
      <c r="B2079">
        <f>(1+(((C2064=TRUE)*F2064*5/7)+((C2070=TRUE)*(F2070-Calc!F19))+(IF(ArtifactsInput!$M$21,CHOOSE(ArtifactsInput!$N$21+1,25,30,35,40,45,50)*(IF(OR(Inputs!$B$4="Chapter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0">
      <c r="A2080" t="inlineStr">
        <is>
          <t>Global Crit Rate Bonus %</t>
        </is>
      </c>
      <c r="B2080" t="n">
        <v>0</v>
      </c>
    </row>
    <row r="2081">
      <c r="A2081" t="inlineStr">
        <is>
          <t>Attack Speed Buff Bonus % (Nimble Feet + Speed Infusion, duty-cycle averaged)</t>
        </is>
      </c>
      <c r="B2081">
        <f>((C2074=TRUE)*F2074*IF(AND(Inputs!$B$38&lt;&gt;"pvp",Inputs!$B$43&gt;0),(((R2074-1)*MIN((Skills!T23*(1+Inputs!$B$34/100)),(1/Q2074))+MIN((Skills!T23*(1+Inputs!$B$34/100)),MAX(0,Inputs!$B$43-((R2074-1)*(1/Q2074)))))/Inputs!$B$43),IF(Inputs!$B$38="pvp",MIN((Skills!T23*(1+Inputs!$B$34/100)),15)/15,MIN(1,(Skills!T23*(1+Inputs!$B$34/100))/(1/Q2074)))))+((C2075=TRUE)*F2075*IF(AND(Inputs!$B$38&lt;&gt;"pvp",Inputs!$B$43&gt;0),(((R2075-1)*MIN((Skills!T24*(1+Inputs!$B$34/100)),(1/Q2075))+MIN((Skills!T24*(1+Inputs!$B$34/100)),MAX(0,Inputs!$B$43-((R2075-1)*(1/Q2075)))))/Inputs!$B$43),IF(Inputs!$B$38="pvp",MIN((Skills!T24*(1+Inputs!$B$34/100)),15)/15,MIN(1,(Skills!T24*(1+Inputs!$B$34/100))/(1/Q2075)))))</f>
        <v/>
      </c>
    </row>
    <row r="2082">
      <c r="A2082" t="inlineStr">
        <is>
          <t>Actions Per Second</t>
        </is>
      </c>
      <c r="B2082">
        <f>1+MIN(150,150*(1-(1-(Inputs!$B$11+((C2068=TRUE)*(F2068-Calc!F17))+((C2069=TRUE)*(F2069-Calc!F18)))/150)*(1-B2081/150)))/100</f>
        <v/>
      </c>
    </row>
    <row r="2083">
      <c r="A2083" t="inlineStr">
        <is>
          <t>Skill + Buff Cast Rate</t>
        </is>
      </c>
      <c r="B2083">
        <f>IF(AND(Inputs!$B$38&lt;&gt;"pvp",Inputs!$B$43&gt;0),SUMPRODUCT((Skills!E2:E26=TRUE)*(C2053:C2077=TRUE)*R2053:R2077*Skills!F2:F26)/Inputs!$B$43,SUMPRODUCT((Skills!E2:E26=TRUE)*(C2053:C2077=TRUE)*Q2053:Q2077*Skills!F2:F26))</f>
        <v/>
      </c>
    </row>
    <row r="2084">
      <c r="A2084" t="inlineStr">
        <is>
          <t>Hook Bomber Casts Per Second</t>
        </is>
      </c>
      <c r="B2084">
        <f>MAX(0,B2082-B2083)</f>
        <v/>
      </c>
    </row>
    <row r="2085">
      <c r="A2085" t="inlineStr">
        <is>
          <t>Global Critical Damage Bonus % (unused)</t>
        </is>
      </c>
      <c r="B2085" t="n">
        <v>0</v>
      </c>
    </row>
    <row r="2086">
      <c r="A2086" t="inlineStr">
        <is>
          <t>Global Final Damage Bonus % (Serpent Scale + Crossbones + Time Leap + Speed Infusion)</t>
        </is>
      </c>
      <c r="B2086">
        <f>((C2056=TRUE)*(F2056*B2092+4*(1-B2092)))+((C2065=TRUE)*F2065*IF(AND(Inputs!$B$38&lt;&gt;"pvp",Inputs!$B$43&gt;0),(((R2065-1)*MIN((Skills!T14*(1+Inputs!$B$34/100)),(1/Q2065))+MIN((Skills!T14*(1+Inputs!$B$34/100)),MAX(0,Inputs!$B$43-((R2065-1)*(1/Q2065)))))/Inputs!$B$43),IF(Inputs!$B$38="pvp",MIN((Skills!T14*(1+Inputs!$B$34/100)),15)/15,MIN(1,(Skills!T14*(1+Inputs!$B$34/100))/(1/Q2065)))))+((C2066=TRUE)*F2066*IF(AND(Inputs!$B$38&lt;&gt;"pvp",Inputs!$B$43&gt;0),(((R2066-1)*MIN((Skills!T15*(1+Inputs!$B$34/100)),(1/Q2066))+MIN((Skills!T15*(1+Inputs!$B$34/100)),MAX(0,Inputs!$B$43-((R2066-1)*(1/Q2066)))))/Inputs!$B$43),IF(Inputs!$B$38="pvp",MIN((Skills!T15*(1+Inputs!$B$34/100)),15)/15,MIN(1,(Skills!T15*(1+Inputs!$B$34/100))/(1/Q2066)))))+((C2075=TRUE)*20*((1+MIN(150,150*(1-(1-(Inputs!$B$11+((C2068=TRUE)*(F2068-Calc!F17))+((C2069=TRUE)*(F2069-Calc!F18)))/150)*(1-(((C2074=TRUE)*F2074*IF(AND(Inputs!$B$38&lt;&gt;"pvp",Inputs!$B$43&gt;0),(((R2074-1)*MIN((Skills!T23*(1+Inputs!$B$34/100)),(1/Q2074))+MIN((Skills!T23*(1+Inputs!$B$34/100)),MAX(0,Inputs!$B$43-((R2074-1)*(1/Q2074)))))/Inputs!$B$43),IF(Inputs!$B$38="pvp",MIN((Skills!T23*(1+Inputs!$B$34/100)),15)/15,MIN(1,(Skills!T23*(1+Inputs!$B$34/100))/(1/Q2074)))))+F2075)/150)))/100)-1)*IF(AND(Inputs!$B$38&lt;&gt;"pvp",Inputs!$B$43&gt;0),(((R2075-1)*MIN((Skills!T24*(1+Inputs!$B$34/100)),(1/Q2075))+MIN((Skills!T24*(1+Inputs!$B$34/100)),MAX(0,Inputs!$B$43-((R2075-1)*(1/Q2075)))))/Inputs!$B$43),IF(Inputs!$B$38="pvp",MIN((Skills!T24*(1+Inputs!$B$34/100)),15)/15,MIN(1,(Skills!T24*(1+Inputs!$B$34/100))/(1/Q2075)))))</f>
        <v/>
      </c>
    </row>
    <row r="2087">
      <c r="A2087" t="inlineStr">
        <is>
          <t>Buff-Casting Startup Delay (s, fixed-duration only)</t>
        </is>
      </c>
      <c r="B2087">
        <f>IF(AND(Inputs!$B$38&lt;&gt;"pvp",Inputs!$B$43&gt;0),SUMPRODUCT((Skills!T2:T26&gt;0)*(Skills!E2:E26=TRUE)*(C2053:C2077=TRUE))/B2082,0)</f>
        <v/>
      </c>
    </row>
    <row r="2088">
      <c r="A2088" t="inlineStr">
        <is>
          <t>Boss-Only Total DPS (this block's swept value)</t>
        </is>
      </c>
      <c r="B2088">
        <f>SUM(T2053:T2077)</f>
        <v/>
      </c>
    </row>
    <row r="2089">
      <c r="A2089" t="inlineStr">
        <is>
          <t>Normal-Only Total DPS (this block's swept value)</t>
        </is>
      </c>
      <c r="B2089">
        <f>SUM(V2053:V2077)</f>
        <v/>
      </c>
    </row>
    <row r="2090">
      <c r="A2090" s="6" t="inlineStr">
        <is>
          <t>TOTAL DPS</t>
        </is>
      </c>
      <c r="B2090" s="6">
        <f>SUM(O2053:O2077)</f>
        <v/>
      </c>
    </row>
    <row r="2091">
      <c r="A2091" t="inlineStr">
        <is>
          <t>Serpent activation interval T (this block's own Hook Bomber rate)</t>
        </is>
      </c>
      <c r="B2091">
        <f>((1/Q2054)+IFERROR(0.5/B2084,0))</f>
        <v/>
      </c>
    </row>
    <row r="2092">
      <c r="A2092" t="inlineStr">
        <is>
          <t>Assault Mode uptime u (this block)</t>
        </is>
      </c>
      <c r="B2092">
        <f>IF(C2056=TRUE,(10+IF(Inputs!$B$3&gt;=94,5,0))/((10+IF(Inputs!$B$3&gt;=94,5,0))+IF(Inputs!$B$3&gt;=104,3,5)*B2091),0)</f>
        <v/>
      </c>
    </row>
    <row r="2093">
      <c r="A2093" t="inlineStr">
        <is>
          <t>Nautilus Strike - Final Attack trigger rate (this block's own Q/R)</t>
        </is>
      </c>
      <c r="B2093">
        <f>IF(AND(Inputs!$B$38&lt;&gt;"pvp",Inputs!$B$43&gt;0),(((C2057=TRUE)*R2057)+((C2058=TRUE)*R2058)+((C2061=TRUE)*R2061))/Inputs!$B$43,((C2057=TRUE)*Q2057)+((C2058=TRUE)*Q2058)+((C2061=TRUE)*Q2061))+B2084</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2116=TRUE)*(F2116-Calc!F20)),(Inputs!$B$23+0+(IF(ArtifactsInput!$M$15,CHOOSE(ArtifactsInput!$N$15+1,25,30,35,40,45,50)/100*(Inputs!$B$11-Inputs!$B$11),0))))/100+(Inputs!$B$23+0+(IF(ArtifactsInput!$M$15,CHOOSE(ArtifactsInput!$N$15+1,25,30,35,40,45,50)/100*(Inputs!$B$11-Inputs!$B$11),0)))/100)/2</f>
        <v/>
      </c>
      <c r="M2098">
        <f>L2098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IF(B2135=0,0,O2098/B2135)</f>
        <v/>
      </c>
      <c r="Q2098" t="n">
        <v>0</v>
      </c>
      <c r="R2098" t="n">
        <v>0</v>
      </c>
      <c r="S2098">
        <f>IFERROR(O2098/N2098,0)</f>
        <v/>
      </c>
      <c r="T2098">
        <f>IF(C2098,(Skills!G2*N2098*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IF(C2098,(Skills!G2*N2098*B2129)*IF(Inputs!$B$38="pvp",1,(1+(Inputs!$B$21+Skills!Q2+(IF(ArtifactsInput!$M$33,CHOOSE(ArtifactsInput!$N$33+1,30,36,42,48,54,60),0))+(IF(AND(ArtifactsInput!$M$35,Inputs!$B$4&lt;&gt;"Chapter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Inputs!$B$3&gt;=35</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f>Skills!G3*IF(Skills!H3&gt;0,Skills!I3/Skills!H3,1)</f>
        <v/>
      </c>
      <c r="H2099">
        <f>1-(1-Skills!J3/100)^Skills!K3</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2121=TRUE,F2121,0)/100)*(1+(IF(Skills!A3="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2116=TRUE)*(F2116-Calc!F20)),(Inputs!$B$23+0+(IF(ArtifactsInput!$M$15,CHOOSE(ArtifactsInput!$N$15+1,25,30,35,40,45,50)/100*(Inputs!$B$11-Inputs!$B$11),0))))/100+(Inputs!$B$23+0+(IF(ArtifactsInput!$M$15,CHOOSE(ArtifactsInput!$N$15+1,25,30,35,40,45,50)/100*(Inputs!$B$11-Inputs!$B$11),0)))/100)/2</f>
        <v/>
      </c>
      <c r="M2099">
        <f>L2099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IF(B2135=0,0,O2099/B2135)</f>
        <v/>
      </c>
      <c r="Q2099">
        <f>IFERROR(1/(IF(Inputs!$B$38="pvp",15,MAX(0.1,Skills!D3-IF(TRUE=TRUE,Inputs!$B$32,0)))*(1-IF(AND(ArtifactsInput!$M$27,Inputs!$B$4="Chapter Hunt"),CHOOSE(ArtifactsInput!$N$27+1,20,24,28,32,36,40),0)/100)),0)</f>
        <v/>
      </c>
      <c r="R2099">
        <f>IF(AND(Inputs!$B$38&lt;&gt;"pvp",Inputs!$B$43&gt;0),IF(MAX(0,Inputs!$B$43-B2132)&lt;=0,0,(INT(MAX(0,Inputs!$B$43-B2132)/(IF(Inputs!$B$38="pvp",15,MAX(0.1,Skills!D3-IF(TRUE=TRUE,Inputs!$B$32,0)))*(1-IF(AND(ArtifactsInput!$M$27,Inputs!$B$4="Chapter Hunt"),CHOOSE(ArtifactsInput!$N$27+1,20,24,28,32,36,40),0)/100)))+1)),0)</f>
        <v/>
      </c>
      <c r="S2099">
        <f>IFERROR(O2099/N2099,0)</f>
        <v/>
      </c>
      <c r="T2099">
        <f>IF(C2099,(Skills!G3*N2099*IF(C2100=TRUE,1-B2137,1)/B2136)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INDEX(FactorTable!$B$2:$Y$301, MATCH(ROUND(MIN(300,MAX(1,U2098)),0), FactorTable!$A$2:$A$301,0), 22)</f>
        <v/>
      </c>
      <c r="V2099">
        <f>IF(C2099,(Skills!G3*N2099*IF(C2100=TRUE,1-B2137,1)/B2136)*IF(Inputs!$B$38="pvp",1,(1+(Inputs!$B$21+Skills!Q3+(IF(ArtifactsInput!$M$33,CHOOSE(ArtifactsInput!$N$33+1,30,36,42,48,54,60),0))+(IF(AND(ArtifactsInput!$M$35,Inputs!$B$4&lt;&gt;"Chapter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Skills!A4</f>
        <v/>
      </c>
      <c r="B2100">
        <f>Skills!B4</f>
        <v/>
      </c>
      <c r="C2100">
        <f>Inputs!$B$3&gt;=69</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f>Skills!G4*IF(Skills!H4&gt;0,Skills!I4/Skills!H4,1)</f>
        <v/>
      </c>
      <c r="H2100">
        <f>1-(1-Skills!J4/100)^Skills!K4</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2108=TRUE,F2108,0)/100)*(1+(IF(Skills!A4="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2116=TRUE)*(F2116-Calc!F20)),(Inputs!$B$23+0+(IF(ArtifactsInput!$M$15,CHOOSE(ArtifactsInput!$N$15+1,25,30,35,40,45,50)/100*(Inputs!$B$11-Inputs!$B$11),0))))/100+(Inputs!$B$23+0+(IF(ArtifactsInput!$M$15,CHOOSE(ArtifactsInput!$N$15+1,25,30,35,40,45,50)/100*(Inputs!$B$11-Inputs!$B$11),0)))/100)/2</f>
        <v/>
      </c>
      <c r="M2100">
        <f>L2100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IF(B2135=0,0,O2100/B2135)</f>
        <v/>
      </c>
      <c r="Q2100" t="n">
        <v>0</v>
      </c>
      <c r="R2100" t="n">
        <v>0</v>
      </c>
      <c r="S2100">
        <f>IFERROR(O2100/N2100,0)</f>
        <v/>
      </c>
      <c r="T2100">
        <f>IF(C2100,(Skills!G4*N2100*B2137/B2136)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0">
        <f>290*U2099/1000</f>
        <v/>
      </c>
      <c r="V2100">
        <f>IF(C2100,(Skills!G4*N2100*B2137/B2136)*IF(Inputs!$B$38="pvp",1,(1+(Inputs!$B$21+Skills!Q4+(IF(ArtifactsInput!$M$33,CHOOSE(ArtifactsInput!$N$33+1,30,36,42,48,54,60),0))+(IF(AND(ArtifactsInput!$M$35,Inputs!$B$4&lt;&gt;"Chapter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Skills!A5</f>
        <v/>
      </c>
      <c r="B2101">
        <f>Skills!B5</f>
        <v/>
      </c>
      <c r="C2101">
        <f>Inputs!$B$3&gt;=66</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t="inlineStr"/>
      <c r="K2101" t="inlineStr"/>
      <c r="L2101" t="inlineStr"/>
      <c r="M2101" t="inlineStr"/>
      <c r="N2101" t="inlineStr"/>
      <c r="O2101">
        <f>(1-Summary!$B$11)*T2101+Summary!$B$11*V2101</f>
        <v/>
      </c>
      <c r="P2101">
        <f>IF(B2135=0,0,O2101/B2135)</f>
        <v/>
      </c>
      <c r="Q2101" t="n">
        <v>0</v>
      </c>
      <c r="R2101" t="n">
        <v>0</v>
      </c>
      <c r="S2101">
        <f>IFERROR(O2101/N2101,0)</f>
        <v/>
      </c>
      <c r="T2101" t="n">
        <v>0</v>
      </c>
      <c r="V2101" t="n">
        <v>0</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2108=TRUE,F2108,0)/100)*(1+(IF(Skills!A6="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2116=TRUE)*(F2116-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f>IFERROR(1/(IF(Inputs!$B$38="pvp",15,MAX(0.1,Skills!D6-IF(TRUE=TRUE,Inputs!$B$32,0)))*(1-IF(AND(ArtifactsInput!$M$27,Inputs!$B$4="Chapter Hunt"),CHOOSE(ArtifactsInput!$N$27+1,20,24,28,32,36,40),0)/100)),0)</f>
        <v/>
      </c>
      <c r="R2102">
        <f>IF(AND(Inputs!$B$38&lt;&gt;"pvp",Inputs!$B$43&gt;0),IF(MAX(0,Inputs!$B$43-B2132)&lt;=0,0,(INT(MAX(0,Inputs!$B$43-B2132)/(IF(Inputs!$B$38="pvp",15,MAX(0.1,Skills!D6-IF(TRUE=TRUE,Inputs!$B$32,0)))*(1-IF(AND(ArtifactsInput!$M$27,Inputs!$B$4="Chapter Hunt"),CHOOSE(ArtifactsInput!$N$27+1,20,24,28,32,36,40),0)/100)))+1)),0)</f>
        <v/>
      </c>
      <c r="S2102">
        <f>IFERROR(O2102/N2102,0)</f>
        <v/>
      </c>
      <c r="T2102">
        <f>IF(C2102,(H2102*N2102*IF(AND(Inputs!$B$38&lt;&gt;"pvp",Inputs!$B$43&gt;0),((Skills!G6*((R2102-1)*IF(Skills!H6&gt;0,Skills!I6/Skills!H6,1)+IF(Skills!H6&gt;0,MIN(Skills!I6,MAX(0,MAX(0,Inputs!$B$43-B2132)-((R2102-1)*(IF(Inputs!$B$38="pvp",15,MAX(0.1,Skills!D6-IF(TRUE=TRUE,Inputs!$B$32,0)))*(1-IF(AND(ArtifactsInput!$M$27,Inputs!$B$4="Chapter Hunt"),CHOOSE(ArtifactsInput!$N$27+1,20,24,28,32,36,40),0)/100)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2132)-((R2102-1)*(IF(Inputs!$B$38="pvp",15,MAX(0.1,Skills!D6-IF(TRUE=TRUE,Inputs!$B$32,0)))*(1-IF(AND(ArtifactsInput!$M$27,Inputs!$B$4="Chapter Hunt"),CHOOSE(ArtifactsInput!$N$27+1,20,24,28,32,36,40),0)/100)))))/Skills!H6,1)))/Inputs!$B$43),G2102*Q2102))*IF(Inputs!$B$38="pvp",1,(1+(Inputs!$B$21+Skills!Q6+(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Inputs!$B$3&gt;=103</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2116=TRUE)*(F2116-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f>IFERROR(1/(IF(Inputs!$B$38="pvp",15,MAX(0.1,Skills!D7-IF(TRUE=TRUE,Inputs!$B$32,0)))*(1-IF(AND(ArtifactsInput!$M$27,Inputs!$B$4="Chapter Hunt"),CHOOSE(ArtifactsInput!$N$27+1,20,24,28,32,36,40),0)/100)),0)</f>
        <v/>
      </c>
      <c r="R2103">
        <f>IF(AND(Inputs!$B$38&lt;&gt;"pvp",Inputs!$B$43&gt;0),IF(MAX(0,Inputs!$B$43-B2132)&lt;=0,0,(INT(MAX(0,Inputs!$B$43-B2132)/(IF(Inputs!$B$38="pvp",15,MAX(0.1,Skills!D7-IF(TRUE=TRUE,Inputs!$B$32,0)))*(1-IF(AND(ArtifactsInput!$M$27,Inputs!$B$4="Chapter Hunt"),CHOOSE(ArtifactsInput!$N$27+1,20,24,28,32,36,40),0)/100)))+1)),0)</f>
        <v/>
      </c>
      <c r="S2103">
        <f>IFERROR(O2103/N2103,0)</f>
        <v/>
      </c>
      <c r="T2103">
        <f>IF(C2103,(H2103*N2103*IF(AND(Inputs!$B$38&lt;&gt;"pvp",Inputs!$B$43&gt;0),((Skills!G7*((R2103-1)*IF(Skills!H7&gt;0,Skills!I7/Skills!H7,1)+IF(Skills!H7&gt;0,MIN(Skills!I7,MAX(0,MAX(0,Inputs!$B$43-B2132)-((R2103-1)*(IF(Inputs!$B$38="pvp",15,MAX(0.1,Skills!D7-IF(TRUE=TRUE,Inputs!$B$32,0)))*(1-IF(AND(ArtifactsInput!$M$27,Inputs!$B$4="Chapter Hunt"),CHOOSE(ArtifactsInput!$N$27+1,20,24,28,32,36,40),0)/100)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2132)-((R2103-1)*(IF(Inputs!$B$38="pvp",15,MAX(0.1,Skills!D7-IF(TRUE=TRUE,Inputs!$B$32,0)))*(1-IF(AND(ArtifactsInput!$M$27,Inputs!$B$4="Chapter Hunt"),CHOOSE(ArtifactsInput!$N$27+1,20,24,28,32,36,40),0)/100)))))/Skills!H7,1)))/Inputs!$B$43),G2103*Q2103))*IF(Inputs!$B$38="pvp",1,(1+(Inputs!$B$21+Skills!Q7+(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Inputs!$B$3&gt;=117</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f>Skills!G8*IF(Skills!H8&gt;0,Skills!I8/Skills!H8,1)</f>
        <v/>
      </c>
      <c r="H2104">
        <f>1-(1-Skills!J8/100)^Skills!K8</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2116=TRUE)*(F2116-Calc!F20)),(Inputs!$B$23+0+(IF(ArtifactsInput!$M$15,CHOOSE(ArtifactsInput!$N$15+1,25,30,35,40,45,50)/100*(Inputs!$B$11-Inputs!$B$11),0))))/100+(Inputs!$B$23+0+(IF(ArtifactsInput!$M$15,CHOOSE(ArtifactsInput!$N$15+1,25,30,35,40,45,50)/100*(Inputs!$B$11-Inputs!$B$11),0)))/100)/2</f>
        <v/>
      </c>
      <c r="M2104">
        <f>L2104*(1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IF(B2135=0,0,O2104/B2135)</f>
        <v/>
      </c>
      <c r="Q2104">
        <f>IFERROR(1/(IF(Inputs!$B$38="pvp",15,MAX(0.1,Skills!D8-IF(TRUE=TRUE,Inputs!$B$32,0)))*(1-IF(AND(ArtifactsInput!$M$27,Inputs!$B$4="Chapter Hunt"),CHOOSE(ArtifactsInput!$N$27+1,20,24,28,32,36,40),0)/100)),0)</f>
        <v/>
      </c>
      <c r="R2104">
        <f>IF(AND(Inputs!$B$38&lt;&gt;"pvp",Inputs!$B$43&gt;0),IF(MAX(0,Inputs!$B$43-B2132)&lt;=0,0,(INT(MAX(0,Inputs!$B$43-B2132)/(IF(Inputs!$B$38="pvp",15,MAX(0.1,Skills!D8-IF(TRUE=TRUE,Inputs!$B$32,0)))*(1-IF(AND(ArtifactsInput!$M$27,Inputs!$B$4="Chapter Hunt"),CHOOSE(ArtifactsInput!$N$27+1,20,24,28,32,36,40),0)/100)))+1)),0)</f>
        <v/>
      </c>
      <c r="S2104">
        <f>IFERROR(O2104/N2104,0)</f>
        <v/>
      </c>
      <c r="T2104">
        <f>IF(C2104,(H2104*N2104*IF(AND(Inputs!$B$38&lt;&gt;"pvp",Inputs!$B$43&gt;0),((Skills!G8*((R2104-1)*IF(Skills!H8&gt;0,Skills!I8/Skills!H8,1)+IF(Skills!H8&gt;0,MIN(Skills!I8,MAX(0,MAX(0,Inputs!$B$43-B2132)-((R2104-1)*(IF(Inputs!$B$38="pvp",15,MAX(0.1,Skills!D8-IF(TRUE=TRUE,Inputs!$B$32,0)))*(1-IF(AND(ArtifactsInput!$M$27,Inputs!$B$4="Chapter Hunt"),CHOOSE(ArtifactsInput!$N$27+1,20,24,28,32,36,40),0)/100)))))/Skills!H8,1)))/Inputs!$B$43),G2104*Q2104)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8*((R2104-1)*IF(Skills!H8&gt;0,Skills!I8/Skills!H8,1)+IF(Skills!H8&gt;0,MIN(Skills!I8,MAX(0,MAX(0,Inputs!$B$43-B2132)-((R2104-1)*(IF(Inputs!$B$38="pvp",15,MAX(0.1,Skills!D8-IF(TRUE=TRUE,Inputs!$B$32,0)))*(1-IF(AND(ArtifactsInput!$M$27,Inputs!$B$4="Chapter Hunt"),CHOOSE(ArtifactsInput!$N$27+1,20,24,28,32,36,40),0)/100)))))/Skills!H8,1)))/Inputs!$B$43),G2104*Q2104))*IF(Inputs!$B$38="pvp",1,(1+(Inputs!$B$21+Skills!Q8+(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Skills!A9</f>
        <v/>
      </c>
      <c r="B2105">
        <f>Skills!B9</f>
        <v/>
      </c>
      <c r="C2105">
        <f>Inputs!$B$3&gt;=120</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B2137</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2116=TRUE)*(F2116-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IFERROR(1/(IF(Inputs!$B$38="pvp",15,MAX(0.1,Skills!D9-IF(TRUE=TRUE,Inputs!$B$32,0)))*(1-IF(AND(ArtifactsInput!$M$27,Inputs!$B$4="Chapter Hunt"),CHOOSE(ArtifactsInput!$N$27+1,20,24,28,32,36,40),0)/100)),0)</f>
        <v/>
      </c>
      <c r="R2105">
        <f>IF(AND(Inputs!$B$38&lt;&gt;"pvp",Inputs!$B$43&gt;0),IF(MAX(0,Inputs!$B$43-B2132)&lt;=0,0,(INT(MAX(0,Inputs!$B$43-B2132)/(IF(Inputs!$B$38="pvp",15,MAX(0.1,Skills!D9-IF(TRUE=TRUE,Inputs!$B$32,0)))*(1-IF(AND(ArtifactsInput!$M$27,Inputs!$B$4="Chapter Hunt"),CHOOSE(ArtifactsInput!$N$27+1,20,24,28,32,36,40),0)/100)))+1)),0)</f>
        <v/>
      </c>
      <c r="S2105">
        <f>IFERROR(O2105/N2105,0)</f>
        <v/>
      </c>
      <c r="T2105">
        <f>IF(C2105,(H2105*N2105*IF(AND(Inputs!$B$38&lt;&gt;"pvp",Inputs!$B$43&gt;0),((Skills!G9*((R2105-1)*IF(Skills!H9&gt;0,Skills!I9/Skills!H9,1)+IF(Skills!H9&gt;0,MIN(Skills!I9,MAX(0,MAX(0,Inputs!$B$43-B2132)-((R2105-1)*(IF(Inputs!$B$38="pvp",15,MAX(0.1,Skills!D9-IF(TRUE=TRUE,Inputs!$B$32,0)))*(1-IF(AND(ArtifactsInput!$M$27,Inputs!$B$4="Chapter Hunt"),CHOOSE(ArtifactsInput!$N$27+1,20,24,28,32,36,40),0)/100)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2132)-((R2105-1)*(IF(Inputs!$B$38="pvp",15,MAX(0.1,Skills!D9-IF(TRUE=TRUE,Inputs!$B$32,0)))*(1-IF(AND(ArtifactsInput!$M$27,Inputs!$B$4="Chapter Hunt"),CHOOSE(ArtifactsInput!$N$27+1,20,24,28,32,36,40),0)/100)))))/Skills!H9,1)))/Inputs!$B$43),G2105*Q2105))*IF(Inputs!$B$38="pvp",1,(1+(Inputs!$B$21+Skills!Q9+(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Inputs!$B$3&gt;=105</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2116=TRUE)*(F2116-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IFERROR(1/(IF(Inputs!$B$38="pvp",15,MAX(0.1,Skills!D10-IF(TRUE=TRUE,Inputs!$B$32,0)))*(1-IF(AND(ArtifactsInput!$M$27,Inputs!$B$4="Chapter Hunt"),CHOOSE(ArtifactsInput!$N$27+1,20,24,28,32,36,40),0)/100)),0)</f>
        <v/>
      </c>
      <c r="R2106">
        <f>IF(AND(Inputs!$B$38&lt;&gt;"pvp",Inputs!$B$43&gt;0),IF(MAX(0,Inputs!$B$43-B2132)&lt;=0,0,(INT(MAX(0,Inputs!$B$43-B2132)/(IF(Inputs!$B$38="pvp",15,MAX(0.1,Skills!D10-IF(TRUE=TRUE,Inputs!$B$32,0)))*(1-IF(AND(ArtifactsInput!$M$27,Inputs!$B$4="Chapter Hunt"),CHOOSE(ArtifactsInput!$N$27+1,20,24,28,32,36,40),0)/100)))+1)),0)</f>
        <v/>
      </c>
      <c r="S2106">
        <f>IFERROR(O2106/N2106,0)</f>
        <v/>
      </c>
      <c r="T2106">
        <f>IF(C2106,(H2106*N2106*IF(AND(Inputs!$B$38&lt;&gt;"pvp",Inputs!$B$43&gt;0),((Skills!G10*((R2106-1)*IF(Skills!H10&gt;0,Skills!I10/Skills!H10,1)+IF(Skills!H10&gt;0,MIN(Skills!I10,MAX(0,MAX(0,Inputs!$B$43-B2132)-((R2106-1)*(IF(Inputs!$B$38="pvp",15,MAX(0.1,Skills!D10-IF(TRUE=TRUE,Inputs!$B$32,0)))*(1-IF(AND(ArtifactsInput!$M$27,Inputs!$B$4="Chapter Hunt"),CHOOSE(ArtifactsInput!$N$27+1,20,24,28,32,36,40),0)/100)))))/Skills!H10,1)))/Inputs!$B$43),G2106*Q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10*((R2106-1)*IF(Skills!H10&gt;0,Skills!I10/Skills!H10,1)+IF(Skills!H10&gt;0,MIN(Skills!I10,MAX(0,MAX(0,Inputs!$B$43-B2132)-((R2106-1)*(IF(Inputs!$B$38="pvp",15,MAX(0.1,Skills!D10-IF(TRUE=TRUE,Inputs!$B$32,0)))*(1-IF(AND(ArtifactsInput!$M$27,Inputs!$B$4="Chapter Hunt"),CHOOSE(ArtifactsInput!$N$27+1,20,24,28,32,36,40),0)/100)))))/Skills!H10,1)))/Inputs!$B$43),G2106*Q2106))*IF(Inputs!$B$38="pvp",1,(1+(Inputs!$B$21+Skills!Q10+(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Inputs!$B$3&gt;=113</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2116=TRUE)*(F2116-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t="n">
        <v>0</v>
      </c>
      <c r="R2107" t="n">
        <v>0</v>
      </c>
      <c r="S2107">
        <f>IFERROR(O2107/N2107,0)</f>
        <v/>
      </c>
      <c r="T2107">
        <f>IF(C2107,((H2107*B2138)/(1+Skills!H11*H2107*B2138)*N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IF(C2107,((H2107*B2138)/(1+Skills!H11*H2107*B2138)*N2107)*IF(Inputs!$B$38="pvp",1,(1+(Inputs!$B$21+Skills!Q11+(IF(ArtifactsInput!$M$33,CHOOSE(ArtifactsInput!$N$33+1,30,36,42,48,54,60),0))+(IF(AND(ArtifactsInput!$M$35,Inputs!$B$4&lt;&gt;"Chapter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Inputs!$B$3&gt;=100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t="inlineStr"/>
      <c r="H2108" t="inlineStr"/>
      <c r="I2108" t="inlineStr">
        <is>
          <t>1</t>
        </is>
      </c>
      <c r="J2108" t="inlineStr"/>
      <c r="K2108" t="inlineStr"/>
      <c r="L2108" t="inlineStr"/>
      <c r="M2108" t="inlineStr"/>
      <c r="N2108" t="inlineStr"/>
      <c r="O2108" t="inlineStr"/>
      <c r="P2108" t="inlineStr"/>
      <c r="Q2108" t="inlineStr"/>
      <c r="R2108" t="inlineStr"/>
      <c r="S2108" t="inlineStr"/>
      <c r="T2108" t="inlineStr"/>
      <c r="V2108" t="inlineStr"/>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IF(B2135=0,0,O2109/B2135)</f>
        <v/>
      </c>
      <c r="Q2109" t="n">
        <v>0</v>
      </c>
      <c r="R2109" t="n">
        <v>0</v>
      </c>
      <c r="S2109">
        <f>IFERROR(O2109/N2109,0)</f>
        <v/>
      </c>
      <c r="T2109" t="n">
        <v>0</v>
      </c>
      <c r="V2109" t="n">
        <v>0</v>
      </c>
    </row>
    <row r="2110">
      <c r="A2110">
        <f>Skills!A14</f>
        <v/>
      </c>
      <c r="B2110">
        <f>Skills!B14</f>
        <v/>
      </c>
      <c r="C2110">
        <f>Inputs!$B$3&gt;=115</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IF(B2135=0,0,O2110/B2135)</f>
        <v/>
      </c>
      <c r="Q2110">
        <f>IFERROR(1/(IF(Inputs!$B$38="pvp",15,MAX(0.1,Skills!D14-IF(TRUE=TRUE,Inputs!$B$32,0)))*(1-IF(AND(ArtifactsInput!$M$27,Inputs!$B$4="Chapter Hunt"),CHOOSE(ArtifactsInput!$N$27+1,20,24,28,32,36,40),0)/100)),0)</f>
        <v/>
      </c>
      <c r="R2110">
        <f>IF(AND(Inputs!$B$38&lt;&gt;"pvp",Inputs!$B$43&gt;0),IF(Inputs!$B$43&lt;=0,0,(INT(Inputs!$B$43/(IF(Inputs!$B$38="pvp",15,MAX(0.1,Skills!D14-IF(TRUE=TRUE,Inputs!$B$32,0)))*(1-IF(AND(ArtifactsInput!$M$27,Inputs!$B$4="Chapter Hunt"),CHOOSE(ArtifactsInput!$N$27+1,20,24,28,32,36,40),0)/100)))+1)),0)</f>
        <v/>
      </c>
      <c r="S2110">
        <f>IFERROR(O2110/N2110,0)</f>
        <v/>
      </c>
      <c r="T2110" t="n">
        <v>0</v>
      </c>
      <c r="V2110" t="n">
        <v>0</v>
      </c>
    </row>
    <row r="2111">
      <c r="A2111">
        <f>Skills!A15</f>
        <v/>
      </c>
      <c r="B2111">
        <f>Skills!B15</f>
        <v/>
      </c>
      <c r="C2111">
        <f>Inputs!$B$3&gt;=125</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IF(B2135=0,0,O2111/B2135)</f>
        <v/>
      </c>
      <c r="Q2111">
        <f>IFERROR(1/(IF(Inputs!$B$38="pvp",15,MAX(0.1,Skills!D15-IF(TRUE=TRUE,Inputs!$B$32,0)))*(1-IF(AND(ArtifactsInput!$M$27,Inputs!$B$4="Chapter Hunt"),CHOOSE(ArtifactsInput!$N$27+1,20,24,28,32,36,40),0)/100)),0)</f>
        <v/>
      </c>
      <c r="R2111">
        <f>IF(AND(Inputs!$B$38&lt;&gt;"pvp",Inputs!$B$43&gt;0),IF(Inputs!$B$43&lt;=0,0,(INT(Inputs!$B$43/(IF(Inputs!$B$38="pvp",15,MAX(0.1,Skills!D15-IF(TRUE=TRUE,Inputs!$B$32,0)))*(1-IF(AND(ArtifactsInput!$M$27,Inputs!$B$4="Chapter Hunt"),CHOOSE(ArtifactsInput!$N$27+1,20,24,28,32,36,40),0)/100)))+1)),0)</f>
        <v/>
      </c>
      <c r="S2111">
        <f>IFERROR(O2111/N2111,0)</f>
        <v/>
      </c>
      <c r="T2111" t="n">
        <v>0</v>
      </c>
      <c r="V2111" t="n">
        <v>0</v>
      </c>
    </row>
    <row r="2112">
      <c r="A2112">
        <f>Skills!A16</f>
        <v/>
      </c>
      <c r="B2112">
        <f>Skills!B16</f>
        <v/>
      </c>
      <c r="C2112">
        <f>Inputs!$B$3&gt;=10</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Skills!A17</f>
        <v/>
      </c>
      <c r="B2113">
        <f>Skills!B17</f>
        <v/>
      </c>
      <c r="C2113">
        <f>Inputs!$B$3&gt;=15</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IF(B2135=0,0,O2113/B2135)</f>
        <v/>
      </c>
      <c r="Q2113" t="n">
        <v>0</v>
      </c>
      <c r="R2113" t="n">
        <v>0</v>
      </c>
      <c r="S2113">
        <f>IFERROR(O2113/N2113,0)</f>
        <v/>
      </c>
      <c r="T2113" t="n">
        <v>0</v>
      </c>
      <c r="V2113" t="n">
        <v>0</v>
      </c>
    </row>
    <row r="2114">
      <c r="A2114">
        <f>Skills!A18</f>
        <v/>
      </c>
      <c r="B2114">
        <f>Skills!B18</f>
        <v/>
      </c>
      <c r="C2114">
        <f>Inputs!$B$3&gt;=33</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IF(B2135=0,0,O2114/B2135)</f>
        <v/>
      </c>
      <c r="Q2114" t="n">
        <v>0</v>
      </c>
      <c r="R2114" t="n">
        <v>0</v>
      </c>
      <c r="S2114">
        <f>IFERROR(O2114/N2114,0)</f>
        <v/>
      </c>
      <c r="T2114" t="n">
        <v>0</v>
      </c>
      <c r="V2114" t="n">
        <v>0</v>
      </c>
    </row>
    <row r="2115">
      <c r="A2115">
        <f>Skills!A19</f>
        <v/>
      </c>
      <c r="B2115">
        <f>Skills!B19</f>
        <v/>
      </c>
      <c r="C2115">
        <f>Inputs!$B$3&gt;=40</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Skills!A20</f>
        <v/>
      </c>
      <c r="B2116">
        <f>Skills!B20</f>
        <v/>
      </c>
      <c r="C2116">
        <f>Inputs!$B$3&gt;=43</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Skills!A21</f>
        <v/>
      </c>
      <c r="B2117">
        <f>Skills!B21</f>
        <v/>
      </c>
      <c r="C2117">
        <f>Inputs!$B$3&gt;=38</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Skills!A22</f>
        <v/>
      </c>
      <c r="B2118">
        <f>Skills!B22</f>
        <v/>
      </c>
      <c r="C2118">
        <f>Inputs!$B$3&gt;=75</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Skills!A23</f>
        <v/>
      </c>
      <c r="B2119">
        <f>Skills!B23</f>
        <v/>
      </c>
      <c r="C2119">
        <f>TRUE</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IF(B2135=0,0,O2119/B2135)</f>
        <v/>
      </c>
      <c r="Q2119">
        <f>IFERROR(1/(IF(Inputs!$B$38="pvp",15,MAX(0.1,Skills!D23-IF(TRUE=TRUE,Inputs!$B$32,0)))*(1-IF(AND(ArtifactsInput!$M$27,Inputs!$B$4="Chapter Hunt"),CHOOSE(ArtifactsInput!$N$27+1,20,24,28,32,36,40),0)/100)),0)</f>
        <v/>
      </c>
      <c r="R2119">
        <f>IF(AND(Inputs!$B$38&lt;&gt;"pvp",Inputs!$B$43&gt;0),IF(Inputs!$B$43&lt;=0,0,(INT(Inputs!$B$43/(IF(Inputs!$B$38="pvp",15,MAX(0.1,Skills!D23-IF(TRUE=TRUE,Inputs!$B$32,0)))*(1-IF(AND(ArtifactsInput!$M$27,Inputs!$B$4="Chapter Hunt"),CHOOSE(ArtifactsInput!$N$27+1,20,24,28,32,36,40),0)/100)))+1)),0)</f>
        <v/>
      </c>
      <c r="S2119">
        <f>IFERROR(O2119/N2119,0)</f>
        <v/>
      </c>
      <c r="T2119" t="n">
        <v>0</v>
      </c>
      <c r="V2119" t="n">
        <v>0</v>
      </c>
    </row>
    <row r="2120">
      <c r="A2120">
        <f>Skills!A24</f>
        <v/>
      </c>
      <c r="B2120">
        <f>Skills!B24</f>
        <v/>
      </c>
      <c r="C2120">
        <f>Inputs!$B$3&gt;=107</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IF(B2135=0,0,O2120/B2135)</f>
        <v/>
      </c>
      <c r="Q2120">
        <f>IFERROR(1/(IF(Inputs!$B$38="pvp",15,MAX(0.1,Skills!D24-IF(TRUE=TRUE,Inputs!$B$32,0)))*(1-IF(AND(ArtifactsInput!$M$27,Inputs!$B$4="Chapter Hunt"),CHOOSE(ArtifactsInput!$N$27+1,20,24,28,32,36,40),0)/100)),0)</f>
        <v/>
      </c>
      <c r="R2120">
        <f>IF(AND(Inputs!$B$38&lt;&gt;"pvp",Inputs!$B$43&gt;0),IF(Inputs!$B$43&lt;=0,0,(INT(Inputs!$B$43/(IF(Inputs!$B$38="pvp",15,MAX(0.1,Skills!D24-IF(TRUE=TRUE,Inputs!$B$32,0)))*(1-IF(AND(ArtifactsInput!$M$27,Inputs!$B$4="Chapter Hunt"),CHOOSE(ArtifactsInput!$N$27+1,20,24,28,32,36,40),0)/100)))+1)),0)</f>
        <v/>
      </c>
      <c r="S2120">
        <f>IFERROR(O2120/N2120,0)</f>
        <v/>
      </c>
      <c r="T2120" t="n">
        <v>0</v>
      </c>
      <c r="V2120" t="n">
        <v>0</v>
      </c>
    </row>
    <row r="2121">
      <c r="A2121">
        <f>Skills!A25</f>
        <v/>
      </c>
      <c r="B2121">
        <f>Skills!B25</f>
        <v/>
      </c>
      <c r="C2121">
        <f>Inputs!$B$3&gt;=110</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t="inlineStr"/>
      <c r="H2121" t="inlineStr"/>
      <c r="I2121" t="inlineStr">
        <is>
          <t>1</t>
        </is>
      </c>
      <c r="J2121" t="inlineStr"/>
      <c r="K2121" t="inlineStr"/>
      <c r="L2121" t="inlineStr"/>
      <c r="M2121" t="inlineStr"/>
      <c r="N2121" t="inlineStr"/>
      <c r="O2121" t="inlineStr"/>
      <c r="P2121" t="inlineStr"/>
      <c r="Q2121" t="inlineStr"/>
      <c r="R2121" t="inlineStr"/>
      <c r="S2121" t="inlineStr"/>
      <c r="T2121" t="inlineStr"/>
      <c r="V2121" t="inlineStr"/>
    </row>
    <row r="2122">
      <c r="A2122">
        <f>Skills!A26</f>
        <v/>
      </c>
      <c r="B2122">
        <f>Skills!B26</f>
        <v/>
      </c>
      <c r="C2122">
        <f>Inputs!$B$3&gt;=117</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t="inlineStr"/>
      <c r="H2122" t="inlineStr"/>
      <c r="I2122" t="inlineStr">
        <is>
          <t>1</t>
        </is>
      </c>
      <c r="J2122" t="inlineStr"/>
      <c r="K2122" t="inlineStr"/>
      <c r="L2122" t="inlineStr"/>
      <c r="M2122" t="inlineStr"/>
      <c r="N2122" t="inlineStr"/>
      <c r="O2122" t="inlineStr"/>
      <c r="P2122" t="inlineStr"/>
      <c r="Q2122" t="inlineStr"/>
      <c r="R2122" t="inlineStr"/>
      <c r="S2122" t="inlineStr"/>
      <c r="T2122" t="inlineStr"/>
      <c r="V2122" t="inlineStr"/>
    </row>
    <row r="2124">
      <c r="A2124" t="inlineStr">
        <is>
          <t>Attack% Bucket Multiplier</t>
        </is>
      </c>
      <c r="B2124">
        <f>(1+(((C2109=TRUE)*F2109*5/7)+((C2115=TRUE)*(F2115-Calc!F19))+(IF(ArtifactsInput!$M$21,CHOOSE(ArtifactsInput!$N$21+1,25,30,35,40,45,50)*(IF(OR(Inputs!$B$4="Chapter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 Speed Infusion, duty-cycle averaged)</t>
        </is>
      </c>
      <c r="B2126">
        <f>((C2119=TRUE)*F2119*IF(AND(Inputs!$B$38&lt;&gt;"pvp",Inputs!$B$43&gt;0),(((R2119-1)*MIN((Skills!T23*(1+Inputs!$B$34/100)),(1/Q2119))+MIN((Skills!T23*(1+Inputs!$B$34/100)),MAX(0,Inputs!$B$43-((R2119-1)*(1/Q2119)))))/Inputs!$B$43),IF(Inputs!$B$38="pvp",MIN((Skills!T23*(1+Inputs!$B$34/100)),15)/15,MIN(1,(Skills!T23*(1+Inputs!$B$34/100))/(1/Q2119)))))+((C2120=TRUE)*F2120*IF(AND(Inputs!$B$38&lt;&gt;"pvp",Inputs!$B$43&gt;0),(((R2120-1)*MIN((Skills!T24*(1+Inputs!$B$34/100)),(1/Q2120))+MIN((Skills!T24*(1+Inputs!$B$34/100)),MAX(0,Inputs!$B$43-((R2120-1)*(1/Q2120)))))/Inputs!$B$43),IF(Inputs!$B$38="pvp",MIN((Skills!T24*(1+Inputs!$B$34/100)),15)/15,MIN(1,(Skills!T24*(1+Inputs!$B$34/100))/(1/Q2120)))))</f>
        <v/>
      </c>
    </row>
    <row r="2127">
      <c r="A2127" t="inlineStr">
        <is>
          <t>Actions Per Second</t>
        </is>
      </c>
      <c r="B2127">
        <f>1+MIN(150,150*(1-(1-(Inputs!$B$11+((C2113=TRUE)*(F2113-Calc!F17))+((C2114=TRUE)*(F2114-Calc!F18)))/150)*(1-B2126/150)))/100</f>
        <v/>
      </c>
    </row>
    <row r="2128">
      <c r="A2128" t="inlineStr">
        <is>
          <t>Skill + Buff Cast Rate</t>
        </is>
      </c>
      <c r="B2128">
        <f>IF(AND(Inputs!$B$38&lt;&gt;"pvp",Inputs!$B$43&gt;0),SUMPRODUCT((Skills!E2:E26=TRUE)*(C2098:C2122=TRUE)*R2098:R2122*Skills!F2:F26)/Inputs!$B$43,SUMPRODUCT((Skills!E2:E26=TRUE)*(C2098:C2122=TRUE)*Q2098:Q2122*Skills!F2:F26))</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2101=TRUE)*(F2101*B2137+4*(1-B2137)))+((C2110=TRUE)*F2110*IF(AND(Inputs!$B$38&lt;&gt;"pvp",Inputs!$B$43&gt;0),(((R2110-1)*MIN((Skills!T14*(1+Inputs!$B$34/100)),(1/Q2110))+MIN((Skills!T14*(1+Inputs!$B$34/100)),MAX(0,Inputs!$B$43-((R2110-1)*(1/Q2110)))))/Inputs!$B$43),IF(Inputs!$B$38="pvp",MIN((Skills!T14*(1+Inputs!$B$34/100)),15)/15,MIN(1,(Skills!T14*(1+Inputs!$B$34/100))/(1/Q2110)))))+((C2111=TRUE)*F2111*IF(AND(Inputs!$B$38&lt;&gt;"pvp",Inputs!$B$43&gt;0),(((R2111-1)*MIN((Skills!T15*(1+Inputs!$B$34/100)),(1/Q2111))+MIN((Skills!T15*(1+Inputs!$B$34/100)),MAX(0,Inputs!$B$43-((R2111-1)*(1/Q2111)))))/Inputs!$B$43),IF(Inputs!$B$38="pvp",MIN((Skills!T15*(1+Inputs!$B$34/100)),15)/15,MIN(1,(Skills!T15*(1+Inputs!$B$34/100))/(1/Q2111)))))+((C2120=TRUE)*20*((1+MIN(150,150*(1-(1-(Inputs!$B$11+((C2113=TRUE)*(F2113-Calc!F17))+((C2114=TRUE)*(F2114-Calc!F18)))/150)*(1-(((C2119=TRUE)*F2119*IF(AND(Inputs!$B$38&lt;&gt;"pvp",Inputs!$B$43&gt;0),(((R2119-1)*MIN((Skills!T23*(1+Inputs!$B$34/100)),(1/Q2119))+MIN((Skills!T23*(1+Inputs!$B$34/100)),MAX(0,Inputs!$B$43-((R2119-1)*(1/Q2119)))))/Inputs!$B$43),IF(Inputs!$B$38="pvp",MIN((Skills!T23*(1+Inputs!$B$34/100)),15)/15,MIN(1,(Skills!T23*(1+Inputs!$B$34/100))/(1/Q2119)))))+F2120)/150)))/100)-1)*IF(AND(Inputs!$B$38&lt;&gt;"pvp",Inputs!$B$43&gt;0),(((R2120-1)*MIN((Skills!T24*(1+Inputs!$B$34/100)),(1/Q2120))+MIN((Skills!T24*(1+Inputs!$B$34/100)),MAX(0,Inputs!$B$43-((R2120-1)*(1/Q2120)))))/Inputs!$B$43),IF(Inputs!$B$38="pvp",MIN((Skills!T24*(1+Inputs!$B$34/100)),15)/15,MIN(1,(Skills!T24*(1+Inputs!$B$34/100))/(1/Q2120)))))</f>
        <v/>
      </c>
    </row>
    <row r="2132">
      <c r="A2132" t="inlineStr">
        <is>
          <t>Buff-Casting Startup Delay (s, fixed-duration only)</t>
        </is>
      </c>
      <c r="B2132">
        <f>IF(AND(Inputs!$B$38&lt;&gt;"pvp",Inputs!$B$43&gt;0),SUMPRODUCT((Skills!T2:T26&gt;0)*(Skills!E2:E26=TRUE)*(C2098:C2122=TRUE))/B2127,0)</f>
        <v/>
      </c>
    </row>
    <row r="2133">
      <c r="A2133" t="inlineStr">
        <is>
          <t>Boss-Only Total DPS (this block's swept value)</t>
        </is>
      </c>
      <c r="B2133">
        <f>SUM(T2098:T2122)</f>
        <v/>
      </c>
    </row>
    <row r="2134">
      <c r="A2134" t="inlineStr">
        <is>
          <t>Normal-Only Total DPS (this block's swept value)</t>
        </is>
      </c>
      <c r="B2134">
        <f>SUM(V2098:V2122)</f>
        <v/>
      </c>
    </row>
    <row r="2135">
      <c r="A2135" s="6" t="inlineStr">
        <is>
          <t>TOTAL DPS</t>
        </is>
      </c>
      <c r="B2135" s="6">
        <f>SUM(O2098:O2122)</f>
        <v/>
      </c>
    </row>
    <row r="2136">
      <c r="A2136" t="inlineStr">
        <is>
          <t>Serpent activation interval T (this block's own Hook Bomber rate)</t>
        </is>
      </c>
      <c r="B2136">
        <f>((1/Q2099)+IFERROR(0.5/B2129,0))</f>
        <v/>
      </c>
    </row>
    <row r="2137">
      <c r="A2137" t="inlineStr">
        <is>
          <t>Assault Mode uptime u (this block)</t>
        </is>
      </c>
      <c r="B2137">
        <f>IF(C2101=TRUE,(10+IF(Inputs!$B$3&gt;=94,5,0))/((10+IF(Inputs!$B$3&gt;=94,5,0))+IF(Inputs!$B$3&gt;=104,3,5)*B2136),0)</f>
        <v/>
      </c>
    </row>
    <row r="2138">
      <c r="A2138" t="inlineStr">
        <is>
          <t>Nautilus Strike - Final Attack trigger rate (this block's own Q/R)</t>
        </is>
      </c>
      <c r="B2138">
        <f>IF(AND(Inputs!$B$38&lt;&gt;"pvp",Inputs!$B$43&gt;0),(((C2102=TRUE)*R2102)+((C2103=TRUE)*R2103)+((C2106=TRUE)*R2106))/Inputs!$B$43,((C2102=TRUE)*Q2102)+((C2103=TRUE)*Q2103)+((C2106=TRUE)*Q2106))+B2129</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20)),(Inputs!$B$23+0+(IF(ArtifactsInput!$M$15,CHOOSE(ArtifactsInput!$N$15+1,25,30,35,40,45,50)/100*(Inputs!$B$11-Inputs!$B$11),0))))/100+(Inputs!$B$23+0+(IF(ArtifactsInput!$M$15,CHOOSE(ArtifactsInput!$N$15+1,25,30,35,40,45,50)/100*(Inputs!$B$11-Inputs!$B$11),0)))/100)/2</f>
        <v/>
      </c>
      <c r="M2143">
        <f>L2143*(1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t="n">
        <v>0</v>
      </c>
      <c r="R2143" t="n">
        <v>0</v>
      </c>
      <c r="S2143">
        <f>IFERROR(O2143/N2143,0)</f>
        <v/>
      </c>
      <c r="T2143">
        <f>IF(C2143,(Skills!G2*N2143*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Inputs!$B$3&gt;=35</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f>Skills!G3*IF(Skills!H3&gt;0,Skills!I3/Skills!H3,1)</f>
        <v/>
      </c>
      <c r="H2144">
        <f>1-(1-Skills!J3/100)^Skills!K3</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2166=TRUE,F2166,0)/100)*(1+(IF(Skills!A3="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20)),(Inputs!$B$23+0+(IF(ArtifactsInput!$M$15,CHOOSE(ArtifactsInput!$N$15+1,25,30,35,40,45,50)/100*(Inputs!$B$11-Inputs!$B$11),0))))/100+(Inputs!$B$23+0+(IF(ArtifactsInput!$M$15,CHOOSE(ArtifactsInput!$N$15+1,25,30,35,40,45,50)/100*(Inputs!$B$11-Inputs!$B$11),0)))/100)/2</f>
        <v/>
      </c>
      <c r="M2144">
        <f>L2144*(1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IFERROR(1/(IF(Inputs!$B$38="pvp",15,MAX(0.1,Skills!D3-IF(TRUE=TRUE,Inputs!$B$32,0)))*(1-IF(AND(IF(ArtifactsInput!$M$27,FALSE,TRUE),Inputs!$B$4="Chapter Hunt"),CHOOSE(ArtifactsInput!$N$27+1,20,24,28,32,36,40),0)/100)),0)</f>
        <v/>
      </c>
      <c r="R2144">
        <f>IF(AND(Inputs!$B$38&lt;&gt;"pvp",Inputs!$B$43&gt;0),IF(MAX(0,Inputs!$B$43-B2177)&lt;=0,0,(INT(MAX(0,Inputs!$B$43-B2177)/(IF(Inputs!$B$38="pvp",15,MAX(0.1,Skills!D3-IF(TRUE=TRUE,Inputs!$B$32,0)))*(1-IF(AND(IF(ArtifactsInput!$M$27,FALSE,TRUE),Inputs!$B$4="Chapter Hunt"),CHOOSE(ArtifactsInput!$N$27+1,20,24,28,32,36,40),0)/100)))+1)),0)</f>
        <v/>
      </c>
      <c r="S2144">
        <f>IFERROR(O2144/N2144,0)</f>
        <v/>
      </c>
      <c r="T2144">
        <f>IF(C2144,(Skills!G3*N2144*IF(C2145=TRUE,1-B2182,1)/B2181)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INDEX(FactorTable!$B$2:$Y$301, MATCH(ROUND(MIN(300,MAX(1,U2143)),0), FactorTable!$A$2:$A$301,0), 22)</f>
        <v/>
      </c>
      <c r="V2144">
        <f>IF(C2144,(Skills!G3*N2144*IF(C2145=TRUE,1-B2182,1)/B2181)*IF(Inputs!$B$38="pvp",1,(1+(Inputs!$B$21+Skills!Q3+(IF(ArtifactsInput!$M$33,CHOOSE(ArtifactsInput!$N$33+1,30,36,42,48,54,60),0))+(IF(AND(ArtifactsInput!$M$35,Inputs!$B$4&lt;&gt;"Chapter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Skills!A4</f>
        <v/>
      </c>
      <c r="B2145">
        <f>Skills!B4</f>
        <v/>
      </c>
      <c r="C2145">
        <f>Inputs!$B$3&gt;=69</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f>Skills!G4*IF(Skills!H4&gt;0,Skills!I4/Skills!H4,1)</f>
        <v/>
      </c>
      <c r="H2145">
        <f>1-(1-Skills!J4/100)^Skills!K4</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2153=TRUE,F2153,0)/100)*(1+(IF(Skills!A4="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20)),(Inputs!$B$23+0+(IF(ArtifactsInput!$M$15,CHOOSE(ArtifactsInput!$N$15+1,25,30,35,40,45,50)/100*(Inputs!$B$11-Inputs!$B$11),0))))/100+(Inputs!$B$23+0+(IF(ArtifactsInput!$M$15,CHOOSE(ArtifactsInput!$N$15+1,25,30,35,40,45,50)/100*(Inputs!$B$11-Inputs!$B$11),0)))/100)/2</f>
        <v/>
      </c>
      <c r="M2145">
        <f>L2145*(1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t="n">
        <v>0</v>
      </c>
      <c r="R2145" t="n">
        <v>0</v>
      </c>
      <c r="S2145">
        <f>IFERROR(O2145/N2145,0)</f>
        <v/>
      </c>
      <c r="T2145">
        <f>IF(C2145,(Skills!G4*N2145*B2182/B2181)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290*U2144/1000</f>
        <v/>
      </c>
      <c r="V2145">
        <f>IF(C2145,(Skills!G4*N2145*B2182/B2181)*IF(Inputs!$B$38="pvp",1,(1+(Inputs!$B$21+Skills!Q4+(IF(ArtifactsInput!$M$33,CHOOSE(ArtifactsInput!$N$33+1,30,36,42,48,54,60),0))+(IF(AND(ArtifactsInput!$M$35,Inputs!$B$4&lt;&gt;"Chapter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Skills!A5</f>
        <v/>
      </c>
      <c r="B2146">
        <f>Skills!B5</f>
        <v/>
      </c>
      <c r="C2146">
        <f>Inputs!$B$3&gt;=66</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t="inlineStr"/>
      <c r="K2146" t="inlineStr"/>
      <c r="L2146" t="inlineStr"/>
      <c r="M2146" t="inlineStr"/>
      <c r="N2146" t="inlineStr"/>
      <c r="O2146">
        <f>(1-Summary!$B$11)*T2146+Summary!$B$11*V2146</f>
        <v/>
      </c>
      <c r="P2146">
        <f>IF(B2180=0,0,O2146/B2180)</f>
        <v/>
      </c>
      <c r="Q2146" t="n">
        <v>0</v>
      </c>
      <c r="R2146" t="n">
        <v>0</v>
      </c>
      <c r="S2146">
        <f>IFERROR(O2146/N2146,0)</f>
        <v/>
      </c>
      <c r="T2146" t="n">
        <v>0</v>
      </c>
      <c r="V2146" t="n">
        <v>0</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2153=TRUE,F2153,0)/100)*(1+(IF(Skills!A6="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20)),(Inputs!$B$23+0+(IF(ArtifactsInput!$M$15,CHOOSE(ArtifactsInput!$N$15+1,25,30,35,40,45,50)/100*(Inputs!$B$11-Inputs!$B$11),0))))/100+(Inputs!$B$23+0+(IF(ArtifactsInput!$M$15,CHOOSE(ArtifactsInput!$N$15+1,25,30,35,40,45,50)/100*(Inputs!$B$11-Inputs!$B$11),0)))/100)/2</f>
        <v/>
      </c>
      <c r="M2147">
        <f>L2147*(1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IFERROR(1/(IF(Inputs!$B$38="pvp",15,MAX(0.1,Skills!D6-IF(TRUE=TRUE,Inputs!$B$32,0)))*(1-IF(AND(IF(ArtifactsInput!$M$27,FALSE,TRUE),Inputs!$B$4="Chapter Hunt"),CHOOSE(ArtifactsInput!$N$27+1,20,24,28,32,36,40),0)/100)),0)</f>
        <v/>
      </c>
      <c r="R2147">
        <f>IF(AND(Inputs!$B$38&lt;&gt;"pvp",Inputs!$B$43&gt;0),IF(MAX(0,Inputs!$B$43-B2177)&lt;=0,0,(INT(MAX(0,Inputs!$B$43-B2177)/(IF(Inputs!$B$38="pvp",15,MAX(0.1,Skills!D6-IF(TRUE=TRUE,Inputs!$B$32,0)))*(1-IF(AND(IF(ArtifactsInput!$M$27,FALSE,TRUE),Inputs!$B$4="Chapter Hunt"),CHOOSE(ArtifactsInput!$N$27+1,20,24,28,32,36,40),0)/100)))+1)),0)</f>
        <v/>
      </c>
      <c r="S2147">
        <f>IFERROR(O2147/N2147,0)</f>
        <v/>
      </c>
      <c r="T2147">
        <f>IF(C2147,(H2147*N2147*IF(AND(Inputs!$B$38&lt;&gt;"pvp",Inputs!$B$43&gt;0),((Skills!G6*((R2147-1)*IF(Skills!H6&gt;0,Skills!I6/Skills!H6,1)+IF(Skills!H6&gt;0,MIN(Skills!I6,MAX(0,MAX(0,Inputs!$B$43-B2177)-((R2147-1)*(IF(Inputs!$B$38="pvp",15,MAX(0.1,Skills!D6-IF(TRUE=TRUE,Inputs!$B$32,0)))*(1-IF(AND(IF(ArtifactsInput!$M$27,FALSE,TRUE),Inputs!$B$4="Chapter Hunt"),CHOOSE(ArtifactsInput!$N$27+1,20,24,28,32,36,40),0)/100)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2177)-((R2147-1)*(IF(Inputs!$B$38="pvp",15,MAX(0.1,Skills!D6-IF(TRUE=TRUE,Inputs!$B$32,0)))*(1-IF(AND(IF(ArtifactsInput!$M$27,FALSE,TRUE),Inputs!$B$4="Chapter Hunt"),CHOOSE(ArtifactsInput!$N$27+1,20,24,28,32,36,40),0)/100)))))/Skills!H6,1)))/Inputs!$B$43),G2147*Q2147))*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Inputs!$B$3&gt;=103</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20)),(Inputs!$B$23+0+(IF(ArtifactsInput!$M$15,CHOOSE(ArtifactsInput!$N$15+1,25,30,35,40,45,50)/100*(Inputs!$B$11-Inputs!$B$11),0))))/100+(Inputs!$B$23+0+(IF(ArtifactsInput!$M$15,CHOOSE(ArtifactsInput!$N$15+1,25,30,35,40,45,50)/100*(Inputs!$B$11-Inputs!$B$11),0)))/100)/2</f>
        <v/>
      </c>
      <c r="M2148">
        <f>L2148*(1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IFERROR(1/(IF(Inputs!$B$38="pvp",15,MAX(0.1,Skills!D7-IF(TRUE=TRUE,Inputs!$B$32,0)))*(1-IF(AND(IF(ArtifactsInput!$M$27,FALSE,TRUE),Inputs!$B$4="Chapter Hunt"),CHOOSE(ArtifactsInput!$N$27+1,20,24,28,32,36,40),0)/100)),0)</f>
        <v/>
      </c>
      <c r="R2148">
        <f>IF(AND(Inputs!$B$38&lt;&gt;"pvp",Inputs!$B$43&gt;0),IF(MAX(0,Inputs!$B$43-B2177)&lt;=0,0,(INT(MAX(0,Inputs!$B$43-B2177)/(IF(Inputs!$B$38="pvp",15,MAX(0.1,Skills!D7-IF(TRUE=TRUE,Inputs!$B$32,0)))*(1-IF(AND(IF(ArtifactsInput!$M$27,FALSE,TRUE),Inputs!$B$4="Chapter Hunt"),CHOOSE(ArtifactsInput!$N$27+1,20,24,28,32,36,40),0)/100)))+1)),0)</f>
        <v/>
      </c>
      <c r="S2148">
        <f>IFERROR(O2148/N2148,0)</f>
        <v/>
      </c>
      <c r="T2148">
        <f>IF(C2148,(H2148*N2148*IF(AND(Inputs!$B$38&lt;&gt;"pvp",Inputs!$B$43&gt;0),((Skills!G7*((R2148-1)*IF(Skills!H7&gt;0,Skills!I7/Skills!H7,1)+IF(Skills!H7&gt;0,MIN(Skills!I7,MAX(0,MAX(0,Inputs!$B$43-B2177)-((R2148-1)*(IF(Inputs!$B$38="pvp",15,MAX(0.1,Skills!D7-IF(TRUE=TRUE,Inputs!$B$32,0)))*(1-IF(AND(IF(ArtifactsInput!$M$27,FALSE,TRUE),Inputs!$B$4="Chapter Hunt"),CHOOSE(ArtifactsInput!$N$27+1,20,24,28,32,36,40),0)/100)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2177)-((R2148-1)*(IF(Inputs!$B$38="pvp",15,MAX(0.1,Skills!D7-IF(TRUE=TRUE,Inputs!$B$32,0)))*(1-IF(AND(IF(ArtifactsInput!$M$27,FALSE,TRUE),Inputs!$B$4="Chapter Hunt"),CHOOSE(ArtifactsInput!$N$27+1,20,24,28,32,36,40),0)/100)))))/Skills!H7,1)))/Inputs!$B$43),G2148*Q2148))*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Inputs!$B$3&gt;=117</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Skills!G8*IF(Skills!H8&gt;0,Skills!I8/Skills!H8,1)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20)),(Inputs!$B$23+0+(IF(ArtifactsInput!$M$15,CHOOSE(ArtifactsInput!$N$15+1,25,30,35,40,45,50)/100*(Inputs!$B$11-Inputs!$B$11),0))))/100+(Inputs!$B$23+0+(IF(ArtifactsInput!$M$15,CHOOSE(ArtifactsInput!$N$15+1,25,30,35,40,45,50)/100*(Inputs!$B$11-Inputs!$B$11),0)))/100)/2</f>
        <v/>
      </c>
      <c r="M2149">
        <f>L2149*(1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IFERROR(1/(IF(Inputs!$B$38="pvp",15,MAX(0.1,Skills!D8-IF(TRUE=TRUE,Inputs!$B$32,0)))*(1-IF(AND(IF(ArtifactsInput!$M$27,FALSE,TRUE),Inputs!$B$4="Chapter Hunt"),CHOOSE(ArtifactsInput!$N$27+1,20,24,28,32,36,40),0)/100)),0)</f>
        <v/>
      </c>
      <c r="R2149">
        <f>IF(AND(Inputs!$B$38&lt;&gt;"pvp",Inputs!$B$43&gt;0),IF(MAX(0,Inputs!$B$43-B2177)&lt;=0,0,(INT(MAX(0,Inputs!$B$43-B2177)/(IF(Inputs!$B$38="pvp",15,MAX(0.1,Skills!D8-IF(TRUE=TRUE,Inputs!$B$32,0)))*(1-IF(AND(IF(ArtifactsInput!$M$27,FALSE,TRUE),Inputs!$B$4="Chapter Hunt"),CHOOSE(ArtifactsInput!$N$27+1,20,24,28,32,36,40),0)/100)))+1)),0)</f>
        <v/>
      </c>
      <c r="S2149">
        <f>IFERROR(O2149/N2149,0)</f>
        <v/>
      </c>
      <c r="T2149">
        <f>IF(C2149,(H2149*N2149*IF(AND(Inputs!$B$38&lt;&gt;"pvp",Inputs!$B$43&gt;0),((Skills!G8*((R2149-1)*IF(Skills!H8&gt;0,Skills!I8/Skills!H8,1)+IF(Skills!H8&gt;0,MIN(Skills!I8,MAX(0,MAX(0,Inputs!$B$43-B2177)-((R2149-1)*(IF(Inputs!$B$38="pvp",15,MAX(0.1,Skills!D8-IF(TRUE=TRUE,Inputs!$B$32,0)))*(1-IF(AND(IF(ArtifactsInput!$M$27,FALSE,TRUE),Inputs!$B$4="Chapter Hunt"),CHOOSE(ArtifactsInput!$N$27+1,20,24,28,32,36,40),0)/100)))))/Skills!H8,1)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Skills!I8/Skills!H8,1)+IF(Skills!H8&gt;0,MIN(Skills!I8,MAX(0,MAX(0,Inputs!$B$43-B2177)-((R2149-1)*(IF(Inputs!$B$38="pvp",15,MAX(0.1,Skills!D8-IF(TRUE=TRUE,Inputs!$B$32,0)))*(1-IF(AND(IF(ArtifactsInput!$M$27,FALSE,TRUE),Inputs!$B$4="Chapter Hunt"),CHOOSE(ArtifactsInput!$N$27+1,20,24,28,32,36,40),0)/100)))))/Skills!H8,1)))/Inputs!$B$43),G2149*Q2149))*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Inputs!$B$3&gt;=120</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B2182</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20)),(Inputs!$B$23+0+(IF(ArtifactsInput!$M$15,CHOOSE(ArtifactsInput!$N$15+1,25,30,35,40,45,50)/100*(Inputs!$B$11-Inputs!$B$11),0))))/100+(Inputs!$B$23+0+(IF(ArtifactsInput!$M$15,CHOOSE(ArtifactsInput!$N$15+1,25,30,35,40,45,50)/100*(Inputs!$B$11-Inputs!$B$11),0)))/100)/2</f>
        <v/>
      </c>
      <c r="M2150">
        <f>L2150*(1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IFERROR(1/(IF(Inputs!$B$38="pvp",15,MAX(0.1,Skills!D9-IF(TRUE=TRUE,Inputs!$B$32,0)))*(1-IF(AND(IF(ArtifactsInput!$M$27,FALSE,TRUE),Inputs!$B$4="Chapter Hunt"),CHOOSE(ArtifactsInput!$N$27+1,20,24,28,32,36,40),0)/100)),0)</f>
        <v/>
      </c>
      <c r="R2150">
        <f>IF(AND(Inputs!$B$38&lt;&gt;"pvp",Inputs!$B$43&gt;0),IF(MAX(0,Inputs!$B$43-B2177)&lt;=0,0,(INT(MAX(0,Inputs!$B$43-B2177)/(IF(Inputs!$B$38="pvp",15,MAX(0.1,Skills!D9-IF(TRUE=TRUE,Inputs!$B$32,0)))*(1-IF(AND(IF(ArtifactsInput!$M$27,FALSE,TRUE),Inputs!$B$4="Chapter Hunt"),CHOOSE(ArtifactsInput!$N$27+1,20,24,28,32,36,40),0)/100)))+1)),0)</f>
        <v/>
      </c>
      <c r="S2150">
        <f>IFERROR(O2150/N2150,0)</f>
        <v/>
      </c>
      <c r="T2150">
        <f>IF(C2150,(H2150*N2150*IF(AND(Inputs!$B$38&lt;&gt;"pvp",Inputs!$B$43&gt;0),((Skills!G9*((R2150-1)*IF(Skills!H9&gt;0,Skills!I9/Skills!H9,1)+IF(Skills!H9&gt;0,MIN(Skills!I9,MAX(0,MAX(0,Inputs!$B$43-B2177)-((R2150-1)*(IF(Inputs!$B$38="pvp",15,MAX(0.1,Skills!D9-IF(TRUE=TRUE,Inputs!$B$32,0)))*(1-IF(AND(IF(ArtifactsInput!$M$27,FALSE,TRUE),Inputs!$B$4="Chapter Hunt"),CHOOSE(ArtifactsInput!$N$27+1,20,24,28,32,36,40),0)/100)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2177)-((R2150-1)*(IF(Inputs!$B$38="pvp",15,MAX(0.1,Skills!D9-IF(TRUE=TRUE,Inputs!$B$32,0)))*(1-IF(AND(IF(ArtifactsInput!$M$27,FALSE,TRUE),Inputs!$B$4="Chapter Hunt"),CHOOSE(ArtifactsInput!$N$27+1,20,24,28,32,36,40),0)/100)))))/Skills!H9,1)))/Inputs!$B$43),G2150*Q2150))*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Inputs!$B$3&gt;=105</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20)),(Inputs!$B$23+0+(IF(ArtifactsInput!$M$15,CHOOSE(ArtifactsInput!$N$15+1,25,30,35,40,45,50)/100*(Inputs!$B$11-Inputs!$B$11),0))))/100+(Inputs!$B$23+0+(IF(ArtifactsInput!$M$15,CHOOSE(ArtifactsInput!$N$15+1,25,30,35,40,45,50)/100*(Inputs!$B$11-Inputs!$B$11),0)))/100)/2</f>
        <v/>
      </c>
      <c r="M2151">
        <f>L2151*(1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IFERROR(1/(IF(Inputs!$B$38="pvp",15,MAX(0.1,Skills!D10-IF(TRUE=TRUE,Inputs!$B$32,0)))*(1-IF(AND(IF(ArtifactsInput!$M$27,FALSE,TRUE),Inputs!$B$4="Chapter Hunt"),CHOOSE(ArtifactsInput!$N$27+1,20,24,28,32,36,40),0)/100)),0)</f>
        <v/>
      </c>
      <c r="R2151">
        <f>IF(AND(Inputs!$B$38&lt;&gt;"pvp",Inputs!$B$43&gt;0),IF(MAX(0,Inputs!$B$43-B2177)&lt;=0,0,(INT(MAX(0,Inputs!$B$43-B2177)/(IF(Inputs!$B$38="pvp",15,MAX(0.1,Skills!D10-IF(TRUE=TRUE,Inputs!$B$32,0)))*(1-IF(AND(IF(ArtifactsInput!$M$27,FALSE,TRUE),Inputs!$B$4="Chapter Hunt"),CHOOSE(ArtifactsInput!$N$27+1,20,24,28,32,36,40),0)/100)))+1)),0)</f>
        <v/>
      </c>
      <c r="S2151">
        <f>IFERROR(O2151/N2151,0)</f>
        <v/>
      </c>
      <c r="T2151">
        <f>IF(C2151,(H2151*N2151*IF(AND(Inputs!$B$38&lt;&gt;"pvp",Inputs!$B$43&gt;0),((Skills!G10*((R2151-1)*IF(Skills!H10&gt;0,Skills!I10/Skills!H10,1)+IF(Skills!H10&gt;0,MIN(Skills!I10,MAX(0,MAX(0,Inputs!$B$43-B2177)-((R2151-1)*(IF(Inputs!$B$38="pvp",15,MAX(0.1,Skills!D10-IF(TRUE=TRUE,Inputs!$B$32,0)))*(1-IF(AND(IF(ArtifactsInput!$M$27,FALSE,TRUE),Inputs!$B$4="Chapter Hunt"),CHOOSE(ArtifactsInput!$N$27+1,20,24,28,32,36,40),0)/100)))))/Skills!H10,1)))/Inputs!$B$43),G2151*Q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10*((R2151-1)*IF(Skills!H10&gt;0,Skills!I10/Skills!H10,1)+IF(Skills!H10&gt;0,MIN(Skills!I10,MAX(0,MAX(0,Inputs!$B$43-B2177)-((R2151-1)*(IF(Inputs!$B$38="pvp",15,MAX(0.1,Skills!D10-IF(TRUE=TRUE,Inputs!$B$32,0)))*(1-IF(AND(IF(ArtifactsInput!$M$27,FALSE,TRUE),Inputs!$B$4="Chapter Hunt"),CHOOSE(ArtifactsInput!$N$27+1,20,24,28,32,36,40),0)/100)))))/Skills!H10,1)))/Inputs!$B$43),G2151*Q2151))*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Inputs!$B$3&gt;=113</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20)),(Inputs!$B$23+0+(IF(ArtifactsInput!$M$15,CHOOSE(ArtifactsInput!$N$15+1,25,30,35,40,45,50)/100*(Inputs!$B$11-Inputs!$B$11),0))))/100+(Inputs!$B$23+0+(IF(ArtifactsInput!$M$15,CHOOSE(ArtifactsInput!$N$15+1,25,30,35,40,45,50)/100*(Inputs!$B$11-Inputs!$B$11),0)))/100)/2</f>
        <v/>
      </c>
      <c r="M2152">
        <f>L2152*(1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t="n">
        <v>0</v>
      </c>
      <c r="R2152" t="n">
        <v>0</v>
      </c>
      <c r="S2152">
        <f>IFERROR(O2152/N2152,0)</f>
        <v/>
      </c>
      <c r="T2152">
        <f>IF(C2152,((H2152*B2183)/(1+Skills!H11*H2152*B2183)*N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IF(C2152,((H2152*B2183)/(1+Skills!H11*H2152*B2183)*N2152)*IF(Inputs!$B$38="pvp",1,(1+(Inputs!$B$21+Skills!Q11+(IF(ArtifactsInput!$M$33,CHOOSE(ArtifactsInput!$N$33+1,30,36,42,48,54,60),0))+(IF(AND(ArtifactsInput!$M$35,Inputs!$B$4&lt;&gt;"Chapter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Inputs!$B$3&gt;=100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t="inlineStr"/>
      <c r="H2153" t="inlineStr"/>
      <c r="I2153" t="inlineStr">
        <is>
          <t>1</t>
        </is>
      </c>
      <c r="J2153" t="inlineStr"/>
      <c r="K2153" t="inlineStr"/>
      <c r="L2153" t="inlineStr"/>
      <c r="M2153" t="inlineStr"/>
      <c r="N2153" t="inlineStr"/>
      <c r="O2153" t="inlineStr"/>
      <c r="P2153" t="inlineStr"/>
      <c r="Q2153" t="inlineStr"/>
      <c r="R2153" t="inlineStr"/>
      <c r="S2153" t="inlineStr"/>
      <c r="T2153" t="inlineStr"/>
      <c r="V2153" t="inlineStr"/>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IF(B2180=0,0,O2154/B2180)</f>
        <v/>
      </c>
      <c r="Q2154" t="n">
        <v>0</v>
      </c>
      <c r="R2154" t="n">
        <v>0</v>
      </c>
      <c r="S2154">
        <f>IFERROR(O2154/N2154,0)</f>
        <v/>
      </c>
      <c r="T2154" t="n">
        <v>0</v>
      </c>
      <c r="V2154" t="n">
        <v>0</v>
      </c>
    </row>
    <row r="2155">
      <c r="A2155">
        <f>Skills!A14</f>
        <v/>
      </c>
      <c r="B2155">
        <f>Skills!B14</f>
        <v/>
      </c>
      <c r="C2155">
        <f>Inputs!$B$3&gt;=115</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IF(B2180=0,0,O2155/B2180)</f>
        <v/>
      </c>
      <c r="Q2155">
        <f>IFERROR(1/(IF(Inputs!$B$38="pvp",15,MAX(0.1,Skills!D14-IF(TRUE=TRUE,Inputs!$B$32,0)))*(1-IF(AND(IF(ArtifactsInput!$M$27,FALSE,TRUE),Inputs!$B$4="Chapter Hunt"),CHOOSE(ArtifactsInput!$N$27+1,20,24,28,32,36,40),0)/100)),0)</f>
        <v/>
      </c>
      <c r="R2155">
        <f>IF(AND(Inputs!$B$38&lt;&gt;"pvp",Inputs!$B$43&gt;0),IF(Inputs!$B$43&lt;=0,0,(INT(Inputs!$B$43/(IF(Inputs!$B$38="pvp",15,MAX(0.1,Skills!D14-IF(TRUE=TRUE,Inputs!$B$32,0)))*(1-IF(AND(IF(ArtifactsInput!$M$27,FALSE,TRUE),Inputs!$B$4="Chapter Hunt"),CHOOSE(ArtifactsInput!$N$27+1,20,24,28,32,36,40),0)/100)))+1)),0)</f>
        <v/>
      </c>
      <c r="S2155">
        <f>IFERROR(O2155/N2155,0)</f>
        <v/>
      </c>
      <c r="T2155" t="n">
        <v>0</v>
      </c>
      <c r="V2155" t="n">
        <v>0</v>
      </c>
    </row>
    <row r="2156">
      <c r="A2156">
        <f>Skills!A15</f>
        <v/>
      </c>
      <c r="B2156">
        <f>Skills!B15</f>
        <v/>
      </c>
      <c r="C2156">
        <f>Inputs!$B$3&gt;=125</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IF(B2180=0,0,O2156/B2180)</f>
        <v/>
      </c>
      <c r="Q2156">
        <f>IFERROR(1/(IF(Inputs!$B$38="pvp",15,MAX(0.1,Skills!D15-IF(TRUE=TRUE,Inputs!$B$32,0)))*(1-IF(AND(IF(ArtifactsInput!$M$27,FALSE,TRUE),Inputs!$B$4="Chapter Hunt"),CHOOSE(ArtifactsInput!$N$27+1,20,24,28,32,36,40),0)/100)),0)</f>
        <v/>
      </c>
      <c r="R2156">
        <f>IF(AND(Inputs!$B$38&lt;&gt;"pvp",Inputs!$B$43&gt;0),IF(Inputs!$B$43&lt;=0,0,(INT(Inputs!$B$43/(IF(Inputs!$B$38="pvp",15,MAX(0.1,Skills!D15-IF(TRUE=TRUE,Inputs!$B$32,0)))*(1-IF(AND(IF(ArtifactsInput!$M$27,FALSE,TRUE),Inputs!$B$4="Chapter Hunt"),CHOOSE(ArtifactsInput!$N$27+1,20,24,28,32,36,40),0)/100)))+1)),0)</f>
        <v/>
      </c>
      <c r="S2156">
        <f>IFERROR(O2156/N2156,0)</f>
        <v/>
      </c>
      <c r="T2156" t="n">
        <v>0</v>
      </c>
      <c r="V2156" t="n">
        <v>0</v>
      </c>
    </row>
    <row r="2157">
      <c r="A2157">
        <f>Skills!A16</f>
        <v/>
      </c>
      <c r="B2157">
        <f>Skills!B16</f>
        <v/>
      </c>
      <c r="C2157">
        <f>Inputs!$B$3&gt;=10</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Skills!A17</f>
        <v/>
      </c>
      <c r="B2158">
        <f>Skills!B17</f>
        <v/>
      </c>
      <c r="C2158">
        <f>Inputs!$B$3&gt;=15</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Skills!A18</f>
        <v/>
      </c>
      <c r="B2159">
        <f>Skills!B18</f>
        <v/>
      </c>
      <c r="C2159">
        <f>Inputs!$B$3&gt;=33</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Skills!A19</f>
        <v/>
      </c>
      <c r="B2160">
        <f>Skills!B19</f>
        <v/>
      </c>
      <c r="C2160">
        <f>Inputs!$B$3&gt;=40</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Skills!A20</f>
        <v/>
      </c>
      <c r="B2161">
        <f>Skills!B20</f>
        <v/>
      </c>
      <c r="C2161">
        <f>Inputs!$B$3&gt;=43</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Skills!A21</f>
        <v/>
      </c>
      <c r="B2162">
        <f>Skills!B21</f>
        <v/>
      </c>
      <c r="C2162">
        <f>Inputs!$B$3&gt;=38</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Skills!A22</f>
        <v/>
      </c>
      <c r="B2163">
        <f>Skills!B22</f>
        <v/>
      </c>
      <c r="C2163">
        <f>Inputs!$B$3&gt;=75</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Skills!A23</f>
        <v/>
      </c>
      <c r="B2164">
        <f>Skills!B23</f>
        <v/>
      </c>
      <c r="C2164">
        <f>TRUE</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IF(B2180=0,0,O2164/B2180)</f>
        <v/>
      </c>
      <c r="Q2164">
        <f>IFERROR(1/(IF(Inputs!$B$38="pvp",15,MAX(0.1,Skills!D23-IF(TRUE=TRUE,Inputs!$B$32,0)))*(1-IF(AND(IF(ArtifactsInput!$M$27,FALSE,TRUE),Inputs!$B$4="Chapter Hunt"),CHOOSE(ArtifactsInput!$N$27+1,20,24,28,32,36,40),0)/100)),0)</f>
        <v/>
      </c>
      <c r="R2164">
        <f>IF(AND(Inputs!$B$38&lt;&gt;"pvp",Inputs!$B$43&gt;0),IF(Inputs!$B$43&lt;=0,0,(INT(Inputs!$B$43/(IF(Inputs!$B$38="pvp",15,MAX(0.1,Skills!D23-IF(TRUE=TRUE,Inputs!$B$32,0)))*(1-IF(AND(IF(ArtifactsInput!$M$27,FALSE,TRUE),Inputs!$B$4="Chapter Hunt"),CHOOSE(ArtifactsInput!$N$27+1,20,24,28,32,36,40),0)/100)))+1)),0)</f>
        <v/>
      </c>
      <c r="S2164">
        <f>IFERROR(O2164/N2164,0)</f>
        <v/>
      </c>
      <c r="T2164" t="n">
        <v>0</v>
      </c>
      <c r="V2164" t="n">
        <v>0</v>
      </c>
    </row>
    <row r="2165">
      <c r="A2165">
        <f>Skills!A24</f>
        <v/>
      </c>
      <c r="B2165">
        <f>Skills!B24</f>
        <v/>
      </c>
      <c r="C2165">
        <f>Inputs!$B$3&gt;=107</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IF(B2180=0,0,O2165/B2180)</f>
        <v/>
      </c>
      <c r="Q2165">
        <f>IFERROR(1/(IF(Inputs!$B$38="pvp",15,MAX(0.1,Skills!D24-IF(TRUE=TRUE,Inputs!$B$32,0)))*(1-IF(AND(IF(ArtifactsInput!$M$27,FALSE,TRUE),Inputs!$B$4="Chapter Hunt"),CHOOSE(ArtifactsInput!$N$27+1,20,24,28,32,36,40),0)/100)),0)</f>
        <v/>
      </c>
      <c r="R2165">
        <f>IF(AND(Inputs!$B$38&lt;&gt;"pvp",Inputs!$B$43&gt;0),IF(Inputs!$B$43&lt;=0,0,(INT(Inputs!$B$43/(IF(Inputs!$B$38="pvp",15,MAX(0.1,Skills!D24-IF(TRUE=TRUE,Inputs!$B$32,0)))*(1-IF(AND(IF(ArtifactsInput!$M$27,FALSE,TRUE),Inputs!$B$4="Chapter Hunt"),CHOOSE(ArtifactsInput!$N$27+1,20,24,28,32,36,40),0)/100)))+1)),0)</f>
        <v/>
      </c>
      <c r="S2165">
        <f>IFERROR(O2165/N2165,0)</f>
        <v/>
      </c>
      <c r="T2165" t="n">
        <v>0</v>
      </c>
      <c r="V2165" t="n">
        <v>0</v>
      </c>
    </row>
    <row r="2166">
      <c r="A2166">
        <f>Skills!A25</f>
        <v/>
      </c>
      <c r="B2166">
        <f>Skills!B25</f>
        <v/>
      </c>
      <c r="C2166">
        <f>Inputs!$B$3&gt;=110</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t="inlineStr"/>
      <c r="H2166" t="inlineStr"/>
      <c r="I2166" t="inlineStr">
        <is>
          <t>1</t>
        </is>
      </c>
      <c r="J2166" t="inlineStr"/>
      <c r="K2166" t="inlineStr"/>
      <c r="L2166" t="inlineStr"/>
      <c r="M2166" t="inlineStr"/>
      <c r="N2166" t="inlineStr"/>
      <c r="O2166" t="inlineStr"/>
      <c r="P2166" t="inlineStr"/>
      <c r="Q2166" t="inlineStr"/>
      <c r="R2166" t="inlineStr"/>
      <c r="S2166" t="inlineStr"/>
      <c r="T2166" t="inlineStr"/>
      <c r="V2166" t="inlineStr"/>
    </row>
    <row r="2167">
      <c r="A2167">
        <f>Skills!A26</f>
        <v/>
      </c>
      <c r="B2167">
        <f>Skills!B26</f>
        <v/>
      </c>
      <c r="C2167">
        <f>Inputs!$B$3&gt;=117</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t="inlineStr"/>
      <c r="H2167" t="inlineStr"/>
      <c r="I2167" t="inlineStr">
        <is>
          <t>1</t>
        </is>
      </c>
      <c r="J2167" t="inlineStr"/>
      <c r="K2167" t="inlineStr"/>
      <c r="L2167" t="inlineStr"/>
      <c r="M2167" t="inlineStr"/>
      <c r="N2167" t="inlineStr"/>
      <c r="O2167" t="inlineStr"/>
      <c r="P2167" t="inlineStr"/>
      <c r="Q2167" t="inlineStr"/>
      <c r="R2167" t="inlineStr"/>
      <c r="S2167" t="inlineStr"/>
      <c r="T2167" t="inlineStr"/>
      <c r="V2167" t="inlineStr"/>
    </row>
    <row r="2169">
      <c r="A2169" t="inlineStr">
        <is>
          <t>Attack% Bucket Multiplier</t>
        </is>
      </c>
      <c r="B2169">
        <f>(1+(((C2154=TRUE)*F2154*5/7)+((C2160=TRUE)*(F2160-Calc!F19))+(IF(ArtifactsInput!$M$21,CHOOSE(ArtifactsInput!$N$21+1,25,30,35,40,45,50)*(IF(OR(Inputs!$B$4="Chapter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 Speed Infusion, duty-cycle averaged)</t>
        </is>
      </c>
      <c r="B2171">
        <f>((C2164=TRUE)*F2164*IF(AND(Inputs!$B$38&lt;&gt;"pvp",Inputs!$B$43&gt;0),(((R2164-1)*MIN((Skills!T23*(1+Inputs!$B$34/100)),(1/Q2164))+MIN((Skills!T23*(1+Inputs!$B$34/100)),MAX(0,Inputs!$B$43-((R2164-1)*(1/Q2164)))))/Inputs!$B$43),IF(Inputs!$B$38="pvp",MIN((Skills!T23*(1+Inputs!$B$34/100)),15)/15,MIN(1,(Skills!T23*(1+Inputs!$B$34/100))/(1/Q2164)))))+((C2165=TRUE)*F2165*IF(AND(Inputs!$B$38&lt;&gt;"pvp",Inputs!$B$43&gt;0),(((R2165-1)*MIN((Skills!T24*(1+Inputs!$B$34/100)),(1/Q2165))+MIN((Skills!T24*(1+Inputs!$B$34/100)),MAX(0,Inputs!$B$43-((R2165-1)*(1/Q2165)))))/Inputs!$B$43),IF(Inputs!$B$38="pvp",MIN((Skills!T24*(1+Inputs!$B$34/100)),15)/15,MIN(1,(Skills!T24*(1+Inputs!$B$34/100))/(1/Q2165)))))</f>
        <v/>
      </c>
    </row>
    <row r="2172">
      <c r="A2172" t="inlineStr">
        <is>
          <t>Actions Per Second</t>
        </is>
      </c>
      <c r="B2172">
        <f>1+MIN(150,150*(1-(1-(Inputs!$B$11+((C2158=TRUE)*(F2158-Calc!F17))+((C2159=TRUE)*(F2159-Calc!F18)))/150)*(1-B2171/150)))/100</f>
        <v/>
      </c>
    </row>
    <row r="2173">
      <c r="A2173" t="inlineStr">
        <is>
          <t>Skill + Buff Cast Rate</t>
        </is>
      </c>
      <c r="B2173">
        <f>IF(AND(Inputs!$B$38&lt;&gt;"pvp",Inputs!$B$43&gt;0),SUMPRODUCT((Skills!E2:E26=TRUE)*(C2143:C2167=TRUE)*R2143:R2167*Skills!F2:F26)/Inputs!$B$43,SUMPRODUCT((Skills!E2:E26=TRUE)*(C2143:C2167=TRUE)*Q2143:Q2167*Skills!F2:F26))</f>
        <v/>
      </c>
    </row>
    <row r="2174">
      <c r="A2174" t="inlineStr">
        <is>
          <t>Hook Bomber Casts Per Second</t>
        </is>
      </c>
      <c r="B2174">
        <f>MAX(0,B2172-B2173)</f>
        <v/>
      </c>
    </row>
    <row r="2175">
      <c r="A2175" t="inlineStr">
        <is>
          <t>Global Critical Damage Bonus % (unused)</t>
        </is>
      </c>
      <c r="B2175" t="n">
        <v>0</v>
      </c>
    </row>
    <row r="2176">
      <c r="A2176" t="inlineStr">
        <is>
          <t>Global Final Damage Bonus % (Serpent Scale + Crossbones + Time Leap + Speed Infusion)</t>
        </is>
      </c>
      <c r="B2176">
        <f>((C2146=TRUE)*(F2146*B2182+4*(1-B2182)))+((C2155=TRUE)*F2155*IF(AND(Inputs!$B$38&lt;&gt;"pvp",Inputs!$B$43&gt;0),(((R2155-1)*MIN((Skills!T14*(1+Inputs!$B$34/100)),(1/Q2155))+MIN((Skills!T14*(1+Inputs!$B$34/100)),MAX(0,Inputs!$B$43-((R2155-1)*(1/Q2155)))))/Inputs!$B$43),IF(Inputs!$B$38="pvp",MIN((Skills!T14*(1+Inputs!$B$34/100)),15)/15,MIN(1,(Skills!T14*(1+Inputs!$B$34/100))/(1/Q2155)))))+((C2156=TRUE)*F2156*IF(AND(Inputs!$B$38&lt;&gt;"pvp",Inputs!$B$43&gt;0),(((R2156-1)*MIN((Skills!T15*(1+Inputs!$B$34/100)),(1/Q2156))+MIN((Skills!T15*(1+Inputs!$B$34/100)),MAX(0,Inputs!$B$43-((R2156-1)*(1/Q2156)))))/Inputs!$B$43),IF(Inputs!$B$38="pvp",MIN((Skills!T15*(1+Inputs!$B$34/100)),15)/15,MIN(1,(Skills!T15*(1+Inputs!$B$34/100))/(1/Q2156)))))+((C2165=TRUE)*20*((1+MIN(150,150*(1-(1-(Inputs!$B$11+((C2158=TRUE)*(F2158-Calc!F17))+((C2159=TRUE)*(F2159-Calc!F18)))/150)*(1-(((C2164=TRUE)*F2164*IF(AND(Inputs!$B$38&lt;&gt;"pvp",Inputs!$B$43&gt;0),(((R2164-1)*MIN((Skills!T23*(1+Inputs!$B$34/100)),(1/Q2164))+MIN((Skills!T23*(1+Inputs!$B$34/100)),MAX(0,Inputs!$B$43-((R2164-1)*(1/Q2164)))))/Inputs!$B$43),IF(Inputs!$B$38="pvp",MIN((Skills!T23*(1+Inputs!$B$34/100)),15)/15,MIN(1,(Skills!T23*(1+Inputs!$B$34/100))/(1/Q2164)))))+F2165)/150)))/100)-1)*IF(AND(Inputs!$B$38&lt;&gt;"pvp",Inputs!$B$43&gt;0),(((R2165-1)*MIN((Skills!T24*(1+Inputs!$B$34/100)),(1/Q2165))+MIN((Skills!T24*(1+Inputs!$B$34/100)),MAX(0,Inputs!$B$43-((R2165-1)*(1/Q2165)))))/Inputs!$B$43),IF(Inputs!$B$38="pvp",MIN((Skills!T24*(1+Inputs!$B$34/100)),15)/15,MIN(1,(Skills!T24*(1+Inputs!$B$34/100))/(1/Q2165)))))</f>
        <v/>
      </c>
    </row>
    <row r="2177">
      <c r="A2177" t="inlineStr">
        <is>
          <t>Buff-Casting Startup Delay (s, fixed-duration only)</t>
        </is>
      </c>
      <c r="B2177">
        <f>IF(AND(Inputs!$B$38&lt;&gt;"pvp",Inputs!$B$43&gt;0),SUMPRODUCT((Skills!T2:T26&gt;0)*(Skills!E2:E26=TRUE)*(C2143:C2167=TRUE))/B2172,0)</f>
        <v/>
      </c>
    </row>
    <row r="2178">
      <c r="A2178" t="inlineStr">
        <is>
          <t>Boss-Only Total DPS (this block's swept value)</t>
        </is>
      </c>
      <c r="B2178">
        <f>SUM(T2143:T2167)</f>
        <v/>
      </c>
    </row>
    <row r="2179">
      <c r="A2179" t="inlineStr">
        <is>
          <t>Normal-Only Total DPS (this block's swept value)</t>
        </is>
      </c>
      <c r="B2179">
        <f>SUM(V2143:V2167)</f>
        <v/>
      </c>
    </row>
    <row r="2180">
      <c r="A2180" s="6" t="inlineStr">
        <is>
          <t>TOTAL DPS</t>
        </is>
      </c>
      <c r="B2180" s="6">
        <f>SUM(O2143:O2167)</f>
        <v/>
      </c>
    </row>
    <row r="2181">
      <c r="A2181" t="inlineStr">
        <is>
          <t>Serpent activation interval T (this block's own Hook Bomber rate)</t>
        </is>
      </c>
      <c r="B2181">
        <f>((1/Q2144)+IFERROR(0.5/B2174,0))</f>
        <v/>
      </c>
    </row>
    <row r="2182">
      <c r="A2182" t="inlineStr">
        <is>
          <t>Assault Mode uptime u (this block)</t>
        </is>
      </c>
      <c r="B2182">
        <f>IF(C2146=TRUE,(10+IF(Inputs!$B$3&gt;=94,5,0))/((10+IF(Inputs!$B$3&gt;=94,5,0))+IF(Inputs!$B$3&gt;=104,3,5)*B2181),0)</f>
        <v/>
      </c>
    </row>
    <row r="2183">
      <c r="A2183" t="inlineStr">
        <is>
          <t>Nautilus Strike - Final Attack trigger rate (this block's own Q/R)</t>
        </is>
      </c>
      <c r="B2183">
        <f>IF(AND(Inputs!$B$38&lt;&gt;"pvp",Inputs!$B$43&gt;0),(((C2147=TRUE)*R2147)+((C2148=TRUE)*R2148)+((C2151=TRUE)*R2151))/Inputs!$B$43,((C2147=TRUE)*Q2147)+((C2148=TRUE)*Q2148)+((C2151=TRUE)*Q2151))+B2174</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2206=TRUE)*(F2206-Calc!F20)),(Inputs!$B$23+0+(IF(ArtifactsInput!$M$15,CHOOSE(ArtifactsInput!$N$15+1,25,30,35,40,45,50)/100*(Inputs!$B$11-Inputs!$B$11),0))))/100+(Inputs!$B$23+0+(IF(ArtifactsInput!$M$15,CHOOSE(ArtifactsInput!$N$15+1,25,30,35,40,45,50)/100*(Inputs!$B$11-Inputs!$B$11),0)))/100)/2</f>
        <v/>
      </c>
      <c r="M2188">
        <f>L2188*(1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IF(B2225=0,0,O2188/B2225)</f>
        <v/>
      </c>
      <c r="Q2188" t="n">
        <v>0</v>
      </c>
      <c r="R2188" t="n">
        <v>0</v>
      </c>
      <c r="S2188">
        <f>IFERROR(O2188/N2188,0)</f>
        <v/>
      </c>
      <c r="T2188">
        <f>IF(C2188,(Skills!G2*N2188*B2219)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IF(C2188,(Skills!G2*N2188*B2219)*IF(Inputs!$B$38="pvp",1,(1+(Inputs!$B$21+Skills!Q2+(IF(ArtifactsInput!$M$33,CHOOSE(ArtifactsInput!$N$33+1,30,36,42,48,54,60),0))+(IF(AND(ArtifactsInput!$M$35,Inputs!$B$4&lt;&gt;"Chapter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Inputs!$B$3&gt;=35</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Skills!G3*IF(Skills!H3&gt;0,Skills!I3/Skills!H3,1)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2211=TRUE,F2211,0)/100)*(1+(IF(Skills!A3="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2206=TRUE)*(F2206-Calc!F20)),(Inputs!$B$23+0+(IF(ArtifactsInput!$M$15,CHOOSE(ArtifactsInput!$N$15+1,25,30,35,40,45,50)/100*(Inputs!$B$11-Inputs!$B$11),0))))/100+(Inputs!$B$23+0+(IF(ArtifactsInput!$M$15,CHOOSE(ArtifactsInput!$N$15+1,25,30,35,40,45,50)/100*(Inputs!$B$11-Inputs!$B$11),0)))/100)/2</f>
        <v/>
      </c>
      <c r="M2189">
        <f>L2189*(1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IF(B2225=0,0,O2189/B2225)</f>
        <v/>
      </c>
      <c r="Q2189">
        <f>IFERROR(1/(IF(Inputs!$B$38="pvp",15,MAX(0.1,Skills!D3-IF(TRUE=TRUE,Inputs!$B$32,0)))*(1-IF(AND(ArtifactsInput!$M$27,Inputs!$B$4="Chapter Hunt"),CHOOSE(ArtifactsInput!$N$27+1,20,24,28,32,36,40),0)/100)),0)</f>
        <v/>
      </c>
      <c r="R2189">
        <f>IF(AND(Inputs!$B$38&lt;&gt;"pvp",Inputs!$B$43&gt;0),IF(MAX(0,Inputs!$B$43-B2222)&lt;=0,0,(INT(MAX(0,Inputs!$B$43-B2222)/(IF(Inputs!$B$38="pvp",15,MAX(0.1,Skills!D3-IF(TRUE=TRUE,Inputs!$B$32,0)))*(1-IF(AND(ArtifactsInput!$M$27,Inputs!$B$4="Chapter Hunt"),CHOOSE(ArtifactsInput!$N$27+1,20,24,28,32,36,40),0)/100)))+1)),0)</f>
        <v/>
      </c>
      <c r="S2189">
        <f>IFERROR(O2189/N2189,0)</f>
        <v/>
      </c>
      <c r="T2189">
        <f>IF(C2189,(Skills!G3*N2189*IF(C2190=TRUE,1-B2227,1)/B2226)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IF(C2189,(Skills!G3*N2189*IF(C2190=TRUE,1-B2227,1)/B2226)*IF(Inputs!$B$38="pvp",1,(1+(Inputs!$B$21+Skills!Q3+(IF(ArtifactsInput!$M$33,CHOOSE(ArtifactsInput!$N$33+1,30,36,42,48,54,60),0))+(IF(AND(ArtifactsInput!$M$35,Inputs!$B$4&lt;&gt;"Chapter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Inputs!$B$3&gt;=69</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f>Skills!G4*IF(Skills!H4&gt;0,Skills!I4/Skills!H4,1)</f>
        <v/>
      </c>
      <c r="H2190">
        <f>1-(1-Skills!J4/100)^Skills!K4</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4="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2206=TRUE)*(F2206-Calc!F20)),(Inputs!$B$23+0+(IF(ArtifactsInput!$M$15,CHOOSE(ArtifactsInput!$N$15+1,25,30,35,40,45,50)/100*(Inputs!$B$11-Inputs!$B$11),0))))/100+(Inputs!$B$23+0+(IF(ArtifactsInput!$M$15,CHOOSE(ArtifactsInput!$N$15+1,25,30,35,40,45,50)/100*(Inputs!$B$11-Inputs!$B$11),0)))/100)/2</f>
        <v/>
      </c>
      <c r="M2190">
        <f>L2190*(1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IF(B2225=0,0,O2190/B2225)</f>
        <v/>
      </c>
      <c r="Q2190" t="n">
        <v>0</v>
      </c>
      <c r="R2190" t="n">
        <v>0</v>
      </c>
      <c r="S2190">
        <f>IFERROR(O2190/N2190,0)</f>
        <v/>
      </c>
      <c r="T2190">
        <f>IF(C2190,(Skills!G4*N2190*B2227/B2226)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290*U2189/1000</f>
        <v/>
      </c>
      <c r="V2190">
        <f>IF(C2190,(Skills!G4*N2190*B2227/B2226)*IF(Inputs!$B$38="pvp",1,(1+(Inputs!$B$21+Skills!Q4+(IF(ArtifactsInput!$M$33,CHOOSE(ArtifactsInput!$N$33+1,30,36,42,48,54,60),0))+(IF(AND(ArtifactsInput!$M$35,Inputs!$B$4&lt;&gt;"Chapter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Skills!A5</f>
        <v/>
      </c>
      <c r="B2191">
        <f>Skills!B5</f>
        <v/>
      </c>
      <c r="C2191">
        <f>Inputs!$B$3&gt;=66</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t="inlineStr"/>
      <c r="K2191" t="inlineStr"/>
      <c r="L2191" t="inlineStr"/>
      <c r="M2191" t="inlineStr"/>
      <c r="N2191" t="inlineStr"/>
      <c r="O2191">
        <f>(1-Summary!$B$11)*T2191+Summary!$B$11*V2191</f>
        <v/>
      </c>
      <c r="P2191">
        <f>IF(B2225=0,0,O2191/B2225)</f>
        <v/>
      </c>
      <c r="Q2191" t="n">
        <v>0</v>
      </c>
      <c r="R2191" t="n">
        <v>0</v>
      </c>
      <c r="S2191">
        <f>IFERROR(O2191/N2191,0)</f>
        <v/>
      </c>
      <c r="T2191" t="n">
        <v>0</v>
      </c>
      <c r="V2191" t="n">
        <v>0</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2198=TRUE,F2198,0)/100)*(1+(IF(Skills!A6="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2206=TRUE)*(F2206-Calc!F20)),(Inputs!$B$23+0+(IF(ArtifactsInput!$M$15,CHOOSE(ArtifactsInput!$N$15+1,25,30,35,40,45,50)/100*(Inputs!$B$11-Inputs!$B$11),0))))/100+(Inputs!$B$23+0+(IF(ArtifactsInput!$M$15,CHOOSE(ArtifactsInput!$N$15+1,25,30,35,40,45,50)/100*(Inputs!$B$11-Inputs!$B$11),0)))/100)/2</f>
        <v/>
      </c>
      <c r="M2192">
        <f>L2192*(1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IF(B2225=0,0,O2192/B2225)</f>
        <v/>
      </c>
      <c r="Q2192">
        <f>IFERROR(1/(IF(Inputs!$B$38="pvp",15,MAX(0.1,Skills!D6-IF(TRUE=TRUE,Inputs!$B$32,0)))*(1-IF(AND(ArtifactsInput!$M$27,Inputs!$B$4="Chapter Hunt"),CHOOSE(ArtifactsInput!$N$27+1,20,24,28,32,36,40),0)/100)),0)</f>
        <v/>
      </c>
      <c r="R2192">
        <f>IF(AND(Inputs!$B$38&lt;&gt;"pvp",Inputs!$B$43&gt;0),IF(MAX(0,Inputs!$B$43-B2222)&lt;=0,0,(INT(MAX(0,Inputs!$B$43-B2222)/(IF(Inputs!$B$38="pvp",15,MAX(0.1,Skills!D6-IF(TRUE=TRUE,Inputs!$B$32,0)))*(1-IF(AND(ArtifactsInput!$M$27,Inputs!$B$4="Chapter Hunt"),CHOOSE(ArtifactsInput!$N$27+1,20,24,28,32,36,40),0)/100)))+1)),0)</f>
        <v/>
      </c>
      <c r="S2192">
        <f>IFERROR(O2192/N2192,0)</f>
        <v/>
      </c>
      <c r="T2192">
        <f>IF(C2192,(H2192*N2192*IF(AND(Inputs!$B$38&lt;&gt;"pvp",Inputs!$B$43&gt;0),((Skills!G6*((R2192-1)*IF(Skills!H6&gt;0,Skills!I6/Skills!H6,1)+IF(Skills!H6&gt;0,MIN(Skills!I6,MAX(0,MAX(0,Inputs!$B$43-B2222)-((R2192-1)*(IF(Inputs!$B$38="pvp",15,MAX(0.1,Skills!D6-IF(TRUE=TRUE,Inputs!$B$32,0)))*(1-IF(AND(ArtifactsInput!$M$27,Inputs!$B$4="Chapter Hunt"),CHOOSE(ArtifactsInput!$N$27+1,20,24,28,32,36,40),0)/100)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2222)-((R2192-1)*(IF(Inputs!$B$38="pvp",15,MAX(0.1,Skills!D6-IF(TRUE=TRUE,Inputs!$B$32,0)))*(1-IF(AND(ArtifactsInput!$M$27,Inputs!$B$4="Chapter Hunt"),CHOOSE(ArtifactsInput!$N$27+1,20,24,28,32,36,40),0)/100)))))/Skills!H6,1)))/Inputs!$B$43),G2192*Q2192))*IF(Inputs!$B$38="pvp",1,(1+(Inputs!$B$21+Skills!Q6+(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Inputs!$B$3&gt;=103</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2206=TRUE)*(F2206-Calc!F20)),(Inputs!$B$23+0+(IF(ArtifactsInput!$M$15,CHOOSE(ArtifactsInput!$N$15+1,25,30,35,40,45,50)/100*(Inputs!$B$11-Inputs!$B$11),0))))/100+(Inputs!$B$23+0+(IF(ArtifactsInput!$M$15,CHOOSE(ArtifactsInput!$N$15+1,25,30,35,40,45,50)/100*(Inputs!$B$11-Inputs!$B$11),0)))/100)/2</f>
        <v/>
      </c>
      <c r="M2193">
        <f>L2193*(1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IF(B2225=0,0,O2193/B2225)</f>
        <v/>
      </c>
      <c r="Q2193">
        <f>IFERROR(1/(IF(Inputs!$B$38="pvp",15,MAX(0.1,Skills!D7-IF(TRUE=TRUE,Inputs!$B$32,0)))*(1-IF(AND(ArtifactsInput!$M$27,Inputs!$B$4="Chapter Hunt"),CHOOSE(ArtifactsInput!$N$27+1,20,24,28,32,36,40),0)/100)),0)</f>
        <v/>
      </c>
      <c r="R2193">
        <f>IF(AND(Inputs!$B$38&lt;&gt;"pvp",Inputs!$B$43&gt;0),IF(MAX(0,Inputs!$B$43-B2222)&lt;=0,0,(INT(MAX(0,Inputs!$B$43-B2222)/(IF(Inputs!$B$38="pvp",15,MAX(0.1,Skills!D7-IF(TRUE=TRUE,Inputs!$B$32,0)))*(1-IF(AND(ArtifactsInput!$M$27,Inputs!$B$4="Chapter Hunt"),CHOOSE(ArtifactsInput!$N$27+1,20,24,28,32,36,40),0)/100)))+1)),0)</f>
        <v/>
      </c>
      <c r="S2193">
        <f>IFERROR(O2193/N2193,0)</f>
        <v/>
      </c>
      <c r="T2193">
        <f>IF(C2193,(H2193*N2193*IF(AND(Inputs!$B$38&lt;&gt;"pvp",Inputs!$B$43&gt;0),((Skills!G7*((R2193-1)*IF(Skills!H7&gt;0,Skills!I7/Skills!H7,1)+IF(Skills!H7&gt;0,MIN(Skills!I7,MAX(0,MAX(0,Inputs!$B$43-B2222)-((R2193-1)*(IF(Inputs!$B$38="pvp",15,MAX(0.1,Skills!D7-IF(TRUE=TRUE,Inputs!$B$32,0)))*(1-IF(AND(ArtifactsInput!$M$27,Inputs!$B$4="Chapter Hunt"),CHOOSE(ArtifactsInput!$N$27+1,20,24,28,32,36,40),0)/100)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2222)-((R2193-1)*(IF(Inputs!$B$38="pvp",15,MAX(0.1,Skills!D7-IF(TRUE=TRUE,Inputs!$B$32,0)))*(1-IF(AND(ArtifactsInput!$M$27,Inputs!$B$4="Chapter Hunt"),CHOOSE(ArtifactsInput!$N$27+1,20,24,28,32,36,40),0)/100)))))/Skills!H7,1)))/Inputs!$B$43),G2193*Q2193))*IF(Inputs!$B$38="pvp",1,(1+(Inputs!$B$21+Skills!Q7+(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Inputs!$B$3&gt;=117</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Skills!G8*IF(Skills!H8&gt;0,Skills!I8/Skills!H8,1)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2206=TRUE)*(F2206-Calc!F20)),(Inputs!$B$23+0+(IF(ArtifactsInput!$M$15,CHOOSE(ArtifactsInput!$N$15+1,25,30,35,40,45,50)/100*(Inputs!$B$11-Inputs!$B$11),0))))/100+(Inputs!$B$23+0+(IF(ArtifactsInput!$M$15,CHOOSE(ArtifactsInput!$N$15+1,25,30,35,40,45,50)/100*(Inputs!$B$11-Inputs!$B$11),0)))/100)/2</f>
        <v/>
      </c>
      <c r="M2194">
        <f>L2194*(1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IF(B2225=0,0,O2194/B2225)</f>
        <v/>
      </c>
      <c r="Q2194">
        <f>IFERROR(1/(IF(Inputs!$B$38="pvp",15,MAX(0.1,Skills!D8-IF(TRUE=TRUE,Inputs!$B$32,0)))*(1-IF(AND(ArtifactsInput!$M$27,Inputs!$B$4="Chapter Hunt"),CHOOSE(ArtifactsInput!$N$27+1,20,24,28,32,36,40),0)/100)),0)</f>
        <v/>
      </c>
      <c r="R2194">
        <f>IF(AND(Inputs!$B$38&lt;&gt;"pvp",Inputs!$B$43&gt;0),IF(MAX(0,Inputs!$B$43-B2222)&lt;=0,0,(INT(MAX(0,Inputs!$B$43-B2222)/(IF(Inputs!$B$38="pvp",15,MAX(0.1,Skills!D8-IF(TRUE=TRUE,Inputs!$B$32,0)))*(1-IF(AND(ArtifactsInput!$M$27,Inputs!$B$4="Chapter Hunt"),CHOOSE(ArtifactsInput!$N$27+1,20,24,28,32,36,40),0)/100)))+1)),0)</f>
        <v/>
      </c>
      <c r="S2194">
        <f>IFERROR(O2194/N2194,0)</f>
        <v/>
      </c>
      <c r="T2194">
        <f>IF(C2194,(H2194*N2194*IF(AND(Inputs!$B$38&lt;&gt;"pvp",Inputs!$B$43&gt;0),((Skills!G8*((R2194-1)*IF(Skills!H8&gt;0,Skills!I8/Skills!H8,1)+IF(Skills!H8&gt;0,MIN(Skills!I8,MAX(0,MAX(0,Inputs!$B$43-B2222)-((R2194-1)*(IF(Inputs!$B$38="pvp",15,MAX(0.1,Skills!D8-IF(TRUE=TRUE,Inputs!$B$32,0)))*(1-IF(AND(ArtifactsInput!$M$27,Inputs!$B$4="Chapter Hunt"),CHOOSE(ArtifactsInput!$N$27+1,20,24,28,32,36,40),0)/100)))))/Skills!H8,1)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Skills!I8/Skills!H8,1)+IF(Skills!H8&gt;0,MIN(Skills!I8,MAX(0,MAX(0,Inputs!$B$43-B2222)-((R2194-1)*(IF(Inputs!$B$38="pvp",15,MAX(0.1,Skills!D8-IF(TRUE=TRUE,Inputs!$B$32,0)))*(1-IF(AND(ArtifactsInput!$M$27,Inputs!$B$4="Chapter Hunt"),CHOOSE(ArtifactsInput!$N$27+1,20,24,28,32,36,40),0)/100)))))/Skills!H8,1)))/Inputs!$B$43),G2194*Q2194))*IF(Inputs!$B$38="pvp",1,(1+(Inputs!$B$21+Skills!Q8+(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Inputs!$B$3&gt;=120</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B2227</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2206=TRUE)*(F2206-Calc!F20)),(Inputs!$B$23+0+(IF(ArtifactsInput!$M$15,CHOOSE(ArtifactsInput!$N$15+1,25,30,35,40,45,50)/100*(Inputs!$B$11-Inputs!$B$11),0))))/100+(Inputs!$B$23+0+(IF(ArtifactsInput!$M$15,CHOOSE(ArtifactsInput!$N$15+1,25,30,35,40,45,50)/100*(Inputs!$B$11-Inputs!$B$11),0)))/100)/2</f>
        <v/>
      </c>
      <c r="M2195">
        <f>L2195*(1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IF(B2225=0,0,O2195/B2225)</f>
        <v/>
      </c>
      <c r="Q2195">
        <f>IFERROR(1/(IF(Inputs!$B$38="pvp",15,MAX(0.1,Skills!D9-IF(TRUE=TRUE,Inputs!$B$32,0)))*(1-IF(AND(ArtifactsInput!$M$27,Inputs!$B$4="Chapter Hunt"),CHOOSE(ArtifactsInput!$N$27+1,20,24,28,32,36,40),0)/100)),0)</f>
        <v/>
      </c>
      <c r="R2195">
        <f>IF(AND(Inputs!$B$38&lt;&gt;"pvp",Inputs!$B$43&gt;0),IF(MAX(0,Inputs!$B$43-B2222)&lt;=0,0,(INT(MAX(0,Inputs!$B$43-B2222)/(IF(Inputs!$B$38="pvp",15,MAX(0.1,Skills!D9-IF(TRUE=TRUE,Inputs!$B$32,0)))*(1-IF(AND(ArtifactsInput!$M$27,Inputs!$B$4="Chapter Hunt"),CHOOSE(ArtifactsInput!$N$27+1,20,24,28,32,36,40),0)/100)))+1)),0)</f>
        <v/>
      </c>
      <c r="S2195">
        <f>IFERROR(O2195/N2195,0)</f>
        <v/>
      </c>
      <c r="T2195">
        <f>IF(C2195,(H2195*N2195*IF(AND(Inputs!$B$38&lt;&gt;"pvp",Inputs!$B$43&gt;0),((Skills!G9*((R2195-1)*IF(Skills!H9&gt;0,Skills!I9/Skills!H9,1)+IF(Skills!H9&gt;0,MIN(Skills!I9,MAX(0,MAX(0,Inputs!$B$43-B2222)-((R2195-1)*(IF(Inputs!$B$38="pvp",15,MAX(0.1,Skills!D9-IF(TRUE=TRUE,Inputs!$B$32,0)))*(1-IF(AND(ArtifactsInput!$M$27,Inputs!$B$4="Chapter Hunt"),CHOOSE(ArtifactsInput!$N$27+1,20,24,28,32,36,40),0)/100)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2222)-((R2195-1)*(IF(Inputs!$B$38="pvp",15,MAX(0.1,Skills!D9-IF(TRUE=TRUE,Inputs!$B$32,0)))*(1-IF(AND(ArtifactsInput!$M$27,Inputs!$B$4="Chapter Hunt"),CHOOSE(ArtifactsInput!$N$27+1,20,24,28,32,36,40),0)/100)))))/Skills!H9,1)))/Inputs!$B$43),G2195*Q2195))*IF(Inputs!$B$38="pvp",1,(1+(Inputs!$B$21+Skills!Q9+(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Inputs!$B$3&gt;=105</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2206=TRUE)*(F2206-Calc!F20)),(Inputs!$B$23+0+(IF(ArtifactsInput!$M$15,CHOOSE(ArtifactsInput!$N$15+1,25,30,35,40,45,50)/100*(Inputs!$B$11-Inputs!$B$11),0))))/100+(Inputs!$B$23+0+(IF(ArtifactsInput!$M$15,CHOOSE(ArtifactsInput!$N$15+1,25,30,35,40,45,50)/100*(Inputs!$B$11-Inputs!$B$11),0)))/100)/2</f>
        <v/>
      </c>
      <c r="M2196">
        <f>L2196*(1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IF(B2225=0,0,O2196/B2225)</f>
        <v/>
      </c>
      <c r="Q2196">
        <f>IFERROR(1/(IF(Inputs!$B$38="pvp",15,MAX(0.1,Skills!D10-IF(TRUE=TRUE,Inputs!$B$32,0)))*(1-IF(AND(ArtifactsInput!$M$27,Inputs!$B$4="Chapter Hunt"),CHOOSE(ArtifactsInput!$N$27+1,20,24,28,32,36,40),0)/100)),0)</f>
        <v/>
      </c>
      <c r="R2196">
        <f>IF(AND(Inputs!$B$38&lt;&gt;"pvp",Inputs!$B$43&gt;0),IF(MAX(0,Inputs!$B$43-B2222)&lt;=0,0,(INT(MAX(0,Inputs!$B$43-B2222)/(IF(Inputs!$B$38="pvp",15,MAX(0.1,Skills!D10-IF(TRUE=TRUE,Inputs!$B$32,0)))*(1-IF(AND(ArtifactsInput!$M$27,Inputs!$B$4="Chapter Hunt"),CHOOSE(ArtifactsInput!$N$27+1,20,24,28,32,36,40),0)/100)))+1)),0)</f>
        <v/>
      </c>
      <c r="S2196">
        <f>IFERROR(O2196/N2196,0)</f>
        <v/>
      </c>
      <c r="T2196">
        <f>IF(C2196,(H2196*N2196*IF(AND(Inputs!$B$38&lt;&gt;"pvp",Inputs!$B$43&gt;0),((Skills!G10*((R2196-1)*IF(Skills!H10&gt;0,Skills!I10/Skills!H10,1)+IF(Skills!H10&gt;0,MIN(Skills!I10,MAX(0,MAX(0,Inputs!$B$43-B2222)-((R2196-1)*(IF(Inputs!$B$38="pvp",15,MAX(0.1,Skills!D10-IF(TRUE=TRUE,Inputs!$B$32,0)))*(1-IF(AND(ArtifactsInput!$M$27,Inputs!$B$4="Chapter Hunt"),CHOOSE(ArtifactsInput!$N$27+1,20,24,28,32,36,40),0)/100)))))/Skills!H10,1)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Skills!I10/Skills!H10,1)+IF(Skills!H10&gt;0,MIN(Skills!I10,MAX(0,MAX(0,Inputs!$B$43-B2222)-((R2196-1)*(IF(Inputs!$B$38="pvp",15,MAX(0.1,Skills!D10-IF(TRUE=TRUE,Inputs!$B$32,0)))*(1-IF(AND(ArtifactsInput!$M$27,Inputs!$B$4="Chapter Hunt"),CHOOSE(ArtifactsInput!$N$27+1,20,24,28,32,36,40),0)/100)))))/Skills!H10,1)))/Inputs!$B$43),G2196*Q2196))*IF(Inputs!$B$38="pvp",1,(1+(Inputs!$B$21+Skills!Q10+(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Inputs!$B$3&gt;=113</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2206=TRUE)*(F2206-Calc!F20)),(Inputs!$B$23+0+(IF(ArtifactsInput!$M$15,CHOOSE(ArtifactsInput!$N$15+1,25,30,35,40,45,50)/100*(Inputs!$B$11-Inputs!$B$11),0))))/100+(Inputs!$B$23+0+(IF(ArtifactsInput!$M$15,CHOOSE(ArtifactsInput!$N$15+1,25,30,35,40,45,50)/100*(Inputs!$B$11-Inputs!$B$11),0)))/100)/2</f>
        <v/>
      </c>
      <c r="M2197">
        <f>L2197*(1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IF(B2225=0,0,O2197/B2225)</f>
        <v/>
      </c>
      <c r="Q2197" t="n">
        <v>0</v>
      </c>
      <c r="R2197" t="n">
        <v>0</v>
      </c>
      <c r="S2197">
        <f>IFERROR(O2197/N2197,0)</f>
        <v/>
      </c>
      <c r="T2197">
        <f>IF(C2197,((H2197*B2228)/(1+Skills!H11*H2197*B2228)*N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IF(C2197,((H2197*B2228)/(1+Skills!H11*H2197*B2228)*N2197)*IF(Inputs!$B$38="pvp",1,(1+(Inputs!$B$21+Skills!Q11+(IF(ArtifactsInput!$M$33,CHOOSE(ArtifactsInput!$N$33+1,30,36,42,48,54,60),0))+(IF(AND(ArtifactsInput!$M$35,Inputs!$B$4&lt;&gt;"Chapter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Inputs!$B$3&gt;=100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t="inlineStr"/>
      <c r="H2198" t="inlineStr"/>
      <c r="I2198" t="inlineStr">
        <is>
          <t>1</t>
        </is>
      </c>
      <c r="J2198" t="inlineStr"/>
      <c r="K2198" t="inlineStr"/>
      <c r="L2198" t="inlineStr"/>
      <c r="M2198" t="inlineStr"/>
      <c r="N2198" t="inlineStr"/>
      <c r="O2198" t="inlineStr"/>
      <c r="P2198" t="inlineStr"/>
      <c r="Q2198" t="inlineStr"/>
      <c r="R2198" t="inlineStr"/>
      <c r="S2198" t="inlineStr"/>
      <c r="T2198" t="inlineStr"/>
      <c r="V2198" t="inlineStr"/>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IF(B2225=0,0,O2199/B2225)</f>
        <v/>
      </c>
      <c r="Q2199" t="n">
        <v>0</v>
      </c>
      <c r="R2199" t="n">
        <v>0</v>
      </c>
      <c r="S2199">
        <f>IFERROR(O2199/N2199,0)</f>
        <v/>
      </c>
      <c r="T2199" t="n">
        <v>0</v>
      </c>
      <c r="V2199" t="n">
        <v>0</v>
      </c>
    </row>
    <row r="2200">
      <c r="A2200">
        <f>Skills!A14</f>
        <v/>
      </c>
      <c r="B2200">
        <f>Skills!B14</f>
        <v/>
      </c>
      <c r="C2200">
        <f>Inputs!$B$3&gt;=115</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IF(B2225=0,0,O2200/B2225)</f>
        <v/>
      </c>
      <c r="Q2200">
        <f>IFERROR(1/(IF(Inputs!$B$38="pvp",15,MAX(0.1,Skills!D14-IF(TRUE=TRUE,Inputs!$B$32,0)))*(1-IF(AND(ArtifactsInput!$M$27,Inputs!$B$4="Chapter Hunt"),CHOOSE(ArtifactsInput!$N$27+1,20,24,28,32,36,40),0)/100)),0)</f>
        <v/>
      </c>
      <c r="R2200">
        <f>IF(AND(Inputs!$B$38&lt;&gt;"pvp",Inputs!$B$43&gt;0),IF(Inputs!$B$43&lt;=0,0,(INT(Inputs!$B$43/(IF(Inputs!$B$38="pvp",15,MAX(0.1,Skills!D14-IF(TRUE=TRUE,Inputs!$B$32,0)))*(1-IF(AND(ArtifactsInput!$M$27,Inputs!$B$4="Chapter Hunt"),CHOOSE(ArtifactsInput!$N$27+1,20,24,28,32,36,40),0)/100)))+1)),0)</f>
        <v/>
      </c>
      <c r="S2200">
        <f>IFERROR(O2200/N2200,0)</f>
        <v/>
      </c>
      <c r="T2200" t="n">
        <v>0</v>
      </c>
      <c r="V2200" t="n">
        <v>0</v>
      </c>
    </row>
    <row r="2201">
      <c r="A2201">
        <f>Skills!A15</f>
        <v/>
      </c>
      <c r="B2201">
        <f>Skills!B15</f>
        <v/>
      </c>
      <c r="C2201">
        <f>Inputs!$B$3&gt;=125</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IF(B2225=0,0,O2201/B2225)</f>
        <v/>
      </c>
      <c r="Q2201">
        <f>IFERROR(1/(IF(Inputs!$B$38="pvp",15,MAX(0.1,Skills!D15-IF(TRUE=TRUE,Inputs!$B$32,0)))*(1-IF(AND(ArtifactsInput!$M$27,Inputs!$B$4="Chapter Hunt"),CHOOSE(ArtifactsInput!$N$27+1,20,24,28,32,36,40),0)/100)),0)</f>
        <v/>
      </c>
      <c r="R2201">
        <f>IF(AND(Inputs!$B$38&lt;&gt;"pvp",Inputs!$B$43&gt;0),IF(Inputs!$B$43&lt;=0,0,(INT(Inputs!$B$43/(IF(Inputs!$B$38="pvp",15,MAX(0.1,Skills!D15-IF(TRUE=TRUE,Inputs!$B$32,0)))*(1-IF(AND(ArtifactsInput!$M$27,Inputs!$B$4="Chapter Hunt"),CHOOSE(ArtifactsInput!$N$27+1,20,24,28,32,36,40),0)/100)))+1)),0)</f>
        <v/>
      </c>
      <c r="S2201">
        <f>IFERROR(O2201/N2201,0)</f>
        <v/>
      </c>
      <c r="T2201" t="n">
        <v>0</v>
      </c>
      <c r="V2201" t="n">
        <v>0</v>
      </c>
    </row>
    <row r="2202">
      <c r="A2202">
        <f>Skills!A16</f>
        <v/>
      </c>
      <c r="B2202">
        <f>Skills!B16</f>
        <v/>
      </c>
      <c r="C2202">
        <f>Inputs!$B$3&gt;=10</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IF(B2225=0,0,O2202/B2225)</f>
        <v/>
      </c>
      <c r="Q2202" t="n">
        <v>0</v>
      </c>
      <c r="R2202" t="n">
        <v>0</v>
      </c>
      <c r="S2202">
        <f>IFERROR(O2202/N2202,0)</f>
        <v/>
      </c>
      <c r="T2202" t="n">
        <v>0</v>
      </c>
      <c r="V2202" t="n">
        <v>0</v>
      </c>
    </row>
    <row r="2203">
      <c r="A2203">
        <f>Skills!A17</f>
        <v/>
      </c>
      <c r="B2203">
        <f>Skills!B17</f>
        <v/>
      </c>
      <c r="C2203">
        <f>Inputs!$B$3&gt;=15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IF(B2225=0,0,O2203/B2225)</f>
        <v/>
      </c>
      <c r="Q2203" t="n">
        <v>0</v>
      </c>
      <c r="R2203" t="n">
        <v>0</v>
      </c>
      <c r="S2203">
        <f>IFERROR(O2203/N2203,0)</f>
        <v/>
      </c>
      <c r="T2203" t="n">
        <v>0</v>
      </c>
      <c r="V2203" t="n">
        <v>0</v>
      </c>
    </row>
    <row r="2204">
      <c r="A2204">
        <f>Skills!A18</f>
        <v/>
      </c>
      <c r="B2204">
        <f>Skills!B18</f>
        <v/>
      </c>
      <c r="C2204">
        <f>Inputs!$B$3&gt;=33</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IF(B2225=0,0,O2204/B2225)</f>
        <v/>
      </c>
      <c r="Q2204" t="n">
        <v>0</v>
      </c>
      <c r="R2204" t="n">
        <v>0</v>
      </c>
      <c r="S2204">
        <f>IFERROR(O2204/N2204,0)</f>
        <v/>
      </c>
      <c r="T2204" t="n">
        <v>0</v>
      </c>
      <c r="V2204" t="n">
        <v>0</v>
      </c>
    </row>
    <row r="2205">
      <c r="A2205">
        <f>Skills!A19</f>
        <v/>
      </c>
      <c r="B2205">
        <f>Skills!B19</f>
        <v/>
      </c>
      <c r="C2205">
        <f>Inputs!$B$3&gt;=40</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IF(B2225=0,0,O2205/B2225)</f>
        <v/>
      </c>
      <c r="Q2205" t="n">
        <v>0</v>
      </c>
      <c r="R2205" t="n">
        <v>0</v>
      </c>
      <c r="S2205">
        <f>IFERROR(O2205/N2205,0)</f>
        <v/>
      </c>
      <c r="T2205" t="n">
        <v>0</v>
      </c>
      <c r="V2205" t="n">
        <v>0</v>
      </c>
    </row>
    <row r="2206">
      <c r="A2206">
        <f>Skills!A20</f>
        <v/>
      </c>
      <c r="B2206">
        <f>Skills!B20</f>
        <v/>
      </c>
      <c r="C2206">
        <f>Inputs!$B$3&gt;=43</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IF(B2225=0,0,O2206/B2225)</f>
        <v/>
      </c>
      <c r="Q2206" t="n">
        <v>0</v>
      </c>
      <c r="R2206" t="n">
        <v>0</v>
      </c>
      <c r="S2206">
        <f>IFERROR(O2206/N2206,0)</f>
        <v/>
      </c>
      <c r="T2206" t="n">
        <v>0</v>
      </c>
      <c r="V2206" t="n">
        <v>0</v>
      </c>
    </row>
    <row r="2207">
      <c r="A2207">
        <f>Skills!A21</f>
        <v/>
      </c>
      <c r="B2207">
        <f>Skills!B21</f>
        <v/>
      </c>
      <c r="C2207">
        <f>Inputs!$B$3&gt;=38</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IF(B2225=0,0,O2207/B2225)</f>
        <v/>
      </c>
      <c r="Q2207" t="n">
        <v>0</v>
      </c>
      <c r="R2207" t="n">
        <v>0</v>
      </c>
      <c r="S2207">
        <f>IFERROR(O2207/N2207,0)</f>
        <v/>
      </c>
      <c r="T2207" t="n">
        <v>0</v>
      </c>
      <c r="V2207" t="n">
        <v>0</v>
      </c>
    </row>
    <row r="2208">
      <c r="A2208">
        <f>Skills!A22</f>
        <v/>
      </c>
      <c r="B2208">
        <f>Skills!B22</f>
        <v/>
      </c>
      <c r="C2208">
        <f>Inputs!$B$3&gt;=75</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IF(B2225=0,0,O2208/B2225)</f>
        <v/>
      </c>
      <c r="Q2208" t="n">
        <v>0</v>
      </c>
      <c r="R2208" t="n">
        <v>0</v>
      </c>
      <c r="S2208">
        <f>IFERROR(O2208/N2208,0)</f>
        <v/>
      </c>
      <c r="T2208" t="n">
        <v>0</v>
      </c>
      <c r="V2208" t="n">
        <v>0</v>
      </c>
    </row>
    <row r="2209">
      <c r="A2209">
        <f>Skills!A23</f>
        <v/>
      </c>
      <c r="B2209">
        <f>Skills!B23</f>
        <v/>
      </c>
      <c r="C2209">
        <f>TRUE</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IF(B2225=0,0,O2209/B2225)</f>
        <v/>
      </c>
      <c r="Q2209">
        <f>IFERROR(1/(IF(Inputs!$B$38="pvp",15,MAX(0.1,Skills!D23-IF(TRUE=TRUE,Inputs!$B$32,0)))*(1-IF(AND(ArtifactsInput!$M$27,Inputs!$B$4="Chapter Hunt"),CHOOSE(ArtifactsInput!$N$27+1,20,24,28,32,36,40),0)/100)),0)</f>
        <v/>
      </c>
      <c r="R2209">
        <f>IF(AND(Inputs!$B$38&lt;&gt;"pvp",Inputs!$B$43&gt;0),IF(Inputs!$B$43&lt;=0,0,(INT(Inputs!$B$43/(IF(Inputs!$B$38="pvp",15,MAX(0.1,Skills!D23-IF(TRUE=TRUE,Inputs!$B$32,0)))*(1-IF(AND(ArtifactsInput!$M$27,Inputs!$B$4="Chapter Hunt"),CHOOSE(ArtifactsInput!$N$27+1,20,24,28,32,36,40),0)/100)))+1)),0)</f>
        <v/>
      </c>
      <c r="S2209">
        <f>IFERROR(O2209/N2209,0)</f>
        <v/>
      </c>
      <c r="T2209" t="n">
        <v>0</v>
      </c>
      <c r="V2209" t="n">
        <v>0</v>
      </c>
    </row>
    <row r="2210">
      <c r="A2210">
        <f>Skills!A24</f>
        <v/>
      </c>
      <c r="B2210">
        <f>Skills!B24</f>
        <v/>
      </c>
      <c r="C2210">
        <f>Inputs!$B$3&gt;=107</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IF(B2225=0,0,O2210/B2225)</f>
        <v/>
      </c>
      <c r="Q2210">
        <f>IFERROR(1/(IF(Inputs!$B$38="pvp",15,MAX(0.1,Skills!D24-IF(TRUE=TRUE,Inputs!$B$32,0)))*(1-IF(AND(ArtifactsInput!$M$27,Inputs!$B$4="Chapter Hunt"),CHOOSE(ArtifactsInput!$N$27+1,20,24,28,32,36,40),0)/100)),0)</f>
        <v/>
      </c>
      <c r="R2210">
        <f>IF(AND(Inputs!$B$38&lt;&gt;"pvp",Inputs!$B$43&gt;0),IF(Inputs!$B$43&lt;=0,0,(INT(Inputs!$B$43/(IF(Inputs!$B$38="pvp",15,MAX(0.1,Skills!D24-IF(TRUE=TRUE,Inputs!$B$32,0)))*(1-IF(AND(ArtifactsInput!$M$27,Inputs!$B$4="Chapter Hunt"),CHOOSE(ArtifactsInput!$N$27+1,20,24,28,32,36,40),0)/100)))+1)),0)</f>
        <v/>
      </c>
      <c r="S2210">
        <f>IFERROR(O2210/N2210,0)</f>
        <v/>
      </c>
      <c r="T2210" t="n">
        <v>0</v>
      </c>
      <c r="V2210" t="n">
        <v>0</v>
      </c>
    </row>
    <row r="2211">
      <c r="A2211">
        <f>Skills!A25</f>
        <v/>
      </c>
      <c r="B2211">
        <f>Skills!B25</f>
        <v/>
      </c>
      <c r="C2211">
        <f>Inputs!$B$3&gt;=110</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t="inlineStr"/>
      <c r="H2211" t="inlineStr"/>
      <c r="I2211" t="inlineStr">
        <is>
          <t>1</t>
        </is>
      </c>
      <c r="J2211" t="inlineStr"/>
      <c r="K2211" t="inlineStr"/>
      <c r="L2211" t="inlineStr"/>
      <c r="M2211" t="inlineStr"/>
      <c r="N2211" t="inlineStr"/>
      <c r="O2211" t="inlineStr"/>
      <c r="P2211" t="inlineStr"/>
      <c r="Q2211" t="inlineStr"/>
      <c r="R2211" t="inlineStr"/>
      <c r="S2211" t="inlineStr"/>
      <c r="T2211" t="inlineStr"/>
      <c r="V2211" t="inlineStr"/>
    </row>
    <row r="2212">
      <c r="A2212">
        <f>Skills!A26</f>
        <v/>
      </c>
      <c r="B2212">
        <f>Skills!B26</f>
        <v/>
      </c>
      <c r="C2212">
        <f>Inputs!$B$3&gt;=117</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t="inlineStr"/>
      <c r="H2212" t="inlineStr"/>
      <c r="I2212" t="inlineStr">
        <is>
          <t>1</t>
        </is>
      </c>
      <c r="J2212" t="inlineStr"/>
      <c r="K2212" t="inlineStr"/>
      <c r="L2212" t="inlineStr"/>
      <c r="M2212" t="inlineStr"/>
      <c r="N2212" t="inlineStr"/>
      <c r="O2212" t="inlineStr"/>
      <c r="P2212" t="inlineStr"/>
      <c r="Q2212" t="inlineStr"/>
      <c r="R2212" t="inlineStr"/>
      <c r="S2212" t="inlineStr"/>
      <c r="T2212" t="inlineStr"/>
      <c r="V2212" t="inlineStr"/>
    </row>
    <row r="2214">
      <c r="A2214" t="inlineStr">
        <is>
          <t>Attack% Bucket Multiplier</t>
        </is>
      </c>
      <c r="B2214">
        <f>(1+(((C2199=TRUE)*F2199*5/7)+((C2205=TRUE)*(F2205-Calc!F19))+(IF(ArtifactsInput!$M$21,CHOOSE(ArtifactsInput!$N$21+1,25,30,35,40,45,50)*(IF(OR(Inputs!$B$4="Chapter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5">
      <c r="A2215" t="inlineStr">
        <is>
          <t>Global Crit Rate Bonus %</t>
        </is>
      </c>
      <c r="B2215" t="n">
        <v>0</v>
      </c>
    </row>
    <row r="2216">
      <c r="A2216" t="inlineStr">
        <is>
          <t>Attack Speed Buff Bonus % (Nimble Feet + Speed Infusion, duty-cycle averaged)</t>
        </is>
      </c>
      <c r="B2216">
        <f>((C2209=TRUE)*F2209*IF(AND(Inputs!$B$38&lt;&gt;"pvp",Inputs!$B$43&gt;0),(((R2209-1)*MIN((Skills!T23*(1+Inputs!$B$34/100)),(1/Q2209))+MIN((Skills!T23*(1+Inputs!$B$34/100)),MAX(0,Inputs!$B$43-((R2209-1)*(1/Q2209)))))/Inputs!$B$43),IF(Inputs!$B$38="pvp",MIN((Skills!T23*(1+Inputs!$B$34/100)),15)/15,MIN(1,(Skills!T23*(1+Inputs!$B$34/100))/(1/Q2209)))))+((C2210=TRUE)*F2210*IF(AND(Inputs!$B$38&lt;&gt;"pvp",Inputs!$B$43&gt;0),(((R2210-1)*MIN((Skills!T24*(1+Inputs!$B$34/100)),(1/Q2210))+MIN((Skills!T24*(1+Inputs!$B$34/100)),MAX(0,Inputs!$B$43-((R2210-1)*(1/Q2210)))))/Inputs!$B$43),IF(Inputs!$B$38="pvp",MIN((Skills!T24*(1+Inputs!$B$34/100)),15)/15,MIN(1,(Skills!T24*(1+Inputs!$B$34/100))/(1/Q2210)))))</f>
        <v/>
      </c>
    </row>
    <row r="2217">
      <c r="A2217" t="inlineStr">
        <is>
          <t>Actions Per Second</t>
        </is>
      </c>
      <c r="B2217">
        <f>1+MIN(150,150*(1-(1-(Inputs!$B$11+((C2203=TRUE)*(F2203-Calc!F17))+((C2204=TRUE)*(F2204-Calc!F18)))/150)*(1-B2216/150)))/100</f>
        <v/>
      </c>
    </row>
    <row r="2218">
      <c r="A2218" t="inlineStr">
        <is>
          <t>Skill + Buff Cast Rate</t>
        </is>
      </c>
      <c r="B2218">
        <f>IF(AND(Inputs!$B$38&lt;&gt;"pvp",Inputs!$B$43&gt;0),SUMPRODUCT((Skills!E2:E26=TRUE)*(C2188:C2212=TRUE)*R2188:R2212*Skills!F2:F26)/Inputs!$B$43,SUMPRODUCT((Skills!E2:E26=TRUE)*(C2188:C2212=TRUE)*Q2188:Q2212*Skills!F2:F26))</f>
        <v/>
      </c>
    </row>
    <row r="2219">
      <c r="A2219" t="inlineStr">
        <is>
          <t>Hook Bomber Casts Per Second</t>
        </is>
      </c>
      <c r="B2219">
        <f>MAX(0,B2217-B2218)</f>
        <v/>
      </c>
    </row>
    <row r="2220">
      <c r="A2220" t="inlineStr">
        <is>
          <t>Global Critical Damage Bonus % (unused)</t>
        </is>
      </c>
      <c r="B2220" t="n">
        <v>0</v>
      </c>
    </row>
    <row r="2221">
      <c r="A2221" t="inlineStr">
        <is>
          <t>Global Final Damage Bonus % (Serpent Scale + Crossbones + Time Leap + Speed Infusion)</t>
        </is>
      </c>
      <c r="B2221">
        <f>((C2191=TRUE)*(F2191*B2227+4*(1-B2227)))+((C2200=TRUE)*F2200*IF(AND(Inputs!$B$38&lt;&gt;"pvp",Inputs!$B$43&gt;0),(((R2200-1)*MIN((Skills!T14*(1+Inputs!$B$34/100)),(1/Q2200))+MIN((Skills!T14*(1+Inputs!$B$34/100)),MAX(0,Inputs!$B$43-((R2200-1)*(1/Q2200)))))/Inputs!$B$43),IF(Inputs!$B$38="pvp",MIN((Skills!T14*(1+Inputs!$B$34/100)),15)/15,MIN(1,(Skills!T14*(1+Inputs!$B$34/100))/(1/Q2200)))))+((C2201=TRUE)*F2201*IF(AND(Inputs!$B$38&lt;&gt;"pvp",Inputs!$B$43&gt;0),(((R2201-1)*MIN((Skills!T15*(1+Inputs!$B$34/100)),(1/Q2201))+MIN((Skills!T15*(1+Inputs!$B$34/100)),MAX(0,Inputs!$B$43-((R2201-1)*(1/Q2201)))))/Inputs!$B$43),IF(Inputs!$B$38="pvp",MIN((Skills!T15*(1+Inputs!$B$34/100)),15)/15,MIN(1,(Skills!T15*(1+Inputs!$B$34/100))/(1/Q2201)))))+((C2210=TRUE)*20*((1+MIN(150,150*(1-(1-(Inputs!$B$11+((C2203=TRUE)*(F2203-Calc!F17))+((C2204=TRUE)*(F2204-Calc!F18)))/150)*(1-(((C2209=TRUE)*F2209*IF(AND(Inputs!$B$38&lt;&gt;"pvp",Inputs!$B$43&gt;0),(((R2209-1)*MIN((Skills!T23*(1+Inputs!$B$34/100)),(1/Q2209))+MIN((Skills!T23*(1+Inputs!$B$34/100)),MAX(0,Inputs!$B$43-((R2209-1)*(1/Q2209)))))/Inputs!$B$43),IF(Inputs!$B$38="pvp",MIN((Skills!T23*(1+Inputs!$B$34/100)),15)/15,MIN(1,(Skills!T23*(1+Inputs!$B$34/100))/(1/Q2209)))))+F2210)/150)))/100)-1)*IF(AND(Inputs!$B$38&lt;&gt;"pvp",Inputs!$B$43&gt;0),(((R2210-1)*MIN((Skills!T24*(1+Inputs!$B$34/100)),(1/Q2210))+MIN((Skills!T24*(1+Inputs!$B$34/100)),MAX(0,Inputs!$B$43-((R2210-1)*(1/Q2210)))))/Inputs!$B$43),IF(Inputs!$B$38="pvp",MIN((Skills!T24*(1+Inputs!$B$34/100)),15)/15,MIN(1,(Skills!T24*(1+Inputs!$B$34/100))/(1/Q2210)))))</f>
        <v/>
      </c>
    </row>
    <row r="2222">
      <c r="A2222" t="inlineStr">
        <is>
          <t>Buff-Casting Startup Delay (s, fixed-duration only)</t>
        </is>
      </c>
      <c r="B2222">
        <f>IF(AND(Inputs!$B$38&lt;&gt;"pvp",Inputs!$B$43&gt;0),SUMPRODUCT((Skills!T2:T26&gt;0)*(Skills!E2:E26=TRUE)*(C2188:C2212=TRUE))/B2217,0)</f>
        <v/>
      </c>
    </row>
    <row r="2223">
      <c r="A2223" t="inlineStr">
        <is>
          <t>Boss-Only Total DPS (this block's swept value)</t>
        </is>
      </c>
      <c r="B2223">
        <f>SUM(T2188:T2212)</f>
        <v/>
      </c>
    </row>
    <row r="2224">
      <c r="A2224" t="inlineStr">
        <is>
          <t>Normal-Only Total DPS (this block's swept value)</t>
        </is>
      </c>
      <c r="B2224">
        <f>SUM(V2188:V2212)</f>
        <v/>
      </c>
    </row>
    <row r="2225">
      <c r="A2225" s="6" t="inlineStr">
        <is>
          <t>TOTAL DPS</t>
        </is>
      </c>
      <c r="B2225" s="6">
        <f>SUM(O2188:O2212)</f>
        <v/>
      </c>
    </row>
    <row r="2226">
      <c r="A2226" t="inlineStr">
        <is>
          <t>Serpent activation interval T (this block's own Hook Bomber rate)</t>
        </is>
      </c>
      <c r="B2226">
        <f>((1/Q2189)+IFERROR(0.5/B2219,0))</f>
        <v/>
      </c>
    </row>
    <row r="2227">
      <c r="A2227" t="inlineStr">
        <is>
          <t>Assault Mode uptime u (this block)</t>
        </is>
      </c>
      <c r="B2227">
        <f>IF(C2191=TRUE,(10+IF(Inputs!$B$3&gt;=94,5,0))/((10+IF(Inputs!$B$3&gt;=94,5,0))+IF(Inputs!$B$3&gt;=104,3,5)*B2226),0)</f>
        <v/>
      </c>
    </row>
    <row r="2228">
      <c r="A2228" t="inlineStr">
        <is>
          <t>Nautilus Strike - Final Attack trigger rate (this block's own Q/R)</t>
        </is>
      </c>
      <c r="B2228">
        <f>IF(AND(Inputs!$B$38&lt;&gt;"pvp",Inputs!$B$43&gt;0),(((C2192=TRUE)*R2192)+((C2193=TRUE)*R2193)+((C2196=TRUE)*R2196))/Inputs!$B$43,((C2192=TRUE)*Q2192)+((C2193=TRUE)*Q2193)+((C2196=TRUE)*Q2196))+B2219</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2251=TRUE)*(F2251-Calc!F20)),(Inputs!$B$23+0+(IF(ArtifactsInput!$M$15,CHOOSE(ArtifactsInput!$N$15+1,25,30,35,40,45,50)/100*(Inputs!$B$11-Inputs!$B$11),0))))/100+(Inputs!$B$23+0+(IF(ArtifactsInput!$M$15,CHOOSE(ArtifactsInput!$N$15+1,25,30,35,40,45,50)/100*(Inputs!$B$11-Inputs!$B$11),0)))/100)/2</f>
        <v/>
      </c>
      <c r="M2233">
        <f>L2233*(1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IF(B2270=0,0,O2233/B2270)</f>
        <v/>
      </c>
      <c r="Q2233" t="n">
        <v>0</v>
      </c>
      <c r="R2233" t="n">
        <v>0</v>
      </c>
      <c r="S2233">
        <f>IFERROR(O2233/N2233,0)</f>
        <v/>
      </c>
      <c r="T2233">
        <f>IF(C2233,(Skills!G2*N2233*B2264)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IF(C2233,(Skills!G2*N2233*B2264)*IF(Inputs!$B$38="pvp",1,(1+(Inputs!$B$21+Skills!Q2+(IF(ArtifactsInput!$M$33,CHOOSE(ArtifactsInput!$N$33+1,30,36,42,48,54,60),0))+(IF(AND(ArtifactsInput!$M$35,Inputs!$B$4&lt;&gt;"Chapter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Inputs!$B$3&gt;=35</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f>Skills!G3*IF(Skills!H3&gt;0,Skills!I3/Skills!H3,1)</f>
        <v/>
      </c>
      <c r="H2234">
        <f>1-(1-Skills!J3/100)^Skills!K3</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2256=TRUE,F2256,0)/100)*(1+(IF(Skills!A3="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2251=TRUE)*(F2251-Calc!F20)),(Inputs!$B$23+0+(IF(ArtifactsInput!$M$15,CHOOSE(ArtifactsInput!$N$15+1,25,30,35,40,45,50)/100*(Inputs!$B$11-Inputs!$B$11),0))))/100+(Inputs!$B$23+0+(IF(ArtifactsInput!$M$15,CHOOSE(ArtifactsInput!$N$15+1,25,30,35,40,45,50)/100*(Inputs!$B$11-Inputs!$B$11),0)))/100)/2</f>
        <v/>
      </c>
      <c r="M2234">
        <f>L2234*(1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IF(B2270=0,0,O2234/B2270)</f>
        <v/>
      </c>
      <c r="Q2234">
        <f>IFERROR(1/(IF(Inputs!$B$38="pvp",15,MAX(0.1,Skills!D3-IF(TRUE=TRUE,Inputs!$B$32,0)))*(1-IF(AND(ArtifactsInput!$M$27,Inputs!$B$4="Chapter Hunt"),CHOOSE(ArtifactsInput!$N$27+1,20,24,28,32,36,40),0)/100)),0)</f>
        <v/>
      </c>
      <c r="R2234">
        <f>IF(AND(Inputs!$B$38&lt;&gt;"pvp",Inputs!$B$43&gt;0),IF(MAX(0,Inputs!$B$43-B2267)&lt;=0,0,(INT(MAX(0,Inputs!$B$43-B2267)/(IF(Inputs!$B$38="pvp",15,MAX(0.1,Skills!D3-IF(TRUE=TRUE,Inputs!$B$32,0)))*(1-IF(AND(ArtifactsInput!$M$27,Inputs!$B$4="Chapter Hunt"),CHOOSE(ArtifactsInput!$N$27+1,20,24,28,32,36,40),0)/100)))+1)),0)</f>
        <v/>
      </c>
      <c r="S2234">
        <f>IFERROR(O2234/N2234,0)</f>
        <v/>
      </c>
      <c r="T2234">
        <f>IF(C2234,(Skills!G3*N2234*IF(C2235=TRUE,1-B2272,1)/B2271)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INDEX(FactorTable!$B$2:$Y$301, MATCH(ROUND(MIN(300,MAX(1,U2233)),0), FactorTable!$A$2:$A$301,0), 22)</f>
        <v/>
      </c>
      <c r="V2234">
        <f>IF(C2234,(Skills!G3*N2234*IF(C2235=TRUE,1-B2272,1)/B2271)*IF(Inputs!$B$38="pvp",1,(1+(Inputs!$B$21+Skills!Q3+(IF(ArtifactsInput!$M$33,CHOOSE(ArtifactsInput!$N$33+1,30,36,42,48,54,60),0))+(IF(AND(ArtifactsInput!$M$35,Inputs!$B$4&lt;&gt;"Chapter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Skills!A4</f>
        <v/>
      </c>
      <c r="B2235">
        <f>Skills!B4</f>
        <v/>
      </c>
      <c r="C2235">
        <f>Inputs!$B$3&gt;=69</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2251=TRUE)*(F2251-Calc!F20)),(Inputs!$B$23+0+(IF(ArtifactsInput!$M$15,CHOOSE(ArtifactsInput!$N$15+1,25,30,35,40,45,50)/100*(Inputs!$B$11-Inputs!$B$11),0))))/100+(Inputs!$B$23+0+(IF(ArtifactsInput!$M$15,CHOOSE(ArtifactsInput!$N$15+1,25,30,35,40,45,50)/100*(Inputs!$B$11-Inputs!$B$11),0)))/100)/2</f>
        <v/>
      </c>
      <c r="M2235">
        <f>L2235*(1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IF(B2270=0,0,O2235/B2270)</f>
        <v/>
      </c>
      <c r="Q2235" t="n">
        <v>0</v>
      </c>
      <c r="R2235" t="n">
        <v>0</v>
      </c>
      <c r="S2235">
        <f>IFERROR(O2235/N2235,0)</f>
        <v/>
      </c>
      <c r="T2235">
        <f>IF(C2235,(Skills!G4*N2235*B2272/B2271)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IF(C2235,(Skills!G4*N2235*B2272/B2271)*IF(Inputs!$B$38="pvp",1,(1+(Inputs!$B$21+Skills!Q4+(IF(ArtifactsInput!$M$33,CHOOSE(ArtifactsInput!$N$33+1,30,36,42,48,54,60),0))+(IF(AND(ArtifactsInput!$M$35,Inputs!$B$4&lt;&gt;"Chapter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t="inlineStr"/>
      <c r="K2236" t="inlineStr"/>
      <c r="L2236" t="inlineStr"/>
      <c r="M2236" t="inlineStr"/>
      <c r="N2236" t="inlineStr"/>
      <c r="O2236">
        <f>(1-Summary!$B$11)*T2236+Summary!$B$11*V2236</f>
        <v/>
      </c>
      <c r="P2236">
        <f>IF(B2270=0,0,O2236/B2270)</f>
        <v/>
      </c>
      <c r="Q2236" t="n">
        <v>0</v>
      </c>
      <c r="R2236" t="n">
        <v>0</v>
      </c>
      <c r="S2236">
        <f>IFERROR(O2236/N2236,0)</f>
        <v/>
      </c>
      <c r="T2236" t="n">
        <v>0</v>
      </c>
      <c r="V2236" t="n">
        <v>0</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2243=TRUE,F2243,0)/100)*(1+(IF(Skills!A6="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2251=TRUE)*(F2251-Calc!F20)),(Inputs!$B$23+0+(IF(ArtifactsInput!$M$15,CHOOSE(ArtifactsInput!$N$15+1,25,30,35,40,45,50)/100*(Inputs!$B$11-Inputs!$B$11),0))))/100+(Inputs!$B$23+0+(IF(ArtifactsInput!$M$15,CHOOSE(ArtifactsInput!$N$15+1,25,30,35,40,45,50)/100*(Inputs!$B$11-Inputs!$B$11),0)))/100)/2</f>
        <v/>
      </c>
      <c r="M2237">
        <f>L2237*(1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IF(B2270=0,0,O2237/B2270)</f>
        <v/>
      </c>
      <c r="Q2237">
        <f>IFERROR(1/(IF(Inputs!$B$38="pvp",15,MAX(0.1,Skills!D6-IF(TRUE=TRUE,Inputs!$B$32,0)))*(1-IF(AND(ArtifactsInput!$M$27,Inputs!$B$4="Chapter Hunt"),CHOOSE(ArtifactsInput!$N$27+1,20,24,28,32,36,40),0)/100)),0)</f>
        <v/>
      </c>
      <c r="R2237">
        <f>IF(AND(Inputs!$B$38&lt;&gt;"pvp",Inputs!$B$43&gt;0),IF(MAX(0,Inputs!$B$43-B2267)&lt;=0,0,(INT(MAX(0,Inputs!$B$43-B2267)/(IF(Inputs!$B$38="pvp",15,MAX(0.1,Skills!D6-IF(TRUE=TRUE,Inputs!$B$32,0)))*(1-IF(AND(ArtifactsInput!$M$27,Inputs!$B$4="Chapter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2267)-((R2237-1)*(IF(Inputs!$B$38="pvp",15,MAX(0.1,Skills!D6-IF(TRUE=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2267)-((R2237-1)*(IF(Inputs!$B$38="pvp",15,MAX(0.1,Skills!D6-IF(TRUE=TRUE,Inputs!$B$32,0)))*(1-IF(AND(ArtifactsInput!$M$27,Inputs!$B$4="Chapter Hunt"),CHOOSE(ArtifactsInput!$N$27+1,20,24,28,32,36,40),0)/100)))))/Skills!H6,1)))/Inputs!$B$43),G2237*Q2237))*IF(Inputs!$B$38="pvp",1,(1+(Inputs!$B$21+Skills!Q6+(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Inputs!$B$3&gt;=103</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2251=TRUE)*(F2251-Calc!F20)),(Inputs!$B$23+0+(IF(ArtifactsInput!$M$15,CHOOSE(ArtifactsInput!$N$15+1,25,30,35,40,45,50)/100*(Inputs!$B$11-Inputs!$B$11),0))))/100+(Inputs!$B$23+0+(IF(ArtifactsInput!$M$15,CHOOSE(ArtifactsInput!$N$15+1,25,30,35,40,45,50)/100*(Inputs!$B$11-Inputs!$B$11),0)))/100)/2</f>
        <v/>
      </c>
      <c r="M2238">
        <f>L2238*(1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IF(B2270=0,0,O2238/B2270)</f>
        <v/>
      </c>
      <c r="Q2238">
        <f>IFERROR(1/(IF(Inputs!$B$38="pvp",15,MAX(0.1,Skills!D7-IF(TRUE=TRUE,Inputs!$B$32,0)))*(1-IF(AND(ArtifactsInput!$M$27,Inputs!$B$4="Chapter Hunt"),CHOOSE(ArtifactsInput!$N$27+1,20,24,28,32,36,40),0)/100)),0)</f>
        <v/>
      </c>
      <c r="R2238">
        <f>IF(AND(Inputs!$B$38&lt;&gt;"pvp",Inputs!$B$43&gt;0),IF(MAX(0,Inputs!$B$43-B2267)&lt;=0,0,(INT(MAX(0,Inputs!$B$43-B2267)/(IF(Inputs!$B$38="pvp",15,MAX(0.1,Skills!D7-IF(TRUE=TRUE,Inputs!$B$32,0)))*(1-IF(AND(ArtifactsInput!$M$27,Inputs!$B$4="Chapter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2267)-((R2238-1)*(IF(Inputs!$B$38="pvp",15,MAX(0.1,Skills!D7-IF(TRUE=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2267)-((R2238-1)*(IF(Inputs!$B$38="pvp",15,MAX(0.1,Skills!D7-IF(TRUE=TRUE,Inputs!$B$32,0)))*(1-IF(AND(ArtifactsInput!$M$27,Inputs!$B$4="Chapter Hunt"),CHOOSE(ArtifactsInput!$N$27+1,20,24,28,32,36,40),0)/100)))))/Skills!H7,1)))/Inputs!$B$43),G2238*Q2238))*IF(Inputs!$B$38="pvp",1,(1+(Inputs!$B$21+Skills!Q7+(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Inputs!$B$3&gt;=117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2251=TRUE)*(F2251-Calc!F20)),(Inputs!$B$23+0+(IF(ArtifactsInput!$M$15,CHOOSE(ArtifactsInput!$N$15+1,25,30,35,40,45,50)/100*(Inputs!$B$11-Inputs!$B$11),0))))/100+(Inputs!$B$23+0+(IF(ArtifactsInput!$M$15,CHOOSE(ArtifactsInput!$N$15+1,25,30,35,40,45,50)/100*(Inputs!$B$11-Inputs!$B$11),0)))/100)/2</f>
        <v/>
      </c>
      <c r="M2239">
        <f>L2239*(1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IF(B2270=0,0,O2239/B2270)</f>
        <v/>
      </c>
      <c r="Q2239">
        <f>IFERROR(1/(IF(Inputs!$B$38="pvp",15,MAX(0.1,Skills!D8-IF(TRUE=TRUE,Inputs!$B$32,0)))*(1-IF(AND(ArtifactsInput!$M$27,Inputs!$B$4="Chapter Hunt"),CHOOSE(ArtifactsInput!$N$27+1,20,24,28,32,36,40),0)/100)),0)</f>
        <v/>
      </c>
      <c r="R2239">
        <f>IF(AND(Inputs!$B$38&lt;&gt;"pvp",Inputs!$B$43&gt;0),IF(MAX(0,Inputs!$B$43-B2267)&lt;=0,0,(INT(MAX(0,Inputs!$B$43-B2267)/(IF(Inputs!$B$38="pvp",15,MAX(0.1,Skills!D8-IF(TRUE=TRUE,Inputs!$B$32,0)))*(1-IF(AND(ArtifactsInput!$M$27,Inputs!$B$4="Chapter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2267)-((R2239-1)*(IF(Inputs!$B$38="pvp",15,MAX(0.1,Skills!D8-IF(TRUE=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2267)-((R2239-1)*(IF(Inputs!$B$38="pvp",15,MAX(0.1,Skills!D8-IF(TRUE=TRUE,Inputs!$B$32,0)))*(1-IF(AND(ArtifactsInput!$M$27,Inputs!$B$4="Chapter Hunt"),CHOOSE(ArtifactsInput!$N$27+1,20,24,28,32,36,40),0)/100)))))/Skills!H8,1)))/Inputs!$B$43),G2239*Q2239))*IF(Inputs!$B$38="pvp",1,(1+(Inputs!$B$21+Skills!Q8+(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Inputs!$B$3&gt;=120</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B2272</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2251=TRUE)*(F2251-Calc!F20)),(Inputs!$B$23+0+(IF(ArtifactsInput!$M$15,CHOOSE(ArtifactsInput!$N$15+1,25,30,35,40,45,50)/100*(Inputs!$B$11-Inputs!$B$11),0))))/100+(Inputs!$B$23+0+(IF(ArtifactsInput!$M$15,CHOOSE(ArtifactsInput!$N$15+1,25,30,35,40,45,50)/100*(Inputs!$B$11-Inputs!$B$11),0)))/100)/2</f>
        <v/>
      </c>
      <c r="M2240">
        <f>L2240*(1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IF(B2270=0,0,O2240/B2270)</f>
        <v/>
      </c>
      <c r="Q2240">
        <f>IFERROR(1/(IF(Inputs!$B$38="pvp",15,MAX(0.1,Skills!D9-IF(TRUE=TRUE,Inputs!$B$32,0)))*(1-IF(AND(ArtifactsInput!$M$27,Inputs!$B$4="Chapter Hunt"),CHOOSE(ArtifactsInput!$N$27+1,20,24,28,32,36,40),0)/100)),0)</f>
        <v/>
      </c>
      <c r="R2240">
        <f>IF(AND(Inputs!$B$38&lt;&gt;"pvp",Inputs!$B$43&gt;0),IF(MAX(0,Inputs!$B$43-B2267)&lt;=0,0,(INT(MAX(0,Inputs!$B$43-B2267)/(IF(Inputs!$B$38="pvp",15,MAX(0.1,Skills!D9-IF(TRUE=TRUE,Inputs!$B$32,0)))*(1-IF(AND(ArtifactsInput!$M$27,Inputs!$B$4="Chapter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2267)-((R2240-1)*(IF(Inputs!$B$38="pvp",15,MAX(0.1,Skills!D9-IF(TRUE=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2267)-((R2240-1)*(IF(Inputs!$B$38="pvp",15,MAX(0.1,Skills!D9-IF(TRUE=TRUE,Inputs!$B$32,0)))*(1-IF(AND(ArtifactsInput!$M$27,Inputs!$B$4="Chapter Hunt"),CHOOSE(ArtifactsInput!$N$27+1,20,24,28,32,36,40),0)/100)))))/Skills!H9,1)))/Inputs!$B$43),G2240*Q2240))*IF(Inputs!$B$38="pvp",1,(1+(Inputs!$B$21+Skills!Q9+(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Inputs!$B$3&gt;=105</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2251=TRUE)*(F2251-Calc!F20)),(Inputs!$B$23+0+(IF(ArtifactsInput!$M$15,CHOOSE(ArtifactsInput!$N$15+1,25,30,35,40,45,50)/100*(Inputs!$B$11-Inputs!$B$11),0))))/100+(Inputs!$B$23+0+(IF(ArtifactsInput!$M$15,CHOOSE(ArtifactsInput!$N$15+1,25,30,35,40,45,50)/100*(Inputs!$B$11-Inputs!$B$11),0)))/100)/2</f>
        <v/>
      </c>
      <c r="M2241">
        <f>L2241*(1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IF(B2270=0,0,O2241/B2270)</f>
        <v/>
      </c>
      <c r="Q2241">
        <f>IFERROR(1/(IF(Inputs!$B$38="pvp",15,MAX(0.1,Skills!D10-IF(TRUE=TRUE,Inputs!$B$32,0)))*(1-IF(AND(ArtifactsInput!$M$27,Inputs!$B$4="Chapter Hunt"),CHOOSE(ArtifactsInput!$N$27+1,20,24,28,32,36,40),0)/100)),0)</f>
        <v/>
      </c>
      <c r="R2241">
        <f>IF(AND(Inputs!$B$38&lt;&gt;"pvp",Inputs!$B$43&gt;0),IF(MAX(0,Inputs!$B$43-B2267)&lt;=0,0,(INT(MAX(0,Inputs!$B$43-B2267)/(IF(Inputs!$B$38="pvp",15,MAX(0.1,Skills!D10-IF(TRUE=TRUE,Inputs!$B$32,0)))*(1-IF(AND(ArtifactsInput!$M$27,Inputs!$B$4="Chapter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2267)-((R2241-1)*(IF(Inputs!$B$38="pvp",15,MAX(0.1,Skills!D10-IF(TRUE=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2267)-((R2241-1)*(IF(Inputs!$B$38="pvp",15,MAX(0.1,Skills!D10-IF(TRUE=TRUE,Inputs!$B$32,0)))*(1-IF(AND(ArtifactsInput!$M$27,Inputs!$B$4="Chapter Hunt"),CHOOSE(ArtifactsInput!$N$27+1,20,24,28,32,36,40),0)/100)))))/Skills!H10,1)))/Inputs!$B$43),G2241*Q2241))*IF(Inputs!$B$38="pvp",1,(1+(Inputs!$B$21+Skills!Q10+(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2251=TRUE)*(F2251-Calc!F20)),(Inputs!$B$23+0+(IF(ArtifactsInput!$M$15,CHOOSE(ArtifactsInput!$N$15+1,25,30,35,40,45,50)/100*(Inputs!$B$11-Inputs!$B$11),0))))/100+(Inputs!$B$23+0+(IF(ArtifactsInput!$M$15,CHOOSE(ArtifactsInput!$N$15+1,25,30,35,40,45,50)/100*(Inputs!$B$11-Inputs!$B$11),0)))/100)/2</f>
        <v/>
      </c>
      <c r="M2242">
        <f>L2242*(1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IF(B2270=0,0,O2242/B2270)</f>
        <v/>
      </c>
      <c r="Q2242" t="n">
        <v>0</v>
      </c>
      <c r="R2242" t="n">
        <v>0</v>
      </c>
      <c r="S2242">
        <f>IFERROR(O2242/N2242,0)</f>
        <v/>
      </c>
      <c r="T2242">
        <f>IF(C2242,((H2242*B2273)/(1+Skills!H11*H2242*B2273)*N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IF(C2242,((H2242*B2273)/(1+Skills!H11*H2242*B2273)*N2242)*IF(Inputs!$B$38="pvp",1,(1+(Inputs!$B$21+Skills!Q11+(IF(ArtifactsInput!$M$33,CHOOSE(ArtifactsInput!$N$33+1,30,36,42,48,54,60),0))+(IF(AND(ArtifactsInput!$M$35,Inputs!$B$4&lt;&gt;"Chapter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IF(B2270=0,0,O2244/B2270)</f>
        <v/>
      </c>
      <c r="Q2244" t="n">
        <v>0</v>
      </c>
      <c r="R2244" t="n">
        <v>0</v>
      </c>
      <c r="S2244">
        <f>IFERROR(O2244/N2244,0)</f>
        <v/>
      </c>
      <c r="T2244" t="n">
        <v>0</v>
      </c>
      <c r="V2244" t="n">
        <v>0</v>
      </c>
    </row>
    <row r="2245">
      <c r="A2245">
        <f>Skills!A14</f>
        <v/>
      </c>
      <c r="B2245">
        <f>Skills!B14</f>
        <v/>
      </c>
      <c r="C2245">
        <f>Inputs!$B$3&gt;=115</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IF(B2270=0,0,O2245/B2270)</f>
        <v/>
      </c>
      <c r="Q2245">
        <f>IFERROR(1/(IF(Inputs!$B$38="pvp",15,MAX(0.1,Skills!D14-IF(TRUE=TRUE,Inputs!$B$32,0)))*(1-IF(AND(ArtifactsInput!$M$27,Inputs!$B$4="Chapter Hunt"),CHOOSE(ArtifactsInput!$N$27+1,20,24,28,32,36,40),0)/100)),0)</f>
        <v/>
      </c>
      <c r="R2245">
        <f>IF(AND(Inputs!$B$38&lt;&gt;"pvp",Inputs!$B$43&gt;0),IF(Inputs!$B$43&lt;=0,0,(INT(Inputs!$B$43/(IF(Inputs!$B$38="pvp",15,MAX(0.1,Skills!D14-IF(TRUE=TRUE,Inputs!$B$32,0)))*(1-IF(AND(ArtifactsInput!$M$27,Inputs!$B$4="Chapter Hunt"),CHOOSE(ArtifactsInput!$N$27+1,20,24,28,32,36,40),0)/100)))+1)),0)</f>
        <v/>
      </c>
      <c r="S2245">
        <f>IFERROR(O2245/N2245,0)</f>
        <v/>
      </c>
      <c r="T2245" t="n">
        <v>0</v>
      </c>
      <c r="V2245" t="n">
        <v>0</v>
      </c>
    </row>
    <row r="2246">
      <c r="A2246">
        <f>Skills!A15</f>
        <v/>
      </c>
      <c r="B2246">
        <f>Skills!B15</f>
        <v/>
      </c>
      <c r="C2246">
        <f>Inputs!$B$3&gt;=125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IF(B2270=0,0,O2246/B2270)</f>
        <v/>
      </c>
      <c r="Q2246">
        <f>IFERROR(1/(IF(Inputs!$B$38="pvp",15,MAX(0.1,Skills!D15-IF(TRUE=TRUE,Inputs!$B$32,0)))*(1-IF(AND(ArtifactsInput!$M$27,Inputs!$B$4="Chapter Hunt"),CHOOSE(ArtifactsInput!$N$27+1,20,24,28,32,36,40),0)/100)),0)</f>
        <v/>
      </c>
      <c r="R2246">
        <f>IF(AND(Inputs!$B$38&lt;&gt;"pvp",Inputs!$B$43&gt;0),IF(Inputs!$B$43&lt;=0,0,(INT(Inputs!$B$43/(IF(Inputs!$B$38="pvp",15,MAX(0.1,Skills!D15-IF(TRUE=TRUE,Inputs!$B$32,0)))*(1-IF(AND(ArtifactsInput!$M$27,Inputs!$B$4="Chapter Hunt"),CHOOSE(ArtifactsInput!$N$27+1,20,24,28,32,36,40),0)/100)))+1)),0)</f>
        <v/>
      </c>
      <c r="S2246">
        <f>IFERROR(O2246/N2246,0)</f>
        <v/>
      </c>
      <c r="T2246" t="n">
        <v>0</v>
      </c>
      <c r="V2246" t="n">
        <v>0</v>
      </c>
    </row>
    <row r="2247">
      <c r="A2247">
        <f>Skills!A16</f>
        <v/>
      </c>
      <c r="B2247">
        <f>Skills!B16</f>
        <v/>
      </c>
      <c r="C2247">
        <f>Inputs!$B$3&gt;=10</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IF(B2270=0,0,O2247/B2270)</f>
        <v/>
      </c>
      <c r="Q2247" t="n">
        <v>0</v>
      </c>
      <c r="R2247" t="n">
        <v>0</v>
      </c>
      <c r="S2247">
        <f>IFERROR(O2247/N2247,0)</f>
        <v/>
      </c>
      <c r="T2247" t="n">
        <v>0</v>
      </c>
      <c r="V2247" t="n">
        <v>0</v>
      </c>
    </row>
    <row r="2248">
      <c r="A2248">
        <f>Skills!A17</f>
        <v/>
      </c>
      <c r="B2248">
        <f>Skills!B17</f>
        <v/>
      </c>
      <c r="C2248">
        <f>Inputs!$B$3&gt;=15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IF(B2270=0,0,O2248/B2270)</f>
        <v/>
      </c>
      <c r="Q2248" t="n">
        <v>0</v>
      </c>
      <c r="R2248" t="n">
        <v>0</v>
      </c>
      <c r="S2248">
        <f>IFERROR(O2248/N2248,0)</f>
        <v/>
      </c>
      <c r="T2248" t="n">
        <v>0</v>
      </c>
      <c r="V2248" t="n">
        <v>0</v>
      </c>
    </row>
    <row r="2249">
      <c r="A2249">
        <f>Skills!A18</f>
        <v/>
      </c>
      <c r="B2249">
        <f>Skills!B18</f>
        <v/>
      </c>
      <c r="C2249">
        <f>Inputs!$B$3&gt;=33</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IF(B2270=0,0,O2249/B2270)</f>
        <v/>
      </c>
      <c r="Q2249" t="n">
        <v>0</v>
      </c>
      <c r="R2249" t="n">
        <v>0</v>
      </c>
      <c r="S2249">
        <f>IFERROR(O2249/N2249,0)</f>
        <v/>
      </c>
      <c r="T2249" t="n">
        <v>0</v>
      </c>
      <c r="V2249" t="n">
        <v>0</v>
      </c>
    </row>
    <row r="2250">
      <c r="A2250">
        <f>Skills!A19</f>
        <v/>
      </c>
      <c r="B2250">
        <f>Skills!B19</f>
        <v/>
      </c>
      <c r="C2250">
        <f>Inputs!$B$3&gt;=40</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IF(B2270=0,0,O2250/B2270)</f>
        <v/>
      </c>
      <c r="Q2250" t="n">
        <v>0</v>
      </c>
      <c r="R2250" t="n">
        <v>0</v>
      </c>
      <c r="S2250">
        <f>IFERROR(O2250/N2250,0)</f>
        <v/>
      </c>
      <c r="T2250" t="n">
        <v>0</v>
      </c>
      <c r="V2250" t="n">
        <v>0</v>
      </c>
    </row>
    <row r="2251">
      <c r="A2251">
        <f>Skills!A20</f>
        <v/>
      </c>
      <c r="B2251">
        <f>Skills!B20</f>
        <v/>
      </c>
      <c r="C2251">
        <f>Inputs!$B$3&gt;=43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IF(B2270=0,0,O2251/B2270)</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IF(B2270=0,0,O2252/B2270)</f>
        <v/>
      </c>
      <c r="Q2252" t="n">
        <v>0</v>
      </c>
      <c r="R2252" t="n">
        <v>0</v>
      </c>
      <c r="S2252">
        <f>IFERROR(O2252/N2252,0)</f>
        <v/>
      </c>
      <c r="T2252" t="n">
        <v>0</v>
      </c>
      <c r="V2252" t="n">
        <v>0</v>
      </c>
    </row>
    <row r="2253">
      <c r="A2253">
        <f>Skills!A22</f>
        <v/>
      </c>
      <c r="B2253">
        <f>Skills!B22</f>
        <v/>
      </c>
      <c r="C2253">
        <f>Inputs!$B$3&gt;=75</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IF(B2270=0,0,O2253/B2270)</f>
        <v/>
      </c>
      <c r="Q2253" t="n">
        <v>0</v>
      </c>
      <c r="R2253" t="n">
        <v>0</v>
      </c>
      <c r="S2253">
        <f>IFERROR(O2253/N2253,0)</f>
        <v/>
      </c>
      <c r="T2253" t="n">
        <v>0</v>
      </c>
      <c r="V2253" t="n">
        <v>0</v>
      </c>
    </row>
    <row r="2254">
      <c r="A2254">
        <f>Skills!A23</f>
        <v/>
      </c>
      <c r="B2254">
        <f>Skills!B23</f>
        <v/>
      </c>
      <c r="C2254">
        <f>TRUE</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IF(B2270=0,0,O2254/B2270)</f>
        <v/>
      </c>
      <c r="Q2254">
        <f>IFERROR(1/(IF(Inputs!$B$38="pvp",15,MAX(0.1,Skills!D23-IF(TRUE=TRUE,Inputs!$B$32,0)))*(1-IF(AND(ArtifactsInput!$M$27,Inputs!$B$4="Chapter Hunt"),CHOOSE(ArtifactsInput!$N$27+1,20,24,28,32,36,40),0)/100)),0)</f>
        <v/>
      </c>
      <c r="R2254">
        <f>IF(AND(Inputs!$B$38&lt;&gt;"pvp",Inputs!$B$43&gt;0),IF(Inputs!$B$43&lt;=0,0,(INT(Inputs!$B$43/(IF(Inputs!$B$38="pvp",15,MAX(0.1,Skills!D23-IF(TRUE=TRUE,Inputs!$B$32,0)))*(1-IF(AND(ArtifactsInput!$M$27,Inputs!$B$4="Chapter Hunt"),CHOOSE(ArtifactsInput!$N$27+1,20,24,28,32,36,40),0)/100)))+1)),0)</f>
        <v/>
      </c>
      <c r="S2254">
        <f>IFERROR(O2254/N2254,0)</f>
        <v/>
      </c>
      <c r="T2254" t="n">
        <v>0</v>
      </c>
      <c r="V2254" t="n">
        <v>0</v>
      </c>
    </row>
    <row r="2255">
      <c r="A2255">
        <f>Skills!A24</f>
        <v/>
      </c>
      <c r="B2255">
        <f>Skills!B24</f>
        <v/>
      </c>
      <c r="C2255">
        <f>Inputs!$B$3&gt;=107</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IF(B2270=0,0,O2255/B2270)</f>
        <v/>
      </c>
      <c r="Q2255">
        <f>IFERROR(1/(IF(Inputs!$B$38="pvp",15,MAX(0.1,Skills!D24-IF(TRUE=TRUE,Inputs!$B$32,0)))*(1-IF(AND(ArtifactsInput!$M$27,Inputs!$B$4="Chapter Hunt"),CHOOSE(ArtifactsInput!$N$27+1,20,24,28,32,36,40),0)/100)),0)</f>
        <v/>
      </c>
      <c r="R2255">
        <f>IF(AND(Inputs!$B$38&lt;&gt;"pvp",Inputs!$B$43&gt;0),IF(Inputs!$B$43&lt;=0,0,(INT(Inputs!$B$43/(IF(Inputs!$B$38="pvp",15,MAX(0.1,Skills!D24-IF(TRUE=TRUE,Inputs!$B$32,0)))*(1-IF(AND(ArtifactsInput!$M$27,Inputs!$B$4="Chapter Hunt"),CHOOSE(ArtifactsInput!$N$27+1,20,24,28,32,36,40),0)/100)))+1)),0)</f>
        <v/>
      </c>
      <c r="S2255">
        <f>IFERROR(O2255/N2255,0)</f>
        <v/>
      </c>
      <c r="T2255" t="n">
        <v>0</v>
      </c>
      <c r="V2255" t="n">
        <v>0</v>
      </c>
    </row>
    <row r="2256">
      <c r="A2256">
        <f>Skills!A25</f>
        <v/>
      </c>
      <c r="B2256">
        <f>Skills!B25</f>
        <v/>
      </c>
      <c r="C2256">
        <f>Inputs!$B$3&gt;=110</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t="inlineStr"/>
      <c r="H2256" t="inlineStr"/>
      <c r="I2256" t="inlineStr">
        <is>
          <t>1</t>
        </is>
      </c>
      <c r="J2256" t="inlineStr"/>
      <c r="K2256" t="inlineStr"/>
      <c r="L2256" t="inlineStr"/>
      <c r="M2256" t="inlineStr"/>
      <c r="N2256" t="inlineStr"/>
      <c r="O2256" t="inlineStr"/>
      <c r="P2256" t="inlineStr"/>
      <c r="Q2256" t="inlineStr"/>
      <c r="R2256" t="inlineStr"/>
      <c r="S2256" t="inlineStr"/>
      <c r="T2256" t="inlineStr"/>
      <c r="V2256" t="inlineStr"/>
    </row>
    <row r="2257">
      <c r="A2257">
        <f>Skills!A26</f>
        <v/>
      </c>
      <c r="B2257">
        <f>Skills!B26</f>
        <v/>
      </c>
      <c r="C2257">
        <f>Inputs!$B$3&gt;=117</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t="inlineStr"/>
      <c r="H2257" t="inlineStr"/>
      <c r="I2257" t="inlineStr">
        <is>
          <t>1</t>
        </is>
      </c>
      <c r="J2257" t="inlineStr"/>
      <c r="K2257" t="inlineStr"/>
      <c r="L2257" t="inlineStr"/>
      <c r="M2257" t="inlineStr"/>
      <c r="N2257" t="inlineStr"/>
      <c r="O2257" t="inlineStr"/>
      <c r="P2257" t="inlineStr"/>
      <c r="Q2257" t="inlineStr"/>
      <c r="R2257" t="inlineStr"/>
      <c r="S2257" t="inlineStr"/>
      <c r="T2257" t="inlineStr"/>
      <c r="V2257" t="inlineStr"/>
    </row>
    <row r="2259">
      <c r="A2259" t="inlineStr">
        <is>
          <t>Attack% Bucket Multiplier</t>
        </is>
      </c>
      <c r="B2259">
        <f>(1+(((C2244=TRUE)*F2244*5/7)+((C2250=TRUE)*(F2250-Calc!F19))+(IF(ArtifactsInput!$M$21,CHOOSE(ArtifactsInput!$N$21+1,25,30,35,40,45,50)*(IF(OR(Inputs!$B$4="Chapter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0">
      <c r="A2260" t="inlineStr">
        <is>
          <t>Global Crit Rate Bonus %</t>
        </is>
      </c>
      <c r="B2260" t="n">
        <v>0</v>
      </c>
    </row>
    <row r="2261">
      <c r="A2261" t="inlineStr">
        <is>
          <t>Attack Speed Buff Bonus % (Nimble Feet + Speed Infusion, duty-cycle averaged)</t>
        </is>
      </c>
      <c r="B2261">
        <f>((C2254=TRUE)*F2254*IF(AND(Inputs!$B$38&lt;&gt;"pvp",Inputs!$B$43&gt;0),(((R2254-1)*MIN((Skills!T23*(1+Inputs!$B$34/100)),(1/Q2254))+MIN((Skills!T23*(1+Inputs!$B$34/100)),MAX(0,Inputs!$B$43-((R2254-1)*(1/Q2254)))))/Inputs!$B$43),IF(Inputs!$B$38="pvp",MIN((Skills!T23*(1+Inputs!$B$34/100)),15)/15,MIN(1,(Skills!T23*(1+Inputs!$B$34/100))/(1/Q2254)))))+((C2255=TRUE)*F2255*IF(AND(Inputs!$B$38&lt;&gt;"pvp",Inputs!$B$43&gt;0),(((R2255-1)*MIN((Skills!T24*(1+Inputs!$B$34/100)),(1/Q2255))+MIN((Skills!T24*(1+Inputs!$B$34/100)),MAX(0,Inputs!$B$43-((R2255-1)*(1/Q2255)))))/Inputs!$B$43),IF(Inputs!$B$38="pvp",MIN((Skills!T24*(1+Inputs!$B$34/100)),15)/15,MIN(1,(Skills!T24*(1+Inputs!$B$34/100))/(1/Q2255)))))</f>
        <v/>
      </c>
    </row>
    <row r="2262">
      <c r="A2262" t="inlineStr">
        <is>
          <t>Actions Per Second</t>
        </is>
      </c>
      <c r="B2262">
        <f>1+MIN(150,150*(1-(1-(Inputs!$B$11+((C2248=TRUE)*(F2248-Calc!F17))+((C2249=TRUE)*(F2249-Calc!F18)))/150)*(1-B2261/150)))/100</f>
        <v/>
      </c>
    </row>
    <row r="2263">
      <c r="A2263" t="inlineStr">
        <is>
          <t>Skill + Buff Cast Rate</t>
        </is>
      </c>
      <c r="B2263">
        <f>IF(AND(Inputs!$B$38&lt;&gt;"pvp",Inputs!$B$43&gt;0),SUMPRODUCT((Skills!E2:E26=TRUE)*(C2233:C2257=TRUE)*R2233:R2257*Skills!F2:F26)/Inputs!$B$43,SUMPRODUCT((Skills!E2:E26=TRUE)*(C2233:C2257=TRUE)*Q2233:Q2257*Skills!F2:F26))</f>
        <v/>
      </c>
    </row>
    <row r="2264">
      <c r="A2264" t="inlineStr">
        <is>
          <t>Hook Bomber Casts Per Second</t>
        </is>
      </c>
      <c r="B2264">
        <f>MAX(0,B2262-B2263)</f>
        <v/>
      </c>
    </row>
    <row r="2265">
      <c r="A2265" t="inlineStr">
        <is>
          <t>Global Critical Damage Bonus % (unused)</t>
        </is>
      </c>
      <c r="B2265" t="n">
        <v>0</v>
      </c>
    </row>
    <row r="2266">
      <c r="A2266" t="inlineStr">
        <is>
          <t>Global Final Damage Bonus % (Serpent Scale + Crossbones + Time Leap + Speed Infusion)</t>
        </is>
      </c>
      <c r="B2266">
        <f>((C2236=TRUE)*(F2236*B2272+4*(1-B2272)))+((C2245=TRUE)*F2245*IF(AND(Inputs!$B$38&lt;&gt;"pvp",Inputs!$B$43&gt;0),(((R2245-1)*MIN((Skills!T14*(1+Inputs!$B$34/100)),(1/Q2245))+MIN((Skills!T14*(1+Inputs!$B$34/100)),MAX(0,Inputs!$B$43-((R2245-1)*(1/Q2245)))))/Inputs!$B$43),IF(Inputs!$B$38="pvp",MIN((Skills!T14*(1+Inputs!$B$34/100)),15)/15,MIN(1,(Skills!T14*(1+Inputs!$B$34/100))/(1/Q2245)))))+((C2246=TRUE)*F2246*IF(AND(Inputs!$B$38&lt;&gt;"pvp",Inputs!$B$43&gt;0),(((R2246-1)*MIN((Skills!T15*(1+Inputs!$B$34/100)),(1/Q2246))+MIN((Skills!T15*(1+Inputs!$B$34/100)),MAX(0,Inputs!$B$43-((R2246-1)*(1/Q2246)))))/Inputs!$B$43),IF(Inputs!$B$38="pvp",MIN((Skills!T15*(1+Inputs!$B$34/100)),15)/15,MIN(1,(Skills!T15*(1+Inputs!$B$34/100))/(1/Q2246)))))+((C2255=TRUE)*20*((1+MIN(150,150*(1-(1-(Inputs!$B$11+((C2248=TRUE)*(F2248-Calc!F17))+((C2249=TRUE)*(F2249-Calc!F18)))/150)*(1-(((C2254=TRUE)*F2254*IF(AND(Inputs!$B$38&lt;&gt;"pvp",Inputs!$B$43&gt;0),(((R2254-1)*MIN((Skills!T23*(1+Inputs!$B$34/100)),(1/Q2254))+MIN((Skills!T23*(1+Inputs!$B$34/100)),MAX(0,Inputs!$B$43-((R2254-1)*(1/Q2254)))))/Inputs!$B$43),IF(Inputs!$B$38="pvp",MIN((Skills!T23*(1+Inputs!$B$34/100)),15)/15,MIN(1,(Skills!T23*(1+Inputs!$B$34/100))/(1/Q2254)))))+F2255)/150)))/100)-1)*IF(AND(Inputs!$B$38&lt;&gt;"pvp",Inputs!$B$43&gt;0),(((R2255-1)*MIN((Skills!T24*(1+Inputs!$B$34/100)),(1/Q2255))+MIN((Skills!T24*(1+Inputs!$B$34/100)),MAX(0,Inputs!$B$43-((R2255-1)*(1/Q2255)))))/Inputs!$B$43),IF(Inputs!$B$38="pvp",MIN((Skills!T24*(1+Inputs!$B$34/100)),15)/15,MIN(1,(Skills!T24*(1+Inputs!$B$34/100))/(1/Q2255)))))</f>
        <v/>
      </c>
    </row>
    <row r="2267">
      <c r="A2267" t="inlineStr">
        <is>
          <t>Buff-Casting Startup Delay (s, fixed-duration only)</t>
        </is>
      </c>
      <c r="B2267">
        <f>IF(AND(Inputs!$B$38&lt;&gt;"pvp",Inputs!$B$43&gt;0),SUMPRODUCT((Skills!T2:T26&gt;0)*(Skills!E2:E26=TRUE)*(C2233:C2257=TRUE))/B2262,0)</f>
        <v/>
      </c>
    </row>
    <row r="2268">
      <c r="A2268" t="inlineStr">
        <is>
          <t>Boss-Only Total DPS (this block's swept value)</t>
        </is>
      </c>
      <c r="B2268">
        <f>SUM(T2233:T2257)</f>
        <v/>
      </c>
    </row>
    <row r="2269">
      <c r="A2269" t="inlineStr">
        <is>
          <t>Normal-Only Total DPS (this block's swept value)</t>
        </is>
      </c>
      <c r="B2269">
        <f>SUM(V2233:V2257)</f>
        <v/>
      </c>
    </row>
    <row r="2270">
      <c r="A2270" s="6" t="inlineStr">
        <is>
          <t>TOTAL DPS</t>
        </is>
      </c>
      <c r="B2270" s="6">
        <f>SUM(O2233:O2257)</f>
        <v/>
      </c>
    </row>
    <row r="2271">
      <c r="A2271" t="inlineStr">
        <is>
          <t>Serpent activation interval T (this block's own Hook Bomber rate)</t>
        </is>
      </c>
      <c r="B2271">
        <f>((1/Q2234)+IFERROR(0.5/B2264,0))</f>
        <v/>
      </c>
    </row>
    <row r="2272">
      <c r="A2272" t="inlineStr">
        <is>
          <t>Assault Mode uptime u (this block)</t>
        </is>
      </c>
      <c r="B2272">
        <f>IF(C2236=TRUE,(10+IF(Inputs!$B$3&gt;=94,5,0))/((10+IF(Inputs!$B$3&gt;=94,5,0))+IF(Inputs!$B$3&gt;=104,3,5)*B2271),0)</f>
        <v/>
      </c>
    </row>
    <row r="2273">
      <c r="A2273" t="inlineStr">
        <is>
          <t>Nautilus Strike - Final Attack trigger rate (this block's own Q/R)</t>
        </is>
      </c>
      <c r="B2273">
        <f>IF(AND(Inputs!$B$38&lt;&gt;"pvp",Inputs!$B$43&gt;0),(((C2237=TRUE)*R2237)+((C2238=TRUE)*R2238)+((C2241=TRUE)*R2241))/Inputs!$B$43,((C2237=TRUE)*Q2237)+((C2238=TRUE)*Q2238)+((C2241=TRUE)*Q2241))+B2264</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2296=TRUE)*(F2296-Calc!F20)),(Inputs!$B$23+0+(IF(ArtifactsInput!$M$15,CHOOSE(ArtifactsInput!$N$15+1,25,30,35,40,45,50)/100*(Inputs!$B$11-Inputs!$B$11),0))))/100+(Inputs!$B$23+0+(IF(ArtifactsInput!$M$15,CHOOSE(ArtifactsInput!$N$15+1,25,30,35,40,45,50)/100*(Inputs!$B$11-Inputs!$B$11),0)))/100)/2</f>
        <v/>
      </c>
      <c r="M2278">
        <f>L2278*(1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IF(B2315=0,0,O2278/B2315)</f>
        <v/>
      </c>
      <c r="Q2278" t="n">
        <v>0</v>
      </c>
      <c r="R2278" t="n">
        <v>0</v>
      </c>
      <c r="S2278">
        <f>IFERROR(O2278/N2278,0)</f>
        <v/>
      </c>
      <c r="T2278">
        <f>IF(C2278,(Skills!G2*N2278*B2309)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IF(C2278,(Skills!G2*N2278*B2309)*IF(Inputs!$B$38="pvp",1,(1+(Inputs!$B$21+Skills!Q2+(IF(ArtifactsInput!$M$33,CHOOSE(ArtifactsInput!$N$33+1,30,36,42,48,54,60),0))+(IF(AND(ArtifactsInput!$M$35,Inputs!$B$4&lt;&gt;"Chapter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Inputs!$B$3&gt;=35</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f>Skills!G3*IF(Skills!H3&gt;0,Skills!I3/Skills!H3,1)</f>
        <v/>
      </c>
      <c r="H2279">
        <f>1-(1-Skills!J3/100)^Skills!K3</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2301=TRUE,F2301,0)/100)*(1+(IF(Skills!A3="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2296=TRUE)*(F2296-Calc!F20)),(Inputs!$B$23+0+(IF(ArtifactsInput!$M$15,CHOOSE(ArtifactsInput!$N$15+1,25,30,35,40,45,50)/100*(Inputs!$B$11-Inputs!$B$11),0))))/100+(Inputs!$B$23+0+(IF(ArtifactsInput!$M$15,CHOOSE(ArtifactsInput!$N$15+1,25,30,35,40,45,50)/100*(Inputs!$B$11-Inputs!$B$11),0)))/100)/2</f>
        <v/>
      </c>
      <c r="M2279">
        <f>L2279*(1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IF(B2315=0,0,O2279/B2315)</f>
        <v/>
      </c>
      <c r="Q2279">
        <f>IFERROR(1/(IF(Inputs!$B$38="pvp",15,MAX(0.1,Skills!D3-IF(TRUE=TRUE,Inputs!$B$32,0)))*(1-IF(AND(ArtifactsInput!$M$27,Inputs!$B$4="Chapter Hunt"),CHOOSE(ArtifactsInput!$N$27+1,20,24,28,32,36,40),0)/100)),0)</f>
        <v/>
      </c>
      <c r="R2279">
        <f>IF(AND(Inputs!$B$38&lt;&gt;"pvp",Inputs!$B$43&gt;0),IF(MAX(0,Inputs!$B$43-B2312)&lt;=0,0,(INT(MAX(0,Inputs!$B$43-B2312)/(IF(Inputs!$B$38="pvp",15,MAX(0.1,Skills!D3-IF(TRUE=TRUE,Inputs!$B$32,0)))*(1-IF(AND(ArtifactsInput!$M$27,Inputs!$B$4="Chapter Hunt"),CHOOSE(ArtifactsInput!$N$27+1,20,24,28,32,36,40),0)/100)))+1)),0)</f>
        <v/>
      </c>
      <c r="S2279">
        <f>IFERROR(O2279/N2279,0)</f>
        <v/>
      </c>
      <c r="T2279">
        <f>IF(C2279,(Skills!G3*N2279*IF(C2280=TRUE,1-B2317,1)/B2316)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INDEX(FactorTable!$B$2:$Y$301, MATCH(ROUND(MIN(300,MAX(1,U2278)),0), FactorTable!$A$2:$A$301,0), 22)</f>
        <v/>
      </c>
      <c r="V2279">
        <f>IF(C2279,(Skills!G3*N2279*IF(C2280=TRUE,1-B2317,1)/B2316)*IF(Inputs!$B$38="pvp",1,(1+(Inputs!$B$21+Skills!Q3+(IF(ArtifactsInput!$M$33,CHOOSE(ArtifactsInput!$N$33+1,30,36,42,48,54,60),0))+(IF(AND(ArtifactsInput!$M$35,Inputs!$B$4&lt;&gt;"Chapter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Skills!A4</f>
        <v/>
      </c>
      <c r="B2280">
        <f>Skills!B4</f>
        <v/>
      </c>
      <c r="C2280">
        <f>Inputs!$B$3&gt;=69</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f>Skills!G4*IF(Skills!H4&gt;0,Skills!I4/Skills!H4,1)</f>
        <v/>
      </c>
      <c r="H2280">
        <f>1-(1-Skills!J4/100)^Skills!K4</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4="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2296=TRUE)*(F2296-Calc!F20)),(Inputs!$B$23+0+(IF(ArtifactsInput!$M$15,CHOOSE(ArtifactsInput!$N$15+1,25,30,35,40,45,50)/100*(Inputs!$B$11-Inputs!$B$11),0))))/100+(Inputs!$B$23+0+(IF(ArtifactsInput!$M$15,CHOOSE(ArtifactsInput!$N$15+1,25,30,35,40,45,50)/100*(Inputs!$B$11-Inputs!$B$11),0)))/100)/2</f>
        <v/>
      </c>
      <c r="M2280">
        <f>L2280*(1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IF(B2315=0,0,O2280/B2315)</f>
        <v/>
      </c>
      <c r="Q2280" t="n">
        <v>0</v>
      </c>
      <c r="R2280" t="n">
        <v>0</v>
      </c>
      <c r="S2280">
        <f>IFERROR(O2280/N2280,0)</f>
        <v/>
      </c>
      <c r="T2280">
        <f>IF(C2280,(Skills!G4*N2280*B2317/B2316)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290*U2279/1000</f>
        <v/>
      </c>
      <c r="V2280">
        <f>IF(C2280,(Skills!G4*N2280*B2317/B2316)*IF(Inputs!$B$38="pvp",1,(1+(Inputs!$B$21+Skills!Q4+(IF(ArtifactsInput!$M$33,CHOOSE(ArtifactsInput!$N$33+1,30,36,42,48,54,60),0))+(IF(AND(ArtifactsInput!$M$35,Inputs!$B$4&lt;&gt;"Chapter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Skills!A5</f>
        <v/>
      </c>
      <c r="B2281">
        <f>Skills!B5</f>
        <v/>
      </c>
      <c r="C2281">
        <f>Inputs!$B$3&gt;=66</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t="inlineStr"/>
      <c r="K2281" t="inlineStr"/>
      <c r="L2281" t="inlineStr"/>
      <c r="M2281" t="inlineStr"/>
      <c r="N2281" t="inlineStr"/>
      <c r="O2281">
        <f>(1-Summary!$B$11)*T2281+Summary!$B$11*V2281</f>
        <v/>
      </c>
      <c r="P2281">
        <f>IF(B2315=0,0,O2281/B2315)</f>
        <v/>
      </c>
      <c r="Q2281" t="n">
        <v>0</v>
      </c>
      <c r="R2281" t="n">
        <v>0</v>
      </c>
      <c r="S2281">
        <f>IFERROR(O2281/N2281,0)</f>
        <v/>
      </c>
      <c r="T2281" t="n">
        <v>0</v>
      </c>
      <c r="V2281" t="n">
        <v>0</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2288=TRUE,F2288,0)/100)*(1+(IF(Skills!A6="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2296=TRUE)*(F2296-Calc!F20)),(Inputs!$B$23+0+(IF(ArtifactsInput!$M$15,CHOOSE(ArtifactsInput!$N$15+1,25,30,35,40,45,50)/100*(Inputs!$B$11-Inputs!$B$11),0))))/100+(Inputs!$B$23+0+(IF(ArtifactsInput!$M$15,CHOOSE(ArtifactsInput!$N$15+1,25,30,35,40,45,50)/100*(Inputs!$B$11-Inputs!$B$11),0)))/100)/2</f>
        <v/>
      </c>
      <c r="M2282">
        <f>L2282*(1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IF(B2315=0,0,O2282/B2315)</f>
        <v/>
      </c>
      <c r="Q2282">
        <f>IFERROR(1/(IF(Inputs!$B$38="pvp",15,MAX(0.1,Skills!D6-IF(TRUE=TRUE,Inputs!$B$32,0)))*(1-IF(AND(ArtifactsInput!$M$27,Inputs!$B$4="Chapter Hunt"),CHOOSE(ArtifactsInput!$N$27+1,20,24,28,32,36,40),0)/100)),0)</f>
        <v/>
      </c>
      <c r="R2282">
        <f>IF(AND(Inputs!$B$38&lt;&gt;"pvp",Inputs!$B$43&gt;0),IF(MAX(0,Inputs!$B$43-B2312)&lt;=0,0,(INT(MAX(0,Inputs!$B$43-B2312)/(IF(Inputs!$B$38="pvp",15,MAX(0.1,Skills!D6-IF(TRUE=TRUE,Inputs!$B$32,0)))*(1-IF(AND(ArtifactsInput!$M$27,Inputs!$B$4="Chapter Hunt"),CHOOSE(ArtifactsInput!$N$27+1,20,24,28,32,36,40),0)/100)))+1)),0)</f>
        <v/>
      </c>
      <c r="S2282">
        <f>IFERROR(O2282/N2282,0)</f>
        <v/>
      </c>
      <c r="T2282">
        <f>IF(C2282,(H2282*N2282*IF(AND(Inputs!$B$38&lt;&gt;"pvp",Inputs!$B$43&gt;0),((Skills!G6*((R2282-1)*IF(Skills!H6&gt;0,Skills!I6/Skills!H6,1)+IF(Skills!H6&gt;0,MIN(Skills!I6,MAX(0,MAX(0,Inputs!$B$43-B2312)-((R2282-1)*(IF(Inputs!$B$38="pvp",15,MAX(0.1,Skills!D6-IF(TRUE=TRUE,Inputs!$B$32,0)))*(1-IF(AND(ArtifactsInput!$M$27,Inputs!$B$4="Chapter Hunt"),CHOOSE(ArtifactsInput!$N$27+1,20,24,28,32,36,40),0)/100)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2312)-((R2282-1)*(IF(Inputs!$B$38="pvp",15,MAX(0.1,Skills!D6-IF(TRUE=TRUE,Inputs!$B$32,0)))*(1-IF(AND(ArtifactsInput!$M$27,Inputs!$B$4="Chapter Hunt"),CHOOSE(ArtifactsInput!$N$27+1,20,24,28,32,36,40),0)/100)))))/Skills!H6,1)))/Inputs!$B$43),G2282*Q2282))*IF(Inputs!$B$38="pvp",1,(1+(Inputs!$B$21+Skills!Q6+(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Inputs!$B$3&gt;=103</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2296=TRUE)*(F2296-Calc!F20)),(Inputs!$B$23+0+(IF(ArtifactsInput!$M$15,CHOOSE(ArtifactsInput!$N$15+1,25,30,35,40,45,50)/100*(Inputs!$B$11-Inputs!$B$11),0))))/100+(Inputs!$B$23+0+(IF(ArtifactsInput!$M$15,CHOOSE(ArtifactsInput!$N$15+1,25,30,35,40,45,50)/100*(Inputs!$B$11-Inputs!$B$11),0)))/100)/2</f>
        <v/>
      </c>
      <c r="M2283">
        <f>L2283*(1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IF(B2315=0,0,O2283/B2315)</f>
        <v/>
      </c>
      <c r="Q2283">
        <f>IFERROR(1/(IF(Inputs!$B$38="pvp",15,MAX(0.1,Skills!D7-IF(TRUE=TRUE,Inputs!$B$32,0)))*(1-IF(AND(ArtifactsInput!$M$27,Inputs!$B$4="Chapter Hunt"),CHOOSE(ArtifactsInput!$N$27+1,20,24,28,32,36,40),0)/100)),0)</f>
        <v/>
      </c>
      <c r="R2283">
        <f>IF(AND(Inputs!$B$38&lt;&gt;"pvp",Inputs!$B$43&gt;0),IF(MAX(0,Inputs!$B$43-B2312)&lt;=0,0,(INT(MAX(0,Inputs!$B$43-B2312)/(IF(Inputs!$B$38="pvp",15,MAX(0.1,Skills!D7-IF(TRUE=TRUE,Inputs!$B$32,0)))*(1-IF(AND(ArtifactsInput!$M$27,Inputs!$B$4="Chapter Hunt"),CHOOSE(ArtifactsInput!$N$27+1,20,24,28,32,36,40),0)/100)))+1)),0)</f>
        <v/>
      </c>
      <c r="S2283">
        <f>IFERROR(O2283/N2283,0)</f>
        <v/>
      </c>
      <c r="T2283">
        <f>IF(C2283,(H2283*N2283*IF(AND(Inputs!$B$38&lt;&gt;"pvp",Inputs!$B$43&gt;0),((Skills!G7*((R2283-1)*IF(Skills!H7&gt;0,Skills!I7/Skills!H7,1)+IF(Skills!H7&gt;0,MIN(Skills!I7,MAX(0,MAX(0,Inputs!$B$43-B2312)-((R2283-1)*(IF(Inputs!$B$38="pvp",15,MAX(0.1,Skills!D7-IF(TRUE=TRUE,Inputs!$B$32,0)))*(1-IF(AND(ArtifactsInput!$M$27,Inputs!$B$4="Chapter Hunt"),CHOOSE(ArtifactsInput!$N$27+1,20,24,28,32,36,40),0)/100)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2312)-((R2283-1)*(IF(Inputs!$B$38="pvp",15,MAX(0.1,Skills!D7-IF(TRUE=TRUE,Inputs!$B$32,0)))*(1-IF(AND(ArtifactsInput!$M$27,Inputs!$B$4="Chapter Hunt"),CHOOSE(ArtifactsInput!$N$27+1,20,24,28,32,36,40),0)/100)))))/Skills!H7,1)))/Inputs!$B$43),G2283*Q2283))*IF(Inputs!$B$38="pvp",1,(1+(Inputs!$B$21+Skills!Q7+(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Inputs!$B$3&gt;=117</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f>Skills!G8*IF(Skills!H8&gt;0,Skills!I8/Skills!H8,1)</f>
        <v/>
      </c>
      <c r="H2284">
        <f>1-(1-Skills!J8/100)^Skills!K8</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2296=TRUE)*(F2296-Calc!F20)),(Inputs!$B$23+0+(IF(ArtifactsInput!$M$15,CHOOSE(ArtifactsInput!$N$15+1,25,30,35,40,45,50)/100*(Inputs!$B$11-Inputs!$B$11),0))))/100+(Inputs!$B$23+0+(IF(ArtifactsInput!$M$15,CHOOSE(ArtifactsInput!$N$15+1,25,30,35,40,45,50)/100*(Inputs!$B$11-Inputs!$B$11),0)))/100)/2</f>
        <v/>
      </c>
      <c r="M2284">
        <f>L2284*(1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IF(B2315=0,0,O2284/B2315)</f>
        <v/>
      </c>
      <c r="Q2284">
        <f>IFERROR(1/(IF(Inputs!$B$38="pvp",15,MAX(0.1,Skills!D8-IF(TRUE=TRUE,Inputs!$B$32,0)))*(1-IF(AND(ArtifactsInput!$M$27,Inputs!$B$4="Chapter Hunt"),CHOOSE(ArtifactsInput!$N$27+1,20,24,28,32,36,40),0)/100)),0)</f>
        <v/>
      </c>
      <c r="R2284">
        <f>IF(AND(Inputs!$B$38&lt;&gt;"pvp",Inputs!$B$43&gt;0),IF(MAX(0,Inputs!$B$43-B2312)&lt;=0,0,(INT(MAX(0,Inputs!$B$43-B2312)/(IF(Inputs!$B$38="pvp",15,MAX(0.1,Skills!D8-IF(TRUE=TRUE,Inputs!$B$32,0)))*(1-IF(AND(ArtifactsInput!$M$27,Inputs!$B$4="Chapter Hunt"),CHOOSE(ArtifactsInput!$N$27+1,20,24,28,32,36,40),0)/100)))+1)),0)</f>
        <v/>
      </c>
      <c r="S2284">
        <f>IFERROR(O2284/N2284,0)</f>
        <v/>
      </c>
      <c r="T2284">
        <f>IF(C2284,(H2284*N2284*IF(AND(Inputs!$B$38&lt;&gt;"pvp",Inputs!$B$43&gt;0),((Skills!G8*((R2284-1)*IF(Skills!H8&gt;0,Skills!I8/Skills!H8,1)+IF(Skills!H8&gt;0,MIN(Skills!I8,MAX(0,MAX(0,Inputs!$B$43-B2312)-((R2284-1)*(IF(Inputs!$B$38="pvp",15,MAX(0.1,Skills!D8-IF(TRUE=TRUE,Inputs!$B$32,0)))*(1-IF(AND(ArtifactsInput!$M$27,Inputs!$B$4="Chapter Hunt"),CHOOSE(ArtifactsInput!$N$27+1,20,24,28,32,36,40),0)/100)))))/Skills!H8,1)))/Inputs!$B$43),G2284*Q2284)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8*((R2284-1)*IF(Skills!H8&gt;0,Skills!I8/Skills!H8,1)+IF(Skills!H8&gt;0,MIN(Skills!I8,MAX(0,MAX(0,Inputs!$B$43-B2312)-((R2284-1)*(IF(Inputs!$B$38="pvp",15,MAX(0.1,Skills!D8-IF(TRUE=TRUE,Inputs!$B$32,0)))*(1-IF(AND(ArtifactsInput!$M$27,Inputs!$B$4="Chapter Hunt"),CHOOSE(ArtifactsInput!$N$27+1,20,24,28,32,36,40),0)/100)))))/Skills!H8,1)))/Inputs!$B$43),G2284*Q2284))*IF(Inputs!$B$38="pvp",1,(1+(Inputs!$B$21+Skills!Q8+(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Skills!A9</f>
        <v/>
      </c>
      <c r="B2285">
        <f>Skills!B9</f>
        <v/>
      </c>
      <c r="C2285">
        <f>Inputs!$B$3&gt;=120</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B2317</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2296=TRUE)*(F2296-Calc!F20)),(Inputs!$B$23+0+(IF(ArtifactsInput!$M$15,CHOOSE(ArtifactsInput!$N$15+1,25,30,35,40,45,50)/100*(Inputs!$B$11-Inputs!$B$11),0))))/100+(Inputs!$B$23+0+(IF(ArtifactsInput!$M$15,CHOOSE(ArtifactsInput!$N$15+1,25,30,35,40,45,50)/100*(Inputs!$B$11-Inputs!$B$11),0)))/100)/2</f>
        <v/>
      </c>
      <c r="M2285">
        <f>L2285*(1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IF(B2315=0,0,O2285/B2315)</f>
        <v/>
      </c>
      <c r="Q2285">
        <f>IFERROR(1/(IF(Inputs!$B$38="pvp",15,MAX(0.1,Skills!D9-IF(TRUE=TRUE,Inputs!$B$32,0)))*(1-IF(AND(ArtifactsInput!$M$27,Inputs!$B$4="Chapter Hunt"),CHOOSE(ArtifactsInput!$N$27+1,20,24,28,32,36,40),0)/100)),0)</f>
        <v/>
      </c>
      <c r="R2285">
        <f>IF(AND(Inputs!$B$38&lt;&gt;"pvp",Inputs!$B$43&gt;0),IF(MAX(0,Inputs!$B$43-B2312)&lt;=0,0,(INT(MAX(0,Inputs!$B$43-B2312)/(IF(Inputs!$B$38="pvp",15,MAX(0.1,Skills!D9-IF(TRUE=TRUE,Inputs!$B$32,0)))*(1-IF(AND(ArtifactsInput!$M$27,Inputs!$B$4="Chapter Hunt"),CHOOSE(ArtifactsInput!$N$27+1,20,24,28,32,36,40),0)/100)))+1)),0)</f>
        <v/>
      </c>
      <c r="S2285">
        <f>IFERROR(O2285/N2285,0)</f>
        <v/>
      </c>
      <c r="T2285">
        <f>IF(C2285,(H2285*N2285*IF(AND(Inputs!$B$38&lt;&gt;"pvp",Inputs!$B$43&gt;0),((Skills!G9*((R2285-1)*IF(Skills!H9&gt;0,Skills!I9/Skills!H9,1)+IF(Skills!H9&gt;0,MIN(Skills!I9,MAX(0,MAX(0,Inputs!$B$43-B2312)-((R2285-1)*(IF(Inputs!$B$38="pvp",15,MAX(0.1,Skills!D9-IF(TRUE=TRUE,Inputs!$B$32,0)))*(1-IF(AND(ArtifactsInput!$M$27,Inputs!$B$4="Chapter Hunt"),CHOOSE(ArtifactsInput!$N$27+1,20,24,28,32,36,40),0)/100)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2312)-((R2285-1)*(IF(Inputs!$B$38="pvp",15,MAX(0.1,Skills!D9-IF(TRUE=TRUE,Inputs!$B$32,0)))*(1-IF(AND(ArtifactsInput!$M$27,Inputs!$B$4="Chapter Hunt"),CHOOSE(ArtifactsInput!$N$27+1,20,24,28,32,36,40),0)/100)))))/Skills!H9,1)))/Inputs!$B$43),G2285*Q2285))*IF(Inputs!$B$38="pvp",1,(1+(Inputs!$B$21+Skills!Q9+(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Inputs!$B$3&gt;=105</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2296=TRUE)*(F2296-Calc!F20)),(Inputs!$B$23+0+(IF(ArtifactsInput!$M$15,CHOOSE(ArtifactsInput!$N$15+1,25,30,35,40,45,50)/100*(Inputs!$B$11-Inputs!$B$11),0))))/100+(Inputs!$B$23+0+(IF(ArtifactsInput!$M$15,CHOOSE(ArtifactsInput!$N$15+1,25,30,35,40,45,50)/100*(Inputs!$B$11-Inputs!$B$11),0)))/100)/2</f>
        <v/>
      </c>
      <c r="M2286">
        <f>L2286*(1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IF(B2315=0,0,O2286/B2315)</f>
        <v/>
      </c>
      <c r="Q2286">
        <f>IFERROR(1/(IF(Inputs!$B$38="pvp",15,MAX(0.1,Skills!D10-IF(TRUE=TRUE,Inputs!$B$32,0)))*(1-IF(AND(ArtifactsInput!$M$27,Inputs!$B$4="Chapter Hunt"),CHOOSE(ArtifactsInput!$N$27+1,20,24,28,32,36,40),0)/100)),0)</f>
        <v/>
      </c>
      <c r="R2286">
        <f>IF(AND(Inputs!$B$38&lt;&gt;"pvp",Inputs!$B$43&gt;0),IF(MAX(0,Inputs!$B$43-B2312)&lt;=0,0,(INT(MAX(0,Inputs!$B$43-B2312)/(IF(Inputs!$B$38="pvp",15,MAX(0.1,Skills!D10-IF(TRUE=TRUE,Inputs!$B$32,0)))*(1-IF(AND(ArtifactsInput!$M$27,Inputs!$B$4="Chapter Hunt"),CHOOSE(ArtifactsInput!$N$27+1,20,24,28,32,36,40),0)/100)))+1)),0)</f>
        <v/>
      </c>
      <c r="S2286">
        <f>IFERROR(O2286/N2286,0)</f>
        <v/>
      </c>
      <c r="T2286">
        <f>IF(C2286,(H2286*N2286*IF(AND(Inputs!$B$38&lt;&gt;"pvp",Inputs!$B$43&gt;0),((Skills!G10*((R2286-1)*IF(Skills!H10&gt;0,Skills!I10/Skills!H10,1)+IF(Skills!H10&gt;0,MIN(Skills!I10,MAX(0,MAX(0,Inputs!$B$43-B2312)-((R2286-1)*(IF(Inputs!$B$38="pvp",15,MAX(0.1,Skills!D10-IF(TRUE=TRUE,Inputs!$B$32,0)))*(1-IF(AND(ArtifactsInput!$M$27,Inputs!$B$4="Chapter Hunt"),CHOOSE(ArtifactsInput!$N$27+1,20,24,28,32,36,40),0)/100)))))/Skills!H10,1)))/Inputs!$B$43),G2286*Q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10*((R2286-1)*IF(Skills!H10&gt;0,Skills!I10/Skills!H10,1)+IF(Skills!H10&gt;0,MIN(Skills!I10,MAX(0,MAX(0,Inputs!$B$43-B2312)-((R2286-1)*(IF(Inputs!$B$38="pvp",15,MAX(0.1,Skills!D10-IF(TRUE=TRUE,Inputs!$B$32,0)))*(1-IF(AND(ArtifactsInput!$M$27,Inputs!$B$4="Chapter Hunt"),CHOOSE(ArtifactsInput!$N$27+1,20,24,28,32,36,40),0)/100)))))/Skills!H10,1)))/Inputs!$B$43),G2286*Q2286))*IF(Inputs!$B$38="pvp",1,(1+(Inputs!$B$21+Skills!Q10+(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Inputs!$B$3&gt;=113</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2296=TRUE)*(F2296-Calc!F20)),(Inputs!$B$23+0+(IF(ArtifactsInput!$M$15,CHOOSE(ArtifactsInput!$N$15+1,25,30,35,40,45,50)/100*(Inputs!$B$11-Inputs!$B$11),0))))/100+(Inputs!$B$23+0+(IF(ArtifactsInput!$M$15,CHOOSE(ArtifactsInput!$N$15+1,25,30,35,40,45,50)/100*(Inputs!$B$11-Inputs!$B$11),0)))/100)/2</f>
        <v/>
      </c>
      <c r="M2287">
        <f>L2287*(1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IF(B2315=0,0,O2287/B2315)</f>
        <v/>
      </c>
      <c r="Q2287" t="n">
        <v>0</v>
      </c>
      <c r="R2287" t="n">
        <v>0</v>
      </c>
      <c r="S2287">
        <f>IFERROR(O2287/N2287,0)</f>
        <v/>
      </c>
      <c r="T2287">
        <f>IF(C2287,((H2287*B2318)/(1+Skills!H11*H2287*B2318)*N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IF(C2287,((H2287*B2318)/(1+Skills!H11*H2287*B2318)*N2287)*IF(Inputs!$B$38="pvp",1,(1+(Inputs!$B$21+Skills!Q11+(IF(ArtifactsInput!$M$33,CHOOSE(ArtifactsInput!$N$33+1,30,36,42,48,54,60),0))+(IF(AND(ArtifactsInput!$M$35,Inputs!$B$4&lt;&gt;"Chapter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Inputs!$B$3&gt;=100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t="inlineStr"/>
      <c r="H2288" t="inlineStr"/>
      <c r="I2288" t="inlineStr">
        <is>
          <t>1</t>
        </is>
      </c>
      <c r="J2288" t="inlineStr"/>
      <c r="K2288" t="inlineStr"/>
      <c r="L2288" t="inlineStr"/>
      <c r="M2288" t="inlineStr"/>
      <c r="N2288" t="inlineStr"/>
      <c r="O2288" t="inlineStr"/>
      <c r="P2288" t="inlineStr"/>
      <c r="Q2288" t="inlineStr"/>
      <c r="R2288" t="inlineStr"/>
      <c r="S2288" t="inlineStr"/>
      <c r="T2288" t="inlineStr"/>
      <c r="V2288" t="inlineStr"/>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IF(B2315=0,0,O2289/B2315)</f>
        <v/>
      </c>
      <c r="Q2289" t="n">
        <v>0</v>
      </c>
      <c r="R2289" t="n">
        <v>0</v>
      </c>
      <c r="S2289">
        <f>IFERROR(O2289/N2289,0)</f>
        <v/>
      </c>
      <c r="T2289" t="n">
        <v>0</v>
      </c>
      <c r="V2289" t="n">
        <v>0</v>
      </c>
    </row>
    <row r="2290">
      <c r="A2290">
        <f>Skills!A14</f>
        <v/>
      </c>
      <c r="B2290">
        <f>Skills!B14</f>
        <v/>
      </c>
      <c r="C2290">
        <f>Inputs!$B$3&gt;=115</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IF(B2315=0,0,O2290/B2315)</f>
        <v/>
      </c>
      <c r="Q2290">
        <f>IFERROR(1/(IF(Inputs!$B$38="pvp",15,MAX(0.1,Skills!D14-IF(TRUE=TRUE,Inputs!$B$32,0)))*(1-IF(AND(ArtifactsInput!$M$27,Inputs!$B$4="Chapter Hunt"),CHOOSE(ArtifactsInput!$N$27+1,20,24,28,32,36,40),0)/100)),0)</f>
        <v/>
      </c>
      <c r="R2290">
        <f>IF(AND(Inputs!$B$38&lt;&gt;"pvp",Inputs!$B$43&gt;0),IF(Inputs!$B$43&lt;=0,0,(INT(Inputs!$B$43/(IF(Inputs!$B$38="pvp",15,MAX(0.1,Skills!D14-IF(TRUE=TRUE,Inputs!$B$32,0)))*(1-IF(AND(ArtifactsInput!$M$27,Inputs!$B$4="Chapter Hunt"),CHOOSE(ArtifactsInput!$N$27+1,20,24,28,32,36,40),0)/100)))+1)),0)</f>
        <v/>
      </c>
      <c r="S2290">
        <f>IFERROR(O2290/N2290,0)</f>
        <v/>
      </c>
      <c r="T2290" t="n">
        <v>0</v>
      </c>
      <c r="V2290" t="n">
        <v>0</v>
      </c>
    </row>
    <row r="2291">
      <c r="A2291">
        <f>Skills!A15</f>
        <v/>
      </c>
      <c r="B2291">
        <f>Skills!B15</f>
        <v/>
      </c>
      <c r="C2291">
        <f>Inputs!$B$3&gt;=125</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IF(B2315=0,0,O2291/B2315)</f>
        <v/>
      </c>
      <c r="Q2291">
        <f>IFERROR(1/(IF(Inputs!$B$38="pvp",15,MAX(0.1,Skills!D15-IF(TRUE=TRUE,Inputs!$B$32,0)))*(1-IF(AND(ArtifactsInput!$M$27,Inputs!$B$4="Chapter Hunt"),CHOOSE(ArtifactsInput!$N$27+1,20,24,28,32,36,40),0)/100)),0)</f>
        <v/>
      </c>
      <c r="R2291">
        <f>IF(AND(Inputs!$B$38&lt;&gt;"pvp",Inputs!$B$43&gt;0),IF(Inputs!$B$43&lt;=0,0,(INT(Inputs!$B$43/(IF(Inputs!$B$38="pvp",15,MAX(0.1,Skills!D15-IF(TRUE=TRUE,Inputs!$B$32,0)))*(1-IF(AND(ArtifactsInput!$M$27,Inputs!$B$4="Chapter Hunt"),CHOOSE(ArtifactsInput!$N$27+1,20,24,28,32,36,40),0)/100)))+1)),0)</f>
        <v/>
      </c>
      <c r="S2291">
        <f>IFERROR(O2291/N2291,0)</f>
        <v/>
      </c>
      <c r="T2291" t="n">
        <v>0</v>
      </c>
      <c r="V2291" t="n">
        <v>0</v>
      </c>
    </row>
    <row r="2292">
      <c r="A2292">
        <f>Skills!A16</f>
        <v/>
      </c>
      <c r="B2292">
        <f>Skills!B16</f>
        <v/>
      </c>
      <c r="C2292">
        <f>Inputs!$B$3&gt;=10</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Skills!A17</f>
        <v/>
      </c>
      <c r="B2293">
        <f>Skills!B17</f>
        <v/>
      </c>
      <c r="C2293">
        <f>Inputs!$B$3&gt;=15</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Skills!A18</f>
        <v/>
      </c>
      <c r="B2294">
        <f>Skills!B18</f>
        <v/>
      </c>
      <c r="C2294">
        <f>Inputs!$B$3&gt;=33</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Skills!A19</f>
        <v/>
      </c>
      <c r="B2295">
        <f>Skills!B19</f>
        <v/>
      </c>
      <c r="C2295">
        <f>Inputs!$B$3&gt;=40</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Skills!A20</f>
        <v/>
      </c>
      <c r="B2296">
        <f>Skills!B20</f>
        <v/>
      </c>
      <c r="C2296">
        <f>Inputs!$B$3&gt;=43</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Skills!A21</f>
        <v/>
      </c>
      <c r="B2297">
        <f>Skills!B21</f>
        <v/>
      </c>
      <c r="C2297">
        <f>Inputs!$B$3&gt;=38</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Skills!A22</f>
        <v/>
      </c>
      <c r="B2298">
        <f>Skills!B22</f>
        <v/>
      </c>
      <c r="C2298">
        <f>Inputs!$B$3&gt;=75</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Skills!A23</f>
        <v/>
      </c>
      <c r="B2299">
        <f>Skills!B23</f>
        <v/>
      </c>
      <c r="C2299">
        <f>TRUE</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IF(B2315=0,0,O2299/B2315)</f>
        <v/>
      </c>
      <c r="Q2299">
        <f>IFERROR(1/(IF(Inputs!$B$38="pvp",15,MAX(0.1,Skills!D23-IF(TRUE=TRUE,Inputs!$B$32,0)))*(1-IF(AND(ArtifactsInput!$M$27,Inputs!$B$4="Chapter Hunt"),CHOOSE(ArtifactsInput!$N$27+1,20,24,28,32,36,40),0)/100)),0)</f>
        <v/>
      </c>
      <c r="R2299">
        <f>IF(AND(Inputs!$B$38&lt;&gt;"pvp",Inputs!$B$43&gt;0),IF(Inputs!$B$43&lt;=0,0,(INT(Inputs!$B$43/(IF(Inputs!$B$38="pvp",15,MAX(0.1,Skills!D23-IF(TRUE=TRUE,Inputs!$B$32,0)))*(1-IF(AND(ArtifactsInput!$M$27,Inputs!$B$4="Chapter Hunt"),CHOOSE(ArtifactsInput!$N$27+1,20,24,28,32,36,40),0)/100)))+1)),0)</f>
        <v/>
      </c>
      <c r="S2299">
        <f>IFERROR(O2299/N2299,0)</f>
        <v/>
      </c>
      <c r="T2299" t="n">
        <v>0</v>
      </c>
      <c r="V2299" t="n">
        <v>0</v>
      </c>
    </row>
    <row r="2300">
      <c r="A2300">
        <f>Skills!A24</f>
        <v/>
      </c>
      <c r="B2300">
        <f>Skills!B24</f>
        <v/>
      </c>
      <c r="C2300">
        <f>Inputs!$B$3&gt;=107</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IF(B2315=0,0,O2300/B2315)</f>
        <v/>
      </c>
      <c r="Q2300">
        <f>IFERROR(1/(IF(Inputs!$B$38="pvp",15,MAX(0.1,Skills!D24-IF(TRUE=TRUE,Inputs!$B$32,0)))*(1-IF(AND(ArtifactsInput!$M$27,Inputs!$B$4="Chapter Hunt"),CHOOSE(ArtifactsInput!$N$27+1,20,24,28,32,36,40),0)/100)),0)</f>
        <v/>
      </c>
      <c r="R2300">
        <f>IF(AND(Inputs!$B$38&lt;&gt;"pvp",Inputs!$B$43&gt;0),IF(Inputs!$B$43&lt;=0,0,(INT(Inputs!$B$43/(IF(Inputs!$B$38="pvp",15,MAX(0.1,Skills!D24-IF(TRUE=TRUE,Inputs!$B$32,0)))*(1-IF(AND(ArtifactsInput!$M$27,Inputs!$B$4="Chapter Hunt"),CHOOSE(ArtifactsInput!$N$27+1,20,24,28,32,36,40),0)/100)))+1)),0)</f>
        <v/>
      </c>
      <c r="S2300">
        <f>IFERROR(O2300/N2300,0)</f>
        <v/>
      </c>
      <c r="T2300" t="n">
        <v>0</v>
      </c>
      <c r="V2300" t="n">
        <v>0</v>
      </c>
    </row>
    <row r="2301">
      <c r="A2301">
        <f>Skills!A25</f>
        <v/>
      </c>
      <c r="B2301">
        <f>Skills!B25</f>
        <v/>
      </c>
      <c r="C2301">
        <f>Inputs!$B$3&gt;=110</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T2301" t="inlineStr"/>
      <c r="V2301" t="inlineStr"/>
    </row>
    <row r="2302">
      <c r="A2302">
        <f>Skills!A26</f>
        <v/>
      </c>
      <c r="B2302">
        <f>Skills!B26</f>
        <v/>
      </c>
      <c r="C2302">
        <f>Inputs!$B$3&gt;=117</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T2302" t="inlineStr"/>
      <c r="V2302" t="inlineStr"/>
    </row>
    <row r="2304">
      <c r="A2304" t="inlineStr">
        <is>
          <t>Attack% Bucket Multiplier</t>
        </is>
      </c>
      <c r="B2304">
        <f>(1+(((C2289=TRUE)*F2289*5/7)+((C2295=TRUE)*(F2295-Calc!F19))+(IF(ArtifactsInput!$M$21,CHOOSE(ArtifactsInput!$N$21+1,25,30,35,40,45,50)*(IF(OR(Inputs!$B$4="Chapter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5">
      <c r="A2305" t="inlineStr">
        <is>
          <t>Global Crit Rate Bonus %</t>
        </is>
      </c>
      <c r="B2305" t="n">
        <v>0</v>
      </c>
    </row>
    <row r="2306">
      <c r="A2306" t="inlineStr">
        <is>
          <t>Attack Speed Buff Bonus % (Nimble Feet + Speed Infusion, duty-cycle averaged)</t>
        </is>
      </c>
      <c r="B2306">
        <f>((C2299=TRUE)*F2299*IF(AND(Inputs!$B$38&lt;&gt;"pvp",Inputs!$B$43&gt;0),(((R2299-1)*MIN((Skills!T23*(1+Inputs!$B$34/100)),(1/Q2299))+MIN((Skills!T23*(1+Inputs!$B$34/100)),MAX(0,Inputs!$B$43-((R2299-1)*(1/Q2299)))))/Inputs!$B$43),IF(Inputs!$B$38="pvp",MIN((Skills!T23*(1+Inputs!$B$34/100)),15)/15,MIN(1,(Skills!T23*(1+Inputs!$B$34/100))/(1/Q2299)))))+((C2300=TRUE)*F2300*IF(AND(Inputs!$B$38&lt;&gt;"pvp",Inputs!$B$43&gt;0),(((R2300-1)*MIN((Skills!T24*(1+Inputs!$B$34/100)),(1/Q2300))+MIN((Skills!T24*(1+Inputs!$B$34/100)),MAX(0,Inputs!$B$43-((R2300-1)*(1/Q2300)))))/Inputs!$B$43),IF(Inputs!$B$38="pvp",MIN((Skills!T24*(1+Inputs!$B$34/100)),15)/15,MIN(1,(Skills!T24*(1+Inputs!$B$34/100))/(1/Q2300)))))</f>
        <v/>
      </c>
    </row>
    <row r="2307">
      <c r="A2307" t="inlineStr">
        <is>
          <t>Actions Per Second</t>
        </is>
      </c>
      <c r="B2307">
        <f>1+MIN(150,150*(1-(1-(Inputs!$B$11+((C2293=TRUE)*(F2293-Calc!F17))+((C2294=TRUE)*(F2294-Calc!F18)))/150)*(1-B2306/150)))/100</f>
        <v/>
      </c>
    </row>
    <row r="2308">
      <c r="A2308" t="inlineStr">
        <is>
          <t>Skill + Buff Cast Rate</t>
        </is>
      </c>
      <c r="B2308">
        <f>IF(AND(Inputs!$B$38&lt;&gt;"pvp",Inputs!$B$43&gt;0),SUMPRODUCT((Skills!E2:E26=TRUE)*(C2278:C2302=TRUE)*R2278:R2302*Skills!F2:F26)/Inputs!$B$43,SUMPRODUCT((Skills!E2:E26=TRUE)*(C2278:C2302=TRUE)*Q2278:Q2302*Skills!F2:F26))</f>
        <v/>
      </c>
    </row>
    <row r="2309">
      <c r="A2309" t="inlineStr">
        <is>
          <t>Hook Bomber Casts Per Second</t>
        </is>
      </c>
      <c r="B2309">
        <f>MAX(0,B2307-B2308)</f>
        <v/>
      </c>
    </row>
    <row r="2310">
      <c r="A2310" t="inlineStr">
        <is>
          <t>Global Critical Damage Bonus % (unused)</t>
        </is>
      </c>
      <c r="B2310" t="n">
        <v>0</v>
      </c>
    </row>
    <row r="2311">
      <c r="A2311" t="inlineStr">
        <is>
          <t>Global Final Damage Bonus % (Serpent Scale + Crossbones + Time Leap + Speed Infusion)</t>
        </is>
      </c>
      <c r="B2311">
        <f>((C2281=TRUE)*(F2281*B2317+4*(1-B2317)))+((C2290=TRUE)*F2290*IF(AND(Inputs!$B$38&lt;&gt;"pvp",Inputs!$B$43&gt;0),(((R2290-1)*MIN((Skills!T14*(1+Inputs!$B$34/100)),(1/Q2290))+MIN((Skills!T14*(1+Inputs!$B$34/100)),MAX(0,Inputs!$B$43-((R2290-1)*(1/Q2290)))))/Inputs!$B$43),IF(Inputs!$B$38="pvp",MIN((Skills!T14*(1+Inputs!$B$34/100)),15)/15,MIN(1,(Skills!T14*(1+Inputs!$B$34/100))/(1/Q2290)))))+((C2291=TRUE)*F2291*IF(AND(Inputs!$B$38&lt;&gt;"pvp",Inputs!$B$43&gt;0),(((R2291-1)*MIN((Skills!T15*(1+Inputs!$B$34/100)),(1/Q2291))+MIN((Skills!T15*(1+Inputs!$B$34/100)),MAX(0,Inputs!$B$43-((R2291-1)*(1/Q2291)))))/Inputs!$B$43),IF(Inputs!$B$38="pvp",MIN((Skills!T15*(1+Inputs!$B$34/100)),15)/15,MIN(1,(Skills!T15*(1+Inputs!$B$34/100))/(1/Q2291)))))+((C2300=TRUE)*20*((1+MIN(150,150*(1-(1-(Inputs!$B$11+((C2293=TRUE)*(F2293-Calc!F17))+((C2294=TRUE)*(F2294-Calc!F18)))/150)*(1-(((C2299=TRUE)*F2299*IF(AND(Inputs!$B$38&lt;&gt;"pvp",Inputs!$B$43&gt;0),(((R2299-1)*MIN((Skills!T23*(1+Inputs!$B$34/100)),(1/Q2299))+MIN((Skills!T23*(1+Inputs!$B$34/100)),MAX(0,Inputs!$B$43-((R2299-1)*(1/Q2299)))))/Inputs!$B$43),IF(Inputs!$B$38="pvp",MIN((Skills!T23*(1+Inputs!$B$34/100)),15)/15,MIN(1,(Skills!T23*(1+Inputs!$B$34/100))/(1/Q2299)))))+F2300)/150)))/100)-1)*IF(AND(Inputs!$B$38&lt;&gt;"pvp",Inputs!$B$43&gt;0),(((R2300-1)*MIN((Skills!T24*(1+Inputs!$B$34/100)),(1/Q2300))+MIN((Skills!T24*(1+Inputs!$B$34/100)),MAX(0,Inputs!$B$43-((R2300-1)*(1/Q2300)))))/Inputs!$B$43),IF(Inputs!$B$38="pvp",MIN((Skills!T24*(1+Inputs!$B$34/100)),15)/15,MIN(1,(Skills!T24*(1+Inputs!$B$34/100))/(1/Q2300)))))</f>
        <v/>
      </c>
    </row>
    <row r="2312">
      <c r="A2312" t="inlineStr">
        <is>
          <t>Buff-Casting Startup Delay (s, fixed-duration only)</t>
        </is>
      </c>
      <c r="B2312">
        <f>IF(AND(Inputs!$B$38&lt;&gt;"pvp",Inputs!$B$43&gt;0),SUMPRODUCT((Skills!T2:T26&gt;0)*(Skills!E2:E26=TRUE)*(C2278:C2302=TRUE))/B2307,0)</f>
        <v/>
      </c>
    </row>
    <row r="2313">
      <c r="A2313" t="inlineStr">
        <is>
          <t>Boss-Only Total DPS (this block's swept value)</t>
        </is>
      </c>
      <c r="B2313">
        <f>SUM(T2278:T2302)</f>
        <v/>
      </c>
    </row>
    <row r="2314">
      <c r="A2314" t="inlineStr">
        <is>
          <t>Normal-Only Total DPS (this block's swept value)</t>
        </is>
      </c>
      <c r="B2314">
        <f>SUM(V2278:V2302)</f>
        <v/>
      </c>
    </row>
    <row r="2315">
      <c r="A2315" s="6" t="inlineStr">
        <is>
          <t>TOTAL DPS</t>
        </is>
      </c>
      <c r="B2315" s="6">
        <f>SUM(O2278:O2302)</f>
        <v/>
      </c>
    </row>
    <row r="2316">
      <c r="A2316" t="inlineStr">
        <is>
          <t>Serpent activation interval T (this block's own Hook Bomber rate)</t>
        </is>
      </c>
      <c r="B2316">
        <f>((1/Q2279)+IFERROR(0.5/B2309,0))</f>
        <v/>
      </c>
    </row>
    <row r="2317">
      <c r="A2317" t="inlineStr">
        <is>
          <t>Assault Mode uptime u (this block)</t>
        </is>
      </c>
      <c r="B2317">
        <f>IF(C2281=TRUE,(10+IF(Inputs!$B$3&gt;=94,5,0))/((10+IF(Inputs!$B$3&gt;=94,5,0))+IF(Inputs!$B$3&gt;=104,3,5)*B2316),0)</f>
        <v/>
      </c>
    </row>
    <row r="2318">
      <c r="A2318" t="inlineStr">
        <is>
          <t>Nautilus Strike - Final Attack trigger rate (this block's own Q/R)</t>
        </is>
      </c>
      <c r="B2318">
        <f>IF(AND(Inputs!$B$38&lt;&gt;"pvp",Inputs!$B$43&gt;0),(((C2282=TRUE)*R2282)+((C2283=TRUE)*R2283)+((C2286=TRUE)*R2286))/Inputs!$B$43,((C2282=TRUE)*Q2282)+((C2283=TRUE)*Q2283)+((C2286=TRUE)*Q2286))+B2309</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2341=TRUE)*(F2341-Calc!F20)),(Inputs!$B$23+0+(IF(ArtifactsInput!$M$15,CHOOSE(ArtifactsInput!$N$15+1,25,30,35,40,45,50)/100*(Inputs!$B$11-Inputs!$B$11),0))))/100+(Inputs!$B$23+0+(IF(ArtifactsInput!$M$15,CHOOSE(ArtifactsInput!$N$15+1,25,30,35,40,45,50)/100*(Inputs!$B$11-Inputs!$B$11),0)))/100)/2</f>
        <v/>
      </c>
      <c r="M2323">
        <f>L2323*(1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IF(B2360=0,0,O2323/B2360)</f>
        <v/>
      </c>
      <c r="Q2323" t="n">
        <v>0</v>
      </c>
      <c r="R2323" t="n">
        <v>0</v>
      </c>
      <c r="S2323">
        <f>IFERROR(O2323/N2323,0)</f>
        <v/>
      </c>
      <c r="T2323">
        <f>IF(C2323,(Skills!G2*N2323*B2354)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IF(C2323,(Skills!G2*N2323*B2354)*IF(Inputs!$B$38="pvp",1,(1+(Inputs!$B$21+Skills!Q2+(IF(ArtifactsInput!$M$33,CHOOSE(ArtifactsInput!$N$33+1,30,36,42,48,54,60),0))+(IF(AND(ArtifactsInput!$M$35,Inputs!$B$4&lt;&gt;"Chapter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Inputs!$B$3&gt;=35</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f>Skills!G3*IF(Skills!H3&gt;0,Skills!I3/Skills!H3,1)</f>
        <v/>
      </c>
      <c r="H2324">
        <f>1-(1-Skills!J3/100)^Skills!K3</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2346=TRUE,F2346,0)/100)*(1+(IF(Skills!A3="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2341=TRUE)*(F2341-Calc!F20)),(Inputs!$B$23+0+(IF(ArtifactsInput!$M$15,CHOOSE(ArtifactsInput!$N$15+1,25,30,35,40,45,50)/100*(Inputs!$B$11-Inputs!$B$11),0))))/100+(Inputs!$B$23+0+(IF(ArtifactsInput!$M$15,CHOOSE(ArtifactsInput!$N$15+1,25,30,35,40,45,50)/100*(Inputs!$B$11-Inputs!$B$11),0)))/100)/2</f>
        <v/>
      </c>
      <c r="M2324">
        <f>L2324*(1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4">
        <f>L2324*(1-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IF(B2360=0,0,O2324/B2360)</f>
        <v/>
      </c>
      <c r="Q2324">
        <f>IFERROR(1/(IF(Inputs!$B$38="pvp",15,MAX(0.1,Skills!D3-IF(TRUE=TRUE,Inputs!$B$32,0)))*(1-IF(AND(ArtifactsInput!$M$27,Inputs!$B$4="Chapter Hunt"),CHOOSE(ArtifactsInput!$N$27+1,20,24,28,32,36,40),0)/100)),0)</f>
        <v/>
      </c>
      <c r="R2324">
        <f>IF(AND(Inputs!$B$38&lt;&gt;"pvp",Inputs!$B$43&gt;0),IF(MAX(0,Inputs!$B$43-B2357)&lt;=0,0,(INT(MAX(0,Inputs!$B$43-B2357)/(IF(Inputs!$B$38="pvp",15,MAX(0.1,Skills!D3-IF(TRUE=TRUE,Inputs!$B$32,0)))*(1-IF(AND(ArtifactsInput!$M$27,Inputs!$B$4="Chapter Hunt"),CHOOSE(ArtifactsInput!$N$27+1,20,24,28,32,36,40),0)/100)))+1)),0)</f>
        <v/>
      </c>
      <c r="S2324">
        <f>IFERROR(O2324/N2324,0)</f>
        <v/>
      </c>
      <c r="T2324">
        <f>IF(C2324,(Skills!G3*N2324*IF(C2325=TRUE,1-B2362,1)/B2361)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INDEX(FactorTable!$B$2:$Y$301, MATCH(ROUND(MIN(300,MAX(1,U2323)),0), FactorTable!$A$2:$A$301,0), 22)</f>
        <v/>
      </c>
      <c r="V2324">
        <f>IF(C2324,(Skills!G3*N2324*IF(C2325=TRUE,1-B2362,1)/B2361)*IF(Inputs!$B$38="pvp",1,(1+(Inputs!$B$21+Skills!Q3+(IF(ArtifactsInput!$M$33,CHOOSE(ArtifactsInput!$N$33+1,30,36,42,48,54,60),0))+(IF(AND(ArtifactsInput!$M$35,Inputs!$B$4&lt;&gt;"Chapter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Skills!A4</f>
        <v/>
      </c>
      <c r="B2325">
        <f>Skills!B4</f>
        <v/>
      </c>
      <c r="C2325">
        <f>Inputs!$B$3&gt;=69</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f>Skills!G4*IF(Skills!H4&gt;0,Skills!I4/Skills!H4,1)</f>
        <v/>
      </c>
      <c r="H2325">
        <f>1-(1-Skills!J4/100)^Skills!K4</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2333=TRUE,F2333,0)/100)*(1+(IF(Skills!A4="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2341=TRUE)*(F2341-Calc!F20)),(Inputs!$B$23+0+(IF(ArtifactsInput!$M$15,CHOOSE(ArtifactsInput!$N$15+1,25,30,35,40,45,50)/100*(Inputs!$B$11-Inputs!$B$11),0))))/100+(Inputs!$B$23+0+(IF(ArtifactsInput!$M$15,CHOOSE(ArtifactsInput!$N$15+1,25,30,35,40,45,50)/100*(Inputs!$B$11-Inputs!$B$11),0)))/100)/2</f>
        <v/>
      </c>
      <c r="M2325">
        <f>L2325*(1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5">
        <f>L2325*(1-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IF(B2360=0,0,O2325/B2360)</f>
        <v/>
      </c>
      <c r="Q2325" t="n">
        <v>0</v>
      </c>
      <c r="R2325" t="n">
        <v>0</v>
      </c>
      <c r="S2325">
        <f>IFERROR(O2325/N2325,0)</f>
        <v/>
      </c>
      <c r="T2325">
        <f>IF(C2325,(Skills!G4*N2325*B2362/B2361)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5">
        <f>290*U2324/1000</f>
        <v/>
      </c>
      <c r="V2325">
        <f>IF(C2325,(Skills!G4*N2325*B2362/B2361)*IF(Inputs!$B$38="pvp",1,(1+(Inputs!$B$21+Skills!Q4+(IF(ArtifactsInput!$M$33,CHOOSE(ArtifactsInput!$N$33+1,30,36,42,48,54,60),0))+(IF(AND(ArtifactsInput!$M$35,Inputs!$B$4&lt;&gt;"Chapter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Skills!A5</f>
        <v/>
      </c>
      <c r="B2326">
        <f>Skills!B5</f>
        <v/>
      </c>
      <c r="C2326">
        <f>Inputs!$B$3&gt;=66</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t="inlineStr"/>
      <c r="K2326" t="inlineStr"/>
      <c r="L2326" t="inlineStr"/>
      <c r="M2326" t="inlineStr"/>
      <c r="N2326" t="inlineStr"/>
      <c r="O2326">
        <f>(1-Summary!$B$11)*T2326+Summary!$B$11*V2326</f>
        <v/>
      </c>
      <c r="P2326">
        <f>IF(B2360=0,0,O2326/B2360)</f>
        <v/>
      </c>
      <c r="Q2326" t="n">
        <v>0</v>
      </c>
      <c r="R2326" t="n">
        <v>0</v>
      </c>
      <c r="S2326">
        <f>IFERROR(O2326/N2326,0)</f>
        <v/>
      </c>
      <c r="T2326" t="n">
        <v>0</v>
      </c>
      <c r="V2326" t="n">
        <v>0</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2333=TRUE,F2333,0)/100)*(1+(IF(Skills!A6="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2341=TRUE)*(F2341-Calc!F20)),(Inputs!$B$23+0+(IF(ArtifactsInput!$M$15,CHOOSE(ArtifactsInput!$N$15+1,25,30,35,40,45,50)/100*(Inputs!$B$11-Inputs!$B$11),0))))/100+(Inputs!$B$23+0+(IF(ArtifactsInput!$M$15,CHOOSE(ArtifactsInput!$N$15+1,25,30,35,40,45,50)/100*(Inputs!$B$11-Inputs!$B$11),0)))/100)/2</f>
        <v/>
      </c>
      <c r="M2327">
        <f>L2327*(1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IF(B2360=0,0,O2327/B2360)</f>
        <v/>
      </c>
      <c r="Q2327">
        <f>IFERROR(1/(IF(Inputs!$B$38="pvp",15,MAX(0.1,Skills!D6-IF(TRUE=TRUE,Inputs!$B$32,0)))*(1-IF(AND(ArtifactsInput!$M$27,Inputs!$B$4="Chapter Hunt"),CHOOSE(ArtifactsInput!$N$27+1,20,24,28,32,36,40),0)/100)),0)</f>
        <v/>
      </c>
      <c r="R2327">
        <f>IF(AND(Inputs!$B$38&lt;&gt;"pvp",Inputs!$B$43&gt;0),IF(MAX(0,Inputs!$B$43-B2357)&lt;=0,0,(INT(MAX(0,Inputs!$B$43-B2357)/(IF(Inputs!$B$38="pvp",15,MAX(0.1,Skills!D6-IF(TRUE=TRUE,Inputs!$B$32,0)))*(1-IF(AND(ArtifactsInput!$M$27,Inputs!$B$4="Chapter Hunt"),CHOOSE(ArtifactsInput!$N$27+1,20,24,28,32,36,40),0)/100)))+1)),0)</f>
        <v/>
      </c>
      <c r="S2327">
        <f>IFERROR(O2327/N2327,0)</f>
        <v/>
      </c>
      <c r="T2327">
        <f>IF(C2327,(H2327*N2327*IF(AND(Inputs!$B$38&lt;&gt;"pvp",Inputs!$B$43&gt;0),((Skills!G6*((R2327-1)*IF(Skills!H6&gt;0,Skills!I6/Skills!H6,1)+IF(Skills!H6&gt;0,MIN(Skills!I6,MAX(0,MAX(0,Inputs!$B$43-B2357)-((R2327-1)*(IF(Inputs!$B$38="pvp",15,MAX(0.1,Skills!D6-IF(TRUE=TRUE,Inputs!$B$32,0)))*(1-IF(AND(ArtifactsInput!$M$27,Inputs!$B$4="Chapter Hunt"),CHOOSE(ArtifactsInput!$N$27+1,20,24,28,32,36,40),0)/100)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2357)-((R2327-1)*(IF(Inputs!$B$38="pvp",15,MAX(0.1,Skills!D6-IF(TRUE=TRUE,Inputs!$B$32,0)))*(1-IF(AND(ArtifactsInput!$M$27,Inputs!$B$4="Chapter Hunt"),CHOOSE(ArtifactsInput!$N$27+1,20,24,28,32,36,40),0)/100)))))/Skills!H6,1)))/Inputs!$B$43),G2327*Q2327))*IF(Inputs!$B$38="pvp",1,(1+(Inputs!$B$21+Skills!Q6+(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Inputs!$B$3&gt;=103</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2341=TRUE)*(F2341-Calc!F20)),(Inputs!$B$23+0+(IF(ArtifactsInput!$M$15,CHOOSE(ArtifactsInput!$N$15+1,25,30,35,40,45,50)/100*(Inputs!$B$11-Inputs!$B$11),0))))/100+(Inputs!$B$23+0+(IF(ArtifactsInput!$M$15,CHOOSE(ArtifactsInput!$N$15+1,25,30,35,40,45,50)/100*(Inputs!$B$11-Inputs!$B$11),0)))/100)/2</f>
        <v/>
      </c>
      <c r="M2328">
        <f>L2328*(1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IF(B2360=0,0,O2328/B2360)</f>
        <v/>
      </c>
      <c r="Q2328">
        <f>IFERROR(1/(IF(Inputs!$B$38="pvp",15,MAX(0.1,Skills!D7-IF(TRUE=TRUE,Inputs!$B$32,0)))*(1-IF(AND(ArtifactsInput!$M$27,Inputs!$B$4="Chapter Hunt"),CHOOSE(ArtifactsInput!$N$27+1,20,24,28,32,36,40),0)/100)),0)</f>
        <v/>
      </c>
      <c r="R2328">
        <f>IF(AND(Inputs!$B$38&lt;&gt;"pvp",Inputs!$B$43&gt;0),IF(MAX(0,Inputs!$B$43-B2357)&lt;=0,0,(INT(MAX(0,Inputs!$B$43-B2357)/(IF(Inputs!$B$38="pvp",15,MAX(0.1,Skills!D7-IF(TRUE=TRUE,Inputs!$B$32,0)))*(1-IF(AND(ArtifactsInput!$M$27,Inputs!$B$4="Chapter Hunt"),CHOOSE(ArtifactsInput!$N$27+1,20,24,28,32,36,40),0)/100)))+1)),0)</f>
        <v/>
      </c>
      <c r="S2328">
        <f>IFERROR(O2328/N2328,0)</f>
        <v/>
      </c>
      <c r="T2328">
        <f>IF(C2328,(H2328*N2328*IF(AND(Inputs!$B$38&lt;&gt;"pvp",Inputs!$B$43&gt;0),((Skills!G7*((R2328-1)*IF(Skills!H7&gt;0,Skills!I7/Skills!H7,1)+IF(Skills!H7&gt;0,MIN(Skills!I7,MAX(0,MAX(0,Inputs!$B$43-B2357)-((R2328-1)*(IF(Inputs!$B$38="pvp",15,MAX(0.1,Skills!D7-IF(TRUE=TRUE,Inputs!$B$32,0)))*(1-IF(AND(ArtifactsInput!$M$27,Inputs!$B$4="Chapter Hunt"),CHOOSE(ArtifactsInput!$N$27+1,20,24,28,32,36,40),0)/100)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2357)-((R2328-1)*(IF(Inputs!$B$38="pvp",15,MAX(0.1,Skills!D7-IF(TRUE=TRUE,Inputs!$B$32,0)))*(1-IF(AND(ArtifactsInput!$M$27,Inputs!$B$4="Chapter Hunt"),CHOOSE(ArtifactsInput!$N$27+1,20,24,28,32,36,40),0)/100)))))/Skills!H7,1)))/Inputs!$B$43),G2328*Q2328))*IF(Inputs!$B$38="pvp",1,(1+(Inputs!$B$21+Skills!Q7+(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Inputs!$B$3&gt;=117</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f>Skills!G8*IF(Skills!H8&gt;0,Skills!I8/Skills!H8,1)</f>
        <v/>
      </c>
      <c r="H2329">
        <f>1-(1-Skills!J8/100)^Skills!K8</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2341=TRUE)*(F2341-Calc!F20)),(Inputs!$B$23+0+(IF(ArtifactsInput!$M$15,CHOOSE(ArtifactsInput!$N$15+1,25,30,35,40,45,50)/100*(Inputs!$B$11-Inputs!$B$11),0))))/100+(Inputs!$B$23+0+(IF(ArtifactsInput!$M$15,CHOOSE(ArtifactsInput!$N$15+1,25,30,35,40,45,50)/100*(Inputs!$B$11-Inputs!$B$11),0)))/100)/2</f>
        <v/>
      </c>
      <c r="M2329">
        <f>L2329*(1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9">
        <f>L2329*(1-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IF(B2360=0,0,O2329/B2360)</f>
        <v/>
      </c>
      <c r="Q2329">
        <f>IFERROR(1/(IF(Inputs!$B$38="pvp",15,MAX(0.1,Skills!D8-IF(TRUE=TRUE,Inputs!$B$32,0)))*(1-IF(AND(ArtifactsInput!$M$27,Inputs!$B$4="Chapter Hunt"),CHOOSE(ArtifactsInput!$N$27+1,20,24,28,32,36,40),0)/100)),0)</f>
        <v/>
      </c>
      <c r="R2329">
        <f>IF(AND(Inputs!$B$38&lt;&gt;"pvp",Inputs!$B$43&gt;0),IF(MAX(0,Inputs!$B$43-B2357)&lt;=0,0,(INT(MAX(0,Inputs!$B$43-B2357)/(IF(Inputs!$B$38="pvp",15,MAX(0.1,Skills!D8-IF(TRUE=TRUE,Inputs!$B$32,0)))*(1-IF(AND(ArtifactsInput!$M$27,Inputs!$B$4="Chapter Hunt"),CHOOSE(ArtifactsInput!$N$27+1,20,24,28,32,36,40),0)/100)))+1)),0)</f>
        <v/>
      </c>
      <c r="S2329">
        <f>IFERROR(O2329/N2329,0)</f>
        <v/>
      </c>
      <c r="T2329">
        <f>IF(C2329,(H2329*N2329*IF(AND(Inputs!$B$38&lt;&gt;"pvp",Inputs!$B$43&gt;0),((Skills!G8*((R2329-1)*IF(Skills!H8&gt;0,Skills!I8/Skills!H8,1)+IF(Skills!H8&gt;0,MIN(Skills!I8,MAX(0,MAX(0,Inputs!$B$43-B2357)-((R2329-1)*(IF(Inputs!$B$38="pvp",15,MAX(0.1,Skills!D8-IF(TRUE=TRUE,Inputs!$B$32,0)))*(1-IF(AND(ArtifactsInput!$M$27,Inputs!$B$4="Chapter Hunt"),CHOOSE(ArtifactsInput!$N$27+1,20,24,28,32,36,40),0)/100)))))/Skills!H8,1)))/Inputs!$B$43),G2329*Q2329)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IF(AND(Inputs!$B$38&lt;&gt;"pvp",Inputs!$B$43&gt;0),((Skills!G8*((R2329-1)*IF(Skills!H8&gt;0,Skills!I8/Skills!H8,1)+IF(Skills!H8&gt;0,MIN(Skills!I8,MAX(0,MAX(0,Inputs!$B$43-B2357)-((R2329-1)*(IF(Inputs!$B$38="pvp",15,MAX(0.1,Skills!D8-IF(TRUE=TRUE,Inputs!$B$32,0)))*(1-IF(AND(ArtifactsInput!$M$27,Inputs!$B$4="Chapter Hunt"),CHOOSE(ArtifactsInput!$N$27+1,20,24,28,32,36,40),0)/100)))))/Skills!H8,1)))/Inputs!$B$43),G2329*Q2329))*IF(Inputs!$B$38="pvp",1,(1+(Inputs!$B$21+Skills!Q8+(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Skills!A9</f>
        <v/>
      </c>
      <c r="B2330">
        <f>Skills!B9</f>
        <v/>
      </c>
      <c r="C2330">
        <f>Inputs!$B$3&gt;=120</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B2362</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2341=TRUE)*(F2341-Calc!F20)),(Inputs!$B$23+0+(IF(ArtifactsInput!$M$15,CHOOSE(ArtifactsInput!$N$15+1,25,30,35,40,45,50)/100*(Inputs!$B$11-Inputs!$B$11),0))))/100+(Inputs!$B$23+0+(IF(ArtifactsInput!$M$15,CHOOSE(ArtifactsInput!$N$15+1,25,30,35,40,45,50)/100*(Inputs!$B$11-Inputs!$B$11),0)))/100)/2</f>
        <v/>
      </c>
      <c r="M2330">
        <f>L2330*(1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IF(B2360=0,0,O2330/B2360)</f>
        <v/>
      </c>
      <c r="Q2330">
        <f>IFERROR(1/(IF(Inputs!$B$38="pvp",15,MAX(0.1,Skills!D9-IF(TRUE=TRUE,Inputs!$B$32,0)))*(1-IF(AND(ArtifactsInput!$M$27,Inputs!$B$4="Chapter Hunt"),CHOOSE(ArtifactsInput!$N$27+1,20,24,28,32,36,40),0)/100)),0)</f>
        <v/>
      </c>
      <c r="R2330">
        <f>IF(AND(Inputs!$B$38&lt;&gt;"pvp",Inputs!$B$43&gt;0),IF(MAX(0,Inputs!$B$43-B2357)&lt;=0,0,(INT(MAX(0,Inputs!$B$43-B2357)/(IF(Inputs!$B$38="pvp",15,MAX(0.1,Skills!D9-IF(TRUE=TRUE,Inputs!$B$32,0)))*(1-IF(AND(ArtifactsInput!$M$27,Inputs!$B$4="Chapter Hunt"),CHOOSE(ArtifactsInput!$N$27+1,20,24,28,32,36,40),0)/100)))+1)),0)</f>
        <v/>
      </c>
      <c r="S2330">
        <f>IFERROR(O2330/N2330,0)</f>
        <v/>
      </c>
      <c r="T2330">
        <f>IF(C2330,(H2330*N2330*IF(AND(Inputs!$B$38&lt;&gt;"pvp",Inputs!$B$43&gt;0),((Skills!G9*((R2330-1)*IF(Skills!H9&gt;0,Skills!I9/Skills!H9,1)+IF(Skills!H9&gt;0,MIN(Skills!I9,MAX(0,MAX(0,Inputs!$B$43-B2357)-((R2330-1)*(IF(Inputs!$B$38="pvp",15,MAX(0.1,Skills!D9-IF(TRUE=TRUE,Inputs!$B$32,0)))*(1-IF(AND(ArtifactsInput!$M$27,Inputs!$B$4="Chapter Hunt"),CHOOSE(ArtifactsInput!$N$27+1,20,24,28,32,36,40),0)/100)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2357)-((R2330-1)*(IF(Inputs!$B$38="pvp",15,MAX(0.1,Skills!D9-IF(TRUE=TRUE,Inputs!$B$32,0)))*(1-IF(AND(ArtifactsInput!$M$27,Inputs!$B$4="Chapter Hunt"),CHOOSE(ArtifactsInput!$N$27+1,20,24,28,32,36,40),0)/100)))))/Skills!H9,1)))/Inputs!$B$43),G2330*Q2330))*IF(Inputs!$B$38="pvp",1,(1+(Inputs!$B$21+Skills!Q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Inputs!$B$3&gt;=105</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2341=TRUE)*(F2341-Calc!F20)),(Inputs!$B$23+0+(IF(ArtifactsInput!$M$15,CHOOSE(ArtifactsInput!$N$15+1,25,30,35,40,45,50)/100*(Inputs!$B$11-Inputs!$B$11),0))))/100+(Inputs!$B$23+0+(IF(ArtifactsInput!$M$15,CHOOSE(ArtifactsInput!$N$15+1,25,30,35,40,45,50)/100*(Inputs!$B$11-Inputs!$B$11),0)))/100)/2</f>
        <v/>
      </c>
      <c r="M2331">
        <f>L2331*(1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IF(B2360=0,0,O2331/B2360)</f>
        <v/>
      </c>
      <c r="Q2331">
        <f>IFERROR(1/(IF(Inputs!$B$38="pvp",15,MAX(0.1,Skills!D10-IF(TRUE=TRUE,Inputs!$B$32,0)))*(1-IF(AND(ArtifactsInput!$M$27,Inputs!$B$4="Chapter Hunt"),CHOOSE(ArtifactsInput!$N$27+1,20,24,28,32,36,40),0)/100)),0)</f>
        <v/>
      </c>
      <c r="R2331">
        <f>IF(AND(Inputs!$B$38&lt;&gt;"pvp",Inputs!$B$43&gt;0),IF(MAX(0,Inputs!$B$43-B2357)&lt;=0,0,(INT(MAX(0,Inputs!$B$43-B2357)/(IF(Inputs!$B$38="pvp",15,MAX(0.1,Skills!D10-IF(TRUE=TRUE,Inputs!$B$32,0)))*(1-IF(AND(ArtifactsInput!$M$27,Inputs!$B$4="Chapter Hunt"),CHOOSE(ArtifactsInput!$N$27+1,20,24,28,32,36,40),0)/100)))+1)),0)</f>
        <v/>
      </c>
      <c r="S2331">
        <f>IFERROR(O2331/N2331,0)</f>
        <v/>
      </c>
      <c r="T2331">
        <f>IF(C2331,(H2331*N2331*IF(AND(Inputs!$B$38&lt;&gt;"pvp",Inputs!$B$43&gt;0),((Skills!G10*((R2331-1)*IF(Skills!H10&gt;0,Skills!I10/Skills!H10,1)+IF(Skills!H10&gt;0,MIN(Skills!I10,MAX(0,MAX(0,Inputs!$B$43-B2357)-((R2331-1)*(IF(Inputs!$B$38="pvp",15,MAX(0.1,Skills!D10-IF(TRUE=TRUE,Inputs!$B$32,0)))*(1-IF(AND(ArtifactsInput!$M$27,Inputs!$B$4="Chapter Hunt"),CHOOSE(ArtifactsInput!$N$27+1,20,24,28,32,36,40),0)/100)))))/Skills!H10,1)))/Inputs!$B$43),G2331*Q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10*((R2331-1)*IF(Skills!H10&gt;0,Skills!I10/Skills!H10,1)+IF(Skills!H10&gt;0,MIN(Skills!I10,MAX(0,MAX(0,Inputs!$B$43-B2357)-((R2331-1)*(IF(Inputs!$B$38="pvp",15,MAX(0.1,Skills!D10-IF(TRUE=TRUE,Inputs!$B$32,0)))*(1-IF(AND(ArtifactsInput!$M$27,Inputs!$B$4="Chapter Hunt"),CHOOSE(ArtifactsInput!$N$27+1,20,24,28,32,36,40),0)/100)))))/Skills!H10,1)))/Inputs!$B$43),G2331*Q2331))*IF(Inputs!$B$38="pvp",1,(1+(Inputs!$B$21+Skills!Q10+(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Inputs!$B$3&gt;=113</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2341=TRUE)*(F2341-Calc!F20)),(Inputs!$B$23+0+(IF(ArtifactsInput!$M$15,CHOOSE(ArtifactsInput!$N$15+1,25,30,35,40,45,50)/100*(Inputs!$B$11-Inputs!$B$11),0))))/100+(Inputs!$B$23+0+(IF(ArtifactsInput!$M$15,CHOOSE(ArtifactsInput!$N$15+1,25,30,35,40,45,50)/100*(Inputs!$B$11-Inputs!$B$11),0)))/100)/2</f>
        <v/>
      </c>
      <c r="M2332">
        <f>L2332*(1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IF(B2360=0,0,O2332/B2360)</f>
        <v/>
      </c>
      <c r="Q2332" t="n">
        <v>0</v>
      </c>
      <c r="R2332" t="n">
        <v>0</v>
      </c>
      <c r="S2332">
        <f>IFERROR(O2332/N2332,0)</f>
        <v/>
      </c>
      <c r="T2332">
        <f>IF(C2332,((H2332*B2363)/(1+Skills!H11*H2332*B2363)*N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IF(C2332,((H2332*B2363)/(1+Skills!H11*H2332*B2363)*N2332)*IF(Inputs!$B$38="pvp",1,(1+(Inputs!$B$21+Skills!Q11+(IF(ArtifactsInput!$M$33,CHOOSE(ArtifactsInput!$N$33+1,30,36,42,48,54,60),0))+(IF(AND(ArtifactsInput!$M$35,Inputs!$B$4&lt;&gt;"Chapter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Inputs!$B$3&gt;=100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t="inlineStr"/>
      <c r="H2333" t="inlineStr"/>
      <c r="I2333" t="inlineStr">
        <is>
          <t>1</t>
        </is>
      </c>
      <c r="J2333" t="inlineStr"/>
      <c r="K2333" t="inlineStr"/>
      <c r="L2333" t="inlineStr"/>
      <c r="M2333" t="inlineStr"/>
      <c r="N2333" t="inlineStr"/>
      <c r="O2333" t="inlineStr"/>
      <c r="P2333" t="inlineStr"/>
      <c r="Q2333" t="inlineStr"/>
      <c r="R2333" t="inlineStr"/>
      <c r="S2333" t="inlineStr"/>
      <c r="T2333" t="inlineStr"/>
      <c r="V2333" t="inlineStr"/>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IF(B2360=0,0,O2334/B2360)</f>
        <v/>
      </c>
      <c r="Q2334" t="n">
        <v>0</v>
      </c>
      <c r="R2334" t="n">
        <v>0</v>
      </c>
      <c r="S2334">
        <f>IFERROR(O2334/N2334,0)</f>
        <v/>
      </c>
      <c r="T2334" t="n">
        <v>0</v>
      </c>
      <c r="V2334" t="n">
        <v>0</v>
      </c>
    </row>
    <row r="2335">
      <c r="A2335">
        <f>Skills!A14</f>
        <v/>
      </c>
      <c r="B2335">
        <f>Skills!B14</f>
        <v/>
      </c>
      <c r="C2335">
        <f>Inputs!$B$3&gt;=115</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IF(B2360=0,0,O2335/B2360)</f>
        <v/>
      </c>
      <c r="Q2335">
        <f>IFERROR(1/(IF(Inputs!$B$38="pvp",15,MAX(0.1,Skills!D14-IF(TRUE=TRUE,Inputs!$B$32,0)))*(1-IF(AND(ArtifactsInput!$M$27,Inputs!$B$4="Chapter Hunt"),CHOOSE(ArtifactsInput!$N$27+1,20,24,28,32,36,40),0)/100)),0)</f>
        <v/>
      </c>
      <c r="R2335">
        <f>IF(AND(Inputs!$B$38&lt;&gt;"pvp",Inputs!$B$43&gt;0),IF(Inputs!$B$43&lt;=0,0,(INT(Inputs!$B$43/(IF(Inputs!$B$38="pvp",15,MAX(0.1,Skills!D14-IF(TRUE=TRUE,Inputs!$B$32,0)))*(1-IF(AND(ArtifactsInput!$M$27,Inputs!$B$4="Chapter Hunt"),CHOOSE(ArtifactsInput!$N$27+1,20,24,28,32,36,40),0)/100)))+1)),0)</f>
        <v/>
      </c>
      <c r="S2335">
        <f>IFERROR(O2335/N2335,0)</f>
        <v/>
      </c>
      <c r="T2335" t="n">
        <v>0</v>
      </c>
      <c r="V2335" t="n">
        <v>0</v>
      </c>
    </row>
    <row r="2336">
      <c r="A2336">
        <f>Skills!A15</f>
        <v/>
      </c>
      <c r="B2336">
        <f>Skills!B15</f>
        <v/>
      </c>
      <c r="C2336">
        <f>Inputs!$B$3&gt;=125</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IF(B2360=0,0,O2336/B2360)</f>
        <v/>
      </c>
      <c r="Q2336">
        <f>IFERROR(1/(IF(Inputs!$B$38="pvp",15,MAX(0.1,Skills!D15-IF(TRUE=TRUE,Inputs!$B$32,0)))*(1-IF(AND(ArtifactsInput!$M$27,Inputs!$B$4="Chapter Hunt"),CHOOSE(ArtifactsInput!$N$27+1,20,24,28,32,36,40),0)/100)),0)</f>
        <v/>
      </c>
      <c r="R2336">
        <f>IF(AND(Inputs!$B$38&lt;&gt;"pvp",Inputs!$B$43&gt;0),IF(Inputs!$B$43&lt;=0,0,(INT(Inputs!$B$43/(IF(Inputs!$B$38="pvp",15,MAX(0.1,Skills!D15-IF(TRUE=TRUE,Inputs!$B$32,0)))*(1-IF(AND(ArtifactsInput!$M$27,Inputs!$B$4="Chapter Hunt"),CHOOSE(ArtifactsInput!$N$27+1,20,24,28,32,36,40),0)/100)))+1)),0)</f>
        <v/>
      </c>
      <c r="S2336">
        <f>IFERROR(O2336/N2336,0)</f>
        <v/>
      </c>
      <c r="T2336" t="n">
        <v>0</v>
      </c>
      <c r="V2336" t="n">
        <v>0</v>
      </c>
    </row>
    <row r="2337">
      <c r="A2337">
        <f>Skills!A16</f>
        <v/>
      </c>
      <c r="B2337">
        <f>Skills!B16</f>
        <v/>
      </c>
      <c r="C2337">
        <f>Inputs!$B$3&gt;=10</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IF(B2360=0,0,O2337/B2360)</f>
        <v/>
      </c>
      <c r="Q2337" t="n">
        <v>0</v>
      </c>
      <c r="R2337" t="n">
        <v>0</v>
      </c>
      <c r="S2337">
        <f>IFERROR(O2337/N2337,0)</f>
        <v/>
      </c>
      <c r="T2337" t="n">
        <v>0</v>
      </c>
      <c r="V2337" t="n">
        <v>0</v>
      </c>
    </row>
    <row r="2338">
      <c r="A2338">
        <f>Skills!A17</f>
        <v/>
      </c>
      <c r="B2338">
        <f>Skills!B17</f>
        <v/>
      </c>
      <c r="C2338">
        <f>Inputs!$B$3&gt;=15</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IF(B2360=0,0,O2338/B2360)</f>
        <v/>
      </c>
      <c r="Q2338" t="n">
        <v>0</v>
      </c>
      <c r="R2338" t="n">
        <v>0</v>
      </c>
      <c r="S2338">
        <f>IFERROR(O2338/N2338,0)</f>
        <v/>
      </c>
      <c r="T2338" t="n">
        <v>0</v>
      </c>
      <c r="V2338" t="n">
        <v>0</v>
      </c>
    </row>
    <row r="2339">
      <c r="A2339">
        <f>Skills!A18</f>
        <v/>
      </c>
      <c r="B2339">
        <f>Skills!B18</f>
        <v/>
      </c>
      <c r="C2339">
        <f>Inputs!$B$3&gt;=33</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IF(B2360=0,0,O2339/B2360)</f>
        <v/>
      </c>
      <c r="Q2339" t="n">
        <v>0</v>
      </c>
      <c r="R2339" t="n">
        <v>0</v>
      </c>
      <c r="S2339">
        <f>IFERROR(O2339/N2339,0)</f>
        <v/>
      </c>
      <c r="T2339" t="n">
        <v>0</v>
      </c>
      <c r="V2339" t="n">
        <v>0</v>
      </c>
    </row>
    <row r="2340">
      <c r="A2340">
        <f>Skills!A19</f>
        <v/>
      </c>
      <c r="B2340">
        <f>Skills!B19</f>
        <v/>
      </c>
      <c r="C2340">
        <f>Inputs!$B$3&gt;=40</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IF(B2360=0,0,O2340/B2360)</f>
        <v/>
      </c>
      <c r="Q2340" t="n">
        <v>0</v>
      </c>
      <c r="R2340" t="n">
        <v>0</v>
      </c>
      <c r="S2340">
        <f>IFERROR(O2340/N2340,0)</f>
        <v/>
      </c>
      <c r="T2340" t="n">
        <v>0</v>
      </c>
      <c r="V2340" t="n">
        <v>0</v>
      </c>
    </row>
    <row r="2341">
      <c r="A2341">
        <f>Skills!A20</f>
        <v/>
      </c>
      <c r="B2341">
        <f>Skills!B20</f>
        <v/>
      </c>
      <c r="C2341">
        <f>Inputs!$B$3&gt;=43</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IF(B2360=0,0,O2341/B2360)</f>
        <v/>
      </c>
      <c r="Q2341" t="n">
        <v>0</v>
      </c>
      <c r="R2341" t="n">
        <v>0</v>
      </c>
      <c r="S2341">
        <f>IFERROR(O2341/N2341,0)</f>
        <v/>
      </c>
      <c r="T2341" t="n">
        <v>0</v>
      </c>
      <c r="V2341" t="n">
        <v>0</v>
      </c>
    </row>
    <row r="2342">
      <c r="A2342">
        <f>Skills!A21</f>
        <v/>
      </c>
      <c r="B2342">
        <f>Skills!B21</f>
        <v/>
      </c>
      <c r="C2342">
        <f>Inputs!$B$3&gt;=38</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IF(B2360=0,0,O2342/B2360)</f>
        <v/>
      </c>
      <c r="Q2342" t="n">
        <v>0</v>
      </c>
      <c r="R2342" t="n">
        <v>0</v>
      </c>
      <c r="S2342">
        <f>IFERROR(O2342/N2342,0)</f>
        <v/>
      </c>
      <c r="T2342" t="n">
        <v>0</v>
      </c>
      <c r="V2342" t="n">
        <v>0</v>
      </c>
    </row>
    <row r="2343">
      <c r="A2343">
        <f>Skills!A22</f>
        <v/>
      </c>
      <c r="B2343">
        <f>Skills!B22</f>
        <v/>
      </c>
      <c r="C2343">
        <f>Inputs!$B$3&gt;=75</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IF(B2360=0,0,O2343/B2360)</f>
        <v/>
      </c>
      <c r="Q2343" t="n">
        <v>0</v>
      </c>
      <c r="R2343" t="n">
        <v>0</v>
      </c>
      <c r="S2343">
        <f>IFERROR(O2343/N2343,0)</f>
        <v/>
      </c>
      <c r="T2343" t="n">
        <v>0</v>
      </c>
      <c r="V2343" t="n">
        <v>0</v>
      </c>
    </row>
    <row r="2344">
      <c r="A2344">
        <f>Skills!A23</f>
        <v/>
      </c>
      <c r="B2344">
        <f>Skills!B23</f>
        <v/>
      </c>
      <c r="C2344">
        <f>TRUE</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IF(B2360=0,0,O2344/B2360)</f>
        <v/>
      </c>
      <c r="Q2344">
        <f>IFERROR(1/(IF(Inputs!$B$38="pvp",15,MAX(0.1,Skills!D23-IF(TRUE=TRUE,Inputs!$B$32,0)))*(1-IF(AND(ArtifactsInput!$M$27,Inputs!$B$4="Chapter Hunt"),CHOOSE(ArtifactsInput!$N$27+1,20,24,28,32,36,40),0)/100)),0)</f>
        <v/>
      </c>
      <c r="R2344">
        <f>IF(AND(Inputs!$B$38&lt;&gt;"pvp",Inputs!$B$43&gt;0),IF(Inputs!$B$43&lt;=0,0,(INT(Inputs!$B$43/(IF(Inputs!$B$38="pvp",15,MAX(0.1,Skills!D23-IF(TRUE=TRUE,Inputs!$B$32,0)))*(1-IF(AND(ArtifactsInput!$M$27,Inputs!$B$4="Chapter Hunt"),CHOOSE(ArtifactsInput!$N$27+1,20,24,28,32,36,40),0)/100)))+1)),0)</f>
        <v/>
      </c>
      <c r="S2344">
        <f>IFERROR(O2344/N2344,0)</f>
        <v/>
      </c>
      <c r="T2344" t="n">
        <v>0</v>
      </c>
      <c r="V2344" t="n">
        <v>0</v>
      </c>
    </row>
    <row r="2345">
      <c r="A2345">
        <f>Skills!A24</f>
        <v/>
      </c>
      <c r="B2345">
        <f>Skills!B24</f>
        <v/>
      </c>
      <c r="C2345">
        <f>Inputs!$B$3&gt;=107</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IF(B2360=0,0,O2345/B2360)</f>
        <v/>
      </c>
      <c r="Q2345">
        <f>IFERROR(1/(IF(Inputs!$B$38="pvp",15,MAX(0.1,Skills!D24-IF(TRUE=TRUE,Inputs!$B$32,0)))*(1-IF(AND(ArtifactsInput!$M$27,Inputs!$B$4="Chapter Hunt"),CHOOSE(ArtifactsInput!$N$27+1,20,24,28,32,36,40),0)/100)),0)</f>
        <v/>
      </c>
      <c r="R2345">
        <f>IF(AND(Inputs!$B$38&lt;&gt;"pvp",Inputs!$B$43&gt;0),IF(Inputs!$B$43&lt;=0,0,(INT(Inputs!$B$43/(IF(Inputs!$B$38="pvp",15,MAX(0.1,Skills!D24-IF(TRUE=TRUE,Inputs!$B$32,0)))*(1-IF(AND(ArtifactsInput!$M$27,Inputs!$B$4="Chapter Hunt"),CHOOSE(ArtifactsInput!$N$27+1,20,24,28,32,36,40),0)/100)))+1)),0)</f>
        <v/>
      </c>
      <c r="S2345">
        <f>IFERROR(O2345/N2345,0)</f>
        <v/>
      </c>
      <c r="T2345" t="n">
        <v>0</v>
      </c>
      <c r="V2345" t="n">
        <v>0</v>
      </c>
    </row>
    <row r="2346">
      <c r="A2346">
        <f>Skills!A25</f>
        <v/>
      </c>
      <c r="B2346">
        <f>Skills!B25</f>
        <v/>
      </c>
      <c r="C2346">
        <f>Inputs!$B$3&gt;=110</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t="inlineStr"/>
      <c r="H2346" t="inlineStr"/>
      <c r="I2346" t="inlineStr">
        <is>
          <t>1</t>
        </is>
      </c>
      <c r="J2346" t="inlineStr"/>
      <c r="K2346" t="inlineStr"/>
      <c r="L2346" t="inlineStr"/>
      <c r="M2346" t="inlineStr"/>
      <c r="N2346" t="inlineStr"/>
      <c r="O2346" t="inlineStr"/>
      <c r="P2346" t="inlineStr"/>
      <c r="Q2346" t="inlineStr"/>
      <c r="R2346" t="inlineStr"/>
      <c r="S2346" t="inlineStr"/>
      <c r="T2346" t="inlineStr"/>
      <c r="V2346" t="inlineStr"/>
    </row>
    <row r="2347">
      <c r="A2347">
        <f>Skills!A26</f>
        <v/>
      </c>
      <c r="B2347">
        <f>Skills!B26</f>
        <v/>
      </c>
      <c r="C2347">
        <f>Inputs!$B$3&gt;=117</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t="inlineStr"/>
      <c r="H2347" t="inlineStr"/>
      <c r="I2347" t="inlineStr">
        <is>
          <t>1</t>
        </is>
      </c>
      <c r="J2347" t="inlineStr"/>
      <c r="K2347" t="inlineStr"/>
      <c r="L2347" t="inlineStr"/>
      <c r="M2347" t="inlineStr"/>
      <c r="N2347" t="inlineStr"/>
      <c r="O2347" t="inlineStr"/>
      <c r="P2347" t="inlineStr"/>
      <c r="Q2347" t="inlineStr"/>
      <c r="R2347" t="inlineStr"/>
      <c r="S2347" t="inlineStr"/>
      <c r="T2347" t="inlineStr"/>
      <c r="V2347" t="inlineStr"/>
    </row>
    <row r="2349">
      <c r="A2349" t="inlineStr">
        <is>
          <t>Attack% Bucket Multiplier</t>
        </is>
      </c>
      <c r="B2349">
        <f>(1+(((C2334=TRUE)*F2334*5/7)+((C2340=TRUE)*(F2340-Calc!F19))+(IF(ArtifactsInput!$M$21,CHOOSE(ArtifactsInput!$N$21+1,25,30,35,40,45,50)*(IF(OR(Inputs!$B$4="Chapter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0">
      <c r="A2350" t="inlineStr">
        <is>
          <t>Global Crit Rate Bonus %</t>
        </is>
      </c>
      <c r="B2350" t="n">
        <v>0</v>
      </c>
    </row>
    <row r="2351">
      <c r="A2351" t="inlineStr">
        <is>
          <t>Attack Speed Buff Bonus % (Nimble Feet + Speed Infusion, duty-cycle averaged)</t>
        </is>
      </c>
      <c r="B2351">
        <f>((C2344=TRUE)*F2344*IF(AND(Inputs!$B$38&lt;&gt;"pvp",Inputs!$B$43&gt;0),(((R2344-1)*MIN((Skills!T23*(1+Inputs!$B$34/100)),(1/Q2344))+MIN((Skills!T23*(1+Inputs!$B$34/100)),MAX(0,Inputs!$B$43-((R2344-1)*(1/Q2344)))))/Inputs!$B$43),IF(Inputs!$B$38="pvp",MIN((Skills!T23*(1+Inputs!$B$34/100)),15)/15,MIN(1,(Skills!T23*(1+Inputs!$B$34/100))/(1/Q2344)))))+((C2345=TRUE)*F2345*IF(AND(Inputs!$B$38&lt;&gt;"pvp",Inputs!$B$43&gt;0),(((R2345-1)*MIN((Skills!T24*(1+Inputs!$B$34/100)),(1/Q2345))+MIN((Skills!T24*(1+Inputs!$B$34/100)),MAX(0,Inputs!$B$43-((R2345-1)*(1/Q2345)))))/Inputs!$B$43),IF(Inputs!$B$38="pvp",MIN((Skills!T24*(1+Inputs!$B$34/100)),15)/15,MIN(1,(Skills!T24*(1+Inputs!$B$34/100))/(1/Q2345)))))</f>
        <v/>
      </c>
    </row>
    <row r="2352">
      <c r="A2352" t="inlineStr">
        <is>
          <t>Actions Per Second</t>
        </is>
      </c>
      <c r="B2352">
        <f>1+MIN(150,150*(1-(1-(Inputs!$B$11+((C2338=TRUE)*(F2338-Calc!F17))+((C2339=TRUE)*(F2339-Calc!F18)))/150)*(1-B2351/150)))/100</f>
        <v/>
      </c>
    </row>
    <row r="2353">
      <c r="A2353" t="inlineStr">
        <is>
          <t>Skill + Buff Cast Rate</t>
        </is>
      </c>
      <c r="B2353">
        <f>IF(AND(Inputs!$B$38&lt;&gt;"pvp",Inputs!$B$43&gt;0),SUMPRODUCT((Skills!E2:E26=TRUE)*(C2323:C2347=TRUE)*R2323:R2347*Skills!F2:F26)/Inputs!$B$43,SUMPRODUCT((Skills!E2:E26=TRUE)*(C2323:C2347=TRUE)*Q2323:Q2347*Skills!F2:F26))</f>
        <v/>
      </c>
    </row>
    <row r="2354">
      <c r="A2354" t="inlineStr">
        <is>
          <t>Hook Bomber Casts Per Second</t>
        </is>
      </c>
      <c r="B2354">
        <f>MAX(0,B2352-B2353)</f>
        <v/>
      </c>
    </row>
    <row r="2355">
      <c r="A2355" t="inlineStr">
        <is>
          <t>Global Critical Damage Bonus % (unused)</t>
        </is>
      </c>
      <c r="B2355" t="n">
        <v>0</v>
      </c>
    </row>
    <row r="2356">
      <c r="A2356" t="inlineStr">
        <is>
          <t>Global Final Damage Bonus % (Serpent Scale + Crossbones + Time Leap + Speed Infusion)</t>
        </is>
      </c>
      <c r="B2356">
        <f>((C2326=TRUE)*(F2326*B2362+4*(1-B2362)))+((C2335=TRUE)*F2335*IF(AND(Inputs!$B$38&lt;&gt;"pvp",Inputs!$B$43&gt;0),(((R2335-1)*MIN((Skills!T14*(1+Inputs!$B$34/100)),(1/Q2335))+MIN((Skills!T14*(1+Inputs!$B$34/100)),MAX(0,Inputs!$B$43-((R2335-1)*(1/Q2335)))))/Inputs!$B$43),IF(Inputs!$B$38="pvp",MIN((Skills!T14*(1+Inputs!$B$34/100)),15)/15,MIN(1,(Skills!T14*(1+Inputs!$B$34/100))/(1/Q2335)))))+((C2336=TRUE)*F2336*IF(AND(Inputs!$B$38&lt;&gt;"pvp",Inputs!$B$43&gt;0),(((R2336-1)*MIN((Skills!T15*(1+Inputs!$B$34/100)),(1/Q2336))+MIN((Skills!T15*(1+Inputs!$B$34/100)),MAX(0,Inputs!$B$43-((R2336-1)*(1/Q2336)))))/Inputs!$B$43),IF(Inputs!$B$38="pvp",MIN((Skills!T15*(1+Inputs!$B$34/100)),15)/15,MIN(1,(Skills!T15*(1+Inputs!$B$34/100))/(1/Q2336)))))+((C2345=TRUE)*20*((1+MIN(150,150*(1-(1-(Inputs!$B$11+((C2338=TRUE)*(F2338-Calc!F17))+((C2339=TRUE)*(F2339-Calc!F18)))/150)*(1-(((C2344=TRUE)*F2344*IF(AND(Inputs!$B$38&lt;&gt;"pvp",Inputs!$B$43&gt;0),(((R2344-1)*MIN((Skills!T23*(1+Inputs!$B$34/100)),(1/Q2344))+MIN((Skills!T23*(1+Inputs!$B$34/100)),MAX(0,Inputs!$B$43-((R2344-1)*(1/Q2344)))))/Inputs!$B$43),IF(Inputs!$B$38="pvp",MIN((Skills!T23*(1+Inputs!$B$34/100)),15)/15,MIN(1,(Skills!T23*(1+Inputs!$B$34/100))/(1/Q2344)))))+F2345)/150)))/100)-1)*IF(AND(Inputs!$B$38&lt;&gt;"pvp",Inputs!$B$43&gt;0),(((R2345-1)*MIN((Skills!T24*(1+Inputs!$B$34/100)),(1/Q2345))+MIN((Skills!T24*(1+Inputs!$B$34/100)),MAX(0,Inputs!$B$43-((R2345-1)*(1/Q2345)))))/Inputs!$B$43),IF(Inputs!$B$38="pvp",MIN((Skills!T24*(1+Inputs!$B$34/100)),15)/15,MIN(1,(Skills!T24*(1+Inputs!$B$34/100))/(1/Q2345)))))</f>
        <v/>
      </c>
    </row>
    <row r="2357">
      <c r="A2357" t="inlineStr">
        <is>
          <t>Buff-Casting Startup Delay (s, fixed-duration only)</t>
        </is>
      </c>
      <c r="B2357">
        <f>IF(AND(Inputs!$B$38&lt;&gt;"pvp",Inputs!$B$43&gt;0),SUMPRODUCT((Skills!T2:T26&gt;0)*(Skills!E2:E26=TRUE)*(C2323:C2347=TRUE))/B2352,0)</f>
        <v/>
      </c>
    </row>
    <row r="2358">
      <c r="A2358" t="inlineStr">
        <is>
          <t>Boss-Only Total DPS (this block's swept value)</t>
        </is>
      </c>
      <c r="B2358">
        <f>SUM(T2323:T2347)</f>
        <v/>
      </c>
    </row>
    <row r="2359">
      <c r="A2359" t="inlineStr">
        <is>
          <t>Normal-Only Total DPS (this block's swept value)</t>
        </is>
      </c>
      <c r="B2359">
        <f>SUM(V2323:V2347)</f>
        <v/>
      </c>
    </row>
    <row r="2360">
      <c r="A2360" s="6" t="inlineStr">
        <is>
          <t>TOTAL DPS</t>
        </is>
      </c>
      <c r="B2360" s="6">
        <f>SUM(O2323:O2347)</f>
        <v/>
      </c>
    </row>
    <row r="2361">
      <c r="A2361" t="inlineStr">
        <is>
          <t>Serpent activation interval T (this block's own Hook Bomber rate)</t>
        </is>
      </c>
      <c r="B2361">
        <f>((1/Q2324)+IFERROR(0.5/B2354,0))</f>
        <v/>
      </c>
    </row>
    <row r="2362">
      <c r="A2362" t="inlineStr">
        <is>
          <t>Assault Mode uptime u (this block)</t>
        </is>
      </c>
      <c r="B2362">
        <f>IF(C2326=TRUE,(10+IF(Inputs!$B$3&gt;=94,5,0))/((10+IF(Inputs!$B$3&gt;=94,5,0))+IF(Inputs!$B$3&gt;=104,3,5)*B2361),0)</f>
        <v/>
      </c>
    </row>
    <row r="2363">
      <c r="A2363" t="inlineStr">
        <is>
          <t>Nautilus Strike - Final Attack trigger rate (this block's own Q/R)</t>
        </is>
      </c>
      <c r="B2363">
        <f>IF(AND(Inputs!$B$38&lt;&gt;"pvp",Inputs!$B$43&gt;0),(((C2327=TRUE)*R2327)+((C2328=TRUE)*R2328)+((C2331=TRUE)*R2331))/Inputs!$B$43,((C2327=TRUE)*Q2327)+((C2328=TRUE)*Q2328)+((C2331=TRUE)*Q2331))+B2354</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2386=TRUE)*(F2386-Calc!F20)),(Inputs!$B$23+0+(IF(ArtifactsInput!$M$15,CHOOSE(ArtifactsInput!$N$15+1,25,30,35,40,45,50)/100*(Inputs!$B$11-Inputs!$B$11),0))))/100+(Inputs!$B$23+0+(IF(ArtifactsInput!$M$15,CHOOSE(ArtifactsInput!$N$15+1,25,30,35,40,45,50)/100*(Inputs!$B$11-Inputs!$B$11),0)))/100)/2</f>
        <v/>
      </c>
      <c r="M2368">
        <f>L2368*(1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IF(B2405=0,0,O2368/B2405)</f>
        <v/>
      </c>
      <c r="Q2368" t="n">
        <v>0</v>
      </c>
      <c r="R2368" t="n">
        <v>0</v>
      </c>
      <c r="S2368">
        <f>IFERROR(O2368/N2368,0)</f>
        <v/>
      </c>
      <c r="T2368">
        <f>IF(C2368,(Skills!G2*N2368*B2399)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IF(C2368,(Skills!G2*N2368*B2399)*IF(Inputs!$B$38="pvp",1,(1+(Inputs!$B$21+Skills!Q2+(IF(ArtifactsInput!$M$33,CHOOSE(ArtifactsInput!$N$33+1,30,36,42,48,54,60),0))+(IF(AND(ArtifactsInput!$M$35,Inputs!$B$4&lt;&gt;"Chapter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Inputs!$B$3&gt;=35</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f>Skills!G3*IF(Skills!H3&gt;0,Skills!I3/Skills!H3,1)</f>
        <v/>
      </c>
      <c r="H2369">
        <f>1-(1-Skills!J3/100)^Skills!K3</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2391=TRUE,F2391,0)/100)*(1+(IF(Skills!A3="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2386=TRUE)*(F2386-Calc!F20)),(Inputs!$B$23+0+(IF(ArtifactsInput!$M$15,CHOOSE(ArtifactsInput!$N$15+1,25,30,35,40,45,50)/100*(Inputs!$B$11-Inputs!$B$11),0))))/100+(Inputs!$B$23+0+(IF(ArtifactsInput!$M$15,CHOOSE(ArtifactsInput!$N$15+1,25,30,35,40,45,50)/100*(Inputs!$B$11-Inputs!$B$11),0)))/100)/2</f>
        <v/>
      </c>
      <c r="M2369">
        <f>L2369*(1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IF(B2405=0,0,O2369/B2405)</f>
        <v/>
      </c>
      <c r="Q2369">
        <f>IFERROR(1/(IF(Inputs!$B$38="pvp",15,MAX(0.1,Skills!D3-IF(TRUE=TRUE,Inputs!$B$32,0)))*(1-IF(AND(ArtifactsInput!$M$27,Inputs!$B$4="Chapter Hunt"),CHOOSE(ArtifactsInput!$N$27+1,20,24,28,32,36,40),0)/100)),0)</f>
        <v/>
      </c>
      <c r="R2369">
        <f>IF(AND(Inputs!$B$38&lt;&gt;"pvp",Inputs!$B$43&gt;0),IF(MAX(0,Inputs!$B$43-B2402)&lt;=0,0,(INT(MAX(0,Inputs!$B$43-B2402)/(IF(Inputs!$B$38="pvp",15,MAX(0.1,Skills!D3-IF(TRUE=TRUE,Inputs!$B$32,0)))*(1-IF(AND(ArtifactsInput!$M$27,Inputs!$B$4="Chapter Hunt"),CHOOSE(ArtifactsInput!$N$27+1,20,24,28,32,36,40),0)/100)))+1)),0)</f>
        <v/>
      </c>
      <c r="S2369">
        <f>IFERROR(O2369/N2369,0)</f>
        <v/>
      </c>
      <c r="T2369">
        <f>IF(C2369,(Skills!G3*N2369*IF(C2370=TRUE,1-B2407,1)/B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9">
        <f>INDEX(FactorTable!$B$2:$Y$301, MATCH(ROUND(MIN(300,MAX(1,U2368)),0), FactorTable!$A$2:$A$301,0), 22)</f>
        <v/>
      </c>
      <c r="V2369">
        <f>IF(C2369,(Skills!G3*N2369*IF(C2370=TRUE,1-B2407,1)/B2406)*IF(Inputs!$B$38="pvp",1,(1+(Inputs!$B$21+Skills!Q3+(IF(ArtifactsInput!$M$33,CHOOSE(ArtifactsInput!$N$33+1,30,36,42,48,54,60),0))+(IF(AND(ArtifactsInput!$M$35,Inputs!$B$4&lt;&gt;"Chapter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Skills!A4</f>
        <v/>
      </c>
      <c r="B2370">
        <f>Skills!B4</f>
        <v/>
      </c>
      <c r="C2370">
        <f>Inputs!$B$3&gt;=69</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f>Skills!G4*IF(Skills!H4&gt;0,Skills!I4/Skills!H4,1)</f>
        <v/>
      </c>
      <c r="H2370">
        <f>1-(1-Skills!J4/100)^Skills!K4</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2378=TRUE,F2378,0)/100)*(1+(IF(Skills!A4="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2386=TRUE)*(F2386-Calc!F20)),(Inputs!$B$23+0+(IF(ArtifactsInput!$M$15,CHOOSE(ArtifactsInput!$N$15+1,25,30,35,40,45,50)/100*(Inputs!$B$11-Inputs!$B$11),0))))/100+(Inputs!$B$23+0+(IF(ArtifactsInput!$M$15,CHOOSE(ArtifactsInput!$N$15+1,25,30,35,40,45,50)/100*(Inputs!$B$11-Inputs!$B$11),0)))/100)/2</f>
        <v/>
      </c>
      <c r="M2370">
        <f>L2370*(1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IF(B2405=0,0,O2370/B2405)</f>
        <v/>
      </c>
      <c r="Q2370" t="n">
        <v>0</v>
      </c>
      <c r="R2370" t="n">
        <v>0</v>
      </c>
      <c r="S2370">
        <f>IFERROR(O2370/N2370,0)</f>
        <v/>
      </c>
      <c r="T2370">
        <f>IF(C2370,(Skills!G4*N2370*B2407/B2406)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0">
        <f>290*U2369/1000</f>
        <v/>
      </c>
      <c r="V2370">
        <f>IF(C2370,(Skills!G4*N2370*B2407/B2406)*IF(Inputs!$B$38="pvp",1,(1+(Inputs!$B$21+Skills!Q4+(IF(ArtifactsInput!$M$33,CHOOSE(ArtifactsInput!$N$33+1,30,36,42,48,54,60),0))+(IF(AND(ArtifactsInput!$M$35,Inputs!$B$4&lt;&gt;"Chapter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Skills!A5</f>
        <v/>
      </c>
      <c r="B2371">
        <f>Skills!B5</f>
        <v/>
      </c>
      <c r="C2371">
        <f>Inputs!$B$3&gt;=66</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t="inlineStr"/>
      <c r="K2371" t="inlineStr"/>
      <c r="L2371" t="inlineStr"/>
      <c r="M2371" t="inlineStr"/>
      <c r="N2371" t="inlineStr"/>
      <c r="O2371">
        <f>(1-Summary!$B$11)*T2371+Summary!$B$11*V2371</f>
        <v/>
      </c>
      <c r="P2371">
        <f>IF(B2405=0,0,O2371/B2405)</f>
        <v/>
      </c>
      <c r="Q2371" t="n">
        <v>0</v>
      </c>
      <c r="R2371" t="n">
        <v>0</v>
      </c>
      <c r="S2371">
        <f>IFERROR(O2371/N2371,0)</f>
        <v/>
      </c>
      <c r="T2371" t="n">
        <v>0</v>
      </c>
      <c r="V2371" t="n">
        <v>0</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2378=TRUE,F2378,0)/100)*(1+(IF(Skills!A6="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2386=TRUE)*(F2386-Calc!F20)),(Inputs!$B$23+0+(IF(ArtifactsInput!$M$15,CHOOSE(ArtifactsInput!$N$15+1,25,30,35,40,45,50)/100*(Inputs!$B$11-Inputs!$B$11),0))))/100+(Inputs!$B$23+0+(IF(ArtifactsInput!$M$15,CHOOSE(ArtifactsInput!$N$15+1,25,30,35,40,45,50)/100*(Inputs!$B$11-Inputs!$B$11),0)))/100)/2</f>
        <v/>
      </c>
      <c r="M2372">
        <f>L2372*(1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IF(B2405=0,0,O2372/B2405)</f>
        <v/>
      </c>
      <c r="Q2372">
        <f>IFERROR(1/(IF(Inputs!$B$38="pvp",15,MAX(0.1,Skills!D6-IF(TRUE=TRUE,Inputs!$B$32,0)))*(1-IF(AND(ArtifactsInput!$M$27,Inputs!$B$4="Chapter Hunt"),CHOOSE(ArtifactsInput!$N$27+1,20,24,28,32,36,40),0)/100)),0)</f>
        <v/>
      </c>
      <c r="R2372">
        <f>IF(AND(Inputs!$B$38&lt;&gt;"pvp",Inputs!$B$43&gt;0),IF(MAX(0,Inputs!$B$43-B2402)&lt;=0,0,(INT(MAX(0,Inputs!$B$43-B2402)/(IF(Inputs!$B$38="pvp",15,MAX(0.1,Skills!D6-IF(TRUE=TRUE,Inputs!$B$32,0)))*(1-IF(AND(ArtifactsInput!$M$27,Inputs!$B$4="Chapter Hunt"),CHOOSE(ArtifactsInput!$N$27+1,20,24,28,32,36,40),0)/100)))+1)),0)</f>
        <v/>
      </c>
      <c r="S2372">
        <f>IFERROR(O2372/N2372,0)</f>
        <v/>
      </c>
      <c r="T2372">
        <f>IF(C2372,(H2372*N2372*IF(AND(Inputs!$B$38&lt;&gt;"pvp",Inputs!$B$43&gt;0),((Skills!G6*((R2372-1)*IF(Skills!H6&gt;0,Skills!I6/Skills!H6,1)+IF(Skills!H6&gt;0,MIN(Skills!I6,MAX(0,MAX(0,Inputs!$B$43-B2402)-((R2372-1)*(IF(Inputs!$B$38="pvp",15,MAX(0.1,Skills!D6-IF(TRUE=TRUE,Inputs!$B$32,0)))*(1-IF(AND(ArtifactsInput!$M$27,Inputs!$B$4="Chapter Hunt"),CHOOSE(ArtifactsInput!$N$27+1,20,24,28,32,36,40),0)/100)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2402)-((R2372-1)*(IF(Inputs!$B$38="pvp",15,MAX(0.1,Skills!D6-IF(TRUE=TRUE,Inputs!$B$32,0)))*(1-IF(AND(ArtifactsInput!$M$27,Inputs!$B$4="Chapter Hunt"),CHOOSE(ArtifactsInput!$N$27+1,20,24,28,32,36,40),0)/100)))))/Skills!H6,1)))/Inputs!$B$43),G2372*Q2372))*IF(Inputs!$B$38="pvp",1,(1+(Inputs!$B$21+Skills!Q6+(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Inputs!$B$3&gt;=103</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2386=TRUE)*(F2386-Calc!F20)),(Inputs!$B$23+0+(IF(ArtifactsInput!$M$15,CHOOSE(ArtifactsInput!$N$15+1,25,30,35,40,45,50)/100*(Inputs!$B$11-Inputs!$B$11),0))))/100+(Inputs!$B$23+0+(IF(ArtifactsInput!$M$15,CHOOSE(ArtifactsInput!$N$15+1,25,30,35,40,45,50)/100*(Inputs!$B$11-Inputs!$B$11),0)))/100)/2</f>
        <v/>
      </c>
      <c r="M2373">
        <f>L2373*(1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IF(B2405=0,0,O2373/B2405)</f>
        <v/>
      </c>
      <c r="Q2373">
        <f>IFERROR(1/(IF(Inputs!$B$38="pvp",15,MAX(0.1,Skills!D7-IF(TRUE=TRUE,Inputs!$B$32,0)))*(1-IF(AND(ArtifactsInput!$M$27,Inputs!$B$4="Chapter Hunt"),CHOOSE(ArtifactsInput!$N$27+1,20,24,28,32,36,40),0)/100)),0)</f>
        <v/>
      </c>
      <c r="R2373">
        <f>IF(AND(Inputs!$B$38&lt;&gt;"pvp",Inputs!$B$43&gt;0),IF(MAX(0,Inputs!$B$43-B2402)&lt;=0,0,(INT(MAX(0,Inputs!$B$43-B2402)/(IF(Inputs!$B$38="pvp",15,MAX(0.1,Skills!D7-IF(TRUE=TRUE,Inputs!$B$32,0)))*(1-IF(AND(ArtifactsInput!$M$27,Inputs!$B$4="Chapter Hunt"),CHOOSE(ArtifactsInput!$N$27+1,20,24,28,32,36,40),0)/100)))+1)),0)</f>
        <v/>
      </c>
      <c r="S2373">
        <f>IFERROR(O2373/N2373,0)</f>
        <v/>
      </c>
      <c r="T2373">
        <f>IF(C2373,(H2373*N2373*IF(AND(Inputs!$B$38&lt;&gt;"pvp",Inputs!$B$43&gt;0),((Skills!G7*((R2373-1)*IF(Skills!H7&gt;0,Skills!I7/Skills!H7,1)+IF(Skills!H7&gt;0,MIN(Skills!I7,MAX(0,MAX(0,Inputs!$B$43-B2402)-((R2373-1)*(IF(Inputs!$B$38="pvp",15,MAX(0.1,Skills!D7-IF(TRUE=TRUE,Inputs!$B$32,0)))*(1-IF(AND(ArtifactsInput!$M$27,Inputs!$B$4="Chapter Hunt"),CHOOSE(ArtifactsInput!$N$27+1,20,24,28,32,36,40),0)/100)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2402)-((R2373-1)*(IF(Inputs!$B$38="pvp",15,MAX(0.1,Skills!D7-IF(TRUE=TRUE,Inputs!$B$32,0)))*(1-IF(AND(ArtifactsInput!$M$27,Inputs!$B$4="Chapter Hunt"),CHOOSE(ArtifactsInput!$N$27+1,20,24,28,32,36,40),0)/100)))))/Skills!H7,1)))/Inputs!$B$43),G2373*Q2373))*IF(Inputs!$B$38="pvp",1,(1+(Inputs!$B$21+Skills!Q7+(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Inputs!$B$3&gt;=117</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f>Skills!G8*IF(Skills!H8&gt;0,Skills!I8/Skills!H8,1)</f>
        <v/>
      </c>
      <c r="H2374">
        <f>1-(1-Skills!J8/100)^Skills!K8</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2386=TRUE)*(F2386-Calc!F20)),(Inputs!$B$23+0+(IF(ArtifactsInput!$M$15,CHOOSE(ArtifactsInput!$N$15+1,25,30,35,40,45,50)/100*(Inputs!$B$11-Inputs!$B$11),0))))/100+(Inputs!$B$23+0+(IF(ArtifactsInput!$M$15,CHOOSE(ArtifactsInput!$N$15+1,25,30,35,40,45,50)/100*(Inputs!$B$11-Inputs!$B$11),0)))/100)/2</f>
        <v/>
      </c>
      <c r="M2374">
        <f>L2374*(1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IF(B2405=0,0,O2374/B2405)</f>
        <v/>
      </c>
      <c r="Q2374">
        <f>IFERROR(1/(IF(Inputs!$B$38="pvp",15,MAX(0.1,Skills!D8-IF(TRUE=TRUE,Inputs!$B$32,0)))*(1-IF(AND(ArtifactsInput!$M$27,Inputs!$B$4="Chapter Hunt"),CHOOSE(ArtifactsInput!$N$27+1,20,24,28,32,36,40),0)/100)),0)</f>
        <v/>
      </c>
      <c r="R2374">
        <f>IF(AND(Inputs!$B$38&lt;&gt;"pvp",Inputs!$B$43&gt;0),IF(MAX(0,Inputs!$B$43-B2402)&lt;=0,0,(INT(MAX(0,Inputs!$B$43-B2402)/(IF(Inputs!$B$38="pvp",15,MAX(0.1,Skills!D8-IF(TRUE=TRUE,Inputs!$B$32,0)))*(1-IF(AND(ArtifactsInput!$M$27,Inputs!$B$4="Chapter Hunt"),CHOOSE(ArtifactsInput!$N$27+1,20,24,28,32,36,40),0)/100)))+1)),0)</f>
        <v/>
      </c>
      <c r="S2374">
        <f>IFERROR(O2374/N2374,0)</f>
        <v/>
      </c>
      <c r="T2374">
        <f>IF(C2374,(H2374*N2374*IF(AND(Inputs!$B$38&lt;&gt;"pvp",Inputs!$B$43&gt;0),((Skills!G8*((R2374-1)*IF(Skills!H8&gt;0,Skills!I8/Skills!H8,1)+IF(Skills!H8&gt;0,MIN(Skills!I8,MAX(0,MAX(0,Inputs!$B$43-B2402)-((R2374-1)*(IF(Inputs!$B$38="pvp",15,MAX(0.1,Skills!D8-IF(TRUE=TRUE,Inputs!$B$32,0)))*(1-IF(AND(ArtifactsInput!$M$27,Inputs!$B$4="Chapter Hunt"),CHOOSE(ArtifactsInput!$N$27+1,20,24,28,32,36,40),0)/100)))))/Skills!H8,1)))/Inputs!$B$43),G2374*Q2374)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2374*(1-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4">
        <f>IF(C2374,(H2374*N2374*IF(AND(Inputs!$B$38&lt;&gt;"pvp",Inputs!$B$43&gt;0),((Skills!G8*((R2374-1)*IF(Skills!H8&gt;0,Skills!I8/Skills!H8,1)+IF(Skills!H8&gt;0,MIN(Skills!I8,MAX(0,MAX(0,Inputs!$B$43-B2402)-((R2374-1)*(IF(Inputs!$B$38="pvp",15,MAX(0.1,Skills!D8-IF(TRUE=TRUE,Inputs!$B$32,0)))*(1-IF(AND(ArtifactsInput!$M$27,Inputs!$B$4="Chapter Hunt"),CHOOSE(ArtifactsInput!$N$27+1,20,24,28,32,36,40),0)/100)))))/Skills!H8,1)))/Inputs!$B$43),G2374*Q2374))*IF(Inputs!$B$38="pvp",1,(1+(Inputs!$B$21+Skills!Q8+(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Skills!A9</f>
        <v/>
      </c>
      <c r="B2375">
        <f>Skills!B9</f>
        <v/>
      </c>
      <c r="C2375">
        <f>Inputs!$B$3&gt;=120</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B2407</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2386=TRUE)*(F2386-Calc!F20)),(Inputs!$B$23+0+(IF(ArtifactsInput!$M$15,CHOOSE(ArtifactsInput!$N$15+1,25,30,35,40,45,50)/100*(Inputs!$B$11-Inputs!$B$11),0))))/100+(Inputs!$B$23+0+(IF(ArtifactsInput!$M$15,CHOOSE(ArtifactsInput!$N$15+1,25,30,35,40,45,50)/100*(Inputs!$B$11-Inputs!$B$11),0)))/100)/2</f>
        <v/>
      </c>
      <c r="M2375">
        <f>L2375*(1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IF(B2405=0,0,O2375/B2405)</f>
        <v/>
      </c>
      <c r="Q2375">
        <f>IFERROR(1/(IF(Inputs!$B$38="pvp",15,MAX(0.1,Skills!D9-IF(TRUE=TRUE,Inputs!$B$32,0)))*(1-IF(AND(ArtifactsInput!$M$27,Inputs!$B$4="Chapter Hunt"),CHOOSE(ArtifactsInput!$N$27+1,20,24,28,32,36,40),0)/100)),0)</f>
        <v/>
      </c>
      <c r="R2375">
        <f>IF(AND(Inputs!$B$38&lt;&gt;"pvp",Inputs!$B$43&gt;0),IF(MAX(0,Inputs!$B$43-B2402)&lt;=0,0,(INT(MAX(0,Inputs!$B$43-B2402)/(IF(Inputs!$B$38="pvp",15,MAX(0.1,Skills!D9-IF(TRUE=TRUE,Inputs!$B$32,0)))*(1-IF(AND(ArtifactsInput!$M$27,Inputs!$B$4="Chapter Hunt"),CHOOSE(ArtifactsInput!$N$27+1,20,24,28,32,36,40),0)/100)))+1)),0)</f>
        <v/>
      </c>
      <c r="S2375">
        <f>IFERROR(O2375/N2375,0)</f>
        <v/>
      </c>
      <c r="T2375">
        <f>IF(C2375,(H2375*N2375*IF(AND(Inputs!$B$38&lt;&gt;"pvp",Inputs!$B$43&gt;0),((Skills!G9*((R2375-1)*IF(Skills!H9&gt;0,Skills!I9/Skills!H9,1)+IF(Skills!H9&gt;0,MIN(Skills!I9,MAX(0,MAX(0,Inputs!$B$43-B2402)-((R2375-1)*(IF(Inputs!$B$38="pvp",15,MAX(0.1,Skills!D9-IF(TRUE=TRUE,Inputs!$B$32,0)))*(1-IF(AND(ArtifactsInput!$M$27,Inputs!$B$4="Chapter Hunt"),CHOOSE(ArtifactsInput!$N$27+1,20,24,28,32,36,40),0)/100)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2402)-((R2375-1)*(IF(Inputs!$B$38="pvp",15,MAX(0.1,Skills!D9-IF(TRUE=TRUE,Inputs!$B$32,0)))*(1-IF(AND(ArtifactsInput!$M$27,Inputs!$B$4="Chapter Hunt"),CHOOSE(ArtifactsInput!$N$27+1,20,24,28,32,36,40),0)/100)))))/Skills!H9,1)))/Inputs!$B$43),G2375*Q2375))*IF(Inputs!$B$38="pvp",1,(1+(Inputs!$B$21+Skills!Q9+(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Inputs!$B$3&gt;=105</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2386=TRUE)*(F2386-Calc!F20)),(Inputs!$B$23+0+(IF(ArtifactsInput!$M$15,CHOOSE(ArtifactsInput!$N$15+1,25,30,35,40,45,50)/100*(Inputs!$B$11-Inputs!$B$11),0))))/100+(Inputs!$B$23+0+(IF(ArtifactsInput!$M$15,CHOOSE(ArtifactsInput!$N$15+1,25,30,35,40,45,50)/100*(Inputs!$B$11-Inputs!$B$11),0)))/100)/2</f>
        <v/>
      </c>
      <c r="M2376">
        <f>L2376*(1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IF(B2405=0,0,O2376/B2405)</f>
        <v/>
      </c>
      <c r="Q2376">
        <f>IFERROR(1/(IF(Inputs!$B$38="pvp",15,MAX(0.1,Skills!D10-IF(TRUE=TRUE,Inputs!$B$32,0)))*(1-IF(AND(ArtifactsInput!$M$27,Inputs!$B$4="Chapter Hunt"),CHOOSE(ArtifactsInput!$N$27+1,20,24,28,32,36,40),0)/100)),0)</f>
        <v/>
      </c>
      <c r="R2376">
        <f>IF(AND(Inputs!$B$38&lt;&gt;"pvp",Inputs!$B$43&gt;0),IF(MAX(0,Inputs!$B$43-B2402)&lt;=0,0,(INT(MAX(0,Inputs!$B$43-B2402)/(IF(Inputs!$B$38="pvp",15,MAX(0.1,Skills!D10-IF(TRUE=TRUE,Inputs!$B$32,0)))*(1-IF(AND(ArtifactsInput!$M$27,Inputs!$B$4="Chapter Hunt"),CHOOSE(ArtifactsInput!$N$27+1,20,24,28,32,36,40),0)/100)))+1)),0)</f>
        <v/>
      </c>
      <c r="S2376">
        <f>IFERROR(O2376/N2376,0)</f>
        <v/>
      </c>
      <c r="T2376">
        <f>IF(C2376,(H2376*N2376*IF(AND(Inputs!$B$38&lt;&gt;"pvp",Inputs!$B$43&gt;0),((Skills!G10*((R2376-1)*IF(Skills!H10&gt;0,Skills!I10/Skills!H10,1)+IF(Skills!H10&gt;0,MIN(Skills!I10,MAX(0,MAX(0,Inputs!$B$43-B2402)-((R2376-1)*(IF(Inputs!$B$38="pvp",15,MAX(0.1,Skills!D10-IF(TRUE=TRUE,Inputs!$B$32,0)))*(1-IF(AND(ArtifactsInput!$M$27,Inputs!$B$4="Chapter Hunt"),CHOOSE(ArtifactsInput!$N$27+1,20,24,28,32,36,40),0)/100)))))/Skills!H10,1)))/Inputs!$B$43),G2376*Q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10*((R2376-1)*IF(Skills!H10&gt;0,Skills!I10/Skills!H10,1)+IF(Skills!H10&gt;0,MIN(Skills!I10,MAX(0,MAX(0,Inputs!$B$43-B2402)-((R2376-1)*(IF(Inputs!$B$38="pvp",15,MAX(0.1,Skills!D10-IF(TRUE=TRUE,Inputs!$B$32,0)))*(1-IF(AND(ArtifactsInput!$M$27,Inputs!$B$4="Chapter Hunt"),CHOOSE(ArtifactsInput!$N$27+1,20,24,28,32,36,40),0)/100)))))/Skills!H10,1)))/Inputs!$B$43),G2376*Q2376))*IF(Inputs!$B$38="pvp",1,(1+(Inputs!$B$21+Skills!Q10+(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Inputs!$B$3&gt;=113</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2386=TRUE)*(F2386-Calc!F20)),(Inputs!$B$23+0+(IF(ArtifactsInput!$M$15,CHOOSE(ArtifactsInput!$N$15+1,25,30,35,40,45,50)/100*(Inputs!$B$11-Inputs!$B$11),0))))/100+(Inputs!$B$23+0+(IF(ArtifactsInput!$M$15,CHOOSE(ArtifactsInput!$N$15+1,25,30,35,40,45,50)/100*(Inputs!$B$11-Inputs!$B$11),0)))/100)/2</f>
        <v/>
      </c>
      <c r="M2377">
        <f>L2377*(1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IF(B2405=0,0,O2377/B2405)</f>
        <v/>
      </c>
      <c r="Q2377" t="n">
        <v>0</v>
      </c>
      <c r="R2377" t="n">
        <v>0</v>
      </c>
      <c r="S2377">
        <f>IFERROR(O2377/N2377,0)</f>
        <v/>
      </c>
      <c r="T2377">
        <f>IF(C2377,((H2377*B2408)/(1+Skills!H11*H2377*B2408)*N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IF(C2377,((H2377*B2408)/(1+Skills!H11*H2377*B2408)*N2377)*IF(Inputs!$B$38="pvp",1,(1+(Inputs!$B$21+Skills!Q11+(IF(ArtifactsInput!$M$33,CHOOSE(ArtifactsInput!$N$33+1,30,36,42,48,54,60),0))+(IF(AND(ArtifactsInput!$M$35,Inputs!$B$4&lt;&gt;"Chapter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Inputs!$B$3&gt;=100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V2378" t="inlineStr"/>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IF(B2405=0,0,O2379/B2405)</f>
        <v/>
      </c>
      <c r="Q2379" t="n">
        <v>0</v>
      </c>
      <c r="R2379" t="n">
        <v>0</v>
      </c>
      <c r="S2379">
        <f>IFERROR(O2379/N2379,0)</f>
        <v/>
      </c>
      <c r="T2379" t="n">
        <v>0</v>
      </c>
      <c r="V2379" t="n">
        <v>0</v>
      </c>
    </row>
    <row r="2380">
      <c r="A2380">
        <f>Skills!A14</f>
        <v/>
      </c>
      <c r="B2380">
        <f>Skills!B14</f>
        <v/>
      </c>
      <c r="C2380">
        <f>Inputs!$B$3&gt;=115</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IF(B2405=0,0,O2380/B2405)</f>
        <v/>
      </c>
      <c r="Q2380">
        <f>IFERROR(1/(IF(Inputs!$B$38="pvp",15,MAX(0.1,Skills!D14-IF(TRUE=TRUE,Inputs!$B$32,0)))*(1-IF(AND(ArtifactsInput!$M$27,Inputs!$B$4="Chapter Hunt"),CHOOSE(ArtifactsInput!$N$27+1,20,24,28,32,36,40),0)/100)),0)</f>
        <v/>
      </c>
      <c r="R2380">
        <f>IF(AND(Inputs!$B$38&lt;&gt;"pvp",Inputs!$B$43&gt;0),IF(Inputs!$B$43&lt;=0,0,(INT(Inputs!$B$43/(IF(Inputs!$B$38="pvp",15,MAX(0.1,Skills!D14-IF(TRUE=TRUE,Inputs!$B$32,0)))*(1-IF(AND(ArtifactsInput!$M$27,Inputs!$B$4="Chapter Hunt"),CHOOSE(ArtifactsInput!$N$27+1,20,24,28,32,36,40),0)/100)))+1)),0)</f>
        <v/>
      </c>
      <c r="S2380">
        <f>IFERROR(O2380/N2380,0)</f>
        <v/>
      </c>
      <c r="T2380" t="n">
        <v>0</v>
      </c>
      <c r="V2380" t="n">
        <v>0</v>
      </c>
    </row>
    <row r="2381">
      <c r="A2381">
        <f>Skills!A15</f>
        <v/>
      </c>
      <c r="B2381">
        <f>Skills!B15</f>
        <v/>
      </c>
      <c r="C2381">
        <f>Inputs!$B$3&gt;=125</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IF(B2405=0,0,O2381/B2405)</f>
        <v/>
      </c>
      <c r="Q2381">
        <f>IFERROR(1/(IF(Inputs!$B$38="pvp",15,MAX(0.1,Skills!D15-IF(TRUE=TRUE,Inputs!$B$32,0)))*(1-IF(AND(ArtifactsInput!$M$27,Inputs!$B$4="Chapter Hunt"),CHOOSE(ArtifactsInput!$N$27+1,20,24,28,32,36,40),0)/100)),0)</f>
        <v/>
      </c>
      <c r="R2381">
        <f>IF(AND(Inputs!$B$38&lt;&gt;"pvp",Inputs!$B$43&gt;0),IF(Inputs!$B$43&lt;=0,0,(INT(Inputs!$B$43/(IF(Inputs!$B$38="pvp",15,MAX(0.1,Skills!D15-IF(TRUE=TRUE,Inputs!$B$32,0)))*(1-IF(AND(ArtifactsInput!$M$27,Inputs!$B$4="Chapter Hunt"),CHOOSE(ArtifactsInput!$N$27+1,20,24,28,32,36,40),0)/100)))+1)),0)</f>
        <v/>
      </c>
      <c r="S2381">
        <f>IFERROR(O2381/N2381,0)</f>
        <v/>
      </c>
      <c r="T2381" t="n">
        <v>0</v>
      </c>
      <c r="V2381" t="n">
        <v>0</v>
      </c>
    </row>
    <row r="2382">
      <c r="A2382">
        <f>Skills!A16</f>
        <v/>
      </c>
      <c r="B2382">
        <f>Skills!B16</f>
        <v/>
      </c>
      <c r="C2382">
        <f>Inputs!$B$3&gt;=10</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IF(B2405=0,0,O2382/B2405)</f>
        <v/>
      </c>
      <c r="Q2382" t="n">
        <v>0</v>
      </c>
      <c r="R2382" t="n">
        <v>0</v>
      </c>
      <c r="S2382">
        <f>IFERROR(O2382/N2382,0)</f>
        <v/>
      </c>
      <c r="T2382" t="n">
        <v>0</v>
      </c>
      <c r="V2382" t="n">
        <v>0</v>
      </c>
    </row>
    <row r="2383">
      <c r="A2383">
        <f>Skills!A17</f>
        <v/>
      </c>
      <c r="B2383">
        <f>Skills!B17</f>
        <v/>
      </c>
      <c r="C2383">
        <f>Inputs!$B$3&gt;=15</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IF(B2405=0,0,O2383/B2405)</f>
        <v/>
      </c>
      <c r="Q2383" t="n">
        <v>0</v>
      </c>
      <c r="R2383" t="n">
        <v>0</v>
      </c>
      <c r="S2383">
        <f>IFERROR(O2383/N2383,0)</f>
        <v/>
      </c>
      <c r="T2383" t="n">
        <v>0</v>
      </c>
      <c r="V2383" t="n">
        <v>0</v>
      </c>
    </row>
    <row r="2384">
      <c r="A2384">
        <f>Skills!A18</f>
        <v/>
      </c>
      <c r="B2384">
        <f>Skills!B18</f>
        <v/>
      </c>
      <c r="C2384">
        <f>Inputs!$B$3&gt;=33</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IF(B2405=0,0,O2384/B2405)</f>
        <v/>
      </c>
      <c r="Q2384" t="n">
        <v>0</v>
      </c>
      <c r="R2384" t="n">
        <v>0</v>
      </c>
      <c r="S2384">
        <f>IFERROR(O2384/N2384,0)</f>
        <v/>
      </c>
      <c r="T2384" t="n">
        <v>0</v>
      </c>
      <c r="V2384" t="n">
        <v>0</v>
      </c>
    </row>
    <row r="2385">
      <c r="A2385">
        <f>Skills!A19</f>
        <v/>
      </c>
      <c r="B2385">
        <f>Skills!B19</f>
        <v/>
      </c>
      <c r="C2385">
        <f>Inputs!$B$3&gt;=40</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IF(B2405=0,0,O2385/B2405)</f>
        <v/>
      </c>
      <c r="Q2385" t="n">
        <v>0</v>
      </c>
      <c r="R2385" t="n">
        <v>0</v>
      </c>
      <c r="S2385">
        <f>IFERROR(O2385/N2385,0)</f>
        <v/>
      </c>
      <c r="T2385" t="n">
        <v>0</v>
      </c>
      <c r="V2385" t="n">
        <v>0</v>
      </c>
    </row>
    <row r="2386">
      <c r="A2386">
        <f>Skills!A20</f>
        <v/>
      </c>
      <c r="B2386">
        <f>Skills!B20</f>
        <v/>
      </c>
      <c r="C2386">
        <f>Inputs!$B$3&gt;=43</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IF(B2405=0,0,O2386/B2405)</f>
        <v/>
      </c>
      <c r="Q2386" t="n">
        <v>0</v>
      </c>
      <c r="R2386" t="n">
        <v>0</v>
      </c>
      <c r="S2386">
        <f>IFERROR(O2386/N2386,0)</f>
        <v/>
      </c>
      <c r="T2386" t="n">
        <v>0</v>
      </c>
      <c r="V2386" t="n">
        <v>0</v>
      </c>
    </row>
    <row r="2387">
      <c r="A2387">
        <f>Skills!A21</f>
        <v/>
      </c>
      <c r="B2387">
        <f>Skills!B21</f>
        <v/>
      </c>
      <c r="C2387">
        <f>Inputs!$B$3&gt;=38</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IF(B2405=0,0,O2387/B2405)</f>
        <v/>
      </c>
      <c r="Q2387" t="n">
        <v>0</v>
      </c>
      <c r="R2387" t="n">
        <v>0</v>
      </c>
      <c r="S2387">
        <f>IFERROR(O2387/N2387,0)</f>
        <v/>
      </c>
      <c r="T2387" t="n">
        <v>0</v>
      </c>
      <c r="V2387" t="n">
        <v>0</v>
      </c>
    </row>
    <row r="2388">
      <c r="A2388">
        <f>Skills!A22</f>
        <v/>
      </c>
      <c r="B2388">
        <f>Skills!B22</f>
        <v/>
      </c>
      <c r="C2388">
        <f>Inputs!$B$3&gt;=75</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IF(B2405=0,0,O2388/B2405)</f>
        <v/>
      </c>
      <c r="Q2388" t="n">
        <v>0</v>
      </c>
      <c r="R2388" t="n">
        <v>0</v>
      </c>
      <c r="S2388">
        <f>IFERROR(O2388/N2388,0)</f>
        <v/>
      </c>
      <c r="T2388" t="n">
        <v>0</v>
      </c>
      <c r="V2388" t="n">
        <v>0</v>
      </c>
    </row>
    <row r="2389">
      <c r="A2389">
        <f>Skills!A23</f>
        <v/>
      </c>
      <c r="B2389">
        <f>Skills!B23</f>
        <v/>
      </c>
      <c r="C2389">
        <f>TRUE</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IF(B2405=0,0,O2389/B2405)</f>
        <v/>
      </c>
      <c r="Q2389">
        <f>IFERROR(1/(IF(Inputs!$B$38="pvp",15,MAX(0.1,Skills!D23-IF(TRUE=TRUE,Inputs!$B$32,0)))*(1-IF(AND(ArtifactsInput!$M$27,Inputs!$B$4="Chapter Hunt"),CHOOSE(ArtifactsInput!$N$27+1,20,24,28,32,36,40),0)/100)),0)</f>
        <v/>
      </c>
      <c r="R2389">
        <f>IF(AND(Inputs!$B$38&lt;&gt;"pvp",Inputs!$B$43&gt;0),IF(Inputs!$B$43&lt;=0,0,(INT(Inputs!$B$43/(IF(Inputs!$B$38="pvp",15,MAX(0.1,Skills!D23-IF(TRUE=TRUE,Inputs!$B$32,0)))*(1-IF(AND(ArtifactsInput!$M$27,Inputs!$B$4="Chapter Hunt"),CHOOSE(ArtifactsInput!$N$27+1,20,24,28,32,36,40),0)/100)))+1)),0)</f>
        <v/>
      </c>
      <c r="S2389">
        <f>IFERROR(O2389/N2389,0)</f>
        <v/>
      </c>
      <c r="T2389" t="n">
        <v>0</v>
      </c>
      <c r="V2389" t="n">
        <v>0</v>
      </c>
    </row>
    <row r="2390">
      <c r="A2390">
        <f>Skills!A24</f>
        <v/>
      </c>
      <c r="B2390">
        <f>Skills!B24</f>
        <v/>
      </c>
      <c r="C2390">
        <f>Inputs!$B$3&gt;=107</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IF(B2405=0,0,O2390/B2405)</f>
        <v/>
      </c>
      <c r="Q2390">
        <f>IFERROR(1/(IF(Inputs!$B$38="pvp",15,MAX(0.1,Skills!D24-IF(TRUE=TRUE,Inputs!$B$32,0)))*(1-IF(AND(ArtifactsInput!$M$27,Inputs!$B$4="Chapter Hunt"),CHOOSE(ArtifactsInput!$N$27+1,20,24,28,32,36,40),0)/100)),0)</f>
        <v/>
      </c>
      <c r="R2390">
        <f>IF(AND(Inputs!$B$38&lt;&gt;"pvp",Inputs!$B$43&gt;0),IF(Inputs!$B$43&lt;=0,0,(INT(Inputs!$B$43/(IF(Inputs!$B$38="pvp",15,MAX(0.1,Skills!D24-IF(TRUE=TRUE,Inputs!$B$32,0)))*(1-IF(AND(ArtifactsInput!$M$27,Inputs!$B$4="Chapter Hunt"),CHOOSE(ArtifactsInput!$N$27+1,20,24,28,32,36,40),0)/100)))+1)),0)</f>
        <v/>
      </c>
      <c r="S2390">
        <f>IFERROR(O2390/N2390,0)</f>
        <v/>
      </c>
      <c r="T2390" t="n">
        <v>0</v>
      </c>
      <c r="V2390" t="n">
        <v>0</v>
      </c>
    </row>
    <row r="2391">
      <c r="A2391">
        <f>Skills!A25</f>
        <v/>
      </c>
      <c r="B2391">
        <f>Skills!B25</f>
        <v/>
      </c>
      <c r="C2391">
        <f>Inputs!$B$3&gt;=110</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t="inlineStr"/>
      <c r="H2391" t="inlineStr"/>
      <c r="I2391" t="inlineStr">
        <is>
          <t>1</t>
        </is>
      </c>
      <c r="J2391" t="inlineStr"/>
      <c r="K2391" t="inlineStr"/>
      <c r="L2391" t="inlineStr"/>
      <c r="M2391" t="inlineStr"/>
      <c r="N2391" t="inlineStr"/>
      <c r="O2391" t="inlineStr"/>
      <c r="P2391" t="inlineStr"/>
      <c r="Q2391" t="inlineStr"/>
      <c r="R2391" t="inlineStr"/>
      <c r="S2391" t="inlineStr"/>
      <c r="T2391" t="inlineStr"/>
      <c r="V2391" t="inlineStr"/>
    </row>
    <row r="2392">
      <c r="A2392">
        <f>Skills!A26</f>
        <v/>
      </c>
      <c r="B2392">
        <f>Skills!B26</f>
        <v/>
      </c>
      <c r="C2392">
        <f>Inputs!$B$3&gt;=117</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t="inlineStr"/>
      <c r="H2392" t="inlineStr"/>
      <c r="I2392" t="inlineStr">
        <is>
          <t>1</t>
        </is>
      </c>
      <c r="J2392" t="inlineStr"/>
      <c r="K2392" t="inlineStr"/>
      <c r="L2392" t="inlineStr"/>
      <c r="M2392" t="inlineStr"/>
      <c r="N2392" t="inlineStr"/>
      <c r="O2392" t="inlineStr"/>
      <c r="P2392" t="inlineStr"/>
      <c r="Q2392" t="inlineStr"/>
      <c r="R2392" t="inlineStr"/>
      <c r="S2392" t="inlineStr"/>
      <c r="T2392" t="inlineStr"/>
      <c r="V2392" t="inlineStr"/>
    </row>
    <row r="2394">
      <c r="A2394" t="inlineStr">
        <is>
          <t>Attack% Bucket Multiplier</t>
        </is>
      </c>
      <c r="B2394">
        <f>(1+(((C2379=TRUE)*F2379*5/7)+((C2385=TRUE)*(F2385-Calc!F19))+(IF(ArtifactsInput!$M$21,CHOOSE(ArtifactsInput!$N$21+1,25,30,35,40,45,50)*(IF(OR(Inputs!$B$4="Chapter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5">
      <c r="A2395" t="inlineStr">
        <is>
          <t>Global Crit Rate Bonus %</t>
        </is>
      </c>
      <c r="B2395" t="n">
        <v>0</v>
      </c>
    </row>
    <row r="2396">
      <c r="A2396" t="inlineStr">
        <is>
          <t>Attack Speed Buff Bonus % (Nimble Feet + Speed Infusion, duty-cycle averaged)</t>
        </is>
      </c>
      <c r="B2396">
        <f>((C2389=TRUE)*F2389*IF(AND(Inputs!$B$38&lt;&gt;"pvp",Inputs!$B$43&gt;0),(((R2389-1)*MIN((Skills!T23*(1+Inputs!$B$34/100)),(1/Q2389))+MIN((Skills!T23*(1+Inputs!$B$34/100)),MAX(0,Inputs!$B$43-((R2389-1)*(1/Q2389)))))/Inputs!$B$43),IF(Inputs!$B$38="pvp",MIN((Skills!T23*(1+Inputs!$B$34/100)),15)/15,MIN(1,(Skills!T23*(1+Inputs!$B$34/100))/(1/Q2389)))))+((C2390=TRUE)*F2390*IF(AND(Inputs!$B$38&lt;&gt;"pvp",Inputs!$B$43&gt;0),(((R2390-1)*MIN((Skills!T24*(1+Inputs!$B$34/100)),(1/Q2390))+MIN((Skills!T24*(1+Inputs!$B$34/100)),MAX(0,Inputs!$B$43-((R2390-1)*(1/Q2390)))))/Inputs!$B$43),IF(Inputs!$B$38="pvp",MIN((Skills!T24*(1+Inputs!$B$34/100)),15)/15,MIN(1,(Skills!T24*(1+Inputs!$B$34/100))/(1/Q2390)))))</f>
        <v/>
      </c>
    </row>
    <row r="2397">
      <c r="A2397" t="inlineStr">
        <is>
          <t>Actions Per Second</t>
        </is>
      </c>
      <c r="B2397">
        <f>1+MIN(150,150*(1-(1-(Inputs!$B$11+((C2383=TRUE)*(F2383-Calc!F17))+((C2384=TRUE)*(F2384-Calc!F18)))/150)*(1-B2396/150)))/100</f>
        <v/>
      </c>
    </row>
    <row r="2398">
      <c r="A2398" t="inlineStr">
        <is>
          <t>Skill + Buff Cast Rate</t>
        </is>
      </c>
      <c r="B2398">
        <f>IF(AND(Inputs!$B$38&lt;&gt;"pvp",Inputs!$B$43&gt;0),SUMPRODUCT((Skills!E2:E26=TRUE)*(C2368:C2392=TRUE)*R2368:R2392*Skills!F2:F26)/Inputs!$B$43,SUMPRODUCT((Skills!E2:E26=TRUE)*(C2368:C2392=TRUE)*Q2368:Q2392*Skills!F2:F26))</f>
        <v/>
      </c>
    </row>
    <row r="2399">
      <c r="A2399" t="inlineStr">
        <is>
          <t>Hook Bomber Casts Per Second</t>
        </is>
      </c>
      <c r="B2399">
        <f>MAX(0,B2397-B2398)</f>
        <v/>
      </c>
    </row>
    <row r="2400">
      <c r="A2400" t="inlineStr">
        <is>
          <t>Global Critical Damage Bonus % (unused)</t>
        </is>
      </c>
      <c r="B2400" t="n">
        <v>0</v>
      </c>
    </row>
    <row r="2401">
      <c r="A2401" t="inlineStr">
        <is>
          <t>Global Final Damage Bonus % (Serpent Scale + Crossbones + Time Leap + Speed Infusion)</t>
        </is>
      </c>
      <c r="B2401">
        <f>((C2371=TRUE)*(F2371*B2407+4*(1-B2407)))+((C2380=TRUE)*F2380*IF(AND(Inputs!$B$38&lt;&gt;"pvp",Inputs!$B$43&gt;0),(((R2380-1)*MIN((Skills!T14*(1+Inputs!$B$34/100)),(1/Q2380))+MIN((Skills!T14*(1+Inputs!$B$34/100)),MAX(0,Inputs!$B$43-((R2380-1)*(1/Q2380)))))/Inputs!$B$43),IF(Inputs!$B$38="pvp",MIN((Skills!T14*(1+Inputs!$B$34/100)),15)/15,MIN(1,(Skills!T14*(1+Inputs!$B$34/100))/(1/Q2380)))))+((C2381=TRUE)*F2381*IF(AND(Inputs!$B$38&lt;&gt;"pvp",Inputs!$B$43&gt;0),(((R2381-1)*MIN((Skills!T15*(1+Inputs!$B$34/100)),(1/Q2381))+MIN((Skills!T15*(1+Inputs!$B$34/100)),MAX(0,Inputs!$B$43-((R2381-1)*(1/Q2381)))))/Inputs!$B$43),IF(Inputs!$B$38="pvp",MIN((Skills!T15*(1+Inputs!$B$34/100)),15)/15,MIN(1,(Skills!T15*(1+Inputs!$B$34/100))/(1/Q2381)))))+((C2390=TRUE)*20*((1+MIN(150,150*(1-(1-(Inputs!$B$11+((C2383=TRUE)*(F2383-Calc!F17))+((C2384=TRUE)*(F2384-Calc!F18)))/150)*(1-(((C2389=TRUE)*F2389*IF(AND(Inputs!$B$38&lt;&gt;"pvp",Inputs!$B$43&gt;0),(((R2389-1)*MIN((Skills!T23*(1+Inputs!$B$34/100)),(1/Q2389))+MIN((Skills!T23*(1+Inputs!$B$34/100)),MAX(0,Inputs!$B$43-((R2389-1)*(1/Q2389)))))/Inputs!$B$43),IF(Inputs!$B$38="pvp",MIN((Skills!T23*(1+Inputs!$B$34/100)),15)/15,MIN(1,(Skills!T23*(1+Inputs!$B$34/100))/(1/Q2389)))))+F2390)/150)))/100)-1)*IF(AND(Inputs!$B$38&lt;&gt;"pvp",Inputs!$B$43&gt;0),(((R2390-1)*MIN((Skills!T24*(1+Inputs!$B$34/100)),(1/Q2390))+MIN((Skills!T24*(1+Inputs!$B$34/100)),MAX(0,Inputs!$B$43-((R2390-1)*(1/Q2390)))))/Inputs!$B$43),IF(Inputs!$B$38="pvp",MIN((Skills!T24*(1+Inputs!$B$34/100)),15)/15,MIN(1,(Skills!T24*(1+Inputs!$B$34/100))/(1/Q2390)))))</f>
        <v/>
      </c>
    </row>
    <row r="2402">
      <c r="A2402" t="inlineStr">
        <is>
          <t>Buff-Casting Startup Delay (s, fixed-duration only)</t>
        </is>
      </c>
      <c r="B2402">
        <f>IF(AND(Inputs!$B$38&lt;&gt;"pvp",Inputs!$B$43&gt;0),SUMPRODUCT((Skills!T2:T26&gt;0)*(Skills!E2:E26=TRUE)*(C2368:C2392=TRUE))/B2397,0)</f>
        <v/>
      </c>
    </row>
    <row r="2403">
      <c r="A2403" t="inlineStr">
        <is>
          <t>Boss-Only Total DPS (this block's swept value)</t>
        </is>
      </c>
      <c r="B2403">
        <f>SUM(T2368:T2392)</f>
        <v/>
      </c>
    </row>
    <row r="2404">
      <c r="A2404" t="inlineStr">
        <is>
          <t>Normal-Only Total DPS (this block's swept value)</t>
        </is>
      </c>
      <c r="B2404">
        <f>SUM(V2368:V2392)</f>
        <v/>
      </c>
    </row>
    <row r="2405">
      <c r="A2405" s="6" t="inlineStr">
        <is>
          <t>TOTAL DPS</t>
        </is>
      </c>
      <c r="B2405" s="6">
        <f>SUM(O2368:O2392)</f>
        <v/>
      </c>
    </row>
    <row r="2406">
      <c r="A2406" t="inlineStr">
        <is>
          <t>Serpent activation interval T (this block's own Hook Bomber rate)</t>
        </is>
      </c>
      <c r="B2406">
        <f>((1/Q2369)+IFERROR(0.5/B2399,0))</f>
        <v/>
      </c>
    </row>
    <row r="2407">
      <c r="A2407" t="inlineStr">
        <is>
          <t>Assault Mode uptime u (this block)</t>
        </is>
      </c>
      <c r="B2407">
        <f>IF(C2371=TRUE,(10+IF(Inputs!$B$3&gt;=94,5,0))/((10+IF(Inputs!$B$3&gt;=94,5,0))+IF(Inputs!$B$3&gt;=104,3,5)*B2406),0)</f>
        <v/>
      </c>
    </row>
    <row r="2408">
      <c r="A2408" t="inlineStr">
        <is>
          <t>Nautilus Strike - Final Attack trigger rate (this block's own Q/R)</t>
        </is>
      </c>
      <c r="B2408">
        <f>IF(AND(Inputs!$B$38&lt;&gt;"pvp",Inputs!$B$43&gt;0),(((C2372=TRUE)*R2372)+((C2373=TRUE)*R2373)+((C2376=TRUE)*R2376))/Inputs!$B$43,((C2372=TRUE)*Q2372)+((C2373=TRUE)*Q2373)+((C2376=TRUE)*Q2376))+B2399</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IF(B2450=0,0,O2413/B2450)</f>
        <v/>
      </c>
      <c r="Q2413" t="n">
        <v>0</v>
      </c>
      <c r="R2413" t="n">
        <v>0</v>
      </c>
      <c r="S2413">
        <f>IFERROR(O2413/N2413,0)</f>
        <v/>
      </c>
      <c r="T2413">
        <f>IF(C2413,(Skills!G2*N2413*B2444)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IF(C2413,(Skills!G2*N2413*B2444)*IF(Inputs!$B$38="pvp",1,(1+(Inputs!$B$21+Skills!Q2+(IF(IF(ArtifactsInput!$M$33,FALSE,TRUE),CHOOSE(ArtifactsInput!$N$33+1,30,36,42,48,54,60),0))+(IF(AND(ArtifactsInput!$M$35,Inputs!$B$4&lt;&gt;"Chapter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2436=TRUE,F2436,0)/100)*(1+(IF(Skills!A3="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IF(B2450=0,0,O2414/B2450)</f>
        <v/>
      </c>
      <c r="Q2414">
        <f>IFERROR(1/(IF(Inputs!$B$38="pvp",15,MAX(0.1,Skills!D3-IF(TRUE=TRUE,Inputs!$B$32,0)))*(1-IF(AND(ArtifactsInput!$M$27,Inputs!$B$4="Chapter Hunt"),CHOOSE(ArtifactsInput!$N$27+1,20,24,28,32,36,40),0)/100)),0)</f>
        <v/>
      </c>
      <c r="R2414">
        <f>IF(AND(Inputs!$B$38&lt;&gt;"pvp",Inputs!$B$43&gt;0),IF(MAX(0,Inputs!$B$43-B2447)&lt;=0,0,(INT(MAX(0,Inputs!$B$43-B2447)/(IF(Inputs!$B$38="pvp",15,MAX(0.1,Skills!D3-IF(TRUE=TRUE,Inputs!$B$32,0)))*(1-IF(AND(ArtifactsInput!$M$27,Inputs!$B$4="Chapter Hunt"),CHOOSE(ArtifactsInput!$N$27+1,20,24,28,32,36,40),0)/100)))+1)),0)</f>
        <v/>
      </c>
      <c r="S2414">
        <f>IFERROR(O2414/N2414,0)</f>
        <v/>
      </c>
      <c r="T2414">
        <f>IF(C2414,(Skills!G3*N2414*IF(C2415=TRUE,1-B2452,1)/B2451)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IF(C2414,(Skills!G3*N2414*IF(C2415=TRUE,1-B2452,1)/B2451)*IF(Inputs!$B$38="pvp",1,(1+(Inputs!$B$21+Skills!Q3+(IF(IF(ArtifactsInput!$M$33,FALSE,TRUE),CHOOSE(ArtifactsInput!$N$33+1,30,36,42,48,54,60),0))+(IF(AND(ArtifactsInput!$M$35,Inputs!$B$4&lt;&gt;"Chapter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Inputs!$B$3&gt;=69</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IF(B2450=0,0,O2415/B2450)</f>
        <v/>
      </c>
      <c r="Q2415" t="n">
        <v>0</v>
      </c>
      <c r="R2415" t="n">
        <v>0</v>
      </c>
      <c r="S2415">
        <f>IFERROR(O2415/N2415,0)</f>
        <v/>
      </c>
      <c r="T2415">
        <f>IF(C2415,(Skills!G4*N2415*B2452/B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IF(C2415,(Skills!G4*N2415*B2452/B2451)*IF(Inputs!$B$38="pvp",1,(1+(Inputs!$B$21+Skills!Q4+(IF(IF(ArtifactsInput!$M$33,FALSE,TRUE),CHOOSE(ArtifactsInput!$N$33+1,30,36,42,48,54,60),0))+(IF(AND(ArtifactsInput!$M$35,Inputs!$B$4&lt;&gt;"Chapter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Inputs!$B$3&gt;=66</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IF(B2450=0,0,O2416/B2450)</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IF(B2450=0,0,O2417/B2450)</f>
        <v/>
      </c>
      <c r="Q2417">
        <f>IFERROR(1/(IF(Inputs!$B$38="pvp",15,MAX(0.1,Skills!D6-IF(TRUE=TRUE,Inputs!$B$32,0)))*(1-IF(AND(ArtifactsInput!$M$27,Inputs!$B$4="Chapter Hunt"),CHOOSE(ArtifactsInput!$N$27+1,20,24,28,32,36,40),0)/100)),0)</f>
        <v/>
      </c>
      <c r="R2417">
        <f>IF(AND(Inputs!$B$38&lt;&gt;"pvp",Inputs!$B$43&gt;0),IF(MAX(0,Inputs!$B$43-B2447)&lt;=0,0,(INT(MAX(0,Inputs!$B$43-B2447)/(IF(Inputs!$B$38="pvp",15,MAX(0.1,Skills!D6-IF(TRUE=TRUE,Inputs!$B$32,0)))*(1-IF(AND(ArtifactsInput!$M$27,Inputs!$B$4="Chapter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2447)-((R2417-1)*(IF(Inputs!$B$38="pvp",15,MAX(0.1,Skills!D6-IF(TRUE=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2447)-((R2417-1)*(IF(Inputs!$B$38="pvp",15,MAX(0.1,Skills!D6-IF(TRUE=TRUE,Inputs!$B$32,0)))*(1-IF(AND(ArtifactsInput!$M$27,Inputs!$B$4="Chapter Hunt"),CHOOSE(ArtifactsInput!$N$27+1,20,24,28,32,36,40),0)/100)))))/Skills!H6,1)))/Inputs!$B$43),G2417*Q2417))*IF(Inputs!$B$38="pvp",1,(1+(Inputs!$B$21+Skills!Q6+(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Inputs!$B$3&gt;=103</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IF(B2450=0,0,O2418/B2450)</f>
        <v/>
      </c>
      <c r="Q2418">
        <f>IFERROR(1/(IF(Inputs!$B$38="pvp",15,MAX(0.1,Skills!D7-IF(TRUE=TRUE,Inputs!$B$32,0)))*(1-IF(AND(ArtifactsInput!$M$27,Inputs!$B$4="Chapter Hunt"),CHOOSE(ArtifactsInput!$N$27+1,20,24,28,32,36,40),0)/100)),0)</f>
        <v/>
      </c>
      <c r="R2418">
        <f>IF(AND(Inputs!$B$38&lt;&gt;"pvp",Inputs!$B$43&gt;0),IF(MAX(0,Inputs!$B$43-B2447)&lt;=0,0,(INT(MAX(0,Inputs!$B$43-B2447)/(IF(Inputs!$B$38="pvp",15,MAX(0.1,Skills!D7-IF(TRUE=TRUE,Inputs!$B$32,0)))*(1-IF(AND(ArtifactsInput!$M$27,Inputs!$B$4="Chapter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2447)-((R2418-1)*(IF(Inputs!$B$38="pvp",15,MAX(0.1,Skills!D7-IF(TRUE=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2447)-((R2418-1)*(IF(Inputs!$B$38="pvp",15,MAX(0.1,Skills!D7-IF(TRUE=TRUE,Inputs!$B$32,0)))*(1-IF(AND(ArtifactsInput!$M$27,Inputs!$B$4="Chapter Hunt"),CHOOSE(ArtifactsInput!$N$27+1,20,24,28,32,36,40),0)/100)))))/Skills!H7,1)))/Inputs!$B$43),G2418*Q2418))*IF(Inputs!$B$38="pvp",1,(1+(Inputs!$B$21+Skills!Q7+(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Inputs!$B$3&gt;=117</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IF(B2450=0,0,O2419/B2450)</f>
        <v/>
      </c>
      <c r="Q2419">
        <f>IFERROR(1/(IF(Inputs!$B$38="pvp",15,MAX(0.1,Skills!D8-IF(TRUE=TRUE,Inputs!$B$32,0)))*(1-IF(AND(ArtifactsInput!$M$27,Inputs!$B$4="Chapter Hunt"),CHOOSE(ArtifactsInput!$N$27+1,20,24,28,32,36,40),0)/100)),0)</f>
        <v/>
      </c>
      <c r="R2419">
        <f>IF(AND(Inputs!$B$38&lt;&gt;"pvp",Inputs!$B$43&gt;0),IF(MAX(0,Inputs!$B$43-B2447)&lt;=0,0,(INT(MAX(0,Inputs!$B$43-B2447)/(IF(Inputs!$B$38="pvp",15,MAX(0.1,Skills!D8-IF(TRUE=TRUE,Inputs!$B$32,0)))*(1-IF(AND(ArtifactsInput!$M$27,Inputs!$B$4="Chapter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2447)-((R2419-1)*(IF(Inputs!$B$38="pvp",15,MAX(0.1,Skills!D8-IF(TRUE=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2447)-((R2419-1)*(IF(Inputs!$B$38="pvp",15,MAX(0.1,Skills!D8-IF(TRUE=TRUE,Inputs!$B$32,0)))*(1-IF(AND(ArtifactsInput!$M$27,Inputs!$B$4="Chapter Hunt"),CHOOSE(ArtifactsInput!$N$27+1,20,24,28,32,36,40),0)/100)))))/Skills!H8,1)))/Inputs!$B$43),G2419*Q2419))*IF(Inputs!$B$38="pvp",1,(1+(Inputs!$B$21+Skills!Q8+(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Inputs!$B$3&gt;=120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B2452</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IF(B2450=0,0,O2420/B2450)</f>
        <v/>
      </c>
      <c r="Q2420">
        <f>IFERROR(1/(IF(Inputs!$B$38="pvp",15,MAX(0.1,Skills!D9-IF(TRUE=TRUE,Inputs!$B$32,0)))*(1-IF(AND(ArtifactsInput!$M$27,Inputs!$B$4="Chapter Hunt"),CHOOSE(ArtifactsInput!$N$27+1,20,24,28,32,36,40),0)/100)),0)</f>
        <v/>
      </c>
      <c r="R2420">
        <f>IF(AND(Inputs!$B$38&lt;&gt;"pvp",Inputs!$B$43&gt;0),IF(MAX(0,Inputs!$B$43-B2447)&lt;=0,0,(INT(MAX(0,Inputs!$B$43-B2447)/(IF(Inputs!$B$38="pvp",15,MAX(0.1,Skills!D9-IF(TRUE=TRUE,Inputs!$B$32,0)))*(1-IF(AND(ArtifactsInput!$M$27,Inputs!$B$4="Chapter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2447)-((R2420-1)*(IF(Inputs!$B$38="pvp",15,MAX(0.1,Skills!D9-IF(TRUE=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2447)-((R2420-1)*(IF(Inputs!$B$38="pvp",15,MAX(0.1,Skills!D9-IF(TRUE=TRUE,Inputs!$B$32,0)))*(1-IF(AND(ArtifactsInput!$M$27,Inputs!$B$4="Chapter Hunt"),CHOOSE(ArtifactsInput!$N$27+1,20,24,28,32,36,40),0)/100)))))/Skills!H9,1)))/Inputs!$B$43),G2420*Q2420))*IF(Inputs!$B$38="pvp",1,(1+(Inputs!$B$21+Skills!Q9+(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Inputs!$B$3&gt;=105</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IF(B2450=0,0,O2421/B2450)</f>
        <v/>
      </c>
      <c r="Q2421">
        <f>IFERROR(1/(IF(Inputs!$B$38="pvp",15,MAX(0.1,Skills!D10-IF(TRUE=TRUE,Inputs!$B$32,0)))*(1-IF(AND(ArtifactsInput!$M$27,Inputs!$B$4="Chapter Hunt"),CHOOSE(ArtifactsInput!$N$27+1,20,24,28,32,36,40),0)/100)),0)</f>
        <v/>
      </c>
      <c r="R2421">
        <f>IF(AND(Inputs!$B$38&lt;&gt;"pvp",Inputs!$B$43&gt;0),IF(MAX(0,Inputs!$B$43-B2447)&lt;=0,0,(INT(MAX(0,Inputs!$B$43-B2447)/(IF(Inputs!$B$38="pvp",15,MAX(0.1,Skills!D10-IF(TRUE=TRUE,Inputs!$B$32,0)))*(1-IF(AND(ArtifactsInput!$M$27,Inputs!$B$4="Chapter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2447)-((R2421-1)*(IF(Inputs!$B$38="pvp",15,MAX(0.1,Skills!D10-IF(TRUE=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2447)-((R2421-1)*(IF(Inputs!$B$38="pvp",15,MAX(0.1,Skills!D10-IF(TRUE=TRUE,Inputs!$B$32,0)))*(1-IF(AND(ArtifactsInput!$M$27,Inputs!$B$4="Chapter Hunt"),CHOOSE(ArtifactsInput!$N$27+1,20,24,28,32,36,40),0)/100)))))/Skills!H10,1)))/Inputs!$B$43),G2421*Q2421))*IF(Inputs!$B$38="pvp",1,(1+(Inputs!$B$21+Skills!Q10+(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IF(B2450=0,0,O2422/B2450)</f>
        <v/>
      </c>
      <c r="Q2422" t="n">
        <v>0</v>
      </c>
      <c r="R2422" t="n">
        <v>0</v>
      </c>
      <c r="S2422">
        <f>IFERROR(O2422/N2422,0)</f>
        <v/>
      </c>
      <c r="T2422">
        <f>IF(C2422,((H2422*B2453)/(1+Skills!H11*H2422*B2453)*N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IF(C2422,((H2422*B2453)/(1+Skills!H11*H2422*B2453)*N2422)*IF(Inputs!$B$38="pvp",1,(1+(Inputs!$B$21+Skills!Q11+(IF(IF(ArtifactsInput!$M$33,FALSE,TRUE),CHOOSE(ArtifactsInput!$N$33+1,30,36,42,48,54,60),0))+(IF(AND(ArtifactsInput!$M$35,Inputs!$B$4&lt;&gt;"Chapter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IF(B2450=0,0,O2424/B2450)</f>
        <v/>
      </c>
      <c r="Q2424" t="n">
        <v>0</v>
      </c>
      <c r="R2424" t="n">
        <v>0</v>
      </c>
      <c r="S2424">
        <f>IFERROR(O2424/N2424,0)</f>
        <v/>
      </c>
      <c r="T2424" t="n">
        <v>0</v>
      </c>
      <c r="V2424" t="n">
        <v>0</v>
      </c>
    </row>
    <row r="2425">
      <c r="A2425">
        <f>Skills!A14</f>
        <v/>
      </c>
      <c r="B2425">
        <f>Skills!B14</f>
        <v/>
      </c>
      <c r="C2425">
        <f>Inputs!$B$3&gt;=115</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IF(B2450=0,0,O2425/B2450)</f>
        <v/>
      </c>
      <c r="Q2425">
        <f>IFERROR(1/(IF(Inputs!$B$38="pvp",15,MAX(0.1,Skills!D14-IF(TRUE=TRUE,Inputs!$B$32,0)))*(1-IF(AND(ArtifactsInput!$M$27,Inputs!$B$4="Chapter Hunt"),CHOOSE(ArtifactsInput!$N$27+1,20,24,28,32,36,40),0)/100)),0)</f>
        <v/>
      </c>
      <c r="R2425">
        <f>IF(AND(Inputs!$B$38&lt;&gt;"pvp",Inputs!$B$43&gt;0),IF(Inputs!$B$43&lt;=0,0,(INT(Inputs!$B$43/(IF(Inputs!$B$38="pvp",15,MAX(0.1,Skills!D14-IF(TRUE=TRUE,Inputs!$B$32,0)))*(1-IF(AND(ArtifactsInput!$M$27,Inputs!$B$4="Chapter Hunt"),CHOOSE(ArtifactsInput!$N$27+1,20,24,28,32,36,40),0)/100)))+1)),0)</f>
        <v/>
      </c>
      <c r="S2425">
        <f>IFERROR(O2425/N2425,0)</f>
        <v/>
      </c>
      <c r="T2425" t="n">
        <v>0</v>
      </c>
      <c r="V2425" t="n">
        <v>0</v>
      </c>
    </row>
    <row r="2426">
      <c r="A2426">
        <f>Skills!A15</f>
        <v/>
      </c>
      <c r="B2426">
        <f>Skills!B15</f>
        <v/>
      </c>
      <c r="C2426">
        <f>Inputs!$B$3&gt;=125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IF(B2450=0,0,O2426/B2450)</f>
        <v/>
      </c>
      <c r="Q2426">
        <f>IFERROR(1/(IF(Inputs!$B$38="pvp",15,MAX(0.1,Skills!D15-IF(TRUE=TRUE,Inputs!$B$32,0)))*(1-IF(AND(ArtifactsInput!$M$27,Inputs!$B$4="Chapter Hunt"),CHOOSE(ArtifactsInput!$N$27+1,20,24,28,32,36,40),0)/100)),0)</f>
        <v/>
      </c>
      <c r="R2426">
        <f>IF(AND(Inputs!$B$38&lt;&gt;"pvp",Inputs!$B$43&gt;0),IF(Inputs!$B$43&lt;=0,0,(INT(Inputs!$B$43/(IF(Inputs!$B$38="pvp",15,MAX(0.1,Skills!D15-IF(TRUE=TRUE,Inputs!$B$32,0)))*(1-IF(AND(ArtifactsInput!$M$27,Inputs!$B$4="Chapter Hunt"),CHOOSE(ArtifactsInput!$N$27+1,20,24,28,32,36,40),0)/100)))+1)),0)</f>
        <v/>
      </c>
      <c r="S2426">
        <f>IFERROR(O2426/N2426,0)</f>
        <v/>
      </c>
      <c r="T2426" t="n">
        <v>0</v>
      </c>
      <c r="V2426" t="n">
        <v>0</v>
      </c>
    </row>
    <row r="2427">
      <c r="A2427">
        <f>Skills!A16</f>
        <v/>
      </c>
      <c r="B2427">
        <f>Skills!B16</f>
        <v/>
      </c>
      <c r="C2427">
        <f>Inputs!$B$3&gt;=10</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IF(B2450=0,0,O2427/B2450)</f>
        <v/>
      </c>
      <c r="Q2427" t="n">
        <v>0</v>
      </c>
      <c r="R2427" t="n">
        <v>0</v>
      </c>
      <c r="S2427">
        <f>IFERROR(O2427/N2427,0)</f>
        <v/>
      </c>
      <c r="T2427" t="n">
        <v>0</v>
      </c>
      <c r="V2427" t="n">
        <v>0</v>
      </c>
    </row>
    <row r="2428">
      <c r="A2428">
        <f>Skills!A17</f>
        <v/>
      </c>
      <c r="B2428">
        <f>Skills!B17</f>
        <v/>
      </c>
      <c r="C2428">
        <f>Inputs!$B$3&gt;=15</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IF(B2450=0,0,O2428/B2450)</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IF(B2450=0,0,O2429/B2450)</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IF(B2450=0,0,O2430/B2450)</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IF(B2450=0,0,O2431/B2450)</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IF(B2450=0,0,O2432/B2450)</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IF(B2450=0,0,O2433/B2450)</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IF(B2450=0,0,O2434/B2450)</f>
        <v/>
      </c>
      <c r="Q2434">
        <f>IFERROR(1/(IF(Inputs!$B$38="pvp",15,MAX(0.1,Skills!D23-IF(TRUE=TRUE,Inputs!$B$32,0)))*(1-IF(AND(ArtifactsInput!$M$27,Inputs!$B$4="Chapter Hunt"),CHOOSE(ArtifactsInput!$N$27+1,20,24,28,32,36,40),0)/100)),0)</f>
        <v/>
      </c>
      <c r="R2434">
        <f>IF(AND(Inputs!$B$38&lt;&gt;"pvp",Inputs!$B$43&gt;0),IF(Inputs!$B$43&lt;=0,0,(INT(Inputs!$B$43/(IF(Inputs!$B$38="pvp",15,MAX(0.1,Skills!D23-IF(TRUE=TRUE,Inputs!$B$32,0)))*(1-IF(AND(ArtifactsInput!$M$27,Inputs!$B$4="Chapter Hunt"),CHOOSE(ArtifactsInput!$N$27+1,20,24,28,32,36,40),0)/100)))+1)),0)</f>
        <v/>
      </c>
      <c r="S2434">
        <f>IFERROR(O2434/N2434,0)</f>
        <v/>
      </c>
      <c r="T2434" t="n">
        <v>0</v>
      </c>
      <c r="V2434" t="n">
        <v>0</v>
      </c>
    </row>
    <row r="2435">
      <c r="A2435">
        <f>Skills!A24</f>
        <v/>
      </c>
      <c r="B2435">
        <f>Skills!B24</f>
        <v/>
      </c>
      <c r="C2435">
        <f>Inputs!$B$3&gt;=107</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IF(B2450=0,0,O2435/B2450)</f>
        <v/>
      </c>
      <c r="Q2435">
        <f>IFERROR(1/(IF(Inputs!$B$38="pvp",15,MAX(0.1,Skills!D24-IF(TRUE=TRUE,Inputs!$B$32,0)))*(1-IF(AND(ArtifactsInput!$M$27,Inputs!$B$4="Chapter Hunt"),CHOOSE(ArtifactsInput!$N$27+1,20,24,28,32,36,40),0)/100)),0)</f>
        <v/>
      </c>
      <c r="R2435">
        <f>IF(AND(Inputs!$B$38&lt;&gt;"pvp",Inputs!$B$43&gt;0),IF(Inputs!$B$43&lt;=0,0,(INT(Inputs!$B$43/(IF(Inputs!$B$38="pvp",15,MAX(0.1,Skills!D24-IF(TRUE=TRUE,Inputs!$B$32,0)))*(1-IF(AND(ArtifactsInput!$M$27,Inputs!$B$4="Chapter Hunt"),CHOOSE(ArtifactsInput!$N$27+1,20,24,28,32,36,40),0)/100)))+1)),0)</f>
        <v/>
      </c>
      <c r="S2435">
        <f>IFERROR(O2435/N2435,0)</f>
        <v/>
      </c>
      <c r="T2435" t="n">
        <v>0</v>
      </c>
      <c r="V2435" t="n">
        <v>0</v>
      </c>
    </row>
    <row r="2436">
      <c r="A2436">
        <f>Skills!A25</f>
        <v/>
      </c>
      <c r="B2436">
        <f>Skills!B25</f>
        <v/>
      </c>
      <c r="C2436">
        <f>Inputs!$B$3&gt;=110</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t="inlineStr"/>
      <c r="H2436" t="inlineStr"/>
      <c r="I2436" t="inlineStr">
        <is>
          <t>1</t>
        </is>
      </c>
      <c r="J2436" t="inlineStr"/>
      <c r="K2436" t="inlineStr"/>
      <c r="L2436" t="inlineStr"/>
      <c r="M2436" t="inlineStr"/>
      <c r="N2436" t="inlineStr"/>
      <c r="O2436" t="inlineStr"/>
      <c r="P2436" t="inlineStr"/>
      <c r="Q2436" t="inlineStr"/>
      <c r="R2436" t="inlineStr"/>
      <c r="S2436" t="inlineStr"/>
      <c r="T2436" t="inlineStr"/>
      <c r="V2436" t="inlineStr"/>
    </row>
    <row r="2437">
      <c r="A2437">
        <f>Skills!A26</f>
        <v/>
      </c>
      <c r="B2437">
        <f>Skills!B26</f>
        <v/>
      </c>
      <c r="C2437">
        <f>Inputs!$B$3&gt;=117</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t="inlineStr"/>
      <c r="H2437" t="inlineStr"/>
      <c r="I2437" t="inlineStr">
        <is>
          <t>1</t>
        </is>
      </c>
      <c r="J2437" t="inlineStr"/>
      <c r="K2437" t="inlineStr"/>
      <c r="L2437" t="inlineStr"/>
      <c r="M2437" t="inlineStr"/>
      <c r="N2437" t="inlineStr"/>
      <c r="O2437" t="inlineStr"/>
      <c r="P2437" t="inlineStr"/>
      <c r="Q2437" t="inlineStr"/>
      <c r="R2437" t="inlineStr"/>
      <c r="S2437" t="inlineStr"/>
      <c r="T2437" t="inlineStr"/>
      <c r="V2437" t="inlineStr"/>
    </row>
    <row r="2439">
      <c r="A2439" t="inlineStr">
        <is>
          <t>Attack% Bucket Multiplier</t>
        </is>
      </c>
      <c r="B2439">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0">
      <c r="A2440" t="inlineStr">
        <is>
          <t>Global Crit Rate Bonus %</t>
        </is>
      </c>
      <c r="B2440" t="n">
        <v>0</v>
      </c>
    </row>
    <row r="2441">
      <c r="A2441" t="inlineStr">
        <is>
          <t>Attack Speed Buff Bonus % (Nimble Feet + Speed Infusion, duty-cycle averaged)</t>
        </is>
      </c>
      <c r="B2441">
        <f>((C2434=TRUE)*F2434*IF(AND(Inputs!$B$38&lt;&gt;"pvp",Inputs!$B$43&gt;0),(((R2434-1)*MIN((Skills!T23*(1+Inputs!$B$34/100)),(1/Q2434))+MIN((Skills!T23*(1+Inputs!$B$34/100)),MAX(0,Inputs!$B$43-((R2434-1)*(1/Q2434)))))/Inputs!$B$43),IF(Inputs!$B$38="pvp",MIN((Skills!T23*(1+Inputs!$B$34/100)),15)/15,MIN(1,(Skills!T23*(1+Inputs!$B$34/100))/(1/Q2434)))))+((C2435=TRUE)*F2435*IF(AND(Inputs!$B$38&lt;&gt;"pvp",Inputs!$B$43&gt;0),(((R2435-1)*MIN((Skills!T24*(1+Inputs!$B$34/100)),(1/Q2435))+MIN((Skills!T24*(1+Inputs!$B$34/100)),MAX(0,Inputs!$B$43-((R2435-1)*(1/Q2435)))))/Inputs!$B$43),IF(Inputs!$B$38="pvp",MIN((Skills!T24*(1+Inputs!$B$34/100)),15)/15,MIN(1,(Skills!T24*(1+Inputs!$B$34/100))/(1/Q2435)))))</f>
        <v/>
      </c>
    </row>
    <row r="2442">
      <c r="A2442" t="inlineStr">
        <is>
          <t>Actions Per Second</t>
        </is>
      </c>
      <c r="B2442">
        <f>1+MIN(150,150*(1-(1-(Inputs!$B$11+((C2428=TRUE)*(F2428-Calc!F17))+((C2429=TRUE)*(F2429-Calc!F18)))/150)*(1-B2441/150)))/100</f>
        <v/>
      </c>
    </row>
    <row r="2443">
      <c r="A2443" t="inlineStr">
        <is>
          <t>Skill + Buff Cast Rate</t>
        </is>
      </c>
      <c r="B2443">
        <f>IF(AND(Inputs!$B$38&lt;&gt;"pvp",Inputs!$B$43&gt;0),SUMPRODUCT((Skills!E2:E26=TRUE)*(C2413:C2437=TRUE)*R2413:R2437*Skills!F2:F26)/Inputs!$B$43,SUMPRODUCT((Skills!E2:E26=TRUE)*(C2413:C2437=TRUE)*Q2413:Q2437*Skills!F2:F26))</f>
        <v/>
      </c>
    </row>
    <row r="2444">
      <c r="A2444" t="inlineStr">
        <is>
          <t>Hook Bomber Casts Per Second</t>
        </is>
      </c>
      <c r="B2444">
        <f>MAX(0,B2442-B2443)</f>
        <v/>
      </c>
    </row>
    <row r="2445">
      <c r="A2445" t="inlineStr">
        <is>
          <t>Global Critical Damage Bonus % (unused)</t>
        </is>
      </c>
      <c r="B2445" t="n">
        <v>0</v>
      </c>
    </row>
    <row r="2446">
      <c r="A2446" t="inlineStr">
        <is>
          <t>Global Final Damage Bonus % (Serpent Scale + Crossbones + Time Leap + Speed Infusion)</t>
        </is>
      </c>
      <c r="B2446">
        <f>((C2416=TRUE)*(F2416*B2452+4*(1-B2452)))+((C2425=TRUE)*F2425*IF(AND(Inputs!$B$38&lt;&gt;"pvp",Inputs!$B$43&gt;0),(((R2425-1)*MIN((Skills!T14*(1+Inputs!$B$34/100)),(1/Q2425))+MIN((Skills!T14*(1+Inputs!$B$34/100)),MAX(0,Inputs!$B$43-((R2425-1)*(1/Q2425)))))/Inputs!$B$43),IF(Inputs!$B$38="pvp",MIN((Skills!T14*(1+Inputs!$B$34/100)),15)/15,MIN(1,(Skills!T14*(1+Inputs!$B$34/100))/(1/Q2425)))))+((C2426=TRUE)*F2426*IF(AND(Inputs!$B$38&lt;&gt;"pvp",Inputs!$B$43&gt;0),(((R2426-1)*MIN((Skills!T15*(1+Inputs!$B$34/100)),(1/Q2426))+MIN((Skills!T15*(1+Inputs!$B$34/100)),MAX(0,Inputs!$B$43-((R2426-1)*(1/Q2426)))))/Inputs!$B$43),IF(Inputs!$B$38="pvp",MIN((Skills!T15*(1+Inputs!$B$34/100)),15)/15,MIN(1,(Skills!T15*(1+Inputs!$B$34/100))/(1/Q2426)))))+((C2435=TRUE)*20*((1+MIN(150,150*(1-(1-(Inputs!$B$11+((C2428=TRUE)*(F2428-Calc!F17))+((C2429=TRUE)*(F2429-Calc!F18)))/150)*(1-(((C2434=TRUE)*F2434*IF(AND(Inputs!$B$38&lt;&gt;"pvp",Inputs!$B$43&gt;0),(((R2434-1)*MIN((Skills!T23*(1+Inputs!$B$34/100)),(1/Q2434))+MIN((Skills!T23*(1+Inputs!$B$34/100)),MAX(0,Inputs!$B$43-((R2434-1)*(1/Q2434)))))/Inputs!$B$43),IF(Inputs!$B$38="pvp",MIN((Skills!T23*(1+Inputs!$B$34/100)),15)/15,MIN(1,(Skills!T23*(1+Inputs!$B$34/100))/(1/Q2434)))))+F2435)/150)))/100)-1)*IF(AND(Inputs!$B$38&lt;&gt;"pvp",Inputs!$B$43&gt;0),(((R2435-1)*MIN((Skills!T24*(1+Inputs!$B$34/100)),(1/Q2435))+MIN((Skills!T24*(1+Inputs!$B$34/100)),MAX(0,Inputs!$B$43-((R2435-1)*(1/Q2435)))))/Inputs!$B$43),IF(Inputs!$B$38="pvp",MIN((Skills!T24*(1+Inputs!$B$34/100)),15)/15,MIN(1,(Skills!T24*(1+Inputs!$B$34/100))/(1/Q2435)))))</f>
        <v/>
      </c>
    </row>
    <row r="2447">
      <c r="A2447" t="inlineStr">
        <is>
          <t>Buff-Casting Startup Delay (s, fixed-duration only)</t>
        </is>
      </c>
      <c r="B2447">
        <f>IF(AND(Inputs!$B$38&lt;&gt;"pvp",Inputs!$B$43&gt;0),SUMPRODUCT((Skills!T2:T26&gt;0)*(Skills!E2:E26=TRUE)*(C2413:C2437=TRUE))/B2442,0)</f>
        <v/>
      </c>
    </row>
    <row r="2448">
      <c r="A2448" t="inlineStr">
        <is>
          <t>Boss-Only Total DPS (this block's swept value)</t>
        </is>
      </c>
      <c r="B2448">
        <f>SUM(T2413:T2437)</f>
        <v/>
      </c>
    </row>
    <row r="2449">
      <c r="A2449" t="inlineStr">
        <is>
          <t>Normal-Only Total DPS (this block's swept value)</t>
        </is>
      </c>
      <c r="B2449">
        <f>SUM(V2413:V2437)</f>
        <v/>
      </c>
    </row>
    <row r="2450">
      <c r="A2450" s="6" t="inlineStr">
        <is>
          <t>TOTAL DPS</t>
        </is>
      </c>
      <c r="B2450" s="6">
        <f>SUM(O2413:O2437)</f>
        <v/>
      </c>
    </row>
    <row r="2451">
      <c r="A2451" t="inlineStr">
        <is>
          <t>Serpent activation interval T (this block's own Hook Bomber rate)</t>
        </is>
      </c>
      <c r="B2451">
        <f>((1/Q2414)+IFERROR(0.5/B2444,0))</f>
        <v/>
      </c>
    </row>
    <row r="2452">
      <c r="A2452" t="inlineStr">
        <is>
          <t>Assault Mode uptime u (this block)</t>
        </is>
      </c>
      <c r="B2452">
        <f>IF(C2416=TRUE,(10+IF(Inputs!$B$3&gt;=94,5,0))/((10+IF(Inputs!$B$3&gt;=94,5,0))+IF(Inputs!$B$3&gt;=104,3,5)*B2451),0)</f>
        <v/>
      </c>
    </row>
    <row r="2453">
      <c r="A2453" t="inlineStr">
        <is>
          <t>Nautilus Strike - Final Attack trigger rate (this block's own Q/R)</t>
        </is>
      </c>
      <c r="B2453">
        <f>IF(AND(Inputs!$B$38&lt;&gt;"pvp",Inputs!$B$43&gt;0),(((C2417=TRUE)*R2417)+((C2418=TRUE)*R2418)+((C2421=TRUE)*R2421))/Inputs!$B$43,((C2417=TRUE)*Q2417)+((C2418=TRUE)*Q2418)+((C2421=TRUE)*Q2421))+B2444</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2476=TRUE)*(F2476-Calc!F20)),(Inputs!$B$23+0+(IF(ArtifactsInput!$M$15,CHOOSE(ArtifactsInput!$N$15+1,25,30,35,40,45,50)/100*(Inputs!$B$11-Inputs!$B$11),0))))/100+(Inputs!$B$23+0+(IF(ArtifactsInput!$M$15,CHOOSE(ArtifactsInput!$N$15+1,25,30,35,40,45,50)/100*(Inputs!$B$11-Inputs!$B$11),0)))/100)/2</f>
        <v/>
      </c>
      <c r="M2458">
        <f>L2458*(1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IF(B2495=0,0,O2458/B2495)</f>
        <v/>
      </c>
      <c r="Q2458" t="n">
        <v>0</v>
      </c>
      <c r="R2458" t="n">
        <v>0</v>
      </c>
      <c r="S2458">
        <f>IFERROR(O2458/N2458,0)</f>
        <v/>
      </c>
      <c r="T2458">
        <f>IF(C2458,(Skills!G2*N2458*B2489)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IF(C2458,(Skills!G2*N2458*B2489)*IF(Inputs!$B$38="pvp",1,(1+(Inputs!$B$21+Skills!Q2+(IF(ArtifactsInput!$M$33,CHOOSE(ArtifactsInput!$N$33+1,30,36,42,48,54,60),0))+(IF(AND(ArtifactsInput!$M$35,Inputs!$B$4&lt;&gt;"Chapter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Inputs!$B$3&gt;=35</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f>Skills!G3*IF(Skills!H3&gt;0,Skills!I3/Skills!H3,1)</f>
        <v/>
      </c>
      <c r="H2459">
        <f>1-(1-Skills!J3/100)^Skills!K3</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2481=TRUE,F2481,0)/100)*(1+(IF(Skills!A3="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2476=TRUE)*(F2476-Calc!F20)),(Inputs!$B$23+0+(IF(ArtifactsInput!$M$15,CHOOSE(ArtifactsInput!$N$15+1,25,30,35,40,45,50)/100*(Inputs!$B$11-Inputs!$B$11),0))))/100+(Inputs!$B$23+0+(IF(ArtifactsInput!$M$15,CHOOSE(ArtifactsInput!$N$15+1,25,30,35,40,45,50)/100*(Inputs!$B$11-Inputs!$B$11),0)))/100)/2</f>
        <v/>
      </c>
      <c r="M2459">
        <f>L2459*(1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IF(B2495=0,0,O2459/B2495)</f>
        <v/>
      </c>
      <c r="Q2459">
        <f>IFERROR(1/(IF(Inputs!$B$38="pvp",15,MAX(0.1,Skills!D3-IF(TRUE=TRUE,Inputs!$B$32,0)))*(1-IF(AND(ArtifactsInput!$M$27,Inputs!$B$4="Chapter Hunt"),CHOOSE(ArtifactsInput!$N$27+1,20,24,28,32,36,40),0)/100)),0)</f>
        <v/>
      </c>
      <c r="R2459">
        <f>IF(AND(Inputs!$B$38&lt;&gt;"pvp",Inputs!$B$43&gt;0),IF(MAX(0,Inputs!$B$43-B2492)&lt;=0,0,(INT(MAX(0,Inputs!$B$43-B2492)/(IF(Inputs!$B$38="pvp",15,MAX(0.1,Skills!D3-IF(TRUE=TRUE,Inputs!$B$32,0)))*(1-IF(AND(ArtifactsInput!$M$27,Inputs!$B$4="Chapter Hunt"),CHOOSE(ArtifactsInput!$N$27+1,20,24,28,32,36,40),0)/100)))+1)),0)</f>
        <v/>
      </c>
      <c r="S2459">
        <f>IFERROR(O2459/N2459,0)</f>
        <v/>
      </c>
      <c r="T2459">
        <f>IF(C2459,(Skills!G3*N2459*IF(C2460=TRUE,1-B2497,1)/B2496)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INDEX(FactorTable!$B$2:$Y$301, MATCH(ROUND(MIN(300,MAX(1,U2458)),0), FactorTable!$A$2:$A$301,0), 22)</f>
        <v/>
      </c>
      <c r="V2459">
        <f>IF(C2459,(Skills!G3*N2459*IF(C2460=TRUE,1-B2497,1)/B2496)*IF(Inputs!$B$38="pvp",1,(1+(Inputs!$B$21+Skills!Q3+(IF(ArtifactsInput!$M$33,CHOOSE(ArtifactsInput!$N$33+1,30,36,42,48,54,60),0))+(IF(AND(ArtifactsInput!$M$35,Inputs!$B$4&lt;&gt;"Chapter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Skills!A4</f>
        <v/>
      </c>
      <c r="B2460">
        <f>Skills!B4</f>
        <v/>
      </c>
      <c r="C2460">
        <f>Inputs!$B$3&gt;=69</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f>Skills!G4*IF(Skills!H4&gt;0,Skills!I4/Skills!H4,1)</f>
        <v/>
      </c>
      <c r="H2460">
        <f>1-(1-Skills!J4/100)^Skills!K4</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2468=TRUE,F2468,0)/100)*(1+(IF(Skills!A4="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2476=TRUE)*(F2476-Calc!F20)),(Inputs!$B$23+0+(IF(ArtifactsInput!$M$15,CHOOSE(ArtifactsInput!$N$15+1,25,30,35,40,45,50)/100*(Inputs!$B$11-Inputs!$B$11),0))))/100+(Inputs!$B$23+0+(IF(ArtifactsInput!$M$15,CHOOSE(ArtifactsInput!$N$15+1,25,30,35,40,45,50)/100*(Inputs!$B$11-Inputs!$B$11),0)))/100)/2</f>
        <v/>
      </c>
      <c r="M2460">
        <f>L2460*(1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IF(B2495=0,0,O2460/B2495)</f>
        <v/>
      </c>
      <c r="Q2460" t="n">
        <v>0</v>
      </c>
      <c r="R2460" t="n">
        <v>0</v>
      </c>
      <c r="S2460">
        <f>IFERROR(O2460/N2460,0)</f>
        <v/>
      </c>
      <c r="T2460">
        <f>IF(C2460,(Skills!G4*N2460*B2497/B2496)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290*U2459/1000</f>
        <v/>
      </c>
      <c r="V2460">
        <f>IF(C2460,(Skills!G4*N2460*B2497/B2496)*IF(Inputs!$B$38="pvp",1,(1+(Inputs!$B$21+Skills!Q4+(IF(ArtifactsInput!$M$33,CHOOSE(ArtifactsInput!$N$33+1,30,36,42,48,54,60),0))+(IF(AND(ArtifactsInput!$M$35,Inputs!$B$4&lt;&gt;"Chapter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Skills!A5</f>
        <v/>
      </c>
      <c r="B2461">
        <f>Skills!B5</f>
        <v/>
      </c>
      <c r="C2461">
        <f>Inputs!$B$3&gt;=66</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t="inlineStr"/>
      <c r="K2461" t="inlineStr"/>
      <c r="L2461" t="inlineStr"/>
      <c r="M2461" t="inlineStr"/>
      <c r="N2461" t="inlineStr"/>
      <c r="O2461">
        <f>(1-Summary!$B$11)*T2461+Summary!$B$11*V2461</f>
        <v/>
      </c>
      <c r="P2461">
        <f>IF(B2495=0,0,O2461/B2495)</f>
        <v/>
      </c>
      <c r="Q2461" t="n">
        <v>0</v>
      </c>
      <c r="R2461" t="n">
        <v>0</v>
      </c>
      <c r="S2461">
        <f>IFERROR(O2461/N2461,0)</f>
        <v/>
      </c>
      <c r="T2461" t="n">
        <v>0</v>
      </c>
      <c r="V2461" t="n">
        <v>0</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2468=TRUE,F2468,0)/100)*(1+(IF(Skills!A6="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2476=TRUE)*(F2476-Calc!F20)),(Inputs!$B$23+0+(IF(ArtifactsInput!$M$15,CHOOSE(ArtifactsInput!$N$15+1,25,30,35,40,45,50)/100*(Inputs!$B$11-Inputs!$B$11),0))))/100+(Inputs!$B$23+0+(IF(ArtifactsInput!$M$15,CHOOSE(ArtifactsInput!$N$15+1,25,30,35,40,45,50)/100*(Inputs!$B$11-Inputs!$B$11),0)))/100)/2</f>
        <v/>
      </c>
      <c r="M2462">
        <f>L2462*(1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IF(B2495=0,0,O2462/B2495)</f>
        <v/>
      </c>
      <c r="Q2462">
        <f>IFERROR(1/(IF(Inputs!$B$38="pvp",15,MAX(0.1,Skills!D6-IF(TRUE=TRUE,Inputs!$B$32,0)))*(1-IF(AND(ArtifactsInput!$M$27,Inputs!$B$4="Chapter Hunt"),CHOOSE(ArtifactsInput!$N$27+1,20,24,28,32,36,40),0)/100)),0)</f>
        <v/>
      </c>
      <c r="R2462">
        <f>IF(AND(Inputs!$B$38&lt;&gt;"pvp",Inputs!$B$43&gt;0),IF(MAX(0,Inputs!$B$43-B2492)&lt;=0,0,(INT(MAX(0,Inputs!$B$43-B2492)/(IF(Inputs!$B$38="pvp",15,MAX(0.1,Skills!D6-IF(TRUE=TRUE,Inputs!$B$32,0)))*(1-IF(AND(ArtifactsInput!$M$27,Inputs!$B$4="Chapter Hunt"),CHOOSE(ArtifactsInput!$N$27+1,20,24,28,32,36,40),0)/100)))+1)),0)</f>
        <v/>
      </c>
      <c r="S2462">
        <f>IFERROR(O2462/N2462,0)</f>
        <v/>
      </c>
      <c r="T2462">
        <f>IF(C2462,(H2462*N2462*IF(AND(Inputs!$B$38&lt;&gt;"pvp",Inputs!$B$43&gt;0),((Skills!G6*((R2462-1)*IF(Skills!H6&gt;0,Skills!I6/Skills!H6,1)+IF(Skills!H6&gt;0,MIN(Skills!I6,MAX(0,MAX(0,Inputs!$B$43-B2492)-((R2462-1)*(IF(Inputs!$B$38="pvp",15,MAX(0.1,Skills!D6-IF(TRUE=TRUE,Inputs!$B$32,0)))*(1-IF(AND(ArtifactsInput!$M$27,Inputs!$B$4="Chapter Hunt"),CHOOSE(ArtifactsInput!$N$27+1,20,24,28,32,36,40),0)/100)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2492)-((R2462-1)*(IF(Inputs!$B$38="pvp",15,MAX(0.1,Skills!D6-IF(TRUE=TRUE,Inputs!$B$32,0)))*(1-IF(AND(ArtifactsInput!$M$27,Inputs!$B$4="Chapter Hunt"),CHOOSE(ArtifactsInput!$N$27+1,20,24,28,32,36,40),0)/100)))))/Skills!H6,1)))/Inputs!$B$43),G2462*Q2462))*IF(Inputs!$B$38="pvp",1,(1+(Inputs!$B$21+Skills!Q6+(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Inputs!$B$3&gt;=103</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2476=TRUE)*(F2476-Calc!F20)),(Inputs!$B$23+0+(IF(ArtifactsInput!$M$15,CHOOSE(ArtifactsInput!$N$15+1,25,30,35,40,45,50)/100*(Inputs!$B$11-Inputs!$B$11),0))))/100+(Inputs!$B$23+0+(IF(ArtifactsInput!$M$15,CHOOSE(ArtifactsInput!$N$15+1,25,30,35,40,45,50)/100*(Inputs!$B$11-Inputs!$B$11),0)))/100)/2</f>
        <v/>
      </c>
      <c r="M2463">
        <f>L2463*(1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IF(B2495=0,0,O2463/B2495)</f>
        <v/>
      </c>
      <c r="Q2463">
        <f>IFERROR(1/(IF(Inputs!$B$38="pvp",15,MAX(0.1,Skills!D7-IF(TRUE=TRUE,Inputs!$B$32,0)))*(1-IF(AND(ArtifactsInput!$M$27,Inputs!$B$4="Chapter Hunt"),CHOOSE(ArtifactsInput!$N$27+1,20,24,28,32,36,40),0)/100)),0)</f>
        <v/>
      </c>
      <c r="R2463">
        <f>IF(AND(Inputs!$B$38&lt;&gt;"pvp",Inputs!$B$43&gt;0),IF(MAX(0,Inputs!$B$43-B2492)&lt;=0,0,(INT(MAX(0,Inputs!$B$43-B2492)/(IF(Inputs!$B$38="pvp",15,MAX(0.1,Skills!D7-IF(TRUE=TRUE,Inputs!$B$32,0)))*(1-IF(AND(ArtifactsInput!$M$27,Inputs!$B$4="Chapter Hunt"),CHOOSE(ArtifactsInput!$N$27+1,20,24,28,32,36,40),0)/100)))+1)),0)</f>
        <v/>
      </c>
      <c r="S2463">
        <f>IFERROR(O2463/N2463,0)</f>
        <v/>
      </c>
      <c r="T2463">
        <f>IF(C2463,(H2463*N2463*IF(AND(Inputs!$B$38&lt;&gt;"pvp",Inputs!$B$43&gt;0),((Skills!G7*((R2463-1)*IF(Skills!H7&gt;0,Skills!I7/Skills!H7,1)+IF(Skills!H7&gt;0,MIN(Skills!I7,MAX(0,MAX(0,Inputs!$B$43-B2492)-((R2463-1)*(IF(Inputs!$B$38="pvp",15,MAX(0.1,Skills!D7-IF(TRUE=TRUE,Inputs!$B$32,0)))*(1-IF(AND(ArtifactsInput!$M$27,Inputs!$B$4="Chapter Hunt"),CHOOSE(ArtifactsInput!$N$27+1,20,24,28,32,36,40),0)/100)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2492)-((R2463-1)*(IF(Inputs!$B$38="pvp",15,MAX(0.1,Skills!D7-IF(TRUE=TRUE,Inputs!$B$32,0)))*(1-IF(AND(ArtifactsInput!$M$27,Inputs!$B$4="Chapter Hunt"),CHOOSE(ArtifactsInput!$N$27+1,20,24,28,32,36,40),0)/100)))))/Skills!H7,1)))/Inputs!$B$43),G2463*Q2463))*IF(Inputs!$B$38="pvp",1,(1+(Inputs!$B$21+Skills!Q7+(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Inputs!$B$3&gt;=117</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f>Skills!G8*IF(Skills!H8&gt;0,Skills!I8/Skills!H8,1)</f>
        <v/>
      </c>
      <c r="H2464">
        <f>1-(1-Skills!J8/100)^Skills!K8</f>
        <v/>
      </c>
      <c r="I2464" t="inlineStr">
        <is>
          <t>1</t>
        </is>
      </c>
      <c r="J2464">
        <f>((Inputs!$B$6*(1+Inputs!$B$7/100))+(((Inputs!$B$12*(1+Inputs!$B$13/100))-(Inputs!$B$12*(1+Inputs!$B$13/100)))+0.25*(Inputs!$B$14-Inputs!$B$14))*(1+Inputs!$B$7/100))*(F2464/100)</f>
        <v/>
      </c>
      <c r="K2464">
        <f>J2464*(1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2464)</f>
        <v/>
      </c>
      <c r="L2464">
        <f>K2464*(MIN(Inputs!$B$22+((C2476=TRUE)*(F2476-Calc!F20)),(Inputs!$B$23+0+(IF(ArtifactsInput!$M$15,CHOOSE(ArtifactsInput!$N$15+1,25,30,35,40,45,50)/100*(Inputs!$B$11-Inputs!$B$11),0))))/100+(Inputs!$B$23+0+(IF(ArtifactsInput!$M$15,CHOOSE(ArtifactsInput!$N$15+1,25,30,35,40,45,50)/100*(Inputs!$B$11-Inputs!$B$11),0)))/100)/2</f>
        <v/>
      </c>
      <c r="M2464">
        <f>L2464*(1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4">
        <f>L2464*(1-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2464*(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4">
        <f>(1-Summary!$B$11)*T2464+Summary!$B$11*V2464</f>
        <v/>
      </c>
      <c r="P2464">
        <f>IF(B2495=0,0,O2464/B2495)</f>
        <v/>
      </c>
      <c r="Q2464">
        <f>IFERROR(1/(IF(Inputs!$B$38="pvp",15,MAX(0.1,Skills!D8-IF(TRUE=TRUE,Inputs!$B$32,0)))*(1-IF(AND(ArtifactsInput!$M$27,Inputs!$B$4="Chapter Hunt"),CHOOSE(ArtifactsInput!$N$27+1,20,24,28,32,36,40),0)/100)),0)</f>
        <v/>
      </c>
      <c r="R2464">
        <f>IF(AND(Inputs!$B$38&lt;&gt;"pvp",Inputs!$B$43&gt;0),IF(MAX(0,Inputs!$B$43-B2492)&lt;=0,0,(INT(MAX(0,Inputs!$B$43-B2492)/(IF(Inputs!$B$38="pvp",15,MAX(0.1,Skills!D8-IF(TRUE=TRUE,Inputs!$B$32,0)))*(1-IF(AND(ArtifactsInput!$M$27,Inputs!$B$4="Chapter Hunt"),CHOOSE(ArtifactsInput!$N$27+1,20,24,28,32,36,40),0)/100)))+1)),0)</f>
        <v/>
      </c>
      <c r="S2464">
        <f>IFERROR(O2464/N2464,0)</f>
        <v/>
      </c>
      <c r="T2464">
        <f>IF(C2464,(H2464*N2464*IF(AND(Inputs!$B$38&lt;&gt;"pvp",Inputs!$B$43&gt;0),((Skills!G8*((R2464-1)*IF(Skills!H8&gt;0,Skills!I8/Skills!H8,1)+IF(Skills!H8&gt;0,MIN(Skills!I8,MAX(0,MAX(0,Inputs!$B$43-B2492)-((R2464-1)*(IF(Inputs!$B$38="pvp",15,MAX(0.1,Skills!D8-IF(TRUE=TRUE,Inputs!$B$32,0)))*(1-IF(AND(ArtifactsInput!$M$27,Inputs!$B$4="Chapter Hunt"),CHOOSE(ArtifactsInput!$N$27+1,20,24,28,32,36,40),0)/100)))))/Skills!H8,1)))/Inputs!$B$43),G2464*Q2464)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2464*(1-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2464*(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2464*(1-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2464*(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4">
        <f>IF(C2464,(H2464*N2464*IF(AND(Inputs!$B$38&lt;&gt;"pvp",Inputs!$B$43&gt;0),((Skills!G8*((R2464-1)*IF(Skills!H8&gt;0,Skills!I8/Skills!H8,1)+IF(Skills!H8&gt;0,MIN(Skills!I8,MAX(0,MAX(0,Inputs!$B$43-B2492)-((R2464-1)*(IF(Inputs!$B$38="pvp",15,MAX(0.1,Skills!D8-IF(TRUE=TRUE,Inputs!$B$32,0)))*(1-IF(AND(ArtifactsInput!$M$27,Inputs!$B$4="Chapter Hunt"),CHOOSE(ArtifactsInput!$N$27+1,20,24,28,32,36,40),0)/100)))))/Skills!H8,1)))/Inputs!$B$43),G2464*Q2464))*IF(Inputs!$B$38="pvp",1,(1+(Inputs!$B$21+Skills!Q8+(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5">
      <c r="A2465">
        <f>Skills!A9</f>
        <v/>
      </c>
      <c r="B2465">
        <f>Skills!B9</f>
        <v/>
      </c>
      <c r="C2465">
        <f>Inputs!$B$3&gt;=120</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B2497</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2476=TRUE)*(F2476-Calc!F20)),(Inputs!$B$23+0+(IF(ArtifactsInput!$M$15,CHOOSE(ArtifactsInput!$N$15+1,25,30,35,40,45,50)/100*(Inputs!$B$11-Inputs!$B$11),0))))/100+(Inputs!$B$23+0+(IF(ArtifactsInput!$M$15,CHOOSE(ArtifactsInput!$N$15+1,25,30,35,40,45,50)/100*(Inputs!$B$11-Inputs!$B$11),0)))/100)/2</f>
        <v/>
      </c>
      <c r="M2465">
        <f>L2465*(1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IF(B2495=0,0,O2465/B2495)</f>
        <v/>
      </c>
      <c r="Q2465">
        <f>IFERROR(1/(IF(Inputs!$B$38="pvp",15,MAX(0.1,Skills!D9-IF(TRUE=TRUE,Inputs!$B$32,0)))*(1-IF(AND(ArtifactsInput!$M$27,Inputs!$B$4="Chapter Hunt"),CHOOSE(ArtifactsInput!$N$27+1,20,24,28,32,36,40),0)/100)),0)</f>
        <v/>
      </c>
      <c r="R2465">
        <f>IF(AND(Inputs!$B$38&lt;&gt;"pvp",Inputs!$B$43&gt;0),IF(MAX(0,Inputs!$B$43-B2492)&lt;=0,0,(INT(MAX(0,Inputs!$B$43-B2492)/(IF(Inputs!$B$38="pvp",15,MAX(0.1,Skills!D9-IF(TRUE=TRUE,Inputs!$B$32,0)))*(1-IF(AND(ArtifactsInput!$M$27,Inputs!$B$4="Chapter Hunt"),CHOOSE(ArtifactsInput!$N$27+1,20,24,28,32,36,40),0)/100)))+1)),0)</f>
        <v/>
      </c>
      <c r="S2465">
        <f>IFERROR(O2465/N2465,0)</f>
        <v/>
      </c>
      <c r="T2465">
        <f>IF(C2465,(H2465*N2465*IF(AND(Inputs!$B$38&lt;&gt;"pvp",Inputs!$B$43&gt;0),((Skills!G9*((R2465-1)*IF(Skills!H9&gt;0,Skills!I9/Skills!H9,1)+IF(Skills!H9&gt;0,MIN(Skills!I9,MAX(0,MAX(0,Inputs!$B$43-B2492)-((R2465-1)*(IF(Inputs!$B$38="pvp",15,MAX(0.1,Skills!D9-IF(TRUE=TRUE,Inputs!$B$32,0)))*(1-IF(AND(ArtifactsInput!$M$27,Inputs!$B$4="Chapter Hunt"),CHOOSE(ArtifactsInput!$N$27+1,20,24,28,32,36,40),0)/100)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2492)-((R2465-1)*(IF(Inputs!$B$38="pvp",15,MAX(0.1,Skills!D9-IF(TRUE=TRUE,Inputs!$B$32,0)))*(1-IF(AND(ArtifactsInput!$M$27,Inputs!$B$4="Chapter Hunt"),CHOOSE(ArtifactsInput!$N$27+1,20,24,28,32,36,40),0)/100)))))/Skills!H9,1)))/Inputs!$B$43),G2465*Q2465))*IF(Inputs!$B$38="pvp",1,(1+(Inputs!$B$21+Skills!Q9+(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Inputs!$B$3&gt;=105</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2476=TRUE)*(F2476-Calc!F20)),(Inputs!$B$23+0+(IF(ArtifactsInput!$M$15,CHOOSE(ArtifactsInput!$N$15+1,25,30,35,40,45,50)/100*(Inputs!$B$11-Inputs!$B$11),0))))/100+(Inputs!$B$23+0+(IF(ArtifactsInput!$M$15,CHOOSE(ArtifactsInput!$N$15+1,25,30,35,40,45,50)/100*(Inputs!$B$11-Inputs!$B$11),0)))/100)/2</f>
        <v/>
      </c>
      <c r="M2466">
        <f>L2466*(1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IF(B2495=0,0,O2466/B2495)</f>
        <v/>
      </c>
      <c r="Q2466">
        <f>IFERROR(1/(IF(Inputs!$B$38="pvp",15,MAX(0.1,Skills!D10-IF(TRUE=TRUE,Inputs!$B$32,0)))*(1-IF(AND(ArtifactsInput!$M$27,Inputs!$B$4="Chapter Hunt"),CHOOSE(ArtifactsInput!$N$27+1,20,24,28,32,36,40),0)/100)),0)</f>
        <v/>
      </c>
      <c r="R2466">
        <f>IF(AND(Inputs!$B$38&lt;&gt;"pvp",Inputs!$B$43&gt;0),IF(MAX(0,Inputs!$B$43-B2492)&lt;=0,0,(INT(MAX(0,Inputs!$B$43-B2492)/(IF(Inputs!$B$38="pvp",15,MAX(0.1,Skills!D10-IF(TRUE=TRUE,Inputs!$B$32,0)))*(1-IF(AND(ArtifactsInput!$M$27,Inputs!$B$4="Chapter Hunt"),CHOOSE(ArtifactsInput!$N$27+1,20,24,28,32,36,40),0)/100)))+1)),0)</f>
        <v/>
      </c>
      <c r="S2466">
        <f>IFERROR(O2466/N2466,0)</f>
        <v/>
      </c>
      <c r="T2466">
        <f>IF(C2466,(H2466*N2466*IF(AND(Inputs!$B$38&lt;&gt;"pvp",Inputs!$B$43&gt;0),((Skills!G10*((R2466-1)*IF(Skills!H10&gt;0,Skills!I10/Skills!H10,1)+IF(Skills!H10&gt;0,MIN(Skills!I10,MAX(0,MAX(0,Inputs!$B$43-B2492)-((R2466-1)*(IF(Inputs!$B$38="pvp",15,MAX(0.1,Skills!D10-IF(TRUE=TRUE,Inputs!$B$32,0)))*(1-IF(AND(ArtifactsInput!$M$27,Inputs!$B$4="Chapter Hunt"),CHOOSE(ArtifactsInput!$N$27+1,20,24,28,32,36,40),0)/100)))))/Skills!H10,1)))/Inputs!$B$43),G2466*Q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H2466*N2466*IF(AND(Inputs!$B$38&lt;&gt;"pvp",Inputs!$B$43&gt;0),((Skills!G10*((R2466-1)*IF(Skills!H10&gt;0,Skills!I10/Skills!H10,1)+IF(Skills!H10&gt;0,MIN(Skills!I10,MAX(0,MAX(0,Inputs!$B$43-B2492)-((R2466-1)*(IF(Inputs!$B$38="pvp",15,MAX(0.1,Skills!D10-IF(TRUE=TRUE,Inputs!$B$32,0)))*(1-IF(AND(ArtifactsInput!$M$27,Inputs!$B$4="Chapter Hunt"),CHOOSE(ArtifactsInput!$N$27+1,20,24,28,32,36,40),0)/100)))))/Skills!H10,1)))/Inputs!$B$43),G2466*Q2466))*IF(Inputs!$B$38="pvp",1,(1+(Inputs!$B$21+Skills!Q10+(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Inputs!$B$3&gt;=113</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2476=TRUE)*(F2476-Calc!F20)),(Inputs!$B$23+0+(IF(ArtifactsInput!$M$15,CHOOSE(ArtifactsInput!$N$15+1,25,30,35,40,45,50)/100*(Inputs!$B$11-Inputs!$B$11),0))))/100+(Inputs!$B$23+0+(IF(ArtifactsInput!$M$15,CHOOSE(ArtifactsInput!$N$15+1,25,30,35,40,45,50)/100*(Inputs!$B$11-Inputs!$B$11),0)))/100)/2</f>
        <v/>
      </c>
      <c r="M2467">
        <f>L2467*(1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IF(B2495=0,0,O2467/B2495)</f>
        <v/>
      </c>
      <c r="Q2467" t="n">
        <v>0</v>
      </c>
      <c r="R2467" t="n">
        <v>0</v>
      </c>
      <c r="S2467">
        <f>IFERROR(O2467/N2467,0)</f>
        <v/>
      </c>
      <c r="T2467">
        <f>IF(C2467,((H2467*B2498)/(1+Skills!H11*H2467*B2498)*N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IF(C2467,((H2467*B2498)/(1+Skills!H11*H2467*B2498)*N2467)*IF(Inputs!$B$38="pvp",1,(1+(Inputs!$B$21+Skills!Q11+(IF(ArtifactsInput!$M$33,CHOOSE(ArtifactsInput!$N$33+1,30,36,42,48,54,60),0))+(IF(AND(ArtifactsInput!$M$35,Inputs!$B$4&lt;&gt;"Chapter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Inputs!$B$3&gt;=100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T2468" t="inlineStr"/>
      <c r="V2468" t="inlineStr"/>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IF(B2495=0,0,O2469/B2495)</f>
        <v/>
      </c>
      <c r="Q2469" t="n">
        <v>0</v>
      </c>
      <c r="R2469" t="n">
        <v>0</v>
      </c>
      <c r="S2469">
        <f>IFERROR(O2469/N2469,0)</f>
        <v/>
      </c>
      <c r="T2469" t="n">
        <v>0</v>
      </c>
      <c r="V2469" t="n">
        <v>0</v>
      </c>
    </row>
    <row r="2470">
      <c r="A2470">
        <f>Skills!A14</f>
        <v/>
      </c>
      <c r="B2470">
        <f>Skills!B14</f>
        <v/>
      </c>
      <c r="C2470">
        <f>Inputs!$B$3&gt;=115</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IF(B2495=0,0,O2470/B2495)</f>
        <v/>
      </c>
      <c r="Q2470">
        <f>IFERROR(1/(IF(Inputs!$B$38="pvp",15,MAX(0.1,Skills!D14-IF(TRUE=TRUE,Inputs!$B$32,0)))*(1-IF(AND(ArtifactsInput!$M$27,Inputs!$B$4="Chapter Hunt"),CHOOSE(ArtifactsInput!$N$27+1,20,24,28,32,36,40),0)/100)),0)</f>
        <v/>
      </c>
      <c r="R2470">
        <f>IF(AND(Inputs!$B$38&lt;&gt;"pvp",Inputs!$B$43&gt;0),IF(Inputs!$B$43&lt;=0,0,(INT(Inputs!$B$43/(IF(Inputs!$B$38="pvp",15,MAX(0.1,Skills!D14-IF(TRUE=TRUE,Inputs!$B$32,0)))*(1-IF(AND(ArtifactsInput!$M$27,Inputs!$B$4="Chapter Hunt"),CHOOSE(ArtifactsInput!$N$27+1,20,24,28,32,36,40),0)/100)))+1)),0)</f>
        <v/>
      </c>
      <c r="S2470">
        <f>IFERROR(O2470/N2470,0)</f>
        <v/>
      </c>
      <c r="T2470" t="n">
        <v>0</v>
      </c>
      <c r="V2470" t="n">
        <v>0</v>
      </c>
    </row>
    <row r="2471">
      <c r="A2471">
        <f>Skills!A15</f>
        <v/>
      </c>
      <c r="B2471">
        <f>Skills!B15</f>
        <v/>
      </c>
      <c r="C2471">
        <f>Inputs!$B$3&gt;=125</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IF(B2495=0,0,O2471/B2495)</f>
        <v/>
      </c>
      <c r="Q2471">
        <f>IFERROR(1/(IF(Inputs!$B$38="pvp",15,MAX(0.1,Skills!D15-IF(TRUE=TRUE,Inputs!$B$32,0)))*(1-IF(AND(ArtifactsInput!$M$27,Inputs!$B$4="Chapter Hunt"),CHOOSE(ArtifactsInput!$N$27+1,20,24,28,32,36,40),0)/100)),0)</f>
        <v/>
      </c>
      <c r="R2471">
        <f>IF(AND(Inputs!$B$38&lt;&gt;"pvp",Inputs!$B$43&gt;0),IF(Inputs!$B$43&lt;=0,0,(INT(Inputs!$B$43/(IF(Inputs!$B$38="pvp",15,MAX(0.1,Skills!D15-IF(TRUE=TRUE,Inputs!$B$32,0)))*(1-IF(AND(ArtifactsInput!$M$27,Inputs!$B$4="Chapter Hunt"),CHOOSE(ArtifactsInput!$N$27+1,20,24,28,32,36,40),0)/100)))+1)),0)</f>
        <v/>
      </c>
      <c r="S2471">
        <f>IFERROR(O2471/N2471,0)</f>
        <v/>
      </c>
      <c r="T2471" t="n">
        <v>0</v>
      </c>
      <c r="V2471" t="n">
        <v>0</v>
      </c>
    </row>
    <row r="2472">
      <c r="A2472">
        <f>Skills!A16</f>
        <v/>
      </c>
      <c r="B2472">
        <f>Skills!B16</f>
        <v/>
      </c>
      <c r="C2472">
        <f>Inputs!$B$3&gt;=10</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IF(B2495=0,0,O2472/B2495)</f>
        <v/>
      </c>
      <c r="Q2472" t="n">
        <v>0</v>
      </c>
      <c r="R2472" t="n">
        <v>0</v>
      </c>
      <c r="S2472">
        <f>IFERROR(O2472/N2472,0)</f>
        <v/>
      </c>
      <c r="T2472" t="n">
        <v>0</v>
      </c>
      <c r="V2472" t="n">
        <v>0</v>
      </c>
    </row>
    <row r="2473">
      <c r="A2473">
        <f>Skills!A17</f>
        <v/>
      </c>
      <c r="B2473">
        <f>Skills!B17</f>
        <v/>
      </c>
      <c r="C2473">
        <f>Inputs!$B$3&gt;=15</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IF(B2495=0,0,O2473/B2495)</f>
        <v/>
      </c>
      <c r="Q2473" t="n">
        <v>0</v>
      </c>
      <c r="R2473" t="n">
        <v>0</v>
      </c>
      <c r="S2473">
        <f>IFERROR(O2473/N2473,0)</f>
        <v/>
      </c>
      <c r="T2473" t="n">
        <v>0</v>
      </c>
      <c r="V2473" t="n">
        <v>0</v>
      </c>
    </row>
    <row r="2474">
      <c r="A2474">
        <f>Skills!A18</f>
        <v/>
      </c>
      <c r="B2474">
        <f>Skills!B18</f>
        <v/>
      </c>
      <c r="C2474">
        <f>Inputs!$B$3&gt;=33</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IF(B2495=0,0,O2474/B2495)</f>
        <v/>
      </c>
      <c r="Q2474" t="n">
        <v>0</v>
      </c>
      <c r="R2474" t="n">
        <v>0</v>
      </c>
      <c r="S2474">
        <f>IFERROR(O2474/N2474,0)</f>
        <v/>
      </c>
      <c r="T2474" t="n">
        <v>0</v>
      </c>
      <c r="V2474" t="n">
        <v>0</v>
      </c>
    </row>
    <row r="2475">
      <c r="A2475">
        <f>Skills!A19</f>
        <v/>
      </c>
      <c r="B2475">
        <f>Skills!B19</f>
        <v/>
      </c>
      <c r="C2475">
        <f>Inputs!$B$3&gt;=40</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IF(B2495=0,0,O2475/B2495)</f>
        <v/>
      </c>
      <c r="Q2475" t="n">
        <v>0</v>
      </c>
      <c r="R2475" t="n">
        <v>0</v>
      </c>
      <c r="S2475">
        <f>IFERROR(O2475/N2475,0)</f>
        <v/>
      </c>
      <c r="T2475" t="n">
        <v>0</v>
      </c>
      <c r="V2475" t="n">
        <v>0</v>
      </c>
    </row>
    <row r="2476">
      <c r="A2476">
        <f>Skills!A20</f>
        <v/>
      </c>
      <c r="B2476">
        <f>Skills!B20</f>
        <v/>
      </c>
      <c r="C2476">
        <f>Inputs!$B$3&gt;=43</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IF(B2495=0,0,O2476/B2495)</f>
        <v/>
      </c>
      <c r="Q2476" t="n">
        <v>0</v>
      </c>
      <c r="R2476" t="n">
        <v>0</v>
      </c>
      <c r="S2476">
        <f>IFERROR(O2476/N2476,0)</f>
        <v/>
      </c>
      <c r="T2476" t="n">
        <v>0</v>
      </c>
      <c r="V2476" t="n">
        <v>0</v>
      </c>
    </row>
    <row r="2477">
      <c r="A2477">
        <f>Skills!A21</f>
        <v/>
      </c>
      <c r="B2477">
        <f>Skills!B21</f>
        <v/>
      </c>
      <c r="C2477">
        <f>Inputs!$B$3&gt;=38</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IF(B2495=0,0,O2477/B2495)</f>
        <v/>
      </c>
      <c r="Q2477" t="n">
        <v>0</v>
      </c>
      <c r="R2477" t="n">
        <v>0</v>
      </c>
      <c r="S2477">
        <f>IFERROR(O2477/N2477,0)</f>
        <v/>
      </c>
      <c r="T2477" t="n">
        <v>0</v>
      </c>
      <c r="V2477" t="n">
        <v>0</v>
      </c>
    </row>
    <row r="2478">
      <c r="A2478">
        <f>Skills!A22</f>
        <v/>
      </c>
      <c r="B2478">
        <f>Skills!B22</f>
        <v/>
      </c>
      <c r="C2478">
        <f>Inputs!$B$3&gt;=75</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IF(B2495=0,0,O2478/B2495)</f>
        <v/>
      </c>
      <c r="Q2478" t="n">
        <v>0</v>
      </c>
      <c r="R2478" t="n">
        <v>0</v>
      </c>
      <c r="S2478">
        <f>IFERROR(O2478/N2478,0)</f>
        <v/>
      </c>
      <c r="T2478" t="n">
        <v>0</v>
      </c>
      <c r="V2478" t="n">
        <v>0</v>
      </c>
    </row>
    <row r="2479">
      <c r="A2479">
        <f>Skills!A23</f>
        <v/>
      </c>
      <c r="B2479">
        <f>Skills!B23</f>
        <v/>
      </c>
      <c r="C2479">
        <f>TRUE</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IF(B2495=0,0,O2479/B2495)</f>
        <v/>
      </c>
      <c r="Q2479">
        <f>IFERROR(1/(IF(Inputs!$B$38="pvp",15,MAX(0.1,Skills!D23-IF(TRUE=TRUE,Inputs!$B$32,0)))*(1-IF(AND(ArtifactsInput!$M$27,Inputs!$B$4="Chapter Hunt"),CHOOSE(ArtifactsInput!$N$27+1,20,24,28,32,36,40),0)/100)),0)</f>
        <v/>
      </c>
      <c r="R2479">
        <f>IF(AND(Inputs!$B$38&lt;&gt;"pvp",Inputs!$B$43&gt;0),IF(Inputs!$B$43&lt;=0,0,(INT(Inputs!$B$43/(IF(Inputs!$B$38="pvp",15,MAX(0.1,Skills!D23-IF(TRUE=TRUE,Inputs!$B$32,0)))*(1-IF(AND(ArtifactsInput!$M$27,Inputs!$B$4="Chapter Hunt"),CHOOSE(ArtifactsInput!$N$27+1,20,24,28,32,36,40),0)/100)))+1)),0)</f>
        <v/>
      </c>
      <c r="S2479">
        <f>IFERROR(O2479/N2479,0)</f>
        <v/>
      </c>
      <c r="T2479" t="n">
        <v>0</v>
      </c>
      <c r="V2479" t="n">
        <v>0</v>
      </c>
    </row>
    <row r="2480">
      <c r="A2480">
        <f>Skills!A24</f>
        <v/>
      </c>
      <c r="B2480">
        <f>Skills!B24</f>
        <v/>
      </c>
      <c r="C2480">
        <f>Inputs!$B$3&gt;=107</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IF(B2495=0,0,O2480/B2495)</f>
        <v/>
      </c>
      <c r="Q2480">
        <f>IFERROR(1/(IF(Inputs!$B$38="pvp",15,MAX(0.1,Skills!D24-IF(TRUE=TRUE,Inputs!$B$32,0)))*(1-IF(AND(ArtifactsInput!$M$27,Inputs!$B$4="Chapter Hunt"),CHOOSE(ArtifactsInput!$N$27+1,20,24,28,32,36,40),0)/100)),0)</f>
        <v/>
      </c>
      <c r="R2480">
        <f>IF(AND(Inputs!$B$38&lt;&gt;"pvp",Inputs!$B$43&gt;0),IF(Inputs!$B$43&lt;=0,0,(INT(Inputs!$B$43/(IF(Inputs!$B$38="pvp",15,MAX(0.1,Skills!D24-IF(TRUE=TRUE,Inputs!$B$32,0)))*(1-IF(AND(ArtifactsInput!$M$27,Inputs!$B$4="Chapter Hunt"),CHOOSE(ArtifactsInput!$N$27+1,20,24,28,32,36,40),0)/100)))+1)),0)</f>
        <v/>
      </c>
      <c r="S2480">
        <f>IFERROR(O2480/N2480,0)</f>
        <v/>
      </c>
      <c r="T2480" t="n">
        <v>0</v>
      </c>
      <c r="V2480" t="n">
        <v>0</v>
      </c>
    </row>
    <row r="2481">
      <c r="A2481">
        <f>Skills!A25</f>
        <v/>
      </c>
      <c r="B2481">
        <f>Skills!B25</f>
        <v/>
      </c>
      <c r="C2481">
        <f>Inputs!$B$3&gt;=110</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Skills!A26</f>
        <v/>
      </c>
      <c r="B2482">
        <f>Skills!B26</f>
        <v/>
      </c>
      <c r="C2482">
        <f>Inputs!$B$3&gt;=117</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t="inlineStr"/>
      <c r="H2482" t="inlineStr"/>
      <c r="I2482" t="inlineStr">
        <is>
          <t>1</t>
        </is>
      </c>
      <c r="J2482" t="inlineStr"/>
      <c r="K2482" t="inlineStr"/>
      <c r="L2482" t="inlineStr"/>
      <c r="M2482" t="inlineStr"/>
      <c r="N2482" t="inlineStr"/>
      <c r="O2482" t="inlineStr"/>
      <c r="P2482" t="inlineStr"/>
      <c r="Q2482" t="inlineStr"/>
      <c r="R2482" t="inlineStr"/>
      <c r="S2482" t="inlineStr"/>
      <c r="T2482" t="inlineStr"/>
      <c r="V2482" t="inlineStr"/>
    </row>
    <row r="2484">
      <c r="A2484" t="inlineStr">
        <is>
          <t>Attack% Bucket Multiplier</t>
        </is>
      </c>
      <c r="B2484">
        <f>(1+(((C2469=TRUE)*F2469*5/7)+((C2475=TRUE)*(F2475-Calc!F19))+(IF(ArtifactsInput!$M$21,CHOOSE(ArtifactsInput!$N$21+1,25,30,35,40,45,50)*(IF(OR(Inputs!$B$4="Chapter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5">
      <c r="A2485" t="inlineStr">
        <is>
          <t>Global Crit Rate Bonus %</t>
        </is>
      </c>
      <c r="B2485" t="n">
        <v>0</v>
      </c>
    </row>
    <row r="2486">
      <c r="A2486" t="inlineStr">
        <is>
          <t>Attack Speed Buff Bonus % (Nimble Feet + Speed Infusion, duty-cycle averaged)</t>
        </is>
      </c>
      <c r="B2486">
        <f>((C2479=TRUE)*F2479*IF(AND(Inputs!$B$38&lt;&gt;"pvp",Inputs!$B$43&gt;0),(((R2479-1)*MIN((Skills!T23*(1+Inputs!$B$34/100)),(1/Q2479))+MIN((Skills!T23*(1+Inputs!$B$34/100)),MAX(0,Inputs!$B$43-((R2479-1)*(1/Q2479)))))/Inputs!$B$43),IF(Inputs!$B$38="pvp",MIN((Skills!T23*(1+Inputs!$B$34/100)),15)/15,MIN(1,(Skills!T23*(1+Inputs!$B$34/100))/(1/Q2479)))))+((C2480=TRUE)*F2480*IF(AND(Inputs!$B$38&lt;&gt;"pvp",Inputs!$B$43&gt;0),(((R2480-1)*MIN((Skills!T24*(1+Inputs!$B$34/100)),(1/Q2480))+MIN((Skills!T24*(1+Inputs!$B$34/100)),MAX(0,Inputs!$B$43-((R2480-1)*(1/Q2480)))))/Inputs!$B$43),IF(Inputs!$B$38="pvp",MIN((Skills!T24*(1+Inputs!$B$34/100)),15)/15,MIN(1,(Skills!T24*(1+Inputs!$B$34/100))/(1/Q2480)))))</f>
        <v/>
      </c>
    </row>
    <row r="2487">
      <c r="A2487" t="inlineStr">
        <is>
          <t>Actions Per Second</t>
        </is>
      </c>
      <c r="B2487">
        <f>1+MIN(150,150*(1-(1-(Inputs!$B$11+((C2473=TRUE)*(F2473-Calc!F17))+((C2474=TRUE)*(F2474-Calc!F18)))/150)*(1-B2486/150)))/100</f>
        <v/>
      </c>
    </row>
    <row r="2488">
      <c r="A2488" t="inlineStr">
        <is>
          <t>Skill + Buff Cast Rate</t>
        </is>
      </c>
      <c r="B2488">
        <f>IF(AND(Inputs!$B$38&lt;&gt;"pvp",Inputs!$B$43&gt;0),SUMPRODUCT((Skills!E2:E26=TRUE)*(C2458:C2482=TRUE)*R2458:R2482*Skills!F2:F26)/Inputs!$B$43,SUMPRODUCT((Skills!E2:E26=TRUE)*(C2458:C2482=TRUE)*Q2458:Q2482*Skills!F2:F26))</f>
        <v/>
      </c>
    </row>
    <row r="2489">
      <c r="A2489" t="inlineStr">
        <is>
          <t>Hook Bomber Casts Per Second</t>
        </is>
      </c>
      <c r="B2489">
        <f>MAX(0,B2487-B2488)</f>
        <v/>
      </c>
    </row>
    <row r="2490">
      <c r="A2490" t="inlineStr">
        <is>
          <t>Global Critical Damage Bonus % (unused)</t>
        </is>
      </c>
      <c r="B2490" t="n">
        <v>0</v>
      </c>
    </row>
    <row r="2491">
      <c r="A2491" t="inlineStr">
        <is>
          <t>Global Final Damage Bonus % (Serpent Scale + Crossbones + Time Leap + Speed Infusion)</t>
        </is>
      </c>
      <c r="B2491">
        <f>((C2461=TRUE)*(F2461*B2497+4*(1-B2497)))+((C2470=TRUE)*F2470*IF(AND(Inputs!$B$38&lt;&gt;"pvp",Inputs!$B$43&gt;0),(((R2470-1)*MIN((Skills!T14*(1+Inputs!$B$34/100)),(1/Q2470))+MIN((Skills!T14*(1+Inputs!$B$34/100)),MAX(0,Inputs!$B$43-((R2470-1)*(1/Q2470)))))/Inputs!$B$43),IF(Inputs!$B$38="pvp",MIN((Skills!T14*(1+Inputs!$B$34/100)),15)/15,MIN(1,(Skills!T14*(1+Inputs!$B$34/100))/(1/Q2470)))))+((C2471=TRUE)*F2471*IF(AND(Inputs!$B$38&lt;&gt;"pvp",Inputs!$B$43&gt;0),(((R2471-1)*MIN((Skills!T15*(1+Inputs!$B$34/100)),(1/Q2471))+MIN((Skills!T15*(1+Inputs!$B$34/100)),MAX(0,Inputs!$B$43-((R2471-1)*(1/Q2471)))))/Inputs!$B$43),IF(Inputs!$B$38="pvp",MIN((Skills!T15*(1+Inputs!$B$34/100)),15)/15,MIN(1,(Skills!T15*(1+Inputs!$B$34/100))/(1/Q2471)))))+((C2480=TRUE)*20*((1+MIN(150,150*(1-(1-(Inputs!$B$11+((C2473=TRUE)*(F2473-Calc!F17))+((C2474=TRUE)*(F2474-Calc!F18)))/150)*(1-(((C2479=TRUE)*F2479*IF(AND(Inputs!$B$38&lt;&gt;"pvp",Inputs!$B$43&gt;0),(((R2479-1)*MIN((Skills!T23*(1+Inputs!$B$34/100)),(1/Q2479))+MIN((Skills!T23*(1+Inputs!$B$34/100)),MAX(0,Inputs!$B$43-((R2479-1)*(1/Q2479)))))/Inputs!$B$43),IF(Inputs!$B$38="pvp",MIN((Skills!T23*(1+Inputs!$B$34/100)),15)/15,MIN(1,(Skills!T23*(1+Inputs!$B$34/100))/(1/Q2479)))))+F2480)/150)))/100)-1)*IF(AND(Inputs!$B$38&lt;&gt;"pvp",Inputs!$B$43&gt;0),(((R2480-1)*MIN((Skills!T24*(1+Inputs!$B$34/100)),(1/Q2480))+MIN((Skills!T24*(1+Inputs!$B$34/100)),MAX(0,Inputs!$B$43-((R2480-1)*(1/Q2480)))))/Inputs!$B$43),IF(Inputs!$B$38="pvp",MIN((Skills!T24*(1+Inputs!$B$34/100)),15)/15,MIN(1,(Skills!T24*(1+Inputs!$B$34/100))/(1/Q2480)))))</f>
        <v/>
      </c>
    </row>
    <row r="2492">
      <c r="A2492" t="inlineStr">
        <is>
          <t>Buff-Casting Startup Delay (s, fixed-duration only)</t>
        </is>
      </c>
      <c r="B2492">
        <f>IF(AND(Inputs!$B$38&lt;&gt;"pvp",Inputs!$B$43&gt;0),SUMPRODUCT((Skills!T2:T26&gt;0)*(Skills!E2:E26=TRUE)*(C2458:C2482=TRUE))/B2487,0)</f>
        <v/>
      </c>
    </row>
    <row r="2493">
      <c r="A2493" t="inlineStr">
        <is>
          <t>Boss-Only Total DPS (this block's swept value)</t>
        </is>
      </c>
      <c r="B2493">
        <f>SUM(T2458:T2482)</f>
        <v/>
      </c>
    </row>
    <row r="2494">
      <c r="A2494" t="inlineStr">
        <is>
          <t>Normal-Only Total DPS (this block's swept value)</t>
        </is>
      </c>
      <c r="B2494">
        <f>SUM(V2458:V2482)</f>
        <v/>
      </c>
    </row>
    <row r="2495">
      <c r="A2495" s="6" t="inlineStr">
        <is>
          <t>TOTAL DPS</t>
        </is>
      </c>
      <c r="B2495" s="6">
        <f>SUM(O2458:O2482)</f>
        <v/>
      </c>
    </row>
    <row r="2496">
      <c r="A2496" t="inlineStr">
        <is>
          <t>Serpent activation interval T (this block's own Hook Bomber rate)</t>
        </is>
      </c>
      <c r="B2496">
        <f>((1/Q2459)+IFERROR(0.5/B2489,0))</f>
        <v/>
      </c>
    </row>
    <row r="2497">
      <c r="A2497" t="inlineStr">
        <is>
          <t>Assault Mode uptime u (this block)</t>
        </is>
      </c>
      <c r="B2497">
        <f>IF(C2461=TRUE,(10+IF(Inputs!$B$3&gt;=94,5,0))/((10+IF(Inputs!$B$3&gt;=94,5,0))+IF(Inputs!$B$3&gt;=104,3,5)*B2496),0)</f>
        <v/>
      </c>
    </row>
    <row r="2498">
      <c r="A2498" t="inlineStr">
        <is>
          <t>Nautilus Strike - Final Attack trigger rate (this block's own Q/R)</t>
        </is>
      </c>
      <c r="B2498">
        <f>IF(AND(Inputs!$B$38&lt;&gt;"pvp",Inputs!$B$43&gt;0),(((C2462=TRUE)*R2462)+((C2463=TRUE)*R2463)+((C2466=TRUE)*R2466))/Inputs!$B$43,((C2462=TRUE)*Q2462)+((C2463=TRUE)*Q2463)+((C2466=TRUE)*Q2466))+B2489</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2521=TRUE)*(F2521-Calc!F20)),(Inputs!$B$23+0+(IF(ArtifactsInput!$M$15,CHOOSE(ArtifactsInput!$N$15+1,25,30,35,40,45,50)/100*(Inputs!$B$11-Inputs!$B$11),0))))/100+(Inputs!$B$23+0+(IF(ArtifactsInput!$M$15,CHOOSE(ArtifactsInput!$N$15+1,25,30,35,40,45,50)/100*(Inputs!$B$11-Inputs!$B$11),0)))/100)/2</f>
        <v/>
      </c>
      <c r="M2503">
        <f>L2503*(1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IF(B2540=0,0,O2503/B2540)</f>
        <v/>
      </c>
      <c r="Q2503" t="n">
        <v>0</v>
      </c>
      <c r="R2503" t="n">
        <v>0</v>
      </c>
      <c r="S2503">
        <f>IFERROR(O2503/N2503,0)</f>
        <v/>
      </c>
      <c r="T2503">
        <f>IF(C2503,(Skills!G2*N2503*B2534)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IF(C2503,(Skills!G2*N2503*B2534)*IF(Inputs!$B$38="pvp",1,(1+(Inputs!$B$21+Skills!Q2+(IF(ArtifactsInput!$M$33,CHOOSE(ArtifactsInput!$N$33+1,30,36,42,48,54,60),0))+(IF(AND(IF(ArtifactsInput!$M$35,FALSE,TRUE),Inputs!$B$4&lt;&gt;"Chapter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Inputs!$B$3&gt;=35</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f>Skills!G3*IF(Skills!H3&gt;0,Skills!I3/Skills!H3,1)</f>
        <v/>
      </c>
      <c r="H2504">
        <f>1-(1-Skills!J3/100)^Skills!K3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2526=TRUE,F2526,0)/100)*(1+(IF(Skills!A3="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2521=TRUE)*(F2521-Calc!F20)),(Inputs!$B$23+0+(IF(ArtifactsInput!$M$15,CHOOSE(ArtifactsInput!$N$15+1,25,30,35,40,45,50)/100*(Inputs!$B$11-Inputs!$B$11),0))))/100+(Inputs!$B$23+0+(IF(ArtifactsInput!$M$15,CHOOSE(ArtifactsInput!$N$15+1,25,30,35,40,45,50)/100*(Inputs!$B$11-Inputs!$B$11),0)))/100)/2</f>
        <v/>
      </c>
      <c r="M2504">
        <f>L2504*(1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IF(B2540=0,0,O2504/B2540)</f>
        <v/>
      </c>
      <c r="Q2504">
        <f>IFERROR(1/(IF(Inputs!$B$38="pvp",15,MAX(0.1,Skills!D3-IF(TRUE=TRUE,Inputs!$B$32,0)))*(1-IF(AND(ArtifactsInput!$M$27,Inputs!$B$4="Chapter Hunt"),CHOOSE(ArtifactsInput!$N$27+1,20,24,28,32,36,40),0)/100)),0)</f>
        <v/>
      </c>
      <c r="R2504">
        <f>IF(AND(Inputs!$B$38&lt;&gt;"pvp",Inputs!$B$43&gt;0),IF(MAX(0,Inputs!$B$43-B2537)&lt;=0,0,(INT(MAX(0,Inputs!$B$43-B2537)/(IF(Inputs!$B$38="pvp",15,MAX(0.1,Skills!D3-IF(TRUE=TRUE,Inputs!$B$32,0)))*(1-IF(AND(ArtifactsInput!$M$27,Inputs!$B$4="Chapter Hunt"),CHOOSE(ArtifactsInput!$N$27+1,20,24,28,32,36,40),0)/100)))+1)),0)</f>
        <v/>
      </c>
      <c r="S2504">
        <f>IFERROR(O2504/N2504,0)</f>
        <v/>
      </c>
      <c r="T2504">
        <f>IF(C2504,(Skills!G3*N2504*IF(C2505=TRUE,1-B2542,1)/B2541)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INDEX(FactorTable!$B$2:$Y$301, MATCH(ROUND(MIN(300,MAX(1,U2503)),0), FactorTable!$A$2:$A$301,0), 22)</f>
        <v/>
      </c>
      <c r="V2504">
        <f>IF(C2504,(Skills!G3*N2504*IF(C2505=TRUE,1-B2542,1)/B2541)*IF(Inputs!$B$38="pvp",1,(1+(Inputs!$B$21+Skills!Q3+(IF(ArtifactsInput!$M$33,CHOOSE(ArtifactsInput!$N$33+1,30,36,42,48,54,60),0))+(IF(AND(IF(ArtifactsInput!$M$35,FALSE,TRUE),Inputs!$B$4&lt;&gt;"Chapter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Skills!A4</f>
        <v/>
      </c>
      <c r="B2505">
        <f>Skills!B4</f>
        <v/>
      </c>
      <c r="C2505">
        <f>Inputs!$B$3&gt;=69</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f>Skills!G4*IF(Skills!H4&gt;0,Skills!I4/Skills!H4,1)</f>
        <v/>
      </c>
      <c r="H2505">
        <f>1-(1-Skills!J4/100)^Skills!K4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2513=TRUE,F2513,0)/100)*(1+(IF(Skills!A4="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2521=TRUE)*(F2521-Calc!F20)),(Inputs!$B$23+0+(IF(ArtifactsInput!$M$15,CHOOSE(ArtifactsInput!$N$15+1,25,30,35,40,45,50)/100*(Inputs!$B$11-Inputs!$B$11),0))))/100+(Inputs!$B$23+0+(IF(ArtifactsInput!$M$15,CHOOSE(ArtifactsInput!$N$15+1,25,30,35,40,45,50)/100*(Inputs!$B$11-Inputs!$B$11),0)))/100)/2</f>
        <v/>
      </c>
      <c r="M2505">
        <f>L2505*(1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IF(B2540=0,0,O2505/B2540)</f>
        <v/>
      </c>
      <c r="Q2505" t="n">
        <v>0</v>
      </c>
      <c r="R2505" t="n">
        <v>0</v>
      </c>
      <c r="S2505">
        <f>IFERROR(O2505/N2505,0)</f>
        <v/>
      </c>
      <c r="T2505">
        <f>IF(C2505,(Skills!G4*N2505*B2542/B2541)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290*U2504/1000</f>
        <v/>
      </c>
      <c r="V2505">
        <f>IF(C2505,(Skills!G4*N2505*B2542/B2541)*IF(Inputs!$B$38="pvp",1,(1+(Inputs!$B$21+Skills!Q4+(IF(ArtifactsInput!$M$33,CHOOSE(ArtifactsInput!$N$33+1,30,36,42,48,54,60),0))+(IF(AND(IF(ArtifactsInput!$M$35,FALSE,TRUE),Inputs!$B$4&lt;&gt;"Chapter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Skills!A5</f>
        <v/>
      </c>
      <c r="B2506">
        <f>Skills!B5</f>
        <v/>
      </c>
      <c r="C2506">
        <f>Inputs!$B$3&gt;=66</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t="inlineStr"/>
      <c r="K2506" t="inlineStr"/>
      <c r="L2506" t="inlineStr"/>
      <c r="M2506" t="inlineStr"/>
      <c r="N2506" t="inlineStr"/>
      <c r="O2506">
        <f>(1-Summary!$B$11)*T2506+Summary!$B$11*V2506</f>
        <v/>
      </c>
      <c r="P2506">
        <f>IF(B2540=0,0,O2506/B2540)</f>
        <v/>
      </c>
      <c r="Q2506" t="n">
        <v>0</v>
      </c>
      <c r="R2506" t="n">
        <v>0</v>
      </c>
      <c r="S2506">
        <f>IFERROR(O2506/N2506,0)</f>
        <v/>
      </c>
      <c r="T2506" t="n">
        <v>0</v>
      </c>
      <c r="V2506" t="n">
        <v>0</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2513=TRUE,F2513,0)/100)*(1+(IF(Skills!A6="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2521=TRUE)*(F2521-Calc!F20)),(Inputs!$B$23+0+(IF(ArtifactsInput!$M$15,CHOOSE(ArtifactsInput!$N$15+1,25,30,35,40,45,50)/100*(Inputs!$B$11-Inputs!$B$11),0))))/100+(Inputs!$B$23+0+(IF(ArtifactsInput!$M$15,CHOOSE(ArtifactsInput!$N$15+1,25,30,35,40,45,50)/100*(Inputs!$B$11-Inputs!$B$11),0)))/100)/2</f>
        <v/>
      </c>
      <c r="M2507">
        <f>L2507*(1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IF(B2540=0,0,O2507/B2540)</f>
        <v/>
      </c>
      <c r="Q2507">
        <f>IFERROR(1/(IF(Inputs!$B$38="pvp",15,MAX(0.1,Skills!D6-IF(TRUE=TRUE,Inputs!$B$32,0)))*(1-IF(AND(ArtifactsInput!$M$27,Inputs!$B$4="Chapter Hunt"),CHOOSE(ArtifactsInput!$N$27+1,20,24,28,32,36,40),0)/100)),0)</f>
        <v/>
      </c>
      <c r="R2507">
        <f>IF(AND(Inputs!$B$38&lt;&gt;"pvp",Inputs!$B$43&gt;0),IF(MAX(0,Inputs!$B$43-B2537)&lt;=0,0,(INT(MAX(0,Inputs!$B$43-B2537)/(IF(Inputs!$B$38="pvp",15,MAX(0.1,Skills!D6-IF(TRUE=TRUE,Inputs!$B$32,0)))*(1-IF(AND(ArtifactsInput!$M$27,Inputs!$B$4="Chapter Hunt"),CHOOSE(ArtifactsInput!$N$27+1,20,24,28,32,36,40),0)/100)))+1)),0)</f>
        <v/>
      </c>
      <c r="S2507">
        <f>IFERROR(O2507/N2507,0)</f>
        <v/>
      </c>
      <c r="T2507">
        <f>IF(C2507,(H2507*N2507*IF(AND(Inputs!$B$38&lt;&gt;"pvp",Inputs!$B$43&gt;0),((Skills!G6*((R2507-1)*IF(Skills!H6&gt;0,Skills!I6/Skills!H6,1)+IF(Skills!H6&gt;0,MIN(Skills!I6,MAX(0,MAX(0,Inputs!$B$43-B2537)-((R2507-1)*(IF(Inputs!$B$38="pvp",15,MAX(0.1,Skills!D6-IF(TRUE=TRUE,Inputs!$B$32,0)))*(1-IF(AND(ArtifactsInput!$M$27,Inputs!$B$4="Chapter Hunt"),CHOOSE(ArtifactsInput!$N$27+1,20,24,28,32,36,40),0)/100)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2537)-((R2507-1)*(IF(Inputs!$B$38="pvp",15,MAX(0.1,Skills!D6-IF(TRUE=TRUE,Inputs!$B$32,0)))*(1-IF(AND(ArtifactsInput!$M$27,Inputs!$B$4="Chapter Hunt"),CHOOSE(ArtifactsInput!$N$27+1,20,24,28,32,36,40),0)/100)))))/Skills!H6,1)))/Inputs!$B$43),G2507*Q2507))*IF(Inputs!$B$38="pvp",1,(1+(Inputs!$B$21+Skills!Q6+(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Inputs!$B$3&gt;=103</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2521=TRUE)*(F2521-Calc!F20)),(Inputs!$B$23+0+(IF(ArtifactsInput!$M$15,CHOOSE(ArtifactsInput!$N$15+1,25,30,35,40,45,50)/100*(Inputs!$B$11-Inputs!$B$11),0))))/100+(Inputs!$B$23+0+(IF(ArtifactsInput!$M$15,CHOOSE(ArtifactsInput!$N$15+1,25,30,35,40,45,50)/100*(Inputs!$B$11-Inputs!$B$11),0)))/100)/2</f>
        <v/>
      </c>
      <c r="M2508">
        <f>L2508*(1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IF(B2540=0,0,O2508/B2540)</f>
        <v/>
      </c>
      <c r="Q2508">
        <f>IFERROR(1/(IF(Inputs!$B$38="pvp",15,MAX(0.1,Skills!D7-IF(TRUE=TRUE,Inputs!$B$32,0)))*(1-IF(AND(ArtifactsInput!$M$27,Inputs!$B$4="Chapter Hunt"),CHOOSE(ArtifactsInput!$N$27+1,20,24,28,32,36,40),0)/100)),0)</f>
        <v/>
      </c>
      <c r="R2508">
        <f>IF(AND(Inputs!$B$38&lt;&gt;"pvp",Inputs!$B$43&gt;0),IF(MAX(0,Inputs!$B$43-B2537)&lt;=0,0,(INT(MAX(0,Inputs!$B$43-B2537)/(IF(Inputs!$B$38="pvp",15,MAX(0.1,Skills!D7-IF(TRUE=TRUE,Inputs!$B$32,0)))*(1-IF(AND(ArtifactsInput!$M$27,Inputs!$B$4="Chapter Hunt"),CHOOSE(ArtifactsInput!$N$27+1,20,24,28,32,36,40),0)/100)))+1)),0)</f>
        <v/>
      </c>
      <c r="S2508">
        <f>IFERROR(O2508/N2508,0)</f>
        <v/>
      </c>
      <c r="T2508">
        <f>IF(C2508,(H2508*N2508*IF(AND(Inputs!$B$38&lt;&gt;"pvp",Inputs!$B$43&gt;0),((Skills!G7*((R2508-1)*IF(Skills!H7&gt;0,Skills!I7/Skills!H7,1)+IF(Skills!H7&gt;0,MIN(Skills!I7,MAX(0,MAX(0,Inputs!$B$43-B2537)-((R2508-1)*(IF(Inputs!$B$38="pvp",15,MAX(0.1,Skills!D7-IF(TRUE=TRUE,Inputs!$B$32,0)))*(1-IF(AND(ArtifactsInput!$M$27,Inputs!$B$4="Chapter Hunt"),CHOOSE(ArtifactsInput!$N$27+1,20,24,28,32,36,40),0)/100)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2537)-((R2508-1)*(IF(Inputs!$B$38="pvp",15,MAX(0.1,Skills!D7-IF(TRUE=TRUE,Inputs!$B$32,0)))*(1-IF(AND(ArtifactsInput!$M$27,Inputs!$B$4="Chapter Hunt"),CHOOSE(ArtifactsInput!$N$27+1,20,24,28,32,36,40),0)/100)))))/Skills!H7,1)))/Inputs!$B$43),G2508*Q2508))*IF(Inputs!$B$38="pvp",1,(1+(Inputs!$B$21+Skills!Q7+(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Inputs!$B$3&gt;=117</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f>Skills!G8*IF(Skills!H8&gt;0,Skills!I8/Skills!H8,1)</f>
        <v/>
      </c>
      <c r="H2509">
        <f>1-(1-Skills!J8/100)^Skills!K8</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2521=TRUE)*(F2521-Calc!F20)),(Inputs!$B$23+0+(IF(ArtifactsInput!$M$15,CHOOSE(ArtifactsInput!$N$15+1,25,30,35,40,45,50)/100*(Inputs!$B$11-Inputs!$B$11),0))))/100+(Inputs!$B$23+0+(IF(ArtifactsInput!$M$15,CHOOSE(ArtifactsInput!$N$15+1,25,30,35,40,45,50)/100*(Inputs!$B$11-Inputs!$B$11),0)))/100)/2</f>
        <v/>
      </c>
      <c r="M2509">
        <f>L2509*(1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IF(B2540=0,0,O2509/B2540)</f>
        <v/>
      </c>
      <c r="Q2509">
        <f>IFERROR(1/(IF(Inputs!$B$38="pvp",15,MAX(0.1,Skills!D8-IF(TRUE=TRUE,Inputs!$B$32,0)))*(1-IF(AND(ArtifactsInput!$M$27,Inputs!$B$4="Chapter Hunt"),CHOOSE(ArtifactsInput!$N$27+1,20,24,28,32,36,40),0)/100)),0)</f>
        <v/>
      </c>
      <c r="R2509">
        <f>IF(AND(Inputs!$B$38&lt;&gt;"pvp",Inputs!$B$43&gt;0),IF(MAX(0,Inputs!$B$43-B2537)&lt;=0,0,(INT(MAX(0,Inputs!$B$43-B2537)/(IF(Inputs!$B$38="pvp",15,MAX(0.1,Skills!D8-IF(TRUE=TRUE,Inputs!$B$32,0)))*(1-IF(AND(ArtifactsInput!$M$27,Inputs!$B$4="Chapter Hunt"),CHOOSE(ArtifactsInput!$N$27+1,20,24,28,32,36,40),0)/100)))+1)),0)</f>
        <v/>
      </c>
      <c r="S2509">
        <f>IFERROR(O2509/N2509,0)</f>
        <v/>
      </c>
      <c r="T2509">
        <f>IF(C2509,(H2509*N2509*IF(AND(Inputs!$B$38&lt;&gt;"pvp",Inputs!$B$43&gt;0),((Skills!G8*((R2509-1)*IF(Skills!H8&gt;0,Skills!I8/Skills!H8,1)+IF(Skills!H8&gt;0,MIN(Skills!I8,MAX(0,MAX(0,Inputs!$B$43-B2537)-((R2509-1)*(IF(Inputs!$B$38="pvp",15,MAX(0.1,Skills!D8-IF(TRUE=TRUE,Inputs!$B$32,0)))*(1-IF(AND(ArtifactsInput!$M$27,Inputs!$B$4="Chapter Hunt"),CHOOSE(ArtifactsInput!$N$27+1,20,24,28,32,36,40),0)/100)))))/Skills!H8,1)))/Inputs!$B$43),G2509*Q2509)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8*((R2509-1)*IF(Skills!H8&gt;0,Skills!I8/Skills!H8,1)+IF(Skills!H8&gt;0,MIN(Skills!I8,MAX(0,MAX(0,Inputs!$B$43-B2537)-((R2509-1)*(IF(Inputs!$B$38="pvp",15,MAX(0.1,Skills!D8-IF(TRUE=TRUE,Inputs!$B$32,0)))*(1-IF(AND(ArtifactsInput!$M$27,Inputs!$B$4="Chapter Hunt"),CHOOSE(ArtifactsInput!$N$27+1,20,24,28,32,36,40),0)/100)))))/Skills!H8,1)))/Inputs!$B$43),G2509*Q2509))*IF(Inputs!$B$38="pvp",1,(1+(Inputs!$B$21+Skills!Q8+(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Skills!A9</f>
        <v/>
      </c>
      <c r="B2510">
        <f>Skills!B9</f>
        <v/>
      </c>
      <c r="C2510">
        <f>Inputs!$B$3&gt;=120</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B2542</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2521=TRUE)*(F2521-Calc!F20)),(Inputs!$B$23+0+(IF(ArtifactsInput!$M$15,CHOOSE(ArtifactsInput!$N$15+1,25,30,35,40,45,50)/100*(Inputs!$B$11-Inputs!$B$11),0))))/100+(Inputs!$B$23+0+(IF(ArtifactsInput!$M$15,CHOOSE(ArtifactsInput!$N$15+1,25,30,35,40,45,50)/100*(Inputs!$B$11-Inputs!$B$11),0)))/100)/2</f>
        <v/>
      </c>
      <c r="M2510">
        <f>L2510*(1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IF(B2540=0,0,O2510/B2540)</f>
        <v/>
      </c>
      <c r="Q2510">
        <f>IFERROR(1/(IF(Inputs!$B$38="pvp",15,MAX(0.1,Skills!D9-IF(TRUE=TRUE,Inputs!$B$32,0)))*(1-IF(AND(ArtifactsInput!$M$27,Inputs!$B$4="Chapter Hunt"),CHOOSE(ArtifactsInput!$N$27+1,20,24,28,32,36,40),0)/100)),0)</f>
        <v/>
      </c>
      <c r="R2510">
        <f>IF(AND(Inputs!$B$38&lt;&gt;"pvp",Inputs!$B$43&gt;0),IF(MAX(0,Inputs!$B$43-B2537)&lt;=0,0,(INT(MAX(0,Inputs!$B$43-B2537)/(IF(Inputs!$B$38="pvp",15,MAX(0.1,Skills!D9-IF(TRUE=TRUE,Inputs!$B$32,0)))*(1-IF(AND(ArtifactsInput!$M$27,Inputs!$B$4="Chapter Hunt"),CHOOSE(ArtifactsInput!$N$27+1,20,24,28,32,36,40),0)/100)))+1)),0)</f>
        <v/>
      </c>
      <c r="S2510">
        <f>IFERROR(O2510/N2510,0)</f>
        <v/>
      </c>
      <c r="T2510">
        <f>IF(C2510,(H2510*N2510*IF(AND(Inputs!$B$38&lt;&gt;"pvp",Inputs!$B$43&gt;0),((Skills!G9*((R2510-1)*IF(Skills!H9&gt;0,Skills!I9/Skills!H9,1)+IF(Skills!H9&gt;0,MIN(Skills!I9,MAX(0,MAX(0,Inputs!$B$43-B2537)-((R2510-1)*(IF(Inputs!$B$38="pvp",15,MAX(0.1,Skills!D9-IF(TRUE=TRUE,Inputs!$B$32,0)))*(1-IF(AND(ArtifactsInput!$M$27,Inputs!$B$4="Chapter Hunt"),CHOOSE(ArtifactsInput!$N$27+1,20,24,28,32,36,40),0)/100)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2537)-((R2510-1)*(IF(Inputs!$B$38="pvp",15,MAX(0.1,Skills!D9-IF(TRUE=TRUE,Inputs!$B$32,0)))*(1-IF(AND(ArtifactsInput!$M$27,Inputs!$B$4="Chapter Hunt"),CHOOSE(ArtifactsInput!$N$27+1,20,24,28,32,36,40),0)/100)))))/Skills!H9,1)))/Inputs!$B$43),G2510*Q2510))*IF(Inputs!$B$38="pvp",1,(1+(Inputs!$B$21+Skills!Q9+(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Inputs!$B$3&gt;=105</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2521=TRUE)*(F2521-Calc!F20)),(Inputs!$B$23+0+(IF(ArtifactsInput!$M$15,CHOOSE(ArtifactsInput!$N$15+1,25,30,35,40,45,50)/100*(Inputs!$B$11-Inputs!$B$11),0))))/100+(Inputs!$B$23+0+(IF(ArtifactsInput!$M$15,CHOOSE(ArtifactsInput!$N$15+1,25,30,35,40,45,50)/100*(Inputs!$B$11-Inputs!$B$11),0)))/100)/2</f>
        <v/>
      </c>
      <c r="M2511">
        <f>L2511*(1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IF(B2540=0,0,O2511/B2540)</f>
        <v/>
      </c>
      <c r="Q2511">
        <f>IFERROR(1/(IF(Inputs!$B$38="pvp",15,MAX(0.1,Skills!D10-IF(TRUE=TRUE,Inputs!$B$32,0)))*(1-IF(AND(ArtifactsInput!$M$27,Inputs!$B$4="Chapter Hunt"),CHOOSE(ArtifactsInput!$N$27+1,20,24,28,32,36,40),0)/100)),0)</f>
        <v/>
      </c>
      <c r="R2511">
        <f>IF(AND(Inputs!$B$38&lt;&gt;"pvp",Inputs!$B$43&gt;0),IF(MAX(0,Inputs!$B$43-B2537)&lt;=0,0,(INT(MAX(0,Inputs!$B$43-B2537)/(IF(Inputs!$B$38="pvp",15,MAX(0.1,Skills!D10-IF(TRUE=TRUE,Inputs!$B$32,0)))*(1-IF(AND(ArtifactsInput!$M$27,Inputs!$B$4="Chapter Hunt"),CHOOSE(ArtifactsInput!$N$27+1,20,24,28,32,36,40),0)/100)))+1)),0)</f>
        <v/>
      </c>
      <c r="S2511">
        <f>IFERROR(O2511/N2511,0)</f>
        <v/>
      </c>
      <c r="T2511">
        <f>IF(C2511,(H2511*N2511*IF(AND(Inputs!$B$38&lt;&gt;"pvp",Inputs!$B$43&gt;0),((Skills!G10*((R2511-1)*IF(Skills!H10&gt;0,Skills!I10/Skills!H10,1)+IF(Skills!H10&gt;0,MIN(Skills!I10,MAX(0,MAX(0,Inputs!$B$43-B2537)-((R2511-1)*(IF(Inputs!$B$38="pvp",15,MAX(0.1,Skills!D10-IF(TRUE=TRUE,Inputs!$B$32,0)))*(1-IF(AND(ArtifactsInput!$M$27,Inputs!$B$4="Chapter Hunt"),CHOOSE(ArtifactsInput!$N$27+1,20,24,28,32,36,40),0)/100)))))/Skills!H10,1)))/Inputs!$B$43),G2511*Q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10*((R2511-1)*IF(Skills!H10&gt;0,Skills!I10/Skills!H10,1)+IF(Skills!H10&gt;0,MIN(Skills!I10,MAX(0,MAX(0,Inputs!$B$43-B2537)-((R2511-1)*(IF(Inputs!$B$38="pvp",15,MAX(0.1,Skills!D10-IF(TRUE=TRUE,Inputs!$B$32,0)))*(1-IF(AND(ArtifactsInput!$M$27,Inputs!$B$4="Chapter Hunt"),CHOOSE(ArtifactsInput!$N$27+1,20,24,28,32,36,40),0)/100)))))/Skills!H10,1)))/Inputs!$B$43),G2511*Q2511))*IF(Inputs!$B$38="pvp",1,(1+(Inputs!$B$21+Skills!Q10+(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Inputs!$B$3&gt;=113</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2521=TRUE)*(F2521-Calc!F20)),(Inputs!$B$23+0+(IF(ArtifactsInput!$M$15,CHOOSE(ArtifactsInput!$N$15+1,25,30,35,40,45,50)/100*(Inputs!$B$11-Inputs!$B$11),0))))/100+(Inputs!$B$23+0+(IF(ArtifactsInput!$M$15,CHOOSE(ArtifactsInput!$N$15+1,25,30,35,40,45,50)/100*(Inputs!$B$11-Inputs!$B$11),0)))/100)/2</f>
        <v/>
      </c>
      <c r="M2512">
        <f>L2512*(1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IF(B2540=0,0,O2512/B2540)</f>
        <v/>
      </c>
      <c r="Q2512" t="n">
        <v>0</v>
      </c>
      <c r="R2512" t="n">
        <v>0</v>
      </c>
      <c r="S2512">
        <f>IFERROR(O2512/N2512,0)</f>
        <v/>
      </c>
      <c r="T2512">
        <f>IF(C2512,((H2512*B2543)/(1+Skills!H11*H2512*B2543)*N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IF(C2512,((H2512*B2543)/(1+Skills!H11*H2512*B2543)*N2512)*IF(Inputs!$B$38="pvp",1,(1+(Inputs!$B$21+Skills!Q11+(IF(ArtifactsInput!$M$33,CHOOSE(ArtifactsInput!$N$33+1,30,36,42,48,54,60),0))+(IF(AND(IF(ArtifactsInput!$M$35,FALSE,TRUE),Inputs!$B$4&lt;&gt;"Chapter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Inputs!$B$3&gt;=100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T2513" t="inlineStr"/>
      <c r="V2513" t="inlineStr"/>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IF(B2540=0,0,O2514/B2540)</f>
        <v/>
      </c>
      <c r="Q2514" t="n">
        <v>0</v>
      </c>
      <c r="R2514" t="n">
        <v>0</v>
      </c>
      <c r="S2514">
        <f>IFERROR(O2514/N2514,0)</f>
        <v/>
      </c>
      <c r="T2514" t="n">
        <v>0</v>
      </c>
      <c r="V2514" t="n">
        <v>0</v>
      </c>
    </row>
    <row r="2515">
      <c r="A2515">
        <f>Skills!A14</f>
        <v/>
      </c>
      <c r="B2515">
        <f>Skills!B14</f>
        <v/>
      </c>
      <c r="C2515">
        <f>Inputs!$B$3&gt;=115</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IF(B2540=0,0,O2515/B2540)</f>
        <v/>
      </c>
      <c r="Q2515">
        <f>IFERROR(1/(IF(Inputs!$B$38="pvp",15,MAX(0.1,Skills!D14-IF(TRUE=TRUE,Inputs!$B$32,0)))*(1-IF(AND(ArtifactsInput!$M$27,Inputs!$B$4="Chapter Hunt"),CHOOSE(ArtifactsInput!$N$27+1,20,24,28,32,36,40),0)/100)),0)</f>
        <v/>
      </c>
      <c r="R2515">
        <f>IF(AND(Inputs!$B$38&lt;&gt;"pvp",Inputs!$B$43&gt;0),IF(Inputs!$B$43&lt;=0,0,(INT(Inputs!$B$43/(IF(Inputs!$B$38="pvp",15,MAX(0.1,Skills!D14-IF(TRUE=TRUE,Inputs!$B$32,0)))*(1-IF(AND(ArtifactsInput!$M$27,Inputs!$B$4="Chapter Hunt"),CHOOSE(ArtifactsInput!$N$27+1,20,24,28,32,36,40),0)/100)))+1)),0)</f>
        <v/>
      </c>
      <c r="S2515">
        <f>IFERROR(O2515/N2515,0)</f>
        <v/>
      </c>
      <c r="T2515" t="n">
        <v>0</v>
      </c>
      <c r="V2515" t="n">
        <v>0</v>
      </c>
    </row>
    <row r="2516">
      <c r="A2516">
        <f>Skills!A15</f>
        <v/>
      </c>
      <c r="B2516">
        <f>Skills!B15</f>
        <v/>
      </c>
      <c r="C2516">
        <f>Inputs!$B$3&gt;=125</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IF(B2540=0,0,O2516/B2540)</f>
        <v/>
      </c>
      <c r="Q2516">
        <f>IFERROR(1/(IF(Inputs!$B$38="pvp",15,MAX(0.1,Skills!D15-IF(TRUE=TRUE,Inputs!$B$32,0)))*(1-IF(AND(ArtifactsInput!$M$27,Inputs!$B$4="Chapter Hunt"),CHOOSE(ArtifactsInput!$N$27+1,20,24,28,32,36,40),0)/100)),0)</f>
        <v/>
      </c>
      <c r="R2516">
        <f>IF(AND(Inputs!$B$38&lt;&gt;"pvp",Inputs!$B$43&gt;0),IF(Inputs!$B$43&lt;=0,0,(INT(Inputs!$B$43/(IF(Inputs!$B$38="pvp",15,MAX(0.1,Skills!D15-IF(TRUE=TRUE,Inputs!$B$32,0)))*(1-IF(AND(ArtifactsInput!$M$27,Inputs!$B$4="Chapter Hunt"),CHOOSE(ArtifactsInput!$N$27+1,20,24,28,32,36,40),0)/100)))+1)),0)</f>
        <v/>
      </c>
      <c r="S2516">
        <f>IFERROR(O2516/N2516,0)</f>
        <v/>
      </c>
      <c r="T2516" t="n">
        <v>0</v>
      </c>
      <c r="V2516" t="n">
        <v>0</v>
      </c>
    </row>
    <row r="2517">
      <c r="A2517">
        <f>Skills!A16</f>
        <v/>
      </c>
      <c r="B2517">
        <f>Skills!B16</f>
        <v/>
      </c>
      <c r="C2517">
        <f>Inputs!$B$3&gt;=10</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IF(B2540=0,0,O2517/B2540)</f>
        <v/>
      </c>
      <c r="Q2517" t="n">
        <v>0</v>
      </c>
      <c r="R2517" t="n">
        <v>0</v>
      </c>
      <c r="S2517">
        <f>IFERROR(O2517/N2517,0)</f>
        <v/>
      </c>
      <c r="T2517" t="n">
        <v>0</v>
      </c>
      <c r="V2517" t="n">
        <v>0</v>
      </c>
    </row>
    <row r="2518">
      <c r="A2518">
        <f>Skills!A17</f>
        <v/>
      </c>
      <c r="B2518">
        <f>Skills!B17</f>
        <v/>
      </c>
      <c r="C2518">
        <f>Inputs!$B$3&gt;=15</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IF(B2540=0,0,O2518/B2540)</f>
        <v/>
      </c>
      <c r="Q2518" t="n">
        <v>0</v>
      </c>
      <c r="R2518" t="n">
        <v>0</v>
      </c>
      <c r="S2518">
        <f>IFERROR(O2518/N2518,0)</f>
        <v/>
      </c>
      <c r="T2518" t="n">
        <v>0</v>
      </c>
      <c r="V2518" t="n">
        <v>0</v>
      </c>
    </row>
    <row r="2519">
      <c r="A2519">
        <f>Skills!A18</f>
        <v/>
      </c>
      <c r="B2519">
        <f>Skills!B18</f>
        <v/>
      </c>
      <c r="C2519">
        <f>Inputs!$B$3&gt;=33</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IF(B2540=0,0,O2519/B2540)</f>
        <v/>
      </c>
      <c r="Q2519" t="n">
        <v>0</v>
      </c>
      <c r="R2519" t="n">
        <v>0</v>
      </c>
      <c r="S2519">
        <f>IFERROR(O2519/N2519,0)</f>
        <v/>
      </c>
      <c r="T2519" t="n">
        <v>0</v>
      </c>
      <c r="V2519" t="n">
        <v>0</v>
      </c>
    </row>
    <row r="2520">
      <c r="A2520">
        <f>Skills!A19</f>
        <v/>
      </c>
      <c r="B2520">
        <f>Skills!B19</f>
        <v/>
      </c>
      <c r="C2520">
        <f>Inputs!$B$3&gt;=40</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IF(B2540=0,0,O2520/B2540)</f>
        <v/>
      </c>
      <c r="Q2520" t="n">
        <v>0</v>
      </c>
      <c r="R2520" t="n">
        <v>0</v>
      </c>
      <c r="S2520">
        <f>IFERROR(O2520/N2520,0)</f>
        <v/>
      </c>
      <c r="T2520" t="n">
        <v>0</v>
      </c>
      <c r="V2520" t="n">
        <v>0</v>
      </c>
    </row>
    <row r="2521">
      <c r="A2521">
        <f>Skills!A20</f>
        <v/>
      </c>
      <c r="B2521">
        <f>Skills!B20</f>
        <v/>
      </c>
      <c r="C2521">
        <f>Inputs!$B$3&gt;=43</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IF(B2540=0,0,O2521/B2540)</f>
        <v/>
      </c>
      <c r="Q2521" t="n">
        <v>0</v>
      </c>
      <c r="R2521" t="n">
        <v>0</v>
      </c>
      <c r="S2521">
        <f>IFERROR(O2521/N2521,0)</f>
        <v/>
      </c>
      <c r="T2521" t="n">
        <v>0</v>
      </c>
      <c r="V2521" t="n">
        <v>0</v>
      </c>
    </row>
    <row r="2522">
      <c r="A2522">
        <f>Skills!A21</f>
        <v/>
      </c>
      <c r="B2522">
        <f>Skills!B21</f>
        <v/>
      </c>
      <c r="C2522">
        <f>Inputs!$B$3&gt;=38</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IF(B2540=0,0,O2522/B2540)</f>
        <v/>
      </c>
      <c r="Q2522" t="n">
        <v>0</v>
      </c>
      <c r="R2522" t="n">
        <v>0</v>
      </c>
      <c r="S2522">
        <f>IFERROR(O2522/N2522,0)</f>
        <v/>
      </c>
      <c r="T2522" t="n">
        <v>0</v>
      </c>
      <c r="V2522" t="n">
        <v>0</v>
      </c>
    </row>
    <row r="2523">
      <c r="A2523">
        <f>Skills!A22</f>
        <v/>
      </c>
      <c r="B2523">
        <f>Skills!B22</f>
        <v/>
      </c>
      <c r="C2523">
        <f>Inputs!$B$3&gt;=75</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IF(B2540=0,0,O2523/B2540)</f>
        <v/>
      </c>
      <c r="Q2523" t="n">
        <v>0</v>
      </c>
      <c r="R2523" t="n">
        <v>0</v>
      </c>
      <c r="S2523">
        <f>IFERROR(O2523/N2523,0)</f>
        <v/>
      </c>
      <c r="T2523" t="n">
        <v>0</v>
      </c>
      <c r="V2523" t="n">
        <v>0</v>
      </c>
    </row>
    <row r="2524">
      <c r="A2524">
        <f>Skills!A23</f>
        <v/>
      </c>
      <c r="B2524">
        <f>Skills!B23</f>
        <v/>
      </c>
      <c r="C2524">
        <f>TRUE</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IF(B2540=0,0,O2524/B2540)</f>
        <v/>
      </c>
      <c r="Q2524">
        <f>IFERROR(1/(IF(Inputs!$B$38="pvp",15,MAX(0.1,Skills!D23-IF(TRUE=TRUE,Inputs!$B$32,0)))*(1-IF(AND(ArtifactsInput!$M$27,Inputs!$B$4="Chapter Hunt"),CHOOSE(ArtifactsInput!$N$27+1,20,24,28,32,36,40),0)/100)),0)</f>
        <v/>
      </c>
      <c r="R2524">
        <f>IF(AND(Inputs!$B$38&lt;&gt;"pvp",Inputs!$B$43&gt;0),IF(Inputs!$B$43&lt;=0,0,(INT(Inputs!$B$43/(IF(Inputs!$B$38="pvp",15,MAX(0.1,Skills!D23-IF(TRUE=TRUE,Inputs!$B$32,0)))*(1-IF(AND(ArtifactsInput!$M$27,Inputs!$B$4="Chapter Hunt"),CHOOSE(ArtifactsInput!$N$27+1,20,24,28,32,36,40),0)/100)))+1)),0)</f>
        <v/>
      </c>
      <c r="S2524">
        <f>IFERROR(O2524/N2524,0)</f>
        <v/>
      </c>
      <c r="T2524" t="n">
        <v>0</v>
      </c>
      <c r="V2524" t="n">
        <v>0</v>
      </c>
    </row>
    <row r="2525">
      <c r="A2525">
        <f>Skills!A24</f>
        <v/>
      </c>
      <c r="B2525">
        <f>Skills!B24</f>
        <v/>
      </c>
      <c r="C2525">
        <f>Inputs!$B$3&gt;=107</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IF(B2540=0,0,O2525/B2540)</f>
        <v/>
      </c>
      <c r="Q2525">
        <f>IFERROR(1/(IF(Inputs!$B$38="pvp",15,MAX(0.1,Skills!D24-IF(TRUE=TRUE,Inputs!$B$32,0)))*(1-IF(AND(ArtifactsInput!$M$27,Inputs!$B$4="Chapter Hunt"),CHOOSE(ArtifactsInput!$N$27+1,20,24,28,32,36,40),0)/100)),0)</f>
        <v/>
      </c>
      <c r="R2525">
        <f>IF(AND(Inputs!$B$38&lt;&gt;"pvp",Inputs!$B$43&gt;0),IF(Inputs!$B$43&lt;=0,0,(INT(Inputs!$B$43/(IF(Inputs!$B$38="pvp",15,MAX(0.1,Skills!D24-IF(TRUE=TRUE,Inputs!$B$32,0)))*(1-IF(AND(ArtifactsInput!$M$27,Inputs!$B$4="Chapter Hunt"),CHOOSE(ArtifactsInput!$N$27+1,20,24,28,32,36,40),0)/100)))+1)),0)</f>
        <v/>
      </c>
      <c r="S2525">
        <f>IFERROR(O2525/N2525,0)</f>
        <v/>
      </c>
      <c r="T2525" t="n">
        <v>0</v>
      </c>
      <c r="V2525" t="n">
        <v>0</v>
      </c>
    </row>
    <row r="2526">
      <c r="A2526">
        <f>Skills!A25</f>
        <v/>
      </c>
      <c r="B2526">
        <f>Skills!B25</f>
        <v/>
      </c>
      <c r="C2526">
        <f>Inputs!$B$3&gt;=110</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Skills!A26</f>
        <v/>
      </c>
      <c r="B2527">
        <f>Skills!B26</f>
        <v/>
      </c>
      <c r="C2527">
        <f>Inputs!$B$3&gt;=117</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t="inlineStr"/>
      <c r="H2527" t="inlineStr"/>
      <c r="I2527" t="inlineStr">
        <is>
          <t>1</t>
        </is>
      </c>
      <c r="J2527" t="inlineStr"/>
      <c r="K2527" t="inlineStr"/>
      <c r="L2527" t="inlineStr"/>
      <c r="M2527" t="inlineStr"/>
      <c r="N2527" t="inlineStr"/>
      <c r="O2527" t="inlineStr"/>
      <c r="P2527" t="inlineStr"/>
      <c r="Q2527" t="inlineStr"/>
      <c r="R2527" t="inlineStr"/>
      <c r="S2527" t="inlineStr"/>
      <c r="T2527" t="inlineStr"/>
      <c r="V2527" t="inlineStr"/>
    </row>
    <row r="2529">
      <c r="A2529" t="inlineStr">
        <is>
          <t>Attack% Bucket Multiplier</t>
        </is>
      </c>
      <c r="B2529">
        <f>(1+(((C2514=TRUE)*F2514*5/7)+((C2520=TRUE)*(F2520-Calc!F19))+(IF(ArtifactsInput!$M$21,CHOOSE(ArtifactsInput!$N$21+1,25,30,35,40,45,50)*(IF(OR(Inputs!$B$4="Chapter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0">
      <c r="A2530" t="inlineStr">
        <is>
          <t>Global Crit Rate Bonus %</t>
        </is>
      </c>
      <c r="B2530" t="n">
        <v>0</v>
      </c>
    </row>
    <row r="2531">
      <c r="A2531" t="inlineStr">
        <is>
          <t>Attack Speed Buff Bonus % (Nimble Feet + Speed Infusion, duty-cycle averaged)</t>
        </is>
      </c>
      <c r="B2531">
        <f>((C2524=TRUE)*F2524*IF(AND(Inputs!$B$38&lt;&gt;"pvp",Inputs!$B$43&gt;0),(((R2524-1)*MIN((Skills!T23*(1+Inputs!$B$34/100)),(1/Q2524))+MIN((Skills!T23*(1+Inputs!$B$34/100)),MAX(0,Inputs!$B$43-((R2524-1)*(1/Q2524)))))/Inputs!$B$43),IF(Inputs!$B$38="pvp",MIN((Skills!T23*(1+Inputs!$B$34/100)),15)/15,MIN(1,(Skills!T23*(1+Inputs!$B$34/100))/(1/Q2524)))))+((C2525=TRUE)*F2525*IF(AND(Inputs!$B$38&lt;&gt;"pvp",Inputs!$B$43&gt;0),(((R2525-1)*MIN((Skills!T24*(1+Inputs!$B$34/100)),(1/Q2525))+MIN((Skills!T24*(1+Inputs!$B$34/100)),MAX(0,Inputs!$B$43-((R2525-1)*(1/Q2525)))))/Inputs!$B$43),IF(Inputs!$B$38="pvp",MIN((Skills!T24*(1+Inputs!$B$34/100)),15)/15,MIN(1,(Skills!T24*(1+Inputs!$B$34/100))/(1/Q2525)))))</f>
        <v/>
      </c>
    </row>
    <row r="2532">
      <c r="A2532" t="inlineStr">
        <is>
          <t>Actions Per Second</t>
        </is>
      </c>
      <c r="B2532">
        <f>1+MIN(150,150*(1-(1-(Inputs!$B$11+((C2518=TRUE)*(F2518-Calc!F17))+((C2519=TRUE)*(F2519-Calc!F18)))/150)*(1-B2531/150)))/100</f>
        <v/>
      </c>
    </row>
    <row r="2533">
      <c r="A2533" t="inlineStr">
        <is>
          <t>Skill + Buff Cast Rate</t>
        </is>
      </c>
      <c r="B2533">
        <f>IF(AND(Inputs!$B$38&lt;&gt;"pvp",Inputs!$B$43&gt;0),SUMPRODUCT((Skills!E2:E26=TRUE)*(C2503:C2527=TRUE)*R2503:R2527*Skills!F2:F26)/Inputs!$B$43,SUMPRODUCT((Skills!E2:E26=TRUE)*(C2503:C2527=TRUE)*Q2503:Q2527*Skills!F2:F26))</f>
        <v/>
      </c>
    </row>
    <row r="2534">
      <c r="A2534" t="inlineStr">
        <is>
          <t>Hook Bomber Casts Per Second</t>
        </is>
      </c>
      <c r="B2534">
        <f>MAX(0,B2532-B2533)</f>
        <v/>
      </c>
    </row>
    <row r="2535">
      <c r="A2535" t="inlineStr">
        <is>
          <t>Global Critical Damage Bonus % (unused)</t>
        </is>
      </c>
      <c r="B2535" t="n">
        <v>0</v>
      </c>
    </row>
    <row r="2536">
      <c r="A2536" t="inlineStr">
        <is>
          <t>Global Final Damage Bonus % (Serpent Scale + Crossbones + Time Leap + Speed Infusion)</t>
        </is>
      </c>
      <c r="B2536">
        <f>((C2506=TRUE)*(F2506*B2542+4*(1-B2542)))+((C2515=TRUE)*F2515*IF(AND(Inputs!$B$38&lt;&gt;"pvp",Inputs!$B$43&gt;0),(((R2515-1)*MIN((Skills!T14*(1+Inputs!$B$34/100)),(1/Q2515))+MIN((Skills!T14*(1+Inputs!$B$34/100)),MAX(0,Inputs!$B$43-((R2515-1)*(1/Q2515)))))/Inputs!$B$43),IF(Inputs!$B$38="pvp",MIN((Skills!T14*(1+Inputs!$B$34/100)),15)/15,MIN(1,(Skills!T14*(1+Inputs!$B$34/100))/(1/Q2515)))))+((C2516=TRUE)*F2516*IF(AND(Inputs!$B$38&lt;&gt;"pvp",Inputs!$B$43&gt;0),(((R2516-1)*MIN((Skills!T15*(1+Inputs!$B$34/100)),(1/Q2516))+MIN((Skills!T15*(1+Inputs!$B$34/100)),MAX(0,Inputs!$B$43-((R2516-1)*(1/Q2516)))))/Inputs!$B$43),IF(Inputs!$B$38="pvp",MIN((Skills!T15*(1+Inputs!$B$34/100)),15)/15,MIN(1,(Skills!T15*(1+Inputs!$B$34/100))/(1/Q2516)))))+((C2525=TRUE)*20*((1+MIN(150,150*(1-(1-(Inputs!$B$11+((C2518=TRUE)*(F2518-Calc!F17))+((C2519=TRUE)*(F2519-Calc!F18)))/150)*(1-(((C2524=TRUE)*F2524*IF(AND(Inputs!$B$38&lt;&gt;"pvp",Inputs!$B$43&gt;0),(((R2524-1)*MIN((Skills!T23*(1+Inputs!$B$34/100)),(1/Q2524))+MIN((Skills!T23*(1+Inputs!$B$34/100)),MAX(0,Inputs!$B$43-((R2524-1)*(1/Q2524)))))/Inputs!$B$43),IF(Inputs!$B$38="pvp",MIN((Skills!T23*(1+Inputs!$B$34/100)),15)/15,MIN(1,(Skills!T23*(1+Inputs!$B$34/100))/(1/Q2524)))))+F2525)/150)))/100)-1)*IF(AND(Inputs!$B$38&lt;&gt;"pvp",Inputs!$B$43&gt;0),(((R2525-1)*MIN((Skills!T24*(1+Inputs!$B$34/100)),(1/Q2525))+MIN((Skills!T24*(1+Inputs!$B$34/100)),MAX(0,Inputs!$B$43-((R2525-1)*(1/Q2525)))))/Inputs!$B$43),IF(Inputs!$B$38="pvp",MIN((Skills!T24*(1+Inputs!$B$34/100)),15)/15,MIN(1,(Skills!T24*(1+Inputs!$B$34/100))/(1/Q2525)))))</f>
        <v/>
      </c>
    </row>
    <row r="2537">
      <c r="A2537" t="inlineStr">
        <is>
          <t>Buff-Casting Startup Delay (s, fixed-duration only)</t>
        </is>
      </c>
      <c r="B2537">
        <f>IF(AND(Inputs!$B$38&lt;&gt;"pvp",Inputs!$B$43&gt;0),SUMPRODUCT((Skills!T2:T26&gt;0)*(Skills!E2:E26=TRUE)*(C2503:C2527=TRUE))/B2532,0)</f>
        <v/>
      </c>
    </row>
    <row r="2538">
      <c r="A2538" t="inlineStr">
        <is>
          <t>Boss-Only Total DPS (this block's swept value)</t>
        </is>
      </c>
      <c r="B2538">
        <f>SUM(T2503:T2527)</f>
        <v/>
      </c>
    </row>
    <row r="2539">
      <c r="A2539" t="inlineStr">
        <is>
          <t>Normal-Only Total DPS (this block's swept value)</t>
        </is>
      </c>
      <c r="B2539">
        <f>SUM(V2503:V2527)</f>
        <v/>
      </c>
    </row>
    <row r="2540">
      <c r="A2540" s="6" t="inlineStr">
        <is>
          <t>TOTAL DPS</t>
        </is>
      </c>
      <c r="B2540" s="6">
        <f>SUM(O2503:O2527)</f>
        <v/>
      </c>
    </row>
    <row r="2541">
      <c r="A2541" t="inlineStr">
        <is>
          <t>Serpent activation interval T (this block's own Hook Bomber rate)</t>
        </is>
      </c>
      <c r="B2541">
        <f>((1/Q2504)+IFERROR(0.5/B2534,0))</f>
        <v/>
      </c>
    </row>
    <row r="2542">
      <c r="A2542" t="inlineStr">
        <is>
          <t>Assault Mode uptime u (this block)</t>
        </is>
      </c>
      <c r="B2542">
        <f>IF(C2506=TRUE,(10+IF(Inputs!$B$3&gt;=94,5,0))/((10+IF(Inputs!$B$3&gt;=94,5,0))+IF(Inputs!$B$3&gt;=104,3,5)*B2541),0)</f>
        <v/>
      </c>
    </row>
    <row r="2543">
      <c r="A2543" t="inlineStr">
        <is>
          <t>Nautilus Strike - Final Attack trigger rate (this block's own Q/R)</t>
        </is>
      </c>
      <c r="B2543">
        <f>IF(AND(Inputs!$B$38&lt;&gt;"pvp",Inputs!$B$43&gt;0),(((C2507=TRUE)*R2507)+((C2508=TRUE)*R2508)+((C2511=TRUE)*R2511))/Inputs!$B$43,((C2507=TRUE)*Q2507)+((C2508=TRUE)*Q2508)+((C2511=TRUE)*Q2511))+B2534</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2566=TRUE)*(F2566-Calc!F20)),(Inputs!$B$23+0+(IF(ArtifactsInput!$M$15,CHOOSE(ArtifactsInput!$N$15+1,25,30,35,40,45,50)/100*(Inputs!$B$11-Inputs!$B$11),0))))/100+(Inputs!$B$23+0+(IF(ArtifactsInput!$M$15,CHOOSE(ArtifactsInput!$N$15+1,25,30,35,40,45,50)/100*(Inputs!$B$11-Inputs!$B$11),0)))/100)/2</f>
        <v/>
      </c>
      <c r="M2548">
        <f>L2548*(1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IF(B2585=0,0,O2548/B2585)</f>
        <v/>
      </c>
      <c r="Q2548" t="n">
        <v>0</v>
      </c>
      <c r="R2548" t="n">
        <v>0</v>
      </c>
      <c r="S2548">
        <f>IFERROR(O2548/N2548,0)</f>
        <v/>
      </c>
      <c r="T2548">
        <f>IF(C2548,(Skills!G2*N2548*B2579)*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IF(C2548,(Skills!G2*N2548*B2579)*IF(Inputs!$B$38="pvp",1,(1+(Inputs!$B$21+Skills!Q2+(IF(ArtifactsInput!$M$33,CHOOSE(ArtifactsInput!$N$33+1,30,36,42,48,54,60),0))+(IF(AND(ArtifactsInput!$M$35,Inputs!$B$4&lt;&gt;"Chapter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Inputs!$B$3&gt;=35</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f>Skills!G3*IF(Skills!H3&gt;0,Skills!I3/Skills!H3,1)</f>
        <v/>
      </c>
      <c r="H2549">
        <f>1-(1-Skills!J3/100)^Skills!K3</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2571=TRUE,F2571,0)/100)*(1+(IF(Skills!A3="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2566=TRUE)*(F2566-Calc!F20)),(Inputs!$B$23+0+(IF(ArtifactsInput!$M$15,CHOOSE(ArtifactsInput!$N$15+1,25,30,35,40,45,50)/100*(Inputs!$B$11-Inputs!$B$11),0))))/100+(Inputs!$B$23+0+(IF(ArtifactsInput!$M$15,CHOOSE(ArtifactsInput!$N$15+1,25,30,35,40,45,50)/100*(Inputs!$B$11-Inputs!$B$11),0)))/100)/2</f>
        <v/>
      </c>
      <c r="M2549">
        <f>L2549*(1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IF(B2585=0,0,O2549/B2585)</f>
        <v/>
      </c>
      <c r="Q2549">
        <f>IFERROR(1/(IF(Inputs!$B$38="pvp",15,MAX(0.1,Skills!D3-IF(TRUE=TRUE,Inputs!$B$32,0)))*(1-IF(AND(ArtifactsInput!$M$27,Inputs!$B$4="Chapter Hunt"),CHOOSE(ArtifactsInput!$N$27+1,20,24,28,32,36,40),0)/100)),0)</f>
        <v/>
      </c>
      <c r="R2549">
        <f>IF(AND(Inputs!$B$38&lt;&gt;"pvp",Inputs!$B$43&gt;0),IF(MAX(0,Inputs!$B$43-B2582)&lt;=0,0,(INT(MAX(0,Inputs!$B$43-B2582)/(IF(Inputs!$B$38="pvp",15,MAX(0.1,Skills!D3-IF(TRUE=TRUE,Inputs!$B$32,0)))*(1-IF(AND(ArtifactsInput!$M$27,Inputs!$B$4="Chapter Hunt"),CHOOSE(ArtifactsInput!$N$27+1,20,24,28,32,36,40),0)/100)))+1)),0)</f>
        <v/>
      </c>
      <c r="S2549">
        <f>IFERROR(O2549/N2549,0)</f>
        <v/>
      </c>
      <c r="T2549">
        <f>IF(C2549,(Skills!G3*N2549*IF(C2550=TRUE,1-B2587,1)/B2586)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INDEX(FactorTable!$B$2:$Y$301, MATCH(ROUND(MIN(300,MAX(1,U2548)),0), FactorTable!$A$2:$A$301,0), 22)</f>
        <v/>
      </c>
      <c r="V2549">
        <f>IF(C2549,(Skills!G3*N2549*IF(C2550=TRUE,1-B2587,1)/B2586)*IF(Inputs!$B$38="pvp",1,(1+(Inputs!$B$21+Skills!Q3+(IF(ArtifactsInput!$M$33,CHOOSE(ArtifactsInput!$N$33+1,30,36,42,48,54,60),0))+(IF(AND(ArtifactsInput!$M$35,Inputs!$B$4&lt;&gt;"Chapter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Skills!A4</f>
        <v/>
      </c>
      <c r="B2550">
        <f>Skills!B4</f>
        <v/>
      </c>
      <c r="C2550">
        <f>Inputs!$B$3&gt;=69</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f>Skills!G4*IF(Skills!H4&gt;0,Skills!I4/Skills!H4,1)</f>
        <v/>
      </c>
      <c r="H2550">
        <f>1-(1-Skills!J4/100)^Skills!K4</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2558=TRUE,F2558,0)/100)*(1+(IF(Skills!A4="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2566=TRUE)*(F2566-Calc!F20)),(Inputs!$B$23+0+(IF(ArtifactsInput!$M$15,CHOOSE(ArtifactsInput!$N$15+1,25,30,35,40,45,50)/100*(Inputs!$B$11-Inputs!$B$11),0))))/100+(Inputs!$B$23+0+(IF(ArtifactsInput!$M$15,CHOOSE(ArtifactsInput!$N$15+1,25,30,35,40,45,50)/100*(Inputs!$B$11-Inputs!$B$11),0)))/100)/2</f>
        <v/>
      </c>
      <c r="M2550">
        <f>L2550*(1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IF(B2585=0,0,O2550/B2585)</f>
        <v/>
      </c>
      <c r="Q2550" t="n">
        <v>0</v>
      </c>
      <c r="R2550" t="n">
        <v>0</v>
      </c>
      <c r="S2550">
        <f>IFERROR(O2550/N2550,0)</f>
        <v/>
      </c>
      <c r="T2550">
        <f>IF(C2550,(Skills!G4*N2550*B2587/B2586)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290*U2549/1000</f>
        <v/>
      </c>
      <c r="V2550">
        <f>IF(C2550,(Skills!G4*N2550*B2587/B2586)*IF(Inputs!$B$38="pvp",1,(1+(Inputs!$B$21+Skills!Q4+(IF(ArtifactsInput!$M$33,CHOOSE(ArtifactsInput!$N$33+1,30,36,42,48,54,60),0))+(IF(AND(ArtifactsInput!$M$35,Inputs!$B$4&lt;&gt;"Chapter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Skills!A5</f>
        <v/>
      </c>
      <c r="B2551">
        <f>Skills!B5</f>
        <v/>
      </c>
      <c r="C2551">
        <f>Inputs!$B$3&gt;=66</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t="inlineStr"/>
      <c r="K2551" t="inlineStr"/>
      <c r="L2551" t="inlineStr"/>
      <c r="M2551" t="inlineStr"/>
      <c r="N2551" t="inlineStr"/>
      <c r="O2551">
        <f>(1-Summary!$B$11)*T2551+Summary!$B$11*V2551</f>
        <v/>
      </c>
      <c r="P2551">
        <f>IF(B2585=0,0,O2551/B2585)</f>
        <v/>
      </c>
      <c r="Q2551" t="n">
        <v>0</v>
      </c>
      <c r="R2551" t="n">
        <v>0</v>
      </c>
      <c r="S2551">
        <f>IFERROR(O2551/N2551,0)</f>
        <v/>
      </c>
      <c r="T2551" t="n">
        <v>0</v>
      </c>
      <c r="V2551" t="n">
        <v>0</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2558=TRUE,F2558,0)/100)*(1+(IF(Skills!A6="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2566=TRUE)*(F2566-Calc!F20)),(Inputs!$B$23+0+(IF(ArtifactsInput!$M$15,CHOOSE(ArtifactsInput!$N$15+1,25,30,35,40,45,50)/100*(Inputs!$B$11-Inputs!$B$11),0))))/100+(Inputs!$B$23+0+(IF(ArtifactsInput!$M$15,CHOOSE(ArtifactsInput!$N$15+1,25,30,35,40,45,50)/100*(Inputs!$B$11-Inputs!$B$11),0)))/100)/2</f>
        <v/>
      </c>
      <c r="M2552">
        <f>L2552*(1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IF(B2585=0,0,O2552/B2585)</f>
        <v/>
      </c>
      <c r="Q2552">
        <f>IFERROR(1/(IF(Inputs!$B$38="pvp",15,MAX(0.1,Skills!D6-IF(TRUE=TRUE,Inputs!$B$32,0)))*(1-IF(AND(ArtifactsInput!$M$27,Inputs!$B$4="Chapter Hunt"),CHOOSE(ArtifactsInput!$N$27+1,20,24,28,32,36,40),0)/100)),0)</f>
        <v/>
      </c>
      <c r="R2552">
        <f>IF(AND(Inputs!$B$38&lt;&gt;"pvp",Inputs!$B$43&gt;0),IF(MAX(0,Inputs!$B$43-B2582)&lt;=0,0,(INT(MAX(0,Inputs!$B$43-B2582)/(IF(Inputs!$B$38="pvp",15,MAX(0.1,Skills!D6-IF(TRUE=TRUE,Inputs!$B$32,0)))*(1-IF(AND(ArtifactsInput!$M$27,Inputs!$B$4="Chapter Hunt"),CHOOSE(ArtifactsInput!$N$27+1,20,24,28,32,36,40),0)/100)))+1)),0)</f>
        <v/>
      </c>
      <c r="S2552">
        <f>IFERROR(O2552/N2552,0)</f>
        <v/>
      </c>
      <c r="T2552">
        <f>IF(C2552,(H2552*N2552*IF(AND(Inputs!$B$38&lt;&gt;"pvp",Inputs!$B$43&gt;0),((Skills!G6*((R2552-1)*IF(Skills!H6&gt;0,Skills!I6/Skills!H6,1)+IF(Skills!H6&gt;0,MIN(Skills!I6,MAX(0,MAX(0,Inputs!$B$43-B2582)-((R2552-1)*(IF(Inputs!$B$38="pvp",15,MAX(0.1,Skills!D6-IF(TRUE=TRUE,Inputs!$B$32,0)))*(1-IF(AND(ArtifactsInput!$M$27,Inputs!$B$4="Chapter Hunt"),CHOOSE(ArtifactsInput!$N$27+1,20,24,28,32,36,40),0)/100)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2582)-((R2552-1)*(IF(Inputs!$B$38="pvp",15,MAX(0.1,Skills!D6-IF(TRUE=TRUE,Inputs!$B$32,0)))*(1-IF(AND(ArtifactsInput!$M$27,Inputs!$B$4="Chapter Hunt"),CHOOSE(ArtifactsInput!$N$27+1,20,24,28,32,36,40),0)/100)))))/Skills!H6,1)))/Inputs!$B$43),G2552*Q2552))*IF(Inputs!$B$38="pvp",1,(1+(Inputs!$B$21+Skills!Q6+(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Inputs!$B$3&gt;=103</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2566=TRUE)*(F2566-Calc!F20)),(Inputs!$B$23+0+(IF(ArtifactsInput!$M$15,CHOOSE(ArtifactsInput!$N$15+1,25,30,35,40,45,50)/100*(Inputs!$B$11-Inputs!$B$11),0))))/100+(Inputs!$B$23+0+(IF(ArtifactsInput!$M$15,CHOOSE(ArtifactsInput!$N$15+1,25,30,35,40,45,50)/100*(Inputs!$B$11-Inputs!$B$11),0)))/100)/2</f>
        <v/>
      </c>
      <c r="M2553">
        <f>L2553*(1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IF(B2585=0,0,O2553/B2585)</f>
        <v/>
      </c>
      <c r="Q2553">
        <f>IFERROR(1/(IF(Inputs!$B$38="pvp",15,MAX(0.1,Skills!D7-IF(TRUE=TRUE,Inputs!$B$32,0)))*(1-IF(AND(ArtifactsInput!$M$27,Inputs!$B$4="Chapter Hunt"),CHOOSE(ArtifactsInput!$N$27+1,20,24,28,32,36,40),0)/100)),0)</f>
        <v/>
      </c>
      <c r="R2553">
        <f>IF(AND(Inputs!$B$38&lt;&gt;"pvp",Inputs!$B$43&gt;0),IF(MAX(0,Inputs!$B$43-B2582)&lt;=0,0,(INT(MAX(0,Inputs!$B$43-B2582)/(IF(Inputs!$B$38="pvp",15,MAX(0.1,Skills!D7-IF(TRUE=TRUE,Inputs!$B$32,0)))*(1-IF(AND(ArtifactsInput!$M$27,Inputs!$B$4="Chapter Hunt"),CHOOSE(ArtifactsInput!$N$27+1,20,24,28,32,36,40),0)/100)))+1)),0)</f>
        <v/>
      </c>
      <c r="S2553">
        <f>IFERROR(O2553/N2553,0)</f>
        <v/>
      </c>
      <c r="T2553">
        <f>IF(C2553,(H2553*N2553*IF(AND(Inputs!$B$38&lt;&gt;"pvp",Inputs!$B$43&gt;0),((Skills!G7*((R2553-1)*IF(Skills!H7&gt;0,Skills!I7/Skills!H7,1)+IF(Skills!H7&gt;0,MIN(Skills!I7,MAX(0,MAX(0,Inputs!$B$43-B2582)-((R2553-1)*(IF(Inputs!$B$38="pvp",15,MAX(0.1,Skills!D7-IF(TRUE=TRUE,Inputs!$B$32,0)))*(1-IF(AND(ArtifactsInput!$M$27,Inputs!$B$4="Chapter Hunt"),CHOOSE(ArtifactsInput!$N$27+1,20,24,28,32,36,40),0)/100)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2582)-((R2553-1)*(IF(Inputs!$B$38="pvp",15,MAX(0.1,Skills!D7-IF(TRUE=TRUE,Inputs!$B$32,0)))*(1-IF(AND(ArtifactsInput!$M$27,Inputs!$B$4="Chapter Hunt"),CHOOSE(ArtifactsInput!$N$27+1,20,24,28,32,36,40),0)/100)))))/Skills!H7,1)))/Inputs!$B$43),G2553*Q2553))*IF(Inputs!$B$38="pvp",1,(1+(Inputs!$B$21+Skills!Q7+(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Inputs!$B$3&gt;=117</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f>Skills!G8*IF(Skills!H8&gt;0,Skills!I8/Skills!H8,1)</f>
        <v/>
      </c>
      <c r="H2554">
        <f>1-(1-Skills!J8/100)^Skills!K8</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2554)</f>
        <v/>
      </c>
      <c r="L2554">
        <f>K2554*(MIN(Inputs!$B$22+((C2566=TRUE)*(F2566-Calc!F20)),(Inputs!$B$23+0+(IF(ArtifactsInput!$M$15,CHOOSE(ArtifactsInput!$N$15+1,25,30,35,40,45,50)/100*(Inputs!$B$11-Inputs!$B$11),0))))/100+(Inputs!$B$23+0+(IF(ArtifactsInput!$M$15,CHOOSE(ArtifactsInput!$N$15+1,25,30,35,40,45,50)/100*(Inputs!$B$11-Inputs!$B$11),0)))/100)/2</f>
        <v/>
      </c>
      <c r="M2554">
        <f>L2554*(1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IF(B2585=0,0,O2554/B2585)</f>
        <v/>
      </c>
      <c r="Q2554">
        <f>IFERROR(1/(IF(Inputs!$B$38="pvp",15,MAX(0.1,Skills!D8-IF(TRUE=TRUE,Inputs!$B$32,0)))*(1-IF(AND(ArtifactsInput!$M$27,Inputs!$B$4="Chapter Hunt"),CHOOSE(ArtifactsInput!$N$27+1,20,24,28,32,36,40),0)/100)),0)</f>
        <v/>
      </c>
      <c r="R2554">
        <f>IF(AND(Inputs!$B$38&lt;&gt;"pvp",Inputs!$B$43&gt;0),IF(MAX(0,Inputs!$B$43-B2582)&lt;=0,0,(INT(MAX(0,Inputs!$B$43-B2582)/(IF(Inputs!$B$38="pvp",15,MAX(0.1,Skills!D8-IF(TRUE=TRUE,Inputs!$B$32,0)))*(1-IF(AND(ArtifactsInput!$M$27,Inputs!$B$4="Chapter Hunt"),CHOOSE(ArtifactsInput!$N$27+1,20,24,28,32,36,40),0)/100)))+1)),0)</f>
        <v/>
      </c>
      <c r="S2554">
        <f>IFERROR(O2554/N2554,0)</f>
        <v/>
      </c>
      <c r="T2554">
        <f>IF(C2554,(H2554*N2554*IF(AND(Inputs!$B$38&lt;&gt;"pvp",Inputs!$B$43&gt;0),((Skills!G8*((R2554-1)*IF(Skills!H8&gt;0,Skills!I8/Skills!H8,1)+IF(Skills!H8&gt;0,MIN(Skills!I8,MAX(0,MAX(0,Inputs!$B$43-B2582)-((R2554-1)*(IF(Inputs!$B$38="pvp",15,MAX(0.1,Skills!D8-IF(TRUE=TRUE,Inputs!$B$32,0)))*(1-IF(AND(ArtifactsInput!$M$27,Inputs!$B$4="Chapter Hunt"),CHOOSE(ArtifactsInput!$N$27+1,20,24,28,32,36,40),0)/100)))))/Skills!H8,1)))/Inputs!$B$43),G2554*Q2554)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2554*(1-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8*((R2554-1)*IF(Skills!H8&gt;0,Skills!I8/Skills!H8,1)+IF(Skills!H8&gt;0,MIN(Skills!I8,MAX(0,MAX(0,Inputs!$B$43-B2582)-((R2554-1)*(IF(Inputs!$B$38="pvp",15,MAX(0.1,Skills!D8-IF(TRUE=TRUE,Inputs!$B$32,0)))*(1-IF(AND(ArtifactsInput!$M$27,Inputs!$B$4="Chapter Hunt"),CHOOSE(ArtifactsInput!$N$27+1,20,24,28,32,36,40),0)/100)))))/Skills!H8,1)))/Inputs!$B$43),G2554*Q2554))*IF(Inputs!$B$38="pvp",1,(1+(Inputs!$B$21+Skills!Q8+(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Skills!A9</f>
        <v/>
      </c>
      <c r="B2555">
        <f>Skills!B9</f>
        <v/>
      </c>
      <c r="C2555">
        <f>Inputs!$B$3&gt;=120</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B2587</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2566=TRUE)*(F2566-Calc!F20)),(Inputs!$B$23+0+(IF(ArtifactsInput!$M$15,CHOOSE(ArtifactsInput!$N$15+1,25,30,35,40,45,50)/100*(Inputs!$B$11-Inputs!$B$11),0))))/100+(Inputs!$B$23+0+(IF(ArtifactsInput!$M$15,CHOOSE(ArtifactsInput!$N$15+1,25,30,35,40,45,50)/100*(Inputs!$B$11-Inputs!$B$11),0)))/100)/2</f>
        <v/>
      </c>
      <c r="M2555">
        <f>L2555*(1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IF(B2585=0,0,O2555/B2585)</f>
        <v/>
      </c>
      <c r="Q2555">
        <f>IFERROR(1/(IF(Inputs!$B$38="pvp",15,MAX(0.1,Skills!D9-IF(TRUE=TRUE,Inputs!$B$32,0)))*(1-IF(AND(ArtifactsInput!$M$27,Inputs!$B$4="Chapter Hunt"),CHOOSE(ArtifactsInput!$N$27+1,20,24,28,32,36,40),0)/100)),0)</f>
        <v/>
      </c>
      <c r="R2555">
        <f>IF(AND(Inputs!$B$38&lt;&gt;"pvp",Inputs!$B$43&gt;0),IF(MAX(0,Inputs!$B$43-B2582)&lt;=0,0,(INT(MAX(0,Inputs!$B$43-B2582)/(IF(Inputs!$B$38="pvp",15,MAX(0.1,Skills!D9-IF(TRUE=TRUE,Inputs!$B$32,0)))*(1-IF(AND(ArtifactsInput!$M$27,Inputs!$B$4="Chapter Hunt"),CHOOSE(ArtifactsInput!$N$27+1,20,24,28,32,36,40),0)/100)))+1)),0)</f>
        <v/>
      </c>
      <c r="S2555">
        <f>IFERROR(O2555/N2555,0)</f>
        <v/>
      </c>
      <c r="T2555">
        <f>IF(C2555,(H2555*N2555*IF(AND(Inputs!$B$38&lt;&gt;"pvp",Inputs!$B$43&gt;0),((Skills!G9*((R2555-1)*IF(Skills!H9&gt;0,Skills!I9/Skills!H9,1)+IF(Skills!H9&gt;0,MIN(Skills!I9,MAX(0,MAX(0,Inputs!$B$43-B2582)-((R2555-1)*(IF(Inputs!$B$38="pvp",15,MAX(0.1,Skills!D9-IF(TRUE=TRUE,Inputs!$B$32,0)))*(1-IF(AND(ArtifactsInput!$M$27,Inputs!$B$4="Chapter Hunt"),CHOOSE(ArtifactsInput!$N$27+1,20,24,28,32,36,40),0)/100)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2582)-((R2555-1)*(IF(Inputs!$B$38="pvp",15,MAX(0.1,Skills!D9-IF(TRUE=TRUE,Inputs!$B$32,0)))*(1-IF(AND(ArtifactsInput!$M$27,Inputs!$B$4="Chapter Hunt"),CHOOSE(ArtifactsInput!$N$27+1,20,24,28,32,36,40),0)/100)))))/Skills!H9,1)))/Inputs!$B$43),G2555*Q2555))*IF(Inputs!$B$38="pvp",1,(1+(Inputs!$B$21+Skills!Q9+(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Inputs!$B$3&gt;=105</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2566=TRUE)*(F2566-Calc!F20)),(Inputs!$B$23+0+(IF(ArtifactsInput!$M$15,CHOOSE(ArtifactsInput!$N$15+1,25,30,35,40,45,50)/100*(Inputs!$B$11-Inputs!$B$11),0))))/100+(Inputs!$B$23+0+(IF(ArtifactsInput!$M$15,CHOOSE(ArtifactsInput!$N$15+1,25,30,35,40,45,50)/100*(Inputs!$B$11-Inputs!$B$11),0)))/100)/2</f>
        <v/>
      </c>
      <c r="M2556">
        <f>L2556*(1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IF(B2585=0,0,O2556/B2585)</f>
        <v/>
      </c>
      <c r="Q2556">
        <f>IFERROR(1/(IF(Inputs!$B$38="pvp",15,MAX(0.1,Skills!D10-IF(TRUE=TRUE,Inputs!$B$32,0)))*(1-IF(AND(ArtifactsInput!$M$27,Inputs!$B$4="Chapter Hunt"),CHOOSE(ArtifactsInput!$N$27+1,20,24,28,32,36,40),0)/100)),0)</f>
        <v/>
      </c>
      <c r="R2556">
        <f>IF(AND(Inputs!$B$38&lt;&gt;"pvp",Inputs!$B$43&gt;0),IF(MAX(0,Inputs!$B$43-B2582)&lt;=0,0,(INT(MAX(0,Inputs!$B$43-B2582)/(IF(Inputs!$B$38="pvp",15,MAX(0.1,Skills!D10-IF(TRUE=TRUE,Inputs!$B$32,0)))*(1-IF(AND(ArtifactsInput!$M$27,Inputs!$B$4="Chapter Hunt"),CHOOSE(ArtifactsInput!$N$27+1,20,24,28,32,36,40),0)/100)))+1)),0)</f>
        <v/>
      </c>
      <c r="S2556">
        <f>IFERROR(O2556/N2556,0)</f>
        <v/>
      </c>
      <c r="T2556">
        <f>IF(C2556,(H2556*N2556*IF(AND(Inputs!$B$38&lt;&gt;"pvp",Inputs!$B$43&gt;0),((Skills!G10*((R2556-1)*IF(Skills!H10&gt;0,Skills!I10/Skills!H10,1)+IF(Skills!H10&gt;0,MIN(Skills!I10,MAX(0,MAX(0,Inputs!$B$43-B2582)-((R2556-1)*(IF(Inputs!$B$38="pvp",15,MAX(0.1,Skills!D10-IF(TRUE=TRUE,Inputs!$B$32,0)))*(1-IF(AND(ArtifactsInput!$M$27,Inputs!$B$4="Chapter Hunt"),CHOOSE(ArtifactsInput!$N$27+1,20,24,28,32,36,40),0)/100)))))/Skills!H10,1)))/Inputs!$B$43),G2556*Q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10*((R2556-1)*IF(Skills!H10&gt;0,Skills!I10/Skills!H10,1)+IF(Skills!H10&gt;0,MIN(Skills!I10,MAX(0,MAX(0,Inputs!$B$43-B2582)-((R2556-1)*(IF(Inputs!$B$38="pvp",15,MAX(0.1,Skills!D10-IF(TRUE=TRUE,Inputs!$B$32,0)))*(1-IF(AND(ArtifactsInput!$M$27,Inputs!$B$4="Chapter Hunt"),CHOOSE(ArtifactsInput!$N$27+1,20,24,28,32,36,40),0)/100)))))/Skills!H10,1)))/Inputs!$B$43),G2556*Q2556))*IF(Inputs!$B$38="pvp",1,(1+(Inputs!$B$21+Skills!Q10+(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Inputs!$B$3&gt;=113</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2566=TRUE)*(F2566-Calc!F20)),(Inputs!$B$23+0+(IF(ArtifactsInput!$M$15,CHOOSE(ArtifactsInput!$N$15+1,25,30,35,40,45,50)/100*(Inputs!$B$11-Inputs!$B$11),0))))/100+(Inputs!$B$23+0+(IF(ArtifactsInput!$M$15,CHOOSE(ArtifactsInput!$N$15+1,25,30,35,40,45,50)/100*(Inputs!$B$11-Inputs!$B$11),0)))/100)/2</f>
        <v/>
      </c>
      <c r="M2557">
        <f>L2557*(1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IF(B2585=0,0,O2557/B2585)</f>
        <v/>
      </c>
      <c r="Q2557" t="n">
        <v>0</v>
      </c>
      <c r="R2557" t="n">
        <v>0</v>
      </c>
      <c r="S2557">
        <f>IFERROR(O2557/N2557,0)</f>
        <v/>
      </c>
      <c r="T2557">
        <f>IF(C2557,((H2557*B2588)/(1+Skills!H11*H2557*B2588)*N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IF(C2557,((H2557*B2588)/(1+Skills!H11*H2557*B2588)*N2557)*IF(Inputs!$B$38="pvp",1,(1+(Inputs!$B$21+Skills!Q11+(IF(ArtifactsInput!$M$33,CHOOSE(ArtifactsInput!$N$33+1,30,36,42,48,54,60),0))+(IF(AND(ArtifactsInput!$M$35,Inputs!$B$4&lt;&gt;"Chapter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Inputs!$B$3&gt;=100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t="inlineStr"/>
      <c r="H2558" t="inlineStr"/>
      <c r="I2558" t="inlineStr">
        <is>
          <t>1</t>
        </is>
      </c>
      <c r="J2558" t="inlineStr"/>
      <c r="K2558" t="inlineStr"/>
      <c r="L2558" t="inlineStr"/>
      <c r="M2558" t="inlineStr"/>
      <c r="N2558" t="inlineStr"/>
      <c r="O2558" t="inlineStr"/>
      <c r="P2558" t="inlineStr"/>
      <c r="Q2558" t="inlineStr"/>
      <c r="R2558" t="inlineStr"/>
      <c r="S2558" t="inlineStr"/>
      <c r="T2558" t="inlineStr"/>
      <c r="V2558" t="inlineStr"/>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IF(B2585=0,0,O2559/B2585)</f>
        <v/>
      </c>
      <c r="Q2559" t="n">
        <v>0</v>
      </c>
      <c r="R2559" t="n">
        <v>0</v>
      </c>
      <c r="S2559">
        <f>IFERROR(O2559/N2559,0)</f>
        <v/>
      </c>
      <c r="T2559" t="n">
        <v>0</v>
      </c>
      <c r="V2559" t="n">
        <v>0</v>
      </c>
    </row>
    <row r="2560">
      <c r="A2560">
        <f>Skills!A14</f>
        <v/>
      </c>
      <c r="B2560">
        <f>Skills!B14</f>
        <v/>
      </c>
      <c r="C2560">
        <f>Inputs!$B$3&gt;=115</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IF(B2585=0,0,O2560/B2585)</f>
        <v/>
      </c>
      <c r="Q2560">
        <f>IFERROR(1/(IF(Inputs!$B$38="pvp",15,MAX(0.1,Skills!D14-IF(TRUE=TRUE,Inputs!$B$32,0)))*(1-IF(AND(ArtifactsInput!$M$27,Inputs!$B$4="Chapter Hunt"),CHOOSE(ArtifactsInput!$N$27+1,20,24,28,32,36,40),0)/100)),0)</f>
        <v/>
      </c>
      <c r="R2560">
        <f>IF(AND(Inputs!$B$38&lt;&gt;"pvp",Inputs!$B$43&gt;0),IF(Inputs!$B$43&lt;=0,0,(INT(Inputs!$B$43/(IF(Inputs!$B$38="pvp",15,MAX(0.1,Skills!D14-IF(TRUE=TRUE,Inputs!$B$32,0)))*(1-IF(AND(ArtifactsInput!$M$27,Inputs!$B$4="Chapter Hunt"),CHOOSE(ArtifactsInput!$N$27+1,20,24,28,32,36,40),0)/100)))+1)),0)</f>
        <v/>
      </c>
      <c r="S2560">
        <f>IFERROR(O2560/N2560,0)</f>
        <v/>
      </c>
      <c r="T2560" t="n">
        <v>0</v>
      </c>
      <c r="V2560" t="n">
        <v>0</v>
      </c>
    </row>
    <row r="2561">
      <c r="A2561">
        <f>Skills!A15</f>
        <v/>
      </c>
      <c r="B2561">
        <f>Skills!B15</f>
        <v/>
      </c>
      <c r="C2561">
        <f>Inputs!$B$3&gt;=125</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IF(B2585=0,0,O2561/B2585)</f>
        <v/>
      </c>
      <c r="Q2561">
        <f>IFERROR(1/(IF(Inputs!$B$38="pvp",15,MAX(0.1,Skills!D15-IF(TRUE=TRUE,Inputs!$B$32,0)))*(1-IF(AND(ArtifactsInput!$M$27,Inputs!$B$4="Chapter Hunt"),CHOOSE(ArtifactsInput!$N$27+1,20,24,28,32,36,40),0)/100)),0)</f>
        <v/>
      </c>
      <c r="R2561">
        <f>IF(AND(Inputs!$B$38&lt;&gt;"pvp",Inputs!$B$43&gt;0),IF(Inputs!$B$43&lt;=0,0,(INT(Inputs!$B$43/(IF(Inputs!$B$38="pvp",15,MAX(0.1,Skills!D15-IF(TRUE=TRUE,Inputs!$B$32,0)))*(1-IF(AND(ArtifactsInput!$M$27,Inputs!$B$4="Chapter Hunt"),CHOOSE(ArtifactsInput!$N$27+1,20,24,28,32,36,40),0)/100)))+1)),0)</f>
        <v/>
      </c>
      <c r="S2561">
        <f>IFERROR(O2561/N2561,0)</f>
        <v/>
      </c>
      <c r="T2561" t="n">
        <v>0</v>
      </c>
      <c r="V2561" t="n">
        <v>0</v>
      </c>
    </row>
    <row r="2562">
      <c r="A2562">
        <f>Skills!A16</f>
        <v/>
      </c>
      <c r="B2562">
        <f>Skills!B16</f>
        <v/>
      </c>
      <c r="C2562">
        <f>Inputs!$B$3&gt;=10</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IF(B2585=0,0,O2562/B2585)</f>
        <v/>
      </c>
      <c r="Q2562" t="n">
        <v>0</v>
      </c>
      <c r="R2562" t="n">
        <v>0</v>
      </c>
      <c r="S2562">
        <f>IFERROR(O2562/N2562,0)</f>
        <v/>
      </c>
      <c r="T2562" t="n">
        <v>0</v>
      </c>
      <c r="V2562" t="n">
        <v>0</v>
      </c>
    </row>
    <row r="2563">
      <c r="A2563">
        <f>Skills!A17</f>
        <v/>
      </c>
      <c r="B2563">
        <f>Skills!B17</f>
        <v/>
      </c>
      <c r="C2563">
        <f>Inputs!$B$3&gt;=15</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IF(B2585=0,0,O2563/B2585)</f>
        <v/>
      </c>
      <c r="Q2563" t="n">
        <v>0</v>
      </c>
      <c r="R2563" t="n">
        <v>0</v>
      </c>
      <c r="S2563">
        <f>IFERROR(O2563/N2563,0)</f>
        <v/>
      </c>
      <c r="T2563" t="n">
        <v>0</v>
      </c>
      <c r="V2563" t="n">
        <v>0</v>
      </c>
    </row>
    <row r="2564">
      <c r="A2564">
        <f>Skills!A18</f>
        <v/>
      </c>
      <c r="B2564">
        <f>Skills!B18</f>
        <v/>
      </c>
      <c r="C2564">
        <f>Inputs!$B$3&gt;=33</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IF(B2585=0,0,O2564/B2585)</f>
        <v/>
      </c>
      <c r="Q2564" t="n">
        <v>0</v>
      </c>
      <c r="R2564" t="n">
        <v>0</v>
      </c>
      <c r="S2564">
        <f>IFERROR(O2564/N2564,0)</f>
        <v/>
      </c>
      <c r="T2564" t="n">
        <v>0</v>
      </c>
      <c r="V2564" t="n">
        <v>0</v>
      </c>
    </row>
    <row r="2565">
      <c r="A2565">
        <f>Skills!A19</f>
        <v/>
      </c>
      <c r="B2565">
        <f>Skills!B19</f>
        <v/>
      </c>
      <c r="C2565">
        <f>Inputs!$B$3&gt;=40</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IF(B2585=0,0,O2565/B2585)</f>
        <v/>
      </c>
      <c r="Q2565" t="n">
        <v>0</v>
      </c>
      <c r="R2565" t="n">
        <v>0</v>
      </c>
      <c r="S2565">
        <f>IFERROR(O2565/N2565,0)</f>
        <v/>
      </c>
      <c r="T2565" t="n">
        <v>0</v>
      </c>
      <c r="V2565" t="n">
        <v>0</v>
      </c>
    </row>
    <row r="2566">
      <c r="A2566">
        <f>Skills!A20</f>
        <v/>
      </c>
      <c r="B2566">
        <f>Skills!B20</f>
        <v/>
      </c>
      <c r="C2566">
        <f>Inputs!$B$3&gt;=43</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IF(B2585=0,0,O2566/B2585)</f>
        <v/>
      </c>
      <c r="Q2566" t="n">
        <v>0</v>
      </c>
      <c r="R2566" t="n">
        <v>0</v>
      </c>
      <c r="S2566">
        <f>IFERROR(O2566/N2566,0)</f>
        <v/>
      </c>
      <c r="T2566" t="n">
        <v>0</v>
      </c>
      <c r="V2566" t="n">
        <v>0</v>
      </c>
    </row>
    <row r="2567">
      <c r="A2567">
        <f>Skills!A21</f>
        <v/>
      </c>
      <c r="B2567">
        <f>Skills!B21</f>
        <v/>
      </c>
      <c r="C2567">
        <f>Inputs!$B$3&gt;=38</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IF(B2585=0,0,O2567/B2585)</f>
        <v/>
      </c>
      <c r="Q2567" t="n">
        <v>0</v>
      </c>
      <c r="R2567" t="n">
        <v>0</v>
      </c>
      <c r="S2567">
        <f>IFERROR(O2567/N2567,0)</f>
        <v/>
      </c>
      <c r="T2567" t="n">
        <v>0</v>
      </c>
      <c r="V2567" t="n">
        <v>0</v>
      </c>
    </row>
    <row r="2568">
      <c r="A2568">
        <f>Skills!A22</f>
        <v/>
      </c>
      <c r="B2568">
        <f>Skills!B22</f>
        <v/>
      </c>
      <c r="C2568">
        <f>Inputs!$B$3&gt;=75</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IF(B2585=0,0,O2568/B2585)</f>
        <v/>
      </c>
      <c r="Q2568" t="n">
        <v>0</v>
      </c>
      <c r="R2568" t="n">
        <v>0</v>
      </c>
      <c r="S2568">
        <f>IFERROR(O2568/N2568,0)</f>
        <v/>
      </c>
      <c r="T2568" t="n">
        <v>0</v>
      </c>
      <c r="V2568" t="n">
        <v>0</v>
      </c>
    </row>
    <row r="2569">
      <c r="A2569">
        <f>Skills!A23</f>
        <v/>
      </c>
      <c r="B2569">
        <f>Skills!B23</f>
        <v/>
      </c>
      <c r="C2569">
        <f>TRUE</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IF(B2585=0,0,O2569/B2585)</f>
        <v/>
      </c>
      <c r="Q2569">
        <f>IFERROR(1/(IF(Inputs!$B$38="pvp",15,MAX(0.1,Skills!D23-IF(TRUE=TRUE,Inputs!$B$32,0)))*(1-IF(AND(ArtifactsInput!$M$27,Inputs!$B$4="Chapter Hunt"),CHOOSE(ArtifactsInput!$N$27+1,20,24,28,32,36,40),0)/100)),0)</f>
        <v/>
      </c>
      <c r="R2569">
        <f>IF(AND(Inputs!$B$38&lt;&gt;"pvp",Inputs!$B$43&gt;0),IF(Inputs!$B$43&lt;=0,0,(INT(Inputs!$B$43/(IF(Inputs!$B$38="pvp",15,MAX(0.1,Skills!D23-IF(TRUE=TRUE,Inputs!$B$32,0)))*(1-IF(AND(ArtifactsInput!$M$27,Inputs!$B$4="Chapter Hunt"),CHOOSE(ArtifactsInput!$N$27+1,20,24,28,32,36,40),0)/100)))+1)),0)</f>
        <v/>
      </c>
      <c r="S2569">
        <f>IFERROR(O2569/N2569,0)</f>
        <v/>
      </c>
      <c r="T2569" t="n">
        <v>0</v>
      </c>
      <c r="V2569" t="n">
        <v>0</v>
      </c>
    </row>
    <row r="2570">
      <c r="A2570">
        <f>Skills!A24</f>
        <v/>
      </c>
      <c r="B2570">
        <f>Skills!B24</f>
        <v/>
      </c>
      <c r="C2570">
        <f>Inputs!$B$3&gt;=107</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IF(B2585=0,0,O2570/B2585)</f>
        <v/>
      </c>
      <c r="Q2570">
        <f>IFERROR(1/(IF(Inputs!$B$38="pvp",15,MAX(0.1,Skills!D24-IF(TRUE=TRUE,Inputs!$B$32,0)))*(1-IF(AND(ArtifactsInput!$M$27,Inputs!$B$4="Chapter Hunt"),CHOOSE(ArtifactsInput!$N$27+1,20,24,28,32,36,40),0)/100)),0)</f>
        <v/>
      </c>
      <c r="R2570">
        <f>IF(AND(Inputs!$B$38&lt;&gt;"pvp",Inputs!$B$43&gt;0),IF(Inputs!$B$43&lt;=0,0,(INT(Inputs!$B$43/(IF(Inputs!$B$38="pvp",15,MAX(0.1,Skills!D24-IF(TRUE=TRUE,Inputs!$B$32,0)))*(1-IF(AND(ArtifactsInput!$M$27,Inputs!$B$4="Chapter Hunt"),CHOOSE(ArtifactsInput!$N$27+1,20,24,28,32,36,40),0)/100)))+1)),0)</f>
        <v/>
      </c>
      <c r="S2570">
        <f>IFERROR(O2570/N2570,0)</f>
        <v/>
      </c>
      <c r="T2570" t="n">
        <v>0</v>
      </c>
      <c r="V2570" t="n">
        <v>0</v>
      </c>
    </row>
    <row r="2571">
      <c r="A2571">
        <f>Skills!A25</f>
        <v/>
      </c>
      <c r="B2571">
        <f>Skills!B25</f>
        <v/>
      </c>
      <c r="C2571">
        <f>Inputs!$B$3&gt;=110</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t="inlineStr"/>
      <c r="H2571" t="inlineStr"/>
      <c r="I2571" t="inlineStr">
        <is>
          <t>1</t>
        </is>
      </c>
      <c r="J2571" t="inlineStr"/>
      <c r="K2571" t="inlineStr"/>
      <c r="L2571" t="inlineStr"/>
      <c r="M2571" t="inlineStr"/>
      <c r="N2571" t="inlineStr"/>
      <c r="O2571" t="inlineStr"/>
      <c r="P2571" t="inlineStr"/>
      <c r="Q2571" t="inlineStr"/>
      <c r="R2571" t="inlineStr"/>
      <c r="S2571" t="inlineStr"/>
      <c r="T2571" t="inlineStr"/>
      <c r="V2571" t="inlineStr"/>
    </row>
    <row r="2572">
      <c r="A2572">
        <f>Skills!A26</f>
        <v/>
      </c>
      <c r="B2572">
        <f>Skills!B26</f>
        <v/>
      </c>
      <c r="C2572">
        <f>Inputs!$B$3&gt;=117</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t="inlineStr"/>
      <c r="H2572" t="inlineStr"/>
      <c r="I2572" t="inlineStr">
        <is>
          <t>1</t>
        </is>
      </c>
      <c r="J2572" t="inlineStr"/>
      <c r="K2572" t="inlineStr"/>
      <c r="L2572" t="inlineStr"/>
      <c r="M2572" t="inlineStr"/>
      <c r="N2572" t="inlineStr"/>
      <c r="O2572" t="inlineStr"/>
      <c r="P2572" t="inlineStr"/>
      <c r="Q2572" t="inlineStr"/>
      <c r="R2572" t="inlineStr"/>
      <c r="S2572" t="inlineStr"/>
      <c r="T2572" t="inlineStr"/>
      <c r="V2572" t="inlineStr"/>
    </row>
    <row r="2574">
      <c r="A2574" t="inlineStr">
        <is>
          <t>Attack% Bucket Multiplier</t>
        </is>
      </c>
      <c r="B2574">
        <f>(1+(((C2559=TRUE)*F2559*5/7)+((C2565=TRUE)*(F2565-Calc!F19))+(IF(ArtifactsInput!$M$21,CHOOSE(ArtifactsInput!$N$21+1,25,30,35,40,45,50)*(IF(OR(Inputs!$B$4="Chapter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5">
      <c r="A2575" t="inlineStr">
        <is>
          <t>Global Crit Rate Bonus %</t>
        </is>
      </c>
      <c r="B2575" t="n">
        <v>0</v>
      </c>
    </row>
    <row r="2576">
      <c r="A2576" t="inlineStr">
        <is>
          <t>Attack Speed Buff Bonus % (Nimble Feet + Speed Infusion, duty-cycle averaged)</t>
        </is>
      </c>
      <c r="B2576">
        <f>((C2569=TRUE)*F2569*IF(AND(Inputs!$B$38&lt;&gt;"pvp",Inputs!$B$43&gt;0),(((R2569-1)*MIN((Skills!T23*(1+Inputs!$B$34/100)),(1/Q2569))+MIN((Skills!T23*(1+Inputs!$B$34/100)),MAX(0,Inputs!$B$43-((R2569-1)*(1/Q2569)))))/Inputs!$B$43),IF(Inputs!$B$38="pvp",MIN((Skills!T23*(1+Inputs!$B$34/100)),15)/15,MIN(1,(Skills!T23*(1+Inputs!$B$34/100))/(1/Q2569)))))+((C2570=TRUE)*F2570*IF(AND(Inputs!$B$38&lt;&gt;"pvp",Inputs!$B$43&gt;0),(((R2570-1)*MIN((Skills!T24*(1+Inputs!$B$34/100)),(1/Q2570))+MIN((Skills!T24*(1+Inputs!$B$34/100)),MAX(0,Inputs!$B$43-((R2570-1)*(1/Q2570)))))/Inputs!$B$43),IF(Inputs!$B$38="pvp",MIN((Skills!T24*(1+Inputs!$B$34/100)),15)/15,MIN(1,(Skills!T24*(1+Inputs!$B$34/100))/(1/Q2570)))))</f>
        <v/>
      </c>
    </row>
    <row r="2577">
      <c r="A2577" t="inlineStr">
        <is>
          <t>Actions Per Second</t>
        </is>
      </c>
      <c r="B2577">
        <f>1+MIN(150,150*(1-(1-(Inputs!$B$11+((C2563=TRUE)*(F2563-Calc!F17))+((C2564=TRUE)*(F2564-Calc!F18)))/150)*(1-B2576/150)))/100</f>
        <v/>
      </c>
    </row>
    <row r="2578">
      <c r="A2578" t="inlineStr">
        <is>
          <t>Skill + Buff Cast Rate</t>
        </is>
      </c>
      <c r="B2578">
        <f>IF(AND(Inputs!$B$38&lt;&gt;"pvp",Inputs!$B$43&gt;0),SUMPRODUCT((Skills!E2:E26=TRUE)*(C2548:C2572=TRUE)*R2548:R2572*Skills!F2:F26)/Inputs!$B$43,SUMPRODUCT((Skills!E2:E26=TRUE)*(C2548:C2572=TRUE)*Q2548:Q2572*Skills!F2:F26))</f>
        <v/>
      </c>
    </row>
    <row r="2579">
      <c r="A2579" t="inlineStr">
        <is>
          <t>Hook Bomber Casts Per Second</t>
        </is>
      </c>
      <c r="B2579">
        <f>MAX(0,B2577-B2578)</f>
        <v/>
      </c>
    </row>
    <row r="2580">
      <c r="A2580" t="inlineStr">
        <is>
          <t>Global Critical Damage Bonus % (unused)</t>
        </is>
      </c>
      <c r="B2580" t="n">
        <v>0</v>
      </c>
    </row>
    <row r="2581">
      <c r="A2581" t="inlineStr">
        <is>
          <t>Global Final Damage Bonus % (Serpent Scale + Crossbones + Time Leap + Speed Infusion)</t>
        </is>
      </c>
      <c r="B2581">
        <f>((C2551=TRUE)*(F2551*B2587+4*(1-B2587)))+((C2560=TRUE)*F2560*IF(AND(Inputs!$B$38&lt;&gt;"pvp",Inputs!$B$43&gt;0),(((R2560-1)*MIN((Skills!T14*(1+Inputs!$B$34/100)),(1/Q2560))+MIN((Skills!T14*(1+Inputs!$B$34/100)),MAX(0,Inputs!$B$43-((R2560-1)*(1/Q2560)))))/Inputs!$B$43),IF(Inputs!$B$38="pvp",MIN((Skills!T14*(1+Inputs!$B$34/100)),15)/15,MIN(1,(Skills!T14*(1+Inputs!$B$34/100))/(1/Q2560)))))+((C2561=TRUE)*F2561*IF(AND(Inputs!$B$38&lt;&gt;"pvp",Inputs!$B$43&gt;0),(((R2561-1)*MIN((Skills!T15*(1+Inputs!$B$34/100)),(1/Q2561))+MIN((Skills!T15*(1+Inputs!$B$34/100)),MAX(0,Inputs!$B$43-((R2561-1)*(1/Q2561)))))/Inputs!$B$43),IF(Inputs!$B$38="pvp",MIN((Skills!T15*(1+Inputs!$B$34/100)),15)/15,MIN(1,(Skills!T15*(1+Inputs!$B$34/100))/(1/Q2561)))))+((C2570=TRUE)*20*((1+MIN(150,150*(1-(1-(Inputs!$B$11+((C2563=TRUE)*(F2563-Calc!F17))+((C2564=TRUE)*(F2564-Calc!F18)))/150)*(1-(((C2569=TRUE)*F2569*IF(AND(Inputs!$B$38&lt;&gt;"pvp",Inputs!$B$43&gt;0),(((R2569-1)*MIN((Skills!T23*(1+Inputs!$B$34/100)),(1/Q2569))+MIN((Skills!T23*(1+Inputs!$B$34/100)),MAX(0,Inputs!$B$43-((R2569-1)*(1/Q2569)))))/Inputs!$B$43),IF(Inputs!$B$38="pvp",MIN((Skills!T23*(1+Inputs!$B$34/100)),15)/15,MIN(1,(Skills!T23*(1+Inputs!$B$34/100))/(1/Q2569)))))+F2570)/150)))/100)-1)*IF(AND(Inputs!$B$38&lt;&gt;"pvp",Inputs!$B$43&gt;0),(((R2570-1)*MIN((Skills!T24*(1+Inputs!$B$34/100)),(1/Q2570))+MIN((Skills!T24*(1+Inputs!$B$34/100)),MAX(0,Inputs!$B$43-((R2570-1)*(1/Q2570)))))/Inputs!$B$43),IF(Inputs!$B$38="pvp",MIN((Skills!T24*(1+Inputs!$B$34/100)),15)/15,MIN(1,(Skills!T24*(1+Inputs!$B$34/100))/(1/Q2570)))))</f>
        <v/>
      </c>
    </row>
    <row r="2582">
      <c r="A2582" t="inlineStr">
        <is>
          <t>Buff-Casting Startup Delay (s, fixed-duration only)</t>
        </is>
      </c>
      <c r="B2582">
        <f>IF(AND(Inputs!$B$38&lt;&gt;"pvp",Inputs!$B$43&gt;0),SUMPRODUCT((Skills!T2:T26&gt;0)*(Skills!E2:E26=TRUE)*(C2548:C2572=TRUE))/B2577,0)</f>
        <v/>
      </c>
    </row>
    <row r="2583">
      <c r="A2583" t="inlineStr">
        <is>
          <t>Boss-Only Total DPS (this block's swept value)</t>
        </is>
      </c>
      <c r="B2583">
        <f>SUM(T2548:T2572)</f>
        <v/>
      </c>
    </row>
    <row r="2584">
      <c r="A2584" t="inlineStr">
        <is>
          <t>Normal-Only Total DPS (this block's swept value)</t>
        </is>
      </c>
      <c r="B2584">
        <f>SUM(V2548:V2572)</f>
        <v/>
      </c>
    </row>
    <row r="2585">
      <c r="A2585" s="6" t="inlineStr">
        <is>
          <t>TOTAL DPS</t>
        </is>
      </c>
      <c r="B2585" s="6">
        <f>SUM(O2548:O2572)</f>
        <v/>
      </c>
    </row>
    <row r="2586">
      <c r="A2586" t="inlineStr">
        <is>
          <t>Serpent activation interval T (this block's own Hook Bomber rate)</t>
        </is>
      </c>
      <c r="B2586">
        <f>((1/Q2549)+IFERROR(0.5/B2579,0))</f>
        <v/>
      </c>
    </row>
    <row r="2587">
      <c r="A2587" t="inlineStr">
        <is>
          <t>Assault Mode uptime u (this block)</t>
        </is>
      </c>
      <c r="B2587">
        <f>IF(C2551=TRUE,(10+IF(Inputs!$B$3&gt;=94,5,0))/((10+IF(Inputs!$B$3&gt;=94,5,0))+IF(Inputs!$B$3&gt;=104,3,5)*B2586),0)</f>
        <v/>
      </c>
    </row>
    <row r="2588">
      <c r="A2588" t="inlineStr">
        <is>
          <t>Nautilus Strike - Final Attack trigger rate (this block's own Q/R)</t>
        </is>
      </c>
      <c r="B2588">
        <f>IF(AND(Inputs!$B$38&lt;&gt;"pvp",Inputs!$B$43&gt;0),(((C2552=TRUE)*R2552)+((C2553=TRUE)*R2553)+((C2556=TRUE)*R2556))/Inputs!$B$43,((C2552=TRUE)*Q2552)+((C2553=TRUE)*Q2553)+((C2556=TRUE)*Q2556))+B2579</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2611=TRUE)*(F2611-Calc!F20)),(Inputs!$B$23+0+(IF(ArtifactsInput!$M$15,CHOOSE(ArtifactsInput!$N$15+1,25,30,35,40,45,50)/100*(Inputs!$B$11-Inputs!$B$11),0))))/100+(Inputs!$B$23+0+(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Inputs!$B$3&gt;=35</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f>Skills!G3*IF(Skills!H3&gt;0,Skills!I3/Skills!H3,1)</f>
        <v/>
      </c>
      <c r="H2594">
        <f>1-(1-Skills!J3/100)^Skills!K3</f>
        <v/>
      </c>
      <c r="I2594" t="inlineStr">
        <is>
          <t>1</t>
        </is>
      </c>
      <c r="J2594">
        <f>((Inputs!$B$6*(1+Inputs!$B$7/100))+(((Inputs!$B$12*(1+Inputs!$B$13/100))-(Inputs!$B$12*(1+Inputs!$B$13/100)))+0.25*(Inputs!$B$14-Inputs!$B$14))*(1+Inputs!$B$7/100))*(F2594/100)</f>
        <v/>
      </c>
      <c r="K2594">
        <f>J2594*(1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3="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C2611=TRUE)*(F2611-Calc!F20)),(Inputs!$B$23+0+(IF(ArtifactsInput!$M$15,CHOOSE(ArtifactsInput!$N$15+1,25,30,35,40,45,50)/100*(Inputs!$B$11-Inputs!$B$11),0))))/100+(Inputs!$B$23+0+(IF(ArtifactsInput!$M$15,CHOOSE(ArtifactsInput!$N$15+1,25,30,35,40,45,50)/100*(Inputs!$B$11-Inputs!$B$11),0)))/100)/2</f>
        <v/>
      </c>
      <c r="M2594">
        <f>L2594*(1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(1-Summary!$B$11)*T2594+Summary!$B$11*V2594</f>
        <v/>
      </c>
      <c r="P2594">
        <f>IF(B2630=0,0,O2594/B2630)</f>
        <v/>
      </c>
      <c r="Q2594">
        <f>IFERROR(1/(IF(Inputs!$B$38="pvp",15,MAX(0.1,Skills!D3-IF(TRUE=TRUE,Inputs!$B$32,0)))*(1-IF(AND(ArtifactsInput!$M$27,Inputs!$B$4="Chapter Hunt"),CHOOSE(ArtifactsInput!$N$27+1,20,24,28,32,36,40),0)/100)),0)</f>
        <v/>
      </c>
      <c r="R2594">
        <f>IF(AND(Inputs!$B$38&lt;&gt;"pvp",Inputs!$B$43&gt;0),IF(MAX(0,Inputs!$B$43-B2627)&lt;=0,0,(INT(MAX(0,Inputs!$B$43-B2627)/(IF(Inputs!$B$38="pvp",15,MAX(0.1,Skills!D3-IF(TRUE=TRUE,Inputs!$B$32,0)))*(1-IF(AND(ArtifactsInput!$M$27,Inputs!$B$4="Chapter Hunt"),CHOOSE(ArtifactsInput!$N$27+1,20,24,28,32,36,40),0)/100)))+1)),0)</f>
        <v/>
      </c>
      <c r="S2594">
        <f>IFERROR(O2594/N2594,0)</f>
        <v/>
      </c>
      <c r="T2594">
        <f>IF(C2594,(Skills!G3*N2594*IF(C2595=TRUE,1-B2632,1)/B2631)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2594*(1-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INDEX(FactorTable!$B$2:$Y$301, MATCH(ROUND(MIN(300,MAX(1,U2593)),0), FactorTable!$A$2:$A$301,0), 22)</f>
        <v/>
      </c>
      <c r="V2594">
        <f>IF(C2594,(Skills!G3*N2594*IF(C2595=TRUE,1-B2632,1)/B2631)*IF(Inputs!$B$38="pvp",1,(1+(Inputs!$B$21+Skills!Q3+(IF(ArtifactsInput!$M$33,CHOOSE(ArtifactsInput!$N$33+1,30,36,42,48,54,60),0))+(IF(AND(ArtifactsInput!$M$35,Inputs!$B$4&lt;&gt;"Chapter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Skills!A4</f>
        <v/>
      </c>
      <c r="B2595">
        <f>Skills!B4</f>
        <v/>
      </c>
      <c r="C2595">
        <f>Inputs!$B$3&gt;=69</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f>Skills!G4*IF(Skills!H4&gt;0,Skills!I4/Skills!H4,1)</f>
        <v/>
      </c>
      <c r="H2595">
        <f>1-(1-Skills!J4/100)^Skills!K4</f>
        <v/>
      </c>
      <c r="I2595" t="inlineStr">
        <is>
          <t>1</t>
        </is>
      </c>
      <c r="J2595">
        <f>((Inputs!$B$6*(1+Inputs!$B$7/100))+(((Inputs!$B$12*(1+Inputs!$B$13/100))-(Inputs!$B$12*(1+Inputs!$B$13/100)))+0.25*(Inputs!$B$14-Inputs!$B$14))*(1+Inputs!$B$7/100))*(F2595/100)</f>
        <v/>
      </c>
      <c r="K2595">
        <f>J2595*(1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4="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2611=TRUE)*(F2611-Calc!F20)),(Inputs!$B$23+0+(IF(ArtifactsInput!$M$15,CHOOSE(ArtifactsInput!$N$15+1,25,30,35,40,45,50)/100*(Inputs!$B$11-Inputs!$B$11),0))))/100+(Inputs!$B$23+0+(IF(ArtifactsInput!$M$15,CHOOSE(ArtifactsInput!$N$15+1,25,30,35,40,45,50)/100*(Inputs!$B$11-Inputs!$B$11),0)))/100)/2</f>
        <v/>
      </c>
      <c r="M2595">
        <f>L2595*(1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IF(B2630=0,0,O2595/B2630)</f>
        <v/>
      </c>
      <c r="Q2595" t="n">
        <v>0</v>
      </c>
      <c r="R2595" t="n">
        <v>0</v>
      </c>
      <c r="S2595">
        <f>IFERROR(O2595/N2595,0)</f>
        <v/>
      </c>
      <c r="T2595">
        <f>IF(C2595,(Skills!G4*N2595*B2632/B2631)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290*U2594/1000</f>
        <v/>
      </c>
      <c r="V2595">
        <f>IF(C2595,(Skills!G4*N2595*B2632/B2631)*IF(Inputs!$B$38="pvp",1,(1+(Inputs!$B$21+Skills!Q4+(IF(ArtifactsInput!$M$33,CHOOSE(ArtifactsInput!$N$33+1,30,36,42,48,54,60),0))+(IF(AND(ArtifactsInput!$M$35,Inputs!$B$4&lt;&gt;"Chapter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Skills!A5</f>
        <v/>
      </c>
      <c r="B2596">
        <f>Skills!B5</f>
        <v/>
      </c>
      <c r="C2596">
        <f>Inputs!$B$3&gt;=66</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t="inlineStr"/>
      <c r="K2596" t="inlineStr"/>
      <c r="L2596" t="inlineStr"/>
      <c r="M2596" t="inlineStr"/>
      <c r="N2596" t="inlineStr"/>
      <c r="O2596">
        <f>(1-Summary!$B$11)*T2596+Summary!$B$11*V2596</f>
        <v/>
      </c>
      <c r="P2596">
        <f>IF(B2630=0,0,O2596/B2630)</f>
        <v/>
      </c>
      <c r="Q2596" t="n">
        <v>0</v>
      </c>
      <c r="R2596" t="n">
        <v>0</v>
      </c>
      <c r="S2596">
        <f>IFERROR(O2596/N2596,0)</f>
        <v/>
      </c>
      <c r="T2596" t="n">
        <v>0</v>
      </c>
      <c r="V2596" t="n">
        <v>0</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2603=TRUE,F2603,0)/100)*(1+(IF(Skills!A6="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2611=TRUE)*(F2611-Calc!F20)),(Inputs!$B$23+0+(IF(ArtifactsInput!$M$15,CHOOSE(ArtifactsInput!$N$15+1,25,30,35,40,45,50)/100*(Inputs!$B$11-Inputs!$B$11),0))))/100+(Inputs!$B$23+0+(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$21+Skills!Q6+(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Inputs!$B$3&gt;=103</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2611=TRUE)*(F2611-Calc!F20)),(Inputs!$B$23+0+(IF(ArtifactsInput!$M$15,CHOOSE(ArtifactsInput!$N$15+1,25,30,35,40,45,50)/100*(Inputs!$B$11-Inputs!$B$11),0))))/100+(Inputs!$B$23+0+(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$21+Skills!Q7+(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2611=TRUE)*(F2611-Calc!F20)),(Inputs!$B$23+0+(IF(ArtifactsInput!$M$15,CHOOSE(ArtifactsInput!$N$15+1,25,30,35,40,45,50)/100*(Inputs!$B$11-Inputs!$B$11),0))))/100+(Inputs!$B$23+0+(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$21+Skills!Q8+(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Inputs!$B$3&gt;=120</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B2632</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2611=TRUE)*(F2611-Calc!F20)),(Inputs!$B$23+0+(IF(ArtifactsInput!$M$15,CHOOSE(ArtifactsInput!$N$15+1,25,30,35,40,45,50)/100*(Inputs!$B$11-Inputs!$B$11),0))))/100+(Inputs!$B$23+0+(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IFERROR(1/(IF(Inputs!$B$38="pvp",15,MAX(0.1,Skills!D9-IF(TRUE=TRUE,Inputs!$B$32,0)))*(1-IF(AND(ArtifactsInput!$M$27,Inputs!$B$4="Chapter Hunt"),CHOOSE(ArtifactsInput!$N$27+1,20,24,28,32,36,40),0)/100)),0)</f>
        <v/>
      </c>
      <c r="R2600">
        <f>IF(AND(Inputs!$B$38&lt;&gt;"pvp",Inputs!$B$43&gt;0),IF(MAX(0,Inputs!$B$43-B2627)&lt;=0,0,(INT(MAX(0,Inputs!$B$43-B2627)/(IF(Inputs!$B$38="pvp",15,MAX(0.1,Skills!D9-IF(TRUE=TRUE,Inputs!$B$32,0)))*(1-IF(AND(ArtifactsInput!$M$27,Inputs!$B$4="Chapter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$21+Skills!Q9+(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Inputs!$B$3&gt;=105</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2611=TRUE)*(F2611-Calc!F20)),(Inputs!$B$23+0+(IF(ArtifactsInput!$M$15,CHOOSE(ArtifactsInput!$N$15+1,25,30,35,40,45,50)/100*(Inputs!$B$11-Inputs!$B$11),0))))/100+(Inputs!$B$23+0+(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$21+Skills!Q10+(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Inputs!$B$3&gt;=113</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2611=TRUE)*(F2611-Calc!F20)),(Inputs!$B$23+0+(IF(ArtifactsInput!$M$15,CHOOSE(ArtifactsInput!$N$15+1,25,30,35,40,45,50)/100*(Inputs!$B$11-Inputs!$B$11),0))))/100+(Inputs!$B$23+0+(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t="n">
        <v>0</v>
      </c>
      <c r="R2602" t="n">
        <v>0</v>
      </c>
      <c r="S2602">
        <f>IFERROR(O2602/N2602,0)</f>
        <v/>
      </c>
      <c r="T2602">
        <f>IF(C2602,((H2602*B2633)/(1+Skills!H11*H2602*B2633)*N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IF(C2602,((H2602*B2633)/(1+Skills!H11*H2602*B2633)*N2602)*IF(Inputs!$B$38="pvp",1,(1+(Inputs!$B$21+Skills!Q11+(IF(ArtifactsInput!$M$33,CHOOSE(ArtifactsInput!$N$33+1,30,36,42,48,54,60),0))+(IF(AND(ArtifactsInput!$M$35,Inputs!$B$4&lt;&gt;"Chapter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c r="T2603" t="inlineStr"/>
      <c r="V2603" t="inlineStr"/>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Inputs!$B$3&gt;=115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f>IFERROR(1/(IF(Inputs!$B$38="pvp",15,MAX(0.1,Skills!D14-IF(TRUE=TRUE,Inputs!$B$32,0)))*(1-IF(AND(ArtifactsInput!$M$27,Inputs!$B$4="Chapter Hunt"),CHOOSE(ArtifactsInput!$N$27+1,20,24,28,32,36,40),0)/100)),0)</f>
        <v/>
      </c>
      <c r="R2605">
        <f>IF(AND(Inputs!$B$38&lt;&gt;"pvp",Inputs!$B$43&gt;0),IF(Inputs!$B$43&lt;=0,0,(INT(Inputs!$B$43/(IF(Inputs!$B$38="pvp",15,MAX(0.1,Skills!D14-IF(TRUE=TRUE,Inputs!$B$32,0)))*(1-IF(AND(ArtifactsInput!$M$27,Inputs!$B$4="Chapter Hunt"),CHOOSE(ArtifactsInput!$N$27+1,20,24,28,32,36,40),0)/100)))+1)),0)</f>
        <v/>
      </c>
      <c r="S2605">
        <f>IFERROR(O2605/N2605,0)</f>
        <v/>
      </c>
      <c r="T2605" t="n">
        <v>0</v>
      </c>
      <c r="V2605" t="n">
        <v>0</v>
      </c>
    </row>
    <row r="2606">
      <c r="A2606">
        <f>Skills!A15</f>
        <v/>
      </c>
      <c r="B2606">
        <f>Skills!B15</f>
        <v/>
      </c>
      <c r="C2606">
        <f>Inputs!$B$3&gt;=125</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Inputs!$B$3&gt;=10</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t="n">
        <v>0</v>
      </c>
      <c r="R2607" t="n">
        <v>0</v>
      </c>
      <c r="S2607">
        <f>IFERROR(O2607/N2607,0)</f>
        <v/>
      </c>
      <c r="T2607" t="n">
        <v>0</v>
      </c>
      <c r="V2607" t="n">
        <v>0</v>
      </c>
    </row>
    <row r="2608">
      <c r="A2608">
        <f>Skills!A17</f>
        <v/>
      </c>
      <c r="B2608">
        <f>Skills!B17</f>
        <v/>
      </c>
      <c r="C2608">
        <f>Inputs!$B$3&gt;=15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t="n">
        <v>0</v>
      </c>
      <c r="R2608" t="n">
        <v>0</v>
      </c>
      <c r="S2608">
        <f>IFERROR(O2608/N2608,0)</f>
        <v/>
      </c>
      <c r="T2608" t="n">
        <v>0</v>
      </c>
      <c r="V2608" t="n">
        <v>0</v>
      </c>
    </row>
    <row r="2609">
      <c r="A2609">
        <f>Skills!A18</f>
        <v/>
      </c>
      <c r="B2609">
        <f>Skills!B18</f>
        <v/>
      </c>
      <c r="C2609">
        <f>Inputs!$B$3&gt;=33</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t="n">
        <v>0</v>
      </c>
      <c r="R2609" t="n">
        <v>0</v>
      </c>
      <c r="S2609">
        <f>IFERROR(O2609/N2609,0)</f>
        <v/>
      </c>
      <c r="T2609" t="n">
        <v>0</v>
      </c>
      <c r="V2609" t="n">
        <v>0</v>
      </c>
    </row>
    <row r="2610">
      <c r="A2610">
        <f>Skills!A19</f>
        <v/>
      </c>
      <c r="B2610">
        <f>Skills!B19</f>
        <v/>
      </c>
      <c r="C2610">
        <f>Inputs!$B$3&gt;=40</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t="n">
        <v>0</v>
      </c>
      <c r="R2610" t="n">
        <v>0</v>
      </c>
      <c r="S2610">
        <f>IFERROR(O2610/N2610,0)</f>
        <v/>
      </c>
      <c r="T2610" t="n">
        <v>0</v>
      </c>
      <c r="V2610" t="n">
        <v>0</v>
      </c>
    </row>
    <row r="2611">
      <c r="A2611">
        <f>Skills!A20</f>
        <v/>
      </c>
      <c r="B2611">
        <f>Skills!B20</f>
        <v/>
      </c>
      <c r="C2611">
        <f>Inputs!$B$3&gt;=43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Inputs!$B$3&gt;=75</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TRUE</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f>IFERROR(1/(IF(Inputs!$B$38="pvp",15,MAX(0.1,Skills!D23-IF(TRUE=TRUE,Inputs!$B$32,0)))*(1-IF(AND(ArtifactsInput!$M$27,Inputs!$B$4="Chapter Hunt"),CHOOSE(ArtifactsInput!$N$27+1,20,24,28,32,36,40),0)/100)),0)</f>
        <v/>
      </c>
      <c r="R2614">
        <f>IF(AND(Inputs!$B$38&lt;&gt;"pvp",Inputs!$B$43&gt;0),IF(Inputs!$B$43&lt;=0,0,(INT(Inputs!$B$43/(IF(Inputs!$B$38="pvp",15,MAX(0.1,Skills!D23-IF(TRUE=TRUE,Inputs!$B$32,0)))*(1-IF(AND(ArtifactsInput!$M$27,Inputs!$B$4="Chapter Hunt"),CHOOSE(ArtifactsInput!$N$27+1,20,24,28,32,36,40),0)/100)))+1)),0)</f>
        <v/>
      </c>
      <c r="S2614">
        <f>IFERROR(O2614/N2614,0)</f>
        <v/>
      </c>
      <c r="T2614" t="n">
        <v>0</v>
      </c>
      <c r="V2614" t="n">
        <v>0</v>
      </c>
    </row>
    <row r="2615">
      <c r="A2615">
        <f>Skills!A24</f>
        <v/>
      </c>
      <c r="B2615">
        <f>Skills!B24</f>
        <v/>
      </c>
      <c r="C2615">
        <f>Inputs!$B$3&gt;=107</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f>IFERROR(1/(IF(Inputs!$B$38="pvp",15,MAX(0.1,Skills!D24-IF(TRUE=TRUE,Inputs!$B$32,0)))*(1-IF(AND(ArtifactsInput!$M$27,Inputs!$B$4="Chapter Hunt"),CHOOSE(ArtifactsInput!$N$27+1,20,24,28,32,36,40),0)/100)),0)</f>
        <v/>
      </c>
      <c r="R2615">
        <f>IF(AND(Inputs!$B$38&lt;&gt;"pvp",Inputs!$B$43&gt;0),IF(Inputs!$B$43&lt;=0,0,(INT(Inputs!$B$43/(IF(Inputs!$B$38="pvp",15,MAX(0.1,Skills!D24-IF(TRUE=TRUE,Inputs!$B$32,0)))*(1-IF(AND(ArtifactsInput!$M$27,Inputs!$B$4="Chapter Hunt"),CHOOSE(ArtifactsInput!$N$27+1,20,24,28,32,36,40),0)/100)))+1)),0)</f>
        <v/>
      </c>
      <c r="S2615">
        <f>IFERROR(O2615/N2615,0)</f>
        <v/>
      </c>
      <c r="T2615" t="n">
        <v>0</v>
      </c>
      <c r="V2615" t="n">
        <v>0</v>
      </c>
    </row>
    <row r="2616">
      <c r="A2616">
        <f>Skills!A25</f>
        <v/>
      </c>
      <c r="B2616">
        <f>Skills!B25</f>
        <v/>
      </c>
      <c r="C2616">
        <f>Inputs!$B$3&gt;=110</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Skills!A26</f>
        <v/>
      </c>
      <c r="B2617">
        <f>Skills!B26</f>
        <v/>
      </c>
      <c r="C2617">
        <f>Inputs!$B$3&gt;=117</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t="inlineStr"/>
      <c r="H2617" t="inlineStr"/>
      <c r="I2617" t="inlineStr">
        <is>
          <t>1</t>
        </is>
      </c>
      <c r="J2617" t="inlineStr"/>
      <c r="K2617" t="inlineStr"/>
      <c r="L2617" t="inlineStr"/>
      <c r="M2617" t="inlineStr"/>
      <c r="N2617" t="inlineStr"/>
      <c r="O2617" t="inlineStr"/>
      <c r="P2617" t="inlineStr"/>
      <c r="Q2617" t="inlineStr"/>
      <c r="R2617" t="inlineStr"/>
      <c r="S2617" t="inlineStr"/>
      <c r="T2617" t="inlineStr"/>
      <c r="V2617" t="inlineStr"/>
    </row>
    <row r="2619">
      <c r="A2619" t="inlineStr">
        <is>
          <t>Attack% Bucket Multiplier</t>
        </is>
      </c>
      <c r="B2619">
        <f>(1+(((C2604=TRUE)*F2604*5/7)+((C2610=TRUE)*(F2610-Calc!F19))+(IF(ArtifactsInput!$M$21,CHOOSE(ArtifactsInput!$N$21+1,25,30,35,40,45,50)*(IF(OR(Inputs!$B$4="Chapter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 (Nimble Feet + Speed Infusion, duty-cycle averaged)</t>
        </is>
      </c>
      <c r="B2621">
        <f>((C2614=TRUE)*F2614*IF(AND(Inputs!$B$38&lt;&gt;"pvp",Inputs!$B$43&gt;0),(((R2614-1)*MIN((Skills!T23*(1+Inputs!$B$34/100)),(1/Q2614))+MIN((Skills!T23*(1+Inputs!$B$34/100)),MAX(0,Inputs!$B$43-((R2614-1)*(1/Q2614)))))/Inputs!$B$43),IF(Inputs!$B$38="pvp",MIN((Skills!T23*(1+Inputs!$B$34/100)),15)/15,MIN(1,(Skills!T23*(1+Inputs!$B$34/100))/(1/Q2614)))))+((C2615=TRUE)*F2615*IF(AND(Inputs!$B$38&lt;&gt;"pvp",Inputs!$B$43&gt;0),(((R2615-1)*MIN((Skills!T24*(1+Inputs!$B$34/100)),(1/Q2615))+MIN((Skills!T24*(1+Inputs!$B$34/100)),MAX(0,Inputs!$B$43-((R2615-1)*(1/Q2615)))))/Inputs!$B$43),IF(Inputs!$B$38="pvp",MIN((Skills!T24*(1+Inputs!$B$34/100)),15)/15,MIN(1,(Skills!T24*(1+Inputs!$B$34/100))/(1/Q2615)))))</f>
        <v/>
      </c>
    </row>
    <row r="2622">
      <c r="A2622" t="inlineStr">
        <is>
          <t>Actions Per Second</t>
        </is>
      </c>
      <c r="B2622">
        <f>1+MIN(150,150*(1-(1-(Inputs!$B$11+((C2608=TRUE)*(F2608-Calc!F17))+((C2609=TRUE)*(F2609-Calc!F18)))/150)*(1-B2621/150)))/100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Hook Bomber Casts Per Second</t>
        </is>
      </c>
      <c r="B2624">
        <f>MAX(0,B2622-B2623)</f>
        <v/>
      </c>
    </row>
    <row r="2625">
      <c r="A2625" t="inlineStr">
        <is>
          <t>Global Critical Damage Bonus % (unused)</t>
        </is>
      </c>
      <c r="B2625" t="n">
        <v>0</v>
      </c>
    </row>
    <row r="2626">
      <c r="A2626" t="inlineStr">
        <is>
          <t>Global Final Damage Bonus % (Serpent Scale + Crossbones + Time Leap + Speed Infusion)</t>
        </is>
      </c>
      <c r="B2626">
        <f>((C2596=TRUE)*(F2596*B2632+4*(1-B2632)))+((C2605=TRUE)*F2605*IF(AND(Inputs!$B$38&lt;&gt;"pvp",Inputs!$B$43&gt;0),(((R2605-1)*MIN((Skills!T14*(1+Inputs!$B$34/100)),(1/Q2605))+MIN((Skills!T14*(1+Inputs!$B$34/100)),MAX(0,Inputs!$B$43-((R2605-1)*(1/Q2605)))))/Inputs!$B$43),IF(Inputs!$B$38="pvp",MIN((Skills!T14*(1+Inputs!$B$34/100)),15)/15,MIN(1,(Skills!T14*(1+Inputs!$B$34/100))/(1/Q2605)))))+((C2606=TRUE)*F2606*IF(AND(Inputs!$B$38&lt;&gt;"pvp",Inputs!$B$43&gt;0),(((R2606-1)*MIN((Skills!T15*(1+Inputs!$B$34/100)),(1/Q2606))+MIN((Skills!T15*(1+Inputs!$B$34/100)),MAX(0,Inputs!$B$43-((R2606-1)*(1/Q2606)))))/Inputs!$B$43),IF(Inputs!$B$38="pvp",MIN((Skills!T15*(1+Inputs!$B$34/100)),15)/15,MIN(1,(Skills!T15*(1+Inputs!$B$34/100))/(1/Q2606)))))+((C2615=TRUE)*20*((1+MIN(150,150*(1-(1-(Inputs!$B$11+((C2608=TRUE)*(F2608-Calc!F17))+((C2609=TRUE)*(F2609-Calc!F18)))/150)*(1-(((C2614=TRUE)*F2614*IF(AND(Inputs!$B$38&lt;&gt;"pvp",Inputs!$B$43&gt;0),(((R2614-1)*MIN((Skills!T23*(1+Inputs!$B$34/100)),(1/Q2614))+MIN((Skills!T23*(1+Inputs!$B$34/100)),MAX(0,Inputs!$B$43-((R2614-1)*(1/Q2614)))))/Inputs!$B$43),IF(Inputs!$B$38="pvp",MIN((Skills!T23*(1+Inputs!$B$34/100)),15)/15,MIN(1,(Skills!T23*(1+Inputs!$B$34/100))/(1/Q2614)))))+F2615)/150)))/100)-1)*IF(AND(Inputs!$B$38&lt;&gt;"pvp",Inputs!$B$43&gt;0),(((R2615-1)*MIN((Skills!T24*(1+Inputs!$B$34/100)),(1/Q2615))+MIN((Skills!T24*(1+Inputs!$B$34/100)),MAX(0,Inputs!$B$43-((R2615-1)*(1/Q2615)))))/Inputs!$B$43),IF(Inputs!$B$38="pvp",MIN((Skills!T24*(1+Inputs!$B$34/100)),15)/15,MIN(1,(Skills!T24*(1+Inputs!$B$34/100))/(1/Q2615)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1">
      <c r="A2631" t="inlineStr">
        <is>
          <t>Serpent activation interval T (this block's own Hook Bomber rate)</t>
        </is>
      </c>
      <c r="B2631">
        <f>((1/Q2594)+IFERROR(0.5/B2624,0))</f>
        <v/>
      </c>
    </row>
    <row r="2632">
      <c r="A2632" t="inlineStr">
        <is>
          <t>Assault Mode uptime u (this block)</t>
        </is>
      </c>
      <c r="B2632">
        <f>IF(C2596=TRUE,(10+IF(Inputs!$B$3&gt;=94,5,0))/((10+IF(Inputs!$B$3&gt;=94,5,0))+IF(Inputs!$B$3&gt;=104,3,5)*B2631),0)</f>
        <v/>
      </c>
    </row>
    <row r="2633">
      <c r="A2633" t="inlineStr">
        <is>
          <t>Nautilus Strike - Final Attack trigger rate (this block's own Q/R)</t>
        </is>
      </c>
      <c r="B2633">
        <f>IF(AND(Inputs!$B$38&lt;&gt;"pvp",Inputs!$B$43&gt;0),(((C2597=TRUE)*R2597)+((C2598=TRUE)*R2598)+((C2601=TRUE)*R2601))/Inputs!$B$43,((C2597=TRUE)*Q2597)+((C2598=TRUE)*Q2598)+((C2601=TRUE)*Q2601))+B2624</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2656=TRUE)*(F2656-Calc!F20)),(Inputs!$B$23+0+(IF(ArtifactsInput!$M$15,CHOOSE(ArtifactsInput!$N$15+1,25,30,35,40,45,50)/100*(Inputs!$B$11-Inputs!$B$11),0))))/100+(Inputs!$B$23+0+(IF(ArtifactsInput!$M$15,CHOOSE(ArtifactsInput!$N$15+1,25,30,35,40,45,50)/100*(Inputs!$B$11-Inputs!$B$11),0)))/100)/2</f>
        <v/>
      </c>
      <c r="M2638">
        <f>L2638*(1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IF(B2675=0,0,O2638/B2675)</f>
        <v/>
      </c>
      <c r="Q2638" t="n">
        <v>0</v>
      </c>
      <c r="R2638" t="n">
        <v>0</v>
      </c>
      <c r="S2638">
        <f>IFERROR(O2638/N2638,0)</f>
        <v/>
      </c>
      <c r="T2638">
        <f>IF(C2638,(Skills!G2*N2638*B2669)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IF(C2638,(Skills!G2*N2638*B2669)*IF(Inputs!$B$38="pvp",1,(1+(Inputs!$B$21+Skills!Q2+(IF(ArtifactsInput!$M$33,CHOOSE(ArtifactsInput!$N$33+1,30,36,42,48,54,60),0))+(IF(AND(ArtifactsInput!$M$35,Inputs!$B$4&lt;&gt;"Chapter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Inputs!$B$3&gt;=35</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f>Skills!G3*IF(Skills!H3&gt;0,Skills!I3/Skills!H3,1)</f>
        <v/>
      </c>
      <c r="H2639">
        <f>1-(1-Skills!J3/100)^Skills!K3</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2661=TRUE,F2661,0)/100)*(1+(IF(Skills!A3="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2656=TRUE)*(F2656-Calc!F20)),(Inputs!$B$23+0+(IF(ArtifactsInput!$M$15,CHOOSE(ArtifactsInput!$N$15+1,25,30,35,40,45,50)/100*(Inputs!$B$11-Inputs!$B$11),0))))/100+(Inputs!$B$23+0+(IF(ArtifactsInput!$M$15,CHOOSE(ArtifactsInput!$N$15+1,25,30,35,40,45,50)/100*(Inputs!$B$11-Inputs!$B$11),0)))/100)/2</f>
        <v/>
      </c>
      <c r="M2639">
        <f>L2639*(1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IF(B2675=0,0,O2639/B2675)</f>
        <v/>
      </c>
      <c r="Q2639">
        <f>IFERROR(1/(IF(Inputs!$B$38="pvp",15,MAX(0.1,Skills!D3-IF(TRUE=TRUE,Inputs!$B$32,0)))*(1-IF(AND(ArtifactsInput!$M$27,Inputs!$B$4="Chapter Hunt"),CHOOSE(ArtifactsInput!$N$27+1,20,24,28,32,36,40),0)/100)),0)</f>
        <v/>
      </c>
      <c r="R2639">
        <f>IF(AND(Inputs!$B$38&lt;&gt;"pvp",Inputs!$B$43&gt;0),IF(MAX(0,Inputs!$B$43-B2672)&lt;=0,0,(INT(MAX(0,Inputs!$B$43-B2672)/(IF(Inputs!$B$38="pvp",15,MAX(0.1,Skills!D3-IF(TRUE=TRUE,Inputs!$B$32,0)))*(1-IF(AND(ArtifactsInput!$M$27,Inputs!$B$4="Chapter Hunt"),CHOOSE(ArtifactsInput!$N$27+1,20,24,28,32,36,40),0)/100)))+1)),0)</f>
        <v/>
      </c>
      <c r="S2639">
        <f>IFERROR(O2639/N2639,0)</f>
        <v/>
      </c>
      <c r="T2639">
        <f>IF(C2639,(Skills!G3*N2639*IF(C2640=TRUE,1-B2677,1)/B2676)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9">
        <f>INDEX(FactorTable!$B$2:$Y$301, MATCH(ROUND(MIN(300,MAX(1,U2638)),0), FactorTable!$A$2:$A$301,0), 22)</f>
        <v/>
      </c>
      <c r="V2639">
        <f>IF(C2639,(Skills!G3*N2639*IF(C2640=TRUE,1-B2677,1)/B2676)*IF(Inputs!$B$38="pvp",1,(1+(Inputs!$B$21+Skills!Q3+(IF(ArtifactsInput!$M$33,CHOOSE(ArtifactsInput!$N$33+1,30,36,42,48,54,60),0))+(IF(AND(ArtifactsInput!$M$35,Inputs!$B$4&lt;&gt;"Chapter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Skills!A4</f>
        <v/>
      </c>
      <c r="B2640">
        <f>Skills!B4</f>
        <v/>
      </c>
      <c r="C2640">
        <f>Inputs!$B$3&gt;=69</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f>Skills!G4*IF(Skills!H4&gt;0,Skills!I4/Skills!H4,1)</f>
        <v/>
      </c>
      <c r="H2640">
        <f>1-(1-Skills!J4/100)^Skills!K4</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2648=TRUE,F2648,0)/100)*(1+(IF(Skills!A4="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2656=TRUE)*(F2656-Calc!F20)),(Inputs!$B$23+0+(IF(ArtifactsInput!$M$15,CHOOSE(ArtifactsInput!$N$15+1,25,30,35,40,45,50)/100*(Inputs!$B$11-Inputs!$B$11),0))))/100+(Inputs!$B$23+0+(IF(ArtifactsInput!$M$15,CHOOSE(ArtifactsInput!$N$15+1,25,30,35,40,45,50)/100*(Inputs!$B$11-Inputs!$B$11),0)))/100)/2</f>
        <v/>
      </c>
      <c r="M2640">
        <f>L2640*(1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IF(B2675=0,0,O2640/B2675)</f>
        <v/>
      </c>
      <c r="Q2640" t="n">
        <v>0</v>
      </c>
      <c r="R2640" t="n">
        <v>0</v>
      </c>
      <c r="S2640">
        <f>IFERROR(O2640/N2640,0)</f>
        <v/>
      </c>
      <c r="T2640">
        <f>IF(C2640,(Skills!G4*N2640*B2677/B2676)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0">
        <f>290*U2639/1000</f>
        <v/>
      </c>
      <c r="V2640">
        <f>IF(C2640,(Skills!G4*N2640*B2677/B2676)*IF(Inputs!$B$38="pvp",1,(1+(Inputs!$B$21+Skills!Q4+(IF(ArtifactsInput!$M$33,CHOOSE(ArtifactsInput!$N$33+1,30,36,42,48,54,60),0))+(IF(AND(ArtifactsInput!$M$35,Inputs!$B$4&lt;&gt;"Chapter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Skills!A5</f>
        <v/>
      </c>
      <c r="B2641">
        <f>Skills!B5</f>
        <v/>
      </c>
      <c r="C2641">
        <f>Inputs!$B$3&gt;=66</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t="inlineStr"/>
      <c r="K2641" t="inlineStr"/>
      <c r="L2641" t="inlineStr"/>
      <c r="M2641" t="inlineStr"/>
      <c r="N2641" t="inlineStr"/>
      <c r="O2641">
        <f>(1-Summary!$B$11)*T2641+Summary!$B$11*V2641</f>
        <v/>
      </c>
      <c r="P2641">
        <f>IF(B2675=0,0,O2641/B2675)</f>
        <v/>
      </c>
      <c r="Q2641" t="n">
        <v>0</v>
      </c>
      <c r="R2641" t="n">
        <v>0</v>
      </c>
      <c r="S2641">
        <f>IFERROR(O2641/N2641,0)</f>
        <v/>
      </c>
      <c r="T2641" t="n">
        <v>0</v>
      </c>
      <c r="V2641" t="n">
        <v>0</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2648=TRUE,F2648,0)/100)*(1+(IF(Skills!A6="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2656=TRUE)*(F2656-Calc!F20)),(Inputs!$B$23+0+(IF(ArtifactsInput!$M$15,CHOOSE(ArtifactsInput!$N$15+1,25,30,35,40,45,50)/100*(Inputs!$B$11-Inputs!$B$11),0))))/100+(Inputs!$B$23+0+(IF(ArtifactsInput!$M$15,CHOOSE(ArtifactsInput!$N$15+1,25,30,35,40,45,50)/100*(Inputs!$B$11-Inputs!$B$11),0)))/100)/2</f>
        <v/>
      </c>
      <c r="M2642">
        <f>L2642*(1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IF(B2675=0,0,O2642/B2675)</f>
        <v/>
      </c>
      <c r="Q2642">
        <f>IFERROR(1/(IF(Inputs!$B$38="pvp",15,MAX(0.1,Skills!D6-IF(TRUE=TRUE,Inputs!$B$32,0)))*(1-IF(AND(ArtifactsInput!$M$27,Inputs!$B$4="Chapter Hunt"),CHOOSE(ArtifactsInput!$N$27+1,20,24,28,32,36,40),0)/100)),0)</f>
        <v/>
      </c>
      <c r="R2642">
        <f>IF(AND(Inputs!$B$38&lt;&gt;"pvp",Inputs!$B$43&gt;0),IF(MAX(0,Inputs!$B$43-B2672)&lt;=0,0,(INT(MAX(0,Inputs!$B$43-B2672)/(IF(Inputs!$B$38="pvp",15,MAX(0.1,Skills!D6-IF(TRUE=TRUE,Inputs!$B$32,0)))*(1-IF(AND(ArtifactsInput!$M$27,Inputs!$B$4="Chapter Hunt"),CHOOSE(ArtifactsInput!$N$27+1,20,24,28,32,36,40),0)/100)))+1)),0)</f>
        <v/>
      </c>
      <c r="S2642">
        <f>IFERROR(O2642/N2642,0)</f>
        <v/>
      </c>
      <c r="T2642">
        <f>IF(C2642,(H2642*N2642*IF(AND(Inputs!$B$38&lt;&gt;"pvp",Inputs!$B$43&gt;0),((Skills!G6*((R2642-1)*IF(Skills!H6&gt;0,Skills!I6/Skills!H6,1)+IF(Skills!H6&gt;0,MIN(Skills!I6,MAX(0,MAX(0,Inputs!$B$43-B2672)-((R2642-1)*(IF(Inputs!$B$38="pvp",15,MAX(0.1,Skills!D6-IF(TRUE=TRUE,Inputs!$B$32,0)))*(1-IF(AND(ArtifactsInput!$M$27,Inputs!$B$4="Chapter Hunt"),CHOOSE(ArtifactsInput!$N$27+1,20,24,28,32,36,40),0)/100)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2672)-((R2642-1)*(IF(Inputs!$B$38="pvp",15,MAX(0.1,Skills!D6-IF(TRUE=TRUE,Inputs!$B$32,0)))*(1-IF(AND(ArtifactsInput!$M$27,Inputs!$B$4="Chapter Hunt"),CHOOSE(ArtifactsInput!$N$27+1,20,24,28,32,36,40),0)/100)))))/Skills!H6,1)))/Inputs!$B$43),G2642*Q2642))*IF(Inputs!$B$38="pvp",1,(1+(Inputs!$B$21+Skills!Q6+(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Inputs!$B$3&gt;=103</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2656=TRUE)*(F2656-Calc!F20)),(Inputs!$B$23+0+(IF(ArtifactsInput!$M$15,CHOOSE(ArtifactsInput!$N$15+1,25,30,35,40,45,50)/100*(Inputs!$B$11-Inputs!$B$11),0))))/100+(Inputs!$B$23+0+(IF(ArtifactsInput!$M$15,CHOOSE(ArtifactsInput!$N$15+1,25,30,35,40,45,50)/100*(Inputs!$B$11-Inputs!$B$11),0)))/100)/2</f>
        <v/>
      </c>
      <c r="M2643">
        <f>L2643*(1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IF(B2675=0,0,O2643/B2675)</f>
        <v/>
      </c>
      <c r="Q2643">
        <f>IFERROR(1/(IF(Inputs!$B$38="pvp",15,MAX(0.1,Skills!D7-IF(TRUE=TRUE,Inputs!$B$32,0)))*(1-IF(AND(ArtifactsInput!$M$27,Inputs!$B$4="Chapter Hunt"),CHOOSE(ArtifactsInput!$N$27+1,20,24,28,32,36,40),0)/100)),0)</f>
        <v/>
      </c>
      <c r="R2643">
        <f>IF(AND(Inputs!$B$38&lt;&gt;"pvp",Inputs!$B$43&gt;0),IF(MAX(0,Inputs!$B$43-B2672)&lt;=0,0,(INT(MAX(0,Inputs!$B$43-B2672)/(IF(Inputs!$B$38="pvp",15,MAX(0.1,Skills!D7-IF(TRUE=TRUE,Inputs!$B$32,0)))*(1-IF(AND(ArtifactsInput!$M$27,Inputs!$B$4="Chapter Hunt"),CHOOSE(ArtifactsInput!$N$27+1,20,24,28,32,36,40),0)/100)))+1)),0)</f>
        <v/>
      </c>
      <c r="S2643">
        <f>IFERROR(O2643/N2643,0)</f>
        <v/>
      </c>
      <c r="T2643">
        <f>IF(C2643,(H2643*N2643*IF(AND(Inputs!$B$38&lt;&gt;"pvp",Inputs!$B$43&gt;0),((Skills!G7*((R2643-1)*IF(Skills!H7&gt;0,Skills!I7/Skills!H7,1)+IF(Skills!H7&gt;0,MIN(Skills!I7,MAX(0,MAX(0,Inputs!$B$43-B2672)-((R2643-1)*(IF(Inputs!$B$38="pvp",15,MAX(0.1,Skills!D7-IF(TRUE=TRUE,Inputs!$B$32,0)))*(1-IF(AND(ArtifactsInput!$M$27,Inputs!$B$4="Chapter Hunt"),CHOOSE(ArtifactsInput!$N$27+1,20,24,28,32,36,40),0)/100)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2672)-((R2643-1)*(IF(Inputs!$B$38="pvp",15,MAX(0.1,Skills!D7-IF(TRUE=TRUE,Inputs!$B$32,0)))*(1-IF(AND(ArtifactsInput!$M$27,Inputs!$B$4="Chapter Hunt"),CHOOSE(ArtifactsInput!$N$27+1,20,24,28,32,36,40),0)/100)))))/Skills!H7,1)))/Inputs!$B$43),G2643*Q2643))*IF(Inputs!$B$38="pvp",1,(1+(Inputs!$B$21+Skills!Q7+(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Inputs!$B$3&gt;=117</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f>Skills!G8*IF(Skills!H8&gt;0,Skills!I8/Skills!H8,1)</f>
        <v/>
      </c>
      <c r="H2644">
        <f>1-(1-Skills!J8/100)^Skills!K8</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2644)</f>
        <v/>
      </c>
      <c r="L2644">
        <f>K2644*(MIN(Inputs!$B$22+((C2656=TRUE)*(F2656-Calc!F20)),(Inputs!$B$23+0+(IF(ArtifactsInput!$M$15,CHOOSE(ArtifactsInput!$N$15+1,25,30,35,40,45,50)/100*(Inputs!$B$11-Inputs!$B$11),0))))/100+(Inputs!$B$23+0+(IF(ArtifactsInput!$M$15,CHOOSE(ArtifactsInput!$N$15+1,25,30,35,40,45,50)/100*(Inputs!$B$11-Inputs!$B$11),0)))/100)/2</f>
        <v/>
      </c>
      <c r="M2644">
        <f>L2644*(1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IF(B2675=0,0,O2644/B2675)</f>
        <v/>
      </c>
      <c r="Q2644">
        <f>IFERROR(1/(IF(Inputs!$B$38="pvp",15,MAX(0.1,Skills!D8-IF(TRUE=TRUE,Inputs!$B$32,0)))*(1-IF(AND(ArtifactsInput!$M$27,Inputs!$B$4="Chapter Hunt"),CHOOSE(ArtifactsInput!$N$27+1,20,24,28,32,36,40),0)/100)),0)</f>
        <v/>
      </c>
      <c r="R2644">
        <f>IF(AND(Inputs!$B$38&lt;&gt;"pvp",Inputs!$B$43&gt;0),IF(MAX(0,Inputs!$B$43-B2672)&lt;=0,0,(INT(MAX(0,Inputs!$B$43-B2672)/(IF(Inputs!$B$38="pvp",15,MAX(0.1,Skills!D8-IF(TRUE=TRUE,Inputs!$B$32,0)))*(1-IF(AND(ArtifactsInput!$M$27,Inputs!$B$4="Chapter Hunt"),CHOOSE(ArtifactsInput!$N$27+1,20,24,28,32,36,40),0)/100)))+1)),0)</f>
        <v/>
      </c>
      <c r="S2644">
        <f>IFERROR(O2644/N2644,0)</f>
        <v/>
      </c>
      <c r="T2644">
        <f>IF(C2644,(H2644*N2644*IF(AND(Inputs!$B$38&lt;&gt;"pvp",Inputs!$B$43&gt;0),((Skills!G8*((R2644-1)*IF(Skills!H8&gt;0,Skills!I8/Skills!H8,1)+IF(Skills!H8&gt;0,MIN(Skills!I8,MAX(0,MAX(0,Inputs!$B$43-B2672)-((R2644-1)*(IF(Inputs!$B$38="pvp",15,MAX(0.1,Skills!D8-IF(TRUE=TRUE,Inputs!$B$32,0)))*(1-IF(AND(ArtifactsInput!$M$27,Inputs!$B$4="Chapter Hunt"),CHOOSE(ArtifactsInput!$N$27+1,20,24,28,32,36,40),0)/100)))))/Skills!H8,1)))/Inputs!$B$43),G2644*Q2644)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8*((R2644-1)*IF(Skills!H8&gt;0,Skills!I8/Skills!H8,1)+IF(Skills!H8&gt;0,MIN(Skills!I8,MAX(0,MAX(0,Inputs!$B$43-B2672)-((R2644-1)*(IF(Inputs!$B$38="pvp",15,MAX(0.1,Skills!D8-IF(TRUE=TRUE,Inputs!$B$32,0)))*(1-IF(AND(ArtifactsInput!$M$27,Inputs!$B$4="Chapter Hunt"),CHOOSE(ArtifactsInput!$N$27+1,20,24,28,32,36,40),0)/100)))))/Skills!H8,1)))/Inputs!$B$43),G2644*Q2644))*IF(Inputs!$B$38="pvp",1,(1+(Inputs!$B$21+Skills!Q8+(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Skills!A9</f>
        <v/>
      </c>
      <c r="B2645">
        <f>Skills!B9</f>
        <v/>
      </c>
      <c r="C2645">
        <f>Inputs!$B$3&gt;=120</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B2677</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2656=TRUE)*(F2656-Calc!F20)),(Inputs!$B$23+0+(IF(ArtifactsInput!$M$15,CHOOSE(ArtifactsInput!$N$15+1,25,30,35,40,45,50)/100*(Inputs!$B$11-Inputs!$B$11),0))))/100+(Inputs!$B$23+0+(IF(ArtifactsInput!$M$15,CHOOSE(ArtifactsInput!$N$15+1,25,30,35,40,45,50)/100*(Inputs!$B$11-Inputs!$B$11),0)))/100)/2</f>
        <v/>
      </c>
      <c r="M2645">
        <f>L2645*(1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IF(B2675=0,0,O2645/B2675)</f>
        <v/>
      </c>
      <c r="Q2645">
        <f>IFERROR(1/(IF(Inputs!$B$38="pvp",15,MAX(0.1,Skills!D9-IF(TRUE=TRUE,Inputs!$B$32,0)))*(1-IF(AND(ArtifactsInput!$M$27,Inputs!$B$4="Chapter Hunt"),CHOOSE(ArtifactsInput!$N$27+1,20,24,28,32,36,40),0)/100)),0)</f>
        <v/>
      </c>
      <c r="R2645">
        <f>IF(AND(Inputs!$B$38&lt;&gt;"pvp",Inputs!$B$43&gt;0),IF(MAX(0,Inputs!$B$43-B2672)&lt;=0,0,(INT(MAX(0,Inputs!$B$43-B2672)/(IF(Inputs!$B$38="pvp",15,MAX(0.1,Skills!D9-IF(TRUE=TRUE,Inputs!$B$32,0)))*(1-IF(AND(ArtifactsInput!$M$27,Inputs!$B$4="Chapter Hunt"),CHOOSE(ArtifactsInput!$N$27+1,20,24,28,32,36,40),0)/100)))+1)),0)</f>
        <v/>
      </c>
      <c r="S2645">
        <f>IFERROR(O2645/N2645,0)</f>
        <v/>
      </c>
      <c r="T2645">
        <f>IF(C2645,(H2645*N2645*IF(AND(Inputs!$B$38&lt;&gt;"pvp",Inputs!$B$43&gt;0),((Skills!G9*((R2645-1)*IF(Skills!H9&gt;0,Skills!I9/Skills!H9,1)+IF(Skills!H9&gt;0,MIN(Skills!I9,MAX(0,MAX(0,Inputs!$B$43-B2672)-((R2645-1)*(IF(Inputs!$B$38="pvp",15,MAX(0.1,Skills!D9-IF(TRUE=TRUE,Inputs!$B$32,0)))*(1-IF(AND(ArtifactsInput!$M$27,Inputs!$B$4="Chapter Hunt"),CHOOSE(ArtifactsInput!$N$27+1,20,24,28,32,36,40),0)/100)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2672)-((R2645-1)*(IF(Inputs!$B$38="pvp",15,MAX(0.1,Skills!D9-IF(TRUE=TRUE,Inputs!$B$32,0)))*(1-IF(AND(ArtifactsInput!$M$27,Inputs!$B$4="Chapter Hunt"),CHOOSE(ArtifactsInput!$N$27+1,20,24,28,32,36,40),0)/100)))))/Skills!H9,1)))/Inputs!$B$43),G2645*Q2645))*IF(Inputs!$B$38="pvp",1,(1+(Inputs!$B$21+Skills!Q9+(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Inputs!$B$3&gt;=105</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2656=TRUE)*(F2656-Calc!F20)),(Inputs!$B$23+0+(IF(ArtifactsInput!$M$15,CHOOSE(ArtifactsInput!$N$15+1,25,30,35,40,45,50)/100*(Inputs!$B$11-Inputs!$B$11),0))))/100+(Inputs!$B$23+0+(IF(ArtifactsInput!$M$15,CHOOSE(ArtifactsInput!$N$15+1,25,30,35,40,45,50)/100*(Inputs!$B$11-Inputs!$B$11),0)))/100)/2</f>
        <v/>
      </c>
      <c r="M2646">
        <f>L2646*(1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IF(B2675=0,0,O2646/B2675)</f>
        <v/>
      </c>
      <c r="Q2646">
        <f>IFERROR(1/(IF(Inputs!$B$38="pvp",15,MAX(0.1,Skills!D10-IF(TRUE=TRUE,Inputs!$B$32,0)))*(1-IF(AND(ArtifactsInput!$M$27,Inputs!$B$4="Chapter Hunt"),CHOOSE(ArtifactsInput!$N$27+1,20,24,28,32,36,40),0)/100)),0)</f>
        <v/>
      </c>
      <c r="R2646">
        <f>IF(AND(Inputs!$B$38&lt;&gt;"pvp",Inputs!$B$43&gt;0),IF(MAX(0,Inputs!$B$43-B2672)&lt;=0,0,(INT(MAX(0,Inputs!$B$43-B2672)/(IF(Inputs!$B$38="pvp",15,MAX(0.1,Skills!D10-IF(TRUE=TRUE,Inputs!$B$32,0)))*(1-IF(AND(ArtifactsInput!$M$27,Inputs!$B$4="Chapter Hunt"),CHOOSE(ArtifactsInput!$N$27+1,20,24,28,32,36,40),0)/100)))+1)),0)</f>
        <v/>
      </c>
      <c r="S2646">
        <f>IFERROR(O2646/N2646,0)</f>
        <v/>
      </c>
      <c r="T2646">
        <f>IF(C2646,(H2646*N2646*IF(AND(Inputs!$B$38&lt;&gt;"pvp",Inputs!$B$43&gt;0),((Skills!G10*((R2646-1)*IF(Skills!H10&gt;0,Skills!I10/Skills!H10,1)+IF(Skills!H10&gt;0,MIN(Skills!I10,MAX(0,MAX(0,Inputs!$B$43-B2672)-((R2646-1)*(IF(Inputs!$B$38="pvp",15,MAX(0.1,Skills!D10-IF(TRUE=TRUE,Inputs!$B$32,0)))*(1-IF(AND(ArtifactsInput!$M$27,Inputs!$B$4="Chapter Hunt"),CHOOSE(ArtifactsInput!$N$27+1,20,24,28,32,36,40),0)/100)))))/Skills!H10,1)))/Inputs!$B$43),G2646*Q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H2646*N2646*IF(AND(Inputs!$B$38&lt;&gt;"pvp",Inputs!$B$43&gt;0),((Skills!G10*((R2646-1)*IF(Skills!H10&gt;0,Skills!I10/Skills!H10,1)+IF(Skills!H10&gt;0,MIN(Skills!I10,MAX(0,MAX(0,Inputs!$B$43-B2672)-((R2646-1)*(IF(Inputs!$B$38="pvp",15,MAX(0.1,Skills!D10-IF(TRUE=TRUE,Inputs!$B$32,0)))*(1-IF(AND(ArtifactsInput!$M$27,Inputs!$B$4="Chapter Hunt"),CHOOSE(ArtifactsInput!$N$27+1,20,24,28,32,36,40),0)/100)))))/Skills!H10,1)))/Inputs!$B$43),G2646*Q2646))*IF(Inputs!$B$38="pvp",1,(1+(Inputs!$B$21+Skills!Q10+(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Inputs!$B$3&gt;=113</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2656=TRUE)*(F2656-Calc!F20)),(Inputs!$B$23+0+(IF(ArtifactsInput!$M$15,CHOOSE(ArtifactsInput!$N$15+1,25,30,35,40,45,50)/100*(Inputs!$B$11-Inputs!$B$11),0))))/100+(Inputs!$B$23+0+(IF(ArtifactsInput!$M$15,CHOOSE(ArtifactsInput!$N$15+1,25,30,35,40,45,50)/100*(Inputs!$B$11-Inputs!$B$11),0)))/100)/2</f>
        <v/>
      </c>
      <c r="M2647">
        <f>L2647*(1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IF(B2675=0,0,O2647/B2675)</f>
        <v/>
      </c>
      <c r="Q2647" t="n">
        <v>0</v>
      </c>
      <c r="R2647" t="n">
        <v>0</v>
      </c>
      <c r="S2647">
        <f>IFERROR(O2647/N2647,0)</f>
        <v/>
      </c>
      <c r="T2647">
        <f>IF(C2647,((H2647*B2678)/(1+Skills!H11*H2647*B2678)*N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IF(C2647,((H2647*B2678)/(1+Skills!H11*H2647*B2678)*N2647)*IF(Inputs!$B$38="pvp",1,(1+(Inputs!$B$21+Skills!Q11+(IF(ArtifactsInput!$M$33,CHOOSE(ArtifactsInput!$N$33+1,30,36,42,48,54,60),0))+(IF(AND(ArtifactsInput!$M$35,Inputs!$B$4&lt;&gt;"Chapter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Inputs!$B$3&gt;=100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T2648" t="inlineStr"/>
      <c r="V2648" t="inlineStr"/>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IF(B2675=0,0,O2649/B2675)</f>
        <v/>
      </c>
      <c r="Q2649" t="n">
        <v>0</v>
      </c>
      <c r="R2649" t="n">
        <v>0</v>
      </c>
      <c r="S2649">
        <f>IFERROR(O2649/N2649,0)</f>
        <v/>
      </c>
      <c r="T2649" t="n">
        <v>0</v>
      </c>
      <c r="V2649" t="n">
        <v>0</v>
      </c>
    </row>
    <row r="2650">
      <c r="A2650">
        <f>Skills!A14</f>
        <v/>
      </c>
      <c r="B2650">
        <f>Skills!B14</f>
        <v/>
      </c>
      <c r="C2650">
        <f>Inputs!$B$3&gt;=115</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IF(B2675=0,0,O2650/B2675)</f>
        <v/>
      </c>
      <c r="Q2650">
        <f>IFERROR(1/(IF(Inputs!$B$38="pvp",15,MAX(0.1,Skills!D14-IF(TRUE=TRUE,Inputs!$B$32,0)))*(1-IF(AND(ArtifactsInput!$M$27,Inputs!$B$4="Chapter Hunt"),CHOOSE(ArtifactsInput!$N$27+1,20,24,28,32,36,40),0)/100)),0)</f>
        <v/>
      </c>
      <c r="R2650">
        <f>IF(AND(Inputs!$B$38&lt;&gt;"pvp",Inputs!$B$43&gt;0),IF(Inputs!$B$43&lt;=0,0,(INT(Inputs!$B$43/(IF(Inputs!$B$38="pvp",15,MAX(0.1,Skills!D14-IF(TRUE=TRUE,Inputs!$B$32,0)))*(1-IF(AND(ArtifactsInput!$M$27,Inputs!$B$4="Chapter Hunt"),CHOOSE(ArtifactsInput!$N$27+1,20,24,28,32,36,40),0)/100)))+1)),0)</f>
        <v/>
      </c>
      <c r="S2650">
        <f>IFERROR(O2650/N2650,0)</f>
        <v/>
      </c>
      <c r="T2650" t="n">
        <v>0</v>
      </c>
      <c r="V2650" t="n">
        <v>0</v>
      </c>
    </row>
    <row r="2651">
      <c r="A2651">
        <f>Skills!A15</f>
        <v/>
      </c>
      <c r="B2651">
        <f>Skills!B15</f>
        <v/>
      </c>
      <c r="C2651">
        <f>Inputs!$B$3&gt;=125</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IF(B2675=0,0,O2651/B2675)</f>
        <v/>
      </c>
      <c r="Q2651">
        <f>IFERROR(1/(IF(Inputs!$B$38="pvp",15,MAX(0.1,Skills!D15-IF(TRUE=TRUE,Inputs!$B$32,0)))*(1-IF(AND(ArtifactsInput!$M$27,Inputs!$B$4="Chapter Hunt"),CHOOSE(ArtifactsInput!$N$27+1,20,24,28,32,36,40),0)/100)),0)</f>
        <v/>
      </c>
      <c r="R2651">
        <f>IF(AND(Inputs!$B$38&lt;&gt;"pvp",Inputs!$B$43&gt;0),IF(Inputs!$B$43&lt;=0,0,(INT(Inputs!$B$43/(IF(Inputs!$B$38="pvp",15,MAX(0.1,Skills!D15-IF(TRUE=TRUE,Inputs!$B$32,0)))*(1-IF(AND(ArtifactsInput!$M$27,Inputs!$B$4="Chapter Hunt"),CHOOSE(ArtifactsInput!$N$27+1,20,24,28,32,36,40),0)/100)))+1)),0)</f>
        <v/>
      </c>
      <c r="S2651">
        <f>IFERROR(O2651/N2651,0)</f>
        <v/>
      </c>
      <c r="T2651" t="n">
        <v>0</v>
      </c>
      <c r="V2651" t="n">
        <v>0</v>
      </c>
    </row>
    <row r="2652">
      <c r="A2652">
        <f>Skills!A16</f>
        <v/>
      </c>
      <c r="B2652">
        <f>Skills!B16</f>
        <v/>
      </c>
      <c r="C2652">
        <f>Inputs!$B$3&gt;=10</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IF(B2675=0,0,O2652/B2675)</f>
        <v/>
      </c>
      <c r="Q2652" t="n">
        <v>0</v>
      </c>
      <c r="R2652" t="n">
        <v>0</v>
      </c>
      <c r="S2652">
        <f>IFERROR(O2652/N2652,0)</f>
        <v/>
      </c>
      <c r="T2652" t="n">
        <v>0</v>
      </c>
      <c r="V2652" t="n">
        <v>0</v>
      </c>
    </row>
    <row r="2653">
      <c r="A2653">
        <f>Skills!A17</f>
        <v/>
      </c>
      <c r="B2653">
        <f>Skills!B17</f>
        <v/>
      </c>
      <c r="C2653">
        <f>Inputs!$B$3&gt;=15</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IF(B2675=0,0,O2653/B2675)</f>
        <v/>
      </c>
      <c r="Q2653" t="n">
        <v>0</v>
      </c>
      <c r="R2653" t="n">
        <v>0</v>
      </c>
      <c r="S2653">
        <f>IFERROR(O2653/N2653,0)</f>
        <v/>
      </c>
      <c r="T2653" t="n">
        <v>0</v>
      </c>
      <c r="V2653" t="n">
        <v>0</v>
      </c>
    </row>
    <row r="2654">
      <c r="A2654">
        <f>Skills!A18</f>
        <v/>
      </c>
      <c r="B2654">
        <f>Skills!B18</f>
        <v/>
      </c>
      <c r="C2654">
        <f>Inputs!$B$3&gt;=33</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IF(B2675=0,0,O2654/B2675)</f>
        <v/>
      </c>
      <c r="Q2654" t="n">
        <v>0</v>
      </c>
      <c r="R2654" t="n">
        <v>0</v>
      </c>
      <c r="S2654">
        <f>IFERROR(O2654/N2654,0)</f>
        <v/>
      </c>
      <c r="T2654" t="n">
        <v>0</v>
      </c>
      <c r="V2654" t="n">
        <v>0</v>
      </c>
    </row>
    <row r="2655">
      <c r="A2655">
        <f>Skills!A19</f>
        <v/>
      </c>
      <c r="B2655">
        <f>Skills!B19</f>
        <v/>
      </c>
      <c r="C2655">
        <f>Inputs!$B$3&gt;=40</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IF(B2675=0,0,O2655/B2675)</f>
        <v/>
      </c>
      <c r="Q2655" t="n">
        <v>0</v>
      </c>
      <c r="R2655" t="n">
        <v>0</v>
      </c>
      <c r="S2655">
        <f>IFERROR(O2655/N2655,0)</f>
        <v/>
      </c>
      <c r="T2655" t="n">
        <v>0</v>
      </c>
      <c r="V2655" t="n">
        <v>0</v>
      </c>
    </row>
    <row r="2656">
      <c r="A2656">
        <f>Skills!A20</f>
        <v/>
      </c>
      <c r="B2656">
        <f>Skills!B20</f>
        <v/>
      </c>
      <c r="C2656">
        <f>Inputs!$B$3&gt;=43</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IF(B2675=0,0,O2656/B2675)</f>
        <v/>
      </c>
      <c r="Q2656" t="n">
        <v>0</v>
      </c>
      <c r="R2656" t="n">
        <v>0</v>
      </c>
      <c r="S2656">
        <f>IFERROR(O2656/N2656,0)</f>
        <v/>
      </c>
      <c r="T2656" t="n">
        <v>0</v>
      </c>
      <c r="V2656" t="n">
        <v>0</v>
      </c>
    </row>
    <row r="2657">
      <c r="A2657">
        <f>Skills!A21</f>
        <v/>
      </c>
      <c r="B2657">
        <f>Skills!B21</f>
        <v/>
      </c>
      <c r="C2657">
        <f>Inputs!$B$3&gt;=38</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IF(B2675=0,0,O2657/B2675)</f>
        <v/>
      </c>
      <c r="Q2657" t="n">
        <v>0</v>
      </c>
      <c r="R2657" t="n">
        <v>0</v>
      </c>
      <c r="S2657">
        <f>IFERROR(O2657/N2657,0)</f>
        <v/>
      </c>
      <c r="T2657" t="n">
        <v>0</v>
      </c>
      <c r="V2657" t="n">
        <v>0</v>
      </c>
    </row>
    <row r="2658">
      <c r="A2658">
        <f>Skills!A22</f>
        <v/>
      </c>
      <c r="B2658">
        <f>Skills!B22</f>
        <v/>
      </c>
      <c r="C2658">
        <f>Inputs!$B$3&gt;=75</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IF(B2675=0,0,O2658/B2675)</f>
        <v/>
      </c>
      <c r="Q2658" t="n">
        <v>0</v>
      </c>
      <c r="R2658" t="n">
        <v>0</v>
      </c>
      <c r="S2658">
        <f>IFERROR(O2658/N2658,0)</f>
        <v/>
      </c>
      <c r="T2658" t="n">
        <v>0</v>
      </c>
      <c r="V2658" t="n">
        <v>0</v>
      </c>
    </row>
    <row r="2659">
      <c r="A2659">
        <f>Skills!A23</f>
        <v/>
      </c>
      <c r="B2659">
        <f>Skills!B23</f>
        <v/>
      </c>
      <c r="C2659">
        <f>TRUE</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IF(B2675=0,0,O2659/B2675)</f>
        <v/>
      </c>
      <c r="Q2659">
        <f>IFERROR(1/(IF(Inputs!$B$38="pvp",15,MAX(0.1,Skills!D23-IF(TRUE=TRUE,Inputs!$B$32,0)))*(1-IF(AND(ArtifactsInput!$M$27,Inputs!$B$4="Chapter Hunt"),CHOOSE(ArtifactsInput!$N$27+1,20,24,28,32,36,40),0)/100)),0)</f>
        <v/>
      </c>
      <c r="R2659">
        <f>IF(AND(Inputs!$B$38&lt;&gt;"pvp",Inputs!$B$43&gt;0),IF(Inputs!$B$43&lt;=0,0,(INT(Inputs!$B$43/(IF(Inputs!$B$38="pvp",15,MAX(0.1,Skills!D23-IF(TRUE=TRUE,Inputs!$B$32,0)))*(1-IF(AND(ArtifactsInput!$M$27,Inputs!$B$4="Chapter Hunt"),CHOOSE(ArtifactsInput!$N$27+1,20,24,28,32,36,40),0)/100)))+1)),0)</f>
        <v/>
      </c>
      <c r="S2659">
        <f>IFERROR(O2659/N2659,0)</f>
        <v/>
      </c>
      <c r="T2659" t="n">
        <v>0</v>
      </c>
      <c r="V2659" t="n">
        <v>0</v>
      </c>
    </row>
    <row r="2660">
      <c r="A2660">
        <f>Skills!A24</f>
        <v/>
      </c>
      <c r="B2660">
        <f>Skills!B24</f>
        <v/>
      </c>
      <c r="C2660">
        <f>Inputs!$B$3&gt;=107</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IF(B2675=0,0,O2660/B2675)</f>
        <v/>
      </c>
      <c r="Q2660">
        <f>IFERROR(1/(IF(Inputs!$B$38="pvp",15,MAX(0.1,Skills!D24-IF(TRUE=TRUE,Inputs!$B$32,0)))*(1-IF(AND(ArtifactsInput!$M$27,Inputs!$B$4="Chapter Hunt"),CHOOSE(ArtifactsInput!$N$27+1,20,24,28,32,36,40),0)/100)),0)</f>
        <v/>
      </c>
      <c r="R2660">
        <f>IF(AND(Inputs!$B$38&lt;&gt;"pvp",Inputs!$B$43&gt;0),IF(Inputs!$B$43&lt;=0,0,(INT(Inputs!$B$43/(IF(Inputs!$B$38="pvp",15,MAX(0.1,Skills!D24-IF(TRUE=TRUE,Inputs!$B$32,0)))*(1-IF(AND(ArtifactsInput!$M$27,Inputs!$B$4="Chapter Hunt"),CHOOSE(ArtifactsInput!$N$27+1,20,24,28,32,36,40),0)/100)))+1)),0)</f>
        <v/>
      </c>
      <c r="S2660">
        <f>IFERROR(O2660/N2660,0)</f>
        <v/>
      </c>
      <c r="T2660" t="n">
        <v>0</v>
      </c>
      <c r="V2660" t="n">
        <v>0</v>
      </c>
    </row>
    <row r="2661">
      <c r="A2661">
        <f>Skills!A25</f>
        <v/>
      </c>
      <c r="B2661">
        <f>Skills!B25</f>
        <v/>
      </c>
      <c r="C2661">
        <f>Inputs!$B$3&gt;=110</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t="inlineStr"/>
      <c r="H2661" t="inlineStr"/>
      <c r="I2661" t="inlineStr">
        <is>
          <t>1</t>
        </is>
      </c>
      <c r="J2661" t="inlineStr"/>
      <c r="K2661" t="inlineStr"/>
      <c r="L2661" t="inlineStr"/>
      <c r="M2661" t="inlineStr"/>
      <c r="N2661" t="inlineStr"/>
      <c r="O2661" t="inlineStr"/>
      <c r="P2661" t="inlineStr"/>
      <c r="Q2661" t="inlineStr"/>
      <c r="R2661" t="inlineStr"/>
      <c r="S2661" t="inlineStr"/>
      <c r="T2661" t="inlineStr"/>
      <c r="V2661" t="inlineStr"/>
    </row>
    <row r="2662">
      <c r="A2662">
        <f>Skills!A26</f>
        <v/>
      </c>
      <c r="B2662">
        <f>Skills!B26</f>
        <v/>
      </c>
      <c r="C2662">
        <f>Inputs!$B$3&gt;=117</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t="inlineStr"/>
      <c r="H2662" t="inlineStr"/>
      <c r="I2662" t="inlineStr">
        <is>
          <t>1</t>
        </is>
      </c>
      <c r="J2662" t="inlineStr"/>
      <c r="K2662" t="inlineStr"/>
      <c r="L2662" t="inlineStr"/>
      <c r="M2662" t="inlineStr"/>
      <c r="N2662" t="inlineStr"/>
      <c r="O2662" t="inlineStr"/>
      <c r="P2662" t="inlineStr"/>
      <c r="Q2662" t="inlineStr"/>
      <c r="R2662" t="inlineStr"/>
      <c r="S2662" t="inlineStr"/>
      <c r="T2662" t="inlineStr"/>
      <c r="V2662" t="inlineStr"/>
    </row>
    <row r="2664">
      <c r="A2664" t="inlineStr">
        <is>
          <t>Attack% Bucket Multiplier</t>
        </is>
      </c>
      <c r="B2664">
        <f>(1+(((C2649=TRUE)*F2649*5/7)+((C2655=TRUE)*(F2655-Calc!F19))+(IF(ArtifactsInput!$M$21,CHOOSE(ArtifactsInput!$N$21+1,25,30,35,40,45,50)*(IF(OR(Inputs!$B$4="Chapter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5">
      <c r="A2665" t="inlineStr">
        <is>
          <t>Global Crit Rate Bonus %</t>
        </is>
      </c>
      <c r="B2665" t="n">
        <v>0</v>
      </c>
    </row>
    <row r="2666">
      <c r="A2666" t="inlineStr">
        <is>
          <t>Attack Speed Buff Bonus % (Nimble Feet + Speed Infusion, duty-cycle averaged)</t>
        </is>
      </c>
      <c r="B2666">
        <f>((C2659=TRUE)*F2659*IF(AND(Inputs!$B$38&lt;&gt;"pvp",Inputs!$B$43&gt;0),(((R2659-1)*MIN((Skills!T23*(1+Inputs!$B$34/100)),(1/Q2659))+MIN((Skills!T23*(1+Inputs!$B$34/100)),MAX(0,Inputs!$B$43-((R2659-1)*(1/Q2659)))))/Inputs!$B$43),IF(Inputs!$B$38="pvp",MIN((Skills!T23*(1+Inputs!$B$34/100)),15)/15,MIN(1,(Skills!T23*(1+Inputs!$B$34/100))/(1/Q2659)))))+((C2660=TRUE)*F2660*IF(AND(Inputs!$B$38&lt;&gt;"pvp",Inputs!$B$43&gt;0),(((R2660-1)*MIN((Skills!T24*(1+Inputs!$B$34/100)),(1/Q2660))+MIN((Skills!T24*(1+Inputs!$B$34/100)),MAX(0,Inputs!$B$43-((R2660-1)*(1/Q2660)))))/Inputs!$B$43),IF(Inputs!$B$38="pvp",MIN((Skills!T24*(1+Inputs!$B$34/100)),15)/15,MIN(1,(Skills!T24*(1+Inputs!$B$34/100))/(1/Q2660)))))</f>
        <v/>
      </c>
    </row>
    <row r="2667">
      <c r="A2667" t="inlineStr">
        <is>
          <t>Actions Per Second</t>
        </is>
      </c>
      <c r="B2667">
        <f>1+MIN(150,150*(1-(1-(Inputs!$B$11+((C2653=TRUE)*(F2653-Calc!F17))+((C2654=TRUE)*(F2654-Calc!F18)))/150)*(1-B2666/150)))/100</f>
        <v/>
      </c>
    </row>
    <row r="2668">
      <c r="A2668" t="inlineStr">
        <is>
          <t>Skill + Buff Cast Rate</t>
        </is>
      </c>
      <c r="B2668">
        <f>IF(AND(Inputs!$B$38&lt;&gt;"pvp",Inputs!$B$43&gt;0),SUMPRODUCT((Skills!E2:E26=TRUE)*(C2638:C2662=TRUE)*R2638:R2662*Skills!F2:F26)/Inputs!$B$43,SUMPRODUCT((Skills!E2:E26=TRUE)*(C2638:C2662=TRUE)*Q2638:Q2662*Skills!F2:F26))</f>
        <v/>
      </c>
    </row>
    <row r="2669">
      <c r="A2669" t="inlineStr">
        <is>
          <t>Hook Bomber Casts Per Second</t>
        </is>
      </c>
      <c r="B2669">
        <f>MAX(0,B2667-B2668)</f>
        <v/>
      </c>
    </row>
    <row r="2670">
      <c r="A2670" t="inlineStr">
        <is>
          <t>Global Critical Damage Bonus % (unused)</t>
        </is>
      </c>
      <c r="B2670" t="n">
        <v>0</v>
      </c>
    </row>
    <row r="2671">
      <c r="A2671" t="inlineStr">
        <is>
          <t>Global Final Damage Bonus % (Serpent Scale + Crossbones + Time Leap + Speed Infusion)</t>
        </is>
      </c>
      <c r="B2671">
        <f>((C2641=TRUE)*(F2641*B2677+4*(1-B2677)))+((C2650=TRUE)*F2650*IF(AND(Inputs!$B$38&lt;&gt;"pvp",Inputs!$B$43&gt;0),(((R2650-1)*MIN((Skills!T14*(1+Inputs!$B$34/100)),(1/Q2650))+MIN((Skills!T14*(1+Inputs!$B$34/100)),MAX(0,Inputs!$B$43-((R2650-1)*(1/Q2650)))))/Inputs!$B$43),IF(Inputs!$B$38="pvp",MIN((Skills!T14*(1+Inputs!$B$34/100)),15)/15,MIN(1,(Skills!T14*(1+Inputs!$B$34/100))/(1/Q2650)))))+((C2651=TRUE)*F2651*IF(AND(Inputs!$B$38&lt;&gt;"pvp",Inputs!$B$43&gt;0),(((R2651-1)*MIN((Skills!T15*(1+Inputs!$B$34/100)),(1/Q2651))+MIN((Skills!T15*(1+Inputs!$B$34/100)),MAX(0,Inputs!$B$43-((R2651-1)*(1/Q2651)))))/Inputs!$B$43),IF(Inputs!$B$38="pvp",MIN((Skills!T15*(1+Inputs!$B$34/100)),15)/15,MIN(1,(Skills!T15*(1+Inputs!$B$34/100))/(1/Q2651)))))+((C2660=TRUE)*20*((1+MIN(150,150*(1-(1-(Inputs!$B$11+((C2653=TRUE)*(F2653-Calc!F17))+((C2654=TRUE)*(F2654-Calc!F18)))/150)*(1-(((C2659=TRUE)*F2659*IF(AND(Inputs!$B$38&lt;&gt;"pvp",Inputs!$B$43&gt;0),(((R2659-1)*MIN((Skills!T23*(1+Inputs!$B$34/100)),(1/Q2659))+MIN((Skills!T23*(1+Inputs!$B$34/100)),MAX(0,Inputs!$B$43-((R2659-1)*(1/Q2659)))))/Inputs!$B$43),IF(Inputs!$B$38="pvp",MIN((Skills!T23*(1+Inputs!$B$34/100)),15)/15,MIN(1,(Skills!T23*(1+Inputs!$B$34/100))/(1/Q2659)))))+F2660)/150)))/100)-1)*IF(AND(Inputs!$B$38&lt;&gt;"pvp",Inputs!$B$43&gt;0),(((R2660-1)*MIN((Skills!T24*(1+Inputs!$B$34/100)),(1/Q2660))+MIN((Skills!T24*(1+Inputs!$B$34/100)),MAX(0,Inputs!$B$43-((R2660-1)*(1/Q2660)))))/Inputs!$B$43),IF(Inputs!$B$38="pvp",MIN((Skills!T24*(1+Inputs!$B$34/100)),15)/15,MIN(1,(Skills!T24*(1+Inputs!$B$34/100))/(1/Q2660)))))</f>
        <v/>
      </c>
    </row>
    <row r="2672">
      <c r="A2672" t="inlineStr">
        <is>
          <t>Buff-Casting Startup Delay (s, fixed-duration only)</t>
        </is>
      </c>
      <c r="B2672">
        <f>IF(AND(Inputs!$B$38&lt;&gt;"pvp",Inputs!$B$43&gt;0),SUMPRODUCT((Skills!T2:T26&gt;0)*(Skills!E2:E26=TRUE)*(C2638:C2662=TRUE))/B2667,0)</f>
        <v/>
      </c>
    </row>
    <row r="2673">
      <c r="A2673" t="inlineStr">
        <is>
          <t>Boss-Only Total DPS (this block's swept value)</t>
        </is>
      </c>
      <c r="B2673">
        <f>SUM(T2638:T2662)</f>
        <v/>
      </c>
    </row>
    <row r="2674">
      <c r="A2674" t="inlineStr">
        <is>
          <t>Normal-Only Total DPS (this block's swept value)</t>
        </is>
      </c>
      <c r="B2674">
        <f>SUM(V2638:V2662)</f>
        <v/>
      </c>
    </row>
    <row r="2675">
      <c r="A2675" s="6" t="inlineStr">
        <is>
          <t>TOTAL DPS</t>
        </is>
      </c>
      <c r="B2675" s="6">
        <f>SUM(O2638:O2662)</f>
        <v/>
      </c>
    </row>
    <row r="2676">
      <c r="A2676" t="inlineStr">
        <is>
          <t>Serpent activation interval T (this block's own Hook Bomber rate)</t>
        </is>
      </c>
      <c r="B2676">
        <f>((1/Q2639)+IFERROR(0.5/B2669,0))</f>
        <v/>
      </c>
    </row>
    <row r="2677">
      <c r="A2677" t="inlineStr">
        <is>
          <t>Assault Mode uptime u (this block)</t>
        </is>
      </c>
      <c r="B2677">
        <f>IF(C2641=TRUE,(10+IF(Inputs!$B$3&gt;=94,5,0))/((10+IF(Inputs!$B$3&gt;=94,5,0))+IF(Inputs!$B$3&gt;=104,3,5)*B2676),0)</f>
        <v/>
      </c>
    </row>
    <row r="2678">
      <c r="A2678" t="inlineStr">
        <is>
          <t>Nautilus Strike - Final Attack trigger rate (this block's own Q/R)</t>
        </is>
      </c>
      <c r="B2678">
        <f>IF(AND(Inputs!$B$38&lt;&gt;"pvp",Inputs!$B$43&gt;0),(((C2642=TRUE)*R2642)+((C2643=TRUE)*R2643)+((C2646=TRUE)*R2646))/Inputs!$B$43,((C2642=TRUE)*Q2642)+((C2643=TRUE)*Q2643)+((C2646=TRUE)*Q2646))+B2669</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2701=TRUE)*(F2701-Calc!F20)),(Inputs!$B$23+0+(IF(ArtifactsInput!$M$15,CHOOSE(ArtifactsInput!$N$15+1,25,30,35,40,45,50)/100*(Inputs!$B$11-Inputs!$B$11),0))))/100+(Inputs!$B$23+0+(IF(ArtifactsInput!$M$15,CHOOSE(ArtifactsInput!$N$15+1,25,30,35,40,45,50)/100*(Inputs!$B$11-Inputs!$B$11),0)))/100)/2</f>
        <v/>
      </c>
      <c r="M2683">
        <f>L2683*(1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IF(B2720=0,0,O2683/B2720)</f>
        <v/>
      </c>
      <c r="Q2683" t="n">
        <v>0</v>
      </c>
      <c r="R2683" t="n">
        <v>0</v>
      </c>
      <c r="S2683">
        <f>IFERROR(O2683/N2683,0)</f>
        <v/>
      </c>
      <c r="T2683">
        <f>IF(C2683,(Skills!G2*N2683*B2714)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IF(C2683,(Skills!G2*N2683*B2714)*IF(Inputs!$B$38="pvp",1,(1+(Inputs!$B$21+Skills!Q2+(IF(ArtifactsInput!$M$33,CHOOSE(ArtifactsInput!$N$33+1,30,36,42,48,54,60),0))+(IF(AND(ArtifactsInput!$M$35,Inputs!$B$4&lt;&gt;"Chapter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Inputs!$B$3&gt;=35</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f>Skills!G3*IF(Skills!H3&gt;0,Skills!I3/Skills!H3,1)</f>
        <v/>
      </c>
      <c r="H2684">
        <f>1-(1-Skills!J3/100)^Skills!K3</f>
        <v/>
      </c>
      <c r="I2684" t="inlineStr">
        <is>
          <t>1</t>
        </is>
      </c>
      <c r="J2684">
        <f>((Inputs!$B$6*(1+Inputs!$B$7/100))+(((Inputs!$B$12*(1+Inputs!$B$13/100))-(Inputs!$B$12*(1+Inputs!$B$13/100)))+0.25*(Inputs!$B$14-Inputs!$B$14))*(1+Inputs!$B$7/100))*(F2684/100)</f>
        <v/>
      </c>
      <c r="K2684">
        <f>J2684*(1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2706=TRUE,F2706,0)/100)*(1+(IF(Skills!A3="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2684)</f>
        <v/>
      </c>
      <c r="L2684">
        <f>K2684*(MIN(Inputs!$B$22+((C2701=TRUE)*(F2701-Calc!F20)),(Inputs!$B$23+0+(IF(ArtifactsInput!$M$15,CHOOSE(ArtifactsInput!$N$15+1,25,30,35,40,45,50)/100*(Inputs!$B$11-Inputs!$B$11),0))))/100+(Inputs!$B$23+0+(IF(ArtifactsInput!$M$15,CHOOSE(ArtifactsInput!$N$15+1,25,30,35,40,45,50)/100*(Inputs!$B$11-Inputs!$B$11),0)))/100)/2</f>
        <v/>
      </c>
      <c r="M2684">
        <f>L2684*(1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4">
        <f>L2684*(1-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2684*(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4">
        <f>(1-Summary!$B$11)*T2684+Summary!$B$11*V2684</f>
        <v/>
      </c>
      <c r="P2684">
        <f>IF(B2720=0,0,O2684/B2720)</f>
        <v/>
      </c>
      <c r="Q2684">
        <f>IFERROR(1/(IF(Inputs!$B$38="pvp",15,MAX(0.1,Skills!D3-IF(TRUE=TRUE,Inputs!$B$32,0)))*(1-IF(AND(ArtifactsInput!$M$27,Inputs!$B$4="Chapter Hunt"),CHOOSE(ArtifactsInput!$N$27+1,20,24,28,32,36,40),0)/100)),0)</f>
        <v/>
      </c>
      <c r="R2684">
        <f>IF(AND(Inputs!$B$38&lt;&gt;"pvp",Inputs!$B$43&gt;0),IF(MAX(0,Inputs!$B$43-B2717)&lt;=0,0,(INT(MAX(0,Inputs!$B$43-B2717)/(IF(Inputs!$B$38="pvp",15,MAX(0.1,Skills!D3-IF(TRUE=TRUE,Inputs!$B$32,0)))*(1-IF(AND(ArtifactsInput!$M$27,Inputs!$B$4="Chapter Hunt"),CHOOSE(ArtifactsInput!$N$27+1,20,24,28,32,36,40),0)/100)))+1)),0)</f>
        <v/>
      </c>
      <c r="S2684">
        <f>IFERROR(O2684/N2684,0)</f>
        <v/>
      </c>
      <c r="T2684">
        <f>IF(C2684,(Skills!G3*N2684*IF(C2685=TRUE,1-B2722,1)/B2721)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2684*(1-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2684*(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2684*(1-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2684*(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4">
        <f>INDEX(FactorTable!$B$2:$Y$301, MATCH(ROUND(MIN(300,MAX(1,U2683)),0), FactorTable!$A$2:$A$301,0), 22)</f>
        <v/>
      </c>
      <c r="V2684">
        <f>IF(C2684,(Skills!G3*N2684*IF(C2685=TRUE,1-B2722,1)/B2721)*IF(Inputs!$B$38="pvp",1,(1+(Inputs!$B$21+Skills!Q3+(IF(ArtifactsInput!$M$33,CHOOSE(ArtifactsInput!$N$33+1,30,36,42,48,54,60),0))+(IF(AND(ArtifactsInput!$M$35,Inputs!$B$4&lt;&gt;"Chapter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5">
      <c r="A2685">
        <f>Skills!A4</f>
        <v/>
      </c>
      <c r="B2685">
        <f>Skills!B4</f>
        <v/>
      </c>
      <c r="C2685">
        <f>Inputs!$B$3&gt;=69</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f>Skills!G4*IF(Skills!H4&gt;0,Skills!I4/Skills!H4,1)</f>
        <v/>
      </c>
      <c r="H2685">
        <f>1-(1-Skills!J4/100)^Skills!K4</f>
        <v/>
      </c>
      <c r="I2685" t="inlineStr">
        <is>
          <t>1</t>
        </is>
      </c>
      <c r="J2685">
        <f>((Inputs!$B$6*(1+Inputs!$B$7/100))+(((Inputs!$B$12*(1+Inputs!$B$13/100))-(Inputs!$B$12*(1+Inputs!$B$13/100)))+0.25*(Inputs!$B$14-Inputs!$B$14))*(1+Inputs!$B$7/100))*(F2685/100)</f>
        <v/>
      </c>
      <c r="K2685">
        <f>J2685*(1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2693=TRUE,F2693,0)/100)*(1+(IF(Skills!A4="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2685)</f>
        <v/>
      </c>
      <c r="L2685">
        <f>K2685*(MIN(Inputs!$B$22+((C2701=TRUE)*(F2701-Calc!F20)),(Inputs!$B$23+0+(IF(ArtifactsInput!$M$15,CHOOSE(ArtifactsInput!$N$15+1,25,30,35,40,45,50)/100*(Inputs!$B$11-Inputs!$B$11),0))))/100+(Inputs!$B$23+0+(IF(ArtifactsInput!$M$15,CHOOSE(ArtifactsInput!$N$15+1,25,30,35,40,45,50)/100*(Inputs!$B$11-Inputs!$B$11),0)))/100)/2</f>
        <v/>
      </c>
      <c r="M2685">
        <f>L2685*(1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5">
        <f>L2685*(1-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2685*(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5">
        <f>(1-Summary!$B$11)*T2685+Summary!$B$11*V2685</f>
        <v/>
      </c>
      <c r="P2685">
        <f>IF(B2720=0,0,O2685/B2720)</f>
        <v/>
      </c>
      <c r="Q2685" t="n">
        <v>0</v>
      </c>
      <c r="R2685" t="n">
        <v>0</v>
      </c>
      <c r="S2685">
        <f>IFERROR(O2685/N2685,0)</f>
        <v/>
      </c>
      <c r="T2685">
        <f>IF(C2685,(Skills!G4*N2685*B2722/B2721)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2685*(1-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2685*(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2685*(1-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2685*(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5">
        <f>290*U2684/1000</f>
        <v/>
      </c>
      <c r="V2685">
        <f>IF(C2685,(Skills!G4*N2685*B2722/B2721)*IF(Inputs!$B$38="pvp",1,(1+(Inputs!$B$21+Skills!Q4+(IF(ArtifactsInput!$M$33,CHOOSE(ArtifactsInput!$N$33+1,30,36,42,48,54,60),0))+(IF(AND(ArtifactsInput!$M$35,Inputs!$B$4&lt;&gt;"Chapter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6">
      <c r="A2686">
        <f>Skills!A5</f>
        <v/>
      </c>
      <c r="B2686">
        <f>Skills!B5</f>
        <v/>
      </c>
      <c r="C2686">
        <f>Inputs!$B$3&gt;=66</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t="inlineStr"/>
      <c r="K2686" t="inlineStr"/>
      <c r="L2686" t="inlineStr"/>
      <c r="M2686" t="inlineStr"/>
      <c r="N2686" t="inlineStr"/>
      <c r="O2686">
        <f>(1-Summary!$B$11)*T2686+Summary!$B$11*V2686</f>
        <v/>
      </c>
      <c r="P2686">
        <f>IF(B2720=0,0,O2686/B2720)</f>
        <v/>
      </c>
      <c r="Q2686" t="n">
        <v>0</v>
      </c>
      <c r="R2686" t="n">
        <v>0</v>
      </c>
      <c r="S2686">
        <f>IFERROR(O2686/N2686,0)</f>
        <v/>
      </c>
      <c r="T2686" t="n">
        <v>0</v>
      </c>
      <c r="V2686" t="n">
        <v>0</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2693=TRUE,F2693,0)/100)*(1+(IF(Skills!A6="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2701=TRUE)*(F2701-Calc!F20)),(Inputs!$B$23+0+(IF(ArtifactsInput!$M$15,CHOOSE(ArtifactsInput!$N$15+1,25,30,35,40,45,50)/100*(Inputs!$B$11-Inputs!$B$11),0))))/100+(Inputs!$B$23+0+(IF(ArtifactsInput!$M$15,CHOOSE(ArtifactsInput!$N$15+1,25,30,35,40,45,50)/100*(Inputs!$B$11-Inputs!$B$11),0)))/100)/2</f>
        <v/>
      </c>
      <c r="M2687">
        <f>L2687*(1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IF(B2720=0,0,O2687/B2720)</f>
        <v/>
      </c>
      <c r="Q2687">
        <f>IFERROR(1/(IF(Inputs!$B$38="pvp",15,MAX(0.1,Skills!D6-IF(TRUE=TRUE,Inputs!$B$32,0)))*(1-IF(AND(ArtifactsInput!$M$27,Inputs!$B$4="Chapter Hunt"),CHOOSE(ArtifactsInput!$N$27+1,20,24,28,32,36,40),0)/100)),0)</f>
        <v/>
      </c>
      <c r="R2687">
        <f>IF(AND(Inputs!$B$38&lt;&gt;"pvp",Inputs!$B$43&gt;0),IF(MAX(0,Inputs!$B$43-B2717)&lt;=0,0,(INT(MAX(0,Inputs!$B$43-B2717)/(IF(Inputs!$B$38="pvp",15,MAX(0.1,Skills!D6-IF(TRUE=TRUE,Inputs!$B$32,0)))*(1-IF(AND(ArtifactsInput!$M$27,Inputs!$B$4="Chapter Hunt"),CHOOSE(ArtifactsInput!$N$27+1,20,24,28,32,36,40),0)/100)))+1)),0)</f>
        <v/>
      </c>
      <c r="S2687">
        <f>IFERROR(O2687/N2687,0)</f>
        <v/>
      </c>
      <c r="T2687">
        <f>IF(C2687,(H2687*N2687*IF(AND(Inputs!$B$38&lt;&gt;"pvp",Inputs!$B$43&gt;0),((Skills!G6*((R2687-1)*IF(Skills!H6&gt;0,Skills!I6/Skills!H6,1)+IF(Skills!H6&gt;0,MIN(Skills!I6,MAX(0,MAX(0,Inputs!$B$43-B2717)-((R2687-1)*(IF(Inputs!$B$38="pvp",15,MAX(0.1,Skills!D6-IF(TRUE=TRUE,Inputs!$B$32,0)))*(1-IF(AND(ArtifactsInput!$M$27,Inputs!$B$4="Chapter Hunt"),CHOOSE(ArtifactsInput!$N$27+1,20,24,28,32,36,40),0)/100)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2717)-((R2687-1)*(IF(Inputs!$B$38="pvp",15,MAX(0.1,Skills!D6-IF(TRUE=TRUE,Inputs!$B$32,0)))*(1-IF(AND(ArtifactsInput!$M$27,Inputs!$B$4="Chapter Hunt"),CHOOSE(ArtifactsInput!$N$27+1,20,24,28,32,36,40),0)/100)))))/Skills!H6,1)))/Inputs!$B$43),G2687*Q2687))*IF(Inputs!$B$38="pvp",1,(1+(Inputs!$B$21+Skills!Q6+(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Inputs!$B$3&gt;=103</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2701=TRUE)*(F2701-Calc!F20)),(Inputs!$B$23+0+(IF(ArtifactsInput!$M$15,CHOOSE(ArtifactsInput!$N$15+1,25,30,35,40,45,50)/100*(Inputs!$B$11-Inputs!$B$11),0))))/100+(Inputs!$B$23+0+(IF(ArtifactsInput!$M$15,CHOOSE(ArtifactsInput!$N$15+1,25,30,35,40,45,50)/100*(Inputs!$B$11-Inputs!$B$11),0)))/100)/2</f>
        <v/>
      </c>
      <c r="M2688">
        <f>L2688*(1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IF(B2720=0,0,O2688/B2720)</f>
        <v/>
      </c>
      <c r="Q2688">
        <f>IFERROR(1/(IF(Inputs!$B$38="pvp",15,MAX(0.1,Skills!D7-IF(TRUE=TRUE,Inputs!$B$32,0)))*(1-IF(AND(ArtifactsInput!$M$27,Inputs!$B$4="Chapter Hunt"),CHOOSE(ArtifactsInput!$N$27+1,20,24,28,32,36,40),0)/100)),0)</f>
        <v/>
      </c>
      <c r="R2688">
        <f>IF(AND(Inputs!$B$38&lt;&gt;"pvp",Inputs!$B$43&gt;0),IF(MAX(0,Inputs!$B$43-B2717)&lt;=0,0,(INT(MAX(0,Inputs!$B$43-B2717)/(IF(Inputs!$B$38="pvp",15,MAX(0.1,Skills!D7-IF(TRUE=TRUE,Inputs!$B$32,0)))*(1-IF(AND(ArtifactsInput!$M$27,Inputs!$B$4="Chapter Hunt"),CHOOSE(ArtifactsInput!$N$27+1,20,24,28,32,36,40),0)/100)))+1)),0)</f>
        <v/>
      </c>
      <c r="S2688">
        <f>IFERROR(O2688/N2688,0)</f>
        <v/>
      </c>
      <c r="T2688">
        <f>IF(C2688,(H2688*N2688*IF(AND(Inputs!$B$38&lt;&gt;"pvp",Inputs!$B$43&gt;0),((Skills!G7*((R2688-1)*IF(Skills!H7&gt;0,Skills!I7/Skills!H7,1)+IF(Skills!H7&gt;0,MIN(Skills!I7,MAX(0,MAX(0,Inputs!$B$43-B2717)-((R2688-1)*(IF(Inputs!$B$38="pvp",15,MAX(0.1,Skills!D7-IF(TRUE=TRUE,Inputs!$B$32,0)))*(1-IF(AND(ArtifactsInput!$M$27,Inputs!$B$4="Chapter Hunt"),CHOOSE(ArtifactsInput!$N$27+1,20,24,28,32,36,40),0)/100)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2717)-((R2688-1)*(IF(Inputs!$B$38="pvp",15,MAX(0.1,Skills!D7-IF(TRUE=TRUE,Inputs!$B$32,0)))*(1-IF(AND(ArtifactsInput!$M$27,Inputs!$B$4="Chapter Hunt"),CHOOSE(ArtifactsInput!$N$27+1,20,24,28,32,36,40),0)/100)))))/Skills!H7,1)))/Inputs!$B$43),G2688*Q2688))*IF(Inputs!$B$38="pvp",1,(1+(Inputs!$B$21+Skills!Q7+(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Inputs!$B$3&gt;=117</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f>Skills!G8*IF(Skills!H8&gt;0,Skills!I8/Skills!H8,1)</f>
        <v/>
      </c>
      <c r="H2689">
        <f>1-(1-Skills!J8/100)^Skills!K8</f>
        <v/>
      </c>
      <c r="I2689" t="inlineStr">
        <is>
          <t>1</t>
        </is>
      </c>
      <c r="J2689">
        <f>((Inputs!$B$6*(1+Inputs!$B$7/100))+(((Inputs!$B$12*(1+Inputs!$B$13/100))-(Inputs!$B$12*(1+Inputs!$B$13/100)))+0.25*(Inputs!$B$14-Inputs!$B$14))*(1+Inputs!$B$7/100))*(F2689/100)</f>
        <v/>
      </c>
      <c r="K2689">
        <f>J2689*(1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2701=TRUE)*(F2701-Calc!F20)),(Inputs!$B$23+0+(IF(ArtifactsInput!$M$15,CHOOSE(ArtifactsInput!$N$15+1,25,30,35,40,45,50)/100*(Inputs!$B$11-Inputs!$B$11),0))))/100+(Inputs!$B$23+0+(IF(ArtifactsInput!$M$15,CHOOSE(ArtifactsInput!$N$15+1,25,30,35,40,45,50)/100*(Inputs!$B$11-Inputs!$B$11),0)))/100)/2</f>
        <v/>
      </c>
      <c r="M2689">
        <f>L2689*(1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IF(B2720=0,0,O2689/B2720)</f>
        <v/>
      </c>
      <c r="Q2689">
        <f>IFERROR(1/(IF(Inputs!$B$38="pvp",15,MAX(0.1,Skills!D8-IF(TRUE=TRUE,Inputs!$B$32,0)))*(1-IF(AND(ArtifactsInput!$M$27,Inputs!$B$4="Chapter Hunt"),CHOOSE(ArtifactsInput!$N$27+1,20,24,28,32,36,40),0)/100)),0)</f>
        <v/>
      </c>
      <c r="R2689">
        <f>IF(AND(Inputs!$B$38&lt;&gt;"pvp",Inputs!$B$43&gt;0),IF(MAX(0,Inputs!$B$43-B2717)&lt;=0,0,(INT(MAX(0,Inputs!$B$43-B2717)/(IF(Inputs!$B$38="pvp",15,MAX(0.1,Skills!D8-IF(TRUE=TRUE,Inputs!$B$32,0)))*(1-IF(AND(ArtifactsInput!$M$27,Inputs!$B$4="Chapter Hunt"),CHOOSE(ArtifactsInput!$N$27+1,20,24,28,32,36,40),0)/100)))+1)),0)</f>
        <v/>
      </c>
      <c r="S2689">
        <f>IFERROR(O2689/N2689,0)</f>
        <v/>
      </c>
      <c r="T2689">
        <f>IF(C2689,(H2689*N2689*IF(AND(Inputs!$B$38&lt;&gt;"pvp",Inputs!$B$43&gt;0),((Skills!G8*((R2689-1)*IF(Skills!H8&gt;0,Skills!I8/Skills!H8,1)+IF(Skills!H8&gt;0,MIN(Skills!I8,MAX(0,MAX(0,Inputs!$B$43-B2717)-((R2689-1)*(IF(Inputs!$B$38="pvp",15,MAX(0.1,Skills!D8-IF(TRUE=TRUE,Inputs!$B$32,0)))*(1-IF(AND(ArtifactsInput!$M$27,Inputs!$B$4="Chapter Hunt"),CHOOSE(ArtifactsInput!$N$27+1,20,24,28,32,36,40),0)/100)))))/Skills!H8,1)))/Inputs!$B$43),G2689*Q2689)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9">
        <f>IF(C2689,(H2689*N2689*IF(AND(Inputs!$B$38&lt;&gt;"pvp",Inputs!$B$43&gt;0),((Skills!G8*((R2689-1)*IF(Skills!H8&gt;0,Skills!I8/Skills!H8,1)+IF(Skills!H8&gt;0,MIN(Skills!I8,MAX(0,MAX(0,Inputs!$B$43-B2717)-((R2689-1)*(IF(Inputs!$B$38="pvp",15,MAX(0.1,Skills!D8-IF(TRUE=TRUE,Inputs!$B$32,0)))*(1-IF(AND(ArtifactsInput!$M$27,Inputs!$B$4="Chapter Hunt"),CHOOSE(ArtifactsInput!$N$27+1,20,24,28,32,36,40),0)/100)))))/Skills!H8,1)))/Inputs!$B$43),G2689*Q2689))*IF(Inputs!$B$38="pvp",1,(1+(Inputs!$B$21+Skills!Q8+(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Skills!A9</f>
        <v/>
      </c>
      <c r="B2690">
        <f>Skills!B9</f>
        <v/>
      </c>
      <c r="C2690">
        <f>Inputs!$B$3&gt;=120</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B2722</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2701=TRUE)*(F2701-Calc!F20)),(Inputs!$B$23+0+(IF(ArtifactsInput!$M$15,CHOOSE(ArtifactsInput!$N$15+1,25,30,35,40,45,50)/100*(Inputs!$B$11-Inputs!$B$11),0))))/100+(Inputs!$B$23+0+(IF(ArtifactsInput!$M$15,CHOOSE(ArtifactsInput!$N$15+1,25,30,35,40,45,50)/100*(Inputs!$B$11-Inputs!$B$11),0)))/100)/2</f>
        <v/>
      </c>
      <c r="M2690">
        <f>L2690*(1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IF(B2720=0,0,O2690/B2720)</f>
        <v/>
      </c>
      <c r="Q2690">
        <f>IFERROR(1/(IF(Inputs!$B$38="pvp",15,MAX(0.1,Skills!D9-IF(TRUE=TRUE,Inputs!$B$32,0)))*(1-IF(AND(ArtifactsInput!$M$27,Inputs!$B$4="Chapter Hunt"),CHOOSE(ArtifactsInput!$N$27+1,20,24,28,32,36,40),0)/100)),0)</f>
        <v/>
      </c>
      <c r="R2690">
        <f>IF(AND(Inputs!$B$38&lt;&gt;"pvp",Inputs!$B$43&gt;0),IF(MAX(0,Inputs!$B$43-B2717)&lt;=0,0,(INT(MAX(0,Inputs!$B$43-B2717)/(IF(Inputs!$B$38="pvp",15,MAX(0.1,Skills!D9-IF(TRUE=TRUE,Inputs!$B$32,0)))*(1-IF(AND(ArtifactsInput!$M$27,Inputs!$B$4="Chapter Hunt"),CHOOSE(ArtifactsInput!$N$27+1,20,24,28,32,36,40),0)/100)))+1)),0)</f>
        <v/>
      </c>
      <c r="S2690">
        <f>IFERROR(O2690/N2690,0)</f>
        <v/>
      </c>
      <c r="T2690">
        <f>IF(C2690,(H2690*N2690*IF(AND(Inputs!$B$38&lt;&gt;"pvp",Inputs!$B$43&gt;0),((Skills!G9*((R2690-1)*IF(Skills!H9&gt;0,Skills!I9/Skills!H9,1)+IF(Skills!H9&gt;0,MIN(Skills!I9,MAX(0,MAX(0,Inputs!$B$43-B2717)-((R2690-1)*(IF(Inputs!$B$38="pvp",15,MAX(0.1,Skills!D9-IF(TRUE=TRUE,Inputs!$B$32,0)))*(1-IF(AND(ArtifactsInput!$M$27,Inputs!$B$4="Chapter Hunt"),CHOOSE(ArtifactsInput!$N$27+1,20,24,28,32,36,40),0)/100)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2717)-((R2690-1)*(IF(Inputs!$B$38="pvp",15,MAX(0.1,Skills!D9-IF(TRUE=TRUE,Inputs!$B$32,0)))*(1-IF(AND(ArtifactsInput!$M$27,Inputs!$B$4="Chapter Hunt"),CHOOSE(ArtifactsInput!$N$27+1,20,24,28,32,36,40),0)/100)))))/Skills!H9,1)))/Inputs!$B$43),G2690*Q2690))*IF(Inputs!$B$38="pvp",1,(1+(Inputs!$B$21+Skills!Q9+(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Inputs!$B$3&gt;=105</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2701=TRUE)*(F2701-Calc!F20)),(Inputs!$B$23+0+(IF(ArtifactsInput!$M$15,CHOOSE(ArtifactsInput!$N$15+1,25,30,35,40,45,50)/100*(Inputs!$B$11-Inputs!$B$11),0))))/100+(Inputs!$B$23+0+(IF(ArtifactsInput!$M$15,CHOOSE(ArtifactsInput!$N$15+1,25,30,35,40,45,50)/100*(Inputs!$B$11-Inputs!$B$11),0)))/100)/2</f>
        <v/>
      </c>
      <c r="M2691">
        <f>L2691*(1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IF(B2720=0,0,O2691/B2720)</f>
        <v/>
      </c>
      <c r="Q2691">
        <f>IFERROR(1/(IF(Inputs!$B$38="pvp",15,MAX(0.1,Skills!D10-IF(TRUE=TRUE,Inputs!$B$32,0)))*(1-IF(AND(ArtifactsInput!$M$27,Inputs!$B$4="Chapter Hunt"),CHOOSE(ArtifactsInput!$N$27+1,20,24,28,32,36,40),0)/100)),0)</f>
        <v/>
      </c>
      <c r="R2691">
        <f>IF(AND(Inputs!$B$38&lt;&gt;"pvp",Inputs!$B$43&gt;0),IF(MAX(0,Inputs!$B$43-B2717)&lt;=0,0,(INT(MAX(0,Inputs!$B$43-B2717)/(IF(Inputs!$B$38="pvp",15,MAX(0.1,Skills!D10-IF(TRUE=TRUE,Inputs!$B$32,0)))*(1-IF(AND(ArtifactsInput!$M$27,Inputs!$B$4="Chapter Hunt"),CHOOSE(ArtifactsInput!$N$27+1,20,24,28,32,36,40),0)/100)))+1)),0)</f>
        <v/>
      </c>
      <c r="S2691">
        <f>IFERROR(O2691/N2691,0)</f>
        <v/>
      </c>
      <c r="T2691">
        <f>IF(C2691,(H2691*N2691*IF(AND(Inputs!$B$38&lt;&gt;"pvp",Inputs!$B$43&gt;0),((Skills!G10*((R2691-1)*IF(Skills!H10&gt;0,Skills!I10/Skills!H10,1)+IF(Skills!H10&gt;0,MIN(Skills!I10,MAX(0,MAX(0,Inputs!$B$43-B2717)-((R2691-1)*(IF(Inputs!$B$38="pvp",15,MAX(0.1,Skills!D10-IF(TRUE=TRUE,Inputs!$B$32,0)))*(1-IF(AND(ArtifactsInput!$M$27,Inputs!$B$4="Chapter Hunt"),CHOOSE(ArtifactsInput!$N$27+1,20,24,28,32,36,40),0)/100)))))/Skills!H10,1)))/Inputs!$B$43),G2691*Q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10*((R2691-1)*IF(Skills!H10&gt;0,Skills!I10/Skills!H10,1)+IF(Skills!H10&gt;0,MIN(Skills!I10,MAX(0,MAX(0,Inputs!$B$43-B2717)-((R2691-1)*(IF(Inputs!$B$38="pvp",15,MAX(0.1,Skills!D10-IF(TRUE=TRUE,Inputs!$B$32,0)))*(1-IF(AND(ArtifactsInput!$M$27,Inputs!$B$4="Chapter Hunt"),CHOOSE(ArtifactsInput!$N$27+1,20,24,28,32,36,40),0)/100)))))/Skills!H10,1)))/Inputs!$B$43),G2691*Q2691))*IF(Inputs!$B$38="pvp",1,(1+(Inputs!$B$21+Skills!Q10+(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Inputs!$B$3&gt;=113</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2701=TRUE)*(F2701-Calc!F20)),(Inputs!$B$23+0+(IF(ArtifactsInput!$M$15,CHOOSE(ArtifactsInput!$N$15+1,25,30,35,40,45,50)/100*(Inputs!$B$11-Inputs!$B$11),0))))/100+(Inputs!$B$23+0+(IF(ArtifactsInput!$M$15,CHOOSE(ArtifactsInput!$N$15+1,25,30,35,40,45,50)/100*(Inputs!$B$11-Inputs!$B$11),0)))/100)/2</f>
        <v/>
      </c>
      <c r="M2692">
        <f>L2692*(1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IF(B2720=0,0,O2692/B2720)</f>
        <v/>
      </c>
      <c r="Q2692" t="n">
        <v>0</v>
      </c>
      <c r="R2692" t="n">
        <v>0</v>
      </c>
      <c r="S2692">
        <f>IFERROR(O2692/N2692,0)</f>
        <v/>
      </c>
      <c r="T2692">
        <f>IF(C2692,((H2692*B2723)/(1+Skills!H11*H2692*B2723)*N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IF(C2692,((H2692*B2723)/(1+Skills!H11*H2692*B2723)*N2692)*IF(Inputs!$B$38="pvp",1,(1+(Inputs!$B$21+Skills!Q11+(IF(ArtifactsInput!$M$33,CHOOSE(ArtifactsInput!$N$33+1,30,36,42,48,54,60),0))+(IF(AND(ArtifactsInput!$M$35,Inputs!$B$4&lt;&gt;"Chapter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Inputs!$B$3&gt;=100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T2693" t="inlineStr"/>
      <c r="V2693" t="inlineStr"/>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IF(B2720=0,0,O2694/B2720)</f>
        <v/>
      </c>
      <c r="Q2694" t="n">
        <v>0</v>
      </c>
      <c r="R2694" t="n">
        <v>0</v>
      </c>
      <c r="S2694">
        <f>IFERROR(O2694/N2694,0)</f>
        <v/>
      </c>
      <c r="T2694" t="n">
        <v>0</v>
      </c>
      <c r="V2694" t="n">
        <v>0</v>
      </c>
    </row>
    <row r="2695">
      <c r="A2695">
        <f>Skills!A14</f>
        <v/>
      </c>
      <c r="B2695">
        <f>Skills!B14</f>
        <v/>
      </c>
      <c r="C2695">
        <f>Inputs!$B$3&gt;=115</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IF(B2720=0,0,O2695/B2720)</f>
        <v/>
      </c>
      <c r="Q2695">
        <f>IFERROR(1/(IF(Inputs!$B$38="pvp",15,MAX(0.1,Skills!D14-IF(TRUE=TRUE,Inputs!$B$32,0)))*(1-IF(AND(ArtifactsInput!$M$27,Inputs!$B$4="Chapter Hunt"),CHOOSE(ArtifactsInput!$N$27+1,20,24,28,32,36,40),0)/100)),0)</f>
        <v/>
      </c>
      <c r="R2695">
        <f>IF(AND(Inputs!$B$38&lt;&gt;"pvp",Inputs!$B$43&gt;0),IF(Inputs!$B$43&lt;=0,0,(INT(Inputs!$B$43/(IF(Inputs!$B$38="pvp",15,MAX(0.1,Skills!D14-IF(TRUE=TRUE,Inputs!$B$32,0)))*(1-IF(AND(ArtifactsInput!$M$27,Inputs!$B$4="Chapter Hunt"),CHOOSE(ArtifactsInput!$N$27+1,20,24,28,32,36,40),0)/100)))+1)),0)</f>
        <v/>
      </c>
      <c r="S2695">
        <f>IFERROR(O2695/N2695,0)</f>
        <v/>
      </c>
      <c r="T2695" t="n">
        <v>0</v>
      </c>
      <c r="V2695" t="n">
        <v>0</v>
      </c>
    </row>
    <row r="2696">
      <c r="A2696">
        <f>Skills!A15</f>
        <v/>
      </c>
      <c r="B2696">
        <f>Skills!B15</f>
        <v/>
      </c>
      <c r="C2696">
        <f>Inputs!$B$3&gt;=125</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IF(B2720=0,0,O2696/B2720)</f>
        <v/>
      </c>
      <c r="Q2696">
        <f>IFERROR(1/(IF(Inputs!$B$38="pvp",15,MAX(0.1,Skills!D15-IF(TRUE=TRUE,Inputs!$B$32,0)))*(1-IF(AND(ArtifactsInput!$M$27,Inputs!$B$4="Chapter Hunt"),CHOOSE(ArtifactsInput!$N$27+1,20,24,28,32,36,40),0)/100)),0)</f>
        <v/>
      </c>
      <c r="R2696">
        <f>IF(AND(Inputs!$B$38&lt;&gt;"pvp",Inputs!$B$43&gt;0),IF(Inputs!$B$43&lt;=0,0,(INT(Inputs!$B$43/(IF(Inputs!$B$38="pvp",15,MAX(0.1,Skills!D15-IF(TRUE=TRUE,Inputs!$B$32,0)))*(1-IF(AND(ArtifactsInput!$M$27,Inputs!$B$4="Chapter Hunt"),CHOOSE(ArtifactsInput!$N$27+1,20,24,28,32,36,40),0)/100)))+1)),0)</f>
        <v/>
      </c>
      <c r="S2696">
        <f>IFERROR(O2696/N2696,0)</f>
        <v/>
      </c>
      <c r="T2696" t="n">
        <v>0</v>
      </c>
      <c r="V2696" t="n">
        <v>0</v>
      </c>
    </row>
    <row r="2697">
      <c r="A2697">
        <f>Skills!A16</f>
        <v/>
      </c>
      <c r="B2697">
        <f>Skills!B16</f>
        <v/>
      </c>
      <c r="C2697">
        <f>Inputs!$B$3&gt;=10</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IF(B2720=0,0,O2697/B2720)</f>
        <v/>
      </c>
      <c r="Q2697" t="n">
        <v>0</v>
      </c>
      <c r="R2697" t="n">
        <v>0</v>
      </c>
      <c r="S2697">
        <f>IFERROR(O2697/N2697,0)</f>
        <v/>
      </c>
      <c r="T2697" t="n">
        <v>0</v>
      </c>
      <c r="V2697" t="n">
        <v>0</v>
      </c>
    </row>
    <row r="2698">
      <c r="A2698">
        <f>Skills!A17</f>
        <v/>
      </c>
      <c r="B2698">
        <f>Skills!B17</f>
        <v/>
      </c>
      <c r="C2698">
        <f>Inputs!$B$3&gt;=15</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IF(B2720=0,0,O2698/B2720)</f>
        <v/>
      </c>
      <c r="Q2698" t="n">
        <v>0</v>
      </c>
      <c r="R2698" t="n">
        <v>0</v>
      </c>
      <c r="S2698">
        <f>IFERROR(O2698/N2698,0)</f>
        <v/>
      </c>
      <c r="T2698" t="n">
        <v>0</v>
      </c>
      <c r="V2698" t="n">
        <v>0</v>
      </c>
    </row>
    <row r="2699">
      <c r="A2699">
        <f>Skills!A18</f>
        <v/>
      </c>
      <c r="B2699">
        <f>Skills!B18</f>
        <v/>
      </c>
      <c r="C2699">
        <f>Inputs!$B$3&gt;=33</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IF(B2720=0,0,O2699/B2720)</f>
        <v/>
      </c>
      <c r="Q2699" t="n">
        <v>0</v>
      </c>
      <c r="R2699" t="n">
        <v>0</v>
      </c>
      <c r="S2699">
        <f>IFERROR(O2699/N2699,0)</f>
        <v/>
      </c>
      <c r="T2699" t="n">
        <v>0</v>
      </c>
      <c r="V2699" t="n">
        <v>0</v>
      </c>
    </row>
    <row r="2700">
      <c r="A2700">
        <f>Skills!A19</f>
        <v/>
      </c>
      <c r="B2700">
        <f>Skills!B19</f>
        <v/>
      </c>
      <c r="C2700">
        <f>Inputs!$B$3&gt;=40</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IF(B2720=0,0,O2700/B2720)</f>
        <v/>
      </c>
      <c r="Q2700" t="n">
        <v>0</v>
      </c>
      <c r="R2700" t="n">
        <v>0</v>
      </c>
      <c r="S2700">
        <f>IFERROR(O2700/N2700,0)</f>
        <v/>
      </c>
      <c r="T2700" t="n">
        <v>0</v>
      </c>
      <c r="V2700" t="n">
        <v>0</v>
      </c>
    </row>
    <row r="2701">
      <c r="A2701">
        <f>Skills!A20</f>
        <v/>
      </c>
      <c r="B2701">
        <f>Skills!B20</f>
        <v/>
      </c>
      <c r="C2701">
        <f>Inputs!$B$3&gt;=43</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IF(B2720=0,0,O2701/B2720)</f>
        <v/>
      </c>
      <c r="Q2701" t="n">
        <v>0</v>
      </c>
      <c r="R2701" t="n">
        <v>0</v>
      </c>
      <c r="S2701">
        <f>IFERROR(O2701/N2701,0)</f>
        <v/>
      </c>
      <c r="T2701" t="n">
        <v>0</v>
      </c>
      <c r="V2701" t="n">
        <v>0</v>
      </c>
    </row>
    <row r="2702">
      <c r="A2702">
        <f>Skills!A21</f>
        <v/>
      </c>
      <c r="B2702">
        <f>Skills!B21</f>
        <v/>
      </c>
      <c r="C2702">
        <f>Inputs!$B$3&gt;=38</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IF(B2720=0,0,O2702/B2720)</f>
        <v/>
      </c>
      <c r="Q2702" t="n">
        <v>0</v>
      </c>
      <c r="R2702" t="n">
        <v>0</v>
      </c>
      <c r="S2702">
        <f>IFERROR(O2702/N2702,0)</f>
        <v/>
      </c>
      <c r="T2702" t="n">
        <v>0</v>
      </c>
      <c r="V2702" t="n">
        <v>0</v>
      </c>
    </row>
    <row r="2703">
      <c r="A2703">
        <f>Skills!A22</f>
        <v/>
      </c>
      <c r="B2703">
        <f>Skills!B22</f>
        <v/>
      </c>
      <c r="C2703">
        <f>Inputs!$B$3&gt;=75</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IF(B2720=0,0,O2703/B2720)</f>
        <v/>
      </c>
      <c r="Q2703" t="n">
        <v>0</v>
      </c>
      <c r="R2703" t="n">
        <v>0</v>
      </c>
      <c r="S2703">
        <f>IFERROR(O2703/N2703,0)</f>
        <v/>
      </c>
      <c r="T2703" t="n">
        <v>0</v>
      </c>
      <c r="V2703" t="n">
        <v>0</v>
      </c>
    </row>
    <row r="2704">
      <c r="A2704">
        <f>Skills!A23</f>
        <v/>
      </c>
      <c r="B2704">
        <f>Skills!B23</f>
        <v/>
      </c>
      <c r="C2704">
        <f>TRUE</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IF(B2720=0,0,O2704/B2720)</f>
        <v/>
      </c>
      <c r="Q2704">
        <f>IFERROR(1/(IF(Inputs!$B$38="pvp",15,MAX(0.1,Skills!D23-IF(TRUE=TRUE,Inputs!$B$32,0)))*(1-IF(AND(ArtifactsInput!$M$27,Inputs!$B$4="Chapter Hunt"),CHOOSE(ArtifactsInput!$N$27+1,20,24,28,32,36,40),0)/100)),0)</f>
        <v/>
      </c>
      <c r="R2704">
        <f>IF(AND(Inputs!$B$38&lt;&gt;"pvp",Inputs!$B$43&gt;0),IF(Inputs!$B$43&lt;=0,0,(INT(Inputs!$B$43/(IF(Inputs!$B$38="pvp",15,MAX(0.1,Skills!D23-IF(TRUE=TRUE,Inputs!$B$32,0)))*(1-IF(AND(ArtifactsInput!$M$27,Inputs!$B$4="Chapter Hunt"),CHOOSE(ArtifactsInput!$N$27+1,20,24,28,32,36,40),0)/100)))+1)),0)</f>
        <v/>
      </c>
      <c r="S2704">
        <f>IFERROR(O2704/N2704,0)</f>
        <v/>
      </c>
      <c r="T2704" t="n">
        <v>0</v>
      </c>
      <c r="V2704" t="n">
        <v>0</v>
      </c>
    </row>
    <row r="2705">
      <c r="A2705">
        <f>Skills!A24</f>
        <v/>
      </c>
      <c r="B2705">
        <f>Skills!B24</f>
        <v/>
      </c>
      <c r="C2705">
        <f>Inputs!$B$3&gt;=107</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IF(B2720=0,0,O2705/B2720)</f>
        <v/>
      </c>
      <c r="Q2705">
        <f>IFERROR(1/(IF(Inputs!$B$38="pvp",15,MAX(0.1,Skills!D24-IF(TRUE=TRUE,Inputs!$B$32,0)))*(1-IF(AND(ArtifactsInput!$M$27,Inputs!$B$4="Chapter Hunt"),CHOOSE(ArtifactsInput!$N$27+1,20,24,28,32,36,40),0)/100)),0)</f>
        <v/>
      </c>
      <c r="R2705">
        <f>IF(AND(Inputs!$B$38&lt;&gt;"pvp",Inputs!$B$43&gt;0),IF(Inputs!$B$43&lt;=0,0,(INT(Inputs!$B$43/(IF(Inputs!$B$38="pvp",15,MAX(0.1,Skills!D24-IF(TRUE=TRUE,Inputs!$B$32,0)))*(1-IF(AND(ArtifactsInput!$M$27,Inputs!$B$4="Chapter Hunt"),CHOOSE(ArtifactsInput!$N$27+1,20,24,28,32,36,40),0)/100)))+1)),0)</f>
        <v/>
      </c>
      <c r="S2705">
        <f>IFERROR(O2705/N2705,0)</f>
        <v/>
      </c>
      <c r="T2705" t="n">
        <v>0</v>
      </c>
      <c r="V2705" t="n">
        <v>0</v>
      </c>
    </row>
    <row r="2706">
      <c r="A2706">
        <f>Skills!A25</f>
        <v/>
      </c>
      <c r="B2706">
        <f>Skills!B25</f>
        <v/>
      </c>
      <c r="C2706">
        <f>Inputs!$B$3&gt;=110</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t="inlineStr"/>
      <c r="H2706" t="inlineStr"/>
      <c r="I2706" t="inlineStr">
        <is>
          <t>1</t>
        </is>
      </c>
      <c r="J2706" t="inlineStr"/>
      <c r="K2706" t="inlineStr"/>
      <c r="L2706" t="inlineStr"/>
      <c r="M2706" t="inlineStr"/>
      <c r="N2706" t="inlineStr"/>
      <c r="O2706" t="inlineStr"/>
      <c r="P2706" t="inlineStr"/>
      <c r="Q2706" t="inlineStr"/>
      <c r="R2706" t="inlineStr"/>
      <c r="S2706" t="inlineStr"/>
      <c r="T2706" t="inlineStr"/>
      <c r="V2706" t="inlineStr"/>
    </row>
    <row r="2707">
      <c r="A2707">
        <f>Skills!A26</f>
        <v/>
      </c>
      <c r="B2707">
        <f>Skills!B26</f>
        <v/>
      </c>
      <c r="C2707">
        <f>Inputs!$B$3&gt;=117</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V2707" t="inlineStr"/>
    </row>
    <row r="2709">
      <c r="A2709" t="inlineStr">
        <is>
          <t>Attack% Bucket Multiplier</t>
        </is>
      </c>
      <c r="B2709">
        <f>(1+(((C2694=TRUE)*F2694*5/7)+((C2700=TRUE)*(F2700-Calc!F19))+(IF(ArtifactsInput!$M$21,CHOOSE(ArtifactsInput!$N$21+1,25,30,35,40,45,50)*(IF(OR(Inputs!$B$4="Chapter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0">
      <c r="A2710" t="inlineStr">
        <is>
          <t>Global Crit Rate Bonus %</t>
        </is>
      </c>
      <c r="B2710" t="n">
        <v>0</v>
      </c>
    </row>
    <row r="2711">
      <c r="A2711" t="inlineStr">
        <is>
          <t>Attack Speed Buff Bonus % (Nimble Feet + Speed Infusion, duty-cycle averaged)</t>
        </is>
      </c>
      <c r="B2711">
        <f>((C2704=TRUE)*F2704*IF(AND(Inputs!$B$38&lt;&gt;"pvp",Inputs!$B$43&gt;0),(((R2704-1)*MIN((Skills!T23*(1+Inputs!$B$34/100)),(1/Q2704))+MIN((Skills!T23*(1+Inputs!$B$34/100)),MAX(0,Inputs!$B$43-((R2704-1)*(1/Q2704)))))/Inputs!$B$43),IF(Inputs!$B$38="pvp",MIN((Skills!T23*(1+Inputs!$B$34/100)),15)/15,MIN(1,(Skills!T23*(1+Inputs!$B$34/100))/(1/Q2704)))))+((C2705=TRUE)*F2705*IF(AND(Inputs!$B$38&lt;&gt;"pvp",Inputs!$B$43&gt;0),(((R2705-1)*MIN((Skills!T24*(1+Inputs!$B$34/100)),(1/Q2705))+MIN((Skills!T24*(1+Inputs!$B$34/100)),MAX(0,Inputs!$B$43-((R2705-1)*(1/Q2705)))))/Inputs!$B$43),IF(Inputs!$B$38="pvp",MIN((Skills!T24*(1+Inputs!$B$34/100)),15)/15,MIN(1,(Skills!T24*(1+Inputs!$B$34/100))/(1/Q2705)))))</f>
        <v/>
      </c>
    </row>
    <row r="2712">
      <c r="A2712" t="inlineStr">
        <is>
          <t>Actions Per Second</t>
        </is>
      </c>
      <c r="B2712">
        <f>1+MIN(150,150*(1-(1-(Inputs!$B$11+((C2698=TRUE)*(F2698-Calc!F17))+((C2699=TRUE)*(F2699-Calc!F18)))/150)*(1-B2711/150)))/100</f>
        <v/>
      </c>
    </row>
    <row r="2713">
      <c r="A2713" t="inlineStr">
        <is>
          <t>Skill + Buff Cast Rate</t>
        </is>
      </c>
      <c r="B2713">
        <f>IF(AND(Inputs!$B$38&lt;&gt;"pvp",Inputs!$B$43&gt;0),SUMPRODUCT((Skills!E2:E26=TRUE)*(C2683:C2707=TRUE)*R2683:R2707*Skills!F2:F26)/Inputs!$B$43,SUMPRODUCT((Skills!E2:E26=TRUE)*(C2683:C2707=TRUE)*Q2683:Q2707*Skills!F2:F26))</f>
        <v/>
      </c>
    </row>
    <row r="2714">
      <c r="A2714" t="inlineStr">
        <is>
          <t>Hook Bomber Casts Per Second</t>
        </is>
      </c>
      <c r="B2714">
        <f>MAX(0,B2712-B2713)</f>
        <v/>
      </c>
    </row>
    <row r="2715">
      <c r="A2715" t="inlineStr">
        <is>
          <t>Global Critical Damage Bonus % (unused)</t>
        </is>
      </c>
      <c r="B2715" t="n">
        <v>0</v>
      </c>
    </row>
    <row r="2716">
      <c r="A2716" t="inlineStr">
        <is>
          <t>Global Final Damage Bonus % (Serpent Scale + Crossbones + Time Leap + Speed Infusion)</t>
        </is>
      </c>
      <c r="B2716">
        <f>((C2686=TRUE)*(F2686*B2722+4*(1-B2722)))+((C2695=TRUE)*F2695*IF(AND(Inputs!$B$38&lt;&gt;"pvp",Inputs!$B$43&gt;0),(((R2695-1)*MIN((Skills!T14*(1+Inputs!$B$34/100)),(1/Q2695))+MIN((Skills!T14*(1+Inputs!$B$34/100)),MAX(0,Inputs!$B$43-((R2695-1)*(1/Q2695)))))/Inputs!$B$43),IF(Inputs!$B$38="pvp",MIN((Skills!T14*(1+Inputs!$B$34/100)),15)/15,MIN(1,(Skills!T14*(1+Inputs!$B$34/100))/(1/Q2695)))))+((C2696=TRUE)*F2696*IF(AND(Inputs!$B$38&lt;&gt;"pvp",Inputs!$B$43&gt;0),(((R2696-1)*MIN((Skills!T15*(1+Inputs!$B$34/100)),(1/Q2696))+MIN((Skills!T15*(1+Inputs!$B$34/100)),MAX(0,Inputs!$B$43-((R2696-1)*(1/Q2696)))))/Inputs!$B$43),IF(Inputs!$B$38="pvp",MIN((Skills!T15*(1+Inputs!$B$34/100)),15)/15,MIN(1,(Skills!T15*(1+Inputs!$B$34/100))/(1/Q2696)))))+((C2705=TRUE)*20*((1+MIN(150,150*(1-(1-(Inputs!$B$11+((C2698=TRUE)*(F2698-Calc!F17))+((C2699=TRUE)*(F2699-Calc!F18)))/150)*(1-(((C2704=TRUE)*F2704*IF(AND(Inputs!$B$38&lt;&gt;"pvp",Inputs!$B$43&gt;0),(((R2704-1)*MIN((Skills!T23*(1+Inputs!$B$34/100)),(1/Q2704))+MIN((Skills!T23*(1+Inputs!$B$34/100)),MAX(0,Inputs!$B$43-((R2704-1)*(1/Q2704)))))/Inputs!$B$43),IF(Inputs!$B$38="pvp",MIN((Skills!T23*(1+Inputs!$B$34/100)),15)/15,MIN(1,(Skills!T23*(1+Inputs!$B$34/100))/(1/Q2704)))))+F2705)/150)))/100)-1)*IF(AND(Inputs!$B$38&lt;&gt;"pvp",Inputs!$B$43&gt;0),(((R2705-1)*MIN((Skills!T24*(1+Inputs!$B$34/100)),(1/Q2705))+MIN((Skills!T24*(1+Inputs!$B$34/100)),MAX(0,Inputs!$B$43-((R2705-1)*(1/Q2705)))))/Inputs!$B$43),IF(Inputs!$B$38="pvp",MIN((Skills!T24*(1+Inputs!$B$34/100)),15)/15,MIN(1,(Skills!T24*(1+Inputs!$B$34/100))/(1/Q2705)))))</f>
        <v/>
      </c>
    </row>
    <row r="2717">
      <c r="A2717" t="inlineStr">
        <is>
          <t>Buff-Casting Startup Delay (s, fixed-duration only)</t>
        </is>
      </c>
      <c r="B2717">
        <f>IF(AND(Inputs!$B$38&lt;&gt;"pvp",Inputs!$B$43&gt;0),SUMPRODUCT((Skills!T2:T26&gt;0)*(Skills!E2:E26=TRUE)*(C2683:C2707=TRUE))/B2712,0)</f>
        <v/>
      </c>
    </row>
    <row r="2718">
      <c r="A2718" t="inlineStr">
        <is>
          <t>Boss-Only Total DPS (this block's swept value)</t>
        </is>
      </c>
      <c r="B2718">
        <f>SUM(T2683:T2707)</f>
        <v/>
      </c>
    </row>
    <row r="2719">
      <c r="A2719" t="inlineStr">
        <is>
          <t>Normal-Only Total DPS (this block's swept value)</t>
        </is>
      </c>
      <c r="B2719">
        <f>SUM(V2683:V2707)</f>
        <v/>
      </c>
    </row>
    <row r="2720">
      <c r="A2720" s="6" t="inlineStr">
        <is>
          <t>TOTAL DPS</t>
        </is>
      </c>
      <c r="B2720" s="6">
        <f>SUM(O2683:O2707)</f>
        <v/>
      </c>
    </row>
    <row r="2721">
      <c r="A2721" t="inlineStr">
        <is>
          <t>Serpent activation interval T (this block's own Hook Bomber rate)</t>
        </is>
      </c>
      <c r="B2721">
        <f>((1/Q2684)+IFERROR(0.5/B2714,0))</f>
        <v/>
      </c>
    </row>
    <row r="2722">
      <c r="A2722" t="inlineStr">
        <is>
          <t>Assault Mode uptime u (this block)</t>
        </is>
      </c>
      <c r="B2722">
        <f>IF(C2686=TRUE,(10+IF(Inputs!$B$3&gt;=94,5,0))/((10+IF(Inputs!$B$3&gt;=94,5,0))+IF(Inputs!$B$3&gt;=104,3,5)*B2721),0)</f>
        <v/>
      </c>
    </row>
    <row r="2723">
      <c r="A2723" t="inlineStr">
        <is>
          <t>Nautilus Strike - Final Attack trigger rate (this block's own Q/R)</t>
        </is>
      </c>
      <c r="B2723">
        <f>IF(AND(Inputs!$B$38&lt;&gt;"pvp",Inputs!$B$43&gt;0),(((C2687=TRUE)*R2687)+((C2688=TRUE)*R2688)+((C2691=TRUE)*R2691))/Inputs!$B$43,((C2687=TRUE)*Q2687)+((C2688=TRUE)*Q2688)+((C2691=TRUE)*Q2691))+B2714</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2746=TRUE)*(F2746-Calc!F20)),(Inputs!$B$23+0+(IF(ArtifactsInput!$M$15,CHOOSE(ArtifactsInput!$N$15+1,25,30,35,40,45,50)/100*(Inputs!$B$11-Inputs!$B$11),0))))/100+(Inputs!$B$23+0+(IF(ArtifactsInput!$M$15,CHOOSE(ArtifactsInput!$N$15+1,25,30,35,40,45,50)/100*(Inputs!$B$11-Inputs!$B$11),0)))/100)/2</f>
        <v/>
      </c>
      <c r="M2728">
        <f>L2728*(1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IF(B2765=0,0,O2728/B2765)</f>
        <v/>
      </c>
      <c r="Q2728" t="n">
        <v>0</v>
      </c>
      <c r="R2728" t="n">
        <v>0</v>
      </c>
      <c r="S2728">
        <f>IFERROR(O2728/N2728,0)</f>
        <v/>
      </c>
      <c r="T2728">
        <f>IF(C2728,(Skills!G2*N2728*B2759)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IF(C2728,(Skills!G2*N2728*B2759)*IF(Inputs!$B$38="pvp",1,(1+(Inputs!$B$21+Skills!Q2+(IF(ArtifactsInput!$M$33,CHOOSE(ArtifactsInput!$N$33+1,30,36,42,48,54,60),0))+(IF(AND(ArtifactsInput!$M$35,Inputs!$B$4&lt;&gt;"Chapter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Inputs!$B$3&gt;=35</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f>Skills!G3*IF(Skills!H3&gt;0,Skills!I3/Skills!H3,1)</f>
        <v/>
      </c>
      <c r="H2729">
        <f>1-(1-Skills!J3/100)^Skills!K3</f>
        <v/>
      </c>
      <c r="I2729" t="inlineStr">
        <is>
          <t>1</t>
        </is>
      </c>
      <c r="J2729">
        <f>((Inputs!$B$6*(1+Inputs!$B$7/100))+(((Inputs!$B$12*(1+Inputs!$B$13/100))-(Inputs!$B$12*(1+Inputs!$B$13/100)))+0.25*(Inputs!$B$14-Inputs!$B$14))*(1+Inputs!$B$7/100))*(F2729/100)</f>
        <v/>
      </c>
      <c r="K2729">
        <f>J2729*(1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Skills!A3="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2746=TRUE)*(F2746-Calc!F20)),(Inputs!$B$23+0+(IF(ArtifactsInput!$M$15,CHOOSE(ArtifactsInput!$N$15+1,25,30,35,40,45,50)/100*(Inputs!$B$11-Inputs!$B$11),0))))/100+(Inputs!$B$23+0+(IF(ArtifactsInput!$M$15,CHOOSE(ArtifactsInput!$N$15+1,25,30,35,40,45,50)/100*(Inputs!$B$11-Inputs!$B$11),0)))/100)/2</f>
        <v/>
      </c>
      <c r="M2729">
        <f>L2729*(1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IF(B2765=0,0,O2729/B2765)</f>
        <v/>
      </c>
      <c r="Q2729">
        <f>IFERROR(1/(IF(Inputs!$B$38="pvp",15,MAX(0.1,Skills!D3-IF(TRUE=TRUE,Inputs!$B$32,0)))*(1-IF(AND(ArtifactsInput!$M$27,Inputs!$B$4="Chapter Hunt"),CHOOSE(ArtifactsInput!$N$27+1,20,24,28,32,36,40),0)/100)),0)</f>
        <v/>
      </c>
      <c r="R2729">
        <f>IF(AND(Inputs!$B$38&lt;&gt;"pvp",Inputs!$B$43&gt;0),IF(MAX(0,Inputs!$B$43-B2762)&lt;=0,0,(INT(MAX(0,Inputs!$B$43-B2762)/(IF(Inputs!$B$38="pvp",15,MAX(0.1,Skills!D3-IF(TRUE=TRUE,Inputs!$B$32,0)))*(1-IF(AND(ArtifactsInput!$M$27,Inputs!$B$4="Chapter Hunt"),CHOOSE(ArtifactsInput!$N$27+1,20,24,28,32,36,40),0)/100)))+1)),0)</f>
        <v/>
      </c>
      <c r="S2729">
        <f>IFERROR(O2729/N2729,0)</f>
        <v/>
      </c>
      <c r="T2729">
        <f>IF(C2729,(Skills!G3*N2729*IF(C2730=TRUE,1-B2767,1)/B2766)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2729*(1-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INDEX(FactorTable!$B$2:$Y$301, MATCH(ROUND(MIN(300,MAX(1,U2728)),0), FactorTable!$A$2:$A$301,0), 22)</f>
        <v/>
      </c>
      <c r="V2729">
        <f>IF(C2729,(Skills!G3*N2729*IF(C2730=TRUE,1-B2767,1)/B2766)*IF(Inputs!$B$38="pvp",1,(1+(Inputs!$B$21+Skills!Q3+(IF(ArtifactsInput!$M$33,CHOOSE(ArtifactsInput!$N$33+1,30,36,42,48,54,60),0))+(IF(AND(ArtifactsInput!$M$35,Inputs!$B$4&lt;&gt;"Chapter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Skills!A4</f>
        <v/>
      </c>
      <c r="B2730">
        <f>Skills!B4</f>
        <v/>
      </c>
      <c r="C2730">
        <f>Inputs!$B$3&gt;=69</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f>Skills!G4*IF(Skills!H4&gt;0,Skills!I4/Skills!H4,1)</f>
        <v/>
      </c>
      <c r="H2730">
        <f>1-(1-Skills!J4/100)^Skills!K4</f>
        <v/>
      </c>
      <c r="I2730" t="inlineStr">
        <is>
          <t>1</t>
        </is>
      </c>
      <c r="J2730">
        <f>((Inputs!$B$6*(1+Inputs!$B$7/100))+(((Inputs!$B$12*(1+Inputs!$B$13/100))-(Inputs!$B$12*(1+Inputs!$B$13/100)))+0.25*(Inputs!$B$14-Inputs!$B$14))*(1+Inputs!$B$7/100))*(F2730/100)</f>
        <v/>
      </c>
      <c r="K2730">
        <f>J2730*(1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4="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2746=TRUE)*(F2746-Calc!F20)),(Inputs!$B$23+0+(IF(ArtifactsInput!$M$15,CHOOSE(ArtifactsInput!$N$15+1,25,30,35,40,45,50)/100*(Inputs!$B$11-Inputs!$B$11),0))))/100+(Inputs!$B$23+0+(IF(ArtifactsInput!$M$15,CHOOSE(ArtifactsInput!$N$15+1,25,30,35,40,45,50)/100*(Inputs!$B$11-Inputs!$B$11),0)))/100)/2</f>
        <v/>
      </c>
      <c r="M2730">
        <f>L2730*(1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IF(B2765=0,0,O2730/B2765)</f>
        <v/>
      </c>
      <c r="Q2730" t="n">
        <v>0</v>
      </c>
      <c r="R2730" t="n">
        <v>0</v>
      </c>
      <c r="S2730">
        <f>IFERROR(O2730/N2730,0)</f>
        <v/>
      </c>
      <c r="T2730">
        <f>IF(C2730,(Skills!G4*N2730*B2767/B2766)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2730*(1-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290*U2729/1000</f>
        <v/>
      </c>
      <c r="V2730">
        <f>IF(C2730,(Skills!G4*N2730*B2767/B2766)*IF(Inputs!$B$38="pvp",1,(1+(Inputs!$B$21+Skills!Q4+(IF(ArtifactsInput!$M$33,CHOOSE(ArtifactsInput!$N$33+1,30,36,42,48,54,60),0))+(IF(AND(ArtifactsInput!$M$35,Inputs!$B$4&lt;&gt;"Chapter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Skills!A5</f>
        <v/>
      </c>
      <c r="B2731">
        <f>Skills!B5</f>
        <v/>
      </c>
      <c r="C2731">
        <f>Inputs!$B$3&gt;=66</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t="inlineStr"/>
      <c r="K2731" t="inlineStr"/>
      <c r="L2731" t="inlineStr"/>
      <c r="M2731" t="inlineStr"/>
      <c r="N2731" t="inlineStr"/>
      <c r="O2731">
        <f>(1-Summary!$B$11)*T2731+Summary!$B$11*V2731</f>
        <v/>
      </c>
      <c r="P2731">
        <f>IF(B2765=0,0,O2731/B2765)</f>
        <v/>
      </c>
      <c r="Q2731" t="n">
        <v>0</v>
      </c>
      <c r="R2731" t="n">
        <v>0</v>
      </c>
      <c r="S2731">
        <f>IFERROR(O2731/N2731,0)</f>
        <v/>
      </c>
      <c r="T2731" t="n">
        <v>0</v>
      </c>
      <c r="V2731" t="n">
        <v>0</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2738=TRUE,F2738,0)/100)*(1+(IF(Skills!A6="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2746=TRUE)*(F2746-Calc!F20)),(Inputs!$B$23+0+(IF(ArtifactsInput!$M$15,CHOOSE(ArtifactsInput!$N$15+1,25,30,35,40,45,50)/100*(Inputs!$B$11-Inputs!$B$11),0))))/100+(Inputs!$B$23+0+(IF(ArtifactsInput!$M$15,CHOOSE(ArtifactsInput!$N$15+1,25,30,35,40,45,50)/100*(Inputs!$B$11-Inputs!$B$11),0)))/100)/2</f>
        <v/>
      </c>
      <c r="M2732">
        <f>L2732*(1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IF(B2765=0,0,O2732/B2765)</f>
        <v/>
      </c>
      <c r="Q2732">
        <f>IFERROR(1/(IF(Inputs!$B$38="pvp",15,MAX(0.1,Skills!D6-IF(TRUE=TRUE,Inputs!$B$32,0)))*(1-IF(AND(ArtifactsInput!$M$27,Inputs!$B$4="Chapter Hunt"),CHOOSE(ArtifactsInput!$N$27+1,20,24,28,32,36,40),0)/100)),0)</f>
        <v/>
      </c>
      <c r="R2732">
        <f>IF(AND(Inputs!$B$38&lt;&gt;"pvp",Inputs!$B$43&gt;0),IF(MAX(0,Inputs!$B$43-B2762)&lt;=0,0,(INT(MAX(0,Inputs!$B$43-B2762)/(IF(Inputs!$B$38="pvp",15,MAX(0.1,Skills!D6-IF(TRUE=TRUE,Inputs!$B$32,0)))*(1-IF(AND(ArtifactsInput!$M$27,Inputs!$B$4="Chapter Hunt"),CHOOSE(ArtifactsInput!$N$27+1,20,24,28,32,36,40),0)/100)))+1)),0)</f>
        <v/>
      </c>
      <c r="S2732">
        <f>IFERROR(O2732/N2732,0)</f>
        <v/>
      </c>
      <c r="T2732">
        <f>IF(C2732,(H2732*N2732*IF(AND(Inputs!$B$38&lt;&gt;"pvp",Inputs!$B$43&gt;0),((Skills!G6*((R2732-1)*IF(Skills!H6&gt;0,Skills!I6/Skills!H6,1)+IF(Skills!H6&gt;0,MIN(Skills!I6,MAX(0,MAX(0,Inputs!$B$43-B2762)-((R2732-1)*(IF(Inputs!$B$38="pvp",15,MAX(0.1,Skills!D6-IF(TRUE=TRUE,Inputs!$B$32,0)))*(1-IF(AND(ArtifactsInput!$M$27,Inputs!$B$4="Chapter Hunt"),CHOOSE(ArtifactsInput!$N$27+1,20,24,28,32,36,40),0)/100)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2762)-((R2732-1)*(IF(Inputs!$B$38="pvp",15,MAX(0.1,Skills!D6-IF(TRUE=TRUE,Inputs!$B$32,0)))*(1-IF(AND(ArtifactsInput!$M$27,Inputs!$B$4="Chapter Hunt"),CHOOSE(ArtifactsInput!$N$27+1,20,24,28,32,36,40),0)/100)))))/Skills!H6,1)))/Inputs!$B$43),G2732*Q2732))*IF(Inputs!$B$38="pvp",1,(1+(Inputs!$B$21+Skills!Q6+(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Inputs!$B$3&gt;=103</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2746=TRUE)*(F2746-Calc!F20)),(Inputs!$B$23+0+(IF(ArtifactsInput!$M$15,CHOOSE(ArtifactsInput!$N$15+1,25,30,35,40,45,50)/100*(Inputs!$B$11-Inputs!$B$11),0))))/100+(Inputs!$B$23+0+(IF(ArtifactsInput!$M$15,CHOOSE(ArtifactsInput!$N$15+1,25,30,35,40,45,50)/100*(Inputs!$B$11-Inputs!$B$11),0)))/100)/2</f>
        <v/>
      </c>
      <c r="M2733">
        <f>L2733*(1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IF(B2765=0,0,O2733/B2765)</f>
        <v/>
      </c>
      <c r="Q2733">
        <f>IFERROR(1/(IF(Inputs!$B$38="pvp",15,MAX(0.1,Skills!D7-IF(TRUE=TRUE,Inputs!$B$32,0)))*(1-IF(AND(ArtifactsInput!$M$27,Inputs!$B$4="Chapter Hunt"),CHOOSE(ArtifactsInput!$N$27+1,20,24,28,32,36,40),0)/100)),0)</f>
        <v/>
      </c>
      <c r="R2733">
        <f>IF(AND(Inputs!$B$38&lt;&gt;"pvp",Inputs!$B$43&gt;0),IF(MAX(0,Inputs!$B$43-B2762)&lt;=0,0,(INT(MAX(0,Inputs!$B$43-B2762)/(IF(Inputs!$B$38="pvp",15,MAX(0.1,Skills!D7-IF(TRUE=TRUE,Inputs!$B$32,0)))*(1-IF(AND(ArtifactsInput!$M$27,Inputs!$B$4="Chapter Hunt"),CHOOSE(ArtifactsInput!$N$27+1,20,24,28,32,36,40),0)/100)))+1)),0)</f>
        <v/>
      </c>
      <c r="S2733">
        <f>IFERROR(O2733/N2733,0)</f>
        <v/>
      </c>
      <c r="T2733">
        <f>IF(C2733,(H2733*N2733*IF(AND(Inputs!$B$38&lt;&gt;"pvp",Inputs!$B$43&gt;0),((Skills!G7*((R2733-1)*IF(Skills!H7&gt;0,Skills!I7/Skills!H7,1)+IF(Skills!H7&gt;0,MIN(Skills!I7,MAX(0,MAX(0,Inputs!$B$43-B2762)-((R2733-1)*(IF(Inputs!$B$38="pvp",15,MAX(0.1,Skills!D7-IF(TRUE=TRUE,Inputs!$B$32,0)))*(1-IF(AND(ArtifactsInput!$M$27,Inputs!$B$4="Chapter Hunt"),CHOOSE(ArtifactsInput!$N$27+1,20,24,28,32,36,40),0)/100)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2762)-((R2733-1)*(IF(Inputs!$B$38="pvp",15,MAX(0.1,Skills!D7-IF(TRUE=TRUE,Inputs!$B$32,0)))*(1-IF(AND(ArtifactsInput!$M$27,Inputs!$B$4="Chapter Hunt"),CHOOSE(ArtifactsInput!$N$27+1,20,24,28,32,36,40),0)/100)))))/Skills!H7,1)))/Inputs!$B$43),G2733*Q2733))*IF(Inputs!$B$38="pvp",1,(1+(Inputs!$B$21+Skills!Q7+(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Inputs!$B$3&gt;=117</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f>Skills!G8*IF(Skills!H8&gt;0,Skills!I8/Skills!H8,1)</f>
        <v/>
      </c>
      <c r="H2734">
        <f>1-(1-Skills!J8/100)^Skills!K8</f>
        <v/>
      </c>
      <c r="I2734" t="inlineStr">
        <is>
          <t>1</t>
        </is>
      </c>
      <c r="J2734">
        <f>((Inputs!$B$6*(1+Inputs!$B$7/100))+(((Inputs!$B$12*(1+Inputs!$B$13/100))-(Inputs!$B$12*(1+Inputs!$B$13/100)))+0.25*(Inputs!$B$14-Inputs!$B$14))*(1+Inputs!$B$7/100))*(F2734/100)</f>
        <v/>
      </c>
      <c r="K2734">
        <f>J2734*(1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2746=TRUE)*(F2746-Calc!F20)),(Inputs!$B$23+0+(IF(ArtifactsInput!$M$15,CHOOSE(ArtifactsInput!$N$15+1,25,30,35,40,45,50)/100*(Inputs!$B$11-Inputs!$B$11),0))))/100+(Inputs!$B$23+0+(IF(ArtifactsInput!$M$15,CHOOSE(ArtifactsInput!$N$15+1,25,30,35,40,45,50)/100*(Inputs!$B$11-Inputs!$B$11),0)))/100)/2</f>
        <v/>
      </c>
      <c r="M2734">
        <f>L2734*(1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IF(B2765=0,0,O2734/B2765)</f>
        <v/>
      </c>
      <c r="Q2734">
        <f>IFERROR(1/(IF(Inputs!$B$38="pvp",15,MAX(0.1,Skills!D8-IF(TRUE=TRUE,Inputs!$B$32,0)))*(1-IF(AND(ArtifactsInput!$M$27,Inputs!$B$4="Chapter Hunt"),CHOOSE(ArtifactsInput!$N$27+1,20,24,28,32,36,40),0)/100)),0)</f>
        <v/>
      </c>
      <c r="R2734">
        <f>IF(AND(Inputs!$B$38&lt;&gt;"pvp",Inputs!$B$43&gt;0),IF(MAX(0,Inputs!$B$43-B2762)&lt;=0,0,(INT(MAX(0,Inputs!$B$43-B2762)/(IF(Inputs!$B$38="pvp",15,MAX(0.1,Skills!D8-IF(TRUE=TRUE,Inputs!$B$32,0)))*(1-IF(AND(ArtifactsInput!$M$27,Inputs!$B$4="Chapter Hunt"),CHOOSE(ArtifactsInput!$N$27+1,20,24,28,32,36,40),0)/100)))+1)),0)</f>
        <v/>
      </c>
      <c r="S2734">
        <f>IFERROR(O2734/N2734,0)</f>
        <v/>
      </c>
      <c r="T2734">
        <f>IF(C2734,(H2734*N2734*IF(AND(Inputs!$B$38&lt;&gt;"pvp",Inputs!$B$43&gt;0),((Skills!G8*((R2734-1)*IF(Skills!H8&gt;0,Skills!I8/Skills!H8,1)+IF(Skills!H8&gt;0,MIN(Skills!I8,MAX(0,MAX(0,Inputs!$B$43-B2762)-((R2734-1)*(IF(Inputs!$B$38="pvp",15,MAX(0.1,Skills!D8-IF(TRUE=TRUE,Inputs!$B$32,0)))*(1-IF(AND(ArtifactsInput!$M$27,Inputs!$B$4="Chapter Hunt"),CHOOSE(ArtifactsInput!$N$27+1,20,24,28,32,36,40),0)/100)))))/Skills!H8,1)))/Inputs!$B$43),G2734*Q2734)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2734*(1-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8*((R2734-1)*IF(Skills!H8&gt;0,Skills!I8/Skills!H8,1)+IF(Skills!H8&gt;0,MIN(Skills!I8,MAX(0,MAX(0,Inputs!$B$43-B2762)-((R2734-1)*(IF(Inputs!$B$38="pvp",15,MAX(0.1,Skills!D8-IF(TRUE=TRUE,Inputs!$B$32,0)))*(1-IF(AND(ArtifactsInput!$M$27,Inputs!$B$4="Chapter Hunt"),CHOOSE(ArtifactsInput!$N$27+1,20,24,28,32,36,40),0)/100)))))/Skills!H8,1)))/Inputs!$B$43),G2734*Q2734))*IF(Inputs!$B$38="pvp",1,(1+(Inputs!$B$21+Skills!Q8+(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Skills!A9</f>
        <v/>
      </c>
      <c r="B2735">
        <f>Skills!B9</f>
        <v/>
      </c>
      <c r="C2735">
        <f>Inputs!$B$3&gt;=120</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B2767</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2746=TRUE)*(F2746-Calc!F20)),(Inputs!$B$23+0+(IF(ArtifactsInput!$M$15,CHOOSE(ArtifactsInput!$N$15+1,25,30,35,40,45,50)/100*(Inputs!$B$11-Inputs!$B$11),0))))/100+(Inputs!$B$23+0+(IF(ArtifactsInput!$M$15,CHOOSE(ArtifactsInput!$N$15+1,25,30,35,40,45,50)/100*(Inputs!$B$11-Inputs!$B$11),0)))/100)/2</f>
        <v/>
      </c>
      <c r="M2735">
        <f>L2735*(1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IF(B2765=0,0,O2735/B2765)</f>
        <v/>
      </c>
      <c r="Q2735">
        <f>IFERROR(1/(IF(Inputs!$B$38="pvp",15,MAX(0.1,Skills!D9-IF(TRUE=TRUE,Inputs!$B$32,0)))*(1-IF(AND(ArtifactsInput!$M$27,Inputs!$B$4="Chapter Hunt"),CHOOSE(ArtifactsInput!$N$27+1,20,24,28,32,36,40),0)/100)),0)</f>
        <v/>
      </c>
      <c r="R2735">
        <f>IF(AND(Inputs!$B$38&lt;&gt;"pvp",Inputs!$B$43&gt;0),IF(MAX(0,Inputs!$B$43-B2762)&lt;=0,0,(INT(MAX(0,Inputs!$B$43-B2762)/(IF(Inputs!$B$38="pvp",15,MAX(0.1,Skills!D9-IF(TRUE=TRUE,Inputs!$B$32,0)))*(1-IF(AND(ArtifactsInput!$M$27,Inputs!$B$4="Chapter Hunt"),CHOOSE(ArtifactsInput!$N$27+1,20,24,28,32,36,40),0)/100)))+1)),0)</f>
        <v/>
      </c>
      <c r="S2735">
        <f>IFERROR(O2735/N2735,0)</f>
        <v/>
      </c>
      <c r="T2735">
        <f>IF(C2735,(H2735*N2735*IF(AND(Inputs!$B$38&lt;&gt;"pvp",Inputs!$B$43&gt;0),((Skills!G9*((R2735-1)*IF(Skills!H9&gt;0,Skills!I9/Skills!H9,1)+IF(Skills!H9&gt;0,MIN(Skills!I9,MAX(0,MAX(0,Inputs!$B$43-B2762)-((R2735-1)*(IF(Inputs!$B$38="pvp",15,MAX(0.1,Skills!D9-IF(TRUE=TRUE,Inputs!$B$32,0)))*(1-IF(AND(ArtifactsInput!$M$27,Inputs!$B$4="Chapter Hunt"),CHOOSE(ArtifactsInput!$N$27+1,20,24,28,32,36,40),0)/100)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2762)-((R2735-1)*(IF(Inputs!$B$38="pvp",15,MAX(0.1,Skills!D9-IF(TRUE=TRUE,Inputs!$B$32,0)))*(1-IF(AND(ArtifactsInput!$M$27,Inputs!$B$4="Chapter Hunt"),CHOOSE(ArtifactsInput!$N$27+1,20,24,28,32,36,40),0)/100)))))/Skills!H9,1)))/Inputs!$B$43),G2735*Q2735))*IF(Inputs!$B$38="pvp",1,(1+(Inputs!$B$21+Skills!Q9+(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Inputs!$B$3&gt;=105</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2746=TRUE)*(F2746-Calc!F20)),(Inputs!$B$23+0+(IF(ArtifactsInput!$M$15,CHOOSE(ArtifactsInput!$N$15+1,25,30,35,40,45,50)/100*(Inputs!$B$11-Inputs!$B$11),0))))/100+(Inputs!$B$23+0+(IF(ArtifactsInput!$M$15,CHOOSE(ArtifactsInput!$N$15+1,25,30,35,40,45,50)/100*(Inputs!$B$11-Inputs!$B$11),0)))/100)/2</f>
        <v/>
      </c>
      <c r="M2736">
        <f>L2736*(1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IF(B2765=0,0,O2736/B2765)</f>
        <v/>
      </c>
      <c r="Q2736">
        <f>IFERROR(1/(IF(Inputs!$B$38="pvp",15,MAX(0.1,Skills!D10-IF(TRUE=TRUE,Inputs!$B$32,0)))*(1-IF(AND(ArtifactsInput!$M$27,Inputs!$B$4="Chapter Hunt"),CHOOSE(ArtifactsInput!$N$27+1,20,24,28,32,36,40),0)/100)),0)</f>
        <v/>
      </c>
      <c r="R2736">
        <f>IF(AND(Inputs!$B$38&lt;&gt;"pvp",Inputs!$B$43&gt;0),IF(MAX(0,Inputs!$B$43-B2762)&lt;=0,0,(INT(MAX(0,Inputs!$B$43-B2762)/(IF(Inputs!$B$38="pvp",15,MAX(0.1,Skills!D10-IF(TRUE=TRUE,Inputs!$B$32,0)))*(1-IF(AND(ArtifactsInput!$M$27,Inputs!$B$4="Chapter Hunt"),CHOOSE(ArtifactsInput!$N$27+1,20,24,28,32,36,40),0)/100)))+1)),0)</f>
        <v/>
      </c>
      <c r="S2736">
        <f>IFERROR(O2736/N2736,0)</f>
        <v/>
      </c>
      <c r="T2736">
        <f>IF(C2736,(H2736*N2736*IF(AND(Inputs!$B$38&lt;&gt;"pvp",Inputs!$B$43&gt;0),((Skills!G10*((R2736-1)*IF(Skills!H10&gt;0,Skills!I10/Skills!H10,1)+IF(Skills!H10&gt;0,MIN(Skills!I10,MAX(0,MAX(0,Inputs!$B$43-B2762)-((R2736-1)*(IF(Inputs!$B$38="pvp",15,MAX(0.1,Skills!D10-IF(TRUE=TRUE,Inputs!$B$32,0)))*(1-IF(AND(ArtifactsInput!$M$27,Inputs!$B$4="Chapter Hunt"),CHOOSE(ArtifactsInput!$N$27+1,20,24,28,32,36,40),0)/100)))))/Skills!H10,1)))/Inputs!$B$43),G2736*Q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10*((R2736-1)*IF(Skills!H10&gt;0,Skills!I10/Skills!H10,1)+IF(Skills!H10&gt;0,MIN(Skills!I10,MAX(0,MAX(0,Inputs!$B$43-B2762)-((R2736-1)*(IF(Inputs!$B$38="pvp",15,MAX(0.1,Skills!D10-IF(TRUE=TRUE,Inputs!$B$32,0)))*(1-IF(AND(ArtifactsInput!$M$27,Inputs!$B$4="Chapter Hunt"),CHOOSE(ArtifactsInput!$N$27+1,20,24,28,32,36,40),0)/100)))))/Skills!H10,1)))/Inputs!$B$43),G2736*Q2736))*IF(Inputs!$B$38="pvp",1,(1+(Inputs!$B$21+Skills!Q10+(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Inputs!$B$3&gt;=113</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2746=TRUE)*(F2746-Calc!F20)),(Inputs!$B$23+0+(IF(ArtifactsInput!$M$15,CHOOSE(ArtifactsInput!$N$15+1,25,30,35,40,45,50)/100*(Inputs!$B$11-Inputs!$B$11),0))))/100+(Inputs!$B$23+0+(IF(ArtifactsInput!$M$15,CHOOSE(ArtifactsInput!$N$15+1,25,30,35,40,45,50)/100*(Inputs!$B$11-Inputs!$B$11),0)))/100)/2</f>
        <v/>
      </c>
      <c r="M2737">
        <f>L2737*(1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IF(B2765=0,0,O2737/B2765)</f>
        <v/>
      </c>
      <c r="Q2737" t="n">
        <v>0</v>
      </c>
      <c r="R2737" t="n">
        <v>0</v>
      </c>
      <c r="S2737">
        <f>IFERROR(O2737/N2737,0)</f>
        <v/>
      </c>
      <c r="T2737">
        <f>IF(C2737,((H2737*B2768)/(1+Skills!H11*H2737*B2768)*N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IF(C2737,((H2737*B2768)/(1+Skills!H11*H2737*B2768)*N2737)*IF(Inputs!$B$38="pvp",1,(1+(Inputs!$B$21+Skills!Q11+(IF(ArtifactsInput!$M$33,CHOOSE(ArtifactsInput!$N$33+1,30,36,42,48,54,60),0))+(IF(AND(ArtifactsInput!$M$35,Inputs!$B$4&lt;&gt;"Chapter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Inputs!$B$3&gt;=100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t="inlineStr"/>
      <c r="H2738" t="inlineStr"/>
      <c r="I2738" t="inlineStr">
        <is>
          <t>1</t>
        </is>
      </c>
      <c r="J2738" t="inlineStr"/>
      <c r="K2738" t="inlineStr"/>
      <c r="L2738" t="inlineStr"/>
      <c r="M2738" t="inlineStr"/>
      <c r="N2738" t="inlineStr"/>
      <c r="O2738" t="inlineStr"/>
      <c r="P2738" t="inlineStr"/>
      <c r="Q2738" t="inlineStr"/>
      <c r="R2738" t="inlineStr"/>
      <c r="S2738" t="inlineStr"/>
      <c r="T2738" t="inlineStr"/>
      <c r="V2738" t="inlineStr"/>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IF(B2765=0,0,O2739/B2765)</f>
        <v/>
      </c>
      <c r="Q2739" t="n">
        <v>0</v>
      </c>
      <c r="R2739" t="n">
        <v>0</v>
      </c>
      <c r="S2739">
        <f>IFERROR(O2739/N2739,0)</f>
        <v/>
      </c>
      <c r="T2739" t="n">
        <v>0</v>
      </c>
      <c r="V2739" t="n">
        <v>0</v>
      </c>
    </row>
    <row r="2740">
      <c r="A2740">
        <f>Skills!A14</f>
        <v/>
      </c>
      <c r="B2740">
        <f>Skills!B14</f>
        <v/>
      </c>
      <c r="C2740">
        <f>Inputs!$B$3&gt;=115</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IF(B2765=0,0,O2740/B2765)</f>
        <v/>
      </c>
      <c r="Q2740">
        <f>IFERROR(1/(IF(Inputs!$B$38="pvp",15,MAX(0.1,Skills!D14-IF(TRUE=TRUE,Inputs!$B$32,0)))*(1-IF(AND(ArtifactsInput!$M$27,Inputs!$B$4="Chapter Hunt"),CHOOSE(ArtifactsInput!$N$27+1,20,24,28,32,36,40),0)/100)),0)</f>
        <v/>
      </c>
      <c r="R2740">
        <f>IF(AND(Inputs!$B$38&lt;&gt;"pvp",Inputs!$B$43&gt;0),IF(Inputs!$B$43&lt;=0,0,(INT(Inputs!$B$43/(IF(Inputs!$B$38="pvp",15,MAX(0.1,Skills!D14-IF(TRUE=TRUE,Inputs!$B$32,0)))*(1-IF(AND(ArtifactsInput!$M$27,Inputs!$B$4="Chapter Hunt"),CHOOSE(ArtifactsInput!$N$27+1,20,24,28,32,36,40),0)/100)))+1)),0)</f>
        <v/>
      </c>
      <c r="S2740">
        <f>IFERROR(O2740/N2740,0)</f>
        <v/>
      </c>
      <c r="T2740" t="n">
        <v>0</v>
      </c>
      <c r="V2740" t="n">
        <v>0</v>
      </c>
    </row>
    <row r="2741">
      <c r="A2741">
        <f>Skills!A15</f>
        <v/>
      </c>
      <c r="B2741">
        <f>Skills!B15</f>
        <v/>
      </c>
      <c r="C2741">
        <f>Inputs!$B$3&gt;=125</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IF(B2765=0,0,O2741/B2765)</f>
        <v/>
      </c>
      <c r="Q2741">
        <f>IFERROR(1/(IF(Inputs!$B$38="pvp",15,MAX(0.1,Skills!D15-IF(TRUE=TRUE,Inputs!$B$32,0)))*(1-IF(AND(ArtifactsInput!$M$27,Inputs!$B$4="Chapter Hunt"),CHOOSE(ArtifactsInput!$N$27+1,20,24,28,32,36,40),0)/100)),0)</f>
        <v/>
      </c>
      <c r="R2741">
        <f>IF(AND(Inputs!$B$38&lt;&gt;"pvp",Inputs!$B$43&gt;0),IF(Inputs!$B$43&lt;=0,0,(INT(Inputs!$B$43/(IF(Inputs!$B$38="pvp",15,MAX(0.1,Skills!D15-IF(TRUE=TRUE,Inputs!$B$32,0)))*(1-IF(AND(ArtifactsInput!$M$27,Inputs!$B$4="Chapter Hunt"),CHOOSE(ArtifactsInput!$N$27+1,20,24,28,32,36,40),0)/100)))+1)),0)</f>
        <v/>
      </c>
      <c r="S2741">
        <f>IFERROR(O2741/N2741,0)</f>
        <v/>
      </c>
      <c r="T2741" t="n">
        <v>0</v>
      </c>
      <c r="V2741" t="n">
        <v>0</v>
      </c>
    </row>
    <row r="2742">
      <c r="A2742">
        <f>Skills!A16</f>
        <v/>
      </c>
      <c r="B2742">
        <f>Skills!B16</f>
        <v/>
      </c>
      <c r="C2742">
        <f>Inputs!$B$3&gt;=10</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Skills!A17</f>
        <v/>
      </c>
      <c r="B2743">
        <f>Skills!B17</f>
        <v/>
      </c>
      <c r="C2743">
        <f>Inputs!$B$3&gt;=15</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Skills!A18</f>
        <v/>
      </c>
      <c r="B2744">
        <f>Skills!B18</f>
        <v/>
      </c>
      <c r="C2744">
        <f>Inputs!$B$3&gt;=33</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Skills!A19</f>
        <v/>
      </c>
      <c r="B2745">
        <f>Skills!B19</f>
        <v/>
      </c>
      <c r="C2745">
        <f>Inputs!$B$3&gt;=40</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Skills!A20</f>
        <v/>
      </c>
      <c r="B2746">
        <f>Skills!B20</f>
        <v/>
      </c>
      <c r="C2746">
        <f>Inputs!$B$3&gt;=43</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Skills!A21</f>
        <v/>
      </c>
      <c r="B2747">
        <f>Skills!B21</f>
        <v/>
      </c>
      <c r="C2747">
        <f>Inputs!$B$3&gt;=38</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Skills!A22</f>
        <v/>
      </c>
      <c r="B2748">
        <f>Skills!B22</f>
        <v/>
      </c>
      <c r="C2748">
        <f>Inputs!$B$3&gt;=75</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Skills!A23</f>
        <v/>
      </c>
      <c r="B2749">
        <f>Skills!B23</f>
        <v/>
      </c>
      <c r="C2749">
        <f>TRUE</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IF(B2765=0,0,O2749/B2765)</f>
        <v/>
      </c>
      <c r="Q2749">
        <f>IFERROR(1/(IF(Inputs!$B$38="pvp",15,MAX(0.1,Skills!D23-IF(TRUE=TRUE,Inputs!$B$32,0)))*(1-IF(AND(ArtifactsInput!$M$27,Inputs!$B$4="Chapter Hunt"),CHOOSE(ArtifactsInput!$N$27+1,20,24,28,32,36,40),0)/100)),0)</f>
        <v/>
      </c>
      <c r="R2749">
        <f>IF(AND(Inputs!$B$38&lt;&gt;"pvp",Inputs!$B$43&gt;0),IF(Inputs!$B$43&lt;=0,0,(INT(Inputs!$B$43/(IF(Inputs!$B$38="pvp",15,MAX(0.1,Skills!D23-IF(TRUE=TRUE,Inputs!$B$32,0)))*(1-IF(AND(ArtifactsInput!$M$27,Inputs!$B$4="Chapter Hunt"),CHOOSE(ArtifactsInput!$N$27+1,20,24,28,32,36,40),0)/100)))+1)),0)</f>
        <v/>
      </c>
      <c r="S2749">
        <f>IFERROR(O2749/N2749,0)</f>
        <v/>
      </c>
      <c r="T2749" t="n">
        <v>0</v>
      </c>
      <c r="V2749" t="n">
        <v>0</v>
      </c>
    </row>
    <row r="2750">
      <c r="A2750">
        <f>Skills!A24</f>
        <v/>
      </c>
      <c r="B2750">
        <f>Skills!B24</f>
        <v/>
      </c>
      <c r="C2750">
        <f>Inputs!$B$3&gt;=107</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IF(B2765=0,0,O2750/B2765)</f>
        <v/>
      </c>
      <c r="Q2750">
        <f>IFERROR(1/(IF(Inputs!$B$38="pvp",15,MAX(0.1,Skills!D24-IF(TRUE=TRUE,Inputs!$B$32,0)))*(1-IF(AND(ArtifactsInput!$M$27,Inputs!$B$4="Chapter Hunt"),CHOOSE(ArtifactsInput!$N$27+1,20,24,28,32,36,40),0)/100)),0)</f>
        <v/>
      </c>
      <c r="R2750">
        <f>IF(AND(Inputs!$B$38&lt;&gt;"pvp",Inputs!$B$43&gt;0),IF(Inputs!$B$43&lt;=0,0,(INT(Inputs!$B$43/(IF(Inputs!$B$38="pvp",15,MAX(0.1,Skills!D24-IF(TRUE=TRUE,Inputs!$B$32,0)))*(1-IF(AND(ArtifactsInput!$M$27,Inputs!$B$4="Chapter Hunt"),CHOOSE(ArtifactsInput!$N$27+1,20,24,28,32,36,40),0)/100)))+1)),0)</f>
        <v/>
      </c>
      <c r="S2750">
        <f>IFERROR(O2750/N2750,0)</f>
        <v/>
      </c>
      <c r="T2750" t="n">
        <v>0</v>
      </c>
      <c r="V2750" t="n">
        <v>0</v>
      </c>
    </row>
    <row r="2751">
      <c r="A2751">
        <f>Skills!A25</f>
        <v/>
      </c>
      <c r="B2751">
        <f>Skills!B25</f>
        <v/>
      </c>
      <c r="C2751">
        <f>Inputs!$B$3&gt;=110</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t="inlineStr"/>
      <c r="H2751" t="inlineStr"/>
      <c r="I2751" t="inlineStr">
        <is>
          <t>1</t>
        </is>
      </c>
      <c r="J2751" t="inlineStr"/>
      <c r="K2751" t="inlineStr"/>
      <c r="L2751" t="inlineStr"/>
      <c r="M2751" t="inlineStr"/>
      <c r="N2751" t="inlineStr"/>
      <c r="O2751" t="inlineStr"/>
      <c r="P2751" t="inlineStr"/>
      <c r="Q2751" t="inlineStr"/>
      <c r="R2751" t="inlineStr"/>
      <c r="S2751" t="inlineStr"/>
      <c r="T2751" t="inlineStr"/>
      <c r="V2751" t="inlineStr"/>
    </row>
    <row r="2752">
      <c r="A2752">
        <f>Skills!A26</f>
        <v/>
      </c>
      <c r="B2752">
        <f>Skills!B26</f>
        <v/>
      </c>
      <c r="C2752">
        <f>Inputs!$B$3&gt;=117</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t="inlineStr"/>
      <c r="H2752" t="inlineStr"/>
      <c r="I2752" t="inlineStr">
        <is>
          <t>1</t>
        </is>
      </c>
      <c r="J2752" t="inlineStr"/>
      <c r="K2752" t="inlineStr"/>
      <c r="L2752" t="inlineStr"/>
      <c r="M2752" t="inlineStr"/>
      <c r="N2752" t="inlineStr"/>
      <c r="O2752" t="inlineStr"/>
      <c r="P2752" t="inlineStr"/>
      <c r="Q2752" t="inlineStr"/>
      <c r="R2752" t="inlineStr"/>
      <c r="S2752" t="inlineStr"/>
      <c r="T2752" t="inlineStr"/>
      <c r="V2752" t="inlineStr"/>
    </row>
    <row r="2754">
      <c r="A2754" t="inlineStr">
        <is>
          <t>Attack% Bucket Multiplier</t>
        </is>
      </c>
      <c r="B2754">
        <f>(1+(((C2739=TRUE)*F2739*5/7)+((C2745=TRUE)*(F2745-Calc!F19))+(IF(ArtifactsInput!$M$21,CHOOSE(ArtifactsInput!$N$21+1,25,30,35,40,45,50)*(IF(OR(Inputs!$B$4="Chapter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5">
      <c r="A2755" t="inlineStr">
        <is>
          <t>Global Crit Rate Bonus %</t>
        </is>
      </c>
      <c r="B2755" t="n">
        <v>0</v>
      </c>
    </row>
    <row r="2756">
      <c r="A2756" t="inlineStr">
        <is>
          <t>Attack Speed Buff Bonus % (Nimble Feet + Speed Infusion, duty-cycle averaged)</t>
        </is>
      </c>
      <c r="B2756">
        <f>((C2749=TRUE)*F2749*IF(AND(Inputs!$B$38&lt;&gt;"pvp",Inputs!$B$43&gt;0),(((R2749-1)*MIN((Skills!T23*(1+Inputs!$B$34/100)),(1/Q2749))+MIN((Skills!T23*(1+Inputs!$B$34/100)),MAX(0,Inputs!$B$43-((R2749-1)*(1/Q2749)))))/Inputs!$B$43),IF(Inputs!$B$38="pvp",MIN((Skills!T23*(1+Inputs!$B$34/100)),15)/15,MIN(1,(Skills!T23*(1+Inputs!$B$34/100))/(1/Q2749)))))+((C2750=TRUE)*F2750*IF(AND(Inputs!$B$38&lt;&gt;"pvp",Inputs!$B$43&gt;0),(((R2750-1)*MIN((Skills!T24*(1+Inputs!$B$34/100)),(1/Q2750))+MIN((Skills!T24*(1+Inputs!$B$34/100)),MAX(0,Inputs!$B$43-((R2750-1)*(1/Q2750)))))/Inputs!$B$43),IF(Inputs!$B$38="pvp",MIN((Skills!T24*(1+Inputs!$B$34/100)),15)/15,MIN(1,(Skills!T24*(1+Inputs!$B$34/100))/(1/Q2750)))))</f>
        <v/>
      </c>
    </row>
    <row r="2757">
      <c r="A2757" t="inlineStr">
        <is>
          <t>Actions Per Second</t>
        </is>
      </c>
      <c r="B2757">
        <f>1+MIN(150,150*(1-(1-(Inputs!$B$11+((C2743=TRUE)*(F2743-Calc!F17))+((C2744=TRUE)*(F2744-Calc!F18)))/150)*(1-B2756/150)))/100</f>
        <v/>
      </c>
    </row>
    <row r="2758">
      <c r="A2758" t="inlineStr">
        <is>
          <t>Skill + Buff Cast Rate</t>
        </is>
      </c>
      <c r="B2758">
        <f>IF(AND(Inputs!$B$38&lt;&gt;"pvp",Inputs!$B$43&gt;0),SUMPRODUCT((Skills!E2:E26=TRUE)*(C2728:C2752=TRUE)*R2728:R2752*Skills!F2:F26)/Inputs!$B$43,SUMPRODUCT((Skills!E2:E26=TRUE)*(C2728:C2752=TRUE)*Q2728:Q2752*Skills!F2:F26))</f>
        <v/>
      </c>
    </row>
    <row r="2759">
      <c r="A2759" t="inlineStr">
        <is>
          <t>Hook Bomber Casts Per Second</t>
        </is>
      </c>
      <c r="B2759">
        <f>MAX(0,B2757-B2758)</f>
        <v/>
      </c>
    </row>
    <row r="2760">
      <c r="A2760" t="inlineStr">
        <is>
          <t>Global Critical Damage Bonus % (unused)</t>
        </is>
      </c>
      <c r="B2760" t="n">
        <v>0</v>
      </c>
    </row>
    <row r="2761">
      <c r="A2761" t="inlineStr">
        <is>
          <t>Global Final Damage Bonus % (Serpent Scale + Crossbones + Time Leap + Speed Infusion)</t>
        </is>
      </c>
      <c r="B2761">
        <f>((C2731=TRUE)*(F2731*B2767+4*(1-B2767)))+((C2740=TRUE)*F2740*IF(AND(Inputs!$B$38&lt;&gt;"pvp",Inputs!$B$43&gt;0),(((R2740-1)*MIN((Skills!T14*(1+Inputs!$B$34/100)),(1/Q2740))+MIN((Skills!T14*(1+Inputs!$B$34/100)),MAX(0,Inputs!$B$43-((R2740-1)*(1/Q2740)))))/Inputs!$B$43),IF(Inputs!$B$38="pvp",MIN((Skills!T14*(1+Inputs!$B$34/100)),15)/15,MIN(1,(Skills!T14*(1+Inputs!$B$34/100))/(1/Q2740)))))+((C2741=TRUE)*F2741*IF(AND(Inputs!$B$38&lt;&gt;"pvp",Inputs!$B$43&gt;0),(((R2741-1)*MIN((Skills!T15*(1+Inputs!$B$34/100)),(1/Q2741))+MIN((Skills!T15*(1+Inputs!$B$34/100)),MAX(0,Inputs!$B$43-((R2741-1)*(1/Q2741)))))/Inputs!$B$43),IF(Inputs!$B$38="pvp",MIN((Skills!T15*(1+Inputs!$B$34/100)),15)/15,MIN(1,(Skills!T15*(1+Inputs!$B$34/100))/(1/Q2741)))))+((C2750=TRUE)*20*((1+MIN(150,150*(1-(1-(Inputs!$B$11+((C2743=TRUE)*(F2743-Calc!F17))+((C2744=TRUE)*(F2744-Calc!F18)))/150)*(1-(((C2749=TRUE)*F2749*IF(AND(Inputs!$B$38&lt;&gt;"pvp",Inputs!$B$43&gt;0),(((R2749-1)*MIN((Skills!T23*(1+Inputs!$B$34/100)),(1/Q2749))+MIN((Skills!T23*(1+Inputs!$B$34/100)),MAX(0,Inputs!$B$43-((R2749-1)*(1/Q2749)))))/Inputs!$B$43),IF(Inputs!$B$38="pvp",MIN((Skills!T23*(1+Inputs!$B$34/100)),15)/15,MIN(1,(Skills!T23*(1+Inputs!$B$34/100))/(1/Q2749)))))+F2750)/150)))/100)-1)*IF(AND(Inputs!$B$38&lt;&gt;"pvp",Inputs!$B$43&gt;0),(((R2750-1)*MIN((Skills!T24*(1+Inputs!$B$34/100)),(1/Q2750))+MIN((Skills!T24*(1+Inputs!$B$34/100)),MAX(0,Inputs!$B$43-((R2750-1)*(1/Q2750)))))/Inputs!$B$43),IF(Inputs!$B$38="pvp",MIN((Skills!T24*(1+Inputs!$B$34/100)),15)/15,MIN(1,(Skills!T24*(1+Inputs!$B$34/100))/(1/Q2750)))))</f>
        <v/>
      </c>
    </row>
    <row r="2762">
      <c r="A2762" t="inlineStr">
        <is>
          <t>Buff-Casting Startup Delay (s, fixed-duration only)</t>
        </is>
      </c>
      <c r="B2762">
        <f>IF(AND(Inputs!$B$38&lt;&gt;"pvp",Inputs!$B$43&gt;0),SUMPRODUCT((Skills!T2:T26&gt;0)*(Skills!E2:E26=TRUE)*(C2728:C2752=TRUE))/B2757,0)</f>
        <v/>
      </c>
    </row>
    <row r="2763">
      <c r="A2763" t="inlineStr">
        <is>
          <t>Boss-Only Total DPS (this block's swept value)</t>
        </is>
      </c>
      <c r="B2763">
        <f>SUM(T2728:T2752)</f>
        <v/>
      </c>
    </row>
    <row r="2764">
      <c r="A2764" t="inlineStr">
        <is>
          <t>Normal-Only Total DPS (this block's swept value)</t>
        </is>
      </c>
      <c r="B2764">
        <f>SUM(V2728:V2752)</f>
        <v/>
      </c>
    </row>
    <row r="2765">
      <c r="A2765" s="6" t="inlineStr">
        <is>
          <t>TOTAL DPS</t>
        </is>
      </c>
      <c r="B2765" s="6">
        <f>SUM(O2728:O2752)</f>
        <v/>
      </c>
    </row>
    <row r="2766">
      <c r="A2766" t="inlineStr">
        <is>
          <t>Serpent activation interval T (this block's own Hook Bomber rate)</t>
        </is>
      </c>
      <c r="B2766">
        <f>((1/Q2729)+IFERROR(0.5/B2759,0))</f>
        <v/>
      </c>
    </row>
    <row r="2767">
      <c r="A2767" t="inlineStr">
        <is>
          <t>Assault Mode uptime u (this block)</t>
        </is>
      </c>
      <c r="B2767">
        <f>IF(C2731=TRUE,(10+IF(Inputs!$B$3&gt;=94,5,0))/((10+IF(Inputs!$B$3&gt;=94,5,0))+IF(Inputs!$B$3&gt;=104,3,5)*B2766),0)</f>
        <v/>
      </c>
    </row>
    <row r="2768">
      <c r="A2768" t="inlineStr">
        <is>
          <t>Nautilus Strike - Final Attack trigger rate (this block's own Q/R)</t>
        </is>
      </c>
      <c r="B2768">
        <f>IF(AND(Inputs!$B$38&lt;&gt;"pvp",Inputs!$B$43&gt;0),(((C2732=TRUE)*R2732)+((C2733=TRUE)*R2733)+((C2736=TRUE)*R2736))/Inputs!$B$43,((C2732=TRUE)*Q2732)+((C2733=TRUE)*Q2733)+((C2736=TRUE)*Q2736))+B2759</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2791=TRUE)*(F2791-Calc!F20)),(Inputs!$B$23+0+(IF(ArtifactsInput!$M$15,CHOOSE(ArtifactsInput!$N$15+1,25,30,35,40,45,50)/100*(Inputs!$B$11-Inputs!$B$11),0))))/100+(Inputs!$B$23+0+(IF(ArtifactsInput!$M$15,CHOOSE(ArtifactsInput!$N$15+1,25,30,35,40,45,50)/100*(Inputs!$B$11-Inputs!$B$11),0)))/100)/2</f>
        <v/>
      </c>
      <c r="M2773">
        <f>L2773*(1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IF(B2810=0,0,O2773/B2810)</f>
        <v/>
      </c>
      <c r="Q2773" t="n">
        <v>0</v>
      </c>
      <c r="R2773" t="n">
        <v>0</v>
      </c>
      <c r="S2773">
        <f>IFERROR(O2773/N2773,0)</f>
        <v/>
      </c>
      <c r="T2773">
        <f>IF(C2773,(Skills!G2*N2773*B2804)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IF(C2773,(Skills!G2*N2773*B2804)*IF(Inputs!$B$38="pvp",1,(1+(Inputs!$B$21+Skills!Q2+(IF(ArtifactsInput!$M$33,CHOOSE(ArtifactsInput!$N$33+1,30,36,42,48,54,60),0))+(IF(AND(ArtifactsInput!$M$35,Inputs!$B$4&lt;&gt;"Chapter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Inputs!$B$3&gt;=35</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f>Skills!G3*IF(Skills!H3&gt;0,Skills!I3/Skills!H3,1)</f>
        <v/>
      </c>
      <c r="H2774">
        <f>1-(1-Skills!J3/100)^Skills!K3</f>
        <v/>
      </c>
      <c r="I2774" t="inlineStr">
        <is>
          <t>1</t>
        </is>
      </c>
      <c r="J2774">
        <f>((Inputs!$B$6*(1+Inputs!$B$7/100))+(((Inputs!$B$12*(1+Inputs!$B$13/100))-(Inputs!$B$12*(1+Inputs!$B$13/100)))+0.25*(Inputs!$B$14-Inputs!$B$14))*(1+Inputs!$B$7/100))*(F2774/100)</f>
        <v/>
      </c>
      <c r="K2774">
        <f>J2774*(1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2796=TRUE,F2796,0)/100)*(1+(IF(Skills!A3="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2791=TRUE)*(F2791-Calc!F20)),(Inputs!$B$23+0+(IF(ArtifactsInput!$M$15,CHOOSE(ArtifactsInput!$N$15+1,25,30,35,40,45,50)/100*(Inputs!$B$11-Inputs!$B$11),0))))/100+(Inputs!$B$23+0+(IF(ArtifactsInput!$M$15,CHOOSE(ArtifactsInput!$N$15+1,25,30,35,40,45,50)/100*(Inputs!$B$11-Inputs!$B$11),0)))/100)/2</f>
        <v/>
      </c>
      <c r="M2774">
        <f>L2774*(1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IF(B2810=0,0,O2774/B2810)</f>
        <v/>
      </c>
      <c r="Q2774">
        <f>IFERROR(1/(IF(Inputs!$B$38="pvp",15,MAX(0.1,Skills!D3-IF(TRUE=TRUE,Inputs!$B$32,0)))*(1-IF(AND(ArtifactsInput!$M$27,Inputs!$B$4="Chapter Hunt"),CHOOSE(ArtifactsInput!$N$27+1,20,24,28,32,36,40),0)/100)),0)</f>
        <v/>
      </c>
      <c r="R2774">
        <f>IF(AND(Inputs!$B$38&lt;&gt;"pvp",Inputs!$B$43&gt;0),IF(MAX(0,Inputs!$B$43-B2807)&lt;=0,0,(INT(MAX(0,Inputs!$B$43-B2807)/(IF(Inputs!$B$38="pvp",15,MAX(0.1,Skills!D3-IF(TRUE=TRUE,Inputs!$B$32,0)))*(1-IF(AND(ArtifactsInput!$M$27,Inputs!$B$4="Chapter Hunt"),CHOOSE(ArtifactsInput!$N$27+1,20,24,28,32,36,40),0)/100)))+1)),0)</f>
        <v/>
      </c>
      <c r="S2774">
        <f>IFERROR(O2774/N2774,0)</f>
        <v/>
      </c>
      <c r="T2774">
        <f>IF(C2774,(Skills!G3*N2774*IF(C2775=TRUE,1-B2812,1)/B2811)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INDEX(FactorTable!$B$2:$Y$301, MATCH(ROUND(MIN(300,MAX(1,U2773)),0), FactorTable!$A$2:$A$301,0), 22)</f>
        <v/>
      </c>
      <c r="V2774">
        <f>IF(C2774,(Skills!G3*N2774*IF(C2775=TRUE,1-B2812,1)/B2811)*IF(Inputs!$B$38="pvp",1,(1+(Inputs!$B$21+Skills!Q3+(IF(ArtifactsInput!$M$33,CHOOSE(ArtifactsInput!$N$33+1,30,36,42,48,54,60),0))+(IF(AND(ArtifactsInput!$M$35,Inputs!$B$4&lt;&gt;"Chapter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Skills!A4</f>
        <v/>
      </c>
      <c r="B2775">
        <f>Skills!B4</f>
        <v/>
      </c>
      <c r="C2775">
        <f>Inputs!$B$3&gt;=69</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f>Skills!G4*IF(Skills!H4&gt;0,Skills!I4/Skills!H4,1)</f>
        <v/>
      </c>
      <c r="H2775">
        <f>1-(1-Skills!J4/100)^Skills!K4</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2783=TRUE,F2783,0)/100)*(1+(IF(Skills!A4="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2791=TRUE)*(F2791-Calc!F20)),(Inputs!$B$23+0+(IF(ArtifactsInput!$M$15,CHOOSE(ArtifactsInput!$N$15+1,25,30,35,40,45,50)/100*(Inputs!$B$11-Inputs!$B$11),0))))/100+(Inputs!$B$23+0+(IF(ArtifactsInput!$M$15,CHOOSE(ArtifactsInput!$N$15+1,25,30,35,40,45,50)/100*(Inputs!$B$11-Inputs!$B$11),0)))/100)/2</f>
        <v/>
      </c>
      <c r="M2775">
        <f>L2775*(1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IF(B2810=0,0,O2775/B2810)</f>
        <v/>
      </c>
      <c r="Q2775" t="n">
        <v>0</v>
      </c>
      <c r="R2775" t="n">
        <v>0</v>
      </c>
      <c r="S2775">
        <f>IFERROR(O2775/N2775,0)</f>
        <v/>
      </c>
      <c r="T2775">
        <f>IF(C2775,(Skills!G4*N2775*B2812/B2811)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290*U2774/1000</f>
        <v/>
      </c>
      <c r="V2775">
        <f>IF(C2775,(Skills!G4*N2775*B2812/B2811)*IF(Inputs!$B$38="pvp",1,(1+(Inputs!$B$21+Skills!Q4+(IF(ArtifactsInput!$M$33,CHOOSE(ArtifactsInput!$N$33+1,30,36,42,48,54,60),0))+(IF(AND(ArtifactsInput!$M$35,Inputs!$B$4&lt;&gt;"Chapter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Skills!A5</f>
        <v/>
      </c>
      <c r="B2776">
        <f>Skills!B5</f>
        <v/>
      </c>
      <c r="C2776">
        <f>Inputs!$B$3&gt;=66</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t="inlineStr"/>
      <c r="K2776" t="inlineStr"/>
      <c r="L2776" t="inlineStr"/>
      <c r="M2776" t="inlineStr"/>
      <c r="N2776" t="inlineStr"/>
      <c r="O2776">
        <f>(1-Summary!$B$11)*T2776+Summary!$B$11*V2776</f>
        <v/>
      </c>
      <c r="P2776">
        <f>IF(B2810=0,0,O2776/B2810)</f>
        <v/>
      </c>
      <c r="Q2776" t="n">
        <v>0</v>
      </c>
      <c r="R2776" t="n">
        <v>0</v>
      </c>
      <c r="S2776">
        <f>IFERROR(O2776/N2776,0)</f>
        <v/>
      </c>
      <c r="T2776" t="n">
        <v>0</v>
      </c>
      <c r="V2776" t="n">
        <v>0</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2783=TRUE,F2783,0)/100)*(1+(IF(Skills!A6="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2791=TRUE)*(F2791-Calc!F20)),(Inputs!$B$23+0+(IF(ArtifactsInput!$M$15,CHOOSE(ArtifactsInput!$N$15+1,25,30,35,40,45,50)/100*(Inputs!$B$11-Inputs!$B$11),0))))/100+(Inputs!$B$23+0+(IF(ArtifactsInput!$M$15,CHOOSE(ArtifactsInput!$N$15+1,25,30,35,40,45,50)/100*(Inputs!$B$11-Inputs!$B$11),0)))/100)/2</f>
        <v/>
      </c>
      <c r="M2777">
        <f>L2777*(1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IF(B2810=0,0,O2777/B2810)</f>
        <v/>
      </c>
      <c r="Q2777">
        <f>IFERROR(1/(IF(Inputs!$B$38="pvp",15,MAX(0.1,Skills!D6-IF(TRUE=TRUE,Inputs!$B$32,0)))*(1-IF(AND(ArtifactsInput!$M$27,Inputs!$B$4="Chapter Hunt"),CHOOSE(ArtifactsInput!$N$27+1,20,24,28,32,36,40),0)/100)),0)</f>
        <v/>
      </c>
      <c r="R2777">
        <f>IF(AND(Inputs!$B$38&lt;&gt;"pvp",Inputs!$B$43&gt;0),IF(MAX(0,Inputs!$B$43-B2807)&lt;=0,0,(INT(MAX(0,Inputs!$B$43-B2807)/(IF(Inputs!$B$38="pvp",15,MAX(0.1,Skills!D6-IF(TRUE=TRUE,Inputs!$B$32,0)))*(1-IF(AND(ArtifactsInput!$M$27,Inputs!$B$4="Chapter Hunt"),CHOOSE(ArtifactsInput!$N$27+1,20,24,28,32,36,40),0)/100)))+1)),0)</f>
        <v/>
      </c>
      <c r="S2777">
        <f>IFERROR(O2777/N2777,0)</f>
        <v/>
      </c>
      <c r="T2777">
        <f>IF(C2777,(H2777*N2777*IF(AND(Inputs!$B$38&lt;&gt;"pvp",Inputs!$B$43&gt;0),((Skills!G6*((R2777-1)*IF(Skills!H6&gt;0,Skills!I6/Skills!H6,1)+IF(Skills!H6&gt;0,MIN(Skills!I6,MAX(0,MAX(0,Inputs!$B$43-B2807)-((R2777-1)*(IF(Inputs!$B$38="pvp",15,MAX(0.1,Skills!D6-IF(TRUE=TRUE,Inputs!$B$32,0)))*(1-IF(AND(ArtifactsInput!$M$27,Inputs!$B$4="Chapter Hunt"),CHOOSE(ArtifactsInput!$N$27+1,20,24,28,32,36,40),0)/100)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2807)-((R2777-1)*(IF(Inputs!$B$38="pvp",15,MAX(0.1,Skills!D6-IF(TRUE=TRUE,Inputs!$B$32,0)))*(1-IF(AND(ArtifactsInput!$M$27,Inputs!$B$4="Chapter Hunt"),CHOOSE(ArtifactsInput!$N$27+1,20,24,28,32,36,40),0)/100)))))/Skills!H6,1)))/Inputs!$B$43),G2777*Q2777))*IF(Inputs!$B$38="pvp",1,(1+(Inputs!$B$21+Skills!Q6+(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Inputs!$B$3&gt;=103</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2791=TRUE)*(F2791-Calc!F20)),(Inputs!$B$23+0+(IF(ArtifactsInput!$M$15,CHOOSE(ArtifactsInput!$N$15+1,25,30,35,40,45,50)/100*(Inputs!$B$11-Inputs!$B$11),0))))/100+(Inputs!$B$23+0+(IF(ArtifactsInput!$M$15,CHOOSE(ArtifactsInput!$N$15+1,25,30,35,40,45,50)/100*(Inputs!$B$11-Inputs!$B$11),0)))/100)/2</f>
        <v/>
      </c>
      <c r="M2778">
        <f>L2778*(1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IF(B2810=0,0,O2778/B2810)</f>
        <v/>
      </c>
      <c r="Q2778">
        <f>IFERROR(1/(IF(Inputs!$B$38="pvp",15,MAX(0.1,Skills!D7-IF(TRUE=TRUE,Inputs!$B$32,0)))*(1-IF(AND(ArtifactsInput!$M$27,Inputs!$B$4="Chapter Hunt"),CHOOSE(ArtifactsInput!$N$27+1,20,24,28,32,36,40),0)/100)),0)</f>
        <v/>
      </c>
      <c r="R2778">
        <f>IF(AND(Inputs!$B$38&lt;&gt;"pvp",Inputs!$B$43&gt;0),IF(MAX(0,Inputs!$B$43-B2807)&lt;=0,0,(INT(MAX(0,Inputs!$B$43-B2807)/(IF(Inputs!$B$38="pvp",15,MAX(0.1,Skills!D7-IF(TRUE=TRUE,Inputs!$B$32,0)))*(1-IF(AND(ArtifactsInput!$M$27,Inputs!$B$4="Chapter Hunt"),CHOOSE(ArtifactsInput!$N$27+1,20,24,28,32,36,40),0)/100)))+1)),0)</f>
        <v/>
      </c>
      <c r="S2778">
        <f>IFERROR(O2778/N2778,0)</f>
        <v/>
      </c>
      <c r="T2778">
        <f>IF(C2778,(H2778*N2778*IF(AND(Inputs!$B$38&lt;&gt;"pvp",Inputs!$B$43&gt;0),((Skills!G7*((R2778-1)*IF(Skills!H7&gt;0,Skills!I7/Skills!H7,1)+IF(Skills!H7&gt;0,MIN(Skills!I7,MAX(0,MAX(0,Inputs!$B$43-B2807)-((R2778-1)*(IF(Inputs!$B$38="pvp",15,MAX(0.1,Skills!D7-IF(TRUE=TRUE,Inputs!$B$32,0)))*(1-IF(AND(ArtifactsInput!$M$27,Inputs!$B$4="Chapter Hunt"),CHOOSE(ArtifactsInput!$N$27+1,20,24,28,32,36,40),0)/100)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2807)-((R2778-1)*(IF(Inputs!$B$38="pvp",15,MAX(0.1,Skills!D7-IF(TRUE=TRUE,Inputs!$B$32,0)))*(1-IF(AND(ArtifactsInput!$M$27,Inputs!$B$4="Chapter Hunt"),CHOOSE(ArtifactsInput!$N$27+1,20,24,28,32,36,40),0)/100)))))/Skills!H7,1)))/Inputs!$B$43),G2778*Q2778))*IF(Inputs!$B$38="pvp",1,(1+(Inputs!$B$21+Skills!Q7+(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Inputs!$B$3&gt;=117</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f>Skills!G8*IF(Skills!H8&gt;0,Skills!I8/Skills!H8,1)</f>
        <v/>
      </c>
      <c r="H2779">
        <f>1-(1-Skills!J8/100)^Skills!K8</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2791=TRUE)*(F2791-Calc!F20)),(Inputs!$B$23+0+(IF(ArtifactsInput!$M$15,CHOOSE(ArtifactsInput!$N$15+1,25,30,35,40,45,50)/100*(Inputs!$B$11-Inputs!$B$11),0))))/100+(Inputs!$B$23+0+(IF(ArtifactsInput!$M$15,CHOOSE(ArtifactsInput!$N$15+1,25,30,35,40,45,50)/100*(Inputs!$B$11-Inputs!$B$11),0)))/100)/2</f>
        <v/>
      </c>
      <c r="M2779">
        <f>L2779*(1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IF(B2810=0,0,O2779/B2810)</f>
        <v/>
      </c>
      <c r="Q2779">
        <f>IFERROR(1/(IF(Inputs!$B$38="pvp",15,MAX(0.1,Skills!D8-IF(TRUE=TRUE,Inputs!$B$32,0)))*(1-IF(AND(ArtifactsInput!$M$27,Inputs!$B$4="Chapter Hunt"),CHOOSE(ArtifactsInput!$N$27+1,20,24,28,32,36,40),0)/100)),0)</f>
        <v/>
      </c>
      <c r="R2779">
        <f>IF(AND(Inputs!$B$38&lt;&gt;"pvp",Inputs!$B$43&gt;0),IF(MAX(0,Inputs!$B$43-B2807)&lt;=0,0,(INT(MAX(0,Inputs!$B$43-B2807)/(IF(Inputs!$B$38="pvp",15,MAX(0.1,Skills!D8-IF(TRUE=TRUE,Inputs!$B$32,0)))*(1-IF(AND(ArtifactsInput!$M$27,Inputs!$B$4="Chapter Hunt"),CHOOSE(ArtifactsInput!$N$27+1,20,24,28,32,36,40),0)/100)))+1)),0)</f>
        <v/>
      </c>
      <c r="S2779">
        <f>IFERROR(O2779/N2779,0)</f>
        <v/>
      </c>
      <c r="T2779">
        <f>IF(C2779,(H2779*N2779*IF(AND(Inputs!$B$38&lt;&gt;"pvp",Inputs!$B$43&gt;0),((Skills!G8*((R2779-1)*IF(Skills!H8&gt;0,Skills!I8/Skills!H8,1)+IF(Skills!H8&gt;0,MIN(Skills!I8,MAX(0,MAX(0,Inputs!$B$43-B2807)-((R2779-1)*(IF(Inputs!$B$38="pvp",15,MAX(0.1,Skills!D8-IF(TRUE=TRUE,Inputs!$B$32,0)))*(1-IF(AND(ArtifactsInput!$M$27,Inputs!$B$4="Chapter Hunt"),CHOOSE(ArtifactsInput!$N$27+1,20,24,28,32,36,40),0)/100)))))/Skills!H8,1)))/Inputs!$B$43),G2779*Q2779)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8*((R2779-1)*IF(Skills!H8&gt;0,Skills!I8/Skills!H8,1)+IF(Skills!H8&gt;0,MIN(Skills!I8,MAX(0,MAX(0,Inputs!$B$43-B2807)-((R2779-1)*(IF(Inputs!$B$38="pvp",15,MAX(0.1,Skills!D8-IF(TRUE=TRUE,Inputs!$B$32,0)))*(1-IF(AND(ArtifactsInput!$M$27,Inputs!$B$4="Chapter Hunt"),CHOOSE(ArtifactsInput!$N$27+1,20,24,28,32,36,40),0)/100)))))/Skills!H8,1)))/Inputs!$B$43),G2779*Q2779))*IF(Inputs!$B$38="pvp",1,(1+(Inputs!$B$21+Skills!Q8+(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Skills!A9</f>
        <v/>
      </c>
      <c r="B2780">
        <f>Skills!B9</f>
        <v/>
      </c>
      <c r="C2780">
        <f>Inputs!$B$3&gt;=120</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B2812</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2791=TRUE)*(F2791-Calc!F20)),(Inputs!$B$23+0+(IF(ArtifactsInput!$M$15,CHOOSE(ArtifactsInput!$N$15+1,25,30,35,40,45,50)/100*(Inputs!$B$11-Inputs!$B$11),0))))/100+(Inputs!$B$23+0+(IF(ArtifactsInput!$M$15,CHOOSE(ArtifactsInput!$N$15+1,25,30,35,40,45,50)/100*(Inputs!$B$11-Inputs!$B$11),0)))/100)/2</f>
        <v/>
      </c>
      <c r="M2780">
        <f>L2780*(1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IF(B2810=0,0,O2780/B2810)</f>
        <v/>
      </c>
      <c r="Q2780">
        <f>IFERROR(1/(IF(Inputs!$B$38="pvp",15,MAX(0.1,Skills!D9-IF(TRUE=TRUE,Inputs!$B$32,0)))*(1-IF(AND(ArtifactsInput!$M$27,Inputs!$B$4="Chapter Hunt"),CHOOSE(ArtifactsInput!$N$27+1,20,24,28,32,36,40),0)/100)),0)</f>
        <v/>
      </c>
      <c r="R2780">
        <f>IF(AND(Inputs!$B$38&lt;&gt;"pvp",Inputs!$B$43&gt;0),IF(MAX(0,Inputs!$B$43-B2807)&lt;=0,0,(INT(MAX(0,Inputs!$B$43-B2807)/(IF(Inputs!$B$38="pvp",15,MAX(0.1,Skills!D9-IF(TRUE=TRUE,Inputs!$B$32,0)))*(1-IF(AND(ArtifactsInput!$M$27,Inputs!$B$4="Chapter Hunt"),CHOOSE(ArtifactsInput!$N$27+1,20,24,28,32,36,40),0)/100)))+1)),0)</f>
        <v/>
      </c>
      <c r="S2780">
        <f>IFERROR(O2780/N2780,0)</f>
        <v/>
      </c>
      <c r="T2780">
        <f>IF(C2780,(H2780*N2780*IF(AND(Inputs!$B$38&lt;&gt;"pvp",Inputs!$B$43&gt;0),((Skills!G9*((R2780-1)*IF(Skills!H9&gt;0,Skills!I9/Skills!H9,1)+IF(Skills!H9&gt;0,MIN(Skills!I9,MAX(0,MAX(0,Inputs!$B$43-B2807)-((R2780-1)*(IF(Inputs!$B$38="pvp",15,MAX(0.1,Skills!D9-IF(TRUE=TRUE,Inputs!$B$32,0)))*(1-IF(AND(ArtifactsInput!$M$27,Inputs!$B$4="Chapter Hunt"),CHOOSE(ArtifactsInput!$N$27+1,20,24,28,32,36,40),0)/100)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2807)-((R2780-1)*(IF(Inputs!$B$38="pvp",15,MAX(0.1,Skills!D9-IF(TRUE=TRUE,Inputs!$B$32,0)))*(1-IF(AND(ArtifactsInput!$M$27,Inputs!$B$4="Chapter Hunt"),CHOOSE(ArtifactsInput!$N$27+1,20,24,28,32,36,40),0)/100)))))/Skills!H9,1)))/Inputs!$B$43),G2780*Q2780))*IF(Inputs!$B$38="pvp",1,(1+(Inputs!$B$21+Skills!Q9+(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Inputs!$B$3&gt;=105</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2791=TRUE)*(F2791-Calc!F20)),(Inputs!$B$23+0+(IF(ArtifactsInput!$M$15,CHOOSE(ArtifactsInput!$N$15+1,25,30,35,40,45,50)/100*(Inputs!$B$11-Inputs!$B$11),0))))/100+(Inputs!$B$23+0+(IF(ArtifactsInput!$M$15,CHOOSE(ArtifactsInput!$N$15+1,25,30,35,40,45,50)/100*(Inputs!$B$11-Inputs!$B$11),0)))/100)/2</f>
        <v/>
      </c>
      <c r="M2781">
        <f>L2781*(1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IF(B2810=0,0,O2781/B2810)</f>
        <v/>
      </c>
      <c r="Q2781">
        <f>IFERROR(1/(IF(Inputs!$B$38="pvp",15,MAX(0.1,Skills!D10-IF(TRUE=TRUE,Inputs!$B$32,0)))*(1-IF(AND(ArtifactsInput!$M$27,Inputs!$B$4="Chapter Hunt"),CHOOSE(ArtifactsInput!$N$27+1,20,24,28,32,36,40),0)/100)),0)</f>
        <v/>
      </c>
      <c r="R2781">
        <f>IF(AND(Inputs!$B$38&lt;&gt;"pvp",Inputs!$B$43&gt;0),IF(MAX(0,Inputs!$B$43-B2807)&lt;=0,0,(INT(MAX(0,Inputs!$B$43-B2807)/(IF(Inputs!$B$38="pvp",15,MAX(0.1,Skills!D10-IF(TRUE=TRUE,Inputs!$B$32,0)))*(1-IF(AND(ArtifactsInput!$M$27,Inputs!$B$4="Chapter Hunt"),CHOOSE(ArtifactsInput!$N$27+1,20,24,28,32,36,40),0)/100)))+1)),0)</f>
        <v/>
      </c>
      <c r="S2781">
        <f>IFERROR(O2781/N2781,0)</f>
        <v/>
      </c>
      <c r="T2781">
        <f>IF(C2781,(H2781*N2781*IF(AND(Inputs!$B$38&lt;&gt;"pvp",Inputs!$B$43&gt;0),((Skills!G10*((R2781-1)*IF(Skills!H10&gt;0,Skills!I10/Skills!H10,1)+IF(Skills!H10&gt;0,MIN(Skills!I10,MAX(0,MAX(0,Inputs!$B$43-B2807)-((R2781-1)*(IF(Inputs!$B$38="pvp",15,MAX(0.1,Skills!D10-IF(TRUE=TRUE,Inputs!$B$32,0)))*(1-IF(AND(ArtifactsInput!$M$27,Inputs!$B$4="Chapter Hunt"),CHOOSE(ArtifactsInput!$N$27+1,20,24,28,32,36,40),0)/100)))))/Skills!H10,1)))/Inputs!$B$43),G2781*Q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10*((R2781-1)*IF(Skills!H10&gt;0,Skills!I10/Skills!H10,1)+IF(Skills!H10&gt;0,MIN(Skills!I10,MAX(0,MAX(0,Inputs!$B$43-B2807)-((R2781-1)*(IF(Inputs!$B$38="pvp",15,MAX(0.1,Skills!D10-IF(TRUE=TRUE,Inputs!$B$32,0)))*(1-IF(AND(ArtifactsInput!$M$27,Inputs!$B$4="Chapter Hunt"),CHOOSE(ArtifactsInput!$N$27+1,20,24,28,32,36,40),0)/100)))))/Skills!H10,1)))/Inputs!$B$43),G2781*Q2781))*IF(Inputs!$B$38="pvp",1,(1+(Inputs!$B$21+Skills!Q10+(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Inputs!$B$3&gt;=113</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2791=TRUE)*(F2791-Calc!F20)),(Inputs!$B$23+0+(IF(ArtifactsInput!$M$15,CHOOSE(ArtifactsInput!$N$15+1,25,30,35,40,45,50)/100*(Inputs!$B$11-Inputs!$B$11),0))))/100+(Inputs!$B$23+0+(IF(ArtifactsInput!$M$15,CHOOSE(ArtifactsInput!$N$15+1,25,30,35,40,45,50)/100*(Inputs!$B$11-Inputs!$B$11),0)))/100)/2</f>
        <v/>
      </c>
      <c r="M2782">
        <f>L2782*(1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IF(B2810=0,0,O2782/B2810)</f>
        <v/>
      </c>
      <c r="Q2782" t="n">
        <v>0</v>
      </c>
      <c r="R2782" t="n">
        <v>0</v>
      </c>
      <c r="S2782">
        <f>IFERROR(O2782/N2782,0)</f>
        <v/>
      </c>
      <c r="T2782">
        <f>IF(C2782,((H2782*B2813)/(1+Skills!H11*H2782*B2813)*N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IF(C2782,((H2782*B2813)/(1+Skills!H11*H2782*B2813)*N2782)*IF(Inputs!$B$38="pvp",1,(1+(Inputs!$B$21+Skills!Q11+(IF(ArtifactsInput!$M$33,CHOOSE(ArtifactsInput!$N$33+1,30,36,42,48,54,60),0))+(IF(AND(ArtifactsInput!$M$35,Inputs!$B$4&lt;&gt;"Chapter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Inputs!$B$3&gt;=100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t="inlineStr"/>
      <c r="H2783" t="inlineStr"/>
      <c r="I2783" t="inlineStr">
        <is>
          <t>1</t>
        </is>
      </c>
      <c r="J2783" t="inlineStr"/>
      <c r="K2783" t="inlineStr"/>
      <c r="L2783" t="inlineStr"/>
      <c r="M2783" t="inlineStr"/>
      <c r="N2783" t="inlineStr"/>
      <c r="O2783" t="inlineStr"/>
      <c r="P2783" t="inlineStr"/>
      <c r="Q2783" t="inlineStr"/>
      <c r="R2783" t="inlineStr"/>
      <c r="S2783" t="inlineStr"/>
      <c r="T2783" t="inlineStr"/>
      <c r="V2783" t="inlineStr"/>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IF(B2810=0,0,O2784/B2810)</f>
        <v/>
      </c>
      <c r="Q2784" t="n">
        <v>0</v>
      </c>
      <c r="R2784" t="n">
        <v>0</v>
      </c>
      <c r="S2784">
        <f>IFERROR(O2784/N2784,0)</f>
        <v/>
      </c>
      <c r="T2784" t="n">
        <v>0</v>
      </c>
      <c r="V2784" t="n">
        <v>0</v>
      </c>
    </row>
    <row r="2785">
      <c r="A2785">
        <f>Skills!A14</f>
        <v/>
      </c>
      <c r="B2785">
        <f>Skills!B14</f>
        <v/>
      </c>
      <c r="C2785">
        <f>Inputs!$B$3&gt;=115</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IF(B2810=0,0,O2785/B2810)</f>
        <v/>
      </c>
      <c r="Q2785">
        <f>IFERROR(1/(IF(Inputs!$B$38="pvp",15,MAX(0.1,Skills!D14-IF(TRUE=TRUE,Inputs!$B$32,0)))*(1-IF(AND(ArtifactsInput!$M$27,Inputs!$B$4="Chapter Hunt"),CHOOSE(ArtifactsInput!$N$27+1,20,24,28,32,36,40),0)/100)),0)</f>
        <v/>
      </c>
      <c r="R2785">
        <f>IF(AND(Inputs!$B$38&lt;&gt;"pvp",Inputs!$B$43&gt;0),IF(Inputs!$B$43&lt;=0,0,(INT(Inputs!$B$43/(IF(Inputs!$B$38="pvp",15,MAX(0.1,Skills!D14-IF(TRUE=TRUE,Inputs!$B$32,0)))*(1-IF(AND(ArtifactsInput!$M$27,Inputs!$B$4="Chapter Hunt"),CHOOSE(ArtifactsInput!$N$27+1,20,24,28,32,36,40),0)/100)))+1)),0)</f>
        <v/>
      </c>
      <c r="S2785">
        <f>IFERROR(O2785/N2785,0)</f>
        <v/>
      </c>
      <c r="T2785" t="n">
        <v>0</v>
      </c>
      <c r="V2785" t="n">
        <v>0</v>
      </c>
    </row>
    <row r="2786">
      <c r="A2786">
        <f>Skills!A15</f>
        <v/>
      </c>
      <c r="B2786">
        <f>Skills!B15</f>
        <v/>
      </c>
      <c r="C2786">
        <f>Inputs!$B$3&gt;=125</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IF(B2810=0,0,O2786/B2810)</f>
        <v/>
      </c>
      <c r="Q2786">
        <f>IFERROR(1/(IF(Inputs!$B$38="pvp",15,MAX(0.1,Skills!D15-IF(TRUE=TRUE,Inputs!$B$32,0)))*(1-IF(AND(ArtifactsInput!$M$27,Inputs!$B$4="Chapter Hunt"),CHOOSE(ArtifactsInput!$N$27+1,20,24,28,32,36,40),0)/100)),0)</f>
        <v/>
      </c>
      <c r="R2786">
        <f>IF(AND(Inputs!$B$38&lt;&gt;"pvp",Inputs!$B$43&gt;0),IF(Inputs!$B$43&lt;=0,0,(INT(Inputs!$B$43/(IF(Inputs!$B$38="pvp",15,MAX(0.1,Skills!D15-IF(TRUE=TRUE,Inputs!$B$32,0)))*(1-IF(AND(ArtifactsInput!$M$27,Inputs!$B$4="Chapter Hunt"),CHOOSE(ArtifactsInput!$N$27+1,20,24,28,32,36,40),0)/100)))+1)),0)</f>
        <v/>
      </c>
      <c r="S2786">
        <f>IFERROR(O2786/N2786,0)</f>
        <v/>
      </c>
      <c r="T2786" t="n">
        <v>0</v>
      </c>
      <c r="V2786" t="n">
        <v>0</v>
      </c>
    </row>
    <row r="2787">
      <c r="A2787">
        <f>Skills!A16</f>
        <v/>
      </c>
      <c r="B2787">
        <f>Skills!B16</f>
        <v/>
      </c>
      <c r="C2787">
        <f>Inputs!$B$3&gt;=10</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IF(B2810=0,0,O2787/B2810)</f>
        <v/>
      </c>
      <c r="Q2787" t="n">
        <v>0</v>
      </c>
      <c r="R2787" t="n">
        <v>0</v>
      </c>
      <c r="S2787">
        <f>IFERROR(O2787/N2787,0)</f>
        <v/>
      </c>
      <c r="T2787" t="n">
        <v>0</v>
      </c>
      <c r="V2787" t="n">
        <v>0</v>
      </c>
    </row>
    <row r="2788">
      <c r="A2788">
        <f>Skills!A17</f>
        <v/>
      </c>
      <c r="B2788">
        <f>Skills!B17</f>
        <v/>
      </c>
      <c r="C2788">
        <f>Inputs!$B$3&gt;=15</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IF(B2810=0,0,O2788/B2810)</f>
        <v/>
      </c>
      <c r="Q2788" t="n">
        <v>0</v>
      </c>
      <c r="R2788" t="n">
        <v>0</v>
      </c>
      <c r="S2788">
        <f>IFERROR(O2788/N2788,0)</f>
        <v/>
      </c>
      <c r="T2788" t="n">
        <v>0</v>
      </c>
      <c r="V2788" t="n">
        <v>0</v>
      </c>
    </row>
    <row r="2789">
      <c r="A2789">
        <f>Skills!A18</f>
        <v/>
      </c>
      <c r="B2789">
        <f>Skills!B18</f>
        <v/>
      </c>
      <c r="C2789">
        <f>Inputs!$B$3&gt;=33</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IF(B2810=0,0,O2789/B2810)</f>
        <v/>
      </c>
      <c r="Q2789" t="n">
        <v>0</v>
      </c>
      <c r="R2789" t="n">
        <v>0</v>
      </c>
      <c r="S2789">
        <f>IFERROR(O2789/N2789,0)</f>
        <v/>
      </c>
      <c r="T2789" t="n">
        <v>0</v>
      </c>
      <c r="V2789" t="n">
        <v>0</v>
      </c>
    </row>
    <row r="2790">
      <c r="A2790">
        <f>Skills!A19</f>
        <v/>
      </c>
      <c r="B2790">
        <f>Skills!B19</f>
        <v/>
      </c>
      <c r="C2790">
        <f>Inputs!$B$3&gt;=40</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IF(B2810=0,0,O2790/B2810)</f>
        <v/>
      </c>
      <c r="Q2790" t="n">
        <v>0</v>
      </c>
      <c r="R2790" t="n">
        <v>0</v>
      </c>
      <c r="S2790">
        <f>IFERROR(O2790/N2790,0)</f>
        <v/>
      </c>
      <c r="T2790" t="n">
        <v>0</v>
      </c>
      <c r="V2790" t="n">
        <v>0</v>
      </c>
    </row>
    <row r="2791">
      <c r="A2791">
        <f>Skills!A20</f>
        <v/>
      </c>
      <c r="B2791">
        <f>Skills!B20</f>
        <v/>
      </c>
      <c r="C2791">
        <f>Inputs!$B$3&gt;=43</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IF(B2810=0,0,O2791/B2810)</f>
        <v/>
      </c>
      <c r="Q2791" t="n">
        <v>0</v>
      </c>
      <c r="R2791" t="n">
        <v>0</v>
      </c>
      <c r="S2791">
        <f>IFERROR(O2791/N2791,0)</f>
        <v/>
      </c>
      <c r="T2791" t="n">
        <v>0</v>
      </c>
      <c r="V2791" t="n">
        <v>0</v>
      </c>
    </row>
    <row r="2792">
      <c r="A2792">
        <f>Skills!A21</f>
        <v/>
      </c>
      <c r="B2792">
        <f>Skills!B21</f>
        <v/>
      </c>
      <c r="C2792">
        <f>Inputs!$B$3&gt;=38</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IF(B2810=0,0,O2792/B2810)</f>
        <v/>
      </c>
      <c r="Q2792" t="n">
        <v>0</v>
      </c>
      <c r="R2792" t="n">
        <v>0</v>
      </c>
      <c r="S2792">
        <f>IFERROR(O2792/N2792,0)</f>
        <v/>
      </c>
      <c r="T2792" t="n">
        <v>0</v>
      </c>
      <c r="V2792" t="n">
        <v>0</v>
      </c>
    </row>
    <row r="2793">
      <c r="A2793">
        <f>Skills!A22</f>
        <v/>
      </c>
      <c r="B2793">
        <f>Skills!B22</f>
        <v/>
      </c>
      <c r="C2793">
        <f>Inputs!$B$3&gt;=75</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IF(B2810=0,0,O2793/B2810)</f>
        <v/>
      </c>
      <c r="Q2793" t="n">
        <v>0</v>
      </c>
      <c r="R2793" t="n">
        <v>0</v>
      </c>
      <c r="S2793">
        <f>IFERROR(O2793/N2793,0)</f>
        <v/>
      </c>
      <c r="T2793" t="n">
        <v>0</v>
      </c>
      <c r="V2793" t="n">
        <v>0</v>
      </c>
    </row>
    <row r="2794">
      <c r="A2794">
        <f>Skills!A23</f>
        <v/>
      </c>
      <c r="B2794">
        <f>Skills!B23</f>
        <v/>
      </c>
      <c r="C2794">
        <f>TRUE</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IF(B2810=0,0,O2794/B2810)</f>
        <v/>
      </c>
      <c r="Q2794">
        <f>IFERROR(1/(IF(Inputs!$B$38="pvp",15,MAX(0.1,Skills!D23-IF(TRUE=TRUE,Inputs!$B$32,0)))*(1-IF(AND(ArtifactsInput!$M$27,Inputs!$B$4="Chapter Hunt"),CHOOSE(ArtifactsInput!$N$27+1,20,24,28,32,36,40),0)/100)),0)</f>
        <v/>
      </c>
      <c r="R2794">
        <f>IF(AND(Inputs!$B$38&lt;&gt;"pvp",Inputs!$B$43&gt;0),IF(Inputs!$B$43&lt;=0,0,(INT(Inputs!$B$43/(IF(Inputs!$B$38="pvp",15,MAX(0.1,Skills!D23-IF(TRUE=TRUE,Inputs!$B$32,0)))*(1-IF(AND(ArtifactsInput!$M$27,Inputs!$B$4="Chapter Hunt"),CHOOSE(ArtifactsInput!$N$27+1,20,24,28,32,36,40),0)/100)))+1)),0)</f>
        <v/>
      </c>
      <c r="S2794">
        <f>IFERROR(O2794/N2794,0)</f>
        <v/>
      </c>
      <c r="T2794" t="n">
        <v>0</v>
      </c>
      <c r="V2794" t="n">
        <v>0</v>
      </c>
    </row>
    <row r="2795">
      <c r="A2795">
        <f>Skills!A24</f>
        <v/>
      </c>
      <c r="B2795">
        <f>Skills!B24</f>
        <v/>
      </c>
      <c r="C2795">
        <f>Inputs!$B$3&gt;=107</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IF(B2810=0,0,O2795/B2810)</f>
        <v/>
      </c>
      <c r="Q2795">
        <f>IFERROR(1/(IF(Inputs!$B$38="pvp",15,MAX(0.1,Skills!D24-IF(TRUE=TRUE,Inputs!$B$32,0)))*(1-IF(AND(ArtifactsInput!$M$27,Inputs!$B$4="Chapter Hunt"),CHOOSE(ArtifactsInput!$N$27+1,20,24,28,32,36,40),0)/100)),0)</f>
        <v/>
      </c>
      <c r="R2795">
        <f>IF(AND(Inputs!$B$38&lt;&gt;"pvp",Inputs!$B$43&gt;0),IF(Inputs!$B$43&lt;=0,0,(INT(Inputs!$B$43/(IF(Inputs!$B$38="pvp",15,MAX(0.1,Skills!D24-IF(TRUE=TRUE,Inputs!$B$32,0)))*(1-IF(AND(ArtifactsInput!$M$27,Inputs!$B$4="Chapter Hunt"),CHOOSE(ArtifactsInput!$N$27+1,20,24,28,32,36,40),0)/100)))+1)),0)</f>
        <v/>
      </c>
      <c r="S2795">
        <f>IFERROR(O2795/N2795,0)</f>
        <v/>
      </c>
      <c r="T2795" t="n">
        <v>0</v>
      </c>
      <c r="V2795" t="n">
        <v>0</v>
      </c>
    </row>
    <row r="2796">
      <c r="A2796">
        <f>Skills!A25</f>
        <v/>
      </c>
      <c r="B2796">
        <f>Skills!B25</f>
        <v/>
      </c>
      <c r="C2796">
        <f>Inputs!$B$3&gt;=110</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t="inlineStr"/>
      <c r="H2796" t="inlineStr"/>
      <c r="I2796" t="inlineStr">
        <is>
          <t>1</t>
        </is>
      </c>
      <c r="J2796" t="inlineStr"/>
      <c r="K2796" t="inlineStr"/>
      <c r="L2796" t="inlineStr"/>
      <c r="M2796" t="inlineStr"/>
      <c r="N2796" t="inlineStr"/>
      <c r="O2796" t="inlineStr"/>
      <c r="P2796" t="inlineStr"/>
      <c r="Q2796" t="inlineStr"/>
      <c r="R2796" t="inlineStr"/>
      <c r="S2796" t="inlineStr"/>
      <c r="T2796" t="inlineStr"/>
      <c r="V2796" t="inlineStr"/>
    </row>
    <row r="2797">
      <c r="A2797">
        <f>Skills!A26</f>
        <v/>
      </c>
      <c r="B2797">
        <f>Skills!B26</f>
        <v/>
      </c>
      <c r="C2797">
        <f>Inputs!$B$3&gt;=117</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t="inlineStr"/>
      <c r="H2797" t="inlineStr"/>
      <c r="I2797" t="inlineStr">
        <is>
          <t>1</t>
        </is>
      </c>
      <c r="J2797" t="inlineStr"/>
      <c r="K2797" t="inlineStr"/>
      <c r="L2797" t="inlineStr"/>
      <c r="M2797" t="inlineStr"/>
      <c r="N2797" t="inlineStr"/>
      <c r="O2797" t="inlineStr"/>
      <c r="P2797" t="inlineStr"/>
      <c r="Q2797" t="inlineStr"/>
      <c r="R2797" t="inlineStr"/>
      <c r="S2797" t="inlineStr"/>
      <c r="T2797" t="inlineStr"/>
      <c r="V2797" t="inlineStr"/>
    </row>
    <row r="2799">
      <c r="A2799" t="inlineStr">
        <is>
          <t>Attack% Bucket Multiplier</t>
        </is>
      </c>
      <c r="B2799">
        <f>(1+(((C2784=TRUE)*F2784*5/7)+((C2790=TRUE)*(F2790-Calc!F19))+(IF(ArtifactsInput!$M$21,CHOOSE(ArtifactsInput!$N$21+1,25,30,35,40,45,50)*(IF(OR(Inputs!$B$4="Chapter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0">
      <c r="A2800" t="inlineStr">
        <is>
          <t>Global Crit Rate Bonus %</t>
        </is>
      </c>
      <c r="B2800" t="n">
        <v>0</v>
      </c>
    </row>
    <row r="2801">
      <c r="A2801" t="inlineStr">
        <is>
          <t>Attack Speed Buff Bonus % (Nimble Feet + Speed Infusion, duty-cycle averaged)</t>
        </is>
      </c>
      <c r="B2801">
        <f>((C2794=TRUE)*F2794*IF(AND(Inputs!$B$38&lt;&gt;"pvp",Inputs!$B$43&gt;0),(((R2794-1)*MIN((Skills!T23*(1+Inputs!$B$34/100)),(1/Q2794))+MIN((Skills!T23*(1+Inputs!$B$34/100)),MAX(0,Inputs!$B$43-((R2794-1)*(1/Q2794)))))/Inputs!$B$43),IF(Inputs!$B$38="pvp",MIN((Skills!T23*(1+Inputs!$B$34/100)),15)/15,MIN(1,(Skills!T23*(1+Inputs!$B$34/100))/(1/Q2794)))))+((C2795=TRUE)*F2795*IF(AND(Inputs!$B$38&lt;&gt;"pvp",Inputs!$B$43&gt;0),(((R2795-1)*MIN((Skills!T24*(1+Inputs!$B$34/100)),(1/Q2795))+MIN((Skills!T24*(1+Inputs!$B$34/100)),MAX(0,Inputs!$B$43-((R2795-1)*(1/Q2795)))))/Inputs!$B$43),IF(Inputs!$B$38="pvp",MIN((Skills!T24*(1+Inputs!$B$34/100)),15)/15,MIN(1,(Skills!T24*(1+Inputs!$B$34/100))/(1/Q2795)))))</f>
        <v/>
      </c>
    </row>
    <row r="2802">
      <c r="A2802" t="inlineStr">
        <is>
          <t>Actions Per Second</t>
        </is>
      </c>
      <c r="B2802">
        <f>1+MIN(150,150*(1-(1-(Inputs!$B$11+((C2788=TRUE)*(F2788-Calc!F17))+((C2789=TRUE)*(F2789-Calc!F18)))/150)*(1-B2801/150)))/100</f>
        <v/>
      </c>
    </row>
    <row r="2803">
      <c r="A2803" t="inlineStr">
        <is>
          <t>Skill + Buff Cast Rate</t>
        </is>
      </c>
      <c r="B2803">
        <f>IF(AND(Inputs!$B$38&lt;&gt;"pvp",Inputs!$B$43&gt;0),SUMPRODUCT((Skills!E2:E26=TRUE)*(C2773:C2797=TRUE)*R2773:R2797*Skills!F2:F26)/Inputs!$B$43,SUMPRODUCT((Skills!E2:E26=TRUE)*(C2773:C2797=TRUE)*Q2773:Q2797*Skills!F2:F26))</f>
        <v/>
      </c>
    </row>
    <row r="2804">
      <c r="A2804" t="inlineStr">
        <is>
          <t>Hook Bomber Casts Per Second</t>
        </is>
      </c>
      <c r="B2804">
        <f>MAX(0,B2802-B2803)</f>
        <v/>
      </c>
    </row>
    <row r="2805">
      <c r="A2805" t="inlineStr">
        <is>
          <t>Global Critical Damage Bonus % (unused)</t>
        </is>
      </c>
      <c r="B2805" t="n">
        <v>0</v>
      </c>
    </row>
    <row r="2806">
      <c r="A2806" t="inlineStr">
        <is>
          <t>Global Final Damage Bonus % (Serpent Scale + Crossbones + Time Leap + Speed Infusion)</t>
        </is>
      </c>
      <c r="B2806">
        <f>((C2776=TRUE)*(F2776*B2812+4*(1-B2812)))+((C2785=TRUE)*F2785*IF(AND(Inputs!$B$38&lt;&gt;"pvp",Inputs!$B$43&gt;0),(((R2785-1)*MIN((Skills!T14*(1+Inputs!$B$34/100)),(1/Q2785))+MIN((Skills!T14*(1+Inputs!$B$34/100)),MAX(0,Inputs!$B$43-((R2785-1)*(1/Q2785)))))/Inputs!$B$43),IF(Inputs!$B$38="pvp",MIN((Skills!T14*(1+Inputs!$B$34/100)),15)/15,MIN(1,(Skills!T14*(1+Inputs!$B$34/100))/(1/Q2785)))))+((C2786=TRUE)*F2786*IF(AND(Inputs!$B$38&lt;&gt;"pvp",Inputs!$B$43&gt;0),(((R2786-1)*MIN((Skills!T15*(1+Inputs!$B$34/100)),(1/Q2786))+MIN((Skills!T15*(1+Inputs!$B$34/100)),MAX(0,Inputs!$B$43-((R2786-1)*(1/Q2786)))))/Inputs!$B$43),IF(Inputs!$B$38="pvp",MIN((Skills!T15*(1+Inputs!$B$34/100)),15)/15,MIN(1,(Skills!T15*(1+Inputs!$B$34/100))/(1/Q2786)))))+((C2795=TRUE)*20*((1+MIN(150,150*(1-(1-(Inputs!$B$11+((C2788=TRUE)*(F2788-Calc!F17))+((C2789=TRUE)*(F2789-Calc!F18)))/150)*(1-(((C2794=TRUE)*F2794*IF(AND(Inputs!$B$38&lt;&gt;"pvp",Inputs!$B$43&gt;0),(((R2794-1)*MIN((Skills!T23*(1+Inputs!$B$34/100)),(1/Q2794))+MIN((Skills!T23*(1+Inputs!$B$34/100)),MAX(0,Inputs!$B$43-((R2794-1)*(1/Q2794)))))/Inputs!$B$43),IF(Inputs!$B$38="pvp",MIN((Skills!T23*(1+Inputs!$B$34/100)),15)/15,MIN(1,(Skills!T23*(1+Inputs!$B$34/100))/(1/Q2794)))))+F2795)/150)))/100)-1)*IF(AND(Inputs!$B$38&lt;&gt;"pvp",Inputs!$B$43&gt;0),(((R2795-1)*MIN((Skills!T24*(1+Inputs!$B$34/100)),(1/Q2795))+MIN((Skills!T24*(1+Inputs!$B$34/100)),MAX(0,Inputs!$B$43-((R2795-1)*(1/Q2795)))))/Inputs!$B$43),IF(Inputs!$B$38="pvp",MIN((Skills!T24*(1+Inputs!$B$34/100)),15)/15,MIN(1,(Skills!T24*(1+Inputs!$B$34/100))/(1/Q2795)))))</f>
        <v/>
      </c>
    </row>
    <row r="2807">
      <c r="A2807" t="inlineStr">
        <is>
          <t>Buff-Casting Startup Delay (s, fixed-duration only)</t>
        </is>
      </c>
      <c r="B2807">
        <f>IF(AND(Inputs!$B$38&lt;&gt;"pvp",Inputs!$B$43&gt;0),SUMPRODUCT((Skills!T2:T26&gt;0)*(Skills!E2:E26=TRUE)*(C2773:C2797=TRUE))/B2802,0)</f>
        <v/>
      </c>
    </row>
    <row r="2808">
      <c r="A2808" t="inlineStr">
        <is>
          <t>Boss-Only Total DPS (this block's swept value)</t>
        </is>
      </c>
      <c r="B2808">
        <f>SUM(T2773:T2797)</f>
        <v/>
      </c>
    </row>
    <row r="2809">
      <c r="A2809" t="inlineStr">
        <is>
          <t>Normal-Only Total DPS (this block's swept value)</t>
        </is>
      </c>
      <c r="B2809">
        <f>SUM(V2773:V2797)</f>
        <v/>
      </c>
    </row>
    <row r="2810">
      <c r="A2810" s="6" t="inlineStr">
        <is>
          <t>TOTAL DPS</t>
        </is>
      </c>
      <c r="B2810" s="6">
        <f>SUM(O2773:O2797)</f>
        <v/>
      </c>
    </row>
    <row r="2811">
      <c r="A2811" t="inlineStr">
        <is>
          <t>Serpent activation interval T (this block's own Hook Bomber rate)</t>
        </is>
      </c>
      <c r="B2811">
        <f>((1/Q2774)+IFERROR(0.5/B2804,0))</f>
        <v/>
      </c>
    </row>
    <row r="2812">
      <c r="A2812" t="inlineStr">
        <is>
          <t>Assault Mode uptime u (this block)</t>
        </is>
      </c>
      <c r="B2812">
        <f>IF(C2776=TRUE,(10+IF(Inputs!$B$3&gt;=94,5,0))/((10+IF(Inputs!$B$3&gt;=94,5,0))+IF(Inputs!$B$3&gt;=104,3,5)*B2811),0)</f>
        <v/>
      </c>
    </row>
    <row r="2813">
      <c r="A2813" t="inlineStr">
        <is>
          <t>Nautilus Strike - Final Attack trigger rate (this block's own Q/R)</t>
        </is>
      </c>
      <c r="B2813">
        <f>IF(AND(Inputs!$B$38&lt;&gt;"pvp",Inputs!$B$43&gt;0),(((C2777=TRUE)*R2777)+((C2778=TRUE)*R2778)+((C2781=TRUE)*R2781))/Inputs!$B$43,((C2777=TRUE)*Q2777)+((C2778=TRUE)*Q2778)+((C2781=TRUE)*Q2781))+B2804</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2836=TRUE)*(F2836-Calc!F20)),(Inputs!$B$23+0+(IF(ArtifactsInput!$M$15,CHOOSE(ArtifactsInput!$N$15+1,25,30,35,40,45,50)/100*(Inputs!$B$11-Inputs!$B$11),0))))/100+(Inputs!$B$23+0+(IF(ArtifactsInput!$M$15,CHOOSE(ArtifactsInput!$N$15+1,25,30,35,40,45,50)/100*(Inputs!$B$11-Inputs!$B$11),0)))/100)/2</f>
        <v/>
      </c>
      <c r="M2818">
        <f>L2818*(1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IF(B2855=0,0,O2818/B2855)</f>
        <v/>
      </c>
      <c r="Q2818" t="n">
        <v>0</v>
      </c>
      <c r="R2818" t="n">
        <v>0</v>
      </c>
      <c r="S2818">
        <f>IFERROR(O2818/N2818,0)</f>
        <v/>
      </c>
      <c r="T2818">
        <f>IF(C2818,(Skills!G2*N2818*B2849)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IF(C2818,(Skills!G2*N2818*B2849)*IF(Inputs!$B$38="pvp",1,(1+(Inputs!$B$21+Skills!Q2+(IF(ArtifactsInput!$M$33,CHOOSE(ArtifactsInput!$N$33+1,30,36,42,48,54,60),0))+(IF(AND(ArtifactsInput!$M$35,Inputs!$B$4&lt;&gt;"Chapter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Skills!G3*IF(Skills!H3&gt;0,Skills!I3/Skills!H3,1)</f>
        <v/>
      </c>
      <c r="H2819">
        <f>1-(1-Skills!J3/100)^Skills!K3</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2841=TRUE,F2841,0)/100)*(1+(IF(Skills!A3="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2836=TRUE)*(F2836-Calc!F20)),(Inputs!$B$23+0+(IF(ArtifactsInput!$M$15,CHOOSE(ArtifactsInput!$N$15+1,25,30,35,40,45,50)/100*(Inputs!$B$11-Inputs!$B$11),0))))/100+(Inputs!$B$23+0+(IF(ArtifactsInput!$M$15,CHOOSE(ArtifactsInput!$N$15+1,25,30,35,40,45,50)/100*(Inputs!$B$11-Inputs!$B$11),0)))/100)/2</f>
        <v/>
      </c>
      <c r="M2819">
        <f>L2819*(1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IF(B2855=0,0,O2819/B2855)</f>
        <v/>
      </c>
      <c r="Q2819">
        <f>IFERROR(1/(IF(Inputs!$B$38="pvp",15,MAX(0.1,Skills!D3-IF(TRUE=TRUE,Inputs!$B$32,0)))*(1-IF(AND(ArtifactsInput!$M$27,Inputs!$B$4="Chapter Hunt"),CHOOSE(ArtifactsInput!$N$27+1,20,24,28,32,36,40),0)/100)),0)</f>
        <v/>
      </c>
      <c r="R2819">
        <f>IF(AND(Inputs!$B$38&lt;&gt;"pvp",Inputs!$B$43&gt;0),IF(MAX(0,Inputs!$B$43-B2852)&lt;=0,0,(INT(MAX(0,Inputs!$B$43-B2852)/(IF(Inputs!$B$38="pvp",15,MAX(0.1,Skills!D3-IF(TRUE=TRUE,Inputs!$B$32,0)))*(1-IF(AND(ArtifactsInput!$M$27,Inputs!$B$4="Chapter Hunt"),CHOOSE(ArtifactsInput!$N$27+1,20,24,28,32,36,40),0)/100)))+1)),0)</f>
        <v/>
      </c>
      <c r="S2819">
        <f>IFERROR(O2819/N2819,0)</f>
        <v/>
      </c>
      <c r="T2819">
        <f>IF(C2819,(Skills!G3*N2819*IF(C2820=TRUE,1-B2857,1)/B2856)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INDEX(FactorTable!$B$2:$Y$301, MATCH(ROUND(MIN(300,MAX(1,U2818)),0), FactorTable!$A$2:$A$301,0), 22)</f>
        <v/>
      </c>
      <c r="V2819">
        <f>IF(C2819,(Skills!G3*N2819*IF(C2820=TRUE,1-B2857,1)/B2856)*IF(Inputs!$B$38="pvp",1,(1+(Inputs!$B$21+Skills!Q3+(IF(ArtifactsInput!$M$33,CHOOSE(ArtifactsInput!$N$33+1,30,36,42,48,54,60),0))+(IF(AND(ArtifactsInput!$M$35,Inputs!$B$4&lt;&gt;"Chapter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Skills!A4</f>
        <v/>
      </c>
      <c r="B2820">
        <f>Skills!B4</f>
        <v/>
      </c>
      <c r="C2820">
        <f>Inputs!$B$3&gt;=69</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Skills!G4*IF(Skills!H4&gt;0,Skills!I4/Skills!H4,1)</f>
        <v/>
      </c>
      <c r="H2820">
        <f>1-(1-Skills!J4/100)^Skills!K4</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4="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2836=TRUE)*(F2836-Calc!F20)),(Inputs!$B$23+0+(IF(ArtifactsInput!$M$15,CHOOSE(ArtifactsInput!$N$15+1,25,30,35,40,45,50)/100*(Inputs!$B$11-Inputs!$B$11),0))))/100+(Inputs!$B$23+0+(IF(ArtifactsInput!$M$15,CHOOSE(ArtifactsInput!$N$15+1,25,30,35,40,45,50)/100*(Inputs!$B$11-Inputs!$B$11),0)))/100)/2</f>
        <v/>
      </c>
      <c r="M2820">
        <f>L2820*(1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IF(B2855=0,0,O2820/B2855)</f>
        <v/>
      </c>
      <c r="Q2820" t="n">
        <v>0</v>
      </c>
      <c r="R2820" t="n">
        <v>0</v>
      </c>
      <c r="S2820">
        <f>IFERROR(O2820/N2820,0)</f>
        <v/>
      </c>
      <c r="T2820">
        <f>IF(C2820,(Skills!G4*N2820*B2857/B2856)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290*U2819/1000</f>
        <v/>
      </c>
      <c r="V2820">
        <f>IF(C2820,(Skills!G4*N2820*B2857/B2856)*IF(Inputs!$B$38="pvp",1,(1+(Inputs!$B$21+Skills!Q4+(IF(ArtifactsInput!$M$33,CHOOSE(ArtifactsInput!$N$33+1,30,36,42,48,54,60),0))+(IF(AND(ArtifactsInput!$M$35,Inputs!$B$4&lt;&gt;"Chapter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Skills!A5</f>
        <v/>
      </c>
      <c r="B2821">
        <f>Skills!B5</f>
        <v/>
      </c>
      <c r="C2821">
        <f>Inputs!$B$3&gt;=66</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t="inlineStr"/>
      <c r="K2821" t="inlineStr"/>
      <c r="L2821" t="inlineStr"/>
      <c r="M2821" t="inlineStr"/>
      <c r="N2821" t="inlineStr"/>
      <c r="O2821">
        <f>(1-Summary!$B$11)*T2821+Summary!$B$11*V2821</f>
        <v/>
      </c>
      <c r="P2821">
        <f>IF(B2855=0,0,O2821/B2855)</f>
        <v/>
      </c>
      <c r="Q2821" t="n">
        <v>0</v>
      </c>
      <c r="R2821" t="n">
        <v>0</v>
      </c>
      <c r="S2821">
        <f>IFERROR(O2821/N2821,0)</f>
        <v/>
      </c>
      <c r="T2821" t="n">
        <v>0</v>
      </c>
      <c r="V2821" t="n">
        <v>0</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2828=TRUE,F2828,0)/100)*(1+(IF(Skills!A6="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2836=TRUE)*(F2836-Calc!F20)),(Inputs!$B$23+0+(IF(ArtifactsInput!$M$15,CHOOSE(ArtifactsInput!$N$15+1,25,30,35,40,45,50)/100*(Inputs!$B$11-Inputs!$B$11),0))))/100+(Inputs!$B$23+0+(IF(ArtifactsInput!$M$15,CHOOSE(ArtifactsInput!$N$15+1,25,30,35,40,45,50)/100*(Inputs!$B$11-Inputs!$B$11),0)))/100)/2</f>
        <v/>
      </c>
      <c r="M2822">
        <f>L2822*(1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IF(B2855=0,0,O2822/B2855)</f>
        <v/>
      </c>
      <c r="Q2822">
        <f>IFERROR(1/(IF(Inputs!$B$38="pvp",15,MAX(0.1,Skills!D6-IF(TRUE=TRUE,Inputs!$B$32,0)))*(1-IF(AND(ArtifactsInput!$M$27,Inputs!$B$4="Chapter Hunt"),CHOOSE(ArtifactsInput!$N$27+1,20,24,28,32,36,40),0)/100)),0)</f>
        <v/>
      </c>
      <c r="R2822">
        <f>IF(AND(Inputs!$B$38&lt;&gt;"pvp",Inputs!$B$43&gt;0),IF(MAX(0,Inputs!$B$43-B2852)&lt;=0,0,(INT(MAX(0,Inputs!$B$43-B2852)/(IF(Inputs!$B$38="pvp",15,MAX(0.1,Skills!D6-IF(TRUE=TRUE,Inputs!$B$32,0)))*(1-IF(AND(ArtifactsInput!$M$27,Inputs!$B$4="Chapter Hunt"),CHOOSE(ArtifactsInput!$N$27+1,20,24,28,32,36,40),0)/100)))+1)),0)</f>
        <v/>
      </c>
      <c r="S2822">
        <f>IFERROR(O2822/N2822,0)</f>
        <v/>
      </c>
      <c r="T2822">
        <f>IF(C2822,(H2822*N2822*IF(AND(Inputs!$B$38&lt;&gt;"pvp",Inputs!$B$43&gt;0),((Skills!G6*((R2822-1)*IF(Skills!H6&gt;0,Skills!I6/Skills!H6,1)+IF(Skills!H6&gt;0,MIN(Skills!I6,MAX(0,MAX(0,Inputs!$B$43-B2852)-((R2822-1)*(IF(Inputs!$B$38="pvp",15,MAX(0.1,Skills!D6-IF(TRUE=TRUE,Inputs!$B$32,0)))*(1-IF(AND(ArtifactsInput!$M$27,Inputs!$B$4="Chapter Hunt"),CHOOSE(ArtifactsInput!$N$27+1,20,24,28,32,36,40),0)/100)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2852)-((R2822-1)*(IF(Inputs!$B$38="pvp",15,MAX(0.1,Skills!D6-IF(TRUE=TRUE,Inputs!$B$32,0)))*(1-IF(AND(ArtifactsInput!$M$27,Inputs!$B$4="Chapter Hunt"),CHOOSE(ArtifactsInput!$N$27+1,20,24,28,32,36,40),0)/100)))))/Skills!H6,1)))/Inputs!$B$43),G2822*Q2822))*IF(Inputs!$B$38="pvp",1,(1+(Inputs!$B$21+Skills!Q6+(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Inputs!$B$3&gt;=103</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2836=TRUE)*(F2836-Calc!F20)),(Inputs!$B$23+0+(IF(ArtifactsInput!$M$15,CHOOSE(ArtifactsInput!$N$15+1,25,30,35,40,45,50)/100*(Inputs!$B$11-Inputs!$B$11),0))))/100+(Inputs!$B$23+0+(IF(ArtifactsInput!$M$15,CHOOSE(ArtifactsInput!$N$15+1,25,30,35,40,45,50)/100*(Inputs!$B$11-Inputs!$B$11),0)))/100)/2</f>
        <v/>
      </c>
      <c r="M2823">
        <f>L2823*(1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IF(B2855=0,0,O2823/B2855)</f>
        <v/>
      </c>
      <c r="Q2823">
        <f>IFERROR(1/(IF(Inputs!$B$38="pvp",15,MAX(0.1,Skills!D7-IF(TRUE=TRUE,Inputs!$B$32,0)))*(1-IF(AND(ArtifactsInput!$M$27,Inputs!$B$4="Chapter Hunt"),CHOOSE(ArtifactsInput!$N$27+1,20,24,28,32,36,40),0)/100)),0)</f>
        <v/>
      </c>
      <c r="R2823">
        <f>IF(AND(Inputs!$B$38&lt;&gt;"pvp",Inputs!$B$43&gt;0),IF(MAX(0,Inputs!$B$43-B2852)&lt;=0,0,(INT(MAX(0,Inputs!$B$43-B2852)/(IF(Inputs!$B$38="pvp",15,MAX(0.1,Skills!D7-IF(TRUE=TRUE,Inputs!$B$32,0)))*(1-IF(AND(ArtifactsInput!$M$27,Inputs!$B$4="Chapter Hunt"),CHOOSE(ArtifactsInput!$N$27+1,20,24,28,32,36,40),0)/100)))+1)),0)</f>
        <v/>
      </c>
      <c r="S2823">
        <f>IFERROR(O2823/N2823,0)</f>
        <v/>
      </c>
      <c r="T2823">
        <f>IF(C2823,(H2823*N2823*IF(AND(Inputs!$B$38&lt;&gt;"pvp",Inputs!$B$43&gt;0),((Skills!G7*((R2823-1)*IF(Skills!H7&gt;0,Skills!I7/Skills!H7,1)+IF(Skills!H7&gt;0,MIN(Skills!I7,MAX(0,MAX(0,Inputs!$B$43-B2852)-((R2823-1)*(IF(Inputs!$B$38="pvp",15,MAX(0.1,Skills!D7-IF(TRUE=TRUE,Inputs!$B$32,0)))*(1-IF(AND(ArtifactsInput!$M$27,Inputs!$B$4="Chapter Hunt"),CHOOSE(ArtifactsInput!$N$27+1,20,24,28,32,36,40),0)/100)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2852)-((R2823-1)*(IF(Inputs!$B$38="pvp",15,MAX(0.1,Skills!D7-IF(TRUE=TRUE,Inputs!$B$32,0)))*(1-IF(AND(ArtifactsInput!$M$27,Inputs!$B$4="Chapter Hunt"),CHOOSE(ArtifactsInput!$N$27+1,20,24,28,32,36,40),0)/100)))))/Skills!H7,1)))/Inputs!$B$43),G2823*Q2823))*IF(Inputs!$B$38="pvp",1,(1+(Inputs!$B$21+Skills!Q7+(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Inputs!$B$3&gt;=117</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Skills!G8*IF(Skills!H8&gt;0,Skills!I8/Skills!H8,1)</f>
        <v/>
      </c>
      <c r="H2824">
        <f>1-(1-Skills!J8/100)^Skills!K8</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2836=TRUE)*(F2836-Calc!F20)),(Inputs!$B$23+0+(IF(ArtifactsInput!$M$15,CHOOSE(ArtifactsInput!$N$15+1,25,30,35,40,45,50)/100*(Inputs!$B$11-Inputs!$B$11),0))))/100+(Inputs!$B$23+0+(IF(ArtifactsInput!$M$15,CHOOSE(ArtifactsInput!$N$15+1,25,30,35,40,45,50)/100*(Inputs!$B$11-Inputs!$B$11),0)))/100)/2</f>
        <v/>
      </c>
      <c r="M2824">
        <f>L2824*(1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IF(B2855=0,0,O2824/B2855)</f>
        <v/>
      </c>
      <c r="Q2824">
        <f>IFERROR(1/(IF(Inputs!$B$38="pvp",15,MAX(0.1,Skills!D8-IF(TRUE=TRUE,Inputs!$B$32,0)))*(1-IF(AND(ArtifactsInput!$M$27,Inputs!$B$4="Chapter Hunt"),CHOOSE(ArtifactsInput!$N$27+1,20,24,28,32,36,40),0)/100)),0)</f>
        <v/>
      </c>
      <c r="R2824">
        <f>IF(AND(Inputs!$B$38&lt;&gt;"pvp",Inputs!$B$43&gt;0),IF(MAX(0,Inputs!$B$43-B2852)&lt;=0,0,(INT(MAX(0,Inputs!$B$43-B2852)/(IF(Inputs!$B$38="pvp",15,MAX(0.1,Skills!D8-IF(TRUE=TRUE,Inputs!$B$32,0)))*(1-IF(AND(ArtifactsInput!$M$27,Inputs!$B$4="Chapter Hunt"),CHOOSE(ArtifactsInput!$N$27+1,20,24,28,32,36,40),0)/100)))+1)),0)</f>
        <v/>
      </c>
      <c r="S2824">
        <f>IFERROR(O2824/N2824,0)</f>
        <v/>
      </c>
      <c r="T2824">
        <f>IF(C2824,(H2824*N2824*IF(AND(Inputs!$B$38&lt;&gt;"pvp",Inputs!$B$43&gt;0),((Skills!G8*((R2824-1)*IF(Skills!H8&gt;0,Skills!I8/Skills!H8,1)+IF(Skills!H8&gt;0,MIN(Skills!I8,MAX(0,MAX(0,Inputs!$B$43-B2852)-((R2824-1)*(IF(Inputs!$B$38="pvp",15,MAX(0.1,Skills!D8-IF(TRUE=TRUE,Inputs!$B$32,0)))*(1-IF(AND(ArtifactsInput!$M$27,Inputs!$B$4="Chapter Hunt"),CHOOSE(ArtifactsInput!$N$27+1,20,24,28,32,36,40),0)/100)))))/Skills!H8,1)))/Inputs!$B$43),G2824*Q2824)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8*((R2824-1)*IF(Skills!H8&gt;0,Skills!I8/Skills!H8,1)+IF(Skills!H8&gt;0,MIN(Skills!I8,MAX(0,MAX(0,Inputs!$B$43-B2852)-((R2824-1)*(IF(Inputs!$B$38="pvp",15,MAX(0.1,Skills!D8-IF(TRUE=TRUE,Inputs!$B$32,0)))*(1-IF(AND(ArtifactsInput!$M$27,Inputs!$B$4="Chapter Hunt"),CHOOSE(ArtifactsInput!$N$27+1,20,24,28,32,36,40),0)/100)))))/Skills!H8,1)))/Inputs!$B$43),G2824*Q2824))*IF(Inputs!$B$38="pvp",1,(1+(Inputs!$B$21+Skills!Q8+(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Skills!A9</f>
        <v/>
      </c>
      <c r="B2825">
        <f>Skills!B9</f>
        <v/>
      </c>
      <c r="C2825">
        <f>Inputs!$B$3&gt;=120</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B2857</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2836=TRUE)*(F2836-Calc!F20)),(Inputs!$B$23+0+(IF(ArtifactsInput!$M$15,CHOOSE(ArtifactsInput!$N$15+1,25,30,35,40,45,50)/100*(Inputs!$B$11-Inputs!$B$11),0))))/100+(Inputs!$B$23+0+(IF(ArtifactsInput!$M$15,CHOOSE(ArtifactsInput!$N$15+1,25,30,35,40,45,50)/100*(Inputs!$B$11-Inputs!$B$11),0)))/100)/2</f>
        <v/>
      </c>
      <c r="M2825">
        <f>L2825*(1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IF(B2855=0,0,O2825/B2855)</f>
        <v/>
      </c>
      <c r="Q2825">
        <f>IFERROR(1/(IF(Inputs!$B$38="pvp",15,MAX(0.1,Skills!D9-IF(TRUE=TRUE,Inputs!$B$32,0)))*(1-IF(AND(ArtifactsInput!$M$27,Inputs!$B$4="Chapter Hunt"),CHOOSE(ArtifactsInput!$N$27+1,20,24,28,32,36,40),0)/100)),0)</f>
        <v/>
      </c>
      <c r="R2825">
        <f>IF(AND(Inputs!$B$38&lt;&gt;"pvp",Inputs!$B$43&gt;0),IF(MAX(0,Inputs!$B$43-B2852)&lt;=0,0,(INT(MAX(0,Inputs!$B$43-B2852)/(IF(Inputs!$B$38="pvp",15,MAX(0.1,Skills!D9-IF(TRUE=TRUE,Inputs!$B$32,0)))*(1-IF(AND(ArtifactsInput!$M$27,Inputs!$B$4="Chapter Hunt"),CHOOSE(ArtifactsInput!$N$27+1,20,24,28,32,36,40),0)/100)))+1)),0)</f>
        <v/>
      </c>
      <c r="S2825">
        <f>IFERROR(O2825/N2825,0)</f>
        <v/>
      </c>
      <c r="T2825">
        <f>IF(C2825,(H2825*N2825*IF(AND(Inputs!$B$38&lt;&gt;"pvp",Inputs!$B$43&gt;0),((Skills!G9*((R2825-1)*IF(Skills!H9&gt;0,Skills!I9/Skills!H9,1)+IF(Skills!H9&gt;0,MIN(Skills!I9,MAX(0,MAX(0,Inputs!$B$43-B2852)-((R2825-1)*(IF(Inputs!$B$38="pvp",15,MAX(0.1,Skills!D9-IF(TRUE=TRUE,Inputs!$B$32,0)))*(1-IF(AND(ArtifactsInput!$M$27,Inputs!$B$4="Chapter Hunt"),CHOOSE(ArtifactsInput!$N$27+1,20,24,28,32,36,40),0)/100)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2852)-((R2825-1)*(IF(Inputs!$B$38="pvp",15,MAX(0.1,Skills!D9-IF(TRUE=TRUE,Inputs!$B$32,0)))*(1-IF(AND(ArtifactsInput!$M$27,Inputs!$B$4="Chapter Hunt"),CHOOSE(ArtifactsInput!$N$27+1,20,24,28,32,36,40),0)/100)))))/Skills!H9,1)))/Inputs!$B$43),G2825*Q2825))*IF(Inputs!$B$38="pvp",1,(1+(Inputs!$B$21+Skills!Q9+(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Inputs!$B$3&gt;=105</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2836=TRUE)*(F2836-Calc!F20)),(Inputs!$B$23+0+(IF(ArtifactsInput!$M$15,CHOOSE(ArtifactsInput!$N$15+1,25,30,35,40,45,50)/100*(Inputs!$B$11-Inputs!$B$11),0))))/100+(Inputs!$B$23+0+(IF(ArtifactsInput!$M$15,CHOOSE(ArtifactsInput!$N$15+1,25,30,35,40,45,50)/100*(Inputs!$B$11-Inputs!$B$11),0)))/100)/2</f>
        <v/>
      </c>
      <c r="M2826">
        <f>L2826*(1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IF(B2855=0,0,O2826/B2855)</f>
        <v/>
      </c>
      <c r="Q2826">
        <f>IFERROR(1/(IF(Inputs!$B$38="pvp",15,MAX(0.1,Skills!D10-IF(TRUE=TRUE,Inputs!$B$32,0)))*(1-IF(AND(ArtifactsInput!$M$27,Inputs!$B$4="Chapter Hunt"),CHOOSE(ArtifactsInput!$N$27+1,20,24,28,32,36,40),0)/100)),0)</f>
        <v/>
      </c>
      <c r="R2826">
        <f>IF(AND(Inputs!$B$38&lt;&gt;"pvp",Inputs!$B$43&gt;0),IF(MAX(0,Inputs!$B$43-B2852)&lt;=0,0,(INT(MAX(0,Inputs!$B$43-B2852)/(IF(Inputs!$B$38="pvp",15,MAX(0.1,Skills!D10-IF(TRUE=TRUE,Inputs!$B$32,0)))*(1-IF(AND(ArtifactsInput!$M$27,Inputs!$B$4="Chapter Hunt"),CHOOSE(ArtifactsInput!$N$27+1,20,24,28,32,36,40),0)/100)))+1)),0)</f>
        <v/>
      </c>
      <c r="S2826">
        <f>IFERROR(O2826/N2826,0)</f>
        <v/>
      </c>
      <c r="T2826">
        <f>IF(C2826,(H2826*N2826*IF(AND(Inputs!$B$38&lt;&gt;"pvp",Inputs!$B$43&gt;0),((Skills!G10*((R2826-1)*IF(Skills!H10&gt;0,Skills!I10/Skills!H10,1)+IF(Skills!H10&gt;0,MIN(Skills!I10,MAX(0,MAX(0,Inputs!$B$43-B2852)-((R2826-1)*(IF(Inputs!$B$38="pvp",15,MAX(0.1,Skills!D10-IF(TRUE=TRUE,Inputs!$B$32,0)))*(1-IF(AND(ArtifactsInput!$M$27,Inputs!$B$4="Chapter Hunt"),CHOOSE(ArtifactsInput!$N$27+1,20,24,28,32,36,40),0)/100)))))/Skills!H10,1)))/Inputs!$B$43),G2826*Q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10*((R2826-1)*IF(Skills!H10&gt;0,Skills!I10/Skills!H10,1)+IF(Skills!H10&gt;0,MIN(Skills!I10,MAX(0,MAX(0,Inputs!$B$43-B2852)-((R2826-1)*(IF(Inputs!$B$38="pvp",15,MAX(0.1,Skills!D10-IF(TRUE=TRUE,Inputs!$B$32,0)))*(1-IF(AND(ArtifactsInput!$M$27,Inputs!$B$4="Chapter Hunt"),CHOOSE(ArtifactsInput!$N$27+1,20,24,28,32,36,40),0)/100)))))/Skills!H10,1)))/Inputs!$B$43),G2826*Q2826))*IF(Inputs!$B$38="pvp",1,(1+(Inputs!$B$21+Skills!Q10+(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Inputs!$B$3&gt;=113</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2836=TRUE)*(F2836-Calc!F20)),(Inputs!$B$23+0+(IF(ArtifactsInput!$M$15,CHOOSE(ArtifactsInput!$N$15+1,25,30,35,40,45,50)/100*(Inputs!$B$11-Inputs!$B$11),0))))/100+(Inputs!$B$23+0+(IF(ArtifactsInput!$M$15,CHOOSE(ArtifactsInput!$N$15+1,25,30,35,40,45,50)/100*(Inputs!$B$11-Inputs!$B$11),0)))/100)/2</f>
        <v/>
      </c>
      <c r="M2827">
        <f>L2827*(1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IF(B2855=0,0,O2827/B2855)</f>
        <v/>
      </c>
      <c r="Q2827" t="n">
        <v>0</v>
      </c>
      <c r="R2827" t="n">
        <v>0</v>
      </c>
      <c r="S2827">
        <f>IFERROR(O2827/N2827,0)</f>
        <v/>
      </c>
      <c r="T2827">
        <f>IF(C2827,((H2827*B2858)/(1+Skills!H11*H2827*B2858)*N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IF(C2827,((H2827*B2858)/(1+Skills!H11*H2827*B2858)*N2827)*IF(Inputs!$B$38="pvp",1,(1+(Inputs!$B$21+Skills!Q11+(IF(ArtifactsInput!$M$33,CHOOSE(ArtifactsInput!$N$33+1,30,36,42,48,54,60),0))+(IF(AND(ArtifactsInput!$M$35,Inputs!$B$4&lt;&gt;"Chapter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Inputs!$B$3&gt;=100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t="inlineStr"/>
      <c r="H2828" t="inlineStr"/>
      <c r="I2828" t="inlineStr">
        <is>
          <t>1</t>
        </is>
      </c>
      <c r="J2828" t="inlineStr"/>
      <c r="K2828" t="inlineStr"/>
      <c r="L2828" t="inlineStr"/>
      <c r="M2828" t="inlineStr"/>
      <c r="N2828" t="inlineStr"/>
      <c r="O2828" t="inlineStr"/>
      <c r="P2828" t="inlineStr"/>
      <c r="Q2828" t="inlineStr"/>
      <c r="R2828" t="inlineStr"/>
      <c r="S2828" t="inlineStr"/>
      <c r="T2828" t="inlineStr"/>
      <c r="V2828" t="inlineStr"/>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IF(B2855=0,0,O2829/B2855)</f>
        <v/>
      </c>
      <c r="Q2829" t="n">
        <v>0</v>
      </c>
      <c r="R2829" t="n">
        <v>0</v>
      </c>
      <c r="S2829">
        <f>IFERROR(O2829/N2829,0)</f>
        <v/>
      </c>
      <c r="T2829" t="n">
        <v>0</v>
      </c>
      <c r="V2829" t="n">
        <v>0</v>
      </c>
    </row>
    <row r="2830">
      <c r="A2830">
        <f>Skills!A14</f>
        <v/>
      </c>
      <c r="B2830">
        <f>Skills!B14</f>
        <v/>
      </c>
      <c r="C2830">
        <f>Inputs!$B$3&gt;=115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IF(B2855=0,0,O2830/B2855)</f>
        <v/>
      </c>
      <c r="Q2830">
        <f>IFERROR(1/(IF(Inputs!$B$38="pvp",15,MAX(0.1,Skills!D14-IF(TRUE=TRUE,Inputs!$B$32,0)))*(1-IF(AND(ArtifactsInput!$M$27,Inputs!$B$4="Chapter Hunt"),CHOOSE(ArtifactsInput!$N$27+1,20,24,28,32,36,40),0)/100)),0)</f>
        <v/>
      </c>
      <c r="R2830">
        <f>IF(AND(Inputs!$B$38&lt;&gt;"pvp",Inputs!$B$43&gt;0),IF(Inputs!$B$43&lt;=0,0,(INT(Inputs!$B$43/(IF(Inputs!$B$38="pvp",15,MAX(0.1,Skills!D14-IF(TRUE=TRUE,Inputs!$B$32,0)))*(1-IF(AND(ArtifactsInput!$M$27,Inputs!$B$4="Chapter Hunt"),CHOOSE(ArtifactsInput!$N$27+1,20,24,28,32,36,40),0)/100)))+1)),0)</f>
        <v/>
      </c>
      <c r="S2830">
        <f>IFERROR(O2830/N2830,0)</f>
        <v/>
      </c>
      <c r="T2830" t="n">
        <v>0</v>
      </c>
      <c r="V2830" t="n">
        <v>0</v>
      </c>
    </row>
    <row r="2831">
      <c r="A2831">
        <f>Skills!A15</f>
        <v/>
      </c>
      <c r="B2831">
        <f>Skills!B15</f>
        <v/>
      </c>
      <c r="C2831">
        <f>Inputs!$B$3&gt;=125</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IF(B2855=0,0,O2831/B2855)</f>
        <v/>
      </c>
      <c r="Q2831">
        <f>IFERROR(1/(IF(Inputs!$B$38="pvp",15,MAX(0.1,Skills!D15-IF(TRUE=TRUE,Inputs!$B$32,0)))*(1-IF(AND(ArtifactsInput!$M$27,Inputs!$B$4="Chapter Hunt"),CHOOSE(ArtifactsInput!$N$27+1,20,24,28,32,36,40),0)/100)),0)</f>
        <v/>
      </c>
      <c r="R2831">
        <f>IF(AND(Inputs!$B$38&lt;&gt;"pvp",Inputs!$B$43&gt;0),IF(Inputs!$B$43&lt;=0,0,(INT(Inputs!$B$43/(IF(Inputs!$B$38="pvp",15,MAX(0.1,Skills!D15-IF(TRUE=TRUE,Inputs!$B$32,0)))*(1-IF(AND(ArtifactsInput!$M$27,Inputs!$B$4="Chapter Hunt"),CHOOSE(ArtifactsInput!$N$27+1,20,24,28,32,36,40),0)/100)))+1)),0)</f>
        <v/>
      </c>
      <c r="S2831">
        <f>IFERROR(O2831/N2831,0)</f>
        <v/>
      </c>
      <c r="T2831" t="n">
        <v>0</v>
      </c>
      <c r="V2831" t="n">
        <v>0</v>
      </c>
    </row>
    <row r="2832">
      <c r="A2832">
        <f>Skills!A16</f>
        <v/>
      </c>
      <c r="B2832">
        <f>Skills!B16</f>
        <v/>
      </c>
      <c r="C2832">
        <f>Inputs!$B$3&gt;=10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IF(B2855=0,0,O2832/B2855)</f>
        <v/>
      </c>
      <c r="Q2832" t="n">
        <v>0</v>
      </c>
      <c r="R2832" t="n">
        <v>0</v>
      </c>
      <c r="S2832">
        <f>IFERROR(O2832/N2832,0)</f>
        <v/>
      </c>
      <c r="T2832" t="n">
        <v>0</v>
      </c>
      <c r="V2832" t="n">
        <v>0</v>
      </c>
    </row>
    <row r="2833">
      <c r="A2833">
        <f>Skills!A17</f>
        <v/>
      </c>
      <c r="B2833">
        <f>Skills!B17</f>
        <v/>
      </c>
      <c r="C2833">
        <f>Inputs!$B$3&gt;=15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IF(B2855=0,0,O2833/B2855)</f>
        <v/>
      </c>
      <c r="Q2833" t="n">
        <v>0</v>
      </c>
      <c r="R2833" t="n">
        <v>0</v>
      </c>
      <c r="S2833">
        <f>IFERROR(O2833/N2833,0)</f>
        <v/>
      </c>
      <c r="T2833" t="n">
        <v>0</v>
      </c>
      <c r="V2833" t="n">
        <v>0</v>
      </c>
    </row>
    <row r="2834">
      <c r="A2834">
        <f>Skills!A18</f>
        <v/>
      </c>
      <c r="B2834">
        <f>Skills!B18</f>
        <v/>
      </c>
      <c r="C2834">
        <f>Inputs!$B$3&gt;=33</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IF(B2855=0,0,O2834/B2855)</f>
        <v/>
      </c>
      <c r="Q2834" t="n">
        <v>0</v>
      </c>
      <c r="R2834" t="n">
        <v>0</v>
      </c>
      <c r="S2834">
        <f>IFERROR(O2834/N2834,0)</f>
        <v/>
      </c>
      <c r="T2834" t="n">
        <v>0</v>
      </c>
      <c r="V2834" t="n">
        <v>0</v>
      </c>
    </row>
    <row r="2835">
      <c r="A2835">
        <f>Skills!A19</f>
        <v/>
      </c>
      <c r="B2835">
        <f>Skills!B19</f>
        <v/>
      </c>
      <c r="C2835">
        <f>Inputs!$B$3&gt;=40</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IF(B2855=0,0,O2835/B2855)</f>
        <v/>
      </c>
      <c r="Q2835" t="n">
        <v>0</v>
      </c>
      <c r="R2835" t="n">
        <v>0</v>
      </c>
      <c r="S2835">
        <f>IFERROR(O2835/N2835,0)</f>
        <v/>
      </c>
      <c r="T2835" t="n">
        <v>0</v>
      </c>
      <c r="V2835" t="n">
        <v>0</v>
      </c>
    </row>
    <row r="2836">
      <c r="A2836">
        <f>Skills!A20</f>
        <v/>
      </c>
      <c r="B2836">
        <f>Skills!B20</f>
        <v/>
      </c>
      <c r="C2836">
        <f>Inputs!$B$3&gt;=43</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IF(B2855=0,0,O2836/B2855)</f>
        <v/>
      </c>
      <c r="Q2836" t="n">
        <v>0</v>
      </c>
      <c r="R2836" t="n">
        <v>0</v>
      </c>
      <c r="S2836">
        <f>IFERROR(O2836/N2836,0)</f>
        <v/>
      </c>
      <c r="T2836" t="n">
        <v>0</v>
      </c>
      <c r="V2836" t="n">
        <v>0</v>
      </c>
    </row>
    <row r="2837">
      <c r="A2837">
        <f>Skills!A21</f>
        <v/>
      </c>
      <c r="B2837">
        <f>Skills!B21</f>
        <v/>
      </c>
      <c r="C2837">
        <f>Inputs!$B$3&gt;=38</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IF(B2855=0,0,O2837/B2855)</f>
        <v/>
      </c>
      <c r="Q2837" t="n">
        <v>0</v>
      </c>
      <c r="R2837" t="n">
        <v>0</v>
      </c>
      <c r="S2837">
        <f>IFERROR(O2837/N2837,0)</f>
        <v/>
      </c>
      <c r="T2837" t="n">
        <v>0</v>
      </c>
      <c r="V2837" t="n">
        <v>0</v>
      </c>
    </row>
    <row r="2838">
      <c r="A2838">
        <f>Skills!A22</f>
        <v/>
      </c>
      <c r="B2838">
        <f>Skills!B22</f>
        <v/>
      </c>
      <c r="C2838">
        <f>Inputs!$B$3&gt;=75</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IF(B2855=0,0,O2838/B2855)</f>
        <v/>
      </c>
      <c r="Q2838" t="n">
        <v>0</v>
      </c>
      <c r="R2838" t="n">
        <v>0</v>
      </c>
      <c r="S2838">
        <f>IFERROR(O2838/N2838,0)</f>
        <v/>
      </c>
      <c r="T2838" t="n">
        <v>0</v>
      </c>
      <c r="V2838" t="n">
        <v>0</v>
      </c>
    </row>
    <row r="2839">
      <c r="A2839">
        <f>Skills!A23</f>
        <v/>
      </c>
      <c r="B2839">
        <f>Skills!B23</f>
        <v/>
      </c>
      <c r="C2839">
        <f>TRUE</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IF(B2855=0,0,O2839/B2855)</f>
        <v/>
      </c>
      <c r="Q2839">
        <f>IFERROR(1/(IF(Inputs!$B$38="pvp",15,MAX(0.1,Skills!D23-IF(TRUE=TRUE,Inputs!$B$32,0)))*(1-IF(AND(ArtifactsInput!$M$27,Inputs!$B$4="Chapter Hunt"),CHOOSE(ArtifactsInput!$N$27+1,20,24,28,32,36,40),0)/100)),0)</f>
        <v/>
      </c>
      <c r="R2839">
        <f>IF(AND(Inputs!$B$38&lt;&gt;"pvp",Inputs!$B$43&gt;0),IF(Inputs!$B$43&lt;=0,0,(INT(Inputs!$B$43/(IF(Inputs!$B$38="pvp",15,MAX(0.1,Skills!D23-IF(TRUE=TRUE,Inputs!$B$32,0)))*(1-IF(AND(ArtifactsInput!$M$27,Inputs!$B$4="Chapter Hunt"),CHOOSE(ArtifactsInput!$N$27+1,20,24,28,32,36,40),0)/100)))+1)),0)</f>
        <v/>
      </c>
      <c r="S2839">
        <f>IFERROR(O2839/N2839,0)</f>
        <v/>
      </c>
      <c r="T2839" t="n">
        <v>0</v>
      </c>
      <c r="V2839" t="n">
        <v>0</v>
      </c>
    </row>
    <row r="2840">
      <c r="A2840">
        <f>Skills!A24</f>
        <v/>
      </c>
      <c r="B2840">
        <f>Skills!B24</f>
        <v/>
      </c>
      <c r="C2840">
        <f>Inputs!$B$3&gt;=107</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IF(B2855=0,0,O2840/B2855)</f>
        <v/>
      </c>
      <c r="Q2840">
        <f>IFERROR(1/(IF(Inputs!$B$38="pvp",15,MAX(0.1,Skills!D24-IF(TRUE=TRUE,Inputs!$B$32,0)))*(1-IF(AND(ArtifactsInput!$M$27,Inputs!$B$4="Chapter Hunt"),CHOOSE(ArtifactsInput!$N$27+1,20,24,28,32,36,40),0)/100)),0)</f>
        <v/>
      </c>
      <c r="R2840">
        <f>IF(AND(Inputs!$B$38&lt;&gt;"pvp",Inputs!$B$43&gt;0),IF(Inputs!$B$43&lt;=0,0,(INT(Inputs!$B$43/(IF(Inputs!$B$38="pvp",15,MAX(0.1,Skills!D24-IF(TRUE=TRUE,Inputs!$B$32,0)))*(1-IF(AND(ArtifactsInput!$M$27,Inputs!$B$4="Chapter Hunt"),CHOOSE(ArtifactsInput!$N$27+1,20,24,28,32,36,40),0)/100)))+1)),0)</f>
        <v/>
      </c>
      <c r="S2840">
        <f>IFERROR(O2840/N2840,0)</f>
        <v/>
      </c>
      <c r="T2840" t="n">
        <v>0</v>
      </c>
      <c r="V2840" t="n">
        <v>0</v>
      </c>
    </row>
    <row r="2841">
      <c r="A2841">
        <f>Skills!A25</f>
        <v/>
      </c>
      <c r="B2841">
        <f>Skills!B25</f>
        <v/>
      </c>
      <c r="C2841">
        <f>Inputs!$B$3&gt;=110</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t="inlineStr"/>
      <c r="H2841" t="inlineStr"/>
      <c r="I2841" t="inlineStr">
        <is>
          <t>1</t>
        </is>
      </c>
      <c r="J2841" t="inlineStr"/>
      <c r="K2841" t="inlineStr"/>
      <c r="L2841" t="inlineStr"/>
      <c r="M2841" t="inlineStr"/>
      <c r="N2841" t="inlineStr"/>
      <c r="O2841" t="inlineStr"/>
      <c r="P2841" t="inlineStr"/>
      <c r="Q2841" t="inlineStr"/>
      <c r="R2841" t="inlineStr"/>
      <c r="S2841" t="inlineStr"/>
      <c r="T2841" t="inlineStr"/>
      <c r="V2841" t="inlineStr"/>
    </row>
    <row r="2842">
      <c r="A2842">
        <f>Skills!A26</f>
        <v/>
      </c>
      <c r="B2842">
        <f>Skills!B26</f>
        <v/>
      </c>
      <c r="C2842">
        <f>Inputs!$B$3&gt;=117</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t="inlineStr"/>
      <c r="H2842" t="inlineStr"/>
      <c r="I2842" t="inlineStr">
        <is>
          <t>1</t>
        </is>
      </c>
      <c r="J2842" t="inlineStr"/>
      <c r="K2842" t="inlineStr"/>
      <c r="L2842" t="inlineStr"/>
      <c r="M2842" t="inlineStr"/>
      <c r="N2842" t="inlineStr"/>
      <c r="O2842" t="inlineStr"/>
      <c r="P2842" t="inlineStr"/>
      <c r="Q2842" t="inlineStr"/>
      <c r="R2842" t="inlineStr"/>
      <c r="S2842" t="inlineStr"/>
      <c r="T2842" t="inlineStr"/>
      <c r="V2842" t="inlineStr"/>
    </row>
    <row r="2844">
      <c r="A2844" t="inlineStr">
        <is>
          <t>Attack% Bucket Multiplier</t>
        </is>
      </c>
      <c r="B2844">
        <f>(1+(((C2829=TRUE)*F2829*5/7)+((C2835=TRUE)*(F2835-Calc!F19))+(IF(ArtifactsInput!$M$21,CHOOSE(ArtifactsInput!$N$21+1,25,30,35,40,45,50)*(IF(OR(Inputs!$B$4="Chapter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5">
      <c r="A2845" t="inlineStr">
        <is>
          <t>Global Crit Rate Bonus %</t>
        </is>
      </c>
      <c r="B2845" t="n">
        <v>0</v>
      </c>
    </row>
    <row r="2846">
      <c r="A2846" t="inlineStr">
        <is>
          <t>Attack Speed Buff Bonus % (Nimble Feet + Speed Infusion, duty-cycle averaged)</t>
        </is>
      </c>
      <c r="B2846">
        <f>((C2839=TRUE)*F2839*IF(AND(Inputs!$B$38&lt;&gt;"pvp",Inputs!$B$43&gt;0),(((R2839-1)*MIN((Skills!T23*(1+Inputs!$B$34/100)),(1/Q2839))+MIN((Skills!T23*(1+Inputs!$B$34/100)),MAX(0,Inputs!$B$43-((R2839-1)*(1/Q2839)))))/Inputs!$B$43),IF(Inputs!$B$38="pvp",MIN((Skills!T23*(1+Inputs!$B$34/100)),15)/15,MIN(1,(Skills!T23*(1+Inputs!$B$34/100))/(1/Q2839)))))+((C2840=TRUE)*F2840*IF(AND(Inputs!$B$38&lt;&gt;"pvp",Inputs!$B$43&gt;0),(((R2840-1)*MIN((Skills!T24*(1+Inputs!$B$34/100)),(1/Q2840))+MIN((Skills!T24*(1+Inputs!$B$34/100)),MAX(0,Inputs!$B$43-((R2840-1)*(1/Q2840)))))/Inputs!$B$43),IF(Inputs!$B$38="pvp",MIN((Skills!T24*(1+Inputs!$B$34/100)),15)/15,MIN(1,(Skills!T24*(1+Inputs!$B$34/100))/(1/Q2840)))))</f>
        <v/>
      </c>
    </row>
    <row r="2847">
      <c r="A2847" t="inlineStr">
        <is>
          <t>Actions Per Second</t>
        </is>
      </c>
      <c r="B2847">
        <f>1+MIN(150,150*(1-(1-(Inputs!$B$11+((C2833=TRUE)*(F2833-Calc!F17))+((C2834=TRUE)*(F2834-Calc!F18)))/150)*(1-B2846/150)))/100</f>
        <v/>
      </c>
    </row>
    <row r="2848">
      <c r="A2848" t="inlineStr">
        <is>
          <t>Skill + Buff Cast Rate</t>
        </is>
      </c>
      <c r="B2848">
        <f>IF(AND(Inputs!$B$38&lt;&gt;"pvp",Inputs!$B$43&gt;0),SUMPRODUCT((Skills!E2:E26=TRUE)*(C2818:C2842=TRUE)*R2818:R2842*Skills!F2:F26)/Inputs!$B$43,SUMPRODUCT((Skills!E2:E26=TRUE)*(C2818:C2842=TRUE)*Q2818:Q2842*Skills!F2:F26))</f>
        <v/>
      </c>
    </row>
    <row r="2849">
      <c r="A2849" t="inlineStr">
        <is>
          <t>Hook Bomber Casts Per Second</t>
        </is>
      </c>
      <c r="B2849">
        <f>MAX(0,B2847-B2848)</f>
        <v/>
      </c>
    </row>
    <row r="2850">
      <c r="A2850" t="inlineStr">
        <is>
          <t>Global Critical Damage Bonus % (unused)</t>
        </is>
      </c>
      <c r="B2850" t="n">
        <v>0</v>
      </c>
    </row>
    <row r="2851">
      <c r="A2851" t="inlineStr">
        <is>
          <t>Global Final Damage Bonus % (Serpent Scale + Crossbones + Time Leap + Speed Infusion)</t>
        </is>
      </c>
      <c r="B2851">
        <f>((C2821=TRUE)*(F2821*B2857+4*(1-B2857)))+((C2830=TRUE)*F2830*IF(AND(Inputs!$B$38&lt;&gt;"pvp",Inputs!$B$43&gt;0),(((R2830-1)*MIN((Skills!T14*(1+Inputs!$B$34/100)),(1/Q2830))+MIN((Skills!T14*(1+Inputs!$B$34/100)),MAX(0,Inputs!$B$43-((R2830-1)*(1/Q2830)))))/Inputs!$B$43),IF(Inputs!$B$38="pvp",MIN((Skills!T14*(1+Inputs!$B$34/100)),15)/15,MIN(1,(Skills!T14*(1+Inputs!$B$34/100))/(1/Q2830)))))+((C2831=TRUE)*F2831*IF(AND(Inputs!$B$38&lt;&gt;"pvp",Inputs!$B$43&gt;0),(((R2831-1)*MIN((Skills!T15*(1+Inputs!$B$34/100)),(1/Q2831))+MIN((Skills!T15*(1+Inputs!$B$34/100)),MAX(0,Inputs!$B$43-((R2831-1)*(1/Q2831)))))/Inputs!$B$43),IF(Inputs!$B$38="pvp",MIN((Skills!T15*(1+Inputs!$B$34/100)),15)/15,MIN(1,(Skills!T15*(1+Inputs!$B$34/100))/(1/Q2831)))))+((C2840=TRUE)*20*((1+MIN(150,150*(1-(1-(Inputs!$B$11+((C2833=TRUE)*(F2833-Calc!F17))+((C2834=TRUE)*(F2834-Calc!F18)))/150)*(1-(((C2839=TRUE)*F2839*IF(AND(Inputs!$B$38&lt;&gt;"pvp",Inputs!$B$43&gt;0),(((R2839-1)*MIN((Skills!T23*(1+Inputs!$B$34/100)),(1/Q2839))+MIN((Skills!T23*(1+Inputs!$B$34/100)),MAX(0,Inputs!$B$43-((R2839-1)*(1/Q2839)))))/Inputs!$B$43),IF(Inputs!$B$38="pvp",MIN((Skills!T23*(1+Inputs!$B$34/100)),15)/15,MIN(1,(Skills!T23*(1+Inputs!$B$34/100))/(1/Q2839)))))+F2840)/150)))/100)-1)*IF(AND(Inputs!$B$38&lt;&gt;"pvp",Inputs!$B$43&gt;0),(((R2840-1)*MIN((Skills!T24*(1+Inputs!$B$34/100)),(1/Q2840))+MIN((Skills!T24*(1+Inputs!$B$34/100)),MAX(0,Inputs!$B$43-((R2840-1)*(1/Q2840)))))/Inputs!$B$43),IF(Inputs!$B$38="pvp",MIN((Skills!T24*(1+Inputs!$B$34/100)),15)/15,MIN(1,(Skills!T24*(1+Inputs!$B$34/100))/(1/Q2840)))))</f>
        <v/>
      </c>
    </row>
    <row r="2852">
      <c r="A2852" t="inlineStr">
        <is>
          <t>Buff-Casting Startup Delay (s, fixed-duration only)</t>
        </is>
      </c>
      <c r="B2852">
        <f>IF(AND(Inputs!$B$38&lt;&gt;"pvp",Inputs!$B$43&gt;0),SUMPRODUCT((Skills!T2:T26&gt;0)*(Skills!E2:E26=TRUE)*(C2818:C2842=TRUE))/B2847,0)</f>
        <v/>
      </c>
    </row>
    <row r="2853">
      <c r="A2853" t="inlineStr">
        <is>
          <t>Boss-Only Total DPS (this block's swept value)</t>
        </is>
      </c>
      <c r="B2853">
        <f>SUM(T2818:T2842)</f>
        <v/>
      </c>
    </row>
    <row r="2854">
      <c r="A2854" t="inlineStr">
        <is>
          <t>Normal-Only Total DPS (this block's swept value)</t>
        </is>
      </c>
      <c r="B2854">
        <f>SUM(V2818:V2842)</f>
        <v/>
      </c>
    </row>
    <row r="2855">
      <c r="A2855" s="6" t="inlineStr">
        <is>
          <t>TOTAL DPS</t>
        </is>
      </c>
      <c r="B2855" s="6">
        <f>SUM(O2818:O2842)</f>
        <v/>
      </c>
    </row>
    <row r="2856">
      <c r="A2856" t="inlineStr">
        <is>
          <t>Serpent activation interval T (this block's own Hook Bomber rate)</t>
        </is>
      </c>
      <c r="B2856">
        <f>((1/Q2819)+IFERROR(0.5/B2849,0))</f>
        <v/>
      </c>
    </row>
    <row r="2857">
      <c r="A2857" t="inlineStr">
        <is>
          <t>Assault Mode uptime u (this block)</t>
        </is>
      </c>
      <c r="B2857">
        <f>IF(C2821=TRUE,(10+IF(Inputs!$B$3&gt;=94,5,0))/((10+IF(Inputs!$B$3&gt;=94,5,0))+IF(Inputs!$B$3&gt;=104,3,5)*B2856),0)</f>
        <v/>
      </c>
    </row>
    <row r="2858">
      <c r="A2858" t="inlineStr">
        <is>
          <t>Nautilus Strike - Final Attack trigger rate (this block's own Q/R)</t>
        </is>
      </c>
      <c r="B2858">
        <f>IF(AND(Inputs!$B$38&lt;&gt;"pvp",Inputs!$B$43&gt;0),(((C2822=TRUE)*R2822)+((C2823=TRUE)*R2823)+((C2826=TRUE)*R2826))/Inputs!$B$43,((C2822=TRUE)*Q2822)+((C2823=TRUE)*Q2823)+((C2826=TRUE)*Q2826))+B2849</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B2914</f>
        <v/>
      </c>
      <c r="C2863" t="n">
        <v>0</v>
      </c>
      <c r="D2863">
        <f>IF(Summary!$B$3=0,0,(B2863-Summary!$B$3)/Summary!$B$3*100)</f>
        <v/>
      </c>
    </row>
    <row r="2864">
      <c r="A2864" t="n">
        <v>1</v>
      </c>
      <c r="B2864">
        <f>B2959</f>
        <v/>
      </c>
      <c r="C2864">
        <f>B2864-B2863</f>
        <v/>
      </c>
      <c r="D2864">
        <f>IF(Summary!$B$3=0,0,(B2864-Summary!$B$3)/Summary!$B$3*100)</f>
        <v/>
      </c>
    </row>
    <row r="2865">
      <c r="A2865" t="n">
        <v>1.5</v>
      </c>
      <c r="B2865">
        <f>B3004</f>
        <v/>
      </c>
      <c r="C2865">
        <f>B2865-B2864</f>
        <v/>
      </c>
      <c r="D2865">
        <f>IF(Summary!$B$3=0,0,(B2865-Summary!$B$3)/Summary!$B$3*100)</f>
        <v/>
      </c>
    </row>
    <row r="2866">
      <c r="A2866" t="n">
        <v>2</v>
      </c>
      <c r="B2866">
        <f>B3049</f>
        <v/>
      </c>
      <c r="C2866">
        <f>B2866-B2865</f>
        <v/>
      </c>
      <c r="D2866">
        <f>IF(Summary!$B$3=0,0,(B2866-Summary!$B$3)/Summary!$B$3*100)</f>
        <v/>
      </c>
    </row>
    <row r="2867">
      <c r="A2867" t="n">
        <v>2.5</v>
      </c>
      <c r="B2867">
        <f>B3094</f>
        <v/>
      </c>
      <c r="C2867">
        <f>B2867-B2866</f>
        <v/>
      </c>
      <c r="D2867">
        <f>IF(Summary!$B$3=0,0,(B2867-Summary!$B$3)/Summary!$B$3*100)</f>
        <v/>
      </c>
    </row>
    <row r="2868">
      <c r="A2868" t="n">
        <v>3</v>
      </c>
      <c r="B2868">
        <f>B3139</f>
        <v/>
      </c>
      <c r="C2868">
        <f>B2868-B2867</f>
        <v/>
      </c>
      <c r="D2868">
        <f>IF(Summary!$B$3=0,0,(B2868-Summary!$B$3)/Summary!$B$3*100)</f>
        <v/>
      </c>
    </row>
    <row r="2869">
      <c r="A2869" t="n">
        <v>3.5</v>
      </c>
      <c r="B2869">
        <f>B3184</f>
        <v/>
      </c>
      <c r="C2869">
        <f>B2869-B2868</f>
        <v/>
      </c>
      <c r="D2869">
        <f>IF(Summary!$B$3=0,0,(B2869-Summary!$B$3)/Summary!$B$3*100)</f>
        <v/>
      </c>
    </row>
    <row r="2870">
      <c r="A2870" t="n">
        <v>4</v>
      </c>
      <c r="B2870">
        <f>B3229</f>
        <v/>
      </c>
      <c r="C2870">
        <f>B2870-B2869</f>
        <v/>
      </c>
      <c r="D2870">
        <f>IF(Summary!$B$3=0,0,(B2870-Summary!$B$3)/Summary!$B$3*100)</f>
        <v/>
      </c>
    </row>
    <row r="2871">
      <c r="A2871" t="n">
        <v>4.5</v>
      </c>
      <c r="B2871">
        <f>B3274</f>
        <v/>
      </c>
      <c r="C2871">
        <f>B2871-B2870</f>
        <v/>
      </c>
      <c r="D2871">
        <f>IF(Summary!$B$3=0,0,(B2871-Summary!$B$3)/Summary!$B$3*100)</f>
        <v/>
      </c>
    </row>
    <row r="2872">
      <c r="A2872" t="n">
        <v>5</v>
      </c>
      <c r="B2872">
        <f>B3319</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2895=TRUE)*(F2895-Calc!F20)),(Inputs!$B$23+0+(IF(ArtifactsInput!$M$15,CHOOSE(ArtifactsInput!$N$15+1,25,30,35,40,45,50)/100*(Inputs!$B$11-Inputs!$B$11),0))))/100+(Inputs!$B$23+0+(IF(ArtifactsInput!$M$15,CHOOSE(ArtifactsInput!$N$15+1,25,30,35,40,45,50)/100*(Inputs!$B$11-Inputs!$B$11),0)))/100)/2</f>
        <v/>
      </c>
      <c r="M2877">
        <f>L2877*(1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IF(B2914=0,0,O2877/B2914)</f>
        <v/>
      </c>
      <c r="Q2877" t="n">
        <v>0</v>
      </c>
      <c r="R2877" t="n">
        <v>0</v>
      </c>
      <c r="S2877">
        <f>IFERROR(O2877/N2877,0)</f>
        <v/>
      </c>
      <c r="T2877">
        <f>IF(C2877,(Skills!G2*N2877*B2908)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IF(C2877,(Skills!G2*N2877*B2908)*IF(Inputs!$B$38="pvp",1,(1+(Inputs!$B$21+Skills!Q2+(IF(ArtifactsInput!$M$33,CHOOSE(ArtifactsInput!$N$33+1,30,36,42,48,54,60),0))+(IF(AND(ArtifactsInput!$M$35,Inputs!$B$4&lt;&gt;"Chapter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Inputs!$B$3&gt;=35</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f>Skills!G3*IF(Skills!H3&gt;0,Skills!I3/Skills!H3,1)</f>
        <v/>
      </c>
      <c r="H2878">
        <f>1-(1-Skills!J3/100)^Skills!K3</f>
        <v/>
      </c>
      <c r="I2878" t="inlineStr">
        <is>
          <t>1</t>
        </is>
      </c>
      <c r="J2878">
        <f>((Inputs!$B$6*(1+Inputs!$B$7/100))+(((Inputs!$B$12*(1+Inputs!$B$13/100))-(Inputs!$B$12*(1+Inputs!$B$13/100)))+0.25*(Inputs!$B$14-Inputs!$B$14))*(1+Inputs!$B$7/100))*(F2878/100)</f>
        <v/>
      </c>
      <c r="K2878">
        <f>J2878*(1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2900=TRUE,F2900,0)/100)*(1+(IF(Skills!A3="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2878)</f>
        <v/>
      </c>
      <c r="L2878">
        <f>K2878*(MIN(Inputs!$B$22+((C2895=TRUE)*(F2895-Calc!F20)),(Inputs!$B$23+0+(IF(ArtifactsInput!$M$15,CHOOSE(ArtifactsInput!$N$15+1,25,30,35,40,45,50)/100*(Inputs!$B$11-Inputs!$B$11),0))))/100+(Inputs!$B$23+0+(IF(ArtifactsInput!$M$15,CHOOSE(ArtifactsInput!$N$15+1,25,30,35,40,45,50)/100*(Inputs!$B$11-Inputs!$B$11),0)))/100)/2</f>
        <v/>
      </c>
      <c r="M2878">
        <f>L2878*(1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8">
        <f>L2878*(1-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2878*(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8">
        <f>(1-Summary!$B$11)*T2878+Summary!$B$11*V2878</f>
        <v/>
      </c>
      <c r="P2878">
        <f>IF(B2914=0,0,O2878/B2914)</f>
        <v/>
      </c>
      <c r="Q2878">
        <f>IFERROR(1/(IF(Inputs!$B$38="pvp",15,MAX(0.1,Skills!D3-IF(TRUE=TRUE,0.5,0)))*(1-IF(AND(ArtifactsInput!$M$27,Inputs!$B$4="Chapter Hunt"),CHOOSE(ArtifactsInput!$N$27+1,20,24,28,32,36,40),0)/100)),0)</f>
        <v/>
      </c>
      <c r="R2878">
        <f>IF(AND(Inputs!$B$38&lt;&gt;"pvp",Inputs!$B$43&gt;0),IF(MAX(0,Inputs!$B$43-B2911)&lt;=0,0,(INT(MAX(0,Inputs!$B$43-B2911)/(IF(Inputs!$B$38="pvp",15,MAX(0.1,Skills!D3-IF(TRUE=TRUE,0.5,0)))*(1-IF(AND(ArtifactsInput!$M$27,Inputs!$B$4="Chapter Hunt"),CHOOSE(ArtifactsInput!$N$27+1,20,24,28,32,36,40),0)/100)))+1)),0)</f>
        <v/>
      </c>
      <c r="S2878">
        <f>IFERROR(O2878/N2878,0)</f>
        <v/>
      </c>
      <c r="T2878">
        <f>IF(C2878,(Skills!G3*N2878*IF(C2879=TRUE,1-B2916,1)/B2915)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2878*(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2878*(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8">
        <f>INDEX(FactorTable!$B$2:$Y$301, MATCH(ROUND(MIN(300,MAX(1,U2877)),0), FactorTable!$A$2:$A$301,0), 22)</f>
        <v/>
      </c>
      <c r="V2878">
        <f>IF(C2878,(Skills!G3*N2878*IF(C2879=TRUE,1-B2916,1)/B2915)*IF(Inputs!$B$38="pvp",1,(1+(Inputs!$B$21+Skills!Q3+(IF(ArtifactsInput!$M$33,CHOOSE(ArtifactsInput!$N$33+1,30,36,42,48,54,60),0))+(IF(AND(ArtifactsInput!$M$35,Inputs!$B$4&lt;&gt;"Chapter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9">
      <c r="A2879">
        <f>Skills!A4</f>
        <v/>
      </c>
      <c r="B2879">
        <f>Skills!B4</f>
        <v/>
      </c>
      <c r="C2879">
        <f>Inputs!$B$3&gt;=69</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f>Skills!G4*IF(Skills!H4&gt;0,Skills!I4/Skills!H4,1)</f>
        <v/>
      </c>
      <c r="H2879">
        <f>1-(1-Skills!J4/100)^Skills!K4</f>
        <v/>
      </c>
      <c r="I2879" t="inlineStr">
        <is>
          <t>1</t>
        </is>
      </c>
      <c r="J2879">
        <f>((Inputs!$B$6*(1+Inputs!$B$7/100))+(((Inputs!$B$12*(1+Inputs!$B$13/100))-(Inputs!$B$12*(1+Inputs!$B$13/100)))+0.25*(Inputs!$B$14-Inputs!$B$14))*(1+Inputs!$B$7/100))*(F2879/100)</f>
        <v/>
      </c>
      <c r="K2879">
        <f>J2879*(1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2887=TRUE,F2887,0)/100)*(1+(IF(Skills!A4="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2895=TRUE)*(F2895-Calc!F20)),(Inputs!$B$23+0+(IF(ArtifactsInput!$M$15,CHOOSE(ArtifactsInput!$N$15+1,25,30,35,40,45,50)/100*(Inputs!$B$11-Inputs!$B$11),0))))/100+(Inputs!$B$23+0+(IF(ArtifactsInput!$M$15,CHOOSE(ArtifactsInput!$N$15+1,25,30,35,40,45,50)/100*(Inputs!$B$11-Inputs!$B$11),0)))/100)/2</f>
        <v/>
      </c>
      <c r="M2879">
        <f>L2879*(1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IF(B2914=0,0,O2879/B2914)</f>
        <v/>
      </c>
      <c r="Q2879" t="n">
        <v>0</v>
      </c>
      <c r="R2879" t="n">
        <v>0</v>
      </c>
      <c r="S2879">
        <f>IFERROR(O2879/N2879,0)</f>
        <v/>
      </c>
      <c r="T2879">
        <f>IF(C2879,(Skills!G4*N2879*B2916/B2915)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2879*(1-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290*U2878/1000</f>
        <v/>
      </c>
      <c r="V2879">
        <f>IF(C2879,(Skills!G4*N2879*B2916/B2915)*IF(Inputs!$B$38="pvp",1,(1+(Inputs!$B$21+Skills!Q4+(IF(ArtifactsInput!$M$33,CHOOSE(ArtifactsInput!$N$33+1,30,36,42,48,54,60),0))+(IF(AND(ArtifactsInput!$M$35,Inputs!$B$4&lt;&gt;"Chapter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Skills!A5</f>
        <v/>
      </c>
      <c r="B2880">
        <f>Skills!B5</f>
        <v/>
      </c>
      <c r="C2880">
        <f>Inputs!$B$3&gt;=66</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t="inlineStr"/>
      <c r="K2880" t="inlineStr"/>
      <c r="L2880" t="inlineStr"/>
      <c r="M2880" t="inlineStr"/>
      <c r="N2880" t="inlineStr"/>
      <c r="O2880">
        <f>(1-Summary!$B$11)*T2880+Summary!$B$11*V2880</f>
        <v/>
      </c>
      <c r="P2880">
        <f>IF(B2914=0,0,O2880/B2914)</f>
        <v/>
      </c>
      <c r="Q2880" t="n">
        <v>0</v>
      </c>
      <c r="R2880" t="n">
        <v>0</v>
      </c>
      <c r="S2880">
        <f>IFERROR(O2880/N2880,0)</f>
        <v/>
      </c>
      <c r="T2880" t="n">
        <v>0</v>
      </c>
      <c r="V2880" t="n">
        <v>0</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2887=TRUE,F2887,0)/100)*(1+(IF(Skills!A6="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2895=TRUE)*(F2895-Calc!F20)),(Inputs!$B$23+0+(IF(ArtifactsInput!$M$15,CHOOSE(ArtifactsInput!$N$15+1,25,30,35,40,45,50)/100*(Inputs!$B$11-Inputs!$B$11),0))))/100+(Inputs!$B$23+0+(IF(ArtifactsInput!$M$15,CHOOSE(ArtifactsInput!$N$15+1,25,30,35,40,45,50)/100*(Inputs!$B$11-Inputs!$B$11),0)))/100)/2</f>
        <v/>
      </c>
      <c r="M2881">
        <f>L2881*(1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IF(B2914=0,0,O2881/B2914)</f>
        <v/>
      </c>
      <c r="Q2881">
        <f>IFERROR(1/(IF(Inputs!$B$38="pvp",15,MAX(0.1,Skills!D6-IF(TRUE=TRUE,0.5,0)))*(1-IF(AND(ArtifactsInput!$M$27,Inputs!$B$4="Chapter Hunt"),CHOOSE(ArtifactsInput!$N$27+1,20,24,28,32,36,40),0)/100)),0)</f>
        <v/>
      </c>
      <c r="R2881">
        <f>IF(AND(Inputs!$B$38&lt;&gt;"pvp",Inputs!$B$43&gt;0),IF(MAX(0,Inputs!$B$43-B2911)&lt;=0,0,(INT(MAX(0,Inputs!$B$43-B2911)/(IF(Inputs!$B$38="pvp",15,MAX(0.1,Skills!D6-IF(TRUE=TRUE,0.5,0)))*(1-IF(AND(ArtifactsInput!$M$27,Inputs!$B$4="Chapter Hunt"),CHOOSE(ArtifactsInput!$N$27+1,20,24,28,32,36,40),0)/100)))+1)),0)</f>
        <v/>
      </c>
      <c r="S2881">
        <f>IFERROR(O2881/N2881,0)</f>
        <v/>
      </c>
      <c r="T2881">
        <f>IF(C2881,(H2881*N2881*IF(AND(Inputs!$B$38&lt;&gt;"pvp",Inputs!$B$43&gt;0),((Skills!G6*((R2881-1)*IF(Skills!H6&gt;0,Skills!I6/Skills!H6,1)+IF(Skills!H6&gt;0,MIN(Skills!I6,MAX(0,MAX(0,Inputs!$B$43-B2911)-((R2881-1)*(IF(Inputs!$B$38="pvp",15,MAX(0.1,Skills!D6-IF(TRUE=TRUE,0.5,0)))*(1-IF(AND(ArtifactsInput!$M$27,Inputs!$B$4="Chapter Hunt"),CHOOSE(ArtifactsInput!$N$27+1,20,24,28,32,36,40),0)/100)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2911)-((R2881-1)*(IF(Inputs!$B$38="pvp",15,MAX(0.1,Skills!D6-IF(TRUE=TRUE,0.5,0)))*(1-IF(AND(ArtifactsInput!$M$27,Inputs!$B$4="Chapter Hunt"),CHOOSE(ArtifactsInput!$N$27+1,20,24,28,32,36,40),0)/100)))))/Skills!H6,1)))/Inputs!$B$43),G2881*Q2881))*IF(Inputs!$B$38="pvp",1,(1+(Inputs!$B$21+Skills!Q6+(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Inputs!$B$3&gt;=103</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2895=TRUE)*(F2895-Calc!F20)),(Inputs!$B$23+0+(IF(ArtifactsInput!$M$15,CHOOSE(ArtifactsInput!$N$15+1,25,30,35,40,45,50)/100*(Inputs!$B$11-Inputs!$B$11),0))))/100+(Inputs!$B$23+0+(IF(ArtifactsInput!$M$15,CHOOSE(ArtifactsInput!$N$15+1,25,30,35,40,45,50)/100*(Inputs!$B$11-Inputs!$B$11),0)))/100)/2</f>
        <v/>
      </c>
      <c r="M2882">
        <f>L2882*(1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IF(B2914=0,0,O2882/B2914)</f>
        <v/>
      </c>
      <c r="Q2882">
        <f>IFERROR(1/(IF(Inputs!$B$38="pvp",15,MAX(0.1,Skills!D7-IF(TRUE=TRUE,0.5,0)))*(1-IF(AND(ArtifactsInput!$M$27,Inputs!$B$4="Chapter Hunt"),CHOOSE(ArtifactsInput!$N$27+1,20,24,28,32,36,40),0)/100)),0)</f>
        <v/>
      </c>
      <c r="R2882">
        <f>IF(AND(Inputs!$B$38&lt;&gt;"pvp",Inputs!$B$43&gt;0),IF(MAX(0,Inputs!$B$43-B2911)&lt;=0,0,(INT(MAX(0,Inputs!$B$43-B2911)/(IF(Inputs!$B$38="pvp",15,MAX(0.1,Skills!D7-IF(TRUE=TRUE,0.5,0)))*(1-IF(AND(ArtifactsInput!$M$27,Inputs!$B$4="Chapter Hunt"),CHOOSE(ArtifactsInput!$N$27+1,20,24,28,32,36,40),0)/100)))+1)),0)</f>
        <v/>
      </c>
      <c r="S2882">
        <f>IFERROR(O2882/N2882,0)</f>
        <v/>
      </c>
      <c r="T2882">
        <f>IF(C2882,(H2882*N2882*IF(AND(Inputs!$B$38&lt;&gt;"pvp",Inputs!$B$43&gt;0),((Skills!G7*((R2882-1)*IF(Skills!H7&gt;0,Skills!I7/Skills!H7,1)+IF(Skills!H7&gt;0,MIN(Skills!I7,MAX(0,MAX(0,Inputs!$B$43-B2911)-((R2882-1)*(IF(Inputs!$B$38="pvp",15,MAX(0.1,Skills!D7-IF(TRUE=TRUE,0.5,0)))*(1-IF(AND(ArtifactsInput!$M$27,Inputs!$B$4="Chapter Hunt"),CHOOSE(ArtifactsInput!$N$27+1,20,24,28,32,36,40),0)/100)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2911)-((R2882-1)*(IF(Inputs!$B$38="pvp",15,MAX(0.1,Skills!D7-IF(TRUE=TRUE,0.5,0)))*(1-IF(AND(ArtifactsInput!$M$27,Inputs!$B$4="Chapter Hunt"),CHOOSE(ArtifactsInput!$N$27+1,20,24,28,32,36,40),0)/100)))))/Skills!H7,1)))/Inputs!$B$43),G2882*Q2882))*IF(Inputs!$B$38="pvp",1,(1+(Inputs!$B$21+Skills!Q7+(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Inputs!$B$3&gt;=117</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f>Skills!G8*IF(Skills!H8&gt;0,Skills!I8/Skills!H8,1)</f>
        <v/>
      </c>
      <c r="H2883">
        <f>1-(1-Skills!J8/100)^Skills!K8</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2895=TRUE)*(F2895-Calc!F20)),(Inputs!$B$23+0+(IF(ArtifactsInput!$M$15,CHOOSE(ArtifactsInput!$N$15+1,25,30,35,40,45,50)/100*(Inputs!$B$11-Inputs!$B$11),0))))/100+(Inputs!$B$23+0+(IF(ArtifactsInput!$M$15,CHOOSE(ArtifactsInput!$N$15+1,25,30,35,40,45,50)/100*(Inputs!$B$11-Inputs!$B$11),0)))/100)/2</f>
        <v/>
      </c>
      <c r="M2883">
        <f>L2883*(1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IF(B2914=0,0,O2883/B2914)</f>
        <v/>
      </c>
      <c r="Q2883">
        <f>IFERROR(1/(IF(Inputs!$B$38="pvp",15,MAX(0.1,Skills!D8-IF(TRUE=TRUE,0.5,0)))*(1-IF(AND(ArtifactsInput!$M$27,Inputs!$B$4="Chapter Hunt"),CHOOSE(ArtifactsInput!$N$27+1,20,24,28,32,36,40),0)/100)),0)</f>
        <v/>
      </c>
      <c r="R2883">
        <f>IF(AND(Inputs!$B$38&lt;&gt;"pvp",Inputs!$B$43&gt;0),IF(MAX(0,Inputs!$B$43-B2911)&lt;=0,0,(INT(MAX(0,Inputs!$B$43-B2911)/(IF(Inputs!$B$38="pvp",15,MAX(0.1,Skills!D8-IF(TRUE=TRUE,0.5,0)))*(1-IF(AND(ArtifactsInput!$M$27,Inputs!$B$4="Chapter Hunt"),CHOOSE(ArtifactsInput!$N$27+1,20,24,28,32,36,40),0)/100)))+1)),0)</f>
        <v/>
      </c>
      <c r="S2883">
        <f>IFERROR(O2883/N2883,0)</f>
        <v/>
      </c>
      <c r="T2883">
        <f>IF(C2883,(H2883*N2883*IF(AND(Inputs!$B$38&lt;&gt;"pvp",Inputs!$B$43&gt;0),((Skills!G8*((R2883-1)*IF(Skills!H8&gt;0,Skills!I8/Skills!H8,1)+IF(Skills!H8&gt;0,MIN(Skills!I8,MAX(0,MAX(0,Inputs!$B$43-B2911)-((R2883-1)*(IF(Inputs!$B$38="pvp",15,MAX(0.1,Skills!D8-IF(TRUE=TRUE,0.5,0)))*(1-IF(AND(ArtifactsInput!$M$27,Inputs!$B$4="Chapter Hunt"),CHOOSE(ArtifactsInput!$N$27+1,20,24,28,32,36,40),0)/100)))))/Skills!H8,1)))/Inputs!$B$43),G2883*Q2883)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8*((R2883-1)*IF(Skills!H8&gt;0,Skills!I8/Skills!H8,1)+IF(Skills!H8&gt;0,MIN(Skills!I8,MAX(0,MAX(0,Inputs!$B$43-B2911)-((R2883-1)*(IF(Inputs!$B$38="pvp",15,MAX(0.1,Skills!D8-IF(TRUE=TRUE,0.5,0)))*(1-IF(AND(ArtifactsInput!$M$27,Inputs!$B$4="Chapter Hunt"),CHOOSE(ArtifactsInput!$N$27+1,20,24,28,32,36,40),0)/100)))))/Skills!H8,1)))/Inputs!$B$43),G2883*Q2883))*IF(Inputs!$B$38="pvp",1,(1+(Inputs!$B$21+Skills!Q8+(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Skills!A9</f>
        <v/>
      </c>
      <c r="B2884">
        <f>Skills!B9</f>
        <v/>
      </c>
      <c r="C2884">
        <f>Inputs!$B$3&gt;=120</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B2916</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2895=TRUE)*(F2895-Calc!F20)),(Inputs!$B$23+0+(IF(ArtifactsInput!$M$15,CHOOSE(ArtifactsInput!$N$15+1,25,30,35,40,45,50)/100*(Inputs!$B$11-Inputs!$B$11),0))))/100+(Inputs!$B$23+0+(IF(ArtifactsInput!$M$15,CHOOSE(ArtifactsInput!$N$15+1,25,30,35,40,45,50)/100*(Inputs!$B$11-Inputs!$B$11),0)))/100)/2</f>
        <v/>
      </c>
      <c r="M2884">
        <f>L2884*(1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IF(B2914=0,0,O2884/B2914)</f>
        <v/>
      </c>
      <c r="Q2884">
        <f>IFERROR(1/(IF(Inputs!$B$38="pvp",15,MAX(0.1,Skills!D9-IF(TRUE=TRUE,0.5,0)))*(1-IF(AND(ArtifactsInput!$M$27,Inputs!$B$4="Chapter Hunt"),CHOOSE(ArtifactsInput!$N$27+1,20,24,28,32,36,40),0)/100)),0)</f>
        <v/>
      </c>
      <c r="R2884">
        <f>IF(AND(Inputs!$B$38&lt;&gt;"pvp",Inputs!$B$43&gt;0),IF(MAX(0,Inputs!$B$43-B2911)&lt;=0,0,(INT(MAX(0,Inputs!$B$43-B2911)/(IF(Inputs!$B$38="pvp",15,MAX(0.1,Skills!D9-IF(TRUE=TRUE,0.5,0)))*(1-IF(AND(ArtifactsInput!$M$27,Inputs!$B$4="Chapter Hunt"),CHOOSE(ArtifactsInput!$N$27+1,20,24,28,32,36,40),0)/100)))+1)),0)</f>
        <v/>
      </c>
      <c r="S2884">
        <f>IFERROR(O2884/N2884,0)</f>
        <v/>
      </c>
      <c r="T2884">
        <f>IF(C2884,(H2884*N2884*IF(AND(Inputs!$B$38&lt;&gt;"pvp",Inputs!$B$43&gt;0),((Skills!G9*((R2884-1)*IF(Skills!H9&gt;0,Skills!I9/Skills!H9,1)+IF(Skills!H9&gt;0,MIN(Skills!I9,MAX(0,MAX(0,Inputs!$B$43-B2911)-((R2884-1)*(IF(Inputs!$B$38="pvp",15,MAX(0.1,Skills!D9-IF(TRUE=TRUE,0.5,0)))*(1-IF(AND(ArtifactsInput!$M$27,Inputs!$B$4="Chapter Hunt"),CHOOSE(ArtifactsInput!$N$27+1,20,24,28,32,36,40),0)/100)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2911)-((R2884-1)*(IF(Inputs!$B$38="pvp",15,MAX(0.1,Skills!D9-IF(TRUE=TRUE,0.5,0)))*(1-IF(AND(ArtifactsInput!$M$27,Inputs!$B$4="Chapter Hunt"),CHOOSE(ArtifactsInput!$N$27+1,20,24,28,32,36,40),0)/100)))))/Skills!H9,1)))/Inputs!$B$43),G2884*Q2884))*IF(Inputs!$B$38="pvp",1,(1+(Inputs!$B$21+Skills!Q9+(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Inputs!$B$3&gt;=105</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2895=TRUE)*(F2895-Calc!F20)),(Inputs!$B$23+0+(IF(ArtifactsInput!$M$15,CHOOSE(ArtifactsInput!$N$15+1,25,30,35,40,45,50)/100*(Inputs!$B$11-Inputs!$B$11),0))))/100+(Inputs!$B$23+0+(IF(ArtifactsInput!$M$15,CHOOSE(ArtifactsInput!$N$15+1,25,30,35,40,45,50)/100*(Inputs!$B$11-Inputs!$B$11),0)))/100)/2</f>
        <v/>
      </c>
      <c r="M2885">
        <f>L2885*(1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IF(B2914=0,0,O2885/B2914)</f>
        <v/>
      </c>
      <c r="Q2885">
        <f>IFERROR(1/(IF(Inputs!$B$38="pvp",15,MAX(0.1,Skills!D10-IF(TRUE=TRUE,0.5,0)))*(1-IF(AND(ArtifactsInput!$M$27,Inputs!$B$4="Chapter Hunt"),CHOOSE(ArtifactsInput!$N$27+1,20,24,28,32,36,40),0)/100)),0)</f>
        <v/>
      </c>
      <c r="R2885">
        <f>IF(AND(Inputs!$B$38&lt;&gt;"pvp",Inputs!$B$43&gt;0),IF(MAX(0,Inputs!$B$43-B2911)&lt;=0,0,(INT(MAX(0,Inputs!$B$43-B2911)/(IF(Inputs!$B$38="pvp",15,MAX(0.1,Skills!D10-IF(TRUE=TRUE,0.5,0)))*(1-IF(AND(ArtifactsInput!$M$27,Inputs!$B$4="Chapter Hunt"),CHOOSE(ArtifactsInput!$N$27+1,20,24,28,32,36,40),0)/100)))+1)),0)</f>
        <v/>
      </c>
      <c r="S2885">
        <f>IFERROR(O2885/N2885,0)</f>
        <v/>
      </c>
      <c r="T2885">
        <f>IF(C2885,(H2885*N2885*IF(AND(Inputs!$B$38&lt;&gt;"pvp",Inputs!$B$43&gt;0),((Skills!G10*((R2885-1)*IF(Skills!H10&gt;0,Skills!I10/Skills!H10,1)+IF(Skills!H10&gt;0,MIN(Skills!I10,MAX(0,MAX(0,Inputs!$B$43-B2911)-((R2885-1)*(IF(Inputs!$B$38="pvp",15,MAX(0.1,Skills!D10-IF(TRUE=TRUE,0.5,0)))*(1-IF(AND(ArtifactsInput!$M$27,Inputs!$B$4="Chapter Hunt"),CHOOSE(ArtifactsInput!$N$27+1,20,24,28,32,36,40),0)/100)))))/Skills!H10,1)))/Inputs!$B$43),G2885*Q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10*((R2885-1)*IF(Skills!H10&gt;0,Skills!I10/Skills!H10,1)+IF(Skills!H10&gt;0,MIN(Skills!I10,MAX(0,MAX(0,Inputs!$B$43-B2911)-((R2885-1)*(IF(Inputs!$B$38="pvp",15,MAX(0.1,Skills!D10-IF(TRUE=TRUE,0.5,0)))*(1-IF(AND(ArtifactsInput!$M$27,Inputs!$B$4="Chapter Hunt"),CHOOSE(ArtifactsInput!$N$27+1,20,24,28,32,36,40),0)/100)))))/Skills!H10,1)))/Inputs!$B$43),G2885*Q2885))*IF(Inputs!$B$38="pvp",1,(1+(Inputs!$B$21+Skills!Q10+(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Inputs!$B$3&gt;=113</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2895=TRUE)*(F2895-Calc!F20)),(Inputs!$B$23+0+(IF(ArtifactsInput!$M$15,CHOOSE(ArtifactsInput!$N$15+1,25,30,35,40,45,50)/100*(Inputs!$B$11-Inputs!$B$11),0))))/100+(Inputs!$B$23+0+(IF(ArtifactsInput!$M$15,CHOOSE(ArtifactsInput!$N$15+1,25,30,35,40,45,50)/100*(Inputs!$B$11-Inputs!$B$11),0)))/100)/2</f>
        <v/>
      </c>
      <c r="M2886">
        <f>L2886*(1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IF(B2914=0,0,O2886/B2914)</f>
        <v/>
      </c>
      <c r="Q2886" t="n">
        <v>0</v>
      </c>
      <c r="R2886" t="n">
        <v>0</v>
      </c>
      <c r="S2886">
        <f>IFERROR(O2886/N2886,0)</f>
        <v/>
      </c>
      <c r="T2886">
        <f>IF(C2886,((H2886*B2917)/(1+Skills!H11*H2886*B2917)*N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IF(C2886,((H2886*B2917)/(1+Skills!H11*H2886*B2917)*N2886)*IF(Inputs!$B$38="pvp",1,(1+(Inputs!$B$21+Skills!Q11+(IF(ArtifactsInput!$M$33,CHOOSE(ArtifactsInput!$N$33+1,30,36,42,48,54,60),0))+(IF(AND(ArtifactsInput!$M$35,Inputs!$B$4&lt;&gt;"Chapter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Inputs!$B$3&gt;=100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t="inlineStr"/>
      <c r="H2887" t="inlineStr"/>
      <c r="I2887" t="inlineStr">
        <is>
          <t>1</t>
        </is>
      </c>
      <c r="J2887" t="inlineStr"/>
      <c r="K2887" t="inlineStr"/>
      <c r="L2887" t="inlineStr"/>
      <c r="M2887" t="inlineStr"/>
      <c r="N2887" t="inlineStr"/>
      <c r="O2887" t="inlineStr"/>
      <c r="P2887" t="inlineStr"/>
      <c r="Q2887" t="inlineStr"/>
      <c r="R2887" t="inlineStr"/>
      <c r="S2887" t="inlineStr"/>
      <c r="T2887" t="inlineStr"/>
      <c r="V2887" t="inlineStr"/>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IF(B2914=0,0,O2888/B2914)</f>
        <v/>
      </c>
      <c r="Q2888" t="n">
        <v>0</v>
      </c>
      <c r="R2888" t="n">
        <v>0</v>
      </c>
      <c r="S2888">
        <f>IFERROR(O2888/N2888,0)</f>
        <v/>
      </c>
      <c r="T2888" t="n">
        <v>0</v>
      </c>
      <c r="V2888" t="n">
        <v>0</v>
      </c>
    </row>
    <row r="2889">
      <c r="A2889">
        <f>Skills!A14</f>
        <v/>
      </c>
      <c r="B2889">
        <f>Skills!B14</f>
        <v/>
      </c>
      <c r="C2889">
        <f>Inputs!$B$3&gt;=115</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IF(B2914=0,0,O2889/B2914)</f>
        <v/>
      </c>
      <c r="Q2889">
        <f>IFERROR(1/(IF(Inputs!$B$38="pvp",15,MAX(0.1,Skills!D14-IF(TRUE=TRUE,0.5,0)))*(1-IF(AND(ArtifactsInput!$M$27,Inputs!$B$4="Chapter Hunt"),CHOOSE(ArtifactsInput!$N$27+1,20,24,28,32,36,40),0)/100)),0)</f>
        <v/>
      </c>
      <c r="R2889">
        <f>IF(AND(Inputs!$B$38&lt;&gt;"pvp",Inputs!$B$43&gt;0),IF(Inputs!$B$43&lt;=0,0,(INT(Inputs!$B$43/(IF(Inputs!$B$38="pvp",15,MAX(0.1,Skills!D14-IF(TRUE=TRUE,0.5,0)))*(1-IF(AND(ArtifactsInput!$M$27,Inputs!$B$4="Chapter Hunt"),CHOOSE(ArtifactsInput!$N$27+1,20,24,28,32,36,40),0)/100)))+1)),0)</f>
        <v/>
      </c>
      <c r="S2889">
        <f>IFERROR(O2889/N2889,0)</f>
        <v/>
      </c>
      <c r="T2889" t="n">
        <v>0</v>
      </c>
      <c r="V2889" t="n">
        <v>0</v>
      </c>
    </row>
    <row r="2890">
      <c r="A2890">
        <f>Skills!A15</f>
        <v/>
      </c>
      <c r="B2890">
        <f>Skills!B15</f>
        <v/>
      </c>
      <c r="C2890">
        <f>Inputs!$B$3&gt;=125</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IF(B2914=0,0,O2890/B2914)</f>
        <v/>
      </c>
      <c r="Q2890">
        <f>IFERROR(1/(IF(Inputs!$B$38="pvp",15,MAX(0.1,Skills!D15-IF(TRUE=TRUE,0.5,0)))*(1-IF(AND(ArtifactsInput!$M$27,Inputs!$B$4="Chapter Hunt"),CHOOSE(ArtifactsInput!$N$27+1,20,24,28,32,36,40),0)/100)),0)</f>
        <v/>
      </c>
      <c r="R2890">
        <f>IF(AND(Inputs!$B$38&lt;&gt;"pvp",Inputs!$B$43&gt;0),IF(Inputs!$B$43&lt;=0,0,(INT(Inputs!$B$43/(IF(Inputs!$B$38="pvp",15,MAX(0.1,Skills!D15-IF(TRUE=TRUE,0.5,0)))*(1-IF(AND(ArtifactsInput!$M$27,Inputs!$B$4="Chapter Hunt"),CHOOSE(ArtifactsInput!$N$27+1,20,24,28,32,36,40),0)/100)))+1)),0)</f>
        <v/>
      </c>
      <c r="S2890">
        <f>IFERROR(O2890/N2890,0)</f>
        <v/>
      </c>
      <c r="T2890" t="n">
        <v>0</v>
      </c>
      <c r="V2890" t="n">
        <v>0</v>
      </c>
    </row>
    <row r="2891">
      <c r="A2891">
        <f>Skills!A16</f>
        <v/>
      </c>
      <c r="B2891">
        <f>Skills!B16</f>
        <v/>
      </c>
      <c r="C2891">
        <f>Inputs!$B$3&gt;=10</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IF(B2914=0,0,O2891/B2914)</f>
        <v/>
      </c>
      <c r="Q2891" t="n">
        <v>0</v>
      </c>
      <c r="R2891" t="n">
        <v>0</v>
      </c>
      <c r="S2891">
        <f>IFERROR(O2891/N2891,0)</f>
        <v/>
      </c>
      <c r="T2891" t="n">
        <v>0</v>
      </c>
      <c r="V2891" t="n">
        <v>0</v>
      </c>
    </row>
    <row r="2892">
      <c r="A2892">
        <f>Skills!A17</f>
        <v/>
      </c>
      <c r="B2892">
        <f>Skills!B17</f>
        <v/>
      </c>
      <c r="C2892">
        <f>Inputs!$B$3&gt;=15</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IF(B2914=0,0,O2892/B2914)</f>
        <v/>
      </c>
      <c r="Q2892" t="n">
        <v>0</v>
      </c>
      <c r="R2892" t="n">
        <v>0</v>
      </c>
      <c r="S2892">
        <f>IFERROR(O2892/N2892,0)</f>
        <v/>
      </c>
      <c r="T2892" t="n">
        <v>0</v>
      </c>
      <c r="V2892" t="n">
        <v>0</v>
      </c>
    </row>
    <row r="2893">
      <c r="A2893">
        <f>Skills!A18</f>
        <v/>
      </c>
      <c r="B2893">
        <f>Skills!B18</f>
        <v/>
      </c>
      <c r="C2893">
        <f>Inputs!$B$3&gt;=33</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IF(B2914=0,0,O2893/B2914)</f>
        <v/>
      </c>
      <c r="Q2893" t="n">
        <v>0</v>
      </c>
      <c r="R2893" t="n">
        <v>0</v>
      </c>
      <c r="S2893">
        <f>IFERROR(O2893/N2893,0)</f>
        <v/>
      </c>
      <c r="T2893" t="n">
        <v>0</v>
      </c>
      <c r="V2893" t="n">
        <v>0</v>
      </c>
    </row>
    <row r="2894">
      <c r="A2894">
        <f>Skills!A19</f>
        <v/>
      </c>
      <c r="B2894">
        <f>Skills!B19</f>
        <v/>
      </c>
      <c r="C2894">
        <f>Inputs!$B$3&gt;=40</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IF(B2914=0,0,O2894/B2914)</f>
        <v/>
      </c>
      <c r="Q2894" t="n">
        <v>0</v>
      </c>
      <c r="R2894" t="n">
        <v>0</v>
      </c>
      <c r="S2894">
        <f>IFERROR(O2894/N2894,0)</f>
        <v/>
      </c>
      <c r="T2894" t="n">
        <v>0</v>
      </c>
      <c r="V2894" t="n">
        <v>0</v>
      </c>
    </row>
    <row r="2895">
      <c r="A2895">
        <f>Skills!A20</f>
        <v/>
      </c>
      <c r="B2895">
        <f>Skills!B20</f>
        <v/>
      </c>
      <c r="C2895">
        <f>Inputs!$B$3&gt;=43</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IF(B2914=0,0,O2895/B2914)</f>
        <v/>
      </c>
      <c r="Q2895" t="n">
        <v>0</v>
      </c>
      <c r="R2895" t="n">
        <v>0</v>
      </c>
      <c r="S2895">
        <f>IFERROR(O2895/N2895,0)</f>
        <v/>
      </c>
      <c r="T2895" t="n">
        <v>0</v>
      </c>
      <c r="V2895" t="n">
        <v>0</v>
      </c>
    </row>
    <row r="2896">
      <c r="A2896">
        <f>Skills!A21</f>
        <v/>
      </c>
      <c r="B2896">
        <f>Skills!B21</f>
        <v/>
      </c>
      <c r="C2896">
        <f>Inputs!$B$3&gt;=38</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IF(B2914=0,0,O2896/B2914)</f>
        <v/>
      </c>
      <c r="Q2896" t="n">
        <v>0</v>
      </c>
      <c r="R2896" t="n">
        <v>0</v>
      </c>
      <c r="S2896">
        <f>IFERROR(O2896/N2896,0)</f>
        <v/>
      </c>
      <c r="T2896" t="n">
        <v>0</v>
      </c>
      <c r="V2896" t="n">
        <v>0</v>
      </c>
    </row>
    <row r="2897">
      <c r="A2897">
        <f>Skills!A22</f>
        <v/>
      </c>
      <c r="B2897">
        <f>Skills!B22</f>
        <v/>
      </c>
      <c r="C2897">
        <f>Inputs!$B$3&gt;=75</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IF(B2914=0,0,O2897/B2914)</f>
        <v/>
      </c>
      <c r="Q2897" t="n">
        <v>0</v>
      </c>
      <c r="R2897" t="n">
        <v>0</v>
      </c>
      <c r="S2897">
        <f>IFERROR(O2897/N2897,0)</f>
        <v/>
      </c>
      <c r="T2897" t="n">
        <v>0</v>
      </c>
      <c r="V2897" t="n">
        <v>0</v>
      </c>
    </row>
    <row r="2898">
      <c r="A2898">
        <f>Skills!A23</f>
        <v/>
      </c>
      <c r="B2898">
        <f>Skills!B23</f>
        <v/>
      </c>
      <c r="C2898">
        <f>TRUE</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IF(B2914=0,0,O2898/B2914)</f>
        <v/>
      </c>
      <c r="Q2898">
        <f>IFERROR(1/(IF(Inputs!$B$38="pvp",15,MAX(0.1,Skills!D23-IF(TRUE=TRUE,0.5,0)))*(1-IF(AND(ArtifactsInput!$M$27,Inputs!$B$4="Chapter Hunt"),CHOOSE(ArtifactsInput!$N$27+1,20,24,28,32,36,40),0)/100)),0)</f>
        <v/>
      </c>
      <c r="R2898">
        <f>IF(AND(Inputs!$B$38&lt;&gt;"pvp",Inputs!$B$43&gt;0),IF(Inputs!$B$43&lt;=0,0,(INT(Inputs!$B$43/(IF(Inputs!$B$38="pvp",15,MAX(0.1,Skills!D23-IF(TRUE=TRUE,0.5,0)))*(1-IF(AND(ArtifactsInput!$M$27,Inputs!$B$4="Chapter Hunt"),CHOOSE(ArtifactsInput!$N$27+1,20,24,28,32,36,40),0)/100)))+1)),0)</f>
        <v/>
      </c>
      <c r="S2898">
        <f>IFERROR(O2898/N2898,0)</f>
        <v/>
      </c>
      <c r="T2898" t="n">
        <v>0</v>
      </c>
      <c r="V2898" t="n">
        <v>0</v>
      </c>
    </row>
    <row r="2899">
      <c r="A2899">
        <f>Skills!A24</f>
        <v/>
      </c>
      <c r="B2899">
        <f>Skills!B24</f>
        <v/>
      </c>
      <c r="C2899">
        <f>Inputs!$B$3&gt;=107</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IF(B2914=0,0,O2899/B2914)</f>
        <v/>
      </c>
      <c r="Q2899">
        <f>IFERROR(1/(IF(Inputs!$B$38="pvp",15,MAX(0.1,Skills!D24-IF(TRUE=TRUE,0.5,0)))*(1-IF(AND(ArtifactsInput!$M$27,Inputs!$B$4="Chapter Hunt"),CHOOSE(ArtifactsInput!$N$27+1,20,24,28,32,36,40),0)/100)),0)</f>
        <v/>
      </c>
      <c r="R2899">
        <f>IF(AND(Inputs!$B$38&lt;&gt;"pvp",Inputs!$B$43&gt;0),IF(Inputs!$B$43&lt;=0,0,(INT(Inputs!$B$43/(IF(Inputs!$B$38="pvp",15,MAX(0.1,Skills!D24-IF(TRUE=TRUE,0.5,0)))*(1-IF(AND(ArtifactsInput!$M$27,Inputs!$B$4="Chapter Hunt"),CHOOSE(ArtifactsInput!$N$27+1,20,24,28,32,36,40),0)/100)))+1)),0)</f>
        <v/>
      </c>
      <c r="S2899">
        <f>IFERROR(O2899/N2899,0)</f>
        <v/>
      </c>
      <c r="T2899" t="n">
        <v>0</v>
      </c>
      <c r="V2899" t="n">
        <v>0</v>
      </c>
    </row>
    <row r="2900">
      <c r="A2900">
        <f>Skills!A25</f>
        <v/>
      </c>
      <c r="B2900">
        <f>Skills!B25</f>
        <v/>
      </c>
      <c r="C2900">
        <f>Inputs!$B$3&gt;=110</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t="inlineStr"/>
      <c r="H2900" t="inlineStr"/>
      <c r="I2900" t="inlineStr">
        <is>
          <t>1</t>
        </is>
      </c>
      <c r="J2900" t="inlineStr"/>
      <c r="K2900" t="inlineStr"/>
      <c r="L2900" t="inlineStr"/>
      <c r="M2900" t="inlineStr"/>
      <c r="N2900" t="inlineStr"/>
      <c r="O2900" t="inlineStr"/>
      <c r="P2900" t="inlineStr"/>
      <c r="Q2900" t="inlineStr"/>
      <c r="R2900" t="inlineStr"/>
      <c r="S2900" t="inlineStr"/>
      <c r="T2900" t="inlineStr"/>
      <c r="V2900" t="inlineStr"/>
    </row>
    <row r="2901">
      <c r="A2901">
        <f>Skills!A26</f>
        <v/>
      </c>
      <c r="B2901">
        <f>Skills!B26</f>
        <v/>
      </c>
      <c r="C2901">
        <f>Inputs!$B$3&gt;=117</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t="inlineStr"/>
      <c r="H2901" t="inlineStr"/>
      <c r="I2901" t="inlineStr">
        <is>
          <t>1</t>
        </is>
      </c>
      <c r="J2901" t="inlineStr"/>
      <c r="K2901" t="inlineStr"/>
      <c r="L2901" t="inlineStr"/>
      <c r="M2901" t="inlineStr"/>
      <c r="N2901" t="inlineStr"/>
      <c r="O2901" t="inlineStr"/>
      <c r="P2901" t="inlineStr"/>
      <c r="Q2901" t="inlineStr"/>
      <c r="R2901" t="inlineStr"/>
      <c r="S2901" t="inlineStr"/>
      <c r="T2901" t="inlineStr"/>
      <c r="V2901" t="inlineStr"/>
    </row>
    <row r="2903">
      <c r="A2903" t="inlineStr">
        <is>
          <t>Attack% Bucket Multiplier</t>
        </is>
      </c>
      <c r="B2903">
        <f>(1+(((C2888=TRUE)*F2888*5/7)+((C2894=TRUE)*(F2894-Calc!F19))+(IF(ArtifactsInput!$M$21,CHOOSE(ArtifactsInput!$N$21+1,25,30,35,40,45,50)*(IF(OR(Inputs!$B$4="Chapter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4">
      <c r="A2904" t="inlineStr">
        <is>
          <t>Global Crit Rate Bonus %</t>
        </is>
      </c>
      <c r="B2904" t="n">
        <v>0</v>
      </c>
    </row>
    <row r="2905">
      <c r="A2905" t="inlineStr">
        <is>
          <t>Attack Speed Buff Bonus % (Nimble Feet + Speed Infusion, duty-cycle averaged)</t>
        </is>
      </c>
      <c r="B2905">
        <f>((C2898=TRUE)*F2898*IF(AND(Inputs!$B$38&lt;&gt;"pvp",Inputs!$B$43&gt;0),(((R2898-1)*MIN((Skills!T23*(1+Inputs!$B$34/100)),(1/Q2898))+MIN((Skills!T23*(1+Inputs!$B$34/100)),MAX(0,Inputs!$B$43-((R2898-1)*(1/Q2898)))))/Inputs!$B$43),IF(Inputs!$B$38="pvp",MIN((Skills!T23*(1+Inputs!$B$34/100)),15)/15,MIN(1,(Skills!T23*(1+Inputs!$B$34/100))/(1/Q2898)))))+((C2899=TRUE)*F2899*IF(AND(Inputs!$B$38&lt;&gt;"pvp",Inputs!$B$43&gt;0),(((R2899-1)*MIN((Skills!T24*(1+Inputs!$B$34/100)),(1/Q2899))+MIN((Skills!T24*(1+Inputs!$B$34/100)),MAX(0,Inputs!$B$43-((R2899-1)*(1/Q2899)))))/Inputs!$B$43),IF(Inputs!$B$38="pvp",MIN((Skills!T24*(1+Inputs!$B$34/100)),15)/15,MIN(1,(Skills!T24*(1+Inputs!$B$34/100))/(1/Q2899)))))</f>
        <v/>
      </c>
    </row>
    <row r="2906">
      <c r="A2906" t="inlineStr">
        <is>
          <t>Actions Per Second</t>
        </is>
      </c>
      <c r="B2906">
        <f>1+MIN(150,150*(1-(1-(Inputs!$B$11+((C2892=TRUE)*(F2892-Calc!F17))+((C2893=TRUE)*(F2893-Calc!F18)))/150)*(1-B2905/150)))/100</f>
        <v/>
      </c>
    </row>
    <row r="2907">
      <c r="A2907" t="inlineStr">
        <is>
          <t>Skill + Buff Cast Rate</t>
        </is>
      </c>
      <c r="B2907">
        <f>IF(AND(Inputs!$B$38&lt;&gt;"pvp",Inputs!$B$43&gt;0),SUMPRODUCT((Skills!E2:E26=TRUE)*(C2877:C2901=TRUE)*R2877:R2901*Skills!F2:F26)/Inputs!$B$43,SUMPRODUCT((Skills!E2:E26=TRUE)*(C2877:C2901=TRUE)*Q2877:Q2901*Skills!F2:F26))</f>
        <v/>
      </c>
    </row>
    <row r="2908">
      <c r="A2908" t="inlineStr">
        <is>
          <t>Hook Bomber Casts Per Second</t>
        </is>
      </c>
      <c r="B2908">
        <f>MAX(0,B2906-B2907)</f>
        <v/>
      </c>
    </row>
    <row r="2909">
      <c r="A2909" t="inlineStr">
        <is>
          <t>Global Critical Damage Bonus % (unused)</t>
        </is>
      </c>
      <c r="B2909" t="n">
        <v>0</v>
      </c>
    </row>
    <row r="2910">
      <c r="A2910" t="inlineStr">
        <is>
          <t>Global Final Damage Bonus % (Serpent Scale + Crossbones + Time Leap + Speed Infusion)</t>
        </is>
      </c>
      <c r="B2910">
        <f>((C2880=TRUE)*(F2880*B2916+4*(1-B2916)))+((C2889=TRUE)*F2889*IF(AND(Inputs!$B$38&lt;&gt;"pvp",Inputs!$B$43&gt;0),(((R2889-1)*MIN((Skills!T14*(1+Inputs!$B$34/100)),(1/Q2889))+MIN((Skills!T14*(1+Inputs!$B$34/100)),MAX(0,Inputs!$B$43-((R2889-1)*(1/Q2889)))))/Inputs!$B$43),IF(Inputs!$B$38="pvp",MIN((Skills!T14*(1+Inputs!$B$34/100)),15)/15,MIN(1,(Skills!T14*(1+Inputs!$B$34/100))/(1/Q2889)))))+((C2890=TRUE)*F2890*IF(AND(Inputs!$B$38&lt;&gt;"pvp",Inputs!$B$43&gt;0),(((R2890-1)*MIN((Skills!T15*(1+Inputs!$B$34/100)),(1/Q2890))+MIN((Skills!T15*(1+Inputs!$B$34/100)),MAX(0,Inputs!$B$43-((R2890-1)*(1/Q2890)))))/Inputs!$B$43),IF(Inputs!$B$38="pvp",MIN((Skills!T15*(1+Inputs!$B$34/100)),15)/15,MIN(1,(Skills!T15*(1+Inputs!$B$34/100))/(1/Q2890)))))+((C2899=TRUE)*20*((1+MIN(150,150*(1-(1-(Inputs!$B$11+((C2892=TRUE)*(F2892-Calc!F17))+((C2893=TRUE)*(F2893-Calc!F18)))/150)*(1-(((C2898=TRUE)*F2898*IF(AND(Inputs!$B$38&lt;&gt;"pvp",Inputs!$B$43&gt;0),(((R2898-1)*MIN((Skills!T23*(1+Inputs!$B$34/100)),(1/Q2898))+MIN((Skills!T23*(1+Inputs!$B$34/100)),MAX(0,Inputs!$B$43-((R2898-1)*(1/Q2898)))))/Inputs!$B$43),IF(Inputs!$B$38="pvp",MIN((Skills!T23*(1+Inputs!$B$34/100)),15)/15,MIN(1,(Skills!T23*(1+Inputs!$B$34/100))/(1/Q2898)))))+F2899)/150)))/100)-1)*IF(AND(Inputs!$B$38&lt;&gt;"pvp",Inputs!$B$43&gt;0),(((R2899-1)*MIN((Skills!T24*(1+Inputs!$B$34/100)),(1/Q2899))+MIN((Skills!T24*(1+Inputs!$B$34/100)),MAX(0,Inputs!$B$43-((R2899-1)*(1/Q2899)))))/Inputs!$B$43),IF(Inputs!$B$38="pvp",MIN((Skills!T24*(1+Inputs!$B$34/100)),15)/15,MIN(1,(Skills!T24*(1+Inputs!$B$34/100))/(1/Q2899)))))</f>
        <v/>
      </c>
    </row>
    <row r="2911">
      <c r="A2911" t="inlineStr">
        <is>
          <t>Buff-Casting Startup Delay (s, fixed-duration only)</t>
        </is>
      </c>
      <c r="B2911">
        <f>IF(AND(Inputs!$B$38&lt;&gt;"pvp",Inputs!$B$43&gt;0),SUMPRODUCT((Skills!T2:T26&gt;0)*(Skills!E2:E26=TRUE)*(C2877:C2901=TRUE))/B2906,0)</f>
        <v/>
      </c>
    </row>
    <row r="2912">
      <c r="A2912" t="inlineStr">
        <is>
          <t>Boss-Only Total DPS (this block's swept value)</t>
        </is>
      </c>
      <c r="B2912">
        <f>SUM(T2877:T2901)</f>
        <v/>
      </c>
    </row>
    <row r="2913">
      <c r="A2913" t="inlineStr">
        <is>
          <t>Normal-Only Total DPS (this block's swept value)</t>
        </is>
      </c>
      <c r="B2913">
        <f>SUM(V2877:V2901)</f>
        <v/>
      </c>
    </row>
    <row r="2914">
      <c r="A2914" s="6" t="inlineStr">
        <is>
          <t>TOTAL DPS</t>
        </is>
      </c>
      <c r="B2914" s="6">
        <f>SUM(O2877:O2901)</f>
        <v/>
      </c>
    </row>
    <row r="2915">
      <c r="A2915" t="inlineStr">
        <is>
          <t>Serpent activation interval T (this block's own Hook Bomber rate)</t>
        </is>
      </c>
      <c r="B2915">
        <f>((1/Q2878)+IFERROR(0.5/B2908,0))</f>
        <v/>
      </c>
    </row>
    <row r="2916">
      <c r="A2916" t="inlineStr">
        <is>
          <t>Assault Mode uptime u (this block)</t>
        </is>
      </c>
      <c r="B2916">
        <f>IF(C2880=TRUE,(10+IF(Inputs!$B$3&gt;=94,5,0))/((10+IF(Inputs!$B$3&gt;=94,5,0))+IF(Inputs!$B$3&gt;=104,3,5)*B2915),0)</f>
        <v/>
      </c>
    </row>
    <row r="2917">
      <c r="A2917" t="inlineStr">
        <is>
          <t>Nautilus Strike - Final Attack trigger rate (this block's own Q/R)</t>
        </is>
      </c>
      <c r="B2917">
        <f>IF(AND(Inputs!$B$38&lt;&gt;"pvp",Inputs!$B$43&gt;0),(((C2881=TRUE)*R2881)+((C2882=TRUE)*R2882)+((C2885=TRUE)*R2885))/Inputs!$B$43,((C2881=TRUE)*Q2881)+((C2882=TRUE)*Q2882)+((C2885=TRUE)*Q2885))+B2908</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2940=TRUE)*(F2940-Calc!F20)),(Inputs!$B$23+0+(IF(ArtifactsInput!$M$15,CHOOSE(ArtifactsInput!$N$15+1,25,30,35,40,45,50)/100*(Inputs!$B$11-Inputs!$B$11),0))))/100+(Inputs!$B$23+0+(IF(ArtifactsInput!$M$15,CHOOSE(ArtifactsInput!$N$15+1,25,30,35,40,45,50)/100*(Inputs!$B$11-Inputs!$B$11),0)))/100)/2</f>
        <v/>
      </c>
      <c r="M2922">
        <f>L2922*(1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IF(B2959=0,0,O2922/B2959)</f>
        <v/>
      </c>
      <c r="Q2922" t="n">
        <v>0</v>
      </c>
      <c r="R2922" t="n">
        <v>0</v>
      </c>
      <c r="S2922">
        <f>IFERROR(O2922/N2922,0)</f>
        <v/>
      </c>
      <c r="T2922">
        <f>IF(C2922,(Skills!G2*N2922*B2953)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IF(C2922,(Skills!G2*N2922*B2953)*IF(Inputs!$B$38="pvp",1,(1+(Inputs!$B$21+Skills!Q2+(IF(ArtifactsInput!$M$33,CHOOSE(ArtifactsInput!$N$33+1,30,36,42,48,54,60),0))+(IF(AND(ArtifactsInput!$M$35,Inputs!$B$4&lt;&gt;"Chapter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f>((Inputs!$B$6*(1+Inputs!$B$7/100))+(((Inputs!$B$12*(1+Inputs!$B$13/100))-(Inputs!$B$12*(1+Inputs!$B$13/100)))+0.25*(Inputs!$B$14-Inputs!$B$14))*(1+Inputs!$B$7/100))*(F2923/100)</f>
        <v/>
      </c>
      <c r="K2923">
        <f>J2923*(1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3="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2923)</f>
        <v/>
      </c>
      <c r="L2923">
        <f>K2923*(MIN(Inputs!$B$22+((C2940=TRUE)*(F2940-Calc!F20)),(Inputs!$B$23+0+(IF(ArtifactsInput!$M$15,CHOOSE(ArtifactsInput!$N$15+1,25,30,35,40,45,50)/100*(Inputs!$B$11-Inputs!$B$11),0))))/100+(Inputs!$B$23+0+(IF(ArtifactsInput!$M$15,CHOOSE(ArtifactsInput!$N$15+1,25,30,35,40,45,50)/100*(Inputs!$B$11-Inputs!$B$11),0)))/100)/2</f>
        <v/>
      </c>
      <c r="M2923">
        <f>L2923*(1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3">
        <f>L2923*(1-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2923*(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3">
        <f>(1-Summary!$B$11)*T2923+Summary!$B$11*V2923</f>
        <v/>
      </c>
      <c r="P2923">
        <f>IF(B2959=0,0,O2923/B2959)</f>
        <v/>
      </c>
      <c r="Q2923">
        <f>IFERROR(1/(IF(Inputs!$B$38="pvp",15,MAX(0.1,Skills!D3-IF(TRUE=TRUE,1.0,0)))*(1-IF(AND(ArtifactsInput!$M$27,Inputs!$B$4="Chapter Hunt"),CHOOSE(ArtifactsInput!$N$27+1,20,24,28,32,36,40),0)/100)),0)</f>
        <v/>
      </c>
      <c r="R2923">
        <f>IF(AND(Inputs!$B$38&lt;&gt;"pvp",Inputs!$B$43&gt;0),IF(MAX(0,Inputs!$B$43-B2956)&lt;=0,0,(INT(MAX(0,Inputs!$B$43-B2956)/(IF(Inputs!$B$38="pvp",15,MAX(0.1,Skills!D3-IF(TRUE=TRUE,1.0,0)))*(1-IF(AND(ArtifactsInput!$M$27,Inputs!$B$4="Chapter Hunt"),CHOOSE(ArtifactsInput!$N$27+1,20,24,28,32,36,40),0)/100)))+1)),0)</f>
        <v/>
      </c>
      <c r="S2923">
        <f>IFERROR(O2923/N2923,0)</f>
        <v/>
      </c>
      <c r="T2923">
        <f>IF(C2923,(Skills!G3*N2923*IF(C2924=TRUE,1-B2961,1)/B2960)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2923*(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2923*(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3">
        <f>INDEX(FactorTable!$B$2:$Y$301, MATCH(ROUND(MIN(300,MAX(1,U2922)),0), FactorTable!$A$2:$A$301,0), 22)</f>
        <v/>
      </c>
      <c r="V2923">
        <f>IF(C2923,(Skills!G3*N2923*IF(C2924=TRUE,1-B2961,1)/B2960)*IF(Inputs!$B$38="pvp",1,(1+(Inputs!$B$21+Skills!Q3+(IF(ArtifactsInput!$M$33,CHOOSE(ArtifactsInput!$N$33+1,30,36,42,48,54,60),0))+(IF(AND(ArtifactsInput!$M$35,Inputs!$B$4&lt;&gt;"Chapter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4">
      <c r="A2924">
        <f>Skills!A4</f>
        <v/>
      </c>
      <c r="B2924">
        <f>Skills!B4</f>
        <v/>
      </c>
      <c r="C2924">
        <f>Inputs!$B$3&gt;=69</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2932=TRUE,F2932,0)/100)*(1+(IF(Skills!A4="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C2940=TRUE)*(F2940-Calc!F20)),(Inputs!$B$23+0+(IF(ArtifactsInput!$M$15,CHOOSE(ArtifactsInput!$N$15+1,25,30,35,40,45,50)/100*(Inputs!$B$11-Inputs!$B$11),0))))/100+(Inputs!$B$23+0+(IF(ArtifactsInput!$M$15,CHOOSE(ArtifactsInput!$N$15+1,25,30,35,40,45,50)/100*(Inputs!$B$11-Inputs!$B$11),0)))/100)/2</f>
        <v/>
      </c>
      <c r="M2924">
        <f>L2924*(1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(1-Summary!$B$11)*T2924+Summary!$B$11*V2924</f>
        <v/>
      </c>
      <c r="P2924">
        <f>IF(B2959=0,0,O2924/B2959)</f>
        <v/>
      </c>
      <c r="Q2924" t="n">
        <v>0</v>
      </c>
      <c r="R2924" t="n">
        <v>0</v>
      </c>
      <c r="S2924">
        <f>IFERROR(O2924/N2924,0)</f>
        <v/>
      </c>
      <c r="T2924">
        <f>IF(C2924,(Skills!G4*N2924*B2961/B2960)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2924*(1-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290*U2923/1000</f>
        <v/>
      </c>
      <c r="V2924">
        <f>IF(C2924,(Skills!G4*N2924*B2961/B2960)*IF(Inputs!$B$38="pvp",1,(1+(Inputs!$B$21+Skills!Q4+(IF(ArtifactsInput!$M$33,CHOOSE(ArtifactsInput!$N$33+1,30,36,42,48,54,60),0))+(IF(AND(ArtifactsInput!$M$35,Inputs!$B$4&lt;&gt;"Chapter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Skills!A5</f>
        <v/>
      </c>
      <c r="B2925">
        <f>Skills!B5</f>
        <v/>
      </c>
      <c r="C2925">
        <f>Inputs!$B$3&gt;=66</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t="inlineStr"/>
      <c r="K2925" t="inlineStr"/>
      <c r="L2925" t="inlineStr"/>
      <c r="M2925" t="inlineStr"/>
      <c r="N2925" t="inlineStr"/>
      <c r="O2925">
        <f>(1-Summary!$B$11)*T2925+Summary!$B$11*V2925</f>
        <v/>
      </c>
      <c r="P2925">
        <f>IF(B2959=0,0,O2925/B2959)</f>
        <v/>
      </c>
      <c r="Q2925" t="n">
        <v>0</v>
      </c>
      <c r="R2925" t="n">
        <v>0</v>
      </c>
      <c r="S2925">
        <f>IFERROR(O2925/N2925,0)</f>
        <v/>
      </c>
      <c r="T2925" t="n">
        <v>0</v>
      </c>
      <c r="V2925" t="n">
        <v>0</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2932=TRUE,F2932,0)/100)*(1+(IF(Skills!A6="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2940=TRUE)*(F2940-Calc!F20)),(Inputs!$B$23+0+(IF(ArtifactsInput!$M$15,CHOOSE(ArtifactsInput!$N$15+1,25,30,35,40,45,50)/100*(Inputs!$B$11-Inputs!$B$11),0))))/100+(Inputs!$B$23+0+(IF(ArtifactsInput!$M$15,CHOOSE(ArtifactsInput!$N$15+1,25,30,35,40,45,50)/100*(Inputs!$B$11-Inputs!$B$11),0)))/100)/2</f>
        <v/>
      </c>
      <c r="M2926">
        <f>L2926*(1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IF(B2959=0,0,O2926/B2959)</f>
        <v/>
      </c>
      <c r="Q2926">
        <f>IFERROR(1/(IF(Inputs!$B$38="pvp",15,MAX(0.1,Skills!D6-IF(TRUE=TRUE,1.0,0)))*(1-IF(AND(ArtifactsInput!$M$27,Inputs!$B$4="Chapter Hunt"),CHOOSE(ArtifactsInput!$N$27+1,20,24,28,32,36,40),0)/100)),0)</f>
        <v/>
      </c>
      <c r="R2926">
        <f>IF(AND(Inputs!$B$38&lt;&gt;"pvp",Inputs!$B$43&gt;0),IF(MAX(0,Inputs!$B$43-B2956)&lt;=0,0,(INT(MAX(0,Inputs!$B$43-B2956)/(IF(Inputs!$B$38="pvp",15,MAX(0.1,Skills!D6-IF(TRUE=TRUE,1.0,0)))*(1-IF(AND(ArtifactsInput!$M$27,Inputs!$B$4="Chapter Hunt"),CHOOSE(ArtifactsInput!$N$27+1,20,24,28,32,36,40),0)/100)))+1)),0)</f>
        <v/>
      </c>
      <c r="S2926">
        <f>IFERROR(O2926/N2926,0)</f>
        <v/>
      </c>
      <c r="T2926">
        <f>IF(C2926,(H2926*N2926*IF(AND(Inputs!$B$38&lt;&gt;"pvp",Inputs!$B$43&gt;0),((Skills!G6*((R2926-1)*IF(Skills!H6&gt;0,Skills!I6/Skills!H6,1)+IF(Skills!H6&gt;0,MIN(Skills!I6,MAX(0,MAX(0,Inputs!$B$43-B2956)-((R2926-1)*(IF(Inputs!$B$38="pvp",15,MAX(0.1,Skills!D6-IF(TRUE=TRUE,1.0,0)))*(1-IF(AND(ArtifactsInput!$M$27,Inputs!$B$4="Chapter Hunt"),CHOOSE(ArtifactsInput!$N$27+1,20,24,28,32,36,40),0)/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2956)-((R2926-1)*(IF(Inputs!$B$38="pvp",15,MAX(0.1,Skills!D6-IF(TRUE=TRUE,1.0,0)))*(1-IF(AND(ArtifactsInput!$M$27,Inputs!$B$4="Chapter Hunt"),CHOOSE(ArtifactsInput!$N$27+1,20,24,28,32,36,40),0)/100)))))/Skills!H6,1)))/Inputs!$B$43),G2926*Q2926))*IF(Inputs!$B$38="pvp",1,(1+(Inputs!$B$21+Skills!Q6+(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Inputs!$B$3&gt;=103</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2940=TRUE)*(F2940-Calc!F20)),(Inputs!$B$23+0+(IF(ArtifactsInput!$M$15,CHOOSE(ArtifactsInput!$N$15+1,25,30,35,40,45,50)/100*(Inputs!$B$11-Inputs!$B$11),0))))/100+(Inputs!$B$23+0+(IF(ArtifactsInput!$M$15,CHOOSE(ArtifactsInput!$N$15+1,25,30,35,40,45,50)/100*(Inputs!$B$11-Inputs!$B$11),0)))/100)/2</f>
        <v/>
      </c>
      <c r="M2927">
        <f>L2927*(1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IF(B2959=0,0,O2927/B2959)</f>
        <v/>
      </c>
      <c r="Q2927">
        <f>IFERROR(1/(IF(Inputs!$B$38="pvp",15,MAX(0.1,Skills!D7-IF(TRUE=TRUE,1.0,0)))*(1-IF(AND(ArtifactsInput!$M$27,Inputs!$B$4="Chapter Hunt"),CHOOSE(ArtifactsInput!$N$27+1,20,24,28,32,36,40),0)/100)),0)</f>
        <v/>
      </c>
      <c r="R2927">
        <f>IF(AND(Inputs!$B$38&lt;&gt;"pvp",Inputs!$B$43&gt;0),IF(MAX(0,Inputs!$B$43-B2956)&lt;=0,0,(INT(MAX(0,Inputs!$B$43-B2956)/(IF(Inputs!$B$38="pvp",15,MAX(0.1,Skills!D7-IF(TRUE=TRUE,1.0,0)))*(1-IF(AND(ArtifactsInput!$M$27,Inputs!$B$4="Chapter Hunt"),CHOOSE(ArtifactsInput!$N$27+1,20,24,28,32,36,40),0)/100)))+1)),0)</f>
        <v/>
      </c>
      <c r="S2927">
        <f>IFERROR(O2927/N2927,0)</f>
        <v/>
      </c>
      <c r="T2927">
        <f>IF(C2927,(H2927*N2927*IF(AND(Inputs!$B$38&lt;&gt;"pvp",Inputs!$B$43&gt;0),((Skills!G7*((R2927-1)*IF(Skills!H7&gt;0,Skills!I7/Skills!H7,1)+IF(Skills!H7&gt;0,MIN(Skills!I7,MAX(0,MAX(0,Inputs!$B$43-B2956)-((R2927-1)*(IF(Inputs!$B$38="pvp",15,MAX(0.1,Skills!D7-IF(TRUE=TRUE,1.0,0)))*(1-IF(AND(ArtifactsInput!$M$27,Inputs!$B$4="Chapter Hunt"),CHOOSE(ArtifactsInput!$N$27+1,20,24,28,32,36,40),0)/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2956)-((R2927-1)*(IF(Inputs!$B$38="pvp",15,MAX(0.1,Skills!D7-IF(TRUE=TRUE,1.0,0)))*(1-IF(AND(ArtifactsInput!$M$27,Inputs!$B$4="Chapter Hunt"),CHOOSE(ArtifactsInput!$N$27+1,20,24,28,32,36,40),0)/100)))))/Skills!H7,1)))/Inputs!$B$43),G2927*Q2927))*IF(Inputs!$B$38="pvp",1,(1+(Inputs!$B$21+Skills!Q7+(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Inputs!$B$3&gt;=117</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C2940=TRUE)*(F2940-Calc!F20)),(Inputs!$B$23+0+(IF(ArtifactsInput!$M$15,CHOOSE(ArtifactsInput!$N$15+1,25,30,35,40,45,50)/100*(Inputs!$B$11-Inputs!$B$11),0))))/100+(Inputs!$B$23+0+(IF(ArtifactsInput!$M$15,CHOOSE(ArtifactsInput!$N$15+1,25,30,35,40,45,50)/100*(Inputs!$B$11-Inputs!$B$11),0)))/100)/2</f>
        <v/>
      </c>
      <c r="M2928">
        <f>L2928*(1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(1-Summary!$B$11)*T2928+Summary!$B$11*V2928</f>
        <v/>
      </c>
      <c r="P2928">
        <f>IF(B2959=0,0,O2928/B2959)</f>
        <v/>
      </c>
      <c r="Q2928">
        <f>IFERROR(1/(IF(Inputs!$B$38="pvp",15,MAX(0.1,Skills!D8-IF(TRUE=TRUE,1.0,0)))*(1-IF(AND(ArtifactsInput!$M$27,Inputs!$B$4="Chapter Hunt"),CHOOSE(ArtifactsInput!$N$27+1,20,24,28,32,36,40),0)/100)),0)</f>
        <v/>
      </c>
      <c r="R2928">
        <f>IF(AND(Inputs!$B$38&lt;&gt;"pvp",Inputs!$B$43&gt;0),IF(MAX(0,Inputs!$B$43-B2956)&lt;=0,0,(INT(MAX(0,Inputs!$B$43-B2956)/(IF(Inputs!$B$38="pvp",15,MAX(0.1,Skills!D8-IF(TRUE=TRUE,1.0,0)))*(1-IF(AND(ArtifactsInput!$M$27,Inputs!$B$4="Chapter Hunt"),CHOOSE(ArtifactsInput!$N$27+1,20,24,28,32,36,40),0)/100)))+1)),0)</f>
        <v/>
      </c>
      <c r="S2928">
        <f>IFERROR(O2928/N2928,0)</f>
        <v/>
      </c>
      <c r="T2928">
        <f>IF(C2928,(H2928*N2928*IF(AND(Inputs!$B$38&lt;&gt;"pvp",Inputs!$B$43&gt;0),((Skills!G8*((R2928-1)*IF(Skills!H8&gt;0,Skills!I8/Skills!H8,1)+IF(Skills!H8&gt;0,MIN(Skills!I8,MAX(0,MAX(0,Inputs!$B$43-B2956)-((R2928-1)*(IF(Inputs!$B$38="pvp",15,MAX(0.1,Skills!D8-IF(TRUE=TRUE,1.0,0)))*(1-IF(AND(ArtifactsInput!$M$27,Inputs!$B$4="Chapter Hunt"),CHOOSE(ArtifactsInput!$N$27+1,20,24,28,32,36,40),0)/100)))))/Skills!H8,1)))/Inputs!$B$43),G2928*Q2928)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2928*(1-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8">
        <f>IF(C2928,(H2928*N2928*IF(AND(Inputs!$B$38&lt;&gt;"pvp",Inputs!$B$43&gt;0),((Skills!G8*((R2928-1)*IF(Skills!H8&gt;0,Skills!I8/Skills!H8,1)+IF(Skills!H8&gt;0,MIN(Skills!I8,MAX(0,MAX(0,Inputs!$B$43-B2956)-((R2928-1)*(IF(Inputs!$B$38="pvp",15,MAX(0.1,Skills!D8-IF(TRUE=TRUE,1.0,0)))*(1-IF(AND(ArtifactsInput!$M$27,Inputs!$B$4="Chapter Hunt"),CHOOSE(ArtifactsInput!$N$27+1,20,24,28,32,36,40),0)/100)))))/Skills!H8,1)))/Inputs!$B$43),G2928*Q2928))*IF(Inputs!$B$38="pvp",1,(1+(Inputs!$B$21+Skills!Q8+(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9">
      <c r="A2929">
        <f>Skills!A9</f>
        <v/>
      </c>
      <c r="B2929">
        <f>Skills!B9</f>
        <v/>
      </c>
      <c r="C2929">
        <f>Inputs!$B$3&gt;=120</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B2961</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2940=TRUE)*(F2940-Calc!F20)),(Inputs!$B$23+0+(IF(ArtifactsInput!$M$15,CHOOSE(ArtifactsInput!$N$15+1,25,30,35,40,45,50)/100*(Inputs!$B$11-Inputs!$B$11),0))))/100+(Inputs!$B$23+0+(IF(ArtifactsInput!$M$15,CHOOSE(ArtifactsInput!$N$15+1,25,30,35,40,45,50)/100*(Inputs!$B$11-Inputs!$B$11),0)))/100)/2</f>
        <v/>
      </c>
      <c r="M2929">
        <f>L2929*(1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IF(B2959=0,0,O2929/B2959)</f>
        <v/>
      </c>
      <c r="Q2929">
        <f>IFERROR(1/(IF(Inputs!$B$38="pvp",15,MAX(0.1,Skills!D9-IF(TRUE=TRUE,1.0,0)))*(1-IF(AND(ArtifactsInput!$M$27,Inputs!$B$4="Chapter Hunt"),CHOOSE(ArtifactsInput!$N$27+1,20,24,28,32,36,40),0)/100)),0)</f>
        <v/>
      </c>
      <c r="R2929">
        <f>IF(AND(Inputs!$B$38&lt;&gt;"pvp",Inputs!$B$43&gt;0),IF(MAX(0,Inputs!$B$43-B2956)&lt;=0,0,(INT(MAX(0,Inputs!$B$43-B2956)/(IF(Inputs!$B$38="pvp",15,MAX(0.1,Skills!D9-IF(TRUE=TRUE,1.0,0)))*(1-IF(AND(ArtifactsInput!$M$27,Inputs!$B$4="Chapter Hunt"),CHOOSE(ArtifactsInput!$N$27+1,20,24,28,32,36,40),0)/100)))+1)),0)</f>
        <v/>
      </c>
      <c r="S2929">
        <f>IFERROR(O2929/N2929,0)</f>
        <v/>
      </c>
      <c r="T2929">
        <f>IF(C2929,(H2929*N2929*IF(AND(Inputs!$B$38&lt;&gt;"pvp",Inputs!$B$43&gt;0),((Skills!G9*((R2929-1)*IF(Skills!H9&gt;0,Skills!I9/Skills!H9,1)+IF(Skills!H9&gt;0,MIN(Skills!I9,MAX(0,MAX(0,Inputs!$B$43-B2956)-((R2929-1)*(IF(Inputs!$B$38="pvp",15,MAX(0.1,Skills!D9-IF(TRUE=TRUE,1.0,0)))*(1-IF(AND(ArtifactsInput!$M$27,Inputs!$B$4="Chapter Hunt"),CHOOSE(ArtifactsInput!$N$27+1,20,24,28,32,36,40),0)/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2956)-((R2929-1)*(IF(Inputs!$B$38="pvp",15,MAX(0.1,Skills!D9-IF(TRUE=TRUE,1.0,0)))*(1-IF(AND(ArtifactsInput!$M$27,Inputs!$B$4="Chapter Hunt"),CHOOSE(ArtifactsInput!$N$27+1,20,24,28,32,36,40),0)/100)))))/Skills!H9,1)))/Inputs!$B$43),G2929*Q2929))*IF(Inputs!$B$38="pvp",1,(1+(Inputs!$B$21+Skills!Q9+(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Inputs!$B$3&gt;=105</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2940=TRUE)*(F2940-Calc!F20)),(Inputs!$B$23+0+(IF(ArtifactsInput!$M$15,CHOOSE(ArtifactsInput!$N$15+1,25,30,35,40,45,50)/100*(Inputs!$B$11-Inputs!$B$11),0))))/100+(Inputs!$B$23+0+(IF(ArtifactsInput!$M$15,CHOOSE(ArtifactsInput!$N$15+1,25,30,35,40,45,50)/100*(Inputs!$B$11-Inputs!$B$11),0)))/100)/2</f>
        <v/>
      </c>
      <c r="M2930">
        <f>L2930*(1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IF(B2959=0,0,O2930/B2959)</f>
        <v/>
      </c>
      <c r="Q2930">
        <f>IFERROR(1/(IF(Inputs!$B$38="pvp",15,MAX(0.1,Skills!D10-IF(TRUE=TRUE,1.0,0)))*(1-IF(AND(ArtifactsInput!$M$27,Inputs!$B$4="Chapter Hunt"),CHOOSE(ArtifactsInput!$N$27+1,20,24,28,32,36,40),0)/100)),0)</f>
        <v/>
      </c>
      <c r="R2930">
        <f>IF(AND(Inputs!$B$38&lt;&gt;"pvp",Inputs!$B$43&gt;0),IF(MAX(0,Inputs!$B$43-B2956)&lt;=0,0,(INT(MAX(0,Inputs!$B$43-B2956)/(IF(Inputs!$B$38="pvp",15,MAX(0.1,Skills!D10-IF(TRUE=TRUE,1.0,0)))*(1-IF(AND(ArtifactsInput!$M$27,Inputs!$B$4="Chapter Hunt"),CHOOSE(ArtifactsInput!$N$27+1,20,24,28,32,36,40),0)/100)))+1)),0)</f>
        <v/>
      </c>
      <c r="S2930">
        <f>IFERROR(O2930/N2930,0)</f>
        <v/>
      </c>
      <c r="T2930">
        <f>IF(C2930,(H2930*N2930*IF(AND(Inputs!$B$38&lt;&gt;"pvp",Inputs!$B$43&gt;0),((Skills!G10*((R2930-1)*IF(Skills!H10&gt;0,Skills!I10/Skills!H10,1)+IF(Skills!H10&gt;0,MIN(Skills!I10,MAX(0,MAX(0,Inputs!$B$43-B2956)-((R2930-1)*(IF(Inputs!$B$38="pvp",15,MAX(0.1,Skills!D10-IF(TRUE=TRUE,1.0,0)))*(1-IF(AND(ArtifactsInput!$M$27,Inputs!$B$4="Chapter Hunt"),CHOOSE(ArtifactsInput!$N$27+1,20,24,28,32,36,40),0)/100)))))/Skills!H10,1)))/Inputs!$B$43),G2930*Q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10*((R2930-1)*IF(Skills!H10&gt;0,Skills!I10/Skills!H10,1)+IF(Skills!H10&gt;0,MIN(Skills!I10,MAX(0,MAX(0,Inputs!$B$43-B2956)-((R2930-1)*(IF(Inputs!$B$38="pvp",15,MAX(0.1,Skills!D10-IF(TRUE=TRUE,1.0,0)))*(1-IF(AND(ArtifactsInput!$M$27,Inputs!$B$4="Chapter Hunt"),CHOOSE(ArtifactsInput!$N$27+1,20,24,28,32,36,40),0)/100)))))/Skills!H10,1)))/Inputs!$B$43),G2930*Q2930))*IF(Inputs!$B$38="pvp",1,(1+(Inputs!$B$21+Skills!Q10+(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Inputs!$B$3&gt;=113</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2940=TRUE)*(F2940-Calc!F20)),(Inputs!$B$23+0+(IF(ArtifactsInput!$M$15,CHOOSE(ArtifactsInput!$N$15+1,25,30,35,40,45,50)/100*(Inputs!$B$11-Inputs!$B$11),0))))/100+(Inputs!$B$23+0+(IF(ArtifactsInput!$M$15,CHOOSE(ArtifactsInput!$N$15+1,25,30,35,40,45,50)/100*(Inputs!$B$11-Inputs!$B$11),0)))/100)/2</f>
        <v/>
      </c>
      <c r="M2931">
        <f>L2931*(1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IF(B2959=0,0,O2931/B2959)</f>
        <v/>
      </c>
      <c r="Q2931" t="n">
        <v>0</v>
      </c>
      <c r="R2931" t="n">
        <v>0</v>
      </c>
      <c r="S2931">
        <f>IFERROR(O2931/N2931,0)</f>
        <v/>
      </c>
      <c r="T2931">
        <f>IF(C2931,((H2931*B2962)/(1+Skills!H11*H2931*B2962)*N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IF(C2931,((H2931*B2962)/(1+Skills!H11*H2931*B2962)*N2931)*IF(Inputs!$B$38="pvp",1,(1+(Inputs!$B$21+Skills!Q11+(IF(ArtifactsInput!$M$33,CHOOSE(ArtifactsInput!$N$33+1,30,36,42,48,54,60),0))+(IF(AND(ArtifactsInput!$M$35,Inputs!$B$4&lt;&gt;"Chapter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Inputs!$B$3&gt;=100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t="inlineStr"/>
      <c r="H2932" t="inlineStr"/>
      <c r="I2932" t="inlineStr">
        <is>
          <t>1</t>
        </is>
      </c>
      <c r="J2932" t="inlineStr"/>
      <c r="K2932" t="inlineStr"/>
      <c r="L2932" t="inlineStr"/>
      <c r="M2932" t="inlineStr"/>
      <c r="N2932" t="inlineStr"/>
      <c r="O2932" t="inlineStr"/>
      <c r="P2932" t="inlineStr"/>
      <c r="Q2932" t="inlineStr"/>
      <c r="R2932" t="inlineStr"/>
      <c r="S2932" t="inlineStr"/>
      <c r="T2932" t="inlineStr"/>
      <c r="V2932" t="inlineStr"/>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IF(B2959=0,0,O2933/B2959)</f>
        <v/>
      </c>
      <c r="Q2933" t="n">
        <v>0</v>
      </c>
      <c r="R2933" t="n">
        <v>0</v>
      </c>
      <c r="S2933">
        <f>IFERROR(O2933/N2933,0)</f>
        <v/>
      </c>
      <c r="T2933" t="n">
        <v>0</v>
      </c>
      <c r="V2933" t="n">
        <v>0</v>
      </c>
    </row>
    <row r="2934">
      <c r="A2934">
        <f>Skills!A14</f>
        <v/>
      </c>
      <c r="B2934">
        <f>Skills!B14</f>
        <v/>
      </c>
      <c r="C2934">
        <f>Inputs!$B$3&gt;=115</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IF(B2959=0,0,O2934/B2959)</f>
        <v/>
      </c>
      <c r="Q2934">
        <f>IFERROR(1/(IF(Inputs!$B$38="pvp",15,MAX(0.1,Skills!D14-IF(TRUE=TRUE,1.0,0)))*(1-IF(AND(ArtifactsInput!$M$27,Inputs!$B$4="Chapter Hunt"),CHOOSE(ArtifactsInput!$N$27+1,20,24,28,32,36,40),0)/100)),0)</f>
        <v/>
      </c>
      <c r="R2934">
        <f>IF(AND(Inputs!$B$38&lt;&gt;"pvp",Inputs!$B$43&gt;0),IF(Inputs!$B$43&lt;=0,0,(INT(Inputs!$B$43/(IF(Inputs!$B$38="pvp",15,MAX(0.1,Skills!D14-IF(TRUE=TRUE,1.0,0)))*(1-IF(AND(ArtifactsInput!$M$27,Inputs!$B$4="Chapter Hunt"),CHOOSE(ArtifactsInput!$N$27+1,20,24,28,32,36,40),0)/100)))+1)),0)</f>
        <v/>
      </c>
      <c r="S2934">
        <f>IFERROR(O2934/N2934,0)</f>
        <v/>
      </c>
      <c r="T2934" t="n">
        <v>0</v>
      </c>
      <c r="V2934" t="n">
        <v>0</v>
      </c>
    </row>
    <row r="2935">
      <c r="A2935">
        <f>Skills!A15</f>
        <v/>
      </c>
      <c r="B2935">
        <f>Skills!B15</f>
        <v/>
      </c>
      <c r="C2935">
        <f>Inputs!$B$3&gt;=125</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IF(B2959=0,0,O2935/B2959)</f>
        <v/>
      </c>
      <c r="Q2935">
        <f>IFERROR(1/(IF(Inputs!$B$38="pvp",15,MAX(0.1,Skills!D15-IF(TRUE=TRUE,1.0,0)))*(1-IF(AND(ArtifactsInput!$M$27,Inputs!$B$4="Chapter Hunt"),CHOOSE(ArtifactsInput!$N$27+1,20,24,28,32,36,40),0)/100)),0)</f>
        <v/>
      </c>
      <c r="R2935">
        <f>IF(AND(Inputs!$B$38&lt;&gt;"pvp",Inputs!$B$43&gt;0),IF(Inputs!$B$43&lt;=0,0,(INT(Inputs!$B$43/(IF(Inputs!$B$38="pvp",15,MAX(0.1,Skills!D15-IF(TRUE=TRUE,1.0,0)))*(1-IF(AND(ArtifactsInput!$M$27,Inputs!$B$4="Chapter Hunt"),CHOOSE(ArtifactsInput!$N$27+1,20,24,28,32,36,40),0)/100)))+1)),0)</f>
        <v/>
      </c>
      <c r="S2935">
        <f>IFERROR(O2935/N2935,0)</f>
        <v/>
      </c>
      <c r="T2935" t="n">
        <v>0</v>
      </c>
      <c r="V2935" t="n">
        <v>0</v>
      </c>
    </row>
    <row r="2936">
      <c r="A2936">
        <f>Skills!A16</f>
        <v/>
      </c>
      <c r="B2936">
        <f>Skills!B16</f>
        <v/>
      </c>
      <c r="C2936">
        <f>Inputs!$B$3&gt;=10</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IF(B2959=0,0,O2936/B2959)</f>
        <v/>
      </c>
      <c r="Q2936" t="n">
        <v>0</v>
      </c>
      <c r="R2936" t="n">
        <v>0</v>
      </c>
      <c r="S2936">
        <f>IFERROR(O2936/N2936,0)</f>
        <v/>
      </c>
      <c r="T2936" t="n">
        <v>0</v>
      </c>
      <c r="V2936" t="n">
        <v>0</v>
      </c>
    </row>
    <row r="2937">
      <c r="A2937">
        <f>Skills!A17</f>
        <v/>
      </c>
      <c r="B2937">
        <f>Skills!B17</f>
        <v/>
      </c>
      <c r="C2937">
        <f>Inputs!$B$3&gt;=15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IF(B2959=0,0,O2937/B2959)</f>
        <v/>
      </c>
      <c r="Q2937" t="n">
        <v>0</v>
      </c>
      <c r="R2937" t="n">
        <v>0</v>
      </c>
      <c r="S2937">
        <f>IFERROR(O2937/N2937,0)</f>
        <v/>
      </c>
      <c r="T2937" t="n">
        <v>0</v>
      </c>
      <c r="V2937" t="n">
        <v>0</v>
      </c>
    </row>
    <row r="2938">
      <c r="A2938">
        <f>Skills!A18</f>
        <v/>
      </c>
      <c r="B2938">
        <f>Skills!B18</f>
        <v/>
      </c>
      <c r="C2938">
        <f>Inputs!$B$3&gt;=33</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IF(B2959=0,0,O2938/B2959)</f>
        <v/>
      </c>
      <c r="Q2938" t="n">
        <v>0</v>
      </c>
      <c r="R2938" t="n">
        <v>0</v>
      </c>
      <c r="S2938">
        <f>IFERROR(O2938/N2938,0)</f>
        <v/>
      </c>
      <c r="T2938" t="n">
        <v>0</v>
      </c>
      <c r="V2938" t="n">
        <v>0</v>
      </c>
    </row>
    <row r="2939">
      <c r="A2939">
        <f>Skills!A19</f>
        <v/>
      </c>
      <c r="B2939">
        <f>Skills!B19</f>
        <v/>
      </c>
      <c r="C2939">
        <f>Inputs!$B$3&gt;=40</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IF(B2959=0,0,O2939/B2959)</f>
        <v/>
      </c>
      <c r="Q2939" t="n">
        <v>0</v>
      </c>
      <c r="R2939" t="n">
        <v>0</v>
      </c>
      <c r="S2939">
        <f>IFERROR(O2939/N2939,0)</f>
        <v/>
      </c>
      <c r="T2939" t="n">
        <v>0</v>
      </c>
      <c r="V2939" t="n">
        <v>0</v>
      </c>
    </row>
    <row r="2940">
      <c r="A2940">
        <f>Skills!A20</f>
        <v/>
      </c>
      <c r="B2940">
        <f>Skills!B20</f>
        <v/>
      </c>
      <c r="C2940">
        <f>Inputs!$B$3&gt;=43</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IF(B2959=0,0,O2940/B2959)</f>
        <v/>
      </c>
      <c r="Q2940" t="n">
        <v>0</v>
      </c>
      <c r="R2940" t="n">
        <v>0</v>
      </c>
      <c r="S2940">
        <f>IFERROR(O2940/N2940,0)</f>
        <v/>
      </c>
      <c r="T2940" t="n">
        <v>0</v>
      </c>
      <c r="V2940" t="n">
        <v>0</v>
      </c>
    </row>
    <row r="2941">
      <c r="A2941">
        <f>Skills!A21</f>
        <v/>
      </c>
      <c r="B2941">
        <f>Skills!B21</f>
        <v/>
      </c>
      <c r="C2941">
        <f>Inputs!$B$3&gt;=38</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IF(B2959=0,0,O2941/B2959)</f>
        <v/>
      </c>
      <c r="Q2941" t="n">
        <v>0</v>
      </c>
      <c r="R2941" t="n">
        <v>0</v>
      </c>
      <c r="S2941">
        <f>IFERROR(O2941/N2941,0)</f>
        <v/>
      </c>
      <c r="T2941" t="n">
        <v>0</v>
      </c>
      <c r="V2941" t="n">
        <v>0</v>
      </c>
    </row>
    <row r="2942">
      <c r="A2942">
        <f>Skills!A22</f>
        <v/>
      </c>
      <c r="B2942">
        <f>Skills!B22</f>
        <v/>
      </c>
      <c r="C2942">
        <f>Inputs!$B$3&gt;=75</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IF(B2959=0,0,O2942/B2959)</f>
        <v/>
      </c>
      <c r="Q2942" t="n">
        <v>0</v>
      </c>
      <c r="R2942" t="n">
        <v>0</v>
      </c>
      <c r="S2942">
        <f>IFERROR(O2942/N2942,0)</f>
        <v/>
      </c>
      <c r="T2942" t="n">
        <v>0</v>
      </c>
      <c r="V2942" t="n">
        <v>0</v>
      </c>
    </row>
    <row r="2943">
      <c r="A2943">
        <f>Skills!A23</f>
        <v/>
      </c>
      <c r="B2943">
        <f>Skills!B23</f>
        <v/>
      </c>
      <c r="C2943">
        <f>TRUE</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IF(B2959=0,0,O2943/B2959)</f>
        <v/>
      </c>
      <c r="Q2943">
        <f>IFERROR(1/(IF(Inputs!$B$38="pvp",15,MAX(0.1,Skills!D23-IF(TRUE=TRUE,1.0,0)))*(1-IF(AND(ArtifactsInput!$M$27,Inputs!$B$4="Chapter Hunt"),CHOOSE(ArtifactsInput!$N$27+1,20,24,28,32,36,40),0)/100)),0)</f>
        <v/>
      </c>
      <c r="R2943">
        <f>IF(AND(Inputs!$B$38&lt;&gt;"pvp",Inputs!$B$43&gt;0),IF(Inputs!$B$43&lt;=0,0,(INT(Inputs!$B$43/(IF(Inputs!$B$38="pvp",15,MAX(0.1,Skills!D23-IF(TRUE=TRUE,1.0,0)))*(1-IF(AND(ArtifactsInput!$M$27,Inputs!$B$4="Chapter Hunt"),CHOOSE(ArtifactsInput!$N$27+1,20,24,28,32,36,40),0)/100)))+1)),0)</f>
        <v/>
      </c>
      <c r="S2943">
        <f>IFERROR(O2943/N2943,0)</f>
        <v/>
      </c>
      <c r="T2943" t="n">
        <v>0</v>
      </c>
      <c r="V2943" t="n">
        <v>0</v>
      </c>
    </row>
    <row r="2944">
      <c r="A2944">
        <f>Skills!A24</f>
        <v/>
      </c>
      <c r="B2944">
        <f>Skills!B24</f>
        <v/>
      </c>
      <c r="C2944">
        <f>Inputs!$B$3&gt;=107</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IF(B2959=0,0,O2944/B2959)</f>
        <v/>
      </c>
      <c r="Q2944">
        <f>IFERROR(1/(IF(Inputs!$B$38="pvp",15,MAX(0.1,Skills!D24-IF(TRUE=TRUE,1.0,0)))*(1-IF(AND(ArtifactsInput!$M$27,Inputs!$B$4="Chapter Hunt"),CHOOSE(ArtifactsInput!$N$27+1,20,24,28,32,36,40),0)/100)),0)</f>
        <v/>
      </c>
      <c r="R2944">
        <f>IF(AND(Inputs!$B$38&lt;&gt;"pvp",Inputs!$B$43&gt;0),IF(Inputs!$B$43&lt;=0,0,(INT(Inputs!$B$43/(IF(Inputs!$B$38="pvp",15,MAX(0.1,Skills!D24-IF(TRUE=TRUE,1.0,0)))*(1-IF(AND(ArtifactsInput!$M$27,Inputs!$B$4="Chapter Hunt"),CHOOSE(ArtifactsInput!$N$27+1,20,24,28,32,36,40),0)/100)))+1)),0)</f>
        <v/>
      </c>
      <c r="S2944">
        <f>IFERROR(O2944/N2944,0)</f>
        <v/>
      </c>
      <c r="T2944" t="n">
        <v>0</v>
      </c>
      <c r="V2944" t="n">
        <v>0</v>
      </c>
    </row>
    <row r="2945">
      <c r="A2945">
        <f>Skills!A25</f>
        <v/>
      </c>
      <c r="B2945">
        <f>Skills!B25</f>
        <v/>
      </c>
      <c r="C2945">
        <f>Inputs!$B$3&gt;=110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Skills!A26</f>
        <v/>
      </c>
      <c r="B2946">
        <f>Skills!B26</f>
        <v/>
      </c>
      <c r="C2946">
        <f>Inputs!$B$3&gt;=117</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T2946" t="inlineStr"/>
      <c r="V2946" t="inlineStr"/>
    </row>
    <row r="2948">
      <c r="A2948" t="inlineStr">
        <is>
          <t>Attack% Bucket Multiplier</t>
        </is>
      </c>
      <c r="B2948">
        <f>(1+(((C2933=TRUE)*F2933*5/7)+((C2939=TRUE)*(F2939-Calc!F19))+(IF(ArtifactsInput!$M$21,CHOOSE(ArtifactsInput!$N$21+1,25,30,35,40,45,50)*(IF(OR(Inputs!$B$4="Chapter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49">
      <c r="A2949" t="inlineStr">
        <is>
          <t>Global Crit Rate Bonus %</t>
        </is>
      </c>
      <c r="B2949" t="n">
        <v>0</v>
      </c>
    </row>
    <row r="2950">
      <c r="A2950" t="inlineStr">
        <is>
          <t>Attack Speed Buff Bonus % (Nimble Feet + Speed Infusion, duty-cycle averaged)</t>
        </is>
      </c>
      <c r="B2950">
        <f>((C2943=TRUE)*F2943*IF(AND(Inputs!$B$38&lt;&gt;"pvp",Inputs!$B$43&gt;0),(((R2943-1)*MIN((Skills!T23*(1+Inputs!$B$34/100)),(1/Q2943))+MIN((Skills!T23*(1+Inputs!$B$34/100)),MAX(0,Inputs!$B$43-((R2943-1)*(1/Q2943)))))/Inputs!$B$43),IF(Inputs!$B$38="pvp",MIN((Skills!T23*(1+Inputs!$B$34/100)),15)/15,MIN(1,(Skills!T23*(1+Inputs!$B$34/100))/(1/Q2943)))))+((C2944=TRUE)*F2944*IF(AND(Inputs!$B$38&lt;&gt;"pvp",Inputs!$B$43&gt;0),(((R2944-1)*MIN((Skills!T24*(1+Inputs!$B$34/100)),(1/Q2944))+MIN((Skills!T24*(1+Inputs!$B$34/100)),MAX(0,Inputs!$B$43-((R2944-1)*(1/Q2944)))))/Inputs!$B$43),IF(Inputs!$B$38="pvp",MIN((Skills!T24*(1+Inputs!$B$34/100)),15)/15,MIN(1,(Skills!T24*(1+Inputs!$B$34/100))/(1/Q2944)))))</f>
        <v/>
      </c>
    </row>
    <row r="2951">
      <c r="A2951" t="inlineStr">
        <is>
          <t>Actions Per Second</t>
        </is>
      </c>
      <c r="B2951">
        <f>1+MIN(150,150*(1-(1-(Inputs!$B$11+((C2937=TRUE)*(F2937-Calc!F17))+((C2938=TRUE)*(F2938-Calc!F18)))/150)*(1-B2950/150)))/100</f>
        <v/>
      </c>
    </row>
    <row r="2952">
      <c r="A2952" t="inlineStr">
        <is>
          <t>Skill + Buff Cast Rate</t>
        </is>
      </c>
      <c r="B2952">
        <f>IF(AND(Inputs!$B$38&lt;&gt;"pvp",Inputs!$B$43&gt;0),SUMPRODUCT((Skills!E2:E26=TRUE)*(C2922:C2946=TRUE)*R2922:R2946*Skills!F2:F26)/Inputs!$B$43,SUMPRODUCT((Skills!E2:E26=TRUE)*(C2922:C2946=TRUE)*Q2922:Q2946*Skills!F2:F26))</f>
        <v/>
      </c>
    </row>
    <row r="2953">
      <c r="A2953" t="inlineStr">
        <is>
          <t>Hook Bomber Casts Per Second</t>
        </is>
      </c>
      <c r="B2953">
        <f>MAX(0,B2951-B2952)</f>
        <v/>
      </c>
    </row>
    <row r="2954">
      <c r="A2954" t="inlineStr">
        <is>
          <t>Global Critical Damage Bonus % (unused)</t>
        </is>
      </c>
      <c r="B2954" t="n">
        <v>0</v>
      </c>
    </row>
    <row r="2955">
      <c r="A2955" t="inlineStr">
        <is>
          <t>Global Final Damage Bonus % (Serpent Scale + Crossbones + Time Leap + Speed Infusion)</t>
        </is>
      </c>
      <c r="B2955">
        <f>((C2925=TRUE)*(F2925*B2961+4*(1-B2961)))+((C2934=TRUE)*F2934*IF(AND(Inputs!$B$38&lt;&gt;"pvp",Inputs!$B$43&gt;0),(((R2934-1)*MIN((Skills!T14*(1+Inputs!$B$34/100)),(1/Q2934))+MIN((Skills!T14*(1+Inputs!$B$34/100)),MAX(0,Inputs!$B$43-((R2934-1)*(1/Q2934)))))/Inputs!$B$43),IF(Inputs!$B$38="pvp",MIN((Skills!T14*(1+Inputs!$B$34/100)),15)/15,MIN(1,(Skills!T14*(1+Inputs!$B$34/100))/(1/Q2934)))))+((C2935=TRUE)*F2935*IF(AND(Inputs!$B$38&lt;&gt;"pvp",Inputs!$B$43&gt;0),(((R2935-1)*MIN((Skills!T15*(1+Inputs!$B$34/100)),(1/Q2935))+MIN((Skills!T15*(1+Inputs!$B$34/100)),MAX(0,Inputs!$B$43-((R2935-1)*(1/Q2935)))))/Inputs!$B$43),IF(Inputs!$B$38="pvp",MIN((Skills!T15*(1+Inputs!$B$34/100)),15)/15,MIN(1,(Skills!T15*(1+Inputs!$B$34/100))/(1/Q2935)))))+((C2944=TRUE)*20*((1+MIN(150,150*(1-(1-(Inputs!$B$11+((C2937=TRUE)*(F2937-Calc!F17))+((C2938=TRUE)*(F2938-Calc!F18)))/150)*(1-(((C2943=TRUE)*F2943*IF(AND(Inputs!$B$38&lt;&gt;"pvp",Inputs!$B$43&gt;0),(((R2943-1)*MIN((Skills!T23*(1+Inputs!$B$34/100)),(1/Q2943))+MIN((Skills!T23*(1+Inputs!$B$34/100)),MAX(0,Inputs!$B$43-((R2943-1)*(1/Q2943)))))/Inputs!$B$43),IF(Inputs!$B$38="pvp",MIN((Skills!T23*(1+Inputs!$B$34/100)),15)/15,MIN(1,(Skills!T23*(1+Inputs!$B$34/100))/(1/Q2943)))))+F2944)/150)))/100)-1)*IF(AND(Inputs!$B$38&lt;&gt;"pvp",Inputs!$B$43&gt;0),(((R2944-1)*MIN((Skills!T24*(1+Inputs!$B$34/100)),(1/Q2944))+MIN((Skills!T24*(1+Inputs!$B$34/100)),MAX(0,Inputs!$B$43-((R2944-1)*(1/Q2944)))))/Inputs!$B$43),IF(Inputs!$B$38="pvp",MIN((Skills!T24*(1+Inputs!$B$34/100)),15)/15,MIN(1,(Skills!T24*(1+Inputs!$B$34/100))/(1/Q2944)))))</f>
        <v/>
      </c>
    </row>
    <row r="2956">
      <c r="A2956" t="inlineStr">
        <is>
          <t>Buff-Casting Startup Delay (s, fixed-duration only)</t>
        </is>
      </c>
      <c r="B2956">
        <f>IF(AND(Inputs!$B$38&lt;&gt;"pvp",Inputs!$B$43&gt;0),SUMPRODUCT((Skills!T2:T26&gt;0)*(Skills!E2:E26=TRUE)*(C2922:C2946=TRUE))/B2951,0)</f>
        <v/>
      </c>
    </row>
    <row r="2957">
      <c r="A2957" t="inlineStr">
        <is>
          <t>Boss-Only Total DPS (this block's swept value)</t>
        </is>
      </c>
      <c r="B2957">
        <f>SUM(T2922:T2946)</f>
        <v/>
      </c>
    </row>
    <row r="2958">
      <c r="A2958" t="inlineStr">
        <is>
          <t>Normal-Only Total DPS (this block's swept value)</t>
        </is>
      </c>
      <c r="B2958">
        <f>SUM(V2922:V2946)</f>
        <v/>
      </c>
    </row>
    <row r="2959">
      <c r="A2959" s="6" t="inlineStr">
        <is>
          <t>TOTAL DPS</t>
        </is>
      </c>
      <c r="B2959" s="6">
        <f>SUM(O2922:O2946)</f>
        <v/>
      </c>
    </row>
    <row r="2960">
      <c r="A2960" t="inlineStr">
        <is>
          <t>Serpent activation interval T (this block's own Hook Bomber rate)</t>
        </is>
      </c>
      <c r="B2960">
        <f>((1/Q2923)+IFERROR(0.5/B2953,0))</f>
        <v/>
      </c>
    </row>
    <row r="2961">
      <c r="A2961" t="inlineStr">
        <is>
          <t>Assault Mode uptime u (this block)</t>
        </is>
      </c>
      <c r="B2961">
        <f>IF(C2925=TRUE,(10+IF(Inputs!$B$3&gt;=94,5,0))/((10+IF(Inputs!$B$3&gt;=94,5,0))+IF(Inputs!$B$3&gt;=104,3,5)*B2960),0)</f>
        <v/>
      </c>
    </row>
    <row r="2962">
      <c r="A2962" t="inlineStr">
        <is>
          <t>Nautilus Strike - Final Attack trigger rate (this block's own Q/R)</t>
        </is>
      </c>
      <c r="B2962">
        <f>IF(AND(Inputs!$B$38&lt;&gt;"pvp",Inputs!$B$43&gt;0),(((C2926=TRUE)*R2926)+((C2927=TRUE)*R2927)+((C2930=TRUE)*R2930))/Inputs!$B$43,((C2926=TRUE)*Q2926)+((C2927=TRUE)*Q2927)+((C2930=TRUE)*Q2930))+B2953</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2985=TRUE)*(F2985-Calc!F20)),(Inputs!$B$23+0+(IF(ArtifactsInput!$M$15,CHOOSE(ArtifactsInput!$N$15+1,25,30,35,40,45,50)/100*(Inputs!$B$11-Inputs!$B$11),0))))/100+(Inputs!$B$23+0+(IF(ArtifactsInput!$M$15,CHOOSE(ArtifactsInput!$N$15+1,25,30,35,40,45,50)/100*(Inputs!$B$11-Inputs!$B$11),0)))/100)/2</f>
        <v/>
      </c>
      <c r="M2967">
        <f>L2967*(1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IF(B3004=0,0,O2967/B3004)</f>
        <v/>
      </c>
      <c r="Q2967" t="n">
        <v>0</v>
      </c>
      <c r="R2967" t="n">
        <v>0</v>
      </c>
      <c r="S2967">
        <f>IFERROR(O2967/N2967,0)</f>
        <v/>
      </c>
      <c r="T2967">
        <f>IF(C2967,(Skills!G2*N2967*B2998)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IF(C2967,(Skills!G2*N2967*B2998)*IF(Inputs!$B$38="pvp",1,(1+(Inputs!$B$21+Skills!Q2+(IF(ArtifactsInput!$M$33,CHOOSE(ArtifactsInput!$N$33+1,30,36,42,48,54,60),0))+(IF(AND(ArtifactsInput!$M$35,Inputs!$B$4&lt;&gt;"Chapter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Inputs!$B$3&gt;=35</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f>Skills!G3*IF(Skills!H3&gt;0,Skills!I3/Skills!H3,1)</f>
        <v/>
      </c>
      <c r="H2968">
        <f>1-(1-Skills!J3/100)^Skills!K3</f>
        <v/>
      </c>
      <c r="I2968" t="inlineStr">
        <is>
          <t>1</t>
        </is>
      </c>
      <c r="J2968">
        <f>((Inputs!$B$6*(1+Inputs!$B$7/100))+(((Inputs!$B$12*(1+Inputs!$B$13/100))-(Inputs!$B$12*(1+Inputs!$B$13/100)))+0.25*(Inputs!$B$14-Inputs!$B$14))*(1+Inputs!$B$7/100))*(F2968/100)</f>
        <v/>
      </c>
      <c r="K2968">
        <f>J2968*(1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2990=TRUE,F2990,0)/100)*(1+(IF(Skills!A3="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C2985=TRUE)*(F2985-Calc!F20)),(Inputs!$B$23+0+(IF(ArtifactsInput!$M$15,CHOOSE(ArtifactsInput!$N$15+1,25,30,35,40,45,50)/100*(Inputs!$B$11-Inputs!$B$11),0))))/100+(Inputs!$B$23+0+(IF(ArtifactsInput!$M$15,CHOOSE(ArtifactsInput!$N$15+1,25,30,35,40,45,50)/100*(Inputs!$B$11-Inputs!$B$11),0)))/100)/2</f>
        <v/>
      </c>
      <c r="M2968">
        <f>L2968*(1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(1-Summary!$B$11)*T2968+Summary!$B$11*V2968</f>
        <v/>
      </c>
      <c r="P2968">
        <f>IF(B3004=0,0,O2968/B3004)</f>
        <v/>
      </c>
      <c r="Q2968">
        <f>IFERROR(1/(IF(Inputs!$B$38="pvp",15,MAX(0.1,Skills!D3-IF(TRUE=TRUE,1.5,0)))*(1-IF(AND(ArtifactsInput!$M$27,Inputs!$B$4="Chapter Hunt"),CHOOSE(ArtifactsInput!$N$27+1,20,24,28,32,36,40),0)/100)),0)</f>
        <v/>
      </c>
      <c r="R2968">
        <f>IF(AND(Inputs!$B$38&lt;&gt;"pvp",Inputs!$B$43&gt;0),IF(MAX(0,Inputs!$B$43-B3001)&lt;=0,0,(INT(MAX(0,Inputs!$B$43-B3001)/(IF(Inputs!$B$38="pvp",15,MAX(0.1,Skills!D3-IF(TRUE=TRUE,1.5,0)))*(1-IF(AND(ArtifactsInput!$M$27,Inputs!$B$4="Chapter Hunt"),CHOOSE(ArtifactsInput!$N$27+1,20,24,28,32,36,40),0)/100)))+1)),0)</f>
        <v/>
      </c>
      <c r="S2968">
        <f>IFERROR(O2968/N2968,0)</f>
        <v/>
      </c>
      <c r="T2968">
        <f>IF(C2968,(Skills!G3*N2968*IF(C2969=TRUE,1-B3006,1)/B3005)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2968*(1-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INDEX(FactorTable!$B$2:$Y$301, MATCH(ROUND(MIN(300,MAX(1,U2967)),0), FactorTable!$A$2:$A$301,0), 22)</f>
        <v/>
      </c>
      <c r="V2968">
        <f>IF(C2968,(Skills!G3*N2968*IF(C2969=TRUE,1-B3006,1)/B3005)*IF(Inputs!$B$38="pvp",1,(1+(Inputs!$B$21+Skills!Q3+(IF(ArtifactsInput!$M$33,CHOOSE(ArtifactsInput!$N$33+1,30,36,42,48,54,60),0))+(IF(AND(ArtifactsInput!$M$35,Inputs!$B$4&lt;&gt;"Chapter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Skills!A4</f>
        <v/>
      </c>
      <c r="B2969">
        <f>Skills!B4</f>
        <v/>
      </c>
      <c r="C2969">
        <f>Inputs!$B$3&gt;=69</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f>Skills!G4*IF(Skills!H4&gt;0,Skills!I4/Skills!H4,1)</f>
        <v/>
      </c>
      <c r="H2969">
        <f>1-(1-Skills!J4/100)^Skills!K4</f>
        <v/>
      </c>
      <c r="I2969" t="inlineStr">
        <is>
          <t>1</t>
        </is>
      </c>
      <c r="J2969">
        <f>((Inputs!$B$6*(1+Inputs!$B$7/100))+(((Inputs!$B$12*(1+Inputs!$B$13/100))-(Inputs!$B$12*(1+Inputs!$B$13/100)))+0.25*(Inputs!$B$14-Inputs!$B$14))*(1+Inputs!$B$7/100))*(F2969/100)</f>
        <v/>
      </c>
      <c r="K2969">
        <f>J2969*(1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2977=TRUE,F2977,0)/100)*(1+(IF(Skills!A4="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2969)</f>
        <v/>
      </c>
      <c r="L2969">
        <f>K2969*(MIN(Inputs!$B$22+((C2985=TRUE)*(F2985-Calc!F20)),(Inputs!$B$23+0+(IF(ArtifactsInput!$M$15,CHOOSE(ArtifactsInput!$N$15+1,25,30,35,40,45,50)/100*(Inputs!$B$11-Inputs!$B$11),0))))/100+(Inputs!$B$23+0+(IF(ArtifactsInput!$M$15,CHOOSE(ArtifactsInput!$N$15+1,25,30,35,40,45,50)/100*(Inputs!$B$11-Inputs!$B$11),0)))/100)/2</f>
        <v/>
      </c>
      <c r="M2969">
        <f>L2969*(1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9">
        <f>L2969*(1-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2969*(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9">
        <f>(1-Summary!$B$11)*T2969+Summary!$B$11*V2969</f>
        <v/>
      </c>
      <c r="P2969">
        <f>IF(B3004=0,0,O2969/B3004)</f>
        <v/>
      </c>
      <c r="Q2969" t="n">
        <v>0</v>
      </c>
      <c r="R2969" t="n">
        <v>0</v>
      </c>
      <c r="S2969">
        <f>IFERROR(O2969/N2969,0)</f>
        <v/>
      </c>
      <c r="T2969">
        <f>IF(C2969,(Skills!G4*N2969*B3006/B3005)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2969*(1-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2969*(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2969*(1-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2969*(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9">
        <f>290*U2968/1000</f>
        <v/>
      </c>
      <c r="V2969">
        <f>IF(C2969,(Skills!G4*N2969*B3006/B3005)*IF(Inputs!$B$38="pvp",1,(1+(Inputs!$B$21+Skills!Q4+(IF(ArtifactsInput!$M$33,CHOOSE(ArtifactsInput!$N$33+1,30,36,42,48,54,60),0))+(IF(AND(ArtifactsInput!$M$35,Inputs!$B$4&lt;&gt;"Chapter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0">
      <c r="A2970">
        <f>Skills!A5</f>
        <v/>
      </c>
      <c r="B2970">
        <f>Skills!B5</f>
        <v/>
      </c>
      <c r="C2970">
        <f>Inputs!$B$3&gt;=66</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t="inlineStr"/>
      <c r="K2970" t="inlineStr"/>
      <c r="L2970" t="inlineStr"/>
      <c r="M2970" t="inlineStr"/>
      <c r="N2970" t="inlineStr"/>
      <c r="O2970">
        <f>(1-Summary!$B$11)*T2970+Summary!$B$11*V2970</f>
        <v/>
      </c>
      <c r="P2970">
        <f>IF(B3004=0,0,O2970/B3004)</f>
        <v/>
      </c>
      <c r="Q2970" t="n">
        <v>0</v>
      </c>
      <c r="R2970" t="n">
        <v>0</v>
      </c>
      <c r="S2970">
        <f>IFERROR(O2970/N2970,0)</f>
        <v/>
      </c>
      <c r="T2970" t="n">
        <v>0</v>
      </c>
      <c r="V2970" t="n">
        <v>0</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2977=TRUE,F2977,0)/100)*(1+(IF(Skills!A6="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2985=TRUE)*(F2985-Calc!F20)),(Inputs!$B$23+0+(IF(ArtifactsInput!$M$15,CHOOSE(ArtifactsInput!$N$15+1,25,30,35,40,45,50)/100*(Inputs!$B$11-Inputs!$B$11),0))))/100+(Inputs!$B$23+0+(IF(ArtifactsInput!$M$15,CHOOSE(ArtifactsInput!$N$15+1,25,30,35,40,45,50)/100*(Inputs!$B$11-Inputs!$B$11),0)))/100)/2</f>
        <v/>
      </c>
      <c r="M2971">
        <f>L2971*(1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IF(B3004=0,0,O2971/B3004)</f>
        <v/>
      </c>
      <c r="Q2971">
        <f>IFERROR(1/(IF(Inputs!$B$38="pvp",15,MAX(0.1,Skills!D6-IF(TRUE=TRUE,1.5,0)))*(1-IF(AND(ArtifactsInput!$M$27,Inputs!$B$4="Chapter Hunt"),CHOOSE(ArtifactsInput!$N$27+1,20,24,28,32,36,40),0)/100)),0)</f>
        <v/>
      </c>
      <c r="R2971">
        <f>IF(AND(Inputs!$B$38&lt;&gt;"pvp",Inputs!$B$43&gt;0),IF(MAX(0,Inputs!$B$43-B3001)&lt;=0,0,(INT(MAX(0,Inputs!$B$43-B3001)/(IF(Inputs!$B$38="pvp",15,MAX(0.1,Skills!D6-IF(TRUE=TRUE,1.5,0)))*(1-IF(AND(ArtifactsInput!$M$27,Inputs!$B$4="Chapter Hunt"),CHOOSE(ArtifactsInput!$N$27+1,20,24,28,32,36,40),0)/100)))+1)),0)</f>
        <v/>
      </c>
      <c r="S2971">
        <f>IFERROR(O2971/N2971,0)</f>
        <v/>
      </c>
      <c r="T2971">
        <f>IF(C2971,(H2971*N2971*IF(AND(Inputs!$B$38&lt;&gt;"pvp",Inputs!$B$43&gt;0),((Skills!G6*((R2971-1)*IF(Skills!H6&gt;0,Skills!I6/Skills!H6,1)+IF(Skills!H6&gt;0,MIN(Skills!I6,MAX(0,MAX(0,Inputs!$B$43-B3001)-((R2971-1)*(IF(Inputs!$B$38="pvp",15,MAX(0.1,Skills!D6-IF(TRUE=TRUE,1.5,0)))*(1-IF(AND(ArtifactsInput!$M$27,Inputs!$B$4="Chapter Hunt"),CHOOSE(ArtifactsInput!$N$27+1,20,24,28,32,36,40),0)/100)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3001)-((R2971-1)*(IF(Inputs!$B$38="pvp",15,MAX(0.1,Skills!D6-IF(TRUE=TRUE,1.5,0)))*(1-IF(AND(ArtifactsInput!$M$27,Inputs!$B$4="Chapter Hunt"),CHOOSE(ArtifactsInput!$N$27+1,20,24,28,32,36,40),0)/100)))))/Skills!H6,1)))/Inputs!$B$43),G2971*Q2971))*IF(Inputs!$B$38="pvp",1,(1+(Inputs!$B$21+Skills!Q6+(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Inputs!$B$3&gt;=103</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2985=TRUE)*(F2985-Calc!F20)),(Inputs!$B$23+0+(IF(ArtifactsInput!$M$15,CHOOSE(ArtifactsInput!$N$15+1,25,30,35,40,45,50)/100*(Inputs!$B$11-Inputs!$B$11),0))))/100+(Inputs!$B$23+0+(IF(ArtifactsInput!$M$15,CHOOSE(ArtifactsInput!$N$15+1,25,30,35,40,45,50)/100*(Inputs!$B$11-Inputs!$B$11),0)))/100)/2</f>
        <v/>
      </c>
      <c r="M2972">
        <f>L2972*(1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IF(B3004=0,0,O2972/B3004)</f>
        <v/>
      </c>
      <c r="Q2972">
        <f>IFERROR(1/(IF(Inputs!$B$38="pvp",15,MAX(0.1,Skills!D7-IF(TRUE=TRUE,1.5,0)))*(1-IF(AND(ArtifactsInput!$M$27,Inputs!$B$4="Chapter Hunt"),CHOOSE(ArtifactsInput!$N$27+1,20,24,28,32,36,40),0)/100)),0)</f>
        <v/>
      </c>
      <c r="R2972">
        <f>IF(AND(Inputs!$B$38&lt;&gt;"pvp",Inputs!$B$43&gt;0),IF(MAX(0,Inputs!$B$43-B3001)&lt;=0,0,(INT(MAX(0,Inputs!$B$43-B3001)/(IF(Inputs!$B$38="pvp",15,MAX(0.1,Skills!D7-IF(TRUE=TRUE,1.5,0)))*(1-IF(AND(ArtifactsInput!$M$27,Inputs!$B$4="Chapter Hunt"),CHOOSE(ArtifactsInput!$N$27+1,20,24,28,32,36,40),0)/100)))+1)),0)</f>
        <v/>
      </c>
      <c r="S2972">
        <f>IFERROR(O2972/N2972,0)</f>
        <v/>
      </c>
      <c r="T2972">
        <f>IF(C2972,(H2972*N2972*IF(AND(Inputs!$B$38&lt;&gt;"pvp",Inputs!$B$43&gt;0),((Skills!G7*((R2972-1)*IF(Skills!H7&gt;0,Skills!I7/Skills!H7,1)+IF(Skills!H7&gt;0,MIN(Skills!I7,MAX(0,MAX(0,Inputs!$B$43-B3001)-((R2972-1)*(IF(Inputs!$B$38="pvp",15,MAX(0.1,Skills!D7-IF(TRUE=TRUE,1.5,0)))*(1-IF(AND(ArtifactsInput!$M$27,Inputs!$B$4="Chapter Hunt"),CHOOSE(ArtifactsInput!$N$27+1,20,24,28,32,36,40),0)/100)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3001)-((R2972-1)*(IF(Inputs!$B$38="pvp",15,MAX(0.1,Skills!D7-IF(TRUE=TRUE,1.5,0)))*(1-IF(AND(ArtifactsInput!$M$27,Inputs!$B$4="Chapter Hunt"),CHOOSE(ArtifactsInput!$N$27+1,20,24,28,32,36,40),0)/100)))))/Skills!H7,1)))/Inputs!$B$43),G2972*Q2972))*IF(Inputs!$B$38="pvp",1,(1+(Inputs!$B$21+Skills!Q7+(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Inputs!$B$3&gt;=117</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f>Skills!G8*IF(Skills!H8&gt;0,Skills!I8/Skills!H8,1)</f>
        <v/>
      </c>
      <c r="H2973">
        <f>1-(1-Skills!J8/100)^Skills!K8</f>
        <v/>
      </c>
      <c r="I2973" t="inlineStr">
        <is>
          <t>1</t>
        </is>
      </c>
      <c r="J2973">
        <f>((Inputs!$B$6*(1+Inputs!$B$7/100))+(((Inputs!$B$12*(1+Inputs!$B$13/100))-(Inputs!$B$12*(1+Inputs!$B$13/100)))+0.25*(Inputs!$B$14-Inputs!$B$14))*(1+Inputs!$B$7/100))*(F2973/100)</f>
        <v/>
      </c>
      <c r="K2973">
        <f>J2973*(1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2973)</f>
        <v/>
      </c>
      <c r="L2973">
        <f>K2973*(MIN(Inputs!$B$22+((C2985=TRUE)*(F2985-Calc!F20)),(Inputs!$B$23+0+(IF(ArtifactsInput!$M$15,CHOOSE(ArtifactsInput!$N$15+1,25,30,35,40,45,50)/100*(Inputs!$B$11-Inputs!$B$11),0))))/100+(Inputs!$B$23+0+(IF(ArtifactsInput!$M$15,CHOOSE(ArtifactsInput!$N$15+1,25,30,35,40,45,50)/100*(Inputs!$B$11-Inputs!$B$11),0)))/100)/2</f>
        <v/>
      </c>
      <c r="M2973">
        <f>L2973*(1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3">
        <f>L2973*(1-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2973*(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3">
        <f>(1-Summary!$B$11)*T2973+Summary!$B$11*V2973</f>
        <v/>
      </c>
      <c r="P2973">
        <f>IF(B3004=0,0,O2973/B3004)</f>
        <v/>
      </c>
      <c r="Q2973">
        <f>IFERROR(1/(IF(Inputs!$B$38="pvp",15,MAX(0.1,Skills!D8-IF(TRUE=TRUE,1.5,0)))*(1-IF(AND(ArtifactsInput!$M$27,Inputs!$B$4="Chapter Hunt"),CHOOSE(ArtifactsInput!$N$27+1,20,24,28,32,36,40),0)/100)),0)</f>
        <v/>
      </c>
      <c r="R2973">
        <f>IF(AND(Inputs!$B$38&lt;&gt;"pvp",Inputs!$B$43&gt;0),IF(MAX(0,Inputs!$B$43-B3001)&lt;=0,0,(INT(MAX(0,Inputs!$B$43-B3001)/(IF(Inputs!$B$38="pvp",15,MAX(0.1,Skills!D8-IF(TRUE=TRUE,1.5,0)))*(1-IF(AND(ArtifactsInput!$M$27,Inputs!$B$4="Chapter Hunt"),CHOOSE(ArtifactsInput!$N$27+1,20,24,28,32,36,40),0)/100)))+1)),0)</f>
        <v/>
      </c>
      <c r="S2973">
        <f>IFERROR(O2973/N2973,0)</f>
        <v/>
      </c>
      <c r="T2973">
        <f>IF(C2973,(H2973*N2973*IF(AND(Inputs!$B$38&lt;&gt;"pvp",Inputs!$B$43&gt;0),((Skills!G8*((R2973-1)*IF(Skills!H8&gt;0,Skills!I8/Skills!H8,1)+IF(Skills!H8&gt;0,MIN(Skills!I8,MAX(0,MAX(0,Inputs!$B$43-B3001)-((R2973-1)*(IF(Inputs!$B$38="pvp",15,MAX(0.1,Skills!D8-IF(TRUE=TRUE,1.5,0)))*(1-IF(AND(ArtifactsInput!$M$27,Inputs!$B$4="Chapter Hunt"),CHOOSE(ArtifactsInput!$N$27+1,20,24,28,32,36,40),0)/100)))))/Skills!H8,1)))/Inputs!$B$43),G2973*Q2973)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2973*(1-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2973*(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2973*(1-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2973*(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3">
        <f>IF(C2973,(H2973*N2973*IF(AND(Inputs!$B$38&lt;&gt;"pvp",Inputs!$B$43&gt;0),((Skills!G8*((R2973-1)*IF(Skills!H8&gt;0,Skills!I8/Skills!H8,1)+IF(Skills!H8&gt;0,MIN(Skills!I8,MAX(0,MAX(0,Inputs!$B$43-B3001)-((R2973-1)*(IF(Inputs!$B$38="pvp",15,MAX(0.1,Skills!D8-IF(TRUE=TRUE,1.5,0)))*(1-IF(AND(ArtifactsInput!$M$27,Inputs!$B$4="Chapter Hunt"),CHOOSE(ArtifactsInput!$N$27+1,20,24,28,32,36,40),0)/100)))))/Skills!H8,1)))/Inputs!$B$43),G2973*Q2973))*IF(Inputs!$B$38="pvp",1,(1+(Inputs!$B$21+Skills!Q8+(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f>Skills!A9</f>
        <v/>
      </c>
      <c r="B2974">
        <f>Skills!B9</f>
        <v/>
      </c>
      <c r="C2974">
        <f>Inputs!$B$3&gt;=120</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B3006</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2985=TRUE)*(F2985-Calc!F20)),(Inputs!$B$23+0+(IF(ArtifactsInput!$M$15,CHOOSE(ArtifactsInput!$N$15+1,25,30,35,40,45,50)/100*(Inputs!$B$11-Inputs!$B$11),0))))/100+(Inputs!$B$23+0+(IF(ArtifactsInput!$M$15,CHOOSE(ArtifactsInput!$N$15+1,25,30,35,40,45,50)/100*(Inputs!$B$11-Inputs!$B$11),0)))/100)/2</f>
        <v/>
      </c>
      <c r="M2974">
        <f>L2974*(1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IF(B3004=0,0,O2974/B3004)</f>
        <v/>
      </c>
      <c r="Q2974">
        <f>IFERROR(1/(IF(Inputs!$B$38="pvp",15,MAX(0.1,Skills!D9-IF(TRUE=TRUE,1.5,0)))*(1-IF(AND(ArtifactsInput!$M$27,Inputs!$B$4="Chapter Hunt"),CHOOSE(ArtifactsInput!$N$27+1,20,24,28,32,36,40),0)/100)),0)</f>
        <v/>
      </c>
      <c r="R2974">
        <f>IF(AND(Inputs!$B$38&lt;&gt;"pvp",Inputs!$B$43&gt;0),IF(MAX(0,Inputs!$B$43-B3001)&lt;=0,0,(INT(MAX(0,Inputs!$B$43-B3001)/(IF(Inputs!$B$38="pvp",15,MAX(0.1,Skills!D9-IF(TRUE=TRUE,1.5,0)))*(1-IF(AND(ArtifactsInput!$M$27,Inputs!$B$4="Chapter Hunt"),CHOOSE(ArtifactsInput!$N$27+1,20,24,28,32,36,40),0)/100)))+1)),0)</f>
        <v/>
      </c>
      <c r="S2974">
        <f>IFERROR(O2974/N2974,0)</f>
        <v/>
      </c>
      <c r="T2974">
        <f>IF(C2974,(H2974*N2974*IF(AND(Inputs!$B$38&lt;&gt;"pvp",Inputs!$B$43&gt;0),((Skills!G9*((R2974-1)*IF(Skills!H9&gt;0,Skills!I9/Skills!H9,1)+IF(Skills!H9&gt;0,MIN(Skills!I9,MAX(0,MAX(0,Inputs!$B$43-B3001)-((R2974-1)*(IF(Inputs!$B$38="pvp",15,MAX(0.1,Skills!D9-IF(TRUE=TRUE,1.5,0)))*(1-IF(AND(ArtifactsInput!$M$27,Inputs!$B$4="Chapter Hunt"),CHOOSE(ArtifactsInput!$N$27+1,20,24,28,32,36,40),0)/100)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3001)-((R2974-1)*(IF(Inputs!$B$38="pvp",15,MAX(0.1,Skills!D9-IF(TRUE=TRUE,1.5,0)))*(1-IF(AND(ArtifactsInput!$M$27,Inputs!$B$4="Chapter Hunt"),CHOOSE(ArtifactsInput!$N$27+1,20,24,28,32,36,40),0)/100)))))/Skills!H9,1)))/Inputs!$B$43),G2974*Q2974))*IF(Inputs!$B$38="pvp",1,(1+(Inputs!$B$21+Skills!Q9+(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Inputs!$B$3&gt;=105</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2985=TRUE)*(F2985-Calc!F20)),(Inputs!$B$23+0+(IF(ArtifactsInput!$M$15,CHOOSE(ArtifactsInput!$N$15+1,25,30,35,40,45,50)/100*(Inputs!$B$11-Inputs!$B$11),0))))/100+(Inputs!$B$23+0+(IF(ArtifactsInput!$M$15,CHOOSE(ArtifactsInput!$N$15+1,25,30,35,40,45,50)/100*(Inputs!$B$11-Inputs!$B$11),0)))/100)/2</f>
        <v/>
      </c>
      <c r="M2975">
        <f>L2975*(1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IF(B3004=0,0,O2975/B3004)</f>
        <v/>
      </c>
      <c r="Q2975">
        <f>IFERROR(1/(IF(Inputs!$B$38="pvp",15,MAX(0.1,Skills!D10-IF(TRUE=TRUE,1.5,0)))*(1-IF(AND(ArtifactsInput!$M$27,Inputs!$B$4="Chapter Hunt"),CHOOSE(ArtifactsInput!$N$27+1,20,24,28,32,36,40),0)/100)),0)</f>
        <v/>
      </c>
      <c r="R2975">
        <f>IF(AND(Inputs!$B$38&lt;&gt;"pvp",Inputs!$B$43&gt;0),IF(MAX(0,Inputs!$B$43-B3001)&lt;=0,0,(INT(MAX(0,Inputs!$B$43-B3001)/(IF(Inputs!$B$38="pvp",15,MAX(0.1,Skills!D10-IF(TRUE=TRUE,1.5,0)))*(1-IF(AND(ArtifactsInput!$M$27,Inputs!$B$4="Chapter Hunt"),CHOOSE(ArtifactsInput!$N$27+1,20,24,28,32,36,40),0)/100)))+1)),0)</f>
        <v/>
      </c>
      <c r="S2975">
        <f>IFERROR(O2975/N2975,0)</f>
        <v/>
      </c>
      <c r="T2975">
        <f>IF(C2975,(H2975*N2975*IF(AND(Inputs!$B$38&lt;&gt;"pvp",Inputs!$B$43&gt;0),((Skills!G10*((R2975-1)*IF(Skills!H10&gt;0,Skills!I10/Skills!H10,1)+IF(Skills!H10&gt;0,MIN(Skills!I10,MAX(0,MAX(0,Inputs!$B$43-B3001)-((R2975-1)*(IF(Inputs!$B$38="pvp",15,MAX(0.1,Skills!D10-IF(TRUE=TRUE,1.5,0)))*(1-IF(AND(ArtifactsInput!$M$27,Inputs!$B$4="Chapter Hunt"),CHOOSE(ArtifactsInput!$N$27+1,20,24,28,32,36,40),0)/100)))))/Skills!H10,1)))/Inputs!$B$43),G2975*Q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H2975*N2975*IF(AND(Inputs!$B$38&lt;&gt;"pvp",Inputs!$B$43&gt;0),((Skills!G10*((R2975-1)*IF(Skills!H10&gt;0,Skills!I10/Skills!H10,1)+IF(Skills!H10&gt;0,MIN(Skills!I10,MAX(0,MAX(0,Inputs!$B$43-B3001)-((R2975-1)*(IF(Inputs!$B$38="pvp",15,MAX(0.1,Skills!D10-IF(TRUE=TRUE,1.5,0)))*(1-IF(AND(ArtifactsInput!$M$27,Inputs!$B$4="Chapter Hunt"),CHOOSE(ArtifactsInput!$N$27+1,20,24,28,32,36,40),0)/100)))))/Skills!H10,1)))/Inputs!$B$43),G2975*Q2975))*IF(Inputs!$B$38="pvp",1,(1+(Inputs!$B$21+Skills!Q10+(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Inputs!$B$3&gt;=113</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2985=TRUE)*(F2985-Calc!F20)),(Inputs!$B$23+0+(IF(ArtifactsInput!$M$15,CHOOSE(ArtifactsInput!$N$15+1,25,30,35,40,45,50)/100*(Inputs!$B$11-Inputs!$B$11),0))))/100+(Inputs!$B$23+0+(IF(ArtifactsInput!$M$15,CHOOSE(ArtifactsInput!$N$15+1,25,30,35,40,45,50)/100*(Inputs!$B$11-Inputs!$B$11),0)))/100)/2</f>
        <v/>
      </c>
      <c r="M2976">
        <f>L2976*(1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IF(B3004=0,0,O2976/B3004)</f>
        <v/>
      </c>
      <c r="Q2976" t="n">
        <v>0</v>
      </c>
      <c r="R2976" t="n">
        <v>0</v>
      </c>
      <c r="S2976">
        <f>IFERROR(O2976/N2976,0)</f>
        <v/>
      </c>
      <c r="T2976">
        <f>IF(C2976,((H2976*B3007)/(1+Skills!H11*H2976*B3007)*N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IF(C2976,((H2976*B3007)/(1+Skills!H11*H2976*B3007)*N2976)*IF(Inputs!$B$38="pvp",1,(1+(Inputs!$B$21+Skills!Q11+(IF(ArtifactsInput!$M$33,CHOOSE(ArtifactsInput!$N$33+1,30,36,42,48,54,60),0))+(IF(AND(ArtifactsInput!$M$35,Inputs!$B$4&lt;&gt;"Chapter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Inputs!$B$3&gt;=100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t="inlineStr"/>
      <c r="H2977" t="inlineStr"/>
      <c r="I2977" t="inlineStr">
        <is>
          <t>1</t>
        </is>
      </c>
      <c r="J2977" t="inlineStr"/>
      <c r="K2977" t="inlineStr"/>
      <c r="L2977" t="inlineStr"/>
      <c r="M2977" t="inlineStr"/>
      <c r="N2977" t="inlineStr"/>
      <c r="O2977" t="inlineStr"/>
      <c r="P2977" t="inlineStr"/>
      <c r="Q2977" t="inlineStr"/>
      <c r="R2977" t="inlineStr"/>
      <c r="S2977" t="inlineStr"/>
      <c r="T2977" t="inlineStr"/>
      <c r="V2977" t="inlineStr"/>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IF(B3004=0,0,O2978/B3004)</f>
        <v/>
      </c>
      <c r="Q2978" t="n">
        <v>0</v>
      </c>
      <c r="R2978" t="n">
        <v>0</v>
      </c>
      <c r="S2978">
        <f>IFERROR(O2978/N2978,0)</f>
        <v/>
      </c>
      <c r="T2978" t="n">
        <v>0</v>
      </c>
      <c r="V2978" t="n">
        <v>0</v>
      </c>
    </row>
    <row r="2979">
      <c r="A2979">
        <f>Skills!A14</f>
        <v/>
      </c>
      <c r="B2979">
        <f>Skills!B14</f>
        <v/>
      </c>
      <c r="C2979">
        <f>Inputs!$B$3&gt;=115</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IF(B3004=0,0,O2979/B3004)</f>
        <v/>
      </c>
      <c r="Q2979">
        <f>IFERROR(1/(IF(Inputs!$B$38="pvp",15,MAX(0.1,Skills!D14-IF(TRUE=TRUE,1.5,0)))*(1-IF(AND(ArtifactsInput!$M$27,Inputs!$B$4="Chapter Hunt"),CHOOSE(ArtifactsInput!$N$27+1,20,24,28,32,36,40),0)/100)),0)</f>
        <v/>
      </c>
      <c r="R2979">
        <f>IF(AND(Inputs!$B$38&lt;&gt;"pvp",Inputs!$B$43&gt;0),IF(Inputs!$B$43&lt;=0,0,(INT(Inputs!$B$43/(IF(Inputs!$B$38="pvp",15,MAX(0.1,Skills!D14-IF(TRUE=TRUE,1.5,0)))*(1-IF(AND(ArtifactsInput!$M$27,Inputs!$B$4="Chapter Hunt"),CHOOSE(ArtifactsInput!$N$27+1,20,24,28,32,36,40),0)/100)))+1)),0)</f>
        <v/>
      </c>
      <c r="S2979">
        <f>IFERROR(O2979/N2979,0)</f>
        <v/>
      </c>
      <c r="T2979" t="n">
        <v>0</v>
      </c>
      <c r="V2979" t="n">
        <v>0</v>
      </c>
    </row>
    <row r="2980">
      <c r="A2980">
        <f>Skills!A15</f>
        <v/>
      </c>
      <c r="B2980">
        <f>Skills!B15</f>
        <v/>
      </c>
      <c r="C2980">
        <f>Inputs!$B$3&gt;=125</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IF(B3004=0,0,O2980/B3004)</f>
        <v/>
      </c>
      <c r="Q2980">
        <f>IFERROR(1/(IF(Inputs!$B$38="pvp",15,MAX(0.1,Skills!D15-IF(TRUE=TRUE,1.5,0)))*(1-IF(AND(ArtifactsInput!$M$27,Inputs!$B$4="Chapter Hunt"),CHOOSE(ArtifactsInput!$N$27+1,20,24,28,32,36,40),0)/100)),0)</f>
        <v/>
      </c>
      <c r="R2980">
        <f>IF(AND(Inputs!$B$38&lt;&gt;"pvp",Inputs!$B$43&gt;0),IF(Inputs!$B$43&lt;=0,0,(INT(Inputs!$B$43/(IF(Inputs!$B$38="pvp",15,MAX(0.1,Skills!D15-IF(TRUE=TRUE,1.5,0)))*(1-IF(AND(ArtifactsInput!$M$27,Inputs!$B$4="Chapter Hunt"),CHOOSE(ArtifactsInput!$N$27+1,20,24,28,32,36,40),0)/100)))+1)),0)</f>
        <v/>
      </c>
      <c r="S2980">
        <f>IFERROR(O2980/N2980,0)</f>
        <v/>
      </c>
      <c r="T2980" t="n">
        <v>0</v>
      </c>
      <c r="V2980" t="n">
        <v>0</v>
      </c>
    </row>
    <row r="2981">
      <c r="A2981">
        <f>Skills!A16</f>
        <v/>
      </c>
      <c r="B2981">
        <f>Skills!B16</f>
        <v/>
      </c>
      <c r="C2981">
        <f>Inputs!$B$3&gt;=10</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IF(B3004=0,0,O2981/B3004)</f>
        <v/>
      </c>
      <c r="Q2981" t="n">
        <v>0</v>
      </c>
      <c r="R2981" t="n">
        <v>0</v>
      </c>
      <c r="S2981">
        <f>IFERROR(O2981/N2981,0)</f>
        <v/>
      </c>
      <c r="T2981" t="n">
        <v>0</v>
      </c>
      <c r="V2981" t="n">
        <v>0</v>
      </c>
    </row>
    <row r="2982">
      <c r="A2982">
        <f>Skills!A17</f>
        <v/>
      </c>
      <c r="B2982">
        <f>Skills!B17</f>
        <v/>
      </c>
      <c r="C2982">
        <f>Inputs!$B$3&gt;=15</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IF(B3004=0,0,O2982/B3004)</f>
        <v/>
      </c>
      <c r="Q2982" t="n">
        <v>0</v>
      </c>
      <c r="R2982" t="n">
        <v>0</v>
      </c>
      <c r="S2982">
        <f>IFERROR(O2982/N2982,0)</f>
        <v/>
      </c>
      <c r="T2982" t="n">
        <v>0</v>
      </c>
      <c r="V2982" t="n">
        <v>0</v>
      </c>
    </row>
    <row r="2983">
      <c r="A2983">
        <f>Skills!A18</f>
        <v/>
      </c>
      <c r="B2983">
        <f>Skills!B18</f>
        <v/>
      </c>
      <c r="C2983">
        <f>Inputs!$B$3&gt;=33</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IF(B3004=0,0,O2983/B3004)</f>
        <v/>
      </c>
      <c r="Q2983" t="n">
        <v>0</v>
      </c>
      <c r="R2983" t="n">
        <v>0</v>
      </c>
      <c r="S2983">
        <f>IFERROR(O2983/N2983,0)</f>
        <v/>
      </c>
      <c r="T2983" t="n">
        <v>0</v>
      </c>
      <c r="V2983" t="n">
        <v>0</v>
      </c>
    </row>
    <row r="2984">
      <c r="A2984">
        <f>Skills!A19</f>
        <v/>
      </c>
      <c r="B2984">
        <f>Skills!B19</f>
        <v/>
      </c>
      <c r="C2984">
        <f>Inputs!$B$3&gt;=40</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IF(B3004=0,0,O2984/B3004)</f>
        <v/>
      </c>
      <c r="Q2984" t="n">
        <v>0</v>
      </c>
      <c r="R2984" t="n">
        <v>0</v>
      </c>
      <c r="S2984">
        <f>IFERROR(O2984/N2984,0)</f>
        <v/>
      </c>
      <c r="T2984" t="n">
        <v>0</v>
      </c>
      <c r="V2984" t="n">
        <v>0</v>
      </c>
    </row>
    <row r="2985">
      <c r="A2985">
        <f>Skills!A20</f>
        <v/>
      </c>
      <c r="B2985">
        <f>Skills!B20</f>
        <v/>
      </c>
      <c r="C2985">
        <f>Inputs!$B$3&gt;=43</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IF(B3004=0,0,O2985/B3004)</f>
        <v/>
      </c>
      <c r="Q2985" t="n">
        <v>0</v>
      </c>
      <c r="R2985" t="n">
        <v>0</v>
      </c>
      <c r="S2985">
        <f>IFERROR(O2985/N2985,0)</f>
        <v/>
      </c>
      <c r="T2985" t="n">
        <v>0</v>
      </c>
      <c r="V2985" t="n">
        <v>0</v>
      </c>
    </row>
    <row r="2986">
      <c r="A2986">
        <f>Skills!A21</f>
        <v/>
      </c>
      <c r="B2986">
        <f>Skills!B21</f>
        <v/>
      </c>
      <c r="C2986">
        <f>Inputs!$B$3&gt;=38</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IF(B3004=0,0,O2986/B3004)</f>
        <v/>
      </c>
      <c r="Q2986" t="n">
        <v>0</v>
      </c>
      <c r="R2986" t="n">
        <v>0</v>
      </c>
      <c r="S2986">
        <f>IFERROR(O2986/N2986,0)</f>
        <v/>
      </c>
      <c r="T2986" t="n">
        <v>0</v>
      </c>
      <c r="V2986" t="n">
        <v>0</v>
      </c>
    </row>
    <row r="2987">
      <c r="A2987">
        <f>Skills!A22</f>
        <v/>
      </c>
      <c r="B2987">
        <f>Skills!B22</f>
        <v/>
      </c>
      <c r="C2987">
        <f>Inputs!$B$3&gt;=75</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IF(B3004=0,0,O2987/B3004)</f>
        <v/>
      </c>
      <c r="Q2987" t="n">
        <v>0</v>
      </c>
      <c r="R2987" t="n">
        <v>0</v>
      </c>
      <c r="S2987">
        <f>IFERROR(O2987/N2987,0)</f>
        <v/>
      </c>
      <c r="T2987" t="n">
        <v>0</v>
      </c>
      <c r="V2987" t="n">
        <v>0</v>
      </c>
    </row>
    <row r="2988">
      <c r="A2988">
        <f>Skills!A23</f>
        <v/>
      </c>
      <c r="B2988">
        <f>Skills!B23</f>
        <v/>
      </c>
      <c r="C2988">
        <f>TRUE</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IF(B3004=0,0,O2988/B3004)</f>
        <v/>
      </c>
      <c r="Q2988">
        <f>IFERROR(1/(IF(Inputs!$B$38="pvp",15,MAX(0.1,Skills!D23-IF(TRUE=TRUE,1.5,0)))*(1-IF(AND(ArtifactsInput!$M$27,Inputs!$B$4="Chapter Hunt"),CHOOSE(ArtifactsInput!$N$27+1,20,24,28,32,36,40),0)/100)),0)</f>
        <v/>
      </c>
      <c r="R2988">
        <f>IF(AND(Inputs!$B$38&lt;&gt;"pvp",Inputs!$B$43&gt;0),IF(Inputs!$B$43&lt;=0,0,(INT(Inputs!$B$43/(IF(Inputs!$B$38="pvp",15,MAX(0.1,Skills!D23-IF(TRUE=TRUE,1.5,0)))*(1-IF(AND(ArtifactsInput!$M$27,Inputs!$B$4="Chapter Hunt"),CHOOSE(ArtifactsInput!$N$27+1,20,24,28,32,36,40),0)/100)))+1)),0)</f>
        <v/>
      </c>
      <c r="S2988">
        <f>IFERROR(O2988/N2988,0)</f>
        <v/>
      </c>
      <c r="T2988" t="n">
        <v>0</v>
      </c>
      <c r="V2988" t="n">
        <v>0</v>
      </c>
    </row>
    <row r="2989">
      <c r="A2989">
        <f>Skills!A24</f>
        <v/>
      </c>
      <c r="B2989">
        <f>Skills!B24</f>
        <v/>
      </c>
      <c r="C2989">
        <f>Inputs!$B$3&gt;=107</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IF(B3004=0,0,O2989/B3004)</f>
        <v/>
      </c>
      <c r="Q2989">
        <f>IFERROR(1/(IF(Inputs!$B$38="pvp",15,MAX(0.1,Skills!D24-IF(TRUE=TRUE,1.5,0)))*(1-IF(AND(ArtifactsInput!$M$27,Inputs!$B$4="Chapter Hunt"),CHOOSE(ArtifactsInput!$N$27+1,20,24,28,32,36,40),0)/100)),0)</f>
        <v/>
      </c>
      <c r="R2989">
        <f>IF(AND(Inputs!$B$38&lt;&gt;"pvp",Inputs!$B$43&gt;0),IF(Inputs!$B$43&lt;=0,0,(INT(Inputs!$B$43/(IF(Inputs!$B$38="pvp",15,MAX(0.1,Skills!D24-IF(TRUE=TRUE,1.5,0)))*(1-IF(AND(ArtifactsInput!$M$27,Inputs!$B$4="Chapter Hunt"),CHOOSE(ArtifactsInput!$N$27+1,20,24,28,32,36,40),0)/100)))+1)),0)</f>
        <v/>
      </c>
      <c r="S2989">
        <f>IFERROR(O2989/N2989,0)</f>
        <v/>
      </c>
      <c r="T2989" t="n">
        <v>0</v>
      </c>
      <c r="V2989" t="n">
        <v>0</v>
      </c>
    </row>
    <row r="2990">
      <c r="A2990">
        <f>Skills!A25</f>
        <v/>
      </c>
      <c r="B2990">
        <f>Skills!B25</f>
        <v/>
      </c>
      <c r="C2990">
        <f>Inputs!$B$3&gt;=110</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t="inlineStr"/>
      <c r="H2990" t="inlineStr"/>
      <c r="I2990" t="inlineStr">
        <is>
          <t>1</t>
        </is>
      </c>
      <c r="J2990" t="inlineStr"/>
      <c r="K2990" t="inlineStr"/>
      <c r="L2990" t="inlineStr"/>
      <c r="M2990" t="inlineStr"/>
      <c r="N2990" t="inlineStr"/>
      <c r="O2990" t="inlineStr"/>
      <c r="P2990" t="inlineStr"/>
      <c r="Q2990" t="inlineStr"/>
      <c r="R2990" t="inlineStr"/>
      <c r="S2990" t="inlineStr"/>
      <c r="T2990" t="inlineStr"/>
      <c r="V2990" t="inlineStr"/>
    </row>
    <row r="2991">
      <c r="A2991">
        <f>Skills!A26</f>
        <v/>
      </c>
      <c r="B2991">
        <f>Skills!B26</f>
        <v/>
      </c>
      <c r="C2991">
        <f>Inputs!$B$3&gt;=117</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t="inlineStr"/>
      <c r="H2991" t="inlineStr"/>
      <c r="I2991" t="inlineStr">
        <is>
          <t>1</t>
        </is>
      </c>
      <c r="J2991" t="inlineStr"/>
      <c r="K2991" t="inlineStr"/>
      <c r="L2991" t="inlineStr"/>
      <c r="M2991" t="inlineStr"/>
      <c r="N2991" t="inlineStr"/>
      <c r="O2991" t="inlineStr"/>
      <c r="P2991" t="inlineStr"/>
      <c r="Q2991" t="inlineStr"/>
      <c r="R2991" t="inlineStr"/>
      <c r="S2991" t="inlineStr"/>
      <c r="T2991" t="inlineStr"/>
      <c r="V2991" t="inlineStr"/>
    </row>
    <row r="2993">
      <c r="A2993" t="inlineStr">
        <is>
          <t>Attack% Bucket Multiplier</t>
        </is>
      </c>
      <c r="B2993">
        <f>(1+(((C2978=TRUE)*F2978*5/7)+((C2984=TRUE)*(F2984-Calc!F19))+(IF(ArtifactsInput!$M$21,CHOOSE(ArtifactsInput!$N$21+1,25,30,35,40,45,50)*(IF(OR(Inputs!$B$4="Chapter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4">
      <c r="A2994" t="inlineStr">
        <is>
          <t>Global Crit Rate Bonus %</t>
        </is>
      </c>
      <c r="B2994" t="n">
        <v>0</v>
      </c>
    </row>
    <row r="2995">
      <c r="A2995" t="inlineStr">
        <is>
          <t>Attack Speed Buff Bonus % (Nimble Feet + Speed Infusion, duty-cycle averaged)</t>
        </is>
      </c>
      <c r="B2995">
        <f>((C2988=TRUE)*F2988*IF(AND(Inputs!$B$38&lt;&gt;"pvp",Inputs!$B$43&gt;0),(((R2988-1)*MIN((Skills!T23*(1+Inputs!$B$34/100)),(1/Q2988))+MIN((Skills!T23*(1+Inputs!$B$34/100)),MAX(0,Inputs!$B$43-((R2988-1)*(1/Q2988)))))/Inputs!$B$43),IF(Inputs!$B$38="pvp",MIN((Skills!T23*(1+Inputs!$B$34/100)),15)/15,MIN(1,(Skills!T23*(1+Inputs!$B$34/100))/(1/Q2988)))))+((C2989=TRUE)*F2989*IF(AND(Inputs!$B$38&lt;&gt;"pvp",Inputs!$B$43&gt;0),(((R2989-1)*MIN((Skills!T24*(1+Inputs!$B$34/100)),(1/Q2989))+MIN((Skills!T24*(1+Inputs!$B$34/100)),MAX(0,Inputs!$B$43-((R2989-1)*(1/Q2989)))))/Inputs!$B$43),IF(Inputs!$B$38="pvp",MIN((Skills!T24*(1+Inputs!$B$34/100)),15)/15,MIN(1,(Skills!T24*(1+Inputs!$B$34/100))/(1/Q2989)))))</f>
        <v/>
      </c>
    </row>
    <row r="2996">
      <c r="A2996" t="inlineStr">
        <is>
          <t>Actions Per Second</t>
        </is>
      </c>
      <c r="B2996">
        <f>1+MIN(150,150*(1-(1-(Inputs!$B$11+((C2982=TRUE)*(F2982-Calc!F17))+((C2983=TRUE)*(F2983-Calc!F18)))/150)*(1-B2995/150)))/100</f>
        <v/>
      </c>
    </row>
    <row r="2997">
      <c r="A2997" t="inlineStr">
        <is>
          <t>Skill + Buff Cast Rate</t>
        </is>
      </c>
      <c r="B2997">
        <f>IF(AND(Inputs!$B$38&lt;&gt;"pvp",Inputs!$B$43&gt;0),SUMPRODUCT((Skills!E2:E26=TRUE)*(C2967:C2991=TRUE)*R2967:R2991*Skills!F2:F26)/Inputs!$B$43,SUMPRODUCT((Skills!E2:E26=TRUE)*(C2967:C2991=TRUE)*Q2967:Q2991*Skills!F2:F26))</f>
        <v/>
      </c>
    </row>
    <row r="2998">
      <c r="A2998" t="inlineStr">
        <is>
          <t>Hook Bomber Casts Per Second</t>
        </is>
      </c>
      <c r="B2998">
        <f>MAX(0,B2996-B2997)</f>
        <v/>
      </c>
    </row>
    <row r="2999">
      <c r="A2999" t="inlineStr">
        <is>
          <t>Global Critical Damage Bonus % (unused)</t>
        </is>
      </c>
      <c r="B2999" t="n">
        <v>0</v>
      </c>
    </row>
    <row r="3000">
      <c r="A3000" t="inlineStr">
        <is>
          <t>Global Final Damage Bonus % (Serpent Scale + Crossbones + Time Leap + Speed Infusion)</t>
        </is>
      </c>
      <c r="B3000">
        <f>((C2970=TRUE)*(F2970*B3006+4*(1-B3006)))+((C2979=TRUE)*F2979*IF(AND(Inputs!$B$38&lt;&gt;"pvp",Inputs!$B$43&gt;0),(((R2979-1)*MIN((Skills!T14*(1+Inputs!$B$34/100)),(1/Q2979))+MIN((Skills!T14*(1+Inputs!$B$34/100)),MAX(0,Inputs!$B$43-((R2979-1)*(1/Q2979)))))/Inputs!$B$43),IF(Inputs!$B$38="pvp",MIN((Skills!T14*(1+Inputs!$B$34/100)),15)/15,MIN(1,(Skills!T14*(1+Inputs!$B$34/100))/(1/Q2979)))))+((C2980=TRUE)*F2980*IF(AND(Inputs!$B$38&lt;&gt;"pvp",Inputs!$B$43&gt;0),(((R2980-1)*MIN((Skills!T15*(1+Inputs!$B$34/100)),(1/Q2980))+MIN((Skills!T15*(1+Inputs!$B$34/100)),MAX(0,Inputs!$B$43-((R2980-1)*(1/Q2980)))))/Inputs!$B$43),IF(Inputs!$B$38="pvp",MIN((Skills!T15*(1+Inputs!$B$34/100)),15)/15,MIN(1,(Skills!T15*(1+Inputs!$B$34/100))/(1/Q2980)))))+((C2989=TRUE)*20*((1+MIN(150,150*(1-(1-(Inputs!$B$11+((C2982=TRUE)*(F2982-Calc!F17))+((C2983=TRUE)*(F2983-Calc!F18)))/150)*(1-(((C2988=TRUE)*F2988*IF(AND(Inputs!$B$38&lt;&gt;"pvp",Inputs!$B$43&gt;0),(((R2988-1)*MIN((Skills!T23*(1+Inputs!$B$34/100)),(1/Q2988))+MIN((Skills!T23*(1+Inputs!$B$34/100)),MAX(0,Inputs!$B$43-((R2988-1)*(1/Q2988)))))/Inputs!$B$43),IF(Inputs!$B$38="pvp",MIN((Skills!T23*(1+Inputs!$B$34/100)),15)/15,MIN(1,(Skills!T23*(1+Inputs!$B$34/100))/(1/Q2988)))))+F2989)/150)))/100)-1)*IF(AND(Inputs!$B$38&lt;&gt;"pvp",Inputs!$B$43&gt;0),(((R2989-1)*MIN((Skills!T24*(1+Inputs!$B$34/100)),(1/Q2989))+MIN((Skills!T24*(1+Inputs!$B$34/100)),MAX(0,Inputs!$B$43-((R2989-1)*(1/Q2989)))))/Inputs!$B$43),IF(Inputs!$B$38="pvp",MIN((Skills!T24*(1+Inputs!$B$34/100)),15)/15,MIN(1,(Skills!T24*(1+Inputs!$B$34/100))/(1/Q2989)))))</f>
        <v/>
      </c>
    </row>
    <row r="3001">
      <c r="A3001" t="inlineStr">
        <is>
          <t>Buff-Casting Startup Delay (s, fixed-duration only)</t>
        </is>
      </c>
      <c r="B3001">
        <f>IF(AND(Inputs!$B$38&lt;&gt;"pvp",Inputs!$B$43&gt;0),SUMPRODUCT((Skills!T2:T26&gt;0)*(Skills!E2:E26=TRUE)*(C2967:C2991=TRUE))/B2996,0)</f>
        <v/>
      </c>
    </row>
    <row r="3002">
      <c r="A3002" t="inlineStr">
        <is>
          <t>Boss-Only Total DPS (this block's swept value)</t>
        </is>
      </c>
      <c r="B3002">
        <f>SUM(T2967:T2991)</f>
        <v/>
      </c>
    </row>
    <row r="3003">
      <c r="A3003" t="inlineStr">
        <is>
          <t>Normal-Only Total DPS (this block's swept value)</t>
        </is>
      </c>
      <c r="B3003">
        <f>SUM(V2967:V2991)</f>
        <v/>
      </c>
    </row>
    <row r="3004">
      <c r="A3004" s="6" t="inlineStr">
        <is>
          <t>TOTAL DPS</t>
        </is>
      </c>
      <c r="B3004" s="6">
        <f>SUM(O2967:O2991)</f>
        <v/>
      </c>
    </row>
    <row r="3005">
      <c r="A3005" t="inlineStr">
        <is>
          <t>Serpent activation interval T (this block's own Hook Bomber rate)</t>
        </is>
      </c>
      <c r="B3005">
        <f>((1/Q2968)+IFERROR(0.5/B2998,0))</f>
        <v/>
      </c>
    </row>
    <row r="3006">
      <c r="A3006" t="inlineStr">
        <is>
          <t>Assault Mode uptime u (this block)</t>
        </is>
      </c>
      <c r="B3006">
        <f>IF(C2970=TRUE,(10+IF(Inputs!$B$3&gt;=94,5,0))/((10+IF(Inputs!$B$3&gt;=94,5,0))+IF(Inputs!$B$3&gt;=104,3,5)*B3005),0)</f>
        <v/>
      </c>
    </row>
    <row r="3007">
      <c r="A3007" t="inlineStr">
        <is>
          <t>Nautilus Strike - Final Attack trigger rate (this block's own Q/R)</t>
        </is>
      </c>
      <c r="B3007">
        <f>IF(AND(Inputs!$B$38&lt;&gt;"pvp",Inputs!$B$43&gt;0),(((C2971=TRUE)*R2971)+((C2972=TRUE)*R2972)+((C2975=TRUE)*R2975))/Inputs!$B$43,((C2971=TRUE)*Q2971)+((C2972=TRUE)*Q2972)+((C2975=TRUE)*Q2975))+B2998</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3030=TRUE)*(F3030-Calc!F20)),(Inputs!$B$23+0+(IF(ArtifactsInput!$M$15,CHOOSE(ArtifactsInput!$N$15+1,25,30,35,40,45,50)/100*(Inputs!$B$11-Inputs!$B$11),0))))/100+(Inputs!$B$23+0+(IF(ArtifactsInput!$M$15,CHOOSE(ArtifactsInput!$N$15+1,25,30,35,40,45,50)/100*(Inputs!$B$11-Inputs!$B$11),0)))/100)/2</f>
        <v/>
      </c>
      <c r="M3012">
        <f>L3012*(1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IF(B3049=0,0,O3012/B3049)</f>
        <v/>
      </c>
      <c r="Q3012" t="n">
        <v>0</v>
      </c>
      <c r="R3012" t="n">
        <v>0</v>
      </c>
      <c r="S3012">
        <f>IFERROR(O3012/N3012,0)</f>
        <v/>
      </c>
      <c r="T3012">
        <f>IF(C3012,(Skills!G2*N3012*B3043)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IF(C3012,(Skills!G2*N3012*B3043)*IF(Inputs!$B$38="pvp",1,(1+(Inputs!$B$21+Skills!Q2+(IF(ArtifactsInput!$M$33,CHOOSE(ArtifactsInput!$N$33+1,30,36,42,48,54,60),0))+(IF(AND(ArtifactsInput!$M$35,Inputs!$B$4&lt;&gt;"Chapter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Inputs!$B$3&gt;=35</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f>Skills!G3*IF(Skills!H3&gt;0,Skills!I3/Skills!H3,1)</f>
        <v/>
      </c>
      <c r="H3013">
        <f>1-(1-Skills!J3/100)^Skills!K3</f>
        <v/>
      </c>
      <c r="I3013" t="inlineStr">
        <is>
          <t>1</t>
        </is>
      </c>
      <c r="J3013">
        <f>((Inputs!$B$6*(1+Inputs!$B$7/100))+(((Inputs!$B$12*(1+Inputs!$B$13/100))-(Inputs!$B$12*(1+Inputs!$B$13/100)))+0.25*(Inputs!$B$14-Inputs!$B$14))*(1+Inputs!$B$7/100))*(F3013/100)</f>
        <v/>
      </c>
      <c r="K3013">
        <f>J3013*(1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3035=TRUE,F3035,0)/100)*(1+(IF(Skills!A3="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3013)</f>
        <v/>
      </c>
      <c r="L3013">
        <f>K3013*(MIN(Inputs!$B$22+((C3030=TRUE)*(F3030-Calc!F20)),(Inputs!$B$23+0+(IF(ArtifactsInput!$M$15,CHOOSE(ArtifactsInput!$N$15+1,25,30,35,40,45,50)/100*(Inputs!$B$11-Inputs!$B$11),0))))/100+(Inputs!$B$23+0+(IF(ArtifactsInput!$M$15,CHOOSE(ArtifactsInput!$N$15+1,25,30,35,40,45,50)/100*(Inputs!$B$11-Inputs!$B$11),0)))/100)/2</f>
        <v/>
      </c>
      <c r="M3013">
        <f>L3013*(1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3">
        <f>L3013*(1-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3013*(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3">
        <f>(1-Summary!$B$11)*T3013+Summary!$B$11*V3013</f>
        <v/>
      </c>
      <c r="P3013">
        <f>IF(B3049=0,0,O3013/B3049)</f>
        <v/>
      </c>
      <c r="Q3013">
        <f>IFERROR(1/(IF(Inputs!$B$38="pvp",15,MAX(0.1,Skills!D3-IF(TRUE=TRUE,2.0,0)))*(1-IF(AND(ArtifactsInput!$M$27,Inputs!$B$4="Chapter Hunt"),CHOOSE(ArtifactsInput!$N$27+1,20,24,28,32,36,40),0)/100)),0)</f>
        <v/>
      </c>
      <c r="R3013">
        <f>IF(AND(Inputs!$B$38&lt;&gt;"pvp",Inputs!$B$43&gt;0),IF(MAX(0,Inputs!$B$43-B3046)&lt;=0,0,(INT(MAX(0,Inputs!$B$43-B3046)/(IF(Inputs!$B$38="pvp",15,MAX(0.1,Skills!D3-IF(TRUE=TRUE,2.0,0)))*(1-IF(AND(ArtifactsInput!$M$27,Inputs!$B$4="Chapter Hunt"),CHOOSE(ArtifactsInput!$N$27+1,20,24,28,32,36,40),0)/100)))+1)),0)</f>
        <v/>
      </c>
      <c r="S3013">
        <f>IFERROR(O3013/N3013,0)</f>
        <v/>
      </c>
      <c r="T3013">
        <f>IF(C3013,(Skills!G3*N3013*IF(C3014=TRUE,1-B3051,1)/B3050)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3013*(1-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3013*(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3013*(1-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3013*(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3">
        <f>INDEX(FactorTable!$B$2:$Y$301, MATCH(ROUND(MIN(300,MAX(1,U3012)),0), FactorTable!$A$2:$A$301,0), 22)</f>
        <v/>
      </c>
      <c r="V3013">
        <f>IF(C3013,(Skills!G3*N3013*IF(C3014=TRUE,1-B3051,1)/B3050)*IF(Inputs!$B$38="pvp",1,(1+(Inputs!$B$21+Skills!Q3+(IF(ArtifactsInput!$M$33,CHOOSE(ArtifactsInput!$N$33+1,30,36,42,48,54,60),0))+(IF(AND(ArtifactsInput!$M$35,Inputs!$B$4&lt;&gt;"Chapter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4">
      <c r="A3014">
        <f>Skills!A4</f>
        <v/>
      </c>
      <c r="B3014">
        <f>Skills!B4</f>
        <v/>
      </c>
      <c r="C3014">
        <f>Inputs!$B$3&gt;=69</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f>Skills!G4*IF(Skills!H4&gt;0,Skills!I4/Skills!H4,1)</f>
        <v/>
      </c>
      <c r="H3014">
        <f>1-(1-Skills!J4/100)^Skills!K4</f>
        <v/>
      </c>
      <c r="I3014" t="inlineStr">
        <is>
          <t>1</t>
        </is>
      </c>
      <c r="J3014">
        <f>((Inputs!$B$6*(1+Inputs!$B$7/100))+(((Inputs!$B$12*(1+Inputs!$B$13/100))-(Inputs!$B$12*(1+Inputs!$B$13/100)))+0.25*(Inputs!$B$14-Inputs!$B$14))*(1+Inputs!$B$7/100))*(F3014/100)</f>
        <v/>
      </c>
      <c r="K3014">
        <f>J3014*(1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3022=TRUE,F3022,0)/100)*(1+(IF(Skills!A4="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3014)</f>
        <v/>
      </c>
      <c r="L3014">
        <f>K3014*(MIN(Inputs!$B$22+((C3030=TRUE)*(F3030-Calc!F20)),(Inputs!$B$23+0+(IF(ArtifactsInput!$M$15,CHOOSE(ArtifactsInput!$N$15+1,25,30,35,40,45,50)/100*(Inputs!$B$11-Inputs!$B$11),0))))/100+(Inputs!$B$23+0+(IF(ArtifactsInput!$M$15,CHOOSE(ArtifactsInput!$N$15+1,25,30,35,40,45,50)/100*(Inputs!$B$11-Inputs!$B$11),0)))/100)/2</f>
        <v/>
      </c>
      <c r="M3014">
        <f>L3014*(1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4">
        <f>L3014*(1-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3014*(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4">
        <f>(1-Summary!$B$11)*T3014+Summary!$B$11*V3014</f>
        <v/>
      </c>
      <c r="P3014">
        <f>IF(B3049=0,0,O3014/B3049)</f>
        <v/>
      </c>
      <c r="Q3014" t="n">
        <v>0</v>
      </c>
      <c r="R3014" t="n">
        <v>0</v>
      </c>
      <c r="S3014">
        <f>IFERROR(O3014/N3014,0)</f>
        <v/>
      </c>
      <c r="T3014">
        <f>IF(C3014,(Skills!G4*N3014*B3051/B3050)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3014*(1-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3014*(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3014*(1-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3014*(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4">
        <f>290*U3013/1000</f>
        <v/>
      </c>
      <c r="V3014">
        <f>IF(C3014,(Skills!G4*N3014*B3051/B3050)*IF(Inputs!$B$38="pvp",1,(1+(Inputs!$B$21+Skills!Q4+(IF(ArtifactsInput!$M$33,CHOOSE(ArtifactsInput!$N$33+1,30,36,42,48,54,60),0))+(IF(AND(ArtifactsInput!$M$35,Inputs!$B$4&lt;&gt;"Chapter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5">
      <c r="A3015">
        <f>Skills!A5</f>
        <v/>
      </c>
      <c r="B3015">
        <f>Skills!B5</f>
        <v/>
      </c>
      <c r="C3015">
        <f>Inputs!$B$3&gt;=66</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t="inlineStr"/>
      <c r="K3015" t="inlineStr"/>
      <c r="L3015" t="inlineStr"/>
      <c r="M3015" t="inlineStr"/>
      <c r="N3015" t="inlineStr"/>
      <c r="O3015">
        <f>(1-Summary!$B$11)*T3015+Summary!$B$11*V3015</f>
        <v/>
      </c>
      <c r="P3015">
        <f>IF(B3049=0,0,O3015/B3049)</f>
        <v/>
      </c>
      <c r="Q3015" t="n">
        <v>0</v>
      </c>
      <c r="R3015" t="n">
        <v>0</v>
      </c>
      <c r="S3015">
        <f>IFERROR(O3015/N3015,0)</f>
        <v/>
      </c>
      <c r="T3015" t="n">
        <v>0</v>
      </c>
      <c r="V3015" t="n">
        <v>0</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3022=TRUE,F3022,0)/100)*(1+(IF(Skills!A6="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3030=TRUE)*(F3030-Calc!F20)),(Inputs!$B$23+0+(IF(ArtifactsInput!$M$15,CHOOSE(ArtifactsInput!$N$15+1,25,30,35,40,45,50)/100*(Inputs!$B$11-Inputs!$B$11),0))))/100+(Inputs!$B$23+0+(IF(ArtifactsInput!$M$15,CHOOSE(ArtifactsInput!$N$15+1,25,30,35,40,45,50)/100*(Inputs!$B$11-Inputs!$B$11),0)))/100)/2</f>
        <v/>
      </c>
      <c r="M3016">
        <f>L3016*(1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IF(B3049=0,0,O3016/B3049)</f>
        <v/>
      </c>
      <c r="Q3016">
        <f>IFERROR(1/(IF(Inputs!$B$38="pvp",15,MAX(0.1,Skills!D6-IF(TRUE=TRUE,2.0,0)))*(1-IF(AND(ArtifactsInput!$M$27,Inputs!$B$4="Chapter Hunt"),CHOOSE(ArtifactsInput!$N$27+1,20,24,28,32,36,40),0)/100)),0)</f>
        <v/>
      </c>
      <c r="R3016">
        <f>IF(AND(Inputs!$B$38&lt;&gt;"pvp",Inputs!$B$43&gt;0),IF(MAX(0,Inputs!$B$43-B3046)&lt;=0,0,(INT(MAX(0,Inputs!$B$43-B3046)/(IF(Inputs!$B$38="pvp",15,MAX(0.1,Skills!D6-IF(TRUE=TRUE,2.0,0)))*(1-IF(AND(ArtifactsInput!$M$27,Inputs!$B$4="Chapter Hunt"),CHOOSE(ArtifactsInput!$N$27+1,20,24,28,32,36,40),0)/100)))+1)),0)</f>
        <v/>
      </c>
      <c r="S3016">
        <f>IFERROR(O3016/N3016,0)</f>
        <v/>
      </c>
      <c r="T3016">
        <f>IF(C3016,(H3016*N3016*IF(AND(Inputs!$B$38&lt;&gt;"pvp",Inputs!$B$43&gt;0),((Skills!G6*((R3016-1)*IF(Skills!H6&gt;0,Skills!I6/Skills!H6,1)+IF(Skills!H6&gt;0,MIN(Skills!I6,MAX(0,MAX(0,Inputs!$B$43-B3046)-((R3016-1)*(IF(Inputs!$B$38="pvp",15,MAX(0.1,Skills!D6-IF(TRUE=TRUE,2.0,0)))*(1-IF(AND(ArtifactsInput!$M$27,Inputs!$B$4="Chapter Hunt"),CHOOSE(ArtifactsInput!$N$27+1,20,24,28,32,36,40),0)/100)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3046)-((R3016-1)*(IF(Inputs!$B$38="pvp",15,MAX(0.1,Skills!D6-IF(TRUE=TRUE,2.0,0)))*(1-IF(AND(ArtifactsInput!$M$27,Inputs!$B$4="Chapter Hunt"),CHOOSE(ArtifactsInput!$N$27+1,20,24,28,32,36,40),0)/100)))))/Skills!H6,1)))/Inputs!$B$43),G3016*Q3016))*IF(Inputs!$B$38="pvp",1,(1+(Inputs!$B$21+Skills!Q6+(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Inputs!$B$3&gt;=103</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3030=TRUE)*(F3030-Calc!F20)),(Inputs!$B$23+0+(IF(ArtifactsInput!$M$15,CHOOSE(ArtifactsInput!$N$15+1,25,30,35,40,45,50)/100*(Inputs!$B$11-Inputs!$B$11),0))))/100+(Inputs!$B$23+0+(IF(ArtifactsInput!$M$15,CHOOSE(ArtifactsInput!$N$15+1,25,30,35,40,45,50)/100*(Inputs!$B$11-Inputs!$B$11),0)))/100)/2</f>
        <v/>
      </c>
      <c r="M3017">
        <f>L3017*(1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IF(B3049=0,0,O3017/B3049)</f>
        <v/>
      </c>
      <c r="Q3017">
        <f>IFERROR(1/(IF(Inputs!$B$38="pvp",15,MAX(0.1,Skills!D7-IF(TRUE=TRUE,2.0,0)))*(1-IF(AND(ArtifactsInput!$M$27,Inputs!$B$4="Chapter Hunt"),CHOOSE(ArtifactsInput!$N$27+1,20,24,28,32,36,40),0)/100)),0)</f>
        <v/>
      </c>
      <c r="R3017">
        <f>IF(AND(Inputs!$B$38&lt;&gt;"pvp",Inputs!$B$43&gt;0),IF(MAX(0,Inputs!$B$43-B3046)&lt;=0,0,(INT(MAX(0,Inputs!$B$43-B3046)/(IF(Inputs!$B$38="pvp",15,MAX(0.1,Skills!D7-IF(TRUE=TRUE,2.0,0)))*(1-IF(AND(ArtifactsInput!$M$27,Inputs!$B$4="Chapter Hunt"),CHOOSE(ArtifactsInput!$N$27+1,20,24,28,32,36,40),0)/100)))+1)),0)</f>
        <v/>
      </c>
      <c r="S3017">
        <f>IFERROR(O3017/N3017,0)</f>
        <v/>
      </c>
      <c r="T3017">
        <f>IF(C3017,(H3017*N3017*IF(AND(Inputs!$B$38&lt;&gt;"pvp",Inputs!$B$43&gt;0),((Skills!G7*((R3017-1)*IF(Skills!H7&gt;0,Skills!I7/Skills!H7,1)+IF(Skills!H7&gt;0,MIN(Skills!I7,MAX(0,MAX(0,Inputs!$B$43-B3046)-((R3017-1)*(IF(Inputs!$B$38="pvp",15,MAX(0.1,Skills!D7-IF(TRUE=TRUE,2.0,0)))*(1-IF(AND(ArtifactsInput!$M$27,Inputs!$B$4="Chapter Hunt"),CHOOSE(ArtifactsInput!$N$27+1,20,24,28,32,36,40),0)/100)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3046)-((R3017-1)*(IF(Inputs!$B$38="pvp",15,MAX(0.1,Skills!D7-IF(TRUE=TRUE,2.0,0)))*(1-IF(AND(ArtifactsInput!$M$27,Inputs!$B$4="Chapter Hunt"),CHOOSE(ArtifactsInput!$N$27+1,20,24,28,32,36,40),0)/100)))))/Skills!H7,1)))/Inputs!$B$43),G3017*Q3017))*IF(Inputs!$B$38="pvp",1,(1+(Inputs!$B$21+Skills!Q7+(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Inputs!$B$3&gt;=117</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f>Skills!G8*IF(Skills!H8&gt;0,Skills!I8/Skills!H8,1)</f>
        <v/>
      </c>
      <c r="H3018">
        <f>1-(1-Skills!J8/100)^Skills!K8</f>
        <v/>
      </c>
      <c r="I3018" t="inlineStr">
        <is>
          <t>1</t>
        </is>
      </c>
      <c r="J3018">
        <f>((Inputs!$B$6*(1+Inputs!$B$7/100))+(((Inputs!$B$12*(1+Inputs!$B$13/100))-(Inputs!$B$12*(1+Inputs!$B$13/100)))+0.25*(Inputs!$B$14-Inputs!$B$14))*(1+Inputs!$B$7/100))*(F3018/100)</f>
        <v/>
      </c>
      <c r="K3018">
        <f>J3018*(1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3018)</f>
        <v/>
      </c>
      <c r="L3018">
        <f>K3018*(MIN(Inputs!$B$22+((C3030=TRUE)*(F3030-Calc!F20)),(Inputs!$B$23+0+(IF(ArtifactsInput!$M$15,CHOOSE(ArtifactsInput!$N$15+1,25,30,35,40,45,50)/100*(Inputs!$B$11-Inputs!$B$11),0))))/100+(Inputs!$B$23+0+(IF(ArtifactsInput!$M$15,CHOOSE(ArtifactsInput!$N$15+1,25,30,35,40,45,50)/100*(Inputs!$B$11-Inputs!$B$11),0)))/100)/2</f>
        <v/>
      </c>
      <c r="M3018">
        <f>L3018*(1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8">
        <f>L3018*(1-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3018*(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8">
        <f>(1-Summary!$B$11)*T3018+Summary!$B$11*V3018</f>
        <v/>
      </c>
      <c r="P3018">
        <f>IF(B3049=0,0,O3018/B3049)</f>
        <v/>
      </c>
      <c r="Q3018">
        <f>IFERROR(1/(IF(Inputs!$B$38="pvp",15,MAX(0.1,Skills!D8-IF(TRUE=TRUE,2.0,0)))*(1-IF(AND(ArtifactsInput!$M$27,Inputs!$B$4="Chapter Hunt"),CHOOSE(ArtifactsInput!$N$27+1,20,24,28,32,36,40),0)/100)),0)</f>
        <v/>
      </c>
      <c r="R3018">
        <f>IF(AND(Inputs!$B$38&lt;&gt;"pvp",Inputs!$B$43&gt;0),IF(MAX(0,Inputs!$B$43-B3046)&lt;=0,0,(INT(MAX(0,Inputs!$B$43-B3046)/(IF(Inputs!$B$38="pvp",15,MAX(0.1,Skills!D8-IF(TRUE=TRUE,2.0,0)))*(1-IF(AND(ArtifactsInput!$M$27,Inputs!$B$4="Chapter Hunt"),CHOOSE(ArtifactsInput!$N$27+1,20,24,28,32,36,40),0)/100)))+1)),0)</f>
        <v/>
      </c>
      <c r="S3018">
        <f>IFERROR(O3018/N3018,0)</f>
        <v/>
      </c>
      <c r="T3018">
        <f>IF(C3018,(H3018*N3018*IF(AND(Inputs!$B$38&lt;&gt;"pvp",Inputs!$B$43&gt;0),((Skills!G8*((R3018-1)*IF(Skills!H8&gt;0,Skills!I8/Skills!H8,1)+IF(Skills!H8&gt;0,MIN(Skills!I8,MAX(0,MAX(0,Inputs!$B$43-B3046)-((R3018-1)*(IF(Inputs!$B$38="pvp",15,MAX(0.1,Skills!D8-IF(TRUE=TRUE,2.0,0)))*(1-IF(AND(ArtifactsInput!$M$27,Inputs!$B$4="Chapter Hunt"),CHOOSE(ArtifactsInput!$N$27+1,20,24,28,32,36,40),0)/100)))))/Skills!H8,1)))/Inputs!$B$43),G3018*Q3018)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3018*(1-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3018*(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3018*(1-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3018*(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8">
        <f>IF(C3018,(H3018*N3018*IF(AND(Inputs!$B$38&lt;&gt;"pvp",Inputs!$B$43&gt;0),((Skills!G8*((R3018-1)*IF(Skills!H8&gt;0,Skills!I8/Skills!H8,1)+IF(Skills!H8&gt;0,MIN(Skills!I8,MAX(0,MAX(0,Inputs!$B$43-B3046)-((R3018-1)*(IF(Inputs!$B$38="pvp",15,MAX(0.1,Skills!D8-IF(TRUE=TRUE,2.0,0)))*(1-IF(AND(ArtifactsInput!$M$27,Inputs!$B$4="Chapter Hunt"),CHOOSE(ArtifactsInput!$N$27+1,20,24,28,32,36,40),0)/100)))))/Skills!H8,1)))/Inputs!$B$43),G3018*Q3018))*IF(Inputs!$B$38="pvp",1,(1+(Inputs!$B$21+Skills!Q8+(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9">
      <c r="A3019">
        <f>Skills!A9</f>
        <v/>
      </c>
      <c r="B3019">
        <f>Skills!B9</f>
        <v/>
      </c>
      <c r="C3019">
        <f>Inputs!$B$3&gt;=120</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B3051</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3030=TRUE)*(F3030-Calc!F20)),(Inputs!$B$23+0+(IF(ArtifactsInput!$M$15,CHOOSE(ArtifactsInput!$N$15+1,25,30,35,40,45,50)/100*(Inputs!$B$11-Inputs!$B$11),0))))/100+(Inputs!$B$23+0+(IF(ArtifactsInput!$M$15,CHOOSE(ArtifactsInput!$N$15+1,25,30,35,40,45,50)/100*(Inputs!$B$11-Inputs!$B$11),0)))/100)/2</f>
        <v/>
      </c>
      <c r="M3019">
        <f>L3019*(1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IF(B3049=0,0,O3019/B3049)</f>
        <v/>
      </c>
      <c r="Q3019">
        <f>IFERROR(1/(IF(Inputs!$B$38="pvp",15,MAX(0.1,Skills!D9-IF(TRUE=TRUE,2.0,0)))*(1-IF(AND(ArtifactsInput!$M$27,Inputs!$B$4="Chapter Hunt"),CHOOSE(ArtifactsInput!$N$27+1,20,24,28,32,36,40),0)/100)),0)</f>
        <v/>
      </c>
      <c r="R3019">
        <f>IF(AND(Inputs!$B$38&lt;&gt;"pvp",Inputs!$B$43&gt;0),IF(MAX(0,Inputs!$B$43-B3046)&lt;=0,0,(INT(MAX(0,Inputs!$B$43-B3046)/(IF(Inputs!$B$38="pvp",15,MAX(0.1,Skills!D9-IF(TRUE=TRUE,2.0,0)))*(1-IF(AND(ArtifactsInput!$M$27,Inputs!$B$4="Chapter Hunt"),CHOOSE(ArtifactsInput!$N$27+1,20,24,28,32,36,40),0)/100)))+1)),0)</f>
        <v/>
      </c>
      <c r="S3019">
        <f>IFERROR(O3019/N3019,0)</f>
        <v/>
      </c>
      <c r="T3019">
        <f>IF(C3019,(H3019*N3019*IF(AND(Inputs!$B$38&lt;&gt;"pvp",Inputs!$B$43&gt;0),((Skills!G9*((R3019-1)*IF(Skills!H9&gt;0,Skills!I9/Skills!H9,1)+IF(Skills!H9&gt;0,MIN(Skills!I9,MAX(0,MAX(0,Inputs!$B$43-B3046)-((R3019-1)*(IF(Inputs!$B$38="pvp",15,MAX(0.1,Skills!D9-IF(TRUE=TRUE,2.0,0)))*(1-IF(AND(ArtifactsInput!$M$27,Inputs!$B$4="Chapter Hunt"),CHOOSE(ArtifactsInput!$N$27+1,20,24,28,32,36,40),0)/100)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3046)-((R3019-1)*(IF(Inputs!$B$38="pvp",15,MAX(0.1,Skills!D9-IF(TRUE=TRUE,2.0,0)))*(1-IF(AND(ArtifactsInput!$M$27,Inputs!$B$4="Chapter Hunt"),CHOOSE(ArtifactsInput!$N$27+1,20,24,28,32,36,40),0)/100)))))/Skills!H9,1)))/Inputs!$B$43),G3019*Q3019))*IF(Inputs!$B$38="pvp",1,(1+(Inputs!$B$21+Skills!Q9+(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Inputs!$B$3&gt;=105</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3030=TRUE)*(F3030-Calc!F20)),(Inputs!$B$23+0+(IF(ArtifactsInput!$M$15,CHOOSE(ArtifactsInput!$N$15+1,25,30,35,40,45,50)/100*(Inputs!$B$11-Inputs!$B$11),0))))/100+(Inputs!$B$23+0+(IF(ArtifactsInput!$M$15,CHOOSE(ArtifactsInput!$N$15+1,25,30,35,40,45,50)/100*(Inputs!$B$11-Inputs!$B$11),0)))/100)/2</f>
        <v/>
      </c>
      <c r="M3020">
        <f>L3020*(1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IF(B3049=0,0,O3020/B3049)</f>
        <v/>
      </c>
      <c r="Q3020">
        <f>IFERROR(1/(IF(Inputs!$B$38="pvp",15,MAX(0.1,Skills!D10-IF(TRUE=TRUE,2.0,0)))*(1-IF(AND(ArtifactsInput!$M$27,Inputs!$B$4="Chapter Hunt"),CHOOSE(ArtifactsInput!$N$27+1,20,24,28,32,36,40),0)/100)),0)</f>
        <v/>
      </c>
      <c r="R3020">
        <f>IF(AND(Inputs!$B$38&lt;&gt;"pvp",Inputs!$B$43&gt;0),IF(MAX(0,Inputs!$B$43-B3046)&lt;=0,0,(INT(MAX(0,Inputs!$B$43-B3046)/(IF(Inputs!$B$38="pvp",15,MAX(0.1,Skills!D10-IF(TRUE=TRUE,2.0,0)))*(1-IF(AND(ArtifactsInput!$M$27,Inputs!$B$4="Chapter Hunt"),CHOOSE(ArtifactsInput!$N$27+1,20,24,28,32,36,40),0)/100)))+1)),0)</f>
        <v/>
      </c>
      <c r="S3020">
        <f>IFERROR(O3020/N3020,0)</f>
        <v/>
      </c>
      <c r="T3020">
        <f>IF(C3020,(H3020*N3020*IF(AND(Inputs!$B$38&lt;&gt;"pvp",Inputs!$B$43&gt;0),((Skills!G10*((R3020-1)*IF(Skills!H10&gt;0,Skills!I10/Skills!H10,1)+IF(Skills!H10&gt;0,MIN(Skills!I10,MAX(0,MAX(0,Inputs!$B$43-B3046)-((R3020-1)*(IF(Inputs!$B$38="pvp",15,MAX(0.1,Skills!D10-IF(TRUE=TRUE,2.0,0)))*(1-IF(AND(ArtifactsInput!$M$27,Inputs!$B$4="Chapter Hunt"),CHOOSE(ArtifactsInput!$N$27+1,20,24,28,32,36,40),0)/100)))))/Skills!H10,1)))/Inputs!$B$43),G3020*Q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H3020*N3020*IF(AND(Inputs!$B$38&lt;&gt;"pvp",Inputs!$B$43&gt;0),((Skills!G10*((R3020-1)*IF(Skills!H10&gt;0,Skills!I10/Skills!H10,1)+IF(Skills!H10&gt;0,MIN(Skills!I10,MAX(0,MAX(0,Inputs!$B$43-B3046)-((R3020-1)*(IF(Inputs!$B$38="pvp",15,MAX(0.1,Skills!D10-IF(TRUE=TRUE,2.0,0)))*(1-IF(AND(ArtifactsInput!$M$27,Inputs!$B$4="Chapter Hunt"),CHOOSE(ArtifactsInput!$N$27+1,20,24,28,32,36,40),0)/100)))))/Skills!H10,1)))/Inputs!$B$43),G3020*Q3020))*IF(Inputs!$B$38="pvp",1,(1+(Inputs!$B$21+Skills!Q10+(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Inputs!$B$3&gt;=113</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3030=TRUE)*(F3030-Calc!F20)),(Inputs!$B$23+0+(IF(ArtifactsInput!$M$15,CHOOSE(ArtifactsInput!$N$15+1,25,30,35,40,45,50)/100*(Inputs!$B$11-Inputs!$B$11),0))))/100+(Inputs!$B$23+0+(IF(ArtifactsInput!$M$15,CHOOSE(ArtifactsInput!$N$15+1,25,30,35,40,45,50)/100*(Inputs!$B$11-Inputs!$B$11),0)))/100)/2</f>
        <v/>
      </c>
      <c r="M3021">
        <f>L3021*(1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IF(B3049=0,0,O3021/B3049)</f>
        <v/>
      </c>
      <c r="Q3021" t="n">
        <v>0</v>
      </c>
      <c r="R3021" t="n">
        <v>0</v>
      </c>
      <c r="S3021">
        <f>IFERROR(O3021/N3021,0)</f>
        <v/>
      </c>
      <c r="T3021">
        <f>IF(C3021,((H3021*B3052)/(1+Skills!H11*H3021*B3052)*N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IF(C3021,((H3021*B3052)/(1+Skills!H11*H3021*B3052)*N3021)*IF(Inputs!$B$38="pvp",1,(1+(Inputs!$B$21+Skills!Q11+(IF(ArtifactsInput!$M$33,CHOOSE(ArtifactsInput!$N$33+1,30,36,42,48,54,60),0))+(IF(AND(ArtifactsInput!$M$35,Inputs!$B$4&lt;&gt;"Chapter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Inputs!$B$3&gt;=100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t="inlineStr"/>
      <c r="H3022" t="inlineStr"/>
      <c r="I3022" t="inlineStr">
        <is>
          <t>1</t>
        </is>
      </c>
      <c r="J3022" t="inlineStr"/>
      <c r="K3022" t="inlineStr"/>
      <c r="L3022" t="inlineStr"/>
      <c r="M3022" t="inlineStr"/>
      <c r="N3022" t="inlineStr"/>
      <c r="O3022" t="inlineStr"/>
      <c r="P3022" t="inlineStr"/>
      <c r="Q3022" t="inlineStr"/>
      <c r="R3022" t="inlineStr"/>
      <c r="S3022" t="inlineStr"/>
      <c r="T3022" t="inlineStr"/>
      <c r="V3022" t="inlineStr"/>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IF(B3049=0,0,O3023/B3049)</f>
        <v/>
      </c>
      <c r="Q3023" t="n">
        <v>0</v>
      </c>
      <c r="R3023" t="n">
        <v>0</v>
      </c>
      <c r="S3023">
        <f>IFERROR(O3023/N3023,0)</f>
        <v/>
      </c>
      <c r="T3023" t="n">
        <v>0</v>
      </c>
      <c r="V3023" t="n">
        <v>0</v>
      </c>
    </row>
    <row r="3024">
      <c r="A3024">
        <f>Skills!A14</f>
        <v/>
      </c>
      <c r="B3024">
        <f>Skills!B14</f>
        <v/>
      </c>
      <c r="C3024">
        <f>Inputs!$B$3&gt;=115</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IF(B3049=0,0,O3024/B3049)</f>
        <v/>
      </c>
      <c r="Q3024">
        <f>IFERROR(1/(IF(Inputs!$B$38="pvp",15,MAX(0.1,Skills!D14-IF(TRUE=TRUE,2.0,0)))*(1-IF(AND(ArtifactsInput!$M$27,Inputs!$B$4="Chapter Hunt"),CHOOSE(ArtifactsInput!$N$27+1,20,24,28,32,36,40),0)/100)),0)</f>
        <v/>
      </c>
      <c r="R3024">
        <f>IF(AND(Inputs!$B$38&lt;&gt;"pvp",Inputs!$B$43&gt;0),IF(Inputs!$B$43&lt;=0,0,(INT(Inputs!$B$43/(IF(Inputs!$B$38="pvp",15,MAX(0.1,Skills!D14-IF(TRUE=TRUE,2.0,0)))*(1-IF(AND(ArtifactsInput!$M$27,Inputs!$B$4="Chapter Hunt"),CHOOSE(ArtifactsInput!$N$27+1,20,24,28,32,36,40),0)/100)))+1)),0)</f>
        <v/>
      </c>
      <c r="S3024">
        <f>IFERROR(O3024/N3024,0)</f>
        <v/>
      </c>
      <c r="T3024" t="n">
        <v>0</v>
      </c>
      <c r="V3024" t="n">
        <v>0</v>
      </c>
    </row>
    <row r="3025">
      <c r="A3025">
        <f>Skills!A15</f>
        <v/>
      </c>
      <c r="B3025">
        <f>Skills!B15</f>
        <v/>
      </c>
      <c r="C3025">
        <f>Inputs!$B$3&gt;=125</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IF(B3049=0,0,O3025/B3049)</f>
        <v/>
      </c>
      <c r="Q3025">
        <f>IFERROR(1/(IF(Inputs!$B$38="pvp",15,MAX(0.1,Skills!D15-IF(TRUE=TRUE,2.0,0)))*(1-IF(AND(ArtifactsInput!$M$27,Inputs!$B$4="Chapter Hunt"),CHOOSE(ArtifactsInput!$N$27+1,20,24,28,32,36,40),0)/100)),0)</f>
        <v/>
      </c>
      <c r="R3025">
        <f>IF(AND(Inputs!$B$38&lt;&gt;"pvp",Inputs!$B$43&gt;0),IF(Inputs!$B$43&lt;=0,0,(INT(Inputs!$B$43/(IF(Inputs!$B$38="pvp",15,MAX(0.1,Skills!D15-IF(TRUE=TRUE,2.0,0)))*(1-IF(AND(ArtifactsInput!$M$27,Inputs!$B$4="Chapter Hunt"),CHOOSE(ArtifactsInput!$N$27+1,20,24,28,32,36,40),0)/100)))+1)),0)</f>
        <v/>
      </c>
      <c r="S3025">
        <f>IFERROR(O3025/N3025,0)</f>
        <v/>
      </c>
      <c r="T3025" t="n">
        <v>0</v>
      </c>
      <c r="V3025" t="n">
        <v>0</v>
      </c>
    </row>
    <row r="3026">
      <c r="A3026">
        <f>Skills!A16</f>
        <v/>
      </c>
      <c r="B3026">
        <f>Skills!B16</f>
        <v/>
      </c>
      <c r="C3026">
        <f>Inputs!$B$3&gt;=10</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IF(B3049=0,0,O3026/B3049)</f>
        <v/>
      </c>
      <c r="Q3026" t="n">
        <v>0</v>
      </c>
      <c r="R3026" t="n">
        <v>0</v>
      </c>
      <c r="S3026">
        <f>IFERROR(O3026/N3026,0)</f>
        <v/>
      </c>
      <c r="T3026" t="n">
        <v>0</v>
      </c>
      <c r="V3026" t="n">
        <v>0</v>
      </c>
    </row>
    <row r="3027">
      <c r="A3027">
        <f>Skills!A17</f>
        <v/>
      </c>
      <c r="B3027">
        <f>Skills!B17</f>
        <v/>
      </c>
      <c r="C3027">
        <f>Inputs!$B$3&gt;=15</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IF(B3049=0,0,O3027/B3049)</f>
        <v/>
      </c>
      <c r="Q3027" t="n">
        <v>0</v>
      </c>
      <c r="R3027" t="n">
        <v>0</v>
      </c>
      <c r="S3027">
        <f>IFERROR(O3027/N3027,0)</f>
        <v/>
      </c>
      <c r="T3027" t="n">
        <v>0</v>
      </c>
      <c r="V3027" t="n">
        <v>0</v>
      </c>
    </row>
    <row r="3028">
      <c r="A3028">
        <f>Skills!A18</f>
        <v/>
      </c>
      <c r="B3028">
        <f>Skills!B18</f>
        <v/>
      </c>
      <c r="C3028">
        <f>Inputs!$B$3&gt;=33</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IF(B3049=0,0,O3028/B3049)</f>
        <v/>
      </c>
      <c r="Q3028" t="n">
        <v>0</v>
      </c>
      <c r="R3028" t="n">
        <v>0</v>
      </c>
      <c r="S3028">
        <f>IFERROR(O3028/N3028,0)</f>
        <v/>
      </c>
      <c r="T3028" t="n">
        <v>0</v>
      </c>
      <c r="V3028" t="n">
        <v>0</v>
      </c>
    </row>
    <row r="3029">
      <c r="A3029">
        <f>Skills!A19</f>
        <v/>
      </c>
      <c r="B3029">
        <f>Skills!B19</f>
        <v/>
      </c>
      <c r="C3029">
        <f>Inputs!$B$3&gt;=40</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IF(B3049=0,0,O3029/B3049)</f>
        <v/>
      </c>
      <c r="Q3029" t="n">
        <v>0</v>
      </c>
      <c r="R3029" t="n">
        <v>0</v>
      </c>
      <c r="S3029">
        <f>IFERROR(O3029/N3029,0)</f>
        <v/>
      </c>
      <c r="T3029" t="n">
        <v>0</v>
      </c>
      <c r="V3029" t="n">
        <v>0</v>
      </c>
    </row>
    <row r="3030">
      <c r="A3030">
        <f>Skills!A20</f>
        <v/>
      </c>
      <c r="B3030">
        <f>Skills!B20</f>
        <v/>
      </c>
      <c r="C3030">
        <f>Inputs!$B$3&gt;=43</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IF(B3049=0,0,O3030/B3049)</f>
        <v/>
      </c>
      <c r="Q3030" t="n">
        <v>0</v>
      </c>
      <c r="R3030" t="n">
        <v>0</v>
      </c>
      <c r="S3030">
        <f>IFERROR(O3030/N3030,0)</f>
        <v/>
      </c>
      <c r="T3030" t="n">
        <v>0</v>
      </c>
      <c r="V3030" t="n">
        <v>0</v>
      </c>
    </row>
    <row r="3031">
      <c r="A3031">
        <f>Skills!A21</f>
        <v/>
      </c>
      <c r="B3031">
        <f>Skills!B21</f>
        <v/>
      </c>
      <c r="C3031">
        <f>Inputs!$B$3&gt;=38</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IF(B3049=0,0,O3031/B3049)</f>
        <v/>
      </c>
      <c r="Q3031" t="n">
        <v>0</v>
      </c>
      <c r="R3031" t="n">
        <v>0</v>
      </c>
      <c r="S3031">
        <f>IFERROR(O3031/N3031,0)</f>
        <v/>
      </c>
      <c r="T3031" t="n">
        <v>0</v>
      </c>
      <c r="V3031" t="n">
        <v>0</v>
      </c>
    </row>
    <row r="3032">
      <c r="A3032">
        <f>Skills!A22</f>
        <v/>
      </c>
      <c r="B3032">
        <f>Skills!B22</f>
        <v/>
      </c>
      <c r="C3032">
        <f>Inputs!$B$3&gt;=75</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IF(B3049=0,0,O3032/B3049)</f>
        <v/>
      </c>
      <c r="Q3032" t="n">
        <v>0</v>
      </c>
      <c r="R3032" t="n">
        <v>0</v>
      </c>
      <c r="S3032">
        <f>IFERROR(O3032/N3032,0)</f>
        <v/>
      </c>
      <c r="T3032" t="n">
        <v>0</v>
      </c>
      <c r="V3032" t="n">
        <v>0</v>
      </c>
    </row>
    <row r="3033">
      <c r="A3033">
        <f>Skills!A23</f>
        <v/>
      </c>
      <c r="B3033">
        <f>Skills!B23</f>
        <v/>
      </c>
      <c r="C3033">
        <f>TRUE</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IF(B3049=0,0,O3033/B3049)</f>
        <v/>
      </c>
      <c r="Q3033">
        <f>IFERROR(1/(IF(Inputs!$B$38="pvp",15,MAX(0.1,Skills!D23-IF(TRUE=TRUE,2.0,0)))*(1-IF(AND(ArtifactsInput!$M$27,Inputs!$B$4="Chapter Hunt"),CHOOSE(ArtifactsInput!$N$27+1,20,24,28,32,36,40),0)/100)),0)</f>
        <v/>
      </c>
      <c r="R3033">
        <f>IF(AND(Inputs!$B$38&lt;&gt;"pvp",Inputs!$B$43&gt;0),IF(Inputs!$B$43&lt;=0,0,(INT(Inputs!$B$43/(IF(Inputs!$B$38="pvp",15,MAX(0.1,Skills!D23-IF(TRUE=TRUE,2.0,0)))*(1-IF(AND(ArtifactsInput!$M$27,Inputs!$B$4="Chapter Hunt"),CHOOSE(ArtifactsInput!$N$27+1,20,24,28,32,36,40),0)/100)))+1)),0)</f>
        <v/>
      </c>
      <c r="S3033">
        <f>IFERROR(O3033/N3033,0)</f>
        <v/>
      </c>
      <c r="T3033" t="n">
        <v>0</v>
      </c>
      <c r="V3033" t="n">
        <v>0</v>
      </c>
    </row>
    <row r="3034">
      <c r="A3034">
        <f>Skills!A24</f>
        <v/>
      </c>
      <c r="B3034">
        <f>Skills!B24</f>
        <v/>
      </c>
      <c r="C3034">
        <f>Inputs!$B$3&gt;=107</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IF(B3049=0,0,O3034/B3049)</f>
        <v/>
      </c>
      <c r="Q3034">
        <f>IFERROR(1/(IF(Inputs!$B$38="pvp",15,MAX(0.1,Skills!D24-IF(TRUE=TRUE,2.0,0)))*(1-IF(AND(ArtifactsInput!$M$27,Inputs!$B$4="Chapter Hunt"),CHOOSE(ArtifactsInput!$N$27+1,20,24,28,32,36,40),0)/100)),0)</f>
        <v/>
      </c>
      <c r="R3034">
        <f>IF(AND(Inputs!$B$38&lt;&gt;"pvp",Inputs!$B$43&gt;0),IF(Inputs!$B$43&lt;=0,0,(INT(Inputs!$B$43/(IF(Inputs!$B$38="pvp",15,MAX(0.1,Skills!D24-IF(TRUE=TRUE,2.0,0)))*(1-IF(AND(ArtifactsInput!$M$27,Inputs!$B$4="Chapter Hunt"),CHOOSE(ArtifactsInput!$N$27+1,20,24,28,32,36,40),0)/100)))+1)),0)</f>
        <v/>
      </c>
      <c r="S3034">
        <f>IFERROR(O3034/N3034,0)</f>
        <v/>
      </c>
      <c r="T3034" t="n">
        <v>0</v>
      </c>
      <c r="V3034" t="n">
        <v>0</v>
      </c>
    </row>
    <row r="3035">
      <c r="A3035">
        <f>Skills!A25</f>
        <v/>
      </c>
      <c r="B3035">
        <f>Skills!B25</f>
        <v/>
      </c>
      <c r="C3035">
        <f>Inputs!$B$3&gt;=110</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t="inlineStr"/>
      <c r="H3035" t="inlineStr"/>
      <c r="I3035" t="inlineStr">
        <is>
          <t>1</t>
        </is>
      </c>
      <c r="J3035" t="inlineStr"/>
      <c r="K3035" t="inlineStr"/>
      <c r="L3035" t="inlineStr"/>
      <c r="M3035" t="inlineStr"/>
      <c r="N3035" t="inlineStr"/>
      <c r="O3035" t="inlineStr"/>
      <c r="P3035" t="inlineStr"/>
      <c r="Q3035" t="inlineStr"/>
      <c r="R3035" t="inlineStr"/>
      <c r="S3035" t="inlineStr"/>
      <c r="T3035" t="inlineStr"/>
      <c r="V3035" t="inlineStr"/>
    </row>
    <row r="3036">
      <c r="A3036">
        <f>Skills!A26</f>
        <v/>
      </c>
      <c r="B3036">
        <f>Skills!B26</f>
        <v/>
      </c>
      <c r="C3036">
        <f>Inputs!$B$3&gt;=117</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t="inlineStr"/>
      <c r="H3036" t="inlineStr"/>
      <c r="I3036" t="inlineStr">
        <is>
          <t>1</t>
        </is>
      </c>
      <c r="J3036" t="inlineStr"/>
      <c r="K3036" t="inlineStr"/>
      <c r="L3036" t="inlineStr"/>
      <c r="M3036" t="inlineStr"/>
      <c r="N3036" t="inlineStr"/>
      <c r="O3036" t="inlineStr"/>
      <c r="P3036" t="inlineStr"/>
      <c r="Q3036" t="inlineStr"/>
      <c r="R3036" t="inlineStr"/>
      <c r="S3036" t="inlineStr"/>
      <c r="T3036" t="inlineStr"/>
      <c r="V3036" t="inlineStr"/>
    </row>
    <row r="3038">
      <c r="A3038" t="inlineStr">
        <is>
          <t>Attack% Bucket Multiplier</t>
        </is>
      </c>
      <c r="B3038">
        <f>(1+(((C3023=TRUE)*F3023*5/7)+((C3029=TRUE)*(F3029-Calc!F19))+(IF(ArtifactsInput!$M$21,CHOOSE(ArtifactsInput!$N$21+1,25,30,35,40,45,50)*(IF(OR(Inputs!$B$4="Chapter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9">
      <c r="A3039" t="inlineStr">
        <is>
          <t>Global Crit Rate Bonus %</t>
        </is>
      </c>
      <c r="B3039" t="n">
        <v>0</v>
      </c>
    </row>
    <row r="3040">
      <c r="A3040" t="inlineStr">
        <is>
          <t>Attack Speed Buff Bonus % (Nimble Feet + Speed Infusion, duty-cycle averaged)</t>
        </is>
      </c>
      <c r="B3040">
        <f>((C3033=TRUE)*F3033*IF(AND(Inputs!$B$38&lt;&gt;"pvp",Inputs!$B$43&gt;0),(((R3033-1)*MIN((Skills!T23*(1+Inputs!$B$34/100)),(1/Q3033))+MIN((Skills!T23*(1+Inputs!$B$34/100)),MAX(0,Inputs!$B$43-((R3033-1)*(1/Q3033)))))/Inputs!$B$43),IF(Inputs!$B$38="pvp",MIN((Skills!T23*(1+Inputs!$B$34/100)),15)/15,MIN(1,(Skills!T23*(1+Inputs!$B$34/100))/(1/Q3033)))))+((C3034=TRUE)*F3034*IF(AND(Inputs!$B$38&lt;&gt;"pvp",Inputs!$B$43&gt;0),(((R3034-1)*MIN((Skills!T24*(1+Inputs!$B$34/100)),(1/Q3034))+MIN((Skills!T24*(1+Inputs!$B$34/100)),MAX(0,Inputs!$B$43-((R3034-1)*(1/Q3034)))))/Inputs!$B$43),IF(Inputs!$B$38="pvp",MIN((Skills!T24*(1+Inputs!$B$34/100)),15)/15,MIN(1,(Skills!T24*(1+Inputs!$B$34/100))/(1/Q3034)))))</f>
        <v/>
      </c>
    </row>
    <row r="3041">
      <c r="A3041" t="inlineStr">
        <is>
          <t>Actions Per Second</t>
        </is>
      </c>
      <c r="B3041">
        <f>1+MIN(150,150*(1-(1-(Inputs!$B$11+((C3027=TRUE)*(F3027-Calc!F17))+((C3028=TRUE)*(F3028-Calc!F18)))/150)*(1-B3040/150)))/100</f>
        <v/>
      </c>
    </row>
    <row r="3042">
      <c r="A3042" t="inlineStr">
        <is>
          <t>Skill + Buff Cast Rate</t>
        </is>
      </c>
      <c r="B3042">
        <f>IF(AND(Inputs!$B$38&lt;&gt;"pvp",Inputs!$B$43&gt;0),SUMPRODUCT((Skills!E2:E26=TRUE)*(C3012:C3036=TRUE)*R3012:R3036*Skills!F2:F26)/Inputs!$B$43,SUMPRODUCT((Skills!E2:E26=TRUE)*(C3012:C3036=TRUE)*Q3012:Q3036*Skills!F2:F26))</f>
        <v/>
      </c>
    </row>
    <row r="3043">
      <c r="A3043" t="inlineStr">
        <is>
          <t>Hook Bomber Casts Per Second</t>
        </is>
      </c>
      <c r="B3043">
        <f>MAX(0,B3041-B3042)</f>
        <v/>
      </c>
    </row>
    <row r="3044">
      <c r="A3044" t="inlineStr">
        <is>
          <t>Global Critical Damage Bonus % (unused)</t>
        </is>
      </c>
      <c r="B3044" t="n">
        <v>0</v>
      </c>
    </row>
    <row r="3045">
      <c r="A3045" t="inlineStr">
        <is>
          <t>Global Final Damage Bonus % (Serpent Scale + Crossbones + Time Leap + Speed Infusion)</t>
        </is>
      </c>
      <c r="B3045">
        <f>((C3015=TRUE)*(F3015*B3051+4*(1-B3051)))+((C3024=TRUE)*F3024*IF(AND(Inputs!$B$38&lt;&gt;"pvp",Inputs!$B$43&gt;0),(((R3024-1)*MIN((Skills!T14*(1+Inputs!$B$34/100)),(1/Q3024))+MIN((Skills!T14*(1+Inputs!$B$34/100)),MAX(0,Inputs!$B$43-((R3024-1)*(1/Q3024)))))/Inputs!$B$43),IF(Inputs!$B$38="pvp",MIN((Skills!T14*(1+Inputs!$B$34/100)),15)/15,MIN(1,(Skills!T14*(1+Inputs!$B$34/100))/(1/Q3024)))))+((C3025=TRUE)*F3025*IF(AND(Inputs!$B$38&lt;&gt;"pvp",Inputs!$B$43&gt;0),(((R3025-1)*MIN((Skills!T15*(1+Inputs!$B$34/100)),(1/Q3025))+MIN((Skills!T15*(1+Inputs!$B$34/100)),MAX(0,Inputs!$B$43-((R3025-1)*(1/Q3025)))))/Inputs!$B$43),IF(Inputs!$B$38="pvp",MIN((Skills!T15*(1+Inputs!$B$34/100)),15)/15,MIN(1,(Skills!T15*(1+Inputs!$B$34/100))/(1/Q3025)))))+((C3034=TRUE)*20*((1+MIN(150,150*(1-(1-(Inputs!$B$11+((C3027=TRUE)*(F3027-Calc!F17))+((C3028=TRUE)*(F3028-Calc!F18)))/150)*(1-(((C3033=TRUE)*F3033*IF(AND(Inputs!$B$38&lt;&gt;"pvp",Inputs!$B$43&gt;0),(((R3033-1)*MIN((Skills!T23*(1+Inputs!$B$34/100)),(1/Q3033))+MIN((Skills!T23*(1+Inputs!$B$34/100)),MAX(0,Inputs!$B$43-((R3033-1)*(1/Q3033)))))/Inputs!$B$43),IF(Inputs!$B$38="pvp",MIN((Skills!T23*(1+Inputs!$B$34/100)),15)/15,MIN(1,(Skills!T23*(1+Inputs!$B$34/100))/(1/Q3033)))))+F3034)/150)))/100)-1)*IF(AND(Inputs!$B$38&lt;&gt;"pvp",Inputs!$B$43&gt;0),(((R3034-1)*MIN((Skills!T24*(1+Inputs!$B$34/100)),(1/Q3034))+MIN((Skills!T24*(1+Inputs!$B$34/100)),MAX(0,Inputs!$B$43-((R3034-1)*(1/Q3034)))))/Inputs!$B$43),IF(Inputs!$B$38="pvp",MIN((Skills!T24*(1+Inputs!$B$34/100)),15)/15,MIN(1,(Skills!T24*(1+Inputs!$B$34/100))/(1/Q3034)))))</f>
        <v/>
      </c>
    </row>
    <row r="3046">
      <c r="A3046" t="inlineStr">
        <is>
          <t>Buff-Casting Startup Delay (s, fixed-duration only)</t>
        </is>
      </c>
      <c r="B3046">
        <f>IF(AND(Inputs!$B$38&lt;&gt;"pvp",Inputs!$B$43&gt;0),SUMPRODUCT((Skills!T2:T26&gt;0)*(Skills!E2:E26=TRUE)*(C3012:C3036=TRUE))/B3041,0)</f>
        <v/>
      </c>
    </row>
    <row r="3047">
      <c r="A3047" t="inlineStr">
        <is>
          <t>Boss-Only Total DPS (this block's swept value)</t>
        </is>
      </c>
      <c r="B3047">
        <f>SUM(T3012:T3036)</f>
        <v/>
      </c>
    </row>
    <row r="3048">
      <c r="A3048" t="inlineStr">
        <is>
          <t>Normal-Only Total DPS (this block's swept value)</t>
        </is>
      </c>
      <c r="B3048">
        <f>SUM(V3012:V3036)</f>
        <v/>
      </c>
    </row>
    <row r="3049">
      <c r="A3049" s="6" t="inlineStr">
        <is>
          <t>TOTAL DPS</t>
        </is>
      </c>
      <c r="B3049" s="6">
        <f>SUM(O3012:O3036)</f>
        <v/>
      </c>
    </row>
    <row r="3050">
      <c r="A3050" t="inlineStr">
        <is>
          <t>Serpent activation interval T (this block's own Hook Bomber rate)</t>
        </is>
      </c>
      <c r="B3050">
        <f>((1/Q3013)+IFERROR(0.5/B3043,0))</f>
        <v/>
      </c>
    </row>
    <row r="3051">
      <c r="A3051" t="inlineStr">
        <is>
          <t>Assault Mode uptime u (this block)</t>
        </is>
      </c>
      <c r="B3051">
        <f>IF(C3015=TRUE,(10+IF(Inputs!$B$3&gt;=94,5,0))/((10+IF(Inputs!$B$3&gt;=94,5,0))+IF(Inputs!$B$3&gt;=104,3,5)*B3050),0)</f>
        <v/>
      </c>
    </row>
    <row r="3052">
      <c r="A3052" t="inlineStr">
        <is>
          <t>Nautilus Strike - Final Attack trigger rate (this block's own Q/R)</t>
        </is>
      </c>
      <c r="B3052">
        <f>IF(AND(Inputs!$B$38&lt;&gt;"pvp",Inputs!$B$43&gt;0),(((C3016=TRUE)*R3016)+((C3017=TRUE)*R3017)+((C3020=TRUE)*R3020))/Inputs!$B$43,((C3016=TRUE)*Q3016)+((C3017=TRUE)*Q3017)+((C3020=TRUE)*Q3020))+B3043</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3075=TRUE)*(F3075-Calc!F20)),(Inputs!$B$23+0+(IF(ArtifactsInput!$M$15,CHOOSE(ArtifactsInput!$N$15+1,25,30,35,40,45,50)/100*(Inputs!$B$11-Inputs!$B$11),0))))/100+(Inputs!$B$23+0+(IF(ArtifactsInput!$M$15,CHOOSE(ArtifactsInput!$N$15+1,25,30,35,40,45,50)/100*(Inputs!$B$11-Inputs!$B$11),0)))/100)/2</f>
        <v/>
      </c>
      <c r="M3057">
        <f>L3057*(1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IF(B3094=0,0,O3057/B3094)</f>
        <v/>
      </c>
      <c r="Q3057" t="n">
        <v>0</v>
      </c>
      <c r="R3057" t="n">
        <v>0</v>
      </c>
      <c r="S3057">
        <f>IFERROR(O3057/N3057,0)</f>
        <v/>
      </c>
      <c r="T3057">
        <f>IF(C3057,(Skills!G2*N3057*B3088)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IF(C3057,(Skills!G2*N3057*B3088)*IF(Inputs!$B$38="pvp",1,(1+(Inputs!$B$21+Skills!Q2+(IF(ArtifactsInput!$M$33,CHOOSE(ArtifactsInput!$N$33+1,30,36,42,48,54,60),0))+(IF(AND(ArtifactsInput!$M$35,Inputs!$B$4&lt;&gt;"Chapter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Inputs!$B$3&gt;=35</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f>Skills!G3*IF(Skills!H3&gt;0,Skills!I3/Skills!H3,1)</f>
        <v/>
      </c>
      <c r="H3058">
        <f>1-(1-Skills!J3/100)^Skills!K3</f>
        <v/>
      </c>
      <c r="I3058" t="inlineStr">
        <is>
          <t>1</t>
        </is>
      </c>
      <c r="J3058">
        <f>((Inputs!$B$6*(1+Inputs!$B$7/100))+(((Inputs!$B$12*(1+Inputs!$B$13/100))-(Inputs!$B$12*(1+Inputs!$B$13/100)))+0.25*(Inputs!$B$14-Inputs!$B$14))*(1+Inputs!$B$7/100))*(F3058/100)</f>
        <v/>
      </c>
      <c r="K3058">
        <f>J3058*(1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3080=TRUE,F3080,0)/100)*(1+(IF(Skills!A3="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3075=TRUE)*(F3075-Calc!F20)),(Inputs!$B$23+0+(IF(ArtifactsInput!$M$15,CHOOSE(ArtifactsInput!$N$15+1,25,30,35,40,45,50)/100*(Inputs!$B$11-Inputs!$B$11),0))))/100+(Inputs!$B$23+0+(IF(ArtifactsInput!$M$15,CHOOSE(ArtifactsInput!$N$15+1,25,30,35,40,45,50)/100*(Inputs!$B$11-Inputs!$B$11),0)))/100)/2</f>
        <v/>
      </c>
      <c r="M3058">
        <f>L3058*(1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IF(B3094=0,0,O3058/B3094)</f>
        <v/>
      </c>
      <c r="Q3058">
        <f>IFERROR(1/(IF(Inputs!$B$38="pvp",15,MAX(0.1,Skills!D3-IF(TRUE=TRUE,2.5,0)))*(1-IF(AND(ArtifactsInput!$M$27,Inputs!$B$4="Chapter Hunt"),CHOOSE(ArtifactsInput!$N$27+1,20,24,28,32,36,40),0)/100)),0)</f>
        <v/>
      </c>
      <c r="R3058">
        <f>IF(AND(Inputs!$B$38&lt;&gt;"pvp",Inputs!$B$43&gt;0),IF(MAX(0,Inputs!$B$43-B3091)&lt;=0,0,(INT(MAX(0,Inputs!$B$43-B3091)/(IF(Inputs!$B$38="pvp",15,MAX(0.1,Skills!D3-IF(TRUE=TRUE,2.5,0)))*(1-IF(AND(ArtifactsInput!$M$27,Inputs!$B$4="Chapter Hunt"),CHOOSE(ArtifactsInput!$N$27+1,20,24,28,32,36,40),0)/100)))+1)),0)</f>
        <v/>
      </c>
      <c r="S3058">
        <f>IFERROR(O3058/N3058,0)</f>
        <v/>
      </c>
      <c r="T3058">
        <f>IF(C3058,(Skills!G3*N3058*IF(C3059=TRUE,1-B3096,1)/B3095)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3058*(1-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8">
        <f>INDEX(FactorTable!$B$2:$Y$301, MATCH(ROUND(MIN(300,MAX(1,U3057)),0), FactorTable!$A$2:$A$301,0), 22)</f>
        <v/>
      </c>
      <c r="V3058">
        <f>IF(C3058,(Skills!G3*N3058*IF(C3059=TRUE,1-B3096,1)/B3095)*IF(Inputs!$B$38="pvp",1,(1+(Inputs!$B$21+Skills!Q3+(IF(ArtifactsInput!$M$33,CHOOSE(ArtifactsInput!$N$33+1,30,36,42,48,54,60),0))+(IF(AND(ArtifactsInput!$M$35,Inputs!$B$4&lt;&gt;"Chapter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Skills!A4</f>
        <v/>
      </c>
      <c r="B3059">
        <f>Skills!B4</f>
        <v/>
      </c>
      <c r="C3059">
        <f>Inputs!$B$3&gt;=69</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f>Skills!G4*IF(Skills!H4&gt;0,Skills!I4/Skills!H4,1)</f>
        <v/>
      </c>
      <c r="H3059">
        <f>1-(1-Skills!J4/100)^Skills!K4</f>
        <v/>
      </c>
      <c r="I3059" t="inlineStr">
        <is>
          <t>1</t>
        </is>
      </c>
      <c r="J3059">
        <f>((Inputs!$B$6*(1+Inputs!$B$7/100))+(((Inputs!$B$12*(1+Inputs!$B$13/100))-(Inputs!$B$12*(1+Inputs!$B$13/100)))+0.25*(Inputs!$B$14-Inputs!$B$14))*(1+Inputs!$B$7/100))*(F3059/100)</f>
        <v/>
      </c>
      <c r="K3059">
        <f>J3059*(1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3067=TRUE,F3067,0)/100)*(1+(IF(Skills!A4="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3059)</f>
        <v/>
      </c>
      <c r="L3059">
        <f>K3059*(MIN(Inputs!$B$22+((C3075=TRUE)*(F3075-Calc!F20)),(Inputs!$B$23+0+(IF(ArtifactsInput!$M$15,CHOOSE(ArtifactsInput!$N$15+1,25,30,35,40,45,50)/100*(Inputs!$B$11-Inputs!$B$11),0))))/100+(Inputs!$B$23+0+(IF(ArtifactsInput!$M$15,CHOOSE(ArtifactsInput!$N$15+1,25,30,35,40,45,50)/100*(Inputs!$B$11-Inputs!$B$11),0)))/100)/2</f>
        <v/>
      </c>
      <c r="M3059">
        <f>L3059*(1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9">
        <f>L3059*(1-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3059*(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9">
        <f>(1-Summary!$B$11)*T3059+Summary!$B$11*V3059</f>
        <v/>
      </c>
      <c r="P3059">
        <f>IF(B3094=0,0,O3059/B3094)</f>
        <v/>
      </c>
      <c r="Q3059" t="n">
        <v>0</v>
      </c>
      <c r="R3059" t="n">
        <v>0</v>
      </c>
      <c r="S3059">
        <f>IFERROR(O3059/N3059,0)</f>
        <v/>
      </c>
      <c r="T3059">
        <f>IF(C3059,(Skills!G4*N3059*B3096/B3095)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3059*(1-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3059*(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3059*(1-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3059*(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9">
        <f>290*U3058/1000</f>
        <v/>
      </c>
      <c r="V3059">
        <f>IF(C3059,(Skills!G4*N3059*B3096/B3095)*IF(Inputs!$B$38="pvp",1,(1+(Inputs!$B$21+Skills!Q4+(IF(ArtifactsInput!$M$33,CHOOSE(ArtifactsInput!$N$33+1,30,36,42,48,54,60),0))+(IF(AND(ArtifactsInput!$M$35,Inputs!$B$4&lt;&gt;"Chapter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0">
      <c r="A3060">
        <f>Skills!A5</f>
        <v/>
      </c>
      <c r="B3060">
        <f>Skills!B5</f>
        <v/>
      </c>
      <c r="C3060">
        <f>Inputs!$B$3&gt;=66</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t="inlineStr"/>
      <c r="K3060" t="inlineStr"/>
      <c r="L3060" t="inlineStr"/>
      <c r="M3060" t="inlineStr"/>
      <c r="N3060" t="inlineStr"/>
      <c r="O3060">
        <f>(1-Summary!$B$11)*T3060+Summary!$B$11*V3060</f>
        <v/>
      </c>
      <c r="P3060">
        <f>IF(B3094=0,0,O3060/B3094)</f>
        <v/>
      </c>
      <c r="Q3060" t="n">
        <v>0</v>
      </c>
      <c r="R3060" t="n">
        <v>0</v>
      </c>
      <c r="S3060">
        <f>IFERROR(O3060/N3060,0)</f>
        <v/>
      </c>
      <c r="T3060" t="n">
        <v>0</v>
      </c>
      <c r="V3060" t="n">
        <v>0</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3067=TRUE,F3067,0)/100)*(1+(IF(Skills!A6="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3075=TRUE)*(F3075-Calc!F20)),(Inputs!$B$23+0+(IF(ArtifactsInput!$M$15,CHOOSE(ArtifactsInput!$N$15+1,25,30,35,40,45,50)/100*(Inputs!$B$11-Inputs!$B$11),0))))/100+(Inputs!$B$23+0+(IF(ArtifactsInput!$M$15,CHOOSE(ArtifactsInput!$N$15+1,25,30,35,40,45,50)/100*(Inputs!$B$11-Inputs!$B$11),0)))/100)/2</f>
        <v/>
      </c>
      <c r="M3061">
        <f>L3061*(1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IF(B3094=0,0,O3061/B3094)</f>
        <v/>
      </c>
      <c r="Q3061">
        <f>IFERROR(1/(IF(Inputs!$B$38="pvp",15,MAX(0.1,Skills!D6-IF(TRUE=TRUE,2.5,0)))*(1-IF(AND(ArtifactsInput!$M$27,Inputs!$B$4="Chapter Hunt"),CHOOSE(ArtifactsInput!$N$27+1,20,24,28,32,36,40),0)/100)),0)</f>
        <v/>
      </c>
      <c r="R3061">
        <f>IF(AND(Inputs!$B$38&lt;&gt;"pvp",Inputs!$B$43&gt;0),IF(MAX(0,Inputs!$B$43-B3091)&lt;=0,0,(INT(MAX(0,Inputs!$B$43-B3091)/(IF(Inputs!$B$38="pvp",15,MAX(0.1,Skills!D6-IF(TRUE=TRUE,2.5,0)))*(1-IF(AND(ArtifactsInput!$M$27,Inputs!$B$4="Chapter Hunt"),CHOOSE(ArtifactsInput!$N$27+1,20,24,28,32,36,40),0)/100)))+1)),0)</f>
        <v/>
      </c>
      <c r="S3061">
        <f>IFERROR(O3061/N3061,0)</f>
        <v/>
      </c>
      <c r="T3061">
        <f>IF(C3061,(H3061*N3061*IF(AND(Inputs!$B$38&lt;&gt;"pvp",Inputs!$B$43&gt;0),((Skills!G6*((R3061-1)*IF(Skills!H6&gt;0,Skills!I6/Skills!H6,1)+IF(Skills!H6&gt;0,MIN(Skills!I6,MAX(0,MAX(0,Inputs!$B$43-B3091)-((R3061-1)*(IF(Inputs!$B$38="pvp",15,MAX(0.1,Skills!D6-IF(TRUE=TRUE,2.5,0)))*(1-IF(AND(ArtifactsInput!$M$27,Inputs!$B$4="Chapter Hunt"),CHOOSE(ArtifactsInput!$N$27+1,20,24,28,32,36,40),0)/100)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3091)-((R3061-1)*(IF(Inputs!$B$38="pvp",15,MAX(0.1,Skills!D6-IF(TRUE=TRUE,2.5,0)))*(1-IF(AND(ArtifactsInput!$M$27,Inputs!$B$4="Chapter Hunt"),CHOOSE(ArtifactsInput!$N$27+1,20,24,28,32,36,40),0)/100)))))/Skills!H6,1)))/Inputs!$B$43),G3061*Q3061))*IF(Inputs!$B$38="pvp",1,(1+(Inputs!$B$21+Skills!Q6+(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Inputs!$B$3&gt;=103</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3075=TRUE)*(F3075-Calc!F20)),(Inputs!$B$23+0+(IF(ArtifactsInput!$M$15,CHOOSE(ArtifactsInput!$N$15+1,25,30,35,40,45,50)/100*(Inputs!$B$11-Inputs!$B$11),0))))/100+(Inputs!$B$23+0+(IF(ArtifactsInput!$M$15,CHOOSE(ArtifactsInput!$N$15+1,25,30,35,40,45,50)/100*(Inputs!$B$11-Inputs!$B$11),0)))/100)/2</f>
        <v/>
      </c>
      <c r="M3062">
        <f>L3062*(1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IF(B3094=0,0,O3062/B3094)</f>
        <v/>
      </c>
      <c r="Q3062">
        <f>IFERROR(1/(IF(Inputs!$B$38="pvp",15,MAX(0.1,Skills!D7-IF(TRUE=TRUE,2.5,0)))*(1-IF(AND(ArtifactsInput!$M$27,Inputs!$B$4="Chapter Hunt"),CHOOSE(ArtifactsInput!$N$27+1,20,24,28,32,36,40),0)/100)),0)</f>
        <v/>
      </c>
      <c r="R3062">
        <f>IF(AND(Inputs!$B$38&lt;&gt;"pvp",Inputs!$B$43&gt;0),IF(MAX(0,Inputs!$B$43-B3091)&lt;=0,0,(INT(MAX(0,Inputs!$B$43-B3091)/(IF(Inputs!$B$38="pvp",15,MAX(0.1,Skills!D7-IF(TRUE=TRUE,2.5,0)))*(1-IF(AND(ArtifactsInput!$M$27,Inputs!$B$4="Chapter Hunt"),CHOOSE(ArtifactsInput!$N$27+1,20,24,28,32,36,40),0)/100)))+1)),0)</f>
        <v/>
      </c>
      <c r="S3062">
        <f>IFERROR(O3062/N3062,0)</f>
        <v/>
      </c>
      <c r="T3062">
        <f>IF(C3062,(H3062*N3062*IF(AND(Inputs!$B$38&lt;&gt;"pvp",Inputs!$B$43&gt;0),((Skills!G7*((R3062-1)*IF(Skills!H7&gt;0,Skills!I7/Skills!H7,1)+IF(Skills!H7&gt;0,MIN(Skills!I7,MAX(0,MAX(0,Inputs!$B$43-B3091)-((R3062-1)*(IF(Inputs!$B$38="pvp",15,MAX(0.1,Skills!D7-IF(TRUE=TRUE,2.5,0)))*(1-IF(AND(ArtifactsInput!$M$27,Inputs!$B$4="Chapter Hunt"),CHOOSE(ArtifactsInput!$N$27+1,20,24,28,32,36,40),0)/100)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3091)-((R3062-1)*(IF(Inputs!$B$38="pvp",15,MAX(0.1,Skills!D7-IF(TRUE=TRUE,2.5,0)))*(1-IF(AND(ArtifactsInput!$M$27,Inputs!$B$4="Chapter Hunt"),CHOOSE(ArtifactsInput!$N$27+1,20,24,28,32,36,40),0)/100)))))/Skills!H7,1)))/Inputs!$B$43),G3062*Q3062))*IF(Inputs!$B$38="pvp",1,(1+(Inputs!$B$21+Skills!Q7+(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Inputs!$B$3&gt;=117</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f>Skills!G8*IF(Skills!H8&gt;0,Skills!I8/Skills!H8,1)</f>
        <v/>
      </c>
      <c r="H3063">
        <f>1-(1-Skills!J8/100)^Skills!K8</f>
        <v/>
      </c>
      <c r="I3063" t="inlineStr">
        <is>
          <t>1</t>
        </is>
      </c>
      <c r="J3063">
        <f>((Inputs!$B$6*(1+Inputs!$B$7/100))+(((Inputs!$B$12*(1+Inputs!$B$13/100))-(Inputs!$B$12*(1+Inputs!$B$13/100)))+0.25*(Inputs!$B$14-Inputs!$B$14))*(1+Inputs!$B$7/100))*(F3063/100)</f>
        <v/>
      </c>
      <c r="K3063">
        <f>J3063*(1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3075=TRUE)*(F3075-Calc!F20)),(Inputs!$B$23+0+(IF(ArtifactsInput!$M$15,CHOOSE(ArtifactsInput!$N$15+1,25,30,35,40,45,50)/100*(Inputs!$B$11-Inputs!$B$11),0))))/100+(Inputs!$B$23+0+(IF(ArtifactsInput!$M$15,CHOOSE(ArtifactsInput!$N$15+1,25,30,35,40,45,50)/100*(Inputs!$B$11-Inputs!$B$11),0)))/100)/2</f>
        <v/>
      </c>
      <c r="M3063">
        <f>L3063*(1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IF(B3094=0,0,O3063/B3094)</f>
        <v/>
      </c>
      <c r="Q3063">
        <f>IFERROR(1/(IF(Inputs!$B$38="pvp",15,MAX(0.1,Skills!D8-IF(TRUE=TRUE,2.5,0)))*(1-IF(AND(ArtifactsInput!$M$27,Inputs!$B$4="Chapter Hunt"),CHOOSE(ArtifactsInput!$N$27+1,20,24,28,32,36,40),0)/100)),0)</f>
        <v/>
      </c>
      <c r="R3063">
        <f>IF(AND(Inputs!$B$38&lt;&gt;"pvp",Inputs!$B$43&gt;0),IF(MAX(0,Inputs!$B$43-B3091)&lt;=0,0,(INT(MAX(0,Inputs!$B$43-B3091)/(IF(Inputs!$B$38="pvp",15,MAX(0.1,Skills!D8-IF(TRUE=TRUE,2.5,0)))*(1-IF(AND(ArtifactsInput!$M$27,Inputs!$B$4="Chapter Hunt"),CHOOSE(ArtifactsInput!$N$27+1,20,24,28,32,36,40),0)/100)))+1)),0)</f>
        <v/>
      </c>
      <c r="S3063">
        <f>IFERROR(O3063/N3063,0)</f>
        <v/>
      </c>
      <c r="T3063">
        <f>IF(C3063,(H3063*N3063*IF(AND(Inputs!$B$38&lt;&gt;"pvp",Inputs!$B$43&gt;0),((Skills!G8*((R3063-1)*IF(Skills!H8&gt;0,Skills!I8/Skills!H8,1)+IF(Skills!H8&gt;0,MIN(Skills!I8,MAX(0,MAX(0,Inputs!$B$43-B3091)-((R3063-1)*(IF(Inputs!$B$38="pvp",15,MAX(0.1,Skills!D8-IF(TRUE=TRUE,2.5,0)))*(1-IF(AND(ArtifactsInput!$M$27,Inputs!$B$4="Chapter Hunt"),CHOOSE(ArtifactsInput!$N$27+1,20,24,28,32,36,40),0)/100)))))/Skills!H8,1)))/Inputs!$B$43),G3063*Q3063)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3063*(1-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3">
        <f>IF(C3063,(H3063*N3063*IF(AND(Inputs!$B$38&lt;&gt;"pvp",Inputs!$B$43&gt;0),((Skills!G8*((R3063-1)*IF(Skills!H8&gt;0,Skills!I8/Skills!H8,1)+IF(Skills!H8&gt;0,MIN(Skills!I8,MAX(0,MAX(0,Inputs!$B$43-B3091)-((R3063-1)*(IF(Inputs!$B$38="pvp",15,MAX(0.1,Skills!D8-IF(TRUE=TRUE,2.5,0)))*(1-IF(AND(ArtifactsInput!$M$27,Inputs!$B$4="Chapter Hunt"),CHOOSE(ArtifactsInput!$N$27+1,20,24,28,32,36,40),0)/100)))))/Skills!H8,1)))/Inputs!$B$43),G3063*Q3063))*IF(Inputs!$B$38="pvp",1,(1+(Inputs!$B$21+Skills!Q8+(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Skills!A9</f>
        <v/>
      </c>
      <c r="B3064">
        <f>Skills!B9</f>
        <v/>
      </c>
      <c r="C3064">
        <f>Inputs!$B$3&gt;=120</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B3096</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3075=TRUE)*(F3075-Calc!F20)),(Inputs!$B$23+0+(IF(ArtifactsInput!$M$15,CHOOSE(ArtifactsInput!$N$15+1,25,30,35,40,45,50)/100*(Inputs!$B$11-Inputs!$B$11),0))))/100+(Inputs!$B$23+0+(IF(ArtifactsInput!$M$15,CHOOSE(ArtifactsInput!$N$15+1,25,30,35,40,45,50)/100*(Inputs!$B$11-Inputs!$B$11),0)))/100)/2</f>
        <v/>
      </c>
      <c r="M3064">
        <f>L3064*(1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IF(B3094=0,0,O3064/B3094)</f>
        <v/>
      </c>
      <c r="Q3064">
        <f>IFERROR(1/(IF(Inputs!$B$38="pvp",15,MAX(0.1,Skills!D9-IF(TRUE=TRUE,2.5,0)))*(1-IF(AND(ArtifactsInput!$M$27,Inputs!$B$4="Chapter Hunt"),CHOOSE(ArtifactsInput!$N$27+1,20,24,28,32,36,40),0)/100)),0)</f>
        <v/>
      </c>
      <c r="R3064">
        <f>IF(AND(Inputs!$B$38&lt;&gt;"pvp",Inputs!$B$43&gt;0),IF(MAX(0,Inputs!$B$43-B3091)&lt;=0,0,(INT(MAX(0,Inputs!$B$43-B3091)/(IF(Inputs!$B$38="pvp",15,MAX(0.1,Skills!D9-IF(TRUE=TRUE,2.5,0)))*(1-IF(AND(ArtifactsInput!$M$27,Inputs!$B$4="Chapter Hunt"),CHOOSE(ArtifactsInput!$N$27+1,20,24,28,32,36,40),0)/100)))+1)),0)</f>
        <v/>
      </c>
      <c r="S3064">
        <f>IFERROR(O3064/N3064,0)</f>
        <v/>
      </c>
      <c r="T3064">
        <f>IF(C3064,(H3064*N3064*IF(AND(Inputs!$B$38&lt;&gt;"pvp",Inputs!$B$43&gt;0),((Skills!G9*((R3064-1)*IF(Skills!H9&gt;0,Skills!I9/Skills!H9,1)+IF(Skills!H9&gt;0,MIN(Skills!I9,MAX(0,MAX(0,Inputs!$B$43-B3091)-((R3064-1)*(IF(Inputs!$B$38="pvp",15,MAX(0.1,Skills!D9-IF(TRUE=TRUE,2.5,0)))*(1-IF(AND(ArtifactsInput!$M$27,Inputs!$B$4="Chapter Hunt"),CHOOSE(ArtifactsInput!$N$27+1,20,24,28,32,36,40),0)/100)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3091)-((R3064-1)*(IF(Inputs!$B$38="pvp",15,MAX(0.1,Skills!D9-IF(TRUE=TRUE,2.5,0)))*(1-IF(AND(ArtifactsInput!$M$27,Inputs!$B$4="Chapter Hunt"),CHOOSE(ArtifactsInput!$N$27+1,20,24,28,32,36,40),0)/100)))))/Skills!H9,1)))/Inputs!$B$43),G3064*Q3064))*IF(Inputs!$B$38="pvp",1,(1+(Inputs!$B$21+Skills!Q9+(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Inputs!$B$3&gt;=105</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3075=TRUE)*(F3075-Calc!F20)),(Inputs!$B$23+0+(IF(ArtifactsInput!$M$15,CHOOSE(ArtifactsInput!$N$15+1,25,30,35,40,45,50)/100*(Inputs!$B$11-Inputs!$B$11),0))))/100+(Inputs!$B$23+0+(IF(ArtifactsInput!$M$15,CHOOSE(ArtifactsInput!$N$15+1,25,30,35,40,45,50)/100*(Inputs!$B$11-Inputs!$B$11),0)))/100)/2</f>
        <v/>
      </c>
      <c r="M3065">
        <f>L3065*(1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IF(B3094=0,0,O3065/B3094)</f>
        <v/>
      </c>
      <c r="Q3065">
        <f>IFERROR(1/(IF(Inputs!$B$38="pvp",15,MAX(0.1,Skills!D10-IF(TRUE=TRUE,2.5,0)))*(1-IF(AND(ArtifactsInput!$M$27,Inputs!$B$4="Chapter Hunt"),CHOOSE(ArtifactsInput!$N$27+1,20,24,28,32,36,40),0)/100)),0)</f>
        <v/>
      </c>
      <c r="R3065">
        <f>IF(AND(Inputs!$B$38&lt;&gt;"pvp",Inputs!$B$43&gt;0),IF(MAX(0,Inputs!$B$43-B3091)&lt;=0,0,(INT(MAX(0,Inputs!$B$43-B3091)/(IF(Inputs!$B$38="pvp",15,MAX(0.1,Skills!D10-IF(TRUE=TRUE,2.5,0)))*(1-IF(AND(ArtifactsInput!$M$27,Inputs!$B$4="Chapter Hunt"),CHOOSE(ArtifactsInput!$N$27+1,20,24,28,32,36,40),0)/100)))+1)),0)</f>
        <v/>
      </c>
      <c r="S3065">
        <f>IFERROR(O3065/N3065,0)</f>
        <v/>
      </c>
      <c r="T3065">
        <f>IF(C3065,(H3065*N3065*IF(AND(Inputs!$B$38&lt;&gt;"pvp",Inputs!$B$43&gt;0),((Skills!G10*((R3065-1)*IF(Skills!H10&gt;0,Skills!I10/Skills!H10,1)+IF(Skills!H10&gt;0,MIN(Skills!I10,MAX(0,MAX(0,Inputs!$B$43-B3091)-((R3065-1)*(IF(Inputs!$B$38="pvp",15,MAX(0.1,Skills!D10-IF(TRUE=TRUE,2.5,0)))*(1-IF(AND(ArtifactsInput!$M$27,Inputs!$B$4="Chapter Hunt"),CHOOSE(ArtifactsInput!$N$27+1,20,24,28,32,36,40),0)/100)))))/Skills!H10,1)))/Inputs!$B$43),G3065*Q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H3065*N3065*IF(AND(Inputs!$B$38&lt;&gt;"pvp",Inputs!$B$43&gt;0),((Skills!G10*((R3065-1)*IF(Skills!H10&gt;0,Skills!I10/Skills!H10,1)+IF(Skills!H10&gt;0,MIN(Skills!I10,MAX(0,MAX(0,Inputs!$B$43-B3091)-((R3065-1)*(IF(Inputs!$B$38="pvp",15,MAX(0.1,Skills!D10-IF(TRUE=TRUE,2.5,0)))*(1-IF(AND(ArtifactsInput!$M$27,Inputs!$B$4="Chapter Hunt"),CHOOSE(ArtifactsInput!$N$27+1,20,24,28,32,36,40),0)/100)))))/Skills!H10,1)))/Inputs!$B$43),G3065*Q3065))*IF(Inputs!$B$38="pvp",1,(1+(Inputs!$B$21+Skills!Q10+(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Inputs!$B$3&gt;=113</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3075=TRUE)*(F3075-Calc!F20)),(Inputs!$B$23+0+(IF(ArtifactsInput!$M$15,CHOOSE(ArtifactsInput!$N$15+1,25,30,35,40,45,50)/100*(Inputs!$B$11-Inputs!$B$11),0))))/100+(Inputs!$B$23+0+(IF(ArtifactsInput!$M$15,CHOOSE(ArtifactsInput!$N$15+1,25,30,35,40,45,50)/100*(Inputs!$B$11-Inputs!$B$11),0)))/100)/2</f>
        <v/>
      </c>
      <c r="M3066">
        <f>L3066*(1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IF(B3094=0,0,O3066/B3094)</f>
        <v/>
      </c>
      <c r="Q3066" t="n">
        <v>0</v>
      </c>
      <c r="R3066" t="n">
        <v>0</v>
      </c>
      <c r="S3066">
        <f>IFERROR(O3066/N3066,0)</f>
        <v/>
      </c>
      <c r="T3066">
        <f>IF(C3066,((H3066*B3097)/(1+Skills!H11*H3066*B3097)*N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IF(C3066,((H3066*B3097)/(1+Skills!H11*H3066*B3097)*N3066)*IF(Inputs!$B$38="pvp",1,(1+(Inputs!$B$21+Skills!Q11+(IF(ArtifactsInput!$M$33,CHOOSE(ArtifactsInput!$N$33+1,30,36,42,48,54,60),0))+(IF(AND(ArtifactsInput!$M$35,Inputs!$B$4&lt;&gt;"Chapter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Inputs!$B$3&gt;=100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t="inlineStr"/>
      <c r="H3067" t="inlineStr"/>
      <c r="I3067" t="inlineStr">
        <is>
          <t>1</t>
        </is>
      </c>
      <c r="J3067" t="inlineStr"/>
      <c r="K3067" t="inlineStr"/>
      <c r="L3067" t="inlineStr"/>
      <c r="M3067" t="inlineStr"/>
      <c r="N3067" t="inlineStr"/>
      <c r="O3067" t="inlineStr"/>
      <c r="P3067" t="inlineStr"/>
      <c r="Q3067" t="inlineStr"/>
      <c r="R3067" t="inlineStr"/>
      <c r="S3067" t="inlineStr"/>
      <c r="T3067" t="inlineStr"/>
      <c r="V3067" t="inlineStr"/>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IF(B3094=0,0,O3068/B3094)</f>
        <v/>
      </c>
      <c r="Q3068" t="n">
        <v>0</v>
      </c>
      <c r="R3068" t="n">
        <v>0</v>
      </c>
      <c r="S3068">
        <f>IFERROR(O3068/N3068,0)</f>
        <v/>
      </c>
      <c r="T3068" t="n">
        <v>0</v>
      </c>
      <c r="V3068" t="n">
        <v>0</v>
      </c>
    </row>
    <row r="3069">
      <c r="A3069">
        <f>Skills!A14</f>
        <v/>
      </c>
      <c r="B3069">
        <f>Skills!B14</f>
        <v/>
      </c>
      <c r="C3069">
        <f>Inputs!$B$3&gt;=115</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IF(B3094=0,0,O3069/B3094)</f>
        <v/>
      </c>
      <c r="Q3069">
        <f>IFERROR(1/(IF(Inputs!$B$38="pvp",15,MAX(0.1,Skills!D14-IF(TRUE=TRUE,2.5,0)))*(1-IF(AND(ArtifactsInput!$M$27,Inputs!$B$4="Chapter Hunt"),CHOOSE(ArtifactsInput!$N$27+1,20,24,28,32,36,40),0)/100)),0)</f>
        <v/>
      </c>
      <c r="R3069">
        <f>IF(AND(Inputs!$B$38&lt;&gt;"pvp",Inputs!$B$43&gt;0),IF(Inputs!$B$43&lt;=0,0,(INT(Inputs!$B$43/(IF(Inputs!$B$38="pvp",15,MAX(0.1,Skills!D14-IF(TRUE=TRUE,2.5,0)))*(1-IF(AND(ArtifactsInput!$M$27,Inputs!$B$4="Chapter Hunt"),CHOOSE(ArtifactsInput!$N$27+1,20,24,28,32,36,40),0)/100)))+1)),0)</f>
        <v/>
      </c>
      <c r="S3069">
        <f>IFERROR(O3069/N3069,0)</f>
        <v/>
      </c>
      <c r="T3069" t="n">
        <v>0</v>
      </c>
      <c r="V3069" t="n">
        <v>0</v>
      </c>
    </row>
    <row r="3070">
      <c r="A3070">
        <f>Skills!A15</f>
        <v/>
      </c>
      <c r="B3070">
        <f>Skills!B15</f>
        <v/>
      </c>
      <c r="C3070">
        <f>Inputs!$B$3&gt;=125</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IF(B3094=0,0,O3070/B3094)</f>
        <v/>
      </c>
      <c r="Q3070">
        <f>IFERROR(1/(IF(Inputs!$B$38="pvp",15,MAX(0.1,Skills!D15-IF(TRUE=TRUE,2.5,0)))*(1-IF(AND(ArtifactsInput!$M$27,Inputs!$B$4="Chapter Hunt"),CHOOSE(ArtifactsInput!$N$27+1,20,24,28,32,36,40),0)/100)),0)</f>
        <v/>
      </c>
      <c r="R3070">
        <f>IF(AND(Inputs!$B$38&lt;&gt;"pvp",Inputs!$B$43&gt;0),IF(Inputs!$B$43&lt;=0,0,(INT(Inputs!$B$43/(IF(Inputs!$B$38="pvp",15,MAX(0.1,Skills!D15-IF(TRUE=TRUE,2.5,0)))*(1-IF(AND(ArtifactsInput!$M$27,Inputs!$B$4="Chapter Hunt"),CHOOSE(ArtifactsInput!$N$27+1,20,24,28,32,36,40),0)/100)))+1)),0)</f>
        <v/>
      </c>
      <c r="S3070">
        <f>IFERROR(O3070/N3070,0)</f>
        <v/>
      </c>
      <c r="T3070" t="n">
        <v>0</v>
      </c>
      <c r="V3070" t="n">
        <v>0</v>
      </c>
    </row>
    <row r="3071">
      <c r="A3071">
        <f>Skills!A16</f>
        <v/>
      </c>
      <c r="B3071">
        <f>Skills!B16</f>
        <v/>
      </c>
      <c r="C3071">
        <f>Inputs!$B$3&gt;=10</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IF(B3094=0,0,O3071/B3094)</f>
        <v/>
      </c>
      <c r="Q3071" t="n">
        <v>0</v>
      </c>
      <c r="R3071" t="n">
        <v>0</v>
      </c>
      <c r="S3071">
        <f>IFERROR(O3071/N3071,0)</f>
        <v/>
      </c>
      <c r="T3071" t="n">
        <v>0</v>
      </c>
      <c r="V3071" t="n">
        <v>0</v>
      </c>
    </row>
    <row r="3072">
      <c r="A3072">
        <f>Skills!A17</f>
        <v/>
      </c>
      <c r="B3072">
        <f>Skills!B17</f>
        <v/>
      </c>
      <c r="C3072">
        <f>Inputs!$B$3&gt;=15</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IF(B3094=0,0,O3072/B3094)</f>
        <v/>
      </c>
      <c r="Q3072" t="n">
        <v>0</v>
      </c>
      <c r="R3072" t="n">
        <v>0</v>
      </c>
      <c r="S3072">
        <f>IFERROR(O3072/N3072,0)</f>
        <v/>
      </c>
      <c r="T3072" t="n">
        <v>0</v>
      </c>
      <c r="V3072" t="n">
        <v>0</v>
      </c>
    </row>
    <row r="3073">
      <c r="A3073">
        <f>Skills!A18</f>
        <v/>
      </c>
      <c r="B3073">
        <f>Skills!B18</f>
        <v/>
      </c>
      <c r="C3073">
        <f>Inputs!$B$3&gt;=33</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IF(B3094=0,0,O3073/B3094)</f>
        <v/>
      </c>
      <c r="Q3073" t="n">
        <v>0</v>
      </c>
      <c r="R3073" t="n">
        <v>0</v>
      </c>
      <c r="S3073">
        <f>IFERROR(O3073/N3073,0)</f>
        <v/>
      </c>
      <c r="T3073" t="n">
        <v>0</v>
      </c>
      <c r="V3073" t="n">
        <v>0</v>
      </c>
    </row>
    <row r="3074">
      <c r="A3074">
        <f>Skills!A19</f>
        <v/>
      </c>
      <c r="B3074">
        <f>Skills!B19</f>
        <v/>
      </c>
      <c r="C3074">
        <f>Inputs!$B$3&gt;=40</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IF(B3094=0,0,O3074/B3094)</f>
        <v/>
      </c>
      <c r="Q3074" t="n">
        <v>0</v>
      </c>
      <c r="R3074" t="n">
        <v>0</v>
      </c>
      <c r="S3074">
        <f>IFERROR(O3074/N3074,0)</f>
        <v/>
      </c>
      <c r="T3074" t="n">
        <v>0</v>
      </c>
      <c r="V3074" t="n">
        <v>0</v>
      </c>
    </row>
    <row r="3075">
      <c r="A3075">
        <f>Skills!A20</f>
        <v/>
      </c>
      <c r="B3075">
        <f>Skills!B20</f>
        <v/>
      </c>
      <c r="C3075">
        <f>Inputs!$B$3&gt;=43</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IF(B3094=0,0,O3075/B3094)</f>
        <v/>
      </c>
      <c r="Q3075" t="n">
        <v>0</v>
      </c>
      <c r="R3075" t="n">
        <v>0</v>
      </c>
      <c r="S3075">
        <f>IFERROR(O3075/N3075,0)</f>
        <v/>
      </c>
      <c r="T3075" t="n">
        <v>0</v>
      </c>
      <c r="V3075" t="n">
        <v>0</v>
      </c>
    </row>
    <row r="3076">
      <c r="A3076">
        <f>Skills!A21</f>
        <v/>
      </c>
      <c r="B3076">
        <f>Skills!B21</f>
        <v/>
      </c>
      <c r="C3076">
        <f>Inputs!$B$3&gt;=38</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IF(B3094=0,0,O3076/B3094)</f>
        <v/>
      </c>
      <c r="Q3076" t="n">
        <v>0</v>
      </c>
      <c r="R3076" t="n">
        <v>0</v>
      </c>
      <c r="S3076">
        <f>IFERROR(O3076/N3076,0)</f>
        <v/>
      </c>
      <c r="T3076" t="n">
        <v>0</v>
      </c>
      <c r="V3076" t="n">
        <v>0</v>
      </c>
    </row>
    <row r="3077">
      <c r="A3077">
        <f>Skills!A22</f>
        <v/>
      </c>
      <c r="B3077">
        <f>Skills!B22</f>
        <v/>
      </c>
      <c r="C3077">
        <f>Inputs!$B$3&gt;=75</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IF(B3094=0,0,O3077/B3094)</f>
        <v/>
      </c>
      <c r="Q3077" t="n">
        <v>0</v>
      </c>
      <c r="R3077" t="n">
        <v>0</v>
      </c>
      <c r="S3077">
        <f>IFERROR(O3077/N3077,0)</f>
        <v/>
      </c>
      <c r="T3077" t="n">
        <v>0</v>
      </c>
      <c r="V3077" t="n">
        <v>0</v>
      </c>
    </row>
    <row r="3078">
      <c r="A3078">
        <f>Skills!A23</f>
        <v/>
      </c>
      <c r="B3078">
        <f>Skills!B23</f>
        <v/>
      </c>
      <c r="C3078">
        <f>TRUE</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IF(B3094=0,0,O3078/B3094)</f>
        <v/>
      </c>
      <c r="Q3078">
        <f>IFERROR(1/(IF(Inputs!$B$38="pvp",15,MAX(0.1,Skills!D23-IF(TRUE=TRUE,2.5,0)))*(1-IF(AND(ArtifactsInput!$M$27,Inputs!$B$4="Chapter Hunt"),CHOOSE(ArtifactsInput!$N$27+1,20,24,28,32,36,40),0)/100)),0)</f>
        <v/>
      </c>
      <c r="R3078">
        <f>IF(AND(Inputs!$B$38&lt;&gt;"pvp",Inputs!$B$43&gt;0),IF(Inputs!$B$43&lt;=0,0,(INT(Inputs!$B$43/(IF(Inputs!$B$38="pvp",15,MAX(0.1,Skills!D23-IF(TRUE=TRUE,2.5,0)))*(1-IF(AND(ArtifactsInput!$M$27,Inputs!$B$4="Chapter Hunt"),CHOOSE(ArtifactsInput!$N$27+1,20,24,28,32,36,40),0)/100)))+1)),0)</f>
        <v/>
      </c>
      <c r="S3078">
        <f>IFERROR(O3078/N3078,0)</f>
        <v/>
      </c>
      <c r="T3078" t="n">
        <v>0</v>
      </c>
      <c r="V3078" t="n">
        <v>0</v>
      </c>
    </row>
    <row r="3079">
      <c r="A3079">
        <f>Skills!A24</f>
        <v/>
      </c>
      <c r="B3079">
        <f>Skills!B24</f>
        <v/>
      </c>
      <c r="C3079">
        <f>Inputs!$B$3&gt;=107</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IF(B3094=0,0,O3079/B3094)</f>
        <v/>
      </c>
      <c r="Q3079">
        <f>IFERROR(1/(IF(Inputs!$B$38="pvp",15,MAX(0.1,Skills!D24-IF(TRUE=TRUE,2.5,0)))*(1-IF(AND(ArtifactsInput!$M$27,Inputs!$B$4="Chapter Hunt"),CHOOSE(ArtifactsInput!$N$27+1,20,24,28,32,36,40),0)/100)),0)</f>
        <v/>
      </c>
      <c r="R3079">
        <f>IF(AND(Inputs!$B$38&lt;&gt;"pvp",Inputs!$B$43&gt;0),IF(Inputs!$B$43&lt;=0,0,(INT(Inputs!$B$43/(IF(Inputs!$B$38="pvp",15,MAX(0.1,Skills!D24-IF(TRUE=TRUE,2.5,0)))*(1-IF(AND(ArtifactsInput!$M$27,Inputs!$B$4="Chapter Hunt"),CHOOSE(ArtifactsInput!$N$27+1,20,24,28,32,36,40),0)/100)))+1)),0)</f>
        <v/>
      </c>
      <c r="S3079">
        <f>IFERROR(O3079/N3079,0)</f>
        <v/>
      </c>
      <c r="T3079" t="n">
        <v>0</v>
      </c>
      <c r="V3079" t="n">
        <v>0</v>
      </c>
    </row>
    <row r="3080">
      <c r="A3080">
        <f>Skills!A25</f>
        <v/>
      </c>
      <c r="B3080">
        <f>Skills!B25</f>
        <v/>
      </c>
      <c r="C3080">
        <f>Inputs!$B$3&gt;=110</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t="inlineStr"/>
      <c r="H3080" t="inlineStr"/>
      <c r="I3080" t="inlineStr">
        <is>
          <t>1</t>
        </is>
      </c>
      <c r="J3080" t="inlineStr"/>
      <c r="K3080" t="inlineStr"/>
      <c r="L3080" t="inlineStr"/>
      <c r="M3080" t="inlineStr"/>
      <c r="N3080" t="inlineStr"/>
      <c r="O3080" t="inlineStr"/>
      <c r="P3080" t="inlineStr"/>
      <c r="Q3080" t="inlineStr"/>
      <c r="R3080" t="inlineStr"/>
      <c r="S3080" t="inlineStr"/>
      <c r="T3080" t="inlineStr"/>
      <c r="V3080" t="inlineStr"/>
    </row>
    <row r="3081">
      <c r="A3081">
        <f>Skills!A26</f>
        <v/>
      </c>
      <c r="B3081">
        <f>Skills!B26</f>
        <v/>
      </c>
      <c r="C3081">
        <f>Inputs!$B$3&gt;=117</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t="inlineStr"/>
      <c r="H3081" t="inlineStr"/>
      <c r="I3081" t="inlineStr">
        <is>
          <t>1</t>
        </is>
      </c>
      <c r="J3081" t="inlineStr"/>
      <c r="K3081" t="inlineStr"/>
      <c r="L3081" t="inlineStr"/>
      <c r="M3081" t="inlineStr"/>
      <c r="N3081" t="inlineStr"/>
      <c r="O3081" t="inlineStr"/>
      <c r="P3081" t="inlineStr"/>
      <c r="Q3081" t="inlineStr"/>
      <c r="R3081" t="inlineStr"/>
      <c r="S3081" t="inlineStr"/>
      <c r="T3081" t="inlineStr"/>
      <c r="V3081" t="inlineStr"/>
    </row>
    <row r="3083">
      <c r="A3083" t="inlineStr">
        <is>
          <t>Attack% Bucket Multiplier</t>
        </is>
      </c>
      <c r="B3083">
        <f>(1+(((C3068=TRUE)*F3068*5/7)+((C3074=TRUE)*(F3074-Calc!F19))+(IF(ArtifactsInput!$M$21,CHOOSE(ArtifactsInput!$N$21+1,25,30,35,40,45,50)*(IF(OR(Inputs!$B$4="Chapter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4">
      <c r="A3084" t="inlineStr">
        <is>
          <t>Global Crit Rate Bonus %</t>
        </is>
      </c>
      <c r="B3084" t="n">
        <v>0</v>
      </c>
    </row>
    <row r="3085">
      <c r="A3085" t="inlineStr">
        <is>
          <t>Attack Speed Buff Bonus % (Nimble Feet + Speed Infusion, duty-cycle averaged)</t>
        </is>
      </c>
      <c r="B3085">
        <f>((C3078=TRUE)*F3078*IF(AND(Inputs!$B$38&lt;&gt;"pvp",Inputs!$B$43&gt;0),(((R3078-1)*MIN((Skills!T23*(1+Inputs!$B$34/100)),(1/Q3078))+MIN((Skills!T23*(1+Inputs!$B$34/100)),MAX(0,Inputs!$B$43-((R3078-1)*(1/Q3078)))))/Inputs!$B$43),IF(Inputs!$B$38="pvp",MIN((Skills!T23*(1+Inputs!$B$34/100)),15)/15,MIN(1,(Skills!T23*(1+Inputs!$B$34/100))/(1/Q3078)))))+((C3079=TRUE)*F3079*IF(AND(Inputs!$B$38&lt;&gt;"pvp",Inputs!$B$43&gt;0),(((R3079-1)*MIN((Skills!T24*(1+Inputs!$B$34/100)),(1/Q3079))+MIN((Skills!T24*(1+Inputs!$B$34/100)),MAX(0,Inputs!$B$43-((R3079-1)*(1/Q3079)))))/Inputs!$B$43),IF(Inputs!$B$38="pvp",MIN((Skills!T24*(1+Inputs!$B$34/100)),15)/15,MIN(1,(Skills!T24*(1+Inputs!$B$34/100))/(1/Q3079)))))</f>
        <v/>
      </c>
    </row>
    <row r="3086">
      <c r="A3086" t="inlineStr">
        <is>
          <t>Actions Per Second</t>
        </is>
      </c>
      <c r="B3086">
        <f>1+MIN(150,150*(1-(1-(Inputs!$B$11+((C3072=TRUE)*(F3072-Calc!F17))+((C3073=TRUE)*(F3073-Calc!F18)))/150)*(1-B3085/150)))/100</f>
        <v/>
      </c>
    </row>
    <row r="3087">
      <c r="A3087" t="inlineStr">
        <is>
          <t>Skill + Buff Cast Rate</t>
        </is>
      </c>
      <c r="B3087">
        <f>IF(AND(Inputs!$B$38&lt;&gt;"pvp",Inputs!$B$43&gt;0),SUMPRODUCT((Skills!E2:E26=TRUE)*(C3057:C3081=TRUE)*R3057:R3081*Skills!F2:F26)/Inputs!$B$43,SUMPRODUCT((Skills!E2:E26=TRUE)*(C3057:C3081=TRUE)*Q3057:Q3081*Skills!F2:F26))</f>
        <v/>
      </c>
    </row>
    <row r="3088">
      <c r="A3088" t="inlineStr">
        <is>
          <t>Hook Bomber Casts Per Second</t>
        </is>
      </c>
      <c r="B3088">
        <f>MAX(0,B3086-B3087)</f>
        <v/>
      </c>
    </row>
    <row r="3089">
      <c r="A3089" t="inlineStr">
        <is>
          <t>Global Critical Damage Bonus % (unused)</t>
        </is>
      </c>
      <c r="B3089" t="n">
        <v>0</v>
      </c>
    </row>
    <row r="3090">
      <c r="A3090" t="inlineStr">
        <is>
          <t>Global Final Damage Bonus % (Serpent Scale + Crossbones + Time Leap + Speed Infusion)</t>
        </is>
      </c>
      <c r="B3090">
        <f>((C3060=TRUE)*(F3060*B3096+4*(1-B3096)))+((C3069=TRUE)*F3069*IF(AND(Inputs!$B$38&lt;&gt;"pvp",Inputs!$B$43&gt;0),(((R3069-1)*MIN((Skills!T14*(1+Inputs!$B$34/100)),(1/Q3069))+MIN((Skills!T14*(1+Inputs!$B$34/100)),MAX(0,Inputs!$B$43-((R3069-1)*(1/Q3069)))))/Inputs!$B$43),IF(Inputs!$B$38="pvp",MIN((Skills!T14*(1+Inputs!$B$34/100)),15)/15,MIN(1,(Skills!T14*(1+Inputs!$B$34/100))/(1/Q3069)))))+((C3070=TRUE)*F3070*IF(AND(Inputs!$B$38&lt;&gt;"pvp",Inputs!$B$43&gt;0),(((R3070-1)*MIN((Skills!T15*(1+Inputs!$B$34/100)),(1/Q3070))+MIN((Skills!T15*(1+Inputs!$B$34/100)),MAX(0,Inputs!$B$43-((R3070-1)*(1/Q3070)))))/Inputs!$B$43),IF(Inputs!$B$38="pvp",MIN((Skills!T15*(1+Inputs!$B$34/100)),15)/15,MIN(1,(Skills!T15*(1+Inputs!$B$34/100))/(1/Q3070)))))+((C3079=TRUE)*20*((1+MIN(150,150*(1-(1-(Inputs!$B$11+((C3072=TRUE)*(F3072-Calc!F17))+((C3073=TRUE)*(F3073-Calc!F18)))/150)*(1-(((C3078=TRUE)*F3078*IF(AND(Inputs!$B$38&lt;&gt;"pvp",Inputs!$B$43&gt;0),(((R3078-1)*MIN((Skills!T23*(1+Inputs!$B$34/100)),(1/Q3078))+MIN((Skills!T23*(1+Inputs!$B$34/100)),MAX(0,Inputs!$B$43-((R3078-1)*(1/Q3078)))))/Inputs!$B$43),IF(Inputs!$B$38="pvp",MIN((Skills!T23*(1+Inputs!$B$34/100)),15)/15,MIN(1,(Skills!T23*(1+Inputs!$B$34/100))/(1/Q3078)))))+F3079)/150)))/100)-1)*IF(AND(Inputs!$B$38&lt;&gt;"pvp",Inputs!$B$43&gt;0),(((R3079-1)*MIN((Skills!T24*(1+Inputs!$B$34/100)),(1/Q3079))+MIN((Skills!T24*(1+Inputs!$B$34/100)),MAX(0,Inputs!$B$43-((R3079-1)*(1/Q3079)))))/Inputs!$B$43),IF(Inputs!$B$38="pvp",MIN((Skills!T24*(1+Inputs!$B$34/100)),15)/15,MIN(1,(Skills!T24*(1+Inputs!$B$34/100))/(1/Q3079)))))</f>
        <v/>
      </c>
    </row>
    <row r="3091">
      <c r="A3091" t="inlineStr">
        <is>
          <t>Buff-Casting Startup Delay (s, fixed-duration only)</t>
        </is>
      </c>
      <c r="B3091">
        <f>IF(AND(Inputs!$B$38&lt;&gt;"pvp",Inputs!$B$43&gt;0),SUMPRODUCT((Skills!T2:T26&gt;0)*(Skills!E2:E26=TRUE)*(C3057:C3081=TRUE))/B3086,0)</f>
        <v/>
      </c>
    </row>
    <row r="3092">
      <c r="A3092" t="inlineStr">
        <is>
          <t>Boss-Only Total DPS (this block's swept value)</t>
        </is>
      </c>
      <c r="B3092">
        <f>SUM(T3057:T3081)</f>
        <v/>
      </c>
    </row>
    <row r="3093">
      <c r="A3093" t="inlineStr">
        <is>
          <t>Normal-Only Total DPS (this block's swept value)</t>
        </is>
      </c>
      <c r="B3093">
        <f>SUM(V3057:V3081)</f>
        <v/>
      </c>
    </row>
    <row r="3094">
      <c r="A3094" s="6" t="inlineStr">
        <is>
          <t>TOTAL DPS</t>
        </is>
      </c>
      <c r="B3094" s="6">
        <f>SUM(O3057:O3081)</f>
        <v/>
      </c>
    </row>
    <row r="3095">
      <c r="A3095" t="inlineStr">
        <is>
          <t>Serpent activation interval T (this block's own Hook Bomber rate)</t>
        </is>
      </c>
      <c r="B3095">
        <f>((1/Q3058)+IFERROR(0.5/B3088,0))</f>
        <v/>
      </c>
    </row>
    <row r="3096">
      <c r="A3096" t="inlineStr">
        <is>
          <t>Assault Mode uptime u (this block)</t>
        </is>
      </c>
      <c r="B3096">
        <f>IF(C3060=TRUE,(10+IF(Inputs!$B$3&gt;=94,5,0))/((10+IF(Inputs!$B$3&gt;=94,5,0))+IF(Inputs!$B$3&gt;=104,3,5)*B3095),0)</f>
        <v/>
      </c>
    </row>
    <row r="3097">
      <c r="A3097" t="inlineStr">
        <is>
          <t>Nautilus Strike - Final Attack trigger rate (this block's own Q/R)</t>
        </is>
      </c>
      <c r="B3097">
        <f>IF(AND(Inputs!$B$38&lt;&gt;"pvp",Inputs!$B$43&gt;0),(((C3061=TRUE)*R3061)+((C3062=TRUE)*R3062)+((C3065=TRUE)*R3065))/Inputs!$B$43,((C3061=TRUE)*Q3061)+((C3062=TRUE)*Q3062)+((C3065=TRUE)*Q3065))+B3088</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3120=TRUE)*(F3120-Calc!F20)),(Inputs!$B$23+0+(IF(ArtifactsInput!$M$15,CHOOSE(ArtifactsInput!$N$15+1,25,30,35,40,45,50)/100*(Inputs!$B$11-Inputs!$B$11),0))))/100+(Inputs!$B$23+0+(IF(ArtifactsInput!$M$15,CHOOSE(ArtifactsInput!$N$15+1,25,30,35,40,45,50)/100*(Inputs!$B$11-Inputs!$B$11),0)))/100)/2</f>
        <v/>
      </c>
      <c r="M3102">
        <f>L3102*(1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IF(B3139=0,0,O3102/B3139)</f>
        <v/>
      </c>
      <c r="Q3102" t="n">
        <v>0</v>
      </c>
      <c r="R3102" t="n">
        <v>0</v>
      </c>
      <c r="S3102">
        <f>IFERROR(O3102/N3102,0)</f>
        <v/>
      </c>
      <c r="T3102">
        <f>IF(C3102,(Skills!G2*N3102*B3133)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IF(C3102,(Skills!G2*N3102*B3133)*IF(Inputs!$B$38="pvp",1,(1+(Inputs!$B$21+Skills!Q2+(IF(ArtifactsInput!$M$33,CHOOSE(ArtifactsInput!$N$33+1,30,36,42,48,54,60),0))+(IF(AND(ArtifactsInput!$M$35,Inputs!$B$4&lt;&gt;"Chapter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Inputs!$B$3&gt;=35</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f>Skills!G3*IF(Skills!H3&gt;0,Skills!I3/Skills!H3,1)</f>
        <v/>
      </c>
      <c r="H3103">
        <f>1-(1-Skills!J3/100)^Skills!K3</f>
        <v/>
      </c>
      <c r="I3103" t="inlineStr">
        <is>
          <t>1</t>
        </is>
      </c>
      <c r="J3103">
        <f>((Inputs!$B$6*(1+Inputs!$B$7/100))+(((Inputs!$B$12*(1+Inputs!$B$13/100))-(Inputs!$B$12*(1+Inputs!$B$13/100)))+0.25*(Inputs!$B$14-Inputs!$B$14))*(1+Inputs!$B$7/100))*(F3103/100)</f>
        <v/>
      </c>
      <c r="K3103">
        <f>J3103*(1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3125=TRUE,F3125,0)/100)*(1+(IF(Skills!A3="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3120=TRUE)*(F3120-Calc!F20)),(Inputs!$B$23+0+(IF(ArtifactsInput!$M$15,CHOOSE(ArtifactsInput!$N$15+1,25,30,35,40,45,50)/100*(Inputs!$B$11-Inputs!$B$11),0))))/100+(Inputs!$B$23+0+(IF(ArtifactsInput!$M$15,CHOOSE(ArtifactsInput!$N$15+1,25,30,35,40,45,50)/100*(Inputs!$B$11-Inputs!$B$11),0)))/100)/2</f>
        <v/>
      </c>
      <c r="M3103">
        <f>L3103*(1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IF(B3139=0,0,O3103/B3139)</f>
        <v/>
      </c>
      <c r="Q3103">
        <f>IFERROR(1/(IF(Inputs!$B$38="pvp",15,MAX(0.1,Skills!D3-IF(TRUE=TRUE,3.0,0)))*(1-IF(AND(ArtifactsInput!$M$27,Inputs!$B$4="Chapter Hunt"),CHOOSE(ArtifactsInput!$N$27+1,20,24,28,32,36,40),0)/100)),0)</f>
        <v/>
      </c>
      <c r="R3103">
        <f>IF(AND(Inputs!$B$38&lt;&gt;"pvp",Inputs!$B$43&gt;0),IF(MAX(0,Inputs!$B$43-B3136)&lt;=0,0,(INT(MAX(0,Inputs!$B$43-B3136)/(IF(Inputs!$B$38="pvp",15,MAX(0.1,Skills!D3-IF(TRUE=TRUE,3.0,0)))*(1-IF(AND(ArtifactsInput!$M$27,Inputs!$B$4="Chapter Hunt"),CHOOSE(ArtifactsInput!$N$27+1,20,24,28,32,36,40),0)/100)))+1)),0)</f>
        <v/>
      </c>
      <c r="S3103">
        <f>IFERROR(O3103/N3103,0)</f>
        <v/>
      </c>
      <c r="T3103">
        <f>IF(C3103,(Skills!G3*N3103*IF(C3104=TRUE,1-B3141,1)/B3140)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3103*(1-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3">
        <f>INDEX(FactorTable!$B$2:$Y$301, MATCH(ROUND(MIN(300,MAX(1,U3102)),0), FactorTable!$A$2:$A$301,0), 22)</f>
        <v/>
      </c>
      <c r="V3103">
        <f>IF(C3103,(Skills!G3*N3103*IF(C3104=TRUE,1-B3141,1)/B3140)*IF(Inputs!$B$38="pvp",1,(1+(Inputs!$B$21+Skills!Q3+(IF(ArtifactsInput!$M$33,CHOOSE(ArtifactsInput!$N$33+1,30,36,42,48,54,60),0))+(IF(AND(ArtifactsInput!$M$35,Inputs!$B$4&lt;&gt;"Chapter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Skills!A4</f>
        <v/>
      </c>
      <c r="B3104">
        <f>Skills!B4</f>
        <v/>
      </c>
      <c r="C3104">
        <f>Inputs!$B$3&gt;=69</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f>Skills!G4*IF(Skills!H4&gt;0,Skills!I4/Skills!H4,1)</f>
        <v/>
      </c>
      <c r="H3104">
        <f>1-(1-Skills!J4/100)^Skills!K4</f>
        <v/>
      </c>
      <c r="I3104" t="inlineStr">
        <is>
          <t>1</t>
        </is>
      </c>
      <c r="J3104">
        <f>((Inputs!$B$6*(1+Inputs!$B$7/100))+(((Inputs!$B$12*(1+Inputs!$B$13/100))-(Inputs!$B$12*(1+Inputs!$B$13/100)))+0.25*(Inputs!$B$14-Inputs!$B$14))*(1+Inputs!$B$7/100))*(F3104/100)</f>
        <v/>
      </c>
      <c r="K3104">
        <f>J3104*(1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3112=TRUE,F3112,0)/100)*(1+(IF(Skills!A4="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C3120=TRUE)*(F3120-Calc!F20)),(Inputs!$B$23+0+(IF(ArtifactsInput!$M$15,CHOOSE(ArtifactsInput!$N$15+1,25,30,35,40,45,50)/100*(Inputs!$B$11-Inputs!$B$11),0))))/100+(Inputs!$B$23+0+(IF(ArtifactsInput!$M$15,CHOOSE(ArtifactsInput!$N$15+1,25,30,35,40,45,50)/100*(Inputs!$B$11-Inputs!$B$11),0)))/100)/2</f>
        <v/>
      </c>
      <c r="M3104">
        <f>L3104*(1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(1-Summary!$B$11)*T3104+Summary!$B$11*V3104</f>
        <v/>
      </c>
      <c r="P3104">
        <f>IF(B3139=0,0,O3104/B3139)</f>
        <v/>
      </c>
      <c r="Q3104" t="n">
        <v>0</v>
      </c>
      <c r="R3104" t="n">
        <v>0</v>
      </c>
      <c r="S3104">
        <f>IFERROR(O3104/N3104,0)</f>
        <v/>
      </c>
      <c r="T3104">
        <f>IF(C3104,(Skills!G4*N3104*B3141/B3140)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3104*(1-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290*U3103/1000</f>
        <v/>
      </c>
      <c r="V3104">
        <f>IF(C3104,(Skills!G4*N3104*B3141/B3140)*IF(Inputs!$B$38="pvp",1,(1+(Inputs!$B$21+Skills!Q4+(IF(ArtifactsInput!$M$33,CHOOSE(ArtifactsInput!$N$33+1,30,36,42,48,54,60),0))+(IF(AND(ArtifactsInput!$M$35,Inputs!$B$4&lt;&gt;"Chapter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5">
      <c r="A3105">
        <f>Skills!A5</f>
        <v/>
      </c>
      <c r="B3105">
        <f>Skills!B5</f>
        <v/>
      </c>
      <c r="C3105">
        <f>Inputs!$B$3&gt;=66</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t="inlineStr"/>
      <c r="K3105" t="inlineStr"/>
      <c r="L3105" t="inlineStr"/>
      <c r="M3105" t="inlineStr"/>
      <c r="N3105" t="inlineStr"/>
      <c r="O3105">
        <f>(1-Summary!$B$11)*T3105+Summary!$B$11*V3105</f>
        <v/>
      </c>
      <c r="P3105">
        <f>IF(B3139=0,0,O3105/B3139)</f>
        <v/>
      </c>
      <c r="Q3105" t="n">
        <v>0</v>
      </c>
      <c r="R3105" t="n">
        <v>0</v>
      </c>
      <c r="S3105">
        <f>IFERROR(O3105/N3105,0)</f>
        <v/>
      </c>
      <c r="T3105" t="n">
        <v>0</v>
      </c>
      <c r="V3105" t="n">
        <v>0</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3112=TRUE,F3112,0)/100)*(1+(IF(Skills!A6="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3120=TRUE)*(F3120-Calc!F20)),(Inputs!$B$23+0+(IF(ArtifactsInput!$M$15,CHOOSE(ArtifactsInput!$N$15+1,25,30,35,40,45,50)/100*(Inputs!$B$11-Inputs!$B$11),0))))/100+(Inputs!$B$23+0+(IF(ArtifactsInput!$M$15,CHOOSE(ArtifactsInput!$N$15+1,25,30,35,40,45,50)/100*(Inputs!$B$11-Inputs!$B$11),0)))/100)/2</f>
        <v/>
      </c>
      <c r="M3106">
        <f>L3106*(1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IF(B3139=0,0,O3106/B3139)</f>
        <v/>
      </c>
      <c r="Q3106">
        <f>IFERROR(1/(IF(Inputs!$B$38="pvp",15,MAX(0.1,Skills!D6-IF(TRUE=TRUE,3.0,0)))*(1-IF(AND(ArtifactsInput!$M$27,Inputs!$B$4="Chapter Hunt"),CHOOSE(ArtifactsInput!$N$27+1,20,24,28,32,36,40),0)/100)),0)</f>
        <v/>
      </c>
      <c r="R3106">
        <f>IF(AND(Inputs!$B$38&lt;&gt;"pvp",Inputs!$B$43&gt;0),IF(MAX(0,Inputs!$B$43-B3136)&lt;=0,0,(INT(MAX(0,Inputs!$B$43-B3136)/(IF(Inputs!$B$38="pvp",15,MAX(0.1,Skills!D6-IF(TRUE=TRUE,3.0,0)))*(1-IF(AND(ArtifactsInput!$M$27,Inputs!$B$4="Chapter Hunt"),CHOOSE(ArtifactsInput!$N$27+1,20,24,28,32,36,40),0)/100)))+1)),0)</f>
        <v/>
      </c>
      <c r="S3106">
        <f>IFERROR(O3106/N3106,0)</f>
        <v/>
      </c>
      <c r="T3106">
        <f>IF(C3106,(H3106*N3106*IF(AND(Inputs!$B$38&lt;&gt;"pvp",Inputs!$B$43&gt;0),((Skills!G6*((R3106-1)*IF(Skills!H6&gt;0,Skills!I6/Skills!H6,1)+IF(Skills!H6&gt;0,MIN(Skills!I6,MAX(0,MAX(0,Inputs!$B$43-B3136)-((R3106-1)*(IF(Inputs!$B$38="pvp",15,MAX(0.1,Skills!D6-IF(TRUE=TRUE,3.0,0)))*(1-IF(AND(ArtifactsInput!$M$27,Inputs!$B$4="Chapter Hunt"),CHOOSE(ArtifactsInput!$N$27+1,20,24,28,32,36,40),0)/100)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3136)-((R3106-1)*(IF(Inputs!$B$38="pvp",15,MAX(0.1,Skills!D6-IF(TRUE=TRUE,3.0,0)))*(1-IF(AND(ArtifactsInput!$M$27,Inputs!$B$4="Chapter Hunt"),CHOOSE(ArtifactsInput!$N$27+1,20,24,28,32,36,40),0)/100)))))/Skills!H6,1)))/Inputs!$B$43),G3106*Q3106))*IF(Inputs!$B$38="pvp",1,(1+(Inputs!$B$21+Skills!Q6+(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Inputs!$B$3&gt;=103</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3120=TRUE)*(F3120-Calc!F20)),(Inputs!$B$23+0+(IF(ArtifactsInput!$M$15,CHOOSE(ArtifactsInput!$N$15+1,25,30,35,40,45,50)/100*(Inputs!$B$11-Inputs!$B$11),0))))/100+(Inputs!$B$23+0+(IF(ArtifactsInput!$M$15,CHOOSE(ArtifactsInput!$N$15+1,25,30,35,40,45,50)/100*(Inputs!$B$11-Inputs!$B$11),0)))/100)/2</f>
        <v/>
      </c>
      <c r="M3107">
        <f>L3107*(1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IF(B3139=0,0,O3107/B3139)</f>
        <v/>
      </c>
      <c r="Q3107">
        <f>IFERROR(1/(IF(Inputs!$B$38="pvp",15,MAX(0.1,Skills!D7-IF(TRUE=TRUE,3.0,0)))*(1-IF(AND(ArtifactsInput!$M$27,Inputs!$B$4="Chapter Hunt"),CHOOSE(ArtifactsInput!$N$27+1,20,24,28,32,36,40),0)/100)),0)</f>
        <v/>
      </c>
      <c r="R3107">
        <f>IF(AND(Inputs!$B$38&lt;&gt;"pvp",Inputs!$B$43&gt;0),IF(MAX(0,Inputs!$B$43-B3136)&lt;=0,0,(INT(MAX(0,Inputs!$B$43-B3136)/(IF(Inputs!$B$38="pvp",15,MAX(0.1,Skills!D7-IF(TRUE=TRUE,3.0,0)))*(1-IF(AND(ArtifactsInput!$M$27,Inputs!$B$4="Chapter Hunt"),CHOOSE(ArtifactsInput!$N$27+1,20,24,28,32,36,40),0)/100)))+1)),0)</f>
        <v/>
      </c>
      <c r="S3107">
        <f>IFERROR(O3107/N3107,0)</f>
        <v/>
      </c>
      <c r="T3107">
        <f>IF(C3107,(H3107*N3107*IF(AND(Inputs!$B$38&lt;&gt;"pvp",Inputs!$B$43&gt;0),((Skills!G7*((R3107-1)*IF(Skills!H7&gt;0,Skills!I7/Skills!H7,1)+IF(Skills!H7&gt;0,MIN(Skills!I7,MAX(0,MAX(0,Inputs!$B$43-B3136)-((R3107-1)*(IF(Inputs!$B$38="pvp",15,MAX(0.1,Skills!D7-IF(TRUE=TRUE,3.0,0)))*(1-IF(AND(ArtifactsInput!$M$27,Inputs!$B$4="Chapter Hunt"),CHOOSE(ArtifactsInput!$N$27+1,20,24,28,32,36,40),0)/100)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3136)-((R3107-1)*(IF(Inputs!$B$38="pvp",15,MAX(0.1,Skills!D7-IF(TRUE=TRUE,3.0,0)))*(1-IF(AND(ArtifactsInput!$M$27,Inputs!$B$4="Chapter Hunt"),CHOOSE(ArtifactsInput!$N$27+1,20,24,28,32,36,40),0)/100)))))/Skills!H7,1)))/Inputs!$B$43),G3107*Q3107))*IF(Inputs!$B$38="pvp",1,(1+(Inputs!$B$21+Skills!Q7+(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Inputs!$B$3&gt;=117</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f>Skills!G8*IF(Skills!H8&gt;0,Skills!I8/Skills!H8,1)</f>
        <v/>
      </c>
      <c r="H3108">
        <f>1-(1-Skills!J8/100)^Skills!K8</f>
        <v/>
      </c>
      <c r="I3108" t="inlineStr">
        <is>
          <t>1</t>
        </is>
      </c>
      <c r="J3108">
        <f>((Inputs!$B$6*(1+Inputs!$B$7/100))+(((Inputs!$B$12*(1+Inputs!$B$13/100))-(Inputs!$B$12*(1+Inputs!$B$13/100)))+0.25*(Inputs!$B$14-Inputs!$B$14))*(1+Inputs!$B$7/100))*(F3108/100)</f>
        <v/>
      </c>
      <c r="K3108">
        <f>J3108*(1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3108)</f>
        <v/>
      </c>
      <c r="L3108">
        <f>K3108*(MIN(Inputs!$B$22+((C3120=TRUE)*(F3120-Calc!F20)),(Inputs!$B$23+0+(IF(ArtifactsInput!$M$15,CHOOSE(ArtifactsInput!$N$15+1,25,30,35,40,45,50)/100*(Inputs!$B$11-Inputs!$B$11),0))))/100+(Inputs!$B$23+0+(IF(ArtifactsInput!$M$15,CHOOSE(ArtifactsInput!$N$15+1,25,30,35,40,45,50)/100*(Inputs!$B$11-Inputs!$B$11),0)))/100)/2</f>
        <v/>
      </c>
      <c r="M3108">
        <f>L3108*(1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8">
        <f>L3108*(1-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3108*(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8">
        <f>(1-Summary!$B$11)*T3108+Summary!$B$11*V3108</f>
        <v/>
      </c>
      <c r="P3108">
        <f>IF(B3139=0,0,O3108/B3139)</f>
        <v/>
      </c>
      <c r="Q3108">
        <f>IFERROR(1/(IF(Inputs!$B$38="pvp",15,MAX(0.1,Skills!D8-IF(TRUE=TRUE,3.0,0)))*(1-IF(AND(ArtifactsInput!$M$27,Inputs!$B$4="Chapter Hunt"),CHOOSE(ArtifactsInput!$N$27+1,20,24,28,32,36,40),0)/100)),0)</f>
        <v/>
      </c>
      <c r="R3108">
        <f>IF(AND(Inputs!$B$38&lt;&gt;"pvp",Inputs!$B$43&gt;0),IF(MAX(0,Inputs!$B$43-B3136)&lt;=0,0,(INT(MAX(0,Inputs!$B$43-B3136)/(IF(Inputs!$B$38="pvp",15,MAX(0.1,Skills!D8-IF(TRUE=TRUE,3.0,0)))*(1-IF(AND(ArtifactsInput!$M$27,Inputs!$B$4="Chapter Hunt"),CHOOSE(ArtifactsInput!$N$27+1,20,24,28,32,36,40),0)/100)))+1)),0)</f>
        <v/>
      </c>
      <c r="S3108">
        <f>IFERROR(O3108/N3108,0)</f>
        <v/>
      </c>
      <c r="T3108">
        <f>IF(C3108,(H3108*N3108*IF(AND(Inputs!$B$38&lt;&gt;"pvp",Inputs!$B$43&gt;0),((Skills!G8*((R3108-1)*IF(Skills!H8&gt;0,Skills!I8/Skills!H8,1)+IF(Skills!H8&gt;0,MIN(Skills!I8,MAX(0,MAX(0,Inputs!$B$43-B3136)-((R3108-1)*(IF(Inputs!$B$38="pvp",15,MAX(0.1,Skills!D8-IF(TRUE=TRUE,3.0,0)))*(1-IF(AND(ArtifactsInput!$M$27,Inputs!$B$4="Chapter Hunt"),CHOOSE(ArtifactsInput!$N$27+1,20,24,28,32,36,40),0)/100)))))/Skills!H8,1)))/Inputs!$B$43),G3108*Q3108)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3108*(1-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3108*(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3108*(1-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3108*(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8">
        <f>IF(C3108,(H3108*N3108*IF(AND(Inputs!$B$38&lt;&gt;"pvp",Inputs!$B$43&gt;0),((Skills!G8*((R3108-1)*IF(Skills!H8&gt;0,Skills!I8/Skills!H8,1)+IF(Skills!H8&gt;0,MIN(Skills!I8,MAX(0,MAX(0,Inputs!$B$43-B3136)-((R3108-1)*(IF(Inputs!$B$38="pvp",15,MAX(0.1,Skills!D8-IF(TRUE=TRUE,3.0,0)))*(1-IF(AND(ArtifactsInput!$M$27,Inputs!$B$4="Chapter Hunt"),CHOOSE(ArtifactsInput!$N$27+1,20,24,28,32,36,40),0)/100)))))/Skills!H8,1)))/Inputs!$B$43),G3108*Q3108))*IF(Inputs!$B$38="pvp",1,(1+(Inputs!$B$21+Skills!Q8+(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9">
      <c r="A3109">
        <f>Skills!A9</f>
        <v/>
      </c>
      <c r="B3109">
        <f>Skills!B9</f>
        <v/>
      </c>
      <c r="C3109">
        <f>Inputs!$B$3&gt;=120</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B3141</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3120=TRUE)*(F3120-Calc!F20)),(Inputs!$B$23+0+(IF(ArtifactsInput!$M$15,CHOOSE(ArtifactsInput!$N$15+1,25,30,35,40,45,50)/100*(Inputs!$B$11-Inputs!$B$11),0))))/100+(Inputs!$B$23+0+(IF(ArtifactsInput!$M$15,CHOOSE(ArtifactsInput!$N$15+1,25,30,35,40,45,50)/100*(Inputs!$B$11-Inputs!$B$11),0)))/100)/2</f>
        <v/>
      </c>
      <c r="M3109">
        <f>L3109*(1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IF(B3139=0,0,O3109/B3139)</f>
        <v/>
      </c>
      <c r="Q3109">
        <f>IFERROR(1/(IF(Inputs!$B$38="pvp",15,MAX(0.1,Skills!D9-IF(TRUE=TRUE,3.0,0)))*(1-IF(AND(ArtifactsInput!$M$27,Inputs!$B$4="Chapter Hunt"),CHOOSE(ArtifactsInput!$N$27+1,20,24,28,32,36,40),0)/100)),0)</f>
        <v/>
      </c>
      <c r="R3109">
        <f>IF(AND(Inputs!$B$38&lt;&gt;"pvp",Inputs!$B$43&gt;0),IF(MAX(0,Inputs!$B$43-B3136)&lt;=0,0,(INT(MAX(0,Inputs!$B$43-B3136)/(IF(Inputs!$B$38="pvp",15,MAX(0.1,Skills!D9-IF(TRUE=TRUE,3.0,0)))*(1-IF(AND(ArtifactsInput!$M$27,Inputs!$B$4="Chapter Hunt"),CHOOSE(ArtifactsInput!$N$27+1,20,24,28,32,36,40),0)/100)))+1)),0)</f>
        <v/>
      </c>
      <c r="S3109">
        <f>IFERROR(O3109/N3109,0)</f>
        <v/>
      </c>
      <c r="T3109">
        <f>IF(C3109,(H3109*N3109*IF(AND(Inputs!$B$38&lt;&gt;"pvp",Inputs!$B$43&gt;0),((Skills!G9*((R3109-1)*IF(Skills!H9&gt;0,Skills!I9/Skills!H9,1)+IF(Skills!H9&gt;0,MIN(Skills!I9,MAX(0,MAX(0,Inputs!$B$43-B3136)-((R3109-1)*(IF(Inputs!$B$38="pvp",15,MAX(0.1,Skills!D9-IF(TRUE=TRUE,3.0,0)))*(1-IF(AND(ArtifactsInput!$M$27,Inputs!$B$4="Chapter Hunt"),CHOOSE(ArtifactsInput!$N$27+1,20,24,28,32,36,40),0)/100)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3136)-((R3109-1)*(IF(Inputs!$B$38="pvp",15,MAX(0.1,Skills!D9-IF(TRUE=TRUE,3.0,0)))*(1-IF(AND(ArtifactsInput!$M$27,Inputs!$B$4="Chapter Hunt"),CHOOSE(ArtifactsInput!$N$27+1,20,24,28,32,36,40),0)/100)))))/Skills!H9,1)))/Inputs!$B$43),G3109*Q3109))*IF(Inputs!$B$38="pvp",1,(1+(Inputs!$B$21+Skills!Q9+(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Inputs!$B$3&gt;=105</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3120=TRUE)*(F3120-Calc!F20)),(Inputs!$B$23+0+(IF(ArtifactsInput!$M$15,CHOOSE(ArtifactsInput!$N$15+1,25,30,35,40,45,50)/100*(Inputs!$B$11-Inputs!$B$11),0))))/100+(Inputs!$B$23+0+(IF(ArtifactsInput!$M$15,CHOOSE(ArtifactsInput!$N$15+1,25,30,35,40,45,50)/100*(Inputs!$B$11-Inputs!$B$11),0)))/100)/2</f>
        <v/>
      </c>
      <c r="M3110">
        <f>L3110*(1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IF(B3139=0,0,O3110/B3139)</f>
        <v/>
      </c>
      <c r="Q3110">
        <f>IFERROR(1/(IF(Inputs!$B$38="pvp",15,MAX(0.1,Skills!D10-IF(TRUE=TRUE,3.0,0)))*(1-IF(AND(ArtifactsInput!$M$27,Inputs!$B$4="Chapter Hunt"),CHOOSE(ArtifactsInput!$N$27+1,20,24,28,32,36,40),0)/100)),0)</f>
        <v/>
      </c>
      <c r="R3110">
        <f>IF(AND(Inputs!$B$38&lt;&gt;"pvp",Inputs!$B$43&gt;0),IF(MAX(0,Inputs!$B$43-B3136)&lt;=0,0,(INT(MAX(0,Inputs!$B$43-B3136)/(IF(Inputs!$B$38="pvp",15,MAX(0.1,Skills!D10-IF(TRUE=TRUE,3.0,0)))*(1-IF(AND(ArtifactsInput!$M$27,Inputs!$B$4="Chapter Hunt"),CHOOSE(ArtifactsInput!$N$27+1,20,24,28,32,36,40),0)/100)))+1)),0)</f>
        <v/>
      </c>
      <c r="S3110">
        <f>IFERROR(O3110/N3110,0)</f>
        <v/>
      </c>
      <c r="T3110">
        <f>IF(C3110,(H3110*N3110*IF(AND(Inputs!$B$38&lt;&gt;"pvp",Inputs!$B$43&gt;0),((Skills!G10*((R3110-1)*IF(Skills!H10&gt;0,Skills!I10/Skills!H10,1)+IF(Skills!H10&gt;0,MIN(Skills!I10,MAX(0,MAX(0,Inputs!$B$43-B3136)-((R3110-1)*(IF(Inputs!$B$38="pvp",15,MAX(0.1,Skills!D10-IF(TRUE=TRUE,3.0,0)))*(1-IF(AND(ArtifactsInput!$M$27,Inputs!$B$4="Chapter Hunt"),CHOOSE(ArtifactsInput!$N$27+1,20,24,28,32,36,40),0)/100)))))/Skills!H10,1)))/Inputs!$B$43),G3110*Q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H3110*N3110*IF(AND(Inputs!$B$38&lt;&gt;"pvp",Inputs!$B$43&gt;0),((Skills!G10*((R3110-1)*IF(Skills!H10&gt;0,Skills!I10/Skills!H10,1)+IF(Skills!H10&gt;0,MIN(Skills!I10,MAX(0,MAX(0,Inputs!$B$43-B3136)-((R3110-1)*(IF(Inputs!$B$38="pvp",15,MAX(0.1,Skills!D10-IF(TRUE=TRUE,3.0,0)))*(1-IF(AND(ArtifactsInput!$M$27,Inputs!$B$4="Chapter Hunt"),CHOOSE(ArtifactsInput!$N$27+1,20,24,28,32,36,40),0)/100)))))/Skills!H10,1)))/Inputs!$B$43),G3110*Q3110))*IF(Inputs!$B$38="pvp",1,(1+(Inputs!$B$21+Skills!Q10+(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Inputs!$B$3&gt;=113</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3120=TRUE)*(F3120-Calc!F20)),(Inputs!$B$23+0+(IF(ArtifactsInput!$M$15,CHOOSE(ArtifactsInput!$N$15+1,25,30,35,40,45,50)/100*(Inputs!$B$11-Inputs!$B$11),0))))/100+(Inputs!$B$23+0+(IF(ArtifactsInput!$M$15,CHOOSE(ArtifactsInput!$N$15+1,25,30,35,40,45,50)/100*(Inputs!$B$11-Inputs!$B$11),0)))/100)/2</f>
        <v/>
      </c>
      <c r="M3111">
        <f>L3111*(1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IF(B3139=0,0,O3111/B3139)</f>
        <v/>
      </c>
      <c r="Q3111" t="n">
        <v>0</v>
      </c>
      <c r="R3111" t="n">
        <v>0</v>
      </c>
      <c r="S3111">
        <f>IFERROR(O3111/N3111,0)</f>
        <v/>
      </c>
      <c r="T3111">
        <f>IF(C3111,((H3111*B3142)/(1+Skills!H11*H3111*B3142)*N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IF(C3111,((H3111*B3142)/(1+Skills!H11*H3111*B3142)*N3111)*IF(Inputs!$B$38="pvp",1,(1+(Inputs!$B$21+Skills!Q11+(IF(ArtifactsInput!$M$33,CHOOSE(ArtifactsInput!$N$33+1,30,36,42,48,54,60),0))+(IF(AND(ArtifactsInput!$M$35,Inputs!$B$4&lt;&gt;"Chapter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Inputs!$B$3&gt;=100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t="inlineStr"/>
      <c r="H3112" t="inlineStr"/>
      <c r="I3112" t="inlineStr">
        <is>
          <t>1</t>
        </is>
      </c>
      <c r="J3112" t="inlineStr"/>
      <c r="K3112" t="inlineStr"/>
      <c r="L3112" t="inlineStr"/>
      <c r="M3112" t="inlineStr"/>
      <c r="N3112" t="inlineStr"/>
      <c r="O3112" t="inlineStr"/>
      <c r="P3112" t="inlineStr"/>
      <c r="Q3112" t="inlineStr"/>
      <c r="R3112" t="inlineStr"/>
      <c r="S3112" t="inlineStr"/>
      <c r="T3112" t="inlineStr"/>
      <c r="V3112" t="inlineStr"/>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IF(B3139=0,0,O3113/B3139)</f>
        <v/>
      </c>
      <c r="Q3113" t="n">
        <v>0</v>
      </c>
      <c r="R3113" t="n">
        <v>0</v>
      </c>
      <c r="S3113">
        <f>IFERROR(O3113/N3113,0)</f>
        <v/>
      </c>
      <c r="T3113" t="n">
        <v>0</v>
      </c>
      <c r="V3113" t="n">
        <v>0</v>
      </c>
    </row>
    <row r="3114">
      <c r="A3114">
        <f>Skills!A14</f>
        <v/>
      </c>
      <c r="B3114">
        <f>Skills!B14</f>
        <v/>
      </c>
      <c r="C3114">
        <f>Inputs!$B$3&gt;=115</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IF(B3139=0,0,O3114/B3139)</f>
        <v/>
      </c>
      <c r="Q3114">
        <f>IFERROR(1/(IF(Inputs!$B$38="pvp",15,MAX(0.1,Skills!D14-IF(TRUE=TRUE,3.0,0)))*(1-IF(AND(ArtifactsInput!$M$27,Inputs!$B$4="Chapter Hunt"),CHOOSE(ArtifactsInput!$N$27+1,20,24,28,32,36,40),0)/100)),0)</f>
        <v/>
      </c>
      <c r="R3114">
        <f>IF(AND(Inputs!$B$38&lt;&gt;"pvp",Inputs!$B$43&gt;0),IF(Inputs!$B$43&lt;=0,0,(INT(Inputs!$B$43/(IF(Inputs!$B$38="pvp",15,MAX(0.1,Skills!D14-IF(TRUE=TRUE,3.0,0)))*(1-IF(AND(ArtifactsInput!$M$27,Inputs!$B$4="Chapter Hunt"),CHOOSE(ArtifactsInput!$N$27+1,20,24,28,32,36,40),0)/100)))+1)),0)</f>
        <v/>
      </c>
      <c r="S3114">
        <f>IFERROR(O3114/N3114,0)</f>
        <v/>
      </c>
      <c r="T3114" t="n">
        <v>0</v>
      </c>
      <c r="V3114" t="n">
        <v>0</v>
      </c>
    </row>
    <row r="3115">
      <c r="A3115">
        <f>Skills!A15</f>
        <v/>
      </c>
      <c r="B3115">
        <f>Skills!B15</f>
        <v/>
      </c>
      <c r="C3115">
        <f>Inputs!$B$3&gt;=125</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IF(B3139=0,0,O3115/B3139)</f>
        <v/>
      </c>
      <c r="Q3115">
        <f>IFERROR(1/(IF(Inputs!$B$38="pvp",15,MAX(0.1,Skills!D15-IF(TRUE=TRUE,3.0,0)))*(1-IF(AND(ArtifactsInput!$M$27,Inputs!$B$4="Chapter Hunt"),CHOOSE(ArtifactsInput!$N$27+1,20,24,28,32,36,40),0)/100)),0)</f>
        <v/>
      </c>
      <c r="R3115">
        <f>IF(AND(Inputs!$B$38&lt;&gt;"pvp",Inputs!$B$43&gt;0),IF(Inputs!$B$43&lt;=0,0,(INT(Inputs!$B$43/(IF(Inputs!$B$38="pvp",15,MAX(0.1,Skills!D15-IF(TRUE=TRUE,3.0,0)))*(1-IF(AND(ArtifactsInput!$M$27,Inputs!$B$4="Chapter Hunt"),CHOOSE(ArtifactsInput!$N$27+1,20,24,28,32,36,40),0)/100)))+1)),0)</f>
        <v/>
      </c>
      <c r="S3115">
        <f>IFERROR(O3115/N3115,0)</f>
        <v/>
      </c>
      <c r="T3115" t="n">
        <v>0</v>
      </c>
      <c r="V3115" t="n">
        <v>0</v>
      </c>
    </row>
    <row r="3116">
      <c r="A3116">
        <f>Skills!A16</f>
        <v/>
      </c>
      <c r="B3116">
        <f>Skills!B16</f>
        <v/>
      </c>
      <c r="C3116">
        <f>Inputs!$B$3&gt;=10</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IF(B3139=0,0,O3116/B3139)</f>
        <v/>
      </c>
      <c r="Q3116" t="n">
        <v>0</v>
      </c>
      <c r="R3116" t="n">
        <v>0</v>
      </c>
      <c r="S3116">
        <f>IFERROR(O3116/N3116,0)</f>
        <v/>
      </c>
      <c r="T3116" t="n">
        <v>0</v>
      </c>
      <c r="V3116" t="n">
        <v>0</v>
      </c>
    </row>
    <row r="3117">
      <c r="A3117">
        <f>Skills!A17</f>
        <v/>
      </c>
      <c r="B3117">
        <f>Skills!B17</f>
        <v/>
      </c>
      <c r="C3117">
        <f>Inputs!$B$3&gt;=15</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IF(B3139=0,0,O3117/B3139)</f>
        <v/>
      </c>
      <c r="Q3117" t="n">
        <v>0</v>
      </c>
      <c r="R3117" t="n">
        <v>0</v>
      </c>
      <c r="S3117">
        <f>IFERROR(O3117/N3117,0)</f>
        <v/>
      </c>
      <c r="T3117" t="n">
        <v>0</v>
      </c>
      <c r="V3117" t="n">
        <v>0</v>
      </c>
    </row>
    <row r="3118">
      <c r="A3118">
        <f>Skills!A18</f>
        <v/>
      </c>
      <c r="B3118">
        <f>Skills!B18</f>
        <v/>
      </c>
      <c r="C3118">
        <f>Inputs!$B$3&gt;=33</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IF(B3139=0,0,O3118/B3139)</f>
        <v/>
      </c>
      <c r="Q3118" t="n">
        <v>0</v>
      </c>
      <c r="R3118" t="n">
        <v>0</v>
      </c>
      <c r="S3118">
        <f>IFERROR(O3118/N3118,0)</f>
        <v/>
      </c>
      <c r="T3118" t="n">
        <v>0</v>
      </c>
      <c r="V3118" t="n">
        <v>0</v>
      </c>
    </row>
    <row r="3119">
      <c r="A3119">
        <f>Skills!A19</f>
        <v/>
      </c>
      <c r="B3119">
        <f>Skills!B19</f>
        <v/>
      </c>
      <c r="C3119">
        <f>Inputs!$B$3&gt;=40</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IF(B3139=0,0,O3119/B3139)</f>
        <v/>
      </c>
      <c r="Q3119" t="n">
        <v>0</v>
      </c>
      <c r="R3119" t="n">
        <v>0</v>
      </c>
      <c r="S3119">
        <f>IFERROR(O3119/N3119,0)</f>
        <v/>
      </c>
      <c r="T3119" t="n">
        <v>0</v>
      </c>
      <c r="V3119" t="n">
        <v>0</v>
      </c>
    </row>
    <row r="3120">
      <c r="A3120">
        <f>Skills!A20</f>
        <v/>
      </c>
      <c r="B3120">
        <f>Skills!B20</f>
        <v/>
      </c>
      <c r="C3120">
        <f>Inputs!$B$3&gt;=43</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IF(B3139=0,0,O3120/B3139)</f>
        <v/>
      </c>
      <c r="Q3120" t="n">
        <v>0</v>
      </c>
      <c r="R3120" t="n">
        <v>0</v>
      </c>
      <c r="S3120">
        <f>IFERROR(O3120/N3120,0)</f>
        <v/>
      </c>
      <c r="T3120" t="n">
        <v>0</v>
      </c>
      <c r="V3120" t="n">
        <v>0</v>
      </c>
    </row>
    <row r="3121">
      <c r="A3121">
        <f>Skills!A21</f>
        <v/>
      </c>
      <c r="B3121">
        <f>Skills!B21</f>
        <v/>
      </c>
      <c r="C3121">
        <f>Inputs!$B$3&gt;=38</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IF(B3139=0,0,O3121/B3139)</f>
        <v/>
      </c>
      <c r="Q3121" t="n">
        <v>0</v>
      </c>
      <c r="R3121" t="n">
        <v>0</v>
      </c>
      <c r="S3121">
        <f>IFERROR(O3121/N3121,0)</f>
        <v/>
      </c>
      <c r="T3121" t="n">
        <v>0</v>
      </c>
      <c r="V3121" t="n">
        <v>0</v>
      </c>
    </row>
    <row r="3122">
      <c r="A3122">
        <f>Skills!A22</f>
        <v/>
      </c>
      <c r="B3122">
        <f>Skills!B22</f>
        <v/>
      </c>
      <c r="C3122">
        <f>Inputs!$B$3&gt;=75</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IF(B3139=0,0,O3122/B3139)</f>
        <v/>
      </c>
      <c r="Q3122" t="n">
        <v>0</v>
      </c>
      <c r="R3122" t="n">
        <v>0</v>
      </c>
      <c r="S3122">
        <f>IFERROR(O3122/N3122,0)</f>
        <v/>
      </c>
      <c r="T3122" t="n">
        <v>0</v>
      </c>
      <c r="V3122" t="n">
        <v>0</v>
      </c>
    </row>
    <row r="3123">
      <c r="A3123">
        <f>Skills!A23</f>
        <v/>
      </c>
      <c r="B3123">
        <f>Skills!B23</f>
        <v/>
      </c>
      <c r="C3123">
        <f>TRUE</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IF(B3139=0,0,O3123/B3139)</f>
        <v/>
      </c>
      <c r="Q3123">
        <f>IFERROR(1/(IF(Inputs!$B$38="pvp",15,MAX(0.1,Skills!D23-IF(TRUE=TRUE,3.0,0)))*(1-IF(AND(ArtifactsInput!$M$27,Inputs!$B$4="Chapter Hunt"),CHOOSE(ArtifactsInput!$N$27+1,20,24,28,32,36,40),0)/100)),0)</f>
        <v/>
      </c>
      <c r="R3123">
        <f>IF(AND(Inputs!$B$38&lt;&gt;"pvp",Inputs!$B$43&gt;0),IF(Inputs!$B$43&lt;=0,0,(INT(Inputs!$B$43/(IF(Inputs!$B$38="pvp",15,MAX(0.1,Skills!D23-IF(TRUE=TRUE,3.0,0)))*(1-IF(AND(ArtifactsInput!$M$27,Inputs!$B$4="Chapter Hunt"),CHOOSE(ArtifactsInput!$N$27+1,20,24,28,32,36,40),0)/100)))+1)),0)</f>
        <v/>
      </c>
      <c r="S3123">
        <f>IFERROR(O3123/N3123,0)</f>
        <v/>
      </c>
      <c r="T3123" t="n">
        <v>0</v>
      </c>
      <c r="V3123" t="n">
        <v>0</v>
      </c>
    </row>
    <row r="3124">
      <c r="A3124">
        <f>Skills!A24</f>
        <v/>
      </c>
      <c r="B3124">
        <f>Skills!B24</f>
        <v/>
      </c>
      <c r="C3124">
        <f>Inputs!$B$3&gt;=107</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IF(B3139=0,0,O3124/B3139)</f>
        <v/>
      </c>
      <c r="Q3124">
        <f>IFERROR(1/(IF(Inputs!$B$38="pvp",15,MAX(0.1,Skills!D24-IF(TRUE=TRUE,3.0,0)))*(1-IF(AND(ArtifactsInput!$M$27,Inputs!$B$4="Chapter Hunt"),CHOOSE(ArtifactsInput!$N$27+1,20,24,28,32,36,40),0)/100)),0)</f>
        <v/>
      </c>
      <c r="R3124">
        <f>IF(AND(Inputs!$B$38&lt;&gt;"pvp",Inputs!$B$43&gt;0),IF(Inputs!$B$43&lt;=0,0,(INT(Inputs!$B$43/(IF(Inputs!$B$38="pvp",15,MAX(0.1,Skills!D24-IF(TRUE=TRUE,3.0,0)))*(1-IF(AND(ArtifactsInput!$M$27,Inputs!$B$4="Chapter Hunt"),CHOOSE(ArtifactsInput!$N$27+1,20,24,28,32,36,40),0)/100)))+1)),0)</f>
        <v/>
      </c>
      <c r="S3124">
        <f>IFERROR(O3124/N3124,0)</f>
        <v/>
      </c>
      <c r="T3124" t="n">
        <v>0</v>
      </c>
      <c r="V3124" t="n">
        <v>0</v>
      </c>
    </row>
    <row r="3125">
      <c r="A3125">
        <f>Skills!A25</f>
        <v/>
      </c>
      <c r="B3125">
        <f>Skills!B25</f>
        <v/>
      </c>
      <c r="C3125">
        <f>Inputs!$B$3&gt;=110</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t="inlineStr"/>
      <c r="H3125" t="inlineStr"/>
      <c r="I3125" t="inlineStr">
        <is>
          <t>1</t>
        </is>
      </c>
      <c r="J3125" t="inlineStr"/>
      <c r="K3125" t="inlineStr"/>
      <c r="L3125" t="inlineStr"/>
      <c r="M3125" t="inlineStr"/>
      <c r="N3125" t="inlineStr"/>
      <c r="O3125" t="inlineStr"/>
      <c r="P3125" t="inlineStr"/>
      <c r="Q3125" t="inlineStr"/>
      <c r="R3125" t="inlineStr"/>
      <c r="S3125" t="inlineStr"/>
      <c r="T3125" t="inlineStr"/>
      <c r="V3125" t="inlineStr"/>
    </row>
    <row r="3126">
      <c r="A3126">
        <f>Skills!A26</f>
        <v/>
      </c>
      <c r="B3126">
        <f>Skills!B26</f>
        <v/>
      </c>
      <c r="C3126">
        <f>Inputs!$B$3&gt;=117</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t="inlineStr"/>
      <c r="H3126" t="inlineStr"/>
      <c r="I3126" t="inlineStr">
        <is>
          <t>1</t>
        </is>
      </c>
      <c r="J3126" t="inlineStr"/>
      <c r="K3126" t="inlineStr"/>
      <c r="L3126" t="inlineStr"/>
      <c r="M3126" t="inlineStr"/>
      <c r="N3126" t="inlineStr"/>
      <c r="O3126" t="inlineStr"/>
      <c r="P3126" t="inlineStr"/>
      <c r="Q3126" t="inlineStr"/>
      <c r="R3126" t="inlineStr"/>
      <c r="S3126" t="inlineStr"/>
      <c r="T3126" t="inlineStr"/>
      <c r="V3126" t="inlineStr"/>
    </row>
    <row r="3128">
      <c r="A3128" t="inlineStr">
        <is>
          <t>Attack% Bucket Multiplier</t>
        </is>
      </c>
      <c r="B3128">
        <f>(1+(((C3113=TRUE)*F3113*5/7)+((C3119=TRUE)*(F3119-Calc!F19))+(IF(ArtifactsInput!$M$21,CHOOSE(ArtifactsInput!$N$21+1,25,30,35,40,45,50)*(IF(OR(Inputs!$B$4="Chapter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9">
      <c r="A3129" t="inlineStr">
        <is>
          <t>Global Crit Rate Bonus %</t>
        </is>
      </c>
      <c r="B3129" t="n">
        <v>0</v>
      </c>
    </row>
    <row r="3130">
      <c r="A3130" t="inlineStr">
        <is>
          <t>Attack Speed Buff Bonus % (Nimble Feet + Speed Infusion, duty-cycle averaged)</t>
        </is>
      </c>
      <c r="B3130">
        <f>((C3123=TRUE)*F3123*IF(AND(Inputs!$B$38&lt;&gt;"pvp",Inputs!$B$43&gt;0),(((R3123-1)*MIN((Skills!T23*(1+Inputs!$B$34/100)),(1/Q3123))+MIN((Skills!T23*(1+Inputs!$B$34/100)),MAX(0,Inputs!$B$43-((R3123-1)*(1/Q3123)))))/Inputs!$B$43),IF(Inputs!$B$38="pvp",MIN((Skills!T23*(1+Inputs!$B$34/100)),15)/15,MIN(1,(Skills!T23*(1+Inputs!$B$34/100))/(1/Q3123)))))+((C3124=TRUE)*F3124*IF(AND(Inputs!$B$38&lt;&gt;"pvp",Inputs!$B$43&gt;0),(((R3124-1)*MIN((Skills!T24*(1+Inputs!$B$34/100)),(1/Q3124))+MIN((Skills!T24*(1+Inputs!$B$34/100)),MAX(0,Inputs!$B$43-((R3124-1)*(1/Q3124)))))/Inputs!$B$43),IF(Inputs!$B$38="pvp",MIN((Skills!T24*(1+Inputs!$B$34/100)),15)/15,MIN(1,(Skills!T24*(1+Inputs!$B$34/100))/(1/Q3124)))))</f>
        <v/>
      </c>
    </row>
    <row r="3131">
      <c r="A3131" t="inlineStr">
        <is>
          <t>Actions Per Second</t>
        </is>
      </c>
      <c r="B3131">
        <f>1+MIN(150,150*(1-(1-(Inputs!$B$11+((C3117=TRUE)*(F3117-Calc!F17))+((C3118=TRUE)*(F3118-Calc!F18)))/150)*(1-B3130/150)))/100</f>
        <v/>
      </c>
    </row>
    <row r="3132">
      <c r="A3132" t="inlineStr">
        <is>
          <t>Skill + Buff Cast Rate</t>
        </is>
      </c>
      <c r="B3132">
        <f>IF(AND(Inputs!$B$38&lt;&gt;"pvp",Inputs!$B$43&gt;0),SUMPRODUCT((Skills!E2:E26=TRUE)*(C3102:C3126=TRUE)*R3102:R3126*Skills!F2:F26)/Inputs!$B$43,SUMPRODUCT((Skills!E2:E26=TRUE)*(C3102:C3126=TRUE)*Q3102:Q3126*Skills!F2:F26))</f>
        <v/>
      </c>
    </row>
    <row r="3133">
      <c r="A3133" t="inlineStr">
        <is>
          <t>Hook Bomber Casts Per Second</t>
        </is>
      </c>
      <c r="B3133">
        <f>MAX(0,B3131-B3132)</f>
        <v/>
      </c>
    </row>
    <row r="3134">
      <c r="A3134" t="inlineStr">
        <is>
          <t>Global Critical Damage Bonus % (unused)</t>
        </is>
      </c>
      <c r="B3134" t="n">
        <v>0</v>
      </c>
    </row>
    <row r="3135">
      <c r="A3135" t="inlineStr">
        <is>
          <t>Global Final Damage Bonus % (Serpent Scale + Crossbones + Time Leap + Speed Infusion)</t>
        </is>
      </c>
      <c r="B3135">
        <f>((C3105=TRUE)*(F3105*B3141+4*(1-B3141)))+((C3114=TRUE)*F3114*IF(AND(Inputs!$B$38&lt;&gt;"pvp",Inputs!$B$43&gt;0),(((R3114-1)*MIN((Skills!T14*(1+Inputs!$B$34/100)),(1/Q3114))+MIN((Skills!T14*(1+Inputs!$B$34/100)),MAX(0,Inputs!$B$43-((R3114-1)*(1/Q3114)))))/Inputs!$B$43),IF(Inputs!$B$38="pvp",MIN((Skills!T14*(1+Inputs!$B$34/100)),15)/15,MIN(1,(Skills!T14*(1+Inputs!$B$34/100))/(1/Q3114)))))+((C3115=TRUE)*F3115*IF(AND(Inputs!$B$38&lt;&gt;"pvp",Inputs!$B$43&gt;0),(((R3115-1)*MIN((Skills!T15*(1+Inputs!$B$34/100)),(1/Q3115))+MIN((Skills!T15*(1+Inputs!$B$34/100)),MAX(0,Inputs!$B$43-((R3115-1)*(1/Q3115)))))/Inputs!$B$43),IF(Inputs!$B$38="pvp",MIN((Skills!T15*(1+Inputs!$B$34/100)),15)/15,MIN(1,(Skills!T15*(1+Inputs!$B$34/100))/(1/Q3115)))))+((C3124=TRUE)*20*((1+MIN(150,150*(1-(1-(Inputs!$B$11+((C3117=TRUE)*(F3117-Calc!F17))+((C3118=TRUE)*(F3118-Calc!F18)))/150)*(1-(((C3123=TRUE)*F3123*IF(AND(Inputs!$B$38&lt;&gt;"pvp",Inputs!$B$43&gt;0),(((R3123-1)*MIN((Skills!T23*(1+Inputs!$B$34/100)),(1/Q3123))+MIN((Skills!T23*(1+Inputs!$B$34/100)),MAX(0,Inputs!$B$43-((R3123-1)*(1/Q3123)))))/Inputs!$B$43),IF(Inputs!$B$38="pvp",MIN((Skills!T23*(1+Inputs!$B$34/100)),15)/15,MIN(1,(Skills!T23*(1+Inputs!$B$34/100))/(1/Q3123)))))+F3124)/150)))/100)-1)*IF(AND(Inputs!$B$38&lt;&gt;"pvp",Inputs!$B$43&gt;0),(((R3124-1)*MIN((Skills!T24*(1+Inputs!$B$34/100)),(1/Q3124))+MIN((Skills!T24*(1+Inputs!$B$34/100)),MAX(0,Inputs!$B$43-((R3124-1)*(1/Q3124)))))/Inputs!$B$43),IF(Inputs!$B$38="pvp",MIN((Skills!T24*(1+Inputs!$B$34/100)),15)/15,MIN(1,(Skills!T24*(1+Inputs!$B$34/100))/(1/Q3124)))))</f>
        <v/>
      </c>
    </row>
    <row r="3136">
      <c r="A3136" t="inlineStr">
        <is>
          <t>Buff-Casting Startup Delay (s, fixed-duration only)</t>
        </is>
      </c>
      <c r="B3136">
        <f>IF(AND(Inputs!$B$38&lt;&gt;"pvp",Inputs!$B$43&gt;0),SUMPRODUCT((Skills!T2:T26&gt;0)*(Skills!E2:E26=TRUE)*(C3102:C3126=TRUE))/B3131,0)</f>
        <v/>
      </c>
    </row>
    <row r="3137">
      <c r="A3137" t="inlineStr">
        <is>
          <t>Boss-Only Total DPS (this block's swept value)</t>
        </is>
      </c>
      <c r="B3137">
        <f>SUM(T3102:T3126)</f>
        <v/>
      </c>
    </row>
    <row r="3138">
      <c r="A3138" t="inlineStr">
        <is>
          <t>Normal-Only Total DPS (this block's swept value)</t>
        </is>
      </c>
      <c r="B3138">
        <f>SUM(V3102:V3126)</f>
        <v/>
      </c>
    </row>
    <row r="3139">
      <c r="A3139" s="6" t="inlineStr">
        <is>
          <t>TOTAL DPS</t>
        </is>
      </c>
      <c r="B3139" s="6">
        <f>SUM(O3102:O3126)</f>
        <v/>
      </c>
    </row>
    <row r="3140">
      <c r="A3140" t="inlineStr">
        <is>
          <t>Serpent activation interval T (this block's own Hook Bomber rate)</t>
        </is>
      </c>
      <c r="B3140">
        <f>((1/Q3103)+IFERROR(0.5/B3133,0))</f>
        <v/>
      </c>
    </row>
    <row r="3141">
      <c r="A3141" t="inlineStr">
        <is>
          <t>Assault Mode uptime u (this block)</t>
        </is>
      </c>
      <c r="B3141">
        <f>IF(C3105=TRUE,(10+IF(Inputs!$B$3&gt;=94,5,0))/((10+IF(Inputs!$B$3&gt;=94,5,0))+IF(Inputs!$B$3&gt;=104,3,5)*B3140),0)</f>
        <v/>
      </c>
    </row>
    <row r="3142">
      <c r="A3142" t="inlineStr">
        <is>
          <t>Nautilus Strike - Final Attack trigger rate (this block's own Q/R)</t>
        </is>
      </c>
      <c r="B3142">
        <f>IF(AND(Inputs!$B$38&lt;&gt;"pvp",Inputs!$B$43&gt;0),(((C3106=TRUE)*R3106)+((C3107=TRUE)*R3107)+((C3110=TRUE)*R3110))/Inputs!$B$43,((C3106=TRUE)*Q3106)+((C3107=TRUE)*Q3107)+((C3110=TRUE)*Q3110))+B3133</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3165=TRUE)*(F3165-Calc!F20)),(Inputs!$B$23+0+(IF(ArtifactsInput!$M$15,CHOOSE(ArtifactsInput!$N$15+1,25,30,35,40,45,50)/100*(Inputs!$B$11-Inputs!$B$11),0))))/100+(Inputs!$B$23+0+(IF(ArtifactsInput!$M$15,CHOOSE(ArtifactsInput!$N$15+1,25,30,35,40,45,50)/100*(Inputs!$B$11-Inputs!$B$11),0)))/100)/2</f>
        <v/>
      </c>
      <c r="M3147">
        <f>L3147*(1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IF(B3184=0,0,O3147/B3184)</f>
        <v/>
      </c>
      <c r="Q3147" t="n">
        <v>0</v>
      </c>
      <c r="R3147" t="n">
        <v>0</v>
      </c>
      <c r="S3147">
        <f>IFERROR(O3147/N3147,0)</f>
        <v/>
      </c>
      <c r="T3147">
        <f>IF(C3147,(Skills!G2*N3147*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Inputs!$B$3&gt;=35</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f>Skills!G3*IF(Skills!H3&gt;0,Skills!I3/Skills!H3,1)</f>
        <v/>
      </c>
      <c r="H3148">
        <f>1-(1-Skills!J3/100)^Skills!K3</f>
        <v/>
      </c>
      <c r="I3148" t="inlineStr">
        <is>
          <t>1</t>
        </is>
      </c>
      <c r="J3148">
        <f>((Inputs!$B$6*(1+Inputs!$B$7/100))+(((Inputs!$B$12*(1+Inputs!$B$13/100))-(Inputs!$B$12*(1+Inputs!$B$13/100)))+0.25*(Inputs!$B$14-Inputs!$B$14))*(1+Inputs!$B$7/100))*(F3148/100)</f>
        <v/>
      </c>
      <c r="K3148">
        <f>J3148*(1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3170=TRUE,F3170,0)/100)*(1+(IF(Skills!A3="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20)),(Inputs!$B$23+0+(IF(ArtifactsInput!$M$15,CHOOSE(ArtifactsInput!$N$15+1,25,30,35,40,45,50)/100*(Inputs!$B$11-Inputs!$B$11),0))))/100+(Inputs!$B$23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IFERROR(1/(IF(Inputs!$B$38="pvp",15,MAX(0.1,Skills!D3-IF(TRUE=TRUE,3.5,0)))*(1-IF(AND(ArtifactsInput!$M$27,Inputs!$B$4="Chapter Hunt"),CHOOSE(ArtifactsInput!$N$27+1,20,24,28,32,36,40),0)/100)),0)</f>
        <v/>
      </c>
      <c r="R3148">
        <f>IF(AND(Inputs!$B$38&lt;&gt;"pvp",Inputs!$B$43&gt;0),IF(MAX(0,Inputs!$B$43-B3181)&lt;=0,0,(INT(MAX(0,Inputs!$B$43-B3181)/(IF(Inputs!$B$38="pvp",15,MAX(0.1,Skills!D3-IF(TRUE=TRUE,3.5,0)))*(1-IF(AND(ArtifactsInput!$M$27,Inputs!$B$4="Chapter Hunt"),CHOOSE(ArtifactsInput!$N$27+1,20,24,28,32,36,40),0)/100)))+1)),0)</f>
        <v/>
      </c>
      <c r="S3148">
        <f>IFERROR(O3148/N3148,0)</f>
        <v/>
      </c>
      <c r="T3148">
        <f>IF(C3148,(Skills!G3*N3148*IF(C3149=TRUE,1-B3186,1)/B3185)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3148*(1-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INDEX(FactorTable!$B$2:$Y$301, MATCH(ROUND(MIN(300,MAX(1,U3147)),0), FactorTable!$A$2:$A$301,0), 22)</f>
        <v/>
      </c>
      <c r="V3148">
        <f>IF(C3148,(Skills!G3*N3148*IF(C3149=TRUE,1-B3186,1)/B3185)*IF(Inputs!$B$38="pvp",1,(1+(Inputs!$B$21+Skills!Q3+(IF(ArtifactsInput!$M$33,CHOOSE(ArtifactsInput!$N$33+1,30,36,42,48,54,60),0))+(IF(AND(ArtifactsInput!$M$35,Inputs!$B$4&lt;&gt;"Chapter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Skills!A4</f>
        <v/>
      </c>
      <c r="B3149">
        <f>Skills!B4</f>
        <v/>
      </c>
      <c r="C3149">
        <f>Inputs!$B$3&gt;=69</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f>Skills!G4*IF(Skills!H4&gt;0,Skills!I4/Skills!H4,1)</f>
        <v/>
      </c>
      <c r="H3149">
        <f>1-(1-Skills!J4/100)^Skills!K4</f>
        <v/>
      </c>
      <c r="I3149" t="inlineStr">
        <is>
          <t>1</t>
        </is>
      </c>
      <c r="J3149">
        <f>((Inputs!$B$6*(1+Inputs!$B$7/100))+(((Inputs!$B$12*(1+Inputs!$B$13/100))-(Inputs!$B$12*(1+Inputs!$B$13/100)))+0.25*(Inputs!$B$14-Inputs!$B$14))*(1+Inputs!$B$7/100))*(F3149/100)</f>
        <v/>
      </c>
      <c r="K3149">
        <f>J3149*(1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3157=TRUE,F3157,0)/100)*(1+(IF(Skills!A4="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20)),(Inputs!$B$23+0+(IF(ArtifactsInput!$M$15,CHOOSE(ArtifactsInput!$N$15+1,25,30,35,40,45,50)/100*(Inputs!$B$11-Inputs!$B$11),0))))/100+(Inputs!$B$23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t="n">
        <v>0</v>
      </c>
      <c r="R3149" t="n">
        <v>0</v>
      </c>
      <c r="S3149">
        <f>IFERROR(O3149/N3149,0)</f>
        <v/>
      </c>
      <c r="T3149">
        <f>IF(C3149,(Skills!G4*N3149*B3186/B3185)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3149*(1-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9">
        <f>290*U3148/1000</f>
        <v/>
      </c>
      <c r="V3149">
        <f>IF(C3149,(Skills!G4*N3149*B3186/B3185)*IF(Inputs!$B$38="pvp",1,(1+(Inputs!$B$21+Skills!Q4+(IF(ArtifactsInput!$M$33,CHOOSE(ArtifactsInput!$N$33+1,30,36,42,48,54,60),0))+(IF(AND(ArtifactsInput!$M$35,Inputs!$B$4&lt;&gt;"Chapter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Skills!A5</f>
        <v/>
      </c>
      <c r="B3150">
        <f>Skills!B5</f>
        <v/>
      </c>
      <c r="C3150">
        <f>Inputs!$B$3&gt;=66</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t="inlineStr"/>
      <c r="K3150" t="inlineStr"/>
      <c r="L3150" t="inlineStr"/>
      <c r="M3150" t="inlineStr"/>
      <c r="N3150" t="inlineStr"/>
      <c r="O3150">
        <f>(1-Summary!$B$11)*T3150+Summary!$B$11*V3150</f>
        <v/>
      </c>
      <c r="P3150">
        <f>IF(B3184=0,0,O3150/B3184)</f>
        <v/>
      </c>
      <c r="Q3150" t="n">
        <v>0</v>
      </c>
      <c r="R3150" t="n">
        <v>0</v>
      </c>
      <c r="S3150">
        <f>IFERROR(O3150/N3150,0)</f>
        <v/>
      </c>
      <c r="T3150" t="n">
        <v>0</v>
      </c>
      <c r="V3150" t="n">
        <v>0</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3157=TRUE,F3157,0)/100)*(1+(IF(Skills!A6="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3165=TRUE)*(F3165-Calc!F20)),(Inputs!$B$23+0+(IF(ArtifactsInput!$M$15,CHOOSE(ArtifactsInput!$N$15+1,25,30,35,40,45,50)/100*(Inputs!$B$11-Inputs!$B$11),0))))/100+(Inputs!$B$23+0+(IF(ArtifactsInput!$M$15,CHOOSE(ArtifactsInput!$N$15+1,25,30,35,40,45,50)/100*(Inputs!$B$11-Inputs!$B$11),0)))/100)/2</f>
        <v/>
      </c>
      <c r="M3151">
        <f>L3151*(1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IF(B3184=0,0,O3151/B3184)</f>
        <v/>
      </c>
      <c r="Q3151">
        <f>IFERROR(1/(IF(Inputs!$B$38="pvp",15,MAX(0.1,Skills!D6-IF(TRUE=TRUE,3.5,0)))*(1-IF(AND(ArtifactsInput!$M$27,Inputs!$B$4="Chapter Hunt"),CHOOSE(ArtifactsInput!$N$27+1,20,24,28,32,36,40),0)/100)),0)</f>
        <v/>
      </c>
      <c r="R3151">
        <f>IF(AND(Inputs!$B$38&lt;&gt;"pvp",Inputs!$B$43&gt;0),IF(MAX(0,Inputs!$B$43-B3181)&lt;=0,0,(INT(MAX(0,Inputs!$B$43-B3181)/(IF(Inputs!$B$38="pvp",15,MAX(0.1,Skills!D6-IF(TRUE=TRUE,3.5,0)))*(1-IF(AND(ArtifactsInput!$M$27,Inputs!$B$4="Chapter Hunt"),CHOOSE(ArtifactsInput!$N$27+1,20,24,28,32,36,40),0)/100)))+1)),0)</f>
        <v/>
      </c>
      <c r="S3151">
        <f>IFERROR(O3151/N3151,0)</f>
        <v/>
      </c>
      <c r="T3151">
        <f>IF(C3151,(H3151*N3151*IF(AND(Inputs!$B$38&lt;&gt;"pvp",Inputs!$B$43&gt;0),((Skills!G6*((R3151-1)*IF(Skills!H6&gt;0,Skills!I6/Skills!H6,1)+IF(Skills!H6&gt;0,MIN(Skills!I6,MAX(0,MAX(0,Inputs!$B$43-B3181)-((R3151-1)*(IF(Inputs!$B$38="pvp",15,MAX(0.1,Skills!D6-IF(TRUE=TRUE,3.5,0)))*(1-IF(AND(ArtifactsInput!$M$27,Inputs!$B$4="Chapter Hunt"),CHOOSE(ArtifactsInput!$N$27+1,20,24,28,32,36,40),0)/100)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3181)-((R3151-1)*(IF(Inputs!$B$38="pvp",15,MAX(0.1,Skills!D6-IF(TRUE=TRUE,3.5,0)))*(1-IF(AND(ArtifactsInput!$M$27,Inputs!$B$4="Chapter Hunt"),CHOOSE(ArtifactsInput!$N$27+1,20,24,28,32,36,40),0)/100)))))/Skills!H6,1)))/Inputs!$B$43),G3151*Q3151))*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Inputs!$B$3&gt;=103</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20)),(Inputs!$B$23+0+(IF(ArtifactsInput!$M$15,CHOOSE(ArtifactsInput!$N$15+1,25,30,35,40,45,50)/100*(Inputs!$B$11-Inputs!$B$11),0))))/100+(Inputs!$B$23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IFERROR(1/(IF(Inputs!$B$38="pvp",15,MAX(0.1,Skills!D7-IF(TRUE=TRUE,3.5,0)))*(1-IF(AND(ArtifactsInput!$M$27,Inputs!$B$4="Chapter Hunt"),CHOOSE(ArtifactsInput!$N$27+1,20,24,28,32,36,40),0)/100)),0)</f>
        <v/>
      </c>
      <c r="R3152">
        <f>IF(AND(Inputs!$B$38&lt;&gt;"pvp",Inputs!$B$43&gt;0),IF(MAX(0,Inputs!$B$43-B3181)&lt;=0,0,(INT(MAX(0,Inputs!$B$43-B3181)/(IF(Inputs!$B$38="pvp",15,MAX(0.1,Skills!D7-IF(TRUE=TRUE,3.5,0)))*(1-IF(AND(ArtifactsInput!$M$27,Inputs!$B$4="Chapter Hunt"),CHOOSE(ArtifactsInput!$N$27+1,20,24,28,32,36,40),0)/100)))+1)),0)</f>
        <v/>
      </c>
      <c r="S3152">
        <f>IFERROR(O3152/N3152,0)</f>
        <v/>
      </c>
      <c r="T3152">
        <f>IF(C3152,(H3152*N3152*IF(AND(Inputs!$B$38&lt;&gt;"pvp",Inputs!$B$43&gt;0),((Skills!G7*((R3152-1)*IF(Skills!H7&gt;0,Skills!I7/Skills!H7,1)+IF(Skills!H7&gt;0,MIN(Skills!I7,MAX(0,MAX(0,Inputs!$B$43-B3181)-((R3152-1)*(IF(Inputs!$B$38="pvp",15,MAX(0.1,Skills!D7-IF(TRUE=TRUE,3.5,0)))*(1-IF(AND(ArtifactsInput!$M$27,Inputs!$B$4="Chapter Hunt"),CHOOSE(ArtifactsInput!$N$27+1,20,24,28,32,36,40),0)/100)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3181)-((R3152-1)*(IF(Inputs!$B$38="pvp",15,MAX(0.1,Skills!D7-IF(TRUE=TRUE,3.5,0)))*(1-IF(AND(ArtifactsInput!$M$27,Inputs!$B$4="Chapter Hunt"),CHOOSE(ArtifactsInput!$N$27+1,20,24,28,32,36,40),0)/100)))))/Skills!H7,1)))/Inputs!$B$43),G3152*Q3152))*IF(Inputs!$B$38="pvp",1,(1+(Inputs!$B$21+Skills!Q7+(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Inputs!$B$3&gt;=117</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f>Skills!G8*IF(Skills!H8&gt;0,Skills!I8/Skills!H8,1)</f>
        <v/>
      </c>
      <c r="H3153">
        <f>1-(1-Skills!J8/100)^Skills!K8</f>
        <v/>
      </c>
      <c r="I3153" t="inlineStr">
        <is>
          <t>1</t>
        </is>
      </c>
      <c r="J3153">
        <f>((Inputs!$B$6*(1+Inputs!$B$7/100))+(((Inputs!$B$12*(1+Inputs!$B$13/100))-(Inputs!$B$12*(1+Inputs!$B$13/100)))+0.25*(Inputs!$B$14-Inputs!$B$14))*(1+Inputs!$B$7/100))*(F3153/100)</f>
        <v/>
      </c>
      <c r="K3153">
        <f>J3153*(1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3153)</f>
        <v/>
      </c>
      <c r="L3153">
        <f>K3153*(MIN(Inputs!$B$22+((C3165=TRUE)*(F3165-Calc!F20)),(Inputs!$B$23+0+(IF(ArtifactsInput!$M$15,CHOOSE(ArtifactsInput!$N$15+1,25,30,35,40,45,50)/100*(Inputs!$B$11-Inputs!$B$11),0))))/100+(Inputs!$B$23+0+(IF(ArtifactsInput!$M$15,CHOOSE(ArtifactsInput!$N$15+1,25,30,35,40,45,50)/100*(Inputs!$B$11-Inputs!$B$11),0)))/100)/2</f>
        <v/>
      </c>
      <c r="M3153">
        <f>L3153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3">
        <f>L3153*(1-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3153*(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3">
        <f>(1-Summary!$B$11)*T3153+Summary!$B$11*V3153</f>
        <v/>
      </c>
      <c r="P3153">
        <f>IF(B3184=0,0,O3153/B3184)</f>
        <v/>
      </c>
      <c r="Q3153">
        <f>IFERROR(1/(IF(Inputs!$B$38="pvp",15,MAX(0.1,Skills!D8-IF(TRUE=TRUE,3.5,0)))*(1-IF(AND(ArtifactsInput!$M$27,Inputs!$B$4="Chapter Hunt"),CHOOSE(ArtifactsInput!$N$27+1,20,24,28,32,36,40),0)/100)),0)</f>
        <v/>
      </c>
      <c r="R3153">
        <f>IF(AND(Inputs!$B$38&lt;&gt;"pvp",Inputs!$B$43&gt;0),IF(MAX(0,Inputs!$B$43-B3181)&lt;=0,0,(INT(MAX(0,Inputs!$B$43-B3181)/(IF(Inputs!$B$38="pvp",15,MAX(0.1,Skills!D8-IF(TRUE=TRUE,3.5,0)))*(1-IF(AND(ArtifactsInput!$M$27,Inputs!$B$4="Chapter Hunt"),CHOOSE(ArtifactsInput!$N$27+1,20,24,28,32,36,40),0)/100)))+1)),0)</f>
        <v/>
      </c>
      <c r="S3153">
        <f>IFERROR(O3153/N3153,0)</f>
        <v/>
      </c>
      <c r="T3153">
        <f>IF(C3153,(H3153*N3153*IF(AND(Inputs!$B$38&lt;&gt;"pvp",Inputs!$B$43&gt;0),((Skills!G8*((R3153-1)*IF(Skills!H8&gt;0,Skills!I8/Skills!H8,1)+IF(Skills!H8&gt;0,MIN(Skills!I8,MAX(0,MAX(0,Inputs!$B$43-B3181)-((R3153-1)*(IF(Inputs!$B$38="pvp",15,MAX(0.1,Skills!D8-IF(TRUE=TRUE,3.5,0)))*(1-IF(AND(ArtifactsInput!$M$27,Inputs!$B$4="Chapter Hunt"),CHOOSE(ArtifactsInput!$N$27+1,20,24,28,32,36,40),0)/100)))))/Skills!H8,1)))/Inputs!$B$43),G3153*Q3153)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3153*(1-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3153*(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3153*(1-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3153*(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3">
        <f>IF(C3153,(H3153*N3153*IF(AND(Inputs!$B$38&lt;&gt;"pvp",Inputs!$B$43&gt;0),((Skills!G8*((R3153-1)*IF(Skills!H8&gt;0,Skills!I8/Skills!H8,1)+IF(Skills!H8&gt;0,MIN(Skills!I8,MAX(0,MAX(0,Inputs!$B$43-B3181)-((R3153-1)*(IF(Inputs!$B$38="pvp",15,MAX(0.1,Skills!D8-IF(TRUE=TRUE,3.5,0)))*(1-IF(AND(ArtifactsInput!$M$27,Inputs!$B$4="Chapter Hunt"),CHOOSE(ArtifactsInput!$N$27+1,20,24,28,32,36,40),0)/100)))))/Skills!H8,1)))/Inputs!$B$43),G3153*Q3153))*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4">
      <c r="A3154">
        <f>Skills!A9</f>
        <v/>
      </c>
      <c r="B3154">
        <f>Skills!B9</f>
        <v/>
      </c>
      <c r="C3154">
        <f>Inputs!$B$3&gt;=120</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B3186</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3165=TRUE)*(F3165-Calc!F20)),(Inputs!$B$23+0+(IF(ArtifactsInput!$M$15,CHOOSE(ArtifactsInput!$N$15+1,25,30,35,40,45,50)/100*(Inputs!$B$11-Inputs!$B$11),0))))/100+(Inputs!$B$23+0+(IF(ArtifactsInput!$M$15,CHOOSE(ArtifactsInput!$N$15+1,25,30,35,40,45,50)/100*(Inputs!$B$11-Inputs!$B$11),0)))/100)/2</f>
        <v/>
      </c>
      <c r="M3154">
        <f>L3154*(1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IF(B3184=0,0,O3154/B3184)</f>
        <v/>
      </c>
      <c r="Q3154">
        <f>IFERROR(1/(IF(Inputs!$B$38="pvp",15,MAX(0.1,Skills!D9-IF(TRUE=TRUE,3.5,0)))*(1-IF(AND(ArtifactsInput!$M$27,Inputs!$B$4="Chapter Hunt"),CHOOSE(ArtifactsInput!$N$27+1,20,24,28,32,36,40),0)/100)),0)</f>
        <v/>
      </c>
      <c r="R3154">
        <f>IF(AND(Inputs!$B$38&lt;&gt;"pvp",Inputs!$B$43&gt;0),IF(MAX(0,Inputs!$B$43-B3181)&lt;=0,0,(INT(MAX(0,Inputs!$B$43-B3181)/(IF(Inputs!$B$38="pvp",15,MAX(0.1,Skills!D9-IF(TRUE=TRUE,3.5,0)))*(1-IF(AND(ArtifactsInput!$M$27,Inputs!$B$4="Chapter Hunt"),CHOOSE(ArtifactsInput!$N$27+1,20,24,28,32,36,40),0)/100)))+1)),0)</f>
        <v/>
      </c>
      <c r="S3154">
        <f>IFERROR(O3154/N3154,0)</f>
        <v/>
      </c>
      <c r="T3154">
        <f>IF(C3154,(H3154*N3154*IF(AND(Inputs!$B$38&lt;&gt;"pvp",Inputs!$B$43&gt;0),((Skills!G9*((R3154-1)*IF(Skills!H9&gt;0,Skills!I9/Skills!H9,1)+IF(Skills!H9&gt;0,MIN(Skills!I9,MAX(0,MAX(0,Inputs!$B$43-B3181)-((R3154-1)*(IF(Inputs!$B$38="pvp",15,MAX(0.1,Skills!D9-IF(TRUE=TRUE,3.5,0)))*(1-IF(AND(ArtifactsInput!$M$27,Inputs!$B$4="Chapter Hunt"),CHOOSE(ArtifactsInput!$N$27+1,20,24,28,32,36,40),0)/100)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3181)-((R3154-1)*(IF(Inputs!$B$38="pvp",15,MAX(0.1,Skills!D9-IF(TRUE=TRUE,3.5,0)))*(1-IF(AND(ArtifactsInput!$M$27,Inputs!$B$4="Chapter Hunt"),CHOOSE(ArtifactsInput!$N$27+1,20,24,28,32,36,40),0)/100)))))/Skills!H9,1)))/Inputs!$B$43),G3154*Q3154))*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Inputs!$B$3&gt;=105</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3165=TRUE)*(F3165-Calc!F20)),(Inputs!$B$23+0+(IF(ArtifactsInput!$M$15,CHOOSE(ArtifactsInput!$N$15+1,25,30,35,40,45,50)/100*(Inputs!$B$11-Inputs!$B$11),0))))/100+(Inputs!$B$23+0+(IF(ArtifactsInput!$M$15,CHOOSE(ArtifactsInput!$N$15+1,25,30,35,40,45,50)/100*(Inputs!$B$11-Inputs!$B$11),0)))/100)/2</f>
        <v/>
      </c>
      <c r="M3155">
        <f>L3155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IF(B3184=0,0,O3155/B3184)</f>
        <v/>
      </c>
      <c r="Q3155">
        <f>IFERROR(1/(IF(Inputs!$B$38="pvp",15,MAX(0.1,Skills!D10-IF(TRUE=TRUE,3.5,0)))*(1-IF(AND(ArtifactsInput!$M$27,Inputs!$B$4="Chapter Hunt"),CHOOSE(ArtifactsInput!$N$27+1,20,24,28,32,36,40),0)/100)),0)</f>
        <v/>
      </c>
      <c r="R3155">
        <f>IF(AND(Inputs!$B$38&lt;&gt;"pvp",Inputs!$B$43&gt;0),IF(MAX(0,Inputs!$B$43-B3181)&lt;=0,0,(INT(MAX(0,Inputs!$B$43-B3181)/(IF(Inputs!$B$38="pvp",15,MAX(0.1,Skills!D10-IF(TRUE=TRUE,3.5,0)))*(1-IF(AND(ArtifactsInput!$M$27,Inputs!$B$4="Chapter Hunt"),CHOOSE(ArtifactsInput!$N$27+1,20,24,28,32,36,40),0)/100)))+1)),0)</f>
        <v/>
      </c>
      <c r="S3155">
        <f>IFERROR(O3155/N3155,0)</f>
        <v/>
      </c>
      <c r="T3155">
        <f>IF(C3155,(H3155*N3155*IF(AND(Inputs!$B$38&lt;&gt;"pvp",Inputs!$B$43&gt;0),((Skills!G10*((R3155-1)*IF(Skills!H10&gt;0,Skills!I10/Skills!H10,1)+IF(Skills!H10&gt;0,MIN(Skills!I10,MAX(0,MAX(0,Inputs!$B$43-B3181)-((R3155-1)*(IF(Inputs!$B$38="pvp",15,MAX(0.1,Skills!D10-IF(TRUE=TRUE,3.5,0)))*(1-IF(AND(ArtifactsInput!$M$27,Inputs!$B$4="Chapter Hunt"),CHOOSE(ArtifactsInput!$N$27+1,20,24,28,32,36,40),0)/100)))))/Skills!H10,1)))/Inputs!$B$43),G3155*Q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H3155*N3155*IF(AND(Inputs!$B$38&lt;&gt;"pvp",Inputs!$B$43&gt;0),((Skills!G10*((R3155-1)*IF(Skills!H10&gt;0,Skills!I10/Skills!H10,1)+IF(Skills!H10&gt;0,MIN(Skills!I10,MAX(0,MAX(0,Inputs!$B$43-B3181)-((R3155-1)*(IF(Inputs!$B$38="pvp",15,MAX(0.1,Skills!D10-IF(TRUE=TRUE,3.5,0)))*(1-IF(AND(ArtifactsInput!$M$27,Inputs!$B$4="Chapter Hunt"),CHOOSE(ArtifactsInput!$N$27+1,20,24,28,32,36,40),0)/100)))))/Skills!H10,1)))/Inputs!$B$43),G3155*Q3155))*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Inputs!$B$3&gt;=113</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3165=TRUE)*(F3165-Calc!F20)),(Inputs!$B$23+0+(IF(ArtifactsInput!$M$15,CHOOSE(ArtifactsInput!$N$15+1,25,30,35,40,45,50)/100*(Inputs!$B$11-Inputs!$B$11),0))))/100+(Inputs!$B$23+0+(IF(ArtifactsInput!$M$15,CHOOSE(ArtifactsInput!$N$15+1,25,30,35,40,45,50)/100*(Inputs!$B$11-Inputs!$B$11),0)))/100)/2</f>
        <v/>
      </c>
      <c r="M3156">
        <f>L3156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IF(B3184=0,0,O3156/B3184)</f>
        <v/>
      </c>
      <c r="Q3156" t="n">
        <v>0</v>
      </c>
      <c r="R3156" t="n">
        <v>0</v>
      </c>
      <c r="S3156">
        <f>IFERROR(O3156/N3156,0)</f>
        <v/>
      </c>
      <c r="T3156">
        <f>IF(C3156,((H3156*B3187)/(1+Skills!H11*H3156*B3187)*N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IF(C3156,((H3156*B3187)/(1+Skills!H11*H3156*B3187)*N3156)*IF(Inputs!$B$38="pvp",1,(1+(Inputs!$B$21+Skills!Q11+(IF(ArtifactsInput!$M$33,CHOOSE(ArtifactsInput!$N$33+1,30,36,42,48,54,60),0))+(IF(AND(ArtifactsInput!$M$35,Inputs!$B$4&lt;&gt;"Chapter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Inputs!$B$3&gt;=100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T3157" t="inlineStr"/>
      <c r="V3157" t="inlineStr"/>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Skills!A14</f>
        <v/>
      </c>
      <c r="B3159">
        <f>Skills!B14</f>
        <v/>
      </c>
      <c r="C3159">
        <f>Inputs!$B$3&gt;=115</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IF(B3184=0,0,O3159/B3184)</f>
        <v/>
      </c>
      <c r="Q3159">
        <f>IFERROR(1/(IF(Inputs!$B$38="pvp",15,MAX(0.1,Skills!D14-IF(TRUE=TRUE,3.5,0)))*(1-IF(AND(ArtifactsInput!$M$27,Inputs!$B$4="Chapter Hunt"),CHOOSE(ArtifactsInput!$N$27+1,20,24,28,32,36,40),0)/100)),0)</f>
        <v/>
      </c>
      <c r="R3159">
        <f>IF(AND(Inputs!$B$38&lt;&gt;"pvp",Inputs!$B$43&gt;0),IF(Inputs!$B$43&lt;=0,0,(INT(Inputs!$B$43/(IF(Inputs!$B$38="pvp",15,MAX(0.1,Skills!D14-IF(TRUE=TRUE,3.5,0)))*(1-IF(AND(ArtifactsInput!$M$27,Inputs!$B$4="Chapter Hunt"),CHOOSE(ArtifactsInput!$N$27+1,20,24,28,32,36,40),0)/100)))+1)),0)</f>
        <v/>
      </c>
      <c r="S3159">
        <f>IFERROR(O3159/N3159,0)</f>
        <v/>
      </c>
      <c r="T3159" t="n">
        <v>0</v>
      </c>
      <c r="V3159" t="n">
        <v>0</v>
      </c>
    </row>
    <row r="3160">
      <c r="A3160">
        <f>Skills!A15</f>
        <v/>
      </c>
      <c r="B3160">
        <f>Skills!B15</f>
        <v/>
      </c>
      <c r="C3160">
        <f>Inputs!$B$3&gt;=125</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IF(B3184=0,0,O3160/B3184)</f>
        <v/>
      </c>
      <c r="Q3160">
        <f>IFERROR(1/(IF(Inputs!$B$38="pvp",15,MAX(0.1,Skills!D15-IF(TRUE=TRUE,3.5,0)))*(1-IF(AND(ArtifactsInput!$M$27,Inputs!$B$4="Chapter Hunt"),CHOOSE(ArtifactsInput!$N$27+1,20,24,28,32,36,40),0)/100)),0)</f>
        <v/>
      </c>
      <c r="R3160">
        <f>IF(AND(Inputs!$B$38&lt;&gt;"pvp",Inputs!$B$43&gt;0),IF(Inputs!$B$43&lt;=0,0,(INT(Inputs!$B$43/(IF(Inputs!$B$38="pvp",15,MAX(0.1,Skills!D15-IF(TRUE=TRUE,3.5,0)))*(1-IF(AND(ArtifactsInput!$M$27,Inputs!$B$4="Chapter Hunt"),CHOOSE(ArtifactsInput!$N$27+1,20,24,28,32,36,40),0)/100)))+1)),0)</f>
        <v/>
      </c>
      <c r="S3160">
        <f>IFERROR(O3160/N3160,0)</f>
        <v/>
      </c>
      <c r="T3160" t="n">
        <v>0</v>
      </c>
      <c r="V3160" t="n">
        <v>0</v>
      </c>
    </row>
    <row r="3161">
      <c r="A3161">
        <f>Skills!A16</f>
        <v/>
      </c>
      <c r="B3161">
        <f>Skills!B16</f>
        <v/>
      </c>
      <c r="C3161">
        <f>Inputs!$B$3&gt;=10</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Skills!A17</f>
        <v/>
      </c>
      <c r="B3162">
        <f>Skills!B17</f>
        <v/>
      </c>
      <c r="C3162">
        <f>Inputs!$B$3&gt;=15</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Skills!A18</f>
        <v/>
      </c>
      <c r="B3163">
        <f>Skills!B18</f>
        <v/>
      </c>
      <c r="C3163">
        <f>Inputs!$B$3&gt;=33</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Skills!A19</f>
        <v/>
      </c>
      <c r="B3164">
        <f>Skills!B19</f>
        <v/>
      </c>
      <c r="C3164">
        <f>Inputs!$B$3&gt;=40</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Skills!A20</f>
        <v/>
      </c>
      <c r="B3165">
        <f>Skills!B20</f>
        <v/>
      </c>
      <c r="C3165">
        <f>Inputs!$B$3&gt;=43</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Skills!A21</f>
        <v/>
      </c>
      <c r="B3166">
        <f>Skills!B21</f>
        <v/>
      </c>
      <c r="C3166">
        <f>Inputs!$B$3&gt;=38</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Skills!A22</f>
        <v/>
      </c>
      <c r="B3167">
        <f>Skills!B22</f>
        <v/>
      </c>
      <c r="C3167">
        <f>Inputs!$B$3&gt;=75</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Skills!A23</f>
        <v/>
      </c>
      <c r="B3168">
        <f>Skills!B23</f>
        <v/>
      </c>
      <c r="C3168">
        <f>TRUE</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IF(B3184=0,0,O3168/B3184)</f>
        <v/>
      </c>
      <c r="Q3168">
        <f>IFERROR(1/(IF(Inputs!$B$38="pvp",15,MAX(0.1,Skills!D23-IF(TRUE=TRUE,3.5,0)))*(1-IF(AND(ArtifactsInput!$M$27,Inputs!$B$4="Chapter Hunt"),CHOOSE(ArtifactsInput!$N$27+1,20,24,28,32,36,40),0)/100)),0)</f>
        <v/>
      </c>
      <c r="R3168">
        <f>IF(AND(Inputs!$B$38&lt;&gt;"pvp",Inputs!$B$43&gt;0),IF(Inputs!$B$43&lt;=0,0,(INT(Inputs!$B$43/(IF(Inputs!$B$38="pvp",15,MAX(0.1,Skills!D23-IF(TRUE=TRUE,3.5,0)))*(1-IF(AND(ArtifactsInput!$M$27,Inputs!$B$4="Chapter Hunt"),CHOOSE(ArtifactsInput!$N$27+1,20,24,28,32,36,40),0)/100)))+1)),0)</f>
        <v/>
      </c>
      <c r="S3168">
        <f>IFERROR(O3168/N3168,0)</f>
        <v/>
      </c>
      <c r="T3168" t="n">
        <v>0</v>
      </c>
      <c r="V3168" t="n">
        <v>0</v>
      </c>
    </row>
    <row r="3169">
      <c r="A3169">
        <f>Skills!A24</f>
        <v/>
      </c>
      <c r="B3169">
        <f>Skills!B24</f>
        <v/>
      </c>
      <c r="C3169">
        <f>Inputs!$B$3&gt;=107</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IF(B3184=0,0,O3169/B3184)</f>
        <v/>
      </c>
      <c r="Q3169">
        <f>IFERROR(1/(IF(Inputs!$B$38="pvp",15,MAX(0.1,Skills!D24-IF(TRUE=TRUE,3.5,0)))*(1-IF(AND(ArtifactsInput!$M$27,Inputs!$B$4="Chapter Hunt"),CHOOSE(ArtifactsInput!$N$27+1,20,24,28,32,36,40),0)/100)),0)</f>
        <v/>
      </c>
      <c r="R3169">
        <f>IF(AND(Inputs!$B$38&lt;&gt;"pvp",Inputs!$B$43&gt;0),IF(Inputs!$B$43&lt;=0,0,(INT(Inputs!$B$43/(IF(Inputs!$B$38="pvp",15,MAX(0.1,Skills!D24-IF(TRUE=TRUE,3.5,0)))*(1-IF(AND(ArtifactsInput!$M$27,Inputs!$B$4="Chapter Hunt"),CHOOSE(ArtifactsInput!$N$27+1,20,24,28,32,36,40),0)/100)))+1)),0)</f>
        <v/>
      </c>
      <c r="S3169">
        <f>IFERROR(O3169/N3169,0)</f>
        <v/>
      </c>
      <c r="T3169" t="n">
        <v>0</v>
      </c>
      <c r="V3169" t="n">
        <v>0</v>
      </c>
    </row>
    <row r="3170">
      <c r="A3170">
        <f>Skills!A25</f>
        <v/>
      </c>
      <c r="B3170">
        <f>Skills!B25</f>
        <v/>
      </c>
      <c r="C3170">
        <f>Inputs!$B$3&gt;=110</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t="inlineStr"/>
      <c r="H3170" t="inlineStr"/>
      <c r="I3170" t="inlineStr">
        <is>
          <t>1</t>
        </is>
      </c>
      <c r="J3170" t="inlineStr"/>
      <c r="K3170" t="inlineStr"/>
      <c r="L3170" t="inlineStr"/>
      <c r="M3170" t="inlineStr"/>
      <c r="N3170" t="inlineStr"/>
      <c r="O3170" t="inlineStr"/>
      <c r="P3170" t="inlineStr"/>
      <c r="Q3170" t="inlineStr"/>
      <c r="R3170" t="inlineStr"/>
      <c r="S3170" t="inlineStr"/>
      <c r="T3170" t="inlineStr"/>
      <c r="V3170" t="inlineStr"/>
    </row>
    <row r="3171">
      <c r="A3171">
        <f>Skills!A26</f>
        <v/>
      </c>
      <c r="B3171">
        <f>Skills!B26</f>
        <v/>
      </c>
      <c r="C3171">
        <f>Inputs!$B$3&gt;=117</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V3171" t="inlineStr"/>
    </row>
    <row r="3173">
      <c r="A3173" t="inlineStr">
        <is>
          <t>Attack% Bucket Multiplier</t>
        </is>
      </c>
      <c r="B3173">
        <f>(1+(((C3158=TRUE)*F3158*5/7)+((C3164=TRUE)*(F3164-Calc!F19))+(IF(ArtifactsInput!$M$21,CHOOSE(ArtifactsInput!$N$21+1,25,30,35,40,45,50)*(IF(OR(Inputs!$B$4="Chapter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t="n">
        <v>0</v>
      </c>
    </row>
    <row r="3175">
      <c r="A3175" t="inlineStr">
        <is>
          <t>Attack Speed Buff Bonus % (Nimble Feet + Speed Infusion, duty-cycle averaged)</t>
        </is>
      </c>
      <c r="B3175">
        <f>((C3168=TRUE)*F3168*IF(AND(Inputs!$B$38&lt;&gt;"pvp",Inputs!$B$43&gt;0),(((R3168-1)*MIN((Skills!T23*(1+Inputs!$B$34/100)),(1/Q3168))+MIN((Skills!T23*(1+Inputs!$B$34/100)),MAX(0,Inputs!$B$43-((R3168-1)*(1/Q3168)))))/Inputs!$B$43),IF(Inputs!$B$38="pvp",MIN((Skills!T23*(1+Inputs!$B$34/100)),15)/15,MIN(1,(Skills!T23*(1+Inputs!$B$34/100))/(1/Q3168)))))+((C3169=TRUE)*F3169*IF(AND(Inputs!$B$38&lt;&gt;"pvp",Inputs!$B$43&gt;0),(((R3169-1)*MIN((Skills!T24*(1+Inputs!$B$34/100)),(1/Q3169))+MIN((Skills!T24*(1+Inputs!$B$34/100)),MAX(0,Inputs!$B$43-((R3169-1)*(1/Q3169)))))/Inputs!$B$43),IF(Inputs!$B$38="pvp",MIN((Skills!T24*(1+Inputs!$B$34/100)),15)/15,MIN(1,(Skills!T24*(1+Inputs!$B$34/100))/(1/Q3169)))))</f>
        <v/>
      </c>
    </row>
    <row r="3176">
      <c r="A3176" t="inlineStr">
        <is>
          <t>Actions Per Second</t>
        </is>
      </c>
      <c r="B3176">
        <f>1+MIN(150,150*(1-(1-(Inputs!$B$11+((C3162=TRUE)*(F3162-Calc!F17))+((C3163=TRUE)*(F3163-Calc!F18)))/150)*(1-B3175/150)))/100</f>
        <v/>
      </c>
    </row>
    <row r="3177">
      <c r="A3177" t="inlineStr">
        <is>
          <t>Skill + Buff Cast Rate</t>
        </is>
      </c>
      <c r="B3177">
        <f>IF(AND(Inputs!$B$38&lt;&gt;"pvp",Inputs!$B$43&gt;0),SUMPRODUCT((Skills!E2:E26=TRUE)*(C3147:C3171=TRUE)*R3147:R3171*Skills!F2:F26)/Inputs!$B$43,SUMPRODUCT((Skills!E2:E26=TRUE)*(C3147:C3171=TRUE)*Q3147:Q3171*Skills!F2:F26))</f>
        <v/>
      </c>
    </row>
    <row r="3178">
      <c r="A3178" t="inlineStr">
        <is>
          <t>Hook Bomber Casts Per Second</t>
        </is>
      </c>
      <c r="B3178">
        <f>MAX(0,B3176-B3177)</f>
        <v/>
      </c>
    </row>
    <row r="3179">
      <c r="A3179" t="inlineStr">
        <is>
          <t>Global Critical Damage Bonus % (unused)</t>
        </is>
      </c>
      <c r="B3179" t="n">
        <v>0</v>
      </c>
    </row>
    <row r="3180">
      <c r="A3180" t="inlineStr">
        <is>
          <t>Global Final Damage Bonus % (Serpent Scale + Crossbones + Time Leap + Speed Infusion)</t>
        </is>
      </c>
      <c r="B3180">
        <f>((C3150=TRUE)*(F3150*B3186+4*(1-B3186)))+((C3159=TRUE)*F3159*IF(AND(Inputs!$B$38&lt;&gt;"pvp",Inputs!$B$43&gt;0),(((R3159-1)*MIN((Skills!T14*(1+Inputs!$B$34/100)),(1/Q3159))+MIN((Skills!T14*(1+Inputs!$B$34/100)),MAX(0,Inputs!$B$43-((R3159-1)*(1/Q3159)))))/Inputs!$B$43),IF(Inputs!$B$38="pvp",MIN((Skills!T14*(1+Inputs!$B$34/100)),15)/15,MIN(1,(Skills!T14*(1+Inputs!$B$34/100))/(1/Q3159)))))+((C3160=TRUE)*F3160*IF(AND(Inputs!$B$38&lt;&gt;"pvp",Inputs!$B$43&gt;0),(((R3160-1)*MIN((Skills!T15*(1+Inputs!$B$34/100)),(1/Q3160))+MIN((Skills!T15*(1+Inputs!$B$34/100)),MAX(0,Inputs!$B$43-((R3160-1)*(1/Q3160)))))/Inputs!$B$43),IF(Inputs!$B$38="pvp",MIN((Skills!T15*(1+Inputs!$B$34/100)),15)/15,MIN(1,(Skills!T15*(1+Inputs!$B$34/100))/(1/Q3160)))))+((C3169=TRUE)*20*((1+MIN(150,150*(1-(1-(Inputs!$B$11+((C3162=TRUE)*(F3162-Calc!F17))+((C3163=TRUE)*(F3163-Calc!F18)))/150)*(1-(((C3168=TRUE)*F3168*IF(AND(Inputs!$B$38&lt;&gt;"pvp",Inputs!$B$43&gt;0),(((R3168-1)*MIN((Skills!T23*(1+Inputs!$B$34/100)),(1/Q3168))+MIN((Skills!T23*(1+Inputs!$B$34/100)),MAX(0,Inputs!$B$43-((R3168-1)*(1/Q3168)))))/Inputs!$B$43),IF(Inputs!$B$38="pvp",MIN((Skills!T23*(1+Inputs!$B$34/100)),15)/15,MIN(1,(Skills!T23*(1+Inputs!$B$34/100))/(1/Q3168)))))+F3169)/150)))/100)-1)*IF(AND(Inputs!$B$38&lt;&gt;"pvp",Inputs!$B$43&gt;0),(((R3169-1)*MIN((Skills!T24*(1+Inputs!$B$34/100)),(1/Q3169))+MIN((Skills!T24*(1+Inputs!$B$34/100)),MAX(0,Inputs!$B$43-((R3169-1)*(1/Q3169)))))/Inputs!$B$43),IF(Inputs!$B$38="pvp",MIN((Skills!T24*(1+Inputs!$B$34/100)),15)/15,MIN(1,(Skills!T24*(1+Inputs!$B$34/100))/(1/Q3169)))))</f>
        <v/>
      </c>
    </row>
    <row r="3181">
      <c r="A3181" t="inlineStr">
        <is>
          <t>Buff-Casting Startup Delay (s, fixed-duration only)</t>
        </is>
      </c>
      <c r="B3181">
        <f>IF(AND(Inputs!$B$38&lt;&gt;"pvp",Inputs!$B$43&gt;0),SUMPRODUCT((Skills!T2:T26&gt;0)*(Skills!E2:E26=TRUE)*(C3147:C3171=TRUE))/B3176,0)</f>
        <v/>
      </c>
    </row>
    <row r="3182">
      <c r="A3182" t="inlineStr">
        <is>
          <t>Boss-Only Total DPS (this block's swept value)</t>
        </is>
      </c>
      <c r="B3182">
        <f>SUM(T3147:T3171)</f>
        <v/>
      </c>
    </row>
    <row r="3183">
      <c r="A3183" t="inlineStr">
        <is>
          <t>Normal-Only Total DPS (this block's swept value)</t>
        </is>
      </c>
      <c r="B3183">
        <f>SUM(V3147:V3171)</f>
        <v/>
      </c>
    </row>
    <row r="3184">
      <c r="A3184" s="6" t="inlineStr">
        <is>
          <t>TOTAL DPS</t>
        </is>
      </c>
      <c r="B3184" s="6">
        <f>SUM(O3147:O3171)</f>
        <v/>
      </c>
    </row>
    <row r="3185">
      <c r="A3185" t="inlineStr">
        <is>
          <t>Serpent activation interval T (this block's own Hook Bomber rate)</t>
        </is>
      </c>
      <c r="B3185">
        <f>((1/Q3148)+IFERROR(0.5/B3178,0))</f>
        <v/>
      </c>
    </row>
    <row r="3186">
      <c r="A3186" t="inlineStr">
        <is>
          <t>Assault Mode uptime u (this block)</t>
        </is>
      </c>
      <c r="B3186">
        <f>IF(C3150=TRUE,(10+IF(Inputs!$B$3&gt;=94,5,0))/((10+IF(Inputs!$B$3&gt;=94,5,0))+IF(Inputs!$B$3&gt;=104,3,5)*B3185),0)</f>
        <v/>
      </c>
    </row>
    <row r="3187">
      <c r="A3187" t="inlineStr">
        <is>
          <t>Nautilus Strike - Final Attack trigger rate (this block's own Q/R)</t>
        </is>
      </c>
      <c r="B3187">
        <f>IF(AND(Inputs!$B$38&lt;&gt;"pvp",Inputs!$B$43&gt;0),(((C3151=TRUE)*R3151)+((C3152=TRUE)*R3152)+((C3155=TRUE)*R3155))/Inputs!$B$43,((C3151=TRUE)*Q3151)+((C3152=TRUE)*Q3152)+((C3155=TRUE)*Q3155))+B3178</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3210=TRUE)*(F3210-Calc!F20)),(Inputs!$B$23+0+(IF(ArtifactsInput!$M$15,CHOOSE(ArtifactsInput!$N$15+1,25,30,35,40,45,50)/100*(Inputs!$B$11-Inputs!$B$11),0))))/100+(Inputs!$B$23+0+(IF(ArtifactsInput!$M$15,CHOOSE(ArtifactsInput!$N$15+1,25,30,35,40,45,50)/100*(Inputs!$B$11-Inputs!$B$11),0)))/100)/2</f>
        <v/>
      </c>
      <c r="M3192">
        <f>L3192*(1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IF(B3229=0,0,O3192/B3229)</f>
        <v/>
      </c>
      <c r="Q3192" t="n">
        <v>0</v>
      </c>
      <c r="R3192" t="n">
        <v>0</v>
      </c>
      <c r="S3192">
        <f>IFERROR(O3192/N3192,0)</f>
        <v/>
      </c>
      <c r="T3192">
        <f>IF(C3192,(Skills!G2*N3192*B3223)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IF(C3192,(Skills!G2*N3192*B3223)*IF(Inputs!$B$38="pvp",1,(1+(Inputs!$B$21+Skills!Q2+(IF(ArtifactsInput!$M$33,CHOOSE(ArtifactsInput!$N$33+1,30,36,42,48,54,60),0))+(IF(AND(ArtifactsInput!$M$35,Inputs!$B$4&lt;&gt;"Chapter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Inputs!$B$3&gt;=35</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f>Skills!G3*IF(Skills!H3&gt;0,Skills!I3/Skills!H3,1)</f>
        <v/>
      </c>
      <c r="H3193">
        <f>1-(1-Skills!J3/100)^Skills!K3</f>
        <v/>
      </c>
      <c r="I3193" t="inlineStr">
        <is>
          <t>1</t>
        </is>
      </c>
      <c r="J3193">
        <f>((Inputs!$B$6*(1+Inputs!$B$7/100))+(((Inputs!$B$12*(1+Inputs!$B$13/100))-(Inputs!$B$12*(1+Inputs!$B$13/100)))+0.25*(Inputs!$B$14-Inputs!$B$14))*(1+Inputs!$B$7/100))*(F3193/100)</f>
        <v/>
      </c>
      <c r="K3193">
        <f>J3193*(1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3215=TRUE,F3215,0)/100)*(1+(IF(Skills!A3="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3210=TRUE)*(F3210-Calc!F20)),(Inputs!$B$23+0+(IF(ArtifactsInput!$M$15,CHOOSE(ArtifactsInput!$N$15+1,25,30,35,40,45,50)/100*(Inputs!$B$11-Inputs!$B$11),0))))/100+(Inputs!$B$23+0+(IF(ArtifactsInput!$M$15,CHOOSE(ArtifactsInput!$N$15+1,25,30,35,40,45,50)/100*(Inputs!$B$11-Inputs!$B$11),0)))/100)/2</f>
        <v/>
      </c>
      <c r="M3193">
        <f>L3193*(1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IF(B3229=0,0,O3193/B3229)</f>
        <v/>
      </c>
      <c r="Q3193">
        <f>IFERROR(1/(IF(Inputs!$B$38="pvp",15,MAX(0.1,Skills!D3-IF(TRUE=TRUE,4.0,0)))*(1-IF(AND(ArtifactsInput!$M$27,Inputs!$B$4="Chapter Hunt"),CHOOSE(ArtifactsInput!$N$27+1,20,24,28,32,36,40),0)/100)),0)</f>
        <v/>
      </c>
      <c r="R3193">
        <f>IF(AND(Inputs!$B$38&lt;&gt;"pvp",Inputs!$B$43&gt;0),IF(MAX(0,Inputs!$B$43-B3226)&lt;=0,0,(INT(MAX(0,Inputs!$B$43-B3226)/(IF(Inputs!$B$38="pvp",15,MAX(0.1,Skills!D3-IF(TRUE=TRUE,4.0,0)))*(1-IF(AND(ArtifactsInput!$M$27,Inputs!$B$4="Chapter Hunt"),CHOOSE(ArtifactsInput!$N$27+1,20,24,28,32,36,40),0)/100)))+1)),0)</f>
        <v/>
      </c>
      <c r="S3193">
        <f>IFERROR(O3193/N3193,0)</f>
        <v/>
      </c>
      <c r="T3193">
        <f>IF(C3193,(Skills!G3*N3193*IF(C3194=TRUE,1-B3231,1)/B3230)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3193*(1-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3">
        <f>INDEX(FactorTable!$B$2:$Y$301, MATCH(ROUND(MIN(300,MAX(1,U3192)),0), FactorTable!$A$2:$A$301,0), 22)</f>
        <v/>
      </c>
      <c r="V3193">
        <f>IF(C3193,(Skills!G3*N3193*IF(C3194=TRUE,1-B3231,1)/B3230)*IF(Inputs!$B$38="pvp",1,(1+(Inputs!$B$21+Skills!Q3+(IF(ArtifactsInput!$M$33,CHOOSE(ArtifactsInput!$N$33+1,30,36,42,48,54,60),0))+(IF(AND(ArtifactsInput!$M$35,Inputs!$B$4&lt;&gt;"Chapter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Skills!A4</f>
        <v/>
      </c>
      <c r="B3194">
        <f>Skills!B4</f>
        <v/>
      </c>
      <c r="C3194">
        <f>Inputs!$B$3&gt;=69</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f>Skills!G4*IF(Skills!H4&gt;0,Skills!I4/Skills!H4,1)</f>
        <v/>
      </c>
      <c r="H3194">
        <f>1-(1-Skills!J4/100)^Skills!K4</f>
        <v/>
      </c>
      <c r="I3194" t="inlineStr">
        <is>
          <t>1</t>
        </is>
      </c>
      <c r="J3194">
        <f>((Inputs!$B$6*(1+Inputs!$B$7/100))+(((Inputs!$B$12*(1+Inputs!$B$13/100))-(Inputs!$B$12*(1+Inputs!$B$13/100)))+0.25*(Inputs!$B$14-Inputs!$B$14))*(1+Inputs!$B$7/100))*(F3194/100)</f>
        <v/>
      </c>
      <c r="K3194">
        <f>J3194*(1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3202=TRUE,F3202,0)/100)*(1+(IF(Skills!A4="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3194)</f>
        <v/>
      </c>
      <c r="L3194">
        <f>K3194*(MIN(Inputs!$B$22+((C3210=TRUE)*(F3210-Calc!F20)),(Inputs!$B$23+0+(IF(ArtifactsInput!$M$15,CHOOSE(ArtifactsInput!$N$15+1,25,30,35,40,45,50)/100*(Inputs!$B$11-Inputs!$B$11),0))))/100+(Inputs!$B$23+0+(IF(ArtifactsInput!$M$15,CHOOSE(ArtifactsInput!$N$15+1,25,30,35,40,45,50)/100*(Inputs!$B$11-Inputs!$B$11),0)))/100)/2</f>
        <v/>
      </c>
      <c r="M3194">
        <f>L3194*(1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4">
        <f>L3194*(1-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3194*(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4">
        <f>(1-Summary!$B$11)*T3194+Summary!$B$11*V3194</f>
        <v/>
      </c>
      <c r="P3194">
        <f>IF(B3229=0,0,O3194/B3229)</f>
        <v/>
      </c>
      <c r="Q3194" t="n">
        <v>0</v>
      </c>
      <c r="R3194" t="n">
        <v>0</v>
      </c>
      <c r="S3194">
        <f>IFERROR(O3194/N3194,0)</f>
        <v/>
      </c>
      <c r="T3194">
        <f>IF(C3194,(Skills!G4*N3194*B3231/B3230)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3194*(1-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3194*(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3194*(1-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3194*(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4">
        <f>290*U3193/1000</f>
        <v/>
      </c>
      <c r="V3194">
        <f>IF(C3194,(Skills!G4*N3194*B3231/B3230)*IF(Inputs!$B$38="pvp",1,(1+(Inputs!$B$21+Skills!Q4+(IF(ArtifactsInput!$M$33,CHOOSE(ArtifactsInput!$N$33+1,30,36,42,48,54,60),0))+(IF(AND(ArtifactsInput!$M$35,Inputs!$B$4&lt;&gt;"Chapter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5">
      <c r="A3195">
        <f>Skills!A5</f>
        <v/>
      </c>
      <c r="B3195">
        <f>Skills!B5</f>
        <v/>
      </c>
      <c r="C3195">
        <f>Inputs!$B$3&gt;=66</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t="inlineStr"/>
      <c r="K3195" t="inlineStr"/>
      <c r="L3195" t="inlineStr"/>
      <c r="M3195" t="inlineStr"/>
      <c r="N3195" t="inlineStr"/>
      <c r="O3195">
        <f>(1-Summary!$B$11)*T3195+Summary!$B$11*V3195</f>
        <v/>
      </c>
      <c r="P3195">
        <f>IF(B3229=0,0,O3195/B3229)</f>
        <v/>
      </c>
      <c r="Q3195" t="n">
        <v>0</v>
      </c>
      <c r="R3195" t="n">
        <v>0</v>
      </c>
      <c r="S3195">
        <f>IFERROR(O3195/N3195,0)</f>
        <v/>
      </c>
      <c r="T3195" t="n">
        <v>0</v>
      </c>
      <c r="V3195" t="n">
        <v>0</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3202=TRUE,F3202,0)/100)*(1+(IF(Skills!A6="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3210=TRUE)*(F3210-Calc!F20)),(Inputs!$B$23+0+(IF(ArtifactsInput!$M$15,CHOOSE(ArtifactsInput!$N$15+1,25,30,35,40,45,50)/100*(Inputs!$B$11-Inputs!$B$11),0))))/100+(Inputs!$B$23+0+(IF(ArtifactsInput!$M$15,CHOOSE(ArtifactsInput!$N$15+1,25,30,35,40,45,50)/100*(Inputs!$B$11-Inputs!$B$11),0)))/100)/2</f>
        <v/>
      </c>
      <c r="M3196">
        <f>L3196*(1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IF(B3229=0,0,O3196/B3229)</f>
        <v/>
      </c>
      <c r="Q3196">
        <f>IFERROR(1/(IF(Inputs!$B$38="pvp",15,MAX(0.1,Skills!D6-IF(TRUE=TRUE,4.0,0)))*(1-IF(AND(ArtifactsInput!$M$27,Inputs!$B$4="Chapter Hunt"),CHOOSE(ArtifactsInput!$N$27+1,20,24,28,32,36,40),0)/100)),0)</f>
        <v/>
      </c>
      <c r="R3196">
        <f>IF(AND(Inputs!$B$38&lt;&gt;"pvp",Inputs!$B$43&gt;0),IF(MAX(0,Inputs!$B$43-B3226)&lt;=0,0,(INT(MAX(0,Inputs!$B$43-B3226)/(IF(Inputs!$B$38="pvp",15,MAX(0.1,Skills!D6-IF(TRUE=TRUE,4.0,0)))*(1-IF(AND(ArtifactsInput!$M$27,Inputs!$B$4="Chapter Hunt"),CHOOSE(ArtifactsInput!$N$27+1,20,24,28,32,36,40),0)/100)))+1)),0)</f>
        <v/>
      </c>
      <c r="S3196">
        <f>IFERROR(O3196/N3196,0)</f>
        <v/>
      </c>
      <c r="T3196">
        <f>IF(C3196,(H3196*N3196*IF(AND(Inputs!$B$38&lt;&gt;"pvp",Inputs!$B$43&gt;0),((Skills!G6*((R3196-1)*IF(Skills!H6&gt;0,Skills!I6/Skills!H6,1)+IF(Skills!H6&gt;0,MIN(Skills!I6,MAX(0,MAX(0,Inputs!$B$43-B3226)-((R3196-1)*(IF(Inputs!$B$38="pvp",15,MAX(0.1,Skills!D6-IF(TRUE=TRUE,4.0,0)))*(1-IF(AND(ArtifactsInput!$M$27,Inputs!$B$4="Chapter Hunt"),CHOOSE(ArtifactsInput!$N$27+1,20,24,28,32,36,40),0)/100)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3226)-((R3196-1)*(IF(Inputs!$B$38="pvp",15,MAX(0.1,Skills!D6-IF(TRUE=TRUE,4.0,0)))*(1-IF(AND(ArtifactsInput!$M$27,Inputs!$B$4="Chapter Hunt"),CHOOSE(ArtifactsInput!$N$27+1,20,24,28,32,36,40),0)/100)))))/Skills!H6,1)))/Inputs!$B$43),G3196*Q3196))*IF(Inputs!$B$38="pvp",1,(1+(Inputs!$B$21+Skills!Q6+(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Inputs!$B$3&gt;=103</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3210=TRUE)*(F3210-Calc!F20)),(Inputs!$B$23+0+(IF(ArtifactsInput!$M$15,CHOOSE(ArtifactsInput!$N$15+1,25,30,35,40,45,50)/100*(Inputs!$B$11-Inputs!$B$11),0))))/100+(Inputs!$B$23+0+(IF(ArtifactsInput!$M$15,CHOOSE(ArtifactsInput!$N$15+1,25,30,35,40,45,50)/100*(Inputs!$B$11-Inputs!$B$11),0)))/100)/2</f>
        <v/>
      </c>
      <c r="M3197">
        <f>L3197*(1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IF(B3229=0,0,O3197/B3229)</f>
        <v/>
      </c>
      <c r="Q3197">
        <f>IFERROR(1/(IF(Inputs!$B$38="pvp",15,MAX(0.1,Skills!D7-IF(TRUE=TRUE,4.0,0)))*(1-IF(AND(ArtifactsInput!$M$27,Inputs!$B$4="Chapter Hunt"),CHOOSE(ArtifactsInput!$N$27+1,20,24,28,32,36,40),0)/100)),0)</f>
        <v/>
      </c>
      <c r="R3197">
        <f>IF(AND(Inputs!$B$38&lt;&gt;"pvp",Inputs!$B$43&gt;0),IF(MAX(0,Inputs!$B$43-B3226)&lt;=0,0,(INT(MAX(0,Inputs!$B$43-B3226)/(IF(Inputs!$B$38="pvp",15,MAX(0.1,Skills!D7-IF(TRUE=TRUE,4.0,0)))*(1-IF(AND(ArtifactsInput!$M$27,Inputs!$B$4="Chapter Hunt"),CHOOSE(ArtifactsInput!$N$27+1,20,24,28,32,36,40),0)/100)))+1)),0)</f>
        <v/>
      </c>
      <c r="S3197">
        <f>IFERROR(O3197/N3197,0)</f>
        <v/>
      </c>
      <c r="T3197">
        <f>IF(C3197,(H3197*N3197*IF(AND(Inputs!$B$38&lt;&gt;"pvp",Inputs!$B$43&gt;0),((Skills!G7*((R3197-1)*IF(Skills!H7&gt;0,Skills!I7/Skills!H7,1)+IF(Skills!H7&gt;0,MIN(Skills!I7,MAX(0,MAX(0,Inputs!$B$43-B3226)-((R3197-1)*(IF(Inputs!$B$38="pvp",15,MAX(0.1,Skills!D7-IF(TRUE=TRUE,4.0,0)))*(1-IF(AND(ArtifactsInput!$M$27,Inputs!$B$4="Chapter Hunt"),CHOOSE(ArtifactsInput!$N$27+1,20,24,28,32,36,40),0)/100)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3226)-((R3197-1)*(IF(Inputs!$B$38="pvp",15,MAX(0.1,Skills!D7-IF(TRUE=TRUE,4.0,0)))*(1-IF(AND(ArtifactsInput!$M$27,Inputs!$B$4="Chapter Hunt"),CHOOSE(ArtifactsInput!$N$27+1,20,24,28,32,36,40),0)/100)))))/Skills!H7,1)))/Inputs!$B$43),G3197*Q3197))*IF(Inputs!$B$38="pvp",1,(1+(Inputs!$B$21+Skills!Q7+(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Inputs!$B$3&gt;=117</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f>Skills!G8*IF(Skills!H8&gt;0,Skills!I8/Skills!H8,1)</f>
        <v/>
      </c>
      <c r="H3198">
        <f>1-(1-Skills!J8/100)^Skills!K8</f>
        <v/>
      </c>
      <c r="I3198" t="inlineStr">
        <is>
          <t>1</t>
        </is>
      </c>
      <c r="J3198">
        <f>((Inputs!$B$6*(1+Inputs!$B$7/100))+(((Inputs!$B$12*(1+Inputs!$B$13/100))-(Inputs!$B$12*(1+Inputs!$B$13/100)))+0.25*(Inputs!$B$14-Inputs!$B$14))*(1+Inputs!$B$7/100))*(F3198/100)</f>
        <v/>
      </c>
      <c r="K3198">
        <f>J3198*(1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3198)</f>
        <v/>
      </c>
      <c r="L3198">
        <f>K3198*(MIN(Inputs!$B$22+((C3210=TRUE)*(F3210-Calc!F20)),(Inputs!$B$23+0+(IF(ArtifactsInput!$M$15,CHOOSE(ArtifactsInput!$N$15+1,25,30,35,40,45,50)/100*(Inputs!$B$11-Inputs!$B$11),0))))/100+(Inputs!$B$23+0+(IF(ArtifactsInput!$M$15,CHOOSE(ArtifactsInput!$N$15+1,25,30,35,40,45,50)/100*(Inputs!$B$11-Inputs!$B$11),0)))/100)/2</f>
        <v/>
      </c>
      <c r="M3198">
        <f>L3198*(1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8">
        <f>L3198*(1-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3198*(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8">
        <f>(1-Summary!$B$11)*T3198+Summary!$B$11*V3198</f>
        <v/>
      </c>
      <c r="P3198">
        <f>IF(B3229=0,0,O3198/B3229)</f>
        <v/>
      </c>
      <c r="Q3198">
        <f>IFERROR(1/(IF(Inputs!$B$38="pvp",15,MAX(0.1,Skills!D8-IF(TRUE=TRUE,4.0,0)))*(1-IF(AND(ArtifactsInput!$M$27,Inputs!$B$4="Chapter Hunt"),CHOOSE(ArtifactsInput!$N$27+1,20,24,28,32,36,40),0)/100)),0)</f>
        <v/>
      </c>
      <c r="R3198">
        <f>IF(AND(Inputs!$B$38&lt;&gt;"pvp",Inputs!$B$43&gt;0),IF(MAX(0,Inputs!$B$43-B3226)&lt;=0,0,(INT(MAX(0,Inputs!$B$43-B3226)/(IF(Inputs!$B$38="pvp",15,MAX(0.1,Skills!D8-IF(TRUE=TRUE,4.0,0)))*(1-IF(AND(ArtifactsInput!$M$27,Inputs!$B$4="Chapter Hunt"),CHOOSE(ArtifactsInput!$N$27+1,20,24,28,32,36,40),0)/100)))+1)),0)</f>
        <v/>
      </c>
      <c r="S3198">
        <f>IFERROR(O3198/N3198,0)</f>
        <v/>
      </c>
      <c r="T3198">
        <f>IF(C3198,(H3198*N3198*IF(AND(Inputs!$B$38&lt;&gt;"pvp",Inputs!$B$43&gt;0),((Skills!G8*((R3198-1)*IF(Skills!H8&gt;0,Skills!I8/Skills!H8,1)+IF(Skills!H8&gt;0,MIN(Skills!I8,MAX(0,MAX(0,Inputs!$B$43-B3226)-((R3198-1)*(IF(Inputs!$B$38="pvp",15,MAX(0.1,Skills!D8-IF(TRUE=TRUE,4.0,0)))*(1-IF(AND(ArtifactsInput!$M$27,Inputs!$B$4="Chapter Hunt"),CHOOSE(ArtifactsInput!$N$27+1,20,24,28,32,36,40),0)/100)))))/Skills!H8,1)))/Inputs!$B$43),G3198*Q3198)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3198*(1-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3198*(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3198*(1-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3198*(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8">
        <f>IF(C3198,(H3198*N3198*IF(AND(Inputs!$B$38&lt;&gt;"pvp",Inputs!$B$43&gt;0),((Skills!G8*((R3198-1)*IF(Skills!H8&gt;0,Skills!I8/Skills!H8,1)+IF(Skills!H8&gt;0,MIN(Skills!I8,MAX(0,MAX(0,Inputs!$B$43-B3226)-((R3198-1)*(IF(Inputs!$B$38="pvp",15,MAX(0.1,Skills!D8-IF(TRUE=TRUE,4.0,0)))*(1-IF(AND(ArtifactsInput!$M$27,Inputs!$B$4="Chapter Hunt"),CHOOSE(ArtifactsInput!$N$27+1,20,24,28,32,36,40),0)/100)))))/Skills!H8,1)))/Inputs!$B$43),G3198*Q3198))*IF(Inputs!$B$38="pvp",1,(1+(Inputs!$B$21+Skills!Q8+(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9">
      <c r="A3199">
        <f>Skills!A9</f>
        <v/>
      </c>
      <c r="B3199">
        <f>Skills!B9</f>
        <v/>
      </c>
      <c r="C3199">
        <f>Inputs!$B$3&gt;=120</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B3231</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3210=TRUE)*(F3210-Calc!F20)),(Inputs!$B$23+0+(IF(ArtifactsInput!$M$15,CHOOSE(ArtifactsInput!$N$15+1,25,30,35,40,45,50)/100*(Inputs!$B$11-Inputs!$B$11),0))))/100+(Inputs!$B$23+0+(IF(ArtifactsInput!$M$15,CHOOSE(ArtifactsInput!$N$15+1,25,30,35,40,45,50)/100*(Inputs!$B$11-Inputs!$B$11),0)))/100)/2</f>
        <v/>
      </c>
      <c r="M3199">
        <f>L3199*(1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IF(B3229=0,0,O3199/B3229)</f>
        <v/>
      </c>
      <c r="Q3199">
        <f>IFERROR(1/(IF(Inputs!$B$38="pvp",15,MAX(0.1,Skills!D9-IF(TRUE=TRUE,4.0,0)))*(1-IF(AND(ArtifactsInput!$M$27,Inputs!$B$4="Chapter Hunt"),CHOOSE(ArtifactsInput!$N$27+1,20,24,28,32,36,40),0)/100)),0)</f>
        <v/>
      </c>
      <c r="R3199">
        <f>IF(AND(Inputs!$B$38&lt;&gt;"pvp",Inputs!$B$43&gt;0),IF(MAX(0,Inputs!$B$43-B3226)&lt;=0,0,(INT(MAX(0,Inputs!$B$43-B3226)/(IF(Inputs!$B$38="pvp",15,MAX(0.1,Skills!D9-IF(TRUE=TRUE,4.0,0)))*(1-IF(AND(ArtifactsInput!$M$27,Inputs!$B$4="Chapter Hunt"),CHOOSE(ArtifactsInput!$N$27+1,20,24,28,32,36,40),0)/100)))+1)),0)</f>
        <v/>
      </c>
      <c r="S3199">
        <f>IFERROR(O3199/N3199,0)</f>
        <v/>
      </c>
      <c r="T3199">
        <f>IF(C3199,(H3199*N3199*IF(AND(Inputs!$B$38&lt;&gt;"pvp",Inputs!$B$43&gt;0),((Skills!G9*((R3199-1)*IF(Skills!H9&gt;0,Skills!I9/Skills!H9,1)+IF(Skills!H9&gt;0,MIN(Skills!I9,MAX(0,MAX(0,Inputs!$B$43-B3226)-((R3199-1)*(IF(Inputs!$B$38="pvp",15,MAX(0.1,Skills!D9-IF(TRUE=TRUE,4.0,0)))*(1-IF(AND(ArtifactsInput!$M$27,Inputs!$B$4="Chapter Hunt"),CHOOSE(ArtifactsInput!$N$27+1,20,24,28,32,36,40),0)/100)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3226)-((R3199-1)*(IF(Inputs!$B$38="pvp",15,MAX(0.1,Skills!D9-IF(TRUE=TRUE,4.0,0)))*(1-IF(AND(ArtifactsInput!$M$27,Inputs!$B$4="Chapter Hunt"),CHOOSE(ArtifactsInput!$N$27+1,20,24,28,32,36,40),0)/100)))))/Skills!H9,1)))/Inputs!$B$43),G3199*Q3199))*IF(Inputs!$B$38="pvp",1,(1+(Inputs!$B$21+Skills!Q9+(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Inputs!$B$3&gt;=105</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3210=TRUE)*(F3210-Calc!F20)),(Inputs!$B$23+0+(IF(ArtifactsInput!$M$15,CHOOSE(ArtifactsInput!$N$15+1,25,30,35,40,45,50)/100*(Inputs!$B$11-Inputs!$B$11),0))))/100+(Inputs!$B$23+0+(IF(ArtifactsInput!$M$15,CHOOSE(ArtifactsInput!$N$15+1,25,30,35,40,45,50)/100*(Inputs!$B$11-Inputs!$B$11),0)))/100)/2</f>
        <v/>
      </c>
      <c r="M3200">
        <f>L3200*(1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IF(B3229=0,0,O3200/B3229)</f>
        <v/>
      </c>
      <c r="Q3200">
        <f>IFERROR(1/(IF(Inputs!$B$38="pvp",15,MAX(0.1,Skills!D10-IF(TRUE=TRUE,4.0,0)))*(1-IF(AND(ArtifactsInput!$M$27,Inputs!$B$4="Chapter Hunt"),CHOOSE(ArtifactsInput!$N$27+1,20,24,28,32,36,40),0)/100)),0)</f>
        <v/>
      </c>
      <c r="R3200">
        <f>IF(AND(Inputs!$B$38&lt;&gt;"pvp",Inputs!$B$43&gt;0),IF(MAX(0,Inputs!$B$43-B3226)&lt;=0,0,(INT(MAX(0,Inputs!$B$43-B3226)/(IF(Inputs!$B$38="pvp",15,MAX(0.1,Skills!D10-IF(TRUE=TRUE,4.0,0)))*(1-IF(AND(ArtifactsInput!$M$27,Inputs!$B$4="Chapter Hunt"),CHOOSE(ArtifactsInput!$N$27+1,20,24,28,32,36,40),0)/100)))+1)),0)</f>
        <v/>
      </c>
      <c r="S3200">
        <f>IFERROR(O3200/N3200,0)</f>
        <v/>
      </c>
      <c r="T3200">
        <f>IF(C3200,(H3200*N3200*IF(AND(Inputs!$B$38&lt;&gt;"pvp",Inputs!$B$43&gt;0),((Skills!G10*((R3200-1)*IF(Skills!H10&gt;0,Skills!I10/Skills!H10,1)+IF(Skills!H10&gt;0,MIN(Skills!I10,MAX(0,MAX(0,Inputs!$B$43-B3226)-((R3200-1)*(IF(Inputs!$B$38="pvp",15,MAX(0.1,Skills!D10-IF(TRUE=TRUE,4.0,0)))*(1-IF(AND(ArtifactsInput!$M$27,Inputs!$B$4="Chapter Hunt"),CHOOSE(ArtifactsInput!$N$27+1,20,24,28,32,36,40),0)/100)))))/Skills!H10,1)))/Inputs!$B$43),G3200*Q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H3200*N3200*IF(AND(Inputs!$B$38&lt;&gt;"pvp",Inputs!$B$43&gt;0),((Skills!G10*((R3200-1)*IF(Skills!H10&gt;0,Skills!I10/Skills!H10,1)+IF(Skills!H10&gt;0,MIN(Skills!I10,MAX(0,MAX(0,Inputs!$B$43-B3226)-((R3200-1)*(IF(Inputs!$B$38="pvp",15,MAX(0.1,Skills!D10-IF(TRUE=TRUE,4.0,0)))*(1-IF(AND(ArtifactsInput!$M$27,Inputs!$B$4="Chapter Hunt"),CHOOSE(ArtifactsInput!$N$27+1,20,24,28,32,36,40),0)/100)))))/Skills!H10,1)))/Inputs!$B$43),G3200*Q3200))*IF(Inputs!$B$38="pvp",1,(1+(Inputs!$B$21+Skills!Q10+(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Inputs!$B$3&gt;=113</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3210=TRUE)*(F3210-Calc!F20)),(Inputs!$B$23+0+(IF(ArtifactsInput!$M$15,CHOOSE(ArtifactsInput!$N$15+1,25,30,35,40,45,50)/100*(Inputs!$B$11-Inputs!$B$11),0))))/100+(Inputs!$B$23+0+(IF(ArtifactsInput!$M$15,CHOOSE(ArtifactsInput!$N$15+1,25,30,35,40,45,50)/100*(Inputs!$B$11-Inputs!$B$11),0)))/100)/2</f>
        <v/>
      </c>
      <c r="M3201">
        <f>L3201*(1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IF(B3229=0,0,O3201/B3229)</f>
        <v/>
      </c>
      <c r="Q3201" t="n">
        <v>0</v>
      </c>
      <c r="R3201" t="n">
        <v>0</v>
      </c>
      <c r="S3201">
        <f>IFERROR(O3201/N3201,0)</f>
        <v/>
      </c>
      <c r="T3201">
        <f>IF(C3201,((H3201*B3232)/(1+Skills!H11*H3201*B3232)*N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IF(C3201,((H3201*B3232)/(1+Skills!H11*H3201*B3232)*N3201)*IF(Inputs!$B$38="pvp",1,(1+(Inputs!$B$21+Skills!Q11+(IF(ArtifactsInput!$M$33,CHOOSE(ArtifactsInput!$N$33+1,30,36,42,48,54,60),0))+(IF(AND(ArtifactsInput!$M$35,Inputs!$B$4&lt;&gt;"Chapter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Inputs!$B$3&gt;=100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t="inlineStr"/>
      <c r="H3202" t="inlineStr"/>
      <c r="I3202" t="inlineStr">
        <is>
          <t>1</t>
        </is>
      </c>
      <c r="J3202" t="inlineStr"/>
      <c r="K3202" t="inlineStr"/>
      <c r="L3202" t="inlineStr"/>
      <c r="M3202" t="inlineStr"/>
      <c r="N3202" t="inlineStr"/>
      <c r="O3202" t="inlineStr"/>
      <c r="P3202" t="inlineStr"/>
      <c r="Q3202" t="inlineStr"/>
      <c r="R3202" t="inlineStr"/>
      <c r="S3202" t="inlineStr"/>
      <c r="T3202" t="inlineStr"/>
      <c r="V3202" t="inlineStr"/>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IF(B3229=0,0,O3203/B3229)</f>
        <v/>
      </c>
      <c r="Q3203" t="n">
        <v>0</v>
      </c>
      <c r="R3203" t="n">
        <v>0</v>
      </c>
      <c r="S3203">
        <f>IFERROR(O3203/N3203,0)</f>
        <v/>
      </c>
      <c r="T3203" t="n">
        <v>0</v>
      </c>
      <c r="V3203" t="n">
        <v>0</v>
      </c>
    </row>
    <row r="3204">
      <c r="A3204">
        <f>Skills!A14</f>
        <v/>
      </c>
      <c r="B3204">
        <f>Skills!B14</f>
        <v/>
      </c>
      <c r="C3204">
        <f>Inputs!$B$3&gt;=115</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IF(B3229=0,0,O3204/B3229)</f>
        <v/>
      </c>
      <c r="Q3204">
        <f>IFERROR(1/(IF(Inputs!$B$38="pvp",15,MAX(0.1,Skills!D14-IF(TRUE=TRUE,4.0,0)))*(1-IF(AND(ArtifactsInput!$M$27,Inputs!$B$4="Chapter Hunt"),CHOOSE(ArtifactsInput!$N$27+1,20,24,28,32,36,40),0)/100)),0)</f>
        <v/>
      </c>
      <c r="R3204">
        <f>IF(AND(Inputs!$B$38&lt;&gt;"pvp",Inputs!$B$43&gt;0),IF(Inputs!$B$43&lt;=0,0,(INT(Inputs!$B$43/(IF(Inputs!$B$38="pvp",15,MAX(0.1,Skills!D14-IF(TRUE=TRUE,4.0,0)))*(1-IF(AND(ArtifactsInput!$M$27,Inputs!$B$4="Chapter Hunt"),CHOOSE(ArtifactsInput!$N$27+1,20,24,28,32,36,40),0)/100)))+1)),0)</f>
        <v/>
      </c>
      <c r="S3204">
        <f>IFERROR(O3204/N3204,0)</f>
        <v/>
      </c>
      <c r="T3204" t="n">
        <v>0</v>
      </c>
      <c r="V3204" t="n">
        <v>0</v>
      </c>
    </row>
    <row r="3205">
      <c r="A3205">
        <f>Skills!A15</f>
        <v/>
      </c>
      <c r="B3205">
        <f>Skills!B15</f>
        <v/>
      </c>
      <c r="C3205">
        <f>Inputs!$B$3&gt;=125</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IF(B3229=0,0,O3205/B3229)</f>
        <v/>
      </c>
      <c r="Q3205">
        <f>IFERROR(1/(IF(Inputs!$B$38="pvp",15,MAX(0.1,Skills!D15-IF(TRUE=TRUE,4.0,0)))*(1-IF(AND(ArtifactsInput!$M$27,Inputs!$B$4="Chapter Hunt"),CHOOSE(ArtifactsInput!$N$27+1,20,24,28,32,36,40),0)/100)),0)</f>
        <v/>
      </c>
      <c r="R3205">
        <f>IF(AND(Inputs!$B$38&lt;&gt;"pvp",Inputs!$B$43&gt;0),IF(Inputs!$B$43&lt;=0,0,(INT(Inputs!$B$43/(IF(Inputs!$B$38="pvp",15,MAX(0.1,Skills!D15-IF(TRUE=TRUE,4.0,0)))*(1-IF(AND(ArtifactsInput!$M$27,Inputs!$B$4="Chapter Hunt"),CHOOSE(ArtifactsInput!$N$27+1,20,24,28,32,36,40),0)/100)))+1)),0)</f>
        <v/>
      </c>
      <c r="S3205">
        <f>IFERROR(O3205/N3205,0)</f>
        <v/>
      </c>
      <c r="T3205" t="n">
        <v>0</v>
      </c>
      <c r="V3205" t="n">
        <v>0</v>
      </c>
    </row>
    <row r="3206">
      <c r="A3206">
        <f>Skills!A16</f>
        <v/>
      </c>
      <c r="B3206">
        <f>Skills!B16</f>
        <v/>
      </c>
      <c r="C3206">
        <f>Inputs!$B$3&gt;=10</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IF(B3229=0,0,O3206/B3229)</f>
        <v/>
      </c>
      <c r="Q3206" t="n">
        <v>0</v>
      </c>
      <c r="R3206" t="n">
        <v>0</v>
      </c>
      <c r="S3206">
        <f>IFERROR(O3206/N3206,0)</f>
        <v/>
      </c>
      <c r="T3206" t="n">
        <v>0</v>
      </c>
      <c r="V3206" t="n">
        <v>0</v>
      </c>
    </row>
    <row r="3207">
      <c r="A3207">
        <f>Skills!A17</f>
        <v/>
      </c>
      <c r="B3207">
        <f>Skills!B17</f>
        <v/>
      </c>
      <c r="C3207">
        <f>Inputs!$B$3&gt;=15</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IF(B3229=0,0,O3207/B3229)</f>
        <v/>
      </c>
      <c r="Q3207" t="n">
        <v>0</v>
      </c>
      <c r="R3207" t="n">
        <v>0</v>
      </c>
      <c r="S3207">
        <f>IFERROR(O3207/N3207,0)</f>
        <v/>
      </c>
      <c r="T3207" t="n">
        <v>0</v>
      </c>
      <c r="V3207" t="n">
        <v>0</v>
      </c>
    </row>
    <row r="3208">
      <c r="A3208">
        <f>Skills!A18</f>
        <v/>
      </c>
      <c r="B3208">
        <f>Skills!B18</f>
        <v/>
      </c>
      <c r="C3208">
        <f>Inputs!$B$3&gt;=33</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IF(B3229=0,0,O3208/B3229)</f>
        <v/>
      </c>
      <c r="Q3208" t="n">
        <v>0</v>
      </c>
      <c r="R3208" t="n">
        <v>0</v>
      </c>
      <c r="S3208">
        <f>IFERROR(O3208/N3208,0)</f>
        <v/>
      </c>
      <c r="T3208" t="n">
        <v>0</v>
      </c>
      <c r="V3208" t="n">
        <v>0</v>
      </c>
    </row>
    <row r="3209">
      <c r="A3209">
        <f>Skills!A19</f>
        <v/>
      </c>
      <c r="B3209">
        <f>Skills!B19</f>
        <v/>
      </c>
      <c r="C3209">
        <f>Inputs!$B$3&gt;=40</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IF(B3229=0,0,O3209/B3229)</f>
        <v/>
      </c>
      <c r="Q3209" t="n">
        <v>0</v>
      </c>
      <c r="R3209" t="n">
        <v>0</v>
      </c>
      <c r="S3209">
        <f>IFERROR(O3209/N3209,0)</f>
        <v/>
      </c>
      <c r="T3209" t="n">
        <v>0</v>
      </c>
      <c r="V3209" t="n">
        <v>0</v>
      </c>
    </row>
    <row r="3210">
      <c r="A3210">
        <f>Skills!A20</f>
        <v/>
      </c>
      <c r="B3210">
        <f>Skills!B20</f>
        <v/>
      </c>
      <c r="C3210">
        <f>Inputs!$B$3&gt;=43</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IF(B3229=0,0,O3210/B3229)</f>
        <v/>
      </c>
      <c r="Q3210" t="n">
        <v>0</v>
      </c>
      <c r="R3210" t="n">
        <v>0</v>
      </c>
      <c r="S3210">
        <f>IFERROR(O3210/N3210,0)</f>
        <v/>
      </c>
      <c r="T3210" t="n">
        <v>0</v>
      </c>
      <c r="V3210" t="n">
        <v>0</v>
      </c>
    </row>
    <row r="3211">
      <c r="A3211">
        <f>Skills!A21</f>
        <v/>
      </c>
      <c r="B3211">
        <f>Skills!B21</f>
        <v/>
      </c>
      <c r="C3211">
        <f>Inputs!$B$3&gt;=38</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IF(B3229=0,0,O3211/B3229)</f>
        <v/>
      </c>
      <c r="Q3211" t="n">
        <v>0</v>
      </c>
      <c r="R3211" t="n">
        <v>0</v>
      </c>
      <c r="S3211">
        <f>IFERROR(O3211/N3211,0)</f>
        <v/>
      </c>
      <c r="T3211" t="n">
        <v>0</v>
      </c>
      <c r="V3211" t="n">
        <v>0</v>
      </c>
    </row>
    <row r="3212">
      <c r="A3212">
        <f>Skills!A22</f>
        <v/>
      </c>
      <c r="B3212">
        <f>Skills!B22</f>
        <v/>
      </c>
      <c r="C3212">
        <f>Inputs!$B$3&gt;=75</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IF(B3229=0,0,O3212/B3229)</f>
        <v/>
      </c>
      <c r="Q3212" t="n">
        <v>0</v>
      </c>
      <c r="R3212" t="n">
        <v>0</v>
      </c>
      <c r="S3212">
        <f>IFERROR(O3212/N3212,0)</f>
        <v/>
      </c>
      <c r="T3212" t="n">
        <v>0</v>
      </c>
      <c r="V3212" t="n">
        <v>0</v>
      </c>
    </row>
    <row r="3213">
      <c r="A3213">
        <f>Skills!A23</f>
        <v/>
      </c>
      <c r="B3213">
        <f>Skills!B23</f>
        <v/>
      </c>
      <c r="C3213">
        <f>TRUE</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IF(B3229=0,0,O3213/B3229)</f>
        <v/>
      </c>
      <c r="Q3213">
        <f>IFERROR(1/(IF(Inputs!$B$38="pvp",15,MAX(0.1,Skills!D23-IF(TRUE=TRUE,4.0,0)))*(1-IF(AND(ArtifactsInput!$M$27,Inputs!$B$4="Chapter Hunt"),CHOOSE(ArtifactsInput!$N$27+1,20,24,28,32,36,40),0)/100)),0)</f>
        <v/>
      </c>
      <c r="R3213">
        <f>IF(AND(Inputs!$B$38&lt;&gt;"pvp",Inputs!$B$43&gt;0),IF(Inputs!$B$43&lt;=0,0,(INT(Inputs!$B$43/(IF(Inputs!$B$38="pvp",15,MAX(0.1,Skills!D23-IF(TRUE=TRUE,4.0,0)))*(1-IF(AND(ArtifactsInput!$M$27,Inputs!$B$4="Chapter Hunt"),CHOOSE(ArtifactsInput!$N$27+1,20,24,28,32,36,40),0)/100)))+1)),0)</f>
        <v/>
      </c>
      <c r="S3213">
        <f>IFERROR(O3213/N3213,0)</f>
        <v/>
      </c>
      <c r="T3213" t="n">
        <v>0</v>
      </c>
      <c r="V3213" t="n">
        <v>0</v>
      </c>
    </row>
    <row r="3214">
      <c r="A3214">
        <f>Skills!A24</f>
        <v/>
      </c>
      <c r="B3214">
        <f>Skills!B24</f>
        <v/>
      </c>
      <c r="C3214">
        <f>Inputs!$B$3&gt;=107</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IF(B3229=0,0,O3214/B3229)</f>
        <v/>
      </c>
      <c r="Q3214">
        <f>IFERROR(1/(IF(Inputs!$B$38="pvp",15,MAX(0.1,Skills!D24-IF(TRUE=TRUE,4.0,0)))*(1-IF(AND(ArtifactsInput!$M$27,Inputs!$B$4="Chapter Hunt"),CHOOSE(ArtifactsInput!$N$27+1,20,24,28,32,36,40),0)/100)),0)</f>
        <v/>
      </c>
      <c r="R3214">
        <f>IF(AND(Inputs!$B$38&lt;&gt;"pvp",Inputs!$B$43&gt;0),IF(Inputs!$B$43&lt;=0,0,(INT(Inputs!$B$43/(IF(Inputs!$B$38="pvp",15,MAX(0.1,Skills!D24-IF(TRUE=TRUE,4.0,0)))*(1-IF(AND(ArtifactsInput!$M$27,Inputs!$B$4="Chapter Hunt"),CHOOSE(ArtifactsInput!$N$27+1,20,24,28,32,36,40),0)/100)))+1)),0)</f>
        <v/>
      </c>
      <c r="S3214">
        <f>IFERROR(O3214/N3214,0)</f>
        <v/>
      </c>
      <c r="T3214" t="n">
        <v>0</v>
      </c>
      <c r="V3214" t="n">
        <v>0</v>
      </c>
    </row>
    <row r="3215">
      <c r="A3215">
        <f>Skills!A25</f>
        <v/>
      </c>
      <c r="B3215">
        <f>Skills!B25</f>
        <v/>
      </c>
      <c r="C3215">
        <f>Inputs!$B$3&gt;=110</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t="inlineStr"/>
      <c r="H3215" t="inlineStr"/>
      <c r="I3215" t="inlineStr">
        <is>
          <t>1</t>
        </is>
      </c>
      <c r="J3215" t="inlineStr"/>
      <c r="K3215" t="inlineStr"/>
      <c r="L3215" t="inlineStr"/>
      <c r="M3215" t="inlineStr"/>
      <c r="N3215" t="inlineStr"/>
      <c r="O3215" t="inlineStr"/>
      <c r="P3215" t="inlineStr"/>
      <c r="Q3215" t="inlineStr"/>
      <c r="R3215" t="inlineStr"/>
      <c r="S3215" t="inlineStr"/>
      <c r="T3215" t="inlineStr"/>
      <c r="V3215" t="inlineStr"/>
    </row>
    <row r="3216">
      <c r="A3216">
        <f>Skills!A26</f>
        <v/>
      </c>
      <c r="B3216">
        <f>Skills!B26</f>
        <v/>
      </c>
      <c r="C3216">
        <f>Inputs!$B$3&gt;=117</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t="inlineStr"/>
      <c r="H3216" t="inlineStr"/>
      <c r="I3216" t="inlineStr">
        <is>
          <t>1</t>
        </is>
      </c>
      <c r="J3216" t="inlineStr"/>
      <c r="K3216" t="inlineStr"/>
      <c r="L3216" t="inlineStr"/>
      <c r="M3216" t="inlineStr"/>
      <c r="N3216" t="inlineStr"/>
      <c r="O3216" t="inlineStr"/>
      <c r="P3216" t="inlineStr"/>
      <c r="Q3216" t="inlineStr"/>
      <c r="R3216" t="inlineStr"/>
      <c r="S3216" t="inlineStr"/>
      <c r="T3216" t="inlineStr"/>
      <c r="V3216" t="inlineStr"/>
    </row>
    <row r="3218">
      <c r="A3218" t="inlineStr">
        <is>
          <t>Attack% Bucket Multiplier</t>
        </is>
      </c>
      <c r="B3218">
        <f>(1+(((C3203=TRUE)*F3203*5/7)+((C3209=TRUE)*(F3209-Calc!F19))+(IF(ArtifactsInput!$M$21,CHOOSE(ArtifactsInput!$N$21+1,25,30,35,40,45,50)*(IF(OR(Inputs!$B$4="Chapter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19">
      <c r="A3219" t="inlineStr">
        <is>
          <t>Global Crit Rate Bonus %</t>
        </is>
      </c>
      <c r="B3219" t="n">
        <v>0</v>
      </c>
    </row>
    <row r="3220">
      <c r="A3220" t="inlineStr">
        <is>
          <t>Attack Speed Buff Bonus % (Nimble Feet + Speed Infusion, duty-cycle averaged)</t>
        </is>
      </c>
      <c r="B3220">
        <f>((C3213=TRUE)*F3213*IF(AND(Inputs!$B$38&lt;&gt;"pvp",Inputs!$B$43&gt;0),(((R3213-1)*MIN((Skills!T23*(1+Inputs!$B$34/100)),(1/Q3213))+MIN((Skills!T23*(1+Inputs!$B$34/100)),MAX(0,Inputs!$B$43-((R3213-1)*(1/Q3213)))))/Inputs!$B$43),IF(Inputs!$B$38="pvp",MIN((Skills!T23*(1+Inputs!$B$34/100)),15)/15,MIN(1,(Skills!T23*(1+Inputs!$B$34/100))/(1/Q3213)))))+((C3214=TRUE)*F3214*IF(AND(Inputs!$B$38&lt;&gt;"pvp",Inputs!$B$43&gt;0),(((R3214-1)*MIN((Skills!T24*(1+Inputs!$B$34/100)),(1/Q3214))+MIN((Skills!T24*(1+Inputs!$B$34/100)),MAX(0,Inputs!$B$43-((R3214-1)*(1/Q3214)))))/Inputs!$B$43),IF(Inputs!$B$38="pvp",MIN((Skills!T24*(1+Inputs!$B$34/100)),15)/15,MIN(1,(Skills!T24*(1+Inputs!$B$34/100))/(1/Q3214)))))</f>
        <v/>
      </c>
    </row>
    <row r="3221">
      <c r="A3221" t="inlineStr">
        <is>
          <t>Actions Per Second</t>
        </is>
      </c>
      <c r="B3221">
        <f>1+MIN(150,150*(1-(1-(Inputs!$B$11+((C3207=TRUE)*(F3207-Calc!F17))+((C3208=TRUE)*(F3208-Calc!F18)))/150)*(1-B3220/150)))/100</f>
        <v/>
      </c>
    </row>
    <row r="3222">
      <c r="A3222" t="inlineStr">
        <is>
          <t>Skill + Buff Cast Rate</t>
        </is>
      </c>
      <c r="B3222">
        <f>IF(AND(Inputs!$B$38&lt;&gt;"pvp",Inputs!$B$43&gt;0),SUMPRODUCT((Skills!E2:E26=TRUE)*(C3192:C3216=TRUE)*R3192:R3216*Skills!F2:F26)/Inputs!$B$43,SUMPRODUCT((Skills!E2:E26=TRUE)*(C3192:C3216=TRUE)*Q3192:Q3216*Skills!F2:F26))</f>
        <v/>
      </c>
    </row>
    <row r="3223">
      <c r="A3223" t="inlineStr">
        <is>
          <t>Hook Bomber Casts Per Second</t>
        </is>
      </c>
      <c r="B3223">
        <f>MAX(0,B3221-B3222)</f>
        <v/>
      </c>
    </row>
    <row r="3224">
      <c r="A3224" t="inlineStr">
        <is>
          <t>Global Critical Damage Bonus % (unused)</t>
        </is>
      </c>
      <c r="B3224" t="n">
        <v>0</v>
      </c>
    </row>
    <row r="3225">
      <c r="A3225" t="inlineStr">
        <is>
          <t>Global Final Damage Bonus % (Serpent Scale + Crossbones + Time Leap + Speed Infusion)</t>
        </is>
      </c>
      <c r="B3225">
        <f>((C3195=TRUE)*(F3195*B3231+4*(1-B3231)))+((C3204=TRUE)*F3204*IF(AND(Inputs!$B$38&lt;&gt;"pvp",Inputs!$B$43&gt;0),(((R3204-1)*MIN((Skills!T14*(1+Inputs!$B$34/100)),(1/Q3204))+MIN((Skills!T14*(1+Inputs!$B$34/100)),MAX(0,Inputs!$B$43-((R3204-1)*(1/Q3204)))))/Inputs!$B$43),IF(Inputs!$B$38="pvp",MIN((Skills!T14*(1+Inputs!$B$34/100)),15)/15,MIN(1,(Skills!T14*(1+Inputs!$B$34/100))/(1/Q3204)))))+((C3205=TRUE)*F3205*IF(AND(Inputs!$B$38&lt;&gt;"pvp",Inputs!$B$43&gt;0),(((R3205-1)*MIN((Skills!T15*(1+Inputs!$B$34/100)),(1/Q3205))+MIN((Skills!T15*(1+Inputs!$B$34/100)),MAX(0,Inputs!$B$43-((R3205-1)*(1/Q3205)))))/Inputs!$B$43),IF(Inputs!$B$38="pvp",MIN((Skills!T15*(1+Inputs!$B$34/100)),15)/15,MIN(1,(Skills!T15*(1+Inputs!$B$34/100))/(1/Q3205)))))+((C3214=TRUE)*20*((1+MIN(150,150*(1-(1-(Inputs!$B$11+((C3207=TRUE)*(F3207-Calc!F17))+((C3208=TRUE)*(F3208-Calc!F18)))/150)*(1-(((C3213=TRUE)*F3213*IF(AND(Inputs!$B$38&lt;&gt;"pvp",Inputs!$B$43&gt;0),(((R3213-1)*MIN((Skills!T23*(1+Inputs!$B$34/100)),(1/Q3213))+MIN((Skills!T23*(1+Inputs!$B$34/100)),MAX(0,Inputs!$B$43-((R3213-1)*(1/Q3213)))))/Inputs!$B$43),IF(Inputs!$B$38="pvp",MIN((Skills!T23*(1+Inputs!$B$34/100)),15)/15,MIN(1,(Skills!T23*(1+Inputs!$B$34/100))/(1/Q3213)))))+F3214)/150)))/100)-1)*IF(AND(Inputs!$B$38&lt;&gt;"pvp",Inputs!$B$43&gt;0),(((R3214-1)*MIN((Skills!T24*(1+Inputs!$B$34/100)),(1/Q3214))+MIN((Skills!T24*(1+Inputs!$B$34/100)),MAX(0,Inputs!$B$43-((R3214-1)*(1/Q3214)))))/Inputs!$B$43),IF(Inputs!$B$38="pvp",MIN((Skills!T24*(1+Inputs!$B$34/100)),15)/15,MIN(1,(Skills!T24*(1+Inputs!$B$34/100))/(1/Q3214)))))</f>
        <v/>
      </c>
    </row>
    <row r="3226">
      <c r="A3226" t="inlineStr">
        <is>
          <t>Buff-Casting Startup Delay (s, fixed-duration only)</t>
        </is>
      </c>
      <c r="B3226">
        <f>IF(AND(Inputs!$B$38&lt;&gt;"pvp",Inputs!$B$43&gt;0),SUMPRODUCT((Skills!T2:T26&gt;0)*(Skills!E2:E26=TRUE)*(C3192:C3216=TRUE))/B3221,0)</f>
        <v/>
      </c>
    </row>
    <row r="3227">
      <c r="A3227" t="inlineStr">
        <is>
          <t>Boss-Only Total DPS (this block's swept value)</t>
        </is>
      </c>
      <c r="B3227">
        <f>SUM(T3192:T3216)</f>
        <v/>
      </c>
    </row>
    <row r="3228">
      <c r="A3228" t="inlineStr">
        <is>
          <t>Normal-Only Total DPS (this block's swept value)</t>
        </is>
      </c>
      <c r="B3228">
        <f>SUM(V3192:V3216)</f>
        <v/>
      </c>
    </row>
    <row r="3229">
      <c r="A3229" s="6" t="inlineStr">
        <is>
          <t>TOTAL DPS</t>
        </is>
      </c>
      <c r="B3229" s="6">
        <f>SUM(O3192:O3216)</f>
        <v/>
      </c>
    </row>
    <row r="3230">
      <c r="A3230" t="inlineStr">
        <is>
          <t>Serpent activation interval T (this block's own Hook Bomber rate)</t>
        </is>
      </c>
      <c r="B3230">
        <f>((1/Q3193)+IFERROR(0.5/B3223,0))</f>
        <v/>
      </c>
    </row>
    <row r="3231">
      <c r="A3231" t="inlineStr">
        <is>
          <t>Assault Mode uptime u (this block)</t>
        </is>
      </c>
      <c r="B3231">
        <f>IF(C3195=TRUE,(10+IF(Inputs!$B$3&gt;=94,5,0))/((10+IF(Inputs!$B$3&gt;=94,5,0))+IF(Inputs!$B$3&gt;=104,3,5)*B3230),0)</f>
        <v/>
      </c>
    </row>
    <row r="3232">
      <c r="A3232" t="inlineStr">
        <is>
          <t>Nautilus Strike - Final Attack trigger rate (this block's own Q/R)</t>
        </is>
      </c>
      <c r="B3232">
        <f>IF(AND(Inputs!$B$38&lt;&gt;"pvp",Inputs!$B$43&gt;0),(((C3196=TRUE)*R3196)+((C3197=TRUE)*R3197)+((C3200=TRUE)*R3200))/Inputs!$B$43,((C3196=TRUE)*Q3196)+((C3197=TRUE)*Q3197)+((C3200=TRUE)*Q3200))+B3223</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3255=TRUE)*(F3255-Calc!F20)),(Inputs!$B$23+0+(IF(ArtifactsInput!$M$15,CHOOSE(ArtifactsInput!$N$15+1,25,30,35,40,45,50)/100*(Inputs!$B$11-Inputs!$B$11),0))))/100+(Inputs!$B$23+0+(IF(ArtifactsInput!$M$15,CHOOSE(ArtifactsInput!$N$15+1,25,30,35,40,45,50)/100*(Inputs!$B$11-Inputs!$B$11),0)))/100)/2</f>
        <v/>
      </c>
      <c r="M3237">
        <f>L3237*(1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IF(B3274=0,0,O3237/B3274)</f>
        <v/>
      </c>
      <c r="Q3237" t="n">
        <v>0</v>
      </c>
      <c r="R3237" t="n">
        <v>0</v>
      </c>
      <c r="S3237">
        <f>IFERROR(O3237/N3237,0)</f>
        <v/>
      </c>
      <c r="T3237">
        <f>IF(C3237,(Skills!G2*N3237*B3268)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IF(C3237,(Skills!G2*N3237*B3268)*IF(Inputs!$B$38="pvp",1,(1+(Inputs!$B$21+Skills!Q2+(IF(ArtifactsInput!$M$33,CHOOSE(ArtifactsInput!$N$33+1,30,36,42,48,54,60),0))+(IF(AND(ArtifactsInput!$M$35,Inputs!$B$4&lt;&gt;"Chapter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Inputs!$B$3&gt;=35</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f>Skills!G3*IF(Skills!H3&gt;0,Skills!I3/Skills!H3,1)</f>
        <v/>
      </c>
      <c r="H3238">
        <f>1-(1-Skills!J3/100)^Skills!K3</f>
        <v/>
      </c>
      <c r="I3238" t="inlineStr">
        <is>
          <t>1</t>
        </is>
      </c>
      <c r="J3238">
        <f>((Inputs!$B$6*(1+Inputs!$B$7/100))+(((Inputs!$B$12*(1+Inputs!$B$13/100))-(Inputs!$B$12*(1+Inputs!$B$13/100)))+0.25*(Inputs!$B$14-Inputs!$B$14))*(1+Inputs!$B$7/100))*(F3238/100)</f>
        <v/>
      </c>
      <c r="K3238">
        <f>J3238*(1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3260=TRUE,F3260,0)/100)*(1+(IF(Skills!A3="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3238)</f>
        <v/>
      </c>
      <c r="L3238">
        <f>K3238*(MIN(Inputs!$B$22+((C3255=TRUE)*(F3255-Calc!F20)),(Inputs!$B$23+0+(IF(ArtifactsInput!$M$15,CHOOSE(ArtifactsInput!$N$15+1,25,30,35,40,45,50)/100*(Inputs!$B$11-Inputs!$B$11),0))))/100+(Inputs!$B$23+0+(IF(ArtifactsInput!$M$15,CHOOSE(ArtifactsInput!$N$15+1,25,30,35,40,45,50)/100*(Inputs!$B$11-Inputs!$B$11),0)))/100)/2</f>
        <v/>
      </c>
      <c r="M3238">
        <f>L3238*(1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8">
        <f>L3238*(1-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3238*(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8">
        <f>(1-Summary!$B$11)*T3238+Summary!$B$11*V3238</f>
        <v/>
      </c>
      <c r="P3238">
        <f>IF(B3274=0,0,O3238/B3274)</f>
        <v/>
      </c>
      <c r="Q3238">
        <f>IFERROR(1/(IF(Inputs!$B$38="pvp",15,MAX(0.1,Skills!D3-IF(TRUE=TRUE,4.5,0)))*(1-IF(AND(ArtifactsInput!$M$27,Inputs!$B$4="Chapter Hunt"),CHOOSE(ArtifactsInput!$N$27+1,20,24,28,32,36,40),0)/100)),0)</f>
        <v/>
      </c>
      <c r="R3238">
        <f>IF(AND(Inputs!$B$38&lt;&gt;"pvp",Inputs!$B$43&gt;0),IF(MAX(0,Inputs!$B$43-B3271)&lt;=0,0,(INT(MAX(0,Inputs!$B$43-B3271)/(IF(Inputs!$B$38="pvp",15,MAX(0.1,Skills!D3-IF(TRUE=TRUE,4.5,0)))*(1-IF(AND(ArtifactsInput!$M$27,Inputs!$B$4="Chapter Hunt"),CHOOSE(ArtifactsInput!$N$27+1,20,24,28,32,36,40),0)/100)))+1)),0)</f>
        <v/>
      </c>
      <c r="S3238">
        <f>IFERROR(O3238/N3238,0)</f>
        <v/>
      </c>
      <c r="T3238">
        <f>IF(C3238,(Skills!G3*N3238*IF(C3239=TRUE,1-B3276,1)/B3275)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3238*(1-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3238*(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3238*(1-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3238*(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8">
        <f>INDEX(FactorTable!$B$2:$Y$301, MATCH(ROUND(MIN(300,MAX(1,U3237)),0), FactorTable!$A$2:$A$301,0), 22)</f>
        <v/>
      </c>
      <c r="V3238">
        <f>IF(C3238,(Skills!G3*N3238*IF(C3239=TRUE,1-B3276,1)/B3275)*IF(Inputs!$B$38="pvp",1,(1+(Inputs!$B$21+Skills!Q3+(IF(ArtifactsInput!$M$33,CHOOSE(ArtifactsInput!$N$33+1,30,36,42,48,54,60),0))+(IF(AND(ArtifactsInput!$M$35,Inputs!$B$4&lt;&gt;"Chapter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9">
      <c r="A3239">
        <f>Skills!A4</f>
        <v/>
      </c>
      <c r="B3239">
        <f>Skills!B4</f>
        <v/>
      </c>
      <c r="C3239">
        <f>Inputs!$B$3&gt;=69</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f>Skills!G4*IF(Skills!H4&gt;0,Skills!I4/Skills!H4,1)</f>
        <v/>
      </c>
      <c r="H3239">
        <f>1-(1-Skills!J4/100)^Skills!K4</f>
        <v/>
      </c>
      <c r="I3239" t="inlineStr">
        <is>
          <t>1</t>
        </is>
      </c>
      <c r="J3239">
        <f>((Inputs!$B$6*(1+Inputs!$B$7/100))+(((Inputs!$B$12*(1+Inputs!$B$13/100))-(Inputs!$B$12*(1+Inputs!$B$13/100)))+0.25*(Inputs!$B$14-Inputs!$B$14))*(1+Inputs!$B$7/100))*(F3239/100)</f>
        <v/>
      </c>
      <c r="K3239">
        <f>J3239*(1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3247=TRUE,F3247,0)/100)*(1+(IF(Skills!A4="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3255=TRUE)*(F3255-Calc!F20)),(Inputs!$B$23+0+(IF(ArtifactsInput!$M$15,CHOOSE(ArtifactsInput!$N$15+1,25,30,35,40,45,50)/100*(Inputs!$B$11-Inputs!$B$11),0))))/100+(Inputs!$B$23+0+(IF(ArtifactsInput!$M$15,CHOOSE(ArtifactsInput!$N$15+1,25,30,35,40,45,50)/100*(Inputs!$B$11-Inputs!$B$11),0)))/100)/2</f>
        <v/>
      </c>
      <c r="M3239">
        <f>L3239*(1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IF(B3274=0,0,O3239/B3274)</f>
        <v/>
      </c>
      <c r="Q3239" t="n">
        <v>0</v>
      </c>
      <c r="R3239" t="n">
        <v>0</v>
      </c>
      <c r="S3239">
        <f>IFERROR(O3239/N3239,0)</f>
        <v/>
      </c>
      <c r="T3239">
        <f>IF(C3239,(Skills!G4*N3239*B3276/B3275)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3239*(1-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9">
        <f>290*U3238/1000</f>
        <v/>
      </c>
      <c r="V3239">
        <f>IF(C3239,(Skills!G4*N3239*B3276/B3275)*IF(Inputs!$B$38="pvp",1,(1+(Inputs!$B$21+Skills!Q4+(IF(ArtifactsInput!$M$33,CHOOSE(ArtifactsInput!$N$33+1,30,36,42,48,54,60),0))+(IF(AND(ArtifactsInput!$M$35,Inputs!$B$4&lt;&gt;"Chapter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Skills!A5</f>
        <v/>
      </c>
      <c r="B3240">
        <f>Skills!B5</f>
        <v/>
      </c>
      <c r="C3240">
        <f>Inputs!$B$3&gt;=66</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t="inlineStr"/>
      <c r="K3240" t="inlineStr"/>
      <c r="L3240" t="inlineStr"/>
      <c r="M3240" t="inlineStr"/>
      <c r="N3240" t="inlineStr"/>
      <c r="O3240">
        <f>(1-Summary!$B$11)*T3240+Summary!$B$11*V3240</f>
        <v/>
      </c>
      <c r="P3240">
        <f>IF(B3274=0,0,O3240/B3274)</f>
        <v/>
      </c>
      <c r="Q3240" t="n">
        <v>0</v>
      </c>
      <c r="R3240" t="n">
        <v>0</v>
      </c>
      <c r="S3240">
        <f>IFERROR(O3240/N3240,0)</f>
        <v/>
      </c>
      <c r="T3240" t="n">
        <v>0</v>
      </c>
      <c r="V3240" t="n">
        <v>0</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3247=TRUE,F3247,0)/100)*(1+(IF(Skills!A6="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3255=TRUE)*(F3255-Calc!F20)),(Inputs!$B$23+0+(IF(ArtifactsInput!$M$15,CHOOSE(ArtifactsInput!$N$15+1,25,30,35,40,45,50)/100*(Inputs!$B$11-Inputs!$B$11),0))))/100+(Inputs!$B$23+0+(IF(ArtifactsInput!$M$15,CHOOSE(ArtifactsInput!$N$15+1,25,30,35,40,45,50)/100*(Inputs!$B$11-Inputs!$B$11),0)))/100)/2</f>
        <v/>
      </c>
      <c r="M3241">
        <f>L3241*(1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IF(B3274=0,0,O3241/B3274)</f>
        <v/>
      </c>
      <c r="Q3241">
        <f>IFERROR(1/(IF(Inputs!$B$38="pvp",15,MAX(0.1,Skills!D6-IF(TRUE=TRUE,4.5,0)))*(1-IF(AND(ArtifactsInput!$M$27,Inputs!$B$4="Chapter Hunt"),CHOOSE(ArtifactsInput!$N$27+1,20,24,28,32,36,40),0)/100)),0)</f>
        <v/>
      </c>
      <c r="R3241">
        <f>IF(AND(Inputs!$B$38&lt;&gt;"pvp",Inputs!$B$43&gt;0),IF(MAX(0,Inputs!$B$43-B3271)&lt;=0,0,(INT(MAX(0,Inputs!$B$43-B3271)/(IF(Inputs!$B$38="pvp",15,MAX(0.1,Skills!D6-IF(TRUE=TRUE,4.5,0)))*(1-IF(AND(ArtifactsInput!$M$27,Inputs!$B$4="Chapter Hunt"),CHOOSE(ArtifactsInput!$N$27+1,20,24,28,32,36,40),0)/100)))+1)),0)</f>
        <v/>
      </c>
      <c r="S3241">
        <f>IFERROR(O3241/N3241,0)</f>
        <v/>
      </c>
      <c r="T3241">
        <f>IF(C3241,(H3241*N3241*IF(AND(Inputs!$B$38&lt;&gt;"pvp",Inputs!$B$43&gt;0),((Skills!G6*((R3241-1)*IF(Skills!H6&gt;0,Skills!I6/Skills!H6,1)+IF(Skills!H6&gt;0,MIN(Skills!I6,MAX(0,MAX(0,Inputs!$B$43-B3271)-((R3241-1)*(IF(Inputs!$B$38="pvp",15,MAX(0.1,Skills!D6-IF(TRUE=TRUE,4.5,0)))*(1-IF(AND(ArtifactsInput!$M$27,Inputs!$B$4="Chapter Hunt"),CHOOSE(ArtifactsInput!$N$27+1,20,24,28,32,36,40),0)/100)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3271)-((R3241-1)*(IF(Inputs!$B$38="pvp",15,MAX(0.1,Skills!D6-IF(TRUE=TRUE,4.5,0)))*(1-IF(AND(ArtifactsInput!$M$27,Inputs!$B$4="Chapter Hunt"),CHOOSE(ArtifactsInput!$N$27+1,20,24,28,32,36,40),0)/100)))))/Skills!H6,1)))/Inputs!$B$43),G3241*Q3241))*IF(Inputs!$B$38="pvp",1,(1+(Inputs!$B$21+Skills!Q6+(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Inputs!$B$3&gt;=103</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3255=TRUE)*(F3255-Calc!F20)),(Inputs!$B$23+0+(IF(ArtifactsInput!$M$15,CHOOSE(ArtifactsInput!$N$15+1,25,30,35,40,45,50)/100*(Inputs!$B$11-Inputs!$B$11),0))))/100+(Inputs!$B$23+0+(IF(ArtifactsInput!$M$15,CHOOSE(ArtifactsInput!$N$15+1,25,30,35,40,45,50)/100*(Inputs!$B$11-Inputs!$B$11),0)))/100)/2</f>
        <v/>
      </c>
      <c r="M3242">
        <f>L3242*(1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IF(B3274=0,0,O3242/B3274)</f>
        <v/>
      </c>
      <c r="Q3242">
        <f>IFERROR(1/(IF(Inputs!$B$38="pvp",15,MAX(0.1,Skills!D7-IF(TRUE=TRUE,4.5,0)))*(1-IF(AND(ArtifactsInput!$M$27,Inputs!$B$4="Chapter Hunt"),CHOOSE(ArtifactsInput!$N$27+1,20,24,28,32,36,40),0)/100)),0)</f>
        <v/>
      </c>
      <c r="R3242">
        <f>IF(AND(Inputs!$B$38&lt;&gt;"pvp",Inputs!$B$43&gt;0),IF(MAX(0,Inputs!$B$43-B3271)&lt;=0,0,(INT(MAX(0,Inputs!$B$43-B3271)/(IF(Inputs!$B$38="pvp",15,MAX(0.1,Skills!D7-IF(TRUE=TRUE,4.5,0)))*(1-IF(AND(ArtifactsInput!$M$27,Inputs!$B$4="Chapter Hunt"),CHOOSE(ArtifactsInput!$N$27+1,20,24,28,32,36,40),0)/100)))+1)),0)</f>
        <v/>
      </c>
      <c r="S3242">
        <f>IFERROR(O3242/N3242,0)</f>
        <v/>
      </c>
      <c r="T3242">
        <f>IF(C3242,(H3242*N3242*IF(AND(Inputs!$B$38&lt;&gt;"pvp",Inputs!$B$43&gt;0),((Skills!G7*((R3242-1)*IF(Skills!H7&gt;0,Skills!I7/Skills!H7,1)+IF(Skills!H7&gt;0,MIN(Skills!I7,MAX(0,MAX(0,Inputs!$B$43-B3271)-((R3242-1)*(IF(Inputs!$B$38="pvp",15,MAX(0.1,Skills!D7-IF(TRUE=TRUE,4.5,0)))*(1-IF(AND(ArtifactsInput!$M$27,Inputs!$B$4="Chapter Hunt"),CHOOSE(ArtifactsInput!$N$27+1,20,24,28,32,36,40),0)/100)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3271)-((R3242-1)*(IF(Inputs!$B$38="pvp",15,MAX(0.1,Skills!D7-IF(TRUE=TRUE,4.5,0)))*(1-IF(AND(ArtifactsInput!$M$27,Inputs!$B$4="Chapter Hunt"),CHOOSE(ArtifactsInput!$N$27+1,20,24,28,32,36,40),0)/100)))))/Skills!H7,1)))/Inputs!$B$43),G3242*Q3242))*IF(Inputs!$B$38="pvp",1,(1+(Inputs!$B$21+Skills!Q7+(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Inputs!$B$3&gt;=117</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f>Skills!G8*IF(Skills!H8&gt;0,Skills!I8/Skills!H8,1)</f>
        <v/>
      </c>
      <c r="H3243">
        <f>1-(1-Skills!J8/100)^Skills!K8</f>
        <v/>
      </c>
      <c r="I3243" t="inlineStr">
        <is>
          <t>1</t>
        </is>
      </c>
      <c r="J3243">
        <f>((Inputs!$B$6*(1+Inputs!$B$7/100))+(((Inputs!$B$12*(1+Inputs!$B$13/100))-(Inputs!$B$12*(1+Inputs!$B$13/100)))+0.25*(Inputs!$B$14-Inputs!$B$14))*(1+Inputs!$B$7/100))*(F3243/100)</f>
        <v/>
      </c>
      <c r="K3243">
        <f>J3243*(1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3255=TRUE)*(F3255-Calc!F20)),(Inputs!$B$23+0+(IF(ArtifactsInput!$M$15,CHOOSE(ArtifactsInput!$N$15+1,25,30,35,40,45,50)/100*(Inputs!$B$11-Inputs!$B$11),0))))/100+(Inputs!$B$23+0+(IF(ArtifactsInput!$M$15,CHOOSE(ArtifactsInput!$N$15+1,25,30,35,40,45,50)/100*(Inputs!$B$11-Inputs!$B$11),0)))/100)/2</f>
        <v/>
      </c>
      <c r="M3243">
        <f>L3243*(1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IF(B3274=0,0,O3243/B3274)</f>
        <v/>
      </c>
      <c r="Q3243">
        <f>IFERROR(1/(IF(Inputs!$B$38="pvp",15,MAX(0.1,Skills!D8-IF(TRUE=TRUE,4.5,0)))*(1-IF(AND(ArtifactsInput!$M$27,Inputs!$B$4="Chapter Hunt"),CHOOSE(ArtifactsInput!$N$27+1,20,24,28,32,36,40),0)/100)),0)</f>
        <v/>
      </c>
      <c r="R3243">
        <f>IF(AND(Inputs!$B$38&lt;&gt;"pvp",Inputs!$B$43&gt;0),IF(MAX(0,Inputs!$B$43-B3271)&lt;=0,0,(INT(MAX(0,Inputs!$B$43-B3271)/(IF(Inputs!$B$38="pvp",15,MAX(0.1,Skills!D8-IF(TRUE=TRUE,4.5,0)))*(1-IF(AND(ArtifactsInput!$M$27,Inputs!$B$4="Chapter Hunt"),CHOOSE(ArtifactsInput!$N$27+1,20,24,28,32,36,40),0)/100)))+1)),0)</f>
        <v/>
      </c>
      <c r="S3243">
        <f>IFERROR(O3243/N3243,0)</f>
        <v/>
      </c>
      <c r="T3243">
        <f>IF(C3243,(H3243*N3243*IF(AND(Inputs!$B$38&lt;&gt;"pvp",Inputs!$B$43&gt;0),((Skills!G8*((R3243-1)*IF(Skills!H8&gt;0,Skills!I8/Skills!H8,1)+IF(Skills!H8&gt;0,MIN(Skills!I8,MAX(0,MAX(0,Inputs!$B$43-B3271)-((R3243-1)*(IF(Inputs!$B$38="pvp",15,MAX(0.1,Skills!D8-IF(TRUE=TRUE,4.5,0)))*(1-IF(AND(ArtifactsInput!$M$27,Inputs!$B$4="Chapter Hunt"),CHOOSE(ArtifactsInput!$N$27+1,20,24,28,32,36,40),0)/100)))))/Skills!H8,1)))/Inputs!$B$43),G3243*Q3243)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3243*(1-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8*((R3243-1)*IF(Skills!H8&gt;0,Skills!I8/Skills!H8,1)+IF(Skills!H8&gt;0,MIN(Skills!I8,MAX(0,MAX(0,Inputs!$B$43-B3271)-((R3243-1)*(IF(Inputs!$B$38="pvp",15,MAX(0.1,Skills!D8-IF(TRUE=TRUE,4.5,0)))*(1-IF(AND(ArtifactsInput!$M$27,Inputs!$B$4="Chapter Hunt"),CHOOSE(ArtifactsInput!$N$27+1,20,24,28,32,36,40),0)/100)))))/Skills!H8,1)))/Inputs!$B$43),G3243*Q3243))*IF(Inputs!$B$38="pvp",1,(1+(Inputs!$B$21+Skills!Q8+(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Skills!A9</f>
        <v/>
      </c>
      <c r="B3244">
        <f>Skills!B9</f>
        <v/>
      </c>
      <c r="C3244">
        <f>Inputs!$B$3&gt;=120</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B3276</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3255=TRUE)*(F3255-Calc!F20)),(Inputs!$B$23+0+(IF(ArtifactsInput!$M$15,CHOOSE(ArtifactsInput!$N$15+1,25,30,35,40,45,50)/100*(Inputs!$B$11-Inputs!$B$11),0))))/100+(Inputs!$B$23+0+(IF(ArtifactsInput!$M$15,CHOOSE(ArtifactsInput!$N$15+1,25,30,35,40,45,50)/100*(Inputs!$B$11-Inputs!$B$11),0)))/100)/2</f>
        <v/>
      </c>
      <c r="M3244">
        <f>L3244*(1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IF(B3274=0,0,O3244/B3274)</f>
        <v/>
      </c>
      <c r="Q3244">
        <f>IFERROR(1/(IF(Inputs!$B$38="pvp",15,MAX(0.1,Skills!D9-IF(TRUE=TRUE,4.5,0)))*(1-IF(AND(ArtifactsInput!$M$27,Inputs!$B$4="Chapter Hunt"),CHOOSE(ArtifactsInput!$N$27+1,20,24,28,32,36,40),0)/100)),0)</f>
        <v/>
      </c>
      <c r="R3244">
        <f>IF(AND(Inputs!$B$38&lt;&gt;"pvp",Inputs!$B$43&gt;0),IF(MAX(0,Inputs!$B$43-B3271)&lt;=0,0,(INT(MAX(0,Inputs!$B$43-B3271)/(IF(Inputs!$B$38="pvp",15,MAX(0.1,Skills!D9-IF(TRUE=TRUE,4.5,0)))*(1-IF(AND(ArtifactsInput!$M$27,Inputs!$B$4="Chapter Hunt"),CHOOSE(ArtifactsInput!$N$27+1,20,24,28,32,36,40),0)/100)))+1)),0)</f>
        <v/>
      </c>
      <c r="S3244">
        <f>IFERROR(O3244/N3244,0)</f>
        <v/>
      </c>
      <c r="T3244">
        <f>IF(C3244,(H3244*N3244*IF(AND(Inputs!$B$38&lt;&gt;"pvp",Inputs!$B$43&gt;0),((Skills!G9*((R3244-1)*IF(Skills!H9&gt;0,Skills!I9/Skills!H9,1)+IF(Skills!H9&gt;0,MIN(Skills!I9,MAX(0,MAX(0,Inputs!$B$43-B3271)-((R3244-1)*(IF(Inputs!$B$38="pvp",15,MAX(0.1,Skills!D9-IF(TRUE=TRUE,4.5,0)))*(1-IF(AND(ArtifactsInput!$M$27,Inputs!$B$4="Chapter Hunt"),CHOOSE(ArtifactsInput!$N$27+1,20,24,28,32,36,40),0)/100)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3271)-((R3244-1)*(IF(Inputs!$B$38="pvp",15,MAX(0.1,Skills!D9-IF(TRUE=TRUE,4.5,0)))*(1-IF(AND(ArtifactsInput!$M$27,Inputs!$B$4="Chapter Hunt"),CHOOSE(ArtifactsInput!$N$27+1,20,24,28,32,36,40),0)/100)))))/Skills!H9,1)))/Inputs!$B$43),G3244*Q3244))*IF(Inputs!$B$38="pvp",1,(1+(Inputs!$B$21+Skills!Q9+(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Inputs!$B$3&gt;=105</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3255=TRUE)*(F3255-Calc!F20)),(Inputs!$B$23+0+(IF(ArtifactsInput!$M$15,CHOOSE(ArtifactsInput!$N$15+1,25,30,35,40,45,50)/100*(Inputs!$B$11-Inputs!$B$11),0))))/100+(Inputs!$B$23+0+(IF(ArtifactsInput!$M$15,CHOOSE(ArtifactsInput!$N$15+1,25,30,35,40,45,50)/100*(Inputs!$B$11-Inputs!$B$11),0)))/100)/2</f>
        <v/>
      </c>
      <c r="M3245">
        <f>L3245*(1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IF(B3274=0,0,O3245/B3274)</f>
        <v/>
      </c>
      <c r="Q3245">
        <f>IFERROR(1/(IF(Inputs!$B$38="pvp",15,MAX(0.1,Skills!D10-IF(TRUE=TRUE,4.5,0)))*(1-IF(AND(ArtifactsInput!$M$27,Inputs!$B$4="Chapter Hunt"),CHOOSE(ArtifactsInput!$N$27+1,20,24,28,32,36,40),0)/100)),0)</f>
        <v/>
      </c>
      <c r="R3245">
        <f>IF(AND(Inputs!$B$38&lt;&gt;"pvp",Inputs!$B$43&gt;0),IF(MAX(0,Inputs!$B$43-B3271)&lt;=0,0,(INT(MAX(0,Inputs!$B$43-B3271)/(IF(Inputs!$B$38="pvp",15,MAX(0.1,Skills!D10-IF(TRUE=TRUE,4.5,0)))*(1-IF(AND(ArtifactsInput!$M$27,Inputs!$B$4="Chapter Hunt"),CHOOSE(ArtifactsInput!$N$27+1,20,24,28,32,36,40),0)/100)))+1)),0)</f>
        <v/>
      </c>
      <c r="S3245">
        <f>IFERROR(O3245/N3245,0)</f>
        <v/>
      </c>
      <c r="T3245">
        <f>IF(C3245,(H3245*N3245*IF(AND(Inputs!$B$38&lt;&gt;"pvp",Inputs!$B$43&gt;0),((Skills!G10*((R3245-1)*IF(Skills!H10&gt;0,Skills!I10/Skills!H10,1)+IF(Skills!H10&gt;0,MIN(Skills!I10,MAX(0,MAX(0,Inputs!$B$43-B3271)-((R3245-1)*(IF(Inputs!$B$38="pvp",15,MAX(0.1,Skills!D10-IF(TRUE=TRUE,4.5,0)))*(1-IF(AND(ArtifactsInput!$M$27,Inputs!$B$4="Chapter Hunt"),CHOOSE(ArtifactsInput!$N$27+1,20,24,28,32,36,40),0)/100)))))/Skills!H10,1)))/Inputs!$B$43),G3245*Q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H3245*N3245*IF(AND(Inputs!$B$38&lt;&gt;"pvp",Inputs!$B$43&gt;0),((Skills!G10*((R3245-1)*IF(Skills!H10&gt;0,Skills!I10/Skills!H10,1)+IF(Skills!H10&gt;0,MIN(Skills!I10,MAX(0,MAX(0,Inputs!$B$43-B3271)-((R3245-1)*(IF(Inputs!$B$38="pvp",15,MAX(0.1,Skills!D10-IF(TRUE=TRUE,4.5,0)))*(1-IF(AND(ArtifactsInput!$M$27,Inputs!$B$4="Chapter Hunt"),CHOOSE(ArtifactsInput!$N$27+1,20,24,28,32,36,40),0)/100)))))/Skills!H10,1)))/Inputs!$B$43),G3245*Q3245))*IF(Inputs!$B$38="pvp",1,(1+(Inputs!$B$21+Skills!Q10+(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Inputs!$B$3&gt;=113</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3255=TRUE)*(F3255-Calc!F20)),(Inputs!$B$23+0+(IF(ArtifactsInput!$M$15,CHOOSE(ArtifactsInput!$N$15+1,25,30,35,40,45,50)/100*(Inputs!$B$11-Inputs!$B$11),0))))/100+(Inputs!$B$23+0+(IF(ArtifactsInput!$M$15,CHOOSE(ArtifactsInput!$N$15+1,25,30,35,40,45,50)/100*(Inputs!$B$11-Inputs!$B$11),0)))/100)/2</f>
        <v/>
      </c>
      <c r="M3246">
        <f>L3246*(1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IF(B3274=0,0,O3246/B3274)</f>
        <v/>
      </c>
      <c r="Q3246" t="n">
        <v>0</v>
      </c>
      <c r="R3246" t="n">
        <v>0</v>
      </c>
      <c r="S3246">
        <f>IFERROR(O3246/N3246,0)</f>
        <v/>
      </c>
      <c r="T3246">
        <f>IF(C3246,((H3246*B3277)/(1+Skills!H11*H3246*B3277)*N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IF(C3246,((H3246*B3277)/(1+Skills!H11*H3246*B3277)*N3246)*IF(Inputs!$B$38="pvp",1,(1+(Inputs!$B$21+Skills!Q11+(IF(ArtifactsInput!$M$33,CHOOSE(ArtifactsInput!$N$33+1,30,36,42,48,54,60),0))+(IF(AND(ArtifactsInput!$M$35,Inputs!$B$4&lt;&gt;"Chapter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Inputs!$B$3&gt;=100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IF(B3274=0,0,O3248/B3274)</f>
        <v/>
      </c>
      <c r="Q3248" t="n">
        <v>0</v>
      </c>
      <c r="R3248" t="n">
        <v>0</v>
      </c>
      <c r="S3248">
        <f>IFERROR(O3248/N3248,0)</f>
        <v/>
      </c>
      <c r="T3248" t="n">
        <v>0</v>
      </c>
      <c r="V3248" t="n">
        <v>0</v>
      </c>
    </row>
    <row r="3249">
      <c r="A3249">
        <f>Skills!A14</f>
        <v/>
      </c>
      <c r="B3249">
        <f>Skills!B14</f>
        <v/>
      </c>
      <c r="C3249">
        <f>Inputs!$B$3&gt;=115</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IF(B3274=0,0,O3249/B3274)</f>
        <v/>
      </c>
      <c r="Q3249">
        <f>IFERROR(1/(IF(Inputs!$B$38="pvp",15,MAX(0.1,Skills!D14-IF(TRUE=TRUE,4.5,0)))*(1-IF(AND(ArtifactsInput!$M$27,Inputs!$B$4="Chapter Hunt"),CHOOSE(ArtifactsInput!$N$27+1,20,24,28,32,36,40),0)/100)),0)</f>
        <v/>
      </c>
      <c r="R3249">
        <f>IF(AND(Inputs!$B$38&lt;&gt;"pvp",Inputs!$B$43&gt;0),IF(Inputs!$B$43&lt;=0,0,(INT(Inputs!$B$43/(IF(Inputs!$B$38="pvp",15,MAX(0.1,Skills!D14-IF(TRUE=TRUE,4.5,0)))*(1-IF(AND(ArtifactsInput!$M$27,Inputs!$B$4="Chapter Hunt"),CHOOSE(ArtifactsInput!$N$27+1,20,24,28,32,36,40),0)/100)))+1)),0)</f>
        <v/>
      </c>
      <c r="S3249">
        <f>IFERROR(O3249/N3249,0)</f>
        <v/>
      </c>
      <c r="T3249" t="n">
        <v>0</v>
      </c>
      <c r="V3249" t="n">
        <v>0</v>
      </c>
    </row>
    <row r="3250">
      <c r="A3250">
        <f>Skills!A15</f>
        <v/>
      </c>
      <c r="B3250">
        <f>Skills!B15</f>
        <v/>
      </c>
      <c r="C3250">
        <f>Inputs!$B$3&gt;=125</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IF(B3274=0,0,O3250/B3274)</f>
        <v/>
      </c>
      <c r="Q3250">
        <f>IFERROR(1/(IF(Inputs!$B$38="pvp",15,MAX(0.1,Skills!D15-IF(TRUE=TRUE,4.5,0)))*(1-IF(AND(ArtifactsInput!$M$27,Inputs!$B$4="Chapter Hunt"),CHOOSE(ArtifactsInput!$N$27+1,20,24,28,32,36,40),0)/100)),0)</f>
        <v/>
      </c>
      <c r="R3250">
        <f>IF(AND(Inputs!$B$38&lt;&gt;"pvp",Inputs!$B$43&gt;0),IF(Inputs!$B$43&lt;=0,0,(INT(Inputs!$B$43/(IF(Inputs!$B$38="pvp",15,MAX(0.1,Skills!D15-IF(TRUE=TRUE,4.5,0)))*(1-IF(AND(ArtifactsInput!$M$27,Inputs!$B$4="Chapter Hunt"),CHOOSE(ArtifactsInput!$N$27+1,20,24,28,32,36,40),0)/100)))+1)),0)</f>
        <v/>
      </c>
      <c r="S3250">
        <f>IFERROR(O3250/N3250,0)</f>
        <v/>
      </c>
      <c r="T3250" t="n">
        <v>0</v>
      </c>
      <c r="V3250" t="n">
        <v>0</v>
      </c>
    </row>
    <row r="3251">
      <c r="A3251">
        <f>Skills!A16</f>
        <v/>
      </c>
      <c r="B3251">
        <f>Skills!B16</f>
        <v/>
      </c>
      <c r="C3251">
        <f>Inputs!$B$3&gt;=10</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IF(B3274=0,0,O3251/B3274)</f>
        <v/>
      </c>
      <c r="Q3251" t="n">
        <v>0</v>
      </c>
      <c r="R3251" t="n">
        <v>0</v>
      </c>
      <c r="S3251">
        <f>IFERROR(O3251/N3251,0)</f>
        <v/>
      </c>
      <c r="T3251" t="n">
        <v>0</v>
      </c>
      <c r="V3251" t="n">
        <v>0</v>
      </c>
    </row>
    <row r="3252">
      <c r="A3252">
        <f>Skills!A17</f>
        <v/>
      </c>
      <c r="B3252">
        <f>Skills!B17</f>
        <v/>
      </c>
      <c r="C3252">
        <f>Inputs!$B$3&gt;=15</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IF(B3274=0,0,O3252/B3274)</f>
        <v/>
      </c>
      <c r="Q3252" t="n">
        <v>0</v>
      </c>
      <c r="R3252" t="n">
        <v>0</v>
      </c>
      <c r="S3252">
        <f>IFERROR(O3252/N3252,0)</f>
        <v/>
      </c>
      <c r="T3252" t="n">
        <v>0</v>
      </c>
      <c r="V3252" t="n">
        <v>0</v>
      </c>
    </row>
    <row r="3253">
      <c r="A3253">
        <f>Skills!A18</f>
        <v/>
      </c>
      <c r="B3253">
        <f>Skills!B18</f>
        <v/>
      </c>
      <c r="C3253">
        <f>Inputs!$B$3&gt;=33</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IF(B3274=0,0,O3253/B3274)</f>
        <v/>
      </c>
      <c r="Q3253" t="n">
        <v>0</v>
      </c>
      <c r="R3253" t="n">
        <v>0</v>
      </c>
      <c r="S3253">
        <f>IFERROR(O3253/N3253,0)</f>
        <v/>
      </c>
      <c r="T3253" t="n">
        <v>0</v>
      </c>
      <c r="V3253" t="n">
        <v>0</v>
      </c>
    </row>
    <row r="3254">
      <c r="A3254">
        <f>Skills!A19</f>
        <v/>
      </c>
      <c r="B3254">
        <f>Skills!B19</f>
        <v/>
      </c>
      <c r="C3254">
        <f>Inputs!$B$3&gt;=40</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IF(B3274=0,0,O3254/B3274)</f>
        <v/>
      </c>
      <c r="Q3254" t="n">
        <v>0</v>
      </c>
      <c r="R3254" t="n">
        <v>0</v>
      </c>
      <c r="S3254">
        <f>IFERROR(O3254/N3254,0)</f>
        <v/>
      </c>
      <c r="T3254" t="n">
        <v>0</v>
      </c>
      <c r="V3254" t="n">
        <v>0</v>
      </c>
    </row>
    <row r="3255">
      <c r="A3255">
        <f>Skills!A20</f>
        <v/>
      </c>
      <c r="B3255">
        <f>Skills!B20</f>
        <v/>
      </c>
      <c r="C3255">
        <f>Inputs!$B$3&gt;=43</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IF(B3274=0,0,O3255/B3274)</f>
        <v/>
      </c>
      <c r="Q3255" t="n">
        <v>0</v>
      </c>
      <c r="R3255" t="n">
        <v>0</v>
      </c>
      <c r="S3255">
        <f>IFERROR(O3255/N3255,0)</f>
        <v/>
      </c>
      <c r="T3255" t="n">
        <v>0</v>
      </c>
      <c r="V3255" t="n">
        <v>0</v>
      </c>
    </row>
    <row r="3256">
      <c r="A3256">
        <f>Skills!A21</f>
        <v/>
      </c>
      <c r="B3256">
        <f>Skills!B21</f>
        <v/>
      </c>
      <c r="C3256">
        <f>Inputs!$B$3&gt;=38</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IF(B3274=0,0,O3256/B3274)</f>
        <v/>
      </c>
      <c r="Q3256" t="n">
        <v>0</v>
      </c>
      <c r="R3256" t="n">
        <v>0</v>
      </c>
      <c r="S3256">
        <f>IFERROR(O3256/N3256,0)</f>
        <v/>
      </c>
      <c r="T3256" t="n">
        <v>0</v>
      </c>
      <c r="V3256" t="n">
        <v>0</v>
      </c>
    </row>
    <row r="3257">
      <c r="A3257">
        <f>Skills!A22</f>
        <v/>
      </c>
      <c r="B3257">
        <f>Skills!B22</f>
        <v/>
      </c>
      <c r="C3257">
        <f>Inputs!$B$3&gt;=75</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IF(B3274=0,0,O3257/B3274)</f>
        <v/>
      </c>
      <c r="Q3257" t="n">
        <v>0</v>
      </c>
      <c r="R3257" t="n">
        <v>0</v>
      </c>
      <c r="S3257">
        <f>IFERROR(O3257/N3257,0)</f>
        <v/>
      </c>
      <c r="T3257" t="n">
        <v>0</v>
      </c>
      <c r="V3257" t="n">
        <v>0</v>
      </c>
    </row>
    <row r="3258">
      <c r="A3258">
        <f>Skills!A23</f>
        <v/>
      </c>
      <c r="B3258">
        <f>Skills!B23</f>
        <v/>
      </c>
      <c r="C3258">
        <f>TRUE</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IF(B3274=0,0,O3258/B3274)</f>
        <v/>
      </c>
      <c r="Q3258">
        <f>IFERROR(1/(IF(Inputs!$B$38="pvp",15,MAX(0.1,Skills!D23-IF(TRUE=TRUE,4.5,0)))*(1-IF(AND(ArtifactsInput!$M$27,Inputs!$B$4="Chapter Hunt"),CHOOSE(ArtifactsInput!$N$27+1,20,24,28,32,36,40),0)/100)),0)</f>
        <v/>
      </c>
      <c r="R3258">
        <f>IF(AND(Inputs!$B$38&lt;&gt;"pvp",Inputs!$B$43&gt;0),IF(Inputs!$B$43&lt;=0,0,(INT(Inputs!$B$43/(IF(Inputs!$B$38="pvp",15,MAX(0.1,Skills!D23-IF(TRUE=TRUE,4.5,0)))*(1-IF(AND(ArtifactsInput!$M$27,Inputs!$B$4="Chapter Hunt"),CHOOSE(ArtifactsInput!$N$27+1,20,24,28,32,36,40),0)/100)))+1)),0)</f>
        <v/>
      </c>
      <c r="S3258">
        <f>IFERROR(O3258/N3258,0)</f>
        <v/>
      </c>
      <c r="T3258" t="n">
        <v>0</v>
      </c>
      <c r="V3258" t="n">
        <v>0</v>
      </c>
    </row>
    <row r="3259">
      <c r="A3259">
        <f>Skills!A24</f>
        <v/>
      </c>
      <c r="B3259">
        <f>Skills!B24</f>
        <v/>
      </c>
      <c r="C3259">
        <f>Inputs!$B$3&gt;=107</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IF(B3274=0,0,O3259/B3274)</f>
        <v/>
      </c>
      <c r="Q3259">
        <f>IFERROR(1/(IF(Inputs!$B$38="pvp",15,MAX(0.1,Skills!D24-IF(TRUE=TRUE,4.5,0)))*(1-IF(AND(ArtifactsInput!$M$27,Inputs!$B$4="Chapter Hunt"),CHOOSE(ArtifactsInput!$N$27+1,20,24,28,32,36,40),0)/100)),0)</f>
        <v/>
      </c>
      <c r="R3259">
        <f>IF(AND(Inputs!$B$38&lt;&gt;"pvp",Inputs!$B$43&gt;0),IF(Inputs!$B$43&lt;=0,0,(INT(Inputs!$B$43/(IF(Inputs!$B$38="pvp",15,MAX(0.1,Skills!D24-IF(TRUE=TRUE,4.5,0)))*(1-IF(AND(ArtifactsInput!$M$27,Inputs!$B$4="Chapter Hunt"),CHOOSE(ArtifactsInput!$N$27+1,20,24,28,32,36,40),0)/100)))+1)),0)</f>
        <v/>
      </c>
      <c r="S3259">
        <f>IFERROR(O3259/N3259,0)</f>
        <v/>
      </c>
      <c r="T3259" t="n">
        <v>0</v>
      </c>
      <c r="V3259" t="n">
        <v>0</v>
      </c>
    </row>
    <row r="3260">
      <c r="A3260">
        <f>Skills!A25</f>
        <v/>
      </c>
      <c r="B3260">
        <f>Skills!B25</f>
        <v/>
      </c>
      <c r="C3260">
        <f>Inputs!$B$3&gt;=110</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t="inlineStr"/>
      <c r="H3260" t="inlineStr"/>
      <c r="I3260" t="inlineStr">
        <is>
          <t>1</t>
        </is>
      </c>
      <c r="J3260" t="inlineStr"/>
      <c r="K3260" t="inlineStr"/>
      <c r="L3260" t="inlineStr"/>
      <c r="M3260" t="inlineStr"/>
      <c r="N3260" t="inlineStr"/>
      <c r="O3260" t="inlineStr"/>
      <c r="P3260" t="inlineStr"/>
      <c r="Q3260" t="inlineStr"/>
      <c r="R3260" t="inlineStr"/>
      <c r="S3260" t="inlineStr"/>
      <c r="T3260" t="inlineStr"/>
      <c r="V3260" t="inlineStr"/>
    </row>
    <row r="3261">
      <c r="A3261">
        <f>Skills!A26</f>
        <v/>
      </c>
      <c r="B3261">
        <f>Skills!B26</f>
        <v/>
      </c>
      <c r="C3261">
        <f>Inputs!$B$3&gt;=117</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t="inlineStr"/>
      <c r="H3261" t="inlineStr"/>
      <c r="I3261" t="inlineStr">
        <is>
          <t>1</t>
        </is>
      </c>
      <c r="J3261" t="inlineStr"/>
      <c r="K3261" t="inlineStr"/>
      <c r="L3261" t="inlineStr"/>
      <c r="M3261" t="inlineStr"/>
      <c r="N3261" t="inlineStr"/>
      <c r="O3261" t="inlineStr"/>
      <c r="P3261" t="inlineStr"/>
      <c r="Q3261" t="inlineStr"/>
      <c r="R3261" t="inlineStr"/>
      <c r="S3261" t="inlineStr"/>
      <c r="T3261" t="inlineStr"/>
      <c r="V3261" t="inlineStr"/>
    </row>
    <row r="3263">
      <c r="A3263" t="inlineStr">
        <is>
          <t>Attack% Bucket Multiplier</t>
        </is>
      </c>
      <c r="B3263">
        <f>(1+(((C3248=TRUE)*F3248*5/7)+((C3254=TRUE)*(F3254-Calc!F19))+(IF(ArtifactsInput!$M$21,CHOOSE(ArtifactsInput!$N$21+1,25,30,35,40,45,50)*(IF(OR(Inputs!$B$4="Chapter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4">
      <c r="A3264" t="inlineStr">
        <is>
          <t>Global Crit Rate Bonus %</t>
        </is>
      </c>
      <c r="B3264" t="n">
        <v>0</v>
      </c>
    </row>
    <row r="3265">
      <c r="A3265" t="inlineStr">
        <is>
          <t>Attack Speed Buff Bonus % (Nimble Feet + Speed Infusion, duty-cycle averaged)</t>
        </is>
      </c>
      <c r="B3265">
        <f>((C3258=TRUE)*F3258*IF(AND(Inputs!$B$38&lt;&gt;"pvp",Inputs!$B$43&gt;0),(((R3258-1)*MIN((Skills!T23*(1+Inputs!$B$34/100)),(1/Q3258))+MIN((Skills!T23*(1+Inputs!$B$34/100)),MAX(0,Inputs!$B$43-((R3258-1)*(1/Q3258)))))/Inputs!$B$43),IF(Inputs!$B$38="pvp",MIN((Skills!T23*(1+Inputs!$B$34/100)),15)/15,MIN(1,(Skills!T23*(1+Inputs!$B$34/100))/(1/Q3258)))))+((C3259=TRUE)*F3259*IF(AND(Inputs!$B$38&lt;&gt;"pvp",Inputs!$B$43&gt;0),(((R3259-1)*MIN((Skills!T24*(1+Inputs!$B$34/100)),(1/Q3259))+MIN((Skills!T24*(1+Inputs!$B$34/100)),MAX(0,Inputs!$B$43-((R3259-1)*(1/Q3259)))))/Inputs!$B$43),IF(Inputs!$B$38="pvp",MIN((Skills!T24*(1+Inputs!$B$34/100)),15)/15,MIN(1,(Skills!T24*(1+Inputs!$B$34/100))/(1/Q3259)))))</f>
        <v/>
      </c>
    </row>
    <row r="3266">
      <c r="A3266" t="inlineStr">
        <is>
          <t>Actions Per Second</t>
        </is>
      </c>
      <c r="B3266">
        <f>1+MIN(150,150*(1-(1-(Inputs!$B$11+((C3252=TRUE)*(F3252-Calc!F17))+((C3253=TRUE)*(F3253-Calc!F18)))/150)*(1-B3265/150)))/100</f>
        <v/>
      </c>
    </row>
    <row r="3267">
      <c r="A3267" t="inlineStr">
        <is>
          <t>Skill + Buff Cast Rate</t>
        </is>
      </c>
      <c r="B3267">
        <f>IF(AND(Inputs!$B$38&lt;&gt;"pvp",Inputs!$B$43&gt;0),SUMPRODUCT((Skills!E2:E26=TRUE)*(C3237:C3261=TRUE)*R3237:R3261*Skills!F2:F26)/Inputs!$B$43,SUMPRODUCT((Skills!E2:E26=TRUE)*(C3237:C3261=TRUE)*Q3237:Q3261*Skills!F2:F26))</f>
        <v/>
      </c>
    </row>
    <row r="3268">
      <c r="A3268" t="inlineStr">
        <is>
          <t>Hook Bomber Casts Per Second</t>
        </is>
      </c>
      <c r="B3268">
        <f>MAX(0,B3266-B3267)</f>
        <v/>
      </c>
    </row>
    <row r="3269">
      <c r="A3269" t="inlineStr">
        <is>
          <t>Global Critical Damage Bonus % (unused)</t>
        </is>
      </c>
      <c r="B3269" t="n">
        <v>0</v>
      </c>
    </row>
    <row r="3270">
      <c r="A3270" t="inlineStr">
        <is>
          <t>Global Final Damage Bonus % (Serpent Scale + Crossbones + Time Leap + Speed Infusion)</t>
        </is>
      </c>
      <c r="B3270">
        <f>((C3240=TRUE)*(F3240*B3276+4*(1-B3276)))+((C3249=TRUE)*F3249*IF(AND(Inputs!$B$38&lt;&gt;"pvp",Inputs!$B$43&gt;0),(((R3249-1)*MIN((Skills!T14*(1+Inputs!$B$34/100)),(1/Q3249))+MIN((Skills!T14*(1+Inputs!$B$34/100)),MAX(0,Inputs!$B$43-((R3249-1)*(1/Q3249)))))/Inputs!$B$43),IF(Inputs!$B$38="pvp",MIN((Skills!T14*(1+Inputs!$B$34/100)),15)/15,MIN(1,(Skills!T14*(1+Inputs!$B$34/100))/(1/Q3249)))))+((C3250=TRUE)*F3250*IF(AND(Inputs!$B$38&lt;&gt;"pvp",Inputs!$B$43&gt;0),(((R3250-1)*MIN((Skills!T15*(1+Inputs!$B$34/100)),(1/Q3250))+MIN((Skills!T15*(1+Inputs!$B$34/100)),MAX(0,Inputs!$B$43-((R3250-1)*(1/Q3250)))))/Inputs!$B$43),IF(Inputs!$B$38="pvp",MIN((Skills!T15*(1+Inputs!$B$34/100)),15)/15,MIN(1,(Skills!T15*(1+Inputs!$B$34/100))/(1/Q3250)))))+((C3259=TRUE)*20*((1+MIN(150,150*(1-(1-(Inputs!$B$11+((C3252=TRUE)*(F3252-Calc!F17))+((C3253=TRUE)*(F3253-Calc!F18)))/150)*(1-(((C3258=TRUE)*F3258*IF(AND(Inputs!$B$38&lt;&gt;"pvp",Inputs!$B$43&gt;0),(((R3258-1)*MIN((Skills!T23*(1+Inputs!$B$34/100)),(1/Q3258))+MIN((Skills!T23*(1+Inputs!$B$34/100)),MAX(0,Inputs!$B$43-((R3258-1)*(1/Q3258)))))/Inputs!$B$43),IF(Inputs!$B$38="pvp",MIN((Skills!T23*(1+Inputs!$B$34/100)),15)/15,MIN(1,(Skills!T23*(1+Inputs!$B$34/100))/(1/Q3258)))))+F3259)/150)))/100)-1)*IF(AND(Inputs!$B$38&lt;&gt;"pvp",Inputs!$B$43&gt;0),(((R3259-1)*MIN((Skills!T24*(1+Inputs!$B$34/100)),(1/Q3259))+MIN((Skills!T24*(1+Inputs!$B$34/100)),MAX(0,Inputs!$B$43-((R3259-1)*(1/Q3259)))))/Inputs!$B$43),IF(Inputs!$B$38="pvp",MIN((Skills!T24*(1+Inputs!$B$34/100)),15)/15,MIN(1,(Skills!T24*(1+Inputs!$B$34/100))/(1/Q3259)))))</f>
        <v/>
      </c>
    </row>
    <row r="3271">
      <c r="A3271" t="inlineStr">
        <is>
          <t>Buff-Casting Startup Delay (s, fixed-duration only)</t>
        </is>
      </c>
      <c r="B3271">
        <f>IF(AND(Inputs!$B$38&lt;&gt;"pvp",Inputs!$B$43&gt;0),SUMPRODUCT((Skills!T2:T26&gt;0)*(Skills!E2:E26=TRUE)*(C3237:C3261=TRUE))/B3266,0)</f>
        <v/>
      </c>
    </row>
    <row r="3272">
      <c r="A3272" t="inlineStr">
        <is>
          <t>Boss-Only Total DPS (this block's swept value)</t>
        </is>
      </c>
      <c r="B3272">
        <f>SUM(T3237:T3261)</f>
        <v/>
      </c>
    </row>
    <row r="3273">
      <c r="A3273" t="inlineStr">
        <is>
          <t>Normal-Only Total DPS (this block's swept value)</t>
        </is>
      </c>
      <c r="B3273">
        <f>SUM(V3237:V3261)</f>
        <v/>
      </c>
    </row>
    <row r="3274">
      <c r="A3274" s="6" t="inlineStr">
        <is>
          <t>TOTAL DPS</t>
        </is>
      </c>
      <c r="B3274" s="6">
        <f>SUM(O3237:O3261)</f>
        <v/>
      </c>
    </row>
    <row r="3275">
      <c r="A3275" t="inlineStr">
        <is>
          <t>Serpent activation interval T (this block's own Hook Bomber rate)</t>
        </is>
      </c>
      <c r="B3275">
        <f>((1/Q3238)+IFERROR(0.5/B3268,0))</f>
        <v/>
      </c>
    </row>
    <row r="3276">
      <c r="A3276" t="inlineStr">
        <is>
          <t>Assault Mode uptime u (this block)</t>
        </is>
      </c>
      <c r="B3276">
        <f>IF(C3240=TRUE,(10+IF(Inputs!$B$3&gt;=94,5,0))/((10+IF(Inputs!$B$3&gt;=94,5,0))+IF(Inputs!$B$3&gt;=104,3,5)*B3275),0)</f>
        <v/>
      </c>
    </row>
    <row r="3277">
      <c r="A3277" t="inlineStr">
        <is>
          <t>Nautilus Strike - Final Attack trigger rate (this block's own Q/R)</t>
        </is>
      </c>
      <c r="B3277">
        <f>IF(AND(Inputs!$B$38&lt;&gt;"pvp",Inputs!$B$43&gt;0),(((C3241=TRUE)*R3241)+((C3242=TRUE)*R3242)+((C3245=TRUE)*R3245))/Inputs!$B$43,((C3241=TRUE)*Q3241)+((C3242=TRUE)*Q3242)+((C3245=TRUE)*Q3245))+B3268</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3300=TRUE)*(F3300-Calc!F20)),(Inputs!$B$23+0+(IF(ArtifactsInput!$M$15,CHOOSE(ArtifactsInput!$N$15+1,25,30,35,40,45,50)/100*(Inputs!$B$11-Inputs!$B$11),0))))/100+(Inputs!$B$23+0+(IF(ArtifactsInput!$M$15,CHOOSE(ArtifactsInput!$N$15+1,25,30,35,40,45,50)/100*(Inputs!$B$11-Inputs!$B$11),0)))/100)/2</f>
        <v/>
      </c>
      <c r="M3282">
        <f>L3282*(1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IF(B3319=0,0,O3282/B3319)</f>
        <v/>
      </c>
      <c r="Q3282" t="n">
        <v>0</v>
      </c>
      <c r="R3282" t="n">
        <v>0</v>
      </c>
      <c r="S3282">
        <f>IFERROR(O3282/N3282,0)</f>
        <v/>
      </c>
      <c r="T3282">
        <f>IF(C3282,(Skills!G2*N3282*B3313)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IF(C3282,(Skills!G2*N3282*B3313)*IF(Inputs!$B$38="pvp",1,(1+(Inputs!$B$21+Skills!Q2+(IF(ArtifactsInput!$M$33,CHOOSE(ArtifactsInput!$N$33+1,30,36,42,48,54,60),0))+(IF(AND(ArtifactsInput!$M$35,Inputs!$B$4&lt;&gt;"Chapter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Inputs!$B$3&gt;=35</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f>Skills!G3*IF(Skills!H3&gt;0,Skills!I3/Skills!H3,1)</f>
        <v/>
      </c>
      <c r="H3283">
        <f>1-(1-Skills!J3/100)^Skills!K3</f>
        <v/>
      </c>
      <c r="I3283" t="inlineStr">
        <is>
          <t>1</t>
        </is>
      </c>
      <c r="J3283">
        <f>((Inputs!$B$6*(1+Inputs!$B$7/100))+(((Inputs!$B$12*(1+Inputs!$B$13/100))-(Inputs!$B$12*(1+Inputs!$B$13/100)))+0.25*(Inputs!$B$14-Inputs!$B$14))*(1+Inputs!$B$7/100))*(F3283/100)</f>
        <v/>
      </c>
      <c r="K3283">
        <f>J3283*(1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3305=TRUE,F3305,0)/100)*(1+(IF(Skills!A3="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3300=TRUE)*(F3300-Calc!F20)),(Inputs!$B$23+0+(IF(ArtifactsInput!$M$15,CHOOSE(ArtifactsInput!$N$15+1,25,30,35,40,45,50)/100*(Inputs!$B$11-Inputs!$B$11),0))))/100+(Inputs!$B$23+0+(IF(ArtifactsInput!$M$15,CHOOSE(ArtifactsInput!$N$15+1,25,30,35,40,45,50)/100*(Inputs!$B$11-Inputs!$B$11),0)))/100)/2</f>
        <v/>
      </c>
      <c r="M3283">
        <f>L3283*(1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IF(B3319=0,0,O3283/B3319)</f>
        <v/>
      </c>
      <c r="Q3283">
        <f>IFERROR(1/(IF(Inputs!$B$38="pvp",15,MAX(0.1,Skills!D3-IF(TRUE=TRUE,5.0,0)))*(1-IF(AND(ArtifactsInput!$M$27,Inputs!$B$4="Chapter Hunt"),CHOOSE(ArtifactsInput!$N$27+1,20,24,28,32,36,40),0)/100)),0)</f>
        <v/>
      </c>
      <c r="R3283">
        <f>IF(AND(Inputs!$B$38&lt;&gt;"pvp",Inputs!$B$43&gt;0),IF(MAX(0,Inputs!$B$43-B3316)&lt;=0,0,(INT(MAX(0,Inputs!$B$43-B3316)/(IF(Inputs!$B$38="pvp",15,MAX(0.1,Skills!D3-IF(TRUE=TRUE,5.0,0)))*(1-IF(AND(ArtifactsInput!$M$27,Inputs!$B$4="Chapter Hunt"),CHOOSE(ArtifactsInput!$N$27+1,20,24,28,32,36,40),0)/100)))+1)),0)</f>
        <v/>
      </c>
      <c r="S3283">
        <f>IFERROR(O3283/N3283,0)</f>
        <v/>
      </c>
      <c r="T3283">
        <f>IF(C3283,(Skills!G3*N3283*IF(C3284=TRUE,1-B3321,1)/B3320)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3283*(1-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INDEX(FactorTable!$B$2:$Y$301, MATCH(ROUND(MIN(300,MAX(1,U3282)),0), FactorTable!$A$2:$A$301,0), 22)</f>
        <v/>
      </c>
      <c r="V3283">
        <f>IF(C3283,(Skills!G3*N3283*IF(C3284=TRUE,1-B3321,1)/B3320)*IF(Inputs!$B$38="pvp",1,(1+(Inputs!$B$21+Skills!Q3+(IF(ArtifactsInput!$M$33,CHOOSE(ArtifactsInput!$N$33+1,30,36,42,48,54,60),0))+(IF(AND(ArtifactsInput!$M$35,Inputs!$B$4&lt;&gt;"Chapter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Skills!A4</f>
        <v/>
      </c>
      <c r="B3284">
        <f>Skills!B4</f>
        <v/>
      </c>
      <c r="C3284">
        <f>Inputs!$B$3&gt;=69</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f>Skills!G4*IF(Skills!H4&gt;0,Skills!I4/Skills!H4,1)</f>
        <v/>
      </c>
      <c r="H3284">
        <f>1-(1-Skills!J4/100)^Skills!K4</f>
        <v/>
      </c>
      <c r="I3284" t="inlineStr">
        <is>
          <t>1</t>
        </is>
      </c>
      <c r="J3284">
        <f>((Inputs!$B$6*(1+Inputs!$B$7/100))+(((Inputs!$B$12*(1+Inputs!$B$13/100))-(Inputs!$B$12*(1+Inputs!$B$13/100)))+0.25*(Inputs!$B$14-Inputs!$B$14))*(1+Inputs!$B$7/100))*(F3284/100)</f>
        <v/>
      </c>
      <c r="K3284">
        <f>J3284*(1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4="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3300=TRUE)*(F3300-Calc!F20)),(Inputs!$B$23+0+(IF(ArtifactsInput!$M$15,CHOOSE(ArtifactsInput!$N$15+1,25,30,35,40,45,50)/100*(Inputs!$B$11-Inputs!$B$11),0))))/100+(Inputs!$B$23+0+(IF(ArtifactsInput!$M$15,CHOOSE(ArtifactsInput!$N$15+1,25,30,35,40,45,50)/100*(Inputs!$B$11-Inputs!$B$11),0)))/100)/2</f>
        <v/>
      </c>
      <c r="M3284">
        <f>L3284*(1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IF(B3319=0,0,O3284/B3319)</f>
        <v/>
      </c>
      <c r="Q3284" t="n">
        <v>0</v>
      </c>
      <c r="R3284" t="n">
        <v>0</v>
      </c>
      <c r="S3284">
        <f>IFERROR(O3284/N3284,0)</f>
        <v/>
      </c>
      <c r="T3284">
        <f>IF(C3284,(Skills!G4*N3284*B3321/B3320)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3284*(1-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290*U3283/1000</f>
        <v/>
      </c>
      <c r="V3284">
        <f>IF(C3284,(Skills!G4*N3284*B3321/B3320)*IF(Inputs!$B$38="pvp",1,(1+(Inputs!$B$21+Skills!Q4+(IF(ArtifactsInput!$M$33,CHOOSE(ArtifactsInput!$N$33+1,30,36,42,48,54,60),0))+(IF(AND(ArtifactsInput!$M$35,Inputs!$B$4&lt;&gt;"Chapter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Skills!A5</f>
        <v/>
      </c>
      <c r="B3285">
        <f>Skills!B5</f>
        <v/>
      </c>
      <c r="C3285">
        <f>Inputs!$B$3&gt;=66</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t="inlineStr"/>
      <c r="K3285" t="inlineStr"/>
      <c r="L3285" t="inlineStr"/>
      <c r="M3285" t="inlineStr"/>
      <c r="N3285" t="inlineStr"/>
      <c r="O3285">
        <f>(1-Summary!$B$11)*T3285+Summary!$B$11*V3285</f>
        <v/>
      </c>
      <c r="P3285">
        <f>IF(B3319=0,0,O3285/B3319)</f>
        <v/>
      </c>
      <c r="Q3285" t="n">
        <v>0</v>
      </c>
      <c r="R3285" t="n">
        <v>0</v>
      </c>
      <c r="S3285">
        <f>IFERROR(O3285/N3285,0)</f>
        <v/>
      </c>
      <c r="T3285" t="n">
        <v>0</v>
      </c>
      <c r="V3285" t="n">
        <v>0</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3292=TRUE,F3292,0)/100)*(1+(IF(Skills!A6="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3300=TRUE)*(F3300-Calc!F20)),(Inputs!$B$23+0+(IF(ArtifactsInput!$M$15,CHOOSE(ArtifactsInput!$N$15+1,25,30,35,40,45,50)/100*(Inputs!$B$11-Inputs!$B$11),0))))/100+(Inputs!$B$23+0+(IF(ArtifactsInput!$M$15,CHOOSE(ArtifactsInput!$N$15+1,25,30,35,40,45,50)/100*(Inputs!$B$11-Inputs!$B$11),0)))/100)/2</f>
        <v/>
      </c>
      <c r="M3286">
        <f>L3286*(1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IF(B3319=0,0,O3286/B3319)</f>
        <v/>
      </c>
      <c r="Q3286">
        <f>IFERROR(1/(IF(Inputs!$B$38="pvp",15,MAX(0.1,Skills!D6-IF(TRUE=TRUE,5.0,0)))*(1-IF(AND(ArtifactsInput!$M$27,Inputs!$B$4="Chapter Hunt"),CHOOSE(ArtifactsInput!$N$27+1,20,24,28,32,36,40),0)/100)),0)</f>
        <v/>
      </c>
      <c r="R3286">
        <f>IF(AND(Inputs!$B$38&lt;&gt;"pvp",Inputs!$B$43&gt;0),IF(MAX(0,Inputs!$B$43-B3316)&lt;=0,0,(INT(MAX(0,Inputs!$B$43-B3316)/(IF(Inputs!$B$38="pvp",15,MAX(0.1,Skills!D6-IF(TRUE=TRUE,5.0,0)))*(1-IF(AND(ArtifactsInput!$M$27,Inputs!$B$4="Chapter Hunt"),CHOOSE(ArtifactsInput!$N$27+1,20,24,28,32,36,40),0)/100)))+1)),0)</f>
        <v/>
      </c>
      <c r="S3286">
        <f>IFERROR(O3286/N3286,0)</f>
        <v/>
      </c>
      <c r="T3286">
        <f>IF(C3286,(H3286*N3286*IF(AND(Inputs!$B$38&lt;&gt;"pvp",Inputs!$B$43&gt;0),((Skills!G6*((R3286-1)*IF(Skills!H6&gt;0,Skills!I6/Skills!H6,1)+IF(Skills!H6&gt;0,MIN(Skills!I6,MAX(0,MAX(0,Inputs!$B$43-B3316)-((R3286-1)*(IF(Inputs!$B$38="pvp",15,MAX(0.1,Skills!D6-IF(TRUE=TRUE,5.0,0)))*(1-IF(AND(ArtifactsInput!$M$27,Inputs!$B$4="Chapter Hunt"),CHOOSE(ArtifactsInput!$N$27+1,20,24,28,32,36,40),0)/100)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3316)-((R3286-1)*(IF(Inputs!$B$38="pvp",15,MAX(0.1,Skills!D6-IF(TRUE=TRUE,5.0,0)))*(1-IF(AND(ArtifactsInput!$M$27,Inputs!$B$4="Chapter Hunt"),CHOOSE(ArtifactsInput!$N$27+1,20,24,28,32,36,40),0)/100)))))/Skills!H6,1)))/Inputs!$B$43),G3286*Q3286))*IF(Inputs!$B$38="pvp",1,(1+(Inputs!$B$21+Skills!Q6+(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Inputs!$B$3&gt;=103</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3300=TRUE)*(F3300-Calc!F20)),(Inputs!$B$23+0+(IF(ArtifactsInput!$M$15,CHOOSE(ArtifactsInput!$N$15+1,25,30,35,40,45,50)/100*(Inputs!$B$11-Inputs!$B$11),0))))/100+(Inputs!$B$23+0+(IF(ArtifactsInput!$M$15,CHOOSE(ArtifactsInput!$N$15+1,25,30,35,40,45,50)/100*(Inputs!$B$11-Inputs!$B$11),0)))/100)/2</f>
        <v/>
      </c>
      <c r="M3287">
        <f>L3287*(1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IF(B3319=0,0,O3287/B3319)</f>
        <v/>
      </c>
      <c r="Q3287">
        <f>IFERROR(1/(IF(Inputs!$B$38="pvp",15,MAX(0.1,Skills!D7-IF(TRUE=TRUE,5.0,0)))*(1-IF(AND(ArtifactsInput!$M$27,Inputs!$B$4="Chapter Hunt"),CHOOSE(ArtifactsInput!$N$27+1,20,24,28,32,36,40),0)/100)),0)</f>
        <v/>
      </c>
      <c r="R3287">
        <f>IF(AND(Inputs!$B$38&lt;&gt;"pvp",Inputs!$B$43&gt;0),IF(MAX(0,Inputs!$B$43-B3316)&lt;=0,0,(INT(MAX(0,Inputs!$B$43-B3316)/(IF(Inputs!$B$38="pvp",15,MAX(0.1,Skills!D7-IF(TRUE=TRUE,5.0,0)))*(1-IF(AND(ArtifactsInput!$M$27,Inputs!$B$4="Chapter Hunt"),CHOOSE(ArtifactsInput!$N$27+1,20,24,28,32,36,40),0)/100)))+1)),0)</f>
        <v/>
      </c>
      <c r="S3287">
        <f>IFERROR(O3287/N3287,0)</f>
        <v/>
      </c>
      <c r="T3287">
        <f>IF(C3287,(H3287*N3287*IF(AND(Inputs!$B$38&lt;&gt;"pvp",Inputs!$B$43&gt;0),((Skills!G7*((R3287-1)*IF(Skills!H7&gt;0,Skills!I7/Skills!H7,1)+IF(Skills!H7&gt;0,MIN(Skills!I7,MAX(0,MAX(0,Inputs!$B$43-B3316)-((R3287-1)*(IF(Inputs!$B$38="pvp",15,MAX(0.1,Skills!D7-IF(TRUE=TRUE,5.0,0)))*(1-IF(AND(ArtifactsInput!$M$27,Inputs!$B$4="Chapter Hunt"),CHOOSE(ArtifactsInput!$N$27+1,20,24,28,32,36,40),0)/100)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3316)-((R3287-1)*(IF(Inputs!$B$38="pvp",15,MAX(0.1,Skills!D7-IF(TRUE=TRUE,5.0,0)))*(1-IF(AND(ArtifactsInput!$M$27,Inputs!$B$4="Chapter Hunt"),CHOOSE(ArtifactsInput!$N$27+1,20,24,28,32,36,40),0)/100)))))/Skills!H7,1)))/Inputs!$B$43),G3287*Q3287))*IF(Inputs!$B$38="pvp",1,(1+(Inputs!$B$21+Skills!Q7+(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Inputs!$B$3&gt;=117</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f>Skills!G8*IF(Skills!H8&gt;0,Skills!I8/Skills!H8,1)</f>
        <v/>
      </c>
      <c r="H3288">
        <f>1-(1-Skills!J8/100)^Skills!K8</f>
        <v/>
      </c>
      <c r="I3288" t="inlineStr">
        <is>
          <t>1</t>
        </is>
      </c>
      <c r="J3288">
        <f>((Inputs!$B$6*(1+Inputs!$B$7/100))+(((Inputs!$B$12*(1+Inputs!$B$13/100))-(Inputs!$B$12*(1+Inputs!$B$13/100)))+0.25*(Inputs!$B$14-Inputs!$B$14))*(1+Inputs!$B$7/100))*(F3288/100)</f>
        <v/>
      </c>
      <c r="K3288">
        <f>J3288*(1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3288)</f>
        <v/>
      </c>
      <c r="L3288">
        <f>K3288*(MIN(Inputs!$B$22+((C3300=TRUE)*(F3300-Calc!F20)),(Inputs!$B$23+0+(IF(ArtifactsInput!$M$15,CHOOSE(ArtifactsInput!$N$15+1,25,30,35,40,45,50)/100*(Inputs!$B$11-Inputs!$B$11),0))))/100+(Inputs!$B$23+0+(IF(ArtifactsInput!$M$15,CHOOSE(ArtifactsInput!$N$15+1,25,30,35,40,45,50)/100*(Inputs!$B$11-Inputs!$B$11),0)))/100)/2</f>
        <v/>
      </c>
      <c r="M3288">
        <f>L3288*(1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8">
        <f>L3288*(1-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3288*(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8">
        <f>(1-Summary!$B$11)*T3288+Summary!$B$11*V3288</f>
        <v/>
      </c>
      <c r="P3288">
        <f>IF(B3319=0,0,O3288/B3319)</f>
        <v/>
      </c>
      <c r="Q3288">
        <f>IFERROR(1/(IF(Inputs!$B$38="pvp",15,MAX(0.1,Skills!D8-IF(TRUE=TRUE,5.0,0)))*(1-IF(AND(ArtifactsInput!$M$27,Inputs!$B$4="Chapter Hunt"),CHOOSE(ArtifactsInput!$N$27+1,20,24,28,32,36,40),0)/100)),0)</f>
        <v/>
      </c>
      <c r="R3288">
        <f>IF(AND(Inputs!$B$38&lt;&gt;"pvp",Inputs!$B$43&gt;0),IF(MAX(0,Inputs!$B$43-B3316)&lt;=0,0,(INT(MAX(0,Inputs!$B$43-B3316)/(IF(Inputs!$B$38="pvp",15,MAX(0.1,Skills!D8-IF(TRUE=TRUE,5.0,0)))*(1-IF(AND(ArtifactsInput!$M$27,Inputs!$B$4="Chapter Hunt"),CHOOSE(ArtifactsInput!$N$27+1,20,24,28,32,36,40),0)/100)))+1)),0)</f>
        <v/>
      </c>
      <c r="S3288">
        <f>IFERROR(O3288/N3288,0)</f>
        <v/>
      </c>
      <c r="T3288">
        <f>IF(C3288,(H3288*N3288*IF(AND(Inputs!$B$38&lt;&gt;"pvp",Inputs!$B$43&gt;0),((Skills!G8*((R3288-1)*IF(Skills!H8&gt;0,Skills!I8/Skills!H8,1)+IF(Skills!H8&gt;0,MIN(Skills!I8,MAX(0,MAX(0,Inputs!$B$43-B3316)-((R3288-1)*(IF(Inputs!$B$38="pvp",15,MAX(0.1,Skills!D8-IF(TRUE=TRUE,5.0,0)))*(1-IF(AND(ArtifactsInput!$M$27,Inputs!$B$4="Chapter Hunt"),CHOOSE(ArtifactsInput!$N$27+1,20,24,28,32,36,40),0)/100)))))/Skills!H8,1)))/Inputs!$B$43),G3288*Q3288)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3288*(1-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3288*(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3288*(1-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3288*(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8">
        <f>IF(C3288,(H3288*N3288*IF(AND(Inputs!$B$38&lt;&gt;"pvp",Inputs!$B$43&gt;0),((Skills!G8*((R3288-1)*IF(Skills!H8&gt;0,Skills!I8/Skills!H8,1)+IF(Skills!H8&gt;0,MIN(Skills!I8,MAX(0,MAX(0,Inputs!$B$43-B3316)-((R3288-1)*(IF(Inputs!$B$38="pvp",15,MAX(0.1,Skills!D8-IF(TRUE=TRUE,5.0,0)))*(1-IF(AND(ArtifactsInput!$M$27,Inputs!$B$4="Chapter Hunt"),CHOOSE(ArtifactsInput!$N$27+1,20,24,28,32,36,40),0)/100)))))/Skills!H8,1)))/Inputs!$B$43),G3288*Q3288))*IF(Inputs!$B$38="pvp",1,(1+(Inputs!$B$21+Skills!Q8+(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9">
      <c r="A3289">
        <f>Skills!A9</f>
        <v/>
      </c>
      <c r="B3289">
        <f>Skills!B9</f>
        <v/>
      </c>
      <c r="C3289">
        <f>Inputs!$B$3&gt;=120</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B3321</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3300=TRUE)*(F3300-Calc!F20)),(Inputs!$B$23+0+(IF(ArtifactsInput!$M$15,CHOOSE(ArtifactsInput!$N$15+1,25,30,35,40,45,50)/100*(Inputs!$B$11-Inputs!$B$11),0))))/100+(Inputs!$B$23+0+(IF(ArtifactsInput!$M$15,CHOOSE(ArtifactsInput!$N$15+1,25,30,35,40,45,50)/100*(Inputs!$B$11-Inputs!$B$11),0)))/100)/2</f>
        <v/>
      </c>
      <c r="M3289">
        <f>L3289*(1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IF(B3319=0,0,O3289/B3319)</f>
        <v/>
      </c>
      <c r="Q3289">
        <f>IFERROR(1/(IF(Inputs!$B$38="pvp",15,MAX(0.1,Skills!D9-IF(TRUE=TRUE,5.0,0)))*(1-IF(AND(ArtifactsInput!$M$27,Inputs!$B$4="Chapter Hunt"),CHOOSE(ArtifactsInput!$N$27+1,20,24,28,32,36,40),0)/100)),0)</f>
        <v/>
      </c>
      <c r="R3289">
        <f>IF(AND(Inputs!$B$38&lt;&gt;"pvp",Inputs!$B$43&gt;0),IF(MAX(0,Inputs!$B$43-B3316)&lt;=0,0,(INT(MAX(0,Inputs!$B$43-B3316)/(IF(Inputs!$B$38="pvp",15,MAX(0.1,Skills!D9-IF(TRUE=TRUE,5.0,0)))*(1-IF(AND(ArtifactsInput!$M$27,Inputs!$B$4="Chapter Hunt"),CHOOSE(ArtifactsInput!$N$27+1,20,24,28,32,36,40),0)/100)))+1)),0)</f>
        <v/>
      </c>
      <c r="S3289">
        <f>IFERROR(O3289/N3289,0)</f>
        <v/>
      </c>
      <c r="T3289">
        <f>IF(C3289,(H3289*N3289*IF(AND(Inputs!$B$38&lt;&gt;"pvp",Inputs!$B$43&gt;0),((Skills!G9*((R3289-1)*IF(Skills!H9&gt;0,Skills!I9/Skills!H9,1)+IF(Skills!H9&gt;0,MIN(Skills!I9,MAX(0,MAX(0,Inputs!$B$43-B3316)-((R3289-1)*(IF(Inputs!$B$38="pvp",15,MAX(0.1,Skills!D9-IF(TRUE=TRUE,5.0,0)))*(1-IF(AND(ArtifactsInput!$M$27,Inputs!$B$4="Chapter Hunt"),CHOOSE(ArtifactsInput!$N$27+1,20,24,28,32,36,40),0)/100)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3316)-((R3289-1)*(IF(Inputs!$B$38="pvp",15,MAX(0.1,Skills!D9-IF(TRUE=TRUE,5.0,0)))*(1-IF(AND(ArtifactsInput!$M$27,Inputs!$B$4="Chapter Hunt"),CHOOSE(ArtifactsInput!$N$27+1,20,24,28,32,36,40),0)/100)))))/Skills!H9,1)))/Inputs!$B$43),G3289*Q3289))*IF(Inputs!$B$38="pvp",1,(1+(Inputs!$B$21+Skills!Q9+(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Inputs!$B$3&gt;=105</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3300=TRUE)*(F3300-Calc!F20)),(Inputs!$B$23+0+(IF(ArtifactsInput!$M$15,CHOOSE(ArtifactsInput!$N$15+1,25,30,35,40,45,50)/100*(Inputs!$B$11-Inputs!$B$11),0))))/100+(Inputs!$B$23+0+(IF(ArtifactsInput!$M$15,CHOOSE(ArtifactsInput!$N$15+1,25,30,35,40,45,50)/100*(Inputs!$B$11-Inputs!$B$11),0)))/100)/2</f>
        <v/>
      </c>
      <c r="M3290">
        <f>L3290*(1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IF(B3319=0,0,O3290/B3319)</f>
        <v/>
      </c>
      <c r="Q3290">
        <f>IFERROR(1/(IF(Inputs!$B$38="pvp",15,MAX(0.1,Skills!D10-IF(TRUE=TRUE,5.0,0)))*(1-IF(AND(ArtifactsInput!$M$27,Inputs!$B$4="Chapter Hunt"),CHOOSE(ArtifactsInput!$N$27+1,20,24,28,32,36,40),0)/100)),0)</f>
        <v/>
      </c>
      <c r="R3290">
        <f>IF(AND(Inputs!$B$38&lt;&gt;"pvp",Inputs!$B$43&gt;0),IF(MAX(0,Inputs!$B$43-B3316)&lt;=0,0,(INT(MAX(0,Inputs!$B$43-B3316)/(IF(Inputs!$B$38="pvp",15,MAX(0.1,Skills!D10-IF(TRUE=TRUE,5.0,0)))*(1-IF(AND(ArtifactsInput!$M$27,Inputs!$B$4="Chapter Hunt"),CHOOSE(ArtifactsInput!$N$27+1,20,24,28,32,36,40),0)/100)))+1)),0)</f>
        <v/>
      </c>
      <c r="S3290">
        <f>IFERROR(O3290/N3290,0)</f>
        <v/>
      </c>
      <c r="T3290">
        <f>IF(C3290,(H3290*N3290*IF(AND(Inputs!$B$38&lt;&gt;"pvp",Inputs!$B$43&gt;0),((Skills!G10*((R3290-1)*IF(Skills!H10&gt;0,Skills!I10/Skills!H10,1)+IF(Skills!H10&gt;0,MIN(Skills!I10,MAX(0,MAX(0,Inputs!$B$43-B3316)-((R3290-1)*(IF(Inputs!$B$38="pvp",15,MAX(0.1,Skills!D10-IF(TRUE=TRUE,5.0,0)))*(1-IF(AND(ArtifactsInput!$M$27,Inputs!$B$4="Chapter Hunt"),CHOOSE(ArtifactsInput!$N$27+1,20,24,28,32,36,40),0)/100)))))/Skills!H10,1)))/Inputs!$B$43),G3290*Q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10*((R3290-1)*IF(Skills!H10&gt;0,Skills!I10/Skills!H10,1)+IF(Skills!H10&gt;0,MIN(Skills!I10,MAX(0,MAX(0,Inputs!$B$43-B3316)-((R3290-1)*(IF(Inputs!$B$38="pvp",15,MAX(0.1,Skills!D10-IF(TRUE=TRUE,5.0,0)))*(1-IF(AND(ArtifactsInput!$M$27,Inputs!$B$4="Chapter Hunt"),CHOOSE(ArtifactsInput!$N$27+1,20,24,28,32,36,40),0)/100)))))/Skills!H10,1)))/Inputs!$B$43),G3290*Q3290))*IF(Inputs!$B$38="pvp",1,(1+(Inputs!$B$21+Skills!Q10+(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Inputs!$B$3&gt;=113</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3300=TRUE)*(F3300-Calc!F20)),(Inputs!$B$23+0+(IF(ArtifactsInput!$M$15,CHOOSE(ArtifactsInput!$N$15+1,25,30,35,40,45,50)/100*(Inputs!$B$11-Inputs!$B$11),0))))/100+(Inputs!$B$23+0+(IF(ArtifactsInput!$M$15,CHOOSE(ArtifactsInput!$N$15+1,25,30,35,40,45,50)/100*(Inputs!$B$11-Inputs!$B$11),0)))/100)/2</f>
        <v/>
      </c>
      <c r="M3291">
        <f>L3291*(1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IF(B3319=0,0,O3291/B3319)</f>
        <v/>
      </c>
      <c r="Q3291" t="n">
        <v>0</v>
      </c>
      <c r="R3291" t="n">
        <v>0</v>
      </c>
      <c r="S3291">
        <f>IFERROR(O3291/N3291,0)</f>
        <v/>
      </c>
      <c r="T3291">
        <f>IF(C3291,((H3291*B3322)/(1+Skills!H11*H3291*B3322)*N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IF(C3291,((H3291*B3322)/(1+Skills!H11*H3291*B3322)*N3291)*IF(Inputs!$B$38="pvp",1,(1+(Inputs!$B$21+Skills!Q11+(IF(ArtifactsInput!$M$33,CHOOSE(ArtifactsInput!$N$33+1,30,36,42,48,54,60),0))+(IF(AND(ArtifactsInput!$M$35,Inputs!$B$4&lt;&gt;"Chapter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Inputs!$B$3&gt;=100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IF(B3319=0,0,O3293/B3319)</f>
        <v/>
      </c>
      <c r="Q3293" t="n">
        <v>0</v>
      </c>
      <c r="R3293" t="n">
        <v>0</v>
      </c>
      <c r="S3293">
        <f>IFERROR(O3293/N3293,0)</f>
        <v/>
      </c>
      <c r="T3293" t="n">
        <v>0</v>
      </c>
      <c r="V3293" t="n">
        <v>0</v>
      </c>
    </row>
    <row r="3294">
      <c r="A3294">
        <f>Skills!A14</f>
        <v/>
      </c>
      <c r="B3294">
        <f>Skills!B14</f>
        <v/>
      </c>
      <c r="C3294">
        <f>Inputs!$B$3&gt;=115</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IF(B3319=0,0,O3294/B3319)</f>
        <v/>
      </c>
      <c r="Q3294">
        <f>IFERROR(1/(IF(Inputs!$B$38="pvp",15,MAX(0.1,Skills!D14-IF(TRUE=TRUE,5.0,0)))*(1-IF(AND(ArtifactsInput!$M$27,Inputs!$B$4="Chapter Hunt"),CHOOSE(ArtifactsInput!$N$27+1,20,24,28,32,36,40),0)/100)),0)</f>
        <v/>
      </c>
      <c r="R3294">
        <f>IF(AND(Inputs!$B$38&lt;&gt;"pvp",Inputs!$B$43&gt;0),IF(Inputs!$B$43&lt;=0,0,(INT(Inputs!$B$43/(IF(Inputs!$B$38="pvp",15,MAX(0.1,Skills!D14-IF(TRUE=TRUE,5.0,0)))*(1-IF(AND(ArtifactsInput!$M$27,Inputs!$B$4="Chapter Hunt"),CHOOSE(ArtifactsInput!$N$27+1,20,24,28,32,36,40),0)/100)))+1)),0)</f>
        <v/>
      </c>
      <c r="S3294">
        <f>IFERROR(O3294/N3294,0)</f>
        <v/>
      </c>
      <c r="T3294" t="n">
        <v>0</v>
      </c>
      <c r="V3294" t="n">
        <v>0</v>
      </c>
    </row>
    <row r="3295">
      <c r="A3295">
        <f>Skills!A15</f>
        <v/>
      </c>
      <c r="B3295">
        <f>Skills!B15</f>
        <v/>
      </c>
      <c r="C3295">
        <f>Inputs!$B$3&gt;=125</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IF(B3319=0,0,O3295/B3319)</f>
        <v/>
      </c>
      <c r="Q3295">
        <f>IFERROR(1/(IF(Inputs!$B$38="pvp",15,MAX(0.1,Skills!D15-IF(TRUE=TRUE,5.0,0)))*(1-IF(AND(ArtifactsInput!$M$27,Inputs!$B$4="Chapter Hunt"),CHOOSE(ArtifactsInput!$N$27+1,20,24,28,32,36,40),0)/100)),0)</f>
        <v/>
      </c>
      <c r="R3295">
        <f>IF(AND(Inputs!$B$38&lt;&gt;"pvp",Inputs!$B$43&gt;0),IF(Inputs!$B$43&lt;=0,0,(INT(Inputs!$B$43/(IF(Inputs!$B$38="pvp",15,MAX(0.1,Skills!D15-IF(TRUE=TRUE,5.0,0)))*(1-IF(AND(ArtifactsInput!$M$27,Inputs!$B$4="Chapter Hunt"),CHOOSE(ArtifactsInput!$N$27+1,20,24,28,32,36,40),0)/100)))+1)),0)</f>
        <v/>
      </c>
      <c r="S3295">
        <f>IFERROR(O3295/N3295,0)</f>
        <v/>
      </c>
      <c r="T3295" t="n">
        <v>0</v>
      </c>
      <c r="V3295" t="n">
        <v>0</v>
      </c>
    </row>
    <row r="3296">
      <c r="A3296">
        <f>Skills!A16</f>
        <v/>
      </c>
      <c r="B3296">
        <f>Skills!B16</f>
        <v/>
      </c>
      <c r="C3296">
        <f>Inputs!$B$3&gt;=10</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IF(B3319=0,0,O3296/B3319)</f>
        <v/>
      </c>
      <c r="Q3296" t="n">
        <v>0</v>
      </c>
      <c r="R3296" t="n">
        <v>0</v>
      </c>
      <c r="S3296">
        <f>IFERROR(O3296/N3296,0)</f>
        <v/>
      </c>
      <c r="T3296" t="n">
        <v>0</v>
      </c>
      <c r="V3296" t="n">
        <v>0</v>
      </c>
    </row>
    <row r="3297">
      <c r="A3297">
        <f>Skills!A17</f>
        <v/>
      </c>
      <c r="B3297">
        <f>Skills!B17</f>
        <v/>
      </c>
      <c r="C3297">
        <f>Inputs!$B$3&gt;=15</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IF(B3319=0,0,O3297/B3319)</f>
        <v/>
      </c>
      <c r="Q3297" t="n">
        <v>0</v>
      </c>
      <c r="R3297" t="n">
        <v>0</v>
      </c>
      <c r="S3297">
        <f>IFERROR(O3297/N3297,0)</f>
        <v/>
      </c>
      <c r="T3297" t="n">
        <v>0</v>
      </c>
      <c r="V3297" t="n">
        <v>0</v>
      </c>
    </row>
    <row r="3298">
      <c r="A3298">
        <f>Skills!A18</f>
        <v/>
      </c>
      <c r="B3298">
        <f>Skills!B18</f>
        <v/>
      </c>
      <c r="C3298">
        <f>Inputs!$B$3&gt;=33</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IF(B3319=0,0,O3298/B3319)</f>
        <v/>
      </c>
      <c r="Q3298" t="n">
        <v>0</v>
      </c>
      <c r="R3298" t="n">
        <v>0</v>
      </c>
      <c r="S3298">
        <f>IFERROR(O3298/N3298,0)</f>
        <v/>
      </c>
      <c r="T3298" t="n">
        <v>0</v>
      </c>
      <c r="V3298" t="n">
        <v>0</v>
      </c>
    </row>
    <row r="3299">
      <c r="A3299">
        <f>Skills!A19</f>
        <v/>
      </c>
      <c r="B3299">
        <f>Skills!B19</f>
        <v/>
      </c>
      <c r="C3299">
        <f>Inputs!$B$3&gt;=40</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IF(B3319=0,0,O3299/B3319)</f>
        <v/>
      </c>
      <c r="Q3299" t="n">
        <v>0</v>
      </c>
      <c r="R3299" t="n">
        <v>0</v>
      </c>
      <c r="S3299">
        <f>IFERROR(O3299/N3299,0)</f>
        <v/>
      </c>
      <c r="T3299" t="n">
        <v>0</v>
      </c>
      <c r="V3299" t="n">
        <v>0</v>
      </c>
    </row>
    <row r="3300">
      <c r="A3300">
        <f>Skills!A20</f>
        <v/>
      </c>
      <c r="B3300">
        <f>Skills!B20</f>
        <v/>
      </c>
      <c r="C3300">
        <f>Inputs!$B$3&gt;=43</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IF(B3319=0,0,O3300/B3319)</f>
        <v/>
      </c>
      <c r="Q3300" t="n">
        <v>0</v>
      </c>
      <c r="R3300" t="n">
        <v>0</v>
      </c>
      <c r="S3300">
        <f>IFERROR(O3300/N3300,0)</f>
        <v/>
      </c>
      <c r="T3300" t="n">
        <v>0</v>
      </c>
      <c r="V3300" t="n">
        <v>0</v>
      </c>
    </row>
    <row r="3301">
      <c r="A3301">
        <f>Skills!A21</f>
        <v/>
      </c>
      <c r="B3301">
        <f>Skills!B21</f>
        <v/>
      </c>
      <c r="C3301">
        <f>Inputs!$B$3&gt;=38</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IF(B3319=0,0,O3301/B3319)</f>
        <v/>
      </c>
      <c r="Q3301" t="n">
        <v>0</v>
      </c>
      <c r="R3301" t="n">
        <v>0</v>
      </c>
      <c r="S3301">
        <f>IFERROR(O3301/N3301,0)</f>
        <v/>
      </c>
      <c r="T3301" t="n">
        <v>0</v>
      </c>
      <c r="V3301" t="n">
        <v>0</v>
      </c>
    </row>
    <row r="3302">
      <c r="A3302">
        <f>Skills!A22</f>
        <v/>
      </c>
      <c r="B3302">
        <f>Skills!B22</f>
        <v/>
      </c>
      <c r="C3302">
        <f>Inputs!$B$3&gt;=75</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IF(B3319=0,0,O3302/B3319)</f>
        <v/>
      </c>
      <c r="Q3302" t="n">
        <v>0</v>
      </c>
      <c r="R3302" t="n">
        <v>0</v>
      </c>
      <c r="S3302">
        <f>IFERROR(O3302/N3302,0)</f>
        <v/>
      </c>
      <c r="T3302" t="n">
        <v>0</v>
      </c>
      <c r="V3302" t="n">
        <v>0</v>
      </c>
    </row>
    <row r="3303">
      <c r="A3303">
        <f>Skills!A23</f>
        <v/>
      </c>
      <c r="B3303">
        <f>Skills!B23</f>
        <v/>
      </c>
      <c r="C3303">
        <f>TRUE</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IF(B3319=0,0,O3303/B3319)</f>
        <v/>
      </c>
      <c r="Q3303">
        <f>IFERROR(1/(IF(Inputs!$B$38="pvp",15,MAX(0.1,Skills!D23-IF(TRUE=TRUE,5.0,0)))*(1-IF(AND(ArtifactsInput!$M$27,Inputs!$B$4="Chapter Hunt"),CHOOSE(ArtifactsInput!$N$27+1,20,24,28,32,36,40),0)/100)),0)</f>
        <v/>
      </c>
      <c r="R3303">
        <f>IF(AND(Inputs!$B$38&lt;&gt;"pvp",Inputs!$B$43&gt;0),IF(Inputs!$B$43&lt;=0,0,(INT(Inputs!$B$43/(IF(Inputs!$B$38="pvp",15,MAX(0.1,Skills!D23-IF(TRUE=TRUE,5.0,0)))*(1-IF(AND(ArtifactsInput!$M$27,Inputs!$B$4="Chapter Hunt"),CHOOSE(ArtifactsInput!$N$27+1,20,24,28,32,36,40),0)/100)))+1)),0)</f>
        <v/>
      </c>
      <c r="S3303">
        <f>IFERROR(O3303/N3303,0)</f>
        <v/>
      </c>
      <c r="T3303" t="n">
        <v>0</v>
      </c>
      <c r="V3303" t="n">
        <v>0</v>
      </c>
    </row>
    <row r="3304">
      <c r="A3304">
        <f>Skills!A24</f>
        <v/>
      </c>
      <c r="B3304">
        <f>Skills!B24</f>
        <v/>
      </c>
      <c r="C3304">
        <f>Inputs!$B$3&gt;=107</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IF(B3319=0,0,O3304/B3319)</f>
        <v/>
      </c>
      <c r="Q3304">
        <f>IFERROR(1/(IF(Inputs!$B$38="pvp",15,MAX(0.1,Skills!D24-IF(TRUE=TRUE,5.0,0)))*(1-IF(AND(ArtifactsInput!$M$27,Inputs!$B$4="Chapter Hunt"),CHOOSE(ArtifactsInput!$N$27+1,20,24,28,32,36,40),0)/100)),0)</f>
        <v/>
      </c>
      <c r="R3304">
        <f>IF(AND(Inputs!$B$38&lt;&gt;"pvp",Inputs!$B$43&gt;0),IF(Inputs!$B$43&lt;=0,0,(INT(Inputs!$B$43/(IF(Inputs!$B$38="pvp",15,MAX(0.1,Skills!D24-IF(TRUE=TRUE,5.0,0)))*(1-IF(AND(ArtifactsInput!$M$27,Inputs!$B$4="Chapter Hunt"),CHOOSE(ArtifactsInput!$N$27+1,20,24,28,32,36,40),0)/100)))+1)),0)</f>
        <v/>
      </c>
      <c r="S3304">
        <f>IFERROR(O3304/N3304,0)</f>
        <v/>
      </c>
      <c r="T3304" t="n">
        <v>0</v>
      </c>
      <c r="V3304" t="n">
        <v>0</v>
      </c>
    </row>
    <row r="3305">
      <c r="A3305">
        <f>Skills!A25</f>
        <v/>
      </c>
      <c r="B3305">
        <f>Skills!B25</f>
        <v/>
      </c>
      <c r="C3305">
        <f>Inputs!$B$3&gt;=110</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t="inlineStr"/>
      <c r="H3305" t="inlineStr"/>
      <c r="I3305" t="inlineStr">
        <is>
          <t>1</t>
        </is>
      </c>
      <c r="J3305" t="inlineStr"/>
      <c r="K3305" t="inlineStr"/>
      <c r="L3305" t="inlineStr"/>
      <c r="M3305" t="inlineStr"/>
      <c r="N3305" t="inlineStr"/>
      <c r="O3305" t="inlineStr"/>
      <c r="P3305" t="inlineStr"/>
      <c r="Q3305" t="inlineStr"/>
      <c r="R3305" t="inlineStr"/>
      <c r="S3305" t="inlineStr"/>
      <c r="T3305" t="inlineStr"/>
      <c r="V3305" t="inlineStr"/>
    </row>
    <row r="3306">
      <c r="A3306">
        <f>Skills!A26</f>
        <v/>
      </c>
      <c r="B3306">
        <f>Skills!B26</f>
        <v/>
      </c>
      <c r="C3306">
        <f>Inputs!$B$3&gt;=117</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t="inlineStr"/>
      <c r="H3306" t="inlineStr"/>
      <c r="I3306" t="inlineStr">
        <is>
          <t>1</t>
        </is>
      </c>
      <c r="J3306" t="inlineStr"/>
      <c r="K3306" t="inlineStr"/>
      <c r="L3306" t="inlineStr"/>
      <c r="M3306" t="inlineStr"/>
      <c r="N3306" t="inlineStr"/>
      <c r="O3306" t="inlineStr"/>
      <c r="P3306" t="inlineStr"/>
      <c r="Q3306" t="inlineStr"/>
      <c r="R3306" t="inlineStr"/>
      <c r="S3306" t="inlineStr"/>
      <c r="T3306" t="inlineStr"/>
      <c r="V3306" t="inlineStr"/>
    </row>
    <row r="3308">
      <c r="A3308" t="inlineStr">
        <is>
          <t>Attack% Bucket Multiplier</t>
        </is>
      </c>
      <c r="B3308">
        <f>(1+(((C3293=TRUE)*F3293*5/7)+((C3299=TRUE)*(F3299-Calc!F19))+(IF(ArtifactsInput!$M$21,CHOOSE(ArtifactsInput!$N$21+1,25,30,35,40,45,50)*(IF(OR(Inputs!$B$4="Chapter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09">
      <c r="A3309" t="inlineStr">
        <is>
          <t>Global Crit Rate Bonus %</t>
        </is>
      </c>
      <c r="B3309" t="n">
        <v>0</v>
      </c>
    </row>
    <row r="3310">
      <c r="A3310" t="inlineStr">
        <is>
          <t>Attack Speed Buff Bonus % (Nimble Feet + Speed Infusion, duty-cycle averaged)</t>
        </is>
      </c>
      <c r="B3310">
        <f>((C3303=TRUE)*F3303*IF(AND(Inputs!$B$38&lt;&gt;"pvp",Inputs!$B$43&gt;0),(((R3303-1)*MIN((Skills!T23*(1+Inputs!$B$34/100)),(1/Q3303))+MIN((Skills!T23*(1+Inputs!$B$34/100)),MAX(0,Inputs!$B$43-((R3303-1)*(1/Q3303)))))/Inputs!$B$43),IF(Inputs!$B$38="pvp",MIN((Skills!T23*(1+Inputs!$B$34/100)),15)/15,MIN(1,(Skills!T23*(1+Inputs!$B$34/100))/(1/Q3303)))))+((C3304=TRUE)*F3304*IF(AND(Inputs!$B$38&lt;&gt;"pvp",Inputs!$B$43&gt;0),(((R3304-1)*MIN((Skills!T24*(1+Inputs!$B$34/100)),(1/Q3304))+MIN((Skills!T24*(1+Inputs!$B$34/100)),MAX(0,Inputs!$B$43-((R3304-1)*(1/Q3304)))))/Inputs!$B$43),IF(Inputs!$B$38="pvp",MIN((Skills!T24*(1+Inputs!$B$34/100)),15)/15,MIN(1,(Skills!T24*(1+Inputs!$B$34/100))/(1/Q3304)))))</f>
        <v/>
      </c>
    </row>
    <row r="3311">
      <c r="A3311" t="inlineStr">
        <is>
          <t>Actions Per Second</t>
        </is>
      </c>
      <c r="B3311">
        <f>1+MIN(150,150*(1-(1-(Inputs!$B$11+((C3297=TRUE)*(F3297-Calc!F17))+((C3298=TRUE)*(F3298-Calc!F18)))/150)*(1-B3310/150)))/100</f>
        <v/>
      </c>
    </row>
    <row r="3312">
      <c r="A3312" t="inlineStr">
        <is>
          <t>Skill + Buff Cast Rate</t>
        </is>
      </c>
      <c r="B3312">
        <f>IF(AND(Inputs!$B$38&lt;&gt;"pvp",Inputs!$B$43&gt;0),SUMPRODUCT((Skills!E2:E26=TRUE)*(C3282:C3306=TRUE)*R3282:R3306*Skills!F2:F26)/Inputs!$B$43,SUMPRODUCT((Skills!E2:E26=TRUE)*(C3282:C3306=TRUE)*Q3282:Q3306*Skills!F2:F26))</f>
        <v/>
      </c>
    </row>
    <row r="3313">
      <c r="A3313" t="inlineStr">
        <is>
          <t>Hook Bomber Casts Per Second</t>
        </is>
      </c>
      <c r="B3313">
        <f>MAX(0,B3311-B3312)</f>
        <v/>
      </c>
    </row>
    <row r="3314">
      <c r="A3314" t="inlineStr">
        <is>
          <t>Global Critical Damage Bonus % (unused)</t>
        </is>
      </c>
      <c r="B3314" t="n">
        <v>0</v>
      </c>
    </row>
    <row r="3315">
      <c r="A3315" t="inlineStr">
        <is>
          <t>Global Final Damage Bonus % (Serpent Scale + Crossbones + Time Leap + Speed Infusion)</t>
        </is>
      </c>
      <c r="B3315">
        <f>((C3285=TRUE)*(F3285*B3321+4*(1-B3321)))+((C3294=TRUE)*F3294*IF(AND(Inputs!$B$38&lt;&gt;"pvp",Inputs!$B$43&gt;0),(((R3294-1)*MIN((Skills!T14*(1+Inputs!$B$34/100)),(1/Q3294))+MIN((Skills!T14*(1+Inputs!$B$34/100)),MAX(0,Inputs!$B$43-((R3294-1)*(1/Q3294)))))/Inputs!$B$43),IF(Inputs!$B$38="pvp",MIN((Skills!T14*(1+Inputs!$B$34/100)),15)/15,MIN(1,(Skills!T14*(1+Inputs!$B$34/100))/(1/Q3294)))))+((C3295=TRUE)*F3295*IF(AND(Inputs!$B$38&lt;&gt;"pvp",Inputs!$B$43&gt;0),(((R3295-1)*MIN((Skills!T15*(1+Inputs!$B$34/100)),(1/Q3295))+MIN((Skills!T15*(1+Inputs!$B$34/100)),MAX(0,Inputs!$B$43-((R3295-1)*(1/Q3295)))))/Inputs!$B$43),IF(Inputs!$B$38="pvp",MIN((Skills!T15*(1+Inputs!$B$34/100)),15)/15,MIN(1,(Skills!T15*(1+Inputs!$B$34/100))/(1/Q3295)))))+((C3304=TRUE)*20*((1+MIN(150,150*(1-(1-(Inputs!$B$11+((C3297=TRUE)*(F3297-Calc!F17))+((C3298=TRUE)*(F3298-Calc!F18)))/150)*(1-(((C3303=TRUE)*F3303*IF(AND(Inputs!$B$38&lt;&gt;"pvp",Inputs!$B$43&gt;0),(((R3303-1)*MIN((Skills!T23*(1+Inputs!$B$34/100)),(1/Q3303))+MIN((Skills!T23*(1+Inputs!$B$34/100)),MAX(0,Inputs!$B$43-((R3303-1)*(1/Q3303)))))/Inputs!$B$43),IF(Inputs!$B$38="pvp",MIN((Skills!T23*(1+Inputs!$B$34/100)),15)/15,MIN(1,(Skills!T23*(1+Inputs!$B$34/100))/(1/Q3303)))))+F3304)/150)))/100)-1)*IF(AND(Inputs!$B$38&lt;&gt;"pvp",Inputs!$B$43&gt;0),(((R3304-1)*MIN((Skills!T24*(1+Inputs!$B$34/100)),(1/Q3304))+MIN((Skills!T24*(1+Inputs!$B$34/100)),MAX(0,Inputs!$B$43-((R3304-1)*(1/Q3304)))))/Inputs!$B$43),IF(Inputs!$B$38="pvp",MIN((Skills!T24*(1+Inputs!$B$34/100)),15)/15,MIN(1,(Skills!T24*(1+Inputs!$B$34/100))/(1/Q3304)))))</f>
        <v/>
      </c>
    </row>
    <row r="3316">
      <c r="A3316" t="inlineStr">
        <is>
          <t>Buff-Casting Startup Delay (s, fixed-duration only)</t>
        </is>
      </c>
      <c r="B3316">
        <f>IF(AND(Inputs!$B$38&lt;&gt;"pvp",Inputs!$B$43&gt;0),SUMPRODUCT((Skills!T2:T26&gt;0)*(Skills!E2:E26=TRUE)*(C3282:C3306=TRUE))/B3311,0)</f>
        <v/>
      </c>
    </row>
    <row r="3317">
      <c r="A3317" t="inlineStr">
        <is>
          <t>Boss-Only Total DPS (this block's swept value)</t>
        </is>
      </c>
      <c r="B3317">
        <f>SUM(T3282:T3306)</f>
        <v/>
      </c>
    </row>
    <row r="3318">
      <c r="A3318" t="inlineStr">
        <is>
          <t>Normal-Only Total DPS (this block's swept value)</t>
        </is>
      </c>
      <c r="B3318">
        <f>SUM(V3282:V3306)</f>
        <v/>
      </c>
    </row>
    <row r="3319">
      <c r="A3319" s="6" t="inlineStr">
        <is>
          <t>TOTAL DPS</t>
        </is>
      </c>
      <c r="B3319" s="6">
        <f>SUM(O3282:O3306)</f>
        <v/>
      </c>
    </row>
    <row r="3320">
      <c r="A3320" t="inlineStr">
        <is>
          <t>Serpent activation interval T (this block's own Hook Bomber rate)</t>
        </is>
      </c>
      <c r="B3320">
        <f>((1/Q3283)+IFERROR(0.5/B3313,0))</f>
        <v/>
      </c>
    </row>
    <row r="3321">
      <c r="A3321" t="inlineStr">
        <is>
          <t>Assault Mode uptime u (this block)</t>
        </is>
      </c>
      <c r="B3321">
        <f>IF(C3285=TRUE,(10+IF(Inputs!$B$3&gt;=94,5,0))/((10+IF(Inputs!$B$3&gt;=94,5,0))+IF(Inputs!$B$3&gt;=104,3,5)*B3320),0)</f>
        <v/>
      </c>
    </row>
    <row r="3322">
      <c r="A3322" t="inlineStr">
        <is>
          <t>Nautilus Strike - Final Attack trigger rate (this block's own Q/R)</t>
        </is>
      </c>
      <c r="B3322">
        <f>IF(AND(Inputs!$B$38&lt;&gt;"pvp",Inputs!$B$43&gt;0),(((C3286=TRUE)*R3286)+((C3287=TRUE)*R3287)+((C3290=TRUE)*R3290))/Inputs!$B$43,((C3286=TRUE)*Q3286)+((C3287=TRUE)*Q3287)+((C3290=TRUE)*Q3290))+B3313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2026-10-21T17:39:00Z</dcterms:created>
  <dcterms:modified xsi:type="dcterms:W3CDTF">2026-10-21T17:39:00Z</dcterms:modified>
</cp:coreProperties>
</file>